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110C1E1-4506-4714-8375-05412182A124}" xr6:coauthVersionLast="47" xr6:coauthVersionMax="47" xr10:uidLastSave="{00000000-0000-0000-0000-000000000000}"/>
  <bookViews>
    <workbookView xWindow="-103" yWindow="-103" windowWidth="29692" windowHeight="11829" activeTab="5" xr2:uid="{00000000-000D-0000-FFFF-FFFF00000000}"/>
  </bookViews>
  <sheets>
    <sheet name="ЧМ,ЦМ,Руда,Кокс" sheetId="1" r:id="rId1"/>
    <sheet name="Ставки перевалки" sheetId="7" r:id="rId2"/>
    <sheet name="Ставки аренды" sheetId="6" r:id="rId3"/>
    <sheet name="Курсы валют" sheetId="4" r:id="rId4"/>
    <sheet name="Цены" sheetId="2" r:id="rId5"/>
    <sheet name="Технический лист" sheetId="5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Order1" hidden="1">255</definedName>
    <definedName name="_xlnm._FilterDatabase" localSheetId="0" hidden="1">'ЧМ,ЦМ,Руда,Кокс'!$3:$156</definedName>
    <definedName name="AS2DocOpenMode" hidden="1">"AS2DocumentEdit"</definedName>
    <definedName name="ccc">#REF!</definedName>
    <definedName name="cmndBase">#REF!</definedName>
    <definedName name="cmndDayMonthTo">#REF!</definedName>
    <definedName name="cmndDays">#REF!</definedName>
    <definedName name="cmndDocNum">#REF!</definedName>
    <definedName name="cmndDocSer">#REF!</definedName>
    <definedName name="cmndFIO">#REF!</definedName>
    <definedName name="cmndOrdDay">#REF!</definedName>
    <definedName name="cmndOrdMonth">#REF!</definedName>
    <definedName name="cmndOrdNum">#REF!</definedName>
    <definedName name="cmndOrdYear">#REF!</definedName>
    <definedName name="cmndPoint">#REF!</definedName>
    <definedName name="cmndPoint1">#REF!</definedName>
    <definedName name="cmndPos">#REF!</definedName>
    <definedName name="cmndYearTo">#REF!</definedName>
    <definedName name="cntAddition">#REF!</definedName>
    <definedName name="cntDay">#REF!</definedName>
    <definedName name="cntMonth">#REF!</definedName>
    <definedName name="cntName">#REF!</definedName>
    <definedName name="cntNumber">#REF!</definedName>
    <definedName name="cntPayer">#REF!</definedName>
    <definedName name="cntPayer1">#REF!</definedName>
    <definedName name="cntPayerAddr1">#REF!</definedName>
    <definedName name="cntPayerAddr2">#REF!</definedName>
    <definedName name="cntPayerBank1">#REF!</definedName>
    <definedName name="cntPayerBank2">#REF!</definedName>
    <definedName name="cntPayerBank3">#REF!</definedName>
    <definedName name="cntPayerCount">#REF!</definedName>
    <definedName name="cntPayerCountCor">#REF!</definedName>
    <definedName name="cntPriceC">#REF!</definedName>
    <definedName name="cntPriceR">#REF!</definedName>
    <definedName name="cntQnt">#REF!</definedName>
    <definedName name="cntSumC">#REF!</definedName>
    <definedName name="cntSumR">#REF!</definedName>
    <definedName name="cntSuppAddr1">#REF!</definedName>
    <definedName name="cntSuppAddr2">#REF!</definedName>
    <definedName name="cntSuppBank">#REF!</definedName>
    <definedName name="cntSuppCount">#REF!</definedName>
    <definedName name="cntSuppCountCor">#REF!</definedName>
    <definedName name="cntSupplier">#REF!</definedName>
    <definedName name="cntSuppMFO1">#REF!</definedName>
    <definedName name="cntSuppMFO2">#REF!</definedName>
    <definedName name="cntSuppTlf">#REF!</definedName>
    <definedName name="cntUnit">#REF!</definedName>
    <definedName name="cntYear">#REF!</definedName>
    <definedName name="DF_GRID_2" localSheetId="3">История [1]корректировок!$C$10:$I$11</definedName>
    <definedName name="DF_GRID_2" localSheetId="5">История [1]корректировок!$C$10:$I$11</definedName>
    <definedName name="DF_GRID_2">История [1]корректировок!$C$10:$I$11</definedName>
    <definedName name="DF_NAVPANEL_13" localSheetId="3">[2]Отчет!#REF!</definedName>
    <definedName name="DF_NAVPANEL_13" localSheetId="5">[2]Отчет!#REF!</definedName>
    <definedName name="DF_NAVPANEL_13">[2]Отчет!#REF!</definedName>
    <definedName name="DF_NAVPANEL_18" localSheetId="3">[2]Отчет!#REF!</definedName>
    <definedName name="DF_NAVPANEL_18" localSheetId="5">[2]Отчет!#REF!</definedName>
    <definedName name="DF_NAVPANEL_18">[2]Отчет!#REF!</definedName>
    <definedName name="dvrCustomer" localSheetId="3">#REF!</definedName>
    <definedName name="dvrCustomer" localSheetId="5">#REF!</definedName>
    <definedName name="dvrCustomer">#REF!</definedName>
    <definedName name="dvrDay" localSheetId="3">#REF!</definedName>
    <definedName name="dvrDay" localSheetId="5">#REF!</definedName>
    <definedName name="dvrDay">#REF!</definedName>
    <definedName name="dvrDocDay" localSheetId="5">#REF!</definedName>
    <definedName name="dvrDocDay">#REF!</definedName>
    <definedName name="dvrDocIss">#REF!</definedName>
    <definedName name="dvrDocMonth">#REF!</definedName>
    <definedName name="dvrDocNum">#REF!</definedName>
    <definedName name="dvrDocSer">#REF!</definedName>
    <definedName name="dvrDocYear">#REF!</definedName>
    <definedName name="dvrMonth">#REF!</definedName>
    <definedName name="dvrName">#REF!</definedName>
    <definedName name="dvrNo">#REF!</definedName>
    <definedName name="dvrNumber">#REF!</definedName>
    <definedName name="dvrOrder">#REF!</definedName>
    <definedName name="dvrPayer">#REF!</definedName>
    <definedName name="dvrPayerBank1">#REF!</definedName>
    <definedName name="dvrPayerBank2">#REF!</definedName>
    <definedName name="dvrPayerCount">#REF!</definedName>
    <definedName name="dvrQnt">#REF!</definedName>
    <definedName name="dvrReceiver">#REF!</definedName>
    <definedName name="dvrSupplier">#REF!</definedName>
    <definedName name="dvrUnit">#REF!</definedName>
    <definedName name="dvrValidDay">#REF!</definedName>
    <definedName name="dvrValidMonth">#REF!</definedName>
    <definedName name="dvrValidYear">#REF!</definedName>
    <definedName name="dvrYear">#REF!</definedName>
    <definedName name="elkAddr1">#REF!</definedName>
    <definedName name="elkAddr2">#REF!</definedName>
    <definedName name="elkCount">#REF!</definedName>
    <definedName name="elkCountFrom">#REF!</definedName>
    <definedName name="elkCountTo">#REF!</definedName>
    <definedName name="elkDateFrom">#REF!</definedName>
    <definedName name="elkDateTo">#REF!</definedName>
    <definedName name="elkDiscount">#REF!</definedName>
    <definedName name="elkKAddr1">#REF!</definedName>
    <definedName name="elkKAddr2">#REF!</definedName>
    <definedName name="elkKCount">#REF!</definedName>
    <definedName name="elkKCountFrom">#REF!</definedName>
    <definedName name="elkKCountTo">#REF!</definedName>
    <definedName name="elkKDateFrom">#REF!</definedName>
    <definedName name="elkKDateTo">#REF!</definedName>
    <definedName name="elkKDiscount">#REF!</definedName>
    <definedName name="elkKNumber">#REF!</definedName>
    <definedName name="elkKSumC">#REF!</definedName>
    <definedName name="elkKSumR">#REF!</definedName>
    <definedName name="elkKTarif">#REF!</definedName>
    <definedName name="elkNumber">#REF!</definedName>
    <definedName name="elkSumC">#REF!</definedName>
    <definedName name="elkSumR">#REF!</definedName>
    <definedName name="elkTarif">#REF!</definedName>
    <definedName name="EXCEL">#REF!</definedName>
    <definedName name="f" localSheetId="3">'[3]коэф. т. 5'!#REF!</definedName>
    <definedName name="f" localSheetId="5">'[3]коэф. т. 5'!#REF!</definedName>
    <definedName name="f">'[3]коэф. т. 5'!#REF!</definedName>
    <definedName name="ghjhkhjd" localSheetId="5">#REF!</definedName>
    <definedName name="ghjhkhjd">#REF!</definedName>
    <definedName name="HTML_CodePage" hidden="1">1252</definedName>
    <definedName name="HTML_Description" hidden="1">""</definedName>
    <definedName name="HTML_Email" hidden="1">""</definedName>
    <definedName name="HTML_Header" hidden="1">"Working Capital"</definedName>
    <definedName name="HTML_LastUpdate" hidden="1">"9/11/00"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HD:Web Site “~adamodar”:pc:datasets:MyHTML.html"</definedName>
    <definedName name="HTML_Title" hidden="1">"wcdata"</definedName>
    <definedName name="nakDay">#REF!</definedName>
    <definedName name="nakFrom">#REF!</definedName>
    <definedName name="nakMonth">#REF!</definedName>
    <definedName name="nakName">#REF!</definedName>
    <definedName name="nakNo">#REF!</definedName>
    <definedName name="nakNumber">#REF!</definedName>
    <definedName name="nakPriceC">#REF!</definedName>
    <definedName name="nakPriceR">#REF!</definedName>
    <definedName name="nakQnt">#REF!</definedName>
    <definedName name="nakSumC">#REF!</definedName>
    <definedName name="nakSumR">#REF!</definedName>
    <definedName name="nakTo">#REF!</definedName>
    <definedName name="nakYear">#REF!</definedName>
    <definedName name="OUT_G142_ГНГ2001_ЕТСНГ_Список">#REF!</definedName>
    <definedName name="pmnCCode1">#REF!</definedName>
    <definedName name="pmnCCode2">#REF!</definedName>
    <definedName name="pmnDay">#REF!</definedName>
    <definedName name="pmnDCode1">#REF!</definedName>
    <definedName name="pmnDCode2">#REF!</definedName>
    <definedName name="pmnDirection">#REF!</definedName>
    <definedName name="pmnMonth">#REF!</definedName>
    <definedName name="pmnNumber">#REF!</definedName>
    <definedName name="pmnOper">#REF!</definedName>
    <definedName name="pmnPayer">#REF!</definedName>
    <definedName name="pmnPayer1">#REF!</definedName>
    <definedName name="pmnPayerBank1">#REF!</definedName>
    <definedName name="pmnPayerBank2">#REF!</definedName>
    <definedName name="pmnPayerBank3">#REF!</definedName>
    <definedName name="pmnPayerCode">#REF!</definedName>
    <definedName name="pmnPayerCount1">#REF!</definedName>
    <definedName name="pmnPayerCount2">#REF!</definedName>
    <definedName name="pmnPayerCount3">#REF!</definedName>
    <definedName name="pmnRecBank1">#REF!</definedName>
    <definedName name="pmnRecBank2">#REF!</definedName>
    <definedName name="pmnRecBank3">#REF!</definedName>
    <definedName name="pmnRecCode">#REF!</definedName>
    <definedName name="pmnRecCount1">#REF!</definedName>
    <definedName name="pmnRecCount2">#REF!</definedName>
    <definedName name="pmnRecCount3">#REF!</definedName>
    <definedName name="pmnReceiver">#REF!</definedName>
    <definedName name="pmnReceiver1">#REF!</definedName>
    <definedName name="pmnSum1">#REF!</definedName>
    <definedName name="pmnSum2">#REF!</definedName>
    <definedName name="pmnWNalog">#REF!</definedName>
    <definedName name="pmnWSum1">#REF!</definedName>
    <definedName name="pmnWSum2">#REF!</definedName>
    <definedName name="pmnWSum3">#REF!</definedName>
    <definedName name="pmnYear">#REF!</definedName>
    <definedName name="priApplication1">#REF!</definedName>
    <definedName name="priApplication2">#REF!</definedName>
    <definedName name="priDate1">#REF!</definedName>
    <definedName name="priDate2">#REF!</definedName>
    <definedName name="priKDay">#REF!</definedName>
    <definedName name="priKMonth">#REF!</definedName>
    <definedName name="priKNumber">#REF!</definedName>
    <definedName name="priKOrgn">#REF!</definedName>
    <definedName name="priKPayer1">#REF!</definedName>
    <definedName name="priKPayer2">#REF!</definedName>
    <definedName name="priKPayer3">#REF!</definedName>
    <definedName name="priKSubject1">#REF!</definedName>
    <definedName name="priKSubject2">#REF!</definedName>
    <definedName name="priKSubject3">#REF!</definedName>
    <definedName name="priKWSum1">#REF!</definedName>
    <definedName name="priKWSum2">#REF!</definedName>
    <definedName name="priKWSum3">#REF!</definedName>
    <definedName name="priKWSum4">#REF!</definedName>
    <definedName name="priKWSum5">#REF!</definedName>
    <definedName name="priKWSumC">#REF!</definedName>
    <definedName name="priKYear">#REF!</definedName>
    <definedName name="priNumber">#REF!</definedName>
    <definedName name="priOrgn">#REF!</definedName>
    <definedName name="priPayer">#REF!</definedName>
    <definedName name="priSubject1">#REF!</definedName>
    <definedName name="priSubject2">#REF!</definedName>
    <definedName name="priSum">#REF!</definedName>
    <definedName name="priWSum1">#REF!</definedName>
    <definedName name="priWSum2">#REF!</definedName>
    <definedName name="priWSumC">#REF!</definedName>
    <definedName name="rasApplication1">#REF!</definedName>
    <definedName name="rasApplication2">#REF!</definedName>
    <definedName name="rasDate1">#REF!</definedName>
    <definedName name="rasDate2">#REF!</definedName>
    <definedName name="rasDoc1">#REF!</definedName>
    <definedName name="rasDoc2">#REF!</definedName>
    <definedName name="rasNumber">#REF!</definedName>
    <definedName name="rasOrgn">#REF!</definedName>
    <definedName name="rasRecDay">#REF!</definedName>
    <definedName name="rasReceiver">#REF!</definedName>
    <definedName name="rasRecMonth">#REF!</definedName>
    <definedName name="rasRecYear">#REF!</definedName>
    <definedName name="rasSubject1">#REF!</definedName>
    <definedName name="rasSubject2">#REF!</definedName>
    <definedName name="rasSum">#REF!</definedName>
    <definedName name="rasWRecSum1">#REF!</definedName>
    <definedName name="rasWRecSum2">#REF!</definedName>
    <definedName name="rasWRecSumC">#REF!</definedName>
    <definedName name="rasWSum1">#REF!</definedName>
    <definedName name="rasWSum2">#REF!</definedName>
    <definedName name="rasWSumC">#REF!</definedName>
    <definedName name="SAPBEXhrIndnt" hidden="1">"Wide"</definedName>
    <definedName name="SAPsysID" hidden="1">"708C5W7SBKP804JT78WJ0JNKI"</definedName>
    <definedName name="SAPwbID" hidden="1">"ARS"</definedName>
    <definedName name="TextRefCopyRangeCount" hidden="1">182</definedName>
    <definedName name="tlfAprt">#REF!</definedName>
    <definedName name="tlfBank">#REF!</definedName>
    <definedName name="tlfCorp">#REF!</definedName>
    <definedName name="tlfCount">#REF!</definedName>
    <definedName name="tlfFIO">#REF!</definedName>
    <definedName name="tlfHouse">#REF!</definedName>
    <definedName name="tlfKAprt">#REF!</definedName>
    <definedName name="tlfKBank">#REF!</definedName>
    <definedName name="tlfKCorp">#REF!</definedName>
    <definedName name="tlfKCount">#REF!</definedName>
    <definedName name="tlfKFio">#REF!</definedName>
    <definedName name="tlfKHouse">#REF!</definedName>
    <definedName name="tlfKMonth">#REF!</definedName>
    <definedName name="tlfKStreet">#REF!</definedName>
    <definedName name="tlfKSum">#REF!</definedName>
    <definedName name="tlfKTarif">#REF!</definedName>
    <definedName name="tlfKTlfNum">#REF!</definedName>
    <definedName name="tlfKTotal">#REF!</definedName>
    <definedName name="tlfKYear">#REF!</definedName>
    <definedName name="tlfMonth">#REF!</definedName>
    <definedName name="tlfStreet">#REF!</definedName>
    <definedName name="tlfSum">#REF!</definedName>
    <definedName name="tlfTarif">#REF!</definedName>
    <definedName name="tlfTlfNum">#REF!</definedName>
    <definedName name="tlfTotal">#REF!</definedName>
    <definedName name="tlfYear">#REF!</definedName>
    <definedName name="XRefCopyRangeCount" hidden="1">1</definedName>
    <definedName name="аа">#REF!</definedName>
    <definedName name="_xlnm.Database">#REF!</definedName>
    <definedName name="в">'[4]коэф. т. 5'!#REF!</definedName>
    <definedName name="г" localSheetId="3">'[3]коэф. т. 5'!#REF!</definedName>
    <definedName name="г" localSheetId="5">'[3]коэф. т. 5'!#REF!</definedName>
    <definedName name="г">'[3]коэф. т. 5'!#REF!</definedName>
    <definedName name="исх1" localSheetId="5">#REF!</definedName>
    <definedName name="исх1">#REF!</definedName>
    <definedName name="Исходная" localSheetId="5">#REF!</definedName>
    <definedName name="Исходная">#REF!</definedName>
    <definedName name="й" localSheetId="5">#REF!</definedName>
    <definedName name="й">#REF!</definedName>
    <definedName name="копия">#REF!</definedName>
    <definedName name="мммм">#REF!</definedName>
    <definedName name="н" localSheetId="3">'[3]коэф. т. 5'!#REF!</definedName>
    <definedName name="н" localSheetId="5">'[3]коэф. т. 5'!#REF!</definedName>
    <definedName name="н">'[3]коэф. т. 5'!#REF!</definedName>
    <definedName name="напитки" localSheetId="5">#REF!</definedName>
    <definedName name="напитки">#REF!</definedName>
    <definedName name="о" localSheetId="3">'[3]коэф. т. 5'!#REF!</definedName>
    <definedName name="о" localSheetId="5">'[3]коэф. т. 5'!#REF!</definedName>
    <definedName name="о">'[3]коэф. т. 5'!#REF!</definedName>
    <definedName name="ось">[5]коэфф!$D$4</definedName>
    <definedName name="отправка" localSheetId="5">#REF!</definedName>
    <definedName name="отправка">#REF!</definedName>
    <definedName name="Повагонная_отправка" localSheetId="5">#REF!</definedName>
    <definedName name="Повагонная_отправка">#REF!</definedName>
    <definedName name="ппп" localSheetId="5">#REF!</definedName>
    <definedName name="ппп">#REF!</definedName>
    <definedName name="ппппп">#REF!</definedName>
    <definedName name="р" localSheetId="3">'[3]коэф. т. 5'!#REF!</definedName>
    <definedName name="р" localSheetId="5">'[3]коэф. т. 5'!#REF!</definedName>
    <definedName name="р">'[3]коэф. т. 5'!#REF!</definedName>
    <definedName name="рррр">[6]REF!$A$4:$J$1925</definedName>
    <definedName name="схемы" localSheetId="3">'[7]энерг_1 действ'!$I$3:$I$7</definedName>
    <definedName name="схемы" localSheetId="5">'[7]энерг_1 действ'!$I$3:$I$7</definedName>
    <definedName name="схемы">'[7]энерг_1 действ'!$I$3:$I$7</definedName>
    <definedName name="таб.5" localSheetId="5">#REF!</definedName>
    <definedName name="таб.5">#REF!</definedName>
    <definedName name="табл" localSheetId="5">#REF!</definedName>
    <definedName name="табл">#REF!</definedName>
    <definedName name="таблица" localSheetId="5">#REF!</definedName>
    <definedName name="таблица">#REF!</definedName>
    <definedName name="х" localSheetId="3">'[3]коэф. т. 5'!#REF!</definedName>
    <definedName name="х" localSheetId="5">'[3]коэф. т. 5'!#REF!</definedName>
    <definedName name="х">'[3]коэф. т. 5'!#REF!</definedName>
    <definedName name="ы" localSheetId="3">'[3]коэф. т. 5'!#REF!</definedName>
    <definedName name="ы" localSheetId="5">'[3]коэф. т. 5'!#REF!</definedName>
    <definedName name="ы">'[3]коэф. т. 5'!#REF!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X7" i="1" l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EW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AZ7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4" i="1"/>
  <c r="CW142" i="1"/>
  <c r="CV142" i="1"/>
  <c r="CU142" i="1"/>
  <c r="CT142" i="1"/>
  <c r="CS142" i="1"/>
  <c r="CR142" i="1"/>
  <c r="CQ142" i="1"/>
  <c r="CP142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CW132" i="1"/>
  <c r="CV132" i="1"/>
  <c r="CU132" i="1"/>
  <c r="CT132" i="1"/>
  <c r="CS132" i="1"/>
  <c r="CR132" i="1"/>
  <c r="CQ132" i="1"/>
  <c r="CP132" i="1"/>
  <c r="CO132" i="1"/>
  <c r="CN132" i="1"/>
  <c r="CM132" i="1"/>
  <c r="CL132" i="1"/>
  <c r="CK132" i="1"/>
  <c r="CJ132" i="1"/>
  <c r="CI132" i="1"/>
  <c r="CH132" i="1"/>
  <c r="CG132" i="1"/>
  <c r="CF132" i="1"/>
  <c r="CE132" i="1"/>
  <c r="CD132" i="1"/>
  <c r="CC132" i="1"/>
  <c r="CB132" i="1"/>
  <c r="CA132" i="1"/>
  <c r="BZ132" i="1"/>
  <c r="BY132" i="1"/>
  <c r="BX132" i="1"/>
  <c r="BW132" i="1"/>
  <c r="BV132" i="1"/>
  <c r="BU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CW131" i="1"/>
  <c r="CV131" i="1"/>
  <c r="CU131" i="1"/>
  <c r="CT131" i="1"/>
  <c r="CS131" i="1"/>
  <c r="CR131" i="1"/>
  <c r="CQ131" i="1"/>
  <c r="CP131" i="1"/>
  <c r="CO131" i="1"/>
  <c r="CN131" i="1"/>
  <c r="CM131" i="1"/>
  <c r="CL131" i="1"/>
  <c r="CK131" i="1"/>
  <c r="CJ131" i="1"/>
  <c r="CI131" i="1"/>
  <c r="CH131" i="1"/>
  <c r="CG131" i="1"/>
  <c r="CF131" i="1"/>
  <c r="CE131" i="1"/>
  <c r="CD131" i="1"/>
  <c r="CC131" i="1"/>
  <c r="CB131" i="1"/>
  <c r="CA131" i="1"/>
  <c r="BZ131" i="1"/>
  <c r="BY131" i="1"/>
  <c r="BX131" i="1"/>
  <c r="BW131" i="1"/>
  <c r="BV131" i="1"/>
  <c r="BU131" i="1"/>
  <c r="BT131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CW130" i="1"/>
  <c r="CV130" i="1"/>
  <c r="CU130" i="1"/>
  <c r="CT130" i="1"/>
  <c r="CS130" i="1"/>
  <c r="CR130" i="1"/>
  <c r="CQ130" i="1"/>
  <c r="CP130" i="1"/>
  <c r="CO130" i="1"/>
  <c r="CN130" i="1"/>
  <c r="CM130" i="1"/>
  <c r="CL130" i="1"/>
  <c r="CK130" i="1"/>
  <c r="CJ130" i="1"/>
  <c r="CI130" i="1"/>
  <c r="CH130" i="1"/>
  <c r="CG130" i="1"/>
  <c r="CF130" i="1"/>
  <c r="CE130" i="1"/>
  <c r="CD130" i="1"/>
  <c r="CC130" i="1"/>
  <c r="CB130" i="1"/>
  <c r="CA130" i="1"/>
  <c r="BZ130" i="1"/>
  <c r="BY130" i="1"/>
  <c r="BX130" i="1"/>
  <c r="BW130" i="1"/>
  <c r="BV130" i="1"/>
  <c r="BU130" i="1"/>
  <c r="BT130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CW82" i="1"/>
  <c r="CV82" i="1"/>
  <c r="CU82" i="1"/>
  <c r="CT82" i="1"/>
  <c r="CS82" i="1"/>
  <c r="CR82" i="1"/>
  <c r="CQ82" i="1"/>
  <c r="CP82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CW81" i="1"/>
  <c r="CV81" i="1"/>
  <c r="CU81" i="1"/>
  <c r="CT81" i="1"/>
  <c r="CS81" i="1"/>
  <c r="CR81" i="1"/>
  <c r="CQ81" i="1"/>
  <c r="CP81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CW80" i="1"/>
  <c r="CV80" i="1"/>
  <c r="CU80" i="1"/>
  <c r="CT80" i="1"/>
  <c r="CS80" i="1"/>
  <c r="CR80" i="1"/>
  <c r="CQ80" i="1"/>
  <c r="CP80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CW79" i="1"/>
  <c r="CV79" i="1"/>
  <c r="CU79" i="1"/>
  <c r="CT79" i="1"/>
  <c r="CS79" i="1"/>
  <c r="CR79" i="1"/>
  <c r="CQ79" i="1"/>
  <c r="CP79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CW78" i="1"/>
  <c r="CV78" i="1"/>
  <c r="CU78" i="1"/>
  <c r="CT78" i="1"/>
  <c r="CS78" i="1"/>
  <c r="CR78" i="1"/>
  <c r="CQ78" i="1"/>
  <c r="CP78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CW75" i="1"/>
  <c r="CV75" i="1"/>
  <c r="CU75" i="1"/>
  <c r="CT75" i="1"/>
  <c r="CS75" i="1"/>
  <c r="CR75" i="1"/>
  <c r="CQ75" i="1"/>
  <c r="CP75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CW73" i="1"/>
  <c r="CV73" i="1"/>
  <c r="CU73" i="1"/>
  <c r="CT73" i="1"/>
  <c r="CS73" i="1"/>
  <c r="CR73" i="1"/>
  <c r="CQ73" i="1"/>
  <c r="CP73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CW71" i="1"/>
  <c r="CV71" i="1"/>
  <c r="CU71" i="1"/>
  <c r="CT71" i="1"/>
  <c r="CS71" i="1"/>
  <c r="CR71" i="1"/>
  <c r="CQ71" i="1"/>
  <c r="CP71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CV3" i="1"/>
  <c r="CU3" i="1"/>
  <c r="CT3" i="1" s="1"/>
  <c r="CS3" i="1" s="1"/>
  <c r="CR3" i="1" s="1"/>
  <c r="CQ3" i="1" s="1"/>
  <c r="CP3" i="1" s="1"/>
  <c r="CO3" i="1" s="1"/>
  <c r="CN3" i="1" s="1"/>
  <c r="CM3" i="1" s="1"/>
  <c r="CL3" i="1" s="1"/>
  <c r="CK3" i="1" s="1"/>
  <c r="CJ3" i="1" s="1"/>
  <c r="CI3" i="1" s="1"/>
  <c r="CH3" i="1" s="1"/>
  <c r="CG3" i="1" s="1"/>
  <c r="CF3" i="1" s="1"/>
  <c r="CE3" i="1" s="1"/>
  <c r="CD3" i="1" s="1"/>
  <c r="CC3" i="1" s="1"/>
  <c r="CB3" i="1" s="1"/>
  <c r="CA3" i="1" s="1"/>
  <c r="BZ3" i="1" s="1"/>
  <c r="BY3" i="1" s="1"/>
  <c r="BX3" i="1" s="1"/>
  <c r="BW3" i="1" s="1"/>
  <c r="BV3" i="1" s="1"/>
  <c r="BU3" i="1" s="1"/>
  <c r="BT3" i="1" s="1"/>
  <c r="BS3" i="1" s="1"/>
  <c r="BR3" i="1" s="1"/>
  <c r="BQ3" i="1" s="1"/>
  <c r="BP3" i="1" s="1"/>
  <c r="BO3" i="1" s="1"/>
  <c r="BN3" i="1" s="1"/>
  <c r="BM3" i="1" s="1"/>
  <c r="BL3" i="1" s="1"/>
  <c r="BK3" i="1" s="1"/>
  <c r="BJ3" i="1" s="1"/>
  <c r="BI3" i="1" s="1"/>
  <c r="BH3" i="1" s="1"/>
  <c r="BG3" i="1" s="1"/>
  <c r="BF3" i="1" s="1"/>
  <c r="BE3" i="1" s="1"/>
  <c r="BD3" i="1" s="1"/>
  <c r="BC3" i="1" s="1"/>
  <c r="BB3" i="1" s="1"/>
  <c r="BA3" i="1" s="1"/>
  <c r="AZ3" i="1" s="1"/>
  <c r="CW3" i="1"/>
  <c r="IS2" i="1"/>
  <c r="IT2" i="1" s="1"/>
  <c r="IV1" i="1"/>
  <c r="B1" i="2"/>
  <c r="D13" i="2" s="1"/>
  <c r="B2" i="4"/>
  <c r="AD69" i="1" l="1"/>
  <c r="AD66" i="1"/>
  <c r="AD154" i="1"/>
  <c r="AD79" i="1" l="1"/>
  <c r="N75" i="5" l="1"/>
  <c r="N76" i="5" s="1"/>
  <c r="N77" i="5" s="1"/>
  <c r="N78" i="5" s="1"/>
  <c r="N79" i="5" s="1"/>
  <c r="N80" i="5" s="1"/>
  <c r="N81" i="5" s="1"/>
  <c r="N82" i="5" s="1"/>
  <c r="N83" i="5" s="1"/>
  <c r="N84" i="5" s="1"/>
  <c r="N85" i="5" s="1"/>
  <c r="N86" i="5" s="1"/>
  <c r="N87" i="5" s="1"/>
  <c r="N88" i="5" s="1"/>
  <c r="N89" i="5" s="1"/>
  <c r="N90" i="5" s="1"/>
  <c r="N91" i="5" s="1"/>
  <c r="N92" i="5" s="1"/>
  <c r="N93" i="5" s="1"/>
  <c r="N94" i="5" s="1"/>
  <c r="N95" i="5" s="1"/>
  <c r="N96" i="5" s="1"/>
  <c r="N97" i="5" s="1"/>
  <c r="N98" i="5" s="1"/>
  <c r="N99" i="5" s="1"/>
  <c r="N100" i="5" s="1"/>
  <c r="N101" i="5" s="1"/>
  <c r="N102" i="5" s="1"/>
  <c r="N103" i="5" s="1"/>
  <c r="N104" i="5" s="1"/>
  <c r="N105" i="5" s="1"/>
  <c r="N106" i="5" s="1"/>
  <c r="N107" i="5" s="1"/>
  <c r="N108" i="5" s="1"/>
  <c r="N109" i="5" s="1"/>
  <c r="N110" i="5" s="1"/>
  <c r="N111" i="5" s="1"/>
  <c r="N112" i="5" s="1"/>
  <c r="N113" i="5" s="1"/>
  <c r="N114" i="5" s="1"/>
  <c r="N115" i="5" s="1"/>
  <c r="N116" i="5" s="1"/>
  <c r="N117" i="5" s="1"/>
  <c r="N118" i="5" s="1"/>
  <c r="N119" i="5" s="1"/>
  <c r="N120" i="5" s="1"/>
  <c r="N121" i="5" s="1"/>
  <c r="N122" i="5" s="1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J72" i="5"/>
  <c r="AG105" i="1"/>
  <c r="AG76" i="1"/>
  <c r="AG72" i="1"/>
  <c r="AG51" i="1"/>
  <c r="AG49" i="1"/>
  <c r="AG44" i="1"/>
  <c r="AG40" i="1"/>
  <c r="AG37" i="1"/>
  <c r="AG136" i="1"/>
  <c r="AG134" i="1"/>
  <c r="AG97" i="1"/>
  <c r="AG84" i="1"/>
  <c r="AG114" i="1"/>
  <c r="AG83" i="1"/>
  <c r="AG113" i="1"/>
  <c r="AG100" i="1"/>
  <c r="AG89" i="1"/>
  <c r="AG86" i="1"/>
  <c r="AG82" i="1"/>
  <c r="AF156" i="1"/>
  <c r="AF154" i="1"/>
  <c r="AF153" i="1"/>
  <c r="AF152" i="1"/>
  <c r="AF151" i="1"/>
  <c r="AF150" i="1"/>
  <c r="AF149" i="1"/>
  <c r="AF145" i="1"/>
  <c r="AF144" i="1"/>
  <c r="AF143" i="1"/>
  <c r="AF140" i="1"/>
  <c r="AF139" i="1"/>
  <c r="AF137" i="1"/>
  <c r="AF136" i="1"/>
  <c r="AF134" i="1"/>
  <c r="AF133" i="1"/>
  <c r="AF131" i="1"/>
  <c r="AF130" i="1"/>
  <c r="AF129" i="1"/>
  <c r="AF128" i="1"/>
  <c r="AF126" i="1"/>
  <c r="AF125" i="1"/>
  <c r="AF124" i="1"/>
  <c r="AF123" i="1"/>
  <c r="AF122" i="1"/>
  <c r="AF120" i="1"/>
  <c r="AF119" i="1"/>
  <c r="AF115" i="1"/>
  <c r="AF114" i="1"/>
  <c r="AF113" i="1"/>
  <c r="AF112" i="1"/>
  <c r="AF111" i="1"/>
  <c r="AF110" i="1"/>
  <c r="AF109" i="1"/>
  <c r="AF107" i="1"/>
  <c r="AF106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6" i="1"/>
  <c r="AF84" i="1"/>
  <c r="AF83" i="1"/>
  <c r="AF82" i="1"/>
  <c r="AF81" i="1"/>
  <c r="AF80" i="1"/>
  <c r="AF79" i="1"/>
  <c r="AF78" i="1"/>
  <c r="AF75" i="1"/>
  <c r="AF74" i="1"/>
  <c r="AF73" i="1"/>
  <c r="AF71" i="1"/>
  <c r="AF70" i="1"/>
  <c r="AF69" i="1"/>
  <c r="AF67" i="1"/>
  <c r="AF65" i="1"/>
  <c r="AF64" i="1"/>
  <c r="AF63" i="1"/>
  <c r="AF62" i="1"/>
  <c r="AF61" i="1"/>
  <c r="AF60" i="1"/>
  <c r="AF59" i="1"/>
  <c r="AF55" i="1"/>
  <c r="AF54" i="1"/>
  <c r="AF52" i="1"/>
  <c r="AF51" i="1"/>
  <c r="AF50" i="1"/>
  <c r="AF49" i="1"/>
  <c r="AF48" i="1"/>
  <c r="AF45" i="1"/>
  <c r="AF44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58" i="1"/>
  <c r="AF57" i="1"/>
  <c r="AF53" i="1"/>
  <c r="AF47" i="1"/>
  <c r="AF46" i="1"/>
  <c r="AF43" i="1"/>
  <c r="AF42" i="1"/>
  <c r="AF41" i="1"/>
  <c r="AF40" i="1"/>
  <c r="AF39" i="1"/>
  <c r="AF38" i="1"/>
  <c r="AF37" i="1"/>
  <c r="AF127" i="1"/>
  <c r="AF87" i="1"/>
  <c r="AF85" i="1"/>
  <c r="AF77" i="1"/>
  <c r="AF138" i="1"/>
  <c r="AF66" i="1"/>
  <c r="AF56" i="1"/>
  <c r="AG26" i="1"/>
  <c r="AG20" i="1"/>
  <c r="AG33" i="1"/>
  <c r="AG23" i="1"/>
  <c r="B6" i="6"/>
  <c r="AF135" i="1" s="1"/>
  <c r="AF105" i="1" l="1"/>
  <c r="AF141" i="1"/>
  <c r="AF108" i="1"/>
  <c r="AF142" i="1"/>
  <c r="AF116" i="1"/>
  <c r="AF146" i="1"/>
  <c r="AF117" i="1"/>
  <c r="AF147" i="1"/>
  <c r="AF118" i="1"/>
  <c r="AF148" i="1"/>
  <c r="AF68" i="1"/>
  <c r="AF121" i="1"/>
  <c r="AF155" i="1"/>
  <c r="AF72" i="1"/>
  <c r="AF132" i="1"/>
  <c r="AF76" i="1"/>
  <c r="AL63" i="1"/>
  <c r="AR63" i="1" s="1"/>
  <c r="AY63" i="1"/>
  <c r="AL17" i="1"/>
  <c r="AR17" i="1" s="1"/>
  <c r="AY17" i="1"/>
  <c r="AL43" i="1"/>
  <c r="AR43" i="1" s="1"/>
  <c r="AY43" i="1"/>
  <c r="AL140" i="1"/>
  <c r="AY140" i="1"/>
  <c r="AL42" i="1"/>
  <c r="AY42" i="1"/>
  <c r="AL97" i="1"/>
  <c r="AR97" i="1" s="1"/>
  <c r="AY97" i="1"/>
  <c r="AL54" i="1"/>
  <c r="AR54" i="1" s="1"/>
  <c r="AY54" i="1"/>
  <c r="AL127" i="1"/>
  <c r="AY127" i="1"/>
  <c r="AL57" i="1"/>
  <c r="AY57" i="1"/>
  <c r="AL102" i="1"/>
  <c r="AY102" i="1"/>
  <c r="AY33" i="1"/>
  <c r="AL30" i="1"/>
  <c r="AR30" i="1" s="1"/>
  <c r="AY30" i="1"/>
  <c r="AL119" i="1"/>
  <c r="AR119" i="1" s="1"/>
  <c r="AY119" i="1"/>
  <c r="AL29" i="1"/>
  <c r="AR29" i="1" s="1"/>
  <c r="AY29" i="1"/>
  <c r="AL115" i="1"/>
  <c r="AY115" i="1"/>
  <c r="AL41" i="1"/>
  <c r="AR41" i="1" s="1"/>
  <c r="AY41" i="1"/>
  <c r="AL78" i="1"/>
  <c r="AR78" i="1" s="1"/>
  <c r="AY78" i="1"/>
  <c r="AL40" i="1"/>
  <c r="AY40" i="1"/>
  <c r="AL11" i="1"/>
  <c r="AR11" i="1" s="1"/>
  <c r="AY11" i="1"/>
  <c r="AL27" i="1"/>
  <c r="AY27" i="1"/>
  <c r="AL52" i="1"/>
  <c r="AY52" i="1"/>
  <c r="AL75" i="1"/>
  <c r="AR75" i="1" s="1"/>
  <c r="AY75" i="1"/>
  <c r="AL95" i="1"/>
  <c r="AY95" i="1"/>
  <c r="AL113" i="1"/>
  <c r="AY113" i="1"/>
  <c r="AL136" i="1"/>
  <c r="AY136" i="1"/>
  <c r="AL7" i="1"/>
  <c r="AR7" i="1" s="1"/>
  <c r="AY7" i="1"/>
  <c r="AL138" i="1"/>
  <c r="AY138" i="1"/>
  <c r="AL84" i="1"/>
  <c r="AR84" i="1" s="1"/>
  <c r="AY84" i="1"/>
  <c r="AL62" i="1"/>
  <c r="AY62" i="1"/>
  <c r="AL14" i="1"/>
  <c r="AR14" i="1" s="1"/>
  <c r="AY14" i="1"/>
  <c r="AL98" i="1"/>
  <c r="AY98" i="1"/>
  <c r="AL55" i="1"/>
  <c r="AY55" i="1"/>
  <c r="AL139" i="1"/>
  <c r="AR139" i="1" s="1"/>
  <c r="AY139" i="1"/>
  <c r="AL12" i="1"/>
  <c r="AR12" i="1" s="1"/>
  <c r="AY12" i="1"/>
  <c r="AL114" i="1"/>
  <c r="AY114" i="1"/>
  <c r="AL39" i="1"/>
  <c r="AR39" i="1" s="1"/>
  <c r="AY39" i="1"/>
  <c r="AL10" i="1"/>
  <c r="AR10" i="1" s="1"/>
  <c r="AY10" i="1"/>
  <c r="AY26" i="1"/>
  <c r="AL51" i="1"/>
  <c r="AR51" i="1" s="1"/>
  <c r="AY51" i="1"/>
  <c r="AL74" i="1"/>
  <c r="AR74" i="1" s="1"/>
  <c r="AY74" i="1"/>
  <c r="AL94" i="1"/>
  <c r="AR94" i="1" s="1"/>
  <c r="AY94" i="1"/>
  <c r="AL112" i="1"/>
  <c r="AY112" i="1"/>
  <c r="AL134" i="1"/>
  <c r="AY134" i="1"/>
  <c r="AL124" i="1"/>
  <c r="AR124" i="1" s="1"/>
  <c r="AY124" i="1"/>
  <c r="AY83" i="1"/>
  <c r="AL80" i="1"/>
  <c r="AY80" i="1"/>
  <c r="AL79" i="1"/>
  <c r="AY79" i="1"/>
  <c r="AL28" i="1"/>
  <c r="AR28" i="1" s="1"/>
  <c r="AY28" i="1"/>
  <c r="AL137" i="1"/>
  <c r="AY137" i="1"/>
  <c r="AL38" i="1"/>
  <c r="AR38" i="1" s="1"/>
  <c r="AY38" i="1"/>
  <c r="AL9" i="1"/>
  <c r="AY9" i="1"/>
  <c r="AL25" i="1"/>
  <c r="AR25" i="1" s="1"/>
  <c r="AY25" i="1"/>
  <c r="AL50" i="1"/>
  <c r="AY50" i="1"/>
  <c r="AL73" i="1"/>
  <c r="AR73" i="1" s="1"/>
  <c r="AY73" i="1"/>
  <c r="AL93" i="1"/>
  <c r="AR93" i="1" s="1"/>
  <c r="AY93" i="1"/>
  <c r="AL111" i="1"/>
  <c r="AR111" i="1" s="1"/>
  <c r="AY111" i="1"/>
  <c r="AL133" i="1"/>
  <c r="AR133" i="1" s="1"/>
  <c r="AY133" i="1"/>
  <c r="AL18" i="1"/>
  <c r="AY18" i="1"/>
  <c r="AL66" i="1"/>
  <c r="AR66" i="1" s="1"/>
  <c r="AY66" i="1"/>
  <c r="AL59" i="1"/>
  <c r="AY59" i="1"/>
  <c r="AL13" i="1"/>
  <c r="AR13" i="1" s="1"/>
  <c r="AY13" i="1"/>
  <c r="AL96" i="1"/>
  <c r="AY96" i="1"/>
  <c r="AL37" i="1"/>
  <c r="AR37" i="1" s="1"/>
  <c r="AY37" i="1"/>
  <c r="AL8" i="1"/>
  <c r="AY8" i="1"/>
  <c r="AL24" i="1"/>
  <c r="AR24" i="1" s="1"/>
  <c r="AY24" i="1"/>
  <c r="AL49" i="1"/>
  <c r="AY49" i="1"/>
  <c r="AL71" i="1"/>
  <c r="AR71" i="1" s="1"/>
  <c r="AY71" i="1"/>
  <c r="AL92" i="1"/>
  <c r="AR92" i="1" s="1"/>
  <c r="AY92" i="1"/>
  <c r="AL110" i="1"/>
  <c r="AY110" i="1"/>
  <c r="AL131" i="1"/>
  <c r="AY131" i="1"/>
  <c r="AL156" i="1"/>
  <c r="AR156" i="1" s="1"/>
  <c r="AY156" i="1"/>
  <c r="AY23" i="1"/>
  <c r="AL91" i="1"/>
  <c r="AY91" i="1"/>
  <c r="AL109" i="1"/>
  <c r="AR109" i="1" s="1"/>
  <c r="AY109" i="1"/>
  <c r="AL154" i="1"/>
  <c r="AR154" i="1" s="1"/>
  <c r="AY154" i="1"/>
  <c r="AL87" i="1"/>
  <c r="AY87" i="1"/>
  <c r="AL22" i="1"/>
  <c r="AR22" i="1" s="1"/>
  <c r="AY22" i="1"/>
  <c r="AL69" i="1"/>
  <c r="AR69" i="1" s="1"/>
  <c r="AY69" i="1"/>
  <c r="AL107" i="1"/>
  <c r="AR107" i="1" s="1"/>
  <c r="AY107" i="1"/>
  <c r="AL153" i="1"/>
  <c r="AY153" i="1"/>
  <c r="AL85" i="1"/>
  <c r="AR85" i="1" s="1"/>
  <c r="AY85" i="1"/>
  <c r="AL21" i="1"/>
  <c r="AR21" i="1" s="1"/>
  <c r="AY21" i="1"/>
  <c r="AL44" i="1"/>
  <c r="AR44" i="1" s="1"/>
  <c r="AY44" i="1"/>
  <c r="AY89" i="1"/>
  <c r="AL128" i="1"/>
  <c r="AR128" i="1" s="1"/>
  <c r="AY128" i="1"/>
  <c r="AL4" i="1"/>
  <c r="AR4" i="1" s="1"/>
  <c r="AY4" i="1"/>
  <c r="AY20" i="1"/>
  <c r="AL36" i="1"/>
  <c r="AR36" i="1" s="1"/>
  <c r="AY36" i="1"/>
  <c r="AL65" i="1"/>
  <c r="AR65" i="1" s="1"/>
  <c r="AY65" i="1"/>
  <c r="AL88" i="1"/>
  <c r="AR88" i="1" s="1"/>
  <c r="AY88" i="1"/>
  <c r="AL104" i="1"/>
  <c r="AR104" i="1" s="1"/>
  <c r="AY104" i="1"/>
  <c r="AL126" i="1"/>
  <c r="AR126" i="1" s="1"/>
  <c r="AY126" i="1"/>
  <c r="AL151" i="1"/>
  <c r="AR151" i="1" s="1"/>
  <c r="AY151" i="1"/>
  <c r="AL70" i="1"/>
  <c r="AR70" i="1" s="1"/>
  <c r="AY70" i="1"/>
  <c r="AL130" i="1"/>
  <c r="AR130" i="1" s="1"/>
  <c r="AY130" i="1"/>
  <c r="AL6" i="1"/>
  <c r="AY6" i="1"/>
  <c r="AL45" i="1"/>
  <c r="AR45" i="1" s="1"/>
  <c r="AY45" i="1"/>
  <c r="AL90" i="1"/>
  <c r="AR90" i="1" s="1"/>
  <c r="AY90" i="1"/>
  <c r="AL129" i="1"/>
  <c r="AY129" i="1"/>
  <c r="AL5" i="1"/>
  <c r="AR5" i="1" s="1"/>
  <c r="AY5" i="1"/>
  <c r="AL67" i="1"/>
  <c r="AR67" i="1" s="1"/>
  <c r="AY67" i="1"/>
  <c r="AL106" i="1"/>
  <c r="AR106" i="1" s="1"/>
  <c r="AY106" i="1"/>
  <c r="AL152" i="1"/>
  <c r="AR152" i="1" s="1"/>
  <c r="AY152" i="1"/>
  <c r="AL77" i="1"/>
  <c r="AR77" i="1" s="1"/>
  <c r="AY77" i="1"/>
  <c r="AL58" i="1"/>
  <c r="AR58" i="1" s="1"/>
  <c r="AY58" i="1"/>
  <c r="AL19" i="1"/>
  <c r="AR19" i="1" s="1"/>
  <c r="AY19" i="1"/>
  <c r="AL35" i="1"/>
  <c r="AR35" i="1" s="1"/>
  <c r="AY35" i="1"/>
  <c r="AL64" i="1"/>
  <c r="AR64" i="1" s="1"/>
  <c r="AY64" i="1"/>
  <c r="AL86" i="1"/>
  <c r="AR86" i="1" s="1"/>
  <c r="AY86" i="1"/>
  <c r="AL103" i="1"/>
  <c r="AR103" i="1" s="1"/>
  <c r="AY103" i="1"/>
  <c r="AL125" i="1"/>
  <c r="AR125" i="1" s="1"/>
  <c r="AY125" i="1"/>
  <c r="AL150" i="1"/>
  <c r="AR150" i="1" s="1"/>
  <c r="AY150" i="1"/>
  <c r="AL48" i="1"/>
  <c r="AR48" i="1" s="1"/>
  <c r="AY48" i="1"/>
  <c r="AL34" i="1"/>
  <c r="AY34" i="1"/>
  <c r="AL149" i="1"/>
  <c r="AR149" i="1" s="1"/>
  <c r="AY149" i="1"/>
  <c r="AL53" i="1"/>
  <c r="AR53" i="1" s="1"/>
  <c r="AY53" i="1"/>
  <c r="AL101" i="1"/>
  <c r="AR101" i="1" s="1"/>
  <c r="AY101" i="1"/>
  <c r="AL123" i="1"/>
  <c r="AR123" i="1" s="1"/>
  <c r="AY123" i="1"/>
  <c r="AL145" i="1"/>
  <c r="AR145" i="1" s="1"/>
  <c r="AY145" i="1"/>
  <c r="AL56" i="1"/>
  <c r="AR56" i="1" s="1"/>
  <c r="AY56" i="1"/>
  <c r="AL47" i="1"/>
  <c r="AR47" i="1" s="1"/>
  <c r="AY47" i="1"/>
  <c r="AL16" i="1"/>
  <c r="AR16" i="1" s="1"/>
  <c r="AY16" i="1"/>
  <c r="AL32" i="1"/>
  <c r="AR32" i="1" s="1"/>
  <c r="AY32" i="1"/>
  <c r="AL61" i="1"/>
  <c r="AR61" i="1" s="1"/>
  <c r="AY61" i="1"/>
  <c r="AL82" i="1"/>
  <c r="AR82" i="1" s="1"/>
  <c r="AY82" i="1"/>
  <c r="AY100" i="1"/>
  <c r="AL122" i="1"/>
  <c r="AR122" i="1" s="1"/>
  <c r="AY122" i="1"/>
  <c r="AL144" i="1"/>
  <c r="AR144" i="1" s="1"/>
  <c r="AY144" i="1"/>
  <c r="AL46" i="1"/>
  <c r="AR46" i="1" s="1"/>
  <c r="AY46" i="1"/>
  <c r="AL15" i="1"/>
  <c r="AY15" i="1"/>
  <c r="AL31" i="1"/>
  <c r="AR31" i="1" s="1"/>
  <c r="AY31" i="1"/>
  <c r="AL60" i="1"/>
  <c r="AR60" i="1" s="1"/>
  <c r="AY60" i="1"/>
  <c r="AL81" i="1"/>
  <c r="AR81" i="1" s="1"/>
  <c r="AY81" i="1"/>
  <c r="AL99" i="1"/>
  <c r="AR99" i="1" s="1"/>
  <c r="AY99" i="1"/>
  <c r="AL120" i="1"/>
  <c r="AR120" i="1" s="1"/>
  <c r="AY120" i="1"/>
  <c r="AL143" i="1"/>
  <c r="AR143" i="1" s="1"/>
  <c r="AY143" i="1"/>
  <c r="AR55" i="1"/>
  <c r="AR79" i="1"/>
  <c r="AR115" i="1"/>
  <c r="AR59" i="1"/>
  <c r="AR96" i="1"/>
  <c r="AR114" i="1"/>
  <c r="AR137" i="1"/>
  <c r="AR27" i="1"/>
  <c r="AR52" i="1"/>
  <c r="AR95" i="1"/>
  <c r="AR113" i="1"/>
  <c r="AR136" i="1"/>
  <c r="AR112" i="1"/>
  <c r="AR134" i="1"/>
  <c r="AL26" i="1"/>
  <c r="AR9" i="1"/>
  <c r="AR50" i="1"/>
  <c r="AR8" i="1"/>
  <c r="AR49" i="1"/>
  <c r="AR110" i="1"/>
  <c r="AR131" i="1"/>
  <c r="AR42" i="1"/>
  <c r="AR127" i="1"/>
  <c r="AR91" i="1"/>
  <c r="AL23" i="1"/>
  <c r="AR98" i="1"/>
  <c r="AR87" i="1"/>
  <c r="AR6" i="1"/>
  <c r="AR129" i="1"/>
  <c r="AR153" i="1"/>
  <c r="AR140" i="1"/>
  <c r="AL89" i="1"/>
  <c r="AL20" i="1"/>
  <c r="AR40" i="1"/>
  <c r="AR138" i="1"/>
  <c r="AR57" i="1"/>
  <c r="AR18" i="1"/>
  <c r="AR34" i="1"/>
  <c r="AR102" i="1"/>
  <c r="AR62" i="1"/>
  <c r="AL33" i="1"/>
  <c r="AL83" i="1"/>
  <c r="AR80" i="1"/>
  <c r="AL100" i="1"/>
  <c r="AR15" i="1"/>
  <c r="J73" i="5"/>
  <c r="AN119" i="1"/>
  <c r="AR20" i="1" l="1"/>
  <c r="AR89" i="1"/>
  <c r="AR23" i="1"/>
  <c r="AR33" i="1"/>
  <c r="AR100" i="1"/>
  <c r="AR83" i="1"/>
  <c r="AR26" i="1"/>
  <c r="J74" i="5"/>
  <c r="J75" i="5" l="1"/>
  <c r="J76" i="5" l="1"/>
  <c r="J77" i="5" l="1"/>
  <c r="J78" i="5" l="1"/>
  <c r="B185" i="5"/>
  <c r="J79" i="5" l="1"/>
  <c r="AD96" i="1"/>
  <c r="AD98" i="1"/>
  <c r="AD81" i="1"/>
  <c r="AC142" i="1"/>
  <c r="AE142" i="1" s="1"/>
  <c r="AC141" i="1"/>
  <c r="AE141" i="1" s="1"/>
  <c r="AC135" i="1"/>
  <c r="AE135" i="1" s="1"/>
  <c r="AC132" i="1"/>
  <c r="AE132" i="1" s="1"/>
  <c r="AC105" i="1"/>
  <c r="AE105" i="1" s="1"/>
  <c r="AC108" i="1"/>
  <c r="AE108" i="1" s="1"/>
  <c r="AC118" i="1"/>
  <c r="AE118" i="1" s="1"/>
  <c r="AC117" i="1"/>
  <c r="AE117" i="1" s="1"/>
  <c r="AC116" i="1"/>
  <c r="AE116" i="1" s="1"/>
  <c r="AC155" i="1"/>
  <c r="AE155" i="1" s="1"/>
  <c r="AC121" i="1"/>
  <c r="AE121" i="1" s="1"/>
  <c r="AC146" i="1"/>
  <c r="AE146" i="1" s="1"/>
  <c r="AC148" i="1"/>
  <c r="AE148" i="1" s="1"/>
  <c r="AC147" i="1"/>
  <c r="AE147" i="1" s="1"/>
  <c r="AC76" i="1"/>
  <c r="AE76" i="1" s="1"/>
  <c r="AC72" i="1"/>
  <c r="AE72" i="1" s="1"/>
  <c r="AC68" i="1"/>
  <c r="AE68" i="1" s="1"/>
  <c r="AD127" i="1"/>
  <c r="AD87" i="1"/>
  <c r="AD85" i="1"/>
  <c r="AD56" i="1"/>
  <c r="AD138" i="1"/>
  <c r="AY147" i="1" l="1"/>
  <c r="AL147" i="1"/>
  <c r="AR147" i="1" s="1"/>
  <c r="AY142" i="1"/>
  <c r="AL142" i="1"/>
  <c r="AR142" i="1" s="1"/>
  <c r="AY76" i="1"/>
  <c r="AL76" i="1"/>
  <c r="AR76" i="1" s="1"/>
  <c r="AY132" i="1"/>
  <c r="AL132" i="1"/>
  <c r="AR132" i="1" s="1"/>
  <c r="AY148" i="1"/>
  <c r="AL148" i="1"/>
  <c r="AR148" i="1" s="1"/>
  <c r="AY141" i="1"/>
  <c r="AL141" i="1"/>
  <c r="AR141" i="1" s="1"/>
  <c r="AY118" i="1"/>
  <c r="AR118" i="1"/>
  <c r="AL118" i="1"/>
  <c r="AY72" i="1"/>
  <c r="AL72" i="1"/>
  <c r="AR72" i="1" s="1"/>
  <c r="AY117" i="1"/>
  <c r="AL117" i="1"/>
  <c r="AR117" i="1" s="1"/>
  <c r="AY68" i="1"/>
  <c r="AL68" i="1"/>
  <c r="AR68" i="1" s="1"/>
  <c r="AY135" i="1"/>
  <c r="AL135" i="1"/>
  <c r="AR135" i="1" s="1"/>
  <c r="AY105" i="1"/>
  <c r="AL105" i="1"/>
  <c r="AR105" i="1" s="1"/>
  <c r="AY108" i="1"/>
  <c r="AR108" i="1"/>
  <c r="AL108" i="1"/>
  <c r="AY116" i="1"/>
  <c r="AL116" i="1"/>
  <c r="AR116" i="1" s="1"/>
  <c r="AY155" i="1"/>
  <c r="AL155" i="1"/>
  <c r="AR155" i="1" s="1"/>
  <c r="AY121" i="1"/>
  <c r="AL121" i="1"/>
  <c r="AR121" i="1" s="1"/>
  <c r="AY146" i="1"/>
  <c r="AL146" i="1"/>
  <c r="AR146" i="1" s="1"/>
  <c r="J80" i="5"/>
  <c r="AD156" i="1"/>
  <c r="AD153" i="1"/>
  <c r="AD151" i="1"/>
  <c r="AD149" i="1"/>
  <c r="AD145" i="1"/>
  <c r="AD139" i="1"/>
  <c r="AD131" i="1"/>
  <c r="AD130" i="1"/>
  <c r="AD125" i="1"/>
  <c r="AD124" i="1"/>
  <c r="AD106" i="1"/>
  <c r="AD92" i="1"/>
  <c r="AD99" i="1"/>
  <c r="AD95" i="1"/>
  <c r="AD93" i="1"/>
  <c r="AD91" i="1"/>
  <c r="AD88" i="1"/>
  <c r="AD107" i="1"/>
  <c r="AD102" i="1"/>
  <c r="AD129" i="1"/>
  <c r="AD128" i="1"/>
  <c r="AD126" i="1"/>
  <c r="AD123" i="1"/>
  <c r="AD82" i="1"/>
  <c r="AD80" i="1"/>
  <c r="AD78" i="1"/>
  <c r="AD75" i="1"/>
  <c r="AD73" i="1"/>
  <c r="AD71" i="1"/>
  <c r="AD70" i="1"/>
  <c r="AD74" i="1"/>
  <c r="AD67" i="1"/>
  <c r="AD62" i="1"/>
  <c r="AD49" i="1"/>
  <c r="AD60" i="1"/>
  <c r="AD137" i="1"/>
  <c r="AD136" i="1"/>
  <c r="AD134" i="1"/>
  <c r="AD133" i="1"/>
  <c r="AD45" i="1"/>
  <c r="AD35" i="1"/>
  <c r="AD33" i="1"/>
  <c r="AD31" i="1"/>
  <c r="AD26" i="1"/>
  <c r="AD23" i="1"/>
  <c r="AD20" i="1"/>
  <c r="AD22" i="1"/>
  <c r="AD15" i="1"/>
  <c r="AD13" i="1"/>
  <c r="AD11" i="1"/>
  <c r="AD8" i="1"/>
  <c r="AD6" i="1"/>
  <c r="AD29" i="1"/>
  <c r="AD17" i="1"/>
  <c r="AD122" i="1"/>
  <c r="AD120" i="1"/>
  <c r="AD112" i="1"/>
  <c r="AD111" i="1"/>
  <c r="AD110" i="1"/>
  <c r="AD109" i="1"/>
  <c r="AD104" i="1"/>
  <c r="AD114" i="1"/>
  <c r="AD113" i="1"/>
  <c r="AD83" i="1"/>
  <c r="AD89" i="1"/>
  <c r="AD86" i="1"/>
  <c r="AD84" i="1"/>
  <c r="AD61" i="1"/>
  <c r="AD55" i="1"/>
  <c r="AD100" i="1"/>
  <c r="AD97" i="1"/>
  <c r="AD51" i="1"/>
  <c r="AD50" i="1"/>
  <c r="AD44" i="1"/>
  <c r="AD40" i="1"/>
  <c r="AD37" i="1"/>
  <c r="AJ82" i="1"/>
  <c r="AJ105" i="1"/>
  <c r="AX105" i="1" s="1"/>
  <c r="AJ132" i="1"/>
  <c r="AX132" i="1" s="1"/>
  <c r="AJ107" i="1"/>
  <c r="AJ102" i="1"/>
  <c r="AJ95" i="1"/>
  <c r="AJ93" i="1"/>
  <c r="AJ100" i="1"/>
  <c r="AJ97" i="1"/>
  <c r="AJ78" i="1"/>
  <c r="AJ74" i="1"/>
  <c r="AJ76" i="1"/>
  <c r="AX76" i="1" s="1"/>
  <c r="AJ72" i="1"/>
  <c r="AW72" i="1" s="1"/>
  <c r="AJ73" i="1"/>
  <c r="AJ51" i="1"/>
  <c r="AJ50" i="1"/>
  <c r="AJ49" i="1"/>
  <c r="AJ45" i="1"/>
  <c r="AJ44" i="1"/>
  <c r="AJ61" i="1"/>
  <c r="AJ55" i="1"/>
  <c r="AJ40" i="1"/>
  <c r="AJ37" i="1"/>
  <c r="AJ146" i="1"/>
  <c r="AX146" i="1" s="1"/>
  <c r="AJ142" i="1"/>
  <c r="AX142" i="1" s="1"/>
  <c r="AJ129" i="1"/>
  <c r="AJ128" i="1"/>
  <c r="AJ121" i="1"/>
  <c r="AX121" i="1" s="1"/>
  <c r="AJ120" i="1"/>
  <c r="AJ118" i="1"/>
  <c r="AX118" i="1" s="1"/>
  <c r="AJ111" i="1"/>
  <c r="AJ108" i="1"/>
  <c r="AX108" i="1" s="1"/>
  <c r="AJ125" i="1"/>
  <c r="AJ136" i="1"/>
  <c r="AJ135" i="1"/>
  <c r="AX135" i="1" s="1"/>
  <c r="AJ134" i="1"/>
  <c r="AJ68" i="1"/>
  <c r="AX68" i="1" s="1"/>
  <c r="AJ67" i="1"/>
  <c r="AJ75" i="1"/>
  <c r="AJ155" i="1"/>
  <c r="AX155" i="1" s="1"/>
  <c r="AJ148" i="1"/>
  <c r="AX148" i="1" s="1"/>
  <c r="AJ147" i="1"/>
  <c r="AX147" i="1" s="1"/>
  <c r="AJ71" i="1"/>
  <c r="AJ70" i="1"/>
  <c r="AJ141" i="1"/>
  <c r="AX141" i="1" s="1"/>
  <c r="AJ62" i="1"/>
  <c r="AJ127" i="1"/>
  <c r="AJ126" i="1"/>
  <c r="AJ123" i="1"/>
  <c r="AJ80" i="1"/>
  <c r="AJ65" i="1"/>
  <c r="AJ64" i="1"/>
  <c r="AJ63" i="1"/>
  <c r="AJ124" i="1"/>
  <c r="AJ81" i="1"/>
  <c r="AJ92" i="1"/>
  <c r="AJ98" i="1"/>
  <c r="AJ106" i="1"/>
  <c r="AJ99" i="1"/>
  <c r="AJ91" i="1"/>
  <c r="AJ88" i="1"/>
  <c r="AJ79" i="1"/>
  <c r="AJ139" i="1"/>
  <c r="AJ60" i="1"/>
  <c r="AJ56" i="1"/>
  <c r="AJ66" i="1"/>
  <c r="AJ69" i="1"/>
  <c r="AJ77" i="1"/>
  <c r="AJ138" i="1"/>
  <c r="AJ137" i="1"/>
  <c r="AJ133" i="1"/>
  <c r="AJ87" i="1"/>
  <c r="AJ85" i="1"/>
  <c r="AJ156" i="1"/>
  <c r="AJ153" i="1"/>
  <c r="AJ149" i="1"/>
  <c r="AJ131" i="1"/>
  <c r="AJ130" i="1"/>
  <c r="AJ122" i="1"/>
  <c r="AJ117" i="1"/>
  <c r="AX117" i="1" s="1"/>
  <c r="AJ116" i="1"/>
  <c r="AX116" i="1" s="1"/>
  <c r="AJ112" i="1"/>
  <c r="AJ110" i="1"/>
  <c r="AJ109" i="1"/>
  <c r="AJ104" i="1"/>
  <c r="AJ151" i="1"/>
  <c r="AJ58" i="1"/>
  <c r="AJ57" i="1"/>
  <c r="AJ54" i="1"/>
  <c r="AJ53" i="1"/>
  <c r="AJ47" i="1"/>
  <c r="AJ42" i="1"/>
  <c r="AJ41" i="1"/>
  <c r="AJ39" i="1"/>
  <c r="AJ38" i="1"/>
  <c r="AJ59" i="1"/>
  <c r="AJ52" i="1"/>
  <c r="AJ48" i="1"/>
  <c r="AJ46" i="1"/>
  <c r="AJ43" i="1"/>
  <c r="AJ119" i="1"/>
  <c r="AJ115" i="1"/>
  <c r="AJ103" i="1"/>
  <c r="AJ101" i="1"/>
  <c r="AJ94" i="1"/>
  <c r="AJ90" i="1"/>
  <c r="AJ36" i="1"/>
  <c r="AJ34" i="1"/>
  <c r="AJ32" i="1"/>
  <c r="AJ30" i="1"/>
  <c r="AJ28" i="1"/>
  <c r="AJ27" i="1"/>
  <c r="AJ25" i="1"/>
  <c r="AJ24" i="1"/>
  <c r="AJ21" i="1"/>
  <c r="AJ19" i="1"/>
  <c r="AJ18" i="1"/>
  <c r="AJ16" i="1"/>
  <c r="AJ12" i="1"/>
  <c r="AJ10" i="1"/>
  <c r="AJ9" i="1"/>
  <c r="AJ7" i="1"/>
  <c r="AD119" i="1"/>
  <c r="AD90" i="1"/>
  <c r="AD103" i="1"/>
  <c r="AD115" i="1"/>
  <c r="AD101" i="1"/>
  <c r="AD94" i="1"/>
  <c r="AD77" i="1"/>
  <c r="AD64" i="1"/>
  <c r="AD65" i="1"/>
  <c r="AD63" i="1"/>
  <c r="AJ154" i="1"/>
  <c r="AJ152" i="1"/>
  <c r="AJ150" i="1"/>
  <c r="AJ144" i="1"/>
  <c r="AJ143" i="1"/>
  <c r="AJ140" i="1"/>
  <c r="AD152" i="1"/>
  <c r="AD150" i="1"/>
  <c r="AD144" i="1"/>
  <c r="AD143" i="1"/>
  <c r="AD140" i="1"/>
  <c r="AD54" i="1"/>
  <c r="AD53" i="1"/>
  <c r="AD58" i="1"/>
  <c r="AD57" i="1"/>
  <c r="AD47" i="1"/>
  <c r="AD42" i="1"/>
  <c r="AD41" i="1"/>
  <c r="AD39" i="1"/>
  <c r="AD38" i="1"/>
  <c r="AD59" i="1"/>
  <c r="AD52" i="1"/>
  <c r="AD48" i="1"/>
  <c r="AD46" i="1"/>
  <c r="AD43" i="1"/>
  <c r="AD32" i="1"/>
  <c r="AD28" i="1"/>
  <c r="AD27" i="1"/>
  <c r="AD30" i="1"/>
  <c r="AD18" i="1"/>
  <c r="AD7" i="1"/>
  <c r="AD36" i="1"/>
  <c r="AD34" i="1"/>
  <c r="AD16" i="1"/>
  <c r="AD24" i="1"/>
  <c r="AD25" i="1"/>
  <c r="AD21" i="1"/>
  <c r="AD19" i="1"/>
  <c r="AD12" i="1"/>
  <c r="AD10" i="1"/>
  <c r="AD9" i="1"/>
  <c r="AD14" i="1"/>
  <c r="AD5" i="1"/>
  <c r="AD4" i="1"/>
  <c r="AJ14" i="1"/>
  <c r="AJ5" i="1"/>
  <c r="AX21" i="1" l="1"/>
  <c r="AW21" i="1"/>
  <c r="AX36" i="1"/>
  <c r="AW36" i="1"/>
  <c r="AX46" i="1"/>
  <c r="AW46" i="1"/>
  <c r="AX47" i="1"/>
  <c r="AW47" i="1"/>
  <c r="AX110" i="1"/>
  <c r="AW110" i="1"/>
  <c r="AX153" i="1"/>
  <c r="AW153" i="1"/>
  <c r="AX69" i="1"/>
  <c r="AW69" i="1"/>
  <c r="AX99" i="1"/>
  <c r="AW99" i="1"/>
  <c r="AX65" i="1"/>
  <c r="AW65" i="1"/>
  <c r="AX71" i="1"/>
  <c r="AW71" i="1"/>
  <c r="AX128" i="1"/>
  <c r="AW128" i="1"/>
  <c r="AX44" i="1"/>
  <c r="AW44" i="1"/>
  <c r="AX74" i="1"/>
  <c r="AW74" i="1"/>
  <c r="AX72" i="1"/>
  <c r="AW141" i="1"/>
  <c r="AW132" i="1"/>
  <c r="AX5" i="1"/>
  <c r="AW5" i="1"/>
  <c r="AX140" i="1"/>
  <c r="AW140" i="1"/>
  <c r="AX7" i="1"/>
  <c r="AW7" i="1"/>
  <c r="AX24" i="1"/>
  <c r="AW24" i="1"/>
  <c r="AX90" i="1"/>
  <c r="AW90" i="1"/>
  <c r="AX48" i="1"/>
  <c r="AW48" i="1"/>
  <c r="AX53" i="1"/>
  <c r="AW53" i="1"/>
  <c r="AX112" i="1"/>
  <c r="AW112" i="1"/>
  <c r="AX156" i="1"/>
  <c r="AW156" i="1"/>
  <c r="AX66" i="1"/>
  <c r="AW66" i="1"/>
  <c r="AX106" i="1"/>
  <c r="AW106" i="1"/>
  <c r="AX80" i="1"/>
  <c r="AW80" i="1"/>
  <c r="AX136" i="1"/>
  <c r="AW136" i="1"/>
  <c r="AX129" i="1"/>
  <c r="AW129" i="1"/>
  <c r="AX45" i="1"/>
  <c r="AW45" i="1"/>
  <c r="AX78" i="1"/>
  <c r="AW78" i="1"/>
  <c r="AW155" i="1"/>
  <c r="AX14" i="1"/>
  <c r="AW14" i="1"/>
  <c r="AX143" i="1"/>
  <c r="AW143" i="1"/>
  <c r="AX9" i="1"/>
  <c r="AW9" i="1"/>
  <c r="AX25" i="1"/>
  <c r="AW25" i="1"/>
  <c r="AX94" i="1"/>
  <c r="AW94" i="1"/>
  <c r="AX52" i="1"/>
  <c r="AW52" i="1"/>
  <c r="AX54" i="1"/>
  <c r="AW54" i="1"/>
  <c r="AX85" i="1"/>
  <c r="AW85" i="1"/>
  <c r="AX56" i="1"/>
  <c r="AW56" i="1"/>
  <c r="AX98" i="1"/>
  <c r="AW98" i="1"/>
  <c r="AX123" i="1"/>
  <c r="AW123" i="1"/>
  <c r="AX125" i="1"/>
  <c r="AW125" i="1"/>
  <c r="AX49" i="1"/>
  <c r="AW49" i="1"/>
  <c r="AX97" i="1"/>
  <c r="AW97" i="1"/>
  <c r="AX82" i="1"/>
  <c r="AW82" i="1"/>
  <c r="AW146" i="1"/>
  <c r="AW108" i="1"/>
  <c r="AW135" i="1"/>
  <c r="AW117" i="1"/>
  <c r="AW142" i="1"/>
  <c r="AX144" i="1"/>
  <c r="AW144" i="1"/>
  <c r="AX10" i="1"/>
  <c r="AW10" i="1"/>
  <c r="AX27" i="1"/>
  <c r="AW27" i="1"/>
  <c r="AX101" i="1"/>
  <c r="AW101" i="1"/>
  <c r="AX59" i="1"/>
  <c r="AW59" i="1"/>
  <c r="AX57" i="1"/>
  <c r="AW57" i="1"/>
  <c r="AX87" i="1"/>
  <c r="AW87" i="1"/>
  <c r="AX60" i="1"/>
  <c r="AW60" i="1"/>
  <c r="AX92" i="1"/>
  <c r="AW92" i="1"/>
  <c r="AX126" i="1"/>
  <c r="AW126" i="1"/>
  <c r="AX50" i="1"/>
  <c r="AW50" i="1"/>
  <c r="AX100" i="1"/>
  <c r="AW100" i="1"/>
  <c r="AX150" i="1"/>
  <c r="AW150" i="1"/>
  <c r="AX12" i="1"/>
  <c r="AW12" i="1"/>
  <c r="AX28" i="1"/>
  <c r="AW28" i="1"/>
  <c r="AX103" i="1"/>
  <c r="AW103" i="1"/>
  <c r="AX38" i="1"/>
  <c r="AW38" i="1"/>
  <c r="AX58" i="1"/>
  <c r="AW58" i="1"/>
  <c r="AX122" i="1"/>
  <c r="AW122" i="1"/>
  <c r="AX133" i="1"/>
  <c r="AW133" i="1"/>
  <c r="AX139" i="1"/>
  <c r="AW139" i="1"/>
  <c r="AX81" i="1"/>
  <c r="AW81" i="1"/>
  <c r="AX127" i="1"/>
  <c r="AW127" i="1"/>
  <c r="AX75" i="1"/>
  <c r="AW75" i="1"/>
  <c r="AX111" i="1"/>
  <c r="AW111" i="1"/>
  <c r="AX37" i="1"/>
  <c r="AW37" i="1"/>
  <c r="AX51" i="1"/>
  <c r="AW51" i="1"/>
  <c r="AX93" i="1"/>
  <c r="AW93" i="1"/>
  <c r="AW148" i="1"/>
  <c r="AX152" i="1"/>
  <c r="AW152" i="1"/>
  <c r="AX16" i="1"/>
  <c r="AW16" i="1"/>
  <c r="AX30" i="1"/>
  <c r="AW30" i="1"/>
  <c r="AX115" i="1"/>
  <c r="AW115" i="1"/>
  <c r="AX39" i="1"/>
  <c r="AW39" i="1"/>
  <c r="AX151" i="1"/>
  <c r="AW151" i="1"/>
  <c r="AX130" i="1"/>
  <c r="AW130" i="1"/>
  <c r="AX137" i="1"/>
  <c r="AW137" i="1"/>
  <c r="AX79" i="1"/>
  <c r="AW79" i="1"/>
  <c r="AX124" i="1"/>
  <c r="AW124" i="1"/>
  <c r="AX62" i="1"/>
  <c r="AW62" i="1"/>
  <c r="AX67" i="1"/>
  <c r="AW67" i="1"/>
  <c r="AX40" i="1"/>
  <c r="AW40" i="1"/>
  <c r="AX73" i="1"/>
  <c r="AW73" i="1"/>
  <c r="AX95" i="1"/>
  <c r="AW95" i="1"/>
  <c r="AW121" i="1"/>
  <c r="AW116" i="1"/>
  <c r="AW118" i="1"/>
  <c r="AW76" i="1"/>
  <c r="AW147" i="1"/>
  <c r="AX154" i="1"/>
  <c r="AW154" i="1"/>
  <c r="AX18" i="1"/>
  <c r="AW18" i="1"/>
  <c r="AX32" i="1"/>
  <c r="AW32" i="1"/>
  <c r="AX119" i="1"/>
  <c r="AW119" i="1"/>
  <c r="AV119" i="1"/>
  <c r="AX41" i="1"/>
  <c r="AW41" i="1"/>
  <c r="AX104" i="1"/>
  <c r="AW104" i="1"/>
  <c r="AX131" i="1"/>
  <c r="AW131" i="1"/>
  <c r="AX138" i="1"/>
  <c r="AW138" i="1"/>
  <c r="AX88" i="1"/>
  <c r="AW88" i="1"/>
  <c r="AX63" i="1"/>
  <c r="AW63" i="1"/>
  <c r="AX120" i="1"/>
  <c r="AW120" i="1"/>
  <c r="AX55" i="1"/>
  <c r="AW55" i="1"/>
  <c r="AX102" i="1"/>
  <c r="AW102" i="1"/>
  <c r="AW105" i="1"/>
  <c r="AW68" i="1"/>
  <c r="AX19" i="1"/>
  <c r="AW19" i="1"/>
  <c r="AX34" i="1"/>
  <c r="AW34" i="1"/>
  <c r="AX43" i="1"/>
  <c r="AW43" i="1"/>
  <c r="AX42" i="1"/>
  <c r="AW42" i="1"/>
  <c r="AX109" i="1"/>
  <c r="AW109" i="1"/>
  <c r="AX149" i="1"/>
  <c r="AW149" i="1"/>
  <c r="AX77" i="1"/>
  <c r="AW77" i="1"/>
  <c r="AX91" i="1"/>
  <c r="AW91" i="1"/>
  <c r="AX64" i="1"/>
  <c r="AW64" i="1"/>
  <c r="AX70" i="1"/>
  <c r="AW70" i="1"/>
  <c r="AX134" i="1"/>
  <c r="AW134" i="1"/>
  <c r="AX61" i="1"/>
  <c r="AW61" i="1"/>
  <c r="AX107" i="1"/>
  <c r="AW107" i="1"/>
  <c r="AK107" i="1"/>
  <c r="AQ107" i="1"/>
  <c r="AP107" i="1"/>
  <c r="AM107" i="1"/>
  <c r="AI104" i="1"/>
  <c r="EW104" i="1" s="1"/>
  <c r="EX104" i="1" s="1"/>
  <c r="EY104" i="1" s="1"/>
  <c r="EZ104" i="1" s="1"/>
  <c r="FA104" i="1" s="1"/>
  <c r="FB104" i="1" s="1"/>
  <c r="FC104" i="1" s="1"/>
  <c r="FD104" i="1" s="1"/>
  <c r="FE104" i="1" s="1"/>
  <c r="FF104" i="1" s="1"/>
  <c r="FG104" i="1" s="1"/>
  <c r="FH104" i="1" s="1"/>
  <c r="FI104" i="1" s="1"/>
  <c r="FJ104" i="1" s="1"/>
  <c r="FK104" i="1" s="1"/>
  <c r="FL104" i="1" s="1"/>
  <c r="FM104" i="1" s="1"/>
  <c r="FN104" i="1" s="1"/>
  <c r="FO104" i="1" s="1"/>
  <c r="FP104" i="1" s="1"/>
  <c r="FQ104" i="1" s="1"/>
  <c r="FR104" i="1" s="1"/>
  <c r="FS104" i="1" s="1"/>
  <c r="FT104" i="1" s="1"/>
  <c r="FU104" i="1" s="1"/>
  <c r="FV104" i="1" s="1"/>
  <c r="FW104" i="1" s="1"/>
  <c r="FX104" i="1" s="1"/>
  <c r="FY104" i="1" s="1"/>
  <c r="FZ104" i="1" s="1"/>
  <c r="GA104" i="1" s="1"/>
  <c r="GB104" i="1" s="1"/>
  <c r="GC104" i="1" s="1"/>
  <c r="GD104" i="1" s="1"/>
  <c r="GE104" i="1" s="1"/>
  <c r="GF104" i="1" s="1"/>
  <c r="GG104" i="1" s="1"/>
  <c r="GH104" i="1" s="1"/>
  <c r="GI104" i="1" s="1"/>
  <c r="GJ104" i="1" s="1"/>
  <c r="GK104" i="1" s="1"/>
  <c r="GL104" i="1" s="1"/>
  <c r="GM104" i="1" s="1"/>
  <c r="GN104" i="1" s="1"/>
  <c r="GO104" i="1" s="1"/>
  <c r="GP104" i="1" s="1"/>
  <c r="GQ104" i="1" s="1"/>
  <c r="GR104" i="1" s="1"/>
  <c r="GS104" i="1" s="1"/>
  <c r="GT104" i="1" s="1"/>
  <c r="GU104" i="1" s="1"/>
  <c r="GV104" i="1" s="1"/>
  <c r="GW104" i="1" s="1"/>
  <c r="GX104" i="1" s="1"/>
  <c r="GY104" i="1" s="1"/>
  <c r="GZ104" i="1" s="1"/>
  <c r="HA104" i="1" s="1"/>
  <c r="HB104" i="1" s="1"/>
  <c r="HC104" i="1" s="1"/>
  <c r="HD104" i="1" s="1"/>
  <c r="HE104" i="1" s="1"/>
  <c r="HF104" i="1" s="1"/>
  <c r="HG104" i="1" s="1"/>
  <c r="HH104" i="1" s="1"/>
  <c r="HI104" i="1" s="1"/>
  <c r="HJ104" i="1" s="1"/>
  <c r="HK104" i="1" s="1"/>
  <c r="HL104" i="1" s="1"/>
  <c r="HM104" i="1" s="1"/>
  <c r="HN104" i="1" s="1"/>
  <c r="HO104" i="1" s="1"/>
  <c r="HP104" i="1" s="1"/>
  <c r="HQ104" i="1" s="1"/>
  <c r="HR104" i="1" s="1"/>
  <c r="HS104" i="1" s="1"/>
  <c r="HT104" i="1" s="1"/>
  <c r="HU104" i="1" s="1"/>
  <c r="HV104" i="1" s="1"/>
  <c r="HW104" i="1" s="1"/>
  <c r="HX104" i="1" s="1"/>
  <c r="HY104" i="1" s="1"/>
  <c r="HZ104" i="1" s="1"/>
  <c r="IA104" i="1" s="1"/>
  <c r="IB104" i="1" s="1"/>
  <c r="IC104" i="1" s="1"/>
  <c r="ID104" i="1" s="1"/>
  <c r="IE104" i="1" s="1"/>
  <c r="IF104" i="1" s="1"/>
  <c r="IG104" i="1" s="1"/>
  <c r="IH104" i="1" s="1"/>
  <c r="II104" i="1" s="1"/>
  <c r="IJ104" i="1" s="1"/>
  <c r="IK104" i="1" s="1"/>
  <c r="IL104" i="1" s="1"/>
  <c r="IM104" i="1" s="1"/>
  <c r="IN104" i="1" s="1"/>
  <c r="IO104" i="1" s="1"/>
  <c r="IP104" i="1" s="1"/>
  <c r="IQ104" i="1" s="1"/>
  <c r="IR104" i="1" s="1"/>
  <c r="AQ104" i="1"/>
  <c r="AK104" i="1"/>
  <c r="AP104" i="1"/>
  <c r="AM104" i="1"/>
  <c r="AI63" i="1"/>
  <c r="AV63" i="1" s="1"/>
  <c r="AK63" i="1"/>
  <c r="AM63" i="1"/>
  <c r="AQ63" i="1"/>
  <c r="AP63" i="1"/>
  <c r="AI68" i="1"/>
  <c r="EW68" i="1" s="1"/>
  <c r="EX68" i="1" s="1"/>
  <c r="EY68" i="1" s="1"/>
  <c r="EZ68" i="1" s="1"/>
  <c r="FA68" i="1" s="1"/>
  <c r="FB68" i="1" s="1"/>
  <c r="FC68" i="1" s="1"/>
  <c r="FD68" i="1" s="1"/>
  <c r="FE68" i="1" s="1"/>
  <c r="FF68" i="1" s="1"/>
  <c r="FG68" i="1" s="1"/>
  <c r="FH68" i="1" s="1"/>
  <c r="FI68" i="1" s="1"/>
  <c r="FJ68" i="1" s="1"/>
  <c r="FK68" i="1" s="1"/>
  <c r="FL68" i="1" s="1"/>
  <c r="FM68" i="1" s="1"/>
  <c r="FN68" i="1" s="1"/>
  <c r="FO68" i="1" s="1"/>
  <c r="FP68" i="1" s="1"/>
  <c r="FQ68" i="1" s="1"/>
  <c r="FR68" i="1" s="1"/>
  <c r="FS68" i="1" s="1"/>
  <c r="FT68" i="1" s="1"/>
  <c r="FU68" i="1" s="1"/>
  <c r="FV68" i="1" s="1"/>
  <c r="FW68" i="1" s="1"/>
  <c r="FX68" i="1" s="1"/>
  <c r="FY68" i="1" s="1"/>
  <c r="FZ68" i="1" s="1"/>
  <c r="GA68" i="1" s="1"/>
  <c r="GB68" i="1" s="1"/>
  <c r="GC68" i="1" s="1"/>
  <c r="GD68" i="1" s="1"/>
  <c r="GE68" i="1" s="1"/>
  <c r="GF68" i="1" s="1"/>
  <c r="GG68" i="1" s="1"/>
  <c r="GH68" i="1" s="1"/>
  <c r="GI68" i="1" s="1"/>
  <c r="GJ68" i="1" s="1"/>
  <c r="GK68" i="1" s="1"/>
  <c r="GL68" i="1" s="1"/>
  <c r="GM68" i="1" s="1"/>
  <c r="GN68" i="1" s="1"/>
  <c r="GO68" i="1" s="1"/>
  <c r="GP68" i="1" s="1"/>
  <c r="GQ68" i="1" s="1"/>
  <c r="GR68" i="1" s="1"/>
  <c r="GS68" i="1" s="1"/>
  <c r="GT68" i="1" s="1"/>
  <c r="GU68" i="1" s="1"/>
  <c r="GV68" i="1" s="1"/>
  <c r="GW68" i="1" s="1"/>
  <c r="GX68" i="1" s="1"/>
  <c r="GY68" i="1" s="1"/>
  <c r="GZ68" i="1" s="1"/>
  <c r="HA68" i="1" s="1"/>
  <c r="HB68" i="1" s="1"/>
  <c r="HC68" i="1" s="1"/>
  <c r="HD68" i="1" s="1"/>
  <c r="HE68" i="1" s="1"/>
  <c r="HF68" i="1" s="1"/>
  <c r="HG68" i="1" s="1"/>
  <c r="HH68" i="1" s="1"/>
  <c r="HI68" i="1" s="1"/>
  <c r="HJ68" i="1" s="1"/>
  <c r="HK68" i="1" s="1"/>
  <c r="HL68" i="1" s="1"/>
  <c r="HM68" i="1" s="1"/>
  <c r="HN68" i="1" s="1"/>
  <c r="HO68" i="1" s="1"/>
  <c r="HP68" i="1" s="1"/>
  <c r="HQ68" i="1" s="1"/>
  <c r="HR68" i="1" s="1"/>
  <c r="HS68" i="1" s="1"/>
  <c r="HT68" i="1" s="1"/>
  <c r="HU68" i="1" s="1"/>
  <c r="HV68" i="1" s="1"/>
  <c r="HW68" i="1" s="1"/>
  <c r="HX68" i="1" s="1"/>
  <c r="HY68" i="1" s="1"/>
  <c r="HZ68" i="1" s="1"/>
  <c r="IA68" i="1" s="1"/>
  <c r="IB68" i="1" s="1"/>
  <c r="IC68" i="1" s="1"/>
  <c r="ID68" i="1" s="1"/>
  <c r="IE68" i="1" s="1"/>
  <c r="IF68" i="1" s="1"/>
  <c r="IG68" i="1" s="1"/>
  <c r="IH68" i="1" s="1"/>
  <c r="II68" i="1" s="1"/>
  <c r="IJ68" i="1" s="1"/>
  <c r="IK68" i="1" s="1"/>
  <c r="IL68" i="1" s="1"/>
  <c r="IM68" i="1" s="1"/>
  <c r="IN68" i="1" s="1"/>
  <c r="IO68" i="1" s="1"/>
  <c r="IP68" i="1" s="1"/>
  <c r="IQ68" i="1" s="1"/>
  <c r="IR68" i="1" s="1"/>
  <c r="AK68" i="1"/>
  <c r="AQ68" i="1"/>
  <c r="AP68" i="1"/>
  <c r="AM68" i="1"/>
  <c r="AI55" i="1"/>
  <c r="AQ55" i="1"/>
  <c r="AM55" i="1"/>
  <c r="AK55" i="1"/>
  <c r="AP55" i="1"/>
  <c r="AQ102" i="1"/>
  <c r="AK102" i="1"/>
  <c r="AP102" i="1"/>
  <c r="AM102" i="1"/>
  <c r="AO119" i="1"/>
  <c r="AQ119" i="1"/>
  <c r="AM119" i="1"/>
  <c r="AK119" i="1"/>
  <c r="AP119" i="1"/>
  <c r="AI151" i="1"/>
  <c r="EW151" i="1" s="1"/>
  <c r="EX151" i="1" s="1"/>
  <c r="EY151" i="1" s="1"/>
  <c r="EZ151" i="1" s="1"/>
  <c r="FA151" i="1" s="1"/>
  <c r="FB151" i="1" s="1"/>
  <c r="FC151" i="1" s="1"/>
  <c r="FD151" i="1" s="1"/>
  <c r="FE151" i="1" s="1"/>
  <c r="FF151" i="1" s="1"/>
  <c r="FG151" i="1" s="1"/>
  <c r="FH151" i="1" s="1"/>
  <c r="FI151" i="1" s="1"/>
  <c r="FJ151" i="1" s="1"/>
  <c r="FK151" i="1" s="1"/>
  <c r="FL151" i="1" s="1"/>
  <c r="FM151" i="1" s="1"/>
  <c r="FN151" i="1" s="1"/>
  <c r="FO151" i="1" s="1"/>
  <c r="FP151" i="1" s="1"/>
  <c r="FQ151" i="1" s="1"/>
  <c r="FR151" i="1" s="1"/>
  <c r="FS151" i="1" s="1"/>
  <c r="FT151" i="1" s="1"/>
  <c r="FU151" i="1" s="1"/>
  <c r="FV151" i="1" s="1"/>
  <c r="FW151" i="1" s="1"/>
  <c r="FX151" i="1" s="1"/>
  <c r="FY151" i="1" s="1"/>
  <c r="FZ151" i="1" s="1"/>
  <c r="GA151" i="1" s="1"/>
  <c r="GB151" i="1" s="1"/>
  <c r="GC151" i="1" s="1"/>
  <c r="GD151" i="1" s="1"/>
  <c r="GE151" i="1" s="1"/>
  <c r="GF151" i="1" s="1"/>
  <c r="GG151" i="1" s="1"/>
  <c r="GH151" i="1" s="1"/>
  <c r="GI151" i="1" s="1"/>
  <c r="GJ151" i="1" s="1"/>
  <c r="GK151" i="1" s="1"/>
  <c r="GL151" i="1" s="1"/>
  <c r="GM151" i="1" s="1"/>
  <c r="GN151" i="1" s="1"/>
  <c r="GO151" i="1" s="1"/>
  <c r="GP151" i="1" s="1"/>
  <c r="GQ151" i="1" s="1"/>
  <c r="GR151" i="1" s="1"/>
  <c r="GS151" i="1" s="1"/>
  <c r="GT151" i="1" s="1"/>
  <c r="GU151" i="1" s="1"/>
  <c r="GV151" i="1" s="1"/>
  <c r="GW151" i="1" s="1"/>
  <c r="GX151" i="1" s="1"/>
  <c r="GY151" i="1" s="1"/>
  <c r="GZ151" i="1" s="1"/>
  <c r="HA151" i="1" s="1"/>
  <c r="HB151" i="1" s="1"/>
  <c r="HC151" i="1" s="1"/>
  <c r="HD151" i="1" s="1"/>
  <c r="HE151" i="1" s="1"/>
  <c r="HF151" i="1" s="1"/>
  <c r="HG151" i="1" s="1"/>
  <c r="HH151" i="1" s="1"/>
  <c r="HI151" i="1" s="1"/>
  <c r="HJ151" i="1" s="1"/>
  <c r="HK151" i="1" s="1"/>
  <c r="HL151" i="1" s="1"/>
  <c r="HM151" i="1" s="1"/>
  <c r="HN151" i="1" s="1"/>
  <c r="HO151" i="1" s="1"/>
  <c r="HP151" i="1" s="1"/>
  <c r="HQ151" i="1" s="1"/>
  <c r="HR151" i="1" s="1"/>
  <c r="HS151" i="1" s="1"/>
  <c r="HT151" i="1" s="1"/>
  <c r="HU151" i="1" s="1"/>
  <c r="HV151" i="1" s="1"/>
  <c r="HW151" i="1" s="1"/>
  <c r="HX151" i="1" s="1"/>
  <c r="HY151" i="1" s="1"/>
  <c r="HZ151" i="1" s="1"/>
  <c r="IA151" i="1" s="1"/>
  <c r="IB151" i="1" s="1"/>
  <c r="IC151" i="1" s="1"/>
  <c r="ID151" i="1" s="1"/>
  <c r="IE151" i="1" s="1"/>
  <c r="IF151" i="1" s="1"/>
  <c r="IG151" i="1" s="1"/>
  <c r="IH151" i="1" s="1"/>
  <c r="II151" i="1" s="1"/>
  <c r="IJ151" i="1" s="1"/>
  <c r="IK151" i="1" s="1"/>
  <c r="IL151" i="1" s="1"/>
  <c r="IM151" i="1" s="1"/>
  <c r="IN151" i="1" s="1"/>
  <c r="IO151" i="1" s="1"/>
  <c r="IP151" i="1" s="1"/>
  <c r="IQ151" i="1" s="1"/>
  <c r="IR151" i="1" s="1"/>
  <c r="AQ151" i="1"/>
  <c r="AM151" i="1"/>
  <c r="AK151" i="1"/>
  <c r="AP151" i="1"/>
  <c r="AI81" i="1"/>
  <c r="AV81" i="1" s="1"/>
  <c r="AK81" i="1"/>
  <c r="AQ81" i="1"/>
  <c r="AM81" i="1"/>
  <c r="AP81" i="1"/>
  <c r="AM37" i="1"/>
  <c r="AQ37" i="1"/>
  <c r="AK37" i="1"/>
  <c r="AP37" i="1"/>
  <c r="AQ93" i="1"/>
  <c r="AK93" i="1"/>
  <c r="AM93" i="1"/>
  <c r="AP93" i="1"/>
  <c r="AQ109" i="1"/>
  <c r="AK109" i="1"/>
  <c r="AM109" i="1"/>
  <c r="AP109" i="1"/>
  <c r="AI101" i="1"/>
  <c r="AM101" i="1"/>
  <c r="AQ101" i="1"/>
  <c r="AK101" i="1"/>
  <c r="AP101" i="1"/>
  <c r="AI155" i="1"/>
  <c r="EW155" i="1" s="1"/>
  <c r="EX155" i="1" s="1"/>
  <c r="EY155" i="1" s="1"/>
  <c r="EZ155" i="1" s="1"/>
  <c r="FA155" i="1" s="1"/>
  <c r="FB155" i="1" s="1"/>
  <c r="FC155" i="1" s="1"/>
  <c r="FD155" i="1" s="1"/>
  <c r="FE155" i="1" s="1"/>
  <c r="FF155" i="1" s="1"/>
  <c r="FG155" i="1" s="1"/>
  <c r="FH155" i="1" s="1"/>
  <c r="FI155" i="1" s="1"/>
  <c r="FJ155" i="1" s="1"/>
  <c r="FK155" i="1" s="1"/>
  <c r="FL155" i="1" s="1"/>
  <c r="FM155" i="1" s="1"/>
  <c r="FN155" i="1" s="1"/>
  <c r="FO155" i="1" s="1"/>
  <c r="FP155" i="1" s="1"/>
  <c r="FQ155" i="1" s="1"/>
  <c r="FR155" i="1" s="1"/>
  <c r="FS155" i="1" s="1"/>
  <c r="FT155" i="1" s="1"/>
  <c r="FU155" i="1" s="1"/>
  <c r="FV155" i="1" s="1"/>
  <c r="FW155" i="1" s="1"/>
  <c r="FX155" i="1" s="1"/>
  <c r="FY155" i="1" s="1"/>
  <c r="FZ155" i="1" s="1"/>
  <c r="GA155" i="1" s="1"/>
  <c r="GB155" i="1" s="1"/>
  <c r="GC155" i="1" s="1"/>
  <c r="GD155" i="1" s="1"/>
  <c r="GE155" i="1" s="1"/>
  <c r="GF155" i="1" s="1"/>
  <c r="GG155" i="1" s="1"/>
  <c r="GH155" i="1" s="1"/>
  <c r="GI155" i="1" s="1"/>
  <c r="GJ155" i="1" s="1"/>
  <c r="GK155" i="1" s="1"/>
  <c r="GL155" i="1" s="1"/>
  <c r="GM155" i="1" s="1"/>
  <c r="GN155" i="1" s="1"/>
  <c r="GO155" i="1" s="1"/>
  <c r="GP155" i="1" s="1"/>
  <c r="GQ155" i="1" s="1"/>
  <c r="GR155" i="1" s="1"/>
  <c r="GS155" i="1" s="1"/>
  <c r="GT155" i="1" s="1"/>
  <c r="GU155" i="1" s="1"/>
  <c r="GV155" i="1" s="1"/>
  <c r="GW155" i="1" s="1"/>
  <c r="GX155" i="1" s="1"/>
  <c r="GY155" i="1" s="1"/>
  <c r="GZ155" i="1" s="1"/>
  <c r="HA155" i="1" s="1"/>
  <c r="HB155" i="1" s="1"/>
  <c r="HC155" i="1" s="1"/>
  <c r="HD155" i="1" s="1"/>
  <c r="HE155" i="1" s="1"/>
  <c r="HF155" i="1" s="1"/>
  <c r="HG155" i="1" s="1"/>
  <c r="HH155" i="1" s="1"/>
  <c r="HI155" i="1" s="1"/>
  <c r="HJ155" i="1" s="1"/>
  <c r="HK155" i="1" s="1"/>
  <c r="HL155" i="1" s="1"/>
  <c r="HM155" i="1" s="1"/>
  <c r="HN155" i="1" s="1"/>
  <c r="HO155" i="1" s="1"/>
  <c r="HP155" i="1" s="1"/>
  <c r="HQ155" i="1" s="1"/>
  <c r="HR155" i="1" s="1"/>
  <c r="HS155" i="1" s="1"/>
  <c r="HT155" i="1" s="1"/>
  <c r="HU155" i="1" s="1"/>
  <c r="HV155" i="1" s="1"/>
  <c r="HW155" i="1" s="1"/>
  <c r="HX155" i="1" s="1"/>
  <c r="HY155" i="1" s="1"/>
  <c r="HZ155" i="1" s="1"/>
  <c r="IA155" i="1" s="1"/>
  <c r="IB155" i="1" s="1"/>
  <c r="IC155" i="1" s="1"/>
  <c r="ID155" i="1" s="1"/>
  <c r="IE155" i="1" s="1"/>
  <c r="IF155" i="1" s="1"/>
  <c r="IG155" i="1" s="1"/>
  <c r="IH155" i="1" s="1"/>
  <c r="II155" i="1" s="1"/>
  <c r="IJ155" i="1" s="1"/>
  <c r="IK155" i="1" s="1"/>
  <c r="IL155" i="1" s="1"/>
  <c r="IM155" i="1" s="1"/>
  <c r="IN155" i="1" s="1"/>
  <c r="IO155" i="1" s="1"/>
  <c r="IP155" i="1" s="1"/>
  <c r="IQ155" i="1" s="1"/>
  <c r="IR155" i="1" s="1"/>
  <c r="AK155" i="1"/>
  <c r="AQ155" i="1"/>
  <c r="AP155" i="1"/>
  <c r="AM155" i="1"/>
  <c r="AI146" i="1"/>
  <c r="EW146" i="1" s="1"/>
  <c r="EX146" i="1" s="1"/>
  <c r="EY146" i="1" s="1"/>
  <c r="EZ146" i="1" s="1"/>
  <c r="FA146" i="1" s="1"/>
  <c r="FB146" i="1" s="1"/>
  <c r="FC146" i="1" s="1"/>
  <c r="FD146" i="1" s="1"/>
  <c r="FE146" i="1" s="1"/>
  <c r="FF146" i="1" s="1"/>
  <c r="FG146" i="1" s="1"/>
  <c r="FH146" i="1" s="1"/>
  <c r="FI146" i="1" s="1"/>
  <c r="FJ146" i="1" s="1"/>
  <c r="FK146" i="1" s="1"/>
  <c r="FL146" i="1" s="1"/>
  <c r="FM146" i="1" s="1"/>
  <c r="FN146" i="1" s="1"/>
  <c r="FO146" i="1" s="1"/>
  <c r="FP146" i="1" s="1"/>
  <c r="FQ146" i="1" s="1"/>
  <c r="FR146" i="1" s="1"/>
  <c r="FS146" i="1" s="1"/>
  <c r="FT146" i="1" s="1"/>
  <c r="FU146" i="1" s="1"/>
  <c r="FV146" i="1" s="1"/>
  <c r="FW146" i="1" s="1"/>
  <c r="FX146" i="1" s="1"/>
  <c r="FY146" i="1" s="1"/>
  <c r="FZ146" i="1" s="1"/>
  <c r="GA146" i="1" s="1"/>
  <c r="GB146" i="1" s="1"/>
  <c r="GC146" i="1" s="1"/>
  <c r="GD146" i="1" s="1"/>
  <c r="GE146" i="1" s="1"/>
  <c r="GF146" i="1" s="1"/>
  <c r="GG146" i="1" s="1"/>
  <c r="GH146" i="1" s="1"/>
  <c r="GI146" i="1" s="1"/>
  <c r="GJ146" i="1" s="1"/>
  <c r="GK146" i="1" s="1"/>
  <c r="GL146" i="1" s="1"/>
  <c r="GM146" i="1" s="1"/>
  <c r="GN146" i="1" s="1"/>
  <c r="GO146" i="1" s="1"/>
  <c r="GP146" i="1" s="1"/>
  <c r="GQ146" i="1" s="1"/>
  <c r="GR146" i="1" s="1"/>
  <c r="GS146" i="1" s="1"/>
  <c r="GT146" i="1" s="1"/>
  <c r="GU146" i="1" s="1"/>
  <c r="GV146" i="1" s="1"/>
  <c r="GW146" i="1" s="1"/>
  <c r="GX146" i="1" s="1"/>
  <c r="GY146" i="1" s="1"/>
  <c r="GZ146" i="1" s="1"/>
  <c r="HA146" i="1" s="1"/>
  <c r="HB146" i="1" s="1"/>
  <c r="HC146" i="1" s="1"/>
  <c r="HD146" i="1" s="1"/>
  <c r="HE146" i="1" s="1"/>
  <c r="HF146" i="1" s="1"/>
  <c r="HG146" i="1" s="1"/>
  <c r="HH146" i="1" s="1"/>
  <c r="HI146" i="1" s="1"/>
  <c r="HJ146" i="1" s="1"/>
  <c r="HK146" i="1" s="1"/>
  <c r="HL146" i="1" s="1"/>
  <c r="HM146" i="1" s="1"/>
  <c r="HN146" i="1" s="1"/>
  <c r="HO146" i="1" s="1"/>
  <c r="HP146" i="1" s="1"/>
  <c r="HQ146" i="1" s="1"/>
  <c r="HR146" i="1" s="1"/>
  <c r="HS146" i="1" s="1"/>
  <c r="HT146" i="1" s="1"/>
  <c r="HU146" i="1" s="1"/>
  <c r="HV146" i="1" s="1"/>
  <c r="HW146" i="1" s="1"/>
  <c r="HX146" i="1" s="1"/>
  <c r="HY146" i="1" s="1"/>
  <c r="HZ146" i="1" s="1"/>
  <c r="IA146" i="1" s="1"/>
  <c r="IB146" i="1" s="1"/>
  <c r="IC146" i="1" s="1"/>
  <c r="ID146" i="1" s="1"/>
  <c r="IE146" i="1" s="1"/>
  <c r="IF146" i="1" s="1"/>
  <c r="IG146" i="1" s="1"/>
  <c r="IH146" i="1" s="1"/>
  <c r="II146" i="1" s="1"/>
  <c r="IJ146" i="1" s="1"/>
  <c r="IK146" i="1" s="1"/>
  <c r="IL146" i="1" s="1"/>
  <c r="IM146" i="1" s="1"/>
  <c r="IN146" i="1" s="1"/>
  <c r="IO146" i="1" s="1"/>
  <c r="IP146" i="1" s="1"/>
  <c r="IQ146" i="1" s="1"/>
  <c r="IR146" i="1" s="1"/>
  <c r="AQ146" i="1"/>
  <c r="AM146" i="1"/>
  <c r="AK146" i="1"/>
  <c r="AP146" i="1"/>
  <c r="AI100" i="1"/>
  <c r="AK100" i="1"/>
  <c r="AQ100" i="1"/>
  <c r="AP100" i="1"/>
  <c r="AM100" i="1"/>
  <c r="AQ134" i="1"/>
  <c r="AK134" i="1"/>
  <c r="AP134" i="1"/>
  <c r="AM134" i="1"/>
  <c r="AK138" i="1"/>
  <c r="AM138" i="1"/>
  <c r="AQ138" i="1"/>
  <c r="AP138" i="1"/>
  <c r="AI75" i="1"/>
  <c r="AV75" i="1" s="1"/>
  <c r="AK75" i="1"/>
  <c r="AQ75" i="1"/>
  <c r="AP75" i="1"/>
  <c r="AM75" i="1"/>
  <c r="AI94" i="1"/>
  <c r="EW94" i="1" s="1"/>
  <c r="EX94" i="1" s="1"/>
  <c r="EY94" i="1" s="1"/>
  <c r="EZ94" i="1" s="1"/>
  <c r="FA94" i="1" s="1"/>
  <c r="FB94" i="1" s="1"/>
  <c r="FC94" i="1" s="1"/>
  <c r="FD94" i="1" s="1"/>
  <c r="FE94" i="1" s="1"/>
  <c r="FF94" i="1" s="1"/>
  <c r="FG94" i="1" s="1"/>
  <c r="FH94" i="1" s="1"/>
  <c r="FI94" i="1" s="1"/>
  <c r="FJ94" i="1" s="1"/>
  <c r="FK94" i="1" s="1"/>
  <c r="FL94" i="1" s="1"/>
  <c r="FM94" i="1" s="1"/>
  <c r="FN94" i="1" s="1"/>
  <c r="FO94" i="1" s="1"/>
  <c r="FP94" i="1" s="1"/>
  <c r="FQ94" i="1" s="1"/>
  <c r="FR94" i="1" s="1"/>
  <c r="FS94" i="1" s="1"/>
  <c r="FT94" i="1" s="1"/>
  <c r="FU94" i="1" s="1"/>
  <c r="FV94" i="1" s="1"/>
  <c r="FW94" i="1" s="1"/>
  <c r="FX94" i="1" s="1"/>
  <c r="FY94" i="1" s="1"/>
  <c r="FZ94" i="1" s="1"/>
  <c r="GA94" i="1" s="1"/>
  <c r="GB94" i="1" s="1"/>
  <c r="GC94" i="1" s="1"/>
  <c r="GD94" i="1" s="1"/>
  <c r="GE94" i="1" s="1"/>
  <c r="GF94" i="1" s="1"/>
  <c r="GG94" i="1" s="1"/>
  <c r="GH94" i="1" s="1"/>
  <c r="GI94" i="1" s="1"/>
  <c r="GJ94" i="1" s="1"/>
  <c r="GK94" i="1" s="1"/>
  <c r="GL94" i="1" s="1"/>
  <c r="GM94" i="1" s="1"/>
  <c r="GN94" i="1" s="1"/>
  <c r="GO94" i="1" s="1"/>
  <c r="GP94" i="1" s="1"/>
  <c r="GQ94" i="1" s="1"/>
  <c r="GR94" i="1" s="1"/>
  <c r="GS94" i="1" s="1"/>
  <c r="GT94" i="1" s="1"/>
  <c r="GU94" i="1" s="1"/>
  <c r="GV94" i="1" s="1"/>
  <c r="GW94" i="1" s="1"/>
  <c r="GX94" i="1" s="1"/>
  <c r="GY94" i="1" s="1"/>
  <c r="GZ94" i="1" s="1"/>
  <c r="HA94" i="1" s="1"/>
  <c r="HB94" i="1" s="1"/>
  <c r="HC94" i="1" s="1"/>
  <c r="HD94" i="1" s="1"/>
  <c r="HE94" i="1" s="1"/>
  <c r="HF94" i="1" s="1"/>
  <c r="HG94" i="1" s="1"/>
  <c r="HH94" i="1" s="1"/>
  <c r="HI94" i="1" s="1"/>
  <c r="HJ94" i="1" s="1"/>
  <c r="HK94" i="1" s="1"/>
  <c r="HL94" i="1" s="1"/>
  <c r="HM94" i="1" s="1"/>
  <c r="HN94" i="1" s="1"/>
  <c r="HO94" i="1" s="1"/>
  <c r="HP94" i="1" s="1"/>
  <c r="HQ94" i="1" s="1"/>
  <c r="HR94" i="1" s="1"/>
  <c r="HS94" i="1" s="1"/>
  <c r="HT94" i="1" s="1"/>
  <c r="HU94" i="1" s="1"/>
  <c r="HV94" i="1" s="1"/>
  <c r="HW94" i="1" s="1"/>
  <c r="HX94" i="1" s="1"/>
  <c r="HY94" i="1" s="1"/>
  <c r="HZ94" i="1" s="1"/>
  <c r="IA94" i="1" s="1"/>
  <c r="IB94" i="1" s="1"/>
  <c r="IC94" i="1" s="1"/>
  <c r="ID94" i="1" s="1"/>
  <c r="IE94" i="1" s="1"/>
  <c r="IF94" i="1" s="1"/>
  <c r="IG94" i="1" s="1"/>
  <c r="IH94" i="1" s="1"/>
  <c r="II94" i="1" s="1"/>
  <c r="IJ94" i="1" s="1"/>
  <c r="IK94" i="1" s="1"/>
  <c r="IL94" i="1" s="1"/>
  <c r="IM94" i="1" s="1"/>
  <c r="IN94" i="1" s="1"/>
  <c r="IO94" i="1" s="1"/>
  <c r="IP94" i="1" s="1"/>
  <c r="IQ94" i="1" s="1"/>
  <c r="IR94" i="1" s="1"/>
  <c r="AQ94" i="1"/>
  <c r="AK94" i="1"/>
  <c r="AP94" i="1"/>
  <c r="AM94" i="1"/>
  <c r="AQ98" i="1"/>
  <c r="AM98" i="1"/>
  <c r="AK98" i="1"/>
  <c r="AP98" i="1"/>
  <c r="AI148" i="1"/>
  <c r="EW148" i="1" s="1"/>
  <c r="EX148" i="1" s="1"/>
  <c r="EY148" i="1" s="1"/>
  <c r="EZ148" i="1" s="1"/>
  <c r="FA148" i="1" s="1"/>
  <c r="FB148" i="1" s="1"/>
  <c r="FC148" i="1" s="1"/>
  <c r="FD148" i="1" s="1"/>
  <c r="FE148" i="1" s="1"/>
  <c r="FF148" i="1" s="1"/>
  <c r="FG148" i="1" s="1"/>
  <c r="FH148" i="1" s="1"/>
  <c r="FI148" i="1" s="1"/>
  <c r="FJ148" i="1" s="1"/>
  <c r="FK148" i="1" s="1"/>
  <c r="FL148" i="1" s="1"/>
  <c r="FM148" i="1" s="1"/>
  <c r="FN148" i="1" s="1"/>
  <c r="FO148" i="1" s="1"/>
  <c r="FP148" i="1" s="1"/>
  <c r="FQ148" i="1" s="1"/>
  <c r="FR148" i="1" s="1"/>
  <c r="FS148" i="1" s="1"/>
  <c r="FT148" i="1" s="1"/>
  <c r="FU148" i="1" s="1"/>
  <c r="FV148" i="1" s="1"/>
  <c r="FW148" i="1" s="1"/>
  <c r="FX148" i="1" s="1"/>
  <c r="FY148" i="1" s="1"/>
  <c r="FZ148" i="1" s="1"/>
  <c r="GA148" i="1" s="1"/>
  <c r="GB148" i="1" s="1"/>
  <c r="GC148" i="1" s="1"/>
  <c r="GD148" i="1" s="1"/>
  <c r="GE148" i="1" s="1"/>
  <c r="GF148" i="1" s="1"/>
  <c r="GG148" i="1" s="1"/>
  <c r="GH148" i="1" s="1"/>
  <c r="GI148" i="1" s="1"/>
  <c r="GJ148" i="1" s="1"/>
  <c r="GK148" i="1" s="1"/>
  <c r="GL148" i="1" s="1"/>
  <c r="GM148" i="1" s="1"/>
  <c r="GN148" i="1" s="1"/>
  <c r="GO148" i="1" s="1"/>
  <c r="GP148" i="1" s="1"/>
  <c r="GQ148" i="1" s="1"/>
  <c r="GR148" i="1" s="1"/>
  <c r="GS148" i="1" s="1"/>
  <c r="GT148" i="1" s="1"/>
  <c r="GU148" i="1" s="1"/>
  <c r="GV148" i="1" s="1"/>
  <c r="GW148" i="1" s="1"/>
  <c r="GX148" i="1" s="1"/>
  <c r="GY148" i="1" s="1"/>
  <c r="GZ148" i="1" s="1"/>
  <c r="HA148" i="1" s="1"/>
  <c r="HB148" i="1" s="1"/>
  <c r="HC148" i="1" s="1"/>
  <c r="HD148" i="1" s="1"/>
  <c r="HE148" i="1" s="1"/>
  <c r="HF148" i="1" s="1"/>
  <c r="HG148" i="1" s="1"/>
  <c r="HH148" i="1" s="1"/>
  <c r="HI148" i="1" s="1"/>
  <c r="HJ148" i="1" s="1"/>
  <c r="HK148" i="1" s="1"/>
  <c r="HL148" i="1" s="1"/>
  <c r="HM148" i="1" s="1"/>
  <c r="HN148" i="1" s="1"/>
  <c r="HO148" i="1" s="1"/>
  <c r="HP148" i="1" s="1"/>
  <c r="HQ148" i="1" s="1"/>
  <c r="HR148" i="1" s="1"/>
  <c r="HS148" i="1" s="1"/>
  <c r="HT148" i="1" s="1"/>
  <c r="HU148" i="1" s="1"/>
  <c r="HV148" i="1" s="1"/>
  <c r="HW148" i="1" s="1"/>
  <c r="HX148" i="1" s="1"/>
  <c r="HY148" i="1" s="1"/>
  <c r="HZ148" i="1" s="1"/>
  <c r="IA148" i="1" s="1"/>
  <c r="IB148" i="1" s="1"/>
  <c r="IC148" i="1" s="1"/>
  <c r="ID148" i="1" s="1"/>
  <c r="IE148" i="1" s="1"/>
  <c r="IF148" i="1" s="1"/>
  <c r="IG148" i="1" s="1"/>
  <c r="IH148" i="1" s="1"/>
  <c r="II148" i="1" s="1"/>
  <c r="IJ148" i="1" s="1"/>
  <c r="IK148" i="1" s="1"/>
  <c r="IL148" i="1" s="1"/>
  <c r="IM148" i="1" s="1"/>
  <c r="IN148" i="1" s="1"/>
  <c r="IO148" i="1" s="1"/>
  <c r="IP148" i="1" s="1"/>
  <c r="IQ148" i="1" s="1"/>
  <c r="IR148" i="1" s="1"/>
  <c r="AK148" i="1"/>
  <c r="AQ148" i="1"/>
  <c r="AP148" i="1"/>
  <c r="AM148" i="1"/>
  <c r="AI142" i="1"/>
  <c r="AV142" i="1" s="1"/>
  <c r="AQ142" i="1"/>
  <c r="AK142" i="1"/>
  <c r="AP142" i="1"/>
  <c r="AM142" i="1"/>
  <c r="AI97" i="1"/>
  <c r="AK97" i="1"/>
  <c r="AM97" i="1"/>
  <c r="AQ97" i="1"/>
  <c r="AP97" i="1"/>
  <c r="AI64" i="1"/>
  <c r="AK64" i="1"/>
  <c r="AQ64" i="1"/>
  <c r="AM64" i="1"/>
  <c r="AP64" i="1"/>
  <c r="AK12" i="1"/>
  <c r="AQ12" i="1"/>
  <c r="AP12" i="1"/>
  <c r="AM12" i="1"/>
  <c r="AK10" i="1"/>
  <c r="AM10" i="1"/>
  <c r="AQ10" i="1"/>
  <c r="AP10" i="1"/>
  <c r="AQ9" i="1"/>
  <c r="AK9" i="1"/>
  <c r="AM9" i="1"/>
  <c r="AP9" i="1"/>
  <c r="AQ7" i="1"/>
  <c r="AK7" i="1"/>
  <c r="AM7" i="1"/>
  <c r="AP7" i="1"/>
  <c r="AM90" i="1"/>
  <c r="AK90" i="1"/>
  <c r="AQ90" i="1"/>
  <c r="AP90" i="1"/>
  <c r="AI53" i="1"/>
  <c r="AM53" i="1"/>
  <c r="AQ53" i="1"/>
  <c r="AK53" i="1"/>
  <c r="AP53" i="1"/>
  <c r="AI156" i="1"/>
  <c r="EW156" i="1" s="1"/>
  <c r="EX156" i="1" s="1"/>
  <c r="EY156" i="1" s="1"/>
  <c r="EZ156" i="1" s="1"/>
  <c r="FA156" i="1" s="1"/>
  <c r="FB156" i="1" s="1"/>
  <c r="FC156" i="1" s="1"/>
  <c r="FD156" i="1" s="1"/>
  <c r="FE156" i="1" s="1"/>
  <c r="FF156" i="1" s="1"/>
  <c r="FG156" i="1" s="1"/>
  <c r="FH156" i="1" s="1"/>
  <c r="FI156" i="1" s="1"/>
  <c r="FJ156" i="1" s="1"/>
  <c r="FK156" i="1" s="1"/>
  <c r="FL156" i="1" s="1"/>
  <c r="FM156" i="1" s="1"/>
  <c r="FN156" i="1" s="1"/>
  <c r="FO156" i="1" s="1"/>
  <c r="FP156" i="1" s="1"/>
  <c r="FQ156" i="1" s="1"/>
  <c r="FR156" i="1" s="1"/>
  <c r="FS156" i="1" s="1"/>
  <c r="FT156" i="1" s="1"/>
  <c r="FU156" i="1" s="1"/>
  <c r="FV156" i="1" s="1"/>
  <c r="FW156" i="1" s="1"/>
  <c r="FX156" i="1" s="1"/>
  <c r="FY156" i="1" s="1"/>
  <c r="FZ156" i="1" s="1"/>
  <c r="GA156" i="1" s="1"/>
  <c r="GB156" i="1" s="1"/>
  <c r="GC156" i="1" s="1"/>
  <c r="GD156" i="1" s="1"/>
  <c r="GE156" i="1" s="1"/>
  <c r="GF156" i="1" s="1"/>
  <c r="GG156" i="1" s="1"/>
  <c r="GH156" i="1" s="1"/>
  <c r="GI156" i="1" s="1"/>
  <c r="GJ156" i="1" s="1"/>
  <c r="GK156" i="1" s="1"/>
  <c r="GL156" i="1" s="1"/>
  <c r="GM156" i="1" s="1"/>
  <c r="GN156" i="1" s="1"/>
  <c r="GO156" i="1" s="1"/>
  <c r="GP156" i="1" s="1"/>
  <c r="GQ156" i="1" s="1"/>
  <c r="GR156" i="1" s="1"/>
  <c r="GS156" i="1" s="1"/>
  <c r="GT156" i="1" s="1"/>
  <c r="GU156" i="1" s="1"/>
  <c r="GV156" i="1" s="1"/>
  <c r="GW156" i="1" s="1"/>
  <c r="GX156" i="1" s="1"/>
  <c r="GY156" i="1" s="1"/>
  <c r="GZ156" i="1" s="1"/>
  <c r="HA156" i="1" s="1"/>
  <c r="HB156" i="1" s="1"/>
  <c r="HC156" i="1" s="1"/>
  <c r="HD156" i="1" s="1"/>
  <c r="HE156" i="1" s="1"/>
  <c r="HF156" i="1" s="1"/>
  <c r="HG156" i="1" s="1"/>
  <c r="HH156" i="1" s="1"/>
  <c r="HI156" i="1" s="1"/>
  <c r="HJ156" i="1" s="1"/>
  <c r="HK156" i="1" s="1"/>
  <c r="HL156" i="1" s="1"/>
  <c r="HM156" i="1" s="1"/>
  <c r="HN156" i="1" s="1"/>
  <c r="HO156" i="1" s="1"/>
  <c r="HP156" i="1" s="1"/>
  <c r="HQ156" i="1" s="1"/>
  <c r="HR156" i="1" s="1"/>
  <c r="HS156" i="1" s="1"/>
  <c r="HT156" i="1" s="1"/>
  <c r="HU156" i="1" s="1"/>
  <c r="HV156" i="1" s="1"/>
  <c r="HW156" i="1" s="1"/>
  <c r="HX156" i="1" s="1"/>
  <c r="HY156" i="1" s="1"/>
  <c r="HZ156" i="1" s="1"/>
  <c r="IA156" i="1" s="1"/>
  <c r="IB156" i="1" s="1"/>
  <c r="IC156" i="1" s="1"/>
  <c r="ID156" i="1" s="1"/>
  <c r="IE156" i="1" s="1"/>
  <c r="IF156" i="1" s="1"/>
  <c r="IG156" i="1" s="1"/>
  <c r="IH156" i="1" s="1"/>
  <c r="II156" i="1" s="1"/>
  <c r="IJ156" i="1" s="1"/>
  <c r="IK156" i="1" s="1"/>
  <c r="IL156" i="1" s="1"/>
  <c r="IM156" i="1" s="1"/>
  <c r="IN156" i="1" s="1"/>
  <c r="IO156" i="1" s="1"/>
  <c r="IP156" i="1" s="1"/>
  <c r="IQ156" i="1" s="1"/>
  <c r="IR156" i="1" s="1"/>
  <c r="AK156" i="1"/>
  <c r="AQ156" i="1"/>
  <c r="AM156" i="1"/>
  <c r="AP156" i="1"/>
  <c r="AI106" i="1"/>
  <c r="AK106" i="1"/>
  <c r="AM106" i="1"/>
  <c r="AQ106" i="1"/>
  <c r="AP106" i="1"/>
  <c r="AI147" i="1"/>
  <c r="AQ147" i="1"/>
  <c r="AK147" i="1"/>
  <c r="AP147" i="1"/>
  <c r="AM147" i="1"/>
  <c r="AI129" i="1"/>
  <c r="AK129" i="1"/>
  <c r="AM129" i="1"/>
  <c r="AQ129" i="1"/>
  <c r="AP129" i="1"/>
  <c r="AI78" i="1"/>
  <c r="AV78" i="1" s="1"/>
  <c r="AQ78" i="1"/>
  <c r="AK78" i="1"/>
  <c r="AP78" i="1"/>
  <c r="AM78" i="1"/>
  <c r="AI47" i="1"/>
  <c r="AM47" i="1"/>
  <c r="AK47" i="1"/>
  <c r="AQ47" i="1"/>
  <c r="AP47" i="1"/>
  <c r="AI74" i="1"/>
  <c r="EW74" i="1" s="1"/>
  <c r="EX74" i="1" s="1"/>
  <c r="EY74" i="1" s="1"/>
  <c r="EZ74" i="1" s="1"/>
  <c r="FA74" i="1" s="1"/>
  <c r="FB74" i="1" s="1"/>
  <c r="FC74" i="1" s="1"/>
  <c r="FD74" i="1" s="1"/>
  <c r="FE74" i="1" s="1"/>
  <c r="FF74" i="1" s="1"/>
  <c r="FG74" i="1" s="1"/>
  <c r="FH74" i="1" s="1"/>
  <c r="FI74" i="1" s="1"/>
  <c r="FJ74" i="1" s="1"/>
  <c r="FK74" i="1" s="1"/>
  <c r="FL74" i="1" s="1"/>
  <c r="FM74" i="1" s="1"/>
  <c r="FN74" i="1" s="1"/>
  <c r="FO74" i="1" s="1"/>
  <c r="FP74" i="1" s="1"/>
  <c r="FQ74" i="1" s="1"/>
  <c r="FR74" i="1" s="1"/>
  <c r="FS74" i="1" s="1"/>
  <c r="FT74" i="1" s="1"/>
  <c r="FU74" i="1" s="1"/>
  <c r="FV74" i="1" s="1"/>
  <c r="FW74" i="1" s="1"/>
  <c r="FX74" i="1" s="1"/>
  <c r="FY74" i="1" s="1"/>
  <c r="FZ74" i="1" s="1"/>
  <c r="GA74" i="1" s="1"/>
  <c r="GB74" i="1" s="1"/>
  <c r="GC74" i="1" s="1"/>
  <c r="GD74" i="1" s="1"/>
  <c r="GE74" i="1" s="1"/>
  <c r="GF74" i="1" s="1"/>
  <c r="GG74" i="1" s="1"/>
  <c r="GH74" i="1" s="1"/>
  <c r="GI74" i="1" s="1"/>
  <c r="GJ74" i="1" s="1"/>
  <c r="GK74" i="1" s="1"/>
  <c r="GL74" i="1" s="1"/>
  <c r="GM74" i="1" s="1"/>
  <c r="GN74" i="1" s="1"/>
  <c r="GO74" i="1" s="1"/>
  <c r="GP74" i="1" s="1"/>
  <c r="GQ74" i="1" s="1"/>
  <c r="GR74" i="1" s="1"/>
  <c r="GS74" i="1" s="1"/>
  <c r="GT74" i="1" s="1"/>
  <c r="GU74" i="1" s="1"/>
  <c r="GV74" i="1" s="1"/>
  <c r="GW74" i="1" s="1"/>
  <c r="GX74" i="1" s="1"/>
  <c r="GY74" i="1" s="1"/>
  <c r="GZ74" i="1" s="1"/>
  <c r="HA74" i="1" s="1"/>
  <c r="HB74" i="1" s="1"/>
  <c r="HC74" i="1" s="1"/>
  <c r="HD74" i="1" s="1"/>
  <c r="HE74" i="1" s="1"/>
  <c r="HF74" i="1" s="1"/>
  <c r="HG74" i="1" s="1"/>
  <c r="HH74" i="1" s="1"/>
  <c r="HI74" i="1" s="1"/>
  <c r="HJ74" i="1" s="1"/>
  <c r="HK74" i="1" s="1"/>
  <c r="HL74" i="1" s="1"/>
  <c r="HM74" i="1" s="1"/>
  <c r="HN74" i="1" s="1"/>
  <c r="HO74" i="1" s="1"/>
  <c r="HP74" i="1" s="1"/>
  <c r="HQ74" i="1" s="1"/>
  <c r="HR74" i="1" s="1"/>
  <c r="HS74" i="1" s="1"/>
  <c r="HT74" i="1" s="1"/>
  <c r="HU74" i="1" s="1"/>
  <c r="HV74" i="1" s="1"/>
  <c r="HW74" i="1" s="1"/>
  <c r="HX74" i="1" s="1"/>
  <c r="HY74" i="1" s="1"/>
  <c r="HZ74" i="1" s="1"/>
  <c r="IA74" i="1" s="1"/>
  <c r="IB74" i="1" s="1"/>
  <c r="IC74" i="1" s="1"/>
  <c r="ID74" i="1" s="1"/>
  <c r="IE74" i="1" s="1"/>
  <c r="IF74" i="1" s="1"/>
  <c r="IG74" i="1" s="1"/>
  <c r="IH74" i="1" s="1"/>
  <c r="II74" i="1" s="1"/>
  <c r="IJ74" i="1" s="1"/>
  <c r="IK74" i="1" s="1"/>
  <c r="IL74" i="1" s="1"/>
  <c r="IM74" i="1" s="1"/>
  <c r="IN74" i="1" s="1"/>
  <c r="IO74" i="1" s="1"/>
  <c r="IP74" i="1" s="1"/>
  <c r="IQ74" i="1" s="1"/>
  <c r="IR74" i="1" s="1"/>
  <c r="AK74" i="1"/>
  <c r="AM74" i="1"/>
  <c r="AQ74" i="1"/>
  <c r="AP74" i="1"/>
  <c r="AI152" i="1"/>
  <c r="AV152" i="1" s="1"/>
  <c r="AQ152" i="1"/>
  <c r="AK152" i="1"/>
  <c r="AM152" i="1"/>
  <c r="AP152" i="1"/>
  <c r="AI67" i="1"/>
  <c r="AV67" i="1" s="1"/>
  <c r="AQ67" i="1"/>
  <c r="AK67" i="1"/>
  <c r="AP67" i="1"/>
  <c r="AM67" i="1"/>
  <c r="AI58" i="1"/>
  <c r="AV58" i="1" s="1"/>
  <c r="AM58" i="1"/>
  <c r="AK58" i="1"/>
  <c r="AQ58" i="1"/>
  <c r="AP58" i="1"/>
  <c r="AK144" i="1"/>
  <c r="AQ144" i="1"/>
  <c r="AP144" i="1"/>
  <c r="AM144" i="1"/>
  <c r="AI128" i="1"/>
  <c r="EW128" i="1" s="1"/>
  <c r="EX128" i="1" s="1"/>
  <c r="EY128" i="1" s="1"/>
  <c r="EZ128" i="1" s="1"/>
  <c r="FA128" i="1" s="1"/>
  <c r="FB128" i="1" s="1"/>
  <c r="FC128" i="1" s="1"/>
  <c r="FD128" i="1" s="1"/>
  <c r="FE128" i="1" s="1"/>
  <c r="FF128" i="1" s="1"/>
  <c r="FG128" i="1" s="1"/>
  <c r="FH128" i="1" s="1"/>
  <c r="FI128" i="1" s="1"/>
  <c r="FJ128" i="1" s="1"/>
  <c r="FK128" i="1" s="1"/>
  <c r="FL128" i="1" s="1"/>
  <c r="FM128" i="1" s="1"/>
  <c r="FN128" i="1" s="1"/>
  <c r="FO128" i="1" s="1"/>
  <c r="FP128" i="1" s="1"/>
  <c r="FQ128" i="1" s="1"/>
  <c r="FR128" i="1" s="1"/>
  <c r="FS128" i="1" s="1"/>
  <c r="FT128" i="1" s="1"/>
  <c r="FU128" i="1" s="1"/>
  <c r="FV128" i="1" s="1"/>
  <c r="FW128" i="1" s="1"/>
  <c r="FX128" i="1" s="1"/>
  <c r="FY128" i="1" s="1"/>
  <c r="FZ128" i="1" s="1"/>
  <c r="GA128" i="1" s="1"/>
  <c r="GB128" i="1" s="1"/>
  <c r="GC128" i="1" s="1"/>
  <c r="GD128" i="1" s="1"/>
  <c r="GE128" i="1" s="1"/>
  <c r="GF128" i="1" s="1"/>
  <c r="GG128" i="1" s="1"/>
  <c r="GH128" i="1" s="1"/>
  <c r="GI128" i="1" s="1"/>
  <c r="GJ128" i="1" s="1"/>
  <c r="GK128" i="1" s="1"/>
  <c r="GL128" i="1" s="1"/>
  <c r="GM128" i="1" s="1"/>
  <c r="GN128" i="1" s="1"/>
  <c r="GO128" i="1" s="1"/>
  <c r="GP128" i="1" s="1"/>
  <c r="GQ128" i="1" s="1"/>
  <c r="GR128" i="1" s="1"/>
  <c r="GS128" i="1" s="1"/>
  <c r="GT128" i="1" s="1"/>
  <c r="GU128" i="1" s="1"/>
  <c r="GV128" i="1" s="1"/>
  <c r="GW128" i="1" s="1"/>
  <c r="GX128" i="1" s="1"/>
  <c r="GY128" i="1" s="1"/>
  <c r="GZ128" i="1" s="1"/>
  <c r="HA128" i="1" s="1"/>
  <c r="HB128" i="1" s="1"/>
  <c r="HC128" i="1" s="1"/>
  <c r="HD128" i="1" s="1"/>
  <c r="HE128" i="1" s="1"/>
  <c r="HF128" i="1" s="1"/>
  <c r="HG128" i="1" s="1"/>
  <c r="HH128" i="1" s="1"/>
  <c r="HI128" i="1" s="1"/>
  <c r="HJ128" i="1" s="1"/>
  <c r="HK128" i="1" s="1"/>
  <c r="HL128" i="1" s="1"/>
  <c r="HM128" i="1" s="1"/>
  <c r="HN128" i="1" s="1"/>
  <c r="HO128" i="1" s="1"/>
  <c r="HP128" i="1" s="1"/>
  <c r="HQ128" i="1" s="1"/>
  <c r="HR128" i="1" s="1"/>
  <c r="HS128" i="1" s="1"/>
  <c r="HT128" i="1" s="1"/>
  <c r="HU128" i="1" s="1"/>
  <c r="HV128" i="1" s="1"/>
  <c r="HW128" i="1" s="1"/>
  <c r="HX128" i="1" s="1"/>
  <c r="HY128" i="1" s="1"/>
  <c r="HZ128" i="1" s="1"/>
  <c r="IA128" i="1" s="1"/>
  <c r="IB128" i="1" s="1"/>
  <c r="IC128" i="1" s="1"/>
  <c r="ID128" i="1" s="1"/>
  <c r="IE128" i="1" s="1"/>
  <c r="IF128" i="1" s="1"/>
  <c r="IG128" i="1" s="1"/>
  <c r="IH128" i="1" s="1"/>
  <c r="II128" i="1" s="1"/>
  <c r="IJ128" i="1" s="1"/>
  <c r="IK128" i="1" s="1"/>
  <c r="IL128" i="1" s="1"/>
  <c r="IM128" i="1" s="1"/>
  <c r="IN128" i="1" s="1"/>
  <c r="IO128" i="1" s="1"/>
  <c r="IP128" i="1" s="1"/>
  <c r="IQ128" i="1" s="1"/>
  <c r="IR128" i="1" s="1"/>
  <c r="AK128" i="1"/>
  <c r="AQ128" i="1"/>
  <c r="AM128" i="1"/>
  <c r="AP128" i="1"/>
  <c r="AQ34" i="1"/>
  <c r="AM34" i="1"/>
  <c r="AK34" i="1"/>
  <c r="AP34" i="1"/>
  <c r="AK42" i="1"/>
  <c r="AM42" i="1"/>
  <c r="AQ42" i="1"/>
  <c r="AP42" i="1"/>
  <c r="AI149" i="1"/>
  <c r="AV149" i="1" s="1"/>
  <c r="AM149" i="1"/>
  <c r="AQ149" i="1"/>
  <c r="AK149" i="1"/>
  <c r="AP149" i="1"/>
  <c r="AK91" i="1"/>
  <c r="AQ91" i="1"/>
  <c r="AP91" i="1"/>
  <c r="AM91" i="1"/>
  <c r="AI70" i="1"/>
  <c r="AV70" i="1" s="1"/>
  <c r="AQ70" i="1"/>
  <c r="AK70" i="1"/>
  <c r="AM70" i="1"/>
  <c r="AP70" i="1"/>
  <c r="AQ121" i="1"/>
  <c r="AM121" i="1"/>
  <c r="AK121" i="1"/>
  <c r="AP121" i="1"/>
  <c r="AI76" i="1"/>
  <c r="AK76" i="1"/>
  <c r="AQ76" i="1"/>
  <c r="AM76" i="1"/>
  <c r="AP76" i="1"/>
  <c r="AQ19" i="1"/>
  <c r="AK19" i="1"/>
  <c r="AP19" i="1"/>
  <c r="AM19" i="1"/>
  <c r="AK43" i="1"/>
  <c r="AQ43" i="1"/>
  <c r="AM43" i="1"/>
  <c r="AP43" i="1"/>
  <c r="AI57" i="1"/>
  <c r="AV57" i="1" s="1"/>
  <c r="AQ57" i="1"/>
  <c r="AM57" i="1"/>
  <c r="AK57" i="1"/>
  <c r="AP57" i="1"/>
  <c r="AI143" i="1"/>
  <c r="AM143" i="1"/>
  <c r="AK143" i="1"/>
  <c r="AQ143" i="1"/>
  <c r="AP143" i="1"/>
  <c r="AI140" i="1"/>
  <c r="AK140" i="1"/>
  <c r="AQ140" i="1"/>
  <c r="AP140" i="1"/>
  <c r="AM140" i="1"/>
  <c r="AK32" i="1"/>
  <c r="AQ32" i="1"/>
  <c r="AM32" i="1"/>
  <c r="AP32" i="1"/>
  <c r="AI131" i="1"/>
  <c r="AV131" i="1" s="1"/>
  <c r="AQ131" i="1"/>
  <c r="AK131" i="1"/>
  <c r="AM131" i="1"/>
  <c r="AP131" i="1"/>
  <c r="AI88" i="1"/>
  <c r="EW88" i="1" s="1"/>
  <c r="EX88" i="1" s="1"/>
  <c r="EY88" i="1" s="1"/>
  <c r="EZ88" i="1" s="1"/>
  <c r="FA88" i="1" s="1"/>
  <c r="FB88" i="1" s="1"/>
  <c r="FC88" i="1" s="1"/>
  <c r="FD88" i="1" s="1"/>
  <c r="FE88" i="1" s="1"/>
  <c r="FF88" i="1" s="1"/>
  <c r="FG88" i="1" s="1"/>
  <c r="FH88" i="1" s="1"/>
  <c r="FI88" i="1" s="1"/>
  <c r="FJ88" i="1" s="1"/>
  <c r="FK88" i="1" s="1"/>
  <c r="FL88" i="1" s="1"/>
  <c r="FM88" i="1" s="1"/>
  <c r="FN88" i="1" s="1"/>
  <c r="FO88" i="1" s="1"/>
  <c r="FP88" i="1" s="1"/>
  <c r="FQ88" i="1" s="1"/>
  <c r="FR88" i="1" s="1"/>
  <c r="FS88" i="1" s="1"/>
  <c r="FT88" i="1" s="1"/>
  <c r="FU88" i="1" s="1"/>
  <c r="FV88" i="1" s="1"/>
  <c r="FW88" i="1" s="1"/>
  <c r="FX88" i="1" s="1"/>
  <c r="FY88" i="1" s="1"/>
  <c r="FZ88" i="1" s="1"/>
  <c r="GA88" i="1" s="1"/>
  <c r="GB88" i="1" s="1"/>
  <c r="GC88" i="1" s="1"/>
  <c r="GD88" i="1" s="1"/>
  <c r="GE88" i="1" s="1"/>
  <c r="GF88" i="1" s="1"/>
  <c r="GG88" i="1" s="1"/>
  <c r="GH88" i="1" s="1"/>
  <c r="GI88" i="1" s="1"/>
  <c r="GJ88" i="1" s="1"/>
  <c r="GK88" i="1" s="1"/>
  <c r="GL88" i="1" s="1"/>
  <c r="GM88" i="1" s="1"/>
  <c r="GN88" i="1" s="1"/>
  <c r="GO88" i="1" s="1"/>
  <c r="GP88" i="1" s="1"/>
  <c r="GQ88" i="1" s="1"/>
  <c r="GR88" i="1" s="1"/>
  <c r="GS88" i="1" s="1"/>
  <c r="GT88" i="1" s="1"/>
  <c r="GU88" i="1" s="1"/>
  <c r="GV88" i="1" s="1"/>
  <c r="GW88" i="1" s="1"/>
  <c r="GX88" i="1" s="1"/>
  <c r="GY88" i="1" s="1"/>
  <c r="GZ88" i="1" s="1"/>
  <c r="HA88" i="1" s="1"/>
  <c r="HB88" i="1" s="1"/>
  <c r="HC88" i="1" s="1"/>
  <c r="HD88" i="1" s="1"/>
  <c r="HE88" i="1" s="1"/>
  <c r="HF88" i="1" s="1"/>
  <c r="HG88" i="1" s="1"/>
  <c r="HH88" i="1" s="1"/>
  <c r="HI88" i="1" s="1"/>
  <c r="HJ88" i="1" s="1"/>
  <c r="HK88" i="1" s="1"/>
  <c r="HL88" i="1" s="1"/>
  <c r="HM88" i="1" s="1"/>
  <c r="HN88" i="1" s="1"/>
  <c r="HO88" i="1" s="1"/>
  <c r="HP88" i="1" s="1"/>
  <c r="HQ88" i="1" s="1"/>
  <c r="HR88" i="1" s="1"/>
  <c r="HS88" i="1" s="1"/>
  <c r="HT88" i="1" s="1"/>
  <c r="HU88" i="1" s="1"/>
  <c r="HV88" i="1" s="1"/>
  <c r="HW88" i="1" s="1"/>
  <c r="HX88" i="1" s="1"/>
  <c r="HY88" i="1" s="1"/>
  <c r="HZ88" i="1" s="1"/>
  <c r="IA88" i="1" s="1"/>
  <c r="IB88" i="1" s="1"/>
  <c r="IC88" i="1" s="1"/>
  <c r="ID88" i="1" s="1"/>
  <c r="IE88" i="1" s="1"/>
  <c r="IF88" i="1" s="1"/>
  <c r="IG88" i="1" s="1"/>
  <c r="IH88" i="1" s="1"/>
  <c r="II88" i="1" s="1"/>
  <c r="IJ88" i="1" s="1"/>
  <c r="IK88" i="1" s="1"/>
  <c r="IL88" i="1" s="1"/>
  <c r="IM88" i="1" s="1"/>
  <c r="IN88" i="1" s="1"/>
  <c r="IO88" i="1" s="1"/>
  <c r="IP88" i="1" s="1"/>
  <c r="IQ88" i="1" s="1"/>
  <c r="IR88" i="1" s="1"/>
  <c r="AQ88" i="1"/>
  <c r="AK88" i="1"/>
  <c r="AP88" i="1"/>
  <c r="AM88" i="1"/>
  <c r="AI141" i="1"/>
  <c r="AV141" i="1" s="1"/>
  <c r="AQ141" i="1"/>
  <c r="AK141" i="1"/>
  <c r="AM141" i="1"/>
  <c r="AP141" i="1"/>
  <c r="AQ120" i="1"/>
  <c r="AK120" i="1"/>
  <c r="AM120" i="1"/>
  <c r="AP120" i="1"/>
  <c r="AI72" i="1"/>
  <c r="EW72" i="1" s="1"/>
  <c r="EX72" i="1" s="1"/>
  <c r="EY72" i="1" s="1"/>
  <c r="EZ72" i="1" s="1"/>
  <c r="FA72" i="1" s="1"/>
  <c r="FB72" i="1" s="1"/>
  <c r="FC72" i="1" s="1"/>
  <c r="FD72" i="1" s="1"/>
  <c r="FE72" i="1" s="1"/>
  <c r="FF72" i="1" s="1"/>
  <c r="FG72" i="1" s="1"/>
  <c r="FH72" i="1" s="1"/>
  <c r="FI72" i="1" s="1"/>
  <c r="FJ72" i="1" s="1"/>
  <c r="FK72" i="1" s="1"/>
  <c r="FL72" i="1" s="1"/>
  <c r="FM72" i="1" s="1"/>
  <c r="FN72" i="1" s="1"/>
  <c r="FO72" i="1" s="1"/>
  <c r="FP72" i="1" s="1"/>
  <c r="FQ72" i="1" s="1"/>
  <c r="FR72" i="1" s="1"/>
  <c r="FS72" i="1" s="1"/>
  <c r="FT72" i="1" s="1"/>
  <c r="FU72" i="1" s="1"/>
  <c r="FV72" i="1" s="1"/>
  <c r="FW72" i="1" s="1"/>
  <c r="FX72" i="1" s="1"/>
  <c r="FY72" i="1" s="1"/>
  <c r="FZ72" i="1" s="1"/>
  <c r="GA72" i="1" s="1"/>
  <c r="GB72" i="1" s="1"/>
  <c r="GC72" i="1" s="1"/>
  <c r="GD72" i="1" s="1"/>
  <c r="GE72" i="1" s="1"/>
  <c r="GF72" i="1" s="1"/>
  <c r="GG72" i="1" s="1"/>
  <c r="GH72" i="1" s="1"/>
  <c r="GI72" i="1" s="1"/>
  <c r="GJ72" i="1" s="1"/>
  <c r="GK72" i="1" s="1"/>
  <c r="GL72" i="1" s="1"/>
  <c r="GM72" i="1" s="1"/>
  <c r="GN72" i="1" s="1"/>
  <c r="GO72" i="1" s="1"/>
  <c r="GP72" i="1" s="1"/>
  <c r="GQ72" i="1" s="1"/>
  <c r="GR72" i="1" s="1"/>
  <c r="GS72" i="1" s="1"/>
  <c r="GT72" i="1" s="1"/>
  <c r="GU72" i="1" s="1"/>
  <c r="GV72" i="1" s="1"/>
  <c r="GW72" i="1" s="1"/>
  <c r="GX72" i="1" s="1"/>
  <c r="GY72" i="1" s="1"/>
  <c r="GZ72" i="1" s="1"/>
  <c r="HA72" i="1" s="1"/>
  <c r="HB72" i="1" s="1"/>
  <c r="HC72" i="1" s="1"/>
  <c r="HD72" i="1" s="1"/>
  <c r="HE72" i="1" s="1"/>
  <c r="HF72" i="1" s="1"/>
  <c r="HG72" i="1" s="1"/>
  <c r="HH72" i="1" s="1"/>
  <c r="HI72" i="1" s="1"/>
  <c r="HJ72" i="1" s="1"/>
  <c r="HK72" i="1" s="1"/>
  <c r="HL72" i="1" s="1"/>
  <c r="HM72" i="1" s="1"/>
  <c r="HN72" i="1" s="1"/>
  <c r="HO72" i="1" s="1"/>
  <c r="HP72" i="1" s="1"/>
  <c r="HQ72" i="1" s="1"/>
  <c r="HR72" i="1" s="1"/>
  <c r="HS72" i="1" s="1"/>
  <c r="HT72" i="1" s="1"/>
  <c r="HU72" i="1" s="1"/>
  <c r="HV72" i="1" s="1"/>
  <c r="HW72" i="1" s="1"/>
  <c r="HX72" i="1" s="1"/>
  <c r="HY72" i="1" s="1"/>
  <c r="HZ72" i="1" s="1"/>
  <c r="IA72" i="1" s="1"/>
  <c r="IB72" i="1" s="1"/>
  <c r="IC72" i="1" s="1"/>
  <c r="ID72" i="1" s="1"/>
  <c r="IE72" i="1" s="1"/>
  <c r="IF72" i="1" s="1"/>
  <c r="IG72" i="1" s="1"/>
  <c r="IH72" i="1" s="1"/>
  <c r="II72" i="1" s="1"/>
  <c r="IJ72" i="1" s="1"/>
  <c r="IK72" i="1" s="1"/>
  <c r="IL72" i="1" s="1"/>
  <c r="IM72" i="1" s="1"/>
  <c r="IN72" i="1" s="1"/>
  <c r="IO72" i="1" s="1"/>
  <c r="IP72" i="1" s="1"/>
  <c r="IQ72" i="1" s="1"/>
  <c r="IR72" i="1" s="1"/>
  <c r="AQ72" i="1"/>
  <c r="AK72" i="1"/>
  <c r="AM72" i="1"/>
  <c r="AP72" i="1"/>
  <c r="AI154" i="1"/>
  <c r="AM154" i="1"/>
  <c r="AK154" i="1"/>
  <c r="AQ154" i="1"/>
  <c r="AP154" i="1"/>
  <c r="AQ115" i="1"/>
  <c r="AK115" i="1"/>
  <c r="AP115" i="1"/>
  <c r="AM115" i="1"/>
  <c r="AI124" i="1"/>
  <c r="AV124" i="1" s="1"/>
  <c r="AK124" i="1"/>
  <c r="AQ124" i="1"/>
  <c r="AM124" i="1"/>
  <c r="AP124" i="1"/>
  <c r="AI103" i="1"/>
  <c r="AV103" i="1" s="1"/>
  <c r="AQ103" i="1"/>
  <c r="AK103" i="1"/>
  <c r="AM103" i="1"/>
  <c r="AP103" i="1"/>
  <c r="AI85" i="1"/>
  <c r="EW85" i="1" s="1"/>
  <c r="EX85" i="1" s="1"/>
  <c r="EY85" i="1" s="1"/>
  <c r="EZ85" i="1" s="1"/>
  <c r="FA85" i="1" s="1"/>
  <c r="FB85" i="1" s="1"/>
  <c r="FC85" i="1" s="1"/>
  <c r="FD85" i="1" s="1"/>
  <c r="FE85" i="1" s="1"/>
  <c r="FF85" i="1" s="1"/>
  <c r="FG85" i="1" s="1"/>
  <c r="FH85" i="1" s="1"/>
  <c r="FI85" i="1" s="1"/>
  <c r="FJ85" i="1" s="1"/>
  <c r="FK85" i="1" s="1"/>
  <c r="FL85" i="1" s="1"/>
  <c r="FM85" i="1" s="1"/>
  <c r="FN85" i="1" s="1"/>
  <c r="FO85" i="1" s="1"/>
  <c r="FP85" i="1" s="1"/>
  <c r="FQ85" i="1" s="1"/>
  <c r="FR85" i="1" s="1"/>
  <c r="FS85" i="1" s="1"/>
  <c r="FT85" i="1" s="1"/>
  <c r="FU85" i="1" s="1"/>
  <c r="FV85" i="1" s="1"/>
  <c r="FW85" i="1" s="1"/>
  <c r="FX85" i="1" s="1"/>
  <c r="FY85" i="1" s="1"/>
  <c r="FZ85" i="1" s="1"/>
  <c r="GA85" i="1" s="1"/>
  <c r="GB85" i="1" s="1"/>
  <c r="GC85" i="1" s="1"/>
  <c r="GD85" i="1" s="1"/>
  <c r="GE85" i="1" s="1"/>
  <c r="GF85" i="1" s="1"/>
  <c r="GG85" i="1" s="1"/>
  <c r="GH85" i="1" s="1"/>
  <c r="GI85" i="1" s="1"/>
  <c r="GJ85" i="1" s="1"/>
  <c r="GK85" i="1" s="1"/>
  <c r="GL85" i="1" s="1"/>
  <c r="GM85" i="1" s="1"/>
  <c r="GN85" i="1" s="1"/>
  <c r="GO85" i="1" s="1"/>
  <c r="GP85" i="1" s="1"/>
  <c r="GQ85" i="1" s="1"/>
  <c r="GR85" i="1" s="1"/>
  <c r="GS85" i="1" s="1"/>
  <c r="GT85" i="1" s="1"/>
  <c r="GU85" i="1" s="1"/>
  <c r="GV85" i="1" s="1"/>
  <c r="GW85" i="1" s="1"/>
  <c r="GX85" i="1" s="1"/>
  <c r="GY85" i="1" s="1"/>
  <c r="GZ85" i="1" s="1"/>
  <c r="HA85" i="1" s="1"/>
  <c r="HB85" i="1" s="1"/>
  <c r="HC85" i="1" s="1"/>
  <c r="HD85" i="1" s="1"/>
  <c r="HE85" i="1" s="1"/>
  <c r="HF85" i="1" s="1"/>
  <c r="HG85" i="1" s="1"/>
  <c r="HH85" i="1" s="1"/>
  <c r="HI85" i="1" s="1"/>
  <c r="HJ85" i="1" s="1"/>
  <c r="HK85" i="1" s="1"/>
  <c r="HL85" i="1" s="1"/>
  <c r="HM85" i="1" s="1"/>
  <c r="HN85" i="1" s="1"/>
  <c r="HO85" i="1" s="1"/>
  <c r="HP85" i="1" s="1"/>
  <c r="HQ85" i="1" s="1"/>
  <c r="HR85" i="1" s="1"/>
  <c r="HS85" i="1" s="1"/>
  <c r="HT85" i="1" s="1"/>
  <c r="HU85" i="1" s="1"/>
  <c r="HV85" i="1" s="1"/>
  <c r="HW85" i="1" s="1"/>
  <c r="HX85" i="1" s="1"/>
  <c r="HY85" i="1" s="1"/>
  <c r="HZ85" i="1" s="1"/>
  <c r="IA85" i="1" s="1"/>
  <c r="IB85" i="1" s="1"/>
  <c r="IC85" i="1" s="1"/>
  <c r="ID85" i="1" s="1"/>
  <c r="IE85" i="1" s="1"/>
  <c r="IF85" i="1" s="1"/>
  <c r="IG85" i="1" s="1"/>
  <c r="IH85" i="1" s="1"/>
  <c r="II85" i="1" s="1"/>
  <c r="IJ85" i="1" s="1"/>
  <c r="IK85" i="1" s="1"/>
  <c r="IL85" i="1" s="1"/>
  <c r="IM85" i="1" s="1"/>
  <c r="IN85" i="1" s="1"/>
  <c r="IO85" i="1" s="1"/>
  <c r="IP85" i="1" s="1"/>
  <c r="IQ85" i="1" s="1"/>
  <c r="IR85" i="1" s="1"/>
  <c r="AM85" i="1"/>
  <c r="AQ85" i="1"/>
  <c r="AK85" i="1"/>
  <c r="AP85" i="1"/>
  <c r="AQ41" i="1"/>
  <c r="AK41" i="1"/>
  <c r="AM41" i="1"/>
  <c r="AP41" i="1"/>
  <c r="AQ30" i="1"/>
  <c r="AK30" i="1"/>
  <c r="AP30" i="1"/>
  <c r="AM30" i="1"/>
  <c r="AQ39" i="1"/>
  <c r="AK39" i="1"/>
  <c r="AM39" i="1"/>
  <c r="AP39" i="1"/>
  <c r="AI130" i="1"/>
  <c r="AV130" i="1" s="1"/>
  <c r="AQ130" i="1"/>
  <c r="AM130" i="1"/>
  <c r="AK130" i="1"/>
  <c r="AP130" i="1"/>
  <c r="AI79" i="1"/>
  <c r="AV79" i="1" s="1"/>
  <c r="AM79" i="1"/>
  <c r="AK79" i="1"/>
  <c r="AQ79" i="1"/>
  <c r="AP79" i="1"/>
  <c r="AI62" i="1"/>
  <c r="AV62" i="1" s="1"/>
  <c r="AQ62" i="1"/>
  <c r="AK62" i="1"/>
  <c r="AP62" i="1"/>
  <c r="AM62" i="1"/>
  <c r="AQ118" i="1"/>
  <c r="AK118" i="1"/>
  <c r="AP118" i="1"/>
  <c r="AM118" i="1"/>
  <c r="AI73" i="1"/>
  <c r="AQ73" i="1"/>
  <c r="AK73" i="1"/>
  <c r="AM73" i="1"/>
  <c r="AP73" i="1"/>
  <c r="AI77" i="1"/>
  <c r="AV77" i="1" s="1"/>
  <c r="AQ77" i="1"/>
  <c r="AK77" i="1"/>
  <c r="AM77" i="1"/>
  <c r="AP77" i="1"/>
  <c r="AI150" i="1"/>
  <c r="EW150" i="1" s="1"/>
  <c r="EX150" i="1" s="1"/>
  <c r="EY150" i="1" s="1"/>
  <c r="EZ150" i="1" s="1"/>
  <c r="FA150" i="1" s="1"/>
  <c r="FB150" i="1" s="1"/>
  <c r="FC150" i="1" s="1"/>
  <c r="FD150" i="1" s="1"/>
  <c r="FE150" i="1" s="1"/>
  <c r="FF150" i="1" s="1"/>
  <c r="FG150" i="1" s="1"/>
  <c r="FH150" i="1" s="1"/>
  <c r="FI150" i="1" s="1"/>
  <c r="FJ150" i="1" s="1"/>
  <c r="FK150" i="1" s="1"/>
  <c r="FL150" i="1" s="1"/>
  <c r="FM150" i="1" s="1"/>
  <c r="FN150" i="1" s="1"/>
  <c r="FO150" i="1" s="1"/>
  <c r="FP150" i="1" s="1"/>
  <c r="FQ150" i="1" s="1"/>
  <c r="FR150" i="1" s="1"/>
  <c r="FS150" i="1" s="1"/>
  <c r="FT150" i="1" s="1"/>
  <c r="FU150" i="1" s="1"/>
  <c r="FV150" i="1" s="1"/>
  <c r="FW150" i="1" s="1"/>
  <c r="FX150" i="1" s="1"/>
  <c r="FY150" i="1" s="1"/>
  <c r="FZ150" i="1" s="1"/>
  <c r="GA150" i="1" s="1"/>
  <c r="GB150" i="1" s="1"/>
  <c r="GC150" i="1" s="1"/>
  <c r="GD150" i="1" s="1"/>
  <c r="GE150" i="1" s="1"/>
  <c r="GF150" i="1" s="1"/>
  <c r="GG150" i="1" s="1"/>
  <c r="GH150" i="1" s="1"/>
  <c r="GI150" i="1" s="1"/>
  <c r="GJ150" i="1" s="1"/>
  <c r="GK150" i="1" s="1"/>
  <c r="GL150" i="1" s="1"/>
  <c r="GM150" i="1" s="1"/>
  <c r="GN150" i="1" s="1"/>
  <c r="GO150" i="1" s="1"/>
  <c r="GP150" i="1" s="1"/>
  <c r="GQ150" i="1" s="1"/>
  <c r="GR150" i="1" s="1"/>
  <c r="GS150" i="1" s="1"/>
  <c r="GT150" i="1" s="1"/>
  <c r="GU150" i="1" s="1"/>
  <c r="GV150" i="1" s="1"/>
  <c r="GW150" i="1" s="1"/>
  <c r="GX150" i="1" s="1"/>
  <c r="GY150" i="1" s="1"/>
  <c r="GZ150" i="1" s="1"/>
  <c r="HA150" i="1" s="1"/>
  <c r="HB150" i="1" s="1"/>
  <c r="HC150" i="1" s="1"/>
  <c r="HD150" i="1" s="1"/>
  <c r="HE150" i="1" s="1"/>
  <c r="HF150" i="1" s="1"/>
  <c r="HG150" i="1" s="1"/>
  <c r="HH150" i="1" s="1"/>
  <c r="HI150" i="1" s="1"/>
  <c r="HJ150" i="1" s="1"/>
  <c r="HK150" i="1" s="1"/>
  <c r="HL150" i="1" s="1"/>
  <c r="HM150" i="1" s="1"/>
  <c r="HN150" i="1" s="1"/>
  <c r="HO150" i="1" s="1"/>
  <c r="HP150" i="1" s="1"/>
  <c r="HQ150" i="1" s="1"/>
  <c r="HR150" i="1" s="1"/>
  <c r="HS150" i="1" s="1"/>
  <c r="HT150" i="1" s="1"/>
  <c r="HU150" i="1" s="1"/>
  <c r="HV150" i="1" s="1"/>
  <c r="HW150" i="1" s="1"/>
  <c r="HX150" i="1" s="1"/>
  <c r="HY150" i="1" s="1"/>
  <c r="HZ150" i="1" s="1"/>
  <c r="IA150" i="1" s="1"/>
  <c r="IB150" i="1" s="1"/>
  <c r="IC150" i="1" s="1"/>
  <c r="ID150" i="1" s="1"/>
  <c r="IE150" i="1" s="1"/>
  <c r="IF150" i="1" s="1"/>
  <c r="IG150" i="1" s="1"/>
  <c r="IH150" i="1" s="1"/>
  <c r="II150" i="1" s="1"/>
  <c r="IJ150" i="1" s="1"/>
  <c r="IK150" i="1" s="1"/>
  <c r="IL150" i="1" s="1"/>
  <c r="IM150" i="1" s="1"/>
  <c r="IN150" i="1" s="1"/>
  <c r="IO150" i="1" s="1"/>
  <c r="IP150" i="1" s="1"/>
  <c r="IQ150" i="1" s="1"/>
  <c r="IR150" i="1" s="1"/>
  <c r="AQ150" i="1"/>
  <c r="AK150" i="1"/>
  <c r="AP150" i="1"/>
  <c r="AM150" i="1"/>
  <c r="AI71" i="1"/>
  <c r="AV71" i="1" s="1"/>
  <c r="AQ71" i="1"/>
  <c r="AK71" i="1"/>
  <c r="AM71" i="1"/>
  <c r="AP71" i="1"/>
  <c r="AI139" i="1"/>
  <c r="AK139" i="1"/>
  <c r="AQ139" i="1"/>
  <c r="AM139" i="1"/>
  <c r="AP139" i="1"/>
  <c r="AK27" i="1"/>
  <c r="AQ27" i="1"/>
  <c r="AP27" i="1"/>
  <c r="AM27" i="1"/>
  <c r="AI59" i="1"/>
  <c r="AV59" i="1" s="1"/>
  <c r="AK59" i="1"/>
  <c r="AQ59" i="1"/>
  <c r="AP59" i="1"/>
  <c r="AM59" i="1"/>
  <c r="AM117" i="1"/>
  <c r="AQ117" i="1"/>
  <c r="AK117" i="1"/>
  <c r="AP117" i="1"/>
  <c r="AI60" i="1"/>
  <c r="AK60" i="1"/>
  <c r="AQ60" i="1"/>
  <c r="AP60" i="1"/>
  <c r="AM60" i="1"/>
  <c r="AI126" i="1"/>
  <c r="AQ126" i="1"/>
  <c r="AK126" i="1"/>
  <c r="AP126" i="1"/>
  <c r="AM126" i="1"/>
  <c r="AK108" i="1"/>
  <c r="AQ108" i="1"/>
  <c r="AP108" i="1"/>
  <c r="AM108" i="1"/>
  <c r="AQ50" i="1"/>
  <c r="AM50" i="1"/>
  <c r="AK50" i="1"/>
  <c r="AP50" i="1"/>
  <c r="AQ40" i="1"/>
  <c r="AK40" i="1"/>
  <c r="AM40" i="1"/>
  <c r="AP40" i="1"/>
  <c r="AK92" i="1"/>
  <c r="AQ92" i="1"/>
  <c r="AP92" i="1"/>
  <c r="AM92" i="1"/>
  <c r="AQ99" i="1"/>
  <c r="AK99" i="1"/>
  <c r="AP99" i="1"/>
  <c r="AM99" i="1"/>
  <c r="AQ38" i="1"/>
  <c r="AK38" i="1"/>
  <c r="AP38" i="1"/>
  <c r="AM38" i="1"/>
  <c r="AI127" i="1"/>
  <c r="AK127" i="1"/>
  <c r="AM127" i="1"/>
  <c r="AQ127" i="1"/>
  <c r="AP127" i="1"/>
  <c r="AK52" i="1"/>
  <c r="AQ52" i="1"/>
  <c r="AP52" i="1"/>
  <c r="AM52" i="1"/>
  <c r="AK116" i="1"/>
  <c r="AQ116" i="1"/>
  <c r="AP116" i="1"/>
  <c r="AM116" i="1"/>
  <c r="AI56" i="1"/>
  <c r="AV56" i="1" s="1"/>
  <c r="AQ56" i="1"/>
  <c r="AK56" i="1"/>
  <c r="AP56" i="1"/>
  <c r="AM56" i="1"/>
  <c r="AI123" i="1"/>
  <c r="AK123" i="1"/>
  <c r="AQ123" i="1"/>
  <c r="AP123" i="1"/>
  <c r="AM123" i="1"/>
  <c r="AI125" i="1"/>
  <c r="EW125" i="1" s="1"/>
  <c r="EX125" i="1" s="1"/>
  <c r="EY125" i="1" s="1"/>
  <c r="EZ125" i="1" s="1"/>
  <c r="FA125" i="1" s="1"/>
  <c r="FB125" i="1" s="1"/>
  <c r="FC125" i="1" s="1"/>
  <c r="FD125" i="1" s="1"/>
  <c r="FE125" i="1" s="1"/>
  <c r="FF125" i="1" s="1"/>
  <c r="FG125" i="1" s="1"/>
  <c r="FH125" i="1" s="1"/>
  <c r="FI125" i="1" s="1"/>
  <c r="FJ125" i="1" s="1"/>
  <c r="FK125" i="1" s="1"/>
  <c r="FL125" i="1" s="1"/>
  <c r="FM125" i="1" s="1"/>
  <c r="FN125" i="1" s="1"/>
  <c r="FO125" i="1" s="1"/>
  <c r="FP125" i="1" s="1"/>
  <c r="FQ125" i="1" s="1"/>
  <c r="FR125" i="1" s="1"/>
  <c r="FS125" i="1" s="1"/>
  <c r="FT125" i="1" s="1"/>
  <c r="FU125" i="1" s="1"/>
  <c r="FV125" i="1" s="1"/>
  <c r="FW125" i="1" s="1"/>
  <c r="FX125" i="1" s="1"/>
  <c r="FY125" i="1" s="1"/>
  <c r="FZ125" i="1" s="1"/>
  <c r="GA125" i="1" s="1"/>
  <c r="GB125" i="1" s="1"/>
  <c r="GC125" i="1" s="1"/>
  <c r="GD125" i="1" s="1"/>
  <c r="GE125" i="1" s="1"/>
  <c r="GF125" i="1" s="1"/>
  <c r="GG125" i="1" s="1"/>
  <c r="GH125" i="1" s="1"/>
  <c r="GI125" i="1" s="1"/>
  <c r="GJ125" i="1" s="1"/>
  <c r="GK125" i="1" s="1"/>
  <c r="GL125" i="1" s="1"/>
  <c r="GM125" i="1" s="1"/>
  <c r="GN125" i="1" s="1"/>
  <c r="GO125" i="1" s="1"/>
  <c r="GP125" i="1" s="1"/>
  <c r="GQ125" i="1" s="1"/>
  <c r="GR125" i="1" s="1"/>
  <c r="GS125" i="1" s="1"/>
  <c r="GT125" i="1" s="1"/>
  <c r="GU125" i="1" s="1"/>
  <c r="GV125" i="1" s="1"/>
  <c r="GW125" i="1" s="1"/>
  <c r="GX125" i="1" s="1"/>
  <c r="GY125" i="1" s="1"/>
  <c r="GZ125" i="1" s="1"/>
  <c r="HA125" i="1" s="1"/>
  <c r="HB125" i="1" s="1"/>
  <c r="HC125" i="1" s="1"/>
  <c r="HD125" i="1" s="1"/>
  <c r="HE125" i="1" s="1"/>
  <c r="HF125" i="1" s="1"/>
  <c r="HG125" i="1" s="1"/>
  <c r="HH125" i="1" s="1"/>
  <c r="HI125" i="1" s="1"/>
  <c r="HJ125" i="1" s="1"/>
  <c r="HK125" i="1" s="1"/>
  <c r="HL125" i="1" s="1"/>
  <c r="HM125" i="1" s="1"/>
  <c r="HN125" i="1" s="1"/>
  <c r="HO125" i="1" s="1"/>
  <c r="HP125" i="1" s="1"/>
  <c r="HQ125" i="1" s="1"/>
  <c r="HR125" i="1" s="1"/>
  <c r="HS125" i="1" s="1"/>
  <c r="HT125" i="1" s="1"/>
  <c r="HU125" i="1" s="1"/>
  <c r="HV125" i="1" s="1"/>
  <c r="HW125" i="1" s="1"/>
  <c r="HX125" i="1" s="1"/>
  <c r="HY125" i="1" s="1"/>
  <c r="HZ125" i="1" s="1"/>
  <c r="IA125" i="1" s="1"/>
  <c r="IB125" i="1" s="1"/>
  <c r="IC125" i="1" s="1"/>
  <c r="ID125" i="1" s="1"/>
  <c r="IE125" i="1" s="1"/>
  <c r="IF125" i="1" s="1"/>
  <c r="IG125" i="1" s="1"/>
  <c r="IH125" i="1" s="1"/>
  <c r="II125" i="1" s="1"/>
  <c r="IJ125" i="1" s="1"/>
  <c r="IK125" i="1" s="1"/>
  <c r="IL125" i="1" s="1"/>
  <c r="IM125" i="1" s="1"/>
  <c r="IN125" i="1" s="1"/>
  <c r="IO125" i="1" s="1"/>
  <c r="IP125" i="1" s="1"/>
  <c r="IQ125" i="1" s="1"/>
  <c r="IR125" i="1" s="1"/>
  <c r="AQ125" i="1"/>
  <c r="AK125" i="1"/>
  <c r="AM125" i="1"/>
  <c r="AP125" i="1"/>
  <c r="AK49" i="1"/>
  <c r="AQ49" i="1"/>
  <c r="AM49" i="1"/>
  <c r="AP49" i="1"/>
  <c r="AI82" i="1"/>
  <c r="AV82" i="1" s="1"/>
  <c r="AQ82" i="1"/>
  <c r="AM82" i="1"/>
  <c r="AK82" i="1"/>
  <c r="AP82" i="1"/>
  <c r="AQ18" i="1"/>
  <c r="AM18" i="1"/>
  <c r="AK18" i="1"/>
  <c r="AP18" i="1"/>
  <c r="AK16" i="1"/>
  <c r="AQ16" i="1"/>
  <c r="AP16" i="1"/>
  <c r="AM16" i="1"/>
  <c r="AQ137" i="1"/>
  <c r="AK137" i="1"/>
  <c r="AM137" i="1"/>
  <c r="AP137" i="1"/>
  <c r="AM133" i="1"/>
  <c r="AQ133" i="1"/>
  <c r="AK133" i="1"/>
  <c r="AP133" i="1"/>
  <c r="AI54" i="1"/>
  <c r="AV54" i="1" s="1"/>
  <c r="AQ54" i="1"/>
  <c r="AK54" i="1"/>
  <c r="AP54" i="1"/>
  <c r="AM54" i="1"/>
  <c r="AK36" i="1"/>
  <c r="AQ36" i="1"/>
  <c r="AP36" i="1"/>
  <c r="AM36" i="1"/>
  <c r="AK28" i="1"/>
  <c r="AQ28" i="1"/>
  <c r="AP28" i="1"/>
  <c r="AM28" i="1"/>
  <c r="AM111" i="1"/>
  <c r="AK111" i="1"/>
  <c r="AQ111" i="1"/>
  <c r="AP111" i="1"/>
  <c r="AI24" i="1"/>
  <c r="AQ24" i="1"/>
  <c r="AK24" i="1"/>
  <c r="AM24" i="1"/>
  <c r="AP24" i="1"/>
  <c r="AK48" i="1"/>
  <c r="AQ48" i="1"/>
  <c r="AP48" i="1"/>
  <c r="AM48" i="1"/>
  <c r="AK112" i="1"/>
  <c r="AQ112" i="1"/>
  <c r="AP112" i="1"/>
  <c r="AM112" i="1"/>
  <c r="AI66" i="1"/>
  <c r="AV66" i="1" s="1"/>
  <c r="AQ66" i="1"/>
  <c r="AM66" i="1"/>
  <c r="AK66" i="1"/>
  <c r="AP66" i="1"/>
  <c r="AI80" i="1"/>
  <c r="AV80" i="1" s="1"/>
  <c r="AK80" i="1"/>
  <c r="AQ80" i="1"/>
  <c r="AM80" i="1"/>
  <c r="AP80" i="1"/>
  <c r="AQ136" i="1"/>
  <c r="AK136" i="1"/>
  <c r="AP136" i="1"/>
  <c r="AM136" i="1"/>
  <c r="AQ45" i="1"/>
  <c r="AK45" i="1"/>
  <c r="AM45" i="1"/>
  <c r="AP45" i="1"/>
  <c r="AI105" i="1"/>
  <c r="AQ105" i="1"/>
  <c r="AK105" i="1"/>
  <c r="AM105" i="1"/>
  <c r="AP105" i="1"/>
  <c r="AI61" i="1"/>
  <c r="AQ61" i="1"/>
  <c r="AK61" i="1"/>
  <c r="AM61" i="1"/>
  <c r="AP61" i="1"/>
  <c r="AK95" i="1"/>
  <c r="AM95" i="1"/>
  <c r="AQ95" i="1"/>
  <c r="AP95" i="1"/>
  <c r="AI87" i="1"/>
  <c r="AQ87" i="1"/>
  <c r="AM87" i="1"/>
  <c r="AK87" i="1"/>
  <c r="AP87" i="1"/>
  <c r="AI153" i="1"/>
  <c r="AV153" i="1" s="1"/>
  <c r="AQ153" i="1"/>
  <c r="AM153" i="1"/>
  <c r="AK153" i="1"/>
  <c r="AP153" i="1"/>
  <c r="AM122" i="1"/>
  <c r="AK122" i="1"/>
  <c r="AQ122" i="1"/>
  <c r="AP122" i="1"/>
  <c r="AQ51" i="1"/>
  <c r="AK51" i="1"/>
  <c r="AM51" i="1"/>
  <c r="AP51" i="1"/>
  <c r="AQ14" i="1"/>
  <c r="AK14" i="1"/>
  <c r="AM14" i="1"/>
  <c r="AP14" i="1"/>
  <c r="AI25" i="1"/>
  <c r="AQ25" i="1"/>
  <c r="AM25" i="1"/>
  <c r="AK25" i="1"/>
  <c r="AP25" i="1"/>
  <c r="AI5" i="1"/>
  <c r="EW5" i="1" s="1"/>
  <c r="EX5" i="1" s="1"/>
  <c r="EY5" i="1" s="1"/>
  <c r="EZ5" i="1" s="1"/>
  <c r="FA5" i="1" s="1"/>
  <c r="FB5" i="1" s="1"/>
  <c r="FC5" i="1" s="1"/>
  <c r="FD5" i="1" s="1"/>
  <c r="FE5" i="1" s="1"/>
  <c r="FF5" i="1" s="1"/>
  <c r="FG5" i="1" s="1"/>
  <c r="FH5" i="1" s="1"/>
  <c r="FI5" i="1" s="1"/>
  <c r="FJ5" i="1" s="1"/>
  <c r="FK5" i="1" s="1"/>
  <c r="FL5" i="1" s="1"/>
  <c r="FM5" i="1" s="1"/>
  <c r="FN5" i="1" s="1"/>
  <c r="FO5" i="1" s="1"/>
  <c r="FP5" i="1" s="1"/>
  <c r="FQ5" i="1" s="1"/>
  <c r="FR5" i="1" s="1"/>
  <c r="FS5" i="1" s="1"/>
  <c r="FT5" i="1" s="1"/>
  <c r="FU5" i="1" s="1"/>
  <c r="FV5" i="1" s="1"/>
  <c r="FW5" i="1" s="1"/>
  <c r="FX5" i="1" s="1"/>
  <c r="FY5" i="1" s="1"/>
  <c r="FZ5" i="1" s="1"/>
  <c r="GA5" i="1" s="1"/>
  <c r="GB5" i="1" s="1"/>
  <c r="GC5" i="1" s="1"/>
  <c r="GD5" i="1" s="1"/>
  <c r="GE5" i="1" s="1"/>
  <c r="GF5" i="1" s="1"/>
  <c r="GG5" i="1" s="1"/>
  <c r="GH5" i="1" s="1"/>
  <c r="GI5" i="1" s="1"/>
  <c r="GJ5" i="1" s="1"/>
  <c r="GK5" i="1" s="1"/>
  <c r="GL5" i="1" s="1"/>
  <c r="GM5" i="1" s="1"/>
  <c r="GN5" i="1" s="1"/>
  <c r="GO5" i="1" s="1"/>
  <c r="GP5" i="1" s="1"/>
  <c r="GQ5" i="1" s="1"/>
  <c r="GR5" i="1" s="1"/>
  <c r="GS5" i="1" s="1"/>
  <c r="GT5" i="1" s="1"/>
  <c r="GU5" i="1" s="1"/>
  <c r="GV5" i="1" s="1"/>
  <c r="GW5" i="1" s="1"/>
  <c r="GX5" i="1" s="1"/>
  <c r="GY5" i="1" s="1"/>
  <c r="GZ5" i="1" s="1"/>
  <c r="HA5" i="1" s="1"/>
  <c r="HB5" i="1" s="1"/>
  <c r="HC5" i="1" s="1"/>
  <c r="HD5" i="1" s="1"/>
  <c r="HE5" i="1" s="1"/>
  <c r="HF5" i="1" s="1"/>
  <c r="HG5" i="1" s="1"/>
  <c r="HH5" i="1" s="1"/>
  <c r="HI5" i="1" s="1"/>
  <c r="HJ5" i="1" s="1"/>
  <c r="HK5" i="1" s="1"/>
  <c r="HL5" i="1" s="1"/>
  <c r="HM5" i="1" s="1"/>
  <c r="HN5" i="1" s="1"/>
  <c r="HO5" i="1" s="1"/>
  <c r="HP5" i="1" s="1"/>
  <c r="HQ5" i="1" s="1"/>
  <c r="HR5" i="1" s="1"/>
  <c r="HS5" i="1" s="1"/>
  <c r="HT5" i="1" s="1"/>
  <c r="HU5" i="1" s="1"/>
  <c r="HV5" i="1" s="1"/>
  <c r="HW5" i="1" s="1"/>
  <c r="HX5" i="1" s="1"/>
  <c r="HY5" i="1" s="1"/>
  <c r="HZ5" i="1" s="1"/>
  <c r="IA5" i="1" s="1"/>
  <c r="IB5" i="1" s="1"/>
  <c r="IC5" i="1" s="1"/>
  <c r="ID5" i="1" s="1"/>
  <c r="IE5" i="1" s="1"/>
  <c r="IF5" i="1" s="1"/>
  <c r="IG5" i="1" s="1"/>
  <c r="IH5" i="1" s="1"/>
  <c r="II5" i="1" s="1"/>
  <c r="IJ5" i="1" s="1"/>
  <c r="IK5" i="1" s="1"/>
  <c r="IL5" i="1" s="1"/>
  <c r="IM5" i="1" s="1"/>
  <c r="IN5" i="1" s="1"/>
  <c r="IO5" i="1" s="1"/>
  <c r="IP5" i="1" s="1"/>
  <c r="IQ5" i="1" s="1"/>
  <c r="IR5" i="1" s="1"/>
  <c r="AM5" i="1"/>
  <c r="AQ5" i="1"/>
  <c r="AK5" i="1"/>
  <c r="AP5" i="1"/>
  <c r="AM21" i="1"/>
  <c r="AQ21" i="1"/>
  <c r="AK21" i="1"/>
  <c r="AP21" i="1"/>
  <c r="AQ46" i="1"/>
  <c r="AK46" i="1"/>
  <c r="AP46" i="1"/>
  <c r="AM46" i="1"/>
  <c r="AQ110" i="1"/>
  <c r="AK110" i="1"/>
  <c r="AP110" i="1"/>
  <c r="AM110" i="1"/>
  <c r="AI69" i="1"/>
  <c r="AV69" i="1" s="1"/>
  <c r="AM69" i="1"/>
  <c r="AQ69" i="1"/>
  <c r="AK69" i="1"/>
  <c r="AP69" i="1"/>
  <c r="AI65" i="1"/>
  <c r="AV65" i="1" s="1"/>
  <c r="AK65" i="1"/>
  <c r="AM65" i="1"/>
  <c r="AQ65" i="1"/>
  <c r="AP65" i="1"/>
  <c r="AQ135" i="1"/>
  <c r="AK135" i="1"/>
  <c r="AM135" i="1"/>
  <c r="AP135" i="1"/>
  <c r="AK44" i="1"/>
  <c r="AQ44" i="1"/>
  <c r="AP44" i="1"/>
  <c r="AM44" i="1"/>
  <c r="AI132" i="1"/>
  <c r="AV132" i="1" s="1"/>
  <c r="AK132" i="1"/>
  <c r="AQ132" i="1"/>
  <c r="AP132" i="1"/>
  <c r="AM132" i="1"/>
  <c r="AI137" i="1"/>
  <c r="AI138" i="1"/>
  <c r="AI134" i="1"/>
  <c r="AI136" i="1"/>
  <c r="EW136" i="1" s="1"/>
  <c r="EX136" i="1" s="1"/>
  <c r="EY136" i="1" s="1"/>
  <c r="EZ136" i="1" s="1"/>
  <c r="FA136" i="1" s="1"/>
  <c r="FB136" i="1" s="1"/>
  <c r="FC136" i="1" s="1"/>
  <c r="FD136" i="1" s="1"/>
  <c r="FE136" i="1" s="1"/>
  <c r="FF136" i="1" s="1"/>
  <c r="FG136" i="1" s="1"/>
  <c r="FH136" i="1" s="1"/>
  <c r="FI136" i="1" s="1"/>
  <c r="FJ136" i="1" s="1"/>
  <c r="FK136" i="1" s="1"/>
  <c r="FL136" i="1" s="1"/>
  <c r="FM136" i="1" s="1"/>
  <c r="FN136" i="1" s="1"/>
  <c r="FO136" i="1" s="1"/>
  <c r="FP136" i="1" s="1"/>
  <c r="FQ136" i="1" s="1"/>
  <c r="FR136" i="1" s="1"/>
  <c r="FS136" i="1" s="1"/>
  <c r="FT136" i="1" s="1"/>
  <c r="FU136" i="1" s="1"/>
  <c r="FV136" i="1" s="1"/>
  <c r="FW136" i="1" s="1"/>
  <c r="FX136" i="1" s="1"/>
  <c r="FY136" i="1" s="1"/>
  <c r="FZ136" i="1" s="1"/>
  <c r="GA136" i="1" s="1"/>
  <c r="GB136" i="1" s="1"/>
  <c r="GC136" i="1" s="1"/>
  <c r="GD136" i="1" s="1"/>
  <c r="GE136" i="1" s="1"/>
  <c r="GF136" i="1" s="1"/>
  <c r="GG136" i="1" s="1"/>
  <c r="GH136" i="1" s="1"/>
  <c r="GI136" i="1" s="1"/>
  <c r="GJ136" i="1" s="1"/>
  <c r="GK136" i="1" s="1"/>
  <c r="GL136" i="1" s="1"/>
  <c r="GM136" i="1" s="1"/>
  <c r="GN136" i="1" s="1"/>
  <c r="GO136" i="1" s="1"/>
  <c r="GP136" i="1" s="1"/>
  <c r="GQ136" i="1" s="1"/>
  <c r="GR136" i="1" s="1"/>
  <c r="GS136" i="1" s="1"/>
  <c r="GT136" i="1" s="1"/>
  <c r="GU136" i="1" s="1"/>
  <c r="GV136" i="1" s="1"/>
  <c r="GW136" i="1" s="1"/>
  <c r="GX136" i="1" s="1"/>
  <c r="GY136" i="1" s="1"/>
  <c r="GZ136" i="1" s="1"/>
  <c r="HA136" i="1" s="1"/>
  <c r="HB136" i="1" s="1"/>
  <c r="HC136" i="1" s="1"/>
  <c r="HD136" i="1" s="1"/>
  <c r="HE136" i="1" s="1"/>
  <c r="HF136" i="1" s="1"/>
  <c r="HG136" i="1" s="1"/>
  <c r="HH136" i="1" s="1"/>
  <c r="HI136" i="1" s="1"/>
  <c r="HJ136" i="1" s="1"/>
  <c r="HK136" i="1" s="1"/>
  <c r="HL136" i="1" s="1"/>
  <c r="HM136" i="1" s="1"/>
  <c r="HN136" i="1" s="1"/>
  <c r="HO136" i="1" s="1"/>
  <c r="HP136" i="1" s="1"/>
  <c r="HQ136" i="1" s="1"/>
  <c r="HR136" i="1" s="1"/>
  <c r="HS136" i="1" s="1"/>
  <c r="HT136" i="1" s="1"/>
  <c r="HU136" i="1" s="1"/>
  <c r="HV136" i="1" s="1"/>
  <c r="HW136" i="1" s="1"/>
  <c r="HX136" i="1" s="1"/>
  <c r="HY136" i="1" s="1"/>
  <c r="HZ136" i="1" s="1"/>
  <c r="IA136" i="1" s="1"/>
  <c r="IB136" i="1" s="1"/>
  <c r="IC136" i="1" s="1"/>
  <c r="ID136" i="1" s="1"/>
  <c r="IE136" i="1" s="1"/>
  <c r="IF136" i="1" s="1"/>
  <c r="IG136" i="1" s="1"/>
  <c r="IH136" i="1" s="1"/>
  <c r="II136" i="1" s="1"/>
  <c r="IJ136" i="1" s="1"/>
  <c r="IK136" i="1" s="1"/>
  <c r="IL136" i="1" s="1"/>
  <c r="IM136" i="1" s="1"/>
  <c r="IN136" i="1" s="1"/>
  <c r="IO136" i="1" s="1"/>
  <c r="IP136" i="1" s="1"/>
  <c r="IQ136" i="1" s="1"/>
  <c r="IR136" i="1" s="1"/>
  <c r="AI133" i="1"/>
  <c r="AI135" i="1"/>
  <c r="AI107" i="1"/>
  <c r="EW107" i="1" s="1"/>
  <c r="EX107" i="1" s="1"/>
  <c r="EY107" i="1" s="1"/>
  <c r="EZ107" i="1" s="1"/>
  <c r="FA107" i="1" s="1"/>
  <c r="FB107" i="1" s="1"/>
  <c r="FC107" i="1" s="1"/>
  <c r="FD107" i="1" s="1"/>
  <c r="FE107" i="1" s="1"/>
  <c r="FF107" i="1" s="1"/>
  <c r="FG107" i="1" s="1"/>
  <c r="FH107" i="1" s="1"/>
  <c r="FI107" i="1" s="1"/>
  <c r="FJ107" i="1" s="1"/>
  <c r="FK107" i="1" s="1"/>
  <c r="FL107" i="1" s="1"/>
  <c r="FM107" i="1" s="1"/>
  <c r="FN107" i="1" s="1"/>
  <c r="FO107" i="1" s="1"/>
  <c r="FP107" i="1" s="1"/>
  <c r="FQ107" i="1" s="1"/>
  <c r="FR107" i="1" s="1"/>
  <c r="FS107" i="1" s="1"/>
  <c r="FT107" i="1" s="1"/>
  <c r="FU107" i="1" s="1"/>
  <c r="FV107" i="1" s="1"/>
  <c r="FW107" i="1" s="1"/>
  <c r="FX107" i="1" s="1"/>
  <c r="FY107" i="1" s="1"/>
  <c r="FZ107" i="1" s="1"/>
  <c r="GA107" i="1" s="1"/>
  <c r="GB107" i="1" s="1"/>
  <c r="GC107" i="1" s="1"/>
  <c r="GD107" i="1" s="1"/>
  <c r="GE107" i="1" s="1"/>
  <c r="GF107" i="1" s="1"/>
  <c r="GG107" i="1" s="1"/>
  <c r="GH107" i="1" s="1"/>
  <c r="GI107" i="1" s="1"/>
  <c r="GJ107" i="1" s="1"/>
  <c r="GK107" i="1" s="1"/>
  <c r="GL107" i="1" s="1"/>
  <c r="GM107" i="1" s="1"/>
  <c r="GN107" i="1" s="1"/>
  <c r="GO107" i="1" s="1"/>
  <c r="GP107" i="1" s="1"/>
  <c r="GQ107" i="1" s="1"/>
  <c r="GR107" i="1" s="1"/>
  <c r="GS107" i="1" s="1"/>
  <c r="GT107" i="1" s="1"/>
  <c r="GU107" i="1" s="1"/>
  <c r="GV107" i="1" s="1"/>
  <c r="GW107" i="1" s="1"/>
  <c r="GX107" i="1" s="1"/>
  <c r="GY107" i="1" s="1"/>
  <c r="GZ107" i="1" s="1"/>
  <c r="HA107" i="1" s="1"/>
  <c r="HB107" i="1" s="1"/>
  <c r="HC107" i="1" s="1"/>
  <c r="HD107" i="1" s="1"/>
  <c r="HE107" i="1" s="1"/>
  <c r="HF107" i="1" s="1"/>
  <c r="HG107" i="1" s="1"/>
  <c r="HH107" i="1" s="1"/>
  <c r="HI107" i="1" s="1"/>
  <c r="HJ107" i="1" s="1"/>
  <c r="HK107" i="1" s="1"/>
  <c r="HL107" i="1" s="1"/>
  <c r="HM107" i="1" s="1"/>
  <c r="HN107" i="1" s="1"/>
  <c r="HO107" i="1" s="1"/>
  <c r="HP107" i="1" s="1"/>
  <c r="HQ107" i="1" s="1"/>
  <c r="HR107" i="1" s="1"/>
  <c r="HS107" i="1" s="1"/>
  <c r="HT107" i="1" s="1"/>
  <c r="HU107" i="1" s="1"/>
  <c r="HV107" i="1" s="1"/>
  <c r="HW107" i="1" s="1"/>
  <c r="HX107" i="1" s="1"/>
  <c r="HY107" i="1" s="1"/>
  <c r="HZ107" i="1" s="1"/>
  <c r="IA107" i="1" s="1"/>
  <c r="IB107" i="1" s="1"/>
  <c r="IC107" i="1" s="1"/>
  <c r="ID107" i="1" s="1"/>
  <c r="IE107" i="1" s="1"/>
  <c r="IF107" i="1" s="1"/>
  <c r="IG107" i="1" s="1"/>
  <c r="IH107" i="1" s="1"/>
  <c r="II107" i="1" s="1"/>
  <c r="IJ107" i="1" s="1"/>
  <c r="IK107" i="1" s="1"/>
  <c r="IL107" i="1" s="1"/>
  <c r="IM107" i="1" s="1"/>
  <c r="IN107" i="1" s="1"/>
  <c r="IO107" i="1" s="1"/>
  <c r="IP107" i="1" s="1"/>
  <c r="IQ107" i="1" s="1"/>
  <c r="IR107" i="1" s="1"/>
  <c r="AI102" i="1"/>
  <c r="AI40" i="1"/>
  <c r="EW40" i="1" s="1"/>
  <c r="EX40" i="1" s="1"/>
  <c r="EY40" i="1" s="1"/>
  <c r="EZ40" i="1" s="1"/>
  <c r="FA40" i="1" s="1"/>
  <c r="FB40" i="1" s="1"/>
  <c r="FC40" i="1" s="1"/>
  <c r="FD40" i="1" s="1"/>
  <c r="FE40" i="1" s="1"/>
  <c r="FF40" i="1" s="1"/>
  <c r="FG40" i="1" s="1"/>
  <c r="FH40" i="1" s="1"/>
  <c r="FI40" i="1" s="1"/>
  <c r="FJ40" i="1" s="1"/>
  <c r="FK40" i="1" s="1"/>
  <c r="FL40" i="1" s="1"/>
  <c r="FM40" i="1" s="1"/>
  <c r="FN40" i="1" s="1"/>
  <c r="FO40" i="1" s="1"/>
  <c r="FP40" i="1" s="1"/>
  <c r="FQ40" i="1" s="1"/>
  <c r="FR40" i="1" s="1"/>
  <c r="FS40" i="1" s="1"/>
  <c r="FT40" i="1" s="1"/>
  <c r="FU40" i="1" s="1"/>
  <c r="FV40" i="1" s="1"/>
  <c r="FW40" i="1" s="1"/>
  <c r="FX40" i="1" s="1"/>
  <c r="FY40" i="1" s="1"/>
  <c r="FZ40" i="1" s="1"/>
  <c r="GA40" i="1" s="1"/>
  <c r="GB40" i="1" s="1"/>
  <c r="GC40" i="1" s="1"/>
  <c r="GD40" i="1" s="1"/>
  <c r="GE40" i="1" s="1"/>
  <c r="GF40" i="1" s="1"/>
  <c r="GG40" i="1" s="1"/>
  <c r="GH40" i="1" s="1"/>
  <c r="GI40" i="1" s="1"/>
  <c r="GJ40" i="1" s="1"/>
  <c r="GK40" i="1" s="1"/>
  <c r="GL40" i="1" s="1"/>
  <c r="GM40" i="1" s="1"/>
  <c r="GN40" i="1" s="1"/>
  <c r="GO40" i="1" s="1"/>
  <c r="GP40" i="1" s="1"/>
  <c r="GQ40" i="1" s="1"/>
  <c r="GR40" i="1" s="1"/>
  <c r="GS40" i="1" s="1"/>
  <c r="GT40" i="1" s="1"/>
  <c r="GU40" i="1" s="1"/>
  <c r="GV40" i="1" s="1"/>
  <c r="GW40" i="1" s="1"/>
  <c r="GX40" i="1" s="1"/>
  <c r="GY40" i="1" s="1"/>
  <c r="GZ40" i="1" s="1"/>
  <c r="HA40" i="1" s="1"/>
  <c r="HB40" i="1" s="1"/>
  <c r="HC40" i="1" s="1"/>
  <c r="HD40" i="1" s="1"/>
  <c r="HE40" i="1" s="1"/>
  <c r="HF40" i="1" s="1"/>
  <c r="HG40" i="1" s="1"/>
  <c r="HH40" i="1" s="1"/>
  <c r="HI40" i="1" s="1"/>
  <c r="HJ40" i="1" s="1"/>
  <c r="HK40" i="1" s="1"/>
  <c r="HL40" i="1" s="1"/>
  <c r="HM40" i="1" s="1"/>
  <c r="HN40" i="1" s="1"/>
  <c r="HO40" i="1" s="1"/>
  <c r="HP40" i="1" s="1"/>
  <c r="HQ40" i="1" s="1"/>
  <c r="HR40" i="1" s="1"/>
  <c r="HS40" i="1" s="1"/>
  <c r="HT40" i="1" s="1"/>
  <c r="HU40" i="1" s="1"/>
  <c r="HV40" i="1" s="1"/>
  <c r="HW40" i="1" s="1"/>
  <c r="HX40" i="1" s="1"/>
  <c r="HY40" i="1" s="1"/>
  <c r="HZ40" i="1" s="1"/>
  <c r="IA40" i="1" s="1"/>
  <c r="IB40" i="1" s="1"/>
  <c r="IC40" i="1" s="1"/>
  <c r="ID40" i="1" s="1"/>
  <c r="IE40" i="1" s="1"/>
  <c r="IF40" i="1" s="1"/>
  <c r="IG40" i="1" s="1"/>
  <c r="IH40" i="1" s="1"/>
  <c r="II40" i="1" s="1"/>
  <c r="IJ40" i="1" s="1"/>
  <c r="IK40" i="1" s="1"/>
  <c r="IL40" i="1" s="1"/>
  <c r="IM40" i="1" s="1"/>
  <c r="IN40" i="1" s="1"/>
  <c r="IO40" i="1" s="1"/>
  <c r="IP40" i="1" s="1"/>
  <c r="IQ40" i="1" s="1"/>
  <c r="IR40" i="1" s="1"/>
  <c r="AI41" i="1"/>
  <c r="AN41" i="1" s="1"/>
  <c r="AO41" i="1" s="1"/>
  <c r="AI42" i="1"/>
  <c r="AI95" i="1"/>
  <c r="AI98" i="1"/>
  <c r="EW98" i="1" s="1"/>
  <c r="EX98" i="1" s="1"/>
  <c r="EY98" i="1" s="1"/>
  <c r="EZ98" i="1" s="1"/>
  <c r="FA98" i="1" s="1"/>
  <c r="FB98" i="1" s="1"/>
  <c r="FC98" i="1" s="1"/>
  <c r="FD98" i="1" s="1"/>
  <c r="FE98" i="1" s="1"/>
  <c r="FF98" i="1" s="1"/>
  <c r="FG98" i="1" s="1"/>
  <c r="FH98" i="1" s="1"/>
  <c r="FI98" i="1" s="1"/>
  <c r="FJ98" i="1" s="1"/>
  <c r="FK98" i="1" s="1"/>
  <c r="FL98" i="1" s="1"/>
  <c r="FM98" i="1" s="1"/>
  <c r="FN98" i="1" s="1"/>
  <c r="FO98" i="1" s="1"/>
  <c r="FP98" i="1" s="1"/>
  <c r="FQ98" i="1" s="1"/>
  <c r="FR98" i="1" s="1"/>
  <c r="FS98" i="1" s="1"/>
  <c r="FT98" i="1" s="1"/>
  <c r="FU98" i="1" s="1"/>
  <c r="FV98" i="1" s="1"/>
  <c r="FW98" i="1" s="1"/>
  <c r="FX98" i="1" s="1"/>
  <c r="FY98" i="1" s="1"/>
  <c r="FZ98" i="1" s="1"/>
  <c r="GA98" i="1" s="1"/>
  <c r="GB98" i="1" s="1"/>
  <c r="GC98" i="1" s="1"/>
  <c r="GD98" i="1" s="1"/>
  <c r="GE98" i="1" s="1"/>
  <c r="GF98" i="1" s="1"/>
  <c r="GG98" i="1" s="1"/>
  <c r="GH98" i="1" s="1"/>
  <c r="GI98" i="1" s="1"/>
  <c r="GJ98" i="1" s="1"/>
  <c r="GK98" i="1" s="1"/>
  <c r="GL98" i="1" s="1"/>
  <c r="GM98" i="1" s="1"/>
  <c r="GN98" i="1" s="1"/>
  <c r="GO98" i="1" s="1"/>
  <c r="GP98" i="1" s="1"/>
  <c r="GQ98" i="1" s="1"/>
  <c r="GR98" i="1" s="1"/>
  <c r="GS98" i="1" s="1"/>
  <c r="GT98" i="1" s="1"/>
  <c r="GU98" i="1" s="1"/>
  <c r="GV98" i="1" s="1"/>
  <c r="GW98" i="1" s="1"/>
  <c r="GX98" i="1" s="1"/>
  <c r="GY98" i="1" s="1"/>
  <c r="GZ98" i="1" s="1"/>
  <c r="HA98" i="1" s="1"/>
  <c r="HB98" i="1" s="1"/>
  <c r="HC98" i="1" s="1"/>
  <c r="HD98" i="1" s="1"/>
  <c r="HE98" i="1" s="1"/>
  <c r="HF98" i="1" s="1"/>
  <c r="HG98" i="1" s="1"/>
  <c r="HH98" i="1" s="1"/>
  <c r="HI98" i="1" s="1"/>
  <c r="HJ98" i="1" s="1"/>
  <c r="HK98" i="1" s="1"/>
  <c r="HL98" i="1" s="1"/>
  <c r="HM98" i="1" s="1"/>
  <c r="HN98" i="1" s="1"/>
  <c r="HO98" i="1" s="1"/>
  <c r="HP98" i="1" s="1"/>
  <c r="HQ98" i="1" s="1"/>
  <c r="HR98" i="1" s="1"/>
  <c r="HS98" i="1" s="1"/>
  <c r="HT98" i="1" s="1"/>
  <c r="HU98" i="1" s="1"/>
  <c r="HV98" i="1" s="1"/>
  <c r="HW98" i="1" s="1"/>
  <c r="HX98" i="1" s="1"/>
  <c r="HY98" i="1" s="1"/>
  <c r="HZ98" i="1" s="1"/>
  <c r="IA98" i="1" s="1"/>
  <c r="IB98" i="1" s="1"/>
  <c r="IC98" i="1" s="1"/>
  <c r="ID98" i="1" s="1"/>
  <c r="IE98" i="1" s="1"/>
  <c r="IF98" i="1" s="1"/>
  <c r="IG98" i="1" s="1"/>
  <c r="IH98" i="1" s="1"/>
  <c r="II98" i="1" s="1"/>
  <c r="IJ98" i="1" s="1"/>
  <c r="IK98" i="1" s="1"/>
  <c r="IL98" i="1" s="1"/>
  <c r="IM98" i="1" s="1"/>
  <c r="IN98" i="1" s="1"/>
  <c r="IO98" i="1" s="1"/>
  <c r="IP98" i="1" s="1"/>
  <c r="IQ98" i="1" s="1"/>
  <c r="IR98" i="1" s="1"/>
  <c r="AI99" i="1"/>
  <c r="AI116" i="1"/>
  <c r="AI117" i="1"/>
  <c r="AI118" i="1"/>
  <c r="AI37" i="1"/>
  <c r="AI38" i="1"/>
  <c r="AI39" i="1"/>
  <c r="AI144" i="1"/>
  <c r="AN144" i="1" s="1"/>
  <c r="AO144" i="1" s="1"/>
  <c r="ES144" i="1" s="1"/>
  <c r="AI145" i="1"/>
  <c r="AI48" i="1"/>
  <c r="AI49" i="1"/>
  <c r="AI50" i="1"/>
  <c r="EW50" i="1" s="1"/>
  <c r="EX50" i="1" s="1"/>
  <c r="EY50" i="1" s="1"/>
  <c r="EZ50" i="1" s="1"/>
  <c r="FA50" i="1" s="1"/>
  <c r="FB50" i="1" s="1"/>
  <c r="FC50" i="1" s="1"/>
  <c r="FD50" i="1" s="1"/>
  <c r="FE50" i="1" s="1"/>
  <c r="FF50" i="1" s="1"/>
  <c r="FG50" i="1" s="1"/>
  <c r="FH50" i="1" s="1"/>
  <c r="FI50" i="1" s="1"/>
  <c r="FJ50" i="1" s="1"/>
  <c r="FK50" i="1" s="1"/>
  <c r="FL50" i="1" s="1"/>
  <c r="FM50" i="1" s="1"/>
  <c r="FN50" i="1" s="1"/>
  <c r="FO50" i="1" s="1"/>
  <c r="FP50" i="1" s="1"/>
  <c r="FQ50" i="1" s="1"/>
  <c r="FR50" i="1" s="1"/>
  <c r="FS50" i="1" s="1"/>
  <c r="FT50" i="1" s="1"/>
  <c r="FU50" i="1" s="1"/>
  <c r="FV50" i="1" s="1"/>
  <c r="FW50" i="1" s="1"/>
  <c r="FX50" i="1" s="1"/>
  <c r="FY50" i="1" s="1"/>
  <c r="FZ50" i="1" s="1"/>
  <c r="GA50" i="1" s="1"/>
  <c r="GB50" i="1" s="1"/>
  <c r="GC50" i="1" s="1"/>
  <c r="GD50" i="1" s="1"/>
  <c r="GE50" i="1" s="1"/>
  <c r="GF50" i="1" s="1"/>
  <c r="GG50" i="1" s="1"/>
  <c r="GH50" i="1" s="1"/>
  <c r="GI50" i="1" s="1"/>
  <c r="GJ50" i="1" s="1"/>
  <c r="GK50" i="1" s="1"/>
  <c r="GL50" i="1" s="1"/>
  <c r="GM50" i="1" s="1"/>
  <c r="GN50" i="1" s="1"/>
  <c r="GO50" i="1" s="1"/>
  <c r="GP50" i="1" s="1"/>
  <c r="GQ50" i="1" s="1"/>
  <c r="GR50" i="1" s="1"/>
  <c r="GS50" i="1" s="1"/>
  <c r="GT50" i="1" s="1"/>
  <c r="GU50" i="1" s="1"/>
  <c r="GV50" i="1" s="1"/>
  <c r="GW50" i="1" s="1"/>
  <c r="GX50" i="1" s="1"/>
  <c r="GY50" i="1" s="1"/>
  <c r="GZ50" i="1" s="1"/>
  <c r="HA50" i="1" s="1"/>
  <c r="HB50" i="1" s="1"/>
  <c r="HC50" i="1" s="1"/>
  <c r="HD50" i="1" s="1"/>
  <c r="HE50" i="1" s="1"/>
  <c r="HF50" i="1" s="1"/>
  <c r="HG50" i="1" s="1"/>
  <c r="HH50" i="1" s="1"/>
  <c r="HI50" i="1" s="1"/>
  <c r="HJ50" i="1" s="1"/>
  <c r="HK50" i="1" s="1"/>
  <c r="HL50" i="1" s="1"/>
  <c r="HM50" i="1" s="1"/>
  <c r="HN50" i="1" s="1"/>
  <c r="HO50" i="1" s="1"/>
  <c r="HP50" i="1" s="1"/>
  <c r="HQ50" i="1" s="1"/>
  <c r="HR50" i="1" s="1"/>
  <c r="HS50" i="1" s="1"/>
  <c r="HT50" i="1" s="1"/>
  <c r="HU50" i="1" s="1"/>
  <c r="HV50" i="1" s="1"/>
  <c r="HW50" i="1" s="1"/>
  <c r="HX50" i="1" s="1"/>
  <c r="HY50" i="1" s="1"/>
  <c r="HZ50" i="1" s="1"/>
  <c r="IA50" i="1" s="1"/>
  <c r="IB50" i="1" s="1"/>
  <c r="IC50" i="1" s="1"/>
  <c r="ID50" i="1" s="1"/>
  <c r="IE50" i="1" s="1"/>
  <c r="IF50" i="1" s="1"/>
  <c r="IG50" i="1" s="1"/>
  <c r="IH50" i="1" s="1"/>
  <c r="II50" i="1" s="1"/>
  <c r="IJ50" i="1" s="1"/>
  <c r="IK50" i="1" s="1"/>
  <c r="IL50" i="1" s="1"/>
  <c r="IM50" i="1" s="1"/>
  <c r="IN50" i="1" s="1"/>
  <c r="IO50" i="1" s="1"/>
  <c r="IP50" i="1" s="1"/>
  <c r="IQ50" i="1" s="1"/>
  <c r="IR50" i="1" s="1"/>
  <c r="AI51" i="1"/>
  <c r="EW51" i="1" s="1"/>
  <c r="EX51" i="1" s="1"/>
  <c r="EY51" i="1" s="1"/>
  <c r="EZ51" i="1" s="1"/>
  <c r="FA51" i="1" s="1"/>
  <c r="FB51" i="1" s="1"/>
  <c r="FC51" i="1" s="1"/>
  <c r="FD51" i="1" s="1"/>
  <c r="FE51" i="1" s="1"/>
  <c r="FF51" i="1" s="1"/>
  <c r="FG51" i="1" s="1"/>
  <c r="FH51" i="1" s="1"/>
  <c r="FI51" i="1" s="1"/>
  <c r="FJ51" i="1" s="1"/>
  <c r="FK51" i="1" s="1"/>
  <c r="FL51" i="1" s="1"/>
  <c r="FM51" i="1" s="1"/>
  <c r="FN51" i="1" s="1"/>
  <c r="FO51" i="1" s="1"/>
  <c r="FP51" i="1" s="1"/>
  <c r="FQ51" i="1" s="1"/>
  <c r="FR51" i="1" s="1"/>
  <c r="FS51" i="1" s="1"/>
  <c r="FT51" i="1" s="1"/>
  <c r="FU51" i="1" s="1"/>
  <c r="FV51" i="1" s="1"/>
  <c r="FW51" i="1" s="1"/>
  <c r="FX51" i="1" s="1"/>
  <c r="FY51" i="1" s="1"/>
  <c r="FZ51" i="1" s="1"/>
  <c r="GA51" i="1" s="1"/>
  <c r="GB51" i="1" s="1"/>
  <c r="GC51" i="1" s="1"/>
  <c r="GD51" i="1" s="1"/>
  <c r="GE51" i="1" s="1"/>
  <c r="GF51" i="1" s="1"/>
  <c r="GG51" i="1" s="1"/>
  <c r="GH51" i="1" s="1"/>
  <c r="GI51" i="1" s="1"/>
  <c r="GJ51" i="1" s="1"/>
  <c r="GK51" i="1" s="1"/>
  <c r="GL51" i="1" s="1"/>
  <c r="GM51" i="1" s="1"/>
  <c r="GN51" i="1" s="1"/>
  <c r="GO51" i="1" s="1"/>
  <c r="GP51" i="1" s="1"/>
  <c r="GQ51" i="1" s="1"/>
  <c r="GR51" i="1" s="1"/>
  <c r="GS51" i="1" s="1"/>
  <c r="GT51" i="1" s="1"/>
  <c r="GU51" i="1" s="1"/>
  <c r="GV51" i="1" s="1"/>
  <c r="GW51" i="1" s="1"/>
  <c r="GX51" i="1" s="1"/>
  <c r="GY51" i="1" s="1"/>
  <c r="GZ51" i="1" s="1"/>
  <c r="HA51" i="1" s="1"/>
  <c r="HB51" i="1" s="1"/>
  <c r="HC51" i="1" s="1"/>
  <c r="HD51" i="1" s="1"/>
  <c r="HE51" i="1" s="1"/>
  <c r="HF51" i="1" s="1"/>
  <c r="HG51" i="1" s="1"/>
  <c r="HH51" i="1" s="1"/>
  <c r="HI51" i="1" s="1"/>
  <c r="HJ51" i="1" s="1"/>
  <c r="HK51" i="1" s="1"/>
  <c r="HL51" i="1" s="1"/>
  <c r="HM51" i="1" s="1"/>
  <c r="HN51" i="1" s="1"/>
  <c r="HO51" i="1" s="1"/>
  <c r="HP51" i="1" s="1"/>
  <c r="HQ51" i="1" s="1"/>
  <c r="HR51" i="1" s="1"/>
  <c r="HS51" i="1" s="1"/>
  <c r="HT51" i="1" s="1"/>
  <c r="HU51" i="1" s="1"/>
  <c r="HV51" i="1" s="1"/>
  <c r="HW51" i="1" s="1"/>
  <c r="HX51" i="1" s="1"/>
  <c r="HY51" i="1" s="1"/>
  <c r="HZ51" i="1" s="1"/>
  <c r="IA51" i="1" s="1"/>
  <c r="IB51" i="1" s="1"/>
  <c r="IC51" i="1" s="1"/>
  <c r="ID51" i="1" s="1"/>
  <c r="IE51" i="1" s="1"/>
  <c r="IF51" i="1" s="1"/>
  <c r="IG51" i="1" s="1"/>
  <c r="IH51" i="1" s="1"/>
  <c r="II51" i="1" s="1"/>
  <c r="IJ51" i="1" s="1"/>
  <c r="IK51" i="1" s="1"/>
  <c r="IL51" i="1" s="1"/>
  <c r="IM51" i="1" s="1"/>
  <c r="IN51" i="1" s="1"/>
  <c r="IO51" i="1" s="1"/>
  <c r="IP51" i="1" s="1"/>
  <c r="IQ51" i="1" s="1"/>
  <c r="IR51" i="1" s="1"/>
  <c r="AI52" i="1"/>
  <c r="AI43" i="1"/>
  <c r="AV43" i="1" s="1"/>
  <c r="AI44" i="1"/>
  <c r="AI45" i="1"/>
  <c r="AI46" i="1"/>
  <c r="AN46" i="1" s="1"/>
  <c r="AO46" i="1" s="1"/>
  <c r="DT46" i="1" s="1"/>
  <c r="AI93" i="1"/>
  <c r="AI91" i="1"/>
  <c r="AI92" i="1"/>
  <c r="AI121" i="1"/>
  <c r="AI122" i="1"/>
  <c r="AN122" i="1" s="1"/>
  <c r="AO122" i="1" s="1"/>
  <c r="AI120" i="1"/>
  <c r="EW120" i="1" s="1"/>
  <c r="EX120" i="1" s="1"/>
  <c r="EY120" i="1" s="1"/>
  <c r="EZ120" i="1" s="1"/>
  <c r="FA120" i="1" s="1"/>
  <c r="FB120" i="1" s="1"/>
  <c r="FC120" i="1" s="1"/>
  <c r="FD120" i="1" s="1"/>
  <c r="FE120" i="1" s="1"/>
  <c r="FF120" i="1" s="1"/>
  <c r="FG120" i="1" s="1"/>
  <c r="FH120" i="1" s="1"/>
  <c r="FI120" i="1" s="1"/>
  <c r="FJ120" i="1" s="1"/>
  <c r="FK120" i="1" s="1"/>
  <c r="FL120" i="1" s="1"/>
  <c r="FM120" i="1" s="1"/>
  <c r="FN120" i="1" s="1"/>
  <c r="FO120" i="1" s="1"/>
  <c r="FP120" i="1" s="1"/>
  <c r="FQ120" i="1" s="1"/>
  <c r="FR120" i="1" s="1"/>
  <c r="FS120" i="1" s="1"/>
  <c r="FT120" i="1" s="1"/>
  <c r="FU120" i="1" s="1"/>
  <c r="FV120" i="1" s="1"/>
  <c r="FW120" i="1" s="1"/>
  <c r="FX120" i="1" s="1"/>
  <c r="FY120" i="1" s="1"/>
  <c r="FZ120" i="1" s="1"/>
  <c r="GA120" i="1" s="1"/>
  <c r="GB120" i="1" s="1"/>
  <c r="GC120" i="1" s="1"/>
  <c r="GD120" i="1" s="1"/>
  <c r="GE120" i="1" s="1"/>
  <c r="GF120" i="1" s="1"/>
  <c r="GG120" i="1" s="1"/>
  <c r="GH120" i="1" s="1"/>
  <c r="GI120" i="1" s="1"/>
  <c r="GJ120" i="1" s="1"/>
  <c r="GK120" i="1" s="1"/>
  <c r="GL120" i="1" s="1"/>
  <c r="GM120" i="1" s="1"/>
  <c r="GN120" i="1" s="1"/>
  <c r="GO120" i="1" s="1"/>
  <c r="GP120" i="1" s="1"/>
  <c r="GQ120" i="1" s="1"/>
  <c r="GR120" i="1" s="1"/>
  <c r="GS120" i="1" s="1"/>
  <c r="GT120" i="1" s="1"/>
  <c r="GU120" i="1" s="1"/>
  <c r="GV120" i="1" s="1"/>
  <c r="GW120" i="1" s="1"/>
  <c r="GX120" i="1" s="1"/>
  <c r="GY120" i="1" s="1"/>
  <c r="GZ120" i="1" s="1"/>
  <c r="HA120" i="1" s="1"/>
  <c r="HB120" i="1" s="1"/>
  <c r="HC120" i="1" s="1"/>
  <c r="HD120" i="1" s="1"/>
  <c r="HE120" i="1" s="1"/>
  <c r="HF120" i="1" s="1"/>
  <c r="HG120" i="1" s="1"/>
  <c r="HH120" i="1" s="1"/>
  <c r="HI120" i="1" s="1"/>
  <c r="HJ120" i="1" s="1"/>
  <c r="HK120" i="1" s="1"/>
  <c r="HL120" i="1" s="1"/>
  <c r="HM120" i="1" s="1"/>
  <c r="HN120" i="1" s="1"/>
  <c r="HO120" i="1" s="1"/>
  <c r="HP120" i="1" s="1"/>
  <c r="HQ120" i="1" s="1"/>
  <c r="HR120" i="1" s="1"/>
  <c r="HS120" i="1" s="1"/>
  <c r="HT120" i="1" s="1"/>
  <c r="HU120" i="1" s="1"/>
  <c r="HV120" i="1" s="1"/>
  <c r="HW120" i="1" s="1"/>
  <c r="HX120" i="1" s="1"/>
  <c r="HY120" i="1" s="1"/>
  <c r="HZ120" i="1" s="1"/>
  <c r="IA120" i="1" s="1"/>
  <c r="IB120" i="1" s="1"/>
  <c r="IC120" i="1" s="1"/>
  <c r="ID120" i="1" s="1"/>
  <c r="IE120" i="1" s="1"/>
  <c r="IF120" i="1" s="1"/>
  <c r="IG120" i="1" s="1"/>
  <c r="IH120" i="1" s="1"/>
  <c r="II120" i="1" s="1"/>
  <c r="IJ120" i="1" s="1"/>
  <c r="IK120" i="1" s="1"/>
  <c r="IL120" i="1" s="1"/>
  <c r="IM120" i="1" s="1"/>
  <c r="IN120" i="1" s="1"/>
  <c r="IO120" i="1" s="1"/>
  <c r="IP120" i="1" s="1"/>
  <c r="IQ120" i="1" s="1"/>
  <c r="IR120" i="1" s="1"/>
  <c r="AI112" i="1"/>
  <c r="AI110" i="1"/>
  <c r="EW110" i="1" s="1"/>
  <c r="EX110" i="1" s="1"/>
  <c r="EY110" i="1" s="1"/>
  <c r="EZ110" i="1" s="1"/>
  <c r="FA110" i="1" s="1"/>
  <c r="FB110" i="1" s="1"/>
  <c r="FC110" i="1" s="1"/>
  <c r="FD110" i="1" s="1"/>
  <c r="FE110" i="1" s="1"/>
  <c r="FF110" i="1" s="1"/>
  <c r="FG110" i="1" s="1"/>
  <c r="FH110" i="1" s="1"/>
  <c r="FI110" i="1" s="1"/>
  <c r="FJ110" i="1" s="1"/>
  <c r="FK110" i="1" s="1"/>
  <c r="FL110" i="1" s="1"/>
  <c r="FM110" i="1" s="1"/>
  <c r="FN110" i="1" s="1"/>
  <c r="FO110" i="1" s="1"/>
  <c r="FP110" i="1" s="1"/>
  <c r="FQ110" i="1" s="1"/>
  <c r="FR110" i="1" s="1"/>
  <c r="FS110" i="1" s="1"/>
  <c r="FT110" i="1" s="1"/>
  <c r="FU110" i="1" s="1"/>
  <c r="FV110" i="1" s="1"/>
  <c r="FW110" i="1" s="1"/>
  <c r="FX110" i="1" s="1"/>
  <c r="FY110" i="1" s="1"/>
  <c r="FZ110" i="1" s="1"/>
  <c r="GA110" i="1" s="1"/>
  <c r="GB110" i="1" s="1"/>
  <c r="GC110" i="1" s="1"/>
  <c r="GD110" i="1" s="1"/>
  <c r="GE110" i="1" s="1"/>
  <c r="GF110" i="1" s="1"/>
  <c r="GG110" i="1" s="1"/>
  <c r="GH110" i="1" s="1"/>
  <c r="GI110" i="1" s="1"/>
  <c r="GJ110" i="1" s="1"/>
  <c r="GK110" i="1" s="1"/>
  <c r="GL110" i="1" s="1"/>
  <c r="GM110" i="1" s="1"/>
  <c r="GN110" i="1" s="1"/>
  <c r="GO110" i="1" s="1"/>
  <c r="GP110" i="1" s="1"/>
  <c r="GQ110" i="1" s="1"/>
  <c r="GR110" i="1" s="1"/>
  <c r="GS110" i="1" s="1"/>
  <c r="GT110" i="1" s="1"/>
  <c r="GU110" i="1" s="1"/>
  <c r="GV110" i="1" s="1"/>
  <c r="GW110" i="1" s="1"/>
  <c r="GX110" i="1" s="1"/>
  <c r="GY110" i="1" s="1"/>
  <c r="GZ110" i="1" s="1"/>
  <c r="HA110" i="1" s="1"/>
  <c r="HB110" i="1" s="1"/>
  <c r="HC110" i="1" s="1"/>
  <c r="HD110" i="1" s="1"/>
  <c r="HE110" i="1" s="1"/>
  <c r="HF110" i="1" s="1"/>
  <c r="HG110" i="1" s="1"/>
  <c r="HH110" i="1" s="1"/>
  <c r="HI110" i="1" s="1"/>
  <c r="HJ110" i="1" s="1"/>
  <c r="HK110" i="1" s="1"/>
  <c r="HL110" i="1" s="1"/>
  <c r="HM110" i="1" s="1"/>
  <c r="HN110" i="1" s="1"/>
  <c r="HO110" i="1" s="1"/>
  <c r="HP110" i="1" s="1"/>
  <c r="HQ110" i="1" s="1"/>
  <c r="HR110" i="1" s="1"/>
  <c r="HS110" i="1" s="1"/>
  <c r="HT110" i="1" s="1"/>
  <c r="HU110" i="1" s="1"/>
  <c r="HV110" i="1" s="1"/>
  <c r="HW110" i="1" s="1"/>
  <c r="HX110" i="1" s="1"/>
  <c r="HY110" i="1" s="1"/>
  <c r="HZ110" i="1" s="1"/>
  <c r="IA110" i="1" s="1"/>
  <c r="IB110" i="1" s="1"/>
  <c r="IC110" i="1" s="1"/>
  <c r="ID110" i="1" s="1"/>
  <c r="IE110" i="1" s="1"/>
  <c r="IF110" i="1" s="1"/>
  <c r="IG110" i="1" s="1"/>
  <c r="IH110" i="1" s="1"/>
  <c r="II110" i="1" s="1"/>
  <c r="IJ110" i="1" s="1"/>
  <c r="IK110" i="1" s="1"/>
  <c r="IL110" i="1" s="1"/>
  <c r="IM110" i="1" s="1"/>
  <c r="IN110" i="1" s="1"/>
  <c r="IO110" i="1" s="1"/>
  <c r="IP110" i="1" s="1"/>
  <c r="IQ110" i="1" s="1"/>
  <c r="IR110" i="1" s="1"/>
  <c r="AI109" i="1"/>
  <c r="AI108" i="1"/>
  <c r="EW108" i="1" s="1"/>
  <c r="EX108" i="1" s="1"/>
  <c r="EY108" i="1" s="1"/>
  <c r="EZ108" i="1" s="1"/>
  <c r="FA108" i="1" s="1"/>
  <c r="FB108" i="1" s="1"/>
  <c r="FC108" i="1" s="1"/>
  <c r="FD108" i="1" s="1"/>
  <c r="FE108" i="1" s="1"/>
  <c r="FF108" i="1" s="1"/>
  <c r="FG108" i="1" s="1"/>
  <c r="FH108" i="1" s="1"/>
  <c r="FI108" i="1" s="1"/>
  <c r="FJ108" i="1" s="1"/>
  <c r="FK108" i="1" s="1"/>
  <c r="FL108" i="1" s="1"/>
  <c r="FM108" i="1" s="1"/>
  <c r="FN108" i="1" s="1"/>
  <c r="FO108" i="1" s="1"/>
  <c r="FP108" i="1" s="1"/>
  <c r="FQ108" i="1" s="1"/>
  <c r="FR108" i="1" s="1"/>
  <c r="FS108" i="1" s="1"/>
  <c r="FT108" i="1" s="1"/>
  <c r="FU108" i="1" s="1"/>
  <c r="FV108" i="1" s="1"/>
  <c r="FW108" i="1" s="1"/>
  <c r="FX108" i="1" s="1"/>
  <c r="FY108" i="1" s="1"/>
  <c r="FZ108" i="1" s="1"/>
  <c r="GA108" i="1" s="1"/>
  <c r="GB108" i="1" s="1"/>
  <c r="GC108" i="1" s="1"/>
  <c r="GD108" i="1" s="1"/>
  <c r="GE108" i="1" s="1"/>
  <c r="GF108" i="1" s="1"/>
  <c r="GG108" i="1" s="1"/>
  <c r="GH108" i="1" s="1"/>
  <c r="GI108" i="1" s="1"/>
  <c r="GJ108" i="1" s="1"/>
  <c r="GK108" i="1" s="1"/>
  <c r="GL108" i="1" s="1"/>
  <c r="GM108" i="1" s="1"/>
  <c r="GN108" i="1" s="1"/>
  <c r="GO108" i="1" s="1"/>
  <c r="GP108" i="1" s="1"/>
  <c r="GQ108" i="1" s="1"/>
  <c r="GR108" i="1" s="1"/>
  <c r="GS108" i="1" s="1"/>
  <c r="GT108" i="1" s="1"/>
  <c r="GU108" i="1" s="1"/>
  <c r="GV108" i="1" s="1"/>
  <c r="GW108" i="1" s="1"/>
  <c r="GX108" i="1" s="1"/>
  <c r="GY108" i="1" s="1"/>
  <c r="GZ108" i="1" s="1"/>
  <c r="HA108" i="1" s="1"/>
  <c r="HB108" i="1" s="1"/>
  <c r="HC108" i="1" s="1"/>
  <c r="HD108" i="1" s="1"/>
  <c r="HE108" i="1" s="1"/>
  <c r="HF108" i="1" s="1"/>
  <c r="HG108" i="1" s="1"/>
  <c r="HH108" i="1" s="1"/>
  <c r="HI108" i="1" s="1"/>
  <c r="HJ108" i="1" s="1"/>
  <c r="HK108" i="1" s="1"/>
  <c r="HL108" i="1" s="1"/>
  <c r="HM108" i="1" s="1"/>
  <c r="HN108" i="1" s="1"/>
  <c r="HO108" i="1" s="1"/>
  <c r="HP108" i="1" s="1"/>
  <c r="HQ108" i="1" s="1"/>
  <c r="HR108" i="1" s="1"/>
  <c r="HS108" i="1" s="1"/>
  <c r="HT108" i="1" s="1"/>
  <c r="HU108" i="1" s="1"/>
  <c r="HV108" i="1" s="1"/>
  <c r="HW108" i="1" s="1"/>
  <c r="HX108" i="1" s="1"/>
  <c r="HY108" i="1" s="1"/>
  <c r="HZ108" i="1" s="1"/>
  <c r="IA108" i="1" s="1"/>
  <c r="IB108" i="1" s="1"/>
  <c r="IC108" i="1" s="1"/>
  <c r="ID108" i="1" s="1"/>
  <c r="IE108" i="1" s="1"/>
  <c r="IF108" i="1" s="1"/>
  <c r="IG108" i="1" s="1"/>
  <c r="IH108" i="1" s="1"/>
  <c r="II108" i="1" s="1"/>
  <c r="IJ108" i="1" s="1"/>
  <c r="IK108" i="1" s="1"/>
  <c r="IL108" i="1" s="1"/>
  <c r="IM108" i="1" s="1"/>
  <c r="IN108" i="1" s="1"/>
  <c r="IO108" i="1" s="1"/>
  <c r="IP108" i="1" s="1"/>
  <c r="IQ108" i="1" s="1"/>
  <c r="IR108" i="1" s="1"/>
  <c r="AI111" i="1"/>
  <c r="EW82" i="1"/>
  <c r="EX82" i="1" s="1"/>
  <c r="EY82" i="1" s="1"/>
  <c r="EZ82" i="1" s="1"/>
  <c r="FA82" i="1" s="1"/>
  <c r="FB82" i="1" s="1"/>
  <c r="FC82" i="1" s="1"/>
  <c r="FD82" i="1" s="1"/>
  <c r="FE82" i="1" s="1"/>
  <c r="FF82" i="1" s="1"/>
  <c r="FG82" i="1" s="1"/>
  <c r="FH82" i="1" s="1"/>
  <c r="FI82" i="1" s="1"/>
  <c r="FJ82" i="1" s="1"/>
  <c r="FK82" i="1" s="1"/>
  <c r="FL82" i="1" s="1"/>
  <c r="FM82" i="1" s="1"/>
  <c r="FN82" i="1" s="1"/>
  <c r="FO82" i="1" s="1"/>
  <c r="FP82" i="1" s="1"/>
  <c r="FQ82" i="1" s="1"/>
  <c r="FR82" i="1" s="1"/>
  <c r="FS82" i="1" s="1"/>
  <c r="FT82" i="1" s="1"/>
  <c r="FU82" i="1" s="1"/>
  <c r="FV82" i="1" s="1"/>
  <c r="FW82" i="1" s="1"/>
  <c r="FX82" i="1" s="1"/>
  <c r="FY82" i="1" s="1"/>
  <c r="FZ82" i="1" s="1"/>
  <c r="GA82" i="1" s="1"/>
  <c r="GB82" i="1" s="1"/>
  <c r="GC82" i="1" s="1"/>
  <c r="GD82" i="1" s="1"/>
  <c r="GE82" i="1" s="1"/>
  <c r="GF82" i="1" s="1"/>
  <c r="GG82" i="1" s="1"/>
  <c r="GH82" i="1" s="1"/>
  <c r="GI82" i="1" s="1"/>
  <c r="GJ82" i="1" s="1"/>
  <c r="GK82" i="1" s="1"/>
  <c r="GL82" i="1" s="1"/>
  <c r="GM82" i="1" s="1"/>
  <c r="GN82" i="1" s="1"/>
  <c r="GO82" i="1" s="1"/>
  <c r="GP82" i="1" s="1"/>
  <c r="GQ82" i="1" s="1"/>
  <c r="GR82" i="1" s="1"/>
  <c r="GS82" i="1" s="1"/>
  <c r="GT82" i="1" s="1"/>
  <c r="GU82" i="1" s="1"/>
  <c r="GV82" i="1" s="1"/>
  <c r="GW82" i="1" s="1"/>
  <c r="GX82" i="1" s="1"/>
  <c r="GY82" i="1" s="1"/>
  <c r="GZ82" i="1" s="1"/>
  <c r="HA82" i="1" s="1"/>
  <c r="HB82" i="1" s="1"/>
  <c r="HC82" i="1" s="1"/>
  <c r="HD82" i="1" s="1"/>
  <c r="HE82" i="1" s="1"/>
  <c r="HF82" i="1" s="1"/>
  <c r="HG82" i="1" s="1"/>
  <c r="HH82" i="1" s="1"/>
  <c r="HI82" i="1" s="1"/>
  <c r="HJ82" i="1" s="1"/>
  <c r="HK82" i="1" s="1"/>
  <c r="HL82" i="1" s="1"/>
  <c r="HM82" i="1" s="1"/>
  <c r="HN82" i="1" s="1"/>
  <c r="HO82" i="1" s="1"/>
  <c r="HP82" i="1" s="1"/>
  <c r="HQ82" i="1" s="1"/>
  <c r="HR82" i="1" s="1"/>
  <c r="HS82" i="1" s="1"/>
  <c r="HT82" i="1" s="1"/>
  <c r="HU82" i="1" s="1"/>
  <c r="HV82" i="1" s="1"/>
  <c r="HW82" i="1" s="1"/>
  <c r="HX82" i="1" s="1"/>
  <c r="HY82" i="1" s="1"/>
  <c r="HZ82" i="1" s="1"/>
  <c r="IA82" i="1" s="1"/>
  <c r="IB82" i="1" s="1"/>
  <c r="IC82" i="1" s="1"/>
  <c r="ID82" i="1" s="1"/>
  <c r="IE82" i="1" s="1"/>
  <c r="IF82" i="1" s="1"/>
  <c r="IG82" i="1" s="1"/>
  <c r="IH82" i="1" s="1"/>
  <c r="II82" i="1" s="1"/>
  <c r="IJ82" i="1" s="1"/>
  <c r="IK82" i="1" s="1"/>
  <c r="IL82" i="1" s="1"/>
  <c r="IM82" i="1" s="1"/>
  <c r="IN82" i="1" s="1"/>
  <c r="IO82" i="1" s="1"/>
  <c r="IP82" i="1" s="1"/>
  <c r="IQ82" i="1" s="1"/>
  <c r="IR82" i="1" s="1"/>
  <c r="J81" i="5"/>
  <c r="EW70" i="1"/>
  <c r="EX70" i="1" s="1"/>
  <c r="EY70" i="1" s="1"/>
  <c r="EZ70" i="1" s="1"/>
  <c r="FA70" i="1" s="1"/>
  <c r="FB70" i="1" s="1"/>
  <c r="FC70" i="1" s="1"/>
  <c r="FD70" i="1" s="1"/>
  <c r="FE70" i="1" s="1"/>
  <c r="FF70" i="1" s="1"/>
  <c r="FG70" i="1" s="1"/>
  <c r="FH70" i="1" s="1"/>
  <c r="FI70" i="1" s="1"/>
  <c r="FJ70" i="1" s="1"/>
  <c r="FK70" i="1" s="1"/>
  <c r="FL70" i="1" s="1"/>
  <c r="FM70" i="1" s="1"/>
  <c r="FN70" i="1" s="1"/>
  <c r="FO70" i="1" s="1"/>
  <c r="FP70" i="1" s="1"/>
  <c r="FQ70" i="1" s="1"/>
  <c r="FR70" i="1" s="1"/>
  <c r="FS70" i="1" s="1"/>
  <c r="FT70" i="1" s="1"/>
  <c r="FU70" i="1" s="1"/>
  <c r="FV70" i="1" s="1"/>
  <c r="FW70" i="1" s="1"/>
  <c r="FX70" i="1" s="1"/>
  <c r="FY70" i="1" s="1"/>
  <c r="FZ70" i="1" s="1"/>
  <c r="GA70" i="1" s="1"/>
  <c r="GB70" i="1" s="1"/>
  <c r="GC70" i="1" s="1"/>
  <c r="GD70" i="1" s="1"/>
  <c r="GE70" i="1" s="1"/>
  <c r="GF70" i="1" s="1"/>
  <c r="GG70" i="1" s="1"/>
  <c r="GH70" i="1" s="1"/>
  <c r="GI70" i="1" s="1"/>
  <c r="GJ70" i="1" s="1"/>
  <c r="GK70" i="1" s="1"/>
  <c r="GL70" i="1" s="1"/>
  <c r="GM70" i="1" s="1"/>
  <c r="GN70" i="1" s="1"/>
  <c r="GO70" i="1" s="1"/>
  <c r="GP70" i="1" s="1"/>
  <c r="GQ70" i="1" s="1"/>
  <c r="GR70" i="1" s="1"/>
  <c r="GS70" i="1" s="1"/>
  <c r="GT70" i="1" s="1"/>
  <c r="GU70" i="1" s="1"/>
  <c r="GV70" i="1" s="1"/>
  <c r="GW70" i="1" s="1"/>
  <c r="GX70" i="1" s="1"/>
  <c r="GY70" i="1" s="1"/>
  <c r="GZ70" i="1" s="1"/>
  <c r="HA70" i="1" s="1"/>
  <c r="HB70" i="1" s="1"/>
  <c r="HC70" i="1" s="1"/>
  <c r="HD70" i="1" s="1"/>
  <c r="HE70" i="1" s="1"/>
  <c r="HF70" i="1" s="1"/>
  <c r="HG70" i="1" s="1"/>
  <c r="HH70" i="1" s="1"/>
  <c r="HI70" i="1" s="1"/>
  <c r="HJ70" i="1" s="1"/>
  <c r="HK70" i="1" s="1"/>
  <c r="HL70" i="1" s="1"/>
  <c r="HM70" i="1" s="1"/>
  <c r="HN70" i="1" s="1"/>
  <c r="HO70" i="1" s="1"/>
  <c r="HP70" i="1" s="1"/>
  <c r="HQ70" i="1" s="1"/>
  <c r="HR70" i="1" s="1"/>
  <c r="HS70" i="1" s="1"/>
  <c r="HT70" i="1" s="1"/>
  <c r="HU70" i="1" s="1"/>
  <c r="HV70" i="1" s="1"/>
  <c r="HW70" i="1" s="1"/>
  <c r="HX70" i="1" s="1"/>
  <c r="HY70" i="1" s="1"/>
  <c r="HZ70" i="1" s="1"/>
  <c r="IA70" i="1" s="1"/>
  <c r="IB70" i="1" s="1"/>
  <c r="IC70" i="1" s="1"/>
  <c r="ID70" i="1" s="1"/>
  <c r="IE70" i="1" s="1"/>
  <c r="IF70" i="1" s="1"/>
  <c r="IG70" i="1" s="1"/>
  <c r="IH70" i="1" s="1"/>
  <c r="II70" i="1" s="1"/>
  <c r="IJ70" i="1" s="1"/>
  <c r="IK70" i="1" s="1"/>
  <c r="IL70" i="1" s="1"/>
  <c r="IM70" i="1" s="1"/>
  <c r="IN70" i="1" s="1"/>
  <c r="IO70" i="1" s="1"/>
  <c r="IP70" i="1" s="1"/>
  <c r="IQ70" i="1" s="1"/>
  <c r="IR70" i="1" s="1"/>
  <c r="EW55" i="1"/>
  <c r="EX55" i="1" s="1"/>
  <c r="EY55" i="1" s="1"/>
  <c r="EZ55" i="1" s="1"/>
  <c r="FA55" i="1" s="1"/>
  <c r="FB55" i="1" s="1"/>
  <c r="FC55" i="1" s="1"/>
  <c r="FD55" i="1" s="1"/>
  <c r="FE55" i="1" s="1"/>
  <c r="FF55" i="1" s="1"/>
  <c r="FG55" i="1" s="1"/>
  <c r="FH55" i="1" s="1"/>
  <c r="FI55" i="1" s="1"/>
  <c r="FJ55" i="1" s="1"/>
  <c r="FK55" i="1" s="1"/>
  <c r="FL55" i="1" s="1"/>
  <c r="FM55" i="1" s="1"/>
  <c r="FN55" i="1" s="1"/>
  <c r="FO55" i="1" s="1"/>
  <c r="FP55" i="1" s="1"/>
  <c r="FQ55" i="1" s="1"/>
  <c r="FR55" i="1" s="1"/>
  <c r="FS55" i="1" s="1"/>
  <c r="FT55" i="1" s="1"/>
  <c r="FU55" i="1" s="1"/>
  <c r="FV55" i="1" s="1"/>
  <c r="FW55" i="1" s="1"/>
  <c r="FX55" i="1" s="1"/>
  <c r="FY55" i="1" s="1"/>
  <c r="FZ55" i="1" s="1"/>
  <c r="GA55" i="1" s="1"/>
  <c r="GB55" i="1" s="1"/>
  <c r="GC55" i="1" s="1"/>
  <c r="GD55" i="1" s="1"/>
  <c r="GE55" i="1" s="1"/>
  <c r="GF55" i="1" s="1"/>
  <c r="GG55" i="1" s="1"/>
  <c r="GH55" i="1" s="1"/>
  <c r="GI55" i="1" s="1"/>
  <c r="GJ55" i="1" s="1"/>
  <c r="GK55" i="1" s="1"/>
  <c r="GL55" i="1" s="1"/>
  <c r="GM55" i="1" s="1"/>
  <c r="GN55" i="1" s="1"/>
  <c r="GO55" i="1" s="1"/>
  <c r="GP55" i="1" s="1"/>
  <c r="GQ55" i="1" s="1"/>
  <c r="GR55" i="1" s="1"/>
  <c r="GS55" i="1" s="1"/>
  <c r="GT55" i="1" s="1"/>
  <c r="GU55" i="1" s="1"/>
  <c r="GV55" i="1" s="1"/>
  <c r="GW55" i="1" s="1"/>
  <c r="GX55" i="1" s="1"/>
  <c r="GY55" i="1" s="1"/>
  <c r="GZ55" i="1" s="1"/>
  <c r="HA55" i="1" s="1"/>
  <c r="HB55" i="1" s="1"/>
  <c r="HC55" i="1" s="1"/>
  <c r="HD55" i="1" s="1"/>
  <c r="HE55" i="1" s="1"/>
  <c r="HF55" i="1" s="1"/>
  <c r="HG55" i="1" s="1"/>
  <c r="HH55" i="1" s="1"/>
  <c r="HI55" i="1" s="1"/>
  <c r="HJ55" i="1" s="1"/>
  <c r="HK55" i="1" s="1"/>
  <c r="HL55" i="1" s="1"/>
  <c r="HM55" i="1" s="1"/>
  <c r="HN55" i="1" s="1"/>
  <c r="HO55" i="1" s="1"/>
  <c r="HP55" i="1" s="1"/>
  <c r="HQ55" i="1" s="1"/>
  <c r="HR55" i="1" s="1"/>
  <c r="HS55" i="1" s="1"/>
  <c r="HT55" i="1" s="1"/>
  <c r="HU55" i="1" s="1"/>
  <c r="HV55" i="1" s="1"/>
  <c r="HW55" i="1" s="1"/>
  <c r="HX55" i="1" s="1"/>
  <c r="HY55" i="1" s="1"/>
  <c r="HZ55" i="1" s="1"/>
  <c r="IA55" i="1" s="1"/>
  <c r="IB55" i="1" s="1"/>
  <c r="IC55" i="1" s="1"/>
  <c r="ID55" i="1" s="1"/>
  <c r="IE55" i="1" s="1"/>
  <c r="IF55" i="1" s="1"/>
  <c r="IG55" i="1" s="1"/>
  <c r="IH55" i="1" s="1"/>
  <c r="II55" i="1" s="1"/>
  <c r="IJ55" i="1" s="1"/>
  <c r="IK55" i="1" s="1"/>
  <c r="IL55" i="1" s="1"/>
  <c r="IM55" i="1" s="1"/>
  <c r="IN55" i="1" s="1"/>
  <c r="IO55" i="1" s="1"/>
  <c r="IP55" i="1" s="1"/>
  <c r="IQ55" i="1" s="1"/>
  <c r="IR55" i="1" s="1"/>
  <c r="EW42" i="1"/>
  <c r="EX42" i="1" s="1"/>
  <c r="EY42" i="1" s="1"/>
  <c r="EZ42" i="1" s="1"/>
  <c r="FA42" i="1" s="1"/>
  <c r="FB42" i="1" s="1"/>
  <c r="FC42" i="1" s="1"/>
  <c r="FD42" i="1" s="1"/>
  <c r="FE42" i="1" s="1"/>
  <c r="FF42" i="1" s="1"/>
  <c r="FG42" i="1" s="1"/>
  <c r="FH42" i="1" s="1"/>
  <c r="FI42" i="1" s="1"/>
  <c r="FJ42" i="1" s="1"/>
  <c r="FK42" i="1" s="1"/>
  <c r="FL42" i="1" s="1"/>
  <c r="FM42" i="1" s="1"/>
  <c r="FN42" i="1" s="1"/>
  <c r="FO42" i="1" s="1"/>
  <c r="FP42" i="1" s="1"/>
  <c r="FQ42" i="1" s="1"/>
  <c r="FR42" i="1" s="1"/>
  <c r="FS42" i="1" s="1"/>
  <c r="FT42" i="1" s="1"/>
  <c r="FU42" i="1" s="1"/>
  <c r="FV42" i="1" s="1"/>
  <c r="FW42" i="1" s="1"/>
  <c r="FX42" i="1" s="1"/>
  <c r="FY42" i="1" s="1"/>
  <c r="FZ42" i="1" s="1"/>
  <c r="GA42" i="1" s="1"/>
  <c r="GB42" i="1" s="1"/>
  <c r="GC42" i="1" s="1"/>
  <c r="GD42" i="1" s="1"/>
  <c r="GE42" i="1" s="1"/>
  <c r="GF42" i="1" s="1"/>
  <c r="GG42" i="1" s="1"/>
  <c r="GH42" i="1" s="1"/>
  <c r="GI42" i="1" s="1"/>
  <c r="GJ42" i="1" s="1"/>
  <c r="GK42" i="1" s="1"/>
  <c r="GL42" i="1" s="1"/>
  <c r="GM42" i="1" s="1"/>
  <c r="GN42" i="1" s="1"/>
  <c r="GO42" i="1" s="1"/>
  <c r="GP42" i="1" s="1"/>
  <c r="GQ42" i="1" s="1"/>
  <c r="GR42" i="1" s="1"/>
  <c r="GS42" i="1" s="1"/>
  <c r="GT42" i="1" s="1"/>
  <c r="GU42" i="1" s="1"/>
  <c r="GV42" i="1" s="1"/>
  <c r="GW42" i="1" s="1"/>
  <c r="GX42" i="1" s="1"/>
  <c r="GY42" i="1" s="1"/>
  <c r="GZ42" i="1" s="1"/>
  <c r="HA42" i="1" s="1"/>
  <c r="HB42" i="1" s="1"/>
  <c r="HC42" i="1" s="1"/>
  <c r="HD42" i="1" s="1"/>
  <c r="HE42" i="1" s="1"/>
  <c r="HF42" i="1" s="1"/>
  <c r="HG42" i="1" s="1"/>
  <c r="HH42" i="1" s="1"/>
  <c r="HI42" i="1" s="1"/>
  <c r="HJ42" i="1" s="1"/>
  <c r="HK42" i="1" s="1"/>
  <c r="HL42" i="1" s="1"/>
  <c r="HM42" i="1" s="1"/>
  <c r="HN42" i="1" s="1"/>
  <c r="HO42" i="1" s="1"/>
  <c r="HP42" i="1" s="1"/>
  <c r="HQ42" i="1" s="1"/>
  <c r="HR42" i="1" s="1"/>
  <c r="HS42" i="1" s="1"/>
  <c r="HT42" i="1" s="1"/>
  <c r="HU42" i="1" s="1"/>
  <c r="HV42" i="1" s="1"/>
  <c r="HW42" i="1" s="1"/>
  <c r="HX42" i="1" s="1"/>
  <c r="HY42" i="1" s="1"/>
  <c r="HZ42" i="1" s="1"/>
  <c r="IA42" i="1" s="1"/>
  <c r="IB42" i="1" s="1"/>
  <c r="IC42" i="1" s="1"/>
  <c r="ID42" i="1" s="1"/>
  <c r="IE42" i="1" s="1"/>
  <c r="IF42" i="1" s="1"/>
  <c r="IG42" i="1" s="1"/>
  <c r="IH42" i="1" s="1"/>
  <c r="II42" i="1" s="1"/>
  <c r="IJ42" i="1" s="1"/>
  <c r="IK42" i="1" s="1"/>
  <c r="IL42" i="1" s="1"/>
  <c r="IM42" i="1" s="1"/>
  <c r="IN42" i="1" s="1"/>
  <c r="IO42" i="1" s="1"/>
  <c r="IP42" i="1" s="1"/>
  <c r="IQ42" i="1" s="1"/>
  <c r="IR42" i="1" s="1"/>
  <c r="EW78" i="1"/>
  <c r="EX78" i="1" s="1"/>
  <c r="EY78" i="1" s="1"/>
  <c r="EZ78" i="1" s="1"/>
  <c r="FA78" i="1" s="1"/>
  <c r="FB78" i="1" s="1"/>
  <c r="FC78" i="1" s="1"/>
  <c r="FD78" i="1" s="1"/>
  <c r="FE78" i="1" s="1"/>
  <c r="FF78" i="1" s="1"/>
  <c r="FG78" i="1" s="1"/>
  <c r="FH78" i="1" s="1"/>
  <c r="FI78" i="1" s="1"/>
  <c r="FJ78" i="1" s="1"/>
  <c r="FK78" i="1" s="1"/>
  <c r="FL78" i="1" s="1"/>
  <c r="FM78" i="1" s="1"/>
  <c r="FN78" i="1" s="1"/>
  <c r="FO78" i="1" s="1"/>
  <c r="FP78" i="1" s="1"/>
  <c r="FQ78" i="1" s="1"/>
  <c r="FR78" i="1" s="1"/>
  <c r="FS78" i="1" s="1"/>
  <c r="FT78" i="1" s="1"/>
  <c r="FU78" i="1" s="1"/>
  <c r="FV78" i="1" s="1"/>
  <c r="FW78" i="1" s="1"/>
  <c r="FX78" i="1" s="1"/>
  <c r="FY78" i="1" s="1"/>
  <c r="FZ78" i="1" s="1"/>
  <c r="GA78" i="1" s="1"/>
  <c r="GB78" i="1" s="1"/>
  <c r="GC78" i="1" s="1"/>
  <c r="GD78" i="1" s="1"/>
  <c r="GE78" i="1" s="1"/>
  <c r="GF78" i="1" s="1"/>
  <c r="GG78" i="1" s="1"/>
  <c r="GH78" i="1" s="1"/>
  <c r="GI78" i="1" s="1"/>
  <c r="GJ78" i="1" s="1"/>
  <c r="GK78" i="1" s="1"/>
  <c r="GL78" i="1" s="1"/>
  <c r="GM78" i="1" s="1"/>
  <c r="GN78" i="1" s="1"/>
  <c r="GO78" i="1" s="1"/>
  <c r="GP78" i="1" s="1"/>
  <c r="GQ78" i="1" s="1"/>
  <c r="GR78" i="1" s="1"/>
  <c r="GS78" i="1" s="1"/>
  <c r="GT78" i="1" s="1"/>
  <c r="GU78" i="1" s="1"/>
  <c r="GV78" i="1" s="1"/>
  <c r="GW78" i="1" s="1"/>
  <c r="GX78" i="1" s="1"/>
  <c r="GY78" i="1" s="1"/>
  <c r="GZ78" i="1" s="1"/>
  <c r="HA78" i="1" s="1"/>
  <c r="HB78" i="1" s="1"/>
  <c r="HC78" i="1" s="1"/>
  <c r="HD78" i="1" s="1"/>
  <c r="HE78" i="1" s="1"/>
  <c r="HF78" i="1" s="1"/>
  <c r="HG78" i="1" s="1"/>
  <c r="HH78" i="1" s="1"/>
  <c r="HI78" i="1" s="1"/>
  <c r="HJ78" i="1" s="1"/>
  <c r="HK78" i="1" s="1"/>
  <c r="HL78" i="1" s="1"/>
  <c r="HM78" i="1" s="1"/>
  <c r="HN78" i="1" s="1"/>
  <c r="HO78" i="1" s="1"/>
  <c r="HP78" i="1" s="1"/>
  <c r="HQ78" i="1" s="1"/>
  <c r="HR78" i="1" s="1"/>
  <c r="HS78" i="1" s="1"/>
  <c r="HT78" i="1" s="1"/>
  <c r="HU78" i="1" s="1"/>
  <c r="HV78" i="1" s="1"/>
  <c r="HW78" i="1" s="1"/>
  <c r="HX78" i="1" s="1"/>
  <c r="HY78" i="1" s="1"/>
  <c r="HZ78" i="1" s="1"/>
  <c r="IA78" i="1" s="1"/>
  <c r="IB78" i="1" s="1"/>
  <c r="IC78" i="1" s="1"/>
  <c r="ID78" i="1" s="1"/>
  <c r="IE78" i="1" s="1"/>
  <c r="IF78" i="1" s="1"/>
  <c r="IG78" i="1" s="1"/>
  <c r="IH78" i="1" s="1"/>
  <c r="II78" i="1" s="1"/>
  <c r="IJ78" i="1" s="1"/>
  <c r="IK78" i="1" s="1"/>
  <c r="IL78" i="1" s="1"/>
  <c r="IM78" i="1" s="1"/>
  <c r="IN78" i="1" s="1"/>
  <c r="IO78" i="1" s="1"/>
  <c r="IP78" i="1" s="1"/>
  <c r="IQ78" i="1" s="1"/>
  <c r="IR78" i="1" s="1"/>
  <c r="EW76" i="1"/>
  <c r="EX76" i="1" s="1"/>
  <c r="EY76" i="1" s="1"/>
  <c r="EZ76" i="1" s="1"/>
  <c r="FA76" i="1" s="1"/>
  <c r="FB76" i="1" s="1"/>
  <c r="FC76" i="1" s="1"/>
  <c r="FD76" i="1" s="1"/>
  <c r="FE76" i="1" s="1"/>
  <c r="FF76" i="1" s="1"/>
  <c r="FG76" i="1" s="1"/>
  <c r="FH76" i="1" s="1"/>
  <c r="FI76" i="1" s="1"/>
  <c r="FJ76" i="1" s="1"/>
  <c r="FK76" i="1" s="1"/>
  <c r="FL76" i="1" s="1"/>
  <c r="FM76" i="1" s="1"/>
  <c r="FN76" i="1" s="1"/>
  <c r="FO76" i="1" s="1"/>
  <c r="FP76" i="1" s="1"/>
  <c r="FQ76" i="1" s="1"/>
  <c r="FR76" i="1" s="1"/>
  <c r="FS76" i="1" s="1"/>
  <c r="FT76" i="1" s="1"/>
  <c r="FU76" i="1" s="1"/>
  <c r="FV76" i="1" s="1"/>
  <c r="FW76" i="1" s="1"/>
  <c r="FX76" i="1" s="1"/>
  <c r="FY76" i="1" s="1"/>
  <c r="FZ76" i="1" s="1"/>
  <c r="GA76" i="1" s="1"/>
  <c r="GB76" i="1" s="1"/>
  <c r="GC76" i="1" s="1"/>
  <c r="GD76" i="1" s="1"/>
  <c r="GE76" i="1" s="1"/>
  <c r="GF76" i="1" s="1"/>
  <c r="GG76" i="1" s="1"/>
  <c r="GH76" i="1" s="1"/>
  <c r="GI76" i="1" s="1"/>
  <c r="GJ76" i="1" s="1"/>
  <c r="GK76" i="1" s="1"/>
  <c r="GL76" i="1" s="1"/>
  <c r="GM76" i="1" s="1"/>
  <c r="GN76" i="1" s="1"/>
  <c r="GO76" i="1" s="1"/>
  <c r="GP76" i="1" s="1"/>
  <c r="GQ76" i="1" s="1"/>
  <c r="GR76" i="1" s="1"/>
  <c r="GS76" i="1" s="1"/>
  <c r="GT76" i="1" s="1"/>
  <c r="GU76" i="1" s="1"/>
  <c r="GV76" i="1" s="1"/>
  <c r="GW76" i="1" s="1"/>
  <c r="GX76" i="1" s="1"/>
  <c r="GY76" i="1" s="1"/>
  <c r="GZ76" i="1" s="1"/>
  <c r="HA76" i="1" s="1"/>
  <c r="HB76" i="1" s="1"/>
  <c r="HC76" i="1" s="1"/>
  <c r="HD76" i="1" s="1"/>
  <c r="HE76" i="1" s="1"/>
  <c r="HF76" i="1" s="1"/>
  <c r="HG76" i="1" s="1"/>
  <c r="HH76" i="1" s="1"/>
  <c r="HI76" i="1" s="1"/>
  <c r="HJ76" i="1" s="1"/>
  <c r="HK76" i="1" s="1"/>
  <c r="HL76" i="1" s="1"/>
  <c r="HM76" i="1" s="1"/>
  <c r="HN76" i="1" s="1"/>
  <c r="HO76" i="1" s="1"/>
  <c r="HP76" i="1" s="1"/>
  <c r="HQ76" i="1" s="1"/>
  <c r="HR76" i="1" s="1"/>
  <c r="HS76" i="1" s="1"/>
  <c r="HT76" i="1" s="1"/>
  <c r="HU76" i="1" s="1"/>
  <c r="HV76" i="1" s="1"/>
  <c r="HW76" i="1" s="1"/>
  <c r="HX76" i="1" s="1"/>
  <c r="HY76" i="1" s="1"/>
  <c r="HZ76" i="1" s="1"/>
  <c r="IA76" i="1" s="1"/>
  <c r="IB76" i="1" s="1"/>
  <c r="IC76" i="1" s="1"/>
  <c r="ID76" i="1" s="1"/>
  <c r="IE76" i="1" s="1"/>
  <c r="IF76" i="1" s="1"/>
  <c r="IG76" i="1" s="1"/>
  <c r="IH76" i="1" s="1"/>
  <c r="II76" i="1" s="1"/>
  <c r="IJ76" i="1" s="1"/>
  <c r="IK76" i="1" s="1"/>
  <c r="IL76" i="1" s="1"/>
  <c r="IM76" i="1" s="1"/>
  <c r="IN76" i="1" s="1"/>
  <c r="IO76" i="1" s="1"/>
  <c r="IP76" i="1" s="1"/>
  <c r="IQ76" i="1" s="1"/>
  <c r="IR76" i="1" s="1"/>
  <c r="EW47" i="1"/>
  <c r="EX47" i="1" s="1"/>
  <c r="EY47" i="1" s="1"/>
  <c r="EZ47" i="1" s="1"/>
  <c r="FA47" i="1" s="1"/>
  <c r="FB47" i="1" s="1"/>
  <c r="FC47" i="1" s="1"/>
  <c r="FD47" i="1" s="1"/>
  <c r="FE47" i="1" s="1"/>
  <c r="FF47" i="1" s="1"/>
  <c r="FG47" i="1" s="1"/>
  <c r="FH47" i="1" s="1"/>
  <c r="FI47" i="1" s="1"/>
  <c r="FJ47" i="1" s="1"/>
  <c r="FK47" i="1" s="1"/>
  <c r="FL47" i="1" s="1"/>
  <c r="FM47" i="1" s="1"/>
  <c r="FN47" i="1" s="1"/>
  <c r="FO47" i="1" s="1"/>
  <c r="FP47" i="1" s="1"/>
  <c r="FQ47" i="1" s="1"/>
  <c r="FR47" i="1" s="1"/>
  <c r="FS47" i="1" s="1"/>
  <c r="FT47" i="1" s="1"/>
  <c r="FU47" i="1" s="1"/>
  <c r="FV47" i="1" s="1"/>
  <c r="FW47" i="1" s="1"/>
  <c r="FX47" i="1" s="1"/>
  <c r="FY47" i="1" s="1"/>
  <c r="FZ47" i="1" s="1"/>
  <c r="GA47" i="1" s="1"/>
  <c r="GB47" i="1" s="1"/>
  <c r="GC47" i="1" s="1"/>
  <c r="GD47" i="1" s="1"/>
  <c r="GE47" i="1" s="1"/>
  <c r="GF47" i="1" s="1"/>
  <c r="GG47" i="1" s="1"/>
  <c r="GH47" i="1" s="1"/>
  <c r="GI47" i="1" s="1"/>
  <c r="GJ47" i="1" s="1"/>
  <c r="GK47" i="1" s="1"/>
  <c r="GL47" i="1" s="1"/>
  <c r="GM47" i="1" s="1"/>
  <c r="GN47" i="1" s="1"/>
  <c r="GO47" i="1" s="1"/>
  <c r="GP47" i="1" s="1"/>
  <c r="GQ47" i="1" s="1"/>
  <c r="GR47" i="1" s="1"/>
  <c r="GS47" i="1" s="1"/>
  <c r="GT47" i="1" s="1"/>
  <c r="GU47" i="1" s="1"/>
  <c r="GV47" i="1" s="1"/>
  <c r="GW47" i="1" s="1"/>
  <c r="GX47" i="1" s="1"/>
  <c r="GY47" i="1" s="1"/>
  <c r="GZ47" i="1" s="1"/>
  <c r="HA47" i="1" s="1"/>
  <c r="HB47" i="1" s="1"/>
  <c r="HC47" i="1" s="1"/>
  <c r="HD47" i="1" s="1"/>
  <c r="HE47" i="1" s="1"/>
  <c r="HF47" i="1" s="1"/>
  <c r="HG47" i="1" s="1"/>
  <c r="HH47" i="1" s="1"/>
  <c r="HI47" i="1" s="1"/>
  <c r="HJ47" i="1" s="1"/>
  <c r="HK47" i="1" s="1"/>
  <c r="HL47" i="1" s="1"/>
  <c r="HM47" i="1" s="1"/>
  <c r="HN47" i="1" s="1"/>
  <c r="HO47" i="1" s="1"/>
  <c r="HP47" i="1" s="1"/>
  <c r="HQ47" i="1" s="1"/>
  <c r="HR47" i="1" s="1"/>
  <c r="HS47" i="1" s="1"/>
  <c r="HT47" i="1" s="1"/>
  <c r="HU47" i="1" s="1"/>
  <c r="HV47" i="1" s="1"/>
  <c r="HW47" i="1" s="1"/>
  <c r="HX47" i="1" s="1"/>
  <c r="HY47" i="1" s="1"/>
  <c r="HZ47" i="1" s="1"/>
  <c r="IA47" i="1" s="1"/>
  <c r="IB47" i="1" s="1"/>
  <c r="IC47" i="1" s="1"/>
  <c r="ID47" i="1" s="1"/>
  <c r="IE47" i="1" s="1"/>
  <c r="IF47" i="1" s="1"/>
  <c r="IG47" i="1" s="1"/>
  <c r="IH47" i="1" s="1"/>
  <c r="II47" i="1" s="1"/>
  <c r="IJ47" i="1" s="1"/>
  <c r="IK47" i="1" s="1"/>
  <c r="IL47" i="1" s="1"/>
  <c r="IM47" i="1" s="1"/>
  <c r="IN47" i="1" s="1"/>
  <c r="IO47" i="1" s="1"/>
  <c r="IP47" i="1" s="1"/>
  <c r="IQ47" i="1" s="1"/>
  <c r="IR47" i="1" s="1"/>
  <c r="EW49" i="1"/>
  <c r="EX49" i="1" s="1"/>
  <c r="EY49" i="1" s="1"/>
  <c r="EZ49" i="1" s="1"/>
  <c r="FA49" i="1" s="1"/>
  <c r="FB49" i="1" s="1"/>
  <c r="FC49" i="1" s="1"/>
  <c r="FD49" i="1" s="1"/>
  <c r="FE49" i="1" s="1"/>
  <c r="FF49" i="1" s="1"/>
  <c r="FG49" i="1" s="1"/>
  <c r="FH49" i="1" s="1"/>
  <c r="FI49" i="1" s="1"/>
  <c r="FJ49" i="1" s="1"/>
  <c r="FK49" i="1" s="1"/>
  <c r="FL49" i="1" s="1"/>
  <c r="FM49" i="1" s="1"/>
  <c r="FN49" i="1" s="1"/>
  <c r="FO49" i="1" s="1"/>
  <c r="FP49" i="1" s="1"/>
  <c r="FQ49" i="1" s="1"/>
  <c r="FR49" i="1" s="1"/>
  <c r="FS49" i="1" s="1"/>
  <c r="FT49" i="1" s="1"/>
  <c r="FU49" i="1" s="1"/>
  <c r="FV49" i="1" s="1"/>
  <c r="FW49" i="1" s="1"/>
  <c r="FX49" i="1" s="1"/>
  <c r="FY49" i="1" s="1"/>
  <c r="FZ49" i="1" s="1"/>
  <c r="GA49" i="1" s="1"/>
  <c r="GB49" i="1" s="1"/>
  <c r="GC49" i="1" s="1"/>
  <c r="GD49" i="1" s="1"/>
  <c r="GE49" i="1" s="1"/>
  <c r="GF49" i="1" s="1"/>
  <c r="GG49" i="1" s="1"/>
  <c r="GH49" i="1" s="1"/>
  <c r="GI49" i="1" s="1"/>
  <c r="GJ49" i="1" s="1"/>
  <c r="GK49" i="1" s="1"/>
  <c r="GL49" i="1" s="1"/>
  <c r="GM49" i="1" s="1"/>
  <c r="GN49" i="1" s="1"/>
  <c r="GO49" i="1" s="1"/>
  <c r="GP49" i="1" s="1"/>
  <c r="GQ49" i="1" s="1"/>
  <c r="GR49" i="1" s="1"/>
  <c r="GS49" i="1" s="1"/>
  <c r="GT49" i="1" s="1"/>
  <c r="GU49" i="1" s="1"/>
  <c r="GV49" i="1" s="1"/>
  <c r="GW49" i="1" s="1"/>
  <c r="GX49" i="1" s="1"/>
  <c r="GY49" i="1" s="1"/>
  <c r="GZ49" i="1" s="1"/>
  <c r="HA49" i="1" s="1"/>
  <c r="HB49" i="1" s="1"/>
  <c r="HC49" i="1" s="1"/>
  <c r="HD49" i="1" s="1"/>
  <c r="HE49" i="1" s="1"/>
  <c r="HF49" i="1" s="1"/>
  <c r="HG49" i="1" s="1"/>
  <c r="HH49" i="1" s="1"/>
  <c r="HI49" i="1" s="1"/>
  <c r="HJ49" i="1" s="1"/>
  <c r="HK49" i="1" s="1"/>
  <c r="HL49" i="1" s="1"/>
  <c r="HM49" i="1" s="1"/>
  <c r="HN49" i="1" s="1"/>
  <c r="HO49" i="1" s="1"/>
  <c r="HP49" i="1" s="1"/>
  <c r="HQ49" i="1" s="1"/>
  <c r="HR49" i="1" s="1"/>
  <c r="HS49" i="1" s="1"/>
  <c r="HT49" i="1" s="1"/>
  <c r="HU49" i="1" s="1"/>
  <c r="HV49" i="1" s="1"/>
  <c r="HW49" i="1" s="1"/>
  <c r="HX49" i="1" s="1"/>
  <c r="HY49" i="1" s="1"/>
  <c r="HZ49" i="1" s="1"/>
  <c r="IA49" i="1" s="1"/>
  <c r="IB49" i="1" s="1"/>
  <c r="IC49" i="1" s="1"/>
  <c r="ID49" i="1" s="1"/>
  <c r="IE49" i="1" s="1"/>
  <c r="IF49" i="1" s="1"/>
  <c r="IG49" i="1" s="1"/>
  <c r="IH49" i="1" s="1"/>
  <c r="II49" i="1" s="1"/>
  <c r="IJ49" i="1" s="1"/>
  <c r="IK49" i="1" s="1"/>
  <c r="IL49" i="1" s="1"/>
  <c r="IM49" i="1" s="1"/>
  <c r="IN49" i="1" s="1"/>
  <c r="IO49" i="1" s="1"/>
  <c r="IP49" i="1" s="1"/>
  <c r="IQ49" i="1" s="1"/>
  <c r="IR49" i="1" s="1"/>
  <c r="EW100" i="1"/>
  <c r="EX100" i="1" s="1"/>
  <c r="EY100" i="1" s="1"/>
  <c r="EZ100" i="1" s="1"/>
  <c r="FA100" i="1" s="1"/>
  <c r="FB100" i="1" s="1"/>
  <c r="FC100" i="1" s="1"/>
  <c r="FD100" i="1" s="1"/>
  <c r="FE100" i="1" s="1"/>
  <c r="FF100" i="1" s="1"/>
  <c r="FG100" i="1" s="1"/>
  <c r="FH100" i="1" s="1"/>
  <c r="FI100" i="1" s="1"/>
  <c r="FJ100" i="1" s="1"/>
  <c r="FK100" i="1" s="1"/>
  <c r="FL100" i="1" s="1"/>
  <c r="FM100" i="1" s="1"/>
  <c r="FN100" i="1" s="1"/>
  <c r="FO100" i="1" s="1"/>
  <c r="FP100" i="1" s="1"/>
  <c r="FQ100" i="1" s="1"/>
  <c r="FR100" i="1" s="1"/>
  <c r="FS100" i="1" s="1"/>
  <c r="FT100" i="1" s="1"/>
  <c r="FU100" i="1" s="1"/>
  <c r="FV100" i="1" s="1"/>
  <c r="FW100" i="1" s="1"/>
  <c r="FX100" i="1" s="1"/>
  <c r="FY100" i="1" s="1"/>
  <c r="FZ100" i="1" s="1"/>
  <c r="GA100" i="1" s="1"/>
  <c r="GB100" i="1" s="1"/>
  <c r="GC100" i="1" s="1"/>
  <c r="GD100" i="1" s="1"/>
  <c r="GE100" i="1" s="1"/>
  <c r="GF100" i="1" s="1"/>
  <c r="GG100" i="1" s="1"/>
  <c r="GH100" i="1" s="1"/>
  <c r="GI100" i="1" s="1"/>
  <c r="GJ100" i="1" s="1"/>
  <c r="GK100" i="1" s="1"/>
  <c r="GL100" i="1" s="1"/>
  <c r="GM100" i="1" s="1"/>
  <c r="GN100" i="1" s="1"/>
  <c r="GO100" i="1" s="1"/>
  <c r="GP100" i="1" s="1"/>
  <c r="GQ100" i="1" s="1"/>
  <c r="GR100" i="1" s="1"/>
  <c r="GS100" i="1" s="1"/>
  <c r="GT100" i="1" s="1"/>
  <c r="GU100" i="1" s="1"/>
  <c r="GV100" i="1" s="1"/>
  <c r="GW100" i="1" s="1"/>
  <c r="GX100" i="1" s="1"/>
  <c r="GY100" i="1" s="1"/>
  <c r="GZ100" i="1" s="1"/>
  <c r="HA100" i="1" s="1"/>
  <c r="HB100" i="1" s="1"/>
  <c r="HC100" i="1" s="1"/>
  <c r="HD100" i="1" s="1"/>
  <c r="HE100" i="1" s="1"/>
  <c r="HF100" i="1" s="1"/>
  <c r="HG100" i="1" s="1"/>
  <c r="HH100" i="1" s="1"/>
  <c r="HI100" i="1" s="1"/>
  <c r="HJ100" i="1" s="1"/>
  <c r="HK100" i="1" s="1"/>
  <c r="HL100" i="1" s="1"/>
  <c r="HM100" i="1" s="1"/>
  <c r="HN100" i="1" s="1"/>
  <c r="HO100" i="1" s="1"/>
  <c r="HP100" i="1" s="1"/>
  <c r="HQ100" i="1" s="1"/>
  <c r="HR100" i="1" s="1"/>
  <c r="HS100" i="1" s="1"/>
  <c r="HT100" i="1" s="1"/>
  <c r="HU100" i="1" s="1"/>
  <c r="HV100" i="1" s="1"/>
  <c r="HW100" i="1" s="1"/>
  <c r="HX100" i="1" s="1"/>
  <c r="HY100" i="1" s="1"/>
  <c r="HZ100" i="1" s="1"/>
  <c r="IA100" i="1" s="1"/>
  <c r="IB100" i="1" s="1"/>
  <c r="IC100" i="1" s="1"/>
  <c r="ID100" i="1" s="1"/>
  <c r="IE100" i="1" s="1"/>
  <c r="IF100" i="1" s="1"/>
  <c r="IG100" i="1" s="1"/>
  <c r="IH100" i="1" s="1"/>
  <c r="II100" i="1" s="1"/>
  <c r="IJ100" i="1" s="1"/>
  <c r="IK100" i="1" s="1"/>
  <c r="IL100" i="1" s="1"/>
  <c r="IM100" i="1" s="1"/>
  <c r="IN100" i="1" s="1"/>
  <c r="IO100" i="1" s="1"/>
  <c r="IP100" i="1" s="1"/>
  <c r="IQ100" i="1" s="1"/>
  <c r="IR100" i="1" s="1"/>
  <c r="EW102" i="1"/>
  <c r="EX102" i="1" s="1"/>
  <c r="EY102" i="1" s="1"/>
  <c r="EZ102" i="1" s="1"/>
  <c r="FA102" i="1" s="1"/>
  <c r="FB102" i="1" s="1"/>
  <c r="FC102" i="1" s="1"/>
  <c r="FD102" i="1" s="1"/>
  <c r="FE102" i="1" s="1"/>
  <c r="FF102" i="1" s="1"/>
  <c r="FG102" i="1" s="1"/>
  <c r="FH102" i="1" s="1"/>
  <c r="FI102" i="1" s="1"/>
  <c r="FJ102" i="1" s="1"/>
  <c r="FK102" i="1" s="1"/>
  <c r="FL102" i="1" s="1"/>
  <c r="FM102" i="1" s="1"/>
  <c r="FN102" i="1" s="1"/>
  <c r="FO102" i="1" s="1"/>
  <c r="FP102" i="1" s="1"/>
  <c r="FQ102" i="1" s="1"/>
  <c r="FR102" i="1" s="1"/>
  <c r="FS102" i="1" s="1"/>
  <c r="FT102" i="1" s="1"/>
  <c r="FU102" i="1" s="1"/>
  <c r="FV102" i="1" s="1"/>
  <c r="FW102" i="1" s="1"/>
  <c r="FX102" i="1" s="1"/>
  <c r="FY102" i="1" s="1"/>
  <c r="FZ102" i="1" s="1"/>
  <c r="GA102" i="1" s="1"/>
  <c r="GB102" i="1" s="1"/>
  <c r="GC102" i="1" s="1"/>
  <c r="GD102" i="1" s="1"/>
  <c r="GE102" i="1" s="1"/>
  <c r="GF102" i="1" s="1"/>
  <c r="GG102" i="1" s="1"/>
  <c r="GH102" i="1" s="1"/>
  <c r="GI102" i="1" s="1"/>
  <c r="GJ102" i="1" s="1"/>
  <c r="GK102" i="1" s="1"/>
  <c r="GL102" i="1" s="1"/>
  <c r="GM102" i="1" s="1"/>
  <c r="GN102" i="1" s="1"/>
  <c r="GO102" i="1" s="1"/>
  <c r="GP102" i="1" s="1"/>
  <c r="GQ102" i="1" s="1"/>
  <c r="GR102" i="1" s="1"/>
  <c r="GS102" i="1" s="1"/>
  <c r="GT102" i="1" s="1"/>
  <c r="GU102" i="1" s="1"/>
  <c r="GV102" i="1" s="1"/>
  <c r="GW102" i="1" s="1"/>
  <c r="GX102" i="1" s="1"/>
  <c r="GY102" i="1" s="1"/>
  <c r="GZ102" i="1" s="1"/>
  <c r="HA102" i="1" s="1"/>
  <c r="HB102" i="1" s="1"/>
  <c r="HC102" i="1" s="1"/>
  <c r="HD102" i="1" s="1"/>
  <c r="HE102" i="1" s="1"/>
  <c r="HF102" i="1" s="1"/>
  <c r="HG102" i="1" s="1"/>
  <c r="HH102" i="1" s="1"/>
  <c r="HI102" i="1" s="1"/>
  <c r="HJ102" i="1" s="1"/>
  <c r="HK102" i="1" s="1"/>
  <c r="HL102" i="1" s="1"/>
  <c r="HM102" i="1" s="1"/>
  <c r="HN102" i="1" s="1"/>
  <c r="HO102" i="1" s="1"/>
  <c r="HP102" i="1" s="1"/>
  <c r="HQ102" i="1" s="1"/>
  <c r="HR102" i="1" s="1"/>
  <c r="HS102" i="1" s="1"/>
  <c r="HT102" i="1" s="1"/>
  <c r="HU102" i="1" s="1"/>
  <c r="HV102" i="1" s="1"/>
  <c r="HW102" i="1" s="1"/>
  <c r="HX102" i="1" s="1"/>
  <c r="HY102" i="1" s="1"/>
  <c r="HZ102" i="1" s="1"/>
  <c r="IA102" i="1" s="1"/>
  <c r="IB102" i="1" s="1"/>
  <c r="IC102" i="1" s="1"/>
  <c r="ID102" i="1" s="1"/>
  <c r="IE102" i="1" s="1"/>
  <c r="IF102" i="1" s="1"/>
  <c r="IG102" i="1" s="1"/>
  <c r="IH102" i="1" s="1"/>
  <c r="II102" i="1" s="1"/>
  <c r="IJ102" i="1" s="1"/>
  <c r="IK102" i="1" s="1"/>
  <c r="IL102" i="1" s="1"/>
  <c r="IM102" i="1" s="1"/>
  <c r="IN102" i="1" s="1"/>
  <c r="IO102" i="1" s="1"/>
  <c r="IP102" i="1" s="1"/>
  <c r="IQ102" i="1" s="1"/>
  <c r="IR102" i="1" s="1"/>
  <c r="EW106" i="1"/>
  <c r="EX106" i="1" s="1"/>
  <c r="EY106" i="1" s="1"/>
  <c r="EZ106" i="1" s="1"/>
  <c r="FA106" i="1" s="1"/>
  <c r="FB106" i="1" s="1"/>
  <c r="FC106" i="1" s="1"/>
  <c r="FD106" i="1" s="1"/>
  <c r="FE106" i="1" s="1"/>
  <c r="FF106" i="1" s="1"/>
  <c r="FG106" i="1" s="1"/>
  <c r="FH106" i="1" s="1"/>
  <c r="FI106" i="1" s="1"/>
  <c r="FJ106" i="1" s="1"/>
  <c r="FK106" i="1" s="1"/>
  <c r="FL106" i="1" s="1"/>
  <c r="FM106" i="1" s="1"/>
  <c r="FN106" i="1" s="1"/>
  <c r="FO106" i="1" s="1"/>
  <c r="FP106" i="1" s="1"/>
  <c r="FQ106" i="1" s="1"/>
  <c r="FR106" i="1" s="1"/>
  <c r="FS106" i="1" s="1"/>
  <c r="FT106" i="1" s="1"/>
  <c r="FU106" i="1" s="1"/>
  <c r="FV106" i="1" s="1"/>
  <c r="FW106" i="1" s="1"/>
  <c r="FX106" i="1" s="1"/>
  <c r="FY106" i="1" s="1"/>
  <c r="FZ106" i="1" s="1"/>
  <c r="GA106" i="1" s="1"/>
  <c r="GB106" i="1" s="1"/>
  <c r="GC106" i="1" s="1"/>
  <c r="GD106" i="1" s="1"/>
  <c r="GE106" i="1" s="1"/>
  <c r="GF106" i="1" s="1"/>
  <c r="GG106" i="1" s="1"/>
  <c r="GH106" i="1" s="1"/>
  <c r="GI106" i="1" s="1"/>
  <c r="GJ106" i="1" s="1"/>
  <c r="GK106" i="1" s="1"/>
  <c r="GL106" i="1" s="1"/>
  <c r="GM106" i="1" s="1"/>
  <c r="GN106" i="1" s="1"/>
  <c r="GO106" i="1" s="1"/>
  <c r="GP106" i="1" s="1"/>
  <c r="GQ106" i="1" s="1"/>
  <c r="GR106" i="1" s="1"/>
  <c r="GS106" i="1" s="1"/>
  <c r="GT106" i="1" s="1"/>
  <c r="GU106" i="1" s="1"/>
  <c r="GV106" i="1" s="1"/>
  <c r="GW106" i="1" s="1"/>
  <c r="GX106" i="1" s="1"/>
  <c r="GY106" i="1" s="1"/>
  <c r="GZ106" i="1" s="1"/>
  <c r="HA106" i="1" s="1"/>
  <c r="HB106" i="1" s="1"/>
  <c r="HC106" i="1" s="1"/>
  <c r="HD106" i="1" s="1"/>
  <c r="HE106" i="1" s="1"/>
  <c r="HF106" i="1" s="1"/>
  <c r="HG106" i="1" s="1"/>
  <c r="HH106" i="1" s="1"/>
  <c r="HI106" i="1" s="1"/>
  <c r="HJ106" i="1" s="1"/>
  <c r="HK106" i="1" s="1"/>
  <c r="HL106" i="1" s="1"/>
  <c r="HM106" i="1" s="1"/>
  <c r="HN106" i="1" s="1"/>
  <c r="HO106" i="1" s="1"/>
  <c r="HP106" i="1" s="1"/>
  <c r="HQ106" i="1" s="1"/>
  <c r="HR106" i="1" s="1"/>
  <c r="HS106" i="1" s="1"/>
  <c r="HT106" i="1" s="1"/>
  <c r="HU106" i="1" s="1"/>
  <c r="HV106" i="1" s="1"/>
  <c r="HW106" i="1" s="1"/>
  <c r="HX106" i="1" s="1"/>
  <c r="HY106" i="1" s="1"/>
  <c r="HZ106" i="1" s="1"/>
  <c r="IA106" i="1" s="1"/>
  <c r="IB106" i="1" s="1"/>
  <c r="IC106" i="1" s="1"/>
  <c r="ID106" i="1" s="1"/>
  <c r="IE106" i="1" s="1"/>
  <c r="IF106" i="1" s="1"/>
  <c r="IG106" i="1" s="1"/>
  <c r="IH106" i="1" s="1"/>
  <c r="II106" i="1" s="1"/>
  <c r="IJ106" i="1" s="1"/>
  <c r="IK106" i="1" s="1"/>
  <c r="IL106" i="1" s="1"/>
  <c r="IM106" i="1" s="1"/>
  <c r="IN106" i="1" s="1"/>
  <c r="IO106" i="1" s="1"/>
  <c r="IP106" i="1" s="1"/>
  <c r="IQ106" i="1" s="1"/>
  <c r="IR106" i="1" s="1"/>
  <c r="EW147" i="1"/>
  <c r="EX147" i="1" s="1"/>
  <c r="EY147" i="1" s="1"/>
  <c r="EZ147" i="1" s="1"/>
  <c r="FA147" i="1" s="1"/>
  <c r="FB147" i="1" s="1"/>
  <c r="FC147" i="1" s="1"/>
  <c r="FD147" i="1" s="1"/>
  <c r="FE147" i="1" s="1"/>
  <c r="FF147" i="1" s="1"/>
  <c r="FG147" i="1" s="1"/>
  <c r="FH147" i="1" s="1"/>
  <c r="FI147" i="1" s="1"/>
  <c r="FJ147" i="1" s="1"/>
  <c r="FK147" i="1" s="1"/>
  <c r="FL147" i="1" s="1"/>
  <c r="FM147" i="1" s="1"/>
  <c r="FN147" i="1" s="1"/>
  <c r="FO147" i="1" s="1"/>
  <c r="FP147" i="1" s="1"/>
  <c r="FQ147" i="1" s="1"/>
  <c r="FR147" i="1" s="1"/>
  <c r="FS147" i="1" s="1"/>
  <c r="FT147" i="1" s="1"/>
  <c r="FU147" i="1" s="1"/>
  <c r="FV147" i="1" s="1"/>
  <c r="FW147" i="1" s="1"/>
  <c r="FX147" i="1" s="1"/>
  <c r="FY147" i="1" s="1"/>
  <c r="FZ147" i="1" s="1"/>
  <c r="GA147" i="1" s="1"/>
  <c r="GB147" i="1" s="1"/>
  <c r="GC147" i="1" s="1"/>
  <c r="GD147" i="1" s="1"/>
  <c r="GE147" i="1" s="1"/>
  <c r="GF147" i="1" s="1"/>
  <c r="GG147" i="1" s="1"/>
  <c r="GH147" i="1" s="1"/>
  <c r="GI147" i="1" s="1"/>
  <c r="GJ147" i="1" s="1"/>
  <c r="GK147" i="1" s="1"/>
  <c r="GL147" i="1" s="1"/>
  <c r="GM147" i="1" s="1"/>
  <c r="GN147" i="1" s="1"/>
  <c r="GO147" i="1" s="1"/>
  <c r="GP147" i="1" s="1"/>
  <c r="GQ147" i="1" s="1"/>
  <c r="GR147" i="1" s="1"/>
  <c r="GS147" i="1" s="1"/>
  <c r="GT147" i="1" s="1"/>
  <c r="GU147" i="1" s="1"/>
  <c r="GV147" i="1" s="1"/>
  <c r="GW147" i="1" s="1"/>
  <c r="GX147" i="1" s="1"/>
  <c r="GY147" i="1" s="1"/>
  <c r="GZ147" i="1" s="1"/>
  <c r="HA147" i="1" s="1"/>
  <c r="HB147" i="1" s="1"/>
  <c r="HC147" i="1" s="1"/>
  <c r="HD147" i="1" s="1"/>
  <c r="HE147" i="1" s="1"/>
  <c r="HF147" i="1" s="1"/>
  <c r="HG147" i="1" s="1"/>
  <c r="HH147" i="1" s="1"/>
  <c r="HI147" i="1" s="1"/>
  <c r="HJ147" i="1" s="1"/>
  <c r="HK147" i="1" s="1"/>
  <c r="HL147" i="1" s="1"/>
  <c r="HM147" i="1" s="1"/>
  <c r="HN147" i="1" s="1"/>
  <c r="HO147" i="1" s="1"/>
  <c r="HP147" i="1" s="1"/>
  <c r="HQ147" i="1" s="1"/>
  <c r="HR147" i="1" s="1"/>
  <c r="HS147" i="1" s="1"/>
  <c r="HT147" i="1" s="1"/>
  <c r="HU147" i="1" s="1"/>
  <c r="HV147" i="1" s="1"/>
  <c r="HW147" i="1" s="1"/>
  <c r="HX147" i="1" s="1"/>
  <c r="HY147" i="1" s="1"/>
  <c r="HZ147" i="1" s="1"/>
  <c r="IA147" i="1" s="1"/>
  <c r="IB147" i="1" s="1"/>
  <c r="IC147" i="1" s="1"/>
  <c r="ID147" i="1" s="1"/>
  <c r="IE147" i="1" s="1"/>
  <c r="IF147" i="1" s="1"/>
  <c r="IG147" i="1" s="1"/>
  <c r="IH147" i="1" s="1"/>
  <c r="II147" i="1" s="1"/>
  <c r="IJ147" i="1" s="1"/>
  <c r="IK147" i="1" s="1"/>
  <c r="IL147" i="1" s="1"/>
  <c r="IM147" i="1" s="1"/>
  <c r="IN147" i="1" s="1"/>
  <c r="IO147" i="1" s="1"/>
  <c r="IP147" i="1" s="1"/>
  <c r="IQ147" i="1" s="1"/>
  <c r="IR147" i="1" s="1"/>
  <c r="EW129" i="1"/>
  <c r="EX129" i="1" s="1"/>
  <c r="EY129" i="1" s="1"/>
  <c r="EZ129" i="1" s="1"/>
  <c r="FA129" i="1" s="1"/>
  <c r="FB129" i="1" s="1"/>
  <c r="FC129" i="1" s="1"/>
  <c r="FD129" i="1" s="1"/>
  <c r="FE129" i="1" s="1"/>
  <c r="FF129" i="1" s="1"/>
  <c r="FG129" i="1" s="1"/>
  <c r="FH129" i="1" s="1"/>
  <c r="FI129" i="1" s="1"/>
  <c r="FJ129" i="1" s="1"/>
  <c r="FK129" i="1" s="1"/>
  <c r="FL129" i="1" s="1"/>
  <c r="FM129" i="1" s="1"/>
  <c r="FN129" i="1" s="1"/>
  <c r="FO129" i="1" s="1"/>
  <c r="FP129" i="1" s="1"/>
  <c r="FQ129" i="1" s="1"/>
  <c r="FR129" i="1" s="1"/>
  <c r="FS129" i="1" s="1"/>
  <c r="FT129" i="1" s="1"/>
  <c r="FU129" i="1" s="1"/>
  <c r="FV129" i="1" s="1"/>
  <c r="FW129" i="1" s="1"/>
  <c r="FX129" i="1" s="1"/>
  <c r="FY129" i="1" s="1"/>
  <c r="FZ129" i="1" s="1"/>
  <c r="GA129" i="1" s="1"/>
  <c r="GB129" i="1" s="1"/>
  <c r="GC129" i="1" s="1"/>
  <c r="GD129" i="1" s="1"/>
  <c r="GE129" i="1" s="1"/>
  <c r="GF129" i="1" s="1"/>
  <c r="GG129" i="1" s="1"/>
  <c r="GH129" i="1" s="1"/>
  <c r="GI129" i="1" s="1"/>
  <c r="GJ129" i="1" s="1"/>
  <c r="GK129" i="1" s="1"/>
  <c r="GL129" i="1" s="1"/>
  <c r="GM129" i="1" s="1"/>
  <c r="GN129" i="1" s="1"/>
  <c r="GO129" i="1" s="1"/>
  <c r="GP129" i="1" s="1"/>
  <c r="GQ129" i="1" s="1"/>
  <c r="GR129" i="1" s="1"/>
  <c r="GS129" i="1" s="1"/>
  <c r="GT129" i="1" s="1"/>
  <c r="GU129" i="1" s="1"/>
  <c r="GV129" i="1" s="1"/>
  <c r="GW129" i="1" s="1"/>
  <c r="GX129" i="1" s="1"/>
  <c r="GY129" i="1" s="1"/>
  <c r="GZ129" i="1" s="1"/>
  <c r="HA129" i="1" s="1"/>
  <c r="HB129" i="1" s="1"/>
  <c r="HC129" i="1" s="1"/>
  <c r="HD129" i="1" s="1"/>
  <c r="HE129" i="1" s="1"/>
  <c r="HF129" i="1" s="1"/>
  <c r="HG129" i="1" s="1"/>
  <c r="HH129" i="1" s="1"/>
  <c r="HI129" i="1" s="1"/>
  <c r="HJ129" i="1" s="1"/>
  <c r="HK129" i="1" s="1"/>
  <c r="HL129" i="1" s="1"/>
  <c r="HM129" i="1" s="1"/>
  <c r="HN129" i="1" s="1"/>
  <c r="HO129" i="1" s="1"/>
  <c r="HP129" i="1" s="1"/>
  <c r="HQ129" i="1" s="1"/>
  <c r="HR129" i="1" s="1"/>
  <c r="HS129" i="1" s="1"/>
  <c r="HT129" i="1" s="1"/>
  <c r="HU129" i="1" s="1"/>
  <c r="HV129" i="1" s="1"/>
  <c r="HW129" i="1" s="1"/>
  <c r="HX129" i="1" s="1"/>
  <c r="HY129" i="1" s="1"/>
  <c r="HZ129" i="1" s="1"/>
  <c r="IA129" i="1" s="1"/>
  <c r="IB129" i="1" s="1"/>
  <c r="IC129" i="1" s="1"/>
  <c r="ID129" i="1" s="1"/>
  <c r="IE129" i="1" s="1"/>
  <c r="IF129" i="1" s="1"/>
  <c r="IG129" i="1" s="1"/>
  <c r="IH129" i="1" s="1"/>
  <c r="II129" i="1" s="1"/>
  <c r="IJ129" i="1" s="1"/>
  <c r="IK129" i="1" s="1"/>
  <c r="IL129" i="1" s="1"/>
  <c r="IM129" i="1" s="1"/>
  <c r="IN129" i="1" s="1"/>
  <c r="IO129" i="1" s="1"/>
  <c r="IP129" i="1" s="1"/>
  <c r="IQ129" i="1" s="1"/>
  <c r="IR129" i="1" s="1"/>
  <c r="EW142" i="1"/>
  <c r="EX142" i="1" s="1"/>
  <c r="EY142" i="1" s="1"/>
  <c r="EZ142" i="1" s="1"/>
  <c r="FA142" i="1" s="1"/>
  <c r="FB142" i="1" s="1"/>
  <c r="FC142" i="1" s="1"/>
  <c r="FD142" i="1" s="1"/>
  <c r="FE142" i="1" s="1"/>
  <c r="FF142" i="1" s="1"/>
  <c r="FG142" i="1" s="1"/>
  <c r="FH142" i="1" s="1"/>
  <c r="FI142" i="1" s="1"/>
  <c r="FJ142" i="1" s="1"/>
  <c r="FK142" i="1" s="1"/>
  <c r="FL142" i="1" s="1"/>
  <c r="FM142" i="1" s="1"/>
  <c r="FN142" i="1" s="1"/>
  <c r="FO142" i="1" s="1"/>
  <c r="FP142" i="1" s="1"/>
  <c r="FQ142" i="1" s="1"/>
  <c r="FR142" i="1" s="1"/>
  <c r="FS142" i="1" s="1"/>
  <c r="FT142" i="1" s="1"/>
  <c r="FU142" i="1" s="1"/>
  <c r="FV142" i="1" s="1"/>
  <c r="FW142" i="1" s="1"/>
  <c r="FX142" i="1" s="1"/>
  <c r="FY142" i="1" s="1"/>
  <c r="FZ142" i="1" s="1"/>
  <c r="GA142" i="1" s="1"/>
  <c r="GB142" i="1" s="1"/>
  <c r="GC142" i="1" s="1"/>
  <c r="GD142" i="1" s="1"/>
  <c r="GE142" i="1" s="1"/>
  <c r="GF142" i="1" s="1"/>
  <c r="GG142" i="1" s="1"/>
  <c r="GH142" i="1" s="1"/>
  <c r="GI142" i="1" s="1"/>
  <c r="GJ142" i="1" s="1"/>
  <c r="GK142" i="1" s="1"/>
  <c r="GL142" i="1" s="1"/>
  <c r="GM142" i="1" s="1"/>
  <c r="GN142" i="1" s="1"/>
  <c r="GO142" i="1" s="1"/>
  <c r="GP142" i="1" s="1"/>
  <c r="GQ142" i="1" s="1"/>
  <c r="GR142" i="1" s="1"/>
  <c r="GS142" i="1" s="1"/>
  <c r="GT142" i="1" s="1"/>
  <c r="GU142" i="1" s="1"/>
  <c r="GV142" i="1" s="1"/>
  <c r="GW142" i="1" s="1"/>
  <c r="GX142" i="1" s="1"/>
  <c r="GY142" i="1" s="1"/>
  <c r="GZ142" i="1" s="1"/>
  <c r="HA142" i="1" s="1"/>
  <c r="HB142" i="1" s="1"/>
  <c r="HC142" i="1" s="1"/>
  <c r="HD142" i="1" s="1"/>
  <c r="HE142" i="1" s="1"/>
  <c r="HF142" i="1" s="1"/>
  <c r="HG142" i="1" s="1"/>
  <c r="HH142" i="1" s="1"/>
  <c r="HI142" i="1" s="1"/>
  <c r="HJ142" i="1" s="1"/>
  <c r="HK142" i="1" s="1"/>
  <c r="HL142" i="1" s="1"/>
  <c r="HM142" i="1" s="1"/>
  <c r="HN142" i="1" s="1"/>
  <c r="HO142" i="1" s="1"/>
  <c r="HP142" i="1" s="1"/>
  <c r="HQ142" i="1" s="1"/>
  <c r="HR142" i="1" s="1"/>
  <c r="HS142" i="1" s="1"/>
  <c r="HT142" i="1" s="1"/>
  <c r="HU142" i="1" s="1"/>
  <c r="HV142" i="1" s="1"/>
  <c r="HW142" i="1" s="1"/>
  <c r="HX142" i="1" s="1"/>
  <c r="HY142" i="1" s="1"/>
  <c r="HZ142" i="1" s="1"/>
  <c r="IA142" i="1" s="1"/>
  <c r="IB142" i="1" s="1"/>
  <c r="IC142" i="1" s="1"/>
  <c r="ID142" i="1" s="1"/>
  <c r="IE142" i="1" s="1"/>
  <c r="IF142" i="1" s="1"/>
  <c r="IG142" i="1" s="1"/>
  <c r="IH142" i="1" s="1"/>
  <c r="II142" i="1" s="1"/>
  <c r="IJ142" i="1" s="1"/>
  <c r="IK142" i="1" s="1"/>
  <c r="IL142" i="1" s="1"/>
  <c r="IM142" i="1" s="1"/>
  <c r="IN142" i="1" s="1"/>
  <c r="IO142" i="1" s="1"/>
  <c r="IP142" i="1" s="1"/>
  <c r="IQ142" i="1" s="1"/>
  <c r="IR142" i="1" s="1"/>
  <c r="EW101" i="1"/>
  <c r="EX101" i="1" s="1"/>
  <c r="EY101" i="1" s="1"/>
  <c r="EZ101" i="1" s="1"/>
  <c r="FA101" i="1" s="1"/>
  <c r="FB101" i="1" s="1"/>
  <c r="FC101" i="1" s="1"/>
  <c r="FD101" i="1" s="1"/>
  <c r="FE101" i="1" s="1"/>
  <c r="FF101" i="1" s="1"/>
  <c r="FG101" i="1" s="1"/>
  <c r="FH101" i="1" s="1"/>
  <c r="FI101" i="1" s="1"/>
  <c r="FJ101" i="1" s="1"/>
  <c r="FK101" i="1" s="1"/>
  <c r="FL101" i="1" s="1"/>
  <c r="FM101" i="1" s="1"/>
  <c r="FN101" i="1" s="1"/>
  <c r="FO101" i="1" s="1"/>
  <c r="FP101" i="1" s="1"/>
  <c r="FQ101" i="1" s="1"/>
  <c r="FR101" i="1" s="1"/>
  <c r="FS101" i="1" s="1"/>
  <c r="FT101" i="1" s="1"/>
  <c r="FU101" i="1" s="1"/>
  <c r="FV101" i="1" s="1"/>
  <c r="FW101" i="1" s="1"/>
  <c r="FX101" i="1" s="1"/>
  <c r="FY101" i="1" s="1"/>
  <c r="FZ101" i="1" s="1"/>
  <c r="GA101" i="1" s="1"/>
  <c r="GB101" i="1" s="1"/>
  <c r="GC101" i="1" s="1"/>
  <c r="GD101" i="1" s="1"/>
  <c r="GE101" i="1" s="1"/>
  <c r="GF101" i="1" s="1"/>
  <c r="GG101" i="1" s="1"/>
  <c r="GH101" i="1" s="1"/>
  <c r="GI101" i="1" s="1"/>
  <c r="GJ101" i="1" s="1"/>
  <c r="GK101" i="1" s="1"/>
  <c r="GL101" i="1" s="1"/>
  <c r="GM101" i="1" s="1"/>
  <c r="GN101" i="1" s="1"/>
  <c r="GO101" i="1" s="1"/>
  <c r="GP101" i="1" s="1"/>
  <c r="GQ101" i="1" s="1"/>
  <c r="GR101" i="1" s="1"/>
  <c r="GS101" i="1" s="1"/>
  <c r="GT101" i="1" s="1"/>
  <c r="GU101" i="1" s="1"/>
  <c r="GV101" i="1" s="1"/>
  <c r="GW101" i="1" s="1"/>
  <c r="GX101" i="1" s="1"/>
  <c r="GY101" i="1" s="1"/>
  <c r="GZ101" i="1" s="1"/>
  <c r="HA101" i="1" s="1"/>
  <c r="HB101" i="1" s="1"/>
  <c r="HC101" i="1" s="1"/>
  <c r="HD101" i="1" s="1"/>
  <c r="HE101" i="1" s="1"/>
  <c r="HF101" i="1" s="1"/>
  <c r="HG101" i="1" s="1"/>
  <c r="HH101" i="1" s="1"/>
  <c r="HI101" i="1" s="1"/>
  <c r="HJ101" i="1" s="1"/>
  <c r="HK101" i="1" s="1"/>
  <c r="HL101" i="1" s="1"/>
  <c r="HM101" i="1" s="1"/>
  <c r="HN101" i="1" s="1"/>
  <c r="HO101" i="1" s="1"/>
  <c r="HP101" i="1" s="1"/>
  <c r="HQ101" i="1" s="1"/>
  <c r="HR101" i="1" s="1"/>
  <c r="HS101" i="1" s="1"/>
  <c r="HT101" i="1" s="1"/>
  <c r="HU101" i="1" s="1"/>
  <c r="HV101" i="1" s="1"/>
  <c r="HW101" i="1" s="1"/>
  <c r="HX101" i="1" s="1"/>
  <c r="HY101" i="1" s="1"/>
  <c r="HZ101" i="1" s="1"/>
  <c r="IA101" i="1" s="1"/>
  <c r="IB101" i="1" s="1"/>
  <c r="IC101" i="1" s="1"/>
  <c r="ID101" i="1" s="1"/>
  <c r="IE101" i="1" s="1"/>
  <c r="IF101" i="1" s="1"/>
  <c r="IG101" i="1" s="1"/>
  <c r="IH101" i="1" s="1"/>
  <c r="II101" i="1" s="1"/>
  <c r="IJ101" i="1" s="1"/>
  <c r="IK101" i="1" s="1"/>
  <c r="IL101" i="1" s="1"/>
  <c r="IM101" i="1" s="1"/>
  <c r="IN101" i="1" s="1"/>
  <c r="IO101" i="1" s="1"/>
  <c r="IP101" i="1" s="1"/>
  <c r="IQ101" i="1" s="1"/>
  <c r="IR101" i="1" s="1"/>
  <c r="EW87" i="1"/>
  <c r="EX87" i="1" s="1"/>
  <c r="EY87" i="1" s="1"/>
  <c r="EZ87" i="1" s="1"/>
  <c r="FA87" i="1" s="1"/>
  <c r="FB87" i="1" s="1"/>
  <c r="FC87" i="1" s="1"/>
  <c r="FD87" i="1" s="1"/>
  <c r="FE87" i="1" s="1"/>
  <c r="FF87" i="1" s="1"/>
  <c r="FG87" i="1" s="1"/>
  <c r="FH87" i="1" s="1"/>
  <c r="FI87" i="1" s="1"/>
  <c r="FJ87" i="1" s="1"/>
  <c r="FK87" i="1" s="1"/>
  <c r="FL87" i="1" s="1"/>
  <c r="FM87" i="1" s="1"/>
  <c r="FN87" i="1" s="1"/>
  <c r="FO87" i="1" s="1"/>
  <c r="FP87" i="1" s="1"/>
  <c r="FQ87" i="1" s="1"/>
  <c r="FR87" i="1" s="1"/>
  <c r="FS87" i="1" s="1"/>
  <c r="FT87" i="1" s="1"/>
  <c r="FU87" i="1" s="1"/>
  <c r="FV87" i="1" s="1"/>
  <c r="FW87" i="1" s="1"/>
  <c r="FX87" i="1" s="1"/>
  <c r="FY87" i="1" s="1"/>
  <c r="FZ87" i="1" s="1"/>
  <c r="GA87" i="1" s="1"/>
  <c r="GB87" i="1" s="1"/>
  <c r="GC87" i="1" s="1"/>
  <c r="GD87" i="1" s="1"/>
  <c r="GE87" i="1" s="1"/>
  <c r="GF87" i="1" s="1"/>
  <c r="GG87" i="1" s="1"/>
  <c r="GH87" i="1" s="1"/>
  <c r="GI87" i="1" s="1"/>
  <c r="GJ87" i="1" s="1"/>
  <c r="GK87" i="1" s="1"/>
  <c r="GL87" i="1" s="1"/>
  <c r="GM87" i="1" s="1"/>
  <c r="GN87" i="1" s="1"/>
  <c r="GO87" i="1" s="1"/>
  <c r="GP87" i="1" s="1"/>
  <c r="GQ87" i="1" s="1"/>
  <c r="GR87" i="1" s="1"/>
  <c r="GS87" i="1" s="1"/>
  <c r="GT87" i="1" s="1"/>
  <c r="GU87" i="1" s="1"/>
  <c r="GV87" i="1" s="1"/>
  <c r="GW87" i="1" s="1"/>
  <c r="GX87" i="1" s="1"/>
  <c r="GY87" i="1" s="1"/>
  <c r="GZ87" i="1" s="1"/>
  <c r="HA87" i="1" s="1"/>
  <c r="HB87" i="1" s="1"/>
  <c r="HC87" i="1" s="1"/>
  <c r="HD87" i="1" s="1"/>
  <c r="HE87" i="1" s="1"/>
  <c r="HF87" i="1" s="1"/>
  <c r="HG87" i="1" s="1"/>
  <c r="HH87" i="1" s="1"/>
  <c r="HI87" i="1" s="1"/>
  <c r="HJ87" i="1" s="1"/>
  <c r="HK87" i="1" s="1"/>
  <c r="HL87" i="1" s="1"/>
  <c r="HM87" i="1" s="1"/>
  <c r="HN87" i="1" s="1"/>
  <c r="HO87" i="1" s="1"/>
  <c r="HP87" i="1" s="1"/>
  <c r="HQ87" i="1" s="1"/>
  <c r="HR87" i="1" s="1"/>
  <c r="HS87" i="1" s="1"/>
  <c r="HT87" i="1" s="1"/>
  <c r="HU87" i="1" s="1"/>
  <c r="HV87" i="1" s="1"/>
  <c r="HW87" i="1" s="1"/>
  <c r="HX87" i="1" s="1"/>
  <c r="HY87" i="1" s="1"/>
  <c r="HZ87" i="1" s="1"/>
  <c r="IA87" i="1" s="1"/>
  <c r="IB87" i="1" s="1"/>
  <c r="IC87" i="1" s="1"/>
  <c r="ID87" i="1" s="1"/>
  <c r="IE87" i="1" s="1"/>
  <c r="IF87" i="1" s="1"/>
  <c r="IG87" i="1" s="1"/>
  <c r="IH87" i="1" s="1"/>
  <c r="II87" i="1" s="1"/>
  <c r="IJ87" i="1" s="1"/>
  <c r="IK87" i="1" s="1"/>
  <c r="IL87" i="1" s="1"/>
  <c r="IM87" i="1" s="1"/>
  <c r="IN87" i="1" s="1"/>
  <c r="IO87" i="1" s="1"/>
  <c r="IP87" i="1" s="1"/>
  <c r="IQ87" i="1" s="1"/>
  <c r="IR87" i="1" s="1"/>
  <c r="EW133" i="1"/>
  <c r="EX133" i="1" s="1"/>
  <c r="EY133" i="1" s="1"/>
  <c r="EZ133" i="1" s="1"/>
  <c r="FA133" i="1" s="1"/>
  <c r="FB133" i="1" s="1"/>
  <c r="FC133" i="1" s="1"/>
  <c r="FD133" i="1" s="1"/>
  <c r="FE133" i="1" s="1"/>
  <c r="FF133" i="1" s="1"/>
  <c r="FG133" i="1" s="1"/>
  <c r="FH133" i="1" s="1"/>
  <c r="FI133" i="1" s="1"/>
  <c r="FJ133" i="1" s="1"/>
  <c r="FK133" i="1" s="1"/>
  <c r="FL133" i="1" s="1"/>
  <c r="FM133" i="1" s="1"/>
  <c r="FN133" i="1" s="1"/>
  <c r="FO133" i="1" s="1"/>
  <c r="FP133" i="1" s="1"/>
  <c r="FQ133" i="1" s="1"/>
  <c r="FR133" i="1" s="1"/>
  <c r="FS133" i="1" s="1"/>
  <c r="FT133" i="1" s="1"/>
  <c r="FU133" i="1" s="1"/>
  <c r="FV133" i="1" s="1"/>
  <c r="FW133" i="1" s="1"/>
  <c r="FX133" i="1" s="1"/>
  <c r="FY133" i="1" s="1"/>
  <c r="FZ133" i="1" s="1"/>
  <c r="GA133" i="1" s="1"/>
  <c r="GB133" i="1" s="1"/>
  <c r="GC133" i="1" s="1"/>
  <c r="GD133" i="1" s="1"/>
  <c r="GE133" i="1" s="1"/>
  <c r="GF133" i="1" s="1"/>
  <c r="GG133" i="1" s="1"/>
  <c r="GH133" i="1" s="1"/>
  <c r="GI133" i="1" s="1"/>
  <c r="GJ133" i="1" s="1"/>
  <c r="GK133" i="1" s="1"/>
  <c r="GL133" i="1" s="1"/>
  <c r="GM133" i="1" s="1"/>
  <c r="GN133" i="1" s="1"/>
  <c r="GO133" i="1" s="1"/>
  <c r="GP133" i="1" s="1"/>
  <c r="GQ133" i="1" s="1"/>
  <c r="GR133" i="1" s="1"/>
  <c r="GS133" i="1" s="1"/>
  <c r="GT133" i="1" s="1"/>
  <c r="GU133" i="1" s="1"/>
  <c r="GV133" i="1" s="1"/>
  <c r="GW133" i="1" s="1"/>
  <c r="GX133" i="1" s="1"/>
  <c r="GY133" i="1" s="1"/>
  <c r="GZ133" i="1" s="1"/>
  <c r="HA133" i="1" s="1"/>
  <c r="HB133" i="1" s="1"/>
  <c r="HC133" i="1" s="1"/>
  <c r="HD133" i="1" s="1"/>
  <c r="HE133" i="1" s="1"/>
  <c r="HF133" i="1" s="1"/>
  <c r="HG133" i="1" s="1"/>
  <c r="HH133" i="1" s="1"/>
  <c r="HI133" i="1" s="1"/>
  <c r="HJ133" i="1" s="1"/>
  <c r="HK133" i="1" s="1"/>
  <c r="HL133" i="1" s="1"/>
  <c r="HM133" i="1" s="1"/>
  <c r="HN133" i="1" s="1"/>
  <c r="HO133" i="1" s="1"/>
  <c r="HP133" i="1" s="1"/>
  <c r="HQ133" i="1" s="1"/>
  <c r="HR133" i="1" s="1"/>
  <c r="HS133" i="1" s="1"/>
  <c r="HT133" i="1" s="1"/>
  <c r="HU133" i="1" s="1"/>
  <c r="HV133" i="1" s="1"/>
  <c r="HW133" i="1" s="1"/>
  <c r="HX133" i="1" s="1"/>
  <c r="HY133" i="1" s="1"/>
  <c r="HZ133" i="1" s="1"/>
  <c r="IA133" i="1" s="1"/>
  <c r="IB133" i="1" s="1"/>
  <c r="IC133" i="1" s="1"/>
  <c r="ID133" i="1" s="1"/>
  <c r="IE133" i="1" s="1"/>
  <c r="IF133" i="1" s="1"/>
  <c r="IG133" i="1" s="1"/>
  <c r="IH133" i="1" s="1"/>
  <c r="II133" i="1" s="1"/>
  <c r="IJ133" i="1" s="1"/>
  <c r="IK133" i="1" s="1"/>
  <c r="IL133" i="1" s="1"/>
  <c r="IM133" i="1" s="1"/>
  <c r="IN133" i="1" s="1"/>
  <c r="IO133" i="1" s="1"/>
  <c r="IP133" i="1" s="1"/>
  <c r="IQ133" i="1" s="1"/>
  <c r="IR133" i="1" s="1"/>
  <c r="EW93" i="1"/>
  <c r="EX93" i="1" s="1"/>
  <c r="EY93" i="1" s="1"/>
  <c r="EZ93" i="1" s="1"/>
  <c r="FA93" i="1" s="1"/>
  <c r="FB93" i="1" s="1"/>
  <c r="FC93" i="1" s="1"/>
  <c r="FD93" i="1" s="1"/>
  <c r="FE93" i="1" s="1"/>
  <c r="FF93" i="1" s="1"/>
  <c r="FG93" i="1" s="1"/>
  <c r="FH93" i="1" s="1"/>
  <c r="FI93" i="1" s="1"/>
  <c r="FJ93" i="1" s="1"/>
  <c r="FK93" i="1" s="1"/>
  <c r="FL93" i="1" s="1"/>
  <c r="FM93" i="1" s="1"/>
  <c r="FN93" i="1" s="1"/>
  <c r="FO93" i="1" s="1"/>
  <c r="FP93" i="1" s="1"/>
  <c r="FQ93" i="1" s="1"/>
  <c r="FR93" i="1" s="1"/>
  <c r="FS93" i="1" s="1"/>
  <c r="FT93" i="1" s="1"/>
  <c r="FU93" i="1" s="1"/>
  <c r="FV93" i="1" s="1"/>
  <c r="FW93" i="1" s="1"/>
  <c r="FX93" i="1" s="1"/>
  <c r="FY93" i="1" s="1"/>
  <c r="FZ93" i="1" s="1"/>
  <c r="GA93" i="1" s="1"/>
  <c r="GB93" i="1" s="1"/>
  <c r="GC93" i="1" s="1"/>
  <c r="GD93" i="1" s="1"/>
  <c r="GE93" i="1" s="1"/>
  <c r="GF93" i="1" s="1"/>
  <c r="GG93" i="1" s="1"/>
  <c r="GH93" i="1" s="1"/>
  <c r="GI93" i="1" s="1"/>
  <c r="GJ93" i="1" s="1"/>
  <c r="GK93" i="1" s="1"/>
  <c r="GL93" i="1" s="1"/>
  <c r="GM93" i="1" s="1"/>
  <c r="GN93" i="1" s="1"/>
  <c r="GO93" i="1" s="1"/>
  <c r="GP93" i="1" s="1"/>
  <c r="GQ93" i="1" s="1"/>
  <c r="GR93" i="1" s="1"/>
  <c r="GS93" i="1" s="1"/>
  <c r="GT93" i="1" s="1"/>
  <c r="GU93" i="1" s="1"/>
  <c r="GV93" i="1" s="1"/>
  <c r="GW93" i="1" s="1"/>
  <c r="GX93" i="1" s="1"/>
  <c r="GY93" i="1" s="1"/>
  <c r="GZ93" i="1" s="1"/>
  <c r="HA93" i="1" s="1"/>
  <c r="HB93" i="1" s="1"/>
  <c r="HC93" i="1" s="1"/>
  <c r="HD93" i="1" s="1"/>
  <c r="HE93" i="1" s="1"/>
  <c r="HF93" i="1" s="1"/>
  <c r="HG93" i="1" s="1"/>
  <c r="HH93" i="1" s="1"/>
  <c r="HI93" i="1" s="1"/>
  <c r="HJ93" i="1" s="1"/>
  <c r="HK93" i="1" s="1"/>
  <c r="HL93" i="1" s="1"/>
  <c r="HM93" i="1" s="1"/>
  <c r="HN93" i="1" s="1"/>
  <c r="HO93" i="1" s="1"/>
  <c r="HP93" i="1" s="1"/>
  <c r="HQ93" i="1" s="1"/>
  <c r="HR93" i="1" s="1"/>
  <c r="HS93" i="1" s="1"/>
  <c r="HT93" i="1" s="1"/>
  <c r="HU93" i="1" s="1"/>
  <c r="HV93" i="1" s="1"/>
  <c r="HW93" i="1" s="1"/>
  <c r="HX93" i="1" s="1"/>
  <c r="HY93" i="1" s="1"/>
  <c r="HZ93" i="1" s="1"/>
  <c r="IA93" i="1" s="1"/>
  <c r="IB93" i="1" s="1"/>
  <c r="IC93" i="1" s="1"/>
  <c r="ID93" i="1" s="1"/>
  <c r="IE93" i="1" s="1"/>
  <c r="IF93" i="1" s="1"/>
  <c r="IG93" i="1" s="1"/>
  <c r="IH93" i="1" s="1"/>
  <c r="II93" i="1" s="1"/>
  <c r="IJ93" i="1" s="1"/>
  <c r="IK93" i="1" s="1"/>
  <c r="IL93" i="1" s="1"/>
  <c r="IM93" i="1" s="1"/>
  <c r="IN93" i="1" s="1"/>
  <c r="IO93" i="1" s="1"/>
  <c r="IP93" i="1" s="1"/>
  <c r="IQ93" i="1" s="1"/>
  <c r="IR93" i="1" s="1"/>
  <c r="EW140" i="1"/>
  <c r="EX140" i="1" s="1"/>
  <c r="EY140" i="1" s="1"/>
  <c r="EZ140" i="1" s="1"/>
  <c r="FA140" i="1" s="1"/>
  <c r="FB140" i="1" s="1"/>
  <c r="FC140" i="1" s="1"/>
  <c r="FD140" i="1" s="1"/>
  <c r="FE140" i="1" s="1"/>
  <c r="FF140" i="1" s="1"/>
  <c r="FG140" i="1" s="1"/>
  <c r="FH140" i="1" s="1"/>
  <c r="FI140" i="1" s="1"/>
  <c r="FJ140" i="1" s="1"/>
  <c r="FK140" i="1" s="1"/>
  <c r="FL140" i="1" s="1"/>
  <c r="FM140" i="1" s="1"/>
  <c r="FN140" i="1" s="1"/>
  <c r="FO140" i="1" s="1"/>
  <c r="FP140" i="1" s="1"/>
  <c r="FQ140" i="1" s="1"/>
  <c r="FR140" i="1" s="1"/>
  <c r="FS140" i="1" s="1"/>
  <c r="FT140" i="1" s="1"/>
  <c r="FU140" i="1" s="1"/>
  <c r="FV140" i="1" s="1"/>
  <c r="FW140" i="1" s="1"/>
  <c r="FX140" i="1" s="1"/>
  <c r="FY140" i="1" s="1"/>
  <c r="FZ140" i="1" s="1"/>
  <c r="GA140" i="1" s="1"/>
  <c r="GB140" i="1" s="1"/>
  <c r="GC140" i="1" s="1"/>
  <c r="GD140" i="1" s="1"/>
  <c r="GE140" i="1" s="1"/>
  <c r="GF140" i="1" s="1"/>
  <c r="GG140" i="1" s="1"/>
  <c r="GH140" i="1" s="1"/>
  <c r="GI140" i="1" s="1"/>
  <c r="GJ140" i="1" s="1"/>
  <c r="GK140" i="1" s="1"/>
  <c r="GL140" i="1" s="1"/>
  <c r="GM140" i="1" s="1"/>
  <c r="GN140" i="1" s="1"/>
  <c r="GO140" i="1" s="1"/>
  <c r="GP140" i="1" s="1"/>
  <c r="GQ140" i="1" s="1"/>
  <c r="GR140" i="1" s="1"/>
  <c r="GS140" i="1" s="1"/>
  <c r="GT140" i="1" s="1"/>
  <c r="GU140" i="1" s="1"/>
  <c r="GV140" i="1" s="1"/>
  <c r="GW140" i="1" s="1"/>
  <c r="GX140" i="1" s="1"/>
  <c r="GY140" i="1" s="1"/>
  <c r="GZ140" i="1" s="1"/>
  <c r="HA140" i="1" s="1"/>
  <c r="HB140" i="1" s="1"/>
  <c r="HC140" i="1" s="1"/>
  <c r="HD140" i="1" s="1"/>
  <c r="HE140" i="1" s="1"/>
  <c r="HF140" i="1" s="1"/>
  <c r="HG140" i="1" s="1"/>
  <c r="HH140" i="1" s="1"/>
  <c r="HI140" i="1" s="1"/>
  <c r="HJ140" i="1" s="1"/>
  <c r="HK140" i="1" s="1"/>
  <c r="HL140" i="1" s="1"/>
  <c r="HM140" i="1" s="1"/>
  <c r="HN140" i="1" s="1"/>
  <c r="HO140" i="1" s="1"/>
  <c r="HP140" i="1" s="1"/>
  <c r="HQ140" i="1" s="1"/>
  <c r="HR140" i="1" s="1"/>
  <c r="HS140" i="1" s="1"/>
  <c r="HT140" i="1" s="1"/>
  <c r="HU140" i="1" s="1"/>
  <c r="HV140" i="1" s="1"/>
  <c r="HW140" i="1" s="1"/>
  <c r="HX140" i="1" s="1"/>
  <c r="HY140" i="1" s="1"/>
  <c r="HZ140" i="1" s="1"/>
  <c r="IA140" i="1" s="1"/>
  <c r="IB140" i="1" s="1"/>
  <c r="IC140" i="1" s="1"/>
  <c r="ID140" i="1" s="1"/>
  <c r="IE140" i="1" s="1"/>
  <c r="IF140" i="1" s="1"/>
  <c r="IG140" i="1" s="1"/>
  <c r="IH140" i="1" s="1"/>
  <c r="II140" i="1" s="1"/>
  <c r="IJ140" i="1" s="1"/>
  <c r="IK140" i="1" s="1"/>
  <c r="IL140" i="1" s="1"/>
  <c r="IM140" i="1" s="1"/>
  <c r="IN140" i="1" s="1"/>
  <c r="IO140" i="1" s="1"/>
  <c r="IP140" i="1" s="1"/>
  <c r="IQ140" i="1" s="1"/>
  <c r="IR140" i="1" s="1"/>
  <c r="EW143" i="1"/>
  <c r="EX143" i="1" s="1"/>
  <c r="EY143" i="1" s="1"/>
  <c r="EZ143" i="1" s="1"/>
  <c r="FA143" i="1" s="1"/>
  <c r="FB143" i="1" s="1"/>
  <c r="FC143" i="1" s="1"/>
  <c r="FD143" i="1" s="1"/>
  <c r="FE143" i="1" s="1"/>
  <c r="FF143" i="1" s="1"/>
  <c r="FG143" i="1" s="1"/>
  <c r="FH143" i="1" s="1"/>
  <c r="FI143" i="1" s="1"/>
  <c r="FJ143" i="1" s="1"/>
  <c r="FK143" i="1" s="1"/>
  <c r="FL143" i="1" s="1"/>
  <c r="FM143" i="1" s="1"/>
  <c r="FN143" i="1" s="1"/>
  <c r="FO143" i="1" s="1"/>
  <c r="FP143" i="1" s="1"/>
  <c r="FQ143" i="1" s="1"/>
  <c r="FR143" i="1" s="1"/>
  <c r="FS143" i="1" s="1"/>
  <c r="FT143" i="1" s="1"/>
  <c r="FU143" i="1" s="1"/>
  <c r="FV143" i="1" s="1"/>
  <c r="FW143" i="1" s="1"/>
  <c r="FX143" i="1" s="1"/>
  <c r="FY143" i="1" s="1"/>
  <c r="FZ143" i="1" s="1"/>
  <c r="GA143" i="1" s="1"/>
  <c r="GB143" i="1" s="1"/>
  <c r="GC143" i="1" s="1"/>
  <c r="GD143" i="1" s="1"/>
  <c r="GE143" i="1" s="1"/>
  <c r="GF143" i="1" s="1"/>
  <c r="GG143" i="1" s="1"/>
  <c r="GH143" i="1" s="1"/>
  <c r="GI143" i="1" s="1"/>
  <c r="GJ143" i="1" s="1"/>
  <c r="GK143" i="1" s="1"/>
  <c r="GL143" i="1" s="1"/>
  <c r="GM143" i="1" s="1"/>
  <c r="GN143" i="1" s="1"/>
  <c r="GO143" i="1" s="1"/>
  <c r="GP143" i="1" s="1"/>
  <c r="GQ143" i="1" s="1"/>
  <c r="GR143" i="1" s="1"/>
  <c r="GS143" i="1" s="1"/>
  <c r="GT143" i="1" s="1"/>
  <c r="GU143" i="1" s="1"/>
  <c r="GV143" i="1" s="1"/>
  <c r="GW143" i="1" s="1"/>
  <c r="GX143" i="1" s="1"/>
  <c r="GY143" i="1" s="1"/>
  <c r="GZ143" i="1" s="1"/>
  <c r="HA143" i="1" s="1"/>
  <c r="HB143" i="1" s="1"/>
  <c r="HC143" i="1" s="1"/>
  <c r="HD143" i="1" s="1"/>
  <c r="HE143" i="1" s="1"/>
  <c r="HF143" i="1" s="1"/>
  <c r="HG143" i="1" s="1"/>
  <c r="HH143" i="1" s="1"/>
  <c r="HI143" i="1" s="1"/>
  <c r="HJ143" i="1" s="1"/>
  <c r="HK143" i="1" s="1"/>
  <c r="HL143" i="1" s="1"/>
  <c r="HM143" i="1" s="1"/>
  <c r="HN143" i="1" s="1"/>
  <c r="HO143" i="1" s="1"/>
  <c r="HP143" i="1" s="1"/>
  <c r="HQ143" i="1" s="1"/>
  <c r="HR143" i="1" s="1"/>
  <c r="HS143" i="1" s="1"/>
  <c r="HT143" i="1" s="1"/>
  <c r="HU143" i="1" s="1"/>
  <c r="HV143" i="1" s="1"/>
  <c r="HW143" i="1" s="1"/>
  <c r="HX143" i="1" s="1"/>
  <c r="HY143" i="1" s="1"/>
  <c r="HZ143" i="1" s="1"/>
  <c r="IA143" i="1" s="1"/>
  <c r="IB143" i="1" s="1"/>
  <c r="IC143" i="1" s="1"/>
  <c r="ID143" i="1" s="1"/>
  <c r="IE143" i="1" s="1"/>
  <c r="IF143" i="1" s="1"/>
  <c r="IG143" i="1" s="1"/>
  <c r="IH143" i="1" s="1"/>
  <c r="II143" i="1" s="1"/>
  <c r="IJ143" i="1" s="1"/>
  <c r="IK143" i="1" s="1"/>
  <c r="IL143" i="1" s="1"/>
  <c r="IM143" i="1" s="1"/>
  <c r="IN143" i="1" s="1"/>
  <c r="IO143" i="1" s="1"/>
  <c r="IP143" i="1" s="1"/>
  <c r="IQ143" i="1" s="1"/>
  <c r="IR143" i="1" s="1"/>
  <c r="EW99" i="1"/>
  <c r="EX99" i="1" s="1"/>
  <c r="EY99" i="1" s="1"/>
  <c r="EZ99" i="1" s="1"/>
  <c r="FA99" i="1" s="1"/>
  <c r="FB99" i="1" s="1"/>
  <c r="FC99" i="1" s="1"/>
  <c r="FD99" i="1" s="1"/>
  <c r="FE99" i="1" s="1"/>
  <c r="FF99" i="1" s="1"/>
  <c r="FG99" i="1" s="1"/>
  <c r="FH99" i="1" s="1"/>
  <c r="FI99" i="1" s="1"/>
  <c r="FJ99" i="1" s="1"/>
  <c r="FK99" i="1" s="1"/>
  <c r="FL99" i="1" s="1"/>
  <c r="FM99" i="1" s="1"/>
  <c r="FN99" i="1" s="1"/>
  <c r="FO99" i="1" s="1"/>
  <c r="FP99" i="1" s="1"/>
  <c r="FQ99" i="1" s="1"/>
  <c r="FR99" i="1" s="1"/>
  <c r="FS99" i="1" s="1"/>
  <c r="FT99" i="1" s="1"/>
  <c r="FU99" i="1" s="1"/>
  <c r="FV99" i="1" s="1"/>
  <c r="FW99" i="1" s="1"/>
  <c r="FX99" i="1" s="1"/>
  <c r="FY99" i="1" s="1"/>
  <c r="FZ99" i="1" s="1"/>
  <c r="GA99" i="1" s="1"/>
  <c r="GB99" i="1" s="1"/>
  <c r="GC99" i="1" s="1"/>
  <c r="GD99" i="1" s="1"/>
  <c r="GE99" i="1" s="1"/>
  <c r="GF99" i="1" s="1"/>
  <c r="GG99" i="1" s="1"/>
  <c r="GH99" i="1" s="1"/>
  <c r="GI99" i="1" s="1"/>
  <c r="GJ99" i="1" s="1"/>
  <c r="GK99" i="1" s="1"/>
  <c r="GL99" i="1" s="1"/>
  <c r="GM99" i="1" s="1"/>
  <c r="GN99" i="1" s="1"/>
  <c r="GO99" i="1" s="1"/>
  <c r="GP99" i="1" s="1"/>
  <c r="GQ99" i="1" s="1"/>
  <c r="GR99" i="1" s="1"/>
  <c r="GS99" i="1" s="1"/>
  <c r="GT99" i="1" s="1"/>
  <c r="GU99" i="1" s="1"/>
  <c r="GV99" i="1" s="1"/>
  <c r="GW99" i="1" s="1"/>
  <c r="GX99" i="1" s="1"/>
  <c r="GY99" i="1" s="1"/>
  <c r="GZ99" i="1" s="1"/>
  <c r="HA99" i="1" s="1"/>
  <c r="HB99" i="1" s="1"/>
  <c r="HC99" i="1" s="1"/>
  <c r="HD99" i="1" s="1"/>
  <c r="HE99" i="1" s="1"/>
  <c r="HF99" i="1" s="1"/>
  <c r="HG99" i="1" s="1"/>
  <c r="HH99" i="1" s="1"/>
  <c r="HI99" i="1" s="1"/>
  <c r="HJ99" i="1" s="1"/>
  <c r="HK99" i="1" s="1"/>
  <c r="HL99" i="1" s="1"/>
  <c r="HM99" i="1" s="1"/>
  <c r="HN99" i="1" s="1"/>
  <c r="HO99" i="1" s="1"/>
  <c r="HP99" i="1" s="1"/>
  <c r="HQ99" i="1" s="1"/>
  <c r="HR99" i="1" s="1"/>
  <c r="HS99" i="1" s="1"/>
  <c r="HT99" i="1" s="1"/>
  <c r="HU99" i="1" s="1"/>
  <c r="HV99" i="1" s="1"/>
  <c r="HW99" i="1" s="1"/>
  <c r="HX99" i="1" s="1"/>
  <c r="HY99" i="1" s="1"/>
  <c r="HZ99" i="1" s="1"/>
  <c r="IA99" i="1" s="1"/>
  <c r="IB99" i="1" s="1"/>
  <c r="IC99" i="1" s="1"/>
  <c r="ID99" i="1" s="1"/>
  <c r="IE99" i="1" s="1"/>
  <c r="IF99" i="1" s="1"/>
  <c r="IG99" i="1" s="1"/>
  <c r="IH99" i="1" s="1"/>
  <c r="II99" i="1" s="1"/>
  <c r="IJ99" i="1" s="1"/>
  <c r="IK99" i="1" s="1"/>
  <c r="IL99" i="1" s="1"/>
  <c r="IM99" i="1" s="1"/>
  <c r="IN99" i="1" s="1"/>
  <c r="IO99" i="1" s="1"/>
  <c r="IP99" i="1" s="1"/>
  <c r="IQ99" i="1" s="1"/>
  <c r="IR99" i="1" s="1"/>
  <c r="EW109" i="1"/>
  <c r="EX109" i="1" s="1"/>
  <c r="EY109" i="1" s="1"/>
  <c r="EZ109" i="1" s="1"/>
  <c r="FA109" i="1" s="1"/>
  <c r="FB109" i="1" s="1"/>
  <c r="FC109" i="1" s="1"/>
  <c r="FD109" i="1" s="1"/>
  <c r="FE109" i="1" s="1"/>
  <c r="FF109" i="1" s="1"/>
  <c r="FG109" i="1" s="1"/>
  <c r="FH109" i="1" s="1"/>
  <c r="FI109" i="1" s="1"/>
  <c r="FJ109" i="1" s="1"/>
  <c r="FK109" i="1" s="1"/>
  <c r="FL109" i="1" s="1"/>
  <c r="FM109" i="1" s="1"/>
  <c r="FN109" i="1" s="1"/>
  <c r="FO109" i="1" s="1"/>
  <c r="FP109" i="1" s="1"/>
  <c r="FQ109" i="1" s="1"/>
  <c r="FR109" i="1" s="1"/>
  <c r="FS109" i="1" s="1"/>
  <c r="FT109" i="1" s="1"/>
  <c r="FU109" i="1" s="1"/>
  <c r="FV109" i="1" s="1"/>
  <c r="FW109" i="1" s="1"/>
  <c r="FX109" i="1" s="1"/>
  <c r="FY109" i="1" s="1"/>
  <c r="FZ109" i="1" s="1"/>
  <c r="GA109" i="1" s="1"/>
  <c r="GB109" i="1" s="1"/>
  <c r="GC109" i="1" s="1"/>
  <c r="GD109" i="1" s="1"/>
  <c r="GE109" i="1" s="1"/>
  <c r="GF109" i="1" s="1"/>
  <c r="GG109" i="1" s="1"/>
  <c r="GH109" i="1" s="1"/>
  <c r="GI109" i="1" s="1"/>
  <c r="GJ109" i="1" s="1"/>
  <c r="GK109" i="1" s="1"/>
  <c r="GL109" i="1" s="1"/>
  <c r="GM109" i="1" s="1"/>
  <c r="GN109" i="1" s="1"/>
  <c r="GO109" i="1" s="1"/>
  <c r="GP109" i="1" s="1"/>
  <c r="GQ109" i="1" s="1"/>
  <c r="GR109" i="1" s="1"/>
  <c r="GS109" i="1" s="1"/>
  <c r="GT109" i="1" s="1"/>
  <c r="GU109" i="1" s="1"/>
  <c r="GV109" i="1" s="1"/>
  <c r="GW109" i="1" s="1"/>
  <c r="GX109" i="1" s="1"/>
  <c r="GY109" i="1" s="1"/>
  <c r="GZ109" i="1" s="1"/>
  <c r="HA109" i="1" s="1"/>
  <c r="HB109" i="1" s="1"/>
  <c r="HC109" i="1" s="1"/>
  <c r="HD109" i="1" s="1"/>
  <c r="HE109" i="1" s="1"/>
  <c r="HF109" i="1" s="1"/>
  <c r="HG109" i="1" s="1"/>
  <c r="HH109" i="1" s="1"/>
  <c r="HI109" i="1" s="1"/>
  <c r="HJ109" i="1" s="1"/>
  <c r="HK109" i="1" s="1"/>
  <c r="HL109" i="1" s="1"/>
  <c r="HM109" i="1" s="1"/>
  <c r="HN109" i="1" s="1"/>
  <c r="HO109" i="1" s="1"/>
  <c r="HP109" i="1" s="1"/>
  <c r="HQ109" i="1" s="1"/>
  <c r="HR109" i="1" s="1"/>
  <c r="HS109" i="1" s="1"/>
  <c r="HT109" i="1" s="1"/>
  <c r="HU109" i="1" s="1"/>
  <c r="HV109" i="1" s="1"/>
  <c r="HW109" i="1" s="1"/>
  <c r="HX109" i="1" s="1"/>
  <c r="HY109" i="1" s="1"/>
  <c r="HZ109" i="1" s="1"/>
  <c r="IA109" i="1" s="1"/>
  <c r="IB109" i="1" s="1"/>
  <c r="IC109" i="1" s="1"/>
  <c r="ID109" i="1" s="1"/>
  <c r="IE109" i="1" s="1"/>
  <c r="IF109" i="1" s="1"/>
  <c r="IG109" i="1" s="1"/>
  <c r="IH109" i="1" s="1"/>
  <c r="II109" i="1" s="1"/>
  <c r="IJ109" i="1" s="1"/>
  <c r="IK109" i="1" s="1"/>
  <c r="IL109" i="1" s="1"/>
  <c r="IM109" i="1" s="1"/>
  <c r="IN109" i="1" s="1"/>
  <c r="IO109" i="1" s="1"/>
  <c r="IP109" i="1" s="1"/>
  <c r="IQ109" i="1" s="1"/>
  <c r="IR109" i="1" s="1"/>
  <c r="EW135" i="1"/>
  <c r="EX135" i="1" s="1"/>
  <c r="EY135" i="1" s="1"/>
  <c r="EZ135" i="1" s="1"/>
  <c r="FA135" i="1" s="1"/>
  <c r="FB135" i="1" s="1"/>
  <c r="FC135" i="1" s="1"/>
  <c r="FD135" i="1" s="1"/>
  <c r="FE135" i="1" s="1"/>
  <c r="FF135" i="1" s="1"/>
  <c r="FG135" i="1" s="1"/>
  <c r="FH135" i="1" s="1"/>
  <c r="FI135" i="1" s="1"/>
  <c r="FJ135" i="1" s="1"/>
  <c r="FK135" i="1" s="1"/>
  <c r="FL135" i="1" s="1"/>
  <c r="FM135" i="1" s="1"/>
  <c r="FN135" i="1" s="1"/>
  <c r="FO135" i="1" s="1"/>
  <c r="FP135" i="1" s="1"/>
  <c r="FQ135" i="1" s="1"/>
  <c r="FR135" i="1" s="1"/>
  <c r="FS135" i="1" s="1"/>
  <c r="FT135" i="1" s="1"/>
  <c r="FU135" i="1" s="1"/>
  <c r="FV135" i="1" s="1"/>
  <c r="FW135" i="1" s="1"/>
  <c r="FX135" i="1" s="1"/>
  <c r="FY135" i="1" s="1"/>
  <c r="FZ135" i="1" s="1"/>
  <c r="GA135" i="1" s="1"/>
  <c r="GB135" i="1" s="1"/>
  <c r="GC135" i="1" s="1"/>
  <c r="GD135" i="1" s="1"/>
  <c r="GE135" i="1" s="1"/>
  <c r="GF135" i="1" s="1"/>
  <c r="GG135" i="1" s="1"/>
  <c r="GH135" i="1" s="1"/>
  <c r="GI135" i="1" s="1"/>
  <c r="GJ135" i="1" s="1"/>
  <c r="GK135" i="1" s="1"/>
  <c r="GL135" i="1" s="1"/>
  <c r="GM135" i="1" s="1"/>
  <c r="GN135" i="1" s="1"/>
  <c r="GO135" i="1" s="1"/>
  <c r="GP135" i="1" s="1"/>
  <c r="GQ135" i="1" s="1"/>
  <c r="GR135" i="1" s="1"/>
  <c r="GS135" i="1" s="1"/>
  <c r="GT135" i="1" s="1"/>
  <c r="GU135" i="1" s="1"/>
  <c r="GV135" i="1" s="1"/>
  <c r="GW135" i="1" s="1"/>
  <c r="GX135" i="1" s="1"/>
  <c r="GY135" i="1" s="1"/>
  <c r="GZ135" i="1" s="1"/>
  <c r="HA135" i="1" s="1"/>
  <c r="HB135" i="1" s="1"/>
  <c r="HC135" i="1" s="1"/>
  <c r="HD135" i="1" s="1"/>
  <c r="HE135" i="1" s="1"/>
  <c r="HF135" i="1" s="1"/>
  <c r="HG135" i="1" s="1"/>
  <c r="HH135" i="1" s="1"/>
  <c r="HI135" i="1" s="1"/>
  <c r="HJ135" i="1" s="1"/>
  <c r="HK135" i="1" s="1"/>
  <c r="HL135" i="1" s="1"/>
  <c r="HM135" i="1" s="1"/>
  <c r="HN135" i="1" s="1"/>
  <c r="HO135" i="1" s="1"/>
  <c r="HP135" i="1" s="1"/>
  <c r="HQ135" i="1" s="1"/>
  <c r="HR135" i="1" s="1"/>
  <c r="HS135" i="1" s="1"/>
  <c r="HT135" i="1" s="1"/>
  <c r="HU135" i="1" s="1"/>
  <c r="HV135" i="1" s="1"/>
  <c r="HW135" i="1" s="1"/>
  <c r="HX135" i="1" s="1"/>
  <c r="HY135" i="1" s="1"/>
  <c r="HZ135" i="1" s="1"/>
  <c r="IA135" i="1" s="1"/>
  <c r="IB135" i="1" s="1"/>
  <c r="IC135" i="1" s="1"/>
  <c r="ID135" i="1" s="1"/>
  <c r="IE135" i="1" s="1"/>
  <c r="IF135" i="1" s="1"/>
  <c r="IG135" i="1" s="1"/>
  <c r="IH135" i="1" s="1"/>
  <c r="II135" i="1" s="1"/>
  <c r="IJ135" i="1" s="1"/>
  <c r="IK135" i="1" s="1"/>
  <c r="IL135" i="1" s="1"/>
  <c r="IM135" i="1" s="1"/>
  <c r="IN135" i="1" s="1"/>
  <c r="IO135" i="1" s="1"/>
  <c r="IP135" i="1" s="1"/>
  <c r="IQ135" i="1" s="1"/>
  <c r="IR135" i="1" s="1"/>
  <c r="EW112" i="1"/>
  <c r="EX112" i="1" s="1"/>
  <c r="EY112" i="1" s="1"/>
  <c r="EZ112" i="1" s="1"/>
  <c r="FA112" i="1" s="1"/>
  <c r="FB112" i="1" s="1"/>
  <c r="FC112" i="1" s="1"/>
  <c r="FD112" i="1" s="1"/>
  <c r="FE112" i="1" s="1"/>
  <c r="FF112" i="1" s="1"/>
  <c r="FG112" i="1" s="1"/>
  <c r="FH112" i="1" s="1"/>
  <c r="FI112" i="1" s="1"/>
  <c r="FJ112" i="1" s="1"/>
  <c r="FK112" i="1" s="1"/>
  <c r="FL112" i="1" s="1"/>
  <c r="FM112" i="1" s="1"/>
  <c r="FN112" i="1" s="1"/>
  <c r="FO112" i="1" s="1"/>
  <c r="FP112" i="1" s="1"/>
  <c r="FQ112" i="1" s="1"/>
  <c r="FR112" i="1" s="1"/>
  <c r="FS112" i="1" s="1"/>
  <c r="FT112" i="1" s="1"/>
  <c r="FU112" i="1" s="1"/>
  <c r="FV112" i="1" s="1"/>
  <c r="FW112" i="1" s="1"/>
  <c r="FX112" i="1" s="1"/>
  <c r="FY112" i="1" s="1"/>
  <c r="FZ112" i="1" s="1"/>
  <c r="GA112" i="1" s="1"/>
  <c r="GB112" i="1" s="1"/>
  <c r="GC112" i="1" s="1"/>
  <c r="GD112" i="1" s="1"/>
  <c r="GE112" i="1" s="1"/>
  <c r="GF112" i="1" s="1"/>
  <c r="GG112" i="1" s="1"/>
  <c r="GH112" i="1" s="1"/>
  <c r="GI112" i="1" s="1"/>
  <c r="GJ112" i="1" s="1"/>
  <c r="GK112" i="1" s="1"/>
  <c r="GL112" i="1" s="1"/>
  <c r="GM112" i="1" s="1"/>
  <c r="GN112" i="1" s="1"/>
  <c r="GO112" i="1" s="1"/>
  <c r="GP112" i="1" s="1"/>
  <c r="GQ112" i="1" s="1"/>
  <c r="GR112" i="1" s="1"/>
  <c r="GS112" i="1" s="1"/>
  <c r="GT112" i="1" s="1"/>
  <c r="GU112" i="1" s="1"/>
  <c r="GV112" i="1" s="1"/>
  <c r="GW112" i="1" s="1"/>
  <c r="GX112" i="1" s="1"/>
  <c r="GY112" i="1" s="1"/>
  <c r="GZ112" i="1" s="1"/>
  <c r="HA112" i="1" s="1"/>
  <c r="HB112" i="1" s="1"/>
  <c r="HC112" i="1" s="1"/>
  <c r="HD112" i="1" s="1"/>
  <c r="HE112" i="1" s="1"/>
  <c r="HF112" i="1" s="1"/>
  <c r="HG112" i="1" s="1"/>
  <c r="HH112" i="1" s="1"/>
  <c r="HI112" i="1" s="1"/>
  <c r="HJ112" i="1" s="1"/>
  <c r="HK112" i="1" s="1"/>
  <c r="HL112" i="1" s="1"/>
  <c r="HM112" i="1" s="1"/>
  <c r="HN112" i="1" s="1"/>
  <c r="HO112" i="1" s="1"/>
  <c r="HP112" i="1" s="1"/>
  <c r="HQ112" i="1" s="1"/>
  <c r="HR112" i="1" s="1"/>
  <c r="HS112" i="1" s="1"/>
  <c r="HT112" i="1" s="1"/>
  <c r="HU112" i="1" s="1"/>
  <c r="HV112" i="1" s="1"/>
  <c r="HW112" i="1" s="1"/>
  <c r="HX112" i="1" s="1"/>
  <c r="HY112" i="1" s="1"/>
  <c r="HZ112" i="1" s="1"/>
  <c r="IA112" i="1" s="1"/>
  <c r="IB112" i="1" s="1"/>
  <c r="IC112" i="1" s="1"/>
  <c r="ID112" i="1" s="1"/>
  <c r="IE112" i="1" s="1"/>
  <c r="IF112" i="1" s="1"/>
  <c r="IG112" i="1" s="1"/>
  <c r="IH112" i="1" s="1"/>
  <c r="II112" i="1" s="1"/>
  <c r="IJ112" i="1" s="1"/>
  <c r="IK112" i="1" s="1"/>
  <c r="IL112" i="1" s="1"/>
  <c r="IM112" i="1" s="1"/>
  <c r="IN112" i="1" s="1"/>
  <c r="IO112" i="1" s="1"/>
  <c r="IP112" i="1" s="1"/>
  <c r="IQ112" i="1" s="1"/>
  <c r="IR112" i="1" s="1"/>
  <c r="EW80" i="1"/>
  <c r="EX80" i="1" s="1"/>
  <c r="EY80" i="1" s="1"/>
  <c r="EZ80" i="1" s="1"/>
  <c r="FA80" i="1" s="1"/>
  <c r="FB80" i="1" s="1"/>
  <c r="FC80" i="1" s="1"/>
  <c r="FD80" i="1" s="1"/>
  <c r="FE80" i="1" s="1"/>
  <c r="FF80" i="1" s="1"/>
  <c r="FG80" i="1" s="1"/>
  <c r="FH80" i="1" s="1"/>
  <c r="FI80" i="1" s="1"/>
  <c r="FJ80" i="1" s="1"/>
  <c r="FK80" i="1" s="1"/>
  <c r="FL80" i="1" s="1"/>
  <c r="FM80" i="1" s="1"/>
  <c r="FN80" i="1" s="1"/>
  <c r="FO80" i="1" s="1"/>
  <c r="FP80" i="1" s="1"/>
  <c r="FQ80" i="1" s="1"/>
  <c r="FR80" i="1" s="1"/>
  <c r="FS80" i="1" s="1"/>
  <c r="FT80" i="1" s="1"/>
  <c r="FU80" i="1" s="1"/>
  <c r="FV80" i="1" s="1"/>
  <c r="FW80" i="1" s="1"/>
  <c r="FX80" i="1" s="1"/>
  <c r="FY80" i="1" s="1"/>
  <c r="FZ80" i="1" s="1"/>
  <c r="GA80" i="1" s="1"/>
  <c r="GB80" i="1" s="1"/>
  <c r="GC80" i="1" s="1"/>
  <c r="GD80" i="1" s="1"/>
  <c r="GE80" i="1" s="1"/>
  <c r="GF80" i="1" s="1"/>
  <c r="GG80" i="1" s="1"/>
  <c r="GH80" i="1" s="1"/>
  <c r="GI80" i="1" s="1"/>
  <c r="GJ80" i="1" s="1"/>
  <c r="GK80" i="1" s="1"/>
  <c r="GL80" i="1" s="1"/>
  <c r="GM80" i="1" s="1"/>
  <c r="GN80" i="1" s="1"/>
  <c r="GO80" i="1" s="1"/>
  <c r="GP80" i="1" s="1"/>
  <c r="GQ80" i="1" s="1"/>
  <c r="GR80" i="1" s="1"/>
  <c r="GS80" i="1" s="1"/>
  <c r="GT80" i="1" s="1"/>
  <c r="GU80" i="1" s="1"/>
  <c r="GV80" i="1" s="1"/>
  <c r="GW80" i="1" s="1"/>
  <c r="GX80" i="1" s="1"/>
  <c r="GY80" i="1" s="1"/>
  <c r="GZ80" i="1" s="1"/>
  <c r="HA80" i="1" s="1"/>
  <c r="HB80" i="1" s="1"/>
  <c r="HC80" i="1" s="1"/>
  <c r="HD80" i="1" s="1"/>
  <c r="HE80" i="1" s="1"/>
  <c r="HF80" i="1" s="1"/>
  <c r="HG80" i="1" s="1"/>
  <c r="HH80" i="1" s="1"/>
  <c r="HI80" i="1" s="1"/>
  <c r="HJ80" i="1" s="1"/>
  <c r="HK80" i="1" s="1"/>
  <c r="HL80" i="1" s="1"/>
  <c r="HM80" i="1" s="1"/>
  <c r="HN80" i="1" s="1"/>
  <c r="HO80" i="1" s="1"/>
  <c r="HP80" i="1" s="1"/>
  <c r="HQ80" i="1" s="1"/>
  <c r="HR80" i="1" s="1"/>
  <c r="HS80" i="1" s="1"/>
  <c r="HT80" i="1" s="1"/>
  <c r="HU80" i="1" s="1"/>
  <c r="HV80" i="1" s="1"/>
  <c r="HW80" i="1" s="1"/>
  <c r="HX80" i="1" s="1"/>
  <c r="HY80" i="1" s="1"/>
  <c r="HZ80" i="1" s="1"/>
  <c r="IA80" i="1" s="1"/>
  <c r="IB80" i="1" s="1"/>
  <c r="IC80" i="1" s="1"/>
  <c r="ID80" i="1" s="1"/>
  <c r="IE80" i="1" s="1"/>
  <c r="IF80" i="1" s="1"/>
  <c r="IG80" i="1" s="1"/>
  <c r="IH80" i="1" s="1"/>
  <c r="II80" i="1" s="1"/>
  <c r="IJ80" i="1" s="1"/>
  <c r="IK80" i="1" s="1"/>
  <c r="IL80" i="1" s="1"/>
  <c r="IM80" i="1" s="1"/>
  <c r="IN80" i="1" s="1"/>
  <c r="IO80" i="1" s="1"/>
  <c r="IP80" i="1" s="1"/>
  <c r="IQ80" i="1" s="1"/>
  <c r="IR80" i="1" s="1"/>
  <c r="EW105" i="1"/>
  <c r="EX105" i="1" s="1"/>
  <c r="EY105" i="1" s="1"/>
  <c r="EZ105" i="1" s="1"/>
  <c r="FA105" i="1" s="1"/>
  <c r="FB105" i="1" s="1"/>
  <c r="FC105" i="1" s="1"/>
  <c r="FD105" i="1" s="1"/>
  <c r="FE105" i="1" s="1"/>
  <c r="FF105" i="1" s="1"/>
  <c r="FG105" i="1" s="1"/>
  <c r="FH105" i="1" s="1"/>
  <c r="FI105" i="1" s="1"/>
  <c r="FJ105" i="1" s="1"/>
  <c r="FK105" i="1" s="1"/>
  <c r="FL105" i="1" s="1"/>
  <c r="FM105" i="1" s="1"/>
  <c r="FN105" i="1" s="1"/>
  <c r="FO105" i="1" s="1"/>
  <c r="FP105" i="1" s="1"/>
  <c r="FQ105" i="1" s="1"/>
  <c r="FR105" i="1" s="1"/>
  <c r="FS105" i="1" s="1"/>
  <c r="FT105" i="1" s="1"/>
  <c r="FU105" i="1" s="1"/>
  <c r="FV105" i="1" s="1"/>
  <c r="FW105" i="1" s="1"/>
  <c r="FX105" i="1" s="1"/>
  <c r="FY105" i="1" s="1"/>
  <c r="FZ105" i="1" s="1"/>
  <c r="GA105" i="1" s="1"/>
  <c r="GB105" i="1" s="1"/>
  <c r="GC105" i="1" s="1"/>
  <c r="GD105" i="1" s="1"/>
  <c r="GE105" i="1" s="1"/>
  <c r="GF105" i="1" s="1"/>
  <c r="GG105" i="1" s="1"/>
  <c r="GH105" i="1" s="1"/>
  <c r="GI105" i="1" s="1"/>
  <c r="GJ105" i="1" s="1"/>
  <c r="GK105" i="1" s="1"/>
  <c r="GL105" i="1" s="1"/>
  <c r="GM105" i="1" s="1"/>
  <c r="GN105" i="1" s="1"/>
  <c r="GO105" i="1" s="1"/>
  <c r="GP105" i="1" s="1"/>
  <c r="GQ105" i="1" s="1"/>
  <c r="GR105" i="1" s="1"/>
  <c r="GS105" i="1" s="1"/>
  <c r="GT105" i="1" s="1"/>
  <c r="GU105" i="1" s="1"/>
  <c r="GV105" i="1" s="1"/>
  <c r="GW105" i="1" s="1"/>
  <c r="GX105" i="1" s="1"/>
  <c r="GY105" i="1" s="1"/>
  <c r="GZ105" i="1" s="1"/>
  <c r="HA105" i="1" s="1"/>
  <c r="HB105" i="1" s="1"/>
  <c r="HC105" i="1" s="1"/>
  <c r="HD105" i="1" s="1"/>
  <c r="HE105" i="1" s="1"/>
  <c r="HF105" i="1" s="1"/>
  <c r="HG105" i="1" s="1"/>
  <c r="HH105" i="1" s="1"/>
  <c r="HI105" i="1" s="1"/>
  <c r="HJ105" i="1" s="1"/>
  <c r="HK105" i="1" s="1"/>
  <c r="HL105" i="1" s="1"/>
  <c r="HM105" i="1" s="1"/>
  <c r="HN105" i="1" s="1"/>
  <c r="HO105" i="1" s="1"/>
  <c r="HP105" i="1" s="1"/>
  <c r="HQ105" i="1" s="1"/>
  <c r="HR105" i="1" s="1"/>
  <c r="HS105" i="1" s="1"/>
  <c r="HT105" i="1" s="1"/>
  <c r="HU105" i="1" s="1"/>
  <c r="HV105" i="1" s="1"/>
  <c r="HW105" i="1" s="1"/>
  <c r="HX105" i="1" s="1"/>
  <c r="HY105" i="1" s="1"/>
  <c r="HZ105" i="1" s="1"/>
  <c r="IA105" i="1" s="1"/>
  <c r="IB105" i="1" s="1"/>
  <c r="IC105" i="1" s="1"/>
  <c r="ID105" i="1" s="1"/>
  <c r="IE105" i="1" s="1"/>
  <c r="IF105" i="1" s="1"/>
  <c r="IG105" i="1" s="1"/>
  <c r="IH105" i="1" s="1"/>
  <c r="II105" i="1" s="1"/>
  <c r="IJ105" i="1" s="1"/>
  <c r="IK105" i="1" s="1"/>
  <c r="IL105" i="1" s="1"/>
  <c r="IM105" i="1" s="1"/>
  <c r="IN105" i="1" s="1"/>
  <c r="IO105" i="1" s="1"/>
  <c r="IP105" i="1" s="1"/>
  <c r="IQ105" i="1" s="1"/>
  <c r="IR105" i="1" s="1"/>
  <c r="EW25" i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EW116" i="1"/>
  <c r="EX116" i="1" s="1"/>
  <c r="EY116" i="1" s="1"/>
  <c r="EZ116" i="1" s="1"/>
  <c r="FA116" i="1" s="1"/>
  <c r="FB116" i="1" s="1"/>
  <c r="FC116" i="1" s="1"/>
  <c r="FD116" i="1" s="1"/>
  <c r="FE116" i="1" s="1"/>
  <c r="FF116" i="1" s="1"/>
  <c r="FG116" i="1" s="1"/>
  <c r="FH116" i="1" s="1"/>
  <c r="FI116" i="1" s="1"/>
  <c r="FJ116" i="1" s="1"/>
  <c r="FK116" i="1" s="1"/>
  <c r="FL116" i="1" s="1"/>
  <c r="FM116" i="1" s="1"/>
  <c r="FN116" i="1" s="1"/>
  <c r="FO116" i="1" s="1"/>
  <c r="FP116" i="1" s="1"/>
  <c r="FQ116" i="1" s="1"/>
  <c r="FR116" i="1" s="1"/>
  <c r="FS116" i="1" s="1"/>
  <c r="FT116" i="1" s="1"/>
  <c r="FU116" i="1" s="1"/>
  <c r="FV116" i="1" s="1"/>
  <c r="FW116" i="1" s="1"/>
  <c r="FX116" i="1" s="1"/>
  <c r="FY116" i="1" s="1"/>
  <c r="FZ116" i="1" s="1"/>
  <c r="GA116" i="1" s="1"/>
  <c r="GB116" i="1" s="1"/>
  <c r="GC116" i="1" s="1"/>
  <c r="GD116" i="1" s="1"/>
  <c r="GE116" i="1" s="1"/>
  <c r="GF116" i="1" s="1"/>
  <c r="GG116" i="1" s="1"/>
  <c r="GH116" i="1" s="1"/>
  <c r="GI116" i="1" s="1"/>
  <c r="GJ116" i="1" s="1"/>
  <c r="GK116" i="1" s="1"/>
  <c r="GL116" i="1" s="1"/>
  <c r="GM116" i="1" s="1"/>
  <c r="GN116" i="1" s="1"/>
  <c r="GO116" i="1" s="1"/>
  <c r="GP116" i="1" s="1"/>
  <c r="GQ116" i="1" s="1"/>
  <c r="GR116" i="1" s="1"/>
  <c r="GS116" i="1" s="1"/>
  <c r="GT116" i="1" s="1"/>
  <c r="GU116" i="1" s="1"/>
  <c r="GV116" i="1" s="1"/>
  <c r="GW116" i="1" s="1"/>
  <c r="GX116" i="1" s="1"/>
  <c r="GY116" i="1" s="1"/>
  <c r="GZ116" i="1" s="1"/>
  <c r="HA116" i="1" s="1"/>
  <c r="HB116" i="1" s="1"/>
  <c r="HC116" i="1" s="1"/>
  <c r="HD116" i="1" s="1"/>
  <c r="HE116" i="1" s="1"/>
  <c r="HF116" i="1" s="1"/>
  <c r="HG116" i="1" s="1"/>
  <c r="HH116" i="1" s="1"/>
  <c r="HI116" i="1" s="1"/>
  <c r="HJ116" i="1" s="1"/>
  <c r="HK116" i="1" s="1"/>
  <c r="HL116" i="1" s="1"/>
  <c r="HM116" i="1" s="1"/>
  <c r="HN116" i="1" s="1"/>
  <c r="HO116" i="1" s="1"/>
  <c r="HP116" i="1" s="1"/>
  <c r="HQ116" i="1" s="1"/>
  <c r="HR116" i="1" s="1"/>
  <c r="HS116" i="1" s="1"/>
  <c r="HT116" i="1" s="1"/>
  <c r="HU116" i="1" s="1"/>
  <c r="HV116" i="1" s="1"/>
  <c r="HW116" i="1" s="1"/>
  <c r="HX116" i="1" s="1"/>
  <c r="HY116" i="1" s="1"/>
  <c r="HZ116" i="1" s="1"/>
  <c r="IA116" i="1" s="1"/>
  <c r="IB116" i="1" s="1"/>
  <c r="IC116" i="1" s="1"/>
  <c r="ID116" i="1" s="1"/>
  <c r="IE116" i="1" s="1"/>
  <c r="IF116" i="1" s="1"/>
  <c r="IG116" i="1" s="1"/>
  <c r="IH116" i="1" s="1"/>
  <c r="II116" i="1" s="1"/>
  <c r="IJ116" i="1" s="1"/>
  <c r="IK116" i="1" s="1"/>
  <c r="IL116" i="1" s="1"/>
  <c r="IM116" i="1" s="1"/>
  <c r="IN116" i="1" s="1"/>
  <c r="IO116" i="1" s="1"/>
  <c r="IP116" i="1" s="1"/>
  <c r="IQ116" i="1" s="1"/>
  <c r="IR116" i="1" s="1"/>
  <c r="EW123" i="1"/>
  <c r="EX123" i="1" s="1"/>
  <c r="EY123" i="1" s="1"/>
  <c r="EZ123" i="1" s="1"/>
  <c r="FA123" i="1" s="1"/>
  <c r="FB123" i="1" s="1"/>
  <c r="FC123" i="1" s="1"/>
  <c r="FD123" i="1" s="1"/>
  <c r="FE123" i="1" s="1"/>
  <c r="FF123" i="1" s="1"/>
  <c r="FG123" i="1" s="1"/>
  <c r="FH123" i="1" s="1"/>
  <c r="FI123" i="1" s="1"/>
  <c r="FJ123" i="1" s="1"/>
  <c r="FK123" i="1" s="1"/>
  <c r="FL123" i="1" s="1"/>
  <c r="FM123" i="1" s="1"/>
  <c r="FN123" i="1" s="1"/>
  <c r="FO123" i="1" s="1"/>
  <c r="FP123" i="1" s="1"/>
  <c r="FQ123" i="1" s="1"/>
  <c r="FR123" i="1" s="1"/>
  <c r="FS123" i="1" s="1"/>
  <c r="FT123" i="1" s="1"/>
  <c r="FU123" i="1" s="1"/>
  <c r="FV123" i="1" s="1"/>
  <c r="FW123" i="1" s="1"/>
  <c r="FX123" i="1" s="1"/>
  <c r="FY123" i="1" s="1"/>
  <c r="FZ123" i="1" s="1"/>
  <c r="GA123" i="1" s="1"/>
  <c r="GB123" i="1" s="1"/>
  <c r="GC123" i="1" s="1"/>
  <c r="GD123" i="1" s="1"/>
  <c r="GE123" i="1" s="1"/>
  <c r="GF123" i="1" s="1"/>
  <c r="GG123" i="1" s="1"/>
  <c r="GH123" i="1" s="1"/>
  <c r="GI123" i="1" s="1"/>
  <c r="GJ123" i="1" s="1"/>
  <c r="GK123" i="1" s="1"/>
  <c r="GL123" i="1" s="1"/>
  <c r="GM123" i="1" s="1"/>
  <c r="GN123" i="1" s="1"/>
  <c r="GO123" i="1" s="1"/>
  <c r="GP123" i="1" s="1"/>
  <c r="GQ123" i="1" s="1"/>
  <c r="GR123" i="1" s="1"/>
  <c r="GS123" i="1" s="1"/>
  <c r="GT123" i="1" s="1"/>
  <c r="GU123" i="1" s="1"/>
  <c r="GV123" i="1" s="1"/>
  <c r="GW123" i="1" s="1"/>
  <c r="GX123" i="1" s="1"/>
  <c r="GY123" i="1" s="1"/>
  <c r="GZ123" i="1" s="1"/>
  <c r="HA123" i="1" s="1"/>
  <c r="HB123" i="1" s="1"/>
  <c r="HC123" i="1" s="1"/>
  <c r="HD123" i="1" s="1"/>
  <c r="HE123" i="1" s="1"/>
  <c r="HF123" i="1" s="1"/>
  <c r="HG123" i="1" s="1"/>
  <c r="HH123" i="1" s="1"/>
  <c r="HI123" i="1" s="1"/>
  <c r="HJ123" i="1" s="1"/>
  <c r="HK123" i="1" s="1"/>
  <c r="HL123" i="1" s="1"/>
  <c r="HM123" i="1" s="1"/>
  <c r="HN123" i="1" s="1"/>
  <c r="HO123" i="1" s="1"/>
  <c r="HP123" i="1" s="1"/>
  <c r="HQ123" i="1" s="1"/>
  <c r="HR123" i="1" s="1"/>
  <c r="HS123" i="1" s="1"/>
  <c r="HT123" i="1" s="1"/>
  <c r="HU123" i="1" s="1"/>
  <c r="HV123" i="1" s="1"/>
  <c r="HW123" i="1" s="1"/>
  <c r="HX123" i="1" s="1"/>
  <c r="HY123" i="1" s="1"/>
  <c r="HZ123" i="1" s="1"/>
  <c r="IA123" i="1" s="1"/>
  <c r="IB123" i="1" s="1"/>
  <c r="IC123" i="1" s="1"/>
  <c r="ID123" i="1" s="1"/>
  <c r="IE123" i="1" s="1"/>
  <c r="IF123" i="1" s="1"/>
  <c r="IG123" i="1" s="1"/>
  <c r="IH123" i="1" s="1"/>
  <c r="II123" i="1" s="1"/>
  <c r="IJ123" i="1" s="1"/>
  <c r="IK123" i="1" s="1"/>
  <c r="IL123" i="1" s="1"/>
  <c r="IM123" i="1" s="1"/>
  <c r="IN123" i="1" s="1"/>
  <c r="IO123" i="1" s="1"/>
  <c r="IP123" i="1" s="1"/>
  <c r="IQ123" i="1" s="1"/>
  <c r="IR123" i="1" s="1"/>
  <c r="EW117" i="1"/>
  <c r="EX117" i="1" s="1"/>
  <c r="EY117" i="1" s="1"/>
  <c r="EZ117" i="1" s="1"/>
  <c r="FA117" i="1" s="1"/>
  <c r="FB117" i="1" s="1"/>
  <c r="FC117" i="1" s="1"/>
  <c r="FD117" i="1" s="1"/>
  <c r="FE117" i="1" s="1"/>
  <c r="FF117" i="1" s="1"/>
  <c r="FG117" i="1" s="1"/>
  <c r="FH117" i="1" s="1"/>
  <c r="FI117" i="1" s="1"/>
  <c r="FJ117" i="1" s="1"/>
  <c r="FK117" i="1" s="1"/>
  <c r="FL117" i="1" s="1"/>
  <c r="FM117" i="1" s="1"/>
  <c r="FN117" i="1" s="1"/>
  <c r="FO117" i="1" s="1"/>
  <c r="FP117" i="1" s="1"/>
  <c r="FQ117" i="1" s="1"/>
  <c r="FR117" i="1" s="1"/>
  <c r="FS117" i="1" s="1"/>
  <c r="FT117" i="1" s="1"/>
  <c r="FU117" i="1" s="1"/>
  <c r="FV117" i="1" s="1"/>
  <c r="FW117" i="1" s="1"/>
  <c r="FX117" i="1" s="1"/>
  <c r="FY117" i="1" s="1"/>
  <c r="FZ117" i="1" s="1"/>
  <c r="GA117" i="1" s="1"/>
  <c r="GB117" i="1" s="1"/>
  <c r="GC117" i="1" s="1"/>
  <c r="GD117" i="1" s="1"/>
  <c r="GE117" i="1" s="1"/>
  <c r="GF117" i="1" s="1"/>
  <c r="GG117" i="1" s="1"/>
  <c r="GH117" i="1" s="1"/>
  <c r="GI117" i="1" s="1"/>
  <c r="GJ117" i="1" s="1"/>
  <c r="GK117" i="1" s="1"/>
  <c r="GL117" i="1" s="1"/>
  <c r="GM117" i="1" s="1"/>
  <c r="GN117" i="1" s="1"/>
  <c r="GO117" i="1" s="1"/>
  <c r="GP117" i="1" s="1"/>
  <c r="GQ117" i="1" s="1"/>
  <c r="GR117" i="1" s="1"/>
  <c r="GS117" i="1" s="1"/>
  <c r="GT117" i="1" s="1"/>
  <c r="GU117" i="1" s="1"/>
  <c r="GV117" i="1" s="1"/>
  <c r="GW117" i="1" s="1"/>
  <c r="GX117" i="1" s="1"/>
  <c r="GY117" i="1" s="1"/>
  <c r="GZ117" i="1" s="1"/>
  <c r="HA117" i="1" s="1"/>
  <c r="HB117" i="1" s="1"/>
  <c r="HC117" i="1" s="1"/>
  <c r="HD117" i="1" s="1"/>
  <c r="HE117" i="1" s="1"/>
  <c r="HF117" i="1" s="1"/>
  <c r="HG117" i="1" s="1"/>
  <c r="HH117" i="1" s="1"/>
  <c r="HI117" i="1" s="1"/>
  <c r="HJ117" i="1" s="1"/>
  <c r="HK117" i="1" s="1"/>
  <c r="HL117" i="1" s="1"/>
  <c r="HM117" i="1" s="1"/>
  <c r="HN117" i="1" s="1"/>
  <c r="HO117" i="1" s="1"/>
  <c r="HP117" i="1" s="1"/>
  <c r="HQ117" i="1" s="1"/>
  <c r="HR117" i="1" s="1"/>
  <c r="HS117" i="1" s="1"/>
  <c r="HT117" i="1" s="1"/>
  <c r="HU117" i="1" s="1"/>
  <c r="HV117" i="1" s="1"/>
  <c r="HW117" i="1" s="1"/>
  <c r="HX117" i="1" s="1"/>
  <c r="HY117" i="1" s="1"/>
  <c r="HZ117" i="1" s="1"/>
  <c r="IA117" i="1" s="1"/>
  <c r="IB117" i="1" s="1"/>
  <c r="IC117" i="1" s="1"/>
  <c r="ID117" i="1" s="1"/>
  <c r="IE117" i="1" s="1"/>
  <c r="IF117" i="1" s="1"/>
  <c r="IG117" i="1" s="1"/>
  <c r="IH117" i="1" s="1"/>
  <c r="II117" i="1" s="1"/>
  <c r="IJ117" i="1" s="1"/>
  <c r="IK117" i="1" s="1"/>
  <c r="IL117" i="1" s="1"/>
  <c r="IM117" i="1" s="1"/>
  <c r="IN117" i="1" s="1"/>
  <c r="IO117" i="1" s="1"/>
  <c r="IP117" i="1" s="1"/>
  <c r="IQ117" i="1" s="1"/>
  <c r="IR117" i="1" s="1"/>
  <c r="EW126" i="1"/>
  <c r="EX126" i="1" s="1"/>
  <c r="EY126" i="1" s="1"/>
  <c r="EZ126" i="1" s="1"/>
  <c r="FA126" i="1" s="1"/>
  <c r="FB126" i="1" s="1"/>
  <c r="FC126" i="1" s="1"/>
  <c r="FD126" i="1" s="1"/>
  <c r="FE126" i="1" s="1"/>
  <c r="FF126" i="1" s="1"/>
  <c r="FG126" i="1" s="1"/>
  <c r="FH126" i="1" s="1"/>
  <c r="FI126" i="1" s="1"/>
  <c r="FJ126" i="1" s="1"/>
  <c r="FK126" i="1" s="1"/>
  <c r="FL126" i="1" s="1"/>
  <c r="FM126" i="1" s="1"/>
  <c r="FN126" i="1" s="1"/>
  <c r="FO126" i="1" s="1"/>
  <c r="FP126" i="1" s="1"/>
  <c r="FQ126" i="1" s="1"/>
  <c r="FR126" i="1" s="1"/>
  <c r="FS126" i="1" s="1"/>
  <c r="FT126" i="1" s="1"/>
  <c r="FU126" i="1" s="1"/>
  <c r="FV126" i="1" s="1"/>
  <c r="FW126" i="1" s="1"/>
  <c r="FX126" i="1" s="1"/>
  <c r="FY126" i="1" s="1"/>
  <c r="FZ126" i="1" s="1"/>
  <c r="GA126" i="1" s="1"/>
  <c r="GB126" i="1" s="1"/>
  <c r="GC126" i="1" s="1"/>
  <c r="GD126" i="1" s="1"/>
  <c r="GE126" i="1" s="1"/>
  <c r="GF126" i="1" s="1"/>
  <c r="GG126" i="1" s="1"/>
  <c r="GH126" i="1" s="1"/>
  <c r="GI126" i="1" s="1"/>
  <c r="GJ126" i="1" s="1"/>
  <c r="GK126" i="1" s="1"/>
  <c r="GL126" i="1" s="1"/>
  <c r="GM126" i="1" s="1"/>
  <c r="GN126" i="1" s="1"/>
  <c r="GO126" i="1" s="1"/>
  <c r="GP126" i="1" s="1"/>
  <c r="GQ126" i="1" s="1"/>
  <c r="GR126" i="1" s="1"/>
  <c r="GS126" i="1" s="1"/>
  <c r="GT126" i="1" s="1"/>
  <c r="GU126" i="1" s="1"/>
  <c r="GV126" i="1" s="1"/>
  <c r="GW126" i="1" s="1"/>
  <c r="GX126" i="1" s="1"/>
  <c r="GY126" i="1" s="1"/>
  <c r="GZ126" i="1" s="1"/>
  <c r="HA126" i="1" s="1"/>
  <c r="HB126" i="1" s="1"/>
  <c r="HC126" i="1" s="1"/>
  <c r="HD126" i="1" s="1"/>
  <c r="HE126" i="1" s="1"/>
  <c r="HF126" i="1" s="1"/>
  <c r="HG126" i="1" s="1"/>
  <c r="HH126" i="1" s="1"/>
  <c r="HI126" i="1" s="1"/>
  <c r="HJ126" i="1" s="1"/>
  <c r="HK126" i="1" s="1"/>
  <c r="HL126" i="1" s="1"/>
  <c r="HM126" i="1" s="1"/>
  <c r="HN126" i="1" s="1"/>
  <c r="HO126" i="1" s="1"/>
  <c r="HP126" i="1" s="1"/>
  <c r="HQ126" i="1" s="1"/>
  <c r="HR126" i="1" s="1"/>
  <c r="HS126" i="1" s="1"/>
  <c r="HT126" i="1" s="1"/>
  <c r="HU126" i="1" s="1"/>
  <c r="HV126" i="1" s="1"/>
  <c r="HW126" i="1" s="1"/>
  <c r="HX126" i="1" s="1"/>
  <c r="HY126" i="1" s="1"/>
  <c r="HZ126" i="1" s="1"/>
  <c r="IA126" i="1" s="1"/>
  <c r="IB126" i="1" s="1"/>
  <c r="IC126" i="1" s="1"/>
  <c r="ID126" i="1" s="1"/>
  <c r="IE126" i="1" s="1"/>
  <c r="IF126" i="1" s="1"/>
  <c r="IG126" i="1" s="1"/>
  <c r="IH126" i="1" s="1"/>
  <c r="II126" i="1" s="1"/>
  <c r="IJ126" i="1" s="1"/>
  <c r="IK126" i="1" s="1"/>
  <c r="IL126" i="1" s="1"/>
  <c r="IM126" i="1" s="1"/>
  <c r="IN126" i="1" s="1"/>
  <c r="IO126" i="1" s="1"/>
  <c r="IP126" i="1" s="1"/>
  <c r="IQ126" i="1" s="1"/>
  <c r="IR126" i="1" s="1"/>
  <c r="EW122" i="1"/>
  <c r="EX122" i="1" s="1"/>
  <c r="EY122" i="1" s="1"/>
  <c r="EZ122" i="1" s="1"/>
  <c r="FA122" i="1" s="1"/>
  <c r="FB122" i="1" s="1"/>
  <c r="FC122" i="1" s="1"/>
  <c r="FD122" i="1" s="1"/>
  <c r="FE122" i="1" s="1"/>
  <c r="FF122" i="1" s="1"/>
  <c r="FG122" i="1" s="1"/>
  <c r="FH122" i="1" s="1"/>
  <c r="FI122" i="1" s="1"/>
  <c r="FJ122" i="1" s="1"/>
  <c r="FK122" i="1" s="1"/>
  <c r="FL122" i="1" s="1"/>
  <c r="FM122" i="1" s="1"/>
  <c r="FN122" i="1" s="1"/>
  <c r="FO122" i="1" s="1"/>
  <c r="FP122" i="1" s="1"/>
  <c r="FQ122" i="1" s="1"/>
  <c r="FR122" i="1" s="1"/>
  <c r="FS122" i="1" s="1"/>
  <c r="FT122" i="1" s="1"/>
  <c r="FU122" i="1" s="1"/>
  <c r="FV122" i="1" s="1"/>
  <c r="FW122" i="1" s="1"/>
  <c r="FX122" i="1" s="1"/>
  <c r="FY122" i="1" s="1"/>
  <c r="FZ122" i="1" s="1"/>
  <c r="GA122" i="1" s="1"/>
  <c r="GB122" i="1" s="1"/>
  <c r="GC122" i="1" s="1"/>
  <c r="GD122" i="1" s="1"/>
  <c r="GE122" i="1" s="1"/>
  <c r="GF122" i="1" s="1"/>
  <c r="GG122" i="1" s="1"/>
  <c r="GH122" i="1" s="1"/>
  <c r="GI122" i="1" s="1"/>
  <c r="GJ122" i="1" s="1"/>
  <c r="GK122" i="1" s="1"/>
  <c r="GL122" i="1" s="1"/>
  <c r="GM122" i="1" s="1"/>
  <c r="GN122" i="1" s="1"/>
  <c r="GO122" i="1" s="1"/>
  <c r="GP122" i="1" s="1"/>
  <c r="GQ122" i="1" s="1"/>
  <c r="GR122" i="1" s="1"/>
  <c r="GS122" i="1" s="1"/>
  <c r="GT122" i="1" s="1"/>
  <c r="GU122" i="1" s="1"/>
  <c r="GV122" i="1" s="1"/>
  <c r="GW122" i="1" s="1"/>
  <c r="GX122" i="1" s="1"/>
  <c r="GY122" i="1" s="1"/>
  <c r="GZ122" i="1" s="1"/>
  <c r="HA122" i="1" s="1"/>
  <c r="HB122" i="1" s="1"/>
  <c r="HC122" i="1" s="1"/>
  <c r="HD122" i="1" s="1"/>
  <c r="HE122" i="1" s="1"/>
  <c r="HF122" i="1" s="1"/>
  <c r="HG122" i="1" s="1"/>
  <c r="HH122" i="1" s="1"/>
  <c r="HI122" i="1" s="1"/>
  <c r="HJ122" i="1" s="1"/>
  <c r="HK122" i="1" s="1"/>
  <c r="HL122" i="1" s="1"/>
  <c r="HM122" i="1" s="1"/>
  <c r="HN122" i="1" s="1"/>
  <c r="HO122" i="1" s="1"/>
  <c r="HP122" i="1" s="1"/>
  <c r="HQ122" i="1" s="1"/>
  <c r="HR122" i="1" s="1"/>
  <c r="HS122" i="1" s="1"/>
  <c r="HT122" i="1" s="1"/>
  <c r="HU122" i="1" s="1"/>
  <c r="HV122" i="1" s="1"/>
  <c r="HW122" i="1" s="1"/>
  <c r="HX122" i="1" s="1"/>
  <c r="HY122" i="1" s="1"/>
  <c r="HZ122" i="1" s="1"/>
  <c r="IA122" i="1" s="1"/>
  <c r="IB122" i="1" s="1"/>
  <c r="IC122" i="1" s="1"/>
  <c r="ID122" i="1" s="1"/>
  <c r="IE122" i="1" s="1"/>
  <c r="IF122" i="1" s="1"/>
  <c r="IG122" i="1" s="1"/>
  <c r="IH122" i="1" s="1"/>
  <c r="II122" i="1" s="1"/>
  <c r="IJ122" i="1" s="1"/>
  <c r="IK122" i="1" s="1"/>
  <c r="IL122" i="1" s="1"/>
  <c r="IM122" i="1" s="1"/>
  <c r="IN122" i="1" s="1"/>
  <c r="IO122" i="1" s="1"/>
  <c r="IP122" i="1" s="1"/>
  <c r="IQ122" i="1" s="1"/>
  <c r="IR122" i="1" s="1"/>
  <c r="EW139" i="1"/>
  <c r="EX139" i="1" s="1"/>
  <c r="EY139" i="1" s="1"/>
  <c r="EZ139" i="1" s="1"/>
  <c r="FA139" i="1" s="1"/>
  <c r="FB139" i="1" s="1"/>
  <c r="FC139" i="1" s="1"/>
  <c r="FD139" i="1" s="1"/>
  <c r="FE139" i="1" s="1"/>
  <c r="FF139" i="1" s="1"/>
  <c r="FG139" i="1" s="1"/>
  <c r="FH139" i="1" s="1"/>
  <c r="FI139" i="1" s="1"/>
  <c r="FJ139" i="1" s="1"/>
  <c r="FK139" i="1" s="1"/>
  <c r="FL139" i="1" s="1"/>
  <c r="FM139" i="1" s="1"/>
  <c r="FN139" i="1" s="1"/>
  <c r="FO139" i="1" s="1"/>
  <c r="FP139" i="1" s="1"/>
  <c r="FQ139" i="1" s="1"/>
  <c r="FR139" i="1" s="1"/>
  <c r="FS139" i="1" s="1"/>
  <c r="FT139" i="1" s="1"/>
  <c r="FU139" i="1" s="1"/>
  <c r="FV139" i="1" s="1"/>
  <c r="FW139" i="1" s="1"/>
  <c r="FX139" i="1" s="1"/>
  <c r="FY139" i="1" s="1"/>
  <c r="FZ139" i="1" s="1"/>
  <c r="GA139" i="1" s="1"/>
  <c r="GB139" i="1" s="1"/>
  <c r="GC139" i="1" s="1"/>
  <c r="GD139" i="1" s="1"/>
  <c r="GE139" i="1" s="1"/>
  <c r="GF139" i="1" s="1"/>
  <c r="GG139" i="1" s="1"/>
  <c r="GH139" i="1" s="1"/>
  <c r="GI139" i="1" s="1"/>
  <c r="GJ139" i="1" s="1"/>
  <c r="GK139" i="1" s="1"/>
  <c r="GL139" i="1" s="1"/>
  <c r="GM139" i="1" s="1"/>
  <c r="GN139" i="1" s="1"/>
  <c r="GO139" i="1" s="1"/>
  <c r="GP139" i="1" s="1"/>
  <c r="GQ139" i="1" s="1"/>
  <c r="GR139" i="1" s="1"/>
  <c r="GS139" i="1" s="1"/>
  <c r="GT139" i="1" s="1"/>
  <c r="GU139" i="1" s="1"/>
  <c r="GV139" i="1" s="1"/>
  <c r="GW139" i="1" s="1"/>
  <c r="GX139" i="1" s="1"/>
  <c r="GY139" i="1" s="1"/>
  <c r="GZ139" i="1" s="1"/>
  <c r="HA139" i="1" s="1"/>
  <c r="HB139" i="1" s="1"/>
  <c r="HC139" i="1" s="1"/>
  <c r="HD139" i="1" s="1"/>
  <c r="HE139" i="1" s="1"/>
  <c r="HF139" i="1" s="1"/>
  <c r="HG139" i="1" s="1"/>
  <c r="HH139" i="1" s="1"/>
  <c r="HI139" i="1" s="1"/>
  <c r="HJ139" i="1" s="1"/>
  <c r="HK139" i="1" s="1"/>
  <c r="HL139" i="1" s="1"/>
  <c r="HM139" i="1" s="1"/>
  <c r="HN139" i="1" s="1"/>
  <c r="HO139" i="1" s="1"/>
  <c r="HP139" i="1" s="1"/>
  <c r="HQ139" i="1" s="1"/>
  <c r="HR139" i="1" s="1"/>
  <c r="HS139" i="1" s="1"/>
  <c r="HT139" i="1" s="1"/>
  <c r="HU139" i="1" s="1"/>
  <c r="HV139" i="1" s="1"/>
  <c r="HW139" i="1" s="1"/>
  <c r="HX139" i="1" s="1"/>
  <c r="HY139" i="1" s="1"/>
  <c r="HZ139" i="1" s="1"/>
  <c r="IA139" i="1" s="1"/>
  <c r="IB139" i="1" s="1"/>
  <c r="IC139" i="1" s="1"/>
  <c r="ID139" i="1" s="1"/>
  <c r="IE139" i="1" s="1"/>
  <c r="IF139" i="1" s="1"/>
  <c r="IG139" i="1" s="1"/>
  <c r="IH139" i="1" s="1"/>
  <c r="II139" i="1" s="1"/>
  <c r="IJ139" i="1" s="1"/>
  <c r="IK139" i="1" s="1"/>
  <c r="IL139" i="1" s="1"/>
  <c r="IM139" i="1" s="1"/>
  <c r="IN139" i="1" s="1"/>
  <c r="IO139" i="1" s="1"/>
  <c r="IP139" i="1" s="1"/>
  <c r="IQ139" i="1" s="1"/>
  <c r="IR139" i="1" s="1"/>
  <c r="EW127" i="1"/>
  <c r="EX127" i="1" s="1"/>
  <c r="EY127" i="1" s="1"/>
  <c r="EZ127" i="1" s="1"/>
  <c r="FA127" i="1" s="1"/>
  <c r="FB127" i="1" s="1"/>
  <c r="FC127" i="1" s="1"/>
  <c r="FD127" i="1" s="1"/>
  <c r="FE127" i="1" s="1"/>
  <c r="FF127" i="1" s="1"/>
  <c r="FG127" i="1" s="1"/>
  <c r="FH127" i="1" s="1"/>
  <c r="FI127" i="1" s="1"/>
  <c r="FJ127" i="1" s="1"/>
  <c r="FK127" i="1" s="1"/>
  <c r="FL127" i="1" s="1"/>
  <c r="FM127" i="1" s="1"/>
  <c r="FN127" i="1" s="1"/>
  <c r="FO127" i="1" s="1"/>
  <c r="FP127" i="1" s="1"/>
  <c r="FQ127" i="1" s="1"/>
  <c r="FR127" i="1" s="1"/>
  <c r="FS127" i="1" s="1"/>
  <c r="FT127" i="1" s="1"/>
  <c r="FU127" i="1" s="1"/>
  <c r="FV127" i="1" s="1"/>
  <c r="FW127" i="1" s="1"/>
  <c r="FX127" i="1" s="1"/>
  <c r="FY127" i="1" s="1"/>
  <c r="FZ127" i="1" s="1"/>
  <c r="GA127" i="1" s="1"/>
  <c r="GB127" i="1" s="1"/>
  <c r="GC127" i="1" s="1"/>
  <c r="GD127" i="1" s="1"/>
  <c r="GE127" i="1" s="1"/>
  <c r="GF127" i="1" s="1"/>
  <c r="GG127" i="1" s="1"/>
  <c r="GH127" i="1" s="1"/>
  <c r="GI127" i="1" s="1"/>
  <c r="GJ127" i="1" s="1"/>
  <c r="GK127" i="1" s="1"/>
  <c r="GL127" i="1" s="1"/>
  <c r="GM127" i="1" s="1"/>
  <c r="GN127" i="1" s="1"/>
  <c r="GO127" i="1" s="1"/>
  <c r="GP127" i="1" s="1"/>
  <c r="GQ127" i="1" s="1"/>
  <c r="GR127" i="1" s="1"/>
  <c r="GS127" i="1" s="1"/>
  <c r="GT127" i="1" s="1"/>
  <c r="GU127" i="1" s="1"/>
  <c r="GV127" i="1" s="1"/>
  <c r="GW127" i="1" s="1"/>
  <c r="GX127" i="1" s="1"/>
  <c r="GY127" i="1" s="1"/>
  <c r="GZ127" i="1" s="1"/>
  <c r="HA127" i="1" s="1"/>
  <c r="HB127" i="1" s="1"/>
  <c r="HC127" i="1" s="1"/>
  <c r="HD127" i="1" s="1"/>
  <c r="HE127" i="1" s="1"/>
  <c r="HF127" i="1" s="1"/>
  <c r="HG127" i="1" s="1"/>
  <c r="HH127" i="1" s="1"/>
  <c r="HI127" i="1" s="1"/>
  <c r="HJ127" i="1" s="1"/>
  <c r="HK127" i="1" s="1"/>
  <c r="HL127" i="1" s="1"/>
  <c r="HM127" i="1" s="1"/>
  <c r="HN127" i="1" s="1"/>
  <c r="HO127" i="1" s="1"/>
  <c r="HP127" i="1" s="1"/>
  <c r="HQ127" i="1" s="1"/>
  <c r="HR127" i="1" s="1"/>
  <c r="HS127" i="1" s="1"/>
  <c r="HT127" i="1" s="1"/>
  <c r="HU127" i="1" s="1"/>
  <c r="HV127" i="1" s="1"/>
  <c r="HW127" i="1" s="1"/>
  <c r="HX127" i="1" s="1"/>
  <c r="HY127" i="1" s="1"/>
  <c r="HZ127" i="1" s="1"/>
  <c r="IA127" i="1" s="1"/>
  <c r="IB127" i="1" s="1"/>
  <c r="IC127" i="1" s="1"/>
  <c r="ID127" i="1" s="1"/>
  <c r="IE127" i="1" s="1"/>
  <c r="IF127" i="1" s="1"/>
  <c r="IG127" i="1" s="1"/>
  <c r="IH127" i="1" s="1"/>
  <c r="II127" i="1" s="1"/>
  <c r="IJ127" i="1" s="1"/>
  <c r="IK127" i="1" s="1"/>
  <c r="IL127" i="1" s="1"/>
  <c r="IM127" i="1" s="1"/>
  <c r="IN127" i="1" s="1"/>
  <c r="IO127" i="1" s="1"/>
  <c r="IP127" i="1" s="1"/>
  <c r="IQ127" i="1" s="1"/>
  <c r="IR127" i="1" s="1"/>
  <c r="EW111" i="1"/>
  <c r="EX111" i="1" s="1"/>
  <c r="EY111" i="1" s="1"/>
  <c r="EZ111" i="1" s="1"/>
  <c r="FA111" i="1" s="1"/>
  <c r="FB111" i="1" s="1"/>
  <c r="FC111" i="1" s="1"/>
  <c r="FD111" i="1" s="1"/>
  <c r="FE111" i="1" s="1"/>
  <c r="FF111" i="1" s="1"/>
  <c r="FG111" i="1" s="1"/>
  <c r="FH111" i="1" s="1"/>
  <c r="FI111" i="1" s="1"/>
  <c r="FJ111" i="1" s="1"/>
  <c r="FK111" i="1" s="1"/>
  <c r="FL111" i="1" s="1"/>
  <c r="FM111" i="1" s="1"/>
  <c r="FN111" i="1" s="1"/>
  <c r="FO111" i="1" s="1"/>
  <c r="FP111" i="1" s="1"/>
  <c r="FQ111" i="1" s="1"/>
  <c r="FR111" i="1" s="1"/>
  <c r="FS111" i="1" s="1"/>
  <c r="FT111" i="1" s="1"/>
  <c r="FU111" i="1" s="1"/>
  <c r="FV111" i="1" s="1"/>
  <c r="FW111" i="1" s="1"/>
  <c r="FX111" i="1" s="1"/>
  <c r="FY111" i="1" s="1"/>
  <c r="FZ111" i="1" s="1"/>
  <c r="GA111" i="1" s="1"/>
  <c r="GB111" i="1" s="1"/>
  <c r="GC111" i="1" s="1"/>
  <c r="GD111" i="1" s="1"/>
  <c r="GE111" i="1" s="1"/>
  <c r="GF111" i="1" s="1"/>
  <c r="GG111" i="1" s="1"/>
  <c r="GH111" i="1" s="1"/>
  <c r="GI111" i="1" s="1"/>
  <c r="GJ111" i="1" s="1"/>
  <c r="GK111" i="1" s="1"/>
  <c r="GL111" i="1" s="1"/>
  <c r="GM111" i="1" s="1"/>
  <c r="GN111" i="1" s="1"/>
  <c r="GO111" i="1" s="1"/>
  <c r="GP111" i="1" s="1"/>
  <c r="GQ111" i="1" s="1"/>
  <c r="GR111" i="1" s="1"/>
  <c r="GS111" i="1" s="1"/>
  <c r="GT111" i="1" s="1"/>
  <c r="GU111" i="1" s="1"/>
  <c r="GV111" i="1" s="1"/>
  <c r="GW111" i="1" s="1"/>
  <c r="GX111" i="1" s="1"/>
  <c r="GY111" i="1" s="1"/>
  <c r="GZ111" i="1" s="1"/>
  <c r="HA111" i="1" s="1"/>
  <c r="HB111" i="1" s="1"/>
  <c r="HC111" i="1" s="1"/>
  <c r="HD111" i="1" s="1"/>
  <c r="HE111" i="1" s="1"/>
  <c r="HF111" i="1" s="1"/>
  <c r="HG111" i="1" s="1"/>
  <c r="HH111" i="1" s="1"/>
  <c r="HI111" i="1" s="1"/>
  <c r="HJ111" i="1" s="1"/>
  <c r="HK111" i="1" s="1"/>
  <c r="HL111" i="1" s="1"/>
  <c r="HM111" i="1" s="1"/>
  <c r="HN111" i="1" s="1"/>
  <c r="HO111" i="1" s="1"/>
  <c r="HP111" i="1" s="1"/>
  <c r="HQ111" i="1" s="1"/>
  <c r="HR111" i="1" s="1"/>
  <c r="HS111" i="1" s="1"/>
  <c r="HT111" i="1" s="1"/>
  <c r="HU111" i="1" s="1"/>
  <c r="HV111" i="1" s="1"/>
  <c r="HW111" i="1" s="1"/>
  <c r="HX111" i="1" s="1"/>
  <c r="HY111" i="1" s="1"/>
  <c r="HZ111" i="1" s="1"/>
  <c r="IA111" i="1" s="1"/>
  <c r="IB111" i="1" s="1"/>
  <c r="IC111" i="1" s="1"/>
  <c r="ID111" i="1" s="1"/>
  <c r="IE111" i="1" s="1"/>
  <c r="IF111" i="1" s="1"/>
  <c r="IG111" i="1" s="1"/>
  <c r="IH111" i="1" s="1"/>
  <c r="II111" i="1" s="1"/>
  <c r="IJ111" i="1" s="1"/>
  <c r="IK111" i="1" s="1"/>
  <c r="IL111" i="1" s="1"/>
  <c r="IM111" i="1" s="1"/>
  <c r="IN111" i="1" s="1"/>
  <c r="IO111" i="1" s="1"/>
  <c r="IP111" i="1" s="1"/>
  <c r="IQ111" i="1" s="1"/>
  <c r="IR111" i="1" s="1"/>
  <c r="AN130" i="1"/>
  <c r="AO130" i="1" s="1"/>
  <c r="DG130" i="1" s="1"/>
  <c r="AN73" i="1"/>
  <c r="AO73" i="1" s="1"/>
  <c r="EG73" i="1" s="1"/>
  <c r="AN131" i="1"/>
  <c r="AO131" i="1" s="1"/>
  <c r="EP131" i="1" s="1"/>
  <c r="AN121" i="1"/>
  <c r="AO121" i="1" s="1"/>
  <c r="AN120" i="1"/>
  <c r="AO120" i="1" s="1"/>
  <c r="AN104" i="1"/>
  <c r="AO104" i="1" s="1"/>
  <c r="EC104" i="1" s="1"/>
  <c r="AN70" i="1"/>
  <c r="AO70" i="1" s="1"/>
  <c r="EK70" i="1" s="1"/>
  <c r="AN76" i="1"/>
  <c r="AO76" i="1" s="1"/>
  <c r="EB76" i="1" s="1"/>
  <c r="AN143" i="1"/>
  <c r="AO143" i="1" s="1"/>
  <c r="DE143" i="1" s="1"/>
  <c r="AN47" i="1"/>
  <c r="AO47" i="1" s="1"/>
  <c r="CY47" i="1" s="1"/>
  <c r="AN128" i="1"/>
  <c r="AO128" i="1" s="1"/>
  <c r="AN78" i="1"/>
  <c r="AO78" i="1" s="1"/>
  <c r="DT78" i="1" s="1"/>
  <c r="AN148" i="1"/>
  <c r="AO148" i="1" s="1"/>
  <c r="AN155" i="1"/>
  <c r="AO155" i="1" s="1"/>
  <c r="AN100" i="1"/>
  <c r="AO100" i="1" s="1"/>
  <c r="DH100" i="1" s="1"/>
  <c r="AN133" i="1"/>
  <c r="AO133" i="1" s="1"/>
  <c r="AN5" i="1"/>
  <c r="AO5" i="1" s="1"/>
  <c r="ED5" i="1" s="1"/>
  <c r="AN63" i="1"/>
  <c r="AO63" i="1" s="1"/>
  <c r="AN55" i="1"/>
  <c r="AO55" i="1" s="1"/>
  <c r="AN102" i="1"/>
  <c r="AO102" i="1" s="1"/>
  <c r="AN62" i="1"/>
  <c r="AO62" i="1" s="1"/>
  <c r="AN88" i="1"/>
  <c r="AO88" i="1" s="1"/>
  <c r="AN140" i="1"/>
  <c r="AO140" i="1" s="1"/>
  <c r="DS140" i="1" s="1"/>
  <c r="AN153" i="1"/>
  <c r="AO153" i="1" s="1"/>
  <c r="AN156" i="1"/>
  <c r="AO156" i="1" s="1"/>
  <c r="CX156" i="1" s="1"/>
  <c r="AN147" i="1"/>
  <c r="AO147" i="1" s="1"/>
  <c r="AN54" i="1"/>
  <c r="AO54" i="1" s="1"/>
  <c r="AN98" i="1"/>
  <c r="AO98" i="1" s="1"/>
  <c r="DK98" i="1" s="1"/>
  <c r="AN101" i="1"/>
  <c r="AO101" i="1" s="1"/>
  <c r="EO101" i="1" s="1"/>
  <c r="AN154" i="1"/>
  <c r="AO154" i="1" s="1"/>
  <c r="ER154" i="1" s="1"/>
  <c r="AN75" i="1"/>
  <c r="AO75" i="1" s="1"/>
  <c r="DR75" i="1" s="1"/>
  <c r="AN67" i="1"/>
  <c r="AO67" i="1" s="1"/>
  <c r="AN109" i="1"/>
  <c r="AO109" i="1" s="1"/>
  <c r="AN77" i="1"/>
  <c r="AO77" i="1" s="1"/>
  <c r="AN134" i="1"/>
  <c r="AO134" i="1" s="1"/>
  <c r="AN61" i="1"/>
  <c r="AO61" i="1" s="1"/>
  <c r="EL61" i="1" s="1"/>
  <c r="AN99" i="1"/>
  <c r="AO99" i="1" s="1"/>
  <c r="EQ99" i="1" s="1"/>
  <c r="AN74" i="1"/>
  <c r="AO74" i="1" s="1"/>
  <c r="EI74" i="1" s="1"/>
  <c r="AN53" i="1"/>
  <c r="AO53" i="1" s="1"/>
  <c r="DI53" i="1" s="1"/>
  <c r="AN106" i="1"/>
  <c r="AO106" i="1" s="1"/>
  <c r="DY106" i="1" s="1"/>
  <c r="AN129" i="1"/>
  <c r="AO129" i="1" s="1"/>
  <c r="AN94" i="1"/>
  <c r="AO94" i="1" s="1"/>
  <c r="EE94" i="1" s="1"/>
  <c r="AN85" i="1"/>
  <c r="AO85" i="1" s="1"/>
  <c r="AN142" i="1"/>
  <c r="AO142" i="1" s="1"/>
  <c r="AN87" i="1"/>
  <c r="AO87" i="1" s="1"/>
  <c r="AN103" i="1"/>
  <c r="AO103" i="1" s="1"/>
  <c r="AN81" i="1"/>
  <c r="AO81" i="1" s="1"/>
  <c r="DM81" i="1" s="1"/>
  <c r="AN93" i="1"/>
  <c r="AO93" i="1" s="1"/>
  <c r="AN40" i="1"/>
  <c r="AO40" i="1" s="1"/>
  <c r="EH40" i="1" s="1"/>
  <c r="AN110" i="1"/>
  <c r="AO110" i="1" s="1"/>
  <c r="AN69" i="1"/>
  <c r="AO69" i="1" s="1"/>
  <c r="AN65" i="1"/>
  <c r="AO65" i="1" s="1"/>
  <c r="AN135" i="1"/>
  <c r="AO135" i="1" s="1"/>
  <c r="AN44" i="1"/>
  <c r="AO44" i="1" s="1"/>
  <c r="DH44" i="1" s="1"/>
  <c r="AN39" i="1"/>
  <c r="AO39" i="1" s="1"/>
  <c r="DP39" i="1" s="1"/>
  <c r="AN141" i="1"/>
  <c r="AO141" i="1" s="1"/>
  <c r="AN42" i="1"/>
  <c r="AO42" i="1" s="1"/>
  <c r="EH42" i="1" s="1"/>
  <c r="AN107" i="1"/>
  <c r="AO107" i="1" s="1"/>
  <c r="DE107" i="1" s="1"/>
  <c r="AN48" i="1"/>
  <c r="AO48" i="1" s="1"/>
  <c r="EE48" i="1" s="1"/>
  <c r="AN112" i="1"/>
  <c r="AO112" i="1" s="1"/>
  <c r="AN66" i="1"/>
  <c r="AO66" i="1" s="1"/>
  <c r="AN136" i="1"/>
  <c r="AO136" i="1" s="1"/>
  <c r="AN45" i="1"/>
  <c r="AO45" i="1" s="1"/>
  <c r="DG45" i="1" s="1"/>
  <c r="AN105" i="1"/>
  <c r="AO105" i="1" s="1"/>
  <c r="AN25" i="1"/>
  <c r="AO25" i="1" s="1"/>
  <c r="AN116" i="1"/>
  <c r="AO116" i="1" s="1"/>
  <c r="AN56" i="1"/>
  <c r="AO56" i="1" s="1"/>
  <c r="AN123" i="1"/>
  <c r="AO123" i="1" s="1"/>
  <c r="AN49" i="1"/>
  <c r="AO49" i="1" s="1"/>
  <c r="DI49" i="1" s="1"/>
  <c r="AN82" i="1"/>
  <c r="AO82" i="1" s="1"/>
  <c r="EQ82" i="1" s="1"/>
  <c r="AN59" i="1"/>
  <c r="AO59" i="1" s="1"/>
  <c r="AN117" i="1"/>
  <c r="AO117" i="1" s="1"/>
  <c r="AN60" i="1"/>
  <c r="AO60" i="1" s="1"/>
  <c r="DV60" i="1" s="1"/>
  <c r="AN126" i="1"/>
  <c r="AO126" i="1" s="1"/>
  <c r="ET126" i="1" s="1"/>
  <c r="AN72" i="1"/>
  <c r="AO72" i="1" s="1"/>
  <c r="EQ72" i="1" s="1"/>
  <c r="AN139" i="1"/>
  <c r="AO139" i="1" s="1"/>
  <c r="AN127" i="1"/>
  <c r="AO127" i="1" s="1"/>
  <c r="AN111" i="1"/>
  <c r="AO111" i="1" s="1"/>
  <c r="EA111" i="1" s="1"/>
  <c r="AN51" i="1"/>
  <c r="AO51" i="1" s="1"/>
  <c r="DI51" i="1" s="1"/>
  <c r="AJ4" i="1"/>
  <c r="AJ35" i="1"/>
  <c r="AJ33" i="1"/>
  <c r="AJ31" i="1"/>
  <c r="AJ29" i="1"/>
  <c r="AJ26" i="1"/>
  <c r="AJ23" i="1"/>
  <c r="AJ22" i="1"/>
  <c r="AJ20" i="1"/>
  <c r="AJ17" i="1"/>
  <c r="AJ15" i="1"/>
  <c r="AJ13" i="1"/>
  <c r="AJ11" i="1"/>
  <c r="AJ8" i="1"/>
  <c r="AJ6" i="1"/>
  <c r="AX8" i="1" l="1"/>
  <c r="AW8" i="1"/>
  <c r="AX26" i="1"/>
  <c r="AW26" i="1"/>
  <c r="AX11" i="1"/>
  <c r="AW11" i="1"/>
  <c r="AX29" i="1"/>
  <c r="AW29" i="1"/>
  <c r="AX13" i="1"/>
  <c r="AW13" i="1"/>
  <c r="AX31" i="1"/>
  <c r="AW31" i="1"/>
  <c r="AX15" i="1"/>
  <c r="AW15" i="1"/>
  <c r="AX33" i="1"/>
  <c r="AW33" i="1"/>
  <c r="AX17" i="1"/>
  <c r="AW17" i="1"/>
  <c r="AX35" i="1"/>
  <c r="AW35" i="1"/>
  <c r="AN150" i="1"/>
  <c r="AO150" i="1" s="1"/>
  <c r="EH150" i="1" s="1"/>
  <c r="AN79" i="1"/>
  <c r="AO79" i="1" s="1"/>
  <c r="EC79" i="1" s="1"/>
  <c r="EW81" i="1"/>
  <c r="EX81" i="1" s="1"/>
  <c r="EY81" i="1" s="1"/>
  <c r="EZ81" i="1" s="1"/>
  <c r="FA81" i="1" s="1"/>
  <c r="FB81" i="1" s="1"/>
  <c r="FC81" i="1" s="1"/>
  <c r="FD81" i="1" s="1"/>
  <c r="FE81" i="1" s="1"/>
  <c r="FF81" i="1" s="1"/>
  <c r="FG81" i="1" s="1"/>
  <c r="FH81" i="1" s="1"/>
  <c r="FI81" i="1" s="1"/>
  <c r="FJ81" i="1" s="1"/>
  <c r="FK81" i="1" s="1"/>
  <c r="FL81" i="1" s="1"/>
  <c r="FM81" i="1" s="1"/>
  <c r="FN81" i="1" s="1"/>
  <c r="FO81" i="1" s="1"/>
  <c r="FP81" i="1" s="1"/>
  <c r="FQ81" i="1" s="1"/>
  <c r="FR81" i="1" s="1"/>
  <c r="FS81" i="1" s="1"/>
  <c r="FT81" i="1" s="1"/>
  <c r="FU81" i="1" s="1"/>
  <c r="FV81" i="1" s="1"/>
  <c r="FW81" i="1" s="1"/>
  <c r="FX81" i="1" s="1"/>
  <c r="FY81" i="1" s="1"/>
  <c r="FZ81" i="1" s="1"/>
  <c r="GA81" i="1" s="1"/>
  <c r="GB81" i="1" s="1"/>
  <c r="GC81" i="1" s="1"/>
  <c r="GD81" i="1" s="1"/>
  <c r="GE81" i="1" s="1"/>
  <c r="GF81" i="1" s="1"/>
  <c r="GG81" i="1" s="1"/>
  <c r="GH81" i="1" s="1"/>
  <c r="GI81" i="1" s="1"/>
  <c r="GJ81" i="1" s="1"/>
  <c r="GK81" i="1" s="1"/>
  <c r="GL81" i="1" s="1"/>
  <c r="GM81" i="1" s="1"/>
  <c r="GN81" i="1" s="1"/>
  <c r="GO81" i="1" s="1"/>
  <c r="GP81" i="1" s="1"/>
  <c r="GQ81" i="1" s="1"/>
  <c r="GR81" i="1" s="1"/>
  <c r="GS81" i="1" s="1"/>
  <c r="GT81" i="1" s="1"/>
  <c r="GU81" i="1" s="1"/>
  <c r="GV81" i="1" s="1"/>
  <c r="GW81" i="1" s="1"/>
  <c r="GX81" i="1" s="1"/>
  <c r="GY81" i="1" s="1"/>
  <c r="GZ81" i="1" s="1"/>
  <c r="HA81" i="1" s="1"/>
  <c r="HB81" i="1" s="1"/>
  <c r="HC81" i="1" s="1"/>
  <c r="HD81" i="1" s="1"/>
  <c r="HE81" i="1" s="1"/>
  <c r="HF81" i="1" s="1"/>
  <c r="HG81" i="1" s="1"/>
  <c r="HH81" i="1" s="1"/>
  <c r="HI81" i="1" s="1"/>
  <c r="HJ81" i="1" s="1"/>
  <c r="HK81" i="1" s="1"/>
  <c r="HL81" i="1" s="1"/>
  <c r="HM81" i="1" s="1"/>
  <c r="HN81" i="1" s="1"/>
  <c r="HO81" i="1" s="1"/>
  <c r="HP81" i="1" s="1"/>
  <c r="HQ81" i="1" s="1"/>
  <c r="HR81" i="1" s="1"/>
  <c r="HS81" i="1" s="1"/>
  <c r="HT81" i="1" s="1"/>
  <c r="HU81" i="1" s="1"/>
  <c r="HV81" i="1" s="1"/>
  <c r="HW81" i="1" s="1"/>
  <c r="HX81" i="1" s="1"/>
  <c r="HY81" i="1" s="1"/>
  <c r="HZ81" i="1" s="1"/>
  <c r="IA81" i="1" s="1"/>
  <c r="IB81" i="1" s="1"/>
  <c r="IC81" i="1" s="1"/>
  <c r="ID81" i="1" s="1"/>
  <c r="IE81" i="1" s="1"/>
  <c r="IF81" i="1" s="1"/>
  <c r="IG81" i="1" s="1"/>
  <c r="IH81" i="1" s="1"/>
  <c r="II81" i="1" s="1"/>
  <c r="IJ81" i="1" s="1"/>
  <c r="IK81" i="1" s="1"/>
  <c r="IL81" i="1" s="1"/>
  <c r="IM81" i="1" s="1"/>
  <c r="IN81" i="1" s="1"/>
  <c r="IO81" i="1" s="1"/>
  <c r="IP81" i="1" s="1"/>
  <c r="IQ81" i="1" s="1"/>
  <c r="IR81" i="1" s="1"/>
  <c r="AX6" i="1"/>
  <c r="AW6" i="1"/>
  <c r="AX23" i="1"/>
  <c r="AW23" i="1"/>
  <c r="AX20" i="1"/>
  <c r="AW20" i="1"/>
  <c r="AX4" i="1"/>
  <c r="AW4" i="1"/>
  <c r="AX22" i="1"/>
  <c r="AW22" i="1"/>
  <c r="AN71" i="1"/>
  <c r="AO71" i="1" s="1"/>
  <c r="DH71" i="1" s="1"/>
  <c r="EW131" i="1"/>
  <c r="EX131" i="1" s="1"/>
  <c r="EY131" i="1" s="1"/>
  <c r="EZ131" i="1" s="1"/>
  <c r="FA131" i="1" s="1"/>
  <c r="FB131" i="1" s="1"/>
  <c r="FC131" i="1" s="1"/>
  <c r="FD131" i="1" s="1"/>
  <c r="FE131" i="1" s="1"/>
  <c r="FF131" i="1" s="1"/>
  <c r="FG131" i="1" s="1"/>
  <c r="FH131" i="1" s="1"/>
  <c r="FI131" i="1" s="1"/>
  <c r="FJ131" i="1" s="1"/>
  <c r="FK131" i="1" s="1"/>
  <c r="FL131" i="1" s="1"/>
  <c r="FM131" i="1" s="1"/>
  <c r="FN131" i="1" s="1"/>
  <c r="FO131" i="1" s="1"/>
  <c r="FP131" i="1" s="1"/>
  <c r="FQ131" i="1" s="1"/>
  <c r="FR131" i="1" s="1"/>
  <c r="FS131" i="1" s="1"/>
  <c r="FT131" i="1" s="1"/>
  <c r="FU131" i="1" s="1"/>
  <c r="FV131" i="1" s="1"/>
  <c r="FW131" i="1" s="1"/>
  <c r="FX131" i="1" s="1"/>
  <c r="FY131" i="1" s="1"/>
  <c r="FZ131" i="1" s="1"/>
  <c r="GA131" i="1" s="1"/>
  <c r="GB131" i="1" s="1"/>
  <c r="GC131" i="1" s="1"/>
  <c r="GD131" i="1" s="1"/>
  <c r="GE131" i="1" s="1"/>
  <c r="GF131" i="1" s="1"/>
  <c r="GG131" i="1" s="1"/>
  <c r="GH131" i="1" s="1"/>
  <c r="GI131" i="1" s="1"/>
  <c r="GJ131" i="1" s="1"/>
  <c r="GK131" i="1" s="1"/>
  <c r="GL131" i="1" s="1"/>
  <c r="GM131" i="1" s="1"/>
  <c r="GN131" i="1" s="1"/>
  <c r="GO131" i="1" s="1"/>
  <c r="GP131" i="1" s="1"/>
  <c r="GQ131" i="1" s="1"/>
  <c r="GR131" i="1" s="1"/>
  <c r="GS131" i="1" s="1"/>
  <c r="GT131" i="1" s="1"/>
  <c r="GU131" i="1" s="1"/>
  <c r="GV131" i="1" s="1"/>
  <c r="GW131" i="1" s="1"/>
  <c r="GX131" i="1" s="1"/>
  <c r="GY131" i="1" s="1"/>
  <c r="GZ131" i="1" s="1"/>
  <c r="HA131" i="1" s="1"/>
  <c r="HB131" i="1" s="1"/>
  <c r="HC131" i="1" s="1"/>
  <c r="HD131" i="1" s="1"/>
  <c r="HE131" i="1" s="1"/>
  <c r="HF131" i="1" s="1"/>
  <c r="HG131" i="1" s="1"/>
  <c r="HH131" i="1" s="1"/>
  <c r="HI131" i="1" s="1"/>
  <c r="HJ131" i="1" s="1"/>
  <c r="HK131" i="1" s="1"/>
  <c r="HL131" i="1" s="1"/>
  <c r="HM131" i="1" s="1"/>
  <c r="HN131" i="1" s="1"/>
  <c r="HO131" i="1" s="1"/>
  <c r="HP131" i="1" s="1"/>
  <c r="HQ131" i="1" s="1"/>
  <c r="HR131" i="1" s="1"/>
  <c r="HS131" i="1" s="1"/>
  <c r="HT131" i="1" s="1"/>
  <c r="HU131" i="1" s="1"/>
  <c r="HV131" i="1" s="1"/>
  <c r="HW131" i="1" s="1"/>
  <c r="HX131" i="1" s="1"/>
  <c r="HY131" i="1" s="1"/>
  <c r="HZ131" i="1" s="1"/>
  <c r="IA131" i="1" s="1"/>
  <c r="IB131" i="1" s="1"/>
  <c r="IC131" i="1" s="1"/>
  <c r="ID131" i="1" s="1"/>
  <c r="IE131" i="1" s="1"/>
  <c r="IF131" i="1" s="1"/>
  <c r="IG131" i="1" s="1"/>
  <c r="IH131" i="1" s="1"/>
  <c r="II131" i="1" s="1"/>
  <c r="IJ131" i="1" s="1"/>
  <c r="IK131" i="1" s="1"/>
  <c r="IL131" i="1" s="1"/>
  <c r="IM131" i="1" s="1"/>
  <c r="IN131" i="1" s="1"/>
  <c r="IO131" i="1" s="1"/>
  <c r="IP131" i="1" s="1"/>
  <c r="IQ131" i="1" s="1"/>
  <c r="IR131" i="1" s="1"/>
  <c r="AN50" i="1"/>
  <c r="AO50" i="1" s="1"/>
  <c r="AN80" i="1"/>
  <c r="AO80" i="1" s="1"/>
  <c r="EP80" i="1" s="1"/>
  <c r="AN124" i="1"/>
  <c r="AO124" i="1" s="1"/>
  <c r="AN68" i="1"/>
  <c r="AO68" i="1" s="1"/>
  <c r="DW68" i="1" s="1"/>
  <c r="EW75" i="1"/>
  <c r="EX75" i="1" s="1"/>
  <c r="EY75" i="1" s="1"/>
  <c r="EZ75" i="1" s="1"/>
  <c r="FA75" i="1" s="1"/>
  <c r="FB75" i="1" s="1"/>
  <c r="FC75" i="1" s="1"/>
  <c r="FD75" i="1" s="1"/>
  <c r="FE75" i="1" s="1"/>
  <c r="FF75" i="1" s="1"/>
  <c r="FG75" i="1" s="1"/>
  <c r="FH75" i="1" s="1"/>
  <c r="FI75" i="1" s="1"/>
  <c r="FJ75" i="1" s="1"/>
  <c r="FK75" i="1" s="1"/>
  <c r="FL75" i="1" s="1"/>
  <c r="FM75" i="1" s="1"/>
  <c r="FN75" i="1" s="1"/>
  <c r="FO75" i="1" s="1"/>
  <c r="FP75" i="1" s="1"/>
  <c r="FQ75" i="1" s="1"/>
  <c r="FR75" i="1" s="1"/>
  <c r="FS75" i="1" s="1"/>
  <c r="FT75" i="1" s="1"/>
  <c r="FU75" i="1" s="1"/>
  <c r="FV75" i="1" s="1"/>
  <c r="FW75" i="1" s="1"/>
  <c r="FX75" i="1" s="1"/>
  <c r="FY75" i="1" s="1"/>
  <c r="FZ75" i="1" s="1"/>
  <c r="GA75" i="1" s="1"/>
  <c r="GB75" i="1" s="1"/>
  <c r="GC75" i="1" s="1"/>
  <c r="GD75" i="1" s="1"/>
  <c r="GE75" i="1" s="1"/>
  <c r="GF75" i="1" s="1"/>
  <c r="GG75" i="1" s="1"/>
  <c r="GH75" i="1" s="1"/>
  <c r="GI75" i="1" s="1"/>
  <c r="GJ75" i="1" s="1"/>
  <c r="GK75" i="1" s="1"/>
  <c r="GL75" i="1" s="1"/>
  <c r="GM75" i="1" s="1"/>
  <c r="GN75" i="1" s="1"/>
  <c r="GO75" i="1" s="1"/>
  <c r="GP75" i="1" s="1"/>
  <c r="GQ75" i="1" s="1"/>
  <c r="GR75" i="1" s="1"/>
  <c r="GS75" i="1" s="1"/>
  <c r="GT75" i="1" s="1"/>
  <c r="GU75" i="1" s="1"/>
  <c r="GV75" i="1" s="1"/>
  <c r="GW75" i="1" s="1"/>
  <c r="GX75" i="1" s="1"/>
  <c r="GY75" i="1" s="1"/>
  <c r="GZ75" i="1" s="1"/>
  <c r="HA75" i="1" s="1"/>
  <c r="HB75" i="1" s="1"/>
  <c r="HC75" i="1" s="1"/>
  <c r="HD75" i="1" s="1"/>
  <c r="HE75" i="1" s="1"/>
  <c r="HF75" i="1" s="1"/>
  <c r="HG75" i="1" s="1"/>
  <c r="HH75" i="1" s="1"/>
  <c r="HI75" i="1" s="1"/>
  <c r="HJ75" i="1" s="1"/>
  <c r="HK75" i="1" s="1"/>
  <c r="HL75" i="1" s="1"/>
  <c r="HM75" i="1" s="1"/>
  <c r="HN75" i="1" s="1"/>
  <c r="HO75" i="1" s="1"/>
  <c r="HP75" i="1" s="1"/>
  <c r="HQ75" i="1" s="1"/>
  <c r="HR75" i="1" s="1"/>
  <c r="HS75" i="1" s="1"/>
  <c r="HT75" i="1" s="1"/>
  <c r="HU75" i="1" s="1"/>
  <c r="HV75" i="1" s="1"/>
  <c r="HW75" i="1" s="1"/>
  <c r="HX75" i="1" s="1"/>
  <c r="HY75" i="1" s="1"/>
  <c r="HZ75" i="1" s="1"/>
  <c r="IA75" i="1" s="1"/>
  <c r="IB75" i="1" s="1"/>
  <c r="IC75" i="1" s="1"/>
  <c r="ID75" i="1" s="1"/>
  <c r="IE75" i="1" s="1"/>
  <c r="IF75" i="1" s="1"/>
  <c r="IG75" i="1" s="1"/>
  <c r="IH75" i="1" s="1"/>
  <c r="II75" i="1" s="1"/>
  <c r="IJ75" i="1" s="1"/>
  <c r="IK75" i="1" s="1"/>
  <c r="IL75" i="1" s="1"/>
  <c r="IM75" i="1" s="1"/>
  <c r="IN75" i="1" s="1"/>
  <c r="IO75" i="1" s="1"/>
  <c r="IP75" i="1" s="1"/>
  <c r="IQ75" i="1" s="1"/>
  <c r="IR75" i="1" s="1"/>
  <c r="AN125" i="1"/>
  <c r="AO125" i="1" s="1"/>
  <c r="AN152" i="1"/>
  <c r="AO152" i="1" s="1"/>
  <c r="AN57" i="1"/>
  <c r="AO57" i="1" s="1"/>
  <c r="AN151" i="1"/>
  <c r="AO151" i="1" s="1"/>
  <c r="EC151" i="1" s="1"/>
  <c r="AN146" i="1"/>
  <c r="AO146" i="1" s="1"/>
  <c r="AN149" i="1"/>
  <c r="AO149" i="1" s="1"/>
  <c r="AN108" i="1"/>
  <c r="AO108" i="1" s="1"/>
  <c r="EW79" i="1"/>
  <c r="EX79" i="1" s="1"/>
  <c r="EY79" i="1" s="1"/>
  <c r="EZ79" i="1" s="1"/>
  <c r="FA79" i="1" s="1"/>
  <c r="FB79" i="1" s="1"/>
  <c r="FC79" i="1" s="1"/>
  <c r="FD79" i="1" s="1"/>
  <c r="FE79" i="1" s="1"/>
  <c r="FF79" i="1" s="1"/>
  <c r="FG79" i="1" s="1"/>
  <c r="FH79" i="1" s="1"/>
  <c r="FI79" i="1" s="1"/>
  <c r="FJ79" i="1" s="1"/>
  <c r="FK79" i="1" s="1"/>
  <c r="FL79" i="1" s="1"/>
  <c r="FM79" i="1" s="1"/>
  <c r="FN79" i="1" s="1"/>
  <c r="FO79" i="1" s="1"/>
  <c r="FP79" i="1" s="1"/>
  <c r="FQ79" i="1" s="1"/>
  <c r="FR79" i="1" s="1"/>
  <c r="FS79" i="1" s="1"/>
  <c r="FT79" i="1" s="1"/>
  <c r="FU79" i="1" s="1"/>
  <c r="FV79" i="1" s="1"/>
  <c r="FW79" i="1" s="1"/>
  <c r="FX79" i="1" s="1"/>
  <c r="FY79" i="1" s="1"/>
  <c r="FZ79" i="1" s="1"/>
  <c r="GA79" i="1" s="1"/>
  <c r="GB79" i="1" s="1"/>
  <c r="GC79" i="1" s="1"/>
  <c r="GD79" i="1" s="1"/>
  <c r="GE79" i="1" s="1"/>
  <c r="GF79" i="1" s="1"/>
  <c r="GG79" i="1" s="1"/>
  <c r="GH79" i="1" s="1"/>
  <c r="GI79" i="1" s="1"/>
  <c r="GJ79" i="1" s="1"/>
  <c r="GK79" i="1" s="1"/>
  <c r="GL79" i="1" s="1"/>
  <c r="GM79" i="1" s="1"/>
  <c r="GN79" i="1" s="1"/>
  <c r="GO79" i="1" s="1"/>
  <c r="GP79" i="1" s="1"/>
  <c r="GQ79" i="1" s="1"/>
  <c r="GR79" i="1" s="1"/>
  <c r="GS79" i="1" s="1"/>
  <c r="GT79" i="1" s="1"/>
  <c r="GU79" i="1" s="1"/>
  <c r="GV79" i="1" s="1"/>
  <c r="GW79" i="1" s="1"/>
  <c r="GX79" i="1" s="1"/>
  <c r="GY79" i="1" s="1"/>
  <c r="GZ79" i="1" s="1"/>
  <c r="HA79" i="1" s="1"/>
  <c r="HB79" i="1" s="1"/>
  <c r="HC79" i="1" s="1"/>
  <c r="HD79" i="1" s="1"/>
  <c r="HE79" i="1" s="1"/>
  <c r="HF79" i="1" s="1"/>
  <c r="HG79" i="1" s="1"/>
  <c r="HH79" i="1" s="1"/>
  <c r="HI79" i="1" s="1"/>
  <c r="HJ79" i="1" s="1"/>
  <c r="HK79" i="1" s="1"/>
  <c r="HL79" i="1" s="1"/>
  <c r="HM79" i="1" s="1"/>
  <c r="HN79" i="1" s="1"/>
  <c r="HO79" i="1" s="1"/>
  <c r="HP79" i="1" s="1"/>
  <c r="HQ79" i="1" s="1"/>
  <c r="HR79" i="1" s="1"/>
  <c r="HS79" i="1" s="1"/>
  <c r="HT79" i="1" s="1"/>
  <c r="HU79" i="1" s="1"/>
  <c r="HV79" i="1" s="1"/>
  <c r="HW79" i="1" s="1"/>
  <c r="HX79" i="1" s="1"/>
  <c r="HY79" i="1" s="1"/>
  <c r="HZ79" i="1" s="1"/>
  <c r="IA79" i="1" s="1"/>
  <c r="IB79" i="1" s="1"/>
  <c r="IC79" i="1" s="1"/>
  <c r="ID79" i="1" s="1"/>
  <c r="IE79" i="1" s="1"/>
  <c r="IF79" i="1" s="1"/>
  <c r="IG79" i="1" s="1"/>
  <c r="IH79" i="1" s="1"/>
  <c r="II79" i="1" s="1"/>
  <c r="IJ79" i="1" s="1"/>
  <c r="IK79" i="1" s="1"/>
  <c r="IL79" i="1" s="1"/>
  <c r="IM79" i="1" s="1"/>
  <c r="IN79" i="1" s="1"/>
  <c r="IO79" i="1" s="1"/>
  <c r="IP79" i="1" s="1"/>
  <c r="IQ79" i="1" s="1"/>
  <c r="IR79" i="1" s="1"/>
  <c r="AN91" i="1"/>
  <c r="AO91" i="1" s="1"/>
  <c r="AV91" i="1"/>
  <c r="EW118" i="1"/>
  <c r="EX118" i="1" s="1"/>
  <c r="EY118" i="1" s="1"/>
  <c r="EZ118" i="1" s="1"/>
  <c r="FA118" i="1" s="1"/>
  <c r="FB118" i="1" s="1"/>
  <c r="FC118" i="1" s="1"/>
  <c r="FD118" i="1" s="1"/>
  <c r="FE118" i="1" s="1"/>
  <c r="FF118" i="1" s="1"/>
  <c r="FG118" i="1" s="1"/>
  <c r="FH118" i="1" s="1"/>
  <c r="FI118" i="1" s="1"/>
  <c r="FJ118" i="1" s="1"/>
  <c r="FK118" i="1" s="1"/>
  <c r="FL118" i="1" s="1"/>
  <c r="FM118" i="1" s="1"/>
  <c r="FN118" i="1" s="1"/>
  <c r="FO118" i="1" s="1"/>
  <c r="FP118" i="1" s="1"/>
  <c r="FQ118" i="1" s="1"/>
  <c r="FR118" i="1" s="1"/>
  <c r="FS118" i="1" s="1"/>
  <c r="FT118" i="1" s="1"/>
  <c r="FU118" i="1" s="1"/>
  <c r="FV118" i="1" s="1"/>
  <c r="FW118" i="1" s="1"/>
  <c r="FX118" i="1" s="1"/>
  <c r="FY118" i="1" s="1"/>
  <c r="FZ118" i="1" s="1"/>
  <c r="GA118" i="1" s="1"/>
  <c r="GB118" i="1" s="1"/>
  <c r="GC118" i="1" s="1"/>
  <c r="GD118" i="1" s="1"/>
  <c r="GE118" i="1" s="1"/>
  <c r="GF118" i="1" s="1"/>
  <c r="GG118" i="1" s="1"/>
  <c r="GH118" i="1" s="1"/>
  <c r="GI118" i="1" s="1"/>
  <c r="GJ118" i="1" s="1"/>
  <c r="GK118" i="1" s="1"/>
  <c r="GL118" i="1" s="1"/>
  <c r="GM118" i="1" s="1"/>
  <c r="GN118" i="1" s="1"/>
  <c r="GO118" i="1" s="1"/>
  <c r="GP118" i="1" s="1"/>
  <c r="GQ118" i="1" s="1"/>
  <c r="GR118" i="1" s="1"/>
  <c r="GS118" i="1" s="1"/>
  <c r="GT118" i="1" s="1"/>
  <c r="GU118" i="1" s="1"/>
  <c r="GV118" i="1" s="1"/>
  <c r="GW118" i="1" s="1"/>
  <c r="GX118" i="1" s="1"/>
  <c r="GY118" i="1" s="1"/>
  <c r="GZ118" i="1" s="1"/>
  <c r="HA118" i="1" s="1"/>
  <c r="HB118" i="1" s="1"/>
  <c r="HC118" i="1" s="1"/>
  <c r="HD118" i="1" s="1"/>
  <c r="HE118" i="1" s="1"/>
  <c r="HF118" i="1" s="1"/>
  <c r="HG118" i="1" s="1"/>
  <c r="HH118" i="1" s="1"/>
  <c r="HI118" i="1" s="1"/>
  <c r="HJ118" i="1" s="1"/>
  <c r="HK118" i="1" s="1"/>
  <c r="HL118" i="1" s="1"/>
  <c r="HM118" i="1" s="1"/>
  <c r="HN118" i="1" s="1"/>
  <c r="HO118" i="1" s="1"/>
  <c r="HP118" i="1" s="1"/>
  <c r="HQ118" i="1" s="1"/>
  <c r="HR118" i="1" s="1"/>
  <c r="HS118" i="1" s="1"/>
  <c r="HT118" i="1" s="1"/>
  <c r="HU118" i="1" s="1"/>
  <c r="HV118" i="1" s="1"/>
  <c r="HW118" i="1" s="1"/>
  <c r="HX118" i="1" s="1"/>
  <c r="HY118" i="1" s="1"/>
  <c r="HZ118" i="1" s="1"/>
  <c r="IA118" i="1" s="1"/>
  <c r="IB118" i="1" s="1"/>
  <c r="IC118" i="1" s="1"/>
  <c r="ID118" i="1" s="1"/>
  <c r="IE118" i="1" s="1"/>
  <c r="IF118" i="1" s="1"/>
  <c r="IG118" i="1" s="1"/>
  <c r="IH118" i="1" s="1"/>
  <c r="II118" i="1" s="1"/>
  <c r="IJ118" i="1" s="1"/>
  <c r="IK118" i="1" s="1"/>
  <c r="IL118" i="1" s="1"/>
  <c r="IM118" i="1" s="1"/>
  <c r="IN118" i="1" s="1"/>
  <c r="IO118" i="1" s="1"/>
  <c r="IP118" i="1" s="1"/>
  <c r="IQ118" i="1" s="1"/>
  <c r="IR118" i="1" s="1"/>
  <c r="AV118" i="1"/>
  <c r="AN137" i="1"/>
  <c r="AO137" i="1" s="1"/>
  <c r="AV137" i="1"/>
  <c r="AN24" i="1"/>
  <c r="AO24" i="1" s="1"/>
  <c r="CW24" i="1"/>
  <c r="CL24" i="1"/>
  <c r="AV24" i="1"/>
  <c r="AN64" i="1"/>
  <c r="AO64" i="1" s="1"/>
  <c r="AV64" i="1"/>
  <c r="AN92" i="1"/>
  <c r="AO92" i="1" s="1"/>
  <c r="AV92" i="1"/>
  <c r="EW37" i="1"/>
  <c r="EX37" i="1" s="1"/>
  <c r="EY37" i="1" s="1"/>
  <c r="EZ37" i="1" s="1"/>
  <c r="FA37" i="1" s="1"/>
  <c r="FB37" i="1" s="1"/>
  <c r="FC37" i="1" s="1"/>
  <c r="FD37" i="1" s="1"/>
  <c r="FE37" i="1" s="1"/>
  <c r="FF37" i="1" s="1"/>
  <c r="FG37" i="1" s="1"/>
  <c r="FH37" i="1" s="1"/>
  <c r="FI37" i="1" s="1"/>
  <c r="FJ37" i="1" s="1"/>
  <c r="FK37" i="1" s="1"/>
  <c r="FL37" i="1" s="1"/>
  <c r="FM37" i="1" s="1"/>
  <c r="FN37" i="1" s="1"/>
  <c r="FO37" i="1" s="1"/>
  <c r="FP37" i="1" s="1"/>
  <c r="FQ37" i="1" s="1"/>
  <c r="FR37" i="1" s="1"/>
  <c r="FS37" i="1" s="1"/>
  <c r="FT37" i="1" s="1"/>
  <c r="FU37" i="1" s="1"/>
  <c r="FV37" i="1" s="1"/>
  <c r="FW37" i="1" s="1"/>
  <c r="FX37" i="1" s="1"/>
  <c r="FY37" i="1" s="1"/>
  <c r="FZ37" i="1" s="1"/>
  <c r="GA37" i="1" s="1"/>
  <c r="GB37" i="1" s="1"/>
  <c r="GC37" i="1" s="1"/>
  <c r="GD37" i="1" s="1"/>
  <c r="GE37" i="1" s="1"/>
  <c r="GF37" i="1" s="1"/>
  <c r="GG37" i="1" s="1"/>
  <c r="GH37" i="1" s="1"/>
  <c r="GI37" i="1" s="1"/>
  <c r="GJ37" i="1" s="1"/>
  <c r="GK37" i="1" s="1"/>
  <c r="GL37" i="1" s="1"/>
  <c r="GM37" i="1" s="1"/>
  <c r="GN37" i="1" s="1"/>
  <c r="GO37" i="1" s="1"/>
  <c r="GP37" i="1" s="1"/>
  <c r="GQ37" i="1" s="1"/>
  <c r="GR37" i="1" s="1"/>
  <c r="GS37" i="1" s="1"/>
  <c r="GT37" i="1" s="1"/>
  <c r="GU37" i="1" s="1"/>
  <c r="GV37" i="1" s="1"/>
  <c r="GW37" i="1" s="1"/>
  <c r="GX37" i="1" s="1"/>
  <c r="GY37" i="1" s="1"/>
  <c r="GZ37" i="1" s="1"/>
  <c r="HA37" i="1" s="1"/>
  <c r="HB37" i="1" s="1"/>
  <c r="HC37" i="1" s="1"/>
  <c r="HD37" i="1" s="1"/>
  <c r="HE37" i="1" s="1"/>
  <c r="HF37" i="1" s="1"/>
  <c r="HG37" i="1" s="1"/>
  <c r="HH37" i="1" s="1"/>
  <c r="HI37" i="1" s="1"/>
  <c r="HJ37" i="1" s="1"/>
  <c r="HK37" i="1" s="1"/>
  <c r="HL37" i="1" s="1"/>
  <c r="HM37" i="1" s="1"/>
  <c r="HN37" i="1" s="1"/>
  <c r="HO37" i="1" s="1"/>
  <c r="HP37" i="1" s="1"/>
  <c r="HQ37" i="1" s="1"/>
  <c r="HR37" i="1" s="1"/>
  <c r="HS37" i="1" s="1"/>
  <c r="HT37" i="1" s="1"/>
  <c r="HU37" i="1" s="1"/>
  <c r="HV37" i="1" s="1"/>
  <c r="HW37" i="1" s="1"/>
  <c r="HX37" i="1" s="1"/>
  <c r="HY37" i="1" s="1"/>
  <c r="HZ37" i="1" s="1"/>
  <c r="IA37" i="1" s="1"/>
  <c r="IB37" i="1" s="1"/>
  <c r="IC37" i="1" s="1"/>
  <c r="ID37" i="1" s="1"/>
  <c r="IE37" i="1" s="1"/>
  <c r="IF37" i="1" s="1"/>
  <c r="IG37" i="1" s="1"/>
  <c r="IH37" i="1" s="1"/>
  <c r="II37" i="1" s="1"/>
  <c r="IJ37" i="1" s="1"/>
  <c r="IK37" i="1" s="1"/>
  <c r="IL37" i="1" s="1"/>
  <c r="IM37" i="1" s="1"/>
  <c r="IN37" i="1" s="1"/>
  <c r="IO37" i="1" s="1"/>
  <c r="IP37" i="1" s="1"/>
  <c r="IQ37" i="1" s="1"/>
  <c r="IR37" i="1" s="1"/>
  <c r="AV37" i="1"/>
  <c r="AN138" i="1"/>
  <c r="AO138" i="1" s="1"/>
  <c r="AV138" i="1"/>
  <c r="AV125" i="1"/>
  <c r="AV148" i="1"/>
  <c r="AV146" i="1"/>
  <c r="CK151" i="1"/>
  <c r="BU151" i="1"/>
  <c r="BE151" i="1"/>
  <c r="CL151" i="1"/>
  <c r="BV151" i="1"/>
  <c r="BF151" i="1"/>
  <c r="CM151" i="1"/>
  <c r="BW151" i="1"/>
  <c r="BG151" i="1"/>
  <c r="CN151" i="1"/>
  <c r="BX151" i="1"/>
  <c r="BH151" i="1"/>
  <c r="CO151" i="1"/>
  <c r="BY151" i="1"/>
  <c r="BI151" i="1"/>
  <c r="CP151" i="1"/>
  <c r="BZ151" i="1"/>
  <c r="BJ151" i="1"/>
  <c r="CQ151" i="1"/>
  <c r="CA151" i="1"/>
  <c r="BK151" i="1"/>
  <c r="CR151" i="1"/>
  <c r="CB151" i="1"/>
  <c r="BL151" i="1"/>
  <c r="CS151" i="1"/>
  <c r="CC151" i="1"/>
  <c r="BM151" i="1"/>
  <c r="CT151" i="1"/>
  <c r="CD151" i="1"/>
  <c r="BN151" i="1"/>
  <c r="CU151" i="1"/>
  <c r="CE151" i="1"/>
  <c r="BO151" i="1"/>
  <c r="CV151" i="1"/>
  <c r="CF151" i="1"/>
  <c r="BP151" i="1"/>
  <c r="AZ151" i="1"/>
  <c r="CW151" i="1"/>
  <c r="CG151" i="1"/>
  <c r="BQ151" i="1"/>
  <c r="BA151" i="1"/>
  <c r="CH151" i="1"/>
  <c r="BR151" i="1"/>
  <c r="BB151" i="1"/>
  <c r="CI151" i="1"/>
  <c r="BS151" i="1"/>
  <c r="BC151" i="1"/>
  <c r="CJ151" i="1"/>
  <c r="BT151" i="1"/>
  <c r="BD151" i="1"/>
  <c r="AV151" i="1"/>
  <c r="EW121" i="1"/>
  <c r="EX121" i="1" s="1"/>
  <c r="EY121" i="1" s="1"/>
  <c r="EZ121" i="1" s="1"/>
  <c r="FA121" i="1" s="1"/>
  <c r="FB121" i="1" s="1"/>
  <c r="FC121" i="1" s="1"/>
  <c r="FD121" i="1" s="1"/>
  <c r="FE121" i="1" s="1"/>
  <c r="FF121" i="1" s="1"/>
  <c r="FG121" i="1" s="1"/>
  <c r="FH121" i="1" s="1"/>
  <c r="FI121" i="1" s="1"/>
  <c r="FJ121" i="1" s="1"/>
  <c r="FK121" i="1" s="1"/>
  <c r="FL121" i="1" s="1"/>
  <c r="FM121" i="1" s="1"/>
  <c r="FN121" i="1" s="1"/>
  <c r="FO121" i="1" s="1"/>
  <c r="FP121" i="1" s="1"/>
  <c r="FQ121" i="1" s="1"/>
  <c r="FR121" i="1" s="1"/>
  <c r="FS121" i="1" s="1"/>
  <c r="FT121" i="1" s="1"/>
  <c r="FU121" i="1" s="1"/>
  <c r="FV121" i="1" s="1"/>
  <c r="FW121" i="1" s="1"/>
  <c r="FX121" i="1" s="1"/>
  <c r="FY121" i="1" s="1"/>
  <c r="FZ121" i="1" s="1"/>
  <c r="GA121" i="1" s="1"/>
  <c r="GB121" i="1" s="1"/>
  <c r="GC121" i="1" s="1"/>
  <c r="GD121" i="1" s="1"/>
  <c r="GE121" i="1" s="1"/>
  <c r="GF121" i="1" s="1"/>
  <c r="GG121" i="1" s="1"/>
  <c r="GH121" i="1" s="1"/>
  <c r="GI121" i="1" s="1"/>
  <c r="GJ121" i="1" s="1"/>
  <c r="GK121" i="1" s="1"/>
  <c r="GL121" i="1" s="1"/>
  <c r="GM121" i="1" s="1"/>
  <c r="GN121" i="1" s="1"/>
  <c r="GO121" i="1" s="1"/>
  <c r="GP121" i="1" s="1"/>
  <c r="GQ121" i="1" s="1"/>
  <c r="GR121" i="1" s="1"/>
  <c r="GS121" i="1" s="1"/>
  <c r="GT121" i="1" s="1"/>
  <c r="GU121" i="1" s="1"/>
  <c r="GV121" i="1" s="1"/>
  <c r="GW121" i="1" s="1"/>
  <c r="GX121" i="1" s="1"/>
  <c r="GY121" i="1" s="1"/>
  <c r="GZ121" i="1" s="1"/>
  <c r="HA121" i="1" s="1"/>
  <c r="HB121" i="1" s="1"/>
  <c r="HC121" i="1" s="1"/>
  <c r="HD121" i="1" s="1"/>
  <c r="HE121" i="1" s="1"/>
  <c r="HF121" i="1" s="1"/>
  <c r="HG121" i="1" s="1"/>
  <c r="HH121" i="1" s="1"/>
  <c r="HI121" i="1" s="1"/>
  <c r="HJ121" i="1" s="1"/>
  <c r="HK121" i="1" s="1"/>
  <c r="HL121" i="1" s="1"/>
  <c r="HM121" i="1" s="1"/>
  <c r="HN121" i="1" s="1"/>
  <c r="HO121" i="1" s="1"/>
  <c r="HP121" i="1" s="1"/>
  <c r="HQ121" i="1" s="1"/>
  <c r="HR121" i="1" s="1"/>
  <c r="HS121" i="1" s="1"/>
  <c r="HT121" i="1" s="1"/>
  <c r="HU121" i="1" s="1"/>
  <c r="HV121" i="1" s="1"/>
  <c r="HW121" i="1" s="1"/>
  <c r="HX121" i="1" s="1"/>
  <c r="HY121" i="1" s="1"/>
  <c r="HZ121" i="1" s="1"/>
  <c r="IA121" i="1" s="1"/>
  <c r="IB121" i="1" s="1"/>
  <c r="IC121" i="1" s="1"/>
  <c r="ID121" i="1" s="1"/>
  <c r="IE121" i="1" s="1"/>
  <c r="IF121" i="1" s="1"/>
  <c r="IG121" i="1" s="1"/>
  <c r="IH121" i="1" s="1"/>
  <c r="II121" i="1" s="1"/>
  <c r="IJ121" i="1" s="1"/>
  <c r="IK121" i="1" s="1"/>
  <c r="IL121" i="1" s="1"/>
  <c r="IM121" i="1" s="1"/>
  <c r="IN121" i="1" s="1"/>
  <c r="IO121" i="1" s="1"/>
  <c r="IP121" i="1" s="1"/>
  <c r="IQ121" i="1" s="1"/>
  <c r="IR121" i="1" s="1"/>
  <c r="AV121" i="1"/>
  <c r="AN38" i="1"/>
  <c r="AO38" i="1" s="1"/>
  <c r="DD38" i="1" s="1"/>
  <c r="BF38" i="1"/>
  <c r="AV38" i="1"/>
  <c r="EW134" i="1"/>
  <c r="EX134" i="1" s="1"/>
  <c r="EY134" i="1" s="1"/>
  <c r="EZ134" i="1" s="1"/>
  <c r="FA134" i="1" s="1"/>
  <c r="FB134" i="1" s="1"/>
  <c r="FC134" i="1" s="1"/>
  <c r="FD134" i="1" s="1"/>
  <c r="FE134" i="1" s="1"/>
  <c r="FF134" i="1" s="1"/>
  <c r="FG134" i="1" s="1"/>
  <c r="FH134" i="1" s="1"/>
  <c r="FI134" i="1" s="1"/>
  <c r="FJ134" i="1" s="1"/>
  <c r="FK134" i="1" s="1"/>
  <c r="FL134" i="1" s="1"/>
  <c r="FM134" i="1" s="1"/>
  <c r="FN134" i="1" s="1"/>
  <c r="FO134" i="1" s="1"/>
  <c r="FP134" i="1" s="1"/>
  <c r="FQ134" i="1" s="1"/>
  <c r="FR134" i="1" s="1"/>
  <c r="FS134" i="1" s="1"/>
  <c r="FT134" i="1" s="1"/>
  <c r="FU134" i="1" s="1"/>
  <c r="FV134" i="1" s="1"/>
  <c r="FW134" i="1" s="1"/>
  <c r="FX134" i="1" s="1"/>
  <c r="FY134" i="1" s="1"/>
  <c r="FZ134" i="1" s="1"/>
  <c r="GA134" i="1" s="1"/>
  <c r="GB134" i="1" s="1"/>
  <c r="GC134" i="1" s="1"/>
  <c r="GD134" i="1" s="1"/>
  <c r="GE134" i="1" s="1"/>
  <c r="GF134" i="1" s="1"/>
  <c r="GG134" i="1" s="1"/>
  <c r="GH134" i="1" s="1"/>
  <c r="GI134" i="1" s="1"/>
  <c r="GJ134" i="1" s="1"/>
  <c r="GK134" i="1" s="1"/>
  <c r="GL134" i="1" s="1"/>
  <c r="GM134" i="1" s="1"/>
  <c r="GN134" i="1" s="1"/>
  <c r="GO134" i="1" s="1"/>
  <c r="GP134" i="1" s="1"/>
  <c r="GQ134" i="1" s="1"/>
  <c r="GR134" i="1" s="1"/>
  <c r="GS134" i="1" s="1"/>
  <c r="GT134" i="1" s="1"/>
  <c r="GU134" i="1" s="1"/>
  <c r="GV134" i="1" s="1"/>
  <c r="GW134" i="1" s="1"/>
  <c r="GX134" i="1" s="1"/>
  <c r="GY134" i="1" s="1"/>
  <c r="GZ134" i="1" s="1"/>
  <c r="HA134" i="1" s="1"/>
  <c r="HB134" i="1" s="1"/>
  <c r="HC134" i="1" s="1"/>
  <c r="HD134" i="1" s="1"/>
  <c r="HE134" i="1" s="1"/>
  <c r="HF134" i="1" s="1"/>
  <c r="HG134" i="1" s="1"/>
  <c r="HH134" i="1" s="1"/>
  <c r="HI134" i="1" s="1"/>
  <c r="HJ134" i="1" s="1"/>
  <c r="HK134" i="1" s="1"/>
  <c r="HL134" i="1" s="1"/>
  <c r="HM134" i="1" s="1"/>
  <c r="HN134" i="1" s="1"/>
  <c r="HO134" i="1" s="1"/>
  <c r="HP134" i="1" s="1"/>
  <c r="HQ134" i="1" s="1"/>
  <c r="HR134" i="1" s="1"/>
  <c r="HS134" i="1" s="1"/>
  <c r="HT134" i="1" s="1"/>
  <c r="HU134" i="1" s="1"/>
  <c r="HV134" i="1" s="1"/>
  <c r="HW134" i="1" s="1"/>
  <c r="HX134" i="1" s="1"/>
  <c r="HY134" i="1" s="1"/>
  <c r="HZ134" i="1" s="1"/>
  <c r="IA134" i="1" s="1"/>
  <c r="IB134" i="1" s="1"/>
  <c r="IC134" i="1" s="1"/>
  <c r="ID134" i="1" s="1"/>
  <c r="IE134" i="1" s="1"/>
  <c r="IF134" i="1" s="1"/>
  <c r="IG134" i="1" s="1"/>
  <c r="IH134" i="1" s="1"/>
  <c r="II134" i="1" s="1"/>
  <c r="IJ134" i="1" s="1"/>
  <c r="IK134" i="1" s="1"/>
  <c r="IL134" i="1" s="1"/>
  <c r="IM134" i="1" s="1"/>
  <c r="IN134" i="1" s="1"/>
  <c r="IO134" i="1" s="1"/>
  <c r="IP134" i="1" s="1"/>
  <c r="IQ134" i="1" s="1"/>
  <c r="IR134" i="1" s="1"/>
  <c r="AV134" i="1"/>
  <c r="EW73" i="1"/>
  <c r="EX73" i="1" s="1"/>
  <c r="EY73" i="1" s="1"/>
  <c r="EZ73" i="1" s="1"/>
  <c r="FA73" i="1" s="1"/>
  <c r="FB73" i="1" s="1"/>
  <c r="FC73" i="1" s="1"/>
  <c r="FD73" i="1" s="1"/>
  <c r="FE73" i="1" s="1"/>
  <c r="FF73" i="1" s="1"/>
  <c r="FG73" i="1" s="1"/>
  <c r="FH73" i="1" s="1"/>
  <c r="FI73" i="1" s="1"/>
  <c r="FJ73" i="1" s="1"/>
  <c r="FK73" i="1" s="1"/>
  <c r="FL73" i="1" s="1"/>
  <c r="FM73" i="1" s="1"/>
  <c r="FN73" i="1" s="1"/>
  <c r="FO73" i="1" s="1"/>
  <c r="FP73" i="1" s="1"/>
  <c r="FQ73" i="1" s="1"/>
  <c r="FR73" i="1" s="1"/>
  <c r="FS73" i="1" s="1"/>
  <c r="FT73" i="1" s="1"/>
  <c r="FU73" i="1" s="1"/>
  <c r="FV73" i="1" s="1"/>
  <c r="FW73" i="1" s="1"/>
  <c r="FX73" i="1" s="1"/>
  <c r="FY73" i="1" s="1"/>
  <c r="FZ73" i="1" s="1"/>
  <c r="GA73" i="1" s="1"/>
  <c r="GB73" i="1" s="1"/>
  <c r="GC73" i="1" s="1"/>
  <c r="GD73" i="1" s="1"/>
  <c r="GE73" i="1" s="1"/>
  <c r="GF73" i="1" s="1"/>
  <c r="GG73" i="1" s="1"/>
  <c r="GH73" i="1" s="1"/>
  <c r="GI73" i="1" s="1"/>
  <c r="GJ73" i="1" s="1"/>
  <c r="GK73" i="1" s="1"/>
  <c r="GL73" i="1" s="1"/>
  <c r="GM73" i="1" s="1"/>
  <c r="GN73" i="1" s="1"/>
  <c r="GO73" i="1" s="1"/>
  <c r="GP73" i="1" s="1"/>
  <c r="GQ73" i="1" s="1"/>
  <c r="GR73" i="1" s="1"/>
  <c r="GS73" i="1" s="1"/>
  <c r="GT73" i="1" s="1"/>
  <c r="GU73" i="1" s="1"/>
  <c r="GV73" i="1" s="1"/>
  <c r="GW73" i="1" s="1"/>
  <c r="GX73" i="1" s="1"/>
  <c r="GY73" i="1" s="1"/>
  <c r="GZ73" i="1" s="1"/>
  <c r="HA73" i="1" s="1"/>
  <c r="HB73" i="1" s="1"/>
  <c r="HC73" i="1" s="1"/>
  <c r="HD73" i="1" s="1"/>
  <c r="HE73" i="1" s="1"/>
  <c r="HF73" i="1" s="1"/>
  <c r="HG73" i="1" s="1"/>
  <c r="HH73" i="1" s="1"/>
  <c r="HI73" i="1" s="1"/>
  <c r="HJ73" i="1" s="1"/>
  <c r="HK73" i="1" s="1"/>
  <c r="HL73" i="1" s="1"/>
  <c r="HM73" i="1" s="1"/>
  <c r="HN73" i="1" s="1"/>
  <c r="HO73" i="1" s="1"/>
  <c r="HP73" i="1" s="1"/>
  <c r="HQ73" i="1" s="1"/>
  <c r="HR73" i="1" s="1"/>
  <c r="HS73" i="1" s="1"/>
  <c r="HT73" i="1" s="1"/>
  <c r="HU73" i="1" s="1"/>
  <c r="HV73" i="1" s="1"/>
  <c r="HW73" i="1" s="1"/>
  <c r="HX73" i="1" s="1"/>
  <c r="HY73" i="1" s="1"/>
  <c r="HZ73" i="1" s="1"/>
  <c r="IA73" i="1" s="1"/>
  <c r="IB73" i="1" s="1"/>
  <c r="IC73" i="1" s="1"/>
  <c r="ID73" i="1" s="1"/>
  <c r="IE73" i="1" s="1"/>
  <c r="IF73" i="1" s="1"/>
  <c r="IG73" i="1" s="1"/>
  <c r="IH73" i="1" s="1"/>
  <c r="II73" i="1" s="1"/>
  <c r="IJ73" i="1" s="1"/>
  <c r="IK73" i="1" s="1"/>
  <c r="IL73" i="1" s="1"/>
  <c r="IM73" i="1" s="1"/>
  <c r="IN73" i="1" s="1"/>
  <c r="IO73" i="1" s="1"/>
  <c r="IP73" i="1" s="1"/>
  <c r="IQ73" i="1" s="1"/>
  <c r="IR73" i="1" s="1"/>
  <c r="AV73" i="1"/>
  <c r="AN132" i="1"/>
  <c r="AO132" i="1" s="1"/>
  <c r="EM132" i="1" s="1"/>
  <c r="AN58" i="1"/>
  <c r="AO58" i="1" s="1"/>
  <c r="AV122" i="1"/>
  <c r="EW39" i="1"/>
  <c r="EX39" i="1" s="1"/>
  <c r="EY39" i="1" s="1"/>
  <c r="EZ39" i="1" s="1"/>
  <c r="FA39" i="1" s="1"/>
  <c r="FB39" i="1" s="1"/>
  <c r="FC39" i="1" s="1"/>
  <c r="FD39" i="1" s="1"/>
  <c r="FE39" i="1" s="1"/>
  <c r="FF39" i="1" s="1"/>
  <c r="FG39" i="1" s="1"/>
  <c r="FH39" i="1" s="1"/>
  <c r="FI39" i="1" s="1"/>
  <c r="FJ39" i="1" s="1"/>
  <c r="FK39" i="1" s="1"/>
  <c r="FL39" i="1" s="1"/>
  <c r="FM39" i="1" s="1"/>
  <c r="FN39" i="1" s="1"/>
  <c r="FO39" i="1" s="1"/>
  <c r="FP39" i="1" s="1"/>
  <c r="FQ39" i="1" s="1"/>
  <c r="FR39" i="1" s="1"/>
  <c r="FS39" i="1" s="1"/>
  <c r="FT39" i="1" s="1"/>
  <c r="FU39" i="1" s="1"/>
  <c r="FV39" i="1" s="1"/>
  <c r="FW39" i="1" s="1"/>
  <c r="FX39" i="1" s="1"/>
  <c r="FY39" i="1" s="1"/>
  <c r="FZ39" i="1" s="1"/>
  <c r="GA39" i="1" s="1"/>
  <c r="GB39" i="1" s="1"/>
  <c r="GC39" i="1" s="1"/>
  <c r="GD39" i="1" s="1"/>
  <c r="GE39" i="1" s="1"/>
  <c r="GF39" i="1" s="1"/>
  <c r="GG39" i="1" s="1"/>
  <c r="GH39" i="1" s="1"/>
  <c r="GI39" i="1" s="1"/>
  <c r="GJ39" i="1" s="1"/>
  <c r="GK39" i="1" s="1"/>
  <c r="GL39" i="1" s="1"/>
  <c r="GM39" i="1" s="1"/>
  <c r="GN39" i="1" s="1"/>
  <c r="GO39" i="1" s="1"/>
  <c r="GP39" i="1" s="1"/>
  <c r="GQ39" i="1" s="1"/>
  <c r="GR39" i="1" s="1"/>
  <c r="GS39" i="1" s="1"/>
  <c r="GT39" i="1" s="1"/>
  <c r="GU39" i="1" s="1"/>
  <c r="GV39" i="1" s="1"/>
  <c r="GW39" i="1" s="1"/>
  <c r="GX39" i="1" s="1"/>
  <c r="GY39" i="1" s="1"/>
  <c r="GZ39" i="1" s="1"/>
  <c r="HA39" i="1" s="1"/>
  <c r="HB39" i="1" s="1"/>
  <c r="HC39" i="1" s="1"/>
  <c r="HD39" i="1" s="1"/>
  <c r="HE39" i="1" s="1"/>
  <c r="HF39" i="1" s="1"/>
  <c r="HG39" i="1" s="1"/>
  <c r="HH39" i="1" s="1"/>
  <c r="HI39" i="1" s="1"/>
  <c r="HJ39" i="1" s="1"/>
  <c r="HK39" i="1" s="1"/>
  <c r="HL39" i="1" s="1"/>
  <c r="HM39" i="1" s="1"/>
  <c r="HN39" i="1" s="1"/>
  <c r="HO39" i="1" s="1"/>
  <c r="HP39" i="1" s="1"/>
  <c r="HQ39" i="1" s="1"/>
  <c r="HR39" i="1" s="1"/>
  <c r="HS39" i="1" s="1"/>
  <c r="HT39" i="1" s="1"/>
  <c r="HU39" i="1" s="1"/>
  <c r="HV39" i="1" s="1"/>
  <c r="HW39" i="1" s="1"/>
  <c r="HX39" i="1" s="1"/>
  <c r="HY39" i="1" s="1"/>
  <c r="HZ39" i="1" s="1"/>
  <c r="IA39" i="1" s="1"/>
  <c r="IB39" i="1" s="1"/>
  <c r="IC39" i="1" s="1"/>
  <c r="ID39" i="1" s="1"/>
  <c r="IE39" i="1" s="1"/>
  <c r="IF39" i="1" s="1"/>
  <c r="IG39" i="1" s="1"/>
  <c r="IH39" i="1" s="1"/>
  <c r="II39" i="1" s="1"/>
  <c r="IJ39" i="1" s="1"/>
  <c r="IK39" i="1" s="1"/>
  <c r="IL39" i="1" s="1"/>
  <c r="IM39" i="1" s="1"/>
  <c r="IN39" i="1" s="1"/>
  <c r="IO39" i="1" s="1"/>
  <c r="IP39" i="1" s="1"/>
  <c r="IQ39" i="1" s="1"/>
  <c r="IR39" i="1" s="1"/>
  <c r="CS39" i="1"/>
  <c r="CC39" i="1"/>
  <c r="BM39" i="1"/>
  <c r="CT39" i="1"/>
  <c r="CD39" i="1"/>
  <c r="BN39" i="1"/>
  <c r="CV39" i="1"/>
  <c r="CF39" i="1"/>
  <c r="BP39" i="1"/>
  <c r="AZ39" i="1"/>
  <c r="CW39" i="1"/>
  <c r="CG39" i="1"/>
  <c r="BQ39" i="1"/>
  <c r="BA39" i="1"/>
  <c r="CU39" i="1"/>
  <c r="CH39" i="1"/>
  <c r="BR39" i="1"/>
  <c r="BB39" i="1"/>
  <c r="CI39" i="1"/>
  <c r="BS39" i="1"/>
  <c r="BC39" i="1"/>
  <c r="CJ39" i="1"/>
  <c r="BT39" i="1"/>
  <c r="BD39" i="1"/>
  <c r="BO39" i="1"/>
  <c r="CK39" i="1"/>
  <c r="BU39" i="1"/>
  <c r="BE39" i="1"/>
  <c r="CL39" i="1"/>
  <c r="BV39" i="1"/>
  <c r="BF39" i="1"/>
  <c r="CM39" i="1"/>
  <c r="BW39" i="1"/>
  <c r="BG39" i="1"/>
  <c r="CN39" i="1"/>
  <c r="BX39" i="1"/>
  <c r="BH39" i="1"/>
  <c r="CO39" i="1"/>
  <c r="BY39" i="1"/>
  <c r="BI39" i="1"/>
  <c r="CP39" i="1"/>
  <c r="BZ39" i="1"/>
  <c r="BJ39" i="1"/>
  <c r="CQ39" i="1"/>
  <c r="CA39" i="1"/>
  <c r="BK39" i="1"/>
  <c r="CE39" i="1"/>
  <c r="CR39" i="1"/>
  <c r="CB39" i="1"/>
  <c r="BL39" i="1"/>
  <c r="AV39" i="1"/>
  <c r="AV136" i="1"/>
  <c r="CM25" i="1"/>
  <c r="BW25" i="1"/>
  <c r="BG25" i="1"/>
  <c r="CN25" i="1"/>
  <c r="BX25" i="1"/>
  <c r="BH25" i="1"/>
  <c r="CP25" i="1"/>
  <c r="BZ25" i="1"/>
  <c r="BJ25" i="1"/>
  <c r="CO25" i="1"/>
  <c r="CQ25" i="1"/>
  <c r="CA25" i="1"/>
  <c r="BK25" i="1"/>
  <c r="CR25" i="1"/>
  <c r="CB25" i="1"/>
  <c r="BL25" i="1"/>
  <c r="CS25" i="1"/>
  <c r="CC25" i="1"/>
  <c r="BM25" i="1"/>
  <c r="CT25" i="1"/>
  <c r="CD25" i="1"/>
  <c r="BN25" i="1"/>
  <c r="CU25" i="1"/>
  <c r="CE25" i="1"/>
  <c r="BO25" i="1"/>
  <c r="BI25" i="1"/>
  <c r="CV25" i="1"/>
  <c r="CF25" i="1"/>
  <c r="BP25" i="1"/>
  <c r="AZ25" i="1"/>
  <c r="CW25" i="1"/>
  <c r="CG25" i="1"/>
  <c r="BQ25" i="1"/>
  <c r="BA25" i="1"/>
  <c r="CH25" i="1"/>
  <c r="BR25" i="1"/>
  <c r="BB25" i="1"/>
  <c r="CI25" i="1"/>
  <c r="BS25" i="1"/>
  <c r="BC25" i="1"/>
  <c r="CJ25" i="1"/>
  <c r="BT25" i="1"/>
  <c r="BD25" i="1"/>
  <c r="CK25" i="1"/>
  <c r="BU25" i="1"/>
  <c r="BE25" i="1"/>
  <c r="CL25" i="1"/>
  <c r="BV25" i="1"/>
  <c r="BF25" i="1"/>
  <c r="BY25" i="1"/>
  <c r="AV25" i="1"/>
  <c r="CU76" i="1"/>
  <c r="CE76" i="1"/>
  <c r="BO76" i="1"/>
  <c r="CV76" i="1"/>
  <c r="CF76" i="1"/>
  <c r="BP76" i="1"/>
  <c r="AZ76" i="1"/>
  <c r="CW76" i="1"/>
  <c r="CG76" i="1"/>
  <c r="BQ76" i="1"/>
  <c r="BA76" i="1"/>
  <c r="CH76" i="1"/>
  <c r="BR76" i="1"/>
  <c r="BB76" i="1"/>
  <c r="CI76" i="1"/>
  <c r="BS76" i="1"/>
  <c r="BC76" i="1"/>
  <c r="CJ76" i="1"/>
  <c r="BT76" i="1"/>
  <c r="BD76" i="1"/>
  <c r="CK76" i="1"/>
  <c r="BU76" i="1"/>
  <c r="BE76" i="1"/>
  <c r="CL76" i="1"/>
  <c r="BV76" i="1"/>
  <c r="BF76" i="1"/>
  <c r="CM76" i="1"/>
  <c r="BW76" i="1"/>
  <c r="BG76" i="1"/>
  <c r="CN76" i="1"/>
  <c r="BX76" i="1"/>
  <c r="BH76" i="1"/>
  <c r="CO76" i="1"/>
  <c r="BY76" i="1"/>
  <c r="BI76" i="1"/>
  <c r="CP76" i="1"/>
  <c r="BZ76" i="1"/>
  <c r="BJ76" i="1"/>
  <c r="CQ76" i="1"/>
  <c r="CA76" i="1"/>
  <c r="BK76" i="1"/>
  <c r="CR76" i="1"/>
  <c r="CB76" i="1"/>
  <c r="BL76" i="1"/>
  <c r="CS76" i="1"/>
  <c r="CC76" i="1"/>
  <c r="BM76" i="1"/>
  <c r="CT76" i="1"/>
  <c r="CD76" i="1"/>
  <c r="BN76" i="1"/>
  <c r="AV76" i="1"/>
  <c r="CM106" i="1"/>
  <c r="BW106" i="1"/>
  <c r="BG106" i="1"/>
  <c r="CN106" i="1"/>
  <c r="BX106" i="1"/>
  <c r="BH106" i="1"/>
  <c r="CO106" i="1"/>
  <c r="BY106" i="1"/>
  <c r="BI106" i="1"/>
  <c r="CP106" i="1"/>
  <c r="BZ106" i="1"/>
  <c r="BJ106" i="1"/>
  <c r="CQ106" i="1"/>
  <c r="CA106" i="1"/>
  <c r="BK106" i="1"/>
  <c r="CR106" i="1"/>
  <c r="CB106" i="1"/>
  <c r="BL106" i="1"/>
  <c r="CS106" i="1"/>
  <c r="CC106" i="1"/>
  <c r="BM106" i="1"/>
  <c r="CT106" i="1"/>
  <c r="CD106" i="1"/>
  <c r="BN106" i="1"/>
  <c r="CU106" i="1"/>
  <c r="CE106" i="1"/>
  <c r="BO106" i="1"/>
  <c r="CV106" i="1"/>
  <c r="CF106" i="1"/>
  <c r="BP106" i="1"/>
  <c r="AZ106" i="1"/>
  <c r="CW106" i="1"/>
  <c r="CG106" i="1"/>
  <c r="BQ106" i="1"/>
  <c r="BA106" i="1"/>
  <c r="CH106" i="1"/>
  <c r="BR106" i="1"/>
  <c r="BB106" i="1"/>
  <c r="CI106" i="1"/>
  <c r="BS106" i="1"/>
  <c r="BC106" i="1"/>
  <c r="CJ106" i="1"/>
  <c r="BT106" i="1"/>
  <c r="BD106" i="1"/>
  <c r="CK106" i="1"/>
  <c r="BU106" i="1"/>
  <c r="BE106" i="1"/>
  <c r="CL106" i="1"/>
  <c r="BV106" i="1"/>
  <c r="BF106" i="1"/>
  <c r="AV106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G55" i="1"/>
  <c r="BQ55" i="1"/>
  <c r="BA55" i="1"/>
  <c r="CH55" i="1"/>
  <c r="BR55" i="1"/>
  <c r="BB55" i="1"/>
  <c r="CJ55" i="1"/>
  <c r="BT55" i="1"/>
  <c r="BD55" i="1"/>
  <c r="CK55" i="1"/>
  <c r="BU55" i="1"/>
  <c r="BE55" i="1"/>
  <c r="CI55" i="1"/>
  <c r="BV55" i="1"/>
  <c r="BF55" i="1"/>
  <c r="BS55" i="1"/>
  <c r="BW55" i="1"/>
  <c r="BG55" i="1"/>
  <c r="BX55" i="1"/>
  <c r="BH55" i="1"/>
  <c r="BC55" i="1"/>
  <c r="BY55" i="1"/>
  <c r="BI55" i="1"/>
  <c r="BZ55" i="1"/>
  <c r="BJ55" i="1"/>
  <c r="CA55" i="1"/>
  <c r="BK55" i="1"/>
  <c r="CB55" i="1"/>
  <c r="BL55" i="1"/>
  <c r="CC55" i="1"/>
  <c r="BM55" i="1"/>
  <c r="CD55" i="1"/>
  <c r="BN55" i="1"/>
  <c r="CE55" i="1"/>
  <c r="BO55" i="1"/>
  <c r="CF55" i="1"/>
  <c r="BP55" i="1"/>
  <c r="AZ55" i="1"/>
  <c r="AV55" i="1"/>
  <c r="AV95" i="1"/>
  <c r="AV154" i="1"/>
  <c r="AV120" i="1"/>
  <c r="EW144" i="1"/>
  <c r="EX144" i="1" s="1"/>
  <c r="EY144" i="1" s="1"/>
  <c r="EZ144" i="1" s="1"/>
  <c r="FA144" i="1" s="1"/>
  <c r="FB144" i="1" s="1"/>
  <c r="FC144" i="1" s="1"/>
  <c r="FD144" i="1" s="1"/>
  <c r="FE144" i="1" s="1"/>
  <c r="FF144" i="1" s="1"/>
  <c r="FG144" i="1" s="1"/>
  <c r="FH144" i="1" s="1"/>
  <c r="FI144" i="1" s="1"/>
  <c r="FJ144" i="1" s="1"/>
  <c r="FK144" i="1" s="1"/>
  <c r="FL144" i="1" s="1"/>
  <c r="FM144" i="1" s="1"/>
  <c r="FN144" i="1" s="1"/>
  <c r="FO144" i="1" s="1"/>
  <c r="FP144" i="1" s="1"/>
  <c r="FQ144" i="1" s="1"/>
  <c r="FR144" i="1" s="1"/>
  <c r="FS144" i="1" s="1"/>
  <c r="FT144" i="1" s="1"/>
  <c r="FU144" i="1" s="1"/>
  <c r="FV144" i="1" s="1"/>
  <c r="FW144" i="1" s="1"/>
  <c r="FX144" i="1" s="1"/>
  <c r="FY144" i="1" s="1"/>
  <c r="FZ144" i="1" s="1"/>
  <c r="GA144" i="1" s="1"/>
  <c r="GB144" i="1" s="1"/>
  <c r="GC144" i="1" s="1"/>
  <c r="GD144" i="1" s="1"/>
  <c r="GE144" i="1" s="1"/>
  <c r="GF144" i="1" s="1"/>
  <c r="GG144" i="1" s="1"/>
  <c r="GH144" i="1" s="1"/>
  <c r="GI144" i="1" s="1"/>
  <c r="GJ144" i="1" s="1"/>
  <c r="GK144" i="1" s="1"/>
  <c r="GL144" i="1" s="1"/>
  <c r="GM144" i="1" s="1"/>
  <c r="GN144" i="1" s="1"/>
  <c r="GO144" i="1" s="1"/>
  <c r="GP144" i="1" s="1"/>
  <c r="GQ144" i="1" s="1"/>
  <c r="GR144" i="1" s="1"/>
  <c r="GS144" i="1" s="1"/>
  <c r="GT144" i="1" s="1"/>
  <c r="GU144" i="1" s="1"/>
  <c r="GV144" i="1" s="1"/>
  <c r="GW144" i="1" s="1"/>
  <c r="GX144" i="1" s="1"/>
  <c r="GY144" i="1" s="1"/>
  <c r="GZ144" i="1" s="1"/>
  <c r="HA144" i="1" s="1"/>
  <c r="HB144" i="1" s="1"/>
  <c r="HC144" i="1" s="1"/>
  <c r="HD144" i="1" s="1"/>
  <c r="HE144" i="1" s="1"/>
  <c r="HF144" i="1" s="1"/>
  <c r="HG144" i="1" s="1"/>
  <c r="HH144" i="1" s="1"/>
  <c r="HI144" i="1" s="1"/>
  <c r="HJ144" i="1" s="1"/>
  <c r="HK144" i="1" s="1"/>
  <c r="HL144" i="1" s="1"/>
  <c r="HM144" i="1" s="1"/>
  <c r="HN144" i="1" s="1"/>
  <c r="HO144" i="1" s="1"/>
  <c r="HP144" i="1" s="1"/>
  <c r="HQ144" i="1" s="1"/>
  <c r="HR144" i="1" s="1"/>
  <c r="HS144" i="1" s="1"/>
  <c r="HT144" i="1" s="1"/>
  <c r="HU144" i="1" s="1"/>
  <c r="HV144" i="1" s="1"/>
  <c r="HW144" i="1" s="1"/>
  <c r="HX144" i="1" s="1"/>
  <c r="HY144" i="1" s="1"/>
  <c r="HZ144" i="1" s="1"/>
  <c r="IA144" i="1" s="1"/>
  <c r="IB144" i="1" s="1"/>
  <c r="IC144" i="1" s="1"/>
  <c r="ID144" i="1" s="1"/>
  <c r="IE144" i="1" s="1"/>
  <c r="IF144" i="1" s="1"/>
  <c r="IG144" i="1" s="1"/>
  <c r="IH144" i="1" s="1"/>
  <c r="II144" i="1" s="1"/>
  <c r="IJ144" i="1" s="1"/>
  <c r="IK144" i="1" s="1"/>
  <c r="IL144" i="1" s="1"/>
  <c r="IM144" i="1" s="1"/>
  <c r="IN144" i="1" s="1"/>
  <c r="IO144" i="1" s="1"/>
  <c r="IP144" i="1" s="1"/>
  <c r="IQ144" i="1" s="1"/>
  <c r="IR144" i="1" s="1"/>
  <c r="CW144" i="1"/>
  <c r="CG144" i="1"/>
  <c r="BQ144" i="1"/>
  <c r="BA144" i="1"/>
  <c r="CH144" i="1"/>
  <c r="BR144" i="1"/>
  <c r="BB144" i="1"/>
  <c r="CI144" i="1"/>
  <c r="BS144" i="1"/>
  <c r="BC144" i="1"/>
  <c r="CJ144" i="1"/>
  <c r="BT144" i="1"/>
  <c r="BD144" i="1"/>
  <c r="CK144" i="1"/>
  <c r="BU144" i="1"/>
  <c r="BE144" i="1"/>
  <c r="CL144" i="1"/>
  <c r="BV144" i="1"/>
  <c r="BF144" i="1"/>
  <c r="CM144" i="1"/>
  <c r="BW144" i="1"/>
  <c r="BG144" i="1"/>
  <c r="CN144" i="1"/>
  <c r="BX144" i="1"/>
  <c r="BH144" i="1"/>
  <c r="CO144" i="1"/>
  <c r="BY144" i="1"/>
  <c r="BI144" i="1"/>
  <c r="CP144" i="1"/>
  <c r="BZ144" i="1"/>
  <c r="BJ144" i="1"/>
  <c r="CQ144" i="1"/>
  <c r="CA144" i="1"/>
  <c r="BK144" i="1"/>
  <c r="CR144" i="1"/>
  <c r="CB144" i="1"/>
  <c r="BL144" i="1"/>
  <c r="CS144" i="1"/>
  <c r="CC144" i="1"/>
  <c r="BM144" i="1"/>
  <c r="CT144" i="1"/>
  <c r="CD144" i="1"/>
  <c r="BN144" i="1"/>
  <c r="CU144" i="1"/>
  <c r="CE144" i="1"/>
  <c r="BO144" i="1"/>
  <c r="CV144" i="1"/>
  <c r="CF144" i="1"/>
  <c r="BP144" i="1"/>
  <c r="AZ144" i="1"/>
  <c r="AV144" i="1"/>
  <c r="AV133" i="1"/>
  <c r="CU61" i="1"/>
  <c r="CE61" i="1"/>
  <c r="BO61" i="1"/>
  <c r="CV61" i="1"/>
  <c r="CF61" i="1"/>
  <c r="BP61" i="1"/>
  <c r="AZ61" i="1"/>
  <c r="CW61" i="1"/>
  <c r="CG61" i="1"/>
  <c r="BQ61" i="1"/>
  <c r="BA61" i="1"/>
  <c r="CH61" i="1"/>
  <c r="BR61" i="1"/>
  <c r="BB61" i="1"/>
  <c r="CI61" i="1"/>
  <c r="BS61" i="1"/>
  <c r="BC61" i="1"/>
  <c r="CJ61" i="1"/>
  <c r="BT61" i="1"/>
  <c r="BD61" i="1"/>
  <c r="CK61" i="1"/>
  <c r="BU61" i="1"/>
  <c r="BE61" i="1"/>
  <c r="CL61" i="1"/>
  <c r="BV61" i="1"/>
  <c r="BF61" i="1"/>
  <c r="CM61" i="1"/>
  <c r="BW61" i="1"/>
  <c r="BG61" i="1"/>
  <c r="CN61" i="1"/>
  <c r="BX61" i="1"/>
  <c r="BH61" i="1"/>
  <c r="CO61" i="1"/>
  <c r="BY61" i="1"/>
  <c r="BI61" i="1"/>
  <c r="CP61" i="1"/>
  <c r="BZ61" i="1"/>
  <c r="BJ61" i="1"/>
  <c r="CQ61" i="1"/>
  <c r="CA61" i="1"/>
  <c r="BK61" i="1"/>
  <c r="CR61" i="1"/>
  <c r="CB61" i="1"/>
  <c r="BL61" i="1"/>
  <c r="CS61" i="1"/>
  <c r="CC61" i="1"/>
  <c r="BM61" i="1"/>
  <c r="CT61" i="1"/>
  <c r="CD61" i="1"/>
  <c r="BN61" i="1"/>
  <c r="AV61" i="1"/>
  <c r="AV128" i="1"/>
  <c r="CQ104" i="1"/>
  <c r="CA104" i="1"/>
  <c r="BK104" i="1"/>
  <c r="CR104" i="1"/>
  <c r="CB104" i="1"/>
  <c r="BL104" i="1"/>
  <c r="CS104" i="1"/>
  <c r="CC104" i="1"/>
  <c r="BM104" i="1"/>
  <c r="CT104" i="1"/>
  <c r="CD104" i="1"/>
  <c r="BN104" i="1"/>
  <c r="CU104" i="1"/>
  <c r="CE104" i="1"/>
  <c r="BO104" i="1"/>
  <c r="CV104" i="1"/>
  <c r="CF104" i="1"/>
  <c r="BP104" i="1"/>
  <c r="AZ104" i="1"/>
  <c r="CW104" i="1"/>
  <c r="CG104" i="1"/>
  <c r="BQ104" i="1"/>
  <c r="BA104" i="1"/>
  <c r="CH104" i="1"/>
  <c r="BR104" i="1"/>
  <c r="BB104" i="1"/>
  <c r="CI104" i="1"/>
  <c r="BS104" i="1"/>
  <c r="BC104" i="1"/>
  <c r="CJ104" i="1"/>
  <c r="BT104" i="1"/>
  <c r="BD104" i="1"/>
  <c r="CK104" i="1"/>
  <c r="BU104" i="1"/>
  <c r="BE104" i="1"/>
  <c r="CL104" i="1"/>
  <c r="BV104" i="1"/>
  <c r="BF104" i="1"/>
  <c r="CM104" i="1"/>
  <c r="BW104" i="1"/>
  <c r="BG104" i="1"/>
  <c r="CN104" i="1"/>
  <c r="BX104" i="1"/>
  <c r="BH104" i="1"/>
  <c r="CO104" i="1"/>
  <c r="BY104" i="1"/>
  <c r="BI104" i="1"/>
  <c r="CP104" i="1"/>
  <c r="BZ104" i="1"/>
  <c r="BJ104" i="1"/>
  <c r="AV104" i="1"/>
  <c r="AV97" i="1"/>
  <c r="AV112" i="1"/>
  <c r="AV135" i="1"/>
  <c r="CI143" i="1"/>
  <c r="BS143" i="1"/>
  <c r="BC143" i="1"/>
  <c r="CJ143" i="1"/>
  <c r="BT143" i="1"/>
  <c r="BD143" i="1"/>
  <c r="CK143" i="1"/>
  <c r="BU143" i="1"/>
  <c r="BE143" i="1"/>
  <c r="CL143" i="1"/>
  <c r="BV143" i="1"/>
  <c r="BF143" i="1"/>
  <c r="CM143" i="1"/>
  <c r="BW143" i="1"/>
  <c r="BG143" i="1"/>
  <c r="CN143" i="1"/>
  <c r="BX143" i="1"/>
  <c r="BH143" i="1"/>
  <c r="CO143" i="1"/>
  <c r="BY143" i="1"/>
  <c r="BI143" i="1"/>
  <c r="CP143" i="1"/>
  <c r="BZ143" i="1"/>
  <c r="BJ143" i="1"/>
  <c r="CQ143" i="1"/>
  <c r="CA143" i="1"/>
  <c r="BK143" i="1"/>
  <c r="CR143" i="1"/>
  <c r="CB143" i="1"/>
  <c r="BL143" i="1"/>
  <c r="CS143" i="1"/>
  <c r="CC143" i="1"/>
  <c r="BM143" i="1"/>
  <c r="CT143" i="1"/>
  <c r="CD143" i="1"/>
  <c r="BN143" i="1"/>
  <c r="CU143" i="1"/>
  <c r="CE143" i="1"/>
  <c r="BO143" i="1"/>
  <c r="CV143" i="1"/>
  <c r="CF143" i="1"/>
  <c r="BP143" i="1"/>
  <c r="AZ143" i="1"/>
  <c r="CW143" i="1"/>
  <c r="CG143" i="1"/>
  <c r="BQ143" i="1"/>
  <c r="BA143" i="1"/>
  <c r="CH143" i="1"/>
  <c r="BR143" i="1"/>
  <c r="BB143" i="1"/>
  <c r="AV143" i="1"/>
  <c r="AN43" i="1"/>
  <c r="AO43" i="1" s="1"/>
  <c r="EW132" i="1"/>
  <c r="EX132" i="1" s="1"/>
  <c r="EY132" i="1" s="1"/>
  <c r="EZ132" i="1" s="1"/>
  <c r="FA132" i="1" s="1"/>
  <c r="FB132" i="1" s="1"/>
  <c r="FC132" i="1" s="1"/>
  <c r="FD132" i="1" s="1"/>
  <c r="FE132" i="1" s="1"/>
  <c r="FF132" i="1" s="1"/>
  <c r="FG132" i="1" s="1"/>
  <c r="FH132" i="1" s="1"/>
  <c r="FI132" i="1" s="1"/>
  <c r="FJ132" i="1" s="1"/>
  <c r="FK132" i="1" s="1"/>
  <c r="FL132" i="1" s="1"/>
  <c r="FM132" i="1" s="1"/>
  <c r="FN132" i="1" s="1"/>
  <c r="FO132" i="1" s="1"/>
  <c r="FP132" i="1" s="1"/>
  <c r="FQ132" i="1" s="1"/>
  <c r="FR132" i="1" s="1"/>
  <c r="FS132" i="1" s="1"/>
  <c r="FT132" i="1" s="1"/>
  <c r="FU132" i="1" s="1"/>
  <c r="FV132" i="1" s="1"/>
  <c r="FW132" i="1" s="1"/>
  <c r="FX132" i="1" s="1"/>
  <c r="FY132" i="1" s="1"/>
  <c r="FZ132" i="1" s="1"/>
  <c r="GA132" i="1" s="1"/>
  <c r="GB132" i="1" s="1"/>
  <c r="GC132" i="1" s="1"/>
  <c r="GD132" i="1" s="1"/>
  <c r="GE132" i="1" s="1"/>
  <c r="GF132" i="1" s="1"/>
  <c r="GG132" i="1" s="1"/>
  <c r="GH132" i="1" s="1"/>
  <c r="GI132" i="1" s="1"/>
  <c r="GJ132" i="1" s="1"/>
  <c r="GK132" i="1" s="1"/>
  <c r="GL132" i="1" s="1"/>
  <c r="GM132" i="1" s="1"/>
  <c r="GN132" i="1" s="1"/>
  <c r="GO132" i="1" s="1"/>
  <c r="GP132" i="1" s="1"/>
  <c r="GQ132" i="1" s="1"/>
  <c r="GR132" i="1" s="1"/>
  <c r="GS132" i="1" s="1"/>
  <c r="GT132" i="1" s="1"/>
  <c r="GU132" i="1" s="1"/>
  <c r="GV132" i="1" s="1"/>
  <c r="GW132" i="1" s="1"/>
  <c r="GX132" i="1" s="1"/>
  <c r="GY132" i="1" s="1"/>
  <c r="GZ132" i="1" s="1"/>
  <c r="HA132" i="1" s="1"/>
  <c r="HB132" i="1" s="1"/>
  <c r="HC132" i="1" s="1"/>
  <c r="HD132" i="1" s="1"/>
  <c r="HE132" i="1" s="1"/>
  <c r="HF132" i="1" s="1"/>
  <c r="HG132" i="1" s="1"/>
  <c r="HH132" i="1" s="1"/>
  <c r="HI132" i="1" s="1"/>
  <c r="HJ132" i="1" s="1"/>
  <c r="HK132" i="1" s="1"/>
  <c r="HL132" i="1" s="1"/>
  <c r="HM132" i="1" s="1"/>
  <c r="HN132" i="1" s="1"/>
  <c r="HO132" i="1" s="1"/>
  <c r="HP132" i="1" s="1"/>
  <c r="HQ132" i="1" s="1"/>
  <c r="HR132" i="1" s="1"/>
  <c r="HS132" i="1" s="1"/>
  <c r="HT132" i="1" s="1"/>
  <c r="HU132" i="1" s="1"/>
  <c r="HV132" i="1" s="1"/>
  <c r="HW132" i="1" s="1"/>
  <c r="HX132" i="1" s="1"/>
  <c r="HY132" i="1" s="1"/>
  <c r="HZ132" i="1" s="1"/>
  <c r="IA132" i="1" s="1"/>
  <c r="IB132" i="1" s="1"/>
  <c r="IC132" i="1" s="1"/>
  <c r="ID132" i="1" s="1"/>
  <c r="IE132" i="1" s="1"/>
  <c r="IF132" i="1" s="1"/>
  <c r="IG132" i="1" s="1"/>
  <c r="IH132" i="1" s="1"/>
  <c r="II132" i="1" s="1"/>
  <c r="IJ132" i="1" s="1"/>
  <c r="IK132" i="1" s="1"/>
  <c r="IL132" i="1" s="1"/>
  <c r="IM132" i="1" s="1"/>
  <c r="IN132" i="1" s="1"/>
  <c r="IO132" i="1" s="1"/>
  <c r="IP132" i="1" s="1"/>
  <c r="IQ132" i="1" s="1"/>
  <c r="IR132" i="1" s="1"/>
  <c r="EW61" i="1"/>
  <c r="EX61" i="1" s="1"/>
  <c r="EY61" i="1" s="1"/>
  <c r="EZ61" i="1" s="1"/>
  <c r="FA61" i="1" s="1"/>
  <c r="FB61" i="1" s="1"/>
  <c r="FC61" i="1" s="1"/>
  <c r="FD61" i="1" s="1"/>
  <c r="FE61" i="1" s="1"/>
  <c r="FF61" i="1" s="1"/>
  <c r="FG61" i="1" s="1"/>
  <c r="FH61" i="1" s="1"/>
  <c r="FI61" i="1" s="1"/>
  <c r="FJ61" i="1" s="1"/>
  <c r="FK61" i="1" s="1"/>
  <c r="FL61" i="1" s="1"/>
  <c r="FM61" i="1" s="1"/>
  <c r="FN61" i="1" s="1"/>
  <c r="FO61" i="1" s="1"/>
  <c r="FP61" i="1" s="1"/>
  <c r="FQ61" i="1" s="1"/>
  <c r="FR61" i="1" s="1"/>
  <c r="FS61" i="1" s="1"/>
  <c r="FT61" i="1" s="1"/>
  <c r="FU61" i="1" s="1"/>
  <c r="FV61" i="1" s="1"/>
  <c r="FW61" i="1" s="1"/>
  <c r="FX61" i="1" s="1"/>
  <c r="FY61" i="1" s="1"/>
  <c r="FZ61" i="1" s="1"/>
  <c r="GA61" i="1" s="1"/>
  <c r="GB61" i="1" s="1"/>
  <c r="GC61" i="1" s="1"/>
  <c r="GD61" i="1" s="1"/>
  <c r="GE61" i="1" s="1"/>
  <c r="GF61" i="1" s="1"/>
  <c r="GG61" i="1" s="1"/>
  <c r="GH61" i="1" s="1"/>
  <c r="GI61" i="1" s="1"/>
  <c r="GJ61" i="1" s="1"/>
  <c r="GK61" i="1" s="1"/>
  <c r="GL61" i="1" s="1"/>
  <c r="GM61" i="1" s="1"/>
  <c r="GN61" i="1" s="1"/>
  <c r="GO61" i="1" s="1"/>
  <c r="GP61" i="1" s="1"/>
  <c r="GQ61" i="1" s="1"/>
  <c r="GR61" i="1" s="1"/>
  <c r="GS61" i="1" s="1"/>
  <c r="GT61" i="1" s="1"/>
  <c r="GU61" i="1" s="1"/>
  <c r="GV61" i="1" s="1"/>
  <c r="GW61" i="1" s="1"/>
  <c r="GX61" i="1" s="1"/>
  <c r="GY61" i="1" s="1"/>
  <c r="GZ61" i="1" s="1"/>
  <c r="HA61" i="1" s="1"/>
  <c r="HB61" i="1" s="1"/>
  <c r="HC61" i="1" s="1"/>
  <c r="HD61" i="1" s="1"/>
  <c r="HE61" i="1" s="1"/>
  <c r="HF61" i="1" s="1"/>
  <c r="HG61" i="1" s="1"/>
  <c r="HH61" i="1" s="1"/>
  <c r="HI61" i="1" s="1"/>
  <c r="HJ61" i="1" s="1"/>
  <c r="HK61" i="1" s="1"/>
  <c r="HL61" i="1" s="1"/>
  <c r="HM61" i="1" s="1"/>
  <c r="HN61" i="1" s="1"/>
  <c r="HO61" i="1" s="1"/>
  <c r="HP61" i="1" s="1"/>
  <c r="HQ61" i="1" s="1"/>
  <c r="HR61" i="1" s="1"/>
  <c r="HS61" i="1" s="1"/>
  <c r="HT61" i="1" s="1"/>
  <c r="HU61" i="1" s="1"/>
  <c r="HV61" i="1" s="1"/>
  <c r="HW61" i="1" s="1"/>
  <c r="HX61" i="1" s="1"/>
  <c r="HY61" i="1" s="1"/>
  <c r="HZ61" i="1" s="1"/>
  <c r="IA61" i="1" s="1"/>
  <c r="IB61" i="1" s="1"/>
  <c r="IC61" i="1" s="1"/>
  <c r="ID61" i="1" s="1"/>
  <c r="IE61" i="1" s="1"/>
  <c r="IF61" i="1" s="1"/>
  <c r="IG61" i="1" s="1"/>
  <c r="IH61" i="1" s="1"/>
  <c r="II61" i="1" s="1"/>
  <c r="IJ61" i="1" s="1"/>
  <c r="IK61" i="1" s="1"/>
  <c r="IL61" i="1" s="1"/>
  <c r="IM61" i="1" s="1"/>
  <c r="IN61" i="1" s="1"/>
  <c r="IO61" i="1" s="1"/>
  <c r="IP61" i="1" s="1"/>
  <c r="IQ61" i="1" s="1"/>
  <c r="IR61" i="1" s="1"/>
  <c r="AV110" i="1"/>
  <c r="EW48" i="1"/>
  <c r="EX48" i="1" s="1"/>
  <c r="EY48" i="1" s="1"/>
  <c r="EZ48" i="1" s="1"/>
  <c r="FA48" i="1" s="1"/>
  <c r="FB48" i="1" s="1"/>
  <c r="FC48" i="1" s="1"/>
  <c r="FD48" i="1" s="1"/>
  <c r="FE48" i="1" s="1"/>
  <c r="FF48" i="1" s="1"/>
  <c r="FG48" i="1" s="1"/>
  <c r="FH48" i="1" s="1"/>
  <c r="FI48" i="1" s="1"/>
  <c r="FJ48" i="1" s="1"/>
  <c r="FK48" i="1" s="1"/>
  <c r="FL48" i="1" s="1"/>
  <c r="FM48" i="1" s="1"/>
  <c r="FN48" i="1" s="1"/>
  <c r="FO48" i="1" s="1"/>
  <c r="FP48" i="1" s="1"/>
  <c r="FQ48" i="1" s="1"/>
  <c r="FR48" i="1" s="1"/>
  <c r="FS48" i="1" s="1"/>
  <c r="FT48" i="1" s="1"/>
  <c r="FU48" i="1" s="1"/>
  <c r="FV48" i="1" s="1"/>
  <c r="FW48" i="1" s="1"/>
  <c r="FX48" i="1" s="1"/>
  <c r="FY48" i="1" s="1"/>
  <c r="FZ48" i="1" s="1"/>
  <c r="GA48" i="1" s="1"/>
  <c r="GB48" i="1" s="1"/>
  <c r="GC48" i="1" s="1"/>
  <c r="GD48" i="1" s="1"/>
  <c r="GE48" i="1" s="1"/>
  <c r="GF48" i="1" s="1"/>
  <c r="GG48" i="1" s="1"/>
  <c r="GH48" i="1" s="1"/>
  <c r="GI48" i="1" s="1"/>
  <c r="GJ48" i="1" s="1"/>
  <c r="GK48" i="1" s="1"/>
  <c r="GL48" i="1" s="1"/>
  <c r="GM48" i="1" s="1"/>
  <c r="GN48" i="1" s="1"/>
  <c r="GO48" i="1" s="1"/>
  <c r="GP48" i="1" s="1"/>
  <c r="GQ48" i="1" s="1"/>
  <c r="GR48" i="1" s="1"/>
  <c r="GS48" i="1" s="1"/>
  <c r="GT48" i="1" s="1"/>
  <c r="GU48" i="1" s="1"/>
  <c r="GV48" i="1" s="1"/>
  <c r="GW48" i="1" s="1"/>
  <c r="GX48" i="1" s="1"/>
  <c r="GY48" i="1" s="1"/>
  <c r="GZ48" i="1" s="1"/>
  <c r="HA48" i="1" s="1"/>
  <c r="HB48" i="1" s="1"/>
  <c r="HC48" i="1" s="1"/>
  <c r="HD48" i="1" s="1"/>
  <c r="HE48" i="1" s="1"/>
  <c r="HF48" i="1" s="1"/>
  <c r="HG48" i="1" s="1"/>
  <c r="HH48" i="1" s="1"/>
  <c r="HI48" i="1" s="1"/>
  <c r="HJ48" i="1" s="1"/>
  <c r="HK48" i="1" s="1"/>
  <c r="HL48" i="1" s="1"/>
  <c r="HM48" i="1" s="1"/>
  <c r="HN48" i="1" s="1"/>
  <c r="HO48" i="1" s="1"/>
  <c r="HP48" i="1" s="1"/>
  <c r="HQ48" i="1" s="1"/>
  <c r="HR48" i="1" s="1"/>
  <c r="HS48" i="1" s="1"/>
  <c r="HT48" i="1" s="1"/>
  <c r="HU48" i="1" s="1"/>
  <c r="HV48" i="1" s="1"/>
  <c r="HW48" i="1" s="1"/>
  <c r="HX48" i="1" s="1"/>
  <c r="HY48" i="1" s="1"/>
  <c r="HZ48" i="1" s="1"/>
  <c r="IA48" i="1" s="1"/>
  <c r="IB48" i="1" s="1"/>
  <c r="IC48" i="1" s="1"/>
  <c r="ID48" i="1" s="1"/>
  <c r="IE48" i="1" s="1"/>
  <c r="IF48" i="1" s="1"/>
  <c r="IG48" i="1" s="1"/>
  <c r="IH48" i="1" s="1"/>
  <c r="II48" i="1" s="1"/>
  <c r="IJ48" i="1" s="1"/>
  <c r="IK48" i="1" s="1"/>
  <c r="IL48" i="1" s="1"/>
  <c r="IM48" i="1" s="1"/>
  <c r="IN48" i="1" s="1"/>
  <c r="IO48" i="1" s="1"/>
  <c r="IP48" i="1" s="1"/>
  <c r="IQ48" i="1" s="1"/>
  <c r="IR48" i="1" s="1"/>
  <c r="CS48" i="1"/>
  <c r="CC48" i="1"/>
  <c r="BM48" i="1"/>
  <c r="CT48" i="1"/>
  <c r="CD48" i="1"/>
  <c r="BN48" i="1"/>
  <c r="CU48" i="1"/>
  <c r="CV48" i="1"/>
  <c r="CF48" i="1"/>
  <c r="BP48" i="1"/>
  <c r="AZ48" i="1"/>
  <c r="CW48" i="1"/>
  <c r="CG48" i="1"/>
  <c r="BQ48" i="1"/>
  <c r="BA48" i="1"/>
  <c r="CH48" i="1"/>
  <c r="BR48" i="1"/>
  <c r="BB48" i="1"/>
  <c r="CI48" i="1"/>
  <c r="BS48" i="1"/>
  <c r="BC48" i="1"/>
  <c r="CJ48" i="1"/>
  <c r="BT48" i="1"/>
  <c r="BD48" i="1"/>
  <c r="CE48" i="1"/>
  <c r="CK48" i="1"/>
  <c r="BU48" i="1"/>
  <c r="BE48" i="1"/>
  <c r="BO48" i="1"/>
  <c r="CL48" i="1"/>
  <c r="BV48" i="1"/>
  <c r="BF48" i="1"/>
  <c r="CM48" i="1"/>
  <c r="BW48" i="1"/>
  <c r="BG48" i="1"/>
  <c r="CN48" i="1"/>
  <c r="BX48" i="1"/>
  <c r="BH48" i="1"/>
  <c r="CO48" i="1"/>
  <c r="BY48" i="1"/>
  <c r="BI48" i="1"/>
  <c r="CP48" i="1"/>
  <c r="BZ48" i="1"/>
  <c r="BJ48" i="1"/>
  <c r="CQ48" i="1"/>
  <c r="CA48" i="1"/>
  <c r="BK48" i="1"/>
  <c r="CR48" i="1"/>
  <c r="CB48" i="1"/>
  <c r="BL48" i="1"/>
  <c r="AV48" i="1"/>
  <c r="CK107" i="1"/>
  <c r="BU107" i="1"/>
  <c r="BE107" i="1"/>
  <c r="CL107" i="1"/>
  <c r="BV107" i="1"/>
  <c r="BF107" i="1"/>
  <c r="CM107" i="1"/>
  <c r="BW107" i="1"/>
  <c r="BG107" i="1"/>
  <c r="CN107" i="1"/>
  <c r="BX107" i="1"/>
  <c r="BH107" i="1"/>
  <c r="CO107" i="1"/>
  <c r="BY107" i="1"/>
  <c r="BI107" i="1"/>
  <c r="CP107" i="1"/>
  <c r="BZ107" i="1"/>
  <c r="BJ107" i="1"/>
  <c r="CQ107" i="1"/>
  <c r="CA107" i="1"/>
  <c r="BK107" i="1"/>
  <c r="CR107" i="1"/>
  <c r="CB107" i="1"/>
  <c r="BL107" i="1"/>
  <c r="CS107" i="1"/>
  <c r="CC107" i="1"/>
  <c r="BM107" i="1"/>
  <c r="CT107" i="1"/>
  <c r="CD107" i="1"/>
  <c r="BN107" i="1"/>
  <c r="CU107" i="1"/>
  <c r="CE107" i="1"/>
  <c r="BO107" i="1"/>
  <c r="CV107" i="1"/>
  <c r="CF107" i="1"/>
  <c r="BP107" i="1"/>
  <c r="AZ107" i="1"/>
  <c r="CW107" i="1"/>
  <c r="CG107" i="1"/>
  <c r="BQ107" i="1"/>
  <c r="BA107" i="1"/>
  <c r="CH107" i="1"/>
  <c r="BR107" i="1"/>
  <c r="BB107" i="1"/>
  <c r="CI107" i="1"/>
  <c r="BS107" i="1"/>
  <c r="BC107" i="1"/>
  <c r="CJ107" i="1"/>
  <c r="BT107" i="1"/>
  <c r="BD107" i="1"/>
  <c r="AV107" i="1"/>
  <c r="AV139" i="1"/>
  <c r="CM72" i="1"/>
  <c r="BW72" i="1"/>
  <c r="BG72" i="1"/>
  <c r="CN72" i="1"/>
  <c r="BX72" i="1"/>
  <c r="BH72" i="1"/>
  <c r="CO72" i="1"/>
  <c r="BY72" i="1"/>
  <c r="BI72" i="1"/>
  <c r="CP72" i="1"/>
  <c r="BZ72" i="1"/>
  <c r="BJ72" i="1"/>
  <c r="CQ72" i="1"/>
  <c r="CA72" i="1"/>
  <c r="BK72" i="1"/>
  <c r="CR72" i="1"/>
  <c r="CB72" i="1"/>
  <c r="BL72" i="1"/>
  <c r="CS72" i="1"/>
  <c r="CC72" i="1"/>
  <c r="BM72" i="1"/>
  <c r="CT72" i="1"/>
  <c r="CD72" i="1"/>
  <c r="BN72" i="1"/>
  <c r="CU72" i="1"/>
  <c r="CE72" i="1"/>
  <c r="BO72" i="1"/>
  <c r="CV72" i="1"/>
  <c r="CF72" i="1"/>
  <c r="BP72" i="1"/>
  <c r="AZ72" i="1"/>
  <c r="CW72" i="1"/>
  <c r="CG72" i="1"/>
  <c r="BQ72" i="1"/>
  <c r="BA72" i="1"/>
  <c r="CH72" i="1"/>
  <c r="BR72" i="1"/>
  <c r="BB72" i="1"/>
  <c r="CI72" i="1"/>
  <c r="BS72" i="1"/>
  <c r="BC72" i="1"/>
  <c r="CJ72" i="1"/>
  <c r="BT72" i="1"/>
  <c r="BD72" i="1"/>
  <c r="CK72" i="1"/>
  <c r="BU72" i="1"/>
  <c r="BE72" i="1"/>
  <c r="CL72" i="1"/>
  <c r="BV72" i="1"/>
  <c r="BF72" i="1"/>
  <c r="AV72" i="1"/>
  <c r="CW100" i="1"/>
  <c r="CG100" i="1"/>
  <c r="BQ100" i="1"/>
  <c r="BA100" i="1"/>
  <c r="CH100" i="1"/>
  <c r="BR100" i="1"/>
  <c r="BB100" i="1"/>
  <c r="CI100" i="1"/>
  <c r="BS100" i="1"/>
  <c r="BC100" i="1"/>
  <c r="CJ100" i="1"/>
  <c r="BT100" i="1"/>
  <c r="BD100" i="1"/>
  <c r="CK100" i="1"/>
  <c r="BU100" i="1"/>
  <c r="BE100" i="1"/>
  <c r="CL100" i="1"/>
  <c r="BV100" i="1"/>
  <c r="BF100" i="1"/>
  <c r="CM100" i="1"/>
  <c r="BW100" i="1"/>
  <c r="BG100" i="1"/>
  <c r="CN100" i="1"/>
  <c r="BX100" i="1"/>
  <c r="BH100" i="1"/>
  <c r="CO100" i="1"/>
  <c r="BY100" i="1"/>
  <c r="BI100" i="1"/>
  <c r="CP100" i="1"/>
  <c r="BZ100" i="1"/>
  <c r="BJ100" i="1"/>
  <c r="CQ100" i="1"/>
  <c r="CA100" i="1"/>
  <c r="BK100" i="1"/>
  <c r="CR100" i="1"/>
  <c r="CB100" i="1"/>
  <c r="BL100" i="1"/>
  <c r="CS100" i="1"/>
  <c r="CC100" i="1"/>
  <c r="BM100" i="1"/>
  <c r="CT100" i="1"/>
  <c r="CD100" i="1"/>
  <c r="BN100" i="1"/>
  <c r="CU100" i="1"/>
  <c r="CE100" i="1"/>
  <c r="BO100" i="1"/>
  <c r="CV100" i="1"/>
  <c r="CF100" i="1"/>
  <c r="BP100" i="1"/>
  <c r="AZ100" i="1"/>
  <c r="AV100" i="1"/>
  <c r="AV109" i="1"/>
  <c r="CQ49" i="1"/>
  <c r="CA49" i="1"/>
  <c r="BK49" i="1"/>
  <c r="BM49" i="1"/>
  <c r="CR49" i="1"/>
  <c r="CB49" i="1"/>
  <c r="BL49" i="1"/>
  <c r="CT49" i="1"/>
  <c r="CD49" i="1"/>
  <c r="BN49" i="1"/>
  <c r="CU49" i="1"/>
  <c r="CE49" i="1"/>
  <c r="BO49" i="1"/>
  <c r="CC49" i="1"/>
  <c r="CV49" i="1"/>
  <c r="CF49" i="1"/>
  <c r="BP49" i="1"/>
  <c r="AZ49" i="1"/>
  <c r="CS49" i="1"/>
  <c r="CW49" i="1"/>
  <c r="CG49" i="1"/>
  <c r="BQ49" i="1"/>
  <c r="BA49" i="1"/>
  <c r="CH49" i="1"/>
  <c r="BR49" i="1"/>
  <c r="BB49" i="1"/>
  <c r="CI49" i="1"/>
  <c r="BS49" i="1"/>
  <c r="BC49" i="1"/>
  <c r="CJ49" i="1"/>
  <c r="BT49" i="1"/>
  <c r="BD49" i="1"/>
  <c r="CK49" i="1"/>
  <c r="BU49" i="1"/>
  <c r="BE49" i="1"/>
  <c r="CL49" i="1"/>
  <c r="BV49" i="1"/>
  <c r="BF49" i="1"/>
  <c r="CM49" i="1"/>
  <c r="BW49" i="1"/>
  <c r="BG49" i="1"/>
  <c r="CN49" i="1"/>
  <c r="BX49" i="1"/>
  <c r="BH49" i="1"/>
  <c r="CO49" i="1"/>
  <c r="BY49" i="1"/>
  <c r="BI49" i="1"/>
  <c r="CP49" i="1"/>
  <c r="BZ49" i="1"/>
  <c r="BJ49" i="1"/>
  <c r="AV49" i="1"/>
  <c r="CS102" i="1"/>
  <c r="CC102" i="1"/>
  <c r="CT102" i="1"/>
  <c r="CD102" i="1"/>
  <c r="CU102" i="1"/>
  <c r="CE102" i="1"/>
  <c r="CV102" i="1"/>
  <c r="CF102" i="1"/>
  <c r="CW102" i="1"/>
  <c r="CG102" i="1"/>
  <c r="CH102" i="1"/>
  <c r="CI102" i="1"/>
  <c r="CJ102" i="1"/>
  <c r="BT102" i="1"/>
  <c r="CK102" i="1"/>
  <c r="BU102" i="1"/>
  <c r="CL102" i="1"/>
  <c r="BV102" i="1"/>
  <c r="CM102" i="1"/>
  <c r="BW102" i="1"/>
  <c r="CN102" i="1"/>
  <c r="BX102" i="1"/>
  <c r="CO102" i="1"/>
  <c r="BY102" i="1"/>
  <c r="CP102" i="1"/>
  <c r="BZ102" i="1"/>
  <c r="CQ102" i="1"/>
  <c r="CA102" i="1"/>
  <c r="CR102" i="1"/>
  <c r="CB102" i="1"/>
  <c r="AV102" i="1"/>
  <c r="CU47" i="1"/>
  <c r="CE47" i="1"/>
  <c r="BO47" i="1"/>
  <c r="CV47" i="1"/>
  <c r="CF47" i="1"/>
  <c r="BP47" i="1"/>
  <c r="AZ47" i="1"/>
  <c r="CH47" i="1"/>
  <c r="BR47" i="1"/>
  <c r="BB47" i="1"/>
  <c r="CW47" i="1"/>
  <c r="CI47" i="1"/>
  <c r="BS47" i="1"/>
  <c r="BC47" i="1"/>
  <c r="BA47" i="1"/>
  <c r="CJ47" i="1"/>
  <c r="BT47" i="1"/>
  <c r="BD47" i="1"/>
  <c r="CK47" i="1"/>
  <c r="BU47" i="1"/>
  <c r="BE47" i="1"/>
  <c r="CL47" i="1"/>
  <c r="BV47" i="1"/>
  <c r="BF47" i="1"/>
  <c r="CM47" i="1"/>
  <c r="BW47" i="1"/>
  <c r="BG47" i="1"/>
  <c r="CN47" i="1"/>
  <c r="BX47" i="1"/>
  <c r="BH47" i="1"/>
  <c r="CO47" i="1"/>
  <c r="BY47" i="1"/>
  <c r="BI47" i="1"/>
  <c r="CG47" i="1"/>
  <c r="CP47" i="1"/>
  <c r="BZ47" i="1"/>
  <c r="BJ47" i="1"/>
  <c r="CQ47" i="1"/>
  <c r="CA47" i="1"/>
  <c r="BK47" i="1"/>
  <c r="CR47" i="1"/>
  <c r="CB47" i="1"/>
  <c r="BL47" i="1"/>
  <c r="CS47" i="1"/>
  <c r="CC47" i="1"/>
  <c r="BM47" i="1"/>
  <c r="CT47" i="1"/>
  <c r="CD47" i="1"/>
  <c r="BN47" i="1"/>
  <c r="BQ47" i="1"/>
  <c r="AV47" i="1"/>
  <c r="CU101" i="1"/>
  <c r="CE101" i="1"/>
  <c r="BO101" i="1"/>
  <c r="CV101" i="1"/>
  <c r="CF101" i="1"/>
  <c r="BP101" i="1"/>
  <c r="AZ101" i="1"/>
  <c r="CW101" i="1"/>
  <c r="CG101" i="1"/>
  <c r="BQ101" i="1"/>
  <c r="BA101" i="1"/>
  <c r="CH101" i="1"/>
  <c r="BR101" i="1"/>
  <c r="BB101" i="1"/>
  <c r="CI101" i="1"/>
  <c r="BS101" i="1"/>
  <c r="BC101" i="1"/>
  <c r="CJ101" i="1"/>
  <c r="BT101" i="1"/>
  <c r="BD101" i="1"/>
  <c r="CK101" i="1"/>
  <c r="BU101" i="1"/>
  <c r="BE101" i="1"/>
  <c r="CL101" i="1"/>
  <c r="BV101" i="1"/>
  <c r="BF101" i="1"/>
  <c r="CM101" i="1"/>
  <c r="BW101" i="1"/>
  <c r="BG101" i="1"/>
  <c r="CN101" i="1"/>
  <c r="BX101" i="1"/>
  <c r="BH101" i="1"/>
  <c r="CO101" i="1"/>
  <c r="BY101" i="1"/>
  <c r="BI101" i="1"/>
  <c r="CP101" i="1"/>
  <c r="BZ101" i="1"/>
  <c r="BJ101" i="1"/>
  <c r="CQ101" i="1"/>
  <c r="CA101" i="1"/>
  <c r="BK101" i="1"/>
  <c r="CR101" i="1"/>
  <c r="CB101" i="1"/>
  <c r="BL101" i="1"/>
  <c r="CS101" i="1"/>
  <c r="CC101" i="1"/>
  <c r="BM101" i="1"/>
  <c r="CT101" i="1"/>
  <c r="CD101" i="1"/>
  <c r="BN101" i="1"/>
  <c r="AV101" i="1"/>
  <c r="EW97" i="1"/>
  <c r="EX97" i="1" s="1"/>
  <c r="EY97" i="1" s="1"/>
  <c r="EZ97" i="1" s="1"/>
  <c r="FA97" i="1" s="1"/>
  <c r="FB97" i="1" s="1"/>
  <c r="FC97" i="1" s="1"/>
  <c r="FD97" i="1" s="1"/>
  <c r="FE97" i="1" s="1"/>
  <c r="FF97" i="1" s="1"/>
  <c r="FG97" i="1" s="1"/>
  <c r="FH97" i="1" s="1"/>
  <c r="FI97" i="1" s="1"/>
  <c r="FJ97" i="1" s="1"/>
  <c r="FK97" i="1" s="1"/>
  <c r="FL97" i="1" s="1"/>
  <c r="FM97" i="1" s="1"/>
  <c r="FN97" i="1" s="1"/>
  <c r="FO97" i="1" s="1"/>
  <c r="FP97" i="1" s="1"/>
  <c r="FQ97" i="1" s="1"/>
  <c r="FR97" i="1" s="1"/>
  <c r="FS97" i="1" s="1"/>
  <c r="FT97" i="1" s="1"/>
  <c r="FU97" i="1" s="1"/>
  <c r="FV97" i="1" s="1"/>
  <c r="FW97" i="1" s="1"/>
  <c r="FX97" i="1" s="1"/>
  <c r="FY97" i="1" s="1"/>
  <c r="FZ97" i="1" s="1"/>
  <c r="GA97" i="1" s="1"/>
  <c r="GB97" i="1" s="1"/>
  <c r="GC97" i="1" s="1"/>
  <c r="GD97" i="1" s="1"/>
  <c r="GE97" i="1" s="1"/>
  <c r="GF97" i="1" s="1"/>
  <c r="GG97" i="1" s="1"/>
  <c r="GH97" i="1" s="1"/>
  <c r="GI97" i="1" s="1"/>
  <c r="GJ97" i="1" s="1"/>
  <c r="GK97" i="1" s="1"/>
  <c r="GL97" i="1" s="1"/>
  <c r="GM97" i="1" s="1"/>
  <c r="GN97" i="1" s="1"/>
  <c r="GO97" i="1" s="1"/>
  <c r="GP97" i="1" s="1"/>
  <c r="GQ97" i="1" s="1"/>
  <c r="GR97" i="1" s="1"/>
  <c r="GS97" i="1" s="1"/>
  <c r="GT97" i="1" s="1"/>
  <c r="GU97" i="1" s="1"/>
  <c r="GV97" i="1" s="1"/>
  <c r="GW97" i="1" s="1"/>
  <c r="GX97" i="1" s="1"/>
  <c r="GY97" i="1" s="1"/>
  <c r="GZ97" i="1" s="1"/>
  <c r="HA97" i="1" s="1"/>
  <c r="HB97" i="1" s="1"/>
  <c r="HC97" i="1" s="1"/>
  <c r="HD97" i="1" s="1"/>
  <c r="HE97" i="1" s="1"/>
  <c r="HF97" i="1" s="1"/>
  <c r="HG97" i="1" s="1"/>
  <c r="HH97" i="1" s="1"/>
  <c r="HI97" i="1" s="1"/>
  <c r="HJ97" i="1" s="1"/>
  <c r="HK97" i="1" s="1"/>
  <c r="HL97" i="1" s="1"/>
  <c r="HM97" i="1" s="1"/>
  <c r="HN97" i="1" s="1"/>
  <c r="HO97" i="1" s="1"/>
  <c r="HP97" i="1" s="1"/>
  <c r="HQ97" i="1" s="1"/>
  <c r="HR97" i="1" s="1"/>
  <c r="HS97" i="1" s="1"/>
  <c r="HT97" i="1" s="1"/>
  <c r="HU97" i="1" s="1"/>
  <c r="HV97" i="1" s="1"/>
  <c r="HW97" i="1" s="1"/>
  <c r="HX97" i="1" s="1"/>
  <c r="HY97" i="1" s="1"/>
  <c r="HZ97" i="1" s="1"/>
  <c r="IA97" i="1" s="1"/>
  <c r="IB97" i="1" s="1"/>
  <c r="IC97" i="1" s="1"/>
  <c r="ID97" i="1" s="1"/>
  <c r="IE97" i="1" s="1"/>
  <c r="IF97" i="1" s="1"/>
  <c r="IG97" i="1" s="1"/>
  <c r="IH97" i="1" s="1"/>
  <c r="II97" i="1" s="1"/>
  <c r="IJ97" i="1" s="1"/>
  <c r="IK97" i="1" s="1"/>
  <c r="IL97" i="1" s="1"/>
  <c r="IM97" i="1" s="1"/>
  <c r="IN97" i="1" s="1"/>
  <c r="IO97" i="1" s="1"/>
  <c r="IP97" i="1" s="1"/>
  <c r="IQ97" i="1" s="1"/>
  <c r="IR97" i="1" s="1"/>
  <c r="EW71" i="1"/>
  <c r="EX71" i="1" s="1"/>
  <c r="EY71" i="1" s="1"/>
  <c r="EZ71" i="1" s="1"/>
  <c r="FA71" i="1" s="1"/>
  <c r="FB71" i="1" s="1"/>
  <c r="FC71" i="1" s="1"/>
  <c r="FD71" i="1" s="1"/>
  <c r="FE71" i="1" s="1"/>
  <c r="FF71" i="1" s="1"/>
  <c r="FG71" i="1" s="1"/>
  <c r="FH71" i="1" s="1"/>
  <c r="FI71" i="1" s="1"/>
  <c r="FJ71" i="1" s="1"/>
  <c r="FK71" i="1" s="1"/>
  <c r="FL71" i="1" s="1"/>
  <c r="FM71" i="1" s="1"/>
  <c r="FN71" i="1" s="1"/>
  <c r="FO71" i="1" s="1"/>
  <c r="FP71" i="1" s="1"/>
  <c r="FQ71" i="1" s="1"/>
  <c r="FR71" i="1" s="1"/>
  <c r="FS71" i="1" s="1"/>
  <c r="FT71" i="1" s="1"/>
  <c r="FU71" i="1" s="1"/>
  <c r="FV71" i="1" s="1"/>
  <c r="FW71" i="1" s="1"/>
  <c r="FX71" i="1" s="1"/>
  <c r="FY71" i="1" s="1"/>
  <c r="FZ71" i="1" s="1"/>
  <c r="GA71" i="1" s="1"/>
  <c r="GB71" i="1" s="1"/>
  <c r="GC71" i="1" s="1"/>
  <c r="GD71" i="1" s="1"/>
  <c r="GE71" i="1" s="1"/>
  <c r="GF71" i="1" s="1"/>
  <c r="GG71" i="1" s="1"/>
  <c r="GH71" i="1" s="1"/>
  <c r="GI71" i="1" s="1"/>
  <c r="GJ71" i="1" s="1"/>
  <c r="GK71" i="1" s="1"/>
  <c r="GL71" i="1" s="1"/>
  <c r="GM71" i="1" s="1"/>
  <c r="GN71" i="1" s="1"/>
  <c r="GO71" i="1" s="1"/>
  <c r="GP71" i="1" s="1"/>
  <c r="GQ71" i="1" s="1"/>
  <c r="GR71" i="1" s="1"/>
  <c r="GS71" i="1" s="1"/>
  <c r="GT71" i="1" s="1"/>
  <c r="GU71" i="1" s="1"/>
  <c r="GV71" i="1" s="1"/>
  <c r="GW71" i="1" s="1"/>
  <c r="GX71" i="1" s="1"/>
  <c r="GY71" i="1" s="1"/>
  <c r="GZ71" i="1" s="1"/>
  <c r="HA71" i="1" s="1"/>
  <c r="HB71" i="1" s="1"/>
  <c r="HC71" i="1" s="1"/>
  <c r="HD71" i="1" s="1"/>
  <c r="HE71" i="1" s="1"/>
  <c r="HF71" i="1" s="1"/>
  <c r="HG71" i="1" s="1"/>
  <c r="HH71" i="1" s="1"/>
  <c r="HI71" i="1" s="1"/>
  <c r="HJ71" i="1" s="1"/>
  <c r="HK71" i="1" s="1"/>
  <c r="HL71" i="1" s="1"/>
  <c r="HM71" i="1" s="1"/>
  <c r="HN71" i="1" s="1"/>
  <c r="HO71" i="1" s="1"/>
  <c r="HP71" i="1" s="1"/>
  <c r="HQ71" i="1" s="1"/>
  <c r="HR71" i="1" s="1"/>
  <c r="HS71" i="1" s="1"/>
  <c r="HT71" i="1" s="1"/>
  <c r="HU71" i="1" s="1"/>
  <c r="HV71" i="1" s="1"/>
  <c r="HW71" i="1" s="1"/>
  <c r="HX71" i="1" s="1"/>
  <c r="HY71" i="1" s="1"/>
  <c r="HZ71" i="1" s="1"/>
  <c r="IA71" i="1" s="1"/>
  <c r="IB71" i="1" s="1"/>
  <c r="IC71" i="1" s="1"/>
  <c r="ID71" i="1" s="1"/>
  <c r="IE71" i="1" s="1"/>
  <c r="IF71" i="1" s="1"/>
  <c r="IG71" i="1" s="1"/>
  <c r="IH71" i="1" s="1"/>
  <c r="II71" i="1" s="1"/>
  <c r="IJ71" i="1" s="1"/>
  <c r="IK71" i="1" s="1"/>
  <c r="IL71" i="1" s="1"/>
  <c r="IM71" i="1" s="1"/>
  <c r="IN71" i="1" s="1"/>
  <c r="IO71" i="1" s="1"/>
  <c r="IP71" i="1" s="1"/>
  <c r="IQ71" i="1" s="1"/>
  <c r="IR71" i="1" s="1"/>
  <c r="CI108" i="1"/>
  <c r="BS108" i="1"/>
  <c r="BC108" i="1"/>
  <c r="CJ108" i="1"/>
  <c r="BT108" i="1"/>
  <c r="BD108" i="1"/>
  <c r="CK108" i="1"/>
  <c r="BU108" i="1"/>
  <c r="BE108" i="1"/>
  <c r="CL108" i="1"/>
  <c r="BV108" i="1"/>
  <c r="BF108" i="1"/>
  <c r="CM108" i="1"/>
  <c r="BW108" i="1"/>
  <c r="BG108" i="1"/>
  <c r="CN108" i="1"/>
  <c r="BX108" i="1"/>
  <c r="BH108" i="1"/>
  <c r="CO108" i="1"/>
  <c r="BY108" i="1"/>
  <c r="BI108" i="1"/>
  <c r="CP108" i="1"/>
  <c r="BZ108" i="1"/>
  <c r="BJ108" i="1"/>
  <c r="CQ108" i="1"/>
  <c r="CA108" i="1"/>
  <c r="BK108" i="1"/>
  <c r="CR108" i="1"/>
  <c r="CB108" i="1"/>
  <c r="BL108" i="1"/>
  <c r="CS108" i="1"/>
  <c r="CC108" i="1"/>
  <c r="BM108" i="1"/>
  <c r="CT108" i="1"/>
  <c r="CD108" i="1"/>
  <c r="BN108" i="1"/>
  <c r="CU108" i="1"/>
  <c r="CE108" i="1"/>
  <c r="BO108" i="1"/>
  <c r="CV108" i="1"/>
  <c r="CF108" i="1"/>
  <c r="BP108" i="1"/>
  <c r="AZ108" i="1"/>
  <c r="CW108" i="1"/>
  <c r="CG108" i="1"/>
  <c r="BQ108" i="1"/>
  <c r="BA108" i="1"/>
  <c r="CH108" i="1"/>
  <c r="BR108" i="1"/>
  <c r="BB108" i="1"/>
  <c r="AV108" i="1"/>
  <c r="CO50" i="1"/>
  <c r="BY50" i="1"/>
  <c r="BI50" i="1"/>
  <c r="CP50" i="1"/>
  <c r="BZ50" i="1"/>
  <c r="BJ50" i="1"/>
  <c r="CR50" i="1"/>
  <c r="CB50" i="1"/>
  <c r="BL50" i="1"/>
  <c r="CA50" i="1"/>
  <c r="CS50" i="1"/>
  <c r="CC50" i="1"/>
  <c r="BM50" i="1"/>
  <c r="CT50" i="1"/>
  <c r="CD50" i="1"/>
  <c r="BN50" i="1"/>
  <c r="CU50" i="1"/>
  <c r="CE50" i="1"/>
  <c r="BO50" i="1"/>
  <c r="BK50" i="1"/>
  <c r="CV50" i="1"/>
  <c r="CF50" i="1"/>
  <c r="BP50" i="1"/>
  <c r="AZ50" i="1"/>
  <c r="CW50" i="1"/>
  <c r="CG50" i="1"/>
  <c r="BQ50" i="1"/>
  <c r="BA50" i="1"/>
  <c r="CH50" i="1"/>
  <c r="BR50" i="1"/>
  <c r="BB50" i="1"/>
  <c r="CQ50" i="1"/>
  <c r="CI50" i="1"/>
  <c r="BS50" i="1"/>
  <c r="BC50" i="1"/>
  <c r="CJ50" i="1"/>
  <c r="BT50" i="1"/>
  <c r="BD50" i="1"/>
  <c r="CK50" i="1"/>
  <c r="BU50" i="1"/>
  <c r="BE50" i="1"/>
  <c r="CL50" i="1"/>
  <c r="BV50" i="1"/>
  <c r="BF50" i="1"/>
  <c r="CM50" i="1"/>
  <c r="BW50" i="1"/>
  <c r="BG50" i="1"/>
  <c r="CN50" i="1"/>
  <c r="BX50" i="1"/>
  <c r="BH50" i="1"/>
  <c r="AV50" i="1"/>
  <c r="CQ40" i="1"/>
  <c r="CA40" i="1"/>
  <c r="BK40" i="1"/>
  <c r="CR40" i="1"/>
  <c r="CB40" i="1"/>
  <c r="BL40" i="1"/>
  <c r="CT40" i="1"/>
  <c r="CD40" i="1"/>
  <c r="BN40" i="1"/>
  <c r="CU40" i="1"/>
  <c r="CE40" i="1"/>
  <c r="BO40" i="1"/>
  <c r="CV40" i="1"/>
  <c r="CF40" i="1"/>
  <c r="BP40" i="1"/>
  <c r="AZ40" i="1"/>
  <c r="BM40" i="1"/>
  <c r="CW40" i="1"/>
  <c r="CG40" i="1"/>
  <c r="BQ40" i="1"/>
  <c r="BA40" i="1"/>
  <c r="CH40" i="1"/>
  <c r="BR40" i="1"/>
  <c r="BB40" i="1"/>
  <c r="CI40" i="1"/>
  <c r="BS40" i="1"/>
  <c r="BC40" i="1"/>
  <c r="CS40" i="1"/>
  <c r="CJ40" i="1"/>
  <c r="BT40" i="1"/>
  <c r="BD40" i="1"/>
  <c r="CK40" i="1"/>
  <c r="BU40" i="1"/>
  <c r="BE40" i="1"/>
  <c r="CC40" i="1"/>
  <c r="CL40" i="1"/>
  <c r="BV40" i="1"/>
  <c r="BF40" i="1"/>
  <c r="CM40" i="1"/>
  <c r="BW40" i="1"/>
  <c r="BG40" i="1"/>
  <c r="CN40" i="1"/>
  <c r="BX40" i="1"/>
  <c r="BH40" i="1"/>
  <c r="CO40" i="1"/>
  <c r="BY40" i="1"/>
  <c r="BI40" i="1"/>
  <c r="CP40" i="1"/>
  <c r="BZ40" i="1"/>
  <c r="BJ40" i="1"/>
  <c r="AV40" i="1"/>
  <c r="CQ5" i="1"/>
  <c r="CA5" i="1"/>
  <c r="BK5" i="1"/>
  <c r="CR5" i="1"/>
  <c r="CB5" i="1"/>
  <c r="BL5" i="1"/>
  <c r="CT5" i="1"/>
  <c r="CD5" i="1"/>
  <c r="BN5" i="1"/>
  <c r="CU5" i="1"/>
  <c r="CE5" i="1"/>
  <c r="BO5" i="1"/>
  <c r="CS5" i="1"/>
  <c r="CV5" i="1"/>
  <c r="CF5" i="1"/>
  <c r="BP5" i="1"/>
  <c r="AZ5" i="1"/>
  <c r="CC5" i="1"/>
  <c r="CW5" i="1"/>
  <c r="CG5" i="1"/>
  <c r="BQ5" i="1"/>
  <c r="BA5" i="1"/>
  <c r="CH5" i="1"/>
  <c r="BR5" i="1"/>
  <c r="BB5" i="1"/>
  <c r="CI5" i="1"/>
  <c r="BS5" i="1"/>
  <c r="BC5" i="1"/>
  <c r="CJ5" i="1"/>
  <c r="BT5" i="1"/>
  <c r="BD5" i="1"/>
  <c r="CK5" i="1"/>
  <c r="BU5" i="1"/>
  <c r="BE5" i="1"/>
  <c r="CL5" i="1"/>
  <c r="BV5" i="1"/>
  <c r="BF5" i="1"/>
  <c r="CM5" i="1"/>
  <c r="BW5" i="1"/>
  <c r="BG5" i="1"/>
  <c r="CN5" i="1"/>
  <c r="BX5" i="1"/>
  <c r="BH5" i="1"/>
  <c r="CO5" i="1"/>
  <c r="BY5" i="1"/>
  <c r="BI5" i="1"/>
  <c r="BM5" i="1"/>
  <c r="CP5" i="1"/>
  <c r="BZ5" i="1"/>
  <c r="BJ5" i="1"/>
  <c r="AV5" i="1"/>
  <c r="CW60" i="1"/>
  <c r="CG60" i="1"/>
  <c r="BQ60" i="1"/>
  <c r="BA60" i="1"/>
  <c r="CH60" i="1"/>
  <c r="BR60" i="1"/>
  <c r="BB60" i="1"/>
  <c r="CI60" i="1"/>
  <c r="BS60" i="1"/>
  <c r="BC60" i="1"/>
  <c r="CJ60" i="1"/>
  <c r="BT60" i="1"/>
  <c r="BD60" i="1"/>
  <c r="CK60" i="1"/>
  <c r="BU60" i="1"/>
  <c r="BE60" i="1"/>
  <c r="CL60" i="1"/>
  <c r="BV60" i="1"/>
  <c r="BF60" i="1"/>
  <c r="CM60" i="1"/>
  <c r="BW60" i="1"/>
  <c r="BG60" i="1"/>
  <c r="CN60" i="1"/>
  <c r="BX60" i="1"/>
  <c r="BH60" i="1"/>
  <c r="CO60" i="1"/>
  <c r="BY60" i="1"/>
  <c r="BI60" i="1"/>
  <c r="CP60" i="1"/>
  <c r="BZ60" i="1"/>
  <c r="BJ60" i="1"/>
  <c r="CQ60" i="1"/>
  <c r="CA60" i="1"/>
  <c r="BK60" i="1"/>
  <c r="CR60" i="1"/>
  <c r="CB60" i="1"/>
  <c r="BL60" i="1"/>
  <c r="CS60" i="1"/>
  <c r="CC60" i="1"/>
  <c r="BM60" i="1"/>
  <c r="CT60" i="1"/>
  <c r="CD60" i="1"/>
  <c r="BN60" i="1"/>
  <c r="CU60" i="1"/>
  <c r="CE60" i="1"/>
  <c r="BO60" i="1"/>
  <c r="CV60" i="1"/>
  <c r="CF60" i="1"/>
  <c r="BP60" i="1"/>
  <c r="AZ60" i="1"/>
  <c r="AV60" i="1"/>
  <c r="AV88" i="1"/>
  <c r="AV147" i="1"/>
  <c r="CS94" i="1"/>
  <c r="CC94" i="1"/>
  <c r="BM94" i="1"/>
  <c r="CT94" i="1"/>
  <c r="CD94" i="1"/>
  <c r="BN94" i="1"/>
  <c r="CU94" i="1"/>
  <c r="CE94" i="1"/>
  <c r="BO94" i="1"/>
  <c r="CV94" i="1"/>
  <c r="CF94" i="1"/>
  <c r="BP94" i="1"/>
  <c r="AZ94" i="1"/>
  <c r="CW94" i="1"/>
  <c r="CG94" i="1"/>
  <c r="BQ94" i="1"/>
  <c r="BA94" i="1"/>
  <c r="CH94" i="1"/>
  <c r="BR94" i="1"/>
  <c r="BB94" i="1"/>
  <c r="CI94" i="1"/>
  <c r="BS94" i="1"/>
  <c r="BC94" i="1"/>
  <c r="CJ94" i="1"/>
  <c r="BT94" i="1"/>
  <c r="BD94" i="1"/>
  <c r="CK94" i="1"/>
  <c r="BU94" i="1"/>
  <c r="BE94" i="1"/>
  <c r="CL94" i="1"/>
  <c r="BV94" i="1"/>
  <c r="BF94" i="1"/>
  <c r="CM94" i="1"/>
  <c r="BW94" i="1"/>
  <c r="BG94" i="1"/>
  <c r="CN94" i="1"/>
  <c r="BX94" i="1"/>
  <c r="BH94" i="1"/>
  <c r="CO94" i="1"/>
  <c r="BY94" i="1"/>
  <c r="BI94" i="1"/>
  <c r="CP94" i="1"/>
  <c r="BZ94" i="1"/>
  <c r="BJ94" i="1"/>
  <c r="CQ94" i="1"/>
  <c r="CA94" i="1"/>
  <c r="BK94" i="1"/>
  <c r="CR94" i="1"/>
  <c r="CB94" i="1"/>
  <c r="BL94" i="1"/>
  <c r="AV94" i="1"/>
  <c r="CS111" i="1"/>
  <c r="CC111" i="1"/>
  <c r="BM111" i="1"/>
  <c r="CT111" i="1"/>
  <c r="CD111" i="1"/>
  <c r="BN111" i="1"/>
  <c r="CU111" i="1"/>
  <c r="CE111" i="1"/>
  <c r="BO111" i="1"/>
  <c r="CV111" i="1"/>
  <c r="CF111" i="1"/>
  <c r="BP111" i="1"/>
  <c r="AZ111" i="1"/>
  <c r="CW111" i="1"/>
  <c r="CG111" i="1"/>
  <c r="BQ111" i="1"/>
  <c r="BA111" i="1"/>
  <c r="CH111" i="1"/>
  <c r="BR111" i="1"/>
  <c r="BB111" i="1"/>
  <c r="CI111" i="1"/>
  <c r="BS111" i="1"/>
  <c r="BC111" i="1"/>
  <c r="CJ111" i="1"/>
  <c r="BT111" i="1"/>
  <c r="BD111" i="1"/>
  <c r="CK111" i="1"/>
  <c r="BU111" i="1"/>
  <c r="BE111" i="1"/>
  <c r="CL111" i="1"/>
  <c r="BV111" i="1"/>
  <c r="BF111" i="1"/>
  <c r="CM111" i="1"/>
  <c r="BW111" i="1"/>
  <c r="BG111" i="1"/>
  <c r="CN111" i="1"/>
  <c r="BX111" i="1"/>
  <c r="BH111" i="1"/>
  <c r="CO111" i="1"/>
  <c r="BY111" i="1"/>
  <c r="BI111" i="1"/>
  <c r="CP111" i="1"/>
  <c r="BZ111" i="1"/>
  <c r="BJ111" i="1"/>
  <c r="CQ111" i="1"/>
  <c r="CA111" i="1"/>
  <c r="BK111" i="1"/>
  <c r="CR111" i="1"/>
  <c r="CB111" i="1"/>
  <c r="BL111" i="1"/>
  <c r="AV111" i="1"/>
  <c r="CM51" i="1"/>
  <c r="BW51" i="1"/>
  <c r="BG51" i="1"/>
  <c r="CN51" i="1"/>
  <c r="BX51" i="1"/>
  <c r="BH51" i="1"/>
  <c r="CP51" i="1"/>
  <c r="BZ51" i="1"/>
  <c r="BJ51" i="1"/>
  <c r="CQ51" i="1"/>
  <c r="CA51" i="1"/>
  <c r="BK51" i="1"/>
  <c r="CR51" i="1"/>
  <c r="CB51" i="1"/>
  <c r="BL51" i="1"/>
  <c r="CS51" i="1"/>
  <c r="CC51" i="1"/>
  <c r="BM51" i="1"/>
  <c r="CT51" i="1"/>
  <c r="CD51" i="1"/>
  <c r="BN51" i="1"/>
  <c r="BI51" i="1"/>
  <c r="CU51" i="1"/>
  <c r="CE51" i="1"/>
  <c r="BO51" i="1"/>
  <c r="CV51" i="1"/>
  <c r="CF51" i="1"/>
  <c r="BP51" i="1"/>
  <c r="AZ51" i="1"/>
  <c r="CW51" i="1"/>
  <c r="CG51" i="1"/>
  <c r="BQ51" i="1"/>
  <c r="BA51" i="1"/>
  <c r="CH51" i="1"/>
  <c r="BR51" i="1"/>
  <c r="BB51" i="1"/>
  <c r="CI51" i="1"/>
  <c r="BS51" i="1"/>
  <c r="BC51" i="1"/>
  <c r="CO51" i="1"/>
  <c r="CJ51" i="1"/>
  <c r="BT51" i="1"/>
  <c r="BD51" i="1"/>
  <c r="BY51" i="1"/>
  <c r="CK51" i="1"/>
  <c r="BU51" i="1"/>
  <c r="BE51" i="1"/>
  <c r="CL51" i="1"/>
  <c r="BV51" i="1"/>
  <c r="BF51" i="1"/>
  <c r="AV51" i="1"/>
  <c r="CO41" i="1"/>
  <c r="BY41" i="1"/>
  <c r="BI41" i="1"/>
  <c r="BK41" i="1"/>
  <c r="CP41" i="1"/>
  <c r="BZ41" i="1"/>
  <c r="BJ41" i="1"/>
  <c r="CR41" i="1"/>
  <c r="CB41" i="1"/>
  <c r="BL41" i="1"/>
  <c r="CA41" i="1"/>
  <c r="CS41" i="1"/>
  <c r="CC41" i="1"/>
  <c r="BM41" i="1"/>
  <c r="CT41" i="1"/>
  <c r="CD41" i="1"/>
  <c r="BN41" i="1"/>
  <c r="CU41" i="1"/>
  <c r="CE41" i="1"/>
  <c r="BO41" i="1"/>
  <c r="CV41" i="1"/>
  <c r="CF41" i="1"/>
  <c r="BP41" i="1"/>
  <c r="AZ41" i="1"/>
  <c r="CW41" i="1"/>
  <c r="CG41" i="1"/>
  <c r="BQ41" i="1"/>
  <c r="BA41" i="1"/>
  <c r="CH41" i="1"/>
  <c r="BR41" i="1"/>
  <c r="BB41" i="1"/>
  <c r="CI41" i="1"/>
  <c r="BS41" i="1"/>
  <c r="BC41" i="1"/>
  <c r="CJ41" i="1"/>
  <c r="BT41" i="1"/>
  <c r="BD41" i="1"/>
  <c r="CK41" i="1"/>
  <c r="BU41" i="1"/>
  <c r="BE41" i="1"/>
  <c r="CL41" i="1"/>
  <c r="BV41" i="1"/>
  <c r="BF41" i="1"/>
  <c r="CM41" i="1"/>
  <c r="BW41" i="1"/>
  <c r="BG41" i="1"/>
  <c r="CN41" i="1"/>
  <c r="BX41" i="1"/>
  <c r="BH41" i="1"/>
  <c r="CQ41" i="1"/>
  <c r="AV41" i="1"/>
  <c r="CI53" i="1"/>
  <c r="BS53" i="1"/>
  <c r="BC53" i="1"/>
  <c r="CJ53" i="1"/>
  <c r="BT53" i="1"/>
  <c r="BD53" i="1"/>
  <c r="CL53" i="1"/>
  <c r="BV53" i="1"/>
  <c r="BF53" i="1"/>
  <c r="BU53" i="1"/>
  <c r="CM53" i="1"/>
  <c r="BW53" i="1"/>
  <c r="BG53" i="1"/>
  <c r="CN53" i="1"/>
  <c r="BX53" i="1"/>
  <c r="BH53" i="1"/>
  <c r="CO53" i="1"/>
  <c r="BY53" i="1"/>
  <c r="BI53" i="1"/>
  <c r="CP53" i="1"/>
  <c r="BZ53" i="1"/>
  <c r="BJ53" i="1"/>
  <c r="CQ53" i="1"/>
  <c r="CA53" i="1"/>
  <c r="BK53" i="1"/>
  <c r="CR53" i="1"/>
  <c r="CB53" i="1"/>
  <c r="BL53" i="1"/>
  <c r="CS53" i="1"/>
  <c r="CC53" i="1"/>
  <c r="BM53" i="1"/>
  <c r="CK53" i="1"/>
  <c r="CT53" i="1"/>
  <c r="CD53" i="1"/>
  <c r="BN53" i="1"/>
  <c r="BE53" i="1"/>
  <c r="CU53" i="1"/>
  <c r="CE53" i="1"/>
  <c r="BO53" i="1"/>
  <c r="CV53" i="1"/>
  <c r="CF53" i="1"/>
  <c r="BP53" i="1"/>
  <c r="AZ53" i="1"/>
  <c r="CW53" i="1"/>
  <c r="CG53" i="1"/>
  <c r="BQ53" i="1"/>
  <c r="BA53" i="1"/>
  <c r="CH53" i="1"/>
  <c r="BR53" i="1"/>
  <c r="BB53" i="1"/>
  <c r="AV53" i="1"/>
  <c r="AN97" i="1"/>
  <c r="AO97" i="1" s="1"/>
  <c r="EU97" i="1" s="1"/>
  <c r="AN95" i="1"/>
  <c r="AO95" i="1" s="1"/>
  <c r="CX95" i="1" s="1"/>
  <c r="AN52" i="1"/>
  <c r="AO52" i="1" s="1"/>
  <c r="BI52" i="1"/>
  <c r="BL52" i="1"/>
  <c r="BD52" i="1"/>
  <c r="AV52" i="1"/>
  <c r="CM42" i="1"/>
  <c r="BW42" i="1"/>
  <c r="BG42" i="1"/>
  <c r="CN42" i="1"/>
  <c r="BX42" i="1"/>
  <c r="BH42" i="1"/>
  <c r="BI42" i="1"/>
  <c r="CP42" i="1"/>
  <c r="BZ42" i="1"/>
  <c r="BJ42" i="1"/>
  <c r="CQ42" i="1"/>
  <c r="CA42" i="1"/>
  <c r="BK42" i="1"/>
  <c r="CO42" i="1"/>
  <c r="CR42" i="1"/>
  <c r="CB42" i="1"/>
  <c r="BL42" i="1"/>
  <c r="CS42" i="1"/>
  <c r="CC42" i="1"/>
  <c r="BM42" i="1"/>
  <c r="CT42" i="1"/>
  <c r="CD42" i="1"/>
  <c r="BN42" i="1"/>
  <c r="BY42" i="1"/>
  <c r="CU42" i="1"/>
  <c r="CE42" i="1"/>
  <c r="BO42" i="1"/>
  <c r="CV42" i="1"/>
  <c r="CF42" i="1"/>
  <c r="BP42" i="1"/>
  <c r="AZ42" i="1"/>
  <c r="CW42" i="1"/>
  <c r="CG42" i="1"/>
  <c r="BQ42" i="1"/>
  <c r="BA42" i="1"/>
  <c r="CH42" i="1"/>
  <c r="BR42" i="1"/>
  <c r="BB42" i="1"/>
  <c r="CI42" i="1"/>
  <c r="BS42" i="1"/>
  <c r="BC42" i="1"/>
  <c r="CJ42" i="1"/>
  <c r="BT42" i="1"/>
  <c r="BD42" i="1"/>
  <c r="CK42" i="1"/>
  <c r="BU42" i="1"/>
  <c r="BE42" i="1"/>
  <c r="CL42" i="1"/>
  <c r="BV42" i="1"/>
  <c r="BF42" i="1"/>
  <c r="AV42" i="1"/>
  <c r="AV127" i="1"/>
  <c r="AV140" i="1"/>
  <c r="EW154" i="1"/>
  <c r="EX154" i="1" s="1"/>
  <c r="EY154" i="1" s="1"/>
  <c r="EZ154" i="1" s="1"/>
  <c r="FA154" i="1" s="1"/>
  <c r="FB154" i="1" s="1"/>
  <c r="FC154" i="1" s="1"/>
  <c r="FD154" i="1" s="1"/>
  <c r="FE154" i="1" s="1"/>
  <c r="FF154" i="1" s="1"/>
  <c r="FG154" i="1" s="1"/>
  <c r="FH154" i="1" s="1"/>
  <c r="FI154" i="1" s="1"/>
  <c r="FJ154" i="1" s="1"/>
  <c r="FK154" i="1" s="1"/>
  <c r="FL154" i="1" s="1"/>
  <c r="FM154" i="1" s="1"/>
  <c r="FN154" i="1" s="1"/>
  <c r="FO154" i="1" s="1"/>
  <c r="FP154" i="1" s="1"/>
  <c r="FQ154" i="1" s="1"/>
  <c r="FR154" i="1" s="1"/>
  <c r="FS154" i="1" s="1"/>
  <c r="FT154" i="1" s="1"/>
  <c r="FU154" i="1" s="1"/>
  <c r="FV154" i="1" s="1"/>
  <c r="FW154" i="1" s="1"/>
  <c r="FX154" i="1" s="1"/>
  <c r="FY154" i="1" s="1"/>
  <c r="FZ154" i="1" s="1"/>
  <c r="GA154" i="1" s="1"/>
  <c r="GB154" i="1" s="1"/>
  <c r="GC154" i="1" s="1"/>
  <c r="GD154" i="1" s="1"/>
  <c r="GE154" i="1" s="1"/>
  <c r="GF154" i="1" s="1"/>
  <c r="GG154" i="1" s="1"/>
  <c r="GH154" i="1" s="1"/>
  <c r="GI154" i="1" s="1"/>
  <c r="GJ154" i="1" s="1"/>
  <c r="GK154" i="1" s="1"/>
  <c r="GL154" i="1" s="1"/>
  <c r="GM154" i="1" s="1"/>
  <c r="GN154" i="1" s="1"/>
  <c r="GO154" i="1" s="1"/>
  <c r="GP154" i="1" s="1"/>
  <c r="GQ154" i="1" s="1"/>
  <c r="GR154" i="1" s="1"/>
  <c r="GS154" i="1" s="1"/>
  <c r="GT154" i="1" s="1"/>
  <c r="GU154" i="1" s="1"/>
  <c r="GV154" i="1" s="1"/>
  <c r="GW154" i="1" s="1"/>
  <c r="GX154" i="1" s="1"/>
  <c r="GY154" i="1" s="1"/>
  <c r="GZ154" i="1" s="1"/>
  <c r="HA154" i="1" s="1"/>
  <c r="HB154" i="1" s="1"/>
  <c r="HC154" i="1" s="1"/>
  <c r="HD154" i="1" s="1"/>
  <c r="HE154" i="1" s="1"/>
  <c r="HF154" i="1" s="1"/>
  <c r="HG154" i="1" s="1"/>
  <c r="HH154" i="1" s="1"/>
  <c r="HI154" i="1" s="1"/>
  <c r="HJ154" i="1" s="1"/>
  <c r="HK154" i="1" s="1"/>
  <c r="HL154" i="1" s="1"/>
  <c r="HM154" i="1" s="1"/>
  <c r="HN154" i="1" s="1"/>
  <c r="HO154" i="1" s="1"/>
  <c r="HP154" i="1" s="1"/>
  <c r="HQ154" i="1" s="1"/>
  <c r="HR154" i="1" s="1"/>
  <c r="HS154" i="1" s="1"/>
  <c r="HT154" i="1" s="1"/>
  <c r="HU154" i="1" s="1"/>
  <c r="HV154" i="1" s="1"/>
  <c r="HW154" i="1" s="1"/>
  <c r="HX154" i="1" s="1"/>
  <c r="HY154" i="1" s="1"/>
  <c r="HZ154" i="1" s="1"/>
  <c r="IA154" i="1" s="1"/>
  <c r="IB154" i="1" s="1"/>
  <c r="IC154" i="1" s="1"/>
  <c r="ID154" i="1" s="1"/>
  <c r="IE154" i="1" s="1"/>
  <c r="IF154" i="1" s="1"/>
  <c r="IG154" i="1" s="1"/>
  <c r="IH154" i="1" s="1"/>
  <c r="II154" i="1" s="1"/>
  <c r="IJ154" i="1" s="1"/>
  <c r="IK154" i="1" s="1"/>
  <c r="IL154" i="1" s="1"/>
  <c r="IM154" i="1" s="1"/>
  <c r="IN154" i="1" s="1"/>
  <c r="IO154" i="1" s="1"/>
  <c r="IP154" i="1" s="1"/>
  <c r="IQ154" i="1" s="1"/>
  <c r="IR154" i="1" s="1"/>
  <c r="EW95" i="1"/>
  <c r="EX95" i="1" s="1"/>
  <c r="EY95" i="1" s="1"/>
  <c r="EZ95" i="1" s="1"/>
  <c r="FA95" i="1" s="1"/>
  <c r="FB95" i="1" s="1"/>
  <c r="FC95" i="1" s="1"/>
  <c r="FD95" i="1" s="1"/>
  <c r="FE95" i="1" s="1"/>
  <c r="FF95" i="1" s="1"/>
  <c r="FG95" i="1" s="1"/>
  <c r="FH95" i="1" s="1"/>
  <c r="FI95" i="1" s="1"/>
  <c r="FJ95" i="1" s="1"/>
  <c r="FK95" i="1" s="1"/>
  <c r="FL95" i="1" s="1"/>
  <c r="FM95" i="1" s="1"/>
  <c r="FN95" i="1" s="1"/>
  <c r="FO95" i="1" s="1"/>
  <c r="FP95" i="1" s="1"/>
  <c r="FQ95" i="1" s="1"/>
  <c r="FR95" i="1" s="1"/>
  <c r="FS95" i="1" s="1"/>
  <c r="FT95" i="1" s="1"/>
  <c r="FU95" i="1" s="1"/>
  <c r="FV95" i="1" s="1"/>
  <c r="FW95" i="1" s="1"/>
  <c r="FX95" i="1" s="1"/>
  <c r="FY95" i="1" s="1"/>
  <c r="FZ95" i="1" s="1"/>
  <c r="GA95" i="1" s="1"/>
  <c r="GB95" i="1" s="1"/>
  <c r="GC95" i="1" s="1"/>
  <c r="GD95" i="1" s="1"/>
  <c r="GE95" i="1" s="1"/>
  <c r="GF95" i="1" s="1"/>
  <c r="GG95" i="1" s="1"/>
  <c r="GH95" i="1" s="1"/>
  <c r="GI95" i="1" s="1"/>
  <c r="GJ95" i="1" s="1"/>
  <c r="GK95" i="1" s="1"/>
  <c r="GL95" i="1" s="1"/>
  <c r="GM95" i="1" s="1"/>
  <c r="GN95" i="1" s="1"/>
  <c r="GO95" i="1" s="1"/>
  <c r="GP95" i="1" s="1"/>
  <c r="GQ95" i="1" s="1"/>
  <c r="GR95" i="1" s="1"/>
  <c r="GS95" i="1" s="1"/>
  <c r="GT95" i="1" s="1"/>
  <c r="GU95" i="1" s="1"/>
  <c r="GV95" i="1" s="1"/>
  <c r="GW95" i="1" s="1"/>
  <c r="GX95" i="1" s="1"/>
  <c r="GY95" i="1" s="1"/>
  <c r="GZ95" i="1" s="1"/>
  <c r="HA95" i="1" s="1"/>
  <c r="HB95" i="1" s="1"/>
  <c r="HC95" i="1" s="1"/>
  <c r="HD95" i="1" s="1"/>
  <c r="HE95" i="1" s="1"/>
  <c r="HF95" i="1" s="1"/>
  <c r="HG95" i="1" s="1"/>
  <c r="HH95" i="1" s="1"/>
  <c r="HI95" i="1" s="1"/>
  <c r="HJ95" i="1" s="1"/>
  <c r="HK95" i="1" s="1"/>
  <c r="HL95" i="1" s="1"/>
  <c r="HM95" i="1" s="1"/>
  <c r="HN95" i="1" s="1"/>
  <c r="HO95" i="1" s="1"/>
  <c r="HP95" i="1" s="1"/>
  <c r="HQ95" i="1" s="1"/>
  <c r="HR95" i="1" s="1"/>
  <c r="HS95" i="1" s="1"/>
  <c r="HT95" i="1" s="1"/>
  <c r="HU95" i="1" s="1"/>
  <c r="HV95" i="1" s="1"/>
  <c r="HW95" i="1" s="1"/>
  <c r="HX95" i="1" s="1"/>
  <c r="HY95" i="1" s="1"/>
  <c r="HZ95" i="1" s="1"/>
  <c r="IA95" i="1" s="1"/>
  <c r="IB95" i="1" s="1"/>
  <c r="IC95" i="1" s="1"/>
  <c r="ID95" i="1" s="1"/>
  <c r="IE95" i="1" s="1"/>
  <c r="IF95" i="1" s="1"/>
  <c r="IG95" i="1" s="1"/>
  <c r="IH95" i="1" s="1"/>
  <c r="II95" i="1" s="1"/>
  <c r="IJ95" i="1" s="1"/>
  <c r="IK95" i="1" s="1"/>
  <c r="IL95" i="1" s="1"/>
  <c r="IM95" i="1" s="1"/>
  <c r="IN95" i="1" s="1"/>
  <c r="IO95" i="1" s="1"/>
  <c r="IP95" i="1" s="1"/>
  <c r="IQ95" i="1" s="1"/>
  <c r="IR95" i="1" s="1"/>
  <c r="EW60" i="1"/>
  <c r="EX60" i="1" s="1"/>
  <c r="EY60" i="1" s="1"/>
  <c r="EZ60" i="1" s="1"/>
  <c r="FA60" i="1" s="1"/>
  <c r="FB60" i="1" s="1"/>
  <c r="FC60" i="1" s="1"/>
  <c r="FD60" i="1" s="1"/>
  <c r="FE60" i="1" s="1"/>
  <c r="FF60" i="1" s="1"/>
  <c r="FG60" i="1" s="1"/>
  <c r="FH60" i="1" s="1"/>
  <c r="FI60" i="1" s="1"/>
  <c r="FJ60" i="1" s="1"/>
  <c r="FK60" i="1" s="1"/>
  <c r="FL60" i="1" s="1"/>
  <c r="FM60" i="1" s="1"/>
  <c r="FN60" i="1" s="1"/>
  <c r="FO60" i="1" s="1"/>
  <c r="FP60" i="1" s="1"/>
  <c r="FQ60" i="1" s="1"/>
  <c r="FR60" i="1" s="1"/>
  <c r="FS60" i="1" s="1"/>
  <c r="FT60" i="1" s="1"/>
  <c r="FU60" i="1" s="1"/>
  <c r="FV60" i="1" s="1"/>
  <c r="FW60" i="1" s="1"/>
  <c r="FX60" i="1" s="1"/>
  <c r="FY60" i="1" s="1"/>
  <c r="FZ60" i="1" s="1"/>
  <c r="GA60" i="1" s="1"/>
  <c r="GB60" i="1" s="1"/>
  <c r="GC60" i="1" s="1"/>
  <c r="GD60" i="1" s="1"/>
  <c r="GE60" i="1" s="1"/>
  <c r="GF60" i="1" s="1"/>
  <c r="GG60" i="1" s="1"/>
  <c r="GH60" i="1" s="1"/>
  <c r="GI60" i="1" s="1"/>
  <c r="GJ60" i="1" s="1"/>
  <c r="GK60" i="1" s="1"/>
  <c r="GL60" i="1" s="1"/>
  <c r="GM60" i="1" s="1"/>
  <c r="GN60" i="1" s="1"/>
  <c r="GO60" i="1" s="1"/>
  <c r="GP60" i="1" s="1"/>
  <c r="GQ60" i="1" s="1"/>
  <c r="GR60" i="1" s="1"/>
  <c r="GS60" i="1" s="1"/>
  <c r="GT60" i="1" s="1"/>
  <c r="GU60" i="1" s="1"/>
  <c r="GV60" i="1" s="1"/>
  <c r="GW60" i="1" s="1"/>
  <c r="GX60" i="1" s="1"/>
  <c r="GY60" i="1" s="1"/>
  <c r="GZ60" i="1" s="1"/>
  <c r="HA60" i="1" s="1"/>
  <c r="HB60" i="1" s="1"/>
  <c r="HC60" i="1" s="1"/>
  <c r="HD60" i="1" s="1"/>
  <c r="HE60" i="1" s="1"/>
  <c r="HF60" i="1" s="1"/>
  <c r="HG60" i="1" s="1"/>
  <c r="HH60" i="1" s="1"/>
  <c r="HI60" i="1" s="1"/>
  <c r="HJ60" i="1" s="1"/>
  <c r="HK60" i="1" s="1"/>
  <c r="HL60" i="1" s="1"/>
  <c r="HM60" i="1" s="1"/>
  <c r="HN60" i="1" s="1"/>
  <c r="HO60" i="1" s="1"/>
  <c r="HP60" i="1" s="1"/>
  <c r="HQ60" i="1" s="1"/>
  <c r="HR60" i="1" s="1"/>
  <c r="HS60" i="1" s="1"/>
  <c r="HT60" i="1" s="1"/>
  <c r="HU60" i="1" s="1"/>
  <c r="HV60" i="1" s="1"/>
  <c r="HW60" i="1" s="1"/>
  <c r="HX60" i="1" s="1"/>
  <c r="HY60" i="1" s="1"/>
  <c r="HZ60" i="1" s="1"/>
  <c r="IA60" i="1" s="1"/>
  <c r="IB60" i="1" s="1"/>
  <c r="IC60" i="1" s="1"/>
  <c r="ID60" i="1" s="1"/>
  <c r="IE60" i="1" s="1"/>
  <c r="IF60" i="1" s="1"/>
  <c r="IG60" i="1" s="1"/>
  <c r="IH60" i="1" s="1"/>
  <c r="II60" i="1" s="1"/>
  <c r="IJ60" i="1" s="1"/>
  <c r="IK60" i="1" s="1"/>
  <c r="IL60" i="1" s="1"/>
  <c r="IM60" i="1" s="1"/>
  <c r="IN60" i="1" s="1"/>
  <c r="IO60" i="1" s="1"/>
  <c r="IP60" i="1" s="1"/>
  <c r="IQ60" i="1" s="1"/>
  <c r="IR60" i="1" s="1"/>
  <c r="EW130" i="1"/>
  <c r="EX130" i="1" s="1"/>
  <c r="EY130" i="1" s="1"/>
  <c r="EZ130" i="1" s="1"/>
  <c r="FA130" i="1" s="1"/>
  <c r="FB130" i="1" s="1"/>
  <c r="FC130" i="1" s="1"/>
  <c r="FD130" i="1" s="1"/>
  <c r="FE130" i="1" s="1"/>
  <c r="FF130" i="1" s="1"/>
  <c r="FG130" i="1" s="1"/>
  <c r="FH130" i="1" s="1"/>
  <c r="FI130" i="1" s="1"/>
  <c r="FJ130" i="1" s="1"/>
  <c r="FK130" i="1" s="1"/>
  <c r="FL130" i="1" s="1"/>
  <c r="FM130" i="1" s="1"/>
  <c r="FN130" i="1" s="1"/>
  <c r="FO130" i="1" s="1"/>
  <c r="FP130" i="1" s="1"/>
  <c r="FQ130" i="1" s="1"/>
  <c r="FR130" i="1" s="1"/>
  <c r="FS130" i="1" s="1"/>
  <c r="FT130" i="1" s="1"/>
  <c r="FU130" i="1" s="1"/>
  <c r="FV130" i="1" s="1"/>
  <c r="FW130" i="1" s="1"/>
  <c r="FX130" i="1" s="1"/>
  <c r="FY130" i="1" s="1"/>
  <c r="FZ130" i="1" s="1"/>
  <c r="GA130" i="1" s="1"/>
  <c r="GB130" i="1" s="1"/>
  <c r="GC130" i="1" s="1"/>
  <c r="GD130" i="1" s="1"/>
  <c r="GE130" i="1" s="1"/>
  <c r="GF130" i="1" s="1"/>
  <c r="GG130" i="1" s="1"/>
  <c r="GH130" i="1" s="1"/>
  <c r="GI130" i="1" s="1"/>
  <c r="GJ130" i="1" s="1"/>
  <c r="GK130" i="1" s="1"/>
  <c r="GL130" i="1" s="1"/>
  <c r="GM130" i="1" s="1"/>
  <c r="GN130" i="1" s="1"/>
  <c r="GO130" i="1" s="1"/>
  <c r="GP130" i="1" s="1"/>
  <c r="GQ130" i="1" s="1"/>
  <c r="GR130" i="1" s="1"/>
  <c r="GS130" i="1" s="1"/>
  <c r="GT130" i="1" s="1"/>
  <c r="GU130" i="1" s="1"/>
  <c r="GV130" i="1" s="1"/>
  <c r="GW130" i="1" s="1"/>
  <c r="GX130" i="1" s="1"/>
  <c r="GY130" i="1" s="1"/>
  <c r="GZ130" i="1" s="1"/>
  <c r="HA130" i="1" s="1"/>
  <c r="HB130" i="1" s="1"/>
  <c r="HC130" i="1" s="1"/>
  <c r="HD130" i="1" s="1"/>
  <c r="HE130" i="1" s="1"/>
  <c r="HF130" i="1" s="1"/>
  <c r="HG130" i="1" s="1"/>
  <c r="HH130" i="1" s="1"/>
  <c r="HI130" i="1" s="1"/>
  <c r="HJ130" i="1" s="1"/>
  <c r="HK130" i="1" s="1"/>
  <c r="HL130" i="1" s="1"/>
  <c r="HM130" i="1" s="1"/>
  <c r="HN130" i="1" s="1"/>
  <c r="HO130" i="1" s="1"/>
  <c r="HP130" i="1" s="1"/>
  <c r="HQ130" i="1" s="1"/>
  <c r="HR130" i="1" s="1"/>
  <c r="HS130" i="1" s="1"/>
  <c r="HT130" i="1" s="1"/>
  <c r="HU130" i="1" s="1"/>
  <c r="HV130" i="1" s="1"/>
  <c r="HW130" i="1" s="1"/>
  <c r="HX130" i="1" s="1"/>
  <c r="HY130" i="1" s="1"/>
  <c r="HZ130" i="1" s="1"/>
  <c r="IA130" i="1" s="1"/>
  <c r="IB130" i="1" s="1"/>
  <c r="IC130" i="1" s="1"/>
  <c r="ID130" i="1" s="1"/>
  <c r="IE130" i="1" s="1"/>
  <c r="IF130" i="1" s="1"/>
  <c r="IG130" i="1" s="1"/>
  <c r="IH130" i="1" s="1"/>
  <c r="II130" i="1" s="1"/>
  <c r="IJ130" i="1" s="1"/>
  <c r="IK130" i="1" s="1"/>
  <c r="IL130" i="1" s="1"/>
  <c r="IM130" i="1" s="1"/>
  <c r="IN130" i="1" s="1"/>
  <c r="IO130" i="1" s="1"/>
  <c r="IP130" i="1" s="1"/>
  <c r="IQ130" i="1" s="1"/>
  <c r="IR130" i="1" s="1"/>
  <c r="EW44" i="1"/>
  <c r="EX44" i="1" s="1"/>
  <c r="EY44" i="1" s="1"/>
  <c r="EZ44" i="1" s="1"/>
  <c r="FA44" i="1" s="1"/>
  <c r="FB44" i="1" s="1"/>
  <c r="FC44" i="1" s="1"/>
  <c r="FD44" i="1" s="1"/>
  <c r="FE44" i="1" s="1"/>
  <c r="FF44" i="1" s="1"/>
  <c r="FG44" i="1" s="1"/>
  <c r="FH44" i="1" s="1"/>
  <c r="FI44" i="1" s="1"/>
  <c r="FJ44" i="1" s="1"/>
  <c r="FK44" i="1" s="1"/>
  <c r="FL44" i="1" s="1"/>
  <c r="FM44" i="1" s="1"/>
  <c r="FN44" i="1" s="1"/>
  <c r="FO44" i="1" s="1"/>
  <c r="FP44" i="1" s="1"/>
  <c r="FQ44" i="1" s="1"/>
  <c r="FR44" i="1" s="1"/>
  <c r="FS44" i="1" s="1"/>
  <c r="FT44" i="1" s="1"/>
  <c r="FU44" i="1" s="1"/>
  <c r="FV44" i="1" s="1"/>
  <c r="FW44" i="1" s="1"/>
  <c r="FX44" i="1" s="1"/>
  <c r="FY44" i="1" s="1"/>
  <c r="FZ44" i="1" s="1"/>
  <c r="GA44" i="1" s="1"/>
  <c r="GB44" i="1" s="1"/>
  <c r="GC44" i="1" s="1"/>
  <c r="GD44" i="1" s="1"/>
  <c r="GE44" i="1" s="1"/>
  <c r="GF44" i="1" s="1"/>
  <c r="GG44" i="1" s="1"/>
  <c r="GH44" i="1" s="1"/>
  <c r="GI44" i="1" s="1"/>
  <c r="GJ44" i="1" s="1"/>
  <c r="GK44" i="1" s="1"/>
  <c r="GL44" i="1" s="1"/>
  <c r="GM44" i="1" s="1"/>
  <c r="GN44" i="1" s="1"/>
  <c r="GO44" i="1" s="1"/>
  <c r="GP44" i="1" s="1"/>
  <c r="GQ44" i="1" s="1"/>
  <c r="GR44" i="1" s="1"/>
  <c r="GS44" i="1" s="1"/>
  <c r="GT44" i="1" s="1"/>
  <c r="GU44" i="1" s="1"/>
  <c r="GV44" i="1" s="1"/>
  <c r="GW44" i="1" s="1"/>
  <c r="GX44" i="1" s="1"/>
  <c r="GY44" i="1" s="1"/>
  <c r="GZ44" i="1" s="1"/>
  <c r="HA44" i="1" s="1"/>
  <c r="HB44" i="1" s="1"/>
  <c r="HC44" i="1" s="1"/>
  <c r="HD44" i="1" s="1"/>
  <c r="HE44" i="1" s="1"/>
  <c r="HF44" i="1" s="1"/>
  <c r="HG44" i="1" s="1"/>
  <c r="HH44" i="1" s="1"/>
  <c r="HI44" i="1" s="1"/>
  <c r="HJ44" i="1" s="1"/>
  <c r="HK44" i="1" s="1"/>
  <c r="HL44" i="1" s="1"/>
  <c r="HM44" i="1" s="1"/>
  <c r="HN44" i="1" s="1"/>
  <c r="HO44" i="1" s="1"/>
  <c r="HP44" i="1" s="1"/>
  <c r="HQ44" i="1" s="1"/>
  <c r="HR44" i="1" s="1"/>
  <c r="HS44" i="1" s="1"/>
  <c r="HT44" i="1" s="1"/>
  <c r="HU44" i="1" s="1"/>
  <c r="HV44" i="1" s="1"/>
  <c r="HW44" i="1" s="1"/>
  <c r="HX44" i="1" s="1"/>
  <c r="HY44" i="1" s="1"/>
  <c r="HZ44" i="1" s="1"/>
  <c r="IA44" i="1" s="1"/>
  <c r="IB44" i="1" s="1"/>
  <c r="IC44" i="1" s="1"/>
  <c r="ID44" i="1" s="1"/>
  <c r="IE44" i="1" s="1"/>
  <c r="IF44" i="1" s="1"/>
  <c r="IG44" i="1" s="1"/>
  <c r="IH44" i="1" s="1"/>
  <c r="II44" i="1" s="1"/>
  <c r="IJ44" i="1" s="1"/>
  <c r="IK44" i="1" s="1"/>
  <c r="IL44" i="1" s="1"/>
  <c r="IM44" i="1" s="1"/>
  <c r="IN44" i="1" s="1"/>
  <c r="IO44" i="1" s="1"/>
  <c r="IP44" i="1" s="1"/>
  <c r="IQ44" i="1" s="1"/>
  <c r="IR44" i="1" s="1"/>
  <c r="CK44" i="1"/>
  <c r="BU44" i="1"/>
  <c r="BE44" i="1"/>
  <c r="CL44" i="1"/>
  <c r="BV44" i="1"/>
  <c r="BF44" i="1"/>
  <c r="CN44" i="1"/>
  <c r="BX44" i="1"/>
  <c r="BH44" i="1"/>
  <c r="CO44" i="1"/>
  <c r="BY44" i="1"/>
  <c r="BI44" i="1"/>
  <c r="CP44" i="1"/>
  <c r="BZ44" i="1"/>
  <c r="BJ44" i="1"/>
  <c r="CQ44" i="1"/>
  <c r="CA44" i="1"/>
  <c r="BK44" i="1"/>
  <c r="BG44" i="1"/>
  <c r="CR44" i="1"/>
  <c r="CB44" i="1"/>
  <c r="BL44" i="1"/>
  <c r="CS44" i="1"/>
  <c r="CC44" i="1"/>
  <c r="BM44" i="1"/>
  <c r="CT44" i="1"/>
  <c r="CD44" i="1"/>
  <c r="BN44" i="1"/>
  <c r="CU44" i="1"/>
  <c r="CE44" i="1"/>
  <c r="BO44" i="1"/>
  <c r="CV44" i="1"/>
  <c r="CF44" i="1"/>
  <c r="BP44" i="1"/>
  <c r="AZ44" i="1"/>
  <c r="CW44" i="1"/>
  <c r="CG44" i="1"/>
  <c r="BQ44" i="1"/>
  <c r="BA44" i="1"/>
  <c r="CM44" i="1"/>
  <c r="CH44" i="1"/>
  <c r="BR44" i="1"/>
  <c r="BB44" i="1"/>
  <c r="BW44" i="1"/>
  <c r="CI44" i="1"/>
  <c r="BS44" i="1"/>
  <c r="BC44" i="1"/>
  <c r="CJ44" i="1"/>
  <c r="BT44" i="1"/>
  <c r="BD44" i="1"/>
  <c r="AV44" i="1"/>
  <c r="CK98" i="1"/>
  <c r="BU98" i="1"/>
  <c r="BE98" i="1"/>
  <c r="CL98" i="1"/>
  <c r="BV98" i="1"/>
  <c r="BF98" i="1"/>
  <c r="CM98" i="1"/>
  <c r="BW98" i="1"/>
  <c r="BG98" i="1"/>
  <c r="CN98" i="1"/>
  <c r="BX98" i="1"/>
  <c r="BH98" i="1"/>
  <c r="CO98" i="1"/>
  <c r="BY98" i="1"/>
  <c r="BI98" i="1"/>
  <c r="CP98" i="1"/>
  <c r="BZ98" i="1"/>
  <c r="BJ98" i="1"/>
  <c r="CQ98" i="1"/>
  <c r="CA98" i="1"/>
  <c r="BK98" i="1"/>
  <c r="CR98" i="1"/>
  <c r="CB98" i="1"/>
  <c r="BL98" i="1"/>
  <c r="CS98" i="1"/>
  <c r="CC98" i="1"/>
  <c r="BM98" i="1"/>
  <c r="CT98" i="1"/>
  <c r="CD98" i="1"/>
  <c r="BN98" i="1"/>
  <c r="CU98" i="1"/>
  <c r="CE98" i="1"/>
  <c r="BO98" i="1"/>
  <c r="CV98" i="1"/>
  <c r="CF98" i="1"/>
  <c r="BP98" i="1"/>
  <c r="AZ98" i="1"/>
  <c r="CW98" i="1"/>
  <c r="CG98" i="1"/>
  <c r="BQ98" i="1"/>
  <c r="BA98" i="1"/>
  <c r="CH98" i="1"/>
  <c r="BR98" i="1"/>
  <c r="BB98" i="1"/>
  <c r="CI98" i="1"/>
  <c r="BS98" i="1"/>
  <c r="BC98" i="1"/>
  <c r="CJ98" i="1"/>
  <c r="BT98" i="1"/>
  <c r="BD98" i="1"/>
  <c r="AV98" i="1"/>
  <c r="AV123" i="1"/>
  <c r="CM150" i="1"/>
  <c r="BW150" i="1"/>
  <c r="BG150" i="1"/>
  <c r="CN150" i="1"/>
  <c r="BX150" i="1"/>
  <c r="BH150" i="1"/>
  <c r="CO150" i="1"/>
  <c r="BY150" i="1"/>
  <c r="BI150" i="1"/>
  <c r="CP150" i="1"/>
  <c r="BZ150" i="1"/>
  <c r="BJ150" i="1"/>
  <c r="CQ150" i="1"/>
  <c r="CA150" i="1"/>
  <c r="BK150" i="1"/>
  <c r="CR150" i="1"/>
  <c r="CB150" i="1"/>
  <c r="BL150" i="1"/>
  <c r="CS150" i="1"/>
  <c r="CC150" i="1"/>
  <c r="BM150" i="1"/>
  <c r="CT150" i="1"/>
  <c r="CD150" i="1"/>
  <c r="BN150" i="1"/>
  <c r="CU150" i="1"/>
  <c r="CE150" i="1"/>
  <c r="BO150" i="1"/>
  <c r="CV150" i="1"/>
  <c r="CF150" i="1"/>
  <c r="BP150" i="1"/>
  <c r="AZ150" i="1"/>
  <c r="CW150" i="1"/>
  <c r="CG150" i="1"/>
  <c r="BQ150" i="1"/>
  <c r="BA150" i="1"/>
  <c r="CH150" i="1"/>
  <c r="BR150" i="1"/>
  <c r="BB150" i="1"/>
  <c r="CI150" i="1"/>
  <c r="BS150" i="1"/>
  <c r="BC150" i="1"/>
  <c r="CJ150" i="1"/>
  <c r="BT150" i="1"/>
  <c r="BD150" i="1"/>
  <c r="CK150" i="1"/>
  <c r="BU150" i="1"/>
  <c r="BE150" i="1"/>
  <c r="CL150" i="1"/>
  <c r="BV150" i="1"/>
  <c r="BF150" i="1"/>
  <c r="AV150" i="1"/>
  <c r="CI74" i="1"/>
  <c r="BS74" i="1"/>
  <c r="BC74" i="1"/>
  <c r="CJ74" i="1"/>
  <c r="BT74" i="1"/>
  <c r="BD74" i="1"/>
  <c r="CK74" i="1"/>
  <c r="BU74" i="1"/>
  <c r="BE74" i="1"/>
  <c r="CL74" i="1"/>
  <c r="BV74" i="1"/>
  <c r="BF74" i="1"/>
  <c r="CM74" i="1"/>
  <c r="BW74" i="1"/>
  <c r="BG74" i="1"/>
  <c r="CN74" i="1"/>
  <c r="BX74" i="1"/>
  <c r="BH74" i="1"/>
  <c r="CO74" i="1"/>
  <c r="BY74" i="1"/>
  <c r="BI74" i="1"/>
  <c r="CP74" i="1"/>
  <c r="BZ74" i="1"/>
  <c r="BJ74" i="1"/>
  <c r="CQ74" i="1"/>
  <c r="CA74" i="1"/>
  <c r="BK74" i="1"/>
  <c r="CR74" i="1"/>
  <c r="CB74" i="1"/>
  <c r="BL74" i="1"/>
  <c r="CS74" i="1"/>
  <c r="CC74" i="1"/>
  <c r="BM74" i="1"/>
  <c r="CT74" i="1"/>
  <c r="CD74" i="1"/>
  <c r="BN74" i="1"/>
  <c r="CU74" i="1"/>
  <c r="CE74" i="1"/>
  <c r="BO74" i="1"/>
  <c r="CV74" i="1"/>
  <c r="CF74" i="1"/>
  <c r="BP74" i="1"/>
  <c r="AZ74" i="1"/>
  <c r="CW74" i="1"/>
  <c r="CG74" i="1"/>
  <c r="BQ74" i="1"/>
  <c r="BA74" i="1"/>
  <c r="CH74" i="1"/>
  <c r="BR74" i="1"/>
  <c r="BB74" i="1"/>
  <c r="AV74" i="1"/>
  <c r="AV155" i="1"/>
  <c r="EW45" i="1"/>
  <c r="EX45" i="1" s="1"/>
  <c r="EY45" i="1" s="1"/>
  <c r="EZ45" i="1" s="1"/>
  <c r="FA45" i="1" s="1"/>
  <c r="FB45" i="1" s="1"/>
  <c r="FC45" i="1" s="1"/>
  <c r="FD45" i="1" s="1"/>
  <c r="FE45" i="1" s="1"/>
  <c r="FF45" i="1" s="1"/>
  <c r="FG45" i="1" s="1"/>
  <c r="FH45" i="1" s="1"/>
  <c r="FI45" i="1" s="1"/>
  <c r="FJ45" i="1" s="1"/>
  <c r="FK45" i="1" s="1"/>
  <c r="FL45" i="1" s="1"/>
  <c r="FM45" i="1" s="1"/>
  <c r="FN45" i="1" s="1"/>
  <c r="FO45" i="1" s="1"/>
  <c r="FP45" i="1" s="1"/>
  <c r="FQ45" i="1" s="1"/>
  <c r="FR45" i="1" s="1"/>
  <c r="FS45" i="1" s="1"/>
  <c r="FT45" i="1" s="1"/>
  <c r="FU45" i="1" s="1"/>
  <c r="FV45" i="1" s="1"/>
  <c r="FW45" i="1" s="1"/>
  <c r="FX45" i="1" s="1"/>
  <c r="FY45" i="1" s="1"/>
  <c r="FZ45" i="1" s="1"/>
  <c r="GA45" i="1" s="1"/>
  <c r="GB45" i="1" s="1"/>
  <c r="GC45" i="1" s="1"/>
  <c r="GD45" i="1" s="1"/>
  <c r="GE45" i="1" s="1"/>
  <c r="GF45" i="1" s="1"/>
  <c r="GG45" i="1" s="1"/>
  <c r="GH45" i="1" s="1"/>
  <c r="GI45" i="1" s="1"/>
  <c r="GJ45" i="1" s="1"/>
  <c r="GK45" i="1" s="1"/>
  <c r="GL45" i="1" s="1"/>
  <c r="GM45" i="1" s="1"/>
  <c r="GN45" i="1" s="1"/>
  <c r="GO45" i="1" s="1"/>
  <c r="GP45" i="1" s="1"/>
  <c r="GQ45" i="1" s="1"/>
  <c r="GR45" i="1" s="1"/>
  <c r="GS45" i="1" s="1"/>
  <c r="GT45" i="1" s="1"/>
  <c r="GU45" i="1" s="1"/>
  <c r="GV45" i="1" s="1"/>
  <c r="GW45" i="1" s="1"/>
  <c r="GX45" i="1" s="1"/>
  <c r="GY45" i="1" s="1"/>
  <c r="GZ45" i="1" s="1"/>
  <c r="HA45" i="1" s="1"/>
  <c r="HB45" i="1" s="1"/>
  <c r="HC45" i="1" s="1"/>
  <c r="HD45" i="1" s="1"/>
  <c r="HE45" i="1" s="1"/>
  <c r="HF45" i="1" s="1"/>
  <c r="HG45" i="1" s="1"/>
  <c r="HH45" i="1" s="1"/>
  <c r="HI45" i="1" s="1"/>
  <c r="HJ45" i="1" s="1"/>
  <c r="HK45" i="1" s="1"/>
  <c r="HL45" i="1" s="1"/>
  <c r="HM45" i="1" s="1"/>
  <c r="HN45" i="1" s="1"/>
  <c r="HO45" i="1" s="1"/>
  <c r="HP45" i="1" s="1"/>
  <c r="HQ45" i="1" s="1"/>
  <c r="HR45" i="1" s="1"/>
  <c r="HS45" i="1" s="1"/>
  <c r="HT45" i="1" s="1"/>
  <c r="HU45" i="1" s="1"/>
  <c r="HV45" i="1" s="1"/>
  <c r="HW45" i="1" s="1"/>
  <c r="HX45" i="1" s="1"/>
  <c r="HY45" i="1" s="1"/>
  <c r="HZ45" i="1" s="1"/>
  <c r="IA45" i="1" s="1"/>
  <c r="IB45" i="1" s="1"/>
  <c r="IC45" i="1" s="1"/>
  <c r="ID45" i="1" s="1"/>
  <c r="IE45" i="1" s="1"/>
  <c r="IF45" i="1" s="1"/>
  <c r="IG45" i="1" s="1"/>
  <c r="IH45" i="1" s="1"/>
  <c r="II45" i="1" s="1"/>
  <c r="IJ45" i="1" s="1"/>
  <c r="IK45" i="1" s="1"/>
  <c r="IL45" i="1" s="1"/>
  <c r="IM45" i="1" s="1"/>
  <c r="IN45" i="1" s="1"/>
  <c r="IO45" i="1" s="1"/>
  <c r="IP45" i="1" s="1"/>
  <c r="IQ45" i="1" s="1"/>
  <c r="IR45" i="1" s="1"/>
  <c r="CI45" i="1"/>
  <c r="BS45" i="1"/>
  <c r="BC45" i="1"/>
  <c r="CJ45" i="1"/>
  <c r="BT45" i="1"/>
  <c r="BD45" i="1"/>
  <c r="CL45" i="1"/>
  <c r="BV45" i="1"/>
  <c r="BF45" i="1"/>
  <c r="BU45" i="1"/>
  <c r="CM45" i="1"/>
  <c r="BW45" i="1"/>
  <c r="BG45" i="1"/>
  <c r="CN45" i="1"/>
  <c r="BX45" i="1"/>
  <c r="BH45" i="1"/>
  <c r="CK45" i="1"/>
  <c r="CO45" i="1"/>
  <c r="BY45" i="1"/>
  <c r="BI45" i="1"/>
  <c r="CP45" i="1"/>
  <c r="BZ45" i="1"/>
  <c r="BJ45" i="1"/>
  <c r="CQ45" i="1"/>
  <c r="CA45" i="1"/>
  <c r="BK45" i="1"/>
  <c r="BE45" i="1"/>
  <c r="CR45" i="1"/>
  <c r="CB45" i="1"/>
  <c r="BL45" i="1"/>
  <c r="CS45" i="1"/>
  <c r="CC45" i="1"/>
  <c r="BM45" i="1"/>
  <c r="CT45" i="1"/>
  <c r="CD45" i="1"/>
  <c r="BN45" i="1"/>
  <c r="CU45" i="1"/>
  <c r="CE45" i="1"/>
  <c r="BO45" i="1"/>
  <c r="CV45" i="1"/>
  <c r="CF45" i="1"/>
  <c r="BP45" i="1"/>
  <c r="AZ45" i="1"/>
  <c r="CW45" i="1"/>
  <c r="CG45" i="1"/>
  <c r="BQ45" i="1"/>
  <c r="BA45" i="1"/>
  <c r="CH45" i="1"/>
  <c r="BR45" i="1"/>
  <c r="BB45" i="1"/>
  <c r="AV45" i="1"/>
  <c r="CI99" i="1"/>
  <c r="BS99" i="1"/>
  <c r="BC99" i="1"/>
  <c r="CJ99" i="1"/>
  <c r="BT99" i="1"/>
  <c r="BD99" i="1"/>
  <c r="CK99" i="1"/>
  <c r="BU99" i="1"/>
  <c r="BE99" i="1"/>
  <c r="CL99" i="1"/>
  <c r="BV99" i="1"/>
  <c r="BF99" i="1"/>
  <c r="CM99" i="1"/>
  <c r="BW99" i="1"/>
  <c r="BG99" i="1"/>
  <c r="CN99" i="1"/>
  <c r="BX99" i="1"/>
  <c r="BH99" i="1"/>
  <c r="CO99" i="1"/>
  <c r="BY99" i="1"/>
  <c r="BI99" i="1"/>
  <c r="CP99" i="1"/>
  <c r="BZ99" i="1"/>
  <c r="BJ99" i="1"/>
  <c r="CQ99" i="1"/>
  <c r="CA99" i="1"/>
  <c r="BK99" i="1"/>
  <c r="CR99" i="1"/>
  <c r="CB99" i="1"/>
  <c r="BL99" i="1"/>
  <c r="CS99" i="1"/>
  <c r="CC99" i="1"/>
  <c r="BM99" i="1"/>
  <c r="CT99" i="1"/>
  <c r="CD99" i="1"/>
  <c r="BN99" i="1"/>
  <c r="CU99" i="1"/>
  <c r="CE99" i="1"/>
  <c r="BO99" i="1"/>
  <c r="CV99" i="1"/>
  <c r="CF99" i="1"/>
  <c r="BP99" i="1"/>
  <c r="AZ99" i="1"/>
  <c r="CW99" i="1"/>
  <c r="CG99" i="1"/>
  <c r="BQ99" i="1"/>
  <c r="BA99" i="1"/>
  <c r="CH99" i="1"/>
  <c r="BR99" i="1"/>
  <c r="BB99" i="1"/>
  <c r="AV99" i="1"/>
  <c r="AV87" i="1"/>
  <c r="AV126" i="1"/>
  <c r="AV129" i="1"/>
  <c r="EW46" i="1"/>
  <c r="EX46" i="1" s="1"/>
  <c r="EY46" i="1" s="1"/>
  <c r="EZ46" i="1" s="1"/>
  <c r="FA46" i="1" s="1"/>
  <c r="FB46" i="1" s="1"/>
  <c r="FC46" i="1" s="1"/>
  <c r="FD46" i="1" s="1"/>
  <c r="FE46" i="1" s="1"/>
  <c r="FF46" i="1" s="1"/>
  <c r="FG46" i="1" s="1"/>
  <c r="FH46" i="1" s="1"/>
  <c r="FI46" i="1" s="1"/>
  <c r="FJ46" i="1" s="1"/>
  <c r="FK46" i="1" s="1"/>
  <c r="FL46" i="1" s="1"/>
  <c r="FM46" i="1" s="1"/>
  <c r="FN46" i="1" s="1"/>
  <c r="FO46" i="1" s="1"/>
  <c r="FP46" i="1" s="1"/>
  <c r="FQ46" i="1" s="1"/>
  <c r="FR46" i="1" s="1"/>
  <c r="FS46" i="1" s="1"/>
  <c r="FT46" i="1" s="1"/>
  <c r="FU46" i="1" s="1"/>
  <c r="FV46" i="1" s="1"/>
  <c r="FW46" i="1" s="1"/>
  <c r="FX46" i="1" s="1"/>
  <c r="FY46" i="1" s="1"/>
  <c r="FZ46" i="1" s="1"/>
  <c r="GA46" i="1" s="1"/>
  <c r="GB46" i="1" s="1"/>
  <c r="GC46" i="1" s="1"/>
  <c r="GD46" i="1" s="1"/>
  <c r="GE46" i="1" s="1"/>
  <c r="GF46" i="1" s="1"/>
  <c r="GG46" i="1" s="1"/>
  <c r="GH46" i="1" s="1"/>
  <c r="GI46" i="1" s="1"/>
  <c r="GJ46" i="1" s="1"/>
  <c r="GK46" i="1" s="1"/>
  <c r="GL46" i="1" s="1"/>
  <c r="GM46" i="1" s="1"/>
  <c r="GN46" i="1" s="1"/>
  <c r="GO46" i="1" s="1"/>
  <c r="GP46" i="1" s="1"/>
  <c r="GQ46" i="1" s="1"/>
  <c r="GR46" i="1" s="1"/>
  <c r="GS46" i="1" s="1"/>
  <c r="GT46" i="1" s="1"/>
  <c r="GU46" i="1" s="1"/>
  <c r="GV46" i="1" s="1"/>
  <c r="GW46" i="1" s="1"/>
  <c r="GX46" i="1" s="1"/>
  <c r="GY46" i="1" s="1"/>
  <c r="GZ46" i="1" s="1"/>
  <c r="HA46" i="1" s="1"/>
  <c r="HB46" i="1" s="1"/>
  <c r="HC46" i="1" s="1"/>
  <c r="HD46" i="1" s="1"/>
  <c r="HE46" i="1" s="1"/>
  <c r="HF46" i="1" s="1"/>
  <c r="HG46" i="1" s="1"/>
  <c r="HH46" i="1" s="1"/>
  <c r="HI46" i="1" s="1"/>
  <c r="HJ46" i="1" s="1"/>
  <c r="HK46" i="1" s="1"/>
  <c r="HL46" i="1" s="1"/>
  <c r="HM46" i="1" s="1"/>
  <c r="HN46" i="1" s="1"/>
  <c r="HO46" i="1" s="1"/>
  <c r="HP46" i="1" s="1"/>
  <c r="HQ46" i="1" s="1"/>
  <c r="HR46" i="1" s="1"/>
  <c r="HS46" i="1" s="1"/>
  <c r="HT46" i="1" s="1"/>
  <c r="HU46" i="1" s="1"/>
  <c r="HV46" i="1" s="1"/>
  <c r="HW46" i="1" s="1"/>
  <c r="HX46" i="1" s="1"/>
  <c r="HY46" i="1" s="1"/>
  <c r="HZ46" i="1" s="1"/>
  <c r="IA46" i="1" s="1"/>
  <c r="IB46" i="1" s="1"/>
  <c r="IC46" i="1" s="1"/>
  <c r="ID46" i="1" s="1"/>
  <c r="IE46" i="1" s="1"/>
  <c r="IF46" i="1" s="1"/>
  <c r="IG46" i="1" s="1"/>
  <c r="IH46" i="1" s="1"/>
  <c r="II46" i="1" s="1"/>
  <c r="IJ46" i="1" s="1"/>
  <c r="IK46" i="1" s="1"/>
  <c r="IL46" i="1" s="1"/>
  <c r="IM46" i="1" s="1"/>
  <c r="IN46" i="1" s="1"/>
  <c r="IO46" i="1" s="1"/>
  <c r="IP46" i="1" s="1"/>
  <c r="IQ46" i="1" s="1"/>
  <c r="IR46" i="1" s="1"/>
  <c r="CW46" i="1"/>
  <c r="CG46" i="1"/>
  <c r="BQ46" i="1"/>
  <c r="BA46" i="1"/>
  <c r="CH46" i="1"/>
  <c r="BR46" i="1"/>
  <c r="BB46" i="1"/>
  <c r="CJ46" i="1"/>
  <c r="BT46" i="1"/>
  <c r="BD46" i="1"/>
  <c r="CK46" i="1"/>
  <c r="BU46" i="1"/>
  <c r="BE46" i="1"/>
  <c r="CL46" i="1"/>
  <c r="BV46" i="1"/>
  <c r="BF46" i="1"/>
  <c r="CM46" i="1"/>
  <c r="BW46" i="1"/>
  <c r="BG46" i="1"/>
  <c r="CN46" i="1"/>
  <c r="BX46" i="1"/>
  <c r="BH46" i="1"/>
  <c r="BS46" i="1"/>
  <c r="CO46" i="1"/>
  <c r="BY46" i="1"/>
  <c r="BI46" i="1"/>
  <c r="CP46" i="1"/>
  <c r="BZ46" i="1"/>
  <c r="BJ46" i="1"/>
  <c r="CQ46" i="1"/>
  <c r="CA46" i="1"/>
  <c r="BK46" i="1"/>
  <c r="CR46" i="1"/>
  <c r="CB46" i="1"/>
  <c r="BL46" i="1"/>
  <c r="BC46" i="1"/>
  <c r="CS46" i="1"/>
  <c r="CC46" i="1"/>
  <c r="BM46" i="1"/>
  <c r="CT46" i="1"/>
  <c r="CD46" i="1"/>
  <c r="BN46" i="1"/>
  <c r="CU46" i="1"/>
  <c r="CE46" i="1"/>
  <c r="BO46" i="1"/>
  <c r="CI46" i="1"/>
  <c r="CV46" i="1"/>
  <c r="CF46" i="1"/>
  <c r="BP46" i="1"/>
  <c r="AZ46" i="1"/>
  <c r="AV46" i="1"/>
  <c r="AV116" i="1"/>
  <c r="AV85" i="1"/>
  <c r="CU156" i="1"/>
  <c r="CE156" i="1"/>
  <c r="BO156" i="1"/>
  <c r="CV156" i="1"/>
  <c r="CF156" i="1"/>
  <c r="BP156" i="1"/>
  <c r="AZ156" i="1"/>
  <c r="CW156" i="1"/>
  <c r="CG156" i="1"/>
  <c r="BQ156" i="1"/>
  <c r="BA156" i="1"/>
  <c r="CH156" i="1"/>
  <c r="BR156" i="1"/>
  <c r="BB156" i="1"/>
  <c r="CI156" i="1"/>
  <c r="BS156" i="1"/>
  <c r="BC156" i="1"/>
  <c r="CJ156" i="1"/>
  <c r="BT156" i="1"/>
  <c r="BD156" i="1"/>
  <c r="CK156" i="1"/>
  <c r="BU156" i="1"/>
  <c r="BE156" i="1"/>
  <c r="CL156" i="1"/>
  <c r="BV156" i="1"/>
  <c r="BF156" i="1"/>
  <c r="CM156" i="1"/>
  <c r="BW156" i="1"/>
  <c r="BG156" i="1"/>
  <c r="CN156" i="1"/>
  <c r="BX156" i="1"/>
  <c r="BH156" i="1"/>
  <c r="CO156" i="1"/>
  <c r="BY156" i="1"/>
  <c r="BI156" i="1"/>
  <c r="CP156" i="1"/>
  <c r="BZ156" i="1"/>
  <c r="BJ156" i="1"/>
  <c r="CQ156" i="1"/>
  <c r="CA156" i="1"/>
  <c r="BK156" i="1"/>
  <c r="CR156" i="1"/>
  <c r="CB156" i="1"/>
  <c r="BL156" i="1"/>
  <c r="CS156" i="1"/>
  <c r="CC156" i="1"/>
  <c r="BM156" i="1"/>
  <c r="CT156" i="1"/>
  <c r="CD156" i="1"/>
  <c r="BN156" i="1"/>
  <c r="AV156" i="1"/>
  <c r="CS68" i="1"/>
  <c r="CC68" i="1"/>
  <c r="BM68" i="1"/>
  <c r="CT68" i="1"/>
  <c r="CD68" i="1"/>
  <c r="BN68" i="1"/>
  <c r="CU68" i="1"/>
  <c r="CE68" i="1"/>
  <c r="BO68" i="1"/>
  <c r="CV68" i="1"/>
  <c r="CF68" i="1"/>
  <c r="BP68" i="1"/>
  <c r="AZ68" i="1"/>
  <c r="CW68" i="1"/>
  <c r="CG68" i="1"/>
  <c r="BQ68" i="1"/>
  <c r="BA68" i="1"/>
  <c r="CH68" i="1"/>
  <c r="BR68" i="1"/>
  <c r="BB68" i="1"/>
  <c r="CI68" i="1"/>
  <c r="BS68" i="1"/>
  <c r="BC68" i="1"/>
  <c r="CJ68" i="1"/>
  <c r="BT68" i="1"/>
  <c r="BD68" i="1"/>
  <c r="CK68" i="1"/>
  <c r="BU68" i="1"/>
  <c r="BE68" i="1"/>
  <c r="CL68" i="1"/>
  <c r="BV68" i="1"/>
  <c r="BF68" i="1"/>
  <c r="CM68" i="1"/>
  <c r="BW68" i="1"/>
  <c r="BG68" i="1"/>
  <c r="CN68" i="1"/>
  <c r="BX68" i="1"/>
  <c r="BH68" i="1"/>
  <c r="CO68" i="1"/>
  <c r="BY68" i="1"/>
  <c r="BI68" i="1"/>
  <c r="CP68" i="1"/>
  <c r="BZ68" i="1"/>
  <c r="BJ68" i="1"/>
  <c r="CQ68" i="1"/>
  <c r="CA68" i="1"/>
  <c r="BK68" i="1"/>
  <c r="CR68" i="1"/>
  <c r="CB68" i="1"/>
  <c r="BL68" i="1"/>
  <c r="AV68" i="1"/>
  <c r="AV93" i="1"/>
  <c r="AV117" i="1"/>
  <c r="AV105" i="1"/>
  <c r="EW53" i="1"/>
  <c r="EX53" i="1" s="1"/>
  <c r="EY53" i="1" s="1"/>
  <c r="EZ53" i="1" s="1"/>
  <c r="FA53" i="1" s="1"/>
  <c r="FB53" i="1" s="1"/>
  <c r="FC53" i="1" s="1"/>
  <c r="FD53" i="1" s="1"/>
  <c r="FE53" i="1" s="1"/>
  <c r="FF53" i="1" s="1"/>
  <c r="FG53" i="1" s="1"/>
  <c r="FH53" i="1" s="1"/>
  <c r="FI53" i="1" s="1"/>
  <c r="FJ53" i="1" s="1"/>
  <c r="FK53" i="1" s="1"/>
  <c r="FL53" i="1" s="1"/>
  <c r="FM53" i="1" s="1"/>
  <c r="FN53" i="1" s="1"/>
  <c r="FO53" i="1" s="1"/>
  <c r="FP53" i="1" s="1"/>
  <c r="FQ53" i="1" s="1"/>
  <c r="FR53" i="1" s="1"/>
  <c r="FS53" i="1" s="1"/>
  <c r="FT53" i="1" s="1"/>
  <c r="FU53" i="1" s="1"/>
  <c r="FV53" i="1" s="1"/>
  <c r="FW53" i="1" s="1"/>
  <c r="FX53" i="1" s="1"/>
  <c r="FY53" i="1" s="1"/>
  <c r="FZ53" i="1" s="1"/>
  <c r="GA53" i="1" s="1"/>
  <c r="GB53" i="1" s="1"/>
  <c r="GC53" i="1" s="1"/>
  <c r="GD53" i="1" s="1"/>
  <c r="GE53" i="1" s="1"/>
  <c r="GF53" i="1" s="1"/>
  <c r="GG53" i="1" s="1"/>
  <c r="GH53" i="1" s="1"/>
  <c r="GI53" i="1" s="1"/>
  <c r="GJ53" i="1" s="1"/>
  <c r="GK53" i="1" s="1"/>
  <c r="GL53" i="1" s="1"/>
  <c r="GM53" i="1" s="1"/>
  <c r="GN53" i="1" s="1"/>
  <c r="GO53" i="1" s="1"/>
  <c r="GP53" i="1" s="1"/>
  <c r="GQ53" i="1" s="1"/>
  <c r="GR53" i="1" s="1"/>
  <c r="GS53" i="1" s="1"/>
  <c r="GT53" i="1" s="1"/>
  <c r="GU53" i="1" s="1"/>
  <c r="GV53" i="1" s="1"/>
  <c r="GW53" i="1" s="1"/>
  <c r="GX53" i="1" s="1"/>
  <c r="GY53" i="1" s="1"/>
  <c r="GZ53" i="1" s="1"/>
  <c r="HA53" i="1" s="1"/>
  <c r="HB53" i="1" s="1"/>
  <c r="HC53" i="1" s="1"/>
  <c r="HD53" i="1" s="1"/>
  <c r="HE53" i="1" s="1"/>
  <c r="HF53" i="1" s="1"/>
  <c r="HG53" i="1" s="1"/>
  <c r="HH53" i="1" s="1"/>
  <c r="HI53" i="1" s="1"/>
  <c r="HJ53" i="1" s="1"/>
  <c r="HK53" i="1" s="1"/>
  <c r="HL53" i="1" s="1"/>
  <c r="HM53" i="1" s="1"/>
  <c r="HN53" i="1" s="1"/>
  <c r="HO53" i="1" s="1"/>
  <c r="HP53" i="1" s="1"/>
  <c r="HQ53" i="1" s="1"/>
  <c r="HR53" i="1" s="1"/>
  <c r="HS53" i="1" s="1"/>
  <c r="HT53" i="1" s="1"/>
  <c r="HU53" i="1" s="1"/>
  <c r="HV53" i="1" s="1"/>
  <c r="HW53" i="1" s="1"/>
  <c r="HX53" i="1" s="1"/>
  <c r="HY53" i="1" s="1"/>
  <c r="HZ53" i="1" s="1"/>
  <c r="IA53" i="1" s="1"/>
  <c r="IB53" i="1" s="1"/>
  <c r="IC53" i="1" s="1"/>
  <c r="ID53" i="1" s="1"/>
  <c r="IE53" i="1" s="1"/>
  <c r="IF53" i="1" s="1"/>
  <c r="IG53" i="1" s="1"/>
  <c r="IH53" i="1" s="1"/>
  <c r="II53" i="1" s="1"/>
  <c r="IJ53" i="1" s="1"/>
  <c r="IK53" i="1" s="1"/>
  <c r="IL53" i="1" s="1"/>
  <c r="IM53" i="1" s="1"/>
  <c r="IN53" i="1" s="1"/>
  <c r="IO53" i="1" s="1"/>
  <c r="IP53" i="1" s="1"/>
  <c r="IQ53" i="1" s="1"/>
  <c r="IR53" i="1" s="1"/>
  <c r="EW41" i="1"/>
  <c r="EX41" i="1" s="1"/>
  <c r="EY41" i="1" s="1"/>
  <c r="EZ41" i="1" s="1"/>
  <c r="FA41" i="1" s="1"/>
  <c r="FB41" i="1" s="1"/>
  <c r="FC41" i="1" s="1"/>
  <c r="FD41" i="1" s="1"/>
  <c r="FE41" i="1" s="1"/>
  <c r="FF41" i="1" s="1"/>
  <c r="FG41" i="1" s="1"/>
  <c r="FH41" i="1" s="1"/>
  <c r="FI41" i="1" s="1"/>
  <c r="FJ41" i="1" s="1"/>
  <c r="FK41" i="1" s="1"/>
  <c r="FL41" i="1" s="1"/>
  <c r="FM41" i="1" s="1"/>
  <c r="FN41" i="1" s="1"/>
  <c r="FO41" i="1" s="1"/>
  <c r="FP41" i="1" s="1"/>
  <c r="FQ41" i="1" s="1"/>
  <c r="FR41" i="1" s="1"/>
  <c r="FS41" i="1" s="1"/>
  <c r="FT41" i="1" s="1"/>
  <c r="FU41" i="1" s="1"/>
  <c r="FV41" i="1" s="1"/>
  <c r="FW41" i="1" s="1"/>
  <c r="FX41" i="1" s="1"/>
  <c r="FY41" i="1" s="1"/>
  <c r="FZ41" i="1" s="1"/>
  <c r="GA41" i="1" s="1"/>
  <c r="GB41" i="1" s="1"/>
  <c r="GC41" i="1" s="1"/>
  <c r="GD41" i="1" s="1"/>
  <c r="GE41" i="1" s="1"/>
  <c r="GF41" i="1" s="1"/>
  <c r="GG41" i="1" s="1"/>
  <c r="GH41" i="1" s="1"/>
  <c r="GI41" i="1" s="1"/>
  <c r="GJ41" i="1" s="1"/>
  <c r="GK41" i="1" s="1"/>
  <c r="GL41" i="1" s="1"/>
  <c r="GM41" i="1" s="1"/>
  <c r="GN41" i="1" s="1"/>
  <c r="GO41" i="1" s="1"/>
  <c r="GP41" i="1" s="1"/>
  <c r="GQ41" i="1" s="1"/>
  <c r="GR41" i="1" s="1"/>
  <c r="GS41" i="1" s="1"/>
  <c r="GT41" i="1" s="1"/>
  <c r="GU41" i="1" s="1"/>
  <c r="GV41" i="1" s="1"/>
  <c r="GW41" i="1" s="1"/>
  <c r="GX41" i="1" s="1"/>
  <c r="GY41" i="1" s="1"/>
  <c r="GZ41" i="1" s="1"/>
  <c r="HA41" i="1" s="1"/>
  <c r="HB41" i="1" s="1"/>
  <c r="HC41" i="1" s="1"/>
  <c r="HD41" i="1" s="1"/>
  <c r="HE41" i="1" s="1"/>
  <c r="HF41" i="1" s="1"/>
  <c r="HG41" i="1" s="1"/>
  <c r="HH41" i="1" s="1"/>
  <c r="HI41" i="1" s="1"/>
  <c r="HJ41" i="1" s="1"/>
  <c r="HK41" i="1" s="1"/>
  <c r="HL41" i="1" s="1"/>
  <c r="HM41" i="1" s="1"/>
  <c r="HN41" i="1" s="1"/>
  <c r="HO41" i="1" s="1"/>
  <c r="HP41" i="1" s="1"/>
  <c r="HQ41" i="1" s="1"/>
  <c r="HR41" i="1" s="1"/>
  <c r="HS41" i="1" s="1"/>
  <c r="HT41" i="1" s="1"/>
  <c r="HU41" i="1" s="1"/>
  <c r="HV41" i="1" s="1"/>
  <c r="HW41" i="1" s="1"/>
  <c r="HX41" i="1" s="1"/>
  <c r="HY41" i="1" s="1"/>
  <c r="HZ41" i="1" s="1"/>
  <c r="IA41" i="1" s="1"/>
  <c r="IB41" i="1" s="1"/>
  <c r="IC41" i="1" s="1"/>
  <c r="ID41" i="1" s="1"/>
  <c r="IE41" i="1" s="1"/>
  <c r="IF41" i="1" s="1"/>
  <c r="IG41" i="1" s="1"/>
  <c r="IH41" i="1" s="1"/>
  <c r="II41" i="1" s="1"/>
  <c r="IJ41" i="1" s="1"/>
  <c r="IK41" i="1" s="1"/>
  <c r="IL41" i="1" s="1"/>
  <c r="IM41" i="1" s="1"/>
  <c r="IN41" i="1" s="1"/>
  <c r="IO41" i="1" s="1"/>
  <c r="IP41" i="1" s="1"/>
  <c r="IQ41" i="1" s="1"/>
  <c r="IR41" i="1" s="1"/>
  <c r="AK33" i="1"/>
  <c r="AM33" i="1"/>
  <c r="AQ33" i="1"/>
  <c r="AP33" i="1"/>
  <c r="AM26" i="1"/>
  <c r="AK26" i="1"/>
  <c r="AQ26" i="1"/>
  <c r="AP26" i="1"/>
  <c r="AQ23" i="1"/>
  <c r="AM23" i="1"/>
  <c r="AK23" i="1"/>
  <c r="AP23" i="1"/>
  <c r="AI32" i="1"/>
  <c r="AK31" i="1"/>
  <c r="AM31" i="1"/>
  <c r="AQ31" i="1"/>
  <c r="AP31" i="1"/>
  <c r="AI22" i="1"/>
  <c r="AK20" i="1"/>
  <c r="AQ20" i="1"/>
  <c r="AP20" i="1"/>
  <c r="AM20" i="1"/>
  <c r="EW24" i="1"/>
  <c r="EX24" i="1" s="1"/>
  <c r="EY24" i="1" s="1"/>
  <c r="EZ24" i="1" s="1"/>
  <c r="FA24" i="1" s="1"/>
  <c r="FB24" i="1" s="1"/>
  <c r="FC24" i="1" s="1"/>
  <c r="FD24" i="1" s="1"/>
  <c r="FE24" i="1" s="1"/>
  <c r="FF24" i="1" s="1"/>
  <c r="FG24" i="1" s="1"/>
  <c r="FH24" i="1" s="1"/>
  <c r="FI24" i="1" s="1"/>
  <c r="FJ24" i="1" s="1"/>
  <c r="FK24" i="1" s="1"/>
  <c r="FL24" i="1" s="1"/>
  <c r="FM24" i="1" s="1"/>
  <c r="FN24" i="1" s="1"/>
  <c r="FO24" i="1" s="1"/>
  <c r="FP24" i="1" s="1"/>
  <c r="FQ24" i="1" s="1"/>
  <c r="FR24" i="1" s="1"/>
  <c r="FS24" i="1" s="1"/>
  <c r="FT24" i="1" s="1"/>
  <c r="FU24" i="1" s="1"/>
  <c r="FV24" i="1" s="1"/>
  <c r="FW24" i="1" s="1"/>
  <c r="FX24" i="1" s="1"/>
  <c r="FY24" i="1" s="1"/>
  <c r="FZ24" i="1" s="1"/>
  <c r="GA24" i="1" s="1"/>
  <c r="GB24" i="1" s="1"/>
  <c r="GC24" i="1" s="1"/>
  <c r="GD24" i="1" s="1"/>
  <c r="GE24" i="1" s="1"/>
  <c r="GF24" i="1" s="1"/>
  <c r="GG24" i="1" s="1"/>
  <c r="GH24" i="1" s="1"/>
  <c r="GI24" i="1" s="1"/>
  <c r="GJ24" i="1" s="1"/>
  <c r="GK24" i="1" s="1"/>
  <c r="GL24" i="1" s="1"/>
  <c r="GM24" i="1" s="1"/>
  <c r="GN24" i="1" s="1"/>
  <c r="GO24" i="1" s="1"/>
  <c r="GP24" i="1" s="1"/>
  <c r="GQ24" i="1" s="1"/>
  <c r="GR24" i="1" s="1"/>
  <c r="GS24" i="1" s="1"/>
  <c r="GT24" i="1" s="1"/>
  <c r="GU24" i="1" s="1"/>
  <c r="GV24" i="1" s="1"/>
  <c r="GW24" i="1" s="1"/>
  <c r="GX24" i="1" s="1"/>
  <c r="GY24" i="1" s="1"/>
  <c r="GZ24" i="1" s="1"/>
  <c r="HA24" i="1" s="1"/>
  <c r="HB24" i="1" s="1"/>
  <c r="HC24" i="1" s="1"/>
  <c r="HD24" i="1" s="1"/>
  <c r="HE24" i="1" s="1"/>
  <c r="HF24" i="1" s="1"/>
  <c r="HG24" i="1" s="1"/>
  <c r="HH24" i="1" s="1"/>
  <c r="HI24" i="1" s="1"/>
  <c r="HJ24" i="1" s="1"/>
  <c r="HK24" i="1" s="1"/>
  <c r="HL24" i="1" s="1"/>
  <c r="HM24" i="1" s="1"/>
  <c r="HN24" i="1" s="1"/>
  <c r="HO24" i="1" s="1"/>
  <c r="HP24" i="1" s="1"/>
  <c r="HQ24" i="1" s="1"/>
  <c r="HR24" i="1" s="1"/>
  <c r="HS24" i="1" s="1"/>
  <c r="HT24" i="1" s="1"/>
  <c r="HU24" i="1" s="1"/>
  <c r="HV24" i="1" s="1"/>
  <c r="HW24" i="1" s="1"/>
  <c r="HX24" i="1" s="1"/>
  <c r="HY24" i="1" s="1"/>
  <c r="HZ24" i="1" s="1"/>
  <c r="IA24" i="1" s="1"/>
  <c r="IB24" i="1" s="1"/>
  <c r="IC24" i="1" s="1"/>
  <c r="ID24" i="1" s="1"/>
  <c r="IE24" i="1" s="1"/>
  <c r="IF24" i="1" s="1"/>
  <c r="IG24" i="1" s="1"/>
  <c r="IH24" i="1" s="1"/>
  <c r="II24" i="1" s="1"/>
  <c r="IJ24" i="1" s="1"/>
  <c r="IK24" i="1" s="1"/>
  <c r="IL24" i="1" s="1"/>
  <c r="IM24" i="1" s="1"/>
  <c r="IN24" i="1" s="1"/>
  <c r="IO24" i="1" s="1"/>
  <c r="IP24" i="1" s="1"/>
  <c r="IQ24" i="1" s="1"/>
  <c r="IR24" i="1" s="1"/>
  <c r="AI29" i="1"/>
  <c r="AQ29" i="1"/>
  <c r="AK29" i="1"/>
  <c r="AM29" i="1"/>
  <c r="AP29" i="1"/>
  <c r="AQ22" i="1"/>
  <c r="AK22" i="1"/>
  <c r="AP22" i="1"/>
  <c r="AM22" i="1"/>
  <c r="AK17" i="1"/>
  <c r="AQ17" i="1"/>
  <c r="AM17" i="1"/>
  <c r="AP17" i="1"/>
  <c r="AM15" i="1"/>
  <c r="AK15" i="1"/>
  <c r="AQ15" i="1"/>
  <c r="AP15" i="1"/>
  <c r="AQ13" i="1"/>
  <c r="AK13" i="1"/>
  <c r="AM13" i="1"/>
  <c r="AP13" i="1"/>
  <c r="AI10" i="1"/>
  <c r="AK11" i="1"/>
  <c r="AQ11" i="1"/>
  <c r="AP11" i="1"/>
  <c r="AM11" i="1"/>
  <c r="AQ35" i="1"/>
  <c r="AK35" i="1"/>
  <c r="AM35" i="1"/>
  <c r="AP35" i="1"/>
  <c r="AI9" i="1"/>
  <c r="AQ8" i="1"/>
  <c r="AK8" i="1"/>
  <c r="AM8" i="1"/>
  <c r="AP8" i="1"/>
  <c r="AI6" i="1"/>
  <c r="AQ6" i="1"/>
  <c r="AK6" i="1"/>
  <c r="AP6" i="1"/>
  <c r="AM6" i="1"/>
  <c r="AI4" i="1"/>
  <c r="AQ4" i="1"/>
  <c r="AK4" i="1"/>
  <c r="AM4" i="1"/>
  <c r="AP4" i="1"/>
  <c r="EW92" i="1"/>
  <c r="EX92" i="1" s="1"/>
  <c r="EY92" i="1" s="1"/>
  <c r="EZ92" i="1" s="1"/>
  <c r="FA92" i="1" s="1"/>
  <c r="FB92" i="1" s="1"/>
  <c r="FC92" i="1" s="1"/>
  <c r="FD92" i="1" s="1"/>
  <c r="FE92" i="1" s="1"/>
  <c r="FF92" i="1" s="1"/>
  <c r="FG92" i="1" s="1"/>
  <c r="FH92" i="1" s="1"/>
  <c r="FI92" i="1" s="1"/>
  <c r="FJ92" i="1" s="1"/>
  <c r="FK92" i="1" s="1"/>
  <c r="FL92" i="1" s="1"/>
  <c r="FM92" i="1" s="1"/>
  <c r="FN92" i="1" s="1"/>
  <c r="FO92" i="1" s="1"/>
  <c r="FP92" i="1" s="1"/>
  <c r="FQ92" i="1" s="1"/>
  <c r="FR92" i="1" s="1"/>
  <c r="FS92" i="1" s="1"/>
  <c r="FT92" i="1" s="1"/>
  <c r="FU92" i="1" s="1"/>
  <c r="FV92" i="1" s="1"/>
  <c r="FW92" i="1" s="1"/>
  <c r="FX92" i="1" s="1"/>
  <c r="FY92" i="1" s="1"/>
  <c r="FZ92" i="1" s="1"/>
  <c r="GA92" i="1" s="1"/>
  <c r="GB92" i="1" s="1"/>
  <c r="GC92" i="1" s="1"/>
  <c r="GD92" i="1" s="1"/>
  <c r="GE92" i="1" s="1"/>
  <c r="GF92" i="1" s="1"/>
  <c r="GG92" i="1" s="1"/>
  <c r="GH92" i="1" s="1"/>
  <c r="GI92" i="1" s="1"/>
  <c r="GJ92" i="1" s="1"/>
  <c r="GK92" i="1" s="1"/>
  <c r="GL92" i="1" s="1"/>
  <c r="GM92" i="1" s="1"/>
  <c r="GN92" i="1" s="1"/>
  <c r="GO92" i="1" s="1"/>
  <c r="GP92" i="1" s="1"/>
  <c r="GQ92" i="1" s="1"/>
  <c r="GR92" i="1" s="1"/>
  <c r="GS92" i="1" s="1"/>
  <c r="GT92" i="1" s="1"/>
  <c r="GU92" i="1" s="1"/>
  <c r="GV92" i="1" s="1"/>
  <c r="GW92" i="1" s="1"/>
  <c r="GX92" i="1" s="1"/>
  <c r="GY92" i="1" s="1"/>
  <c r="GZ92" i="1" s="1"/>
  <c r="HA92" i="1" s="1"/>
  <c r="HB92" i="1" s="1"/>
  <c r="HC92" i="1" s="1"/>
  <c r="HD92" i="1" s="1"/>
  <c r="HE92" i="1" s="1"/>
  <c r="HF92" i="1" s="1"/>
  <c r="HG92" i="1" s="1"/>
  <c r="HH92" i="1" s="1"/>
  <c r="HI92" i="1" s="1"/>
  <c r="HJ92" i="1" s="1"/>
  <c r="HK92" i="1" s="1"/>
  <c r="HL92" i="1" s="1"/>
  <c r="HM92" i="1" s="1"/>
  <c r="HN92" i="1" s="1"/>
  <c r="HO92" i="1" s="1"/>
  <c r="HP92" i="1" s="1"/>
  <c r="HQ92" i="1" s="1"/>
  <c r="HR92" i="1" s="1"/>
  <c r="HS92" i="1" s="1"/>
  <c r="HT92" i="1" s="1"/>
  <c r="HU92" i="1" s="1"/>
  <c r="HV92" i="1" s="1"/>
  <c r="HW92" i="1" s="1"/>
  <c r="HX92" i="1" s="1"/>
  <c r="HY92" i="1" s="1"/>
  <c r="HZ92" i="1" s="1"/>
  <c r="IA92" i="1" s="1"/>
  <c r="IB92" i="1" s="1"/>
  <c r="IC92" i="1" s="1"/>
  <c r="ID92" i="1" s="1"/>
  <c r="IE92" i="1" s="1"/>
  <c r="IF92" i="1" s="1"/>
  <c r="IG92" i="1" s="1"/>
  <c r="IH92" i="1" s="1"/>
  <c r="II92" i="1" s="1"/>
  <c r="IJ92" i="1" s="1"/>
  <c r="IK92" i="1" s="1"/>
  <c r="IL92" i="1" s="1"/>
  <c r="IM92" i="1" s="1"/>
  <c r="IN92" i="1" s="1"/>
  <c r="IO92" i="1" s="1"/>
  <c r="IP92" i="1" s="1"/>
  <c r="IQ92" i="1" s="1"/>
  <c r="IR92" i="1" s="1"/>
  <c r="EW52" i="1"/>
  <c r="EX52" i="1" s="1"/>
  <c r="EY52" i="1" s="1"/>
  <c r="EZ52" i="1" s="1"/>
  <c r="FA52" i="1" s="1"/>
  <c r="FB52" i="1" s="1"/>
  <c r="FC52" i="1" s="1"/>
  <c r="FD52" i="1" s="1"/>
  <c r="FE52" i="1" s="1"/>
  <c r="FF52" i="1" s="1"/>
  <c r="FG52" i="1" s="1"/>
  <c r="FH52" i="1" s="1"/>
  <c r="FI52" i="1" s="1"/>
  <c r="FJ52" i="1" s="1"/>
  <c r="FK52" i="1" s="1"/>
  <c r="FL52" i="1" s="1"/>
  <c r="FM52" i="1" s="1"/>
  <c r="FN52" i="1" s="1"/>
  <c r="FO52" i="1" s="1"/>
  <c r="FP52" i="1" s="1"/>
  <c r="FQ52" i="1" s="1"/>
  <c r="FR52" i="1" s="1"/>
  <c r="FS52" i="1" s="1"/>
  <c r="FT52" i="1" s="1"/>
  <c r="FU52" i="1" s="1"/>
  <c r="FV52" i="1" s="1"/>
  <c r="FW52" i="1" s="1"/>
  <c r="FX52" i="1" s="1"/>
  <c r="FY52" i="1" s="1"/>
  <c r="FZ52" i="1" s="1"/>
  <c r="GA52" i="1" s="1"/>
  <c r="GB52" i="1" s="1"/>
  <c r="GC52" i="1" s="1"/>
  <c r="GD52" i="1" s="1"/>
  <c r="GE52" i="1" s="1"/>
  <c r="GF52" i="1" s="1"/>
  <c r="GG52" i="1" s="1"/>
  <c r="GH52" i="1" s="1"/>
  <c r="GI52" i="1" s="1"/>
  <c r="GJ52" i="1" s="1"/>
  <c r="GK52" i="1" s="1"/>
  <c r="GL52" i="1" s="1"/>
  <c r="GM52" i="1" s="1"/>
  <c r="GN52" i="1" s="1"/>
  <c r="GO52" i="1" s="1"/>
  <c r="GP52" i="1" s="1"/>
  <c r="GQ52" i="1" s="1"/>
  <c r="GR52" i="1" s="1"/>
  <c r="GS52" i="1" s="1"/>
  <c r="GT52" i="1" s="1"/>
  <c r="GU52" i="1" s="1"/>
  <c r="GV52" i="1" s="1"/>
  <c r="GW52" i="1" s="1"/>
  <c r="GX52" i="1" s="1"/>
  <c r="GY52" i="1" s="1"/>
  <c r="GZ52" i="1" s="1"/>
  <c r="HA52" i="1" s="1"/>
  <c r="HB52" i="1" s="1"/>
  <c r="HC52" i="1" s="1"/>
  <c r="HD52" i="1" s="1"/>
  <c r="HE52" i="1" s="1"/>
  <c r="HF52" i="1" s="1"/>
  <c r="HG52" i="1" s="1"/>
  <c r="HH52" i="1" s="1"/>
  <c r="HI52" i="1" s="1"/>
  <c r="HJ52" i="1" s="1"/>
  <c r="HK52" i="1" s="1"/>
  <c r="HL52" i="1" s="1"/>
  <c r="HM52" i="1" s="1"/>
  <c r="HN52" i="1" s="1"/>
  <c r="HO52" i="1" s="1"/>
  <c r="HP52" i="1" s="1"/>
  <c r="HQ52" i="1" s="1"/>
  <c r="HR52" i="1" s="1"/>
  <c r="HS52" i="1" s="1"/>
  <c r="HT52" i="1" s="1"/>
  <c r="HU52" i="1" s="1"/>
  <c r="HV52" i="1" s="1"/>
  <c r="HW52" i="1" s="1"/>
  <c r="HX52" i="1" s="1"/>
  <c r="HY52" i="1" s="1"/>
  <c r="HZ52" i="1" s="1"/>
  <c r="IA52" i="1" s="1"/>
  <c r="IB52" i="1" s="1"/>
  <c r="IC52" i="1" s="1"/>
  <c r="ID52" i="1" s="1"/>
  <c r="IE52" i="1" s="1"/>
  <c r="IF52" i="1" s="1"/>
  <c r="IG52" i="1" s="1"/>
  <c r="IH52" i="1" s="1"/>
  <c r="II52" i="1" s="1"/>
  <c r="IJ52" i="1" s="1"/>
  <c r="IK52" i="1" s="1"/>
  <c r="IL52" i="1" s="1"/>
  <c r="IM52" i="1" s="1"/>
  <c r="IN52" i="1" s="1"/>
  <c r="IO52" i="1" s="1"/>
  <c r="IP52" i="1" s="1"/>
  <c r="IQ52" i="1" s="1"/>
  <c r="IR52" i="1" s="1"/>
  <c r="EW138" i="1"/>
  <c r="EX138" i="1" s="1"/>
  <c r="EY138" i="1" s="1"/>
  <c r="EZ138" i="1" s="1"/>
  <c r="FA138" i="1" s="1"/>
  <c r="FB138" i="1" s="1"/>
  <c r="FC138" i="1" s="1"/>
  <c r="FD138" i="1" s="1"/>
  <c r="FE138" i="1" s="1"/>
  <c r="FF138" i="1" s="1"/>
  <c r="FG138" i="1" s="1"/>
  <c r="FH138" i="1" s="1"/>
  <c r="FI138" i="1" s="1"/>
  <c r="FJ138" i="1" s="1"/>
  <c r="FK138" i="1" s="1"/>
  <c r="FL138" i="1" s="1"/>
  <c r="FM138" i="1" s="1"/>
  <c r="FN138" i="1" s="1"/>
  <c r="FO138" i="1" s="1"/>
  <c r="FP138" i="1" s="1"/>
  <c r="FQ138" i="1" s="1"/>
  <c r="FR138" i="1" s="1"/>
  <c r="FS138" i="1" s="1"/>
  <c r="FT138" i="1" s="1"/>
  <c r="FU138" i="1" s="1"/>
  <c r="FV138" i="1" s="1"/>
  <c r="FW138" i="1" s="1"/>
  <c r="FX138" i="1" s="1"/>
  <c r="FY138" i="1" s="1"/>
  <c r="FZ138" i="1" s="1"/>
  <c r="GA138" i="1" s="1"/>
  <c r="GB138" i="1" s="1"/>
  <c r="GC138" i="1" s="1"/>
  <c r="GD138" i="1" s="1"/>
  <c r="GE138" i="1" s="1"/>
  <c r="GF138" i="1" s="1"/>
  <c r="GG138" i="1" s="1"/>
  <c r="GH138" i="1" s="1"/>
  <c r="GI138" i="1" s="1"/>
  <c r="GJ138" i="1" s="1"/>
  <c r="GK138" i="1" s="1"/>
  <c r="GL138" i="1" s="1"/>
  <c r="GM138" i="1" s="1"/>
  <c r="GN138" i="1" s="1"/>
  <c r="GO138" i="1" s="1"/>
  <c r="GP138" i="1" s="1"/>
  <c r="GQ138" i="1" s="1"/>
  <c r="GR138" i="1" s="1"/>
  <c r="GS138" i="1" s="1"/>
  <c r="GT138" i="1" s="1"/>
  <c r="GU138" i="1" s="1"/>
  <c r="GV138" i="1" s="1"/>
  <c r="GW138" i="1" s="1"/>
  <c r="GX138" i="1" s="1"/>
  <c r="GY138" i="1" s="1"/>
  <c r="GZ138" i="1" s="1"/>
  <c r="HA138" i="1" s="1"/>
  <c r="HB138" i="1" s="1"/>
  <c r="HC138" i="1" s="1"/>
  <c r="HD138" i="1" s="1"/>
  <c r="HE138" i="1" s="1"/>
  <c r="HF138" i="1" s="1"/>
  <c r="HG138" i="1" s="1"/>
  <c r="HH138" i="1" s="1"/>
  <c r="HI138" i="1" s="1"/>
  <c r="HJ138" i="1" s="1"/>
  <c r="HK138" i="1" s="1"/>
  <c r="HL138" i="1" s="1"/>
  <c r="HM138" i="1" s="1"/>
  <c r="HN138" i="1" s="1"/>
  <c r="HO138" i="1" s="1"/>
  <c r="HP138" i="1" s="1"/>
  <c r="HQ138" i="1" s="1"/>
  <c r="HR138" i="1" s="1"/>
  <c r="HS138" i="1" s="1"/>
  <c r="HT138" i="1" s="1"/>
  <c r="HU138" i="1" s="1"/>
  <c r="HV138" i="1" s="1"/>
  <c r="HW138" i="1" s="1"/>
  <c r="HX138" i="1" s="1"/>
  <c r="HY138" i="1" s="1"/>
  <c r="HZ138" i="1" s="1"/>
  <c r="IA138" i="1" s="1"/>
  <c r="IB138" i="1" s="1"/>
  <c r="IC138" i="1" s="1"/>
  <c r="ID138" i="1" s="1"/>
  <c r="IE138" i="1" s="1"/>
  <c r="IF138" i="1" s="1"/>
  <c r="IG138" i="1" s="1"/>
  <c r="IH138" i="1" s="1"/>
  <c r="II138" i="1" s="1"/>
  <c r="IJ138" i="1" s="1"/>
  <c r="IK138" i="1" s="1"/>
  <c r="IL138" i="1" s="1"/>
  <c r="IM138" i="1" s="1"/>
  <c r="IN138" i="1" s="1"/>
  <c r="IO138" i="1" s="1"/>
  <c r="IP138" i="1" s="1"/>
  <c r="IQ138" i="1" s="1"/>
  <c r="IR138" i="1" s="1"/>
  <c r="EW38" i="1"/>
  <c r="EX38" i="1" s="1"/>
  <c r="EY38" i="1" s="1"/>
  <c r="EZ38" i="1" s="1"/>
  <c r="FA38" i="1" s="1"/>
  <c r="FB38" i="1" s="1"/>
  <c r="FC38" i="1" s="1"/>
  <c r="FD38" i="1" s="1"/>
  <c r="FE38" i="1" s="1"/>
  <c r="FF38" i="1" s="1"/>
  <c r="FG38" i="1" s="1"/>
  <c r="FH38" i="1" s="1"/>
  <c r="FI38" i="1" s="1"/>
  <c r="FJ38" i="1" s="1"/>
  <c r="FK38" i="1" s="1"/>
  <c r="FL38" i="1" s="1"/>
  <c r="FM38" i="1" s="1"/>
  <c r="FN38" i="1" s="1"/>
  <c r="FO38" i="1" s="1"/>
  <c r="FP38" i="1" s="1"/>
  <c r="FQ38" i="1" s="1"/>
  <c r="FR38" i="1" s="1"/>
  <c r="FS38" i="1" s="1"/>
  <c r="FT38" i="1" s="1"/>
  <c r="FU38" i="1" s="1"/>
  <c r="FV38" i="1" s="1"/>
  <c r="FW38" i="1" s="1"/>
  <c r="FX38" i="1" s="1"/>
  <c r="FY38" i="1" s="1"/>
  <c r="FZ38" i="1" s="1"/>
  <c r="GA38" i="1" s="1"/>
  <c r="GB38" i="1" s="1"/>
  <c r="GC38" i="1" s="1"/>
  <c r="GD38" i="1" s="1"/>
  <c r="GE38" i="1" s="1"/>
  <c r="GF38" i="1" s="1"/>
  <c r="GG38" i="1" s="1"/>
  <c r="GH38" i="1" s="1"/>
  <c r="GI38" i="1" s="1"/>
  <c r="GJ38" i="1" s="1"/>
  <c r="GK38" i="1" s="1"/>
  <c r="GL38" i="1" s="1"/>
  <c r="GM38" i="1" s="1"/>
  <c r="GN38" i="1" s="1"/>
  <c r="GO38" i="1" s="1"/>
  <c r="GP38" i="1" s="1"/>
  <c r="GQ38" i="1" s="1"/>
  <c r="GR38" i="1" s="1"/>
  <c r="GS38" i="1" s="1"/>
  <c r="GT38" i="1" s="1"/>
  <c r="GU38" i="1" s="1"/>
  <c r="GV38" i="1" s="1"/>
  <c r="GW38" i="1" s="1"/>
  <c r="GX38" i="1" s="1"/>
  <c r="GY38" i="1" s="1"/>
  <c r="GZ38" i="1" s="1"/>
  <c r="HA38" i="1" s="1"/>
  <c r="HB38" i="1" s="1"/>
  <c r="HC38" i="1" s="1"/>
  <c r="HD38" i="1" s="1"/>
  <c r="HE38" i="1" s="1"/>
  <c r="HF38" i="1" s="1"/>
  <c r="HG38" i="1" s="1"/>
  <c r="HH38" i="1" s="1"/>
  <c r="HI38" i="1" s="1"/>
  <c r="HJ38" i="1" s="1"/>
  <c r="HK38" i="1" s="1"/>
  <c r="HL38" i="1" s="1"/>
  <c r="HM38" i="1" s="1"/>
  <c r="HN38" i="1" s="1"/>
  <c r="HO38" i="1" s="1"/>
  <c r="HP38" i="1" s="1"/>
  <c r="HQ38" i="1" s="1"/>
  <c r="HR38" i="1" s="1"/>
  <c r="HS38" i="1" s="1"/>
  <c r="HT38" i="1" s="1"/>
  <c r="HU38" i="1" s="1"/>
  <c r="HV38" i="1" s="1"/>
  <c r="HW38" i="1" s="1"/>
  <c r="HX38" i="1" s="1"/>
  <c r="HY38" i="1" s="1"/>
  <c r="HZ38" i="1" s="1"/>
  <c r="IA38" i="1" s="1"/>
  <c r="IB38" i="1" s="1"/>
  <c r="IC38" i="1" s="1"/>
  <c r="ID38" i="1" s="1"/>
  <c r="IE38" i="1" s="1"/>
  <c r="IF38" i="1" s="1"/>
  <c r="IG38" i="1" s="1"/>
  <c r="IH38" i="1" s="1"/>
  <c r="II38" i="1" s="1"/>
  <c r="IJ38" i="1" s="1"/>
  <c r="IK38" i="1" s="1"/>
  <c r="IL38" i="1" s="1"/>
  <c r="IM38" i="1" s="1"/>
  <c r="IN38" i="1" s="1"/>
  <c r="IO38" i="1" s="1"/>
  <c r="IP38" i="1" s="1"/>
  <c r="IQ38" i="1" s="1"/>
  <c r="IR38" i="1" s="1"/>
  <c r="AN37" i="1"/>
  <c r="AO37" i="1" s="1"/>
  <c r="CZ37" i="1" s="1"/>
  <c r="EW91" i="1"/>
  <c r="EX91" i="1" s="1"/>
  <c r="EY91" i="1" s="1"/>
  <c r="EZ91" i="1" s="1"/>
  <c r="FA91" i="1" s="1"/>
  <c r="FB91" i="1" s="1"/>
  <c r="FC91" i="1" s="1"/>
  <c r="FD91" i="1" s="1"/>
  <c r="FE91" i="1" s="1"/>
  <c r="FF91" i="1" s="1"/>
  <c r="FG91" i="1" s="1"/>
  <c r="FH91" i="1" s="1"/>
  <c r="FI91" i="1" s="1"/>
  <c r="FJ91" i="1" s="1"/>
  <c r="FK91" i="1" s="1"/>
  <c r="FL91" i="1" s="1"/>
  <c r="FM91" i="1" s="1"/>
  <c r="FN91" i="1" s="1"/>
  <c r="FO91" i="1" s="1"/>
  <c r="FP91" i="1" s="1"/>
  <c r="FQ91" i="1" s="1"/>
  <c r="FR91" i="1" s="1"/>
  <c r="FS91" i="1" s="1"/>
  <c r="FT91" i="1" s="1"/>
  <c r="FU91" i="1" s="1"/>
  <c r="FV91" i="1" s="1"/>
  <c r="FW91" i="1" s="1"/>
  <c r="FX91" i="1" s="1"/>
  <c r="FY91" i="1" s="1"/>
  <c r="FZ91" i="1" s="1"/>
  <c r="GA91" i="1" s="1"/>
  <c r="GB91" i="1" s="1"/>
  <c r="GC91" i="1" s="1"/>
  <c r="GD91" i="1" s="1"/>
  <c r="GE91" i="1" s="1"/>
  <c r="GF91" i="1" s="1"/>
  <c r="GG91" i="1" s="1"/>
  <c r="GH91" i="1" s="1"/>
  <c r="GI91" i="1" s="1"/>
  <c r="GJ91" i="1" s="1"/>
  <c r="GK91" i="1" s="1"/>
  <c r="GL91" i="1" s="1"/>
  <c r="GM91" i="1" s="1"/>
  <c r="GN91" i="1" s="1"/>
  <c r="GO91" i="1" s="1"/>
  <c r="GP91" i="1" s="1"/>
  <c r="GQ91" i="1" s="1"/>
  <c r="GR91" i="1" s="1"/>
  <c r="GS91" i="1" s="1"/>
  <c r="GT91" i="1" s="1"/>
  <c r="GU91" i="1" s="1"/>
  <c r="GV91" i="1" s="1"/>
  <c r="GW91" i="1" s="1"/>
  <c r="GX91" i="1" s="1"/>
  <c r="GY91" i="1" s="1"/>
  <c r="GZ91" i="1" s="1"/>
  <c r="HA91" i="1" s="1"/>
  <c r="HB91" i="1" s="1"/>
  <c r="HC91" i="1" s="1"/>
  <c r="HD91" i="1" s="1"/>
  <c r="HE91" i="1" s="1"/>
  <c r="HF91" i="1" s="1"/>
  <c r="HG91" i="1" s="1"/>
  <c r="HH91" i="1" s="1"/>
  <c r="HI91" i="1" s="1"/>
  <c r="HJ91" i="1" s="1"/>
  <c r="HK91" i="1" s="1"/>
  <c r="HL91" i="1" s="1"/>
  <c r="HM91" i="1" s="1"/>
  <c r="HN91" i="1" s="1"/>
  <c r="HO91" i="1" s="1"/>
  <c r="HP91" i="1" s="1"/>
  <c r="HQ91" i="1" s="1"/>
  <c r="HR91" i="1" s="1"/>
  <c r="HS91" i="1" s="1"/>
  <c r="HT91" i="1" s="1"/>
  <c r="HU91" i="1" s="1"/>
  <c r="HV91" i="1" s="1"/>
  <c r="HW91" i="1" s="1"/>
  <c r="HX91" i="1" s="1"/>
  <c r="HY91" i="1" s="1"/>
  <c r="HZ91" i="1" s="1"/>
  <c r="IA91" i="1" s="1"/>
  <c r="IB91" i="1" s="1"/>
  <c r="IC91" i="1" s="1"/>
  <c r="ID91" i="1" s="1"/>
  <c r="IE91" i="1" s="1"/>
  <c r="IF91" i="1" s="1"/>
  <c r="IG91" i="1" s="1"/>
  <c r="IH91" i="1" s="1"/>
  <c r="II91" i="1" s="1"/>
  <c r="IJ91" i="1" s="1"/>
  <c r="IK91" i="1" s="1"/>
  <c r="IL91" i="1" s="1"/>
  <c r="IM91" i="1" s="1"/>
  <c r="IN91" i="1" s="1"/>
  <c r="IO91" i="1" s="1"/>
  <c r="IP91" i="1" s="1"/>
  <c r="IQ91" i="1" s="1"/>
  <c r="IR91" i="1" s="1"/>
  <c r="EW137" i="1"/>
  <c r="EX137" i="1" s="1"/>
  <c r="EY137" i="1" s="1"/>
  <c r="EZ137" i="1" s="1"/>
  <c r="FA137" i="1" s="1"/>
  <c r="FB137" i="1" s="1"/>
  <c r="FC137" i="1" s="1"/>
  <c r="FD137" i="1" s="1"/>
  <c r="FE137" i="1" s="1"/>
  <c r="FF137" i="1" s="1"/>
  <c r="FG137" i="1" s="1"/>
  <c r="FH137" i="1" s="1"/>
  <c r="FI137" i="1" s="1"/>
  <c r="FJ137" i="1" s="1"/>
  <c r="FK137" i="1" s="1"/>
  <c r="FL137" i="1" s="1"/>
  <c r="FM137" i="1" s="1"/>
  <c r="FN137" i="1" s="1"/>
  <c r="FO137" i="1" s="1"/>
  <c r="FP137" i="1" s="1"/>
  <c r="FQ137" i="1" s="1"/>
  <c r="FR137" i="1" s="1"/>
  <c r="FS137" i="1" s="1"/>
  <c r="FT137" i="1" s="1"/>
  <c r="FU137" i="1" s="1"/>
  <c r="FV137" i="1" s="1"/>
  <c r="FW137" i="1" s="1"/>
  <c r="FX137" i="1" s="1"/>
  <c r="FY137" i="1" s="1"/>
  <c r="FZ137" i="1" s="1"/>
  <c r="GA137" i="1" s="1"/>
  <c r="GB137" i="1" s="1"/>
  <c r="GC137" i="1" s="1"/>
  <c r="GD137" i="1" s="1"/>
  <c r="GE137" i="1" s="1"/>
  <c r="GF137" i="1" s="1"/>
  <c r="GG137" i="1" s="1"/>
  <c r="GH137" i="1" s="1"/>
  <c r="GI137" i="1" s="1"/>
  <c r="GJ137" i="1" s="1"/>
  <c r="GK137" i="1" s="1"/>
  <c r="GL137" i="1" s="1"/>
  <c r="GM137" i="1" s="1"/>
  <c r="GN137" i="1" s="1"/>
  <c r="GO137" i="1" s="1"/>
  <c r="GP137" i="1" s="1"/>
  <c r="GQ137" i="1" s="1"/>
  <c r="GR137" i="1" s="1"/>
  <c r="GS137" i="1" s="1"/>
  <c r="GT137" i="1" s="1"/>
  <c r="GU137" i="1" s="1"/>
  <c r="GV137" i="1" s="1"/>
  <c r="GW137" i="1" s="1"/>
  <c r="GX137" i="1" s="1"/>
  <c r="GY137" i="1" s="1"/>
  <c r="GZ137" i="1" s="1"/>
  <c r="HA137" i="1" s="1"/>
  <c r="HB137" i="1" s="1"/>
  <c r="HC137" i="1" s="1"/>
  <c r="HD137" i="1" s="1"/>
  <c r="HE137" i="1" s="1"/>
  <c r="HF137" i="1" s="1"/>
  <c r="HG137" i="1" s="1"/>
  <c r="HH137" i="1" s="1"/>
  <c r="HI137" i="1" s="1"/>
  <c r="HJ137" i="1" s="1"/>
  <c r="HK137" i="1" s="1"/>
  <c r="HL137" i="1" s="1"/>
  <c r="HM137" i="1" s="1"/>
  <c r="HN137" i="1" s="1"/>
  <c r="HO137" i="1" s="1"/>
  <c r="HP137" i="1" s="1"/>
  <c r="HQ137" i="1" s="1"/>
  <c r="HR137" i="1" s="1"/>
  <c r="HS137" i="1" s="1"/>
  <c r="HT137" i="1" s="1"/>
  <c r="HU137" i="1" s="1"/>
  <c r="HV137" i="1" s="1"/>
  <c r="HW137" i="1" s="1"/>
  <c r="HX137" i="1" s="1"/>
  <c r="HY137" i="1" s="1"/>
  <c r="HZ137" i="1" s="1"/>
  <c r="IA137" i="1" s="1"/>
  <c r="IB137" i="1" s="1"/>
  <c r="IC137" i="1" s="1"/>
  <c r="ID137" i="1" s="1"/>
  <c r="IE137" i="1" s="1"/>
  <c r="IF137" i="1" s="1"/>
  <c r="IG137" i="1" s="1"/>
  <c r="IH137" i="1" s="1"/>
  <c r="II137" i="1" s="1"/>
  <c r="IJ137" i="1" s="1"/>
  <c r="IK137" i="1" s="1"/>
  <c r="IL137" i="1" s="1"/>
  <c r="IM137" i="1" s="1"/>
  <c r="IN137" i="1" s="1"/>
  <c r="IO137" i="1" s="1"/>
  <c r="IP137" i="1" s="1"/>
  <c r="IQ137" i="1" s="1"/>
  <c r="IR137" i="1" s="1"/>
  <c r="AN118" i="1"/>
  <c r="AO118" i="1" s="1"/>
  <c r="EK118" i="1" s="1"/>
  <c r="AN10" i="1"/>
  <c r="AO10" i="1" s="1"/>
  <c r="DM10" i="1" s="1"/>
  <c r="AI28" i="1"/>
  <c r="AI19" i="1"/>
  <c r="AI21" i="1"/>
  <c r="AI11" i="1"/>
  <c r="AI12" i="1"/>
  <c r="AI26" i="1"/>
  <c r="AI27" i="1"/>
  <c r="AI20" i="1"/>
  <c r="AI23" i="1"/>
  <c r="AI35" i="1"/>
  <c r="EW35" i="1" s="1"/>
  <c r="EX35" i="1" s="1"/>
  <c r="EY35" i="1" s="1"/>
  <c r="EZ35" i="1" s="1"/>
  <c r="FA35" i="1" s="1"/>
  <c r="FB35" i="1" s="1"/>
  <c r="FC35" i="1" s="1"/>
  <c r="FD35" i="1" s="1"/>
  <c r="FE35" i="1" s="1"/>
  <c r="FF35" i="1" s="1"/>
  <c r="FG35" i="1" s="1"/>
  <c r="FH35" i="1" s="1"/>
  <c r="FI35" i="1" s="1"/>
  <c r="FJ35" i="1" s="1"/>
  <c r="FK35" i="1" s="1"/>
  <c r="FL35" i="1" s="1"/>
  <c r="FM35" i="1" s="1"/>
  <c r="FN35" i="1" s="1"/>
  <c r="FO35" i="1" s="1"/>
  <c r="FP35" i="1" s="1"/>
  <c r="FQ35" i="1" s="1"/>
  <c r="FR35" i="1" s="1"/>
  <c r="FS35" i="1" s="1"/>
  <c r="FT35" i="1" s="1"/>
  <c r="FU35" i="1" s="1"/>
  <c r="FV35" i="1" s="1"/>
  <c r="FW35" i="1" s="1"/>
  <c r="FX35" i="1" s="1"/>
  <c r="FY35" i="1" s="1"/>
  <c r="FZ35" i="1" s="1"/>
  <c r="GA35" i="1" s="1"/>
  <c r="GB35" i="1" s="1"/>
  <c r="GC35" i="1" s="1"/>
  <c r="GD35" i="1" s="1"/>
  <c r="GE35" i="1" s="1"/>
  <c r="GF35" i="1" s="1"/>
  <c r="GG35" i="1" s="1"/>
  <c r="GH35" i="1" s="1"/>
  <c r="GI35" i="1" s="1"/>
  <c r="GJ35" i="1" s="1"/>
  <c r="GK35" i="1" s="1"/>
  <c r="GL35" i="1" s="1"/>
  <c r="GM35" i="1" s="1"/>
  <c r="GN35" i="1" s="1"/>
  <c r="GO35" i="1" s="1"/>
  <c r="GP35" i="1" s="1"/>
  <c r="GQ35" i="1" s="1"/>
  <c r="GR35" i="1" s="1"/>
  <c r="GS35" i="1" s="1"/>
  <c r="GT35" i="1" s="1"/>
  <c r="GU35" i="1" s="1"/>
  <c r="GV35" i="1" s="1"/>
  <c r="GW35" i="1" s="1"/>
  <c r="GX35" i="1" s="1"/>
  <c r="GY35" i="1" s="1"/>
  <c r="GZ35" i="1" s="1"/>
  <c r="HA35" i="1" s="1"/>
  <c r="HB35" i="1" s="1"/>
  <c r="HC35" i="1" s="1"/>
  <c r="HD35" i="1" s="1"/>
  <c r="HE35" i="1" s="1"/>
  <c r="HF35" i="1" s="1"/>
  <c r="HG35" i="1" s="1"/>
  <c r="HH35" i="1" s="1"/>
  <c r="HI35" i="1" s="1"/>
  <c r="HJ35" i="1" s="1"/>
  <c r="HK35" i="1" s="1"/>
  <c r="HL35" i="1" s="1"/>
  <c r="HM35" i="1" s="1"/>
  <c r="HN35" i="1" s="1"/>
  <c r="HO35" i="1" s="1"/>
  <c r="HP35" i="1" s="1"/>
  <c r="HQ35" i="1" s="1"/>
  <c r="HR35" i="1" s="1"/>
  <c r="HS35" i="1" s="1"/>
  <c r="HT35" i="1" s="1"/>
  <c r="HU35" i="1" s="1"/>
  <c r="HV35" i="1" s="1"/>
  <c r="HW35" i="1" s="1"/>
  <c r="HX35" i="1" s="1"/>
  <c r="HY35" i="1" s="1"/>
  <c r="HZ35" i="1" s="1"/>
  <c r="IA35" i="1" s="1"/>
  <c r="IB35" i="1" s="1"/>
  <c r="IC35" i="1" s="1"/>
  <c r="ID35" i="1" s="1"/>
  <c r="IE35" i="1" s="1"/>
  <c r="IF35" i="1" s="1"/>
  <c r="IG35" i="1" s="1"/>
  <c r="IH35" i="1" s="1"/>
  <c r="II35" i="1" s="1"/>
  <c r="IJ35" i="1" s="1"/>
  <c r="IK35" i="1" s="1"/>
  <c r="IL35" i="1" s="1"/>
  <c r="IM35" i="1" s="1"/>
  <c r="IN35" i="1" s="1"/>
  <c r="IO35" i="1" s="1"/>
  <c r="IP35" i="1" s="1"/>
  <c r="IQ35" i="1" s="1"/>
  <c r="IR35" i="1" s="1"/>
  <c r="AI33" i="1"/>
  <c r="AI34" i="1"/>
  <c r="AI36" i="1"/>
  <c r="AI16" i="1"/>
  <c r="AI18" i="1"/>
  <c r="AV18" i="1" s="1"/>
  <c r="AI15" i="1"/>
  <c r="AI17" i="1"/>
  <c r="AI13" i="1"/>
  <c r="AI14" i="1"/>
  <c r="AI7" i="1"/>
  <c r="AI8" i="1"/>
  <c r="AI30" i="1"/>
  <c r="AI31" i="1"/>
  <c r="AN31" i="1" s="1"/>
  <c r="AO31" i="1" s="1"/>
  <c r="ET31" i="1" s="1"/>
  <c r="DP98" i="1"/>
  <c r="EP97" i="1"/>
  <c r="EM104" i="1"/>
  <c r="ET46" i="1"/>
  <c r="DU98" i="1"/>
  <c r="DM131" i="1"/>
  <c r="DF150" i="1"/>
  <c r="ET111" i="1"/>
  <c r="DA76" i="1"/>
  <c r="DC150" i="1"/>
  <c r="DI76" i="1"/>
  <c r="DU132" i="1"/>
  <c r="DT51" i="1"/>
  <c r="EK76" i="1"/>
  <c r="CZ71" i="1"/>
  <c r="CY106" i="1"/>
  <c r="EH51" i="1"/>
  <c r="EB71" i="1"/>
  <c r="DT140" i="1"/>
  <c r="EB106" i="1"/>
  <c r="EJ95" i="1"/>
  <c r="EA71" i="1"/>
  <c r="EI156" i="1"/>
  <c r="EN39" i="1"/>
  <c r="EL156" i="1"/>
  <c r="EH81" i="1"/>
  <c r="EE38" i="1"/>
  <c r="EU39" i="1"/>
  <c r="EN82" i="1"/>
  <c r="DR38" i="1"/>
  <c r="EA39" i="1"/>
  <c r="DP82" i="1"/>
  <c r="DH144" i="1"/>
  <c r="DB38" i="1"/>
  <c r="ER82" i="1"/>
  <c r="DI144" i="1"/>
  <c r="EP99" i="1"/>
  <c r="EG38" i="1"/>
  <c r="DI47" i="1"/>
  <c r="DI39" i="1"/>
  <c r="DA71" i="1"/>
  <c r="DL45" i="1"/>
  <c r="EU46" i="1"/>
  <c r="DZ82" i="1"/>
  <c r="CX82" i="1"/>
  <c r="EK82" i="1"/>
  <c r="CZ97" i="1"/>
  <c r="DT97" i="1"/>
  <c r="CZ98" i="1"/>
  <c r="CX98" i="1"/>
  <c r="EK150" i="1"/>
  <c r="DS150" i="1"/>
  <c r="EG106" i="1"/>
  <c r="EU106" i="1"/>
  <c r="DL156" i="1"/>
  <c r="EJ156" i="1"/>
  <c r="DG144" i="1"/>
  <c r="EU144" i="1"/>
  <c r="EK140" i="1"/>
  <c r="DK104" i="1"/>
  <c r="DT131" i="1"/>
  <c r="DD79" i="1"/>
  <c r="EU111" i="1"/>
  <c r="DL80" i="1"/>
  <c r="EC132" i="1"/>
  <c r="EC95" i="1"/>
  <c r="EP94" i="1"/>
  <c r="EO81" i="1"/>
  <c r="ET99" i="1"/>
  <c r="DH107" i="1"/>
  <c r="EJ140" i="1"/>
  <c r="DK79" i="1"/>
  <c r="DW80" i="1"/>
  <c r="EN107" i="1"/>
  <c r="ER46" i="1"/>
  <c r="DW82" i="1"/>
  <c r="CY82" i="1"/>
  <c r="DH82" i="1"/>
  <c r="DV97" i="1"/>
  <c r="EI97" i="1"/>
  <c r="EI98" i="1"/>
  <c r="EH98" i="1"/>
  <c r="DR150" i="1"/>
  <c r="EE106" i="1"/>
  <c r="ER106" i="1"/>
  <c r="DJ156" i="1"/>
  <c r="DV156" i="1"/>
  <c r="DA144" i="1"/>
  <c r="ER144" i="1"/>
  <c r="EI140" i="1"/>
  <c r="DS104" i="1"/>
  <c r="DA131" i="1"/>
  <c r="EL111" i="1"/>
  <c r="EI80" i="1"/>
  <c r="EU94" i="1"/>
  <c r="DZ95" i="1"/>
  <c r="CZ151" i="1"/>
  <c r="CZ81" i="1"/>
  <c r="DZ99" i="1"/>
  <c r="CY107" i="1"/>
  <c r="EA50" i="1"/>
  <c r="DN50" i="1"/>
  <c r="ES100" i="1"/>
  <c r="DU100" i="1"/>
  <c r="DO100" i="1"/>
  <c r="CX100" i="1"/>
  <c r="EO100" i="1"/>
  <c r="DE100" i="1"/>
  <c r="DN100" i="1"/>
  <c r="DZ100" i="1"/>
  <c r="EU100" i="1"/>
  <c r="ED100" i="1"/>
  <c r="DF100" i="1"/>
  <c r="DV100" i="1"/>
  <c r="ET100" i="1"/>
  <c r="EG100" i="1"/>
  <c r="DY100" i="1"/>
  <c r="DQ100" i="1"/>
  <c r="DI100" i="1"/>
  <c r="DD100" i="1"/>
  <c r="CY100" i="1"/>
  <c r="DJ100" i="1"/>
  <c r="EA100" i="1"/>
  <c r="DX100" i="1"/>
  <c r="DK100" i="1"/>
  <c r="EN100" i="1"/>
  <c r="DL100" i="1"/>
  <c r="DM100" i="1"/>
  <c r="DS100" i="1"/>
  <c r="EC100" i="1"/>
  <c r="DC100" i="1"/>
  <c r="EI100" i="1"/>
  <c r="ER100" i="1"/>
  <c r="EJ100" i="1"/>
  <c r="EB100" i="1"/>
  <c r="DR100" i="1"/>
  <c r="EE100" i="1"/>
  <c r="EK100" i="1"/>
  <c r="DW100" i="1"/>
  <c r="DA100" i="1"/>
  <c r="CZ100" i="1"/>
  <c r="DT100" i="1"/>
  <c r="EP100" i="1"/>
  <c r="EA79" i="1"/>
  <c r="EF79" i="1"/>
  <c r="EO79" i="1"/>
  <c r="EQ79" i="1"/>
  <c r="DA79" i="1"/>
  <c r="CZ79" i="1"/>
  <c r="EG79" i="1"/>
  <c r="EE79" i="1"/>
  <c r="EU79" i="1"/>
  <c r="ES79" i="1"/>
  <c r="DQ79" i="1"/>
  <c r="CX79" i="1"/>
  <c r="EP79" i="1"/>
  <c r="DM79" i="1"/>
  <c r="EL79" i="1"/>
  <c r="DL79" i="1"/>
  <c r="EI79" i="1"/>
  <c r="DN79" i="1"/>
  <c r="ET79" i="1"/>
  <c r="DH79" i="1"/>
  <c r="DE79" i="1"/>
  <c r="DX79" i="1"/>
  <c r="EH79" i="1"/>
  <c r="EJ79" i="1"/>
  <c r="DW79" i="1"/>
  <c r="ED79" i="1"/>
  <c r="EK79" i="1"/>
  <c r="EM79" i="1"/>
  <c r="DG79" i="1"/>
  <c r="EN79" i="1"/>
  <c r="DO79" i="1"/>
  <c r="DZ79" i="1"/>
  <c r="DI79" i="1"/>
  <c r="DU82" i="1"/>
  <c r="EG82" i="1"/>
  <c r="DS97" i="1"/>
  <c r="EU98" i="1"/>
  <c r="DB98" i="1"/>
  <c r="DQ150" i="1"/>
  <c r="DQ106" i="1"/>
  <c r="DY156" i="1"/>
  <c r="DF156" i="1"/>
  <c r="DE144" i="1"/>
  <c r="DW144" i="1"/>
  <c r="EM140" i="1"/>
  <c r="CZ104" i="1"/>
  <c r="EB131" i="1"/>
  <c r="EB79" i="1"/>
  <c r="DZ111" i="1"/>
  <c r="DU80" i="1"/>
  <c r="EC118" i="1"/>
  <c r="ER95" i="1"/>
  <c r="DB151" i="1"/>
  <c r="ES81" i="1"/>
  <c r="DJ99" i="1"/>
  <c r="DV107" i="1"/>
  <c r="EM72" i="1"/>
  <c r="DV48" i="1"/>
  <c r="EM106" i="1"/>
  <c r="EL106" i="1"/>
  <c r="DW106" i="1"/>
  <c r="DT106" i="1"/>
  <c r="EK106" i="1"/>
  <c r="DH106" i="1"/>
  <c r="DU106" i="1"/>
  <c r="DP106" i="1"/>
  <c r="DX106" i="1"/>
  <c r="CX106" i="1"/>
  <c r="DS106" i="1"/>
  <c r="EN106" i="1"/>
  <c r="DZ106" i="1"/>
  <c r="ED106" i="1"/>
  <c r="DV106" i="1"/>
  <c r="EO106" i="1"/>
  <c r="EA106" i="1"/>
  <c r="DD106" i="1"/>
  <c r="EP106" i="1"/>
  <c r="EF106" i="1"/>
  <c r="DI106" i="1"/>
  <c r="DO106" i="1"/>
  <c r="DA106" i="1"/>
  <c r="EF51" i="1"/>
  <c r="ET38" i="1"/>
  <c r="EI76" i="1"/>
  <c r="EA72" i="1"/>
  <c r="CY46" i="1"/>
  <c r="DU140" i="1"/>
  <c r="DG82" i="1"/>
  <c r="DQ82" i="1"/>
  <c r="ER94" i="1"/>
  <c r="EB97" i="1"/>
  <c r="DC97" i="1"/>
  <c r="DM98" i="1"/>
  <c r="DQ98" i="1"/>
  <c r="ER150" i="1"/>
  <c r="CZ106" i="1"/>
  <c r="EQ106" i="1"/>
  <c r="DC156" i="1"/>
  <c r="DF144" i="1"/>
  <c r="EF144" i="1"/>
  <c r="EP140" i="1"/>
  <c r="CY104" i="1"/>
  <c r="DC131" i="1"/>
  <c r="DB79" i="1"/>
  <c r="ED111" i="1"/>
  <c r="EF118" i="1"/>
  <c r="EL95" i="1"/>
  <c r="DD151" i="1"/>
  <c r="ET143" i="1"/>
  <c r="DF107" i="1"/>
  <c r="EM76" i="1"/>
  <c r="EK72" i="1"/>
  <c r="CY42" i="1"/>
  <c r="ED44" i="1"/>
  <c r="EI82" i="1"/>
  <c r="DA82" i="1"/>
  <c r="DX94" i="1"/>
  <c r="DR97" i="1"/>
  <c r="ET98" i="1"/>
  <c r="DI150" i="1"/>
  <c r="EQ150" i="1"/>
  <c r="ET106" i="1"/>
  <c r="DC106" i="1"/>
  <c r="EF156" i="1"/>
  <c r="DQ144" i="1"/>
  <c r="ET144" i="1"/>
  <c r="EU140" i="1"/>
  <c r="EG104" i="1"/>
  <c r="DV131" i="1"/>
  <c r="DF79" i="1"/>
  <c r="EN111" i="1"/>
  <c r="ES154" i="1"/>
  <c r="DQ118" i="1"/>
  <c r="EA95" i="1"/>
  <c r="DJ151" i="1"/>
  <c r="CZ94" i="1"/>
  <c r="EP143" i="1"/>
  <c r="EK107" i="1"/>
  <c r="DE97" i="1"/>
  <c r="EH97" i="1"/>
  <c r="DP97" i="1"/>
  <c r="DY97" i="1"/>
  <c r="EK97" i="1"/>
  <c r="DU97" i="1"/>
  <c r="CX97" i="1"/>
  <c r="ES97" i="1"/>
  <c r="EL97" i="1"/>
  <c r="DN97" i="1"/>
  <c r="DF97" i="1"/>
  <c r="DX97" i="1"/>
  <c r="ET97" i="1"/>
  <c r="EO97" i="1"/>
  <c r="DJ51" i="1"/>
  <c r="EP49" i="1"/>
  <c r="ES76" i="1"/>
  <c r="ES42" i="1"/>
  <c r="DB44" i="1"/>
  <c r="DF37" i="1"/>
  <c r="EF40" i="1"/>
  <c r="EM82" i="1"/>
  <c r="DY82" i="1"/>
  <c r="DQ97" i="1"/>
  <c r="EJ150" i="1"/>
  <c r="EP150" i="1"/>
  <c r="DM106" i="1"/>
  <c r="DG106" i="1"/>
  <c r="DI156" i="1"/>
  <c r="DM144" i="1"/>
  <c r="DQ104" i="1"/>
  <c r="DJ104" i="1"/>
  <c r="DR131" i="1"/>
  <c r="CY79" i="1"/>
  <c r="DU111" i="1"/>
  <c r="DR132" i="1"/>
  <c r="DH118" i="1"/>
  <c r="DZ151" i="1"/>
  <c r="DD94" i="1"/>
  <c r="EA143" i="1"/>
  <c r="DU107" i="1"/>
  <c r="DL98" i="1"/>
  <c r="EM98" i="1"/>
  <c r="DN98" i="1"/>
  <c r="DY98" i="1"/>
  <c r="EB98" i="1"/>
  <c r="DC98" i="1"/>
  <c r="EA98" i="1"/>
  <c r="DZ98" i="1"/>
  <c r="ER98" i="1"/>
  <c r="DV98" i="1"/>
  <c r="EC98" i="1"/>
  <c r="DA98" i="1"/>
  <c r="EO98" i="1"/>
  <c r="ED98" i="1"/>
  <c r="EG98" i="1"/>
  <c r="DW98" i="1"/>
  <c r="EE98" i="1"/>
  <c r="DR98" i="1"/>
  <c r="DE98" i="1"/>
  <c r="EJ98" i="1"/>
  <c r="EK98" i="1"/>
  <c r="DF98" i="1"/>
  <c r="DG98" i="1"/>
  <c r="EU55" i="1"/>
  <c r="ET55" i="1"/>
  <c r="EH55" i="1"/>
  <c r="EG144" i="1"/>
  <c r="EO144" i="1"/>
  <c r="DC144" i="1"/>
  <c r="EK144" i="1"/>
  <c r="DV144" i="1"/>
  <c r="DR144" i="1"/>
  <c r="DZ144" i="1"/>
  <c r="EN144" i="1"/>
  <c r="DN144" i="1"/>
  <c r="EP144" i="1"/>
  <c r="DX144" i="1"/>
  <c r="DK144" i="1"/>
  <c r="EA144" i="1"/>
  <c r="EC144" i="1"/>
  <c r="DP144" i="1"/>
  <c r="EB144" i="1"/>
  <c r="EI144" i="1"/>
  <c r="CZ144" i="1"/>
  <c r="EE144" i="1"/>
  <c r="DY144" i="1"/>
  <c r="DD144" i="1"/>
  <c r="EH144" i="1"/>
  <c r="EM144" i="1"/>
  <c r="DB144" i="1"/>
  <c r="EU51" i="1"/>
  <c r="DX49" i="1"/>
  <c r="DT76" i="1"/>
  <c r="DP72" i="1"/>
  <c r="EC61" i="1"/>
  <c r="DU37" i="1"/>
  <c r="EL94" i="1"/>
  <c r="ED82" i="1"/>
  <c r="EJ82" i="1"/>
  <c r="DY140" i="1"/>
  <c r="EG97" i="1"/>
  <c r="DO97" i="1"/>
  <c r="EF98" i="1"/>
  <c r="DE150" i="1"/>
  <c r="DG150" i="1"/>
  <c r="DE106" i="1"/>
  <c r="EH106" i="1"/>
  <c r="EE156" i="1"/>
  <c r="DJ144" i="1"/>
  <c r="DU144" i="1"/>
  <c r="DE104" i="1"/>
  <c r="DD104" i="1"/>
  <c r="ES131" i="1"/>
  <c r="DS79" i="1"/>
  <c r="EM111" i="1"/>
  <c r="DM132" i="1"/>
  <c r="EI118" i="1"/>
  <c r="EA151" i="1"/>
  <c r="DM143" i="1"/>
  <c r="DS51" i="1"/>
  <c r="DW49" i="1"/>
  <c r="CX72" i="1"/>
  <c r="ER52" i="1"/>
  <c r="DE42" i="1"/>
  <c r="DN61" i="1"/>
  <c r="EN154" i="1"/>
  <c r="DV140" i="1"/>
  <c r="EB82" i="1"/>
  <c r="DR82" i="1"/>
  <c r="DW97" i="1"/>
  <c r="DK97" i="1"/>
  <c r="CY97" i="1"/>
  <c r="EQ98" i="1"/>
  <c r="EF150" i="1"/>
  <c r="EM150" i="1"/>
  <c r="EI106" i="1"/>
  <c r="DR106" i="1"/>
  <c r="EC156" i="1"/>
  <c r="DO144" i="1"/>
  <c r="DB104" i="1"/>
  <c r="ER79" i="1"/>
  <c r="DT111" i="1"/>
  <c r="EN132" i="1"/>
  <c r="EF100" i="1"/>
  <c r="EF101" i="1"/>
  <c r="ED143" i="1"/>
  <c r="EI130" i="1"/>
  <c r="EB151" i="1"/>
  <c r="EH151" i="1"/>
  <c r="DH151" i="1"/>
  <c r="EF151" i="1"/>
  <c r="EJ151" i="1"/>
  <c r="DK151" i="1"/>
  <c r="EG151" i="1"/>
  <c r="EK151" i="1"/>
  <c r="DN151" i="1"/>
  <c r="ED151" i="1"/>
  <c r="DU151" i="1"/>
  <c r="DL151" i="1"/>
  <c r="EL151" i="1"/>
  <c r="DR151" i="1"/>
  <c r="DE151" i="1"/>
  <c r="EO151" i="1"/>
  <c r="DO151" i="1"/>
  <c r="CY151" i="1"/>
  <c r="EE151" i="1"/>
  <c r="DX151" i="1"/>
  <c r="EU151" i="1"/>
  <c r="DQ151" i="1"/>
  <c r="DY151" i="1"/>
  <c r="DP151" i="1"/>
  <c r="ES151" i="1"/>
  <c r="DF151" i="1"/>
  <c r="ER151" i="1"/>
  <c r="DG151" i="1"/>
  <c r="ET151" i="1"/>
  <c r="DM151" i="1"/>
  <c r="EN151" i="1"/>
  <c r="DI151" i="1"/>
  <c r="DS151" i="1"/>
  <c r="DA151" i="1"/>
  <c r="DT151" i="1"/>
  <c r="DC151" i="1"/>
  <c r="DV151" i="1"/>
  <c r="CX151" i="1"/>
  <c r="DP41" i="1"/>
  <c r="DL41" i="1"/>
  <c r="ER41" i="1"/>
  <c r="EU126" i="1"/>
  <c r="ER126" i="1"/>
  <c r="EE80" i="1"/>
  <c r="DI80" i="1"/>
  <c r="ED80" i="1"/>
  <c r="DF80" i="1"/>
  <c r="EF80" i="1"/>
  <c r="DK80" i="1"/>
  <c r="DX80" i="1"/>
  <c r="EG80" i="1"/>
  <c r="DJ80" i="1"/>
  <c r="EC80" i="1"/>
  <c r="EH80" i="1"/>
  <c r="DZ80" i="1"/>
  <c r="DE80" i="1"/>
  <c r="DY80" i="1"/>
  <c r="ER80" i="1"/>
  <c r="EK80" i="1"/>
  <c r="EB80" i="1"/>
  <c r="DV80" i="1"/>
  <c r="DO80" i="1"/>
  <c r="DN80" i="1"/>
  <c r="DH80" i="1"/>
  <c r="DG80" i="1"/>
  <c r="EL80" i="1"/>
  <c r="CY80" i="1"/>
  <c r="ES80" i="1"/>
  <c r="DM80" i="1"/>
  <c r="DD80" i="1"/>
  <c r="EM80" i="1"/>
  <c r="EA80" i="1"/>
  <c r="ET80" i="1"/>
  <c r="EQ80" i="1"/>
  <c r="DT80" i="1"/>
  <c r="DP80" i="1"/>
  <c r="EJ80" i="1"/>
  <c r="DQ80" i="1"/>
  <c r="DB80" i="1"/>
  <c r="DR80" i="1"/>
  <c r="DC80" i="1"/>
  <c r="EF46" i="1"/>
  <c r="EN46" i="1"/>
  <c r="EU154" i="1"/>
  <c r="ET154" i="1"/>
  <c r="EQ154" i="1"/>
  <c r="DS131" i="1"/>
  <c r="DI131" i="1"/>
  <c r="ER131" i="1"/>
  <c r="CX131" i="1"/>
  <c r="DY131" i="1"/>
  <c r="EU131" i="1"/>
  <c r="DF131" i="1"/>
  <c r="EH131" i="1"/>
  <c r="DG131" i="1"/>
  <c r="DK131" i="1"/>
  <c r="DP131" i="1"/>
  <c r="ET131" i="1"/>
  <c r="DJ131" i="1"/>
  <c r="EE131" i="1"/>
  <c r="DO131" i="1"/>
  <c r="DB131" i="1"/>
  <c r="DD131" i="1"/>
  <c r="EL131" i="1"/>
  <c r="DN131" i="1"/>
  <c r="EO131" i="1"/>
  <c r="DZ131" i="1"/>
  <c r="EK131" i="1"/>
  <c r="DW131" i="1"/>
  <c r="EJ131" i="1"/>
  <c r="DQ131" i="1"/>
  <c r="EM131" i="1"/>
  <c r="EC131" i="1"/>
  <c r="EI131" i="1"/>
  <c r="DH131" i="1"/>
  <c r="CY131" i="1"/>
  <c r="DX131" i="1"/>
  <c r="EF131" i="1"/>
  <c r="CZ131" i="1"/>
  <c r="EN131" i="1"/>
  <c r="ES61" i="1"/>
  <c r="EU75" i="1"/>
  <c r="EM154" i="1"/>
  <c r="EO154" i="1"/>
  <c r="EA82" i="1"/>
  <c r="DH97" i="1"/>
  <c r="EF97" i="1"/>
  <c r="ED97" i="1"/>
  <c r="DX98" i="1"/>
  <c r="EE150" i="1"/>
  <c r="DU150" i="1"/>
  <c r="ES106" i="1"/>
  <c r="DB106" i="1"/>
  <c r="DG156" i="1"/>
  <c r="DL144" i="1"/>
  <c r="DX140" i="1"/>
  <c r="DF104" i="1"/>
  <c r="DU131" i="1"/>
  <c r="DV79" i="1"/>
  <c r="DA80" i="1"/>
  <c r="DL132" i="1"/>
  <c r="EQ151" i="1"/>
  <c r="EQ100" i="1"/>
  <c r="DE101" i="1"/>
  <c r="DQ101" i="1"/>
  <c r="DS101" i="1"/>
  <c r="DY101" i="1"/>
  <c r="EP101" i="1"/>
  <c r="DT101" i="1"/>
  <c r="ET101" i="1"/>
  <c r="CX101" i="1"/>
  <c r="DM101" i="1"/>
  <c r="DG101" i="1"/>
  <c r="EI101" i="1"/>
  <c r="DU101" i="1"/>
  <c r="DF101" i="1"/>
  <c r="DZ101" i="1"/>
  <c r="CY101" i="1"/>
  <c r="DW101" i="1"/>
  <c r="DK101" i="1"/>
  <c r="ED101" i="1"/>
  <c r="EK101" i="1"/>
  <c r="EA101" i="1"/>
  <c r="DJ101" i="1"/>
  <c r="EC101" i="1"/>
  <c r="EQ101" i="1"/>
  <c r="EE101" i="1"/>
  <c r="DA101" i="1"/>
  <c r="DV101" i="1"/>
  <c r="EJ101" i="1"/>
  <c r="EL101" i="1"/>
  <c r="CZ101" i="1"/>
  <c r="DL101" i="1"/>
  <c r="EM101" i="1"/>
  <c r="EB101" i="1"/>
  <c r="DC101" i="1"/>
  <c r="DD101" i="1"/>
  <c r="DH101" i="1"/>
  <c r="DX101" i="1"/>
  <c r="DN101" i="1"/>
  <c r="ES101" i="1"/>
  <c r="DR101" i="1"/>
  <c r="EU101" i="1"/>
  <c r="EG101" i="1"/>
  <c r="DI101" i="1"/>
  <c r="DB101" i="1"/>
  <c r="DH130" i="1"/>
  <c r="DW130" i="1"/>
  <c r="EC130" i="1"/>
  <c r="CY130" i="1"/>
  <c r="DS130" i="1"/>
  <c r="CZ130" i="1"/>
  <c r="EN130" i="1"/>
  <c r="EM130" i="1"/>
  <c r="DN130" i="1"/>
  <c r="EE130" i="1"/>
  <c r="DC130" i="1"/>
  <c r="DV130" i="1"/>
  <c r="DD130" i="1"/>
  <c r="DB130" i="1"/>
  <c r="EA130" i="1"/>
  <c r="ED130" i="1"/>
  <c r="DI130" i="1"/>
  <c r="DE130" i="1"/>
  <c r="DU130" i="1"/>
  <c r="EG130" i="1"/>
  <c r="EF130" i="1"/>
  <c r="DF130" i="1"/>
  <c r="EJ130" i="1"/>
  <c r="DO130" i="1"/>
  <c r="DP130" i="1"/>
  <c r="DX130" i="1"/>
  <c r="ER130" i="1"/>
  <c r="DZ130" i="1"/>
  <c r="DJ130" i="1"/>
  <c r="ES130" i="1"/>
  <c r="EP130" i="1"/>
  <c r="DQ130" i="1"/>
  <c r="CX130" i="1"/>
  <c r="EH130" i="1"/>
  <c r="ET130" i="1"/>
  <c r="DL130" i="1"/>
  <c r="DT130" i="1"/>
  <c r="DM130" i="1"/>
  <c r="EL130" i="1"/>
  <c r="EQ130" i="1"/>
  <c r="DA130" i="1"/>
  <c r="EB130" i="1"/>
  <c r="DY130" i="1"/>
  <c r="ES82" i="1"/>
  <c r="EH82" i="1"/>
  <c r="DE82" i="1"/>
  <c r="ET82" i="1"/>
  <c r="EO82" i="1"/>
  <c r="DK82" i="1"/>
  <c r="DX82" i="1"/>
  <c r="CZ82" i="1"/>
  <c r="EC82" i="1"/>
  <c r="EP82" i="1"/>
  <c r="DC82" i="1"/>
  <c r="EU82" i="1"/>
  <c r="EL107" i="1"/>
  <c r="DB107" i="1"/>
  <c r="ES107" i="1"/>
  <c r="DL107" i="1"/>
  <c r="EA107" i="1"/>
  <c r="DK107" i="1"/>
  <c r="EE107" i="1"/>
  <c r="EB107" i="1"/>
  <c r="DG107" i="1"/>
  <c r="DM107" i="1"/>
  <c r="EC107" i="1"/>
  <c r="EO107" i="1"/>
  <c r="EG107" i="1"/>
  <c r="ED107" i="1"/>
  <c r="ER107" i="1"/>
  <c r="CX107" i="1"/>
  <c r="EH107" i="1"/>
  <c r="EU107" i="1"/>
  <c r="CZ107" i="1"/>
  <c r="DR107" i="1"/>
  <c r="DC107" i="1"/>
  <c r="DS107" i="1"/>
  <c r="DP107" i="1"/>
  <c r="EM107" i="1"/>
  <c r="DX107" i="1"/>
  <c r="DT107" i="1"/>
  <c r="DQ107" i="1"/>
  <c r="ET107" i="1"/>
  <c r="EJ107" i="1"/>
  <c r="DN107" i="1"/>
  <c r="DO107" i="1"/>
  <c r="EQ107" i="1"/>
  <c r="DY107" i="1"/>
  <c r="DA107" i="1"/>
  <c r="DZ107" i="1"/>
  <c r="EI107" i="1"/>
  <c r="DW107" i="1"/>
  <c r="EF107" i="1"/>
  <c r="DD107" i="1"/>
  <c r="DC51" i="1"/>
  <c r="EH49" i="1"/>
  <c r="DN76" i="1"/>
  <c r="EF72" i="1"/>
  <c r="DK111" i="1"/>
  <c r="DL111" i="1"/>
  <c r="ES111" i="1"/>
  <c r="DB111" i="1"/>
  <c r="DP111" i="1"/>
  <c r="EP111" i="1"/>
  <c r="DV111" i="1"/>
  <c r="EF111" i="1"/>
  <c r="DR111" i="1"/>
  <c r="DS111" i="1"/>
  <c r="DO111" i="1"/>
  <c r="DX111" i="1"/>
  <c r="DG111" i="1"/>
  <c r="EO111" i="1"/>
  <c r="DJ111" i="1"/>
  <c r="DM111" i="1"/>
  <c r="DI111" i="1"/>
  <c r="ER111" i="1"/>
  <c r="DF111" i="1"/>
  <c r="DY111" i="1"/>
  <c r="DC111" i="1"/>
  <c r="EQ111" i="1"/>
  <c r="EB111" i="1"/>
  <c r="DA111" i="1"/>
  <c r="DQ111" i="1"/>
  <c r="EC111" i="1"/>
  <c r="DD111" i="1"/>
  <c r="EG111" i="1"/>
  <c r="EE111" i="1"/>
  <c r="CY111" i="1"/>
  <c r="DN111" i="1"/>
  <c r="DW111" i="1"/>
  <c r="CX111" i="1"/>
  <c r="EI111" i="1"/>
  <c r="EH111" i="1"/>
  <c r="EJ111" i="1"/>
  <c r="EK111" i="1"/>
  <c r="DB81" i="1"/>
  <c r="ED81" i="1"/>
  <c r="DJ81" i="1"/>
  <c r="ER81" i="1"/>
  <c r="EI81" i="1"/>
  <c r="EE81" i="1"/>
  <c r="DZ81" i="1"/>
  <c r="DH81" i="1"/>
  <c r="DI81" i="1"/>
  <c r="EF81" i="1"/>
  <c r="EJ81" i="1"/>
  <c r="DX81" i="1"/>
  <c r="DA81" i="1"/>
  <c r="ET81" i="1"/>
  <c r="EN81" i="1"/>
  <c r="DR81" i="1"/>
  <c r="EU81" i="1"/>
  <c r="EC81" i="1"/>
  <c r="DV81" i="1"/>
  <c r="DQ81" i="1"/>
  <c r="EM81" i="1"/>
  <c r="DF81" i="1"/>
  <c r="DP81" i="1"/>
  <c r="DD81" i="1"/>
  <c r="EG81" i="1"/>
  <c r="DE81" i="1"/>
  <c r="DG81" i="1"/>
  <c r="DK81" i="1"/>
  <c r="DW81" i="1"/>
  <c r="DT81" i="1"/>
  <c r="EA81" i="1"/>
  <c r="EL81" i="1"/>
  <c r="EK81" i="1"/>
  <c r="EQ81" i="1"/>
  <c r="DL81" i="1"/>
  <c r="DY81" i="1"/>
  <c r="EB81" i="1"/>
  <c r="CX81" i="1"/>
  <c r="DC81" i="1"/>
  <c r="CY81" i="1"/>
  <c r="DS81" i="1"/>
  <c r="EN143" i="1"/>
  <c r="EJ143" i="1"/>
  <c r="EF143" i="1"/>
  <c r="DA143" i="1"/>
  <c r="DN143" i="1"/>
  <c r="DD143" i="1"/>
  <c r="DT143" i="1"/>
  <c r="EK143" i="1"/>
  <c r="EB143" i="1"/>
  <c r="EL143" i="1"/>
  <c r="DP143" i="1"/>
  <c r="EC143" i="1"/>
  <c r="DB143" i="1"/>
  <c r="EU143" i="1"/>
  <c r="EE143" i="1"/>
  <c r="DF143" i="1"/>
  <c r="DK143" i="1"/>
  <c r="EH143" i="1"/>
  <c r="DY143" i="1"/>
  <c r="DV143" i="1"/>
  <c r="DJ143" i="1"/>
  <c r="EQ143" i="1"/>
  <c r="DW143" i="1"/>
  <c r="ES143" i="1"/>
  <c r="DQ143" i="1"/>
  <c r="DR143" i="1"/>
  <c r="DL143" i="1"/>
  <c r="DC143" i="1"/>
  <c r="DO143" i="1"/>
  <c r="EI143" i="1"/>
  <c r="CX143" i="1"/>
  <c r="DH143" i="1"/>
  <c r="CY143" i="1"/>
  <c r="DX143" i="1"/>
  <c r="CZ143" i="1"/>
  <c r="DU143" i="1"/>
  <c r="EG143" i="1"/>
  <c r="EM143" i="1"/>
  <c r="DI143" i="1"/>
  <c r="DG143" i="1"/>
  <c r="EO143" i="1"/>
  <c r="EO51" i="1"/>
  <c r="DJ49" i="1"/>
  <c r="CX76" i="1"/>
  <c r="DL50" i="1"/>
  <c r="DK52" i="1"/>
  <c r="DI61" i="1"/>
  <c r="EB75" i="1"/>
  <c r="EE82" i="1"/>
  <c r="DI82" i="1"/>
  <c r="ER97" i="1"/>
  <c r="DJ97" i="1"/>
  <c r="DO98" i="1"/>
  <c r="EP98" i="1"/>
  <c r="EC150" i="1"/>
  <c r="DB150" i="1"/>
  <c r="DL106" i="1"/>
  <c r="DU156" i="1"/>
  <c r="ES156" i="1"/>
  <c r="EQ144" i="1"/>
  <c r="EN104" i="1"/>
  <c r="DE131" i="1"/>
  <c r="DU79" i="1"/>
  <c r="DO94" i="1"/>
  <c r="EN80" i="1"/>
  <c r="DT132" i="1"/>
  <c r="DN118" i="1"/>
  <c r="CY95" i="1"/>
  <c r="EI151" i="1"/>
  <c r="EL100" i="1"/>
  <c r="DP101" i="1"/>
  <c r="ER143" i="1"/>
  <c r="DR130" i="1"/>
  <c r="CY99" i="1"/>
  <c r="ED99" i="1"/>
  <c r="EI99" i="1"/>
  <c r="DO99" i="1"/>
  <c r="DL99" i="1"/>
  <c r="EJ99" i="1"/>
  <c r="EE99" i="1"/>
  <c r="EG99" i="1"/>
  <c r="EL99" i="1"/>
  <c r="EU99" i="1"/>
  <c r="DM99" i="1"/>
  <c r="EM99" i="1"/>
  <c r="CZ99" i="1"/>
  <c r="EH99" i="1"/>
  <c r="DB99" i="1"/>
  <c r="DF99" i="1"/>
  <c r="DW99" i="1"/>
  <c r="EK99" i="1"/>
  <c r="DY99" i="1"/>
  <c r="DX99" i="1"/>
  <c r="DA99" i="1"/>
  <c r="ES99" i="1"/>
  <c r="CX99" i="1"/>
  <c r="EO99" i="1"/>
  <c r="DP99" i="1"/>
  <c r="EN99" i="1"/>
  <c r="EF99" i="1"/>
  <c r="DC99" i="1"/>
  <c r="DG99" i="1"/>
  <c r="DD99" i="1"/>
  <c r="EA99" i="1"/>
  <c r="DE99" i="1"/>
  <c r="DH99" i="1"/>
  <c r="DN99" i="1"/>
  <c r="EB99" i="1"/>
  <c r="DQ99" i="1"/>
  <c r="DK99" i="1"/>
  <c r="DR99" i="1"/>
  <c r="ER99" i="1"/>
  <c r="EC99" i="1"/>
  <c r="DY51" i="1"/>
  <c r="EG49" i="1"/>
  <c r="DZ47" i="1"/>
  <c r="DV45" i="1"/>
  <c r="DJ75" i="1"/>
  <c r="DN82" i="1"/>
  <c r="EL82" i="1"/>
  <c r="DA97" i="1"/>
  <c r="EC97" i="1"/>
  <c r="DJ98" i="1"/>
  <c r="DD98" i="1"/>
  <c r="CZ150" i="1"/>
  <c r="EL150" i="1"/>
  <c r="DK106" i="1"/>
  <c r="DQ156" i="1"/>
  <c r="DT156" i="1"/>
  <c r="EL144" i="1"/>
  <c r="DC104" i="1"/>
  <c r="EQ131" i="1"/>
  <c r="DP79" i="1"/>
  <c r="DC79" i="1"/>
  <c r="CZ80" i="1"/>
  <c r="DI132" i="1"/>
  <c r="CX118" i="1"/>
  <c r="EM151" i="1"/>
  <c r="EH100" i="1"/>
  <c r="EN101" i="1"/>
  <c r="DV99" i="1"/>
  <c r="DZ143" i="1"/>
  <c r="EO130" i="1"/>
  <c r="DR94" i="1"/>
  <c r="EJ94" i="1"/>
  <c r="DK94" i="1"/>
  <c r="DF94" i="1"/>
  <c r="EA94" i="1"/>
  <c r="CX94" i="1"/>
  <c r="EO94" i="1"/>
  <c r="EQ94" i="1"/>
  <c r="DN94" i="1"/>
  <c r="DG94" i="1"/>
  <c r="ED94" i="1"/>
  <c r="EG94" i="1"/>
  <c r="DW94" i="1"/>
  <c r="EM94" i="1"/>
  <c r="EF94" i="1"/>
  <c r="DV94" i="1"/>
  <c r="DI94" i="1"/>
  <c r="DA94" i="1"/>
  <c r="DQ94" i="1"/>
  <c r="ET94" i="1"/>
  <c r="DL94" i="1"/>
  <c r="DT94" i="1"/>
  <c r="ES94" i="1"/>
  <c r="DP94" i="1"/>
  <c r="DZ94" i="1"/>
  <c r="DS94" i="1"/>
  <c r="DM94" i="1"/>
  <c r="DJ94" i="1"/>
  <c r="EC94" i="1"/>
  <c r="DB94" i="1"/>
  <c r="EN94" i="1"/>
  <c r="DH94" i="1"/>
  <c r="DU94" i="1"/>
  <c r="CY94" i="1"/>
  <c r="EB94" i="1"/>
  <c r="EH94" i="1"/>
  <c r="DC94" i="1"/>
  <c r="EQ140" i="1"/>
  <c r="EC140" i="1"/>
  <c r="DW140" i="1"/>
  <c r="EO140" i="1"/>
  <c r="EL140" i="1"/>
  <c r="EH140" i="1"/>
  <c r="EE140" i="1"/>
  <c r="EF140" i="1"/>
  <c r="EA140" i="1"/>
  <c r="EB140" i="1"/>
  <c r="ET140" i="1"/>
  <c r="ER140" i="1"/>
  <c r="ES140" i="1"/>
  <c r="EN140" i="1"/>
  <c r="DV95" i="1"/>
  <c r="EG95" i="1"/>
  <c r="DO95" i="1"/>
  <c r="DX95" i="1"/>
  <c r="EF95" i="1"/>
  <c r="DC95" i="1"/>
  <c r="EM95" i="1"/>
  <c r="EB95" i="1"/>
  <c r="DJ95" i="1"/>
  <c r="EN95" i="1"/>
  <c r="EI95" i="1"/>
  <c r="CZ95" i="1"/>
  <c r="EO95" i="1"/>
  <c r="EK95" i="1"/>
  <c r="DM95" i="1"/>
  <c r="EP95" i="1"/>
  <c r="DT95" i="1"/>
  <c r="DA95" i="1"/>
  <c r="DY95" i="1"/>
  <c r="DG95" i="1"/>
  <c r="ES95" i="1"/>
  <c r="DL95" i="1"/>
  <c r="ET95" i="1"/>
  <c r="DE95" i="1"/>
  <c r="EU95" i="1"/>
  <c r="DH95" i="1"/>
  <c r="EQ95" i="1"/>
  <c r="DK95" i="1"/>
  <c r="EH95" i="1"/>
  <c r="DR95" i="1"/>
  <c r="DW95" i="1"/>
  <c r="DD95" i="1"/>
  <c r="ED95" i="1"/>
  <c r="DI95" i="1"/>
  <c r="DU95" i="1"/>
  <c r="DN95" i="1"/>
  <c r="DS95" i="1"/>
  <c r="DF95" i="1"/>
  <c r="DZ70" i="1"/>
  <c r="CY70" i="1"/>
  <c r="DF50" i="1"/>
  <c r="DP45" i="1"/>
  <c r="ES126" i="1"/>
  <c r="DM82" i="1"/>
  <c r="DS82" i="1"/>
  <c r="DM97" i="1"/>
  <c r="DI97" i="1"/>
  <c r="DH98" i="1"/>
  <c r="DT98" i="1"/>
  <c r="CY150" i="1"/>
  <c r="DA150" i="1"/>
  <c r="DF106" i="1"/>
  <c r="DZ156" i="1"/>
  <c r="EJ144" i="1"/>
  <c r="EE104" i="1"/>
  <c r="EA131" i="1"/>
  <c r="DJ79" i="1"/>
  <c r="DY94" i="1"/>
  <c r="DS80" i="1"/>
  <c r="DQ95" i="1"/>
  <c r="EP151" i="1"/>
  <c r="EP81" i="1"/>
  <c r="DG100" i="1"/>
  <c r="DO101" i="1"/>
  <c r="DI99" i="1"/>
  <c r="DS143" i="1"/>
  <c r="EK130" i="1"/>
  <c r="ES68" i="1"/>
  <c r="EQ68" i="1"/>
  <c r="EH118" i="1"/>
  <c r="EJ118" i="1"/>
  <c r="DW118" i="1"/>
  <c r="DA118" i="1"/>
  <c r="DI118" i="1"/>
  <c r="DY118" i="1"/>
  <c r="DS118" i="1"/>
  <c r="EQ118" i="1"/>
  <c r="EA118" i="1"/>
  <c r="EL118" i="1"/>
  <c r="ER118" i="1"/>
  <c r="CY118" i="1"/>
  <c r="DB118" i="1"/>
  <c r="ES118" i="1"/>
  <c r="EB118" i="1"/>
  <c r="DJ118" i="1"/>
  <c r="DM118" i="1"/>
  <c r="DL118" i="1"/>
  <c r="DZ118" i="1"/>
  <c r="CZ118" i="1"/>
  <c r="EP118" i="1"/>
  <c r="DC118" i="1"/>
  <c r="DO118" i="1"/>
  <c r="DD118" i="1"/>
  <c r="EG118" i="1"/>
  <c r="DK118" i="1"/>
  <c r="DP118" i="1"/>
  <c r="ET118" i="1"/>
  <c r="DT118" i="1"/>
  <c r="DR118" i="1"/>
  <c r="EM118" i="1"/>
  <c r="DV118" i="1"/>
  <c r="DG118" i="1"/>
  <c r="DX118" i="1"/>
  <c r="ED118" i="1"/>
  <c r="EU118" i="1"/>
  <c r="EN118" i="1"/>
  <c r="EE118" i="1"/>
  <c r="DR156" i="1"/>
  <c r="EB156" i="1"/>
  <c r="DO156" i="1"/>
  <c r="DK156" i="1"/>
  <c r="DH156" i="1"/>
  <c r="DM156" i="1"/>
  <c r="EA156" i="1"/>
  <c r="ED156" i="1"/>
  <c r="EM156" i="1"/>
  <c r="EQ156" i="1"/>
  <c r="CY156" i="1"/>
  <c r="ER156" i="1"/>
  <c r="CZ156" i="1"/>
  <c r="DA156" i="1"/>
  <c r="DN156" i="1"/>
  <c r="DD156" i="1"/>
  <c r="EG156" i="1"/>
  <c r="DP156" i="1"/>
  <c r="EO156" i="1"/>
  <c r="DB156" i="1"/>
  <c r="EU156" i="1"/>
  <c r="EP156" i="1"/>
  <c r="EH156" i="1"/>
  <c r="DS156" i="1"/>
  <c r="DJ76" i="1"/>
  <c r="ER76" i="1"/>
  <c r="DD132" i="1"/>
  <c r="CY132" i="1"/>
  <c r="EJ132" i="1"/>
  <c r="DJ132" i="1"/>
  <c r="CX132" i="1"/>
  <c r="EG132" i="1"/>
  <c r="EA132" i="1"/>
  <c r="DQ132" i="1"/>
  <c r="DY132" i="1"/>
  <c r="ED132" i="1"/>
  <c r="DN132" i="1"/>
  <c r="EQ132" i="1"/>
  <c r="DS132" i="1"/>
  <c r="DE132" i="1"/>
  <c r="ES132" i="1"/>
  <c r="ER132" i="1"/>
  <c r="DO132" i="1"/>
  <c r="EF132" i="1"/>
  <c r="EO132" i="1"/>
  <c r="EH132" i="1"/>
  <c r="EK132" i="1"/>
  <c r="DG132" i="1"/>
  <c r="DC132" i="1"/>
  <c r="DB132" i="1"/>
  <c r="CZ132" i="1"/>
  <c r="DZ132" i="1"/>
  <c r="DW132" i="1"/>
  <c r="ET132" i="1"/>
  <c r="EI132" i="1"/>
  <c r="EB132" i="1"/>
  <c r="DX132" i="1"/>
  <c r="DA132" i="1"/>
  <c r="EU132" i="1"/>
  <c r="DK132" i="1"/>
  <c r="DF132" i="1"/>
  <c r="EP132" i="1"/>
  <c r="DV132" i="1"/>
  <c r="EE132" i="1"/>
  <c r="EK39" i="1"/>
  <c r="EU50" i="1"/>
  <c r="ED78" i="1"/>
  <c r="CZ45" i="1"/>
  <c r="EP154" i="1"/>
  <c r="DD82" i="1"/>
  <c r="DL82" i="1"/>
  <c r="DV82" i="1"/>
  <c r="DL97" i="1"/>
  <c r="EA97" i="1"/>
  <c r="EN98" i="1"/>
  <c r="CY98" i="1"/>
  <c r="EA150" i="1"/>
  <c r="DN106" i="1"/>
  <c r="ET156" i="1"/>
  <c r="DX156" i="1"/>
  <c r="ED144" i="1"/>
  <c r="ED131" i="1"/>
  <c r="DR79" i="1"/>
  <c r="CZ111" i="1"/>
  <c r="DE94" i="1"/>
  <c r="EU80" i="1"/>
  <c r="EL132" i="1"/>
  <c r="DU118" i="1"/>
  <c r="DP95" i="1"/>
  <c r="DW151" i="1"/>
  <c r="DU81" i="1"/>
  <c r="DB100" i="1"/>
  <c r="EH101" i="1"/>
  <c r="DU99" i="1"/>
  <c r="DJ107" i="1"/>
  <c r="DK130" i="1"/>
  <c r="DP42" i="1"/>
  <c r="DY42" i="1"/>
  <c r="EI150" i="1"/>
  <c r="ED150" i="1"/>
  <c r="EU150" i="1"/>
  <c r="DH150" i="1"/>
  <c r="DM150" i="1"/>
  <c r="DV150" i="1"/>
  <c r="DX150" i="1"/>
  <c r="EO150" i="1"/>
  <c r="DY150" i="1"/>
  <c r="EN150" i="1"/>
  <c r="DN150" i="1"/>
  <c r="DZ150" i="1"/>
  <c r="EG150" i="1"/>
  <c r="DJ150" i="1"/>
  <c r="DW150" i="1"/>
  <c r="DP150" i="1"/>
  <c r="DK150" i="1"/>
  <c r="EB150" i="1"/>
  <c r="DT150" i="1"/>
  <c r="ET150" i="1"/>
  <c r="DD150" i="1"/>
  <c r="EB47" i="1"/>
  <c r="DB47" i="1"/>
  <c r="EL52" i="1"/>
  <c r="EU52" i="1"/>
  <c r="EJ44" i="1"/>
  <c r="DK44" i="1"/>
  <c r="EO104" i="1"/>
  <c r="DU104" i="1"/>
  <c r="EI104" i="1"/>
  <c r="EP104" i="1"/>
  <c r="EU104" i="1"/>
  <c r="EQ104" i="1"/>
  <c r="DN104" i="1"/>
  <c r="DW104" i="1"/>
  <c r="ER104" i="1"/>
  <c r="DR104" i="1"/>
  <c r="DM104" i="1"/>
  <c r="ES104" i="1"/>
  <c r="DT104" i="1"/>
  <c r="ET104" i="1"/>
  <c r="DG104" i="1"/>
  <c r="EJ104" i="1"/>
  <c r="DV104" i="1"/>
  <c r="DH104" i="1"/>
  <c r="DI104" i="1"/>
  <c r="DX104" i="1"/>
  <c r="DL104" i="1"/>
  <c r="DY104" i="1"/>
  <c r="EA104" i="1"/>
  <c r="DP104" i="1"/>
  <c r="DZ104" i="1"/>
  <c r="CX104" i="1"/>
  <c r="DO104" i="1"/>
  <c r="ED104" i="1"/>
  <c r="EH104" i="1"/>
  <c r="DA104" i="1"/>
  <c r="EL104" i="1"/>
  <c r="EF104" i="1"/>
  <c r="EJ38" i="1"/>
  <c r="DJ47" i="1"/>
  <c r="DJ39" i="1"/>
  <c r="DY50" i="1"/>
  <c r="DW45" i="1"/>
  <c r="CX73" i="1"/>
  <c r="DB82" i="1"/>
  <c r="EF82" i="1"/>
  <c r="DF82" i="1"/>
  <c r="DB97" i="1"/>
  <c r="DZ97" i="1"/>
  <c r="DI98" i="1"/>
  <c r="EL98" i="1"/>
  <c r="ES150" i="1"/>
  <c r="CX150" i="1"/>
  <c r="EC106" i="1"/>
  <c r="EN156" i="1"/>
  <c r="DE156" i="1"/>
  <c r="CX144" i="1"/>
  <c r="DT144" i="1"/>
  <c r="ED140" i="1"/>
  <c r="EB104" i="1"/>
  <c r="DL131" i="1"/>
  <c r="DY79" i="1"/>
  <c r="DH111" i="1"/>
  <c r="EK94" i="1"/>
  <c r="EO80" i="1"/>
  <c r="DP132" i="1"/>
  <c r="DE118" i="1"/>
  <c r="DB95" i="1"/>
  <c r="DZ140" i="1"/>
  <c r="DO81" i="1"/>
  <c r="EM100" i="1"/>
  <c r="ER101" i="1"/>
  <c r="DT99" i="1"/>
  <c r="DI107" i="1"/>
  <c r="EU130" i="1"/>
  <c r="DK38" i="1"/>
  <c r="EC47" i="1"/>
  <c r="EL74" i="1"/>
  <c r="DA45" i="1"/>
  <c r="DT82" i="1"/>
  <c r="DO82" i="1"/>
  <c r="DJ82" i="1"/>
  <c r="EQ97" i="1"/>
  <c r="EJ97" i="1"/>
  <c r="ES98" i="1"/>
  <c r="DS98" i="1"/>
  <c r="DL150" i="1"/>
  <c r="DO150" i="1"/>
  <c r="EJ106" i="1"/>
  <c r="DJ106" i="1"/>
  <c r="EK156" i="1"/>
  <c r="DW156" i="1"/>
  <c r="CY144" i="1"/>
  <c r="DS144" i="1"/>
  <c r="EG140" i="1"/>
  <c r="EK104" i="1"/>
  <c r="EG131" i="1"/>
  <c r="DT79" i="1"/>
  <c r="DE111" i="1"/>
  <c r="CX80" i="1"/>
  <c r="DH132" i="1"/>
  <c r="EE95" i="1"/>
  <c r="EI94" i="1"/>
  <c r="DN81" i="1"/>
  <c r="DP100" i="1"/>
  <c r="DS99" i="1"/>
  <c r="EP107" i="1"/>
  <c r="EI154" i="1"/>
  <c r="EK154" i="1"/>
  <c r="DR140" i="1"/>
  <c r="EK126" i="1"/>
  <c r="EM126" i="1"/>
  <c r="EO126" i="1"/>
  <c r="J82" i="5"/>
  <c r="EN126" i="1"/>
  <c r="DP140" i="1"/>
  <c r="EQ126" i="1"/>
  <c r="EP126" i="1"/>
  <c r="EJ154" i="1"/>
  <c r="DQ140" i="1"/>
  <c r="EL126" i="1"/>
  <c r="DO140" i="1"/>
  <c r="EL154" i="1"/>
  <c r="DB51" i="1"/>
  <c r="DK51" i="1"/>
  <c r="DU51" i="1"/>
  <c r="EF38" i="1"/>
  <c r="DY38" i="1"/>
  <c r="EH38" i="1"/>
  <c r="ET49" i="1"/>
  <c r="DO49" i="1"/>
  <c r="DF53" i="1"/>
  <c r="DV53" i="1"/>
  <c r="ET47" i="1"/>
  <c r="DN47" i="1"/>
  <c r="CY76" i="1"/>
  <c r="DD76" i="1"/>
  <c r="ED76" i="1"/>
  <c r="DS39" i="1"/>
  <c r="EC39" i="1"/>
  <c r="EN72" i="1"/>
  <c r="EH72" i="1"/>
  <c r="DP50" i="1"/>
  <c r="EB50" i="1"/>
  <c r="DJ50" i="1"/>
  <c r="EA60" i="1"/>
  <c r="DN52" i="1"/>
  <c r="EE52" i="1"/>
  <c r="ER78" i="1"/>
  <c r="DG78" i="1"/>
  <c r="CX74" i="1"/>
  <c r="DO71" i="1"/>
  <c r="ET71" i="1"/>
  <c r="DX42" i="1"/>
  <c r="ED42" i="1"/>
  <c r="EB45" i="1"/>
  <c r="EQ45" i="1"/>
  <c r="EP48" i="1"/>
  <c r="EE44" i="1"/>
  <c r="DX46" i="1"/>
  <c r="DU46" i="1"/>
  <c r="EM61" i="1"/>
  <c r="DX37" i="1"/>
  <c r="DL75" i="1"/>
  <c r="DG55" i="1"/>
  <c r="DG68" i="1"/>
  <c r="EG40" i="1"/>
  <c r="EL70" i="1"/>
  <c r="DO41" i="1"/>
  <c r="DP73" i="1"/>
  <c r="DG60" i="1"/>
  <c r="DT60" i="1"/>
  <c r="EL60" i="1"/>
  <c r="DI60" i="1"/>
  <c r="DW60" i="1"/>
  <c r="ES60" i="1"/>
  <c r="DK60" i="1"/>
  <c r="ED60" i="1"/>
  <c r="EM60" i="1"/>
  <c r="CY60" i="1"/>
  <c r="DL60" i="1"/>
  <c r="DB60" i="1"/>
  <c r="DZ60" i="1"/>
  <c r="DU60" i="1"/>
  <c r="DS60" i="1"/>
  <c r="EU60" i="1"/>
  <c r="EG60" i="1"/>
  <c r="EJ60" i="1"/>
  <c r="DQ60" i="1"/>
  <c r="EB60" i="1"/>
  <c r="EH60" i="1"/>
  <c r="EI60" i="1"/>
  <c r="DP60" i="1"/>
  <c r="ED52" i="1"/>
  <c r="CX78" i="1"/>
  <c r="DE78" i="1"/>
  <c r="DX74" i="1"/>
  <c r="DP71" i="1"/>
  <c r="DJ71" i="1"/>
  <c r="DB48" i="1"/>
  <c r="EO44" i="1"/>
  <c r="ER44" i="1"/>
  <c r="DP61" i="1"/>
  <c r="EA61" i="1"/>
  <c r="DN37" i="1"/>
  <c r="DE37" i="1"/>
  <c r="EE55" i="1"/>
  <c r="DZ55" i="1"/>
  <c r="DX68" i="1"/>
  <c r="EN40" i="1"/>
  <c r="DR70" i="1"/>
  <c r="EB41" i="1"/>
  <c r="DY55" i="1"/>
  <c r="DQ73" i="1"/>
  <c r="EM73" i="1"/>
  <c r="DI73" i="1"/>
  <c r="EK73" i="1"/>
  <c r="DE73" i="1"/>
  <c r="DL73" i="1"/>
  <c r="CZ73" i="1"/>
  <c r="EO73" i="1"/>
  <c r="DM73" i="1"/>
  <c r="DS73" i="1"/>
  <c r="DF73" i="1"/>
  <c r="DU73" i="1"/>
  <c r="DB73" i="1"/>
  <c r="EL73" i="1"/>
  <c r="EP73" i="1"/>
  <c r="DW73" i="1"/>
  <c r="DR73" i="1"/>
  <c r="DC73" i="1"/>
  <c r="DG73" i="1"/>
  <c r="ES73" i="1"/>
  <c r="EH73" i="1"/>
  <c r="DV73" i="1"/>
  <c r="EQ73" i="1"/>
  <c r="EB73" i="1"/>
  <c r="DD73" i="1"/>
  <c r="EN73" i="1"/>
  <c r="DH73" i="1"/>
  <c r="EC73" i="1"/>
  <c r="DT73" i="1"/>
  <c r="DN73" i="1"/>
  <c r="ER73" i="1"/>
  <c r="EJ73" i="1"/>
  <c r="EF73" i="1"/>
  <c r="DO73" i="1"/>
  <c r="DX73" i="1"/>
  <c r="DJ73" i="1"/>
  <c r="CY73" i="1"/>
  <c r="DA73" i="1"/>
  <c r="ED73" i="1"/>
  <c r="ED51" i="1"/>
  <c r="EA51" i="1"/>
  <c r="EB38" i="1"/>
  <c r="ED38" i="1"/>
  <c r="DZ49" i="1"/>
  <c r="CY53" i="1"/>
  <c r="CX47" i="1"/>
  <c r="DT39" i="1"/>
  <c r="DH39" i="1"/>
  <c r="EO72" i="1"/>
  <c r="DN72" i="1"/>
  <c r="DE50" i="1"/>
  <c r="EE60" i="1"/>
  <c r="DO60" i="1"/>
  <c r="CZ52" i="1"/>
  <c r="EC52" i="1"/>
  <c r="ET78" i="1"/>
  <c r="DQ78" i="1"/>
  <c r="EU74" i="1"/>
  <c r="EO74" i="1"/>
  <c r="DU71" i="1"/>
  <c r="ER42" i="1"/>
  <c r="DM45" i="1"/>
  <c r="EC45" i="1"/>
  <c r="EI48" i="1"/>
  <c r="EN48" i="1"/>
  <c r="CX44" i="1"/>
  <c r="DY44" i="1"/>
  <c r="EA46" i="1"/>
  <c r="EM46" i="1"/>
  <c r="DF61" i="1"/>
  <c r="ET37" i="1"/>
  <c r="ES75" i="1"/>
  <c r="CY55" i="1"/>
  <c r="DQ55" i="1"/>
  <c r="EM40" i="1"/>
  <c r="DI70" i="1"/>
  <c r="EN41" i="1"/>
  <c r="CX53" i="1"/>
  <c r="DL74" i="1"/>
  <c r="DV51" i="1"/>
  <c r="DG51" i="1"/>
  <c r="EC51" i="1"/>
  <c r="EP51" i="1"/>
  <c r="ER51" i="1"/>
  <c r="EG51" i="1"/>
  <c r="DO51" i="1"/>
  <c r="DP51" i="1"/>
  <c r="ES51" i="1"/>
  <c r="EE51" i="1"/>
  <c r="EI49" i="1"/>
  <c r="EN49" i="1"/>
  <c r="DL49" i="1"/>
  <c r="DP49" i="1"/>
  <c r="DC49" i="1"/>
  <c r="DT49" i="1"/>
  <c r="EB49" i="1"/>
  <c r="EJ49" i="1"/>
  <c r="EO49" i="1"/>
  <c r="DH49" i="1"/>
  <c r="ER49" i="1"/>
  <c r="DQ49" i="1"/>
  <c r="DF49" i="1"/>
  <c r="DS49" i="1"/>
  <c r="DM49" i="1"/>
  <c r="EK49" i="1"/>
  <c r="EQ49" i="1"/>
  <c r="DU49" i="1"/>
  <c r="EU42" i="1"/>
  <c r="DD42" i="1"/>
  <c r="DQ42" i="1"/>
  <c r="DF42" i="1"/>
  <c r="EN42" i="1"/>
  <c r="DS42" i="1"/>
  <c r="EB42" i="1"/>
  <c r="DL42" i="1"/>
  <c r="DR42" i="1"/>
  <c r="DJ42" i="1"/>
  <c r="DG42" i="1"/>
  <c r="EO42" i="1"/>
  <c r="CZ42" i="1"/>
  <c r="DZ42" i="1"/>
  <c r="EC42" i="1"/>
  <c r="DA42" i="1"/>
  <c r="DT42" i="1"/>
  <c r="EP42" i="1"/>
  <c r="DH42" i="1"/>
  <c r="EK42" i="1"/>
  <c r="DU42" i="1"/>
  <c r="DO42" i="1"/>
  <c r="DM42" i="1"/>
  <c r="DJ61" i="1"/>
  <c r="DX61" i="1"/>
  <c r="ED61" i="1"/>
  <c r="EB61" i="1"/>
  <c r="DA61" i="1"/>
  <c r="EP61" i="1"/>
  <c r="ET61" i="1"/>
  <c r="DZ61" i="1"/>
  <c r="EH61" i="1"/>
  <c r="DO61" i="1"/>
  <c r="DR61" i="1"/>
  <c r="EN61" i="1"/>
  <c r="EI61" i="1"/>
  <c r="EQ61" i="1"/>
  <c r="EJ61" i="1"/>
  <c r="DQ61" i="1"/>
  <c r="DG61" i="1"/>
  <c r="EO61" i="1"/>
  <c r="DE61" i="1"/>
  <c r="DM61" i="1"/>
  <c r="DK61" i="1"/>
  <c r="EE61" i="1"/>
  <c r="EK61" i="1"/>
  <c r="DS61" i="1"/>
  <c r="CZ61" i="1"/>
  <c r="DQ47" i="1"/>
  <c r="ED47" i="1"/>
  <c r="EH47" i="1"/>
  <c r="EL47" i="1"/>
  <c r="EG47" i="1"/>
  <c r="DK47" i="1"/>
  <c r="DS47" i="1"/>
  <c r="DC47" i="1"/>
  <c r="EE47" i="1"/>
  <c r="DF47" i="1"/>
  <c r="DU47" i="1"/>
  <c r="DL47" i="1"/>
  <c r="DM47" i="1"/>
  <c r="EM47" i="1"/>
  <c r="EO47" i="1"/>
  <c r="DO47" i="1"/>
  <c r="DW51" i="1"/>
  <c r="EN51" i="1"/>
  <c r="DX38" i="1"/>
  <c r="DF38" i="1"/>
  <c r="DN38" i="1"/>
  <c r="DA49" i="1"/>
  <c r="EF49" i="1"/>
  <c r="DL53" i="1"/>
  <c r="EF53" i="1"/>
  <c r="DR47" i="1"/>
  <c r="DH47" i="1"/>
  <c r="DZ76" i="1"/>
  <c r="EC76" i="1"/>
  <c r="DL76" i="1"/>
  <c r="ED39" i="1"/>
  <c r="EG39" i="1"/>
  <c r="DU72" i="1"/>
  <c r="EE72" i="1"/>
  <c r="EO50" i="1"/>
  <c r="ET50" i="1"/>
  <c r="EK60" i="1"/>
  <c r="ER60" i="1"/>
  <c r="DT52" i="1"/>
  <c r="DE52" i="1"/>
  <c r="DM78" i="1"/>
  <c r="CZ78" i="1"/>
  <c r="ET74" i="1"/>
  <c r="DW74" i="1"/>
  <c r="EJ42" i="1"/>
  <c r="CX42" i="1"/>
  <c r="DJ45" i="1"/>
  <c r="DD45" i="1"/>
  <c r="EG48" i="1"/>
  <c r="DH48" i="1"/>
  <c r="EA44" i="1"/>
  <c r="DF44" i="1"/>
  <c r="DK46" i="1"/>
  <c r="DQ46" i="1"/>
  <c r="DD61" i="1"/>
  <c r="DT61" i="1"/>
  <c r="EC37" i="1"/>
  <c r="EI75" i="1"/>
  <c r="DA55" i="1"/>
  <c r="EM68" i="1"/>
  <c r="DP40" i="1"/>
  <c r="DB41" i="1"/>
  <c r="EB51" i="1"/>
  <c r="CY51" i="1"/>
  <c r="DX51" i="1"/>
  <c r="DW38" i="1"/>
  <c r="EA38" i="1"/>
  <c r="CX38" i="1"/>
  <c r="EM49" i="1"/>
  <c r="DN49" i="1"/>
  <c r="ET53" i="1"/>
  <c r="DN53" i="1"/>
  <c r="EU47" i="1"/>
  <c r="DY76" i="1"/>
  <c r="DF39" i="1"/>
  <c r="DQ39" i="1"/>
  <c r="DI72" i="1"/>
  <c r="DM72" i="1"/>
  <c r="EM50" i="1"/>
  <c r="DX50" i="1"/>
  <c r="EC60" i="1"/>
  <c r="DN60" i="1"/>
  <c r="EK52" i="1"/>
  <c r="ET52" i="1"/>
  <c r="EC78" i="1"/>
  <c r="EO78" i="1"/>
  <c r="DO74" i="1"/>
  <c r="DE74" i="1"/>
  <c r="DE71" i="1"/>
  <c r="EG42" i="1"/>
  <c r="EO45" i="1"/>
  <c r="EQ48" i="1"/>
  <c r="DX44" i="1"/>
  <c r="DN46" i="1"/>
  <c r="DB61" i="1"/>
  <c r="DC61" i="1"/>
  <c r="EB37" i="1"/>
  <c r="DW75" i="1"/>
  <c r="DP75" i="1"/>
  <c r="EF55" i="1"/>
  <c r="DV68" i="1"/>
  <c r="CX40" i="1"/>
  <c r="CZ41" i="1"/>
  <c r="EU73" i="1"/>
  <c r="EE76" i="1"/>
  <c r="DU76" i="1"/>
  <c r="DS76" i="1"/>
  <c r="DO76" i="1"/>
  <c r="DW76" i="1"/>
  <c r="DB76" i="1"/>
  <c r="EU76" i="1"/>
  <c r="EL76" i="1"/>
  <c r="DM76" i="1"/>
  <c r="DV76" i="1"/>
  <c r="DX76" i="1"/>
  <c r="EF76" i="1"/>
  <c r="DC76" i="1"/>
  <c r="EA76" i="1"/>
  <c r="DZ51" i="1"/>
  <c r="EL51" i="1"/>
  <c r="DH51" i="1"/>
  <c r="DQ38" i="1"/>
  <c r="DE38" i="1"/>
  <c r="DR49" i="1"/>
  <c r="CY49" i="1"/>
  <c r="EE49" i="1"/>
  <c r="DK53" i="1"/>
  <c r="EE53" i="1"/>
  <c r="DY47" i="1"/>
  <c r="EA47" i="1"/>
  <c r="DQ76" i="1"/>
  <c r="EJ76" i="1"/>
  <c r="DY39" i="1"/>
  <c r="DA39" i="1"/>
  <c r="DH72" i="1"/>
  <c r="ED72" i="1"/>
  <c r="DS50" i="1"/>
  <c r="DD50" i="1"/>
  <c r="EN60" i="1"/>
  <c r="DB52" i="1"/>
  <c r="DW52" i="1"/>
  <c r="EB78" i="1"/>
  <c r="EK78" i="1"/>
  <c r="DQ74" i="1"/>
  <c r="EN74" i="1"/>
  <c r="DT71" i="1"/>
  <c r="EN71" i="1"/>
  <c r="EF42" i="1"/>
  <c r="EQ42" i="1"/>
  <c r="DI45" i="1"/>
  <c r="EF48" i="1"/>
  <c r="DY48" i="1"/>
  <c r="DU44" i="1"/>
  <c r="DM46" i="1"/>
  <c r="DL61" i="1"/>
  <c r="DU61" i="1"/>
  <c r="EU37" i="1"/>
  <c r="EK75" i="1"/>
  <c r="CZ75" i="1"/>
  <c r="EI55" i="1"/>
  <c r="DP55" i="1"/>
  <c r="DE68" i="1"/>
  <c r="EP40" i="1"/>
  <c r="DC41" i="1"/>
  <c r="DK73" i="1"/>
  <c r="DS53" i="1"/>
  <c r="DA51" i="1"/>
  <c r="DR51" i="1"/>
  <c r="ER38" i="1"/>
  <c r="DZ38" i="1"/>
  <c r="DG49" i="1"/>
  <c r="ED49" i="1"/>
  <c r="DK49" i="1"/>
  <c r="EC53" i="1"/>
  <c r="DM53" i="1"/>
  <c r="DX47" i="1"/>
  <c r="DG47" i="1"/>
  <c r="DH76" i="1"/>
  <c r="DR76" i="1"/>
  <c r="DO39" i="1"/>
  <c r="DD39" i="1"/>
  <c r="EF39" i="1"/>
  <c r="DG72" i="1"/>
  <c r="DL72" i="1"/>
  <c r="EF50" i="1"/>
  <c r="ES50" i="1"/>
  <c r="DJ60" i="1"/>
  <c r="DH60" i="1"/>
  <c r="EI52" i="1"/>
  <c r="DG52" i="1"/>
  <c r="DZ78" i="1"/>
  <c r="EJ78" i="1"/>
  <c r="ES74" i="1"/>
  <c r="DD74" i="1"/>
  <c r="DS71" i="1"/>
  <c r="DX71" i="1"/>
  <c r="EA42" i="1"/>
  <c r="EP45" i="1"/>
  <c r="EC48" i="1"/>
  <c r="DG48" i="1"/>
  <c r="DT44" i="1"/>
  <c r="DH46" i="1"/>
  <c r="DS46" i="1"/>
  <c r="DH61" i="1"/>
  <c r="EJ75" i="1"/>
  <c r="ET75" i="1"/>
  <c r="CZ55" i="1"/>
  <c r="EK68" i="1"/>
  <c r="DZ40" i="1"/>
  <c r="DR60" i="1"/>
  <c r="EH78" i="1"/>
  <c r="DU48" i="1"/>
  <c r="CZ51" i="1"/>
  <c r="CX51" i="1"/>
  <c r="DO38" i="1"/>
  <c r="CX49" i="1"/>
  <c r="ES49" i="1"/>
  <c r="DC53" i="1"/>
  <c r="EK53" i="1"/>
  <c r="EN47" i="1"/>
  <c r="EQ76" i="1"/>
  <c r="CZ76" i="1"/>
  <c r="ET39" i="1"/>
  <c r="ES72" i="1"/>
  <c r="EJ72" i="1"/>
  <c r="ED50" i="1"/>
  <c r="DQ50" i="1"/>
  <c r="DC60" i="1"/>
  <c r="EQ60" i="1"/>
  <c r="DQ52" i="1"/>
  <c r="CX52" i="1"/>
  <c r="DY78" i="1"/>
  <c r="DS78" i="1"/>
  <c r="DS74" i="1"/>
  <c r="EM74" i="1"/>
  <c r="DR71" i="1"/>
  <c r="EM42" i="1"/>
  <c r="DK42" i="1"/>
  <c r="DO45" i="1"/>
  <c r="EB48" i="1"/>
  <c r="EU48" i="1"/>
  <c r="EQ46" i="1"/>
  <c r="DC46" i="1"/>
  <c r="CY61" i="1"/>
  <c r="DC75" i="1"/>
  <c r="ED75" i="1"/>
  <c r="ER55" i="1"/>
  <c r="EA68" i="1"/>
  <c r="DG40" i="1"/>
  <c r="DJ40" i="1"/>
  <c r="DA41" i="1"/>
  <c r="ET73" i="1"/>
  <c r="DQ40" i="1"/>
  <c r="DS68" i="1"/>
  <c r="CX68" i="1"/>
  <c r="DY68" i="1"/>
  <c r="EN68" i="1"/>
  <c r="DR68" i="1"/>
  <c r="EU68" i="1"/>
  <c r="EL68" i="1"/>
  <c r="ED68" i="1"/>
  <c r="CZ68" i="1"/>
  <c r="EE68" i="1"/>
  <c r="DU68" i="1"/>
  <c r="EF68" i="1"/>
  <c r="EJ68" i="1"/>
  <c r="DB68" i="1"/>
  <c r="EO68" i="1"/>
  <c r="DF68" i="1"/>
  <c r="DM68" i="1"/>
  <c r="EG68" i="1"/>
  <c r="DP68" i="1"/>
  <c r="EC68" i="1"/>
  <c r="DA68" i="1"/>
  <c r="DH68" i="1"/>
  <c r="EB68" i="1"/>
  <c r="DC68" i="1"/>
  <c r="EP68" i="1"/>
  <c r="DI68" i="1"/>
  <c r="EI68" i="1"/>
  <c r="DT68" i="1"/>
  <c r="DD68" i="1"/>
  <c r="DJ68" i="1"/>
  <c r="ER68" i="1"/>
  <c r="CY68" i="1"/>
  <c r="ET68" i="1"/>
  <c r="DQ68" i="1"/>
  <c r="DU39" i="1"/>
  <c r="EO39" i="1"/>
  <c r="DL39" i="1"/>
  <c r="EP39" i="1"/>
  <c r="EL39" i="1"/>
  <c r="EI39" i="1"/>
  <c r="EB39" i="1"/>
  <c r="CY39" i="1"/>
  <c r="DE39" i="1"/>
  <c r="DK39" i="1"/>
  <c r="ER39" i="1"/>
  <c r="DV39" i="1"/>
  <c r="EM39" i="1"/>
  <c r="DM39" i="1"/>
  <c r="CZ39" i="1"/>
  <c r="EQ39" i="1"/>
  <c r="DG39" i="1"/>
  <c r="DN39" i="1"/>
  <c r="EO70" i="1"/>
  <c r="DS70" i="1"/>
  <c r="EE70" i="1"/>
  <c r="ET70" i="1"/>
  <c r="DE70" i="1"/>
  <c r="DA70" i="1"/>
  <c r="DM70" i="1"/>
  <c r="DV70" i="1"/>
  <c r="DT70" i="1"/>
  <c r="EF70" i="1"/>
  <c r="DF70" i="1"/>
  <c r="EM70" i="1"/>
  <c r="EN70" i="1"/>
  <c r="DN70" i="1"/>
  <c r="DG70" i="1"/>
  <c r="DC70" i="1"/>
  <c r="EG70" i="1"/>
  <c r="DK70" i="1"/>
  <c r="DX70" i="1"/>
  <c r="DW70" i="1"/>
  <c r="EH70" i="1"/>
  <c r="DL70" i="1"/>
  <c r="EP70" i="1"/>
  <c r="ER70" i="1"/>
  <c r="DB70" i="1"/>
  <c r="CX70" i="1"/>
  <c r="DP70" i="1"/>
  <c r="EQ70" i="1"/>
  <c r="DU70" i="1"/>
  <c r="DQ70" i="1"/>
  <c r="EI70" i="1"/>
  <c r="DD70" i="1"/>
  <c r="EJ70" i="1"/>
  <c r="EA70" i="1"/>
  <c r="ES70" i="1"/>
  <c r="DH70" i="1"/>
  <c r="DY70" i="1"/>
  <c r="CZ70" i="1"/>
  <c r="ED70" i="1"/>
  <c r="DO70" i="1"/>
  <c r="DY71" i="1"/>
  <c r="DW71" i="1"/>
  <c r="EC71" i="1"/>
  <c r="EQ71" i="1"/>
  <c r="EP71" i="1"/>
  <c r="EE71" i="1"/>
  <c r="DI71" i="1"/>
  <c r="DB71" i="1"/>
  <c r="EG71" i="1"/>
  <c r="DG71" i="1"/>
  <c r="EH71" i="1"/>
  <c r="EM71" i="1"/>
  <c r="DZ71" i="1"/>
  <c r="EK71" i="1"/>
  <c r="CX71" i="1"/>
  <c r="ER71" i="1"/>
  <c r="DC71" i="1"/>
  <c r="DQ71" i="1"/>
  <c r="DF71" i="1"/>
  <c r="ES71" i="1"/>
  <c r="DM71" i="1"/>
  <c r="DN71" i="1"/>
  <c r="DS38" i="1"/>
  <c r="DG38" i="1"/>
  <c r="DP38" i="1"/>
  <c r="EQ38" i="1"/>
  <c r="EI38" i="1"/>
  <c r="EC38" i="1"/>
  <c r="CY38" i="1"/>
  <c r="DH38" i="1"/>
  <c r="DT38" i="1"/>
  <c r="EM38" i="1"/>
  <c r="DJ38" i="1"/>
  <c r="EM52" i="1"/>
  <c r="DY52" i="1"/>
  <c r="DC52" i="1"/>
  <c r="EJ52" i="1"/>
  <c r="DI52" i="1"/>
  <c r="DA52" i="1"/>
  <c r="DD52" i="1"/>
  <c r="EA52" i="1"/>
  <c r="EG52" i="1"/>
  <c r="DM52" i="1"/>
  <c r="ES52" i="1"/>
  <c r="DU52" i="1"/>
  <c r="EO52" i="1"/>
  <c r="DJ52" i="1"/>
  <c r="DX52" i="1"/>
  <c r="EP52" i="1"/>
  <c r="EB52" i="1"/>
  <c r="EQ52" i="1"/>
  <c r="DV44" i="1"/>
  <c r="EG44" i="1"/>
  <c r="EC44" i="1"/>
  <c r="EK44" i="1"/>
  <c r="EL44" i="1"/>
  <c r="DN44" i="1"/>
  <c r="DS44" i="1"/>
  <c r="DP44" i="1"/>
  <c r="DG44" i="1"/>
  <c r="EH44" i="1"/>
  <c r="ES44" i="1"/>
  <c r="DR44" i="1"/>
  <c r="DW44" i="1"/>
  <c r="DO44" i="1"/>
  <c r="ET44" i="1"/>
  <c r="EM44" i="1"/>
  <c r="EI44" i="1"/>
  <c r="EU44" i="1"/>
  <c r="DE44" i="1"/>
  <c r="DQ44" i="1"/>
  <c r="CZ44" i="1"/>
  <c r="EQ44" i="1"/>
  <c r="EN44" i="1"/>
  <c r="CY44" i="1"/>
  <c r="DZ44" i="1"/>
  <c r="EP44" i="1"/>
  <c r="DD44" i="1"/>
  <c r="DG37" i="1"/>
  <c r="EQ37" i="1"/>
  <c r="EG37" i="1"/>
  <c r="DY37" i="1"/>
  <c r="DW37" i="1"/>
  <c r="DB37" i="1"/>
  <c r="DA37" i="1"/>
  <c r="DR37" i="1"/>
  <c r="EM37" i="1"/>
  <c r="DS37" i="1"/>
  <c r="EP37" i="1"/>
  <c r="DQ37" i="1"/>
  <c r="DC37" i="1"/>
  <c r="EJ37" i="1"/>
  <c r="DH37" i="1"/>
  <c r="EA37" i="1"/>
  <c r="DT37" i="1"/>
  <c r="DK37" i="1"/>
  <c r="ER37" i="1"/>
  <c r="EK37" i="1"/>
  <c r="EH37" i="1"/>
  <c r="DJ37" i="1"/>
  <c r="DV37" i="1"/>
  <c r="EI37" i="1"/>
  <c r="ES37" i="1"/>
  <c r="DD37" i="1"/>
  <c r="DL37" i="1"/>
  <c r="DO37" i="1"/>
  <c r="EL37" i="1"/>
  <c r="EO37" i="1"/>
  <c r="DP37" i="1"/>
  <c r="EN37" i="1"/>
  <c r="EE37" i="1"/>
  <c r="ED37" i="1"/>
  <c r="EK51" i="1"/>
  <c r="DM38" i="1"/>
  <c r="DV38" i="1"/>
  <c r="DV49" i="1"/>
  <c r="DY49" i="1"/>
  <c r="EC49" i="1"/>
  <c r="EH53" i="1"/>
  <c r="EI53" i="1"/>
  <c r="DU53" i="1"/>
  <c r="DV47" i="1"/>
  <c r="DG76" i="1"/>
  <c r="EH76" i="1"/>
  <c r="DX39" i="1"/>
  <c r="DA72" i="1"/>
  <c r="DE72" i="1"/>
  <c r="DT72" i="1"/>
  <c r="DV50" i="1"/>
  <c r="CY50" i="1"/>
  <c r="DA60" i="1"/>
  <c r="DY60" i="1"/>
  <c r="DO52" i="1"/>
  <c r="EH52" i="1"/>
  <c r="DV52" i="1"/>
  <c r="DV78" i="1"/>
  <c r="DB78" i="1"/>
  <c r="DI74" i="1"/>
  <c r="DU74" i="1"/>
  <c r="EJ71" i="1"/>
  <c r="EL71" i="1"/>
  <c r="DC42" i="1"/>
  <c r="DQ45" i="1"/>
  <c r="EL48" i="1"/>
  <c r="DA44" i="1"/>
  <c r="DF46" i="1"/>
  <c r="EH46" i="1"/>
  <c r="DW61" i="1"/>
  <c r="DT75" i="1"/>
  <c r="DN75" i="1"/>
  <c r="DK55" i="1"/>
  <c r="DO68" i="1"/>
  <c r="DF40" i="1"/>
  <c r="DJ70" i="1"/>
  <c r="EQ41" i="1"/>
  <c r="CZ53" i="1"/>
  <c r="DD60" i="1"/>
  <c r="DZ48" i="1"/>
  <c r="DR48" i="1"/>
  <c r="DD48" i="1"/>
  <c r="ER48" i="1"/>
  <c r="EA48" i="1"/>
  <c r="DE48" i="1"/>
  <c r="DS48" i="1"/>
  <c r="DP48" i="1"/>
  <c r="EJ48" i="1"/>
  <c r="EM48" i="1"/>
  <c r="DI48" i="1"/>
  <c r="DM48" i="1"/>
  <c r="CX48" i="1"/>
  <c r="CZ48" i="1"/>
  <c r="DJ48" i="1"/>
  <c r="DX48" i="1"/>
  <c r="DN48" i="1"/>
  <c r="DT48" i="1"/>
  <c r="DK48" i="1"/>
  <c r="EH48" i="1"/>
  <c r="ET48" i="1"/>
  <c r="DA48" i="1"/>
  <c r="DQ48" i="1"/>
  <c r="EK48" i="1"/>
  <c r="DO48" i="1"/>
  <c r="EO48" i="1"/>
  <c r="DF48" i="1"/>
  <c r="ET60" i="1"/>
  <c r="EQ51" i="1"/>
  <c r="DQ51" i="1"/>
  <c r="DA38" i="1"/>
  <c r="DE49" i="1"/>
  <c r="CZ49" i="1"/>
  <c r="EB53" i="1"/>
  <c r="ES47" i="1"/>
  <c r="DW47" i="1"/>
  <c r="DD47" i="1"/>
  <c r="EP76" i="1"/>
  <c r="DP76" i="1"/>
  <c r="DR39" i="1"/>
  <c r="DC39" i="1"/>
  <c r="CZ72" i="1"/>
  <c r="DS72" i="1"/>
  <c r="DD72" i="1"/>
  <c r="DU50" i="1"/>
  <c r="EQ50" i="1"/>
  <c r="CZ60" i="1"/>
  <c r="DF60" i="1"/>
  <c r="DP52" i="1"/>
  <c r="DF52" i="1"/>
  <c r="DP78" i="1"/>
  <c r="EG74" i="1"/>
  <c r="CZ74" i="1"/>
  <c r="DK71" i="1"/>
  <c r="DV71" i="1"/>
  <c r="EL42" i="1"/>
  <c r="EA45" i="1"/>
  <c r="CY48" i="1"/>
  <c r="DI44" i="1"/>
  <c r="EP46" i="1"/>
  <c r="DR46" i="1"/>
  <c r="CX61" i="1"/>
  <c r="EF37" i="1"/>
  <c r="DS75" i="1"/>
  <c r="DV55" i="1"/>
  <c r="DN68" i="1"/>
  <c r="DH40" i="1"/>
  <c r="EU70" i="1"/>
  <c r="CY41" i="1"/>
  <c r="EE73" i="1"/>
  <c r="EP53" i="1"/>
  <c r="EU53" i="1"/>
  <c r="EL53" i="1"/>
  <c r="DD53" i="1"/>
  <c r="DA53" i="1"/>
  <c r="DO53" i="1"/>
  <c r="EM53" i="1"/>
  <c r="DT53" i="1"/>
  <c r="DW53" i="1"/>
  <c r="DP53" i="1"/>
  <c r="EN53" i="1"/>
  <c r="EJ53" i="1"/>
  <c r="EQ53" i="1"/>
  <c r="DR53" i="1"/>
  <c r="DZ53" i="1"/>
  <c r="DE53" i="1"/>
  <c r="DB53" i="1"/>
  <c r="ED53" i="1"/>
  <c r="DC78" i="1"/>
  <c r="EF78" i="1"/>
  <c r="EA78" i="1"/>
  <c r="DD78" i="1"/>
  <c r="CY78" i="1"/>
  <c r="DU78" i="1"/>
  <c r="DN78" i="1"/>
  <c r="EL78" i="1"/>
  <c r="EU78" i="1"/>
  <c r="DK78" i="1"/>
  <c r="DF78" i="1"/>
  <c r="DL78" i="1"/>
  <c r="DH78" i="1"/>
  <c r="DW78" i="1"/>
  <c r="DO78" i="1"/>
  <c r="EG78" i="1"/>
  <c r="DR78" i="1"/>
  <c r="DJ53" i="1"/>
  <c r="EF60" i="1"/>
  <c r="DF74" i="1"/>
  <c r="DF51" i="1"/>
  <c r="EJ51" i="1"/>
  <c r="EP38" i="1"/>
  <c r="DL38" i="1"/>
  <c r="EN38" i="1"/>
  <c r="EL49" i="1"/>
  <c r="EA53" i="1"/>
  <c r="EG53" i="1"/>
  <c r="EJ47" i="1"/>
  <c r="DT47" i="1"/>
  <c r="DA47" i="1"/>
  <c r="DF76" i="1"/>
  <c r="EG76" i="1"/>
  <c r="EJ39" i="1"/>
  <c r="ES39" i="1"/>
  <c r="CY72" i="1"/>
  <c r="ER72" i="1"/>
  <c r="EK50" i="1"/>
  <c r="DT50" i="1"/>
  <c r="CX60" i="1"/>
  <c r="EP60" i="1"/>
  <c r="DR52" i="1"/>
  <c r="DZ52" i="1"/>
  <c r="ES78" i="1"/>
  <c r="EI78" i="1"/>
  <c r="DG74" i="1"/>
  <c r="CY71" i="1"/>
  <c r="EI71" i="1"/>
  <c r="ET42" i="1"/>
  <c r="DB42" i="1"/>
  <c r="EI45" i="1"/>
  <c r="DL48" i="1"/>
  <c r="ED48" i="1"/>
  <c r="DC44" i="1"/>
  <c r="DD46" i="1"/>
  <c r="DB46" i="1"/>
  <c r="EU61" i="1"/>
  <c r="CY37" i="1"/>
  <c r="DT55" i="1"/>
  <c r="DL68" i="1"/>
  <c r="DE40" i="1"/>
  <c r="EC70" i="1"/>
  <c r="EP41" i="1"/>
  <c r="DZ73" i="1"/>
  <c r="EI50" i="1"/>
  <c r="EC50" i="1"/>
  <c r="CX50" i="1"/>
  <c r="CZ50" i="1"/>
  <c r="DM50" i="1"/>
  <c r="DA50" i="1"/>
  <c r="DR50" i="1"/>
  <c r="EN50" i="1"/>
  <c r="EJ50" i="1"/>
  <c r="DB50" i="1"/>
  <c r="DC50" i="1"/>
  <c r="DO50" i="1"/>
  <c r="DH50" i="1"/>
  <c r="DW50" i="1"/>
  <c r="ER50" i="1"/>
  <c r="DT45" i="1"/>
  <c r="DC45" i="1"/>
  <c r="DN45" i="1"/>
  <c r="EL45" i="1"/>
  <c r="EJ45" i="1"/>
  <c r="DY45" i="1"/>
  <c r="DR45" i="1"/>
  <c r="EM45" i="1"/>
  <c r="DE45" i="1"/>
  <c r="ES45" i="1"/>
  <c r="DH45" i="1"/>
  <c r="DU45" i="1"/>
  <c r="DF45" i="1"/>
  <c r="EN45" i="1"/>
  <c r="EK45" i="1"/>
  <c r="DZ45" i="1"/>
  <c r="CX45" i="1"/>
  <c r="DK45" i="1"/>
  <c r="ET45" i="1"/>
  <c r="CY45" i="1"/>
  <c r="EU45" i="1"/>
  <c r="ED45" i="1"/>
  <c r="DS45" i="1"/>
  <c r="EF45" i="1"/>
  <c r="EF75" i="1"/>
  <c r="EE75" i="1"/>
  <c r="DU75" i="1"/>
  <c r="DG75" i="1"/>
  <c r="DF75" i="1"/>
  <c r="DV75" i="1"/>
  <c r="DY75" i="1"/>
  <c r="DX75" i="1"/>
  <c r="EC75" i="1"/>
  <c r="EQ75" i="1"/>
  <c r="EP75" i="1"/>
  <c r="EG75" i="1"/>
  <c r="DK75" i="1"/>
  <c r="DD75" i="1"/>
  <c r="DH75" i="1"/>
  <c r="EL75" i="1"/>
  <c r="DZ75" i="1"/>
  <c r="EM75" i="1"/>
  <c r="CY75" i="1"/>
  <c r="ER75" i="1"/>
  <c r="EO75" i="1"/>
  <c r="DA75" i="1"/>
  <c r="DI75" i="1"/>
  <c r="DO75" i="1"/>
  <c r="DB75" i="1"/>
  <c r="CX75" i="1"/>
  <c r="EA75" i="1"/>
  <c r="EN75" i="1"/>
  <c r="EH75" i="1"/>
  <c r="DN51" i="1"/>
  <c r="EI51" i="1"/>
  <c r="EL38" i="1"/>
  <c r="ES38" i="1"/>
  <c r="DU38" i="1"/>
  <c r="DD49" i="1"/>
  <c r="DY53" i="1"/>
  <c r="DG53" i="1"/>
  <c r="EI47" i="1"/>
  <c r="EK47" i="1"/>
  <c r="EF47" i="1"/>
  <c r="EO76" i="1"/>
  <c r="EH39" i="1"/>
  <c r="DW39" i="1"/>
  <c r="DX72" i="1"/>
  <c r="DR72" i="1"/>
  <c r="EH50" i="1"/>
  <c r="EL50" i="1"/>
  <c r="DK50" i="1"/>
  <c r="DX60" i="1"/>
  <c r="DS52" i="1"/>
  <c r="CY52" i="1"/>
  <c r="EQ78" i="1"/>
  <c r="DI78" i="1"/>
  <c r="DA78" i="1"/>
  <c r="CY74" i="1"/>
  <c r="EU71" i="1"/>
  <c r="DD71" i="1"/>
  <c r="DW42" i="1"/>
  <c r="EI42" i="1"/>
  <c r="EH45" i="1"/>
  <c r="ER45" i="1"/>
  <c r="ES48" i="1"/>
  <c r="EB44" i="1"/>
  <c r="DM44" i="1"/>
  <c r="DY61" i="1"/>
  <c r="DV61" i="1"/>
  <c r="DM37" i="1"/>
  <c r="DE75" i="1"/>
  <c r="DL55" i="1"/>
  <c r="DK68" i="1"/>
  <c r="EK41" i="1"/>
  <c r="EA73" i="1"/>
  <c r="DM51" i="1"/>
  <c r="DL51" i="1"/>
  <c r="DD51" i="1"/>
  <c r="EK38" i="1"/>
  <c r="DI38" i="1"/>
  <c r="CZ38" i="1"/>
  <c r="EA49" i="1"/>
  <c r="DQ53" i="1"/>
  <c r="ER53" i="1"/>
  <c r="ER47" i="1"/>
  <c r="DE47" i="1"/>
  <c r="DP47" i="1"/>
  <c r="DE76" i="1"/>
  <c r="DK76" i="1"/>
  <c r="EE39" i="1"/>
  <c r="DB39" i="1"/>
  <c r="EG72" i="1"/>
  <c r="EG50" i="1"/>
  <c r="DI50" i="1"/>
  <c r="EP50" i="1"/>
  <c r="DM60" i="1"/>
  <c r="DE60" i="1"/>
  <c r="EF52" i="1"/>
  <c r="EP78" i="1"/>
  <c r="DJ78" i="1"/>
  <c r="EN78" i="1"/>
  <c r="EO71" i="1"/>
  <c r="ED71" i="1"/>
  <c r="DV42" i="1"/>
  <c r="EE42" i="1"/>
  <c r="EG45" i="1"/>
  <c r="DX45" i="1"/>
  <c r="DW48" i="1"/>
  <c r="EF44" i="1"/>
  <c r="ER61" i="1"/>
  <c r="DZ37" i="1"/>
  <c r="DQ75" i="1"/>
  <c r="EH68" i="1"/>
  <c r="DY73" i="1"/>
  <c r="ES53" i="1"/>
  <c r="EO53" i="1"/>
  <c r="ED40" i="1"/>
  <c r="EO40" i="1"/>
  <c r="EA40" i="1"/>
  <c r="ET40" i="1"/>
  <c r="DU40" i="1"/>
  <c r="EI40" i="1"/>
  <c r="CY40" i="1"/>
  <c r="EQ40" i="1"/>
  <c r="ES40" i="1"/>
  <c r="DO40" i="1"/>
  <c r="DA40" i="1"/>
  <c r="DY40" i="1"/>
  <c r="EE40" i="1"/>
  <c r="DV40" i="1"/>
  <c r="DI40" i="1"/>
  <c r="EU40" i="1"/>
  <c r="ER40" i="1"/>
  <c r="DK40" i="1"/>
  <c r="DR40" i="1"/>
  <c r="DC40" i="1"/>
  <c r="DL40" i="1"/>
  <c r="EK40" i="1"/>
  <c r="DX40" i="1"/>
  <c r="DW40" i="1"/>
  <c r="CZ40" i="1"/>
  <c r="DM40" i="1"/>
  <c r="DS40" i="1"/>
  <c r="EJ40" i="1"/>
  <c r="EL40" i="1"/>
  <c r="EC40" i="1"/>
  <c r="DD40" i="1"/>
  <c r="DN40" i="1"/>
  <c r="DT40" i="1"/>
  <c r="EB40" i="1"/>
  <c r="DP74" i="1"/>
  <c r="EP74" i="1"/>
  <c r="DY74" i="1"/>
  <c r="DM74" i="1"/>
  <c r="EF74" i="1"/>
  <c r="DH74" i="1"/>
  <c r="EA74" i="1"/>
  <c r="DN74" i="1"/>
  <c r="DB74" i="1"/>
  <c r="DZ74" i="1"/>
  <c r="EB74" i="1"/>
  <c r="DJ74" i="1"/>
  <c r="DR74" i="1"/>
  <c r="ER74" i="1"/>
  <c r="EC74" i="1"/>
  <c r="DK74" i="1"/>
  <c r="EH74" i="1"/>
  <c r="DA74" i="1"/>
  <c r="EJ74" i="1"/>
  <c r="DC74" i="1"/>
  <c r="DT74" i="1"/>
  <c r="EQ74" i="1"/>
  <c r="DV74" i="1"/>
  <c r="EE74" i="1"/>
  <c r="EK74" i="1"/>
  <c r="EG55" i="1"/>
  <c r="DH55" i="1"/>
  <c r="DI55" i="1"/>
  <c r="DB55" i="1"/>
  <c r="DE55" i="1"/>
  <c r="EB55" i="1"/>
  <c r="DJ55" i="1"/>
  <c r="DW55" i="1"/>
  <c r="DO55" i="1"/>
  <c r="DU55" i="1"/>
  <c r="ED55" i="1"/>
  <c r="EO55" i="1"/>
  <c r="EQ55" i="1"/>
  <c r="EC55" i="1"/>
  <c r="DF55" i="1"/>
  <c r="EJ55" i="1"/>
  <c r="DX55" i="1"/>
  <c r="DS55" i="1"/>
  <c r="EK55" i="1"/>
  <c r="EP55" i="1"/>
  <c r="DM55" i="1"/>
  <c r="EL55" i="1"/>
  <c r="DC55" i="1"/>
  <c r="EM55" i="1"/>
  <c r="EN55" i="1"/>
  <c r="ES55" i="1"/>
  <c r="DN55" i="1"/>
  <c r="DD55" i="1"/>
  <c r="DR55" i="1"/>
  <c r="CX55" i="1"/>
  <c r="DF72" i="1"/>
  <c r="DJ72" i="1"/>
  <c r="DB72" i="1"/>
  <c r="DV72" i="1"/>
  <c r="EB72" i="1"/>
  <c r="DW72" i="1"/>
  <c r="EL72" i="1"/>
  <c r="ET72" i="1"/>
  <c r="DY72" i="1"/>
  <c r="DK72" i="1"/>
  <c r="DO72" i="1"/>
  <c r="DZ72" i="1"/>
  <c r="EC72" i="1"/>
  <c r="EP72" i="1"/>
  <c r="DC72" i="1"/>
  <c r="EU72" i="1"/>
  <c r="DQ72" i="1"/>
  <c r="EC41" i="1"/>
  <c r="EL41" i="1"/>
  <c r="ES41" i="1"/>
  <c r="CX41" i="1"/>
  <c r="DE41" i="1"/>
  <c r="DF41" i="1"/>
  <c r="DS41" i="1"/>
  <c r="DI41" i="1"/>
  <c r="DZ41" i="1"/>
  <c r="EO41" i="1"/>
  <c r="DJ41" i="1"/>
  <c r="EU41" i="1"/>
  <c r="DT41" i="1"/>
  <c r="DG41" i="1"/>
  <c r="DU41" i="1"/>
  <c r="DY41" i="1"/>
  <c r="EA41" i="1"/>
  <c r="DV41" i="1"/>
  <c r="DK41" i="1"/>
  <c r="DW41" i="1"/>
  <c r="ED41" i="1"/>
  <c r="EH41" i="1"/>
  <c r="DR41" i="1"/>
  <c r="EE41" i="1"/>
  <c r="DH41" i="1"/>
  <c r="DN41" i="1"/>
  <c r="EG41" i="1"/>
  <c r="ET41" i="1"/>
  <c r="DX41" i="1"/>
  <c r="EI41" i="1"/>
  <c r="EM41" i="1"/>
  <c r="DD41" i="1"/>
  <c r="DM41" i="1"/>
  <c r="DQ41" i="1"/>
  <c r="EF41" i="1"/>
  <c r="EI46" i="1"/>
  <c r="EO46" i="1"/>
  <c r="ES46" i="1"/>
  <c r="DL46" i="1"/>
  <c r="DO46" i="1"/>
  <c r="DA46" i="1"/>
  <c r="EC46" i="1"/>
  <c r="DW46" i="1"/>
  <c r="EG46" i="1"/>
  <c r="EB46" i="1"/>
  <c r="CX46" i="1"/>
  <c r="DG46" i="1"/>
  <c r="DP46" i="1"/>
  <c r="DE46" i="1"/>
  <c r="EJ46" i="1"/>
  <c r="ED46" i="1"/>
  <c r="DI46" i="1"/>
  <c r="EK46" i="1"/>
  <c r="EE46" i="1"/>
  <c r="DJ46" i="1"/>
  <c r="EL46" i="1"/>
  <c r="CZ46" i="1"/>
  <c r="DY46" i="1"/>
  <c r="DE51" i="1"/>
  <c r="ET51" i="1"/>
  <c r="EM51" i="1"/>
  <c r="EO38" i="1"/>
  <c r="EU38" i="1"/>
  <c r="DC38" i="1"/>
  <c r="EU49" i="1"/>
  <c r="DB49" i="1"/>
  <c r="DH53" i="1"/>
  <c r="DX53" i="1"/>
  <c r="EP47" i="1"/>
  <c r="EQ47" i="1"/>
  <c r="CZ47" i="1"/>
  <c r="EN76" i="1"/>
  <c r="ET76" i="1"/>
  <c r="DZ39" i="1"/>
  <c r="CX39" i="1"/>
  <c r="EI72" i="1"/>
  <c r="EE50" i="1"/>
  <c r="DG50" i="1"/>
  <c r="DZ50" i="1"/>
  <c r="EO60" i="1"/>
  <c r="EN52" i="1"/>
  <c r="DL52" i="1"/>
  <c r="EM78" i="1"/>
  <c r="EE78" i="1"/>
  <c r="DX78" i="1"/>
  <c r="ED74" i="1"/>
  <c r="EF71" i="1"/>
  <c r="DL71" i="1"/>
  <c r="DN42" i="1"/>
  <c r="DI42" i="1"/>
  <c r="EE45" i="1"/>
  <c r="DB45" i="1"/>
  <c r="DC48" i="1"/>
  <c r="DJ44" i="1"/>
  <c r="DL44" i="1"/>
  <c r="DV46" i="1"/>
  <c r="DZ46" i="1"/>
  <c r="EF61" i="1"/>
  <c r="EG61" i="1"/>
  <c r="DI37" i="1"/>
  <c r="DM75" i="1"/>
  <c r="EA55" i="1"/>
  <c r="DZ68" i="1"/>
  <c r="DB40" i="1"/>
  <c r="EB70" i="1"/>
  <c r="EJ41" i="1"/>
  <c r="EI73" i="1"/>
  <c r="EW33" i="1"/>
  <c r="EX33" i="1" s="1"/>
  <c r="EY33" i="1" s="1"/>
  <c r="EZ33" i="1" s="1"/>
  <c r="FA33" i="1" s="1"/>
  <c r="FB33" i="1" s="1"/>
  <c r="FC33" i="1" s="1"/>
  <c r="FD33" i="1" s="1"/>
  <c r="FE33" i="1" s="1"/>
  <c r="FF33" i="1" s="1"/>
  <c r="FG33" i="1" s="1"/>
  <c r="FH33" i="1" s="1"/>
  <c r="FI33" i="1" s="1"/>
  <c r="FJ33" i="1" s="1"/>
  <c r="FK33" i="1" s="1"/>
  <c r="FL33" i="1" s="1"/>
  <c r="FM33" i="1" s="1"/>
  <c r="FN33" i="1" s="1"/>
  <c r="FO33" i="1" s="1"/>
  <c r="FP33" i="1" s="1"/>
  <c r="FQ33" i="1" s="1"/>
  <c r="FR33" i="1" s="1"/>
  <c r="FS33" i="1" s="1"/>
  <c r="FT33" i="1" s="1"/>
  <c r="FU33" i="1" s="1"/>
  <c r="FV33" i="1" s="1"/>
  <c r="FW33" i="1" s="1"/>
  <c r="FX33" i="1" s="1"/>
  <c r="FY33" i="1" s="1"/>
  <c r="FZ33" i="1" s="1"/>
  <c r="GA33" i="1" s="1"/>
  <c r="GB33" i="1" s="1"/>
  <c r="GC33" i="1" s="1"/>
  <c r="GD33" i="1" s="1"/>
  <c r="GE33" i="1" s="1"/>
  <c r="GF33" i="1" s="1"/>
  <c r="GG33" i="1" s="1"/>
  <c r="GH33" i="1" s="1"/>
  <c r="GI33" i="1" s="1"/>
  <c r="GJ33" i="1" s="1"/>
  <c r="GK33" i="1" s="1"/>
  <c r="GL33" i="1" s="1"/>
  <c r="GM33" i="1" s="1"/>
  <c r="GN33" i="1" s="1"/>
  <c r="GO33" i="1" s="1"/>
  <c r="GP33" i="1" s="1"/>
  <c r="GQ33" i="1" s="1"/>
  <c r="GR33" i="1" s="1"/>
  <c r="GS33" i="1" s="1"/>
  <c r="GT33" i="1" s="1"/>
  <c r="GU33" i="1" s="1"/>
  <c r="GV33" i="1" s="1"/>
  <c r="GW33" i="1" s="1"/>
  <c r="GX33" i="1" s="1"/>
  <c r="GY33" i="1" s="1"/>
  <c r="GZ33" i="1" s="1"/>
  <c r="HA33" i="1" s="1"/>
  <c r="HB33" i="1" s="1"/>
  <c r="HC33" i="1" s="1"/>
  <c r="HD33" i="1" s="1"/>
  <c r="HE33" i="1" s="1"/>
  <c r="HF33" i="1" s="1"/>
  <c r="HG33" i="1" s="1"/>
  <c r="HH33" i="1" s="1"/>
  <c r="HI33" i="1" s="1"/>
  <c r="HJ33" i="1" s="1"/>
  <c r="HK33" i="1" s="1"/>
  <c r="HL33" i="1" s="1"/>
  <c r="HM33" i="1" s="1"/>
  <c r="HN33" i="1" s="1"/>
  <c r="HO33" i="1" s="1"/>
  <c r="HP33" i="1" s="1"/>
  <c r="HQ33" i="1" s="1"/>
  <c r="HR33" i="1" s="1"/>
  <c r="HS33" i="1" s="1"/>
  <c r="HT33" i="1" s="1"/>
  <c r="HU33" i="1" s="1"/>
  <c r="HV33" i="1" s="1"/>
  <c r="HW33" i="1" s="1"/>
  <c r="HX33" i="1" s="1"/>
  <c r="HY33" i="1" s="1"/>
  <c r="HZ33" i="1" s="1"/>
  <c r="IA33" i="1" s="1"/>
  <c r="IB33" i="1" s="1"/>
  <c r="IC33" i="1" s="1"/>
  <c r="ID33" i="1" s="1"/>
  <c r="IE33" i="1" s="1"/>
  <c r="IF33" i="1" s="1"/>
  <c r="IG33" i="1" s="1"/>
  <c r="IH33" i="1" s="1"/>
  <c r="II33" i="1" s="1"/>
  <c r="IJ33" i="1" s="1"/>
  <c r="IK33" i="1" s="1"/>
  <c r="IL33" i="1" s="1"/>
  <c r="IM33" i="1" s="1"/>
  <c r="IN33" i="1" s="1"/>
  <c r="IO33" i="1" s="1"/>
  <c r="IP33" i="1" s="1"/>
  <c r="IQ33" i="1" s="1"/>
  <c r="IR33" i="1" s="1"/>
  <c r="EW29" i="1"/>
  <c r="EX29" i="1" s="1"/>
  <c r="EY29" i="1" s="1"/>
  <c r="EZ29" i="1" s="1"/>
  <c r="FA29" i="1" s="1"/>
  <c r="FB29" i="1" s="1"/>
  <c r="FC29" i="1" s="1"/>
  <c r="FD29" i="1" s="1"/>
  <c r="FE29" i="1" s="1"/>
  <c r="FF29" i="1" s="1"/>
  <c r="FG29" i="1" s="1"/>
  <c r="FH29" i="1" s="1"/>
  <c r="FI29" i="1" s="1"/>
  <c r="FJ29" i="1" s="1"/>
  <c r="FK29" i="1" s="1"/>
  <c r="FL29" i="1" s="1"/>
  <c r="FM29" i="1" s="1"/>
  <c r="FN29" i="1" s="1"/>
  <c r="FO29" i="1" s="1"/>
  <c r="FP29" i="1" s="1"/>
  <c r="FQ29" i="1" s="1"/>
  <c r="FR29" i="1" s="1"/>
  <c r="FS29" i="1" s="1"/>
  <c r="FT29" i="1" s="1"/>
  <c r="FU29" i="1" s="1"/>
  <c r="FV29" i="1" s="1"/>
  <c r="FW29" i="1" s="1"/>
  <c r="FX29" i="1" s="1"/>
  <c r="FY29" i="1" s="1"/>
  <c r="FZ29" i="1" s="1"/>
  <c r="GA29" i="1" s="1"/>
  <c r="GB29" i="1" s="1"/>
  <c r="GC29" i="1" s="1"/>
  <c r="GD29" i="1" s="1"/>
  <c r="GE29" i="1" s="1"/>
  <c r="GF29" i="1" s="1"/>
  <c r="GG29" i="1" s="1"/>
  <c r="GH29" i="1" s="1"/>
  <c r="GI29" i="1" s="1"/>
  <c r="GJ29" i="1" s="1"/>
  <c r="GK29" i="1" s="1"/>
  <c r="GL29" i="1" s="1"/>
  <c r="GM29" i="1" s="1"/>
  <c r="GN29" i="1" s="1"/>
  <c r="GO29" i="1" s="1"/>
  <c r="GP29" i="1" s="1"/>
  <c r="GQ29" i="1" s="1"/>
  <c r="GR29" i="1" s="1"/>
  <c r="GS29" i="1" s="1"/>
  <c r="GT29" i="1" s="1"/>
  <c r="GU29" i="1" s="1"/>
  <c r="GV29" i="1" s="1"/>
  <c r="GW29" i="1" s="1"/>
  <c r="GX29" i="1" s="1"/>
  <c r="GY29" i="1" s="1"/>
  <c r="GZ29" i="1" s="1"/>
  <c r="HA29" i="1" s="1"/>
  <c r="HB29" i="1" s="1"/>
  <c r="HC29" i="1" s="1"/>
  <c r="HD29" i="1" s="1"/>
  <c r="HE29" i="1" s="1"/>
  <c r="HF29" i="1" s="1"/>
  <c r="HG29" i="1" s="1"/>
  <c r="HH29" i="1" s="1"/>
  <c r="HI29" i="1" s="1"/>
  <c r="HJ29" i="1" s="1"/>
  <c r="HK29" i="1" s="1"/>
  <c r="HL29" i="1" s="1"/>
  <c r="HM29" i="1" s="1"/>
  <c r="HN29" i="1" s="1"/>
  <c r="HO29" i="1" s="1"/>
  <c r="HP29" i="1" s="1"/>
  <c r="HQ29" i="1" s="1"/>
  <c r="HR29" i="1" s="1"/>
  <c r="HS29" i="1" s="1"/>
  <c r="HT29" i="1" s="1"/>
  <c r="HU29" i="1" s="1"/>
  <c r="HV29" i="1" s="1"/>
  <c r="HW29" i="1" s="1"/>
  <c r="HX29" i="1" s="1"/>
  <c r="HY29" i="1" s="1"/>
  <c r="HZ29" i="1" s="1"/>
  <c r="IA29" i="1" s="1"/>
  <c r="IB29" i="1" s="1"/>
  <c r="IC29" i="1" s="1"/>
  <c r="ID29" i="1" s="1"/>
  <c r="IE29" i="1" s="1"/>
  <c r="IF29" i="1" s="1"/>
  <c r="IG29" i="1" s="1"/>
  <c r="IH29" i="1" s="1"/>
  <c r="II29" i="1" s="1"/>
  <c r="IJ29" i="1" s="1"/>
  <c r="IK29" i="1" s="1"/>
  <c r="IL29" i="1" s="1"/>
  <c r="IM29" i="1" s="1"/>
  <c r="IN29" i="1" s="1"/>
  <c r="IO29" i="1" s="1"/>
  <c r="IP29" i="1" s="1"/>
  <c r="IQ29" i="1" s="1"/>
  <c r="IR29" i="1" s="1"/>
  <c r="EL5" i="1"/>
  <c r="EG10" i="1"/>
  <c r="EW4" i="1"/>
  <c r="EX4" i="1" s="1"/>
  <c r="EY4" i="1" s="1"/>
  <c r="EZ4" i="1" s="1"/>
  <c r="FA4" i="1" s="1"/>
  <c r="FB4" i="1" s="1"/>
  <c r="FC4" i="1" s="1"/>
  <c r="FD4" i="1" s="1"/>
  <c r="FE4" i="1" s="1"/>
  <c r="FF4" i="1" s="1"/>
  <c r="FG4" i="1" s="1"/>
  <c r="FH4" i="1" s="1"/>
  <c r="FI4" i="1" s="1"/>
  <c r="FJ4" i="1" s="1"/>
  <c r="FK4" i="1" s="1"/>
  <c r="FL4" i="1" s="1"/>
  <c r="FM4" i="1" s="1"/>
  <c r="FN4" i="1" s="1"/>
  <c r="FO4" i="1" s="1"/>
  <c r="FP4" i="1" s="1"/>
  <c r="FQ4" i="1" s="1"/>
  <c r="FR4" i="1" s="1"/>
  <c r="FS4" i="1" s="1"/>
  <c r="FT4" i="1" s="1"/>
  <c r="FU4" i="1" s="1"/>
  <c r="FV4" i="1" s="1"/>
  <c r="FW4" i="1" s="1"/>
  <c r="FX4" i="1" s="1"/>
  <c r="FY4" i="1" s="1"/>
  <c r="FZ4" i="1" s="1"/>
  <c r="GA4" i="1" s="1"/>
  <c r="GB4" i="1" s="1"/>
  <c r="GC4" i="1" s="1"/>
  <c r="GD4" i="1" s="1"/>
  <c r="GE4" i="1" s="1"/>
  <c r="GF4" i="1" s="1"/>
  <c r="GG4" i="1" s="1"/>
  <c r="GH4" i="1" s="1"/>
  <c r="GI4" i="1" s="1"/>
  <c r="GJ4" i="1" s="1"/>
  <c r="GK4" i="1" s="1"/>
  <c r="GL4" i="1" s="1"/>
  <c r="GM4" i="1" s="1"/>
  <c r="GN4" i="1" s="1"/>
  <c r="GO4" i="1" s="1"/>
  <c r="GP4" i="1" s="1"/>
  <c r="GQ4" i="1" s="1"/>
  <c r="GR4" i="1" s="1"/>
  <c r="GS4" i="1" s="1"/>
  <c r="GT4" i="1" s="1"/>
  <c r="GU4" i="1" s="1"/>
  <c r="GV4" i="1" s="1"/>
  <c r="GW4" i="1" s="1"/>
  <c r="GX4" i="1" s="1"/>
  <c r="GY4" i="1" s="1"/>
  <c r="GZ4" i="1" s="1"/>
  <c r="HA4" i="1" s="1"/>
  <c r="HB4" i="1" s="1"/>
  <c r="HC4" i="1" s="1"/>
  <c r="HD4" i="1" s="1"/>
  <c r="HE4" i="1" s="1"/>
  <c r="HF4" i="1" s="1"/>
  <c r="HG4" i="1" s="1"/>
  <c r="HH4" i="1" s="1"/>
  <c r="HI4" i="1" s="1"/>
  <c r="HJ4" i="1" s="1"/>
  <c r="HK4" i="1" s="1"/>
  <c r="HL4" i="1" s="1"/>
  <c r="HM4" i="1" s="1"/>
  <c r="HN4" i="1" s="1"/>
  <c r="HO4" i="1" s="1"/>
  <c r="HP4" i="1" s="1"/>
  <c r="HQ4" i="1" s="1"/>
  <c r="HR4" i="1" s="1"/>
  <c r="HS4" i="1" s="1"/>
  <c r="HT4" i="1" s="1"/>
  <c r="HU4" i="1" s="1"/>
  <c r="HV4" i="1" s="1"/>
  <c r="HW4" i="1" s="1"/>
  <c r="HX4" i="1" s="1"/>
  <c r="HY4" i="1" s="1"/>
  <c r="HZ4" i="1" s="1"/>
  <c r="IA4" i="1" s="1"/>
  <c r="IB4" i="1" s="1"/>
  <c r="IC4" i="1" s="1"/>
  <c r="ID4" i="1" s="1"/>
  <c r="IE4" i="1" s="1"/>
  <c r="IF4" i="1" s="1"/>
  <c r="IG4" i="1" s="1"/>
  <c r="IH4" i="1" s="1"/>
  <c r="II4" i="1" s="1"/>
  <c r="IJ4" i="1" s="1"/>
  <c r="IK4" i="1" s="1"/>
  <c r="IL4" i="1" s="1"/>
  <c r="IM4" i="1" s="1"/>
  <c r="IN4" i="1" s="1"/>
  <c r="IO4" i="1" s="1"/>
  <c r="IP4" i="1" s="1"/>
  <c r="IQ4" i="1" s="1"/>
  <c r="IR4" i="1" s="1"/>
  <c r="EW13" i="1"/>
  <c r="EX13" i="1" s="1"/>
  <c r="EY13" i="1" s="1"/>
  <c r="EZ13" i="1" s="1"/>
  <c r="FA13" i="1" s="1"/>
  <c r="FB13" i="1" s="1"/>
  <c r="FC13" i="1" s="1"/>
  <c r="FD13" i="1" s="1"/>
  <c r="FE13" i="1" s="1"/>
  <c r="FF13" i="1" s="1"/>
  <c r="FG13" i="1" s="1"/>
  <c r="FH13" i="1" s="1"/>
  <c r="FI13" i="1" s="1"/>
  <c r="FJ13" i="1" s="1"/>
  <c r="FK13" i="1" s="1"/>
  <c r="FL13" i="1" s="1"/>
  <c r="FM13" i="1" s="1"/>
  <c r="FN13" i="1" s="1"/>
  <c r="FO13" i="1" s="1"/>
  <c r="FP13" i="1" s="1"/>
  <c r="FQ13" i="1" s="1"/>
  <c r="FR13" i="1" s="1"/>
  <c r="FS13" i="1" s="1"/>
  <c r="FT13" i="1" s="1"/>
  <c r="FU13" i="1" s="1"/>
  <c r="FV13" i="1" s="1"/>
  <c r="FW13" i="1" s="1"/>
  <c r="FX13" i="1" s="1"/>
  <c r="FY13" i="1" s="1"/>
  <c r="FZ13" i="1" s="1"/>
  <c r="GA13" i="1" s="1"/>
  <c r="GB13" i="1" s="1"/>
  <c r="GC13" i="1" s="1"/>
  <c r="GD13" i="1" s="1"/>
  <c r="GE13" i="1" s="1"/>
  <c r="GF13" i="1" s="1"/>
  <c r="GG13" i="1" s="1"/>
  <c r="GH13" i="1" s="1"/>
  <c r="GI13" i="1" s="1"/>
  <c r="GJ13" i="1" s="1"/>
  <c r="GK13" i="1" s="1"/>
  <c r="GL13" i="1" s="1"/>
  <c r="GM13" i="1" s="1"/>
  <c r="GN13" i="1" s="1"/>
  <c r="GO13" i="1" s="1"/>
  <c r="GP13" i="1" s="1"/>
  <c r="GQ13" i="1" s="1"/>
  <c r="GR13" i="1" s="1"/>
  <c r="GS13" i="1" s="1"/>
  <c r="GT13" i="1" s="1"/>
  <c r="GU13" i="1" s="1"/>
  <c r="GV13" i="1" s="1"/>
  <c r="GW13" i="1" s="1"/>
  <c r="GX13" i="1" s="1"/>
  <c r="GY13" i="1" s="1"/>
  <c r="GZ13" i="1" s="1"/>
  <c r="HA13" i="1" s="1"/>
  <c r="HB13" i="1" s="1"/>
  <c r="HC13" i="1" s="1"/>
  <c r="HD13" i="1" s="1"/>
  <c r="HE13" i="1" s="1"/>
  <c r="HF13" i="1" s="1"/>
  <c r="HG13" i="1" s="1"/>
  <c r="HH13" i="1" s="1"/>
  <c r="HI13" i="1" s="1"/>
  <c r="HJ13" i="1" s="1"/>
  <c r="HK13" i="1" s="1"/>
  <c r="HL13" i="1" s="1"/>
  <c r="HM13" i="1" s="1"/>
  <c r="HN13" i="1" s="1"/>
  <c r="HO13" i="1" s="1"/>
  <c r="HP13" i="1" s="1"/>
  <c r="HQ13" i="1" s="1"/>
  <c r="HR13" i="1" s="1"/>
  <c r="HS13" i="1" s="1"/>
  <c r="HT13" i="1" s="1"/>
  <c r="HU13" i="1" s="1"/>
  <c r="HV13" i="1" s="1"/>
  <c r="HW13" i="1" s="1"/>
  <c r="HX13" i="1" s="1"/>
  <c r="HY13" i="1" s="1"/>
  <c r="HZ13" i="1" s="1"/>
  <c r="IA13" i="1" s="1"/>
  <c r="IB13" i="1" s="1"/>
  <c r="IC13" i="1" s="1"/>
  <c r="ID13" i="1" s="1"/>
  <c r="IE13" i="1" s="1"/>
  <c r="IF13" i="1" s="1"/>
  <c r="IG13" i="1" s="1"/>
  <c r="IH13" i="1" s="1"/>
  <c r="II13" i="1" s="1"/>
  <c r="IJ13" i="1" s="1"/>
  <c r="IK13" i="1" s="1"/>
  <c r="IL13" i="1" s="1"/>
  <c r="IM13" i="1" s="1"/>
  <c r="IN13" i="1" s="1"/>
  <c r="IO13" i="1" s="1"/>
  <c r="IP13" i="1" s="1"/>
  <c r="IQ13" i="1" s="1"/>
  <c r="IR13" i="1" s="1"/>
  <c r="EI5" i="1"/>
  <c r="EW6" i="1"/>
  <c r="EX6" i="1" s="1"/>
  <c r="EY6" i="1" s="1"/>
  <c r="EZ6" i="1" s="1"/>
  <c r="FA6" i="1" s="1"/>
  <c r="FB6" i="1" s="1"/>
  <c r="FC6" i="1" s="1"/>
  <c r="FD6" i="1" s="1"/>
  <c r="FE6" i="1" s="1"/>
  <c r="FF6" i="1" s="1"/>
  <c r="FG6" i="1" s="1"/>
  <c r="FH6" i="1" s="1"/>
  <c r="FI6" i="1" s="1"/>
  <c r="FJ6" i="1" s="1"/>
  <c r="FK6" i="1" s="1"/>
  <c r="FL6" i="1" s="1"/>
  <c r="FM6" i="1" s="1"/>
  <c r="FN6" i="1" s="1"/>
  <c r="FO6" i="1" s="1"/>
  <c r="FP6" i="1" s="1"/>
  <c r="FQ6" i="1" s="1"/>
  <c r="FR6" i="1" s="1"/>
  <c r="FS6" i="1" s="1"/>
  <c r="FT6" i="1" s="1"/>
  <c r="FU6" i="1" s="1"/>
  <c r="FV6" i="1" s="1"/>
  <c r="FW6" i="1" s="1"/>
  <c r="FX6" i="1" s="1"/>
  <c r="FY6" i="1" s="1"/>
  <c r="FZ6" i="1" s="1"/>
  <c r="GA6" i="1" s="1"/>
  <c r="GB6" i="1" s="1"/>
  <c r="GC6" i="1" s="1"/>
  <c r="GD6" i="1" s="1"/>
  <c r="GE6" i="1" s="1"/>
  <c r="GF6" i="1" s="1"/>
  <c r="GG6" i="1" s="1"/>
  <c r="GH6" i="1" s="1"/>
  <c r="GI6" i="1" s="1"/>
  <c r="GJ6" i="1" s="1"/>
  <c r="GK6" i="1" s="1"/>
  <c r="GL6" i="1" s="1"/>
  <c r="GM6" i="1" s="1"/>
  <c r="GN6" i="1" s="1"/>
  <c r="GO6" i="1" s="1"/>
  <c r="GP6" i="1" s="1"/>
  <c r="GQ6" i="1" s="1"/>
  <c r="GR6" i="1" s="1"/>
  <c r="GS6" i="1" s="1"/>
  <c r="GT6" i="1" s="1"/>
  <c r="GU6" i="1" s="1"/>
  <c r="GV6" i="1" s="1"/>
  <c r="GW6" i="1" s="1"/>
  <c r="GX6" i="1" s="1"/>
  <c r="GY6" i="1" s="1"/>
  <c r="GZ6" i="1" s="1"/>
  <c r="HA6" i="1" s="1"/>
  <c r="HB6" i="1" s="1"/>
  <c r="HC6" i="1" s="1"/>
  <c r="HD6" i="1" s="1"/>
  <c r="HE6" i="1" s="1"/>
  <c r="HF6" i="1" s="1"/>
  <c r="HG6" i="1" s="1"/>
  <c r="HH6" i="1" s="1"/>
  <c r="HI6" i="1" s="1"/>
  <c r="HJ6" i="1" s="1"/>
  <c r="HK6" i="1" s="1"/>
  <c r="HL6" i="1" s="1"/>
  <c r="HM6" i="1" s="1"/>
  <c r="HN6" i="1" s="1"/>
  <c r="HO6" i="1" s="1"/>
  <c r="HP6" i="1" s="1"/>
  <c r="HQ6" i="1" s="1"/>
  <c r="HR6" i="1" s="1"/>
  <c r="HS6" i="1" s="1"/>
  <c r="HT6" i="1" s="1"/>
  <c r="HU6" i="1" s="1"/>
  <c r="HV6" i="1" s="1"/>
  <c r="HW6" i="1" s="1"/>
  <c r="HX6" i="1" s="1"/>
  <c r="HY6" i="1" s="1"/>
  <c r="HZ6" i="1" s="1"/>
  <c r="IA6" i="1" s="1"/>
  <c r="IB6" i="1" s="1"/>
  <c r="IC6" i="1" s="1"/>
  <c r="ID6" i="1" s="1"/>
  <c r="IE6" i="1" s="1"/>
  <c r="IF6" i="1" s="1"/>
  <c r="IG6" i="1" s="1"/>
  <c r="IH6" i="1" s="1"/>
  <c r="II6" i="1" s="1"/>
  <c r="IJ6" i="1" s="1"/>
  <c r="IK6" i="1" s="1"/>
  <c r="IL6" i="1" s="1"/>
  <c r="IM6" i="1" s="1"/>
  <c r="IN6" i="1" s="1"/>
  <c r="IO6" i="1" s="1"/>
  <c r="IP6" i="1" s="1"/>
  <c r="IQ6" i="1" s="1"/>
  <c r="IR6" i="1" s="1"/>
  <c r="DD5" i="1"/>
  <c r="EW15" i="1"/>
  <c r="EX15" i="1" s="1"/>
  <c r="EY15" i="1" s="1"/>
  <c r="EZ15" i="1" s="1"/>
  <c r="FA15" i="1" s="1"/>
  <c r="FB15" i="1" s="1"/>
  <c r="FC15" i="1" s="1"/>
  <c r="FD15" i="1" s="1"/>
  <c r="FE15" i="1" s="1"/>
  <c r="FF15" i="1" s="1"/>
  <c r="FG15" i="1" s="1"/>
  <c r="FH15" i="1" s="1"/>
  <c r="FI15" i="1" s="1"/>
  <c r="FJ15" i="1" s="1"/>
  <c r="FK15" i="1" s="1"/>
  <c r="FL15" i="1" s="1"/>
  <c r="FM15" i="1" s="1"/>
  <c r="FN15" i="1" s="1"/>
  <c r="FO15" i="1" s="1"/>
  <c r="FP15" i="1" s="1"/>
  <c r="FQ15" i="1" s="1"/>
  <c r="FR15" i="1" s="1"/>
  <c r="FS15" i="1" s="1"/>
  <c r="FT15" i="1" s="1"/>
  <c r="FU15" i="1" s="1"/>
  <c r="FV15" i="1" s="1"/>
  <c r="FW15" i="1" s="1"/>
  <c r="FX15" i="1" s="1"/>
  <c r="FY15" i="1" s="1"/>
  <c r="FZ15" i="1" s="1"/>
  <c r="GA15" i="1" s="1"/>
  <c r="GB15" i="1" s="1"/>
  <c r="GC15" i="1" s="1"/>
  <c r="GD15" i="1" s="1"/>
  <c r="GE15" i="1" s="1"/>
  <c r="GF15" i="1" s="1"/>
  <c r="GG15" i="1" s="1"/>
  <c r="GH15" i="1" s="1"/>
  <c r="GI15" i="1" s="1"/>
  <c r="GJ15" i="1" s="1"/>
  <c r="GK15" i="1" s="1"/>
  <c r="GL15" i="1" s="1"/>
  <c r="GM15" i="1" s="1"/>
  <c r="GN15" i="1" s="1"/>
  <c r="GO15" i="1" s="1"/>
  <c r="GP15" i="1" s="1"/>
  <c r="GQ15" i="1" s="1"/>
  <c r="GR15" i="1" s="1"/>
  <c r="GS15" i="1" s="1"/>
  <c r="GT15" i="1" s="1"/>
  <c r="GU15" i="1" s="1"/>
  <c r="GV15" i="1" s="1"/>
  <c r="GW15" i="1" s="1"/>
  <c r="GX15" i="1" s="1"/>
  <c r="GY15" i="1" s="1"/>
  <c r="GZ15" i="1" s="1"/>
  <c r="HA15" i="1" s="1"/>
  <c r="HB15" i="1" s="1"/>
  <c r="HC15" i="1" s="1"/>
  <c r="HD15" i="1" s="1"/>
  <c r="HE15" i="1" s="1"/>
  <c r="HF15" i="1" s="1"/>
  <c r="HG15" i="1" s="1"/>
  <c r="HH15" i="1" s="1"/>
  <c r="HI15" i="1" s="1"/>
  <c r="HJ15" i="1" s="1"/>
  <c r="HK15" i="1" s="1"/>
  <c r="HL15" i="1" s="1"/>
  <c r="HM15" i="1" s="1"/>
  <c r="HN15" i="1" s="1"/>
  <c r="HO15" i="1" s="1"/>
  <c r="HP15" i="1" s="1"/>
  <c r="HQ15" i="1" s="1"/>
  <c r="HR15" i="1" s="1"/>
  <c r="HS15" i="1" s="1"/>
  <c r="HT15" i="1" s="1"/>
  <c r="HU15" i="1" s="1"/>
  <c r="HV15" i="1" s="1"/>
  <c r="HW15" i="1" s="1"/>
  <c r="HX15" i="1" s="1"/>
  <c r="HY15" i="1" s="1"/>
  <c r="HZ15" i="1" s="1"/>
  <c r="IA15" i="1" s="1"/>
  <c r="IB15" i="1" s="1"/>
  <c r="IC15" i="1" s="1"/>
  <c r="ID15" i="1" s="1"/>
  <c r="IE15" i="1" s="1"/>
  <c r="IF15" i="1" s="1"/>
  <c r="IG15" i="1" s="1"/>
  <c r="IH15" i="1" s="1"/>
  <c r="II15" i="1" s="1"/>
  <c r="IJ15" i="1" s="1"/>
  <c r="IK15" i="1" s="1"/>
  <c r="IL15" i="1" s="1"/>
  <c r="IM15" i="1" s="1"/>
  <c r="IN15" i="1" s="1"/>
  <c r="IO15" i="1" s="1"/>
  <c r="IP15" i="1" s="1"/>
  <c r="IQ15" i="1" s="1"/>
  <c r="IR15" i="1" s="1"/>
  <c r="EW22" i="1"/>
  <c r="EX22" i="1" s="1"/>
  <c r="EY22" i="1" s="1"/>
  <c r="EZ22" i="1" s="1"/>
  <c r="FA22" i="1" s="1"/>
  <c r="FB22" i="1" s="1"/>
  <c r="FC22" i="1" s="1"/>
  <c r="FD22" i="1" s="1"/>
  <c r="FE22" i="1" s="1"/>
  <c r="FF22" i="1" s="1"/>
  <c r="FG22" i="1" s="1"/>
  <c r="FH22" i="1" s="1"/>
  <c r="FI22" i="1" s="1"/>
  <c r="FJ22" i="1" s="1"/>
  <c r="FK22" i="1" s="1"/>
  <c r="FL22" i="1" s="1"/>
  <c r="FM22" i="1" s="1"/>
  <c r="FN22" i="1" s="1"/>
  <c r="FO22" i="1" s="1"/>
  <c r="FP22" i="1" s="1"/>
  <c r="FQ22" i="1" s="1"/>
  <c r="FR22" i="1" s="1"/>
  <c r="FS22" i="1" s="1"/>
  <c r="FT22" i="1" s="1"/>
  <c r="FU22" i="1" s="1"/>
  <c r="FV22" i="1" s="1"/>
  <c r="FW22" i="1" s="1"/>
  <c r="FX22" i="1" s="1"/>
  <c r="FY22" i="1" s="1"/>
  <c r="FZ22" i="1" s="1"/>
  <c r="GA22" i="1" s="1"/>
  <c r="GB22" i="1" s="1"/>
  <c r="GC22" i="1" s="1"/>
  <c r="GD22" i="1" s="1"/>
  <c r="GE22" i="1" s="1"/>
  <c r="GF22" i="1" s="1"/>
  <c r="GG22" i="1" s="1"/>
  <c r="GH22" i="1" s="1"/>
  <c r="GI22" i="1" s="1"/>
  <c r="GJ22" i="1" s="1"/>
  <c r="GK22" i="1" s="1"/>
  <c r="GL22" i="1" s="1"/>
  <c r="GM22" i="1" s="1"/>
  <c r="GN22" i="1" s="1"/>
  <c r="GO22" i="1" s="1"/>
  <c r="GP22" i="1" s="1"/>
  <c r="GQ22" i="1" s="1"/>
  <c r="GR22" i="1" s="1"/>
  <c r="GS22" i="1" s="1"/>
  <c r="GT22" i="1" s="1"/>
  <c r="GU22" i="1" s="1"/>
  <c r="GV22" i="1" s="1"/>
  <c r="GW22" i="1" s="1"/>
  <c r="GX22" i="1" s="1"/>
  <c r="GY22" i="1" s="1"/>
  <c r="GZ22" i="1" s="1"/>
  <c r="HA22" i="1" s="1"/>
  <c r="HB22" i="1" s="1"/>
  <c r="HC22" i="1" s="1"/>
  <c r="HD22" i="1" s="1"/>
  <c r="HE22" i="1" s="1"/>
  <c r="HF22" i="1" s="1"/>
  <c r="HG22" i="1" s="1"/>
  <c r="HH22" i="1" s="1"/>
  <c r="HI22" i="1" s="1"/>
  <c r="HJ22" i="1" s="1"/>
  <c r="HK22" i="1" s="1"/>
  <c r="HL22" i="1" s="1"/>
  <c r="HM22" i="1" s="1"/>
  <c r="HN22" i="1" s="1"/>
  <c r="HO22" i="1" s="1"/>
  <c r="HP22" i="1" s="1"/>
  <c r="HQ22" i="1" s="1"/>
  <c r="HR22" i="1" s="1"/>
  <c r="HS22" i="1" s="1"/>
  <c r="HT22" i="1" s="1"/>
  <c r="HU22" i="1" s="1"/>
  <c r="HV22" i="1" s="1"/>
  <c r="HW22" i="1" s="1"/>
  <c r="HX22" i="1" s="1"/>
  <c r="HY22" i="1" s="1"/>
  <c r="HZ22" i="1" s="1"/>
  <c r="IA22" i="1" s="1"/>
  <c r="IB22" i="1" s="1"/>
  <c r="IC22" i="1" s="1"/>
  <c r="ID22" i="1" s="1"/>
  <c r="IE22" i="1" s="1"/>
  <c r="IF22" i="1" s="1"/>
  <c r="IG22" i="1" s="1"/>
  <c r="IH22" i="1" s="1"/>
  <c r="II22" i="1" s="1"/>
  <c r="IJ22" i="1" s="1"/>
  <c r="IK22" i="1" s="1"/>
  <c r="IL22" i="1" s="1"/>
  <c r="IM22" i="1" s="1"/>
  <c r="IN22" i="1" s="1"/>
  <c r="IO22" i="1" s="1"/>
  <c r="IP22" i="1" s="1"/>
  <c r="IQ22" i="1" s="1"/>
  <c r="IR22" i="1" s="1"/>
  <c r="EJ5" i="1"/>
  <c r="EB5" i="1"/>
  <c r="DL5" i="1"/>
  <c r="DC5" i="1"/>
  <c r="EI10" i="1"/>
  <c r="EG5" i="1"/>
  <c r="DS5" i="1"/>
  <c r="DU5" i="1"/>
  <c r="EH5" i="1"/>
  <c r="EF5" i="1"/>
  <c r="DP5" i="1"/>
  <c r="CZ5" i="1"/>
  <c r="EA5" i="1"/>
  <c r="DG5" i="1"/>
  <c r="EM5" i="1"/>
  <c r="EC5" i="1"/>
  <c r="EU5" i="1"/>
  <c r="DR5" i="1"/>
  <c r="DZ5" i="1"/>
  <c r="EE5" i="1"/>
  <c r="DM5" i="1"/>
  <c r="DQ5" i="1"/>
  <c r="DO5" i="1"/>
  <c r="ES5" i="1"/>
  <c r="EK5" i="1"/>
  <c r="DY5" i="1"/>
  <c r="ET5" i="1"/>
  <c r="DT5" i="1"/>
  <c r="CY5" i="1"/>
  <c r="DX5" i="1"/>
  <c r="DE5" i="1"/>
  <c r="DN5" i="1"/>
  <c r="EP10" i="1"/>
  <c r="DF5" i="1"/>
  <c r="DJ5" i="1"/>
  <c r="EQ5" i="1"/>
  <c r="CX5" i="1"/>
  <c r="DK5" i="1"/>
  <c r="ER5" i="1"/>
  <c r="DB5" i="1"/>
  <c r="DI5" i="1"/>
  <c r="DV5" i="1"/>
  <c r="EN5" i="1"/>
  <c r="DA5" i="1"/>
  <c r="DH5" i="1"/>
  <c r="EP5" i="1"/>
  <c r="EO5" i="1"/>
  <c r="DW5" i="1"/>
  <c r="DI25" i="1"/>
  <c r="EM25" i="1"/>
  <c r="EP24" i="1"/>
  <c r="EN24" i="1"/>
  <c r="CX24" i="1"/>
  <c r="DU24" i="1"/>
  <c r="DG24" i="1"/>
  <c r="EH24" i="1"/>
  <c r="DH25" i="1"/>
  <c r="EE24" i="1"/>
  <c r="CZ25" i="1"/>
  <c r="EG25" i="1"/>
  <c r="DV25" i="1"/>
  <c r="EU25" i="1"/>
  <c r="DY25" i="1"/>
  <c r="DA24" i="1"/>
  <c r="DH24" i="1"/>
  <c r="ED24" i="1"/>
  <c r="DM24" i="1"/>
  <c r="EP25" i="1"/>
  <c r="DL24" i="1"/>
  <c r="DE24" i="1"/>
  <c r="EO25" i="1"/>
  <c r="EC24" i="1"/>
  <c r="EB24" i="1"/>
  <c r="DT24" i="1"/>
  <c r="DN24" i="1"/>
  <c r="DF24" i="1"/>
  <c r="DC24" i="1"/>
  <c r="DR24" i="1"/>
  <c r="DQ24" i="1"/>
  <c r="ET24" i="1"/>
  <c r="EA24" i="1"/>
  <c r="DJ24" i="1"/>
  <c r="DS25" i="1"/>
  <c r="DS24" i="1"/>
  <c r="EH25" i="1"/>
  <c r="EQ24" i="1"/>
  <c r="CZ24" i="1"/>
  <c r="EO24" i="1"/>
  <c r="DR25" i="1"/>
  <c r="DK24" i="1"/>
  <c r="EL24" i="1"/>
  <c r="EJ25" i="1"/>
  <c r="EJ24" i="1"/>
  <c r="DX24" i="1"/>
  <c r="EK24" i="1"/>
  <c r="CY24" i="1"/>
  <c r="DI24" i="1"/>
  <c r="DA25" i="1"/>
  <c r="DB24" i="1"/>
  <c r="DP24" i="1"/>
  <c r="DO24" i="1"/>
  <c r="DY24" i="1"/>
  <c r="EG24" i="1"/>
  <c r="ER24" i="1"/>
  <c r="DU25" i="1"/>
  <c r="EU24" i="1"/>
  <c r="EM24" i="1"/>
  <c r="DQ25" i="1"/>
  <c r="ER25" i="1"/>
  <c r="DZ24" i="1"/>
  <c r="EF24" i="1"/>
  <c r="DW24" i="1"/>
  <c r="EE25" i="1"/>
  <c r="DW25" i="1"/>
  <c r="DG25" i="1"/>
  <c r="ES24" i="1"/>
  <c r="EI24" i="1"/>
  <c r="DD24" i="1"/>
  <c r="EA25" i="1"/>
  <c r="DD25" i="1"/>
  <c r="DM25" i="1"/>
  <c r="DK25" i="1"/>
  <c r="DE25" i="1"/>
  <c r="DZ25" i="1"/>
  <c r="EN25" i="1"/>
  <c r="DP25" i="1"/>
  <c r="DB25" i="1"/>
  <c r="DX25" i="1"/>
  <c r="EL25" i="1"/>
  <c r="DN25" i="1"/>
  <c r="ET25" i="1"/>
  <c r="EF25" i="1"/>
  <c r="ES25" i="1"/>
  <c r="DL25" i="1"/>
  <c r="EK25" i="1"/>
  <c r="ED25" i="1"/>
  <c r="EC25" i="1"/>
  <c r="EI25" i="1"/>
  <c r="DJ25" i="1"/>
  <c r="DT25" i="1"/>
  <c r="CX25" i="1"/>
  <c r="EQ25" i="1"/>
  <c r="EB25" i="1"/>
  <c r="DO25" i="1"/>
  <c r="CY25" i="1"/>
  <c r="DF25" i="1"/>
  <c r="DC25" i="1"/>
  <c r="AN13" i="1"/>
  <c r="AO13" i="1" s="1"/>
  <c r="CZ13" i="1" s="1"/>
  <c r="ET10" i="1"/>
  <c r="AN15" i="1"/>
  <c r="AO15" i="1" s="1"/>
  <c r="DR15" i="1" s="1"/>
  <c r="AN29" i="1"/>
  <c r="AO29" i="1" s="1"/>
  <c r="DC29" i="1" s="1"/>
  <c r="AN33" i="1"/>
  <c r="AO33" i="1" s="1"/>
  <c r="EJ33" i="1" s="1"/>
  <c r="AN35" i="1"/>
  <c r="AO35" i="1" s="1"/>
  <c r="ES35" i="1" s="1"/>
  <c r="AN22" i="1"/>
  <c r="AO22" i="1" s="1"/>
  <c r="ED22" i="1" s="1"/>
  <c r="AN4" i="1"/>
  <c r="AO4" i="1" s="1"/>
  <c r="DP4" i="1" s="1"/>
  <c r="AN6" i="1"/>
  <c r="AO6" i="1" s="1"/>
  <c r="DO6" i="1" s="1"/>
  <c r="AN18" i="1"/>
  <c r="AO18" i="1" s="1"/>
  <c r="AJ145" i="1"/>
  <c r="AJ96" i="1"/>
  <c r="AJ89" i="1"/>
  <c r="AJ86" i="1"/>
  <c r="AJ84" i="1"/>
  <c r="AJ114" i="1"/>
  <c r="AJ113" i="1"/>
  <c r="AJ83" i="1"/>
  <c r="BQ102" i="1" l="1"/>
  <c r="BF102" i="1"/>
  <c r="BO102" i="1"/>
  <c r="BA102" i="1"/>
  <c r="BI102" i="1"/>
  <c r="BP102" i="1"/>
  <c r="BB102" i="1"/>
  <c r="BJ102" i="1"/>
  <c r="AZ102" i="1"/>
  <c r="BE102" i="1"/>
  <c r="BN102" i="1"/>
  <c r="BS102" i="1"/>
  <c r="BH102" i="1"/>
  <c r="BC102" i="1"/>
  <c r="BK102" i="1"/>
  <c r="BG102" i="1"/>
  <c r="BD102" i="1"/>
  <c r="BM102" i="1"/>
  <c r="BL102" i="1"/>
  <c r="BR102" i="1"/>
  <c r="AX83" i="1"/>
  <c r="AW83" i="1"/>
  <c r="AX145" i="1"/>
  <c r="AW145" i="1"/>
  <c r="AV145" i="1"/>
  <c r="AX113" i="1"/>
  <c r="AW113" i="1"/>
  <c r="AX96" i="1"/>
  <c r="AW96" i="1"/>
  <c r="AX114" i="1"/>
  <c r="AW114" i="1"/>
  <c r="AX89" i="1"/>
  <c r="AW89" i="1"/>
  <c r="AX84" i="1"/>
  <c r="AW84" i="1"/>
  <c r="AX86" i="1"/>
  <c r="AW86" i="1"/>
  <c r="DH52" i="1"/>
  <c r="CG52" i="1"/>
  <c r="BB52" i="1"/>
  <c r="CP52" i="1"/>
  <c r="CB52" i="1"/>
  <c r="BG52" i="1"/>
  <c r="DV24" i="1"/>
  <c r="CR24" i="1"/>
  <c r="BV24" i="1"/>
  <c r="CC24" i="1"/>
  <c r="CM24" i="1"/>
  <c r="BN24" i="1"/>
  <c r="BG24" i="1"/>
  <c r="AZ24" i="1"/>
  <c r="BQ24" i="1"/>
  <c r="CH24" i="1"/>
  <c r="EE97" i="1"/>
  <c r="DG97" i="1"/>
  <c r="BS24" i="1"/>
  <c r="BT24" i="1"/>
  <c r="EM97" i="1"/>
  <c r="EN97" i="1"/>
  <c r="DD97" i="1"/>
  <c r="BC24" i="1"/>
  <c r="BM24" i="1"/>
  <c r="BJ52" i="1"/>
  <c r="CJ24" i="1"/>
  <c r="CD24" i="1"/>
  <c r="BD24" i="1"/>
  <c r="BK24" i="1"/>
  <c r="BU24" i="1"/>
  <c r="CU24" i="1"/>
  <c r="CD52" i="1"/>
  <c r="BE24" i="1"/>
  <c r="BO24" i="1"/>
  <c r="CU52" i="1"/>
  <c r="BO52" i="1"/>
  <c r="CW52" i="1"/>
  <c r="BF24" i="1"/>
  <c r="CG24" i="1"/>
  <c r="EW31" i="1"/>
  <c r="EX31" i="1" s="1"/>
  <c r="EY31" i="1" s="1"/>
  <c r="EZ31" i="1" s="1"/>
  <c r="FA31" i="1" s="1"/>
  <c r="FB31" i="1" s="1"/>
  <c r="FC31" i="1" s="1"/>
  <c r="FD31" i="1" s="1"/>
  <c r="FE31" i="1" s="1"/>
  <c r="FF31" i="1" s="1"/>
  <c r="FG31" i="1" s="1"/>
  <c r="FH31" i="1" s="1"/>
  <c r="FI31" i="1" s="1"/>
  <c r="FJ31" i="1" s="1"/>
  <c r="FK31" i="1" s="1"/>
  <c r="FL31" i="1" s="1"/>
  <c r="FM31" i="1" s="1"/>
  <c r="FN31" i="1" s="1"/>
  <c r="FO31" i="1" s="1"/>
  <c r="FP31" i="1" s="1"/>
  <c r="FQ31" i="1" s="1"/>
  <c r="FR31" i="1" s="1"/>
  <c r="FS31" i="1" s="1"/>
  <c r="FT31" i="1" s="1"/>
  <c r="FU31" i="1" s="1"/>
  <c r="FV31" i="1" s="1"/>
  <c r="FW31" i="1" s="1"/>
  <c r="FX31" i="1" s="1"/>
  <c r="FY31" i="1" s="1"/>
  <c r="FZ31" i="1" s="1"/>
  <c r="GA31" i="1" s="1"/>
  <c r="GB31" i="1" s="1"/>
  <c r="GC31" i="1" s="1"/>
  <c r="GD31" i="1" s="1"/>
  <c r="GE31" i="1" s="1"/>
  <c r="GF31" i="1" s="1"/>
  <c r="GG31" i="1" s="1"/>
  <c r="GH31" i="1" s="1"/>
  <c r="GI31" i="1" s="1"/>
  <c r="GJ31" i="1" s="1"/>
  <c r="GK31" i="1" s="1"/>
  <c r="GL31" i="1" s="1"/>
  <c r="GM31" i="1" s="1"/>
  <c r="GN31" i="1" s="1"/>
  <c r="GO31" i="1" s="1"/>
  <c r="GP31" i="1" s="1"/>
  <c r="GQ31" i="1" s="1"/>
  <c r="GR31" i="1" s="1"/>
  <c r="GS31" i="1" s="1"/>
  <c r="GT31" i="1" s="1"/>
  <c r="GU31" i="1" s="1"/>
  <c r="GV31" i="1" s="1"/>
  <c r="GW31" i="1" s="1"/>
  <c r="GX31" i="1" s="1"/>
  <c r="GY31" i="1" s="1"/>
  <c r="GZ31" i="1" s="1"/>
  <c r="HA31" i="1" s="1"/>
  <c r="HB31" i="1" s="1"/>
  <c r="HC31" i="1" s="1"/>
  <c r="HD31" i="1" s="1"/>
  <c r="HE31" i="1" s="1"/>
  <c r="HF31" i="1" s="1"/>
  <c r="HG31" i="1" s="1"/>
  <c r="HH31" i="1" s="1"/>
  <c r="HI31" i="1" s="1"/>
  <c r="HJ31" i="1" s="1"/>
  <c r="HK31" i="1" s="1"/>
  <c r="HL31" i="1" s="1"/>
  <c r="HM31" i="1" s="1"/>
  <c r="HN31" i="1" s="1"/>
  <c r="HO31" i="1" s="1"/>
  <c r="HP31" i="1" s="1"/>
  <c r="HQ31" i="1" s="1"/>
  <c r="HR31" i="1" s="1"/>
  <c r="HS31" i="1" s="1"/>
  <c r="HT31" i="1" s="1"/>
  <c r="HU31" i="1" s="1"/>
  <c r="HV31" i="1" s="1"/>
  <c r="HW31" i="1" s="1"/>
  <c r="HX31" i="1" s="1"/>
  <c r="HY31" i="1" s="1"/>
  <c r="HZ31" i="1" s="1"/>
  <c r="IA31" i="1" s="1"/>
  <c r="IB31" i="1" s="1"/>
  <c r="IC31" i="1" s="1"/>
  <c r="ID31" i="1" s="1"/>
  <c r="IE31" i="1" s="1"/>
  <c r="IF31" i="1" s="1"/>
  <c r="IG31" i="1" s="1"/>
  <c r="IH31" i="1" s="1"/>
  <c r="II31" i="1" s="1"/>
  <c r="IJ31" i="1" s="1"/>
  <c r="IK31" i="1" s="1"/>
  <c r="IL31" i="1" s="1"/>
  <c r="IM31" i="1" s="1"/>
  <c r="IN31" i="1" s="1"/>
  <c r="IO31" i="1" s="1"/>
  <c r="IP31" i="1" s="1"/>
  <c r="IQ31" i="1" s="1"/>
  <c r="IR31" i="1" s="1"/>
  <c r="CX37" i="1"/>
  <c r="CH52" i="1"/>
  <c r="BU38" i="1"/>
  <c r="BW24" i="1"/>
  <c r="BA24" i="1"/>
  <c r="CA24" i="1"/>
  <c r="CI52" i="1"/>
  <c r="CL52" i="1"/>
  <c r="BI38" i="1"/>
  <c r="CN24" i="1"/>
  <c r="BR24" i="1"/>
  <c r="CB24" i="1"/>
  <c r="BS52" i="1"/>
  <c r="BX52" i="1"/>
  <c r="BX24" i="1"/>
  <c r="BB24" i="1"/>
  <c r="BL24" i="1"/>
  <c r="CJ52" i="1"/>
  <c r="BH52" i="1"/>
  <c r="BH24" i="1"/>
  <c r="CI24" i="1"/>
  <c r="CS24" i="1"/>
  <c r="CF95" i="1"/>
  <c r="BN37" i="1"/>
  <c r="CK95" i="1"/>
  <c r="CL38" i="1"/>
  <c r="BZ95" i="1"/>
  <c r="EO118" i="1"/>
  <c r="DQ10" i="1"/>
  <c r="BR52" i="1"/>
  <c r="CQ52" i="1"/>
  <c r="BQ38" i="1"/>
  <c r="CA52" i="1"/>
  <c r="CO38" i="1"/>
  <c r="BY38" i="1"/>
  <c r="BC52" i="1"/>
  <c r="BM52" i="1"/>
  <c r="CP38" i="1"/>
  <c r="CU38" i="1"/>
  <c r="CH118" i="1"/>
  <c r="CG38" i="1"/>
  <c r="CE38" i="1"/>
  <c r="BW118" i="1"/>
  <c r="BT52" i="1"/>
  <c r="CT52" i="1"/>
  <c r="CK52" i="1"/>
  <c r="CA38" i="1"/>
  <c r="BO38" i="1"/>
  <c r="BL118" i="1"/>
  <c r="BY97" i="1"/>
  <c r="CB38" i="1"/>
  <c r="BP38" i="1"/>
  <c r="CO24" i="1"/>
  <c r="BN52" i="1"/>
  <c r="BV52" i="1"/>
  <c r="CA97" i="1"/>
  <c r="BL38" i="1"/>
  <c r="CH38" i="1"/>
  <c r="CE24" i="1"/>
  <c r="BY24" i="1"/>
  <c r="BN97" i="1"/>
  <c r="BM38" i="1"/>
  <c r="CI38" i="1"/>
  <c r="BI24" i="1"/>
  <c r="BP97" i="1"/>
  <c r="CT38" i="1"/>
  <c r="BT38" i="1"/>
  <c r="CV24" i="1"/>
  <c r="CP24" i="1"/>
  <c r="CV52" i="1"/>
  <c r="CO52" i="1"/>
  <c r="BS97" i="1"/>
  <c r="CD38" i="1"/>
  <c r="BD38" i="1"/>
  <c r="BD37" i="1"/>
  <c r="CQ24" i="1"/>
  <c r="CF24" i="1"/>
  <c r="BZ24" i="1"/>
  <c r="DF118" i="1"/>
  <c r="CF52" i="1"/>
  <c r="BY52" i="1"/>
  <c r="BU97" i="1"/>
  <c r="CQ95" i="1"/>
  <c r="BN38" i="1"/>
  <c r="CK38" i="1"/>
  <c r="BI37" i="1"/>
  <c r="CK24" i="1"/>
  <c r="BP24" i="1"/>
  <c r="BJ24" i="1"/>
  <c r="DW10" i="1"/>
  <c r="DN10" i="1"/>
  <c r="EU10" i="1"/>
  <c r="AN9" i="1"/>
  <c r="AO9" i="1" s="1"/>
  <c r="DO9" i="1" s="1"/>
  <c r="BC97" i="1"/>
  <c r="CU97" i="1"/>
  <c r="BI97" i="1"/>
  <c r="BJ95" i="1"/>
  <c r="BU95" i="1"/>
  <c r="BP95" i="1"/>
  <c r="CA95" i="1"/>
  <c r="CU37" i="1"/>
  <c r="CP37" i="1"/>
  <c r="CK37" i="1"/>
  <c r="CS118" i="1"/>
  <c r="BG118" i="1"/>
  <c r="BR118" i="1"/>
  <c r="CO15" i="1"/>
  <c r="BY15" i="1"/>
  <c r="BI15" i="1"/>
  <c r="CP15" i="1"/>
  <c r="BZ15" i="1"/>
  <c r="BJ15" i="1"/>
  <c r="CR15" i="1"/>
  <c r="CB15" i="1"/>
  <c r="BL15" i="1"/>
  <c r="BK15" i="1"/>
  <c r="CS15" i="1"/>
  <c r="CC15" i="1"/>
  <c r="BM15" i="1"/>
  <c r="CT15" i="1"/>
  <c r="CD15" i="1"/>
  <c r="BN15" i="1"/>
  <c r="CU15" i="1"/>
  <c r="CE15" i="1"/>
  <c r="BO15" i="1"/>
  <c r="CV15" i="1"/>
  <c r="CF15" i="1"/>
  <c r="BP15" i="1"/>
  <c r="AZ15" i="1"/>
  <c r="CW15" i="1"/>
  <c r="CG15" i="1"/>
  <c r="BQ15" i="1"/>
  <c r="BA15" i="1"/>
  <c r="CA15" i="1"/>
  <c r="CH15" i="1"/>
  <c r="BR15" i="1"/>
  <c r="BB15" i="1"/>
  <c r="CI15" i="1"/>
  <c r="BS15" i="1"/>
  <c r="BC15" i="1"/>
  <c r="CJ15" i="1"/>
  <c r="BT15" i="1"/>
  <c r="BD15" i="1"/>
  <c r="CK15" i="1"/>
  <c r="BU15" i="1"/>
  <c r="BE15" i="1"/>
  <c r="CQ15" i="1"/>
  <c r="CL15" i="1"/>
  <c r="BV15" i="1"/>
  <c r="BF15" i="1"/>
  <c r="CM15" i="1"/>
  <c r="BW15" i="1"/>
  <c r="BG15" i="1"/>
  <c r="CN15" i="1"/>
  <c r="BX15" i="1"/>
  <c r="BH15" i="1"/>
  <c r="AV15" i="1"/>
  <c r="EW9" i="1"/>
  <c r="EX9" i="1" s="1"/>
  <c r="EY9" i="1" s="1"/>
  <c r="EZ9" i="1" s="1"/>
  <c r="FA9" i="1" s="1"/>
  <c r="FB9" i="1" s="1"/>
  <c r="FC9" i="1" s="1"/>
  <c r="FD9" i="1" s="1"/>
  <c r="FE9" i="1" s="1"/>
  <c r="FF9" i="1" s="1"/>
  <c r="FG9" i="1" s="1"/>
  <c r="FH9" i="1" s="1"/>
  <c r="FI9" i="1" s="1"/>
  <c r="FJ9" i="1" s="1"/>
  <c r="FK9" i="1" s="1"/>
  <c r="FL9" i="1" s="1"/>
  <c r="FM9" i="1" s="1"/>
  <c r="FN9" i="1" s="1"/>
  <c r="FO9" i="1" s="1"/>
  <c r="FP9" i="1" s="1"/>
  <c r="FQ9" i="1" s="1"/>
  <c r="FR9" i="1" s="1"/>
  <c r="FS9" i="1" s="1"/>
  <c r="FT9" i="1" s="1"/>
  <c r="FU9" i="1" s="1"/>
  <c r="FV9" i="1" s="1"/>
  <c r="FW9" i="1" s="1"/>
  <c r="FX9" i="1" s="1"/>
  <c r="FY9" i="1" s="1"/>
  <c r="FZ9" i="1" s="1"/>
  <c r="GA9" i="1" s="1"/>
  <c r="GB9" i="1" s="1"/>
  <c r="GC9" i="1" s="1"/>
  <c r="GD9" i="1" s="1"/>
  <c r="GE9" i="1" s="1"/>
  <c r="GF9" i="1" s="1"/>
  <c r="GG9" i="1" s="1"/>
  <c r="GH9" i="1" s="1"/>
  <c r="GI9" i="1" s="1"/>
  <c r="GJ9" i="1" s="1"/>
  <c r="GK9" i="1" s="1"/>
  <c r="GL9" i="1" s="1"/>
  <c r="GM9" i="1" s="1"/>
  <c r="GN9" i="1" s="1"/>
  <c r="GO9" i="1" s="1"/>
  <c r="GP9" i="1" s="1"/>
  <c r="GQ9" i="1" s="1"/>
  <c r="GR9" i="1" s="1"/>
  <c r="GS9" i="1" s="1"/>
  <c r="GT9" i="1" s="1"/>
  <c r="GU9" i="1" s="1"/>
  <c r="GV9" i="1" s="1"/>
  <c r="GW9" i="1" s="1"/>
  <c r="GX9" i="1" s="1"/>
  <c r="GY9" i="1" s="1"/>
  <c r="GZ9" i="1" s="1"/>
  <c r="HA9" i="1" s="1"/>
  <c r="HB9" i="1" s="1"/>
  <c r="HC9" i="1" s="1"/>
  <c r="HD9" i="1" s="1"/>
  <c r="HE9" i="1" s="1"/>
  <c r="HF9" i="1" s="1"/>
  <c r="HG9" i="1" s="1"/>
  <c r="HH9" i="1" s="1"/>
  <c r="HI9" i="1" s="1"/>
  <c r="HJ9" i="1" s="1"/>
  <c r="HK9" i="1" s="1"/>
  <c r="HL9" i="1" s="1"/>
  <c r="HM9" i="1" s="1"/>
  <c r="HN9" i="1" s="1"/>
  <c r="HO9" i="1" s="1"/>
  <c r="HP9" i="1" s="1"/>
  <c r="HQ9" i="1" s="1"/>
  <c r="HR9" i="1" s="1"/>
  <c r="HS9" i="1" s="1"/>
  <c r="HT9" i="1" s="1"/>
  <c r="HU9" i="1" s="1"/>
  <c r="HV9" i="1" s="1"/>
  <c r="HW9" i="1" s="1"/>
  <c r="HX9" i="1" s="1"/>
  <c r="HY9" i="1" s="1"/>
  <c r="HZ9" i="1" s="1"/>
  <c r="IA9" i="1" s="1"/>
  <c r="IB9" i="1" s="1"/>
  <c r="IC9" i="1" s="1"/>
  <c r="ID9" i="1" s="1"/>
  <c r="IE9" i="1" s="1"/>
  <c r="IF9" i="1" s="1"/>
  <c r="IG9" i="1" s="1"/>
  <c r="IH9" i="1" s="1"/>
  <c r="II9" i="1" s="1"/>
  <c r="IJ9" i="1" s="1"/>
  <c r="IK9" i="1" s="1"/>
  <c r="IL9" i="1" s="1"/>
  <c r="IM9" i="1" s="1"/>
  <c r="IN9" i="1" s="1"/>
  <c r="IO9" i="1" s="1"/>
  <c r="IP9" i="1" s="1"/>
  <c r="IQ9" i="1" s="1"/>
  <c r="IR9" i="1" s="1"/>
  <c r="CJ97" i="1"/>
  <c r="CE97" i="1"/>
  <c r="CP97" i="1"/>
  <c r="BE95" i="1"/>
  <c r="AZ95" i="1"/>
  <c r="BK95" i="1"/>
  <c r="BZ38" i="1"/>
  <c r="BE38" i="1"/>
  <c r="CV38" i="1"/>
  <c r="CE37" i="1"/>
  <c r="BZ37" i="1"/>
  <c r="BU37" i="1"/>
  <c r="CC118" i="1"/>
  <c r="CN118" i="1"/>
  <c r="BB118" i="1"/>
  <c r="EW10" i="1"/>
  <c r="EX10" i="1" s="1"/>
  <c r="EY10" i="1" s="1"/>
  <c r="EZ10" i="1" s="1"/>
  <c r="FA10" i="1" s="1"/>
  <c r="FB10" i="1" s="1"/>
  <c r="FC10" i="1" s="1"/>
  <c r="FD10" i="1" s="1"/>
  <c r="FE10" i="1" s="1"/>
  <c r="FF10" i="1" s="1"/>
  <c r="FG10" i="1" s="1"/>
  <c r="FH10" i="1" s="1"/>
  <c r="FI10" i="1" s="1"/>
  <c r="FJ10" i="1" s="1"/>
  <c r="FK10" i="1" s="1"/>
  <c r="FL10" i="1" s="1"/>
  <c r="FM10" i="1" s="1"/>
  <c r="FN10" i="1" s="1"/>
  <c r="FO10" i="1" s="1"/>
  <c r="FP10" i="1" s="1"/>
  <c r="FQ10" i="1" s="1"/>
  <c r="FR10" i="1" s="1"/>
  <c r="FS10" i="1" s="1"/>
  <c r="FT10" i="1" s="1"/>
  <c r="FU10" i="1" s="1"/>
  <c r="FV10" i="1" s="1"/>
  <c r="FW10" i="1" s="1"/>
  <c r="FX10" i="1" s="1"/>
  <c r="FY10" i="1" s="1"/>
  <c r="FZ10" i="1" s="1"/>
  <c r="GA10" i="1" s="1"/>
  <c r="GB10" i="1" s="1"/>
  <c r="GC10" i="1" s="1"/>
  <c r="GD10" i="1" s="1"/>
  <c r="GE10" i="1" s="1"/>
  <c r="GF10" i="1" s="1"/>
  <c r="GG10" i="1" s="1"/>
  <c r="GH10" i="1" s="1"/>
  <c r="GI10" i="1" s="1"/>
  <c r="GJ10" i="1" s="1"/>
  <c r="GK10" i="1" s="1"/>
  <c r="GL10" i="1" s="1"/>
  <c r="GM10" i="1" s="1"/>
  <c r="GN10" i="1" s="1"/>
  <c r="GO10" i="1" s="1"/>
  <c r="GP10" i="1" s="1"/>
  <c r="GQ10" i="1" s="1"/>
  <c r="GR10" i="1" s="1"/>
  <c r="GS10" i="1" s="1"/>
  <c r="GT10" i="1" s="1"/>
  <c r="GU10" i="1" s="1"/>
  <c r="GV10" i="1" s="1"/>
  <c r="GW10" i="1" s="1"/>
  <c r="GX10" i="1" s="1"/>
  <c r="GY10" i="1" s="1"/>
  <c r="GZ10" i="1" s="1"/>
  <c r="HA10" i="1" s="1"/>
  <c r="HB10" i="1" s="1"/>
  <c r="HC10" i="1" s="1"/>
  <c r="HD10" i="1" s="1"/>
  <c r="HE10" i="1" s="1"/>
  <c r="HF10" i="1" s="1"/>
  <c r="HG10" i="1" s="1"/>
  <c r="HH10" i="1" s="1"/>
  <c r="HI10" i="1" s="1"/>
  <c r="HJ10" i="1" s="1"/>
  <c r="HK10" i="1" s="1"/>
  <c r="HL10" i="1" s="1"/>
  <c r="HM10" i="1" s="1"/>
  <c r="HN10" i="1" s="1"/>
  <c r="HO10" i="1" s="1"/>
  <c r="HP10" i="1" s="1"/>
  <c r="HQ10" i="1" s="1"/>
  <c r="HR10" i="1" s="1"/>
  <c r="HS10" i="1" s="1"/>
  <c r="HT10" i="1" s="1"/>
  <c r="HU10" i="1" s="1"/>
  <c r="HV10" i="1" s="1"/>
  <c r="HW10" i="1" s="1"/>
  <c r="HX10" i="1" s="1"/>
  <c r="HY10" i="1" s="1"/>
  <c r="HZ10" i="1" s="1"/>
  <c r="IA10" i="1" s="1"/>
  <c r="IB10" i="1" s="1"/>
  <c r="IC10" i="1" s="1"/>
  <c r="ID10" i="1" s="1"/>
  <c r="IE10" i="1" s="1"/>
  <c r="IF10" i="1" s="1"/>
  <c r="IG10" i="1" s="1"/>
  <c r="IH10" i="1" s="1"/>
  <c r="II10" i="1" s="1"/>
  <c r="IJ10" i="1" s="1"/>
  <c r="IK10" i="1" s="1"/>
  <c r="IL10" i="1" s="1"/>
  <c r="IM10" i="1" s="1"/>
  <c r="IN10" i="1" s="1"/>
  <c r="IO10" i="1" s="1"/>
  <c r="IP10" i="1" s="1"/>
  <c r="IQ10" i="1" s="1"/>
  <c r="IR10" i="1" s="1"/>
  <c r="CI10" i="1"/>
  <c r="BS10" i="1"/>
  <c r="BC10" i="1"/>
  <c r="CJ10" i="1"/>
  <c r="BT10" i="1"/>
  <c r="BD10" i="1"/>
  <c r="CL10" i="1"/>
  <c r="BV10" i="1"/>
  <c r="BF10" i="1"/>
  <c r="CK10" i="1"/>
  <c r="CM10" i="1"/>
  <c r="BW10" i="1"/>
  <c r="BG10" i="1"/>
  <c r="BU10" i="1"/>
  <c r="CN10" i="1"/>
  <c r="BX10" i="1"/>
  <c r="BH10" i="1"/>
  <c r="BE10" i="1"/>
  <c r="CO10" i="1"/>
  <c r="BY10" i="1"/>
  <c r="BI10" i="1"/>
  <c r="CP10" i="1"/>
  <c r="BZ10" i="1"/>
  <c r="BJ10" i="1"/>
  <c r="CQ10" i="1"/>
  <c r="CA10" i="1"/>
  <c r="BK10" i="1"/>
  <c r="CR10" i="1"/>
  <c r="CB10" i="1"/>
  <c r="BL10" i="1"/>
  <c r="CS10" i="1"/>
  <c r="CC10" i="1"/>
  <c r="BM10" i="1"/>
  <c r="CT10" i="1"/>
  <c r="CD10" i="1"/>
  <c r="BN10" i="1"/>
  <c r="CU10" i="1"/>
  <c r="CE10" i="1"/>
  <c r="BO10" i="1"/>
  <c r="CV10" i="1"/>
  <c r="CF10" i="1"/>
  <c r="BP10" i="1"/>
  <c r="AZ10" i="1"/>
  <c r="CW10" i="1"/>
  <c r="CG10" i="1"/>
  <c r="BQ10" i="1"/>
  <c r="BA10" i="1"/>
  <c r="CH10" i="1"/>
  <c r="BR10" i="1"/>
  <c r="BB10" i="1"/>
  <c r="AV10" i="1"/>
  <c r="AV17" i="1"/>
  <c r="AV28" i="1"/>
  <c r="CS4" i="1"/>
  <c r="CC4" i="1"/>
  <c r="BM4" i="1"/>
  <c r="CT4" i="1"/>
  <c r="CD4" i="1"/>
  <c r="BN4" i="1"/>
  <c r="CV4" i="1"/>
  <c r="CF4" i="1"/>
  <c r="BP4" i="1"/>
  <c r="AZ4" i="1"/>
  <c r="CU4" i="1"/>
  <c r="CW4" i="1"/>
  <c r="CG4" i="1"/>
  <c r="BQ4" i="1"/>
  <c r="BA4" i="1"/>
  <c r="CH4" i="1"/>
  <c r="BR4" i="1"/>
  <c r="BB4" i="1"/>
  <c r="CI4" i="1"/>
  <c r="BS4" i="1"/>
  <c r="BC4" i="1"/>
  <c r="CJ4" i="1"/>
  <c r="BT4" i="1"/>
  <c r="BD4" i="1"/>
  <c r="CK4" i="1"/>
  <c r="BU4" i="1"/>
  <c r="BE4" i="1"/>
  <c r="CE4" i="1"/>
  <c r="CL4" i="1"/>
  <c r="BV4" i="1"/>
  <c r="BF4" i="1"/>
  <c r="CM4" i="1"/>
  <c r="BW4" i="1"/>
  <c r="BG4" i="1"/>
  <c r="CN4" i="1"/>
  <c r="BX4" i="1"/>
  <c r="BH4" i="1"/>
  <c r="BO4" i="1"/>
  <c r="CO4" i="1"/>
  <c r="BY4" i="1"/>
  <c r="BI4" i="1"/>
  <c r="CP4" i="1"/>
  <c r="BZ4" i="1"/>
  <c r="BJ4" i="1"/>
  <c r="CQ4" i="1"/>
  <c r="CA4" i="1"/>
  <c r="BK4" i="1"/>
  <c r="CR4" i="1"/>
  <c r="CB4" i="1"/>
  <c r="BL4" i="1"/>
  <c r="AV4" i="1"/>
  <c r="CY10" i="1"/>
  <c r="EK10" i="1"/>
  <c r="EM10" i="1"/>
  <c r="BW52" i="1"/>
  <c r="CE52" i="1"/>
  <c r="BZ52" i="1"/>
  <c r="BT97" i="1"/>
  <c r="BO97" i="1"/>
  <c r="BZ97" i="1"/>
  <c r="CL95" i="1"/>
  <c r="CW95" i="1"/>
  <c r="CR95" i="1"/>
  <c r="BJ38" i="1"/>
  <c r="BA38" i="1"/>
  <c r="CF38" i="1"/>
  <c r="BO37" i="1"/>
  <c r="BJ37" i="1"/>
  <c r="BE37" i="1"/>
  <c r="BM118" i="1"/>
  <c r="BX118" i="1"/>
  <c r="CI118" i="1"/>
  <c r="AV16" i="1"/>
  <c r="CS13" i="1"/>
  <c r="CC13" i="1"/>
  <c r="BM13" i="1"/>
  <c r="CU13" i="1"/>
  <c r="CT13" i="1"/>
  <c r="CD13" i="1"/>
  <c r="BN13" i="1"/>
  <c r="BO13" i="1"/>
  <c r="CV13" i="1"/>
  <c r="CF13" i="1"/>
  <c r="BP13" i="1"/>
  <c r="AZ13" i="1"/>
  <c r="CW13" i="1"/>
  <c r="CG13" i="1"/>
  <c r="BQ13" i="1"/>
  <c r="BA13" i="1"/>
  <c r="CE13" i="1"/>
  <c r="CH13" i="1"/>
  <c r="BR13" i="1"/>
  <c r="BB13" i="1"/>
  <c r="CI13" i="1"/>
  <c r="BS13" i="1"/>
  <c r="BC13" i="1"/>
  <c r="CJ13" i="1"/>
  <c r="BT13" i="1"/>
  <c r="BD13" i="1"/>
  <c r="CK13" i="1"/>
  <c r="BU13" i="1"/>
  <c r="BE13" i="1"/>
  <c r="CL13" i="1"/>
  <c r="BV13" i="1"/>
  <c r="BF13" i="1"/>
  <c r="CM13" i="1"/>
  <c r="BW13" i="1"/>
  <c r="BG13" i="1"/>
  <c r="CN13" i="1"/>
  <c r="BX13" i="1"/>
  <c r="BH13" i="1"/>
  <c r="CO13" i="1"/>
  <c r="BY13" i="1"/>
  <c r="BI13" i="1"/>
  <c r="CP13" i="1"/>
  <c r="BZ13" i="1"/>
  <c r="BJ13" i="1"/>
  <c r="CQ13" i="1"/>
  <c r="CA13" i="1"/>
  <c r="BK13" i="1"/>
  <c r="CR13" i="1"/>
  <c r="CB13" i="1"/>
  <c r="BL13" i="1"/>
  <c r="AV13" i="1"/>
  <c r="AV19" i="1"/>
  <c r="DY10" i="1"/>
  <c r="DB10" i="1"/>
  <c r="DK10" i="1"/>
  <c r="ES10" i="1"/>
  <c r="BD97" i="1"/>
  <c r="CV97" i="1"/>
  <c r="BJ97" i="1"/>
  <c r="BV95" i="1"/>
  <c r="CG95" i="1"/>
  <c r="CB95" i="1"/>
  <c r="CV37" i="1"/>
  <c r="CQ37" i="1"/>
  <c r="BC37" i="1"/>
  <c r="CT118" i="1"/>
  <c r="BH118" i="1"/>
  <c r="BS118" i="1"/>
  <c r="AV14" i="1"/>
  <c r="AV21" i="1"/>
  <c r="CS22" i="1"/>
  <c r="CC22" i="1"/>
  <c r="BM22" i="1"/>
  <c r="CT22" i="1"/>
  <c r="CD22" i="1"/>
  <c r="BN22" i="1"/>
  <c r="CV22" i="1"/>
  <c r="CF22" i="1"/>
  <c r="BP22" i="1"/>
  <c r="AZ22" i="1"/>
  <c r="CW22" i="1"/>
  <c r="CG22" i="1"/>
  <c r="BQ22" i="1"/>
  <c r="BA22" i="1"/>
  <c r="CH22" i="1"/>
  <c r="BR22" i="1"/>
  <c r="BB22" i="1"/>
  <c r="CI22" i="1"/>
  <c r="BS22" i="1"/>
  <c r="BC22" i="1"/>
  <c r="CU22" i="1"/>
  <c r="CJ22" i="1"/>
  <c r="BT22" i="1"/>
  <c r="BD22" i="1"/>
  <c r="CK22" i="1"/>
  <c r="BU22" i="1"/>
  <c r="BE22" i="1"/>
  <c r="CL22" i="1"/>
  <c r="BV22" i="1"/>
  <c r="BF22" i="1"/>
  <c r="CM22" i="1"/>
  <c r="BW22" i="1"/>
  <c r="BG22" i="1"/>
  <c r="CN22" i="1"/>
  <c r="BX22" i="1"/>
  <c r="BH22" i="1"/>
  <c r="CO22" i="1"/>
  <c r="BY22" i="1"/>
  <c r="BI22" i="1"/>
  <c r="CP22" i="1"/>
  <c r="BZ22" i="1"/>
  <c r="BJ22" i="1"/>
  <c r="BO22" i="1"/>
  <c r="CQ22" i="1"/>
  <c r="CA22" i="1"/>
  <c r="BK22" i="1"/>
  <c r="CR22" i="1"/>
  <c r="CB22" i="1"/>
  <c r="BL22" i="1"/>
  <c r="CE22" i="1"/>
  <c r="AV22" i="1"/>
  <c r="DP10" i="1"/>
  <c r="EA10" i="1"/>
  <c r="DC10" i="1"/>
  <c r="DX10" i="1"/>
  <c r="CK97" i="1"/>
  <c r="CF97" i="1"/>
  <c r="CQ97" i="1"/>
  <c r="BF95" i="1"/>
  <c r="BQ95" i="1"/>
  <c r="BL95" i="1"/>
  <c r="CQ38" i="1"/>
  <c r="BV38" i="1"/>
  <c r="AZ38" i="1"/>
  <c r="CF37" i="1"/>
  <c r="CA37" i="1"/>
  <c r="CL37" i="1"/>
  <c r="CD118" i="1"/>
  <c r="CO118" i="1"/>
  <c r="BC118" i="1"/>
  <c r="CU118" i="1"/>
  <c r="AN7" i="1"/>
  <c r="AO7" i="1" s="1"/>
  <c r="AV7" i="1"/>
  <c r="AN11" i="1"/>
  <c r="AO11" i="1" s="1"/>
  <c r="EM11" i="1" s="1"/>
  <c r="BF11" i="1"/>
  <c r="BH11" i="1"/>
  <c r="CC11" i="1"/>
  <c r="BM11" i="1"/>
  <c r="AV11" i="1"/>
  <c r="CM95" i="1"/>
  <c r="BA95" i="1"/>
  <c r="CS95" i="1"/>
  <c r="BP37" i="1"/>
  <c r="BK37" i="1"/>
  <c r="BV37" i="1"/>
  <c r="BN118" i="1"/>
  <c r="BY118" i="1"/>
  <c r="CJ118" i="1"/>
  <c r="CE118" i="1"/>
  <c r="EW8" i="1"/>
  <c r="EX8" i="1" s="1"/>
  <c r="EY8" i="1" s="1"/>
  <c r="EZ8" i="1" s="1"/>
  <c r="FA8" i="1" s="1"/>
  <c r="FB8" i="1" s="1"/>
  <c r="FC8" i="1" s="1"/>
  <c r="FD8" i="1" s="1"/>
  <c r="FE8" i="1" s="1"/>
  <c r="FF8" i="1" s="1"/>
  <c r="FG8" i="1" s="1"/>
  <c r="FH8" i="1" s="1"/>
  <c r="FI8" i="1" s="1"/>
  <c r="FJ8" i="1" s="1"/>
  <c r="FK8" i="1" s="1"/>
  <c r="FL8" i="1" s="1"/>
  <c r="FM8" i="1" s="1"/>
  <c r="FN8" i="1" s="1"/>
  <c r="FO8" i="1" s="1"/>
  <c r="FP8" i="1" s="1"/>
  <c r="FQ8" i="1" s="1"/>
  <c r="FR8" i="1" s="1"/>
  <c r="FS8" i="1" s="1"/>
  <c r="FT8" i="1" s="1"/>
  <c r="FU8" i="1" s="1"/>
  <c r="FV8" i="1" s="1"/>
  <c r="FW8" i="1" s="1"/>
  <c r="FX8" i="1" s="1"/>
  <c r="FY8" i="1" s="1"/>
  <c r="FZ8" i="1" s="1"/>
  <c r="GA8" i="1" s="1"/>
  <c r="GB8" i="1" s="1"/>
  <c r="GC8" i="1" s="1"/>
  <c r="GD8" i="1" s="1"/>
  <c r="GE8" i="1" s="1"/>
  <c r="GF8" i="1" s="1"/>
  <c r="GG8" i="1" s="1"/>
  <c r="GH8" i="1" s="1"/>
  <c r="GI8" i="1" s="1"/>
  <c r="GJ8" i="1" s="1"/>
  <c r="GK8" i="1" s="1"/>
  <c r="GL8" i="1" s="1"/>
  <c r="GM8" i="1" s="1"/>
  <c r="GN8" i="1" s="1"/>
  <c r="GO8" i="1" s="1"/>
  <c r="GP8" i="1" s="1"/>
  <c r="GQ8" i="1" s="1"/>
  <c r="GR8" i="1" s="1"/>
  <c r="GS8" i="1" s="1"/>
  <c r="GT8" i="1" s="1"/>
  <c r="GU8" i="1" s="1"/>
  <c r="GV8" i="1" s="1"/>
  <c r="GW8" i="1" s="1"/>
  <c r="GX8" i="1" s="1"/>
  <c r="GY8" i="1" s="1"/>
  <c r="GZ8" i="1" s="1"/>
  <c r="HA8" i="1" s="1"/>
  <c r="HB8" i="1" s="1"/>
  <c r="HC8" i="1" s="1"/>
  <c r="HD8" i="1" s="1"/>
  <c r="HE8" i="1" s="1"/>
  <c r="HF8" i="1" s="1"/>
  <c r="HG8" i="1" s="1"/>
  <c r="HH8" i="1" s="1"/>
  <c r="HI8" i="1" s="1"/>
  <c r="HJ8" i="1" s="1"/>
  <c r="HK8" i="1" s="1"/>
  <c r="HL8" i="1" s="1"/>
  <c r="HM8" i="1" s="1"/>
  <c r="HN8" i="1" s="1"/>
  <c r="HO8" i="1" s="1"/>
  <c r="HP8" i="1" s="1"/>
  <c r="HQ8" i="1" s="1"/>
  <c r="HR8" i="1" s="1"/>
  <c r="HS8" i="1" s="1"/>
  <c r="HT8" i="1" s="1"/>
  <c r="HU8" i="1" s="1"/>
  <c r="HV8" i="1" s="1"/>
  <c r="HW8" i="1" s="1"/>
  <c r="HX8" i="1" s="1"/>
  <c r="HY8" i="1" s="1"/>
  <c r="HZ8" i="1" s="1"/>
  <c r="IA8" i="1" s="1"/>
  <c r="IB8" i="1" s="1"/>
  <c r="IC8" i="1" s="1"/>
  <c r="ID8" i="1" s="1"/>
  <c r="IE8" i="1" s="1"/>
  <c r="IF8" i="1" s="1"/>
  <c r="IG8" i="1" s="1"/>
  <c r="IH8" i="1" s="1"/>
  <c r="II8" i="1" s="1"/>
  <c r="IJ8" i="1" s="1"/>
  <c r="IK8" i="1" s="1"/>
  <c r="IL8" i="1" s="1"/>
  <c r="IM8" i="1" s="1"/>
  <c r="IN8" i="1" s="1"/>
  <c r="IO8" i="1" s="1"/>
  <c r="IP8" i="1" s="1"/>
  <c r="IQ8" i="1" s="1"/>
  <c r="IR8" i="1" s="1"/>
  <c r="AV8" i="1"/>
  <c r="AV12" i="1"/>
  <c r="DF10" i="1"/>
  <c r="EQ10" i="1"/>
  <c r="EO10" i="1"/>
  <c r="DK9" i="1"/>
  <c r="DV9" i="1"/>
  <c r="CM52" i="1"/>
  <c r="BP52" i="1"/>
  <c r="BK52" i="1"/>
  <c r="BU52" i="1"/>
  <c r="BE97" i="1"/>
  <c r="AZ97" i="1"/>
  <c r="BK97" i="1"/>
  <c r="BW95" i="1"/>
  <c r="CH95" i="1"/>
  <c r="CC95" i="1"/>
  <c r="BK38" i="1"/>
  <c r="CM38" i="1"/>
  <c r="BR38" i="1"/>
  <c r="AZ37" i="1"/>
  <c r="CR37" i="1"/>
  <c r="BF37" i="1"/>
  <c r="CW37" i="1"/>
  <c r="BI118" i="1"/>
  <c r="BT118" i="1"/>
  <c r="BO118" i="1"/>
  <c r="AN32" i="1"/>
  <c r="AO32" i="1" s="1"/>
  <c r="CB32" i="1" s="1"/>
  <c r="AV32" i="1"/>
  <c r="AN30" i="1"/>
  <c r="AO30" i="1" s="1"/>
  <c r="AV30" i="1"/>
  <c r="EW26" i="1"/>
  <c r="EX26" i="1" s="1"/>
  <c r="EY26" i="1" s="1"/>
  <c r="EZ26" i="1" s="1"/>
  <c r="FA26" i="1" s="1"/>
  <c r="FB26" i="1" s="1"/>
  <c r="FC26" i="1" s="1"/>
  <c r="FD26" i="1" s="1"/>
  <c r="FE26" i="1" s="1"/>
  <c r="FF26" i="1" s="1"/>
  <c r="FG26" i="1" s="1"/>
  <c r="FH26" i="1" s="1"/>
  <c r="FI26" i="1" s="1"/>
  <c r="FJ26" i="1" s="1"/>
  <c r="FK26" i="1" s="1"/>
  <c r="FL26" i="1" s="1"/>
  <c r="FM26" i="1" s="1"/>
  <c r="FN26" i="1" s="1"/>
  <c r="FO26" i="1" s="1"/>
  <c r="FP26" i="1" s="1"/>
  <c r="FQ26" i="1" s="1"/>
  <c r="FR26" i="1" s="1"/>
  <c r="FS26" i="1" s="1"/>
  <c r="FT26" i="1" s="1"/>
  <c r="FU26" i="1" s="1"/>
  <c r="FV26" i="1" s="1"/>
  <c r="FW26" i="1" s="1"/>
  <c r="FX26" i="1" s="1"/>
  <c r="FY26" i="1" s="1"/>
  <c r="FZ26" i="1" s="1"/>
  <c r="GA26" i="1" s="1"/>
  <c r="GB26" i="1" s="1"/>
  <c r="GC26" i="1" s="1"/>
  <c r="GD26" i="1" s="1"/>
  <c r="GE26" i="1" s="1"/>
  <c r="GF26" i="1" s="1"/>
  <c r="GG26" i="1" s="1"/>
  <c r="GH26" i="1" s="1"/>
  <c r="GI26" i="1" s="1"/>
  <c r="GJ26" i="1" s="1"/>
  <c r="GK26" i="1" s="1"/>
  <c r="GL26" i="1" s="1"/>
  <c r="GM26" i="1" s="1"/>
  <c r="GN26" i="1" s="1"/>
  <c r="GO26" i="1" s="1"/>
  <c r="GP26" i="1" s="1"/>
  <c r="GQ26" i="1" s="1"/>
  <c r="GR26" i="1" s="1"/>
  <c r="GS26" i="1" s="1"/>
  <c r="GT26" i="1" s="1"/>
  <c r="GU26" i="1" s="1"/>
  <c r="GV26" i="1" s="1"/>
  <c r="GW26" i="1" s="1"/>
  <c r="GX26" i="1" s="1"/>
  <c r="GY26" i="1" s="1"/>
  <c r="GZ26" i="1" s="1"/>
  <c r="HA26" i="1" s="1"/>
  <c r="HB26" i="1" s="1"/>
  <c r="HC26" i="1" s="1"/>
  <c r="HD26" i="1" s="1"/>
  <c r="HE26" i="1" s="1"/>
  <c r="HF26" i="1" s="1"/>
  <c r="HG26" i="1" s="1"/>
  <c r="HH26" i="1" s="1"/>
  <c r="HI26" i="1" s="1"/>
  <c r="HJ26" i="1" s="1"/>
  <c r="HK26" i="1" s="1"/>
  <c r="HL26" i="1" s="1"/>
  <c r="HM26" i="1" s="1"/>
  <c r="HN26" i="1" s="1"/>
  <c r="HO26" i="1" s="1"/>
  <c r="HP26" i="1" s="1"/>
  <c r="HQ26" i="1" s="1"/>
  <c r="HR26" i="1" s="1"/>
  <c r="HS26" i="1" s="1"/>
  <c r="HT26" i="1" s="1"/>
  <c r="HU26" i="1" s="1"/>
  <c r="HV26" i="1" s="1"/>
  <c r="HW26" i="1" s="1"/>
  <c r="HX26" i="1" s="1"/>
  <c r="HY26" i="1" s="1"/>
  <c r="HZ26" i="1" s="1"/>
  <c r="IA26" i="1" s="1"/>
  <c r="IB26" i="1" s="1"/>
  <c r="IC26" i="1" s="1"/>
  <c r="ID26" i="1" s="1"/>
  <c r="IE26" i="1" s="1"/>
  <c r="IF26" i="1" s="1"/>
  <c r="IG26" i="1" s="1"/>
  <c r="IH26" i="1" s="1"/>
  <c r="II26" i="1" s="1"/>
  <c r="IJ26" i="1" s="1"/>
  <c r="IK26" i="1" s="1"/>
  <c r="IL26" i="1" s="1"/>
  <c r="IM26" i="1" s="1"/>
  <c r="IN26" i="1" s="1"/>
  <c r="IO26" i="1" s="1"/>
  <c r="IP26" i="1" s="1"/>
  <c r="IQ26" i="1" s="1"/>
  <c r="IR26" i="1" s="1"/>
  <c r="AV26" i="1"/>
  <c r="DZ10" i="1"/>
  <c r="EN10" i="1"/>
  <c r="EB10" i="1"/>
  <c r="DD10" i="1"/>
  <c r="EC10" i="1"/>
  <c r="EE10" i="1"/>
  <c r="AZ52" i="1"/>
  <c r="CR52" i="1"/>
  <c r="BE52" i="1"/>
  <c r="CL97" i="1"/>
  <c r="CW97" i="1"/>
  <c r="CR97" i="1"/>
  <c r="BG95" i="1"/>
  <c r="BR95" i="1"/>
  <c r="BM95" i="1"/>
  <c r="CR38" i="1"/>
  <c r="BW38" i="1"/>
  <c r="BB38" i="1"/>
  <c r="CI37" i="1"/>
  <c r="CB37" i="1"/>
  <c r="CM37" i="1"/>
  <c r="CG37" i="1"/>
  <c r="CP118" i="1"/>
  <c r="BD118" i="1"/>
  <c r="CV118" i="1"/>
  <c r="CS31" i="1"/>
  <c r="CC31" i="1"/>
  <c r="BM31" i="1"/>
  <c r="CT31" i="1"/>
  <c r="CD31" i="1"/>
  <c r="BN31" i="1"/>
  <c r="CV31" i="1"/>
  <c r="CF31" i="1"/>
  <c r="BP31" i="1"/>
  <c r="AZ31" i="1"/>
  <c r="BO31" i="1"/>
  <c r="CW31" i="1"/>
  <c r="CG31" i="1"/>
  <c r="BQ31" i="1"/>
  <c r="BA31" i="1"/>
  <c r="CH31" i="1"/>
  <c r="BR31" i="1"/>
  <c r="BB31" i="1"/>
  <c r="CI31" i="1"/>
  <c r="BS31" i="1"/>
  <c r="BC31" i="1"/>
  <c r="CJ31" i="1"/>
  <c r="BT31" i="1"/>
  <c r="BD31" i="1"/>
  <c r="CE31" i="1"/>
  <c r="CK31" i="1"/>
  <c r="BU31" i="1"/>
  <c r="BE31" i="1"/>
  <c r="CU31" i="1"/>
  <c r="CL31" i="1"/>
  <c r="BV31" i="1"/>
  <c r="BF31" i="1"/>
  <c r="CM31" i="1"/>
  <c r="BW31" i="1"/>
  <c r="BG31" i="1"/>
  <c r="CN31" i="1"/>
  <c r="BX31" i="1"/>
  <c r="BH31" i="1"/>
  <c r="CO31" i="1"/>
  <c r="BY31" i="1"/>
  <c r="BI31" i="1"/>
  <c r="CP31" i="1"/>
  <c r="BZ31" i="1"/>
  <c r="BJ31" i="1"/>
  <c r="CQ31" i="1"/>
  <c r="CA31" i="1"/>
  <c r="BK31" i="1"/>
  <c r="CR31" i="1"/>
  <c r="CB31" i="1"/>
  <c r="BL31" i="1"/>
  <c r="AV31" i="1"/>
  <c r="AV27" i="1"/>
  <c r="CK9" i="1"/>
  <c r="BU9" i="1"/>
  <c r="BE9" i="1"/>
  <c r="CL9" i="1"/>
  <c r="BV9" i="1"/>
  <c r="BF9" i="1"/>
  <c r="CN9" i="1"/>
  <c r="BX9" i="1"/>
  <c r="BH9" i="1"/>
  <c r="CO9" i="1"/>
  <c r="BY9" i="1"/>
  <c r="BI9" i="1"/>
  <c r="CP9" i="1"/>
  <c r="BZ9" i="1"/>
  <c r="BJ9" i="1"/>
  <c r="CQ9" i="1"/>
  <c r="CA9" i="1"/>
  <c r="BK9" i="1"/>
  <c r="CR9" i="1"/>
  <c r="CB9" i="1"/>
  <c r="BL9" i="1"/>
  <c r="CS9" i="1"/>
  <c r="CC9" i="1"/>
  <c r="BM9" i="1"/>
  <c r="CM9" i="1"/>
  <c r="CT9" i="1"/>
  <c r="CD9" i="1"/>
  <c r="BN9" i="1"/>
  <c r="CU9" i="1"/>
  <c r="CE9" i="1"/>
  <c r="BO9" i="1"/>
  <c r="BG9" i="1"/>
  <c r="CV9" i="1"/>
  <c r="CF9" i="1"/>
  <c r="BP9" i="1"/>
  <c r="AZ9" i="1"/>
  <c r="CW9" i="1"/>
  <c r="CG9" i="1"/>
  <c r="BQ9" i="1"/>
  <c r="BA9" i="1"/>
  <c r="BW9" i="1"/>
  <c r="CH9" i="1"/>
  <c r="BR9" i="1"/>
  <c r="BB9" i="1"/>
  <c r="CI9" i="1"/>
  <c r="BS9" i="1"/>
  <c r="BC9" i="1"/>
  <c r="CJ9" i="1"/>
  <c r="BT9" i="1"/>
  <c r="BD9" i="1"/>
  <c r="AV9" i="1"/>
  <c r="BV97" i="1"/>
  <c r="CG97" i="1"/>
  <c r="CB97" i="1"/>
  <c r="CM97" i="1"/>
  <c r="CN95" i="1"/>
  <c r="BB95" i="1"/>
  <c r="CT95" i="1"/>
  <c r="BG38" i="1"/>
  <c r="CW38" i="1"/>
  <c r="BL37" i="1"/>
  <c r="BW37" i="1"/>
  <c r="BQ37" i="1"/>
  <c r="BZ118" i="1"/>
  <c r="CK118" i="1"/>
  <c r="CF118" i="1"/>
  <c r="EW20" i="1"/>
  <c r="EX20" i="1" s="1"/>
  <c r="EY20" i="1" s="1"/>
  <c r="EZ20" i="1" s="1"/>
  <c r="FA20" i="1" s="1"/>
  <c r="FB20" i="1" s="1"/>
  <c r="FC20" i="1" s="1"/>
  <c r="FD20" i="1" s="1"/>
  <c r="FE20" i="1" s="1"/>
  <c r="FF20" i="1" s="1"/>
  <c r="FG20" i="1" s="1"/>
  <c r="FH20" i="1" s="1"/>
  <c r="FI20" i="1" s="1"/>
  <c r="FJ20" i="1" s="1"/>
  <c r="FK20" i="1" s="1"/>
  <c r="FL20" i="1" s="1"/>
  <c r="FM20" i="1" s="1"/>
  <c r="FN20" i="1" s="1"/>
  <c r="FO20" i="1" s="1"/>
  <c r="FP20" i="1" s="1"/>
  <c r="FQ20" i="1" s="1"/>
  <c r="FR20" i="1" s="1"/>
  <c r="FS20" i="1" s="1"/>
  <c r="FT20" i="1" s="1"/>
  <c r="FU20" i="1" s="1"/>
  <c r="FV20" i="1" s="1"/>
  <c r="FW20" i="1" s="1"/>
  <c r="FX20" i="1" s="1"/>
  <c r="FY20" i="1" s="1"/>
  <c r="FZ20" i="1" s="1"/>
  <c r="GA20" i="1" s="1"/>
  <c r="GB20" i="1" s="1"/>
  <c r="GC20" i="1" s="1"/>
  <c r="GD20" i="1" s="1"/>
  <c r="GE20" i="1" s="1"/>
  <c r="GF20" i="1" s="1"/>
  <c r="GG20" i="1" s="1"/>
  <c r="GH20" i="1" s="1"/>
  <c r="GI20" i="1" s="1"/>
  <c r="GJ20" i="1" s="1"/>
  <c r="GK20" i="1" s="1"/>
  <c r="GL20" i="1" s="1"/>
  <c r="GM20" i="1" s="1"/>
  <c r="GN20" i="1" s="1"/>
  <c r="GO20" i="1" s="1"/>
  <c r="GP20" i="1" s="1"/>
  <c r="GQ20" i="1" s="1"/>
  <c r="GR20" i="1" s="1"/>
  <c r="GS20" i="1" s="1"/>
  <c r="GT20" i="1" s="1"/>
  <c r="GU20" i="1" s="1"/>
  <c r="GV20" i="1" s="1"/>
  <c r="GW20" i="1" s="1"/>
  <c r="GX20" i="1" s="1"/>
  <c r="GY20" i="1" s="1"/>
  <c r="GZ20" i="1" s="1"/>
  <c r="HA20" i="1" s="1"/>
  <c r="HB20" i="1" s="1"/>
  <c r="HC20" i="1" s="1"/>
  <c r="HD20" i="1" s="1"/>
  <c r="HE20" i="1" s="1"/>
  <c r="HF20" i="1" s="1"/>
  <c r="HG20" i="1" s="1"/>
  <c r="HH20" i="1" s="1"/>
  <c r="HI20" i="1" s="1"/>
  <c r="HJ20" i="1" s="1"/>
  <c r="HK20" i="1" s="1"/>
  <c r="HL20" i="1" s="1"/>
  <c r="HM20" i="1" s="1"/>
  <c r="HN20" i="1" s="1"/>
  <c r="HO20" i="1" s="1"/>
  <c r="HP20" i="1" s="1"/>
  <c r="HQ20" i="1" s="1"/>
  <c r="HR20" i="1" s="1"/>
  <c r="HS20" i="1" s="1"/>
  <c r="HT20" i="1" s="1"/>
  <c r="HU20" i="1" s="1"/>
  <c r="HV20" i="1" s="1"/>
  <c r="HW20" i="1" s="1"/>
  <c r="HX20" i="1" s="1"/>
  <c r="HY20" i="1" s="1"/>
  <c r="HZ20" i="1" s="1"/>
  <c r="IA20" i="1" s="1"/>
  <c r="IB20" i="1" s="1"/>
  <c r="IC20" i="1" s="1"/>
  <c r="ID20" i="1" s="1"/>
  <c r="IE20" i="1" s="1"/>
  <c r="IF20" i="1" s="1"/>
  <c r="IG20" i="1" s="1"/>
  <c r="IH20" i="1" s="1"/>
  <c r="II20" i="1" s="1"/>
  <c r="IJ20" i="1" s="1"/>
  <c r="IK20" i="1" s="1"/>
  <c r="IL20" i="1" s="1"/>
  <c r="IM20" i="1" s="1"/>
  <c r="IN20" i="1" s="1"/>
  <c r="IO20" i="1" s="1"/>
  <c r="IP20" i="1" s="1"/>
  <c r="IQ20" i="1" s="1"/>
  <c r="IR20" i="1" s="1"/>
  <c r="AV20" i="1"/>
  <c r="DR10" i="1"/>
  <c r="BF97" i="1"/>
  <c r="BQ97" i="1"/>
  <c r="BL97" i="1"/>
  <c r="BW97" i="1"/>
  <c r="BX95" i="1"/>
  <c r="CI95" i="1"/>
  <c r="CD95" i="1"/>
  <c r="CS37" i="1"/>
  <c r="BG37" i="1"/>
  <c r="BA37" i="1"/>
  <c r="CT24" i="1"/>
  <c r="BJ118" i="1"/>
  <c r="BU118" i="1"/>
  <c r="BP118" i="1"/>
  <c r="AN23" i="1"/>
  <c r="AO23" i="1" s="1"/>
  <c r="DP23" i="1" s="1"/>
  <c r="BB23" i="1"/>
  <c r="BI23" i="1"/>
  <c r="CP23" i="1"/>
  <c r="AV23" i="1"/>
  <c r="CU29" i="1"/>
  <c r="CE29" i="1"/>
  <c r="BO29" i="1"/>
  <c r="CV29" i="1"/>
  <c r="CF29" i="1"/>
  <c r="BP29" i="1"/>
  <c r="AZ29" i="1"/>
  <c r="CW29" i="1"/>
  <c r="CH29" i="1"/>
  <c r="BR29" i="1"/>
  <c r="BB29" i="1"/>
  <c r="CI29" i="1"/>
  <c r="BS29" i="1"/>
  <c r="BC29" i="1"/>
  <c r="CG29" i="1"/>
  <c r="CJ29" i="1"/>
  <c r="BT29" i="1"/>
  <c r="BD29" i="1"/>
  <c r="CK29" i="1"/>
  <c r="BU29" i="1"/>
  <c r="BE29" i="1"/>
  <c r="CL29" i="1"/>
  <c r="BV29" i="1"/>
  <c r="BF29" i="1"/>
  <c r="CM29" i="1"/>
  <c r="BW29" i="1"/>
  <c r="BG29" i="1"/>
  <c r="CN29" i="1"/>
  <c r="BX29" i="1"/>
  <c r="BH29" i="1"/>
  <c r="CO29" i="1"/>
  <c r="BY29" i="1"/>
  <c r="BI29" i="1"/>
  <c r="CP29" i="1"/>
  <c r="BZ29" i="1"/>
  <c r="BJ29" i="1"/>
  <c r="CQ29" i="1"/>
  <c r="CA29" i="1"/>
  <c r="BK29" i="1"/>
  <c r="BQ29" i="1"/>
  <c r="CR29" i="1"/>
  <c r="CB29" i="1"/>
  <c r="BL29" i="1"/>
  <c r="CS29" i="1"/>
  <c r="CC29" i="1"/>
  <c r="BM29" i="1"/>
  <c r="CT29" i="1"/>
  <c r="CD29" i="1"/>
  <c r="BN29" i="1"/>
  <c r="BA29" i="1"/>
  <c r="AV29" i="1"/>
  <c r="DV10" i="1"/>
  <c r="DT10" i="1"/>
  <c r="DJ10" i="1"/>
  <c r="ER10" i="1"/>
  <c r="CX10" i="1"/>
  <c r="BQ52" i="1"/>
  <c r="CS52" i="1"/>
  <c r="BF52" i="1"/>
  <c r="BA97" i="1"/>
  <c r="CS97" i="1"/>
  <c r="BG97" i="1"/>
  <c r="BH95" i="1"/>
  <c r="BS95" i="1"/>
  <c r="BN95" i="1"/>
  <c r="CS38" i="1"/>
  <c r="CN38" i="1"/>
  <c r="BS38" i="1"/>
  <c r="CC37" i="1"/>
  <c r="CN37" i="1"/>
  <c r="CH37" i="1"/>
  <c r="CQ118" i="1"/>
  <c r="BE118" i="1"/>
  <c r="AZ118" i="1"/>
  <c r="CK35" i="1"/>
  <c r="BU35" i="1"/>
  <c r="BE35" i="1"/>
  <c r="CL35" i="1"/>
  <c r="BV35" i="1"/>
  <c r="BF35" i="1"/>
  <c r="CN35" i="1"/>
  <c r="BX35" i="1"/>
  <c r="BH35" i="1"/>
  <c r="BG35" i="1"/>
  <c r="CO35" i="1"/>
  <c r="BY35" i="1"/>
  <c r="BI35" i="1"/>
  <c r="CP35" i="1"/>
  <c r="BZ35" i="1"/>
  <c r="BJ35" i="1"/>
  <c r="CM35" i="1"/>
  <c r="CQ35" i="1"/>
  <c r="CA35" i="1"/>
  <c r="BK35" i="1"/>
  <c r="CR35" i="1"/>
  <c r="CB35" i="1"/>
  <c r="BL35" i="1"/>
  <c r="BW35" i="1"/>
  <c r="CS35" i="1"/>
  <c r="CC35" i="1"/>
  <c r="BM35" i="1"/>
  <c r="CT35" i="1"/>
  <c r="CD35" i="1"/>
  <c r="BN35" i="1"/>
  <c r="CU35" i="1"/>
  <c r="CE35" i="1"/>
  <c r="BO35" i="1"/>
  <c r="CV35" i="1"/>
  <c r="CF35" i="1"/>
  <c r="BP35" i="1"/>
  <c r="AZ35" i="1"/>
  <c r="CW35" i="1"/>
  <c r="CG35" i="1"/>
  <c r="BQ35" i="1"/>
  <c r="BA35" i="1"/>
  <c r="CH35" i="1"/>
  <c r="BR35" i="1"/>
  <c r="BB35" i="1"/>
  <c r="CI35" i="1"/>
  <c r="BS35" i="1"/>
  <c r="BC35" i="1"/>
  <c r="CJ35" i="1"/>
  <c r="BT35" i="1"/>
  <c r="BD35" i="1"/>
  <c r="AV35" i="1"/>
  <c r="DA10" i="1"/>
  <c r="EJ10" i="1"/>
  <c r="ED10" i="1"/>
  <c r="DI10" i="1"/>
  <c r="DU10" i="1"/>
  <c r="DH9" i="1"/>
  <c r="EH9" i="1"/>
  <c r="EH10" i="1"/>
  <c r="BA52" i="1"/>
  <c r="CC52" i="1"/>
  <c r="CN52" i="1"/>
  <c r="CH97" i="1"/>
  <c r="CC97" i="1"/>
  <c r="CN97" i="1"/>
  <c r="CO95" i="1"/>
  <c r="BC95" i="1"/>
  <c r="CU95" i="1"/>
  <c r="CC38" i="1"/>
  <c r="BX38" i="1"/>
  <c r="BC38" i="1"/>
  <c r="BM37" i="1"/>
  <c r="BX37" i="1"/>
  <c r="BR37" i="1"/>
  <c r="CA118" i="1"/>
  <c r="CL118" i="1"/>
  <c r="CW118" i="1"/>
  <c r="CO33" i="1"/>
  <c r="BY33" i="1"/>
  <c r="BI33" i="1"/>
  <c r="CP33" i="1"/>
  <c r="BZ33" i="1"/>
  <c r="BJ33" i="1"/>
  <c r="CR33" i="1"/>
  <c r="CB33" i="1"/>
  <c r="BL33" i="1"/>
  <c r="CS33" i="1"/>
  <c r="CC33" i="1"/>
  <c r="BM33" i="1"/>
  <c r="CQ33" i="1"/>
  <c r="CT33" i="1"/>
  <c r="CD33" i="1"/>
  <c r="BN33" i="1"/>
  <c r="CU33" i="1"/>
  <c r="CE33" i="1"/>
  <c r="BO33" i="1"/>
  <c r="CV33" i="1"/>
  <c r="CF33" i="1"/>
  <c r="BP33" i="1"/>
  <c r="AZ33" i="1"/>
  <c r="CW33" i="1"/>
  <c r="CG33" i="1"/>
  <c r="BQ33" i="1"/>
  <c r="BA33" i="1"/>
  <c r="CH33" i="1"/>
  <c r="BR33" i="1"/>
  <c r="BB33" i="1"/>
  <c r="CI33" i="1"/>
  <c r="BS33" i="1"/>
  <c r="BC33" i="1"/>
  <c r="CJ33" i="1"/>
  <c r="BT33" i="1"/>
  <c r="BD33" i="1"/>
  <c r="CK33" i="1"/>
  <c r="BU33" i="1"/>
  <c r="BE33" i="1"/>
  <c r="CL33" i="1"/>
  <c r="BV33" i="1"/>
  <c r="BF33" i="1"/>
  <c r="CM33" i="1"/>
  <c r="BW33" i="1"/>
  <c r="BG33" i="1"/>
  <c r="BK33" i="1"/>
  <c r="CN33" i="1"/>
  <c r="BX33" i="1"/>
  <c r="BH33" i="1"/>
  <c r="CA33" i="1"/>
  <c r="AV33" i="1"/>
  <c r="EL10" i="1"/>
  <c r="DS10" i="1"/>
  <c r="DG10" i="1"/>
  <c r="BR97" i="1"/>
  <c r="BM97" i="1"/>
  <c r="BX97" i="1"/>
  <c r="BY95" i="1"/>
  <c r="CJ95" i="1"/>
  <c r="CE95" i="1"/>
  <c r="BH38" i="1"/>
  <c r="CJ38" i="1"/>
  <c r="BS37" i="1"/>
  <c r="BH37" i="1"/>
  <c r="BB37" i="1"/>
  <c r="BK118" i="1"/>
  <c r="BV118" i="1"/>
  <c r="CG118" i="1"/>
  <c r="AV34" i="1"/>
  <c r="CO6" i="1"/>
  <c r="BY6" i="1"/>
  <c r="BI6" i="1"/>
  <c r="CP6" i="1"/>
  <c r="BZ6" i="1"/>
  <c r="BJ6" i="1"/>
  <c r="CR6" i="1"/>
  <c r="CB6" i="1"/>
  <c r="BL6" i="1"/>
  <c r="CS6" i="1"/>
  <c r="CC6" i="1"/>
  <c r="BM6" i="1"/>
  <c r="CT6" i="1"/>
  <c r="CD6" i="1"/>
  <c r="BN6" i="1"/>
  <c r="CU6" i="1"/>
  <c r="CE6" i="1"/>
  <c r="BO6" i="1"/>
  <c r="BK6" i="1"/>
  <c r="CV6" i="1"/>
  <c r="CF6" i="1"/>
  <c r="BP6" i="1"/>
  <c r="AZ6" i="1"/>
  <c r="CA6" i="1"/>
  <c r="CW6" i="1"/>
  <c r="CG6" i="1"/>
  <c r="BQ6" i="1"/>
  <c r="BA6" i="1"/>
  <c r="CH6" i="1"/>
  <c r="BR6" i="1"/>
  <c r="BB6" i="1"/>
  <c r="CI6" i="1"/>
  <c r="BS6" i="1"/>
  <c r="BC6" i="1"/>
  <c r="CJ6" i="1"/>
  <c r="BT6" i="1"/>
  <c r="BD6" i="1"/>
  <c r="CK6" i="1"/>
  <c r="BU6" i="1"/>
  <c r="BE6" i="1"/>
  <c r="CL6" i="1"/>
  <c r="BV6" i="1"/>
  <c r="BF6" i="1"/>
  <c r="CQ6" i="1"/>
  <c r="CM6" i="1"/>
  <c r="BW6" i="1"/>
  <c r="BG6" i="1"/>
  <c r="CN6" i="1"/>
  <c r="BX6" i="1"/>
  <c r="BH6" i="1"/>
  <c r="AV6" i="1"/>
  <c r="DO10" i="1"/>
  <c r="BB97" i="1"/>
  <c r="CT97" i="1"/>
  <c r="BH97" i="1"/>
  <c r="BI95" i="1"/>
  <c r="BT95" i="1"/>
  <c r="BO95" i="1"/>
  <c r="CT37" i="1"/>
  <c r="CO37" i="1"/>
  <c r="CJ37" i="1"/>
  <c r="CR118" i="1"/>
  <c r="BF118" i="1"/>
  <c r="BQ118" i="1"/>
  <c r="AV36" i="1"/>
  <c r="DE10" i="1"/>
  <c r="DH10" i="1"/>
  <c r="CZ10" i="1"/>
  <c r="EF10" i="1"/>
  <c r="DL10" i="1"/>
  <c r="EP9" i="1"/>
  <c r="EM9" i="1"/>
  <c r="ES9" i="1"/>
  <c r="EJ9" i="1"/>
  <c r="CI97" i="1"/>
  <c r="CD97" i="1"/>
  <c r="CO97" i="1"/>
  <c r="CP95" i="1"/>
  <c r="BD95" i="1"/>
  <c r="CV95" i="1"/>
  <c r="CD37" i="1"/>
  <c r="BY37" i="1"/>
  <c r="BT37" i="1"/>
  <c r="CB118" i="1"/>
  <c r="CM118" i="1"/>
  <c r="BA118" i="1"/>
  <c r="DN32" i="1"/>
  <c r="DY32" i="1"/>
  <c r="EQ32" i="1"/>
  <c r="DR32" i="1"/>
  <c r="AQ114" i="1"/>
  <c r="AM114" i="1"/>
  <c r="AK114" i="1"/>
  <c r="AP114" i="1"/>
  <c r="AK113" i="1"/>
  <c r="AQ113" i="1"/>
  <c r="AM113" i="1"/>
  <c r="AP113" i="1"/>
  <c r="AI83" i="1"/>
  <c r="EW83" i="1" s="1"/>
  <c r="EX83" i="1" s="1"/>
  <c r="EY83" i="1" s="1"/>
  <c r="EZ83" i="1" s="1"/>
  <c r="FA83" i="1" s="1"/>
  <c r="FB83" i="1" s="1"/>
  <c r="FC83" i="1" s="1"/>
  <c r="FD83" i="1" s="1"/>
  <c r="FE83" i="1" s="1"/>
  <c r="FF83" i="1" s="1"/>
  <c r="FG83" i="1" s="1"/>
  <c r="FH83" i="1" s="1"/>
  <c r="FI83" i="1" s="1"/>
  <c r="FJ83" i="1" s="1"/>
  <c r="FK83" i="1" s="1"/>
  <c r="FL83" i="1" s="1"/>
  <c r="FM83" i="1" s="1"/>
  <c r="FN83" i="1" s="1"/>
  <c r="FO83" i="1" s="1"/>
  <c r="FP83" i="1" s="1"/>
  <c r="FQ83" i="1" s="1"/>
  <c r="FR83" i="1" s="1"/>
  <c r="FS83" i="1" s="1"/>
  <c r="FT83" i="1" s="1"/>
  <c r="FU83" i="1" s="1"/>
  <c r="FV83" i="1" s="1"/>
  <c r="FW83" i="1" s="1"/>
  <c r="FX83" i="1" s="1"/>
  <c r="FY83" i="1" s="1"/>
  <c r="FZ83" i="1" s="1"/>
  <c r="GA83" i="1" s="1"/>
  <c r="GB83" i="1" s="1"/>
  <c r="GC83" i="1" s="1"/>
  <c r="GD83" i="1" s="1"/>
  <c r="GE83" i="1" s="1"/>
  <c r="GF83" i="1" s="1"/>
  <c r="GG83" i="1" s="1"/>
  <c r="GH83" i="1" s="1"/>
  <c r="GI83" i="1" s="1"/>
  <c r="GJ83" i="1" s="1"/>
  <c r="GK83" i="1" s="1"/>
  <c r="GL83" i="1" s="1"/>
  <c r="GM83" i="1" s="1"/>
  <c r="GN83" i="1" s="1"/>
  <c r="GO83" i="1" s="1"/>
  <c r="GP83" i="1" s="1"/>
  <c r="GQ83" i="1" s="1"/>
  <c r="GR83" i="1" s="1"/>
  <c r="GS83" i="1" s="1"/>
  <c r="GT83" i="1" s="1"/>
  <c r="GU83" i="1" s="1"/>
  <c r="GV83" i="1" s="1"/>
  <c r="GW83" i="1" s="1"/>
  <c r="GX83" i="1" s="1"/>
  <c r="GY83" i="1" s="1"/>
  <c r="GZ83" i="1" s="1"/>
  <c r="HA83" i="1" s="1"/>
  <c r="HB83" i="1" s="1"/>
  <c r="HC83" i="1" s="1"/>
  <c r="HD83" i="1" s="1"/>
  <c r="HE83" i="1" s="1"/>
  <c r="HF83" i="1" s="1"/>
  <c r="HG83" i="1" s="1"/>
  <c r="HH83" i="1" s="1"/>
  <c r="HI83" i="1" s="1"/>
  <c r="HJ83" i="1" s="1"/>
  <c r="HK83" i="1" s="1"/>
  <c r="HL83" i="1" s="1"/>
  <c r="HM83" i="1" s="1"/>
  <c r="HN83" i="1" s="1"/>
  <c r="HO83" i="1" s="1"/>
  <c r="HP83" i="1" s="1"/>
  <c r="HQ83" i="1" s="1"/>
  <c r="HR83" i="1" s="1"/>
  <c r="HS83" i="1" s="1"/>
  <c r="HT83" i="1" s="1"/>
  <c r="HU83" i="1" s="1"/>
  <c r="HV83" i="1" s="1"/>
  <c r="HW83" i="1" s="1"/>
  <c r="HX83" i="1" s="1"/>
  <c r="HY83" i="1" s="1"/>
  <c r="HZ83" i="1" s="1"/>
  <c r="IA83" i="1" s="1"/>
  <c r="IB83" i="1" s="1"/>
  <c r="IC83" i="1" s="1"/>
  <c r="ID83" i="1" s="1"/>
  <c r="IE83" i="1" s="1"/>
  <c r="IF83" i="1" s="1"/>
  <c r="IG83" i="1" s="1"/>
  <c r="IH83" i="1" s="1"/>
  <c r="II83" i="1" s="1"/>
  <c r="IJ83" i="1" s="1"/>
  <c r="IK83" i="1" s="1"/>
  <c r="IL83" i="1" s="1"/>
  <c r="IM83" i="1" s="1"/>
  <c r="IN83" i="1" s="1"/>
  <c r="IO83" i="1" s="1"/>
  <c r="IP83" i="1" s="1"/>
  <c r="IQ83" i="1" s="1"/>
  <c r="IR83" i="1" s="1"/>
  <c r="AQ83" i="1"/>
  <c r="AK83" i="1"/>
  <c r="AP83" i="1"/>
  <c r="AM83" i="1"/>
  <c r="AK145" i="1"/>
  <c r="AQ145" i="1"/>
  <c r="AM145" i="1"/>
  <c r="AP145" i="1"/>
  <c r="AQ89" i="1"/>
  <c r="AM89" i="1"/>
  <c r="AK89" i="1"/>
  <c r="AP89" i="1"/>
  <c r="EW32" i="1"/>
  <c r="EX32" i="1" s="1"/>
  <c r="EY32" i="1" s="1"/>
  <c r="EZ32" i="1" s="1"/>
  <c r="FA32" i="1" s="1"/>
  <c r="FB32" i="1" s="1"/>
  <c r="FC32" i="1" s="1"/>
  <c r="FD32" i="1" s="1"/>
  <c r="FE32" i="1" s="1"/>
  <c r="FF32" i="1" s="1"/>
  <c r="FG32" i="1" s="1"/>
  <c r="FH32" i="1" s="1"/>
  <c r="FI32" i="1" s="1"/>
  <c r="FJ32" i="1" s="1"/>
  <c r="FK32" i="1" s="1"/>
  <c r="FL32" i="1" s="1"/>
  <c r="FM32" i="1" s="1"/>
  <c r="FN32" i="1" s="1"/>
  <c r="FO32" i="1" s="1"/>
  <c r="FP32" i="1" s="1"/>
  <c r="FQ32" i="1" s="1"/>
  <c r="FR32" i="1" s="1"/>
  <c r="FS32" i="1" s="1"/>
  <c r="FT32" i="1" s="1"/>
  <c r="FU32" i="1" s="1"/>
  <c r="FV32" i="1" s="1"/>
  <c r="FW32" i="1" s="1"/>
  <c r="FX32" i="1" s="1"/>
  <c r="FY32" i="1" s="1"/>
  <c r="FZ32" i="1" s="1"/>
  <c r="GA32" i="1" s="1"/>
  <c r="GB32" i="1" s="1"/>
  <c r="GC32" i="1" s="1"/>
  <c r="GD32" i="1" s="1"/>
  <c r="GE32" i="1" s="1"/>
  <c r="GF32" i="1" s="1"/>
  <c r="GG32" i="1" s="1"/>
  <c r="GH32" i="1" s="1"/>
  <c r="GI32" i="1" s="1"/>
  <c r="GJ32" i="1" s="1"/>
  <c r="GK32" i="1" s="1"/>
  <c r="GL32" i="1" s="1"/>
  <c r="GM32" i="1" s="1"/>
  <c r="GN32" i="1" s="1"/>
  <c r="GO32" i="1" s="1"/>
  <c r="GP32" i="1" s="1"/>
  <c r="GQ32" i="1" s="1"/>
  <c r="GR32" i="1" s="1"/>
  <c r="GS32" i="1" s="1"/>
  <c r="GT32" i="1" s="1"/>
  <c r="GU32" i="1" s="1"/>
  <c r="GV32" i="1" s="1"/>
  <c r="GW32" i="1" s="1"/>
  <c r="GX32" i="1" s="1"/>
  <c r="GY32" i="1" s="1"/>
  <c r="GZ32" i="1" s="1"/>
  <c r="HA32" i="1" s="1"/>
  <c r="HB32" i="1" s="1"/>
  <c r="HC32" i="1" s="1"/>
  <c r="HD32" i="1" s="1"/>
  <c r="HE32" i="1" s="1"/>
  <c r="HF32" i="1" s="1"/>
  <c r="HG32" i="1" s="1"/>
  <c r="HH32" i="1" s="1"/>
  <c r="HI32" i="1" s="1"/>
  <c r="HJ32" i="1" s="1"/>
  <c r="HK32" i="1" s="1"/>
  <c r="HL32" i="1" s="1"/>
  <c r="HM32" i="1" s="1"/>
  <c r="HN32" i="1" s="1"/>
  <c r="HO32" i="1" s="1"/>
  <c r="HP32" i="1" s="1"/>
  <c r="HQ32" i="1" s="1"/>
  <c r="HR32" i="1" s="1"/>
  <c r="HS32" i="1" s="1"/>
  <c r="HT32" i="1" s="1"/>
  <c r="HU32" i="1" s="1"/>
  <c r="HV32" i="1" s="1"/>
  <c r="HW32" i="1" s="1"/>
  <c r="HX32" i="1" s="1"/>
  <c r="HY32" i="1" s="1"/>
  <c r="HZ32" i="1" s="1"/>
  <c r="IA32" i="1" s="1"/>
  <c r="IB32" i="1" s="1"/>
  <c r="IC32" i="1" s="1"/>
  <c r="ID32" i="1" s="1"/>
  <c r="IE32" i="1" s="1"/>
  <c r="IF32" i="1" s="1"/>
  <c r="IG32" i="1" s="1"/>
  <c r="IH32" i="1" s="1"/>
  <c r="II32" i="1" s="1"/>
  <c r="IJ32" i="1" s="1"/>
  <c r="IK32" i="1" s="1"/>
  <c r="IL32" i="1" s="1"/>
  <c r="IM32" i="1" s="1"/>
  <c r="IN32" i="1" s="1"/>
  <c r="IO32" i="1" s="1"/>
  <c r="IP32" i="1" s="1"/>
  <c r="IQ32" i="1" s="1"/>
  <c r="IR32" i="1" s="1"/>
  <c r="AI96" i="1"/>
  <c r="AK96" i="1"/>
  <c r="AQ96" i="1"/>
  <c r="AP96" i="1"/>
  <c r="AM96" i="1"/>
  <c r="AI86" i="1"/>
  <c r="AN86" i="1" s="1"/>
  <c r="AO86" i="1" s="1"/>
  <c r="AQ86" i="1"/>
  <c r="AK86" i="1"/>
  <c r="AP86" i="1"/>
  <c r="AM86" i="1"/>
  <c r="AI84" i="1"/>
  <c r="EW84" i="1" s="1"/>
  <c r="EX84" i="1" s="1"/>
  <c r="EY84" i="1" s="1"/>
  <c r="EZ84" i="1" s="1"/>
  <c r="FA84" i="1" s="1"/>
  <c r="FB84" i="1" s="1"/>
  <c r="FC84" i="1" s="1"/>
  <c r="FD84" i="1" s="1"/>
  <c r="FE84" i="1" s="1"/>
  <c r="FF84" i="1" s="1"/>
  <c r="FG84" i="1" s="1"/>
  <c r="FH84" i="1" s="1"/>
  <c r="FI84" i="1" s="1"/>
  <c r="FJ84" i="1" s="1"/>
  <c r="FK84" i="1" s="1"/>
  <c r="FL84" i="1" s="1"/>
  <c r="FM84" i="1" s="1"/>
  <c r="FN84" i="1" s="1"/>
  <c r="FO84" i="1" s="1"/>
  <c r="FP84" i="1" s="1"/>
  <c r="FQ84" i="1" s="1"/>
  <c r="FR84" i="1" s="1"/>
  <c r="FS84" i="1" s="1"/>
  <c r="FT84" i="1" s="1"/>
  <c r="FU84" i="1" s="1"/>
  <c r="FV84" i="1" s="1"/>
  <c r="FW84" i="1" s="1"/>
  <c r="FX84" i="1" s="1"/>
  <c r="FY84" i="1" s="1"/>
  <c r="FZ84" i="1" s="1"/>
  <c r="GA84" i="1" s="1"/>
  <c r="GB84" i="1" s="1"/>
  <c r="GC84" i="1" s="1"/>
  <c r="GD84" i="1" s="1"/>
  <c r="GE84" i="1" s="1"/>
  <c r="GF84" i="1" s="1"/>
  <c r="GG84" i="1" s="1"/>
  <c r="GH84" i="1" s="1"/>
  <c r="GI84" i="1" s="1"/>
  <c r="GJ84" i="1" s="1"/>
  <c r="GK84" i="1" s="1"/>
  <c r="GL84" i="1" s="1"/>
  <c r="GM84" i="1" s="1"/>
  <c r="GN84" i="1" s="1"/>
  <c r="GO84" i="1" s="1"/>
  <c r="GP84" i="1" s="1"/>
  <c r="GQ84" i="1" s="1"/>
  <c r="GR84" i="1" s="1"/>
  <c r="GS84" i="1" s="1"/>
  <c r="GT84" i="1" s="1"/>
  <c r="GU84" i="1" s="1"/>
  <c r="GV84" i="1" s="1"/>
  <c r="GW84" i="1" s="1"/>
  <c r="GX84" i="1" s="1"/>
  <c r="GY84" i="1" s="1"/>
  <c r="GZ84" i="1" s="1"/>
  <c r="HA84" i="1" s="1"/>
  <c r="HB84" i="1" s="1"/>
  <c r="HC84" i="1" s="1"/>
  <c r="HD84" i="1" s="1"/>
  <c r="HE84" i="1" s="1"/>
  <c r="HF84" i="1" s="1"/>
  <c r="HG84" i="1" s="1"/>
  <c r="HH84" i="1" s="1"/>
  <c r="HI84" i="1" s="1"/>
  <c r="HJ84" i="1" s="1"/>
  <c r="HK84" i="1" s="1"/>
  <c r="HL84" i="1" s="1"/>
  <c r="HM84" i="1" s="1"/>
  <c r="HN84" i="1" s="1"/>
  <c r="HO84" i="1" s="1"/>
  <c r="HP84" i="1" s="1"/>
  <c r="HQ84" i="1" s="1"/>
  <c r="HR84" i="1" s="1"/>
  <c r="HS84" i="1" s="1"/>
  <c r="HT84" i="1" s="1"/>
  <c r="HU84" i="1" s="1"/>
  <c r="HV84" i="1" s="1"/>
  <c r="HW84" i="1" s="1"/>
  <c r="HX84" i="1" s="1"/>
  <c r="HY84" i="1" s="1"/>
  <c r="HZ84" i="1" s="1"/>
  <c r="IA84" i="1" s="1"/>
  <c r="IB84" i="1" s="1"/>
  <c r="IC84" i="1" s="1"/>
  <c r="ID84" i="1" s="1"/>
  <c r="IE84" i="1" s="1"/>
  <c r="IF84" i="1" s="1"/>
  <c r="IG84" i="1" s="1"/>
  <c r="IH84" i="1" s="1"/>
  <c r="II84" i="1" s="1"/>
  <c r="IJ84" i="1" s="1"/>
  <c r="IK84" i="1" s="1"/>
  <c r="IL84" i="1" s="1"/>
  <c r="IM84" i="1" s="1"/>
  <c r="IN84" i="1" s="1"/>
  <c r="IO84" i="1" s="1"/>
  <c r="IP84" i="1" s="1"/>
  <c r="IQ84" i="1" s="1"/>
  <c r="IR84" i="1" s="1"/>
  <c r="AK84" i="1"/>
  <c r="AQ84" i="1"/>
  <c r="AM84" i="1"/>
  <c r="AP84" i="1"/>
  <c r="EW11" i="1"/>
  <c r="EX11" i="1" s="1"/>
  <c r="EY11" i="1" s="1"/>
  <c r="EZ11" i="1" s="1"/>
  <c r="FA11" i="1" s="1"/>
  <c r="FB11" i="1" s="1"/>
  <c r="FC11" i="1" s="1"/>
  <c r="FD11" i="1" s="1"/>
  <c r="FE11" i="1" s="1"/>
  <c r="FF11" i="1" s="1"/>
  <c r="FG11" i="1" s="1"/>
  <c r="FH11" i="1" s="1"/>
  <c r="FI11" i="1" s="1"/>
  <c r="FJ11" i="1" s="1"/>
  <c r="FK11" i="1" s="1"/>
  <c r="FL11" i="1" s="1"/>
  <c r="FM11" i="1" s="1"/>
  <c r="FN11" i="1" s="1"/>
  <c r="FO11" i="1" s="1"/>
  <c r="FP11" i="1" s="1"/>
  <c r="FQ11" i="1" s="1"/>
  <c r="FR11" i="1" s="1"/>
  <c r="FS11" i="1" s="1"/>
  <c r="FT11" i="1" s="1"/>
  <c r="FU11" i="1" s="1"/>
  <c r="FV11" i="1" s="1"/>
  <c r="FW11" i="1" s="1"/>
  <c r="FX11" i="1" s="1"/>
  <c r="FY11" i="1" s="1"/>
  <c r="FZ11" i="1" s="1"/>
  <c r="GA11" i="1" s="1"/>
  <c r="GB11" i="1" s="1"/>
  <c r="GC11" i="1" s="1"/>
  <c r="GD11" i="1" s="1"/>
  <c r="GE11" i="1" s="1"/>
  <c r="GF11" i="1" s="1"/>
  <c r="GG11" i="1" s="1"/>
  <c r="GH11" i="1" s="1"/>
  <c r="GI11" i="1" s="1"/>
  <c r="GJ11" i="1" s="1"/>
  <c r="GK11" i="1" s="1"/>
  <c r="GL11" i="1" s="1"/>
  <c r="GM11" i="1" s="1"/>
  <c r="GN11" i="1" s="1"/>
  <c r="GO11" i="1" s="1"/>
  <c r="GP11" i="1" s="1"/>
  <c r="GQ11" i="1" s="1"/>
  <c r="GR11" i="1" s="1"/>
  <c r="GS11" i="1" s="1"/>
  <c r="GT11" i="1" s="1"/>
  <c r="GU11" i="1" s="1"/>
  <c r="GV11" i="1" s="1"/>
  <c r="GW11" i="1" s="1"/>
  <c r="GX11" i="1" s="1"/>
  <c r="GY11" i="1" s="1"/>
  <c r="GZ11" i="1" s="1"/>
  <c r="HA11" i="1" s="1"/>
  <c r="HB11" i="1" s="1"/>
  <c r="HC11" i="1" s="1"/>
  <c r="HD11" i="1" s="1"/>
  <c r="HE11" i="1" s="1"/>
  <c r="HF11" i="1" s="1"/>
  <c r="HG11" i="1" s="1"/>
  <c r="HH11" i="1" s="1"/>
  <c r="HI11" i="1" s="1"/>
  <c r="HJ11" i="1" s="1"/>
  <c r="HK11" i="1" s="1"/>
  <c r="HL11" i="1" s="1"/>
  <c r="HM11" i="1" s="1"/>
  <c r="HN11" i="1" s="1"/>
  <c r="HO11" i="1" s="1"/>
  <c r="HP11" i="1" s="1"/>
  <c r="HQ11" i="1" s="1"/>
  <c r="HR11" i="1" s="1"/>
  <c r="HS11" i="1" s="1"/>
  <c r="HT11" i="1" s="1"/>
  <c r="HU11" i="1" s="1"/>
  <c r="HV11" i="1" s="1"/>
  <c r="HW11" i="1" s="1"/>
  <c r="HX11" i="1" s="1"/>
  <c r="HY11" i="1" s="1"/>
  <c r="HZ11" i="1" s="1"/>
  <c r="IA11" i="1" s="1"/>
  <c r="IB11" i="1" s="1"/>
  <c r="IC11" i="1" s="1"/>
  <c r="ID11" i="1" s="1"/>
  <c r="IE11" i="1" s="1"/>
  <c r="IF11" i="1" s="1"/>
  <c r="IG11" i="1" s="1"/>
  <c r="IH11" i="1" s="1"/>
  <c r="II11" i="1" s="1"/>
  <c r="IJ11" i="1" s="1"/>
  <c r="IK11" i="1" s="1"/>
  <c r="IL11" i="1" s="1"/>
  <c r="IM11" i="1" s="1"/>
  <c r="IN11" i="1" s="1"/>
  <c r="IO11" i="1" s="1"/>
  <c r="IP11" i="1" s="1"/>
  <c r="IQ11" i="1" s="1"/>
  <c r="IR11" i="1" s="1"/>
  <c r="AN26" i="1"/>
  <c r="AO26" i="1" s="1"/>
  <c r="EL26" i="1" s="1"/>
  <c r="AN8" i="1"/>
  <c r="AO8" i="1" s="1"/>
  <c r="DJ8" i="1" s="1"/>
  <c r="AN20" i="1"/>
  <c r="AO20" i="1" s="1"/>
  <c r="DH20" i="1" s="1"/>
  <c r="EW23" i="1"/>
  <c r="EX23" i="1" s="1"/>
  <c r="EY23" i="1" s="1"/>
  <c r="EZ23" i="1" s="1"/>
  <c r="FA23" i="1" s="1"/>
  <c r="FB23" i="1" s="1"/>
  <c r="FC23" i="1" s="1"/>
  <c r="FD23" i="1" s="1"/>
  <c r="FE23" i="1" s="1"/>
  <c r="FF23" i="1" s="1"/>
  <c r="FG23" i="1" s="1"/>
  <c r="FH23" i="1" s="1"/>
  <c r="FI23" i="1" s="1"/>
  <c r="FJ23" i="1" s="1"/>
  <c r="FK23" i="1" s="1"/>
  <c r="FL23" i="1" s="1"/>
  <c r="FM23" i="1" s="1"/>
  <c r="FN23" i="1" s="1"/>
  <c r="FO23" i="1" s="1"/>
  <c r="FP23" i="1" s="1"/>
  <c r="FQ23" i="1" s="1"/>
  <c r="FR23" i="1" s="1"/>
  <c r="FS23" i="1" s="1"/>
  <c r="FT23" i="1" s="1"/>
  <c r="FU23" i="1" s="1"/>
  <c r="FV23" i="1" s="1"/>
  <c r="FW23" i="1" s="1"/>
  <c r="FX23" i="1" s="1"/>
  <c r="FY23" i="1" s="1"/>
  <c r="FZ23" i="1" s="1"/>
  <c r="GA23" i="1" s="1"/>
  <c r="GB23" i="1" s="1"/>
  <c r="GC23" i="1" s="1"/>
  <c r="GD23" i="1" s="1"/>
  <c r="GE23" i="1" s="1"/>
  <c r="GF23" i="1" s="1"/>
  <c r="GG23" i="1" s="1"/>
  <c r="GH23" i="1" s="1"/>
  <c r="GI23" i="1" s="1"/>
  <c r="GJ23" i="1" s="1"/>
  <c r="GK23" i="1" s="1"/>
  <c r="GL23" i="1" s="1"/>
  <c r="GM23" i="1" s="1"/>
  <c r="GN23" i="1" s="1"/>
  <c r="GO23" i="1" s="1"/>
  <c r="GP23" i="1" s="1"/>
  <c r="GQ23" i="1" s="1"/>
  <c r="GR23" i="1" s="1"/>
  <c r="GS23" i="1" s="1"/>
  <c r="GT23" i="1" s="1"/>
  <c r="GU23" i="1" s="1"/>
  <c r="GV23" i="1" s="1"/>
  <c r="GW23" i="1" s="1"/>
  <c r="GX23" i="1" s="1"/>
  <c r="GY23" i="1" s="1"/>
  <c r="GZ23" i="1" s="1"/>
  <c r="HA23" i="1" s="1"/>
  <c r="HB23" i="1" s="1"/>
  <c r="HC23" i="1" s="1"/>
  <c r="HD23" i="1" s="1"/>
  <c r="HE23" i="1" s="1"/>
  <c r="HF23" i="1" s="1"/>
  <c r="HG23" i="1" s="1"/>
  <c r="HH23" i="1" s="1"/>
  <c r="HI23" i="1" s="1"/>
  <c r="HJ23" i="1" s="1"/>
  <c r="HK23" i="1" s="1"/>
  <c r="HL23" i="1" s="1"/>
  <c r="HM23" i="1" s="1"/>
  <c r="HN23" i="1" s="1"/>
  <c r="HO23" i="1" s="1"/>
  <c r="HP23" i="1" s="1"/>
  <c r="HQ23" i="1" s="1"/>
  <c r="HR23" i="1" s="1"/>
  <c r="HS23" i="1" s="1"/>
  <c r="HT23" i="1" s="1"/>
  <c r="HU23" i="1" s="1"/>
  <c r="HV23" i="1" s="1"/>
  <c r="HW23" i="1" s="1"/>
  <c r="HX23" i="1" s="1"/>
  <c r="HY23" i="1" s="1"/>
  <c r="HZ23" i="1" s="1"/>
  <c r="IA23" i="1" s="1"/>
  <c r="IB23" i="1" s="1"/>
  <c r="IC23" i="1" s="1"/>
  <c r="ID23" i="1" s="1"/>
  <c r="IE23" i="1" s="1"/>
  <c r="IF23" i="1" s="1"/>
  <c r="IG23" i="1" s="1"/>
  <c r="IH23" i="1" s="1"/>
  <c r="II23" i="1" s="1"/>
  <c r="IJ23" i="1" s="1"/>
  <c r="IK23" i="1" s="1"/>
  <c r="IL23" i="1" s="1"/>
  <c r="IM23" i="1" s="1"/>
  <c r="IN23" i="1" s="1"/>
  <c r="IO23" i="1" s="1"/>
  <c r="IP23" i="1" s="1"/>
  <c r="IQ23" i="1" s="1"/>
  <c r="IR23" i="1" s="1"/>
  <c r="AN34" i="1"/>
  <c r="AO34" i="1" s="1"/>
  <c r="BJ34" i="1" s="1"/>
  <c r="EW34" i="1"/>
  <c r="EX34" i="1" s="1"/>
  <c r="EY34" i="1" s="1"/>
  <c r="EZ34" i="1" s="1"/>
  <c r="FA34" i="1" s="1"/>
  <c r="FB34" i="1" s="1"/>
  <c r="FC34" i="1" s="1"/>
  <c r="FD34" i="1" s="1"/>
  <c r="FE34" i="1" s="1"/>
  <c r="FF34" i="1" s="1"/>
  <c r="FG34" i="1" s="1"/>
  <c r="FH34" i="1" s="1"/>
  <c r="FI34" i="1" s="1"/>
  <c r="FJ34" i="1" s="1"/>
  <c r="FK34" i="1" s="1"/>
  <c r="FL34" i="1" s="1"/>
  <c r="FM34" i="1" s="1"/>
  <c r="FN34" i="1" s="1"/>
  <c r="FO34" i="1" s="1"/>
  <c r="FP34" i="1" s="1"/>
  <c r="FQ34" i="1" s="1"/>
  <c r="FR34" i="1" s="1"/>
  <c r="FS34" i="1" s="1"/>
  <c r="FT34" i="1" s="1"/>
  <c r="FU34" i="1" s="1"/>
  <c r="FV34" i="1" s="1"/>
  <c r="FW34" i="1" s="1"/>
  <c r="FX34" i="1" s="1"/>
  <c r="FY34" i="1" s="1"/>
  <c r="FZ34" i="1" s="1"/>
  <c r="GA34" i="1" s="1"/>
  <c r="GB34" i="1" s="1"/>
  <c r="GC34" i="1" s="1"/>
  <c r="GD34" i="1" s="1"/>
  <c r="GE34" i="1" s="1"/>
  <c r="GF34" i="1" s="1"/>
  <c r="GG34" i="1" s="1"/>
  <c r="GH34" i="1" s="1"/>
  <c r="GI34" i="1" s="1"/>
  <c r="GJ34" i="1" s="1"/>
  <c r="GK34" i="1" s="1"/>
  <c r="GL34" i="1" s="1"/>
  <c r="GM34" i="1" s="1"/>
  <c r="GN34" i="1" s="1"/>
  <c r="GO34" i="1" s="1"/>
  <c r="GP34" i="1" s="1"/>
  <c r="GQ34" i="1" s="1"/>
  <c r="GR34" i="1" s="1"/>
  <c r="GS34" i="1" s="1"/>
  <c r="GT34" i="1" s="1"/>
  <c r="GU34" i="1" s="1"/>
  <c r="GV34" i="1" s="1"/>
  <c r="GW34" i="1" s="1"/>
  <c r="GX34" i="1" s="1"/>
  <c r="GY34" i="1" s="1"/>
  <c r="GZ34" i="1" s="1"/>
  <c r="HA34" i="1" s="1"/>
  <c r="HB34" i="1" s="1"/>
  <c r="HC34" i="1" s="1"/>
  <c r="HD34" i="1" s="1"/>
  <c r="HE34" i="1" s="1"/>
  <c r="HF34" i="1" s="1"/>
  <c r="HG34" i="1" s="1"/>
  <c r="HH34" i="1" s="1"/>
  <c r="HI34" i="1" s="1"/>
  <c r="HJ34" i="1" s="1"/>
  <c r="HK34" i="1" s="1"/>
  <c r="HL34" i="1" s="1"/>
  <c r="HM34" i="1" s="1"/>
  <c r="HN34" i="1" s="1"/>
  <c r="HO34" i="1" s="1"/>
  <c r="HP34" i="1" s="1"/>
  <c r="HQ34" i="1" s="1"/>
  <c r="HR34" i="1" s="1"/>
  <c r="HS34" i="1" s="1"/>
  <c r="HT34" i="1" s="1"/>
  <c r="HU34" i="1" s="1"/>
  <c r="HV34" i="1" s="1"/>
  <c r="HW34" i="1" s="1"/>
  <c r="HX34" i="1" s="1"/>
  <c r="HY34" i="1" s="1"/>
  <c r="HZ34" i="1" s="1"/>
  <c r="IA34" i="1" s="1"/>
  <c r="IB34" i="1" s="1"/>
  <c r="IC34" i="1" s="1"/>
  <c r="ID34" i="1" s="1"/>
  <c r="IE34" i="1" s="1"/>
  <c r="IF34" i="1" s="1"/>
  <c r="IG34" i="1" s="1"/>
  <c r="IH34" i="1" s="1"/>
  <c r="II34" i="1" s="1"/>
  <c r="IJ34" i="1" s="1"/>
  <c r="IK34" i="1" s="1"/>
  <c r="IL34" i="1" s="1"/>
  <c r="IM34" i="1" s="1"/>
  <c r="IN34" i="1" s="1"/>
  <c r="IO34" i="1" s="1"/>
  <c r="IP34" i="1" s="1"/>
  <c r="IQ34" i="1" s="1"/>
  <c r="IR34" i="1" s="1"/>
  <c r="AN36" i="1"/>
  <c r="AO36" i="1" s="1"/>
  <c r="BS36" i="1" s="1"/>
  <c r="EW36" i="1"/>
  <c r="EX36" i="1" s="1"/>
  <c r="EY36" i="1" s="1"/>
  <c r="EZ36" i="1" s="1"/>
  <c r="FA36" i="1" s="1"/>
  <c r="FB36" i="1" s="1"/>
  <c r="FC36" i="1" s="1"/>
  <c r="FD36" i="1" s="1"/>
  <c r="FE36" i="1" s="1"/>
  <c r="FF36" i="1" s="1"/>
  <c r="FG36" i="1" s="1"/>
  <c r="FH36" i="1" s="1"/>
  <c r="FI36" i="1" s="1"/>
  <c r="FJ36" i="1" s="1"/>
  <c r="FK36" i="1" s="1"/>
  <c r="FL36" i="1" s="1"/>
  <c r="FM36" i="1" s="1"/>
  <c r="FN36" i="1" s="1"/>
  <c r="FO36" i="1" s="1"/>
  <c r="FP36" i="1" s="1"/>
  <c r="FQ36" i="1" s="1"/>
  <c r="FR36" i="1" s="1"/>
  <c r="FS36" i="1" s="1"/>
  <c r="FT36" i="1" s="1"/>
  <c r="FU36" i="1" s="1"/>
  <c r="FV36" i="1" s="1"/>
  <c r="FW36" i="1" s="1"/>
  <c r="FX36" i="1" s="1"/>
  <c r="FY36" i="1" s="1"/>
  <c r="FZ36" i="1" s="1"/>
  <c r="GA36" i="1" s="1"/>
  <c r="GB36" i="1" s="1"/>
  <c r="GC36" i="1" s="1"/>
  <c r="GD36" i="1" s="1"/>
  <c r="GE36" i="1" s="1"/>
  <c r="GF36" i="1" s="1"/>
  <c r="GG36" i="1" s="1"/>
  <c r="GH36" i="1" s="1"/>
  <c r="GI36" i="1" s="1"/>
  <c r="GJ36" i="1" s="1"/>
  <c r="GK36" i="1" s="1"/>
  <c r="GL36" i="1" s="1"/>
  <c r="GM36" i="1" s="1"/>
  <c r="GN36" i="1" s="1"/>
  <c r="GO36" i="1" s="1"/>
  <c r="GP36" i="1" s="1"/>
  <c r="GQ36" i="1" s="1"/>
  <c r="GR36" i="1" s="1"/>
  <c r="GS36" i="1" s="1"/>
  <c r="GT36" i="1" s="1"/>
  <c r="GU36" i="1" s="1"/>
  <c r="GV36" i="1" s="1"/>
  <c r="GW36" i="1" s="1"/>
  <c r="GX36" i="1" s="1"/>
  <c r="GY36" i="1" s="1"/>
  <c r="GZ36" i="1" s="1"/>
  <c r="HA36" i="1" s="1"/>
  <c r="HB36" i="1" s="1"/>
  <c r="HC36" i="1" s="1"/>
  <c r="HD36" i="1" s="1"/>
  <c r="HE36" i="1" s="1"/>
  <c r="HF36" i="1" s="1"/>
  <c r="HG36" i="1" s="1"/>
  <c r="HH36" i="1" s="1"/>
  <c r="HI36" i="1" s="1"/>
  <c r="HJ36" i="1" s="1"/>
  <c r="HK36" i="1" s="1"/>
  <c r="HL36" i="1" s="1"/>
  <c r="HM36" i="1" s="1"/>
  <c r="HN36" i="1" s="1"/>
  <c r="HO36" i="1" s="1"/>
  <c r="HP36" i="1" s="1"/>
  <c r="HQ36" i="1" s="1"/>
  <c r="HR36" i="1" s="1"/>
  <c r="HS36" i="1" s="1"/>
  <c r="HT36" i="1" s="1"/>
  <c r="HU36" i="1" s="1"/>
  <c r="HV36" i="1" s="1"/>
  <c r="HW36" i="1" s="1"/>
  <c r="HX36" i="1" s="1"/>
  <c r="HY36" i="1" s="1"/>
  <c r="HZ36" i="1" s="1"/>
  <c r="IA36" i="1" s="1"/>
  <c r="IB36" i="1" s="1"/>
  <c r="IC36" i="1" s="1"/>
  <c r="ID36" i="1" s="1"/>
  <c r="IE36" i="1" s="1"/>
  <c r="IF36" i="1" s="1"/>
  <c r="IG36" i="1" s="1"/>
  <c r="IH36" i="1" s="1"/>
  <c r="II36" i="1" s="1"/>
  <c r="IJ36" i="1" s="1"/>
  <c r="IK36" i="1" s="1"/>
  <c r="IL36" i="1" s="1"/>
  <c r="IM36" i="1" s="1"/>
  <c r="IN36" i="1" s="1"/>
  <c r="IO36" i="1" s="1"/>
  <c r="IP36" i="1" s="1"/>
  <c r="IQ36" i="1" s="1"/>
  <c r="IR36" i="1" s="1"/>
  <c r="EW28" i="1"/>
  <c r="EX28" i="1" s="1"/>
  <c r="EY28" i="1" s="1"/>
  <c r="EZ28" i="1" s="1"/>
  <c r="FA28" i="1" s="1"/>
  <c r="FB28" i="1" s="1"/>
  <c r="FC28" i="1" s="1"/>
  <c r="FD28" i="1" s="1"/>
  <c r="FE28" i="1" s="1"/>
  <c r="FF28" i="1" s="1"/>
  <c r="FG28" i="1" s="1"/>
  <c r="FH28" i="1" s="1"/>
  <c r="FI28" i="1" s="1"/>
  <c r="FJ28" i="1" s="1"/>
  <c r="FK28" i="1" s="1"/>
  <c r="FL28" i="1" s="1"/>
  <c r="FM28" i="1" s="1"/>
  <c r="FN28" i="1" s="1"/>
  <c r="FO28" i="1" s="1"/>
  <c r="FP28" i="1" s="1"/>
  <c r="FQ28" i="1" s="1"/>
  <c r="FR28" i="1" s="1"/>
  <c r="FS28" i="1" s="1"/>
  <c r="FT28" i="1" s="1"/>
  <c r="FU28" i="1" s="1"/>
  <c r="FV28" i="1" s="1"/>
  <c r="FW28" i="1" s="1"/>
  <c r="FX28" i="1" s="1"/>
  <c r="FY28" i="1" s="1"/>
  <c r="FZ28" i="1" s="1"/>
  <c r="GA28" i="1" s="1"/>
  <c r="GB28" i="1" s="1"/>
  <c r="GC28" i="1" s="1"/>
  <c r="GD28" i="1" s="1"/>
  <c r="GE28" i="1" s="1"/>
  <c r="GF28" i="1" s="1"/>
  <c r="GG28" i="1" s="1"/>
  <c r="GH28" i="1" s="1"/>
  <c r="GI28" i="1" s="1"/>
  <c r="GJ28" i="1" s="1"/>
  <c r="GK28" i="1" s="1"/>
  <c r="GL28" i="1" s="1"/>
  <c r="GM28" i="1" s="1"/>
  <c r="GN28" i="1" s="1"/>
  <c r="GO28" i="1" s="1"/>
  <c r="GP28" i="1" s="1"/>
  <c r="GQ28" i="1" s="1"/>
  <c r="GR28" i="1" s="1"/>
  <c r="GS28" i="1" s="1"/>
  <c r="GT28" i="1" s="1"/>
  <c r="GU28" i="1" s="1"/>
  <c r="GV28" i="1" s="1"/>
  <c r="GW28" i="1" s="1"/>
  <c r="GX28" i="1" s="1"/>
  <c r="GY28" i="1" s="1"/>
  <c r="GZ28" i="1" s="1"/>
  <c r="HA28" i="1" s="1"/>
  <c r="HB28" i="1" s="1"/>
  <c r="HC28" i="1" s="1"/>
  <c r="HD28" i="1" s="1"/>
  <c r="HE28" i="1" s="1"/>
  <c r="HF28" i="1" s="1"/>
  <c r="HG28" i="1" s="1"/>
  <c r="HH28" i="1" s="1"/>
  <c r="HI28" i="1" s="1"/>
  <c r="HJ28" i="1" s="1"/>
  <c r="HK28" i="1" s="1"/>
  <c r="HL28" i="1" s="1"/>
  <c r="HM28" i="1" s="1"/>
  <c r="HN28" i="1" s="1"/>
  <c r="HO28" i="1" s="1"/>
  <c r="HP28" i="1" s="1"/>
  <c r="HQ28" i="1" s="1"/>
  <c r="HR28" i="1" s="1"/>
  <c r="HS28" i="1" s="1"/>
  <c r="HT28" i="1" s="1"/>
  <c r="HU28" i="1" s="1"/>
  <c r="HV28" i="1" s="1"/>
  <c r="HW28" i="1" s="1"/>
  <c r="HX28" i="1" s="1"/>
  <c r="HY28" i="1" s="1"/>
  <c r="HZ28" i="1" s="1"/>
  <c r="IA28" i="1" s="1"/>
  <c r="IB28" i="1" s="1"/>
  <c r="IC28" i="1" s="1"/>
  <c r="ID28" i="1" s="1"/>
  <c r="IE28" i="1" s="1"/>
  <c r="IF28" i="1" s="1"/>
  <c r="IG28" i="1" s="1"/>
  <c r="IH28" i="1" s="1"/>
  <c r="II28" i="1" s="1"/>
  <c r="IJ28" i="1" s="1"/>
  <c r="IK28" i="1" s="1"/>
  <c r="IL28" i="1" s="1"/>
  <c r="IM28" i="1" s="1"/>
  <c r="IN28" i="1" s="1"/>
  <c r="IO28" i="1" s="1"/>
  <c r="IP28" i="1" s="1"/>
  <c r="IQ28" i="1" s="1"/>
  <c r="IR28" i="1" s="1"/>
  <c r="AN28" i="1"/>
  <c r="AO28" i="1" s="1"/>
  <c r="BV28" i="1" s="1"/>
  <c r="AN19" i="1"/>
  <c r="AO19" i="1" s="1"/>
  <c r="CJ19" i="1" s="1"/>
  <c r="EW19" i="1"/>
  <c r="EX19" i="1" s="1"/>
  <c r="EY19" i="1" s="1"/>
  <c r="EZ19" i="1" s="1"/>
  <c r="FA19" i="1" s="1"/>
  <c r="FB19" i="1" s="1"/>
  <c r="FC19" i="1" s="1"/>
  <c r="FD19" i="1" s="1"/>
  <c r="FE19" i="1" s="1"/>
  <c r="FF19" i="1" s="1"/>
  <c r="FG19" i="1" s="1"/>
  <c r="FH19" i="1" s="1"/>
  <c r="FI19" i="1" s="1"/>
  <c r="FJ19" i="1" s="1"/>
  <c r="FK19" i="1" s="1"/>
  <c r="FL19" i="1" s="1"/>
  <c r="FM19" i="1" s="1"/>
  <c r="FN19" i="1" s="1"/>
  <c r="FO19" i="1" s="1"/>
  <c r="FP19" i="1" s="1"/>
  <c r="FQ19" i="1" s="1"/>
  <c r="FR19" i="1" s="1"/>
  <c r="FS19" i="1" s="1"/>
  <c r="FT19" i="1" s="1"/>
  <c r="FU19" i="1" s="1"/>
  <c r="FV19" i="1" s="1"/>
  <c r="FW19" i="1" s="1"/>
  <c r="FX19" i="1" s="1"/>
  <c r="FY19" i="1" s="1"/>
  <c r="FZ19" i="1" s="1"/>
  <c r="GA19" i="1" s="1"/>
  <c r="GB19" i="1" s="1"/>
  <c r="GC19" i="1" s="1"/>
  <c r="GD19" i="1" s="1"/>
  <c r="GE19" i="1" s="1"/>
  <c r="GF19" i="1" s="1"/>
  <c r="GG19" i="1" s="1"/>
  <c r="GH19" i="1" s="1"/>
  <c r="GI19" i="1" s="1"/>
  <c r="GJ19" i="1" s="1"/>
  <c r="GK19" i="1" s="1"/>
  <c r="GL19" i="1" s="1"/>
  <c r="GM19" i="1" s="1"/>
  <c r="GN19" i="1" s="1"/>
  <c r="GO19" i="1" s="1"/>
  <c r="GP19" i="1" s="1"/>
  <c r="GQ19" i="1" s="1"/>
  <c r="GR19" i="1" s="1"/>
  <c r="GS19" i="1" s="1"/>
  <c r="GT19" i="1" s="1"/>
  <c r="GU19" i="1" s="1"/>
  <c r="GV19" i="1" s="1"/>
  <c r="GW19" i="1" s="1"/>
  <c r="GX19" i="1" s="1"/>
  <c r="GY19" i="1" s="1"/>
  <c r="GZ19" i="1" s="1"/>
  <c r="HA19" i="1" s="1"/>
  <c r="HB19" i="1" s="1"/>
  <c r="HC19" i="1" s="1"/>
  <c r="HD19" i="1" s="1"/>
  <c r="HE19" i="1" s="1"/>
  <c r="HF19" i="1" s="1"/>
  <c r="HG19" i="1" s="1"/>
  <c r="HH19" i="1" s="1"/>
  <c r="HI19" i="1" s="1"/>
  <c r="HJ19" i="1" s="1"/>
  <c r="HK19" i="1" s="1"/>
  <c r="HL19" i="1" s="1"/>
  <c r="HM19" i="1" s="1"/>
  <c r="HN19" i="1" s="1"/>
  <c r="HO19" i="1" s="1"/>
  <c r="HP19" i="1" s="1"/>
  <c r="HQ19" i="1" s="1"/>
  <c r="HR19" i="1" s="1"/>
  <c r="HS19" i="1" s="1"/>
  <c r="HT19" i="1" s="1"/>
  <c r="HU19" i="1" s="1"/>
  <c r="HV19" i="1" s="1"/>
  <c r="HW19" i="1" s="1"/>
  <c r="HX19" i="1" s="1"/>
  <c r="HY19" i="1" s="1"/>
  <c r="HZ19" i="1" s="1"/>
  <c r="IA19" i="1" s="1"/>
  <c r="IB19" i="1" s="1"/>
  <c r="IC19" i="1" s="1"/>
  <c r="ID19" i="1" s="1"/>
  <c r="IE19" i="1" s="1"/>
  <c r="IF19" i="1" s="1"/>
  <c r="IG19" i="1" s="1"/>
  <c r="IH19" i="1" s="1"/>
  <c r="II19" i="1" s="1"/>
  <c r="IJ19" i="1" s="1"/>
  <c r="IK19" i="1" s="1"/>
  <c r="IL19" i="1" s="1"/>
  <c r="IM19" i="1" s="1"/>
  <c r="IN19" i="1" s="1"/>
  <c r="IO19" i="1" s="1"/>
  <c r="IP19" i="1" s="1"/>
  <c r="IQ19" i="1" s="1"/>
  <c r="IR19" i="1" s="1"/>
  <c r="EW21" i="1"/>
  <c r="EX21" i="1" s="1"/>
  <c r="EY21" i="1" s="1"/>
  <c r="EZ21" i="1" s="1"/>
  <c r="FA21" i="1" s="1"/>
  <c r="FB21" i="1" s="1"/>
  <c r="FC21" i="1" s="1"/>
  <c r="FD21" i="1" s="1"/>
  <c r="FE21" i="1" s="1"/>
  <c r="FF21" i="1" s="1"/>
  <c r="FG21" i="1" s="1"/>
  <c r="FH21" i="1" s="1"/>
  <c r="FI21" i="1" s="1"/>
  <c r="FJ21" i="1" s="1"/>
  <c r="FK21" i="1" s="1"/>
  <c r="FL21" i="1" s="1"/>
  <c r="FM21" i="1" s="1"/>
  <c r="FN21" i="1" s="1"/>
  <c r="FO21" i="1" s="1"/>
  <c r="FP21" i="1" s="1"/>
  <c r="FQ21" i="1" s="1"/>
  <c r="FR21" i="1" s="1"/>
  <c r="FS21" i="1" s="1"/>
  <c r="FT21" i="1" s="1"/>
  <c r="FU21" i="1" s="1"/>
  <c r="FV21" i="1" s="1"/>
  <c r="FW21" i="1" s="1"/>
  <c r="FX21" i="1" s="1"/>
  <c r="FY21" i="1" s="1"/>
  <c r="FZ21" i="1" s="1"/>
  <c r="GA21" i="1" s="1"/>
  <c r="GB21" i="1" s="1"/>
  <c r="GC21" i="1" s="1"/>
  <c r="GD21" i="1" s="1"/>
  <c r="GE21" i="1" s="1"/>
  <c r="GF21" i="1" s="1"/>
  <c r="GG21" i="1" s="1"/>
  <c r="GH21" i="1" s="1"/>
  <c r="GI21" i="1" s="1"/>
  <c r="GJ21" i="1" s="1"/>
  <c r="GK21" i="1" s="1"/>
  <c r="GL21" i="1" s="1"/>
  <c r="GM21" i="1" s="1"/>
  <c r="GN21" i="1" s="1"/>
  <c r="GO21" i="1" s="1"/>
  <c r="GP21" i="1" s="1"/>
  <c r="GQ21" i="1" s="1"/>
  <c r="GR21" i="1" s="1"/>
  <c r="GS21" i="1" s="1"/>
  <c r="GT21" i="1" s="1"/>
  <c r="GU21" i="1" s="1"/>
  <c r="GV21" i="1" s="1"/>
  <c r="GW21" i="1" s="1"/>
  <c r="GX21" i="1" s="1"/>
  <c r="GY21" i="1" s="1"/>
  <c r="GZ21" i="1" s="1"/>
  <c r="HA21" i="1" s="1"/>
  <c r="HB21" i="1" s="1"/>
  <c r="HC21" i="1" s="1"/>
  <c r="HD21" i="1" s="1"/>
  <c r="HE21" i="1" s="1"/>
  <c r="HF21" i="1" s="1"/>
  <c r="HG21" i="1" s="1"/>
  <c r="HH21" i="1" s="1"/>
  <c r="HI21" i="1" s="1"/>
  <c r="HJ21" i="1" s="1"/>
  <c r="HK21" i="1" s="1"/>
  <c r="HL21" i="1" s="1"/>
  <c r="HM21" i="1" s="1"/>
  <c r="HN21" i="1" s="1"/>
  <c r="HO21" i="1" s="1"/>
  <c r="HP21" i="1" s="1"/>
  <c r="HQ21" i="1" s="1"/>
  <c r="HR21" i="1" s="1"/>
  <c r="HS21" i="1" s="1"/>
  <c r="HT21" i="1" s="1"/>
  <c r="HU21" i="1" s="1"/>
  <c r="HV21" i="1" s="1"/>
  <c r="HW21" i="1" s="1"/>
  <c r="HX21" i="1" s="1"/>
  <c r="HY21" i="1" s="1"/>
  <c r="HZ21" i="1" s="1"/>
  <c r="IA21" i="1" s="1"/>
  <c r="IB21" i="1" s="1"/>
  <c r="IC21" i="1" s="1"/>
  <c r="ID21" i="1" s="1"/>
  <c r="IE21" i="1" s="1"/>
  <c r="IF21" i="1" s="1"/>
  <c r="IG21" i="1" s="1"/>
  <c r="IH21" i="1" s="1"/>
  <c r="II21" i="1" s="1"/>
  <c r="IJ21" i="1" s="1"/>
  <c r="IK21" i="1" s="1"/>
  <c r="IL21" i="1" s="1"/>
  <c r="IM21" i="1" s="1"/>
  <c r="IN21" i="1" s="1"/>
  <c r="IO21" i="1" s="1"/>
  <c r="IP21" i="1" s="1"/>
  <c r="IQ21" i="1" s="1"/>
  <c r="IR21" i="1" s="1"/>
  <c r="AN21" i="1"/>
  <c r="AO21" i="1" s="1"/>
  <c r="BP21" i="1" s="1"/>
  <c r="AI89" i="1"/>
  <c r="AI90" i="1"/>
  <c r="EW12" i="1"/>
  <c r="EX12" i="1" s="1"/>
  <c r="EY12" i="1" s="1"/>
  <c r="EZ12" i="1" s="1"/>
  <c r="FA12" i="1" s="1"/>
  <c r="FB12" i="1" s="1"/>
  <c r="FC12" i="1" s="1"/>
  <c r="FD12" i="1" s="1"/>
  <c r="FE12" i="1" s="1"/>
  <c r="FF12" i="1" s="1"/>
  <c r="FG12" i="1" s="1"/>
  <c r="FH12" i="1" s="1"/>
  <c r="FI12" i="1" s="1"/>
  <c r="FJ12" i="1" s="1"/>
  <c r="FK12" i="1" s="1"/>
  <c r="FL12" i="1" s="1"/>
  <c r="FM12" i="1" s="1"/>
  <c r="FN12" i="1" s="1"/>
  <c r="FO12" i="1" s="1"/>
  <c r="FP12" i="1" s="1"/>
  <c r="FQ12" i="1" s="1"/>
  <c r="FR12" i="1" s="1"/>
  <c r="FS12" i="1" s="1"/>
  <c r="FT12" i="1" s="1"/>
  <c r="FU12" i="1" s="1"/>
  <c r="FV12" i="1" s="1"/>
  <c r="FW12" i="1" s="1"/>
  <c r="FX12" i="1" s="1"/>
  <c r="FY12" i="1" s="1"/>
  <c r="FZ12" i="1" s="1"/>
  <c r="GA12" i="1" s="1"/>
  <c r="GB12" i="1" s="1"/>
  <c r="GC12" i="1" s="1"/>
  <c r="GD12" i="1" s="1"/>
  <c r="GE12" i="1" s="1"/>
  <c r="GF12" i="1" s="1"/>
  <c r="GG12" i="1" s="1"/>
  <c r="GH12" i="1" s="1"/>
  <c r="GI12" i="1" s="1"/>
  <c r="GJ12" i="1" s="1"/>
  <c r="GK12" i="1" s="1"/>
  <c r="GL12" i="1" s="1"/>
  <c r="GM12" i="1" s="1"/>
  <c r="GN12" i="1" s="1"/>
  <c r="GO12" i="1" s="1"/>
  <c r="GP12" i="1" s="1"/>
  <c r="GQ12" i="1" s="1"/>
  <c r="GR12" i="1" s="1"/>
  <c r="GS12" i="1" s="1"/>
  <c r="GT12" i="1" s="1"/>
  <c r="GU12" i="1" s="1"/>
  <c r="GV12" i="1" s="1"/>
  <c r="GW12" i="1" s="1"/>
  <c r="GX12" i="1" s="1"/>
  <c r="GY12" i="1" s="1"/>
  <c r="GZ12" i="1" s="1"/>
  <c r="HA12" i="1" s="1"/>
  <c r="HB12" i="1" s="1"/>
  <c r="HC12" i="1" s="1"/>
  <c r="HD12" i="1" s="1"/>
  <c r="HE12" i="1" s="1"/>
  <c r="HF12" i="1" s="1"/>
  <c r="HG12" i="1" s="1"/>
  <c r="HH12" i="1" s="1"/>
  <c r="HI12" i="1" s="1"/>
  <c r="HJ12" i="1" s="1"/>
  <c r="HK12" i="1" s="1"/>
  <c r="HL12" i="1" s="1"/>
  <c r="HM12" i="1" s="1"/>
  <c r="HN12" i="1" s="1"/>
  <c r="HO12" i="1" s="1"/>
  <c r="HP12" i="1" s="1"/>
  <c r="HQ12" i="1" s="1"/>
  <c r="HR12" i="1" s="1"/>
  <c r="HS12" i="1" s="1"/>
  <c r="HT12" i="1" s="1"/>
  <c r="HU12" i="1" s="1"/>
  <c r="HV12" i="1" s="1"/>
  <c r="HW12" i="1" s="1"/>
  <c r="HX12" i="1" s="1"/>
  <c r="HY12" i="1" s="1"/>
  <c r="HZ12" i="1" s="1"/>
  <c r="IA12" i="1" s="1"/>
  <c r="IB12" i="1" s="1"/>
  <c r="IC12" i="1" s="1"/>
  <c r="ID12" i="1" s="1"/>
  <c r="IE12" i="1" s="1"/>
  <c r="IF12" i="1" s="1"/>
  <c r="IG12" i="1" s="1"/>
  <c r="IH12" i="1" s="1"/>
  <c r="II12" i="1" s="1"/>
  <c r="IJ12" i="1" s="1"/>
  <c r="IK12" i="1" s="1"/>
  <c r="IL12" i="1" s="1"/>
  <c r="IM12" i="1" s="1"/>
  <c r="IN12" i="1" s="1"/>
  <c r="IO12" i="1" s="1"/>
  <c r="IP12" i="1" s="1"/>
  <c r="IQ12" i="1" s="1"/>
  <c r="IR12" i="1" s="1"/>
  <c r="AN12" i="1"/>
  <c r="AO12" i="1" s="1"/>
  <c r="CI12" i="1" s="1"/>
  <c r="EW27" i="1"/>
  <c r="EX27" i="1" s="1"/>
  <c r="EY27" i="1" s="1"/>
  <c r="EZ27" i="1" s="1"/>
  <c r="FA27" i="1" s="1"/>
  <c r="FB27" i="1" s="1"/>
  <c r="FC27" i="1" s="1"/>
  <c r="FD27" i="1" s="1"/>
  <c r="FE27" i="1" s="1"/>
  <c r="FF27" i="1" s="1"/>
  <c r="FG27" i="1" s="1"/>
  <c r="FH27" i="1" s="1"/>
  <c r="FI27" i="1" s="1"/>
  <c r="FJ27" i="1" s="1"/>
  <c r="FK27" i="1" s="1"/>
  <c r="FL27" i="1" s="1"/>
  <c r="FM27" i="1" s="1"/>
  <c r="FN27" i="1" s="1"/>
  <c r="FO27" i="1" s="1"/>
  <c r="FP27" i="1" s="1"/>
  <c r="FQ27" i="1" s="1"/>
  <c r="FR27" i="1" s="1"/>
  <c r="FS27" i="1" s="1"/>
  <c r="FT27" i="1" s="1"/>
  <c r="FU27" i="1" s="1"/>
  <c r="FV27" i="1" s="1"/>
  <c r="FW27" i="1" s="1"/>
  <c r="FX27" i="1" s="1"/>
  <c r="FY27" i="1" s="1"/>
  <c r="FZ27" i="1" s="1"/>
  <c r="GA27" i="1" s="1"/>
  <c r="GB27" i="1" s="1"/>
  <c r="GC27" i="1" s="1"/>
  <c r="GD27" i="1" s="1"/>
  <c r="GE27" i="1" s="1"/>
  <c r="GF27" i="1" s="1"/>
  <c r="GG27" i="1" s="1"/>
  <c r="GH27" i="1" s="1"/>
  <c r="GI27" i="1" s="1"/>
  <c r="GJ27" i="1" s="1"/>
  <c r="GK27" i="1" s="1"/>
  <c r="GL27" i="1" s="1"/>
  <c r="GM27" i="1" s="1"/>
  <c r="GN27" i="1" s="1"/>
  <c r="GO27" i="1" s="1"/>
  <c r="GP27" i="1" s="1"/>
  <c r="GQ27" i="1" s="1"/>
  <c r="GR27" i="1" s="1"/>
  <c r="GS27" i="1" s="1"/>
  <c r="GT27" i="1" s="1"/>
  <c r="GU27" i="1" s="1"/>
  <c r="GV27" i="1" s="1"/>
  <c r="GW27" i="1" s="1"/>
  <c r="GX27" i="1" s="1"/>
  <c r="GY27" i="1" s="1"/>
  <c r="GZ27" i="1" s="1"/>
  <c r="HA27" i="1" s="1"/>
  <c r="HB27" i="1" s="1"/>
  <c r="HC27" i="1" s="1"/>
  <c r="HD27" i="1" s="1"/>
  <c r="HE27" i="1" s="1"/>
  <c r="HF27" i="1" s="1"/>
  <c r="HG27" i="1" s="1"/>
  <c r="HH27" i="1" s="1"/>
  <c r="HI27" i="1" s="1"/>
  <c r="HJ27" i="1" s="1"/>
  <c r="HK27" i="1" s="1"/>
  <c r="HL27" i="1" s="1"/>
  <c r="HM27" i="1" s="1"/>
  <c r="HN27" i="1" s="1"/>
  <c r="HO27" i="1" s="1"/>
  <c r="HP27" i="1" s="1"/>
  <c r="HQ27" i="1" s="1"/>
  <c r="HR27" i="1" s="1"/>
  <c r="HS27" i="1" s="1"/>
  <c r="HT27" i="1" s="1"/>
  <c r="HU27" i="1" s="1"/>
  <c r="HV27" i="1" s="1"/>
  <c r="HW27" i="1" s="1"/>
  <c r="HX27" i="1" s="1"/>
  <c r="HY27" i="1" s="1"/>
  <c r="HZ27" i="1" s="1"/>
  <c r="IA27" i="1" s="1"/>
  <c r="IB27" i="1" s="1"/>
  <c r="IC27" i="1" s="1"/>
  <c r="ID27" i="1" s="1"/>
  <c r="IE27" i="1" s="1"/>
  <c r="IF27" i="1" s="1"/>
  <c r="IG27" i="1" s="1"/>
  <c r="IH27" i="1" s="1"/>
  <c r="II27" i="1" s="1"/>
  <c r="IJ27" i="1" s="1"/>
  <c r="IK27" i="1" s="1"/>
  <c r="IL27" i="1" s="1"/>
  <c r="IM27" i="1" s="1"/>
  <c r="IN27" i="1" s="1"/>
  <c r="IO27" i="1" s="1"/>
  <c r="IP27" i="1" s="1"/>
  <c r="IQ27" i="1" s="1"/>
  <c r="IR27" i="1" s="1"/>
  <c r="AN27" i="1"/>
  <c r="AO27" i="1" s="1"/>
  <c r="CM27" i="1" s="1"/>
  <c r="AI113" i="1"/>
  <c r="AI114" i="1"/>
  <c r="AN114" i="1" s="1"/>
  <c r="AO114" i="1" s="1"/>
  <c r="EG114" i="1" s="1"/>
  <c r="AI115" i="1"/>
  <c r="J83" i="5"/>
  <c r="DM140" i="1"/>
  <c r="DK140" i="1"/>
  <c r="EG126" i="1"/>
  <c r="EF126" i="1"/>
  <c r="EH126" i="1"/>
  <c r="EE126" i="1"/>
  <c r="DL140" i="1"/>
  <c r="EJ126" i="1"/>
  <c r="EF154" i="1"/>
  <c r="EG154" i="1"/>
  <c r="EH154" i="1"/>
  <c r="EI126" i="1"/>
  <c r="DN140" i="1"/>
  <c r="EE154" i="1"/>
  <c r="EW96" i="1"/>
  <c r="EX96" i="1" s="1"/>
  <c r="EY96" i="1" s="1"/>
  <c r="EZ96" i="1" s="1"/>
  <c r="FA96" i="1" s="1"/>
  <c r="FB96" i="1" s="1"/>
  <c r="FC96" i="1" s="1"/>
  <c r="FD96" i="1" s="1"/>
  <c r="FE96" i="1" s="1"/>
  <c r="FF96" i="1" s="1"/>
  <c r="FG96" i="1" s="1"/>
  <c r="FH96" i="1" s="1"/>
  <c r="FI96" i="1" s="1"/>
  <c r="FJ96" i="1" s="1"/>
  <c r="FK96" i="1" s="1"/>
  <c r="FL96" i="1" s="1"/>
  <c r="FM96" i="1" s="1"/>
  <c r="FN96" i="1" s="1"/>
  <c r="FO96" i="1" s="1"/>
  <c r="FP96" i="1" s="1"/>
  <c r="FQ96" i="1" s="1"/>
  <c r="FR96" i="1" s="1"/>
  <c r="FS96" i="1" s="1"/>
  <c r="FT96" i="1" s="1"/>
  <c r="FU96" i="1" s="1"/>
  <c r="FV96" i="1" s="1"/>
  <c r="FW96" i="1" s="1"/>
  <c r="FX96" i="1" s="1"/>
  <c r="FY96" i="1" s="1"/>
  <c r="FZ96" i="1" s="1"/>
  <c r="GA96" i="1" s="1"/>
  <c r="GB96" i="1" s="1"/>
  <c r="GC96" i="1" s="1"/>
  <c r="GD96" i="1" s="1"/>
  <c r="GE96" i="1" s="1"/>
  <c r="GF96" i="1" s="1"/>
  <c r="GG96" i="1" s="1"/>
  <c r="GH96" i="1" s="1"/>
  <c r="GI96" i="1" s="1"/>
  <c r="GJ96" i="1" s="1"/>
  <c r="GK96" i="1" s="1"/>
  <c r="GL96" i="1" s="1"/>
  <c r="GM96" i="1" s="1"/>
  <c r="GN96" i="1" s="1"/>
  <c r="GO96" i="1" s="1"/>
  <c r="GP96" i="1" s="1"/>
  <c r="GQ96" i="1" s="1"/>
  <c r="GR96" i="1" s="1"/>
  <c r="GS96" i="1" s="1"/>
  <c r="GT96" i="1" s="1"/>
  <c r="GU96" i="1" s="1"/>
  <c r="GV96" i="1" s="1"/>
  <c r="GW96" i="1" s="1"/>
  <c r="GX96" i="1" s="1"/>
  <c r="GY96" i="1" s="1"/>
  <c r="GZ96" i="1" s="1"/>
  <c r="HA96" i="1" s="1"/>
  <c r="HB96" i="1" s="1"/>
  <c r="HC96" i="1" s="1"/>
  <c r="HD96" i="1" s="1"/>
  <c r="HE96" i="1" s="1"/>
  <c r="HF96" i="1" s="1"/>
  <c r="HG96" i="1" s="1"/>
  <c r="HH96" i="1" s="1"/>
  <c r="HI96" i="1" s="1"/>
  <c r="HJ96" i="1" s="1"/>
  <c r="HK96" i="1" s="1"/>
  <c r="HL96" i="1" s="1"/>
  <c r="HM96" i="1" s="1"/>
  <c r="HN96" i="1" s="1"/>
  <c r="HO96" i="1" s="1"/>
  <c r="HP96" i="1" s="1"/>
  <c r="HQ96" i="1" s="1"/>
  <c r="HR96" i="1" s="1"/>
  <c r="HS96" i="1" s="1"/>
  <c r="HT96" i="1" s="1"/>
  <c r="HU96" i="1" s="1"/>
  <c r="HV96" i="1" s="1"/>
  <c r="HW96" i="1" s="1"/>
  <c r="HX96" i="1" s="1"/>
  <c r="HY96" i="1" s="1"/>
  <c r="HZ96" i="1" s="1"/>
  <c r="IA96" i="1" s="1"/>
  <c r="IB96" i="1" s="1"/>
  <c r="IC96" i="1" s="1"/>
  <c r="ID96" i="1" s="1"/>
  <c r="IE96" i="1" s="1"/>
  <c r="IF96" i="1" s="1"/>
  <c r="IG96" i="1" s="1"/>
  <c r="IH96" i="1" s="1"/>
  <c r="II96" i="1" s="1"/>
  <c r="IJ96" i="1" s="1"/>
  <c r="IK96" i="1" s="1"/>
  <c r="IL96" i="1" s="1"/>
  <c r="IM96" i="1" s="1"/>
  <c r="IN96" i="1" s="1"/>
  <c r="IO96" i="1" s="1"/>
  <c r="IP96" i="1" s="1"/>
  <c r="IQ96" i="1" s="1"/>
  <c r="IR96" i="1" s="1"/>
  <c r="EW14" i="1"/>
  <c r="EX14" i="1" s="1"/>
  <c r="EY14" i="1" s="1"/>
  <c r="EZ14" i="1" s="1"/>
  <c r="FA14" i="1" s="1"/>
  <c r="FB14" i="1" s="1"/>
  <c r="FC14" i="1" s="1"/>
  <c r="FD14" i="1" s="1"/>
  <c r="FE14" i="1" s="1"/>
  <c r="FF14" i="1" s="1"/>
  <c r="FG14" i="1" s="1"/>
  <c r="FH14" i="1" s="1"/>
  <c r="FI14" i="1" s="1"/>
  <c r="FJ14" i="1" s="1"/>
  <c r="FK14" i="1" s="1"/>
  <c r="FL14" i="1" s="1"/>
  <c r="FM14" i="1" s="1"/>
  <c r="FN14" i="1" s="1"/>
  <c r="FO14" i="1" s="1"/>
  <c r="FP14" i="1" s="1"/>
  <c r="FQ14" i="1" s="1"/>
  <c r="FR14" i="1" s="1"/>
  <c r="FS14" i="1" s="1"/>
  <c r="FT14" i="1" s="1"/>
  <c r="FU14" i="1" s="1"/>
  <c r="FV14" i="1" s="1"/>
  <c r="FW14" i="1" s="1"/>
  <c r="FX14" i="1" s="1"/>
  <c r="FY14" i="1" s="1"/>
  <c r="FZ14" i="1" s="1"/>
  <c r="GA14" i="1" s="1"/>
  <c r="GB14" i="1" s="1"/>
  <c r="GC14" i="1" s="1"/>
  <c r="GD14" i="1" s="1"/>
  <c r="GE14" i="1" s="1"/>
  <c r="GF14" i="1" s="1"/>
  <c r="GG14" i="1" s="1"/>
  <c r="GH14" i="1" s="1"/>
  <c r="GI14" i="1" s="1"/>
  <c r="GJ14" i="1" s="1"/>
  <c r="GK14" i="1" s="1"/>
  <c r="GL14" i="1" s="1"/>
  <c r="GM14" i="1" s="1"/>
  <c r="GN14" i="1" s="1"/>
  <c r="GO14" i="1" s="1"/>
  <c r="GP14" i="1" s="1"/>
  <c r="GQ14" i="1" s="1"/>
  <c r="GR14" i="1" s="1"/>
  <c r="GS14" i="1" s="1"/>
  <c r="GT14" i="1" s="1"/>
  <c r="GU14" i="1" s="1"/>
  <c r="GV14" i="1" s="1"/>
  <c r="GW14" i="1" s="1"/>
  <c r="GX14" i="1" s="1"/>
  <c r="GY14" i="1" s="1"/>
  <c r="GZ14" i="1" s="1"/>
  <c r="HA14" i="1" s="1"/>
  <c r="HB14" i="1" s="1"/>
  <c r="HC14" i="1" s="1"/>
  <c r="HD14" i="1" s="1"/>
  <c r="HE14" i="1" s="1"/>
  <c r="HF14" i="1" s="1"/>
  <c r="HG14" i="1" s="1"/>
  <c r="HH14" i="1" s="1"/>
  <c r="HI14" i="1" s="1"/>
  <c r="HJ14" i="1" s="1"/>
  <c r="HK14" i="1" s="1"/>
  <c r="HL14" i="1" s="1"/>
  <c r="HM14" i="1" s="1"/>
  <c r="HN14" i="1" s="1"/>
  <c r="HO14" i="1" s="1"/>
  <c r="HP14" i="1" s="1"/>
  <c r="HQ14" i="1" s="1"/>
  <c r="HR14" i="1" s="1"/>
  <c r="HS14" i="1" s="1"/>
  <c r="HT14" i="1" s="1"/>
  <c r="HU14" i="1" s="1"/>
  <c r="HV14" i="1" s="1"/>
  <c r="HW14" i="1" s="1"/>
  <c r="HX14" i="1" s="1"/>
  <c r="HY14" i="1" s="1"/>
  <c r="HZ14" i="1" s="1"/>
  <c r="IA14" i="1" s="1"/>
  <c r="IB14" i="1" s="1"/>
  <c r="IC14" i="1" s="1"/>
  <c r="ID14" i="1" s="1"/>
  <c r="IE14" i="1" s="1"/>
  <c r="IF14" i="1" s="1"/>
  <c r="IG14" i="1" s="1"/>
  <c r="IH14" i="1" s="1"/>
  <c r="II14" i="1" s="1"/>
  <c r="IJ14" i="1" s="1"/>
  <c r="IK14" i="1" s="1"/>
  <c r="IL14" i="1" s="1"/>
  <c r="IM14" i="1" s="1"/>
  <c r="IN14" i="1" s="1"/>
  <c r="IO14" i="1" s="1"/>
  <c r="IP14" i="1" s="1"/>
  <c r="IQ14" i="1" s="1"/>
  <c r="IR14" i="1" s="1"/>
  <c r="EW16" i="1"/>
  <c r="EX16" i="1" s="1"/>
  <c r="EY16" i="1" s="1"/>
  <c r="EZ16" i="1" s="1"/>
  <c r="FA16" i="1" s="1"/>
  <c r="FB16" i="1" s="1"/>
  <c r="FC16" i="1" s="1"/>
  <c r="FD16" i="1" s="1"/>
  <c r="FE16" i="1" s="1"/>
  <c r="FF16" i="1" s="1"/>
  <c r="FG16" i="1" s="1"/>
  <c r="FH16" i="1" s="1"/>
  <c r="FI16" i="1" s="1"/>
  <c r="FJ16" i="1" s="1"/>
  <c r="FK16" i="1" s="1"/>
  <c r="FL16" i="1" s="1"/>
  <c r="FM16" i="1" s="1"/>
  <c r="FN16" i="1" s="1"/>
  <c r="FO16" i="1" s="1"/>
  <c r="FP16" i="1" s="1"/>
  <c r="FQ16" i="1" s="1"/>
  <c r="FR16" i="1" s="1"/>
  <c r="FS16" i="1" s="1"/>
  <c r="FT16" i="1" s="1"/>
  <c r="FU16" i="1" s="1"/>
  <c r="FV16" i="1" s="1"/>
  <c r="FW16" i="1" s="1"/>
  <c r="FX16" i="1" s="1"/>
  <c r="FY16" i="1" s="1"/>
  <c r="FZ16" i="1" s="1"/>
  <c r="GA16" i="1" s="1"/>
  <c r="GB16" i="1" s="1"/>
  <c r="GC16" i="1" s="1"/>
  <c r="GD16" i="1" s="1"/>
  <c r="GE16" i="1" s="1"/>
  <c r="GF16" i="1" s="1"/>
  <c r="GG16" i="1" s="1"/>
  <c r="GH16" i="1" s="1"/>
  <c r="GI16" i="1" s="1"/>
  <c r="GJ16" i="1" s="1"/>
  <c r="GK16" i="1" s="1"/>
  <c r="GL16" i="1" s="1"/>
  <c r="GM16" i="1" s="1"/>
  <c r="GN16" i="1" s="1"/>
  <c r="GO16" i="1" s="1"/>
  <c r="GP16" i="1" s="1"/>
  <c r="GQ16" i="1" s="1"/>
  <c r="GR16" i="1" s="1"/>
  <c r="GS16" i="1" s="1"/>
  <c r="GT16" i="1" s="1"/>
  <c r="GU16" i="1" s="1"/>
  <c r="GV16" i="1" s="1"/>
  <c r="GW16" i="1" s="1"/>
  <c r="GX16" i="1" s="1"/>
  <c r="GY16" i="1" s="1"/>
  <c r="GZ16" i="1" s="1"/>
  <c r="HA16" i="1" s="1"/>
  <c r="HB16" i="1" s="1"/>
  <c r="HC16" i="1" s="1"/>
  <c r="HD16" i="1" s="1"/>
  <c r="HE16" i="1" s="1"/>
  <c r="HF16" i="1" s="1"/>
  <c r="HG16" i="1" s="1"/>
  <c r="HH16" i="1" s="1"/>
  <c r="HI16" i="1" s="1"/>
  <c r="HJ16" i="1" s="1"/>
  <c r="HK16" i="1" s="1"/>
  <c r="HL16" i="1" s="1"/>
  <c r="HM16" i="1" s="1"/>
  <c r="HN16" i="1" s="1"/>
  <c r="HO16" i="1" s="1"/>
  <c r="HP16" i="1" s="1"/>
  <c r="HQ16" i="1" s="1"/>
  <c r="HR16" i="1" s="1"/>
  <c r="HS16" i="1" s="1"/>
  <c r="HT16" i="1" s="1"/>
  <c r="HU16" i="1" s="1"/>
  <c r="HV16" i="1" s="1"/>
  <c r="HW16" i="1" s="1"/>
  <c r="HX16" i="1" s="1"/>
  <c r="HY16" i="1" s="1"/>
  <c r="HZ16" i="1" s="1"/>
  <c r="IA16" i="1" s="1"/>
  <c r="IB16" i="1" s="1"/>
  <c r="IC16" i="1" s="1"/>
  <c r="ID16" i="1" s="1"/>
  <c r="IE16" i="1" s="1"/>
  <c r="IF16" i="1" s="1"/>
  <c r="IG16" i="1" s="1"/>
  <c r="IH16" i="1" s="1"/>
  <c r="II16" i="1" s="1"/>
  <c r="IJ16" i="1" s="1"/>
  <c r="IK16" i="1" s="1"/>
  <c r="IL16" i="1" s="1"/>
  <c r="IM16" i="1" s="1"/>
  <c r="IN16" i="1" s="1"/>
  <c r="IO16" i="1" s="1"/>
  <c r="IP16" i="1" s="1"/>
  <c r="IQ16" i="1" s="1"/>
  <c r="IR16" i="1" s="1"/>
  <c r="EW17" i="1"/>
  <c r="EX17" i="1" s="1"/>
  <c r="EY17" i="1" s="1"/>
  <c r="EZ17" i="1" s="1"/>
  <c r="FA17" i="1" s="1"/>
  <c r="FB17" i="1" s="1"/>
  <c r="FC17" i="1" s="1"/>
  <c r="FD17" i="1" s="1"/>
  <c r="FE17" i="1" s="1"/>
  <c r="FF17" i="1" s="1"/>
  <c r="FG17" i="1" s="1"/>
  <c r="FH17" i="1" s="1"/>
  <c r="FI17" i="1" s="1"/>
  <c r="FJ17" i="1" s="1"/>
  <c r="FK17" i="1" s="1"/>
  <c r="FL17" i="1" s="1"/>
  <c r="FM17" i="1" s="1"/>
  <c r="FN17" i="1" s="1"/>
  <c r="FO17" i="1" s="1"/>
  <c r="FP17" i="1" s="1"/>
  <c r="FQ17" i="1" s="1"/>
  <c r="FR17" i="1" s="1"/>
  <c r="FS17" i="1" s="1"/>
  <c r="FT17" i="1" s="1"/>
  <c r="FU17" i="1" s="1"/>
  <c r="FV17" i="1" s="1"/>
  <c r="FW17" i="1" s="1"/>
  <c r="FX17" i="1" s="1"/>
  <c r="FY17" i="1" s="1"/>
  <c r="FZ17" i="1" s="1"/>
  <c r="GA17" i="1" s="1"/>
  <c r="GB17" i="1" s="1"/>
  <c r="GC17" i="1" s="1"/>
  <c r="GD17" i="1" s="1"/>
  <c r="GE17" i="1" s="1"/>
  <c r="GF17" i="1" s="1"/>
  <c r="GG17" i="1" s="1"/>
  <c r="GH17" i="1" s="1"/>
  <c r="GI17" i="1" s="1"/>
  <c r="GJ17" i="1" s="1"/>
  <c r="GK17" i="1" s="1"/>
  <c r="GL17" i="1" s="1"/>
  <c r="GM17" i="1" s="1"/>
  <c r="GN17" i="1" s="1"/>
  <c r="GO17" i="1" s="1"/>
  <c r="GP17" i="1" s="1"/>
  <c r="GQ17" i="1" s="1"/>
  <c r="GR17" i="1" s="1"/>
  <c r="GS17" i="1" s="1"/>
  <c r="GT17" i="1" s="1"/>
  <c r="GU17" i="1" s="1"/>
  <c r="GV17" i="1" s="1"/>
  <c r="GW17" i="1" s="1"/>
  <c r="GX17" i="1" s="1"/>
  <c r="GY17" i="1" s="1"/>
  <c r="GZ17" i="1" s="1"/>
  <c r="HA17" i="1" s="1"/>
  <c r="HB17" i="1" s="1"/>
  <c r="HC17" i="1" s="1"/>
  <c r="HD17" i="1" s="1"/>
  <c r="HE17" i="1" s="1"/>
  <c r="HF17" i="1" s="1"/>
  <c r="HG17" i="1" s="1"/>
  <c r="HH17" i="1" s="1"/>
  <c r="HI17" i="1" s="1"/>
  <c r="HJ17" i="1" s="1"/>
  <c r="HK17" i="1" s="1"/>
  <c r="HL17" i="1" s="1"/>
  <c r="HM17" i="1" s="1"/>
  <c r="HN17" i="1" s="1"/>
  <c r="HO17" i="1" s="1"/>
  <c r="HP17" i="1" s="1"/>
  <c r="HQ17" i="1" s="1"/>
  <c r="HR17" i="1" s="1"/>
  <c r="HS17" i="1" s="1"/>
  <c r="HT17" i="1" s="1"/>
  <c r="HU17" i="1" s="1"/>
  <c r="HV17" i="1" s="1"/>
  <c r="HW17" i="1" s="1"/>
  <c r="HX17" i="1" s="1"/>
  <c r="HY17" i="1" s="1"/>
  <c r="HZ17" i="1" s="1"/>
  <c r="IA17" i="1" s="1"/>
  <c r="IB17" i="1" s="1"/>
  <c r="IC17" i="1" s="1"/>
  <c r="ID17" i="1" s="1"/>
  <c r="IE17" i="1" s="1"/>
  <c r="IF17" i="1" s="1"/>
  <c r="IG17" i="1" s="1"/>
  <c r="IH17" i="1" s="1"/>
  <c r="II17" i="1" s="1"/>
  <c r="IJ17" i="1" s="1"/>
  <c r="IK17" i="1" s="1"/>
  <c r="IL17" i="1" s="1"/>
  <c r="IM17" i="1" s="1"/>
  <c r="IN17" i="1" s="1"/>
  <c r="IO17" i="1" s="1"/>
  <c r="IP17" i="1" s="1"/>
  <c r="IQ17" i="1" s="1"/>
  <c r="IR17" i="1" s="1"/>
  <c r="EW145" i="1"/>
  <c r="EX145" i="1" s="1"/>
  <c r="EY145" i="1" s="1"/>
  <c r="EZ145" i="1" s="1"/>
  <c r="FA145" i="1" s="1"/>
  <c r="FB145" i="1" s="1"/>
  <c r="FC145" i="1" s="1"/>
  <c r="FD145" i="1" s="1"/>
  <c r="FE145" i="1" s="1"/>
  <c r="FF145" i="1" s="1"/>
  <c r="FG145" i="1" s="1"/>
  <c r="FH145" i="1" s="1"/>
  <c r="FI145" i="1" s="1"/>
  <c r="FJ145" i="1" s="1"/>
  <c r="FK145" i="1" s="1"/>
  <c r="FL145" i="1" s="1"/>
  <c r="FM145" i="1" s="1"/>
  <c r="FN145" i="1" s="1"/>
  <c r="FO145" i="1" s="1"/>
  <c r="FP145" i="1" s="1"/>
  <c r="FQ145" i="1" s="1"/>
  <c r="FR145" i="1" s="1"/>
  <c r="FS145" i="1" s="1"/>
  <c r="FT145" i="1" s="1"/>
  <c r="FU145" i="1" s="1"/>
  <c r="FV145" i="1" s="1"/>
  <c r="FW145" i="1" s="1"/>
  <c r="FX145" i="1" s="1"/>
  <c r="FY145" i="1" s="1"/>
  <c r="FZ145" i="1" s="1"/>
  <c r="GA145" i="1" s="1"/>
  <c r="GB145" i="1" s="1"/>
  <c r="GC145" i="1" s="1"/>
  <c r="GD145" i="1" s="1"/>
  <c r="GE145" i="1" s="1"/>
  <c r="GF145" i="1" s="1"/>
  <c r="GG145" i="1" s="1"/>
  <c r="GH145" i="1" s="1"/>
  <c r="GI145" i="1" s="1"/>
  <c r="GJ145" i="1" s="1"/>
  <c r="GK145" i="1" s="1"/>
  <c r="GL145" i="1" s="1"/>
  <c r="GM145" i="1" s="1"/>
  <c r="GN145" i="1" s="1"/>
  <c r="GO145" i="1" s="1"/>
  <c r="GP145" i="1" s="1"/>
  <c r="GQ145" i="1" s="1"/>
  <c r="GR145" i="1" s="1"/>
  <c r="GS145" i="1" s="1"/>
  <c r="GT145" i="1" s="1"/>
  <c r="GU145" i="1" s="1"/>
  <c r="GV145" i="1" s="1"/>
  <c r="GW145" i="1" s="1"/>
  <c r="GX145" i="1" s="1"/>
  <c r="GY145" i="1" s="1"/>
  <c r="GZ145" i="1" s="1"/>
  <c r="HA145" i="1" s="1"/>
  <c r="HB145" i="1" s="1"/>
  <c r="HC145" i="1" s="1"/>
  <c r="HD145" i="1" s="1"/>
  <c r="HE145" i="1" s="1"/>
  <c r="HF145" i="1" s="1"/>
  <c r="HG145" i="1" s="1"/>
  <c r="HH145" i="1" s="1"/>
  <c r="HI145" i="1" s="1"/>
  <c r="HJ145" i="1" s="1"/>
  <c r="HK145" i="1" s="1"/>
  <c r="HL145" i="1" s="1"/>
  <c r="HM145" i="1" s="1"/>
  <c r="HN145" i="1" s="1"/>
  <c r="HO145" i="1" s="1"/>
  <c r="HP145" i="1" s="1"/>
  <c r="HQ145" i="1" s="1"/>
  <c r="HR145" i="1" s="1"/>
  <c r="HS145" i="1" s="1"/>
  <c r="HT145" i="1" s="1"/>
  <c r="HU145" i="1" s="1"/>
  <c r="HV145" i="1" s="1"/>
  <c r="HW145" i="1" s="1"/>
  <c r="HX145" i="1" s="1"/>
  <c r="HY145" i="1" s="1"/>
  <c r="HZ145" i="1" s="1"/>
  <c r="IA145" i="1" s="1"/>
  <c r="IB145" i="1" s="1"/>
  <c r="IC145" i="1" s="1"/>
  <c r="ID145" i="1" s="1"/>
  <c r="IE145" i="1" s="1"/>
  <c r="IF145" i="1" s="1"/>
  <c r="IG145" i="1" s="1"/>
  <c r="IH145" i="1" s="1"/>
  <c r="II145" i="1" s="1"/>
  <c r="IJ145" i="1" s="1"/>
  <c r="IK145" i="1" s="1"/>
  <c r="IL145" i="1" s="1"/>
  <c r="IM145" i="1" s="1"/>
  <c r="IN145" i="1" s="1"/>
  <c r="IO145" i="1" s="1"/>
  <c r="IP145" i="1" s="1"/>
  <c r="IQ145" i="1" s="1"/>
  <c r="IR145" i="1" s="1"/>
  <c r="ED15" i="1"/>
  <c r="EN15" i="1"/>
  <c r="DX22" i="1"/>
  <c r="DW22" i="1"/>
  <c r="EA33" i="1"/>
  <c r="DP15" i="1"/>
  <c r="CX15" i="1"/>
  <c r="DY15" i="1"/>
  <c r="EP15" i="1"/>
  <c r="DI6" i="1"/>
  <c r="EO15" i="1"/>
  <c r="ED6" i="1"/>
  <c r="DX13" i="1"/>
  <c r="ES6" i="1"/>
  <c r="EL22" i="1"/>
  <c r="EP22" i="1"/>
  <c r="EH22" i="1"/>
  <c r="DZ22" i="1"/>
  <c r="EO22" i="1"/>
  <c r="DT22" i="1"/>
  <c r="DC22" i="1"/>
  <c r="EQ22" i="1"/>
  <c r="EP33" i="1"/>
  <c r="EU22" i="1"/>
  <c r="EQ15" i="1"/>
  <c r="DH22" i="1"/>
  <c r="DM22" i="1"/>
  <c r="DW33" i="1"/>
  <c r="DD22" i="1"/>
  <c r="EG22" i="1"/>
  <c r="ES22" i="1"/>
  <c r="DO15" i="1"/>
  <c r="EC22" i="1"/>
  <c r="DM6" i="1"/>
  <c r="DS22" i="1"/>
  <c r="EE22" i="1"/>
  <c r="EG33" i="1"/>
  <c r="EE15" i="1"/>
  <c r="DJ22" i="1"/>
  <c r="DR22" i="1"/>
  <c r="EA22" i="1"/>
  <c r="DC33" i="1"/>
  <c r="DQ22" i="1"/>
  <c r="DR33" i="1"/>
  <c r="DK22" i="1"/>
  <c r="DO22" i="1"/>
  <c r="DB22" i="1"/>
  <c r="CZ22" i="1"/>
  <c r="ER22" i="1"/>
  <c r="EI33" i="1"/>
  <c r="DA15" i="1"/>
  <c r="DI22" i="1"/>
  <c r="DY22" i="1"/>
  <c r="DQ33" i="1"/>
  <c r="EF15" i="1"/>
  <c r="EN22" i="1"/>
  <c r="DF22" i="1"/>
  <c r="EQ33" i="1"/>
  <c r="DA33" i="1"/>
  <c r="DZ33" i="1"/>
  <c r="EF33" i="1"/>
  <c r="EA6" i="1"/>
  <c r="DG6" i="1"/>
  <c r="ER33" i="1"/>
  <c r="DR6" i="1"/>
  <c r="DL33" i="1"/>
  <c r="EE33" i="1"/>
  <c r="DX6" i="1"/>
  <c r="DI33" i="1"/>
  <c r="CY6" i="1"/>
  <c r="EB33" i="1"/>
  <c r="EU33" i="1"/>
  <c r="EF6" i="1"/>
  <c r="DS33" i="1"/>
  <c r="EL6" i="1"/>
  <c r="EN33" i="1"/>
  <c r="DD31" i="1"/>
  <c r="DH31" i="1"/>
  <c r="DK13" i="1"/>
  <c r="DU22" i="1"/>
  <c r="EM22" i="1"/>
  <c r="ER6" i="1"/>
  <c r="DM33" i="1"/>
  <c r="DF6" i="1"/>
  <c r="DN22" i="1"/>
  <c r="CY22" i="1"/>
  <c r="EF22" i="1"/>
  <c r="CX22" i="1"/>
  <c r="EN6" i="1"/>
  <c r="EM33" i="1"/>
  <c r="EB6" i="1"/>
  <c r="DX33" i="1"/>
  <c r="DJ33" i="1"/>
  <c r="EG15" i="1"/>
  <c r="DQ15" i="1"/>
  <c r="EU15" i="1"/>
  <c r="CX11" i="1"/>
  <c r="DJ13" i="1"/>
  <c r="EM15" i="1"/>
  <c r="ET11" i="1"/>
  <c r="EP13" i="1"/>
  <c r="EU4" i="1"/>
  <c r="DX15" i="1"/>
  <c r="CY15" i="1"/>
  <c r="DW15" i="1"/>
  <c r="DN15" i="1"/>
  <c r="ER15" i="1"/>
  <c r="DQ11" i="1"/>
  <c r="DW13" i="1"/>
  <c r="DI4" i="1"/>
  <c r="ES29" i="1"/>
  <c r="DT15" i="1"/>
  <c r="EJ15" i="1"/>
  <c r="EB15" i="1"/>
  <c r="ES11" i="1"/>
  <c r="EE13" i="1"/>
  <c r="EU6" i="1"/>
  <c r="DB4" i="1"/>
  <c r="DZ11" i="1"/>
  <c r="EC15" i="1"/>
  <c r="DM15" i="1"/>
  <c r="DL15" i="1"/>
  <c r="DP11" i="1"/>
  <c r="DO13" i="1"/>
  <c r="DV15" i="1"/>
  <c r="ET15" i="1"/>
  <c r="DK15" i="1"/>
  <c r="DE11" i="1"/>
  <c r="EB11" i="1"/>
  <c r="DJ15" i="1"/>
  <c r="EA15" i="1"/>
  <c r="DH11" i="1"/>
  <c r="DI15" i="1"/>
  <c r="DB15" i="1"/>
  <c r="DG15" i="1"/>
  <c r="DE15" i="1"/>
  <c r="DS15" i="1"/>
  <c r="DU35" i="1"/>
  <c r="ED29" i="1"/>
  <c r="EA11" i="1"/>
  <c r="DU15" i="1"/>
  <c r="DH15" i="1"/>
  <c r="EL15" i="1"/>
  <c r="DW11" i="1"/>
  <c r="ES15" i="1"/>
  <c r="DS6" i="1"/>
  <c r="EI15" i="1"/>
  <c r="DF15" i="1"/>
  <c r="CZ15" i="1"/>
  <c r="DP6" i="1"/>
  <c r="EH15" i="1"/>
  <c r="DZ15" i="1"/>
  <c r="EK15" i="1"/>
  <c r="DK6" i="1"/>
  <c r="DQ6" i="1"/>
  <c r="DC15" i="1"/>
  <c r="DD15" i="1"/>
  <c r="EI11" i="1"/>
  <c r="DF11" i="1"/>
  <c r="DC11" i="1"/>
  <c r="EH6" i="1"/>
  <c r="DA6" i="1"/>
  <c r="EN11" i="1"/>
  <c r="EF11" i="1"/>
  <c r="DK35" i="1"/>
  <c r="DB6" i="1"/>
  <c r="ET6" i="1"/>
  <c r="EK11" i="1"/>
  <c r="DY11" i="1"/>
  <c r="EQ6" i="1"/>
  <c r="EM6" i="1"/>
  <c r="DJ4" i="1"/>
  <c r="DG11" i="1"/>
  <c r="DO11" i="1"/>
  <c r="EJ11" i="1"/>
  <c r="DT4" i="1"/>
  <c r="CZ23" i="1"/>
  <c r="DN11" i="1"/>
  <c r="DK11" i="1"/>
  <c r="DT11" i="1"/>
  <c r="DY31" i="1"/>
  <c r="DD6" i="1"/>
  <c r="EI6" i="1"/>
  <c r="CZ4" i="1"/>
  <c r="DY33" i="1"/>
  <c r="EF4" i="1"/>
  <c r="DG23" i="1"/>
  <c r="DM23" i="1"/>
  <c r="DM11" i="1"/>
  <c r="DD11" i="1"/>
  <c r="DK31" i="1"/>
  <c r="DC6" i="1"/>
  <c r="EG6" i="1"/>
  <c r="EC33" i="1"/>
  <c r="EO33" i="1"/>
  <c r="DF23" i="1"/>
  <c r="EO23" i="1"/>
  <c r="EG23" i="1"/>
  <c r="DY13" i="1"/>
  <c r="DN13" i="1"/>
  <c r="EU13" i="1"/>
  <c r="DH23" i="1"/>
  <c r="EC23" i="1"/>
  <c r="DO23" i="1"/>
  <c r="DB11" i="1"/>
  <c r="DL11" i="1"/>
  <c r="ER11" i="1"/>
  <c r="DS11" i="1"/>
  <c r="DF13" i="1"/>
  <c r="DB13" i="1"/>
  <c r="DA13" i="1"/>
  <c r="EQ4" i="1"/>
  <c r="EH23" i="1"/>
  <c r="DG13" i="1"/>
  <c r="EN13" i="1"/>
  <c r="DQ23" i="1"/>
  <c r="DE23" i="1"/>
  <c r="EM13" i="1"/>
  <c r="DZ23" i="1"/>
  <c r="DT13" i="1"/>
  <c r="EL23" i="1"/>
  <c r="EB23" i="1"/>
  <c r="DJ11" i="1"/>
  <c r="EE11" i="1"/>
  <c r="EP11" i="1"/>
  <c r="EG13" i="1"/>
  <c r="ES13" i="1"/>
  <c r="CX13" i="1"/>
  <c r="ET4" i="1"/>
  <c r="CX23" i="1"/>
  <c r="DD13" i="1"/>
  <c r="EE23" i="1"/>
  <c r="EC13" i="1"/>
  <c r="EN23" i="1"/>
  <c r="EK23" i="1"/>
  <c r="DY23" i="1"/>
  <c r="CY11" i="1"/>
  <c r="ED11" i="1"/>
  <c r="DV11" i="1"/>
  <c r="ED13" i="1"/>
  <c r="DV13" i="1"/>
  <c r="EI13" i="1"/>
  <c r="EF23" i="1"/>
  <c r="ES23" i="1"/>
  <c r="EH13" i="1"/>
  <c r="CY23" i="1"/>
  <c r="EJ23" i="1"/>
  <c r="DS23" i="1"/>
  <c r="DW23" i="1"/>
  <c r="DX23" i="1"/>
  <c r="EH11" i="1"/>
  <c r="DI11" i="1"/>
  <c r="EO11" i="1"/>
  <c r="EA13" i="1"/>
  <c r="DR13" i="1"/>
  <c r="DC13" i="1"/>
  <c r="EL13" i="1"/>
  <c r="EK13" i="1"/>
  <c r="CY13" i="1"/>
  <c r="EM23" i="1"/>
  <c r="DI13" i="1"/>
  <c r="DH13" i="1"/>
  <c r="EP23" i="1"/>
  <c r="ER23" i="1"/>
  <c r="EQ23" i="1"/>
  <c r="DA11" i="1"/>
  <c r="EB13" i="1"/>
  <c r="DS13" i="1"/>
  <c r="DR23" i="1"/>
  <c r="DK23" i="1"/>
  <c r="EG11" i="1"/>
  <c r="DZ13" i="1"/>
  <c r="EF13" i="1"/>
  <c r="EI23" i="1"/>
  <c r="EQ11" i="1"/>
  <c r="EU11" i="1"/>
  <c r="CZ11" i="1"/>
  <c r="DM13" i="1"/>
  <c r="DQ13" i="1"/>
  <c r="DP13" i="1"/>
  <c r="EP6" i="1"/>
  <c r="DY6" i="1"/>
  <c r="DL6" i="1"/>
  <c r="DA23" i="1"/>
  <c r="EJ13" i="1"/>
  <c r="EU23" i="1"/>
  <c r="DE13" i="1"/>
  <c r="DI23" i="1"/>
  <c r="DU13" i="1"/>
  <c r="ET13" i="1"/>
  <c r="DC23" i="1"/>
  <c r="EL11" i="1"/>
  <c r="ER13" i="1"/>
  <c r="DV23" i="1"/>
  <c r="DB23" i="1"/>
  <c r="DX11" i="1"/>
  <c r="DU11" i="1"/>
  <c r="EQ13" i="1"/>
  <c r="DU23" i="1"/>
  <c r="DT23" i="1"/>
  <c r="DN23" i="1"/>
  <c r="EC11" i="1"/>
  <c r="DR11" i="1"/>
  <c r="DL13" i="1"/>
  <c r="EO13" i="1"/>
  <c r="DW6" i="1"/>
  <c r="DE6" i="1"/>
  <c r="CX33" i="1"/>
  <c r="CZ33" i="1"/>
  <c r="EG35" i="1"/>
  <c r="EU35" i="1"/>
  <c r="EG29" i="1"/>
  <c r="DH29" i="1"/>
  <c r="DP35" i="1"/>
  <c r="DW29" i="1"/>
  <c r="DP29" i="1"/>
  <c r="CZ29" i="1"/>
  <c r="EI35" i="1"/>
  <c r="DH35" i="1"/>
  <c r="EO31" i="1"/>
  <c r="EO6" i="1"/>
  <c r="DU6" i="1"/>
  <c r="DN6" i="1"/>
  <c r="ER29" i="1"/>
  <c r="EU29" i="1"/>
  <c r="EF29" i="1"/>
  <c r="EJ35" i="1"/>
  <c r="EN35" i="1"/>
  <c r="DT29" i="1"/>
  <c r="EH35" i="1"/>
  <c r="EC35" i="1"/>
  <c r="EM31" i="1"/>
  <c r="DV6" i="1"/>
  <c r="CZ6" i="1"/>
  <c r="CX6" i="1"/>
  <c r="EP29" i="1"/>
  <c r="DO29" i="1"/>
  <c r="DD35" i="1"/>
  <c r="EF35" i="1"/>
  <c r="DL29" i="1"/>
  <c r="CY29" i="1"/>
  <c r="EK35" i="1"/>
  <c r="EA35" i="1"/>
  <c r="DC31" i="1"/>
  <c r="DJ6" i="1"/>
  <c r="DT6" i="1"/>
  <c r="EC6" i="1"/>
  <c r="EK29" i="1"/>
  <c r="DB35" i="1"/>
  <c r="DE35" i="1"/>
  <c r="DR35" i="1"/>
  <c r="DI35" i="1"/>
  <c r="DU29" i="1"/>
  <c r="EM35" i="1"/>
  <c r="DM35" i="1"/>
  <c r="EL29" i="1"/>
  <c r="DR29" i="1"/>
  <c r="DQ35" i="1"/>
  <c r="EO29" i="1"/>
  <c r="DW35" i="1"/>
  <c r="EB35" i="1"/>
  <c r="DG35" i="1"/>
  <c r="EK6" i="1"/>
  <c r="EE6" i="1"/>
  <c r="EJ6" i="1"/>
  <c r="DK29" i="1"/>
  <c r="EN29" i="1"/>
  <c r="ET35" i="1"/>
  <c r="DA35" i="1"/>
  <c r="DV35" i="1"/>
  <c r="DI29" i="1"/>
  <c r="EC29" i="1"/>
  <c r="DX29" i="1"/>
  <c r="DX35" i="1"/>
  <c r="DF35" i="1"/>
  <c r="DE29" i="1"/>
  <c r="DJ29" i="1"/>
  <c r="DO35" i="1"/>
  <c r="CX35" i="1"/>
  <c r="DH6" i="1"/>
  <c r="DZ6" i="1"/>
  <c r="DA29" i="1"/>
  <c r="EA29" i="1"/>
  <c r="AN113" i="1"/>
  <c r="AO113" i="1" s="1"/>
  <c r="EQ113" i="1" s="1"/>
  <c r="DS35" i="1"/>
  <c r="DT35" i="1"/>
  <c r="EL35" i="1"/>
  <c r="DW31" i="1"/>
  <c r="DB31" i="1"/>
  <c r="ES31" i="1"/>
  <c r="DV29" i="1"/>
  <c r="DQ29" i="1"/>
  <c r="EE29" i="1"/>
  <c r="DO4" i="1"/>
  <c r="EP4" i="1"/>
  <c r="ED4" i="1"/>
  <c r="DE33" i="1"/>
  <c r="EK33" i="1"/>
  <c r="CY33" i="1"/>
  <c r="CZ31" i="1"/>
  <c r="DZ31" i="1"/>
  <c r="DX31" i="1"/>
  <c r="DH4" i="1"/>
  <c r="EN4" i="1"/>
  <c r="DN4" i="1"/>
  <c r="DF31" i="1"/>
  <c r="EI31" i="1"/>
  <c r="CX31" i="1"/>
  <c r="DE31" i="1"/>
  <c r="EG4" i="1"/>
  <c r="DA4" i="1"/>
  <c r="ER4" i="1"/>
  <c r="AN89" i="1"/>
  <c r="AO89" i="1" s="1"/>
  <c r="DL22" i="1"/>
  <c r="DP22" i="1"/>
  <c r="DV22" i="1"/>
  <c r="DC35" i="1"/>
  <c r="DN35" i="1"/>
  <c r="EE35" i="1"/>
  <c r="EF31" i="1"/>
  <c r="DS31" i="1"/>
  <c r="EU31" i="1"/>
  <c r="DN29" i="1"/>
  <c r="DM29" i="1"/>
  <c r="ET29" i="1"/>
  <c r="DG4" i="1"/>
  <c r="DK4" i="1"/>
  <c r="DS4" i="1"/>
  <c r="EB4" i="1"/>
  <c r="ED33" i="1"/>
  <c r="DD33" i="1"/>
  <c r="DK33" i="1"/>
  <c r="EG31" i="1"/>
  <c r="AN145" i="1"/>
  <c r="AO145" i="1" s="1"/>
  <c r="EE4" i="1"/>
  <c r="AN96" i="1"/>
  <c r="AO96" i="1" s="1"/>
  <c r="EE96" i="1" s="1"/>
  <c r="DQ31" i="1"/>
  <c r="EH4" i="1"/>
  <c r="DL4" i="1"/>
  <c r="DO31" i="1"/>
  <c r="DY4" i="1"/>
  <c r="AN14" i="1"/>
  <c r="AO14" i="1" s="1"/>
  <c r="EG14" i="1" s="1"/>
  <c r="DU31" i="1"/>
  <c r="EM4" i="1"/>
  <c r="AN17" i="1"/>
  <c r="AO17" i="1" s="1"/>
  <c r="DP17" i="1" s="1"/>
  <c r="EK22" i="1"/>
  <c r="DG22" i="1"/>
  <c r="DA22" i="1"/>
  <c r="ER35" i="1"/>
  <c r="DZ35" i="1"/>
  <c r="ED35" i="1"/>
  <c r="DT31" i="1"/>
  <c r="EL31" i="1"/>
  <c r="ER31" i="1"/>
  <c r="EM29" i="1"/>
  <c r="DF29" i="1"/>
  <c r="DZ29" i="1"/>
  <c r="EC4" i="1"/>
  <c r="DD4" i="1"/>
  <c r="EL4" i="1"/>
  <c r="DV33" i="1"/>
  <c r="DU33" i="1"/>
  <c r="DP33" i="1"/>
  <c r="EJ31" i="1"/>
  <c r="DX4" i="1"/>
  <c r="DU4" i="1"/>
  <c r="CY31" i="1"/>
  <c r="EI4" i="1"/>
  <c r="EJ22" i="1"/>
  <c r="EB22" i="1"/>
  <c r="ET22" i="1"/>
  <c r="EQ35" i="1"/>
  <c r="CZ35" i="1"/>
  <c r="DL35" i="1"/>
  <c r="DM31" i="1"/>
  <c r="DP31" i="1"/>
  <c r="EB31" i="1"/>
  <c r="EJ29" i="1"/>
  <c r="EB29" i="1"/>
  <c r="DG29" i="1"/>
  <c r="EA4" i="1"/>
  <c r="EO4" i="1"/>
  <c r="CY4" i="1"/>
  <c r="DH33" i="1"/>
  <c r="ET33" i="1"/>
  <c r="EL33" i="1"/>
  <c r="EE31" i="1"/>
  <c r="DV31" i="1"/>
  <c r="DR31" i="1"/>
  <c r="DF4" i="1"/>
  <c r="AN16" i="1"/>
  <c r="AO16" i="1" s="1"/>
  <c r="EP16" i="1" s="1"/>
  <c r="EI22" i="1"/>
  <c r="DE22" i="1"/>
  <c r="EP35" i="1"/>
  <c r="DY35" i="1"/>
  <c r="DJ35" i="1"/>
  <c r="DJ31" i="1"/>
  <c r="EK31" i="1"/>
  <c r="DL31" i="1"/>
  <c r="EH29" i="1"/>
  <c r="CX29" i="1"/>
  <c r="EI29" i="1"/>
  <c r="DZ4" i="1"/>
  <c r="DV4" i="1"/>
  <c r="EK4" i="1"/>
  <c r="DG33" i="1"/>
  <c r="DO33" i="1"/>
  <c r="DT33" i="1"/>
  <c r="ED31" i="1"/>
  <c r="ES4" i="1"/>
  <c r="EN31" i="1"/>
  <c r="EO35" i="1"/>
  <c r="CY35" i="1"/>
  <c r="DI31" i="1"/>
  <c r="DN31" i="1"/>
  <c r="EQ31" i="1"/>
  <c r="DD29" i="1"/>
  <c r="DY29" i="1"/>
  <c r="DS29" i="1"/>
  <c r="EJ4" i="1"/>
  <c r="DC4" i="1"/>
  <c r="DR4" i="1"/>
  <c r="DF33" i="1"/>
  <c r="ES33" i="1"/>
  <c r="DB33" i="1"/>
  <c r="DA31" i="1"/>
  <c r="DG31" i="1"/>
  <c r="EC31" i="1"/>
  <c r="EA31" i="1"/>
  <c r="DB29" i="1"/>
  <c r="EQ29" i="1"/>
  <c r="DM4" i="1"/>
  <c r="DE4" i="1"/>
  <c r="CX4" i="1"/>
  <c r="EH33" i="1"/>
  <c r="DN33" i="1"/>
  <c r="EP31" i="1"/>
  <c r="EH31" i="1"/>
  <c r="DQ4" i="1"/>
  <c r="DW4" i="1"/>
  <c r="BS23" i="1" l="1"/>
  <c r="EG9" i="1"/>
  <c r="ET32" i="1"/>
  <c r="BR23" i="1"/>
  <c r="BT11" i="1"/>
  <c r="ET23" i="1"/>
  <c r="EA23" i="1"/>
  <c r="ED23" i="1"/>
  <c r="DL23" i="1"/>
  <c r="DD23" i="1"/>
  <c r="DJ23" i="1"/>
  <c r="DB32" i="1"/>
  <c r="CV23" i="1"/>
  <c r="BP11" i="1"/>
  <c r="BB11" i="1"/>
  <c r="EP32" i="1"/>
  <c r="BZ23" i="1"/>
  <c r="CQ23" i="1"/>
  <c r="CD11" i="1"/>
  <c r="BR11" i="1"/>
  <c r="EF32" i="1"/>
  <c r="BG23" i="1"/>
  <c r="CI11" i="1"/>
  <c r="CZ32" i="1"/>
  <c r="CC32" i="1"/>
  <c r="DS32" i="1"/>
  <c r="CM32" i="1"/>
  <c r="BG32" i="1"/>
  <c r="CP32" i="1"/>
  <c r="DK32" i="1"/>
  <c r="DW32" i="1"/>
  <c r="BD20" i="1"/>
  <c r="DL20" i="1"/>
  <c r="EL32" i="1"/>
  <c r="DE32" i="1"/>
  <c r="BI36" i="1"/>
  <c r="AN83" i="1"/>
  <c r="AO83" i="1" s="1"/>
  <c r="CX32" i="1"/>
  <c r="ES32" i="1"/>
  <c r="BL32" i="1"/>
  <c r="BY11" i="1"/>
  <c r="DA32" i="1"/>
  <c r="DL32" i="1"/>
  <c r="CT32" i="1"/>
  <c r="BK11" i="1"/>
  <c r="CZ9" i="1"/>
  <c r="ER32" i="1"/>
  <c r="DV32" i="1"/>
  <c r="BN32" i="1"/>
  <c r="EA20" i="1"/>
  <c r="DF32" i="1"/>
  <c r="DC32" i="1"/>
  <c r="AZ32" i="1"/>
  <c r="DJ32" i="1"/>
  <c r="DD32" i="1"/>
  <c r="CS32" i="1"/>
  <c r="CH32" i="1"/>
  <c r="DH32" i="1"/>
  <c r="DI32" i="1"/>
  <c r="BB32" i="1"/>
  <c r="EN32" i="1"/>
  <c r="CK32" i="1"/>
  <c r="CN23" i="1"/>
  <c r="CW23" i="1"/>
  <c r="BF21" i="1"/>
  <c r="BH23" i="1"/>
  <c r="CG23" i="1"/>
  <c r="CO23" i="1"/>
  <c r="BA23" i="1"/>
  <c r="DE26" i="1"/>
  <c r="BC36" i="1"/>
  <c r="BY23" i="1"/>
  <c r="CH23" i="1"/>
  <c r="CU36" i="1"/>
  <c r="DE9" i="1"/>
  <c r="BJ23" i="1"/>
  <c r="BM23" i="1"/>
  <c r="CA23" i="1"/>
  <c r="BV20" i="1"/>
  <c r="CK26" i="1"/>
  <c r="CJ23" i="1"/>
  <c r="BK23" i="1"/>
  <c r="CQ20" i="1"/>
  <c r="BK26" i="1"/>
  <c r="BT23" i="1"/>
  <c r="CB23" i="1"/>
  <c r="BP20" i="1"/>
  <c r="CJ26" i="1"/>
  <c r="BD23" i="1"/>
  <c r="BL23" i="1"/>
  <c r="CK23" i="1"/>
  <c r="CD23" i="1"/>
  <c r="BU23" i="1"/>
  <c r="CU23" i="1"/>
  <c r="CM23" i="1"/>
  <c r="BO23" i="1"/>
  <c r="BW23" i="1"/>
  <c r="CS23" i="1"/>
  <c r="CQ34" i="1"/>
  <c r="CL12" i="1"/>
  <c r="BE17" i="1"/>
  <c r="CP36" i="1"/>
  <c r="CA34" i="1"/>
  <c r="CA20" i="1"/>
  <c r="BO26" i="1"/>
  <c r="CG12" i="1"/>
  <c r="BW8" i="1"/>
  <c r="CA16" i="1"/>
  <c r="CL17" i="1"/>
  <c r="BJ36" i="1"/>
  <c r="CV34" i="1"/>
  <c r="CR20" i="1"/>
  <c r="CV26" i="1"/>
  <c r="CN12" i="1"/>
  <c r="CR8" i="1"/>
  <c r="BK16" i="1"/>
  <c r="BG17" i="1"/>
  <c r="BE36" i="1"/>
  <c r="CF34" i="1"/>
  <c r="CD20" i="1"/>
  <c r="BP26" i="1"/>
  <c r="BH12" i="1"/>
  <c r="CB8" i="1"/>
  <c r="CE14" i="1"/>
  <c r="BO16" i="1"/>
  <c r="CR17" i="1"/>
  <c r="BN36" i="1"/>
  <c r="BT34" i="1"/>
  <c r="CF20" i="1"/>
  <c r="BR26" i="1"/>
  <c r="CQ12" i="1"/>
  <c r="CS8" i="1"/>
  <c r="BO14" i="1"/>
  <c r="CV16" i="1"/>
  <c r="AZ17" i="1"/>
  <c r="BD34" i="1"/>
  <c r="CS12" i="1"/>
  <c r="CW8" i="1"/>
  <c r="CJ14" i="1"/>
  <c r="BT16" i="1"/>
  <c r="BW17" i="1"/>
  <c r="BO36" i="1"/>
  <c r="BT26" i="1"/>
  <c r="CC12" i="1"/>
  <c r="CG8" i="1"/>
  <c r="BT14" i="1"/>
  <c r="BD16" i="1"/>
  <c r="CG36" i="1"/>
  <c r="CT23" i="1"/>
  <c r="BQ12" i="1"/>
  <c r="BA8" i="1"/>
  <c r="CC14" i="1"/>
  <c r="CW28" i="1"/>
  <c r="CJ8" i="1"/>
  <c r="CO14" i="1"/>
  <c r="BF28" i="1"/>
  <c r="CW20" i="1"/>
  <c r="BW27" i="1"/>
  <c r="CL8" i="1"/>
  <c r="BC28" i="1"/>
  <c r="BQ20" i="1"/>
  <c r="BG27" i="1"/>
  <c r="BV8" i="1"/>
  <c r="AZ21" i="1"/>
  <c r="CA28" i="1"/>
  <c r="CB27" i="1"/>
  <c r="BI8" i="1"/>
  <c r="CH21" i="1"/>
  <c r="BK28" i="1"/>
  <c r="BL27" i="1"/>
  <c r="CF28" i="1"/>
  <c r="CJ36" i="1"/>
  <c r="BE23" i="1"/>
  <c r="CF23" i="1"/>
  <c r="BF20" i="1"/>
  <c r="CW27" i="1"/>
  <c r="BE26" i="1"/>
  <c r="BS12" i="1"/>
  <c r="CW21" i="1"/>
  <c r="BP28" i="1"/>
  <c r="BD36" i="1"/>
  <c r="CL23" i="1"/>
  <c r="BP23" i="1"/>
  <c r="CM20" i="1"/>
  <c r="CG27" i="1"/>
  <c r="BJ26" i="1"/>
  <c r="BC12" i="1"/>
  <c r="CA21" i="1"/>
  <c r="BG36" i="1"/>
  <c r="BF23" i="1"/>
  <c r="AZ23" i="1"/>
  <c r="BY20" i="1"/>
  <c r="CQ26" i="1"/>
  <c r="BT12" i="1"/>
  <c r="BK21" i="1"/>
  <c r="BD19" i="1"/>
  <c r="EA32" i="1"/>
  <c r="EG32" i="1"/>
  <c r="DO32" i="1"/>
  <c r="CE36" i="1"/>
  <c r="BZ36" i="1"/>
  <c r="BT36" i="1"/>
  <c r="CK34" i="1"/>
  <c r="BP34" i="1"/>
  <c r="BK34" i="1"/>
  <c r="BV23" i="1"/>
  <c r="BQ23" i="1"/>
  <c r="CR23" i="1"/>
  <c r="AZ20" i="1"/>
  <c r="BK20" i="1"/>
  <c r="BC20" i="1"/>
  <c r="CG20" i="1"/>
  <c r="BQ27" i="1"/>
  <c r="CS27" i="1"/>
  <c r="CN27" i="1"/>
  <c r="BD26" i="1"/>
  <c r="CF26" i="1"/>
  <c r="CA26" i="1"/>
  <c r="BU26" i="1"/>
  <c r="BW32" i="1"/>
  <c r="BR32" i="1"/>
  <c r="CD32" i="1"/>
  <c r="BM12" i="1"/>
  <c r="BX12" i="1"/>
  <c r="CJ12" i="1"/>
  <c r="BF8" i="1"/>
  <c r="BQ8" i="1"/>
  <c r="BL8" i="1"/>
  <c r="CM8" i="1"/>
  <c r="CT11" i="1"/>
  <c r="CO11" i="1"/>
  <c r="CJ11" i="1"/>
  <c r="CR21" i="1"/>
  <c r="CM21" i="1"/>
  <c r="BR21" i="1"/>
  <c r="BY14" i="1"/>
  <c r="BD14" i="1"/>
  <c r="CV14" i="1"/>
  <c r="CV19" i="1"/>
  <c r="CQ19" i="1"/>
  <c r="BE19" i="1"/>
  <c r="CK16" i="1"/>
  <c r="CF16" i="1"/>
  <c r="CO16" i="1"/>
  <c r="AZ28" i="1"/>
  <c r="CR28" i="1"/>
  <c r="CM28" i="1"/>
  <c r="CG28" i="1"/>
  <c r="CW17" i="1"/>
  <c r="CB17" i="1"/>
  <c r="BV17" i="1"/>
  <c r="BJ19" i="1"/>
  <c r="AZ34" i="1"/>
  <c r="BA27" i="1"/>
  <c r="CC27" i="1"/>
  <c r="BX27" i="1"/>
  <c r="CB21" i="1"/>
  <c r="BW21" i="1"/>
  <c r="BB21" i="1"/>
  <c r="BI14" i="1"/>
  <c r="CK14" i="1"/>
  <c r="CF14" i="1"/>
  <c r="CF19" i="1"/>
  <c r="CA19" i="1"/>
  <c r="CL19" i="1"/>
  <c r="BU16" i="1"/>
  <c r="BP16" i="1"/>
  <c r="CR16" i="1"/>
  <c r="CB28" i="1"/>
  <c r="BW28" i="1"/>
  <c r="BQ28" i="1"/>
  <c r="CG17" i="1"/>
  <c r="BL17" i="1"/>
  <c r="BF17" i="1"/>
  <c r="EW89" i="1"/>
  <c r="EX89" i="1" s="1"/>
  <c r="EY89" i="1" s="1"/>
  <c r="EZ89" i="1" s="1"/>
  <c r="FA89" i="1" s="1"/>
  <c r="FB89" i="1" s="1"/>
  <c r="FC89" i="1" s="1"/>
  <c r="FD89" i="1" s="1"/>
  <c r="FE89" i="1" s="1"/>
  <c r="FF89" i="1" s="1"/>
  <c r="FG89" i="1" s="1"/>
  <c r="FH89" i="1" s="1"/>
  <c r="FI89" i="1" s="1"/>
  <c r="FJ89" i="1" s="1"/>
  <c r="FK89" i="1" s="1"/>
  <c r="FL89" i="1" s="1"/>
  <c r="FM89" i="1" s="1"/>
  <c r="FN89" i="1" s="1"/>
  <c r="FO89" i="1" s="1"/>
  <c r="FP89" i="1" s="1"/>
  <c r="FQ89" i="1" s="1"/>
  <c r="FR89" i="1" s="1"/>
  <c r="FS89" i="1" s="1"/>
  <c r="FT89" i="1" s="1"/>
  <c r="FU89" i="1" s="1"/>
  <c r="FV89" i="1" s="1"/>
  <c r="FW89" i="1" s="1"/>
  <c r="FX89" i="1" s="1"/>
  <c r="FY89" i="1" s="1"/>
  <c r="FZ89" i="1" s="1"/>
  <c r="GA89" i="1" s="1"/>
  <c r="GB89" i="1" s="1"/>
  <c r="GC89" i="1" s="1"/>
  <c r="GD89" i="1" s="1"/>
  <c r="GE89" i="1" s="1"/>
  <c r="GF89" i="1" s="1"/>
  <c r="GG89" i="1" s="1"/>
  <c r="GH89" i="1" s="1"/>
  <c r="GI89" i="1" s="1"/>
  <c r="GJ89" i="1" s="1"/>
  <c r="GK89" i="1" s="1"/>
  <c r="GL89" i="1" s="1"/>
  <c r="GM89" i="1" s="1"/>
  <c r="GN89" i="1" s="1"/>
  <c r="GO89" i="1" s="1"/>
  <c r="GP89" i="1" s="1"/>
  <c r="GQ89" i="1" s="1"/>
  <c r="GR89" i="1" s="1"/>
  <c r="GS89" i="1" s="1"/>
  <c r="GT89" i="1" s="1"/>
  <c r="GU89" i="1" s="1"/>
  <c r="GV89" i="1" s="1"/>
  <c r="GW89" i="1" s="1"/>
  <c r="GX89" i="1" s="1"/>
  <c r="GY89" i="1" s="1"/>
  <c r="GZ89" i="1" s="1"/>
  <c r="HA89" i="1" s="1"/>
  <c r="HB89" i="1" s="1"/>
  <c r="HC89" i="1" s="1"/>
  <c r="HD89" i="1" s="1"/>
  <c r="HE89" i="1" s="1"/>
  <c r="HF89" i="1" s="1"/>
  <c r="HG89" i="1" s="1"/>
  <c r="HH89" i="1" s="1"/>
  <c r="HI89" i="1" s="1"/>
  <c r="HJ89" i="1" s="1"/>
  <c r="HK89" i="1" s="1"/>
  <c r="HL89" i="1" s="1"/>
  <c r="HM89" i="1" s="1"/>
  <c r="HN89" i="1" s="1"/>
  <c r="HO89" i="1" s="1"/>
  <c r="HP89" i="1" s="1"/>
  <c r="HQ89" i="1" s="1"/>
  <c r="HR89" i="1" s="1"/>
  <c r="HS89" i="1" s="1"/>
  <c r="HT89" i="1" s="1"/>
  <c r="HU89" i="1" s="1"/>
  <c r="HV89" i="1" s="1"/>
  <c r="HW89" i="1" s="1"/>
  <c r="HX89" i="1" s="1"/>
  <c r="HY89" i="1" s="1"/>
  <c r="HZ89" i="1" s="1"/>
  <c r="IA89" i="1" s="1"/>
  <c r="IB89" i="1" s="1"/>
  <c r="IC89" i="1" s="1"/>
  <c r="ID89" i="1" s="1"/>
  <c r="IE89" i="1" s="1"/>
  <c r="IF89" i="1" s="1"/>
  <c r="IG89" i="1" s="1"/>
  <c r="IH89" i="1" s="1"/>
  <c r="II89" i="1" s="1"/>
  <c r="IJ89" i="1" s="1"/>
  <c r="IK89" i="1" s="1"/>
  <c r="IL89" i="1" s="1"/>
  <c r="IM89" i="1" s="1"/>
  <c r="IN89" i="1" s="1"/>
  <c r="IO89" i="1" s="1"/>
  <c r="IP89" i="1" s="1"/>
  <c r="IQ89" i="1" s="1"/>
  <c r="IR89" i="1" s="1"/>
  <c r="AV89" i="1"/>
  <c r="BO19" i="1"/>
  <c r="BU34" i="1"/>
  <c r="CR34" i="1"/>
  <c r="CV36" i="1"/>
  <c r="CQ36" i="1"/>
  <c r="CK36" i="1"/>
  <c r="BE34" i="1"/>
  <c r="CW34" i="1"/>
  <c r="CB34" i="1"/>
  <c r="CB20" i="1"/>
  <c r="BW20" i="1"/>
  <c r="BA20" i="1"/>
  <c r="CH27" i="1"/>
  <c r="BM27" i="1"/>
  <c r="BH27" i="1"/>
  <c r="AZ26" i="1"/>
  <c r="CR26" i="1"/>
  <c r="CL26" i="1"/>
  <c r="CN32" i="1"/>
  <c r="CI32" i="1"/>
  <c r="CU32" i="1"/>
  <c r="CT12" i="1"/>
  <c r="CO12" i="1"/>
  <c r="BD12" i="1"/>
  <c r="CH8" i="1"/>
  <c r="CC8" i="1"/>
  <c r="BG8" i="1"/>
  <c r="BN11" i="1"/>
  <c r="BI11" i="1"/>
  <c r="BD11" i="1"/>
  <c r="BL21" i="1"/>
  <c r="BG21" i="1"/>
  <c r="BA21" i="1"/>
  <c r="CP14" i="1"/>
  <c r="BU14" i="1"/>
  <c r="BP14" i="1"/>
  <c r="BP19" i="1"/>
  <c r="BK19" i="1"/>
  <c r="BV19" i="1"/>
  <c r="BE16" i="1"/>
  <c r="AZ16" i="1"/>
  <c r="CB16" i="1"/>
  <c r="BL28" i="1"/>
  <c r="BG28" i="1"/>
  <c r="BA28" i="1"/>
  <c r="BQ17" i="1"/>
  <c r="CS17" i="1"/>
  <c r="CN17" i="1"/>
  <c r="BT19" i="1"/>
  <c r="DT32" i="1"/>
  <c r="EB32" i="1"/>
  <c r="DX32" i="1"/>
  <c r="CF36" i="1"/>
  <c r="CA36" i="1"/>
  <c r="CL36" i="1"/>
  <c r="CL34" i="1"/>
  <c r="CG34" i="1"/>
  <c r="BL34" i="1"/>
  <c r="BL20" i="1"/>
  <c r="BG20" i="1"/>
  <c r="CH20" i="1"/>
  <c r="BR27" i="1"/>
  <c r="CK27" i="1"/>
  <c r="CO27" i="1"/>
  <c r="CI27" i="1"/>
  <c r="CW26" i="1"/>
  <c r="CB26" i="1"/>
  <c r="BV26" i="1"/>
  <c r="BX32" i="1"/>
  <c r="BS32" i="1"/>
  <c r="CE32" i="1"/>
  <c r="CD12" i="1"/>
  <c r="BY12" i="1"/>
  <c r="CW12" i="1"/>
  <c r="CU12" i="1"/>
  <c r="BR8" i="1"/>
  <c r="BM8" i="1"/>
  <c r="BY8" i="1"/>
  <c r="CU11" i="1"/>
  <c r="CP11" i="1"/>
  <c r="CK11" i="1"/>
  <c r="CS21" i="1"/>
  <c r="CN21" i="1"/>
  <c r="CI21" i="1"/>
  <c r="BZ14" i="1"/>
  <c r="BE14" i="1"/>
  <c r="AZ14" i="1"/>
  <c r="AZ19" i="1"/>
  <c r="CK19" i="1"/>
  <c r="BF19" i="1"/>
  <c r="CL16" i="1"/>
  <c r="CW16" i="1"/>
  <c r="BL16" i="1"/>
  <c r="CS28" i="1"/>
  <c r="CN28" i="1"/>
  <c r="CH28" i="1"/>
  <c r="BA17" i="1"/>
  <c r="CC17" i="1"/>
  <c r="BX17" i="1"/>
  <c r="CO96" i="1"/>
  <c r="BY96" i="1"/>
  <c r="BI96" i="1"/>
  <c r="CP96" i="1"/>
  <c r="BZ96" i="1"/>
  <c r="BJ96" i="1"/>
  <c r="CQ96" i="1"/>
  <c r="CA96" i="1"/>
  <c r="BK96" i="1"/>
  <c r="CR96" i="1"/>
  <c r="CB96" i="1"/>
  <c r="BL96" i="1"/>
  <c r="CS96" i="1"/>
  <c r="CC96" i="1"/>
  <c r="BM96" i="1"/>
  <c r="CT96" i="1"/>
  <c r="CD96" i="1"/>
  <c r="BN96" i="1"/>
  <c r="CU96" i="1"/>
  <c r="CE96" i="1"/>
  <c r="BO96" i="1"/>
  <c r="CV96" i="1"/>
  <c r="CF96" i="1"/>
  <c r="BP96" i="1"/>
  <c r="AZ96" i="1"/>
  <c r="CW96" i="1"/>
  <c r="CG96" i="1"/>
  <c r="BQ96" i="1"/>
  <c r="BA96" i="1"/>
  <c r="CH96" i="1"/>
  <c r="BR96" i="1"/>
  <c r="BB96" i="1"/>
  <c r="CI96" i="1"/>
  <c r="BS96" i="1"/>
  <c r="BC96" i="1"/>
  <c r="CJ96" i="1"/>
  <c r="BT96" i="1"/>
  <c r="BD96" i="1"/>
  <c r="CK96" i="1"/>
  <c r="BU96" i="1"/>
  <c r="BE96" i="1"/>
  <c r="CL96" i="1"/>
  <c r="BV96" i="1"/>
  <c r="BF96" i="1"/>
  <c r="CM96" i="1"/>
  <c r="BW96" i="1"/>
  <c r="BG96" i="1"/>
  <c r="CN96" i="1"/>
  <c r="BX96" i="1"/>
  <c r="BH96" i="1"/>
  <c r="AV96" i="1"/>
  <c r="BP36" i="1"/>
  <c r="BK36" i="1"/>
  <c r="BV36" i="1"/>
  <c r="BV34" i="1"/>
  <c r="BQ34" i="1"/>
  <c r="CS34" i="1"/>
  <c r="CM34" i="1"/>
  <c r="CS20" i="1"/>
  <c r="CN20" i="1"/>
  <c r="BR20" i="1"/>
  <c r="BB27" i="1"/>
  <c r="CT27" i="1"/>
  <c r="BY27" i="1"/>
  <c r="BS27" i="1"/>
  <c r="CG26" i="1"/>
  <c r="BL26" i="1"/>
  <c r="BF26" i="1"/>
  <c r="BH32" i="1"/>
  <c r="BC32" i="1"/>
  <c r="BO32" i="1"/>
  <c r="BN12" i="1"/>
  <c r="BI12" i="1"/>
  <c r="CK12" i="1"/>
  <c r="CE12" i="1"/>
  <c r="BB8" i="1"/>
  <c r="CT8" i="1"/>
  <c r="CN8" i="1"/>
  <c r="CE11" i="1"/>
  <c r="BZ11" i="1"/>
  <c r="BU11" i="1"/>
  <c r="CC21" i="1"/>
  <c r="BX21" i="1"/>
  <c r="BS21" i="1"/>
  <c r="BJ14" i="1"/>
  <c r="CS14" i="1"/>
  <c r="CW14" i="1"/>
  <c r="CQ14" i="1"/>
  <c r="CW19" i="1"/>
  <c r="CR19" i="1"/>
  <c r="CM19" i="1"/>
  <c r="BV16" i="1"/>
  <c r="CG16" i="1"/>
  <c r="BI16" i="1"/>
  <c r="CM16" i="1"/>
  <c r="CC28" i="1"/>
  <c r="BX28" i="1"/>
  <c r="BR28" i="1"/>
  <c r="CH17" i="1"/>
  <c r="BM17" i="1"/>
  <c r="BH17" i="1"/>
  <c r="AV90" i="1"/>
  <c r="EU32" i="1"/>
  <c r="EI32" i="1"/>
  <c r="DQ32" i="1"/>
  <c r="AZ36" i="1"/>
  <c r="CR36" i="1"/>
  <c r="BF36" i="1"/>
  <c r="BF34" i="1"/>
  <c r="BA34" i="1"/>
  <c r="CC34" i="1"/>
  <c r="BW34" i="1"/>
  <c r="CC23" i="1"/>
  <c r="CI23" i="1"/>
  <c r="BN23" i="1"/>
  <c r="CC20" i="1"/>
  <c r="BX20" i="1"/>
  <c r="BB20" i="1"/>
  <c r="CD27" i="1"/>
  <c r="BI27" i="1"/>
  <c r="BC27" i="1"/>
  <c r="BQ26" i="1"/>
  <c r="BW26" i="1"/>
  <c r="CN26" i="1"/>
  <c r="CO32" i="1"/>
  <c r="CJ32" i="1"/>
  <c r="CV32" i="1"/>
  <c r="CP12" i="1"/>
  <c r="BU12" i="1"/>
  <c r="BO12" i="1"/>
  <c r="CI8" i="1"/>
  <c r="CD8" i="1"/>
  <c r="BX8" i="1"/>
  <c r="BO11" i="1"/>
  <c r="BJ11" i="1"/>
  <c r="BE11" i="1"/>
  <c r="BM21" i="1"/>
  <c r="BH21" i="1"/>
  <c r="BC21" i="1"/>
  <c r="BM14" i="1"/>
  <c r="CL14" i="1"/>
  <c r="CG14" i="1"/>
  <c r="CA14" i="1"/>
  <c r="CG19" i="1"/>
  <c r="CB19" i="1"/>
  <c r="BW19" i="1"/>
  <c r="BF16" i="1"/>
  <c r="BQ16" i="1"/>
  <c r="CS16" i="1"/>
  <c r="BW16" i="1"/>
  <c r="BM28" i="1"/>
  <c r="BH28" i="1"/>
  <c r="BB28" i="1"/>
  <c r="BR17" i="1"/>
  <c r="CT17" i="1"/>
  <c r="CO17" i="1"/>
  <c r="AV83" i="1"/>
  <c r="DU32" i="1"/>
  <c r="EE32" i="1"/>
  <c r="ED32" i="1"/>
  <c r="BU36" i="1"/>
  <c r="CB36" i="1"/>
  <c r="CM36" i="1"/>
  <c r="BI34" i="1"/>
  <c r="BM34" i="1"/>
  <c r="BG34" i="1"/>
  <c r="BM20" i="1"/>
  <c r="BH20" i="1"/>
  <c r="CJ20" i="1"/>
  <c r="BN27" i="1"/>
  <c r="BE27" i="1"/>
  <c r="BU27" i="1"/>
  <c r="BA26" i="1"/>
  <c r="CS26" i="1"/>
  <c r="BX26" i="1"/>
  <c r="BY32" i="1"/>
  <c r="BT32" i="1"/>
  <c r="CF32" i="1"/>
  <c r="BZ12" i="1"/>
  <c r="BE12" i="1"/>
  <c r="CV12" i="1"/>
  <c r="BS8" i="1"/>
  <c r="BN8" i="1"/>
  <c r="BH8" i="1"/>
  <c r="CV11" i="1"/>
  <c r="CQ11" i="1"/>
  <c r="CL11" i="1"/>
  <c r="CT21" i="1"/>
  <c r="CO21" i="1"/>
  <c r="CJ21" i="1"/>
  <c r="BV14" i="1"/>
  <c r="BQ14" i="1"/>
  <c r="BK14" i="1"/>
  <c r="BQ19" i="1"/>
  <c r="BL19" i="1"/>
  <c r="BG19" i="1"/>
  <c r="BA16" i="1"/>
  <c r="CC16" i="1"/>
  <c r="BG16" i="1"/>
  <c r="CT28" i="1"/>
  <c r="CO28" i="1"/>
  <c r="CJ28" i="1"/>
  <c r="BB17" i="1"/>
  <c r="CD17" i="1"/>
  <c r="BY17" i="1"/>
  <c r="DM32" i="1"/>
  <c r="EO32" i="1"/>
  <c r="DP32" i="1"/>
  <c r="CW36" i="1"/>
  <c r="BL36" i="1"/>
  <c r="BW36" i="1"/>
  <c r="CH34" i="1"/>
  <c r="CT34" i="1"/>
  <c r="BY34" i="1"/>
  <c r="BX23" i="1"/>
  <c r="BC23" i="1"/>
  <c r="CE23" i="1"/>
  <c r="CT20" i="1"/>
  <c r="CO20" i="1"/>
  <c r="BT20" i="1"/>
  <c r="CU27" i="1"/>
  <c r="CP27" i="1"/>
  <c r="CJ27" i="1"/>
  <c r="CH26" i="1"/>
  <c r="CC26" i="1"/>
  <c r="BH26" i="1"/>
  <c r="BI32" i="1"/>
  <c r="BD32" i="1"/>
  <c r="BP32" i="1"/>
  <c r="BJ12" i="1"/>
  <c r="BA12" i="1"/>
  <c r="CF12" i="1"/>
  <c r="BC8" i="1"/>
  <c r="CU8" i="1"/>
  <c r="CO8" i="1"/>
  <c r="CF11" i="1"/>
  <c r="CA11" i="1"/>
  <c r="BV11" i="1"/>
  <c r="CD21" i="1"/>
  <c r="BY21" i="1"/>
  <c r="BT21" i="1"/>
  <c r="CU21" i="1"/>
  <c r="BF14" i="1"/>
  <c r="BA14" i="1"/>
  <c r="CR14" i="1"/>
  <c r="BA19" i="1"/>
  <c r="CS19" i="1"/>
  <c r="CN19" i="1"/>
  <c r="CH16" i="1"/>
  <c r="BM16" i="1"/>
  <c r="CN16" i="1"/>
  <c r="CD28" i="1"/>
  <c r="BY28" i="1"/>
  <c r="BT28" i="1"/>
  <c r="CI17" i="1"/>
  <c r="BN17" i="1"/>
  <c r="BI17" i="1"/>
  <c r="EW113" i="1"/>
  <c r="EX113" i="1" s="1"/>
  <c r="EY113" i="1" s="1"/>
  <c r="EZ113" i="1" s="1"/>
  <c r="FA113" i="1" s="1"/>
  <c r="FB113" i="1" s="1"/>
  <c r="FC113" i="1" s="1"/>
  <c r="FD113" i="1" s="1"/>
  <c r="FE113" i="1" s="1"/>
  <c r="FF113" i="1" s="1"/>
  <c r="FG113" i="1" s="1"/>
  <c r="FH113" i="1" s="1"/>
  <c r="FI113" i="1" s="1"/>
  <c r="FJ113" i="1" s="1"/>
  <c r="FK113" i="1" s="1"/>
  <c r="FL113" i="1" s="1"/>
  <c r="FM113" i="1" s="1"/>
  <c r="FN113" i="1" s="1"/>
  <c r="FO113" i="1" s="1"/>
  <c r="FP113" i="1" s="1"/>
  <c r="FQ113" i="1" s="1"/>
  <c r="FR113" i="1" s="1"/>
  <c r="FS113" i="1" s="1"/>
  <c r="FT113" i="1" s="1"/>
  <c r="FU113" i="1" s="1"/>
  <c r="FV113" i="1" s="1"/>
  <c r="FW113" i="1" s="1"/>
  <c r="FX113" i="1" s="1"/>
  <c r="FY113" i="1" s="1"/>
  <c r="FZ113" i="1" s="1"/>
  <c r="GA113" i="1" s="1"/>
  <c r="GB113" i="1" s="1"/>
  <c r="GC113" i="1" s="1"/>
  <c r="GD113" i="1" s="1"/>
  <c r="GE113" i="1" s="1"/>
  <c r="GF113" i="1" s="1"/>
  <c r="GG113" i="1" s="1"/>
  <c r="GH113" i="1" s="1"/>
  <c r="GI113" i="1" s="1"/>
  <c r="GJ113" i="1" s="1"/>
  <c r="GK113" i="1" s="1"/>
  <c r="GL113" i="1" s="1"/>
  <c r="GM113" i="1" s="1"/>
  <c r="GN113" i="1" s="1"/>
  <c r="GO113" i="1" s="1"/>
  <c r="GP113" i="1" s="1"/>
  <c r="GQ113" i="1" s="1"/>
  <c r="GR113" i="1" s="1"/>
  <c r="GS113" i="1" s="1"/>
  <c r="GT113" i="1" s="1"/>
  <c r="GU113" i="1" s="1"/>
  <c r="GV113" i="1" s="1"/>
  <c r="GW113" i="1" s="1"/>
  <c r="GX113" i="1" s="1"/>
  <c r="GY113" i="1" s="1"/>
  <c r="GZ113" i="1" s="1"/>
  <c r="HA113" i="1" s="1"/>
  <c r="HB113" i="1" s="1"/>
  <c r="HC113" i="1" s="1"/>
  <c r="HD113" i="1" s="1"/>
  <c r="HE113" i="1" s="1"/>
  <c r="HF113" i="1" s="1"/>
  <c r="HG113" i="1" s="1"/>
  <c r="HH113" i="1" s="1"/>
  <c r="HI113" i="1" s="1"/>
  <c r="HJ113" i="1" s="1"/>
  <c r="HK113" i="1" s="1"/>
  <c r="HL113" i="1" s="1"/>
  <c r="HM113" i="1" s="1"/>
  <c r="HN113" i="1" s="1"/>
  <c r="HO113" i="1" s="1"/>
  <c r="HP113" i="1" s="1"/>
  <c r="HQ113" i="1" s="1"/>
  <c r="HR113" i="1" s="1"/>
  <c r="HS113" i="1" s="1"/>
  <c r="HT113" i="1" s="1"/>
  <c r="HU113" i="1" s="1"/>
  <c r="HV113" i="1" s="1"/>
  <c r="HW113" i="1" s="1"/>
  <c r="HX113" i="1" s="1"/>
  <c r="HY113" i="1" s="1"/>
  <c r="HZ113" i="1" s="1"/>
  <c r="IA113" i="1" s="1"/>
  <c r="IB113" i="1" s="1"/>
  <c r="IC113" i="1" s="1"/>
  <c r="ID113" i="1" s="1"/>
  <c r="IE113" i="1" s="1"/>
  <c r="IF113" i="1" s="1"/>
  <c r="IG113" i="1" s="1"/>
  <c r="IH113" i="1" s="1"/>
  <c r="II113" i="1" s="1"/>
  <c r="IJ113" i="1" s="1"/>
  <c r="IK113" i="1" s="1"/>
  <c r="IL113" i="1" s="1"/>
  <c r="IM113" i="1" s="1"/>
  <c r="IN113" i="1" s="1"/>
  <c r="IO113" i="1" s="1"/>
  <c r="IP113" i="1" s="1"/>
  <c r="IQ113" i="1" s="1"/>
  <c r="IR113" i="1" s="1"/>
  <c r="CO113" i="1"/>
  <c r="BY113" i="1"/>
  <c r="BI113" i="1"/>
  <c r="CP113" i="1"/>
  <c r="BZ113" i="1"/>
  <c r="BJ113" i="1"/>
  <c r="CQ113" i="1"/>
  <c r="CA113" i="1"/>
  <c r="BK113" i="1"/>
  <c r="CR113" i="1"/>
  <c r="CB113" i="1"/>
  <c r="BL113" i="1"/>
  <c r="CS113" i="1"/>
  <c r="CC113" i="1"/>
  <c r="BM113" i="1"/>
  <c r="CT113" i="1"/>
  <c r="CD113" i="1"/>
  <c r="BN113" i="1"/>
  <c r="CU113" i="1"/>
  <c r="CE113" i="1"/>
  <c r="BO113" i="1"/>
  <c r="CV113" i="1"/>
  <c r="CF113" i="1"/>
  <c r="BP113" i="1"/>
  <c r="AZ113" i="1"/>
  <c r="CW113" i="1"/>
  <c r="CG113" i="1"/>
  <c r="BQ113" i="1"/>
  <c r="BA113" i="1"/>
  <c r="CH113" i="1"/>
  <c r="BR113" i="1"/>
  <c r="BB113" i="1"/>
  <c r="CI113" i="1"/>
  <c r="BS113" i="1"/>
  <c r="BC113" i="1"/>
  <c r="CJ113" i="1"/>
  <c r="BT113" i="1"/>
  <c r="BD113" i="1"/>
  <c r="CK113" i="1"/>
  <c r="BU113" i="1"/>
  <c r="BE113" i="1"/>
  <c r="CL113" i="1"/>
  <c r="BV113" i="1"/>
  <c r="BF113" i="1"/>
  <c r="CM113" i="1"/>
  <c r="BW113" i="1"/>
  <c r="BG113" i="1"/>
  <c r="CN113" i="1"/>
  <c r="BX113" i="1"/>
  <c r="BH113" i="1"/>
  <c r="AV113" i="1"/>
  <c r="BZ19" i="1"/>
  <c r="BR34" i="1"/>
  <c r="CD34" i="1"/>
  <c r="CN34" i="1"/>
  <c r="CE27" i="1"/>
  <c r="BZ27" i="1"/>
  <c r="BT27" i="1"/>
  <c r="BM26" i="1"/>
  <c r="CO26" i="1"/>
  <c r="BP12" i="1"/>
  <c r="CE8" i="1"/>
  <c r="CP8" i="1"/>
  <c r="BN21" i="1"/>
  <c r="BI21" i="1"/>
  <c r="BD21" i="1"/>
  <c r="CE21" i="1"/>
  <c r="CM14" i="1"/>
  <c r="CH14" i="1"/>
  <c r="CB14" i="1"/>
  <c r="BU19" i="1"/>
  <c r="CC19" i="1"/>
  <c r="BX19" i="1"/>
  <c r="BR16" i="1"/>
  <c r="CT16" i="1"/>
  <c r="BX16" i="1"/>
  <c r="BN28" i="1"/>
  <c r="BI28" i="1"/>
  <c r="BD28" i="1"/>
  <c r="BS17" i="1"/>
  <c r="CU17" i="1"/>
  <c r="CP17" i="1"/>
  <c r="EW114" i="1"/>
  <c r="EX114" i="1" s="1"/>
  <c r="EY114" i="1" s="1"/>
  <c r="EZ114" i="1" s="1"/>
  <c r="FA114" i="1" s="1"/>
  <c r="FB114" i="1" s="1"/>
  <c r="FC114" i="1" s="1"/>
  <c r="FD114" i="1" s="1"/>
  <c r="FE114" i="1" s="1"/>
  <c r="FF114" i="1" s="1"/>
  <c r="FG114" i="1" s="1"/>
  <c r="FH114" i="1" s="1"/>
  <c r="FI114" i="1" s="1"/>
  <c r="FJ114" i="1" s="1"/>
  <c r="FK114" i="1" s="1"/>
  <c r="FL114" i="1" s="1"/>
  <c r="FM114" i="1" s="1"/>
  <c r="FN114" i="1" s="1"/>
  <c r="FO114" i="1" s="1"/>
  <c r="FP114" i="1" s="1"/>
  <c r="FQ114" i="1" s="1"/>
  <c r="FR114" i="1" s="1"/>
  <c r="FS114" i="1" s="1"/>
  <c r="FT114" i="1" s="1"/>
  <c r="FU114" i="1" s="1"/>
  <c r="FV114" i="1" s="1"/>
  <c r="FW114" i="1" s="1"/>
  <c r="FX114" i="1" s="1"/>
  <c r="FY114" i="1" s="1"/>
  <c r="FZ114" i="1" s="1"/>
  <c r="GA114" i="1" s="1"/>
  <c r="GB114" i="1" s="1"/>
  <c r="GC114" i="1" s="1"/>
  <c r="GD114" i="1" s="1"/>
  <c r="GE114" i="1" s="1"/>
  <c r="GF114" i="1" s="1"/>
  <c r="GG114" i="1" s="1"/>
  <c r="GH114" i="1" s="1"/>
  <c r="GI114" i="1" s="1"/>
  <c r="GJ114" i="1" s="1"/>
  <c r="GK114" i="1" s="1"/>
  <c r="GL114" i="1" s="1"/>
  <c r="GM114" i="1" s="1"/>
  <c r="GN114" i="1" s="1"/>
  <c r="GO114" i="1" s="1"/>
  <c r="GP114" i="1" s="1"/>
  <c r="GQ114" i="1" s="1"/>
  <c r="GR114" i="1" s="1"/>
  <c r="GS114" i="1" s="1"/>
  <c r="GT114" i="1" s="1"/>
  <c r="GU114" i="1" s="1"/>
  <c r="GV114" i="1" s="1"/>
  <c r="GW114" i="1" s="1"/>
  <c r="GX114" i="1" s="1"/>
  <c r="GY114" i="1" s="1"/>
  <c r="GZ114" i="1" s="1"/>
  <c r="HA114" i="1" s="1"/>
  <c r="HB114" i="1" s="1"/>
  <c r="HC114" i="1" s="1"/>
  <c r="HD114" i="1" s="1"/>
  <c r="HE114" i="1" s="1"/>
  <c r="HF114" i="1" s="1"/>
  <c r="HG114" i="1" s="1"/>
  <c r="HH114" i="1" s="1"/>
  <c r="HI114" i="1" s="1"/>
  <c r="HJ114" i="1" s="1"/>
  <c r="HK114" i="1" s="1"/>
  <c r="HL114" i="1" s="1"/>
  <c r="HM114" i="1" s="1"/>
  <c r="HN114" i="1" s="1"/>
  <c r="HO114" i="1" s="1"/>
  <c r="HP114" i="1" s="1"/>
  <c r="HQ114" i="1" s="1"/>
  <c r="HR114" i="1" s="1"/>
  <c r="HS114" i="1" s="1"/>
  <c r="HT114" i="1" s="1"/>
  <c r="HU114" i="1" s="1"/>
  <c r="HV114" i="1" s="1"/>
  <c r="HW114" i="1" s="1"/>
  <c r="HX114" i="1" s="1"/>
  <c r="HY114" i="1" s="1"/>
  <c r="HZ114" i="1" s="1"/>
  <c r="IA114" i="1" s="1"/>
  <c r="IB114" i="1" s="1"/>
  <c r="IC114" i="1" s="1"/>
  <c r="ID114" i="1" s="1"/>
  <c r="IE114" i="1" s="1"/>
  <c r="IF114" i="1" s="1"/>
  <c r="IG114" i="1" s="1"/>
  <c r="IH114" i="1" s="1"/>
  <c r="II114" i="1" s="1"/>
  <c r="IJ114" i="1" s="1"/>
  <c r="IK114" i="1" s="1"/>
  <c r="IL114" i="1" s="1"/>
  <c r="IM114" i="1" s="1"/>
  <c r="IN114" i="1" s="1"/>
  <c r="IO114" i="1" s="1"/>
  <c r="IP114" i="1" s="1"/>
  <c r="IQ114" i="1" s="1"/>
  <c r="IR114" i="1" s="1"/>
  <c r="CM114" i="1"/>
  <c r="BW114" i="1"/>
  <c r="BG114" i="1"/>
  <c r="CN114" i="1"/>
  <c r="BX114" i="1"/>
  <c r="BH114" i="1"/>
  <c r="CO114" i="1"/>
  <c r="BY114" i="1"/>
  <c r="BI114" i="1"/>
  <c r="CP114" i="1"/>
  <c r="BZ114" i="1"/>
  <c r="BJ114" i="1"/>
  <c r="CQ114" i="1"/>
  <c r="CA114" i="1"/>
  <c r="BK114" i="1"/>
  <c r="CR114" i="1"/>
  <c r="CB114" i="1"/>
  <c r="BL114" i="1"/>
  <c r="CS114" i="1"/>
  <c r="CC114" i="1"/>
  <c r="BM114" i="1"/>
  <c r="CT114" i="1"/>
  <c r="CD114" i="1"/>
  <c r="BN114" i="1"/>
  <c r="CU114" i="1"/>
  <c r="CE114" i="1"/>
  <c r="BO114" i="1"/>
  <c r="CV114" i="1"/>
  <c r="CF114" i="1"/>
  <c r="BP114" i="1"/>
  <c r="AZ114" i="1"/>
  <c r="CW114" i="1"/>
  <c r="CG114" i="1"/>
  <c r="BQ114" i="1"/>
  <c r="BA114" i="1"/>
  <c r="CH114" i="1"/>
  <c r="BR114" i="1"/>
  <c r="BB114" i="1"/>
  <c r="CI114" i="1"/>
  <c r="BS114" i="1"/>
  <c r="BC114" i="1"/>
  <c r="CJ114" i="1"/>
  <c r="BT114" i="1"/>
  <c r="BD114" i="1"/>
  <c r="CK114" i="1"/>
  <c r="BU114" i="1"/>
  <c r="BE114" i="1"/>
  <c r="CL114" i="1"/>
  <c r="BV114" i="1"/>
  <c r="BF114" i="1"/>
  <c r="AV114" i="1"/>
  <c r="EW86" i="1"/>
  <c r="EX86" i="1" s="1"/>
  <c r="EY86" i="1" s="1"/>
  <c r="EZ86" i="1" s="1"/>
  <c r="FA86" i="1" s="1"/>
  <c r="FB86" i="1" s="1"/>
  <c r="FC86" i="1" s="1"/>
  <c r="FD86" i="1" s="1"/>
  <c r="FE86" i="1" s="1"/>
  <c r="FF86" i="1" s="1"/>
  <c r="FG86" i="1" s="1"/>
  <c r="FH86" i="1" s="1"/>
  <c r="FI86" i="1" s="1"/>
  <c r="FJ86" i="1" s="1"/>
  <c r="FK86" i="1" s="1"/>
  <c r="FL86" i="1" s="1"/>
  <c r="FM86" i="1" s="1"/>
  <c r="FN86" i="1" s="1"/>
  <c r="FO86" i="1" s="1"/>
  <c r="FP86" i="1" s="1"/>
  <c r="FQ86" i="1" s="1"/>
  <c r="FR86" i="1" s="1"/>
  <c r="FS86" i="1" s="1"/>
  <c r="FT86" i="1" s="1"/>
  <c r="FU86" i="1" s="1"/>
  <c r="FV86" i="1" s="1"/>
  <c r="FW86" i="1" s="1"/>
  <c r="FX86" i="1" s="1"/>
  <c r="FY86" i="1" s="1"/>
  <c r="FZ86" i="1" s="1"/>
  <c r="GA86" i="1" s="1"/>
  <c r="GB86" i="1" s="1"/>
  <c r="GC86" i="1" s="1"/>
  <c r="GD86" i="1" s="1"/>
  <c r="GE86" i="1" s="1"/>
  <c r="GF86" i="1" s="1"/>
  <c r="GG86" i="1" s="1"/>
  <c r="GH86" i="1" s="1"/>
  <c r="GI86" i="1" s="1"/>
  <c r="GJ86" i="1" s="1"/>
  <c r="GK86" i="1" s="1"/>
  <c r="GL86" i="1" s="1"/>
  <c r="GM86" i="1" s="1"/>
  <c r="GN86" i="1" s="1"/>
  <c r="GO86" i="1" s="1"/>
  <c r="GP86" i="1" s="1"/>
  <c r="GQ86" i="1" s="1"/>
  <c r="GR86" i="1" s="1"/>
  <c r="GS86" i="1" s="1"/>
  <c r="GT86" i="1" s="1"/>
  <c r="GU86" i="1" s="1"/>
  <c r="GV86" i="1" s="1"/>
  <c r="GW86" i="1" s="1"/>
  <c r="GX86" i="1" s="1"/>
  <c r="GY86" i="1" s="1"/>
  <c r="GZ86" i="1" s="1"/>
  <c r="HA86" i="1" s="1"/>
  <c r="HB86" i="1" s="1"/>
  <c r="HC86" i="1" s="1"/>
  <c r="HD86" i="1" s="1"/>
  <c r="HE86" i="1" s="1"/>
  <c r="HF86" i="1" s="1"/>
  <c r="HG86" i="1" s="1"/>
  <c r="HH86" i="1" s="1"/>
  <c r="HI86" i="1" s="1"/>
  <c r="HJ86" i="1" s="1"/>
  <c r="HK86" i="1" s="1"/>
  <c r="HL86" i="1" s="1"/>
  <c r="HM86" i="1" s="1"/>
  <c r="HN86" i="1" s="1"/>
  <c r="HO86" i="1" s="1"/>
  <c r="HP86" i="1" s="1"/>
  <c r="HQ86" i="1" s="1"/>
  <c r="HR86" i="1" s="1"/>
  <c r="HS86" i="1" s="1"/>
  <c r="HT86" i="1" s="1"/>
  <c r="HU86" i="1" s="1"/>
  <c r="HV86" i="1" s="1"/>
  <c r="HW86" i="1" s="1"/>
  <c r="HX86" i="1" s="1"/>
  <c r="HY86" i="1" s="1"/>
  <c r="HZ86" i="1" s="1"/>
  <c r="IA86" i="1" s="1"/>
  <c r="IB86" i="1" s="1"/>
  <c r="IC86" i="1" s="1"/>
  <c r="ID86" i="1" s="1"/>
  <c r="IE86" i="1" s="1"/>
  <c r="IF86" i="1" s="1"/>
  <c r="IG86" i="1" s="1"/>
  <c r="IH86" i="1" s="1"/>
  <c r="II86" i="1" s="1"/>
  <c r="IJ86" i="1" s="1"/>
  <c r="IK86" i="1" s="1"/>
  <c r="IL86" i="1" s="1"/>
  <c r="IM86" i="1" s="1"/>
  <c r="IN86" i="1" s="1"/>
  <c r="IO86" i="1" s="1"/>
  <c r="IP86" i="1" s="1"/>
  <c r="IQ86" i="1" s="1"/>
  <c r="IR86" i="1" s="1"/>
  <c r="AV86" i="1"/>
  <c r="DB9" i="1"/>
  <c r="EQ9" i="1"/>
  <c r="DL9" i="1"/>
  <c r="EO9" i="1"/>
  <c r="EB9" i="1"/>
  <c r="EE9" i="1"/>
  <c r="DW9" i="1"/>
  <c r="DF9" i="1"/>
  <c r="EN9" i="1"/>
  <c r="ET9" i="1"/>
  <c r="EK9" i="1"/>
  <c r="DU9" i="1"/>
  <c r="DG9" i="1"/>
  <c r="DR9" i="1"/>
  <c r="DJ9" i="1"/>
  <c r="DQ9" i="1"/>
  <c r="DN9" i="1"/>
  <c r="EC9" i="1"/>
  <c r="EF9" i="1"/>
  <c r="DA9" i="1"/>
  <c r="DD9" i="1"/>
  <c r="DP9" i="1"/>
  <c r="ED9" i="1"/>
  <c r="DI9" i="1"/>
  <c r="DY9" i="1"/>
  <c r="ER9" i="1"/>
  <c r="DS9" i="1"/>
  <c r="DT9" i="1"/>
  <c r="EA9" i="1"/>
  <c r="CY9" i="1"/>
  <c r="DX9" i="1"/>
  <c r="DC9" i="1"/>
  <c r="DZ9" i="1"/>
  <c r="DM9" i="1"/>
  <c r="CX9" i="1"/>
  <c r="EI9" i="1"/>
  <c r="EU9" i="1"/>
  <c r="EL9" i="1"/>
  <c r="BQ36" i="1"/>
  <c r="CS36" i="1"/>
  <c r="CN36" i="1"/>
  <c r="BB34" i="1"/>
  <c r="BN34" i="1"/>
  <c r="BX34" i="1"/>
  <c r="BN20" i="1"/>
  <c r="BI20" i="1"/>
  <c r="CK20" i="1"/>
  <c r="BO27" i="1"/>
  <c r="BJ27" i="1"/>
  <c r="BD27" i="1"/>
  <c r="BB26" i="1"/>
  <c r="CT26" i="1"/>
  <c r="BY26" i="1"/>
  <c r="BZ32" i="1"/>
  <c r="BU32" i="1"/>
  <c r="BM32" i="1"/>
  <c r="CQ32" i="1"/>
  <c r="CA12" i="1"/>
  <c r="BV12" i="1"/>
  <c r="AZ12" i="1"/>
  <c r="BT8" i="1"/>
  <c r="BO8" i="1"/>
  <c r="BZ8" i="1"/>
  <c r="AZ11" i="1"/>
  <c r="CR11" i="1"/>
  <c r="CM11" i="1"/>
  <c r="CW11" i="1"/>
  <c r="CG21" i="1"/>
  <c r="CK21" i="1"/>
  <c r="BO21" i="1"/>
  <c r="BW14" i="1"/>
  <c r="BR14" i="1"/>
  <c r="BL14" i="1"/>
  <c r="CH19" i="1"/>
  <c r="BM19" i="1"/>
  <c r="BH19" i="1"/>
  <c r="BB16" i="1"/>
  <c r="CD16" i="1"/>
  <c r="BH16" i="1"/>
  <c r="CI28" i="1"/>
  <c r="BS28" i="1"/>
  <c r="CK28" i="1"/>
  <c r="BC17" i="1"/>
  <c r="CE17" i="1"/>
  <c r="BZ17" i="1"/>
  <c r="AV115" i="1"/>
  <c r="BA36" i="1"/>
  <c r="CC36" i="1"/>
  <c r="BX36" i="1"/>
  <c r="CI34" i="1"/>
  <c r="CU34" i="1"/>
  <c r="BH34" i="1"/>
  <c r="CU20" i="1"/>
  <c r="CP20" i="1"/>
  <c r="BU20" i="1"/>
  <c r="CV27" i="1"/>
  <c r="CQ27" i="1"/>
  <c r="CL27" i="1"/>
  <c r="CI26" i="1"/>
  <c r="CD26" i="1"/>
  <c r="BI26" i="1"/>
  <c r="BJ32" i="1"/>
  <c r="BE32" i="1"/>
  <c r="CW32" i="1"/>
  <c r="CA32" i="1"/>
  <c r="BK12" i="1"/>
  <c r="BF12" i="1"/>
  <c r="CH12" i="1"/>
  <c r="BD8" i="1"/>
  <c r="CV8" i="1"/>
  <c r="BJ8" i="1"/>
  <c r="BC11" i="1"/>
  <c r="CB11" i="1"/>
  <c r="BW11" i="1"/>
  <c r="CG11" i="1"/>
  <c r="CP21" i="1"/>
  <c r="BU21" i="1"/>
  <c r="BQ21" i="1"/>
  <c r="BG14" i="1"/>
  <c r="BB14" i="1"/>
  <c r="CT14" i="1"/>
  <c r="BR19" i="1"/>
  <c r="CT19" i="1"/>
  <c r="CO19" i="1"/>
  <c r="CI19" i="1"/>
  <c r="CI16" i="1"/>
  <c r="BN16" i="1"/>
  <c r="CP16" i="1"/>
  <c r="CU28" i="1"/>
  <c r="CP28" i="1"/>
  <c r="BU28" i="1"/>
  <c r="CJ17" i="1"/>
  <c r="BO17" i="1"/>
  <c r="BJ17" i="1"/>
  <c r="AV84" i="1"/>
  <c r="CH36" i="1"/>
  <c r="BM36" i="1"/>
  <c r="BH36" i="1"/>
  <c r="BS34" i="1"/>
  <c r="CE34" i="1"/>
  <c r="CP34" i="1"/>
  <c r="CE20" i="1"/>
  <c r="BZ20" i="1"/>
  <c r="BE20" i="1"/>
  <c r="CF27" i="1"/>
  <c r="CA27" i="1"/>
  <c r="BV27" i="1"/>
  <c r="BS26" i="1"/>
  <c r="BN26" i="1"/>
  <c r="CM26" i="1"/>
  <c r="CL32" i="1"/>
  <c r="CG32" i="1"/>
  <c r="BK32" i="1"/>
  <c r="CR12" i="1"/>
  <c r="CM12" i="1"/>
  <c r="BR12" i="1"/>
  <c r="CK8" i="1"/>
  <c r="CF8" i="1"/>
  <c r="CQ8" i="1"/>
  <c r="BL11" i="1"/>
  <c r="BG11" i="1"/>
  <c r="BQ11" i="1"/>
  <c r="BZ21" i="1"/>
  <c r="BE21" i="1"/>
  <c r="CV21" i="1"/>
  <c r="CN14" i="1"/>
  <c r="CI14" i="1"/>
  <c r="CD14" i="1"/>
  <c r="BB19" i="1"/>
  <c r="CD19" i="1"/>
  <c r="BY19" i="1"/>
  <c r="BS19" i="1"/>
  <c r="BS16" i="1"/>
  <c r="BY16" i="1"/>
  <c r="BZ16" i="1"/>
  <c r="CE28" i="1"/>
  <c r="BZ28" i="1"/>
  <c r="BE28" i="1"/>
  <c r="BT17" i="1"/>
  <c r="CV17" i="1"/>
  <c r="CQ17" i="1"/>
  <c r="CE19" i="1"/>
  <c r="AN84" i="1"/>
  <c r="AO84" i="1" s="1"/>
  <c r="EJ32" i="1"/>
  <c r="EK32" i="1"/>
  <c r="EM32" i="1"/>
  <c r="EC32" i="1"/>
  <c r="BR36" i="1"/>
  <c r="CT36" i="1"/>
  <c r="CO36" i="1"/>
  <c r="CI36" i="1"/>
  <c r="BC34" i="1"/>
  <c r="BO34" i="1"/>
  <c r="BZ34" i="1"/>
  <c r="BO20" i="1"/>
  <c r="BJ20" i="1"/>
  <c r="CI20" i="1"/>
  <c r="BP27" i="1"/>
  <c r="BK27" i="1"/>
  <c r="BF27" i="1"/>
  <c r="BC26" i="1"/>
  <c r="CU26" i="1"/>
  <c r="CP26" i="1"/>
  <c r="BV32" i="1"/>
  <c r="BQ32" i="1"/>
  <c r="CR32" i="1"/>
  <c r="CB12" i="1"/>
  <c r="BW12" i="1"/>
  <c r="BB12" i="1"/>
  <c r="BU8" i="1"/>
  <c r="BP8" i="1"/>
  <c r="CA8" i="1"/>
  <c r="BS11" i="1"/>
  <c r="CN11" i="1"/>
  <c r="BA11" i="1"/>
  <c r="BJ21" i="1"/>
  <c r="CL21" i="1"/>
  <c r="CF21" i="1"/>
  <c r="BX14" i="1"/>
  <c r="BS14" i="1"/>
  <c r="BN14" i="1"/>
  <c r="BN19" i="1"/>
  <c r="BI19" i="1"/>
  <c r="BC19" i="1"/>
  <c r="BC16" i="1"/>
  <c r="CU16" i="1"/>
  <c r="BJ16" i="1"/>
  <c r="BO28" i="1"/>
  <c r="BJ28" i="1"/>
  <c r="CL28" i="1"/>
  <c r="BD17" i="1"/>
  <c r="CF17" i="1"/>
  <c r="CA17" i="1"/>
  <c r="CK17" i="1"/>
  <c r="EH32" i="1"/>
  <c r="DZ32" i="1"/>
  <c r="CY32" i="1"/>
  <c r="DG32" i="1"/>
  <c r="BB36" i="1"/>
  <c r="CD36" i="1"/>
  <c r="BY36" i="1"/>
  <c r="CJ34" i="1"/>
  <c r="CO34" i="1"/>
  <c r="CV20" i="1"/>
  <c r="BS20" i="1"/>
  <c r="CL20" i="1"/>
  <c r="AZ27" i="1"/>
  <c r="CR27" i="1"/>
  <c r="BG26" i="1"/>
  <c r="CE26" i="1"/>
  <c r="BZ26" i="1"/>
  <c r="BF32" i="1"/>
  <c r="BA32" i="1"/>
  <c r="BL12" i="1"/>
  <c r="BG12" i="1"/>
  <c r="BE8" i="1"/>
  <c r="AZ8" i="1"/>
  <c r="BK8" i="1"/>
  <c r="CS11" i="1"/>
  <c r="BX11" i="1"/>
  <c r="CH11" i="1"/>
  <c r="CQ21" i="1"/>
  <c r="BV21" i="1"/>
  <c r="BH14" i="1"/>
  <c r="BC14" i="1"/>
  <c r="CU14" i="1"/>
  <c r="CU19" i="1"/>
  <c r="CP19" i="1"/>
  <c r="CJ16" i="1"/>
  <c r="CE16" i="1"/>
  <c r="CQ16" i="1"/>
  <c r="CV28" i="1"/>
  <c r="CQ28" i="1"/>
  <c r="CM17" i="1"/>
  <c r="BP17" i="1"/>
  <c r="BK17" i="1"/>
  <c r="BU17" i="1"/>
  <c r="DG20" i="1"/>
  <c r="DY8" i="1"/>
  <c r="DL26" i="1"/>
  <c r="DJ26" i="1"/>
  <c r="DU26" i="1"/>
  <c r="DG26" i="1"/>
  <c r="DR26" i="1"/>
  <c r="DV26" i="1"/>
  <c r="EG26" i="1"/>
  <c r="EP26" i="1"/>
  <c r="EG8" i="1"/>
  <c r="DX26" i="1"/>
  <c r="EU26" i="1"/>
  <c r="DA26" i="1"/>
  <c r="DO26" i="1"/>
  <c r="EA26" i="1"/>
  <c r="CX26" i="1"/>
  <c r="DW26" i="1"/>
  <c r="ED26" i="1"/>
  <c r="DH26" i="1"/>
  <c r="EO26" i="1"/>
  <c r="EK26" i="1"/>
  <c r="DQ26" i="1"/>
  <c r="EE26" i="1"/>
  <c r="DY26" i="1"/>
  <c r="DS26" i="1"/>
  <c r="EB26" i="1"/>
  <c r="DD26" i="1"/>
  <c r="DK26" i="1"/>
  <c r="EH26" i="1"/>
  <c r="EI26" i="1"/>
  <c r="DZ26" i="1"/>
  <c r="DC26" i="1"/>
  <c r="EM26" i="1"/>
  <c r="DB26" i="1"/>
  <c r="ET26" i="1"/>
  <c r="EC26" i="1"/>
  <c r="EJ26" i="1"/>
  <c r="CZ26" i="1"/>
  <c r="DN26" i="1"/>
  <c r="DT26" i="1"/>
  <c r="DF26" i="1"/>
  <c r="DP26" i="1"/>
  <c r="EF26" i="1"/>
  <c r="ER26" i="1"/>
  <c r="DI26" i="1"/>
  <c r="CY26" i="1"/>
  <c r="EN26" i="1"/>
  <c r="EQ26" i="1"/>
  <c r="DM26" i="1"/>
  <c r="ES26" i="1"/>
  <c r="DX8" i="1"/>
  <c r="DR8" i="1"/>
  <c r="DV8" i="1"/>
  <c r="ER8" i="1"/>
  <c r="EE8" i="1"/>
  <c r="ET8" i="1"/>
  <c r="DB8" i="1"/>
  <c r="ED8" i="1"/>
  <c r="DU8" i="1"/>
  <c r="EP8" i="1"/>
  <c r="DN8" i="1"/>
  <c r="EM8" i="1"/>
  <c r="CZ8" i="1"/>
  <c r="EL8" i="1"/>
  <c r="DK8" i="1"/>
  <c r="DE8" i="1"/>
  <c r="DS8" i="1"/>
  <c r="DT8" i="1"/>
  <c r="CX8" i="1"/>
  <c r="EJ8" i="1"/>
  <c r="DD8" i="1"/>
  <c r="DL8" i="1"/>
  <c r="DA8" i="1"/>
  <c r="DM8" i="1"/>
  <c r="DH8" i="1"/>
  <c r="DC8" i="1"/>
  <c r="EI8" i="1"/>
  <c r="EH8" i="1"/>
  <c r="EO8" i="1"/>
  <c r="EQ8" i="1"/>
  <c r="EN8" i="1"/>
  <c r="DI8" i="1"/>
  <c r="DF8" i="1"/>
  <c r="EK8" i="1"/>
  <c r="DO8" i="1"/>
  <c r="ES8" i="1"/>
  <c r="DW8" i="1"/>
  <c r="DP8" i="1"/>
  <c r="EC8" i="1"/>
  <c r="DZ8" i="1"/>
  <c r="EF8" i="1"/>
  <c r="DG8" i="1"/>
  <c r="EB8" i="1"/>
  <c r="EU8" i="1"/>
  <c r="DQ8" i="1"/>
  <c r="CY8" i="1"/>
  <c r="EA8" i="1"/>
  <c r="DB20" i="1"/>
  <c r="DI20" i="1"/>
  <c r="DJ20" i="1"/>
  <c r="DD20" i="1"/>
  <c r="EU20" i="1"/>
  <c r="DC20" i="1"/>
  <c r="DF20" i="1"/>
  <c r="ED20" i="1"/>
  <c r="DZ20" i="1"/>
  <c r="EI20" i="1"/>
  <c r="CX20" i="1"/>
  <c r="DO20" i="1"/>
  <c r="DW20" i="1"/>
  <c r="DR20" i="1"/>
  <c r="EQ20" i="1"/>
  <c r="ER20" i="1"/>
  <c r="DM20" i="1"/>
  <c r="DX20" i="1"/>
  <c r="DE20" i="1"/>
  <c r="EG20" i="1"/>
  <c r="DS20" i="1"/>
  <c r="EP20" i="1"/>
  <c r="DT20" i="1"/>
  <c r="CY20" i="1"/>
  <c r="DU20" i="1"/>
  <c r="DP20" i="1"/>
  <c r="ET20" i="1"/>
  <c r="EH20" i="1"/>
  <c r="EO20" i="1"/>
  <c r="DA20" i="1"/>
  <c r="EC20" i="1"/>
  <c r="ES20" i="1"/>
  <c r="EF20" i="1"/>
  <c r="DV20" i="1"/>
  <c r="EN20" i="1"/>
  <c r="DQ20" i="1"/>
  <c r="EJ20" i="1"/>
  <c r="DK20" i="1"/>
  <c r="DN20" i="1"/>
  <c r="CZ20" i="1"/>
  <c r="EL20" i="1"/>
  <c r="EK20" i="1"/>
  <c r="EM20" i="1"/>
  <c r="EB20" i="1"/>
  <c r="EE20" i="1"/>
  <c r="DY20" i="1"/>
  <c r="DX34" i="1"/>
  <c r="ED34" i="1"/>
  <c r="EB34" i="1"/>
  <c r="DK34" i="1"/>
  <c r="EE34" i="1"/>
  <c r="ET34" i="1"/>
  <c r="DE34" i="1"/>
  <c r="EM34" i="1"/>
  <c r="ES34" i="1"/>
  <c r="EI34" i="1"/>
  <c r="DD34" i="1"/>
  <c r="DG34" i="1"/>
  <c r="EP34" i="1"/>
  <c r="EA34" i="1"/>
  <c r="DV34" i="1"/>
  <c r="DB34" i="1"/>
  <c r="DR34" i="1"/>
  <c r="EF34" i="1"/>
  <c r="EQ34" i="1"/>
  <c r="DA34" i="1"/>
  <c r="EH34" i="1"/>
  <c r="DI34" i="1"/>
  <c r="DH34" i="1"/>
  <c r="EG34" i="1"/>
  <c r="DJ34" i="1"/>
  <c r="EO34" i="1"/>
  <c r="DZ34" i="1"/>
  <c r="DW34" i="1"/>
  <c r="DY34" i="1"/>
  <c r="DO34" i="1"/>
  <c r="EC34" i="1"/>
  <c r="CY34" i="1"/>
  <c r="DS34" i="1"/>
  <c r="EK34" i="1"/>
  <c r="ER34" i="1"/>
  <c r="DU34" i="1"/>
  <c r="EN34" i="1"/>
  <c r="CZ34" i="1"/>
  <c r="EU34" i="1"/>
  <c r="DC34" i="1"/>
  <c r="DT34" i="1"/>
  <c r="DF34" i="1"/>
  <c r="DM34" i="1"/>
  <c r="DN34" i="1"/>
  <c r="DP34" i="1"/>
  <c r="CX34" i="1"/>
  <c r="DQ34" i="1"/>
  <c r="EJ34" i="1"/>
  <c r="EL34" i="1"/>
  <c r="DL34" i="1"/>
  <c r="EW115" i="1"/>
  <c r="EX115" i="1" s="1"/>
  <c r="EY115" i="1" s="1"/>
  <c r="EZ115" i="1" s="1"/>
  <c r="FA115" i="1" s="1"/>
  <c r="FB115" i="1" s="1"/>
  <c r="FC115" i="1" s="1"/>
  <c r="FD115" i="1" s="1"/>
  <c r="FE115" i="1" s="1"/>
  <c r="FF115" i="1" s="1"/>
  <c r="FG115" i="1" s="1"/>
  <c r="FH115" i="1" s="1"/>
  <c r="FI115" i="1" s="1"/>
  <c r="FJ115" i="1" s="1"/>
  <c r="FK115" i="1" s="1"/>
  <c r="FL115" i="1" s="1"/>
  <c r="FM115" i="1" s="1"/>
  <c r="FN115" i="1" s="1"/>
  <c r="FO115" i="1" s="1"/>
  <c r="FP115" i="1" s="1"/>
  <c r="FQ115" i="1" s="1"/>
  <c r="FR115" i="1" s="1"/>
  <c r="FS115" i="1" s="1"/>
  <c r="FT115" i="1" s="1"/>
  <c r="FU115" i="1" s="1"/>
  <c r="FV115" i="1" s="1"/>
  <c r="FW115" i="1" s="1"/>
  <c r="FX115" i="1" s="1"/>
  <c r="FY115" i="1" s="1"/>
  <c r="FZ115" i="1" s="1"/>
  <c r="GA115" i="1" s="1"/>
  <c r="GB115" i="1" s="1"/>
  <c r="GC115" i="1" s="1"/>
  <c r="GD115" i="1" s="1"/>
  <c r="GE115" i="1" s="1"/>
  <c r="GF115" i="1" s="1"/>
  <c r="GG115" i="1" s="1"/>
  <c r="GH115" i="1" s="1"/>
  <c r="GI115" i="1" s="1"/>
  <c r="GJ115" i="1" s="1"/>
  <c r="GK115" i="1" s="1"/>
  <c r="GL115" i="1" s="1"/>
  <c r="GM115" i="1" s="1"/>
  <c r="GN115" i="1" s="1"/>
  <c r="GO115" i="1" s="1"/>
  <c r="GP115" i="1" s="1"/>
  <c r="GQ115" i="1" s="1"/>
  <c r="GR115" i="1" s="1"/>
  <c r="GS115" i="1" s="1"/>
  <c r="GT115" i="1" s="1"/>
  <c r="GU115" i="1" s="1"/>
  <c r="GV115" i="1" s="1"/>
  <c r="GW115" i="1" s="1"/>
  <c r="GX115" i="1" s="1"/>
  <c r="GY115" i="1" s="1"/>
  <c r="GZ115" i="1" s="1"/>
  <c r="HA115" i="1" s="1"/>
  <c r="HB115" i="1" s="1"/>
  <c r="HC115" i="1" s="1"/>
  <c r="HD115" i="1" s="1"/>
  <c r="HE115" i="1" s="1"/>
  <c r="HF115" i="1" s="1"/>
  <c r="HG115" i="1" s="1"/>
  <c r="HH115" i="1" s="1"/>
  <c r="HI115" i="1" s="1"/>
  <c r="HJ115" i="1" s="1"/>
  <c r="HK115" i="1" s="1"/>
  <c r="HL115" i="1" s="1"/>
  <c r="HM115" i="1" s="1"/>
  <c r="HN115" i="1" s="1"/>
  <c r="HO115" i="1" s="1"/>
  <c r="HP115" i="1" s="1"/>
  <c r="HQ115" i="1" s="1"/>
  <c r="HR115" i="1" s="1"/>
  <c r="HS115" i="1" s="1"/>
  <c r="HT115" i="1" s="1"/>
  <c r="HU115" i="1" s="1"/>
  <c r="HV115" i="1" s="1"/>
  <c r="HW115" i="1" s="1"/>
  <c r="HX115" i="1" s="1"/>
  <c r="HY115" i="1" s="1"/>
  <c r="HZ115" i="1" s="1"/>
  <c r="IA115" i="1" s="1"/>
  <c r="IB115" i="1" s="1"/>
  <c r="IC115" i="1" s="1"/>
  <c r="ID115" i="1" s="1"/>
  <c r="IE115" i="1" s="1"/>
  <c r="IF115" i="1" s="1"/>
  <c r="IG115" i="1" s="1"/>
  <c r="IH115" i="1" s="1"/>
  <c r="II115" i="1" s="1"/>
  <c r="IJ115" i="1" s="1"/>
  <c r="IK115" i="1" s="1"/>
  <c r="IL115" i="1" s="1"/>
  <c r="IM115" i="1" s="1"/>
  <c r="IN115" i="1" s="1"/>
  <c r="IO115" i="1" s="1"/>
  <c r="IP115" i="1" s="1"/>
  <c r="IQ115" i="1" s="1"/>
  <c r="IR115" i="1" s="1"/>
  <c r="AN115" i="1"/>
  <c r="AO115" i="1" s="1"/>
  <c r="CY36" i="1"/>
  <c r="DU36" i="1"/>
  <c r="DA36" i="1"/>
  <c r="DS36" i="1"/>
  <c r="DM36" i="1"/>
  <c r="EK36" i="1"/>
  <c r="EP36" i="1"/>
  <c r="ET36" i="1"/>
  <c r="DH36" i="1"/>
  <c r="DP36" i="1"/>
  <c r="EI36" i="1"/>
  <c r="EA36" i="1"/>
  <c r="EQ36" i="1"/>
  <c r="DE36" i="1"/>
  <c r="EH36" i="1"/>
  <c r="EE36" i="1"/>
  <c r="EB36" i="1"/>
  <c r="DL36" i="1"/>
  <c r="DF36" i="1"/>
  <c r="DT36" i="1"/>
  <c r="CZ36" i="1"/>
  <c r="DJ36" i="1"/>
  <c r="EU36" i="1"/>
  <c r="DQ36" i="1"/>
  <c r="DG36" i="1"/>
  <c r="EN36" i="1"/>
  <c r="DY36" i="1"/>
  <c r="EO36" i="1"/>
  <c r="ED36" i="1"/>
  <c r="DD36" i="1"/>
  <c r="EJ36" i="1"/>
  <c r="DK36" i="1"/>
  <c r="EG36" i="1"/>
  <c r="ER36" i="1"/>
  <c r="DW36" i="1"/>
  <c r="CX36" i="1"/>
  <c r="EM36" i="1"/>
  <c r="ES36" i="1"/>
  <c r="DC36" i="1"/>
  <c r="EL36" i="1"/>
  <c r="DN36" i="1"/>
  <c r="DO36" i="1"/>
  <c r="DB36" i="1"/>
  <c r="DX36" i="1"/>
  <c r="EC36" i="1"/>
  <c r="DZ36" i="1"/>
  <c r="EF36" i="1"/>
  <c r="DI36" i="1"/>
  <c r="DR36" i="1"/>
  <c r="DV36" i="1"/>
  <c r="EF28" i="1"/>
  <c r="CZ28" i="1"/>
  <c r="DR28" i="1"/>
  <c r="DL28" i="1"/>
  <c r="EG28" i="1"/>
  <c r="EP28" i="1"/>
  <c r="EH28" i="1"/>
  <c r="DA28" i="1"/>
  <c r="DE28" i="1"/>
  <c r="DM28" i="1"/>
  <c r="EN28" i="1"/>
  <c r="DJ28" i="1"/>
  <c r="DO28" i="1"/>
  <c r="CY28" i="1"/>
  <c r="EA28" i="1"/>
  <c r="DN28" i="1"/>
  <c r="DB28" i="1"/>
  <c r="DU28" i="1"/>
  <c r="DV28" i="1"/>
  <c r="DQ28" i="1"/>
  <c r="EK28" i="1"/>
  <c r="DW28" i="1"/>
  <c r="EC28" i="1"/>
  <c r="EM28" i="1"/>
  <c r="CX28" i="1"/>
  <c r="DP28" i="1"/>
  <c r="DH28" i="1"/>
  <c r="EE28" i="1"/>
  <c r="EB28" i="1"/>
  <c r="DZ28" i="1"/>
  <c r="DY28" i="1"/>
  <c r="DD28" i="1"/>
  <c r="EU28" i="1"/>
  <c r="EQ28" i="1"/>
  <c r="DF28" i="1"/>
  <c r="ES28" i="1"/>
  <c r="EO28" i="1"/>
  <c r="DG28" i="1"/>
  <c r="DT28" i="1"/>
  <c r="DS28" i="1"/>
  <c r="EI28" i="1"/>
  <c r="DK28" i="1"/>
  <c r="ET28" i="1"/>
  <c r="ED28" i="1"/>
  <c r="ER28" i="1"/>
  <c r="DC28" i="1"/>
  <c r="EJ28" i="1"/>
  <c r="DX28" i="1"/>
  <c r="EL28" i="1"/>
  <c r="DI28" i="1"/>
  <c r="EH19" i="1"/>
  <c r="EK19" i="1"/>
  <c r="CY19" i="1"/>
  <c r="EQ19" i="1"/>
  <c r="EF19" i="1"/>
  <c r="DD19" i="1"/>
  <c r="DC19" i="1"/>
  <c r="DW19" i="1"/>
  <c r="EE19" i="1"/>
  <c r="DH19" i="1"/>
  <c r="DA19" i="1"/>
  <c r="EI19" i="1"/>
  <c r="ES19" i="1"/>
  <c r="EU19" i="1"/>
  <c r="ED19" i="1"/>
  <c r="EG19" i="1"/>
  <c r="CX19" i="1"/>
  <c r="DQ19" i="1"/>
  <c r="EL19" i="1"/>
  <c r="DI19" i="1"/>
  <c r="DP19" i="1"/>
  <c r="EO19" i="1"/>
  <c r="DY19" i="1"/>
  <c r="DB19" i="1"/>
  <c r="DN19" i="1"/>
  <c r="CZ19" i="1"/>
  <c r="DX19" i="1"/>
  <c r="DF19" i="1"/>
  <c r="ER19" i="1"/>
  <c r="DZ19" i="1"/>
  <c r="DT19" i="1"/>
  <c r="DR19" i="1"/>
  <c r="EM19" i="1"/>
  <c r="DJ19" i="1"/>
  <c r="EB19" i="1"/>
  <c r="DU19" i="1"/>
  <c r="DK19" i="1"/>
  <c r="ET19" i="1"/>
  <c r="DV19" i="1"/>
  <c r="EC19" i="1"/>
  <c r="DL19" i="1"/>
  <c r="DS19" i="1"/>
  <c r="DM19" i="1"/>
  <c r="EN19" i="1"/>
  <c r="DO19" i="1"/>
  <c r="DG19" i="1"/>
  <c r="DE19" i="1"/>
  <c r="EA19" i="1"/>
  <c r="EP19" i="1"/>
  <c r="EJ19" i="1"/>
  <c r="DL21" i="1"/>
  <c r="DM21" i="1"/>
  <c r="DX21" i="1"/>
  <c r="EI21" i="1"/>
  <c r="EQ21" i="1"/>
  <c r="DA21" i="1"/>
  <c r="DQ21" i="1"/>
  <c r="ET21" i="1"/>
  <c r="EG21" i="1"/>
  <c r="EF21" i="1"/>
  <c r="DW21" i="1"/>
  <c r="DG21" i="1"/>
  <c r="EA21" i="1"/>
  <c r="DB21" i="1"/>
  <c r="DI21" i="1"/>
  <c r="ED21" i="1"/>
  <c r="DT21" i="1"/>
  <c r="DU21" i="1"/>
  <c r="EK21" i="1"/>
  <c r="ER21" i="1"/>
  <c r="EC21" i="1"/>
  <c r="DJ21" i="1"/>
  <c r="DV21" i="1"/>
  <c r="DN21" i="1"/>
  <c r="DZ21" i="1"/>
  <c r="EJ21" i="1"/>
  <c r="DF21" i="1"/>
  <c r="DO21" i="1"/>
  <c r="DY21" i="1"/>
  <c r="EL21" i="1"/>
  <c r="EP21" i="1"/>
  <c r="DH21" i="1"/>
  <c r="EU21" i="1"/>
  <c r="CY21" i="1"/>
  <c r="DR21" i="1"/>
  <c r="DD21" i="1"/>
  <c r="EM21" i="1"/>
  <c r="DS21" i="1"/>
  <c r="CZ21" i="1"/>
  <c r="EE21" i="1"/>
  <c r="EB21" i="1"/>
  <c r="DP21" i="1"/>
  <c r="ES21" i="1"/>
  <c r="DC21" i="1"/>
  <c r="DE21" i="1"/>
  <c r="EH21" i="1"/>
  <c r="CX21" i="1"/>
  <c r="EN21" i="1"/>
  <c r="DK21" i="1"/>
  <c r="EO21" i="1"/>
  <c r="EW90" i="1"/>
  <c r="EX90" i="1" s="1"/>
  <c r="EY90" i="1" s="1"/>
  <c r="EZ90" i="1" s="1"/>
  <c r="FA90" i="1" s="1"/>
  <c r="FB90" i="1" s="1"/>
  <c r="FC90" i="1" s="1"/>
  <c r="FD90" i="1" s="1"/>
  <c r="FE90" i="1" s="1"/>
  <c r="FF90" i="1" s="1"/>
  <c r="FG90" i="1" s="1"/>
  <c r="FH90" i="1" s="1"/>
  <c r="FI90" i="1" s="1"/>
  <c r="FJ90" i="1" s="1"/>
  <c r="FK90" i="1" s="1"/>
  <c r="FL90" i="1" s="1"/>
  <c r="FM90" i="1" s="1"/>
  <c r="FN90" i="1" s="1"/>
  <c r="FO90" i="1" s="1"/>
  <c r="FP90" i="1" s="1"/>
  <c r="FQ90" i="1" s="1"/>
  <c r="FR90" i="1" s="1"/>
  <c r="FS90" i="1" s="1"/>
  <c r="FT90" i="1" s="1"/>
  <c r="FU90" i="1" s="1"/>
  <c r="FV90" i="1" s="1"/>
  <c r="FW90" i="1" s="1"/>
  <c r="FX90" i="1" s="1"/>
  <c r="FY90" i="1" s="1"/>
  <c r="FZ90" i="1" s="1"/>
  <c r="GA90" i="1" s="1"/>
  <c r="GB90" i="1" s="1"/>
  <c r="GC90" i="1" s="1"/>
  <c r="GD90" i="1" s="1"/>
  <c r="GE90" i="1" s="1"/>
  <c r="GF90" i="1" s="1"/>
  <c r="GG90" i="1" s="1"/>
  <c r="GH90" i="1" s="1"/>
  <c r="GI90" i="1" s="1"/>
  <c r="GJ90" i="1" s="1"/>
  <c r="GK90" i="1" s="1"/>
  <c r="GL90" i="1" s="1"/>
  <c r="GM90" i="1" s="1"/>
  <c r="GN90" i="1" s="1"/>
  <c r="GO90" i="1" s="1"/>
  <c r="GP90" i="1" s="1"/>
  <c r="GQ90" i="1" s="1"/>
  <c r="GR90" i="1" s="1"/>
  <c r="GS90" i="1" s="1"/>
  <c r="GT90" i="1" s="1"/>
  <c r="GU90" i="1" s="1"/>
  <c r="GV90" i="1" s="1"/>
  <c r="GW90" i="1" s="1"/>
  <c r="GX90" i="1" s="1"/>
  <c r="GY90" i="1" s="1"/>
  <c r="GZ90" i="1" s="1"/>
  <c r="HA90" i="1" s="1"/>
  <c r="HB90" i="1" s="1"/>
  <c r="HC90" i="1" s="1"/>
  <c r="HD90" i="1" s="1"/>
  <c r="HE90" i="1" s="1"/>
  <c r="HF90" i="1" s="1"/>
  <c r="HG90" i="1" s="1"/>
  <c r="HH90" i="1" s="1"/>
  <c r="HI90" i="1" s="1"/>
  <c r="HJ90" i="1" s="1"/>
  <c r="HK90" i="1" s="1"/>
  <c r="HL90" i="1" s="1"/>
  <c r="HM90" i="1" s="1"/>
  <c r="HN90" i="1" s="1"/>
  <c r="HO90" i="1" s="1"/>
  <c r="HP90" i="1" s="1"/>
  <c r="HQ90" i="1" s="1"/>
  <c r="HR90" i="1" s="1"/>
  <c r="HS90" i="1" s="1"/>
  <c r="HT90" i="1" s="1"/>
  <c r="HU90" i="1" s="1"/>
  <c r="HV90" i="1" s="1"/>
  <c r="HW90" i="1" s="1"/>
  <c r="HX90" i="1" s="1"/>
  <c r="HY90" i="1" s="1"/>
  <c r="HZ90" i="1" s="1"/>
  <c r="IA90" i="1" s="1"/>
  <c r="IB90" i="1" s="1"/>
  <c r="IC90" i="1" s="1"/>
  <c r="ID90" i="1" s="1"/>
  <c r="IE90" i="1" s="1"/>
  <c r="IF90" i="1" s="1"/>
  <c r="IG90" i="1" s="1"/>
  <c r="IH90" i="1" s="1"/>
  <c r="II90" i="1" s="1"/>
  <c r="IJ90" i="1" s="1"/>
  <c r="IK90" i="1" s="1"/>
  <c r="IL90" i="1" s="1"/>
  <c r="IM90" i="1" s="1"/>
  <c r="IN90" i="1" s="1"/>
  <c r="IO90" i="1" s="1"/>
  <c r="IP90" i="1" s="1"/>
  <c r="IQ90" i="1" s="1"/>
  <c r="IR90" i="1" s="1"/>
  <c r="AN90" i="1"/>
  <c r="AO90" i="1" s="1"/>
  <c r="DM12" i="1"/>
  <c r="DK12" i="1"/>
  <c r="DB12" i="1"/>
  <c r="EP12" i="1"/>
  <c r="EE12" i="1"/>
  <c r="EL12" i="1"/>
  <c r="EI12" i="1"/>
  <c r="DT12" i="1"/>
  <c r="DH12" i="1"/>
  <c r="EA12" i="1"/>
  <c r="DC12" i="1"/>
  <c r="EH12" i="1"/>
  <c r="EM12" i="1"/>
  <c r="EG12" i="1"/>
  <c r="EQ12" i="1"/>
  <c r="CY12" i="1"/>
  <c r="DE12" i="1"/>
  <c r="DY12" i="1"/>
  <c r="EF12" i="1"/>
  <c r="DG12" i="1"/>
  <c r="ED12" i="1"/>
  <c r="DW12" i="1"/>
  <c r="DZ12" i="1"/>
  <c r="DD12" i="1"/>
  <c r="EB12" i="1"/>
  <c r="EO12" i="1"/>
  <c r="DQ12" i="1"/>
  <c r="DO12" i="1"/>
  <c r="EJ12" i="1"/>
  <c r="EU12" i="1"/>
  <c r="DF12" i="1"/>
  <c r="DL12" i="1"/>
  <c r="DI12" i="1"/>
  <c r="EN12" i="1"/>
  <c r="DR12" i="1"/>
  <c r="DN12" i="1"/>
  <c r="CX12" i="1"/>
  <c r="ES12" i="1"/>
  <c r="ET12" i="1"/>
  <c r="DS12" i="1"/>
  <c r="DJ12" i="1"/>
  <c r="DP12" i="1"/>
  <c r="DU12" i="1"/>
  <c r="EC12" i="1"/>
  <c r="DA12" i="1"/>
  <c r="DX12" i="1"/>
  <c r="CZ12" i="1"/>
  <c r="DV12" i="1"/>
  <c r="ER12" i="1"/>
  <c r="EK12" i="1"/>
  <c r="EI27" i="1"/>
  <c r="DE27" i="1"/>
  <c r="DO27" i="1"/>
  <c r="CX27" i="1"/>
  <c r="DP27" i="1"/>
  <c r="EL27" i="1"/>
  <c r="DV27" i="1"/>
  <c r="EN27" i="1"/>
  <c r="EK27" i="1"/>
  <c r="DA27" i="1"/>
  <c r="EA27" i="1"/>
  <c r="DI27" i="1"/>
  <c r="ED27" i="1"/>
  <c r="EC27" i="1"/>
  <c r="EB27" i="1"/>
  <c r="EM27" i="1"/>
  <c r="DK27" i="1"/>
  <c r="EF27" i="1"/>
  <c r="EG27" i="1"/>
  <c r="DR27" i="1"/>
  <c r="DX27" i="1"/>
  <c r="EO27" i="1"/>
  <c r="EE27" i="1"/>
  <c r="DG27" i="1"/>
  <c r="DZ27" i="1"/>
  <c r="CY27" i="1"/>
  <c r="DD27" i="1"/>
  <c r="DM27" i="1"/>
  <c r="DH27" i="1"/>
  <c r="DQ27" i="1"/>
  <c r="EQ27" i="1"/>
  <c r="DL27" i="1"/>
  <c r="DU27" i="1"/>
  <c r="DY27" i="1"/>
  <c r="EP27" i="1"/>
  <c r="DJ27" i="1"/>
  <c r="ET27" i="1"/>
  <c r="EH27" i="1"/>
  <c r="DF27" i="1"/>
  <c r="DS27" i="1"/>
  <c r="ES27" i="1"/>
  <c r="DB27" i="1"/>
  <c r="ER27" i="1"/>
  <c r="DN27" i="1"/>
  <c r="CZ27" i="1"/>
  <c r="DT27" i="1"/>
  <c r="EU27" i="1"/>
  <c r="EJ27" i="1"/>
  <c r="DW27" i="1"/>
  <c r="DC27" i="1"/>
  <c r="DI96" i="1"/>
  <c r="DJ114" i="1"/>
  <c r="CY113" i="1"/>
  <c r="DX96" i="1"/>
  <c r="ER114" i="1"/>
  <c r="EG96" i="1"/>
  <c r="DB113" i="1"/>
  <c r="EO96" i="1"/>
  <c r="DH114" i="1"/>
  <c r="EI113" i="1"/>
  <c r="ES96" i="1"/>
  <c r="EK114" i="1"/>
  <c r="CZ113" i="1"/>
  <c r="EL96" i="1"/>
  <c r="ES114" i="1"/>
  <c r="EA113" i="1"/>
  <c r="EJ96" i="1"/>
  <c r="DI114" i="1"/>
  <c r="DV113" i="1"/>
  <c r="DH96" i="1"/>
  <c r="EP114" i="1"/>
  <c r="ES113" i="1"/>
  <c r="DF96" i="1"/>
  <c r="EA114" i="1"/>
  <c r="DK113" i="1"/>
  <c r="DK96" i="1"/>
  <c r="CZ114" i="1"/>
  <c r="DS113" i="1"/>
  <c r="DR96" i="1"/>
  <c r="CY114" i="1"/>
  <c r="DR113" i="1"/>
  <c r="DQ96" i="1"/>
  <c r="DS114" i="1"/>
  <c r="EM113" i="1"/>
  <c r="ED96" i="1"/>
  <c r="EO114" i="1"/>
  <c r="DX113" i="1"/>
  <c r="EC96" i="1"/>
  <c r="DO114" i="1"/>
  <c r="DE113" i="1"/>
  <c r="DO96" i="1"/>
  <c r="ED114" i="1"/>
  <c r="DW113" i="1"/>
  <c r="DJ96" i="1"/>
  <c r="EU114" i="1"/>
  <c r="DO113" i="1"/>
  <c r="DY96" i="1"/>
  <c r="DS96" i="1"/>
  <c r="EI96" i="1"/>
  <c r="DD114" i="1"/>
  <c r="DZ114" i="1"/>
  <c r="DK114" i="1"/>
  <c r="EG113" i="1"/>
  <c r="ER113" i="1"/>
  <c r="EP113" i="1"/>
  <c r="DV96" i="1"/>
  <c r="DL96" i="1"/>
  <c r="EN96" i="1"/>
  <c r="EQ114" i="1"/>
  <c r="DY114" i="1"/>
  <c r="EC114" i="1"/>
  <c r="EF113" i="1"/>
  <c r="EN113" i="1"/>
  <c r="DD113" i="1"/>
  <c r="DC96" i="1"/>
  <c r="DM96" i="1"/>
  <c r="EK96" i="1"/>
  <c r="EU96" i="1"/>
  <c r="EL114" i="1"/>
  <c r="DR114" i="1"/>
  <c r="EB114" i="1"/>
  <c r="EE113" i="1"/>
  <c r="DQ113" i="1"/>
  <c r="ET113" i="1"/>
  <c r="DA96" i="1"/>
  <c r="DP96" i="1"/>
  <c r="ET96" i="1"/>
  <c r="DE114" i="1"/>
  <c r="EN114" i="1"/>
  <c r="DL114" i="1"/>
  <c r="DZ113" i="1"/>
  <c r="EH113" i="1"/>
  <c r="ED113" i="1"/>
  <c r="DE96" i="1"/>
  <c r="DZ96" i="1"/>
  <c r="EP96" i="1"/>
  <c r="EJ114" i="1"/>
  <c r="DQ114" i="1"/>
  <c r="EM114" i="1"/>
  <c r="DU113" i="1"/>
  <c r="DG113" i="1"/>
  <c r="DN113" i="1"/>
  <c r="DD96" i="1"/>
  <c r="DT96" i="1"/>
  <c r="EF96" i="1"/>
  <c r="DX114" i="1"/>
  <c r="DC114" i="1"/>
  <c r="EF114" i="1"/>
  <c r="DW114" i="1"/>
  <c r="DF113" i="1"/>
  <c r="EC113" i="1"/>
  <c r="CX113" i="1"/>
  <c r="CZ96" i="1"/>
  <c r="DW96" i="1"/>
  <c r="ER96" i="1"/>
  <c r="DF114" i="1"/>
  <c r="DG114" i="1"/>
  <c r="EJ113" i="1"/>
  <c r="DJ113" i="1"/>
  <c r="EO113" i="1"/>
  <c r="DV114" i="1"/>
  <c r="DB96" i="1"/>
  <c r="EA96" i="1"/>
  <c r="EM96" i="1"/>
  <c r="DT114" i="1"/>
  <c r="DB114" i="1"/>
  <c r="EH114" i="1"/>
  <c r="EK113" i="1"/>
  <c r="DT113" i="1"/>
  <c r="EU113" i="1"/>
  <c r="DY113" i="1"/>
  <c r="DU114" i="1"/>
  <c r="DG96" i="1"/>
  <c r="EB96" i="1"/>
  <c r="EQ96" i="1"/>
  <c r="ET114" i="1"/>
  <c r="DA114" i="1"/>
  <c r="DP114" i="1"/>
  <c r="DA113" i="1"/>
  <c r="DP113" i="1"/>
  <c r="EB113" i="1"/>
  <c r="DI113" i="1"/>
  <c r="CX96" i="1"/>
  <c r="DN96" i="1"/>
  <c r="EH96" i="1"/>
  <c r="DN114" i="1"/>
  <c r="EI114" i="1"/>
  <c r="CX114" i="1"/>
  <c r="EL113" i="1"/>
  <c r="DM113" i="1"/>
  <c r="DH113" i="1"/>
  <c r="CY96" i="1"/>
  <c r="DU96" i="1"/>
  <c r="DM114" i="1"/>
  <c r="EE114" i="1"/>
  <c r="DC113" i="1"/>
  <c r="DL113" i="1"/>
  <c r="DZ154" i="1"/>
  <c r="EB154" i="1"/>
  <c r="EA154" i="1"/>
  <c r="DI140" i="1"/>
  <c r="EC154" i="1"/>
  <c r="DH140" i="1"/>
  <c r="J84" i="5"/>
  <c r="ED154" i="1"/>
  <c r="DJ140" i="1"/>
  <c r="ED126" i="1"/>
  <c r="EC126" i="1"/>
  <c r="DZ126" i="1"/>
  <c r="DY126" i="1"/>
  <c r="EA126" i="1"/>
  <c r="EB126" i="1"/>
  <c r="EU16" i="1"/>
  <c r="CX16" i="1"/>
  <c r="DE16" i="1"/>
  <c r="DY14" i="1"/>
  <c r="DS16" i="1"/>
  <c r="DR16" i="1"/>
  <c r="EK14" i="1"/>
  <c r="EH14" i="1"/>
  <c r="DJ16" i="1"/>
  <c r="EO14" i="1"/>
  <c r="DA14" i="1"/>
  <c r="ET14" i="1"/>
  <c r="ED14" i="1"/>
  <c r="CX14" i="1"/>
  <c r="DU17" i="1"/>
  <c r="EO17" i="1"/>
  <c r="EQ17" i="1"/>
  <c r="EK17" i="1"/>
  <c r="DK17" i="1"/>
  <c r="DX14" i="1"/>
  <c r="EP14" i="1"/>
  <c r="DD14" i="1"/>
  <c r="DT14" i="1"/>
  <c r="DS14" i="1"/>
  <c r="DK16" i="1"/>
  <c r="EN14" i="1"/>
  <c r="EE16" i="1"/>
  <c r="EB16" i="1"/>
  <c r="DQ14" i="1"/>
  <c r="CY14" i="1"/>
  <c r="DN14" i="1"/>
  <c r="EE14" i="1"/>
  <c r="EI16" i="1"/>
  <c r="DU14" i="1"/>
  <c r="EG17" i="1"/>
  <c r="DV16" i="1"/>
  <c r="DY16" i="1"/>
  <c r="DO14" i="1"/>
  <c r="DR14" i="1"/>
  <c r="ES14" i="1"/>
  <c r="DL14" i="1"/>
  <c r="EF16" i="1"/>
  <c r="DP14" i="1"/>
  <c r="ET16" i="1"/>
  <c r="DJ14" i="1"/>
  <c r="EL14" i="1"/>
  <c r="EF14" i="1"/>
  <c r="EP17" i="1"/>
  <c r="EQ14" i="1"/>
  <c r="DF14" i="1"/>
  <c r="EN16" i="1"/>
  <c r="EU14" i="1"/>
  <c r="DE14" i="1"/>
  <c r="DK14" i="1"/>
  <c r="EF17" i="1"/>
  <c r="ED16" i="1"/>
  <c r="EJ14" i="1"/>
  <c r="EI14" i="1"/>
  <c r="EB14" i="1"/>
  <c r="DV17" i="1"/>
  <c r="EO16" i="1"/>
  <c r="EM14" i="1"/>
  <c r="DL16" i="1"/>
  <c r="DM14" i="1"/>
  <c r="EK16" i="1"/>
  <c r="ER14" i="1"/>
  <c r="CZ14" i="1"/>
  <c r="DI14" i="1"/>
  <c r="DO16" i="1"/>
  <c r="DG14" i="1"/>
  <c r="DW14" i="1"/>
  <c r="EA14" i="1"/>
  <c r="ED17" i="1"/>
  <c r="DT16" i="1"/>
  <c r="EC14" i="1"/>
  <c r="EJ16" i="1"/>
  <c r="DC14" i="1"/>
  <c r="DV14" i="1"/>
  <c r="DH14" i="1"/>
  <c r="EQ16" i="1"/>
  <c r="DN16" i="1"/>
  <c r="DB14" i="1"/>
  <c r="DZ14" i="1"/>
  <c r="DN17" i="1"/>
  <c r="DU16" i="1"/>
  <c r="DZ16" i="1"/>
  <c r="DL17" i="1"/>
  <c r="DS17" i="1"/>
  <c r="DH16" i="1"/>
  <c r="EA17" i="1"/>
  <c r="ET17" i="1"/>
  <c r="DH17" i="1"/>
  <c r="DP16" i="1"/>
  <c r="DC17" i="1"/>
  <c r="EM17" i="1"/>
  <c r="EC17" i="1"/>
  <c r="DM17" i="1"/>
  <c r="EN17" i="1"/>
  <c r="DI16" i="1"/>
  <c r="EB17" i="1"/>
  <c r="EH17" i="1"/>
  <c r="DX17" i="1"/>
  <c r="DB17" i="1"/>
  <c r="DW17" i="1"/>
  <c r="EE17" i="1"/>
  <c r="DJ17" i="1"/>
  <c r="ER16" i="1"/>
  <c r="DC16" i="1"/>
  <c r="DG16" i="1"/>
  <c r="DE17" i="1"/>
  <c r="CY17" i="1"/>
  <c r="EL17" i="1"/>
  <c r="DG17" i="1"/>
  <c r="DD16" i="1"/>
  <c r="DX16" i="1"/>
  <c r="EA16" i="1"/>
  <c r="DR17" i="1"/>
  <c r="DZ17" i="1"/>
  <c r="CZ17" i="1"/>
  <c r="CY16" i="1"/>
  <c r="DW16" i="1"/>
  <c r="DF16" i="1"/>
  <c r="DF17" i="1"/>
  <c r="DO17" i="1"/>
  <c r="EJ17" i="1"/>
  <c r="CZ16" i="1"/>
  <c r="EM16" i="1"/>
  <c r="EC16" i="1"/>
  <c r="ES17" i="1"/>
  <c r="DI17" i="1"/>
  <c r="CX17" i="1"/>
  <c r="DB16" i="1"/>
  <c r="ES16" i="1"/>
  <c r="DT17" i="1"/>
  <c r="DQ17" i="1"/>
  <c r="EH16" i="1"/>
  <c r="DM16" i="1"/>
  <c r="ER17" i="1"/>
  <c r="EI17" i="1"/>
  <c r="DA16" i="1"/>
  <c r="EU17" i="1"/>
  <c r="DQ16" i="1"/>
  <c r="DY17" i="1"/>
  <c r="EG16" i="1"/>
  <c r="EL16" i="1"/>
  <c r="DD17" i="1"/>
  <c r="DA17" i="1"/>
  <c r="CJ134" i="1" l="1"/>
  <c r="BY134" i="1"/>
  <c r="CR134" i="1"/>
  <c r="BN134" i="1"/>
  <c r="CW134" i="1"/>
  <c r="CN136" i="1"/>
  <c r="CC136" i="1"/>
  <c r="BT134" i="1"/>
  <c r="CM134" i="1"/>
  <c r="BI134" i="1"/>
  <c r="CB134" i="1"/>
  <c r="CU134" i="1"/>
  <c r="CG134" i="1"/>
  <c r="CI136" i="1"/>
  <c r="BX136" i="1"/>
  <c r="CQ136" i="1"/>
  <c r="BW134" i="1"/>
  <c r="CP134" i="1"/>
  <c r="BL134" i="1"/>
  <c r="CE134" i="1"/>
  <c r="BQ134" i="1"/>
  <c r="CW136" i="1"/>
  <c r="CL136" i="1"/>
  <c r="CA136" i="1"/>
  <c r="CT136" i="1"/>
  <c r="CK134" i="1"/>
  <c r="BZ134" i="1"/>
  <c r="CS134" i="1"/>
  <c r="BO134" i="1"/>
  <c r="CU136" i="1"/>
  <c r="CG136" i="1"/>
  <c r="BV136" i="1"/>
  <c r="CO136" i="1"/>
  <c r="CD136" i="1"/>
  <c r="CI134" i="1"/>
  <c r="BX134" i="1"/>
  <c r="CQ134" i="1"/>
  <c r="BM134" i="1"/>
  <c r="CF134" i="1"/>
  <c r="BR134" i="1"/>
  <c r="CM136" i="1"/>
  <c r="CB136" i="1"/>
  <c r="BS134" i="1"/>
  <c r="CL134" i="1"/>
  <c r="BH134" i="1"/>
  <c r="CA134" i="1"/>
  <c r="CT134" i="1"/>
  <c r="BP134" i="1"/>
  <c r="CV136" i="1"/>
  <c r="CH136" i="1"/>
  <c r="BW136" i="1"/>
  <c r="CP136" i="1"/>
  <c r="CO134" i="1"/>
  <c r="CF136" i="1"/>
  <c r="BZ136" i="1"/>
  <c r="BJ134" i="1"/>
  <c r="CR136" i="1"/>
  <c r="BK134" i="1"/>
  <c r="CS136" i="1"/>
  <c r="CC134" i="1"/>
  <c r="CJ136" i="1"/>
  <c r="CD134" i="1"/>
  <c r="CK136" i="1"/>
  <c r="BU134" i="1"/>
  <c r="CV134" i="1"/>
  <c r="BV134" i="1"/>
  <c r="CN134" i="1"/>
  <c r="CH134" i="1"/>
  <c r="CE136" i="1"/>
  <c r="BY136" i="1"/>
  <c r="J85" i="5"/>
  <c r="DV154" i="1"/>
  <c r="DW154" i="1"/>
  <c r="DX154" i="1"/>
  <c r="DY154" i="1"/>
  <c r="DD140" i="1"/>
  <c r="DE140" i="1"/>
  <c r="DF140" i="1"/>
  <c r="DG140" i="1"/>
  <c r="DU126" i="1"/>
  <c r="DW126" i="1"/>
  <c r="DV126" i="1"/>
  <c r="DS126" i="1"/>
  <c r="DT126" i="1"/>
  <c r="DX126" i="1"/>
  <c r="BF134" i="1" l="1"/>
  <c r="BP136" i="1"/>
  <c r="BB136" i="1"/>
  <c r="BU136" i="1"/>
  <c r="BJ136" i="1"/>
  <c r="AZ136" i="1"/>
  <c r="BE136" i="1"/>
  <c r="BM136" i="1"/>
  <c r="BD134" i="1"/>
  <c r="BS136" i="1"/>
  <c r="BH136" i="1"/>
  <c r="BG134" i="1"/>
  <c r="BA134" i="1"/>
  <c r="BC136" i="1"/>
  <c r="BK136" i="1"/>
  <c r="BE134" i="1"/>
  <c r="BO136" i="1"/>
  <c r="BA136" i="1"/>
  <c r="BT136" i="1"/>
  <c r="BI136" i="1"/>
  <c r="BB134" i="1"/>
  <c r="BD136" i="1"/>
  <c r="BL136" i="1"/>
  <c r="BQ136" i="1"/>
  <c r="BR136" i="1"/>
  <c r="BN136" i="1"/>
  <c r="BC134" i="1"/>
  <c r="BF136" i="1"/>
  <c r="AZ134" i="1"/>
  <c r="BG136" i="1"/>
  <c r="ES89" i="1"/>
  <c r="EQ89" i="1"/>
  <c r="EU89" i="1"/>
  <c r="EO89" i="1"/>
  <c r="ET89" i="1"/>
  <c r="EP89" i="1"/>
  <c r="ER89" i="1"/>
  <c r="J86" i="5"/>
  <c r="DS154" i="1"/>
  <c r="DT154" i="1"/>
  <c r="DM126" i="1"/>
  <c r="DA140" i="1"/>
  <c r="DQ126" i="1"/>
  <c r="DP126" i="1"/>
  <c r="DR154" i="1"/>
  <c r="DU154" i="1"/>
  <c r="DC140" i="1"/>
  <c r="DB140" i="1"/>
  <c r="DO126" i="1"/>
  <c r="DR126" i="1"/>
  <c r="CZ140" i="1"/>
  <c r="DN126" i="1"/>
  <c r="CW135" i="1" l="1"/>
  <c r="CV140" i="1"/>
  <c r="CW140" i="1"/>
  <c r="EG89" i="1"/>
  <c r="EC89" i="1"/>
  <c r="EI89" i="1"/>
  <c r="ED89" i="1"/>
  <c r="EF89" i="1"/>
  <c r="EH89" i="1"/>
  <c r="EN89" i="1"/>
  <c r="EK89" i="1"/>
  <c r="EL89" i="1"/>
  <c r="EJ89" i="1"/>
  <c r="EM89" i="1"/>
  <c r="EE89" i="1"/>
  <c r="J87" i="5"/>
  <c r="EQ84" i="1" s="1"/>
  <c r="DI126" i="1"/>
  <c r="DL126" i="1"/>
  <c r="DG126" i="1"/>
  <c r="DK126" i="1"/>
  <c r="DH126" i="1"/>
  <c r="DJ126" i="1"/>
  <c r="EU129" i="1"/>
  <c r="CX140" i="1"/>
  <c r="DP154" i="1"/>
  <c r="EQ129" i="1"/>
  <c r="DM154" i="1"/>
  <c r="DQ154" i="1"/>
  <c r="DO154" i="1"/>
  <c r="ER86" i="1"/>
  <c r="EU123" i="1"/>
  <c r="ER129" i="1"/>
  <c r="DN154" i="1"/>
  <c r="ET129" i="1"/>
  <c r="CY140" i="1"/>
  <c r="EP129" i="1"/>
  <c r="ES129" i="1"/>
  <c r="EQ86" i="1" l="1"/>
  <c r="ES86" i="1"/>
  <c r="ER84" i="1"/>
  <c r="ET84" i="1"/>
  <c r="BR135" i="1"/>
  <c r="CK135" i="1"/>
  <c r="BG135" i="1"/>
  <c r="BZ135" i="1"/>
  <c r="CS135" i="1"/>
  <c r="BO135" i="1"/>
  <c r="BS135" i="1"/>
  <c r="CL135" i="1"/>
  <c r="BH135" i="1"/>
  <c r="CA135" i="1"/>
  <c r="CT135" i="1"/>
  <c r="BP135" i="1"/>
  <c r="CG135" i="1"/>
  <c r="BT135" i="1"/>
  <c r="CN135" i="1"/>
  <c r="BK135" i="1"/>
  <c r="CU135" i="1"/>
  <c r="BQ135" i="1"/>
  <c r="BD135" i="1"/>
  <c r="BX135" i="1"/>
  <c r="CR135" i="1"/>
  <c r="CE135" i="1"/>
  <c r="BA135" i="1"/>
  <c r="BU135" i="1"/>
  <c r="CO135" i="1"/>
  <c r="CB135" i="1"/>
  <c r="CV135" i="1"/>
  <c r="BB135" i="1"/>
  <c r="BV135" i="1"/>
  <c r="BI135" i="1"/>
  <c r="CC135" i="1"/>
  <c r="AZ135" i="1"/>
  <c r="CS140" i="1"/>
  <c r="CI135" i="1"/>
  <c r="BF135" i="1"/>
  <c r="CP135" i="1"/>
  <c r="BM135" i="1"/>
  <c r="BC135" i="1"/>
  <c r="CM135" i="1"/>
  <c r="BJ135" i="1"/>
  <c r="CD135" i="1"/>
  <c r="CJ135" i="1"/>
  <c r="BW135" i="1"/>
  <c r="CQ135" i="1"/>
  <c r="BN135" i="1"/>
  <c r="CT140" i="1"/>
  <c r="CH135" i="1"/>
  <c r="BE135" i="1"/>
  <c r="BY135" i="1"/>
  <c r="CR140" i="1"/>
  <c r="BL135" i="1"/>
  <c r="CF135" i="1"/>
  <c r="CU140" i="1"/>
  <c r="DU89" i="1"/>
  <c r="DX89" i="1"/>
  <c r="EB89" i="1"/>
  <c r="DT89" i="1"/>
  <c r="DQ89" i="1"/>
  <c r="DZ89" i="1"/>
  <c r="DS89" i="1"/>
  <c r="EA89" i="1"/>
  <c r="DV89" i="1"/>
  <c r="DR89" i="1"/>
  <c r="DY89" i="1"/>
  <c r="DW89" i="1"/>
  <c r="ET86" i="1"/>
  <c r="EU84" i="1"/>
  <c r="EU86" i="1"/>
  <c r="ES84" i="1"/>
  <c r="DI154" i="1"/>
  <c r="J88" i="5"/>
  <c r="EM84" i="1" s="1"/>
  <c r="DJ154" i="1"/>
  <c r="DL154" i="1"/>
  <c r="DK154" i="1"/>
  <c r="DE126" i="1"/>
  <c r="EK86" i="1"/>
  <c r="DC126" i="1"/>
  <c r="DF126" i="1"/>
  <c r="EM86" i="1"/>
  <c r="EK84" i="1"/>
  <c r="EL86" i="1"/>
  <c r="DB126" i="1"/>
  <c r="DD126" i="1"/>
  <c r="DA126" i="1"/>
  <c r="EL129" i="1"/>
  <c r="ER123" i="1"/>
  <c r="EI129" i="1"/>
  <c r="EP123" i="1"/>
  <c r="EO129" i="1"/>
  <c r="ES123" i="1"/>
  <c r="EM129" i="1"/>
  <c r="EK129" i="1"/>
  <c r="EQ123" i="1"/>
  <c r="ET123" i="1"/>
  <c r="EN129" i="1"/>
  <c r="EJ129" i="1"/>
  <c r="EL84" i="1" l="1"/>
  <c r="CO140" i="1"/>
  <c r="CN140" i="1"/>
  <c r="CP140" i="1"/>
  <c r="CQ140" i="1"/>
  <c r="CU126" i="1"/>
  <c r="CV126" i="1"/>
  <c r="CW126" i="1"/>
  <c r="DK89" i="1"/>
  <c r="DH89" i="1"/>
  <c r="DL89" i="1"/>
  <c r="DG89" i="1"/>
  <c r="DJ89" i="1"/>
  <c r="DP89" i="1"/>
  <c r="DM89" i="1"/>
  <c r="DN89" i="1"/>
  <c r="DO89" i="1"/>
  <c r="DI89" i="1"/>
  <c r="DF89" i="1"/>
  <c r="EO84" i="1"/>
  <c r="EN86" i="1"/>
  <c r="EP84" i="1"/>
  <c r="EO86" i="1"/>
  <c r="EP86" i="1"/>
  <c r="EN84" i="1"/>
  <c r="J89" i="5"/>
  <c r="EE84" i="1" s="1"/>
  <c r="DF154" i="1"/>
  <c r="DG154" i="1"/>
  <c r="DE154" i="1"/>
  <c r="DH154" i="1"/>
  <c r="EH86" i="1"/>
  <c r="CZ126" i="1"/>
  <c r="EF86" i="1"/>
  <c r="EF84" i="1"/>
  <c r="CY126" i="1"/>
  <c r="EG86" i="1"/>
  <c r="ED84" i="1"/>
  <c r="EE86" i="1"/>
  <c r="CX126" i="1"/>
  <c r="EH129" i="1"/>
  <c r="EK123" i="1"/>
  <c r="EN123" i="1"/>
  <c r="EL123" i="1"/>
  <c r="EJ123" i="1"/>
  <c r="EB129" i="1"/>
  <c r="ED129" i="1"/>
  <c r="EF129" i="1"/>
  <c r="EE129" i="1"/>
  <c r="EM123" i="1"/>
  <c r="EO123" i="1"/>
  <c r="EC129" i="1"/>
  <c r="EG129" i="1"/>
  <c r="EG84" i="1" l="1"/>
  <c r="CT126" i="1"/>
  <c r="CK140" i="1"/>
  <c r="CO126" i="1"/>
  <c r="CL140" i="1"/>
  <c r="CM140" i="1"/>
  <c r="CP126" i="1"/>
  <c r="CQ126" i="1"/>
  <c r="CR126" i="1"/>
  <c r="CS126" i="1"/>
  <c r="DE89" i="1"/>
  <c r="CT89" i="1"/>
  <c r="CW89" i="1"/>
  <c r="CU89" i="1"/>
  <c r="CX89" i="1"/>
  <c r="DD89" i="1"/>
  <c r="DA89" i="1"/>
  <c r="CY89" i="1"/>
  <c r="CV89" i="1"/>
  <c r="DC89" i="1"/>
  <c r="CZ89" i="1"/>
  <c r="DB89" i="1"/>
  <c r="EH84" i="1"/>
  <c r="EI86" i="1"/>
  <c r="EI84" i="1"/>
  <c r="EJ84" i="1"/>
  <c r="EJ86" i="1"/>
  <c r="CZ154" i="1"/>
  <c r="DC154" i="1"/>
  <c r="DZ86" i="1"/>
  <c r="DZ84" i="1"/>
  <c r="EJ105" i="1"/>
  <c r="EM105" i="1"/>
  <c r="EO105" i="1"/>
  <c r="DD154" i="1"/>
  <c r="J90" i="5"/>
  <c r="DY86" i="1"/>
  <c r="EH105" i="1"/>
  <c r="EQ105" i="1"/>
  <c r="DA154" i="1"/>
  <c r="EL105" i="1"/>
  <c r="ER105" i="1"/>
  <c r="DX84" i="1"/>
  <c r="EP105" i="1"/>
  <c r="EG105" i="1"/>
  <c r="EA86" i="1"/>
  <c r="EA84" i="1"/>
  <c r="ET105" i="1"/>
  <c r="EI105" i="1"/>
  <c r="DB154" i="1"/>
  <c r="EB86" i="1"/>
  <c r="ES105" i="1"/>
  <c r="EK105" i="1"/>
  <c r="DY84" i="1"/>
  <c r="EN105" i="1"/>
  <c r="EU105" i="1"/>
  <c r="EI123" i="1"/>
  <c r="EE123" i="1"/>
  <c r="EG123" i="1"/>
  <c r="EA129" i="1"/>
  <c r="DY129" i="1"/>
  <c r="DT129" i="1"/>
  <c r="DW129" i="1"/>
  <c r="DU129" i="1"/>
  <c r="EH123" i="1"/>
  <c r="EF123" i="1"/>
  <c r="DZ129" i="1"/>
  <c r="DX129" i="1"/>
  <c r="DV129" i="1"/>
  <c r="CW154" i="1" l="1"/>
  <c r="CI140" i="1"/>
  <c r="CV154" i="1"/>
  <c r="CH140" i="1"/>
  <c r="CJ140" i="1"/>
  <c r="CL126" i="1"/>
  <c r="CG140" i="1"/>
  <c r="CM126" i="1"/>
  <c r="CN126" i="1"/>
  <c r="CI126" i="1"/>
  <c r="CJ126" i="1"/>
  <c r="CK126" i="1"/>
  <c r="CQ89" i="1"/>
  <c r="CK89" i="1"/>
  <c r="CO89" i="1"/>
  <c r="CI89" i="1"/>
  <c r="CR89" i="1"/>
  <c r="CL89" i="1"/>
  <c r="CM89" i="1"/>
  <c r="CP89" i="1"/>
  <c r="CJ89" i="1"/>
  <c r="CS89" i="1"/>
  <c r="CN89" i="1"/>
  <c r="ED86" i="1"/>
  <c r="EC86" i="1"/>
  <c r="EC84" i="1"/>
  <c r="EB84" i="1"/>
  <c r="J91" i="5"/>
  <c r="DU86" i="1"/>
  <c r="DT84" i="1"/>
  <c r="DR84" i="1"/>
  <c r="DS86" i="1"/>
  <c r="DI105" i="1"/>
  <c r="EE105" i="1"/>
  <c r="DS129" i="1"/>
  <c r="EC105" i="1"/>
  <c r="DL105" i="1"/>
  <c r="DY105" i="1"/>
  <c r="DP105" i="1"/>
  <c r="CX154" i="1"/>
  <c r="DR105" i="1"/>
  <c r="EA123" i="1"/>
  <c r="DO105" i="1"/>
  <c r="EF105" i="1"/>
  <c r="DZ123" i="1"/>
  <c r="DR129" i="1"/>
  <c r="DS84" i="1"/>
  <c r="ED105" i="1"/>
  <c r="DT86" i="1"/>
  <c r="DJ105" i="1"/>
  <c r="DQ105" i="1"/>
  <c r="DN129" i="1"/>
  <c r="EC123" i="1"/>
  <c r="DK105" i="1"/>
  <c r="DZ105" i="1"/>
  <c r="DT105" i="1"/>
  <c r="DP129" i="1"/>
  <c r="DN105" i="1"/>
  <c r="DU105" i="1"/>
  <c r="EA105" i="1"/>
  <c r="CY154" i="1"/>
  <c r="DO129" i="1"/>
  <c r="EB105" i="1"/>
  <c r="DV105" i="1"/>
  <c r="DS105" i="1"/>
  <c r="DQ84" i="1"/>
  <c r="DM129" i="1"/>
  <c r="ED123" i="1"/>
  <c r="DQ129" i="1"/>
  <c r="DV86" i="1"/>
  <c r="EB123" i="1"/>
  <c r="DW105" i="1"/>
  <c r="DM105" i="1"/>
  <c r="DU84" i="1"/>
  <c r="DX105" i="1"/>
  <c r="CS154" i="1" l="1"/>
  <c r="CR154" i="1"/>
  <c r="CU154" i="1"/>
  <c r="CD140" i="1"/>
  <c r="CC140" i="1"/>
  <c r="CT154" i="1"/>
  <c r="CE140" i="1"/>
  <c r="CV105" i="1"/>
  <c r="CF140" i="1"/>
  <c r="CD126" i="1"/>
  <c r="CG126" i="1"/>
  <c r="CO105" i="1"/>
  <c r="CE126" i="1"/>
  <c r="CC126" i="1"/>
  <c r="CH126" i="1"/>
  <c r="CP105" i="1"/>
  <c r="CJ105" i="1"/>
  <c r="CF126" i="1"/>
  <c r="CS105" i="1"/>
  <c r="CM105" i="1"/>
  <c r="CR105" i="1"/>
  <c r="CW105" i="1"/>
  <c r="CL105" i="1"/>
  <c r="EU117" i="1"/>
  <c r="CT105" i="1"/>
  <c r="CN105" i="1"/>
  <c r="CU105" i="1"/>
  <c r="CQ105" i="1"/>
  <c r="CK105" i="1"/>
  <c r="ET117" i="1"/>
  <c r="BX89" i="1"/>
  <c r="CF89" i="1"/>
  <c r="CA89" i="1"/>
  <c r="CD89" i="1"/>
  <c r="BY89" i="1"/>
  <c r="CB89" i="1"/>
  <c r="CG89" i="1"/>
  <c r="BW89" i="1"/>
  <c r="CE89" i="1"/>
  <c r="BZ89" i="1"/>
  <c r="CC89" i="1"/>
  <c r="CH89" i="1"/>
  <c r="DW86" i="1"/>
  <c r="DV84" i="1"/>
  <c r="DW84" i="1"/>
  <c r="DX86" i="1"/>
  <c r="EU92" i="1"/>
  <c r="J92" i="5"/>
  <c r="DN84" i="1" s="1"/>
  <c r="DF105" i="1"/>
  <c r="DB105" i="1"/>
  <c r="DG105" i="1"/>
  <c r="DD105" i="1"/>
  <c r="CZ105" i="1"/>
  <c r="DA105" i="1"/>
  <c r="DC105" i="1"/>
  <c r="CX105" i="1"/>
  <c r="DP86" i="1"/>
  <c r="DE105" i="1"/>
  <c r="DH105" i="1"/>
  <c r="CY105" i="1"/>
  <c r="DU123" i="1"/>
  <c r="DW123" i="1"/>
  <c r="DV123" i="1"/>
  <c r="DX123" i="1"/>
  <c r="DK129" i="1"/>
  <c r="DI129" i="1"/>
  <c r="DL129" i="1"/>
  <c r="DG129" i="1"/>
  <c r="DJ129" i="1"/>
  <c r="DY123" i="1"/>
  <c r="DH129" i="1"/>
  <c r="DF129" i="1"/>
  <c r="DL84" i="1" l="1"/>
  <c r="DO86" i="1"/>
  <c r="DM86" i="1"/>
  <c r="DN86" i="1"/>
  <c r="DK84" i="1"/>
  <c r="EH117" i="1"/>
  <c r="EU112" i="1"/>
  <c r="CQ154" i="1"/>
  <c r="BY140" i="1"/>
  <c r="CN154" i="1"/>
  <c r="BZ140" i="1"/>
  <c r="CO154" i="1"/>
  <c r="CP154" i="1"/>
  <c r="CA140" i="1"/>
  <c r="CA126" i="1"/>
  <c r="CC105" i="1"/>
  <c r="CH105" i="1"/>
  <c r="BW105" i="1"/>
  <c r="CB140" i="1"/>
  <c r="CB126" i="1"/>
  <c r="CD105" i="1"/>
  <c r="CI105" i="1"/>
  <c r="BX105" i="1"/>
  <c r="EP117" i="1"/>
  <c r="BW126" i="1"/>
  <c r="BL105" i="1"/>
  <c r="CE105" i="1"/>
  <c r="BQ105" i="1"/>
  <c r="BX126" i="1"/>
  <c r="BZ105" i="1"/>
  <c r="BO105" i="1"/>
  <c r="BT105" i="1"/>
  <c r="CA105" i="1"/>
  <c r="BP105" i="1"/>
  <c r="BU105" i="1"/>
  <c r="ET112" i="1"/>
  <c r="EK117" i="1"/>
  <c r="ER117" i="1"/>
  <c r="CB105" i="1"/>
  <c r="CG105" i="1"/>
  <c r="BV105" i="1"/>
  <c r="EM117" i="1"/>
  <c r="BM105" i="1"/>
  <c r="BR105" i="1"/>
  <c r="ES112" i="1"/>
  <c r="ES117" i="1"/>
  <c r="BY105" i="1"/>
  <c r="BN105" i="1"/>
  <c r="BS105" i="1"/>
  <c r="BY126" i="1"/>
  <c r="BZ126" i="1"/>
  <c r="CF105" i="1"/>
  <c r="EJ117" i="1"/>
  <c r="EF117" i="1"/>
  <c r="EO117" i="1"/>
  <c r="EN117" i="1"/>
  <c r="EQ117" i="1"/>
  <c r="EG117" i="1"/>
  <c r="EL117" i="1"/>
  <c r="EI117" i="1"/>
  <c r="BM89" i="1"/>
  <c r="BR89" i="1"/>
  <c r="BP89" i="1"/>
  <c r="BU89" i="1"/>
  <c r="BN89" i="1"/>
  <c r="BS89" i="1"/>
  <c r="BV89" i="1"/>
  <c r="BL89" i="1"/>
  <c r="BQ89" i="1"/>
  <c r="BO89" i="1"/>
  <c r="BT89" i="1"/>
  <c r="DQ86" i="1"/>
  <c r="DO84" i="1"/>
  <c r="DR86" i="1"/>
  <c r="DP84" i="1"/>
  <c r="DM84" i="1"/>
  <c r="J93" i="5"/>
  <c r="ET92" i="1"/>
  <c r="ER92" i="1"/>
  <c r="ES92" i="1"/>
  <c r="DH86" i="1"/>
  <c r="DD84" i="1"/>
  <c r="DF84" i="1"/>
  <c r="DG84" i="1"/>
  <c r="DI86" i="1"/>
  <c r="DE84" i="1"/>
  <c r="DG86" i="1"/>
  <c r="DJ86" i="1"/>
  <c r="DB129" i="1"/>
  <c r="DS123" i="1"/>
  <c r="DQ123" i="1"/>
  <c r="CX129" i="1"/>
  <c r="CZ129" i="1"/>
  <c r="DR123" i="1"/>
  <c r="DE129" i="1"/>
  <c r="DT123" i="1"/>
  <c r="DC129" i="1"/>
  <c r="DA129" i="1"/>
  <c r="DP123" i="1"/>
  <c r="CY129" i="1"/>
  <c r="DD129" i="1"/>
  <c r="CK154" i="1" l="1"/>
  <c r="CI154" i="1"/>
  <c r="CJ154" i="1"/>
  <c r="CM154" i="1"/>
  <c r="CL154" i="1"/>
  <c r="BU140" i="1"/>
  <c r="BS126" i="1"/>
  <c r="CU129" i="1"/>
  <c r="BJ105" i="1"/>
  <c r="BD105" i="1"/>
  <c r="ET120" i="1"/>
  <c r="BV126" i="1"/>
  <c r="CR129" i="1"/>
  <c r="BV140" i="1"/>
  <c r="BT126" i="1"/>
  <c r="CV129" i="1"/>
  <c r="BK105" i="1"/>
  <c r="AZ105" i="1"/>
  <c r="BE105" i="1"/>
  <c r="DS117" i="1"/>
  <c r="BQ126" i="1"/>
  <c r="BW140" i="1"/>
  <c r="BX140" i="1"/>
  <c r="BU126" i="1"/>
  <c r="CQ129" i="1"/>
  <c r="BF105" i="1"/>
  <c r="BR126" i="1"/>
  <c r="CW129" i="1"/>
  <c r="BA105" i="1"/>
  <c r="CT129" i="1"/>
  <c r="EO120" i="1"/>
  <c r="EL112" i="1"/>
  <c r="EP112" i="1"/>
  <c r="ER120" i="1"/>
  <c r="EE117" i="1"/>
  <c r="ED117" i="1"/>
  <c r="ES120" i="1"/>
  <c r="BG105" i="1"/>
  <c r="EQ120" i="1"/>
  <c r="EC117" i="1"/>
  <c r="BB105" i="1"/>
  <c r="DR117" i="1"/>
  <c r="EU120" i="1"/>
  <c r="EN112" i="1"/>
  <c r="BH105" i="1"/>
  <c r="BI105" i="1"/>
  <c r="BC105" i="1"/>
  <c r="EK112" i="1"/>
  <c r="EA117" i="1"/>
  <c r="CS129" i="1"/>
  <c r="EO112" i="1"/>
  <c r="DQ117" i="1"/>
  <c r="ER112" i="1"/>
  <c r="DU117" i="1"/>
  <c r="EB117" i="1"/>
  <c r="DX117" i="1"/>
  <c r="DV117" i="1"/>
  <c r="DW117" i="1"/>
  <c r="EQ112" i="1"/>
  <c r="DY117" i="1"/>
  <c r="EM112" i="1"/>
  <c r="EP120" i="1"/>
  <c r="DZ117" i="1"/>
  <c r="DT117" i="1"/>
  <c r="BH89" i="1"/>
  <c r="BB89" i="1"/>
  <c r="BK89" i="1"/>
  <c r="AZ89" i="1"/>
  <c r="BE89" i="1"/>
  <c r="BI89" i="1"/>
  <c r="BC89" i="1"/>
  <c r="BF89" i="1"/>
  <c r="BG89" i="1"/>
  <c r="BA89" i="1"/>
  <c r="BJ89" i="1"/>
  <c r="BD89" i="1"/>
  <c r="DL86" i="1"/>
  <c r="DJ84" i="1"/>
  <c r="DI84" i="1"/>
  <c r="DK86" i="1"/>
  <c r="DH84" i="1"/>
  <c r="EL102" i="1"/>
  <c r="EE102" i="1"/>
  <c r="EP127" i="1"/>
  <c r="EP92" i="1"/>
  <c r="CY84" i="1"/>
  <c r="EQ92" i="1"/>
  <c r="EN92" i="1"/>
  <c r="EF102" i="1"/>
  <c r="EJ102" i="1"/>
  <c r="EN102" i="1"/>
  <c r="EO92" i="1"/>
  <c r="EO127" i="1"/>
  <c r="EU102" i="1"/>
  <c r="ER102" i="1"/>
  <c r="ET127" i="1"/>
  <c r="DZ102" i="1"/>
  <c r="EI102" i="1"/>
  <c r="EM102" i="1"/>
  <c r="EP102" i="1"/>
  <c r="EQ127" i="1"/>
  <c r="EU127" i="1"/>
  <c r="ES102" i="1"/>
  <c r="CX84" i="1"/>
  <c r="J94" i="5"/>
  <c r="DC86" i="1" s="1"/>
  <c r="CZ84" i="1"/>
  <c r="EQ102" i="1"/>
  <c r="EA102" i="1"/>
  <c r="EC102" i="1"/>
  <c r="DA84" i="1"/>
  <c r="DY102" i="1"/>
  <c r="EG102" i="1"/>
  <c r="DA86" i="1"/>
  <c r="DD86" i="1"/>
  <c r="ER127" i="1"/>
  <c r="EB102" i="1"/>
  <c r="ET102" i="1"/>
  <c r="EH102" i="1"/>
  <c r="EO102" i="1"/>
  <c r="EK102" i="1"/>
  <c r="ED102" i="1"/>
  <c r="ES127" i="1"/>
  <c r="DB86" i="1"/>
  <c r="EN127" i="1"/>
  <c r="DM123" i="1"/>
  <c r="DK123" i="1"/>
  <c r="DO123" i="1"/>
  <c r="DL123" i="1"/>
  <c r="DN123" i="1"/>
  <c r="CF154" i="1" l="1"/>
  <c r="CE154" i="1"/>
  <c r="BT140" i="1"/>
  <c r="CG154" i="1"/>
  <c r="CH154" i="1"/>
  <c r="BP126" i="1"/>
  <c r="CO129" i="1"/>
  <c r="DE117" i="1"/>
  <c r="BK126" i="1"/>
  <c r="CJ129" i="1"/>
  <c r="CP129" i="1"/>
  <c r="BQ140" i="1"/>
  <c r="BL126" i="1"/>
  <c r="CK129" i="1"/>
  <c r="BR140" i="1"/>
  <c r="BS140" i="1"/>
  <c r="BM126" i="1"/>
  <c r="CL129" i="1"/>
  <c r="CN129" i="1"/>
  <c r="DL117" i="1"/>
  <c r="EG112" i="1"/>
  <c r="DN117" i="1"/>
  <c r="DJ117" i="1"/>
  <c r="DC117" i="1"/>
  <c r="BN126" i="1"/>
  <c r="EJ120" i="1"/>
  <c r="BO126" i="1"/>
  <c r="EE112" i="1"/>
  <c r="EN120" i="1"/>
  <c r="DG117" i="1"/>
  <c r="DM117" i="1"/>
  <c r="DI117" i="1"/>
  <c r="EL120" i="1"/>
  <c r="DO117" i="1"/>
  <c r="EI112" i="1"/>
  <c r="EH112" i="1"/>
  <c r="EF120" i="1"/>
  <c r="EM120" i="1"/>
  <c r="DK117" i="1"/>
  <c r="CM129" i="1"/>
  <c r="EK120" i="1"/>
  <c r="ED112" i="1"/>
  <c r="EJ112" i="1"/>
  <c r="EC112" i="1"/>
  <c r="DF117" i="1"/>
  <c r="EI120" i="1"/>
  <c r="DH117" i="1"/>
  <c r="EH120" i="1"/>
  <c r="DP117" i="1"/>
  <c r="EE120" i="1"/>
  <c r="DD117" i="1"/>
  <c r="EB112" i="1"/>
  <c r="EG120" i="1"/>
  <c r="EC120" i="1"/>
  <c r="ED120" i="1"/>
  <c r="EF112" i="1"/>
  <c r="DC84" i="1"/>
  <c r="DE86" i="1"/>
  <c r="DF86" i="1"/>
  <c r="DB84" i="1"/>
  <c r="J95" i="5"/>
  <c r="CX86" i="1"/>
  <c r="DO102" i="1"/>
  <c r="DB102" i="1"/>
  <c r="DE102" i="1"/>
  <c r="DJ102" i="1"/>
  <c r="DF123" i="1"/>
  <c r="DH123" i="1"/>
  <c r="DR102" i="1"/>
  <c r="DU102" i="1"/>
  <c r="DJ123" i="1"/>
  <c r="EE127" i="1"/>
  <c r="EK127" i="1"/>
  <c r="EK92" i="1"/>
  <c r="DV102" i="1"/>
  <c r="DH102" i="1"/>
  <c r="DM102" i="1"/>
  <c r="EM127" i="1"/>
  <c r="DX102" i="1"/>
  <c r="EH127" i="1"/>
  <c r="DG123" i="1"/>
  <c r="CZ102" i="1"/>
  <c r="DC102" i="1"/>
  <c r="EL92" i="1"/>
  <c r="DL102" i="1"/>
  <c r="EF127" i="1"/>
  <c r="DP102" i="1"/>
  <c r="DS102" i="1"/>
  <c r="DF102" i="1"/>
  <c r="DK102" i="1"/>
  <c r="CY102" i="1"/>
  <c r="DN102" i="1"/>
  <c r="DD102" i="1"/>
  <c r="DI102" i="1"/>
  <c r="DI123" i="1"/>
  <c r="DQ102" i="1"/>
  <c r="EG127" i="1"/>
  <c r="DA102" i="1"/>
  <c r="DT102" i="1"/>
  <c r="ED127" i="1"/>
  <c r="EI127" i="1"/>
  <c r="EM92" i="1"/>
  <c r="DG102" i="1"/>
  <c r="EL127" i="1"/>
  <c r="DW102" i="1"/>
  <c r="EJ127" i="1"/>
  <c r="CA154" i="1" l="1"/>
  <c r="CB154" i="1"/>
  <c r="BO140" i="1"/>
  <c r="CC154" i="1"/>
  <c r="CD154" i="1"/>
  <c r="BP140" i="1"/>
  <c r="BH126" i="1"/>
  <c r="CG129" i="1"/>
  <c r="CW117" i="1"/>
  <c r="CT117" i="1"/>
  <c r="CE129" i="1"/>
  <c r="CO117" i="1"/>
  <c r="BI126" i="1"/>
  <c r="CC129" i="1"/>
  <c r="CH129" i="1"/>
  <c r="CU117" i="1"/>
  <c r="CF129" i="1"/>
  <c r="BN140" i="1"/>
  <c r="BJ126" i="1"/>
  <c r="CD129" i="1"/>
  <c r="CI129" i="1"/>
  <c r="CN117" i="1"/>
  <c r="CV117" i="1"/>
  <c r="BE126" i="1"/>
  <c r="CQ117" i="1"/>
  <c r="DY120" i="1"/>
  <c r="DV120" i="1"/>
  <c r="CP117" i="1"/>
  <c r="DZ120" i="1"/>
  <c r="DV112" i="1"/>
  <c r="DR120" i="1"/>
  <c r="DX120" i="1"/>
  <c r="DT120" i="1"/>
  <c r="CB129" i="1"/>
  <c r="DU112" i="1"/>
  <c r="EA120" i="1"/>
  <c r="BF126" i="1"/>
  <c r="CR117" i="1"/>
  <c r="DX112" i="1"/>
  <c r="DW112" i="1"/>
  <c r="DA117" i="1"/>
  <c r="BG126" i="1"/>
  <c r="CS117" i="1"/>
  <c r="DT112" i="1"/>
  <c r="EB120" i="1"/>
  <c r="CY117" i="1"/>
  <c r="DU120" i="1"/>
  <c r="DW120" i="1"/>
  <c r="CX117" i="1"/>
  <c r="CZ117" i="1"/>
  <c r="DS120" i="1"/>
  <c r="EA112" i="1"/>
  <c r="DY112" i="1"/>
  <c r="DB117" i="1"/>
  <c r="DZ112" i="1"/>
  <c r="CW86" i="1"/>
  <c r="CU86" i="1"/>
  <c r="CV86" i="1"/>
  <c r="CS84" i="1"/>
  <c r="CW84" i="1"/>
  <c r="CT84" i="1"/>
  <c r="CV84" i="1"/>
  <c r="CR84" i="1"/>
  <c r="CU84" i="1"/>
  <c r="CZ86" i="1"/>
  <c r="CY86" i="1"/>
  <c r="J96" i="5"/>
  <c r="EU83" i="1"/>
  <c r="EG92" i="1"/>
  <c r="EJ92" i="1"/>
  <c r="EH92" i="1"/>
  <c r="EI92" i="1"/>
  <c r="DV127" i="1"/>
  <c r="DZ127" i="1"/>
  <c r="DW127" i="1"/>
  <c r="DY127" i="1"/>
  <c r="EA127" i="1"/>
  <c r="DX127" i="1"/>
  <c r="DT127" i="1"/>
  <c r="EB127" i="1"/>
  <c r="DU127" i="1"/>
  <c r="EC127" i="1"/>
  <c r="CX102" i="1"/>
  <c r="DA123" i="1"/>
  <c r="DD123" i="1"/>
  <c r="DB123" i="1"/>
  <c r="DC123" i="1"/>
  <c r="DE123" i="1"/>
  <c r="DO120" i="1" l="1"/>
  <c r="BZ154" i="1"/>
  <c r="BX154" i="1"/>
  <c r="ER110" i="1"/>
  <c r="BY154" i="1"/>
  <c r="BV154" i="1"/>
  <c r="BK140" i="1"/>
  <c r="BW154" i="1"/>
  <c r="BJ140" i="1"/>
  <c r="CW123" i="1"/>
  <c r="BB126" i="1"/>
  <c r="BV129" i="1"/>
  <c r="CL117" i="1"/>
  <c r="CA117" i="1"/>
  <c r="BC126" i="1"/>
  <c r="AZ126" i="1"/>
  <c r="BY129" i="1"/>
  <c r="CG117" i="1"/>
  <c r="BW129" i="1"/>
  <c r="CM117" i="1"/>
  <c r="CB117" i="1"/>
  <c r="BL140" i="1"/>
  <c r="CV123" i="1"/>
  <c r="BD126" i="1"/>
  <c r="BZ129" i="1"/>
  <c r="BM140" i="1"/>
  <c r="BX129" i="1"/>
  <c r="CC117" i="1"/>
  <c r="CA129" i="1"/>
  <c r="CI117" i="1"/>
  <c r="CF117" i="1"/>
  <c r="CH117" i="1"/>
  <c r="EN110" i="1"/>
  <c r="DI120" i="1"/>
  <c r="DS112" i="1"/>
  <c r="CE117" i="1"/>
  <c r="DF120" i="1"/>
  <c r="EM110" i="1"/>
  <c r="CJ117" i="1"/>
  <c r="BZ117" i="1"/>
  <c r="EP110" i="1"/>
  <c r="CK117" i="1"/>
  <c r="DR112" i="1"/>
  <c r="DK120" i="1"/>
  <c r="DP120" i="1"/>
  <c r="DJ120" i="1"/>
  <c r="EU110" i="1"/>
  <c r="BA126" i="1"/>
  <c r="BU129" i="1"/>
  <c r="DG120" i="1"/>
  <c r="CD117" i="1"/>
  <c r="DQ120" i="1"/>
  <c r="DM120" i="1"/>
  <c r="DN112" i="1"/>
  <c r="DO112" i="1"/>
  <c r="DQ112" i="1"/>
  <c r="DL112" i="1"/>
  <c r="DL120" i="1"/>
  <c r="EO110" i="1"/>
  <c r="DH120" i="1"/>
  <c r="ET110" i="1"/>
  <c r="DN120" i="1"/>
  <c r="DP112" i="1"/>
  <c r="ES110" i="1"/>
  <c r="DM112" i="1"/>
  <c r="EQ110" i="1"/>
  <c r="CT86" i="1"/>
  <c r="CN86" i="1"/>
  <c r="CQ86" i="1"/>
  <c r="CO86" i="1"/>
  <c r="CR86" i="1"/>
  <c r="CS86" i="1"/>
  <c r="CP86" i="1"/>
  <c r="CP84" i="1"/>
  <c r="CQ84" i="1"/>
  <c r="CN84" i="1"/>
  <c r="CK84" i="1"/>
  <c r="CM84" i="1"/>
  <c r="CL84" i="1"/>
  <c r="CO84" i="1"/>
  <c r="J97" i="5"/>
  <c r="EO83" i="1"/>
  <c r="EP83" i="1"/>
  <c r="EQ83" i="1"/>
  <c r="ER83" i="1"/>
  <c r="ES83" i="1"/>
  <c r="EF92" i="1"/>
  <c r="ET83" i="1"/>
  <c r="ED92" i="1"/>
  <c r="EE92" i="1"/>
  <c r="EM83" i="1"/>
  <c r="EN83" i="1"/>
  <c r="DQ127" i="1"/>
  <c r="DN127" i="1"/>
  <c r="DK127" i="1"/>
  <c r="DO127" i="1"/>
  <c r="DR127" i="1"/>
  <c r="DS127" i="1"/>
  <c r="DI127" i="1"/>
  <c r="DP127" i="1"/>
  <c r="DL127" i="1"/>
  <c r="DJ127" i="1"/>
  <c r="DM127" i="1"/>
  <c r="CY123" i="1"/>
  <c r="CX123" i="1"/>
  <c r="CZ123" i="1"/>
  <c r="BR154" i="1" l="1"/>
  <c r="CW120" i="1"/>
  <c r="BS154" i="1"/>
  <c r="BT154" i="1"/>
  <c r="BG140" i="1"/>
  <c r="CU120" i="1"/>
  <c r="BU154" i="1"/>
  <c r="CV120" i="1"/>
  <c r="BH140" i="1"/>
  <c r="CR123" i="1"/>
  <c r="BS117" i="1"/>
  <c r="BP117" i="1"/>
  <c r="CU123" i="1"/>
  <c r="BQ129" i="1"/>
  <c r="BV117" i="1"/>
  <c r="CS123" i="1"/>
  <c r="BT117" i="1"/>
  <c r="BF140" i="1"/>
  <c r="BR129" i="1"/>
  <c r="CQ123" i="1"/>
  <c r="CT123" i="1"/>
  <c r="BU117" i="1"/>
  <c r="BI140" i="1"/>
  <c r="BN129" i="1"/>
  <c r="BS129" i="1"/>
  <c r="BX117" i="1"/>
  <c r="BM117" i="1"/>
  <c r="BY117" i="1"/>
  <c r="BN117" i="1"/>
  <c r="DK112" i="1"/>
  <c r="BO129" i="1"/>
  <c r="BR117" i="1"/>
  <c r="DD120" i="1"/>
  <c r="BP129" i="1"/>
  <c r="BO117" i="1"/>
  <c r="BK117" i="1"/>
  <c r="DC120" i="1"/>
  <c r="CX120" i="1"/>
  <c r="DE120" i="1"/>
  <c r="BT129" i="1"/>
  <c r="BL117" i="1"/>
  <c r="BW117" i="1"/>
  <c r="DB120" i="1"/>
  <c r="BQ117" i="1"/>
  <c r="EL110" i="1"/>
  <c r="EG110" i="1"/>
  <c r="EI110" i="1"/>
  <c r="DF112" i="1"/>
  <c r="ED110" i="1"/>
  <c r="DG112" i="1"/>
  <c r="DA120" i="1"/>
  <c r="EH110" i="1"/>
  <c r="DI112" i="1"/>
  <c r="CY120" i="1"/>
  <c r="EC110" i="1"/>
  <c r="DE112" i="1"/>
  <c r="EF110" i="1"/>
  <c r="DC112" i="1"/>
  <c r="DJ112" i="1"/>
  <c r="EJ110" i="1"/>
  <c r="EE110" i="1"/>
  <c r="DH112" i="1"/>
  <c r="CZ120" i="1"/>
  <c r="EK110" i="1"/>
  <c r="DD112" i="1"/>
  <c r="CI86" i="1"/>
  <c r="CL86" i="1"/>
  <c r="CJ86" i="1"/>
  <c r="CM86" i="1"/>
  <c r="CH86" i="1"/>
  <c r="CK86" i="1"/>
  <c r="CH84" i="1"/>
  <c r="CG84" i="1"/>
  <c r="CI84" i="1"/>
  <c r="CJ84" i="1"/>
  <c r="CE84" i="1"/>
  <c r="CF84" i="1"/>
  <c r="DR108" i="1"/>
  <c r="DM142" i="1"/>
  <c r="EC142" i="1"/>
  <c r="ES142" i="1"/>
  <c r="DS142" i="1"/>
  <c r="CY108" i="1"/>
  <c r="DV142" i="1"/>
  <c r="EG83" i="1"/>
  <c r="EA108" i="1"/>
  <c r="DN142" i="1"/>
  <c r="ED142" i="1"/>
  <c r="ET142" i="1"/>
  <c r="DI142" i="1"/>
  <c r="ED108" i="1"/>
  <c r="DO142" i="1"/>
  <c r="EE142" i="1"/>
  <c r="EU142" i="1"/>
  <c r="DC142" i="1"/>
  <c r="EL142" i="1"/>
  <c r="DG142" i="1"/>
  <c r="EO142" i="1"/>
  <c r="EE108" i="1"/>
  <c r="DP142" i="1"/>
  <c r="EF142" i="1"/>
  <c r="EQ108" i="1"/>
  <c r="DW142" i="1"/>
  <c r="EP142" i="1"/>
  <c r="EF108" i="1"/>
  <c r="DQ142" i="1"/>
  <c r="EG142" i="1"/>
  <c r="EI142" i="1"/>
  <c r="CZ108" i="1"/>
  <c r="EM142" i="1"/>
  <c r="ER142" i="1"/>
  <c r="EH108" i="1"/>
  <c r="DR142" i="1"/>
  <c r="EH142" i="1"/>
  <c r="DJ142" i="1"/>
  <c r="ET108" i="1"/>
  <c r="DD142" i="1"/>
  <c r="DT142" i="1"/>
  <c r="EJ142" i="1"/>
  <c r="DY142" i="1"/>
  <c r="CX108" i="1"/>
  <c r="EU108" i="1"/>
  <c r="DE142" i="1"/>
  <c r="DU142" i="1"/>
  <c r="EK142" i="1"/>
  <c r="DF142" i="1"/>
  <c r="DB108" i="1"/>
  <c r="DH142" i="1"/>
  <c r="DX142" i="1"/>
  <c r="EN142" i="1"/>
  <c r="DK108" i="1"/>
  <c r="DN108" i="1"/>
  <c r="DZ142" i="1"/>
  <c r="EB142" i="1"/>
  <c r="DO108" i="1"/>
  <c r="DK142" i="1"/>
  <c r="EA142" i="1"/>
  <c r="EQ142" i="1"/>
  <c r="DP108" i="1"/>
  <c r="DL142" i="1"/>
  <c r="EI108" i="1"/>
  <c r="EA92" i="1"/>
  <c r="EC108" i="1"/>
  <c r="EK83" i="1"/>
  <c r="DH108" i="1"/>
  <c r="ES108" i="1"/>
  <c r="EB92" i="1"/>
  <c r="DB127" i="1"/>
  <c r="DL108" i="1"/>
  <c r="EC92" i="1"/>
  <c r="J98" i="5"/>
  <c r="DD108" i="1"/>
  <c r="DX108" i="1"/>
  <c r="EF83" i="1"/>
  <c r="DT108" i="1"/>
  <c r="EN108" i="1"/>
  <c r="EH83" i="1"/>
  <c r="DG127" i="1"/>
  <c r="DA108" i="1"/>
  <c r="EL108" i="1"/>
  <c r="EJ108" i="1"/>
  <c r="CY127" i="1"/>
  <c r="DE108" i="1"/>
  <c r="EG108" i="1"/>
  <c r="DG108" i="1"/>
  <c r="EL83" i="1"/>
  <c r="DI108" i="1"/>
  <c r="DQ108" i="1"/>
  <c r="DY108" i="1"/>
  <c r="EK108" i="1"/>
  <c r="DC127" i="1"/>
  <c r="EJ83" i="1"/>
  <c r="DU108" i="1"/>
  <c r="EO108" i="1"/>
  <c r="EI83" i="1"/>
  <c r="DH127" i="1"/>
  <c r="DD127" i="1"/>
  <c r="DJ108" i="1"/>
  <c r="EB108" i="1"/>
  <c r="DF108" i="1"/>
  <c r="DZ108" i="1"/>
  <c r="DE127" i="1"/>
  <c r="CZ127" i="1"/>
  <c r="DV108" i="1"/>
  <c r="EP108" i="1"/>
  <c r="DC108" i="1"/>
  <c r="DW108" i="1"/>
  <c r="ER108" i="1"/>
  <c r="DS108" i="1"/>
  <c r="EM108" i="1"/>
  <c r="DM108" i="1"/>
  <c r="DF127" i="1"/>
  <c r="DA127" i="1"/>
  <c r="BO154" i="1" l="1"/>
  <c r="CT120" i="1"/>
  <c r="CN120" i="1"/>
  <c r="CL120" i="1"/>
  <c r="BN154" i="1"/>
  <c r="CS120" i="1"/>
  <c r="CM120" i="1"/>
  <c r="CU112" i="1"/>
  <c r="CJ120" i="1"/>
  <c r="CO127" i="1"/>
  <c r="BE140" i="1"/>
  <c r="CO120" i="1"/>
  <c r="CR127" i="1"/>
  <c r="CK120" i="1"/>
  <c r="BP154" i="1"/>
  <c r="CP120" i="1"/>
  <c r="CV112" i="1"/>
  <c r="CS127" i="1"/>
  <c r="CQ120" i="1"/>
  <c r="CN127" i="1"/>
  <c r="CV127" i="1"/>
  <c r="BD140" i="1"/>
  <c r="BQ154" i="1"/>
  <c r="CI120" i="1"/>
  <c r="CR120" i="1"/>
  <c r="CW112" i="1"/>
  <c r="CW127" i="1"/>
  <c r="CT127" i="1"/>
  <c r="BB140" i="1"/>
  <c r="CU127" i="1"/>
  <c r="CL123" i="1"/>
  <c r="BK129" i="1"/>
  <c r="BH117" i="1"/>
  <c r="CM123" i="1"/>
  <c r="BF129" i="1"/>
  <c r="BC117" i="1"/>
  <c r="CP123" i="1"/>
  <c r="CP127" i="1"/>
  <c r="BL129" i="1"/>
  <c r="BA117" i="1"/>
  <c r="BI117" i="1"/>
  <c r="CQ127" i="1"/>
  <c r="CN123" i="1"/>
  <c r="BM129" i="1"/>
  <c r="BG129" i="1"/>
  <c r="CK123" i="1"/>
  <c r="BB117" i="1"/>
  <c r="BJ117" i="1"/>
  <c r="BC140" i="1"/>
  <c r="CO123" i="1"/>
  <c r="BH129" i="1"/>
  <c r="BE117" i="1"/>
  <c r="BI129" i="1"/>
  <c r="BJ129" i="1"/>
  <c r="BD117" i="1"/>
  <c r="AZ117" i="1"/>
  <c r="BF117" i="1"/>
  <c r="BG117" i="1"/>
  <c r="DU110" i="1"/>
  <c r="DV110" i="1"/>
  <c r="DX110" i="1"/>
  <c r="DB112" i="1"/>
  <c r="DT110" i="1"/>
  <c r="DW110" i="1"/>
  <c r="CZ112" i="1"/>
  <c r="EA110" i="1"/>
  <c r="DY110" i="1"/>
  <c r="CX112" i="1"/>
  <c r="DZ110" i="1"/>
  <c r="EB110" i="1"/>
  <c r="DA112" i="1"/>
  <c r="CY112" i="1"/>
  <c r="CD86" i="1"/>
  <c r="CG86" i="1"/>
  <c r="CE86" i="1"/>
  <c r="CB86" i="1"/>
  <c r="CC86" i="1"/>
  <c r="CF86" i="1"/>
  <c r="CC84" i="1"/>
  <c r="BZ84" i="1"/>
  <c r="CA84" i="1"/>
  <c r="BX84" i="1"/>
  <c r="CB84" i="1"/>
  <c r="CD84" i="1"/>
  <c r="BY84" i="1"/>
  <c r="EC136" i="1"/>
  <c r="EE83" i="1"/>
  <c r="EK136" i="1"/>
  <c r="EJ134" i="1"/>
  <c r="DO134" i="1"/>
  <c r="ED134" i="1"/>
  <c r="EF136" i="1"/>
  <c r="ES136" i="1"/>
  <c r="DW134" i="1"/>
  <c r="EB134" i="1"/>
  <c r="ER136" i="1"/>
  <c r="EB136" i="1"/>
  <c r="EQ136" i="1"/>
  <c r="ES134" i="1"/>
  <c r="DX83" i="1"/>
  <c r="DY92" i="1"/>
  <c r="EO134" i="1"/>
  <c r="ET134" i="1"/>
  <c r="DS134" i="1"/>
  <c r="DV134" i="1"/>
  <c r="ED83" i="1"/>
  <c r="DR134" i="1"/>
  <c r="EG136" i="1"/>
  <c r="EL136" i="1"/>
  <c r="EK134" i="1"/>
  <c r="CX127" i="1"/>
  <c r="J99" i="5"/>
  <c r="EH134" i="1"/>
  <c r="DX134" i="1"/>
  <c r="CY142" i="1"/>
  <c r="EU136" i="1"/>
  <c r="EE136" i="1"/>
  <c r="ED136" i="1"/>
  <c r="EP134" i="1"/>
  <c r="EC134" i="1"/>
  <c r="DU134" i="1"/>
  <c r="CX142" i="1"/>
  <c r="EG134" i="1"/>
  <c r="ET136" i="1"/>
  <c r="EH136" i="1"/>
  <c r="EU134" i="1"/>
  <c r="EM134" i="1"/>
  <c r="EM136" i="1"/>
  <c r="CZ142" i="1"/>
  <c r="DP134" i="1"/>
  <c r="DT134" i="1"/>
  <c r="DY134" i="1"/>
  <c r="DZ92" i="1"/>
  <c r="DY83" i="1"/>
  <c r="EQ134" i="1"/>
  <c r="EN136" i="1"/>
  <c r="EI134" i="1"/>
  <c r="EA83" i="1"/>
  <c r="EP136" i="1"/>
  <c r="DZ83" i="1"/>
  <c r="EI136" i="1"/>
  <c r="DA142" i="1"/>
  <c r="EF134" i="1"/>
  <c r="DW92" i="1"/>
  <c r="EA134" i="1"/>
  <c r="EE134" i="1"/>
  <c r="EJ136" i="1"/>
  <c r="DX92" i="1"/>
  <c r="EB83" i="1"/>
  <c r="DZ134" i="1"/>
  <c r="EO136" i="1"/>
  <c r="EL134" i="1"/>
  <c r="DQ134" i="1"/>
  <c r="EC83" i="1"/>
  <c r="ER134" i="1"/>
  <c r="DB142" i="1"/>
  <c r="EN134" i="1"/>
  <c r="BM154" i="1" l="1"/>
  <c r="CA120" i="1"/>
  <c r="CT112" i="1"/>
  <c r="CN112" i="1"/>
  <c r="CB120" i="1"/>
  <c r="CO112" i="1"/>
  <c r="BJ154" i="1"/>
  <c r="CF120" i="1"/>
  <c r="BX120" i="1"/>
  <c r="CG127" i="1"/>
  <c r="CD127" i="1"/>
  <c r="AZ140" i="1"/>
  <c r="CQ112" i="1"/>
  <c r="CJ127" i="1"/>
  <c r="BK154" i="1"/>
  <c r="CC120" i="1"/>
  <c r="CG120" i="1"/>
  <c r="BY120" i="1"/>
  <c r="CR112" i="1"/>
  <c r="BL154" i="1"/>
  <c r="CD120" i="1"/>
  <c r="CH120" i="1"/>
  <c r="BZ120" i="1"/>
  <c r="CP112" i="1"/>
  <c r="CK127" i="1"/>
  <c r="BA140" i="1"/>
  <c r="CS112" i="1"/>
  <c r="CM112" i="1"/>
  <c r="BI154" i="1"/>
  <c r="CE120" i="1"/>
  <c r="BW120" i="1"/>
  <c r="CL127" i="1"/>
  <c r="BC129" i="1"/>
  <c r="CE127" i="1"/>
  <c r="CG123" i="1"/>
  <c r="CH127" i="1"/>
  <c r="CF127" i="1"/>
  <c r="CJ123" i="1"/>
  <c r="CI127" i="1"/>
  <c r="BD129" i="1"/>
  <c r="CH123" i="1"/>
  <c r="CL112" i="1"/>
  <c r="CF123" i="1"/>
  <c r="AZ129" i="1"/>
  <c r="BE129" i="1"/>
  <c r="CM127" i="1"/>
  <c r="CI123" i="1"/>
  <c r="BA129" i="1"/>
  <c r="BB129" i="1"/>
  <c r="DS110" i="1"/>
  <c r="DJ110" i="1"/>
  <c r="BX86" i="1"/>
  <c r="DM110" i="1"/>
  <c r="CA86" i="1"/>
  <c r="DQ110" i="1"/>
  <c r="DN110" i="1"/>
  <c r="BV86" i="1"/>
  <c r="BY86" i="1"/>
  <c r="BW86" i="1"/>
  <c r="DP110" i="1"/>
  <c r="DO110" i="1"/>
  <c r="BZ86" i="1"/>
  <c r="DL110" i="1"/>
  <c r="DR110" i="1"/>
  <c r="DK110" i="1"/>
  <c r="BT84" i="1"/>
  <c r="BR84" i="1"/>
  <c r="BS84" i="1"/>
  <c r="BU84" i="1"/>
  <c r="BV84" i="1"/>
  <c r="BW84" i="1"/>
  <c r="DU83" i="1"/>
  <c r="DE136" i="1"/>
  <c r="DJ136" i="1"/>
  <c r="DD134" i="1"/>
  <c r="DV83" i="1"/>
  <c r="DA136" i="1"/>
  <c r="DW136" i="1"/>
  <c r="DC134" i="1"/>
  <c r="DA134" i="1"/>
  <c r="DK134" i="1"/>
  <c r="DK136" i="1"/>
  <c r="DX136" i="1"/>
  <c r="DP136" i="1"/>
  <c r="CZ136" i="1"/>
  <c r="DU136" i="1"/>
  <c r="CZ134" i="1"/>
  <c r="CX136" i="1"/>
  <c r="DH136" i="1"/>
  <c r="DN136" i="1"/>
  <c r="DZ136" i="1"/>
  <c r="DD136" i="1"/>
  <c r="DV136" i="1"/>
  <c r="DI136" i="1"/>
  <c r="DM134" i="1"/>
  <c r="DY136" i="1"/>
  <c r="DP83" i="1"/>
  <c r="DR83" i="1"/>
  <c r="DV92" i="1"/>
  <c r="DM136" i="1"/>
  <c r="DF134" i="1"/>
  <c r="DH134" i="1"/>
  <c r="DC136" i="1"/>
  <c r="DW83" i="1"/>
  <c r="DB134" i="1"/>
  <c r="CX134" i="1"/>
  <c r="DF136" i="1"/>
  <c r="DT92" i="1"/>
  <c r="DQ136" i="1"/>
  <c r="CY134" i="1"/>
  <c r="DR136" i="1"/>
  <c r="DQ83" i="1"/>
  <c r="DG136" i="1"/>
  <c r="DI134" i="1"/>
  <c r="DS83" i="1"/>
  <c r="DO136" i="1"/>
  <c r="DG134" i="1"/>
  <c r="EA136" i="1"/>
  <c r="J100" i="5"/>
  <c r="DS136" i="1"/>
  <c r="DL134" i="1"/>
  <c r="DN134" i="1"/>
  <c r="CY136" i="1"/>
  <c r="DJ134" i="1"/>
  <c r="DL136" i="1"/>
  <c r="DU92" i="1"/>
  <c r="DB136" i="1"/>
  <c r="DT83" i="1"/>
  <c r="DE134" i="1"/>
  <c r="DT136" i="1"/>
  <c r="BG154" i="1" l="1"/>
  <c r="BP120" i="1"/>
  <c r="BU120" i="1"/>
  <c r="BE154" i="1"/>
  <c r="BN120" i="1"/>
  <c r="BS120" i="1"/>
  <c r="BF154" i="1"/>
  <c r="BO120" i="1"/>
  <c r="BT120" i="1"/>
  <c r="CG112" i="1"/>
  <c r="BL120" i="1"/>
  <c r="CD112" i="1"/>
  <c r="BV127" i="1"/>
  <c r="CK112" i="1"/>
  <c r="BY127" i="1"/>
  <c r="CE112" i="1"/>
  <c r="CH112" i="1"/>
  <c r="BM120" i="1"/>
  <c r="BQ120" i="1"/>
  <c r="BH154" i="1"/>
  <c r="BV120" i="1"/>
  <c r="CI112" i="1"/>
  <c r="BZ127" i="1"/>
  <c r="BR120" i="1"/>
  <c r="CF112" i="1"/>
  <c r="BU127" i="1"/>
  <c r="CC127" i="1"/>
  <c r="CJ112" i="1"/>
  <c r="CA127" i="1"/>
  <c r="BW127" i="1"/>
  <c r="BX127" i="1"/>
  <c r="CB123" i="1"/>
  <c r="CE123" i="1"/>
  <c r="EM121" i="1"/>
  <c r="EU121" i="1"/>
  <c r="BT127" i="1"/>
  <c r="CC123" i="1"/>
  <c r="CB127" i="1"/>
  <c r="CA123" i="1"/>
  <c r="CD123" i="1"/>
  <c r="EI121" i="1"/>
  <c r="EK121" i="1"/>
  <c r="ER121" i="1"/>
  <c r="EQ121" i="1"/>
  <c r="EJ121" i="1"/>
  <c r="EN121" i="1"/>
  <c r="EP121" i="1"/>
  <c r="ET121" i="1"/>
  <c r="EG121" i="1"/>
  <c r="EH121" i="1"/>
  <c r="EL121" i="1"/>
  <c r="EO121" i="1"/>
  <c r="ES121" i="1"/>
  <c r="BP86" i="1"/>
  <c r="BU86" i="1"/>
  <c r="BS86" i="1"/>
  <c r="BQ86" i="1"/>
  <c r="BT86" i="1"/>
  <c r="BR86" i="1"/>
  <c r="BL84" i="1"/>
  <c r="DG110" i="1"/>
  <c r="DC110" i="1"/>
  <c r="DE110" i="1"/>
  <c r="DF110" i="1"/>
  <c r="BK84" i="1"/>
  <c r="DH110" i="1"/>
  <c r="BM84" i="1"/>
  <c r="BO84" i="1"/>
  <c r="BN84" i="1"/>
  <c r="DD110" i="1"/>
  <c r="DA110" i="1"/>
  <c r="DI110" i="1"/>
  <c r="BP84" i="1"/>
  <c r="BQ84" i="1"/>
  <c r="CZ110" i="1"/>
  <c r="DB110" i="1"/>
  <c r="DD92" i="1"/>
  <c r="DE92" i="1"/>
  <c r="DC92" i="1"/>
  <c r="J101" i="5"/>
  <c r="EQ139" i="1"/>
  <c r="DJ83" i="1"/>
  <c r="DK83" i="1"/>
  <c r="DL83" i="1"/>
  <c r="ES139" i="1"/>
  <c r="EO139" i="1"/>
  <c r="DM83" i="1"/>
  <c r="ER139" i="1"/>
  <c r="DN83" i="1"/>
  <c r="DP92" i="1"/>
  <c r="DO83" i="1"/>
  <c r="ET139" i="1"/>
  <c r="DQ92" i="1"/>
  <c r="EP139" i="1"/>
  <c r="DR92" i="1"/>
  <c r="DS92" i="1"/>
  <c r="DI83" i="1"/>
  <c r="EU139" i="1"/>
  <c r="CC146" i="1" l="1"/>
  <c r="CV146" i="1"/>
  <c r="CH146" i="1"/>
  <c r="BD146" i="1"/>
  <c r="BW146" i="1"/>
  <c r="CP146" i="1"/>
  <c r="BL146" i="1"/>
  <c r="BM146" i="1"/>
  <c r="CF146" i="1"/>
  <c r="BR146" i="1"/>
  <c r="CK146" i="1"/>
  <c r="BG146" i="1"/>
  <c r="BZ146" i="1"/>
  <c r="BA154" i="1"/>
  <c r="BB120" i="1"/>
  <c r="BJ120" i="1"/>
  <c r="EC121" i="1"/>
  <c r="CT146" i="1"/>
  <c r="BP146" i="1"/>
  <c r="BB146" i="1"/>
  <c r="BU146" i="1"/>
  <c r="CN146" i="1"/>
  <c r="BJ146" i="1"/>
  <c r="CD146" i="1"/>
  <c r="AZ146" i="1"/>
  <c r="CI146" i="1"/>
  <c r="BE146" i="1"/>
  <c r="BX146" i="1"/>
  <c r="CQ146" i="1"/>
  <c r="BH120" i="1"/>
  <c r="CA112" i="1"/>
  <c r="CU146" i="1"/>
  <c r="CG146" i="1"/>
  <c r="BC146" i="1"/>
  <c r="BV146" i="1"/>
  <c r="CO146" i="1"/>
  <c r="BK146" i="1"/>
  <c r="CE146" i="1"/>
  <c r="BQ146" i="1"/>
  <c r="CJ146" i="1"/>
  <c r="BF146" i="1"/>
  <c r="BY146" i="1"/>
  <c r="CR146" i="1"/>
  <c r="BA120" i="1"/>
  <c r="BI120" i="1"/>
  <c r="CB112" i="1"/>
  <c r="BV112" i="1"/>
  <c r="CS146" i="1"/>
  <c r="CM146" i="1"/>
  <c r="BB154" i="1"/>
  <c r="BX112" i="1"/>
  <c r="BK127" i="1"/>
  <c r="BN146" i="1"/>
  <c r="BH146" i="1"/>
  <c r="AZ120" i="1"/>
  <c r="BD120" i="1"/>
  <c r="CR110" i="1"/>
  <c r="BQ127" i="1"/>
  <c r="BN127" i="1"/>
  <c r="BO146" i="1"/>
  <c r="BI146" i="1"/>
  <c r="BY112" i="1"/>
  <c r="CW110" i="1"/>
  <c r="CW146" i="1"/>
  <c r="CA146" i="1"/>
  <c r="BC154" i="1"/>
  <c r="BE120" i="1"/>
  <c r="BA146" i="1"/>
  <c r="CB146" i="1"/>
  <c r="CU110" i="1"/>
  <c r="CS110" i="1"/>
  <c r="BR127" i="1"/>
  <c r="BO127" i="1"/>
  <c r="BS146" i="1"/>
  <c r="BD154" i="1"/>
  <c r="BF120" i="1"/>
  <c r="BZ112" i="1"/>
  <c r="BJ127" i="1"/>
  <c r="BT146" i="1"/>
  <c r="BK120" i="1"/>
  <c r="CC112" i="1"/>
  <c r="BW112" i="1"/>
  <c r="CQ110" i="1"/>
  <c r="CL146" i="1"/>
  <c r="BC120" i="1"/>
  <c r="BG120" i="1"/>
  <c r="CV110" i="1"/>
  <c r="CT110" i="1"/>
  <c r="BS127" i="1"/>
  <c r="BP127" i="1"/>
  <c r="BY123" i="1"/>
  <c r="BV123" i="1"/>
  <c r="BI127" i="1"/>
  <c r="BW123" i="1"/>
  <c r="BZ123" i="1"/>
  <c r="BX123" i="1"/>
  <c r="BL127" i="1"/>
  <c r="CP110" i="1"/>
  <c r="BM127" i="1"/>
  <c r="DL121" i="1"/>
  <c r="ED121" i="1"/>
  <c r="DP121" i="1"/>
  <c r="DS121" i="1"/>
  <c r="EE121" i="1"/>
  <c r="DX121" i="1"/>
  <c r="DN121" i="1"/>
  <c r="EF121" i="1"/>
  <c r="DQ121" i="1"/>
  <c r="DW121" i="1"/>
  <c r="DK121" i="1"/>
  <c r="DZ121" i="1"/>
  <c r="DY121" i="1"/>
  <c r="DV121" i="1"/>
  <c r="DT121" i="1"/>
  <c r="EA121" i="1"/>
  <c r="DO121" i="1"/>
  <c r="DR121" i="1"/>
  <c r="DJ121" i="1"/>
  <c r="EB121" i="1"/>
  <c r="DM121" i="1"/>
  <c r="DU121" i="1"/>
  <c r="BJ86" i="1"/>
  <c r="BN86" i="1"/>
  <c r="BK86" i="1"/>
  <c r="BO86" i="1"/>
  <c r="BL86" i="1"/>
  <c r="BM86" i="1"/>
  <c r="BE84" i="1"/>
  <c r="BF84" i="1"/>
  <c r="BG84" i="1"/>
  <c r="BH84" i="1"/>
  <c r="BJ84" i="1"/>
  <c r="BI84" i="1"/>
  <c r="CX110" i="1"/>
  <c r="CY110" i="1"/>
  <c r="DA92" i="1"/>
  <c r="CZ92" i="1"/>
  <c r="DB92" i="1"/>
  <c r="ET146" i="1"/>
  <c r="DQ146" i="1"/>
  <c r="EK146" i="1"/>
  <c r="EL146" i="1"/>
  <c r="EN146" i="1"/>
  <c r="DL146" i="1"/>
  <c r="EJ146" i="1"/>
  <c r="CX146" i="1"/>
  <c r="J102" i="5"/>
  <c r="DR146" i="1"/>
  <c r="EG146" i="1"/>
  <c r="DA83" i="1"/>
  <c r="EL128" i="1"/>
  <c r="DZ146" i="1"/>
  <c r="EN139" i="1"/>
  <c r="DD83" i="1"/>
  <c r="EJ128" i="1"/>
  <c r="ES128" i="1"/>
  <c r="EH139" i="1"/>
  <c r="CZ146" i="1"/>
  <c r="DT146" i="1"/>
  <c r="DJ146" i="1"/>
  <c r="DE83" i="1"/>
  <c r="EK139" i="1"/>
  <c r="EO146" i="1"/>
  <c r="DH83" i="1"/>
  <c r="EE146" i="1"/>
  <c r="EO128" i="1"/>
  <c r="DE146" i="1"/>
  <c r="EU146" i="1"/>
  <c r="EM128" i="1"/>
  <c r="DB146" i="1"/>
  <c r="DY146" i="1"/>
  <c r="DG146" i="1"/>
  <c r="DA146" i="1"/>
  <c r="EF146" i="1"/>
  <c r="ET128" i="1"/>
  <c r="DD146" i="1"/>
  <c r="EM139" i="1"/>
  <c r="EA146" i="1"/>
  <c r="DK146" i="1"/>
  <c r="DI146" i="1"/>
  <c r="EP128" i="1"/>
  <c r="DF83" i="1"/>
  <c r="DM92" i="1"/>
  <c r="EH146" i="1"/>
  <c r="DU146" i="1"/>
  <c r="DW146" i="1"/>
  <c r="EU128" i="1"/>
  <c r="EP146" i="1"/>
  <c r="EK128" i="1"/>
  <c r="DO146" i="1"/>
  <c r="DB83" i="1"/>
  <c r="EN128" i="1"/>
  <c r="DP146" i="1"/>
  <c r="EJ139" i="1"/>
  <c r="ER128" i="1"/>
  <c r="EI146" i="1"/>
  <c r="ED146" i="1"/>
  <c r="DX146" i="1"/>
  <c r="EQ128" i="1"/>
  <c r="DN92" i="1"/>
  <c r="EI128" i="1"/>
  <c r="EM146" i="1"/>
  <c r="EB146" i="1"/>
  <c r="DM146" i="1"/>
  <c r="ES146" i="1"/>
  <c r="DC146" i="1"/>
  <c r="DG83" i="1"/>
  <c r="EL139" i="1"/>
  <c r="EQ146" i="1"/>
  <c r="DV146" i="1"/>
  <c r="DO92" i="1"/>
  <c r="EC146" i="1"/>
  <c r="DC83" i="1"/>
  <c r="CY146" i="1"/>
  <c r="DF146" i="1"/>
  <c r="DN146" i="1"/>
  <c r="DS146" i="1"/>
  <c r="DH146" i="1"/>
  <c r="EI139" i="1"/>
  <c r="ER146" i="1"/>
  <c r="CV92" i="1" l="1"/>
  <c r="CR121" i="1"/>
  <c r="CW121" i="1"/>
  <c r="CU121" i="1"/>
  <c r="CO121" i="1"/>
  <c r="BP112" i="1"/>
  <c r="BU112" i="1"/>
  <c r="CK110" i="1"/>
  <c r="CV121" i="1"/>
  <c r="CP121" i="1"/>
  <c r="CQ121" i="1"/>
  <c r="BQ112" i="1"/>
  <c r="CI110" i="1"/>
  <c r="CL110" i="1"/>
  <c r="CO110" i="1"/>
  <c r="BC127" i="1"/>
  <c r="AZ127" i="1"/>
  <c r="BN112" i="1"/>
  <c r="BF127" i="1"/>
  <c r="CS121" i="1"/>
  <c r="BO112" i="1"/>
  <c r="BR112" i="1"/>
  <c r="CT121" i="1"/>
  <c r="CN121" i="1"/>
  <c r="AZ154" i="1"/>
  <c r="BG127" i="1"/>
  <c r="BS112" i="1"/>
  <c r="CN110" i="1"/>
  <c r="BB127" i="1"/>
  <c r="CH110" i="1"/>
  <c r="BM112" i="1"/>
  <c r="BT112" i="1"/>
  <c r="BH127" i="1"/>
  <c r="BS123" i="1"/>
  <c r="DI121" i="1"/>
  <c r="BA127" i="1"/>
  <c r="BQ123" i="1"/>
  <c r="BT123" i="1"/>
  <c r="CG110" i="1"/>
  <c r="CJ110" i="1"/>
  <c r="BD127" i="1"/>
  <c r="BR123" i="1"/>
  <c r="CM110" i="1"/>
  <c r="BE127" i="1"/>
  <c r="BU123" i="1"/>
  <c r="DC121" i="1"/>
  <c r="DH121" i="1"/>
  <c r="CZ121" i="1"/>
  <c r="DB121" i="1"/>
  <c r="DG121" i="1"/>
  <c r="DE121" i="1"/>
  <c r="CX121" i="1"/>
  <c r="CY121" i="1"/>
  <c r="DF121" i="1"/>
  <c r="DD121" i="1"/>
  <c r="DA121" i="1"/>
  <c r="CW92" i="1"/>
  <c r="CR83" i="1"/>
  <c r="CW83" i="1"/>
  <c r="BE86" i="1"/>
  <c r="CU83" i="1"/>
  <c r="BH86" i="1"/>
  <c r="CS83" i="1"/>
  <c r="BF86" i="1"/>
  <c r="CV83" i="1"/>
  <c r="BI86" i="1"/>
  <c r="BD86" i="1"/>
  <c r="CT83" i="1"/>
  <c r="BG86" i="1"/>
  <c r="BD84" i="1"/>
  <c r="BB84" i="1"/>
  <c r="BA84" i="1"/>
  <c r="AZ84" i="1"/>
  <c r="BC84" i="1"/>
  <c r="CX92" i="1"/>
  <c r="CY92" i="1"/>
  <c r="EU135" i="1"/>
  <c r="DX128" i="1"/>
  <c r="EG128" i="1"/>
  <c r="DV135" i="1"/>
  <c r="EL135" i="1"/>
  <c r="ES135" i="1"/>
  <c r="EC135" i="1"/>
  <c r="CZ83" i="1"/>
  <c r="ET125" i="1"/>
  <c r="DI135" i="1"/>
  <c r="DL135" i="1"/>
  <c r="EN135" i="1"/>
  <c r="ER135" i="1"/>
  <c r="EB128" i="1"/>
  <c r="ED135" i="1"/>
  <c r="DZ139" i="1"/>
  <c r="CZ135" i="1"/>
  <c r="DT128" i="1"/>
  <c r="DS128" i="1"/>
  <c r="EA135" i="1"/>
  <c r="EB139" i="1"/>
  <c r="DU128" i="1"/>
  <c r="DD135" i="1"/>
  <c r="EG135" i="1"/>
  <c r="EG139" i="1"/>
  <c r="DP135" i="1"/>
  <c r="EE139" i="1"/>
  <c r="DN135" i="1"/>
  <c r="DE135" i="1"/>
  <c r="DH135" i="1"/>
  <c r="ED139" i="1"/>
  <c r="EF135" i="1"/>
  <c r="EH128" i="1"/>
  <c r="EH135" i="1"/>
  <c r="DW135" i="1"/>
  <c r="DW128" i="1"/>
  <c r="EE128" i="1"/>
  <c r="DV128" i="1"/>
  <c r="EK135" i="1"/>
  <c r="DJ92" i="1"/>
  <c r="DM135" i="1"/>
  <c r="DQ135" i="1"/>
  <c r="EO135" i="1"/>
  <c r="DB135" i="1"/>
  <c r="EI135" i="1"/>
  <c r="DJ135" i="1"/>
  <c r="CX135" i="1"/>
  <c r="DF135" i="1"/>
  <c r="CX83" i="1"/>
  <c r="DX135" i="1"/>
  <c r="EU125" i="1"/>
  <c r="EA139" i="1"/>
  <c r="DC135" i="1"/>
  <c r="EC128" i="1"/>
  <c r="CY83" i="1"/>
  <c r="DK92" i="1"/>
  <c r="EB135" i="1"/>
  <c r="DR135" i="1"/>
  <c r="DG135" i="1"/>
  <c r="DZ135" i="1"/>
  <c r="DY128" i="1"/>
  <c r="DY135" i="1"/>
  <c r="DL92" i="1"/>
  <c r="DA135" i="1"/>
  <c r="DK135" i="1"/>
  <c r="EE135" i="1"/>
  <c r="ED128" i="1"/>
  <c r="ET135" i="1"/>
  <c r="EJ135" i="1"/>
  <c r="EM135" i="1"/>
  <c r="DZ128" i="1"/>
  <c r="EF139" i="1"/>
  <c r="EQ135" i="1"/>
  <c r="DT135" i="1"/>
  <c r="EP135" i="1"/>
  <c r="EA128" i="1"/>
  <c r="J103" i="5"/>
  <c r="EF128" i="1"/>
  <c r="DS135" i="1"/>
  <c r="EC139" i="1"/>
  <c r="DU135" i="1"/>
  <c r="CY135" i="1"/>
  <c r="DO135" i="1"/>
  <c r="J104" i="5" l="1"/>
  <c r="CD121" i="1"/>
  <c r="CI121" i="1"/>
  <c r="BX121" i="1"/>
  <c r="BS121" i="1"/>
  <c r="CL121" i="1"/>
  <c r="CB121" i="1"/>
  <c r="CG121" i="1"/>
  <c r="BV121" i="1"/>
  <c r="CE121" i="1"/>
  <c r="CJ121" i="1"/>
  <c r="BY121" i="1"/>
  <c r="BJ112" i="1"/>
  <c r="CF110" i="1"/>
  <c r="CC121" i="1"/>
  <c r="CH121" i="1"/>
  <c r="BW121" i="1"/>
  <c r="CF121" i="1"/>
  <c r="BR121" i="1"/>
  <c r="CK121" i="1"/>
  <c r="BZ121" i="1"/>
  <c r="CD110" i="1"/>
  <c r="BT121" i="1"/>
  <c r="BH112" i="1"/>
  <c r="BY110" i="1"/>
  <c r="CA121" i="1"/>
  <c r="BU121" i="1"/>
  <c r="BK112" i="1"/>
  <c r="BE112" i="1"/>
  <c r="CB110" i="1"/>
  <c r="CM121" i="1"/>
  <c r="BL112" i="1"/>
  <c r="BF112" i="1"/>
  <c r="BW110" i="1"/>
  <c r="BZ110" i="1"/>
  <c r="CE110" i="1"/>
  <c r="CC110" i="1"/>
  <c r="BX110" i="1"/>
  <c r="BG112" i="1"/>
  <c r="CA110" i="1"/>
  <c r="BN123" i="1"/>
  <c r="BL123" i="1"/>
  <c r="BO123" i="1"/>
  <c r="BM123" i="1"/>
  <c r="BI112" i="1"/>
  <c r="BP123" i="1"/>
  <c r="CT92" i="1"/>
  <c r="CU92" i="1"/>
  <c r="CS92" i="1"/>
  <c r="CO83" i="1"/>
  <c r="BB86" i="1"/>
  <c r="AZ86" i="1"/>
  <c r="CM83" i="1"/>
  <c r="CP83" i="1"/>
  <c r="BC86" i="1"/>
  <c r="CK83" i="1"/>
  <c r="CN83" i="1"/>
  <c r="BA86" i="1"/>
  <c r="CQ83" i="1"/>
  <c r="CL83" i="1"/>
  <c r="ET116" i="1"/>
  <c r="EU116" i="1"/>
  <c r="ER116" i="1"/>
  <c r="ES116" i="1"/>
  <c r="EQ116" i="1"/>
  <c r="EQ125" i="1"/>
  <c r="DH92" i="1"/>
  <c r="EE125" i="1"/>
  <c r="EH138" i="1"/>
  <c r="DD128" i="1"/>
  <c r="EG125" i="1"/>
  <c r="DX138" i="1"/>
  <c r="EO125" i="1"/>
  <c r="EC138" i="1"/>
  <c r="DR128" i="1"/>
  <c r="DW139" i="1"/>
  <c r="DT138" i="1"/>
  <c r="DG138" i="1"/>
  <c r="EG138" i="1"/>
  <c r="DI128" i="1"/>
  <c r="DM128" i="1"/>
  <c r="DE128" i="1"/>
  <c r="DF138" i="1"/>
  <c r="DU139" i="1"/>
  <c r="EN138" i="1"/>
  <c r="ES138" i="1"/>
  <c r="EF138" i="1"/>
  <c r="DV138" i="1"/>
  <c r="ED138" i="1"/>
  <c r="DP138" i="1"/>
  <c r="DL138" i="1"/>
  <c r="EB138" i="1"/>
  <c r="ER138" i="1"/>
  <c r="DF92" i="1"/>
  <c r="ET138" i="1"/>
  <c r="EP125" i="1"/>
  <c r="DQ138" i="1"/>
  <c r="DR138" i="1"/>
  <c r="DM138" i="1"/>
  <c r="ED125" i="1"/>
  <c r="EL138" i="1"/>
  <c r="DV139" i="1"/>
  <c r="EM125" i="1"/>
  <c r="DZ138" i="1"/>
  <c r="CX138" i="1"/>
  <c r="DB138" i="1"/>
  <c r="EK138" i="1"/>
  <c r="DL128" i="1"/>
  <c r="DU138" i="1"/>
  <c r="DC138" i="1"/>
  <c r="DO138" i="1"/>
  <c r="DN128" i="1"/>
  <c r="CZ138" i="1"/>
  <c r="DQ128" i="1"/>
  <c r="DI92" i="1"/>
  <c r="EL125" i="1"/>
  <c r="EM138" i="1"/>
  <c r="EC125" i="1"/>
  <c r="DF128" i="1"/>
  <c r="DT139" i="1"/>
  <c r="EJ125" i="1"/>
  <c r="DI138" i="1"/>
  <c r="DK138" i="1"/>
  <c r="DE138" i="1"/>
  <c r="EK125" i="1"/>
  <c r="EO138" i="1"/>
  <c r="EP138" i="1"/>
  <c r="DH138" i="1"/>
  <c r="ES125" i="1"/>
  <c r="DH128" i="1"/>
  <c r="DY138" i="1"/>
  <c r="DJ138" i="1"/>
  <c r="DY139" i="1"/>
  <c r="DG92" i="1"/>
  <c r="DK128" i="1"/>
  <c r="DO128" i="1"/>
  <c r="CY138" i="1"/>
  <c r="DG128" i="1"/>
  <c r="DN138" i="1"/>
  <c r="DA138" i="1"/>
  <c r="EA138" i="1"/>
  <c r="EF125" i="1"/>
  <c r="DS139" i="1"/>
  <c r="EN125" i="1"/>
  <c r="EE138" i="1"/>
  <c r="ER125" i="1"/>
  <c r="DS138" i="1"/>
  <c r="DD138" i="1"/>
  <c r="EI125" i="1"/>
  <c r="EI138" i="1"/>
  <c r="DJ128" i="1"/>
  <c r="DW138" i="1"/>
  <c r="EJ138" i="1"/>
  <c r="EU138" i="1"/>
  <c r="EQ138" i="1"/>
  <c r="DX139" i="1"/>
  <c r="EB125" i="1"/>
  <c r="EH125" i="1"/>
  <c r="DP128" i="1"/>
  <c r="CI137" i="1" l="1"/>
  <c r="BH137" i="1"/>
  <c r="BJ138" i="1"/>
  <c r="BZ148" i="1"/>
  <c r="CS148" i="1"/>
  <c r="BO148" i="1"/>
  <c r="BA148" i="1"/>
  <c r="BT148" i="1"/>
  <c r="CM148" i="1"/>
  <c r="BK121" i="1"/>
  <c r="AZ121" i="1"/>
  <c r="BE121" i="1"/>
  <c r="BZ122" i="1"/>
  <c r="CS122" i="1"/>
  <c r="BO122" i="1"/>
  <c r="BA122" i="1"/>
  <c r="BT122" i="1"/>
  <c r="CM122" i="1"/>
  <c r="DK148" i="1"/>
  <c r="DE147" i="1"/>
  <c r="BS137" i="1"/>
  <c r="BI137" i="1"/>
  <c r="BJ148" i="1"/>
  <c r="CC148" i="1"/>
  <c r="CV148" i="1"/>
  <c r="CH148" i="1"/>
  <c r="BD148" i="1"/>
  <c r="BW148" i="1"/>
  <c r="BN121" i="1"/>
  <c r="BH121" i="1"/>
  <c r="BJ122" i="1"/>
  <c r="CC122" i="1"/>
  <c r="CV122" i="1"/>
  <c r="CH122" i="1"/>
  <c r="BD122" i="1"/>
  <c r="BW122" i="1"/>
  <c r="DQ87" i="1"/>
  <c r="CS137" i="1"/>
  <c r="BT137" i="1"/>
  <c r="BJ137" i="1"/>
  <c r="CG125" i="1"/>
  <c r="CQ148" i="1"/>
  <c r="BM148" i="1"/>
  <c r="CF148" i="1"/>
  <c r="BR148" i="1"/>
  <c r="CK148" i="1"/>
  <c r="BG148" i="1"/>
  <c r="BC121" i="1"/>
  <c r="CQ122" i="1"/>
  <c r="BM122" i="1"/>
  <c r="CF122" i="1"/>
  <c r="BR122" i="1"/>
  <c r="CK122" i="1"/>
  <c r="BG122" i="1"/>
  <c r="DY88" i="1"/>
  <c r="CD137" i="1"/>
  <c r="BU137" i="1"/>
  <c r="CQ137" i="1"/>
  <c r="CA148" i="1"/>
  <c r="CT148" i="1"/>
  <c r="BP148" i="1"/>
  <c r="BB148" i="1"/>
  <c r="BU148" i="1"/>
  <c r="CN148" i="1"/>
  <c r="BL121" i="1"/>
  <c r="BQ121" i="1"/>
  <c r="BF121" i="1"/>
  <c r="CA122" i="1"/>
  <c r="CT122" i="1"/>
  <c r="BP122" i="1"/>
  <c r="BB122" i="1"/>
  <c r="BU122" i="1"/>
  <c r="CN122" i="1"/>
  <c r="CM133" i="1"/>
  <c r="BI133" i="1"/>
  <c r="CB133" i="1"/>
  <c r="CU133" i="1"/>
  <c r="CG133" i="1"/>
  <c r="BC133" i="1"/>
  <c r="CU128" i="1"/>
  <c r="CG128" i="1"/>
  <c r="BC128" i="1"/>
  <c r="BV128" i="1"/>
  <c r="CO128" i="1"/>
  <c r="BK128" i="1"/>
  <c r="CD128" i="1"/>
  <c r="BB112" i="1"/>
  <c r="BR110" i="1"/>
  <c r="BG110" i="1"/>
  <c r="EP122" i="1"/>
  <c r="EH155" i="1"/>
  <c r="EL93" i="1"/>
  <c r="AZ137" i="1"/>
  <c r="BF137" i="1"/>
  <c r="CB137" i="1"/>
  <c r="BO138" i="1"/>
  <c r="BY148" i="1"/>
  <c r="CR148" i="1"/>
  <c r="BN148" i="1"/>
  <c r="CW148" i="1"/>
  <c r="BS148" i="1"/>
  <c r="CL148" i="1"/>
  <c r="BH148" i="1"/>
  <c r="BD121" i="1"/>
  <c r="BY122" i="1"/>
  <c r="CR122" i="1"/>
  <c r="BN122" i="1"/>
  <c r="CW122" i="1"/>
  <c r="BS122" i="1"/>
  <c r="CL122" i="1"/>
  <c r="BH122" i="1"/>
  <c r="BQ137" i="1"/>
  <c r="CM137" i="1"/>
  <c r="CV138" i="1"/>
  <c r="BI148" i="1"/>
  <c r="CB148" i="1"/>
  <c r="CU148" i="1"/>
  <c r="CG148" i="1"/>
  <c r="BC148" i="1"/>
  <c r="BV148" i="1"/>
  <c r="BM121" i="1"/>
  <c r="BG121" i="1"/>
  <c r="BI122" i="1"/>
  <c r="CB122" i="1"/>
  <c r="CU122" i="1"/>
  <c r="CG122" i="1"/>
  <c r="BC122" i="1"/>
  <c r="BV122" i="1"/>
  <c r="BU133" i="1"/>
  <c r="CN133" i="1"/>
  <c r="BJ133" i="1"/>
  <c r="CC133" i="1"/>
  <c r="CV133" i="1"/>
  <c r="CH133" i="1"/>
  <c r="BD133" i="1"/>
  <c r="CV128" i="1"/>
  <c r="CH128" i="1"/>
  <c r="BD128" i="1"/>
  <c r="BW128" i="1"/>
  <c r="CP128" i="1"/>
  <c r="BL128" i="1"/>
  <c r="BC112" i="1"/>
  <c r="EH85" i="1"/>
  <c r="BX137" i="1"/>
  <c r="AZ148" i="1"/>
  <c r="BB121" i="1"/>
  <c r="BL122" i="1"/>
  <c r="BF122" i="1"/>
  <c r="CL133" i="1"/>
  <c r="BY133" i="1"/>
  <c r="CS133" i="1"/>
  <c r="BP133" i="1"/>
  <c r="BS133" i="1"/>
  <c r="BO128" i="1"/>
  <c r="BB128" i="1"/>
  <c r="CL128" i="1"/>
  <c r="BI128" i="1"/>
  <c r="CC128" i="1"/>
  <c r="BD112" i="1"/>
  <c r="BP110" i="1"/>
  <c r="BK110" i="1"/>
  <c r="CQ139" i="1"/>
  <c r="BM139" i="1"/>
  <c r="CF139" i="1"/>
  <c r="BR139" i="1"/>
  <c r="CK139" i="1"/>
  <c r="BG139" i="1"/>
  <c r="BR109" i="1"/>
  <c r="CK109" i="1"/>
  <c r="BG109" i="1"/>
  <c r="BZ109" i="1"/>
  <c r="CS109" i="1"/>
  <c r="BO109" i="1"/>
  <c r="BJ88" i="1"/>
  <c r="CC88" i="1"/>
  <c r="CV88" i="1"/>
  <c r="CH88" i="1"/>
  <c r="BD88" i="1"/>
  <c r="BW88" i="1"/>
  <c r="BK147" i="1"/>
  <c r="CD147" i="1"/>
  <c r="AZ147" i="1"/>
  <c r="CI147" i="1"/>
  <c r="BE147" i="1"/>
  <c r="BX147" i="1"/>
  <c r="CR137" i="1"/>
  <c r="BQ148" i="1"/>
  <c r="CD122" i="1"/>
  <c r="BX122" i="1"/>
  <c r="BV133" i="1"/>
  <c r="CP133" i="1"/>
  <c r="BM133" i="1"/>
  <c r="AZ133" i="1"/>
  <c r="CJ133" i="1"/>
  <c r="CF128" i="1"/>
  <c r="CI128" i="1"/>
  <c r="BF128" i="1"/>
  <c r="BZ128" i="1"/>
  <c r="BM128" i="1"/>
  <c r="BA112" i="1"/>
  <c r="AZ110" i="1"/>
  <c r="BS110" i="1"/>
  <c r="BV110" i="1"/>
  <c r="BN110" i="1"/>
  <c r="CA139" i="1"/>
  <c r="CT139" i="1"/>
  <c r="BP139" i="1"/>
  <c r="BB139" i="1"/>
  <c r="BU139" i="1"/>
  <c r="CN139" i="1"/>
  <c r="BB109" i="1"/>
  <c r="BU109" i="1"/>
  <c r="CN109" i="1"/>
  <c r="BJ109" i="1"/>
  <c r="CC109" i="1"/>
  <c r="CV109" i="1"/>
  <c r="CQ88" i="1"/>
  <c r="BM88" i="1"/>
  <c r="CF88" i="1"/>
  <c r="BR88" i="1"/>
  <c r="CK88" i="1"/>
  <c r="BG88" i="1"/>
  <c r="CR147" i="1"/>
  <c r="BN147" i="1"/>
  <c r="CW147" i="1"/>
  <c r="BS147" i="1"/>
  <c r="CL147" i="1"/>
  <c r="BH147" i="1"/>
  <c r="CD92" i="1"/>
  <c r="CO148" i="1"/>
  <c r="CI148" i="1"/>
  <c r="CE122" i="1"/>
  <c r="BF133" i="1"/>
  <c r="BZ133" i="1"/>
  <c r="CT133" i="1"/>
  <c r="CW133" i="1"/>
  <c r="BT133" i="1"/>
  <c r="BP128" i="1"/>
  <c r="BS128" i="1"/>
  <c r="CM128" i="1"/>
  <c r="BJ128" i="1"/>
  <c r="CT128" i="1"/>
  <c r="BC110" i="1"/>
  <c r="BF110" i="1"/>
  <c r="BI110" i="1"/>
  <c r="CO139" i="1"/>
  <c r="BK139" i="1"/>
  <c r="CD139" i="1"/>
  <c r="AZ139" i="1"/>
  <c r="CI139" i="1"/>
  <c r="CP148" i="1"/>
  <c r="CJ148" i="1"/>
  <c r="AZ122" i="1"/>
  <c r="BW133" i="1"/>
  <c r="CQ133" i="1"/>
  <c r="CD133" i="1"/>
  <c r="BQ133" i="1"/>
  <c r="AZ128" i="1"/>
  <c r="CJ128" i="1"/>
  <c r="BG128" i="1"/>
  <c r="CQ128" i="1"/>
  <c r="BN128" i="1"/>
  <c r="BK148" i="1"/>
  <c r="BE148" i="1"/>
  <c r="BQ122" i="1"/>
  <c r="BG133" i="1"/>
  <c r="CA133" i="1"/>
  <c r="BN133" i="1"/>
  <c r="BA133" i="1"/>
  <c r="CW128" i="1"/>
  <c r="BT128" i="1"/>
  <c r="CN128" i="1"/>
  <c r="CA128" i="1"/>
  <c r="BQ110" i="1"/>
  <c r="BT110" i="1"/>
  <c r="BI139" i="1"/>
  <c r="CB139" i="1"/>
  <c r="CU139" i="1"/>
  <c r="CG139" i="1"/>
  <c r="BC139" i="1"/>
  <c r="BV139" i="1"/>
  <c r="CG109" i="1"/>
  <c r="BC109" i="1"/>
  <c r="BV109" i="1"/>
  <c r="CO109" i="1"/>
  <c r="BK109" i="1"/>
  <c r="CD109" i="1"/>
  <c r="AZ109" i="1"/>
  <c r="BY88" i="1"/>
  <c r="CR88" i="1"/>
  <c r="BN88" i="1"/>
  <c r="CW88" i="1"/>
  <c r="BS88" i="1"/>
  <c r="CL88" i="1"/>
  <c r="BH88" i="1"/>
  <c r="CS147" i="1"/>
  <c r="BO147" i="1"/>
  <c r="BA147" i="1"/>
  <c r="BT147" i="1"/>
  <c r="CM147" i="1"/>
  <c r="BI147" i="1"/>
  <c r="CE137" i="1"/>
  <c r="BL148" i="1"/>
  <c r="BF148" i="1"/>
  <c r="BO121" i="1"/>
  <c r="BI121" i="1"/>
  <c r="CO122" i="1"/>
  <c r="CI122" i="1"/>
  <c r="BX133" i="1"/>
  <c r="BK133" i="1"/>
  <c r="CE133" i="1"/>
  <c r="BR133" i="1"/>
  <c r="BQ128" i="1"/>
  <c r="CK128" i="1"/>
  <c r="BX128" i="1"/>
  <c r="CR128" i="1"/>
  <c r="BA110" i="1"/>
  <c r="BD110" i="1"/>
  <c r="BJ110" i="1"/>
  <c r="CP139" i="1"/>
  <c r="BL139" i="1"/>
  <c r="CE139" i="1"/>
  <c r="BQ139" i="1"/>
  <c r="CJ139" i="1"/>
  <c r="BF139" i="1"/>
  <c r="BQ109" i="1"/>
  <c r="CJ109" i="1"/>
  <c r="BF109" i="1"/>
  <c r="BY109" i="1"/>
  <c r="CR109" i="1"/>
  <c r="BN109" i="1"/>
  <c r="BI88" i="1"/>
  <c r="CB88" i="1"/>
  <c r="CU88" i="1"/>
  <c r="CG88" i="1"/>
  <c r="BC88" i="1"/>
  <c r="BV88" i="1"/>
  <c r="CC147" i="1"/>
  <c r="CV147" i="1"/>
  <c r="CH147" i="1"/>
  <c r="BD147" i="1"/>
  <c r="BW147" i="1"/>
  <c r="CP147" i="1"/>
  <c r="BA137" i="1"/>
  <c r="CD148" i="1"/>
  <c r="BX148" i="1"/>
  <c r="BP121" i="1"/>
  <c r="BJ121" i="1"/>
  <c r="CP122" i="1"/>
  <c r="CJ122" i="1"/>
  <c r="CK133" i="1"/>
  <c r="BH133" i="1"/>
  <c r="CR133" i="1"/>
  <c r="BO133" i="1"/>
  <c r="BB133" i="1"/>
  <c r="BA128" i="1"/>
  <c r="BU128" i="1"/>
  <c r="BH128" i="1"/>
  <c r="CB128" i="1"/>
  <c r="AZ112" i="1"/>
  <c r="BO110" i="1"/>
  <c r="BU110" i="1"/>
  <c r="BM110" i="1"/>
  <c r="BZ139" i="1"/>
  <c r="CS139" i="1"/>
  <c r="BO139" i="1"/>
  <c r="BA139" i="1"/>
  <c r="BT139" i="1"/>
  <c r="CM139" i="1"/>
  <c r="BA109" i="1"/>
  <c r="BT109" i="1"/>
  <c r="CM109" i="1"/>
  <c r="BI109" i="1"/>
  <c r="CB109" i="1"/>
  <c r="CU109" i="1"/>
  <c r="CP88" i="1"/>
  <c r="BL88" i="1"/>
  <c r="CE88" i="1"/>
  <c r="BQ88" i="1"/>
  <c r="CJ88" i="1"/>
  <c r="BF88" i="1"/>
  <c r="CQ147" i="1"/>
  <c r="BM147" i="1"/>
  <c r="CF147" i="1"/>
  <c r="BR147" i="1"/>
  <c r="CK147" i="1"/>
  <c r="BG147" i="1"/>
  <c r="BZ147" i="1"/>
  <c r="BE137" i="1"/>
  <c r="CK138" i="1"/>
  <c r="CE148" i="1"/>
  <c r="BA121" i="1"/>
  <c r="BK122" i="1"/>
  <c r="BE122" i="1"/>
  <c r="BE133" i="1"/>
  <c r="CO133" i="1"/>
  <c r="BL133" i="1"/>
  <c r="CF133" i="1"/>
  <c r="CI133" i="1"/>
  <c r="CE128" i="1"/>
  <c r="BR128" i="1"/>
  <c r="BE128" i="1"/>
  <c r="BY128" i="1"/>
  <c r="CS128" i="1"/>
  <c r="BB110" i="1"/>
  <c r="BE110" i="1"/>
  <c r="BH110" i="1"/>
  <c r="BJ139" i="1"/>
  <c r="CC139" i="1"/>
  <c r="CV139" i="1"/>
  <c r="CH139" i="1"/>
  <c r="BD139" i="1"/>
  <c r="BW139" i="1"/>
  <c r="CH109" i="1"/>
  <c r="BD109" i="1"/>
  <c r="BW109" i="1"/>
  <c r="CP109" i="1"/>
  <c r="BL109" i="1"/>
  <c r="CE109" i="1"/>
  <c r="BZ88" i="1"/>
  <c r="CS88" i="1"/>
  <c r="BO88" i="1"/>
  <c r="BA88" i="1"/>
  <c r="BT88" i="1"/>
  <c r="CM88" i="1"/>
  <c r="CA147" i="1"/>
  <c r="CT147" i="1"/>
  <c r="BP147" i="1"/>
  <c r="BB147" i="1"/>
  <c r="BU147" i="1"/>
  <c r="CN147" i="1"/>
  <c r="BJ147" i="1"/>
  <c r="BL110" i="1"/>
  <c r="BX139" i="1"/>
  <c r="CQ109" i="1"/>
  <c r="CT88" i="1"/>
  <c r="CN88" i="1"/>
  <c r="BQ147" i="1"/>
  <c r="BB155" i="1"/>
  <c r="BU155" i="1"/>
  <c r="CN155" i="1"/>
  <c r="BJ155" i="1"/>
  <c r="CC155" i="1"/>
  <c r="CV155" i="1"/>
  <c r="CB87" i="1"/>
  <c r="CU87" i="1"/>
  <c r="CG87" i="1"/>
  <c r="BC87" i="1"/>
  <c r="BV87" i="1"/>
  <c r="CO87" i="1"/>
  <c r="BU116" i="1"/>
  <c r="CN116" i="1"/>
  <c r="BJ116" i="1"/>
  <c r="CC116" i="1"/>
  <c r="CV116" i="1"/>
  <c r="CH116" i="1"/>
  <c r="CF85" i="1"/>
  <c r="BR85" i="1"/>
  <c r="CK85" i="1"/>
  <c r="BG85" i="1"/>
  <c r="BZ85" i="1"/>
  <c r="CS85" i="1"/>
  <c r="CV93" i="1"/>
  <c r="CH93" i="1"/>
  <c r="BD93" i="1"/>
  <c r="BW93" i="1"/>
  <c r="CP93" i="1"/>
  <c r="BL93" i="1"/>
  <c r="DR88" i="1"/>
  <c r="DF148" i="1"/>
  <c r="CZ122" i="1"/>
  <c r="EQ88" i="1"/>
  <c r="DL122" i="1"/>
  <c r="ET85" i="1"/>
  <c r="DG85" i="1"/>
  <c r="DI85" i="1"/>
  <c r="BY139" i="1"/>
  <c r="BH139" i="1"/>
  <c r="CW109" i="1"/>
  <c r="CA109" i="1"/>
  <c r="CD88" i="1"/>
  <c r="BX88" i="1"/>
  <c r="BC147" i="1"/>
  <c r="BI123" i="1"/>
  <c r="BC123" i="1"/>
  <c r="CI155" i="1"/>
  <c r="BE155" i="1"/>
  <c r="BX155" i="1"/>
  <c r="CQ155" i="1"/>
  <c r="BM155" i="1"/>
  <c r="CF155" i="1"/>
  <c r="BL87" i="1"/>
  <c r="CE87" i="1"/>
  <c r="BQ87" i="1"/>
  <c r="CJ87" i="1"/>
  <c r="BF87" i="1"/>
  <c r="BY87" i="1"/>
  <c r="CI116" i="1"/>
  <c r="BE116" i="1"/>
  <c r="BX116" i="1"/>
  <c r="CQ116" i="1"/>
  <c r="BM116" i="1"/>
  <c r="CF116" i="1"/>
  <c r="BR116" i="1"/>
  <c r="BP85" i="1"/>
  <c r="BB85" i="1"/>
  <c r="BU85" i="1"/>
  <c r="CN85" i="1"/>
  <c r="BJ85" i="1"/>
  <c r="CC85" i="1"/>
  <c r="CF93" i="1"/>
  <c r="BR93" i="1"/>
  <c r="CK93" i="1"/>
  <c r="BG93" i="1"/>
  <c r="BZ93" i="1"/>
  <c r="CS93" i="1"/>
  <c r="CR139" i="1"/>
  <c r="CI109" i="1"/>
  <c r="BM109" i="1"/>
  <c r="BP88" i="1"/>
  <c r="CJ147" i="1"/>
  <c r="BF123" i="1"/>
  <c r="BN139" i="1"/>
  <c r="BS109" i="1"/>
  <c r="CT109" i="1"/>
  <c r="AZ88" i="1"/>
  <c r="CB147" i="1"/>
  <c r="BV147" i="1"/>
  <c r="BG123" i="1"/>
  <c r="BA123" i="1"/>
  <c r="CG155" i="1"/>
  <c r="BC155" i="1"/>
  <c r="BV155" i="1"/>
  <c r="CO155" i="1"/>
  <c r="BK155" i="1"/>
  <c r="CD155" i="1"/>
  <c r="AZ155" i="1"/>
  <c r="CC87" i="1"/>
  <c r="CV87" i="1"/>
  <c r="CH87" i="1"/>
  <c r="BD87" i="1"/>
  <c r="BW87" i="1"/>
  <c r="CP87" i="1"/>
  <c r="BC116" i="1"/>
  <c r="BV116" i="1"/>
  <c r="CO116" i="1"/>
  <c r="BK116" i="1"/>
  <c r="CD116" i="1"/>
  <c r="AZ116" i="1"/>
  <c r="CW85" i="1"/>
  <c r="BS85" i="1"/>
  <c r="CL85" i="1"/>
  <c r="BH85" i="1"/>
  <c r="CA85" i="1"/>
  <c r="CT85" i="1"/>
  <c r="AZ93" i="1"/>
  <c r="CI93" i="1"/>
  <c r="BE93" i="1"/>
  <c r="BX93" i="1"/>
  <c r="CQ93" i="1"/>
  <c r="BM93" i="1"/>
  <c r="DT85" i="1"/>
  <c r="DL85" i="1"/>
  <c r="CZ85" i="1"/>
  <c r="EA85" i="1"/>
  <c r="EP85" i="1"/>
  <c r="DW147" i="1"/>
  <c r="DR85" i="1"/>
  <c r="DO155" i="1"/>
  <c r="DE148" i="1"/>
  <c r="DG148" i="1"/>
  <c r="CW139" i="1"/>
  <c r="BE109" i="1"/>
  <c r="CF109" i="1"/>
  <c r="BB88" i="1"/>
  <c r="BL147" i="1"/>
  <c r="BF147" i="1"/>
  <c r="BJ123" i="1"/>
  <c r="BD123" i="1"/>
  <c r="BQ155" i="1"/>
  <c r="CJ155" i="1"/>
  <c r="BF155" i="1"/>
  <c r="BY155" i="1"/>
  <c r="CR155" i="1"/>
  <c r="BN155" i="1"/>
  <c r="CQ87" i="1"/>
  <c r="BM87" i="1"/>
  <c r="CF87" i="1"/>
  <c r="BR87" i="1"/>
  <c r="CK87" i="1"/>
  <c r="BG87" i="1"/>
  <c r="BZ87" i="1"/>
  <c r="CJ116" i="1"/>
  <c r="BF116" i="1"/>
  <c r="BY116" i="1"/>
  <c r="CR116" i="1"/>
  <c r="BN116" i="1"/>
  <c r="CW116" i="1"/>
  <c r="CU85" i="1"/>
  <c r="CG85" i="1"/>
  <c r="BC85" i="1"/>
  <c r="BV85" i="1"/>
  <c r="CO85" i="1"/>
  <c r="BK85" i="1"/>
  <c r="CD85" i="1"/>
  <c r="BS139" i="1"/>
  <c r="CL109" i="1"/>
  <c r="BP109" i="1"/>
  <c r="CO88" i="1"/>
  <c r="CI88" i="1"/>
  <c r="CU147" i="1"/>
  <c r="CO147" i="1"/>
  <c r="BA155" i="1"/>
  <c r="BT155" i="1"/>
  <c r="CM155" i="1"/>
  <c r="BI155" i="1"/>
  <c r="CB155" i="1"/>
  <c r="CU155" i="1"/>
  <c r="BE139" i="1"/>
  <c r="BX109" i="1"/>
  <c r="CA88" i="1"/>
  <c r="BU88" i="1"/>
  <c r="CE147" i="1"/>
  <c r="BY147" i="1"/>
  <c r="BH123" i="1"/>
  <c r="BB123" i="1"/>
  <c r="CH155" i="1"/>
  <c r="BD155" i="1"/>
  <c r="BW155" i="1"/>
  <c r="CP155" i="1"/>
  <c r="BL155" i="1"/>
  <c r="CE155" i="1"/>
  <c r="BK87" i="1"/>
  <c r="CD87" i="1"/>
  <c r="AZ87" i="1"/>
  <c r="CI87" i="1"/>
  <c r="BE87" i="1"/>
  <c r="BX87" i="1"/>
  <c r="BD116" i="1"/>
  <c r="BW116" i="1"/>
  <c r="CP116" i="1"/>
  <c r="BL116" i="1"/>
  <c r="CE116" i="1"/>
  <c r="BQ116" i="1"/>
  <c r="BO85" i="1"/>
  <c r="BA85" i="1"/>
  <c r="BT85" i="1"/>
  <c r="CM85" i="1"/>
  <c r="BI85" i="1"/>
  <c r="CB85" i="1"/>
  <c r="CE93" i="1"/>
  <c r="BQ93" i="1"/>
  <c r="CJ93" i="1"/>
  <c r="BF93" i="1"/>
  <c r="BY93" i="1"/>
  <c r="CR93" i="1"/>
  <c r="BN93" i="1"/>
  <c r="CL139" i="1"/>
  <c r="BH109" i="1"/>
  <c r="BK88" i="1"/>
  <c r="BE88" i="1"/>
  <c r="CG147" i="1"/>
  <c r="BK123" i="1"/>
  <c r="AZ123" i="1"/>
  <c r="BE123" i="1"/>
  <c r="BR155" i="1"/>
  <c r="CK155" i="1"/>
  <c r="BG155" i="1"/>
  <c r="BZ155" i="1"/>
  <c r="CS155" i="1"/>
  <c r="BO155" i="1"/>
  <c r="CR87" i="1"/>
  <c r="BN87" i="1"/>
  <c r="CW87" i="1"/>
  <c r="BS87" i="1"/>
  <c r="CL87" i="1"/>
  <c r="BH87" i="1"/>
  <c r="CK116" i="1"/>
  <c r="BG116" i="1"/>
  <c r="BZ116" i="1"/>
  <c r="CS116" i="1"/>
  <c r="BO116" i="1"/>
  <c r="BA116" i="1"/>
  <c r="CV85" i="1"/>
  <c r="CH85" i="1"/>
  <c r="BD85" i="1"/>
  <c r="BW85" i="1"/>
  <c r="CP85" i="1"/>
  <c r="BL85" i="1"/>
  <c r="BO93" i="1"/>
  <c r="BA93" i="1"/>
  <c r="BT93" i="1"/>
  <c r="CM93" i="1"/>
  <c r="BI93" i="1"/>
  <c r="CB93" i="1"/>
  <c r="BH155" i="1"/>
  <c r="BP87" i="1"/>
  <c r="BJ87" i="1"/>
  <c r="CB116" i="1"/>
  <c r="AZ85" i="1"/>
  <c r="CQ85" i="1"/>
  <c r="BS93" i="1"/>
  <c r="BJ93" i="1"/>
  <c r="CY147" i="1"/>
  <c r="DB88" i="1"/>
  <c r="DA85" i="1"/>
  <c r="CX85" i="1"/>
  <c r="DM85" i="1"/>
  <c r="CX148" i="1"/>
  <c r="DZ148" i="1"/>
  <c r="DS148" i="1"/>
  <c r="ES148" i="1"/>
  <c r="EP87" i="1"/>
  <c r="EE147" i="1"/>
  <c r="DB148" i="1"/>
  <c r="DC91" i="1"/>
  <c r="DK88" i="1"/>
  <c r="CX88" i="1"/>
  <c r="DA88" i="1"/>
  <c r="EH88" i="1"/>
  <c r="CA155" i="1"/>
  <c r="BA87" i="1"/>
  <c r="BS116" i="1"/>
  <c r="CT116" i="1"/>
  <c r="BQ85" i="1"/>
  <c r="CR85" i="1"/>
  <c r="BC93" i="1"/>
  <c r="CA93" i="1"/>
  <c r="EB147" i="1"/>
  <c r="DP93" i="1"/>
  <c r="DS85" i="1"/>
  <c r="DW85" i="1"/>
  <c r="EM85" i="1"/>
  <c r="EO85" i="1"/>
  <c r="DZ147" i="1"/>
  <c r="EQ122" i="1"/>
  <c r="EI148" i="1"/>
  <c r="DA148" i="1"/>
  <c r="EO148" i="1"/>
  <c r="DO148" i="1"/>
  <c r="CY122" i="1"/>
  <c r="DF147" i="1"/>
  <c r="EP88" i="1"/>
  <c r="DN88" i="1"/>
  <c r="EM88" i="1"/>
  <c r="EK88" i="1"/>
  <c r="EG88" i="1"/>
  <c r="DT147" i="1"/>
  <c r="DM147" i="1"/>
  <c r="EO147" i="1"/>
  <c r="EA88" i="1"/>
  <c r="CX155" i="1"/>
  <c r="ET155" i="1"/>
  <c r="DK155" i="1"/>
  <c r="EO155" i="1"/>
  <c r="DC85" i="1"/>
  <c r="CT155" i="1"/>
  <c r="BB87" i="1"/>
  <c r="BT116" i="1"/>
  <c r="CU116" i="1"/>
  <c r="CI85" i="1"/>
  <c r="BM85" i="1"/>
  <c r="BU93" i="1"/>
  <c r="BK93" i="1"/>
  <c r="ET87" i="1"/>
  <c r="ED85" i="1"/>
  <c r="DZ85" i="1"/>
  <c r="DP85" i="1"/>
  <c r="EE85" i="1"/>
  <c r="BP155" i="1"/>
  <c r="BT87" i="1"/>
  <c r="CL116" i="1"/>
  <c r="BP116" i="1"/>
  <c r="CJ85" i="1"/>
  <c r="BN85" i="1"/>
  <c r="CU93" i="1"/>
  <c r="CL93" i="1"/>
  <c r="CC93" i="1"/>
  <c r="DJ148" i="1"/>
  <c r="DM155" i="1"/>
  <c r="EL85" i="1"/>
  <c r="DK85" i="1"/>
  <c r="DQ85" i="1"/>
  <c r="EC85" i="1"/>
  <c r="CZ88" i="1"/>
  <c r="EA148" i="1"/>
  <c r="DT148" i="1"/>
  <c r="EG148" i="1"/>
  <c r="DU148" i="1"/>
  <c r="EM148" i="1"/>
  <c r="DZ93" i="1"/>
  <c r="DD88" i="1"/>
  <c r="DV88" i="1"/>
  <c r="DM88" i="1"/>
  <c r="EI88" i="1"/>
  <c r="DY91" i="1"/>
  <c r="ER147" i="1"/>
  <c r="DJ147" i="1"/>
  <c r="DP147" i="1"/>
  <c r="CA87" i="1"/>
  <c r="BU87" i="1"/>
  <c r="CM116" i="1"/>
  <c r="CG116" i="1"/>
  <c r="BE85" i="1"/>
  <c r="BP93" i="1"/>
  <c r="BV93" i="1"/>
  <c r="CT93" i="1"/>
  <c r="DE85" i="1"/>
  <c r="EC147" i="1"/>
  <c r="EH87" i="1"/>
  <c r="EU85" i="1"/>
  <c r="EB85" i="1"/>
  <c r="DN85" i="1"/>
  <c r="EG85" i="1"/>
  <c r="DL93" i="1"/>
  <c r="DY148" i="1"/>
  <c r="EK148" i="1"/>
  <c r="DW148" i="1"/>
  <c r="DV148" i="1"/>
  <c r="EB148" i="1"/>
  <c r="EA93" i="1"/>
  <c r="DK93" i="1"/>
  <c r="DB93" i="1"/>
  <c r="ES147" i="1"/>
  <c r="CY88" i="1"/>
  <c r="DQ88" i="1"/>
  <c r="EN88" i="1"/>
  <c r="EL88" i="1"/>
  <c r="DY147" i="1"/>
  <c r="DR147" i="1"/>
  <c r="EP147" i="1"/>
  <c r="DC147" i="1"/>
  <c r="DH147" i="1"/>
  <c r="EQ155" i="1"/>
  <c r="DD155" i="1"/>
  <c r="DF155" i="1"/>
  <c r="DN155" i="1"/>
  <c r="EA155" i="1"/>
  <c r="EH122" i="1"/>
  <c r="EM122" i="1"/>
  <c r="EL122" i="1"/>
  <c r="DS122" i="1"/>
  <c r="EL87" i="1"/>
  <c r="EC87" i="1"/>
  <c r="DB87" i="1"/>
  <c r="DE87" i="1"/>
  <c r="ED87" i="1"/>
  <c r="DQ93" i="1"/>
  <c r="EI93" i="1"/>
  <c r="DT93" i="1"/>
  <c r="DJ93" i="1"/>
  <c r="EE93" i="1"/>
  <c r="DB147" i="1"/>
  <c r="DY85" i="1"/>
  <c r="CW155" i="1"/>
  <c r="CS87" i="1"/>
  <c r="CM87" i="1"/>
  <c r="BH116" i="1"/>
  <c r="BB116" i="1"/>
  <c r="BF85" i="1"/>
  <c r="CW93" i="1"/>
  <c r="CN93" i="1"/>
  <c r="CD93" i="1"/>
  <c r="BS155" i="1"/>
  <c r="CT87" i="1"/>
  <c r="CN87" i="1"/>
  <c r="BI116" i="1"/>
  <c r="BX85" i="1"/>
  <c r="CG93" i="1"/>
  <c r="BH93" i="1"/>
  <c r="DI148" i="1"/>
  <c r="DC155" i="1"/>
  <c r="DN122" i="1"/>
  <c r="EI85" i="1"/>
  <c r="EK85" i="1"/>
  <c r="EF85" i="1"/>
  <c r="EG87" i="1"/>
  <c r="EH148" i="1"/>
  <c r="EC148" i="1"/>
  <c r="EN148" i="1"/>
  <c r="ED148" i="1"/>
  <c r="DG147" i="1"/>
  <c r="EL148" i="1"/>
  <c r="DM87" i="1"/>
  <c r="DU147" i="1"/>
  <c r="CZ148" i="1"/>
  <c r="EE148" i="1"/>
  <c r="DP155" i="1"/>
  <c r="ET148" i="1"/>
  <c r="DW88" i="1"/>
  <c r="ER88" i="1"/>
  <c r="EJ88" i="1"/>
  <c r="DJ88" i="1"/>
  <c r="DU93" i="1"/>
  <c r="CL155" i="1"/>
  <c r="BO87" i="1"/>
  <c r="BI87" i="1"/>
  <c r="CA116" i="1"/>
  <c r="CE85" i="1"/>
  <c r="BY85" i="1"/>
  <c r="BB93" i="1"/>
  <c r="CO93" i="1"/>
  <c r="DU85" i="1"/>
  <c r="EN85" i="1"/>
  <c r="CY148" i="1"/>
  <c r="DM148" i="1"/>
  <c r="EE88" i="1"/>
  <c r="DT88" i="1"/>
  <c r="EF88" i="1"/>
  <c r="ED147" i="1"/>
  <c r="ER148" i="1"/>
  <c r="DG155" i="1"/>
  <c r="CY85" i="1"/>
  <c r="EB155" i="1"/>
  <c r="EL155" i="1"/>
  <c r="DY155" i="1"/>
  <c r="DJ155" i="1"/>
  <c r="EK147" i="1"/>
  <c r="DI122" i="1"/>
  <c r="EF122" i="1"/>
  <c r="ER122" i="1"/>
  <c r="DH122" i="1"/>
  <c r="DG87" i="1"/>
  <c r="CY87" i="1"/>
  <c r="EF87" i="1"/>
  <c r="DD87" i="1"/>
  <c r="DA147" i="1"/>
  <c r="DI88" i="1"/>
  <c r="EP93" i="1"/>
  <c r="DE93" i="1"/>
  <c r="DG93" i="1"/>
  <c r="EN93" i="1"/>
  <c r="DN147" i="1"/>
  <c r="EF148" i="1"/>
  <c r="ES85" i="1"/>
  <c r="EU148" i="1"/>
  <c r="DP148" i="1"/>
  <c r="ES122" i="1"/>
  <c r="EP155" i="1"/>
  <c r="DU88" i="1"/>
  <c r="EB88" i="1"/>
  <c r="DQ155" i="1"/>
  <c r="CZ147" i="1"/>
  <c r="EI155" i="1"/>
  <c r="DZ155" i="1"/>
  <c r="DV155" i="1"/>
  <c r="EN155" i="1"/>
  <c r="DE122" i="1"/>
  <c r="DD122" i="1"/>
  <c r="DR122" i="1"/>
  <c r="EK122" i="1"/>
  <c r="CX87" i="1"/>
  <c r="DL87" i="1"/>
  <c r="DJ87" i="1"/>
  <c r="DT87" i="1"/>
  <c r="DQ147" i="1"/>
  <c r="EG93" i="1"/>
  <c r="DI93" i="1"/>
  <c r="ER93" i="1"/>
  <c r="DD93" i="1"/>
  <c r="DX85" i="1"/>
  <c r="DU87" i="1"/>
  <c r="DR148" i="1"/>
  <c r="DL148" i="1"/>
  <c r="EU147" i="1"/>
  <c r="EU93" i="1"/>
  <c r="DS147" i="1"/>
  <c r="EO88" i="1"/>
  <c r="DJ85" i="1"/>
  <c r="DG88" i="1"/>
  <c r="DI147" i="1"/>
  <c r="CY155" i="1"/>
  <c r="ES155" i="1"/>
  <c r="EJ155" i="1"/>
  <c r="DX155" i="1"/>
  <c r="DV122" i="1"/>
  <c r="EA122" i="1"/>
  <c r="EB122" i="1"/>
  <c r="EC122" i="1"/>
  <c r="EM87" i="1"/>
  <c r="DC87" i="1"/>
  <c r="DO87" i="1"/>
  <c r="EJ87" i="1"/>
  <c r="DM93" i="1"/>
  <c r="DN93" i="1"/>
  <c r="EQ93" i="1"/>
  <c r="EC93" i="1"/>
  <c r="DV85" i="1"/>
  <c r="DC148" i="1"/>
  <c r="EU88" i="1"/>
  <c r="EK155" i="1"/>
  <c r="CZ91" i="1"/>
  <c r="DS88" i="1"/>
  <c r="EG147" i="1"/>
  <c r="EN147" i="1"/>
  <c r="EF155" i="1"/>
  <c r="CZ155" i="1"/>
  <c r="DH155" i="1"/>
  <c r="DO122" i="1"/>
  <c r="DY122" i="1"/>
  <c r="EG122" i="1"/>
  <c r="EO122" i="1"/>
  <c r="DH87" i="1"/>
  <c r="EA87" i="1"/>
  <c r="DK87" i="1"/>
  <c r="CZ87" i="1"/>
  <c r="DH93" i="1"/>
  <c r="EB93" i="1"/>
  <c r="DA93" i="1"/>
  <c r="EO93" i="1"/>
  <c r="EE87" i="1"/>
  <c r="DB85" i="1"/>
  <c r="DQ148" i="1"/>
  <c r="DF85" i="1"/>
  <c r="EM155" i="1"/>
  <c r="DI87" i="1"/>
  <c r="EA147" i="1"/>
  <c r="EC88" i="1"/>
  <c r="DF88" i="1"/>
  <c r="EQ148" i="1"/>
  <c r="DD147" i="1"/>
  <c r="EQ147" i="1"/>
  <c r="EJ147" i="1"/>
  <c r="ET88" i="1"/>
  <c r="DU155" i="1"/>
  <c r="EG155" i="1"/>
  <c r="DS155" i="1"/>
  <c r="EI122" i="1"/>
  <c r="EJ122" i="1"/>
  <c r="ED122" i="1"/>
  <c r="EU122" i="1"/>
  <c r="DN87" i="1"/>
  <c r="DX87" i="1"/>
  <c r="DV87" i="1"/>
  <c r="EI87" i="1"/>
  <c r="EJ93" i="1"/>
  <c r="ED93" i="1"/>
  <c r="DO93" i="1"/>
  <c r="EK93" i="1"/>
  <c r="ES93" i="1"/>
  <c r="DZ88" i="1"/>
  <c r="DF122" i="1"/>
  <c r="CZ93" i="1"/>
  <c r="ER85" i="1"/>
  <c r="EJ148" i="1"/>
  <c r="DX148" i="1"/>
  <c r="DC122" i="1"/>
  <c r="ES88" i="1"/>
  <c r="ED88" i="1"/>
  <c r="DL147" i="1"/>
  <c r="ET147" i="1"/>
  <c r="DL155" i="1"/>
  <c r="DE155" i="1"/>
  <c r="DI155" i="1"/>
  <c r="EE155" i="1"/>
  <c r="DZ122" i="1"/>
  <c r="EE122" i="1"/>
  <c r="DP122" i="1"/>
  <c r="CX122" i="1"/>
  <c r="DU122" i="1"/>
  <c r="EN87" i="1"/>
  <c r="DZ87" i="1"/>
  <c r="DW87" i="1"/>
  <c r="ES87" i="1"/>
  <c r="EQ85" i="1"/>
  <c r="EK87" i="1"/>
  <c r="EF93" i="1"/>
  <c r="DR93" i="1"/>
  <c r="EH93" i="1"/>
  <c r="DS93" i="1"/>
  <c r="DV93" i="1"/>
  <c r="EF147" i="1"/>
  <c r="DS87" i="1"/>
  <c r="CX147" i="1"/>
  <c r="DH85" i="1"/>
  <c r="DH148" i="1"/>
  <c r="DN148" i="1"/>
  <c r="DO85" i="1"/>
  <c r="EM147" i="1"/>
  <c r="DH88" i="1"/>
  <c r="DX88" i="1"/>
  <c r="DO88" i="1"/>
  <c r="DK147" i="1"/>
  <c r="DO147" i="1"/>
  <c r="ET93" i="1"/>
  <c r="DV147" i="1"/>
  <c r="EC155" i="1"/>
  <c r="DA155" i="1"/>
  <c r="DW155" i="1"/>
  <c r="DR155" i="1"/>
  <c r="DE88" i="1"/>
  <c r="DX122" i="1"/>
  <c r="ET122" i="1"/>
  <c r="DJ122" i="1"/>
  <c r="DM122" i="1"/>
  <c r="DT122" i="1"/>
  <c r="DF87" i="1"/>
  <c r="DY87" i="1"/>
  <c r="ER87" i="1"/>
  <c r="EU87" i="1"/>
  <c r="EQ87" i="1"/>
  <c r="DW93" i="1"/>
  <c r="CY93" i="1"/>
  <c r="DC93" i="1"/>
  <c r="DF93" i="1"/>
  <c r="DD85" i="1"/>
  <c r="EP148" i="1"/>
  <c r="DD148" i="1"/>
  <c r="EJ85" i="1"/>
  <c r="EH147" i="1"/>
  <c r="DB122" i="1"/>
  <c r="DB155" i="1"/>
  <c r="DQ122" i="1"/>
  <c r="DL88" i="1"/>
  <c r="DP88" i="1"/>
  <c r="EL147" i="1"/>
  <c r="DX147" i="1"/>
  <c r="ER155" i="1"/>
  <c r="DT155" i="1"/>
  <c r="ED155" i="1"/>
  <c r="EU155" i="1"/>
  <c r="EI147" i="1"/>
  <c r="DG122" i="1"/>
  <c r="DA122" i="1"/>
  <c r="DK122" i="1"/>
  <c r="DW122" i="1"/>
  <c r="EN122" i="1"/>
  <c r="DP87" i="1"/>
  <c r="DA87" i="1"/>
  <c r="EO87" i="1"/>
  <c r="DR87" i="1"/>
  <c r="EB87" i="1"/>
  <c r="DX93" i="1"/>
  <c r="EM93" i="1"/>
  <c r="DY93" i="1"/>
  <c r="CX93" i="1"/>
  <c r="DC88" i="1"/>
  <c r="BF125" i="1"/>
  <c r="BR92" i="1"/>
  <c r="BI92" i="1"/>
  <c r="BZ138" i="1"/>
  <c r="BV92" i="1"/>
  <c r="CB92" i="1"/>
  <c r="BM125" i="1"/>
  <c r="BQ92" i="1"/>
  <c r="CE138" i="1"/>
  <c r="BN125" i="1"/>
  <c r="CE125" i="1"/>
  <c r="CN91" i="1"/>
  <c r="CP92" i="1"/>
  <c r="BJ92" i="1"/>
  <c r="BK125" i="1"/>
  <c r="BE92" i="1"/>
  <c r="BH138" i="1"/>
  <c r="BC138" i="1"/>
  <c r="CI91" i="1"/>
  <c r="DD91" i="1"/>
  <c r="BY91" i="1"/>
  <c r="CL137" i="1"/>
  <c r="BD91" i="1"/>
  <c r="BJ91" i="1"/>
  <c r="BL137" i="1"/>
  <c r="CA91" i="1"/>
  <c r="DM91" i="1"/>
  <c r="BG137" i="1"/>
  <c r="BV91" i="1"/>
  <c r="BB137" i="1"/>
  <c r="CM91" i="1"/>
  <c r="CT137" i="1"/>
  <c r="BB92" i="1"/>
  <c r="CO137" i="1"/>
  <c r="BU138" i="1"/>
  <c r="BL92" i="1"/>
  <c r="BF92" i="1"/>
  <c r="BX125" i="1"/>
  <c r="BB125" i="1"/>
  <c r="BY125" i="1"/>
  <c r="CP125" i="1"/>
  <c r="BT92" i="1"/>
  <c r="CK92" i="1"/>
  <c r="BV125" i="1"/>
  <c r="CA138" i="1"/>
  <c r="BF138" i="1"/>
  <c r="BW138" i="1"/>
  <c r="BS138" i="1"/>
  <c r="CY91" i="1"/>
  <c r="CJ91" i="1"/>
  <c r="CW137" i="1"/>
  <c r="DV91" i="1"/>
  <c r="BU91" i="1"/>
  <c r="EG91" i="1"/>
  <c r="DO91" i="1"/>
  <c r="BW137" i="1"/>
  <c r="CL91" i="1"/>
  <c r="BR137" i="1"/>
  <c r="CJ92" i="1"/>
  <c r="BO137" i="1"/>
  <c r="BZ92" i="1"/>
  <c r="BN92" i="1"/>
  <c r="BY138" i="1"/>
  <c r="CT125" i="1"/>
  <c r="CN92" i="1"/>
  <c r="CF138" i="1"/>
  <c r="BD125" i="1"/>
  <c r="BT138" i="1"/>
  <c r="CH91" i="1"/>
  <c r="BQ138" i="1"/>
  <c r="CM138" i="1"/>
  <c r="CH138" i="1"/>
  <c r="BG138" i="1"/>
  <c r="CN138" i="1"/>
  <c r="BN138" i="1"/>
  <c r="BB91" i="1"/>
  <c r="DL91" i="1"/>
  <c r="DX91" i="1"/>
  <c r="DQ91" i="1"/>
  <c r="EF91" i="1"/>
  <c r="EI91" i="1"/>
  <c r="CH137" i="1"/>
  <c r="BM137" i="1"/>
  <c r="ED91" i="1"/>
  <c r="BA91" i="1"/>
  <c r="CU138" i="1"/>
  <c r="BD92" i="1"/>
  <c r="CI138" i="1"/>
  <c r="BX138" i="1"/>
  <c r="BC137" i="1"/>
  <c r="CR138" i="1"/>
  <c r="BH125" i="1"/>
  <c r="CH92" i="1"/>
  <c r="BC125" i="1"/>
  <c r="BT125" i="1"/>
  <c r="CV125" i="1"/>
  <c r="BP125" i="1"/>
  <c r="BP92" i="1"/>
  <c r="CW125" i="1"/>
  <c r="BV138" i="1"/>
  <c r="BL138" i="1"/>
  <c r="BA138" i="1"/>
  <c r="CC138" i="1"/>
  <c r="BR138" i="1"/>
  <c r="BB138" i="1"/>
  <c r="EH91" i="1"/>
  <c r="CT91" i="1"/>
  <c r="EO91" i="1"/>
  <c r="CD91" i="1"/>
  <c r="DA91" i="1"/>
  <c r="EP91" i="1"/>
  <c r="BO91" i="1"/>
  <c r="DH91" i="1"/>
  <c r="EB91" i="1"/>
  <c r="CF91" i="1"/>
  <c r="CC137" i="1"/>
  <c r="EU91" i="1"/>
  <c r="CS91" i="1"/>
  <c r="CB125" i="1"/>
  <c r="CL92" i="1"/>
  <c r="CO92" i="1"/>
  <c r="BK92" i="1"/>
  <c r="BQ125" i="1"/>
  <c r="BA125" i="1"/>
  <c r="CH125" i="1"/>
  <c r="BI138" i="1"/>
  <c r="CI125" i="1"/>
  <c r="CU125" i="1"/>
  <c r="BY92" i="1"/>
  <c r="BO125" i="1"/>
  <c r="BJ125" i="1"/>
  <c r="CA125" i="1"/>
  <c r="CQ92" i="1"/>
  <c r="CR125" i="1"/>
  <c r="BE138" i="1"/>
  <c r="CG138" i="1"/>
  <c r="CS138" i="1"/>
  <c r="BM138" i="1"/>
  <c r="CT138" i="1"/>
  <c r="EM91" i="1"/>
  <c r="DT91" i="1"/>
  <c r="CP137" i="1"/>
  <c r="BH91" i="1"/>
  <c r="DI91" i="1"/>
  <c r="CO91" i="1"/>
  <c r="ET91" i="1"/>
  <c r="BZ91" i="1"/>
  <c r="CQ91" i="1"/>
  <c r="BM92" i="1"/>
  <c r="ER91" i="1"/>
  <c r="DK91" i="1"/>
  <c r="CW91" i="1"/>
  <c r="BQ91" i="1"/>
  <c r="EK91" i="1"/>
  <c r="EE91" i="1"/>
  <c r="BG91" i="1"/>
  <c r="CE92" i="1"/>
  <c r="CM92" i="1"/>
  <c r="BL125" i="1"/>
  <c r="CS125" i="1"/>
  <c r="CC125" i="1"/>
  <c r="BW92" i="1"/>
  <c r="CD138" i="1"/>
  <c r="CD125" i="1"/>
  <c r="BI125" i="1"/>
  <c r="BC92" i="1"/>
  <c r="BZ125" i="1"/>
  <c r="BU125" i="1"/>
  <c r="CF125" i="1"/>
  <c r="CL125" i="1"/>
  <c r="BU92" i="1"/>
  <c r="BD138" i="1"/>
  <c r="AZ138" i="1"/>
  <c r="CB138" i="1"/>
  <c r="EC91" i="1"/>
  <c r="BR91" i="1"/>
  <c r="EQ91" i="1"/>
  <c r="BD137" i="1"/>
  <c r="BS91" i="1"/>
  <c r="DG91" i="1"/>
  <c r="BZ137" i="1"/>
  <c r="BC91" i="1"/>
  <c r="CU91" i="1"/>
  <c r="BK137" i="1"/>
  <c r="CK91" i="1"/>
  <c r="BE91" i="1"/>
  <c r="BX92" i="1"/>
  <c r="DJ91" i="1"/>
  <c r="CR91" i="1"/>
  <c r="EN91" i="1"/>
  <c r="BL91" i="1"/>
  <c r="DU91" i="1"/>
  <c r="BW91" i="1"/>
  <c r="BS92" i="1"/>
  <c r="CJ137" i="1"/>
  <c r="BP138" i="1"/>
  <c r="BY137" i="1"/>
  <c r="BW125" i="1"/>
  <c r="BG125" i="1"/>
  <c r="CN125" i="1"/>
  <c r="CG92" i="1"/>
  <c r="CC92" i="1"/>
  <c r="CO125" i="1"/>
  <c r="CK125" i="1"/>
  <c r="CW138" i="1"/>
  <c r="CQ125" i="1"/>
  <c r="CJ138" i="1"/>
  <c r="AZ92" i="1"/>
  <c r="CQ138" i="1"/>
  <c r="BK138" i="1"/>
  <c r="CU137" i="1"/>
  <c r="DR91" i="1"/>
  <c r="BM91" i="1"/>
  <c r="DE91" i="1"/>
  <c r="CV137" i="1"/>
  <c r="CK137" i="1"/>
  <c r="BI91" i="1"/>
  <c r="DB91" i="1"/>
  <c r="BA92" i="1"/>
  <c r="CE91" i="1"/>
  <c r="BV137" i="1"/>
  <c r="CI92" i="1"/>
  <c r="EJ91" i="1"/>
  <c r="AZ91" i="1"/>
  <c r="ES91" i="1"/>
  <c r="BF91" i="1"/>
  <c r="DS91" i="1"/>
  <c r="CG91" i="1"/>
  <c r="EA91" i="1"/>
  <c r="CX91" i="1"/>
  <c r="CC91" i="1"/>
  <c r="BH92" i="1"/>
  <c r="BP137" i="1"/>
  <c r="CR92" i="1"/>
  <c r="CL138" i="1"/>
  <c r="BR125" i="1"/>
  <c r="BG92" i="1"/>
  <c r="CP138" i="1"/>
  <c r="BS125" i="1"/>
  <c r="CJ125" i="1"/>
  <c r="CM125" i="1"/>
  <c r="BO92" i="1"/>
  <c r="BE125" i="1"/>
  <c r="CF92" i="1"/>
  <c r="AZ125" i="1"/>
  <c r="CA92" i="1"/>
  <c r="BN137" i="1"/>
  <c r="CO138" i="1"/>
  <c r="BX91" i="1"/>
  <c r="CF137" i="1"/>
  <c r="EL91" i="1"/>
  <c r="BN91" i="1"/>
  <c r="BT91" i="1"/>
  <c r="DN91" i="1"/>
  <c r="CA137" i="1"/>
  <c r="CP91" i="1"/>
  <c r="CG137" i="1"/>
  <c r="CV91" i="1"/>
  <c r="BP91" i="1"/>
  <c r="DW91" i="1"/>
  <c r="BK91" i="1"/>
  <c r="DZ91" i="1"/>
  <c r="CN137" i="1"/>
  <c r="DP91" i="1"/>
  <c r="CB91" i="1"/>
  <c r="DF91" i="1"/>
  <c r="BC83" i="1"/>
  <c r="BV83" i="1"/>
  <c r="BK83" i="1"/>
  <c r="CD83" i="1"/>
  <c r="AZ83" i="1"/>
  <c r="BC145" i="1"/>
  <c r="BM145" i="1"/>
  <c r="BW145" i="1"/>
  <c r="BN145" i="1"/>
  <c r="AZ145" i="1"/>
  <c r="BZ145" i="1"/>
  <c r="BY145" i="1"/>
  <c r="DV145" i="1"/>
  <c r="DH145" i="1"/>
  <c r="EF145" i="1"/>
  <c r="DM145" i="1"/>
  <c r="EJ145" i="1"/>
  <c r="DW145" i="1"/>
  <c r="CJ83" i="1"/>
  <c r="BF83" i="1"/>
  <c r="BY83" i="1"/>
  <c r="BN83" i="1"/>
  <c r="CO145" i="1"/>
  <c r="BB145" i="1"/>
  <c r="BL145" i="1"/>
  <c r="CG145" i="1"/>
  <c r="BE145" i="1"/>
  <c r="CE145" i="1"/>
  <c r="EQ145" i="1"/>
  <c r="DU145" i="1"/>
  <c r="EM145" i="1"/>
  <c r="EI145" i="1"/>
  <c r="DX145" i="1"/>
  <c r="EB145" i="1"/>
  <c r="DY145" i="1"/>
  <c r="EU145" i="1"/>
  <c r="EA145" i="1"/>
  <c r="DJ145" i="1"/>
  <c r="BT83" i="1"/>
  <c r="BI83" i="1"/>
  <c r="CB83" i="1"/>
  <c r="CG83" i="1"/>
  <c r="CD145" i="1"/>
  <c r="CN145" i="1"/>
  <c r="BA145" i="1"/>
  <c r="BV145" i="1"/>
  <c r="CQ145" i="1"/>
  <c r="CV145" i="1"/>
  <c r="CX145" i="1"/>
  <c r="DF145" i="1"/>
  <c r="DG145" i="1"/>
  <c r="DL145" i="1"/>
  <c r="ER145" i="1"/>
  <c r="EO145" i="1"/>
  <c r="EN145" i="1"/>
  <c r="EE145" i="1"/>
  <c r="EP145" i="1"/>
  <c r="BD83" i="1"/>
  <c r="BW83" i="1"/>
  <c r="BL83" i="1"/>
  <c r="CE83" i="1"/>
  <c r="BQ83" i="1"/>
  <c r="BS145" i="1"/>
  <c r="CC145" i="1"/>
  <c r="CM145" i="1"/>
  <c r="BK145" i="1"/>
  <c r="BP145" i="1"/>
  <c r="BD145" i="1"/>
  <c r="BG83" i="1"/>
  <c r="BZ83" i="1"/>
  <c r="BO83" i="1"/>
  <c r="BA83" i="1"/>
  <c r="BH145" i="1"/>
  <c r="BR145" i="1"/>
  <c r="CB145" i="1"/>
  <c r="CJ145" i="1"/>
  <c r="BU145" i="1"/>
  <c r="CP145" i="1"/>
  <c r="ET145" i="1"/>
  <c r="BU83" i="1"/>
  <c r="BJ83" i="1"/>
  <c r="CC83" i="1"/>
  <c r="CH83" i="1"/>
  <c r="CK115" i="1"/>
  <c r="CT145" i="1"/>
  <c r="BG145" i="1"/>
  <c r="BQ145" i="1"/>
  <c r="CW145" i="1"/>
  <c r="BJ145" i="1"/>
  <c r="BO145" i="1"/>
  <c r="CI83" i="1"/>
  <c r="BE83" i="1"/>
  <c r="BX83" i="1"/>
  <c r="BM83" i="1"/>
  <c r="CF83" i="1"/>
  <c r="BR83" i="1"/>
  <c r="EK145" i="1"/>
  <c r="CI145" i="1"/>
  <c r="CS145" i="1"/>
  <c r="BF145" i="1"/>
  <c r="CL145" i="1"/>
  <c r="CF145" i="1"/>
  <c r="BT145" i="1"/>
  <c r="DA145" i="1"/>
  <c r="DC145" i="1"/>
  <c r="DP145" i="1"/>
  <c r="EL145" i="1"/>
  <c r="EH145" i="1"/>
  <c r="DO145" i="1"/>
  <c r="DT145" i="1"/>
  <c r="DS145" i="1"/>
  <c r="EC145" i="1"/>
  <c r="DI145" i="1"/>
  <c r="ED145" i="1"/>
  <c r="DR145" i="1"/>
  <c r="BS83" i="1"/>
  <c r="BH83" i="1"/>
  <c r="CA83" i="1"/>
  <c r="BP83" i="1"/>
  <c r="BB83" i="1"/>
  <c r="CU145" i="1"/>
  <c r="BX145" i="1"/>
  <c r="CH145" i="1"/>
  <c r="CR145" i="1"/>
  <c r="CA145" i="1"/>
  <c r="CK145" i="1"/>
  <c r="BI145" i="1"/>
  <c r="ES145" i="1"/>
  <c r="DD145" i="1"/>
  <c r="DE145" i="1"/>
  <c r="DZ145" i="1"/>
  <c r="DN145" i="1"/>
  <c r="CZ145" i="1"/>
  <c r="EG145" i="1"/>
  <c r="DK145" i="1"/>
  <c r="DB145" i="1"/>
  <c r="DQ145" i="1"/>
  <c r="CY145" i="1"/>
  <c r="DJ90" i="1"/>
  <c r="CW90" i="1"/>
  <c r="BZ115" i="1"/>
  <c r="BL115" i="1"/>
  <c r="AZ115" i="1"/>
  <c r="BG90" i="1"/>
  <c r="CC90" i="1"/>
  <c r="BR90" i="1"/>
  <c r="BH115" i="1"/>
  <c r="CD115" i="1"/>
  <c r="BS115" i="1"/>
  <c r="BT90" i="1"/>
  <c r="CV115" i="1"/>
  <c r="CA90" i="1"/>
  <c r="DA115" i="1"/>
  <c r="DT115" i="1"/>
  <c r="EI90" i="1"/>
  <c r="DT90" i="1"/>
  <c r="EH90" i="1"/>
  <c r="EU90" i="1"/>
  <c r="ET115" i="1"/>
  <c r="DM115" i="1"/>
  <c r="EK115" i="1"/>
  <c r="EB115" i="1"/>
  <c r="CX90" i="1"/>
  <c r="ER90" i="1"/>
  <c r="ES115" i="1"/>
  <c r="EU115" i="1"/>
  <c r="CA115" i="1"/>
  <c r="CR90" i="1"/>
  <c r="CN90" i="1"/>
  <c r="BM90" i="1"/>
  <c r="BB90" i="1"/>
  <c r="CO115" i="1"/>
  <c r="BN115" i="1"/>
  <c r="BC115" i="1"/>
  <c r="BO90" i="1"/>
  <c r="BJ115" i="1"/>
  <c r="CF115" i="1"/>
  <c r="CL90" i="1"/>
  <c r="DC115" i="1"/>
  <c r="DD115" i="1"/>
  <c r="EP90" i="1"/>
  <c r="DB90" i="1"/>
  <c r="DL90" i="1"/>
  <c r="ES90" i="1"/>
  <c r="DP115" i="1"/>
  <c r="DI115" i="1"/>
  <c r="DD90" i="1"/>
  <c r="ED115" i="1"/>
  <c r="DO90" i="1"/>
  <c r="EK90" i="1"/>
  <c r="DV90" i="1"/>
  <c r="CG115" i="1"/>
  <c r="BQ115" i="1"/>
  <c r="CM115" i="1"/>
  <c r="BK115" i="1"/>
  <c r="BO115" i="1"/>
  <c r="BX90" i="1"/>
  <c r="CT90" i="1"/>
  <c r="CI90" i="1"/>
  <c r="BY115" i="1"/>
  <c r="CU115" i="1"/>
  <c r="CJ115" i="1"/>
  <c r="BZ90" i="1"/>
  <c r="BU115" i="1"/>
  <c r="CQ115" i="1"/>
  <c r="AZ90" i="1"/>
  <c r="DJ115" i="1"/>
  <c r="DW115" i="1"/>
  <c r="ET90" i="1"/>
  <c r="CZ90" i="1"/>
  <c r="DU90" i="1"/>
  <c r="EF115" i="1"/>
  <c r="DL115" i="1"/>
  <c r="DE115" i="1"/>
  <c r="EO115" i="1"/>
  <c r="CL115" i="1"/>
  <c r="BF90" i="1"/>
  <c r="CW115" i="1"/>
  <c r="BA115" i="1"/>
  <c r="BH90" i="1"/>
  <c r="CD90" i="1"/>
  <c r="BS90" i="1"/>
  <c r="BI115" i="1"/>
  <c r="CE115" i="1"/>
  <c r="CK90" i="1"/>
  <c r="BD90" i="1"/>
  <c r="BE115" i="1"/>
  <c r="BK90" i="1"/>
  <c r="CY115" i="1"/>
  <c r="DI90" i="1"/>
  <c r="EN90" i="1"/>
  <c r="EG90" i="1"/>
  <c r="EB90" i="1"/>
  <c r="EE115" i="1"/>
  <c r="DQ115" i="1"/>
  <c r="DK115" i="1"/>
  <c r="DY115" i="1"/>
  <c r="EA115" i="1"/>
  <c r="EE90" i="1"/>
  <c r="EM90" i="1"/>
  <c r="EG115" i="1"/>
  <c r="CG90" i="1"/>
  <c r="CR115" i="1"/>
  <c r="CB90" i="1"/>
  <c r="CS115" i="1"/>
  <c r="CH115" i="1"/>
  <c r="CO90" i="1"/>
  <c r="BN90" i="1"/>
  <c r="BC90" i="1"/>
  <c r="CP115" i="1"/>
  <c r="CV90" i="1"/>
  <c r="CF90" i="1"/>
  <c r="BV90" i="1"/>
  <c r="CX115" i="1"/>
  <c r="DN90" i="1"/>
  <c r="EJ90" i="1"/>
  <c r="DZ90" i="1"/>
  <c r="ED90" i="1"/>
  <c r="EI115" i="1"/>
  <c r="DS115" i="1"/>
  <c r="DO115" i="1"/>
  <c r="EP115" i="1"/>
  <c r="DR90" i="1"/>
  <c r="DX90" i="1"/>
  <c r="DQ90" i="1"/>
  <c r="DZ115" i="1"/>
  <c r="BW115" i="1"/>
  <c r="BP115" i="1"/>
  <c r="BQ90" i="1"/>
  <c r="BG115" i="1"/>
  <c r="CC115" i="1"/>
  <c r="BR115" i="1"/>
  <c r="BY90" i="1"/>
  <c r="CU90" i="1"/>
  <c r="CJ90" i="1"/>
  <c r="BJ90" i="1"/>
  <c r="CQ90" i="1"/>
  <c r="DB115" i="1"/>
  <c r="CZ115" i="1"/>
  <c r="DG90" i="1"/>
  <c r="EC90" i="1"/>
  <c r="DP90" i="1"/>
  <c r="DE90" i="1"/>
  <c r="EH115" i="1"/>
  <c r="DU115" i="1"/>
  <c r="DG115" i="1"/>
  <c r="EQ115" i="1"/>
  <c r="DS90" i="1"/>
  <c r="DY90" i="1"/>
  <c r="DA90" i="1"/>
  <c r="EJ115" i="1"/>
  <c r="BT115" i="1"/>
  <c r="CB115" i="1"/>
  <c r="CM90" i="1"/>
  <c r="BL90" i="1"/>
  <c r="BA90" i="1"/>
  <c r="CN115" i="1"/>
  <c r="BM115" i="1"/>
  <c r="BB115" i="1"/>
  <c r="BI90" i="1"/>
  <c r="CE90" i="1"/>
  <c r="BU90" i="1"/>
  <c r="BE90" i="1"/>
  <c r="DH115" i="1"/>
  <c r="DX115" i="1"/>
  <c r="EO90" i="1"/>
  <c r="CY90" i="1"/>
  <c r="EL90" i="1"/>
  <c r="EF90" i="1"/>
  <c r="EC115" i="1"/>
  <c r="DR115" i="1"/>
  <c r="EN115" i="1"/>
  <c r="DF90" i="1"/>
  <c r="BF115" i="1"/>
  <c r="BV115" i="1"/>
  <c r="BW90" i="1"/>
  <c r="CS90" i="1"/>
  <c r="CH90" i="1"/>
  <c r="BX115" i="1"/>
  <c r="CT115" i="1"/>
  <c r="CI115" i="1"/>
  <c r="CP90" i="1"/>
  <c r="BD115" i="1"/>
  <c r="BP90" i="1"/>
  <c r="DV115" i="1"/>
  <c r="DN115" i="1"/>
  <c r="DH90" i="1"/>
  <c r="EA90" i="1"/>
  <c r="EQ90" i="1"/>
  <c r="DC90" i="1"/>
  <c r="ER115" i="1"/>
  <c r="DF115" i="1"/>
  <c r="EL115" i="1"/>
  <c r="DM90" i="1"/>
  <c r="EM115" i="1"/>
  <c r="DW90" i="1"/>
  <c r="DK90" i="1"/>
  <c r="DG116" i="1"/>
  <c r="DX116" i="1"/>
  <c r="DN116" i="1"/>
  <c r="DL116" i="1"/>
  <c r="DM116" i="1"/>
  <c r="DY116" i="1"/>
  <c r="DW116" i="1"/>
  <c r="EN116" i="1"/>
  <c r="EG116" i="1"/>
  <c r="EC116" i="1"/>
  <c r="EO116" i="1"/>
  <c r="DR116" i="1"/>
  <c r="DT116" i="1"/>
  <c r="DK116" i="1"/>
  <c r="EH116" i="1"/>
  <c r="EJ116" i="1"/>
  <c r="EM116" i="1"/>
  <c r="DF116" i="1"/>
  <c r="DZ116" i="1"/>
  <c r="DO116" i="1"/>
  <c r="EA116" i="1"/>
  <c r="DV116" i="1"/>
  <c r="EE116" i="1"/>
  <c r="EP116" i="1"/>
  <c r="EI116" i="1"/>
  <c r="DU116" i="1"/>
  <c r="DQ116" i="1"/>
  <c r="DS116" i="1"/>
  <c r="ED116" i="1"/>
  <c r="DP116" i="1"/>
  <c r="EL116" i="1"/>
  <c r="DJ116" i="1"/>
  <c r="DH116" i="1"/>
  <c r="EB116" i="1"/>
  <c r="EF116" i="1"/>
  <c r="EK116" i="1"/>
  <c r="DI116" i="1"/>
  <c r="DA116" i="1"/>
  <c r="DB116" i="1"/>
  <c r="DC116" i="1"/>
  <c r="DD116" i="1"/>
  <c r="DE116" i="1"/>
  <c r="CX116" i="1"/>
  <c r="CY116" i="1"/>
  <c r="CZ116" i="1"/>
  <c r="EO109" i="1"/>
  <c r="EK109" i="1"/>
  <c r="EF109" i="1"/>
  <c r="ER109" i="1"/>
  <c r="EE109" i="1"/>
  <c r="EC109" i="1"/>
  <c r="EN109" i="1"/>
  <c r="EQ109" i="1"/>
  <c r="EG109" i="1"/>
  <c r="EP109" i="1"/>
  <c r="ET109" i="1"/>
  <c r="ES109" i="1"/>
  <c r="ED109" i="1"/>
  <c r="EL109" i="1"/>
  <c r="EU109" i="1"/>
  <c r="EB109" i="1"/>
  <c r="EJ109" i="1"/>
  <c r="EM109" i="1"/>
  <c r="EH109" i="1"/>
  <c r="EI109" i="1"/>
  <c r="DB109" i="1"/>
  <c r="DF109" i="1"/>
  <c r="DN109" i="1"/>
  <c r="DC109" i="1"/>
  <c r="DW109" i="1"/>
  <c r="DU109" i="1"/>
  <c r="DX109" i="1"/>
  <c r="DQ109" i="1"/>
  <c r="DJ109" i="1"/>
  <c r="EA109" i="1"/>
  <c r="DV109" i="1"/>
  <c r="DP109" i="1"/>
  <c r="DY109" i="1"/>
  <c r="DD109" i="1"/>
  <c r="DO109" i="1"/>
  <c r="DI109" i="1"/>
  <c r="DS109" i="1"/>
  <c r="DR109" i="1"/>
  <c r="CZ109" i="1"/>
  <c r="DE109" i="1"/>
  <c r="DH109" i="1"/>
  <c r="DG109" i="1"/>
  <c r="DZ109" i="1"/>
  <c r="DA109" i="1"/>
  <c r="DM109" i="1"/>
  <c r="DL109" i="1"/>
  <c r="DT109" i="1"/>
  <c r="DK109" i="1"/>
  <c r="CY109" i="1"/>
  <c r="CX109" i="1"/>
  <c r="DT137" i="1"/>
  <c r="ET133" i="1"/>
  <c r="DZ137" i="1"/>
  <c r="EK137" i="1"/>
  <c r="EN133" i="1"/>
  <c r="EN137" i="1"/>
  <c r="EG133" i="1"/>
  <c r="EP133" i="1"/>
  <c r="EU137" i="1"/>
  <c r="DE139" i="1"/>
  <c r="DP139" i="1"/>
  <c r="DA139" i="1"/>
  <c r="DH139" i="1"/>
  <c r="DD139" i="1"/>
  <c r="EF133" i="1"/>
  <c r="ET137" i="1"/>
  <c r="DI139" i="1"/>
  <c r="EO137" i="1"/>
  <c r="DZ133" i="1"/>
  <c r="EA137" i="1"/>
  <c r="EF137" i="1"/>
  <c r="ED137" i="1"/>
  <c r="EQ133" i="1"/>
  <c r="DC139" i="1"/>
  <c r="DQ139" i="1"/>
  <c r="DB139" i="1"/>
  <c r="CY139" i="1"/>
  <c r="EM137" i="1"/>
  <c r="EC137" i="1"/>
  <c r="ER137" i="1"/>
  <c r="DX137" i="1"/>
  <c r="DS137" i="1"/>
  <c r="EK133" i="1"/>
  <c r="DO139" i="1"/>
  <c r="DN139" i="1"/>
  <c r="EM133" i="1"/>
  <c r="EH133" i="1"/>
  <c r="EE133" i="1"/>
  <c r="ER133" i="1"/>
  <c r="EO133" i="1"/>
  <c r="EI137" i="1"/>
  <c r="EH137" i="1"/>
  <c r="EJ133" i="1"/>
  <c r="CZ139" i="1"/>
  <c r="DG139" i="1"/>
  <c r="DM139" i="1"/>
  <c r="CX139" i="1"/>
  <c r="EG137" i="1"/>
  <c r="DU137" i="1"/>
  <c r="DW137" i="1"/>
  <c r="DV137" i="1"/>
  <c r="EB133" i="1"/>
  <c r="EA133" i="1"/>
  <c r="EI133" i="1"/>
  <c r="DJ139" i="1"/>
  <c r="EC133" i="1"/>
  <c r="EJ137" i="1"/>
  <c r="EU133" i="1"/>
  <c r="EP137" i="1"/>
  <c r="ES133" i="1"/>
  <c r="EQ137" i="1"/>
  <c r="ED133" i="1"/>
  <c r="EE137" i="1"/>
  <c r="DF139" i="1"/>
  <c r="DR139" i="1"/>
  <c r="DL139" i="1"/>
  <c r="DY133" i="1"/>
  <c r="DR137" i="1"/>
  <c r="EB137" i="1"/>
  <c r="EL137" i="1"/>
  <c r="EL133" i="1"/>
  <c r="DY137" i="1"/>
  <c r="DK139" i="1"/>
  <c r="ES137" i="1"/>
  <c r="DP137" i="1"/>
  <c r="DQ137" i="1"/>
  <c r="DK133" i="1"/>
  <c r="DN137" i="1"/>
  <c r="CY137" i="1"/>
  <c r="DH137" i="1"/>
  <c r="CY128" i="1"/>
  <c r="DN133" i="1"/>
  <c r="CZ133" i="1"/>
  <c r="DJ137" i="1"/>
  <c r="DL137" i="1"/>
  <c r="DD133" i="1"/>
  <c r="DG137" i="1"/>
  <c r="DA133" i="1"/>
  <c r="DQ133" i="1"/>
  <c r="CX133" i="1"/>
  <c r="DK137" i="1"/>
  <c r="DE137" i="1"/>
  <c r="DB137" i="1"/>
  <c r="DW133" i="1"/>
  <c r="DI133" i="1"/>
  <c r="DL133" i="1"/>
  <c r="DO137" i="1"/>
  <c r="DA128" i="1"/>
  <c r="DA137" i="1"/>
  <c r="DT133" i="1"/>
  <c r="DR133" i="1"/>
  <c r="DD137" i="1"/>
  <c r="DF133" i="1"/>
  <c r="DO133" i="1"/>
  <c r="DB133" i="1"/>
  <c r="CZ128" i="1"/>
  <c r="DJ133" i="1"/>
  <c r="CX137" i="1"/>
  <c r="DS133" i="1"/>
  <c r="DC133" i="1"/>
  <c r="DH133" i="1"/>
  <c r="DE133" i="1"/>
  <c r="DX133" i="1"/>
  <c r="DG133" i="1"/>
  <c r="DF137" i="1"/>
  <c r="DB128" i="1"/>
  <c r="CZ137" i="1"/>
  <c r="DM133" i="1"/>
  <c r="DM137" i="1"/>
  <c r="DI137" i="1"/>
  <c r="DV133" i="1"/>
  <c r="DU133" i="1"/>
  <c r="CY133" i="1"/>
  <c r="CX128" i="1"/>
  <c r="DC137" i="1"/>
  <c r="DP133" i="1"/>
  <c r="DC128" i="1"/>
  <c r="DD125" i="1"/>
  <c r="DN125" i="1"/>
  <c r="DQ125" i="1"/>
  <c r="DV125" i="1"/>
  <c r="DE125" i="1"/>
  <c r="DI125" i="1"/>
  <c r="DS125" i="1"/>
  <c r="DB125" i="1"/>
  <c r="DZ125" i="1"/>
  <c r="EA125" i="1"/>
  <c r="DX125" i="1"/>
  <c r="CX125" i="1"/>
  <c r="DO125" i="1"/>
  <c r="DY125" i="1"/>
  <c r="DA125" i="1"/>
  <c r="DJ125" i="1"/>
  <c r="DG125" i="1"/>
  <c r="DW125" i="1"/>
  <c r="DM125" i="1"/>
  <c r="CZ125" i="1"/>
  <c r="DL125" i="1"/>
  <c r="CY125" i="1"/>
  <c r="DR125" i="1"/>
  <c r="DC125" i="1"/>
  <c r="DT125" i="1"/>
  <c r="DP125" i="1"/>
  <c r="DU125" i="1"/>
  <c r="DK125" i="1"/>
  <c r="DF125" i="1"/>
  <c r="DH1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evteev</author>
  </authors>
  <commentList>
    <comment ref="X68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28 х 2 контейнера 20 фт
</t>
        </r>
      </text>
    </comment>
    <comment ref="X7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26 х 2 контейнера 20 фт
</t>
        </r>
      </text>
    </comment>
    <comment ref="X76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26 х 2 контейнера 20 фт
</t>
        </r>
      </text>
    </comment>
    <comment ref="L77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Цементовоз</t>
        </r>
      </text>
    </comment>
    <comment ref="X85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Сцеп: 61х2вагона</t>
        </r>
      </text>
    </comment>
    <comment ref="Q96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Промсорт-Калуга</t>
        </r>
      </text>
    </comment>
    <comment ref="AC97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С охраной</t>
        </r>
      </text>
    </comment>
    <comment ref="AI1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Себестоимость производства сляба</t>
        </r>
      </text>
    </comment>
    <comment ref="X146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20 х 2 контейнера 20 фт
</t>
        </r>
      </text>
    </comment>
    <comment ref="X147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25 х 2 контейнера 20 фт
</t>
        </r>
      </text>
    </comment>
    <comment ref="X148" authorId="0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25 х 2 контейнера 20 фт
</t>
        </r>
      </text>
    </comment>
  </commentList>
</comments>
</file>

<file path=xl/sharedStrings.xml><?xml version="1.0" encoding="utf-8"?>
<sst xmlns="http://schemas.openxmlformats.org/spreadsheetml/2006/main" count="2700" uniqueCount="533">
  <si>
    <t>Код группы груза</t>
  </si>
  <si>
    <t>Группа груза</t>
  </si>
  <si>
    <t>Код груза</t>
  </si>
  <si>
    <t>Наим груза</t>
  </si>
  <si>
    <t>Вид груза</t>
  </si>
  <si>
    <t>Дор отпр</t>
  </si>
  <si>
    <t>Дор наз</t>
  </si>
  <si>
    <t>Станц отпр РФ</t>
  </si>
  <si>
    <t>Станц назн РФ</t>
  </si>
  <si>
    <t>Род вагона</t>
  </si>
  <si>
    <t>Вид перевозки</t>
  </si>
  <si>
    <t>Признак контейнерной отправки</t>
  </si>
  <si>
    <t>Направление</t>
  </si>
  <si>
    <t>ОКПО компании</t>
  </si>
  <si>
    <t>Компания отправителя</t>
  </si>
  <si>
    <t>Холдинг отправителя</t>
  </si>
  <si>
    <t>ДВС</t>
  </si>
  <si>
    <t>Экспорт</t>
  </si>
  <si>
    <t>Восточное</t>
  </si>
  <si>
    <t>КРС</t>
  </si>
  <si>
    <t>ОКТ</t>
  </si>
  <si>
    <t>СКВ</t>
  </si>
  <si>
    <t>СЕВ</t>
  </si>
  <si>
    <t>ЗСБ</t>
  </si>
  <si>
    <t>ЛУЖСКАЯ-ЭКСП</t>
  </si>
  <si>
    <t>ЗАБ</t>
  </si>
  <si>
    <t>МСК</t>
  </si>
  <si>
    <t>ТУАПСЕ-СОР-Э</t>
  </si>
  <si>
    <t>ЮВС</t>
  </si>
  <si>
    <t>ЧЕРЕПОВЕЦ 2</t>
  </si>
  <si>
    <t>ВСБ</t>
  </si>
  <si>
    <t>ЮУР</t>
  </si>
  <si>
    <t>Средняя дальность(км)</t>
  </si>
  <si>
    <t>Расходы по оплате услуг ОАО 'РЖД', руб. за тонну гружёный рейс</t>
  </si>
  <si>
    <t>Расходы по оплате услуг ОАО 'РЖД', руб. за тонну порожний рейс</t>
  </si>
  <si>
    <t>Расходы по оплате услуг операторов, руб. за тонну</t>
  </si>
  <si>
    <t>Расходы на перевалку, руб. за тонну</t>
  </si>
  <si>
    <t>Акциз/пошлина</t>
  </si>
  <si>
    <t>Себестоимость добычи/производства, руб. т.</t>
  </si>
  <si>
    <t>Стоимость 1 тонны на рынке, руб./т.</t>
  </si>
  <si>
    <t>Стоимость 1 тонны на рынке, $/т.</t>
  </si>
  <si>
    <t xml:space="preserve">Общие транспортные расходы, руб. за тонну </t>
  </si>
  <si>
    <t xml:space="preserve">Нетбэк, руб. за тонну </t>
  </si>
  <si>
    <t>Общие расходы, руб. за тонну</t>
  </si>
  <si>
    <t>Транспортная составляющая в цене %</t>
  </si>
  <si>
    <t>Инфраструктурная составляющая в цене %</t>
  </si>
  <si>
    <t>Инфраструктурная составляющая в транспортных затратах</t>
  </si>
  <si>
    <t>параметры перевозок</t>
  </si>
  <si>
    <t>контейнерная</t>
  </si>
  <si>
    <t>КБШ</t>
  </si>
  <si>
    <t>СВР</t>
  </si>
  <si>
    <t>ПРВ</t>
  </si>
  <si>
    <t>ГОР</t>
  </si>
  <si>
    <t>КОШТА</t>
  </si>
  <si>
    <t>ПРЕДКОМБИНАТ</t>
  </si>
  <si>
    <t>НОВОРОСС-ЭКС</t>
  </si>
  <si>
    <t>КАРТ1-ЭК-РОС</t>
  </si>
  <si>
    <t>КАНИСАЙ-Э(Р)</t>
  </si>
  <si>
    <t>ВЕЛ НОВГОРОД</t>
  </si>
  <si>
    <t>КОСТОМУКША-Т</t>
  </si>
  <si>
    <t>ЧЕЛУТАЙ</t>
  </si>
  <si>
    <t>АВТОВО-ЭКСП</t>
  </si>
  <si>
    <t>ЗАБАЙКАЛ ЭК</t>
  </si>
  <si>
    <t>АО "МХК "ЕвроХим"</t>
  </si>
  <si>
    <t>Полувагоны</t>
  </si>
  <si>
    <t>Кокс каменноугольный</t>
  </si>
  <si>
    <t>Остальные грузы</t>
  </si>
  <si>
    <t>Руды  всякие</t>
  </si>
  <si>
    <t>Черные металлы</t>
  </si>
  <si>
    <t>КОКС КАМЕННОУГОЛЬНЫЙ</t>
  </si>
  <si>
    <t>ЛОМ ЧЕРНЫХ МЕТАЛЛОВ</t>
  </si>
  <si>
    <t>ПРОКАТ ЦВЕТНЫХ МЕТАЛЛОВ</t>
  </si>
  <si>
    <t>МЕТАЛЛЫ ЦВЕТНЫЕ И ИХ СПЛА</t>
  </si>
  <si>
    <t>ЛОМ И ОТХОДЫ ЦВЕТНЫХ МЕТА</t>
  </si>
  <si>
    <t>РУДЫ И КОНЦЕНТРАТЫ ЖЕЛЕЗН</t>
  </si>
  <si>
    <t>ПРОЧИЕ ВИДЫ ПРОКАТА ЧЕРНЫ</t>
  </si>
  <si>
    <t>ТРУБЫ ИЗ ЧЕРНЫХ МЕТАЛЛОВ</t>
  </si>
  <si>
    <t>ЗАГОТОВКИ СТАЛЬНЫЕ</t>
  </si>
  <si>
    <t>РЕЛЬСЫ</t>
  </si>
  <si>
    <t>ЧУГУН</t>
  </si>
  <si>
    <t>ФЕРРОСПЛАВЫ</t>
  </si>
  <si>
    <t>ИФР</t>
  </si>
  <si>
    <t>ГУБАХА</t>
  </si>
  <si>
    <t>СМЫЧКА</t>
  </si>
  <si>
    <t>ЯСНАЯ ПОЛЯНА</t>
  </si>
  <si>
    <t>КРАСНОЕ-ЭКСП</t>
  </si>
  <si>
    <t>КАЧКАНАР</t>
  </si>
  <si>
    <t>ГОНЧАРОВО</t>
  </si>
  <si>
    <t>ТЮМЕНЬ-СЕВЕР</t>
  </si>
  <si>
    <t>УАЗ</t>
  </si>
  <si>
    <t>БАГУЛЬНАЯ</t>
  </si>
  <si>
    <t>КУЛУНДА-ЭК-Р</t>
  </si>
  <si>
    <t>ПРИСАДЫ</t>
  </si>
  <si>
    <t>ОЗИНКИ-Э-РОС</t>
  </si>
  <si>
    <t>ЛЕСОСИБ-ПЕР</t>
  </si>
  <si>
    <t>ГРОДЕК/КИТАЙ</t>
  </si>
  <si>
    <t>ОСЕНЦЫ</t>
  </si>
  <si>
    <t>ЛИНЕВО</t>
  </si>
  <si>
    <t>ЗЕЛЕЦИНО</t>
  </si>
  <si>
    <t>БИРЮЛЕВО-ТОВ</t>
  </si>
  <si>
    <t>МЕТАЛЛУРГИЧ.</t>
  </si>
  <si>
    <t>ТЕМРЮК-ЭКСП</t>
  </si>
  <si>
    <t>МАГНИТОГ-ГР</t>
  </si>
  <si>
    <t>ЭЛЕКТРОСТАН.</t>
  </si>
  <si>
    <t>ЗАРИНСКАЯ</t>
  </si>
  <si>
    <t>НОВОЛИПЕЦК</t>
  </si>
  <si>
    <t>САМУР-ЭКСП</t>
  </si>
  <si>
    <t>ВЯЗЬМА-НОВОТ</t>
  </si>
  <si>
    <t>ЧУГУН 2</t>
  </si>
  <si>
    <t>ОБНОРСКАЯ</t>
  </si>
  <si>
    <t>КАМЫШТА</t>
  </si>
  <si>
    <t>НАВАШИНО</t>
  </si>
  <si>
    <t>ЛЮБЕРЦЫ 2</t>
  </si>
  <si>
    <t>КЫШТЫМ</t>
  </si>
  <si>
    <t>КРАСНОЯРСК-С</t>
  </si>
  <si>
    <t>СРЕДНЕВОЛЖСК</t>
  </si>
  <si>
    <t>ТАГАНРОГ-ЭКС</t>
  </si>
  <si>
    <t>БАЗАИХА</t>
  </si>
  <si>
    <t>ПРЕДПОРТ-ЭКС</t>
  </si>
  <si>
    <t>КАЛУГА 1</t>
  </si>
  <si>
    <t>АША</t>
  </si>
  <si>
    <t>ТУЛА 1-КУРС</t>
  </si>
  <si>
    <t>МЕДНОГОРСК</t>
  </si>
  <si>
    <t>ШУВАКИШ</t>
  </si>
  <si>
    <t>ВЕРХ-НЕЙВНСК</t>
  </si>
  <si>
    <t>НОВОСИБ-ЗАП</t>
  </si>
  <si>
    <t>РЕВДА</t>
  </si>
  <si>
    <t>ПРИВОЛЖЬЕ</t>
  </si>
  <si>
    <t>ВОРСИНО</t>
  </si>
  <si>
    <t>ЗЛЫНКА-ЭКСП</t>
  </si>
  <si>
    <t>МОНЧЕГОРСК</t>
  </si>
  <si>
    <t>МУРМАНСК-ЭКС</t>
  </si>
  <si>
    <t>БЛАГОВЕЩЕНСК</t>
  </si>
  <si>
    <t>НОВОКУЗ.-ВОС</t>
  </si>
  <si>
    <t>БЕЛОРЕЦК</t>
  </si>
  <si>
    <t>МЫТИЩИ</t>
  </si>
  <si>
    <t>КОЛПИНО</t>
  </si>
  <si>
    <t>ПОЛЕВСКОЙ</t>
  </si>
  <si>
    <t>ТАГАНРОГ</t>
  </si>
  <si>
    <t>НАХОДКА-В-ЭК</t>
  </si>
  <si>
    <t>КОВДОР</t>
  </si>
  <si>
    <t>КУЙБАС</t>
  </si>
  <si>
    <t>ИЗВЕСТКОВАЯ</t>
  </si>
  <si>
    <t>МИХ-СЕМ-Э</t>
  </si>
  <si>
    <t>НОВОКУЗ.-СЕВ</t>
  </si>
  <si>
    <t>АБАЗА</t>
  </si>
  <si>
    <t>КУРБАКИНСКАЯ</t>
  </si>
  <si>
    <t>СТОЙЛЕНСКАЯ</t>
  </si>
  <si>
    <t>ЧЕГДОМЫН</t>
  </si>
  <si>
    <t>ГУБКИН</t>
  </si>
  <si>
    <t>БОРЗЯ</t>
  </si>
  <si>
    <t>РУДНОГОРСК</t>
  </si>
  <si>
    <t>КОРШУНИХА-АН</t>
  </si>
  <si>
    <t>БЕЛЕНИХИНО</t>
  </si>
  <si>
    <t>КУЛЬШАРИПОВО</t>
  </si>
  <si>
    <t>ЛЕНА</t>
  </si>
  <si>
    <t>ТИХВИН</t>
  </si>
  <si>
    <t>ПР.БЕРЕГ-ЭКС</t>
  </si>
  <si>
    <t>НОВ.ПОРТ-ЭКС</t>
  </si>
  <si>
    <t>М.АСТАФЬЕВ-Э</t>
  </si>
  <si>
    <t>НОВОКУЗ.-СОР</t>
  </si>
  <si>
    <t>ПРОМЫШЛЕННАЯ</t>
  </si>
  <si>
    <t>МЫСОВАЯ</t>
  </si>
  <si>
    <t>ЭЛЕКТРОУГЛИ</t>
  </si>
  <si>
    <t>КОТЕЛ</t>
  </si>
  <si>
    <t>АБИНСКАЯ</t>
  </si>
  <si>
    <t>ТУЛА-ВЯЗ.</t>
  </si>
  <si>
    <t>НОВАЯ ЧАРА</t>
  </si>
  <si>
    <t>НИЖНЕСЕРГИНС</t>
  </si>
  <si>
    <t>ВЛАДИВОСТ-ЭК</t>
  </si>
  <si>
    <t>АППАРАТНАЯ</t>
  </si>
  <si>
    <t>НАХАБИНО</t>
  </si>
  <si>
    <t>УГОЛЬНАЯ</t>
  </si>
  <si>
    <t>НОВОТРОИЦК</t>
  </si>
  <si>
    <t>ГУРЬЕВСК</t>
  </si>
  <si>
    <t>ТАКСИМО</t>
  </si>
  <si>
    <t>ОРСК-НВГР-ЭК</t>
  </si>
  <si>
    <t>ЧЕЛЯБИНСК-ЮЖ</t>
  </si>
  <si>
    <t>БЕЛЫЙ РАСТ</t>
  </si>
  <si>
    <t>ОЖЕРЕЛЬЕ</t>
  </si>
  <si>
    <t>ЙОШКАР-ОЛА</t>
  </si>
  <si>
    <t>БИРА</t>
  </si>
  <si>
    <t>КАМЕНСК-УРЛС</t>
  </si>
  <si>
    <t>КИГАШ-ЭКСПОР</t>
  </si>
  <si>
    <t>ОБЛУЧЬЕ</t>
  </si>
  <si>
    <t>ЭССОЙЛА</t>
  </si>
  <si>
    <t>ПЕРВОУРАЛЬСК</t>
  </si>
  <si>
    <t>НАУШКИ МНР 2</t>
  </si>
  <si>
    <t>Крытые</t>
  </si>
  <si>
    <t>Платформы</t>
  </si>
  <si>
    <t>Внутренние перевозки</t>
  </si>
  <si>
    <t>вагонная</t>
  </si>
  <si>
    <t xml:space="preserve">Южное </t>
  </si>
  <si>
    <t xml:space="preserve">Северо-Западное </t>
  </si>
  <si>
    <t xml:space="preserve">Восточное </t>
  </si>
  <si>
    <t>'000053496484</t>
  </si>
  <si>
    <t>'000000186269</t>
  </si>
  <si>
    <t>'000080294056</t>
  </si>
  <si>
    <t>'000027958866</t>
  </si>
  <si>
    <t>'000078553378</t>
  </si>
  <si>
    <t>'000000186683</t>
  </si>
  <si>
    <t>'000000186281</t>
  </si>
  <si>
    <t>'000000148636</t>
  </si>
  <si>
    <t>'000005747181</t>
  </si>
  <si>
    <t>'000000187852</t>
  </si>
  <si>
    <t>'000000186465</t>
  </si>
  <si>
    <t>'000079597952</t>
  </si>
  <si>
    <t>'000000186424</t>
  </si>
  <si>
    <t>'000000188110</t>
  </si>
  <si>
    <t>'000049183851</t>
  </si>
  <si>
    <t>'000000186217</t>
  </si>
  <si>
    <t>'000005757848</t>
  </si>
  <si>
    <t>'000005774969</t>
  </si>
  <si>
    <t>'000005785218</t>
  </si>
  <si>
    <t>'000049216289</t>
  </si>
  <si>
    <t>'000005785247</t>
  </si>
  <si>
    <t>'000005785276</t>
  </si>
  <si>
    <t>'000000186938</t>
  </si>
  <si>
    <t>'000041848759</t>
  </si>
  <si>
    <t>'000000194429</t>
  </si>
  <si>
    <t>'000064326176</t>
  </si>
  <si>
    <t>'000073218675</t>
  </si>
  <si>
    <t>'000064687833</t>
  </si>
  <si>
    <t>'000048200234</t>
  </si>
  <si>
    <t>'000055103129</t>
  </si>
  <si>
    <t>'000000187263</t>
  </si>
  <si>
    <t>'000000187547</t>
  </si>
  <si>
    <t>'000063491418</t>
  </si>
  <si>
    <t>'000071388031</t>
  </si>
  <si>
    <t>'000000186602</t>
  </si>
  <si>
    <t>'000000186759</t>
  </si>
  <si>
    <t>'000073844898</t>
  </si>
  <si>
    <t>'000026656063</t>
  </si>
  <si>
    <t>'000000186849</t>
  </si>
  <si>
    <t>'000077263371</t>
  </si>
  <si>
    <t>'000000186803</t>
  </si>
  <si>
    <t>'000000186813</t>
  </si>
  <si>
    <t>'000000186720</t>
  </si>
  <si>
    <t>'000000186826</t>
  </si>
  <si>
    <t>'000005789251</t>
  </si>
  <si>
    <t>'000005757676</t>
  </si>
  <si>
    <t>'000000187895</t>
  </si>
  <si>
    <t>'000055791017</t>
  </si>
  <si>
    <t>'000072809061</t>
  </si>
  <si>
    <t>'000013657842</t>
  </si>
  <si>
    <t>'000057535123</t>
  </si>
  <si>
    <t>'000005757665</t>
  </si>
  <si>
    <t>'000000186625</t>
  </si>
  <si>
    <t>'000000186654</t>
  </si>
  <si>
    <t>'000000186619</t>
  </si>
  <si>
    <t>ЗАО "Стройсервис"</t>
  </si>
  <si>
    <t>ООО "ЕвразХолдинг"</t>
  </si>
  <si>
    <t>ООО "РИ-ИНВЕСТ"</t>
  </si>
  <si>
    <t>ООО "УК"ПМХ"</t>
  </si>
  <si>
    <t>ПАО "Лукойл"</t>
  </si>
  <si>
    <t>ПАО "Мечел"</t>
  </si>
  <si>
    <t>ПАО "ММК"</t>
  </si>
  <si>
    <t>ПАО "НЛМК"</t>
  </si>
  <si>
    <t>ПАО "СЕВЕРСТАЛЬ"</t>
  </si>
  <si>
    <t>АО "ОМК"</t>
  </si>
  <si>
    <t>АО "Русская медная компания"</t>
  </si>
  <si>
    <t>ОК РУСАЛ</t>
  </si>
  <si>
    <t>ООО "УГМК-Холдинг"</t>
  </si>
  <si>
    <t>ПАО "ГМК "Норильский никель"</t>
  </si>
  <si>
    <t>ПАО "ТМК"</t>
  </si>
  <si>
    <t>ГК "Петропавловск"</t>
  </si>
  <si>
    <t>ООО "Руда Хакасии"</t>
  </si>
  <si>
    <t>ООО УК "Металлоинвест"</t>
  </si>
  <si>
    <t>ООО УК "Уральская сталь"</t>
  </si>
  <si>
    <t>'ООО "ЛУКОЙЛ-Пермнефтеоргсинтез"</t>
  </si>
  <si>
    <t>'ПАО "ММК"</t>
  </si>
  <si>
    <t>'ПАО "Тулачермет"</t>
  </si>
  <si>
    <t>'АО "Таганрогский металлургический завод"</t>
  </si>
  <si>
    <t>'ОАО "Первоуральский новотрубный завод"</t>
  </si>
  <si>
    <t>'ПАО "Северский трубный завод"</t>
  </si>
  <si>
    <t>'ОАО "ЧТПЗ"</t>
  </si>
  <si>
    <t>'ПАО "Кокс"</t>
  </si>
  <si>
    <t>'ПАО "Коршуновский ГОК"</t>
  </si>
  <si>
    <t>'АО "Ковдорский ГОК"</t>
  </si>
  <si>
    <t>'АО "Лебединский ГОК"</t>
  </si>
  <si>
    <t>'АО "Комбинат КМАруда"</t>
  </si>
  <si>
    <t>'АО "Стойленский ГОК"</t>
  </si>
  <si>
    <t>'ПАО "НЛМК"</t>
  </si>
  <si>
    <t>'АО "Михайловский ГОК"</t>
  </si>
  <si>
    <t>'АО "ЕВРАЗ КГОК"</t>
  </si>
  <si>
    <t>'АО "Белорецкий металлургический комбинат"</t>
  </si>
  <si>
    <t>'АО "Московский Коксогазовый Завод"</t>
  </si>
  <si>
    <t>'ОАО "Оскольский электрометаллургический комбинат"</t>
  </si>
  <si>
    <t>'ОАО "Алтай-Кокс"</t>
  </si>
  <si>
    <t>'АО "Уралэлектромедь"</t>
  </si>
  <si>
    <t>'ООО "ЛУКОЙЛ-Нижегороднефтеоргсинтез"</t>
  </si>
  <si>
    <t>'АО "Выксунский металлургический завод"</t>
  </si>
  <si>
    <t>'ЗАО "Кыштымский медеэлектролитный завод"</t>
  </si>
  <si>
    <t>'АО "РУСАЛ Красноярский алюминиевый Завод"</t>
  </si>
  <si>
    <t>'АО "РУСАЛ Новокузнецкий алюминиевый завод"</t>
  </si>
  <si>
    <t>'АО "Карельский окатыш"</t>
  </si>
  <si>
    <t>'АО "Уральская сталь"</t>
  </si>
  <si>
    <t>'ООО "Абаканский рудник"</t>
  </si>
  <si>
    <t>'ООО "Медногорский медно-серный комбинат"</t>
  </si>
  <si>
    <t>'АО "Кольская ГМК"</t>
  </si>
  <si>
    <t>'АО "РУСАЛ Саяногорский алюминиевый завод"</t>
  </si>
  <si>
    <t>'ОАО "Губахинский кокс"</t>
  </si>
  <si>
    <t>'ООО "Вторчермет НЛМК Запад"</t>
  </si>
  <si>
    <t>'ООО "ЖТЭК" (экспедитор ПАО "Северсталь")</t>
  </si>
  <si>
    <t>'ООО "НЛМК-Калуга"</t>
  </si>
  <si>
    <t>'ООО "Кимкано-Сутарский ГОК"</t>
  </si>
  <si>
    <t>АО "ЕВРАЗ НТМК"</t>
  </si>
  <si>
    <t>АО "Антипинский НПЗ"</t>
  </si>
  <si>
    <t>ПАО "Челябинский металлургический комбинат"</t>
  </si>
  <si>
    <t>ПАО "Северсталь"</t>
  </si>
  <si>
    <t>ПАО "РУСАЛ Братский алюминиевый завод"</t>
  </si>
  <si>
    <t>ООО "УВМ СИБИРЬ"</t>
  </si>
  <si>
    <t>ООО "УВМ СЕВЕР"</t>
  </si>
  <si>
    <t>ОАО "Челябвтормет"</t>
  </si>
  <si>
    <t>ООО "Вторчермет НЛМК Центр"</t>
  </si>
  <si>
    <t>АО "ЕВРАЗ ЗСМК"</t>
  </si>
  <si>
    <t xml:space="preserve">Кокс доменный фракции свыше 25 мм </t>
  </si>
  <si>
    <t xml:space="preserve">Кокс лигнитовый </t>
  </si>
  <si>
    <t xml:space="preserve">Кокс литейный КЛ-3 </t>
  </si>
  <si>
    <t xml:space="preserve">Кокс литейный КЛ-1 </t>
  </si>
  <si>
    <t xml:space="preserve">Кокс литейный КЛ-2 </t>
  </si>
  <si>
    <t xml:space="preserve">Кокс электродный </t>
  </si>
  <si>
    <t xml:space="preserve">Кокс, не поименованный в алфавите </t>
  </si>
  <si>
    <t xml:space="preserve">Окалина черных металлов </t>
  </si>
  <si>
    <t xml:space="preserve">Катанка алюминиевая, латунная, медная </t>
  </si>
  <si>
    <t xml:space="preserve">Алюминий </t>
  </si>
  <si>
    <t xml:space="preserve">Присад доменный </t>
  </si>
  <si>
    <t xml:space="preserve">Лом черных металлов, не поименованный в алфавите </t>
  </si>
  <si>
    <t xml:space="preserve">Медь </t>
  </si>
  <si>
    <t xml:space="preserve">Свинец </t>
  </si>
  <si>
    <t xml:space="preserve">Никель </t>
  </si>
  <si>
    <t xml:space="preserve">Лом и отходы цветных металлов, не поименованные в алфавите </t>
  </si>
  <si>
    <t xml:space="preserve">Лом стальной сборный </t>
  </si>
  <si>
    <t xml:space="preserve">Обрезь черных металлов от прокатного производства </t>
  </si>
  <si>
    <t>Сплавы цветных металлов в болванках, слитках, чушках, не поименованные в алфавите</t>
  </si>
  <si>
    <t xml:space="preserve">Концентрат железорудный (гематит) </t>
  </si>
  <si>
    <t xml:space="preserve">Окатыши железорудные </t>
  </si>
  <si>
    <t xml:space="preserve">Брикеты железной руды </t>
  </si>
  <si>
    <t xml:space="preserve">Руда железная, не поименованная в алфавите </t>
  </si>
  <si>
    <t xml:space="preserve">Руда железная агломерационная (аглоруда) </t>
  </si>
  <si>
    <t xml:space="preserve">Прокат черных металлов, не поименованный в алфавите </t>
  </si>
  <si>
    <t xml:space="preserve">Трубы металлические, не поименованные в алфавите </t>
  </si>
  <si>
    <t xml:space="preserve">Колеса вагонные и локомотивные новые цельнокатанные </t>
  </si>
  <si>
    <t xml:space="preserve">Слябы (заготовки стальные) </t>
  </si>
  <si>
    <t xml:space="preserve">Заготовка стальная, не поименованная в алфавите </t>
  </si>
  <si>
    <t xml:space="preserve">Рельсы металлические новые Р-65 </t>
  </si>
  <si>
    <t xml:space="preserve">Заготовка для переката рядовая </t>
  </si>
  <si>
    <t xml:space="preserve">Шары стальные помольные </t>
  </si>
  <si>
    <t xml:space="preserve">Чугун передельный рядовой </t>
  </si>
  <si>
    <t xml:space="preserve">Катанка стальная </t>
  </si>
  <si>
    <t xml:space="preserve">Заготовка для переката качественная </t>
  </si>
  <si>
    <t xml:space="preserve">Сталь сортовая </t>
  </si>
  <si>
    <t xml:space="preserve">Сталь листовая, не поименованная в алфавите </t>
  </si>
  <si>
    <t xml:space="preserve">Сталь листовая трансформаторная </t>
  </si>
  <si>
    <t xml:space="preserve">Трубы стальные сварные большого диаметра (400 - 1420 мм) </t>
  </si>
  <si>
    <t xml:space="preserve">Заготовка трубная </t>
  </si>
  <si>
    <t xml:space="preserve">Трубы бесшовные </t>
  </si>
  <si>
    <t>000086311376</t>
  </si>
  <si>
    <t>ООО "Металл и КС"</t>
  </si>
  <si>
    <t>ООО "ПРОМСОРТ-УРАЛ"</t>
  </si>
  <si>
    <t>Ферросилиций с массовой долей кремния от 30 до 90 %</t>
  </si>
  <si>
    <t>КИЯ-ШАЛТЫРЬ</t>
  </si>
  <si>
    <t>ЧИНЬЯВОРЫК</t>
  </si>
  <si>
    <t>БОКСИТЫ</t>
  </si>
  <si>
    <t>АЧИНСК 2</t>
  </si>
  <si>
    <t>РЕЖ</t>
  </si>
  <si>
    <t>МУРМАНСК</t>
  </si>
  <si>
    <t>КЛИМКИ</t>
  </si>
  <si>
    <t>СЕЛИХИН</t>
  </si>
  <si>
    <t>ТАМЕРЛАН</t>
  </si>
  <si>
    <t>ЗАПОЛЯРНАЯ</t>
  </si>
  <si>
    <t>ЛЕСОСИБИРСК</t>
  </si>
  <si>
    <t>ЛУЖСКАЯ</t>
  </si>
  <si>
    <t>МИНУСИНСК</t>
  </si>
  <si>
    <t>УЧАЛЫ</t>
  </si>
  <si>
    <t>ПИРИТ</t>
  </si>
  <si>
    <t>ЛОК-Э-РУБ-РС</t>
  </si>
  <si>
    <t>'000005785164</t>
  </si>
  <si>
    <t>'000024938159</t>
  </si>
  <si>
    <t>'000000194079</t>
  </si>
  <si>
    <t>'000025009918</t>
  </si>
  <si>
    <t>'000056967211</t>
  </si>
  <si>
    <t>'000055782863</t>
  </si>
  <si>
    <t>'000077260705</t>
  </si>
  <si>
    <t>'000056394071</t>
  </si>
  <si>
    <t>'000070541358</t>
  </si>
  <si>
    <t>'000006115537</t>
  </si>
  <si>
    <t>'000079059812</t>
  </si>
  <si>
    <t>ООО "Амур Минералс"</t>
  </si>
  <si>
    <t xml:space="preserve">Руда нефелиновая </t>
  </si>
  <si>
    <t xml:space="preserve">Сырье цветных металлов, сырье серное </t>
  </si>
  <si>
    <t xml:space="preserve">Бокситы </t>
  </si>
  <si>
    <t xml:space="preserve">Глинозем </t>
  </si>
  <si>
    <t xml:space="preserve">Руда медная </t>
  </si>
  <si>
    <t xml:space="preserve">Штейн никелевый </t>
  </si>
  <si>
    <t xml:space="preserve">Концентрат медный </t>
  </si>
  <si>
    <t xml:space="preserve">Концентрат никелевый </t>
  </si>
  <si>
    <t xml:space="preserve">Концентрат свинцовый </t>
  </si>
  <si>
    <t xml:space="preserve">Концентраты марганцевой руды </t>
  </si>
  <si>
    <t xml:space="preserve">Руда железная и марганцевая </t>
  </si>
  <si>
    <t xml:space="preserve">Концентрат цинковый </t>
  </si>
  <si>
    <t>Думпкары</t>
  </si>
  <si>
    <t>Зерновозы</t>
  </si>
  <si>
    <t>Хоппер</t>
  </si>
  <si>
    <t>Тип металлургии</t>
  </si>
  <si>
    <t>Груз</t>
  </si>
  <si>
    <t xml:space="preserve">Вид перевозки </t>
  </si>
  <si>
    <t>Валюта</t>
  </si>
  <si>
    <t>Средний курс с начала 2026</t>
  </si>
  <si>
    <t>Доллар США</t>
  </si>
  <si>
    <t>Заготовка стальная квадратная</t>
  </si>
  <si>
    <t>Слябы</t>
  </si>
  <si>
    <t>Лом черных металлов</t>
  </si>
  <si>
    <t>Кокс металлургический</t>
  </si>
  <si>
    <t>Загрузка вагона</t>
  </si>
  <si>
    <t>Категория отправки</t>
  </si>
  <si>
    <t>повагонная</t>
  </si>
  <si>
    <t>групповая</t>
  </si>
  <si>
    <t>маршрутная</t>
  </si>
  <si>
    <t>Внутренние</t>
  </si>
  <si>
    <t>Груженый рейс, дней</t>
  </si>
  <si>
    <t>Порожний рейс, дней</t>
  </si>
  <si>
    <t xml:space="preserve">Лом черных металлов </t>
  </si>
  <si>
    <t>Заготовка стальная</t>
  </si>
  <si>
    <t>Окатыши жезезорудные</t>
  </si>
  <si>
    <t>Сталь листовая</t>
  </si>
  <si>
    <t>Рельсы</t>
  </si>
  <si>
    <t>Алюминий</t>
  </si>
  <si>
    <t>Глинозем</t>
  </si>
  <si>
    <t>Руда железорудная, аглоруда</t>
  </si>
  <si>
    <t>Прокат сортовой стальной</t>
  </si>
  <si>
    <t>Колеса цельнокатаные</t>
  </si>
  <si>
    <t>Бокситы</t>
  </si>
  <si>
    <t>Нетоварная продукция (экспертно)</t>
  </si>
  <si>
    <t>Трубы</t>
  </si>
  <si>
    <t>Медь</t>
  </si>
  <si>
    <t>Концентрат  медный</t>
  </si>
  <si>
    <t>Лом цветных металлов</t>
  </si>
  <si>
    <t>Большой диапазон в зависимости от металла и категории</t>
  </si>
  <si>
    <t>Сплавы цветных металлов</t>
  </si>
  <si>
    <t>Никель</t>
  </si>
  <si>
    <t>Штрипс - заготовка трубная</t>
  </si>
  <si>
    <t>Свинец</t>
  </si>
  <si>
    <t>Цинк</t>
  </si>
  <si>
    <t>Чугун</t>
  </si>
  <si>
    <t>Прокат черных металлов</t>
  </si>
  <si>
    <t>Ферросилиций</t>
  </si>
  <si>
    <t xml:space="preserve"> групповая</t>
  </si>
  <si>
    <t>сцеп</t>
  </si>
  <si>
    <t>контейнейрный поезд</t>
  </si>
  <si>
    <t>Изменение тарифа ОАО "РЖД"</t>
  </si>
  <si>
    <t>Коэффициент загрузки предприятия</t>
  </si>
  <si>
    <t>Уголь_Экспорт</t>
  </si>
  <si>
    <t>Уголь_Внутренние</t>
  </si>
  <si>
    <t>Значение</t>
  </si>
  <si>
    <t>Коэффициент</t>
  </si>
  <si>
    <t>Ти подвижного состава</t>
  </si>
  <si>
    <t>Ставка за вагон, руб./сутки</t>
  </si>
  <si>
    <t>Полувагон 25 тс</t>
  </si>
  <si>
    <t>Полувагон 23,5 тс</t>
  </si>
  <si>
    <t>Думпкар</t>
  </si>
  <si>
    <t>Платформа 40 фт + 2 контейнера 20 фт</t>
  </si>
  <si>
    <t>Платформа специализированная</t>
  </si>
  <si>
    <t>Порт</t>
  </si>
  <si>
    <t>Ставка перепвалки угля, долл./т</t>
  </si>
  <si>
    <t>Порты ДВ</t>
  </si>
  <si>
    <t>Тамань</t>
  </si>
  <si>
    <t>Усть-Луга</t>
  </si>
  <si>
    <t>Ставка перепвалки металлов, долл./т</t>
  </si>
  <si>
    <t>Ставка перепвалки руды, руб./т</t>
  </si>
  <si>
    <t>Все порты</t>
  </si>
  <si>
    <t>Ставка перепвалки контейнера, руб./конт.</t>
  </si>
  <si>
    <t>Руда</t>
  </si>
  <si>
    <t>Черные металлы, алюминий, Лес</t>
  </si>
  <si>
    <t>ООО "Кимкано-Сутарский ГОК"</t>
  </si>
  <si>
    <t>Внутренняя логистика</t>
  </si>
  <si>
    <t>ОАО "Оскольский электрометаллургический комбинат"</t>
  </si>
  <si>
    <t>Источник</t>
  </si>
  <si>
    <t>ЕМИСС</t>
  </si>
  <si>
    <t>Русал</t>
  </si>
  <si>
    <t>-</t>
  </si>
  <si>
    <t>Норникель</t>
  </si>
  <si>
    <t>Экспертно</t>
  </si>
  <si>
    <t>ФАС/ЕВРАЗ</t>
  </si>
  <si>
    <t>ФАС/Обзоры рынков</t>
  </si>
  <si>
    <t>Металторг</t>
  </si>
  <si>
    <t>Объем перевозок (тн)</t>
  </si>
  <si>
    <t>Грузооборот, ткм</t>
  </si>
  <si>
    <t>Кол-во вагонов</t>
  </si>
  <si>
    <t>Кол-во контейнеров</t>
  </si>
  <si>
    <t>Провозная плата, руб</t>
  </si>
  <si>
    <t>FOB Черное море</t>
  </si>
  <si>
    <t xml:space="preserve">Дайджест ЦФТО </t>
  </si>
  <si>
    <t>Курс доллара</t>
  </si>
  <si>
    <t>https://ru.myfin.by/currency/cb-rf-archive/2026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</si>
  <si>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</si>
  <si>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</si>
  <si>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</si>
  <si>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</si>
  <si>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</si>
  <si>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</si>
  <si>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</si>
  <si>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</si>
  <si>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</si>
  <si>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</si>
  <si>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</si>
  <si>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</si>
  <si>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Цена руб/т</t>
  </si>
  <si>
    <t>Цена $/т</t>
  </si>
  <si>
    <t>DAP Забайкальск-Манжули</t>
  </si>
  <si>
    <t>FCA</t>
  </si>
  <si>
    <t>LME</t>
  </si>
  <si>
    <t>ЦМ (сырье)</t>
  </si>
  <si>
    <t>ЦМ (продукция)</t>
  </si>
  <si>
    <t>ЧМ (сырье)</t>
  </si>
  <si>
    <t>ЧМ (продукция)</t>
  </si>
  <si>
    <t>параметры расчета тарифа</t>
  </si>
  <si>
    <t>экономика перевозок в текущих условиях</t>
  </si>
  <si>
    <t>для усреднения</t>
  </si>
  <si>
    <t>трнаспортная с индексацией</t>
  </si>
  <si>
    <t>Погрузка-разгрузка, дней</t>
  </si>
  <si>
    <t>Расходы по оплате услуг ОАО 'РЖД', руб. за тонну общая стоимость (тарифные условия 2026 года)</t>
  </si>
  <si>
    <t>Маржинальность в текущих условиях</t>
  </si>
  <si>
    <t>Коэффициент сохранения базы В РАСЧЕТ</t>
  </si>
  <si>
    <t>объем*
коэфф</t>
  </si>
  <si>
    <t>Маржинальность с индексацией</t>
  </si>
  <si>
    <t>индексация жд тарифа</t>
  </si>
  <si>
    <t>индексация заданная</t>
  </si>
  <si>
    <t>корректировка</t>
  </si>
  <si>
    <t>при корректировке коэфф НЕ может принимать значения &gt;1, если у ИПЕМ он &lt;=1, т.е. груз нечувствителен</t>
  </si>
  <si>
    <t>Коэффициент сохранения базы ИПЕМ</t>
  </si>
  <si>
    <t>Коэффициент сохранения базы с корректировкой</t>
  </si>
  <si>
    <t>при корректировке коэфф МОЖЕТ принимать значения &gt;1, если у ИПЕМ он &lt;=1, т.е. груз нечувствителен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</si>
</sst>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* #,##0.00\ _₽_-;\-* #,##0.00\ _₽_-;_-* &quot;-&quot;??\ _₽_-;_-@_-"/>
    <numFmt numFmtId="165" formatCode="_-* #,##0\ _F_-;\-* #,##0\ _F_-;_-* &quot;-&quot;\ _F_-;_-@_-"/>
    <numFmt numFmtId="166" formatCode="_-* #,##0.00\ _F_-;\-* #,##0.00\ _F_-;_-* &quot;-&quot;??\ _F_-;_-@_-"/>
    <numFmt numFmtId="167" formatCode="_-* #,##0.00_р_._-;\-* #,##0.00_р_._-;_-* &quot;-&quot;??_р_._-;_-@_-"/>
    <numFmt numFmtId="168" formatCode="_(* #,##0.00_);_(* \(#,##0.00\);_(* &quot;-&quot;??_);_(@_)"/>
    <numFmt numFmtId="169" formatCode="#,##0.0000"/>
    <numFmt numFmtId="170" formatCode="0.0%"/>
    <numFmt numFmtId="171" formatCode="0.0000"/>
    <numFmt numFmtId="172" formatCode="0.000"/>
    <numFmt numFmtId="173" formatCode="0.0"/>
    <numFmt numFmtId="174" formatCode="#,##0.0"/>
    <numFmt numFmtId="175" formatCode="#,##0.000"/>
  </numFmts>
  <fonts count="67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7"/>
      <color indexed="0"/>
      <name val="Arial"/>
      <family val="2"/>
      <charset val="204"/>
    </font>
    <font>
      <b/>
      <sz val="10"/>
      <color indexed="0"/>
      <name val="Arial"/>
      <family val="2"/>
      <charset val="204"/>
    </font>
    <font>
      <sz val="10"/>
      <color indexed="0"/>
      <name val="Arial"/>
      <family val="2"/>
      <charset val="204"/>
    </font>
    <font>
      <i/>
      <sz val="12"/>
      <color indexed="0"/>
      <name val="Arial"/>
      <family val="2"/>
      <charset val="204"/>
    </font>
    <font>
      <sz val="12"/>
      <name val="Times New Roman CYR"/>
      <charset val="204"/>
    </font>
    <font>
      <b/>
      <sz val="11"/>
      <color indexed="8"/>
      <name val="Calibri"/>
      <family val="2"/>
    </font>
    <font>
      <b/>
      <sz val="10"/>
      <name val="Times New Roman CYR"/>
      <charset val="204"/>
    </font>
    <font>
      <b/>
      <sz val="7"/>
      <color indexed="0"/>
      <name val="MS Sans Serif"/>
      <family val="2"/>
      <charset val="204"/>
    </font>
    <font>
      <b/>
      <sz val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name val="Arial"/>
      <family val="2"/>
      <charset val="204"/>
    </font>
    <font>
      <sz val="8"/>
      <color indexed="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b/>
      <sz val="18"/>
      <color indexed="62"/>
      <name val="Cambria"/>
      <family val="2"/>
    </font>
    <font>
      <b/>
      <sz val="12"/>
      <name val="Times New Roman CYR"/>
      <charset val="204"/>
    </font>
    <font>
      <sz val="11"/>
      <color indexed="48"/>
      <name val="Calibri"/>
      <family val="2"/>
    </font>
    <font>
      <b/>
      <sz val="11"/>
      <color indexed="63"/>
      <name val="Calibri"/>
      <family val="2"/>
    </font>
    <font>
      <b/>
      <sz val="11"/>
      <color indexed="17"/>
      <name val="Calibri"/>
      <family val="2"/>
    </font>
    <font>
      <u/>
      <sz val="10"/>
      <color indexed="12"/>
      <name val="Arial Cyr"/>
      <charset val="204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sz val="10"/>
      <name val="Times New Roman"/>
      <family val="1"/>
      <charset val="204"/>
    </font>
    <font>
      <sz val="12"/>
      <name val="Arial Cyr"/>
      <charset val="204"/>
    </font>
    <font>
      <sz val="14"/>
      <color theme="1"/>
      <name val="Times New Roman"/>
      <family val="2"/>
      <charset val="204"/>
    </font>
    <font>
      <sz val="10"/>
      <name val="MS Sans Serif"/>
      <family val="2"/>
      <charset val="204"/>
    </font>
    <font>
      <sz val="10"/>
      <name val="Arial"/>
      <family val="2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0"/>
      <name val="Times New Roman Cyr"/>
      <charset val="204"/>
    </font>
    <font>
      <sz val="10"/>
      <color indexed="8"/>
      <name val="Arial"/>
      <family val="2"/>
      <charset val="204"/>
    </font>
    <font>
      <sz val="10"/>
      <color indexed="8"/>
      <name val="Arial"/>
      <family val="2"/>
    </font>
    <font>
      <sz val="11"/>
      <color indexed="37"/>
      <name val="Calibri"/>
      <family val="2"/>
    </font>
    <font>
      <sz val="10"/>
      <name val="Helv"/>
      <charset val="204"/>
    </font>
    <font>
      <sz val="11"/>
      <color indexed="14"/>
      <name val="Calibri"/>
      <family val="2"/>
    </font>
    <font>
      <sz val="8"/>
      <name val="Helvetica-Narrow"/>
      <family val="2"/>
    </font>
    <font>
      <sz val="11"/>
      <name val="Arial"/>
      <family val="2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22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charset val="204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u/>
      <sz val="14.3"/>
      <color theme="10"/>
      <name val="Calibri"/>
      <family val="2"/>
      <charset val="204"/>
    </font>
    <font>
      <sz val="12"/>
      <color theme="1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6"/>
      <color theme="4" tint="0.79998168889431442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2"/>
      <name val="Times New Roman"/>
      <family val="1"/>
      <charset val="204"/>
    </font>
    <font>
      <sz val="8"/>
      <color rgb="FF000000"/>
      <name val="Tahoma"/>
      <family val="2"/>
      <charset val="204"/>
    </font>
  </fonts>
  <fills count="71">
    <fill>
      <patternFill patternType="none"/>
    </fill>
    <fill>
      <patternFill patternType="gray125"/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1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rgb="FFECF1F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45"/>
      </patternFill>
    </fill>
    <fill>
      <patternFill patternType="solid">
        <fgColor indexed="12"/>
      </patternFill>
    </fill>
    <fill>
      <patternFill patternType="solid">
        <fgColor indexed="10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rgb="FF90BBF0"/>
        <bgColor indexed="64"/>
      </patternFill>
    </fill>
    <fill>
      <patternFill patternType="solid">
        <fgColor indexed="22"/>
      </patternFill>
    </fill>
    <fill>
      <patternFill patternType="solid">
        <fgColor rgb="FFB2D0F4"/>
        <bgColor indexed="64"/>
      </patternFill>
    </fill>
    <fill>
      <patternFill patternType="solid">
        <fgColor indexed="23"/>
      </patternFill>
    </fill>
    <fill>
      <patternFill patternType="solid">
        <fgColor rgb="FFC5DCF7"/>
        <bgColor indexed="64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48"/>
        <bgColor indexed="48"/>
      </patternFill>
    </fill>
    <fill>
      <patternFill patternType="solid">
        <fgColor indexed="25"/>
        <bgColor indexed="25"/>
      </patternFill>
    </fill>
    <fill>
      <patternFill patternType="solid">
        <fgColor indexed="57"/>
        <bgColor indexed="57"/>
      </patternFill>
    </fill>
    <fill>
      <patternFill patternType="solid">
        <fgColor indexed="18"/>
        <bgColor indexed="18"/>
      </patternFill>
    </fill>
    <fill>
      <patternFill patternType="solid">
        <fgColor indexed="53"/>
        <bgColor indexed="53"/>
      </patternFill>
    </fill>
    <fill>
      <patternFill patternType="solid">
        <fgColor indexed="35"/>
        <bgColor indexed="35"/>
      </patternFill>
    </fill>
    <fill>
      <patternFill patternType="solid">
        <fgColor indexed="60"/>
      </patternFill>
    </fill>
    <fill>
      <patternFill patternType="solid">
        <fgColor rgb="FFEAF1F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 style="thin">
        <color indexed="64"/>
      </diagonal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09">
    <xf numFmtId="0" fontId="0" fillId="0" borderId="0"/>
    <xf numFmtId="164" fontId="1" fillId="0" borderId="0" applyFont="0" applyFill="0" applyBorder="0" applyAlignment="0" applyProtection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5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0" applyNumberFormat="0" applyBorder="0" applyAlignment="0" applyProtection="0"/>
    <xf numFmtId="0" fontId="5" fillId="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5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49" fontId="6" fillId="17" borderId="1">
      <alignment horizontal="left" vertical="top" wrapText="1"/>
      <protection locked="0"/>
    </xf>
    <xf numFmtId="49" fontId="7" fillId="17" borderId="1">
      <alignment horizontal="center" vertical="top" wrapText="1"/>
      <protection locked="0"/>
    </xf>
    <xf numFmtId="49" fontId="8" fillId="17" borderId="0">
      <alignment horizontal="right" vertical="top" wrapText="1"/>
      <protection locked="0"/>
    </xf>
    <xf numFmtId="49" fontId="8" fillId="17" borderId="0">
      <alignment horizontal="center" vertical="top" wrapText="1"/>
      <protection locked="0"/>
    </xf>
    <xf numFmtId="49" fontId="9" fillId="17" borderId="0">
      <alignment horizontal="left" vertical="top" wrapText="1"/>
      <protection locked="0"/>
    </xf>
    <xf numFmtId="0" fontId="10" fillId="0" borderId="2">
      <alignment horizontal="left" vertical="top"/>
      <protection locked="0"/>
    </xf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2" fillId="0" borderId="2">
      <alignment horizontal="center" vertical="top"/>
      <protection locked="0"/>
    </xf>
    <xf numFmtId="49" fontId="13" fillId="17" borderId="1">
      <alignment horizontal="center" vertical="top" wrapText="1"/>
      <protection locked="0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4" fillId="21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5" fillId="22" borderId="3" applyNumberFormat="0" applyProtection="0">
      <alignment vertical="center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4" fontId="14" fillId="21" borderId="3" applyNumberFormat="0" applyProtection="0">
      <alignment horizontal="left" vertical="center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0" fontId="16" fillId="23" borderId="4" applyNumberFormat="0" applyProtection="0">
      <alignment horizontal="left" vertical="top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4" borderId="3" applyNumberFormat="0" applyProtection="0">
      <alignment horizontal="left" vertical="center" indent="1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5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6" borderId="3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7" borderId="5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8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29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0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1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2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3" borderId="3" applyNumberFormat="0" applyProtection="0">
      <alignment horizontal="right" vertical="center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7" fillId="34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8" fillId="35" borderId="5" applyNumberFormat="0" applyProtection="0">
      <alignment horizontal="left" vertical="center" indent="1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6" borderId="3" applyNumberFormat="0" applyProtection="0">
      <alignment horizontal="right" vertical="center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7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4" fontId="17" fillId="36" borderId="5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7" fillId="39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4" fillId="38" borderId="3" applyNumberFormat="0" applyProtection="0">
      <alignment horizontal="left" vertical="center" indent="1"/>
    </xf>
    <xf numFmtId="0" fontId="17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9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4" fillId="40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7" fillId="41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4" fillId="40" borderId="3" applyNumberFormat="0" applyProtection="0">
      <alignment horizontal="left" vertical="center" indent="1"/>
    </xf>
    <xf numFmtId="0" fontId="17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9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4" fillId="42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7" fillId="43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4" fillId="42" borderId="3" applyNumberFormat="0" applyProtection="0">
      <alignment horizontal="left" vertical="center" indent="1"/>
    </xf>
    <xf numFmtId="0" fontId="17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9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0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37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0" borderId="3" applyNumberFormat="0" applyProtection="0">
      <alignment horizontal="left" vertical="center" indent="1"/>
    </xf>
    <xf numFmtId="0" fontId="17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9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44" borderId="6" applyNumberFormat="0">
      <protection locked="0"/>
    </xf>
    <xf numFmtId="0" fontId="19" fillId="44" borderId="6" applyNumberFormat="0">
      <protection locked="0"/>
    </xf>
    <xf numFmtId="0" fontId="19" fillId="44" borderId="6" applyNumberFormat="0">
      <protection locked="0"/>
    </xf>
    <xf numFmtId="0" fontId="14" fillId="35" borderId="7" applyBorder="0"/>
    <xf numFmtId="0" fontId="14" fillId="35" borderId="7" applyBorder="0"/>
    <xf numFmtId="0" fontId="14" fillId="35" borderId="7" applyBorder="0"/>
    <xf numFmtId="0" fontId="14" fillId="35" borderId="7" applyBorder="0"/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20" fillId="45" borderId="4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15" fillId="46" borderId="1" applyNumberFormat="0" applyProtection="0">
      <alignment vertical="center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4" fontId="20" fillId="39" borderId="4" applyNumberFormat="0" applyProtection="0">
      <alignment horizontal="left" vertical="center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0" fontId="20" fillId="45" borderId="4" applyNumberFormat="0" applyProtection="0">
      <alignment horizontal="left" vertical="top" indent="1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7" fillId="0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5" fillId="47" borderId="3" applyNumberFormat="0" applyProtection="0">
      <alignment horizontal="right" vertical="center"/>
    </xf>
    <xf numFmtId="4" fontId="17" fillId="48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9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4" fontId="17" fillId="48" borderId="3" applyNumberFormat="0" applyProtection="0">
      <alignment horizontal="left" vertical="center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0" fontId="20" fillId="36" borderId="4" applyNumberFormat="0" applyProtection="0">
      <alignment horizontal="left" vertical="top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4" fontId="21" fillId="50" borderId="5" applyNumberFormat="0" applyProtection="0">
      <alignment horizontal="left" vertical="center" indent="1"/>
    </xf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0" fontId="17" fillId="51" borderId="1"/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4" fontId="22" fillId="44" borderId="3" applyNumberFormat="0" applyProtection="0">
      <alignment horizontal="right" vertical="center"/>
    </xf>
    <xf numFmtId="0" fontId="23" fillId="0" borderId="0" applyNumberFormat="0" applyFill="0" applyBorder="0" applyAlignment="0" applyProtection="0"/>
    <xf numFmtId="0" fontId="24" fillId="0" borderId="8">
      <alignment horizontal="right" vertical="top"/>
      <protection locked="0"/>
    </xf>
    <xf numFmtId="0" fontId="5" fillId="52" borderId="0" applyNumberFormat="0" applyBorder="0" applyAlignment="0" applyProtection="0"/>
    <xf numFmtId="0" fontId="5" fillId="53" borderId="0" applyNumberFormat="0" applyBorder="0" applyAlignment="0" applyProtection="0"/>
    <xf numFmtId="0" fontId="5" fillId="54" borderId="0" applyNumberFormat="0" applyBorder="0" applyAlignment="0" applyProtection="0"/>
    <xf numFmtId="0" fontId="5" fillId="55" borderId="0" applyNumberFormat="0" applyBorder="0" applyAlignment="0" applyProtection="0"/>
    <xf numFmtId="0" fontId="5" fillId="4" borderId="0" applyNumberFormat="0" applyBorder="0" applyAlignment="0" applyProtection="0"/>
    <xf numFmtId="0" fontId="5" fillId="56" borderId="0" applyNumberFormat="0" applyBorder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5" fillId="15" borderId="3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6" fillId="57" borderId="9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7" fillId="57" borderId="3" applyNumberFormat="0" applyAlignment="0" applyProtection="0"/>
    <xf numFmtId="0" fontId="28" fillId="0" borderId="0" applyNumberFormat="0" applyFill="0" applyBorder="0" applyAlignment="0" applyProtection="0">
      <alignment vertical="top"/>
      <protection locked="0"/>
    </xf>
    <xf numFmtId="0" fontId="29" fillId="0" borderId="10" applyNumberFormat="0" applyFill="0" applyAlignment="0" applyProtection="0"/>
    <xf numFmtId="0" fontId="30" fillId="0" borderId="11" applyNumberFormat="0" applyFill="0" applyAlignment="0" applyProtection="0"/>
    <xf numFmtId="0" fontId="31" fillId="0" borderId="12" applyNumberFormat="0" applyFill="0" applyAlignment="0" applyProtection="0"/>
    <xf numFmtId="0" fontId="31" fillId="0" borderId="0" applyNumberFormat="0" applyFill="0" applyBorder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32" fillId="55" borderId="14" applyNumberFormat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4" fillId="0" borderId="0"/>
    <xf numFmtId="0" fontId="35" fillId="0" borderId="0"/>
    <xf numFmtId="0" fontId="36" fillId="0" borderId="0"/>
    <xf numFmtId="0" fontId="10" fillId="0" borderId="0"/>
    <xf numFmtId="0" fontId="3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58" borderId="0"/>
    <xf numFmtId="0" fontId="19" fillId="58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>
      <alignment vertical="top"/>
      <protection locked="0"/>
    </xf>
    <xf numFmtId="0" fontId="39" fillId="0" borderId="0"/>
    <xf numFmtId="0" fontId="39" fillId="0" borderId="0"/>
    <xf numFmtId="0" fontId="38" fillId="0" borderId="0">
      <alignment vertical="top"/>
      <protection locked="0"/>
    </xf>
    <xf numFmtId="0" fontId="39" fillId="0" borderId="0"/>
    <xf numFmtId="0" fontId="39" fillId="0" borderId="0"/>
    <xf numFmtId="0" fontId="19" fillId="58" borderId="0"/>
    <xf numFmtId="0" fontId="35" fillId="0" borderId="0"/>
    <xf numFmtId="0" fontId="40" fillId="0" borderId="0"/>
    <xf numFmtId="0" fontId="19" fillId="59" borderId="0"/>
    <xf numFmtId="0" fontId="19" fillId="59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9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41" fillId="0" borderId="0"/>
    <xf numFmtId="0" fontId="1" fillId="0" borderId="0"/>
    <xf numFmtId="0" fontId="1" fillId="0" borderId="0"/>
    <xf numFmtId="0" fontId="35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" fillId="0" borderId="0"/>
    <xf numFmtId="0" fontId="42" fillId="0" borderId="0"/>
    <xf numFmtId="0" fontId="1" fillId="0" borderId="0"/>
    <xf numFmtId="0" fontId="19" fillId="59" borderId="0"/>
    <xf numFmtId="0" fontId="1" fillId="0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8" fillId="0" borderId="0" applyNumberFormat="0" applyFont="0" applyFill="0" applyBorder="0" applyAlignment="0" applyProtection="0">
      <alignment vertical="top"/>
    </xf>
    <xf numFmtId="0" fontId="43" fillId="0" borderId="0"/>
    <xf numFmtId="0" fontId="38" fillId="0" borderId="0" applyNumberFormat="0" applyFont="0" applyFill="0" applyBorder="0" applyAlignment="0" applyProtection="0">
      <alignment vertical="top"/>
    </xf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19" fillId="59" borderId="0"/>
    <xf numFmtId="0" fontId="38" fillId="0" borderId="0">
      <alignment vertical="top"/>
      <protection locked="0"/>
    </xf>
    <xf numFmtId="0" fontId="38" fillId="0" borderId="0">
      <alignment vertical="top"/>
      <protection locked="0"/>
    </xf>
    <xf numFmtId="0" fontId="38" fillId="0" borderId="0">
      <alignment vertical="top"/>
      <protection locked="0"/>
    </xf>
    <xf numFmtId="0" fontId="38" fillId="0" borderId="0" applyNumberFormat="0" applyFont="0" applyFill="0" applyBorder="0" applyAlignment="0" applyProtection="0">
      <alignment vertical="top"/>
    </xf>
    <xf numFmtId="0" fontId="38" fillId="0" borderId="0" applyNumberFormat="0" applyFont="0" applyFill="0" applyBorder="0" applyAlignment="0" applyProtection="0">
      <alignment vertical="top"/>
    </xf>
    <xf numFmtId="0" fontId="38" fillId="0" borderId="0" applyNumberFormat="0" applyFont="0" applyFill="0" applyBorder="0" applyAlignment="0" applyProtection="0">
      <alignment vertical="top"/>
    </xf>
    <xf numFmtId="0" fontId="39" fillId="0" borderId="0"/>
    <xf numFmtId="0" fontId="39" fillId="0" borderId="0"/>
    <xf numFmtId="0" fontId="43" fillId="0" borderId="0"/>
    <xf numFmtId="0" fontId="38" fillId="0" borderId="0">
      <alignment vertical="top"/>
      <protection locked="0"/>
    </xf>
    <xf numFmtId="0" fontId="44" fillId="14" borderId="0" applyNumberFormat="0" applyBorder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9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3" fillId="0" borderId="15" applyNumberFormat="0" applyFill="0" applyAlignment="0" applyProtection="0"/>
    <xf numFmtId="0" fontId="45" fillId="0" borderId="0"/>
    <xf numFmtId="0" fontId="46" fillId="0" borderId="0" applyNumberFormat="0" applyFill="0" applyBorder="0" applyAlignment="0" applyProtection="0"/>
    <xf numFmtId="165" fontId="47" fillId="0" borderId="0" applyFont="0" applyFill="0" applyBorder="0" applyAlignment="0" applyProtection="0"/>
    <xf numFmtId="166" fontId="47" fillId="0" borderId="0" applyFont="0" applyFill="0" applyBorder="0" applyAlignment="0" applyProtection="0"/>
    <xf numFmtId="167" fontId="39" fillId="0" borderId="0" applyFont="0" applyFill="0" applyBorder="0" applyAlignment="0" applyProtection="0"/>
    <xf numFmtId="167" fontId="39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40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3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49" fontId="6" fillId="17" borderId="16">
      <alignment horizontal="left" vertical="top" wrapText="1"/>
      <protection locked="0"/>
    </xf>
    <xf numFmtId="49" fontId="7" fillId="17" borderId="16">
      <alignment horizontal="center" vertical="top" wrapText="1"/>
      <protection locked="0"/>
    </xf>
    <xf numFmtId="49" fontId="13" fillId="17" borderId="16">
      <alignment horizontal="center" vertical="top" wrapText="1"/>
      <protection locked="0"/>
    </xf>
    <xf numFmtId="4" fontId="15" fillId="46" borderId="16" applyNumberFormat="0" applyProtection="0">
      <alignment vertical="center"/>
    </xf>
    <xf numFmtId="4" fontId="15" fillId="46" borderId="16" applyNumberFormat="0" applyProtection="0">
      <alignment vertical="center"/>
    </xf>
    <xf numFmtId="4" fontId="15" fillId="46" borderId="16" applyNumberFormat="0" applyProtection="0">
      <alignment vertical="center"/>
    </xf>
    <xf numFmtId="4" fontId="15" fillId="46" borderId="16" applyNumberFormat="0" applyProtection="0">
      <alignment vertical="center"/>
    </xf>
    <xf numFmtId="0" fontId="17" fillId="51" borderId="16"/>
    <xf numFmtId="0" fontId="17" fillId="51" borderId="16"/>
    <xf numFmtId="0" fontId="17" fillId="51" borderId="16"/>
    <xf numFmtId="0" fontId="17" fillId="51" borderId="16"/>
    <xf numFmtId="0" fontId="17" fillId="51" borderId="16"/>
    <xf numFmtId="0" fontId="17" fillId="51" borderId="16"/>
    <xf numFmtId="0" fontId="17" fillId="51" borderId="16"/>
    <xf numFmtId="0" fontId="17" fillId="51" borderId="16"/>
    <xf numFmtId="43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5" fillId="0" borderId="0"/>
    <xf numFmtId="9" fontId="55" fillId="0" borderId="0" applyFont="0" applyFill="0" applyBorder="0" applyAlignment="0" applyProtection="0"/>
    <xf numFmtId="0" fontId="55" fillId="0" borderId="0"/>
    <xf numFmtId="164" fontId="55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8" fillId="0" borderId="0"/>
    <xf numFmtId="43" fontId="1" fillId="0" borderId="0" applyFont="0" applyFill="0" applyBorder="0" applyAlignment="0" applyProtection="0"/>
    <xf numFmtId="0" fontId="55" fillId="0" borderId="0"/>
    <xf numFmtId="0" fontId="40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9" fillId="0" borderId="0" applyNumberFormat="0" applyFill="0" applyBorder="0" applyAlignment="0" applyProtection="0">
      <alignment vertical="top"/>
      <protection locked="0"/>
    </xf>
  </cellStyleXfs>
  <cellXfs count="139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3" fillId="48" borderId="16" xfId="0" applyFont="1" applyFill="1" applyBorder="1" applyAlignment="1">
      <alignment vertical="center"/>
    </xf>
    <xf numFmtId="0" fontId="3" fillId="0" borderId="0" xfId="0" applyFont="1"/>
    <xf numFmtId="0" fontId="3" fillId="0" borderId="16" xfId="0" applyFont="1" applyFill="1" applyBorder="1" applyAlignment="1">
      <alignment vertical="center"/>
    </xf>
    <xf numFmtId="0" fontId="3" fillId="0" borderId="0" xfId="0" applyFont="1" applyFill="1"/>
    <xf numFmtId="0" fontId="3" fillId="0" borderId="16" xfId="0" applyFont="1" applyBorder="1"/>
    <xf numFmtId="0" fontId="0" fillId="0" borderId="0" xfId="0" applyAlignment="1">
      <alignment horizontal="center"/>
    </xf>
    <xf numFmtId="3" fontId="0" fillId="0" borderId="0" xfId="0" applyNumberFormat="1"/>
    <xf numFmtId="14" fontId="0" fillId="0" borderId="0" xfId="0" applyNumberFormat="1"/>
    <xf numFmtId="169" fontId="0" fillId="0" borderId="0" xfId="0" applyNumberFormat="1"/>
    <xf numFmtId="0" fontId="0" fillId="0" borderId="0" xfId="0"/>
    <xf numFmtId="170" fontId="54" fillId="0" borderId="16" xfId="0" applyNumberFormat="1" applyFont="1" applyBorder="1" applyAlignment="1">
      <alignment horizontal="center" vertical="center"/>
    </xf>
    <xf numFmtId="170" fontId="54" fillId="64" borderId="16" xfId="0" applyNumberFormat="1" applyFont="1" applyFill="1" applyBorder="1" applyAlignment="1">
      <alignment horizontal="center" vertical="center"/>
    </xf>
    <xf numFmtId="171" fontId="0" fillId="0" borderId="0" xfId="0" applyNumberFormat="1"/>
    <xf numFmtId="0" fontId="55" fillId="0" borderId="0" xfId="495"/>
    <xf numFmtId="0" fontId="56" fillId="0" borderId="0" xfId="495" applyFont="1"/>
    <xf numFmtId="170" fontId="56" fillId="0" borderId="16" xfId="496" applyNumberFormat="1" applyFont="1" applyBorder="1" applyAlignment="1">
      <alignment horizontal="center" vertical="center"/>
    </xf>
    <xf numFmtId="172" fontId="56" fillId="0" borderId="0" xfId="495" applyNumberFormat="1" applyFont="1"/>
    <xf numFmtId="172" fontId="55" fillId="0" borderId="0" xfId="495" applyNumberFormat="1"/>
    <xf numFmtId="9" fontId="56" fillId="0" borderId="16" xfId="496" applyFont="1" applyBorder="1" applyAlignment="1">
      <alignment horizontal="center" vertical="center"/>
    </xf>
    <xf numFmtId="173" fontId="56" fillId="0" borderId="0" xfId="495" applyNumberFormat="1" applyFont="1"/>
    <xf numFmtId="170" fontId="56" fillId="0" borderId="18" xfId="496" applyNumberFormat="1" applyFont="1" applyFill="1" applyBorder="1" applyAlignment="1">
      <alignment horizontal="center" vertical="center"/>
    </xf>
    <xf numFmtId="172" fontId="0" fillId="0" borderId="0" xfId="0" applyNumberFormat="1"/>
    <xf numFmtId="173" fontId="0" fillId="0" borderId="0" xfId="0" applyNumberFormat="1"/>
    <xf numFmtId="0" fontId="55" fillId="0" borderId="0" xfId="497"/>
    <xf numFmtId="0" fontId="56" fillId="0" borderId="0" xfId="497" applyFont="1"/>
    <xf numFmtId="170" fontId="56" fillId="0" borderId="16" xfId="496" applyNumberFormat="1" applyFont="1" applyBorder="1" applyAlignment="1">
      <alignment horizontal="center" vertical="center"/>
    </xf>
    <xf numFmtId="10" fontId="56" fillId="0" borderId="0" xfId="497" applyNumberFormat="1" applyFont="1"/>
    <xf numFmtId="2" fontId="56" fillId="0" borderId="0" xfId="497" applyNumberFormat="1" applyFont="1"/>
    <xf numFmtId="173" fontId="56" fillId="0" borderId="0" xfId="497" applyNumberFormat="1" applyFont="1"/>
    <xf numFmtId="0" fontId="55" fillId="65" borderId="0" xfId="497" applyFill="1"/>
    <xf numFmtId="170" fontId="56" fillId="0" borderId="18" xfId="496" applyNumberFormat="1" applyFont="1" applyFill="1" applyBorder="1" applyAlignment="1">
      <alignment horizontal="center" vertical="center"/>
    </xf>
    <xf numFmtId="172" fontId="56" fillId="0" borderId="0" xfId="497" applyNumberFormat="1" applyFont="1"/>
    <xf numFmtId="172" fontId="55" fillId="0" borderId="0" xfId="497" applyNumberFormat="1"/>
    <xf numFmtId="2" fontId="55" fillId="0" borderId="0" xfId="497" applyNumberFormat="1"/>
    <xf numFmtId="0" fontId="55" fillId="0" borderId="0" xfId="502"/>
    <xf numFmtId="0" fontId="56" fillId="0" borderId="0" xfId="502" applyFont="1"/>
    <xf numFmtId="170" fontId="56" fillId="0" borderId="16" xfId="496" applyNumberFormat="1" applyFont="1" applyBorder="1" applyAlignment="1">
      <alignment horizontal="center" vertical="center"/>
    </xf>
    <xf numFmtId="10" fontId="56" fillId="0" borderId="0" xfId="502" applyNumberFormat="1" applyFont="1"/>
    <xf numFmtId="9" fontId="56" fillId="0" borderId="16" xfId="496" applyFont="1" applyBorder="1" applyAlignment="1">
      <alignment horizontal="center" vertical="center"/>
    </xf>
    <xf numFmtId="173" fontId="56" fillId="0" borderId="0" xfId="502" applyNumberFormat="1" applyFont="1"/>
    <xf numFmtId="0" fontId="55" fillId="65" borderId="0" xfId="502" applyFill="1"/>
    <xf numFmtId="170" fontId="56" fillId="0" borderId="18" xfId="496" applyNumberFormat="1" applyFont="1" applyFill="1" applyBorder="1" applyAlignment="1">
      <alignment horizontal="center" vertical="center"/>
    </xf>
    <xf numFmtId="172" fontId="56" fillId="0" borderId="0" xfId="502" applyNumberFormat="1" applyFont="1"/>
    <xf numFmtId="172" fontId="55" fillId="0" borderId="0" xfId="502" applyNumberFormat="1"/>
    <xf numFmtId="0" fontId="0" fillId="66" borderId="0" xfId="0" applyFill="1"/>
    <xf numFmtId="14" fontId="0" fillId="66" borderId="0" xfId="0" applyNumberFormat="1" applyFill="1"/>
    <xf numFmtId="0" fontId="0" fillId="61" borderId="0" xfId="0" applyFill="1"/>
    <xf numFmtId="0" fontId="0" fillId="68" borderId="0" xfId="0" applyFill="1"/>
    <xf numFmtId="0" fontId="59" fillId="0" borderId="0" xfId="508" applyAlignment="1" applyProtection="1"/>
    <xf numFmtId="0" fontId="0" fillId="61" borderId="0" xfId="0" applyFill="1" applyAlignment="1">
      <alignment horizontal="center"/>
    </xf>
    <xf numFmtId="169" fontId="0" fillId="61" borderId="0" xfId="0" applyNumberFormat="1" applyFill="1" applyAlignment="1">
      <alignment horizontal="center"/>
    </xf>
    <xf numFmtId="0" fontId="0" fillId="60" borderId="0" xfId="0" applyFill="1"/>
    <xf numFmtId="14" fontId="0" fillId="60" borderId="0" xfId="0" applyNumberFormat="1" applyFill="1"/>
    <xf numFmtId="1" fontId="0" fillId="66" borderId="0" xfId="0" applyNumberFormat="1" applyFill="1"/>
    <xf numFmtId="0" fontId="3" fillId="48" borderId="0" xfId="0" applyFont="1" applyFill="1" applyBorder="1" applyAlignment="1">
      <alignment horizontal="left" vertical="center" wrapText="1"/>
    </xf>
    <xf numFmtId="14" fontId="0" fillId="68" borderId="0" xfId="0" applyNumberFormat="1" applyFill="1"/>
    <xf numFmtId="0" fontId="60" fillId="0" borderId="21" xfId="0" applyFont="1" applyFill="1" applyBorder="1" applyAlignment="1">
      <alignment vertical="center" wrapText="1"/>
    </xf>
    <xf numFmtId="0" fontId="50" fillId="0" borderId="16" xfId="0" applyFont="1" applyBorder="1" applyAlignment="1">
      <alignment vertical="center" wrapText="1"/>
    </xf>
    <xf numFmtId="0" fontId="50" fillId="0" borderId="16" xfId="0" applyFont="1" applyBorder="1" applyAlignment="1">
      <alignment horizontal="center" vertical="center" wrapText="1"/>
    </xf>
    <xf numFmtId="0" fontId="50" fillId="61" borderId="16" xfId="0" applyFont="1" applyFill="1" applyBorder="1" applyAlignment="1">
      <alignment horizontal="center" vertical="center" wrapText="1"/>
    </xf>
    <xf numFmtId="164" fontId="49" fillId="61" borderId="16" xfId="1" applyFont="1" applyFill="1" applyBorder="1" applyAlignment="1">
      <alignment horizontal="center" vertical="center" wrapText="1"/>
    </xf>
    <xf numFmtId="164" fontId="49" fillId="66" borderId="16" xfId="1" applyFont="1" applyFill="1" applyBorder="1" applyAlignment="1">
      <alignment horizontal="center" vertical="center" wrapText="1"/>
    </xf>
    <xf numFmtId="164" fontId="49" fillId="70" borderId="16" xfId="1" applyFont="1" applyFill="1" applyBorder="1" applyAlignment="1">
      <alignment horizontal="center" vertical="center" wrapText="1"/>
    </xf>
    <xf numFmtId="164" fontId="49" fillId="60" borderId="16" xfId="1" applyFont="1" applyFill="1" applyBorder="1" applyAlignment="1">
      <alignment horizontal="center" vertical="center" wrapText="1"/>
    </xf>
    <xf numFmtId="164" fontId="49" fillId="0" borderId="16" xfId="1" applyFont="1" applyFill="1" applyBorder="1" applyAlignment="1">
      <alignment horizontal="center" vertical="center" wrapText="1"/>
    </xf>
    <xf numFmtId="164" fontId="49" fillId="69" borderId="16" xfId="1" applyFont="1" applyFill="1" applyBorder="1" applyAlignment="1">
      <alignment horizontal="center" vertical="center" wrapText="1"/>
    </xf>
    <xf numFmtId="164" fontId="49" fillId="68" borderId="16" xfId="1" applyFont="1" applyFill="1" applyBorder="1" applyAlignment="1">
      <alignment horizontal="center" vertical="center" wrapText="1"/>
    </xf>
    <xf numFmtId="0" fontId="49" fillId="67" borderId="16" xfId="0" applyFont="1" applyFill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60" fillId="0" borderId="21" xfId="0" applyFont="1" applyFill="1" applyBorder="1" applyAlignment="1">
      <alignment horizontal="center" vertical="center" wrapText="1"/>
    </xf>
    <xf numFmtId="0" fontId="50" fillId="61" borderId="20" xfId="0" applyFont="1" applyFill="1" applyBorder="1" applyAlignment="1">
      <alignment horizontal="center" vertical="center" wrapText="1"/>
    </xf>
    <xf numFmtId="170" fontId="54" fillId="0" borderId="20" xfId="0" applyNumberFormat="1" applyFont="1" applyBorder="1" applyAlignment="1">
      <alignment horizontal="center" vertical="center"/>
    </xf>
    <xf numFmtId="0" fontId="50" fillId="0" borderId="16" xfId="0" applyFont="1" applyFill="1" applyBorder="1" applyAlignment="1">
      <alignment horizontal="center" vertical="center" wrapText="1"/>
    </xf>
    <xf numFmtId="0" fontId="3" fillId="48" borderId="16" xfId="0" applyFont="1" applyFill="1" applyBorder="1" applyAlignment="1">
      <alignment horizontal="center" vertical="center"/>
    </xf>
    <xf numFmtId="0" fontId="3" fillId="48" borderId="16" xfId="0" applyFont="1" applyFill="1" applyBorder="1" applyAlignment="1">
      <alignment horizontal="left" vertical="center" wrapText="1"/>
    </xf>
    <xf numFmtId="0" fontId="3" fillId="48" borderId="16" xfId="0" applyFont="1" applyFill="1" applyBorder="1" applyAlignment="1">
      <alignment horizontal="left" vertical="center"/>
    </xf>
    <xf numFmtId="0" fontId="3" fillId="48" borderId="16" xfId="0" quotePrefix="1" applyFont="1" applyFill="1" applyBorder="1" applyAlignment="1">
      <alignment horizontal="center" vertical="center" wrapText="1"/>
    </xf>
    <xf numFmtId="3" fontId="3" fillId="48" borderId="16" xfId="0" applyNumberFormat="1" applyFont="1" applyFill="1" applyBorder="1" applyAlignment="1">
      <alignment horizontal="center" vertical="center"/>
    </xf>
    <xf numFmtId="3" fontId="3" fillId="0" borderId="16" xfId="0" applyNumberFormat="1" applyFont="1" applyBorder="1" applyAlignment="1">
      <alignment horizontal="center" vertical="center" wrapText="1"/>
    </xf>
    <xf numFmtId="3" fontId="3" fillId="0" borderId="16" xfId="0" applyNumberFormat="1" applyFont="1" applyBorder="1" applyAlignment="1">
      <alignment horizontal="center" vertical="center"/>
    </xf>
    <xf numFmtId="9" fontId="3" fillId="0" borderId="16" xfId="0" applyNumberFormat="1" applyFont="1" applyBorder="1"/>
    <xf numFmtId="0" fontId="3" fillId="0" borderId="16" xfId="0" applyFont="1" applyFill="1" applyBorder="1" applyAlignment="1">
      <alignment horizontal="center" vertical="center"/>
    </xf>
    <xf numFmtId="0" fontId="3" fillId="0" borderId="16" xfId="0" applyFont="1" applyFill="1" applyBorder="1" applyAlignment="1">
      <alignment horizontal="left" vertical="center" wrapText="1"/>
    </xf>
    <xf numFmtId="0" fontId="3" fillId="0" borderId="16" xfId="0" quotePrefix="1" applyFont="1" applyFill="1" applyBorder="1" applyAlignment="1">
      <alignment horizontal="center" vertical="center" wrapText="1"/>
    </xf>
    <xf numFmtId="3" fontId="3" fillId="0" borderId="16" xfId="0" applyNumberFormat="1" applyFont="1" applyFill="1" applyBorder="1" applyAlignment="1">
      <alignment horizontal="center" vertical="center"/>
    </xf>
    <xf numFmtId="3" fontId="3" fillId="0" borderId="16" xfId="0" applyNumberFormat="1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/>
    </xf>
    <xf numFmtId="0" fontId="3" fillId="0" borderId="16" xfId="0" quotePrefix="1" applyFont="1" applyBorder="1" applyAlignment="1">
      <alignment horizontal="left" vertical="center" wrapText="1"/>
    </xf>
    <xf numFmtId="174" fontId="3" fillId="0" borderId="16" xfId="0" applyNumberFormat="1" applyFont="1" applyBorder="1" applyAlignment="1">
      <alignment horizontal="center" vertical="center"/>
    </xf>
    <xf numFmtId="174" fontId="3" fillId="0" borderId="16" xfId="0" applyNumberFormat="1" applyFont="1" applyFill="1" applyBorder="1" applyAlignment="1">
      <alignment horizontal="center" vertical="center"/>
    </xf>
    <xf numFmtId="170" fontId="3" fillId="0" borderId="16" xfId="494" applyNumberFormat="1" applyFont="1" applyFill="1" applyBorder="1" applyAlignment="1">
      <alignment horizontal="center" vertical="center"/>
    </xf>
    <xf numFmtId="0" fontId="3" fillId="68" borderId="16" xfId="0" applyFont="1" applyFill="1" applyBorder="1" applyAlignment="1">
      <alignment horizontal="left" vertical="center" wrapText="1"/>
    </xf>
    <xf numFmtId="174" fontId="3" fillId="70" borderId="16" xfId="0" applyNumberFormat="1" applyFont="1" applyFill="1" applyBorder="1" applyAlignment="1">
      <alignment horizontal="center" vertical="center"/>
    </xf>
    <xf numFmtId="174" fontId="3" fillId="66" borderId="16" xfId="0" applyNumberFormat="1" applyFont="1" applyFill="1" applyBorder="1" applyAlignment="1">
      <alignment horizontal="center" vertical="center"/>
    </xf>
    <xf numFmtId="0" fontId="0" fillId="66" borderId="0" xfId="0" applyFill="1" applyAlignment="1">
      <alignment horizontal="center" wrapText="1"/>
    </xf>
    <xf numFmtId="172" fontId="62" fillId="70" borderId="0" xfId="0" applyNumberFormat="1" applyFont="1" applyFill="1" applyAlignment="1">
      <alignment horizontal="center" vertical="center"/>
    </xf>
    <xf numFmtId="0" fontId="62" fillId="70" borderId="0" xfId="0" applyFont="1" applyFill="1" applyAlignment="1">
      <alignment vertical="center"/>
    </xf>
    <xf numFmtId="170" fontId="0" fillId="67" borderId="16" xfId="0" applyNumberFormat="1" applyFill="1" applyBorder="1" applyAlignment="1">
      <alignment horizontal="center" vertical="center"/>
    </xf>
    <xf numFmtId="0" fontId="0" fillId="67" borderId="16" xfId="0" applyFill="1" applyBorder="1" applyAlignment="1">
      <alignment horizontal="center" vertical="center"/>
    </xf>
    <xf numFmtId="170" fontId="0" fillId="66" borderId="0" xfId="494" applyNumberFormat="1" applyFont="1" applyFill="1" applyAlignment="1">
      <alignment horizontal="center" vertical="center"/>
    </xf>
    <xf numFmtId="0" fontId="63" fillId="61" borderId="0" xfId="0" applyFont="1" applyFill="1"/>
    <xf numFmtId="0" fontId="62" fillId="0" borderId="0" xfId="0" applyFont="1" applyAlignment="1">
      <alignment vertical="center"/>
    </xf>
    <xf numFmtId="170" fontId="0" fillId="0" borderId="0" xfId="0" applyNumberFormat="1" applyAlignment="1">
      <alignment horizontal="center" vertical="center"/>
    </xf>
    <xf numFmtId="0" fontId="64" fillId="61" borderId="0" xfId="0" applyFont="1" applyFill="1"/>
    <xf numFmtId="170" fontId="65" fillId="0" borderId="20" xfId="494" applyNumberFormat="1" applyFont="1" applyFill="1" applyBorder="1" applyAlignment="1">
      <alignment horizontal="center" vertical="center" wrapText="1"/>
    </xf>
    <xf numFmtId="175" fontId="0" fillId="64" borderId="0" xfId="0" applyNumberFormat="1" applyFill="1" applyAlignment="1">
      <alignment horizontal="center" vertical="center"/>
    </xf>
    <xf numFmtId="0" fontId="3" fillId="61" borderId="16" xfId="0" applyFont="1" applyFill="1" applyBorder="1" applyAlignment="1">
      <alignment horizontal="center" vertical="center" wrapText="1"/>
    </xf>
    <xf numFmtId="0" fontId="3" fillId="61" borderId="16" xfId="0" applyFont="1" applyFill="1" applyBorder="1" applyAlignment="1">
      <alignment horizontal="center" vertical="center"/>
    </xf>
    <xf numFmtId="174" fontId="3" fillId="60" borderId="16" xfId="0" applyNumberFormat="1" applyFont="1" applyFill="1" applyBorder="1" applyAlignment="1">
      <alignment horizontal="center" vertical="center"/>
    </xf>
    <xf numFmtId="174" fontId="3" fillId="69" borderId="16" xfId="0" applyNumberFormat="1" applyFont="1" applyFill="1" applyBorder="1" applyAlignment="1">
      <alignment horizontal="center" vertical="center"/>
    </xf>
    <xf numFmtId="174" fontId="3" fillId="69" borderId="16" xfId="494" applyNumberFormat="1" applyFont="1" applyFill="1" applyBorder="1" applyAlignment="1">
      <alignment horizontal="center" vertical="center"/>
    </xf>
    <xf numFmtId="174" fontId="3" fillId="68" borderId="16" xfId="0" applyNumberFormat="1" applyFont="1" applyFill="1" applyBorder="1" applyAlignment="1">
      <alignment horizontal="center" vertical="center"/>
    </xf>
    <xf numFmtId="170" fontId="3" fillId="67" borderId="16" xfId="494" applyNumberFormat="1" applyFont="1" applyFill="1" applyBorder="1" applyAlignment="1">
      <alignment horizontal="center" vertical="center"/>
    </xf>
    <xf numFmtId="170" fontId="0" fillId="67" borderId="16" xfId="494" applyNumberFormat="1" applyFont="1" applyFill="1" applyBorder="1" applyAlignment="1">
      <alignment horizontal="center" vertical="center"/>
    </xf>
    <xf numFmtId="170" fontId="0" fillId="0" borderId="16" xfId="494" applyNumberFormat="1" applyFont="1" applyFill="1" applyBorder="1" applyAlignment="1">
      <alignment horizontal="center" vertical="center"/>
    </xf>
    <xf numFmtId="3" fontId="0" fillId="0" borderId="16" xfId="0" applyNumberFormat="1" applyFill="1" applyBorder="1" applyAlignment="1">
      <alignment horizontal="center" vertical="center" wrapText="1"/>
    </xf>
    <xf numFmtId="171" fontId="0" fillId="0" borderId="0" xfId="0" applyNumberFormat="1" applyAlignment="1">
      <alignment horizontal="center" vertical="center"/>
    </xf>
    <xf numFmtId="0" fontId="0" fillId="0" borderId="0" xfId="0" applyFill="1"/>
    <xf numFmtId="0" fontId="61" fillId="67" borderId="17" xfId="0" applyFont="1" applyFill="1" applyBorder="1" applyAlignment="1">
      <alignment horizontal="center" vertical="center"/>
    </xf>
    <xf numFmtId="0" fontId="51" fillId="63" borderId="19" xfId="0" applyFont="1" applyFill="1" applyBorder="1" applyAlignment="1">
      <alignment horizontal="center" vertical="center"/>
    </xf>
    <xf numFmtId="0" fontId="51" fillId="63" borderId="22" xfId="0" applyFont="1" applyFill="1" applyBorder="1" applyAlignment="1">
      <alignment horizontal="center" vertical="center"/>
    </xf>
    <xf numFmtId="0" fontId="51" fillId="63" borderId="20" xfId="0" applyFont="1" applyFill="1" applyBorder="1" applyAlignment="1">
      <alignment horizontal="center" vertical="center"/>
    </xf>
    <xf numFmtId="0" fontId="51" fillId="61" borderId="19" xfId="0" applyFont="1" applyFill="1" applyBorder="1" applyAlignment="1">
      <alignment horizontal="center" vertical="center"/>
    </xf>
    <xf numFmtId="0" fontId="51" fillId="61" borderId="22" xfId="0" applyFont="1" applyFill="1" applyBorder="1" applyAlignment="1">
      <alignment horizontal="center" vertical="center"/>
    </xf>
    <xf numFmtId="0" fontId="51" fillId="61" borderId="20" xfId="0" applyFont="1" applyFill="1" applyBorder="1" applyAlignment="1">
      <alignment horizontal="center" vertical="center"/>
    </xf>
    <xf numFmtId="0" fontId="51" fillId="62" borderId="19" xfId="0" applyFont="1" applyFill="1" applyBorder="1" applyAlignment="1">
      <alignment horizontal="center" vertical="center"/>
    </xf>
    <xf numFmtId="0" fontId="51" fillId="62" borderId="22" xfId="0" applyFont="1" applyFill="1" applyBorder="1" applyAlignment="1">
      <alignment horizontal="center" vertical="center"/>
    </xf>
    <xf numFmtId="0" fontId="51" fillId="62" borderId="20" xfId="0" applyFont="1" applyFill="1" applyBorder="1" applyAlignment="1">
      <alignment horizontal="center" vertical="center"/>
    </xf>
    <xf numFmtId="0" fontId="54" fillId="0" borderId="20" xfId="0" applyFont="1" applyBorder="1" applyAlignment="1">
      <alignment horizontal="center"/>
    </xf>
    <xf numFmtId="0" fontId="54" fillId="0" borderId="16" xfId="0" applyFont="1" applyBorder="1" applyAlignment="1">
      <alignment horizontal="center"/>
    </xf>
    <xf numFmtId="0" fontId="50" fillId="61" borderId="16" xfId="0" applyFont="1" applyFill="1" applyBorder="1" applyAlignment="1">
      <alignment horizontal="center" vertical="center" wrapText="1"/>
    </xf>
    <xf numFmtId="0" fontId="50" fillId="60" borderId="16" xfId="0" applyFont="1" applyFill="1" applyBorder="1" applyAlignment="1">
      <alignment horizontal="center" vertical="center" wrapText="1"/>
    </xf>
    <xf numFmtId="0" fontId="55" fillId="65" borderId="0" xfId="495" applyFill="1" applyAlignment="1">
      <alignment horizontal="center"/>
    </xf>
  </cellXfs>
  <cellStyles count="509">
    <cellStyle name="Accent1 - 20%" xfId="2" xr:uid="{00000000-0005-0000-0000-000000000000}"/>
    <cellStyle name="Accent1 - 40%" xfId="3" xr:uid="{00000000-0005-0000-0000-000001000000}"/>
    <cellStyle name="Accent1 - 60%" xfId="4" xr:uid="{00000000-0005-0000-0000-000002000000}"/>
    <cellStyle name="Accent2 - 20%" xfId="5" xr:uid="{00000000-0005-0000-0000-000003000000}"/>
    <cellStyle name="Accent2 - 40%" xfId="6" xr:uid="{00000000-0005-0000-0000-000004000000}"/>
    <cellStyle name="Accent2 - 60%" xfId="7" xr:uid="{00000000-0005-0000-0000-000005000000}"/>
    <cellStyle name="Accent3 - 20%" xfId="8" xr:uid="{00000000-0005-0000-0000-000006000000}"/>
    <cellStyle name="Accent3 - 40%" xfId="9" xr:uid="{00000000-0005-0000-0000-000007000000}"/>
    <cellStyle name="Accent3 - 60%" xfId="10" xr:uid="{00000000-0005-0000-0000-000008000000}"/>
    <cellStyle name="Accent4 - 20%" xfId="11" xr:uid="{00000000-0005-0000-0000-000009000000}"/>
    <cellStyle name="Accent4 - 40%" xfId="12" xr:uid="{00000000-0005-0000-0000-00000A000000}"/>
    <cellStyle name="Accent4 - 60%" xfId="13" xr:uid="{00000000-0005-0000-0000-00000B000000}"/>
    <cellStyle name="Accent5 - 20%" xfId="14" xr:uid="{00000000-0005-0000-0000-00000C000000}"/>
    <cellStyle name="Accent5 - 40%" xfId="15" xr:uid="{00000000-0005-0000-0000-00000D000000}"/>
    <cellStyle name="Accent5 - 60%" xfId="16" xr:uid="{00000000-0005-0000-0000-00000E000000}"/>
    <cellStyle name="Accent6 - 20%" xfId="17" xr:uid="{00000000-0005-0000-0000-00000F000000}"/>
    <cellStyle name="Accent6 - 40%" xfId="18" xr:uid="{00000000-0005-0000-0000-000010000000}"/>
    <cellStyle name="Accent6 - 60%" xfId="19" xr:uid="{00000000-0005-0000-0000-000011000000}"/>
    <cellStyle name="Arial017000001516777215" xfId="20" xr:uid="{00000000-0005-0000-0000-000012000000}"/>
    <cellStyle name="Arial017000001516777215 2" xfId="477" xr:uid="{00000000-0005-0000-0000-000013000000}"/>
    <cellStyle name="Arial10110100001516777215" xfId="21" xr:uid="{00000000-0005-0000-0000-000014000000}"/>
    <cellStyle name="Arial10110100001516777215 2" xfId="478" xr:uid="{00000000-0005-0000-0000-000015000000}"/>
    <cellStyle name="Arial11100000-2147483640016777215" xfId="22" xr:uid="{00000000-0005-0000-0000-000016000000}"/>
    <cellStyle name="Arial21100000-2147483640016777215" xfId="23" xr:uid="{00000000-0005-0000-0000-000017000000}"/>
    <cellStyle name="Arial81120100-2147483640016777215" xfId="24" xr:uid="{00000000-0005-0000-0000-000018000000}"/>
    <cellStyle name="Data style" xfId="25" xr:uid="{00000000-0005-0000-0000-000019000000}"/>
    <cellStyle name="Emphasis 1" xfId="26" xr:uid="{00000000-0005-0000-0000-00001A000000}"/>
    <cellStyle name="Emphasis 2" xfId="27" xr:uid="{00000000-0005-0000-0000-00001B000000}"/>
    <cellStyle name="Emphasis 3" xfId="28" xr:uid="{00000000-0005-0000-0000-00001C000000}"/>
    <cellStyle name="Header style" xfId="29" xr:uid="{00000000-0005-0000-0000-00001D000000}"/>
    <cellStyle name="MS Sans Serif1017100001516777215" xfId="30" xr:uid="{00000000-0005-0000-0000-00001E000000}"/>
    <cellStyle name="MS Sans Serif1017100001516777215 2" xfId="479" xr:uid="{00000000-0005-0000-0000-00001F000000}"/>
    <cellStyle name="Normal" xfId="500" xr:uid="{00000000-0005-0000-0000-000020000000}"/>
    <cellStyle name="SAPBEXaggData" xfId="31" xr:uid="{00000000-0005-0000-0000-000021000000}"/>
    <cellStyle name="SAPBEXaggData 2" xfId="32" xr:uid="{00000000-0005-0000-0000-000022000000}"/>
    <cellStyle name="SAPBEXaggData 3" xfId="33" xr:uid="{00000000-0005-0000-0000-000023000000}"/>
    <cellStyle name="SAPBEXaggData 4" xfId="34" xr:uid="{00000000-0005-0000-0000-000024000000}"/>
    <cellStyle name="SAPBEXaggDataEmph" xfId="35" xr:uid="{00000000-0005-0000-0000-000025000000}"/>
    <cellStyle name="SAPBEXaggDataEmph 2" xfId="36" xr:uid="{00000000-0005-0000-0000-000026000000}"/>
    <cellStyle name="SAPBEXaggDataEmph 3" xfId="37" xr:uid="{00000000-0005-0000-0000-000027000000}"/>
    <cellStyle name="SAPBEXaggDataEmph 4" xfId="38" xr:uid="{00000000-0005-0000-0000-000028000000}"/>
    <cellStyle name="SAPBEXaggItem" xfId="39" xr:uid="{00000000-0005-0000-0000-000029000000}"/>
    <cellStyle name="SAPBEXaggItem 2" xfId="40" xr:uid="{00000000-0005-0000-0000-00002A000000}"/>
    <cellStyle name="SAPBEXaggItem 3" xfId="41" xr:uid="{00000000-0005-0000-0000-00002B000000}"/>
    <cellStyle name="SAPBEXaggItem 4" xfId="42" xr:uid="{00000000-0005-0000-0000-00002C000000}"/>
    <cellStyle name="SAPBEXaggItemX" xfId="43" xr:uid="{00000000-0005-0000-0000-00002D000000}"/>
    <cellStyle name="SAPBEXaggItemX 2" xfId="44" xr:uid="{00000000-0005-0000-0000-00002E000000}"/>
    <cellStyle name="SAPBEXaggItemX 3" xfId="45" xr:uid="{00000000-0005-0000-0000-00002F000000}"/>
    <cellStyle name="SAPBEXaggItemX 4" xfId="46" xr:uid="{00000000-0005-0000-0000-000030000000}"/>
    <cellStyle name="SAPBEXchaText" xfId="47" xr:uid="{00000000-0005-0000-0000-000031000000}"/>
    <cellStyle name="SAPBEXchaText 2" xfId="48" xr:uid="{00000000-0005-0000-0000-000032000000}"/>
    <cellStyle name="SAPBEXchaText 2 2" xfId="49" xr:uid="{00000000-0005-0000-0000-000033000000}"/>
    <cellStyle name="SAPBEXchaText 2 2 2" xfId="50" xr:uid="{00000000-0005-0000-0000-000034000000}"/>
    <cellStyle name="SAPBEXchaText 2 3" xfId="51" xr:uid="{00000000-0005-0000-0000-000035000000}"/>
    <cellStyle name="SAPBEXchaText 2 4" xfId="52" xr:uid="{00000000-0005-0000-0000-000036000000}"/>
    <cellStyle name="SAPBEXchaText 3" xfId="53" xr:uid="{00000000-0005-0000-0000-000037000000}"/>
    <cellStyle name="SAPBEXchaText 4" xfId="54" xr:uid="{00000000-0005-0000-0000-000038000000}"/>
    <cellStyle name="SAPBEXchaText 5" xfId="55" xr:uid="{00000000-0005-0000-0000-000039000000}"/>
    <cellStyle name="SAPBEXexcBad7" xfId="56" xr:uid="{00000000-0005-0000-0000-00003A000000}"/>
    <cellStyle name="SAPBEXexcBad7 2" xfId="57" xr:uid="{00000000-0005-0000-0000-00003B000000}"/>
    <cellStyle name="SAPBEXexcBad7 2 2" xfId="58" xr:uid="{00000000-0005-0000-0000-00003C000000}"/>
    <cellStyle name="SAPBEXexcBad7 2 3" xfId="59" xr:uid="{00000000-0005-0000-0000-00003D000000}"/>
    <cellStyle name="SAPBEXexcBad7 2 4" xfId="60" xr:uid="{00000000-0005-0000-0000-00003E000000}"/>
    <cellStyle name="SAPBEXexcBad7 3" xfId="61" xr:uid="{00000000-0005-0000-0000-00003F000000}"/>
    <cellStyle name="SAPBEXexcBad7 4" xfId="62" xr:uid="{00000000-0005-0000-0000-000040000000}"/>
    <cellStyle name="SAPBEXexcBad7 5" xfId="63" xr:uid="{00000000-0005-0000-0000-000041000000}"/>
    <cellStyle name="SAPBEXexcBad8" xfId="64" xr:uid="{00000000-0005-0000-0000-000042000000}"/>
    <cellStyle name="SAPBEXexcBad8 2" xfId="65" xr:uid="{00000000-0005-0000-0000-000043000000}"/>
    <cellStyle name="SAPBEXexcBad8 2 2" xfId="66" xr:uid="{00000000-0005-0000-0000-000044000000}"/>
    <cellStyle name="SAPBEXexcBad8 2 3" xfId="67" xr:uid="{00000000-0005-0000-0000-000045000000}"/>
    <cellStyle name="SAPBEXexcBad8 2 4" xfId="68" xr:uid="{00000000-0005-0000-0000-000046000000}"/>
    <cellStyle name="SAPBEXexcBad8 3" xfId="69" xr:uid="{00000000-0005-0000-0000-000047000000}"/>
    <cellStyle name="SAPBEXexcBad8 4" xfId="70" xr:uid="{00000000-0005-0000-0000-000048000000}"/>
    <cellStyle name="SAPBEXexcBad8 5" xfId="71" xr:uid="{00000000-0005-0000-0000-000049000000}"/>
    <cellStyle name="SAPBEXexcBad9" xfId="72" xr:uid="{00000000-0005-0000-0000-00004A000000}"/>
    <cellStyle name="SAPBEXexcBad9 2" xfId="73" xr:uid="{00000000-0005-0000-0000-00004B000000}"/>
    <cellStyle name="SAPBEXexcBad9 2 2" xfId="74" xr:uid="{00000000-0005-0000-0000-00004C000000}"/>
    <cellStyle name="SAPBEXexcBad9 2 3" xfId="75" xr:uid="{00000000-0005-0000-0000-00004D000000}"/>
    <cellStyle name="SAPBEXexcBad9 2 4" xfId="76" xr:uid="{00000000-0005-0000-0000-00004E000000}"/>
    <cellStyle name="SAPBEXexcBad9 3" xfId="77" xr:uid="{00000000-0005-0000-0000-00004F000000}"/>
    <cellStyle name="SAPBEXexcBad9 4" xfId="78" xr:uid="{00000000-0005-0000-0000-000050000000}"/>
    <cellStyle name="SAPBEXexcBad9 5" xfId="79" xr:uid="{00000000-0005-0000-0000-000051000000}"/>
    <cellStyle name="SAPBEXexcCritical4" xfId="80" xr:uid="{00000000-0005-0000-0000-000052000000}"/>
    <cellStyle name="SAPBEXexcCritical4 2" xfId="81" xr:uid="{00000000-0005-0000-0000-000053000000}"/>
    <cellStyle name="SAPBEXexcCritical4 2 2" xfId="82" xr:uid="{00000000-0005-0000-0000-000054000000}"/>
    <cellStyle name="SAPBEXexcCritical4 2 3" xfId="83" xr:uid="{00000000-0005-0000-0000-000055000000}"/>
    <cellStyle name="SAPBEXexcCritical4 2 4" xfId="84" xr:uid="{00000000-0005-0000-0000-000056000000}"/>
    <cellStyle name="SAPBEXexcCritical4 3" xfId="85" xr:uid="{00000000-0005-0000-0000-000057000000}"/>
    <cellStyle name="SAPBEXexcCritical4 4" xfId="86" xr:uid="{00000000-0005-0000-0000-000058000000}"/>
    <cellStyle name="SAPBEXexcCritical4 5" xfId="87" xr:uid="{00000000-0005-0000-0000-000059000000}"/>
    <cellStyle name="SAPBEXexcCritical5" xfId="88" xr:uid="{00000000-0005-0000-0000-00005A000000}"/>
    <cellStyle name="SAPBEXexcCritical5 2" xfId="89" xr:uid="{00000000-0005-0000-0000-00005B000000}"/>
    <cellStyle name="SAPBEXexcCritical5 2 2" xfId="90" xr:uid="{00000000-0005-0000-0000-00005C000000}"/>
    <cellStyle name="SAPBEXexcCritical5 2 3" xfId="91" xr:uid="{00000000-0005-0000-0000-00005D000000}"/>
    <cellStyle name="SAPBEXexcCritical5 2 4" xfId="92" xr:uid="{00000000-0005-0000-0000-00005E000000}"/>
    <cellStyle name="SAPBEXexcCritical5 3" xfId="93" xr:uid="{00000000-0005-0000-0000-00005F000000}"/>
    <cellStyle name="SAPBEXexcCritical5 4" xfId="94" xr:uid="{00000000-0005-0000-0000-000060000000}"/>
    <cellStyle name="SAPBEXexcCritical5 5" xfId="95" xr:uid="{00000000-0005-0000-0000-000061000000}"/>
    <cellStyle name="SAPBEXexcCritical6" xfId="96" xr:uid="{00000000-0005-0000-0000-000062000000}"/>
    <cellStyle name="SAPBEXexcCritical6 2" xfId="97" xr:uid="{00000000-0005-0000-0000-000063000000}"/>
    <cellStyle name="SAPBEXexcCritical6 2 2" xfId="98" xr:uid="{00000000-0005-0000-0000-000064000000}"/>
    <cellStyle name="SAPBEXexcCritical6 2 3" xfId="99" xr:uid="{00000000-0005-0000-0000-000065000000}"/>
    <cellStyle name="SAPBEXexcCritical6 2 4" xfId="100" xr:uid="{00000000-0005-0000-0000-000066000000}"/>
    <cellStyle name="SAPBEXexcCritical6 3" xfId="101" xr:uid="{00000000-0005-0000-0000-000067000000}"/>
    <cellStyle name="SAPBEXexcCritical6 4" xfId="102" xr:uid="{00000000-0005-0000-0000-000068000000}"/>
    <cellStyle name="SAPBEXexcCritical6 5" xfId="103" xr:uid="{00000000-0005-0000-0000-000069000000}"/>
    <cellStyle name="SAPBEXexcGood1" xfId="104" xr:uid="{00000000-0005-0000-0000-00006A000000}"/>
    <cellStyle name="SAPBEXexcGood1 2" xfId="105" xr:uid="{00000000-0005-0000-0000-00006B000000}"/>
    <cellStyle name="SAPBEXexcGood1 2 2" xfId="106" xr:uid="{00000000-0005-0000-0000-00006C000000}"/>
    <cellStyle name="SAPBEXexcGood1 2 3" xfId="107" xr:uid="{00000000-0005-0000-0000-00006D000000}"/>
    <cellStyle name="SAPBEXexcGood1 2 4" xfId="108" xr:uid="{00000000-0005-0000-0000-00006E000000}"/>
    <cellStyle name="SAPBEXexcGood1 3" xfId="109" xr:uid="{00000000-0005-0000-0000-00006F000000}"/>
    <cellStyle name="SAPBEXexcGood1 4" xfId="110" xr:uid="{00000000-0005-0000-0000-000070000000}"/>
    <cellStyle name="SAPBEXexcGood1 5" xfId="111" xr:uid="{00000000-0005-0000-0000-000071000000}"/>
    <cellStyle name="SAPBEXexcGood2" xfId="112" xr:uid="{00000000-0005-0000-0000-000072000000}"/>
    <cellStyle name="SAPBEXexcGood2 2" xfId="113" xr:uid="{00000000-0005-0000-0000-000073000000}"/>
    <cellStyle name="SAPBEXexcGood2 2 2" xfId="114" xr:uid="{00000000-0005-0000-0000-000074000000}"/>
    <cellStyle name="SAPBEXexcGood2 2 3" xfId="115" xr:uid="{00000000-0005-0000-0000-000075000000}"/>
    <cellStyle name="SAPBEXexcGood2 2 4" xfId="116" xr:uid="{00000000-0005-0000-0000-000076000000}"/>
    <cellStyle name="SAPBEXexcGood2 3" xfId="117" xr:uid="{00000000-0005-0000-0000-000077000000}"/>
    <cellStyle name="SAPBEXexcGood2 4" xfId="118" xr:uid="{00000000-0005-0000-0000-000078000000}"/>
    <cellStyle name="SAPBEXexcGood2 5" xfId="119" xr:uid="{00000000-0005-0000-0000-000079000000}"/>
    <cellStyle name="SAPBEXexcGood3" xfId="120" xr:uid="{00000000-0005-0000-0000-00007A000000}"/>
    <cellStyle name="SAPBEXexcGood3 2" xfId="121" xr:uid="{00000000-0005-0000-0000-00007B000000}"/>
    <cellStyle name="SAPBEXexcGood3 2 2" xfId="122" xr:uid="{00000000-0005-0000-0000-00007C000000}"/>
    <cellStyle name="SAPBEXexcGood3 2 3" xfId="123" xr:uid="{00000000-0005-0000-0000-00007D000000}"/>
    <cellStyle name="SAPBEXexcGood3 2 4" xfId="124" xr:uid="{00000000-0005-0000-0000-00007E000000}"/>
    <cellStyle name="SAPBEXexcGood3 3" xfId="125" xr:uid="{00000000-0005-0000-0000-00007F000000}"/>
    <cellStyle name="SAPBEXexcGood3 4" xfId="126" xr:uid="{00000000-0005-0000-0000-000080000000}"/>
    <cellStyle name="SAPBEXexcGood3 5" xfId="127" xr:uid="{00000000-0005-0000-0000-000081000000}"/>
    <cellStyle name="SAPBEXfilterDrill" xfId="128" xr:uid="{00000000-0005-0000-0000-000082000000}"/>
    <cellStyle name="SAPBEXfilterDrill 2" xfId="129" xr:uid="{00000000-0005-0000-0000-000083000000}"/>
    <cellStyle name="SAPBEXfilterDrill 2 2" xfId="130" xr:uid="{00000000-0005-0000-0000-000084000000}"/>
    <cellStyle name="SAPBEXfilterDrill 2 3" xfId="131" xr:uid="{00000000-0005-0000-0000-000085000000}"/>
    <cellStyle name="SAPBEXfilterDrill 2 4" xfId="132" xr:uid="{00000000-0005-0000-0000-000086000000}"/>
    <cellStyle name="SAPBEXfilterDrill 3" xfId="133" xr:uid="{00000000-0005-0000-0000-000087000000}"/>
    <cellStyle name="SAPBEXfilterDrill 4" xfId="134" xr:uid="{00000000-0005-0000-0000-000088000000}"/>
    <cellStyle name="SAPBEXfilterDrill 5" xfId="135" xr:uid="{00000000-0005-0000-0000-000089000000}"/>
    <cellStyle name="SAPBEXfilterItem" xfId="136" xr:uid="{00000000-0005-0000-0000-00008A000000}"/>
    <cellStyle name="SAPBEXfilterItem 2" xfId="137" xr:uid="{00000000-0005-0000-0000-00008B000000}"/>
    <cellStyle name="SAPBEXfilterItem 3" xfId="138" xr:uid="{00000000-0005-0000-0000-00008C000000}"/>
    <cellStyle name="SAPBEXfilterItem 4" xfId="139" xr:uid="{00000000-0005-0000-0000-00008D000000}"/>
    <cellStyle name="SAPBEXfilterText" xfId="140" xr:uid="{00000000-0005-0000-0000-00008E000000}"/>
    <cellStyle name="SAPBEXfilterText 2" xfId="141" xr:uid="{00000000-0005-0000-0000-00008F000000}"/>
    <cellStyle name="SAPBEXfilterText 3" xfId="142" xr:uid="{00000000-0005-0000-0000-000090000000}"/>
    <cellStyle name="SAPBEXfilterText 4" xfId="143" xr:uid="{00000000-0005-0000-0000-000091000000}"/>
    <cellStyle name="SAPBEXformats" xfId="144" xr:uid="{00000000-0005-0000-0000-000092000000}"/>
    <cellStyle name="SAPBEXformats 2" xfId="145" xr:uid="{00000000-0005-0000-0000-000093000000}"/>
    <cellStyle name="SAPBEXformats 2 2" xfId="146" xr:uid="{00000000-0005-0000-0000-000094000000}"/>
    <cellStyle name="SAPBEXformats 2 3" xfId="147" xr:uid="{00000000-0005-0000-0000-000095000000}"/>
    <cellStyle name="SAPBEXformats 2 4" xfId="148" xr:uid="{00000000-0005-0000-0000-000096000000}"/>
    <cellStyle name="SAPBEXformats 3" xfId="149" xr:uid="{00000000-0005-0000-0000-000097000000}"/>
    <cellStyle name="SAPBEXformats 4" xfId="150" xr:uid="{00000000-0005-0000-0000-000098000000}"/>
    <cellStyle name="SAPBEXformats 5" xfId="151" xr:uid="{00000000-0005-0000-0000-000099000000}"/>
    <cellStyle name="SAPBEXheaderItem" xfId="152" xr:uid="{00000000-0005-0000-0000-00009A000000}"/>
    <cellStyle name="SAPBEXheaderItem 2" xfId="153" xr:uid="{00000000-0005-0000-0000-00009B000000}"/>
    <cellStyle name="SAPBEXheaderItem 2 2" xfId="154" xr:uid="{00000000-0005-0000-0000-00009C000000}"/>
    <cellStyle name="SAPBEXheaderItem 2 3" xfId="155" xr:uid="{00000000-0005-0000-0000-00009D000000}"/>
    <cellStyle name="SAPBEXheaderItem 2 4" xfId="156" xr:uid="{00000000-0005-0000-0000-00009E000000}"/>
    <cellStyle name="SAPBEXheaderItem 3" xfId="157" xr:uid="{00000000-0005-0000-0000-00009F000000}"/>
    <cellStyle name="SAPBEXheaderItem 4" xfId="158" xr:uid="{00000000-0005-0000-0000-0000A0000000}"/>
    <cellStyle name="SAPBEXheaderItem 5" xfId="159" xr:uid="{00000000-0005-0000-0000-0000A1000000}"/>
    <cellStyle name="SAPBEXheaderText" xfId="160" xr:uid="{00000000-0005-0000-0000-0000A2000000}"/>
    <cellStyle name="SAPBEXheaderText 2" xfId="161" xr:uid="{00000000-0005-0000-0000-0000A3000000}"/>
    <cellStyle name="SAPBEXheaderText 2 2" xfId="162" xr:uid="{00000000-0005-0000-0000-0000A4000000}"/>
    <cellStyle name="SAPBEXheaderText 2 3" xfId="163" xr:uid="{00000000-0005-0000-0000-0000A5000000}"/>
    <cellStyle name="SAPBEXheaderText 2 4" xfId="164" xr:uid="{00000000-0005-0000-0000-0000A6000000}"/>
    <cellStyle name="SAPBEXheaderText 3" xfId="165" xr:uid="{00000000-0005-0000-0000-0000A7000000}"/>
    <cellStyle name="SAPBEXheaderText 4" xfId="166" xr:uid="{00000000-0005-0000-0000-0000A8000000}"/>
    <cellStyle name="SAPBEXheaderText 5" xfId="167" xr:uid="{00000000-0005-0000-0000-0000A9000000}"/>
    <cellStyle name="SAPBEXHLevel0" xfId="168" xr:uid="{00000000-0005-0000-0000-0000AA000000}"/>
    <cellStyle name="SAPBEXHLevel0 2" xfId="169" xr:uid="{00000000-0005-0000-0000-0000AB000000}"/>
    <cellStyle name="SAPBEXHLevel0 2 2" xfId="170" xr:uid="{00000000-0005-0000-0000-0000AC000000}"/>
    <cellStyle name="SAPBEXHLevel0 2 3" xfId="171" xr:uid="{00000000-0005-0000-0000-0000AD000000}"/>
    <cellStyle name="SAPBEXHLevel0 2 4" xfId="172" xr:uid="{00000000-0005-0000-0000-0000AE000000}"/>
    <cellStyle name="SAPBEXHLevel0 3" xfId="173" xr:uid="{00000000-0005-0000-0000-0000AF000000}"/>
    <cellStyle name="SAPBEXHLevel0 4" xfId="174" xr:uid="{00000000-0005-0000-0000-0000B0000000}"/>
    <cellStyle name="SAPBEXHLevel0 5" xfId="175" xr:uid="{00000000-0005-0000-0000-0000B1000000}"/>
    <cellStyle name="SAPBEXHLevel0X" xfId="176" xr:uid="{00000000-0005-0000-0000-0000B2000000}"/>
    <cellStyle name="SAPBEXHLevel0X 2" xfId="177" xr:uid="{00000000-0005-0000-0000-0000B3000000}"/>
    <cellStyle name="SAPBEXHLevel0X 2 2" xfId="178" xr:uid="{00000000-0005-0000-0000-0000B4000000}"/>
    <cellStyle name="SAPBEXHLevel0X 2 3" xfId="179" xr:uid="{00000000-0005-0000-0000-0000B5000000}"/>
    <cellStyle name="SAPBEXHLevel0X 2 4" xfId="180" xr:uid="{00000000-0005-0000-0000-0000B6000000}"/>
    <cellStyle name="SAPBEXHLevel0X 2 5" xfId="181" xr:uid="{00000000-0005-0000-0000-0000B7000000}"/>
    <cellStyle name="SAPBEXHLevel0X 3" xfId="182" xr:uid="{00000000-0005-0000-0000-0000B8000000}"/>
    <cellStyle name="SAPBEXHLevel0X 4" xfId="183" xr:uid="{00000000-0005-0000-0000-0000B9000000}"/>
    <cellStyle name="SAPBEXHLevel0X 5" xfId="184" xr:uid="{00000000-0005-0000-0000-0000BA000000}"/>
    <cellStyle name="SAPBEXHLevel1" xfId="185" xr:uid="{00000000-0005-0000-0000-0000BB000000}"/>
    <cellStyle name="SAPBEXHLevel1 2" xfId="186" xr:uid="{00000000-0005-0000-0000-0000BC000000}"/>
    <cellStyle name="SAPBEXHLevel1 2 2" xfId="187" xr:uid="{00000000-0005-0000-0000-0000BD000000}"/>
    <cellStyle name="SAPBEXHLevel1 2 3" xfId="188" xr:uid="{00000000-0005-0000-0000-0000BE000000}"/>
    <cellStyle name="SAPBEXHLevel1 2 4" xfId="189" xr:uid="{00000000-0005-0000-0000-0000BF000000}"/>
    <cellStyle name="SAPBEXHLevel1 3" xfId="190" xr:uid="{00000000-0005-0000-0000-0000C0000000}"/>
    <cellStyle name="SAPBEXHLevel1 4" xfId="191" xr:uid="{00000000-0005-0000-0000-0000C1000000}"/>
    <cellStyle name="SAPBEXHLevel1 5" xfId="192" xr:uid="{00000000-0005-0000-0000-0000C2000000}"/>
    <cellStyle name="SAPBEXHLevel1X" xfId="193" xr:uid="{00000000-0005-0000-0000-0000C3000000}"/>
    <cellStyle name="SAPBEXHLevel1X 2" xfId="194" xr:uid="{00000000-0005-0000-0000-0000C4000000}"/>
    <cellStyle name="SAPBEXHLevel1X 2 2" xfId="195" xr:uid="{00000000-0005-0000-0000-0000C5000000}"/>
    <cellStyle name="SAPBEXHLevel1X 2 3" xfId="196" xr:uid="{00000000-0005-0000-0000-0000C6000000}"/>
    <cellStyle name="SAPBEXHLevel1X 2 4" xfId="197" xr:uid="{00000000-0005-0000-0000-0000C7000000}"/>
    <cellStyle name="SAPBEXHLevel1X 2 5" xfId="198" xr:uid="{00000000-0005-0000-0000-0000C8000000}"/>
    <cellStyle name="SAPBEXHLevel1X 3" xfId="199" xr:uid="{00000000-0005-0000-0000-0000C9000000}"/>
    <cellStyle name="SAPBEXHLevel1X 4" xfId="200" xr:uid="{00000000-0005-0000-0000-0000CA000000}"/>
    <cellStyle name="SAPBEXHLevel1X 5" xfId="201" xr:uid="{00000000-0005-0000-0000-0000CB000000}"/>
    <cellStyle name="SAPBEXHLevel2" xfId="202" xr:uid="{00000000-0005-0000-0000-0000CC000000}"/>
    <cellStyle name="SAPBEXHLevel2 2" xfId="203" xr:uid="{00000000-0005-0000-0000-0000CD000000}"/>
    <cellStyle name="SAPBEXHLevel2 2 2" xfId="204" xr:uid="{00000000-0005-0000-0000-0000CE000000}"/>
    <cellStyle name="SAPBEXHLevel2 2 3" xfId="205" xr:uid="{00000000-0005-0000-0000-0000CF000000}"/>
    <cellStyle name="SAPBEXHLevel2 2 4" xfId="206" xr:uid="{00000000-0005-0000-0000-0000D0000000}"/>
    <cellStyle name="SAPBEXHLevel2 3" xfId="207" xr:uid="{00000000-0005-0000-0000-0000D1000000}"/>
    <cellStyle name="SAPBEXHLevel2 4" xfId="208" xr:uid="{00000000-0005-0000-0000-0000D2000000}"/>
    <cellStyle name="SAPBEXHLevel2 5" xfId="209" xr:uid="{00000000-0005-0000-0000-0000D3000000}"/>
    <cellStyle name="SAPBEXHLevel2X" xfId="210" xr:uid="{00000000-0005-0000-0000-0000D4000000}"/>
    <cellStyle name="SAPBEXHLevel2X 2" xfId="211" xr:uid="{00000000-0005-0000-0000-0000D5000000}"/>
    <cellStyle name="SAPBEXHLevel2X 2 2" xfId="212" xr:uid="{00000000-0005-0000-0000-0000D6000000}"/>
    <cellStyle name="SAPBEXHLevel2X 2 3" xfId="213" xr:uid="{00000000-0005-0000-0000-0000D7000000}"/>
    <cellStyle name="SAPBEXHLevel2X 2 4" xfId="214" xr:uid="{00000000-0005-0000-0000-0000D8000000}"/>
    <cellStyle name="SAPBEXHLevel2X 2 5" xfId="215" xr:uid="{00000000-0005-0000-0000-0000D9000000}"/>
    <cellStyle name="SAPBEXHLevel2X 3" xfId="216" xr:uid="{00000000-0005-0000-0000-0000DA000000}"/>
    <cellStyle name="SAPBEXHLevel2X 4" xfId="217" xr:uid="{00000000-0005-0000-0000-0000DB000000}"/>
    <cellStyle name="SAPBEXHLevel2X 5" xfId="218" xr:uid="{00000000-0005-0000-0000-0000DC000000}"/>
    <cellStyle name="SAPBEXHLevel3" xfId="219" xr:uid="{00000000-0005-0000-0000-0000DD000000}"/>
    <cellStyle name="SAPBEXHLevel3 2" xfId="220" xr:uid="{00000000-0005-0000-0000-0000DE000000}"/>
    <cellStyle name="SAPBEXHLevel3 2 2" xfId="221" xr:uid="{00000000-0005-0000-0000-0000DF000000}"/>
    <cellStyle name="SAPBEXHLevel3 2 3" xfId="222" xr:uid="{00000000-0005-0000-0000-0000E0000000}"/>
    <cellStyle name="SAPBEXHLevel3 2 4" xfId="223" xr:uid="{00000000-0005-0000-0000-0000E1000000}"/>
    <cellStyle name="SAPBEXHLevel3 3" xfId="224" xr:uid="{00000000-0005-0000-0000-0000E2000000}"/>
    <cellStyle name="SAPBEXHLevel3 4" xfId="225" xr:uid="{00000000-0005-0000-0000-0000E3000000}"/>
    <cellStyle name="SAPBEXHLevel3 5" xfId="226" xr:uid="{00000000-0005-0000-0000-0000E4000000}"/>
    <cellStyle name="SAPBEXHLevel3X" xfId="227" xr:uid="{00000000-0005-0000-0000-0000E5000000}"/>
    <cellStyle name="SAPBEXHLevel3X 2" xfId="228" xr:uid="{00000000-0005-0000-0000-0000E6000000}"/>
    <cellStyle name="SAPBEXHLevel3X 2 2" xfId="229" xr:uid="{00000000-0005-0000-0000-0000E7000000}"/>
    <cellStyle name="SAPBEXHLevel3X 2 3" xfId="230" xr:uid="{00000000-0005-0000-0000-0000E8000000}"/>
    <cellStyle name="SAPBEXHLevel3X 2 4" xfId="231" xr:uid="{00000000-0005-0000-0000-0000E9000000}"/>
    <cellStyle name="SAPBEXHLevel3X 2 5" xfId="232" xr:uid="{00000000-0005-0000-0000-0000EA000000}"/>
    <cellStyle name="SAPBEXHLevel3X 3" xfId="233" xr:uid="{00000000-0005-0000-0000-0000EB000000}"/>
    <cellStyle name="SAPBEXHLevel3X 4" xfId="234" xr:uid="{00000000-0005-0000-0000-0000EC000000}"/>
    <cellStyle name="SAPBEXHLevel3X 5" xfId="235" xr:uid="{00000000-0005-0000-0000-0000ED000000}"/>
    <cellStyle name="SAPBEXinputData" xfId="236" xr:uid="{00000000-0005-0000-0000-0000EE000000}"/>
    <cellStyle name="SAPBEXinputData 2" xfId="237" xr:uid="{00000000-0005-0000-0000-0000EF000000}"/>
    <cellStyle name="SAPBEXinputData 2 2" xfId="238" xr:uid="{00000000-0005-0000-0000-0000F0000000}"/>
    <cellStyle name="SAPBEXItemHeader" xfId="239" xr:uid="{00000000-0005-0000-0000-0000F1000000}"/>
    <cellStyle name="SAPBEXItemHeader 2" xfId="240" xr:uid="{00000000-0005-0000-0000-0000F2000000}"/>
    <cellStyle name="SAPBEXItemHeader 3" xfId="241" xr:uid="{00000000-0005-0000-0000-0000F3000000}"/>
    <cellStyle name="SAPBEXItemHeader 4" xfId="242" xr:uid="{00000000-0005-0000-0000-0000F4000000}"/>
    <cellStyle name="SAPBEXresData" xfId="243" xr:uid="{00000000-0005-0000-0000-0000F5000000}"/>
    <cellStyle name="SAPBEXresData 2" xfId="244" xr:uid="{00000000-0005-0000-0000-0000F6000000}"/>
    <cellStyle name="SAPBEXresData 3" xfId="245" xr:uid="{00000000-0005-0000-0000-0000F7000000}"/>
    <cellStyle name="SAPBEXresData 4" xfId="246" xr:uid="{00000000-0005-0000-0000-0000F8000000}"/>
    <cellStyle name="SAPBEXresDataEmph" xfId="247" xr:uid="{00000000-0005-0000-0000-0000F9000000}"/>
    <cellStyle name="SAPBEXresDataEmph 2" xfId="248" xr:uid="{00000000-0005-0000-0000-0000FA000000}"/>
    <cellStyle name="SAPBEXresDataEmph 2 2" xfId="481" xr:uid="{00000000-0005-0000-0000-0000FB000000}"/>
    <cellStyle name="SAPBEXresDataEmph 3" xfId="249" xr:uid="{00000000-0005-0000-0000-0000FC000000}"/>
    <cellStyle name="SAPBEXresDataEmph 3 2" xfId="482" xr:uid="{00000000-0005-0000-0000-0000FD000000}"/>
    <cellStyle name="SAPBEXresDataEmph 4" xfId="250" xr:uid="{00000000-0005-0000-0000-0000FE000000}"/>
    <cellStyle name="SAPBEXresDataEmph 4 2" xfId="483" xr:uid="{00000000-0005-0000-0000-0000FF000000}"/>
    <cellStyle name="SAPBEXresDataEmph 5" xfId="480" xr:uid="{00000000-0005-0000-0000-000000010000}"/>
    <cellStyle name="SAPBEXresItem" xfId="251" xr:uid="{00000000-0005-0000-0000-000001010000}"/>
    <cellStyle name="SAPBEXresItem 2" xfId="252" xr:uid="{00000000-0005-0000-0000-000002010000}"/>
    <cellStyle name="SAPBEXresItem 3" xfId="253" xr:uid="{00000000-0005-0000-0000-000003010000}"/>
    <cellStyle name="SAPBEXresItem 4" xfId="254" xr:uid="{00000000-0005-0000-0000-000004010000}"/>
    <cellStyle name="SAPBEXresItemX" xfId="255" xr:uid="{00000000-0005-0000-0000-000005010000}"/>
    <cellStyle name="SAPBEXresItemX 2" xfId="256" xr:uid="{00000000-0005-0000-0000-000006010000}"/>
    <cellStyle name="SAPBEXresItemX 3" xfId="257" xr:uid="{00000000-0005-0000-0000-000007010000}"/>
    <cellStyle name="SAPBEXresItemX 4" xfId="258" xr:uid="{00000000-0005-0000-0000-000008010000}"/>
    <cellStyle name="SAPBEXstdData" xfId="259" xr:uid="{00000000-0005-0000-0000-000009010000}"/>
    <cellStyle name="SAPBEXstdData 2" xfId="260" xr:uid="{00000000-0005-0000-0000-00000A010000}"/>
    <cellStyle name="SAPBEXstdData 2 2" xfId="261" xr:uid="{00000000-0005-0000-0000-00000B010000}"/>
    <cellStyle name="SAPBEXstdData 2 3" xfId="262" xr:uid="{00000000-0005-0000-0000-00000C010000}"/>
    <cellStyle name="SAPBEXstdData 2 4" xfId="263" xr:uid="{00000000-0005-0000-0000-00000D010000}"/>
    <cellStyle name="SAPBEXstdData 3" xfId="264" xr:uid="{00000000-0005-0000-0000-00000E010000}"/>
    <cellStyle name="SAPBEXstdData 4" xfId="265" xr:uid="{00000000-0005-0000-0000-00000F010000}"/>
    <cellStyle name="SAPBEXstdData 5" xfId="266" xr:uid="{00000000-0005-0000-0000-000010010000}"/>
    <cellStyle name="SAPBEXstdDataEmph" xfId="267" xr:uid="{00000000-0005-0000-0000-000011010000}"/>
    <cellStyle name="SAPBEXstdDataEmph 2" xfId="268" xr:uid="{00000000-0005-0000-0000-000012010000}"/>
    <cellStyle name="SAPBEXstdDataEmph 3" xfId="269" xr:uid="{00000000-0005-0000-0000-000013010000}"/>
    <cellStyle name="SAPBEXstdDataEmph 4" xfId="270" xr:uid="{00000000-0005-0000-0000-000014010000}"/>
    <cellStyle name="SAPBEXstdItem" xfId="271" xr:uid="{00000000-0005-0000-0000-000015010000}"/>
    <cellStyle name="SAPBEXstdItem 2" xfId="272" xr:uid="{00000000-0005-0000-0000-000016010000}"/>
    <cellStyle name="SAPBEXstdItem 2 2" xfId="273" xr:uid="{00000000-0005-0000-0000-000017010000}"/>
    <cellStyle name="SAPBEXstdItem 2 3" xfId="274" xr:uid="{00000000-0005-0000-0000-000018010000}"/>
    <cellStyle name="SAPBEXstdItem 2 4" xfId="275" xr:uid="{00000000-0005-0000-0000-000019010000}"/>
    <cellStyle name="SAPBEXstdItem 3" xfId="276" xr:uid="{00000000-0005-0000-0000-00001A010000}"/>
    <cellStyle name="SAPBEXstdItem 3 2" xfId="277" xr:uid="{00000000-0005-0000-0000-00001B010000}"/>
    <cellStyle name="SAPBEXstdItem 4" xfId="278" xr:uid="{00000000-0005-0000-0000-00001C010000}"/>
    <cellStyle name="SAPBEXstdItem 5" xfId="279" xr:uid="{00000000-0005-0000-0000-00001D010000}"/>
    <cellStyle name="SAPBEXstdItemX" xfId="280" xr:uid="{00000000-0005-0000-0000-00001E010000}"/>
    <cellStyle name="SAPBEXstdItemX 2" xfId="281" xr:uid="{00000000-0005-0000-0000-00001F010000}"/>
    <cellStyle name="SAPBEXstdItemX 3" xfId="282" xr:uid="{00000000-0005-0000-0000-000020010000}"/>
    <cellStyle name="SAPBEXstdItemX 4" xfId="283" xr:uid="{00000000-0005-0000-0000-000021010000}"/>
    <cellStyle name="SAPBEXtitle" xfId="284" xr:uid="{00000000-0005-0000-0000-000022010000}"/>
    <cellStyle name="SAPBEXtitle 2" xfId="285" xr:uid="{00000000-0005-0000-0000-000023010000}"/>
    <cellStyle name="SAPBEXtitle 3" xfId="286" xr:uid="{00000000-0005-0000-0000-000024010000}"/>
    <cellStyle name="SAPBEXtitle 4" xfId="287" xr:uid="{00000000-0005-0000-0000-000025010000}"/>
    <cellStyle name="SAPBEXunassignedItem" xfId="288" xr:uid="{00000000-0005-0000-0000-000026010000}"/>
    <cellStyle name="SAPBEXunassignedItem 2" xfId="289" xr:uid="{00000000-0005-0000-0000-000027010000}"/>
    <cellStyle name="SAPBEXunassignedItem 2 2" xfId="290" xr:uid="{00000000-0005-0000-0000-000028010000}"/>
    <cellStyle name="SAPBEXunassignedItem 2 2 2" xfId="486" xr:uid="{00000000-0005-0000-0000-000029010000}"/>
    <cellStyle name="SAPBEXunassignedItem 2 3" xfId="291" xr:uid="{00000000-0005-0000-0000-00002A010000}"/>
    <cellStyle name="SAPBEXunassignedItem 2 3 2" xfId="487" xr:uid="{00000000-0005-0000-0000-00002B010000}"/>
    <cellStyle name="SAPBEXunassignedItem 2 4" xfId="292" xr:uid="{00000000-0005-0000-0000-00002C010000}"/>
    <cellStyle name="SAPBEXunassignedItem 2 4 2" xfId="488" xr:uid="{00000000-0005-0000-0000-00002D010000}"/>
    <cellStyle name="SAPBEXunassignedItem 2 5" xfId="485" xr:uid="{00000000-0005-0000-0000-00002E010000}"/>
    <cellStyle name="SAPBEXunassignedItem 3" xfId="293" xr:uid="{00000000-0005-0000-0000-00002F010000}"/>
    <cellStyle name="SAPBEXunassignedItem 3 2" xfId="489" xr:uid="{00000000-0005-0000-0000-000030010000}"/>
    <cellStyle name="SAPBEXunassignedItem 4" xfId="294" xr:uid="{00000000-0005-0000-0000-000031010000}"/>
    <cellStyle name="SAPBEXunassignedItem 4 2" xfId="490" xr:uid="{00000000-0005-0000-0000-000032010000}"/>
    <cellStyle name="SAPBEXunassignedItem 5" xfId="295" xr:uid="{00000000-0005-0000-0000-000033010000}"/>
    <cellStyle name="SAPBEXunassignedItem 5 2" xfId="491" xr:uid="{00000000-0005-0000-0000-000034010000}"/>
    <cellStyle name="SAPBEXunassignedItem 6" xfId="484" xr:uid="{00000000-0005-0000-0000-000035010000}"/>
    <cellStyle name="SAPBEXundefined" xfId="296" xr:uid="{00000000-0005-0000-0000-000036010000}"/>
    <cellStyle name="SAPBEXundefined 2" xfId="297" xr:uid="{00000000-0005-0000-0000-000037010000}"/>
    <cellStyle name="SAPBEXundefined 3" xfId="298" xr:uid="{00000000-0005-0000-0000-000038010000}"/>
    <cellStyle name="SAPBEXundefined 4" xfId="299" xr:uid="{00000000-0005-0000-0000-000039010000}"/>
    <cellStyle name="Sheet Title" xfId="300" xr:uid="{00000000-0005-0000-0000-00003A010000}"/>
    <cellStyle name="Summary style" xfId="301" xr:uid="{00000000-0005-0000-0000-00003B010000}"/>
    <cellStyle name="Акцент1 2" xfId="302" xr:uid="{00000000-0005-0000-0000-00003C010000}"/>
    <cellStyle name="Акцент2 2" xfId="303" xr:uid="{00000000-0005-0000-0000-00003D010000}"/>
    <cellStyle name="Акцент3 2" xfId="304" xr:uid="{00000000-0005-0000-0000-00003E010000}"/>
    <cellStyle name="Акцент4 2" xfId="305" xr:uid="{00000000-0005-0000-0000-00003F010000}"/>
    <cellStyle name="Акцент5 2" xfId="306" xr:uid="{00000000-0005-0000-0000-000040010000}"/>
    <cellStyle name="Акцент6 2" xfId="307" xr:uid="{00000000-0005-0000-0000-000041010000}"/>
    <cellStyle name="Ввод  2" xfId="308" xr:uid="{00000000-0005-0000-0000-000042010000}"/>
    <cellStyle name="Ввод  3" xfId="309" xr:uid="{00000000-0005-0000-0000-000043010000}"/>
    <cellStyle name="Ввод  4" xfId="310" xr:uid="{00000000-0005-0000-0000-000044010000}"/>
    <cellStyle name="Ввод  5" xfId="311" xr:uid="{00000000-0005-0000-0000-000045010000}"/>
    <cellStyle name="Вывод 2" xfId="312" xr:uid="{00000000-0005-0000-0000-000046010000}"/>
    <cellStyle name="Вывод 3" xfId="313" xr:uid="{00000000-0005-0000-0000-000047010000}"/>
    <cellStyle name="Вывод 4" xfId="314" xr:uid="{00000000-0005-0000-0000-000048010000}"/>
    <cellStyle name="Вывод 5" xfId="315" xr:uid="{00000000-0005-0000-0000-000049010000}"/>
    <cellStyle name="Вычисление 2" xfId="316" xr:uid="{00000000-0005-0000-0000-00004A010000}"/>
    <cellStyle name="Вычисление 3" xfId="317" xr:uid="{00000000-0005-0000-0000-00004B010000}"/>
    <cellStyle name="Вычисление 4" xfId="318" xr:uid="{00000000-0005-0000-0000-00004C010000}"/>
    <cellStyle name="Вычисление 5" xfId="319" xr:uid="{00000000-0005-0000-0000-00004D010000}"/>
    <cellStyle name="Гиперссылка" xfId="508" builtinId="8"/>
    <cellStyle name="Гиперссылка 2" xfId="320" xr:uid="{00000000-0005-0000-0000-00004F010000}"/>
    <cellStyle name="Гиперссылка 2 2" xfId="499" xr:uid="{00000000-0005-0000-0000-000050010000}"/>
    <cellStyle name="Заголовок 1 2" xfId="321" xr:uid="{00000000-0005-0000-0000-000051010000}"/>
    <cellStyle name="Заголовок 2 2" xfId="322" xr:uid="{00000000-0005-0000-0000-000052010000}"/>
    <cellStyle name="Заголовок 3 2" xfId="323" xr:uid="{00000000-0005-0000-0000-000053010000}"/>
    <cellStyle name="Заголовок 4 2" xfId="324" xr:uid="{00000000-0005-0000-0000-000054010000}"/>
    <cellStyle name="Итог 2" xfId="325" xr:uid="{00000000-0005-0000-0000-000055010000}"/>
    <cellStyle name="Итог 3" xfId="326" xr:uid="{00000000-0005-0000-0000-000056010000}"/>
    <cellStyle name="Итог 4" xfId="327" xr:uid="{00000000-0005-0000-0000-000057010000}"/>
    <cellStyle name="Итог 5" xfId="328" xr:uid="{00000000-0005-0000-0000-000058010000}"/>
    <cellStyle name="Контрольная ячейка 2" xfId="329" xr:uid="{00000000-0005-0000-0000-000059010000}"/>
    <cellStyle name="Нейтральный 2" xfId="330" xr:uid="{00000000-0005-0000-0000-00005A010000}"/>
    <cellStyle name="Нейтральный 3" xfId="331" xr:uid="{00000000-0005-0000-0000-00005B010000}"/>
    <cellStyle name="Обычный" xfId="0" builtinId="0"/>
    <cellStyle name="Обычный 10" xfId="332" xr:uid="{00000000-0005-0000-0000-00005D010000}"/>
    <cellStyle name="Обычный 10 2" xfId="333" xr:uid="{00000000-0005-0000-0000-00005E010000}"/>
    <cellStyle name="Обычный 10 3" xfId="334" xr:uid="{00000000-0005-0000-0000-00005F010000}"/>
    <cellStyle name="Обычный 10 3 2" xfId="335" xr:uid="{00000000-0005-0000-0000-000060010000}"/>
    <cellStyle name="Обычный 10 3 2 2" xfId="336" xr:uid="{00000000-0005-0000-0000-000061010000}"/>
    <cellStyle name="Обычный 10 3 2 3" xfId="337" xr:uid="{00000000-0005-0000-0000-000062010000}"/>
    <cellStyle name="Обычный 11" xfId="338" xr:uid="{00000000-0005-0000-0000-000063010000}"/>
    <cellStyle name="Обычный 12" xfId="339" xr:uid="{00000000-0005-0000-0000-000064010000}"/>
    <cellStyle name="Обычный 13" xfId="340" xr:uid="{00000000-0005-0000-0000-000065010000}"/>
    <cellStyle name="Обычный 14" xfId="341" xr:uid="{00000000-0005-0000-0000-000066010000}"/>
    <cellStyle name="Обычный 15" xfId="342" xr:uid="{00000000-0005-0000-0000-000067010000}"/>
    <cellStyle name="Обычный 16" xfId="343" xr:uid="{00000000-0005-0000-0000-000068010000}"/>
    <cellStyle name="Обычный 17" xfId="344" xr:uid="{00000000-0005-0000-0000-000069010000}"/>
    <cellStyle name="Обычный 18" xfId="345" xr:uid="{00000000-0005-0000-0000-00006A010000}"/>
    <cellStyle name="Обычный 19" xfId="346" xr:uid="{00000000-0005-0000-0000-00006B010000}"/>
    <cellStyle name="Обычный 2" xfId="347" xr:uid="{00000000-0005-0000-0000-00006C010000}"/>
    <cellStyle name="Обычный 2 2" xfId="348" xr:uid="{00000000-0005-0000-0000-00006D010000}"/>
    <cellStyle name="Обычный 2 2 2" xfId="349" xr:uid="{00000000-0005-0000-0000-00006E010000}"/>
    <cellStyle name="Обычный 2 2 2 2" xfId="350" xr:uid="{00000000-0005-0000-0000-00006F010000}"/>
    <cellStyle name="Обычный 2 2 3" xfId="351" xr:uid="{00000000-0005-0000-0000-000070010000}"/>
    <cellStyle name="Обычный 2 2 4" xfId="352" xr:uid="{00000000-0005-0000-0000-000071010000}"/>
    <cellStyle name="Обычный 2 3" xfId="353" xr:uid="{00000000-0005-0000-0000-000072010000}"/>
    <cellStyle name="Обычный 2 3 2" xfId="354" xr:uid="{00000000-0005-0000-0000-000073010000}"/>
    <cellStyle name="Обычный 2 3 2 2" xfId="355" xr:uid="{00000000-0005-0000-0000-000074010000}"/>
    <cellStyle name="Обычный 2 3 3" xfId="356" xr:uid="{00000000-0005-0000-0000-000075010000}"/>
    <cellStyle name="Обычный 2 4" xfId="357" xr:uid="{00000000-0005-0000-0000-000076010000}"/>
    <cellStyle name="Обычный 2 4 2" xfId="358" xr:uid="{00000000-0005-0000-0000-000077010000}"/>
    <cellStyle name="Обычный 2 5" xfId="359" xr:uid="{00000000-0005-0000-0000-000078010000}"/>
    <cellStyle name="Обычный 2 5 2" xfId="360" xr:uid="{00000000-0005-0000-0000-000079010000}"/>
    <cellStyle name="Обычный 2_итого по доходам" xfId="361" xr:uid="{00000000-0005-0000-0000-00007A010000}"/>
    <cellStyle name="Обычный 20" xfId="362" xr:uid="{00000000-0005-0000-0000-00007B010000}"/>
    <cellStyle name="Обычный 21" xfId="363" xr:uid="{00000000-0005-0000-0000-00007C010000}"/>
    <cellStyle name="Обычный 22" xfId="364" xr:uid="{00000000-0005-0000-0000-00007D010000}"/>
    <cellStyle name="Обычный 23" xfId="365" xr:uid="{00000000-0005-0000-0000-00007E010000}"/>
    <cellStyle name="Обычный 24" xfId="366" xr:uid="{00000000-0005-0000-0000-00007F010000}"/>
    <cellStyle name="Обычный 25" xfId="367" xr:uid="{00000000-0005-0000-0000-000080010000}"/>
    <cellStyle name="Обычный 25 2" xfId="368" xr:uid="{00000000-0005-0000-0000-000081010000}"/>
    <cellStyle name="Обычный 26" xfId="369" xr:uid="{00000000-0005-0000-0000-000082010000}"/>
    <cellStyle name="Обычный 26 2" xfId="370" xr:uid="{00000000-0005-0000-0000-000083010000}"/>
    <cellStyle name="Обычный 27" xfId="371" xr:uid="{00000000-0005-0000-0000-000084010000}"/>
    <cellStyle name="Обычный 28" xfId="372" xr:uid="{00000000-0005-0000-0000-000085010000}"/>
    <cellStyle name="Обычный 29" xfId="373" xr:uid="{00000000-0005-0000-0000-000086010000}"/>
    <cellStyle name="Обычный 3" xfId="374" xr:uid="{00000000-0005-0000-0000-000087010000}"/>
    <cellStyle name="Обычный 3 2" xfId="375" xr:uid="{00000000-0005-0000-0000-000088010000}"/>
    <cellStyle name="Обычный 3 2 2" xfId="376" xr:uid="{00000000-0005-0000-0000-000089010000}"/>
    <cellStyle name="Обычный 3 2 2 2" xfId="377" xr:uid="{00000000-0005-0000-0000-00008A010000}"/>
    <cellStyle name="Обычный 3 2 2 2 2" xfId="378" xr:uid="{00000000-0005-0000-0000-00008B010000}"/>
    <cellStyle name="Обычный 3 2 2 2 2 2" xfId="379" xr:uid="{00000000-0005-0000-0000-00008C010000}"/>
    <cellStyle name="Обычный 3 2 2 2 2 2 2" xfId="380" xr:uid="{00000000-0005-0000-0000-00008D010000}"/>
    <cellStyle name="Обычный 3 2 3" xfId="381" xr:uid="{00000000-0005-0000-0000-00008E010000}"/>
    <cellStyle name="Обычный 3 3" xfId="382" xr:uid="{00000000-0005-0000-0000-00008F010000}"/>
    <cellStyle name="Обычный 3 3 2" xfId="383" xr:uid="{00000000-0005-0000-0000-000090010000}"/>
    <cellStyle name="Обычный 3 4" xfId="384" xr:uid="{00000000-0005-0000-0000-000091010000}"/>
    <cellStyle name="Обычный 3 5" xfId="385" xr:uid="{00000000-0005-0000-0000-000092010000}"/>
    <cellStyle name="Обычный 3 6" xfId="503" xr:uid="{00000000-0005-0000-0000-000093010000}"/>
    <cellStyle name="Обычный 30" xfId="386" xr:uid="{00000000-0005-0000-0000-000094010000}"/>
    <cellStyle name="Обычный 31" xfId="387" xr:uid="{00000000-0005-0000-0000-000095010000}"/>
    <cellStyle name="Обычный 32" xfId="388" xr:uid="{00000000-0005-0000-0000-000096010000}"/>
    <cellStyle name="Обычный 33" xfId="389" xr:uid="{00000000-0005-0000-0000-000097010000}"/>
    <cellStyle name="Обычный 34" xfId="390" xr:uid="{00000000-0005-0000-0000-000098010000}"/>
    <cellStyle name="Обычный 35" xfId="391" xr:uid="{00000000-0005-0000-0000-000099010000}"/>
    <cellStyle name="Обычный 36" xfId="392" xr:uid="{00000000-0005-0000-0000-00009A010000}"/>
    <cellStyle name="Обычный 37" xfId="393" xr:uid="{00000000-0005-0000-0000-00009B010000}"/>
    <cellStyle name="Обычный 38" xfId="394" xr:uid="{00000000-0005-0000-0000-00009C010000}"/>
    <cellStyle name="Обычный 39" xfId="395" xr:uid="{00000000-0005-0000-0000-00009D010000}"/>
    <cellStyle name="Обычный 4" xfId="396" xr:uid="{00000000-0005-0000-0000-00009E010000}"/>
    <cellStyle name="Обычный 4 2" xfId="397" xr:uid="{00000000-0005-0000-0000-00009F010000}"/>
    <cellStyle name="Обычный 4 2 2" xfId="398" xr:uid="{00000000-0005-0000-0000-0000A0010000}"/>
    <cellStyle name="Обычный 4 2 3" xfId="399" xr:uid="{00000000-0005-0000-0000-0000A1010000}"/>
    <cellStyle name="Обычный 4 3" xfId="400" xr:uid="{00000000-0005-0000-0000-0000A2010000}"/>
    <cellStyle name="Обычный 4 4" xfId="401" xr:uid="{00000000-0005-0000-0000-0000A3010000}"/>
    <cellStyle name="Обычный 4 5" xfId="402" xr:uid="{00000000-0005-0000-0000-0000A4010000}"/>
    <cellStyle name="Обычный 4 6" xfId="403" xr:uid="{00000000-0005-0000-0000-0000A5010000}"/>
    <cellStyle name="Обычный 4 7" xfId="404" xr:uid="{00000000-0005-0000-0000-0000A6010000}"/>
    <cellStyle name="Обычный 4 8" xfId="405" xr:uid="{00000000-0005-0000-0000-0000A7010000}"/>
    <cellStyle name="Обычный 40" xfId="406" xr:uid="{00000000-0005-0000-0000-0000A8010000}"/>
    <cellStyle name="Обычный 41" xfId="407" xr:uid="{00000000-0005-0000-0000-0000A9010000}"/>
    <cellStyle name="Обычный 42" xfId="408" xr:uid="{00000000-0005-0000-0000-0000AA010000}"/>
    <cellStyle name="Обычный 43" xfId="409" xr:uid="{00000000-0005-0000-0000-0000AB010000}"/>
    <cellStyle name="Обычный 44" xfId="410" xr:uid="{00000000-0005-0000-0000-0000AC010000}"/>
    <cellStyle name="Обычный 45" xfId="411" xr:uid="{00000000-0005-0000-0000-0000AD010000}"/>
    <cellStyle name="Обычный 46" xfId="412" xr:uid="{00000000-0005-0000-0000-0000AE010000}"/>
    <cellStyle name="Обычный 47" xfId="413" xr:uid="{00000000-0005-0000-0000-0000AF010000}"/>
    <cellStyle name="Обычный 48" xfId="414" xr:uid="{00000000-0005-0000-0000-0000B0010000}"/>
    <cellStyle name="Обычный 49" xfId="415" xr:uid="{00000000-0005-0000-0000-0000B1010000}"/>
    <cellStyle name="Обычный 5" xfId="416" xr:uid="{00000000-0005-0000-0000-0000B2010000}"/>
    <cellStyle name="Обычный 5 2" xfId="417" xr:uid="{00000000-0005-0000-0000-0000B3010000}"/>
    <cellStyle name="Обычный 5 3" xfId="418" xr:uid="{00000000-0005-0000-0000-0000B4010000}"/>
    <cellStyle name="Обычный 50" xfId="419" xr:uid="{00000000-0005-0000-0000-0000B5010000}"/>
    <cellStyle name="Обычный 51" xfId="420" xr:uid="{00000000-0005-0000-0000-0000B6010000}"/>
    <cellStyle name="Обычный 52" xfId="421" xr:uid="{00000000-0005-0000-0000-0000B7010000}"/>
    <cellStyle name="Обычный 53" xfId="422" xr:uid="{00000000-0005-0000-0000-0000B8010000}"/>
    <cellStyle name="Обычный 54" xfId="423" xr:uid="{00000000-0005-0000-0000-0000B9010000}"/>
    <cellStyle name="Обычный 55" xfId="424" xr:uid="{00000000-0005-0000-0000-0000BA010000}"/>
    <cellStyle name="Обычный 56" xfId="425" xr:uid="{00000000-0005-0000-0000-0000BB010000}"/>
    <cellStyle name="Обычный 57" xfId="426" xr:uid="{00000000-0005-0000-0000-0000BC010000}"/>
    <cellStyle name="Обычный 58" xfId="495" xr:uid="{00000000-0005-0000-0000-0000BD010000}"/>
    <cellStyle name="Обычный 59" xfId="497" xr:uid="{00000000-0005-0000-0000-0000BE010000}"/>
    <cellStyle name="Обычный 6" xfId="427" xr:uid="{00000000-0005-0000-0000-0000BF010000}"/>
    <cellStyle name="Обычный 6 2" xfId="428" xr:uid="{00000000-0005-0000-0000-0000C0010000}"/>
    <cellStyle name="Обычный 6 3" xfId="429" xr:uid="{00000000-0005-0000-0000-0000C1010000}"/>
    <cellStyle name="Обычный 60" xfId="502" xr:uid="{00000000-0005-0000-0000-0000C2010000}"/>
    <cellStyle name="Обычный 7" xfId="430" xr:uid="{00000000-0005-0000-0000-0000C3010000}"/>
    <cellStyle name="Обычный 7 2" xfId="431" xr:uid="{00000000-0005-0000-0000-0000C4010000}"/>
    <cellStyle name="Обычный 7 3" xfId="432" xr:uid="{00000000-0005-0000-0000-0000C5010000}"/>
    <cellStyle name="Обычный 8" xfId="433" xr:uid="{00000000-0005-0000-0000-0000C6010000}"/>
    <cellStyle name="Обычный 8 2" xfId="434" xr:uid="{00000000-0005-0000-0000-0000C7010000}"/>
    <cellStyle name="Обычный 9" xfId="435" xr:uid="{00000000-0005-0000-0000-0000C8010000}"/>
    <cellStyle name="Обычный 9 2" xfId="436" xr:uid="{00000000-0005-0000-0000-0000C9010000}"/>
    <cellStyle name="Плохой 2" xfId="437" xr:uid="{00000000-0005-0000-0000-0000CA010000}"/>
    <cellStyle name="Примечание 2" xfId="438" xr:uid="{00000000-0005-0000-0000-0000CB010000}"/>
    <cellStyle name="Примечание 2 2" xfId="439" xr:uid="{00000000-0005-0000-0000-0000CC010000}"/>
    <cellStyle name="Примечание 2 3" xfId="440" xr:uid="{00000000-0005-0000-0000-0000CD010000}"/>
    <cellStyle name="Примечание 2 4" xfId="441" xr:uid="{00000000-0005-0000-0000-0000CE010000}"/>
    <cellStyle name="Примечание 2 5" xfId="442" xr:uid="{00000000-0005-0000-0000-0000CF010000}"/>
    <cellStyle name="Примечание 3" xfId="443" xr:uid="{00000000-0005-0000-0000-0000D0010000}"/>
    <cellStyle name="Примечание 4" xfId="444" xr:uid="{00000000-0005-0000-0000-0000D1010000}"/>
    <cellStyle name="Примечание 5" xfId="445" xr:uid="{00000000-0005-0000-0000-0000D2010000}"/>
    <cellStyle name="Примечание 6" xfId="446" xr:uid="{00000000-0005-0000-0000-0000D3010000}"/>
    <cellStyle name="Процентный" xfId="494" builtinId="5"/>
    <cellStyle name="Процентный 2" xfId="447" xr:uid="{00000000-0005-0000-0000-0000D5010000}"/>
    <cellStyle name="Процентный 2 2" xfId="448" xr:uid="{00000000-0005-0000-0000-0000D6010000}"/>
    <cellStyle name="Процентный 2 2 2" xfId="449" xr:uid="{00000000-0005-0000-0000-0000D7010000}"/>
    <cellStyle name="Процентный 2 3" xfId="450" xr:uid="{00000000-0005-0000-0000-0000D8010000}"/>
    <cellStyle name="Процентный 3" xfId="451" xr:uid="{00000000-0005-0000-0000-0000D9010000}"/>
    <cellStyle name="Процентный 3 2" xfId="452" xr:uid="{00000000-0005-0000-0000-0000DA010000}"/>
    <cellStyle name="Процентный 3 2 2" xfId="453" xr:uid="{00000000-0005-0000-0000-0000DB010000}"/>
    <cellStyle name="Процентный 3 3" xfId="454" xr:uid="{00000000-0005-0000-0000-0000DC010000}"/>
    <cellStyle name="Процентный 3 4" xfId="506" xr:uid="{00000000-0005-0000-0000-0000DD010000}"/>
    <cellStyle name="Процентный 4" xfId="455" xr:uid="{00000000-0005-0000-0000-0000DE010000}"/>
    <cellStyle name="Процентный 4 2" xfId="456" xr:uid="{00000000-0005-0000-0000-0000DF010000}"/>
    <cellStyle name="Процентный 5" xfId="457" xr:uid="{00000000-0005-0000-0000-0000E0010000}"/>
    <cellStyle name="Процентный 6" xfId="458" xr:uid="{00000000-0005-0000-0000-0000E1010000}"/>
    <cellStyle name="Процентный 7" xfId="496" xr:uid="{00000000-0005-0000-0000-0000E2010000}"/>
    <cellStyle name="Связанная ячейка 2" xfId="459" xr:uid="{00000000-0005-0000-0000-0000E3010000}"/>
    <cellStyle name="Стиль 1" xfId="460" xr:uid="{00000000-0005-0000-0000-0000E4010000}"/>
    <cellStyle name="Текст предупреждения 2" xfId="461" xr:uid="{00000000-0005-0000-0000-0000E5010000}"/>
    <cellStyle name="Тысячи [0]_Example " xfId="462" xr:uid="{00000000-0005-0000-0000-0000E6010000}"/>
    <cellStyle name="Тысячи_Example " xfId="463" xr:uid="{00000000-0005-0000-0000-0000E7010000}"/>
    <cellStyle name="Финансовый" xfId="1" builtinId="3"/>
    <cellStyle name="Финансовый 2" xfId="464" xr:uid="{00000000-0005-0000-0000-0000E9010000}"/>
    <cellStyle name="Финансовый 2 2" xfId="465" xr:uid="{00000000-0005-0000-0000-0000EA010000}"/>
    <cellStyle name="Финансовый 2 2 2" xfId="507" xr:uid="{00000000-0005-0000-0000-0000EB010000}"/>
    <cellStyle name="Финансовый 2 3" xfId="504" xr:uid="{00000000-0005-0000-0000-0000EC010000}"/>
    <cellStyle name="Финансовый 3" xfId="466" xr:uid="{00000000-0005-0000-0000-0000ED010000}"/>
    <cellStyle name="Финансовый 3 2" xfId="467" xr:uid="{00000000-0005-0000-0000-0000EE010000}"/>
    <cellStyle name="Финансовый 3 3" xfId="468" xr:uid="{00000000-0005-0000-0000-0000EF010000}"/>
    <cellStyle name="Финансовый 3 3 2" xfId="469" xr:uid="{00000000-0005-0000-0000-0000F0010000}"/>
    <cellStyle name="Финансовый 3 3 3" xfId="470" xr:uid="{00000000-0005-0000-0000-0000F1010000}"/>
    <cellStyle name="Финансовый 3 4" xfId="501" xr:uid="{00000000-0005-0000-0000-0000F2010000}"/>
    <cellStyle name="Финансовый 4" xfId="471" xr:uid="{00000000-0005-0000-0000-0000F3010000}"/>
    <cellStyle name="Финансовый 4 2" xfId="505" xr:uid="{00000000-0005-0000-0000-0000F4010000}"/>
    <cellStyle name="Финансовый 5" xfId="472" xr:uid="{00000000-0005-0000-0000-0000F5010000}"/>
    <cellStyle name="Финансовый 6" xfId="473" xr:uid="{00000000-0005-0000-0000-0000F6010000}"/>
    <cellStyle name="Финансовый 6 2" xfId="492" xr:uid="{00000000-0005-0000-0000-0000F7010000}"/>
    <cellStyle name="Финансовый 7" xfId="474" xr:uid="{00000000-0005-0000-0000-0000F8010000}"/>
    <cellStyle name="Финансовый 7 2" xfId="493" xr:uid="{00000000-0005-0000-0000-0000F9010000}"/>
    <cellStyle name="Финансовый 8" xfId="498" xr:uid="{00000000-0005-0000-0000-0000FA010000}"/>
    <cellStyle name="Хороший 2" xfId="475" xr:uid="{00000000-0005-0000-0000-0000FB010000}"/>
    <cellStyle name="Хороший 3" xfId="476" xr:uid="{00000000-0005-0000-0000-0000FC01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Radio" firstButton="1" fmlaLink="$KT$2" lockText="1" noThreeD="1"/>
</file>

<file path=xl/ctrlProps/ctrlProp2.xml><?xml version="1.0" encoding="utf-8"?>
<formControlPr xmlns="http://schemas.microsoft.com/office/spreadsheetml/2009/9/main" objectType="Radio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255</xdr:col>
          <xdr:colOff>81643</xdr:colOff>
          <xdr:row>0</xdr:row>
          <xdr:rowOff>446314</xdr:rowOff>
        </xdr:from>
        <xdr:to>
          <xdr:col>256</xdr:col>
          <xdr:colOff>10886</xdr:colOff>
          <xdr:row>2</xdr:row>
          <xdr:rowOff>195943</xdr:rowOff>
        </xdr:to>
        <xdr:sp macro="" textlink="">
          <xdr:nvSpPr>
            <xdr:cNvPr id="1038" name="Option 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ru-RU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в логике ИПЕМ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255</xdr:col>
          <xdr:colOff>97971</xdr:colOff>
          <xdr:row>2</xdr:row>
          <xdr:rowOff>277586</xdr:rowOff>
        </xdr:from>
        <xdr:to>
          <xdr:col>256</xdr:col>
          <xdr:colOff>424543</xdr:colOff>
          <xdr:row>2</xdr:row>
          <xdr:rowOff>1088571</xdr:rowOff>
        </xdr:to>
        <xdr:sp macro="" textlink="">
          <xdr:nvSpPr>
            <xdr:cNvPr id="1039" name="Option Butto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ru-RU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без логики ИПЕМ</a:t>
              </a:r>
            </a:p>
          </xdr:txBody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82;&#1086;&#1088;&#1088;&#1077;&#1082;&#1090;&#1080;&#1088;&#1086;&#1074;&#1086;&#1082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KARO~1/AppData/Local/Temp/BW/Analyzer/Workbooks/2.&#1056;&#1077;&#1085;&#1090;&#1072;&#1073;&#1077;&#1083;&#1100;&#1085;&#1086;&#1089;&#1090;&#1100;%20&#1087;&#1086;%20&#1085;&#1072;&#1087;&#1088;&#1072;&#1074;&#1083;&#1077;&#1085;&#1080;&#1103;&#1084;(&#1087;&#1086;&#1083;&#1100;&#1079;.&#1086;&#1090;&#1095;&#1077;&#1090;-&#1082;&#1086;&#1085;&#1089;&#1090;&#1088;&#1091;&#1082;&#1090;&#1086;&#1088;)(AWRLB8LF7PARTB7TSUECCLMDY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56;&#1040;&#1057;&#1063;&#1045;&#1058;&#1067;/&#1073;&#1083;&#1086;&#1082;&#1080;%20&#1088;&#1072;&#1089;&#1095;&#1077;&#1090;&#1086;&#1074;/&#1089;&#1093;&#1077;&#1084;&#1099;%20&#1076;&#1083;&#1103;%20&#1088;&#1072;&#1089;&#1095;&#1077;&#1090;&#1072;%20&#1090;&#1072;&#1088;&#1080;&#1092;&#107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1-&#1056;&#1040;&#1057;&#1063;&#1045;&#1058;&#1067;\&#1090;&#1072;&#1088;&#1080;&#1092;&#1085;&#1099;&#1077;%20&#1090;&#1072;&#1073;&#1083;&#1080;&#1094;&#1099;\&#1058;&#1072;&#1088;&#1080;&#1092;&#1085;&#1099;&#1077;-2014&#1075;\&#1089;&#1093;&#1077;&#1084;&#1099;%20&#1076;&#1083;&#1103;%20&#1088;&#1072;&#1089;&#1095;&#1077;&#1090;&#1072;%20&#1090;&#1072;&#1088;&#1080;&#1092;&#1072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44;&#1086;&#1082;&#1091;&#1084;&#1077;&#1085;&#1090;&#1099;\&#1087;&#1086;&#1088;&#1086;&#1078;&#1085;&#1103;&#1082;%20&#1040;&#1078;\&#1087;&#1086;&#1088;&#1086;&#1078;&#1085;&#1103;&#1082;%202012\!%20_2012%20&#1087;&#1086;&#1088;&#1086;&#1078;&#1085;%20&#1085;&#1072;%20&#1073;&#1072;&#1079;&#1077;%202011-2&#1084;&#1077;&#1089;2012%20&#1074;&#1089;&#1077;%20&#1089;&#1086;&#1073;\1%20&#1082;&#1083;&#1072;&#1089;&#1089;%20&#1089;%20&#1090;&#1072;&#1088;&#1080;&#1092;&#1072;&#1084;&#1080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efservice-iwt\&#1055;&#1072;&#1087;&#1082;&#1080;%20&#1087;&#1086;&#1083;&#1100;&#1079;&#1086;&#1074;&#1072;&#1090;&#1077;&#1083;&#1077;&#1081;\&#1054;&#1090;&#1076;&#1077;&#1083;%20&#1052;&#1072;&#1088;&#1082;&#1077;&#1090;&#1080;&#1085;&#1075;&#1072;%20&#1080;%20&#1088;&#1077;&#1082;&#1083;&#1072;&#1084;&#1099;\RM\&#1054;&#1083;&#1077;&#1075;\&#1052;&#1072;&#1088;&#1082;&#1077;&#1090;&#1080;&#1085;&#1075;&#1086;&#1074;&#1099;&#1077;%20&#1086;&#1090;&#1095;&#1105;&#1090;&#1099;\&#1050;&#1086;&#1085;&#1082;&#1091;&#1088;&#1077;&#1085;&#1090;&#1099;\&#1063;&#1072;&#1089;&#1090;&#1085;&#1080;&#1082;\&#1057;&#1087;&#1088;&#1072;&#1074;&#1082;&#1072;%20&#1089;&#1086;&#1073;&#1089;&#1090;_10_02_0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89;%20&#1076;&#1080;&#1089;&#1082;&#1072;%20D/2_&#1042;&#1057;&#1045;%20&#1043;&#1056;&#1059;&#1047;&#1067;/2020_&#1074;&#1089;&#1077;%20&#1075;&#1088;&#1091;&#1079;&#1099;%20&#1062;&#1052;&#1058;&#1055;/3_&#1059;&#1043;&#1054;&#1051;&#1068;%202020/3_&#1041;&#1072;&#1083;&#1072;&#1085;&#1089;&#1080;&#1088;&#1086;&#1074;&#1082;&#1072;%20&#1090;&#1072;&#1088;&#1080;&#1092;&#1086;&#1074;/1_&#1041;&#1072;&#1083;&#1072;&#1085;&#1089;&#1080;&#1088;&#1086;&#1074;&#1082;&#1072;%20%20&#1047;&#1057;&#1041;%20&#1082;%20&#1070;&#1075;&#1091;/17_1_&#1086;&#1090;&#1084;&#1077;&#1085;&#1072;%200,4_&#1085;&#1072;%20&#1074;&#1077;&#1089;&#1100;%20&#1042;&#1086;&#1089;&#1090;&#1086;&#1082;_&#1064;&#1040;&#1043;&#1048;%20&#1090;&#1072;&#1088;&#1080;&#1092;%202020/1_&#1057;&#1095;&#1080;&#1090;&#1072;&#1083;&#1082;&#1072;_&#1091;&#1075;&#1086;&#1083;&#1100;%200,4%20&#1085;&#1072;%200,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орректировок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xRepositorySheet"/>
      <sheetName val="Отчет"/>
      <sheetName val="Graph"/>
      <sheetName val="История корректировок"/>
      <sheetName val="Лист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пис дальн"/>
      <sheetName val="свод общ"/>
      <sheetName val="разл варианты"/>
      <sheetName val="свод 1кл"/>
      <sheetName val="коэфф"/>
      <sheetName val="табл 4"/>
      <sheetName val="за расст"/>
      <sheetName val="график"/>
      <sheetName val="уголь"/>
      <sheetName val="уголь кокс"/>
      <sheetName val="мин-стр"/>
      <sheetName val="кокс"/>
      <sheetName val="291"/>
      <sheetName val="271,301,304"/>
      <sheetName val="341"/>
      <sheetName val="141"/>
      <sheetName val="142"/>
      <sheetName val="ост 151"/>
      <sheetName val="глинозем"/>
      <sheetName val="руды нефел"/>
      <sheetName val="81 пв"/>
      <sheetName val="91пв"/>
      <sheetName val="сера"/>
      <sheetName val="ост 1кл"/>
      <sheetName val="сх 25"/>
      <sheetName val="Лист1"/>
      <sheetName val="дальн"/>
      <sheetName val="униф 25 сх"/>
      <sheetName val="база пв соб гр"/>
      <sheetName val="база пв соб пор"/>
      <sheetName val="база пв инв"/>
      <sheetName val="В привл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D4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F"/>
      <sheetName val="REF (2)"/>
      <sheetName val="Лист2"/>
    </sheetNames>
    <sheetDataSet>
      <sheetData sheetId="0">
        <row r="4">
          <cell r="A4" t="str">
            <v>по состоянию АБД ПВ ГВЦ на 10.02.2004 г.</v>
          </cell>
        </row>
        <row r="6">
          <cell r="A6" t="str">
            <v>Список отсортирован по предприятиям-собственникам</v>
          </cell>
          <cell r="E6" t="str">
            <v>Общее кол-во вагонов - 1734</v>
          </cell>
        </row>
        <row r="7">
          <cell r="A7" t="str">
            <v>Номер</v>
          </cell>
          <cell r="B7" t="str">
            <v>Наименование</v>
          </cell>
          <cell r="C7" t="str">
            <v>Станция (дорога)</v>
          </cell>
          <cell r="D7" t="str">
            <v>Дата</v>
          </cell>
          <cell r="E7" t="str">
            <v>Последн.деп. рем.</v>
          </cell>
          <cell r="G7" t="str">
            <v>Последний кап. ремонт</v>
          </cell>
          <cell r="I7" t="str">
            <v>Вид план.</v>
          </cell>
          <cell r="J7" t="str">
            <v>Дата план.</v>
          </cell>
        </row>
        <row r="8">
          <cell r="A8" t="str">
            <v>вагона</v>
          </cell>
          <cell r="B8" t="str">
            <v>предприятия</v>
          </cell>
          <cell r="C8" t="str">
            <v>приписки</v>
          </cell>
          <cell r="D8" t="str">
            <v>постр.</v>
          </cell>
          <cell r="E8" t="str">
            <v>Дата</v>
          </cell>
          <cell r="F8" t="str">
            <v>Депо</v>
          </cell>
          <cell r="G8" t="str">
            <v>Дата</v>
          </cell>
          <cell r="H8" t="str">
            <v>Депо</v>
          </cell>
          <cell r="I8" t="str">
            <v>ремонта</v>
          </cell>
          <cell r="J8" t="str">
            <v>ремонта</v>
          </cell>
        </row>
        <row r="9">
          <cell r="A9">
            <v>58742420</v>
          </cell>
          <cell r="B9" t="str">
            <v>4К КОМПАНИЯ ЖТЭ</v>
          </cell>
          <cell r="C9" t="str">
            <v>ВОЛОКОЛАМСК  (МСK)</v>
          </cell>
          <cell r="D9">
            <v>32509</v>
          </cell>
          <cell r="F9">
            <v>0</v>
          </cell>
          <cell r="G9">
            <v>37959</v>
          </cell>
          <cell r="H9">
            <v>886</v>
          </cell>
          <cell r="I9" t="str">
            <v>деп</v>
          </cell>
          <cell r="J9">
            <v>38507</v>
          </cell>
        </row>
        <row r="10">
          <cell r="A10">
            <v>58742438</v>
          </cell>
          <cell r="B10" t="str">
            <v>4К КОМПАНИЯ ЖТЭ</v>
          </cell>
          <cell r="C10" t="str">
            <v>ВОЛОКОЛАМСК  (МСK)</v>
          </cell>
          <cell r="D10">
            <v>32509</v>
          </cell>
          <cell r="F10">
            <v>0</v>
          </cell>
          <cell r="G10">
            <v>37959</v>
          </cell>
          <cell r="H10">
            <v>886</v>
          </cell>
          <cell r="I10" t="str">
            <v>деп</v>
          </cell>
          <cell r="J10">
            <v>38507</v>
          </cell>
        </row>
        <row r="11">
          <cell r="A11">
            <v>58742446</v>
          </cell>
          <cell r="B11" t="str">
            <v>4К КОМПАНИЯ ЖТЭ</v>
          </cell>
          <cell r="C11" t="str">
            <v>ВОЛОКОЛАМСК  (МСK)</v>
          </cell>
          <cell r="D11">
            <v>32509</v>
          </cell>
          <cell r="F11">
            <v>0</v>
          </cell>
          <cell r="G11">
            <v>37959</v>
          </cell>
          <cell r="H11">
            <v>886</v>
          </cell>
          <cell r="I11" t="str">
            <v>деп</v>
          </cell>
          <cell r="J11">
            <v>38507</v>
          </cell>
        </row>
        <row r="12">
          <cell r="B12" t="str">
            <v>4К КОМПАНИЯ ЖТЭ Количество</v>
          </cell>
          <cell r="D12">
            <v>3</v>
          </cell>
        </row>
        <row r="13">
          <cell r="A13">
            <v>53400552</v>
          </cell>
          <cell r="B13" t="str">
            <v>АВАНГАРД-ЛИЗИНГ</v>
          </cell>
          <cell r="C13" t="str">
            <v>ХОВРИНО      (ОКТ)</v>
          </cell>
          <cell r="D13">
            <v>32660</v>
          </cell>
          <cell r="E13">
            <v>37905</v>
          </cell>
          <cell r="F13">
            <v>492</v>
          </cell>
          <cell r="H13">
            <v>0</v>
          </cell>
          <cell r="I13" t="str">
            <v>деп</v>
          </cell>
          <cell r="J13">
            <v>38453</v>
          </cell>
        </row>
        <row r="14">
          <cell r="A14">
            <v>53400560</v>
          </cell>
          <cell r="B14" t="str">
            <v>АВАНГАРД-ЛИЗИНГ</v>
          </cell>
          <cell r="C14" t="str">
            <v>ХОВРИНО      (ОКТ)</v>
          </cell>
          <cell r="D14">
            <v>32660</v>
          </cell>
          <cell r="E14">
            <v>37809</v>
          </cell>
          <cell r="F14">
            <v>492</v>
          </cell>
          <cell r="H14">
            <v>0</v>
          </cell>
          <cell r="I14" t="str">
            <v>деп</v>
          </cell>
          <cell r="J14">
            <v>38359</v>
          </cell>
        </row>
        <row r="15">
          <cell r="A15">
            <v>53400578</v>
          </cell>
          <cell r="B15" t="str">
            <v>АВАНГАРД-ЛИЗИНГ</v>
          </cell>
          <cell r="C15" t="str">
            <v>ХОВРИНО      (ОКТ)</v>
          </cell>
          <cell r="D15">
            <v>32660</v>
          </cell>
          <cell r="E15">
            <v>37753</v>
          </cell>
          <cell r="F15">
            <v>492</v>
          </cell>
          <cell r="H15">
            <v>0</v>
          </cell>
          <cell r="I15" t="str">
            <v>деп</v>
          </cell>
          <cell r="J15">
            <v>38303</v>
          </cell>
        </row>
        <row r="16">
          <cell r="A16">
            <v>53400602</v>
          </cell>
          <cell r="B16" t="str">
            <v>АВАНГАРД-ЛИЗИНГ</v>
          </cell>
          <cell r="C16" t="str">
            <v>ХОВРИНО      (ОКТ)</v>
          </cell>
          <cell r="D16">
            <v>32660</v>
          </cell>
          <cell r="E16">
            <v>37848</v>
          </cell>
          <cell r="F16">
            <v>492</v>
          </cell>
          <cell r="H16">
            <v>0</v>
          </cell>
          <cell r="I16" t="str">
            <v>деп</v>
          </cell>
          <cell r="J16">
            <v>38398</v>
          </cell>
        </row>
        <row r="17">
          <cell r="A17">
            <v>53400610</v>
          </cell>
          <cell r="B17" t="str">
            <v>АВАНГАРД-ЛИЗИНГ</v>
          </cell>
          <cell r="C17" t="str">
            <v>ХОВРИНО      (ОКТ)</v>
          </cell>
          <cell r="D17">
            <v>32660</v>
          </cell>
          <cell r="E17">
            <v>37965</v>
          </cell>
          <cell r="F17">
            <v>492</v>
          </cell>
          <cell r="H17">
            <v>0</v>
          </cell>
          <cell r="I17" t="str">
            <v>кап</v>
          </cell>
          <cell r="J17">
            <v>38513</v>
          </cell>
        </row>
        <row r="18">
          <cell r="A18">
            <v>53400669</v>
          </cell>
          <cell r="B18" t="str">
            <v>АВАНГАРД-ЛИЗИНГ</v>
          </cell>
          <cell r="C18" t="str">
            <v>ХОВРИНО      (ОКТ)</v>
          </cell>
          <cell r="D18">
            <v>32629</v>
          </cell>
          <cell r="E18">
            <v>37885</v>
          </cell>
          <cell r="F18">
            <v>492</v>
          </cell>
          <cell r="H18">
            <v>0</v>
          </cell>
          <cell r="I18" t="str">
            <v>деп</v>
          </cell>
          <cell r="J18">
            <v>38432</v>
          </cell>
        </row>
        <row r="19">
          <cell r="A19">
            <v>53400677</v>
          </cell>
          <cell r="B19" t="str">
            <v>АВАНГАРД-ЛИЗИНГ</v>
          </cell>
          <cell r="C19" t="str">
            <v>ХОВРИНО      (ОКТ)</v>
          </cell>
          <cell r="D19">
            <v>32660</v>
          </cell>
          <cell r="E19">
            <v>37982</v>
          </cell>
          <cell r="F19">
            <v>557</v>
          </cell>
          <cell r="H19">
            <v>0</v>
          </cell>
          <cell r="I19" t="str">
            <v>кап</v>
          </cell>
          <cell r="J19">
            <v>38530</v>
          </cell>
        </row>
        <row r="20">
          <cell r="A20">
            <v>53400685</v>
          </cell>
          <cell r="B20" t="str">
            <v>АВАНГАРД-ЛИЗИНГ</v>
          </cell>
          <cell r="C20" t="str">
            <v>ХОВРИНО      (ОКТ)</v>
          </cell>
          <cell r="D20">
            <v>32660</v>
          </cell>
          <cell r="E20">
            <v>37864</v>
          </cell>
          <cell r="F20">
            <v>492</v>
          </cell>
          <cell r="H20">
            <v>0</v>
          </cell>
          <cell r="I20" t="str">
            <v>деп</v>
          </cell>
          <cell r="J20">
            <v>38411</v>
          </cell>
        </row>
        <row r="21">
          <cell r="A21">
            <v>53400727</v>
          </cell>
          <cell r="B21" t="str">
            <v>АВАНГАРД-ЛИЗИНГ</v>
          </cell>
          <cell r="C21" t="str">
            <v>ХОВРИНО      (ОКТ)</v>
          </cell>
          <cell r="D21">
            <v>32690</v>
          </cell>
          <cell r="E21">
            <v>37819</v>
          </cell>
          <cell r="F21">
            <v>492</v>
          </cell>
          <cell r="H21">
            <v>0</v>
          </cell>
          <cell r="I21" t="str">
            <v>деп</v>
          </cell>
          <cell r="J21">
            <v>38369</v>
          </cell>
        </row>
        <row r="22">
          <cell r="A22">
            <v>53400735</v>
          </cell>
          <cell r="B22" t="str">
            <v>АВАНГАРД-ЛИЗИНГ</v>
          </cell>
          <cell r="C22" t="str">
            <v>ХОВРИНО      (ОКТ)</v>
          </cell>
          <cell r="D22">
            <v>32660</v>
          </cell>
          <cell r="E22">
            <v>37928</v>
          </cell>
          <cell r="F22">
            <v>492</v>
          </cell>
          <cell r="H22">
            <v>0</v>
          </cell>
          <cell r="I22" t="str">
            <v>деп</v>
          </cell>
          <cell r="J22">
            <v>38475</v>
          </cell>
        </row>
        <row r="23">
          <cell r="A23">
            <v>53705943</v>
          </cell>
          <cell r="B23" t="str">
            <v>АВАНГАРД-ЛИЗИНГ</v>
          </cell>
          <cell r="C23" t="str">
            <v>ХОВРИНО      (ОКТ)</v>
          </cell>
          <cell r="D23">
            <v>32540</v>
          </cell>
          <cell r="E23">
            <v>37839</v>
          </cell>
          <cell r="F23">
            <v>886</v>
          </cell>
          <cell r="H23">
            <v>0</v>
          </cell>
          <cell r="I23" t="str">
            <v>кап</v>
          </cell>
          <cell r="J23">
            <v>38389</v>
          </cell>
        </row>
        <row r="24">
          <cell r="A24">
            <v>53705950</v>
          </cell>
          <cell r="B24" t="str">
            <v>АВАНГАРД-ЛИЗИНГ</v>
          </cell>
          <cell r="C24" t="str">
            <v>ХОВРИНО      (ОКТ)</v>
          </cell>
          <cell r="D24">
            <v>32629</v>
          </cell>
          <cell r="E24">
            <v>37809</v>
          </cell>
          <cell r="F24">
            <v>163</v>
          </cell>
          <cell r="H24">
            <v>0</v>
          </cell>
          <cell r="I24" t="str">
            <v>деп</v>
          </cell>
          <cell r="J24">
            <v>38359</v>
          </cell>
        </row>
        <row r="25">
          <cell r="A25">
            <v>53706081</v>
          </cell>
          <cell r="B25" t="str">
            <v>АВАНГАРД-ЛИЗИНГ</v>
          </cell>
          <cell r="C25" t="str">
            <v>ХОВРИНО      (ОКТ)</v>
          </cell>
          <cell r="D25">
            <v>32721</v>
          </cell>
          <cell r="E25">
            <v>38013</v>
          </cell>
          <cell r="F25">
            <v>163</v>
          </cell>
          <cell r="H25">
            <v>0</v>
          </cell>
          <cell r="I25" t="str">
            <v>деп</v>
          </cell>
          <cell r="J25">
            <v>38560</v>
          </cell>
        </row>
        <row r="26">
          <cell r="A26">
            <v>53706123</v>
          </cell>
          <cell r="B26" t="str">
            <v>АВАНГАРД-ЛИЗИНГ</v>
          </cell>
          <cell r="C26" t="str">
            <v>ХОВРИНО      (ОКТ)</v>
          </cell>
          <cell r="D26">
            <v>32721</v>
          </cell>
          <cell r="E26">
            <v>37887</v>
          </cell>
          <cell r="F26">
            <v>557</v>
          </cell>
          <cell r="H26">
            <v>0</v>
          </cell>
          <cell r="I26" t="str">
            <v>деп</v>
          </cell>
          <cell r="J26">
            <v>38434</v>
          </cell>
        </row>
        <row r="27">
          <cell r="A27">
            <v>53706149</v>
          </cell>
          <cell r="B27" t="str">
            <v>АВАНГАРД-ЛИЗИНГ</v>
          </cell>
          <cell r="C27" t="str">
            <v>ХОВРИНО      (ОКТ)</v>
          </cell>
          <cell r="D27">
            <v>32721</v>
          </cell>
          <cell r="E27">
            <v>37927</v>
          </cell>
          <cell r="F27">
            <v>886</v>
          </cell>
          <cell r="H27">
            <v>0</v>
          </cell>
          <cell r="I27" t="str">
            <v>деп</v>
          </cell>
          <cell r="J27">
            <v>38474</v>
          </cell>
        </row>
        <row r="28">
          <cell r="A28">
            <v>58721499</v>
          </cell>
          <cell r="B28" t="str">
            <v>АВАНГАРД-ЛИЗИНГ</v>
          </cell>
          <cell r="C28" t="str">
            <v>ХОВРИНО      (ОКТ)</v>
          </cell>
          <cell r="D28">
            <v>32721</v>
          </cell>
          <cell r="E28">
            <v>37927</v>
          </cell>
          <cell r="F28">
            <v>557</v>
          </cell>
          <cell r="H28">
            <v>0</v>
          </cell>
          <cell r="I28" t="str">
            <v>деп</v>
          </cell>
          <cell r="J28">
            <v>38474</v>
          </cell>
        </row>
        <row r="29">
          <cell r="A29">
            <v>58721598</v>
          </cell>
          <cell r="B29" t="str">
            <v>АВАНГАРД-ЛИЗИНГ</v>
          </cell>
          <cell r="C29" t="str">
            <v>ХОВРИНО      (ОКТ)</v>
          </cell>
          <cell r="D29">
            <v>32721</v>
          </cell>
          <cell r="E29">
            <v>37927</v>
          </cell>
          <cell r="F29">
            <v>557</v>
          </cell>
          <cell r="H29">
            <v>0</v>
          </cell>
          <cell r="I29" t="str">
            <v>деп</v>
          </cell>
          <cell r="J29">
            <v>38474</v>
          </cell>
        </row>
        <row r="30">
          <cell r="A30">
            <v>58721697</v>
          </cell>
          <cell r="B30" t="str">
            <v>АВАНГАРД-ЛИЗИНГ</v>
          </cell>
          <cell r="C30" t="str">
            <v>ХОВРИНО      (ОКТ)</v>
          </cell>
          <cell r="D30">
            <v>32721</v>
          </cell>
          <cell r="E30">
            <v>37927</v>
          </cell>
          <cell r="F30">
            <v>557</v>
          </cell>
          <cell r="H30">
            <v>0</v>
          </cell>
          <cell r="I30" t="str">
            <v>деп</v>
          </cell>
          <cell r="J30">
            <v>38474</v>
          </cell>
        </row>
        <row r="31">
          <cell r="A31">
            <v>58721796</v>
          </cell>
          <cell r="B31" t="str">
            <v>АВАНГАРД-ЛИЗИНГ</v>
          </cell>
          <cell r="C31" t="str">
            <v>ХОВРИНО      (ОКТ)</v>
          </cell>
          <cell r="D31">
            <v>32721</v>
          </cell>
          <cell r="E31">
            <v>37927</v>
          </cell>
          <cell r="F31">
            <v>557</v>
          </cell>
          <cell r="H31">
            <v>0</v>
          </cell>
          <cell r="I31" t="str">
            <v>деп</v>
          </cell>
          <cell r="J31">
            <v>38474</v>
          </cell>
        </row>
        <row r="32">
          <cell r="A32">
            <v>58722299</v>
          </cell>
          <cell r="B32" t="str">
            <v>АВАНГАРД-ЛИЗИНГ</v>
          </cell>
          <cell r="C32" t="str">
            <v>ХОВРИНО      (ОКТ)</v>
          </cell>
          <cell r="D32">
            <v>32721</v>
          </cell>
          <cell r="E32">
            <v>37890</v>
          </cell>
          <cell r="F32">
            <v>557</v>
          </cell>
          <cell r="H32">
            <v>0</v>
          </cell>
          <cell r="I32" t="str">
            <v>деп</v>
          </cell>
          <cell r="J32">
            <v>38437</v>
          </cell>
        </row>
        <row r="33">
          <cell r="A33">
            <v>58722398</v>
          </cell>
          <cell r="B33" t="str">
            <v>АВАНГАРД-ЛИЗИНГ</v>
          </cell>
          <cell r="C33" t="str">
            <v>ХОВРИНО      (ОКТ)</v>
          </cell>
          <cell r="D33">
            <v>32721</v>
          </cell>
          <cell r="E33">
            <v>37887</v>
          </cell>
          <cell r="F33">
            <v>557</v>
          </cell>
          <cell r="H33">
            <v>0</v>
          </cell>
          <cell r="I33" t="str">
            <v>деп</v>
          </cell>
          <cell r="J33">
            <v>38434</v>
          </cell>
        </row>
        <row r="34">
          <cell r="A34">
            <v>58722497</v>
          </cell>
          <cell r="B34" t="str">
            <v>АВАНГАРД-ЛИЗИНГ</v>
          </cell>
          <cell r="C34" t="str">
            <v>ХОВРИНО      (ОКТ)</v>
          </cell>
          <cell r="D34">
            <v>32721</v>
          </cell>
          <cell r="E34">
            <v>37890</v>
          </cell>
          <cell r="F34">
            <v>557</v>
          </cell>
          <cell r="H34">
            <v>0</v>
          </cell>
          <cell r="I34" t="str">
            <v>деп</v>
          </cell>
          <cell r="J34">
            <v>38437</v>
          </cell>
        </row>
        <row r="35">
          <cell r="A35">
            <v>58722596</v>
          </cell>
          <cell r="B35" t="str">
            <v>АВАНГАРД-ЛИЗИНГ</v>
          </cell>
          <cell r="C35" t="str">
            <v>ХОВРИНО      (ОКТ)</v>
          </cell>
          <cell r="D35">
            <v>32721</v>
          </cell>
          <cell r="E35">
            <v>37890</v>
          </cell>
          <cell r="F35">
            <v>557</v>
          </cell>
          <cell r="H35">
            <v>0</v>
          </cell>
          <cell r="I35" t="str">
            <v>деп</v>
          </cell>
          <cell r="J35">
            <v>38437</v>
          </cell>
        </row>
        <row r="36">
          <cell r="A36">
            <v>58723099</v>
          </cell>
          <cell r="B36" t="str">
            <v>АВАНГАРД-ЛИЗИНГ</v>
          </cell>
          <cell r="C36" t="str">
            <v>ХОВРИНО      (ОКТ)</v>
          </cell>
          <cell r="D36">
            <v>32721</v>
          </cell>
          <cell r="E36">
            <v>37927</v>
          </cell>
          <cell r="F36">
            <v>886</v>
          </cell>
          <cell r="H36">
            <v>0</v>
          </cell>
          <cell r="I36" t="str">
            <v>деп</v>
          </cell>
          <cell r="J36">
            <v>38474</v>
          </cell>
        </row>
        <row r="37">
          <cell r="A37">
            <v>58723198</v>
          </cell>
          <cell r="B37" t="str">
            <v>АВАНГАРД-ЛИЗИНГ</v>
          </cell>
          <cell r="C37" t="str">
            <v>ХОВРИНО      (ОКТ)</v>
          </cell>
          <cell r="D37">
            <v>32721</v>
          </cell>
          <cell r="E37">
            <v>37927</v>
          </cell>
          <cell r="F37">
            <v>886</v>
          </cell>
          <cell r="H37">
            <v>0</v>
          </cell>
          <cell r="I37" t="str">
            <v>деп</v>
          </cell>
          <cell r="J37">
            <v>38474</v>
          </cell>
        </row>
        <row r="38">
          <cell r="A38">
            <v>58723297</v>
          </cell>
          <cell r="B38" t="str">
            <v>АВАНГАРД-ЛИЗИНГ</v>
          </cell>
          <cell r="C38" t="str">
            <v>ХОВРИНО      (ОКТ)</v>
          </cell>
          <cell r="D38">
            <v>32721</v>
          </cell>
          <cell r="E38">
            <v>37885</v>
          </cell>
          <cell r="F38">
            <v>557</v>
          </cell>
          <cell r="H38">
            <v>0</v>
          </cell>
          <cell r="I38" t="str">
            <v>деп</v>
          </cell>
          <cell r="J38">
            <v>38432</v>
          </cell>
        </row>
        <row r="39">
          <cell r="A39">
            <v>58723396</v>
          </cell>
          <cell r="B39" t="str">
            <v>АВАНГАРД-ЛИЗИНГ</v>
          </cell>
          <cell r="C39" t="str">
            <v>ХОВРИНО      (ОКТ)</v>
          </cell>
          <cell r="D39">
            <v>32721</v>
          </cell>
          <cell r="E39">
            <v>37927</v>
          </cell>
          <cell r="F39">
            <v>886</v>
          </cell>
          <cell r="H39">
            <v>0</v>
          </cell>
          <cell r="I39" t="str">
            <v>деп</v>
          </cell>
          <cell r="J39">
            <v>38474</v>
          </cell>
        </row>
        <row r="40">
          <cell r="A40">
            <v>58729583</v>
          </cell>
          <cell r="B40" t="str">
            <v>АВАНГАРД-ЛИЗИНГ</v>
          </cell>
          <cell r="C40" t="str">
            <v>ХОВРИНО      (ОКТ)</v>
          </cell>
          <cell r="D40">
            <v>32540</v>
          </cell>
          <cell r="E40">
            <v>37839</v>
          </cell>
          <cell r="F40">
            <v>886</v>
          </cell>
          <cell r="H40">
            <v>0</v>
          </cell>
          <cell r="I40" t="str">
            <v>кап</v>
          </cell>
          <cell r="J40">
            <v>38389</v>
          </cell>
        </row>
        <row r="41">
          <cell r="A41">
            <v>58729609</v>
          </cell>
          <cell r="B41" t="str">
            <v>АВАНГАРД-ЛИЗИНГ</v>
          </cell>
          <cell r="C41" t="str">
            <v>ХОВРИНО      (ОКТ)</v>
          </cell>
          <cell r="D41">
            <v>32540</v>
          </cell>
          <cell r="E41">
            <v>37839</v>
          </cell>
          <cell r="F41">
            <v>886</v>
          </cell>
          <cell r="H41">
            <v>0</v>
          </cell>
          <cell r="I41" t="str">
            <v>кап</v>
          </cell>
          <cell r="J41">
            <v>38389</v>
          </cell>
        </row>
        <row r="42">
          <cell r="A42">
            <v>58729617</v>
          </cell>
          <cell r="B42" t="str">
            <v>АВАНГАРД-ЛИЗИНГ</v>
          </cell>
          <cell r="C42" t="str">
            <v>ХОВРИНО      (ОКТ)</v>
          </cell>
          <cell r="D42">
            <v>32540</v>
          </cell>
          <cell r="E42">
            <v>37839</v>
          </cell>
          <cell r="F42">
            <v>886</v>
          </cell>
          <cell r="H42">
            <v>0</v>
          </cell>
          <cell r="I42" t="str">
            <v>кап</v>
          </cell>
          <cell r="J42">
            <v>38389</v>
          </cell>
        </row>
        <row r="43">
          <cell r="A43">
            <v>58729625</v>
          </cell>
          <cell r="B43" t="str">
            <v>АВАНГАРД-ЛИЗИНГ</v>
          </cell>
          <cell r="C43" t="str">
            <v>ХОВРИНО      (ОКТ)</v>
          </cell>
          <cell r="D43">
            <v>32540</v>
          </cell>
          <cell r="E43">
            <v>37839</v>
          </cell>
          <cell r="F43">
            <v>886</v>
          </cell>
          <cell r="H43">
            <v>0</v>
          </cell>
          <cell r="I43" t="str">
            <v>кап</v>
          </cell>
          <cell r="J43">
            <v>38389</v>
          </cell>
        </row>
        <row r="44">
          <cell r="A44">
            <v>58729633</v>
          </cell>
          <cell r="B44" t="str">
            <v>АВАНГАРД-ЛИЗИНГ</v>
          </cell>
          <cell r="C44" t="str">
            <v>ХОВРИНО      (ОКТ)</v>
          </cell>
          <cell r="D44">
            <v>32629</v>
          </cell>
          <cell r="E44">
            <v>37809</v>
          </cell>
          <cell r="F44">
            <v>163</v>
          </cell>
          <cell r="H44">
            <v>0</v>
          </cell>
          <cell r="I44" t="str">
            <v>деп</v>
          </cell>
          <cell r="J44">
            <v>38359</v>
          </cell>
        </row>
        <row r="45">
          <cell r="A45">
            <v>58729641</v>
          </cell>
          <cell r="B45" t="str">
            <v>АВАНГАРД-ЛИЗИНГ</v>
          </cell>
          <cell r="C45" t="str">
            <v>ХОВРИНО      (ОКТ)</v>
          </cell>
          <cell r="D45">
            <v>32629</v>
          </cell>
          <cell r="E45">
            <v>37809</v>
          </cell>
          <cell r="F45">
            <v>163</v>
          </cell>
          <cell r="H45">
            <v>0</v>
          </cell>
          <cell r="I45" t="str">
            <v>деп</v>
          </cell>
          <cell r="J45">
            <v>38359</v>
          </cell>
        </row>
        <row r="46">
          <cell r="A46">
            <v>58729658</v>
          </cell>
          <cell r="B46" t="str">
            <v>АВАНГАРД-ЛИЗИНГ</v>
          </cell>
          <cell r="C46" t="str">
            <v>ХОВРИНО      (ОКТ)</v>
          </cell>
          <cell r="D46">
            <v>32629</v>
          </cell>
          <cell r="E46">
            <v>37809</v>
          </cell>
          <cell r="F46">
            <v>163</v>
          </cell>
          <cell r="H46">
            <v>0</v>
          </cell>
          <cell r="I46" t="str">
            <v>деп</v>
          </cell>
          <cell r="J46">
            <v>38359</v>
          </cell>
        </row>
        <row r="47">
          <cell r="A47">
            <v>58729666</v>
          </cell>
          <cell r="B47" t="str">
            <v>АВАНГАРД-ЛИЗИНГ</v>
          </cell>
          <cell r="C47" t="str">
            <v>ХОВРИНО      (ОКТ)</v>
          </cell>
          <cell r="D47">
            <v>32629</v>
          </cell>
          <cell r="E47">
            <v>37809</v>
          </cell>
          <cell r="F47">
            <v>163</v>
          </cell>
          <cell r="H47">
            <v>0</v>
          </cell>
          <cell r="I47" t="str">
            <v>деп</v>
          </cell>
          <cell r="J47">
            <v>38359</v>
          </cell>
        </row>
        <row r="48">
          <cell r="A48">
            <v>58731688</v>
          </cell>
          <cell r="B48" t="str">
            <v>АВАНГАРД-ЛИЗИНГ</v>
          </cell>
          <cell r="C48" t="str">
            <v>ХОВРИНО      (ОКТ)</v>
          </cell>
          <cell r="D48">
            <v>32660</v>
          </cell>
          <cell r="E48">
            <v>37905</v>
          </cell>
          <cell r="F48">
            <v>492</v>
          </cell>
          <cell r="H48">
            <v>0</v>
          </cell>
          <cell r="I48" t="str">
            <v>деп</v>
          </cell>
          <cell r="J48">
            <v>38453</v>
          </cell>
        </row>
        <row r="49">
          <cell r="A49">
            <v>58731696</v>
          </cell>
          <cell r="B49" t="str">
            <v>АВАНГАРД-ЛИЗИНГ</v>
          </cell>
          <cell r="C49" t="str">
            <v>ХОВРИНО      (ОКТ)</v>
          </cell>
          <cell r="D49">
            <v>32660</v>
          </cell>
          <cell r="E49">
            <v>37905</v>
          </cell>
          <cell r="F49">
            <v>492</v>
          </cell>
          <cell r="H49">
            <v>0</v>
          </cell>
          <cell r="I49" t="str">
            <v>деп</v>
          </cell>
          <cell r="J49">
            <v>38453</v>
          </cell>
        </row>
        <row r="50">
          <cell r="A50">
            <v>58731704</v>
          </cell>
          <cell r="B50" t="str">
            <v>АВАНГАРД-ЛИЗИНГ</v>
          </cell>
          <cell r="C50" t="str">
            <v>ХОВРИНО      (ОКТ)</v>
          </cell>
          <cell r="D50">
            <v>32660</v>
          </cell>
          <cell r="E50">
            <v>37905</v>
          </cell>
          <cell r="F50">
            <v>492</v>
          </cell>
          <cell r="H50">
            <v>0</v>
          </cell>
          <cell r="I50" t="str">
            <v>деп</v>
          </cell>
          <cell r="J50">
            <v>38453</v>
          </cell>
        </row>
        <row r="51">
          <cell r="A51">
            <v>58731712</v>
          </cell>
          <cell r="B51" t="str">
            <v>АВАНГАРД-ЛИЗИНГ</v>
          </cell>
          <cell r="C51" t="str">
            <v>ХОВРИНО      (ОКТ)</v>
          </cell>
          <cell r="D51">
            <v>32660</v>
          </cell>
          <cell r="E51">
            <v>37905</v>
          </cell>
          <cell r="F51">
            <v>492</v>
          </cell>
          <cell r="H51">
            <v>0</v>
          </cell>
          <cell r="I51" t="str">
            <v>деп</v>
          </cell>
          <cell r="J51">
            <v>38453</v>
          </cell>
        </row>
        <row r="52">
          <cell r="A52">
            <v>58731720</v>
          </cell>
          <cell r="B52" t="str">
            <v>АВАНГАРД-ЛИЗИНГ</v>
          </cell>
          <cell r="C52" t="str">
            <v>ХОВРИНО      (ОКТ)</v>
          </cell>
          <cell r="D52">
            <v>32660</v>
          </cell>
          <cell r="E52">
            <v>37809</v>
          </cell>
          <cell r="F52">
            <v>492</v>
          </cell>
          <cell r="H52">
            <v>0</v>
          </cell>
          <cell r="I52" t="str">
            <v>деп</v>
          </cell>
          <cell r="J52">
            <v>38359</v>
          </cell>
        </row>
        <row r="53">
          <cell r="A53">
            <v>58731738</v>
          </cell>
          <cell r="B53" t="str">
            <v>АВАНГАРД-ЛИЗИНГ</v>
          </cell>
          <cell r="C53" t="str">
            <v>ХОВРИНО      (ОКТ)</v>
          </cell>
          <cell r="D53">
            <v>32660</v>
          </cell>
          <cell r="E53">
            <v>37809</v>
          </cell>
          <cell r="F53">
            <v>492</v>
          </cell>
          <cell r="H53">
            <v>0</v>
          </cell>
          <cell r="I53" t="str">
            <v>деп</v>
          </cell>
          <cell r="J53">
            <v>38359</v>
          </cell>
        </row>
        <row r="54">
          <cell r="A54">
            <v>58731746</v>
          </cell>
          <cell r="B54" t="str">
            <v>АВАНГАРД-ЛИЗИНГ</v>
          </cell>
          <cell r="C54" t="str">
            <v>ХОВРИНО      (ОКТ)</v>
          </cell>
          <cell r="D54">
            <v>32660</v>
          </cell>
          <cell r="E54">
            <v>37809</v>
          </cell>
          <cell r="F54">
            <v>492</v>
          </cell>
          <cell r="H54">
            <v>0</v>
          </cell>
          <cell r="I54" t="str">
            <v>деп</v>
          </cell>
          <cell r="J54">
            <v>38359</v>
          </cell>
        </row>
        <row r="55">
          <cell r="A55">
            <v>58731753</v>
          </cell>
          <cell r="B55" t="str">
            <v>АВАНГАРД-ЛИЗИНГ</v>
          </cell>
          <cell r="C55" t="str">
            <v>ХОВРИНО      (ОКТ)</v>
          </cell>
          <cell r="D55">
            <v>32660</v>
          </cell>
          <cell r="E55">
            <v>37809</v>
          </cell>
          <cell r="F55">
            <v>492</v>
          </cell>
          <cell r="H55">
            <v>0</v>
          </cell>
          <cell r="I55" t="str">
            <v>деп</v>
          </cell>
          <cell r="J55">
            <v>38359</v>
          </cell>
        </row>
        <row r="56">
          <cell r="A56">
            <v>58731761</v>
          </cell>
          <cell r="B56" t="str">
            <v>АВАНГАРД-ЛИЗИНГ</v>
          </cell>
          <cell r="C56" t="str">
            <v>ХОВРИНО      (ОКТ)</v>
          </cell>
          <cell r="D56">
            <v>32660</v>
          </cell>
          <cell r="E56">
            <v>37753</v>
          </cell>
          <cell r="F56">
            <v>492</v>
          </cell>
          <cell r="H56">
            <v>0</v>
          </cell>
          <cell r="I56" t="str">
            <v>деп</v>
          </cell>
          <cell r="J56">
            <v>38303</v>
          </cell>
        </row>
        <row r="57">
          <cell r="A57">
            <v>58731779</v>
          </cell>
          <cell r="B57" t="str">
            <v>АВАНГАРД-ЛИЗИНГ</v>
          </cell>
          <cell r="C57" t="str">
            <v>ХОВРИНО      (ОКТ)</v>
          </cell>
          <cell r="D57">
            <v>32660</v>
          </cell>
          <cell r="E57">
            <v>37753</v>
          </cell>
          <cell r="F57">
            <v>492</v>
          </cell>
          <cell r="H57">
            <v>0</v>
          </cell>
          <cell r="I57" t="str">
            <v>деп</v>
          </cell>
          <cell r="J57">
            <v>38303</v>
          </cell>
        </row>
        <row r="58">
          <cell r="A58">
            <v>58731787</v>
          </cell>
          <cell r="B58" t="str">
            <v>АВАНГАРД-ЛИЗИНГ</v>
          </cell>
          <cell r="C58" t="str">
            <v>ХОВРИНО      (ОКТ)</v>
          </cell>
          <cell r="D58">
            <v>32660</v>
          </cell>
          <cell r="E58">
            <v>37753</v>
          </cell>
          <cell r="F58">
            <v>492</v>
          </cell>
          <cell r="H58">
            <v>0</v>
          </cell>
          <cell r="I58" t="str">
            <v>деп</v>
          </cell>
          <cell r="J58">
            <v>38303</v>
          </cell>
        </row>
        <row r="59">
          <cell r="A59">
            <v>58731795</v>
          </cell>
          <cell r="B59" t="str">
            <v>АВАНГАРД-ЛИЗИНГ</v>
          </cell>
          <cell r="C59" t="str">
            <v>ХОВРИНО      (ОКТ)</v>
          </cell>
          <cell r="D59">
            <v>32660</v>
          </cell>
          <cell r="E59">
            <v>37753</v>
          </cell>
          <cell r="F59">
            <v>492</v>
          </cell>
          <cell r="H59">
            <v>0</v>
          </cell>
          <cell r="I59" t="str">
            <v>деп</v>
          </cell>
          <cell r="J59">
            <v>38303</v>
          </cell>
        </row>
        <row r="60">
          <cell r="A60">
            <v>58731845</v>
          </cell>
          <cell r="B60" t="str">
            <v>АВАНГАРД-ЛИЗИНГ</v>
          </cell>
          <cell r="C60" t="str">
            <v>ХОВРИНО      (ОКТ)</v>
          </cell>
          <cell r="D60">
            <v>32660</v>
          </cell>
          <cell r="E60">
            <v>37848</v>
          </cell>
          <cell r="F60">
            <v>492</v>
          </cell>
          <cell r="H60">
            <v>0</v>
          </cell>
          <cell r="I60" t="str">
            <v>деп</v>
          </cell>
          <cell r="J60">
            <v>38398</v>
          </cell>
        </row>
        <row r="61">
          <cell r="A61">
            <v>58731852</v>
          </cell>
          <cell r="B61" t="str">
            <v>АВАНГАРД-ЛИЗИНГ</v>
          </cell>
          <cell r="C61" t="str">
            <v>ХОВРИНО      (ОКТ)</v>
          </cell>
          <cell r="D61">
            <v>32660</v>
          </cell>
          <cell r="E61">
            <v>37848</v>
          </cell>
          <cell r="F61">
            <v>492</v>
          </cell>
          <cell r="H61">
            <v>0</v>
          </cell>
          <cell r="I61" t="str">
            <v>деп</v>
          </cell>
          <cell r="J61">
            <v>38398</v>
          </cell>
        </row>
        <row r="62">
          <cell r="A62">
            <v>58731860</v>
          </cell>
          <cell r="B62" t="str">
            <v>АВАНГАРД-ЛИЗИНГ</v>
          </cell>
          <cell r="C62" t="str">
            <v>ХОВРИНО      (ОКТ)</v>
          </cell>
          <cell r="D62">
            <v>32660</v>
          </cell>
          <cell r="E62">
            <v>37848</v>
          </cell>
          <cell r="F62">
            <v>492</v>
          </cell>
          <cell r="H62">
            <v>0</v>
          </cell>
          <cell r="I62" t="str">
            <v>деп</v>
          </cell>
          <cell r="J62">
            <v>38398</v>
          </cell>
        </row>
        <row r="63">
          <cell r="A63">
            <v>58731878</v>
          </cell>
          <cell r="B63" t="str">
            <v>АВАНГАРД-ЛИЗИНГ</v>
          </cell>
          <cell r="C63" t="str">
            <v>ХОВРИНО      (ОКТ)</v>
          </cell>
          <cell r="D63">
            <v>32660</v>
          </cell>
          <cell r="E63">
            <v>37848</v>
          </cell>
          <cell r="F63">
            <v>492</v>
          </cell>
          <cell r="H63">
            <v>0</v>
          </cell>
          <cell r="I63" t="str">
            <v>деп</v>
          </cell>
          <cell r="J63">
            <v>38398</v>
          </cell>
        </row>
        <row r="64">
          <cell r="A64">
            <v>58731886</v>
          </cell>
          <cell r="B64" t="str">
            <v>АВАНГАРД-ЛИЗИНГ</v>
          </cell>
          <cell r="C64" t="str">
            <v>ХОВРИНО      (ОКТ)</v>
          </cell>
          <cell r="D64">
            <v>32660</v>
          </cell>
          <cell r="E64">
            <v>37965</v>
          </cell>
          <cell r="F64">
            <v>492</v>
          </cell>
          <cell r="H64">
            <v>0</v>
          </cell>
          <cell r="I64" t="str">
            <v>кап</v>
          </cell>
          <cell r="J64">
            <v>38513</v>
          </cell>
        </row>
        <row r="65">
          <cell r="A65">
            <v>58731894</v>
          </cell>
          <cell r="B65" t="str">
            <v>АВАНГАРД-ЛИЗИНГ</v>
          </cell>
          <cell r="C65" t="str">
            <v>ХОВРИНО      (ОКТ)</v>
          </cell>
          <cell r="D65">
            <v>32660</v>
          </cell>
          <cell r="E65">
            <v>37965</v>
          </cell>
          <cell r="F65">
            <v>492</v>
          </cell>
          <cell r="H65">
            <v>0</v>
          </cell>
          <cell r="I65" t="str">
            <v>кап</v>
          </cell>
          <cell r="J65">
            <v>38513</v>
          </cell>
        </row>
        <row r="66">
          <cell r="A66">
            <v>58731902</v>
          </cell>
          <cell r="B66" t="str">
            <v>АВАНГАРД-ЛИЗИНГ</v>
          </cell>
          <cell r="C66" t="str">
            <v>ХОВРИНО      (ОКТ)</v>
          </cell>
          <cell r="D66">
            <v>32660</v>
          </cell>
          <cell r="E66">
            <v>37965</v>
          </cell>
          <cell r="F66">
            <v>492</v>
          </cell>
          <cell r="H66">
            <v>0</v>
          </cell>
          <cell r="I66" t="str">
            <v>кап</v>
          </cell>
          <cell r="J66">
            <v>38513</v>
          </cell>
        </row>
        <row r="67">
          <cell r="A67">
            <v>58731910</v>
          </cell>
          <cell r="B67" t="str">
            <v>АВАНГАРД-ЛИЗИНГ</v>
          </cell>
          <cell r="C67" t="str">
            <v>ХОВРИНО      (ОКТ)</v>
          </cell>
          <cell r="D67">
            <v>32660</v>
          </cell>
          <cell r="E67">
            <v>37965</v>
          </cell>
          <cell r="F67">
            <v>492</v>
          </cell>
          <cell r="H67">
            <v>0</v>
          </cell>
          <cell r="I67" t="str">
            <v>кап</v>
          </cell>
          <cell r="J67">
            <v>38513</v>
          </cell>
        </row>
        <row r="68">
          <cell r="A68">
            <v>58732041</v>
          </cell>
          <cell r="B68" t="str">
            <v>АВАНГАРД-ЛИЗИНГ</v>
          </cell>
          <cell r="C68" t="str">
            <v>ХОВРИНО      (ОКТ)</v>
          </cell>
          <cell r="D68">
            <v>32629</v>
          </cell>
          <cell r="E68">
            <v>37885</v>
          </cell>
          <cell r="F68">
            <v>492</v>
          </cell>
          <cell r="H68">
            <v>0</v>
          </cell>
          <cell r="I68" t="str">
            <v>деп</v>
          </cell>
          <cell r="J68">
            <v>38432</v>
          </cell>
        </row>
        <row r="69">
          <cell r="A69">
            <v>58732058</v>
          </cell>
          <cell r="B69" t="str">
            <v>АВАНГАРД-ЛИЗИНГ</v>
          </cell>
          <cell r="C69" t="str">
            <v>ХОВРИНО      (ОКТ)</v>
          </cell>
          <cell r="D69">
            <v>32629</v>
          </cell>
          <cell r="E69">
            <v>37885</v>
          </cell>
          <cell r="F69">
            <v>492</v>
          </cell>
          <cell r="H69">
            <v>0</v>
          </cell>
          <cell r="I69" t="str">
            <v>деп</v>
          </cell>
          <cell r="J69">
            <v>38432</v>
          </cell>
        </row>
        <row r="70">
          <cell r="A70">
            <v>58732066</v>
          </cell>
          <cell r="B70" t="str">
            <v>АВАНГАРД-ЛИЗИНГ</v>
          </cell>
          <cell r="C70" t="str">
            <v>ХОВРИНО      (ОКТ)</v>
          </cell>
          <cell r="D70">
            <v>32629</v>
          </cell>
          <cell r="E70">
            <v>37885</v>
          </cell>
          <cell r="F70">
            <v>492</v>
          </cell>
          <cell r="H70">
            <v>0</v>
          </cell>
          <cell r="I70" t="str">
            <v>деп</v>
          </cell>
          <cell r="J70">
            <v>38432</v>
          </cell>
        </row>
        <row r="71">
          <cell r="A71">
            <v>58732074</v>
          </cell>
          <cell r="B71" t="str">
            <v>АВАНГАРД-ЛИЗИНГ</v>
          </cell>
          <cell r="C71" t="str">
            <v>ХОВРИНО      (ОКТ)</v>
          </cell>
          <cell r="D71">
            <v>32629</v>
          </cell>
          <cell r="E71">
            <v>37885</v>
          </cell>
          <cell r="F71">
            <v>492</v>
          </cell>
          <cell r="H71">
            <v>0</v>
          </cell>
          <cell r="I71" t="str">
            <v>деп</v>
          </cell>
          <cell r="J71">
            <v>38432</v>
          </cell>
        </row>
        <row r="72">
          <cell r="A72">
            <v>58732082</v>
          </cell>
          <cell r="B72" t="str">
            <v>АВАНГАРД-ЛИЗИНГ</v>
          </cell>
          <cell r="C72" t="str">
            <v>ХОВРИНО      (ОКТ)</v>
          </cell>
          <cell r="D72">
            <v>32660</v>
          </cell>
          <cell r="E72">
            <v>37982</v>
          </cell>
          <cell r="F72">
            <v>557</v>
          </cell>
          <cell r="H72">
            <v>0</v>
          </cell>
          <cell r="I72" t="str">
            <v>кап</v>
          </cell>
          <cell r="J72">
            <v>38530</v>
          </cell>
        </row>
        <row r="73">
          <cell r="A73">
            <v>58732090</v>
          </cell>
          <cell r="B73" t="str">
            <v>АВАНГАРД-ЛИЗИНГ</v>
          </cell>
          <cell r="C73" t="str">
            <v>ХОВРИНО      (ОКТ)</v>
          </cell>
          <cell r="D73">
            <v>32660</v>
          </cell>
          <cell r="E73">
            <v>37982</v>
          </cell>
          <cell r="F73">
            <v>557</v>
          </cell>
          <cell r="H73">
            <v>0</v>
          </cell>
          <cell r="I73" t="str">
            <v>кап</v>
          </cell>
          <cell r="J73">
            <v>38530</v>
          </cell>
        </row>
        <row r="74">
          <cell r="A74">
            <v>58732108</v>
          </cell>
          <cell r="B74" t="str">
            <v>АВАНГАРД-ЛИЗИНГ</v>
          </cell>
          <cell r="C74" t="str">
            <v>ХОВРИНО      (ОКТ)</v>
          </cell>
          <cell r="D74">
            <v>32660</v>
          </cell>
          <cell r="E74">
            <v>37982</v>
          </cell>
          <cell r="F74">
            <v>557</v>
          </cell>
          <cell r="H74">
            <v>0</v>
          </cell>
          <cell r="I74" t="str">
            <v>кап</v>
          </cell>
          <cell r="J74">
            <v>38530</v>
          </cell>
        </row>
        <row r="75">
          <cell r="A75">
            <v>58732116</v>
          </cell>
          <cell r="B75" t="str">
            <v>АВАНГАРД-ЛИЗИНГ</v>
          </cell>
          <cell r="C75" t="str">
            <v>ХОВРИНО      (ОКТ)</v>
          </cell>
          <cell r="D75">
            <v>32660</v>
          </cell>
          <cell r="E75">
            <v>37982</v>
          </cell>
          <cell r="F75">
            <v>557</v>
          </cell>
          <cell r="H75">
            <v>0</v>
          </cell>
          <cell r="I75" t="str">
            <v>кап</v>
          </cell>
          <cell r="J75">
            <v>38530</v>
          </cell>
        </row>
        <row r="76">
          <cell r="A76">
            <v>58732124</v>
          </cell>
          <cell r="B76" t="str">
            <v>АВАНГАРД-ЛИЗИНГ</v>
          </cell>
          <cell r="C76" t="str">
            <v>ХОВРИНО      (ОКТ)</v>
          </cell>
          <cell r="D76">
            <v>32660</v>
          </cell>
          <cell r="E76">
            <v>37864</v>
          </cell>
          <cell r="F76">
            <v>492</v>
          </cell>
          <cell r="H76">
            <v>0</v>
          </cell>
          <cell r="I76" t="str">
            <v>деп</v>
          </cell>
          <cell r="J76">
            <v>38411</v>
          </cell>
        </row>
        <row r="77">
          <cell r="A77">
            <v>58732132</v>
          </cell>
          <cell r="B77" t="str">
            <v>АВАНГАРД-ЛИЗИНГ</v>
          </cell>
          <cell r="C77" t="str">
            <v>ХОВРИНО      (ОКТ)</v>
          </cell>
          <cell r="D77">
            <v>32660</v>
          </cell>
          <cell r="E77">
            <v>37864</v>
          </cell>
          <cell r="F77">
            <v>492</v>
          </cell>
          <cell r="H77">
            <v>0</v>
          </cell>
          <cell r="I77" t="str">
            <v>деп</v>
          </cell>
          <cell r="J77">
            <v>38411</v>
          </cell>
        </row>
        <row r="78">
          <cell r="A78">
            <v>58732140</v>
          </cell>
          <cell r="B78" t="str">
            <v>АВАНГАРД-ЛИЗИНГ</v>
          </cell>
          <cell r="C78" t="str">
            <v>ХОВРИНО      (ОКТ)</v>
          </cell>
          <cell r="D78">
            <v>32660</v>
          </cell>
          <cell r="E78">
            <v>37864</v>
          </cell>
          <cell r="F78">
            <v>492</v>
          </cell>
          <cell r="H78">
            <v>0</v>
          </cell>
          <cell r="I78" t="str">
            <v>деп</v>
          </cell>
          <cell r="J78">
            <v>38411</v>
          </cell>
        </row>
        <row r="79">
          <cell r="A79">
            <v>58732157</v>
          </cell>
          <cell r="B79" t="str">
            <v>АВАНГАРД-ЛИЗИНГ</v>
          </cell>
          <cell r="C79" t="str">
            <v>ХОВРИНО      (ОКТ)</v>
          </cell>
          <cell r="D79">
            <v>32660</v>
          </cell>
          <cell r="E79">
            <v>37864</v>
          </cell>
          <cell r="F79">
            <v>492</v>
          </cell>
          <cell r="H79">
            <v>0</v>
          </cell>
          <cell r="I79" t="str">
            <v>деп</v>
          </cell>
          <cell r="J79">
            <v>38411</v>
          </cell>
        </row>
        <row r="80">
          <cell r="A80">
            <v>58732249</v>
          </cell>
          <cell r="B80" t="str">
            <v>АВАНГАРД-ЛИЗИНГ</v>
          </cell>
          <cell r="C80" t="str">
            <v>ХОВРИНО      (ОКТ)</v>
          </cell>
          <cell r="D80">
            <v>32690</v>
          </cell>
          <cell r="E80">
            <v>37819</v>
          </cell>
          <cell r="F80">
            <v>492</v>
          </cell>
          <cell r="H80">
            <v>0</v>
          </cell>
          <cell r="I80" t="str">
            <v>деп</v>
          </cell>
          <cell r="J80">
            <v>38369</v>
          </cell>
        </row>
        <row r="81">
          <cell r="A81">
            <v>58732256</v>
          </cell>
          <cell r="B81" t="str">
            <v>АВАНГАРД-ЛИЗИНГ</v>
          </cell>
          <cell r="C81" t="str">
            <v>ХОВРИНО      (ОКТ)</v>
          </cell>
          <cell r="D81">
            <v>32690</v>
          </cell>
          <cell r="E81">
            <v>37819</v>
          </cell>
          <cell r="F81">
            <v>492</v>
          </cell>
          <cell r="H81">
            <v>0</v>
          </cell>
          <cell r="I81" t="str">
            <v>деп</v>
          </cell>
          <cell r="J81">
            <v>38369</v>
          </cell>
        </row>
        <row r="82">
          <cell r="A82">
            <v>58732264</v>
          </cell>
          <cell r="B82" t="str">
            <v>АВАНГАРД-ЛИЗИНГ</v>
          </cell>
          <cell r="C82" t="str">
            <v>ХОВРИНО      (ОКТ)</v>
          </cell>
          <cell r="D82">
            <v>32690</v>
          </cell>
          <cell r="E82">
            <v>37819</v>
          </cell>
          <cell r="F82">
            <v>492</v>
          </cell>
          <cell r="H82">
            <v>0</v>
          </cell>
          <cell r="I82" t="str">
            <v>деп</v>
          </cell>
          <cell r="J82">
            <v>38369</v>
          </cell>
        </row>
        <row r="83">
          <cell r="A83">
            <v>58732272</v>
          </cell>
          <cell r="B83" t="str">
            <v>АВАНГАРД-ЛИЗИНГ</v>
          </cell>
          <cell r="C83" t="str">
            <v>ХОВРИНО      (ОКТ)</v>
          </cell>
          <cell r="D83">
            <v>32690</v>
          </cell>
          <cell r="E83">
            <v>37819</v>
          </cell>
          <cell r="F83">
            <v>492</v>
          </cell>
          <cell r="H83">
            <v>0</v>
          </cell>
          <cell r="I83" t="str">
            <v>деп</v>
          </cell>
          <cell r="J83">
            <v>38369</v>
          </cell>
        </row>
        <row r="84">
          <cell r="A84">
            <v>58732280</v>
          </cell>
          <cell r="B84" t="str">
            <v>АВАНГАРД-ЛИЗИНГ</v>
          </cell>
          <cell r="C84" t="str">
            <v>ХОВРИНО      (ОКТ)</v>
          </cell>
          <cell r="D84">
            <v>32660</v>
          </cell>
          <cell r="E84">
            <v>37928</v>
          </cell>
          <cell r="F84">
            <v>492</v>
          </cell>
          <cell r="H84">
            <v>0</v>
          </cell>
          <cell r="I84" t="str">
            <v>деп</v>
          </cell>
          <cell r="J84">
            <v>38475</v>
          </cell>
        </row>
        <row r="85">
          <cell r="A85">
            <v>58732298</v>
          </cell>
          <cell r="B85" t="str">
            <v>АВАНГАРД-ЛИЗИНГ</v>
          </cell>
          <cell r="C85" t="str">
            <v>ХОВРИНО      (ОКТ)</v>
          </cell>
          <cell r="D85">
            <v>32660</v>
          </cell>
          <cell r="E85">
            <v>37928</v>
          </cell>
          <cell r="F85">
            <v>492</v>
          </cell>
          <cell r="H85">
            <v>0</v>
          </cell>
          <cell r="I85" t="str">
            <v>деп</v>
          </cell>
          <cell r="J85">
            <v>38475</v>
          </cell>
        </row>
        <row r="86">
          <cell r="A86">
            <v>58732306</v>
          </cell>
          <cell r="B86" t="str">
            <v>АВАНГАРД-ЛИЗИНГ</v>
          </cell>
          <cell r="C86" t="str">
            <v>ХОВРИНО      (ОКТ)</v>
          </cell>
          <cell r="D86">
            <v>32660</v>
          </cell>
          <cell r="E86">
            <v>37928</v>
          </cell>
          <cell r="F86">
            <v>492</v>
          </cell>
          <cell r="H86">
            <v>0</v>
          </cell>
          <cell r="I86" t="str">
            <v>деп</v>
          </cell>
          <cell r="J86">
            <v>38475</v>
          </cell>
        </row>
        <row r="87">
          <cell r="A87">
            <v>58732314</v>
          </cell>
          <cell r="B87" t="str">
            <v>АВАНГАРД-ЛИЗИНГ</v>
          </cell>
          <cell r="C87" t="str">
            <v>ХОВРИНО      (ОКТ)</v>
          </cell>
          <cell r="D87">
            <v>32660</v>
          </cell>
          <cell r="E87">
            <v>37928</v>
          </cell>
          <cell r="F87">
            <v>492</v>
          </cell>
          <cell r="H87">
            <v>0</v>
          </cell>
          <cell r="I87" t="str">
            <v>деп</v>
          </cell>
          <cell r="J87">
            <v>38475</v>
          </cell>
        </row>
        <row r="88">
          <cell r="B88" t="str">
            <v>АВАНГАРД-ЛИЗИНГ Количество</v>
          </cell>
          <cell r="D88">
            <v>75</v>
          </cell>
        </row>
        <row r="89">
          <cell r="A89">
            <v>53706479</v>
          </cell>
          <cell r="B89" t="str">
            <v>АВИРТУС</v>
          </cell>
          <cell r="C89" t="str">
            <v>ЛЮБЛИНО-СОРТ (МСK)</v>
          </cell>
          <cell r="D89">
            <v>29551</v>
          </cell>
          <cell r="E89">
            <v>34759</v>
          </cell>
          <cell r="F89">
            <v>0</v>
          </cell>
          <cell r="G89">
            <v>37652</v>
          </cell>
          <cell r="H89">
            <v>886</v>
          </cell>
          <cell r="I89" t="str">
            <v>деп</v>
          </cell>
          <cell r="J89">
            <v>38199</v>
          </cell>
        </row>
        <row r="90">
          <cell r="A90">
            <v>53706628</v>
          </cell>
          <cell r="B90" t="str">
            <v>АВИРТУС</v>
          </cell>
          <cell r="C90" t="str">
            <v>ЛЮБЛИНО-СОРТ (МСK)</v>
          </cell>
          <cell r="D90">
            <v>28722</v>
          </cell>
          <cell r="E90">
            <v>34516</v>
          </cell>
          <cell r="F90">
            <v>0</v>
          </cell>
          <cell r="G90">
            <v>37875</v>
          </cell>
          <cell r="H90">
            <v>886</v>
          </cell>
          <cell r="I90" t="str">
            <v>деп</v>
          </cell>
          <cell r="J90">
            <v>38422</v>
          </cell>
        </row>
        <row r="91">
          <cell r="A91">
            <v>53706636</v>
          </cell>
          <cell r="B91" t="str">
            <v>АВИРТУС</v>
          </cell>
          <cell r="C91" t="str">
            <v>ЛЮБЛИНО-СОРТ (МСK)</v>
          </cell>
          <cell r="D91">
            <v>28745</v>
          </cell>
          <cell r="E91">
            <v>34516</v>
          </cell>
          <cell r="F91">
            <v>0</v>
          </cell>
          <cell r="G91">
            <v>37929</v>
          </cell>
          <cell r="H91">
            <v>886</v>
          </cell>
          <cell r="I91" t="str">
            <v>деп</v>
          </cell>
          <cell r="J91">
            <v>38476</v>
          </cell>
        </row>
        <row r="92">
          <cell r="A92">
            <v>53706644</v>
          </cell>
          <cell r="B92" t="str">
            <v>АВИРТУС</v>
          </cell>
          <cell r="C92" t="str">
            <v>ЛЮБЛИНО-СОРТ (МСK)</v>
          </cell>
          <cell r="D92">
            <v>28491</v>
          </cell>
          <cell r="E92">
            <v>33878</v>
          </cell>
          <cell r="F92">
            <v>0</v>
          </cell>
          <cell r="G92">
            <v>32874</v>
          </cell>
          <cell r="H92">
            <v>0</v>
          </cell>
          <cell r="I92" t="str">
            <v>деп</v>
          </cell>
          <cell r="J92">
            <v>34425</v>
          </cell>
        </row>
        <row r="93">
          <cell r="A93">
            <v>53706651</v>
          </cell>
          <cell r="B93" t="str">
            <v>АВИРТУС</v>
          </cell>
          <cell r="C93" t="str">
            <v>ЛЮБЛИНО-СОРТ (МСK)</v>
          </cell>
          <cell r="D93">
            <v>29139</v>
          </cell>
          <cell r="E93">
            <v>33970</v>
          </cell>
          <cell r="F93">
            <v>0</v>
          </cell>
          <cell r="G93">
            <v>37875</v>
          </cell>
          <cell r="H93">
            <v>886</v>
          </cell>
          <cell r="I93" t="str">
            <v>деп</v>
          </cell>
          <cell r="J93">
            <v>38422</v>
          </cell>
        </row>
        <row r="94">
          <cell r="A94">
            <v>53706669</v>
          </cell>
          <cell r="B94" t="str">
            <v>АВИРТУС</v>
          </cell>
          <cell r="C94" t="str">
            <v>ЛЮБЛИНО-СОРТ (МСK)</v>
          </cell>
          <cell r="D94">
            <v>28102</v>
          </cell>
          <cell r="E94">
            <v>34700</v>
          </cell>
          <cell r="F94">
            <v>0</v>
          </cell>
          <cell r="G94">
            <v>37921</v>
          </cell>
          <cell r="H94">
            <v>886</v>
          </cell>
          <cell r="I94" t="str">
            <v>деп</v>
          </cell>
          <cell r="J94">
            <v>38469</v>
          </cell>
        </row>
        <row r="95">
          <cell r="A95">
            <v>53706677</v>
          </cell>
          <cell r="B95" t="str">
            <v>АВИРТУС</v>
          </cell>
          <cell r="C95" t="str">
            <v>ЛЮБЛИНО-СОРТ (МСK)</v>
          </cell>
          <cell r="D95">
            <v>27343</v>
          </cell>
          <cell r="E95">
            <v>34151</v>
          </cell>
          <cell r="F95">
            <v>0</v>
          </cell>
          <cell r="G95">
            <v>37921</v>
          </cell>
          <cell r="H95">
            <v>886</v>
          </cell>
          <cell r="I95" t="str">
            <v>деп</v>
          </cell>
          <cell r="J95">
            <v>38469</v>
          </cell>
        </row>
        <row r="96">
          <cell r="A96">
            <v>53706685</v>
          </cell>
          <cell r="B96" t="str">
            <v>АВИРТУС</v>
          </cell>
          <cell r="C96" t="str">
            <v>ЛЮБЛИНО-СОРТ (МСK)</v>
          </cell>
          <cell r="D96">
            <v>29739</v>
          </cell>
          <cell r="E96">
            <v>31594</v>
          </cell>
          <cell r="F96">
            <v>0</v>
          </cell>
          <cell r="G96">
            <v>37921</v>
          </cell>
          <cell r="H96">
            <v>886</v>
          </cell>
          <cell r="I96" t="str">
            <v>деп</v>
          </cell>
          <cell r="J96">
            <v>38469</v>
          </cell>
        </row>
        <row r="97">
          <cell r="A97">
            <v>53706800</v>
          </cell>
          <cell r="B97" t="str">
            <v>АВИРТУС</v>
          </cell>
          <cell r="C97" t="str">
            <v>ЛЮБЛИНО-СОРТ (МСK)</v>
          </cell>
          <cell r="D97">
            <v>29952</v>
          </cell>
          <cell r="E97">
            <v>34455</v>
          </cell>
          <cell r="F97">
            <v>0</v>
          </cell>
          <cell r="H97">
            <v>0</v>
          </cell>
          <cell r="I97" t="str">
            <v>кап</v>
          </cell>
          <cell r="J97">
            <v>35004</v>
          </cell>
        </row>
        <row r="98">
          <cell r="A98">
            <v>53706818</v>
          </cell>
          <cell r="B98" t="str">
            <v>АВИРТУС</v>
          </cell>
          <cell r="C98" t="str">
            <v>ЛЮБЛИНО-СОРТ (МСK)</v>
          </cell>
          <cell r="D98">
            <v>29587</v>
          </cell>
          <cell r="E98">
            <v>34820</v>
          </cell>
          <cell r="F98">
            <v>0</v>
          </cell>
          <cell r="G98">
            <v>33604</v>
          </cell>
          <cell r="H98">
            <v>0</v>
          </cell>
          <cell r="I98" t="str">
            <v>деп</v>
          </cell>
          <cell r="J98">
            <v>35370</v>
          </cell>
        </row>
        <row r="99">
          <cell r="A99">
            <v>53706826</v>
          </cell>
          <cell r="B99" t="str">
            <v>АВИРТУС</v>
          </cell>
          <cell r="C99" t="str">
            <v>ЛЮБЛИНО-СОРТ (МСK)</v>
          </cell>
          <cell r="D99">
            <v>28441</v>
          </cell>
          <cell r="E99">
            <v>34578</v>
          </cell>
          <cell r="F99">
            <v>0</v>
          </cell>
          <cell r="G99">
            <v>32143</v>
          </cell>
          <cell r="H99">
            <v>0</v>
          </cell>
          <cell r="I99" t="str">
            <v>деп</v>
          </cell>
          <cell r="J99">
            <v>35125</v>
          </cell>
        </row>
        <row r="100">
          <cell r="A100">
            <v>53706834</v>
          </cell>
          <cell r="B100" t="str">
            <v>АВИРТУС</v>
          </cell>
          <cell r="C100" t="str">
            <v>ЛЮБЛИНО-СОРТ (МСK)</v>
          </cell>
          <cell r="D100">
            <v>28469</v>
          </cell>
          <cell r="E100">
            <v>31291</v>
          </cell>
          <cell r="F100">
            <v>0</v>
          </cell>
          <cell r="H100">
            <v>0</v>
          </cell>
          <cell r="I100" t="str">
            <v>кап</v>
          </cell>
          <cell r="J100">
            <v>31837</v>
          </cell>
        </row>
        <row r="101">
          <cell r="A101">
            <v>58740655</v>
          </cell>
          <cell r="B101" t="str">
            <v>АВИРТУС</v>
          </cell>
          <cell r="C101" t="str">
            <v>ЛЮБЛИНО-СОРТ (МСK)</v>
          </cell>
          <cell r="D101">
            <v>29551</v>
          </cell>
          <cell r="E101">
            <v>34759</v>
          </cell>
          <cell r="F101">
            <v>0</v>
          </cell>
          <cell r="G101">
            <v>37652</v>
          </cell>
          <cell r="H101">
            <v>886</v>
          </cell>
          <cell r="I101" t="str">
            <v>деп</v>
          </cell>
          <cell r="J101">
            <v>38199</v>
          </cell>
        </row>
        <row r="102">
          <cell r="A102">
            <v>58740663</v>
          </cell>
          <cell r="B102" t="str">
            <v>АВИРТУС</v>
          </cell>
          <cell r="C102" t="str">
            <v>ЛЮБЛИНО-СОРТ (МСK)</v>
          </cell>
          <cell r="D102">
            <v>29551</v>
          </cell>
          <cell r="F102">
            <v>0</v>
          </cell>
          <cell r="G102">
            <v>37652</v>
          </cell>
          <cell r="H102">
            <v>886</v>
          </cell>
          <cell r="I102" t="str">
            <v>деп</v>
          </cell>
          <cell r="J102">
            <v>38199</v>
          </cell>
        </row>
        <row r="103">
          <cell r="A103">
            <v>58740671</v>
          </cell>
          <cell r="B103" t="str">
            <v>АВИРТУС</v>
          </cell>
          <cell r="C103" t="str">
            <v>ЛЮБЛИНО-СОРТ (МСK)</v>
          </cell>
          <cell r="D103">
            <v>29551</v>
          </cell>
          <cell r="E103">
            <v>31107</v>
          </cell>
          <cell r="F103">
            <v>0</v>
          </cell>
          <cell r="G103">
            <v>37652</v>
          </cell>
          <cell r="H103">
            <v>886</v>
          </cell>
          <cell r="I103" t="str">
            <v>деп</v>
          </cell>
          <cell r="J103">
            <v>38199</v>
          </cell>
        </row>
        <row r="104">
          <cell r="A104">
            <v>58740689</v>
          </cell>
          <cell r="B104" t="str">
            <v>АВИРТУС</v>
          </cell>
          <cell r="C104" t="str">
            <v>ЛЮБЛИНО-СОРТ (МСK)</v>
          </cell>
          <cell r="D104">
            <v>29551</v>
          </cell>
          <cell r="E104">
            <v>34759</v>
          </cell>
          <cell r="F104">
            <v>0</v>
          </cell>
          <cell r="G104">
            <v>37652</v>
          </cell>
          <cell r="H104">
            <v>886</v>
          </cell>
          <cell r="I104" t="str">
            <v>деп</v>
          </cell>
          <cell r="J104">
            <v>38199</v>
          </cell>
        </row>
        <row r="105">
          <cell r="A105">
            <v>58741240</v>
          </cell>
          <cell r="B105" t="str">
            <v>АВИРТУС</v>
          </cell>
          <cell r="C105" t="str">
            <v>ЛЮБЛИНО-СОРТ (МСK)</v>
          </cell>
          <cell r="D105">
            <v>28722</v>
          </cell>
          <cell r="E105">
            <v>34516</v>
          </cell>
          <cell r="F105">
            <v>0</v>
          </cell>
          <cell r="G105">
            <v>37875</v>
          </cell>
          <cell r="H105">
            <v>886</v>
          </cell>
          <cell r="I105" t="str">
            <v>деп</v>
          </cell>
          <cell r="J105">
            <v>38422</v>
          </cell>
        </row>
        <row r="106">
          <cell r="A106">
            <v>58741257</v>
          </cell>
          <cell r="B106" t="str">
            <v>АВИРТУС</v>
          </cell>
          <cell r="C106" t="str">
            <v>ЛЮБЛИНО-СОРТ (МСK)</v>
          </cell>
          <cell r="D106">
            <v>28722</v>
          </cell>
          <cell r="E106">
            <v>34516</v>
          </cell>
          <cell r="F106">
            <v>0</v>
          </cell>
          <cell r="G106">
            <v>37875</v>
          </cell>
          <cell r="H106">
            <v>886</v>
          </cell>
          <cell r="I106" t="str">
            <v>деп</v>
          </cell>
          <cell r="J106">
            <v>38422</v>
          </cell>
        </row>
        <row r="107">
          <cell r="A107">
            <v>58741265</v>
          </cell>
          <cell r="B107" t="str">
            <v>АВИРТУС</v>
          </cell>
          <cell r="C107" t="str">
            <v>ЛЮБЛИНО-СОРТ (МСK)</v>
          </cell>
          <cell r="D107">
            <v>28722</v>
          </cell>
          <cell r="E107">
            <v>34516</v>
          </cell>
          <cell r="F107">
            <v>0</v>
          </cell>
          <cell r="G107">
            <v>37875</v>
          </cell>
          <cell r="H107">
            <v>886</v>
          </cell>
          <cell r="I107" t="str">
            <v>деп</v>
          </cell>
          <cell r="J107">
            <v>38422</v>
          </cell>
        </row>
        <row r="108">
          <cell r="A108">
            <v>58741273</v>
          </cell>
          <cell r="B108" t="str">
            <v>АВИРТУС</v>
          </cell>
          <cell r="C108" t="str">
            <v>ЛЮБЛИНО-СОРТ (МСK)</v>
          </cell>
          <cell r="D108">
            <v>28722</v>
          </cell>
          <cell r="E108">
            <v>34516</v>
          </cell>
          <cell r="F108">
            <v>0</v>
          </cell>
          <cell r="G108">
            <v>37875</v>
          </cell>
          <cell r="H108">
            <v>886</v>
          </cell>
          <cell r="I108" t="str">
            <v>деп</v>
          </cell>
          <cell r="J108">
            <v>38422</v>
          </cell>
        </row>
        <row r="109">
          <cell r="A109">
            <v>58741281</v>
          </cell>
          <cell r="B109" t="str">
            <v>АВИРТУС</v>
          </cell>
          <cell r="C109" t="str">
            <v>ЛЮБЛИНО-СОРТ (МСK)</v>
          </cell>
          <cell r="D109">
            <v>28745</v>
          </cell>
          <cell r="E109">
            <v>34516</v>
          </cell>
          <cell r="F109">
            <v>0</v>
          </cell>
          <cell r="G109">
            <v>37929</v>
          </cell>
          <cell r="H109">
            <v>886</v>
          </cell>
          <cell r="I109" t="str">
            <v>деп</v>
          </cell>
          <cell r="J109">
            <v>38476</v>
          </cell>
        </row>
        <row r="110">
          <cell r="A110">
            <v>58741307</v>
          </cell>
          <cell r="B110" t="str">
            <v>АВИРТУС</v>
          </cell>
          <cell r="C110" t="str">
            <v>ЛЮБЛИНО-СОРТ (МСK)</v>
          </cell>
          <cell r="D110">
            <v>28745</v>
          </cell>
          <cell r="E110">
            <v>34516</v>
          </cell>
          <cell r="F110">
            <v>0</v>
          </cell>
          <cell r="G110">
            <v>37929</v>
          </cell>
          <cell r="H110">
            <v>886</v>
          </cell>
          <cell r="I110" t="str">
            <v>деп</v>
          </cell>
          <cell r="J110">
            <v>38476</v>
          </cell>
        </row>
        <row r="111">
          <cell r="A111">
            <v>58741315</v>
          </cell>
          <cell r="B111" t="str">
            <v>АВИРТУС</v>
          </cell>
          <cell r="C111" t="str">
            <v>ЛЮБЛИНО-СОРТ (МСK)</v>
          </cell>
          <cell r="D111">
            <v>28745</v>
          </cell>
          <cell r="E111">
            <v>34516</v>
          </cell>
          <cell r="F111">
            <v>0</v>
          </cell>
          <cell r="G111">
            <v>37929</v>
          </cell>
          <cell r="H111">
            <v>886</v>
          </cell>
          <cell r="I111" t="str">
            <v>деп</v>
          </cell>
          <cell r="J111">
            <v>38476</v>
          </cell>
        </row>
        <row r="112">
          <cell r="A112">
            <v>58741323</v>
          </cell>
          <cell r="B112" t="str">
            <v>АВИРТУС</v>
          </cell>
          <cell r="C112" t="str">
            <v>ЛЮБЛИНО-СОРТ (МСK)</v>
          </cell>
          <cell r="D112">
            <v>28745</v>
          </cell>
          <cell r="E112">
            <v>34516</v>
          </cell>
          <cell r="F112">
            <v>0</v>
          </cell>
          <cell r="G112">
            <v>37929</v>
          </cell>
          <cell r="H112">
            <v>886</v>
          </cell>
          <cell r="I112" t="str">
            <v>деп</v>
          </cell>
          <cell r="J112">
            <v>38476</v>
          </cell>
        </row>
        <row r="113">
          <cell r="A113">
            <v>58741331</v>
          </cell>
          <cell r="B113" t="str">
            <v>АВИРТУС</v>
          </cell>
          <cell r="C113" t="str">
            <v>ЛЮБЛИНО-СОРТ (МСK)</v>
          </cell>
          <cell r="D113">
            <v>28491</v>
          </cell>
          <cell r="E113">
            <v>33878</v>
          </cell>
          <cell r="F113">
            <v>0</v>
          </cell>
          <cell r="G113">
            <v>32874</v>
          </cell>
          <cell r="H113">
            <v>0</v>
          </cell>
          <cell r="I113" t="str">
            <v>деп</v>
          </cell>
          <cell r="J113">
            <v>34425</v>
          </cell>
        </row>
        <row r="114">
          <cell r="A114">
            <v>58741349</v>
          </cell>
          <cell r="B114" t="str">
            <v>АВИРТУС</v>
          </cell>
          <cell r="C114" t="str">
            <v>ЛЮБЛИНО-СОРТ (МСK)</v>
          </cell>
          <cell r="D114">
            <v>28491</v>
          </cell>
          <cell r="E114">
            <v>33878</v>
          </cell>
          <cell r="F114">
            <v>0</v>
          </cell>
          <cell r="G114">
            <v>32874</v>
          </cell>
          <cell r="H114">
            <v>0</v>
          </cell>
          <cell r="I114" t="str">
            <v>деп</v>
          </cell>
          <cell r="J114">
            <v>34425</v>
          </cell>
        </row>
        <row r="115">
          <cell r="A115">
            <v>58741356</v>
          </cell>
          <cell r="B115" t="str">
            <v>АВИРТУС</v>
          </cell>
          <cell r="C115" t="str">
            <v>ЛЮБЛИНО-СОРТ (МСK)</v>
          </cell>
          <cell r="D115">
            <v>28491</v>
          </cell>
          <cell r="E115">
            <v>33878</v>
          </cell>
          <cell r="F115">
            <v>0</v>
          </cell>
          <cell r="G115">
            <v>32874</v>
          </cell>
          <cell r="H115">
            <v>0</v>
          </cell>
          <cell r="I115" t="str">
            <v>деп</v>
          </cell>
          <cell r="J115">
            <v>34425</v>
          </cell>
        </row>
        <row r="116">
          <cell r="A116">
            <v>58741364</v>
          </cell>
          <cell r="B116" t="str">
            <v>АВИРТУС</v>
          </cell>
          <cell r="C116" t="str">
            <v>ЛЮБЛИНО-СОРТ (МСK)</v>
          </cell>
          <cell r="D116">
            <v>28491</v>
          </cell>
          <cell r="E116">
            <v>33878</v>
          </cell>
          <cell r="F116">
            <v>0</v>
          </cell>
          <cell r="G116">
            <v>32874</v>
          </cell>
          <cell r="H116">
            <v>0</v>
          </cell>
          <cell r="I116" t="str">
            <v>деп</v>
          </cell>
          <cell r="J116">
            <v>34425</v>
          </cell>
        </row>
        <row r="117">
          <cell r="A117">
            <v>58741372</v>
          </cell>
          <cell r="B117" t="str">
            <v>АВИРТУС</v>
          </cell>
          <cell r="C117" t="str">
            <v>ЛЮБЛИНО-СОРТ (МСK)</v>
          </cell>
          <cell r="D117">
            <v>29139</v>
          </cell>
          <cell r="E117">
            <v>33970</v>
          </cell>
          <cell r="F117">
            <v>0</v>
          </cell>
          <cell r="G117">
            <v>37875</v>
          </cell>
          <cell r="H117">
            <v>886</v>
          </cell>
          <cell r="I117" t="str">
            <v>деп</v>
          </cell>
          <cell r="J117">
            <v>38422</v>
          </cell>
        </row>
        <row r="118">
          <cell r="A118">
            <v>58741380</v>
          </cell>
          <cell r="B118" t="str">
            <v>АВИРТУС</v>
          </cell>
          <cell r="C118" t="str">
            <v>ЛЮБЛИНО-СОРТ (МСK)</v>
          </cell>
          <cell r="D118">
            <v>29139</v>
          </cell>
          <cell r="E118">
            <v>33970</v>
          </cell>
          <cell r="F118">
            <v>0</v>
          </cell>
          <cell r="G118">
            <v>37875</v>
          </cell>
          <cell r="H118">
            <v>886</v>
          </cell>
          <cell r="I118" t="str">
            <v>деп</v>
          </cell>
          <cell r="J118">
            <v>38422</v>
          </cell>
        </row>
        <row r="119">
          <cell r="A119">
            <v>58741406</v>
          </cell>
          <cell r="B119" t="str">
            <v>АВИРТУС</v>
          </cell>
          <cell r="C119" t="str">
            <v>ЛЮБЛИНО-СОРТ (МСK)</v>
          </cell>
          <cell r="D119">
            <v>29139</v>
          </cell>
          <cell r="E119">
            <v>33970</v>
          </cell>
          <cell r="F119">
            <v>0</v>
          </cell>
          <cell r="G119">
            <v>37875</v>
          </cell>
          <cell r="H119">
            <v>886</v>
          </cell>
          <cell r="I119" t="str">
            <v>деп</v>
          </cell>
          <cell r="J119">
            <v>38422</v>
          </cell>
        </row>
        <row r="120">
          <cell r="A120">
            <v>58741414</v>
          </cell>
          <cell r="B120" t="str">
            <v>АВИРТУС</v>
          </cell>
          <cell r="C120" t="str">
            <v>ЛЮБЛИНО-СОРТ (МСK)</v>
          </cell>
          <cell r="D120">
            <v>29139</v>
          </cell>
          <cell r="E120">
            <v>33970</v>
          </cell>
          <cell r="F120">
            <v>0</v>
          </cell>
          <cell r="G120">
            <v>37875</v>
          </cell>
          <cell r="H120">
            <v>886</v>
          </cell>
          <cell r="I120" t="str">
            <v>деп</v>
          </cell>
          <cell r="J120">
            <v>38422</v>
          </cell>
        </row>
        <row r="121">
          <cell r="A121">
            <v>58741422</v>
          </cell>
          <cell r="B121" t="str">
            <v>АВИРТУС</v>
          </cell>
          <cell r="C121" t="str">
            <v>ЛЮБЛИНО-СОРТ (МСK)</v>
          </cell>
          <cell r="D121">
            <v>28102</v>
          </cell>
          <cell r="E121">
            <v>34700</v>
          </cell>
          <cell r="F121">
            <v>0</v>
          </cell>
          <cell r="G121">
            <v>37921</v>
          </cell>
          <cell r="H121">
            <v>886</v>
          </cell>
          <cell r="I121" t="str">
            <v>деп</v>
          </cell>
          <cell r="J121">
            <v>38469</v>
          </cell>
        </row>
        <row r="122">
          <cell r="A122">
            <v>58741430</v>
          </cell>
          <cell r="B122" t="str">
            <v>АВИРТУС</v>
          </cell>
          <cell r="C122" t="str">
            <v>ЛЮБЛИНО-СОРТ (МСK)</v>
          </cell>
          <cell r="D122">
            <v>28102</v>
          </cell>
          <cell r="E122">
            <v>34700</v>
          </cell>
          <cell r="F122">
            <v>0</v>
          </cell>
          <cell r="G122">
            <v>37921</v>
          </cell>
          <cell r="H122">
            <v>886</v>
          </cell>
          <cell r="I122" t="str">
            <v>деп</v>
          </cell>
          <cell r="J122">
            <v>38469</v>
          </cell>
        </row>
        <row r="123">
          <cell r="A123">
            <v>58741448</v>
          </cell>
          <cell r="B123" t="str">
            <v>АВИРТУС</v>
          </cell>
          <cell r="C123" t="str">
            <v>ЛЮБЛИНО-СОРТ (МСK)</v>
          </cell>
          <cell r="D123">
            <v>28102</v>
          </cell>
          <cell r="E123">
            <v>34700</v>
          </cell>
          <cell r="F123">
            <v>0</v>
          </cell>
          <cell r="G123">
            <v>37921</v>
          </cell>
          <cell r="H123">
            <v>886</v>
          </cell>
          <cell r="I123" t="str">
            <v>деп</v>
          </cell>
          <cell r="J123">
            <v>38469</v>
          </cell>
        </row>
        <row r="124">
          <cell r="A124">
            <v>58741455</v>
          </cell>
          <cell r="B124" t="str">
            <v>АВИРТУС</v>
          </cell>
          <cell r="C124" t="str">
            <v>ЛЮБЛИНО-СОРТ (МСK)</v>
          </cell>
          <cell r="D124">
            <v>28102</v>
          </cell>
          <cell r="E124">
            <v>34700</v>
          </cell>
          <cell r="F124">
            <v>0</v>
          </cell>
          <cell r="G124">
            <v>37921</v>
          </cell>
          <cell r="H124">
            <v>886</v>
          </cell>
          <cell r="I124" t="str">
            <v>деп</v>
          </cell>
          <cell r="J124">
            <v>38469</v>
          </cell>
        </row>
        <row r="125">
          <cell r="A125">
            <v>58741463</v>
          </cell>
          <cell r="B125" t="str">
            <v>АВИРТУС</v>
          </cell>
          <cell r="C125" t="str">
            <v>ЛЮБЛИНО-СОРТ (МСK)</v>
          </cell>
          <cell r="D125">
            <v>27343</v>
          </cell>
          <cell r="E125">
            <v>34151</v>
          </cell>
          <cell r="F125">
            <v>0</v>
          </cell>
          <cell r="G125">
            <v>37921</v>
          </cell>
          <cell r="H125">
            <v>886</v>
          </cell>
          <cell r="I125" t="str">
            <v>деп</v>
          </cell>
          <cell r="J125">
            <v>38469</v>
          </cell>
        </row>
        <row r="126">
          <cell r="A126">
            <v>58741471</v>
          </cell>
          <cell r="B126" t="str">
            <v>АВИРТУС</v>
          </cell>
          <cell r="C126" t="str">
            <v>ЛЮБЛИНО-СОРТ (МСK)</v>
          </cell>
          <cell r="D126">
            <v>27343</v>
          </cell>
          <cell r="E126">
            <v>34151</v>
          </cell>
          <cell r="F126">
            <v>0</v>
          </cell>
          <cell r="G126">
            <v>37921</v>
          </cell>
          <cell r="H126">
            <v>886</v>
          </cell>
          <cell r="I126" t="str">
            <v>деп</v>
          </cell>
          <cell r="J126">
            <v>38469</v>
          </cell>
        </row>
        <row r="127">
          <cell r="A127">
            <v>58741489</v>
          </cell>
          <cell r="B127" t="str">
            <v>АВИРТУС</v>
          </cell>
          <cell r="C127" t="str">
            <v>ЛЮБЛИНО-СОРТ (МСK)</v>
          </cell>
          <cell r="D127">
            <v>27343</v>
          </cell>
          <cell r="E127">
            <v>34151</v>
          </cell>
          <cell r="F127">
            <v>0</v>
          </cell>
          <cell r="G127">
            <v>37921</v>
          </cell>
          <cell r="H127">
            <v>886</v>
          </cell>
          <cell r="I127" t="str">
            <v>деп</v>
          </cell>
          <cell r="J127">
            <v>38469</v>
          </cell>
        </row>
        <row r="128">
          <cell r="A128">
            <v>58741505</v>
          </cell>
          <cell r="B128" t="str">
            <v>АВИРТУС</v>
          </cell>
          <cell r="C128" t="str">
            <v>ЛЮБЛИНО-СОРТ (МСK)</v>
          </cell>
          <cell r="D128">
            <v>27343</v>
          </cell>
          <cell r="E128">
            <v>34151</v>
          </cell>
          <cell r="F128">
            <v>0</v>
          </cell>
          <cell r="G128">
            <v>37921</v>
          </cell>
          <cell r="H128">
            <v>886</v>
          </cell>
          <cell r="I128" t="str">
            <v>деп</v>
          </cell>
          <cell r="J128">
            <v>38469</v>
          </cell>
        </row>
        <row r="129">
          <cell r="A129">
            <v>58741513</v>
          </cell>
          <cell r="B129" t="str">
            <v>АВИРТУС</v>
          </cell>
          <cell r="C129" t="str">
            <v>ЛЮБЛИНО-СОРТ (МСK)</v>
          </cell>
          <cell r="D129">
            <v>29739</v>
          </cell>
          <cell r="E129">
            <v>31594</v>
          </cell>
          <cell r="F129">
            <v>0</v>
          </cell>
          <cell r="G129">
            <v>37921</v>
          </cell>
          <cell r="H129">
            <v>886</v>
          </cell>
          <cell r="I129" t="str">
            <v>деп</v>
          </cell>
          <cell r="J129">
            <v>38469</v>
          </cell>
        </row>
        <row r="130">
          <cell r="A130">
            <v>58741521</v>
          </cell>
          <cell r="B130" t="str">
            <v>АВИРТУС</v>
          </cell>
          <cell r="C130" t="str">
            <v>ЛЮБЛИНО-СОРТ (МСK)</v>
          </cell>
          <cell r="D130">
            <v>29739</v>
          </cell>
          <cell r="E130">
            <v>31594</v>
          </cell>
          <cell r="F130">
            <v>0</v>
          </cell>
          <cell r="G130">
            <v>37921</v>
          </cell>
          <cell r="H130">
            <v>886</v>
          </cell>
          <cell r="I130" t="str">
            <v>деп</v>
          </cell>
          <cell r="J130">
            <v>38469</v>
          </cell>
        </row>
        <row r="131">
          <cell r="A131">
            <v>58741539</v>
          </cell>
          <cell r="B131" t="str">
            <v>АВИРТУС</v>
          </cell>
          <cell r="C131" t="str">
            <v>ЛЮБЛИНО-СОРТ (МСK)</v>
          </cell>
          <cell r="D131">
            <v>29739</v>
          </cell>
          <cell r="E131">
            <v>31594</v>
          </cell>
          <cell r="F131">
            <v>0</v>
          </cell>
          <cell r="G131">
            <v>37921</v>
          </cell>
          <cell r="H131">
            <v>886</v>
          </cell>
          <cell r="I131" t="str">
            <v>деп</v>
          </cell>
          <cell r="J131">
            <v>38469</v>
          </cell>
        </row>
        <row r="132">
          <cell r="A132">
            <v>58741547</v>
          </cell>
          <cell r="B132" t="str">
            <v>АВИРТУС</v>
          </cell>
          <cell r="C132" t="str">
            <v>ЛЮБЛИНО-СОРТ (МСK)</v>
          </cell>
          <cell r="D132">
            <v>29739</v>
          </cell>
          <cell r="E132">
            <v>31594</v>
          </cell>
          <cell r="F132">
            <v>0</v>
          </cell>
          <cell r="G132">
            <v>37921</v>
          </cell>
          <cell r="H132">
            <v>886</v>
          </cell>
          <cell r="I132" t="str">
            <v>деп</v>
          </cell>
          <cell r="J132">
            <v>38469</v>
          </cell>
        </row>
        <row r="133">
          <cell r="A133">
            <v>58742016</v>
          </cell>
          <cell r="B133" t="str">
            <v>АВИРТУС</v>
          </cell>
          <cell r="C133" t="str">
            <v>ЛЮБЛИНО-СОРТ (МСK)</v>
          </cell>
          <cell r="D133">
            <v>29952</v>
          </cell>
          <cell r="E133">
            <v>34455</v>
          </cell>
          <cell r="F133">
            <v>0</v>
          </cell>
          <cell r="H133">
            <v>0</v>
          </cell>
          <cell r="I133" t="str">
            <v>кап</v>
          </cell>
          <cell r="J133">
            <v>35004</v>
          </cell>
        </row>
        <row r="134">
          <cell r="A134">
            <v>58742024</v>
          </cell>
          <cell r="B134" t="str">
            <v>АВИРТУС</v>
          </cell>
          <cell r="C134" t="str">
            <v>ЛЮБЛИНО-СОРТ (МСK)</v>
          </cell>
          <cell r="D134">
            <v>29952</v>
          </cell>
          <cell r="E134">
            <v>34455</v>
          </cell>
          <cell r="F134">
            <v>0</v>
          </cell>
          <cell r="H134">
            <v>0</v>
          </cell>
          <cell r="I134" t="str">
            <v>кап</v>
          </cell>
          <cell r="J134">
            <v>35004</v>
          </cell>
        </row>
        <row r="135">
          <cell r="A135">
            <v>58742032</v>
          </cell>
          <cell r="B135" t="str">
            <v>АВИРТУС</v>
          </cell>
          <cell r="C135" t="str">
            <v>ЛЮБЛИНО-СОРТ (МСK)</v>
          </cell>
          <cell r="D135">
            <v>29952</v>
          </cell>
          <cell r="E135">
            <v>34455</v>
          </cell>
          <cell r="F135">
            <v>0</v>
          </cell>
          <cell r="H135">
            <v>0</v>
          </cell>
          <cell r="I135" t="str">
            <v>кап</v>
          </cell>
          <cell r="J135">
            <v>35004</v>
          </cell>
        </row>
        <row r="136">
          <cell r="A136">
            <v>58742040</v>
          </cell>
          <cell r="B136" t="str">
            <v>АВИРТУС</v>
          </cell>
          <cell r="C136" t="str">
            <v>ЛЮБЛИНО-СОРТ (МСK)</v>
          </cell>
          <cell r="D136">
            <v>29952</v>
          </cell>
          <cell r="E136">
            <v>34455</v>
          </cell>
          <cell r="F136">
            <v>0</v>
          </cell>
          <cell r="H136">
            <v>0</v>
          </cell>
          <cell r="I136" t="str">
            <v>кап</v>
          </cell>
          <cell r="J136">
            <v>35004</v>
          </cell>
        </row>
        <row r="137">
          <cell r="A137">
            <v>58742057</v>
          </cell>
          <cell r="B137" t="str">
            <v>АВИРТУС</v>
          </cell>
          <cell r="C137" t="str">
            <v>ЛЮБЛИНО-СОРТ (МСK)</v>
          </cell>
          <cell r="D137">
            <v>29587</v>
          </cell>
          <cell r="E137">
            <v>34820</v>
          </cell>
          <cell r="F137">
            <v>0</v>
          </cell>
          <cell r="G137">
            <v>33604</v>
          </cell>
          <cell r="H137">
            <v>0</v>
          </cell>
          <cell r="I137" t="str">
            <v>деп</v>
          </cell>
          <cell r="J137">
            <v>35370</v>
          </cell>
        </row>
        <row r="138">
          <cell r="A138">
            <v>58742065</v>
          </cell>
          <cell r="B138" t="str">
            <v>АВИРТУС</v>
          </cell>
          <cell r="C138" t="str">
            <v>ЛЮБЛИНО-СОРТ (МСK)</v>
          </cell>
          <cell r="D138">
            <v>29587</v>
          </cell>
          <cell r="E138">
            <v>34820</v>
          </cell>
          <cell r="F138">
            <v>0</v>
          </cell>
          <cell r="G138">
            <v>33604</v>
          </cell>
          <cell r="H138">
            <v>0</v>
          </cell>
          <cell r="I138" t="str">
            <v>деп</v>
          </cell>
          <cell r="J138">
            <v>35370</v>
          </cell>
        </row>
        <row r="139">
          <cell r="A139">
            <v>58742073</v>
          </cell>
          <cell r="B139" t="str">
            <v>АВИРТУС</v>
          </cell>
          <cell r="C139" t="str">
            <v>ЛЮБЛИНО-СОРТ (МСK)</v>
          </cell>
          <cell r="D139">
            <v>29587</v>
          </cell>
          <cell r="E139">
            <v>34820</v>
          </cell>
          <cell r="F139">
            <v>0</v>
          </cell>
          <cell r="G139">
            <v>33604</v>
          </cell>
          <cell r="H139">
            <v>0</v>
          </cell>
          <cell r="I139" t="str">
            <v>деп</v>
          </cell>
          <cell r="J139">
            <v>35370</v>
          </cell>
        </row>
        <row r="140">
          <cell r="A140">
            <v>58742081</v>
          </cell>
          <cell r="B140" t="str">
            <v>АВИРТУС</v>
          </cell>
          <cell r="C140" t="str">
            <v>ЛЮБЛИНО-СОРТ (МСK)</v>
          </cell>
          <cell r="D140">
            <v>29587</v>
          </cell>
          <cell r="E140">
            <v>34820</v>
          </cell>
          <cell r="F140">
            <v>0</v>
          </cell>
          <cell r="G140">
            <v>33604</v>
          </cell>
          <cell r="H140">
            <v>0</v>
          </cell>
          <cell r="I140" t="str">
            <v>деп</v>
          </cell>
          <cell r="J140">
            <v>35370</v>
          </cell>
        </row>
        <row r="141">
          <cell r="A141">
            <v>58742107</v>
          </cell>
          <cell r="B141" t="str">
            <v>АВИРТУС</v>
          </cell>
          <cell r="C141" t="str">
            <v>ЛЮБЛИНО-СОРТ (МСK)</v>
          </cell>
          <cell r="D141">
            <v>28441</v>
          </cell>
          <cell r="E141">
            <v>34578</v>
          </cell>
          <cell r="F141">
            <v>0</v>
          </cell>
          <cell r="G141">
            <v>32143</v>
          </cell>
          <cell r="H141">
            <v>0</v>
          </cell>
          <cell r="I141" t="str">
            <v>деп</v>
          </cell>
          <cell r="J141">
            <v>35125</v>
          </cell>
        </row>
        <row r="142">
          <cell r="A142">
            <v>58742115</v>
          </cell>
          <cell r="B142" t="str">
            <v>АВИРТУС</v>
          </cell>
          <cell r="C142" t="str">
            <v>ЛЮБЛИНО-СОРТ (МСK)</v>
          </cell>
          <cell r="D142">
            <v>28441</v>
          </cell>
          <cell r="E142">
            <v>34578</v>
          </cell>
          <cell r="F142">
            <v>0</v>
          </cell>
          <cell r="G142">
            <v>32143</v>
          </cell>
          <cell r="H142">
            <v>0</v>
          </cell>
          <cell r="I142" t="str">
            <v>деп</v>
          </cell>
          <cell r="J142">
            <v>35125</v>
          </cell>
        </row>
        <row r="143">
          <cell r="A143">
            <v>58742123</v>
          </cell>
          <cell r="B143" t="str">
            <v>АВИРТУС</v>
          </cell>
          <cell r="C143" t="str">
            <v>ЛЮБЛИНО-СОРТ (МСK)</v>
          </cell>
          <cell r="D143">
            <v>28441</v>
          </cell>
          <cell r="E143">
            <v>34578</v>
          </cell>
          <cell r="F143">
            <v>0</v>
          </cell>
          <cell r="G143">
            <v>32143</v>
          </cell>
          <cell r="H143">
            <v>0</v>
          </cell>
          <cell r="I143" t="str">
            <v>деп</v>
          </cell>
          <cell r="J143">
            <v>35125</v>
          </cell>
        </row>
        <row r="144">
          <cell r="A144">
            <v>58742131</v>
          </cell>
          <cell r="B144" t="str">
            <v>АВИРТУС</v>
          </cell>
          <cell r="C144" t="str">
            <v>ЛЮБЛИНО-СОРТ (МСK)</v>
          </cell>
          <cell r="D144">
            <v>28441</v>
          </cell>
          <cell r="E144">
            <v>34578</v>
          </cell>
          <cell r="F144">
            <v>0</v>
          </cell>
          <cell r="G144">
            <v>32143</v>
          </cell>
          <cell r="H144">
            <v>0</v>
          </cell>
          <cell r="I144" t="str">
            <v>деп</v>
          </cell>
          <cell r="J144">
            <v>35125</v>
          </cell>
        </row>
        <row r="145">
          <cell r="A145">
            <v>58742149</v>
          </cell>
          <cell r="B145" t="str">
            <v>АВИРТУС</v>
          </cell>
          <cell r="C145" t="str">
            <v>ЛЮБЛИНО-СОРТ (МСK)</v>
          </cell>
          <cell r="D145">
            <v>28469</v>
          </cell>
          <cell r="E145">
            <v>31291</v>
          </cell>
          <cell r="F145">
            <v>0</v>
          </cell>
          <cell r="H145">
            <v>0</v>
          </cell>
          <cell r="I145" t="str">
            <v>кап</v>
          </cell>
          <cell r="J145">
            <v>31837</v>
          </cell>
        </row>
        <row r="146">
          <cell r="A146">
            <v>58742156</v>
          </cell>
          <cell r="B146" t="str">
            <v>АВИРТУС</v>
          </cell>
          <cell r="C146" t="str">
            <v>ЛЮБЛИНО-СОРТ (МСK)</v>
          </cell>
          <cell r="D146">
            <v>28469</v>
          </cell>
          <cell r="E146">
            <v>31291</v>
          </cell>
          <cell r="F146">
            <v>0</v>
          </cell>
          <cell r="H146">
            <v>0</v>
          </cell>
          <cell r="I146" t="str">
            <v>кап</v>
          </cell>
          <cell r="J146">
            <v>31837</v>
          </cell>
        </row>
        <row r="147">
          <cell r="A147">
            <v>58742164</v>
          </cell>
          <cell r="B147" t="str">
            <v>АВИРТУС</v>
          </cell>
          <cell r="C147" t="str">
            <v>ЛЮБЛИНО-СОРТ (МСK)</v>
          </cell>
          <cell r="D147">
            <v>28469</v>
          </cell>
          <cell r="E147">
            <v>31291</v>
          </cell>
          <cell r="F147">
            <v>0</v>
          </cell>
          <cell r="H147">
            <v>0</v>
          </cell>
          <cell r="I147" t="str">
            <v>кап</v>
          </cell>
          <cell r="J147">
            <v>31837</v>
          </cell>
        </row>
        <row r="148">
          <cell r="A148">
            <v>58742172</v>
          </cell>
          <cell r="B148" t="str">
            <v>АВИРТУС</v>
          </cell>
          <cell r="C148" t="str">
            <v>ЛЮБЛИНО-СОРТ (МСK)</v>
          </cell>
          <cell r="D148">
            <v>28469</v>
          </cell>
          <cell r="E148">
            <v>31291</v>
          </cell>
          <cell r="F148">
            <v>0</v>
          </cell>
          <cell r="H148">
            <v>0</v>
          </cell>
          <cell r="I148" t="str">
            <v>кап</v>
          </cell>
          <cell r="J148">
            <v>31837</v>
          </cell>
        </row>
        <row r="149">
          <cell r="B149" t="str">
            <v>АВИРТУС Количество</v>
          </cell>
          <cell r="D149">
            <v>60</v>
          </cell>
        </row>
        <row r="150">
          <cell r="A150">
            <v>53703856</v>
          </cell>
          <cell r="B150" t="str">
            <v>АВТОДОРСТРОЙ</v>
          </cell>
          <cell r="C150" t="str">
            <v>БЫКОВО       (МСK)</v>
          </cell>
          <cell r="D150">
            <v>24473</v>
          </cell>
          <cell r="E150">
            <v>38002</v>
          </cell>
          <cell r="F150">
            <v>350</v>
          </cell>
          <cell r="G150">
            <v>35788</v>
          </cell>
          <cell r="H150">
            <v>0</v>
          </cell>
          <cell r="I150" t="str">
            <v>деп</v>
          </cell>
          <cell r="J150">
            <v>39098</v>
          </cell>
        </row>
        <row r="151">
          <cell r="B151" t="str">
            <v>АВТОДОРСТРОЙ Количество</v>
          </cell>
          <cell r="D151">
            <v>1</v>
          </cell>
        </row>
        <row r="152">
          <cell r="A152">
            <v>53703476</v>
          </cell>
          <cell r="B152" t="str">
            <v>АГЕНТСТВО РЕФПЕРЕВОЗКИ</v>
          </cell>
          <cell r="C152" t="str">
            <v>СВЕРДЛВСК-ТВ (СВР)</v>
          </cell>
          <cell r="D152">
            <v>32509</v>
          </cell>
          <cell r="E152">
            <v>37928</v>
          </cell>
          <cell r="F152">
            <v>557</v>
          </cell>
          <cell r="H152">
            <v>0</v>
          </cell>
          <cell r="I152" t="str">
            <v>кап</v>
          </cell>
          <cell r="J152">
            <v>38475</v>
          </cell>
        </row>
        <row r="153">
          <cell r="A153">
            <v>58725078</v>
          </cell>
          <cell r="B153" t="str">
            <v>АГЕНТСТВО РЕФПЕРЕВОЗКИ</v>
          </cell>
          <cell r="C153" t="str">
            <v>СВЕРДЛВСК-ТВ (СВР)</v>
          </cell>
          <cell r="D153">
            <v>32509</v>
          </cell>
          <cell r="E153">
            <v>38013</v>
          </cell>
          <cell r="F153">
            <v>163</v>
          </cell>
          <cell r="H153">
            <v>0</v>
          </cell>
          <cell r="I153" t="str">
            <v>кап</v>
          </cell>
          <cell r="J153">
            <v>38560</v>
          </cell>
        </row>
        <row r="154">
          <cell r="A154">
            <v>58725086</v>
          </cell>
          <cell r="B154" t="str">
            <v>АГЕНТСТВО РЕФПЕРЕВОЗКИ</v>
          </cell>
          <cell r="C154" t="str">
            <v>СВЕРДЛВСК-ТВ (СВР)</v>
          </cell>
          <cell r="D154">
            <v>32509</v>
          </cell>
          <cell r="E154">
            <v>38013</v>
          </cell>
          <cell r="F154">
            <v>163</v>
          </cell>
          <cell r="H154">
            <v>0</v>
          </cell>
          <cell r="I154" t="str">
            <v>кап</v>
          </cell>
          <cell r="J154">
            <v>38560</v>
          </cell>
        </row>
        <row r="155">
          <cell r="A155">
            <v>58725102</v>
          </cell>
          <cell r="B155" t="str">
            <v>АГЕНТСТВО РЕФПЕРЕВОЗКИ</v>
          </cell>
          <cell r="C155" t="str">
            <v>СВЕРДЛВСК-ТВ (СВР)</v>
          </cell>
          <cell r="D155">
            <v>32509</v>
          </cell>
          <cell r="E155">
            <v>38013</v>
          </cell>
          <cell r="F155">
            <v>163</v>
          </cell>
          <cell r="H155">
            <v>0</v>
          </cell>
          <cell r="I155" t="str">
            <v>кап</v>
          </cell>
          <cell r="J155">
            <v>38560</v>
          </cell>
        </row>
        <row r="156">
          <cell r="A156">
            <v>58725110</v>
          </cell>
          <cell r="B156" t="str">
            <v>АГЕНТСТВО РЕФПЕРЕВОЗКИ</v>
          </cell>
          <cell r="C156" t="str">
            <v>СВЕРДЛВСК-ТВ (СВР)</v>
          </cell>
          <cell r="D156">
            <v>32509</v>
          </cell>
          <cell r="E156">
            <v>37885</v>
          </cell>
          <cell r="F156">
            <v>557</v>
          </cell>
          <cell r="H156">
            <v>0</v>
          </cell>
          <cell r="I156" t="str">
            <v>кап</v>
          </cell>
          <cell r="J156">
            <v>38432</v>
          </cell>
        </row>
        <row r="157">
          <cell r="B157" t="str">
            <v>АГЕНТСТВО РЕФПЕРЕВОЗКИ Количество</v>
          </cell>
          <cell r="D157">
            <v>5</v>
          </cell>
        </row>
        <row r="158">
          <cell r="A158">
            <v>53400487</v>
          </cell>
          <cell r="B158" t="str">
            <v>АГЕНТСТВО РЕФПЕРЕВОЗОК</v>
          </cell>
          <cell r="C158" t="str">
            <v>ХОВРИНО      (ОКТ)</v>
          </cell>
          <cell r="D158">
            <v>32660</v>
          </cell>
          <cell r="E158">
            <v>37799</v>
          </cell>
          <cell r="F158">
            <v>492</v>
          </cell>
          <cell r="H158">
            <v>0</v>
          </cell>
          <cell r="I158" t="str">
            <v>деп</v>
          </cell>
          <cell r="J158">
            <v>38348</v>
          </cell>
        </row>
        <row r="159">
          <cell r="A159">
            <v>53400719</v>
          </cell>
          <cell r="B159" t="str">
            <v>АГЕНТСТВО РЕФПЕРЕВОЗОК</v>
          </cell>
          <cell r="C159" t="str">
            <v>ХОВРИНО      (ОКТ)</v>
          </cell>
          <cell r="D159">
            <v>32629</v>
          </cell>
          <cell r="E159">
            <v>37857</v>
          </cell>
          <cell r="F159">
            <v>492</v>
          </cell>
          <cell r="H159">
            <v>0</v>
          </cell>
          <cell r="I159" t="str">
            <v>деп</v>
          </cell>
          <cell r="J159">
            <v>38407</v>
          </cell>
        </row>
        <row r="160">
          <cell r="A160">
            <v>53700803</v>
          </cell>
          <cell r="B160" t="str">
            <v>АГЕНТСТВО РЕФПЕРЕВОЗОК</v>
          </cell>
          <cell r="C160" t="str">
            <v>ХОВРИНО      (ОКТ)</v>
          </cell>
          <cell r="D160">
            <v>33239</v>
          </cell>
          <cell r="E160">
            <v>37615</v>
          </cell>
          <cell r="F160">
            <v>163</v>
          </cell>
          <cell r="H160">
            <v>0</v>
          </cell>
          <cell r="I160" t="str">
            <v>деп</v>
          </cell>
          <cell r="J160">
            <v>38163</v>
          </cell>
        </row>
        <row r="161">
          <cell r="A161">
            <v>53702007</v>
          </cell>
          <cell r="B161" t="str">
            <v>АГЕНТСТВО РЕФПЕРЕВОЗОК</v>
          </cell>
          <cell r="C161" t="str">
            <v>ХОВРИНО      (ОКТ)</v>
          </cell>
          <cell r="D161">
            <v>33604</v>
          </cell>
          <cell r="E161">
            <v>37764</v>
          </cell>
          <cell r="F161">
            <v>350</v>
          </cell>
          <cell r="H161">
            <v>0</v>
          </cell>
          <cell r="I161" t="str">
            <v>деп</v>
          </cell>
          <cell r="J161">
            <v>38314</v>
          </cell>
        </row>
        <row r="162">
          <cell r="A162">
            <v>53702684</v>
          </cell>
          <cell r="B162" t="str">
            <v>АГЕНТСТВО РЕФПЕРЕВОЗОК</v>
          </cell>
          <cell r="C162" t="str">
            <v>ХОВРИНО      (ОКТ)</v>
          </cell>
          <cell r="D162">
            <v>34243</v>
          </cell>
          <cell r="E162">
            <v>37781</v>
          </cell>
          <cell r="F162">
            <v>886</v>
          </cell>
          <cell r="H162">
            <v>0</v>
          </cell>
          <cell r="I162" t="str">
            <v>деп</v>
          </cell>
          <cell r="J162">
            <v>38877</v>
          </cell>
        </row>
        <row r="163">
          <cell r="A163">
            <v>53704656</v>
          </cell>
          <cell r="B163" t="str">
            <v>АГЕНТСТВО РЕФПЕРЕВОЗОК</v>
          </cell>
          <cell r="C163" t="str">
            <v>УССУРИЙСК    (ДВС)</v>
          </cell>
          <cell r="D163">
            <v>30590</v>
          </cell>
          <cell r="E163">
            <v>37404</v>
          </cell>
          <cell r="F163">
            <v>163</v>
          </cell>
          <cell r="G163">
            <v>34790</v>
          </cell>
          <cell r="H163">
            <v>0</v>
          </cell>
          <cell r="I163" t="str">
            <v>деп</v>
          </cell>
          <cell r="J163">
            <v>38500</v>
          </cell>
        </row>
        <row r="164">
          <cell r="A164">
            <v>53704664</v>
          </cell>
          <cell r="B164" t="str">
            <v>АГЕНТСТВО РЕФПЕРЕВОЗОК</v>
          </cell>
          <cell r="C164" t="str">
            <v>УССУРИЙСК    (ДВС)</v>
          </cell>
          <cell r="D164">
            <v>29952</v>
          </cell>
          <cell r="E164">
            <v>37686</v>
          </cell>
          <cell r="F164">
            <v>557</v>
          </cell>
          <cell r="G164">
            <v>34881</v>
          </cell>
          <cell r="H164">
            <v>0</v>
          </cell>
          <cell r="I164" t="str">
            <v>деп</v>
          </cell>
          <cell r="J164">
            <v>38782</v>
          </cell>
        </row>
        <row r="165">
          <cell r="A165">
            <v>53704672</v>
          </cell>
          <cell r="B165" t="str">
            <v>АГЕНТСТВО РЕФПЕРЕВОЗОК</v>
          </cell>
          <cell r="C165" t="str">
            <v>УССУРИЙСК    (ДВС)</v>
          </cell>
          <cell r="D165">
            <v>29952</v>
          </cell>
          <cell r="E165">
            <v>37512</v>
          </cell>
          <cell r="F165">
            <v>163</v>
          </cell>
          <cell r="G165">
            <v>35156</v>
          </cell>
          <cell r="H165">
            <v>0</v>
          </cell>
          <cell r="I165" t="str">
            <v>деп</v>
          </cell>
          <cell r="J165">
            <v>38608</v>
          </cell>
        </row>
        <row r="166">
          <cell r="A166">
            <v>53704680</v>
          </cell>
          <cell r="B166" t="str">
            <v>АГЕНТСТВО РЕФПЕРЕВОЗОК</v>
          </cell>
          <cell r="C166" t="str">
            <v>УССУРИЙСК    (ДВС)</v>
          </cell>
          <cell r="D166">
            <v>29952</v>
          </cell>
          <cell r="E166">
            <v>37721</v>
          </cell>
          <cell r="F166">
            <v>350</v>
          </cell>
          <cell r="G166">
            <v>35034</v>
          </cell>
          <cell r="H166">
            <v>0</v>
          </cell>
          <cell r="I166" t="str">
            <v>деп</v>
          </cell>
          <cell r="J166">
            <v>38817</v>
          </cell>
        </row>
        <row r="167">
          <cell r="A167">
            <v>53704706</v>
          </cell>
          <cell r="B167" t="str">
            <v>АГЕНТСТВО РЕФПЕРЕВОЗОК</v>
          </cell>
          <cell r="C167" t="str">
            <v>УССУРИЙСК    (ДВС)</v>
          </cell>
          <cell r="D167">
            <v>29952</v>
          </cell>
          <cell r="E167">
            <v>37529</v>
          </cell>
          <cell r="F167">
            <v>163</v>
          </cell>
          <cell r="G167">
            <v>34881</v>
          </cell>
          <cell r="H167">
            <v>0</v>
          </cell>
          <cell r="I167" t="str">
            <v>деп</v>
          </cell>
          <cell r="J167">
            <v>38625</v>
          </cell>
        </row>
        <row r="168">
          <cell r="A168">
            <v>53704714</v>
          </cell>
          <cell r="B168" t="str">
            <v>АГЕНТСТВО РЕФПЕРЕВОЗОК</v>
          </cell>
          <cell r="C168" t="str">
            <v>УССУРИЙСК    (ДВС)</v>
          </cell>
          <cell r="D168">
            <v>29983</v>
          </cell>
          <cell r="E168">
            <v>37433</v>
          </cell>
          <cell r="F168">
            <v>163</v>
          </cell>
          <cell r="G168">
            <v>34366</v>
          </cell>
          <cell r="H168">
            <v>0</v>
          </cell>
          <cell r="I168" t="str">
            <v>деп</v>
          </cell>
          <cell r="J168">
            <v>38529</v>
          </cell>
        </row>
        <row r="169">
          <cell r="A169">
            <v>53704722</v>
          </cell>
          <cell r="B169" t="str">
            <v>АГЕНТСТВО РЕФПЕРЕВОЗОК</v>
          </cell>
          <cell r="C169" t="str">
            <v>УССУРИЙСК    (ДВС)</v>
          </cell>
          <cell r="D169">
            <v>30072</v>
          </cell>
          <cell r="E169">
            <v>37370</v>
          </cell>
          <cell r="F169">
            <v>163</v>
          </cell>
          <cell r="G169">
            <v>35186</v>
          </cell>
          <cell r="H169">
            <v>0</v>
          </cell>
          <cell r="I169" t="str">
            <v>деп</v>
          </cell>
          <cell r="J169">
            <v>38466</v>
          </cell>
        </row>
        <row r="170">
          <cell r="A170">
            <v>53704730</v>
          </cell>
          <cell r="B170" t="str">
            <v>АГЕНТСТВО РЕФПЕРЕВОЗОК</v>
          </cell>
          <cell r="C170" t="str">
            <v>УССУРИЙСК    (ДВС)</v>
          </cell>
          <cell r="D170">
            <v>30072</v>
          </cell>
          <cell r="E170">
            <v>37610</v>
          </cell>
          <cell r="F170">
            <v>163</v>
          </cell>
          <cell r="G170">
            <v>35034</v>
          </cell>
          <cell r="H170">
            <v>0</v>
          </cell>
          <cell r="I170" t="str">
            <v>деп</v>
          </cell>
          <cell r="J170">
            <v>38706</v>
          </cell>
        </row>
        <row r="171">
          <cell r="A171">
            <v>53704748</v>
          </cell>
          <cell r="B171" t="str">
            <v>АГЕНТСТВО РЕФПЕРЕВОЗОК</v>
          </cell>
          <cell r="C171" t="str">
            <v>УССУРИЙСК    (ДВС)</v>
          </cell>
          <cell r="D171">
            <v>30133</v>
          </cell>
          <cell r="E171">
            <v>37618</v>
          </cell>
          <cell r="F171">
            <v>163</v>
          </cell>
          <cell r="G171">
            <v>34943</v>
          </cell>
          <cell r="H171">
            <v>0</v>
          </cell>
          <cell r="I171" t="str">
            <v>деп</v>
          </cell>
          <cell r="J171">
            <v>38714</v>
          </cell>
        </row>
        <row r="172">
          <cell r="A172">
            <v>53704755</v>
          </cell>
          <cell r="B172" t="str">
            <v>АГЕНТСТВО РЕФПЕРЕВОЗОК</v>
          </cell>
          <cell r="C172" t="str">
            <v>УССУРИЙСК    (ДВС)</v>
          </cell>
          <cell r="D172">
            <v>30133</v>
          </cell>
          <cell r="E172">
            <v>37315</v>
          </cell>
          <cell r="F172">
            <v>163</v>
          </cell>
          <cell r="G172">
            <v>35186</v>
          </cell>
          <cell r="H172">
            <v>0</v>
          </cell>
          <cell r="I172" t="str">
            <v>деп</v>
          </cell>
          <cell r="J172">
            <v>38411</v>
          </cell>
        </row>
        <row r="173">
          <cell r="A173">
            <v>53706040</v>
          </cell>
          <cell r="B173" t="str">
            <v>АГЕНТСТВО РЕФПЕРЕВОЗОК</v>
          </cell>
          <cell r="C173" t="str">
            <v>ХОВРИНО      (ОКТ)</v>
          </cell>
          <cell r="D173">
            <v>32509</v>
          </cell>
          <cell r="E173">
            <v>37844</v>
          </cell>
          <cell r="F173">
            <v>557</v>
          </cell>
          <cell r="H173">
            <v>0</v>
          </cell>
          <cell r="I173" t="str">
            <v>кап</v>
          </cell>
          <cell r="J173">
            <v>38394</v>
          </cell>
        </row>
        <row r="174">
          <cell r="A174">
            <v>53706057</v>
          </cell>
          <cell r="B174" t="str">
            <v>АГЕНТСТВО РЕФПЕРЕВОЗОК</v>
          </cell>
          <cell r="C174" t="str">
            <v>ХОВРИНО      (ОКТ)</v>
          </cell>
          <cell r="D174">
            <v>32509</v>
          </cell>
          <cell r="E174">
            <v>37859</v>
          </cell>
          <cell r="F174">
            <v>886</v>
          </cell>
          <cell r="H174">
            <v>0</v>
          </cell>
          <cell r="I174" t="str">
            <v>кап</v>
          </cell>
          <cell r="J174">
            <v>38409</v>
          </cell>
        </row>
        <row r="175">
          <cell r="A175">
            <v>53706065</v>
          </cell>
          <cell r="B175" t="str">
            <v>АГЕНТСТВО РЕФПЕРЕВОЗОК</v>
          </cell>
          <cell r="C175" t="str">
            <v>ХОВРИНО      (ОКТ)</v>
          </cell>
          <cell r="D175">
            <v>32509</v>
          </cell>
          <cell r="E175">
            <v>37859</v>
          </cell>
          <cell r="F175">
            <v>886</v>
          </cell>
          <cell r="H175">
            <v>0</v>
          </cell>
          <cell r="I175" t="str">
            <v>кап</v>
          </cell>
          <cell r="J175">
            <v>38409</v>
          </cell>
        </row>
        <row r="176">
          <cell r="A176">
            <v>53706073</v>
          </cell>
          <cell r="B176" t="str">
            <v>АГЕНТСТВО РЕФПЕРЕВОЗОК</v>
          </cell>
          <cell r="C176" t="str">
            <v>ХОВРИНО      (ОКТ)</v>
          </cell>
          <cell r="D176">
            <v>32509</v>
          </cell>
          <cell r="E176">
            <v>37830</v>
          </cell>
          <cell r="F176">
            <v>163</v>
          </cell>
          <cell r="H176">
            <v>0</v>
          </cell>
          <cell r="I176" t="str">
            <v>кап</v>
          </cell>
          <cell r="J176">
            <v>38380</v>
          </cell>
        </row>
        <row r="177">
          <cell r="A177">
            <v>58002205</v>
          </cell>
          <cell r="B177" t="str">
            <v>АГЕНТСТВО РЕФПЕРЕВОЗОК</v>
          </cell>
          <cell r="C177" t="str">
            <v>ХОВРИНО      (ОКТ)</v>
          </cell>
          <cell r="D177">
            <v>30317</v>
          </cell>
          <cell r="E177">
            <v>37673</v>
          </cell>
          <cell r="F177">
            <v>492</v>
          </cell>
          <cell r="G177">
            <v>34179</v>
          </cell>
          <cell r="H177">
            <v>1097</v>
          </cell>
          <cell r="I177" t="str">
            <v>деп</v>
          </cell>
          <cell r="J177">
            <v>38404</v>
          </cell>
        </row>
        <row r="178">
          <cell r="A178">
            <v>58002213</v>
          </cell>
          <cell r="B178" t="str">
            <v>АГЕНТСТВО РЕФПЕРЕВОЗОК</v>
          </cell>
          <cell r="C178" t="str">
            <v>ХОВРИНО      (ОКТ)</v>
          </cell>
          <cell r="D178">
            <v>30317</v>
          </cell>
          <cell r="E178">
            <v>37673</v>
          </cell>
          <cell r="F178">
            <v>492</v>
          </cell>
          <cell r="G178">
            <v>33932</v>
          </cell>
          <cell r="H178">
            <v>1097</v>
          </cell>
          <cell r="I178" t="str">
            <v>деп</v>
          </cell>
          <cell r="J178">
            <v>38404</v>
          </cell>
        </row>
        <row r="179">
          <cell r="A179">
            <v>58002221</v>
          </cell>
          <cell r="B179" t="str">
            <v>АГЕНТСТВО РЕФПЕРЕВОЗОК</v>
          </cell>
          <cell r="C179" t="str">
            <v>ХОВРИНО      (ОКТ)</v>
          </cell>
          <cell r="D179">
            <v>30682</v>
          </cell>
          <cell r="E179">
            <v>37677</v>
          </cell>
          <cell r="F179">
            <v>492</v>
          </cell>
          <cell r="G179">
            <v>34150</v>
          </cell>
          <cell r="H179">
            <v>1097</v>
          </cell>
          <cell r="I179" t="str">
            <v>деп</v>
          </cell>
          <cell r="J179">
            <v>38408</v>
          </cell>
        </row>
        <row r="180">
          <cell r="A180">
            <v>58002239</v>
          </cell>
          <cell r="B180" t="str">
            <v>АГЕНТСТВО РЕФПЕРЕВОЗОК</v>
          </cell>
          <cell r="C180" t="str">
            <v>ХОВРИНО      (ОКТ)</v>
          </cell>
          <cell r="D180">
            <v>30682</v>
          </cell>
          <cell r="E180">
            <v>37673</v>
          </cell>
          <cell r="F180">
            <v>492</v>
          </cell>
          <cell r="G180">
            <v>34242</v>
          </cell>
          <cell r="H180">
            <v>1097</v>
          </cell>
          <cell r="I180" t="str">
            <v>деп</v>
          </cell>
          <cell r="J180">
            <v>38404</v>
          </cell>
        </row>
        <row r="181">
          <cell r="A181">
            <v>58002247</v>
          </cell>
          <cell r="B181" t="str">
            <v>АГЕНТСТВО РЕФПЕРЕВОЗОК</v>
          </cell>
          <cell r="C181" t="str">
            <v>ХОВРИНО      (ОКТ)</v>
          </cell>
          <cell r="D181">
            <v>30317</v>
          </cell>
          <cell r="E181">
            <v>37673</v>
          </cell>
          <cell r="F181">
            <v>492</v>
          </cell>
          <cell r="G181">
            <v>34011</v>
          </cell>
          <cell r="H181">
            <v>1097</v>
          </cell>
          <cell r="I181" t="str">
            <v>деп</v>
          </cell>
          <cell r="J181">
            <v>38404</v>
          </cell>
        </row>
        <row r="182">
          <cell r="A182">
            <v>58002254</v>
          </cell>
          <cell r="B182" t="str">
            <v>АГЕНТСТВО РЕФПЕРЕВОЗОК</v>
          </cell>
          <cell r="C182" t="str">
            <v>ХОВРИНО      (ОКТ)</v>
          </cell>
          <cell r="D182">
            <v>30317</v>
          </cell>
          <cell r="E182">
            <v>37673</v>
          </cell>
          <cell r="F182">
            <v>492</v>
          </cell>
          <cell r="G182">
            <v>34046</v>
          </cell>
          <cell r="H182">
            <v>1097</v>
          </cell>
          <cell r="I182" t="str">
            <v>деп</v>
          </cell>
          <cell r="J182">
            <v>38404</v>
          </cell>
        </row>
        <row r="183">
          <cell r="A183">
            <v>58002262</v>
          </cell>
          <cell r="B183" t="str">
            <v>АГЕНТСТВО РЕФПЕРЕВОЗОК</v>
          </cell>
          <cell r="C183" t="str">
            <v>ХОВРИНО      (ОКТ)</v>
          </cell>
          <cell r="D183">
            <v>30317</v>
          </cell>
          <cell r="E183">
            <v>37677</v>
          </cell>
          <cell r="F183">
            <v>492</v>
          </cell>
          <cell r="G183">
            <v>33984</v>
          </cell>
          <cell r="H183">
            <v>1097</v>
          </cell>
          <cell r="I183" t="str">
            <v>деп</v>
          </cell>
          <cell r="J183">
            <v>38408</v>
          </cell>
        </row>
        <row r="184">
          <cell r="A184">
            <v>58002270</v>
          </cell>
          <cell r="B184" t="str">
            <v>АГЕНТСТВО РЕФПЕРЕВОЗОК</v>
          </cell>
          <cell r="C184" t="str">
            <v>ХОВРИНО      (ОКТ)</v>
          </cell>
          <cell r="D184">
            <v>30682</v>
          </cell>
          <cell r="E184">
            <v>37678</v>
          </cell>
          <cell r="F184">
            <v>492</v>
          </cell>
          <cell r="G184">
            <v>34131</v>
          </cell>
          <cell r="H184">
            <v>1097</v>
          </cell>
          <cell r="I184" t="str">
            <v>деп</v>
          </cell>
          <cell r="J184">
            <v>38409</v>
          </cell>
        </row>
        <row r="185">
          <cell r="A185">
            <v>58002288</v>
          </cell>
          <cell r="B185" t="str">
            <v>АГЕНТСТВО РЕФПЕРЕВОЗОК</v>
          </cell>
          <cell r="C185" t="str">
            <v>ХОВРИНО      (ОКТ)</v>
          </cell>
          <cell r="D185">
            <v>30682</v>
          </cell>
          <cell r="E185">
            <v>37673</v>
          </cell>
          <cell r="F185">
            <v>492</v>
          </cell>
          <cell r="G185">
            <v>34130</v>
          </cell>
          <cell r="H185">
            <v>1097</v>
          </cell>
          <cell r="I185" t="str">
            <v>деп</v>
          </cell>
          <cell r="J185">
            <v>38404</v>
          </cell>
        </row>
        <row r="186">
          <cell r="A186">
            <v>58002304</v>
          </cell>
          <cell r="B186" t="str">
            <v>АГЕНТСТВО РЕФПЕРЕВОЗОК</v>
          </cell>
          <cell r="C186" t="str">
            <v>ХОВРИНО      (ОКТ)</v>
          </cell>
          <cell r="D186">
            <v>30317</v>
          </cell>
          <cell r="E186">
            <v>37676</v>
          </cell>
          <cell r="F186">
            <v>492</v>
          </cell>
          <cell r="G186">
            <v>33926</v>
          </cell>
          <cell r="H186">
            <v>1097</v>
          </cell>
          <cell r="I186" t="str">
            <v>деп</v>
          </cell>
          <cell r="J186">
            <v>38407</v>
          </cell>
        </row>
        <row r="187">
          <cell r="A187">
            <v>58002312</v>
          </cell>
          <cell r="B187" t="str">
            <v>АГЕНТСТВО РЕФПЕРЕВОЗОК</v>
          </cell>
          <cell r="C187" t="str">
            <v>ХОВРИНО      (ОКТ)</v>
          </cell>
          <cell r="D187">
            <v>30317</v>
          </cell>
          <cell r="E187">
            <v>37672</v>
          </cell>
          <cell r="F187">
            <v>492</v>
          </cell>
          <cell r="G187">
            <v>34101</v>
          </cell>
          <cell r="H187">
            <v>1097</v>
          </cell>
          <cell r="I187" t="str">
            <v>деп</v>
          </cell>
          <cell r="J187">
            <v>38403</v>
          </cell>
        </row>
        <row r="188">
          <cell r="A188">
            <v>58002320</v>
          </cell>
          <cell r="B188" t="str">
            <v>АГЕНТСТВО РЕФПЕРЕВОЗОК</v>
          </cell>
          <cell r="C188" t="str">
            <v>ХОВРИНО      (ОКТ)</v>
          </cell>
          <cell r="D188">
            <v>30682</v>
          </cell>
          <cell r="E188">
            <v>37684</v>
          </cell>
          <cell r="F188">
            <v>492</v>
          </cell>
          <cell r="G188">
            <v>34141</v>
          </cell>
          <cell r="H188">
            <v>1097</v>
          </cell>
          <cell r="I188" t="str">
            <v>деп</v>
          </cell>
          <cell r="J188">
            <v>38415</v>
          </cell>
        </row>
        <row r="189">
          <cell r="A189">
            <v>58002338</v>
          </cell>
          <cell r="B189" t="str">
            <v>АГЕНТСТВО РЕФПЕРЕВОЗОК</v>
          </cell>
          <cell r="C189" t="str">
            <v>ХОВРИНО      (ОКТ)</v>
          </cell>
          <cell r="D189">
            <v>30317</v>
          </cell>
          <cell r="E189">
            <v>37684</v>
          </cell>
          <cell r="F189">
            <v>492</v>
          </cell>
          <cell r="G189">
            <v>34117</v>
          </cell>
          <cell r="H189">
            <v>1097</v>
          </cell>
          <cell r="I189" t="str">
            <v>деп</v>
          </cell>
          <cell r="J189">
            <v>38415</v>
          </cell>
        </row>
        <row r="190">
          <cell r="A190">
            <v>58002346</v>
          </cell>
          <cell r="B190" t="str">
            <v>АГЕНТСТВО РЕФПЕРЕВОЗОК</v>
          </cell>
          <cell r="C190" t="str">
            <v>ХОВРИНО      (ОКТ)</v>
          </cell>
          <cell r="D190">
            <v>30317</v>
          </cell>
          <cell r="E190">
            <v>37676</v>
          </cell>
          <cell r="F190">
            <v>492</v>
          </cell>
          <cell r="G190">
            <v>34162</v>
          </cell>
          <cell r="H190">
            <v>1097</v>
          </cell>
          <cell r="I190" t="str">
            <v>деп</v>
          </cell>
          <cell r="J190">
            <v>38407</v>
          </cell>
        </row>
        <row r="191">
          <cell r="A191">
            <v>58002353</v>
          </cell>
          <cell r="B191" t="str">
            <v>АГЕНТСТВО РЕФПЕРЕВОЗОК</v>
          </cell>
          <cell r="C191" t="str">
            <v>ХОВРИНО      (ОКТ)</v>
          </cell>
          <cell r="D191">
            <v>30682</v>
          </cell>
          <cell r="E191">
            <v>37672</v>
          </cell>
          <cell r="F191">
            <v>492</v>
          </cell>
          <cell r="G191">
            <v>34212</v>
          </cell>
          <cell r="H191">
            <v>1097</v>
          </cell>
          <cell r="I191" t="str">
            <v>деп</v>
          </cell>
          <cell r="J191">
            <v>38403</v>
          </cell>
        </row>
        <row r="192">
          <cell r="A192">
            <v>58002361</v>
          </cell>
          <cell r="B192" t="str">
            <v>АГЕНТСТВО РЕФПЕРЕВОЗОК</v>
          </cell>
          <cell r="C192" t="str">
            <v>ХОВРИНО      (ОКТ)</v>
          </cell>
          <cell r="D192">
            <v>30682</v>
          </cell>
          <cell r="E192">
            <v>37672</v>
          </cell>
          <cell r="F192">
            <v>492</v>
          </cell>
          <cell r="G192">
            <v>33990</v>
          </cell>
          <cell r="H192">
            <v>1097</v>
          </cell>
          <cell r="I192" t="str">
            <v>деп</v>
          </cell>
          <cell r="J192">
            <v>38403</v>
          </cell>
        </row>
        <row r="193">
          <cell r="A193">
            <v>58002379</v>
          </cell>
          <cell r="B193" t="str">
            <v>АГЕНТСТВО РЕФПЕРЕВОЗОК</v>
          </cell>
          <cell r="C193" t="str">
            <v>ХОВРИНО      (ОКТ)</v>
          </cell>
          <cell r="D193">
            <v>30682</v>
          </cell>
          <cell r="E193">
            <v>37672</v>
          </cell>
          <cell r="F193">
            <v>492</v>
          </cell>
          <cell r="G193">
            <v>34303</v>
          </cell>
          <cell r="H193">
            <v>1097</v>
          </cell>
          <cell r="I193" t="str">
            <v>деп</v>
          </cell>
          <cell r="J193">
            <v>38403</v>
          </cell>
        </row>
        <row r="194">
          <cell r="A194">
            <v>58002387</v>
          </cell>
          <cell r="B194" t="str">
            <v>АГЕНТСТВО РЕФПЕРЕВОЗОК</v>
          </cell>
          <cell r="C194" t="str">
            <v>ХОВРИНО      (ОКТ)</v>
          </cell>
          <cell r="D194">
            <v>30317</v>
          </cell>
          <cell r="E194">
            <v>37684</v>
          </cell>
          <cell r="F194">
            <v>492</v>
          </cell>
          <cell r="G194">
            <v>34022</v>
          </cell>
          <cell r="H194">
            <v>1097</v>
          </cell>
          <cell r="I194" t="str">
            <v>деп</v>
          </cell>
          <cell r="J194">
            <v>38415</v>
          </cell>
        </row>
        <row r="195">
          <cell r="A195">
            <v>58002403</v>
          </cell>
          <cell r="B195" t="str">
            <v>АГЕНТСТВО РЕФПЕРЕВОЗОК</v>
          </cell>
          <cell r="C195" t="str">
            <v>ХОВРИНО      (ОКТ)</v>
          </cell>
          <cell r="D195">
            <v>30317</v>
          </cell>
          <cell r="E195">
            <v>37684</v>
          </cell>
          <cell r="F195">
            <v>492</v>
          </cell>
          <cell r="G195">
            <v>34054</v>
          </cell>
          <cell r="H195">
            <v>1097</v>
          </cell>
          <cell r="I195" t="str">
            <v>деп</v>
          </cell>
          <cell r="J195">
            <v>38415</v>
          </cell>
        </row>
        <row r="196">
          <cell r="A196">
            <v>58002411</v>
          </cell>
          <cell r="B196" t="str">
            <v>АГЕНТСТВО РЕФПЕРЕВОЗОК</v>
          </cell>
          <cell r="C196" t="str">
            <v>ХОВРИНО      (ОКТ)</v>
          </cell>
          <cell r="D196">
            <v>30682</v>
          </cell>
          <cell r="E196">
            <v>37701</v>
          </cell>
          <cell r="F196">
            <v>492</v>
          </cell>
          <cell r="G196">
            <v>34273</v>
          </cell>
          <cell r="H196">
            <v>1097</v>
          </cell>
          <cell r="I196" t="str">
            <v>деп</v>
          </cell>
          <cell r="J196">
            <v>38432</v>
          </cell>
        </row>
        <row r="197">
          <cell r="A197">
            <v>58002429</v>
          </cell>
          <cell r="B197" t="str">
            <v>АГЕНТСТВО РЕФПЕРЕВОЗОК</v>
          </cell>
          <cell r="C197" t="str">
            <v>ХОВРИНО      (ОКТ)</v>
          </cell>
          <cell r="D197">
            <v>30317</v>
          </cell>
          <cell r="E197">
            <v>37702</v>
          </cell>
          <cell r="F197">
            <v>492</v>
          </cell>
          <cell r="G197">
            <v>34212</v>
          </cell>
          <cell r="H197">
            <v>1097</v>
          </cell>
          <cell r="I197" t="str">
            <v>деп</v>
          </cell>
          <cell r="J197">
            <v>38433</v>
          </cell>
        </row>
        <row r="198">
          <cell r="A198">
            <v>58002437</v>
          </cell>
          <cell r="B198" t="str">
            <v>АГЕНТСТВО РЕФПЕРЕВОЗОК</v>
          </cell>
          <cell r="C198" t="str">
            <v>ХОВРИНО      (ОКТ)</v>
          </cell>
          <cell r="D198">
            <v>30317</v>
          </cell>
          <cell r="E198">
            <v>37709</v>
          </cell>
          <cell r="F198">
            <v>492</v>
          </cell>
          <cell r="G198">
            <v>34044</v>
          </cell>
          <cell r="H198">
            <v>1097</v>
          </cell>
          <cell r="I198" t="str">
            <v>деп</v>
          </cell>
          <cell r="J198">
            <v>38440</v>
          </cell>
        </row>
        <row r="199">
          <cell r="A199">
            <v>58002445</v>
          </cell>
          <cell r="B199" t="str">
            <v>АГЕНТСТВО РЕФПЕРЕВОЗОК</v>
          </cell>
          <cell r="C199" t="str">
            <v>ХОВРИНО      (ОКТ)</v>
          </cell>
          <cell r="D199">
            <v>30317</v>
          </cell>
          <cell r="E199">
            <v>37709</v>
          </cell>
          <cell r="F199">
            <v>492</v>
          </cell>
          <cell r="G199">
            <v>33969</v>
          </cell>
          <cell r="H199">
            <v>1097</v>
          </cell>
          <cell r="I199" t="str">
            <v>деп</v>
          </cell>
          <cell r="J199">
            <v>38440</v>
          </cell>
        </row>
        <row r="200">
          <cell r="A200">
            <v>58002452</v>
          </cell>
          <cell r="B200" t="str">
            <v>АГЕНТСТВО РЕФПЕРЕВОЗОК</v>
          </cell>
          <cell r="C200" t="str">
            <v>ХОВРИНО      (ОКТ)</v>
          </cell>
          <cell r="D200">
            <v>30682</v>
          </cell>
          <cell r="E200">
            <v>37705</v>
          </cell>
          <cell r="F200">
            <v>492</v>
          </cell>
          <cell r="G200">
            <v>34172</v>
          </cell>
          <cell r="H200">
            <v>1097</v>
          </cell>
          <cell r="I200" t="str">
            <v>деп</v>
          </cell>
          <cell r="J200">
            <v>38436</v>
          </cell>
        </row>
        <row r="201">
          <cell r="A201">
            <v>58002460</v>
          </cell>
          <cell r="B201" t="str">
            <v>АГЕНТСТВО РЕФПЕРЕВОЗОК</v>
          </cell>
          <cell r="C201" t="str">
            <v>ХОВРИНО      (ОКТ)</v>
          </cell>
          <cell r="D201">
            <v>30682</v>
          </cell>
          <cell r="E201">
            <v>37710</v>
          </cell>
          <cell r="F201">
            <v>492</v>
          </cell>
          <cell r="G201">
            <v>34242</v>
          </cell>
          <cell r="H201">
            <v>1097</v>
          </cell>
          <cell r="I201" t="str">
            <v>деп</v>
          </cell>
          <cell r="J201">
            <v>38441</v>
          </cell>
        </row>
        <row r="202">
          <cell r="A202">
            <v>58002478</v>
          </cell>
          <cell r="B202" t="str">
            <v>АГЕНТСТВО РЕФПЕРЕВОЗОК</v>
          </cell>
          <cell r="C202" t="str">
            <v>ХОВРИНО      (ОКТ)</v>
          </cell>
          <cell r="D202">
            <v>30682</v>
          </cell>
          <cell r="E202">
            <v>37700</v>
          </cell>
          <cell r="F202">
            <v>492</v>
          </cell>
          <cell r="G202">
            <v>34273</v>
          </cell>
          <cell r="H202">
            <v>1097</v>
          </cell>
          <cell r="I202" t="str">
            <v>деп</v>
          </cell>
          <cell r="J202">
            <v>38431</v>
          </cell>
        </row>
        <row r="203">
          <cell r="A203">
            <v>58002486</v>
          </cell>
          <cell r="B203" t="str">
            <v>АГЕНТСТВО РЕФПЕРЕВОЗОК</v>
          </cell>
          <cell r="C203" t="str">
            <v>ХОВРИНО      (ОКТ)</v>
          </cell>
          <cell r="D203">
            <v>30682</v>
          </cell>
          <cell r="E203">
            <v>37703</v>
          </cell>
          <cell r="F203">
            <v>492</v>
          </cell>
          <cell r="G203">
            <v>35039</v>
          </cell>
          <cell r="H203">
            <v>1097</v>
          </cell>
          <cell r="I203" t="str">
            <v>деп</v>
          </cell>
          <cell r="J203">
            <v>38434</v>
          </cell>
        </row>
        <row r="204">
          <cell r="A204">
            <v>58002502</v>
          </cell>
          <cell r="B204" t="str">
            <v>АГЕНТСТВО РЕФПЕРЕВОЗОК</v>
          </cell>
          <cell r="C204" t="str">
            <v>ХОВРИНО      (ОКТ)</v>
          </cell>
          <cell r="D204">
            <v>30682</v>
          </cell>
          <cell r="E204">
            <v>37696</v>
          </cell>
          <cell r="F204">
            <v>492</v>
          </cell>
          <cell r="G204">
            <v>35010</v>
          </cell>
          <cell r="H204">
            <v>1097</v>
          </cell>
          <cell r="I204" t="str">
            <v>деп</v>
          </cell>
          <cell r="J204">
            <v>38427</v>
          </cell>
        </row>
        <row r="205">
          <cell r="A205">
            <v>58002510</v>
          </cell>
          <cell r="B205" t="str">
            <v>АГЕНТСТВО РЕФПЕРЕВОЗОК</v>
          </cell>
          <cell r="C205" t="str">
            <v>ХОВРИНО      (ОКТ)</v>
          </cell>
          <cell r="D205">
            <v>30317</v>
          </cell>
          <cell r="E205">
            <v>37707</v>
          </cell>
          <cell r="F205">
            <v>492</v>
          </cell>
          <cell r="G205">
            <v>34028</v>
          </cell>
          <cell r="H205">
            <v>1097</v>
          </cell>
          <cell r="I205" t="str">
            <v>деп</v>
          </cell>
          <cell r="J205">
            <v>38438</v>
          </cell>
        </row>
        <row r="206">
          <cell r="A206">
            <v>58002528</v>
          </cell>
          <cell r="B206" t="str">
            <v>АГЕНТСТВО РЕФПЕРЕВОЗОК</v>
          </cell>
          <cell r="C206" t="str">
            <v>ХОВРИНО      (ОКТ)</v>
          </cell>
          <cell r="D206">
            <v>30317</v>
          </cell>
          <cell r="E206">
            <v>37696</v>
          </cell>
          <cell r="F206">
            <v>492</v>
          </cell>
          <cell r="G206">
            <v>33984</v>
          </cell>
          <cell r="H206">
            <v>1097</v>
          </cell>
          <cell r="I206" t="str">
            <v>деп</v>
          </cell>
          <cell r="J206">
            <v>38427</v>
          </cell>
        </row>
        <row r="207">
          <cell r="A207">
            <v>58002536</v>
          </cell>
          <cell r="B207" t="str">
            <v>АГЕНТСТВО РЕФПЕРЕВОЗОК</v>
          </cell>
          <cell r="C207" t="str">
            <v>ХОВРИНО      (ОКТ)</v>
          </cell>
          <cell r="D207">
            <v>30317</v>
          </cell>
          <cell r="E207">
            <v>37696</v>
          </cell>
          <cell r="F207">
            <v>492</v>
          </cell>
          <cell r="G207">
            <v>34113</v>
          </cell>
          <cell r="H207">
            <v>1097</v>
          </cell>
          <cell r="I207" t="str">
            <v>деп</v>
          </cell>
          <cell r="J207">
            <v>38427</v>
          </cell>
        </row>
        <row r="208">
          <cell r="A208">
            <v>58002544</v>
          </cell>
          <cell r="B208" t="str">
            <v>АГЕНТСТВО РЕФПЕРЕВОЗОК</v>
          </cell>
          <cell r="C208" t="str">
            <v>ХОВРИНО      (ОКТ)</v>
          </cell>
          <cell r="D208">
            <v>31413</v>
          </cell>
          <cell r="F208">
            <v>0</v>
          </cell>
          <cell r="G208">
            <v>37710</v>
          </cell>
          <cell r="H208">
            <v>492</v>
          </cell>
          <cell r="I208" t="str">
            <v>деп</v>
          </cell>
          <cell r="J208">
            <v>38441</v>
          </cell>
        </row>
        <row r="209">
          <cell r="A209">
            <v>58002551</v>
          </cell>
          <cell r="B209" t="str">
            <v>АГЕНТСТВО РЕФПЕРЕВОЗОК</v>
          </cell>
          <cell r="C209" t="str">
            <v>ХОВРИНО      (ОКТ)</v>
          </cell>
          <cell r="D209">
            <v>31778</v>
          </cell>
          <cell r="F209">
            <v>0</v>
          </cell>
          <cell r="G209">
            <v>37710</v>
          </cell>
          <cell r="H209">
            <v>492</v>
          </cell>
          <cell r="I209" t="str">
            <v>деп</v>
          </cell>
          <cell r="J209">
            <v>38441</v>
          </cell>
        </row>
        <row r="210">
          <cell r="A210">
            <v>58002569</v>
          </cell>
          <cell r="B210" t="str">
            <v>АГЕНТСТВО РЕФПЕРЕВОЗОК</v>
          </cell>
          <cell r="C210" t="str">
            <v>ХОВРИНО      (ОКТ)</v>
          </cell>
          <cell r="D210">
            <v>31778</v>
          </cell>
          <cell r="F210">
            <v>0</v>
          </cell>
          <cell r="G210">
            <v>37707</v>
          </cell>
          <cell r="H210">
            <v>492</v>
          </cell>
          <cell r="I210" t="str">
            <v>деп</v>
          </cell>
          <cell r="J210">
            <v>38438</v>
          </cell>
        </row>
        <row r="211">
          <cell r="A211">
            <v>58002577</v>
          </cell>
          <cell r="B211" t="str">
            <v>АГЕНТСТВО РЕФПЕРЕВОЗОК</v>
          </cell>
          <cell r="C211" t="str">
            <v>ХОВРИНО      (ОКТ)</v>
          </cell>
          <cell r="D211">
            <v>31778</v>
          </cell>
          <cell r="F211">
            <v>0</v>
          </cell>
          <cell r="G211">
            <v>37708</v>
          </cell>
          <cell r="H211">
            <v>492</v>
          </cell>
          <cell r="I211" t="str">
            <v>деп</v>
          </cell>
          <cell r="J211">
            <v>38439</v>
          </cell>
        </row>
        <row r="212">
          <cell r="A212">
            <v>58002585</v>
          </cell>
          <cell r="B212" t="str">
            <v>АГЕНТСТВО РЕФПЕРЕВОЗОК</v>
          </cell>
          <cell r="C212" t="str">
            <v>ХОВРИНО      (ОКТ)</v>
          </cell>
          <cell r="D212">
            <v>31778</v>
          </cell>
          <cell r="F212">
            <v>0</v>
          </cell>
          <cell r="G212">
            <v>37707</v>
          </cell>
          <cell r="H212">
            <v>492</v>
          </cell>
          <cell r="I212" t="str">
            <v>деп</v>
          </cell>
          <cell r="J212">
            <v>38438</v>
          </cell>
        </row>
        <row r="213">
          <cell r="A213">
            <v>58002601</v>
          </cell>
          <cell r="B213" t="str">
            <v>АГЕНТСТВО РЕФПЕРЕВОЗОК</v>
          </cell>
          <cell r="C213" t="str">
            <v>ХОВРИНО      (ОКТ)</v>
          </cell>
          <cell r="D213">
            <v>31778</v>
          </cell>
          <cell r="F213">
            <v>0</v>
          </cell>
          <cell r="G213">
            <v>37708</v>
          </cell>
          <cell r="H213">
            <v>492</v>
          </cell>
          <cell r="I213" t="str">
            <v>деп</v>
          </cell>
          <cell r="J213">
            <v>38439</v>
          </cell>
        </row>
        <row r="214">
          <cell r="A214">
            <v>58338096</v>
          </cell>
          <cell r="B214" t="str">
            <v>АГЕНТСТВО РЕФПЕРЕВОЗОК</v>
          </cell>
          <cell r="C214" t="str">
            <v>ХОВРИНО      (ОКТ)</v>
          </cell>
          <cell r="D214">
            <v>30317</v>
          </cell>
          <cell r="E214">
            <v>37781</v>
          </cell>
          <cell r="F214">
            <v>492</v>
          </cell>
          <cell r="G214">
            <v>33938</v>
          </cell>
          <cell r="H214">
            <v>1097</v>
          </cell>
          <cell r="I214" t="str">
            <v>деп</v>
          </cell>
          <cell r="J214">
            <v>38330</v>
          </cell>
        </row>
        <row r="215">
          <cell r="A215">
            <v>58338591</v>
          </cell>
          <cell r="B215" t="str">
            <v>АГЕНТСТВО РЕФПЕРЕВОЗОК</v>
          </cell>
          <cell r="C215" t="str">
            <v>ХОВРИНО      (ОКТ)</v>
          </cell>
          <cell r="D215">
            <v>30317</v>
          </cell>
          <cell r="E215">
            <v>37941</v>
          </cell>
          <cell r="F215">
            <v>557</v>
          </cell>
          <cell r="G215">
            <v>34137</v>
          </cell>
          <cell r="H215">
            <v>1097</v>
          </cell>
          <cell r="I215" t="str">
            <v>деп</v>
          </cell>
          <cell r="J215">
            <v>38488</v>
          </cell>
        </row>
        <row r="216">
          <cell r="A216">
            <v>58338799</v>
          </cell>
          <cell r="B216" t="str">
            <v>АГЕНТСТВО РЕФПЕРЕВОЗОК</v>
          </cell>
          <cell r="C216" t="str">
            <v>ХОВРИНО      (ОКТ)</v>
          </cell>
          <cell r="D216">
            <v>30317</v>
          </cell>
          <cell r="E216">
            <v>37934</v>
          </cell>
          <cell r="F216">
            <v>557</v>
          </cell>
          <cell r="G216">
            <v>34128</v>
          </cell>
          <cell r="H216">
            <v>1097</v>
          </cell>
          <cell r="I216" t="str">
            <v>деп</v>
          </cell>
          <cell r="J216">
            <v>38481</v>
          </cell>
        </row>
        <row r="217">
          <cell r="A217">
            <v>58338898</v>
          </cell>
          <cell r="B217" t="str">
            <v>АГЕНТСТВО РЕФПЕРЕВОЗОК</v>
          </cell>
          <cell r="C217" t="str">
            <v>ХОВРИНО      (ОКТ)</v>
          </cell>
          <cell r="D217">
            <v>30317</v>
          </cell>
          <cell r="E217">
            <v>37779</v>
          </cell>
          <cell r="F217">
            <v>492</v>
          </cell>
          <cell r="G217">
            <v>34059</v>
          </cell>
          <cell r="H217">
            <v>1097</v>
          </cell>
          <cell r="I217" t="str">
            <v>деп</v>
          </cell>
          <cell r="J217">
            <v>38328</v>
          </cell>
        </row>
        <row r="218">
          <cell r="A218">
            <v>58340449</v>
          </cell>
          <cell r="B218" t="str">
            <v>АГЕНТСТВО РЕФПЕРЕВОЗОК</v>
          </cell>
          <cell r="C218" t="str">
            <v>ХОВРИНО      (ОКТ)</v>
          </cell>
          <cell r="D218">
            <v>30317</v>
          </cell>
          <cell r="E218">
            <v>37788</v>
          </cell>
          <cell r="F218">
            <v>492</v>
          </cell>
          <cell r="G218">
            <v>33997</v>
          </cell>
          <cell r="H218">
            <v>1097</v>
          </cell>
          <cell r="I218" t="str">
            <v>деп</v>
          </cell>
          <cell r="J218">
            <v>38337</v>
          </cell>
        </row>
        <row r="219">
          <cell r="A219">
            <v>58340456</v>
          </cell>
          <cell r="B219" t="str">
            <v>АГЕНТСТВО РЕФПЕРЕВОЗОК</v>
          </cell>
          <cell r="C219" t="str">
            <v>ХОВРИНО      (ОКТ)</v>
          </cell>
          <cell r="D219">
            <v>30317</v>
          </cell>
          <cell r="E219">
            <v>37945</v>
          </cell>
          <cell r="F219">
            <v>557</v>
          </cell>
          <cell r="G219">
            <v>34085</v>
          </cell>
          <cell r="H219">
            <v>1097</v>
          </cell>
          <cell r="I219" t="str">
            <v>деп</v>
          </cell>
          <cell r="J219">
            <v>38492</v>
          </cell>
        </row>
        <row r="220">
          <cell r="A220">
            <v>58340472</v>
          </cell>
          <cell r="B220" t="str">
            <v>АГЕНТСТВО РЕФПЕРЕВОЗОК</v>
          </cell>
          <cell r="C220" t="str">
            <v>ХОВРИНО      (ОКТ)</v>
          </cell>
          <cell r="D220">
            <v>30317</v>
          </cell>
          <cell r="E220">
            <v>37942</v>
          </cell>
          <cell r="F220">
            <v>557</v>
          </cell>
          <cell r="G220">
            <v>33969</v>
          </cell>
          <cell r="H220">
            <v>1097</v>
          </cell>
          <cell r="I220" t="str">
            <v>деп</v>
          </cell>
          <cell r="J220">
            <v>38489</v>
          </cell>
        </row>
        <row r="221">
          <cell r="A221">
            <v>58340506</v>
          </cell>
          <cell r="B221" t="str">
            <v>АГЕНТСТВО РЕФПЕРЕВОЗОК</v>
          </cell>
          <cell r="C221" t="str">
            <v>ХОВРИНО      (ОКТ)</v>
          </cell>
          <cell r="D221">
            <v>30317</v>
          </cell>
          <cell r="F221">
            <v>0</v>
          </cell>
          <cell r="G221">
            <v>33908</v>
          </cell>
          <cell r="H221">
            <v>1097</v>
          </cell>
          <cell r="I221" t="str">
            <v>деп</v>
          </cell>
          <cell r="J221">
            <v>34151</v>
          </cell>
        </row>
        <row r="222">
          <cell r="A222">
            <v>58340514</v>
          </cell>
          <cell r="B222" t="str">
            <v>АГЕНТСТВО РЕФПЕРЕВОЗОК</v>
          </cell>
          <cell r="C222" t="str">
            <v>ХОВРИНО      (ОКТ)</v>
          </cell>
          <cell r="D222">
            <v>30317</v>
          </cell>
          <cell r="E222">
            <v>37788</v>
          </cell>
          <cell r="F222">
            <v>492</v>
          </cell>
          <cell r="G222">
            <v>33969</v>
          </cell>
          <cell r="H222">
            <v>1097</v>
          </cell>
          <cell r="I222" t="str">
            <v>деп</v>
          </cell>
          <cell r="J222">
            <v>38337</v>
          </cell>
        </row>
        <row r="223">
          <cell r="A223">
            <v>58340522</v>
          </cell>
          <cell r="B223" t="str">
            <v>АГЕНТСТВО РЕФПЕРЕВОЗОК</v>
          </cell>
          <cell r="C223" t="str">
            <v>ХОВРИНО      (ОКТ)</v>
          </cell>
          <cell r="D223">
            <v>30317</v>
          </cell>
          <cell r="E223">
            <v>37942</v>
          </cell>
          <cell r="F223">
            <v>557</v>
          </cell>
          <cell r="G223">
            <v>34018</v>
          </cell>
          <cell r="H223">
            <v>1097</v>
          </cell>
          <cell r="I223" t="str">
            <v>деп</v>
          </cell>
          <cell r="J223">
            <v>38489</v>
          </cell>
        </row>
        <row r="224">
          <cell r="A224">
            <v>58340530</v>
          </cell>
          <cell r="B224" t="str">
            <v>АГЕНТСТВО РЕФПЕРЕВОЗОК</v>
          </cell>
          <cell r="C224" t="str">
            <v>ХОВРИНО      (ОКТ)</v>
          </cell>
          <cell r="D224">
            <v>30317</v>
          </cell>
          <cell r="E224">
            <v>37945</v>
          </cell>
          <cell r="F224">
            <v>557</v>
          </cell>
          <cell r="G224">
            <v>33908</v>
          </cell>
          <cell r="H224">
            <v>1097</v>
          </cell>
          <cell r="I224" t="str">
            <v>деп</v>
          </cell>
          <cell r="J224">
            <v>38492</v>
          </cell>
        </row>
        <row r="225">
          <cell r="A225">
            <v>58340548</v>
          </cell>
          <cell r="B225" t="str">
            <v>АГЕНТСТВО РЕФПЕРЕВОЗОК</v>
          </cell>
          <cell r="C225" t="str">
            <v>ХОВРИНО      (ОКТ)</v>
          </cell>
          <cell r="D225">
            <v>30317</v>
          </cell>
          <cell r="E225">
            <v>37936</v>
          </cell>
          <cell r="F225">
            <v>557</v>
          </cell>
          <cell r="G225">
            <v>34047</v>
          </cell>
          <cell r="H225">
            <v>1097</v>
          </cell>
          <cell r="I225" t="str">
            <v>деп</v>
          </cell>
          <cell r="J225">
            <v>38483</v>
          </cell>
        </row>
        <row r="226">
          <cell r="A226">
            <v>58340555</v>
          </cell>
          <cell r="B226" t="str">
            <v>АГЕНТСТВО РЕФПЕРЕВОЗОК</v>
          </cell>
          <cell r="C226" t="str">
            <v>ХОВРИНО      (ОКТ)</v>
          </cell>
          <cell r="D226">
            <v>30317</v>
          </cell>
          <cell r="F226">
            <v>0</v>
          </cell>
          <cell r="G226">
            <v>33991</v>
          </cell>
          <cell r="H226">
            <v>1097</v>
          </cell>
          <cell r="I226" t="str">
            <v>кап</v>
          </cell>
          <cell r="J226">
            <v>31686</v>
          </cell>
        </row>
        <row r="227">
          <cell r="A227">
            <v>58340589</v>
          </cell>
          <cell r="B227" t="str">
            <v>АГЕНТСТВО РЕФПЕРЕВОЗОК</v>
          </cell>
          <cell r="C227" t="str">
            <v>ХОВРИНО      (ОКТ)</v>
          </cell>
          <cell r="D227">
            <v>30317</v>
          </cell>
          <cell r="E227">
            <v>37778</v>
          </cell>
          <cell r="F227">
            <v>492</v>
          </cell>
          <cell r="G227">
            <v>33926</v>
          </cell>
          <cell r="H227">
            <v>1097</v>
          </cell>
          <cell r="I227" t="str">
            <v>кап</v>
          </cell>
          <cell r="J227">
            <v>38327</v>
          </cell>
        </row>
        <row r="228">
          <cell r="A228">
            <v>58340597</v>
          </cell>
          <cell r="B228" t="str">
            <v>АГЕНТСТВО РЕФПЕРЕВОЗОК</v>
          </cell>
          <cell r="C228" t="str">
            <v>ХОВРИНО      (ОКТ)</v>
          </cell>
          <cell r="D228">
            <v>30317</v>
          </cell>
          <cell r="E228">
            <v>37945</v>
          </cell>
          <cell r="F228">
            <v>557</v>
          </cell>
          <cell r="G228">
            <v>33906</v>
          </cell>
          <cell r="H228">
            <v>1097</v>
          </cell>
          <cell r="I228" t="str">
            <v>деп</v>
          </cell>
          <cell r="J228">
            <v>38492</v>
          </cell>
        </row>
        <row r="229">
          <cell r="A229">
            <v>58340605</v>
          </cell>
          <cell r="B229" t="str">
            <v>АГЕНТСТВО РЕФПЕРЕВОЗОК</v>
          </cell>
          <cell r="C229" t="str">
            <v>ХОВРИНО      (ОКТ)</v>
          </cell>
          <cell r="D229">
            <v>30317</v>
          </cell>
          <cell r="E229">
            <v>37790</v>
          </cell>
          <cell r="F229">
            <v>492</v>
          </cell>
          <cell r="G229">
            <v>33928</v>
          </cell>
          <cell r="H229">
            <v>1097</v>
          </cell>
          <cell r="I229" t="str">
            <v>деп</v>
          </cell>
          <cell r="J229">
            <v>38339</v>
          </cell>
        </row>
        <row r="230">
          <cell r="A230">
            <v>58340613</v>
          </cell>
          <cell r="B230" t="str">
            <v>АГЕНТСТВО РЕФПЕРЕВОЗОК</v>
          </cell>
          <cell r="C230" t="str">
            <v>ХОВРИНО      (ОКТ)</v>
          </cell>
          <cell r="D230">
            <v>30317</v>
          </cell>
          <cell r="E230">
            <v>37770</v>
          </cell>
          <cell r="F230">
            <v>492</v>
          </cell>
          <cell r="G230">
            <v>34242</v>
          </cell>
          <cell r="H230">
            <v>1097</v>
          </cell>
          <cell r="I230" t="str">
            <v>деп</v>
          </cell>
          <cell r="J230">
            <v>38320</v>
          </cell>
        </row>
        <row r="231">
          <cell r="A231">
            <v>58340621</v>
          </cell>
          <cell r="B231" t="str">
            <v>АГЕНТСТВО РЕФПЕРЕВОЗОК</v>
          </cell>
          <cell r="C231" t="str">
            <v>ХОВРИНО      (ОКТ)</v>
          </cell>
          <cell r="D231">
            <v>30317</v>
          </cell>
          <cell r="E231">
            <v>37959</v>
          </cell>
          <cell r="F231">
            <v>492</v>
          </cell>
          <cell r="H231">
            <v>0</v>
          </cell>
          <cell r="I231" t="str">
            <v>деп</v>
          </cell>
          <cell r="J231">
            <v>38507</v>
          </cell>
        </row>
        <row r="232">
          <cell r="A232">
            <v>58340639</v>
          </cell>
          <cell r="B232" t="str">
            <v>АГЕНТСТВО РЕФПЕРЕВОЗОК</v>
          </cell>
          <cell r="C232" t="str">
            <v>ХОВРИНО      (ОКТ)</v>
          </cell>
          <cell r="D232">
            <v>30317</v>
          </cell>
          <cell r="E232">
            <v>37938</v>
          </cell>
          <cell r="F232">
            <v>557</v>
          </cell>
          <cell r="G232">
            <v>34120</v>
          </cell>
          <cell r="H232">
            <v>1097</v>
          </cell>
          <cell r="I232" t="str">
            <v>деп</v>
          </cell>
          <cell r="J232">
            <v>38485</v>
          </cell>
        </row>
        <row r="233">
          <cell r="A233">
            <v>58340654</v>
          </cell>
          <cell r="B233" t="str">
            <v>АГЕНТСТВО РЕФПЕРЕВОЗОК</v>
          </cell>
          <cell r="C233" t="str">
            <v>ХОВРИНО      (ОКТ)</v>
          </cell>
          <cell r="D233">
            <v>30317</v>
          </cell>
          <cell r="F233">
            <v>0</v>
          </cell>
          <cell r="G233">
            <v>33938</v>
          </cell>
          <cell r="H233">
            <v>1097</v>
          </cell>
          <cell r="I233" t="str">
            <v>деп</v>
          </cell>
          <cell r="J233">
            <v>35400</v>
          </cell>
        </row>
        <row r="234">
          <cell r="A234">
            <v>58340670</v>
          </cell>
          <cell r="B234" t="str">
            <v>АГЕНТСТВО РЕФПЕРЕВОЗОК</v>
          </cell>
          <cell r="C234" t="str">
            <v>ХОВРИНО      (ОКТ)</v>
          </cell>
          <cell r="D234">
            <v>30317</v>
          </cell>
          <cell r="F234">
            <v>0</v>
          </cell>
          <cell r="G234">
            <v>34165</v>
          </cell>
          <cell r="H234">
            <v>1097</v>
          </cell>
          <cell r="I234" t="str">
            <v>деп</v>
          </cell>
          <cell r="J234">
            <v>34516</v>
          </cell>
        </row>
        <row r="235">
          <cell r="A235">
            <v>58340704</v>
          </cell>
          <cell r="B235" t="str">
            <v>АГЕНТСТВО РЕФПЕРЕВОЗОК</v>
          </cell>
          <cell r="C235" t="str">
            <v>ХОВРИНО      (ОКТ)</v>
          </cell>
          <cell r="D235">
            <v>30317</v>
          </cell>
          <cell r="E235">
            <v>37772</v>
          </cell>
          <cell r="F235">
            <v>492</v>
          </cell>
          <cell r="G235">
            <v>34039</v>
          </cell>
          <cell r="H235">
            <v>1097</v>
          </cell>
          <cell r="I235" t="str">
            <v>деп</v>
          </cell>
          <cell r="J235">
            <v>38321</v>
          </cell>
        </row>
        <row r="236">
          <cell r="A236">
            <v>58340720</v>
          </cell>
          <cell r="B236" t="str">
            <v>АГЕНТСТВО РЕФПЕРЕВОЗОК</v>
          </cell>
          <cell r="C236" t="str">
            <v>ХОВРИНО      (ОКТ)</v>
          </cell>
          <cell r="D236">
            <v>30317</v>
          </cell>
          <cell r="E236">
            <v>37780</v>
          </cell>
          <cell r="F236">
            <v>492</v>
          </cell>
          <cell r="G236">
            <v>34150</v>
          </cell>
          <cell r="H236">
            <v>1097</v>
          </cell>
          <cell r="I236" t="str">
            <v>деп</v>
          </cell>
          <cell r="J236">
            <v>38329</v>
          </cell>
        </row>
        <row r="237">
          <cell r="A237">
            <v>58340738</v>
          </cell>
          <cell r="B237" t="str">
            <v>АГЕНТСТВО РЕФПЕРЕВОЗОК</v>
          </cell>
          <cell r="C237" t="str">
            <v>ХОВРИНО      (ОКТ)</v>
          </cell>
          <cell r="D237">
            <v>30317</v>
          </cell>
          <cell r="E237">
            <v>37941</v>
          </cell>
          <cell r="F237">
            <v>557</v>
          </cell>
          <cell r="G237">
            <v>33959</v>
          </cell>
          <cell r="H237">
            <v>1097</v>
          </cell>
          <cell r="I237" t="str">
            <v>деп</v>
          </cell>
          <cell r="J237">
            <v>38488</v>
          </cell>
        </row>
        <row r="238">
          <cell r="A238">
            <v>58340753</v>
          </cell>
          <cell r="B238" t="str">
            <v>АГЕНТСТВО РЕФПЕРЕВОЗОК</v>
          </cell>
          <cell r="C238" t="str">
            <v>ХОВРИНО      (ОКТ)</v>
          </cell>
          <cell r="D238">
            <v>30317</v>
          </cell>
          <cell r="E238">
            <v>37786</v>
          </cell>
          <cell r="F238">
            <v>492</v>
          </cell>
          <cell r="G238">
            <v>34101</v>
          </cell>
          <cell r="H238">
            <v>1097</v>
          </cell>
          <cell r="I238" t="str">
            <v>деп</v>
          </cell>
          <cell r="J238">
            <v>38335</v>
          </cell>
        </row>
        <row r="239">
          <cell r="A239">
            <v>58340761</v>
          </cell>
          <cell r="B239" t="str">
            <v>АГЕНТСТВО РЕФПЕРЕВОЗОК</v>
          </cell>
          <cell r="C239" t="str">
            <v>ХОВРИНО      (ОКТ)</v>
          </cell>
          <cell r="D239">
            <v>30317</v>
          </cell>
          <cell r="E239">
            <v>37770</v>
          </cell>
          <cell r="F239">
            <v>492</v>
          </cell>
          <cell r="G239">
            <v>33997</v>
          </cell>
          <cell r="H239">
            <v>1097</v>
          </cell>
          <cell r="I239" t="str">
            <v>деп</v>
          </cell>
          <cell r="J239">
            <v>38320</v>
          </cell>
        </row>
        <row r="240">
          <cell r="A240">
            <v>58340779</v>
          </cell>
          <cell r="B240" t="str">
            <v>АГЕНТСТВО РЕФПЕРЕВОЗОК</v>
          </cell>
          <cell r="C240" t="str">
            <v>ХОВРИНО      (ОКТ)</v>
          </cell>
          <cell r="D240">
            <v>30317</v>
          </cell>
          <cell r="E240">
            <v>37768</v>
          </cell>
          <cell r="F240">
            <v>492</v>
          </cell>
          <cell r="G240">
            <v>34081</v>
          </cell>
          <cell r="H240">
            <v>1097</v>
          </cell>
          <cell r="I240" t="str">
            <v>деп</v>
          </cell>
          <cell r="J240">
            <v>38318</v>
          </cell>
        </row>
        <row r="241">
          <cell r="A241">
            <v>58340845</v>
          </cell>
          <cell r="B241" t="str">
            <v>АГЕНТСТВО РЕФПЕРЕВОЗОК</v>
          </cell>
          <cell r="C241" t="str">
            <v>ХОВРИНО      (ОКТ)</v>
          </cell>
          <cell r="D241">
            <v>30317</v>
          </cell>
          <cell r="F241">
            <v>0</v>
          </cell>
          <cell r="G241">
            <v>33991</v>
          </cell>
          <cell r="H241">
            <v>1097</v>
          </cell>
          <cell r="I241" t="str">
            <v>кап</v>
          </cell>
          <cell r="J241">
            <v>31898</v>
          </cell>
        </row>
        <row r="242">
          <cell r="A242">
            <v>58340852</v>
          </cell>
          <cell r="B242" t="str">
            <v>АГЕНТСТВО РЕФПЕРЕВОЗОК</v>
          </cell>
          <cell r="C242" t="str">
            <v>ХОВРИНО      (ОКТ)</v>
          </cell>
          <cell r="D242">
            <v>30317</v>
          </cell>
          <cell r="E242">
            <v>37937</v>
          </cell>
          <cell r="F242">
            <v>557</v>
          </cell>
          <cell r="G242">
            <v>34144</v>
          </cell>
          <cell r="H242">
            <v>1097</v>
          </cell>
          <cell r="I242" t="str">
            <v>деп</v>
          </cell>
          <cell r="J242">
            <v>38484</v>
          </cell>
        </row>
        <row r="243">
          <cell r="A243">
            <v>58340886</v>
          </cell>
          <cell r="B243" t="str">
            <v>АГЕНТСТВО РЕФПЕРЕВОЗОК</v>
          </cell>
          <cell r="C243" t="str">
            <v>ХОВРИНО      (ОКТ)</v>
          </cell>
          <cell r="D243">
            <v>30682</v>
          </cell>
          <cell r="E243">
            <v>37801</v>
          </cell>
          <cell r="F243">
            <v>492</v>
          </cell>
          <cell r="G243">
            <v>34239</v>
          </cell>
          <cell r="H243">
            <v>1097</v>
          </cell>
          <cell r="I243" t="str">
            <v>деп</v>
          </cell>
          <cell r="J243">
            <v>38350</v>
          </cell>
        </row>
        <row r="244">
          <cell r="A244">
            <v>58340894</v>
          </cell>
          <cell r="B244" t="str">
            <v>АГЕНТСТВО РЕФПЕРЕВОЗОК</v>
          </cell>
          <cell r="C244" t="str">
            <v>ХОВРИНО      (ОКТ)</v>
          </cell>
          <cell r="D244">
            <v>30682</v>
          </cell>
          <cell r="E244">
            <v>37526</v>
          </cell>
          <cell r="F244">
            <v>1097</v>
          </cell>
          <cell r="G244">
            <v>34233</v>
          </cell>
          <cell r="H244">
            <v>1097</v>
          </cell>
          <cell r="I244" t="str">
            <v>деп</v>
          </cell>
          <cell r="J244">
            <v>38073</v>
          </cell>
        </row>
        <row r="245">
          <cell r="A245">
            <v>58340928</v>
          </cell>
          <cell r="B245" t="str">
            <v>АГЕНТСТВО РЕФПЕРЕВОЗОК</v>
          </cell>
          <cell r="C245" t="str">
            <v>ХОВРИНО      (ОКТ)</v>
          </cell>
          <cell r="D245">
            <v>30682</v>
          </cell>
          <cell r="E245">
            <v>37770</v>
          </cell>
          <cell r="F245">
            <v>492</v>
          </cell>
          <cell r="G245">
            <v>34208</v>
          </cell>
          <cell r="H245">
            <v>1097</v>
          </cell>
          <cell r="I245" t="str">
            <v>деп</v>
          </cell>
          <cell r="J245">
            <v>38320</v>
          </cell>
        </row>
        <row r="246">
          <cell r="A246">
            <v>58340944</v>
          </cell>
          <cell r="B246" t="str">
            <v>АГЕНТСТВО РЕФПЕРЕВОЗОК</v>
          </cell>
          <cell r="C246" t="str">
            <v>ХОВРИНО      (ОКТ)</v>
          </cell>
          <cell r="D246">
            <v>30682</v>
          </cell>
          <cell r="E246">
            <v>37937</v>
          </cell>
          <cell r="F246">
            <v>557</v>
          </cell>
          <cell r="G246">
            <v>34208</v>
          </cell>
          <cell r="H246">
            <v>1097</v>
          </cell>
          <cell r="I246" t="str">
            <v>деп</v>
          </cell>
          <cell r="J246">
            <v>38484</v>
          </cell>
        </row>
        <row r="247">
          <cell r="A247">
            <v>58340951</v>
          </cell>
          <cell r="B247" t="str">
            <v>АГЕНТСТВО РЕФПЕРЕВОЗОК</v>
          </cell>
          <cell r="C247" t="str">
            <v>ХОВРИНО      (ОКТ)</v>
          </cell>
          <cell r="D247">
            <v>30682</v>
          </cell>
          <cell r="E247">
            <v>37867</v>
          </cell>
          <cell r="F247">
            <v>492</v>
          </cell>
          <cell r="G247">
            <v>34212</v>
          </cell>
          <cell r="H247">
            <v>1097</v>
          </cell>
          <cell r="I247" t="str">
            <v>деп</v>
          </cell>
          <cell r="J247">
            <v>38414</v>
          </cell>
        </row>
        <row r="248">
          <cell r="A248">
            <v>58340977</v>
          </cell>
          <cell r="B248" t="str">
            <v>АГЕНТСТВО РЕФПЕРЕВОЗОК</v>
          </cell>
          <cell r="C248" t="str">
            <v>ХОВРИНО      (ОКТ)</v>
          </cell>
          <cell r="D248">
            <v>30682</v>
          </cell>
          <cell r="E248">
            <v>37671</v>
          </cell>
          <cell r="F248">
            <v>1097</v>
          </cell>
          <cell r="G248">
            <v>34208</v>
          </cell>
          <cell r="H248">
            <v>1097</v>
          </cell>
          <cell r="I248" t="str">
            <v>деп</v>
          </cell>
          <cell r="J248">
            <v>38218</v>
          </cell>
        </row>
        <row r="249">
          <cell r="A249">
            <v>58340985</v>
          </cell>
          <cell r="B249" t="str">
            <v>АГЕНТСТВО РЕФПЕРЕВОЗОК</v>
          </cell>
          <cell r="C249" t="str">
            <v>ХОВРИНО      (ОКТ)</v>
          </cell>
          <cell r="D249">
            <v>30682</v>
          </cell>
          <cell r="E249">
            <v>37780</v>
          </cell>
          <cell r="F249">
            <v>492</v>
          </cell>
          <cell r="G249">
            <v>34239</v>
          </cell>
          <cell r="H249">
            <v>1097</v>
          </cell>
          <cell r="I249" t="str">
            <v>деп</v>
          </cell>
          <cell r="J249">
            <v>38329</v>
          </cell>
        </row>
        <row r="250">
          <cell r="A250">
            <v>58340993</v>
          </cell>
          <cell r="B250" t="str">
            <v>АГЕНТСТВО РЕФПЕРЕВОЗОК</v>
          </cell>
          <cell r="C250" t="str">
            <v>ХОВРИНО      (ОКТ)</v>
          </cell>
          <cell r="D250">
            <v>30682</v>
          </cell>
          <cell r="E250">
            <v>37945</v>
          </cell>
          <cell r="F250">
            <v>557</v>
          </cell>
          <cell r="G250">
            <v>34212</v>
          </cell>
          <cell r="H250">
            <v>1097</v>
          </cell>
          <cell r="I250" t="str">
            <v>деп</v>
          </cell>
          <cell r="J250">
            <v>38492</v>
          </cell>
        </row>
        <row r="251">
          <cell r="A251">
            <v>58341025</v>
          </cell>
          <cell r="B251" t="str">
            <v>АГЕНТСТВО РЕФПЕРЕВОЗОК</v>
          </cell>
          <cell r="C251" t="str">
            <v>ХОВРИНО      (ОКТ)</v>
          </cell>
          <cell r="D251">
            <v>30682</v>
          </cell>
          <cell r="F251">
            <v>0</v>
          </cell>
          <cell r="G251">
            <v>37568</v>
          </cell>
          <cell r="H251">
            <v>1097</v>
          </cell>
          <cell r="I251" t="str">
            <v>деп</v>
          </cell>
          <cell r="J251">
            <v>38115</v>
          </cell>
        </row>
        <row r="252">
          <cell r="A252">
            <v>58341033</v>
          </cell>
          <cell r="B252" t="str">
            <v>АГЕНТСТВО РЕФПЕРЕВОЗОК</v>
          </cell>
          <cell r="C252" t="str">
            <v>ХОВРИНО      (ОКТ)</v>
          </cell>
          <cell r="D252">
            <v>30682</v>
          </cell>
          <cell r="E252">
            <v>37526</v>
          </cell>
          <cell r="F252">
            <v>1097</v>
          </cell>
          <cell r="G252">
            <v>34212</v>
          </cell>
          <cell r="H252">
            <v>1097</v>
          </cell>
          <cell r="I252" t="str">
            <v>деп</v>
          </cell>
          <cell r="J252">
            <v>38073</v>
          </cell>
        </row>
        <row r="253">
          <cell r="A253">
            <v>58341066</v>
          </cell>
          <cell r="B253" t="str">
            <v>АГЕНТСТВО РЕФПЕРЕВОЗОК</v>
          </cell>
          <cell r="C253" t="str">
            <v>ХОВРИНО      (ОКТ)</v>
          </cell>
          <cell r="D253">
            <v>30682</v>
          </cell>
          <cell r="E253">
            <v>37945</v>
          </cell>
          <cell r="F253">
            <v>557</v>
          </cell>
          <cell r="G253">
            <v>34044</v>
          </cell>
          <cell r="H253">
            <v>1097</v>
          </cell>
          <cell r="I253" t="str">
            <v>деп</v>
          </cell>
          <cell r="J253">
            <v>38492</v>
          </cell>
        </row>
        <row r="254">
          <cell r="A254">
            <v>58341082</v>
          </cell>
          <cell r="B254" t="str">
            <v>АГЕНТСТВО РЕФПЕРЕВОЗОК</v>
          </cell>
          <cell r="C254" t="str">
            <v>ХОВРИНО      (ОКТ)</v>
          </cell>
          <cell r="D254">
            <v>30682</v>
          </cell>
          <cell r="E254">
            <v>37796</v>
          </cell>
          <cell r="F254">
            <v>492</v>
          </cell>
          <cell r="G254">
            <v>34212</v>
          </cell>
          <cell r="H254">
            <v>1097</v>
          </cell>
          <cell r="I254" t="str">
            <v>деп</v>
          </cell>
          <cell r="J254">
            <v>38345</v>
          </cell>
        </row>
        <row r="255">
          <cell r="A255">
            <v>58341090</v>
          </cell>
          <cell r="B255" t="str">
            <v>АГЕНТСТВО РЕФПЕРЕВОЗОК</v>
          </cell>
          <cell r="C255" t="str">
            <v>ХОВРИНО      (ОКТ)</v>
          </cell>
          <cell r="D255">
            <v>30682</v>
          </cell>
          <cell r="E255">
            <v>37770</v>
          </cell>
          <cell r="F255">
            <v>492</v>
          </cell>
          <cell r="G255">
            <v>34198</v>
          </cell>
          <cell r="H255">
            <v>1097</v>
          </cell>
          <cell r="I255" t="str">
            <v>деп</v>
          </cell>
          <cell r="J255">
            <v>38320</v>
          </cell>
        </row>
        <row r="256">
          <cell r="A256">
            <v>58341116</v>
          </cell>
          <cell r="B256" t="str">
            <v>АГЕНТСТВО РЕФПЕРЕВОЗОК</v>
          </cell>
          <cell r="C256" t="str">
            <v>ХОВРИНО      (ОКТ)</v>
          </cell>
          <cell r="D256">
            <v>30682</v>
          </cell>
          <cell r="E256">
            <v>37802</v>
          </cell>
          <cell r="F256">
            <v>492</v>
          </cell>
          <cell r="G256">
            <v>34273</v>
          </cell>
          <cell r="H256">
            <v>1097</v>
          </cell>
          <cell r="I256" t="str">
            <v>деп</v>
          </cell>
          <cell r="J256">
            <v>38351</v>
          </cell>
        </row>
        <row r="257">
          <cell r="A257">
            <v>58341124</v>
          </cell>
          <cell r="B257" t="str">
            <v>АГЕНТСТВО РЕФПЕРЕВОЗОК</v>
          </cell>
          <cell r="C257" t="str">
            <v>ХОВРИНО      (ОКТ)</v>
          </cell>
          <cell r="D257">
            <v>30682</v>
          </cell>
          <cell r="E257">
            <v>37772</v>
          </cell>
          <cell r="F257">
            <v>492</v>
          </cell>
          <cell r="G257">
            <v>34150</v>
          </cell>
          <cell r="H257">
            <v>1097</v>
          </cell>
          <cell r="I257" t="str">
            <v>деп</v>
          </cell>
          <cell r="J257">
            <v>38321</v>
          </cell>
        </row>
        <row r="258">
          <cell r="A258">
            <v>58341132</v>
          </cell>
          <cell r="B258" t="str">
            <v>АГЕНТСТВО РЕФПЕРЕВОЗОК</v>
          </cell>
          <cell r="C258" t="str">
            <v>ХОВРИНО      (ОКТ)</v>
          </cell>
          <cell r="D258">
            <v>30682</v>
          </cell>
          <cell r="E258">
            <v>37770</v>
          </cell>
          <cell r="F258">
            <v>492</v>
          </cell>
          <cell r="G258">
            <v>34212</v>
          </cell>
          <cell r="H258">
            <v>1097</v>
          </cell>
          <cell r="I258" t="str">
            <v>деп</v>
          </cell>
          <cell r="J258">
            <v>38320</v>
          </cell>
        </row>
        <row r="259">
          <cell r="A259">
            <v>58341165</v>
          </cell>
          <cell r="B259" t="str">
            <v>АГЕНТСТВО РЕФПЕРЕВОЗОК</v>
          </cell>
          <cell r="C259" t="str">
            <v>ХОВРИНО      (ОКТ)</v>
          </cell>
          <cell r="D259">
            <v>30682</v>
          </cell>
          <cell r="E259">
            <v>37968</v>
          </cell>
          <cell r="F259">
            <v>492</v>
          </cell>
          <cell r="G259">
            <v>34212</v>
          </cell>
          <cell r="H259">
            <v>1097</v>
          </cell>
          <cell r="I259" t="str">
            <v>деп</v>
          </cell>
          <cell r="J259">
            <v>38516</v>
          </cell>
        </row>
        <row r="260">
          <cell r="A260">
            <v>58341173</v>
          </cell>
          <cell r="B260" t="str">
            <v>АГЕНТСТВО РЕФПЕРЕВОЗОК</v>
          </cell>
          <cell r="C260" t="str">
            <v>ХОВРИНО      (ОКТ)</v>
          </cell>
          <cell r="D260">
            <v>30682</v>
          </cell>
          <cell r="E260">
            <v>37785</v>
          </cell>
          <cell r="F260">
            <v>492</v>
          </cell>
          <cell r="G260">
            <v>34150</v>
          </cell>
          <cell r="H260">
            <v>1097</v>
          </cell>
          <cell r="I260" t="str">
            <v>деп</v>
          </cell>
          <cell r="J260">
            <v>38334</v>
          </cell>
        </row>
        <row r="261">
          <cell r="A261">
            <v>58341181</v>
          </cell>
          <cell r="B261" t="str">
            <v>АГЕНТСТВО РЕФПЕРЕВОЗОК</v>
          </cell>
          <cell r="C261" t="str">
            <v>ХОВРИНО      (ОКТ)</v>
          </cell>
          <cell r="D261">
            <v>30682</v>
          </cell>
          <cell r="E261">
            <v>37770</v>
          </cell>
          <cell r="F261">
            <v>492</v>
          </cell>
          <cell r="G261">
            <v>34239</v>
          </cell>
          <cell r="H261">
            <v>1097</v>
          </cell>
          <cell r="I261" t="str">
            <v>деп</v>
          </cell>
          <cell r="J261">
            <v>38320</v>
          </cell>
        </row>
        <row r="262">
          <cell r="A262">
            <v>58341199</v>
          </cell>
          <cell r="B262" t="str">
            <v>АГЕНТСТВО РЕФПЕРЕВОЗОК</v>
          </cell>
          <cell r="C262" t="str">
            <v>ХОВРИНО      (ОКТ)</v>
          </cell>
          <cell r="D262">
            <v>30682</v>
          </cell>
          <cell r="E262">
            <v>37770</v>
          </cell>
          <cell r="F262">
            <v>492</v>
          </cell>
          <cell r="G262">
            <v>34212</v>
          </cell>
          <cell r="H262">
            <v>1097</v>
          </cell>
          <cell r="I262" t="str">
            <v>деп</v>
          </cell>
          <cell r="J262">
            <v>38320</v>
          </cell>
        </row>
        <row r="263">
          <cell r="A263">
            <v>58341207</v>
          </cell>
          <cell r="B263" t="str">
            <v>АГЕНТСТВО РЕФПЕРЕВОЗОК</v>
          </cell>
          <cell r="C263" t="str">
            <v>ХОВРИНО      (ОКТ)</v>
          </cell>
          <cell r="D263">
            <v>31048</v>
          </cell>
          <cell r="F263">
            <v>0</v>
          </cell>
          <cell r="G263">
            <v>37560</v>
          </cell>
          <cell r="H263">
            <v>1097</v>
          </cell>
          <cell r="I263" t="str">
            <v>деп</v>
          </cell>
          <cell r="J263">
            <v>38107</v>
          </cell>
        </row>
        <row r="264">
          <cell r="A264">
            <v>58341215</v>
          </cell>
          <cell r="B264" t="str">
            <v>АГЕНТСТВО РЕФПЕРЕВОЗОК</v>
          </cell>
          <cell r="C264" t="str">
            <v>ХОВРИНО      (ОКТ)</v>
          </cell>
          <cell r="D264">
            <v>31048</v>
          </cell>
          <cell r="F264">
            <v>0</v>
          </cell>
          <cell r="G264">
            <v>37546</v>
          </cell>
          <cell r="H264">
            <v>1097</v>
          </cell>
          <cell r="I264" t="str">
            <v>деп</v>
          </cell>
          <cell r="J264">
            <v>38094</v>
          </cell>
        </row>
        <row r="265">
          <cell r="A265">
            <v>58341223</v>
          </cell>
          <cell r="B265" t="str">
            <v>АГЕНТСТВО РЕФПЕРЕВОЗОК</v>
          </cell>
          <cell r="C265" t="str">
            <v>ХОВРИНО      (ОКТ)</v>
          </cell>
          <cell r="D265">
            <v>31048</v>
          </cell>
          <cell r="F265">
            <v>0</v>
          </cell>
          <cell r="G265">
            <v>37582</v>
          </cell>
          <cell r="H265">
            <v>1097</v>
          </cell>
          <cell r="I265" t="str">
            <v>деп</v>
          </cell>
          <cell r="J265">
            <v>38129</v>
          </cell>
        </row>
        <row r="266">
          <cell r="A266">
            <v>58341231</v>
          </cell>
          <cell r="B266" t="str">
            <v>АГЕНТСТВО РЕФПЕРЕВОЗОК</v>
          </cell>
          <cell r="C266" t="str">
            <v>ХОВРИНО      (ОКТ)</v>
          </cell>
          <cell r="D266">
            <v>31048</v>
          </cell>
          <cell r="F266">
            <v>0</v>
          </cell>
          <cell r="G266">
            <v>37575</v>
          </cell>
          <cell r="H266">
            <v>1097</v>
          </cell>
          <cell r="I266" t="str">
            <v>деп</v>
          </cell>
          <cell r="J266">
            <v>38122</v>
          </cell>
        </row>
        <row r="267">
          <cell r="A267">
            <v>58341249</v>
          </cell>
          <cell r="B267" t="str">
            <v>АГЕНТСТВО РЕФПЕРЕВОЗОК</v>
          </cell>
          <cell r="C267" t="str">
            <v>ХОВРИНО      (ОКТ)</v>
          </cell>
          <cell r="D267">
            <v>31048</v>
          </cell>
          <cell r="F267">
            <v>0</v>
          </cell>
          <cell r="G267">
            <v>37582</v>
          </cell>
          <cell r="H267">
            <v>1097</v>
          </cell>
          <cell r="I267" t="str">
            <v>деп</v>
          </cell>
          <cell r="J267">
            <v>38129</v>
          </cell>
        </row>
        <row r="268">
          <cell r="A268">
            <v>58341256</v>
          </cell>
          <cell r="B268" t="str">
            <v>АГЕНТСТВО РЕФПЕРЕВОЗОК</v>
          </cell>
          <cell r="C268" t="str">
            <v>ХОВРИНО      (ОКТ)</v>
          </cell>
          <cell r="D268">
            <v>31048</v>
          </cell>
          <cell r="F268">
            <v>0</v>
          </cell>
          <cell r="G268">
            <v>37566</v>
          </cell>
          <cell r="H268">
            <v>1097</v>
          </cell>
          <cell r="I268" t="str">
            <v>деп</v>
          </cell>
          <cell r="J268">
            <v>38113</v>
          </cell>
        </row>
        <row r="269">
          <cell r="A269">
            <v>58341264</v>
          </cell>
          <cell r="B269" t="str">
            <v>АГЕНТСТВО РЕФПЕРЕВОЗОК</v>
          </cell>
          <cell r="C269" t="str">
            <v>ХОВРИНО      (ОКТ)</v>
          </cell>
          <cell r="D269">
            <v>31048</v>
          </cell>
          <cell r="F269">
            <v>0</v>
          </cell>
          <cell r="G269">
            <v>37533</v>
          </cell>
          <cell r="H269">
            <v>1097</v>
          </cell>
          <cell r="I269" t="str">
            <v>деп</v>
          </cell>
          <cell r="J269">
            <v>38081</v>
          </cell>
        </row>
        <row r="270">
          <cell r="A270">
            <v>58341272</v>
          </cell>
          <cell r="B270" t="str">
            <v>АГЕНТСТВО РЕФПЕРЕВОЗОК</v>
          </cell>
          <cell r="C270" t="str">
            <v>ХОВРИНО      (ОКТ)</v>
          </cell>
          <cell r="D270">
            <v>31048</v>
          </cell>
          <cell r="F270">
            <v>0</v>
          </cell>
          <cell r="G270">
            <v>37546</v>
          </cell>
          <cell r="H270">
            <v>1097</v>
          </cell>
          <cell r="I270" t="str">
            <v>деп</v>
          </cell>
          <cell r="J270">
            <v>38094</v>
          </cell>
        </row>
        <row r="271">
          <cell r="A271">
            <v>58341280</v>
          </cell>
          <cell r="B271" t="str">
            <v>АГЕНТСТВО РЕФПЕРЕВОЗОК</v>
          </cell>
          <cell r="C271" t="str">
            <v>ХОВРИНО      (ОКТ)</v>
          </cell>
          <cell r="D271">
            <v>31048</v>
          </cell>
          <cell r="F271">
            <v>0</v>
          </cell>
          <cell r="G271">
            <v>37578</v>
          </cell>
          <cell r="H271">
            <v>1097</v>
          </cell>
          <cell r="I271" t="str">
            <v>деп</v>
          </cell>
          <cell r="J271">
            <v>38125</v>
          </cell>
        </row>
        <row r="272">
          <cell r="A272">
            <v>58341298</v>
          </cell>
          <cell r="B272" t="str">
            <v>АГЕНТСТВО РЕФПЕРЕВОЗОК</v>
          </cell>
          <cell r="C272" t="str">
            <v>ХОВРИНО      (ОКТ)</v>
          </cell>
          <cell r="D272">
            <v>31048</v>
          </cell>
          <cell r="F272">
            <v>0</v>
          </cell>
          <cell r="G272">
            <v>37554</v>
          </cell>
          <cell r="H272">
            <v>1097</v>
          </cell>
          <cell r="I272" t="str">
            <v>деп</v>
          </cell>
          <cell r="J272">
            <v>38102</v>
          </cell>
        </row>
        <row r="273">
          <cell r="A273">
            <v>58341306</v>
          </cell>
          <cell r="B273" t="str">
            <v>АГЕНТСТВО РЕФПЕРЕВОЗОК</v>
          </cell>
          <cell r="C273" t="str">
            <v>ХОВРИНО      (ОКТ)</v>
          </cell>
          <cell r="D273">
            <v>31048</v>
          </cell>
          <cell r="F273">
            <v>0</v>
          </cell>
          <cell r="G273">
            <v>37582</v>
          </cell>
          <cell r="H273">
            <v>1097</v>
          </cell>
          <cell r="I273" t="str">
            <v>деп</v>
          </cell>
          <cell r="J273">
            <v>38129</v>
          </cell>
        </row>
        <row r="274">
          <cell r="A274">
            <v>58341314</v>
          </cell>
          <cell r="B274" t="str">
            <v>АГЕНТСТВО РЕФПЕРЕВОЗОК</v>
          </cell>
          <cell r="C274" t="str">
            <v>ХОВРИНО      (ОКТ)</v>
          </cell>
          <cell r="D274">
            <v>31048</v>
          </cell>
          <cell r="F274">
            <v>0</v>
          </cell>
          <cell r="G274">
            <v>37537</v>
          </cell>
          <cell r="H274">
            <v>1097</v>
          </cell>
          <cell r="I274" t="str">
            <v>деп</v>
          </cell>
          <cell r="J274">
            <v>38085</v>
          </cell>
        </row>
        <row r="275">
          <cell r="A275">
            <v>58341322</v>
          </cell>
          <cell r="B275" t="str">
            <v>АГЕНТСТВО РЕФПЕРЕВОЗОК</v>
          </cell>
          <cell r="C275" t="str">
            <v>ХОВРИНО      (ОКТ)</v>
          </cell>
          <cell r="D275">
            <v>31048</v>
          </cell>
          <cell r="F275">
            <v>0</v>
          </cell>
          <cell r="G275">
            <v>37554</v>
          </cell>
          <cell r="H275">
            <v>1097</v>
          </cell>
          <cell r="I275" t="str">
            <v>деп</v>
          </cell>
          <cell r="J275">
            <v>38102</v>
          </cell>
        </row>
        <row r="276">
          <cell r="A276">
            <v>58341330</v>
          </cell>
          <cell r="B276" t="str">
            <v>АГЕНТСТВО РЕФПЕРЕВОЗОК</v>
          </cell>
          <cell r="C276" t="str">
            <v>ХОВРИНО      (ОКТ)</v>
          </cell>
          <cell r="D276">
            <v>31048</v>
          </cell>
          <cell r="F276">
            <v>0</v>
          </cell>
          <cell r="G276">
            <v>37537</v>
          </cell>
          <cell r="H276">
            <v>1097</v>
          </cell>
          <cell r="I276" t="str">
            <v>деп</v>
          </cell>
          <cell r="J276">
            <v>38085</v>
          </cell>
        </row>
        <row r="277">
          <cell r="A277">
            <v>58341348</v>
          </cell>
          <cell r="B277" t="str">
            <v>АГЕНТСТВО РЕФПЕРЕВОЗОК</v>
          </cell>
          <cell r="C277" t="str">
            <v>ХОВРИНО      (ОКТ)</v>
          </cell>
          <cell r="D277">
            <v>31048</v>
          </cell>
          <cell r="F277">
            <v>0</v>
          </cell>
          <cell r="G277">
            <v>37533</v>
          </cell>
          <cell r="H277">
            <v>1097</v>
          </cell>
          <cell r="I277" t="str">
            <v>деп</v>
          </cell>
          <cell r="J277">
            <v>38081</v>
          </cell>
        </row>
        <row r="278">
          <cell r="A278">
            <v>58341355</v>
          </cell>
          <cell r="B278" t="str">
            <v>АГЕНТСТВО РЕФПЕРЕВОЗОК</v>
          </cell>
          <cell r="C278" t="str">
            <v>ХОВРИНО      (ОКТ)</v>
          </cell>
          <cell r="D278">
            <v>31048</v>
          </cell>
          <cell r="F278">
            <v>0</v>
          </cell>
          <cell r="G278">
            <v>37568</v>
          </cell>
          <cell r="H278">
            <v>1097</v>
          </cell>
          <cell r="I278" t="str">
            <v>деп</v>
          </cell>
          <cell r="J278">
            <v>38115</v>
          </cell>
        </row>
        <row r="279">
          <cell r="A279">
            <v>58341363</v>
          </cell>
          <cell r="B279" t="str">
            <v>АГЕНТСТВО РЕФПЕРЕВОЗОК</v>
          </cell>
          <cell r="C279" t="str">
            <v>ХОВРИНО      (ОКТ)</v>
          </cell>
          <cell r="D279">
            <v>31048</v>
          </cell>
          <cell r="F279">
            <v>0</v>
          </cell>
          <cell r="G279">
            <v>37554</v>
          </cell>
          <cell r="H279">
            <v>1097</v>
          </cell>
          <cell r="I279" t="str">
            <v>деп</v>
          </cell>
          <cell r="J279">
            <v>38102</v>
          </cell>
        </row>
        <row r="280">
          <cell r="A280">
            <v>58341371</v>
          </cell>
          <cell r="B280" t="str">
            <v>АГЕНТСТВО РЕФПЕРЕВОЗОК</v>
          </cell>
          <cell r="C280" t="str">
            <v>ХОВРИНО      (ОКТ)</v>
          </cell>
          <cell r="D280">
            <v>31048</v>
          </cell>
          <cell r="F280">
            <v>0</v>
          </cell>
          <cell r="G280">
            <v>37582</v>
          </cell>
          <cell r="H280">
            <v>1097</v>
          </cell>
          <cell r="I280" t="str">
            <v>деп</v>
          </cell>
          <cell r="J280">
            <v>38129</v>
          </cell>
        </row>
        <row r="281">
          <cell r="A281">
            <v>58341389</v>
          </cell>
          <cell r="B281" t="str">
            <v>АГЕНТСТВО РЕФПЕРЕВОЗОК</v>
          </cell>
          <cell r="C281" t="str">
            <v>ХОВРИНО      (ОКТ)</v>
          </cell>
          <cell r="D281">
            <v>31048</v>
          </cell>
          <cell r="F281">
            <v>0</v>
          </cell>
          <cell r="G281">
            <v>37560</v>
          </cell>
          <cell r="H281">
            <v>1097</v>
          </cell>
          <cell r="I281" t="str">
            <v>деп</v>
          </cell>
          <cell r="J281">
            <v>38107</v>
          </cell>
        </row>
        <row r="282">
          <cell r="A282">
            <v>58341397</v>
          </cell>
          <cell r="B282" t="str">
            <v>АГЕНТСТВО РЕФПЕРЕВОЗОК</v>
          </cell>
          <cell r="C282" t="str">
            <v>ХОВРИНО      (ОКТ)</v>
          </cell>
          <cell r="D282">
            <v>31048</v>
          </cell>
          <cell r="F282">
            <v>0</v>
          </cell>
          <cell r="G282">
            <v>37546</v>
          </cell>
          <cell r="H282">
            <v>1097</v>
          </cell>
          <cell r="I282" t="str">
            <v>деп</v>
          </cell>
          <cell r="J282">
            <v>38094</v>
          </cell>
        </row>
        <row r="283">
          <cell r="A283">
            <v>58341405</v>
          </cell>
          <cell r="B283" t="str">
            <v>АГЕНТСТВО РЕФПЕРЕВОЗОК</v>
          </cell>
          <cell r="C283" t="str">
            <v>ХОВРИНО      (ОКТ)</v>
          </cell>
          <cell r="D283">
            <v>31048</v>
          </cell>
          <cell r="F283">
            <v>0</v>
          </cell>
          <cell r="G283">
            <v>37559</v>
          </cell>
          <cell r="H283">
            <v>1097</v>
          </cell>
          <cell r="I283" t="str">
            <v>деп</v>
          </cell>
          <cell r="J283">
            <v>38107</v>
          </cell>
        </row>
        <row r="284">
          <cell r="A284">
            <v>58341413</v>
          </cell>
          <cell r="B284" t="str">
            <v>АГЕНТСТВО РЕФПЕРЕВОЗОК</v>
          </cell>
          <cell r="C284" t="str">
            <v>ХОВРИНО      (ОКТ)</v>
          </cell>
          <cell r="D284">
            <v>31048</v>
          </cell>
          <cell r="F284">
            <v>0</v>
          </cell>
          <cell r="G284">
            <v>37566</v>
          </cell>
          <cell r="H284">
            <v>1097</v>
          </cell>
          <cell r="I284" t="str">
            <v>деп</v>
          </cell>
          <cell r="J284">
            <v>38113</v>
          </cell>
        </row>
        <row r="285">
          <cell r="A285">
            <v>58341421</v>
          </cell>
          <cell r="B285" t="str">
            <v>АГЕНТСТВО РЕФПЕРЕВОЗОК</v>
          </cell>
          <cell r="C285" t="str">
            <v>ХОВРИНО      (ОКТ)</v>
          </cell>
          <cell r="D285">
            <v>31048</v>
          </cell>
          <cell r="F285">
            <v>0</v>
          </cell>
          <cell r="G285">
            <v>37546</v>
          </cell>
          <cell r="H285">
            <v>1097</v>
          </cell>
          <cell r="I285" t="str">
            <v>деп</v>
          </cell>
          <cell r="J285">
            <v>38094</v>
          </cell>
        </row>
        <row r="286">
          <cell r="A286">
            <v>58341439</v>
          </cell>
          <cell r="B286" t="str">
            <v>АГЕНТСТВО РЕФПЕРЕВОЗОК</v>
          </cell>
          <cell r="C286" t="str">
            <v>ХОВРИНО      (ОКТ)</v>
          </cell>
          <cell r="D286">
            <v>31048</v>
          </cell>
          <cell r="F286">
            <v>0</v>
          </cell>
          <cell r="G286">
            <v>37533</v>
          </cell>
          <cell r="H286">
            <v>1097</v>
          </cell>
          <cell r="I286" t="str">
            <v>деп</v>
          </cell>
          <cell r="J286">
            <v>38081</v>
          </cell>
        </row>
        <row r="287">
          <cell r="A287">
            <v>58341447</v>
          </cell>
          <cell r="B287" t="str">
            <v>АГЕНТСТВО РЕФПЕРЕВОЗОК</v>
          </cell>
          <cell r="C287" t="str">
            <v>ХОВРИНО      (ОКТ)</v>
          </cell>
          <cell r="D287">
            <v>31048</v>
          </cell>
          <cell r="F287">
            <v>0</v>
          </cell>
          <cell r="G287">
            <v>37582</v>
          </cell>
          <cell r="H287">
            <v>1097</v>
          </cell>
          <cell r="I287" t="str">
            <v>деп</v>
          </cell>
          <cell r="J287">
            <v>38129</v>
          </cell>
        </row>
        <row r="288">
          <cell r="A288">
            <v>58341454</v>
          </cell>
          <cell r="B288" t="str">
            <v>АГЕНТСТВО РЕФПЕРЕВОЗОК</v>
          </cell>
          <cell r="C288" t="str">
            <v>ХОВРИНО      (ОКТ)</v>
          </cell>
          <cell r="D288">
            <v>31048</v>
          </cell>
          <cell r="F288">
            <v>0</v>
          </cell>
          <cell r="G288">
            <v>37559</v>
          </cell>
          <cell r="H288">
            <v>1097</v>
          </cell>
          <cell r="I288" t="str">
            <v>деп</v>
          </cell>
          <cell r="J288">
            <v>38107</v>
          </cell>
        </row>
        <row r="289">
          <cell r="A289">
            <v>58341462</v>
          </cell>
          <cell r="B289" t="str">
            <v>АГЕНТСТВО РЕФПЕРЕВОЗОК</v>
          </cell>
          <cell r="C289" t="str">
            <v>ХОВРИНО      (ОКТ)</v>
          </cell>
          <cell r="D289">
            <v>31048</v>
          </cell>
          <cell r="F289">
            <v>0</v>
          </cell>
          <cell r="G289">
            <v>37566</v>
          </cell>
          <cell r="H289">
            <v>1097</v>
          </cell>
          <cell r="I289" t="str">
            <v>деп</v>
          </cell>
          <cell r="J289">
            <v>38113</v>
          </cell>
        </row>
        <row r="290">
          <cell r="A290">
            <v>58341470</v>
          </cell>
          <cell r="B290" t="str">
            <v>АГЕНТСТВО РЕФПЕРЕВОЗОК</v>
          </cell>
          <cell r="C290" t="str">
            <v>ХОВРИНО      (ОКТ)</v>
          </cell>
          <cell r="D290">
            <v>31048</v>
          </cell>
          <cell r="F290">
            <v>0</v>
          </cell>
          <cell r="G290">
            <v>37559</v>
          </cell>
          <cell r="H290">
            <v>1097</v>
          </cell>
          <cell r="I290" t="str">
            <v>деп</v>
          </cell>
          <cell r="J290">
            <v>38107</v>
          </cell>
        </row>
        <row r="291">
          <cell r="A291">
            <v>58341488</v>
          </cell>
          <cell r="B291" t="str">
            <v>АГЕНТСТВО РЕФПЕРЕВОЗОК</v>
          </cell>
          <cell r="C291" t="str">
            <v>ХОВРИНО      (ОКТ)</v>
          </cell>
          <cell r="D291">
            <v>31048</v>
          </cell>
          <cell r="F291">
            <v>0</v>
          </cell>
          <cell r="G291">
            <v>37568</v>
          </cell>
          <cell r="H291">
            <v>1097</v>
          </cell>
          <cell r="I291" t="str">
            <v>деп</v>
          </cell>
          <cell r="J291">
            <v>38115</v>
          </cell>
        </row>
        <row r="292">
          <cell r="A292">
            <v>58341496</v>
          </cell>
          <cell r="B292" t="str">
            <v>АГЕНТСТВО РЕФПЕРЕВОЗОК</v>
          </cell>
          <cell r="C292" t="str">
            <v>ХОВРИНО      (ОКТ)</v>
          </cell>
          <cell r="D292">
            <v>31048</v>
          </cell>
          <cell r="F292">
            <v>0</v>
          </cell>
          <cell r="G292">
            <v>37573</v>
          </cell>
          <cell r="H292">
            <v>1097</v>
          </cell>
          <cell r="I292" t="str">
            <v>деп</v>
          </cell>
          <cell r="J292">
            <v>38120</v>
          </cell>
        </row>
        <row r="293">
          <cell r="A293">
            <v>58341504</v>
          </cell>
          <cell r="B293" t="str">
            <v>АГЕНТСТВО РЕФПЕРЕВОЗОК</v>
          </cell>
          <cell r="C293" t="str">
            <v>ХОВРИНО      (ОКТ)</v>
          </cell>
          <cell r="D293">
            <v>31048</v>
          </cell>
          <cell r="F293">
            <v>0</v>
          </cell>
          <cell r="G293">
            <v>37582</v>
          </cell>
          <cell r="H293">
            <v>1097</v>
          </cell>
          <cell r="I293" t="str">
            <v>деп</v>
          </cell>
          <cell r="J293">
            <v>38129</v>
          </cell>
        </row>
        <row r="294">
          <cell r="A294">
            <v>58341512</v>
          </cell>
          <cell r="B294" t="str">
            <v>АГЕНТСТВО РЕФПЕРЕВОЗОК</v>
          </cell>
          <cell r="C294" t="str">
            <v>ХОВРИНО      (ОКТ)</v>
          </cell>
          <cell r="D294">
            <v>31048</v>
          </cell>
          <cell r="F294">
            <v>0</v>
          </cell>
          <cell r="G294">
            <v>37546</v>
          </cell>
          <cell r="H294">
            <v>1097</v>
          </cell>
          <cell r="I294" t="str">
            <v>деп</v>
          </cell>
          <cell r="J294">
            <v>38094</v>
          </cell>
        </row>
        <row r="295">
          <cell r="A295">
            <v>58341520</v>
          </cell>
          <cell r="B295" t="str">
            <v>АГЕНТСТВО РЕФПЕРЕВОЗОК</v>
          </cell>
          <cell r="C295" t="str">
            <v>ХОВРИНО      (ОКТ)</v>
          </cell>
          <cell r="D295">
            <v>31048</v>
          </cell>
          <cell r="F295">
            <v>0</v>
          </cell>
          <cell r="G295">
            <v>37573</v>
          </cell>
          <cell r="H295">
            <v>1097</v>
          </cell>
          <cell r="I295" t="str">
            <v>деп</v>
          </cell>
          <cell r="J295">
            <v>38120</v>
          </cell>
        </row>
        <row r="296">
          <cell r="A296">
            <v>58341538</v>
          </cell>
          <cell r="B296" t="str">
            <v>АГЕНТСТВО РЕФПЕРЕВОЗОК</v>
          </cell>
          <cell r="C296" t="str">
            <v>ХОВРИНО      (ОКТ)</v>
          </cell>
          <cell r="D296">
            <v>31048</v>
          </cell>
          <cell r="F296">
            <v>0</v>
          </cell>
          <cell r="G296">
            <v>37537</v>
          </cell>
          <cell r="H296">
            <v>1097</v>
          </cell>
          <cell r="I296" t="str">
            <v>деп</v>
          </cell>
          <cell r="J296">
            <v>38085</v>
          </cell>
        </row>
        <row r="297">
          <cell r="A297">
            <v>58341546</v>
          </cell>
          <cell r="B297" t="str">
            <v>АГЕНТСТВО РЕФПЕРЕВОЗОК</v>
          </cell>
          <cell r="C297" t="str">
            <v>ХОВРИНО      (ОКТ)</v>
          </cell>
          <cell r="D297">
            <v>31048</v>
          </cell>
          <cell r="F297">
            <v>0</v>
          </cell>
          <cell r="G297">
            <v>37568</v>
          </cell>
          <cell r="H297">
            <v>1097</v>
          </cell>
          <cell r="I297" t="str">
            <v>деп</v>
          </cell>
          <cell r="J297">
            <v>38115</v>
          </cell>
        </row>
        <row r="298">
          <cell r="A298">
            <v>58341553</v>
          </cell>
          <cell r="B298" t="str">
            <v>АГЕНТСТВО РЕФПЕРЕВОЗОК</v>
          </cell>
          <cell r="C298" t="str">
            <v>ХОВРИНО      (ОКТ)</v>
          </cell>
          <cell r="D298">
            <v>31048</v>
          </cell>
          <cell r="F298">
            <v>0</v>
          </cell>
          <cell r="G298">
            <v>37553</v>
          </cell>
          <cell r="H298">
            <v>1097</v>
          </cell>
          <cell r="I298" t="str">
            <v>деп</v>
          </cell>
          <cell r="J298">
            <v>38101</v>
          </cell>
        </row>
        <row r="299">
          <cell r="A299">
            <v>58341561</v>
          </cell>
          <cell r="B299" t="str">
            <v>АГЕНТСТВО РЕФПЕРЕВОЗОК</v>
          </cell>
          <cell r="C299" t="str">
            <v>ХОВРИНО      (ОКТ)</v>
          </cell>
          <cell r="D299">
            <v>31048</v>
          </cell>
          <cell r="F299">
            <v>0</v>
          </cell>
          <cell r="G299">
            <v>37554</v>
          </cell>
          <cell r="H299">
            <v>1097</v>
          </cell>
          <cell r="I299" t="str">
            <v>деп</v>
          </cell>
          <cell r="J299">
            <v>38102</v>
          </cell>
        </row>
        <row r="300">
          <cell r="A300">
            <v>58341579</v>
          </cell>
          <cell r="B300" t="str">
            <v>АГЕНТСТВО РЕФПЕРЕВОЗОК</v>
          </cell>
          <cell r="C300" t="str">
            <v>ХОВРИНО      (ОКТ)</v>
          </cell>
          <cell r="D300">
            <v>31048</v>
          </cell>
          <cell r="F300">
            <v>0</v>
          </cell>
          <cell r="G300">
            <v>37582</v>
          </cell>
          <cell r="H300">
            <v>1097</v>
          </cell>
          <cell r="I300" t="str">
            <v>деп</v>
          </cell>
          <cell r="J300">
            <v>38129</v>
          </cell>
        </row>
        <row r="301">
          <cell r="A301">
            <v>58341587</v>
          </cell>
          <cell r="B301" t="str">
            <v>АГЕНТСТВО РЕФПЕРЕВОЗОК</v>
          </cell>
          <cell r="C301" t="str">
            <v>ХОВРИНО      (ОКТ)</v>
          </cell>
          <cell r="D301">
            <v>31048</v>
          </cell>
          <cell r="F301">
            <v>0</v>
          </cell>
          <cell r="G301">
            <v>37582</v>
          </cell>
          <cell r="H301">
            <v>1097</v>
          </cell>
          <cell r="I301" t="str">
            <v>деп</v>
          </cell>
          <cell r="J301">
            <v>38129</v>
          </cell>
        </row>
        <row r="302">
          <cell r="A302">
            <v>58341595</v>
          </cell>
          <cell r="B302" t="str">
            <v>АГЕНТСТВО РЕФПЕРЕВОЗОК</v>
          </cell>
          <cell r="C302" t="str">
            <v>ХОВРИНО      (ОКТ)</v>
          </cell>
          <cell r="D302">
            <v>31048</v>
          </cell>
          <cell r="F302">
            <v>0</v>
          </cell>
          <cell r="G302">
            <v>37566</v>
          </cell>
          <cell r="H302">
            <v>1097</v>
          </cell>
          <cell r="I302" t="str">
            <v>деп</v>
          </cell>
          <cell r="J302">
            <v>38113</v>
          </cell>
        </row>
        <row r="303">
          <cell r="A303">
            <v>58341603</v>
          </cell>
          <cell r="B303" t="str">
            <v>АГЕНТСТВО РЕФПЕРЕВОЗОК</v>
          </cell>
          <cell r="C303" t="str">
            <v>ХОВРИНО      (ОКТ)</v>
          </cell>
          <cell r="D303">
            <v>31048</v>
          </cell>
          <cell r="F303">
            <v>0</v>
          </cell>
          <cell r="G303">
            <v>37573</v>
          </cell>
          <cell r="H303">
            <v>1097</v>
          </cell>
          <cell r="I303" t="str">
            <v>деп</v>
          </cell>
          <cell r="J303">
            <v>38120</v>
          </cell>
        </row>
        <row r="304">
          <cell r="A304">
            <v>58341611</v>
          </cell>
          <cell r="B304" t="str">
            <v>АГЕНТСТВО РЕФПЕРЕВОЗОК</v>
          </cell>
          <cell r="C304" t="str">
            <v>ХОВРИНО      (ОКТ)</v>
          </cell>
          <cell r="D304">
            <v>31048</v>
          </cell>
          <cell r="F304">
            <v>0</v>
          </cell>
          <cell r="G304">
            <v>37582</v>
          </cell>
          <cell r="H304">
            <v>1097</v>
          </cell>
          <cell r="I304" t="str">
            <v>деп</v>
          </cell>
          <cell r="J304">
            <v>38129</v>
          </cell>
        </row>
        <row r="305">
          <cell r="A305">
            <v>58341629</v>
          </cell>
          <cell r="B305" t="str">
            <v>АГЕНТСТВО РЕФПЕРЕВОЗОК</v>
          </cell>
          <cell r="C305" t="str">
            <v>ХОВРИНО      (ОКТ)</v>
          </cell>
          <cell r="D305">
            <v>31413</v>
          </cell>
          <cell r="F305">
            <v>0</v>
          </cell>
          <cell r="G305">
            <v>37582</v>
          </cell>
          <cell r="H305">
            <v>1097</v>
          </cell>
          <cell r="I305" t="str">
            <v>деп</v>
          </cell>
          <cell r="J305">
            <v>38129</v>
          </cell>
        </row>
        <row r="306">
          <cell r="A306">
            <v>58341637</v>
          </cell>
          <cell r="B306" t="str">
            <v>АГЕНТСТВО РЕФПЕРЕВОЗОК</v>
          </cell>
          <cell r="C306" t="str">
            <v>ХОВРИНО      (ОКТ)</v>
          </cell>
          <cell r="D306">
            <v>31413</v>
          </cell>
          <cell r="F306">
            <v>0</v>
          </cell>
          <cell r="G306">
            <v>37573</v>
          </cell>
          <cell r="H306">
            <v>1097</v>
          </cell>
          <cell r="I306" t="str">
            <v>деп</v>
          </cell>
          <cell r="J306">
            <v>38120</v>
          </cell>
        </row>
        <row r="307">
          <cell r="A307">
            <v>58341645</v>
          </cell>
          <cell r="B307" t="str">
            <v>АГЕНТСТВО РЕФПЕРЕВОЗОК</v>
          </cell>
          <cell r="C307" t="str">
            <v>ХОВРИНО      (ОКТ)</v>
          </cell>
          <cell r="D307">
            <v>31413</v>
          </cell>
          <cell r="F307">
            <v>0</v>
          </cell>
          <cell r="G307">
            <v>37546</v>
          </cell>
          <cell r="H307">
            <v>1097</v>
          </cell>
          <cell r="I307" t="str">
            <v>деп</v>
          </cell>
          <cell r="J307">
            <v>38094</v>
          </cell>
        </row>
        <row r="308">
          <cell r="A308">
            <v>58341652</v>
          </cell>
          <cell r="B308" t="str">
            <v>АГЕНТСТВО РЕФПЕРЕВОЗОК</v>
          </cell>
          <cell r="C308" t="str">
            <v>ХОВРИНО      (ОКТ)</v>
          </cell>
          <cell r="D308">
            <v>31413</v>
          </cell>
          <cell r="F308">
            <v>0</v>
          </cell>
          <cell r="G308">
            <v>37533</v>
          </cell>
          <cell r="H308">
            <v>1097</v>
          </cell>
          <cell r="I308" t="str">
            <v>деп</v>
          </cell>
          <cell r="J308">
            <v>38081</v>
          </cell>
        </row>
        <row r="309">
          <cell r="A309">
            <v>58341660</v>
          </cell>
          <cell r="B309" t="str">
            <v>АГЕНТСТВО РЕФПЕРЕВОЗОК</v>
          </cell>
          <cell r="C309" t="str">
            <v>ХОВРИНО      (ОКТ)</v>
          </cell>
          <cell r="D309">
            <v>31413</v>
          </cell>
          <cell r="F309">
            <v>0</v>
          </cell>
          <cell r="G309">
            <v>37582</v>
          </cell>
          <cell r="H309">
            <v>1097</v>
          </cell>
          <cell r="I309" t="str">
            <v>деп</v>
          </cell>
          <cell r="J309">
            <v>38129</v>
          </cell>
        </row>
        <row r="310">
          <cell r="A310">
            <v>58341678</v>
          </cell>
          <cell r="B310" t="str">
            <v>АГЕНТСТВО РЕФПЕРЕВОЗОК</v>
          </cell>
          <cell r="C310" t="str">
            <v>ХОВРИНО      (ОКТ)</v>
          </cell>
          <cell r="D310">
            <v>31413</v>
          </cell>
          <cell r="F310">
            <v>0</v>
          </cell>
          <cell r="G310">
            <v>37578</v>
          </cell>
          <cell r="H310">
            <v>1097</v>
          </cell>
          <cell r="I310" t="str">
            <v>деп</v>
          </cell>
          <cell r="J310">
            <v>38125</v>
          </cell>
        </row>
        <row r="311">
          <cell r="A311">
            <v>58341686</v>
          </cell>
          <cell r="B311" t="str">
            <v>АГЕНТСТВО РЕФПЕРЕВОЗОК</v>
          </cell>
          <cell r="C311" t="str">
            <v>ХОВРИНО      (ОКТ)</v>
          </cell>
          <cell r="D311">
            <v>31413</v>
          </cell>
          <cell r="F311">
            <v>0</v>
          </cell>
          <cell r="G311">
            <v>37553</v>
          </cell>
          <cell r="H311">
            <v>1097</v>
          </cell>
          <cell r="I311" t="str">
            <v>деп</v>
          </cell>
          <cell r="J311">
            <v>38101</v>
          </cell>
        </row>
        <row r="312">
          <cell r="A312">
            <v>58341694</v>
          </cell>
          <cell r="B312" t="str">
            <v>АГЕНТСТВО РЕФПЕРЕВОЗОК</v>
          </cell>
          <cell r="C312" t="str">
            <v>ХОВРИНО      (ОКТ)</v>
          </cell>
          <cell r="D312">
            <v>31413</v>
          </cell>
          <cell r="F312">
            <v>0</v>
          </cell>
          <cell r="G312">
            <v>37582</v>
          </cell>
          <cell r="H312">
            <v>1097</v>
          </cell>
          <cell r="I312" t="str">
            <v>деп</v>
          </cell>
          <cell r="J312">
            <v>38129</v>
          </cell>
        </row>
        <row r="313">
          <cell r="A313">
            <v>58341702</v>
          </cell>
          <cell r="B313" t="str">
            <v>АГЕНТСТВО РЕФПЕРЕВОЗОК</v>
          </cell>
          <cell r="C313" t="str">
            <v>ХОВРИНО      (ОКТ)</v>
          </cell>
          <cell r="D313">
            <v>31413</v>
          </cell>
          <cell r="F313">
            <v>0</v>
          </cell>
          <cell r="G313">
            <v>37560</v>
          </cell>
          <cell r="H313">
            <v>1097</v>
          </cell>
          <cell r="I313" t="str">
            <v>деп</v>
          </cell>
          <cell r="J313">
            <v>38107</v>
          </cell>
        </row>
        <row r="314">
          <cell r="A314">
            <v>58341710</v>
          </cell>
          <cell r="B314" t="str">
            <v>АГЕНТСТВО РЕФПЕРЕВОЗОК</v>
          </cell>
          <cell r="C314" t="str">
            <v>ХОВРИНО      (ОКТ)</v>
          </cell>
          <cell r="D314">
            <v>31413</v>
          </cell>
          <cell r="F314">
            <v>0</v>
          </cell>
          <cell r="G314">
            <v>37575</v>
          </cell>
          <cell r="H314">
            <v>1097</v>
          </cell>
          <cell r="I314" t="str">
            <v>деп</v>
          </cell>
          <cell r="J314">
            <v>38122</v>
          </cell>
        </row>
        <row r="315">
          <cell r="A315">
            <v>58341728</v>
          </cell>
          <cell r="B315" t="str">
            <v>АГЕНТСТВО РЕФПЕРЕВОЗОК</v>
          </cell>
          <cell r="C315" t="str">
            <v>ХОВРИНО      (ОКТ)</v>
          </cell>
          <cell r="D315">
            <v>31413</v>
          </cell>
          <cell r="F315">
            <v>0</v>
          </cell>
          <cell r="G315">
            <v>37582</v>
          </cell>
          <cell r="H315">
            <v>1097</v>
          </cell>
          <cell r="I315" t="str">
            <v>деп</v>
          </cell>
          <cell r="J315">
            <v>38129</v>
          </cell>
        </row>
        <row r="316">
          <cell r="A316">
            <v>58341736</v>
          </cell>
          <cell r="B316" t="str">
            <v>АГЕНТСТВО РЕФПЕРЕВОЗОК</v>
          </cell>
          <cell r="C316" t="str">
            <v>ХОВРИНО      (ОКТ)</v>
          </cell>
          <cell r="D316">
            <v>31413</v>
          </cell>
          <cell r="F316">
            <v>0</v>
          </cell>
          <cell r="G316">
            <v>37582</v>
          </cell>
          <cell r="H316">
            <v>1097</v>
          </cell>
          <cell r="I316" t="str">
            <v>деп</v>
          </cell>
          <cell r="J316">
            <v>38129</v>
          </cell>
        </row>
        <row r="317">
          <cell r="A317">
            <v>58341744</v>
          </cell>
          <cell r="B317" t="str">
            <v>АГЕНТСТВО РЕФПЕРЕВОЗОК</v>
          </cell>
          <cell r="C317" t="str">
            <v>ХОВРИНО      (ОКТ)</v>
          </cell>
          <cell r="D317">
            <v>31413</v>
          </cell>
          <cell r="F317">
            <v>0</v>
          </cell>
          <cell r="G317">
            <v>37566</v>
          </cell>
          <cell r="H317">
            <v>1097</v>
          </cell>
          <cell r="I317" t="str">
            <v>деп</v>
          </cell>
          <cell r="J317">
            <v>38113</v>
          </cell>
        </row>
        <row r="318">
          <cell r="A318">
            <v>58341751</v>
          </cell>
          <cell r="B318" t="str">
            <v>АГЕНТСТВО РЕФПЕРЕВОЗОК</v>
          </cell>
          <cell r="C318" t="str">
            <v>ХОВРИНО      (ОКТ)</v>
          </cell>
          <cell r="D318">
            <v>31413</v>
          </cell>
          <cell r="F318">
            <v>0</v>
          </cell>
          <cell r="G318">
            <v>37553</v>
          </cell>
          <cell r="H318">
            <v>1097</v>
          </cell>
          <cell r="I318" t="str">
            <v>деп</v>
          </cell>
          <cell r="J318">
            <v>38101</v>
          </cell>
        </row>
        <row r="319">
          <cell r="A319">
            <v>58341769</v>
          </cell>
          <cell r="B319" t="str">
            <v>АГЕНТСТВО РЕФПЕРЕВОЗОК</v>
          </cell>
          <cell r="C319" t="str">
            <v>ХОВРИНО      (ОКТ)</v>
          </cell>
          <cell r="D319">
            <v>31413</v>
          </cell>
          <cell r="F319">
            <v>0</v>
          </cell>
          <cell r="G319">
            <v>37533</v>
          </cell>
          <cell r="H319">
            <v>1097</v>
          </cell>
          <cell r="I319" t="str">
            <v>деп</v>
          </cell>
          <cell r="J319">
            <v>38081</v>
          </cell>
        </row>
        <row r="320">
          <cell r="A320">
            <v>58341777</v>
          </cell>
          <cell r="B320" t="str">
            <v>АГЕНТСТВО РЕФПЕРЕВОЗОК</v>
          </cell>
          <cell r="C320" t="str">
            <v>ХОВРИНО      (ОКТ)</v>
          </cell>
          <cell r="D320">
            <v>31413</v>
          </cell>
          <cell r="F320">
            <v>0</v>
          </cell>
          <cell r="G320">
            <v>37559</v>
          </cell>
          <cell r="H320">
            <v>1097</v>
          </cell>
          <cell r="I320" t="str">
            <v>деп</v>
          </cell>
          <cell r="J320">
            <v>38107</v>
          </cell>
        </row>
        <row r="321">
          <cell r="A321">
            <v>58341785</v>
          </cell>
          <cell r="B321" t="str">
            <v>АГЕНТСТВО РЕФПЕРЕВОЗОК</v>
          </cell>
          <cell r="C321" t="str">
            <v>ХОВРИНО      (ОКТ)</v>
          </cell>
          <cell r="D321">
            <v>31413</v>
          </cell>
          <cell r="F321">
            <v>0</v>
          </cell>
          <cell r="G321">
            <v>37533</v>
          </cell>
          <cell r="H321">
            <v>1097</v>
          </cell>
          <cell r="I321" t="str">
            <v>деп</v>
          </cell>
          <cell r="J321">
            <v>38081</v>
          </cell>
        </row>
        <row r="322">
          <cell r="A322">
            <v>58341793</v>
          </cell>
          <cell r="B322" t="str">
            <v>АГЕНТСТВО РЕФПЕРЕВОЗОК</v>
          </cell>
          <cell r="C322" t="str">
            <v>ХОВРИНО      (ОКТ)</v>
          </cell>
          <cell r="D322">
            <v>31413</v>
          </cell>
          <cell r="F322">
            <v>0</v>
          </cell>
          <cell r="G322">
            <v>37568</v>
          </cell>
          <cell r="H322">
            <v>1097</v>
          </cell>
          <cell r="I322" t="str">
            <v>деп</v>
          </cell>
          <cell r="J322">
            <v>38115</v>
          </cell>
        </row>
        <row r="323">
          <cell r="A323">
            <v>58341801</v>
          </cell>
          <cell r="B323" t="str">
            <v>АГЕНТСТВО РЕФПЕРЕВОЗОК</v>
          </cell>
          <cell r="C323" t="str">
            <v>ХОВРИНО      (ОКТ)</v>
          </cell>
          <cell r="D323">
            <v>31413</v>
          </cell>
          <cell r="F323">
            <v>0</v>
          </cell>
          <cell r="G323">
            <v>37560</v>
          </cell>
          <cell r="H323">
            <v>1097</v>
          </cell>
          <cell r="I323" t="str">
            <v>деп</v>
          </cell>
          <cell r="J323">
            <v>38107</v>
          </cell>
        </row>
        <row r="324">
          <cell r="A324">
            <v>58341819</v>
          </cell>
          <cell r="B324" t="str">
            <v>АГЕНТСТВО РЕФПЕРЕВОЗОК</v>
          </cell>
          <cell r="C324" t="str">
            <v>ХОВРИНО      (ОКТ)</v>
          </cell>
          <cell r="D324">
            <v>31413</v>
          </cell>
          <cell r="F324">
            <v>0</v>
          </cell>
          <cell r="G324">
            <v>37560</v>
          </cell>
          <cell r="H324">
            <v>1097</v>
          </cell>
          <cell r="I324" t="str">
            <v>деп</v>
          </cell>
          <cell r="J324">
            <v>38107</v>
          </cell>
        </row>
        <row r="325">
          <cell r="A325">
            <v>58341827</v>
          </cell>
          <cell r="B325" t="str">
            <v>АГЕНТСТВО РЕФПЕРЕВОЗОК</v>
          </cell>
          <cell r="C325" t="str">
            <v>ХОВРИНО      (ОКТ)</v>
          </cell>
          <cell r="D325">
            <v>31413</v>
          </cell>
          <cell r="F325">
            <v>0</v>
          </cell>
          <cell r="G325">
            <v>37533</v>
          </cell>
          <cell r="H325">
            <v>1097</v>
          </cell>
          <cell r="I325" t="str">
            <v>деп</v>
          </cell>
          <cell r="J325">
            <v>38081</v>
          </cell>
        </row>
        <row r="326">
          <cell r="A326">
            <v>58341835</v>
          </cell>
          <cell r="B326" t="str">
            <v>АГЕНТСТВО РЕФПЕРЕВОЗОК</v>
          </cell>
          <cell r="C326" t="str">
            <v>ХОВРИНО      (ОКТ)</v>
          </cell>
          <cell r="D326">
            <v>31413</v>
          </cell>
          <cell r="F326">
            <v>0</v>
          </cell>
          <cell r="G326">
            <v>37582</v>
          </cell>
          <cell r="H326">
            <v>1097</v>
          </cell>
          <cell r="I326" t="str">
            <v>деп</v>
          </cell>
          <cell r="J326">
            <v>38129</v>
          </cell>
        </row>
        <row r="327">
          <cell r="A327">
            <v>58341843</v>
          </cell>
          <cell r="B327" t="str">
            <v>АГЕНТСТВО РЕФПЕРЕВОЗОК</v>
          </cell>
          <cell r="C327" t="str">
            <v>ХОВРИНО      (ОКТ)</v>
          </cell>
          <cell r="D327">
            <v>31413</v>
          </cell>
          <cell r="F327">
            <v>0</v>
          </cell>
          <cell r="G327">
            <v>37554</v>
          </cell>
          <cell r="H327">
            <v>1097</v>
          </cell>
          <cell r="I327" t="str">
            <v>деп</v>
          </cell>
          <cell r="J327">
            <v>38102</v>
          </cell>
        </row>
        <row r="328">
          <cell r="A328">
            <v>58341850</v>
          </cell>
          <cell r="B328" t="str">
            <v>АГЕНТСТВО РЕФПЕРЕВОЗОК</v>
          </cell>
          <cell r="C328" t="str">
            <v>ХОВРИНО      (ОКТ)</v>
          </cell>
          <cell r="D328">
            <v>31413</v>
          </cell>
          <cell r="F328">
            <v>0</v>
          </cell>
          <cell r="G328">
            <v>37582</v>
          </cell>
          <cell r="H328">
            <v>1097</v>
          </cell>
          <cell r="I328" t="str">
            <v>деп</v>
          </cell>
          <cell r="J328">
            <v>38129</v>
          </cell>
        </row>
        <row r="329">
          <cell r="A329">
            <v>58341868</v>
          </cell>
          <cell r="B329" t="str">
            <v>АГЕНТСТВО РЕФПЕРЕВОЗОК</v>
          </cell>
          <cell r="C329" t="str">
            <v>ХОВРИНО      (ОКТ)</v>
          </cell>
          <cell r="D329">
            <v>31413</v>
          </cell>
          <cell r="F329">
            <v>0</v>
          </cell>
          <cell r="G329">
            <v>37537</v>
          </cell>
          <cell r="H329">
            <v>1097</v>
          </cell>
          <cell r="I329" t="str">
            <v>деп</v>
          </cell>
          <cell r="J329">
            <v>38085</v>
          </cell>
        </row>
        <row r="330">
          <cell r="A330">
            <v>58341876</v>
          </cell>
          <cell r="B330" t="str">
            <v>АГЕНТСТВО РЕФПЕРЕВОЗОК</v>
          </cell>
          <cell r="C330" t="str">
            <v>ХОВРИНО      (ОКТ)</v>
          </cell>
          <cell r="D330">
            <v>31413</v>
          </cell>
          <cell r="F330">
            <v>0</v>
          </cell>
          <cell r="G330">
            <v>37560</v>
          </cell>
          <cell r="H330">
            <v>1097</v>
          </cell>
          <cell r="I330" t="str">
            <v>деп</v>
          </cell>
          <cell r="J330">
            <v>38107</v>
          </cell>
        </row>
        <row r="331">
          <cell r="A331">
            <v>58341884</v>
          </cell>
          <cell r="B331" t="str">
            <v>АГЕНТСТВО РЕФПЕРЕВОЗОК</v>
          </cell>
          <cell r="C331" t="str">
            <v>ХОВРИНО      (ОКТ)</v>
          </cell>
          <cell r="D331">
            <v>31413</v>
          </cell>
          <cell r="F331">
            <v>0</v>
          </cell>
          <cell r="G331">
            <v>37553</v>
          </cell>
          <cell r="H331">
            <v>1097</v>
          </cell>
          <cell r="I331" t="str">
            <v>деп</v>
          </cell>
          <cell r="J331">
            <v>38101</v>
          </cell>
        </row>
        <row r="332">
          <cell r="A332">
            <v>58341892</v>
          </cell>
          <cell r="B332" t="str">
            <v>АГЕНТСТВО РЕФПЕРЕВОЗОК</v>
          </cell>
          <cell r="C332" t="str">
            <v>ХОВРИНО      (ОКТ)</v>
          </cell>
          <cell r="D332">
            <v>31413</v>
          </cell>
          <cell r="F332">
            <v>0</v>
          </cell>
          <cell r="G332">
            <v>37553</v>
          </cell>
          <cell r="H332">
            <v>1097</v>
          </cell>
          <cell r="I332" t="str">
            <v>деп</v>
          </cell>
          <cell r="J332">
            <v>38101</v>
          </cell>
        </row>
        <row r="333">
          <cell r="A333">
            <v>58341900</v>
          </cell>
          <cell r="B333" t="str">
            <v>АГЕНТСТВО РЕФПЕРЕВОЗОК</v>
          </cell>
          <cell r="C333" t="str">
            <v>ХОВРИНО      (ОКТ)</v>
          </cell>
          <cell r="D333">
            <v>31413</v>
          </cell>
          <cell r="F333">
            <v>0</v>
          </cell>
          <cell r="G333">
            <v>37537</v>
          </cell>
          <cell r="H333">
            <v>1097</v>
          </cell>
          <cell r="I333" t="str">
            <v>деп</v>
          </cell>
          <cell r="J333">
            <v>38085</v>
          </cell>
        </row>
        <row r="334">
          <cell r="A334">
            <v>58341918</v>
          </cell>
          <cell r="B334" t="str">
            <v>АГЕНТСТВО РЕФПЕРЕВОЗОК</v>
          </cell>
          <cell r="C334" t="str">
            <v>ХОВРИНО      (ОКТ)</v>
          </cell>
          <cell r="D334">
            <v>31413</v>
          </cell>
          <cell r="F334">
            <v>0</v>
          </cell>
          <cell r="G334">
            <v>37582</v>
          </cell>
          <cell r="H334">
            <v>1097</v>
          </cell>
          <cell r="I334" t="str">
            <v>деп</v>
          </cell>
          <cell r="J334">
            <v>38129</v>
          </cell>
        </row>
        <row r="335">
          <cell r="A335">
            <v>58341926</v>
          </cell>
          <cell r="B335" t="str">
            <v>АГЕНТСТВО РЕФПЕРЕВОЗОК</v>
          </cell>
          <cell r="C335" t="str">
            <v>ХОВРИНО      (ОКТ)</v>
          </cell>
          <cell r="D335">
            <v>31413</v>
          </cell>
          <cell r="F335">
            <v>0</v>
          </cell>
          <cell r="G335">
            <v>37582</v>
          </cell>
          <cell r="H335">
            <v>1097</v>
          </cell>
          <cell r="I335" t="str">
            <v>деп</v>
          </cell>
          <cell r="J335">
            <v>38129</v>
          </cell>
        </row>
        <row r="336">
          <cell r="A336">
            <v>58341934</v>
          </cell>
          <cell r="B336" t="str">
            <v>АГЕНТСТВО РЕФПЕРЕВОЗОК</v>
          </cell>
          <cell r="C336" t="str">
            <v>ХОВРИНО      (ОКТ)</v>
          </cell>
          <cell r="D336">
            <v>31413</v>
          </cell>
          <cell r="F336">
            <v>0</v>
          </cell>
          <cell r="G336">
            <v>37582</v>
          </cell>
          <cell r="H336">
            <v>1097</v>
          </cell>
          <cell r="I336" t="str">
            <v>деп</v>
          </cell>
          <cell r="J336">
            <v>38129</v>
          </cell>
        </row>
        <row r="337">
          <cell r="A337">
            <v>58341942</v>
          </cell>
          <cell r="B337" t="str">
            <v>АГЕНТСТВО РЕФПЕРЕВОЗОК</v>
          </cell>
          <cell r="C337" t="str">
            <v>ХОВРИНО      (ОКТ)</v>
          </cell>
          <cell r="D337">
            <v>31413</v>
          </cell>
          <cell r="F337">
            <v>0</v>
          </cell>
          <cell r="G337">
            <v>37566</v>
          </cell>
          <cell r="H337">
            <v>1097</v>
          </cell>
          <cell r="I337" t="str">
            <v>деп</v>
          </cell>
          <cell r="J337">
            <v>38113</v>
          </cell>
        </row>
        <row r="338">
          <cell r="A338">
            <v>58341959</v>
          </cell>
          <cell r="B338" t="str">
            <v>АГЕНТСТВО РЕФПЕРЕВОЗОК</v>
          </cell>
          <cell r="C338" t="str">
            <v>ХОВРИНО      (ОКТ)</v>
          </cell>
          <cell r="D338">
            <v>31413</v>
          </cell>
          <cell r="F338">
            <v>0</v>
          </cell>
          <cell r="G338">
            <v>37582</v>
          </cell>
          <cell r="H338">
            <v>1097</v>
          </cell>
          <cell r="I338" t="str">
            <v>деп</v>
          </cell>
          <cell r="J338">
            <v>38129</v>
          </cell>
        </row>
        <row r="339">
          <cell r="A339">
            <v>58341967</v>
          </cell>
          <cell r="B339" t="str">
            <v>АГЕНТСТВО РЕФПЕРЕВОЗОК</v>
          </cell>
          <cell r="C339" t="str">
            <v>ХОВРИНО      (ОКТ)</v>
          </cell>
          <cell r="D339">
            <v>31413</v>
          </cell>
          <cell r="F339">
            <v>0</v>
          </cell>
          <cell r="G339">
            <v>37554</v>
          </cell>
          <cell r="H339">
            <v>1097</v>
          </cell>
          <cell r="I339" t="str">
            <v>деп</v>
          </cell>
          <cell r="J339">
            <v>38102</v>
          </cell>
        </row>
        <row r="340">
          <cell r="A340">
            <v>58341975</v>
          </cell>
          <cell r="B340" t="str">
            <v>АГЕНТСТВО РЕФПЕРЕВОЗОК</v>
          </cell>
          <cell r="C340" t="str">
            <v>ХОВРИНО      (ОКТ)</v>
          </cell>
          <cell r="D340">
            <v>31413</v>
          </cell>
          <cell r="F340">
            <v>0</v>
          </cell>
          <cell r="G340">
            <v>37582</v>
          </cell>
          <cell r="H340">
            <v>1097</v>
          </cell>
          <cell r="I340" t="str">
            <v>деп</v>
          </cell>
          <cell r="J340">
            <v>38129</v>
          </cell>
        </row>
        <row r="341">
          <cell r="A341">
            <v>58341983</v>
          </cell>
          <cell r="B341" t="str">
            <v>АГЕНТСТВО РЕФПЕРЕВОЗОК</v>
          </cell>
          <cell r="C341" t="str">
            <v>ХОВРИНО      (ОКТ)</v>
          </cell>
          <cell r="D341">
            <v>31413</v>
          </cell>
          <cell r="F341">
            <v>0</v>
          </cell>
          <cell r="G341">
            <v>37582</v>
          </cell>
          <cell r="H341">
            <v>1097</v>
          </cell>
          <cell r="I341" t="str">
            <v>деп</v>
          </cell>
          <cell r="J341">
            <v>38129</v>
          </cell>
        </row>
        <row r="342">
          <cell r="A342">
            <v>58341991</v>
          </cell>
          <cell r="B342" t="str">
            <v>АГЕНТСТВО РЕФПЕРЕВОЗОК</v>
          </cell>
          <cell r="C342" t="str">
            <v>ХОВРИНО      (ОКТ)</v>
          </cell>
          <cell r="D342">
            <v>31413</v>
          </cell>
          <cell r="F342">
            <v>0</v>
          </cell>
          <cell r="G342">
            <v>37537</v>
          </cell>
          <cell r="H342">
            <v>1097</v>
          </cell>
          <cell r="I342" t="str">
            <v>деп</v>
          </cell>
          <cell r="J342">
            <v>38085</v>
          </cell>
        </row>
        <row r="343">
          <cell r="A343">
            <v>58342007</v>
          </cell>
          <cell r="B343" t="str">
            <v>АГЕНТСТВО РЕФПЕРЕВОЗОК</v>
          </cell>
          <cell r="C343" t="str">
            <v>ХОВРИНО      (ОКТ)</v>
          </cell>
          <cell r="D343">
            <v>31413</v>
          </cell>
          <cell r="F343">
            <v>0</v>
          </cell>
          <cell r="G343">
            <v>37560</v>
          </cell>
          <cell r="H343">
            <v>1097</v>
          </cell>
          <cell r="I343" t="str">
            <v>деп</v>
          </cell>
          <cell r="J343">
            <v>38107</v>
          </cell>
        </row>
        <row r="344">
          <cell r="A344">
            <v>58342015</v>
          </cell>
          <cell r="B344" t="str">
            <v>АГЕНТСТВО РЕФПЕРЕВОЗОК</v>
          </cell>
          <cell r="C344" t="str">
            <v>ХОВРИНО      (ОКТ)</v>
          </cell>
          <cell r="D344">
            <v>31413</v>
          </cell>
          <cell r="F344">
            <v>0</v>
          </cell>
          <cell r="G344">
            <v>37671</v>
          </cell>
          <cell r="H344">
            <v>1097</v>
          </cell>
          <cell r="I344" t="str">
            <v>деп</v>
          </cell>
          <cell r="J344">
            <v>38218</v>
          </cell>
        </row>
        <row r="345">
          <cell r="A345">
            <v>58342023</v>
          </cell>
          <cell r="B345" t="str">
            <v>АГЕНТСТВО РЕФПЕРЕВОЗОК</v>
          </cell>
          <cell r="C345" t="str">
            <v>ХОВРИНО      (ОКТ)</v>
          </cell>
          <cell r="D345">
            <v>31413</v>
          </cell>
          <cell r="F345">
            <v>0</v>
          </cell>
          <cell r="G345">
            <v>37772</v>
          </cell>
          <cell r="H345">
            <v>492</v>
          </cell>
          <cell r="I345" t="str">
            <v>деп</v>
          </cell>
          <cell r="J345">
            <v>38321</v>
          </cell>
        </row>
        <row r="346">
          <cell r="A346">
            <v>58342031</v>
          </cell>
          <cell r="B346" t="str">
            <v>АГЕНТСТВО РЕФПЕРЕВОЗОК</v>
          </cell>
          <cell r="C346" t="str">
            <v>ХОВРИНО      (ОКТ)</v>
          </cell>
          <cell r="D346">
            <v>31413</v>
          </cell>
          <cell r="F346">
            <v>0</v>
          </cell>
          <cell r="G346">
            <v>37671</v>
          </cell>
          <cell r="H346">
            <v>1097</v>
          </cell>
          <cell r="I346" t="str">
            <v>деп</v>
          </cell>
          <cell r="J346">
            <v>38218</v>
          </cell>
        </row>
        <row r="347">
          <cell r="A347">
            <v>58342056</v>
          </cell>
          <cell r="B347" t="str">
            <v>АГЕНТСТВО РЕФПЕРЕВОЗОК</v>
          </cell>
          <cell r="C347" t="str">
            <v>ХОВРИНО      (ОКТ)</v>
          </cell>
          <cell r="D347">
            <v>31413</v>
          </cell>
          <cell r="F347">
            <v>0</v>
          </cell>
          <cell r="H347">
            <v>0</v>
          </cell>
          <cell r="I347" t="str">
            <v>кап</v>
          </cell>
          <cell r="J347">
            <v>34394</v>
          </cell>
        </row>
        <row r="348">
          <cell r="A348">
            <v>58342064</v>
          </cell>
          <cell r="B348" t="str">
            <v>АГЕНТСТВО РЕФПЕРЕВОЗОК</v>
          </cell>
          <cell r="C348" t="str">
            <v>ХОВРИНО      (ОКТ)</v>
          </cell>
          <cell r="D348">
            <v>31413</v>
          </cell>
          <cell r="F348">
            <v>0</v>
          </cell>
          <cell r="G348">
            <v>37791</v>
          </cell>
          <cell r="H348">
            <v>492</v>
          </cell>
          <cell r="I348" t="str">
            <v>деп</v>
          </cell>
          <cell r="J348">
            <v>38340</v>
          </cell>
        </row>
        <row r="349">
          <cell r="A349">
            <v>58342072</v>
          </cell>
          <cell r="B349" t="str">
            <v>АГЕНТСТВО РЕФПЕРЕВОЗОК</v>
          </cell>
          <cell r="C349" t="str">
            <v>ХОВРИНО      (ОКТ)</v>
          </cell>
          <cell r="D349">
            <v>31778</v>
          </cell>
          <cell r="F349">
            <v>0</v>
          </cell>
          <cell r="G349">
            <v>37570</v>
          </cell>
          <cell r="H349">
            <v>1097</v>
          </cell>
          <cell r="I349" t="str">
            <v>кап</v>
          </cell>
          <cell r="J349">
            <v>34029</v>
          </cell>
        </row>
        <row r="350">
          <cell r="A350">
            <v>58342098</v>
          </cell>
          <cell r="B350" t="str">
            <v>АГЕНТСТВО РЕФПЕРЕВОЗОК</v>
          </cell>
          <cell r="C350" t="str">
            <v>ХОВРИНО      (ОКТ)</v>
          </cell>
          <cell r="D350">
            <v>31778</v>
          </cell>
          <cell r="E350">
            <v>37938</v>
          </cell>
          <cell r="F350">
            <v>557</v>
          </cell>
          <cell r="G350">
            <v>37570</v>
          </cell>
          <cell r="H350">
            <v>1097</v>
          </cell>
          <cell r="I350" t="str">
            <v>кап</v>
          </cell>
          <cell r="J350">
            <v>38485</v>
          </cell>
        </row>
        <row r="351">
          <cell r="A351">
            <v>58342122</v>
          </cell>
          <cell r="B351" t="str">
            <v>АГЕНТСТВО РЕФПЕРЕВОЗОК</v>
          </cell>
          <cell r="C351" t="str">
            <v>ХОВРИНО      (ОКТ)</v>
          </cell>
          <cell r="D351">
            <v>31778</v>
          </cell>
          <cell r="F351">
            <v>0</v>
          </cell>
          <cell r="G351">
            <v>37671</v>
          </cell>
          <cell r="H351">
            <v>1097</v>
          </cell>
          <cell r="I351" t="str">
            <v>деп</v>
          </cell>
          <cell r="J351">
            <v>38218</v>
          </cell>
        </row>
        <row r="352">
          <cell r="A352">
            <v>58342130</v>
          </cell>
          <cell r="B352" t="str">
            <v>АГЕНТСТВО РЕФПЕРЕВОЗОК</v>
          </cell>
          <cell r="C352" t="str">
            <v>ХОВРИНО      (ОКТ)</v>
          </cell>
          <cell r="D352">
            <v>31778</v>
          </cell>
          <cell r="F352">
            <v>0</v>
          </cell>
          <cell r="G352">
            <v>37671</v>
          </cell>
          <cell r="H352">
            <v>1097</v>
          </cell>
          <cell r="I352" t="str">
            <v>деп</v>
          </cell>
          <cell r="J352">
            <v>38218</v>
          </cell>
        </row>
        <row r="353">
          <cell r="A353">
            <v>58342148</v>
          </cell>
          <cell r="B353" t="str">
            <v>АГЕНТСТВО РЕФПЕРЕВОЗОК</v>
          </cell>
          <cell r="C353" t="str">
            <v>ХОВРИНО      (ОКТ)</v>
          </cell>
          <cell r="D353">
            <v>31778</v>
          </cell>
          <cell r="E353">
            <v>37937</v>
          </cell>
          <cell r="F353">
            <v>557</v>
          </cell>
          <cell r="G353">
            <v>37570</v>
          </cell>
          <cell r="H353">
            <v>1097</v>
          </cell>
          <cell r="I353" t="str">
            <v>кап</v>
          </cell>
          <cell r="J353">
            <v>38484</v>
          </cell>
        </row>
        <row r="354">
          <cell r="A354">
            <v>58342155</v>
          </cell>
          <cell r="B354" t="str">
            <v>АГЕНТСТВО РЕФПЕРЕВОЗОК</v>
          </cell>
          <cell r="C354" t="str">
            <v>ХОВРИНО      (ОКТ)</v>
          </cell>
          <cell r="D354">
            <v>31778</v>
          </cell>
          <cell r="F354">
            <v>0</v>
          </cell>
          <cell r="G354">
            <v>37671</v>
          </cell>
          <cell r="H354">
            <v>1097</v>
          </cell>
          <cell r="I354" t="str">
            <v>деп</v>
          </cell>
          <cell r="J354">
            <v>38218</v>
          </cell>
        </row>
        <row r="355">
          <cell r="A355">
            <v>58342163</v>
          </cell>
          <cell r="B355" t="str">
            <v>АГЕНТСТВО РЕФПЕРЕВОЗОК</v>
          </cell>
          <cell r="C355" t="str">
            <v>ХОВРИНО      (ОКТ)</v>
          </cell>
          <cell r="D355">
            <v>31778</v>
          </cell>
          <cell r="E355">
            <v>37526</v>
          </cell>
          <cell r="F355">
            <v>1097</v>
          </cell>
          <cell r="G355">
            <v>37570</v>
          </cell>
          <cell r="H355">
            <v>1097</v>
          </cell>
          <cell r="I355" t="str">
            <v>кап</v>
          </cell>
          <cell r="J355">
            <v>38073</v>
          </cell>
        </row>
        <row r="356">
          <cell r="A356">
            <v>58342171</v>
          </cell>
          <cell r="B356" t="str">
            <v>АГЕНТСТВО РЕФПЕРЕВОЗОК</v>
          </cell>
          <cell r="C356" t="str">
            <v>ХОВРИНО      (ОКТ)</v>
          </cell>
          <cell r="D356">
            <v>31778</v>
          </cell>
          <cell r="F356">
            <v>0</v>
          </cell>
          <cell r="G356">
            <v>37570</v>
          </cell>
          <cell r="H356">
            <v>1097</v>
          </cell>
          <cell r="I356" t="str">
            <v>кап</v>
          </cell>
          <cell r="J356">
            <v>33970</v>
          </cell>
        </row>
        <row r="357">
          <cell r="A357">
            <v>58342189</v>
          </cell>
          <cell r="B357" t="str">
            <v>АГЕНТСТВО РЕФПЕРЕВОЗОК</v>
          </cell>
          <cell r="C357" t="str">
            <v>ХОВРИНО      (ОКТ)</v>
          </cell>
          <cell r="D357">
            <v>31778</v>
          </cell>
          <cell r="F357">
            <v>0</v>
          </cell>
          <cell r="G357">
            <v>37570</v>
          </cell>
          <cell r="H357">
            <v>1097</v>
          </cell>
          <cell r="I357" t="str">
            <v>кап</v>
          </cell>
          <cell r="J357">
            <v>34335</v>
          </cell>
        </row>
        <row r="358">
          <cell r="A358">
            <v>58342197</v>
          </cell>
          <cell r="B358" t="str">
            <v>АГЕНТСТВО РЕФПЕРЕВОЗОК</v>
          </cell>
          <cell r="C358" t="str">
            <v>ХОВРИНО      (ОКТ)</v>
          </cell>
          <cell r="D358">
            <v>31778</v>
          </cell>
          <cell r="F358">
            <v>0</v>
          </cell>
          <cell r="G358">
            <v>37570</v>
          </cell>
          <cell r="H358">
            <v>1097</v>
          </cell>
          <cell r="I358" t="str">
            <v>кап</v>
          </cell>
          <cell r="J358">
            <v>34029</v>
          </cell>
        </row>
        <row r="359">
          <cell r="A359">
            <v>58342205</v>
          </cell>
          <cell r="B359" t="str">
            <v>АГЕНТСТВО РЕФПЕРЕВОЗОК</v>
          </cell>
          <cell r="C359" t="str">
            <v>ХОВРИНО      (ОКТ)</v>
          </cell>
          <cell r="D359">
            <v>31778</v>
          </cell>
          <cell r="F359">
            <v>0</v>
          </cell>
          <cell r="G359">
            <v>37671</v>
          </cell>
          <cell r="H359">
            <v>1097</v>
          </cell>
          <cell r="I359" t="str">
            <v>деп</v>
          </cell>
          <cell r="J359">
            <v>38218</v>
          </cell>
        </row>
        <row r="360">
          <cell r="A360">
            <v>58342213</v>
          </cell>
          <cell r="B360" t="str">
            <v>АГЕНТСТВО РЕФПЕРЕВОЗОК</v>
          </cell>
          <cell r="C360" t="str">
            <v>ХОВРИНО      (ОКТ)</v>
          </cell>
          <cell r="D360">
            <v>31778</v>
          </cell>
          <cell r="F360">
            <v>0</v>
          </cell>
          <cell r="G360">
            <v>37570</v>
          </cell>
          <cell r="H360">
            <v>1097</v>
          </cell>
          <cell r="I360" t="str">
            <v>кап</v>
          </cell>
          <cell r="J360">
            <v>33848</v>
          </cell>
        </row>
        <row r="361">
          <cell r="A361">
            <v>58342247</v>
          </cell>
          <cell r="B361" t="str">
            <v>АГЕНТСТВО РЕФПЕРЕВОЗОК</v>
          </cell>
          <cell r="C361" t="str">
            <v>ХОВРИНО      (ОКТ)</v>
          </cell>
          <cell r="D361">
            <v>31778</v>
          </cell>
          <cell r="F361">
            <v>0</v>
          </cell>
          <cell r="H361">
            <v>0</v>
          </cell>
          <cell r="I361" t="str">
            <v>кап</v>
          </cell>
          <cell r="J361">
            <v>34090</v>
          </cell>
        </row>
        <row r="362">
          <cell r="A362">
            <v>58342254</v>
          </cell>
          <cell r="B362" t="str">
            <v>АГЕНТСТВО РЕФПЕРЕВОЗОК</v>
          </cell>
          <cell r="C362" t="str">
            <v>ХОВРИНО      (ОКТ)</v>
          </cell>
          <cell r="D362">
            <v>31778</v>
          </cell>
          <cell r="F362">
            <v>0</v>
          </cell>
          <cell r="G362">
            <v>37570</v>
          </cell>
          <cell r="H362">
            <v>1097</v>
          </cell>
          <cell r="I362" t="str">
            <v>кап</v>
          </cell>
          <cell r="J362">
            <v>33147</v>
          </cell>
        </row>
        <row r="363">
          <cell r="A363">
            <v>58342262</v>
          </cell>
          <cell r="B363" t="str">
            <v>АГЕНТСТВО РЕФПЕРЕВОЗОК</v>
          </cell>
          <cell r="C363" t="str">
            <v>ХОВРИНО      (ОКТ)</v>
          </cell>
          <cell r="D363">
            <v>31778</v>
          </cell>
          <cell r="E363">
            <v>37671</v>
          </cell>
          <cell r="F363">
            <v>1097</v>
          </cell>
          <cell r="G363">
            <v>37570</v>
          </cell>
          <cell r="H363">
            <v>1097</v>
          </cell>
          <cell r="I363" t="str">
            <v>кап</v>
          </cell>
          <cell r="J363">
            <v>38218</v>
          </cell>
        </row>
        <row r="364">
          <cell r="A364">
            <v>58342270</v>
          </cell>
          <cell r="B364" t="str">
            <v>АГЕНТСТВО РЕФПЕРЕВОЗОК</v>
          </cell>
          <cell r="C364" t="str">
            <v>ХОВРИНО      (ОКТ)</v>
          </cell>
          <cell r="D364">
            <v>31778</v>
          </cell>
          <cell r="F364">
            <v>0</v>
          </cell>
          <cell r="G364">
            <v>37772</v>
          </cell>
          <cell r="H364">
            <v>492</v>
          </cell>
          <cell r="I364" t="str">
            <v>деп</v>
          </cell>
          <cell r="J364">
            <v>38321</v>
          </cell>
        </row>
        <row r="365">
          <cell r="A365">
            <v>58342288</v>
          </cell>
          <cell r="B365" t="str">
            <v>АГЕНТСТВО РЕФПЕРЕВОЗОК</v>
          </cell>
          <cell r="C365" t="str">
            <v>ХОВРИНО      (ОКТ)</v>
          </cell>
          <cell r="D365">
            <v>31778</v>
          </cell>
          <cell r="E365">
            <v>37671</v>
          </cell>
          <cell r="F365">
            <v>1097</v>
          </cell>
          <cell r="G365">
            <v>37570</v>
          </cell>
          <cell r="H365">
            <v>1097</v>
          </cell>
          <cell r="I365" t="str">
            <v>кап</v>
          </cell>
          <cell r="J365">
            <v>38218</v>
          </cell>
        </row>
        <row r="366">
          <cell r="A366">
            <v>58342296</v>
          </cell>
          <cell r="B366" t="str">
            <v>АГЕНТСТВО РЕФПЕРЕВОЗОК</v>
          </cell>
          <cell r="C366" t="str">
            <v>ХОВРИНО      (ОКТ)</v>
          </cell>
          <cell r="D366">
            <v>31778</v>
          </cell>
          <cell r="F366">
            <v>0</v>
          </cell>
          <cell r="G366">
            <v>37570</v>
          </cell>
          <cell r="H366">
            <v>1097</v>
          </cell>
          <cell r="I366" t="str">
            <v>кап</v>
          </cell>
          <cell r="J366">
            <v>34274</v>
          </cell>
        </row>
        <row r="367">
          <cell r="A367">
            <v>58342304</v>
          </cell>
          <cell r="B367" t="str">
            <v>АГЕНТСТВО РЕФПЕРЕВОЗОК</v>
          </cell>
          <cell r="C367" t="str">
            <v>ХОВРИНО      (ОКТ)</v>
          </cell>
          <cell r="D367">
            <v>31778</v>
          </cell>
          <cell r="E367">
            <v>37671</v>
          </cell>
          <cell r="F367">
            <v>1097</v>
          </cell>
          <cell r="G367">
            <v>37570</v>
          </cell>
          <cell r="H367">
            <v>1097</v>
          </cell>
          <cell r="I367" t="str">
            <v>кап</v>
          </cell>
          <cell r="J367">
            <v>38218</v>
          </cell>
        </row>
        <row r="368">
          <cell r="A368">
            <v>58342312</v>
          </cell>
          <cell r="B368" t="str">
            <v>АГЕНТСТВО РЕФПЕРЕВОЗОК</v>
          </cell>
          <cell r="C368" t="str">
            <v>ХОВРИНО      (ОКТ)</v>
          </cell>
          <cell r="D368">
            <v>31778</v>
          </cell>
          <cell r="E368">
            <v>37526</v>
          </cell>
          <cell r="F368">
            <v>1097</v>
          </cell>
          <cell r="G368">
            <v>37570</v>
          </cell>
          <cell r="H368">
            <v>1097</v>
          </cell>
          <cell r="I368" t="str">
            <v>кап</v>
          </cell>
          <cell r="J368">
            <v>38073</v>
          </cell>
        </row>
        <row r="369">
          <cell r="A369">
            <v>58342320</v>
          </cell>
          <cell r="B369" t="str">
            <v>АГЕНТСТВО РЕФПЕРЕВОЗОК</v>
          </cell>
          <cell r="C369" t="str">
            <v>ХОВРИНО      (ОКТ)</v>
          </cell>
          <cell r="D369">
            <v>31778</v>
          </cell>
          <cell r="E369">
            <v>37526</v>
          </cell>
          <cell r="F369">
            <v>1097</v>
          </cell>
          <cell r="G369">
            <v>37570</v>
          </cell>
          <cell r="H369">
            <v>1097</v>
          </cell>
          <cell r="I369" t="str">
            <v>кап</v>
          </cell>
          <cell r="J369">
            <v>38073</v>
          </cell>
        </row>
        <row r="370">
          <cell r="A370">
            <v>58342338</v>
          </cell>
          <cell r="B370" t="str">
            <v>АГЕНТСТВО РЕФПЕРЕВОЗОК</v>
          </cell>
          <cell r="C370" t="str">
            <v>ХОВРИНО      (ОКТ)</v>
          </cell>
          <cell r="D370">
            <v>31778</v>
          </cell>
          <cell r="F370">
            <v>0</v>
          </cell>
          <cell r="G370">
            <v>37570</v>
          </cell>
          <cell r="H370">
            <v>1097</v>
          </cell>
          <cell r="I370" t="str">
            <v>кап</v>
          </cell>
          <cell r="J370">
            <v>33756</v>
          </cell>
        </row>
        <row r="371">
          <cell r="A371">
            <v>58342346</v>
          </cell>
          <cell r="B371" t="str">
            <v>АГЕНТСТВО РЕФПЕРЕВОЗОК</v>
          </cell>
          <cell r="C371" t="str">
            <v>ХОВРИНО      (ОКТ)</v>
          </cell>
          <cell r="D371">
            <v>31778</v>
          </cell>
          <cell r="E371">
            <v>37526</v>
          </cell>
          <cell r="F371">
            <v>1097</v>
          </cell>
          <cell r="G371">
            <v>37570</v>
          </cell>
          <cell r="H371">
            <v>1097</v>
          </cell>
          <cell r="I371" t="str">
            <v>кап</v>
          </cell>
          <cell r="J371">
            <v>38073</v>
          </cell>
        </row>
        <row r="372">
          <cell r="A372">
            <v>58342353</v>
          </cell>
          <cell r="B372" t="str">
            <v>АГЕНТСТВО РЕФПЕРЕВОЗОК</v>
          </cell>
          <cell r="C372" t="str">
            <v>ХОВРИНО      (ОКТ)</v>
          </cell>
          <cell r="D372">
            <v>31778</v>
          </cell>
          <cell r="E372">
            <v>37935</v>
          </cell>
          <cell r="F372">
            <v>557</v>
          </cell>
          <cell r="G372">
            <v>37570</v>
          </cell>
          <cell r="H372">
            <v>1097</v>
          </cell>
          <cell r="I372" t="str">
            <v>кап</v>
          </cell>
          <cell r="J372">
            <v>38482</v>
          </cell>
        </row>
        <row r="373">
          <cell r="A373">
            <v>58342361</v>
          </cell>
          <cell r="B373" t="str">
            <v>АГЕНТСТВО РЕФПЕРЕВОЗОК</v>
          </cell>
          <cell r="C373" t="str">
            <v>ХОВРИНО      (ОКТ)</v>
          </cell>
          <cell r="D373">
            <v>31778</v>
          </cell>
          <cell r="E373">
            <v>37671</v>
          </cell>
          <cell r="F373">
            <v>1097</v>
          </cell>
          <cell r="G373">
            <v>37570</v>
          </cell>
          <cell r="H373">
            <v>1097</v>
          </cell>
          <cell r="I373" t="str">
            <v>кап</v>
          </cell>
          <cell r="J373">
            <v>38218</v>
          </cell>
        </row>
        <row r="374">
          <cell r="A374">
            <v>58342379</v>
          </cell>
          <cell r="B374" t="str">
            <v>АГЕНТСТВО РЕФПЕРЕВОЗОК</v>
          </cell>
          <cell r="C374" t="str">
            <v>ХОВРИНО      (ОКТ)</v>
          </cell>
          <cell r="D374">
            <v>31778</v>
          </cell>
          <cell r="E374">
            <v>37671</v>
          </cell>
          <cell r="F374">
            <v>1097</v>
          </cell>
          <cell r="G374">
            <v>37570</v>
          </cell>
          <cell r="H374">
            <v>1097</v>
          </cell>
          <cell r="I374" t="str">
            <v>кап</v>
          </cell>
          <cell r="J374">
            <v>38218</v>
          </cell>
        </row>
        <row r="375">
          <cell r="A375">
            <v>58342387</v>
          </cell>
          <cell r="B375" t="str">
            <v>АГЕНТСТВО РЕФПЕРЕВОЗОК</v>
          </cell>
          <cell r="C375" t="str">
            <v>ХОВРИНО      (ОКТ)</v>
          </cell>
          <cell r="D375">
            <v>31778</v>
          </cell>
          <cell r="F375">
            <v>0</v>
          </cell>
          <cell r="G375">
            <v>37570</v>
          </cell>
          <cell r="H375">
            <v>1097</v>
          </cell>
          <cell r="I375" t="str">
            <v>кап</v>
          </cell>
          <cell r="J375">
            <v>34029</v>
          </cell>
        </row>
        <row r="376">
          <cell r="A376">
            <v>58342395</v>
          </cell>
          <cell r="B376" t="str">
            <v>АГЕНТСТВО РЕФПЕРЕВОЗОК</v>
          </cell>
          <cell r="C376" t="str">
            <v>ХОВРИНО      (ОКТ)</v>
          </cell>
          <cell r="D376">
            <v>31778</v>
          </cell>
          <cell r="E376">
            <v>37947</v>
          </cell>
          <cell r="F376">
            <v>557</v>
          </cell>
          <cell r="G376">
            <v>37570</v>
          </cell>
          <cell r="H376">
            <v>1097</v>
          </cell>
          <cell r="I376" t="str">
            <v>кап</v>
          </cell>
          <cell r="J376">
            <v>38494</v>
          </cell>
        </row>
        <row r="377">
          <cell r="A377">
            <v>58720293</v>
          </cell>
          <cell r="B377" t="str">
            <v>АГЕНТСТВО РЕФПЕРЕВОЗОК</v>
          </cell>
          <cell r="C377" t="str">
            <v>ХОВРИНО      (ОКТ)</v>
          </cell>
          <cell r="D377">
            <v>32509</v>
          </cell>
          <cell r="E377">
            <v>37859</v>
          </cell>
          <cell r="F377">
            <v>886</v>
          </cell>
          <cell r="H377">
            <v>0</v>
          </cell>
          <cell r="I377" t="str">
            <v>кап</v>
          </cell>
          <cell r="J377">
            <v>38409</v>
          </cell>
        </row>
        <row r="378">
          <cell r="A378">
            <v>58720392</v>
          </cell>
          <cell r="B378" t="str">
            <v>АГЕНТСТВО РЕФПЕРЕВОЗОК</v>
          </cell>
          <cell r="C378" t="str">
            <v>ХОВРИНО      (ОКТ)</v>
          </cell>
          <cell r="D378">
            <v>32509</v>
          </cell>
          <cell r="E378">
            <v>37859</v>
          </cell>
          <cell r="F378">
            <v>886</v>
          </cell>
          <cell r="H378">
            <v>0</v>
          </cell>
          <cell r="I378" t="str">
            <v>кап</v>
          </cell>
          <cell r="J378">
            <v>38409</v>
          </cell>
        </row>
        <row r="379">
          <cell r="A379">
            <v>58720491</v>
          </cell>
          <cell r="B379" t="str">
            <v>АГЕНТСТВО РЕФПЕРЕВОЗОК</v>
          </cell>
          <cell r="C379" t="str">
            <v>ХОВРИНО      (ОКТ)</v>
          </cell>
          <cell r="D379">
            <v>32509</v>
          </cell>
          <cell r="E379">
            <v>37833</v>
          </cell>
          <cell r="F379">
            <v>163</v>
          </cell>
          <cell r="H379">
            <v>0</v>
          </cell>
          <cell r="I379" t="str">
            <v>кап</v>
          </cell>
          <cell r="J379">
            <v>38383</v>
          </cell>
        </row>
        <row r="380">
          <cell r="A380">
            <v>58720590</v>
          </cell>
          <cell r="B380" t="str">
            <v>АГЕНТСТВО РЕФПЕРЕВОЗОК</v>
          </cell>
          <cell r="C380" t="str">
            <v>ХОВРИНО      (ОКТ)</v>
          </cell>
          <cell r="D380">
            <v>32509</v>
          </cell>
          <cell r="E380">
            <v>37859</v>
          </cell>
          <cell r="F380">
            <v>886</v>
          </cell>
          <cell r="H380">
            <v>0</v>
          </cell>
          <cell r="I380" t="str">
            <v>кап</v>
          </cell>
          <cell r="J380">
            <v>38409</v>
          </cell>
        </row>
        <row r="381">
          <cell r="A381">
            <v>58721093</v>
          </cell>
          <cell r="B381" t="str">
            <v>АГЕНТСТВО РЕФПЕРЕВОЗОК</v>
          </cell>
          <cell r="C381" t="str">
            <v>ХОВРИНО      (ОКТ)</v>
          </cell>
          <cell r="D381">
            <v>32509</v>
          </cell>
          <cell r="E381">
            <v>37830</v>
          </cell>
          <cell r="F381">
            <v>163</v>
          </cell>
          <cell r="H381">
            <v>0</v>
          </cell>
          <cell r="I381" t="str">
            <v>кап</v>
          </cell>
          <cell r="J381">
            <v>38380</v>
          </cell>
        </row>
        <row r="382">
          <cell r="A382">
            <v>58721192</v>
          </cell>
          <cell r="B382" t="str">
            <v>АГЕНТСТВО РЕФПЕРЕВОЗОК</v>
          </cell>
          <cell r="C382" t="str">
            <v>ХОВРИНО      (ОКТ)</v>
          </cell>
          <cell r="D382">
            <v>32509</v>
          </cell>
          <cell r="E382">
            <v>37830</v>
          </cell>
          <cell r="F382">
            <v>163</v>
          </cell>
          <cell r="H382">
            <v>0</v>
          </cell>
          <cell r="I382" t="str">
            <v>кап</v>
          </cell>
          <cell r="J382">
            <v>38380</v>
          </cell>
        </row>
        <row r="383">
          <cell r="A383">
            <v>58721291</v>
          </cell>
          <cell r="B383" t="str">
            <v>АГЕНТСТВО РЕФПЕРЕВОЗОК</v>
          </cell>
          <cell r="C383" t="str">
            <v>ХОВРИНО      (ОКТ)</v>
          </cell>
          <cell r="D383">
            <v>32509</v>
          </cell>
          <cell r="E383">
            <v>37830</v>
          </cell>
          <cell r="F383">
            <v>163</v>
          </cell>
          <cell r="H383">
            <v>0</v>
          </cell>
          <cell r="I383" t="str">
            <v>кап</v>
          </cell>
          <cell r="J383">
            <v>38380</v>
          </cell>
        </row>
        <row r="384">
          <cell r="A384">
            <v>58721390</v>
          </cell>
          <cell r="B384" t="str">
            <v>АГЕНТСТВО РЕФПЕРЕВОЗОК</v>
          </cell>
          <cell r="C384" t="str">
            <v>ХОВРИНО      (ОКТ)</v>
          </cell>
          <cell r="D384">
            <v>32509</v>
          </cell>
          <cell r="E384">
            <v>37830</v>
          </cell>
          <cell r="F384">
            <v>163</v>
          </cell>
          <cell r="H384">
            <v>0</v>
          </cell>
          <cell r="I384" t="str">
            <v>кап</v>
          </cell>
          <cell r="J384">
            <v>38380</v>
          </cell>
        </row>
        <row r="385">
          <cell r="A385">
            <v>58721663</v>
          </cell>
          <cell r="B385" t="str">
            <v>АГЕНТСТВО РЕФПЕРЕВОЗОК</v>
          </cell>
          <cell r="C385" t="str">
            <v>ХОВРИНО      (ОКТ)</v>
          </cell>
          <cell r="D385">
            <v>34243</v>
          </cell>
          <cell r="E385">
            <v>37781</v>
          </cell>
          <cell r="F385">
            <v>886</v>
          </cell>
          <cell r="H385">
            <v>0</v>
          </cell>
          <cell r="I385" t="str">
            <v>деп</v>
          </cell>
          <cell r="J385">
            <v>38512</v>
          </cell>
        </row>
        <row r="386">
          <cell r="A386">
            <v>58721671</v>
          </cell>
          <cell r="B386" t="str">
            <v>АГЕНТСТВО РЕФПЕРЕВОЗОК</v>
          </cell>
          <cell r="C386" t="str">
            <v>ХОВРИНО      (ОКТ)</v>
          </cell>
          <cell r="D386">
            <v>34243</v>
          </cell>
          <cell r="E386">
            <v>37781</v>
          </cell>
          <cell r="F386">
            <v>886</v>
          </cell>
          <cell r="H386">
            <v>0</v>
          </cell>
          <cell r="I386" t="str">
            <v>деп</v>
          </cell>
          <cell r="J386">
            <v>38512</v>
          </cell>
        </row>
        <row r="387">
          <cell r="A387">
            <v>58721689</v>
          </cell>
          <cell r="B387" t="str">
            <v>АГЕНТСТВО РЕФПЕРЕВОЗОК</v>
          </cell>
          <cell r="C387" t="str">
            <v>ХОВРИНО      (ОКТ)</v>
          </cell>
          <cell r="D387">
            <v>34243</v>
          </cell>
          <cell r="E387">
            <v>37781</v>
          </cell>
          <cell r="F387">
            <v>886</v>
          </cell>
          <cell r="H387">
            <v>0</v>
          </cell>
          <cell r="I387" t="str">
            <v>деп</v>
          </cell>
          <cell r="J387">
            <v>38512</v>
          </cell>
        </row>
        <row r="388">
          <cell r="A388">
            <v>58721705</v>
          </cell>
          <cell r="B388" t="str">
            <v>АГЕНТСТВО РЕФПЕРЕВОЗОК</v>
          </cell>
          <cell r="C388" t="str">
            <v>ХОВРИНО      (ОКТ)</v>
          </cell>
          <cell r="D388">
            <v>34243</v>
          </cell>
          <cell r="E388">
            <v>37781</v>
          </cell>
          <cell r="F388">
            <v>886</v>
          </cell>
          <cell r="H388">
            <v>0</v>
          </cell>
          <cell r="I388" t="str">
            <v>деп</v>
          </cell>
          <cell r="J388">
            <v>38512</v>
          </cell>
        </row>
        <row r="389">
          <cell r="A389">
            <v>58724766</v>
          </cell>
          <cell r="B389" t="str">
            <v>АГЕНТСТВО РЕФПЕРЕВОЗОК</v>
          </cell>
          <cell r="C389" t="str">
            <v>ХОВРИНО      (ОКТ)</v>
          </cell>
          <cell r="D389">
            <v>33604</v>
          </cell>
          <cell r="F389">
            <v>0</v>
          </cell>
          <cell r="H389">
            <v>0</v>
          </cell>
          <cell r="I389" t="str">
            <v>деп</v>
          </cell>
          <cell r="J389">
            <v>34516</v>
          </cell>
        </row>
        <row r="390">
          <cell r="A390">
            <v>58724774</v>
          </cell>
          <cell r="B390" t="str">
            <v>АГЕНТСТВО РЕФПЕРЕВОЗОК</v>
          </cell>
          <cell r="C390" t="str">
            <v>ХОВРИНО      (ОКТ)</v>
          </cell>
          <cell r="D390">
            <v>33604</v>
          </cell>
          <cell r="F390">
            <v>0</v>
          </cell>
          <cell r="H390">
            <v>0</v>
          </cell>
          <cell r="I390" t="str">
            <v>деп</v>
          </cell>
          <cell r="J390">
            <v>34516</v>
          </cell>
        </row>
        <row r="391">
          <cell r="A391">
            <v>58725698</v>
          </cell>
          <cell r="B391" t="str">
            <v>АГЕНТСТВО РЕФПЕРЕВОЗОК</v>
          </cell>
          <cell r="C391" t="str">
            <v>ХОВРИНО      (ОКТ)</v>
          </cell>
          <cell r="D391">
            <v>33239</v>
          </cell>
          <cell r="E391">
            <v>37615</v>
          </cell>
          <cell r="F391">
            <v>163</v>
          </cell>
          <cell r="H391">
            <v>0</v>
          </cell>
          <cell r="I391" t="str">
            <v>деп</v>
          </cell>
          <cell r="J391">
            <v>38163</v>
          </cell>
        </row>
        <row r="392">
          <cell r="A392">
            <v>58725797</v>
          </cell>
          <cell r="B392" t="str">
            <v>АГЕНТСТВО РЕФПЕРЕВОЗОК</v>
          </cell>
          <cell r="C392" t="str">
            <v>ХОВРИНО      (ОКТ)</v>
          </cell>
          <cell r="D392">
            <v>33239</v>
          </cell>
          <cell r="E392">
            <v>37615</v>
          </cell>
          <cell r="F392">
            <v>163</v>
          </cell>
          <cell r="H392">
            <v>0</v>
          </cell>
          <cell r="I392" t="str">
            <v>деп</v>
          </cell>
          <cell r="J392">
            <v>38163</v>
          </cell>
        </row>
        <row r="393">
          <cell r="A393">
            <v>58725896</v>
          </cell>
          <cell r="B393" t="str">
            <v>АГЕНТСТВО РЕФПЕРЕВОЗОК</v>
          </cell>
          <cell r="C393" t="str">
            <v>ХОВРИНО      (ОКТ)</v>
          </cell>
          <cell r="D393">
            <v>33239</v>
          </cell>
          <cell r="E393">
            <v>37615</v>
          </cell>
          <cell r="F393">
            <v>163</v>
          </cell>
          <cell r="H393">
            <v>0</v>
          </cell>
          <cell r="I393" t="str">
            <v>деп</v>
          </cell>
          <cell r="J393">
            <v>38163</v>
          </cell>
        </row>
        <row r="394">
          <cell r="A394">
            <v>58725920</v>
          </cell>
          <cell r="B394" t="str">
            <v>АГЕНТСТВО РЕФПЕРЕВОЗОК</v>
          </cell>
          <cell r="C394" t="str">
            <v>УССУРИЙСК    (ДВС)</v>
          </cell>
          <cell r="D394">
            <v>30590</v>
          </cell>
          <cell r="E394">
            <v>37404</v>
          </cell>
          <cell r="F394">
            <v>163</v>
          </cell>
          <cell r="G394">
            <v>34790</v>
          </cell>
          <cell r="H394">
            <v>0</v>
          </cell>
          <cell r="I394" t="str">
            <v>деп</v>
          </cell>
          <cell r="J394">
            <v>38135</v>
          </cell>
        </row>
        <row r="395">
          <cell r="A395">
            <v>58725938</v>
          </cell>
          <cell r="B395" t="str">
            <v>АГЕНТСТВО РЕФПЕРЕВОЗОК</v>
          </cell>
          <cell r="C395" t="str">
            <v>УССУРИЙСК    (ДВС)</v>
          </cell>
          <cell r="D395">
            <v>30590</v>
          </cell>
          <cell r="E395">
            <v>37404</v>
          </cell>
          <cell r="F395">
            <v>163</v>
          </cell>
          <cell r="G395">
            <v>34790</v>
          </cell>
          <cell r="H395">
            <v>0</v>
          </cell>
          <cell r="I395" t="str">
            <v>деп</v>
          </cell>
          <cell r="J395">
            <v>38135</v>
          </cell>
        </row>
        <row r="396">
          <cell r="A396">
            <v>58725946</v>
          </cell>
          <cell r="B396" t="str">
            <v>АГЕНТСТВО РЕФПЕРЕВОЗОК</v>
          </cell>
          <cell r="C396" t="str">
            <v>УССУРИЙСК    (ДВС)</v>
          </cell>
          <cell r="D396">
            <v>30590</v>
          </cell>
          <cell r="E396">
            <v>37404</v>
          </cell>
          <cell r="F396">
            <v>163</v>
          </cell>
          <cell r="G396">
            <v>34790</v>
          </cell>
          <cell r="H396">
            <v>0</v>
          </cell>
          <cell r="I396" t="str">
            <v>деп</v>
          </cell>
          <cell r="J396">
            <v>38135</v>
          </cell>
        </row>
        <row r="397">
          <cell r="A397">
            <v>58725953</v>
          </cell>
          <cell r="B397" t="str">
            <v>АГЕНТСТВО РЕФПЕРЕВОЗОК</v>
          </cell>
          <cell r="C397" t="str">
            <v>УССУРИЙСК    (ДВС)</v>
          </cell>
          <cell r="D397">
            <v>30590</v>
          </cell>
          <cell r="E397">
            <v>37404</v>
          </cell>
          <cell r="F397">
            <v>163</v>
          </cell>
          <cell r="G397">
            <v>34790</v>
          </cell>
          <cell r="H397">
            <v>0</v>
          </cell>
          <cell r="I397" t="str">
            <v>деп</v>
          </cell>
          <cell r="J397">
            <v>38135</v>
          </cell>
        </row>
        <row r="398">
          <cell r="A398">
            <v>58725961</v>
          </cell>
          <cell r="B398" t="str">
            <v>АГЕНТСТВО РЕФПЕРЕВОЗОК</v>
          </cell>
          <cell r="C398" t="str">
            <v>УССУРИЙСК    (ДВС)</v>
          </cell>
          <cell r="D398">
            <v>29952</v>
          </cell>
          <cell r="E398">
            <v>37686</v>
          </cell>
          <cell r="F398">
            <v>557</v>
          </cell>
          <cell r="G398">
            <v>34881</v>
          </cell>
          <cell r="H398">
            <v>0</v>
          </cell>
          <cell r="I398" t="str">
            <v>деп</v>
          </cell>
          <cell r="J398">
            <v>38417</v>
          </cell>
        </row>
        <row r="399">
          <cell r="A399">
            <v>58725979</v>
          </cell>
          <cell r="B399" t="str">
            <v>АГЕНТСТВО РЕФПЕРЕВОЗОК</v>
          </cell>
          <cell r="C399" t="str">
            <v>УССУРИЙСК    (ДВС)</v>
          </cell>
          <cell r="D399">
            <v>29952</v>
          </cell>
          <cell r="E399">
            <v>37686</v>
          </cell>
          <cell r="F399">
            <v>557</v>
          </cell>
          <cell r="G399">
            <v>34881</v>
          </cell>
          <cell r="H399">
            <v>0</v>
          </cell>
          <cell r="I399" t="str">
            <v>деп</v>
          </cell>
          <cell r="J399">
            <v>38417</v>
          </cell>
        </row>
        <row r="400">
          <cell r="A400">
            <v>58725987</v>
          </cell>
          <cell r="B400" t="str">
            <v>АГЕНТСТВО РЕФПЕРЕВОЗОК</v>
          </cell>
          <cell r="C400" t="str">
            <v>УССУРИЙСК    (ДВС)</v>
          </cell>
          <cell r="D400">
            <v>29952</v>
          </cell>
          <cell r="E400">
            <v>37686</v>
          </cell>
          <cell r="F400">
            <v>557</v>
          </cell>
          <cell r="G400">
            <v>34881</v>
          </cell>
          <cell r="H400">
            <v>0</v>
          </cell>
          <cell r="I400" t="str">
            <v>деп</v>
          </cell>
          <cell r="J400">
            <v>38417</v>
          </cell>
        </row>
        <row r="401">
          <cell r="A401">
            <v>58725995</v>
          </cell>
          <cell r="B401" t="str">
            <v>АГЕНТСТВО РЕФПЕРЕВОЗОК</v>
          </cell>
          <cell r="C401" t="str">
            <v>ХОВРИНО      (ОКТ)</v>
          </cell>
          <cell r="D401">
            <v>33239</v>
          </cell>
          <cell r="E401">
            <v>37685</v>
          </cell>
          <cell r="F401">
            <v>163</v>
          </cell>
          <cell r="H401">
            <v>0</v>
          </cell>
          <cell r="I401" t="str">
            <v>деп</v>
          </cell>
          <cell r="J401">
            <v>38235</v>
          </cell>
        </row>
        <row r="402">
          <cell r="A402">
            <v>58726001</v>
          </cell>
          <cell r="B402" t="str">
            <v>АГЕНТСТВО РЕФПЕРЕВОЗОК</v>
          </cell>
          <cell r="C402" t="str">
            <v>УССУРИЙСК    (ДВС)</v>
          </cell>
          <cell r="D402">
            <v>29952</v>
          </cell>
          <cell r="E402">
            <v>37686</v>
          </cell>
          <cell r="F402">
            <v>557</v>
          </cell>
          <cell r="G402">
            <v>34881</v>
          </cell>
          <cell r="H402">
            <v>0</v>
          </cell>
          <cell r="I402" t="str">
            <v>деп</v>
          </cell>
          <cell r="J402">
            <v>38417</v>
          </cell>
        </row>
        <row r="403">
          <cell r="A403">
            <v>58726019</v>
          </cell>
          <cell r="B403" t="str">
            <v>АГЕНТСТВО РЕФПЕРЕВОЗОК</v>
          </cell>
          <cell r="C403" t="str">
            <v>УССУРИЙСК    (ДВС)</v>
          </cell>
          <cell r="D403">
            <v>29952</v>
          </cell>
          <cell r="E403">
            <v>37512</v>
          </cell>
          <cell r="F403">
            <v>163</v>
          </cell>
          <cell r="G403">
            <v>35156</v>
          </cell>
          <cell r="H403">
            <v>0</v>
          </cell>
          <cell r="I403" t="str">
            <v>деп</v>
          </cell>
          <cell r="J403">
            <v>38243</v>
          </cell>
        </row>
        <row r="404">
          <cell r="A404">
            <v>58726027</v>
          </cell>
          <cell r="B404" t="str">
            <v>АГЕНТСТВО РЕФПЕРЕВОЗОК</v>
          </cell>
          <cell r="C404" t="str">
            <v>УССУРИЙСК    (ДВС)</v>
          </cell>
          <cell r="D404">
            <v>29952</v>
          </cell>
          <cell r="E404">
            <v>37512</v>
          </cell>
          <cell r="F404">
            <v>163</v>
          </cell>
          <cell r="G404">
            <v>35156</v>
          </cell>
          <cell r="H404">
            <v>0</v>
          </cell>
          <cell r="I404" t="str">
            <v>деп</v>
          </cell>
          <cell r="J404">
            <v>38243</v>
          </cell>
        </row>
        <row r="405">
          <cell r="A405">
            <v>58726035</v>
          </cell>
          <cell r="B405" t="str">
            <v>АГЕНТСТВО РЕФПЕРЕВОЗОК</v>
          </cell>
          <cell r="C405" t="str">
            <v>УССУРИЙСК    (ДВС)</v>
          </cell>
          <cell r="D405">
            <v>29952</v>
          </cell>
          <cell r="E405">
            <v>37512</v>
          </cell>
          <cell r="F405">
            <v>163</v>
          </cell>
          <cell r="G405">
            <v>35156</v>
          </cell>
          <cell r="H405">
            <v>0</v>
          </cell>
          <cell r="I405" t="str">
            <v>деп</v>
          </cell>
          <cell r="J405">
            <v>38243</v>
          </cell>
        </row>
        <row r="406">
          <cell r="A406">
            <v>58726043</v>
          </cell>
          <cell r="B406" t="str">
            <v>АГЕНТСТВО РЕФПЕРЕВОЗОК</v>
          </cell>
          <cell r="C406" t="str">
            <v>УССУРИЙСК    (ДВС)</v>
          </cell>
          <cell r="D406">
            <v>29952</v>
          </cell>
          <cell r="E406">
            <v>37512</v>
          </cell>
          <cell r="F406">
            <v>163</v>
          </cell>
          <cell r="G406">
            <v>35156</v>
          </cell>
          <cell r="H406">
            <v>0</v>
          </cell>
          <cell r="I406" t="str">
            <v>деп</v>
          </cell>
          <cell r="J406">
            <v>38243</v>
          </cell>
        </row>
        <row r="407">
          <cell r="A407">
            <v>58726050</v>
          </cell>
          <cell r="B407" t="str">
            <v>АГЕНТСТВО РЕФПЕРЕВОЗОК</v>
          </cell>
          <cell r="C407" t="str">
            <v>УССУРИЙСК    (ДВС)</v>
          </cell>
          <cell r="D407">
            <v>29952</v>
          </cell>
          <cell r="E407">
            <v>37791</v>
          </cell>
          <cell r="F407">
            <v>886</v>
          </cell>
          <cell r="G407">
            <v>35034</v>
          </cell>
          <cell r="H407">
            <v>0</v>
          </cell>
          <cell r="I407" t="str">
            <v>деп</v>
          </cell>
          <cell r="J407">
            <v>38522</v>
          </cell>
        </row>
        <row r="408">
          <cell r="A408">
            <v>58726068</v>
          </cell>
          <cell r="B408" t="str">
            <v>АГЕНТСТВО РЕФПЕРЕВОЗОК</v>
          </cell>
          <cell r="C408" t="str">
            <v>УССУРИЙСК    (ДВС)</v>
          </cell>
          <cell r="D408">
            <v>29952</v>
          </cell>
          <cell r="E408">
            <v>37721</v>
          </cell>
          <cell r="F408">
            <v>350</v>
          </cell>
          <cell r="G408">
            <v>35034</v>
          </cell>
          <cell r="H408">
            <v>0</v>
          </cell>
          <cell r="I408" t="str">
            <v>деп</v>
          </cell>
          <cell r="J408">
            <v>38452</v>
          </cell>
        </row>
        <row r="409">
          <cell r="A409">
            <v>58726076</v>
          </cell>
          <cell r="B409" t="str">
            <v>АГЕНТСТВО РЕФПЕРЕВОЗОК</v>
          </cell>
          <cell r="C409" t="str">
            <v>УССУРИЙСК    (ДВС)</v>
          </cell>
          <cell r="D409">
            <v>29952</v>
          </cell>
          <cell r="E409">
            <v>37721</v>
          </cell>
          <cell r="F409">
            <v>350</v>
          </cell>
          <cell r="G409">
            <v>35034</v>
          </cell>
          <cell r="H409">
            <v>0</v>
          </cell>
          <cell r="I409" t="str">
            <v>деп</v>
          </cell>
          <cell r="J409">
            <v>38452</v>
          </cell>
        </row>
        <row r="410">
          <cell r="A410">
            <v>58726084</v>
          </cell>
          <cell r="B410" t="str">
            <v>АГЕНТСТВО РЕФПЕРЕВОЗОК</v>
          </cell>
          <cell r="C410" t="str">
            <v>УССУРИЙСК    (ДВС)</v>
          </cell>
          <cell r="D410">
            <v>29952</v>
          </cell>
          <cell r="E410">
            <v>37791</v>
          </cell>
          <cell r="F410">
            <v>886</v>
          </cell>
          <cell r="G410">
            <v>35034</v>
          </cell>
          <cell r="H410">
            <v>0</v>
          </cell>
          <cell r="I410" t="str">
            <v>деп</v>
          </cell>
          <cell r="J410">
            <v>38522</v>
          </cell>
        </row>
        <row r="411">
          <cell r="A411">
            <v>58726100</v>
          </cell>
          <cell r="B411" t="str">
            <v>АГЕНТСТВО РЕФПЕРЕВОЗОК</v>
          </cell>
          <cell r="C411" t="str">
            <v>УССУРИЙСК    (ДВС)</v>
          </cell>
          <cell r="D411">
            <v>29952</v>
          </cell>
          <cell r="E411">
            <v>37586</v>
          </cell>
          <cell r="F411">
            <v>163</v>
          </cell>
          <cell r="G411">
            <v>34881</v>
          </cell>
          <cell r="H411">
            <v>0</v>
          </cell>
          <cell r="I411" t="str">
            <v>деп</v>
          </cell>
          <cell r="J411">
            <v>38317</v>
          </cell>
        </row>
        <row r="412">
          <cell r="A412">
            <v>58726118</v>
          </cell>
          <cell r="B412" t="str">
            <v>АГЕНТСТВО РЕФПЕРЕВОЗОК</v>
          </cell>
          <cell r="C412" t="str">
            <v>УССУРИЙСК    (ДВС)</v>
          </cell>
          <cell r="D412">
            <v>29952</v>
          </cell>
          <cell r="E412">
            <v>37529</v>
          </cell>
          <cell r="F412">
            <v>163</v>
          </cell>
          <cell r="G412">
            <v>34881</v>
          </cell>
          <cell r="H412">
            <v>0</v>
          </cell>
          <cell r="I412" t="str">
            <v>деп</v>
          </cell>
          <cell r="J412">
            <v>38260</v>
          </cell>
        </row>
        <row r="413">
          <cell r="A413">
            <v>58726126</v>
          </cell>
          <cell r="B413" t="str">
            <v>АГЕНТСТВО РЕФПЕРЕВОЗОК</v>
          </cell>
          <cell r="C413" t="str">
            <v>УССУРИЙСК    (ДВС)</v>
          </cell>
          <cell r="D413">
            <v>29952</v>
          </cell>
          <cell r="E413">
            <v>37529</v>
          </cell>
          <cell r="F413">
            <v>163</v>
          </cell>
          <cell r="G413">
            <v>34881</v>
          </cell>
          <cell r="H413">
            <v>0</v>
          </cell>
          <cell r="I413" t="str">
            <v>деп</v>
          </cell>
          <cell r="J413">
            <v>38260</v>
          </cell>
        </row>
        <row r="414">
          <cell r="A414">
            <v>58726134</v>
          </cell>
          <cell r="B414" t="str">
            <v>АГЕНТСТВО РЕФПЕРЕВОЗОК</v>
          </cell>
          <cell r="C414" t="str">
            <v>УССУРИЙСК    (ДВС)</v>
          </cell>
          <cell r="D414">
            <v>29952</v>
          </cell>
          <cell r="E414">
            <v>37536</v>
          </cell>
          <cell r="F414">
            <v>163</v>
          </cell>
          <cell r="G414">
            <v>34881</v>
          </cell>
          <cell r="H414">
            <v>0</v>
          </cell>
          <cell r="I414" t="str">
            <v>деп</v>
          </cell>
          <cell r="J414">
            <v>38267</v>
          </cell>
        </row>
        <row r="415">
          <cell r="A415">
            <v>58726142</v>
          </cell>
          <cell r="B415" t="str">
            <v>АГЕНТСТВО РЕФПЕРЕВОЗОК</v>
          </cell>
          <cell r="C415" t="str">
            <v>УССУРИЙСК    (ДВС)</v>
          </cell>
          <cell r="D415">
            <v>29983</v>
          </cell>
          <cell r="E415">
            <v>37433</v>
          </cell>
          <cell r="F415">
            <v>163</v>
          </cell>
          <cell r="G415">
            <v>34366</v>
          </cell>
          <cell r="H415">
            <v>0</v>
          </cell>
          <cell r="I415" t="str">
            <v>деп</v>
          </cell>
          <cell r="J415">
            <v>38164</v>
          </cell>
        </row>
        <row r="416">
          <cell r="A416">
            <v>58726159</v>
          </cell>
          <cell r="B416" t="str">
            <v>АГЕНТСТВО РЕФПЕРЕВОЗОК</v>
          </cell>
          <cell r="C416" t="str">
            <v>УССУРИЙСК    (ДВС)</v>
          </cell>
          <cell r="D416">
            <v>29983</v>
          </cell>
          <cell r="E416">
            <v>37433</v>
          </cell>
          <cell r="F416">
            <v>163</v>
          </cell>
          <cell r="G416">
            <v>34366</v>
          </cell>
          <cell r="H416">
            <v>0</v>
          </cell>
          <cell r="I416" t="str">
            <v>деп</v>
          </cell>
          <cell r="J416">
            <v>38164</v>
          </cell>
        </row>
        <row r="417">
          <cell r="A417">
            <v>58726167</v>
          </cell>
          <cell r="B417" t="str">
            <v>АГЕНТСТВО РЕФПЕРЕВОЗОК</v>
          </cell>
          <cell r="C417" t="str">
            <v>УССУРИЙСК    (ДВС)</v>
          </cell>
          <cell r="D417">
            <v>29983</v>
          </cell>
          <cell r="E417">
            <v>37433</v>
          </cell>
          <cell r="F417">
            <v>163</v>
          </cell>
          <cell r="G417">
            <v>34366</v>
          </cell>
          <cell r="H417">
            <v>0</v>
          </cell>
          <cell r="I417" t="str">
            <v>деп</v>
          </cell>
          <cell r="J417">
            <v>38164</v>
          </cell>
        </row>
        <row r="418">
          <cell r="A418">
            <v>58726175</v>
          </cell>
          <cell r="B418" t="str">
            <v>АГЕНТСТВО РЕФПЕРЕВОЗОК</v>
          </cell>
          <cell r="C418" t="str">
            <v>УССУРИЙСК    (ДВС)</v>
          </cell>
          <cell r="D418">
            <v>29983</v>
          </cell>
          <cell r="E418">
            <v>37433</v>
          </cell>
          <cell r="F418">
            <v>163</v>
          </cell>
          <cell r="G418">
            <v>34366</v>
          </cell>
          <cell r="H418">
            <v>0</v>
          </cell>
          <cell r="I418" t="str">
            <v>деп</v>
          </cell>
          <cell r="J418">
            <v>38164</v>
          </cell>
        </row>
        <row r="419">
          <cell r="A419">
            <v>58726183</v>
          </cell>
          <cell r="B419" t="str">
            <v>АГЕНТСТВО РЕФПЕРЕВОЗОК</v>
          </cell>
          <cell r="C419" t="str">
            <v>УССУРИЙСК    (ДВС)</v>
          </cell>
          <cell r="D419">
            <v>30072</v>
          </cell>
          <cell r="E419">
            <v>37370</v>
          </cell>
          <cell r="F419">
            <v>163</v>
          </cell>
          <cell r="G419">
            <v>35186</v>
          </cell>
          <cell r="H419">
            <v>0</v>
          </cell>
          <cell r="I419" t="str">
            <v>деп</v>
          </cell>
          <cell r="J419">
            <v>38101</v>
          </cell>
        </row>
        <row r="420">
          <cell r="A420">
            <v>58726209</v>
          </cell>
          <cell r="B420" t="str">
            <v>АГЕНТСТВО РЕФПЕРЕВОЗОК</v>
          </cell>
          <cell r="C420" t="str">
            <v>УССУРИЙСК    (ДВС)</v>
          </cell>
          <cell r="D420">
            <v>30072</v>
          </cell>
          <cell r="E420">
            <v>37370</v>
          </cell>
          <cell r="F420">
            <v>163</v>
          </cell>
          <cell r="G420">
            <v>35215</v>
          </cell>
          <cell r="H420">
            <v>75</v>
          </cell>
          <cell r="I420" t="str">
            <v>деп</v>
          </cell>
          <cell r="J420">
            <v>38101</v>
          </cell>
        </row>
        <row r="421">
          <cell r="A421">
            <v>58726217</v>
          </cell>
          <cell r="B421" t="str">
            <v>АГЕНТСТВО РЕФПЕРЕВОЗОК</v>
          </cell>
          <cell r="C421" t="str">
            <v>УССУРИЙСК    (ДВС)</v>
          </cell>
          <cell r="D421">
            <v>30072</v>
          </cell>
          <cell r="E421">
            <v>37370</v>
          </cell>
          <cell r="F421">
            <v>163</v>
          </cell>
          <cell r="G421">
            <v>35215</v>
          </cell>
          <cell r="H421">
            <v>75</v>
          </cell>
          <cell r="I421" t="str">
            <v>деп</v>
          </cell>
          <cell r="J421">
            <v>38101</v>
          </cell>
        </row>
        <row r="422">
          <cell r="A422">
            <v>58726225</v>
          </cell>
          <cell r="B422" t="str">
            <v>АГЕНТСТВО РЕФПЕРЕВОЗОК</v>
          </cell>
          <cell r="C422" t="str">
            <v>УССУРИЙСК    (ДВС)</v>
          </cell>
          <cell r="D422">
            <v>30072</v>
          </cell>
          <cell r="E422">
            <v>37370</v>
          </cell>
          <cell r="F422">
            <v>163</v>
          </cell>
          <cell r="G422">
            <v>35186</v>
          </cell>
          <cell r="H422">
            <v>0</v>
          </cell>
          <cell r="I422" t="str">
            <v>деп</v>
          </cell>
          <cell r="J422">
            <v>38101</v>
          </cell>
        </row>
        <row r="423">
          <cell r="A423">
            <v>58726233</v>
          </cell>
          <cell r="B423" t="str">
            <v>АГЕНТСТВО РЕФПЕРЕВОЗОК</v>
          </cell>
          <cell r="C423" t="str">
            <v>УССУРИЙСК    (ДВС)</v>
          </cell>
          <cell r="D423">
            <v>30072</v>
          </cell>
          <cell r="E423">
            <v>37610</v>
          </cell>
          <cell r="F423">
            <v>163</v>
          </cell>
          <cell r="G423">
            <v>35034</v>
          </cell>
          <cell r="H423">
            <v>0</v>
          </cell>
          <cell r="I423" t="str">
            <v>деп</v>
          </cell>
          <cell r="J423">
            <v>38341</v>
          </cell>
        </row>
        <row r="424">
          <cell r="A424">
            <v>58726241</v>
          </cell>
          <cell r="B424" t="str">
            <v>АГЕНТСТВО РЕФПЕРЕВОЗОК</v>
          </cell>
          <cell r="C424" t="str">
            <v>УССУРИЙСК    (ДВС)</v>
          </cell>
          <cell r="D424">
            <v>30072</v>
          </cell>
          <cell r="E424">
            <v>37610</v>
          </cell>
          <cell r="F424">
            <v>163</v>
          </cell>
          <cell r="G424">
            <v>35034</v>
          </cell>
          <cell r="H424">
            <v>0</v>
          </cell>
          <cell r="I424" t="str">
            <v>деп</v>
          </cell>
          <cell r="J424">
            <v>38341</v>
          </cell>
        </row>
        <row r="425">
          <cell r="A425">
            <v>58726258</v>
          </cell>
          <cell r="B425" t="str">
            <v>АГЕНТСТВО РЕФПЕРЕВОЗОК</v>
          </cell>
          <cell r="C425" t="str">
            <v>УССУРИЙСК    (ДВС)</v>
          </cell>
          <cell r="D425">
            <v>30072</v>
          </cell>
          <cell r="E425">
            <v>37610</v>
          </cell>
          <cell r="F425">
            <v>163</v>
          </cell>
          <cell r="G425">
            <v>35034</v>
          </cell>
          <cell r="H425">
            <v>0</v>
          </cell>
          <cell r="I425" t="str">
            <v>деп</v>
          </cell>
          <cell r="J425">
            <v>38341</v>
          </cell>
        </row>
        <row r="426">
          <cell r="A426">
            <v>58726266</v>
          </cell>
          <cell r="B426" t="str">
            <v>АГЕНТСТВО РЕФПЕРЕВОЗОК</v>
          </cell>
          <cell r="C426" t="str">
            <v>УССУРИЙСК    (ДВС)</v>
          </cell>
          <cell r="D426">
            <v>30072</v>
          </cell>
          <cell r="E426">
            <v>37610</v>
          </cell>
          <cell r="F426">
            <v>163</v>
          </cell>
          <cell r="G426">
            <v>35034</v>
          </cell>
          <cell r="H426">
            <v>0</v>
          </cell>
          <cell r="I426" t="str">
            <v>деп</v>
          </cell>
          <cell r="J426">
            <v>38341</v>
          </cell>
        </row>
        <row r="427">
          <cell r="A427">
            <v>58726274</v>
          </cell>
          <cell r="B427" t="str">
            <v>АГЕНТСТВО РЕФПЕРЕВОЗОК</v>
          </cell>
          <cell r="C427" t="str">
            <v>УССУРИЙСК    (ДВС)</v>
          </cell>
          <cell r="D427">
            <v>30133</v>
          </cell>
          <cell r="E427">
            <v>37618</v>
          </cell>
          <cell r="F427">
            <v>163</v>
          </cell>
          <cell r="G427">
            <v>34943</v>
          </cell>
          <cell r="H427">
            <v>0</v>
          </cell>
          <cell r="I427" t="str">
            <v>деп</v>
          </cell>
          <cell r="J427">
            <v>38349</v>
          </cell>
        </row>
        <row r="428">
          <cell r="A428">
            <v>58726282</v>
          </cell>
          <cell r="B428" t="str">
            <v>АГЕНТСТВО РЕФПЕРЕВОЗОК</v>
          </cell>
          <cell r="C428" t="str">
            <v>УССУРИЙСК    (ДВС)</v>
          </cell>
          <cell r="D428">
            <v>30133</v>
          </cell>
          <cell r="E428">
            <v>37618</v>
          </cell>
          <cell r="F428">
            <v>163</v>
          </cell>
          <cell r="G428">
            <v>34943</v>
          </cell>
          <cell r="H428">
            <v>0</v>
          </cell>
          <cell r="I428" t="str">
            <v>деп</v>
          </cell>
          <cell r="J428">
            <v>38349</v>
          </cell>
        </row>
        <row r="429">
          <cell r="A429">
            <v>58726308</v>
          </cell>
          <cell r="B429" t="str">
            <v>АГЕНТСТВО РЕФПЕРЕВОЗОК</v>
          </cell>
          <cell r="C429" t="str">
            <v>УССУРИЙСК    (ДВС)</v>
          </cell>
          <cell r="D429">
            <v>30133</v>
          </cell>
          <cell r="E429">
            <v>37618</v>
          </cell>
          <cell r="F429">
            <v>163</v>
          </cell>
          <cell r="G429">
            <v>34943</v>
          </cell>
          <cell r="H429">
            <v>0</v>
          </cell>
          <cell r="I429" t="str">
            <v>деп</v>
          </cell>
          <cell r="J429">
            <v>38349</v>
          </cell>
        </row>
        <row r="430">
          <cell r="A430">
            <v>58726316</v>
          </cell>
          <cell r="B430" t="str">
            <v>АГЕНТСТВО РЕФПЕРЕВОЗОК</v>
          </cell>
          <cell r="C430" t="str">
            <v>УССУРИЙСК    (ДВС)</v>
          </cell>
          <cell r="D430">
            <v>30133</v>
          </cell>
          <cell r="E430">
            <v>37618</v>
          </cell>
          <cell r="F430">
            <v>163</v>
          </cell>
          <cell r="G430">
            <v>34943</v>
          </cell>
          <cell r="H430">
            <v>0</v>
          </cell>
          <cell r="I430" t="str">
            <v>деп</v>
          </cell>
          <cell r="J430">
            <v>38349</v>
          </cell>
        </row>
        <row r="431">
          <cell r="A431">
            <v>58726324</v>
          </cell>
          <cell r="B431" t="str">
            <v>АГЕНТСТВО РЕФПЕРЕВОЗОК</v>
          </cell>
          <cell r="C431" t="str">
            <v>УССУРИЙСК    (ДВС)</v>
          </cell>
          <cell r="D431">
            <v>30133</v>
          </cell>
          <cell r="E431">
            <v>37315</v>
          </cell>
          <cell r="F431">
            <v>163</v>
          </cell>
          <cell r="G431">
            <v>34820</v>
          </cell>
          <cell r="H431">
            <v>0</v>
          </cell>
          <cell r="I431" t="str">
            <v>деп</v>
          </cell>
          <cell r="J431">
            <v>38045</v>
          </cell>
        </row>
        <row r="432">
          <cell r="A432">
            <v>58726332</v>
          </cell>
          <cell r="B432" t="str">
            <v>АГЕНТСТВО РЕФПЕРЕВОЗОК</v>
          </cell>
          <cell r="C432" t="str">
            <v>УССУРИЙСК    (ДВС)</v>
          </cell>
          <cell r="D432">
            <v>30133</v>
          </cell>
          <cell r="E432">
            <v>37315</v>
          </cell>
          <cell r="F432">
            <v>163</v>
          </cell>
          <cell r="G432">
            <v>34820</v>
          </cell>
          <cell r="H432">
            <v>0</v>
          </cell>
          <cell r="I432" t="str">
            <v>деп</v>
          </cell>
          <cell r="J432">
            <v>38045</v>
          </cell>
        </row>
        <row r="433">
          <cell r="A433">
            <v>58726340</v>
          </cell>
          <cell r="B433" t="str">
            <v>АГЕНТСТВО РЕФПЕРЕВОЗОК</v>
          </cell>
          <cell r="C433" t="str">
            <v>УССУРИЙСК    (ДВС)</v>
          </cell>
          <cell r="D433">
            <v>30133</v>
          </cell>
          <cell r="E433">
            <v>37885</v>
          </cell>
          <cell r="F433">
            <v>557</v>
          </cell>
          <cell r="G433">
            <v>34820</v>
          </cell>
          <cell r="H433">
            <v>0</v>
          </cell>
          <cell r="I433" t="str">
            <v>деп</v>
          </cell>
          <cell r="J433">
            <v>38312</v>
          </cell>
        </row>
        <row r="434">
          <cell r="A434">
            <v>58726357</v>
          </cell>
          <cell r="B434" t="str">
            <v>АГЕНТСТВО РЕФПЕРЕВОЗОК</v>
          </cell>
          <cell r="C434" t="str">
            <v>УССУРИЙСК    (ДВС)</v>
          </cell>
          <cell r="D434">
            <v>30133</v>
          </cell>
          <cell r="E434">
            <v>37315</v>
          </cell>
          <cell r="F434">
            <v>163</v>
          </cell>
          <cell r="G434">
            <v>34820</v>
          </cell>
          <cell r="H434">
            <v>0</v>
          </cell>
          <cell r="I434" t="str">
            <v>деп</v>
          </cell>
          <cell r="J434">
            <v>38045</v>
          </cell>
        </row>
        <row r="435">
          <cell r="A435">
            <v>58729880</v>
          </cell>
          <cell r="B435" t="str">
            <v>АГЕНТСТВО РЕФПЕРЕВОЗОК</v>
          </cell>
          <cell r="C435" t="str">
            <v>ХОВРИНО      (ОКТ)</v>
          </cell>
          <cell r="D435">
            <v>32509</v>
          </cell>
          <cell r="E435">
            <v>37847</v>
          </cell>
          <cell r="F435">
            <v>557</v>
          </cell>
          <cell r="H435">
            <v>0</v>
          </cell>
          <cell r="I435" t="str">
            <v>кап</v>
          </cell>
          <cell r="J435">
            <v>38397</v>
          </cell>
        </row>
        <row r="436">
          <cell r="A436">
            <v>58729906</v>
          </cell>
          <cell r="B436" t="str">
            <v>АГЕНТСТВО РЕФПЕРЕВОЗОК</v>
          </cell>
          <cell r="C436" t="str">
            <v>ХОВРИНО      (ОКТ)</v>
          </cell>
          <cell r="D436">
            <v>32509</v>
          </cell>
          <cell r="E436">
            <v>37833</v>
          </cell>
          <cell r="F436">
            <v>163</v>
          </cell>
          <cell r="H436">
            <v>0</v>
          </cell>
          <cell r="I436" t="str">
            <v>кап</v>
          </cell>
          <cell r="J436">
            <v>38383</v>
          </cell>
        </row>
        <row r="437">
          <cell r="A437">
            <v>58729930</v>
          </cell>
          <cell r="B437" t="str">
            <v>АГЕНТСТВО РЕФПЕРЕВОЗОК</v>
          </cell>
          <cell r="C437" t="str">
            <v>ХОВРИНО      (ОКТ)</v>
          </cell>
          <cell r="D437">
            <v>32509</v>
          </cell>
          <cell r="E437">
            <v>37859</v>
          </cell>
          <cell r="F437">
            <v>886</v>
          </cell>
          <cell r="H437">
            <v>0</v>
          </cell>
          <cell r="I437" t="str">
            <v>кап</v>
          </cell>
          <cell r="J437">
            <v>38409</v>
          </cell>
        </row>
        <row r="438">
          <cell r="A438">
            <v>58729948</v>
          </cell>
          <cell r="B438" t="str">
            <v>АГЕНТСТВО РЕФПЕРЕВОЗОК</v>
          </cell>
          <cell r="C438" t="str">
            <v>ХОВРИНО      (ОКТ)</v>
          </cell>
          <cell r="D438">
            <v>32509</v>
          </cell>
          <cell r="E438">
            <v>37859</v>
          </cell>
          <cell r="F438">
            <v>886</v>
          </cell>
          <cell r="H438">
            <v>0</v>
          </cell>
          <cell r="I438" t="str">
            <v>кап</v>
          </cell>
          <cell r="J438">
            <v>38409</v>
          </cell>
        </row>
        <row r="439">
          <cell r="A439">
            <v>58729955</v>
          </cell>
          <cell r="B439" t="str">
            <v>АГЕНТСТВО РЕФПЕРЕВОЗОК</v>
          </cell>
          <cell r="C439" t="str">
            <v>ХОВРИНО      (ОКТ)</v>
          </cell>
          <cell r="D439">
            <v>32509</v>
          </cell>
          <cell r="E439">
            <v>37833</v>
          </cell>
          <cell r="F439">
            <v>163</v>
          </cell>
          <cell r="H439">
            <v>0</v>
          </cell>
          <cell r="I439" t="str">
            <v>кап</v>
          </cell>
          <cell r="J439">
            <v>38383</v>
          </cell>
        </row>
        <row r="440">
          <cell r="A440">
            <v>58729963</v>
          </cell>
          <cell r="B440" t="str">
            <v>АГЕНТСТВО РЕФПЕРЕВОЗОК</v>
          </cell>
          <cell r="C440" t="str">
            <v>ХОВРИНО      (ОКТ)</v>
          </cell>
          <cell r="D440">
            <v>32509</v>
          </cell>
          <cell r="E440">
            <v>37859</v>
          </cell>
          <cell r="F440">
            <v>886</v>
          </cell>
          <cell r="H440">
            <v>0</v>
          </cell>
          <cell r="I440" t="str">
            <v>кап</v>
          </cell>
          <cell r="J440">
            <v>38409</v>
          </cell>
        </row>
        <row r="441">
          <cell r="A441">
            <v>58729971</v>
          </cell>
          <cell r="B441" t="str">
            <v>АГЕНТСТВО РЕФПЕРЕВОЗОК</v>
          </cell>
          <cell r="C441" t="str">
            <v>ХОВРИНО      (ОКТ)</v>
          </cell>
          <cell r="D441">
            <v>32509</v>
          </cell>
          <cell r="E441">
            <v>37833</v>
          </cell>
          <cell r="F441">
            <v>163</v>
          </cell>
          <cell r="H441">
            <v>0</v>
          </cell>
          <cell r="I441" t="str">
            <v>кап</v>
          </cell>
          <cell r="J441">
            <v>38383</v>
          </cell>
        </row>
        <row r="442">
          <cell r="A442">
            <v>58729989</v>
          </cell>
          <cell r="B442" t="str">
            <v>АГЕНТСТВО РЕФПЕРЕВОЗОК</v>
          </cell>
          <cell r="C442" t="str">
            <v>ХОВРИНО      (ОКТ)</v>
          </cell>
          <cell r="D442">
            <v>32509</v>
          </cell>
          <cell r="E442">
            <v>37845</v>
          </cell>
          <cell r="F442">
            <v>557</v>
          </cell>
          <cell r="H442">
            <v>0</v>
          </cell>
          <cell r="I442" t="str">
            <v>кап</v>
          </cell>
          <cell r="J442">
            <v>38395</v>
          </cell>
        </row>
        <row r="443">
          <cell r="A443">
            <v>58731449</v>
          </cell>
          <cell r="B443" t="str">
            <v>АГЕНТСТВО РЕФПЕРЕВОЗОК</v>
          </cell>
          <cell r="C443" t="str">
            <v>ХОВРИНО      (ОКТ)</v>
          </cell>
          <cell r="D443">
            <v>32660</v>
          </cell>
          <cell r="E443">
            <v>37799</v>
          </cell>
          <cell r="F443">
            <v>492</v>
          </cell>
          <cell r="H443">
            <v>0</v>
          </cell>
          <cell r="I443" t="str">
            <v>деп</v>
          </cell>
          <cell r="J443">
            <v>38348</v>
          </cell>
        </row>
        <row r="444">
          <cell r="A444">
            <v>58731456</v>
          </cell>
          <cell r="B444" t="str">
            <v>АГЕНТСТВО РЕФПЕРЕВОЗОК</v>
          </cell>
          <cell r="C444" t="str">
            <v>ХОВРИНО      (ОКТ)</v>
          </cell>
          <cell r="D444">
            <v>32660</v>
          </cell>
          <cell r="E444">
            <v>37799</v>
          </cell>
          <cell r="F444">
            <v>492</v>
          </cell>
          <cell r="H444">
            <v>0</v>
          </cell>
          <cell r="I444" t="str">
            <v>деп</v>
          </cell>
          <cell r="J444">
            <v>38348</v>
          </cell>
        </row>
        <row r="445">
          <cell r="A445">
            <v>58731464</v>
          </cell>
          <cell r="B445" t="str">
            <v>АГЕНТСТВО РЕФПЕРЕВОЗОК</v>
          </cell>
          <cell r="C445" t="str">
            <v>ХОВРИНО      (ОКТ)</v>
          </cell>
          <cell r="D445">
            <v>32660</v>
          </cell>
          <cell r="E445">
            <v>37799</v>
          </cell>
          <cell r="F445">
            <v>492</v>
          </cell>
          <cell r="H445">
            <v>0</v>
          </cell>
          <cell r="I445" t="str">
            <v>деп</v>
          </cell>
          <cell r="J445">
            <v>38348</v>
          </cell>
        </row>
        <row r="446">
          <cell r="A446">
            <v>58731472</v>
          </cell>
          <cell r="B446" t="str">
            <v>АГЕНТСТВО РЕФПЕРЕВОЗОК</v>
          </cell>
          <cell r="C446" t="str">
            <v>ХОВРИНО      (ОКТ)</v>
          </cell>
          <cell r="D446">
            <v>32660</v>
          </cell>
          <cell r="E446">
            <v>37799</v>
          </cell>
          <cell r="F446">
            <v>492</v>
          </cell>
          <cell r="H446">
            <v>0</v>
          </cell>
          <cell r="I446" t="str">
            <v>деп</v>
          </cell>
          <cell r="J446">
            <v>38348</v>
          </cell>
        </row>
        <row r="447">
          <cell r="A447">
            <v>58732207</v>
          </cell>
          <cell r="B447" t="str">
            <v>АГЕНТСТВО РЕФПЕРЕВОЗОК</v>
          </cell>
          <cell r="C447" t="str">
            <v>ХОВРИНО      (ОКТ)</v>
          </cell>
          <cell r="D447">
            <v>32629</v>
          </cell>
          <cell r="E447">
            <v>37857</v>
          </cell>
          <cell r="F447">
            <v>492</v>
          </cell>
          <cell r="H447">
            <v>0</v>
          </cell>
          <cell r="I447" t="str">
            <v>деп</v>
          </cell>
          <cell r="J447">
            <v>38407</v>
          </cell>
        </row>
        <row r="448">
          <cell r="A448">
            <v>58732215</v>
          </cell>
          <cell r="B448" t="str">
            <v>АГЕНТСТВО РЕФПЕРЕВОЗОК</v>
          </cell>
          <cell r="C448" t="str">
            <v>ХОВРИНО      (ОКТ)</v>
          </cell>
          <cell r="D448">
            <v>32629</v>
          </cell>
          <cell r="E448">
            <v>37857</v>
          </cell>
          <cell r="F448">
            <v>492</v>
          </cell>
          <cell r="H448">
            <v>0</v>
          </cell>
          <cell r="I448" t="str">
            <v>деп</v>
          </cell>
          <cell r="J448">
            <v>38407</v>
          </cell>
        </row>
        <row r="449">
          <cell r="A449">
            <v>58732223</v>
          </cell>
          <cell r="B449" t="str">
            <v>АГЕНТСТВО РЕФПЕРЕВОЗОК</v>
          </cell>
          <cell r="C449" t="str">
            <v>ХОВРИНО      (ОКТ)</v>
          </cell>
          <cell r="D449">
            <v>32629</v>
          </cell>
          <cell r="E449">
            <v>37857</v>
          </cell>
          <cell r="F449">
            <v>492</v>
          </cell>
          <cell r="H449">
            <v>0</v>
          </cell>
          <cell r="I449" t="str">
            <v>деп</v>
          </cell>
          <cell r="J449">
            <v>38407</v>
          </cell>
        </row>
        <row r="450">
          <cell r="A450">
            <v>58732231</v>
          </cell>
          <cell r="B450" t="str">
            <v>АГЕНТСТВО РЕФПЕРЕВОЗОК</v>
          </cell>
          <cell r="C450" t="str">
            <v>ХОВРИНО      (ОКТ)</v>
          </cell>
          <cell r="D450">
            <v>32629</v>
          </cell>
          <cell r="E450">
            <v>37857</v>
          </cell>
          <cell r="F450">
            <v>492</v>
          </cell>
          <cell r="H450">
            <v>0</v>
          </cell>
          <cell r="I450" t="str">
            <v>деп</v>
          </cell>
          <cell r="J450">
            <v>38407</v>
          </cell>
        </row>
        <row r="451">
          <cell r="B451" t="str">
            <v>АГЕНТСТВО РЕФПЕРЕВОЗОК Количество</v>
          </cell>
          <cell r="D451">
            <v>293</v>
          </cell>
        </row>
        <row r="452">
          <cell r="A452">
            <v>53702551</v>
          </cell>
          <cell r="B452" t="str">
            <v>АДМИНИСТРАЦИЯ ПУРОВСК.Р-НА</v>
          </cell>
          <cell r="C452" t="str">
            <v>КОРОТЧАЕВО   (СВР)</v>
          </cell>
          <cell r="D452">
            <v>33926</v>
          </cell>
          <cell r="F452">
            <v>0</v>
          </cell>
          <cell r="H452">
            <v>0</v>
          </cell>
          <cell r="I452" t="str">
            <v>деп</v>
          </cell>
          <cell r="J452">
            <v>34837</v>
          </cell>
        </row>
        <row r="453">
          <cell r="A453">
            <v>58721283</v>
          </cell>
          <cell r="B453" t="str">
            <v>АДМИНИСТРАЦИЯ ПУРОВСК.Р-НА</v>
          </cell>
          <cell r="C453" t="str">
            <v>КОРОТЧАЕВО   (СВР)</v>
          </cell>
          <cell r="D453">
            <v>33994</v>
          </cell>
          <cell r="F453">
            <v>0</v>
          </cell>
          <cell r="H453">
            <v>0</v>
          </cell>
          <cell r="I453" t="str">
            <v>деп</v>
          </cell>
          <cell r="J453">
            <v>34905</v>
          </cell>
        </row>
        <row r="454">
          <cell r="A454">
            <v>58721309</v>
          </cell>
          <cell r="B454" t="str">
            <v>АДМИНИСТРАЦИЯ ПУРОВСК.Р-НА</v>
          </cell>
          <cell r="C454" t="str">
            <v>КОРОТЧАЕВО   (СВР)</v>
          </cell>
          <cell r="D454">
            <v>33998</v>
          </cell>
          <cell r="F454">
            <v>0</v>
          </cell>
          <cell r="H454">
            <v>0</v>
          </cell>
          <cell r="I454" t="str">
            <v>деп</v>
          </cell>
          <cell r="J454">
            <v>34909</v>
          </cell>
        </row>
        <row r="455">
          <cell r="A455">
            <v>58721317</v>
          </cell>
          <cell r="B455" t="str">
            <v>АДМИНИСТРАЦИЯ ПУРОВСК.Р-НА</v>
          </cell>
          <cell r="C455" t="str">
            <v>КОРОТЧАЕВО   (СВР)</v>
          </cell>
          <cell r="D455">
            <v>34011</v>
          </cell>
          <cell r="F455">
            <v>0</v>
          </cell>
          <cell r="H455">
            <v>0</v>
          </cell>
          <cell r="I455" t="str">
            <v>деп</v>
          </cell>
          <cell r="J455">
            <v>34922</v>
          </cell>
        </row>
        <row r="456">
          <cell r="A456">
            <v>58721325</v>
          </cell>
          <cell r="B456" t="str">
            <v>АДМИНИСТРАЦИЯ ПУРОВСК.Р-НА</v>
          </cell>
          <cell r="C456" t="str">
            <v>КОРОТЧАЕВО   (СВР)</v>
          </cell>
          <cell r="D456">
            <v>34011</v>
          </cell>
          <cell r="F456">
            <v>0</v>
          </cell>
          <cell r="H456">
            <v>0</v>
          </cell>
          <cell r="I456" t="str">
            <v>деп</v>
          </cell>
          <cell r="J456">
            <v>34922</v>
          </cell>
        </row>
        <row r="457">
          <cell r="B457" t="str">
            <v>АДМИНИСТРАЦИЯ ПУРОВСК.Р-НА Количество</v>
          </cell>
          <cell r="D457">
            <v>5</v>
          </cell>
        </row>
        <row r="458">
          <cell r="A458">
            <v>53700910</v>
          </cell>
          <cell r="B458" t="str">
            <v>АЗОВЧЕРАВТОДОРОГА ФД УПТК</v>
          </cell>
          <cell r="C458" t="str">
            <v>ДИНСКАЯ      (СКВ)</v>
          </cell>
          <cell r="D458">
            <v>24624</v>
          </cell>
          <cell r="E458">
            <v>35643</v>
          </cell>
          <cell r="F458">
            <v>0</v>
          </cell>
          <cell r="G458">
            <v>33420</v>
          </cell>
          <cell r="H458">
            <v>0</v>
          </cell>
          <cell r="I458" t="str">
            <v>деп</v>
          </cell>
          <cell r="J458">
            <v>36739</v>
          </cell>
        </row>
        <row r="459">
          <cell r="B459" t="str">
            <v>АЗОВЧЕРАВТОДОРОГА ФД УПТК Количество</v>
          </cell>
          <cell r="D459">
            <v>1</v>
          </cell>
        </row>
        <row r="460">
          <cell r="A460">
            <v>58331885</v>
          </cell>
          <cell r="B460" t="str">
            <v>АЛТАЙХИМПРОМ СЛАВГОРОД.ПО</v>
          </cell>
          <cell r="C460" t="str">
            <v>СЛАВГОРОД    (ЗСБ)</v>
          </cell>
          <cell r="D460">
            <v>28872</v>
          </cell>
          <cell r="E460">
            <v>35725</v>
          </cell>
          <cell r="G460">
            <v>33343</v>
          </cell>
          <cell r="I460" t="str">
            <v>деп</v>
          </cell>
          <cell r="J460">
            <v>36455</v>
          </cell>
        </row>
        <row r="461">
          <cell r="A461">
            <v>58331893</v>
          </cell>
          <cell r="B461" t="str">
            <v>АЛТАЙХИМПРОМ СЛАВГОРОД.ПО</v>
          </cell>
          <cell r="C461" t="str">
            <v>СЛАВГОРОД    (ЗСБ)</v>
          </cell>
          <cell r="D461">
            <v>28872</v>
          </cell>
          <cell r="E461">
            <v>36627</v>
          </cell>
          <cell r="G461">
            <v>37103</v>
          </cell>
          <cell r="H461">
            <v>609</v>
          </cell>
          <cell r="I461" t="str">
            <v>деп</v>
          </cell>
          <cell r="J461">
            <v>37833</v>
          </cell>
        </row>
        <row r="462">
          <cell r="A462">
            <v>58331901</v>
          </cell>
          <cell r="B462" t="str">
            <v>АЛТАЙХИМПРОМ СЛАВГОРОД.ПО</v>
          </cell>
          <cell r="C462" t="str">
            <v>СЛАВГОРОД    (ЗСБ)</v>
          </cell>
          <cell r="D462">
            <v>23667</v>
          </cell>
          <cell r="E462">
            <v>34421</v>
          </cell>
          <cell r="I462" t="str">
            <v>деп</v>
          </cell>
          <cell r="J462">
            <v>35152</v>
          </cell>
        </row>
        <row r="463">
          <cell r="B463" t="str">
            <v>АЛТАЙХИМПРОМ СЛАВГОРОД.ПО Количество</v>
          </cell>
          <cell r="D463">
            <v>3</v>
          </cell>
        </row>
        <row r="464">
          <cell r="A464">
            <v>58000019</v>
          </cell>
          <cell r="B464" t="str">
            <v>АЛЬТАИР-ТРЕЙД</v>
          </cell>
          <cell r="C464" t="str">
            <v>НОВОСИБ-ВОСТ (ЗСБ)</v>
          </cell>
          <cell r="D464">
            <v>32724</v>
          </cell>
          <cell r="F464">
            <v>0</v>
          </cell>
          <cell r="G464">
            <v>37497</v>
          </cell>
          <cell r="H464">
            <v>626</v>
          </cell>
          <cell r="I464" t="str">
            <v>деп</v>
          </cell>
          <cell r="J464">
            <v>38228</v>
          </cell>
        </row>
        <row r="465">
          <cell r="B465" t="str">
            <v>АЛЬТАИР-ТРЕЙД Количество</v>
          </cell>
          <cell r="D465">
            <v>1</v>
          </cell>
        </row>
        <row r="466">
          <cell r="A466">
            <v>53702643</v>
          </cell>
          <cell r="B466" t="str">
            <v>АЛЬФА-БЛОК</v>
          </cell>
          <cell r="C466" t="str">
            <v>БЫКОВО       (МСK)</v>
          </cell>
          <cell r="D466">
            <v>25934</v>
          </cell>
          <cell r="E466">
            <v>37566</v>
          </cell>
          <cell r="F466">
            <v>350</v>
          </cell>
          <cell r="G466">
            <v>35725</v>
          </cell>
          <cell r="H466">
            <v>0</v>
          </cell>
          <cell r="I466" t="str">
            <v>деп</v>
          </cell>
          <cell r="J466">
            <v>38297</v>
          </cell>
        </row>
        <row r="467">
          <cell r="B467" t="str">
            <v>АЛЬФА-БЛОК Количество</v>
          </cell>
          <cell r="D467">
            <v>1</v>
          </cell>
        </row>
        <row r="468">
          <cell r="A468">
            <v>53700555</v>
          </cell>
          <cell r="B468" t="str">
            <v>АНГАРСТРОЙ  ТРАНССТРОЯ</v>
          </cell>
          <cell r="C468" t="str">
            <v>ГИДРОСТРОИТ. (ВСБ)</v>
          </cell>
          <cell r="D468">
            <v>28126</v>
          </cell>
          <cell r="E468">
            <v>35595</v>
          </cell>
          <cell r="G468">
            <v>35551</v>
          </cell>
          <cell r="I468" t="str">
            <v>деп</v>
          </cell>
          <cell r="J468">
            <v>36691</v>
          </cell>
        </row>
        <row r="469">
          <cell r="A469">
            <v>53700563</v>
          </cell>
          <cell r="B469" t="str">
            <v>АНГАРСТРОЙ  ТРАНССТРОЯ</v>
          </cell>
          <cell r="C469" t="str">
            <v>ГИДРОСТРОИТ. (ВСБ)</v>
          </cell>
          <cell r="D469">
            <v>31778</v>
          </cell>
          <cell r="E469">
            <v>36373</v>
          </cell>
          <cell r="F469">
            <v>0</v>
          </cell>
          <cell r="G469">
            <v>35735</v>
          </cell>
          <cell r="H469">
            <v>179</v>
          </cell>
          <cell r="I469" t="str">
            <v>деп</v>
          </cell>
          <cell r="J469">
            <v>37469</v>
          </cell>
        </row>
        <row r="470">
          <cell r="A470">
            <v>53700571</v>
          </cell>
          <cell r="B470" t="str">
            <v>АНГАРСТРОЙ  ТРАНССТРОЯ</v>
          </cell>
          <cell r="C470" t="str">
            <v>ГИДРОСТРОИТ. (ВСБ)</v>
          </cell>
          <cell r="D470">
            <v>31778</v>
          </cell>
          <cell r="E470">
            <v>36495</v>
          </cell>
          <cell r="F470">
            <v>0</v>
          </cell>
          <cell r="G470">
            <v>35462</v>
          </cell>
          <cell r="H470">
            <v>0</v>
          </cell>
          <cell r="I470" t="str">
            <v>деп</v>
          </cell>
          <cell r="J470">
            <v>37591</v>
          </cell>
        </row>
        <row r="471">
          <cell r="A471">
            <v>53700589</v>
          </cell>
          <cell r="B471" t="str">
            <v>АНГАРСТРОЙ  ТРАНССТРОЯ</v>
          </cell>
          <cell r="C471" t="str">
            <v>ГИДРОСТРОИТ. (ВСБ)</v>
          </cell>
          <cell r="D471">
            <v>32874</v>
          </cell>
          <cell r="E471">
            <v>35595</v>
          </cell>
          <cell r="G471">
            <v>35551</v>
          </cell>
          <cell r="I471" t="str">
            <v>деп</v>
          </cell>
          <cell r="J471">
            <v>36691</v>
          </cell>
        </row>
        <row r="472">
          <cell r="B472" t="str">
            <v>АНГАРСТРОЙ  ТРАНССТРОЯ Количество</v>
          </cell>
          <cell r="D472">
            <v>4</v>
          </cell>
        </row>
        <row r="473">
          <cell r="A473">
            <v>53702650</v>
          </cell>
          <cell r="B473" t="str">
            <v>АППАРЕЛЬ-2000</v>
          </cell>
          <cell r="C473" t="str">
            <v>ЛОСИНООСТРОВ (МСK)</v>
          </cell>
          <cell r="D473">
            <v>25934</v>
          </cell>
          <cell r="E473">
            <v>37544</v>
          </cell>
          <cell r="F473">
            <v>350</v>
          </cell>
          <cell r="G473">
            <v>34501</v>
          </cell>
          <cell r="I473" t="str">
            <v>деп</v>
          </cell>
          <cell r="J473">
            <v>38640</v>
          </cell>
        </row>
        <row r="474">
          <cell r="A474">
            <v>53702668</v>
          </cell>
          <cell r="B474" t="str">
            <v>АППАРЕЛЬ-2000</v>
          </cell>
          <cell r="C474" t="str">
            <v>ЛОСИНООСТРОВ (МСK)</v>
          </cell>
          <cell r="D474">
            <v>25934</v>
          </cell>
          <cell r="E474">
            <v>37718</v>
          </cell>
          <cell r="F474">
            <v>350</v>
          </cell>
          <cell r="G474">
            <v>35655</v>
          </cell>
          <cell r="I474" t="str">
            <v>деп</v>
          </cell>
          <cell r="J474">
            <v>38814</v>
          </cell>
        </row>
        <row r="475">
          <cell r="B475" t="str">
            <v>АППАРЕЛЬ-2000 Количество</v>
          </cell>
          <cell r="D475">
            <v>2</v>
          </cell>
        </row>
        <row r="476">
          <cell r="A476">
            <v>53700951</v>
          </cell>
          <cell r="B476" t="str">
            <v>АРТЕЛЬ СТАРАТЕЛЕЙ АМУР</v>
          </cell>
          <cell r="C476" t="str">
            <v>ХАБАРОВСК 2  (ДВС)</v>
          </cell>
          <cell r="D476">
            <v>33087</v>
          </cell>
          <cell r="E476">
            <v>37798</v>
          </cell>
          <cell r="F476">
            <v>163</v>
          </cell>
          <cell r="H476">
            <v>0</v>
          </cell>
          <cell r="I476" t="str">
            <v>деп</v>
          </cell>
          <cell r="J476">
            <v>38347</v>
          </cell>
        </row>
        <row r="477">
          <cell r="A477">
            <v>53701025</v>
          </cell>
          <cell r="B477" t="str">
            <v>АРТЕЛЬ СТАРАТЕЛЕЙ АМУР</v>
          </cell>
          <cell r="C477" t="str">
            <v>ХАБАРОВСК 2  (ДВС)</v>
          </cell>
          <cell r="D477">
            <v>33428</v>
          </cell>
          <cell r="E477">
            <v>37980</v>
          </cell>
          <cell r="F477">
            <v>163</v>
          </cell>
          <cell r="H477">
            <v>0</v>
          </cell>
          <cell r="I477" t="str">
            <v>деп</v>
          </cell>
          <cell r="J477">
            <v>38528</v>
          </cell>
        </row>
        <row r="478">
          <cell r="A478">
            <v>58725300</v>
          </cell>
          <cell r="B478" t="str">
            <v>АРТЕЛЬ СТАРАТЕЛЕЙ АМУР</v>
          </cell>
          <cell r="C478" t="str">
            <v>ХАБАРОВСК 2  (ДВС)</v>
          </cell>
          <cell r="D478">
            <v>32539</v>
          </cell>
          <cell r="E478">
            <v>37798</v>
          </cell>
          <cell r="F478">
            <v>163</v>
          </cell>
          <cell r="H478">
            <v>0</v>
          </cell>
          <cell r="I478" t="str">
            <v>деп</v>
          </cell>
          <cell r="J478">
            <v>38347</v>
          </cell>
        </row>
        <row r="479">
          <cell r="A479">
            <v>58725318</v>
          </cell>
          <cell r="B479" t="str">
            <v>АРТЕЛЬ СТАРАТЕЛЕЙ АМУР</v>
          </cell>
          <cell r="C479" t="str">
            <v>ХАБАРОВСК 2  (ДВС)</v>
          </cell>
          <cell r="D479">
            <v>32539</v>
          </cell>
          <cell r="E479">
            <v>37798</v>
          </cell>
          <cell r="F479">
            <v>163</v>
          </cell>
          <cell r="H479">
            <v>0</v>
          </cell>
          <cell r="I479" t="str">
            <v>деп</v>
          </cell>
          <cell r="J479">
            <v>38347</v>
          </cell>
        </row>
        <row r="480">
          <cell r="A480">
            <v>58725326</v>
          </cell>
          <cell r="B480" t="str">
            <v>АРТЕЛЬ СТАРАТЕЛЕЙ АМУР</v>
          </cell>
          <cell r="C480" t="str">
            <v>ХАБАРОВСК 2  (ДВС)</v>
          </cell>
          <cell r="D480">
            <v>32930</v>
          </cell>
          <cell r="E480">
            <v>37798</v>
          </cell>
          <cell r="F480">
            <v>163</v>
          </cell>
          <cell r="H480">
            <v>0</v>
          </cell>
          <cell r="I480" t="str">
            <v>деп</v>
          </cell>
          <cell r="J480">
            <v>38347</v>
          </cell>
        </row>
        <row r="481">
          <cell r="A481">
            <v>58725334</v>
          </cell>
          <cell r="B481" t="str">
            <v>АРТЕЛЬ СТАРАТЕЛЕЙ АМУР</v>
          </cell>
          <cell r="C481" t="str">
            <v>ХАБАРОВСК 2  (ДВС)</v>
          </cell>
          <cell r="D481">
            <v>32919</v>
          </cell>
          <cell r="E481">
            <v>37798</v>
          </cell>
          <cell r="F481">
            <v>163</v>
          </cell>
          <cell r="H481">
            <v>0</v>
          </cell>
          <cell r="I481" t="str">
            <v>деп</v>
          </cell>
          <cell r="J481">
            <v>38347</v>
          </cell>
        </row>
        <row r="482">
          <cell r="A482">
            <v>58729450</v>
          </cell>
          <cell r="B482" t="str">
            <v>АРТЕЛЬ СТАРАТЕЛЕЙ АМУР</v>
          </cell>
          <cell r="C482" t="str">
            <v>ХАБАРОВСК 2  (ДВС)</v>
          </cell>
          <cell r="D482">
            <v>33428</v>
          </cell>
          <cell r="E482">
            <v>37980</v>
          </cell>
          <cell r="F482">
            <v>163</v>
          </cell>
          <cell r="H482">
            <v>0</v>
          </cell>
          <cell r="I482" t="str">
            <v>деп</v>
          </cell>
          <cell r="J482">
            <v>38528</v>
          </cell>
        </row>
        <row r="483">
          <cell r="A483">
            <v>58729468</v>
          </cell>
          <cell r="B483" t="str">
            <v>АРТЕЛЬ СТАРАТЕЛЕЙ АМУР</v>
          </cell>
          <cell r="C483" t="str">
            <v>ХАБАРОВСК 2  (ДВС)</v>
          </cell>
          <cell r="D483">
            <v>33448</v>
          </cell>
          <cell r="E483">
            <v>37980</v>
          </cell>
          <cell r="F483">
            <v>163</v>
          </cell>
          <cell r="H483">
            <v>0</v>
          </cell>
          <cell r="I483" t="str">
            <v>деп</v>
          </cell>
          <cell r="J483">
            <v>38528</v>
          </cell>
        </row>
        <row r="484">
          <cell r="A484">
            <v>58729476</v>
          </cell>
          <cell r="B484" t="str">
            <v>АРТЕЛЬ СТАРАТЕЛЕЙ АМУР</v>
          </cell>
          <cell r="C484" t="str">
            <v>ХАБАРОВСК 2  (ДВС)</v>
          </cell>
          <cell r="D484">
            <v>33430</v>
          </cell>
          <cell r="E484">
            <v>37980</v>
          </cell>
          <cell r="F484">
            <v>163</v>
          </cell>
          <cell r="H484">
            <v>0</v>
          </cell>
          <cell r="I484" t="str">
            <v>деп</v>
          </cell>
          <cell r="J484">
            <v>38528</v>
          </cell>
        </row>
        <row r="485">
          <cell r="A485">
            <v>58729484</v>
          </cell>
          <cell r="B485" t="str">
            <v>АРТЕЛЬ СТАРАТЕЛЕЙ АМУР</v>
          </cell>
          <cell r="C485" t="str">
            <v>ХАБАРОВСК 2  (ДВС)</v>
          </cell>
          <cell r="D485">
            <v>33429</v>
          </cell>
          <cell r="E485">
            <v>37980</v>
          </cell>
          <cell r="F485">
            <v>163</v>
          </cell>
          <cell r="H485">
            <v>0</v>
          </cell>
          <cell r="I485" t="str">
            <v>деп</v>
          </cell>
          <cell r="J485">
            <v>38528</v>
          </cell>
        </row>
        <row r="486">
          <cell r="B486" t="str">
            <v>АРТЕЛЬ СТАРАТЕЛЕЙ АМУР Количество</v>
          </cell>
          <cell r="D486">
            <v>10</v>
          </cell>
        </row>
        <row r="487">
          <cell r="A487">
            <v>53703914</v>
          </cell>
          <cell r="B487" t="str">
            <v>БАЗА СНАБ.И КОМПЛ.ДОР.ХОЗ.</v>
          </cell>
          <cell r="C487" t="str">
            <v>ПОЧЕП        (МСK)</v>
          </cell>
          <cell r="D487">
            <v>34256</v>
          </cell>
          <cell r="E487">
            <v>37569</v>
          </cell>
          <cell r="F487">
            <v>323</v>
          </cell>
          <cell r="H487">
            <v>0</v>
          </cell>
          <cell r="I487" t="str">
            <v>деп</v>
          </cell>
          <cell r="J487">
            <v>38665</v>
          </cell>
        </row>
        <row r="488">
          <cell r="B488" t="str">
            <v>БАЗА СНАБ.И КОМПЛ.ДОР.ХОЗ. Количество</v>
          </cell>
          <cell r="D488">
            <v>1</v>
          </cell>
        </row>
        <row r="489">
          <cell r="A489">
            <v>58331182</v>
          </cell>
          <cell r="B489" t="str">
            <v>БРАТСКТРАНССТРОЙТОРГ</v>
          </cell>
          <cell r="C489" t="str">
            <v>ГИДРОСТРОИТ. (ВСБ)</v>
          </cell>
          <cell r="D489">
            <v>31842</v>
          </cell>
          <cell r="F489">
            <v>0</v>
          </cell>
          <cell r="G489">
            <v>36521</v>
          </cell>
          <cell r="H489">
            <v>1068</v>
          </cell>
          <cell r="I489" t="str">
            <v>деп</v>
          </cell>
          <cell r="J489">
            <v>38681</v>
          </cell>
        </row>
        <row r="490">
          <cell r="B490" t="str">
            <v>БРАТСКТРАНССТРОЙТОРГ Количество</v>
          </cell>
          <cell r="D490">
            <v>1</v>
          </cell>
        </row>
        <row r="491">
          <cell r="A491">
            <v>53701678</v>
          </cell>
          <cell r="B491" t="str">
            <v>БУРГАЗ ГАЗРОМА</v>
          </cell>
          <cell r="C491" t="str">
            <v>ОБШАРОВКА    (КБШ)</v>
          </cell>
          <cell r="D491">
            <v>33786</v>
          </cell>
          <cell r="E491">
            <v>37336</v>
          </cell>
          <cell r="F491">
            <v>350</v>
          </cell>
          <cell r="I491" t="str">
            <v>деп</v>
          </cell>
          <cell r="J491">
            <v>38432</v>
          </cell>
        </row>
        <row r="492">
          <cell r="A492">
            <v>58338856</v>
          </cell>
          <cell r="B492" t="str">
            <v>БУРГАЗ ГАЗРОМА</v>
          </cell>
          <cell r="C492" t="str">
            <v>ОБШАРОВКА    (КБШ)</v>
          </cell>
          <cell r="D492">
            <v>33786</v>
          </cell>
          <cell r="E492">
            <v>37336</v>
          </cell>
          <cell r="F492">
            <v>350</v>
          </cell>
          <cell r="I492" t="str">
            <v>деп</v>
          </cell>
          <cell r="J492">
            <v>38067</v>
          </cell>
        </row>
        <row r="493">
          <cell r="A493">
            <v>58338864</v>
          </cell>
          <cell r="B493" t="str">
            <v>БУРГАЗ ГАЗРОМА</v>
          </cell>
          <cell r="C493" t="str">
            <v>ОБШАРОВКА    (КБШ)</v>
          </cell>
          <cell r="D493">
            <v>33786</v>
          </cell>
          <cell r="E493">
            <v>37336</v>
          </cell>
          <cell r="F493">
            <v>350</v>
          </cell>
          <cell r="I493" t="str">
            <v>деп</v>
          </cell>
          <cell r="J493">
            <v>38067</v>
          </cell>
        </row>
        <row r="494">
          <cell r="B494" t="str">
            <v>БУРГАЗ ГАЗРОМА Количество</v>
          </cell>
          <cell r="D494">
            <v>3</v>
          </cell>
        </row>
        <row r="495">
          <cell r="A495">
            <v>58330820</v>
          </cell>
          <cell r="B495" t="str">
            <v>В/Ч 14123</v>
          </cell>
          <cell r="C495" t="str">
            <v>ПЛЕСЕЦКАЯ    (СЕВ)</v>
          </cell>
          <cell r="D495">
            <v>29221</v>
          </cell>
          <cell r="I495" t="str">
            <v>деп</v>
          </cell>
          <cell r="J495">
            <v>30317</v>
          </cell>
        </row>
        <row r="496">
          <cell r="A496">
            <v>58330838</v>
          </cell>
          <cell r="B496" t="str">
            <v>В/Ч 14123</v>
          </cell>
          <cell r="C496" t="str">
            <v>ПЛЕСЕЦКАЯ    (СЕВ)</v>
          </cell>
          <cell r="D496">
            <v>29221</v>
          </cell>
          <cell r="I496" t="str">
            <v>деп</v>
          </cell>
          <cell r="J496">
            <v>30317</v>
          </cell>
        </row>
        <row r="497">
          <cell r="B497" t="str">
            <v>В/Ч 14123 Количество</v>
          </cell>
          <cell r="D497">
            <v>2</v>
          </cell>
        </row>
        <row r="498">
          <cell r="A498">
            <v>58140138</v>
          </cell>
          <cell r="B498" t="str">
            <v>В/Ч 40905</v>
          </cell>
          <cell r="C498" t="str">
            <v>ХАБАРОВСК 2  (ДВС)</v>
          </cell>
          <cell r="D498">
            <v>28856</v>
          </cell>
          <cell r="E498">
            <v>33298</v>
          </cell>
          <cell r="I498" t="str">
            <v>кап</v>
          </cell>
          <cell r="J498">
            <v>34029</v>
          </cell>
        </row>
        <row r="499">
          <cell r="A499">
            <v>58140146</v>
          </cell>
          <cell r="B499" t="str">
            <v>В/Ч 40905</v>
          </cell>
          <cell r="C499" t="str">
            <v>ХАБАРОВСК 2  (ДВС)</v>
          </cell>
          <cell r="D499">
            <v>31778</v>
          </cell>
          <cell r="E499">
            <v>34455</v>
          </cell>
          <cell r="F499">
            <v>0</v>
          </cell>
          <cell r="H499">
            <v>0</v>
          </cell>
          <cell r="I499" t="str">
            <v>кап</v>
          </cell>
          <cell r="J499">
            <v>35186</v>
          </cell>
        </row>
        <row r="500">
          <cell r="A500">
            <v>58331497</v>
          </cell>
          <cell r="B500" t="str">
            <v>В/Ч 40905</v>
          </cell>
          <cell r="C500" t="str">
            <v>ХАБАРОВСК 2  (ДВС)</v>
          </cell>
          <cell r="D500">
            <v>29221</v>
          </cell>
          <cell r="E500">
            <v>33635</v>
          </cell>
          <cell r="I500" t="str">
            <v>кап</v>
          </cell>
          <cell r="J500">
            <v>34366</v>
          </cell>
        </row>
        <row r="501">
          <cell r="A501">
            <v>58331505</v>
          </cell>
          <cell r="B501" t="str">
            <v>В/Ч 40905</v>
          </cell>
          <cell r="C501" t="str">
            <v>ХАБАРОВСК 2  (ДВС)</v>
          </cell>
          <cell r="D501">
            <v>31778</v>
          </cell>
          <cell r="E501">
            <v>34394</v>
          </cell>
          <cell r="G501">
            <v>37208</v>
          </cell>
          <cell r="H501">
            <v>163</v>
          </cell>
          <cell r="I501" t="str">
            <v>деп</v>
          </cell>
          <cell r="J501">
            <v>37938</v>
          </cell>
        </row>
        <row r="502">
          <cell r="A502">
            <v>58331513</v>
          </cell>
          <cell r="B502" t="str">
            <v>В/Ч 40905</v>
          </cell>
          <cell r="C502" t="str">
            <v>ХАБАРОВСК 2  (ДВС)</v>
          </cell>
          <cell r="D502">
            <v>31778</v>
          </cell>
          <cell r="E502">
            <v>34335</v>
          </cell>
          <cell r="F502">
            <v>0</v>
          </cell>
          <cell r="H502">
            <v>0</v>
          </cell>
          <cell r="I502" t="str">
            <v>кап</v>
          </cell>
          <cell r="J502">
            <v>35065</v>
          </cell>
        </row>
        <row r="503">
          <cell r="B503" t="str">
            <v>В/Ч 40905 Количество</v>
          </cell>
          <cell r="D503">
            <v>5</v>
          </cell>
        </row>
        <row r="504">
          <cell r="A504">
            <v>58000324</v>
          </cell>
          <cell r="B504" t="str">
            <v>ВИММ-БИЛЛЬ-ДАНН ТРАНС</v>
          </cell>
          <cell r="C504" t="str">
            <v>ХОВРИНО      (ОКТ)</v>
          </cell>
          <cell r="D504">
            <v>33329</v>
          </cell>
          <cell r="E504">
            <v>37743</v>
          </cell>
          <cell r="F504">
            <v>1058</v>
          </cell>
          <cell r="H504">
            <v>0</v>
          </cell>
          <cell r="I504" t="str">
            <v>деп</v>
          </cell>
          <cell r="J504">
            <v>38474</v>
          </cell>
        </row>
        <row r="505">
          <cell r="A505">
            <v>58000332</v>
          </cell>
          <cell r="B505" t="str">
            <v>ВИММ-БИЛЛЬ-ДАНН ТРАНС</v>
          </cell>
          <cell r="C505" t="str">
            <v>ХОВРИНО      (ОКТ)</v>
          </cell>
          <cell r="D505">
            <v>33329</v>
          </cell>
          <cell r="E505">
            <v>37743</v>
          </cell>
          <cell r="F505">
            <v>1058</v>
          </cell>
          <cell r="H505">
            <v>0</v>
          </cell>
          <cell r="I505" t="str">
            <v>деп</v>
          </cell>
          <cell r="J505">
            <v>38474</v>
          </cell>
        </row>
        <row r="506">
          <cell r="A506">
            <v>58000340</v>
          </cell>
          <cell r="B506" t="str">
            <v>ВИММ-БИЛЛЬ-ДАНН ТРАНС</v>
          </cell>
          <cell r="C506" t="str">
            <v>ХОВРИНО      (ОКТ)</v>
          </cell>
          <cell r="D506">
            <v>33329</v>
          </cell>
          <cell r="E506">
            <v>37743</v>
          </cell>
          <cell r="F506">
            <v>1058</v>
          </cell>
          <cell r="H506">
            <v>0</v>
          </cell>
          <cell r="I506" t="str">
            <v>деп</v>
          </cell>
          <cell r="J506">
            <v>38474</v>
          </cell>
        </row>
        <row r="507">
          <cell r="A507">
            <v>58000357</v>
          </cell>
          <cell r="B507" t="str">
            <v>ВИММ-БИЛЛЬ-ДАНН ТРАНС</v>
          </cell>
          <cell r="C507" t="str">
            <v>ХОВРИНО      (ОКТ)</v>
          </cell>
          <cell r="D507">
            <v>33329</v>
          </cell>
          <cell r="E507">
            <v>37743</v>
          </cell>
          <cell r="F507">
            <v>1058</v>
          </cell>
          <cell r="H507">
            <v>0</v>
          </cell>
          <cell r="I507" t="str">
            <v>деп</v>
          </cell>
          <cell r="J507">
            <v>38473</v>
          </cell>
        </row>
        <row r="508">
          <cell r="A508">
            <v>58000365</v>
          </cell>
          <cell r="B508" t="str">
            <v>ВИММ-БИЛЛЬ-ДАНН ТРАНС</v>
          </cell>
          <cell r="C508" t="str">
            <v>ХОВРИНО      (ОКТ)</v>
          </cell>
          <cell r="D508">
            <v>33329</v>
          </cell>
          <cell r="E508">
            <v>37743</v>
          </cell>
          <cell r="F508">
            <v>1058</v>
          </cell>
          <cell r="H508">
            <v>0</v>
          </cell>
          <cell r="I508" t="str">
            <v>деп</v>
          </cell>
          <cell r="J508">
            <v>38474</v>
          </cell>
        </row>
        <row r="509">
          <cell r="A509">
            <v>58000373</v>
          </cell>
          <cell r="B509" t="str">
            <v>ВИММ-БИЛЛЬ-ДАНН ТРАНС</v>
          </cell>
          <cell r="C509" t="str">
            <v>ХОВРИНО      (ОКТ)</v>
          </cell>
          <cell r="D509">
            <v>33329</v>
          </cell>
          <cell r="E509">
            <v>37743</v>
          </cell>
          <cell r="F509">
            <v>1058</v>
          </cell>
          <cell r="H509">
            <v>0</v>
          </cell>
          <cell r="I509" t="str">
            <v>деп</v>
          </cell>
          <cell r="J509">
            <v>38473</v>
          </cell>
        </row>
        <row r="510">
          <cell r="A510">
            <v>58000381</v>
          </cell>
          <cell r="B510" t="str">
            <v>ВИММ-БИЛЛЬ-ДАНН ТРАНС</v>
          </cell>
          <cell r="C510" t="str">
            <v>ХОВРИНО      (ОКТ)</v>
          </cell>
          <cell r="D510">
            <v>33329</v>
          </cell>
          <cell r="E510">
            <v>37743</v>
          </cell>
          <cell r="F510">
            <v>1058</v>
          </cell>
          <cell r="H510">
            <v>0</v>
          </cell>
          <cell r="I510" t="str">
            <v>деп</v>
          </cell>
          <cell r="J510">
            <v>38473</v>
          </cell>
        </row>
        <row r="511">
          <cell r="A511">
            <v>58000407</v>
          </cell>
          <cell r="B511" t="str">
            <v>ВИММ-БИЛЛЬ-ДАНН ТРАНС</v>
          </cell>
          <cell r="C511" t="str">
            <v>ХОВРИНО      (ОКТ)</v>
          </cell>
          <cell r="D511">
            <v>33329</v>
          </cell>
          <cell r="E511">
            <v>37743</v>
          </cell>
          <cell r="F511">
            <v>1058</v>
          </cell>
          <cell r="H511">
            <v>0</v>
          </cell>
          <cell r="I511" t="str">
            <v>деп</v>
          </cell>
          <cell r="J511">
            <v>38474</v>
          </cell>
        </row>
        <row r="512">
          <cell r="A512">
            <v>58000415</v>
          </cell>
          <cell r="B512" t="str">
            <v>ВИММ-БИЛЛЬ-ДАНН ТРАНС</v>
          </cell>
          <cell r="C512" t="str">
            <v>ХОВРИНО      (ОКТ)</v>
          </cell>
          <cell r="D512">
            <v>33329</v>
          </cell>
          <cell r="E512">
            <v>37743</v>
          </cell>
          <cell r="F512">
            <v>1058</v>
          </cell>
          <cell r="H512">
            <v>0</v>
          </cell>
          <cell r="I512" t="str">
            <v>деп</v>
          </cell>
          <cell r="J512">
            <v>38473</v>
          </cell>
        </row>
        <row r="513">
          <cell r="A513">
            <v>58000423</v>
          </cell>
          <cell r="B513" t="str">
            <v>ВИММ-БИЛЛЬ-ДАНН ТРАНС</v>
          </cell>
          <cell r="C513" t="str">
            <v>ХОВРИНО      (ОКТ)</v>
          </cell>
          <cell r="D513">
            <v>33329</v>
          </cell>
          <cell r="E513">
            <v>37743</v>
          </cell>
          <cell r="F513">
            <v>1058</v>
          </cell>
          <cell r="H513">
            <v>0</v>
          </cell>
          <cell r="I513" t="str">
            <v>деп</v>
          </cell>
          <cell r="J513">
            <v>38473</v>
          </cell>
        </row>
        <row r="514">
          <cell r="A514">
            <v>58000431</v>
          </cell>
          <cell r="B514" t="str">
            <v>ВИММ-БИЛЛЬ-ДАНН ТРАНС</v>
          </cell>
          <cell r="C514" t="str">
            <v>ХОВРИНО      (ОКТ)</v>
          </cell>
          <cell r="D514">
            <v>33329</v>
          </cell>
          <cell r="E514">
            <v>37743</v>
          </cell>
          <cell r="F514">
            <v>1058</v>
          </cell>
          <cell r="H514">
            <v>0</v>
          </cell>
          <cell r="I514" t="str">
            <v>деп</v>
          </cell>
          <cell r="J514">
            <v>38474</v>
          </cell>
        </row>
        <row r="515">
          <cell r="A515">
            <v>58000449</v>
          </cell>
          <cell r="B515" t="str">
            <v>ВИММ-БИЛЛЬ-ДАНН ТРАНС</v>
          </cell>
          <cell r="C515" t="str">
            <v>ХОВРИНО      (ОКТ)</v>
          </cell>
          <cell r="D515">
            <v>33329</v>
          </cell>
          <cell r="E515">
            <v>37743</v>
          </cell>
          <cell r="F515">
            <v>1058</v>
          </cell>
          <cell r="H515">
            <v>0</v>
          </cell>
          <cell r="I515" t="str">
            <v>деп</v>
          </cell>
          <cell r="J515">
            <v>38474</v>
          </cell>
        </row>
        <row r="516">
          <cell r="A516">
            <v>58000456</v>
          </cell>
          <cell r="B516" t="str">
            <v>ВИММ-БИЛЛЬ-ДАНН ТРАНС</v>
          </cell>
          <cell r="C516" t="str">
            <v>ХОВРИНО      (ОКТ)</v>
          </cell>
          <cell r="D516">
            <v>33329</v>
          </cell>
          <cell r="E516">
            <v>37743</v>
          </cell>
          <cell r="F516">
            <v>1058</v>
          </cell>
          <cell r="H516">
            <v>0</v>
          </cell>
          <cell r="I516" t="str">
            <v>деп</v>
          </cell>
          <cell r="J516">
            <v>38473</v>
          </cell>
        </row>
        <row r="517">
          <cell r="B517" t="str">
            <v>ВИММ-БИЛЛЬ-ДАНН ТРАНС Количество</v>
          </cell>
          <cell r="D517">
            <v>13</v>
          </cell>
        </row>
        <row r="518">
          <cell r="A518">
            <v>53702577</v>
          </cell>
          <cell r="B518" t="str">
            <v>ВИТА-ФРОСТ</v>
          </cell>
          <cell r="C518" t="str">
            <v>УССУРИЙСК    (ДВС)</v>
          </cell>
          <cell r="D518">
            <v>33694</v>
          </cell>
          <cell r="E518">
            <v>37747</v>
          </cell>
          <cell r="F518">
            <v>350</v>
          </cell>
          <cell r="H518">
            <v>0</v>
          </cell>
          <cell r="I518" t="str">
            <v>деп</v>
          </cell>
          <cell r="J518">
            <v>38297</v>
          </cell>
        </row>
        <row r="519">
          <cell r="A519">
            <v>53705539</v>
          </cell>
          <cell r="B519" t="str">
            <v>ВИТА-ФРОСТ</v>
          </cell>
          <cell r="C519" t="str">
            <v>УССУРИЙСК    (ДВС)</v>
          </cell>
          <cell r="D519">
            <v>33512</v>
          </cell>
          <cell r="E519">
            <v>37797</v>
          </cell>
          <cell r="F519">
            <v>886</v>
          </cell>
          <cell r="H519">
            <v>0</v>
          </cell>
          <cell r="I519" t="str">
            <v>деп</v>
          </cell>
          <cell r="J519">
            <v>38346</v>
          </cell>
        </row>
        <row r="520">
          <cell r="A520">
            <v>58721374</v>
          </cell>
          <cell r="B520" t="str">
            <v>ВИТА-ФРОСТ</v>
          </cell>
          <cell r="C520" t="str">
            <v>УССУРИЙСК    (ДВС)</v>
          </cell>
          <cell r="D520">
            <v>34040</v>
          </cell>
          <cell r="E520">
            <v>37747</v>
          </cell>
          <cell r="F520">
            <v>350</v>
          </cell>
          <cell r="H520">
            <v>0</v>
          </cell>
          <cell r="I520" t="str">
            <v>деп</v>
          </cell>
          <cell r="J520">
            <v>38297</v>
          </cell>
        </row>
        <row r="521">
          <cell r="A521">
            <v>58721382</v>
          </cell>
          <cell r="B521" t="str">
            <v>ВИТА-ФРОСТ</v>
          </cell>
          <cell r="C521" t="str">
            <v>УССУРИЙСК    (ДВС)</v>
          </cell>
          <cell r="D521">
            <v>34040</v>
          </cell>
          <cell r="E521">
            <v>37747</v>
          </cell>
          <cell r="F521">
            <v>350</v>
          </cell>
          <cell r="H521">
            <v>0</v>
          </cell>
          <cell r="I521" t="str">
            <v>деп</v>
          </cell>
          <cell r="J521">
            <v>38297</v>
          </cell>
        </row>
        <row r="522">
          <cell r="A522">
            <v>58721408</v>
          </cell>
          <cell r="B522" t="str">
            <v>ВИТА-ФРОСТ</v>
          </cell>
          <cell r="C522" t="str">
            <v>УССУРИЙСК    (ДВС)</v>
          </cell>
          <cell r="D522">
            <v>34040</v>
          </cell>
          <cell r="E522">
            <v>37747</v>
          </cell>
          <cell r="F522">
            <v>350</v>
          </cell>
          <cell r="H522">
            <v>0</v>
          </cell>
          <cell r="I522" t="str">
            <v>деп</v>
          </cell>
          <cell r="J522">
            <v>38297</v>
          </cell>
        </row>
        <row r="523">
          <cell r="A523">
            <v>58721416</v>
          </cell>
          <cell r="B523" t="str">
            <v>ВИТА-ФРОСТ</v>
          </cell>
          <cell r="C523" t="str">
            <v>УССУРИЙСК    (ДВС)</v>
          </cell>
          <cell r="D523">
            <v>34040</v>
          </cell>
          <cell r="E523">
            <v>37747</v>
          </cell>
          <cell r="F523">
            <v>350</v>
          </cell>
          <cell r="H523">
            <v>0</v>
          </cell>
          <cell r="I523" t="str">
            <v>деп</v>
          </cell>
          <cell r="J523">
            <v>38297</v>
          </cell>
        </row>
        <row r="524">
          <cell r="A524">
            <v>58729310</v>
          </cell>
          <cell r="B524" t="str">
            <v>ВИТА-ФРОСТ</v>
          </cell>
          <cell r="C524" t="str">
            <v>УССУРИЙСК    (ДВС)</v>
          </cell>
          <cell r="D524">
            <v>33512</v>
          </cell>
          <cell r="E524">
            <v>37797</v>
          </cell>
          <cell r="F524">
            <v>886</v>
          </cell>
          <cell r="H524">
            <v>0</v>
          </cell>
          <cell r="I524" t="str">
            <v>деп</v>
          </cell>
          <cell r="J524">
            <v>38346</v>
          </cell>
        </row>
        <row r="525">
          <cell r="A525">
            <v>58729328</v>
          </cell>
          <cell r="B525" t="str">
            <v>ВИТА-ФРОСТ</v>
          </cell>
          <cell r="C525" t="str">
            <v>УССУРИЙСК    (ДВС)</v>
          </cell>
          <cell r="D525">
            <v>33512</v>
          </cell>
          <cell r="E525">
            <v>37797</v>
          </cell>
          <cell r="F525">
            <v>886</v>
          </cell>
          <cell r="H525">
            <v>0</v>
          </cell>
          <cell r="I525" t="str">
            <v>деп</v>
          </cell>
          <cell r="J525">
            <v>38346</v>
          </cell>
        </row>
        <row r="526">
          <cell r="A526">
            <v>58729336</v>
          </cell>
          <cell r="B526" t="str">
            <v>ВИТА-ФРОСТ</v>
          </cell>
          <cell r="C526" t="str">
            <v>УССУРИЙСК    (ДВС)</v>
          </cell>
          <cell r="D526">
            <v>33512</v>
          </cell>
          <cell r="E526">
            <v>37797</v>
          </cell>
          <cell r="F526">
            <v>886</v>
          </cell>
          <cell r="H526">
            <v>0</v>
          </cell>
          <cell r="I526" t="str">
            <v>деп</v>
          </cell>
          <cell r="J526">
            <v>38346</v>
          </cell>
        </row>
        <row r="527">
          <cell r="A527">
            <v>58729344</v>
          </cell>
          <cell r="B527" t="str">
            <v>ВИТА-ФРОСТ</v>
          </cell>
          <cell r="C527" t="str">
            <v>УССУРИЙСК    (ДВС)</v>
          </cell>
          <cell r="D527">
            <v>33512</v>
          </cell>
          <cell r="E527">
            <v>37797</v>
          </cell>
          <cell r="F527">
            <v>886</v>
          </cell>
          <cell r="H527">
            <v>0</v>
          </cell>
          <cell r="I527" t="str">
            <v>деп</v>
          </cell>
          <cell r="J527">
            <v>38346</v>
          </cell>
        </row>
        <row r="528">
          <cell r="B528" t="str">
            <v>ВИТА-ФРОСТ Количество</v>
          </cell>
          <cell r="D528">
            <v>10</v>
          </cell>
        </row>
        <row r="529">
          <cell r="A529">
            <v>58710310</v>
          </cell>
          <cell r="B529" t="str">
            <v>ВИТО</v>
          </cell>
          <cell r="C529" t="str">
            <v>АСТРАХАНЬ 2  (ПРВ)</v>
          </cell>
          <cell r="D529">
            <v>24838</v>
          </cell>
          <cell r="E529">
            <v>35643</v>
          </cell>
          <cell r="I529" t="str">
            <v>деп</v>
          </cell>
          <cell r="J529">
            <v>36373</v>
          </cell>
        </row>
        <row r="530">
          <cell r="A530">
            <v>58710328</v>
          </cell>
          <cell r="B530" t="str">
            <v>ВИТО</v>
          </cell>
          <cell r="C530" t="str">
            <v>АСТРАХАНЬ 2  (ПРВ)</v>
          </cell>
          <cell r="D530">
            <v>24838</v>
          </cell>
          <cell r="E530">
            <v>35643</v>
          </cell>
          <cell r="I530" t="str">
            <v>деп</v>
          </cell>
          <cell r="J530">
            <v>36373</v>
          </cell>
        </row>
        <row r="531">
          <cell r="B531" t="str">
            <v>ВИТО Количество</v>
          </cell>
          <cell r="D531">
            <v>2</v>
          </cell>
        </row>
        <row r="532">
          <cell r="A532">
            <v>53701504</v>
          </cell>
          <cell r="B532" t="str">
            <v>ВКЗ ДАГВИНО</v>
          </cell>
          <cell r="C532" t="str">
            <v>КУПЧИНСКАЯ   (ОКТ)</v>
          </cell>
          <cell r="D532">
            <v>25659</v>
          </cell>
          <cell r="E532">
            <v>35233</v>
          </cell>
          <cell r="G532">
            <v>32766</v>
          </cell>
          <cell r="I532" t="str">
            <v>деп</v>
          </cell>
          <cell r="J532">
            <v>36328</v>
          </cell>
        </row>
        <row r="533">
          <cell r="B533" t="str">
            <v>ВКЗ ДАГВИНО Количество</v>
          </cell>
          <cell r="D533">
            <v>1</v>
          </cell>
        </row>
        <row r="534">
          <cell r="A534">
            <v>53701082</v>
          </cell>
          <cell r="B534" t="str">
            <v>ВЛАДИВОСТОКСК.РЫБНЫЙ ДВОР</v>
          </cell>
          <cell r="C534" t="str">
            <v>КЛЕЩИХА      (ЗСБ)</v>
          </cell>
          <cell r="D534">
            <v>33420</v>
          </cell>
          <cell r="E534">
            <v>38002</v>
          </cell>
          <cell r="F534">
            <v>163</v>
          </cell>
          <cell r="H534">
            <v>0</v>
          </cell>
          <cell r="I534" t="str">
            <v>деп</v>
          </cell>
          <cell r="J534">
            <v>38549</v>
          </cell>
        </row>
        <row r="535">
          <cell r="A535">
            <v>53705687</v>
          </cell>
          <cell r="B535" t="str">
            <v>ВЛАДИВОСТОКСК.РЫБНЫЙ ДВОР</v>
          </cell>
          <cell r="C535" t="str">
            <v>КЛЕЩИХА      (ЗСБ)</v>
          </cell>
          <cell r="D535">
            <v>33208</v>
          </cell>
          <cell r="E535">
            <v>37829</v>
          </cell>
          <cell r="F535">
            <v>557</v>
          </cell>
          <cell r="G535">
            <v>37244</v>
          </cell>
          <cell r="H535">
            <v>616</v>
          </cell>
          <cell r="I535" t="str">
            <v>деп</v>
          </cell>
          <cell r="J535">
            <v>38379</v>
          </cell>
        </row>
        <row r="536">
          <cell r="A536">
            <v>53706248</v>
          </cell>
          <cell r="B536" t="str">
            <v>ВЛАДИВОСТОКСК.РЫБНЫЙ ДВОР</v>
          </cell>
          <cell r="C536" t="str">
            <v>КЛЕЩИХА      (ЗСБ)</v>
          </cell>
          <cell r="D536">
            <v>34578</v>
          </cell>
          <cell r="E536">
            <v>37447</v>
          </cell>
          <cell r="F536">
            <v>616</v>
          </cell>
          <cell r="H536">
            <v>0</v>
          </cell>
          <cell r="I536" t="str">
            <v>деп</v>
          </cell>
          <cell r="J536">
            <v>37996</v>
          </cell>
        </row>
        <row r="537">
          <cell r="A537">
            <v>53706503</v>
          </cell>
          <cell r="B537" t="str">
            <v>ВЛАДИВОСТОКСК.РЫБНЫЙ ДВОР</v>
          </cell>
          <cell r="C537" t="str">
            <v>КЛЕЩИХА      (ЗСБ)</v>
          </cell>
          <cell r="D537">
            <v>33249</v>
          </cell>
          <cell r="E537">
            <v>37739</v>
          </cell>
          <cell r="F537">
            <v>819</v>
          </cell>
          <cell r="H537">
            <v>0</v>
          </cell>
          <cell r="I537" t="str">
            <v>деп</v>
          </cell>
          <cell r="J537">
            <v>38288</v>
          </cell>
        </row>
        <row r="538">
          <cell r="A538">
            <v>58725037</v>
          </cell>
          <cell r="B538" t="str">
            <v>ВЛАДИВОСТОКСК.РЫБНЫЙ ДВОР</v>
          </cell>
          <cell r="C538" t="str">
            <v>КЛЕЩИХА      (ЗСБ)</v>
          </cell>
          <cell r="D538">
            <v>33208</v>
          </cell>
          <cell r="E538">
            <v>37827</v>
          </cell>
          <cell r="F538">
            <v>557</v>
          </cell>
          <cell r="G538">
            <v>37244</v>
          </cell>
          <cell r="H538">
            <v>616</v>
          </cell>
          <cell r="I538" t="str">
            <v>деп</v>
          </cell>
          <cell r="J538">
            <v>38377</v>
          </cell>
        </row>
        <row r="539">
          <cell r="A539">
            <v>58725045</v>
          </cell>
          <cell r="B539" t="str">
            <v>ВЛАДИВОСТОКСК.РЫБНЫЙ ДВОР</v>
          </cell>
          <cell r="C539" t="str">
            <v>КЛЕЩИХА      (ЗСБ)</v>
          </cell>
          <cell r="D539">
            <v>33208</v>
          </cell>
          <cell r="E539">
            <v>37827</v>
          </cell>
          <cell r="F539">
            <v>557</v>
          </cell>
          <cell r="G539">
            <v>37244</v>
          </cell>
          <cell r="H539">
            <v>616</v>
          </cell>
          <cell r="I539" t="str">
            <v>деп</v>
          </cell>
          <cell r="J539">
            <v>38377</v>
          </cell>
        </row>
        <row r="540">
          <cell r="A540">
            <v>58725052</v>
          </cell>
          <cell r="B540" t="str">
            <v>ВЛАДИВОСТОКСК.РЫБНЫЙ ДВОР</v>
          </cell>
          <cell r="C540" t="str">
            <v>КЛЕЩИХА      (ЗСБ)</v>
          </cell>
          <cell r="D540">
            <v>33208</v>
          </cell>
          <cell r="E540">
            <v>37827</v>
          </cell>
          <cell r="F540">
            <v>557</v>
          </cell>
          <cell r="G540">
            <v>37244</v>
          </cell>
          <cell r="H540">
            <v>616</v>
          </cell>
          <cell r="I540" t="str">
            <v>деп</v>
          </cell>
          <cell r="J540">
            <v>38377</v>
          </cell>
        </row>
        <row r="541">
          <cell r="A541">
            <v>58725060</v>
          </cell>
          <cell r="B541" t="str">
            <v>ВЛАДИВОСТОКСК.РЫБНЫЙ ДВОР</v>
          </cell>
          <cell r="C541" t="str">
            <v>КЛЕЩИХА      (ЗСБ)</v>
          </cell>
          <cell r="D541">
            <v>33208</v>
          </cell>
          <cell r="E541">
            <v>37782</v>
          </cell>
          <cell r="F541">
            <v>819</v>
          </cell>
          <cell r="G541">
            <v>37244</v>
          </cell>
          <cell r="H541">
            <v>616</v>
          </cell>
          <cell r="I541" t="str">
            <v>деп</v>
          </cell>
          <cell r="J541">
            <v>38331</v>
          </cell>
        </row>
        <row r="542">
          <cell r="A542">
            <v>58727496</v>
          </cell>
          <cell r="B542" t="str">
            <v>ВЛАДИВОСТОКСК.РЫБНЫЙ ДВОР</v>
          </cell>
          <cell r="C542" t="str">
            <v>КЛЕЩИХА      (ЗСБ)</v>
          </cell>
          <cell r="D542">
            <v>34578</v>
          </cell>
          <cell r="E542">
            <v>37447</v>
          </cell>
          <cell r="F542">
            <v>616</v>
          </cell>
          <cell r="H542">
            <v>0</v>
          </cell>
          <cell r="I542" t="str">
            <v>деп</v>
          </cell>
          <cell r="J542">
            <v>37996</v>
          </cell>
        </row>
        <row r="543">
          <cell r="A543">
            <v>58727595</v>
          </cell>
          <cell r="B543" t="str">
            <v>ВЛАДИВОСТОКСК.РЫБНЫЙ ДВОР</v>
          </cell>
          <cell r="C543" t="str">
            <v>КЛЕЩИХА      (ЗСБ)</v>
          </cell>
          <cell r="D543">
            <v>34578</v>
          </cell>
          <cell r="E543">
            <v>37447</v>
          </cell>
          <cell r="F543">
            <v>616</v>
          </cell>
          <cell r="H543">
            <v>0</v>
          </cell>
          <cell r="I543" t="str">
            <v>деп</v>
          </cell>
          <cell r="J543">
            <v>37996</v>
          </cell>
        </row>
        <row r="544">
          <cell r="A544">
            <v>58740770</v>
          </cell>
          <cell r="B544" t="str">
            <v>ВЛАДИВОСТОКСК.РЫБНЫЙ ДВОР</v>
          </cell>
          <cell r="C544" t="str">
            <v>КЛЕЩИХА      (ЗСБ)</v>
          </cell>
          <cell r="D544">
            <v>33176</v>
          </cell>
          <cell r="E544">
            <v>37739</v>
          </cell>
          <cell r="F544">
            <v>819</v>
          </cell>
          <cell r="H544">
            <v>0</v>
          </cell>
          <cell r="I544" t="str">
            <v>деп</v>
          </cell>
          <cell r="J544">
            <v>38288</v>
          </cell>
        </row>
        <row r="545">
          <cell r="A545">
            <v>58740788</v>
          </cell>
          <cell r="B545" t="str">
            <v>ВЛАДИВОСТОКСК.РЫБНЫЙ ДВОР</v>
          </cell>
          <cell r="C545" t="str">
            <v>КЛЕЩИХА      (ЗСБ)</v>
          </cell>
          <cell r="D545">
            <v>33255</v>
          </cell>
          <cell r="E545">
            <v>37739</v>
          </cell>
          <cell r="F545">
            <v>819</v>
          </cell>
          <cell r="H545">
            <v>0</v>
          </cell>
          <cell r="I545" t="str">
            <v>деп</v>
          </cell>
          <cell r="J545">
            <v>38288</v>
          </cell>
        </row>
        <row r="546">
          <cell r="A546">
            <v>58740804</v>
          </cell>
          <cell r="B546" t="str">
            <v>ВЛАДИВОСТОКСК.РЫБНЫЙ ДВОР</v>
          </cell>
          <cell r="C546" t="str">
            <v>КЛЕЩИХА      (ЗСБ)</v>
          </cell>
          <cell r="D546">
            <v>33227</v>
          </cell>
          <cell r="E546">
            <v>37739</v>
          </cell>
          <cell r="F546">
            <v>819</v>
          </cell>
          <cell r="H546">
            <v>0</v>
          </cell>
          <cell r="I546" t="str">
            <v>деп</v>
          </cell>
          <cell r="J546">
            <v>38288</v>
          </cell>
        </row>
        <row r="547">
          <cell r="A547">
            <v>58740812</v>
          </cell>
          <cell r="B547" t="str">
            <v>ВЛАДИВОСТОКСК.РЫБНЫЙ ДВОР</v>
          </cell>
          <cell r="C547" t="str">
            <v>КЛЕЩИХА      (ЗСБ)</v>
          </cell>
          <cell r="D547">
            <v>33220</v>
          </cell>
          <cell r="E547">
            <v>37739</v>
          </cell>
          <cell r="F547">
            <v>819</v>
          </cell>
          <cell r="H547">
            <v>0</v>
          </cell>
          <cell r="I547" t="str">
            <v>деп</v>
          </cell>
          <cell r="J547">
            <v>38288</v>
          </cell>
        </row>
        <row r="548">
          <cell r="A548">
            <v>58742362</v>
          </cell>
          <cell r="B548" t="str">
            <v>ВЛАДИВОСТОКСК.РЫБНЫЙ ДВОР</v>
          </cell>
          <cell r="C548" t="str">
            <v>КЛЕЩИХА      (ЗСБ)</v>
          </cell>
          <cell r="D548">
            <v>33512</v>
          </cell>
          <cell r="E548">
            <v>38002</v>
          </cell>
          <cell r="F548">
            <v>163</v>
          </cell>
          <cell r="H548">
            <v>0</v>
          </cell>
          <cell r="I548" t="str">
            <v>деп</v>
          </cell>
          <cell r="J548">
            <v>38549</v>
          </cell>
        </row>
        <row r="549">
          <cell r="A549">
            <v>58742370</v>
          </cell>
          <cell r="B549" t="str">
            <v>ВЛАДИВОСТОКСК.РЫБНЫЙ ДВОР</v>
          </cell>
          <cell r="C549" t="str">
            <v>КЛЕЩИХА      (ЗСБ)</v>
          </cell>
          <cell r="D549">
            <v>33512</v>
          </cell>
          <cell r="E549">
            <v>38002</v>
          </cell>
          <cell r="F549">
            <v>163</v>
          </cell>
          <cell r="H549">
            <v>0</v>
          </cell>
          <cell r="I549" t="str">
            <v>деп</v>
          </cell>
          <cell r="J549">
            <v>38549</v>
          </cell>
        </row>
        <row r="550">
          <cell r="A550">
            <v>58742388</v>
          </cell>
          <cell r="B550" t="str">
            <v>ВЛАДИВОСТОКСК.РЫБНЫЙ ДВОР</v>
          </cell>
          <cell r="C550" t="str">
            <v>КЛЕЩИХА      (ЗСБ)</v>
          </cell>
          <cell r="D550">
            <v>33512</v>
          </cell>
          <cell r="E550">
            <v>38002</v>
          </cell>
          <cell r="F550">
            <v>163</v>
          </cell>
          <cell r="H550">
            <v>0</v>
          </cell>
          <cell r="I550" t="str">
            <v>деп</v>
          </cell>
          <cell r="J550">
            <v>38549</v>
          </cell>
        </row>
        <row r="551">
          <cell r="A551">
            <v>58742404</v>
          </cell>
          <cell r="B551" t="str">
            <v>ВЛАДИВОСТОКСК.РЫБНЫЙ ДВОР</v>
          </cell>
          <cell r="C551" t="str">
            <v>КЛЕЩИХА      (ЗСБ)</v>
          </cell>
          <cell r="D551">
            <v>33512</v>
          </cell>
          <cell r="E551">
            <v>38002</v>
          </cell>
          <cell r="F551">
            <v>163</v>
          </cell>
          <cell r="H551">
            <v>0</v>
          </cell>
          <cell r="I551" t="str">
            <v>деп</v>
          </cell>
          <cell r="J551">
            <v>38549</v>
          </cell>
        </row>
        <row r="552">
          <cell r="B552" t="str">
            <v>ВЛАДИВОСТОКСК.РЫБНЫЙ ДВОР Количество</v>
          </cell>
          <cell r="D552">
            <v>18</v>
          </cell>
        </row>
        <row r="553">
          <cell r="A553">
            <v>53705364</v>
          </cell>
          <cell r="B553" t="str">
            <v>ВЛАДТЭК</v>
          </cell>
          <cell r="C553" t="str">
            <v>УССУРИЙСК    (ДВС)</v>
          </cell>
          <cell r="D553">
            <v>33326</v>
          </cell>
          <cell r="E553">
            <v>37796</v>
          </cell>
          <cell r="F553">
            <v>163</v>
          </cell>
          <cell r="H553">
            <v>0</v>
          </cell>
          <cell r="I553" t="str">
            <v>деп</v>
          </cell>
          <cell r="J553">
            <v>38345</v>
          </cell>
        </row>
        <row r="554">
          <cell r="A554">
            <v>58728718</v>
          </cell>
          <cell r="B554" t="str">
            <v>ВЛАДТЭК</v>
          </cell>
          <cell r="C554" t="str">
            <v>УССУРИЙСК    (ДВС)</v>
          </cell>
          <cell r="D554">
            <v>33358</v>
          </cell>
          <cell r="E554">
            <v>37796</v>
          </cell>
          <cell r="F554">
            <v>163</v>
          </cell>
          <cell r="H554">
            <v>0</v>
          </cell>
          <cell r="I554" t="str">
            <v>деп</v>
          </cell>
          <cell r="J554">
            <v>38527</v>
          </cell>
        </row>
        <row r="555">
          <cell r="A555">
            <v>58728726</v>
          </cell>
          <cell r="B555" t="str">
            <v>ВЛАДТЭК</v>
          </cell>
          <cell r="C555" t="str">
            <v>УССУРИЙСК    (ДВС)</v>
          </cell>
          <cell r="D555">
            <v>33358</v>
          </cell>
          <cell r="E555">
            <v>37796</v>
          </cell>
          <cell r="F555">
            <v>163</v>
          </cell>
          <cell r="H555">
            <v>0</v>
          </cell>
          <cell r="I555" t="str">
            <v>деп</v>
          </cell>
          <cell r="J555">
            <v>38527</v>
          </cell>
        </row>
        <row r="556">
          <cell r="A556">
            <v>58728734</v>
          </cell>
          <cell r="B556" t="str">
            <v>ВЛАДТЭК</v>
          </cell>
          <cell r="C556" t="str">
            <v>УССУРИЙСК    (ДВС)</v>
          </cell>
          <cell r="D556">
            <v>33358</v>
          </cell>
          <cell r="E556">
            <v>37796</v>
          </cell>
          <cell r="F556">
            <v>163</v>
          </cell>
          <cell r="H556">
            <v>0</v>
          </cell>
          <cell r="I556" t="str">
            <v>деп</v>
          </cell>
          <cell r="J556">
            <v>38527</v>
          </cell>
        </row>
        <row r="557">
          <cell r="A557">
            <v>58728742</v>
          </cell>
          <cell r="B557" t="str">
            <v>ВЛАДТЭК</v>
          </cell>
          <cell r="C557" t="str">
            <v>УССУРИЙСК    (ДВС)</v>
          </cell>
          <cell r="D557">
            <v>33358</v>
          </cell>
          <cell r="E557">
            <v>37796</v>
          </cell>
          <cell r="F557">
            <v>163</v>
          </cell>
          <cell r="H557">
            <v>0</v>
          </cell>
          <cell r="I557" t="str">
            <v>деп</v>
          </cell>
          <cell r="J557">
            <v>38527</v>
          </cell>
        </row>
        <row r="558">
          <cell r="B558" t="str">
            <v>ВЛАДТЭК Количество</v>
          </cell>
          <cell r="D558">
            <v>5</v>
          </cell>
        </row>
        <row r="559">
          <cell r="A559">
            <v>53703344</v>
          </cell>
          <cell r="B559" t="str">
            <v>ГОСПЛЕМЗВЕРОС-З ПУШКИНСКИЙ</v>
          </cell>
          <cell r="C559" t="str">
            <v>СОФРИНО      (МСK)</v>
          </cell>
          <cell r="D559">
            <v>26299</v>
          </cell>
          <cell r="E559">
            <v>33983</v>
          </cell>
        </row>
        <row r="560">
          <cell r="A560">
            <v>58722257</v>
          </cell>
          <cell r="B560" t="str">
            <v>ГОСПЛЕМЗВЕРОС-З ПУШКИНСКИЙ</v>
          </cell>
          <cell r="C560" t="str">
            <v>СОФРИНО      (МСK)</v>
          </cell>
          <cell r="D560">
            <v>26299</v>
          </cell>
          <cell r="E560">
            <v>33983</v>
          </cell>
        </row>
        <row r="561">
          <cell r="A561">
            <v>58722265</v>
          </cell>
          <cell r="B561" t="str">
            <v>ГОСПЛЕМЗВЕРОС-З ПУШКИНСКИЙ</v>
          </cell>
          <cell r="C561" t="str">
            <v>СОФРИНО      (МСK)</v>
          </cell>
          <cell r="D561">
            <v>26299</v>
          </cell>
          <cell r="E561">
            <v>33983</v>
          </cell>
        </row>
        <row r="562">
          <cell r="A562">
            <v>58722273</v>
          </cell>
          <cell r="B562" t="str">
            <v>ГОСПЛЕМЗВЕРОС-З ПУШКИНСКИЙ</v>
          </cell>
          <cell r="C562" t="str">
            <v>СОФРИНО      (МСK)</v>
          </cell>
          <cell r="D562">
            <v>26299</v>
          </cell>
          <cell r="E562">
            <v>33983</v>
          </cell>
        </row>
        <row r="563">
          <cell r="A563">
            <v>58722281</v>
          </cell>
          <cell r="B563" t="str">
            <v>ГОСПЛЕМЗВЕРОС-З ПУШКИНСКИЙ</v>
          </cell>
          <cell r="C563" t="str">
            <v>СОФРИНО      (МСK)</v>
          </cell>
          <cell r="D563">
            <v>26299</v>
          </cell>
          <cell r="E563">
            <v>33983</v>
          </cell>
        </row>
        <row r="564">
          <cell r="B564" t="str">
            <v>ГОСПЛЕМЗВЕРОС-З ПУШКИНСКИЙ Количество</v>
          </cell>
          <cell r="D564">
            <v>5</v>
          </cell>
        </row>
        <row r="565">
          <cell r="A565">
            <v>53706230</v>
          </cell>
          <cell r="B565" t="str">
            <v>ГРАНД-СЕРВИС</v>
          </cell>
          <cell r="C565" t="str">
            <v>МОС-ТОВ-КУР  (МСK)</v>
          </cell>
          <cell r="D565">
            <v>33171</v>
          </cell>
          <cell r="E565">
            <v>37489</v>
          </cell>
          <cell r="F565">
            <v>350</v>
          </cell>
          <cell r="H565">
            <v>0</v>
          </cell>
          <cell r="I565" t="str">
            <v>деп</v>
          </cell>
          <cell r="J565">
            <v>38038</v>
          </cell>
        </row>
        <row r="566">
          <cell r="A566">
            <v>53706511</v>
          </cell>
          <cell r="B566" t="str">
            <v>ГРАНД-СЕРВИС</v>
          </cell>
          <cell r="C566" t="str">
            <v>МОС-ТОВ-КУР  (МСK)</v>
          </cell>
          <cell r="D566">
            <v>32143</v>
          </cell>
          <cell r="E566">
            <v>37764</v>
          </cell>
          <cell r="F566">
            <v>163</v>
          </cell>
          <cell r="G566">
            <v>36487</v>
          </cell>
          <cell r="H566">
            <v>1065</v>
          </cell>
          <cell r="I566" t="str">
            <v>деп</v>
          </cell>
          <cell r="J566">
            <v>38314</v>
          </cell>
        </row>
        <row r="567">
          <cell r="A567">
            <v>53706529</v>
          </cell>
          <cell r="B567" t="str">
            <v>ГРАНД-СЕРВИС</v>
          </cell>
          <cell r="C567" t="str">
            <v>МОС-ТОВ-КУР  (МСK)</v>
          </cell>
          <cell r="D567">
            <v>32143</v>
          </cell>
          <cell r="E567">
            <v>37768</v>
          </cell>
          <cell r="F567">
            <v>163</v>
          </cell>
          <cell r="G567">
            <v>35960</v>
          </cell>
          <cell r="H567">
            <v>1065</v>
          </cell>
          <cell r="I567" t="str">
            <v>деп</v>
          </cell>
          <cell r="J567">
            <v>38318</v>
          </cell>
        </row>
        <row r="568">
          <cell r="A568">
            <v>53706537</v>
          </cell>
          <cell r="B568" t="str">
            <v>ГРАНД-СЕРВИС</v>
          </cell>
          <cell r="C568" t="str">
            <v>МОС-ТОВ-КУР  (МСK)</v>
          </cell>
          <cell r="D568">
            <v>32143</v>
          </cell>
          <cell r="E568">
            <v>37800</v>
          </cell>
          <cell r="F568">
            <v>163</v>
          </cell>
          <cell r="G568">
            <v>36455</v>
          </cell>
          <cell r="H568">
            <v>1065</v>
          </cell>
          <cell r="I568" t="str">
            <v>деп</v>
          </cell>
          <cell r="J568">
            <v>38349</v>
          </cell>
        </row>
        <row r="569">
          <cell r="A569">
            <v>53706545</v>
          </cell>
          <cell r="B569" t="str">
            <v>ГРАНД-СЕРВИС</v>
          </cell>
          <cell r="C569" t="str">
            <v>МОС-ТОВ-КУР  (МСK)</v>
          </cell>
          <cell r="D569">
            <v>32509</v>
          </cell>
          <cell r="E569">
            <v>37782</v>
          </cell>
          <cell r="F569">
            <v>163</v>
          </cell>
          <cell r="G569">
            <v>36501</v>
          </cell>
          <cell r="H569">
            <v>1065</v>
          </cell>
          <cell r="I569" t="str">
            <v>деп</v>
          </cell>
          <cell r="J569">
            <v>38331</v>
          </cell>
        </row>
        <row r="570">
          <cell r="A570">
            <v>53706552</v>
          </cell>
          <cell r="B570" t="str">
            <v>ГРАНД-СЕРВИС</v>
          </cell>
          <cell r="C570" t="str">
            <v>МОС-ТОВ-КУР  (МСK)</v>
          </cell>
          <cell r="D570">
            <v>32051</v>
          </cell>
          <cell r="E570">
            <v>37862</v>
          </cell>
          <cell r="F570">
            <v>163</v>
          </cell>
          <cell r="G570">
            <v>35941</v>
          </cell>
          <cell r="H570">
            <v>1065</v>
          </cell>
          <cell r="I570" t="str">
            <v>деп</v>
          </cell>
          <cell r="J570">
            <v>38411</v>
          </cell>
        </row>
        <row r="571">
          <cell r="A571">
            <v>53706586</v>
          </cell>
          <cell r="B571" t="str">
            <v>ГРАНД-СЕРВИС</v>
          </cell>
          <cell r="C571" t="str">
            <v>МОС-ТОВ-КУР  (МСK)</v>
          </cell>
          <cell r="D571">
            <v>32143</v>
          </cell>
          <cell r="E571">
            <v>37970</v>
          </cell>
          <cell r="F571">
            <v>163</v>
          </cell>
          <cell r="G571">
            <v>36475</v>
          </cell>
          <cell r="H571">
            <v>1065</v>
          </cell>
          <cell r="I571" t="str">
            <v>деп</v>
          </cell>
          <cell r="J571">
            <v>38518</v>
          </cell>
        </row>
        <row r="572">
          <cell r="A572">
            <v>53706776</v>
          </cell>
          <cell r="B572" t="str">
            <v>ГРАНД-СЕРВИС</v>
          </cell>
          <cell r="C572" t="str">
            <v>МОС-ТОВ-КУР  (МСK)</v>
          </cell>
          <cell r="D572">
            <v>37894</v>
          </cell>
          <cell r="F572">
            <v>0</v>
          </cell>
          <cell r="H572">
            <v>0</v>
          </cell>
          <cell r="I572" t="str">
            <v>деп</v>
          </cell>
          <cell r="J572">
            <v>38806</v>
          </cell>
        </row>
        <row r="573">
          <cell r="A573">
            <v>53706784</v>
          </cell>
          <cell r="B573" t="str">
            <v>ГРАНД-СЕРВИС</v>
          </cell>
          <cell r="C573" t="str">
            <v>МОС-ТОВ-КУР  (МСK)</v>
          </cell>
          <cell r="D573">
            <v>37894</v>
          </cell>
          <cell r="F573">
            <v>0</v>
          </cell>
          <cell r="H573">
            <v>0</v>
          </cell>
          <cell r="I573" t="str">
            <v>деп</v>
          </cell>
          <cell r="J573">
            <v>38806</v>
          </cell>
        </row>
        <row r="574">
          <cell r="A574">
            <v>58726993</v>
          </cell>
          <cell r="B574" t="str">
            <v>ГРАНД-СЕРВИС</v>
          </cell>
          <cell r="C574" t="str">
            <v>МОС-ТОВ-КУР  (МСK)</v>
          </cell>
          <cell r="D574">
            <v>33171</v>
          </cell>
          <cell r="E574">
            <v>37489</v>
          </cell>
          <cell r="F574">
            <v>350</v>
          </cell>
          <cell r="H574">
            <v>0</v>
          </cell>
          <cell r="I574" t="str">
            <v>деп</v>
          </cell>
          <cell r="J574">
            <v>38038</v>
          </cell>
        </row>
        <row r="575">
          <cell r="A575">
            <v>58727090</v>
          </cell>
          <cell r="B575" t="str">
            <v>ГРАНД-СЕРВИС</v>
          </cell>
          <cell r="C575" t="str">
            <v>МОС-ТОВ-КУР  (МСK)</v>
          </cell>
          <cell r="D575">
            <v>33171</v>
          </cell>
          <cell r="E575">
            <v>37489</v>
          </cell>
          <cell r="F575">
            <v>350</v>
          </cell>
          <cell r="H575">
            <v>0</v>
          </cell>
          <cell r="I575" t="str">
            <v>деп</v>
          </cell>
          <cell r="J575">
            <v>38038</v>
          </cell>
        </row>
        <row r="576">
          <cell r="A576">
            <v>58727199</v>
          </cell>
          <cell r="B576" t="str">
            <v>ГРАНД-СЕРВИС</v>
          </cell>
          <cell r="C576" t="str">
            <v>МОС-ТОВ-КУР  (МСK)</v>
          </cell>
          <cell r="D576">
            <v>33171</v>
          </cell>
          <cell r="E576">
            <v>37489</v>
          </cell>
          <cell r="F576">
            <v>350</v>
          </cell>
          <cell r="H576">
            <v>0</v>
          </cell>
          <cell r="I576" t="str">
            <v>деп</v>
          </cell>
          <cell r="J576">
            <v>38038</v>
          </cell>
        </row>
        <row r="577">
          <cell r="A577">
            <v>58727298</v>
          </cell>
          <cell r="B577" t="str">
            <v>ГРАНД-СЕРВИС</v>
          </cell>
          <cell r="C577" t="str">
            <v>МОС-ТОВ-КУР  (МСK)</v>
          </cell>
          <cell r="D577">
            <v>33171</v>
          </cell>
          <cell r="E577">
            <v>37489</v>
          </cell>
          <cell r="F577">
            <v>350</v>
          </cell>
          <cell r="H577">
            <v>0</v>
          </cell>
          <cell r="I577" t="str">
            <v>деп</v>
          </cell>
          <cell r="J577">
            <v>38038</v>
          </cell>
        </row>
        <row r="578">
          <cell r="A578">
            <v>58740705</v>
          </cell>
          <cell r="B578" t="str">
            <v>ГРАНД-СЕРВИС</v>
          </cell>
          <cell r="C578" t="str">
            <v>МОС-ТОВ-КУР  (МСK)</v>
          </cell>
          <cell r="D578">
            <v>33234</v>
          </cell>
          <cell r="E578">
            <v>37776</v>
          </cell>
          <cell r="F578">
            <v>350</v>
          </cell>
          <cell r="H578">
            <v>0</v>
          </cell>
          <cell r="I578" t="str">
            <v>деп</v>
          </cell>
          <cell r="J578">
            <v>38325</v>
          </cell>
        </row>
        <row r="579">
          <cell r="A579">
            <v>58740820</v>
          </cell>
          <cell r="B579" t="str">
            <v>ГРАНД-СЕРВИС</v>
          </cell>
          <cell r="C579" t="str">
            <v>МОС-ТОВ-КУР  (МСK)</v>
          </cell>
          <cell r="D579">
            <v>32143</v>
          </cell>
          <cell r="E579">
            <v>37764</v>
          </cell>
          <cell r="F579">
            <v>163</v>
          </cell>
          <cell r="G579">
            <v>36487</v>
          </cell>
          <cell r="H579">
            <v>1065</v>
          </cell>
          <cell r="I579" t="str">
            <v>деп</v>
          </cell>
          <cell r="J579">
            <v>38314</v>
          </cell>
        </row>
        <row r="580">
          <cell r="A580">
            <v>58740838</v>
          </cell>
          <cell r="B580" t="str">
            <v>ГРАНД-СЕРВИС</v>
          </cell>
          <cell r="C580" t="str">
            <v>МОС-ТОВ-КУР  (МСK)</v>
          </cell>
          <cell r="D580">
            <v>32143</v>
          </cell>
          <cell r="E580">
            <v>37764</v>
          </cell>
          <cell r="F580">
            <v>163</v>
          </cell>
          <cell r="G580">
            <v>36487</v>
          </cell>
          <cell r="H580">
            <v>1065</v>
          </cell>
          <cell r="I580" t="str">
            <v>деп</v>
          </cell>
          <cell r="J580">
            <v>38314</v>
          </cell>
        </row>
        <row r="581">
          <cell r="A581">
            <v>58740846</v>
          </cell>
          <cell r="B581" t="str">
            <v>ГРАНД-СЕРВИС</v>
          </cell>
          <cell r="C581" t="str">
            <v>МОС-ТОВ-КУР  (МСK)</v>
          </cell>
          <cell r="D581">
            <v>32143</v>
          </cell>
          <cell r="E581">
            <v>37764</v>
          </cell>
          <cell r="F581">
            <v>163</v>
          </cell>
          <cell r="G581">
            <v>36487</v>
          </cell>
          <cell r="H581">
            <v>1065</v>
          </cell>
          <cell r="I581" t="str">
            <v>деп</v>
          </cell>
          <cell r="J581">
            <v>38314</v>
          </cell>
        </row>
        <row r="582">
          <cell r="A582">
            <v>58740853</v>
          </cell>
          <cell r="B582" t="str">
            <v>ГРАНД-СЕРВИС</v>
          </cell>
          <cell r="C582" t="str">
            <v>МОС-ТОВ-КУР  (МСK)</v>
          </cell>
          <cell r="D582">
            <v>32143</v>
          </cell>
          <cell r="E582">
            <v>37764</v>
          </cell>
          <cell r="F582">
            <v>163</v>
          </cell>
          <cell r="G582">
            <v>36487</v>
          </cell>
          <cell r="H582">
            <v>1065</v>
          </cell>
          <cell r="I582" t="str">
            <v>деп</v>
          </cell>
          <cell r="J582">
            <v>38314</v>
          </cell>
        </row>
        <row r="583">
          <cell r="A583">
            <v>58740861</v>
          </cell>
          <cell r="B583" t="str">
            <v>ГРАНД-СЕРВИС</v>
          </cell>
          <cell r="C583" t="str">
            <v>МОС-ТОВ-КУР  (МСK)</v>
          </cell>
          <cell r="D583">
            <v>32143</v>
          </cell>
          <cell r="E583">
            <v>37768</v>
          </cell>
          <cell r="F583">
            <v>163</v>
          </cell>
          <cell r="G583">
            <v>35960</v>
          </cell>
          <cell r="H583">
            <v>1065</v>
          </cell>
          <cell r="I583" t="str">
            <v>деп</v>
          </cell>
          <cell r="J583">
            <v>38318</v>
          </cell>
        </row>
        <row r="584">
          <cell r="A584">
            <v>58740879</v>
          </cell>
          <cell r="B584" t="str">
            <v>ГРАНД-СЕРВИС</v>
          </cell>
          <cell r="C584" t="str">
            <v>МОС-ТОВ-КУР  (МСK)</v>
          </cell>
          <cell r="D584">
            <v>32143</v>
          </cell>
          <cell r="E584">
            <v>37768</v>
          </cell>
          <cell r="F584">
            <v>163</v>
          </cell>
          <cell r="G584">
            <v>35960</v>
          </cell>
          <cell r="H584">
            <v>1065</v>
          </cell>
          <cell r="I584" t="str">
            <v>деп</v>
          </cell>
          <cell r="J584">
            <v>38318</v>
          </cell>
        </row>
        <row r="585">
          <cell r="A585">
            <v>58740887</v>
          </cell>
          <cell r="B585" t="str">
            <v>ГРАНД-СЕРВИС</v>
          </cell>
          <cell r="C585" t="str">
            <v>МОС-ТОВ-КУР  (МСK)</v>
          </cell>
          <cell r="D585">
            <v>32143</v>
          </cell>
          <cell r="E585">
            <v>37768</v>
          </cell>
          <cell r="F585">
            <v>163</v>
          </cell>
          <cell r="G585">
            <v>35960</v>
          </cell>
          <cell r="H585">
            <v>1065</v>
          </cell>
          <cell r="I585" t="str">
            <v>деп</v>
          </cell>
          <cell r="J585">
            <v>38318</v>
          </cell>
        </row>
        <row r="586">
          <cell r="A586">
            <v>58740903</v>
          </cell>
          <cell r="B586" t="str">
            <v>ГРАНД-СЕРВИС</v>
          </cell>
          <cell r="C586" t="str">
            <v>МОС-ТОВ-КУР  (МСK)</v>
          </cell>
          <cell r="D586">
            <v>32143</v>
          </cell>
          <cell r="E586">
            <v>37768</v>
          </cell>
          <cell r="F586">
            <v>163</v>
          </cell>
          <cell r="G586">
            <v>35960</v>
          </cell>
          <cell r="H586">
            <v>1065</v>
          </cell>
          <cell r="I586" t="str">
            <v>деп</v>
          </cell>
          <cell r="J586">
            <v>38318</v>
          </cell>
        </row>
        <row r="587">
          <cell r="A587">
            <v>58740911</v>
          </cell>
          <cell r="B587" t="str">
            <v>ГРАНД-СЕРВИС</v>
          </cell>
          <cell r="C587" t="str">
            <v>МОС-ТОВ-КУР  (МСK)</v>
          </cell>
          <cell r="D587">
            <v>32143</v>
          </cell>
          <cell r="E587">
            <v>37800</v>
          </cell>
          <cell r="F587">
            <v>163</v>
          </cell>
          <cell r="G587">
            <v>36455</v>
          </cell>
          <cell r="H587">
            <v>1065</v>
          </cell>
          <cell r="I587" t="str">
            <v>деп</v>
          </cell>
          <cell r="J587">
            <v>38349</v>
          </cell>
        </row>
        <row r="588">
          <cell r="A588">
            <v>58740929</v>
          </cell>
          <cell r="B588" t="str">
            <v>ГРАНД-СЕРВИС</v>
          </cell>
          <cell r="C588" t="str">
            <v>МОС-ТОВ-КУР  (МСK)</v>
          </cell>
          <cell r="D588">
            <v>32143</v>
          </cell>
          <cell r="E588">
            <v>37800</v>
          </cell>
          <cell r="F588">
            <v>163</v>
          </cell>
          <cell r="G588">
            <v>36455</v>
          </cell>
          <cell r="H588">
            <v>1065</v>
          </cell>
          <cell r="I588" t="str">
            <v>деп</v>
          </cell>
          <cell r="J588">
            <v>38349</v>
          </cell>
        </row>
        <row r="589">
          <cell r="A589">
            <v>58740937</v>
          </cell>
          <cell r="B589" t="str">
            <v>ГРАНД-СЕРВИС</v>
          </cell>
          <cell r="C589" t="str">
            <v>МОС-ТОВ-КУР  (МСK)</v>
          </cell>
          <cell r="D589">
            <v>32143</v>
          </cell>
          <cell r="E589">
            <v>37800</v>
          </cell>
          <cell r="F589">
            <v>163</v>
          </cell>
          <cell r="G589">
            <v>36455</v>
          </cell>
          <cell r="H589">
            <v>1065</v>
          </cell>
          <cell r="I589" t="str">
            <v>деп</v>
          </cell>
          <cell r="J589">
            <v>38349</v>
          </cell>
        </row>
        <row r="590">
          <cell r="A590">
            <v>58740945</v>
          </cell>
          <cell r="B590" t="str">
            <v>ГРАНД-СЕРВИС</v>
          </cell>
          <cell r="C590" t="str">
            <v>МОС-ТОВ-КУР  (МСK)</v>
          </cell>
          <cell r="D590">
            <v>32143</v>
          </cell>
          <cell r="E590">
            <v>37800</v>
          </cell>
          <cell r="F590">
            <v>163</v>
          </cell>
          <cell r="G590">
            <v>36455</v>
          </cell>
          <cell r="H590">
            <v>1065</v>
          </cell>
          <cell r="I590" t="str">
            <v>деп</v>
          </cell>
          <cell r="J590">
            <v>38349</v>
          </cell>
        </row>
        <row r="591">
          <cell r="A591">
            <v>58741018</v>
          </cell>
          <cell r="B591" t="str">
            <v>ГРАНД-СЕРВИС</v>
          </cell>
          <cell r="C591" t="str">
            <v>МОС-ТОВ-КУР  (МСK)</v>
          </cell>
          <cell r="D591">
            <v>32509</v>
          </cell>
          <cell r="E591">
            <v>37782</v>
          </cell>
          <cell r="F591">
            <v>163</v>
          </cell>
          <cell r="G591">
            <v>36501</v>
          </cell>
          <cell r="H591">
            <v>1065</v>
          </cell>
          <cell r="I591" t="str">
            <v>деп</v>
          </cell>
          <cell r="J591">
            <v>38331</v>
          </cell>
        </row>
        <row r="592">
          <cell r="A592">
            <v>58741026</v>
          </cell>
          <cell r="B592" t="str">
            <v>ГРАНД-СЕРВИС</v>
          </cell>
          <cell r="C592" t="str">
            <v>МОС-ТОВ-КУР  (МСK)</v>
          </cell>
          <cell r="D592">
            <v>32509</v>
          </cell>
          <cell r="E592">
            <v>37782</v>
          </cell>
          <cell r="F592">
            <v>163</v>
          </cell>
          <cell r="G592">
            <v>36501</v>
          </cell>
          <cell r="H592">
            <v>1065</v>
          </cell>
          <cell r="I592" t="str">
            <v>деп</v>
          </cell>
          <cell r="J592">
            <v>38331</v>
          </cell>
        </row>
        <row r="593">
          <cell r="A593">
            <v>58741034</v>
          </cell>
          <cell r="B593" t="str">
            <v>ГРАНД-СЕРВИС</v>
          </cell>
          <cell r="C593" t="str">
            <v>МОС-ТОВ-КУР  (МСK)</v>
          </cell>
          <cell r="D593">
            <v>32509</v>
          </cell>
          <cell r="E593">
            <v>37782</v>
          </cell>
          <cell r="F593">
            <v>163</v>
          </cell>
          <cell r="G593">
            <v>36501</v>
          </cell>
          <cell r="H593">
            <v>1065</v>
          </cell>
          <cell r="I593" t="str">
            <v>деп</v>
          </cell>
          <cell r="J593">
            <v>38331</v>
          </cell>
        </row>
        <row r="594">
          <cell r="A594">
            <v>58741042</v>
          </cell>
          <cell r="B594" t="str">
            <v>ГРАНД-СЕРВИС</v>
          </cell>
          <cell r="C594" t="str">
            <v>МОС-ТОВ-КУР  (МСK)</v>
          </cell>
          <cell r="D594">
            <v>32509</v>
          </cell>
          <cell r="E594">
            <v>37782</v>
          </cell>
          <cell r="F594">
            <v>163</v>
          </cell>
          <cell r="G594">
            <v>36501</v>
          </cell>
          <cell r="H594">
            <v>1065</v>
          </cell>
          <cell r="I594" t="str">
            <v>деп</v>
          </cell>
          <cell r="J594">
            <v>38331</v>
          </cell>
        </row>
        <row r="595">
          <cell r="A595">
            <v>58741059</v>
          </cell>
          <cell r="B595" t="str">
            <v>ГРАНД-СЕРВИС</v>
          </cell>
          <cell r="C595" t="str">
            <v>МОС-ТОВ-КУР  (МСK)</v>
          </cell>
          <cell r="D595">
            <v>32051</v>
          </cell>
          <cell r="E595">
            <v>37862</v>
          </cell>
          <cell r="F595">
            <v>163</v>
          </cell>
          <cell r="G595">
            <v>35941</v>
          </cell>
          <cell r="H595">
            <v>1065</v>
          </cell>
          <cell r="I595" t="str">
            <v>деп</v>
          </cell>
          <cell r="J595">
            <v>38411</v>
          </cell>
        </row>
        <row r="596">
          <cell r="A596">
            <v>58741067</v>
          </cell>
          <cell r="B596" t="str">
            <v>ГРАНД-СЕРВИС</v>
          </cell>
          <cell r="C596" t="str">
            <v>МОС-ТОВ-КУР  (МСK)</v>
          </cell>
          <cell r="D596">
            <v>32051</v>
          </cell>
          <cell r="E596">
            <v>37862</v>
          </cell>
          <cell r="F596">
            <v>163</v>
          </cell>
          <cell r="G596">
            <v>35941</v>
          </cell>
          <cell r="H596">
            <v>1065</v>
          </cell>
          <cell r="I596" t="str">
            <v>деп</v>
          </cell>
          <cell r="J596">
            <v>38411</v>
          </cell>
        </row>
        <row r="597">
          <cell r="A597">
            <v>58741075</v>
          </cell>
          <cell r="B597" t="str">
            <v>ГРАНД-СЕРВИС</v>
          </cell>
          <cell r="C597" t="str">
            <v>МОС-ТОВ-КУР  (МСK)</v>
          </cell>
          <cell r="D597">
            <v>32051</v>
          </cell>
          <cell r="E597">
            <v>37862</v>
          </cell>
          <cell r="F597">
            <v>163</v>
          </cell>
          <cell r="G597">
            <v>35941</v>
          </cell>
          <cell r="H597">
            <v>1065</v>
          </cell>
          <cell r="I597" t="str">
            <v>деп</v>
          </cell>
          <cell r="J597">
            <v>38411</v>
          </cell>
        </row>
        <row r="598">
          <cell r="A598">
            <v>58741083</v>
          </cell>
          <cell r="B598" t="str">
            <v>ГРАНД-СЕРВИС</v>
          </cell>
          <cell r="C598" t="str">
            <v>МОС-ТОВ-КУР  (МСK)</v>
          </cell>
          <cell r="D598">
            <v>32051</v>
          </cell>
          <cell r="E598">
            <v>37862</v>
          </cell>
          <cell r="F598">
            <v>163</v>
          </cell>
          <cell r="G598">
            <v>35941</v>
          </cell>
          <cell r="H598">
            <v>1065</v>
          </cell>
          <cell r="I598" t="str">
            <v>деп</v>
          </cell>
          <cell r="J598">
            <v>38411</v>
          </cell>
        </row>
        <row r="599">
          <cell r="A599">
            <v>58741117</v>
          </cell>
          <cell r="B599" t="str">
            <v>ГРАНД-СЕРВИС</v>
          </cell>
          <cell r="C599" t="str">
            <v>МОС-ТОВ-КУР  (МСK)</v>
          </cell>
          <cell r="D599">
            <v>32143</v>
          </cell>
          <cell r="E599">
            <v>37970</v>
          </cell>
          <cell r="F599">
            <v>163</v>
          </cell>
          <cell r="G599">
            <v>36475</v>
          </cell>
          <cell r="H599">
            <v>1065</v>
          </cell>
          <cell r="I599" t="str">
            <v>деп</v>
          </cell>
          <cell r="J599">
            <v>38518</v>
          </cell>
        </row>
        <row r="600">
          <cell r="A600">
            <v>58741125</v>
          </cell>
          <cell r="B600" t="str">
            <v>ГРАНД-СЕРВИС</v>
          </cell>
          <cell r="C600" t="str">
            <v>МОС-ТОВ-КУР  (МСK)</v>
          </cell>
          <cell r="D600">
            <v>32143</v>
          </cell>
          <cell r="E600">
            <v>37970</v>
          </cell>
          <cell r="F600">
            <v>163</v>
          </cell>
          <cell r="G600">
            <v>36475</v>
          </cell>
          <cell r="H600">
            <v>1065</v>
          </cell>
          <cell r="I600" t="str">
            <v>деп</v>
          </cell>
          <cell r="J600">
            <v>38518</v>
          </cell>
        </row>
        <row r="601">
          <cell r="A601">
            <v>58741133</v>
          </cell>
          <cell r="B601" t="str">
            <v>ГРАНД-СЕРВИС</v>
          </cell>
          <cell r="C601" t="str">
            <v>МОС-ТОВ-КУР  (МСK)</v>
          </cell>
          <cell r="D601">
            <v>32143</v>
          </cell>
          <cell r="E601">
            <v>37970</v>
          </cell>
          <cell r="F601">
            <v>163</v>
          </cell>
          <cell r="G601">
            <v>36475</v>
          </cell>
          <cell r="H601">
            <v>1065</v>
          </cell>
          <cell r="I601" t="str">
            <v>деп</v>
          </cell>
          <cell r="J601">
            <v>38518</v>
          </cell>
        </row>
        <row r="602">
          <cell r="A602">
            <v>58741141</v>
          </cell>
          <cell r="B602" t="str">
            <v>ГРАНД-СЕРВИС</v>
          </cell>
          <cell r="C602" t="str">
            <v>МОС-ТОВ-КУР  (МСK)</v>
          </cell>
          <cell r="D602">
            <v>32143</v>
          </cell>
          <cell r="E602">
            <v>37970</v>
          </cell>
          <cell r="F602">
            <v>163</v>
          </cell>
          <cell r="G602">
            <v>36475</v>
          </cell>
          <cell r="H602">
            <v>1065</v>
          </cell>
          <cell r="I602" t="str">
            <v>деп</v>
          </cell>
          <cell r="J602">
            <v>38518</v>
          </cell>
        </row>
        <row r="603">
          <cell r="B603" t="str">
            <v>ГРАНД-СЕРВИС Количество</v>
          </cell>
          <cell r="D603">
            <v>38</v>
          </cell>
        </row>
        <row r="604">
          <cell r="A604">
            <v>53701454</v>
          </cell>
          <cell r="B604" t="str">
            <v>ГУДМАН</v>
          </cell>
          <cell r="C604" t="str">
            <v>МОС-ТОВ-КУР  (МСK)</v>
          </cell>
          <cell r="D604">
            <v>33543</v>
          </cell>
          <cell r="E604">
            <v>37778</v>
          </cell>
          <cell r="F604">
            <v>163</v>
          </cell>
          <cell r="H604">
            <v>0</v>
          </cell>
          <cell r="I604" t="str">
            <v>деп</v>
          </cell>
          <cell r="J604">
            <v>38327</v>
          </cell>
        </row>
        <row r="605">
          <cell r="A605">
            <v>53701736</v>
          </cell>
          <cell r="B605" t="str">
            <v>ГУДМАН</v>
          </cell>
          <cell r="C605" t="str">
            <v>ЛЮБЕРЦЫ 1    (МСK)</v>
          </cell>
          <cell r="D605">
            <v>33473</v>
          </cell>
          <cell r="E605">
            <v>37217</v>
          </cell>
          <cell r="F605">
            <v>335</v>
          </cell>
          <cell r="H605">
            <v>0</v>
          </cell>
          <cell r="I605" t="str">
            <v>кап</v>
          </cell>
          <cell r="J605">
            <v>38313</v>
          </cell>
        </row>
        <row r="606">
          <cell r="A606">
            <v>58339052</v>
          </cell>
          <cell r="B606" t="str">
            <v>ГУДМАН</v>
          </cell>
          <cell r="C606" t="str">
            <v>ЛЮБЕРЦЫ 1    (МСK)</v>
          </cell>
          <cell r="D606">
            <v>33473</v>
          </cell>
          <cell r="E606">
            <v>37974</v>
          </cell>
          <cell r="F606">
            <v>647</v>
          </cell>
          <cell r="H606">
            <v>0</v>
          </cell>
          <cell r="I606" t="str">
            <v>деп</v>
          </cell>
          <cell r="J606">
            <v>38705</v>
          </cell>
        </row>
        <row r="607">
          <cell r="A607">
            <v>58339060</v>
          </cell>
          <cell r="B607" t="str">
            <v>ГУДМАН</v>
          </cell>
          <cell r="C607" t="str">
            <v>ЛЮБЕРЦЫ 1    (МСK)</v>
          </cell>
          <cell r="D607">
            <v>33469</v>
          </cell>
          <cell r="E607">
            <v>37975</v>
          </cell>
          <cell r="F607">
            <v>647</v>
          </cell>
          <cell r="H607">
            <v>0</v>
          </cell>
          <cell r="I607" t="str">
            <v>деп</v>
          </cell>
          <cell r="J607">
            <v>38706</v>
          </cell>
        </row>
        <row r="608">
          <cell r="A608">
            <v>58339078</v>
          </cell>
          <cell r="B608" t="str">
            <v>ГУДМАН</v>
          </cell>
          <cell r="C608" t="str">
            <v>ЛЮБЕРЦЫ 1    (МСK)</v>
          </cell>
          <cell r="D608">
            <v>33493</v>
          </cell>
          <cell r="E608">
            <v>37973</v>
          </cell>
          <cell r="F608">
            <v>647</v>
          </cell>
          <cell r="H608">
            <v>0</v>
          </cell>
          <cell r="I608" t="str">
            <v>деп</v>
          </cell>
          <cell r="J608">
            <v>38704</v>
          </cell>
        </row>
        <row r="609">
          <cell r="A609">
            <v>58339086</v>
          </cell>
          <cell r="B609" t="str">
            <v>ГУДМАН</v>
          </cell>
          <cell r="C609" t="str">
            <v>ЛЮБЕРЦЫ 1    (МСK)</v>
          </cell>
          <cell r="D609">
            <v>33477</v>
          </cell>
          <cell r="E609">
            <v>37973</v>
          </cell>
          <cell r="F609">
            <v>647</v>
          </cell>
          <cell r="H609">
            <v>0</v>
          </cell>
          <cell r="I609" t="str">
            <v>деп</v>
          </cell>
          <cell r="J609">
            <v>38704</v>
          </cell>
        </row>
        <row r="610">
          <cell r="A610">
            <v>58724832</v>
          </cell>
          <cell r="B610" t="str">
            <v>ГУДМАН</v>
          </cell>
          <cell r="C610" t="str">
            <v>МОС-ТОВ-КУР  (МСK)</v>
          </cell>
          <cell r="D610">
            <v>33573</v>
          </cell>
          <cell r="E610">
            <v>37778</v>
          </cell>
          <cell r="F610">
            <v>163</v>
          </cell>
          <cell r="H610">
            <v>0</v>
          </cell>
          <cell r="I610" t="str">
            <v>деп</v>
          </cell>
          <cell r="J610">
            <v>38327</v>
          </cell>
        </row>
        <row r="611">
          <cell r="A611">
            <v>58724840</v>
          </cell>
          <cell r="B611" t="str">
            <v>ГУДМАН</v>
          </cell>
          <cell r="C611" t="str">
            <v>МОС-ТОВ-КУР  (МСK)</v>
          </cell>
          <cell r="D611">
            <v>33573</v>
          </cell>
          <cell r="E611">
            <v>37778</v>
          </cell>
          <cell r="F611">
            <v>163</v>
          </cell>
          <cell r="H611">
            <v>0</v>
          </cell>
          <cell r="I611" t="str">
            <v>деп</v>
          </cell>
          <cell r="J611">
            <v>38327</v>
          </cell>
        </row>
        <row r="612">
          <cell r="A612">
            <v>58724857</v>
          </cell>
          <cell r="B612" t="str">
            <v>ГУДМАН</v>
          </cell>
          <cell r="C612" t="str">
            <v>МОС-ТОВ-КУР  (МСK)</v>
          </cell>
          <cell r="D612">
            <v>33573</v>
          </cell>
          <cell r="E612">
            <v>37778</v>
          </cell>
          <cell r="F612">
            <v>163</v>
          </cell>
          <cell r="H612">
            <v>0</v>
          </cell>
          <cell r="I612" t="str">
            <v>деп</v>
          </cell>
          <cell r="J612">
            <v>38327</v>
          </cell>
        </row>
        <row r="613">
          <cell r="A613">
            <v>58724865</v>
          </cell>
          <cell r="B613" t="str">
            <v>ГУДМАН</v>
          </cell>
          <cell r="C613" t="str">
            <v>МОС-ТОВ-КУР  (МСK)</v>
          </cell>
          <cell r="D613">
            <v>33573</v>
          </cell>
          <cell r="E613">
            <v>37778</v>
          </cell>
          <cell r="F613">
            <v>163</v>
          </cell>
          <cell r="H613">
            <v>0</v>
          </cell>
          <cell r="I613" t="str">
            <v>деп</v>
          </cell>
          <cell r="J613">
            <v>38327</v>
          </cell>
        </row>
        <row r="614">
          <cell r="B614" t="str">
            <v>ГУДМАН Количество</v>
          </cell>
          <cell r="D614">
            <v>10</v>
          </cell>
        </row>
        <row r="615">
          <cell r="A615">
            <v>58342460</v>
          </cell>
          <cell r="B615" t="str">
            <v>ГУДП ТПП ДЦРС СЕВЕРНОЙ Ж.Д</v>
          </cell>
          <cell r="C615" t="str">
            <v>ВОРКУТА      (СЕВ)</v>
          </cell>
          <cell r="D615">
            <v>31017</v>
          </cell>
          <cell r="E615">
            <v>36936</v>
          </cell>
          <cell r="F615">
            <v>727</v>
          </cell>
          <cell r="H615">
            <v>0</v>
          </cell>
          <cell r="I615" t="str">
            <v>кап</v>
          </cell>
          <cell r="J615">
            <v>37482</v>
          </cell>
        </row>
        <row r="616">
          <cell r="B616" t="str">
            <v>ГУДП ТПП ДЦРС СЕВЕРНОЙ Ж.Д Количество</v>
          </cell>
          <cell r="D616">
            <v>1</v>
          </cell>
        </row>
        <row r="617">
          <cell r="A617">
            <v>53702874</v>
          </cell>
          <cell r="B617" t="str">
            <v>ГУП ДРСУ-1 АВТОДОР.С-У-Ч.</v>
          </cell>
          <cell r="C617" t="str">
            <v>ИГЛИНО       (КБШ)</v>
          </cell>
          <cell r="D617">
            <v>33970</v>
          </cell>
          <cell r="E617">
            <v>36495</v>
          </cell>
          <cell r="F617">
            <v>598</v>
          </cell>
          <cell r="G617">
            <v>37331</v>
          </cell>
          <cell r="H617">
            <v>594</v>
          </cell>
          <cell r="I617" t="str">
            <v>деп</v>
          </cell>
          <cell r="J617">
            <v>38427</v>
          </cell>
        </row>
        <row r="618">
          <cell r="B618" t="str">
            <v>ГУП ДРСУ-1 АВТОДОР.С-У-Ч. Количество</v>
          </cell>
          <cell r="D618">
            <v>1</v>
          </cell>
        </row>
        <row r="619">
          <cell r="A619">
            <v>53701124</v>
          </cell>
          <cell r="B619" t="str">
            <v>ДАЛЬМОРСНАБ</v>
          </cell>
          <cell r="C619" t="str">
            <v>УССУРИЙСК    (ДВС)</v>
          </cell>
          <cell r="D619">
            <v>33298</v>
          </cell>
          <cell r="E619">
            <v>37700</v>
          </cell>
          <cell r="F619">
            <v>557</v>
          </cell>
          <cell r="H619">
            <v>0</v>
          </cell>
          <cell r="I619" t="str">
            <v>деп</v>
          </cell>
          <cell r="J619">
            <v>38250</v>
          </cell>
        </row>
        <row r="620">
          <cell r="A620">
            <v>53705679</v>
          </cell>
          <cell r="B620" t="str">
            <v>ДАЛЬМОРСНАБ</v>
          </cell>
          <cell r="C620" t="str">
            <v>УССУРИЙСК    (ДВС)</v>
          </cell>
          <cell r="D620">
            <v>37057</v>
          </cell>
          <cell r="E620">
            <v>37979</v>
          </cell>
          <cell r="F620">
            <v>350</v>
          </cell>
          <cell r="H620">
            <v>0</v>
          </cell>
          <cell r="I620" t="str">
            <v>деп</v>
          </cell>
          <cell r="J620">
            <v>38527</v>
          </cell>
        </row>
        <row r="621">
          <cell r="A621">
            <v>58722653</v>
          </cell>
          <cell r="B621" t="str">
            <v>ДАЛЬМОРСНАБ</v>
          </cell>
          <cell r="C621" t="str">
            <v>УССУРИЙСК    (ДВС)</v>
          </cell>
          <cell r="D621">
            <v>33298</v>
          </cell>
          <cell r="E621">
            <v>37700</v>
          </cell>
          <cell r="F621">
            <v>557</v>
          </cell>
          <cell r="H621">
            <v>0</v>
          </cell>
          <cell r="I621" t="str">
            <v>деп</v>
          </cell>
          <cell r="J621">
            <v>38250</v>
          </cell>
        </row>
        <row r="622">
          <cell r="A622">
            <v>58722661</v>
          </cell>
          <cell r="B622" t="str">
            <v>ДАЛЬМОРСНАБ</v>
          </cell>
          <cell r="C622" t="str">
            <v>УССУРИЙСК    (ДВС)</v>
          </cell>
          <cell r="D622">
            <v>33298</v>
          </cell>
          <cell r="E622">
            <v>37700</v>
          </cell>
          <cell r="F622">
            <v>557</v>
          </cell>
          <cell r="H622">
            <v>0</v>
          </cell>
          <cell r="I622" t="str">
            <v>деп</v>
          </cell>
          <cell r="J622">
            <v>38250</v>
          </cell>
        </row>
        <row r="623">
          <cell r="A623">
            <v>58722679</v>
          </cell>
          <cell r="B623" t="str">
            <v>ДАЛЬМОРСНАБ</v>
          </cell>
          <cell r="C623" t="str">
            <v>УССУРИЙСК    (ДВС)</v>
          </cell>
          <cell r="D623">
            <v>33298</v>
          </cell>
          <cell r="E623">
            <v>37700</v>
          </cell>
          <cell r="F623">
            <v>557</v>
          </cell>
          <cell r="H623">
            <v>0</v>
          </cell>
          <cell r="I623" t="str">
            <v>деп</v>
          </cell>
          <cell r="J623">
            <v>38250</v>
          </cell>
        </row>
        <row r="624">
          <cell r="A624">
            <v>58722687</v>
          </cell>
          <cell r="B624" t="str">
            <v>ДАЛЬМОРСНАБ</v>
          </cell>
          <cell r="C624" t="str">
            <v>УССУРИЙСК    (ДВС)</v>
          </cell>
          <cell r="D624">
            <v>33298</v>
          </cell>
          <cell r="E624">
            <v>37700</v>
          </cell>
          <cell r="F624">
            <v>557</v>
          </cell>
          <cell r="H624">
            <v>0</v>
          </cell>
          <cell r="I624" t="str">
            <v>деп</v>
          </cell>
          <cell r="J624">
            <v>38250</v>
          </cell>
        </row>
        <row r="625">
          <cell r="A625">
            <v>58724949</v>
          </cell>
          <cell r="B625" t="str">
            <v>ДАЛЬМОРСНАБ</v>
          </cell>
          <cell r="C625" t="str">
            <v>УССУРИЙСК    (ДВС)</v>
          </cell>
          <cell r="D625">
            <v>37057</v>
          </cell>
          <cell r="E625">
            <v>37979</v>
          </cell>
          <cell r="F625">
            <v>350</v>
          </cell>
          <cell r="H625">
            <v>0</v>
          </cell>
          <cell r="I625" t="str">
            <v>деп</v>
          </cell>
          <cell r="J625">
            <v>38527</v>
          </cell>
        </row>
        <row r="626">
          <cell r="A626">
            <v>58724956</v>
          </cell>
          <cell r="B626" t="str">
            <v>ДАЛЬМОРСНАБ</v>
          </cell>
          <cell r="C626" t="str">
            <v>УССУРИЙСК    (ДВС)</v>
          </cell>
          <cell r="D626">
            <v>37057</v>
          </cell>
          <cell r="E626">
            <v>37979</v>
          </cell>
          <cell r="F626">
            <v>350</v>
          </cell>
          <cell r="H626">
            <v>0</v>
          </cell>
          <cell r="I626" t="str">
            <v>деп</v>
          </cell>
          <cell r="J626">
            <v>38527</v>
          </cell>
        </row>
        <row r="627">
          <cell r="A627">
            <v>58724964</v>
          </cell>
          <cell r="B627" t="str">
            <v>ДАЛЬМОРСНАБ</v>
          </cell>
          <cell r="C627" t="str">
            <v>УССУРИЙСК    (ДВС)</v>
          </cell>
          <cell r="D627">
            <v>37057</v>
          </cell>
          <cell r="E627">
            <v>37979</v>
          </cell>
          <cell r="F627">
            <v>350</v>
          </cell>
          <cell r="H627">
            <v>0</v>
          </cell>
          <cell r="I627" t="str">
            <v>деп</v>
          </cell>
          <cell r="J627">
            <v>38527</v>
          </cell>
        </row>
        <row r="628">
          <cell r="A628">
            <v>58724972</v>
          </cell>
          <cell r="B628" t="str">
            <v>ДАЛЬМОРСНАБ</v>
          </cell>
          <cell r="C628" t="str">
            <v>УССУРИЙСК    (ДВС)</v>
          </cell>
          <cell r="D628">
            <v>37057</v>
          </cell>
          <cell r="E628">
            <v>37979</v>
          </cell>
          <cell r="F628">
            <v>350</v>
          </cell>
          <cell r="H628">
            <v>0</v>
          </cell>
          <cell r="I628" t="str">
            <v>деп</v>
          </cell>
          <cell r="J628">
            <v>38527</v>
          </cell>
        </row>
        <row r="629">
          <cell r="B629" t="str">
            <v>ДАЛЬМОРСНАБ Количество</v>
          </cell>
          <cell r="D629">
            <v>10</v>
          </cell>
        </row>
        <row r="630">
          <cell r="A630">
            <v>53700837</v>
          </cell>
          <cell r="B630" t="str">
            <v>ДАЛЬПРОМЖЕЛДОРТРАНС АРТЕМ.</v>
          </cell>
          <cell r="C630" t="str">
            <v>АРТЕМ-ПРИМ 1 (ДВС)</v>
          </cell>
          <cell r="D630">
            <v>33451</v>
          </cell>
          <cell r="E630">
            <v>37697</v>
          </cell>
          <cell r="F630">
            <v>163</v>
          </cell>
          <cell r="I630" t="str">
            <v>кап</v>
          </cell>
          <cell r="J630">
            <v>38793</v>
          </cell>
        </row>
        <row r="631">
          <cell r="B631" t="str">
            <v>ДАЛЬПРОМЖЕЛДОРТРАНС АРТЕМ. Количество</v>
          </cell>
          <cell r="D631">
            <v>1</v>
          </cell>
        </row>
        <row r="632">
          <cell r="A632">
            <v>53700811</v>
          </cell>
          <cell r="B632" t="str">
            <v>ДАЛЬПРОМЖЕЛДОРТРАНС УССУР.</v>
          </cell>
          <cell r="C632" t="str">
            <v>УССУРИЙСК    (ДВС)</v>
          </cell>
          <cell r="D632">
            <v>33239</v>
          </cell>
          <cell r="E632">
            <v>37195</v>
          </cell>
          <cell r="F632">
            <v>163</v>
          </cell>
          <cell r="I632" t="str">
            <v>кап</v>
          </cell>
          <cell r="J632">
            <v>38291</v>
          </cell>
        </row>
        <row r="633">
          <cell r="A633">
            <v>53700829</v>
          </cell>
          <cell r="B633" t="str">
            <v>ДАЛЬПРОМЖЕЛДОРТРАНС УССУР.</v>
          </cell>
          <cell r="C633" t="str">
            <v>УССУРИЙСК    (ДВС)</v>
          </cell>
          <cell r="D633">
            <v>33239</v>
          </cell>
          <cell r="E633">
            <v>38015</v>
          </cell>
          <cell r="F633">
            <v>163</v>
          </cell>
          <cell r="I633" t="str">
            <v>кап</v>
          </cell>
          <cell r="J633">
            <v>39111</v>
          </cell>
        </row>
        <row r="634">
          <cell r="A634">
            <v>53700845</v>
          </cell>
          <cell r="B634" t="str">
            <v>ДАЛЬПРОМЖЕЛДОРТРАНС УССУР.</v>
          </cell>
          <cell r="C634" t="str">
            <v>УССУРИЙСК    (ДВС)</v>
          </cell>
          <cell r="D634">
            <v>33239</v>
          </cell>
          <cell r="E634">
            <v>37279</v>
          </cell>
          <cell r="F634">
            <v>163</v>
          </cell>
          <cell r="I634" t="str">
            <v>кап</v>
          </cell>
          <cell r="J634">
            <v>38375</v>
          </cell>
        </row>
        <row r="635">
          <cell r="A635">
            <v>53700852</v>
          </cell>
          <cell r="B635" t="str">
            <v>ДАЛЬПРОМЖЕЛДОРТРАНС УССУР.</v>
          </cell>
          <cell r="C635" t="str">
            <v>УССУРИЙСК    (ДВС)</v>
          </cell>
          <cell r="D635">
            <v>33239</v>
          </cell>
          <cell r="E635">
            <v>37216</v>
          </cell>
          <cell r="F635">
            <v>163</v>
          </cell>
          <cell r="I635" t="str">
            <v>кап</v>
          </cell>
          <cell r="J635">
            <v>38312</v>
          </cell>
        </row>
        <row r="636">
          <cell r="A636">
            <v>53700860</v>
          </cell>
          <cell r="B636" t="str">
            <v>ДАЛЬПРОМЖЕЛДОРТРАНС УССУР.</v>
          </cell>
          <cell r="C636" t="str">
            <v>УССУРИЙСК    (ДВС)</v>
          </cell>
          <cell r="D636">
            <v>33239</v>
          </cell>
          <cell r="E636">
            <v>38014</v>
          </cell>
          <cell r="F636">
            <v>163</v>
          </cell>
          <cell r="I636" t="str">
            <v>кап</v>
          </cell>
          <cell r="J636">
            <v>39110</v>
          </cell>
        </row>
        <row r="637">
          <cell r="B637" t="str">
            <v>ДАЛЬПРОМЖЕЛДОРТРАНС УССУР. Количество</v>
          </cell>
          <cell r="D637">
            <v>5</v>
          </cell>
        </row>
        <row r="638">
          <cell r="A638">
            <v>53704524</v>
          </cell>
          <cell r="B638" t="str">
            <v>ДВС УНИВЕРСИТЕТ ПУТ.СООБЩ.</v>
          </cell>
          <cell r="C638" t="str">
            <v>ХАБАРОВСК 1  (ДВС)</v>
          </cell>
          <cell r="D638">
            <v>30437</v>
          </cell>
          <cell r="E638">
            <v>37791</v>
          </cell>
          <cell r="F638">
            <v>886</v>
          </cell>
          <cell r="G638">
            <v>34667</v>
          </cell>
          <cell r="H638">
            <v>0</v>
          </cell>
          <cell r="I638" t="str">
            <v>деп</v>
          </cell>
          <cell r="J638">
            <v>38340</v>
          </cell>
        </row>
        <row r="639">
          <cell r="A639">
            <v>58725748</v>
          </cell>
          <cell r="B639" t="str">
            <v>ДВС УНИВЕРСИТЕТ ПУТ.СООБЩ.</v>
          </cell>
          <cell r="C639" t="str">
            <v>ХАБАРОВСК 1  (ДВС)</v>
          </cell>
          <cell r="D639">
            <v>30437</v>
          </cell>
          <cell r="E639">
            <v>37791</v>
          </cell>
          <cell r="F639">
            <v>886</v>
          </cell>
          <cell r="G639">
            <v>34667</v>
          </cell>
          <cell r="H639">
            <v>0</v>
          </cell>
          <cell r="I639" t="str">
            <v>деп</v>
          </cell>
          <cell r="J639">
            <v>38340</v>
          </cell>
        </row>
        <row r="640">
          <cell r="A640">
            <v>58725755</v>
          </cell>
          <cell r="B640" t="str">
            <v>ДВС УНИВЕРСИТЕТ ПУТ.СООБЩ.</v>
          </cell>
          <cell r="C640" t="str">
            <v>ХАБАРОВСК 1  (ДВС)</v>
          </cell>
          <cell r="D640">
            <v>30437</v>
          </cell>
          <cell r="E640">
            <v>37791</v>
          </cell>
          <cell r="F640">
            <v>886</v>
          </cell>
          <cell r="G640">
            <v>34667</v>
          </cell>
          <cell r="H640">
            <v>0</v>
          </cell>
          <cell r="I640" t="str">
            <v>деп</v>
          </cell>
          <cell r="J640">
            <v>38340</v>
          </cell>
        </row>
        <row r="641">
          <cell r="A641">
            <v>58725763</v>
          </cell>
          <cell r="B641" t="str">
            <v>ДВС УНИВЕРСИТЕТ ПУТ.СООБЩ.</v>
          </cell>
          <cell r="C641" t="str">
            <v>ХАБАРОВСК 1  (ДВС)</v>
          </cell>
          <cell r="D641">
            <v>30437</v>
          </cell>
          <cell r="E641">
            <v>37791</v>
          </cell>
          <cell r="F641">
            <v>886</v>
          </cell>
          <cell r="G641">
            <v>34667</v>
          </cell>
          <cell r="H641">
            <v>0</v>
          </cell>
          <cell r="I641" t="str">
            <v>деп</v>
          </cell>
          <cell r="J641">
            <v>38340</v>
          </cell>
        </row>
        <row r="642">
          <cell r="A642">
            <v>58725771</v>
          </cell>
          <cell r="B642" t="str">
            <v>ДВС УНИВЕРСИТЕТ ПУТ.СООБЩ.</v>
          </cell>
          <cell r="C642" t="str">
            <v>ХАБАРОВСК 1  (ДВС)</v>
          </cell>
          <cell r="D642">
            <v>30437</v>
          </cell>
          <cell r="E642">
            <v>37791</v>
          </cell>
          <cell r="F642">
            <v>886</v>
          </cell>
          <cell r="G642">
            <v>34667</v>
          </cell>
          <cell r="H642">
            <v>0</v>
          </cell>
          <cell r="I642" t="str">
            <v>деп</v>
          </cell>
          <cell r="J642">
            <v>38340</v>
          </cell>
        </row>
        <row r="643">
          <cell r="B643" t="str">
            <v>ДВС УНИВЕРСИТЕТ ПУТ.СООБЩ. Количество</v>
          </cell>
          <cell r="D643">
            <v>5</v>
          </cell>
        </row>
        <row r="644">
          <cell r="A644">
            <v>58725854</v>
          </cell>
          <cell r="B644" t="str">
            <v>ДЕЛО ЦЕНТР</v>
          </cell>
          <cell r="C644" t="str">
            <v>МЫС-ЧУРКИН   (ДВС)</v>
          </cell>
          <cell r="D644">
            <v>33415</v>
          </cell>
          <cell r="E644">
            <v>38005</v>
          </cell>
          <cell r="F644">
            <v>163</v>
          </cell>
          <cell r="I644" t="str">
            <v>деп</v>
          </cell>
          <cell r="J644">
            <v>38430</v>
          </cell>
        </row>
        <row r="645">
          <cell r="A645">
            <v>58725862</v>
          </cell>
          <cell r="B645" t="str">
            <v>ДЕЛО ЦЕНТР</v>
          </cell>
          <cell r="C645" t="str">
            <v>МЫС-ЧУРКИН   (ДВС)</v>
          </cell>
          <cell r="D645">
            <v>33415</v>
          </cell>
          <cell r="E645">
            <v>38000</v>
          </cell>
          <cell r="F645">
            <v>163</v>
          </cell>
          <cell r="I645" t="str">
            <v>деп</v>
          </cell>
          <cell r="J645">
            <v>38425</v>
          </cell>
        </row>
        <row r="646">
          <cell r="B646" t="str">
            <v>ДЕЛО ЦЕНТР Количество</v>
          </cell>
          <cell r="D646">
            <v>2</v>
          </cell>
        </row>
        <row r="647">
          <cell r="A647">
            <v>53701306</v>
          </cell>
          <cell r="B647" t="str">
            <v>ДОНАТОМСТРОЙ</v>
          </cell>
          <cell r="C647" t="str">
            <v>НОВОВОРОНЕЖС (ЮВС)</v>
          </cell>
          <cell r="D647">
            <v>25204</v>
          </cell>
          <cell r="E647">
            <v>34366</v>
          </cell>
          <cell r="G647">
            <v>32174</v>
          </cell>
          <cell r="I647" t="str">
            <v>деп</v>
          </cell>
          <cell r="J647">
            <v>35462</v>
          </cell>
        </row>
        <row r="648">
          <cell r="B648" t="str">
            <v>ДОНАТОМСТРОЙ Количество</v>
          </cell>
          <cell r="D648">
            <v>1</v>
          </cell>
        </row>
        <row r="649">
          <cell r="A649">
            <v>53702858</v>
          </cell>
          <cell r="B649" t="str">
            <v>ДОРСНАБСЕРВИС ГУП КК</v>
          </cell>
          <cell r="C649" t="str">
            <v>ЛАБИНСКАЯ    (СКВ)</v>
          </cell>
          <cell r="D649">
            <v>33970</v>
          </cell>
          <cell r="E649">
            <v>37775</v>
          </cell>
          <cell r="F649">
            <v>557</v>
          </cell>
          <cell r="H649">
            <v>0</v>
          </cell>
          <cell r="I649" t="str">
            <v>кап</v>
          </cell>
          <cell r="J649">
            <v>38871</v>
          </cell>
        </row>
        <row r="650">
          <cell r="A650">
            <v>53702866</v>
          </cell>
          <cell r="B650" t="str">
            <v>ДОРСНАБСЕРВИС ГУП КК</v>
          </cell>
          <cell r="C650" t="str">
            <v>ЛАБИНСКАЯ    (СКВ)</v>
          </cell>
          <cell r="D650">
            <v>33970</v>
          </cell>
          <cell r="E650">
            <v>37028</v>
          </cell>
          <cell r="F650">
            <v>557</v>
          </cell>
          <cell r="H650">
            <v>0</v>
          </cell>
          <cell r="I650" t="str">
            <v>деп</v>
          </cell>
          <cell r="J650">
            <v>38124</v>
          </cell>
        </row>
        <row r="651">
          <cell r="B651" t="str">
            <v>ДОРСНАБСЕРВИС ГУП КК Количество</v>
          </cell>
          <cell r="D651">
            <v>2</v>
          </cell>
        </row>
        <row r="652">
          <cell r="A652">
            <v>53703369</v>
          </cell>
          <cell r="B652" t="str">
            <v>ДРСУ-3 ЦЕНТРАВТОМАГИСТРАЛИ</v>
          </cell>
          <cell r="C652" t="str">
            <v>СОФРИНО      (МСK)</v>
          </cell>
          <cell r="D652">
            <v>26299</v>
          </cell>
          <cell r="E652">
            <v>34445</v>
          </cell>
        </row>
        <row r="653">
          <cell r="B653" t="str">
            <v>ДРСУ-3 ЦЕНТРАВТОМАГИСТРАЛИ Количество</v>
          </cell>
          <cell r="D653">
            <v>1</v>
          </cell>
        </row>
        <row r="654">
          <cell r="A654">
            <v>53703468</v>
          </cell>
          <cell r="B654" t="str">
            <v>ДСУ-1 АВТОДОРСТРОЙТРЕСТА-3</v>
          </cell>
          <cell r="C654" t="str">
            <v>ГРИВНО       (МСK)</v>
          </cell>
          <cell r="D654">
            <v>25204</v>
          </cell>
          <cell r="E654">
            <v>34151</v>
          </cell>
          <cell r="I654" t="str">
            <v>деп</v>
          </cell>
          <cell r="J654">
            <v>35247</v>
          </cell>
        </row>
        <row r="655">
          <cell r="B655" t="str">
            <v>ДСУ-1 АВТОДОРСТРОЙТРЕСТА-3 Количество</v>
          </cell>
          <cell r="D655">
            <v>1</v>
          </cell>
        </row>
        <row r="656">
          <cell r="A656">
            <v>58001843</v>
          </cell>
          <cell r="B656" t="str">
            <v>ЕВРОБАЙК-2</v>
          </cell>
          <cell r="C656" t="str">
            <v>ЛЮБЛИНО-СОРТ (МСK)</v>
          </cell>
          <cell r="D656">
            <v>31533</v>
          </cell>
          <cell r="E656">
            <v>37410</v>
          </cell>
          <cell r="F656">
            <v>792</v>
          </cell>
          <cell r="G656">
            <v>36742</v>
          </cell>
          <cell r="H656">
            <v>792</v>
          </cell>
          <cell r="I656" t="str">
            <v>деп</v>
          </cell>
          <cell r="J656">
            <v>38141</v>
          </cell>
        </row>
        <row r="657">
          <cell r="A657">
            <v>58001850</v>
          </cell>
          <cell r="B657" t="str">
            <v>ЕВРОБАЙК-2</v>
          </cell>
          <cell r="C657" t="str">
            <v>ЛЮБЛИНО-СОРТ (МСK)</v>
          </cell>
          <cell r="D657">
            <v>31533</v>
          </cell>
          <cell r="E657">
            <v>37421</v>
          </cell>
          <cell r="F657">
            <v>792</v>
          </cell>
          <cell r="G657">
            <v>36761</v>
          </cell>
          <cell r="H657">
            <v>792</v>
          </cell>
          <cell r="I657" t="str">
            <v>деп</v>
          </cell>
          <cell r="J657">
            <v>38152</v>
          </cell>
        </row>
        <row r="658">
          <cell r="A658">
            <v>58001868</v>
          </cell>
          <cell r="B658" t="str">
            <v>ЕВРОБАЙК-2</v>
          </cell>
          <cell r="C658" t="str">
            <v>ЛЮБЛИНО-СОРТ (МСK)</v>
          </cell>
          <cell r="D658">
            <v>31533</v>
          </cell>
          <cell r="E658">
            <v>37421</v>
          </cell>
          <cell r="F658">
            <v>792</v>
          </cell>
          <cell r="G658">
            <v>36712</v>
          </cell>
          <cell r="H658">
            <v>792</v>
          </cell>
          <cell r="I658" t="str">
            <v>деп</v>
          </cell>
          <cell r="J658">
            <v>38152</v>
          </cell>
        </row>
        <row r="659">
          <cell r="A659">
            <v>58001876</v>
          </cell>
          <cell r="B659" t="str">
            <v>ЕВРОБАЙК-2</v>
          </cell>
          <cell r="C659" t="str">
            <v>ЛЮБЛИНО-СОРТ (МСK)</v>
          </cell>
          <cell r="D659">
            <v>31533</v>
          </cell>
          <cell r="E659">
            <v>37410</v>
          </cell>
          <cell r="F659">
            <v>792</v>
          </cell>
          <cell r="G659">
            <v>36712</v>
          </cell>
          <cell r="H659">
            <v>792</v>
          </cell>
          <cell r="I659" t="str">
            <v>деп</v>
          </cell>
          <cell r="J659">
            <v>38141</v>
          </cell>
        </row>
        <row r="660">
          <cell r="A660">
            <v>58001884</v>
          </cell>
          <cell r="B660" t="str">
            <v>ЕВРОБАЙК-2</v>
          </cell>
          <cell r="C660" t="str">
            <v>ЛЮБЛИНО-СОРТ (МСK)</v>
          </cell>
          <cell r="D660">
            <v>31533</v>
          </cell>
          <cell r="E660">
            <v>37410</v>
          </cell>
          <cell r="F660">
            <v>792</v>
          </cell>
          <cell r="G660">
            <v>36712</v>
          </cell>
          <cell r="H660">
            <v>792</v>
          </cell>
          <cell r="I660" t="str">
            <v>деп</v>
          </cell>
          <cell r="J660">
            <v>38141</v>
          </cell>
        </row>
        <row r="661">
          <cell r="A661">
            <v>58001900</v>
          </cell>
          <cell r="B661" t="str">
            <v>ЕВРОБАЙК-2</v>
          </cell>
          <cell r="C661" t="str">
            <v>ЛЮБЛИНО-СОРТ (МСK)</v>
          </cell>
          <cell r="D661">
            <v>31533</v>
          </cell>
          <cell r="E661">
            <v>37421</v>
          </cell>
          <cell r="F661">
            <v>792</v>
          </cell>
          <cell r="G661">
            <v>36784</v>
          </cell>
          <cell r="H661">
            <v>792</v>
          </cell>
          <cell r="I661" t="str">
            <v>деп</v>
          </cell>
          <cell r="J661">
            <v>38152</v>
          </cell>
        </row>
        <row r="662">
          <cell r="A662">
            <v>58001918</v>
          </cell>
          <cell r="B662" t="str">
            <v>ЕВРОБАЙК-2</v>
          </cell>
          <cell r="C662" t="str">
            <v>ЛЮБЛИНО-СОРТ (МСK)</v>
          </cell>
          <cell r="D662">
            <v>31533</v>
          </cell>
          <cell r="E662">
            <v>37421</v>
          </cell>
          <cell r="F662">
            <v>792</v>
          </cell>
          <cell r="G662">
            <v>36787</v>
          </cell>
          <cell r="H662">
            <v>792</v>
          </cell>
          <cell r="I662" t="str">
            <v>деп</v>
          </cell>
          <cell r="J662">
            <v>38152</v>
          </cell>
        </row>
        <row r="663">
          <cell r="A663">
            <v>58001926</v>
          </cell>
          <cell r="B663" t="str">
            <v>ЕВРОБАЙК-2</v>
          </cell>
          <cell r="C663" t="str">
            <v>ЛЮБЛИНО-СОРТ (МСK)</v>
          </cell>
          <cell r="D663">
            <v>31533</v>
          </cell>
          <cell r="E663">
            <v>37410</v>
          </cell>
          <cell r="F663">
            <v>792</v>
          </cell>
          <cell r="G663">
            <v>36787</v>
          </cell>
          <cell r="H663">
            <v>792</v>
          </cell>
          <cell r="I663" t="str">
            <v>деп</v>
          </cell>
          <cell r="J663">
            <v>38141</v>
          </cell>
        </row>
        <row r="664">
          <cell r="A664">
            <v>58001934</v>
          </cell>
          <cell r="B664" t="str">
            <v>ЕВРОБАЙК-2</v>
          </cell>
          <cell r="C664" t="str">
            <v>ЛЮБЛИНО-СОРТ (МСK)</v>
          </cell>
          <cell r="D664">
            <v>31533</v>
          </cell>
          <cell r="E664">
            <v>37421</v>
          </cell>
          <cell r="F664">
            <v>792</v>
          </cell>
          <cell r="G664">
            <v>36787</v>
          </cell>
          <cell r="H664">
            <v>792</v>
          </cell>
          <cell r="I664" t="str">
            <v>деп</v>
          </cell>
          <cell r="J664">
            <v>38152</v>
          </cell>
        </row>
        <row r="665">
          <cell r="A665">
            <v>58001942</v>
          </cell>
          <cell r="B665" t="str">
            <v>ЕВРОБАЙК-2</v>
          </cell>
          <cell r="C665" t="str">
            <v>ЛЮБЛИНО-СОРТ (МСK)</v>
          </cell>
          <cell r="D665">
            <v>31533</v>
          </cell>
          <cell r="E665">
            <v>37410</v>
          </cell>
          <cell r="F665">
            <v>792</v>
          </cell>
          <cell r="G665">
            <v>36787</v>
          </cell>
          <cell r="H665">
            <v>792</v>
          </cell>
          <cell r="I665" t="str">
            <v>деп</v>
          </cell>
          <cell r="J665">
            <v>38141</v>
          </cell>
        </row>
        <row r="666">
          <cell r="B666" t="str">
            <v>ЕВРОБАЙК-2 Количество</v>
          </cell>
          <cell r="D666">
            <v>10</v>
          </cell>
        </row>
        <row r="667">
          <cell r="A667">
            <v>58332313</v>
          </cell>
          <cell r="B667" t="str">
            <v>ЕВРОСАЙТ</v>
          </cell>
          <cell r="C667" t="str">
            <v>ВИХОРЕВКА    (ВСБ)</v>
          </cell>
          <cell r="D667">
            <v>31934</v>
          </cell>
          <cell r="E667">
            <v>36978</v>
          </cell>
          <cell r="F667">
            <v>231</v>
          </cell>
          <cell r="H667">
            <v>0</v>
          </cell>
          <cell r="I667" t="str">
            <v>кап</v>
          </cell>
          <cell r="J667">
            <v>37708</v>
          </cell>
        </row>
        <row r="668">
          <cell r="B668" t="str">
            <v>ЕВРОСАЙТ Количество</v>
          </cell>
          <cell r="D668">
            <v>1</v>
          </cell>
        </row>
        <row r="669">
          <cell r="A669">
            <v>53402020</v>
          </cell>
          <cell r="B669" t="str">
            <v>ЖДТРАНС</v>
          </cell>
          <cell r="C669" t="str">
            <v>ЧЕМСКОЙ      (ЗСБ)</v>
          </cell>
          <cell r="D669">
            <v>32021</v>
          </cell>
          <cell r="E669">
            <v>34765</v>
          </cell>
          <cell r="F669">
            <v>635</v>
          </cell>
          <cell r="G669">
            <v>37337</v>
          </cell>
          <cell r="H669">
            <v>579</v>
          </cell>
          <cell r="I669" t="str">
            <v>деп</v>
          </cell>
          <cell r="J669">
            <v>38068</v>
          </cell>
        </row>
        <row r="670">
          <cell r="B670" t="str">
            <v>ЖДТРАНС Количество</v>
          </cell>
          <cell r="D670">
            <v>1</v>
          </cell>
        </row>
        <row r="671">
          <cell r="A671">
            <v>53400925</v>
          </cell>
          <cell r="B671" t="str">
            <v>ЖЕЛДОРТРЕСТ ГУП СМТ МПС РФ</v>
          </cell>
          <cell r="C671" t="str">
            <v>ХОВРИНО      (ОКТ)</v>
          </cell>
          <cell r="D671">
            <v>29281</v>
          </cell>
          <cell r="E671">
            <v>37494</v>
          </cell>
          <cell r="F671">
            <v>819</v>
          </cell>
          <cell r="G671">
            <v>33604</v>
          </cell>
          <cell r="H671">
            <v>819</v>
          </cell>
          <cell r="I671" t="str">
            <v>деп</v>
          </cell>
          <cell r="J671">
            <v>38043</v>
          </cell>
        </row>
        <row r="672">
          <cell r="A672">
            <v>53400933</v>
          </cell>
          <cell r="B672" t="str">
            <v>ЖЕЛДОРТРЕСТ ГУП СМТ МПС РФ</v>
          </cell>
          <cell r="C672" t="str">
            <v>ХОВРИНО      (ОКТ)</v>
          </cell>
          <cell r="D672">
            <v>29281</v>
          </cell>
          <cell r="E672">
            <v>37494</v>
          </cell>
          <cell r="F672">
            <v>819</v>
          </cell>
          <cell r="G672">
            <v>33604</v>
          </cell>
          <cell r="H672">
            <v>819</v>
          </cell>
          <cell r="I672" t="str">
            <v>деп</v>
          </cell>
          <cell r="J672">
            <v>38043</v>
          </cell>
        </row>
        <row r="673">
          <cell r="A673">
            <v>53702767</v>
          </cell>
          <cell r="B673" t="str">
            <v>ЖЕЛДОРТРЕСТ ГУП СМТ МПС РФ</v>
          </cell>
          <cell r="C673" t="str">
            <v>ХОВРИНО      (ОКТ)</v>
          </cell>
          <cell r="D673">
            <v>25934</v>
          </cell>
          <cell r="E673">
            <v>35309</v>
          </cell>
          <cell r="F673">
            <v>0</v>
          </cell>
          <cell r="G673">
            <v>33239</v>
          </cell>
          <cell r="H673">
            <v>0</v>
          </cell>
          <cell r="I673" t="str">
            <v>деп</v>
          </cell>
          <cell r="J673">
            <v>36404</v>
          </cell>
        </row>
        <row r="674">
          <cell r="A674">
            <v>53704227</v>
          </cell>
          <cell r="B674" t="str">
            <v>ЖЕЛДОРТРЕСТ ГУП СМТ МПС РФ</v>
          </cell>
          <cell r="C674" t="str">
            <v>ХОВРИНО      (ОКТ)</v>
          </cell>
          <cell r="D674">
            <v>25934</v>
          </cell>
          <cell r="E674">
            <v>38008</v>
          </cell>
          <cell r="F674">
            <v>350</v>
          </cell>
          <cell r="G674">
            <v>33543</v>
          </cell>
          <cell r="H674">
            <v>0</v>
          </cell>
          <cell r="I674" t="str">
            <v>деп</v>
          </cell>
          <cell r="J674">
            <v>39104</v>
          </cell>
        </row>
        <row r="675">
          <cell r="A675">
            <v>53704243</v>
          </cell>
          <cell r="B675" t="str">
            <v>ЖЕЛДОРТРЕСТ ГУП СМТ МПС РФ</v>
          </cell>
          <cell r="C675" t="str">
            <v>ХОВРИНО      (ОКТ)</v>
          </cell>
          <cell r="D675">
            <v>26115</v>
          </cell>
          <cell r="E675">
            <v>37828</v>
          </cell>
          <cell r="F675">
            <v>350</v>
          </cell>
          <cell r="G675">
            <v>33482</v>
          </cell>
          <cell r="H675">
            <v>0</v>
          </cell>
          <cell r="I675" t="str">
            <v>деп</v>
          </cell>
          <cell r="J675">
            <v>38924</v>
          </cell>
        </row>
        <row r="676">
          <cell r="B676" t="str">
            <v>ЖЕЛДОРТРЕСТ ГУП СМТ МПС РФ Количество</v>
          </cell>
          <cell r="D676">
            <v>5</v>
          </cell>
        </row>
        <row r="677">
          <cell r="A677">
            <v>53700928</v>
          </cell>
          <cell r="B677" t="str">
            <v>ЖЕЛДОРЭКСПЕДИЦИЯ</v>
          </cell>
          <cell r="C677" t="str">
            <v>МОС-ПАС-ЯРОС (МСK)</v>
          </cell>
          <cell r="D677">
            <v>33356</v>
          </cell>
          <cell r="E677">
            <v>37200</v>
          </cell>
          <cell r="F677">
            <v>350</v>
          </cell>
          <cell r="H677">
            <v>0</v>
          </cell>
          <cell r="I677" t="str">
            <v>деп</v>
          </cell>
          <cell r="J677">
            <v>37746</v>
          </cell>
        </row>
        <row r="678">
          <cell r="A678">
            <v>53701009</v>
          </cell>
          <cell r="B678" t="str">
            <v>ЖЕЛДОРЭКСПЕДИЦИЯ</v>
          </cell>
          <cell r="C678" t="str">
            <v>МОС-ПАС-ЯРОС (МСK)</v>
          </cell>
          <cell r="D678">
            <v>33390</v>
          </cell>
          <cell r="E678">
            <v>37085</v>
          </cell>
          <cell r="F678">
            <v>819</v>
          </cell>
          <cell r="H678">
            <v>0</v>
          </cell>
          <cell r="I678" t="str">
            <v>деп</v>
          </cell>
          <cell r="J678">
            <v>37634</v>
          </cell>
        </row>
        <row r="679">
          <cell r="A679">
            <v>53701132</v>
          </cell>
          <cell r="B679" t="str">
            <v>ЖЕЛДОРЭКСПЕДИЦИЯ</v>
          </cell>
          <cell r="C679" t="str">
            <v>МОС-ПАС-ЯРОС (МСK)</v>
          </cell>
          <cell r="D679">
            <v>33543</v>
          </cell>
          <cell r="E679">
            <v>37889</v>
          </cell>
          <cell r="F679">
            <v>163</v>
          </cell>
          <cell r="H679">
            <v>0</v>
          </cell>
          <cell r="I679" t="str">
            <v>деп</v>
          </cell>
          <cell r="J679">
            <v>38436</v>
          </cell>
        </row>
        <row r="680">
          <cell r="A680">
            <v>53701439</v>
          </cell>
          <cell r="B680" t="str">
            <v>ЖЕЛДОРЭКСПЕДИЦИЯ</v>
          </cell>
          <cell r="C680" t="str">
            <v>МОС-ПАС-ЯРОС (МСK)</v>
          </cell>
          <cell r="D680">
            <v>33025</v>
          </cell>
          <cell r="E680">
            <v>37076</v>
          </cell>
          <cell r="F680">
            <v>350</v>
          </cell>
          <cell r="H680">
            <v>0</v>
          </cell>
          <cell r="I680" t="str">
            <v>деп</v>
          </cell>
          <cell r="J680">
            <v>37625</v>
          </cell>
        </row>
        <row r="681">
          <cell r="A681">
            <v>53705521</v>
          </cell>
          <cell r="B681" t="str">
            <v>ЖЕЛДОРЭКСПЕДИЦИЯ</v>
          </cell>
          <cell r="C681" t="str">
            <v>МОС-ПАС-ЯРОС (МСK)</v>
          </cell>
          <cell r="D681">
            <v>33086</v>
          </cell>
          <cell r="E681">
            <v>37082</v>
          </cell>
          <cell r="F681">
            <v>0</v>
          </cell>
          <cell r="H681">
            <v>0</v>
          </cell>
          <cell r="I681" t="str">
            <v>деп</v>
          </cell>
          <cell r="J681">
            <v>37631</v>
          </cell>
        </row>
        <row r="682">
          <cell r="A682">
            <v>58728668</v>
          </cell>
          <cell r="B682" t="str">
            <v>ЖЕЛДОРЭКСПЕДИЦИЯ</v>
          </cell>
          <cell r="C682" t="str">
            <v>МОС-ПАС-ЯРОС (МСK)</v>
          </cell>
          <cell r="D682">
            <v>33055</v>
          </cell>
          <cell r="E682">
            <v>37076</v>
          </cell>
          <cell r="F682">
            <v>350</v>
          </cell>
          <cell r="H682">
            <v>0</v>
          </cell>
          <cell r="I682" t="str">
            <v>деп</v>
          </cell>
          <cell r="J682">
            <v>37625</v>
          </cell>
        </row>
        <row r="683">
          <cell r="A683">
            <v>58728676</v>
          </cell>
          <cell r="B683" t="str">
            <v>ЖЕЛДОРЭКСПЕДИЦИЯ</v>
          </cell>
          <cell r="C683" t="str">
            <v>МОС-ПАС-ЯРОС (МСK)</v>
          </cell>
          <cell r="D683">
            <v>32964</v>
          </cell>
          <cell r="E683">
            <v>37076</v>
          </cell>
          <cell r="F683">
            <v>350</v>
          </cell>
          <cell r="H683">
            <v>0</v>
          </cell>
          <cell r="I683" t="str">
            <v>деп</v>
          </cell>
          <cell r="J683">
            <v>37625</v>
          </cell>
        </row>
        <row r="684">
          <cell r="A684">
            <v>58728684</v>
          </cell>
          <cell r="B684" t="str">
            <v>ЖЕЛДОРЭКСПЕДИЦИЯ</v>
          </cell>
          <cell r="C684" t="str">
            <v>МОС-ПАС-ЯРОС (МСK)</v>
          </cell>
          <cell r="D684">
            <v>32994</v>
          </cell>
          <cell r="E684">
            <v>37076</v>
          </cell>
          <cell r="F684">
            <v>350</v>
          </cell>
          <cell r="H684">
            <v>0</v>
          </cell>
          <cell r="I684" t="str">
            <v>деп</v>
          </cell>
          <cell r="J684">
            <v>37625</v>
          </cell>
        </row>
        <row r="685">
          <cell r="A685">
            <v>58728700</v>
          </cell>
          <cell r="B685" t="str">
            <v>ЖЕЛДОРЭКСПЕДИЦИЯ</v>
          </cell>
          <cell r="C685" t="str">
            <v>МОС-ПАС-ЯРОС (МСK)</v>
          </cell>
          <cell r="D685">
            <v>33055</v>
          </cell>
          <cell r="E685">
            <v>37076</v>
          </cell>
          <cell r="F685">
            <v>350</v>
          </cell>
          <cell r="H685">
            <v>0</v>
          </cell>
          <cell r="I685" t="str">
            <v>деп</v>
          </cell>
          <cell r="J685">
            <v>37625</v>
          </cell>
        </row>
        <row r="686">
          <cell r="A686">
            <v>58729260</v>
          </cell>
          <cell r="B686" t="str">
            <v>ЖЕЛДОРЭКСПЕДИЦИЯ</v>
          </cell>
          <cell r="C686" t="str">
            <v>МОС-ПАС-ЯРОС (МСK)</v>
          </cell>
          <cell r="D686">
            <v>33086</v>
          </cell>
          <cell r="E686">
            <v>37082</v>
          </cell>
          <cell r="F686">
            <v>0</v>
          </cell>
          <cell r="H686">
            <v>0</v>
          </cell>
          <cell r="I686" t="str">
            <v>деп</v>
          </cell>
          <cell r="J686">
            <v>37631</v>
          </cell>
        </row>
        <row r="687">
          <cell r="A687">
            <v>58729278</v>
          </cell>
          <cell r="B687" t="str">
            <v>ЖЕЛДОРЭКСПЕДИЦИЯ</v>
          </cell>
          <cell r="C687" t="str">
            <v>МОС-ПАС-ЯРОС (МСK)</v>
          </cell>
          <cell r="D687">
            <v>33086</v>
          </cell>
          <cell r="E687">
            <v>37082</v>
          </cell>
          <cell r="F687">
            <v>0</v>
          </cell>
          <cell r="H687">
            <v>0</v>
          </cell>
          <cell r="I687" t="str">
            <v>деп</v>
          </cell>
          <cell r="J687">
            <v>37631</v>
          </cell>
        </row>
        <row r="688">
          <cell r="A688">
            <v>58729286</v>
          </cell>
          <cell r="B688" t="str">
            <v>ЖЕЛДОРЭКСПЕДИЦИЯ</v>
          </cell>
          <cell r="C688" t="str">
            <v>МОС-ПАС-ЯРОС (МСK)</v>
          </cell>
          <cell r="D688">
            <v>33086</v>
          </cell>
          <cell r="E688">
            <v>37082</v>
          </cell>
          <cell r="F688">
            <v>0</v>
          </cell>
          <cell r="H688">
            <v>0</v>
          </cell>
          <cell r="I688" t="str">
            <v>деп</v>
          </cell>
          <cell r="J688">
            <v>37631</v>
          </cell>
        </row>
        <row r="689">
          <cell r="A689">
            <v>58729302</v>
          </cell>
          <cell r="B689" t="str">
            <v>ЖЕЛДОРЭКСПЕДИЦИЯ</v>
          </cell>
          <cell r="C689" t="str">
            <v>МОС-ПАС-ЯРОС (МСK)</v>
          </cell>
          <cell r="D689">
            <v>33086</v>
          </cell>
          <cell r="E689">
            <v>37082</v>
          </cell>
          <cell r="F689">
            <v>0</v>
          </cell>
          <cell r="H689">
            <v>0</v>
          </cell>
          <cell r="I689" t="str">
            <v>деп</v>
          </cell>
          <cell r="J689">
            <v>37631</v>
          </cell>
        </row>
        <row r="690">
          <cell r="A690">
            <v>58741737</v>
          </cell>
          <cell r="B690" t="str">
            <v>ЖЕЛДОРЭКСПЕДИЦИЯ</v>
          </cell>
          <cell r="C690" t="str">
            <v>МОС-ПАС-ЯРОС (МСK)</v>
          </cell>
          <cell r="D690">
            <v>33543</v>
          </cell>
          <cell r="E690">
            <v>37889</v>
          </cell>
          <cell r="F690">
            <v>163</v>
          </cell>
          <cell r="H690">
            <v>0</v>
          </cell>
          <cell r="I690" t="str">
            <v>деп</v>
          </cell>
          <cell r="J690">
            <v>38436</v>
          </cell>
        </row>
        <row r="691">
          <cell r="A691">
            <v>58741745</v>
          </cell>
          <cell r="B691" t="str">
            <v>ЖЕЛДОРЭКСПЕДИЦИЯ</v>
          </cell>
          <cell r="C691" t="str">
            <v>МОС-ПАС-ЯРОС (МСK)</v>
          </cell>
          <cell r="D691">
            <v>33543</v>
          </cell>
          <cell r="E691">
            <v>37889</v>
          </cell>
          <cell r="F691">
            <v>163</v>
          </cell>
          <cell r="H691">
            <v>0</v>
          </cell>
          <cell r="I691" t="str">
            <v>деп</v>
          </cell>
          <cell r="J691">
            <v>38436</v>
          </cell>
        </row>
        <row r="692">
          <cell r="A692">
            <v>58741752</v>
          </cell>
          <cell r="B692" t="str">
            <v>ЖЕЛДОРЭКСПЕДИЦИЯ</v>
          </cell>
          <cell r="C692" t="str">
            <v>МОС-ПАС-ЯРОС (МСK)</v>
          </cell>
          <cell r="D692">
            <v>33543</v>
          </cell>
          <cell r="E692">
            <v>37889</v>
          </cell>
          <cell r="F692">
            <v>163</v>
          </cell>
          <cell r="H692">
            <v>0</v>
          </cell>
          <cell r="I692" t="str">
            <v>деп</v>
          </cell>
          <cell r="J692">
            <v>38436</v>
          </cell>
        </row>
        <row r="693">
          <cell r="A693">
            <v>58741760</v>
          </cell>
          <cell r="B693" t="str">
            <v>ЖЕЛДОРЭКСПЕДИЦИЯ</v>
          </cell>
          <cell r="C693" t="str">
            <v>МОС-ПАС-ЯРОС (МСK)</v>
          </cell>
          <cell r="D693">
            <v>33543</v>
          </cell>
          <cell r="E693">
            <v>37889</v>
          </cell>
          <cell r="F693">
            <v>163</v>
          </cell>
          <cell r="H693">
            <v>0</v>
          </cell>
          <cell r="I693" t="str">
            <v>деп</v>
          </cell>
          <cell r="J693">
            <v>38436</v>
          </cell>
        </row>
        <row r="694">
          <cell r="A694">
            <v>58741778</v>
          </cell>
          <cell r="B694" t="str">
            <v>ЖЕЛДОРЭКСПЕДИЦИЯ</v>
          </cell>
          <cell r="C694" t="str">
            <v>МОС-ПАС-ЯРОС (МСK)</v>
          </cell>
          <cell r="D694">
            <v>33390</v>
          </cell>
          <cell r="E694">
            <v>37085</v>
          </cell>
          <cell r="F694">
            <v>819</v>
          </cell>
          <cell r="H694">
            <v>0</v>
          </cell>
          <cell r="I694" t="str">
            <v>деп</v>
          </cell>
          <cell r="J694">
            <v>37634</v>
          </cell>
        </row>
        <row r="695">
          <cell r="A695">
            <v>58741786</v>
          </cell>
          <cell r="B695" t="str">
            <v>ЖЕЛДОРЭКСПЕДИЦИЯ</v>
          </cell>
          <cell r="C695" t="str">
            <v>МОС-ПАС-ЯРОС (МСK)</v>
          </cell>
          <cell r="D695">
            <v>33390</v>
          </cell>
          <cell r="E695">
            <v>37085</v>
          </cell>
          <cell r="F695">
            <v>819</v>
          </cell>
          <cell r="H695">
            <v>0</v>
          </cell>
          <cell r="I695" t="str">
            <v>деп</v>
          </cell>
          <cell r="J695">
            <v>37634</v>
          </cell>
        </row>
        <row r="696">
          <cell r="A696">
            <v>58741802</v>
          </cell>
          <cell r="B696" t="str">
            <v>ЖЕЛДОРЭКСПЕДИЦИЯ</v>
          </cell>
          <cell r="C696" t="str">
            <v>МОС-ПАС-ЯРОС (МСK)</v>
          </cell>
          <cell r="D696">
            <v>33388</v>
          </cell>
          <cell r="E696">
            <v>37200</v>
          </cell>
          <cell r="F696">
            <v>350</v>
          </cell>
          <cell r="H696">
            <v>0</v>
          </cell>
          <cell r="I696" t="str">
            <v>деп</v>
          </cell>
          <cell r="J696">
            <v>37746</v>
          </cell>
        </row>
        <row r="697">
          <cell r="A697">
            <v>58741810</v>
          </cell>
          <cell r="B697" t="str">
            <v>ЖЕЛДОРЭКСПЕДИЦИЯ</v>
          </cell>
          <cell r="C697" t="str">
            <v>МОС-ПАС-ЯРОС (МСK)</v>
          </cell>
          <cell r="D697">
            <v>33388</v>
          </cell>
          <cell r="E697">
            <v>37200</v>
          </cell>
          <cell r="F697">
            <v>350</v>
          </cell>
          <cell r="H697">
            <v>0</v>
          </cell>
          <cell r="I697" t="str">
            <v>деп</v>
          </cell>
          <cell r="J697">
            <v>37746</v>
          </cell>
        </row>
        <row r="698">
          <cell r="B698" t="str">
            <v>ЖЕЛДОРЭКСПЕДИЦИЯ Количество</v>
          </cell>
          <cell r="D698">
            <v>21</v>
          </cell>
        </row>
        <row r="699">
          <cell r="A699">
            <v>58333402</v>
          </cell>
          <cell r="B699" t="str">
            <v>ЗАВОЛЖСКИЙ ХИМЗАВОД</v>
          </cell>
          <cell r="C699" t="str">
            <v>ЗАВОЛЖСК     (СЕВ)</v>
          </cell>
          <cell r="D699">
            <v>24108</v>
          </cell>
        </row>
        <row r="700">
          <cell r="A700">
            <v>58333428</v>
          </cell>
          <cell r="B700" t="str">
            <v>ЗАВОЛЖСКИЙ ХИМЗАВОД</v>
          </cell>
          <cell r="C700" t="str">
            <v>ЗАВОЛЖСК     (СЕВ)</v>
          </cell>
          <cell r="D700">
            <v>24108</v>
          </cell>
          <cell r="E700">
            <v>33939</v>
          </cell>
        </row>
        <row r="701">
          <cell r="B701" t="str">
            <v>ЗАВОЛЖСКИЙ ХИМЗАВОД Количество</v>
          </cell>
          <cell r="D701">
            <v>2</v>
          </cell>
        </row>
        <row r="702">
          <cell r="A702">
            <v>58724980</v>
          </cell>
          <cell r="B702" t="str">
            <v>ЗАПСИБМЕТКОМБИНАТ</v>
          </cell>
          <cell r="C702" t="str">
            <v>НОВОКУЗ.-СЕВ (ЗСБ)</v>
          </cell>
          <cell r="D702">
            <v>33604</v>
          </cell>
          <cell r="F702">
            <v>0</v>
          </cell>
          <cell r="H702">
            <v>0</v>
          </cell>
          <cell r="I702" t="str">
            <v>деп</v>
          </cell>
          <cell r="J702">
            <v>34516</v>
          </cell>
        </row>
        <row r="703">
          <cell r="A703">
            <v>58725003</v>
          </cell>
          <cell r="B703" t="str">
            <v>ЗАПСИБМЕТКОМБИНАТ</v>
          </cell>
          <cell r="C703" t="str">
            <v>НОВОКУЗ.-СЕВ (ЗСБ)</v>
          </cell>
          <cell r="D703">
            <v>33604</v>
          </cell>
          <cell r="F703">
            <v>0</v>
          </cell>
          <cell r="H703">
            <v>0</v>
          </cell>
          <cell r="I703" t="str">
            <v>деп</v>
          </cell>
          <cell r="J703">
            <v>34516</v>
          </cell>
        </row>
        <row r="704">
          <cell r="A704">
            <v>58725011</v>
          </cell>
          <cell r="B704" t="str">
            <v>ЗАПСИБМЕТКОМБИНАТ</v>
          </cell>
          <cell r="C704" t="str">
            <v>НОВОКУЗ.-СЕВ (ЗСБ)</v>
          </cell>
          <cell r="D704">
            <v>33604</v>
          </cell>
          <cell r="F704">
            <v>0</v>
          </cell>
          <cell r="H704">
            <v>0</v>
          </cell>
          <cell r="I704" t="str">
            <v>деп</v>
          </cell>
          <cell r="J704">
            <v>34516</v>
          </cell>
        </row>
        <row r="705">
          <cell r="A705">
            <v>58725029</v>
          </cell>
          <cell r="B705" t="str">
            <v>ЗАПСИБМЕТКОМБИНАТ</v>
          </cell>
          <cell r="C705" t="str">
            <v>НОВОКУЗ.-СЕВ (ЗСБ)</v>
          </cell>
          <cell r="D705">
            <v>33604</v>
          </cell>
          <cell r="F705">
            <v>0</v>
          </cell>
          <cell r="H705">
            <v>0</v>
          </cell>
          <cell r="I705" t="str">
            <v>деп</v>
          </cell>
          <cell r="J705">
            <v>34516</v>
          </cell>
        </row>
        <row r="706">
          <cell r="B706" t="str">
            <v>ЗАПСИБМЕТКОМБИНАТ Количество</v>
          </cell>
          <cell r="D706">
            <v>4</v>
          </cell>
        </row>
        <row r="707">
          <cell r="A707">
            <v>53702122</v>
          </cell>
          <cell r="B707" t="str">
            <v>ИНДИВИД.ПРЕДПР.ЛАТУХОВ В.А</v>
          </cell>
          <cell r="C707" t="str">
            <v>ШАРТАШ       (СВР)</v>
          </cell>
          <cell r="D707">
            <v>33694</v>
          </cell>
          <cell r="E707">
            <v>37840</v>
          </cell>
          <cell r="F707">
            <v>819</v>
          </cell>
          <cell r="H707">
            <v>0</v>
          </cell>
          <cell r="I707" t="str">
            <v>деп</v>
          </cell>
          <cell r="J707">
            <v>38390</v>
          </cell>
        </row>
        <row r="708">
          <cell r="A708">
            <v>58339896</v>
          </cell>
          <cell r="B708" t="str">
            <v>ИНДИВИД.ПРЕДПР.ЛАТУХОВ В.А</v>
          </cell>
          <cell r="C708" t="str">
            <v>ШАРТАШ       (СВР)</v>
          </cell>
          <cell r="D708">
            <v>34040</v>
          </cell>
          <cell r="E708">
            <v>37840</v>
          </cell>
          <cell r="F708">
            <v>819</v>
          </cell>
          <cell r="H708">
            <v>0</v>
          </cell>
          <cell r="I708" t="str">
            <v>деп</v>
          </cell>
          <cell r="J708">
            <v>38390</v>
          </cell>
        </row>
        <row r="709">
          <cell r="A709">
            <v>58339912</v>
          </cell>
          <cell r="B709" t="str">
            <v>ИНДИВИД.ПРЕДПР.ЛАТУХОВ В.А</v>
          </cell>
          <cell r="C709" t="str">
            <v>ШАРТАШ       (СВР)</v>
          </cell>
          <cell r="D709">
            <v>34040</v>
          </cell>
          <cell r="E709">
            <v>37840</v>
          </cell>
          <cell r="F709">
            <v>819</v>
          </cell>
          <cell r="H709">
            <v>0</v>
          </cell>
          <cell r="I709" t="str">
            <v>деп</v>
          </cell>
          <cell r="J709">
            <v>38390</v>
          </cell>
        </row>
        <row r="710">
          <cell r="B710" t="str">
            <v>ИНДИВИД.ПРЕДПР.ЛАТУХОВ В.А Количество</v>
          </cell>
          <cell r="D710">
            <v>3</v>
          </cell>
        </row>
        <row r="711">
          <cell r="A711">
            <v>53703377</v>
          </cell>
          <cell r="B711" t="str">
            <v>ИНЕЙ МП</v>
          </cell>
          <cell r="C711" t="str">
            <v>БЕКАСОВО-СРТ (МСK)</v>
          </cell>
          <cell r="D711">
            <v>26299</v>
          </cell>
          <cell r="E711">
            <v>34081</v>
          </cell>
        </row>
        <row r="712">
          <cell r="A712">
            <v>58722307</v>
          </cell>
          <cell r="B712" t="str">
            <v>ИНЕЙ МП</v>
          </cell>
          <cell r="C712" t="str">
            <v>БЕКАСОВО-СРТ (МСK)</v>
          </cell>
          <cell r="D712">
            <v>26299</v>
          </cell>
          <cell r="E712">
            <v>34081</v>
          </cell>
        </row>
        <row r="713">
          <cell r="A713">
            <v>58722315</v>
          </cell>
          <cell r="B713" t="str">
            <v>ИНЕЙ МП</v>
          </cell>
          <cell r="C713" t="str">
            <v>БЕКАСОВО-СРТ (МСK)</v>
          </cell>
          <cell r="D713">
            <v>26299</v>
          </cell>
          <cell r="E713">
            <v>34081</v>
          </cell>
        </row>
        <row r="714">
          <cell r="A714">
            <v>58722323</v>
          </cell>
          <cell r="B714" t="str">
            <v>ИНЕЙ МП</v>
          </cell>
          <cell r="C714" t="str">
            <v>БЕКАСОВО-СРТ (МСK)</v>
          </cell>
          <cell r="D714">
            <v>26299</v>
          </cell>
          <cell r="E714">
            <v>33983</v>
          </cell>
        </row>
        <row r="715">
          <cell r="A715">
            <v>58722331</v>
          </cell>
          <cell r="B715" t="str">
            <v>ИНЕЙ МП</v>
          </cell>
          <cell r="C715" t="str">
            <v>БЕКАСОВО-СРТ (МСK)</v>
          </cell>
          <cell r="D715">
            <v>26299</v>
          </cell>
          <cell r="E715">
            <v>34081</v>
          </cell>
        </row>
        <row r="716">
          <cell r="B716" t="str">
            <v>ИНЕЙ МП Количество</v>
          </cell>
          <cell r="D716">
            <v>5</v>
          </cell>
        </row>
        <row r="717">
          <cell r="A717">
            <v>53704276</v>
          </cell>
          <cell r="B717" t="str">
            <v>ИНФОТЕХ</v>
          </cell>
          <cell r="C717" t="str">
            <v>ОРДЖОНИКИДЗЕ (МСK)</v>
          </cell>
          <cell r="D717">
            <v>28307</v>
          </cell>
          <cell r="E717">
            <v>37060</v>
          </cell>
          <cell r="F717">
            <v>335</v>
          </cell>
          <cell r="G717">
            <v>37680</v>
          </cell>
          <cell r="H717">
            <v>886</v>
          </cell>
          <cell r="I717" t="str">
            <v>деп</v>
          </cell>
          <cell r="J717">
            <v>38776</v>
          </cell>
        </row>
        <row r="718">
          <cell r="A718">
            <v>58721143</v>
          </cell>
          <cell r="B718" t="str">
            <v>ИНФОТЕХ</v>
          </cell>
          <cell r="C718" t="str">
            <v>ОРДЖОНИКИДЗЕ (МСK)</v>
          </cell>
          <cell r="D718">
            <v>28307</v>
          </cell>
          <cell r="E718">
            <v>36914</v>
          </cell>
          <cell r="F718">
            <v>335</v>
          </cell>
          <cell r="G718">
            <v>37680</v>
          </cell>
          <cell r="H718">
            <v>886</v>
          </cell>
          <cell r="I718" t="str">
            <v>деп</v>
          </cell>
          <cell r="J718">
            <v>38411</v>
          </cell>
        </row>
        <row r="719">
          <cell r="A719">
            <v>58724444</v>
          </cell>
          <cell r="B719" t="str">
            <v>ИНФОТЕХ</v>
          </cell>
          <cell r="C719" t="str">
            <v>ОРДЖОНИКИДЗЕ (МСK)</v>
          </cell>
          <cell r="D719">
            <v>28307</v>
          </cell>
          <cell r="E719">
            <v>37060</v>
          </cell>
          <cell r="F719">
            <v>335</v>
          </cell>
          <cell r="G719">
            <v>37680</v>
          </cell>
          <cell r="H719">
            <v>886</v>
          </cell>
          <cell r="I719" t="str">
            <v>деп</v>
          </cell>
          <cell r="J719">
            <v>38411</v>
          </cell>
        </row>
        <row r="720">
          <cell r="A720">
            <v>58724451</v>
          </cell>
          <cell r="B720" t="str">
            <v>ИНФОТЕХ</v>
          </cell>
          <cell r="C720" t="str">
            <v>ОРДЖОНИКИДЗЕ (МСK)</v>
          </cell>
          <cell r="D720">
            <v>28307</v>
          </cell>
          <cell r="E720">
            <v>37060</v>
          </cell>
          <cell r="F720">
            <v>335</v>
          </cell>
          <cell r="G720">
            <v>37680</v>
          </cell>
          <cell r="H720">
            <v>886</v>
          </cell>
          <cell r="I720" t="str">
            <v>деп</v>
          </cell>
          <cell r="J720">
            <v>38411</v>
          </cell>
        </row>
        <row r="721">
          <cell r="A721">
            <v>58724469</v>
          </cell>
          <cell r="B721" t="str">
            <v>ИНФОТЕХ</v>
          </cell>
          <cell r="C721" t="str">
            <v>ОРДЖОНИКИДЗЕ (МСK)</v>
          </cell>
          <cell r="D721">
            <v>28307</v>
          </cell>
          <cell r="E721">
            <v>36916</v>
          </cell>
          <cell r="F721">
            <v>335</v>
          </cell>
          <cell r="G721">
            <v>37680</v>
          </cell>
          <cell r="H721">
            <v>886</v>
          </cell>
          <cell r="I721" t="str">
            <v>деп</v>
          </cell>
          <cell r="J721">
            <v>38411</v>
          </cell>
        </row>
        <row r="722">
          <cell r="B722" t="str">
            <v>ИНФОТЕХ Количество</v>
          </cell>
          <cell r="D722">
            <v>5</v>
          </cell>
        </row>
        <row r="723">
          <cell r="A723">
            <v>58724816</v>
          </cell>
          <cell r="B723" t="str">
            <v>КАУРИ</v>
          </cell>
          <cell r="C723" t="str">
            <v>БУГАЧ        (КРС)</v>
          </cell>
          <cell r="D723">
            <v>33512</v>
          </cell>
          <cell r="E723">
            <v>35423</v>
          </cell>
          <cell r="F723">
            <v>633</v>
          </cell>
          <cell r="H723">
            <v>0</v>
          </cell>
          <cell r="I723" t="str">
            <v>деп</v>
          </cell>
          <cell r="J723">
            <v>35970</v>
          </cell>
        </row>
        <row r="724">
          <cell r="A724">
            <v>58724824</v>
          </cell>
          <cell r="B724" t="str">
            <v>КАУРИ</v>
          </cell>
          <cell r="C724" t="str">
            <v>БУГАЧ        (КРС)</v>
          </cell>
          <cell r="D724">
            <v>33512</v>
          </cell>
          <cell r="E724">
            <v>35423</v>
          </cell>
          <cell r="F724">
            <v>633</v>
          </cell>
          <cell r="H724">
            <v>0</v>
          </cell>
          <cell r="I724" t="str">
            <v>деп</v>
          </cell>
          <cell r="J724">
            <v>35970</v>
          </cell>
        </row>
        <row r="725">
          <cell r="B725" t="str">
            <v>КАУРИ Количество</v>
          </cell>
          <cell r="D725">
            <v>2</v>
          </cell>
        </row>
        <row r="726">
          <cell r="A726">
            <v>53701611</v>
          </cell>
          <cell r="B726" t="str">
            <v>КБ СПЕЦМАШИНОСТРОЕНИЯ</v>
          </cell>
          <cell r="C726" t="str">
            <v>С-ПЕТЕР-БАЛТ (ОКТ)</v>
          </cell>
          <cell r="D726">
            <v>28550</v>
          </cell>
          <cell r="E726">
            <v>35493</v>
          </cell>
          <cell r="G726">
            <v>34840</v>
          </cell>
          <cell r="I726" t="str">
            <v>деп</v>
          </cell>
          <cell r="J726">
            <v>36589</v>
          </cell>
        </row>
        <row r="727">
          <cell r="A727">
            <v>53703575</v>
          </cell>
          <cell r="B727" t="str">
            <v>КБ СПЕЦМАШИНОСТРОЕНИЯ</v>
          </cell>
          <cell r="C727" t="str">
            <v>С-ПЕТЕР-БАЛТ (ОКТ)</v>
          </cell>
          <cell r="D727">
            <v>27485</v>
          </cell>
          <cell r="E727">
            <v>34775</v>
          </cell>
          <cell r="I727" t="str">
            <v>деп</v>
          </cell>
          <cell r="J727">
            <v>35871</v>
          </cell>
        </row>
        <row r="728">
          <cell r="A728">
            <v>53703583</v>
          </cell>
          <cell r="B728" t="str">
            <v>КБ СПЕЦМАШИНОСТРОЕНИЯ</v>
          </cell>
          <cell r="C728" t="str">
            <v>С-ПЕТЕР-БАЛТ (ОКТ)</v>
          </cell>
          <cell r="D728">
            <v>27426</v>
          </cell>
          <cell r="E728">
            <v>34776</v>
          </cell>
          <cell r="I728" t="str">
            <v>деп</v>
          </cell>
          <cell r="J728">
            <v>35872</v>
          </cell>
        </row>
        <row r="729">
          <cell r="B729" t="str">
            <v>КБ СПЕЦМАШИНОСТРОЕНИЯ Количество</v>
          </cell>
          <cell r="D729">
            <v>3</v>
          </cell>
        </row>
        <row r="730">
          <cell r="A730">
            <v>53702460</v>
          </cell>
          <cell r="B730" t="str">
            <v>КЕДР</v>
          </cell>
          <cell r="C730" t="str">
            <v>НИЖНЯЯ ТУРА  (СВР)</v>
          </cell>
          <cell r="D730">
            <v>26993</v>
          </cell>
          <cell r="E730">
            <v>35869</v>
          </cell>
          <cell r="G730">
            <v>37042</v>
          </cell>
          <cell r="H730">
            <v>557</v>
          </cell>
          <cell r="I730" t="str">
            <v>деп</v>
          </cell>
          <cell r="J730">
            <v>38138</v>
          </cell>
        </row>
        <row r="731">
          <cell r="A731">
            <v>58720939</v>
          </cell>
          <cell r="B731" t="str">
            <v>КЕДР</v>
          </cell>
          <cell r="C731" t="str">
            <v>НИЖНЯЯ ТУРА  (СВР)</v>
          </cell>
          <cell r="D731">
            <v>26993</v>
          </cell>
          <cell r="E731">
            <v>35869</v>
          </cell>
          <cell r="G731">
            <v>37042</v>
          </cell>
          <cell r="H731">
            <v>557</v>
          </cell>
          <cell r="I731" t="str">
            <v>деп</v>
          </cell>
          <cell r="J731">
            <v>37772</v>
          </cell>
        </row>
        <row r="732">
          <cell r="A732">
            <v>58720947</v>
          </cell>
          <cell r="B732" t="str">
            <v>КЕДР</v>
          </cell>
          <cell r="C732" t="str">
            <v>НИЖНЯЯ ТУРА  (СВР)</v>
          </cell>
          <cell r="D732">
            <v>26993</v>
          </cell>
          <cell r="E732">
            <v>35869</v>
          </cell>
          <cell r="G732">
            <v>37042</v>
          </cell>
          <cell r="H732">
            <v>557</v>
          </cell>
          <cell r="I732" t="str">
            <v>деп</v>
          </cell>
          <cell r="J732">
            <v>37772</v>
          </cell>
        </row>
        <row r="733">
          <cell r="A733">
            <v>58720954</v>
          </cell>
          <cell r="B733" t="str">
            <v>КЕДР</v>
          </cell>
          <cell r="C733" t="str">
            <v>НИЖНЯЯ ТУРА  (СВР)</v>
          </cell>
          <cell r="D733">
            <v>26993</v>
          </cell>
          <cell r="E733">
            <v>35869</v>
          </cell>
          <cell r="G733">
            <v>37042</v>
          </cell>
          <cell r="H733">
            <v>557</v>
          </cell>
          <cell r="I733" t="str">
            <v>деп</v>
          </cell>
          <cell r="J733">
            <v>37772</v>
          </cell>
        </row>
        <row r="734">
          <cell r="A734">
            <v>58720962</v>
          </cell>
          <cell r="B734" t="str">
            <v>КЕДР</v>
          </cell>
          <cell r="C734" t="str">
            <v>НИЖНЯЯ ТУРА  (СВР)</v>
          </cell>
          <cell r="D734">
            <v>26993</v>
          </cell>
          <cell r="E734">
            <v>35869</v>
          </cell>
          <cell r="G734">
            <v>37042</v>
          </cell>
          <cell r="H734">
            <v>557</v>
          </cell>
          <cell r="I734" t="str">
            <v>деп</v>
          </cell>
          <cell r="J734">
            <v>37772</v>
          </cell>
        </row>
        <row r="735">
          <cell r="B735" t="str">
            <v>КЕДР Количество</v>
          </cell>
          <cell r="D735">
            <v>5</v>
          </cell>
        </row>
        <row r="736">
          <cell r="A736">
            <v>58140807</v>
          </cell>
          <cell r="B736" t="str">
            <v>КИЗЛЯРСКИЙ ВИНСОВХОЗ</v>
          </cell>
          <cell r="C736" t="str">
            <v>КИЗЛЯР       (СКВ)</v>
          </cell>
          <cell r="D736">
            <v>22282</v>
          </cell>
          <cell r="E736">
            <v>36745</v>
          </cell>
          <cell r="F736">
            <v>557</v>
          </cell>
          <cell r="G736">
            <v>33430</v>
          </cell>
          <cell r="I736" t="str">
            <v>деп</v>
          </cell>
          <cell r="J736">
            <v>37475</v>
          </cell>
        </row>
        <row r="737">
          <cell r="A737">
            <v>58140815</v>
          </cell>
          <cell r="B737" t="str">
            <v>КИЗЛЯРСКИЙ ВИНСОВХОЗ</v>
          </cell>
          <cell r="C737" t="str">
            <v>КИЗЛЯР       (СКВ)</v>
          </cell>
          <cell r="D737">
            <v>22282</v>
          </cell>
          <cell r="E737">
            <v>35794</v>
          </cell>
          <cell r="G737">
            <v>35885</v>
          </cell>
          <cell r="I737" t="str">
            <v>деп</v>
          </cell>
          <cell r="J737">
            <v>36616</v>
          </cell>
        </row>
        <row r="738">
          <cell r="A738">
            <v>58140823</v>
          </cell>
          <cell r="B738" t="str">
            <v>КИЗЛЯРСКИЙ ВИНСОВХОЗ</v>
          </cell>
          <cell r="C738" t="str">
            <v>КИЗЛЯР       (СКВ)</v>
          </cell>
          <cell r="D738">
            <v>22282</v>
          </cell>
          <cell r="E738">
            <v>36745</v>
          </cell>
          <cell r="F738">
            <v>557</v>
          </cell>
          <cell r="G738">
            <v>35289</v>
          </cell>
          <cell r="I738" t="str">
            <v>деп</v>
          </cell>
          <cell r="J738">
            <v>37475</v>
          </cell>
        </row>
        <row r="739">
          <cell r="A739">
            <v>58140831</v>
          </cell>
          <cell r="B739" t="str">
            <v>КИЗЛЯРСКИЙ ВИНСОВХОЗ</v>
          </cell>
          <cell r="C739" t="str">
            <v>КИЗЛЯР       (СКВ)</v>
          </cell>
          <cell r="D739">
            <v>22282</v>
          </cell>
          <cell r="E739">
            <v>35864</v>
          </cell>
          <cell r="G739">
            <v>33876</v>
          </cell>
          <cell r="I739" t="str">
            <v>деп</v>
          </cell>
          <cell r="J739">
            <v>36595</v>
          </cell>
        </row>
        <row r="740">
          <cell r="A740">
            <v>58140849</v>
          </cell>
          <cell r="B740" t="str">
            <v>КИЗЛЯРСКИЙ ВИНСОВХОЗ</v>
          </cell>
          <cell r="C740" t="str">
            <v>КИЗЛЯР       (СКВ)</v>
          </cell>
          <cell r="D740">
            <v>22282</v>
          </cell>
          <cell r="E740">
            <v>36745</v>
          </cell>
          <cell r="F740">
            <v>557</v>
          </cell>
          <cell r="G740">
            <v>33430</v>
          </cell>
          <cell r="I740" t="str">
            <v>деп</v>
          </cell>
          <cell r="J740">
            <v>37475</v>
          </cell>
        </row>
        <row r="741">
          <cell r="B741" t="str">
            <v>КИЗЛЯРСКИЙ ВИНСОВХОЗ Количество</v>
          </cell>
          <cell r="D741">
            <v>5</v>
          </cell>
        </row>
        <row r="742">
          <cell r="A742">
            <v>58725789</v>
          </cell>
          <cell r="B742" t="str">
            <v>КИРОВ.ДИСТ.ВОДОСНАБЖ.ГОРЖД</v>
          </cell>
          <cell r="C742" t="str">
            <v>МУРАШИ       (ГOР)</v>
          </cell>
          <cell r="D742">
            <v>33198</v>
          </cell>
          <cell r="E742">
            <v>36465</v>
          </cell>
        </row>
        <row r="743">
          <cell r="B743" t="str">
            <v>КИРОВ.ДИСТ.ВОДОСНАБЖ.ГОРЖД Количество</v>
          </cell>
          <cell r="D743">
            <v>1</v>
          </cell>
        </row>
        <row r="744">
          <cell r="A744">
            <v>53402087</v>
          </cell>
          <cell r="B744" t="str">
            <v>КОЛОРТРАНС</v>
          </cell>
          <cell r="C744" t="str">
            <v>ПОДЛИПКИ-ДАЧ (МСK)</v>
          </cell>
          <cell r="D744">
            <v>29587</v>
          </cell>
          <cell r="F744">
            <v>0</v>
          </cell>
          <cell r="G744">
            <v>37790</v>
          </cell>
          <cell r="H744">
            <v>492</v>
          </cell>
          <cell r="I744" t="str">
            <v>деп</v>
          </cell>
          <cell r="J744">
            <v>38521</v>
          </cell>
        </row>
        <row r="745">
          <cell r="B745" t="str">
            <v>КОЛОРТРАНС Количество</v>
          </cell>
          <cell r="D745">
            <v>1</v>
          </cell>
        </row>
        <row r="746">
          <cell r="A746">
            <v>58330978</v>
          </cell>
          <cell r="B746" t="str">
            <v>КОМИТОРГНЕФТЬ</v>
          </cell>
          <cell r="C746" t="str">
            <v>УХТА         (СЕВ)</v>
          </cell>
          <cell r="D746">
            <v>31778</v>
          </cell>
          <cell r="E746">
            <v>35326</v>
          </cell>
        </row>
        <row r="747">
          <cell r="A747">
            <v>58331034</v>
          </cell>
          <cell r="B747" t="str">
            <v>КОМИТОРГНЕФТЬ</v>
          </cell>
          <cell r="C747" t="str">
            <v>УХТА         (СЕВ)</v>
          </cell>
          <cell r="D747">
            <v>31778</v>
          </cell>
          <cell r="E747">
            <v>35326</v>
          </cell>
        </row>
        <row r="748">
          <cell r="B748" t="str">
            <v>КОМИТОРГНЕФТЬ Количество</v>
          </cell>
          <cell r="D748">
            <v>2</v>
          </cell>
        </row>
        <row r="749">
          <cell r="A749">
            <v>53706719</v>
          </cell>
          <cell r="B749" t="str">
            <v>КОМП.ВОСТОЧНЫЙ МЕРИДИАН</v>
          </cell>
          <cell r="C749" t="str">
            <v>ВОЛКОВСКАЯ   (ОКТ)</v>
          </cell>
          <cell r="D749">
            <v>31472</v>
          </cell>
          <cell r="E749">
            <v>36358</v>
          </cell>
          <cell r="F749">
            <v>886</v>
          </cell>
          <cell r="G749">
            <v>37807</v>
          </cell>
          <cell r="H749">
            <v>886</v>
          </cell>
          <cell r="I749" t="str">
            <v>деп</v>
          </cell>
          <cell r="J749">
            <v>38357</v>
          </cell>
        </row>
        <row r="750">
          <cell r="A750">
            <v>53706842</v>
          </cell>
          <cell r="B750" t="str">
            <v>КОМП.ВОСТОЧНЫЙ МЕРИДИАН</v>
          </cell>
          <cell r="C750" t="str">
            <v>ВОЛКОВСКАЯ   (ОКТ)</v>
          </cell>
          <cell r="D750">
            <v>31472</v>
          </cell>
          <cell r="E750">
            <v>36140</v>
          </cell>
          <cell r="F750">
            <v>0</v>
          </cell>
          <cell r="G750">
            <v>37928</v>
          </cell>
          <cell r="H750">
            <v>0</v>
          </cell>
          <cell r="I750" t="str">
            <v>деп</v>
          </cell>
          <cell r="J750">
            <v>38475</v>
          </cell>
        </row>
        <row r="751">
          <cell r="A751">
            <v>53706859</v>
          </cell>
          <cell r="B751" t="str">
            <v>КОМП.ВОСТОЧНЫЙ МЕРИДИАН</v>
          </cell>
          <cell r="C751" t="str">
            <v>ВОЛКОВСКАЯ   (ОКТ)</v>
          </cell>
          <cell r="D751">
            <v>31444</v>
          </cell>
          <cell r="E751">
            <v>36834</v>
          </cell>
          <cell r="F751">
            <v>0</v>
          </cell>
          <cell r="G751">
            <v>37928</v>
          </cell>
          <cell r="H751">
            <v>0</v>
          </cell>
          <cell r="I751" t="str">
            <v>деп</v>
          </cell>
          <cell r="J751">
            <v>38475</v>
          </cell>
        </row>
        <row r="752">
          <cell r="A752">
            <v>53706867</v>
          </cell>
          <cell r="B752" t="str">
            <v>КОМП.ВОСТОЧНЫЙ МЕРИДИАН</v>
          </cell>
          <cell r="C752" t="str">
            <v>ВОЛКОВСКАЯ   (ОКТ)</v>
          </cell>
          <cell r="D752">
            <v>31444</v>
          </cell>
          <cell r="E752">
            <v>36355</v>
          </cell>
          <cell r="F752">
            <v>886</v>
          </cell>
          <cell r="G752">
            <v>37928</v>
          </cell>
          <cell r="H752">
            <v>0</v>
          </cell>
          <cell r="I752" t="str">
            <v>деп</v>
          </cell>
          <cell r="J752">
            <v>38475</v>
          </cell>
        </row>
        <row r="753">
          <cell r="A753">
            <v>58741604</v>
          </cell>
          <cell r="B753" t="str">
            <v>КОМП.ВОСТОЧНЫЙ МЕРИДИАН</v>
          </cell>
          <cell r="C753" t="str">
            <v>ВОЛКОВСКАЯ   (ОКТ)</v>
          </cell>
          <cell r="D753">
            <v>31472</v>
          </cell>
          <cell r="E753">
            <v>36358</v>
          </cell>
          <cell r="F753">
            <v>886</v>
          </cell>
          <cell r="G753">
            <v>37807</v>
          </cell>
          <cell r="H753">
            <v>886</v>
          </cell>
          <cell r="I753" t="str">
            <v>деп</v>
          </cell>
          <cell r="J753">
            <v>38357</v>
          </cell>
        </row>
        <row r="754">
          <cell r="A754">
            <v>58741612</v>
          </cell>
          <cell r="B754" t="str">
            <v>КОМП.ВОСТОЧНЫЙ МЕРИДИАН</v>
          </cell>
          <cell r="C754" t="str">
            <v>ВОЛКОВСКАЯ   (ОКТ)</v>
          </cell>
          <cell r="D754">
            <v>31444</v>
          </cell>
          <cell r="E754">
            <v>36358</v>
          </cell>
          <cell r="F754">
            <v>886</v>
          </cell>
          <cell r="G754">
            <v>37807</v>
          </cell>
          <cell r="H754">
            <v>886</v>
          </cell>
          <cell r="I754" t="str">
            <v>деп</v>
          </cell>
          <cell r="J754">
            <v>38357</v>
          </cell>
        </row>
        <row r="755">
          <cell r="A755">
            <v>58741620</v>
          </cell>
          <cell r="B755" t="str">
            <v>КОМП.ВОСТОЧНЫЙ МЕРИДИАН</v>
          </cell>
          <cell r="C755" t="str">
            <v>ВОЛКОВСКАЯ   (ОКТ)</v>
          </cell>
          <cell r="D755">
            <v>31472</v>
          </cell>
          <cell r="E755">
            <v>36358</v>
          </cell>
          <cell r="F755">
            <v>886</v>
          </cell>
          <cell r="G755">
            <v>37807</v>
          </cell>
          <cell r="H755">
            <v>886</v>
          </cell>
          <cell r="I755" t="str">
            <v>деп</v>
          </cell>
          <cell r="J755">
            <v>38357</v>
          </cell>
        </row>
        <row r="756">
          <cell r="A756">
            <v>58741638</v>
          </cell>
          <cell r="B756" t="str">
            <v>КОМП.ВОСТОЧНЫЙ МЕРИДИАН</v>
          </cell>
          <cell r="C756" t="str">
            <v>ВОЛКОВСКАЯ   (ОКТ)</v>
          </cell>
          <cell r="D756">
            <v>31472</v>
          </cell>
          <cell r="E756">
            <v>36358</v>
          </cell>
          <cell r="F756">
            <v>886</v>
          </cell>
          <cell r="G756">
            <v>37807</v>
          </cell>
          <cell r="H756">
            <v>886</v>
          </cell>
          <cell r="I756" t="str">
            <v>деп</v>
          </cell>
          <cell r="J756">
            <v>38357</v>
          </cell>
        </row>
        <row r="757">
          <cell r="A757">
            <v>58742180</v>
          </cell>
          <cell r="B757" t="str">
            <v>КОМП.ВОСТОЧНЫЙ МЕРИДИАН</v>
          </cell>
          <cell r="C757" t="str">
            <v>ВОЛКОВСКАЯ   (ОКТ)</v>
          </cell>
          <cell r="D757">
            <v>31472</v>
          </cell>
          <cell r="E757">
            <v>36140</v>
          </cell>
          <cell r="F757">
            <v>0</v>
          </cell>
          <cell r="G757">
            <v>37928</v>
          </cell>
          <cell r="H757">
            <v>0</v>
          </cell>
          <cell r="I757" t="str">
            <v>деп</v>
          </cell>
          <cell r="J757">
            <v>38475</v>
          </cell>
        </row>
        <row r="758">
          <cell r="A758">
            <v>58742206</v>
          </cell>
          <cell r="B758" t="str">
            <v>КОМП.ВОСТОЧНЫЙ МЕРИДИАН</v>
          </cell>
          <cell r="C758" t="str">
            <v>ВОЛКОВСКАЯ   (ОКТ)</v>
          </cell>
          <cell r="D758">
            <v>31472</v>
          </cell>
          <cell r="E758">
            <v>36140</v>
          </cell>
          <cell r="F758">
            <v>0</v>
          </cell>
          <cell r="G758">
            <v>37928</v>
          </cell>
          <cell r="H758">
            <v>0</v>
          </cell>
          <cell r="I758" t="str">
            <v>деп</v>
          </cell>
          <cell r="J758">
            <v>38475</v>
          </cell>
        </row>
        <row r="759">
          <cell r="A759">
            <v>58742214</v>
          </cell>
          <cell r="B759" t="str">
            <v>КОМП.ВОСТОЧНЫЙ МЕРИДИАН</v>
          </cell>
          <cell r="C759" t="str">
            <v>ВОЛКОВСКАЯ   (ОКТ)</v>
          </cell>
          <cell r="D759">
            <v>31472</v>
          </cell>
          <cell r="E759">
            <v>36140</v>
          </cell>
          <cell r="F759">
            <v>0</v>
          </cell>
          <cell r="G759">
            <v>37928</v>
          </cell>
          <cell r="H759">
            <v>0</v>
          </cell>
          <cell r="I759" t="str">
            <v>деп</v>
          </cell>
          <cell r="J759">
            <v>38475</v>
          </cell>
        </row>
        <row r="760">
          <cell r="A760">
            <v>58742222</v>
          </cell>
          <cell r="B760" t="str">
            <v>КОМП.ВОСТОЧНЫЙ МЕРИДИАН</v>
          </cell>
          <cell r="C760" t="str">
            <v>ВОЛКОВСКАЯ   (ОКТ)</v>
          </cell>
          <cell r="D760">
            <v>31472</v>
          </cell>
          <cell r="E760">
            <v>36140</v>
          </cell>
          <cell r="F760">
            <v>0</v>
          </cell>
          <cell r="G760">
            <v>37928</v>
          </cell>
          <cell r="H760">
            <v>0</v>
          </cell>
          <cell r="I760" t="str">
            <v>деп</v>
          </cell>
          <cell r="J760">
            <v>38475</v>
          </cell>
        </row>
        <row r="761">
          <cell r="A761">
            <v>58742230</v>
          </cell>
          <cell r="B761" t="str">
            <v>КОМП.ВОСТОЧНЫЙ МЕРИДИАН</v>
          </cell>
          <cell r="C761" t="str">
            <v>ВОЛКОВСКАЯ   (ОКТ)</v>
          </cell>
          <cell r="D761">
            <v>31444</v>
          </cell>
          <cell r="E761">
            <v>36529</v>
          </cell>
          <cell r="F761">
            <v>0</v>
          </cell>
          <cell r="G761">
            <v>37928</v>
          </cell>
          <cell r="H761">
            <v>0</v>
          </cell>
          <cell r="I761" t="str">
            <v>деп</v>
          </cell>
          <cell r="J761">
            <v>38475</v>
          </cell>
        </row>
        <row r="762">
          <cell r="A762">
            <v>58742248</v>
          </cell>
          <cell r="B762" t="str">
            <v>КОМП.ВОСТОЧНЫЙ МЕРИДИАН</v>
          </cell>
          <cell r="C762" t="str">
            <v>ВОЛКОВСКАЯ   (ОКТ)</v>
          </cell>
          <cell r="D762">
            <v>31444</v>
          </cell>
          <cell r="E762">
            <v>36529</v>
          </cell>
          <cell r="F762">
            <v>0</v>
          </cell>
          <cell r="G762">
            <v>37928</v>
          </cell>
          <cell r="H762">
            <v>0</v>
          </cell>
          <cell r="I762" t="str">
            <v>деп</v>
          </cell>
          <cell r="J762">
            <v>38475</v>
          </cell>
        </row>
        <row r="763">
          <cell r="A763">
            <v>58742255</v>
          </cell>
          <cell r="B763" t="str">
            <v>КОМП.ВОСТОЧНЫЙ МЕРИДИАН</v>
          </cell>
          <cell r="C763" t="str">
            <v>ВОЛКОВСКАЯ   (ОКТ)</v>
          </cell>
          <cell r="D763">
            <v>31444</v>
          </cell>
          <cell r="E763">
            <v>36529</v>
          </cell>
          <cell r="F763">
            <v>0</v>
          </cell>
          <cell r="G763">
            <v>37928</v>
          </cell>
          <cell r="H763">
            <v>0</v>
          </cell>
          <cell r="I763" t="str">
            <v>деп</v>
          </cell>
          <cell r="J763">
            <v>38475</v>
          </cell>
        </row>
        <row r="764">
          <cell r="A764">
            <v>58742263</v>
          </cell>
          <cell r="B764" t="str">
            <v>КОМП.ВОСТОЧНЫЙ МЕРИДИАН</v>
          </cell>
          <cell r="C764" t="str">
            <v>ВОЛКОВСКАЯ   (ОКТ)</v>
          </cell>
          <cell r="D764">
            <v>31444</v>
          </cell>
          <cell r="E764">
            <v>36529</v>
          </cell>
          <cell r="F764">
            <v>0</v>
          </cell>
          <cell r="G764">
            <v>37928</v>
          </cell>
          <cell r="H764">
            <v>0</v>
          </cell>
          <cell r="I764" t="str">
            <v>деп</v>
          </cell>
          <cell r="J764">
            <v>38475</v>
          </cell>
        </row>
        <row r="765">
          <cell r="A765">
            <v>58742271</v>
          </cell>
          <cell r="B765" t="str">
            <v>КОМП.ВОСТОЧНЫЙ МЕРИДИАН</v>
          </cell>
          <cell r="C765" t="str">
            <v>ВОЛКОВСКАЯ   (ОКТ)</v>
          </cell>
          <cell r="D765">
            <v>31444</v>
          </cell>
          <cell r="E765">
            <v>36355</v>
          </cell>
          <cell r="F765">
            <v>0</v>
          </cell>
          <cell r="G765">
            <v>37928</v>
          </cell>
          <cell r="H765">
            <v>0</v>
          </cell>
          <cell r="I765" t="str">
            <v>деп</v>
          </cell>
          <cell r="J765">
            <v>38475</v>
          </cell>
        </row>
        <row r="766">
          <cell r="A766">
            <v>58742289</v>
          </cell>
          <cell r="B766" t="str">
            <v>КОМП.ВОСТОЧНЫЙ МЕРИДИАН</v>
          </cell>
          <cell r="C766" t="str">
            <v>ВОЛКОВСКАЯ   (ОКТ)</v>
          </cell>
          <cell r="D766">
            <v>31444</v>
          </cell>
          <cell r="E766">
            <v>36355</v>
          </cell>
          <cell r="F766">
            <v>0</v>
          </cell>
          <cell r="G766">
            <v>37928</v>
          </cell>
          <cell r="H766">
            <v>0</v>
          </cell>
          <cell r="I766" t="str">
            <v>деп</v>
          </cell>
          <cell r="J766">
            <v>38475</v>
          </cell>
        </row>
        <row r="767">
          <cell r="A767">
            <v>58742305</v>
          </cell>
          <cell r="B767" t="str">
            <v>КОМП.ВОСТОЧНЫЙ МЕРИДИАН</v>
          </cell>
          <cell r="C767" t="str">
            <v>ВОЛКОВСКАЯ   (ОКТ)</v>
          </cell>
          <cell r="D767">
            <v>31444</v>
          </cell>
          <cell r="E767">
            <v>36355</v>
          </cell>
          <cell r="F767">
            <v>0</v>
          </cell>
          <cell r="G767">
            <v>37928</v>
          </cell>
          <cell r="H767">
            <v>0</v>
          </cell>
          <cell r="I767" t="str">
            <v>деп</v>
          </cell>
          <cell r="J767">
            <v>38475</v>
          </cell>
        </row>
        <row r="768">
          <cell r="A768">
            <v>58742313</v>
          </cell>
          <cell r="B768" t="str">
            <v>КОМП.ВОСТОЧНЫЙ МЕРИДИАН</v>
          </cell>
          <cell r="C768" t="str">
            <v>ВОЛКОВСКАЯ   (ОКТ)</v>
          </cell>
          <cell r="D768">
            <v>31444</v>
          </cell>
          <cell r="E768">
            <v>36355</v>
          </cell>
          <cell r="F768">
            <v>0</v>
          </cell>
          <cell r="G768">
            <v>37928</v>
          </cell>
          <cell r="H768">
            <v>0</v>
          </cell>
          <cell r="I768" t="str">
            <v>деп</v>
          </cell>
          <cell r="J768">
            <v>38475</v>
          </cell>
        </row>
        <row r="769">
          <cell r="B769" t="str">
            <v>КОМП.ВОСТОЧНЫЙ МЕРИДИАН Количество</v>
          </cell>
          <cell r="D769">
            <v>20</v>
          </cell>
        </row>
        <row r="770">
          <cell r="A770">
            <v>53400016</v>
          </cell>
          <cell r="B770" t="str">
            <v>КОМПАНИЯ ВОСТОЧН.МЕРИДИАН</v>
          </cell>
          <cell r="C770" t="str">
            <v>МЫС-ЧУРКИН   (ДВС)</v>
          </cell>
          <cell r="D770">
            <v>29526</v>
          </cell>
          <cell r="E770">
            <v>37668</v>
          </cell>
          <cell r="F770">
            <v>819</v>
          </cell>
          <cell r="G770">
            <v>37071</v>
          </cell>
          <cell r="H770">
            <v>163</v>
          </cell>
          <cell r="I770" t="str">
            <v>деп</v>
          </cell>
          <cell r="J770">
            <v>38215</v>
          </cell>
        </row>
        <row r="771">
          <cell r="A771">
            <v>53400065</v>
          </cell>
          <cell r="B771" t="str">
            <v>КОМПАНИЯ ВОСТОЧН.МЕРИДИАН</v>
          </cell>
          <cell r="C771" t="str">
            <v>МЫС-ЧУРКИН   (ДВС)</v>
          </cell>
          <cell r="D771">
            <v>30713</v>
          </cell>
          <cell r="E771">
            <v>37127</v>
          </cell>
          <cell r="F771">
            <v>330</v>
          </cell>
          <cell r="G771">
            <v>37651</v>
          </cell>
          <cell r="H771">
            <v>819</v>
          </cell>
          <cell r="I771" t="str">
            <v>деп</v>
          </cell>
          <cell r="J771">
            <v>38198</v>
          </cell>
        </row>
        <row r="772">
          <cell r="A772">
            <v>53400115</v>
          </cell>
          <cell r="B772" t="str">
            <v>КОМПАНИЯ ВОСТОЧН.МЕРИДИАН</v>
          </cell>
          <cell r="C772" t="str">
            <v>МЫС-ЧУРКИН   (ДВС)</v>
          </cell>
          <cell r="D772">
            <v>28369</v>
          </cell>
          <cell r="E772">
            <v>37741</v>
          </cell>
          <cell r="F772">
            <v>819</v>
          </cell>
          <cell r="G772">
            <v>32417</v>
          </cell>
          <cell r="H772">
            <v>0</v>
          </cell>
          <cell r="I772" t="str">
            <v>деп</v>
          </cell>
          <cell r="J772">
            <v>38290</v>
          </cell>
        </row>
        <row r="773">
          <cell r="A773">
            <v>53400123</v>
          </cell>
          <cell r="B773" t="str">
            <v>КОМПАНИЯ ВОСТОЧН.МЕРИДИАН</v>
          </cell>
          <cell r="C773" t="str">
            <v>МЫС-ЧУРКИН   (ДВС)</v>
          </cell>
          <cell r="D773">
            <v>28399</v>
          </cell>
          <cell r="E773">
            <v>37741</v>
          </cell>
          <cell r="F773">
            <v>819</v>
          </cell>
          <cell r="G773">
            <v>32426</v>
          </cell>
          <cell r="H773">
            <v>840</v>
          </cell>
          <cell r="I773" t="str">
            <v>деп</v>
          </cell>
          <cell r="J773">
            <v>38290</v>
          </cell>
        </row>
        <row r="774">
          <cell r="A774">
            <v>53400131</v>
          </cell>
          <cell r="B774" t="str">
            <v>КОМПАНИЯ ВОСТОЧН.МЕРИДИАН</v>
          </cell>
          <cell r="C774" t="str">
            <v>МЫС-ЧУРКИН   (ДВС)</v>
          </cell>
          <cell r="D774">
            <v>28369</v>
          </cell>
          <cell r="E774">
            <v>37818</v>
          </cell>
          <cell r="F774">
            <v>163</v>
          </cell>
          <cell r="G774">
            <v>33359</v>
          </cell>
          <cell r="H774">
            <v>0</v>
          </cell>
          <cell r="I774" t="str">
            <v>деп</v>
          </cell>
          <cell r="J774">
            <v>38368</v>
          </cell>
        </row>
        <row r="775">
          <cell r="A775">
            <v>53400149</v>
          </cell>
          <cell r="B775" t="str">
            <v>КОМПАНИЯ ВОСТОЧН.МЕРИДИАН</v>
          </cell>
          <cell r="C775" t="str">
            <v>МЫС-ЧУРКИН   (ДВС)</v>
          </cell>
          <cell r="D775">
            <v>28399</v>
          </cell>
          <cell r="E775">
            <v>37918</v>
          </cell>
          <cell r="F775">
            <v>163</v>
          </cell>
          <cell r="G775">
            <v>32143</v>
          </cell>
          <cell r="H775">
            <v>840</v>
          </cell>
          <cell r="I775" t="str">
            <v>деп</v>
          </cell>
          <cell r="J775">
            <v>38466</v>
          </cell>
        </row>
        <row r="776">
          <cell r="A776">
            <v>53400164</v>
          </cell>
          <cell r="B776" t="str">
            <v>КОМПАНИЯ ВОСТОЧН.МЕРИДИАН</v>
          </cell>
          <cell r="C776" t="str">
            <v>МЫС-ЧУРКИН   (ДВС)</v>
          </cell>
          <cell r="D776">
            <v>28430</v>
          </cell>
          <cell r="E776">
            <v>37746</v>
          </cell>
          <cell r="F776">
            <v>163</v>
          </cell>
          <cell r="G776">
            <v>33584</v>
          </cell>
          <cell r="H776">
            <v>840</v>
          </cell>
          <cell r="I776" t="str">
            <v>деп</v>
          </cell>
          <cell r="J776">
            <v>38296</v>
          </cell>
        </row>
        <row r="777">
          <cell r="A777">
            <v>53400172</v>
          </cell>
          <cell r="B777" t="str">
            <v>КОМПАНИЯ ВОСТОЧН.МЕРИДИАН</v>
          </cell>
          <cell r="C777" t="str">
            <v>МЫС-ЧУРКИН   (ДВС)</v>
          </cell>
          <cell r="D777">
            <v>28460</v>
          </cell>
          <cell r="E777">
            <v>37882</v>
          </cell>
          <cell r="F777">
            <v>163</v>
          </cell>
          <cell r="G777">
            <v>37315</v>
          </cell>
          <cell r="H777">
            <v>840</v>
          </cell>
          <cell r="I777" t="str">
            <v>деп</v>
          </cell>
          <cell r="J777">
            <v>38429</v>
          </cell>
        </row>
        <row r="778">
          <cell r="A778">
            <v>53703427</v>
          </cell>
          <cell r="B778" t="str">
            <v>КОМПАНИЯ ВОСТОЧН.МЕРИДИАН</v>
          </cell>
          <cell r="C778" t="str">
            <v>МЫС-ЧУРКИН   (ДВС)</v>
          </cell>
          <cell r="D778">
            <v>33786</v>
          </cell>
          <cell r="E778">
            <v>37777</v>
          </cell>
          <cell r="F778">
            <v>163</v>
          </cell>
          <cell r="H778">
            <v>0</v>
          </cell>
          <cell r="I778" t="str">
            <v>деп</v>
          </cell>
          <cell r="J778">
            <v>38326</v>
          </cell>
        </row>
        <row r="779">
          <cell r="A779">
            <v>53705661</v>
          </cell>
          <cell r="B779" t="str">
            <v>КОМПАНИЯ ВОСТОЧН.МЕРИДИАН</v>
          </cell>
          <cell r="C779" t="str">
            <v>МЫС-ЧУРКИН   (ДВС)</v>
          </cell>
          <cell r="D779">
            <v>33359</v>
          </cell>
          <cell r="E779">
            <v>37769</v>
          </cell>
          <cell r="F779">
            <v>163</v>
          </cell>
          <cell r="H779">
            <v>0</v>
          </cell>
          <cell r="I779" t="str">
            <v>деп</v>
          </cell>
          <cell r="J779">
            <v>38319</v>
          </cell>
        </row>
        <row r="780">
          <cell r="A780">
            <v>53706180</v>
          </cell>
          <cell r="B780" t="str">
            <v>КОМПАНИЯ ВОСТОЧН.МЕРИДИАН</v>
          </cell>
          <cell r="C780" t="str">
            <v>МЫС-ЧУРКИН   (ДВС)</v>
          </cell>
          <cell r="D780">
            <v>33543</v>
          </cell>
          <cell r="E780">
            <v>37952</v>
          </cell>
          <cell r="F780">
            <v>350</v>
          </cell>
          <cell r="H780">
            <v>0</v>
          </cell>
          <cell r="I780" t="str">
            <v>деп</v>
          </cell>
          <cell r="J780">
            <v>38499</v>
          </cell>
        </row>
        <row r="781">
          <cell r="A781">
            <v>53706206</v>
          </cell>
          <cell r="B781" t="str">
            <v>КОМПАНИЯ ВОСТОЧН.МЕРИДИАН</v>
          </cell>
          <cell r="C781" t="str">
            <v>МЫС-ЧУРКИН   (ДВС)</v>
          </cell>
          <cell r="D781">
            <v>33512</v>
          </cell>
          <cell r="E781">
            <v>37953</v>
          </cell>
          <cell r="F781">
            <v>163</v>
          </cell>
          <cell r="H781">
            <v>0</v>
          </cell>
          <cell r="I781" t="str">
            <v>деп</v>
          </cell>
          <cell r="J781">
            <v>38500</v>
          </cell>
        </row>
        <row r="782">
          <cell r="A782">
            <v>53706602</v>
          </cell>
          <cell r="B782" t="str">
            <v>КОМПАНИЯ ВОСТОЧН.МЕРИДИАН</v>
          </cell>
          <cell r="C782" t="str">
            <v>МЫС-ЧУРКИН   (ДВС)</v>
          </cell>
          <cell r="D782">
            <v>32078</v>
          </cell>
          <cell r="E782">
            <v>34090</v>
          </cell>
          <cell r="F782">
            <v>0</v>
          </cell>
          <cell r="G782">
            <v>37772</v>
          </cell>
          <cell r="H782">
            <v>557</v>
          </cell>
          <cell r="I782" t="str">
            <v>деп</v>
          </cell>
          <cell r="J782">
            <v>38321</v>
          </cell>
        </row>
        <row r="783">
          <cell r="A783">
            <v>53706768</v>
          </cell>
          <cell r="B783" t="str">
            <v>КОМПАНИЯ ВОСТОЧН.МЕРИДИАН</v>
          </cell>
          <cell r="C783" t="str">
            <v>МЫС-ЧУРКИН   (ДВС)</v>
          </cell>
          <cell r="D783">
            <v>33872</v>
          </cell>
          <cell r="E783">
            <v>37921</v>
          </cell>
          <cell r="F783">
            <v>163</v>
          </cell>
          <cell r="H783">
            <v>0</v>
          </cell>
          <cell r="I783" t="str">
            <v>деп</v>
          </cell>
          <cell r="J783">
            <v>38469</v>
          </cell>
        </row>
        <row r="784">
          <cell r="A784">
            <v>58722455</v>
          </cell>
          <cell r="B784" t="str">
            <v>КОМПАНИЯ ВОСТОЧН.МЕРИДИАН</v>
          </cell>
          <cell r="C784" t="str">
            <v>УССУРИЙСК    (ДВС)</v>
          </cell>
          <cell r="D784">
            <v>33786</v>
          </cell>
          <cell r="E784">
            <v>37777</v>
          </cell>
          <cell r="F784">
            <v>163</v>
          </cell>
          <cell r="H784">
            <v>0</v>
          </cell>
          <cell r="I784" t="str">
            <v>деп</v>
          </cell>
          <cell r="J784">
            <v>38508</v>
          </cell>
        </row>
        <row r="785">
          <cell r="A785">
            <v>58722463</v>
          </cell>
          <cell r="B785" t="str">
            <v>КОМПАНИЯ ВОСТОЧН.МЕРИДИАН</v>
          </cell>
          <cell r="C785" t="str">
            <v>УССУРИЙСК    (ДВС)</v>
          </cell>
          <cell r="D785">
            <v>33786</v>
          </cell>
          <cell r="E785">
            <v>37777</v>
          </cell>
          <cell r="F785">
            <v>163</v>
          </cell>
          <cell r="H785">
            <v>0</v>
          </cell>
          <cell r="I785" t="str">
            <v>деп</v>
          </cell>
          <cell r="J785">
            <v>38508</v>
          </cell>
        </row>
        <row r="786">
          <cell r="A786">
            <v>58722471</v>
          </cell>
          <cell r="B786" t="str">
            <v>КОМПАНИЯ ВОСТОЧН.МЕРИДИАН</v>
          </cell>
          <cell r="C786" t="str">
            <v>УССУРИЙСК    (ДВС)</v>
          </cell>
          <cell r="D786">
            <v>33786</v>
          </cell>
          <cell r="E786">
            <v>37777</v>
          </cell>
          <cell r="F786">
            <v>163</v>
          </cell>
          <cell r="H786">
            <v>0</v>
          </cell>
          <cell r="I786" t="str">
            <v>деп</v>
          </cell>
          <cell r="J786">
            <v>38508</v>
          </cell>
        </row>
        <row r="787">
          <cell r="A787">
            <v>58722489</v>
          </cell>
          <cell r="B787" t="str">
            <v>КОМПАНИЯ ВОСТОЧН.МЕРИДИАН</v>
          </cell>
          <cell r="C787" t="str">
            <v>УССУРИЙСК    (ДВС)</v>
          </cell>
          <cell r="D787">
            <v>33786</v>
          </cell>
          <cell r="E787">
            <v>37777</v>
          </cell>
          <cell r="F787">
            <v>163</v>
          </cell>
          <cell r="H787">
            <v>0</v>
          </cell>
          <cell r="I787" t="str">
            <v>деп</v>
          </cell>
          <cell r="J787">
            <v>38508</v>
          </cell>
        </row>
        <row r="788">
          <cell r="A788">
            <v>58724691</v>
          </cell>
          <cell r="B788" t="str">
            <v>КОМПАНИЯ ВОСТОЧН.МЕРИДИАН</v>
          </cell>
          <cell r="C788" t="str">
            <v>МЫС-ЧУРКИН   (ДВС)</v>
          </cell>
          <cell r="D788">
            <v>33543</v>
          </cell>
          <cell r="E788">
            <v>37952</v>
          </cell>
          <cell r="F788">
            <v>350</v>
          </cell>
          <cell r="H788">
            <v>0</v>
          </cell>
          <cell r="I788" t="str">
            <v>деп</v>
          </cell>
          <cell r="J788">
            <v>38499</v>
          </cell>
        </row>
        <row r="789">
          <cell r="A789">
            <v>58724790</v>
          </cell>
          <cell r="B789" t="str">
            <v>КОМПАНИЯ ВОСТОЧН.МЕРИДИАН</v>
          </cell>
          <cell r="C789" t="str">
            <v>МЫС-ЧУРКИН   (ДВС)</v>
          </cell>
          <cell r="D789">
            <v>33543</v>
          </cell>
          <cell r="E789">
            <v>37769</v>
          </cell>
          <cell r="F789">
            <v>163</v>
          </cell>
          <cell r="H789">
            <v>0</v>
          </cell>
          <cell r="I789" t="str">
            <v>деп</v>
          </cell>
          <cell r="J789">
            <v>38319</v>
          </cell>
        </row>
        <row r="790">
          <cell r="A790">
            <v>58724899</v>
          </cell>
          <cell r="B790" t="str">
            <v>КОМПАНИЯ ВОСТОЧН.МЕРИДИАН</v>
          </cell>
          <cell r="C790" t="str">
            <v>МЫС-ЧУРКИН   (ДВС)</v>
          </cell>
          <cell r="D790">
            <v>33543</v>
          </cell>
          <cell r="E790">
            <v>37952</v>
          </cell>
          <cell r="F790">
            <v>350</v>
          </cell>
          <cell r="H790">
            <v>0</v>
          </cell>
          <cell r="I790" t="str">
            <v>деп</v>
          </cell>
          <cell r="J790">
            <v>38499</v>
          </cell>
        </row>
        <row r="791">
          <cell r="A791">
            <v>58724907</v>
          </cell>
          <cell r="B791" t="str">
            <v>КОМПАНИЯ ВОСТОЧН.МЕРИДИАН</v>
          </cell>
          <cell r="C791" t="str">
            <v>МЫС-ЧУРКИН   (ДВС)</v>
          </cell>
          <cell r="D791">
            <v>33359</v>
          </cell>
          <cell r="E791">
            <v>37769</v>
          </cell>
          <cell r="F791">
            <v>163</v>
          </cell>
          <cell r="H791">
            <v>0</v>
          </cell>
          <cell r="I791" t="str">
            <v>деп</v>
          </cell>
          <cell r="J791">
            <v>38319</v>
          </cell>
        </row>
        <row r="792">
          <cell r="A792">
            <v>58724915</v>
          </cell>
          <cell r="B792" t="str">
            <v>КОМПАНИЯ ВОСТОЧН.МЕРИДИАН</v>
          </cell>
          <cell r="C792" t="str">
            <v>МЫС-ЧУРКИН   (ДВС)</v>
          </cell>
          <cell r="D792">
            <v>33359</v>
          </cell>
          <cell r="E792">
            <v>37769</v>
          </cell>
          <cell r="F792">
            <v>163</v>
          </cell>
          <cell r="H792">
            <v>0</v>
          </cell>
          <cell r="I792" t="str">
            <v>деп</v>
          </cell>
          <cell r="J792">
            <v>38319</v>
          </cell>
        </row>
        <row r="793">
          <cell r="A793">
            <v>58724923</v>
          </cell>
          <cell r="B793" t="str">
            <v>КОМПАНИЯ ВОСТОЧН.МЕРИДИАН</v>
          </cell>
          <cell r="C793" t="str">
            <v>МЫС-ЧУРКИН   (ДВС)</v>
          </cell>
          <cell r="D793">
            <v>33359</v>
          </cell>
          <cell r="E793">
            <v>37769</v>
          </cell>
          <cell r="F793">
            <v>163</v>
          </cell>
          <cell r="H793">
            <v>0</v>
          </cell>
          <cell r="I793" t="str">
            <v>деп</v>
          </cell>
          <cell r="J793">
            <v>38319</v>
          </cell>
        </row>
        <row r="794">
          <cell r="A794">
            <v>58724931</v>
          </cell>
          <cell r="B794" t="str">
            <v>КОМПАНИЯ ВОСТОЧН.МЕРИДИАН</v>
          </cell>
          <cell r="C794" t="str">
            <v>МЫС-ЧУРКИН   (ДВС)</v>
          </cell>
          <cell r="D794">
            <v>33359</v>
          </cell>
          <cell r="E794">
            <v>37769</v>
          </cell>
          <cell r="F794">
            <v>163</v>
          </cell>
          <cell r="H794">
            <v>0</v>
          </cell>
          <cell r="I794" t="str">
            <v>деп</v>
          </cell>
          <cell r="J794">
            <v>38319</v>
          </cell>
        </row>
        <row r="795">
          <cell r="A795">
            <v>58724998</v>
          </cell>
          <cell r="B795" t="str">
            <v>КОМПАНИЯ ВОСТОЧН.МЕРИДИАН</v>
          </cell>
          <cell r="C795" t="str">
            <v>МЫС-ЧУРКИН   (ДВС)</v>
          </cell>
          <cell r="D795">
            <v>33543</v>
          </cell>
          <cell r="E795">
            <v>37952</v>
          </cell>
          <cell r="F795">
            <v>350</v>
          </cell>
          <cell r="H795">
            <v>0</v>
          </cell>
          <cell r="I795" t="str">
            <v>деп</v>
          </cell>
          <cell r="J795">
            <v>38499</v>
          </cell>
        </row>
        <row r="796">
          <cell r="A796">
            <v>58725094</v>
          </cell>
          <cell r="B796" t="str">
            <v>КОМПАНИЯ ВОСТОЧН.МЕРИДИАН</v>
          </cell>
          <cell r="C796" t="str">
            <v>МЫС-ЧУРКИН   (ДВС)</v>
          </cell>
          <cell r="D796">
            <v>33543</v>
          </cell>
          <cell r="E796">
            <v>37952</v>
          </cell>
          <cell r="F796">
            <v>350</v>
          </cell>
          <cell r="H796">
            <v>0</v>
          </cell>
          <cell r="I796" t="str">
            <v>деп</v>
          </cell>
          <cell r="J796">
            <v>38499</v>
          </cell>
        </row>
        <row r="797">
          <cell r="A797">
            <v>58725193</v>
          </cell>
          <cell r="B797" t="str">
            <v>КОМПАНИЯ ВОСТОЧН.МЕРИДИАН</v>
          </cell>
          <cell r="C797" t="str">
            <v>МЫС-ЧУРКИН   (ДВС)</v>
          </cell>
          <cell r="D797">
            <v>33512</v>
          </cell>
          <cell r="E797">
            <v>37953</v>
          </cell>
          <cell r="F797">
            <v>163</v>
          </cell>
          <cell r="H797">
            <v>0</v>
          </cell>
          <cell r="I797" t="str">
            <v>деп</v>
          </cell>
          <cell r="J797">
            <v>38500</v>
          </cell>
        </row>
        <row r="798">
          <cell r="A798">
            <v>58725292</v>
          </cell>
          <cell r="B798" t="str">
            <v>КОМПАНИЯ ВОСТОЧН.МЕРИДИАН</v>
          </cell>
          <cell r="C798" t="str">
            <v>МЫС-ЧУРКИН   (ДВС)</v>
          </cell>
          <cell r="D798">
            <v>33512</v>
          </cell>
          <cell r="E798">
            <v>37953</v>
          </cell>
          <cell r="F798">
            <v>163</v>
          </cell>
          <cell r="H798">
            <v>0</v>
          </cell>
          <cell r="I798" t="str">
            <v>деп</v>
          </cell>
          <cell r="J798">
            <v>38500</v>
          </cell>
        </row>
        <row r="799">
          <cell r="A799">
            <v>58725391</v>
          </cell>
          <cell r="B799" t="str">
            <v>КОМПАНИЯ ВОСТОЧН.МЕРИДИАН</v>
          </cell>
          <cell r="C799" t="str">
            <v>МЫС-ЧУРКИН   (ДВС)</v>
          </cell>
          <cell r="D799">
            <v>33512</v>
          </cell>
          <cell r="E799">
            <v>37953</v>
          </cell>
          <cell r="F799">
            <v>163</v>
          </cell>
          <cell r="H799">
            <v>0</v>
          </cell>
          <cell r="I799" t="str">
            <v>деп</v>
          </cell>
          <cell r="J799">
            <v>38500</v>
          </cell>
        </row>
        <row r="800">
          <cell r="A800">
            <v>58725490</v>
          </cell>
          <cell r="B800" t="str">
            <v>КОМПАНИЯ ВОСТОЧН.МЕРИДИАН</v>
          </cell>
          <cell r="C800" t="str">
            <v>МЫС-ЧУРКИН   (ДВС)</v>
          </cell>
          <cell r="D800">
            <v>33512</v>
          </cell>
          <cell r="E800">
            <v>37953</v>
          </cell>
          <cell r="F800">
            <v>163</v>
          </cell>
          <cell r="H800">
            <v>0</v>
          </cell>
          <cell r="I800" t="str">
            <v>деп</v>
          </cell>
          <cell r="J800">
            <v>38500</v>
          </cell>
        </row>
        <row r="801">
          <cell r="A801">
            <v>58728833</v>
          </cell>
          <cell r="B801" t="str">
            <v>КОМПАНИЯ ВОСТОЧН.МЕРИДИАН</v>
          </cell>
          <cell r="C801" t="str">
            <v>МЫС-ЧУРКИН   (ДВС)</v>
          </cell>
          <cell r="D801">
            <v>29526</v>
          </cell>
          <cell r="E801">
            <v>37183</v>
          </cell>
          <cell r="F801">
            <v>352</v>
          </cell>
          <cell r="G801">
            <v>37651</v>
          </cell>
          <cell r="H801">
            <v>819</v>
          </cell>
          <cell r="I801" t="str">
            <v>деп</v>
          </cell>
          <cell r="J801">
            <v>38198</v>
          </cell>
        </row>
        <row r="802">
          <cell r="A802">
            <v>58728841</v>
          </cell>
          <cell r="B802" t="str">
            <v>КОМПАНИЯ ВОСТОЧН.МЕРИДИАН</v>
          </cell>
          <cell r="C802" t="str">
            <v>МЫС-ЧУРКИН   (ДВС)</v>
          </cell>
          <cell r="D802">
            <v>29526</v>
          </cell>
          <cell r="E802">
            <v>37183</v>
          </cell>
          <cell r="F802">
            <v>352</v>
          </cell>
          <cell r="G802">
            <v>37651</v>
          </cell>
          <cell r="H802">
            <v>819</v>
          </cell>
          <cell r="I802" t="str">
            <v>деп</v>
          </cell>
          <cell r="J802">
            <v>38198</v>
          </cell>
        </row>
        <row r="803">
          <cell r="A803">
            <v>58728858</v>
          </cell>
          <cell r="B803" t="str">
            <v>КОМПАНИЯ ВОСТОЧН.МЕРИДИАН</v>
          </cell>
          <cell r="C803" t="str">
            <v>МЫС-ЧУРКИН   (ДВС)</v>
          </cell>
          <cell r="D803">
            <v>29526</v>
          </cell>
          <cell r="E803">
            <v>37183</v>
          </cell>
          <cell r="F803">
            <v>352</v>
          </cell>
          <cell r="G803">
            <v>37651</v>
          </cell>
          <cell r="H803">
            <v>819</v>
          </cell>
          <cell r="I803" t="str">
            <v>деп</v>
          </cell>
          <cell r="J803">
            <v>38198</v>
          </cell>
        </row>
        <row r="804">
          <cell r="A804">
            <v>58728866</v>
          </cell>
          <cell r="B804" t="str">
            <v>КОМПАНИЯ ВОСТОЧН.МЕРИДИАН</v>
          </cell>
          <cell r="C804" t="str">
            <v>МЫС-ЧУРКИН   (ДВС)</v>
          </cell>
          <cell r="D804">
            <v>29526</v>
          </cell>
          <cell r="E804">
            <v>37183</v>
          </cell>
          <cell r="F804">
            <v>352</v>
          </cell>
          <cell r="G804">
            <v>37651</v>
          </cell>
          <cell r="H804">
            <v>819</v>
          </cell>
          <cell r="I804" t="str">
            <v>деп</v>
          </cell>
          <cell r="J804">
            <v>38198</v>
          </cell>
        </row>
        <row r="805">
          <cell r="A805">
            <v>58728874</v>
          </cell>
          <cell r="B805" t="str">
            <v>КОМПАНИЯ ВОСТОЧН.МЕРИДИАН</v>
          </cell>
          <cell r="C805" t="str">
            <v>МЫС-ЧУРКИН   (ДВС)</v>
          </cell>
          <cell r="D805">
            <v>29526</v>
          </cell>
          <cell r="E805">
            <v>37668</v>
          </cell>
          <cell r="F805">
            <v>819</v>
          </cell>
          <cell r="G805">
            <v>37071</v>
          </cell>
          <cell r="H805">
            <v>163</v>
          </cell>
          <cell r="I805" t="str">
            <v>деп</v>
          </cell>
          <cell r="J805">
            <v>38215</v>
          </cell>
        </row>
        <row r="806">
          <cell r="A806">
            <v>58728882</v>
          </cell>
          <cell r="B806" t="str">
            <v>КОМПАНИЯ ВОСТОЧН.МЕРИДИАН</v>
          </cell>
          <cell r="C806" t="str">
            <v>МЫС-ЧУРКИН   (ДВС)</v>
          </cell>
          <cell r="D806">
            <v>29526</v>
          </cell>
          <cell r="E806">
            <v>37668</v>
          </cell>
          <cell r="F806">
            <v>819</v>
          </cell>
          <cell r="G806">
            <v>37071</v>
          </cell>
          <cell r="H806">
            <v>163</v>
          </cell>
          <cell r="I806" t="str">
            <v>деп</v>
          </cell>
          <cell r="J806">
            <v>38215</v>
          </cell>
        </row>
        <row r="807">
          <cell r="A807">
            <v>58728908</v>
          </cell>
          <cell r="B807" t="str">
            <v>КОМПАНИЯ ВОСТОЧН.МЕРИДИАН</v>
          </cell>
          <cell r="C807" t="str">
            <v>МЫС-ЧУРКИН   (ДВС)</v>
          </cell>
          <cell r="D807">
            <v>29526</v>
          </cell>
          <cell r="E807">
            <v>37668</v>
          </cell>
          <cell r="F807">
            <v>819</v>
          </cell>
          <cell r="G807">
            <v>37071</v>
          </cell>
          <cell r="H807">
            <v>163</v>
          </cell>
          <cell r="I807" t="str">
            <v>деп</v>
          </cell>
          <cell r="J807">
            <v>38215</v>
          </cell>
        </row>
        <row r="808">
          <cell r="A808">
            <v>58728916</v>
          </cell>
          <cell r="B808" t="str">
            <v>КОМПАНИЯ ВОСТОЧН.МЕРИДИАН</v>
          </cell>
          <cell r="C808" t="str">
            <v>МЫС-ЧУРКИН   (ДВС)</v>
          </cell>
          <cell r="D808">
            <v>29526</v>
          </cell>
          <cell r="E808">
            <v>37668</v>
          </cell>
          <cell r="F808">
            <v>819</v>
          </cell>
          <cell r="G808">
            <v>37071</v>
          </cell>
          <cell r="H808">
            <v>163</v>
          </cell>
          <cell r="I808" t="str">
            <v>деп</v>
          </cell>
          <cell r="J808">
            <v>38215</v>
          </cell>
        </row>
        <row r="809">
          <cell r="A809">
            <v>58729187</v>
          </cell>
          <cell r="B809" t="str">
            <v>КОМПАНИЯ ВОСТОЧН.МЕРИДИАН</v>
          </cell>
          <cell r="C809" t="str">
            <v>МЫС-ЧУРКИН   (ДВС)</v>
          </cell>
          <cell r="D809">
            <v>30713</v>
          </cell>
          <cell r="E809">
            <v>37183</v>
          </cell>
          <cell r="F809">
            <v>352</v>
          </cell>
          <cell r="G809">
            <v>37651</v>
          </cell>
          <cell r="H809">
            <v>819</v>
          </cell>
          <cell r="I809" t="str">
            <v>деп</v>
          </cell>
          <cell r="J809">
            <v>38198</v>
          </cell>
        </row>
        <row r="810">
          <cell r="A810">
            <v>58730086</v>
          </cell>
          <cell r="B810" t="str">
            <v>КОМПАНИЯ ВОСТОЧН.МЕРИДИАН</v>
          </cell>
          <cell r="C810" t="str">
            <v>МЫС-ЧУРКИН   (ДВС)</v>
          </cell>
          <cell r="D810">
            <v>28369</v>
          </cell>
          <cell r="E810">
            <v>37741</v>
          </cell>
          <cell r="F810">
            <v>819</v>
          </cell>
          <cell r="G810">
            <v>32417</v>
          </cell>
          <cell r="H810">
            <v>840</v>
          </cell>
          <cell r="I810" t="str">
            <v>деп</v>
          </cell>
          <cell r="J810">
            <v>38290</v>
          </cell>
        </row>
        <row r="811">
          <cell r="A811">
            <v>58730094</v>
          </cell>
          <cell r="B811" t="str">
            <v>КОМПАНИЯ ВОСТОЧН.МЕРИДИАН</v>
          </cell>
          <cell r="C811" t="str">
            <v>МЫС-ЧУРКИН   (ДВС)</v>
          </cell>
          <cell r="D811">
            <v>28369</v>
          </cell>
          <cell r="E811">
            <v>37741</v>
          </cell>
          <cell r="F811">
            <v>819</v>
          </cell>
          <cell r="G811">
            <v>32417</v>
          </cell>
          <cell r="H811">
            <v>840</v>
          </cell>
          <cell r="I811" t="str">
            <v>деп</v>
          </cell>
          <cell r="J811">
            <v>38290</v>
          </cell>
        </row>
        <row r="812">
          <cell r="A812">
            <v>58730102</v>
          </cell>
          <cell r="B812" t="str">
            <v>КОМПАНИЯ ВОСТОЧН.МЕРИДИАН</v>
          </cell>
          <cell r="C812" t="str">
            <v>МЫС-ЧУРКИН   (ДВС)</v>
          </cell>
          <cell r="D812">
            <v>28369</v>
          </cell>
          <cell r="E812">
            <v>37741</v>
          </cell>
          <cell r="F812">
            <v>819</v>
          </cell>
          <cell r="G812">
            <v>32417</v>
          </cell>
          <cell r="H812">
            <v>840</v>
          </cell>
          <cell r="I812" t="str">
            <v>деп</v>
          </cell>
          <cell r="J812">
            <v>38290</v>
          </cell>
        </row>
        <row r="813">
          <cell r="A813">
            <v>58730110</v>
          </cell>
          <cell r="B813" t="str">
            <v>КОМПАНИЯ ВОСТОЧН.МЕРИДИАН</v>
          </cell>
          <cell r="C813" t="str">
            <v>МЫС-ЧУРКИН   (ДВС)</v>
          </cell>
          <cell r="D813">
            <v>28369</v>
          </cell>
          <cell r="E813">
            <v>37741</v>
          </cell>
          <cell r="F813">
            <v>819</v>
          </cell>
          <cell r="G813">
            <v>32417</v>
          </cell>
          <cell r="H813">
            <v>840</v>
          </cell>
          <cell r="I813" t="str">
            <v>деп</v>
          </cell>
          <cell r="J813">
            <v>38290</v>
          </cell>
        </row>
        <row r="814">
          <cell r="A814">
            <v>58730128</v>
          </cell>
          <cell r="B814" t="str">
            <v>КОМПАНИЯ ВОСТОЧН.МЕРИДИАН</v>
          </cell>
          <cell r="C814" t="str">
            <v>МЫС-ЧУРКИН   (ДВС)</v>
          </cell>
          <cell r="D814">
            <v>28399</v>
          </cell>
          <cell r="E814">
            <v>37741</v>
          </cell>
          <cell r="F814">
            <v>819</v>
          </cell>
          <cell r="G814">
            <v>32426</v>
          </cell>
          <cell r="H814">
            <v>840</v>
          </cell>
          <cell r="I814" t="str">
            <v>деп</v>
          </cell>
          <cell r="J814">
            <v>38290</v>
          </cell>
        </row>
        <row r="815">
          <cell r="A815">
            <v>58730136</v>
          </cell>
          <cell r="B815" t="str">
            <v>КОМПАНИЯ ВОСТОЧН.МЕРИДИАН</v>
          </cell>
          <cell r="C815" t="str">
            <v>МЫС-ЧУРКИН   (ДВС)</v>
          </cell>
          <cell r="D815">
            <v>28399</v>
          </cell>
          <cell r="E815">
            <v>37741</v>
          </cell>
          <cell r="F815">
            <v>819</v>
          </cell>
          <cell r="G815">
            <v>32426</v>
          </cell>
          <cell r="H815">
            <v>840</v>
          </cell>
          <cell r="I815" t="str">
            <v>деп</v>
          </cell>
          <cell r="J815">
            <v>38290</v>
          </cell>
        </row>
        <row r="816">
          <cell r="A816">
            <v>58730144</v>
          </cell>
          <cell r="B816" t="str">
            <v>КОМПАНИЯ ВОСТОЧН.МЕРИДИАН</v>
          </cell>
          <cell r="C816" t="str">
            <v>МЫС-ЧУРКИН   (ДВС)</v>
          </cell>
          <cell r="D816">
            <v>28399</v>
          </cell>
          <cell r="E816">
            <v>37741</v>
          </cell>
          <cell r="F816">
            <v>819</v>
          </cell>
          <cell r="G816">
            <v>32426</v>
          </cell>
          <cell r="H816">
            <v>840</v>
          </cell>
          <cell r="I816" t="str">
            <v>деп</v>
          </cell>
          <cell r="J816">
            <v>38290</v>
          </cell>
        </row>
        <row r="817">
          <cell r="A817">
            <v>58730151</v>
          </cell>
          <cell r="B817" t="str">
            <v>КОМПАНИЯ ВОСТОЧН.МЕРИДИАН</v>
          </cell>
          <cell r="C817" t="str">
            <v>МЫС-ЧУРКИН   (ДВС)</v>
          </cell>
          <cell r="D817">
            <v>28399</v>
          </cell>
          <cell r="E817">
            <v>37741</v>
          </cell>
          <cell r="F817">
            <v>819</v>
          </cell>
          <cell r="G817">
            <v>32426</v>
          </cell>
          <cell r="H817">
            <v>840</v>
          </cell>
          <cell r="I817" t="str">
            <v>деп</v>
          </cell>
          <cell r="J817">
            <v>38290</v>
          </cell>
        </row>
        <row r="818">
          <cell r="A818">
            <v>58730169</v>
          </cell>
          <cell r="B818" t="str">
            <v>КОМПАНИЯ ВОСТОЧН.МЕРИДИАН</v>
          </cell>
          <cell r="C818" t="str">
            <v>МЫС-ЧУРКИН   (ДВС)</v>
          </cell>
          <cell r="D818">
            <v>28369</v>
          </cell>
          <cell r="E818">
            <v>37818</v>
          </cell>
          <cell r="F818">
            <v>163</v>
          </cell>
          <cell r="G818">
            <v>33359</v>
          </cell>
          <cell r="H818">
            <v>840</v>
          </cell>
          <cell r="I818" t="str">
            <v>деп</v>
          </cell>
          <cell r="J818">
            <v>38368</v>
          </cell>
        </row>
        <row r="819">
          <cell r="A819">
            <v>58730177</v>
          </cell>
          <cell r="B819" t="str">
            <v>КОМПАНИЯ ВОСТОЧН.МЕРИДИАН</v>
          </cell>
          <cell r="C819" t="str">
            <v>МЫС-ЧУРКИН   (ДВС)</v>
          </cell>
          <cell r="D819">
            <v>28369</v>
          </cell>
          <cell r="E819">
            <v>37818</v>
          </cell>
          <cell r="F819">
            <v>163</v>
          </cell>
          <cell r="G819">
            <v>33359</v>
          </cell>
          <cell r="H819">
            <v>840</v>
          </cell>
          <cell r="I819" t="str">
            <v>деп</v>
          </cell>
          <cell r="J819">
            <v>38368</v>
          </cell>
        </row>
        <row r="820">
          <cell r="A820">
            <v>58730185</v>
          </cell>
          <cell r="B820" t="str">
            <v>КОМПАНИЯ ВОСТОЧН.МЕРИДИАН</v>
          </cell>
          <cell r="C820" t="str">
            <v>МЫС-ЧУРКИН   (ДВС)</v>
          </cell>
          <cell r="D820">
            <v>28369</v>
          </cell>
          <cell r="E820">
            <v>37818</v>
          </cell>
          <cell r="F820">
            <v>163</v>
          </cell>
          <cell r="G820">
            <v>33359</v>
          </cell>
          <cell r="H820">
            <v>840</v>
          </cell>
          <cell r="I820" t="str">
            <v>деп</v>
          </cell>
          <cell r="J820">
            <v>38368</v>
          </cell>
        </row>
        <row r="821">
          <cell r="A821">
            <v>58730193</v>
          </cell>
          <cell r="B821" t="str">
            <v>КОМПАНИЯ ВОСТОЧН.МЕРИДИАН</v>
          </cell>
          <cell r="C821" t="str">
            <v>МЫС-ЧУРКИН   (ДВС)</v>
          </cell>
          <cell r="D821">
            <v>28369</v>
          </cell>
          <cell r="E821">
            <v>37818</v>
          </cell>
          <cell r="F821">
            <v>163</v>
          </cell>
          <cell r="G821">
            <v>33359</v>
          </cell>
          <cell r="H821">
            <v>840</v>
          </cell>
          <cell r="I821" t="str">
            <v>деп</v>
          </cell>
          <cell r="J821">
            <v>38368</v>
          </cell>
        </row>
        <row r="822">
          <cell r="A822">
            <v>58730201</v>
          </cell>
          <cell r="B822" t="str">
            <v>КОМПАНИЯ ВОСТОЧН.МЕРИДИАН</v>
          </cell>
          <cell r="C822" t="str">
            <v>МЫС-ЧУРКИН   (ДВС)</v>
          </cell>
          <cell r="D822">
            <v>28399</v>
          </cell>
          <cell r="E822">
            <v>37918</v>
          </cell>
          <cell r="F822">
            <v>163</v>
          </cell>
          <cell r="G822">
            <v>32143</v>
          </cell>
          <cell r="H822">
            <v>840</v>
          </cell>
          <cell r="I822" t="str">
            <v>деп</v>
          </cell>
          <cell r="J822">
            <v>38466</v>
          </cell>
        </row>
        <row r="823">
          <cell r="A823">
            <v>58730219</v>
          </cell>
          <cell r="B823" t="str">
            <v>КОМПАНИЯ ВОСТОЧН.МЕРИДИАН</v>
          </cell>
          <cell r="C823" t="str">
            <v>МЫС-ЧУРКИН   (ДВС)</v>
          </cell>
          <cell r="D823">
            <v>28399</v>
          </cell>
          <cell r="E823">
            <v>37918</v>
          </cell>
          <cell r="F823">
            <v>163</v>
          </cell>
          <cell r="G823">
            <v>32143</v>
          </cell>
          <cell r="H823">
            <v>840</v>
          </cell>
          <cell r="I823" t="str">
            <v>деп</v>
          </cell>
          <cell r="J823">
            <v>38466</v>
          </cell>
        </row>
        <row r="824">
          <cell r="A824">
            <v>58730227</v>
          </cell>
          <cell r="B824" t="str">
            <v>КОМПАНИЯ ВОСТОЧН.МЕРИДИАН</v>
          </cell>
          <cell r="C824" t="str">
            <v>МЫС-ЧУРКИН   (ДВС)</v>
          </cell>
          <cell r="D824">
            <v>28399</v>
          </cell>
          <cell r="E824">
            <v>37918</v>
          </cell>
          <cell r="F824">
            <v>163</v>
          </cell>
          <cell r="G824">
            <v>32143</v>
          </cell>
          <cell r="H824">
            <v>840</v>
          </cell>
          <cell r="I824" t="str">
            <v>деп</v>
          </cell>
          <cell r="J824">
            <v>38466</v>
          </cell>
        </row>
        <row r="825">
          <cell r="A825">
            <v>58730235</v>
          </cell>
          <cell r="B825" t="str">
            <v>КОМПАНИЯ ВОСТОЧН.МЕРИДИАН</v>
          </cell>
          <cell r="C825" t="str">
            <v>МЫС-ЧУРКИН   (ДВС)</v>
          </cell>
          <cell r="D825">
            <v>28399</v>
          </cell>
          <cell r="E825">
            <v>37918</v>
          </cell>
          <cell r="F825">
            <v>163</v>
          </cell>
          <cell r="G825">
            <v>32143</v>
          </cell>
          <cell r="H825">
            <v>840</v>
          </cell>
          <cell r="I825" t="str">
            <v>деп</v>
          </cell>
          <cell r="J825">
            <v>38466</v>
          </cell>
        </row>
        <row r="826">
          <cell r="A826">
            <v>58730284</v>
          </cell>
          <cell r="B826" t="str">
            <v>КОМПАНИЯ ВОСТОЧН.МЕРИДИАН</v>
          </cell>
          <cell r="C826" t="str">
            <v>МЫС-ЧУРКИН   (ДВС)</v>
          </cell>
          <cell r="D826">
            <v>28430</v>
          </cell>
          <cell r="E826">
            <v>37746</v>
          </cell>
          <cell r="F826">
            <v>163</v>
          </cell>
          <cell r="G826">
            <v>33584</v>
          </cell>
          <cell r="H826">
            <v>840</v>
          </cell>
          <cell r="I826" t="str">
            <v>деп</v>
          </cell>
          <cell r="J826">
            <v>38296</v>
          </cell>
        </row>
        <row r="827">
          <cell r="A827">
            <v>58730292</v>
          </cell>
          <cell r="B827" t="str">
            <v>КОМПАНИЯ ВОСТОЧН.МЕРИДИАН</v>
          </cell>
          <cell r="C827" t="str">
            <v>МЫС-ЧУРКИН   (ДВС)</v>
          </cell>
          <cell r="D827">
            <v>28430</v>
          </cell>
          <cell r="E827">
            <v>37746</v>
          </cell>
          <cell r="F827">
            <v>163</v>
          </cell>
          <cell r="G827">
            <v>33584</v>
          </cell>
          <cell r="H827">
            <v>840</v>
          </cell>
          <cell r="I827" t="str">
            <v>деп</v>
          </cell>
          <cell r="J827">
            <v>38296</v>
          </cell>
        </row>
        <row r="828">
          <cell r="A828">
            <v>58730300</v>
          </cell>
          <cell r="B828" t="str">
            <v>КОМПАНИЯ ВОСТОЧН.МЕРИДИАН</v>
          </cell>
          <cell r="C828" t="str">
            <v>МЫС-ЧУРКИН   (ДВС)</v>
          </cell>
          <cell r="D828">
            <v>28430</v>
          </cell>
          <cell r="E828">
            <v>37746</v>
          </cell>
          <cell r="F828">
            <v>163</v>
          </cell>
          <cell r="G828">
            <v>33584</v>
          </cell>
          <cell r="H828">
            <v>840</v>
          </cell>
          <cell r="I828" t="str">
            <v>деп</v>
          </cell>
          <cell r="J828">
            <v>38296</v>
          </cell>
        </row>
        <row r="829">
          <cell r="A829">
            <v>58730318</v>
          </cell>
          <cell r="B829" t="str">
            <v>КОМПАНИЯ ВОСТОЧН.МЕРИДИАН</v>
          </cell>
          <cell r="C829" t="str">
            <v>МЫС-ЧУРКИН   (ДВС)</v>
          </cell>
          <cell r="D829">
            <v>28430</v>
          </cell>
          <cell r="E829">
            <v>37746</v>
          </cell>
          <cell r="F829">
            <v>163</v>
          </cell>
          <cell r="G829">
            <v>33584</v>
          </cell>
          <cell r="H829">
            <v>840</v>
          </cell>
          <cell r="I829" t="str">
            <v>деп</v>
          </cell>
          <cell r="J829">
            <v>38296</v>
          </cell>
        </row>
        <row r="830">
          <cell r="A830">
            <v>58730326</v>
          </cell>
          <cell r="B830" t="str">
            <v>КОМПАНИЯ ВОСТОЧН.МЕРИДИАН</v>
          </cell>
          <cell r="C830" t="str">
            <v>МЫС-ЧУРКИН   (ДВС)</v>
          </cell>
          <cell r="D830">
            <v>28460</v>
          </cell>
          <cell r="E830">
            <v>37882</v>
          </cell>
          <cell r="F830">
            <v>163</v>
          </cell>
          <cell r="G830">
            <v>37315</v>
          </cell>
          <cell r="H830">
            <v>840</v>
          </cell>
          <cell r="I830" t="str">
            <v>деп</v>
          </cell>
          <cell r="J830">
            <v>38429</v>
          </cell>
        </row>
        <row r="831">
          <cell r="A831">
            <v>58730334</v>
          </cell>
          <cell r="B831" t="str">
            <v>КОМПАНИЯ ВОСТОЧН.МЕРИДИАН</v>
          </cell>
          <cell r="C831" t="str">
            <v>МЫС-ЧУРКИН   (ДВС)</v>
          </cell>
          <cell r="D831">
            <v>28460</v>
          </cell>
          <cell r="E831">
            <v>37882</v>
          </cell>
          <cell r="F831">
            <v>163</v>
          </cell>
          <cell r="G831">
            <v>37315</v>
          </cell>
          <cell r="H831">
            <v>840</v>
          </cell>
          <cell r="I831" t="str">
            <v>деп</v>
          </cell>
          <cell r="J831">
            <v>38429</v>
          </cell>
        </row>
        <row r="832">
          <cell r="A832">
            <v>58730342</v>
          </cell>
          <cell r="B832" t="str">
            <v>КОМПАНИЯ ВОСТОЧН.МЕРИДИАН</v>
          </cell>
          <cell r="C832" t="str">
            <v>МЫС-ЧУРКИН   (ДВС)</v>
          </cell>
          <cell r="D832">
            <v>28460</v>
          </cell>
          <cell r="E832">
            <v>37882</v>
          </cell>
          <cell r="F832">
            <v>163</v>
          </cell>
          <cell r="G832">
            <v>37315</v>
          </cell>
          <cell r="H832">
            <v>840</v>
          </cell>
          <cell r="I832" t="str">
            <v>деп</v>
          </cell>
          <cell r="J832">
            <v>38429</v>
          </cell>
        </row>
        <row r="833">
          <cell r="A833">
            <v>58730359</v>
          </cell>
          <cell r="B833" t="str">
            <v>КОМПАНИЯ ВОСТОЧН.МЕРИДИАН</v>
          </cell>
          <cell r="C833" t="str">
            <v>МЫС-ЧУРКИН   (ДВС)</v>
          </cell>
          <cell r="D833">
            <v>28460</v>
          </cell>
          <cell r="E833">
            <v>37882</v>
          </cell>
          <cell r="F833">
            <v>163</v>
          </cell>
          <cell r="G833">
            <v>37315</v>
          </cell>
          <cell r="H833">
            <v>840</v>
          </cell>
          <cell r="I833" t="str">
            <v>деп</v>
          </cell>
          <cell r="J833">
            <v>38429</v>
          </cell>
        </row>
        <row r="834">
          <cell r="A834">
            <v>58741158</v>
          </cell>
          <cell r="B834" t="str">
            <v>КОМПАНИЯ ВОСТОЧН.МЕРИДИАН</v>
          </cell>
          <cell r="C834" t="str">
            <v>МЫС-ЧУРКИН   (ДВС)</v>
          </cell>
          <cell r="D834">
            <v>32078</v>
          </cell>
          <cell r="E834">
            <v>34090</v>
          </cell>
          <cell r="F834">
            <v>0</v>
          </cell>
          <cell r="G834">
            <v>37772</v>
          </cell>
          <cell r="H834">
            <v>557</v>
          </cell>
          <cell r="I834" t="str">
            <v>деп</v>
          </cell>
          <cell r="J834">
            <v>38321</v>
          </cell>
        </row>
        <row r="835">
          <cell r="A835">
            <v>58741166</v>
          </cell>
          <cell r="B835" t="str">
            <v>КОМПАНИЯ ВОСТОЧН.МЕРИДИАН</v>
          </cell>
          <cell r="C835" t="str">
            <v>МЫС-ЧУРКИН   (ДВС)</v>
          </cell>
          <cell r="D835">
            <v>32078</v>
          </cell>
          <cell r="E835">
            <v>34090</v>
          </cell>
          <cell r="F835">
            <v>0</v>
          </cell>
          <cell r="G835">
            <v>37772</v>
          </cell>
          <cell r="H835">
            <v>557</v>
          </cell>
          <cell r="I835" t="str">
            <v>деп</v>
          </cell>
          <cell r="J835">
            <v>38321</v>
          </cell>
        </row>
        <row r="836">
          <cell r="A836">
            <v>58741174</v>
          </cell>
          <cell r="B836" t="str">
            <v>КОМПАНИЯ ВОСТОЧН.МЕРИДИАН</v>
          </cell>
          <cell r="C836" t="str">
            <v>МЫС-ЧУРКИН   (ДВС)</v>
          </cell>
          <cell r="D836">
            <v>32078</v>
          </cell>
          <cell r="E836">
            <v>34090</v>
          </cell>
          <cell r="F836">
            <v>0</v>
          </cell>
          <cell r="G836">
            <v>37772</v>
          </cell>
          <cell r="H836">
            <v>557</v>
          </cell>
          <cell r="I836" t="str">
            <v>деп</v>
          </cell>
          <cell r="J836">
            <v>38321</v>
          </cell>
        </row>
        <row r="837">
          <cell r="A837">
            <v>58741182</v>
          </cell>
          <cell r="B837" t="str">
            <v>КОМПАНИЯ ВОСТОЧН.МЕРИДИАН</v>
          </cell>
          <cell r="C837" t="str">
            <v>МЫС-ЧУРКИН   (ДВС)</v>
          </cell>
          <cell r="D837">
            <v>32078</v>
          </cell>
          <cell r="E837">
            <v>34090</v>
          </cell>
          <cell r="F837">
            <v>0</v>
          </cell>
          <cell r="G837">
            <v>37772</v>
          </cell>
          <cell r="H837">
            <v>557</v>
          </cell>
          <cell r="I837" t="str">
            <v>деп</v>
          </cell>
          <cell r="J837">
            <v>38321</v>
          </cell>
        </row>
        <row r="838">
          <cell r="A838">
            <v>58741836</v>
          </cell>
          <cell r="B838" t="str">
            <v>КОМПАНИЯ ВОСТОЧН.МЕРИДИАН</v>
          </cell>
          <cell r="C838" t="str">
            <v>МЫС-ЧУРКИН   (ДВС)</v>
          </cell>
          <cell r="D838">
            <v>33931</v>
          </cell>
          <cell r="E838">
            <v>37921</v>
          </cell>
          <cell r="F838">
            <v>163</v>
          </cell>
          <cell r="H838">
            <v>0</v>
          </cell>
          <cell r="I838" t="str">
            <v>деп</v>
          </cell>
          <cell r="J838">
            <v>38469</v>
          </cell>
        </row>
        <row r="839">
          <cell r="A839">
            <v>58741844</v>
          </cell>
          <cell r="B839" t="str">
            <v>КОМПАНИЯ ВОСТОЧН.МЕРИДИАН</v>
          </cell>
          <cell r="C839" t="str">
            <v>МЫС-ЧУРКИН   (ДВС)</v>
          </cell>
          <cell r="D839">
            <v>33938</v>
          </cell>
          <cell r="E839">
            <v>37921</v>
          </cell>
          <cell r="F839">
            <v>163</v>
          </cell>
          <cell r="H839">
            <v>0</v>
          </cell>
          <cell r="I839" t="str">
            <v>деп</v>
          </cell>
          <cell r="J839">
            <v>38469</v>
          </cell>
        </row>
        <row r="840">
          <cell r="A840">
            <v>58741851</v>
          </cell>
          <cell r="B840" t="str">
            <v>КОМПАНИЯ ВОСТОЧН.МЕРИДИАН</v>
          </cell>
          <cell r="C840" t="str">
            <v>МЫС-ЧУРКИН   (ДВС)</v>
          </cell>
          <cell r="D840">
            <v>33984</v>
          </cell>
          <cell r="E840">
            <v>37921</v>
          </cell>
          <cell r="F840">
            <v>163</v>
          </cell>
          <cell r="H840">
            <v>0</v>
          </cell>
          <cell r="I840" t="str">
            <v>деп</v>
          </cell>
          <cell r="J840">
            <v>38469</v>
          </cell>
        </row>
        <row r="841">
          <cell r="A841">
            <v>58741869</v>
          </cell>
          <cell r="B841" t="str">
            <v>КОМПАНИЯ ВОСТОЧН.МЕРИДИАН</v>
          </cell>
          <cell r="C841" t="str">
            <v>МЫС-ЧУРКИН   (ДВС)</v>
          </cell>
          <cell r="D841">
            <v>33998</v>
          </cell>
          <cell r="E841">
            <v>37921</v>
          </cell>
          <cell r="F841">
            <v>163</v>
          </cell>
          <cell r="H841">
            <v>0</v>
          </cell>
          <cell r="I841" t="str">
            <v>деп</v>
          </cell>
          <cell r="J841">
            <v>38469</v>
          </cell>
        </row>
        <row r="842">
          <cell r="B842" t="str">
            <v>КОМПАНИЯ ВОСТОЧН.МЕРИДИАН Количество</v>
          </cell>
          <cell r="D842">
            <v>72</v>
          </cell>
        </row>
        <row r="843">
          <cell r="A843">
            <v>58720046</v>
          </cell>
          <cell r="B843" t="str">
            <v>КОМ-ФРИГО МУП</v>
          </cell>
          <cell r="C843" t="str">
            <v>ОРДЖОНИКИДЗЕ (МСK)</v>
          </cell>
          <cell r="D843">
            <v>33664</v>
          </cell>
          <cell r="F843">
            <v>0</v>
          </cell>
          <cell r="H843">
            <v>0</v>
          </cell>
        </row>
        <row r="844">
          <cell r="A844">
            <v>58720053</v>
          </cell>
          <cell r="B844" t="str">
            <v>КОМ-ФРИГО МУП</v>
          </cell>
          <cell r="C844" t="str">
            <v>ОРДЖОНИКИДЗЕ (МСK)</v>
          </cell>
          <cell r="D844">
            <v>33664</v>
          </cell>
          <cell r="F844">
            <v>0</v>
          </cell>
          <cell r="H844">
            <v>0</v>
          </cell>
        </row>
        <row r="845">
          <cell r="A845">
            <v>58720079</v>
          </cell>
          <cell r="B845" t="str">
            <v>КОМ-ФРИГО МУП</v>
          </cell>
          <cell r="C845" t="str">
            <v>ОРДЖОНИКИДЗЕ (МСK)</v>
          </cell>
          <cell r="D845">
            <v>33664</v>
          </cell>
          <cell r="F845">
            <v>0</v>
          </cell>
          <cell r="H845">
            <v>0</v>
          </cell>
        </row>
        <row r="846">
          <cell r="A846">
            <v>58720087</v>
          </cell>
          <cell r="B846" t="str">
            <v>КОМ-ФРИГО МУП</v>
          </cell>
          <cell r="C846" t="str">
            <v>ОРДЖОНИКИДЗЕ (МСK)</v>
          </cell>
          <cell r="D846">
            <v>33664</v>
          </cell>
          <cell r="F846">
            <v>0</v>
          </cell>
          <cell r="H846">
            <v>0</v>
          </cell>
        </row>
        <row r="847">
          <cell r="A847">
            <v>58720103</v>
          </cell>
          <cell r="B847" t="str">
            <v>КОМ-ФРИГО МУП</v>
          </cell>
          <cell r="C847" t="str">
            <v>ОРДЖОНИКИДЗЕ (МСK)</v>
          </cell>
          <cell r="D847">
            <v>33664</v>
          </cell>
          <cell r="F847">
            <v>0</v>
          </cell>
          <cell r="H847">
            <v>0</v>
          </cell>
        </row>
        <row r="848">
          <cell r="A848">
            <v>58720111</v>
          </cell>
          <cell r="B848" t="str">
            <v>КОМ-ФРИГО МУП</v>
          </cell>
          <cell r="C848" t="str">
            <v>ОРДЖОНИКИДЗЕ (МСK)</v>
          </cell>
          <cell r="D848">
            <v>33664</v>
          </cell>
          <cell r="F848">
            <v>0</v>
          </cell>
          <cell r="H848">
            <v>0</v>
          </cell>
        </row>
        <row r="849">
          <cell r="A849">
            <v>58720129</v>
          </cell>
          <cell r="B849" t="str">
            <v>КОМ-ФРИГО МУП</v>
          </cell>
          <cell r="C849" t="str">
            <v>ОРДЖОНИКИДЗЕ (МСK)</v>
          </cell>
          <cell r="D849">
            <v>33664</v>
          </cell>
          <cell r="F849">
            <v>0</v>
          </cell>
          <cell r="H849">
            <v>0</v>
          </cell>
        </row>
        <row r="850">
          <cell r="A850">
            <v>58720137</v>
          </cell>
          <cell r="B850" t="str">
            <v>КОМ-ФРИГО МУП</v>
          </cell>
          <cell r="C850" t="str">
            <v>ОРДЖОНИКИДЗЕ (МСK)</v>
          </cell>
          <cell r="D850">
            <v>33664</v>
          </cell>
          <cell r="F850">
            <v>0</v>
          </cell>
          <cell r="H850">
            <v>0</v>
          </cell>
        </row>
        <row r="851">
          <cell r="A851">
            <v>58720145</v>
          </cell>
          <cell r="B851" t="str">
            <v>КОМ-ФРИГО МУП</v>
          </cell>
          <cell r="C851" t="str">
            <v>ОРДЖОНИКИДЗЕ (МСK)</v>
          </cell>
          <cell r="D851">
            <v>33664</v>
          </cell>
          <cell r="F851">
            <v>0</v>
          </cell>
          <cell r="H851">
            <v>0</v>
          </cell>
        </row>
        <row r="852">
          <cell r="B852" t="str">
            <v>КОМ-ФРИГО МУП Количество</v>
          </cell>
          <cell r="D852">
            <v>9</v>
          </cell>
        </row>
        <row r="853">
          <cell r="A853">
            <v>53702205</v>
          </cell>
          <cell r="B853" t="str">
            <v>КОНДИНСКИЙ КЛПК</v>
          </cell>
          <cell r="C853" t="str">
            <v>УСТЬЕ-АХА    (СВР)</v>
          </cell>
          <cell r="D853">
            <v>33604</v>
          </cell>
        </row>
        <row r="854">
          <cell r="A854">
            <v>58720004</v>
          </cell>
          <cell r="B854" t="str">
            <v>КОНДИНСКИЙ КЛПК</v>
          </cell>
          <cell r="C854" t="str">
            <v>УСТЬЕ-АХА    (СВР)</v>
          </cell>
          <cell r="D854">
            <v>33604</v>
          </cell>
        </row>
        <row r="855">
          <cell r="A855">
            <v>58720012</v>
          </cell>
          <cell r="B855" t="str">
            <v>КОНДИНСКИЙ КЛПК</v>
          </cell>
          <cell r="C855" t="str">
            <v>УСТЬЕ-АХА    (СВР)</v>
          </cell>
          <cell r="D855">
            <v>33604</v>
          </cell>
        </row>
        <row r="856">
          <cell r="A856">
            <v>58720020</v>
          </cell>
          <cell r="B856" t="str">
            <v>КОНДИНСКИЙ КЛПК</v>
          </cell>
          <cell r="C856" t="str">
            <v>УСТЬЕ-АХА    (СВР)</v>
          </cell>
          <cell r="D856">
            <v>33604</v>
          </cell>
        </row>
        <row r="857">
          <cell r="A857">
            <v>58720038</v>
          </cell>
          <cell r="B857" t="str">
            <v>КОНДИНСКИЙ КЛПК</v>
          </cell>
          <cell r="C857" t="str">
            <v>УСТЬЕ-АХА    (СВР)</v>
          </cell>
          <cell r="D857">
            <v>33604</v>
          </cell>
        </row>
        <row r="858">
          <cell r="B858" t="str">
            <v>КОНДИНСКИЙ КЛПК Количество</v>
          </cell>
          <cell r="D858">
            <v>5</v>
          </cell>
        </row>
        <row r="859">
          <cell r="A859">
            <v>53700407</v>
          </cell>
          <cell r="B859" t="str">
            <v>КОТЛАССКИЙ ЦБК</v>
          </cell>
          <cell r="C859" t="str">
            <v>НИЗОВКА      (СЕВ)</v>
          </cell>
          <cell r="D859">
            <v>33939</v>
          </cell>
          <cell r="E859">
            <v>37547</v>
          </cell>
          <cell r="F859">
            <v>557</v>
          </cell>
          <cell r="I859" t="str">
            <v>деп</v>
          </cell>
          <cell r="J859">
            <v>38643</v>
          </cell>
        </row>
        <row r="860">
          <cell r="A860">
            <v>58335852</v>
          </cell>
          <cell r="B860" t="str">
            <v>КОТЛАССКИЙ ЦБК</v>
          </cell>
          <cell r="C860" t="str">
            <v>НИЗОВКА      (СЕВ)</v>
          </cell>
          <cell r="D860">
            <v>33939</v>
          </cell>
          <cell r="E860">
            <v>37547</v>
          </cell>
          <cell r="F860">
            <v>557</v>
          </cell>
          <cell r="I860" t="str">
            <v>деп</v>
          </cell>
          <cell r="J860">
            <v>38278</v>
          </cell>
        </row>
        <row r="861">
          <cell r="A861">
            <v>58335860</v>
          </cell>
          <cell r="B861" t="str">
            <v>КОТЛАССКИЙ ЦБК</v>
          </cell>
          <cell r="C861" t="str">
            <v>НИЗОВКА      (СЕВ)</v>
          </cell>
          <cell r="D861">
            <v>33939</v>
          </cell>
          <cell r="E861">
            <v>37547</v>
          </cell>
          <cell r="F861">
            <v>557</v>
          </cell>
          <cell r="I861" t="str">
            <v>деп</v>
          </cell>
          <cell r="J861">
            <v>38278</v>
          </cell>
        </row>
        <row r="862">
          <cell r="A862">
            <v>58335878</v>
          </cell>
          <cell r="B862" t="str">
            <v>КОТЛАССКИЙ ЦБК</v>
          </cell>
          <cell r="C862" t="str">
            <v>НИЗОВКА      (СЕВ)</v>
          </cell>
          <cell r="D862">
            <v>33939</v>
          </cell>
          <cell r="E862">
            <v>37547</v>
          </cell>
          <cell r="F862">
            <v>557</v>
          </cell>
          <cell r="I862" t="str">
            <v>деп</v>
          </cell>
          <cell r="J862">
            <v>38278</v>
          </cell>
        </row>
        <row r="863">
          <cell r="A863">
            <v>58335886</v>
          </cell>
          <cell r="B863" t="str">
            <v>КОТЛАССКИЙ ЦБК</v>
          </cell>
          <cell r="C863" t="str">
            <v>НИЗОВКА      (СЕВ)</v>
          </cell>
          <cell r="D863">
            <v>33939</v>
          </cell>
          <cell r="E863">
            <v>37547</v>
          </cell>
          <cell r="F863">
            <v>557</v>
          </cell>
          <cell r="I863" t="str">
            <v>деп</v>
          </cell>
          <cell r="J863">
            <v>38278</v>
          </cell>
        </row>
        <row r="864">
          <cell r="B864" t="str">
            <v>КОТЛАССКИЙ ЦБК Количество</v>
          </cell>
          <cell r="D864">
            <v>5</v>
          </cell>
        </row>
        <row r="865">
          <cell r="A865">
            <v>53402038</v>
          </cell>
          <cell r="B865" t="str">
            <v>КРАСМАШЗАВОД ФГУП</v>
          </cell>
          <cell r="C865" t="str">
            <v>ЗЛОБИНО      (КРС)</v>
          </cell>
          <cell r="D865">
            <v>28491</v>
          </cell>
          <cell r="F865">
            <v>0</v>
          </cell>
          <cell r="H865">
            <v>0</v>
          </cell>
          <cell r="I865" t="str">
            <v>кап</v>
          </cell>
          <cell r="J865">
            <v>32874</v>
          </cell>
        </row>
        <row r="866">
          <cell r="A866">
            <v>53402046</v>
          </cell>
          <cell r="B866" t="str">
            <v>КРАСМАШЗАВОД ФГУП</v>
          </cell>
          <cell r="C866" t="str">
            <v>ЗЛОБИНО      (КРС)</v>
          </cell>
          <cell r="D866">
            <v>28491</v>
          </cell>
          <cell r="F866">
            <v>0</v>
          </cell>
          <cell r="H866">
            <v>0</v>
          </cell>
          <cell r="I866" t="str">
            <v>кап</v>
          </cell>
          <cell r="J866">
            <v>33239</v>
          </cell>
        </row>
        <row r="867">
          <cell r="A867">
            <v>53402053</v>
          </cell>
          <cell r="B867" t="str">
            <v>КРАСМАШЗАВОД ФГУП</v>
          </cell>
          <cell r="C867" t="str">
            <v>ЗЛОБИНО      (КРС)</v>
          </cell>
          <cell r="D867">
            <v>29221</v>
          </cell>
          <cell r="E867">
            <v>38009</v>
          </cell>
          <cell r="F867">
            <v>633</v>
          </cell>
          <cell r="H867">
            <v>0</v>
          </cell>
          <cell r="I867" t="str">
            <v>деп</v>
          </cell>
          <cell r="J867">
            <v>38740</v>
          </cell>
        </row>
        <row r="868">
          <cell r="A868">
            <v>53402061</v>
          </cell>
          <cell r="B868" t="str">
            <v>КРАСМАШЗАВОД ФГУП</v>
          </cell>
          <cell r="C868" t="str">
            <v>ЗЛОБИНО      (КРС)</v>
          </cell>
          <cell r="D868">
            <v>29587</v>
          </cell>
          <cell r="F868">
            <v>0</v>
          </cell>
          <cell r="H868">
            <v>0</v>
          </cell>
          <cell r="I868" t="str">
            <v>кап</v>
          </cell>
          <cell r="J868">
            <v>33239</v>
          </cell>
        </row>
        <row r="869">
          <cell r="A869">
            <v>53402079</v>
          </cell>
          <cell r="B869" t="str">
            <v>КРАСМАШЗАВОД ФГУП</v>
          </cell>
          <cell r="C869" t="str">
            <v>ЗЛОБИНО      (КРС)</v>
          </cell>
          <cell r="D869">
            <v>29587</v>
          </cell>
          <cell r="F869">
            <v>0</v>
          </cell>
          <cell r="H869">
            <v>0</v>
          </cell>
          <cell r="I869" t="str">
            <v>кап</v>
          </cell>
          <cell r="J869">
            <v>33604</v>
          </cell>
        </row>
        <row r="870">
          <cell r="A870">
            <v>53402111</v>
          </cell>
          <cell r="B870" t="str">
            <v>КРАСМАШЗАВОД ФГУП</v>
          </cell>
          <cell r="C870" t="str">
            <v>ЗЛОБИНО      (КРС)</v>
          </cell>
          <cell r="D870">
            <v>32478</v>
          </cell>
          <cell r="F870">
            <v>0</v>
          </cell>
          <cell r="H870">
            <v>0</v>
          </cell>
        </row>
        <row r="871">
          <cell r="A871">
            <v>53402129</v>
          </cell>
          <cell r="B871" t="str">
            <v>КРАСМАШЗАВОД ФГУП</v>
          </cell>
          <cell r="C871" t="str">
            <v>ЗЛОБИНО      (КРС)</v>
          </cell>
          <cell r="D871">
            <v>32752</v>
          </cell>
          <cell r="F871">
            <v>0</v>
          </cell>
          <cell r="H871">
            <v>0</v>
          </cell>
        </row>
        <row r="872">
          <cell r="A872">
            <v>53402137</v>
          </cell>
          <cell r="B872" t="str">
            <v>КРАСМАШЗАВОД ФГУП</v>
          </cell>
          <cell r="C872" t="str">
            <v>ЗЛОБИНО      (КРС)</v>
          </cell>
          <cell r="D872">
            <v>32478</v>
          </cell>
          <cell r="F872">
            <v>0</v>
          </cell>
          <cell r="H872">
            <v>0</v>
          </cell>
        </row>
        <row r="873">
          <cell r="A873">
            <v>53402145</v>
          </cell>
          <cell r="B873" t="str">
            <v>КРАСМАШЗАВОД ФГУП</v>
          </cell>
          <cell r="C873" t="str">
            <v>ЗЛОБИНО      (КРС)</v>
          </cell>
          <cell r="D873">
            <v>32478</v>
          </cell>
          <cell r="F873">
            <v>0</v>
          </cell>
          <cell r="H873">
            <v>0</v>
          </cell>
        </row>
        <row r="874">
          <cell r="B874" t="str">
            <v>КРАСМАШЗАВОД ФГУП Количество</v>
          </cell>
          <cell r="D874">
            <v>9</v>
          </cell>
        </row>
        <row r="875">
          <cell r="A875">
            <v>53402012</v>
          </cell>
          <cell r="B875" t="str">
            <v>КУБАНЬДОРБЛАГОУСТРОЙСТВО</v>
          </cell>
          <cell r="C875" t="str">
            <v>КРАСНОДАР 2  (СКВ)</v>
          </cell>
          <cell r="D875">
            <v>30773</v>
          </cell>
          <cell r="E875">
            <v>37953</v>
          </cell>
          <cell r="F875">
            <v>555</v>
          </cell>
          <cell r="G875">
            <v>34547</v>
          </cell>
          <cell r="H875">
            <v>0</v>
          </cell>
          <cell r="I875" t="str">
            <v>деп</v>
          </cell>
          <cell r="J875">
            <v>38684</v>
          </cell>
        </row>
        <row r="876">
          <cell r="A876">
            <v>53700035</v>
          </cell>
          <cell r="B876" t="str">
            <v>КУБАНЬДОРБЛАГОУСТРОЙСТВО</v>
          </cell>
          <cell r="C876" t="str">
            <v>КРАСНОДАР 2  (СКВ)</v>
          </cell>
          <cell r="D876">
            <v>23651</v>
          </cell>
          <cell r="E876">
            <v>37028</v>
          </cell>
          <cell r="F876">
            <v>565</v>
          </cell>
          <cell r="G876">
            <v>36320</v>
          </cell>
          <cell r="H876">
            <v>565</v>
          </cell>
          <cell r="I876" t="str">
            <v>деп</v>
          </cell>
          <cell r="J876">
            <v>38124</v>
          </cell>
        </row>
        <row r="877">
          <cell r="A877">
            <v>53700043</v>
          </cell>
          <cell r="B877" t="str">
            <v>КУБАНЬДОРБЛАГОУСТРОЙСТВО</v>
          </cell>
          <cell r="C877" t="str">
            <v>КРАСНОДАР 2  (СКВ)</v>
          </cell>
          <cell r="D877">
            <v>23682</v>
          </cell>
          <cell r="E877">
            <v>37010</v>
          </cell>
          <cell r="F877">
            <v>565</v>
          </cell>
          <cell r="G877">
            <v>36342</v>
          </cell>
          <cell r="H877">
            <v>0</v>
          </cell>
          <cell r="I877" t="str">
            <v>деп</v>
          </cell>
          <cell r="J877">
            <v>38106</v>
          </cell>
        </row>
        <row r="878">
          <cell r="B878" t="str">
            <v>КУБАНЬДОРБЛАГОУСТРОЙСТВО Количество</v>
          </cell>
          <cell r="D878">
            <v>3</v>
          </cell>
        </row>
        <row r="879">
          <cell r="A879">
            <v>58728197</v>
          </cell>
          <cell r="B879" t="str">
            <v>КУРЬЕР</v>
          </cell>
          <cell r="C879" t="str">
            <v>ТОМСК2       (ЗСБ)</v>
          </cell>
          <cell r="D879">
            <v>33055</v>
          </cell>
          <cell r="F879">
            <v>0</v>
          </cell>
          <cell r="H879">
            <v>0</v>
          </cell>
          <cell r="I879" t="str">
            <v>деп</v>
          </cell>
          <cell r="J879">
            <v>33970</v>
          </cell>
        </row>
        <row r="880">
          <cell r="B880" t="str">
            <v>КУРЬЕР Количество</v>
          </cell>
          <cell r="D880">
            <v>1</v>
          </cell>
        </row>
        <row r="881">
          <cell r="A881">
            <v>58336892</v>
          </cell>
          <cell r="B881" t="str">
            <v>ЛАМИНА</v>
          </cell>
          <cell r="C881" t="str">
            <v>УССУРИЙСК    (ДВС)</v>
          </cell>
          <cell r="D881">
            <v>29646</v>
          </cell>
          <cell r="E881">
            <v>37925</v>
          </cell>
          <cell r="F881">
            <v>163</v>
          </cell>
          <cell r="G881">
            <v>33970</v>
          </cell>
          <cell r="H881">
            <v>0</v>
          </cell>
          <cell r="I881" t="str">
            <v>деп</v>
          </cell>
          <cell r="J881">
            <v>38472</v>
          </cell>
        </row>
        <row r="882">
          <cell r="A882">
            <v>58337551</v>
          </cell>
          <cell r="B882" t="str">
            <v>ЛАМИНА</v>
          </cell>
          <cell r="C882" t="str">
            <v>УССУРИЙСК    (ДВС)</v>
          </cell>
          <cell r="D882">
            <v>30042</v>
          </cell>
          <cell r="E882">
            <v>37833</v>
          </cell>
          <cell r="F882">
            <v>163</v>
          </cell>
          <cell r="G882">
            <v>33970</v>
          </cell>
          <cell r="H882">
            <v>0</v>
          </cell>
          <cell r="I882" t="str">
            <v>деп</v>
          </cell>
          <cell r="J882">
            <v>38383</v>
          </cell>
        </row>
        <row r="883">
          <cell r="A883">
            <v>58337569</v>
          </cell>
          <cell r="B883" t="str">
            <v>ЛАМИНА</v>
          </cell>
          <cell r="C883" t="str">
            <v>УССУРИЙСК    (ДВС)</v>
          </cell>
          <cell r="D883">
            <v>29007</v>
          </cell>
          <cell r="E883">
            <v>37925</v>
          </cell>
          <cell r="F883">
            <v>163</v>
          </cell>
          <cell r="G883">
            <v>32874</v>
          </cell>
          <cell r="H883">
            <v>0</v>
          </cell>
          <cell r="I883" t="str">
            <v>деп</v>
          </cell>
          <cell r="J883">
            <v>38472</v>
          </cell>
        </row>
        <row r="884">
          <cell r="A884">
            <v>58337791</v>
          </cell>
          <cell r="B884" t="str">
            <v>ЛАМИНА</v>
          </cell>
          <cell r="C884" t="str">
            <v>УССУРИЙСК    (ДВС)</v>
          </cell>
          <cell r="D884">
            <v>29007</v>
          </cell>
          <cell r="E884">
            <v>38016</v>
          </cell>
          <cell r="F884">
            <v>163</v>
          </cell>
          <cell r="G884">
            <v>32509</v>
          </cell>
          <cell r="H884">
            <v>1097</v>
          </cell>
          <cell r="I884" t="str">
            <v>деп</v>
          </cell>
          <cell r="J884">
            <v>38563</v>
          </cell>
        </row>
        <row r="885">
          <cell r="A885">
            <v>58337890</v>
          </cell>
          <cell r="B885" t="str">
            <v>ЛАМИНА</v>
          </cell>
          <cell r="C885" t="str">
            <v>УССУРИЙСК    (ДВС)</v>
          </cell>
          <cell r="D885">
            <v>29007</v>
          </cell>
          <cell r="E885">
            <v>38012</v>
          </cell>
          <cell r="F885">
            <v>163</v>
          </cell>
          <cell r="G885">
            <v>32509</v>
          </cell>
          <cell r="H885">
            <v>0</v>
          </cell>
          <cell r="I885" t="str">
            <v>деп</v>
          </cell>
          <cell r="J885">
            <v>38559</v>
          </cell>
        </row>
        <row r="886">
          <cell r="B886" t="str">
            <v>ЛАМИНА Количество</v>
          </cell>
          <cell r="D886">
            <v>5</v>
          </cell>
        </row>
        <row r="887">
          <cell r="A887">
            <v>53702486</v>
          </cell>
          <cell r="B887" t="str">
            <v>ЛИТЕР</v>
          </cell>
          <cell r="C887" t="str">
            <v>БАЛАШИХА     (МСK)</v>
          </cell>
          <cell r="D887">
            <v>34090</v>
          </cell>
          <cell r="E887">
            <v>37463</v>
          </cell>
          <cell r="F887">
            <v>886</v>
          </cell>
          <cell r="H887">
            <v>0</v>
          </cell>
          <cell r="I887" t="str">
            <v>деп</v>
          </cell>
          <cell r="J887">
            <v>38559</v>
          </cell>
        </row>
        <row r="888">
          <cell r="A888">
            <v>53706222</v>
          </cell>
          <cell r="B888" t="str">
            <v>ЛИТЕР</v>
          </cell>
          <cell r="C888" t="str">
            <v>БАДАЕВСКАЯ   (ОКТ)</v>
          </cell>
          <cell r="D888">
            <v>33442</v>
          </cell>
          <cell r="E888">
            <v>37481</v>
          </cell>
          <cell r="F888">
            <v>886</v>
          </cell>
          <cell r="H888">
            <v>0</v>
          </cell>
          <cell r="I888" t="str">
            <v>деп</v>
          </cell>
          <cell r="J888">
            <v>38030</v>
          </cell>
        </row>
        <row r="889">
          <cell r="A889">
            <v>53706289</v>
          </cell>
          <cell r="B889" t="str">
            <v>ЛИТЕР</v>
          </cell>
          <cell r="C889" t="str">
            <v>БАДАЕВСКАЯ   (ОКТ)</v>
          </cell>
          <cell r="D889">
            <v>33390</v>
          </cell>
          <cell r="E889">
            <v>37560</v>
          </cell>
          <cell r="F889">
            <v>886</v>
          </cell>
          <cell r="H889">
            <v>0</v>
          </cell>
          <cell r="I889" t="str">
            <v>деп</v>
          </cell>
          <cell r="J889">
            <v>38107</v>
          </cell>
        </row>
        <row r="890">
          <cell r="A890">
            <v>53706412</v>
          </cell>
          <cell r="B890" t="str">
            <v>ЛИТЕР</v>
          </cell>
          <cell r="C890" t="str">
            <v>БАДАЕВСКАЯ   (ОКТ)</v>
          </cell>
          <cell r="D890">
            <v>33373</v>
          </cell>
          <cell r="F890">
            <v>0</v>
          </cell>
          <cell r="G890">
            <v>37680</v>
          </cell>
          <cell r="H890">
            <v>886</v>
          </cell>
          <cell r="I890" t="str">
            <v>деп</v>
          </cell>
          <cell r="J890">
            <v>38227</v>
          </cell>
        </row>
        <row r="891">
          <cell r="A891">
            <v>53706727</v>
          </cell>
          <cell r="B891" t="str">
            <v>ЛИТЕР</v>
          </cell>
          <cell r="C891" t="str">
            <v>БАДАЕВСКАЯ   (ОКТ)</v>
          </cell>
          <cell r="D891">
            <v>30621</v>
          </cell>
          <cell r="E891">
            <v>35844</v>
          </cell>
          <cell r="F891">
            <v>886</v>
          </cell>
          <cell r="G891">
            <v>37875</v>
          </cell>
          <cell r="H891">
            <v>886</v>
          </cell>
          <cell r="I891" t="str">
            <v>деп</v>
          </cell>
          <cell r="J891">
            <v>38422</v>
          </cell>
        </row>
        <row r="892">
          <cell r="A892">
            <v>58721028</v>
          </cell>
          <cell r="B892" t="str">
            <v>ЛИТЕР</v>
          </cell>
          <cell r="C892" t="str">
            <v>БАЛАШИХА     (МСK)</v>
          </cell>
          <cell r="D892">
            <v>34090</v>
          </cell>
          <cell r="E892">
            <v>37463</v>
          </cell>
          <cell r="F892">
            <v>886</v>
          </cell>
          <cell r="H892">
            <v>0</v>
          </cell>
          <cell r="I892" t="str">
            <v>деп</v>
          </cell>
          <cell r="J892">
            <v>38194</v>
          </cell>
        </row>
        <row r="893">
          <cell r="A893">
            <v>58721036</v>
          </cell>
          <cell r="B893" t="str">
            <v>ЛИТЕР</v>
          </cell>
          <cell r="C893" t="str">
            <v>БАЛАШИХА     (МСK)</v>
          </cell>
          <cell r="D893">
            <v>34090</v>
          </cell>
          <cell r="E893">
            <v>37463</v>
          </cell>
          <cell r="F893">
            <v>886</v>
          </cell>
          <cell r="H893">
            <v>0</v>
          </cell>
          <cell r="I893" t="str">
            <v>деп</v>
          </cell>
          <cell r="J893">
            <v>38194</v>
          </cell>
        </row>
        <row r="894">
          <cell r="A894">
            <v>58721051</v>
          </cell>
          <cell r="B894" t="str">
            <v>ЛИТЕР</v>
          </cell>
          <cell r="C894" t="str">
            <v>БАЛАШИХА     (МСK)</v>
          </cell>
          <cell r="D894">
            <v>34090</v>
          </cell>
          <cell r="E894">
            <v>37463</v>
          </cell>
          <cell r="F894">
            <v>886</v>
          </cell>
          <cell r="H894">
            <v>0</v>
          </cell>
          <cell r="I894" t="str">
            <v>деп</v>
          </cell>
          <cell r="J894">
            <v>38194</v>
          </cell>
        </row>
        <row r="895">
          <cell r="A895">
            <v>58725730</v>
          </cell>
          <cell r="B895" t="str">
            <v>ЛИТЕР</v>
          </cell>
          <cell r="C895" t="str">
            <v>БАЛАШИХА     (МСK)</v>
          </cell>
          <cell r="D895">
            <v>34090</v>
          </cell>
          <cell r="E895">
            <v>37463</v>
          </cell>
          <cell r="F895">
            <v>886</v>
          </cell>
          <cell r="H895">
            <v>0</v>
          </cell>
          <cell r="I895" t="str">
            <v>деп</v>
          </cell>
          <cell r="J895">
            <v>38194</v>
          </cell>
        </row>
        <row r="896">
          <cell r="A896">
            <v>58726498</v>
          </cell>
          <cell r="B896" t="str">
            <v>ЛИТЕР</v>
          </cell>
          <cell r="C896" t="str">
            <v>БАДАЕВСКАЯ   (ОКТ)</v>
          </cell>
          <cell r="D896">
            <v>33401</v>
          </cell>
          <cell r="E896">
            <v>37481</v>
          </cell>
          <cell r="F896">
            <v>886</v>
          </cell>
          <cell r="H896">
            <v>0</v>
          </cell>
          <cell r="I896" t="str">
            <v>деп</v>
          </cell>
          <cell r="J896">
            <v>38030</v>
          </cell>
        </row>
        <row r="897">
          <cell r="A897">
            <v>58726597</v>
          </cell>
          <cell r="B897" t="str">
            <v>ЛИТЕР</v>
          </cell>
          <cell r="C897" t="str">
            <v>БАДАЕВСКАЯ   (ОКТ)</v>
          </cell>
          <cell r="D897">
            <v>33406</v>
          </cell>
          <cell r="E897">
            <v>37481</v>
          </cell>
          <cell r="F897">
            <v>886</v>
          </cell>
          <cell r="H897">
            <v>0</v>
          </cell>
          <cell r="I897" t="str">
            <v>деп</v>
          </cell>
          <cell r="J897">
            <v>38030</v>
          </cell>
        </row>
        <row r="898">
          <cell r="A898">
            <v>58726696</v>
          </cell>
          <cell r="B898" t="str">
            <v>ЛИТЕР</v>
          </cell>
          <cell r="C898" t="str">
            <v>БАДАЕВСКАЯ   (ОКТ)</v>
          </cell>
          <cell r="D898">
            <v>33459</v>
          </cell>
          <cell r="E898">
            <v>37481</v>
          </cell>
          <cell r="F898">
            <v>886</v>
          </cell>
          <cell r="H898">
            <v>0</v>
          </cell>
          <cell r="I898" t="str">
            <v>деп</v>
          </cell>
          <cell r="J898">
            <v>38030</v>
          </cell>
        </row>
        <row r="899">
          <cell r="A899">
            <v>58726795</v>
          </cell>
          <cell r="B899" t="str">
            <v>ЛИТЕР</v>
          </cell>
          <cell r="C899" t="str">
            <v>БАДАЕВСКАЯ   (ОКТ)</v>
          </cell>
          <cell r="D899">
            <v>33464</v>
          </cell>
          <cell r="E899">
            <v>37481</v>
          </cell>
          <cell r="F899">
            <v>886</v>
          </cell>
          <cell r="H899">
            <v>0</v>
          </cell>
          <cell r="I899" t="str">
            <v>деп</v>
          </cell>
          <cell r="J899">
            <v>38030</v>
          </cell>
        </row>
        <row r="900">
          <cell r="A900">
            <v>58727793</v>
          </cell>
          <cell r="B900" t="str">
            <v>ЛИТЕР</v>
          </cell>
          <cell r="C900" t="str">
            <v>БАДАЕВСКАЯ   (ОКТ)</v>
          </cell>
          <cell r="D900">
            <v>33390</v>
          </cell>
          <cell r="E900">
            <v>38008</v>
          </cell>
          <cell r="F900">
            <v>886</v>
          </cell>
          <cell r="H900">
            <v>0</v>
          </cell>
          <cell r="I900" t="str">
            <v>деп</v>
          </cell>
          <cell r="J900">
            <v>38555</v>
          </cell>
        </row>
        <row r="901">
          <cell r="A901">
            <v>58727892</v>
          </cell>
          <cell r="B901" t="str">
            <v>ЛИТЕР</v>
          </cell>
          <cell r="C901" t="str">
            <v>БАДАЕВСКАЯ   (ОКТ)</v>
          </cell>
          <cell r="D901">
            <v>33390</v>
          </cell>
          <cell r="E901">
            <v>38008</v>
          </cell>
          <cell r="F901">
            <v>886</v>
          </cell>
          <cell r="H901">
            <v>0</v>
          </cell>
          <cell r="I901" t="str">
            <v>деп</v>
          </cell>
          <cell r="J901">
            <v>38555</v>
          </cell>
        </row>
        <row r="902">
          <cell r="A902">
            <v>58727991</v>
          </cell>
          <cell r="B902" t="str">
            <v>ЛИТЕР</v>
          </cell>
          <cell r="C902" t="str">
            <v>БАДАЕВСКАЯ   (ОКТ)</v>
          </cell>
          <cell r="D902">
            <v>33390</v>
          </cell>
          <cell r="E902">
            <v>38008</v>
          </cell>
          <cell r="F902">
            <v>886</v>
          </cell>
          <cell r="H902">
            <v>0</v>
          </cell>
          <cell r="I902" t="str">
            <v>деп</v>
          </cell>
          <cell r="J902">
            <v>38555</v>
          </cell>
        </row>
        <row r="903">
          <cell r="A903">
            <v>58728098</v>
          </cell>
          <cell r="B903" t="str">
            <v>ЛИТЕР</v>
          </cell>
          <cell r="C903" t="str">
            <v>БАДАЕВСКАЯ   (ОКТ)</v>
          </cell>
          <cell r="D903">
            <v>33390</v>
          </cell>
          <cell r="E903">
            <v>38008</v>
          </cell>
          <cell r="F903">
            <v>886</v>
          </cell>
          <cell r="H903">
            <v>0</v>
          </cell>
          <cell r="I903" t="str">
            <v>деп</v>
          </cell>
          <cell r="J903">
            <v>38555</v>
          </cell>
        </row>
        <row r="904">
          <cell r="A904">
            <v>58740432</v>
          </cell>
          <cell r="B904" t="str">
            <v>ЛИТЕР</v>
          </cell>
          <cell r="C904" t="str">
            <v>БАДАЕВСКАЯ   (ОКТ)</v>
          </cell>
          <cell r="D904">
            <v>33390</v>
          </cell>
          <cell r="F904">
            <v>0</v>
          </cell>
          <cell r="G904">
            <v>37680</v>
          </cell>
          <cell r="H904">
            <v>886</v>
          </cell>
          <cell r="I904" t="str">
            <v>деп</v>
          </cell>
          <cell r="J904">
            <v>38227</v>
          </cell>
        </row>
        <row r="905">
          <cell r="A905">
            <v>58740440</v>
          </cell>
          <cell r="B905" t="str">
            <v>ЛИТЕР</v>
          </cell>
          <cell r="C905" t="str">
            <v>БАДАЕВСКАЯ   (ОКТ)</v>
          </cell>
          <cell r="D905">
            <v>33390</v>
          </cell>
          <cell r="F905">
            <v>0</v>
          </cell>
          <cell r="G905">
            <v>37680</v>
          </cell>
          <cell r="H905">
            <v>886</v>
          </cell>
          <cell r="I905" t="str">
            <v>деп</v>
          </cell>
          <cell r="J905">
            <v>38227</v>
          </cell>
        </row>
        <row r="906">
          <cell r="A906">
            <v>58740457</v>
          </cell>
          <cell r="B906" t="str">
            <v>ЛИТЕР</v>
          </cell>
          <cell r="C906" t="str">
            <v>БАДАЕВСКАЯ   (ОКТ)</v>
          </cell>
          <cell r="D906">
            <v>33390</v>
          </cell>
          <cell r="F906">
            <v>0</v>
          </cell>
          <cell r="G906">
            <v>37680</v>
          </cell>
          <cell r="H906">
            <v>886</v>
          </cell>
          <cell r="I906" t="str">
            <v>деп</v>
          </cell>
          <cell r="J906">
            <v>38227</v>
          </cell>
        </row>
        <row r="907">
          <cell r="A907">
            <v>58740465</v>
          </cell>
          <cell r="B907" t="str">
            <v>ЛИТЕР</v>
          </cell>
          <cell r="C907" t="str">
            <v>БАДАЕВСКАЯ   (ОКТ)</v>
          </cell>
          <cell r="D907">
            <v>33390</v>
          </cell>
          <cell r="F907">
            <v>0</v>
          </cell>
          <cell r="G907">
            <v>37680</v>
          </cell>
          <cell r="H907">
            <v>886</v>
          </cell>
          <cell r="I907" t="str">
            <v>деп</v>
          </cell>
          <cell r="J907">
            <v>38227</v>
          </cell>
        </row>
        <row r="908">
          <cell r="A908">
            <v>58741646</v>
          </cell>
          <cell r="B908" t="str">
            <v>ЛИТЕР</v>
          </cell>
          <cell r="C908" t="str">
            <v>БАДАЕВСКАЯ   (ОКТ)</v>
          </cell>
          <cell r="D908">
            <v>30621</v>
          </cell>
          <cell r="E908">
            <v>34925</v>
          </cell>
          <cell r="F908">
            <v>0</v>
          </cell>
          <cell r="G908">
            <v>37875</v>
          </cell>
          <cell r="H908">
            <v>886</v>
          </cell>
          <cell r="I908" t="str">
            <v>деп</v>
          </cell>
          <cell r="J908">
            <v>38422</v>
          </cell>
        </row>
        <row r="909">
          <cell r="A909">
            <v>58741653</v>
          </cell>
          <cell r="B909" t="str">
            <v>ЛИТЕР</v>
          </cell>
          <cell r="C909" t="str">
            <v>БАДАЕВСКАЯ   (ОКТ)</v>
          </cell>
          <cell r="D909">
            <v>30621</v>
          </cell>
          <cell r="E909">
            <v>34925</v>
          </cell>
          <cell r="F909">
            <v>0</v>
          </cell>
          <cell r="G909">
            <v>37875</v>
          </cell>
          <cell r="H909">
            <v>886</v>
          </cell>
          <cell r="I909" t="str">
            <v>деп</v>
          </cell>
          <cell r="J909">
            <v>38422</v>
          </cell>
        </row>
        <row r="910">
          <cell r="A910">
            <v>58741661</v>
          </cell>
          <cell r="B910" t="str">
            <v>ЛИТЕР</v>
          </cell>
          <cell r="C910" t="str">
            <v>БАДАЕВСКАЯ   (ОКТ)</v>
          </cell>
          <cell r="D910">
            <v>30621</v>
          </cell>
          <cell r="E910">
            <v>34925</v>
          </cell>
          <cell r="F910">
            <v>0</v>
          </cell>
          <cell r="G910">
            <v>37875</v>
          </cell>
          <cell r="H910">
            <v>886</v>
          </cell>
          <cell r="I910" t="str">
            <v>деп</v>
          </cell>
          <cell r="J910">
            <v>38422</v>
          </cell>
        </row>
        <row r="911">
          <cell r="A911">
            <v>58741679</v>
          </cell>
          <cell r="B911" t="str">
            <v>ЛИТЕР</v>
          </cell>
          <cell r="C911" t="str">
            <v>БАДАЕВСКАЯ   (ОКТ)</v>
          </cell>
          <cell r="D911">
            <v>30621</v>
          </cell>
          <cell r="E911">
            <v>35844</v>
          </cell>
          <cell r="F911">
            <v>886</v>
          </cell>
          <cell r="G911">
            <v>37875</v>
          </cell>
          <cell r="H911">
            <v>886</v>
          </cell>
          <cell r="I911" t="str">
            <v>деп</v>
          </cell>
          <cell r="J911">
            <v>38422</v>
          </cell>
        </row>
        <row r="912">
          <cell r="A912">
            <v>58741687</v>
          </cell>
          <cell r="B912" t="str">
            <v>ЛИТЕР</v>
          </cell>
          <cell r="C912" t="str">
            <v>БАДАЕВСКАЯ   (ОКТ)</v>
          </cell>
          <cell r="D912">
            <v>30621</v>
          </cell>
          <cell r="E912">
            <v>35844</v>
          </cell>
          <cell r="F912">
            <v>886</v>
          </cell>
          <cell r="G912">
            <v>37875</v>
          </cell>
          <cell r="H912">
            <v>886</v>
          </cell>
          <cell r="I912" t="str">
            <v>деп</v>
          </cell>
          <cell r="J912">
            <v>38422</v>
          </cell>
        </row>
        <row r="913">
          <cell r="A913">
            <v>58741703</v>
          </cell>
          <cell r="B913" t="str">
            <v>ЛИТЕР</v>
          </cell>
          <cell r="C913" t="str">
            <v>БАДАЕВСКАЯ   (ОКТ)</v>
          </cell>
          <cell r="D913">
            <v>30621</v>
          </cell>
          <cell r="E913">
            <v>34925</v>
          </cell>
          <cell r="F913">
            <v>0</v>
          </cell>
          <cell r="G913">
            <v>37875</v>
          </cell>
          <cell r="H913">
            <v>886</v>
          </cell>
          <cell r="I913" t="str">
            <v>деп</v>
          </cell>
          <cell r="J913">
            <v>38422</v>
          </cell>
        </row>
        <row r="914">
          <cell r="A914">
            <v>58741711</v>
          </cell>
          <cell r="B914" t="str">
            <v>ЛИТЕР</v>
          </cell>
          <cell r="C914" t="str">
            <v>БАДАЕВСКАЯ   (ОКТ)</v>
          </cell>
          <cell r="D914">
            <v>30621</v>
          </cell>
          <cell r="E914">
            <v>35844</v>
          </cell>
          <cell r="F914">
            <v>886</v>
          </cell>
          <cell r="G914">
            <v>37875</v>
          </cell>
          <cell r="H914">
            <v>886</v>
          </cell>
          <cell r="I914" t="str">
            <v>деп</v>
          </cell>
          <cell r="J914">
            <v>38422</v>
          </cell>
        </row>
        <row r="915">
          <cell r="A915">
            <v>58741729</v>
          </cell>
          <cell r="B915" t="str">
            <v>ЛИТЕР</v>
          </cell>
          <cell r="C915" t="str">
            <v>БАДАЕВСКАЯ   (ОКТ)</v>
          </cell>
          <cell r="D915">
            <v>30621</v>
          </cell>
          <cell r="E915">
            <v>35844</v>
          </cell>
          <cell r="F915">
            <v>886</v>
          </cell>
          <cell r="G915">
            <v>37875</v>
          </cell>
          <cell r="H915">
            <v>886</v>
          </cell>
          <cell r="I915" t="str">
            <v>деп</v>
          </cell>
          <cell r="J915">
            <v>38422</v>
          </cell>
        </row>
        <row r="916">
          <cell r="B916" t="str">
            <v>ЛИТЕР Количество</v>
          </cell>
          <cell r="D916">
            <v>29</v>
          </cell>
        </row>
        <row r="917">
          <cell r="A917">
            <v>53706925</v>
          </cell>
          <cell r="B917" t="str">
            <v>ЛОКОТРАНС</v>
          </cell>
          <cell r="C917" t="str">
            <v>ЯРОСЛАВЛЬ    (СЕВ)</v>
          </cell>
          <cell r="D917">
            <v>31471</v>
          </cell>
          <cell r="E917">
            <v>36308</v>
          </cell>
          <cell r="F917">
            <v>886</v>
          </cell>
          <cell r="G917">
            <v>37985</v>
          </cell>
          <cell r="H917">
            <v>886</v>
          </cell>
          <cell r="I917" t="str">
            <v>деп</v>
          </cell>
          <cell r="J917">
            <v>38533</v>
          </cell>
        </row>
        <row r="918">
          <cell r="A918">
            <v>58728296</v>
          </cell>
          <cell r="B918" t="str">
            <v>ЛОКОТРАНС</v>
          </cell>
          <cell r="C918" t="str">
            <v>ЯРОСЛАВЛЬ    (СЕВ)</v>
          </cell>
          <cell r="D918">
            <v>33239</v>
          </cell>
          <cell r="E918">
            <v>37756</v>
          </cell>
          <cell r="F918">
            <v>350</v>
          </cell>
          <cell r="H918">
            <v>0</v>
          </cell>
          <cell r="I918" t="str">
            <v>деп</v>
          </cell>
          <cell r="J918">
            <v>38306</v>
          </cell>
        </row>
        <row r="919">
          <cell r="A919">
            <v>58742602</v>
          </cell>
          <cell r="B919" t="str">
            <v>ЛОКОТРАНС</v>
          </cell>
          <cell r="C919" t="str">
            <v>ЯРОСЛАВЛЬ    (СЕВ)</v>
          </cell>
          <cell r="D919">
            <v>31471</v>
          </cell>
          <cell r="E919">
            <v>36308</v>
          </cell>
          <cell r="F919">
            <v>886</v>
          </cell>
          <cell r="G919">
            <v>37985</v>
          </cell>
          <cell r="H919">
            <v>886</v>
          </cell>
          <cell r="I919" t="str">
            <v>деп</v>
          </cell>
          <cell r="J919">
            <v>38533</v>
          </cell>
        </row>
        <row r="920">
          <cell r="A920">
            <v>58742610</v>
          </cell>
          <cell r="B920" t="str">
            <v>ЛОКОТРАНС</v>
          </cell>
          <cell r="C920" t="str">
            <v>ЯРОСЛАВЛЬ    (СЕВ)</v>
          </cell>
          <cell r="D920">
            <v>31471</v>
          </cell>
          <cell r="E920">
            <v>36308</v>
          </cell>
          <cell r="F920">
            <v>886</v>
          </cell>
          <cell r="G920">
            <v>37985</v>
          </cell>
          <cell r="H920">
            <v>886</v>
          </cell>
          <cell r="I920" t="str">
            <v>деп</v>
          </cell>
          <cell r="J920">
            <v>38533</v>
          </cell>
        </row>
        <row r="921">
          <cell r="A921">
            <v>58742628</v>
          </cell>
          <cell r="B921" t="str">
            <v>ЛОКОТРАНС</v>
          </cell>
          <cell r="C921" t="str">
            <v>ЯРОСЛАВЛЬ    (СЕВ)</v>
          </cell>
          <cell r="D921">
            <v>31471</v>
          </cell>
          <cell r="E921">
            <v>36308</v>
          </cell>
          <cell r="F921">
            <v>886</v>
          </cell>
          <cell r="G921">
            <v>37985</v>
          </cell>
          <cell r="H921">
            <v>886</v>
          </cell>
          <cell r="I921" t="str">
            <v>деп</v>
          </cell>
          <cell r="J921">
            <v>38533</v>
          </cell>
        </row>
        <row r="922">
          <cell r="A922">
            <v>58742636</v>
          </cell>
          <cell r="B922" t="str">
            <v>ЛОКОТРАНС</v>
          </cell>
          <cell r="C922" t="str">
            <v>ЯРОСЛАВЛЬ    (СЕВ)</v>
          </cell>
          <cell r="D922">
            <v>31471</v>
          </cell>
          <cell r="E922">
            <v>36308</v>
          </cell>
          <cell r="F922">
            <v>886</v>
          </cell>
          <cell r="G922">
            <v>37985</v>
          </cell>
          <cell r="H922">
            <v>886</v>
          </cell>
          <cell r="I922" t="str">
            <v>деп</v>
          </cell>
          <cell r="J922">
            <v>38533</v>
          </cell>
        </row>
        <row r="923">
          <cell r="B923" t="str">
            <v>ЛОКОТРАНС Количество</v>
          </cell>
          <cell r="D923">
            <v>6</v>
          </cell>
        </row>
        <row r="924">
          <cell r="A924">
            <v>53700969</v>
          </cell>
          <cell r="B924" t="str">
            <v>ЛОУД</v>
          </cell>
          <cell r="C924" t="str">
            <v>НИЖНЕВАРТ. 1 (СВР)</v>
          </cell>
          <cell r="D924">
            <v>33239</v>
          </cell>
          <cell r="E924">
            <v>35260</v>
          </cell>
          <cell r="I924" t="str">
            <v>кап</v>
          </cell>
          <cell r="J924">
            <v>36355</v>
          </cell>
        </row>
        <row r="925">
          <cell r="A925">
            <v>58337171</v>
          </cell>
          <cell r="B925" t="str">
            <v>ЛОУД</v>
          </cell>
          <cell r="C925" t="str">
            <v>НИЖНЕВАРТ. 1 (СВР)</v>
          </cell>
          <cell r="D925">
            <v>33435</v>
          </cell>
          <cell r="E925">
            <v>35260</v>
          </cell>
        </row>
        <row r="926">
          <cell r="A926">
            <v>58337189</v>
          </cell>
          <cell r="B926" t="str">
            <v>ЛОУД</v>
          </cell>
          <cell r="C926" t="str">
            <v>НИЖНЕВАРТ. 1 (СВР)</v>
          </cell>
          <cell r="D926">
            <v>33435</v>
          </cell>
          <cell r="E926">
            <v>35260</v>
          </cell>
        </row>
        <row r="927">
          <cell r="A927">
            <v>58337205</v>
          </cell>
          <cell r="B927" t="str">
            <v>ЛОУД</v>
          </cell>
          <cell r="C927" t="str">
            <v>НИЖНЕВАРТ. 1 (СВР)</v>
          </cell>
          <cell r="D927">
            <v>33435</v>
          </cell>
          <cell r="E927">
            <v>35260</v>
          </cell>
        </row>
        <row r="928">
          <cell r="A928">
            <v>58337213</v>
          </cell>
          <cell r="B928" t="str">
            <v>ЛОУД</v>
          </cell>
          <cell r="C928" t="str">
            <v>НИЖНЕВАРТ. 1 (СВР)</v>
          </cell>
          <cell r="D928">
            <v>33435</v>
          </cell>
          <cell r="E928">
            <v>35260</v>
          </cell>
        </row>
        <row r="929">
          <cell r="B929" t="str">
            <v>ЛОУД Количество</v>
          </cell>
          <cell r="D929">
            <v>5</v>
          </cell>
        </row>
        <row r="930">
          <cell r="A930">
            <v>53704235</v>
          </cell>
          <cell r="B930" t="str">
            <v>М/КОЛ.N59 ЦЕНТРСТРОЙМЕХАН.</v>
          </cell>
          <cell r="C930" t="str">
            <v>КУБИНКА 1    (МСK)</v>
          </cell>
          <cell r="D930">
            <v>26877</v>
          </cell>
          <cell r="E930">
            <v>37868</v>
          </cell>
          <cell r="F930">
            <v>350</v>
          </cell>
          <cell r="G930">
            <v>36055</v>
          </cell>
          <cell r="I930" t="str">
            <v>деп</v>
          </cell>
          <cell r="J930">
            <v>38964</v>
          </cell>
        </row>
        <row r="931">
          <cell r="B931" t="str">
            <v>М/КОЛ.N59 ЦЕНТРСТРОЙМЕХАН. Количество</v>
          </cell>
          <cell r="D931">
            <v>1</v>
          </cell>
        </row>
        <row r="932">
          <cell r="A932">
            <v>53704383</v>
          </cell>
          <cell r="B932" t="str">
            <v>МАКС</v>
          </cell>
          <cell r="C932" t="str">
            <v>ФАРАФНТЬЕВСК (СВР)</v>
          </cell>
          <cell r="D932">
            <v>34335</v>
          </cell>
          <cell r="E932">
            <v>37588</v>
          </cell>
          <cell r="F932">
            <v>819</v>
          </cell>
          <cell r="H932">
            <v>0</v>
          </cell>
          <cell r="I932" t="str">
            <v>деп</v>
          </cell>
          <cell r="J932">
            <v>38135</v>
          </cell>
        </row>
        <row r="933">
          <cell r="B933" t="str">
            <v>МАКС Количество</v>
          </cell>
          <cell r="D933">
            <v>1</v>
          </cell>
        </row>
        <row r="934">
          <cell r="A934">
            <v>53706883</v>
          </cell>
          <cell r="B934" t="str">
            <v>МАРИПРОДУКТ КОМПАНИЯ</v>
          </cell>
          <cell r="C934" t="str">
            <v>ПЕРВАЯ РЕЧКА (ДВС)</v>
          </cell>
          <cell r="D934">
            <v>31472</v>
          </cell>
          <cell r="E934">
            <v>36432</v>
          </cell>
          <cell r="F934">
            <v>886</v>
          </cell>
          <cell r="G934">
            <v>37944</v>
          </cell>
          <cell r="H934">
            <v>886</v>
          </cell>
          <cell r="I934" t="str">
            <v>деп</v>
          </cell>
          <cell r="J934">
            <v>38491</v>
          </cell>
        </row>
        <row r="935">
          <cell r="A935">
            <v>53706909</v>
          </cell>
          <cell r="B935" t="str">
            <v>МАРИПРОДУКТ КОМПАНИЯ</v>
          </cell>
          <cell r="C935" t="str">
            <v>ПЕРВАЯ РЕЧКА (ДВС)</v>
          </cell>
          <cell r="D935">
            <v>31472</v>
          </cell>
          <cell r="E935">
            <v>36644</v>
          </cell>
          <cell r="F935">
            <v>886</v>
          </cell>
          <cell r="G935">
            <v>37956</v>
          </cell>
          <cell r="H935">
            <v>886</v>
          </cell>
          <cell r="I935" t="str">
            <v>деп</v>
          </cell>
          <cell r="J935">
            <v>38504</v>
          </cell>
        </row>
        <row r="936">
          <cell r="A936">
            <v>58742453</v>
          </cell>
          <cell r="B936" t="str">
            <v>МАРИПРОДУКТ КОМПАНИЯ</v>
          </cell>
          <cell r="C936" t="str">
            <v>ПЕРВАЯ РЕЧКА (ДВС)</v>
          </cell>
          <cell r="D936">
            <v>31472</v>
          </cell>
          <cell r="E936">
            <v>36432</v>
          </cell>
          <cell r="F936">
            <v>886</v>
          </cell>
          <cell r="G936">
            <v>37944</v>
          </cell>
          <cell r="H936">
            <v>886</v>
          </cell>
          <cell r="I936" t="str">
            <v>деп</v>
          </cell>
          <cell r="J936">
            <v>38491</v>
          </cell>
        </row>
        <row r="937">
          <cell r="A937">
            <v>58742461</v>
          </cell>
          <cell r="B937" t="str">
            <v>МАРИПРОДУКТ КОМПАНИЯ</v>
          </cell>
          <cell r="C937" t="str">
            <v>ПЕРВАЯ РЕЧКА (ДВС)</v>
          </cell>
          <cell r="D937">
            <v>31472</v>
          </cell>
          <cell r="E937">
            <v>36432</v>
          </cell>
          <cell r="F937">
            <v>886</v>
          </cell>
          <cell r="G937">
            <v>37944</v>
          </cell>
          <cell r="H937">
            <v>886</v>
          </cell>
          <cell r="I937" t="str">
            <v>деп</v>
          </cell>
          <cell r="J937">
            <v>38491</v>
          </cell>
        </row>
        <row r="938">
          <cell r="A938">
            <v>58742479</v>
          </cell>
          <cell r="B938" t="str">
            <v>МАРИПРОДУКТ КОМПАНИЯ</v>
          </cell>
          <cell r="C938" t="str">
            <v>ПЕРВАЯ РЕЧКА (ДВС)</v>
          </cell>
          <cell r="D938">
            <v>31472</v>
          </cell>
          <cell r="E938">
            <v>36432</v>
          </cell>
          <cell r="F938">
            <v>886</v>
          </cell>
          <cell r="G938">
            <v>37944</v>
          </cell>
          <cell r="H938">
            <v>886</v>
          </cell>
          <cell r="I938" t="str">
            <v>деп</v>
          </cell>
          <cell r="J938">
            <v>38491</v>
          </cell>
        </row>
        <row r="939">
          <cell r="A939">
            <v>58742487</v>
          </cell>
          <cell r="B939" t="str">
            <v>МАРИПРОДУКТ КОМПАНИЯ</v>
          </cell>
          <cell r="C939" t="str">
            <v>ПЕРВАЯ РЕЧКА (ДВС)</v>
          </cell>
          <cell r="D939">
            <v>31472</v>
          </cell>
          <cell r="E939">
            <v>36432</v>
          </cell>
          <cell r="F939">
            <v>886</v>
          </cell>
          <cell r="G939">
            <v>37944</v>
          </cell>
          <cell r="H939">
            <v>886</v>
          </cell>
          <cell r="I939" t="str">
            <v>деп</v>
          </cell>
          <cell r="J939">
            <v>38491</v>
          </cell>
        </row>
        <row r="940">
          <cell r="A940">
            <v>58742503</v>
          </cell>
          <cell r="B940" t="str">
            <v>МАРИПРОДУКТ КОМПАНИЯ</v>
          </cell>
          <cell r="C940" t="str">
            <v>ПЕРВАЯ РЕЧКА (ДВС)</v>
          </cell>
          <cell r="D940">
            <v>31472</v>
          </cell>
          <cell r="E940">
            <v>36644</v>
          </cell>
          <cell r="F940">
            <v>886</v>
          </cell>
          <cell r="G940">
            <v>37956</v>
          </cell>
          <cell r="H940">
            <v>886</v>
          </cell>
          <cell r="I940" t="str">
            <v>деп</v>
          </cell>
          <cell r="J940">
            <v>38504</v>
          </cell>
        </row>
        <row r="941">
          <cell r="A941">
            <v>58742511</v>
          </cell>
          <cell r="B941" t="str">
            <v>МАРИПРОДУКТ КОМПАНИЯ</v>
          </cell>
          <cell r="C941" t="str">
            <v>ПЕРВАЯ РЕЧКА (ДВС)</v>
          </cell>
          <cell r="D941">
            <v>31472</v>
          </cell>
          <cell r="E941">
            <v>36644</v>
          </cell>
          <cell r="F941">
            <v>886</v>
          </cell>
          <cell r="G941">
            <v>37956</v>
          </cell>
          <cell r="H941">
            <v>886</v>
          </cell>
          <cell r="I941" t="str">
            <v>деп</v>
          </cell>
          <cell r="J941">
            <v>38504</v>
          </cell>
        </row>
        <row r="942">
          <cell r="A942">
            <v>58742529</v>
          </cell>
          <cell r="B942" t="str">
            <v>МАРИПРОДУКТ КОМПАНИЯ</v>
          </cell>
          <cell r="C942" t="str">
            <v>ПЕРВАЯ РЕЧКА (ДВС)</v>
          </cell>
          <cell r="D942">
            <v>31472</v>
          </cell>
          <cell r="E942">
            <v>36644</v>
          </cell>
          <cell r="F942">
            <v>886</v>
          </cell>
          <cell r="G942">
            <v>37956</v>
          </cell>
          <cell r="H942">
            <v>886</v>
          </cell>
          <cell r="I942" t="str">
            <v>деп</v>
          </cell>
          <cell r="J942">
            <v>38504</v>
          </cell>
        </row>
        <row r="943">
          <cell r="A943">
            <v>58742537</v>
          </cell>
          <cell r="B943" t="str">
            <v>МАРИПРОДУКТ КОМПАНИЯ</v>
          </cell>
          <cell r="C943" t="str">
            <v>ПЕРВАЯ РЕЧКА (ДВС)</v>
          </cell>
          <cell r="D943">
            <v>31472</v>
          </cell>
          <cell r="E943">
            <v>36644</v>
          </cell>
          <cell r="F943">
            <v>886</v>
          </cell>
          <cell r="G943">
            <v>37956</v>
          </cell>
          <cell r="H943">
            <v>886</v>
          </cell>
          <cell r="I943" t="str">
            <v>деп</v>
          </cell>
          <cell r="J943">
            <v>38504</v>
          </cell>
        </row>
        <row r="944">
          <cell r="B944" t="str">
            <v>МАРИПРОДУКТ КОМПАНИЯ Количество</v>
          </cell>
          <cell r="D944">
            <v>10</v>
          </cell>
        </row>
        <row r="945">
          <cell r="A945">
            <v>53705554</v>
          </cell>
          <cell r="B945" t="str">
            <v>МАЯК ТМО</v>
          </cell>
          <cell r="C945" t="str">
            <v>КЕРАМИК      (СВР)</v>
          </cell>
          <cell r="D945">
            <v>33584</v>
          </cell>
          <cell r="E945">
            <v>37828</v>
          </cell>
          <cell r="F945">
            <v>594</v>
          </cell>
          <cell r="H945">
            <v>0</v>
          </cell>
          <cell r="I945" t="str">
            <v>кап</v>
          </cell>
          <cell r="J945">
            <v>38924</v>
          </cell>
        </row>
        <row r="946">
          <cell r="A946">
            <v>58338559</v>
          </cell>
          <cell r="B946" t="str">
            <v>МАЯК ТМО</v>
          </cell>
          <cell r="C946" t="str">
            <v>КЕРАМИК      (СВР)</v>
          </cell>
          <cell r="D946">
            <v>33535</v>
          </cell>
          <cell r="E946">
            <v>37828</v>
          </cell>
          <cell r="F946">
            <v>594</v>
          </cell>
          <cell r="H946">
            <v>0</v>
          </cell>
          <cell r="I946" t="str">
            <v>деп</v>
          </cell>
          <cell r="J946">
            <v>38559</v>
          </cell>
        </row>
        <row r="947">
          <cell r="A947">
            <v>58338567</v>
          </cell>
          <cell r="B947" t="str">
            <v>МАЯК ТМО</v>
          </cell>
          <cell r="C947" t="str">
            <v>КЕРАМИК      (СВР)</v>
          </cell>
          <cell r="D947">
            <v>33535</v>
          </cell>
          <cell r="E947">
            <v>37828</v>
          </cell>
          <cell r="F947">
            <v>594</v>
          </cell>
          <cell r="H947">
            <v>0</v>
          </cell>
          <cell r="I947" t="str">
            <v>деп</v>
          </cell>
          <cell r="J947">
            <v>38559</v>
          </cell>
        </row>
        <row r="948">
          <cell r="A948">
            <v>58338575</v>
          </cell>
          <cell r="B948" t="str">
            <v>МАЯК ТМО</v>
          </cell>
          <cell r="C948" t="str">
            <v>КЕРАМИК      (СВР)</v>
          </cell>
          <cell r="D948">
            <v>33535</v>
          </cell>
          <cell r="E948">
            <v>37828</v>
          </cell>
          <cell r="F948">
            <v>594</v>
          </cell>
          <cell r="H948">
            <v>0</v>
          </cell>
          <cell r="I948" t="str">
            <v>деп</v>
          </cell>
          <cell r="J948">
            <v>38559</v>
          </cell>
        </row>
        <row r="949">
          <cell r="A949">
            <v>58338583</v>
          </cell>
          <cell r="B949" t="str">
            <v>МАЯК ТМО</v>
          </cell>
          <cell r="C949" t="str">
            <v>КЕРАМИК      (СВР)</v>
          </cell>
          <cell r="D949">
            <v>33535</v>
          </cell>
          <cell r="E949">
            <v>37828</v>
          </cell>
          <cell r="F949">
            <v>594</v>
          </cell>
          <cell r="H949">
            <v>0</v>
          </cell>
          <cell r="I949" t="str">
            <v>деп</v>
          </cell>
          <cell r="J949">
            <v>38559</v>
          </cell>
        </row>
        <row r="950">
          <cell r="B950" t="str">
            <v>МАЯК ТМО Количество</v>
          </cell>
          <cell r="D950">
            <v>5</v>
          </cell>
        </row>
        <row r="951">
          <cell r="A951">
            <v>53703666</v>
          </cell>
          <cell r="B951" t="str">
            <v>МВТРАНС</v>
          </cell>
          <cell r="C951" t="str">
            <v>СВЕРДЛВСК-СР (СВР)</v>
          </cell>
          <cell r="D951">
            <v>34425</v>
          </cell>
          <cell r="E951">
            <v>37794</v>
          </cell>
          <cell r="F951">
            <v>819</v>
          </cell>
          <cell r="H951">
            <v>0</v>
          </cell>
          <cell r="I951" t="str">
            <v>деп</v>
          </cell>
          <cell r="J951">
            <v>38343</v>
          </cell>
        </row>
        <row r="952">
          <cell r="B952" t="str">
            <v>МВТРАНС Количество</v>
          </cell>
          <cell r="D952">
            <v>1</v>
          </cell>
        </row>
        <row r="953">
          <cell r="A953">
            <v>53701223</v>
          </cell>
          <cell r="B953" t="str">
            <v>МЕЖРЕГИОНСНАБ</v>
          </cell>
          <cell r="C953" t="str">
            <v>УРШАК        (КБШ)</v>
          </cell>
          <cell r="D953">
            <v>33970</v>
          </cell>
          <cell r="E953">
            <v>37057</v>
          </cell>
          <cell r="F953">
            <v>681</v>
          </cell>
          <cell r="G953">
            <v>37651</v>
          </cell>
          <cell r="H953">
            <v>819</v>
          </cell>
          <cell r="I953" t="str">
            <v>деп</v>
          </cell>
          <cell r="J953">
            <v>38198</v>
          </cell>
        </row>
        <row r="954">
          <cell r="B954" t="str">
            <v>МЕЖРЕГИОНСНАБ Количество</v>
          </cell>
          <cell r="D954">
            <v>1</v>
          </cell>
        </row>
        <row r="955">
          <cell r="A955">
            <v>53706917</v>
          </cell>
          <cell r="B955" t="str">
            <v>МЕЖТРАНС</v>
          </cell>
          <cell r="C955" t="str">
            <v>ПОДМОСКОВНАЯ (МСK)</v>
          </cell>
          <cell r="D955">
            <v>31413</v>
          </cell>
          <cell r="E955">
            <v>36403</v>
          </cell>
          <cell r="F955">
            <v>886</v>
          </cell>
          <cell r="G955">
            <v>37994</v>
          </cell>
          <cell r="H955">
            <v>886</v>
          </cell>
          <cell r="I955" t="str">
            <v>деп</v>
          </cell>
          <cell r="J955">
            <v>38541</v>
          </cell>
        </row>
        <row r="956">
          <cell r="A956">
            <v>58742552</v>
          </cell>
          <cell r="B956" t="str">
            <v>МЕЖТРАНС</v>
          </cell>
          <cell r="C956" t="str">
            <v>ПОДМОСКОВНАЯ (МСK)</v>
          </cell>
          <cell r="D956">
            <v>31413</v>
          </cell>
          <cell r="E956">
            <v>36403</v>
          </cell>
          <cell r="F956">
            <v>886</v>
          </cell>
          <cell r="G956">
            <v>37994</v>
          </cell>
          <cell r="H956">
            <v>886</v>
          </cell>
          <cell r="I956" t="str">
            <v>деп</v>
          </cell>
          <cell r="J956">
            <v>38541</v>
          </cell>
        </row>
        <row r="957">
          <cell r="A957">
            <v>58742560</v>
          </cell>
          <cell r="B957" t="str">
            <v>МЕЖТРАНС</v>
          </cell>
          <cell r="C957" t="str">
            <v>ПОДМОСКОВНАЯ (МСK)</v>
          </cell>
          <cell r="D957">
            <v>31413</v>
          </cell>
          <cell r="E957">
            <v>36403</v>
          </cell>
          <cell r="F957">
            <v>886</v>
          </cell>
          <cell r="G957">
            <v>37994</v>
          </cell>
          <cell r="H957">
            <v>886</v>
          </cell>
          <cell r="I957" t="str">
            <v>деп</v>
          </cell>
          <cell r="J957">
            <v>38541</v>
          </cell>
        </row>
        <row r="958">
          <cell r="A958">
            <v>58742578</v>
          </cell>
          <cell r="B958" t="str">
            <v>МЕЖТРАНС</v>
          </cell>
          <cell r="C958" t="str">
            <v>ПОДМОСКОВНАЯ (МСK)</v>
          </cell>
          <cell r="D958">
            <v>31413</v>
          </cell>
          <cell r="E958">
            <v>36403</v>
          </cell>
          <cell r="F958">
            <v>886</v>
          </cell>
          <cell r="G958">
            <v>37994</v>
          </cell>
          <cell r="H958">
            <v>886</v>
          </cell>
          <cell r="I958" t="str">
            <v>деп</v>
          </cell>
          <cell r="J958">
            <v>38541</v>
          </cell>
        </row>
        <row r="959">
          <cell r="A959">
            <v>58742586</v>
          </cell>
          <cell r="B959" t="str">
            <v>МЕЖТРАНС</v>
          </cell>
          <cell r="C959" t="str">
            <v>ПОДМОСКОВНАЯ (МСK)</v>
          </cell>
          <cell r="D959">
            <v>31413</v>
          </cell>
          <cell r="E959">
            <v>36403</v>
          </cell>
          <cell r="F959">
            <v>886</v>
          </cell>
          <cell r="G959">
            <v>37994</v>
          </cell>
          <cell r="H959">
            <v>886</v>
          </cell>
          <cell r="I959" t="str">
            <v>деп</v>
          </cell>
          <cell r="J959">
            <v>38541</v>
          </cell>
        </row>
        <row r="960">
          <cell r="B960" t="str">
            <v>МЕЖТРАНС Количество</v>
          </cell>
          <cell r="D960">
            <v>5</v>
          </cell>
        </row>
        <row r="961">
          <cell r="A961">
            <v>53400628</v>
          </cell>
          <cell r="B961" t="str">
            <v>МЕЛЬКОМБИНАТ N3</v>
          </cell>
          <cell r="C961" t="str">
            <v>НОВОСИБ-ЗАП  (ЗСБ)</v>
          </cell>
          <cell r="D961">
            <v>28839</v>
          </cell>
          <cell r="E961">
            <v>37939</v>
          </cell>
          <cell r="F961">
            <v>350</v>
          </cell>
          <cell r="G961">
            <v>37363</v>
          </cell>
          <cell r="H961">
            <v>840</v>
          </cell>
          <cell r="I961" t="str">
            <v>деп</v>
          </cell>
          <cell r="J961">
            <v>38486</v>
          </cell>
        </row>
        <row r="962">
          <cell r="A962">
            <v>53400750</v>
          </cell>
          <cell r="B962" t="str">
            <v>МЕЛЬКОМБИНАТ N3</v>
          </cell>
          <cell r="C962" t="str">
            <v>НОВОСИБ-ЗАП  (ЗСБ)</v>
          </cell>
          <cell r="D962">
            <v>28839</v>
          </cell>
          <cell r="E962">
            <v>37980</v>
          </cell>
          <cell r="F962">
            <v>557</v>
          </cell>
          <cell r="G962">
            <v>37398</v>
          </cell>
          <cell r="H962">
            <v>840</v>
          </cell>
          <cell r="I962" t="str">
            <v>деп</v>
          </cell>
          <cell r="J962">
            <v>38528</v>
          </cell>
        </row>
        <row r="963">
          <cell r="A963">
            <v>58731928</v>
          </cell>
          <cell r="B963" t="str">
            <v>МЕЛЬКОМБИНАТ N3</v>
          </cell>
          <cell r="C963" t="str">
            <v>НОВОСИБ-ЗАП  (ЗСБ)</v>
          </cell>
          <cell r="D963">
            <v>28839</v>
          </cell>
          <cell r="E963">
            <v>37939</v>
          </cell>
          <cell r="F963">
            <v>350</v>
          </cell>
          <cell r="G963">
            <v>37363</v>
          </cell>
          <cell r="H963">
            <v>840</v>
          </cell>
          <cell r="I963" t="str">
            <v>деп</v>
          </cell>
          <cell r="J963">
            <v>38486</v>
          </cell>
        </row>
        <row r="964">
          <cell r="A964">
            <v>58731936</v>
          </cell>
          <cell r="B964" t="str">
            <v>МЕЛЬКОМБИНАТ N3</v>
          </cell>
          <cell r="C964" t="str">
            <v>НОВОСИБ-ЗАП  (ЗСБ)</v>
          </cell>
          <cell r="D964">
            <v>28839</v>
          </cell>
          <cell r="E964">
            <v>37939</v>
          </cell>
          <cell r="F964">
            <v>350</v>
          </cell>
          <cell r="G964">
            <v>37363</v>
          </cell>
          <cell r="H964">
            <v>840</v>
          </cell>
          <cell r="I964" t="str">
            <v>деп</v>
          </cell>
          <cell r="J964">
            <v>38486</v>
          </cell>
        </row>
        <row r="965">
          <cell r="A965">
            <v>58731944</v>
          </cell>
          <cell r="B965" t="str">
            <v>МЕЛЬКОМБИНАТ N3</v>
          </cell>
          <cell r="C965" t="str">
            <v>НОВОСИБ-ЗАП  (ЗСБ)</v>
          </cell>
          <cell r="D965">
            <v>28839</v>
          </cell>
          <cell r="E965">
            <v>37939</v>
          </cell>
          <cell r="F965">
            <v>350</v>
          </cell>
          <cell r="G965">
            <v>37363</v>
          </cell>
          <cell r="H965">
            <v>840</v>
          </cell>
          <cell r="I965" t="str">
            <v>деп</v>
          </cell>
          <cell r="J965">
            <v>38486</v>
          </cell>
        </row>
        <row r="966">
          <cell r="A966">
            <v>58731951</v>
          </cell>
          <cell r="B966" t="str">
            <v>МЕЛЬКОМБИНАТ N3</v>
          </cell>
          <cell r="C966" t="str">
            <v>НОВОСИБ-ЗАП  (ЗСБ)</v>
          </cell>
          <cell r="D966">
            <v>28839</v>
          </cell>
          <cell r="E966">
            <v>37939</v>
          </cell>
          <cell r="F966">
            <v>350</v>
          </cell>
          <cell r="G966">
            <v>37363</v>
          </cell>
          <cell r="H966">
            <v>840</v>
          </cell>
          <cell r="I966" t="str">
            <v>деп</v>
          </cell>
          <cell r="J966">
            <v>38486</v>
          </cell>
        </row>
        <row r="967">
          <cell r="A967">
            <v>58732363</v>
          </cell>
          <cell r="B967" t="str">
            <v>МЕЛЬКОМБИНАТ N3</v>
          </cell>
          <cell r="C967" t="str">
            <v>НОВОСИБ-ЗАП  (ЗСБ)</v>
          </cell>
          <cell r="D967">
            <v>28839</v>
          </cell>
          <cell r="E967">
            <v>37980</v>
          </cell>
          <cell r="F967">
            <v>557</v>
          </cell>
          <cell r="G967">
            <v>37398</v>
          </cell>
          <cell r="H967">
            <v>840</v>
          </cell>
          <cell r="I967" t="str">
            <v>деп</v>
          </cell>
          <cell r="J967">
            <v>38528</v>
          </cell>
        </row>
        <row r="968">
          <cell r="A968">
            <v>58732371</v>
          </cell>
          <cell r="B968" t="str">
            <v>МЕЛЬКОМБИНАТ N3</v>
          </cell>
          <cell r="C968" t="str">
            <v>НОВОСИБ-ЗАП  (ЗСБ)</v>
          </cell>
          <cell r="D968">
            <v>28839</v>
          </cell>
          <cell r="E968">
            <v>37980</v>
          </cell>
          <cell r="F968">
            <v>557</v>
          </cell>
          <cell r="G968">
            <v>37398</v>
          </cell>
          <cell r="H968">
            <v>840</v>
          </cell>
          <cell r="I968" t="str">
            <v>деп</v>
          </cell>
          <cell r="J968">
            <v>38528</v>
          </cell>
        </row>
        <row r="969">
          <cell r="A969">
            <v>58732389</v>
          </cell>
          <cell r="B969" t="str">
            <v>МЕЛЬКОМБИНАТ N3</v>
          </cell>
          <cell r="C969" t="str">
            <v>НОВОСИБ-ЗАП  (ЗСБ)</v>
          </cell>
          <cell r="D969">
            <v>28839</v>
          </cell>
          <cell r="E969">
            <v>37980</v>
          </cell>
          <cell r="F969">
            <v>557</v>
          </cell>
          <cell r="G969">
            <v>37398</v>
          </cell>
          <cell r="H969">
            <v>840</v>
          </cell>
          <cell r="I969" t="str">
            <v>деп</v>
          </cell>
          <cell r="J969">
            <v>38528</v>
          </cell>
        </row>
        <row r="970">
          <cell r="A970">
            <v>58732397</v>
          </cell>
          <cell r="B970" t="str">
            <v>МЕЛЬКОМБИНАТ N3</v>
          </cell>
          <cell r="C970" t="str">
            <v>НОВОСИБ-ЗАП  (ЗСБ)</v>
          </cell>
          <cell r="D970">
            <v>28839</v>
          </cell>
          <cell r="E970">
            <v>37980</v>
          </cell>
          <cell r="F970">
            <v>557</v>
          </cell>
          <cell r="G970">
            <v>37398</v>
          </cell>
          <cell r="H970">
            <v>840</v>
          </cell>
          <cell r="I970" t="str">
            <v>деп</v>
          </cell>
          <cell r="J970">
            <v>38528</v>
          </cell>
        </row>
        <row r="971">
          <cell r="B971" t="str">
            <v>МЕЛЬКОМБИНАТ N3 Количество</v>
          </cell>
          <cell r="D971">
            <v>10</v>
          </cell>
        </row>
        <row r="972">
          <cell r="A972">
            <v>53704763</v>
          </cell>
          <cell r="B972" t="str">
            <v>МЕХКОЛ-60 ЦЕНТРСТРОЙМЕХАН.</v>
          </cell>
          <cell r="C972" t="str">
            <v>РУЧЬИ        (ОКТ)</v>
          </cell>
          <cell r="D972">
            <v>32509</v>
          </cell>
          <cell r="E972">
            <v>36948</v>
          </cell>
          <cell r="F972">
            <v>330</v>
          </cell>
          <cell r="H972">
            <v>0</v>
          </cell>
          <cell r="I972" t="str">
            <v>кап</v>
          </cell>
          <cell r="J972">
            <v>38043</v>
          </cell>
        </row>
        <row r="973">
          <cell r="B973" t="str">
            <v>МЕХКОЛ-60 ЦЕНТРСТРОЙМЕХАН. Количество</v>
          </cell>
          <cell r="D973">
            <v>1</v>
          </cell>
        </row>
        <row r="974">
          <cell r="A974">
            <v>53701652</v>
          </cell>
          <cell r="B974" t="str">
            <v>ММЗ СЕРП И МОЛОТ</v>
          </cell>
          <cell r="C974" t="str">
            <v>МОС-ТОВ-КУР  (МСK)</v>
          </cell>
          <cell r="D974">
            <v>33329</v>
          </cell>
          <cell r="E974">
            <v>37764</v>
          </cell>
          <cell r="F974">
            <v>350</v>
          </cell>
          <cell r="H974">
            <v>0</v>
          </cell>
          <cell r="I974" t="str">
            <v>деп</v>
          </cell>
          <cell r="J974">
            <v>38679</v>
          </cell>
        </row>
        <row r="975">
          <cell r="A975">
            <v>58338815</v>
          </cell>
          <cell r="B975" t="str">
            <v>ММЗ СЕРП И МОЛОТ</v>
          </cell>
          <cell r="C975" t="str">
            <v>МОС-ТОВ-КУР  (МСK)</v>
          </cell>
          <cell r="D975">
            <v>33604</v>
          </cell>
          <cell r="E975">
            <v>37764</v>
          </cell>
          <cell r="F975">
            <v>350</v>
          </cell>
          <cell r="H975">
            <v>0</v>
          </cell>
          <cell r="I975" t="str">
            <v>деп</v>
          </cell>
          <cell r="J975">
            <v>38679</v>
          </cell>
        </row>
        <row r="976">
          <cell r="A976">
            <v>58338823</v>
          </cell>
          <cell r="B976" t="str">
            <v>ММЗ СЕРП И МОЛОТ</v>
          </cell>
          <cell r="C976" t="str">
            <v>МОС-ТОВ-КУР  (МСK)</v>
          </cell>
          <cell r="D976">
            <v>33604</v>
          </cell>
          <cell r="E976">
            <v>37764</v>
          </cell>
          <cell r="F976">
            <v>350</v>
          </cell>
          <cell r="H976">
            <v>0</v>
          </cell>
          <cell r="I976" t="str">
            <v>деп</v>
          </cell>
          <cell r="J976">
            <v>38679</v>
          </cell>
        </row>
        <row r="977">
          <cell r="A977">
            <v>58338831</v>
          </cell>
          <cell r="B977" t="str">
            <v>ММЗ СЕРП И МОЛОТ</v>
          </cell>
          <cell r="C977" t="str">
            <v>МОС-ТОВ-КУР  (МСK)</v>
          </cell>
          <cell r="D977">
            <v>33604</v>
          </cell>
          <cell r="E977">
            <v>37764</v>
          </cell>
          <cell r="F977">
            <v>350</v>
          </cell>
          <cell r="H977">
            <v>0</v>
          </cell>
          <cell r="I977" t="str">
            <v>деп</v>
          </cell>
          <cell r="J977">
            <v>38679</v>
          </cell>
        </row>
        <row r="978">
          <cell r="A978">
            <v>58338849</v>
          </cell>
          <cell r="B978" t="str">
            <v>ММЗ СЕРП И МОЛОТ</v>
          </cell>
          <cell r="C978" t="str">
            <v>МОС-ТОВ-КУР  (МСK)</v>
          </cell>
          <cell r="D978">
            <v>33573</v>
          </cell>
          <cell r="E978">
            <v>37764</v>
          </cell>
          <cell r="F978">
            <v>350</v>
          </cell>
          <cell r="H978">
            <v>0</v>
          </cell>
          <cell r="I978" t="str">
            <v>деп</v>
          </cell>
          <cell r="J978">
            <v>38679</v>
          </cell>
        </row>
        <row r="979">
          <cell r="B979" t="str">
            <v>ММЗ СЕРП И МОЛОТ Количество</v>
          </cell>
          <cell r="D979">
            <v>5</v>
          </cell>
        </row>
        <row r="980">
          <cell r="A980">
            <v>53706313</v>
          </cell>
          <cell r="B980" t="str">
            <v>МОСК.ГОС.УНИВ-Т ПУТЕЙ СООБ</v>
          </cell>
          <cell r="C980" t="str">
            <v>ПОДМОСКОВНАЯ (МСK)</v>
          </cell>
          <cell r="D980">
            <v>31856</v>
          </cell>
          <cell r="E980">
            <v>37154</v>
          </cell>
          <cell r="F980">
            <v>350</v>
          </cell>
          <cell r="G980">
            <v>37937</v>
          </cell>
          <cell r="H980">
            <v>886</v>
          </cell>
          <cell r="I980" t="str">
            <v>деп</v>
          </cell>
          <cell r="J980">
            <v>38849</v>
          </cell>
        </row>
        <row r="981">
          <cell r="A981">
            <v>53706321</v>
          </cell>
          <cell r="B981" t="str">
            <v>МОСК.ГОС.УНИВ-Т ПУТЕЙ СООБ</v>
          </cell>
          <cell r="C981" t="str">
            <v>ПОДМОСКОВНАЯ (МСK)</v>
          </cell>
          <cell r="D981">
            <v>32060</v>
          </cell>
          <cell r="E981">
            <v>37771</v>
          </cell>
          <cell r="F981">
            <v>350</v>
          </cell>
          <cell r="H981">
            <v>0</v>
          </cell>
          <cell r="I981" t="str">
            <v>кап</v>
          </cell>
          <cell r="J981">
            <v>38686</v>
          </cell>
        </row>
        <row r="982">
          <cell r="A982">
            <v>53706339</v>
          </cell>
          <cell r="B982" t="str">
            <v>МОСК.ГОС.УНИВ-Т ПУТЕЙ СООБ</v>
          </cell>
          <cell r="C982" t="str">
            <v>ПОДМОСКОВНАЯ (МСK)</v>
          </cell>
          <cell r="D982">
            <v>32091</v>
          </cell>
          <cell r="E982">
            <v>37554</v>
          </cell>
          <cell r="F982">
            <v>350</v>
          </cell>
          <cell r="H982">
            <v>0</v>
          </cell>
          <cell r="I982" t="str">
            <v>кап</v>
          </cell>
          <cell r="J982">
            <v>38467</v>
          </cell>
        </row>
        <row r="983">
          <cell r="A983">
            <v>53706354</v>
          </cell>
          <cell r="B983" t="str">
            <v>МОСК.ГОС.УНИВ-Т ПУТЕЙ СООБ</v>
          </cell>
          <cell r="C983" t="str">
            <v>ПОДМОСКОВНАЯ (МСK)</v>
          </cell>
          <cell r="D983">
            <v>32065</v>
          </cell>
          <cell r="E983">
            <v>37841</v>
          </cell>
          <cell r="F983">
            <v>350</v>
          </cell>
          <cell r="H983">
            <v>0</v>
          </cell>
          <cell r="I983" t="str">
            <v>кап</v>
          </cell>
          <cell r="J983">
            <v>38756</v>
          </cell>
        </row>
        <row r="984">
          <cell r="A984">
            <v>53706362</v>
          </cell>
          <cell r="B984" t="str">
            <v>МОСК.ГОС.УНИВ-Т ПУТЕЙ СООБ</v>
          </cell>
          <cell r="C984" t="str">
            <v>ПОДМОСКОВНАЯ (МСK)</v>
          </cell>
          <cell r="D984">
            <v>31837</v>
          </cell>
          <cell r="E984">
            <v>37670</v>
          </cell>
          <cell r="F984">
            <v>350</v>
          </cell>
          <cell r="H984">
            <v>0</v>
          </cell>
          <cell r="I984" t="str">
            <v>кап</v>
          </cell>
          <cell r="J984">
            <v>38582</v>
          </cell>
        </row>
        <row r="985">
          <cell r="A985">
            <v>53706370</v>
          </cell>
          <cell r="B985" t="str">
            <v>МОСК.ГОС.УНИВ-Т ПУТЕЙ СООБ</v>
          </cell>
          <cell r="C985" t="str">
            <v>ПОДМОСКОВНАЯ (МСK)</v>
          </cell>
          <cell r="D985">
            <v>31837</v>
          </cell>
          <cell r="E985">
            <v>37737</v>
          </cell>
          <cell r="F985">
            <v>350</v>
          </cell>
          <cell r="H985">
            <v>0</v>
          </cell>
          <cell r="I985" t="str">
            <v>кап</v>
          </cell>
          <cell r="J985">
            <v>38651</v>
          </cell>
        </row>
        <row r="986">
          <cell r="A986">
            <v>53706388</v>
          </cell>
          <cell r="B986" t="str">
            <v>МОСК.ГОС.УНИВ-Т ПУТЕЙ СООБ</v>
          </cell>
          <cell r="C986" t="str">
            <v>ПОДМОСКОВНАЯ (МСK)</v>
          </cell>
          <cell r="D986">
            <v>31837</v>
          </cell>
          <cell r="E986">
            <v>37111</v>
          </cell>
          <cell r="F986">
            <v>350</v>
          </cell>
          <cell r="G986">
            <v>37901</v>
          </cell>
          <cell r="H986">
            <v>886</v>
          </cell>
          <cell r="I986" t="str">
            <v>деп</v>
          </cell>
          <cell r="J986">
            <v>38814</v>
          </cell>
        </row>
        <row r="987">
          <cell r="A987">
            <v>53706404</v>
          </cell>
          <cell r="B987" t="str">
            <v>МОСК.ГОС.УНИВ-Т ПУТЕЙ СООБ</v>
          </cell>
          <cell r="C987" t="str">
            <v>ПОДМОСКОВНАЯ (МСK)</v>
          </cell>
          <cell r="D987">
            <v>31868</v>
          </cell>
          <cell r="E987">
            <v>37804</v>
          </cell>
          <cell r="F987">
            <v>350</v>
          </cell>
          <cell r="H987">
            <v>0</v>
          </cell>
          <cell r="I987" t="str">
            <v>кап</v>
          </cell>
          <cell r="J987">
            <v>38719</v>
          </cell>
        </row>
        <row r="988">
          <cell r="A988">
            <v>58740002</v>
          </cell>
          <cell r="B988" t="str">
            <v>МОСК.ГОС.УНИВ-Т ПУТЕЙ СООБ</v>
          </cell>
          <cell r="C988" t="str">
            <v>ПОДМОСКОВНАЯ (МСK)</v>
          </cell>
          <cell r="D988">
            <v>32065</v>
          </cell>
          <cell r="E988">
            <v>37841</v>
          </cell>
          <cell r="F988">
            <v>350</v>
          </cell>
          <cell r="H988">
            <v>0</v>
          </cell>
          <cell r="I988" t="str">
            <v>кап</v>
          </cell>
          <cell r="J988">
            <v>38756</v>
          </cell>
        </row>
        <row r="989">
          <cell r="A989">
            <v>58740010</v>
          </cell>
          <cell r="B989" t="str">
            <v>МОСК.ГОС.УНИВ-Т ПУТЕЙ СООБ</v>
          </cell>
          <cell r="C989" t="str">
            <v>ПОДМОСКОВНАЯ (МСK)</v>
          </cell>
          <cell r="D989">
            <v>32051</v>
          </cell>
          <cell r="E989">
            <v>37841</v>
          </cell>
          <cell r="F989">
            <v>350</v>
          </cell>
          <cell r="H989">
            <v>0</v>
          </cell>
          <cell r="I989" t="str">
            <v>кап</v>
          </cell>
          <cell r="J989">
            <v>38756</v>
          </cell>
        </row>
        <row r="990">
          <cell r="A990">
            <v>58740028</v>
          </cell>
          <cell r="B990" t="str">
            <v>МОСК.ГОС.УНИВ-Т ПУТЕЙ СООБ</v>
          </cell>
          <cell r="C990" t="str">
            <v>ПОДМОСКОВНАЯ (МСK)</v>
          </cell>
          <cell r="D990">
            <v>32065</v>
          </cell>
          <cell r="E990">
            <v>37841</v>
          </cell>
          <cell r="F990">
            <v>350</v>
          </cell>
          <cell r="H990">
            <v>0</v>
          </cell>
          <cell r="I990" t="str">
            <v>кап</v>
          </cell>
          <cell r="J990">
            <v>38756</v>
          </cell>
        </row>
        <row r="991">
          <cell r="A991">
            <v>58740036</v>
          </cell>
          <cell r="B991" t="str">
            <v>МОСК.ГОС.УНИВ-Т ПУТЕЙ СООБ</v>
          </cell>
          <cell r="C991" t="str">
            <v>ПОДМОСКОВНАЯ (МСK)</v>
          </cell>
          <cell r="D991">
            <v>32065</v>
          </cell>
          <cell r="E991">
            <v>37841</v>
          </cell>
          <cell r="F991">
            <v>350</v>
          </cell>
          <cell r="H991">
            <v>0</v>
          </cell>
          <cell r="I991" t="str">
            <v>кап</v>
          </cell>
          <cell r="J991">
            <v>38756</v>
          </cell>
        </row>
        <row r="992">
          <cell r="A992">
            <v>58740044</v>
          </cell>
          <cell r="B992" t="str">
            <v>МОСК.ГОС.УНИВ-Т ПУТЕЙ СООБ</v>
          </cell>
          <cell r="C992" t="str">
            <v>ПОДМОСКОВНАЯ (МСK)</v>
          </cell>
          <cell r="D992">
            <v>31856</v>
          </cell>
          <cell r="E992">
            <v>37154</v>
          </cell>
          <cell r="F992">
            <v>350</v>
          </cell>
          <cell r="G992">
            <v>37937</v>
          </cell>
          <cell r="H992">
            <v>886</v>
          </cell>
          <cell r="I992" t="str">
            <v>деп</v>
          </cell>
          <cell r="J992">
            <v>38849</v>
          </cell>
        </row>
        <row r="993">
          <cell r="A993">
            <v>58740051</v>
          </cell>
          <cell r="B993" t="str">
            <v>МОСК.ГОС.УНИВ-Т ПУТЕЙ СООБ</v>
          </cell>
          <cell r="C993" t="str">
            <v>ПОДМОСКОВНАЯ (МСK)</v>
          </cell>
          <cell r="D993">
            <v>31856</v>
          </cell>
          <cell r="E993">
            <v>37154</v>
          </cell>
          <cell r="F993">
            <v>350</v>
          </cell>
          <cell r="G993">
            <v>37937</v>
          </cell>
          <cell r="H993">
            <v>886</v>
          </cell>
          <cell r="I993" t="str">
            <v>деп</v>
          </cell>
          <cell r="J993">
            <v>38849</v>
          </cell>
        </row>
        <row r="994">
          <cell r="A994">
            <v>58740069</v>
          </cell>
          <cell r="B994" t="str">
            <v>МОСК.ГОС.УНИВ-Т ПУТЕЙ СООБ</v>
          </cell>
          <cell r="C994" t="str">
            <v>ПОДМОСКОВНАЯ (МСK)</v>
          </cell>
          <cell r="D994">
            <v>31856</v>
          </cell>
          <cell r="E994">
            <v>37154</v>
          </cell>
          <cell r="F994">
            <v>350</v>
          </cell>
          <cell r="G994">
            <v>37937</v>
          </cell>
          <cell r="H994">
            <v>886</v>
          </cell>
          <cell r="I994" t="str">
            <v>деп</v>
          </cell>
          <cell r="J994">
            <v>38849</v>
          </cell>
        </row>
        <row r="995">
          <cell r="A995">
            <v>58740077</v>
          </cell>
          <cell r="B995" t="str">
            <v>МОСК.ГОС.УНИВ-Т ПУТЕЙ СООБ</v>
          </cell>
          <cell r="C995" t="str">
            <v>ПОДМОСКОВНАЯ (МСK)</v>
          </cell>
          <cell r="D995">
            <v>31856</v>
          </cell>
          <cell r="E995">
            <v>37154</v>
          </cell>
          <cell r="F995">
            <v>350</v>
          </cell>
          <cell r="G995">
            <v>37937</v>
          </cell>
          <cell r="H995">
            <v>886</v>
          </cell>
          <cell r="I995" t="str">
            <v>деп</v>
          </cell>
          <cell r="J995">
            <v>38849</v>
          </cell>
        </row>
        <row r="996">
          <cell r="A996">
            <v>58740085</v>
          </cell>
          <cell r="B996" t="str">
            <v>МОСК.ГОС.УНИВ-Т ПУТЕЙ СООБ</v>
          </cell>
          <cell r="C996" t="str">
            <v>ПОДМОСКОВНАЯ (МСK)</v>
          </cell>
          <cell r="D996">
            <v>31856</v>
          </cell>
          <cell r="E996">
            <v>37771</v>
          </cell>
          <cell r="F996">
            <v>350</v>
          </cell>
          <cell r="H996">
            <v>0</v>
          </cell>
          <cell r="I996" t="str">
            <v>деп</v>
          </cell>
          <cell r="J996">
            <v>38686</v>
          </cell>
        </row>
        <row r="997">
          <cell r="A997">
            <v>58740101</v>
          </cell>
          <cell r="B997" t="str">
            <v>МОСК.ГОС.УНИВ-Т ПУТЕЙ СООБ</v>
          </cell>
          <cell r="C997" t="str">
            <v>ПОДМОСКОВНАЯ (МСK)</v>
          </cell>
          <cell r="D997">
            <v>31856</v>
          </cell>
          <cell r="E997">
            <v>37771</v>
          </cell>
          <cell r="F997">
            <v>350</v>
          </cell>
          <cell r="H997">
            <v>0</v>
          </cell>
          <cell r="I997" t="str">
            <v>деп</v>
          </cell>
          <cell r="J997">
            <v>38686</v>
          </cell>
        </row>
        <row r="998">
          <cell r="A998">
            <v>58740119</v>
          </cell>
          <cell r="B998" t="str">
            <v>МОСК.ГОС.УНИВ-Т ПУТЕЙ СООБ</v>
          </cell>
          <cell r="C998" t="str">
            <v>ПОДМОСКОВНАЯ (МСK)</v>
          </cell>
          <cell r="D998">
            <v>31856</v>
          </cell>
          <cell r="E998">
            <v>37771</v>
          </cell>
          <cell r="F998">
            <v>350</v>
          </cell>
          <cell r="H998">
            <v>0</v>
          </cell>
          <cell r="I998" t="str">
            <v>деп</v>
          </cell>
          <cell r="J998">
            <v>38686</v>
          </cell>
        </row>
        <row r="999">
          <cell r="A999">
            <v>58740127</v>
          </cell>
          <cell r="B999" t="str">
            <v>МОСК.ГОС.УНИВ-Т ПУТЕЙ СООБ</v>
          </cell>
          <cell r="C999" t="str">
            <v>ПОДМОСКОВНАЯ (МСK)</v>
          </cell>
          <cell r="D999">
            <v>31856</v>
          </cell>
          <cell r="E999">
            <v>37771</v>
          </cell>
          <cell r="F999">
            <v>350</v>
          </cell>
          <cell r="H999">
            <v>0</v>
          </cell>
          <cell r="I999" t="str">
            <v>деп</v>
          </cell>
          <cell r="J999">
            <v>38686</v>
          </cell>
        </row>
        <row r="1000">
          <cell r="A1000">
            <v>58740135</v>
          </cell>
          <cell r="B1000" t="str">
            <v>МОСК.ГОС.УНИВ-Т ПУТЕЙ СООБ</v>
          </cell>
          <cell r="C1000" t="str">
            <v>ПОДМОСКОВНАЯ (МСK)</v>
          </cell>
          <cell r="D1000">
            <v>32082</v>
          </cell>
          <cell r="E1000">
            <v>37554</v>
          </cell>
          <cell r="F1000">
            <v>350</v>
          </cell>
          <cell r="H1000">
            <v>0</v>
          </cell>
          <cell r="I1000" t="str">
            <v>кап</v>
          </cell>
          <cell r="J1000">
            <v>38467</v>
          </cell>
        </row>
        <row r="1001">
          <cell r="A1001">
            <v>58740143</v>
          </cell>
          <cell r="B1001" t="str">
            <v>МОСК.ГОС.УНИВ-Т ПУТЕЙ СООБ</v>
          </cell>
          <cell r="C1001" t="str">
            <v>ПОДМОСКОВНАЯ (МСK)</v>
          </cell>
          <cell r="D1001">
            <v>32082</v>
          </cell>
          <cell r="E1001">
            <v>37554</v>
          </cell>
          <cell r="F1001">
            <v>350</v>
          </cell>
          <cell r="H1001">
            <v>0</v>
          </cell>
          <cell r="J1001">
            <v>38467</v>
          </cell>
        </row>
        <row r="1002">
          <cell r="A1002">
            <v>58740150</v>
          </cell>
          <cell r="B1002" t="str">
            <v>МОСК.ГОС.УНИВ-Т ПУТЕЙ СООБ</v>
          </cell>
          <cell r="C1002" t="str">
            <v>ПОДМОСКОВНАЯ (МСK)</v>
          </cell>
          <cell r="D1002">
            <v>32082</v>
          </cell>
          <cell r="E1002">
            <v>37554</v>
          </cell>
          <cell r="F1002">
            <v>350</v>
          </cell>
          <cell r="H1002">
            <v>0</v>
          </cell>
          <cell r="J1002">
            <v>38467</v>
          </cell>
        </row>
        <row r="1003">
          <cell r="A1003">
            <v>58740168</v>
          </cell>
          <cell r="B1003" t="str">
            <v>МОСК.ГОС.УНИВ-Т ПУТЕЙ СООБ</v>
          </cell>
          <cell r="C1003" t="str">
            <v>ПОДМОСКОВНАЯ (МСK)</v>
          </cell>
          <cell r="D1003">
            <v>32082</v>
          </cell>
          <cell r="E1003">
            <v>37554</v>
          </cell>
          <cell r="F1003">
            <v>350</v>
          </cell>
          <cell r="H1003">
            <v>0</v>
          </cell>
          <cell r="J1003">
            <v>38467</v>
          </cell>
        </row>
        <row r="1004">
          <cell r="A1004">
            <v>58740259</v>
          </cell>
          <cell r="B1004" t="str">
            <v>МОСК.ГОС.УНИВ-Т ПУТЕЙ СООБ</v>
          </cell>
          <cell r="C1004" t="str">
            <v>ПОДМОСКОВНАЯ (МСK)</v>
          </cell>
          <cell r="D1004">
            <v>31837</v>
          </cell>
          <cell r="E1004">
            <v>37670</v>
          </cell>
          <cell r="F1004">
            <v>350</v>
          </cell>
          <cell r="H1004">
            <v>0</v>
          </cell>
          <cell r="I1004" t="str">
            <v>кап</v>
          </cell>
          <cell r="J1004">
            <v>38582</v>
          </cell>
        </row>
        <row r="1005">
          <cell r="A1005">
            <v>58740267</v>
          </cell>
          <cell r="B1005" t="str">
            <v>МОСК.ГОС.УНИВ-Т ПУТЕЙ СООБ</v>
          </cell>
          <cell r="C1005" t="str">
            <v>ПОДМОСКОВНАЯ (МСK)</v>
          </cell>
          <cell r="D1005">
            <v>31837</v>
          </cell>
          <cell r="E1005">
            <v>37670</v>
          </cell>
          <cell r="F1005">
            <v>350</v>
          </cell>
          <cell r="H1005">
            <v>0</v>
          </cell>
          <cell r="I1005" t="str">
            <v>кап</v>
          </cell>
          <cell r="J1005">
            <v>38582</v>
          </cell>
        </row>
        <row r="1006">
          <cell r="A1006">
            <v>58740275</v>
          </cell>
          <cell r="B1006" t="str">
            <v>МОСК.ГОС.УНИВ-Т ПУТЕЙ СООБ</v>
          </cell>
          <cell r="C1006" t="str">
            <v>ПОДМОСКОВНАЯ (МСK)</v>
          </cell>
          <cell r="D1006">
            <v>31837</v>
          </cell>
          <cell r="E1006">
            <v>37670</v>
          </cell>
          <cell r="F1006">
            <v>350</v>
          </cell>
          <cell r="H1006">
            <v>0</v>
          </cell>
          <cell r="I1006" t="str">
            <v>кап</v>
          </cell>
          <cell r="J1006">
            <v>38582</v>
          </cell>
        </row>
        <row r="1007">
          <cell r="A1007">
            <v>58740283</v>
          </cell>
          <cell r="B1007" t="str">
            <v>МОСК.ГОС.УНИВ-Т ПУТЕЙ СООБ</v>
          </cell>
          <cell r="C1007" t="str">
            <v>ПОДМОСКОВНАЯ (МСK)</v>
          </cell>
          <cell r="D1007">
            <v>31837</v>
          </cell>
          <cell r="E1007">
            <v>37670</v>
          </cell>
          <cell r="F1007">
            <v>350</v>
          </cell>
          <cell r="H1007">
            <v>0</v>
          </cell>
          <cell r="I1007" t="str">
            <v>кап</v>
          </cell>
          <cell r="J1007">
            <v>38582</v>
          </cell>
        </row>
        <row r="1008">
          <cell r="A1008">
            <v>58740309</v>
          </cell>
          <cell r="B1008" t="str">
            <v>МОСК.ГОС.УНИВ-Т ПУТЕЙ СООБ</v>
          </cell>
          <cell r="C1008" t="str">
            <v>ПОДМОСКОВНАЯ (МСK)</v>
          </cell>
          <cell r="D1008">
            <v>31837</v>
          </cell>
          <cell r="E1008">
            <v>37737</v>
          </cell>
          <cell r="F1008">
            <v>350</v>
          </cell>
          <cell r="H1008">
            <v>0</v>
          </cell>
          <cell r="I1008" t="str">
            <v>кап</v>
          </cell>
          <cell r="J1008">
            <v>38651</v>
          </cell>
        </row>
        <row r="1009">
          <cell r="A1009">
            <v>58740317</v>
          </cell>
          <cell r="B1009" t="str">
            <v>МОСК.ГОС.УНИВ-Т ПУТЕЙ СООБ</v>
          </cell>
          <cell r="C1009" t="str">
            <v>ПОДМОСКОВНАЯ (МСK)</v>
          </cell>
          <cell r="D1009">
            <v>31837</v>
          </cell>
          <cell r="E1009">
            <v>37737</v>
          </cell>
          <cell r="F1009">
            <v>350</v>
          </cell>
          <cell r="H1009">
            <v>0</v>
          </cell>
          <cell r="I1009" t="str">
            <v>кап</v>
          </cell>
          <cell r="J1009">
            <v>38651</v>
          </cell>
        </row>
        <row r="1010">
          <cell r="A1010">
            <v>58740325</v>
          </cell>
          <cell r="B1010" t="str">
            <v>МОСК.ГОС.УНИВ-Т ПУТЕЙ СООБ</v>
          </cell>
          <cell r="C1010" t="str">
            <v>ПОДМОСКОВНАЯ (МСK)</v>
          </cell>
          <cell r="D1010">
            <v>31837</v>
          </cell>
          <cell r="E1010">
            <v>37737</v>
          </cell>
          <cell r="F1010">
            <v>350</v>
          </cell>
          <cell r="H1010">
            <v>0</v>
          </cell>
          <cell r="I1010" t="str">
            <v>кап</v>
          </cell>
          <cell r="J1010">
            <v>38651</v>
          </cell>
        </row>
        <row r="1011">
          <cell r="A1011">
            <v>58740333</v>
          </cell>
          <cell r="B1011" t="str">
            <v>МОСК.ГОС.УНИВ-Т ПУТЕЙ СООБ</v>
          </cell>
          <cell r="C1011" t="str">
            <v>ПОДМОСКОВНАЯ (МСK)</v>
          </cell>
          <cell r="D1011">
            <v>31837</v>
          </cell>
          <cell r="E1011">
            <v>37737</v>
          </cell>
          <cell r="F1011">
            <v>350</v>
          </cell>
          <cell r="H1011">
            <v>0</v>
          </cell>
          <cell r="I1011" t="str">
            <v>кап</v>
          </cell>
          <cell r="J1011">
            <v>38651</v>
          </cell>
        </row>
        <row r="1012">
          <cell r="A1012">
            <v>58740341</v>
          </cell>
          <cell r="B1012" t="str">
            <v>МОСК.ГОС.УНИВ-Т ПУТЕЙ СООБ</v>
          </cell>
          <cell r="C1012" t="str">
            <v>ПОДМОСКОВНАЯ (МСK)</v>
          </cell>
          <cell r="D1012">
            <v>31837</v>
          </cell>
          <cell r="E1012">
            <v>37111</v>
          </cell>
          <cell r="F1012">
            <v>350</v>
          </cell>
          <cell r="G1012">
            <v>37901</v>
          </cell>
          <cell r="H1012">
            <v>886</v>
          </cell>
          <cell r="I1012" t="str">
            <v>деп</v>
          </cell>
          <cell r="J1012">
            <v>38814</v>
          </cell>
        </row>
        <row r="1013">
          <cell r="A1013">
            <v>58740358</v>
          </cell>
          <cell r="B1013" t="str">
            <v>МОСК.ГОС.УНИВ-Т ПУТЕЙ СООБ</v>
          </cell>
          <cell r="C1013" t="str">
            <v>ПОДМОСКОВНАЯ (МСK)</v>
          </cell>
          <cell r="D1013">
            <v>31837</v>
          </cell>
          <cell r="E1013">
            <v>37111</v>
          </cell>
          <cell r="F1013">
            <v>350</v>
          </cell>
          <cell r="G1013">
            <v>37901</v>
          </cell>
          <cell r="H1013">
            <v>886</v>
          </cell>
          <cell r="I1013" t="str">
            <v>деп</v>
          </cell>
          <cell r="J1013">
            <v>38814</v>
          </cell>
        </row>
        <row r="1014">
          <cell r="A1014">
            <v>58740366</v>
          </cell>
          <cell r="B1014" t="str">
            <v>МОСК.ГОС.УНИВ-Т ПУТЕЙ СООБ</v>
          </cell>
          <cell r="C1014" t="str">
            <v>ПОДМОСКОВНАЯ (МСK)</v>
          </cell>
          <cell r="D1014">
            <v>31837</v>
          </cell>
          <cell r="E1014">
            <v>37111</v>
          </cell>
          <cell r="F1014">
            <v>350</v>
          </cell>
          <cell r="G1014">
            <v>37901</v>
          </cell>
          <cell r="H1014">
            <v>886</v>
          </cell>
          <cell r="I1014" t="str">
            <v>деп</v>
          </cell>
          <cell r="J1014">
            <v>38814</v>
          </cell>
        </row>
        <row r="1015">
          <cell r="A1015">
            <v>58740374</v>
          </cell>
          <cell r="B1015" t="str">
            <v>МОСК.ГОС.УНИВ-Т ПУТЕЙ СООБ</v>
          </cell>
          <cell r="C1015" t="str">
            <v>ПОДМОСКОВНАЯ (МСK)</v>
          </cell>
          <cell r="D1015">
            <v>31837</v>
          </cell>
          <cell r="E1015">
            <v>37111</v>
          </cell>
          <cell r="F1015">
            <v>350</v>
          </cell>
          <cell r="G1015">
            <v>37901</v>
          </cell>
          <cell r="H1015">
            <v>886</v>
          </cell>
          <cell r="I1015" t="str">
            <v>деп</v>
          </cell>
          <cell r="J1015">
            <v>38814</v>
          </cell>
        </row>
        <row r="1016">
          <cell r="A1016">
            <v>58740382</v>
          </cell>
          <cell r="B1016" t="str">
            <v>МОСК.ГОС.УНИВ-Т ПУТЕЙ СООБ</v>
          </cell>
          <cell r="C1016" t="str">
            <v>ПОДМОСКОВНАЯ (МСK)</v>
          </cell>
          <cell r="D1016">
            <v>31868</v>
          </cell>
          <cell r="E1016">
            <v>37804</v>
          </cell>
          <cell r="F1016">
            <v>350</v>
          </cell>
          <cell r="H1016">
            <v>0</v>
          </cell>
          <cell r="I1016" t="str">
            <v>кап</v>
          </cell>
          <cell r="J1016">
            <v>38719</v>
          </cell>
        </row>
        <row r="1017">
          <cell r="A1017">
            <v>58740408</v>
          </cell>
          <cell r="B1017" t="str">
            <v>МОСК.ГОС.УНИВ-Т ПУТЕЙ СООБ</v>
          </cell>
          <cell r="C1017" t="str">
            <v>ПОДМОСКОВНАЯ (МСK)</v>
          </cell>
          <cell r="D1017">
            <v>31868</v>
          </cell>
          <cell r="E1017">
            <v>37804</v>
          </cell>
          <cell r="F1017">
            <v>350</v>
          </cell>
          <cell r="H1017">
            <v>0</v>
          </cell>
          <cell r="I1017" t="str">
            <v>кап</v>
          </cell>
          <cell r="J1017">
            <v>38719</v>
          </cell>
        </row>
        <row r="1018">
          <cell r="A1018">
            <v>58740416</v>
          </cell>
          <cell r="B1018" t="str">
            <v>МОСК.ГОС.УНИВ-Т ПУТЕЙ СООБ</v>
          </cell>
          <cell r="C1018" t="str">
            <v>ПОДМОСКОВНАЯ (МСK)</v>
          </cell>
          <cell r="D1018">
            <v>31868</v>
          </cell>
          <cell r="E1018">
            <v>37804</v>
          </cell>
          <cell r="F1018">
            <v>350</v>
          </cell>
          <cell r="H1018">
            <v>0</v>
          </cell>
          <cell r="I1018" t="str">
            <v>кап</v>
          </cell>
          <cell r="J1018">
            <v>38719</v>
          </cell>
        </row>
        <row r="1019">
          <cell r="A1019">
            <v>58740424</v>
          </cell>
          <cell r="B1019" t="str">
            <v>МОСК.ГОС.УНИВ-Т ПУТЕЙ СООБ</v>
          </cell>
          <cell r="C1019" t="str">
            <v>ПОДМОСКОВНАЯ (МСK)</v>
          </cell>
          <cell r="D1019">
            <v>31868</v>
          </cell>
          <cell r="E1019">
            <v>37804</v>
          </cell>
          <cell r="F1019">
            <v>350</v>
          </cell>
          <cell r="H1019">
            <v>0</v>
          </cell>
          <cell r="I1019" t="str">
            <v>кап</v>
          </cell>
          <cell r="J1019">
            <v>38719</v>
          </cell>
        </row>
        <row r="1020">
          <cell r="B1020" t="str">
            <v>МОСК.ГОС.УНИВ-Т ПУТЕЙ СООБ Количество</v>
          </cell>
          <cell r="D1020">
            <v>40</v>
          </cell>
        </row>
        <row r="1021">
          <cell r="A1021">
            <v>53700977</v>
          </cell>
          <cell r="B1021" t="str">
            <v>МОСТ</v>
          </cell>
          <cell r="C1021" t="str">
            <v>ЛИСИЙ НОС    (ОКТ)</v>
          </cell>
          <cell r="D1021">
            <v>33387</v>
          </cell>
          <cell r="E1021">
            <v>36642</v>
          </cell>
          <cell r="F1021">
            <v>332</v>
          </cell>
          <cell r="G1021">
            <v>37249</v>
          </cell>
          <cell r="H1021">
            <v>341</v>
          </cell>
          <cell r="I1021" t="str">
            <v>деп</v>
          </cell>
          <cell r="J1021">
            <v>38345</v>
          </cell>
        </row>
        <row r="1022">
          <cell r="A1022">
            <v>58340027</v>
          </cell>
          <cell r="B1022" t="str">
            <v>МОСТ</v>
          </cell>
          <cell r="C1022" t="str">
            <v>УЛАН-УДЭ     (ВСБ)</v>
          </cell>
          <cell r="D1022">
            <v>31478</v>
          </cell>
          <cell r="E1022">
            <v>37383</v>
          </cell>
          <cell r="F1022">
            <v>653</v>
          </cell>
          <cell r="G1022">
            <v>35891</v>
          </cell>
          <cell r="I1022" t="str">
            <v>деп</v>
          </cell>
          <cell r="J1022">
            <v>38114</v>
          </cell>
        </row>
        <row r="1023">
          <cell r="B1023" t="str">
            <v>МОСТ Количество</v>
          </cell>
          <cell r="D1023">
            <v>2</v>
          </cell>
        </row>
        <row r="1024">
          <cell r="A1024">
            <v>53702882</v>
          </cell>
          <cell r="B1024" t="str">
            <v>МОСЭНЕРГОСТРОЙ УЖТ</v>
          </cell>
          <cell r="C1024" t="str">
            <v>КР.СТРОИТЕЛЬ (МСK)</v>
          </cell>
          <cell r="D1024">
            <v>26451</v>
          </cell>
          <cell r="E1024">
            <v>37272</v>
          </cell>
          <cell r="F1024">
            <v>350</v>
          </cell>
          <cell r="G1024">
            <v>34310</v>
          </cell>
          <cell r="H1024">
            <v>0</v>
          </cell>
          <cell r="I1024" t="str">
            <v>деп</v>
          </cell>
          <cell r="J1024">
            <v>38002</v>
          </cell>
        </row>
        <row r="1025">
          <cell r="A1025">
            <v>53702908</v>
          </cell>
          <cell r="B1025" t="str">
            <v>МОСЭНЕРГОСТРОЙ УЖТ</v>
          </cell>
          <cell r="C1025" t="str">
            <v>КР.СТРОИТЕЛЬ (МСK)</v>
          </cell>
          <cell r="D1025">
            <v>26299</v>
          </cell>
          <cell r="E1025">
            <v>37508</v>
          </cell>
          <cell r="F1025">
            <v>350</v>
          </cell>
          <cell r="G1025">
            <v>34693</v>
          </cell>
          <cell r="H1025">
            <v>0</v>
          </cell>
          <cell r="I1025" t="str">
            <v>деп</v>
          </cell>
          <cell r="J1025">
            <v>38239</v>
          </cell>
        </row>
        <row r="1026">
          <cell r="A1026">
            <v>53702916</v>
          </cell>
          <cell r="B1026" t="str">
            <v>МОСЭНЕРГОСТРОЙ УЖТ</v>
          </cell>
          <cell r="C1026" t="str">
            <v>КР.СТРОИТЕЛЬ (МСK)</v>
          </cell>
          <cell r="D1026">
            <v>26299</v>
          </cell>
          <cell r="E1026">
            <v>37211</v>
          </cell>
          <cell r="F1026">
            <v>350</v>
          </cell>
          <cell r="G1026">
            <v>34673</v>
          </cell>
          <cell r="H1026">
            <v>0</v>
          </cell>
          <cell r="I1026" t="str">
            <v>деп</v>
          </cell>
          <cell r="J1026">
            <v>37941</v>
          </cell>
        </row>
        <row r="1027">
          <cell r="A1027">
            <v>53702924</v>
          </cell>
          <cell r="B1027" t="str">
            <v>МОСЭНЕРГОСТРОЙ УЖТ</v>
          </cell>
          <cell r="C1027" t="str">
            <v>КР.СТРОИТЕЛЬ (МСK)</v>
          </cell>
          <cell r="D1027">
            <v>26299</v>
          </cell>
          <cell r="E1027">
            <v>37985</v>
          </cell>
          <cell r="F1027">
            <v>350</v>
          </cell>
          <cell r="G1027">
            <v>34614</v>
          </cell>
          <cell r="H1027">
            <v>0</v>
          </cell>
          <cell r="I1027" t="str">
            <v>деп</v>
          </cell>
          <cell r="J1027">
            <v>38716</v>
          </cell>
        </row>
        <row r="1028">
          <cell r="A1028">
            <v>53704433</v>
          </cell>
          <cell r="B1028" t="str">
            <v>МОСЭНЕРГОСТРОЙ УЖТ</v>
          </cell>
          <cell r="C1028" t="str">
            <v>КР.СТРОИТЕЛЬ (МСK)</v>
          </cell>
          <cell r="D1028">
            <v>29952</v>
          </cell>
          <cell r="E1028">
            <v>37869</v>
          </cell>
          <cell r="F1028">
            <v>350</v>
          </cell>
          <cell r="G1028">
            <v>32417</v>
          </cell>
          <cell r="H1028">
            <v>0</v>
          </cell>
          <cell r="I1028" t="str">
            <v>деп</v>
          </cell>
          <cell r="J1028">
            <v>38600</v>
          </cell>
        </row>
        <row r="1029">
          <cell r="A1029">
            <v>53704441</v>
          </cell>
          <cell r="B1029" t="str">
            <v>МОСЭНЕРГОСТРОЙ УЖТ</v>
          </cell>
          <cell r="C1029" t="str">
            <v>КР.СТРОИТЕЛЬ (МСK)</v>
          </cell>
          <cell r="D1029">
            <v>27760</v>
          </cell>
          <cell r="E1029">
            <v>36857</v>
          </cell>
          <cell r="F1029">
            <v>350</v>
          </cell>
          <cell r="G1029">
            <v>32417</v>
          </cell>
          <cell r="I1029" t="str">
            <v>деп</v>
          </cell>
          <cell r="J1029">
            <v>37952</v>
          </cell>
        </row>
        <row r="1030">
          <cell r="B1030" t="str">
            <v>МОСЭНЕРГОСТРОЙ УЖТ Количество</v>
          </cell>
          <cell r="D1030">
            <v>6</v>
          </cell>
        </row>
        <row r="1031">
          <cell r="A1031">
            <v>53402004</v>
          </cell>
          <cell r="B1031" t="str">
            <v>МОТО КЛУБ СОЮЗ</v>
          </cell>
          <cell r="C1031" t="str">
            <v>РОСТОВ-ЗАПАД (СКВ)</v>
          </cell>
          <cell r="D1031">
            <v>30590</v>
          </cell>
          <cell r="E1031">
            <v>37845</v>
          </cell>
          <cell r="F1031">
            <v>330</v>
          </cell>
          <cell r="G1031">
            <v>35330</v>
          </cell>
          <cell r="H1031">
            <v>490</v>
          </cell>
          <cell r="I1031" t="str">
            <v>деп</v>
          </cell>
          <cell r="J1031">
            <v>38576</v>
          </cell>
        </row>
        <row r="1032">
          <cell r="B1032" t="str">
            <v>МОТО КЛУБ СОЮЗ Количество</v>
          </cell>
          <cell r="D1032">
            <v>1</v>
          </cell>
        </row>
        <row r="1033">
          <cell r="A1033">
            <v>53706214</v>
          </cell>
          <cell r="B1033" t="str">
            <v>МЧ-3</v>
          </cell>
          <cell r="C1033" t="str">
            <v>КРАСНОЯРСК   (КРС)</v>
          </cell>
          <cell r="D1033">
            <v>31564</v>
          </cell>
          <cell r="E1033">
            <v>37454</v>
          </cell>
          <cell r="F1033">
            <v>633</v>
          </cell>
          <cell r="H1033">
            <v>0</v>
          </cell>
          <cell r="I1033" t="str">
            <v>кап</v>
          </cell>
          <cell r="J1033">
            <v>38003</v>
          </cell>
        </row>
        <row r="1034">
          <cell r="A1034">
            <v>58726092</v>
          </cell>
          <cell r="B1034" t="str">
            <v>МЧ-3</v>
          </cell>
          <cell r="C1034" t="str">
            <v>КРАСНОЯРСК   (КРС)</v>
          </cell>
          <cell r="D1034">
            <v>31564</v>
          </cell>
          <cell r="E1034">
            <v>37454</v>
          </cell>
          <cell r="F1034">
            <v>633</v>
          </cell>
          <cell r="H1034">
            <v>0</v>
          </cell>
          <cell r="I1034" t="str">
            <v>кап</v>
          </cell>
          <cell r="J1034">
            <v>38003</v>
          </cell>
        </row>
        <row r="1035">
          <cell r="A1035">
            <v>58726191</v>
          </cell>
          <cell r="B1035" t="str">
            <v>МЧ-3</v>
          </cell>
          <cell r="C1035" t="str">
            <v>КРАСНОЯРСК   (КРС)</v>
          </cell>
          <cell r="D1035">
            <v>31564</v>
          </cell>
          <cell r="E1035">
            <v>37454</v>
          </cell>
          <cell r="F1035">
            <v>633</v>
          </cell>
          <cell r="H1035">
            <v>0</v>
          </cell>
          <cell r="I1035" t="str">
            <v>кап</v>
          </cell>
          <cell r="J1035">
            <v>38003</v>
          </cell>
        </row>
        <row r="1036">
          <cell r="A1036">
            <v>58726290</v>
          </cell>
          <cell r="B1036" t="str">
            <v>МЧ-3</v>
          </cell>
          <cell r="C1036" t="str">
            <v>КРАСНОЯРСК   (КРС)</v>
          </cell>
          <cell r="D1036">
            <v>31564</v>
          </cell>
          <cell r="E1036">
            <v>37454</v>
          </cell>
          <cell r="F1036">
            <v>633</v>
          </cell>
          <cell r="H1036">
            <v>0</v>
          </cell>
          <cell r="I1036" t="str">
            <v>кап</v>
          </cell>
          <cell r="J1036">
            <v>38003</v>
          </cell>
        </row>
        <row r="1037">
          <cell r="A1037">
            <v>58726399</v>
          </cell>
          <cell r="B1037" t="str">
            <v>МЧ-3</v>
          </cell>
          <cell r="C1037" t="str">
            <v>КРАСНОЯРСК   (КРС)</v>
          </cell>
          <cell r="D1037">
            <v>31564</v>
          </cell>
          <cell r="E1037">
            <v>37454</v>
          </cell>
          <cell r="F1037">
            <v>633</v>
          </cell>
          <cell r="H1037">
            <v>0</v>
          </cell>
          <cell r="I1037" t="str">
            <v>кап</v>
          </cell>
          <cell r="J1037">
            <v>38003</v>
          </cell>
        </row>
        <row r="1038">
          <cell r="B1038" t="str">
            <v>МЧ-3 Количество</v>
          </cell>
          <cell r="D1038">
            <v>5</v>
          </cell>
        </row>
        <row r="1039">
          <cell r="A1039">
            <v>53702379</v>
          </cell>
          <cell r="B1039" t="str">
            <v>НАДЫМГАЗСНАБКОМПЛЕКТ</v>
          </cell>
          <cell r="C1039" t="str">
            <v>ПАНГОДЫ      (СВР)</v>
          </cell>
          <cell r="D1039">
            <v>33970</v>
          </cell>
          <cell r="E1039">
            <v>37056</v>
          </cell>
          <cell r="F1039">
            <v>1016</v>
          </cell>
          <cell r="G1039">
            <v>37793</v>
          </cell>
          <cell r="H1039">
            <v>586</v>
          </cell>
          <cell r="I1039" t="str">
            <v>деп</v>
          </cell>
          <cell r="J1039">
            <v>38889</v>
          </cell>
        </row>
        <row r="1040">
          <cell r="B1040" t="str">
            <v>НАДЫМГАЗСНАБКОМПЛЕКТ Количество</v>
          </cell>
          <cell r="D1040">
            <v>1</v>
          </cell>
        </row>
        <row r="1041">
          <cell r="A1041">
            <v>58724873</v>
          </cell>
          <cell r="B1041" t="str">
            <v>НАХОДКА ФИШИНГ СЕРВИС</v>
          </cell>
          <cell r="C1041" t="str">
            <v>УССУРИЙСК    (ДВС)</v>
          </cell>
          <cell r="D1041">
            <v>33249</v>
          </cell>
          <cell r="E1041">
            <v>37953</v>
          </cell>
          <cell r="F1041">
            <v>163</v>
          </cell>
          <cell r="H1041">
            <v>0</v>
          </cell>
          <cell r="I1041" t="str">
            <v>деп</v>
          </cell>
          <cell r="J1041">
            <v>38500</v>
          </cell>
        </row>
        <row r="1042">
          <cell r="B1042" t="str">
            <v>НАХОДКА ФИШИНГ СЕРВИС Количество</v>
          </cell>
          <cell r="D1042">
            <v>1</v>
          </cell>
        </row>
        <row r="1043">
          <cell r="A1043">
            <v>58002296</v>
          </cell>
          <cell r="B1043" t="str">
            <v>НЕВАРЕФТРАНС ТК</v>
          </cell>
          <cell r="C1043" t="str">
            <v>СРЕДНЕРОГАТС (ОКТ)</v>
          </cell>
          <cell r="D1043">
            <v>29481</v>
          </cell>
          <cell r="E1043">
            <v>35765</v>
          </cell>
          <cell r="F1043">
            <v>1097</v>
          </cell>
          <cell r="G1043">
            <v>37946</v>
          </cell>
          <cell r="H1043">
            <v>1097</v>
          </cell>
          <cell r="I1043" t="str">
            <v>деп</v>
          </cell>
          <cell r="J1043">
            <v>38677</v>
          </cell>
        </row>
        <row r="1044">
          <cell r="A1044">
            <v>58002395</v>
          </cell>
          <cell r="B1044" t="str">
            <v>НЕВАРЕФТРАНС ТК</v>
          </cell>
          <cell r="C1044" t="str">
            <v>СРЕДНЕРОГАТС (ОКТ)</v>
          </cell>
          <cell r="D1044">
            <v>29651</v>
          </cell>
          <cell r="E1044">
            <v>33723</v>
          </cell>
          <cell r="F1044">
            <v>1097</v>
          </cell>
          <cell r="G1044">
            <v>37946</v>
          </cell>
          <cell r="H1044">
            <v>1097</v>
          </cell>
          <cell r="I1044" t="str">
            <v>деп</v>
          </cell>
          <cell r="J1044">
            <v>38677</v>
          </cell>
        </row>
        <row r="1045">
          <cell r="A1045">
            <v>58002494</v>
          </cell>
          <cell r="B1045" t="str">
            <v>НЕВАРЕФТРАНС ТК</v>
          </cell>
          <cell r="C1045" t="str">
            <v>СРЕДНЕРОГАТС (ОКТ)</v>
          </cell>
          <cell r="D1045">
            <v>29672</v>
          </cell>
          <cell r="E1045">
            <v>34568</v>
          </cell>
          <cell r="F1045">
            <v>1097</v>
          </cell>
          <cell r="G1045">
            <v>37946</v>
          </cell>
          <cell r="H1045">
            <v>1097</v>
          </cell>
          <cell r="I1045" t="str">
            <v>деп</v>
          </cell>
          <cell r="J1045">
            <v>38677</v>
          </cell>
        </row>
        <row r="1046">
          <cell r="A1046">
            <v>58002593</v>
          </cell>
          <cell r="B1046" t="str">
            <v>НЕВАРЕФТРАНС ТК</v>
          </cell>
          <cell r="C1046" t="str">
            <v>СРЕДНЕРОГАТС (ОКТ)</v>
          </cell>
          <cell r="D1046">
            <v>29672</v>
          </cell>
          <cell r="E1046">
            <v>33704</v>
          </cell>
          <cell r="F1046">
            <v>1097</v>
          </cell>
          <cell r="G1046">
            <v>37946</v>
          </cell>
          <cell r="H1046">
            <v>1097</v>
          </cell>
          <cell r="I1046" t="str">
            <v>деп</v>
          </cell>
          <cell r="J1046">
            <v>38677</v>
          </cell>
        </row>
        <row r="1047">
          <cell r="A1047">
            <v>58002692</v>
          </cell>
          <cell r="B1047" t="str">
            <v>НЕВАРЕФТРАНС ТК</v>
          </cell>
          <cell r="C1047" t="str">
            <v>СРЕДНЕРОГАТС (ОКТ)</v>
          </cell>
          <cell r="D1047">
            <v>29691</v>
          </cell>
          <cell r="E1047">
            <v>34577</v>
          </cell>
          <cell r="F1047">
            <v>1097</v>
          </cell>
          <cell r="G1047">
            <v>37946</v>
          </cell>
          <cell r="H1047">
            <v>1097</v>
          </cell>
          <cell r="I1047" t="str">
            <v>деп</v>
          </cell>
          <cell r="J1047">
            <v>38677</v>
          </cell>
        </row>
        <row r="1048">
          <cell r="A1048">
            <v>58002809</v>
          </cell>
          <cell r="B1048" t="str">
            <v>НЕВАРЕФТРАНС ТК</v>
          </cell>
          <cell r="C1048" t="str">
            <v>СРЕДНЕРОГАТС (ОКТ)</v>
          </cell>
          <cell r="D1048">
            <v>29426</v>
          </cell>
          <cell r="F1048">
            <v>0</v>
          </cell>
          <cell r="G1048">
            <v>37952</v>
          </cell>
          <cell r="H1048">
            <v>1097</v>
          </cell>
          <cell r="I1048" t="str">
            <v>деп</v>
          </cell>
          <cell r="J1048">
            <v>38683</v>
          </cell>
        </row>
        <row r="1049">
          <cell r="A1049">
            <v>58002817</v>
          </cell>
          <cell r="B1049" t="str">
            <v>НЕВАРЕФТРАНС ТК</v>
          </cell>
          <cell r="C1049" t="str">
            <v>СРЕДНЕРОГАТС (ОКТ)</v>
          </cell>
          <cell r="D1049">
            <v>29425</v>
          </cell>
          <cell r="F1049">
            <v>0</v>
          </cell>
          <cell r="G1049">
            <v>37951</v>
          </cell>
          <cell r="H1049">
            <v>1097</v>
          </cell>
          <cell r="I1049" t="str">
            <v>деп</v>
          </cell>
          <cell r="J1049">
            <v>38682</v>
          </cell>
        </row>
        <row r="1050">
          <cell r="A1050">
            <v>58002825</v>
          </cell>
          <cell r="B1050" t="str">
            <v>НЕВАРЕФТРАНС ТК</v>
          </cell>
          <cell r="C1050" t="str">
            <v>СРЕДНЕРОГАТС (ОКТ)</v>
          </cell>
          <cell r="D1050">
            <v>29425</v>
          </cell>
          <cell r="F1050">
            <v>0</v>
          </cell>
          <cell r="G1050">
            <v>37951</v>
          </cell>
          <cell r="H1050">
            <v>1097</v>
          </cell>
          <cell r="I1050" t="str">
            <v>деп</v>
          </cell>
          <cell r="J1050">
            <v>38682</v>
          </cell>
        </row>
        <row r="1051">
          <cell r="A1051">
            <v>58002833</v>
          </cell>
          <cell r="B1051" t="str">
            <v>НЕВАРЕФТРАНС ТК</v>
          </cell>
          <cell r="C1051" t="str">
            <v>СРЕДНЕРОГАТС (ОКТ)</v>
          </cell>
          <cell r="D1051">
            <v>29447</v>
          </cell>
          <cell r="F1051">
            <v>0</v>
          </cell>
          <cell r="G1051">
            <v>37970</v>
          </cell>
          <cell r="H1051">
            <v>1097</v>
          </cell>
          <cell r="I1051" t="str">
            <v>деп</v>
          </cell>
          <cell r="J1051">
            <v>38701</v>
          </cell>
        </row>
        <row r="1052">
          <cell r="A1052">
            <v>58002841</v>
          </cell>
          <cell r="B1052" t="str">
            <v>НЕВАРЕФТРАНС ТК</v>
          </cell>
          <cell r="C1052" t="str">
            <v>СРЕДНЕРОГАТС (ОКТ)</v>
          </cell>
          <cell r="D1052">
            <v>29481</v>
          </cell>
          <cell r="F1052">
            <v>0</v>
          </cell>
          <cell r="G1052">
            <v>37974</v>
          </cell>
          <cell r="H1052">
            <v>527</v>
          </cell>
          <cell r="I1052" t="str">
            <v>деп</v>
          </cell>
          <cell r="J1052">
            <v>38705</v>
          </cell>
        </row>
        <row r="1053">
          <cell r="A1053">
            <v>58002858</v>
          </cell>
          <cell r="B1053" t="str">
            <v>НЕВАРЕФТРАНС ТК</v>
          </cell>
          <cell r="C1053" t="str">
            <v>СРЕДНЕРОГАТС (ОКТ)</v>
          </cell>
          <cell r="D1053">
            <v>29494</v>
          </cell>
          <cell r="F1053">
            <v>0</v>
          </cell>
          <cell r="G1053">
            <v>37974</v>
          </cell>
          <cell r="H1053">
            <v>527</v>
          </cell>
          <cell r="I1053" t="str">
            <v>деп</v>
          </cell>
          <cell r="J1053">
            <v>38705</v>
          </cell>
        </row>
        <row r="1054">
          <cell r="A1054">
            <v>58002866</v>
          </cell>
          <cell r="B1054" t="str">
            <v>НЕВАРЕФТРАНС ТК</v>
          </cell>
          <cell r="C1054" t="str">
            <v>СРЕДНЕРОГАТС (ОКТ)</v>
          </cell>
          <cell r="D1054">
            <v>29494</v>
          </cell>
          <cell r="F1054">
            <v>0</v>
          </cell>
          <cell r="G1054">
            <v>37970</v>
          </cell>
          <cell r="H1054">
            <v>1097</v>
          </cell>
          <cell r="I1054" t="str">
            <v>деп</v>
          </cell>
          <cell r="J1054">
            <v>38701</v>
          </cell>
        </row>
        <row r="1055">
          <cell r="A1055">
            <v>58002874</v>
          </cell>
          <cell r="B1055" t="str">
            <v>НЕВАРЕФТРАНС ТК</v>
          </cell>
          <cell r="C1055" t="str">
            <v>СРЕДНЕРОГАТС (ОКТ)</v>
          </cell>
          <cell r="D1055">
            <v>29523</v>
          </cell>
          <cell r="F1055">
            <v>0</v>
          </cell>
          <cell r="G1055">
            <v>37952</v>
          </cell>
          <cell r="H1055">
            <v>1097</v>
          </cell>
          <cell r="I1055" t="str">
            <v>деп</v>
          </cell>
          <cell r="J1055">
            <v>38683</v>
          </cell>
        </row>
        <row r="1056">
          <cell r="A1056">
            <v>58002882</v>
          </cell>
          <cell r="B1056" t="str">
            <v>НЕВАРЕФТРАНС ТК</v>
          </cell>
          <cell r="C1056" t="str">
            <v>СРЕДНЕРОГАТС (ОКТ)</v>
          </cell>
          <cell r="D1056">
            <v>29543</v>
          </cell>
          <cell r="F1056">
            <v>0</v>
          </cell>
          <cell r="G1056">
            <v>37970</v>
          </cell>
          <cell r="H1056">
            <v>1097</v>
          </cell>
          <cell r="I1056" t="str">
            <v>деп</v>
          </cell>
          <cell r="J1056">
            <v>38701</v>
          </cell>
        </row>
        <row r="1057">
          <cell r="A1057">
            <v>58002908</v>
          </cell>
          <cell r="B1057" t="str">
            <v>НЕВАРЕФТРАНС ТК</v>
          </cell>
          <cell r="C1057" t="str">
            <v>СРЕДНЕРОГАТС (ОКТ)</v>
          </cell>
          <cell r="D1057">
            <v>29558</v>
          </cell>
          <cell r="F1057">
            <v>0</v>
          </cell>
          <cell r="G1057">
            <v>37970</v>
          </cell>
          <cell r="H1057">
            <v>1097</v>
          </cell>
          <cell r="I1057" t="str">
            <v>деп</v>
          </cell>
          <cell r="J1057">
            <v>38701</v>
          </cell>
        </row>
        <row r="1058">
          <cell r="A1058">
            <v>58002916</v>
          </cell>
          <cell r="B1058" t="str">
            <v>НЕВАРЕФТРАНС ТК</v>
          </cell>
          <cell r="C1058" t="str">
            <v>СРЕДНЕРОГАТС (ОКТ)</v>
          </cell>
          <cell r="D1058">
            <v>29672</v>
          </cell>
          <cell r="F1058">
            <v>0</v>
          </cell>
          <cell r="G1058">
            <v>37970</v>
          </cell>
          <cell r="H1058">
            <v>1097</v>
          </cell>
          <cell r="I1058" t="str">
            <v>деп</v>
          </cell>
          <cell r="J1058">
            <v>38701</v>
          </cell>
        </row>
        <row r="1059">
          <cell r="A1059">
            <v>58002924</v>
          </cell>
          <cell r="B1059" t="str">
            <v>НЕВАРЕФТРАНС ТК</v>
          </cell>
          <cell r="C1059" t="str">
            <v>СРЕДНЕРОГАТС (ОКТ)</v>
          </cell>
          <cell r="D1059">
            <v>29676</v>
          </cell>
          <cell r="F1059">
            <v>0</v>
          </cell>
          <cell r="G1059">
            <v>37974</v>
          </cell>
          <cell r="H1059">
            <v>527</v>
          </cell>
          <cell r="I1059" t="str">
            <v>деп</v>
          </cell>
          <cell r="J1059">
            <v>38705</v>
          </cell>
        </row>
        <row r="1060">
          <cell r="A1060">
            <v>58002932</v>
          </cell>
          <cell r="B1060" t="str">
            <v>НЕВАРЕФТРАНС ТК</v>
          </cell>
          <cell r="C1060" t="str">
            <v>СРЕДНЕРОГАТС (ОКТ)</v>
          </cell>
          <cell r="D1060">
            <v>29676</v>
          </cell>
          <cell r="F1060">
            <v>0</v>
          </cell>
          <cell r="G1060">
            <v>37951</v>
          </cell>
          <cell r="H1060">
            <v>1097</v>
          </cell>
          <cell r="I1060" t="str">
            <v>деп</v>
          </cell>
          <cell r="J1060">
            <v>38682</v>
          </cell>
        </row>
        <row r="1061">
          <cell r="A1061">
            <v>58002940</v>
          </cell>
          <cell r="B1061" t="str">
            <v>НЕВАРЕФТРАНС ТК</v>
          </cell>
          <cell r="C1061" t="str">
            <v>СРЕДНЕРОГАТС (ОКТ)</v>
          </cell>
          <cell r="D1061">
            <v>30064</v>
          </cell>
          <cell r="F1061">
            <v>0</v>
          </cell>
          <cell r="G1061">
            <v>37953</v>
          </cell>
          <cell r="H1061">
            <v>1097</v>
          </cell>
          <cell r="I1061" t="str">
            <v>деп</v>
          </cell>
          <cell r="J1061">
            <v>38684</v>
          </cell>
        </row>
        <row r="1062">
          <cell r="A1062">
            <v>58002957</v>
          </cell>
          <cell r="B1062" t="str">
            <v>НЕВАРЕФТРАНС ТК</v>
          </cell>
          <cell r="C1062" t="str">
            <v>СРЕДНЕРОГАТС (ОКТ)</v>
          </cell>
          <cell r="D1062">
            <v>30070</v>
          </cell>
          <cell r="F1062">
            <v>0</v>
          </cell>
          <cell r="G1062">
            <v>37946</v>
          </cell>
          <cell r="H1062">
            <v>1097</v>
          </cell>
          <cell r="I1062" t="str">
            <v>деп</v>
          </cell>
          <cell r="J1062">
            <v>38677</v>
          </cell>
        </row>
        <row r="1063">
          <cell r="A1063">
            <v>58002965</v>
          </cell>
          <cell r="B1063" t="str">
            <v>НЕВАРЕФТРАНС ТК</v>
          </cell>
          <cell r="C1063" t="str">
            <v>СРЕДНЕРОГАТС (ОКТ)</v>
          </cell>
          <cell r="D1063">
            <v>29419</v>
          </cell>
          <cell r="E1063">
            <v>34998</v>
          </cell>
          <cell r="F1063">
            <v>1097</v>
          </cell>
          <cell r="G1063">
            <v>37999</v>
          </cell>
          <cell r="H1063">
            <v>527</v>
          </cell>
          <cell r="I1063" t="str">
            <v>деп</v>
          </cell>
          <cell r="J1063">
            <v>38730</v>
          </cell>
        </row>
        <row r="1064">
          <cell r="A1064">
            <v>58002973</v>
          </cell>
          <cell r="B1064" t="str">
            <v>НЕВАРЕФТРАНС ТК</v>
          </cell>
          <cell r="C1064" t="str">
            <v>СРЕДНЕРОГАТС (ОКТ)</v>
          </cell>
          <cell r="D1064">
            <v>29447</v>
          </cell>
          <cell r="E1064">
            <v>35703</v>
          </cell>
          <cell r="F1064">
            <v>1097</v>
          </cell>
          <cell r="G1064">
            <v>37255</v>
          </cell>
          <cell r="H1064">
            <v>527</v>
          </cell>
          <cell r="I1064" t="str">
            <v>деп</v>
          </cell>
          <cell r="J1064">
            <v>38716</v>
          </cell>
        </row>
        <row r="1065">
          <cell r="A1065">
            <v>58002981</v>
          </cell>
          <cell r="B1065" t="str">
            <v>НЕВАРЕФТРАНС ТК</v>
          </cell>
          <cell r="C1065" t="str">
            <v>СРЕДНЕРОГАТС (ОКТ)</v>
          </cell>
          <cell r="D1065">
            <v>29459</v>
          </cell>
          <cell r="E1065">
            <v>35031</v>
          </cell>
          <cell r="F1065">
            <v>1097</v>
          </cell>
          <cell r="G1065">
            <v>37985</v>
          </cell>
          <cell r="H1065">
            <v>527</v>
          </cell>
          <cell r="I1065" t="str">
            <v>деп</v>
          </cell>
          <cell r="J1065">
            <v>38716</v>
          </cell>
        </row>
        <row r="1066">
          <cell r="A1066">
            <v>58003005</v>
          </cell>
          <cell r="B1066" t="str">
            <v>НЕВАРЕФТРАНС ТК</v>
          </cell>
          <cell r="C1066" t="str">
            <v>СРЕДНЕРОГАТС (ОКТ)</v>
          </cell>
          <cell r="D1066">
            <v>29488</v>
          </cell>
          <cell r="E1066">
            <v>35727</v>
          </cell>
          <cell r="F1066">
            <v>1097</v>
          </cell>
          <cell r="G1066">
            <v>37985</v>
          </cell>
          <cell r="H1066">
            <v>527</v>
          </cell>
          <cell r="I1066" t="str">
            <v>деп</v>
          </cell>
          <cell r="J1066">
            <v>38716</v>
          </cell>
        </row>
        <row r="1067">
          <cell r="A1067">
            <v>58003013</v>
          </cell>
          <cell r="B1067" t="str">
            <v>НЕВАРЕФТРАНС ТК</v>
          </cell>
          <cell r="C1067" t="str">
            <v>СРЕДНЕРОГАТС (ОКТ)</v>
          </cell>
          <cell r="D1067">
            <v>29543</v>
          </cell>
          <cell r="E1067">
            <v>35685</v>
          </cell>
          <cell r="F1067">
            <v>1097</v>
          </cell>
          <cell r="G1067">
            <v>37985</v>
          </cell>
          <cell r="H1067">
            <v>527</v>
          </cell>
          <cell r="I1067" t="str">
            <v>деп</v>
          </cell>
          <cell r="J1067">
            <v>38716</v>
          </cell>
        </row>
        <row r="1068">
          <cell r="A1068">
            <v>58003021</v>
          </cell>
          <cell r="B1068" t="str">
            <v>НЕВАРЕФТРАНС ТК</v>
          </cell>
          <cell r="C1068" t="str">
            <v>СРЕДНЕРОГАТС (ОКТ)</v>
          </cell>
          <cell r="D1068">
            <v>29558</v>
          </cell>
          <cell r="E1068">
            <v>35720</v>
          </cell>
          <cell r="F1068">
            <v>1097</v>
          </cell>
          <cell r="G1068">
            <v>37999</v>
          </cell>
          <cell r="H1068">
            <v>527</v>
          </cell>
          <cell r="I1068" t="str">
            <v>деп</v>
          </cell>
          <cell r="J1068">
            <v>38730</v>
          </cell>
        </row>
        <row r="1069">
          <cell r="A1069">
            <v>58003039</v>
          </cell>
          <cell r="B1069" t="str">
            <v>НЕВАРЕФТРАНС ТК</v>
          </cell>
          <cell r="C1069" t="str">
            <v>СРЕДНЕРОГАТС (ОКТ)</v>
          </cell>
          <cell r="D1069">
            <v>29662</v>
          </cell>
          <cell r="E1069">
            <v>34667</v>
          </cell>
          <cell r="F1069">
            <v>1097</v>
          </cell>
          <cell r="G1069">
            <v>37985</v>
          </cell>
          <cell r="H1069">
            <v>527</v>
          </cell>
          <cell r="I1069" t="str">
            <v>деп</v>
          </cell>
          <cell r="J1069">
            <v>38716</v>
          </cell>
        </row>
        <row r="1070">
          <cell r="B1070" t="str">
            <v>НЕВАРЕФТРАНС ТК Количество</v>
          </cell>
          <cell r="D1070">
            <v>27</v>
          </cell>
        </row>
        <row r="1071">
          <cell r="A1071">
            <v>53701660</v>
          </cell>
          <cell r="B1071" t="str">
            <v>НИЖНЕВАРТОВСКАЯ ГРЭС</v>
          </cell>
          <cell r="C1071" t="str">
            <v>НИЖНЕВАРТ. 1 (СВР)</v>
          </cell>
          <cell r="D1071">
            <v>33491</v>
          </cell>
          <cell r="E1071">
            <v>37036</v>
          </cell>
          <cell r="F1071">
            <v>819</v>
          </cell>
          <cell r="I1071" t="str">
            <v>деп</v>
          </cell>
          <cell r="J1071">
            <v>38132</v>
          </cell>
        </row>
        <row r="1072">
          <cell r="A1072">
            <v>58338666</v>
          </cell>
          <cell r="B1072" t="str">
            <v>НИЖНЕВАРТОВСКАЯ ГРЭС</v>
          </cell>
          <cell r="C1072" t="str">
            <v>НИЖНЕВАРТ. 1 (СВР)</v>
          </cell>
          <cell r="D1072">
            <v>33491</v>
          </cell>
          <cell r="E1072">
            <v>37800</v>
          </cell>
          <cell r="F1072">
            <v>163</v>
          </cell>
          <cell r="I1072" t="str">
            <v>деп</v>
          </cell>
          <cell r="J1072">
            <v>38531</v>
          </cell>
        </row>
        <row r="1073">
          <cell r="A1073">
            <v>58338674</v>
          </cell>
          <cell r="B1073" t="str">
            <v>НИЖНЕВАРТОВСКАЯ ГРЭС</v>
          </cell>
          <cell r="C1073" t="str">
            <v>НИЖНЕВАРТ. 1 (СВР)</v>
          </cell>
          <cell r="D1073">
            <v>33491</v>
          </cell>
          <cell r="E1073">
            <v>37802</v>
          </cell>
          <cell r="F1073">
            <v>163</v>
          </cell>
          <cell r="I1073" t="str">
            <v>деп</v>
          </cell>
          <cell r="J1073">
            <v>38533</v>
          </cell>
        </row>
        <row r="1074">
          <cell r="B1074" t="str">
            <v>НИЖНЕВАРТОВСКАЯ ГРЭС Количество</v>
          </cell>
          <cell r="D1074">
            <v>3</v>
          </cell>
        </row>
        <row r="1075">
          <cell r="A1075">
            <v>53701140</v>
          </cell>
          <cell r="B1075" t="str">
            <v>НОВОСИБИРСКРЕФСЕРВИС</v>
          </cell>
          <cell r="C1075" t="str">
            <v>КЛЕЩИХА      (ЗСБ)</v>
          </cell>
          <cell r="D1075">
            <v>33584</v>
          </cell>
          <cell r="E1075">
            <v>37789</v>
          </cell>
          <cell r="F1075">
            <v>819</v>
          </cell>
          <cell r="H1075">
            <v>0</v>
          </cell>
          <cell r="I1075" t="str">
            <v>деп</v>
          </cell>
          <cell r="J1075">
            <v>38338</v>
          </cell>
        </row>
        <row r="1076">
          <cell r="A1076">
            <v>53701645</v>
          </cell>
          <cell r="B1076" t="str">
            <v>НОВОСИБИРСКРЕФСЕРВИС</v>
          </cell>
          <cell r="C1076" t="str">
            <v>КЛЕЩИХА      (ЗСБ)</v>
          </cell>
          <cell r="D1076">
            <v>33239</v>
          </cell>
          <cell r="E1076">
            <v>37869</v>
          </cell>
          <cell r="F1076">
            <v>163</v>
          </cell>
          <cell r="G1076">
            <v>37298</v>
          </cell>
          <cell r="H1076">
            <v>594</v>
          </cell>
          <cell r="I1076" t="str">
            <v>деп</v>
          </cell>
          <cell r="J1076">
            <v>38416</v>
          </cell>
        </row>
        <row r="1077">
          <cell r="A1077">
            <v>53702387</v>
          </cell>
          <cell r="B1077" t="str">
            <v>НОВОСИБИРСКРЕФСЕРВИС</v>
          </cell>
          <cell r="C1077" t="str">
            <v>КЛЕЩИХА      (ЗСБ)</v>
          </cell>
          <cell r="D1077">
            <v>33604</v>
          </cell>
          <cell r="E1077">
            <v>37964</v>
          </cell>
          <cell r="F1077">
            <v>819</v>
          </cell>
          <cell r="H1077">
            <v>0</v>
          </cell>
          <cell r="I1077" t="str">
            <v>деп</v>
          </cell>
          <cell r="J1077">
            <v>38512</v>
          </cell>
        </row>
        <row r="1078">
          <cell r="A1078">
            <v>58338765</v>
          </cell>
          <cell r="B1078" t="str">
            <v>НОВОСИБИРСКРЕФСЕРВИС</v>
          </cell>
          <cell r="C1078" t="str">
            <v>КЛЕЩИХА      (ЗСБ)</v>
          </cell>
          <cell r="D1078">
            <v>33239</v>
          </cell>
          <cell r="E1078">
            <v>37869</v>
          </cell>
          <cell r="F1078">
            <v>163</v>
          </cell>
          <cell r="G1078">
            <v>37298</v>
          </cell>
          <cell r="H1078">
            <v>594</v>
          </cell>
          <cell r="I1078" t="str">
            <v>деп</v>
          </cell>
          <cell r="J1078">
            <v>38416</v>
          </cell>
        </row>
        <row r="1079">
          <cell r="A1079">
            <v>58338773</v>
          </cell>
          <cell r="B1079" t="str">
            <v>НОВОСИБИРСКРЕФСЕРВИС</v>
          </cell>
          <cell r="C1079" t="str">
            <v>КЛЕЩИХА      (ЗСБ)</v>
          </cell>
          <cell r="D1079">
            <v>33239</v>
          </cell>
          <cell r="E1079">
            <v>37869</v>
          </cell>
          <cell r="F1079">
            <v>163</v>
          </cell>
          <cell r="G1079">
            <v>37298</v>
          </cell>
          <cell r="H1079">
            <v>594</v>
          </cell>
          <cell r="I1079" t="str">
            <v>деп</v>
          </cell>
          <cell r="J1079">
            <v>38416</v>
          </cell>
        </row>
        <row r="1080">
          <cell r="A1080">
            <v>58338781</v>
          </cell>
          <cell r="B1080" t="str">
            <v>НОВОСИБИРСКРЕФСЕРВИС</v>
          </cell>
          <cell r="C1080" t="str">
            <v>КЛЕЩИХА      (ЗСБ)</v>
          </cell>
          <cell r="D1080">
            <v>33239</v>
          </cell>
          <cell r="E1080">
            <v>37869</v>
          </cell>
          <cell r="F1080">
            <v>163</v>
          </cell>
          <cell r="G1080">
            <v>37298</v>
          </cell>
          <cell r="H1080">
            <v>594</v>
          </cell>
          <cell r="I1080" t="str">
            <v>деп</v>
          </cell>
          <cell r="J1080">
            <v>38416</v>
          </cell>
        </row>
        <row r="1081">
          <cell r="A1081">
            <v>58338807</v>
          </cell>
          <cell r="B1081" t="str">
            <v>НОВОСИБИРСКРЕФСЕРВИС</v>
          </cell>
          <cell r="C1081" t="str">
            <v>КЛЕЩИХА      (ЗСБ)</v>
          </cell>
          <cell r="D1081">
            <v>33239</v>
          </cell>
          <cell r="E1081">
            <v>37869</v>
          </cell>
          <cell r="F1081">
            <v>163</v>
          </cell>
          <cell r="G1081">
            <v>37298</v>
          </cell>
          <cell r="H1081">
            <v>594</v>
          </cell>
          <cell r="I1081" t="str">
            <v>деп</v>
          </cell>
          <cell r="J1081">
            <v>38416</v>
          </cell>
        </row>
        <row r="1082">
          <cell r="A1082">
            <v>58740960</v>
          </cell>
          <cell r="B1082" t="str">
            <v>НОВОСИБИРСКРЕФСЕРВИС</v>
          </cell>
          <cell r="C1082" t="str">
            <v>КЛЕЩИХА      (ЗСБ)</v>
          </cell>
          <cell r="D1082">
            <v>33584</v>
          </cell>
          <cell r="E1082">
            <v>37789</v>
          </cell>
          <cell r="F1082">
            <v>819</v>
          </cell>
          <cell r="H1082">
            <v>0</v>
          </cell>
          <cell r="I1082" t="str">
            <v>деп</v>
          </cell>
          <cell r="J1082">
            <v>38338</v>
          </cell>
        </row>
        <row r="1083">
          <cell r="A1083">
            <v>58740978</v>
          </cell>
          <cell r="B1083" t="str">
            <v>НОВОСИБИРСКРЕФСЕРВИС</v>
          </cell>
          <cell r="C1083" t="str">
            <v>КЛЕЩИХА      (ЗСБ)</v>
          </cell>
          <cell r="D1083">
            <v>33584</v>
          </cell>
          <cell r="E1083">
            <v>37789</v>
          </cell>
          <cell r="F1083">
            <v>819</v>
          </cell>
          <cell r="H1083">
            <v>0</v>
          </cell>
          <cell r="I1083" t="str">
            <v>деп</v>
          </cell>
          <cell r="J1083">
            <v>38338</v>
          </cell>
        </row>
        <row r="1084">
          <cell r="A1084">
            <v>58740986</v>
          </cell>
          <cell r="B1084" t="str">
            <v>НОВОСИБИРСКРЕФСЕРВИС</v>
          </cell>
          <cell r="C1084" t="str">
            <v>КЛЕЩИХА      (ЗСБ)</v>
          </cell>
          <cell r="D1084">
            <v>33584</v>
          </cell>
          <cell r="E1084">
            <v>37789</v>
          </cell>
          <cell r="F1084">
            <v>819</v>
          </cell>
          <cell r="H1084">
            <v>0</v>
          </cell>
          <cell r="I1084" t="str">
            <v>деп</v>
          </cell>
          <cell r="J1084">
            <v>38338</v>
          </cell>
        </row>
        <row r="1085">
          <cell r="A1085">
            <v>58741000</v>
          </cell>
          <cell r="B1085" t="str">
            <v>НОВОСИБИРСКРЕФСЕРВИС</v>
          </cell>
          <cell r="C1085" t="str">
            <v>КЛЕЩИХА      (ЗСБ)</v>
          </cell>
          <cell r="D1085">
            <v>33584</v>
          </cell>
          <cell r="E1085">
            <v>37789</v>
          </cell>
          <cell r="F1085">
            <v>819</v>
          </cell>
          <cell r="H1085">
            <v>0</v>
          </cell>
          <cell r="I1085" t="str">
            <v>деп</v>
          </cell>
          <cell r="J1085">
            <v>38338</v>
          </cell>
        </row>
        <row r="1086">
          <cell r="A1086">
            <v>58742321</v>
          </cell>
          <cell r="B1086" t="str">
            <v>НОВОСИБИРСКРЕФСЕРВИС</v>
          </cell>
          <cell r="C1086" t="str">
            <v>КЛЕЩИХА      (ЗСБ)</v>
          </cell>
          <cell r="D1086">
            <v>33406</v>
          </cell>
          <cell r="E1086">
            <v>37964</v>
          </cell>
          <cell r="F1086">
            <v>819</v>
          </cell>
          <cell r="H1086">
            <v>0</v>
          </cell>
          <cell r="I1086" t="str">
            <v>деп</v>
          </cell>
          <cell r="J1086">
            <v>38512</v>
          </cell>
        </row>
        <row r="1087">
          <cell r="A1087">
            <v>58742339</v>
          </cell>
          <cell r="B1087" t="str">
            <v>НОВОСИБИРСКРЕФСЕРВИС</v>
          </cell>
          <cell r="C1087" t="str">
            <v>КЛЕЩИХА      (ЗСБ)</v>
          </cell>
          <cell r="D1087">
            <v>33409</v>
          </cell>
          <cell r="E1087">
            <v>37964</v>
          </cell>
          <cell r="F1087">
            <v>819</v>
          </cell>
          <cell r="H1087">
            <v>0</v>
          </cell>
          <cell r="I1087" t="str">
            <v>деп</v>
          </cell>
          <cell r="J1087">
            <v>38512</v>
          </cell>
        </row>
        <row r="1088">
          <cell r="A1088">
            <v>58742347</v>
          </cell>
          <cell r="B1088" t="str">
            <v>НОВОСИБИРСКРЕФСЕРВИС</v>
          </cell>
          <cell r="C1088" t="str">
            <v>КЛЕЩИХА      (ЗСБ)</v>
          </cell>
          <cell r="D1088">
            <v>33417</v>
          </cell>
          <cell r="E1088">
            <v>37964</v>
          </cell>
          <cell r="F1088">
            <v>819</v>
          </cell>
          <cell r="H1088">
            <v>0</v>
          </cell>
          <cell r="I1088" t="str">
            <v>деп</v>
          </cell>
          <cell r="J1088">
            <v>38512</v>
          </cell>
        </row>
        <row r="1089">
          <cell r="A1089">
            <v>58742354</v>
          </cell>
          <cell r="B1089" t="str">
            <v>НОВОСИБИРСКРЕФСЕРВИС</v>
          </cell>
          <cell r="C1089" t="str">
            <v>КЛЕЩИХА      (ЗСБ)</v>
          </cell>
          <cell r="D1089">
            <v>33419</v>
          </cell>
          <cell r="E1089">
            <v>37964</v>
          </cell>
          <cell r="F1089">
            <v>819</v>
          </cell>
          <cell r="H1089">
            <v>0</v>
          </cell>
          <cell r="I1089" t="str">
            <v>деп</v>
          </cell>
          <cell r="J1089">
            <v>38512</v>
          </cell>
        </row>
        <row r="1090">
          <cell r="B1090" t="str">
            <v>НОВОСИБИРСКРЕФСЕРВИС Количество</v>
          </cell>
          <cell r="D1090">
            <v>15</v>
          </cell>
        </row>
        <row r="1091">
          <cell r="A1091">
            <v>53706735</v>
          </cell>
          <cell r="B1091" t="str">
            <v>НОГИНСКОЕ ППЖТ</v>
          </cell>
          <cell r="C1091" t="str">
            <v>НОГИНСК      (МСK)</v>
          </cell>
          <cell r="D1091">
            <v>32507</v>
          </cell>
          <cell r="E1091">
            <v>34700</v>
          </cell>
          <cell r="F1091">
            <v>0</v>
          </cell>
          <cell r="G1091">
            <v>37873</v>
          </cell>
          <cell r="H1091">
            <v>332</v>
          </cell>
          <cell r="I1091" t="str">
            <v>деп</v>
          </cell>
          <cell r="J1091">
            <v>38420</v>
          </cell>
        </row>
        <row r="1092">
          <cell r="B1092" t="str">
            <v>НОГИНСКОЕ ППЖТ Количество</v>
          </cell>
          <cell r="D1092">
            <v>1</v>
          </cell>
        </row>
        <row r="1093">
          <cell r="A1093">
            <v>58330556</v>
          </cell>
          <cell r="B1093" t="str">
            <v>НОЯБРЬСКТОРГНЕФТЬ</v>
          </cell>
          <cell r="C1093" t="str">
            <v>НОЯБРЬСК 1   (СВР)</v>
          </cell>
          <cell r="D1093">
            <v>32509</v>
          </cell>
          <cell r="E1093">
            <v>37772</v>
          </cell>
          <cell r="F1093">
            <v>819</v>
          </cell>
          <cell r="G1093">
            <v>34849</v>
          </cell>
          <cell r="I1093" t="str">
            <v>деп</v>
          </cell>
          <cell r="J1093">
            <v>38503</v>
          </cell>
        </row>
        <row r="1094">
          <cell r="A1094">
            <v>58330564</v>
          </cell>
          <cell r="B1094" t="str">
            <v>НОЯБРЬСКТОРГНЕФТЬ</v>
          </cell>
          <cell r="C1094" t="str">
            <v>НОЯБРЬСК 1   (СВР)</v>
          </cell>
          <cell r="D1094">
            <v>30682</v>
          </cell>
          <cell r="E1094">
            <v>37772</v>
          </cell>
          <cell r="F1094">
            <v>819</v>
          </cell>
          <cell r="G1094">
            <v>34849</v>
          </cell>
          <cell r="I1094" t="str">
            <v>деп</v>
          </cell>
          <cell r="J1094">
            <v>38503</v>
          </cell>
        </row>
        <row r="1095">
          <cell r="A1095">
            <v>58330572</v>
          </cell>
          <cell r="B1095" t="str">
            <v>НОЯБРЬСКТОРГНЕФТЬ</v>
          </cell>
          <cell r="C1095" t="str">
            <v>НОЯБРЬСК 1   (СВР)</v>
          </cell>
          <cell r="D1095">
            <v>31048</v>
          </cell>
          <cell r="E1095">
            <v>37772</v>
          </cell>
          <cell r="F1095">
            <v>819</v>
          </cell>
          <cell r="G1095">
            <v>34849</v>
          </cell>
          <cell r="I1095" t="str">
            <v>деп</v>
          </cell>
          <cell r="J1095">
            <v>38503</v>
          </cell>
        </row>
        <row r="1096">
          <cell r="B1096" t="str">
            <v>НОЯБРЬСКТОРГНЕФТЬ Количество</v>
          </cell>
          <cell r="D1096">
            <v>3</v>
          </cell>
        </row>
        <row r="1097">
          <cell r="A1097">
            <v>53700357</v>
          </cell>
          <cell r="B1097" t="str">
            <v>ОКТЯБРЬ</v>
          </cell>
          <cell r="C1097" t="str">
            <v>КАМЕНСК-УРЛС (СВР)</v>
          </cell>
          <cell r="D1097">
            <v>33082</v>
          </cell>
          <cell r="E1097">
            <v>36970</v>
          </cell>
          <cell r="F1097">
            <v>819</v>
          </cell>
          <cell r="I1097" t="str">
            <v>кап</v>
          </cell>
          <cell r="J1097">
            <v>38066</v>
          </cell>
        </row>
        <row r="1098">
          <cell r="A1098">
            <v>53700365</v>
          </cell>
          <cell r="B1098" t="str">
            <v>ОКТЯБРЬ</v>
          </cell>
          <cell r="C1098" t="str">
            <v>КАМЕНСК-УРЛС (СВР)</v>
          </cell>
          <cell r="D1098">
            <v>33082</v>
          </cell>
          <cell r="E1098">
            <v>36970</v>
          </cell>
          <cell r="F1098">
            <v>819</v>
          </cell>
          <cell r="I1098" t="str">
            <v>кап</v>
          </cell>
          <cell r="J1098">
            <v>38066</v>
          </cell>
        </row>
        <row r="1099">
          <cell r="B1099" t="str">
            <v>ОКТЯБРЬ Количество</v>
          </cell>
          <cell r="D1099">
            <v>2</v>
          </cell>
        </row>
        <row r="1100">
          <cell r="A1100">
            <v>58726365</v>
          </cell>
          <cell r="B1100" t="str">
            <v>ОМСК.З-Д КОНСЕРВ.ПРОДУКЦИИ</v>
          </cell>
          <cell r="C1100" t="str">
            <v>ОМСК-ПАСС    (ЗСБ)</v>
          </cell>
          <cell r="D1100">
            <v>33526</v>
          </cell>
          <cell r="F1100">
            <v>0</v>
          </cell>
          <cell r="H1100">
            <v>0</v>
          </cell>
          <cell r="I1100" t="str">
            <v>деп</v>
          </cell>
          <cell r="J1100">
            <v>34622</v>
          </cell>
        </row>
        <row r="1101">
          <cell r="B1101" t="str">
            <v>ОМСК.З-Д КОНСЕРВ.ПРОДУКЦИИ Количество</v>
          </cell>
          <cell r="D1101">
            <v>1</v>
          </cell>
        </row>
        <row r="1102">
          <cell r="A1102">
            <v>53702361</v>
          </cell>
          <cell r="B1102" t="str">
            <v>ОМСКОЕ НПП ВНЕДРЕНИЕ</v>
          </cell>
          <cell r="C1102" t="str">
            <v>ОМСК-ПАСС    (ЗСБ)</v>
          </cell>
          <cell r="D1102">
            <v>33554</v>
          </cell>
          <cell r="E1102">
            <v>37613</v>
          </cell>
          <cell r="F1102">
            <v>609</v>
          </cell>
          <cell r="G1102">
            <v>35050</v>
          </cell>
          <cell r="I1102" t="str">
            <v>кап</v>
          </cell>
          <cell r="J1102">
            <v>38709</v>
          </cell>
        </row>
        <row r="1103">
          <cell r="A1103">
            <v>58720715</v>
          </cell>
          <cell r="B1103" t="str">
            <v>ОМСКОЕ НПП ВНЕДРЕНИЕ</v>
          </cell>
          <cell r="C1103" t="str">
            <v>ОМСК-ПАСС    (ЗСБ)</v>
          </cell>
          <cell r="D1103">
            <v>33522</v>
          </cell>
          <cell r="E1103">
            <v>37613</v>
          </cell>
          <cell r="F1103">
            <v>609</v>
          </cell>
          <cell r="G1103">
            <v>35050</v>
          </cell>
          <cell r="I1103" t="str">
            <v>деп</v>
          </cell>
          <cell r="J1103">
            <v>38344</v>
          </cell>
        </row>
        <row r="1104">
          <cell r="A1104">
            <v>58720723</v>
          </cell>
          <cell r="B1104" t="str">
            <v>ОМСКОЕ НПП ВНЕДРЕНИЕ</v>
          </cell>
          <cell r="C1104" t="str">
            <v>ОМСК-ПАСС    (ЗСБ)</v>
          </cell>
          <cell r="D1104">
            <v>33522</v>
          </cell>
          <cell r="E1104">
            <v>37613</v>
          </cell>
          <cell r="F1104">
            <v>609</v>
          </cell>
          <cell r="G1104">
            <v>35050</v>
          </cell>
          <cell r="I1104" t="str">
            <v>деп</v>
          </cell>
          <cell r="J1104">
            <v>38344</v>
          </cell>
        </row>
        <row r="1105">
          <cell r="A1105">
            <v>58720731</v>
          </cell>
          <cell r="B1105" t="str">
            <v>ОМСКОЕ НПП ВНЕДРЕНИЕ</v>
          </cell>
          <cell r="C1105" t="str">
            <v>ОМСК-ПАСС    (ЗСБ)</v>
          </cell>
          <cell r="D1105">
            <v>33553</v>
          </cell>
          <cell r="E1105">
            <v>37614</v>
          </cell>
          <cell r="F1105">
            <v>609</v>
          </cell>
          <cell r="G1105">
            <v>35050</v>
          </cell>
          <cell r="I1105" t="str">
            <v>деп</v>
          </cell>
          <cell r="J1105">
            <v>38345</v>
          </cell>
        </row>
        <row r="1106">
          <cell r="A1106">
            <v>58720749</v>
          </cell>
          <cell r="B1106" t="str">
            <v>ОМСКОЕ НПП ВНЕДРЕНИЕ</v>
          </cell>
          <cell r="C1106" t="str">
            <v>ОМСК-ПАСС    (ЗСБ)</v>
          </cell>
          <cell r="D1106">
            <v>33553</v>
          </cell>
          <cell r="E1106">
            <v>37614</v>
          </cell>
          <cell r="F1106">
            <v>609</v>
          </cell>
          <cell r="G1106">
            <v>35416</v>
          </cell>
          <cell r="I1106" t="str">
            <v>деп</v>
          </cell>
          <cell r="J1106">
            <v>38345</v>
          </cell>
        </row>
        <row r="1107">
          <cell r="B1107" t="str">
            <v>ОМСКОЕ НПП ВНЕДРЕНИЕ Количество</v>
          </cell>
          <cell r="D1107">
            <v>5</v>
          </cell>
        </row>
        <row r="1108">
          <cell r="A1108">
            <v>53702213</v>
          </cell>
          <cell r="B1108" t="str">
            <v>ОПЫТНЫЙ З-Д НИВА</v>
          </cell>
          <cell r="C1108" t="str">
            <v>ВОЛКОВСКАЯ   (ОКТ)</v>
          </cell>
          <cell r="D1108">
            <v>26665</v>
          </cell>
          <cell r="E1108">
            <v>34150</v>
          </cell>
          <cell r="F1108">
            <v>0</v>
          </cell>
          <cell r="G1108">
            <v>36640</v>
          </cell>
          <cell r="H1108">
            <v>0</v>
          </cell>
          <cell r="I1108" t="str">
            <v>деп</v>
          </cell>
          <cell r="J1108">
            <v>37735</v>
          </cell>
        </row>
        <row r="1109">
          <cell r="B1109" t="str">
            <v>ОПЫТНЫЙ З-Д НИВА Количество</v>
          </cell>
          <cell r="D1109">
            <v>1</v>
          </cell>
        </row>
        <row r="1110">
          <cell r="A1110">
            <v>58721879</v>
          </cell>
          <cell r="B1110" t="str">
            <v>ОРЛОВСКОЕ ГОРПО</v>
          </cell>
          <cell r="C1110" t="str">
            <v>САХАНСКАЯ    (МСK)</v>
          </cell>
          <cell r="D1110">
            <v>33557</v>
          </cell>
          <cell r="E1110">
            <v>37355</v>
          </cell>
          <cell r="F1110">
            <v>335</v>
          </cell>
        </row>
        <row r="1111">
          <cell r="A1111">
            <v>58724477</v>
          </cell>
          <cell r="B1111" t="str">
            <v>ОРЛОВСКОЕ ГОРПО</v>
          </cell>
          <cell r="C1111" t="str">
            <v>САХАНСКАЯ    (МСK)</v>
          </cell>
          <cell r="D1111">
            <v>32446</v>
          </cell>
          <cell r="E1111">
            <v>35409</v>
          </cell>
        </row>
        <row r="1112">
          <cell r="B1112" t="str">
            <v>ОРЛОВСКОЕ ГОРПО Количество</v>
          </cell>
          <cell r="D1112">
            <v>2</v>
          </cell>
        </row>
        <row r="1113">
          <cell r="A1113">
            <v>53702718</v>
          </cell>
          <cell r="B1113" t="str">
            <v>ОСКОЛЬСК.ЭЛЕКТРОМЕТКОМБ-Т</v>
          </cell>
          <cell r="C1113" t="str">
            <v>КОТЕЛ        (ЮВС)</v>
          </cell>
          <cell r="D1113">
            <v>33970</v>
          </cell>
          <cell r="E1113">
            <v>37594</v>
          </cell>
          <cell r="F1113">
            <v>492</v>
          </cell>
          <cell r="I1113" t="str">
            <v>деп</v>
          </cell>
          <cell r="J1113">
            <v>38690</v>
          </cell>
        </row>
        <row r="1114">
          <cell r="A1114">
            <v>53702726</v>
          </cell>
          <cell r="B1114" t="str">
            <v>ОСКОЛЬСК.ЭЛЕКТРОМЕТКОМБ-Т</v>
          </cell>
          <cell r="C1114" t="str">
            <v>КОТЕЛ        (ЮВС)</v>
          </cell>
          <cell r="D1114">
            <v>33970</v>
          </cell>
          <cell r="E1114">
            <v>37613</v>
          </cell>
          <cell r="F1114">
            <v>492</v>
          </cell>
          <cell r="I1114" t="str">
            <v>деп</v>
          </cell>
          <cell r="J1114">
            <v>38709</v>
          </cell>
        </row>
        <row r="1115">
          <cell r="A1115">
            <v>53702734</v>
          </cell>
          <cell r="B1115" t="str">
            <v>ОСКОЛЬСК.ЭЛЕКТРОМЕТКОМБ-Т</v>
          </cell>
          <cell r="C1115" t="str">
            <v>КОТЕЛ        (ЮВС)</v>
          </cell>
          <cell r="D1115">
            <v>33970</v>
          </cell>
          <cell r="E1115">
            <v>37616</v>
          </cell>
          <cell r="F1115">
            <v>492</v>
          </cell>
          <cell r="I1115" t="str">
            <v>деп</v>
          </cell>
          <cell r="J1115">
            <v>38712</v>
          </cell>
        </row>
        <row r="1116">
          <cell r="B1116" t="str">
            <v>ОСКОЛЬСК.ЭЛЕКТРОМЕТКОМБ-Т Количество</v>
          </cell>
          <cell r="D1116">
            <v>3</v>
          </cell>
        </row>
        <row r="1117">
          <cell r="A1117">
            <v>58000027</v>
          </cell>
          <cell r="B1117" t="str">
            <v>ПБОЮЛ ВЕТРОВ Е.И.</v>
          </cell>
          <cell r="C1117" t="str">
            <v>МОС-ТОВ-РЯЗ  (МСK)</v>
          </cell>
          <cell r="D1117">
            <v>32540</v>
          </cell>
          <cell r="E1117">
            <v>37525</v>
          </cell>
          <cell r="F1117">
            <v>634</v>
          </cell>
          <cell r="H1117">
            <v>0</v>
          </cell>
          <cell r="I1117" t="str">
            <v>кап</v>
          </cell>
          <cell r="J1117">
            <v>38256</v>
          </cell>
        </row>
        <row r="1118">
          <cell r="A1118">
            <v>58000035</v>
          </cell>
          <cell r="B1118" t="str">
            <v>ПБОЮЛ ВЕТРОВ Е.И.</v>
          </cell>
          <cell r="C1118" t="str">
            <v>МОС-ТОВ-РЯЗ  (МСK)</v>
          </cell>
          <cell r="D1118">
            <v>32540</v>
          </cell>
          <cell r="E1118">
            <v>37529</v>
          </cell>
          <cell r="F1118">
            <v>634</v>
          </cell>
          <cell r="H1118">
            <v>0</v>
          </cell>
          <cell r="I1118" t="str">
            <v>кап</v>
          </cell>
          <cell r="J1118">
            <v>38260</v>
          </cell>
        </row>
        <row r="1119">
          <cell r="A1119">
            <v>58000043</v>
          </cell>
          <cell r="B1119" t="str">
            <v>ПБОЮЛ ВЕТРОВ Е.И.</v>
          </cell>
          <cell r="C1119" t="str">
            <v>МОС-ТОВ-РЯЗ  (МСK)</v>
          </cell>
          <cell r="D1119">
            <v>32540</v>
          </cell>
          <cell r="E1119">
            <v>37517</v>
          </cell>
          <cell r="F1119">
            <v>634</v>
          </cell>
          <cell r="H1119">
            <v>0</v>
          </cell>
          <cell r="I1119" t="str">
            <v>кап</v>
          </cell>
          <cell r="J1119">
            <v>38248</v>
          </cell>
        </row>
        <row r="1120">
          <cell r="A1120">
            <v>58000050</v>
          </cell>
          <cell r="B1120" t="str">
            <v>ПБОЮЛ ВЕТРОВ Е.И.</v>
          </cell>
          <cell r="C1120" t="str">
            <v>МОС-ТОВ-РЯЗ  (МСK)</v>
          </cell>
          <cell r="D1120">
            <v>32540</v>
          </cell>
          <cell r="E1120">
            <v>37700</v>
          </cell>
          <cell r="F1120">
            <v>634</v>
          </cell>
          <cell r="H1120">
            <v>0</v>
          </cell>
          <cell r="I1120" t="str">
            <v>кап</v>
          </cell>
          <cell r="J1120">
            <v>38431</v>
          </cell>
        </row>
        <row r="1121">
          <cell r="A1121">
            <v>58000068</v>
          </cell>
          <cell r="B1121" t="str">
            <v>ПБОЮЛ ВЕТРОВ Е.И.</v>
          </cell>
          <cell r="C1121" t="str">
            <v>МОС-ТОВ-РЯЗ  (МСK)</v>
          </cell>
          <cell r="D1121">
            <v>32540</v>
          </cell>
          <cell r="E1121">
            <v>37543</v>
          </cell>
          <cell r="F1121">
            <v>634</v>
          </cell>
          <cell r="H1121">
            <v>0</v>
          </cell>
          <cell r="I1121" t="str">
            <v>кап</v>
          </cell>
          <cell r="J1121">
            <v>38274</v>
          </cell>
        </row>
        <row r="1122">
          <cell r="A1122">
            <v>58000076</v>
          </cell>
          <cell r="B1122" t="str">
            <v>ПБОЮЛ ВЕТРОВ Е.И.</v>
          </cell>
          <cell r="C1122" t="str">
            <v>МОС-ТОВ-РЯЗ  (МСK)</v>
          </cell>
          <cell r="D1122">
            <v>32540</v>
          </cell>
          <cell r="E1122">
            <v>37336</v>
          </cell>
          <cell r="F1122">
            <v>1065</v>
          </cell>
          <cell r="H1122">
            <v>0</v>
          </cell>
          <cell r="I1122" t="str">
            <v>кап</v>
          </cell>
          <cell r="J1122">
            <v>38067</v>
          </cell>
        </row>
        <row r="1123">
          <cell r="A1123">
            <v>58000084</v>
          </cell>
          <cell r="B1123" t="str">
            <v>ПБОЮЛ ВЕТРОВ Е.И.</v>
          </cell>
          <cell r="C1123" t="str">
            <v>МОС-ТОВ-РЯЗ  (МСK)</v>
          </cell>
          <cell r="D1123">
            <v>32540</v>
          </cell>
          <cell r="E1123">
            <v>37515</v>
          </cell>
          <cell r="F1123">
            <v>634</v>
          </cell>
          <cell r="H1123">
            <v>0</v>
          </cell>
          <cell r="I1123" t="str">
            <v>кап</v>
          </cell>
          <cell r="J1123">
            <v>38246</v>
          </cell>
        </row>
        <row r="1124">
          <cell r="A1124">
            <v>58000100</v>
          </cell>
          <cell r="B1124" t="str">
            <v>ПБОЮЛ ВЕТРОВ Е.И.</v>
          </cell>
          <cell r="C1124" t="str">
            <v>МОС-ТОВ-РЯЗ  (МСK)</v>
          </cell>
          <cell r="D1124">
            <v>32540</v>
          </cell>
          <cell r="E1124">
            <v>37536</v>
          </cell>
          <cell r="F1124">
            <v>634</v>
          </cell>
          <cell r="H1124">
            <v>0</v>
          </cell>
          <cell r="I1124" t="str">
            <v>кап</v>
          </cell>
          <cell r="J1124">
            <v>38267</v>
          </cell>
        </row>
        <row r="1125">
          <cell r="A1125">
            <v>58000118</v>
          </cell>
          <cell r="B1125" t="str">
            <v>ПБОЮЛ ВЕТРОВ Е.И.</v>
          </cell>
          <cell r="C1125" t="str">
            <v>МОС-ТОВ-РЯЗ  (МСK)</v>
          </cell>
          <cell r="D1125">
            <v>32540</v>
          </cell>
          <cell r="E1125">
            <v>37526</v>
          </cell>
          <cell r="F1125">
            <v>634</v>
          </cell>
          <cell r="H1125">
            <v>0</v>
          </cell>
          <cell r="I1125" t="str">
            <v>кап</v>
          </cell>
          <cell r="J1125">
            <v>38257</v>
          </cell>
        </row>
        <row r="1126">
          <cell r="A1126">
            <v>58000126</v>
          </cell>
          <cell r="B1126" t="str">
            <v>ПБОЮЛ ВЕТРОВ Е.И.</v>
          </cell>
          <cell r="C1126" t="str">
            <v>МОС-ТОВ-РЯЗ  (МСK)</v>
          </cell>
          <cell r="D1126">
            <v>32540</v>
          </cell>
          <cell r="E1126">
            <v>37523</v>
          </cell>
          <cell r="F1126">
            <v>634</v>
          </cell>
          <cell r="H1126">
            <v>0</v>
          </cell>
          <cell r="I1126" t="str">
            <v>кап</v>
          </cell>
          <cell r="J1126">
            <v>38254</v>
          </cell>
        </row>
        <row r="1127">
          <cell r="A1127">
            <v>58000134</v>
          </cell>
          <cell r="B1127" t="str">
            <v>ПБОЮЛ ВЕТРОВ Е.И.</v>
          </cell>
          <cell r="C1127" t="str">
            <v>МОС-ТОВ-РЯЗ  (МСK)</v>
          </cell>
          <cell r="D1127">
            <v>32540</v>
          </cell>
          <cell r="E1127">
            <v>37515</v>
          </cell>
          <cell r="F1127">
            <v>634</v>
          </cell>
          <cell r="H1127">
            <v>0</v>
          </cell>
          <cell r="I1127" t="str">
            <v>кап</v>
          </cell>
          <cell r="J1127">
            <v>38246</v>
          </cell>
        </row>
        <row r="1128">
          <cell r="A1128">
            <v>58000142</v>
          </cell>
          <cell r="B1128" t="str">
            <v>ПБОЮЛ ВЕТРОВ Е.И.</v>
          </cell>
          <cell r="C1128" t="str">
            <v>МОС-ТОВ-РЯЗ  (МСK)</v>
          </cell>
          <cell r="D1128">
            <v>32874</v>
          </cell>
          <cell r="E1128">
            <v>37524</v>
          </cell>
          <cell r="F1128">
            <v>634</v>
          </cell>
          <cell r="H1128">
            <v>0</v>
          </cell>
          <cell r="I1128" t="str">
            <v>деп</v>
          </cell>
          <cell r="J1128">
            <v>38255</v>
          </cell>
        </row>
        <row r="1129">
          <cell r="A1129">
            <v>58000159</v>
          </cell>
          <cell r="B1129" t="str">
            <v>ПБОЮЛ ВЕТРОВ Е.И.</v>
          </cell>
          <cell r="C1129" t="str">
            <v>МОС-ТОВ-РЯЗ  (МСK)</v>
          </cell>
          <cell r="D1129">
            <v>32874</v>
          </cell>
          <cell r="E1129">
            <v>37529</v>
          </cell>
          <cell r="F1129">
            <v>634</v>
          </cell>
          <cell r="H1129">
            <v>0</v>
          </cell>
          <cell r="I1129" t="str">
            <v>деп</v>
          </cell>
          <cell r="J1129">
            <v>38260</v>
          </cell>
        </row>
        <row r="1130">
          <cell r="A1130">
            <v>58000167</v>
          </cell>
          <cell r="B1130" t="str">
            <v>ПБОЮЛ ВЕТРОВ Е.И.</v>
          </cell>
          <cell r="C1130" t="str">
            <v>МОС-ТОВ-РЯЗ  (МСK)</v>
          </cell>
          <cell r="D1130">
            <v>32874</v>
          </cell>
          <cell r="E1130">
            <v>37529</v>
          </cell>
          <cell r="F1130">
            <v>634</v>
          </cell>
          <cell r="H1130">
            <v>0</v>
          </cell>
          <cell r="I1130" t="str">
            <v>деп</v>
          </cell>
          <cell r="J1130">
            <v>38260</v>
          </cell>
        </row>
        <row r="1131">
          <cell r="B1131" t="str">
            <v>ПБОЮЛ ВЕТРОВ Е.И. Количество</v>
          </cell>
          <cell r="D1131">
            <v>14</v>
          </cell>
        </row>
        <row r="1132">
          <cell r="A1132">
            <v>53701413</v>
          </cell>
          <cell r="B1132" t="str">
            <v>ПБОЮЛ ЛАБУНЦЕВ А.С.</v>
          </cell>
          <cell r="C1132" t="str">
            <v>КРАСНОЯРСК   (КРС)</v>
          </cell>
          <cell r="D1132">
            <v>33512</v>
          </cell>
          <cell r="E1132">
            <v>37650</v>
          </cell>
          <cell r="F1132">
            <v>819</v>
          </cell>
          <cell r="G1132">
            <v>35423</v>
          </cell>
          <cell r="H1132">
            <v>1108</v>
          </cell>
          <cell r="I1132" t="str">
            <v>деп</v>
          </cell>
          <cell r="J1132">
            <v>38197</v>
          </cell>
        </row>
        <row r="1133">
          <cell r="A1133">
            <v>58724782</v>
          </cell>
          <cell r="B1133" t="str">
            <v>ПБОЮЛ ЛАБУНЦЕВ А.С.</v>
          </cell>
          <cell r="C1133" t="str">
            <v>КРАСНОЯРСК   (КРС)</v>
          </cell>
          <cell r="D1133">
            <v>33512</v>
          </cell>
          <cell r="E1133">
            <v>37650</v>
          </cell>
          <cell r="F1133">
            <v>819</v>
          </cell>
          <cell r="G1133">
            <v>35423</v>
          </cell>
          <cell r="H1133">
            <v>0</v>
          </cell>
          <cell r="I1133" t="str">
            <v>деп</v>
          </cell>
          <cell r="J1133">
            <v>38197</v>
          </cell>
        </row>
        <row r="1134">
          <cell r="A1134">
            <v>58724808</v>
          </cell>
          <cell r="B1134" t="str">
            <v>ПБОЮЛ ЛАБУНЦЕВ А.С.</v>
          </cell>
          <cell r="C1134" t="str">
            <v>КРАСНОЯРСК   (КРС)</v>
          </cell>
          <cell r="D1134">
            <v>33512</v>
          </cell>
          <cell r="E1134">
            <v>37650</v>
          </cell>
          <cell r="F1134">
            <v>819</v>
          </cell>
          <cell r="G1134">
            <v>35423</v>
          </cell>
          <cell r="H1134">
            <v>0</v>
          </cell>
          <cell r="I1134" t="str">
            <v>деп</v>
          </cell>
          <cell r="J1134">
            <v>38197</v>
          </cell>
        </row>
        <row r="1135">
          <cell r="B1135" t="str">
            <v>ПБОЮЛ ЛАБУНЦЕВ А.С. Количество</v>
          </cell>
          <cell r="D1135">
            <v>3</v>
          </cell>
        </row>
        <row r="1136">
          <cell r="A1136">
            <v>58726894</v>
          </cell>
          <cell r="B1136" t="str">
            <v>ПБОЮЛ НИТЧЕНКО А.Ю.</v>
          </cell>
          <cell r="C1136" t="str">
            <v>УССУРИЙСК    (ДВС)</v>
          </cell>
          <cell r="D1136">
            <v>33326</v>
          </cell>
          <cell r="E1136">
            <v>38008</v>
          </cell>
          <cell r="F1136">
            <v>163</v>
          </cell>
          <cell r="H1136">
            <v>0</v>
          </cell>
          <cell r="I1136" t="str">
            <v>деп</v>
          </cell>
          <cell r="J1136">
            <v>38555</v>
          </cell>
        </row>
        <row r="1137">
          <cell r="A1137">
            <v>58727694</v>
          </cell>
          <cell r="B1137" t="str">
            <v>ПБОЮЛ НИТЧЕНКО А.Ю.</v>
          </cell>
          <cell r="C1137" t="str">
            <v>УССУРИЙСК    (ДВС)</v>
          </cell>
          <cell r="D1137">
            <v>33390</v>
          </cell>
          <cell r="E1137">
            <v>37526</v>
          </cell>
          <cell r="F1137">
            <v>163</v>
          </cell>
          <cell r="H1137">
            <v>0</v>
          </cell>
          <cell r="I1137" t="str">
            <v>деп</v>
          </cell>
          <cell r="J1137">
            <v>38073</v>
          </cell>
        </row>
        <row r="1138">
          <cell r="B1138" t="str">
            <v>ПБОЮЛ НИТЧЕНКО А.Ю. Количество</v>
          </cell>
          <cell r="D1138">
            <v>2</v>
          </cell>
        </row>
        <row r="1139">
          <cell r="A1139">
            <v>53706305</v>
          </cell>
          <cell r="B1139" t="str">
            <v>ПБОЮЛ РООТ Ю.Б.</v>
          </cell>
          <cell r="C1139" t="str">
            <v>ПОДСИНИЙ     (КРС)</v>
          </cell>
          <cell r="D1139">
            <v>33482</v>
          </cell>
          <cell r="E1139">
            <v>37805</v>
          </cell>
          <cell r="F1139">
            <v>634</v>
          </cell>
          <cell r="H1139">
            <v>0</v>
          </cell>
          <cell r="I1139" t="str">
            <v>деп</v>
          </cell>
          <cell r="J1139">
            <v>38355</v>
          </cell>
        </row>
        <row r="1140">
          <cell r="A1140">
            <v>53706560</v>
          </cell>
          <cell r="B1140" t="str">
            <v>ПБОЮЛ РООТ Ю.Б.</v>
          </cell>
          <cell r="C1140" t="str">
            <v>ПОДСИНИЙ     (КРС)</v>
          </cell>
          <cell r="D1140">
            <v>33848</v>
          </cell>
          <cell r="E1140">
            <v>37917</v>
          </cell>
          <cell r="F1140">
            <v>819</v>
          </cell>
          <cell r="H1140">
            <v>0</v>
          </cell>
          <cell r="I1140" t="str">
            <v>деп</v>
          </cell>
          <cell r="J1140">
            <v>38465</v>
          </cell>
        </row>
        <row r="1141">
          <cell r="A1141">
            <v>53706578</v>
          </cell>
          <cell r="B1141" t="str">
            <v>ПБОЮЛ РООТ Ю.Б.</v>
          </cell>
          <cell r="C1141" t="str">
            <v>ПОДСИНИЙ     (КРС)</v>
          </cell>
          <cell r="D1141">
            <v>33848</v>
          </cell>
          <cell r="E1141">
            <v>37953</v>
          </cell>
          <cell r="F1141">
            <v>819</v>
          </cell>
          <cell r="H1141">
            <v>0</v>
          </cell>
          <cell r="I1141" t="str">
            <v>деп</v>
          </cell>
          <cell r="J1141">
            <v>38500</v>
          </cell>
        </row>
        <row r="1142">
          <cell r="A1142">
            <v>58342445</v>
          </cell>
          <cell r="B1142" t="str">
            <v>ПБОЮЛ РООТ Ю.Б.</v>
          </cell>
          <cell r="C1142" t="str">
            <v>МИНУСИНСК    (КРС)</v>
          </cell>
          <cell r="D1142">
            <v>31813</v>
          </cell>
          <cell r="E1142">
            <v>37792</v>
          </cell>
          <cell r="F1142">
            <v>634</v>
          </cell>
          <cell r="G1142">
            <v>37984</v>
          </cell>
          <cell r="H1142">
            <v>819</v>
          </cell>
          <cell r="I1142" t="str">
            <v>деп</v>
          </cell>
          <cell r="J1142">
            <v>38715</v>
          </cell>
        </row>
        <row r="1143">
          <cell r="A1143">
            <v>58728395</v>
          </cell>
          <cell r="B1143" t="str">
            <v>ПБОЮЛ РООТ Ю.Б.</v>
          </cell>
          <cell r="C1143" t="str">
            <v>МИНУСИНСК    (КРС)</v>
          </cell>
          <cell r="D1143">
            <v>33482</v>
          </cell>
          <cell r="E1143">
            <v>37843</v>
          </cell>
          <cell r="F1143">
            <v>634</v>
          </cell>
          <cell r="H1143">
            <v>0</v>
          </cell>
          <cell r="I1143" t="str">
            <v>деп</v>
          </cell>
          <cell r="J1143">
            <v>38393</v>
          </cell>
        </row>
        <row r="1144">
          <cell r="A1144">
            <v>58728494</v>
          </cell>
          <cell r="B1144" t="str">
            <v>ПБОЮЛ РООТ Ю.Б.</v>
          </cell>
          <cell r="C1144" t="str">
            <v>МИНУСИНСК    (КРС)</v>
          </cell>
          <cell r="D1144">
            <v>33842</v>
          </cell>
          <cell r="E1144">
            <v>37844</v>
          </cell>
          <cell r="F1144">
            <v>634</v>
          </cell>
          <cell r="H1144">
            <v>0</v>
          </cell>
          <cell r="I1144" t="str">
            <v>деп</v>
          </cell>
          <cell r="J1144">
            <v>38394</v>
          </cell>
        </row>
        <row r="1145">
          <cell r="A1145">
            <v>58728593</v>
          </cell>
          <cell r="B1145" t="str">
            <v>ПБОЮЛ РООТ Ю.Б.</v>
          </cell>
          <cell r="C1145" t="str">
            <v>МИНУСИНСК    (КРС)</v>
          </cell>
          <cell r="D1145">
            <v>33482</v>
          </cell>
          <cell r="E1145">
            <v>37843</v>
          </cell>
          <cell r="F1145">
            <v>634</v>
          </cell>
          <cell r="H1145">
            <v>0</v>
          </cell>
          <cell r="I1145" t="str">
            <v>деп</v>
          </cell>
          <cell r="J1145">
            <v>38393</v>
          </cell>
        </row>
        <row r="1146">
          <cell r="A1146">
            <v>58728692</v>
          </cell>
          <cell r="B1146" t="str">
            <v>ПБОЮЛ РООТ Ю.Б.</v>
          </cell>
          <cell r="C1146" t="str">
            <v>МИНУСИНСК    (КРС)</v>
          </cell>
          <cell r="D1146">
            <v>33482</v>
          </cell>
          <cell r="E1146">
            <v>37812</v>
          </cell>
          <cell r="F1146">
            <v>634</v>
          </cell>
          <cell r="H1146">
            <v>0</v>
          </cell>
          <cell r="I1146" t="str">
            <v>деп</v>
          </cell>
          <cell r="J1146">
            <v>38362</v>
          </cell>
        </row>
        <row r="1147">
          <cell r="A1147">
            <v>58740481</v>
          </cell>
          <cell r="B1147" t="str">
            <v>ПБОЮЛ РООТ Ю.Б.</v>
          </cell>
          <cell r="C1147" t="str">
            <v>ПОДСИНИЙ     (КРС)</v>
          </cell>
          <cell r="D1147">
            <v>33763</v>
          </cell>
          <cell r="E1147">
            <v>37693</v>
          </cell>
          <cell r="F1147">
            <v>634</v>
          </cell>
          <cell r="H1147">
            <v>0</v>
          </cell>
          <cell r="I1147" t="str">
            <v>деп</v>
          </cell>
          <cell r="J1147">
            <v>38243</v>
          </cell>
        </row>
        <row r="1148">
          <cell r="A1148">
            <v>58740507</v>
          </cell>
          <cell r="B1148" t="str">
            <v>ПБОЮЛ РООТ Ю.Б.</v>
          </cell>
          <cell r="C1148" t="str">
            <v>ПОДСИНИЙ     (КРС)</v>
          </cell>
          <cell r="D1148">
            <v>33694</v>
          </cell>
          <cell r="E1148">
            <v>37709</v>
          </cell>
          <cell r="F1148">
            <v>634</v>
          </cell>
          <cell r="H1148">
            <v>0</v>
          </cell>
          <cell r="I1148" t="str">
            <v>деп</v>
          </cell>
          <cell r="J1148">
            <v>38259</v>
          </cell>
        </row>
        <row r="1149">
          <cell r="A1149">
            <v>58740515</v>
          </cell>
          <cell r="B1149" t="str">
            <v>ПБОЮЛ РООТ Ю.Б.</v>
          </cell>
          <cell r="C1149" t="str">
            <v>ПОДСИНИЙ     (КРС)</v>
          </cell>
          <cell r="D1149">
            <v>32959</v>
          </cell>
          <cell r="E1149">
            <v>37694</v>
          </cell>
          <cell r="F1149">
            <v>634</v>
          </cell>
          <cell r="H1149">
            <v>0</v>
          </cell>
          <cell r="I1149" t="str">
            <v>деп</v>
          </cell>
          <cell r="J1149">
            <v>38244</v>
          </cell>
        </row>
        <row r="1150">
          <cell r="A1150">
            <v>58740523</v>
          </cell>
          <cell r="B1150" t="str">
            <v>ПБОЮЛ РООТ Ю.Б.</v>
          </cell>
          <cell r="C1150" t="str">
            <v>ПОДСИНИЙ     (КРС)</v>
          </cell>
          <cell r="D1150">
            <v>33760</v>
          </cell>
          <cell r="E1150">
            <v>37717</v>
          </cell>
          <cell r="F1150">
            <v>634</v>
          </cell>
          <cell r="H1150">
            <v>0</v>
          </cell>
          <cell r="I1150" t="str">
            <v>деп</v>
          </cell>
          <cell r="J1150">
            <v>38266</v>
          </cell>
        </row>
        <row r="1151">
          <cell r="A1151">
            <v>58740531</v>
          </cell>
          <cell r="B1151" t="str">
            <v>ПБОЮЛ РООТ Ю.Б.</v>
          </cell>
          <cell r="C1151" t="str">
            <v>ПОДСИНИЙ     (КРС)</v>
          </cell>
          <cell r="D1151">
            <v>33722</v>
          </cell>
          <cell r="E1151">
            <v>37699</v>
          </cell>
          <cell r="F1151">
            <v>634</v>
          </cell>
          <cell r="H1151">
            <v>0</v>
          </cell>
          <cell r="I1151" t="str">
            <v>деп</v>
          </cell>
          <cell r="J1151">
            <v>38249</v>
          </cell>
        </row>
        <row r="1152">
          <cell r="A1152">
            <v>58740713</v>
          </cell>
          <cell r="B1152" t="str">
            <v>ПБОЮЛ РООТ Ю.Б.</v>
          </cell>
          <cell r="C1152" t="str">
            <v>ПОДСИНИЙ     (КРС)</v>
          </cell>
          <cell r="D1152">
            <v>33239</v>
          </cell>
          <cell r="E1152">
            <v>37953</v>
          </cell>
          <cell r="F1152">
            <v>819</v>
          </cell>
          <cell r="H1152">
            <v>0</v>
          </cell>
          <cell r="I1152" t="str">
            <v>деп</v>
          </cell>
          <cell r="J1152">
            <v>38500</v>
          </cell>
        </row>
        <row r="1153">
          <cell r="A1153">
            <v>58740721</v>
          </cell>
          <cell r="B1153" t="str">
            <v>ПБОЮЛ РООТ Ю.Б.</v>
          </cell>
          <cell r="C1153" t="str">
            <v>ПОДСИНИЙ     (КРС)</v>
          </cell>
          <cell r="D1153">
            <v>33482</v>
          </cell>
          <cell r="E1153">
            <v>37953</v>
          </cell>
          <cell r="F1153">
            <v>819</v>
          </cell>
          <cell r="H1153">
            <v>0</v>
          </cell>
          <cell r="I1153" t="str">
            <v>деп</v>
          </cell>
          <cell r="J1153">
            <v>38500</v>
          </cell>
        </row>
        <row r="1154">
          <cell r="A1154">
            <v>58740739</v>
          </cell>
          <cell r="B1154" t="str">
            <v>ПБОЮЛ РООТ Ю.Б.</v>
          </cell>
          <cell r="C1154" t="str">
            <v>ПОДСИНИЙ     (КРС)</v>
          </cell>
          <cell r="D1154">
            <v>33482</v>
          </cell>
          <cell r="E1154">
            <v>37953</v>
          </cell>
          <cell r="F1154">
            <v>819</v>
          </cell>
          <cell r="H1154">
            <v>0</v>
          </cell>
          <cell r="I1154" t="str">
            <v>деп</v>
          </cell>
          <cell r="J1154">
            <v>38500</v>
          </cell>
        </row>
        <row r="1155">
          <cell r="A1155">
            <v>58740747</v>
          </cell>
          <cell r="B1155" t="str">
            <v>ПБОЮЛ РООТ Ю.Б.</v>
          </cell>
          <cell r="C1155" t="str">
            <v>ПОДСИНИЙ     (КРС)</v>
          </cell>
          <cell r="D1155">
            <v>33482</v>
          </cell>
          <cell r="E1155">
            <v>37953</v>
          </cell>
          <cell r="F1155">
            <v>819</v>
          </cell>
          <cell r="H1155">
            <v>0</v>
          </cell>
          <cell r="I1155" t="str">
            <v>деп</v>
          </cell>
          <cell r="J1155">
            <v>38500</v>
          </cell>
        </row>
        <row r="1156">
          <cell r="A1156">
            <v>58740754</v>
          </cell>
          <cell r="B1156" t="str">
            <v>ПБОЮЛ РООТ Ю.Б.</v>
          </cell>
          <cell r="C1156" t="str">
            <v>ПОДСИНИЙ     (КРС)</v>
          </cell>
          <cell r="D1156">
            <v>33482</v>
          </cell>
          <cell r="E1156">
            <v>37741</v>
          </cell>
          <cell r="F1156">
            <v>819</v>
          </cell>
          <cell r="H1156">
            <v>0</v>
          </cell>
          <cell r="I1156" t="str">
            <v>деп</v>
          </cell>
          <cell r="J1156">
            <v>38290</v>
          </cell>
        </row>
        <row r="1157">
          <cell r="A1157">
            <v>58740762</v>
          </cell>
          <cell r="B1157" t="str">
            <v>ПБОЮЛ РООТ Ю.Б.</v>
          </cell>
          <cell r="C1157" t="str">
            <v>ПОДСИНИЙ     (КРС)</v>
          </cell>
          <cell r="D1157">
            <v>33482</v>
          </cell>
          <cell r="E1157">
            <v>37741</v>
          </cell>
          <cell r="F1157">
            <v>819</v>
          </cell>
          <cell r="H1157">
            <v>0</v>
          </cell>
          <cell r="I1157" t="str">
            <v>деп</v>
          </cell>
          <cell r="J1157">
            <v>38290</v>
          </cell>
        </row>
        <row r="1158">
          <cell r="B1158" t="str">
            <v>ПБОЮЛ РООТ Ю.Б. Количество</v>
          </cell>
          <cell r="D1158">
            <v>19</v>
          </cell>
        </row>
        <row r="1159">
          <cell r="A1159">
            <v>58727397</v>
          </cell>
          <cell r="B1159" t="str">
            <v>ПБОЮЛ САВОСТИНА В.Е.</v>
          </cell>
          <cell r="C1159" t="str">
            <v>ГАЙДАМАК     (ДВС)</v>
          </cell>
          <cell r="D1159">
            <v>33772</v>
          </cell>
          <cell r="E1159">
            <v>37482</v>
          </cell>
          <cell r="F1159">
            <v>669</v>
          </cell>
          <cell r="H1159">
            <v>0</v>
          </cell>
          <cell r="I1159" t="str">
            <v>деп</v>
          </cell>
          <cell r="J1159">
            <v>38031</v>
          </cell>
        </row>
        <row r="1160">
          <cell r="A1160">
            <v>58742545</v>
          </cell>
          <cell r="B1160" t="str">
            <v>ПБОЮЛ САВОСТИНА В.Е.</v>
          </cell>
          <cell r="C1160" t="str">
            <v>УССУРИЙСК    (ДВС)</v>
          </cell>
          <cell r="D1160">
            <v>33287</v>
          </cell>
          <cell r="E1160">
            <v>38012</v>
          </cell>
          <cell r="F1160">
            <v>163</v>
          </cell>
          <cell r="H1160">
            <v>0</v>
          </cell>
          <cell r="I1160" t="str">
            <v>деп</v>
          </cell>
          <cell r="J1160">
            <v>38559</v>
          </cell>
        </row>
        <row r="1161">
          <cell r="B1161" t="str">
            <v>ПБОЮЛ САВОСТИНА В.Е. Количество</v>
          </cell>
          <cell r="D1161">
            <v>2</v>
          </cell>
        </row>
        <row r="1162">
          <cell r="A1162">
            <v>58331174</v>
          </cell>
          <cell r="B1162" t="str">
            <v>ПБОЮЛ ЧУЕВ М.И.</v>
          </cell>
          <cell r="C1162" t="str">
            <v>ИРКУТСК-СОРТ (ВСБ)</v>
          </cell>
          <cell r="D1162">
            <v>31842</v>
          </cell>
          <cell r="E1162">
            <v>37999</v>
          </cell>
          <cell r="F1162">
            <v>647</v>
          </cell>
          <cell r="H1162">
            <v>0</v>
          </cell>
          <cell r="I1162" t="str">
            <v>кап</v>
          </cell>
          <cell r="J1162">
            <v>38546</v>
          </cell>
        </row>
        <row r="1163">
          <cell r="A1163">
            <v>58331208</v>
          </cell>
          <cell r="B1163" t="str">
            <v>ПБОЮЛ ЧУЕВ М.И.</v>
          </cell>
          <cell r="C1163" t="str">
            <v>ИРКУТСК-СОРТ (ВСБ)</v>
          </cell>
          <cell r="D1163">
            <v>31842</v>
          </cell>
          <cell r="E1163">
            <v>38011</v>
          </cell>
          <cell r="F1163">
            <v>647</v>
          </cell>
          <cell r="H1163">
            <v>0</v>
          </cell>
          <cell r="I1163" t="str">
            <v>кап</v>
          </cell>
          <cell r="J1163">
            <v>38558</v>
          </cell>
        </row>
        <row r="1164">
          <cell r="A1164">
            <v>58342676</v>
          </cell>
          <cell r="B1164" t="str">
            <v>ПБОЮЛ ЧУЕВ М.И.</v>
          </cell>
          <cell r="C1164" t="str">
            <v>ИРКУТСК-СОРТ (ВСБ)</v>
          </cell>
          <cell r="D1164">
            <v>30974</v>
          </cell>
          <cell r="F1164">
            <v>0</v>
          </cell>
          <cell r="H1164">
            <v>0</v>
          </cell>
          <cell r="I1164" t="str">
            <v>деп</v>
          </cell>
          <cell r="J1164">
            <v>31704</v>
          </cell>
        </row>
        <row r="1165">
          <cell r="A1165">
            <v>58342684</v>
          </cell>
          <cell r="B1165" t="str">
            <v>ПБОЮЛ ЧУЕВ М.И.</v>
          </cell>
          <cell r="C1165" t="str">
            <v>ИРКУТСК-СОРТ (ВСБ)</v>
          </cell>
          <cell r="D1165">
            <v>30974</v>
          </cell>
          <cell r="F1165">
            <v>0</v>
          </cell>
          <cell r="H1165">
            <v>0</v>
          </cell>
          <cell r="I1165" t="str">
            <v>деп</v>
          </cell>
          <cell r="J1165">
            <v>31704</v>
          </cell>
        </row>
        <row r="1166">
          <cell r="A1166">
            <v>58342692</v>
          </cell>
          <cell r="B1166" t="str">
            <v>ПБОЮЛ ЧУЕВ М.И.</v>
          </cell>
          <cell r="C1166" t="str">
            <v>ИРКУТСК-СОРТ (ВСБ)</v>
          </cell>
          <cell r="D1166">
            <v>30594</v>
          </cell>
          <cell r="F1166">
            <v>0</v>
          </cell>
          <cell r="H1166">
            <v>0</v>
          </cell>
          <cell r="I1166" t="str">
            <v>деп</v>
          </cell>
          <cell r="J1166">
            <v>31325</v>
          </cell>
        </row>
        <row r="1167">
          <cell r="A1167">
            <v>58342700</v>
          </cell>
          <cell r="B1167" t="str">
            <v>ПБОЮЛ ЧУЕВ М.И.</v>
          </cell>
          <cell r="C1167" t="str">
            <v>ИРКУТСК-СОРТ (ВСБ)</v>
          </cell>
          <cell r="D1167">
            <v>30602</v>
          </cell>
          <cell r="F1167">
            <v>0</v>
          </cell>
          <cell r="H1167">
            <v>0</v>
          </cell>
          <cell r="I1167" t="str">
            <v>деп</v>
          </cell>
          <cell r="J1167">
            <v>31333</v>
          </cell>
        </row>
        <row r="1168">
          <cell r="A1168">
            <v>58342718</v>
          </cell>
          <cell r="B1168" t="str">
            <v>ПБОЮЛ ЧУЕВ М.И.</v>
          </cell>
          <cell r="C1168" t="str">
            <v>ИРКУТСК-СОРТ (ВСБ)</v>
          </cell>
          <cell r="D1168">
            <v>30568</v>
          </cell>
          <cell r="E1168">
            <v>37969</v>
          </cell>
          <cell r="F1168">
            <v>647</v>
          </cell>
          <cell r="H1168">
            <v>0</v>
          </cell>
          <cell r="I1168" t="str">
            <v>кап</v>
          </cell>
          <cell r="J1168">
            <v>38517</v>
          </cell>
        </row>
        <row r="1169">
          <cell r="A1169">
            <v>58342726</v>
          </cell>
          <cell r="B1169" t="str">
            <v>ПБОЮЛ ЧУЕВ М.И.</v>
          </cell>
          <cell r="C1169" t="str">
            <v>ИРКУТСК-СОРТ (ВСБ)</v>
          </cell>
          <cell r="D1169">
            <v>30880</v>
          </cell>
          <cell r="E1169">
            <v>37969</v>
          </cell>
          <cell r="F1169">
            <v>647</v>
          </cell>
          <cell r="H1169">
            <v>0</v>
          </cell>
          <cell r="I1169" t="str">
            <v>кап</v>
          </cell>
          <cell r="J1169">
            <v>38517</v>
          </cell>
        </row>
        <row r="1170">
          <cell r="A1170">
            <v>58342734</v>
          </cell>
          <cell r="B1170" t="str">
            <v>ПБОЮЛ ЧУЕВ М.И.</v>
          </cell>
          <cell r="C1170" t="str">
            <v>ИРКУТСК-СОРТ (ВСБ)</v>
          </cell>
          <cell r="D1170">
            <v>30505</v>
          </cell>
          <cell r="E1170">
            <v>37963</v>
          </cell>
          <cell r="F1170">
            <v>647</v>
          </cell>
          <cell r="H1170">
            <v>0</v>
          </cell>
          <cell r="I1170" t="str">
            <v>кап</v>
          </cell>
          <cell r="J1170">
            <v>38511</v>
          </cell>
        </row>
        <row r="1171">
          <cell r="A1171">
            <v>58342742</v>
          </cell>
          <cell r="B1171" t="str">
            <v>ПБОЮЛ ЧУЕВ М.И.</v>
          </cell>
          <cell r="C1171" t="str">
            <v>ИРКУТСК-СОРТ (ВСБ)</v>
          </cell>
          <cell r="D1171">
            <v>31202</v>
          </cell>
          <cell r="E1171">
            <v>37951</v>
          </cell>
          <cell r="F1171">
            <v>647</v>
          </cell>
          <cell r="H1171">
            <v>0</v>
          </cell>
          <cell r="I1171" t="str">
            <v>кап</v>
          </cell>
          <cell r="J1171">
            <v>38498</v>
          </cell>
        </row>
        <row r="1172">
          <cell r="A1172">
            <v>58342759</v>
          </cell>
          <cell r="B1172" t="str">
            <v>ПБОЮЛ ЧУЕВ М.И.</v>
          </cell>
          <cell r="C1172" t="str">
            <v>ИРКУТСК-СОРТ (ВСБ)</v>
          </cell>
          <cell r="D1172">
            <v>30851</v>
          </cell>
          <cell r="E1172">
            <v>37963</v>
          </cell>
          <cell r="F1172">
            <v>647</v>
          </cell>
          <cell r="H1172">
            <v>0</v>
          </cell>
          <cell r="I1172" t="str">
            <v>кап</v>
          </cell>
          <cell r="J1172">
            <v>38511</v>
          </cell>
        </row>
        <row r="1173">
          <cell r="A1173">
            <v>58342767</v>
          </cell>
          <cell r="B1173" t="str">
            <v>ПБОЮЛ ЧУЕВ М.И.</v>
          </cell>
          <cell r="C1173" t="str">
            <v>ИРКУТСК-СОРТ (ВСБ)</v>
          </cell>
          <cell r="D1173">
            <v>30594</v>
          </cell>
          <cell r="E1173">
            <v>37950</v>
          </cell>
          <cell r="F1173">
            <v>647</v>
          </cell>
          <cell r="H1173">
            <v>0</v>
          </cell>
          <cell r="I1173" t="str">
            <v>кап</v>
          </cell>
          <cell r="J1173">
            <v>38497</v>
          </cell>
        </row>
        <row r="1174">
          <cell r="A1174">
            <v>58342775</v>
          </cell>
          <cell r="B1174" t="str">
            <v>ПБОЮЛ ЧУЕВ М.И.</v>
          </cell>
          <cell r="C1174" t="str">
            <v>ИРКУТСК-СОРТ (ВСБ)</v>
          </cell>
          <cell r="D1174">
            <v>30510</v>
          </cell>
          <cell r="F1174">
            <v>0</v>
          </cell>
          <cell r="H1174">
            <v>0</v>
          </cell>
          <cell r="I1174" t="str">
            <v>деп</v>
          </cell>
          <cell r="J1174">
            <v>31241</v>
          </cell>
        </row>
        <row r="1175">
          <cell r="A1175">
            <v>58342783</v>
          </cell>
          <cell r="B1175" t="str">
            <v>ПБОЮЛ ЧУЕВ М.И.</v>
          </cell>
          <cell r="C1175" t="str">
            <v>ИРКУТСК-СОРТ (ВСБ)</v>
          </cell>
          <cell r="D1175">
            <v>31184</v>
          </cell>
          <cell r="F1175">
            <v>0</v>
          </cell>
          <cell r="H1175">
            <v>0</v>
          </cell>
          <cell r="I1175" t="str">
            <v>деп</v>
          </cell>
          <cell r="J1175">
            <v>31914</v>
          </cell>
        </row>
        <row r="1176">
          <cell r="A1176">
            <v>58342791</v>
          </cell>
          <cell r="B1176" t="str">
            <v>ПБОЮЛ ЧУЕВ М.И.</v>
          </cell>
          <cell r="C1176" t="str">
            <v>ИРКУТСК-СОРТ (ВСБ)</v>
          </cell>
          <cell r="D1176">
            <v>31189</v>
          </cell>
          <cell r="F1176">
            <v>0</v>
          </cell>
          <cell r="H1176">
            <v>0</v>
          </cell>
          <cell r="I1176" t="str">
            <v>деп</v>
          </cell>
          <cell r="J1176">
            <v>31919</v>
          </cell>
        </row>
        <row r="1177">
          <cell r="A1177">
            <v>58342809</v>
          </cell>
          <cell r="B1177" t="str">
            <v>ПБОЮЛ ЧУЕВ М.И.</v>
          </cell>
          <cell r="C1177" t="str">
            <v>ИРКУТСК-СОРТ (ВСБ)</v>
          </cell>
          <cell r="D1177">
            <v>31240</v>
          </cell>
          <cell r="F1177">
            <v>0</v>
          </cell>
          <cell r="H1177">
            <v>0</v>
          </cell>
          <cell r="I1177" t="str">
            <v>деп</v>
          </cell>
          <cell r="J1177">
            <v>31970</v>
          </cell>
        </row>
        <row r="1178">
          <cell r="A1178">
            <v>58342817</v>
          </cell>
          <cell r="B1178" t="str">
            <v>ПБОЮЛ ЧУЕВ М.И.</v>
          </cell>
          <cell r="C1178" t="str">
            <v>ИРКУТСК-СОРТ (ВСБ)</v>
          </cell>
          <cell r="D1178">
            <v>31246</v>
          </cell>
          <cell r="F1178">
            <v>0</v>
          </cell>
          <cell r="H1178">
            <v>0</v>
          </cell>
          <cell r="I1178" t="str">
            <v>деп</v>
          </cell>
          <cell r="J1178">
            <v>31976</v>
          </cell>
        </row>
        <row r="1179">
          <cell r="A1179">
            <v>58342825</v>
          </cell>
          <cell r="B1179" t="str">
            <v>ПБОЮЛ ЧУЕВ М.И.</v>
          </cell>
          <cell r="C1179" t="str">
            <v>ИРКУТСК-СОРТ (ВСБ)</v>
          </cell>
          <cell r="D1179">
            <v>31253</v>
          </cell>
          <cell r="F1179">
            <v>0</v>
          </cell>
          <cell r="H1179">
            <v>0</v>
          </cell>
          <cell r="I1179" t="str">
            <v>деп</v>
          </cell>
          <cell r="J1179">
            <v>31983</v>
          </cell>
        </row>
        <row r="1180">
          <cell r="A1180">
            <v>58342833</v>
          </cell>
          <cell r="B1180" t="str">
            <v>ПБОЮЛ ЧУЕВ М.И.</v>
          </cell>
          <cell r="C1180" t="str">
            <v>ИРКУТСК-СОРТ (ВСБ)</v>
          </cell>
          <cell r="D1180">
            <v>31266</v>
          </cell>
          <cell r="F1180">
            <v>0</v>
          </cell>
          <cell r="H1180">
            <v>0</v>
          </cell>
          <cell r="I1180" t="str">
            <v>деп</v>
          </cell>
          <cell r="J1180">
            <v>31996</v>
          </cell>
        </row>
        <row r="1181">
          <cell r="A1181">
            <v>58342841</v>
          </cell>
          <cell r="B1181" t="str">
            <v>ПБОЮЛ ЧУЕВ М.И.</v>
          </cell>
          <cell r="C1181" t="str">
            <v>ИРКУТСК-СОРТ (ВСБ)</v>
          </cell>
          <cell r="D1181">
            <v>31273</v>
          </cell>
          <cell r="F1181">
            <v>0</v>
          </cell>
          <cell r="H1181">
            <v>0</v>
          </cell>
          <cell r="I1181" t="str">
            <v>деп</v>
          </cell>
          <cell r="J1181">
            <v>32003</v>
          </cell>
        </row>
        <row r="1182">
          <cell r="A1182">
            <v>58342858</v>
          </cell>
          <cell r="B1182" t="str">
            <v>ПБОЮЛ ЧУЕВ М.И.</v>
          </cell>
          <cell r="C1182" t="str">
            <v>ИРКУТСК-СОРТ (ВСБ)</v>
          </cell>
          <cell r="D1182">
            <v>31294</v>
          </cell>
          <cell r="F1182">
            <v>0</v>
          </cell>
          <cell r="H1182">
            <v>0</v>
          </cell>
          <cell r="I1182" t="str">
            <v>деп</v>
          </cell>
          <cell r="J1182">
            <v>32024</v>
          </cell>
        </row>
        <row r="1183">
          <cell r="A1183">
            <v>58342866</v>
          </cell>
          <cell r="B1183" t="str">
            <v>ПБОЮЛ ЧУЕВ М.И.</v>
          </cell>
          <cell r="C1183" t="str">
            <v>ИРКУТСК-СОРТ (ВСБ)</v>
          </cell>
          <cell r="D1183">
            <v>30561</v>
          </cell>
          <cell r="F1183">
            <v>0</v>
          </cell>
          <cell r="H1183">
            <v>0</v>
          </cell>
          <cell r="I1183" t="str">
            <v>деп</v>
          </cell>
          <cell r="J1183">
            <v>31292</v>
          </cell>
        </row>
        <row r="1184">
          <cell r="A1184">
            <v>58342874</v>
          </cell>
          <cell r="B1184" t="str">
            <v>ПБОЮЛ ЧУЕВ М.И.</v>
          </cell>
          <cell r="C1184" t="str">
            <v>ИРКУТСК-СОРТ (ВСБ)</v>
          </cell>
          <cell r="D1184">
            <v>30036</v>
          </cell>
          <cell r="F1184">
            <v>0</v>
          </cell>
          <cell r="H1184">
            <v>0</v>
          </cell>
          <cell r="I1184" t="str">
            <v>деп</v>
          </cell>
          <cell r="J1184">
            <v>30767</v>
          </cell>
        </row>
        <row r="1185">
          <cell r="A1185">
            <v>58342882</v>
          </cell>
          <cell r="B1185" t="str">
            <v>ПБОЮЛ ЧУЕВ М.И.</v>
          </cell>
          <cell r="C1185" t="str">
            <v>ИРКУТСК-СОРТ (ВСБ)</v>
          </cell>
          <cell r="D1185">
            <v>30946</v>
          </cell>
          <cell r="F1185">
            <v>0</v>
          </cell>
          <cell r="H1185">
            <v>0</v>
          </cell>
          <cell r="I1185" t="str">
            <v>деп</v>
          </cell>
          <cell r="J1185">
            <v>31676</v>
          </cell>
        </row>
        <row r="1186">
          <cell r="A1186">
            <v>58342890</v>
          </cell>
          <cell r="B1186" t="str">
            <v>ПБОЮЛ ЧУЕВ М.И.</v>
          </cell>
          <cell r="C1186" t="str">
            <v>ИРКУТСК-СОРТ (ВСБ)</v>
          </cell>
          <cell r="D1186">
            <v>30579</v>
          </cell>
          <cell r="F1186">
            <v>0</v>
          </cell>
          <cell r="H1186">
            <v>0</v>
          </cell>
          <cell r="I1186" t="str">
            <v>деп</v>
          </cell>
          <cell r="J1186">
            <v>31310</v>
          </cell>
        </row>
        <row r="1187">
          <cell r="A1187">
            <v>58342908</v>
          </cell>
          <cell r="B1187" t="str">
            <v>ПБОЮЛ ЧУЕВ М.И.</v>
          </cell>
          <cell r="C1187" t="str">
            <v>ИРКУТСК-СОРТ (ВСБ)</v>
          </cell>
          <cell r="D1187">
            <v>30859</v>
          </cell>
          <cell r="F1187">
            <v>0</v>
          </cell>
          <cell r="H1187">
            <v>0</v>
          </cell>
          <cell r="I1187" t="str">
            <v>деп</v>
          </cell>
          <cell r="J1187">
            <v>31589</v>
          </cell>
        </row>
        <row r="1188">
          <cell r="A1188">
            <v>58342916</v>
          </cell>
          <cell r="B1188" t="str">
            <v>ПБОЮЛ ЧУЕВ М.И.</v>
          </cell>
          <cell r="C1188" t="str">
            <v>ИРКУТСК-СОРТ (ВСБ)</v>
          </cell>
          <cell r="D1188">
            <v>30505</v>
          </cell>
          <cell r="F1188">
            <v>0</v>
          </cell>
          <cell r="H1188">
            <v>0</v>
          </cell>
          <cell r="I1188" t="str">
            <v>деп</v>
          </cell>
          <cell r="J1188">
            <v>31236</v>
          </cell>
        </row>
        <row r="1189">
          <cell r="A1189">
            <v>58342924</v>
          </cell>
          <cell r="B1189" t="str">
            <v>ПБОЮЛ ЧУЕВ М.И.</v>
          </cell>
          <cell r="C1189" t="str">
            <v>ИРКУТСК-СОРТ (ВСБ)</v>
          </cell>
          <cell r="D1189">
            <v>30510</v>
          </cell>
          <cell r="F1189">
            <v>0</v>
          </cell>
          <cell r="H1189">
            <v>0</v>
          </cell>
          <cell r="I1189" t="str">
            <v>деп</v>
          </cell>
          <cell r="J1189">
            <v>31241</v>
          </cell>
        </row>
        <row r="1190">
          <cell r="A1190">
            <v>58342932</v>
          </cell>
          <cell r="B1190" t="str">
            <v>ПБОЮЛ ЧУЕВ М.И.</v>
          </cell>
          <cell r="C1190" t="str">
            <v>ИРКУТСК-СОРТ (ВСБ)</v>
          </cell>
          <cell r="D1190">
            <v>29973</v>
          </cell>
          <cell r="E1190">
            <v>38002</v>
          </cell>
          <cell r="F1190">
            <v>647</v>
          </cell>
          <cell r="H1190">
            <v>0</v>
          </cell>
          <cell r="I1190" t="str">
            <v>кап</v>
          </cell>
          <cell r="J1190">
            <v>38549</v>
          </cell>
        </row>
        <row r="1191">
          <cell r="A1191">
            <v>58342940</v>
          </cell>
          <cell r="B1191" t="str">
            <v>ПБОЮЛ ЧУЕВ М.И.</v>
          </cell>
          <cell r="C1191" t="str">
            <v>ИРКУТСК-СОРТ (ВСБ)</v>
          </cell>
          <cell r="D1191">
            <v>30887</v>
          </cell>
          <cell r="F1191">
            <v>0</v>
          </cell>
          <cell r="H1191">
            <v>0</v>
          </cell>
          <cell r="I1191" t="str">
            <v>деп</v>
          </cell>
          <cell r="J1191">
            <v>31617</v>
          </cell>
        </row>
        <row r="1192">
          <cell r="A1192">
            <v>58342957</v>
          </cell>
          <cell r="B1192" t="str">
            <v>ПБОЮЛ ЧУЕВ М.И.</v>
          </cell>
          <cell r="C1192" t="str">
            <v>ИРКУТСК-СОРТ (ВСБ)</v>
          </cell>
          <cell r="D1192">
            <v>29936</v>
          </cell>
          <cell r="E1192">
            <v>38013</v>
          </cell>
          <cell r="F1192">
            <v>647</v>
          </cell>
          <cell r="H1192">
            <v>0</v>
          </cell>
          <cell r="I1192" t="str">
            <v>кап</v>
          </cell>
          <cell r="J1192">
            <v>38560</v>
          </cell>
        </row>
        <row r="1193">
          <cell r="B1193" t="str">
            <v>ПБОЮЛ ЧУЕВ М.И. Количество</v>
          </cell>
          <cell r="D1193">
            <v>31</v>
          </cell>
        </row>
        <row r="1194">
          <cell r="A1194">
            <v>53704516</v>
          </cell>
          <cell r="B1194" t="str">
            <v>ПЕРМСК.МАРГАРИН.З-Д СДОБРИ</v>
          </cell>
          <cell r="C1194" t="str">
            <v>ПЕРМЬ2       (СВР)</v>
          </cell>
          <cell r="D1194">
            <v>32962</v>
          </cell>
          <cell r="E1194">
            <v>36313</v>
          </cell>
          <cell r="F1194">
            <v>0</v>
          </cell>
          <cell r="G1194">
            <v>36691</v>
          </cell>
          <cell r="I1194" t="str">
            <v>деп</v>
          </cell>
          <cell r="J1194">
            <v>37786</v>
          </cell>
        </row>
        <row r="1195">
          <cell r="B1195" t="str">
            <v>ПЕРМСК.МАРГАРИН.З-Д СДОБРИ Количество</v>
          </cell>
          <cell r="D1195">
            <v>1</v>
          </cell>
        </row>
        <row r="1196">
          <cell r="A1196">
            <v>53702825</v>
          </cell>
          <cell r="B1196" t="str">
            <v>ПЕТРОВСК-ЗАБАЙКАЛ.МЕТ.З-Д</v>
          </cell>
          <cell r="C1196" t="str">
            <v>ПЕТРОВ.ЗАВОД (ЗАБ)</v>
          </cell>
          <cell r="D1196">
            <v>33604</v>
          </cell>
          <cell r="E1196">
            <v>35827</v>
          </cell>
        </row>
        <row r="1197">
          <cell r="B1197" t="str">
            <v>ПЕТРОВСК-ЗАБАЙКАЛ.МЕТ.З-Д Количество</v>
          </cell>
          <cell r="D1197">
            <v>1</v>
          </cell>
        </row>
        <row r="1198">
          <cell r="A1198">
            <v>53704326</v>
          </cell>
          <cell r="B1198" t="str">
            <v>ПМС-104</v>
          </cell>
          <cell r="C1198" t="str">
            <v>СТАЛЬН.КОНЬ  (МСK)</v>
          </cell>
          <cell r="D1198">
            <v>26604</v>
          </cell>
          <cell r="E1198">
            <v>37998</v>
          </cell>
          <cell r="F1198">
            <v>335</v>
          </cell>
          <cell r="G1198">
            <v>35735</v>
          </cell>
          <cell r="H1198">
            <v>335</v>
          </cell>
          <cell r="I1198" t="str">
            <v>деп</v>
          </cell>
          <cell r="J1198">
            <v>38545</v>
          </cell>
        </row>
        <row r="1199">
          <cell r="B1199" t="str">
            <v>ПМС-104 Количество</v>
          </cell>
          <cell r="D1199">
            <v>1</v>
          </cell>
        </row>
        <row r="1200">
          <cell r="A1200">
            <v>53703823</v>
          </cell>
          <cell r="B1200" t="str">
            <v>ПОДОЛЬСКОЕ ППЖТ</v>
          </cell>
          <cell r="C1200" t="str">
            <v>СИЛИКАТНАЯ   (МСK)</v>
          </cell>
          <cell r="D1200">
            <v>25355</v>
          </cell>
          <cell r="E1200">
            <v>34732</v>
          </cell>
          <cell r="G1200">
            <v>31989</v>
          </cell>
        </row>
        <row r="1201">
          <cell r="B1201" t="str">
            <v>ПОДОЛЬСКОЕ ППЖТ Количество</v>
          </cell>
          <cell r="D1201">
            <v>1</v>
          </cell>
        </row>
        <row r="1202">
          <cell r="A1202">
            <v>53703724</v>
          </cell>
          <cell r="B1202" t="str">
            <v>ПОДСОБН.ХОЗ-ВО ТЮМ.ЭНЕРГО</v>
          </cell>
          <cell r="C1202" t="str">
            <v>ОЗ.АНДРЕЕВСК (СВР)</v>
          </cell>
          <cell r="D1202">
            <v>34973</v>
          </cell>
          <cell r="E1202">
            <v>37999</v>
          </cell>
          <cell r="F1202">
            <v>886</v>
          </cell>
          <cell r="I1202" t="str">
            <v>деп</v>
          </cell>
          <cell r="J1202">
            <v>39095</v>
          </cell>
        </row>
        <row r="1203">
          <cell r="A1203">
            <v>58723040</v>
          </cell>
          <cell r="B1203" t="str">
            <v>ПОДСОБН.ХОЗ-ВО ТЮМ.ЭНЕРГО</v>
          </cell>
          <cell r="C1203" t="str">
            <v>ОЗ.АНДРЕЕВСК (СВР)</v>
          </cell>
          <cell r="D1203">
            <v>34973</v>
          </cell>
          <cell r="E1203">
            <v>37999</v>
          </cell>
          <cell r="F1203">
            <v>886</v>
          </cell>
          <cell r="I1203" t="str">
            <v>деп</v>
          </cell>
          <cell r="J1203">
            <v>38424</v>
          </cell>
        </row>
        <row r="1204">
          <cell r="A1204">
            <v>58723057</v>
          </cell>
          <cell r="B1204" t="str">
            <v>ПОДСОБН.ХОЗ-ВО ТЮМ.ЭНЕРГО</v>
          </cell>
          <cell r="C1204" t="str">
            <v>ОЗ.АНДРЕЕВСК (СВР)</v>
          </cell>
          <cell r="D1204">
            <v>34973</v>
          </cell>
          <cell r="E1204">
            <v>37999</v>
          </cell>
          <cell r="F1204">
            <v>886</v>
          </cell>
          <cell r="I1204" t="str">
            <v>деп</v>
          </cell>
          <cell r="J1204">
            <v>38424</v>
          </cell>
        </row>
        <row r="1205">
          <cell r="A1205">
            <v>58723065</v>
          </cell>
          <cell r="B1205" t="str">
            <v>ПОДСОБН.ХОЗ-ВО ТЮМ.ЭНЕРГО</v>
          </cell>
          <cell r="C1205" t="str">
            <v>ОЗ.АНДРЕЕВСК (СВР)</v>
          </cell>
          <cell r="D1205">
            <v>34973</v>
          </cell>
          <cell r="E1205">
            <v>37999</v>
          </cell>
          <cell r="F1205">
            <v>886</v>
          </cell>
          <cell r="I1205" t="str">
            <v>деп</v>
          </cell>
          <cell r="J1205">
            <v>38424</v>
          </cell>
        </row>
        <row r="1206">
          <cell r="A1206">
            <v>58723073</v>
          </cell>
          <cell r="B1206" t="str">
            <v>ПОДСОБН.ХОЗ-ВО ТЮМ.ЭНЕРГО</v>
          </cell>
          <cell r="C1206" t="str">
            <v>ОЗ.АНДРЕЕВСК (СВР)</v>
          </cell>
          <cell r="D1206">
            <v>34973</v>
          </cell>
          <cell r="E1206">
            <v>37999</v>
          </cell>
          <cell r="F1206">
            <v>886</v>
          </cell>
          <cell r="I1206" t="str">
            <v>деп</v>
          </cell>
          <cell r="J1206">
            <v>38424</v>
          </cell>
        </row>
        <row r="1207">
          <cell r="B1207" t="str">
            <v>ПОДСОБН.ХОЗ-ВО ТЮМ.ЭНЕРГО Количество</v>
          </cell>
          <cell r="D1207">
            <v>5</v>
          </cell>
        </row>
        <row r="1208">
          <cell r="A1208">
            <v>53703807</v>
          </cell>
          <cell r="B1208" t="str">
            <v>ППСК ТЭЦ-25</v>
          </cell>
          <cell r="C1208" t="str">
            <v>ОЧАКОВО 1    (МСK)</v>
          </cell>
          <cell r="D1208">
            <v>26053</v>
          </cell>
          <cell r="E1208">
            <v>35052</v>
          </cell>
        </row>
        <row r="1209">
          <cell r="A1209">
            <v>53703815</v>
          </cell>
          <cell r="B1209" t="str">
            <v>ППСК ТЭЦ-25</v>
          </cell>
          <cell r="C1209" t="str">
            <v>ОЧАКОВО 1    (МСK)</v>
          </cell>
          <cell r="D1209">
            <v>24555</v>
          </cell>
          <cell r="E1209">
            <v>34999</v>
          </cell>
        </row>
        <row r="1210">
          <cell r="B1210" t="str">
            <v>ППСК ТЭЦ-25 Количество</v>
          </cell>
          <cell r="D1210">
            <v>2</v>
          </cell>
        </row>
        <row r="1211">
          <cell r="A1211">
            <v>53701520</v>
          </cell>
          <cell r="B1211" t="str">
            <v>ПРАВО</v>
          </cell>
          <cell r="C1211" t="str">
            <v>КУМЕРТАУ     (КБШ)</v>
          </cell>
          <cell r="D1211">
            <v>33329</v>
          </cell>
          <cell r="F1211">
            <v>0</v>
          </cell>
          <cell r="H1211">
            <v>0</v>
          </cell>
          <cell r="I1211" t="str">
            <v>деп</v>
          </cell>
          <cell r="J1211">
            <v>34425</v>
          </cell>
        </row>
        <row r="1212">
          <cell r="A1212">
            <v>58338328</v>
          </cell>
          <cell r="B1212" t="str">
            <v>ПРАВО</v>
          </cell>
          <cell r="C1212" t="str">
            <v>КУМЕРТАУ     (КБШ)</v>
          </cell>
          <cell r="D1212">
            <v>33329</v>
          </cell>
          <cell r="F1212">
            <v>0</v>
          </cell>
          <cell r="H1212">
            <v>0</v>
          </cell>
          <cell r="I1212" t="str">
            <v>деп</v>
          </cell>
          <cell r="J1212">
            <v>34425</v>
          </cell>
        </row>
        <row r="1213">
          <cell r="A1213">
            <v>58338336</v>
          </cell>
          <cell r="B1213" t="str">
            <v>ПРАВО</v>
          </cell>
          <cell r="C1213" t="str">
            <v>КУМЕРТАУ     (КБШ)</v>
          </cell>
          <cell r="D1213">
            <v>33329</v>
          </cell>
          <cell r="F1213">
            <v>0</v>
          </cell>
          <cell r="H1213">
            <v>0</v>
          </cell>
          <cell r="I1213" t="str">
            <v>деп</v>
          </cell>
          <cell r="J1213">
            <v>34425</v>
          </cell>
        </row>
        <row r="1214">
          <cell r="A1214">
            <v>58338344</v>
          </cell>
          <cell r="B1214" t="str">
            <v>ПРАВО</v>
          </cell>
          <cell r="C1214" t="str">
            <v>КУМЕРТАУ     (КБШ)</v>
          </cell>
          <cell r="D1214">
            <v>33329</v>
          </cell>
          <cell r="F1214">
            <v>0</v>
          </cell>
          <cell r="H1214">
            <v>0</v>
          </cell>
          <cell r="I1214" t="str">
            <v>деп</v>
          </cell>
          <cell r="J1214">
            <v>34425</v>
          </cell>
        </row>
        <row r="1215">
          <cell r="A1215">
            <v>58338351</v>
          </cell>
          <cell r="B1215" t="str">
            <v>ПРАВО</v>
          </cell>
          <cell r="C1215" t="str">
            <v>КУМЕРТАУ     (КБШ)</v>
          </cell>
          <cell r="D1215">
            <v>33329</v>
          </cell>
          <cell r="F1215">
            <v>0</v>
          </cell>
          <cell r="H1215">
            <v>0</v>
          </cell>
          <cell r="I1215" t="str">
            <v>деп</v>
          </cell>
          <cell r="J1215">
            <v>34425</v>
          </cell>
        </row>
        <row r="1216">
          <cell r="B1216" t="str">
            <v>ПРАВО Количество</v>
          </cell>
          <cell r="D1216">
            <v>5</v>
          </cell>
        </row>
        <row r="1217">
          <cell r="A1217">
            <v>53703609</v>
          </cell>
          <cell r="B1217" t="str">
            <v>ПРАЙД</v>
          </cell>
          <cell r="C1217" t="str">
            <v>ТВЕРЬ        (ОКТ)</v>
          </cell>
          <cell r="D1217">
            <v>32143</v>
          </cell>
          <cell r="E1217">
            <v>37936</v>
          </cell>
          <cell r="F1217">
            <v>317</v>
          </cell>
          <cell r="I1217" t="str">
            <v>кап</v>
          </cell>
          <cell r="J1217">
            <v>39032</v>
          </cell>
        </row>
        <row r="1218">
          <cell r="B1218" t="str">
            <v>ПРАЙД Количество</v>
          </cell>
          <cell r="D1218">
            <v>1</v>
          </cell>
        </row>
        <row r="1219">
          <cell r="A1219">
            <v>53703831</v>
          </cell>
          <cell r="B1219" t="str">
            <v>ПРОМЖЕЛДОРТРАНС КОЛОМ.ОТД.</v>
          </cell>
          <cell r="C1219" t="str">
            <v>ЩУРОВО       (МСK)</v>
          </cell>
          <cell r="D1219">
            <v>25934</v>
          </cell>
          <cell r="E1219">
            <v>34973</v>
          </cell>
          <cell r="G1219">
            <v>31868</v>
          </cell>
        </row>
        <row r="1220">
          <cell r="A1220">
            <v>53703849</v>
          </cell>
          <cell r="B1220" t="str">
            <v>ПРОМЖЕЛДОРТРАНС КОЛОМ.ОТД.</v>
          </cell>
          <cell r="C1220" t="str">
            <v>ЩУРОВО       (МСK)</v>
          </cell>
          <cell r="D1220">
            <v>25204</v>
          </cell>
          <cell r="E1220">
            <v>37491</v>
          </cell>
          <cell r="F1220">
            <v>316</v>
          </cell>
          <cell r="G1220">
            <v>31868</v>
          </cell>
          <cell r="I1220" t="str">
            <v>деп</v>
          </cell>
          <cell r="J1220">
            <v>38587</v>
          </cell>
        </row>
        <row r="1221">
          <cell r="A1221">
            <v>53704557</v>
          </cell>
          <cell r="B1221" t="str">
            <v>ПРОМЖЕЛДОРТРАНС КОЛОМ.ОТД.</v>
          </cell>
          <cell r="C1221" t="str">
            <v>ЩУРОВО       (МСK)</v>
          </cell>
          <cell r="D1221">
            <v>29625</v>
          </cell>
          <cell r="E1221">
            <v>36602</v>
          </cell>
          <cell r="G1221">
            <v>37346</v>
          </cell>
          <cell r="H1221">
            <v>316</v>
          </cell>
          <cell r="I1221" t="str">
            <v>деп</v>
          </cell>
          <cell r="J1221">
            <v>38442</v>
          </cell>
        </row>
        <row r="1222">
          <cell r="B1222" t="str">
            <v>ПРОМЖЕЛДОРТРАНС КОЛОМ.ОТД. Количество</v>
          </cell>
          <cell r="D1222">
            <v>3</v>
          </cell>
        </row>
        <row r="1223">
          <cell r="A1223">
            <v>53703179</v>
          </cell>
          <cell r="B1223" t="str">
            <v>ПРОМЖЕЛДОРТРАНС МГАО</v>
          </cell>
          <cell r="C1223" t="str">
            <v>БЕСКУДНИКОВО (МСK)</v>
          </cell>
          <cell r="D1223">
            <v>32623</v>
          </cell>
          <cell r="E1223">
            <v>37349</v>
          </cell>
          <cell r="F1223">
            <v>350</v>
          </cell>
          <cell r="I1223" t="str">
            <v>кап</v>
          </cell>
          <cell r="J1223">
            <v>38445</v>
          </cell>
        </row>
        <row r="1224">
          <cell r="A1224">
            <v>53703187</v>
          </cell>
          <cell r="B1224" t="str">
            <v>ПРОМЖЕЛДОРТРАНС МГАО</v>
          </cell>
          <cell r="C1224" t="str">
            <v>БЕСКУДНИКОВО (МСK)</v>
          </cell>
          <cell r="D1224">
            <v>32808</v>
          </cell>
          <cell r="E1224">
            <v>37518</v>
          </cell>
          <cell r="F1224">
            <v>350</v>
          </cell>
          <cell r="I1224" t="str">
            <v>кап</v>
          </cell>
          <cell r="J1224">
            <v>38614</v>
          </cell>
        </row>
        <row r="1225">
          <cell r="A1225">
            <v>53703203</v>
          </cell>
          <cell r="B1225" t="str">
            <v>ПРОМЖЕЛДОРТРАНС МГАО</v>
          </cell>
          <cell r="C1225" t="str">
            <v>БЕСКУДНИКОВО (МСK)</v>
          </cell>
          <cell r="D1225">
            <v>32867</v>
          </cell>
          <cell r="E1225">
            <v>37418</v>
          </cell>
          <cell r="F1225">
            <v>350</v>
          </cell>
          <cell r="I1225" t="str">
            <v>кап</v>
          </cell>
          <cell r="J1225">
            <v>38514</v>
          </cell>
        </row>
        <row r="1226">
          <cell r="A1226">
            <v>53703211</v>
          </cell>
          <cell r="B1226" t="str">
            <v>ПРОМЖЕЛДОРТРАНС МГАО</v>
          </cell>
          <cell r="C1226" t="str">
            <v>БЕСКУДНИКОВО (МСK)</v>
          </cell>
          <cell r="D1226">
            <v>29076</v>
          </cell>
          <cell r="E1226">
            <v>37484</v>
          </cell>
          <cell r="F1226">
            <v>350</v>
          </cell>
          <cell r="I1226" t="str">
            <v>деп</v>
          </cell>
          <cell r="J1226">
            <v>38580</v>
          </cell>
        </row>
        <row r="1227">
          <cell r="A1227">
            <v>53703229</v>
          </cell>
          <cell r="B1227" t="str">
            <v>ПРОМЖЕЛДОРТРАНС МГАО</v>
          </cell>
          <cell r="C1227" t="str">
            <v>БЕСКУДНИКОВО (МСK)</v>
          </cell>
          <cell r="D1227">
            <v>29104</v>
          </cell>
          <cell r="E1227">
            <v>37393</v>
          </cell>
          <cell r="F1227">
            <v>350</v>
          </cell>
          <cell r="I1227" t="str">
            <v>деп</v>
          </cell>
          <cell r="J1227">
            <v>38489</v>
          </cell>
        </row>
        <row r="1228">
          <cell r="A1228">
            <v>53703237</v>
          </cell>
          <cell r="B1228" t="str">
            <v>ПРОМЖЕЛДОРТРАНС МГАО</v>
          </cell>
          <cell r="C1228" t="str">
            <v>БЕСКУДНИКОВО (МСK)</v>
          </cell>
          <cell r="D1228">
            <v>29185</v>
          </cell>
          <cell r="E1228">
            <v>37442</v>
          </cell>
          <cell r="F1228">
            <v>350</v>
          </cell>
          <cell r="I1228" t="str">
            <v>деп</v>
          </cell>
          <cell r="J1228">
            <v>38538</v>
          </cell>
        </row>
        <row r="1229">
          <cell r="A1229">
            <v>53706420</v>
          </cell>
          <cell r="B1229" t="str">
            <v>ПРОМЖЕЛДОРТРАНС МГАО</v>
          </cell>
          <cell r="C1229" t="str">
            <v>БЕСКУДНИКОВО (МСK)</v>
          </cell>
          <cell r="D1229">
            <v>32478</v>
          </cell>
          <cell r="F1229">
            <v>0</v>
          </cell>
          <cell r="G1229">
            <v>37859</v>
          </cell>
          <cell r="H1229">
            <v>332</v>
          </cell>
          <cell r="I1229" t="str">
            <v>деп</v>
          </cell>
          <cell r="J1229">
            <v>38409</v>
          </cell>
        </row>
        <row r="1230">
          <cell r="A1230">
            <v>53706438</v>
          </cell>
          <cell r="B1230" t="str">
            <v>ПРОМЖЕЛДОРТРАНС МГАО</v>
          </cell>
          <cell r="C1230" t="str">
            <v>БЕСКУДНИКОВО (МСK)</v>
          </cell>
          <cell r="D1230">
            <v>32478</v>
          </cell>
          <cell r="F1230">
            <v>0</v>
          </cell>
          <cell r="G1230">
            <v>37859</v>
          </cell>
          <cell r="H1230">
            <v>332</v>
          </cell>
          <cell r="I1230" t="str">
            <v>деп</v>
          </cell>
          <cell r="J1230">
            <v>38409</v>
          </cell>
        </row>
        <row r="1231">
          <cell r="B1231" t="str">
            <v>ПРОМЖЕЛДОРТРАНС МГАО Количество</v>
          </cell>
          <cell r="D1231">
            <v>8</v>
          </cell>
        </row>
        <row r="1232">
          <cell r="A1232">
            <v>53700647</v>
          </cell>
          <cell r="B1232" t="str">
            <v>ПУРНЕФТЕГАЗГЕОЛОГИЯ</v>
          </cell>
          <cell r="C1232" t="str">
            <v>ПУРОВСК      (СВР)</v>
          </cell>
          <cell r="D1232">
            <v>33115</v>
          </cell>
          <cell r="E1232">
            <v>37860</v>
          </cell>
          <cell r="F1232">
            <v>616</v>
          </cell>
          <cell r="I1232" t="str">
            <v>кап</v>
          </cell>
          <cell r="J1232">
            <v>38956</v>
          </cell>
        </row>
        <row r="1233">
          <cell r="A1233">
            <v>58336629</v>
          </cell>
          <cell r="B1233" t="str">
            <v>ПУРНЕФТЕГАЗГЕОЛОГИЯ</v>
          </cell>
          <cell r="C1233" t="str">
            <v>ПУРОВСК      (СВР)</v>
          </cell>
          <cell r="D1233">
            <v>33177</v>
          </cell>
          <cell r="E1233">
            <v>37857</v>
          </cell>
          <cell r="F1233">
            <v>616</v>
          </cell>
          <cell r="I1233" t="str">
            <v>деп</v>
          </cell>
          <cell r="J1233">
            <v>38588</v>
          </cell>
        </row>
        <row r="1234">
          <cell r="A1234">
            <v>58336637</v>
          </cell>
          <cell r="B1234" t="str">
            <v>ПУРНЕФТЕГАЗГЕОЛОГИЯ</v>
          </cell>
          <cell r="C1234" t="str">
            <v>ПУРОВСК      (СВР)</v>
          </cell>
          <cell r="D1234">
            <v>33177</v>
          </cell>
          <cell r="E1234">
            <v>37860</v>
          </cell>
          <cell r="F1234">
            <v>616</v>
          </cell>
          <cell r="I1234" t="str">
            <v>деп</v>
          </cell>
          <cell r="J1234">
            <v>38591</v>
          </cell>
        </row>
        <row r="1235">
          <cell r="A1235">
            <v>58336645</v>
          </cell>
          <cell r="B1235" t="str">
            <v>ПУРНЕФТЕГАЗГЕОЛОГИЯ</v>
          </cell>
          <cell r="C1235" t="str">
            <v>ПУРОВСК      (СВР)</v>
          </cell>
          <cell r="D1235">
            <v>33177</v>
          </cell>
          <cell r="E1235">
            <v>37860</v>
          </cell>
          <cell r="F1235">
            <v>616</v>
          </cell>
          <cell r="I1235" t="str">
            <v>деп</v>
          </cell>
          <cell r="J1235">
            <v>38591</v>
          </cell>
        </row>
        <row r="1236">
          <cell r="A1236">
            <v>58336652</v>
          </cell>
          <cell r="B1236" t="str">
            <v>ПУРНЕФТЕГАЗГЕОЛОГИЯ</v>
          </cell>
          <cell r="C1236" t="str">
            <v>ПУРОВСК      (СВР)</v>
          </cell>
          <cell r="D1236">
            <v>33177</v>
          </cell>
          <cell r="E1236">
            <v>37860</v>
          </cell>
          <cell r="F1236">
            <v>616</v>
          </cell>
          <cell r="I1236" t="str">
            <v>деп</v>
          </cell>
          <cell r="J1236">
            <v>38591</v>
          </cell>
        </row>
        <row r="1237">
          <cell r="B1237" t="str">
            <v>ПУРНЕФТЕГАЗГЕОЛОГИЯ Количество</v>
          </cell>
          <cell r="D1237">
            <v>5</v>
          </cell>
        </row>
        <row r="1238">
          <cell r="A1238">
            <v>58728809</v>
          </cell>
          <cell r="B1238" t="str">
            <v>РГУПС</v>
          </cell>
          <cell r="C1238" t="str">
            <v>РОСТОВ-ЗАПАД (СКВ)</v>
          </cell>
          <cell r="D1238">
            <v>32843</v>
          </cell>
          <cell r="E1238">
            <v>37095</v>
          </cell>
          <cell r="F1238">
            <v>555</v>
          </cell>
          <cell r="H1238">
            <v>0</v>
          </cell>
          <cell r="I1238" t="str">
            <v>деп</v>
          </cell>
          <cell r="J1238">
            <v>37825</v>
          </cell>
        </row>
        <row r="1239">
          <cell r="A1239">
            <v>58728817</v>
          </cell>
          <cell r="B1239" t="str">
            <v>РГУПС</v>
          </cell>
          <cell r="C1239" t="str">
            <v>РОСТОВ-ЗАПАД (СКВ)</v>
          </cell>
          <cell r="D1239">
            <v>32843</v>
          </cell>
          <cell r="E1239">
            <v>37095</v>
          </cell>
          <cell r="F1239">
            <v>555</v>
          </cell>
          <cell r="H1239">
            <v>0</v>
          </cell>
          <cell r="I1239" t="str">
            <v>деп</v>
          </cell>
          <cell r="J1239">
            <v>37825</v>
          </cell>
        </row>
        <row r="1240">
          <cell r="A1240">
            <v>58728825</v>
          </cell>
          <cell r="B1240" t="str">
            <v>РГУПС</v>
          </cell>
          <cell r="C1240" t="str">
            <v>РОСТОВ-ЗАПАД (СКВ)</v>
          </cell>
          <cell r="D1240">
            <v>27262</v>
          </cell>
          <cell r="E1240">
            <v>34213</v>
          </cell>
          <cell r="F1240">
            <v>557</v>
          </cell>
          <cell r="G1240">
            <v>37164</v>
          </cell>
          <cell r="H1240">
            <v>557</v>
          </cell>
          <cell r="I1240" t="str">
            <v>деп</v>
          </cell>
          <cell r="J1240">
            <v>37894</v>
          </cell>
        </row>
        <row r="1241">
          <cell r="B1241" t="str">
            <v>РГУПС Количество</v>
          </cell>
          <cell r="D1241">
            <v>3</v>
          </cell>
        </row>
        <row r="1242">
          <cell r="A1242">
            <v>53704425</v>
          </cell>
          <cell r="B1242" t="str">
            <v>РЕМПУТЬМАШ КАЛУЖСКИЙ З-Д</v>
          </cell>
          <cell r="C1242" t="str">
            <v>КАЛУГА 1     (МСK)</v>
          </cell>
          <cell r="D1242">
            <v>33512</v>
          </cell>
          <cell r="E1242">
            <v>37443</v>
          </cell>
          <cell r="F1242">
            <v>350</v>
          </cell>
          <cell r="H1242">
            <v>0</v>
          </cell>
          <cell r="I1242" t="str">
            <v>деп</v>
          </cell>
          <cell r="J1242">
            <v>38174</v>
          </cell>
        </row>
        <row r="1243">
          <cell r="B1243" t="str">
            <v>РЕМПУТЬМАШ КАЛУЖСКИЙ З-Д Количество</v>
          </cell>
          <cell r="D1243">
            <v>1</v>
          </cell>
        </row>
        <row r="1244">
          <cell r="A1244">
            <v>53400008</v>
          </cell>
          <cell r="B1244" t="str">
            <v>РЕФРИЖЕРАТОРНАЯ КОМПАНИЯ</v>
          </cell>
          <cell r="C1244" t="str">
            <v>ВОЛКОВСКАЯ   (ОКТ)</v>
          </cell>
          <cell r="D1244">
            <v>29526</v>
          </cell>
          <cell r="E1244">
            <v>37183</v>
          </cell>
          <cell r="F1244">
            <v>352</v>
          </cell>
          <cell r="G1244">
            <v>37652</v>
          </cell>
          <cell r="H1244">
            <v>897</v>
          </cell>
          <cell r="I1244" t="str">
            <v>деп</v>
          </cell>
          <cell r="J1244">
            <v>38383</v>
          </cell>
        </row>
        <row r="1245">
          <cell r="A1245">
            <v>53400024</v>
          </cell>
          <cell r="B1245" t="str">
            <v>РЕФРИЖЕРАТОРНАЯ КОМПАНИЯ</v>
          </cell>
          <cell r="C1245" t="str">
            <v>ВОЛКОВСКАЯ   (ОКТ)</v>
          </cell>
          <cell r="D1245">
            <v>29465</v>
          </cell>
          <cell r="E1245">
            <v>37894</v>
          </cell>
          <cell r="F1245">
            <v>792</v>
          </cell>
          <cell r="G1245">
            <v>37102</v>
          </cell>
          <cell r="H1245">
            <v>330</v>
          </cell>
          <cell r="I1245" t="str">
            <v>деп</v>
          </cell>
          <cell r="J1245">
            <v>38321</v>
          </cell>
        </row>
        <row r="1246">
          <cell r="A1246">
            <v>53400032</v>
          </cell>
          <cell r="B1246" t="str">
            <v>РЕФРИЖЕРАТОРНАЯ КОМПАНИЯ</v>
          </cell>
          <cell r="C1246" t="str">
            <v>ВОЛКОВСКАЯ   (ОКТ)</v>
          </cell>
          <cell r="D1246">
            <v>29495</v>
          </cell>
          <cell r="E1246">
            <v>37183</v>
          </cell>
          <cell r="F1246">
            <v>352</v>
          </cell>
          <cell r="H1246">
            <v>0</v>
          </cell>
          <cell r="I1246" t="str">
            <v>деп</v>
          </cell>
          <cell r="J1246">
            <v>37950</v>
          </cell>
        </row>
        <row r="1247">
          <cell r="A1247">
            <v>53400040</v>
          </cell>
          <cell r="B1247" t="str">
            <v>РЕФРИЖЕРАТОРНАЯ КОМПАНИЯ</v>
          </cell>
          <cell r="C1247" t="str">
            <v>ВОЛКОВСКАЯ   (ОКТ)</v>
          </cell>
          <cell r="D1247">
            <v>29526</v>
          </cell>
          <cell r="E1247">
            <v>37964</v>
          </cell>
          <cell r="F1247">
            <v>350</v>
          </cell>
          <cell r="H1247">
            <v>0</v>
          </cell>
          <cell r="I1247" t="str">
            <v>кап</v>
          </cell>
          <cell r="J1247">
            <v>38392</v>
          </cell>
        </row>
        <row r="1248">
          <cell r="A1248">
            <v>53400057</v>
          </cell>
          <cell r="B1248" t="str">
            <v>РЕФРИЖЕРАТОРНАЯ КОМПАНИЯ</v>
          </cell>
          <cell r="C1248" t="str">
            <v>ВОЛКОВСКАЯ   (ОКТ)</v>
          </cell>
          <cell r="D1248">
            <v>30651</v>
          </cell>
          <cell r="E1248">
            <v>37120</v>
          </cell>
          <cell r="F1248">
            <v>330</v>
          </cell>
          <cell r="H1248">
            <v>0</v>
          </cell>
          <cell r="I1248" t="str">
            <v>деп</v>
          </cell>
          <cell r="J1248">
            <v>37942</v>
          </cell>
        </row>
        <row r="1249">
          <cell r="A1249">
            <v>53400073</v>
          </cell>
          <cell r="B1249" t="str">
            <v>РЕФРИЖЕРАТОРНАЯ КОМПАНИЯ</v>
          </cell>
          <cell r="C1249" t="str">
            <v>ВОЛКОВСКАЯ   (ОКТ)</v>
          </cell>
          <cell r="D1249">
            <v>30682</v>
          </cell>
          <cell r="E1249">
            <v>37134</v>
          </cell>
          <cell r="F1249">
            <v>323</v>
          </cell>
          <cell r="G1249">
            <v>37798</v>
          </cell>
          <cell r="H1249">
            <v>492</v>
          </cell>
          <cell r="I1249" t="str">
            <v>деп</v>
          </cell>
          <cell r="J1249">
            <v>38347</v>
          </cell>
        </row>
        <row r="1250">
          <cell r="A1250">
            <v>53401030</v>
          </cell>
          <cell r="B1250" t="str">
            <v>РЕФРИЖЕРАТОРНАЯ КОМПАНИЯ</v>
          </cell>
          <cell r="C1250" t="str">
            <v>ВОЛКОВСКАЯ   (ОКТ)</v>
          </cell>
          <cell r="D1250">
            <v>30649</v>
          </cell>
          <cell r="E1250">
            <v>36557</v>
          </cell>
          <cell r="F1250">
            <v>897</v>
          </cell>
          <cell r="G1250">
            <v>37644</v>
          </cell>
          <cell r="H1250">
            <v>897</v>
          </cell>
          <cell r="I1250" t="str">
            <v>деп</v>
          </cell>
          <cell r="J1250">
            <v>38191</v>
          </cell>
        </row>
        <row r="1251">
          <cell r="A1251">
            <v>53401048</v>
          </cell>
          <cell r="B1251" t="str">
            <v>РЕФРИЖЕРАТОРНАЯ КОМПАНИЯ</v>
          </cell>
          <cell r="C1251" t="str">
            <v>ВОЛКОВСКАЯ   (ОКТ)</v>
          </cell>
          <cell r="D1251">
            <v>30682</v>
          </cell>
          <cell r="E1251">
            <v>36537</v>
          </cell>
          <cell r="F1251">
            <v>897</v>
          </cell>
          <cell r="G1251">
            <v>37643</v>
          </cell>
          <cell r="H1251">
            <v>897</v>
          </cell>
          <cell r="I1251" t="str">
            <v>деп</v>
          </cell>
          <cell r="J1251">
            <v>38190</v>
          </cell>
        </row>
        <row r="1252">
          <cell r="A1252">
            <v>53401055</v>
          </cell>
          <cell r="B1252" t="str">
            <v>РЕФРИЖЕРАТОРНАЯ КОМПАНИЯ</v>
          </cell>
          <cell r="C1252" t="str">
            <v>ВОЛКОВСКАЯ   (ОКТ)</v>
          </cell>
          <cell r="D1252">
            <v>30713</v>
          </cell>
          <cell r="E1252">
            <v>36592</v>
          </cell>
          <cell r="F1252">
            <v>897</v>
          </cell>
          <cell r="G1252">
            <v>37651</v>
          </cell>
          <cell r="H1252">
            <v>897</v>
          </cell>
          <cell r="I1252" t="str">
            <v>деп</v>
          </cell>
          <cell r="J1252">
            <v>38198</v>
          </cell>
        </row>
        <row r="1253">
          <cell r="A1253">
            <v>53401063</v>
          </cell>
          <cell r="B1253" t="str">
            <v>РЕФРИЖЕРАТОРНАЯ КОМПАНИЯ</v>
          </cell>
          <cell r="C1253" t="str">
            <v>ВОЛКОВСКАЯ   (ОКТ)</v>
          </cell>
          <cell r="D1253">
            <v>30713</v>
          </cell>
          <cell r="E1253">
            <v>36476</v>
          </cell>
          <cell r="F1253">
            <v>897</v>
          </cell>
          <cell r="G1253">
            <v>37648</v>
          </cell>
          <cell r="H1253">
            <v>897</v>
          </cell>
          <cell r="I1253" t="str">
            <v>деп</v>
          </cell>
          <cell r="J1253">
            <v>38195</v>
          </cell>
        </row>
        <row r="1254">
          <cell r="A1254">
            <v>53401071</v>
          </cell>
          <cell r="B1254" t="str">
            <v>РЕФРИЖЕРАТОРНАЯ КОМПАНИЯ</v>
          </cell>
          <cell r="C1254" t="str">
            <v>ВОЛКОВСКАЯ   (ОКТ)</v>
          </cell>
          <cell r="D1254">
            <v>31444</v>
          </cell>
          <cell r="E1254">
            <v>36340</v>
          </cell>
          <cell r="F1254">
            <v>897</v>
          </cell>
          <cell r="G1254">
            <v>37656</v>
          </cell>
          <cell r="H1254">
            <v>897</v>
          </cell>
          <cell r="I1254" t="str">
            <v>деп</v>
          </cell>
          <cell r="J1254">
            <v>38172</v>
          </cell>
        </row>
        <row r="1255">
          <cell r="A1255">
            <v>53401089</v>
          </cell>
          <cell r="B1255" t="str">
            <v>РЕФРИЖЕРАТОРНАЯ КОМПАНИЯ</v>
          </cell>
          <cell r="C1255" t="str">
            <v>ВОЛКОВСКАЯ   (ОКТ)</v>
          </cell>
          <cell r="D1255">
            <v>31472</v>
          </cell>
          <cell r="E1255">
            <v>36657</v>
          </cell>
          <cell r="F1255">
            <v>897</v>
          </cell>
          <cell r="G1255">
            <v>37657</v>
          </cell>
          <cell r="H1255">
            <v>897</v>
          </cell>
          <cell r="I1255" t="str">
            <v>деп</v>
          </cell>
          <cell r="J1255">
            <v>38173</v>
          </cell>
        </row>
        <row r="1256">
          <cell r="A1256">
            <v>53401105</v>
          </cell>
          <cell r="B1256" t="str">
            <v>РЕФРИЖЕРАТОРНАЯ КОМПАНИЯ</v>
          </cell>
          <cell r="C1256" t="str">
            <v>ВОЛКОВСКАЯ   (ОКТ)</v>
          </cell>
          <cell r="D1256">
            <v>31717</v>
          </cell>
          <cell r="E1256">
            <v>36504</v>
          </cell>
          <cell r="F1256">
            <v>897</v>
          </cell>
          <cell r="G1256">
            <v>37645</v>
          </cell>
          <cell r="H1256">
            <v>897</v>
          </cell>
          <cell r="I1256" t="str">
            <v>деп</v>
          </cell>
          <cell r="J1256">
            <v>38192</v>
          </cell>
        </row>
        <row r="1257">
          <cell r="A1257">
            <v>53401170</v>
          </cell>
          <cell r="B1257" t="str">
            <v>РЕФРИЖЕРАТОРНАЯ КОМПАНИЯ</v>
          </cell>
          <cell r="C1257" t="str">
            <v>ВОЛКОВСКАЯ   (ОКТ)</v>
          </cell>
          <cell r="D1257">
            <v>30621</v>
          </cell>
          <cell r="E1257">
            <v>37685</v>
          </cell>
          <cell r="F1257">
            <v>897</v>
          </cell>
          <cell r="G1257">
            <v>36279</v>
          </cell>
          <cell r="H1257">
            <v>897</v>
          </cell>
          <cell r="I1257" t="str">
            <v>деп</v>
          </cell>
          <cell r="J1257">
            <v>38235</v>
          </cell>
        </row>
        <row r="1258">
          <cell r="A1258">
            <v>53401188</v>
          </cell>
          <cell r="B1258" t="str">
            <v>РЕФРИЖЕРАТОРНАЯ КОМПАНИЯ</v>
          </cell>
          <cell r="C1258" t="str">
            <v>ВОЛКОВСКАЯ   (ОКТ)</v>
          </cell>
          <cell r="D1258">
            <v>30651</v>
          </cell>
          <cell r="E1258">
            <v>37679</v>
          </cell>
          <cell r="F1258">
            <v>897</v>
          </cell>
          <cell r="G1258">
            <v>36257</v>
          </cell>
          <cell r="H1258">
            <v>897</v>
          </cell>
          <cell r="I1258" t="str">
            <v>деп</v>
          </cell>
          <cell r="J1258">
            <v>38226</v>
          </cell>
        </row>
        <row r="1259">
          <cell r="A1259">
            <v>53401204</v>
          </cell>
          <cell r="B1259" t="str">
            <v>РЕФРИЖЕРАТОРНАЯ КОМПАНИЯ</v>
          </cell>
          <cell r="C1259" t="str">
            <v>ВОЛКОВСКАЯ   (ОКТ)</v>
          </cell>
          <cell r="D1259">
            <v>30651</v>
          </cell>
          <cell r="E1259">
            <v>37694</v>
          </cell>
          <cell r="F1259">
            <v>897</v>
          </cell>
          <cell r="G1259">
            <v>36333</v>
          </cell>
          <cell r="H1259">
            <v>897</v>
          </cell>
          <cell r="I1259" t="str">
            <v>деп</v>
          </cell>
          <cell r="J1259">
            <v>38244</v>
          </cell>
        </row>
        <row r="1260">
          <cell r="A1260">
            <v>53401212</v>
          </cell>
          <cell r="B1260" t="str">
            <v>РЕФРИЖЕРАТОРНАЯ КОМПАНИЯ</v>
          </cell>
          <cell r="C1260" t="str">
            <v>ВОЛКОВСКАЯ   (ОКТ)</v>
          </cell>
          <cell r="D1260">
            <v>31321</v>
          </cell>
          <cell r="E1260">
            <v>36623</v>
          </cell>
          <cell r="F1260">
            <v>897</v>
          </cell>
          <cell r="G1260">
            <v>37691</v>
          </cell>
          <cell r="H1260">
            <v>897</v>
          </cell>
          <cell r="I1260" t="str">
            <v>деп</v>
          </cell>
          <cell r="J1260">
            <v>38241</v>
          </cell>
        </row>
        <row r="1261">
          <cell r="A1261">
            <v>53401329</v>
          </cell>
          <cell r="B1261" t="str">
            <v>РЕФРИЖЕРАТОРНАЯ КОМПАНИЯ</v>
          </cell>
          <cell r="C1261" t="str">
            <v>ВОЛКОВСКАЯ   (ОКТ)</v>
          </cell>
          <cell r="D1261">
            <v>30621</v>
          </cell>
          <cell r="E1261">
            <v>37685</v>
          </cell>
          <cell r="F1261">
            <v>897</v>
          </cell>
          <cell r="G1261">
            <v>36279</v>
          </cell>
          <cell r="H1261">
            <v>897</v>
          </cell>
          <cell r="I1261" t="str">
            <v>деп</v>
          </cell>
          <cell r="J1261">
            <v>38235</v>
          </cell>
        </row>
        <row r="1262">
          <cell r="A1262">
            <v>53401337</v>
          </cell>
          <cell r="B1262" t="str">
            <v>РЕФРИЖЕРАТОРНАЯ КОМПАНИЯ</v>
          </cell>
          <cell r="C1262" t="str">
            <v>ВОЛКОВСКАЯ   (ОКТ)</v>
          </cell>
          <cell r="D1262">
            <v>30651</v>
          </cell>
          <cell r="E1262">
            <v>37679</v>
          </cell>
          <cell r="F1262">
            <v>897</v>
          </cell>
          <cell r="G1262">
            <v>35892</v>
          </cell>
          <cell r="H1262">
            <v>897</v>
          </cell>
          <cell r="I1262" t="str">
            <v>деп</v>
          </cell>
          <cell r="J1262">
            <v>38226</v>
          </cell>
        </row>
        <row r="1263">
          <cell r="A1263">
            <v>53401345</v>
          </cell>
          <cell r="B1263" t="str">
            <v>РЕФРИЖЕРАТОРНАЯ КОМПАНИЯ</v>
          </cell>
          <cell r="C1263" t="str">
            <v>ВОЛКОВСКАЯ   (ОКТ)</v>
          </cell>
          <cell r="D1263">
            <v>30713</v>
          </cell>
          <cell r="E1263">
            <v>37694</v>
          </cell>
          <cell r="F1263">
            <v>897</v>
          </cell>
          <cell r="G1263">
            <v>36333</v>
          </cell>
          <cell r="H1263">
            <v>897</v>
          </cell>
          <cell r="I1263" t="str">
            <v>кап</v>
          </cell>
          <cell r="J1263">
            <v>38244</v>
          </cell>
        </row>
        <row r="1264">
          <cell r="A1264">
            <v>53700605</v>
          </cell>
          <cell r="B1264" t="str">
            <v>РЕФРИЖЕРАТОРНАЯ КОМПАНИЯ</v>
          </cell>
          <cell r="C1264" t="str">
            <v>ВОЛКОВСКАЯ   (ОКТ)</v>
          </cell>
          <cell r="D1264">
            <v>33178</v>
          </cell>
          <cell r="E1264">
            <v>37985</v>
          </cell>
          <cell r="F1264">
            <v>163</v>
          </cell>
          <cell r="G1264">
            <v>37256</v>
          </cell>
          <cell r="H1264">
            <v>819</v>
          </cell>
          <cell r="I1264" t="str">
            <v>деп</v>
          </cell>
          <cell r="J1264">
            <v>39081</v>
          </cell>
        </row>
        <row r="1265">
          <cell r="A1265">
            <v>53700613</v>
          </cell>
          <cell r="B1265" t="str">
            <v>РЕФРИЖЕРАТОРНАЯ КОМПАНИЯ</v>
          </cell>
          <cell r="C1265" t="str">
            <v>ВОЛКОВСКАЯ   (ОКТ)</v>
          </cell>
          <cell r="D1265">
            <v>33178</v>
          </cell>
          <cell r="E1265">
            <v>37701</v>
          </cell>
          <cell r="F1265">
            <v>886</v>
          </cell>
          <cell r="H1265">
            <v>0</v>
          </cell>
          <cell r="I1265" t="str">
            <v>кап</v>
          </cell>
          <cell r="J1265">
            <v>38797</v>
          </cell>
        </row>
        <row r="1266">
          <cell r="A1266">
            <v>53701546</v>
          </cell>
          <cell r="B1266" t="str">
            <v>РЕФРИЖЕРАТОРНАЯ КОМПАНИЯ</v>
          </cell>
          <cell r="C1266" t="str">
            <v>ВОЛКОВСКАЯ   (ОКТ)</v>
          </cell>
          <cell r="D1266">
            <v>33239</v>
          </cell>
          <cell r="E1266">
            <v>37824</v>
          </cell>
          <cell r="F1266">
            <v>163</v>
          </cell>
          <cell r="H1266">
            <v>0</v>
          </cell>
          <cell r="I1266" t="str">
            <v>кап</v>
          </cell>
          <cell r="J1266">
            <v>38920</v>
          </cell>
        </row>
        <row r="1267">
          <cell r="A1267">
            <v>53706933</v>
          </cell>
          <cell r="B1267" t="str">
            <v>РЕФРИЖЕРАТОРНАЯ КОМПАНИЯ</v>
          </cell>
          <cell r="C1267" t="str">
            <v>ВОЛКОВСКАЯ   (ОКТ)</v>
          </cell>
          <cell r="D1267">
            <v>31444</v>
          </cell>
          <cell r="E1267">
            <v>37377</v>
          </cell>
          <cell r="F1267">
            <v>341</v>
          </cell>
          <cell r="G1267">
            <v>37981</v>
          </cell>
          <cell r="H1267">
            <v>886</v>
          </cell>
          <cell r="I1267" t="str">
            <v>деп</v>
          </cell>
          <cell r="J1267">
            <v>38529</v>
          </cell>
        </row>
        <row r="1268">
          <cell r="A1268">
            <v>53706941</v>
          </cell>
          <cell r="B1268" t="str">
            <v>РЕФРИЖЕРАТОРНАЯ КОМПАНИЯ</v>
          </cell>
          <cell r="C1268" t="str">
            <v>ВОЛКОВСКАЯ   (ОКТ)</v>
          </cell>
          <cell r="D1268">
            <v>31472</v>
          </cell>
          <cell r="E1268">
            <v>36602</v>
          </cell>
          <cell r="F1268">
            <v>886</v>
          </cell>
          <cell r="G1268">
            <v>37981</v>
          </cell>
          <cell r="H1268">
            <v>886</v>
          </cell>
          <cell r="I1268" t="str">
            <v>деп</v>
          </cell>
          <cell r="J1268">
            <v>38529</v>
          </cell>
        </row>
        <row r="1269">
          <cell r="A1269">
            <v>58000175</v>
          </cell>
          <cell r="B1269" t="str">
            <v>РЕФРИЖЕРАТОРНАЯ КОМПАНИЯ</v>
          </cell>
          <cell r="C1269" t="str">
            <v>ВОЛКОВСКАЯ   (ОКТ)</v>
          </cell>
          <cell r="D1269">
            <v>33329</v>
          </cell>
          <cell r="E1269">
            <v>37520</v>
          </cell>
          <cell r="F1269">
            <v>1058</v>
          </cell>
          <cell r="H1269">
            <v>0</v>
          </cell>
          <cell r="I1269" t="str">
            <v>деп</v>
          </cell>
          <cell r="J1269">
            <v>38251</v>
          </cell>
        </row>
        <row r="1270">
          <cell r="A1270">
            <v>58000183</v>
          </cell>
          <cell r="B1270" t="str">
            <v>РЕФРИЖЕРАТОРНАЯ КОМПАНИЯ</v>
          </cell>
          <cell r="C1270" t="str">
            <v>ВОЛКОВСКАЯ   (ОКТ)</v>
          </cell>
          <cell r="D1270">
            <v>33329</v>
          </cell>
          <cell r="E1270">
            <v>37501</v>
          </cell>
          <cell r="F1270">
            <v>1058</v>
          </cell>
          <cell r="H1270">
            <v>0</v>
          </cell>
          <cell r="I1270" t="str">
            <v>деп</v>
          </cell>
          <cell r="J1270">
            <v>38232</v>
          </cell>
        </row>
        <row r="1271">
          <cell r="A1271">
            <v>58000209</v>
          </cell>
          <cell r="B1271" t="str">
            <v>РЕФРИЖЕРАТОРНАЯ КОМПАНИЯ</v>
          </cell>
          <cell r="C1271" t="str">
            <v>ВОЛКОВСКАЯ   (ОКТ)</v>
          </cell>
          <cell r="D1271">
            <v>33329</v>
          </cell>
          <cell r="E1271">
            <v>37500</v>
          </cell>
          <cell r="F1271">
            <v>1058</v>
          </cell>
          <cell r="H1271">
            <v>0</v>
          </cell>
          <cell r="I1271" t="str">
            <v>деп</v>
          </cell>
          <cell r="J1271">
            <v>38231</v>
          </cell>
        </row>
        <row r="1272">
          <cell r="A1272">
            <v>58000217</v>
          </cell>
          <cell r="B1272" t="str">
            <v>РЕФРИЖЕРАТОРНАЯ КОМПАНИЯ</v>
          </cell>
          <cell r="C1272" t="str">
            <v>ВОЛКОВСКАЯ   (ОКТ)</v>
          </cell>
          <cell r="D1272">
            <v>33329</v>
          </cell>
          <cell r="E1272">
            <v>37491</v>
          </cell>
          <cell r="F1272">
            <v>1058</v>
          </cell>
          <cell r="H1272">
            <v>0</v>
          </cell>
          <cell r="I1272" t="str">
            <v>деп</v>
          </cell>
          <cell r="J1272">
            <v>38222</v>
          </cell>
        </row>
        <row r="1273">
          <cell r="A1273">
            <v>58000225</v>
          </cell>
          <cell r="B1273" t="str">
            <v>РЕФРИЖЕРАТОРНАЯ КОМПАНИЯ</v>
          </cell>
          <cell r="C1273" t="str">
            <v>ВОЛКОВСКАЯ   (ОКТ)</v>
          </cell>
          <cell r="D1273">
            <v>33329</v>
          </cell>
          <cell r="E1273">
            <v>37500</v>
          </cell>
          <cell r="F1273">
            <v>1058</v>
          </cell>
          <cell r="H1273">
            <v>0</v>
          </cell>
          <cell r="I1273" t="str">
            <v>деп</v>
          </cell>
          <cell r="J1273">
            <v>38231</v>
          </cell>
        </row>
        <row r="1274">
          <cell r="A1274">
            <v>58000233</v>
          </cell>
          <cell r="B1274" t="str">
            <v>РЕФРИЖЕРАТОРНАЯ КОМПАНИЯ</v>
          </cell>
          <cell r="C1274" t="str">
            <v>ВОЛКОВСКАЯ   (ОКТ)</v>
          </cell>
          <cell r="D1274">
            <v>33329</v>
          </cell>
          <cell r="E1274">
            <v>37516</v>
          </cell>
          <cell r="F1274">
            <v>1058</v>
          </cell>
          <cell r="H1274">
            <v>0</v>
          </cell>
          <cell r="I1274" t="str">
            <v>деп</v>
          </cell>
          <cell r="J1274">
            <v>38247</v>
          </cell>
        </row>
        <row r="1275">
          <cell r="A1275">
            <v>58000241</v>
          </cell>
          <cell r="B1275" t="str">
            <v>РЕФРИЖЕРАТОРНАЯ КОМПАНИЯ</v>
          </cell>
          <cell r="C1275" t="str">
            <v>ВОЛКОВСКАЯ   (ОКТ)</v>
          </cell>
          <cell r="D1275">
            <v>33329</v>
          </cell>
          <cell r="E1275">
            <v>37803</v>
          </cell>
          <cell r="F1275">
            <v>1099</v>
          </cell>
          <cell r="H1275">
            <v>0</v>
          </cell>
          <cell r="I1275" t="str">
            <v>деп</v>
          </cell>
          <cell r="J1275">
            <v>38534</v>
          </cell>
        </row>
        <row r="1276">
          <cell r="A1276">
            <v>58000258</v>
          </cell>
          <cell r="B1276" t="str">
            <v>РЕФРИЖЕРАТОРНАЯ КОМПАНИЯ</v>
          </cell>
          <cell r="C1276" t="str">
            <v>ВОЛКОВСКАЯ   (ОКТ)</v>
          </cell>
          <cell r="D1276">
            <v>33329</v>
          </cell>
          <cell r="E1276">
            <v>37833</v>
          </cell>
          <cell r="F1276">
            <v>1099</v>
          </cell>
          <cell r="H1276">
            <v>0</v>
          </cell>
          <cell r="I1276" t="str">
            <v>деп</v>
          </cell>
          <cell r="J1276">
            <v>38564</v>
          </cell>
        </row>
        <row r="1277">
          <cell r="A1277">
            <v>58000266</v>
          </cell>
          <cell r="B1277" t="str">
            <v>РЕФРИЖЕРАТОРНАЯ КОМПАНИЯ</v>
          </cell>
          <cell r="C1277" t="str">
            <v>ВОЛКОВСКАЯ   (ОКТ)</v>
          </cell>
          <cell r="D1277">
            <v>33329</v>
          </cell>
          <cell r="E1277">
            <v>37823</v>
          </cell>
          <cell r="F1277">
            <v>1099</v>
          </cell>
          <cell r="H1277">
            <v>0</v>
          </cell>
          <cell r="I1277" t="str">
            <v>деп</v>
          </cell>
          <cell r="J1277">
            <v>38554</v>
          </cell>
        </row>
        <row r="1278">
          <cell r="A1278">
            <v>58000274</v>
          </cell>
          <cell r="B1278" t="str">
            <v>РЕФРИЖЕРАТОРНАЯ КОМПАНИЯ</v>
          </cell>
          <cell r="C1278" t="str">
            <v>ВОЛКОВСКАЯ   (ОКТ)</v>
          </cell>
          <cell r="D1278">
            <v>33329</v>
          </cell>
          <cell r="E1278">
            <v>37826</v>
          </cell>
          <cell r="F1278">
            <v>1099</v>
          </cell>
          <cell r="H1278">
            <v>0</v>
          </cell>
          <cell r="I1278" t="str">
            <v>деп</v>
          </cell>
          <cell r="J1278">
            <v>38557</v>
          </cell>
        </row>
        <row r="1279">
          <cell r="A1279">
            <v>58000282</v>
          </cell>
          <cell r="B1279" t="str">
            <v>РЕФРИЖЕРАТОРНАЯ КОМПАНИЯ</v>
          </cell>
          <cell r="C1279" t="str">
            <v>ВОЛКОВСКАЯ   (ОКТ)</v>
          </cell>
          <cell r="D1279">
            <v>33329</v>
          </cell>
          <cell r="E1279">
            <v>37501</v>
          </cell>
          <cell r="F1279">
            <v>1058</v>
          </cell>
          <cell r="H1279">
            <v>0</v>
          </cell>
          <cell r="I1279" t="str">
            <v>деп</v>
          </cell>
          <cell r="J1279">
            <v>38232</v>
          </cell>
        </row>
        <row r="1280">
          <cell r="A1280">
            <v>58000308</v>
          </cell>
          <cell r="B1280" t="str">
            <v>РЕФРИЖЕРАТОРНАЯ КОМПАНИЯ</v>
          </cell>
          <cell r="C1280" t="str">
            <v>ВОЛКОВСКАЯ   (ОКТ)</v>
          </cell>
          <cell r="D1280">
            <v>33329</v>
          </cell>
          <cell r="E1280">
            <v>37803</v>
          </cell>
          <cell r="F1280">
            <v>1099</v>
          </cell>
          <cell r="H1280">
            <v>0</v>
          </cell>
          <cell r="I1280" t="str">
            <v>деп</v>
          </cell>
          <cell r="J1280">
            <v>38534</v>
          </cell>
        </row>
        <row r="1281">
          <cell r="A1281">
            <v>58000316</v>
          </cell>
          <cell r="B1281" t="str">
            <v>РЕФРИЖЕРАТОРНАЯ КОМПАНИЯ</v>
          </cell>
          <cell r="C1281" t="str">
            <v>ВОЛКОВСКАЯ   (ОКТ)</v>
          </cell>
          <cell r="D1281">
            <v>33329</v>
          </cell>
          <cell r="E1281">
            <v>37803</v>
          </cell>
          <cell r="F1281">
            <v>1099</v>
          </cell>
          <cell r="H1281">
            <v>0</v>
          </cell>
          <cell r="I1281" t="str">
            <v>деп</v>
          </cell>
          <cell r="J1281">
            <v>38534</v>
          </cell>
        </row>
        <row r="1282">
          <cell r="A1282">
            <v>58336447</v>
          </cell>
          <cell r="B1282" t="str">
            <v>РЕФРИЖЕРАТОРНАЯ КОМПАНИЯ</v>
          </cell>
          <cell r="C1282" t="str">
            <v>ВОЛКОВСКАЯ   (ОКТ)</v>
          </cell>
          <cell r="D1282">
            <v>33208</v>
          </cell>
          <cell r="E1282">
            <v>37985</v>
          </cell>
          <cell r="F1282">
            <v>163</v>
          </cell>
          <cell r="G1282">
            <v>37256</v>
          </cell>
          <cell r="H1282">
            <v>819</v>
          </cell>
          <cell r="I1282" t="str">
            <v>деп</v>
          </cell>
          <cell r="J1282">
            <v>38716</v>
          </cell>
        </row>
        <row r="1283">
          <cell r="A1283">
            <v>58336454</v>
          </cell>
          <cell r="B1283" t="str">
            <v>РЕФРИЖЕРАТОРНАЯ КОМПАНИЯ</v>
          </cell>
          <cell r="C1283" t="str">
            <v>ВОЛКОВСКАЯ   (ОКТ)</v>
          </cell>
          <cell r="D1283">
            <v>33208</v>
          </cell>
          <cell r="E1283">
            <v>37985</v>
          </cell>
          <cell r="F1283">
            <v>163</v>
          </cell>
          <cell r="G1283">
            <v>37256</v>
          </cell>
          <cell r="H1283">
            <v>819</v>
          </cell>
          <cell r="I1283" t="str">
            <v>деп</v>
          </cell>
          <cell r="J1283">
            <v>38716</v>
          </cell>
        </row>
        <row r="1284">
          <cell r="A1284">
            <v>58336462</v>
          </cell>
          <cell r="B1284" t="str">
            <v>РЕФРИЖЕРАТОРНАЯ КОМПАНИЯ</v>
          </cell>
          <cell r="C1284" t="str">
            <v>ВОЛКОВСКАЯ   (ОКТ)</v>
          </cell>
          <cell r="D1284">
            <v>33208</v>
          </cell>
          <cell r="E1284">
            <v>37985</v>
          </cell>
          <cell r="F1284">
            <v>163</v>
          </cell>
          <cell r="G1284">
            <v>37256</v>
          </cell>
          <cell r="H1284">
            <v>819</v>
          </cell>
          <cell r="I1284" t="str">
            <v>деп</v>
          </cell>
          <cell r="J1284">
            <v>38716</v>
          </cell>
        </row>
        <row r="1285">
          <cell r="A1285">
            <v>58336470</v>
          </cell>
          <cell r="B1285" t="str">
            <v>РЕФРИЖЕРАТОРНАЯ КОМПАНИЯ</v>
          </cell>
          <cell r="C1285" t="str">
            <v>ВОЛКОВСКАЯ   (ОКТ)</v>
          </cell>
          <cell r="D1285">
            <v>33208</v>
          </cell>
          <cell r="E1285">
            <v>37985</v>
          </cell>
          <cell r="F1285">
            <v>163</v>
          </cell>
          <cell r="G1285">
            <v>37256</v>
          </cell>
          <cell r="H1285">
            <v>819</v>
          </cell>
          <cell r="I1285" t="str">
            <v>деп</v>
          </cell>
          <cell r="J1285">
            <v>38716</v>
          </cell>
        </row>
        <row r="1286">
          <cell r="A1286">
            <v>58336488</v>
          </cell>
          <cell r="B1286" t="str">
            <v>РЕФРИЖЕРАТОРНАЯ КОМПАНИЯ</v>
          </cell>
          <cell r="C1286" t="str">
            <v>ВОЛКОВСКАЯ   (ОКТ)</v>
          </cell>
          <cell r="D1286">
            <v>33178</v>
          </cell>
          <cell r="E1286">
            <v>37701</v>
          </cell>
          <cell r="F1286">
            <v>886</v>
          </cell>
          <cell r="H1286">
            <v>0</v>
          </cell>
          <cell r="I1286" t="str">
            <v>деп</v>
          </cell>
          <cell r="J1286">
            <v>38432</v>
          </cell>
        </row>
        <row r="1287">
          <cell r="A1287">
            <v>58336496</v>
          </cell>
          <cell r="B1287" t="str">
            <v>РЕФРИЖЕРАТОРНАЯ КОМПАНИЯ</v>
          </cell>
          <cell r="C1287" t="str">
            <v>ВОЛКОВСКАЯ   (ОКТ)</v>
          </cell>
          <cell r="D1287">
            <v>33208</v>
          </cell>
          <cell r="E1287">
            <v>37701</v>
          </cell>
          <cell r="F1287">
            <v>886</v>
          </cell>
          <cell r="H1287">
            <v>0</v>
          </cell>
          <cell r="I1287" t="str">
            <v>деп</v>
          </cell>
          <cell r="J1287">
            <v>38432</v>
          </cell>
        </row>
        <row r="1288">
          <cell r="A1288">
            <v>58336504</v>
          </cell>
          <cell r="B1288" t="str">
            <v>РЕФРИЖЕРАТОРНАЯ КОМПАНИЯ</v>
          </cell>
          <cell r="C1288" t="str">
            <v>ВОЛКОВСКАЯ   (ОКТ)</v>
          </cell>
          <cell r="D1288">
            <v>33208</v>
          </cell>
          <cell r="E1288">
            <v>37701</v>
          </cell>
          <cell r="F1288">
            <v>886</v>
          </cell>
          <cell r="H1288">
            <v>0</v>
          </cell>
          <cell r="I1288" t="str">
            <v>деп</v>
          </cell>
          <cell r="J1288">
            <v>38432</v>
          </cell>
        </row>
        <row r="1289">
          <cell r="A1289">
            <v>58336512</v>
          </cell>
          <cell r="B1289" t="str">
            <v>РЕФРИЖЕРАТОРНАЯ КОМПАНИЯ</v>
          </cell>
          <cell r="C1289" t="str">
            <v>ВОЛКОВСКАЯ   (ОКТ)</v>
          </cell>
          <cell r="D1289">
            <v>33208</v>
          </cell>
          <cell r="E1289">
            <v>37701</v>
          </cell>
          <cell r="F1289">
            <v>886</v>
          </cell>
          <cell r="H1289">
            <v>0</v>
          </cell>
          <cell r="I1289" t="str">
            <v>деп</v>
          </cell>
          <cell r="J1289">
            <v>38432</v>
          </cell>
        </row>
        <row r="1290">
          <cell r="A1290">
            <v>58338419</v>
          </cell>
          <cell r="B1290" t="str">
            <v>РЕФРИЖЕРАТОРНАЯ КОМПАНИЯ</v>
          </cell>
          <cell r="C1290" t="str">
            <v>ВОЛКОВСКАЯ   (ОКТ)</v>
          </cell>
          <cell r="D1290">
            <v>33239</v>
          </cell>
          <cell r="E1290">
            <v>37824</v>
          </cell>
          <cell r="F1290">
            <v>163</v>
          </cell>
          <cell r="H1290">
            <v>0</v>
          </cell>
          <cell r="I1290" t="str">
            <v>деп</v>
          </cell>
          <cell r="J1290">
            <v>38555</v>
          </cell>
        </row>
        <row r="1291">
          <cell r="A1291">
            <v>58338427</v>
          </cell>
          <cell r="B1291" t="str">
            <v>РЕФРИЖЕРАТОРНАЯ КОМПАНИЯ</v>
          </cell>
          <cell r="C1291" t="str">
            <v>ВОЛКОВСКАЯ   (ОКТ)</v>
          </cell>
          <cell r="D1291">
            <v>33239</v>
          </cell>
          <cell r="E1291">
            <v>37824</v>
          </cell>
          <cell r="F1291">
            <v>163</v>
          </cell>
          <cell r="H1291">
            <v>0</v>
          </cell>
          <cell r="I1291" t="str">
            <v>деп</v>
          </cell>
          <cell r="J1291">
            <v>38555</v>
          </cell>
        </row>
        <row r="1292">
          <cell r="A1292">
            <v>58338435</v>
          </cell>
          <cell r="B1292" t="str">
            <v>РЕФРИЖЕРАТОРНАЯ КОМПАНИЯ</v>
          </cell>
          <cell r="C1292" t="str">
            <v>ВОЛКОВСКАЯ   (ОКТ)</v>
          </cell>
          <cell r="D1292">
            <v>33239</v>
          </cell>
          <cell r="E1292">
            <v>37824</v>
          </cell>
          <cell r="F1292">
            <v>163</v>
          </cell>
          <cell r="H1292">
            <v>0</v>
          </cell>
          <cell r="I1292" t="str">
            <v>деп</v>
          </cell>
          <cell r="J1292">
            <v>38555</v>
          </cell>
        </row>
        <row r="1293">
          <cell r="A1293">
            <v>58338443</v>
          </cell>
          <cell r="B1293" t="str">
            <v>РЕФРИЖЕРАТОРНАЯ КОМПАНИЯ</v>
          </cell>
          <cell r="C1293" t="str">
            <v>ВОЛКОВСКАЯ   (ОКТ)</v>
          </cell>
          <cell r="D1293">
            <v>33239</v>
          </cell>
          <cell r="E1293">
            <v>37824</v>
          </cell>
          <cell r="F1293">
            <v>163</v>
          </cell>
          <cell r="H1293">
            <v>0</v>
          </cell>
          <cell r="I1293" t="str">
            <v>деп</v>
          </cell>
          <cell r="J1293">
            <v>38555</v>
          </cell>
        </row>
        <row r="1294">
          <cell r="A1294">
            <v>58728924</v>
          </cell>
          <cell r="B1294" t="str">
            <v>РЕФРИЖЕРАТОРНАЯ КОМПАНИЯ</v>
          </cell>
          <cell r="C1294" t="str">
            <v>ВОЛКОВСКАЯ   (ОКТ)</v>
          </cell>
          <cell r="D1294">
            <v>29465</v>
          </cell>
          <cell r="E1294">
            <v>37894</v>
          </cell>
          <cell r="F1294">
            <v>792</v>
          </cell>
          <cell r="G1294">
            <v>37102</v>
          </cell>
          <cell r="H1294">
            <v>330</v>
          </cell>
          <cell r="I1294" t="str">
            <v>деп</v>
          </cell>
          <cell r="J1294">
            <v>38321</v>
          </cell>
        </row>
        <row r="1295">
          <cell r="A1295">
            <v>58728932</v>
          </cell>
          <cell r="B1295" t="str">
            <v>РЕФРИЖЕРАТОРНАЯ КОМПАНИЯ</v>
          </cell>
          <cell r="C1295" t="str">
            <v>ВОЛКОВСКАЯ   (ОКТ)</v>
          </cell>
          <cell r="D1295">
            <v>29465</v>
          </cell>
          <cell r="E1295">
            <v>37894</v>
          </cell>
          <cell r="F1295">
            <v>792</v>
          </cell>
          <cell r="G1295">
            <v>37099</v>
          </cell>
          <cell r="H1295">
            <v>330</v>
          </cell>
          <cell r="I1295" t="str">
            <v>деп</v>
          </cell>
          <cell r="J1295">
            <v>38321</v>
          </cell>
        </row>
        <row r="1296">
          <cell r="A1296">
            <v>58728940</v>
          </cell>
          <cell r="B1296" t="str">
            <v>РЕФРИЖЕРАТОРНАЯ КОМПАНИЯ</v>
          </cell>
          <cell r="C1296" t="str">
            <v>ВОЛКОВСКАЯ   (ОКТ)</v>
          </cell>
          <cell r="D1296">
            <v>29465</v>
          </cell>
          <cell r="E1296">
            <v>37894</v>
          </cell>
          <cell r="F1296">
            <v>792</v>
          </cell>
          <cell r="G1296">
            <v>37103</v>
          </cell>
          <cell r="H1296">
            <v>330</v>
          </cell>
          <cell r="I1296" t="str">
            <v>деп</v>
          </cell>
          <cell r="J1296">
            <v>38321</v>
          </cell>
        </row>
        <row r="1297">
          <cell r="A1297">
            <v>58728957</v>
          </cell>
          <cell r="B1297" t="str">
            <v>РЕФРИЖЕРАТОРНАЯ КОМПАНИЯ</v>
          </cell>
          <cell r="C1297" t="str">
            <v>ВОЛКОВСКАЯ   (ОКТ)</v>
          </cell>
          <cell r="D1297">
            <v>29465</v>
          </cell>
          <cell r="E1297">
            <v>37894</v>
          </cell>
          <cell r="F1297">
            <v>792</v>
          </cell>
          <cell r="G1297">
            <v>37103</v>
          </cell>
          <cell r="H1297">
            <v>330</v>
          </cell>
          <cell r="I1297" t="str">
            <v>деп</v>
          </cell>
          <cell r="J1297">
            <v>38321</v>
          </cell>
        </row>
        <row r="1298">
          <cell r="A1298">
            <v>58728965</v>
          </cell>
          <cell r="B1298" t="str">
            <v>РЕФРИЖЕРАТОРНАЯ КОМПАНИЯ</v>
          </cell>
          <cell r="C1298" t="str">
            <v>ВОЛКОВСКАЯ   (ОКТ)</v>
          </cell>
          <cell r="D1298">
            <v>29495</v>
          </cell>
          <cell r="E1298">
            <v>37183</v>
          </cell>
          <cell r="F1298">
            <v>352</v>
          </cell>
          <cell r="H1298">
            <v>0</v>
          </cell>
          <cell r="I1298" t="str">
            <v>деп</v>
          </cell>
          <cell r="J1298">
            <v>37950</v>
          </cell>
        </row>
        <row r="1299">
          <cell r="A1299">
            <v>58728973</v>
          </cell>
          <cell r="B1299" t="str">
            <v>РЕФРИЖЕРАТОРНАЯ КОМПАНИЯ</v>
          </cell>
          <cell r="C1299" t="str">
            <v>ВОЛКОВСКАЯ   (ОКТ)</v>
          </cell>
          <cell r="D1299">
            <v>29495</v>
          </cell>
          <cell r="E1299">
            <v>37183</v>
          </cell>
          <cell r="F1299">
            <v>352</v>
          </cell>
          <cell r="H1299">
            <v>0</v>
          </cell>
          <cell r="I1299" t="str">
            <v>деп</v>
          </cell>
          <cell r="J1299">
            <v>37950</v>
          </cell>
        </row>
        <row r="1300">
          <cell r="A1300">
            <v>58728981</v>
          </cell>
          <cell r="B1300" t="str">
            <v>РЕФРИЖЕРАТОРНАЯ КОМПАНИЯ</v>
          </cell>
          <cell r="C1300" t="str">
            <v>ВОЛКОВСКАЯ   (ОКТ)</v>
          </cell>
          <cell r="D1300">
            <v>29495</v>
          </cell>
          <cell r="E1300">
            <v>37183</v>
          </cell>
          <cell r="F1300">
            <v>352</v>
          </cell>
          <cell r="H1300">
            <v>0</v>
          </cell>
          <cell r="I1300" t="str">
            <v>деп</v>
          </cell>
          <cell r="J1300">
            <v>37950</v>
          </cell>
        </row>
        <row r="1301">
          <cell r="A1301">
            <v>58729005</v>
          </cell>
          <cell r="B1301" t="str">
            <v>РЕФРИЖЕРАТОРНАЯ КОМПАНИЯ</v>
          </cell>
          <cell r="C1301" t="str">
            <v>ВОЛКОВСКАЯ   (ОКТ)</v>
          </cell>
          <cell r="D1301">
            <v>29495</v>
          </cell>
          <cell r="E1301">
            <v>37183</v>
          </cell>
          <cell r="F1301">
            <v>352</v>
          </cell>
          <cell r="H1301">
            <v>0</v>
          </cell>
          <cell r="I1301" t="str">
            <v>деп</v>
          </cell>
          <cell r="J1301">
            <v>37950</v>
          </cell>
        </row>
        <row r="1302">
          <cell r="A1302">
            <v>58729013</v>
          </cell>
          <cell r="B1302" t="str">
            <v>РЕФРИЖЕРАТОРНАЯ КОМПАНИЯ</v>
          </cell>
          <cell r="C1302" t="str">
            <v>ВОЛКОВСКАЯ   (ОКТ)</v>
          </cell>
          <cell r="D1302">
            <v>29526</v>
          </cell>
          <cell r="E1302">
            <v>37964</v>
          </cell>
          <cell r="F1302">
            <v>350</v>
          </cell>
          <cell r="H1302">
            <v>0</v>
          </cell>
          <cell r="I1302" t="str">
            <v>кап</v>
          </cell>
          <cell r="J1302">
            <v>38392</v>
          </cell>
        </row>
        <row r="1303">
          <cell r="A1303">
            <v>58729021</v>
          </cell>
          <cell r="B1303" t="str">
            <v>РЕФРИЖЕРАТОРНАЯ КОМПАНИЯ</v>
          </cell>
          <cell r="C1303" t="str">
            <v>ВОЛКОВСКАЯ   (ОКТ)</v>
          </cell>
          <cell r="D1303">
            <v>29526</v>
          </cell>
          <cell r="E1303">
            <v>37964</v>
          </cell>
          <cell r="F1303">
            <v>350</v>
          </cell>
          <cell r="H1303">
            <v>0</v>
          </cell>
          <cell r="I1303" t="str">
            <v>кап</v>
          </cell>
          <cell r="J1303">
            <v>38392</v>
          </cell>
        </row>
        <row r="1304">
          <cell r="A1304">
            <v>58729039</v>
          </cell>
          <cell r="B1304" t="str">
            <v>РЕФРИЖЕРАТОРНАЯ КОМПАНИЯ</v>
          </cell>
          <cell r="C1304" t="str">
            <v>ВОЛКОВСКАЯ   (ОКТ)</v>
          </cell>
          <cell r="D1304">
            <v>29526</v>
          </cell>
          <cell r="E1304">
            <v>37964</v>
          </cell>
          <cell r="F1304">
            <v>350</v>
          </cell>
          <cell r="H1304">
            <v>0</v>
          </cell>
          <cell r="I1304" t="str">
            <v>кап</v>
          </cell>
          <cell r="J1304">
            <v>38392</v>
          </cell>
        </row>
        <row r="1305">
          <cell r="A1305">
            <v>58729047</v>
          </cell>
          <cell r="B1305" t="str">
            <v>РЕФРИЖЕРАТОРНАЯ КОМПАНИЯ</v>
          </cell>
          <cell r="C1305" t="str">
            <v>ВОЛКОВСКАЯ   (ОКТ)</v>
          </cell>
          <cell r="D1305">
            <v>29526</v>
          </cell>
          <cell r="E1305">
            <v>37133</v>
          </cell>
          <cell r="F1305">
            <v>323</v>
          </cell>
          <cell r="G1305">
            <v>37798</v>
          </cell>
          <cell r="H1305">
            <v>492</v>
          </cell>
          <cell r="I1305" t="str">
            <v>деп</v>
          </cell>
          <cell r="J1305">
            <v>38347</v>
          </cell>
        </row>
        <row r="1306">
          <cell r="A1306">
            <v>58729054</v>
          </cell>
          <cell r="B1306" t="str">
            <v>РЕФРИЖЕРАТОРНАЯ КОМПАНИЯ</v>
          </cell>
          <cell r="C1306" t="str">
            <v>ВОЛКОВСКАЯ   (ОКТ)</v>
          </cell>
          <cell r="D1306">
            <v>30621</v>
          </cell>
          <cell r="E1306">
            <v>37134</v>
          </cell>
          <cell r="F1306">
            <v>323</v>
          </cell>
          <cell r="G1306">
            <v>37795</v>
          </cell>
          <cell r="H1306">
            <v>492</v>
          </cell>
          <cell r="I1306" t="str">
            <v>деп</v>
          </cell>
          <cell r="J1306">
            <v>38344</v>
          </cell>
        </row>
        <row r="1307">
          <cell r="A1307">
            <v>58729062</v>
          </cell>
          <cell r="B1307" t="str">
            <v>РЕФРИЖЕРАТОРНАЯ КОМПАНИЯ</v>
          </cell>
          <cell r="C1307" t="str">
            <v>ВОЛКОВСКАЯ   (ОКТ)</v>
          </cell>
          <cell r="D1307">
            <v>30621</v>
          </cell>
          <cell r="E1307">
            <v>37134</v>
          </cell>
          <cell r="F1307">
            <v>323</v>
          </cell>
          <cell r="G1307">
            <v>37798</v>
          </cell>
          <cell r="H1307">
            <v>492</v>
          </cell>
          <cell r="I1307" t="str">
            <v>деп</v>
          </cell>
          <cell r="J1307">
            <v>38347</v>
          </cell>
        </row>
        <row r="1308">
          <cell r="A1308">
            <v>58729070</v>
          </cell>
          <cell r="B1308" t="str">
            <v>РЕФРИЖЕРАТОРНАЯ КОМПАНИЯ</v>
          </cell>
          <cell r="C1308" t="str">
            <v>ВОЛКОВСКАЯ   (ОКТ)</v>
          </cell>
          <cell r="D1308">
            <v>30621</v>
          </cell>
          <cell r="E1308">
            <v>37134</v>
          </cell>
          <cell r="F1308">
            <v>323</v>
          </cell>
          <cell r="G1308">
            <v>37795</v>
          </cell>
          <cell r="H1308">
            <v>492</v>
          </cell>
          <cell r="I1308" t="str">
            <v>деп</v>
          </cell>
          <cell r="J1308">
            <v>38344</v>
          </cell>
        </row>
        <row r="1309">
          <cell r="A1309">
            <v>58729088</v>
          </cell>
          <cell r="B1309" t="str">
            <v>РЕФРИЖЕРАТОРНАЯ КОМПАНИЯ</v>
          </cell>
          <cell r="C1309" t="str">
            <v>ВОЛКОВСКАЯ   (ОКТ)</v>
          </cell>
          <cell r="D1309">
            <v>30621</v>
          </cell>
          <cell r="E1309">
            <v>37159</v>
          </cell>
          <cell r="F1309">
            <v>330</v>
          </cell>
          <cell r="G1309">
            <v>37894</v>
          </cell>
          <cell r="H1309">
            <v>492</v>
          </cell>
          <cell r="I1309" t="str">
            <v>деп</v>
          </cell>
          <cell r="J1309">
            <v>38441</v>
          </cell>
        </row>
        <row r="1310">
          <cell r="A1310">
            <v>58729104</v>
          </cell>
          <cell r="B1310" t="str">
            <v>РЕФРИЖЕРАТОРНАЯ КОМПАНИЯ</v>
          </cell>
          <cell r="C1310" t="str">
            <v>ВОЛКОВСКАЯ   (ОКТ)</v>
          </cell>
          <cell r="D1310">
            <v>30651</v>
          </cell>
          <cell r="E1310">
            <v>37118</v>
          </cell>
          <cell r="F1310">
            <v>330</v>
          </cell>
          <cell r="H1310">
            <v>0</v>
          </cell>
          <cell r="I1310" t="str">
            <v>деп</v>
          </cell>
          <cell r="J1310">
            <v>37942</v>
          </cell>
        </row>
        <row r="1311">
          <cell r="A1311">
            <v>58729112</v>
          </cell>
          <cell r="B1311" t="str">
            <v>РЕФРИЖЕРАТОРНАЯ КОМПАНИЯ</v>
          </cell>
          <cell r="C1311" t="str">
            <v>ВОЛКОВСКАЯ   (ОКТ)</v>
          </cell>
          <cell r="D1311">
            <v>30651</v>
          </cell>
          <cell r="E1311">
            <v>37118</v>
          </cell>
          <cell r="F1311">
            <v>330</v>
          </cell>
          <cell r="H1311">
            <v>0</v>
          </cell>
          <cell r="I1311" t="str">
            <v>деп</v>
          </cell>
          <cell r="J1311">
            <v>37942</v>
          </cell>
        </row>
        <row r="1312">
          <cell r="A1312">
            <v>58729120</v>
          </cell>
          <cell r="B1312" t="str">
            <v>РЕФРИЖЕРАТОРНАЯ КОМПАНИЯ</v>
          </cell>
          <cell r="C1312" t="str">
            <v>ВОЛКОВСКАЯ   (ОКТ)</v>
          </cell>
          <cell r="D1312">
            <v>30651</v>
          </cell>
          <cell r="E1312">
            <v>37119</v>
          </cell>
          <cell r="F1312">
            <v>330</v>
          </cell>
          <cell r="H1312">
            <v>0</v>
          </cell>
          <cell r="I1312" t="str">
            <v>деп</v>
          </cell>
          <cell r="J1312">
            <v>37942</v>
          </cell>
        </row>
        <row r="1313">
          <cell r="A1313">
            <v>58729138</v>
          </cell>
          <cell r="B1313" t="str">
            <v>РЕФРИЖЕРАТОРНАЯ КОМПАНИЯ</v>
          </cell>
          <cell r="C1313" t="str">
            <v>ВОЛКОВСКАЯ   (ОКТ)</v>
          </cell>
          <cell r="D1313">
            <v>30651</v>
          </cell>
          <cell r="E1313">
            <v>37118</v>
          </cell>
          <cell r="F1313">
            <v>330</v>
          </cell>
          <cell r="H1313">
            <v>0</v>
          </cell>
          <cell r="I1313" t="str">
            <v>деп</v>
          </cell>
          <cell r="J1313">
            <v>37942</v>
          </cell>
        </row>
        <row r="1314">
          <cell r="A1314">
            <v>58729146</v>
          </cell>
          <cell r="B1314" t="str">
            <v>РЕФРИЖЕРАТОРНАЯ КОМПАНИЯ</v>
          </cell>
          <cell r="C1314" t="str">
            <v>ВОЛКОВСКАЯ   (ОКТ)</v>
          </cell>
          <cell r="D1314">
            <v>30682</v>
          </cell>
          <cell r="E1314">
            <v>37127</v>
          </cell>
          <cell r="F1314">
            <v>330</v>
          </cell>
          <cell r="G1314">
            <v>37652</v>
          </cell>
          <cell r="H1314">
            <v>897</v>
          </cell>
          <cell r="I1314" t="str">
            <v>деп</v>
          </cell>
          <cell r="J1314">
            <v>38383</v>
          </cell>
        </row>
        <row r="1315">
          <cell r="A1315">
            <v>58729153</v>
          </cell>
          <cell r="B1315" t="str">
            <v>РЕФРИЖЕРАТОРНАЯ КОМПАНИЯ</v>
          </cell>
          <cell r="C1315" t="str">
            <v>ВОЛКОВСКАЯ   (ОКТ)</v>
          </cell>
          <cell r="D1315">
            <v>30682</v>
          </cell>
          <cell r="E1315">
            <v>37964</v>
          </cell>
          <cell r="F1315">
            <v>350</v>
          </cell>
          <cell r="H1315">
            <v>0</v>
          </cell>
          <cell r="I1315" t="str">
            <v>кап</v>
          </cell>
          <cell r="J1315">
            <v>38392</v>
          </cell>
        </row>
        <row r="1316">
          <cell r="A1316">
            <v>58729161</v>
          </cell>
          <cell r="B1316" t="str">
            <v>РЕФРИЖЕРАТОРНАЯ КОМПАНИЯ</v>
          </cell>
          <cell r="C1316" t="str">
            <v>ВОЛКОВСКАЯ   (ОКТ)</v>
          </cell>
          <cell r="D1316">
            <v>30682</v>
          </cell>
          <cell r="E1316">
            <v>37134</v>
          </cell>
          <cell r="F1316">
            <v>323</v>
          </cell>
          <cell r="G1316">
            <v>37795</v>
          </cell>
          <cell r="H1316">
            <v>492</v>
          </cell>
          <cell r="I1316" t="str">
            <v>деп</v>
          </cell>
          <cell r="J1316">
            <v>38344</v>
          </cell>
        </row>
        <row r="1317">
          <cell r="A1317">
            <v>58729179</v>
          </cell>
          <cell r="B1317" t="str">
            <v>РЕФРИЖЕРАТОРНАЯ КОМПАНИЯ</v>
          </cell>
          <cell r="C1317" t="str">
            <v>ВОЛКОВСКАЯ   (ОКТ)</v>
          </cell>
          <cell r="D1317">
            <v>30682</v>
          </cell>
          <cell r="E1317">
            <v>37120</v>
          </cell>
          <cell r="F1317">
            <v>330</v>
          </cell>
          <cell r="G1317">
            <v>37754</v>
          </cell>
          <cell r="H1317">
            <v>492</v>
          </cell>
          <cell r="I1317" t="str">
            <v>деп</v>
          </cell>
          <cell r="J1317">
            <v>38485</v>
          </cell>
        </row>
        <row r="1318">
          <cell r="A1318">
            <v>58729203</v>
          </cell>
          <cell r="B1318" t="str">
            <v>РЕФРИЖЕРАТОРНАЯ КОМПАНИЯ</v>
          </cell>
          <cell r="C1318" t="str">
            <v>ВОЛКОВСКАЯ   (ОКТ)</v>
          </cell>
          <cell r="D1318">
            <v>30713</v>
          </cell>
          <cell r="E1318">
            <v>37894</v>
          </cell>
          <cell r="F1318">
            <v>792</v>
          </cell>
          <cell r="G1318">
            <v>37110</v>
          </cell>
          <cell r="H1318">
            <v>330</v>
          </cell>
          <cell r="I1318" t="str">
            <v>деп</v>
          </cell>
          <cell r="J1318">
            <v>38321</v>
          </cell>
        </row>
        <row r="1319">
          <cell r="A1319">
            <v>58729211</v>
          </cell>
          <cell r="B1319" t="str">
            <v>РЕФРИЖЕРАТОРНАЯ КОМПАНИЯ</v>
          </cell>
          <cell r="C1319" t="str">
            <v>ВОЛКОВСКАЯ   (ОКТ)</v>
          </cell>
          <cell r="D1319">
            <v>30713</v>
          </cell>
          <cell r="E1319">
            <v>37183</v>
          </cell>
          <cell r="F1319">
            <v>352</v>
          </cell>
          <cell r="H1319">
            <v>0</v>
          </cell>
          <cell r="I1319" t="str">
            <v>деп</v>
          </cell>
          <cell r="J1319">
            <v>37950</v>
          </cell>
        </row>
        <row r="1320">
          <cell r="A1320">
            <v>58729229</v>
          </cell>
          <cell r="B1320" t="str">
            <v>РЕФРИЖЕРАТОРНАЯ КОМПАНИЯ</v>
          </cell>
          <cell r="C1320" t="str">
            <v>ВОЛКОВСКАЯ   (ОКТ)</v>
          </cell>
          <cell r="D1320">
            <v>30713</v>
          </cell>
          <cell r="E1320">
            <v>37125</v>
          </cell>
          <cell r="F1320">
            <v>330</v>
          </cell>
          <cell r="G1320">
            <v>37652</v>
          </cell>
          <cell r="H1320">
            <v>897</v>
          </cell>
          <cell r="I1320" t="str">
            <v>деп</v>
          </cell>
          <cell r="J1320">
            <v>38383</v>
          </cell>
        </row>
        <row r="1321">
          <cell r="A1321">
            <v>58729237</v>
          </cell>
          <cell r="B1321" t="str">
            <v>РЕФРИЖЕРАТОРНАЯ КОМПАНИЯ</v>
          </cell>
          <cell r="C1321" t="str">
            <v>ВОЛКОВСКАЯ   (ОКТ)</v>
          </cell>
          <cell r="D1321">
            <v>30713</v>
          </cell>
          <cell r="E1321">
            <v>37125</v>
          </cell>
          <cell r="F1321">
            <v>330</v>
          </cell>
          <cell r="G1321">
            <v>37652</v>
          </cell>
          <cell r="H1321">
            <v>897</v>
          </cell>
          <cell r="I1321" t="str">
            <v>деп</v>
          </cell>
          <cell r="J1321">
            <v>38383</v>
          </cell>
        </row>
        <row r="1322">
          <cell r="A1322">
            <v>58729245</v>
          </cell>
          <cell r="B1322" t="str">
            <v>РЕФРИЖЕРАТОРНАЯ КОМПАНИЯ</v>
          </cell>
          <cell r="C1322" t="str">
            <v>ВОЛКОВСКАЯ   (ОКТ)</v>
          </cell>
          <cell r="D1322">
            <v>30713</v>
          </cell>
          <cell r="E1322">
            <v>37126</v>
          </cell>
          <cell r="F1322">
            <v>330</v>
          </cell>
          <cell r="G1322">
            <v>37652</v>
          </cell>
          <cell r="H1322">
            <v>897</v>
          </cell>
          <cell r="I1322" t="str">
            <v>деп</v>
          </cell>
          <cell r="J1322">
            <v>38383</v>
          </cell>
        </row>
        <row r="1323">
          <cell r="A1323">
            <v>58729252</v>
          </cell>
          <cell r="B1323" t="str">
            <v>РЕФРИЖЕРАТОРНАЯ КОМПАНИЯ</v>
          </cell>
          <cell r="C1323" t="str">
            <v>ВОЛКОВСКАЯ   (ОКТ)</v>
          </cell>
          <cell r="D1323">
            <v>30713</v>
          </cell>
          <cell r="E1323">
            <v>37126</v>
          </cell>
          <cell r="F1323">
            <v>330</v>
          </cell>
          <cell r="G1323">
            <v>37652</v>
          </cell>
          <cell r="H1323">
            <v>897</v>
          </cell>
          <cell r="I1323" t="str">
            <v>деп</v>
          </cell>
          <cell r="J1323">
            <v>38383</v>
          </cell>
        </row>
        <row r="1324">
          <cell r="A1324">
            <v>58733163</v>
          </cell>
          <cell r="B1324" t="str">
            <v>РЕФРИЖЕРАТОРНАЯ КОМПАНИЯ</v>
          </cell>
          <cell r="C1324" t="str">
            <v>ВОЛКОВСКАЯ   (ОКТ)</v>
          </cell>
          <cell r="D1324">
            <v>30317</v>
          </cell>
          <cell r="E1324">
            <v>36557</v>
          </cell>
          <cell r="F1324">
            <v>897</v>
          </cell>
          <cell r="G1324">
            <v>37644</v>
          </cell>
          <cell r="H1324">
            <v>897</v>
          </cell>
          <cell r="I1324" t="str">
            <v>деп</v>
          </cell>
          <cell r="J1324">
            <v>38191</v>
          </cell>
        </row>
        <row r="1325">
          <cell r="A1325">
            <v>58733171</v>
          </cell>
          <cell r="B1325" t="str">
            <v>РЕФРИЖЕРАТОРНАЯ КОМПАНИЯ</v>
          </cell>
          <cell r="C1325" t="str">
            <v>ВОЛКОВСКАЯ   (ОКТ)</v>
          </cell>
          <cell r="D1325">
            <v>30621</v>
          </cell>
          <cell r="E1325">
            <v>36557</v>
          </cell>
          <cell r="F1325">
            <v>897</v>
          </cell>
          <cell r="G1325">
            <v>37644</v>
          </cell>
          <cell r="H1325">
            <v>897</v>
          </cell>
          <cell r="I1325" t="str">
            <v>деп</v>
          </cell>
          <cell r="J1325">
            <v>38191</v>
          </cell>
        </row>
        <row r="1326">
          <cell r="A1326">
            <v>58733189</v>
          </cell>
          <cell r="B1326" t="str">
            <v>РЕФРИЖЕРАТОРНАЯ КОМПАНИЯ</v>
          </cell>
          <cell r="C1326" t="str">
            <v>ВОЛКОВСКАЯ   (ОКТ)</v>
          </cell>
          <cell r="D1326">
            <v>30621</v>
          </cell>
          <cell r="E1326">
            <v>36557</v>
          </cell>
          <cell r="F1326">
            <v>897</v>
          </cell>
          <cell r="G1326">
            <v>37644</v>
          </cell>
          <cell r="H1326">
            <v>897</v>
          </cell>
          <cell r="I1326" t="str">
            <v>деп</v>
          </cell>
          <cell r="J1326">
            <v>38191</v>
          </cell>
        </row>
        <row r="1327">
          <cell r="A1327">
            <v>58733205</v>
          </cell>
          <cell r="B1327" t="str">
            <v>РЕФРИЖЕРАТОРНАЯ КОМПАНИЯ</v>
          </cell>
          <cell r="C1327" t="str">
            <v>ВОЛКОВСКАЯ   (ОКТ)</v>
          </cell>
          <cell r="D1327">
            <v>30621</v>
          </cell>
          <cell r="E1327">
            <v>36557</v>
          </cell>
          <cell r="F1327">
            <v>897</v>
          </cell>
          <cell r="G1327">
            <v>37644</v>
          </cell>
          <cell r="H1327">
            <v>897</v>
          </cell>
          <cell r="I1327" t="str">
            <v>деп</v>
          </cell>
          <cell r="J1327">
            <v>38191</v>
          </cell>
        </row>
        <row r="1328">
          <cell r="A1328">
            <v>58733213</v>
          </cell>
          <cell r="B1328" t="str">
            <v>РЕФРИЖЕРАТОРНАЯ КОМПАНИЯ</v>
          </cell>
          <cell r="C1328" t="str">
            <v>ВОЛКОВСКАЯ   (ОКТ)</v>
          </cell>
          <cell r="D1328">
            <v>30987</v>
          </cell>
          <cell r="E1328">
            <v>36537</v>
          </cell>
          <cell r="F1328">
            <v>897</v>
          </cell>
          <cell r="G1328">
            <v>37644</v>
          </cell>
          <cell r="H1328">
            <v>897</v>
          </cell>
          <cell r="I1328" t="str">
            <v>деп</v>
          </cell>
          <cell r="J1328">
            <v>38191</v>
          </cell>
        </row>
        <row r="1329">
          <cell r="A1329">
            <v>58733221</v>
          </cell>
          <cell r="B1329" t="str">
            <v>РЕФРИЖЕРАТОРНАЯ КОМПАНИЯ</v>
          </cell>
          <cell r="C1329" t="str">
            <v>ВОЛКОВСКАЯ   (ОКТ)</v>
          </cell>
          <cell r="D1329">
            <v>30987</v>
          </cell>
          <cell r="E1329">
            <v>36537</v>
          </cell>
          <cell r="F1329">
            <v>897</v>
          </cell>
          <cell r="G1329">
            <v>37643</v>
          </cell>
          <cell r="H1329">
            <v>897</v>
          </cell>
          <cell r="I1329" t="str">
            <v>деп</v>
          </cell>
          <cell r="J1329">
            <v>38190</v>
          </cell>
        </row>
        <row r="1330">
          <cell r="A1330">
            <v>58733239</v>
          </cell>
          <cell r="B1330" t="str">
            <v>РЕФРИЖЕРАТОРНАЯ КОМПАНИЯ</v>
          </cell>
          <cell r="C1330" t="str">
            <v>ВОЛКОВСКАЯ   (ОКТ)</v>
          </cell>
          <cell r="D1330">
            <v>30987</v>
          </cell>
          <cell r="E1330">
            <v>36537</v>
          </cell>
          <cell r="F1330">
            <v>897</v>
          </cell>
          <cell r="G1330">
            <v>37643</v>
          </cell>
          <cell r="H1330">
            <v>897</v>
          </cell>
          <cell r="I1330" t="str">
            <v>деп</v>
          </cell>
          <cell r="J1330">
            <v>38190</v>
          </cell>
        </row>
        <row r="1331">
          <cell r="A1331">
            <v>58733247</v>
          </cell>
          <cell r="B1331" t="str">
            <v>РЕФРИЖЕРАТОРНАЯ КОМПАНИЯ</v>
          </cell>
          <cell r="C1331" t="str">
            <v>ВОЛКОВСКАЯ   (ОКТ)</v>
          </cell>
          <cell r="D1331">
            <v>30987</v>
          </cell>
          <cell r="E1331">
            <v>36537</v>
          </cell>
          <cell r="F1331">
            <v>897</v>
          </cell>
          <cell r="G1331">
            <v>37643</v>
          </cell>
          <cell r="H1331">
            <v>897</v>
          </cell>
          <cell r="I1331" t="str">
            <v>деп</v>
          </cell>
          <cell r="J1331">
            <v>38190</v>
          </cell>
        </row>
        <row r="1332">
          <cell r="A1332">
            <v>58733254</v>
          </cell>
          <cell r="B1332" t="str">
            <v>РЕФРИЖЕРАТОРНАЯ КОМПАНИЯ</v>
          </cell>
          <cell r="C1332" t="str">
            <v>ВОЛКОВСКАЯ   (ОКТ)</v>
          </cell>
          <cell r="D1332">
            <v>30987</v>
          </cell>
          <cell r="E1332">
            <v>36592</v>
          </cell>
          <cell r="F1332">
            <v>897</v>
          </cell>
          <cell r="G1332">
            <v>37651</v>
          </cell>
          <cell r="H1332">
            <v>897</v>
          </cell>
          <cell r="I1332" t="str">
            <v>деп</v>
          </cell>
          <cell r="J1332">
            <v>38198</v>
          </cell>
        </row>
        <row r="1333">
          <cell r="A1333">
            <v>58733262</v>
          </cell>
          <cell r="B1333" t="str">
            <v>РЕФРИЖЕРАТОРНАЯ КОМПАНИЯ</v>
          </cell>
          <cell r="C1333" t="str">
            <v>ВОЛКОВСКАЯ   (ОКТ)</v>
          </cell>
          <cell r="D1333">
            <v>30987</v>
          </cell>
          <cell r="E1333">
            <v>36592</v>
          </cell>
          <cell r="F1333">
            <v>897</v>
          </cell>
          <cell r="G1333">
            <v>37651</v>
          </cell>
          <cell r="H1333">
            <v>897</v>
          </cell>
          <cell r="I1333" t="str">
            <v>деп</v>
          </cell>
          <cell r="J1333">
            <v>38198</v>
          </cell>
        </row>
        <row r="1334">
          <cell r="A1334">
            <v>58733270</v>
          </cell>
          <cell r="B1334" t="str">
            <v>РЕФРИЖЕРАТОРНАЯ КОМПАНИЯ</v>
          </cell>
          <cell r="C1334" t="str">
            <v>ВОЛКОВСКАЯ   (ОКТ)</v>
          </cell>
          <cell r="D1334">
            <v>30987</v>
          </cell>
          <cell r="E1334">
            <v>36592</v>
          </cell>
          <cell r="F1334">
            <v>897</v>
          </cell>
          <cell r="G1334">
            <v>37651</v>
          </cell>
          <cell r="H1334">
            <v>897</v>
          </cell>
          <cell r="I1334" t="str">
            <v>деп</v>
          </cell>
          <cell r="J1334">
            <v>38198</v>
          </cell>
        </row>
        <row r="1335">
          <cell r="A1335">
            <v>58733288</v>
          </cell>
          <cell r="B1335" t="str">
            <v>РЕФРИЖЕРАТОРНАЯ КОМПАНИЯ</v>
          </cell>
          <cell r="C1335" t="str">
            <v>ВОЛКОВСКАЯ   (ОКТ)</v>
          </cell>
          <cell r="D1335">
            <v>30987</v>
          </cell>
          <cell r="E1335">
            <v>36592</v>
          </cell>
          <cell r="F1335">
            <v>897</v>
          </cell>
          <cell r="G1335">
            <v>37651</v>
          </cell>
          <cell r="H1335">
            <v>897</v>
          </cell>
          <cell r="I1335" t="str">
            <v>деп</v>
          </cell>
          <cell r="J1335">
            <v>38198</v>
          </cell>
        </row>
        <row r="1336">
          <cell r="A1336">
            <v>58733304</v>
          </cell>
          <cell r="B1336" t="str">
            <v>РЕФРИЖЕРАТОРНАЯ КОМПАНИЯ</v>
          </cell>
          <cell r="C1336" t="str">
            <v>ВОЛКОВСКАЯ   (ОКТ)</v>
          </cell>
          <cell r="D1336">
            <v>30987</v>
          </cell>
          <cell r="E1336">
            <v>36476</v>
          </cell>
          <cell r="F1336">
            <v>897</v>
          </cell>
          <cell r="G1336">
            <v>37648</v>
          </cell>
          <cell r="H1336">
            <v>897</v>
          </cell>
          <cell r="I1336" t="str">
            <v>деп</v>
          </cell>
          <cell r="J1336">
            <v>38195</v>
          </cell>
        </row>
        <row r="1337">
          <cell r="A1337">
            <v>58733312</v>
          </cell>
          <cell r="B1337" t="str">
            <v>РЕФРИЖЕРАТОРНАЯ КОМПАНИЯ</v>
          </cell>
          <cell r="C1337" t="str">
            <v>ВОЛКОВСКАЯ   (ОКТ)</v>
          </cell>
          <cell r="D1337">
            <v>30987</v>
          </cell>
          <cell r="E1337">
            <v>36476</v>
          </cell>
          <cell r="F1337">
            <v>897</v>
          </cell>
          <cell r="G1337">
            <v>37648</v>
          </cell>
          <cell r="H1337">
            <v>897</v>
          </cell>
          <cell r="I1337" t="str">
            <v>деп</v>
          </cell>
          <cell r="J1337">
            <v>38195</v>
          </cell>
        </row>
        <row r="1338">
          <cell r="A1338">
            <v>58733320</v>
          </cell>
          <cell r="B1338" t="str">
            <v>РЕФРИЖЕРАТОРНАЯ КОМПАНИЯ</v>
          </cell>
          <cell r="C1338" t="str">
            <v>ВОЛКОВСКАЯ   (ОКТ)</v>
          </cell>
          <cell r="D1338">
            <v>30987</v>
          </cell>
          <cell r="E1338">
            <v>36476</v>
          </cell>
          <cell r="F1338">
            <v>897</v>
          </cell>
          <cell r="G1338">
            <v>37648</v>
          </cell>
          <cell r="H1338">
            <v>897</v>
          </cell>
          <cell r="I1338" t="str">
            <v>деп</v>
          </cell>
          <cell r="J1338">
            <v>38195</v>
          </cell>
        </row>
        <row r="1339">
          <cell r="A1339">
            <v>58733338</v>
          </cell>
          <cell r="B1339" t="str">
            <v>РЕФРИЖЕРАТОРНАЯ КОМПАНИЯ</v>
          </cell>
          <cell r="C1339" t="str">
            <v>ВОЛКОВСКАЯ   (ОКТ)</v>
          </cell>
          <cell r="D1339">
            <v>30987</v>
          </cell>
          <cell r="E1339">
            <v>36476</v>
          </cell>
          <cell r="F1339">
            <v>897</v>
          </cell>
          <cell r="G1339">
            <v>37648</v>
          </cell>
          <cell r="H1339">
            <v>897</v>
          </cell>
          <cell r="I1339" t="str">
            <v>деп</v>
          </cell>
          <cell r="J1339">
            <v>38195</v>
          </cell>
        </row>
        <row r="1340">
          <cell r="A1340">
            <v>58733346</v>
          </cell>
          <cell r="B1340" t="str">
            <v>РЕФРИЖЕРАТОРНАЯ КОМПАНИЯ</v>
          </cell>
          <cell r="C1340" t="str">
            <v>ВОЛКОВСКАЯ   (ОКТ)</v>
          </cell>
          <cell r="D1340">
            <v>31413</v>
          </cell>
          <cell r="E1340">
            <v>36340</v>
          </cell>
          <cell r="F1340">
            <v>897</v>
          </cell>
          <cell r="G1340">
            <v>37656</v>
          </cell>
          <cell r="H1340">
            <v>897</v>
          </cell>
          <cell r="I1340" t="str">
            <v>деп</v>
          </cell>
          <cell r="J1340">
            <v>38203</v>
          </cell>
        </row>
        <row r="1341">
          <cell r="A1341">
            <v>58733353</v>
          </cell>
          <cell r="B1341" t="str">
            <v>РЕФРИЖЕРАТОРНАЯ КОМПАНИЯ</v>
          </cell>
          <cell r="C1341" t="str">
            <v>ВОЛКОВСКАЯ   (ОКТ)</v>
          </cell>
          <cell r="D1341">
            <v>31413</v>
          </cell>
          <cell r="E1341">
            <v>36340</v>
          </cell>
          <cell r="F1341">
            <v>897</v>
          </cell>
          <cell r="G1341">
            <v>37656</v>
          </cell>
          <cell r="H1341">
            <v>897</v>
          </cell>
          <cell r="I1341" t="str">
            <v>деп</v>
          </cell>
          <cell r="J1341">
            <v>38203</v>
          </cell>
        </row>
        <row r="1342">
          <cell r="A1342">
            <v>58733361</v>
          </cell>
          <cell r="B1342" t="str">
            <v>РЕФРИЖЕРАТОРНАЯ КОМПАНИЯ</v>
          </cell>
          <cell r="C1342" t="str">
            <v>ВОЛКОВСКАЯ   (ОКТ)</v>
          </cell>
          <cell r="D1342">
            <v>31413</v>
          </cell>
          <cell r="E1342">
            <v>36340</v>
          </cell>
          <cell r="F1342">
            <v>897</v>
          </cell>
          <cell r="G1342">
            <v>37656</v>
          </cell>
          <cell r="H1342">
            <v>897</v>
          </cell>
          <cell r="I1342" t="str">
            <v>деп</v>
          </cell>
          <cell r="J1342">
            <v>38203</v>
          </cell>
        </row>
        <row r="1343">
          <cell r="A1343">
            <v>58733379</v>
          </cell>
          <cell r="B1343" t="str">
            <v>РЕФРИЖЕРАТОРНАЯ КОМПАНИЯ</v>
          </cell>
          <cell r="C1343" t="str">
            <v>ВОЛКОВСКАЯ   (ОКТ)</v>
          </cell>
          <cell r="D1343">
            <v>31413</v>
          </cell>
          <cell r="E1343">
            <v>36340</v>
          </cell>
          <cell r="F1343">
            <v>897</v>
          </cell>
          <cell r="G1343">
            <v>37656</v>
          </cell>
          <cell r="H1343">
            <v>897</v>
          </cell>
          <cell r="I1343" t="str">
            <v>деп</v>
          </cell>
          <cell r="J1343">
            <v>38203</v>
          </cell>
        </row>
        <row r="1344">
          <cell r="A1344">
            <v>58733387</v>
          </cell>
          <cell r="B1344" t="str">
            <v>РЕФРИЖЕРАТОРНАЯ КОМПАНИЯ</v>
          </cell>
          <cell r="C1344" t="str">
            <v>ВОЛКОВСКАЯ   (ОКТ)</v>
          </cell>
          <cell r="D1344">
            <v>31413</v>
          </cell>
          <cell r="E1344">
            <v>36657</v>
          </cell>
          <cell r="F1344">
            <v>897</v>
          </cell>
          <cell r="G1344">
            <v>37657</v>
          </cell>
          <cell r="H1344">
            <v>897</v>
          </cell>
          <cell r="I1344" t="str">
            <v>деп</v>
          </cell>
          <cell r="J1344">
            <v>38204</v>
          </cell>
        </row>
        <row r="1345">
          <cell r="A1345">
            <v>58733403</v>
          </cell>
          <cell r="B1345" t="str">
            <v>РЕФРИЖЕРАТОРНАЯ КОМПАНИЯ</v>
          </cell>
          <cell r="C1345" t="str">
            <v>ВОЛКОВСКАЯ   (ОКТ)</v>
          </cell>
          <cell r="D1345">
            <v>31413</v>
          </cell>
          <cell r="E1345">
            <v>36657</v>
          </cell>
          <cell r="F1345">
            <v>897</v>
          </cell>
          <cell r="G1345">
            <v>37657</v>
          </cell>
          <cell r="H1345">
            <v>897</v>
          </cell>
          <cell r="I1345" t="str">
            <v>деп</v>
          </cell>
          <cell r="J1345">
            <v>38204</v>
          </cell>
        </row>
        <row r="1346">
          <cell r="A1346">
            <v>58733411</v>
          </cell>
          <cell r="B1346" t="str">
            <v>РЕФРИЖЕРАТОРНАЯ КОМПАНИЯ</v>
          </cell>
          <cell r="C1346" t="str">
            <v>ВОЛКОВСКАЯ   (ОКТ)</v>
          </cell>
          <cell r="D1346">
            <v>31413</v>
          </cell>
          <cell r="E1346">
            <v>36657</v>
          </cell>
          <cell r="F1346">
            <v>897</v>
          </cell>
          <cell r="G1346">
            <v>37657</v>
          </cell>
          <cell r="H1346">
            <v>897</v>
          </cell>
          <cell r="I1346" t="str">
            <v>деп</v>
          </cell>
          <cell r="J1346">
            <v>38204</v>
          </cell>
        </row>
        <row r="1347">
          <cell r="A1347">
            <v>58733429</v>
          </cell>
          <cell r="B1347" t="str">
            <v>РЕФРИЖЕРАТОРНАЯ КОМПАНИЯ</v>
          </cell>
          <cell r="C1347" t="str">
            <v>ВОЛКОВСКАЯ   (ОКТ)</v>
          </cell>
          <cell r="D1347">
            <v>31413</v>
          </cell>
          <cell r="E1347">
            <v>36657</v>
          </cell>
          <cell r="F1347">
            <v>897</v>
          </cell>
          <cell r="G1347">
            <v>37657</v>
          </cell>
          <cell r="H1347">
            <v>897</v>
          </cell>
          <cell r="I1347" t="str">
            <v>деп</v>
          </cell>
          <cell r="J1347">
            <v>38204</v>
          </cell>
        </row>
        <row r="1348">
          <cell r="A1348">
            <v>58733437</v>
          </cell>
          <cell r="B1348" t="str">
            <v>РЕФРИЖЕРАТОРНАЯ КОМПАНИЯ</v>
          </cell>
          <cell r="C1348" t="str">
            <v>ВОЛКОВСКАЯ   (ОКТ)</v>
          </cell>
          <cell r="D1348">
            <v>31413</v>
          </cell>
          <cell r="E1348">
            <v>36504</v>
          </cell>
          <cell r="F1348">
            <v>897</v>
          </cell>
          <cell r="G1348">
            <v>37645</v>
          </cell>
          <cell r="H1348">
            <v>897</v>
          </cell>
          <cell r="I1348" t="str">
            <v>деп</v>
          </cell>
          <cell r="J1348">
            <v>38192</v>
          </cell>
        </row>
        <row r="1349">
          <cell r="A1349">
            <v>58733445</v>
          </cell>
          <cell r="B1349" t="str">
            <v>РЕФРИЖЕРАТОРНАЯ КОМПАНИЯ</v>
          </cell>
          <cell r="C1349" t="str">
            <v>ВОЛКОВСКАЯ   (ОКТ)</v>
          </cell>
          <cell r="D1349">
            <v>31413</v>
          </cell>
          <cell r="E1349">
            <v>36504</v>
          </cell>
          <cell r="F1349">
            <v>897</v>
          </cell>
          <cell r="G1349">
            <v>37645</v>
          </cell>
          <cell r="H1349">
            <v>897</v>
          </cell>
          <cell r="I1349" t="str">
            <v>деп</v>
          </cell>
          <cell r="J1349">
            <v>38192</v>
          </cell>
        </row>
        <row r="1350">
          <cell r="A1350">
            <v>58733452</v>
          </cell>
          <cell r="B1350" t="str">
            <v>РЕФРИЖЕРАТОРНАЯ КОМПАНИЯ</v>
          </cell>
          <cell r="C1350" t="str">
            <v>ВОЛКОВСКАЯ   (ОКТ)</v>
          </cell>
          <cell r="D1350">
            <v>31413</v>
          </cell>
          <cell r="E1350">
            <v>36504</v>
          </cell>
          <cell r="F1350">
            <v>897</v>
          </cell>
          <cell r="G1350">
            <v>37645</v>
          </cell>
          <cell r="H1350">
            <v>897</v>
          </cell>
          <cell r="I1350" t="str">
            <v>деп</v>
          </cell>
          <cell r="J1350">
            <v>38192</v>
          </cell>
        </row>
        <row r="1351">
          <cell r="A1351">
            <v>58733460</v>
          </cell>
          <cell r="B1351" t="str">
            <v>РЕФРИЖЕРАТОРНАЯ КОМПАНИЯ</v>
          </cell>
          <cell r="C1351" t="str">
            <v>ВОЛКОВСКАЯ   (ОКТ)</v>
          </cell>
          <cell r="D1351">
            <v>31413</v>
          </cell>
          <cell r="E1351">
            <v>36504</v>
          </cell>
          <cell r="F1351">
            <v>897</v>
          </cell>
          <cell r="G1351">
            <v>37645</v>
          </cell>
          <cell r="H1351">
            <v>897</v>
          </cell>
          <cell r="I1351" t="str">
            <v>деп</v>
          </cell>
          <cell r="J1351">
            <v>38192</v>
          </cell>
        </row>
        <row r="1352">
          <cell r="A1352">
            <v>58733577</v>
          </cell>
          <cell r="B1352" t="str">
            <v>РЕФРИЖЕРАТОРНАЯ КОМПАНИЯ</v>
          </cell>
          <cell r="C1352" t="str">
            <v>ВОЛКОВСКАЯ   (ОКТ)</v>
          </cell>
          <cell r="D1352">
            <v>31321</v>
          </cell>
          <cell r="E1352">
            <v>36623</v>
          </cell>
          <cell r="F1352">
            <v>897</v>
          </cell>
          <cell r="G1352">
            <v>37691</v>
          </cell>
          <cell r="H1352">
            <v>897</v>
          </cell>
          <cell r="I1352" t="str">
            <v>деп</v>
          </cell>
          <cell r="J1352">
            <v>38241</v>
          </cell>
        </row>
        <row r="1353">
          <cell r="A1353">
            <v>58733585</v>
          </cell>
          <cell r="B1353" t="str">
            <v>РЕФРИЖЕРАТОРНАЯ КОМПАНИЯ</v>
          </cell>
          <cell r="C1353" t="str">
            <v>ВОЛКОВСКАЯ   (ОКТ)</v>
          </cell>
          <cell r="D1353">
            <v>30621</v>
          </cell>
          <cell r="E1353">
            <v>37685</v>
          </cell>
          <cell r="F1353">
            <v>897</v>
          </cell>
          <cell r="G1353">
            <v>36279</v>
          </cell>
          <cell r="H1353">
            <v>897</v>
          </cell>
          <cell r="I1353" t="str">
            <v>деп</v>
          </cell>
          <cell r="J1353">
            <v>38235</v>
          </cell>
        </row>
        <row r="1354">
          <cell r="A1354">
            <v>58733601</v>
          </cell>
          <cell r="B1354" t="str">
            <v>РЕФРИЖЕРАТОРНАЯ КОМПАНИЯ</v>
          </cell>
          <cell r="C1354" t="str">
            <v>ВОЛКОВСКАЯ   (ОКТ)</v>
          </cell>
          <cell r="D1354">
            <v>30621</v>
          </cell>
          <cell r="E1354">
            <v>37685</v>
          </cell>
          <cell r="F1354">
            <v>897</v>
          </cell>
          <cell r="G1354">
            <v>36279</v>
          </cell>
          <cell r="H1354">
            <v>897</v>
          </cell>
          <cell r="I1354" t="str">
            <v>деп</v>
          </cell>
          <cell r="J1354">
            <v>38235</v>
          </cell>
        </row>
        <row r="1355">
          <cell r="A1355">
            <v>58733619</v>
          </cell>
          <cell r="B1355" t="str">
            <v>РЕФРИЖЕРАТОРНАЯ КОМПАНИЯ</v>
          </cell>
          <cell r="C1355" t="str">
            <v>ВОЛКОВСКАЯ   (ОКТ)</v>
          </cell>
          <cell r="D1355">
            <v>30621</v>
          </cell>
          <cell r="E1355">
            <v>37685</v>
          </cell>
          <cell r="F1355">
            <v>897</v>
          </cell>
          <cell r="G1355">
            <v>36279</v>
          </cell>
          <cell r="H1355">
            <v>897</v>
          </cell>
          <cell r="I1355" t="str">
            <v>деп</v>
          </cell>
          <cell r="J1355">
            <v>38235</v>
          </cell>
        </row>
        <row r="1356">
          <cell r="A1356">
            <v>58733627</v>
          </cell>
          <cell r="B1356" t="str">
            <v>РЕФРИЖЕРАТОРНАЯ КОМПАНИЯ</v>
          </cell>
          <cell r="C1356" t="str">
            <v>ВОЛКОВСКАЯ   (ОКТ)</v>
          </cell>
          <cell r="D1356">
            <v>30621</v>
          </cell>
          <cell r="E1356">
            <v>37685</v>
          </cell>
          <cell r="F1356">
            <v>897</v>
          </cell>
          <cell r="G1356">
            <v>36279</v>
          </cell>
          <cell r="H1356">
            <v>897</v>
          </cell>
          <cell r="I1356" t="str">
            <v>деп</v>
          </cell>
          <cell r="J1356">
            <v>38235</v>
          </cell>
        </row>
        <row r="1357">
          <cell r="A1357">
            <v>58733635</v>
          </cell>
          <cell r="B1357" t="str">
            <v>РЕФРИЖЕРАТОРНАЯ КОМПАНИЯ</v>
          </cell>
          <cell r="C1357" t="str">
            <v>ВОЛКОВСКАЯ   (ОКТ)</v>
          </cell>
          <cell r="D1357">
            <v>30651</v>
          </cell>
          <cell r="E1357">
            <v>37679</v>
          </cell>
          <cell r="F1357">
            <v>897</v>
          </cell>
          <cell r="G1357">
            <v>35892</v>
          </cell>
          <cell r="H1357">
            <v>897</v>
          </cell>
          <cell r="I1357" t="str">
            <v>деп</v>
          </cell>
          <cell r="J1357">
            <v>38226</v>
          </cell>
        </row>
        <row r="1358">
          <cell r="A1358">
            <v>58733643</v>
          </cell>
          <cell r="B1358" t="str">
            <v>РЕФРИЖЕРАТОРНАЯ КОМПАНИЯ</v>
          </cell>
          <cell r="C1358" t="str">
            <v>ВОЛКОВСКАЯ   (ОКТ)</v>
          </cell>
          <cell r="D1358">
            <v>30651</v>
          </cell>
          <cell r="E1358">
            <v>36623</v>
          </cell>
          <cell r="F1358">
            <v>897</v>
          </cell>
          <cell r="G1358">
            <v>37691</v>
          </cell>
          <cell r="H1358">
            <v>897</v>
          </cell>
          <cell r="I1358" t="str">
            <v>деп</v>
          </cell>
          <cell r="J1358">
            <v>38241</v>
          </cell>
        </row>
        <row r="1359">
          <cell r="A1359">
            <v>58733650</v>
          </cell>
          <cell r="B1359" t="str">
            <v>РЕФРИЖЕРАТОРНАЯ КОМПАНИЯ</v>
          </cell>
          <cell r="C1359" t="str">
            <v>ВОЛКОВСКАЯ   (ОКТ)</v>
          </cell>
          <cell r="D1359">
            <v>30651</v>
          </cell>
          <cell r="E1359">
            <v>37679</v>
          </cell>
          <cell r="F1359">
            <v>897</v>
          </cell>
          <cell r="G1359">
            <v>35892</v>
          </cell>
          <cell r="H1359">
            <v>897</v>
          </cell>
          <cell r="I1359" t="str">
            <v>деп</v>
          </cell>
          <cell r="J1359">
            <v>38226</v>
          </cell>
        </row>
        <row r="1360">
          <cell r="A1360">
            <v>58733668</v>
          </cell>
          <cell r="B1360" t="str">
            <v>РЕФРИЖЕРАТОРНАЯ КОМПАНИЯ</v>
          </cell>
          <cell r="C1360" t="str">
            <v>ВОЛКОВСКАЯ   (ОКТ)</v>
          </cell>
          <cell r="D1360">
            <v>30651</v>
          </cell>
          <cell r="E1360">
            <v>37679</v>
          </cell>
          <cell r="F1360">
            <v>897</v>
          </cell>
          <cell r="G1360">
            <v>35892</v>
          </cell>
          <cell r="H1360">
            <v>897</v>
          </cell>
          <cell r="I1360" t="str">
            <v>деп</v>
          </cell>
          <cell r="J1360">
            <v>38226</v>
          </cell>
        </row>
        <row r="1361">
          <cell r="A1361">
            <v>58733676</v>
          </cell>
          <cell r="B1361" t="str">
            <v>РЕФРИЖЕРАТОРНАЯ КОМПАНИЯ</v>
          </cell>
          <cell r="C1361" t="str">
            <v>ВОЛКОВСКАЯ   (ОКТ)</v>
          </cell>
          <cell r="D1361">
            <v>30651</v>
          </cell>
          <cell r="E1361">
            <v>37694</v>
          </cell>
          <cell r="F1361">
            <v>897</v>
          </cell>
          <cell r="G1361">
            <v>36333</v>
          </cell>
          <cell r="H1361">
            <v>897</v>
          </cell>
          <cell r="I1361" t="str">
            <v>деп</v>
          </cell>
          <cell r="J1361">
            <v>38244</v>
          </cell>
        </row>
        <row r="1362">
          <cell r="A1362">
            <v>58733684</v>
          </cell>
          <cell r="B1362" t="str">
            <v>РЕФРИЖЕРАТОРНАЯ КОМПАНИЯ</v>
          </cell>
          <cell r="C1362" t="str">
            <v>ВОЛКОВСКАЯ   (ОКТ)</v>
          </cell>
          <cell r="D1362">
            <v>30651</v>
          </cell>
          <cell r="E1362">
            <v>37694</v>
          </cell>
          <cell r="F1362">
            <v>897</v>
          </cell>
          <cell r="G1362">
            <v>36333</v>
          </cell>
          <cell r="H1362">
            <v>897</v>
          </cell>
          <cell r="I1362" t="str">
            <v>деп</v>
          </cell>
          <cell r="J1362">
            <v>38244</v>
          </cell>
        </row>
        <row r="1363">
          <cell r="A1363">
            <v>58733700</v>
          </cell>
          <cell r="B1363" t="str">
            <v>РЕФРИЖЕРАТОРНАЯ КОМПАНИЯ</v>
          </cell>
          <cell r="C1363" t="str">
            <v>ВОЛКОВСКАЯ   (ОКТ)</v>
          </cell>
          <cell r="D1363">
            <v>30651</v>
          </cell>
          <cell r="E1363">
            <v>37694</v>
          </cell>
          <cell r="F1363">
            <v>897</v>
          </cell>
          <cell r="G1363">
            <v>36333</v>
          </cell>
          <cell r="H1363">
            <v>897</v>
          </cell>
          <cell r="I1363" t="str">
            <v>деп</v>
          </cell>
          <cell r="J1363">
            <v>38244</v>
          </cell>
        </row>
        <row r="1364">
          <cell r="A1364">
            <v>58733718</v>
          </cell>
          <cell r="B1364" t="str">
            <v>РЕФРИЖЕРАТОРНАЯ КОМПАНИЯ</v>
          </cell>
          <cell r="C1364" t="str">
            <v>ВОЛКОВСКАЯ   (ОКТ)</v>
          </cell>
          <cell r="D1364">
            <v>30651</v>
          </cell>
          <cell r="E1364">
            <v>37694</v>
          </cell>
          <cell r="F1364">
            <v>897</v>
          </cell>
          <cell r="G1364">
            <v>36333</v>
          </cell>
          <cell r="H1364">
            <v>897</v>
          </cell>
          <cell r="I1364" t="str">
            <v>деп</v>
          </cell>
          <cell r="J1364">
            <v>38244</v>
          </cell>
        </row>
        <row r="1365">
          <cell r="A1365">
            <v>58733726</v>
          </cell>
          <cell r="B1365" t="str">
            <v>РЕФРИЖЕРАТОРНАЯ КОМПАНИЯ</v>
          </cell>
          <cell r="C1365" t="str">
            <v>ВОЛКОВСКАЯ   (ОКТ)</v>
          </cell>
          <cell r="D1365">
            <v>30682</v>
          </cell>
          <cell r="E1365">
            <v>36441</v>
          </cell>
          <cell r="F1365">
            <v>897</v>
          </cell>
          <cell r="G1365">
            <v>37679</v>
          </cell>
          <cell r="H1365">
            <v>897</v>
          </cell>
          <cell r="I1365" t="str">
            <v>деп</v>
          </cell>
          <cell r="J1365">
            <v>38226</v>
          </cell>
        </row>
        <row r="1366">
          <cell r="A1366">
            <v>58733734</v>
          </cell>
          <cell r="B1366" t="str">
            <v>РЕФРИЖЕРАТОРНАЯ КОМПАНИЯ</v>
          </cell>
          <cell r="C1366" t="str">
            <v>ВОЛКОВСКАЯ   (ОКТ)</v>
          </cell>
          <cell r="D1366">
            <v>30682</v>
          </cell>
          <cell r="E1366">
            <v>36441</v>
          </cell>
          <cell r="F1366">
            <v>897</v>
          </cell>
          <cell r="G1366">
            <v>37691</v>
          </cell>
          <cell r="H1366">
            <v>897</v>
          </cell>
          <cell r="I1366" t="str">
            <v>деп</v>
          </cell>
          <cell r="J1366">
            <v>38241</v>
          </cell>
        </row>
        <row r="1367">
          <cell r="A1367">
            <v>58733742</v>
          </cell>
          <cell r="B1367" t="str">
            <v>РЕФРИЖЕРАТОРНАЯ КОМПАНИЯ</v>
          </cell>
          <cell r="C1367" t="str">
            <v>ВОЛКОВСКАЯ   (ОКТ)</v>
          </cell>
          <cell r="D1367">
            <v>30682</v>
          </cell>
          <cell r="E1367">
            <v>36441</v>
          </cell>
          <cell r="F1367">
            <v>897</v>
          </cell>
          <cell r="G1367">
            <v>37685</v>
          </cell>
          <cell r="H1367">
            <v>897</v>
          </cell>
          <cell r="I1367" t="str">
            <v>деп</v>
          </cell>
          <cell r="J1367">
            <v>38235</v>
          </cell>
        </row>
        <row r="1368">
          <cell r="A1368">
            <v>58733759</v>
          </cell>
          <cell r="B1368" t="str">
            <v>РЕФРИЖЕРАТОРНАЯ КОМПАНИЯ</v>
          </cell>
          <cell r="C1368" t="str">
            <v>ВОЛКОВСКАЯ   (ОКТ)</v>
          </cell>
          <cell r="D1368">
            <v>31321</v>
          </cell>
          <cell r="E1368">
            <v>36623</v>
          </cell>
          <cell r="F1368">
            <v>897</v>
          </cell>
          <cell r="G1368">
            <v>37691</v>
          </cell>
          <cell r="H1368">
            <v>897</v>
          </cell>
          <cell r="I1368" t="str">
            <v>деп</v>
          </cell>
          <cell r="J1368">
            <v>38241</v>
          </cell>
        </row>
        <row r="1369">
          <cell r="A1369">
            <v>58733767</v>
          </cell>
          <cell r="B1369" t="str">
            <v>РЕФРИЖЕРАТОРНАЯ КОМПАНИЯ</v>
          </cell>
          <cell r="C1369" t="str">
            <v>ВОЛКОВСКАЯ   (ОКТ)</v>
          </cell>
          <cell r="D1369">
            <v>31321</v>
          </cell>
          <cell r="E1369">
            <v>36623</v>
          </cell>
          <cell r="F1369">
            <v>897</v>
          </cell>
          <cell r="G1369">
            <v>37691</v>
          </cell>
          <cell r="H1369">
            <v>897</v>
          </cell>
          <cell r="I1369" t="str">
            <v>деп</v>
          </cell>
          <cell r="J1369">
            <v>38241</v>
          </cell>
        </row>
        <row r="1370">
          <cell r="A1370">
            <v>58733775</v>
          </cell>
          <cell r="B1370" t="str">
            <v>РЕФРИЖЕРАТОРНАЯ КОМПАНИЯ</v>
          </cell>
          <cell r="C1370" t="str">
            <v>ВОЛКОВСКАЯ   (ОКТ)</v>
          </cell>
          <cell r="D1370">
            <v>31321</v>
          </cell>
          <cell r="E1370">
            <v>36623</v>
          </cell>
          <cell r="F1370">
            <v>897</v>
          </cell>
          <cell r="G1370">
            <v>37691</v>
          </cell>
          <cell r="H1370">
            <v>897</v>
          </cell>
          <cell r="I1370" t="str">
            <v>деп</v>
          </cell>
          <cell r="J1370">
            <v>38241</v>
          </cell>
        </row>
        <row r="1371">
          <cell r="A1371">
            <v>58733973</v>
          </cell>
          <cell r="B1371" t="str">
            <v>РЕФРИЖЕРАТОРНАЯ КОМПАНИЯ</v>
          </cell>
          <cell r="C1371" t="str">
            <v>ВОЛКОВСКАЯ   (ОКТ)</v>
          </cell>
          <cell r="D1371">
            <v>30621</v>
          </cell>
          <cell r="E1371">
            <v>37685</v>
          </cell>
          <cell r="F1371">
            <v>897</v>
          </cell>
          <cell r="G1371">
            <v>36279</v>
          </cell>
          <cell r="H1371">
            <v>897</v>
          </cell>
          <cell r="I1371" t="str">
            <v>деп</v>
          </cell>
          <cell r="J1371">
            <v>38235</v>
          </cell>
        </row>
        <row r="1372">
          <cell r="A1372">
            <v>58733981</v>
          </cell>
          <cell r="B1372" t="str">
            <v>РЕФРИЖЕРАТОРНАЯ КОМПАНИЯ</v>
          </cell>
          <cell r="C1372" t="str">
            <v>ВОЛКОВСКАЯ   (ОКТ)</v>
          </cell>
          <cell r="D1372">
            <v>30621</v>
          </cell>
          <cell r="E1372">
            <v>37685</v>
          </cell>
          <cell r="F1372">
            <v>897</v>
          </cell>
          <cell r="G1372">
            <v>36279</v>
          </cell>
          <cell r="H1372">
            <v>897</v>
          </cell>
          <cell r="I1372" t="str">
            <v>деп</v>
          </cell>
          <cell r="J1372">
            <v>38235</v>
          </cell>
        </row>
        <row r="1373">
          <cell r="A1373">
            <v>58734005</v>
          </cell>
          <cell r="B1373" t="str">
            <v>РЕФРИЖЕРАТОРНАЯ КОМПАНИЯ</v>
          </cell>
          <cell r="C1373" t="str">
            <v>ВОЛКОВСКАЯ   (ОКТ)</v>
          </cell>
          <cell r="D1373">
            <v>30621</v>
          </cell>
          <cell r="E1373">
            <v>37685</v>
          </cell>
          <cell r="F1373">
            <v>897</v>
          </cell>
          <cell r="G1373">
            <v>36279</v>
          </cell>
          <cell r="H1373">
            <v>897</v>
          </cell>
          <cell r="I1373" t="str">
            <v>деп</v>
          </cell>
          <cell r="J1373">
            <v>38235</v>
          </cell>
        </row>
        <row r="1374">
          <cell r="A1374">
            <v>58734013</v>
          </cell>
          <cell r="B1374" t="str">
            <v>РЕФРИЖЕРАТОРНАЯ КОМПАНИЯ</v>
          </cell>
          <cell r="C1374" t="str">
            <v>ВОЛКОВСКАЯ   (ОКТ)</v>
          </cell>
          <cell r="D1374">
            <v>30621</v>
          </cell>
          <cell r="E1374">
            <v>37685</v>
          </cell>
          <cell r="F1374">
            <v>897</v>
          </cell>
          <cell r="G1374">
            <v>36279</v>
          </cell>
          <cell r="H1374">
            <v>897</v>
          </cell>
          <cell r="I1374" t="str">
            <v>деп</v>
          </cell>
          <cell r="J1374">
            <v>38235</v>
          </cell>
        </row>
        <row r="1375">
          <cell r="A1375">
            <v>58734021</v>
          </cell>
          <cell r="B1375" t="str">
            <v>РЕФРИЖЕРАТОРНАЯ КОМПАНИЯ</v>
          </cell>
          <cell r="C1375" t="str">
            <v>ВОЛКОВСКАЯ   (ОКТ)</v>
          </cell>
          <cell r="D1375">
            <v>30621</v>
          </cell>
          <cell r="E1375">
            <v>37679</v>
          </cell>
          <cell r="F1375">
            <v>897</v>
          </cell>
          <cell r="G1375">
            <v>35892</v>
          </cell>
          <cell r="H1375">
            <v>897</v>
          </cell>
          <cell r="I1375" t="str">
            <v>деп</v>
          </cell>
          <cell r="J1375">
            <v>38226</v>
          </cell>
        </row>
        <row r="1376">
          <cell r="A1376">
            <v>58734039</v>
          </cell>
          <cell r="B1376" t="str">
            <v>РЕФРИЖЕРАТОРНАЯ КОМПАНИЯ</v>
          </cell>
          <cell r="C1376" t="str">
            <v>ВОЛКОВСКАЯ   (ОКТ)</v>
          </cell>
          <cell r="D1376">
            <v>30621</v>
          </cell>
          <cell r="E1376">
            <v>37679</v>
          </cell>
          <cell r="F1376">
            <v>897</v>
          </cell>
          <cell r="G1376">
            <v>35892</v>
          </cell>
          <cell r="H1376">
            <v>897</v>
          </cell>
          <cell r="I1376" t="str">
            <v>деп</v>
          </cell>
          <cell r="J1376">
            <v>38226</v>
          </cell>
        </row>
        <row r="1377">
          <cell r="A1377">
            <v>58734047</v>
          </cell>
          <cell r="B1377" t="str">
            <v>РЕФРИЖЕРАТОРНАЯ КОМПАНИЯ</v>
          </cell>
          <cell r="C1377" t="str">
            <v>ВОЛКОВСКАЯ   (ОКТ)</v>
          </cell>
          <cell r="D1377">
            <v>30621</v>
          </cell>
          <cell r="E1377">
            <v>37679</v>
          </cell>
          <cell r="F1377">
            <v>897</v>
          </cell>
          <cell r="G1377">
            <v>35892</v>
          </cell>
          <cell r="H1377">
            <v>897</v>
          </cell>
          <cell r="I1377" t="str">
            <v>деп</v>
          </cell>
          <cell r="J1377">
            <v>38226</v>
          </cell>
        </row>
        <row r="1378">
          <cell r="A1378">
            <v>58734054</v>
          </cell>
          <cell r="B1378" t="str">
            <v>РЕФРИЖЕРАТОРНАЯ КОМПАНИЯ</v>
          </cell>
          <cell r="C1378" t="str">
            <v>ВОЛКОВСКАЯ   (ОКТ)</v>
          </cell>
          <cell r="D1378">
            <v>30621</v>
          </cell>
          <cell r="E1378">
            <v>37679</v>
          </cell>
          <cell r="F1378">
            <v>897</v>
          </cell>
          <cell r="G1378">
            <v>35892</v>
          </cell>
          <cell r="H1378">
            <v>897</v>
          </cell>
          <cell r="I1378" t="str">
            <v>деп</v>
          </cell>
          <cell r="J1378">
            <v>38226</v>
          </cell>
        </row>
        <row r="1379">
          <cell r="A1379">
            <v>58734062</v>
          </cell>
          <cell r="B1379" t="str">
            <v>РЕФРИЖЕРАТОРНАЯ КОМПАНИЯ</v>
          </cell>
          <cell r="C1379" t="str">
            <v>ВОЛКОВСКАЯ   (ОКТ)</v>
          </cell>
          <cell r="D1379">
            <v>30682</v>
          </cell>
          <cell r="E1379">
            <v>37694</v>
          </cell>
          <cell r="F1379">
            <v>897</v>
          </cell>
          <cell r="G1379">
            <v>36333</v>
          </cell>
          <cell r="H1379">
            <v>897</v>
          </cell>
          <cell r="I1379" t="str">
            <v>деп</v>
          </cell>
          <cell r="J1379">
            <v>38244</v>
          </cell>
        </row>
        <row r="1380">
          <cell r="A1380">
            <v>58734070</v>
          </cell>
          <cell r="B1380" t="str">
            <v>РЕФРИЖЕРАТОРНАЯ КОМПАНИЯ</v>
          </cell>
          <cell r="C1380" t="str">
            <v>ВОЛКОВСКАЯ   (ОКТ)</v>
          </cell>
          <cell r="D1380">
            <v>30713</v>
          </cell>
          <cell r="E1380">
            <v>37694</v>
          </cell>
          <cell r="F1380">
            <v>897</v>
          </cell>
          <cell r="G1380">
            <v>36425</v>
          </cell>
          <cell r="H1380">
            <v>897</v>
          </cell>
          <cell r="I1380" t="str">
            <v>кап</v>
          </cell>
          <cell r="J1380">
            <v>38244</v>
          </cell>
        </row>
        <row r="1381">
          <cell r="A1381">
            <v>58734088</v>
          </cell>
          <cell r="B1381" t="str">
            <v>РЕФРИЖЕРАТОРНАЯ КОМПАНИЯ</v>
          </cell>
          <cell r="C1381" t="str">
            <v>ВОЛКОВСКАЯ   (ОКТ)</v>
          </cell>
          <cell r="D1381">
            <v>30713</v>
          </cell>
          <cell r="E1381">
            <v>37687</v>
          </cell>
          <cell r="F1381">
            <v>897</v>
          </cell>
          <cell r="G1381">
            <v>36333</v>
          </cell>
          <cell r="H1381">
            <v>897</v>
          </cell>
          <cell r="I1381" t="str">
            <v>кап</v>
          </cell>
          <cell r="J1381">
            <v>38237</v>
          </cell>
        </row>
        <row r="1382">
          <cell r="A1382">
            <v>58734104</v>
          </cell>
          <cell r="B1382" t="str">
            <v>РЕФРИЖЕРАТОРНАЯ КОМПАНИЯ</v>
          </cell>
          <cell r="C1382" t="str">
            <v>ВОЛКОВСКАЯ   (ОКТ)</v>
          </cell>
          <cell r="D1382">
            <v>30713</v>
          </cell>
          <cell r="E1382">
            <v>37694</v>
          </cell>
          <cell r="F1382">
            <v>897</v>
          </cell>
          <cell r="G1382">
            <v>36333</v>
          </cell>
          <cell r="H1382">
            <v>897</v>
          </cell>
          <cell r="I1382" t="str">
            <v>кап</v>
          </cell>
          <cell r="J1382">
            <v>38244</v>
          </cell>
        </row>
        <row r="1383">
          <cell r="A1383">
            <v>58734112</v>
          </cell>
          <cell r="B1383" t="str">
            <v>РЕФРИЖЕРАТОРНАЯ КОМПАНИЯ</v>
          </cell>
          <cell r="C1383" t="str">
            <v>ВОЛКОВСКАЯ   (ОКТ)</v>
          </cell>
          <cell r="D1383">
            <v>30713</v>
          </cell>
          <cell r="E1383">
            <v>37679</v>
          </cell>
          <cell r="F1383">
            <v>897</v>
          </cell>
          <cell r="G1383">
            <v>36333</v>
          </cell>
          <cell r="H1383">
            <v>897</v>
          </cell>
          <cell r="I1383" t="str">
            <v>кап</v>
          </cell>
          <cell r="J1383">
            <v>38226</v>
          </cell>
        </row>
        <row r="1384">
          <cell r="A1384">
            <v>58742644</v>
          </cell>
          <cell r="B1384" t="str">
            <v>РЕФРИЖЕРАТОРНАЯ КОМПАНИЯ</v>
          </cell>
          <cell r="C1384" t="str">
            <v>ВОЛКОВСКАЯ   (ОКТ)</v>
          </cell>
          <cell r="D1384">
            <v>31444</v>
          </cell>
          <cell r="E1384">
            <v>36396</v>
          </cell>
          <cell r="F1384">
            <v>886</v>
          </cell>
          <cell r="G1384">
            <v>37981</v>
          </cell>
          <cell r="H1384">
            <v>886</v>
          </cell>
          <cell r="I1384" t="str">
            <v>деп</v>
          </cell>
          <cell r="J1384">
            <v>38529</v>
          </cell>
        </row>
        <row r="1385">
          <cell r="A1385">
            <v>58742651</v>
          </cell>
          <cell r="B1385" t="str">
            <v>РЕФРИЖЕРАТОРНАЯ КОМПАНИЯ</v>
          </cell>
          <cell r="C1385" t="str">
            <v>ВОЛКОВСКАЯ   (ОКТ)</v>
          </cell>
          <cell r="D1385">
            <v>31444</v>
          </cell>
          <cell r="E1385">
            <v>36396</v>
          </cell>
          <cell r="F1385">
            <v>886</v>
          </cell>
          <cell r="G1385">
            <v>37981</v>
          </cell>
          <cell r="H1385">
            <v>886</v>
          </cell>
          <cell r="I1385" t="str">
            <v>деп</v>
          </cell>
          <cell r="J1385">
            <v>38529</v>
          </cell>
        </row>
        <row r="1386">
          <cell r="A1386">
            <v>58742669</v>
          </cell>
          <cell r="B1386" t="str">
            <v>РЕФРИЖЕРАТОРНАЯ КОМПАНИЯ</v>
          </cell>
          <cell r="C1386" t="str">
            <v>ВОЛКОВСКАЯ   (ОКТ)</v>
          </cell>
          <cell r="D1386">
            <v>31444</v>
          </cell>
          <cell r="E1386">
            <v>36396</v>
          </cell>
          <cell r="F1386">
            <v>886</v>
          </cell>
          <cell r="G1386">
            <v>37981</v>
          </cell>
          <cell r="H1386">
            <v>886</v>
          </cell>
          <cell r="I1386" t="str">
            <v>деп</v>
          </cell>
          <cell r="J1386">
            <v>38529</v>
          </cell>
        </row>
        <row r="1387">
          <cell r="A1387">
            <v>58742677</v>
          </cell>
          <cell r="B1387" t="str">
            <v>РЕФРИЖЕРАТОРНАЯ КОМПАНИЯ</v>
          </cell>
          <cell r="C1387" t="str">
            <v>ВОЛКОВСКАЯ   (ОКТ)</v>
          </cell>
          <cell r="D1387">
            <v>31444</v>
          </cell>
          <cell r="E1387">
            <v>36396</v>
          </cell>
          <cell r="F1387">
            <v>886</v>
          </cell>
          <cell r="G1387">
            <v>37981</v>
          </cell>
          <cell r="H1387">
            <v>886</v>
          </cell>
          <cell r="I1387" t="str">
            <v>деп</v>
          </cell>
          <cell r="J1387">
            <v>38529</v>
          </cell>
        </row>
        <row r="1388">
          <cell r="A1388">
            <v>58742685</v>
          </cell>
          <cell r="B1388" t="str">
            <v>РЕФРИЖЕРАТОРНАЯ КОМПАНИЯ</v>
          </cell>
          <cell r="C1388" t="str">
            <v>ВОЛКОВСКАЯ   (ОКТ)</v>
          </cell>
          <cell r="D1388">
            <v>31472</v>
          </cell>
          <cell r="E1388">
            <v>36602</v>
          </cell>
          <cell r="F1388">
            <v>886</v>
          </cell>
          <cell r="G1388">
            <v>37981</v>
          </cell>
          <cell r="H1388">
            <v>886</v>
          </cell>
          <cell r="I1388" t="str">
            <v>деп</v>
          </cell>
          <cell r="J1388">
            <v>38529</v>
          </cell>
        </row>
        <row r="1389">
          <cell r="A1389">
            <v>58742701</v>
          </cell>
          <cell r="B1389" t="str">
            <v>РЕФРИЖЕРАТОРНАЯ КОМПАНИЯ</v>
          </cell>
          <cell r="C1389" t="str">
            <v>ВОЛКОВСКАЯ   (ОКТ)</v>
          </cell>
          <cell r="D1389">
            <v>31472</v>
          </cell>
          <cell r="E1389">
            <v>36602</v>
          </cell>
          <cell r="F1389">
            <v>886</v>
          </cell>
          <cell r="G1389">
            <v>37981</v>
          </cell>
          <cell r="H1389">
            <v>886</v>
          </cell>
          <cell r="I1389" t="str">
            <v>деп</v>
          </cell>
          <cell r="J1389">
            <v>38529</v>
          </cell>
        </row>
        <row r="1390">
          <cell r="A1390">
            <v>58742719</v>
          </cell>
          <cell r="B1390" t="str">
            <v>РЕФРИЖЕРАТОРНАЯ КОМПАНИЯ</v>
          </cell>
          <cell r="C1390" t="str">
            <v>ВОЛКОВСКАЯ   (ОКТ)</v>
          </cell>
          <cell r="D1390">
            <v>31472</v>
          </cell>
          <cell r="E1390">
            <v>36602</v>
          </cell>
          <cell r="F1390">
            <v>886</v>
          </cell>
          <cell r="G1390">
            <v>37981</v>
          </cell>
          <cell r="H1390">
            <v>886</v>
          </cell>
          <cell r="I1390" t="str">
            <v>деп</v>
          </cell>
          <cell r="J1390">
            <v>38529</v>
          </cell>
        </row>
        <row r="1391">
          <cell r="A1391">
            <v>58742727</v>
          </cell>
          <cell r="B1391" t="str">
            <v>РЕФРИЖЕРАТОРНАЯ КОМПАНИЯ</v>
          </cell>
          <cell r="C1391" t="str">
            <v>ВОЛКОВСКАЯ   (ОКТ)</v>
          </cell>
          <cell r="D1391">
            <v>31472</v>
          </cell>
          <cell r="E1391">
            <v>36602</v>
          </cell>
          <cell r="F1391">
            <v>886</v>
          </cell>
          <cell r="G1391">
            <v>37981</v>
          </cell>
          <cell r="H1391">
            <v>886</v>
          </cell>
          <cell r="I1391" t="str">
            <v>деп</v>
          </cell>
          <cell r="J1391">
            <v>38529</v>
          </cell>
        </row>
        <row r="1392">
          <cell r="B1392" t="str">
            <v>РЕФРИЖЕРАТОРНАЯ КОМПАНИЯ Количество</v>
          </cell>
          <cell r="D1392">
            <v>148</v>
          </cell>
        </row>
        <row r="1393">
          <cell r="A1393">
            <v>53401113</v>
          </cell>
          <cell r="B1393" t="str">
            <v>РЕФСЕРВИС-М</v>
          </cell>
          <cell r="C1393" t="str">
            <v>ВОЛКОВСКАЯ   (ОКТ)</v>
          </cell>
          <cell r="D1393">
            <v>30713</v>
          </cell>
          <cell r="E1393">
            <v>37621</v>
          </cell>
          <cell r="F1393">
            <v>792</v>
          </cell>
          <cell r="G1393">
            <v>36005</v>
          </cell>
          <cell r="H1393">
            <v>792</v>
          </cell>
          <cell r="I1393" t="str">
            <v>деп</v>
          </cell>
          <cell r="J1393">
            <v>38168</v>
          </cell>
        </row>
        <row r="1394">
          <cell r="A1394">
            <v>53401121</v>
          </cell>
          <cell r="B1394" t="str">
            <v>РЕФСЕРВИС-М</v>
          </cell>
          <cell r="C1394" t="str">
            <v>ВОЛКОВСКАЯ   (ОКТ)</v>
          </cell>
          <cell r="D1394">
            <v>31747</v>
          </cell>
          <cell r="E1394">
            <v>37621</v>
          </cell>
          <cell r="F1394">
            <v>792</v>
          </cell>
          <cell r="G1394">
            <v>36619</v>
          </cell>
          <cell r="H1394">
            <v>792</v>
          </cell>
          <cell r="I1394" t="str">
            <v>деп</v>
          </cell>
          <cell r="J1394">
            <v>38168</v>
          </cell>
        </row>
        <row r="1395">
          <cell r="A1395">
            <v>53401220</v>
          </cell>
          <cell r="B1395" t="str">
            <v>РЕФСЕРВИС-М</v>
          </cell>
          <cell r="C1395" t="str">
            <v>ВОЛКОВСКАЯ   (ОКТ)</v>
          </cell>
          <cell r="D1395">
            <v>30742</v>
          </cell>
          <cell r="E1395">
            <v>37697</v>
          </cell>
          <cell r="F1395">
            <v>792</v>
          </cell>
          <cell r="G1395">
            <v>36584</v>
          </cell>
          <cell r="H1395">
            <v>792</v>
          </cell>
          <cell r="I1395" t="str">
            <v>деп</v>
          </cell>
          <cell r="J1395">
            <v>38247</v>
          </cell>
        </row>
        <row r="1396">
          <cell r="A1396">
            <v>53401352</v>
          </cell>
          <cell r="B1396" t="str">
            <v>РЕФСЕРВИС-М</v>
          </cell>
          <cell r="C1396" t="str">
            <v>ВОЛКОВСКАЯ   (ОКТ)</v>
          </cell>
          <cell r="D1396">
            <v>31868</v>
          </cell>
          <cell r="F1396">
            <v>0</v>
          </cell>
          <cell r="G1396">
            <v>37784</v>
          </cell>
          <cell r="H1396">
            <v>792</v>
          </cell>
          <cell r="I1396" t="str">
            <v>деп</v>
          </cell>
          <cell r="J1396">
            <v>38333</v>
          </cell>
        </row>
        <row r="1397">
          <cell r="A1397">
            <v>53401360</v>
          </cell>
          <cell r="B1397" t="str">
            <v>РЕФСЕРВИС-М</v>
          </cell>
          <cell r="C1397" t="str">
            <v>ВОЛКОВСКАЯ   (ОКТ)</v>
          </cell>
          <cell r="D1397">
            <v>31898</v>
          </cell>
          <cell r="F1397">
            <v>0</v>
          </cell>
          <cell r="G1397">
            <v>37741</v>
          </cell>
          <cell r="H1397">
            <v>897</v>
          </cell>
          <cell r="I1397" t="str">
            <v>деп</v>
          </cell>
          <cell r="J1397">
            <v>38290</v>
          </cell>
        </row>
        <row r="1398">
          <cell r="A1398">
            <v>53401618</v>
          </cell>
          <cell r="B1398" t="str">
            <v>РЕФСЕРВИС-М</v>
          </cell>
          <cell r="C1398" t="str">
            <v>ВОЛКОВСКАЯ   (ОКТ)</v>
          </cell>
          <cell r="D1398">
            <v>31894</v>
          </cell>
          <cell r="E1398">
            <v>36171</v>
          </cell>
          <cell r="F1398">
            <v>792</v>
          </cell>
          <cell r="G1398">
            <v>37833</v>
          </cell>
          <cell r="H1398">
            <v>792</v>
          </cell>
          <cell r="I1398" t="str">
            <v>деп</v>
          </cell>
          <cell r="J1398">
            <v>38383</v>
          </cell>
        </row>
        <row r="1399">
          <cell r="A1399">
            <v>53401626</v>
          </cell>
          <cell r="B1399" t="str">
            <v>РЕФСЕРВИС-М</v>
          </cell>
          <cell r="C1399" t="str">
            <v>ВОЛКОВСКАЯ   (ОКТ)</v>
          </cell>
          <cell r="D1399">
            <v>31741</v>
          </cell>
          <cell r="F1399">
            <v>0</v>
          </cell>
          <cell r="G1399">
            <v>37915</v>
          </cell>
          <cell r="H1399">
            <v>792</v>
          </cell>
          <cell r="I1399" t="str">
            <v>деп</v>
          </cell>
          <cell r="J1399">
            <v>38463</v>
          </cell>
        </row>
        <row r="1400">
          <cell r="A1400">
            <v>58733478</v>
          </cell>
          <cell r="B1400" t="str">
            <v>РЕФСЕРВИС-М</v>
          </cell>
          <cell r="C1400" t="str">
            <v>ВОЛКОВСКАЯ   (ОКТ)</v>
          </cell>
          <cell r="D1400">
            <v>30713</v>
          </cell>
          <cell r="E1400">
            <v>37621</v>
          </cell>
          <cell r="F1400">
            <v>792</v>
          </cell>
          <cell r="G1400">
            <v>36005</v>
          </cell>
          <cell r="H1400">
            <v>792</v>
          </cell>
          <cell r="I1400" t="str">
            <v>деп</v>
          </cell>
          <cell r="J1400">
            <v>38168</v>
          </cell>
        </row>
        <row r="1401">
          <cell r="A1401">
            <v>58733486</v>
          </cell>
          <cell r="B1401" t="str">
            <v>РЕФСЕРВИС-М</v>
          </cell>
          <cell r="C1401" t="str">
            <v>ВОЛКОВСКАЯ   (ОКТ)</v>
          </cell>
          <cell r="D1401">
            <v>30713</v>
          </cell>
          <cell r="E1401">
            <v>37621</v>
          </cell>
          <cell r="F1401">
            <v>792</v>
          </cell>
          <cell r="G1401">
            <v>36005</v>
          </cell>
          <cell r="H1401">
            <v>792</v>
          </cell>
          <cell r="I1401" t="str">
            <v>деп</v>
          </cell>
          <cell r="J1401">
            <v>38168</v>
          </cell>
        </row>
        <row r="1402">
          <cell r="A1402">
            <v>58733502</v>
          </cell>
          <cell r="B1402" t="str">
            <v>РЕФСЕРВИС-М</v>
          </cell>
          <cell r="C1402" t="str">
            <v>ВОЛКОВСКАЯ   (ОКТ)</v>
          </cell>
          <cell r="D1402">
            <v>30713</v>
          </cell>
          <cell r="E1402">
            <v>37621</v>
          </cell>
          <cell r="F1402">
            <v>792</v>
          </cell>
          <cell r="G1402">
            <v>36005</v>
          </cell>
          <cell r="H1402">
            <v>792</v>
          </cell>
          <cell r="I1402" t="str">
            <v>деп</v>
          </cell>
          <cell r="J1402">
            <v>38168</v>
          </cell>
        </row>
        <row r="1403">
          <cell r="A1403">
            <v>58733510</v>
          </cell>
          <cell r="B1403" t="str">
            <v>РЕФСЕРВИС-М</v>
          </cell>
          <cell r="C1403" t="str">
            <v>ВОЛКОВСКАЯ   (ОКТ)</v>
          </cell>
          <cell r="D1403">
            <v>30713</v>
          </cell>
          <cell r="E1403">
            <v>37621</v>
          </cell>
          <cell r="F1403">
            <v>792</v>
          </cell>
          <cell r="G1403">
            <v>36005</v>
          </cell>
          <cell r="H1403">
            <v>792</v>
          </cell>
          <cell r="I1403" t="str">
            <v>деп</v>
          </cell>
          <cell r="J1403">
            <v>38168</v>
          </cell>
        </row>
        <row r="1404">
          <cell r="A1404">
            <v>58733528</v>
          </cell>
          <cell r="B1404" t="str">
            <v>РЕФСЕРВИС-М</v>
          </cell>
          <cell r="C1404" t="str">
            <v>ВОЛКОВСКАЯ   (ОКТ)</v>
          </cell>
          <cell r="D1404">
            <v>30713</v>
          </cell>
          <cell r="E1404">
            <v>37621</v>
          </cell>
          <cell r="F1404">
            <v>792</v>
          </cell>
          <cell r="G1404">
            <v>36038</v>
          </cell>
          <cell r="H1404">
            <v>792</v>
          </cell>
          <cell r="I1404" t="str">
            <v>деп</v>
          </cell>
          <cell r="J1404">
            <v>38168</v>
          </cell>
        </row>
        <row r="1405">
          <cell r="A1405">
            <v>58733536</v>
          </cell>
          <cell r="B1405" t="str">
            <v>РЕФСЕРВИС-М</v>
          </cell>
          <cell r="C1405" t="str">
            <v>ВОЛКОВСКАЯ   (ОКТ)</v>
          </cell>
          <cell r="D1405">
            <v>31747</v>
          </cell>
          <cell r="E1405">
            <v>37621</v>
          </cell>
          <cell r="F1405">
            <v>792</v>
          </cell>
          <cell r="G1405">
            <v>36619</v>
          </cell>
          <cell r="H1405">
            <v>792</v>
          </cell>
          <cell r="I1405" t="str">
            <v>деп</v>
          </cell>
          <cell r="J1405">
            <v>38168</v>
          </cell>
        </row>
        <row r="1406">
          <cell r="A1406">
            <v>58733544</v>
          </cell>
          <cell r="B1406" t="str">
            <v>РЕФСЕРВИС-М</v>
          </cell>
          <cell r="C1406" t="str">
            <v>ВОЛКОВСКАЯ   (ОКТ)</v>
          </cell>
          <cell r="D1406">
            <v>31747</v>
          </cell>
          <cell r="E1406">
            <v>37621</v>
          </cell>
          <cell r="F1406">
            <v>792</v>
          </cell>
          <cell r="G1406">
            <v>36619</v>
          </cell>
          <cell r="H1406">
            <v>792</v>
          </cell>
          <cell r="I1406" t="str">
            <v>деп</v>
          </cell>
          <cell r="J1406">
            <v>38168</v>
          </cell>
        </row>
        <row r="1407">
          <cell r="A1407">
            <v>58733551</v>
          </cell>
          <cell r="B1407" t="str">
            <v>РЕФСЕРВИС-М</v>
          </cell>
          <cell r="C1407" t="str">
            <v>ВОЛКОВСКАЯ   (ОКТ)</v>
          </cell>
          <cell r="D1407">
            <v>31747</v>
          </cell>
          <cell r="E1407">
            <v>37621</v>
          </cell>
          <cell r="F1407">
            <v>792</v>
          </cell>
          <cell r="G1407">
            <v>36619</v>
          </cell>
          <cell r="H1407">
            <v>792</v>
          </cell>
          <cell r="I1407" t="str">
            <v>деп</v>
          </cell>
          <cell r="J1407">
            <v>38168</v>
          </cell>
        </row>
        <row r="1408">
          <cell r="A1408">
            <v>58733569</v>
          </cell>
          <cell r="B1408" t="str">
            <v>РЕФСЕРВИС-М</v>
          </cell>
          <cell r="C1408" t="str">
            <v>ВОЛКОВСКАЯ   (ОКТ)</v>
          </cell>
          <cell r="D1408">
            <v>31747</v>
          </cell>
          <cell r="E1408">
            <v>37621</v>
          </cell>
          <cell r="F1408">
            <v>792</v>
          </cell>
          <cell r="G1408">
            <v>36619</v>
          </cell>
          <cell r="H1408">
            <v>792</v>
          </cell>
          <cell r="I1408" t="str">
            <v>деп</v>
          </cell>
          <cell r="J1408">
            <v>38168</v>
          </cell>
        </row>
        <row r="1409">
          <cell r="A1409">
            <v>58733783</v>
          </cell>
          <cell r="B1409" t="str">
            <v>РЕФСЕРВИС-М</v>
          </cell>
          <cell r="C1409" t="str">
            <v>ВОЛКОВСКАЯ   (ОКТ)</v>
          </cell>
          <cell r="D1409">
            <v>30742</v>
          </cell>
          <cell r="E1409">
            <v>37697</v>
          </cell>
          <cell r="F1409">
            <v>792</v>
          </cell>
          <cell r="G1409">
            <v>36584</v>
          </cell>
          <cell r="H1409">
            <v>792</v>
          </cell>
          <cell r="I1409" t="str">
            <v>деп</v>
          </cell>
          <cell r="J1409">
            <v>38247</v>
          </cell>
        </row>
        <row r="1410">
          <cell r="A1410">
            <v>58733809</v>
          </cell>
          <cell r="B1410" t="str">
            <v>РЕФСЕРВИС-М</v>
          </cell>
          <cell r="C1410" t="str">
            <v>ВОЛКОВСКАЯ   (ОКТ)</v>
          </cell>
          <cell r="D1410">
            <v>30742</v>
          </cell>
          <cell r="E1410">
            <v>37697</v>
          </cell>
          <cell r="F1410">
            <v>792</v>
          </cell>
          <cell r="G1410">
            <v>36584</v>
          </cell>
          <cell r="H1410">
            <v>792</v>
          </cell>
          <cell r="I1410" t="str">
            <v>деп</v>
          </cell>
          <cell r="J1410">
            <v>38247</v>
          </cell>
        </row>
        <row r="1411">
          <cell r="A1411">
            <v>58733817</v>
          </cell>
          <cell r="B1411" t="str">
            <v>РЕФСЕРВИС-М</v>
          </cell>
          <cell r="C1411" t="str">
            <v>ВОЛКОВСКАЯ   (ОКТ)</v>
          </cell>
          <cell r="D1411">
            <v>30742</v>
          </cell>
          <cell r="E1411">
            <v>37697</v>
          </cell>
          <cell r="F1411">
            <v>792</v>
          </cell>
          <cell r="G1411">
            <v>36584</v>
          </cell>
          <cell r="H1411">
            <v>792</v>
          </cell>
          <cell r="I1411" t="str">
            <v>деп</v>
          </cell>
          <cell r="J1411">
            <v>38247</v>
          </cell>
        </row>
        <row r="1412">
          <cell r="A1412">
            <v>58733825</v>
          </cell>
          <cell r="B1412" t="str">
            <v>РЕФСЕРВИС-М</v>
          </cell>
          <cell r="C1412" t="str">
            <v>ВОЛКОВСКАЯ   (ОКТ)</v>
          </cell>
          <cell r="D1412">
            <v>30742</v>
          </cell>
          <cell r="E1412">
            <v>37697</v>
          </cell>
          <cell r="F1412">
            <v>792</v>
          </cell>
          <cell r="G1412">
            <v>36584</v>
          </cell>
          <cell r="H1412">
            <v>792</v>
          </cell>
          <cell r="I1412" t="str">
            <v>деп</v>
          </cell>
          <cell r="J1412">
            <v>38247</v>
          </cell>
        </row>
        <row r="1413">
          <cell r="A1413">
            <v>58734120</v>
          </cell>
          <cell r="B1413" t="str">
            <v>РЕФСЕРВИС-М</v>
          </cell>
          <cell r="C1413" t="str">
            <v>ВОЛКОВСКАЯ   (ОКТ)</v>
          </cell>
          <cell r="D1413">
            <v>30773</v>
          </cell>
          <cell r="F1413">
            <v>0</v>
          </cell>
          <cell r="G1413">
            <v>37741</v>
          </cell>
          <cell r="H1413">
            <v>897</v>
          </cell>
          <cell r="I1413" t="str">
            <v>деп</v>
          </cell>
          <cell r="J1413">
            <v>38290</v>
          </cell>
        </row>
        <row r="1414">
          <cell r="A1414">
            <v>58734138</v>
          </cell>
          <cell r="B1414" t="str">
            <v>РЕФСЕРВИС-М</v>
          </cell>
          <cell r="C1414" t="str">
            <v>ВОЛКОВСКАЯ   (ОКТ)</v>
          </cell>
          <cell r="D1414">
            <v>31868</v>
          </cell>
          <cell r="F1414">
            <v>0</v>
          </cell>
          <cell r="G1414">
            <v>37784</v>
          </cell>
          <cell r="H1414">
            <v>792</v>
          </cell>
          <cell r="I1414" t="str">
            <v>деп</v>
          </cell>
          <cell r="J1414">
            <v>38333</v>
          </cell>
        </row>
        <row r="1415">
          <cell r="A1415">
            <v>58734146</v>
          </cell>
          <cell r="B1415" t="str">
            <v>РЕФСЕРВИС-М</v>
          </cell>
          <cell r="C1415" t="str">
            <v>ВОЛКОВСКАЯ   (ОКТ)</v>
          </cell>
          <cell r="D1415">
            <v>31868</v>
          </cell>
          <cell r="F1415">
            <v>0</v>
          </cell>
          <cell r="G1415">
            <v>37784</v>
          </cell>
          <cell r="H1415">
            <v>792</v>
          </cell>
          <cell r="I1415" t="str">
            <v>деп</v>
          </cell>
          <cell r="J1415">
            <v>38333</v>
          </cell>
        </row>
        <row r="1416">
          <cell r="A1416">
            <v>58734153</v>
          </cell>
          <cell r="B1416" t="str">
            <v>РЕФСЕРВИС-М</v>
          </cell>
          <cell r="C1416" t="str">
            <v>ВОЛКОВСКАЯ   (ОКТ)</v>
          </cell>
          <cell r="D1416">
            <v>31868</v>
          </cell>
          <cell r="F1416">
            <v>0</v>
          </cell>
          <cell r="G1416">
            <v>37784</v>
          </cell>
          <cell r="H1416">
            <v>792</v>
          </cell>
          <cell r="I1416" t="str">
            <v>деп</v>
          </cell>
          <cell r="J1416">
            <v>38333</v>
          </cell>
        </row>
        <row r="1417">
          <cell r="A1417">
            <v>58734161</v>
          </cell>
          <cell r="B1417" t="str">
            <v>РЕФСЕРВИС-М</v>
          </cell>
          <cell r="C1417" t="str">
            <v>ВОЛКОВСКАЯ   (ОКТ)</v>
          </cell>
          <cell r="D1417">
            <v>31868</v>
          </cell>
          <cell r="F1417">
            <v>0</v>
          </cell>
          <cell r="G1417">
            <v>37784</v>
          </cell>
          <cell r="H1417">
            <v>792</v>
          </cell>
          <cell r="I1417" t="str">
            <v>деп</v>
          </cell>
          <cell r="J1417">
            <v>38333</v>
          </cell>
        </row>
        <row r="1418">
          <cell r="A1418">
            <v>58734179</v>
          </cell>
          <cell r="B1418" t="str">
            <v>РЕФСЕРВИС-М</v>
          </cell>
          <cell r="C1418" t="str">
            <v>ВОЛКОВСКАЯ   (ОКТ)</v>
          </cell>
          <cell r="D1418">
            <v>31898</v>
          </cell>
          <cell r="F1418">
            <v>0</v>
          </cell>
          <cell r="G1418">
            <v>37741</v>
          </cell>
          <cell r="H1418">
            <v>897</v>
          </cell>
          <cell r="I1418" t="str">
            <v>деп</v>
          </cell>
          <cell r="J1418">
            <v>38290</v>
          </cell>
        </row>
        <row r="1419">
          <cell r="A1419">
            <v>58734187</v>
          </cell>
          <cell r="B1419" t="str">
            <v>РЕФСЕРВИС-М</v>
          </cell>
          <cell r="C1419" t="str">
            <v>ВОЛКОВСКАЯ   (ОКТ)</v>
          </cell>
          <cell r="D1419">
            <v>31898</v>
          </cell>
          <cell r="F1419">
            <v>0</v>
          </cell>
          <cell r="G1419">
            <v>37741</v>
          </cell>
          <cell r="H1419">
            <v>897</v>
          </cell>
          <cell r="I1419" t="str">
            <v>деп</v>
          </cell>
          <cell r="J1419">
            <v>38290</v>
          </cell>
        </row>
        <row r="1420">
          <cell r="A1420">
            <v>58734203</v>
          </cell>
          <cell r="B1420" t="str">
            <v>РЕФСЕРВИС-М</v>
          </cell>
          <cell r="C1420" t="str">
            <v>ВОЛКОВСКАЯ   (ОКТ)</v>
          </cell>
          <cell r="D1420">
            <v>31898</v>
          </cell>
          <cell r="F1420">
            <v>0</v>
          </cell>
          <cell r="G1420">
            <v>37741</v>
          </cell>
          <cell r="H1420">
            <v>897</v>
          </cell>
          <cell r="I1420" t="str">
            <v>деп</v>
          </cell>
          <cell r="J1420">
            <v>38290</v>
          </cell>
        </row>
        <row r="1421">
          <cell r="A1421">
            <v>58734211</v>
          </cell>
          <cell r="B1421" t="str">
            <v>РЕФСЕРВИС-М</v>
          </cell>
          <cell r="C1421" t="str">
            <v>ВОЛКОВСКАЯ   (ОКТ)</v>
          </cell>
          <cell r="D1421">
            <v>31898</v>
          </cell>
          <cell r="F1421">
            <v>0</v>
          </cell>
          <cell r="G1421">
            <v>37741</v>
          </cell>
          <cell r="H1421">
            <v>897</v>
          </cell>
          <cell r="I1421" t="str">
            <v>деп</v>
          </cell>
          <cell r="J1421">
            <v>38290</v>
          </cell>
        </row>
        <row r="1422">
          <cell r="A1422">
            <v>58734401</v>
          </cell>
          <cell r="B1422" t="str">
            <v>РЕФСЕРВИС-М</v>
          </cell>
          <cell r="C1422" t="str">
            <v>ВОЛКОВСКАЯ   (ОКТ)</v>
          </cell>
          <cell r="D1422">
            <v>31894</v>
          </cell>
          <cell r="E1422">
            <v>36171</v>
          </cell>
          <cell r="F1422">
            <v>792</v>
          </cell>
          <cell r="G1422">
            <v>37833</v>
          </cell>
          <cell r="H1422">
            <v>792</v>
          </cell>
          <cell r="I1422" t="str">
            <v>деп</v>
          </cell>
          <cell r="J1422">
            <v>38383</v>
          </cell>
        </row>
        <row r="1423">
          <cell r="A1423">
            <v>58734419</v>
          </cell>
          <cell r="B1423" t="str">
            <v>РЕФСЕРВИС-М</v>
          </cell>
          <cell r="C1423" t="str">
            <v>ВОЛКОВСКАЯ   (ОКТ)</v>
          </cell>
          <cell r="D1423">
            <v>30667</v>
          </cell>
          <cell r="E1423">
            <v>37833</v>
          </cell>
          <cell r="F1423">
            <v>792</v>
          </cell>
          <cell r="G1423">
            <v>36210</v>
          </cell>
          <cell r="H1423">
            <v>792</v>
          </cell>
          <cell r="I1423" t="str">
            <v>деп</v>
          </cell>
          <cell r="J1423">
            <v>38383</v>
          </cell>
        </row>
        <row r="1424">
          <cell r="A1424">
            <v>58734427</v>
          </cell>
          <cell r="B1424" t="str">
            <v>РЕФСЕРВИС-М</v>
          </cell>
          <cell r="C1424" t="str">
            <v>ВОЛКОВСКАЯ   (ОКТ)</v>
          </cell>
          <cell r="D1424">
            <v>31894</v>
          </cell>
          <cell r="E1424">
            <v>36171</v>
          </cell>
          <cell r="F1424">
            <v>792</v>
          </cell>
          <cell r="G1424">
            <v>37833</v>
          </cell>
          <cell r="H1424">
            <v>792</v>
          </cell>
          <cell r="I1424" t="str">
            <v>деп</v>
          </cell>
          <cell r="J1424">
            <v>38383</v>
          </cell>
        </row>
        <row r="1425">
          <cell r="A1425">
            <v>58734435</v>
          </cell>
          <cell r="B1425" t="str">
            <v>РЕФСЕРВИС-М</v>
          </cell>
          <cell r="C1425" t="str">
            <v>ВОЛКОВСКАЯ   (ОКТ)</v>
          </cell>
          <cell r="D1425">
            <v>31894</v>
          </cell>
          <cell r="E1425">
            <v>36171</v>
          </cell>
          <cell r="F1425">
            <v>792</v>
          </cell>
          <cell r="G1425">
            <v>37833</v>
          </cell>
          <cell r="H1425">
            <v>792</v>
          </cell>
          <cell r="I1425" t="str">
            <v>деп</v>
          </cell>
          <cell r="J1425">
            <v>38383</v>
          </cell>
        </row>
        <row r="1426">
          <cell r="A1426">
            <v>58734443</v>
          </cell>
          <cell r="B1426" t="str">
            <v>РЕФСЕРВИС-М</v>
          </cell>
          <cell r="C1426" t="str">
            <v>ВОЛКОВСКАЯ   (ОКТ)</v>
          </cell>
          <cell r="D1426">
            <v>31894</v>
          </cell>
          <cell r="E1426">
            <v>36171</v>
          </cell>
          <cell r="F1426">
            <v>792</v>
          </cell>
          <cell r="G1426">
            <v>37833</v>
          </cell>
          <cell r="H1426">
            <v>792</v>
          </cell>
          <cell r="I1426" t="str">
            <v>деп</v>
          </cell>
          <cell r="J1426">
            <v>38383</v>
          </cell>
        </row>
        <row r="1427">
          <cell r="A1427">
            <v>58734450</v>
          </cell>
          <cell r="B1427" t="str">
            <v>РЕФСЕРВИС-М</v>
          </cell>
          <cell r="C1427" t="str">
            <v>ВОЛКОВСКАЯ   (ОКТ)</v>
          </cell>
          <cell r="D1427">
            <v>31741</v>
          </cell>
          <cell r="F1427">
            <v>0</v>
          </cell>
          <cell r="G1427">
            <v>37915</v>
          </cell>
          <cell r="H1427">
            <v>792</v>
          </cell>
          <cell r="I1427" t="str">
            <v>деп</v>
          </cell>
          <cell r="J1427">
            <v>38463</v>
          </cell>
        </row>
        <row r="1428">
          <cell r="A1428">
            <v>58734468</v>
          </cell>
          <cell r="B1428" t="str">
            <v>РЕФСЕРВИС-М</v>
          </cell>
          <cell r="C1428" t="str">
            <v>ВОЛКОВСКАЯ   (ОКТ)</v>
          </cell>
          <cell r="D1428">
            <v>31741</v>
          </cell>
          <cell r="F1428">
            <v>0</v>
          </cell>
          <cell r="G1428">
            <v>37915</v>
          </cell>
          <cell r="H1428">
            <v>792</v>
          </cell>
          <cell r="I1428" t="str">
            <v>деп</v>
          </cell>
          <cell r="J1428">
            <v>38463</v>
          </cell>
        </row>
        <row r="1429">
          <cell r="A1429">
            <v>58734476</v>
          </cell>
          <cell r="B1429" t="str">
            <v>РЕФСЕРВИС-М</v>
          </cell>
          <cell r="C1429" t="str">
            <v>ВОЛКОВСКАЯ   (ОКТ)</v>
          </cell>
          <cell r="D1429">
            <v>31741</v>
          </cell>
          <cell r="F1429">
            <v>0</v>
          </cell>
          <cell r="G1429">
            <v>37915</v>
          </cell>
          <cell r="H1429">
            <v>792</v>
          </cell>
          <cell r="I1429" t="str">
            <v>деп</v>
          </cell>
          <cell r="J1429">
            <v>38463</v>
          </cell>
        </row>
        <row r="1430">
          <cell r="A1430">
            <v>58734484</v>
          </cell>
          <cell r="B1430" t="str">
            <v>РЕФСЕРВИС-М</v>
          </cell>
          <cell r="C1430" t="str">
            <v>ВОЛКОВСКАЯ   (ОКТ)</v>
          </cell>
          <cell r="D1430">
            <v>31741</v>
          </cell>
          <cell r="F1430">
            <v>0</v>
          </cell>
          <cell r="G1430">
            <v>37915</v>
          </cell>
          <cell r="H1430">
            <v>792</v>
          </cell>
          <cell r="I1430" t="str">
            <v>деп</v>
          </cell>
          <cell r="J1430">
            <v>38463</v>
          </cell>
        </row>
        <row r="1431">
          <cell r="B1431" t="str">
            <v>РЕФСЕРВИС-М Количество</v>
          </cell>
          <cell r="D1431">
            <v>38</v>
          </cell>
        </row>
        <row r="1432">
          <cell r="A1432">
            <v>53401162</v>
          </cell>
          <cell r="B1432" t="str">
            <v>РОЛЛЕ</v>
          </cell>
          <cell r="C1432" t="str">
            <v>СИБИРСКАЯ    (ЗСБ)</v>
          </cell>
          <cell r="D1432">
            <v>30376</v>
          </cell>
          <cell r="F1432">
            <v>0</v>
          </cell>
          <cell r="G1432">
            <v>37546</v>
          </cell>
          <cell r="H1432">
            <v>840</v>
          </cell>
          <cell r="I1432" t="str">
            <v>деп</v>
          </cell>
          <cell r="J1432">
            <v>38094</v>
          </cell>
        </row>
        <row r="1433">
          <cell r="B1433" t="str">
            <v>РОЛЛЕ Количество</v>
          </cell>
          <cell r="D1433">
            <v>1</v>
          </cell>
        </row>
        <row r="1434">
          <cell r="A1434">
            <v>53704219</v>
          </cell>
          <cell r="B1434" t="str">
            <v>РОССИЙСКИЙ ЦИРК ГК</v>
          </cell>
          <cell r="C1434" t="str">
            <v>ОТРОЖКА      (ЮВС)</v>
          </cell>
          <cell r="D1434">
            <v>24473</v>
          </cell>
          <cell r="E1434">
            <v>36469</v>
          </cell>
          <cell r="G1434">
            <v>37729</v>
          </cell>
          <cell r="H1434">
            <v>76</v>
          </cell>
          <cell r="I1434" t="str">
            <v>деп</v>
          </cell>
          <cell r="J1434">
            <v>38825</v>
          </cell>
        </row>
        <row r="1435">
          <cell r="A1435">
            <v>58700709</v>
          </cell>
          <cell r="B1435" t="str">
            <v>РОССИЙСКИЙ ЦИРК ГК</v>
          </cell>
          <cell r="C1435" t="str">
            <v>ОТРОЖКА      (ЮВС)</v>
          </cell>
          <cell r="D1435">
            <v>24473</v>
          </cell>
          <cell r="F1435">
            <v>0</v>
          </cell>
          <cell r="G1435">
            <v>37729</v>
          </cell>
          <cell r="H1435">
            <v>76</v>
          </cell>
          <cell r="I1435" t="str">
            <v>деп</v>
          </cell>
          <cell r="J1435">
            <v>38460</v>
          </cell>
        </row>
        <row r="1436">
          <cell r="A1436">
            <v>58700717</v>
          </cell>
          <cell r="B1436" t="str">
            <v>РОССИЙСКИЙ ЦИРК ГК</v>
          </cell>
          <cell r="C1436" t="str">
            <v>ОТРОЖКА      (ЮВС)</v>
          </cell>
          <cell r="D1436">
            <v>24473</v>
          </cell>
          <cell r="F1436">
            <v>0</v>
          </cell>
          <cell r="G1436">
            <v>37403</v>
          </cell>
          <cell r="H1436">
            <v>76</v>
          </cell>
          <cell r="I1436" t="str">
            <v>деп</v>
          </cell>
          <cell r="J1436">
            <v>38134</v>
          </cell>
        </row>
        <row r="1437">
          <cell r="A1437">
            <v>58700725</v>
          </cell>
          <cell r="B1437" t="str">
            <v>РОССИЙСКИЙ ЦИРК ГК</v>
          </cell>
          <cell r="C1437" t="str">
            <v>ОТРОЖКА      (ЮВС)</v>
          </cell>
          <cell r="D1437">
            <v>24473</v>
          </cell>
          <cell r="F1437">
            <v>0</v>
          </cell>
          <cell r="G1437">
            <v>37403</v>
          </cell>
          <cell r="H1437">
            <v>76</v>
          </cell>
          <cell r="I1437" t="str">
            <v>деп</v>
          </cell>
          <cell r="J1437">
            <v>38134</v>
          </cell>
        </row>
        <row r="1438">
          <cell r="A1438">
            <v>58700733</v>
          </cell>
          <cell r="B1438" t="str">
            <v>РОССИЙСКИЙ ЦИРК ГК</v>
          </cell>
          <cell r="C1438" t="str">
            <v>ОТРОЖКА      (ЮВС)</v>
          </cell>
          <cell r="D1438">
            <v>24473</v>
          </cell>
          <cell r="E1438">
            <v>36468</v>
          </cell>
          <cell r="G1438">
            <v>37729</v>
          </cell>
          <cell r="H1438">
            <v>76</v>
          </cell>
          <cell r="I1438" t="str">
            <v>деп</v>
          </cell>
          <cell r="J1438">
            <v>38460</v>
          </cell>
        </row>
        <row r="1439">
          <cell r="A1439">
            <v>58700741</v>
          </cell>
          <cell r="B1439" t="str">
            <v>РОССИЙСКИЙ ЦИРК ГК</v>
          </cell>
          <cell r="C1439" t="str">
            <v>ОТРОЖКА      (ЮВС)</v>
          </cell>
          <cell r="D1439">
            <v>24473</v>
          </cell>
          <cell r="E1439">
            <v>36469</v>
          </cell>
          <cell r="G1439">
            <v>37762</v>
          </cell>
          <cell r="H1439">
            <v>76</v>
          </cell>
          <cell r="I1439" t="str">
            <v>деп</v>
          </cell>
          <cell r="J1439">
            <v>38493</v>
          </cell>
        </row>
        <row r="1440">
          <cell r="A1440">
            <v>58710336</v>
          </cell>
          <cell r="B1440" t="str">
            <v>РОССИЙСКИЙ ЦИРК ГК</v>
          </cell>
          <cell r="C1440" t="str">
            <v>ОТРОЖКА      (ЮВС)</v>
          </cell>
          <cell r="D1440">
            <v>24473</v>
          </cell>
          <cell r="E1440">
            <v>36469</v>
          </cell>
          <cell r="G1440">
            <v>37403</v>
          </cell>
          <cell r="H1440">
            <v>76</v>
          </cell>
          <cell r="I1440" t="str">
            <v>деп</v>
          </cell>
          <cell r="J1440">
            <v>38134</v>
          </cell>
        </row>
        <row r="1441">
          <cell r="A1441">
            <v>58710344</v>
          </cell>
          <cell r="B1441" t="str">
            <v>РОССИЙСКИЙ ЦИРК ГК</v>
          </cell>
          <cell r="C1441" t="str">
            <v>ОТРОЖКА      (ЮВС)</v>
          </cell>
          <cell r="D1441">
            <v>24473</v>
          </cell>
          <cell r="F1441">
            <v>0</v>
          </cell>
          <cell r="G1441">
            <v>37403</v>
          </cell>
          <cell r="H1441">
            <v>76</v>
          </cell>
          <cell r="I1441" t="str">
            <v>деп</v>
          </cell>
          <cell r="J1441">
            <v>38134</v>
          </cell>
        </row>
        <row r="1442">
          <cell r="B1442" t="str">
            <v>РОССИЙСКИЙ ЦИРК ГК Количество</v>
          </cell>
          <cell r="D1442">
            <v>8</v>
          </cell>
        </row>
        <row r="1443">
          <cell r="A1443">
            <v>53702981</v>
          </cell>
          <cell r="B1443" t="str">
            <v>РОСШТЕРН</v>
          </cell>
          <cell r="C1443" t="str">
            <v>МОС-ЮЖН.ПОРТ (МСK)</v>
          </cell>
          <cell r="D1443">
            <v>25569</v>
          </cell>
          <cell r="E1443">
            <v>34790</v>
          </cell>
          <cell r="G1443">
            <v>31503</v>
          </cell>
        </row>
        <row r="1444">
          <cell r="A1444">
            <v>53703005</v>
          </cell>
          <cell r="B1444" t="str">
            <v>РОСШТЕРН</v>
          </cell>
          <cell r="C1444" t="str">
            <v>МОС-ЮЖН.ПОРТ (МСK)</v>
          </cell>
          <cell r="D1444">
            <v>24838</v>
          </cell>
          <cell r="E1444">
            <v>34669</v>
          </cell>
          <cell r="G1444">
            <v>32874</v>
          </cell>
        </row>
        <row r="1445">
          <cell r="A1445">
            <v>53703088</v>
          </cell>
          <cell r="B1445" t="str">
            <v>РОСШТЕРН</v>
          </cell>
          <cell r="C1445" t="str">
            <v>МОС-ЮЖН.ПОРТ (МСK)</v>
          </cell>
          <cell r="D1445">
            <v>24473</v>
          </cell>
          <cell r="E1445">
            <v>34731</v>
          </cell>
          <cell r="G1445">
            <v>33239</v>
          </cell>
        </row>
        <row r="1446">
          <cell r="B1446" t="str">
            <v>РОСШТЕРН Количество</v>
          </cell>
          <cell r="D1446">
            <v>3</v>
          </cell>
        </row>
        <row r="1447">
          <cell r="A1447">
            <v>53705547</v>
          </cell>
          <cell r="B1447" t="str">
            <v>РУССКИЙ ЛЕС</v>
          </cell>
          <cell r="C1447" t="str">
            <v>КОСТАРИХА    (ГOР)</v>
          </cell>
          <cell r="D1447">
            <v>33178</v>
          </cell>
          <cell r="E1447">
            <v>38015</v>
          </cell>
          <cell r="F1447">
            <v>424</v>
          </cell>
          <cell r="H1447">
            <v>0</v>
          </cell>
          <cell r="I1447" t="str">
            <v>деп</v>
          </cell>
          <cell r="J1447">
            <v>38562</v>
          </cell>
        </row>
        <row r="1448">
          <cell r="A1448">
            <v>58729351</v>
          </cell>
          <cell r="B1448" t="str">
            <v>РУССКИЙ ЛЕС</v>
          </cell>
          <cell r="C1448" t="str">
            <v>КОСТАРИХА    (ГOР)</v>
          </cell>
          <cell r="D1448">
            <v>33178</v>
          </cell>
          <cell r="E1448">
            <v>38015</v>
          </cell>
          <cell r="F1448">
            <v>424</v>
          </cell>
          <cell r="H1448">
            <v>0</v>
          </cell>
          <cell r="I1448" t="str">
            <v>деп</v>
          </cell>
          <cell r="J1448">
            <v>38562</v>
          </cell>
        </row>
        <row r="1449">
          <cell r="A1449">
            <v>58729369</v>
          </cell>
          <cell r="B1449" t="str">
            <v>РУССКИЙ ЛЕС</v>
          </cell>
          <cell r="C1449" t="str">
            <v>КОСТАРИХА    (ГOР)</v>
          </cell>
          <cell r="D1449">
            <v>33178</v>
          </cell>
          <cell r="E1449">
            <v>38015</v>
          </cell>
          <cell r="F1449">
            <v>424</v>
          </cell>
          <cell r="H1449">
            <v>0</v>
          </cell>
          <cell r="I1449" t="str">
            <v>деп</v>
          </cell>
          <cell r="J1449">
            <v>38562</v>
          </cell>
        </row>
        <row r="1450">
          <cell r="A1450">
            <v>58729377</v>
          </cell>
          <cell r="B1450" t="str">
            <v>РУССКИЙ ЛЕС</v>
          </cell>
          <cell r="C1450" t="str">
            <v>КОСТАРИХА    (ГOР)</v>
          </cell>
          <cell r="D1450">
            <v>33178</v>
          </cell>
          <cell r="E1450">
            <v>38015</v>
          </cell>
          <cell r="F1450">
            <v>424</v>
          </cell>
          <cell r="H1450">
            <v>0</v>
          </cell>
          <cell r="I1450" t="str">
            <v>деп</v>
          </cell>
          <cell r="J1450">
            <v>38562</v>
          </cell>
        </row>
        <row r="1451">
          <cell r="A1451">
            <v>58729385</v>
          </cell>
          <cell r="B1451" t="str">
            <v>РУССКИЙ ЛЕС</v>
          </cell>
          <cell r="C1451" t="str">
            <v>КОСТАРИХА    (ГOР)</v>
          </cell>
          <cell r="D1451">
            <v>33178</v>
          </cell>
          <cell r="E1451">
            <v>38015</v>
          </cell>
          <cell r="F1451">
            <v>424</v>
          </cell>
          <cell r="H1451">
            <v>0</v>
          </cell>
          <cell r="I1451" t="str">
            <v>деп</v>
          </cell>
          <cell r="J1451">
            <v>38562</v>
          </cell>
        </row>
        <row r="1452">
          <cell r="B1452" t="str">
            <v>РУССКИЙ ЛЕС Количество</v>
          </cell>
          <cell r="D1452">
            <v>5</v>
          </cell>
        </row>
        <row r="1453">
          <cell r="A1453">
            <v>53703757</v>
          </cell>
          <cell r="B1453" t="str">
            <v>САМОРИ СК</v>
          </cell>
          <cell r="C1453" t="str">
            <v>ДОМОДЕДОВО   (МСK)</v>
          </cell>
          <cell r="D1453">
            <v>25204</v>
          </cell>
          <cell r="I1453" t="str">
            <v>деп</v>
          </cell>
          <cell r="J1453">
            <v>26299</v>
          </cell>
        </row>
        <row r="1454">
          <cell r="A1454">
            <v>53704565</v>
          </cell>
          <cell r="B1454" t="str">
            <v>САМОРИ СК</v>
          </cell>
          <cell r="C1454" t="str">
            <v>ДОМОДЕДОВО   (МСK)</v>
          </cell>
          <cell r="D1454">
            <v>29606</v>
          </cell>
          <cell r="E1454">
            <v>37345</v>
          </cell>
          <cell r="F1454">
            <v>350</v>
          </cell>
          <cell r="G1454">
            <v>34044</v>
          </cell>
          <cell r="H1454">
            <v>0</v>
          </cell>
          <cell r="I1454" t="str">
            <v>деп</v>
          </cell>
          <cell r="J1454">
            <v>37894</v>
          </cell>
        </row>
        <row r="1455">
          <cell r="B1455" t="str">
            <v>САМОРИ СК Количество</v>
          </cell>
          <cell r="D1455">
            <v>2</v>
          </cell>
        </row>
        <row r="1456">
          <cell r="A1456">
            <v>53704581</v>
          </cell>
          <cell r="B1456" t="str">
            <v>СЕВКАВТРАНССТРОЙ</v>
          </cell>
          <cell r="C1456" t="str">
            <v>ЭНЕМ 2       (СКВ)</v>
          </cell>
          <cell r="D1456">
            <v>31138</v>
          </cell>
          <cell r="E1456">
            <v>37762</v>
          </cell>
          <cell r="F1456">
            <v>557</v>
          </cell>
          <cell r="G1456">
            <v>35247</v>
          </cell>
          <cell r="I1456" t="str">
            <v>деп</v>
          </cell>
          <cell r="J1456">
            <v>38858</v>
          </cell>
        </row>
        <row r="1457">
          <cell r="A1457">
            <v>53704607</v>
          </cell>
          <cell r="B1457" t="str">
            <v>СЕВКАВТРАНССТРОЙ</v>
          </cell>
          <cell r="C1457" t="str">
            <v>ЭНЕМ 2       (СКВ)</v>
          </cell>
          <cell r="D1457">
            <v>31472</v>
          </cell>
          <cell r="E1457">
            <v>37725</v>
          </cell>
          <cell r="F1457">
            <v>557</v>
          </cell>
          <cell r="G1457">
            <v>35125</v>
          </cell>
          <cell r="I1457" t="str">
            <v>деп</v>
          </cell>
          <cell r="J1457">
            <v>38821</v>
          </cell>
        </row>
        <row r="1458">
          <cell r="A1458">
            <v>53704615</v>
          </cell>
          <cell r="B1458" t="str">
            <v>СЕВКАВТРАНССТРОЙ</v>
          </cell>
          <cell r="C1458" t="str">
            <v>ЭНЕМ 2       (СКВ)</v>
          </cell>
          <cell r="D1458">
            <v>31168</v>
          </cell>
          <cell r="E1458">
            <v>37775</v>
          </cell>
          <cell r="F1458">
            <v>557</v>
          </cell>
          <cell r="G1458">
            <v>35490</v>
          </cell>
          <cell r="I1458" t="str">
            <v>деп</v>
          </cell>
          <cell r="J1458">
            <v>38871</v>
          </cell>
        </row>
        <row r="1459">
          <cell r="A1459">
            <v>53704623</v>
          </cell>
          <cell r="B1459" t="str">
            <v>СЕВКАВТРАНССТРОЙ</v>
          </cell>
          <cell r="C1459" t="str">
            <v>ЭНЕМ 2       (СКВ)</v>
          </cell>
          <cell r="D1459">
            <v>29891</v>
          </cell>
          <cell r="E1459">
            <v>37714</v>
          </cell>
          <cell r="F1459">
            <v>557</v>
          </cell>
          <cell r="G1459">
            <v>35490</v>
          </cell>
          <cell r="I1459" t="str">
            <v>деп</v>
          </cell>
          <cell r="J1459">
            <v>38810</v>
          </cell>
        </row>
        <row r="1460">
          <cell r="B1460" t="str">
            <v>СЕВКАВТРАНССТРОЙ Количество</v>
          </cell>
          <cell r="D1460">
            <v>4</v>
          </cell>
        </row>
        <row r="1461">
          <cell r="A1461">
            <v>53706347</v>
          </cell>
          <cell r="B1461" t="str">
            <v>СЕЛЕНА ПКП</v>
          </cell>
          <cell r="C1461" t="str">
            <v>БАЗАИХА      (КРС)</v>
          </cell>
          <cell r="D1461">
            <v>33723</v>
          </cell>
          <cell r="F1461">
            <v>0</v>
          </cell>
          <cell r="G1461">
            <v>37483</v>
          </cell>
          <cell r="H1461">
            <v>633</v>
          </cell>
          <cell r="I1461" t="str">
            <v>деп</v>
          </cell>
          <cell r="J1461">
            <v>38032</v>
          </cell>
        </row>
        <row r="1462">
          <cell r="A1462">
            <v>58740176</v>
          </cell>
          <cell r="B1462" t="str">
            <v>СЕЛЕНА ПКП</v>
          </cell>
          <cell r="C1462" t="str">
            <v>БАЗАИХА      (КРС)</v>
          </cell>
          <cell r="D1462">
            <v>33723</v>
          </cell>
          <cell r="F1462">
            <v>0</v>
          </cell>
          <cell r="G1462">
            <v>37483</v>
          </cell>
          <cell r="H1462">
            <v>633</v>
          </cell>
          <cell r="I1462" t="str">
            <v>деп</v>
          </cell>
          <cell r="J1462">
            <v>38032</v>
          </cell>
        </row>
        <row r="1463">
          <cell r="A1463">
            <v>58740184</v>
          </cell>
          <cell r="B1463" t="str">
            <v>СЕЛЕНА ПКП</v>
          </cell>
          <cell r="C1463" t="str">
            <v>БАЗАИХА      (КРС)</v>
          </cell>
          <cell r="D1463">
            <v>33723</v>
          </cell>
          <cell r="F1463">
            <v>0</v>
          </cell>
          <cell r="G1463">
            <v>37483</v>
          </cell>
          <cell r="H1463">
            <v>633</v>
          </cell>
          <cell r="I1463" t="str">
            <v>деп</v>
          </cell>
          <cell r="J1463">
            <v>38032</v>
          </cell>
        </row>
        <row r="1464">
          <cell r="A1464">
            <v>58740200</v>
          </cell>
          <cell r="B1464" t="str">
            <v>СЕЛЕНА ПКП</v>
          </cell>
          <cell r="C1464" t="str">
            <v>БАЗАИХА      (КРС)</v>
          </cell>
          <cell r="D1464">
            <v>33723</v>
          </cell>
          <cell r="F1464">
            <v>0</v>
          </cell>
          <cell r="G1464">
            <v>37483</v>
          </cell>
          <cell r="H1464">
            <v>633</v>
          </cell>
          <cell r="I1464" t="str">
            <v>деп</v>
          </cell>
          <cell r="J1464">
            <v>38032</v>
          </cell>
        </row>
        <row r="1465">
          <cell r="B1465" t="str">
            <v>СЕЛЕНА ПКП Количество</v>
          </cell>
          <cell r="D1465">
            <v>4</v>
          </cell>
        </row>
        <row r="1466">
          <cell r="A1466">
            <v>53700001</v>
          </cell>
          <cell r="B1466" t="str">
            <v>СЕРВИСБАЗА МУП</v>
          </cell>
          <cell r="C1466" t="str">
            <v>ОРДЖОНИКИДЗЕ (МСK)</v>
          </cell>
          <cell r="D1466">
            <v>32203</v>
          </cell>
          <cell r="E1466">
            <v>37943</v>
          </cell>
          <cell r="F1466">
            <v>886</v>
          </cell>
          <cell r="H1466">
            <v>0</v>
          </cell>
          <cell r="I1466" t="str">
            <v>кап</v>
          </cell>
          <cell r="J1466">
            <v>38490</v>
          </cell>
        </row>
        <row r="1467">
          <cell r="A1467">
            <v>53700019</v>
          </cell>
          <cell r="B1467" t="str">
            <v>СЕРВИСБАЗА МУП</v>
          </cell>
          <cell r="C1467" t="str">
            <v>ОРДЖОНИКИДЗЕ (МСK)</v>
          </cell>
          <cell r="D1467">
            <v>32203</v>
          </cell>
          <cell r="F1467">
            <v>0</v>
          </cell>
          <cell r="H1467">
            <v>0</v>
          </cell>
          <cell r="I1467" t="str">
            <v>деп</v>
          </cell>
          <cell r="J1467">
            <v>36982</v>
          </cell>
        </row>
        <row r="1468">
          <cell r="A1468">
            <v>53700027</v>
          </cell>
          <cell r="B1468" t="str">
            <v>СЕРВИСБАЗА МУП</v>
          </cell>
          <cell r="C1468" t="str">
            <v>ОРДЖОНИКИДЗЕ (МСK)</v>
          </cell>
          <cell r="D1468">
            <v>32203</v>
          </cell>
          <cell r="F1468">
            <v>0</v>
          </cell>
          <cell r="H1468">
            <v>0</v>
          </cell>
          <cell r="I1468" t="str">
            <v>деп</v>
          </cell>
          <cell r="J1468">
            <v>36982</v>
          </cell>
        </row>
        <row r="1469">
          <cell r="A1469">
            <v>53702270</v>
          </cell>
          <cell r="B1469" t="str">
            <v>СЕРВИСБАЗА МУП</v>
          </cell>
          <cell r="C1469" t="str">
            <v>ОРДЖОНИКИДЗЕ (МСK)</v>
          </cell>
          <cell r="D1469">
            <v>34151</v>
          </cell>
          <cell r="E1469">
            <v>37697</v>
          </cell>
          <cell r="F1469">
            <v>886</v>
          </cell>
          <cell r="H1469">
            <v>0</v>
          </cell>
          <cell r="I1469" t="str">
            <v>деп</v>
          </cell>
          <cell r="J1469">
            <v>38247</v>
          </cell>
        </row>
        <row r="1470">
          <cell r="A1470">
            <v>53702288</v>
          </cell>
          <cell r="B1470" t="str">
            <v>СЕРВИСБАЗА МУП</v>
          </cell>
          <cell r="C1470" t="str">
            <v>ОРДЖОНИКИДЗЕ (МСK)</v>
          </cell>
          <cell r="D1470">
            <v>33970</v>
          </cell>
          <cell r="E1470">
            <v>37814</v>
          </cell>
          <cell r="F1470">
            <v>886</v>
          </cell>
          <cell r="H1470">
            <v>0</v>
          </cell>
          <cell r="I1470" t="str">
            <v>деп</v>
          </cell>
          <cell r="J1470">
            <v>38364</v>
          </cell>
        </row>
        <row r="1471">
          <cell r="A1471">
            <v>58720442</v>
          </cell>
          <cell r="B1471" t="str">
            <v>СЕРВИСБАЗА МУП</v>
          </cell>
          <cell r="C1471" t="str">
            <v>ОРДЖОНИКИДЗЕ (МСK)</v>
          </cell>
          <cell r="D1471">
            <v>34151</v>
          </cell>
          <cell r="E1471">
            <v>37697</v>
          </cell>
          <cell r="F1471">
            <v>886</v>
          </cell>
          <cell r="H1471">
            <v>0</v>
          </cell>
          <cell r="I1471" t="str">
            <v>деп</v>
          </cell>
          <cell r="J1471">
            <v>38247</v>
          </cell>
        </row>
        <row r="1472">
          <cell r="A1472">
            <v>58720459</v>
          </cell>
          <cell r="B1472" t="str">
            <v>СЕРВИСБАЗА МУП</v>
          </cell>
          <cell r="C1472" t="str">
            <v>ОРДЖОНИКИДЗЕ (МСK)</v>
          </cell>
          <cell r="D1472">
            <v>33970</v>
          </cell>
          <cell r="E1472">
            <v>37814</v>
          </cell>
          <cell r="F1472">
            <v>886</v>
          </cell>
          <cell r="H1472">
            <v>0</v>
          </cell>
          <cell r="I1472" t="str">
            <v>деп</v>
          </cell>
          <cell r="J1472">
            <v>38364</v>
          </cell>
        </row>
        <row r="1473">
          <cell r="A1473">
            <v>58720467</v>
          </cell>
          <cell r="B1473" t="str">
            <v>СЕРВИСБАЗА МУП</v>
          </cell>
          <cell r="C1473" t="str">
            <v>ОРДЖОНИКИДЗЕ (МСK)</v>
          </cell>
          <cell r="D1473">
            <v>33970</v>
          </cell>
          <cell r="E1473">
            <v>37814</v>
          </cell>
          <cell r="F1473">
            <v>886</v>
          </cell>
          <cell r="H1473">
            <v>0</v>
          </cell>
          <cell r="I1473" t="str">
            <v>деп</v>
          </cell>
          <cell r="J1473">
            <v>38364</v>
          </cell>
        </row>
        <row r="1474">
          <cell r="A1474">
            <v>58720475</v>
          </cell>
          <cell r="B1474" t="str">
            <v>СЕРВИСБАЗА МУП</v>
          </cell>
          <cell r="C1474" t="str">
            <v>ОРДЖОНИКИДЗЕ (МСK)</v>
          </cell>
          <cell r="D1474">
            <v>34151</v>
          </cell>
          <cell r="E1474">
            <v>37697</v>
          </cell>
          <cell r="F1474">
            <v>886</v>
          </cell>
          <cell r="H1474">
            <v>0</v>
          </cell>
          <cell r="I1474" t="str">
            <v>деп</v>
          </cell>
          <cell r="J1474">
            <v>38247</v>
          </cell>
        </row>
        <row r="1475">
          <cell r="A1475">
            <v>58720483</v>
          </cell>
          <cell r="B1475" t="str">
            <v>СЕРВИСБАЗА МУП</v>
          </cell>
          <cell r="C1475" t="str">
            <v>ОРДЖОНИКИДЗЕ (МСK)</v>
          </cell>
          <cell r="D1475">
            <v>34151</v>
          </cell>
          <cell r="E1475">
            <v>37697</v>
          </cell>
          <cell r="F1475">
            <v>886</v>
          </cell>
          <cell r="H1475">
            <v>0</v>
          </cell>
          <cell r="I1475" t="str">
            <v>деп</v>
          </cell>
          <cell r="J1475">
            <v>38247</v>
          </cell>
        </row>
        <row r="1476">
          <cell r="A1476">
            <v>58720509</v>
          </cell>
          <cell r="B1476" t="str">
            <v>СЕРВИСБАЗА МУП</v>
          </cell>
          <cell r="C1476" t="str">
            <v>ОРДЖОНИКИДЗЕ (МСK)</v>
          </cell>
          <cell r="D1476">
            <v>33970</v>
          </cell>
          <cell r="E1476">
            <v>37814</v>
          </cell>
          <cell r="F1476">
            <v>886</v>
          </cell>
          <cell r="H1476">
            <v>0</v>
          </cell>
          <cell r="I1476" t="str">
            <v>деп</v>
          </cell>
          <cell r="J1476">
            <v>38364</v>
          </cell>
        </row>
        <row r="1477">
          <cell r="A1477">
            <v>58720517</v>
          </cell>
          <cell r="B1477" t="str">
            <v>СЕРВИСБАЗА МУП</v>
          </cell>
          <cell r="C1477" t="str">
            <v>ОРДЖОНИКИДЗЕ (МСK)</v>
          </cell>
          <cell r="D1477">
            <v>34151</v>
          </cell>
          <cell r="E1477">
            <v>37697</v>
          </cell>
          <cell r="F1477">
            <v>886</v>
          </cell>
          <cell r="H1477">
            <v>0</v>
          </cell>
          <cell r="I1477" t="str">
            <v>деп</v>
          </cell>
          <cell r="J1477">
            <v>38247</v>
          </cell>
        </row>
        <row r="1478">
          <cell r="A1478">
            <v>58720525</v>
          </cell>
          <cell r="B1478" t="str">
            <v>СЕРВИСБАЗА МУП</v>
          </cell>
          <cell r="C1478" t="str">
            <v>ОРДЖОНИКИДЗЕ (МСK)</v>
          </cell>
          <cell r="D1478">
            <v>33970</v>
          </cell>
          <cell r="E1478">
            <v>37814</v>
          </cell>
          <cell r="F1478">
            <v>886</v>
          </cell>
          <cell r="H1478">
            <v>0</v>
          </cell>
          <cell r="I1478" t="str">
            <v>деп</v>
          </cell>
          <cell r="J1478">
            <v>38364</v>
          </cell>
        </row>
        <row r="1479">
          <cell r="A1479">
            <v>58741877</v>
          </cell>
          <cell r="B1479" t="str">
            <v>СЕРВИСБАЗА МУП</v>
          </cell>
          <cell r="C1479" t="str">
            <v>ОРДЖОНИКИДЗЕ (МСK)</v>
          </cell>
          <cell r="D1479">
            <v>32203</v>
          </cell>
          <cell r="E1479">
            <v>37943</v>
          </cell>
          <cell r="F1479">
            <v>886</v>
          </cell>
          <cell r="H1479">
            <v>0</v>
          </cell>
          <cell r="I1479" t="str">
            <v>кап</v>
          </cell>
          <cell r="J1479">
            <v>38490</v>
          </cell>
        </row>
        <row r="1480">
          <cell r="A1480">
            <v>58741885</v>
          </cell>
          <cell r="B1480" t="str">
            <v>СЕРВИСБАЗА МУП</v>
          </cell>
          <cell r="C1480" t="str">
            <v>ОРДЖОНИКИДЗЕ (МСK)</v>
          </cell>
          <cell r="D1480">
            <v>32203</v>
          </cell>
          <cell r="E1480">
            <v>37943</v>
          </cell>
          <cell r="F1480">
            <v>886</v>
          </cell>
          <cell r="H1480">
            <v>0</v>
          </cell>
          <cell r="I1480" t="str">
            <v>кап</v>
          </cell>
          <cell r="J1480">
            <v>38490</v>
          </cell>
        </row>
        <row r="1481">
          <cell r="A1481">
            <v>58741901</v>
          </cell>
          <cell r="B1481" t="str">
            <v>СЕРВИСБАЗА МУП</v>
          </cell>
          <cell r="C1481" t="str">
            <v>ОРДЖОНИКИДЗЕ (МСK)</v>
          </cell>
          <cell r="D1481">
            <v>32203</v>
          </cell>
          <cell r="E1481">
            <v>37943</v>
          </cell>
          <cell r="F1481">
            <v>886</v>
          </cell>
          <cell r="H1481">
            <v>0</v>
          </cell>
          <cell r="I1481" t="str">
            <v>кап</v>
          </cell>
          <cell r="J1481">
            <v>38490</v>
          </cell>
        </row>
        <row r="1482">
          <cell r="A1482">
            <v>58741919</v>
          </cell>
          <cell r="B1482" t="str">
            <v>СЕРВИСБАЗА МУП</v>
          </cell>
          <cell r="C1482" t="str">
            <v>ОРДЖОНИКИДЗЕ (МСK)</v>
          </cell>
          <cell r="D1482">
            <v>32203</v>
          </cell>
          <cell r="E1482">
            <v>37943</v>
          </cell>
          <cell r="F1482">
            <v>886</v>
          </cell>
          <cell r="H1482">
            <v>0</v>
          </cell>
          <cell r="I1482" t="str">
            <v>кап</v>
          </cell>
          <cell r="J1482">
            <v>38490</v>
          </cell>
        </row>
        <row r="1483">
          <cell r="A1483">
            <v>58741927</v>
          </cell>
          <cell r="B1483" t="str">
            <v>СЕРВИСБАЗА МУП</v>
          </cell>
          <cell r="C1483" t="str">
            <v>ОРДЖОНИКИДЗЕ (МСK)</v>
          </cell>
          <cell r="D1483">
            <v>32203</v>
          </cell>
          <cell r="F1483">
            <v>0</v>
          </cell>
          <cell r="H1483">
            <v>0</v>
          </cell>
          <cell r="I1483" t="str">
            <v>деп</v>
          </cell>
          <cell r="J1483">
            <v>33117</v>
          </cell>
        </row>
        <row r="1484">
          <cell r="A1484">
            <v>58741935</v>
          </cell>
          <cell r="B1484" t="str">
            <v>СЕРВИСБАЗА МУП</v>
          </cell>
          <cell r="C1484" t="str">
            <v>ОРДЖОНИКИДЗЕ (МСK)</v>
          </cell>
          <cell r="D1484">
            <v>32203</v>
          </cell>
          <cell r="F1484">
            <v>0</v>
          </cell>
          <cell r="H1484">
            <v>0</v>
          </cell>
          <cell r="I1484" t="str">
            <v>деп</v>
          </cell>
          <cell r="J1484">
            <v>33117</v>
          </cell>
        </row>
        <row r="1485">
          <cell r="A1485">
            <v>58741943</v>
          </cell>
          <cell r="B1485" t="str">
            <v>СЕРВИСБАЗА МУП</v>
          </cell>
          <cell r="C1485" t="str">
            <v>ОРДЖОНИКИДЗЕ (МСK)</v>
          </cell>
          <cell r="D1485">
            <v>32203</v>
          </cell>
          <cell r="F1485">
            <v>0</v>
          </cell>
          <cell r="H1485">
            <v>0</v>
          </cell>
          <cell r="I1485" t="str">
            <v>деп</v>
          </cell>
          <cell r="J1485">
            <v>33117</v>
          </cell>
        </row>
        <row r="1486">
          <cell r="A1486">
            <v>58741950</v>
          </cell>
          <cell r="B1486" t="str">
            <v>СЕРВИСБАЗА МУП</v>
          </cell>
          <cell r="C1486" t="str">
            <v>ОРДЖОНИКИДЗЕ (МСK)</v>
          </cell>
          <cell r="D1486">
            <v>32203</v>
          </cell>
          <cell r="F1486">
            <v>0</v>
          </cell>
          <cell r="H1486">
            <v>0</v>
          </cell>
          <cell r="I1486" t="str">
            <v>деп</v>
          </cell>
          <cell r="J1486">
            <v>33117</v>
          </cell>
        </row>
        <row r="1487">
          <cell r="A1487">
            <v>58741968</v>
          </cell>
          <cell r="B1487" t="str">
            <v>СЕРВИСБАЗА МУП</v>
          </cell>
          <cell r="C1487" t="str">
            <v>ОРДЖОНИКИДЗЕ (МСK)</v>
          </cell>
          <cell r="D1487">
            <v>32203</v>
          </cell>
          <cell r="F1487">
            <v>0</v>
          </cell>
          <cell r="H1487">
            <v>0</v>
          </cell>
          <cell r="I1487" t="str">
            <v>деп</v>
          </cell>
          <cell r="J1487">
            <v>33117</v>
          </cell>
        </row>
        <row r="1488">
          <cell r="A1488">
            <v>58741976</v>
          </cell>
          <cell r="B1488" t="str">
            <v>СЕРВИСБАЗА МУП</v>
          </cell>
          <cell r="C1488" t="str">
            <v>ОРДЖОНИКИДЗЕ (МСK)</v>
          </cell>
          <cell r="D1488">
            <v>32203</v>
          </cell>
          <cell r="F1488">
            <v>0</v>
          </cell>
          <cell r="H1488">
            <v>0</v>
          </cell>
          <cell r="I1488" t="str">
            <v>деп</v>
          </cell>
          <cell r="J1488">
            <v>33117</v>
          </cell>
        </row>
        <row r="1489">
          <cell r="A1489">
            <v>58741984</v>
          </cell>
          <cell r="B1489" t="str">
            <v>СЕРВИСБАЗА МУП</v>
          </cell>
          <cell r="C1489" t="str">
            <v>ОРДЖОНИКИДЗЕ (МСK)</v>
          </cell>
          <cell r="D1489">
            <v>32203</v>
          </cell>
          <cell r="F1489">
            <v>0</v>
          </cell>
          <cell r="H1489">
            <v>0</v>
          </cell>
          <cell r="I1489" t="str">
            <v>деп</v>
          </cell>
          <cell r="J1489">
            <v>33117</v>
          </cell>
        </row>
        <row r="1490">
          <cell r="A1490">
            <v>58742008</v>
          </cell>
          <cell r="B1490" t="str">
            <v>СЕРВИСБАЗА МУП</v>
          </cell>
          <cell r="C1490" t="str">
            <v>ОРДЖОНИКИДЗЕ (МСK)</v>
          </cell>
          <cell r="D1490">
            <v>32203</v>
          </cell>
          <cell r="F1490">
            <v>0</v>
          </cell>
          <cell r="H1490">
            <v>0</v>
          </cell>
          <cell r="I1490" t="str">
            <v>деп</v>
          </cell>
          <cell r="J1490">
            <v>33117</v>
          </cell>
        </row>
        <row r="1491">
          <cell r="B1491" t="str">
            <v>СЕРВИСБАЗА МУП Количество</v>
          </cell>
          <cell r="D1491">
            <v>25</v>
          </cell>
        </row>
        <row r="1492">
          <cell r="A1492">
            <v>58342403</v>
          </cell>
          <cell r="B1492" t="str">
            <v>СЕРОВЛЕСТОРГ</v>
          </cell>
          <cell r="C1492" t="str">
            <v>СЕРОВ        (СВР)</v>
          </cell>
          <cell r="D1492">
            <v>28615</v>
          </cell>
          <cell r="E1492">
            <v>37616</v>
          </cell>
          <cell r="F1492">
            <v>819</v>
          </cell>
          <cell r="G1492">
            <v>32143</v>
          </cell>
          <cell r="H1492">
            <v>557</v>
          </cell>
          <cell r="I1492" t="str">
            <v>деп</v>
          </cell>
          <cell r="J1492">
            <v>38164</v>
          </cell>
        </row>
        <row r="1493">
          <cell r="B1493" t="str">
            <v>СЕРОВЛЕСТОРГ Количество</v>
          </cell>
          <cell r="D1493">
            <v>1</v>
          </cell>
        </row>
        <row r="1494">
          <cell r="A1494">
            <v>53400636</v>
          </cell>
          <cell r="B1494" t="str">
            <v>СИБВНЕШТРАНС ТК</v>
          </cell>
          <cell r="C1494" t="str">
            <v>НОВОСИБ-ЗАП  (ЗСБ)</v>
          </cell>
          <cell r="D1494">
            <v>28839</v>
          </cell>
          <cell r="E1494">
            <v>37934</v>
          </cell>
          <cell r="F1494">
            <v>557</v>
          </cell>
          <cell r="G1494">
            <v>37363</v>
          </cell>
          <cell r="H1494">
            <v>840</v>
          </cell>
          <cell r="I1494" t="str">
            <v>деп</v>
          </cell>
          <cell r="J1494">
            <v>38481</v>
          </cell>
        </row>
        <row r="1495">
          <cell r="A1495">
            <v>53400768</v>
          </cell>
          <cell r="B1495" t="str">
            <v>СИБВНЕШТРАНС ТК</v>
          </cell>
          <cell r="C1495" t="str">
            <v>НОВОСИБ-ЗАП  (ЗСБ)</v>
          </cell>
          <cell r="D1495">
            <v>28839</v>
          </cell>
          <cell r="E1495">
            <v>37978</v>
          </cell>
          <cell r="F1495">
            <v>557</v>
          </cell>
          <cell r="G1495">
            <v>37399</v>
          </cell>
          <cell r="H1495">
            <v>840</v>
          </cell>
          <cell r="I1495" t="str">
            <v>деп</v>
          </cell>
          <cell r="J1495">
            <v>38526</v>
          </cell>
        </row>
        <row r="1496">
          <cell r="A1496">
            <v>58731969</v>
          </cell>
          <cell r="B1496" t="str">
            <v>СИБВНЕШТРАНС ТК</v>
          </cell>
          <cell r="C1496" t="str">
            <v>НОВОСИБ-ЗАП  (ЗСБ)</v>
          </cell>
          <cell r="D1496">
            <v>28839</v>
          </cell>
          <cell r="E1496">
            <v>37930</v>
          </cell>
          <cell r="F1496">
            <v>557</v>
          </cell>
          <cell r="G1496">
            <v>37363</v>
          </cell>
          <cell r="H1496">
            <v>840</v>
          </cell>
          <cell r="I1496" t="str">
            <v>деп</v>
          </cell>
          <cell r="J1496">
            <v>38477</v>
          </cell>
        </row>
        <row r="1497">
          <cell r="A1497">
            <v>58731977</v>
          </cell>
          <cell r="B1497" t="str">
            <v>СИБВНЕШТРАНС ТК</v>
          </cell>
          <cell r="C1497" t="str">
            <v>НОВОСИБ-ЗАП  (ЗСБ)</v>
          </cell>
          <cell r="D1497">
            <v>28839</v>
          </cell>
          <cell r="E1497">
            <v>37930</v>
          </cell>
          <cell r="F1497">
            <v>557</v>
          </cell>
          <cell r="G1497">
            <v>37363</v>
          </cell>
          <cell r="H1497">
            <v>840</v>
          </cell>
          <cell r="I1497" t="str">
            <v>деп</v>
          </cell>
          <cell r="J1497">
            <v>38477</v>
          </cell>
        </row>
        <row r="1498">
          <cell r="A1498">
            <v>58731985</v>
          </cell>
          <cell r="B1498" t="str">
            <v>СИБВНЕШТРАНС ТК</v>
          </cell>
          <cell r="C1498" t="str">
            <v>НОВОСИБ-ЗАП  (ЗСБ)</v>
          </cell>
          <cell r="D1498">
            <v>28839</v>
          </cell>
          <cell r="E1498">
            <v>37933</v>
          </cell>
          <cell r="F1498">
            <v>557</v>
          </cell>
          <cell r="G1498">
            <v>37363</v>
          </cell>
          <cell r="H1498">
            <v>840</v>
          </cell>
          <cell r="I1498" t="str">
            <v>деп</v>
          </cell>
          <cell r="J1498">
            <v>38480</v>
          </cell>
        </row>
        <row r="1499">
          <cell r="A1499">
            <v>58731993</v>
          </cell>
          <cell r="B1499" t="str">
            <v>СИБВНЕШТРАНС ТК</v>
          </cell>
          <cell r="C1499" t="str">
            <v>НОВОСИБ-ЗАП  (ЗСБ)</v>
          </cell>
          <cell r="D1499">
            <v>28839</v>
          </cell>
          <cell r="E1499">
            <v>37929</v>
          </cell>
          <cell r="F1499">
            <v>557</v>
          </cell>
          <cell r="G1499">
            <v>37363</v>
          </cell>
          <cell r="H1499">
            <v>840</v>
          </cell>
          <cell r="I1499" t="str">
            <v>деп</v>
          </cell>
          <cell r="J1499">
            <v>38476</v>
          </cell>
        </row>
        <row r="1500">
          <cell r="A1500">
            <v>58732405</v>
          </cell>
          <cell r="B1500" t="str">
            <v>СИБВНЕШТРАНС ТК</v>
          </cell>
          <cell r="C1500" t="str">
            <v>НОВОСИБ-ЗАП  (ЗСБ)</v>
          </cell>
          <cell r="D1500">
            <v>28839</v>
          </cell>
          <cell r="E1500">
            <v>37978</v>
          </cell>
          <cell r="F1500">
            <v>557</v>
          </cell>
          <cell r="G1500">
            <v>37399</v>
          </cell>
          <cell r="H1500">
            <v>840</v>
          </cell>
          <cell r="I1500" t="str">
            <v>деп</v>
          </cell>
          <cell r="J1500">
            <v>38526</v>
          </cell>
        </row>
        <row r="1501">
          <cell r="A1501">
            <v>58732413</v>
          </cell>
          <cell r="B1501" t="str">
            <v>СИБВНЕШТРАНС ТК</v>
          </cell>
          <cell r="C1501" t="str">
            <v>НОВОСИБ-ЗАП  (ЗСБ)</v>
          </cell>
          <cell r="D1501">
            <v>28839</v>
          </cell>
          <cell r="E1501">
            <v>37978</v>
          </cell>
          <cell r="F1501">
            <v>557</v>
          </cell>
          <cell r="G1501">
            <v>37399</v>
          </cell>
          <cell r="H1501">
            <v>840</v>
          </cell>
          <cell r="I1501" t="str">
            <v>деп</v>
          </cell>
          <cell r="J1501">
            <v>38526</v>
          </cell>
        </row>
        <row r="1502">
          <cell r="A1502">
            <v>58732421</v>
          </cell>
          <cell r="B1502" t="str">
            <v>СИБВНЕШТРАНС ТК</v>
          </cell>
          <cell r="C1502" t="str">
            <v>НОВОСИБ-ЗАП  (ЗСБ)</v>
          </cell>
          <cell r="D1502">
            <v>28839</v>
          </cell>
          <cell r="E1502">
            <v>37978</v>
          </cell>
          <cell r="F1502">
            <v>557</v>
          </cell>
          <cell r="G1502">
            <v>37399</v>
          </cell>
          <cell r="H1502">
            <v>840</v>
          </cell>
          <cell r="I1502" t="str">
            <v>деп</v>
          </cell>
          <cell r="J1502">
            <v>38526</v>
          </cell>
        </row>
        <row r="1503">
          <cell r="A1503">
            <v>58732439</v>
          </cell>
          <cell r="B1503" t="str">
            <v>СИБВНЕШТРАНС ТК</v>
          </cell>
          <cell r="C1503" t="str">
            <v>НОВОСИБ-ЗАП  (ЗСБ)</v>
          </cell>
          <cell r="D1503">
            <v>28839</v>
          </cell>
          <cell r="E1503">
            <v>37978</v>
          </cell>
          <cell r="F1503">
            <v>557</v>
          </cell>
          <cell r="G1503">
            <v>37399</v>
          </cell>
          <cell r="H1503">
            <v>840</v>
          </cell>
          <cell r="I1503" t="str">
            <v>деп</v>
          </cell>
          <cell r="J1503">
            <v>38526</v>
          </cell>
        </row>
        <row r="1504">
          <cell r="B1504" t="str">
            <v>СИБВНЕШТРАНС ТК Количество</v>
          </cell>
          <cell r="D1504">
            <v>10</v>
          </cell>
        </row>
        <row r="1505">
          <cell r="A1505">
            <v>53702064</v>
          </cell>
          <cell r="B1505" t="str">
            <v>СИБНЕФТЕПРОВОД</v>
          </cell>
          <cell r="C1505" t="str">
            <v>УСТЬЕ-АХА    (СВР)</v>
          </cell>
          <cell r="D1505">
            <v>33312</v>
          </cell>
          <cell r="F1505">
            <v>0</v>
          </cell>
          <cell r="H1505">
            <v>0</v>
          </cell>
        </row>
        <row r="1506">
          <cell r="A1506">
            <v>58339649</v>
          </cell>
          <cell r="B1506" t="str">
            <v>СИБНЕФТЕПРОВОД</v>
          </cell>
          <cell r="C1506" t="str">
            <v>УСТЬЕ-АХА    (СВР)</v>
          </cell>
          <cell r="D1506">
            <v>33739</v>
          </cell>
          <cell r="F1506">
            <v>0</v>
          </cell>
          <cell r="H1506">
            <v>0</v>
          </cell>
        </row>
        <row r="1507">
          <cell r="A1507">
            <v>58339656</v>
          </cell>
          <cell r="B1507" t="str">
            <v>СИБНЕФТЕПРОВОД</v>
          </cell>
          <cell r="C1507" t="str">
            <v>УСТЬЕ-АХА    (СВР)</v>
          </cell>
          <cell r="D1507">
            <v>33739</v>
          </cell>
          <cell r="F1507">
            <v>0</v>
          </cell>
          <cell r="H1507">
            <v>0</v>
          </cell>
        </row>
        <row r="1508">
          <cell r="A1508">
            <v>58339664</v>
          </cell>
          <cell r="B1508" t="str">
            <v>СИБНЕФТЕПРОВОД</v>
          </cell>
          <cell r="C1508" t="str">
            <v>УСТЬЕ-АХА    (СВР)</v>
          </cell>
          <cell r="D1508">
            <v>33739</v>
          </cell>
          <cell r="F1508">
            <v>0</v>
          </cell>
          <cell r="H1508">
            <v>0</v>
          </cell>
        </row>
        <row r="1509">
          <cell r="A1509">
            <v>58339672</v>
          </cell>
          <cell r="B1509" t="str">
            <v>СИБНЕФТЕПРОВОД</v>
          </cell>
          <cell r="C1509" t="str">
            <v>УСТЬЕ-АХА    (СВР)</v>
          </cell>
          <cell r="D1509">
            <v>33739</v>
          </cell>
          <cell r="F1509">
            <v>0</v>
          </cell>
          <cell r="H1509">
            <v>0</v>
          </cell>
        </row>
        <row r="1510">
          <cell r="B1510" t="str">
            <v>СИБНЕФТЕПРОВОД Количество</v>
          </cell>
          <cell r="D1510">
            <v>5</v>
          </cell>
        </row>
        <row r="1511">
          <cell r="A1511">
            <v>53702528</v>
          </cell>
          <cell r="B1511" t="str">
            <v>СИКОНКО</v>
          </cell>
          <cell r="C1511" t="str">
            <v>ЧЕРНЫЙ МЫС   (СВР)</v>
          </cell>
          <cell r="D1511">
            <v>34148</v>
          </cell>
          <cell r="E1511">
            <v>36505</v>
          </cell>
          <cell r="F1511">
            <v>579</v>
          </cell>
          <cell r="I1511" t="str">
            <v>деп</v>
          </cell>
          <cell r="J1511">
            <v>37601</v>
          </cell>
        </row>
        <row r="1512">
          <cell r="A1512">
            <v>53702817</v>
          </cell>
          <cell r="B1512" t="str">
            <v>СИКОНКО</v>
          </cell>
          <cell r="C1512" t="str">
            <v>СУРГУТ       (СВР)</v>
          </cell>
          <cell r="D1512">
            <v>34300</v>
          </cell>
          <cell r="E1512">
            <v>37485</v>
          </cell>
          <cell r="F1512">
            <v>616</v>
          </cell>
          <cell r="I1512" t="str">
            <v>деп</v>
          </cell>
          <cell r="J1512">
            <v>38581</v>
          </cell>
        </row>
        <row r="1513">
          <cell r="A1513">
            <v>58721150</v>
          </cell>
          <cell r="B1513" t="str">
            <v>СИКОНКО</v>
          </cell>
          <cell r="C1513" t="str">
            <v>СУРГУТ       (СВР)</v>
          </cell>
          <cell r="D1513">
            <v>34148</v>
          </cell>
          <cell r="E1513">
            <v>36505</v>
          </cell>
          <cell r="F1513">
            <v>579</v>
          </cell>
          <cell r="I1513" t="str">
            <v>деп</v>
          </cell>
          <cell r="J1513">
            <v>37236</v>
          </cell>
        </row>
        <row r="1514">
          <cell r="A1514">
            <v>58721168</v>
          </cell>
          <cell r="B1514" t="str">
            <v>СИКОНКО</v>
          </cell>
          <cell r="C1514" t="str">
            <v>СУРГУТ       (СВР)</v>
          </cell>
          <cell r="D1514">
            <v>34148</v>
          </cell>
          <cell r="E1514">
            <v>36505</v>
          </cell>
          <cell r="F1514">
            <v>579</v>
          </cell>
          <cell r="I1514" t="str">
            <v>деп</v>
          </cell>
          <cell r="J1514">
            <v>37236</v>
          </cell>
        </row>
        <row r="1515">
          <cell r="A1515">
            <v>58721176</v>
          </cell>
          <cell r="B1515" t="str">
            <v>СИКОНКО</v>
          </cell>
          <cell r="C1515" t="str">
            <v>СУРГУТ       (СВР)</v>
          </cell>
          <cell r="D1515">
            <v>34148</v>
          </cell>
          <cell r="E1515">
            <v>36503</v>
          </cell>
          <cell r="F1515">
            <v>579</v>
          </cell>
          <cell r="I1515" t="str">
            <v>деп</v>
          </cell>
          <cell r="J1515">
            <v>37234</v>
          </cell>
        </row>
        <row r="1516">
          <cell r="A1516">
            <v>58721184</v>
          </cell>
          <cell r="B1516" t="str">
            <v>СИКОНКО</v>
          </cell>
          <cell r="C1516" t="str">
            <v>СУРГУТ       (СВР)</v>
          </cell>
          <cell r="D1516">
            <v>34148</v>
          </cell>
          <cell r="E1516">
            <v>36505</v>
          </cell>
          <cell r="F1516">
            <v>579</v>
          </cell>
          <cell r="I1516" t="str">
            <v>деп</v>
          </cell>
          <cell r="J1516">
            <v>37236</v>
          </cell>
        </row>
        <row r="1517">
          <cell r="A1517">
            <v>58721838</v>
          </cell>
          <cell r="B1517" t="str">
            <v>СИКОНКО</v>
          </cell>
          <cell r="C1517" t="str">
            <v>СУРГУТ       (СВР)</v>
          </cell>
          <cell r="D1517">
            <v>34300</v>
          </cell>
          <cell r="E1517">
            <v>37481</v>
          </cell>
          <cell r="F1517">
            <v>616</v>
          </cell>
          <cell r="I1517" t="str">
            <v>деп</v>
          </cell>
          <cell r="J1517">
            <v>38212</v>
          </cell>
        </row>
        <row r="1518">
          <cell r="A1518">
            <v>58721846</v>
          </cell>
          <cell r="B1518" t="str">
            <v>СИКОНКО</v>
          </cell>
          <cell r="C1518" t="str">
            <v>СУРГУТ       (СВР)</v>
          </cell>
          <cell r="D1518">
            <v>34300</v>
          </cell>
          <cell r="E1518">
            <v>37482</v>
          </cell>
          <cell r="F1518">
            <v>616</v>
          </cell>
          <cell r="I1518" t="str">
            <v>деп</v>
          </cell>
          <cell r="J1518">
            <v>38213</v>
          </cell>
        </row>
        <row r="1519">
          <cell r="A1519">
            <v>58721853</v>
          </cell>
          <cell r="B1519" t="str">
            <v>СИКОНКО</v>
          </cell>
          <cell r="C1519" t="str">
            <v>СУРГУТ       (СВР)</v>
          </cell>
          <cell r="D1519">
            <v>34300</v>
          </cell>
          <cell r="E1519">
            <v>37481</v>
          </cell>
          <cell r="F1519">
            <v>616</v>
          </cell>
          <cell r="I1519" t="str">
            <v>деп</v>
          </cell>
          <cell r="J1519">
            <v>38212</v>
          </cell>
        </row>
        <row r="1520">
          <cell r="A1520">
            <v>58721861</v>
          </cell>
          <cell r="B1520" t="str">
            <v>СИКОНКО</v>
          </cell>
          <cell r="C1520" t="str">
            <v>СУРГУТ       (СВР)</v>
          </cell>
          <cell r="D1520">
            <v>34148</v>
          </cell>
          <cell r="E1520">
            <v>37481</v>
          </cell>
          <cell r="F1520">
            <v>616</v>
          </cell>
          <cell r="I1520" t="str">
            <v>деп</v>
          </cell>
          <cell r="J1520">
            <v>38212</v>
          </cell>
        </row>
        <row r="1521">
          <cell r="B1521" t="str">
            <v>СИКОНКО Количество</v>
          </cell>
          <cell r="D1521">
            <v>10</v>
          </cell>
        </row>
        <row r="1522">
          <cell r="A1522">
            <v>53702247</v>
          </cell>
          <cell r="B1522" t="str">
            <v>СЛАВТЭК СПМ</v>
          </cell>
          <cell r="C1522" t="str">
            <v>НИЖНЕВАРТ. 1 (СВР)</v>
          </cell>
          <cell r="D1522">
            <v>33817</v>
          </cell>
          <cell r="E1522">
            <v>37741</v>
          </cell>
          <cell r="F1522">
            <v>819</v>
          </cell>
          <cell r="H1522">
            <v>0</v>
          </cell>
          <cell r="I1522" t="str">
            <v>кап</v>
          </cell>
          <cell r="J1522">
            <v>38837</v>
          </cell>
        </row>
        <row r="1523">
          <cell r="A1523">
            <v>58720335</v>
          </cell>
          <cell r="B1523" t="str">
            <v>СЛАВТЭК СПМ</v>
          </cell>
          <cell r="C1523" t="str">
            <v>НИЖНЕВАРТ. 1 (СВР)</v>
          </cell>
          <cell r="D1523">
            <v>33451</v>
          </cell>
          <cell r="E1523">
            <v>37741</v>
          </cell>
          <cell r="F1523">
            <v>819</v>
          </cell>
          <cell r="H1523">
            <v>0</v>
          </cell>
          <cell r="I1523" t="str">
            <v>деп</v>
          </cell>
          <cell r="J1523">
            <v>38472</v>
          </cell>
        </row>
        <row r="1524">
          <cell r="A1524">
            <v>58720343</v>
          </cell>
          <cell r="B1524" t="str">
            <v>СЛАВТЭК СПМ</v>
          </cell>
          <cell r="C1524" t="str">
            <v>НИЖНЕВАРТ. 1 (СВР)</v>
          </cell>
          <cell r="D1524">
            <v>33451</v>
          </cell>
          <cell r="E1524">
            <v>37741</v>
          </cell>
          <cell r="F1524">
            <v>819</v>
          </cell>
          <cell r="H1524">
            <v>0</v>
          </cell>
          <cell r="I1524" t="str">
            <v>деп</v>
          </cell>
          <cell r="J1524">
            <v>38472</v>
          </cell>
        </row>
        <row r="1525">
          <cell r="A1525">
            <v>58720350</v>
          </cell>
          <cell r="B1525" t="str">
            <v>СЛАВТЭК СПМ</v>
          </cell>
          <cell r="C1525" t="str">
            <v>НИЖНЕВАРТ. 1 (СВР)</v>
          </cell>
          <cell r="D1525">
            <v>33451</v>
          </cell>
          <cell r="E1525">
            <v>37741</v>
          </cell>
          <cell r="F1525">
            <v>819</v>
          </cell>
          <cell r="H1525">
            <v>0</v>
          </cell>
          <cell r="I1525" t="str">
            <v>деп</v>
          </cell>
          <cell r="J1525">
            <v>38472</v>
          </cell>
        </row>
        <row r="1526">
          <cell r="A1526">
            <v>58720368</v>
          </cell>
          <cell r="B1526" t="str">
            <v>СЛАВТЭК СПМ</v>
          </cell>
          <cell r="C1526" t="str">
            <v>НИЖНЕВАРТ. 1 (СВР)</v>
          </cell>
          <cell r="D1526">
            <v>33451</v>
          </cell>
          <cell r="E1526">
            <v>37741</v>
          </cell>
          <cell r="F1526">
            <v>819</v>
          </cell>
          <cell r="H1526">
            <v>0</v>
          </cell>
          <cell r="I1526" t="str">
            <v>деп</v>
          </cell>
          <cell r="J1526">
            <v>38472</v>
          </cell>
        </row>
        <row r="1527">
          <cell r="B1527" t="str">
            <v>СЛАВТЭК СПМ Количество</v>
          </cell>
          <cell r="D1527">
            <v>5</v>
          </cell>
        </row>
        <row r="1528">
          <cell r="A1528">
            <v>58342452</v>
          </cell>
          <cell r="B1528" t="str">
            <v>СОЛЬВЫЧЕГОД.ТПП ГУДП ДЦРС</v>
          </cell>
          <cell r="C1528" t="str">
            <v>КОТЛАС-ЮЖНЫЙ (СЕВ)</v>
          </cell>
          <cell r="D1528">
            <v>31017</v>
          </cell>
          <cell r="E1528">
            <v>36055</v>
          </cell>
          <cell r="F1528">
            <v>727</v>
          </cell>
          <cell r="H1528">
            <v>0</v>
          </cell>
          <cell r="I1528" t="str">
            <v>кап</v>
          </cell>
          <cell r="J1528">
            <v>36602</v>
          </cell>
        </row>
        <row r="1529">
          <cell r="B1529" t="str">
            <v>СОЛЬВЫЧЕГОД.ТПП ГУДП ДЦРС Количество</v>
          </cell>
          <cell r="D1529">
            <v>1</v>
          </cell>
        </row>
        <row r="1530">
          <cell r="A1530">
            <v>53402103</v>
          </cell>
          <cell r="B1530" t="str">
            <v>СОЮЗ-ГРАНИТ</v>
          </cell>
          <cell r="C1530" t="str">
            <v>ТОРБИНО      (ОКТ)</v>
          </cell>
          <cell r="D1530">
            <v>30012</v>
          </cell>
          <cell r="F1530">
            <v>0</v>
          </cell>
          <cell r="G1530">
            <v>37922</v>
          </cell>
          <cell r="H1530">
            <v>321</v>
          </cell>
          <cell r="I1530" t="str">
            <v>деп</v>
          </cell>
          <cell r="J1530">
            <v>38653</v>
          </cell>
        </row>
        <row r="1531">
          <cell r="B1531" t="str">
            <v>СОЮЗ-ГРАНИТ Количество</v>
          </cell>
          <cell r="D1531">
            <v>1</v>
          </cell>
        </row>
        <row r="1532">
          <cell r="A1532">
            <v>58741109</v>
          </cell>
          <cell r="B1532" t="str">
            <v>СОЮЗТРАНСГРУПП ТРАНСП.КОМП</v>
          </cell>
          <cell r="C1532" t="str">
            <v>УССУРИЙСК    (ДВС)</v>
          </cell>
          <cell r="D1532">
            <v>33390</v>
          </cell>
          <cell r="E1532">
            <v>37793</v>
          </cell>
          <cell r="F1532">
            <v>163</v>
          </cell>
          <cell r="H1532">
            <v>0</v>
          </cell>
          <cell r="I1532" t="str">
            <v>деп</v>
          </cell>
          <cell r="J1532">
            <v>38342</v>
          </cell>
        </row>
        <row r="1533">
          <cell r="B1533" t="str">
            <v>СОЮЗТРАНСГРУПП ТРАНСП.КОМП Количество</v>
          </cell>
          <cell r="D1533">
            <v>1</v>
          </cell>
        </row>
        <row r="1534">
          <cell r="A1534">
            <v>53701884</v>
          </cell>
          <cell r="B1534" t="str">
            <v>С-ПЕТЕРБУРГСК.ТРАНСП.КОМП.</v>
          </cell>
          <cell r="C1534" t="str">
            <v>ЗЕЛЕНОГОРСК  (ОКТ)</v>
          </cell>
          <cell r="D1534">
            <v>33887</v>
          </cell>
          <cell r="E1534">
            <v>35154</v>
          </cell>
          <cell r="F1534">
            <v>0</v>
          </cell>
          <cell r="G1534">
            <v>37680</v>
          </cell>
          <cell r="H1534">
            <v>461</v>
          </cell>
          <cell r="I1534" t="str">
            <v>деп</v>
          </cell>
          <cell r="J1534">
            <v>38776</v>
          </cell>
        </row>
        <row r="1535">
          <cell r="A1535">
            <v>53706875</v>
          </cell>
          <cell r="B1535" t="str">
            <v>С-ПЕТЕРБУРГСК.ТРАНСП.КОМП.</v>
          </cell>
          <cell r="C1535" t="str">
            <v>ЗЕЛЕНОГОРСК  (ОКТ)</v>
          </cell>
          <cell r="D1535">
            <v>32509</v>
          </cell>
          <cell r="E1535">
            <v>37574</v>
          </cell>
          <cell r="F1535">
            <v>609</v>
          </cell>
          <cell r="H1535">
            <v>0</v>
          </cell>
          <cell r="I1535" t="str">
            <v>деп</v>
          </cell>
          <cell r="J1535">
            <v>38305</v>
          </cell>
        </row>
        <row r="1536">
          <cell r="B1536" t="str">
            <v>С-ПЕТЕРБУРГСК.ТРАНСП.КОМП. Количество</v>
          </cell>
          <cell r="D1536">
            <v>2</v>
          </cell>
        </row>
        <row r="1537">
          <cell r="A1537">
            <v>53701264</v>
          </cell>
          <cell r="B1537" t="str">
            <v>СРЕДУРАЛМЕДЬЗАВОД</v>
          </cell>
          <cell r="C1537" t="str">
            <v>РЕВДА        (СВР)</v>
          </cell>
          <cell r="D1537">
            <v>33409</v>
          </cell>
          <cell r="E1537">
            <v>37577</v>
          </cell>
          <cell r="F1537">
            <v>579</v>
          </cell>
          <cell r="I1537" t="str">
            <v>кап</v>
          </cell>
          <cell r="J1537">
            <v>38673</v>
          </cell>
        </row>
        <row r="1538">
          <cell r="A1538">
            <v>58337908</v>
          </cell>
          <cell r="B1538" t="str">
            <v>СРЕДУРАЛМЕДЬЗАВОД</v>
          </cell>
          <cell r="C1538" t="str">
            <v>РЕВДА        (СВР)</v>
          </cell>
          <cell r="D1538">
            <v>33509</v>
          </cell>
          <cell r="E1538">
            <v>37577</v>
          </cell>
          <cell r="F1538">
            <v>579</v>
          </cell>
          <cell r="I1538" t="str">
            <v>деп</v>
          </cell>
          <cell r="J1538">
            <v>38308</v>
          </cell>
        </row>
        <row r="1539">
          <cell r="A1539">
            <v>58337916</v>
          </cell>
          <cell r="B1539" t="str">
            <v>СРЕДУРАЛМЕДЬЗАВОД</v>
          </cell>
          <cell r="C1539" t="str">
            <v>РЕВДА        (СВР)</v>
          </cell>
          <cell r="D1539">
            <v>33509</v>
          </cell>
          <cell r="E1539">
            <v>37577</v>
          </cell>
          <cell r="F1539">
            <v>579</v>
          </cell>
          <cell r="I1539" t="str">
            <v>деп</v>
          </cell>
          <cell r="J1539">
            <v>38308</v>
          </cell>
        </row>
        <row r="1540">
          <cell r="A1540">
            <v>58337924</v>
          </cell>
          <cell r="B1540" t="str">
            <v>СРЕДУРАЛМЕДЬЗАВОД</v>
          </cell>
          <cell r="C1540" t="str">
            <v>РЕВДА        (СВР)</v>
          </cell>
          <cell r="D1540">
            <v>33509</v>
          </cell>
          <cell r="E1540">
            <v>37577</v>
          </cell>
          <cell r="F1540">
            <v>579</v>
          </cell>
          <cell r="I1540" t="str">
            <v>деп</v>
          </cell>
          <cell r="J1540">
            <v>38308</v>
          </cell>
        </row>
        <row r="1541">
          <cell r="A1541">
            <v>58337932</v>
          </cell>
          <cell r="B1541" t="str">
            <v>СРЕДУРАЛМЕДЬЗАВОД</v>
          </cell>
          <cell r="C1541" t="str">
            <v>РЕВДА        (СВР)</v>
          </cell>
          <cell r="D1541">
            <v>33509</v>
          </cell>
          <cell r="E1541">
            <v>37577</v>
          </cell>
          <cell r="F1541">
            <v>579</v>
          </cell>
          <cell r="I1541" t="str">
            <v>деп</v>
          </cell>
          <cell r="J1541">
            <v>38308</v>
          </cell>
        </row>
        <row r="1542">
          <cell r="B1542" t="str">
            <v>СРЕДУРАЛМЕДЬЗАВОД Количество</v>
          </cell>
          <cell r="D1542">
            <v>5</v>
          </cell>
        </row>
        <row r="1543">
          <cell r="A1543">
            <v>53702346</v>
          </cell>
          <cell r="B1543" t="str">
            <v>СУРГУТГАЗПРОМ ЦБПТОИК</v>
          </cell>
          <cell r="C1543" t="str">
            <v>ЧЕРНЫЙ МЫС   (СВР)</v>
          </cell>
          <cell r="D1543">
            <v>34029</v>
          </cell>
          <cell r="E1543">
            <v>37831</v>
          </cell>
          <cell r="F1543">
            <v>819</v>
          </cell>
          <cell r="H1543">
            <v>0</v>
          </cell>
          <cell r="I1543" t="str">
            <v>деп</v>
          </cell>
          <cell r="J1543">
            <v>38381</v>
          </cell>
        </row>
        <row r="1544">
          <cell r="A1544">
            <v>58720624</v>
          </cell>
          <cell r="B1544" t="str">
            <v>СУРГУТГАЗПРОМ ЦБПТОИК</v>
          </cell>
          <cell r="C1544" t="str">
            <v>ЧЕРНЫЙ МЫС   (СВР)</v>
          </cell>
          <cell r="D1544">
            <v>33970</v>
          </cell>
          <cell r="E1544">
            <v>37831</v>
          </cell>
          <cell r="F1544">
            <v>819</v>
          </cell>
          <cell r="H1544">
            <v>0</v>
          </cell>
          <cell r="I1544" t="str">
            <v>деп</v>
          </cell>
          <cell r="J1544">
            <v>38381</v>
          </cell>
        </row>
        <row r="1545">
          <cell r="A1545">
            <v>58720632</v>
          </cell>
          <cell r="B1545" t="str">
            <v>СУРГУТГАЗПРОМ ЦБПТОИК</v>
          </cell>
          <cell r="C1545" t="str">
            <v>ЧЕРНЫЙ МЫС   (СВР)</v>
          </cell>
          <cell r="D1545">
            <v>33970</v>
          </cell>
          <cell r="E1545">
            <v>37831</v>
          </cell>
          <cell r="F1545">
            <v>819</v>
          </cell>
          <cell r="H1545">
            <v>0</v>
          </cell>
          <cell r="I1545" t="str">
            <v>деп</v>
          </cell>
          <cell r="J1545">
            <v>38381</v>
          </cell>
        </row>
        <row r="1546">
          <cell r="A1546">
            <v>58720640</v>
          </cell>
          <cell r="B1546" t="str">
            <v>СУРГУТГАЗПРОМ ЦБПТОИК</v>
          </cell>
          <cell r="C1546" t="str">
            <v>ЧЕРНЫЙ МЫС   (СВР)</v>
          </cell>
          <cell r="D1546">
            <v>33970</v>
          </cell>
          <cell r="E1546">
            <v>37831</v>
          </cell>
          <cell r="F1546">
            <v>819</v>
          </cell>
          <cell r="H1546">
            <v>0</v>
          </cell>
          <cell r="I1546" t="str">
            <v>деп</v>
          </cell>
          <cell r="J1546">
            <v>38381</v>
          </cell>
        </row>
        <row r="1547">
          <cell r="A1547">
            <v>58720657</v>
          </cell>
          <cell r="B1547" t="str">
            <v>СУРГУТГАЗПРОМ ЦБПТОИК</v>
          </cell>
          <cell r="C1547" t="str">
            <v>ЧЕРНЫЙ МЫС   (СВР)</v>
          </cell>
          <cell r="D1547">
            <v>33970</v>
          </cell>
          <cell r="E1547">
            <v>37831</v>
          </cell>
          <cell r="F1547">
            <v>819</v>
          </cell>
          <cell r="H1547">
            <v>0</v>
          </cell>
          <cell r="I1547" t="str">
            <v>деп</v>
          </cell>
          <cell r="J1547">
            <v>38381</v>
          </cell>
        </row>
        <row r="1548">
          <cell r="B1548" t="str">
            <v>СУРГУТГАЗПРОМ ЦБПТОИК Количество</v>
          </cell>
          <cell r="D1548">
            <v>5</v>
          </cell>
        </row>
        <row r="1549">
          <cell r="A1549">
            <v>53702452</v>
          </cell>
          <cell r="B1549" t="str">
            <v>СУРКУЛ</v>
          </cell>
          <cell r="C1549" t="str">
            <v>СУРГУТ       (СВР)</v>
          </cell>
          <cell r="D1549">
            <v>34099</v>
          </cell>
          <cell r="E1549">
            <v>37860</v>
          </cell>
          <cell r="F1549">
            <v>616</v>
          </cell>
          <cell r="H1549">
            <v>0</v>
          </cell>
          <cell r="I1549" t="str">
            <v>кап</v>
          </cell>
          <cell r="J1549">
            <v>38956</v>
          </cell>
        </row>
        <row r="1550">
          <cell r="A1550">
            <v>58720889</v>
          </cell>
          <cell r="B1550" t="str">
            <v>СУРКУЛ</v>
          </cell>
          <cell r="C1550" t="str">
            <v>СУРГУТ       (СВР)</v>
          </cell>
          <cell r="D1550">
            <v>33970</v>
          </cell>
          <cell r="E1550">
            <v>37860</v>
          </cell>
          <cell r="F1550">
            <v>616</v>
          </cell>
          <cell r="H1550">
            <v>0</v>
          </cell>
          <cell r="I1550" t="str">
            <v>деп</v>
          </cell>
          <cell r="J1550">
            <v>38287</v>
          </cell>
        </row>
        <row r="1551">
          <cell r="A1551">
            <v>58720905</v>
          </cell>
          <cell r="B1551" t="str">
            <v>СУРКУЛ</v>
          </cell>
          <cell r="C1551" t="str">
            <v>СУРГУТ       (СВР)</v>
          </cell>
          <cell r="D1551">
            <v>34099</v>
          </cell>
          <cell r="E1551">
            <v>37860</v>
          </cell>
          <cell r="F1551">
            <v>616</v>
          </cell>
          <cell r="H1551">
            <v>0</v>
          </cell>
          <cell r="I1551" t="str">
            <v>деп</v>
          </cell>
          <cell r="J1551">
            <v>38287</v>
          </cell>
        </row>
        <row r="1552">
          <cell r="A1552">
            <v>58720913</v>
          </cell>
          <cell r="B1552" t="str">
            <v>СУРКУЛ</v>
          </cell>
          <cell r="C1552" t="str">
            <v>СУРГУТ       (СВР)</v>
          </cell>
          <cell r="D1552">
            <v>34099</v>
          </cell>
          <cell r="E1552">
            <v>37860</v>
          </cell>
          <cell r="F1552">
            <v>616</v>
          </cell>
          <cell r="H1552">
            <v>0</v>
          </cell>
          <cell r="I1552" t="str">
            <v>деп</v>
          </cell>
          <cell r="J1552">
            <v>38287</v>
          </cell>
        </row>
        <row r="1553">
          <cell r="A1553">
            <v>58720921</v>
          </cell>
          <cell r="B1553" t="str">
            <v>СУРКУЛ</v>
          </cell>
          <cell r="C1553" t="str">
            <v>СУРГУТ       (СВР)</v>
          </cell>
          <cell r="D1553">
            <v>34099</v>
          </cell>
          <cell r="E1553">
            <v>37860</v>
          </cell>
          <cell r="F1553">
            <v>616</v>
          </cell>
          <cell r="H1553">
            <v>0</v>
          </cell>
          <cell r="I1553" t="str">
            <v>деп</v>
          </cell>
          <cell r="J1553">
            <v>38287</v>
          </cell>
        </row>
        <row r="1554">
          <cell r="B1554" t="str">
            <v>СУРКУЛ Количество</v>
          </cell>
          <cell r="D1554">
            <v>5</v>
          </cell>
        </row>
        <row r="1555">
          <cell r="A1555">
            <v>58340431</v>
          </cell>
          <cell r="B1555" t="str">
            <v>СЫКТЫВКАРСК.ЛИКЕРОВОД.З-Д</v>
          </cell>
          <cell r="C1555" t="str">
            <v>СЫКТЫВКАР    (СЕВ)</v>
          </cell>
          <cell r="D1555">
            <v>32958</v>
          </cell>
          <cell r="E1555">
            <v>37222</v>
          </cell>
          <cell r="F1555">
            <v>819</v>
          </cell>
          <cell r="H1555">
            <v>0</v>
          </cell>
          <cell r="I1555" t="str">
            <v>деп</v>
          </cell>
          <cell r="J1555">
            <v>37952</v>
          </cell>
        </row>
        <row r="1556">
          <cell r="B1556" t="str">
            <v>СЫКТЫВКАРСК.ЛИКЕРОВОД.З-Д Количество</v>
          </cell>
          <cell r="D1556">
            <v>1</v>
          </cell>
        </row>
        <row r="1557">
          <cell r="A1557">
            <v>53700985</v>
          </cell>
          <cell r="B1557" t="str">
            <v>ТАГМЕТ</v>
          </cell>
          <cell r="C1557" t="str">
            <v>ТАГАНРОГ     (СКВ)</v>
          </cell>
          <cell r="D1557">
            <v>33359</v>
          </cell>
          <cell r="E1557">
            <v>37881</v>
          </cell>
          <cell r="F1557">
            <v>557</v>
          </cell>
          <cell r="H1557">
            <v>0</v>
          </cell>
          <cell r="I1557" t="str">
            <v>деп</v>
          </cell>
          <cell r="J1557">
            <v>38428</v>
          </cell>
        </row>
        <row r="1558">
          <cell r="B1558" t="str">
            <v>ТАГМЕТ Количество</v>
          </cell>
          <cell r="D1558">
            <v>1</v>
          </cell>
        </row>
        <row r="1559">
          <cell r="A1559">
            <v>58726373</v>
          </cell>
          <cell r="B1559" t="str">
            <v>ТАКСИМОВСКИЙ ТОРГОВЫЙ ДВОР</v>
          </cell>
          <cell r="C1559" t="str">
            <v>КРЕЙДА       (ЮВС)</v>
          </cell>
          <cell r="D1559">
            <v>33420</v>
          </cell>
          <cell r="F1559">
            <v>0</v>
          </cell>
          <cell r="H1559">
            <v>0</v>
          </cell>
          <cell r="I1559" t="str">
            <v>деп</v>
          </cell>
          <cell r="J1559">
            <v>34516</v>
          </cell>
        </row>
        <row r="1560">
          <cell r="A1560">
            <v>58726381</v>
          </cell>
          <cell r="B1560" t="str">
            <v>ТАКСИМОВСКИЙ ТОРГОВЫЙ ДВОР</v>
          </cell>
          <cell r="C1560" t="str">
            <v>КРЕЙДА       (ЮВС)</v>
          </cell>
          <cell r="D1560">
            <v>33420</v>
          </cell>
          <cell r="F1560">
            <v>0</v>
          </cell>
          <cell r="H1560">
            <v>0</v>
          </cell>
          <cell r="I1560" t="str">
            <v>деп</v>
          </cell>
          <cell r="J1560">
            <v>34516</v>
          </cell>
        </row>
        <row r="1561">
          <cell r="A1561">
            <v>58726407</v>
          </cell>
          <cell r="B1561" t="str">
            <v>ТАКСИМОВСКИЙ ТОРГОВЫЙ ДВОР</v>
          </cell>
          <cell r="C1561" t="str">
            <v>КРЕЙДА       (ЮВС)</v>
          </cell>
          <cell r="D1561">
            <v>33420</v>
          </cell>
          <cell r="F1561">
            <v>0</v>
          </cell>
          <cell r="H1561">
            <v>0</v>
          </cell>
          <cell r="I1561" t="str">
            <v>деп</v>
          </cell>
          <cell r="J1561">
            <v>34516</v>
          </cell>
        </row>
        <row r="1562">
          <cell r="A1562">
            <v>58726415</v>
          </cell>
          <cell r="B1562" t="str">
            <v>ТАКСИМОВСКИЙ ТОРГОВЫЙ ДВОР</v>
          </cell>
          <cell r="C1562" t="str">
            <v>КРЕЙДА       (ЮВС)</v>
          </cell>
          <cell r="D1562">
            <v>33420</v>
          </cell>
          <cell r="F1562">
            <v>0</v>
          </cell>
          <cell r="H1562">
            <v>0</v>
          </cell>
          <cell r="I1562" t="str">
            <v>деп</v>
          </cell>
          <cell r="J1562">
            <v>34516</v>
          </cell>
        </row>
        <row r="1563">
          <cell r="B1563" t="str">
            <v>ТАКСИМОВСКИЙ ТОРГОВЫЙ ДВОР Количество</v>
          </cell>
          <cell r="D1563">
            <v>4</v>
          </cell>
        </row>
        <row r="1564">
          <cell r="A1564">
            <v>53400479</v>
          </cell>
          <cell r="B1564" t="str">
            <v>ТЕХНОКОМПЛЕКТЛИЗИНГ</v>
          </cell>
          <cell r="C1564" t="str">
            <v>ХОВРИНО      (ОКТ)</v>
          </cell>
          <cell r="D1564">
            <v>32660</v>
          </cell>
          <cell r="E1564">
            <v>37826</v>
          </cell>
          <cell r="F1564">
            <v>163</v>
          </cell>
          <cell r="H1564">
            <v>0</v>
          </cell>
          <cell r="I1564" t="str">
            <v>деп</v>
          </cell>
          <cell r="J1564">
            <v>38376</v>
          </cell>
        </row>
        <row r="1565">
          <cell r="A1565">
            <v>53400503</v>
          </cell>
          <cell r="B1565" t="str">
            <v>ТЕХНОКОМПЛЕКТЛИЗИНГ</v>
          </cell>
          <cell r="C1565" t="str">
            <v>ХОВРИНО      (ОКТ)</v>
          </cell>
          <cell r="D1565">
            <v>32660</v>
          </cell>
          <cell r="E1565">
            <v>37793</v>
          </cell>
          <cell r="F1565">
            <v>492</v>
          </cell>
          <cell r="H1565">
            <v>0</v>
          </cell>
          <cell r="I1565" t="str">
            <v>деп</v>
          </cell>
          <cell r="J1565">
            <v>38342</v>
          </cell>
        </row>
        <row r="1566">
          <cell r="A1566">
            <v>53400511</v>
          </cell>
          <cell r="B1566" t="str">
            <v>ТЕХНОКОМПЛЕКТЛИЗИНГ</v>
          </cell>
          <cell r="C1566" t="str">
            <v>ХОВРИНО      (ОКТ)</v>
          </cell>
          <cell r="D1566">
            <v>32660</v>
          </cell>
          <cell r="E1566">
            <v>37816</v>
          </cell>
          <cell r="F1566">
            <v>163</v>
          </cell>
          <cell r="H1566">
            <v>0</v>
          </cell>
          <cell r="I1566" t="str">
            <v>деп</v>
          </cell>
          <cell r="J1566">
            <v>38366</v>
          </cell>
        </row>
        <row r="1567">
          <cell r="A1567">
            <v>53400529</v>
          </cell>
          <cell r="B1567" t="str">
            <v>ТЕХНОКОМПЛЕКТЛИЗИНГ</v>
          </cell>
          <cell r="C1567" t="str">
            <v>ХОВРИНО      (ОКТ)</v>
          </cell>
          <cell r="D1567">
            <v>32660</v>
          </cell>
          <cell r="E1567">
            <v>37825</v>
          </cell>
          <cell r="F1567">
            <v>492</v>
          </cell>
          <cell r="H1567">
            <v>0</v>
          </cell>
          <cell r="I1567" t="str">
            <v>деп</v>
          </cell>
          <cell r="J1567">
            <v>38375</v>
          </cell>
        </row>
        <row r="1568">
          <cell r="A1568">
            <v>53400537</v>
          </cell>
          <cell r="B1568" t="str">
            <v>ТЕХНОКОМПЛЕКТЛИЗИНГ</v>
          </cell>
          <cell r="C1568" t="str">
            <v>ХОВРИНО      (ОКТ)</v>
          </cell>
          <cell r="D1568">
            <v>32660</v>
          </cell>
          <cell r="E1568">
            <v>37768</v>
          </cell>
          <cell r="F1568">
            <v>492</v>
          </cell>
          <cell r="H1568">
            <v>0</v>
          </cell>
          <cell r="I1568" t="str">
            <v>деп</v>
          </cell>
          <cell r="J1568">
            <v>38318</v>
          </cell>
        </row>
        <row r="1569">
          <cell r="A1569">
            <v>53400586</v>
          </cell>
          <cell r="B1569" t="str">
            <v>ТЕХНОКОМПЛЕКТЛИЗИНГ</v>
          </cell>
          <cell r="C1569" t="str">
            <v>ХОВРИНО      (ОКТ)</v>
          </cell>
          <cell r="D1569">
            <v>32660</v>
          </cell>
          <cell r="E1569">
            <v>37979</v>
          </cell>
          <cell r="F1569">
            <v>557</v>
          </cell>
          <cell r="H1569">
            <v>0</v>
          </cell>
          <cell r="I1569" t="str">
            <v>кап</v>
          </cell>
          <cell r="J1569">
            <v>38527</v>
          </cell>
        </row>
        <row r="1570">
          <cell r="A1570">
            <v>53400651</v>
          </cell>
          <cell r="B1570" t="str">
            <v>ТЕХНОКОМПЛЕКТЛИЗИНГ</v>
          </cell>
          <cell r="C1570" t="str">
            <v>ХОВРИНО      (ОКТ)</v>
          </cell>
          <cell r="D1570">
            <v>32660</v>
          </cell>
          <cell r="E1570">
            <v>37958</v>
          </cell>
          <cell r="F1570">
            <v>557</v>
          </cell>
          <cell r="H1570">
            <v>0</v>
          </cell>
          <cell r="I1570" t="str">
            <v>кап</v>
          </cell>
          <cell r="J1570">
            <v>38506</v>
          </cell>
        </row>
        <row r="1571">
          <cell r="A1571">
            <v>53400701</v>
          </cell>
          <cell r="B1571" t="str">
            <v>ТЕХНОКОМПЛЕКТЛИЗИНГ</v>
          </cell>
          <cell r="C1571" t="str">
            <v>ХОВРИНО      (ОКТ)</v>
          </cell>
          <cell r="D1571">
            <v>32660</v>
          </cell>
          <cell r="E1571">
            <v>37916</v>
          </cell>
          <cell r="F1571">
            <v>492</v>
          </cell>
          <cell r="H1571">
            <v>0</v>
          </cell>
          <cell r="I1571" t="str">
            <v>деп</v>
          </cell>
          <cell r="J1571">
            <v>38464</v>
          </cell>
        </row>
        <row r="1572">
          <cell r="A1572">
            <v>53705810</v>
          </cell>
          <cell r="B1572" t="str">
            <v>ТЕХНОКОМПЛЕКТЛИЗИНГ</v>
          </cell>
          <cell r="C1572" t="str">
            <v>ХОВРИНО      (ОКТ)</v>
          </cell>
          <cell r="D1572">
            <v>32752</v>
          </cell>
          <cell r="E1572">
            <v>37805</v>
          </cell>
          <cell r="F1572">
            <v>886</v>
          </cell>
          <cell r="H1572">
            <v>0</v>
          </cell>
          <cell r="I1572" t="str">
            <v>деп</v>
          </cell>
          <cell r="J1572">
            <v>38355</v>
          </cell>
        </row>
        <row r="1573">
          <cell r="A1573">
            <v>53705828</v>
          </cell>
          <cell r="B1573" t="str">
            <v>ТЕХНОКОМПЛЕКТЛИЗИНГ</v>
          </cell>
          <cell r="C1573" t="str">
            <v>ХОВРИНО      (ОКТ)</v>
          </cell>
          <cell r="D1573">
            <v>32813</v>
          </cell>
          <cell r="E1573">
            <v>37825</v>
          </cell>
          <cell r="F1573">
            <v>886</v>
          </cell>
          <cell r="H1573">
            <v>0</v>
          </cell>
          <cell r="I1573" t="str">
            <v>деп</v>
          </cell>
          <cell r="J1573">
            <v>38375</v>
          </cell>
        </row>
        <row r="1574">
          <cell r="A1574">
            <v>53705836</v>
          </cell>
          <cell r="B1574" t="str">
            <v>ТЕХНОКОМПЛЕКТЛИЗИНГ</v>
          </cell>
          <cell r="C1574" t="str">
            <v>ХОВРИНО      (ОКТ)</v>
          </cell>
          <cell r="D1574">
            <v>32843</v>
          </cell>
          <cell r="E1574">
            <v>37819</v>
          </cell>
          <cell r="F1574">
            <v>163</v>
          </cell>
          <cell r="H1574">
            <v>0</v>
          </cell>
          <cell r="I1574" t="str">
            <v>деп</v>
          </cell>
          <cell r="J1574">
            <v>38369</v>
          </cell>
        </row>
        <row r="1575">
          <cell r="A1575">
            <v>53705844</v>
          </cell>
          <cell r="B1575" t="str">
            <v>ТЕХНОКОМПЛЕКТЛИЗИНГ</v>
          </cell>
          <cell r="C1575" t="str">
            <v>ХОВРИНО      (ОКТ)</v>
          </cell>
          <cell r="D1575">
            <v>32843</v>
          </cell>
          <cell r="E1575">
            <v>37790</v>
          </cell>
          <cell r="F1575">
            <v>163</v>
          </cell>
          <cell r="H1575">
            <v>0</v>
          </cell>
          <cell r="I1575" t="str">
            <v>деп</v>
          </cell>
          <cell r="J1575">
            <v>38339</v>
          </cell>
        </row>
        <row r="1576">
          <cell r="A1576">
            <v>53705851</v>
          </cell>
          <cell r="B1576" t="str">
            <v>ТЕХНОКОМПЛЕКТЛИЗИНГ</v>
          </cell>
          <cell r="C1576" t="str">
            <v>ХОВРИНО      (ОКТ)</v>
          </cell>
          <cell r="D1576">
            <v>32721</v>
          </cell>
          <cell r="E1576">
            <v>37829</v>
          </cell>
          <cell r="F1576">
            <v>557</v>
          </cell>
          <cell r="H1576">
            <v>0</v>
          </cell>
          <cell r="I1576" t="str">
            <v>деп</v>
          </cell>
          <cell r="J1576">
            <v>38379</v>
          </cell>
        </row>
        <row r="1577">
          <cell r="A1577">
            <v>53705869</v>
          </cell>
          <cell r="B1577" t="str">
            <v>ТЕХНОКОМПЛЕКТЛИЗИНГ</v>
          </cell>
          <cell r="C1577" t="str">
            <v>ХОВРИНО      (ОКТ)</v>
          </cell>
          <cell r="D1577">
            <v>32721</v>
          </cell>
          <cell r="E1577">
            <v>37816</v>
          </cell>
          <cell r="F1577">
            <v>163</v>
          </cell>
          <cell r="H1577">
            <v>0</v>
          </cell>
          <cell r="I1577" t="str">
            <v>деп</v>
          </cell>
          <cell r="J1577">
            <v>38366</v>
          </cell>
        </row>
        <row r="1578">
          <cell r="A1578">
            <v>53705877</v>
          </cell>
          <cell r="B1578" t="str">
            <v>ТЕХНОКОМПЛЕКТЛИЗИНГ</v>
          </cell>
          <cell r="C1578" t="str">
            <v>ХОВРИНО      (ОКТ)</v>
          </cell>
          <cell r="D1578">
            <v>32721</v>
          </cell>
          <cell r="E1578">
            <v>37802</v>
          </cell>
          <cell r="F1578">
            <v>163</v>
          </cell>
          <cell r="H1578">
            <v>0</v>
          </cell>
          <cell r="I1578" t="str">
            <v>деп</v>
          </cell>
          <cell r="J1578">
            <v>38351</v>
          </cell>
        </row>
        <row r="1579">
          <cell r="A1579">
            <v>53705885</v>
          </cell>
          <cell r="B1579" t="str">
            <v>ТЕХНОКОМПЛЕКТЛИЗИНГ</v>
          </cell>
          <cell r="C1579" t="str">
            <v>ХОВРИНО      (ОКТ)</v>
          </cell>
          <cell r="D1579">
            <v>32752</v>
          </cell>
          <cell r="E1579">
            <v>37805</v>
          </cell>
          <cell r="F1579">
            <v>163</v>
          </cell>
          <cell r="H1579">
            <v>0</v>
          </cell>
          <cell r="I1579" t="str">
            <v>деп</v>
          </cell>
          <cell r="J1579">
            <v>38355</v>
          </cell>
        </row>
        <row r="1580">
          <cell r="A1580">
            <v>53705901</v>
          </cell>
          <cell r="B1580" t="str">
            <v>ТЕХНОКОМПЛЕКТЛИЗИНГ</v>
          </cell>
          <cell r="C1580" t="str">
            <v>ХОВРИНО      (ОКТ)</v>
          </cell>
          <cell r="D1580">
            <v>32752</v>
          </cell>
          <cell r="E1580">
            <v>37793</v>
          </cell>
          <cell r="F1580">
            <v>557</v>
          </cell>
          <cell r="H1580">
            <v>0</v>
          </cell>
          <cell r="I1580" t="str">
            <v>деп</v>
          </cell>
          <cell r="J1580">
            <v>38342</v>
          </cell>
        </row>
        <row r="1581">
          <cell r="A1581">
            <v>53705919</v>
          </cell>
          <cell r="B1581" t="str">
            <v>ТЕХНОКОМПЛЕКТЛИЗИНГ</v>
          </cell>
          <cell r="C1581" t="str">
            <v>ХОВРИНО      (ОКТ)</v>
          </cell>
          <cell r="D1581">
            <v>32752</v>
          </cell>
          <cell r="E1581">
            <v>37817</v>
          </cell>
          <cell r="F1581">
            <v>557</v>
          </cell>
          <cell r="H1581">
            <v>0</v>
          </cell>
          <cell r="I1581" t="str">
            <v>деп</v>
          </cell>
          <cell r="J1581">
            <v>38367</v>
          </cell>
        </row>
        <row r="1582">
          <cell r="A1582">
            <v>53705927</v>
          </cell>
          <cell r="B1582" t="str">
            <v>ТЕХНОКОМПЛЕКТЛИЗИНГ</v>
          </cell>
          <cell r="C1582" t="str">
            <v>ХОВРИНО      (ОКТ)</v>
          </cell>
          <cell r="D1582">
            <v>32540</v>
          </cell>
          <cell r="E1582">
            <v>37832</v>
          </cell>
          <cell r="F1582">
            <v>163</v>
          </cell>
          <cell r="H1582">
            <v>0</v>
          </cell>
          <cell r="I1582" t="str">
            <v>деп</v>
          </cell>
          <cell r="J1582">
            <v>38382</v>
          </cell>
        </row>
        <row r="1583">
          <cell r="A1583">
            <v>53705935</v>
          </cell>
          <cell r="B1583" t="str">
            <v>ТЕХНОКОМПЛЕКТЛИЗИНГ</v>
          </cell>
          <cell r="C1583" t="str">
            <v>ХОВРИНО      (ОКТ)</v>
          </cell>
          <cell r="D1583">
            <v>32540</v>
          </cell>
          <cell r="E1583">
            <v>37833</v>
          </cell>
          <cell r="F1583">
            <v>557</v>
          </cell>
          <cell r="H1583">
            <v>0</v>
          </cell>
          <cell r="I1583" t="str">
            <v>деп</v>
          </cell>
          <cell r="J1583">
            <v>38383</v>
          </cell>
        </row>
        <row r="1584">
          <cell r="A1584">
            <v>53705968</v>
          </cell>
          <cell r="B1584" t="str">
            <v>ТЕХНОКОМПЛЕКТЛИЗИНГ</v>
          </cell>
          <cell r="C1584" t="str">
            <v>ХОВРИНО      (ОКТ)</v>
          </cell>
          <cell r="D1584">
            <v>32782</v>
          </cell>
          <cell r="E1584">
            <v>37830</v>
          </cell>
          <cell r="F1584">
            <v>557</v>
          </cell>
          <cell r="H1584">
            <v>0</v>
          </cell>
          <cell r="I1584" t="str">
            <v>деп</v>
          </cell>
          <cell r="J1584">
            <v>38380</v>
          </cell>
        </row>
        <row r="1585">
          <cell r="A1585">
            <v>53705976</v>
          </cell>
          <cell r="B1585" t="str">
            <v>ТЕХНОКОМПЛЕКТЛИЗИНГ</v>
          </cell>
          <cell r="C1585" t="str">
            <v>ХОВРИНО      (ОКТ)</v>
          </cell>
          <cell r="D1585">
            <v>32782</v>
          </cell>
          <cell r="E1585">
            <v>37833</v>
          </cell>
          <cell r="F1585">
            <v>163</v>
          </cell>
          <cell r="H1585">
            <v>0</v>
          </cell>
          <cell r="I1585" t="str">
            <v>деп</v>
          </cell>
          <cell r="J1585">
            <v>38383</v>
          </cell>
        </row>
        <row r="1586">
          <cell r="A1586">
            <v>53706016</v>
          </cell>
          <cell r="B1586" t="str">
            <v>ТЕХНОКОМПЛЕКТЛИЗИНГ</v>
          </cell>
          <cell r="C1586" t="str">
            <v>ХОВРИНО      (ОКТ)</v>
          </cell>
          <cell r="D1586">
            <v>32509</v>
          </cell>
          <cell r="E1586">
            <v>37828</v>
          </cell>
          <cell r="F1586">
            <v>163</v>
          </cell>
          <cell r="H1586">
            <v>0</v>
          </cell>
          <cell r="I1586" t="str">
            <v>кап</v>
          </cell>
          <cell r="J1586">
            <v>38378</v>
          </cell>
        </row>
        <row r="1587">
          <cell r="A1587">
            <v>53706024</v>
          </cell>
          <cell r="B1587" t="str">
            <v>ТЕХНОКОМПЛЕКТЛИЗИНГ</v>
          </cell>
          <cell r="C1587" t="str">
            <v>ХОВРИНО      (ОКТ)</v>
          </cell>
          <cell r="D1587">
            <v>32509</v>
          </cell>
          <cell r="E1587">
            <v>37833</v>
          </cell>
          <cell r="F1587">
            <v>163</v>
          </cell>
          <cell r="H1587">
            <v>0</v>
          </cell>
          <cell r="I1587" t="str">
            <v>кап</v>
          </cell>
          <cell r="J1587">
            <v>38383</v>
          </cell>
        </row>
        <row r="1588">
          <cell r="A1588">
            <v>53706032</v>
          </cell>
          <cell r="B1588" t="str">
            <v>ТЕХНОКОМПЛЕКТЛИЗИНГ</v>
          </cell>
          <cell r="C1588" t="str">
            <v>ХОВРИНО      (ОКТ)</v>
          </cell>
          <cell r="D1588">
            <v>32509</v>
          </cell>
          <cell r="E1588">
            <v>37841</v>
          </cell>
          <cell r="F1588">
            <v>557</v>
          </cell>
          <cell r="H1588">
            <v>0</v>
          </cell>
          <cell r="I1588" t="str">
            <v>кап</v>
          </cell>
          <cell r="J1588">
            <v>38391</v>
          </cell>
        </row>
        <row r="1589">
          <cell r="A1589">
            <v>53706131</v>
          </cell>
          <cell r="B1589" t="str">
            <v>ТЕХНОКОМПЛЕКТЛИЗИНГ</v>
          </cell>
          <cell r="C1589" t="str">
            <v>ХОВРИНО      (ОКТ)</v>
          </cell>
          <cell r="D1589">
            <v>32721</v>
          </cell>
          <cell r="E1589">
            <v>37886</v>
          </cell>
          <cell r="F1589">
            <v>557</v>
          </cell>
          <cell r="H1589">
            <v>0</v>
          </cell>
          <cell r="I1589" t="str">
            <v>деп</v>
          </cell>
          <cell r="J1589">
            <v>38433</v>
          </cell>
        </row>
        <row r="1590">
          <cell r="A1590">
            <v>53706156</v>
          </cell>
          <cell r="B1590" t="str">
            <v>ТЕХНОКОМПЛЕКТЛИЗИНГ</v>
          </cell>
          <cell r="C1590" t="str">
            <v>ХОВРИНО      (ОКТ)</v>
          </cell>
          <cell r="D1590">
            <v>32721</v>
          </cell>
          <cell r="E1590">
            <v>37862</v>
          </cell>
          <cell r="F1590">
            <v>557</v>
          </cell>
          <cell r="H1590">
            <v>0</v>
          </cell>
          <cell r="I1590" t="str">
            <v>деп</v>
          </cell>
          <cell r="J1590">
            <v>38411</v>
          </cell>
        </row>
        <row r="1591">
          <cell r="A1591">
            <v>53706164</v>
          </cell>
          <cell r="B1591" t="str">
            <v>ТЕХНОКОМПЛЕКТЛИЗИНГ</v>
          </cell>
          <cell r="C1591" t="str">
            <v>ХОВРИНО      (ОКТ)</v>
          </cell>
          <cell r="D1591">
            <v>32721</v>
          </cell>
          <cell r="E1591">
            <v>37905</v>
          </cell>
          <cell r="F1591">
            <v>557</v>
          </cell>
          <cell r="H1591">
            <v>0</v>
          </cell>
          <cell r="I1591" t="str">
            <v>деп</v>
          </cell>
          <cell r="J1591">
            <v>38453</v>
          </cell>
        </row>
        <row r="1592">
          <cell r="A1592">
            <v>53706172</v>
          </cell>
          <cell r="B1592" t="str">
            <v>ТЕХНОКОМПЛЕКТЛИЗИНГ</v>
          </cell>
          <cell r="C1592" t="str">
            <v>ХОВРИНО      (ОКТ)</v>
          </cell>
          <cell r="D1592">
            <v>32721</v>
          </cell>
          <cell r="E1592">
            <v>37884</v>
          </cell>
          <cell r="F1592">
            <v>557</v>
          </cell>
          <cell r="H1592">
            <v>0</v>
          </cell>
          <cell r="I1592" t="str">
            <v>деп</v>
          </cell>
          <cell r="J1592">
            <v>38431</v>
          </cell>
        </row>
        <row r="1593">
          <cell r="A1593">
            <v>58720095</v>
          </cell>
          <cell r="B1593" t="str">
            <v>ТЕХНОКОМПЛЕКТЛИЗИНГ</v>
          </cell>
          <cell r="C1593" t="str">
            <v>ХОВРИНО      (ОКТ)</v>
          </cell>
          <cell r="D1593">
            <v>32509</v>
          </cell>
          <cell r="E1593">
            <v>37847</v>
          </cell>
          <cell r="F1593">
            <v>557</v>
          </cell>
          <cell r="H1593">
            <v>0</v>
          </cell>
          <cell r="I1593" t="str">
            <v>кап</v>
          </cell>
          <cell r="J1593">
            <v>38397</v>
          </cell>
        </row>
        <row r="1594">
          <cell r="A1594">
            <v>58720194</v>
          </cell>
          <cell r="B1594" t="str">
            <v>ТЕХНОКОМПЛЕКТЛИЗИНГ</v>
          </cell>
          <cell r="C1594" t="str">
            <v>ХОВРИНО      (ОКТ)</v>
          </cell>
          <cell r="D1594">
            <v>32509</v>
          </cell>
          <cell r="E1594">
            <v>37833</v>
          </cell>
          <cell r="F1594">
            <v>163</v>
          </cell>
          <cell r="H1594">
            <v>0</v>
          </cell>
          <cell r="I1594" t="str">
            <v>кап</v>
          </cell>
          <cell r="J1594">
            <v>38383</v>
          </cell>
        </row>
        <row r="1595">
          <cell r="A1595">
            <v>58720699</v>
          </cell>
          <cell r="B1595" t="str">
            <v>ТЕХНОКОМПЛЕКТЛИЗИНГ</v>
          </cell>
          <cell r="C1595" t="str">
            <v>ХОВРИНО      (ОКТ)</v>
          </cell>
          <cell r="D1595">
            <v>32509</v>
          </cell>
          <cell r="E1595">
            <v>37841</v>
          </cell>
          <cell r="F1595">
            <v>557</v>
          </cell>
          <cell r="H1595">
            <v>0</v>
          </cell>
          <cell r="I1595" t="str">
            <v>кап</v>
          </cell>
          <cell r="J1595">
            <v>38391</v>
          </cell>
        </row>
        <row r="1596">
          <cell r="A1596">
            <v>58720798</v>
          </cell>
          <cell r="B1596" t="str">
            <v>ТЕХНОКОМПЛЕКТЛИЗИНГ</v>
          </cell>
          <cell r="C1596" t="str">
            <v>ХОВРИНО      (ОКТ)</v>
          </cell>
          <cell r="D1596">
            <v>32509</v>
          </cell>
          <cell r="E1596">
            <v>37841</v>
          </cell>
          <cell r="F1596">
            <v>557</v>
          </cell>
          <cell r="H1596">
            <v>0</v>
          </cell>
          <cell r="I1596" t="str">
            <v>кап</v>
          </cell>
          <cell r="J1596">
            <v>38391</v>
          </cell>
        </row>
        <row r="1597">
          <cell r="A1597">
            <v>58720897</v>
          </cell>
          <cell r="B1597" t="str">
            <v>ТЕХНОКОМПЛЕКТЛИЗИНГ</v>
          </cell>
          <cell r="C1597" t="str">
            <v>ХОВРИНО      (ОКТ)</v>
          </cell>
          <cell r="D1597">
            <v>32509</v>
          </cell>
          <cell r="E1597">
            <v>37840</v>
          </cell>
          <cell r="F1597">
            <v>557</v>
          </cell>
          <cell r="H1597">
            <v>0</v>
          </cell>
          <cell r="I1597" t="str">
            <v>деп</v>
          </cell>
          <cell r="J1597">
            <v>37817</v>
          </cell>
        </row>
        <row r="1598">
          <cell r="A1598">
            <v>58720996</v>
          </cell>
          <cell r="B1598" t="str">
            <v>ТЕХНОКОМПЛЕКТЛИЗИНГ</v>
          </cell>
          <cell r="C1598" t="str">
            <v>ХОВРИНО      (ОКТ)</v>
          </cell>
          <cell r="D1598">
            <v>32509</v>
          </cell>
          <cell r="E1598">
            <v>37840</v>
          </cell>
          <cell r="F1598">
            <v>557</v>
          </cell>
          <cell r="H1598">
            <v>0</v>
          </cell>
          <cell r="I1598" t="str">
            <v>деп</v>
          </cell>
          <cell r="J1598">
            <v>37817</v>
          </cell>
        </row>
        <row r="1599">
          <cell r="A1599">
            <v>58722695</v>
          </cell>
          <cell r="B1599" t="str">
            <v>ТЕХНОКОМПЛЕКТЛИЗИНГ</v>
          </cell>
          <cell r="C1599" t="str">
            <v>ХОВРИНО      (ОКТ)</v>
          </cell>
          <cell r="D1599">
            <v>32721</v>
          </cell>
          <cell r="E1599">
            <v>37882</v>
          </cell>
          <cell r="F1599">
            <v>557</v>
          </cell>
          <cell r="H1599">
            <v>0</v>
          </cell>
          <cell r="I1599" t="str">
            <v>деп</v>
          </cell>
          <cell r="J1599">
            <v>38429</v>
          </cell>
        </row>
        <row r="1600">
          <cell r="A1600">
            <v>58722794</v>
          </cell>
          <cell r="B1600" t="str">
            <v>ТЕХНОКОМПЛЕКТЛИЗИНГ</v>
          </cell>
          <cell r="C1600" t="str">
            <v>ХОВРИНО      (ОКТ)</v>
          </cell>
          <cell r="D1600">
            <v>32721</v>
          </cell>
          <cell r="E1600">
            <v>37882</v>
          </cell>
          <cell r="F1600">
            <v>557</v>
          </cell>
          <cell r="H1600">
            <v>0</v>
          </cell>
          <cell r="I1600" t="str">
            <v>деп</v>
          </cell>
          <cell r="J1600">
            <v>38429</v>
          </cell>
        </row>
        <row r="1601">
          <cell r="A1601">
            <v>58722893</v>
          </cell>
          <cell r="B1601" t="str">
            <v>ТЕХНОКОМПЛЕКТЛИЗИНГ</v>
          </cell>
          <cell r="C1601" t="str">
            <v>ХОВРИНО      (ОКТ)</v>
          </cell>
          <cell r="D1601">
            <v>32721</v>
          </cell>
          <cell r="E1601">
            <v>37886</v>
          </cell>
          <cell r="F1601">
            <v>557</v>
          </cell>
          <cell r="H1601">
            <v>0</v>
          </cell>
          <cell r="I1601" t="str">
            <v>деп</v>
          </cell>
          <cell r="J1601">
            <v>38433</v>
          </cell>
        </row>
        <row r="1602">
          <cell r="A1602">
            <v>58722992</v>
          </cell>
          <cell r="B1602" t="str">
            <v>ТЕХНОКОМПЛЕКТЛИЗИНГ</v>
          </cell>
          <cell r="C1602" t="str">
            <v>ХОВРИНО      (ОКТ)</v>
          </cell>
          <cell r="D1602">
            <v>32721</v>
          </cell>
          <cell r="E1602">
            <v>37887</v>
          </cell>
          <cell r="F1602">
            <v>557</v>
          </cell>
          <cell r="H1602">
            <v>0</v>
          </cell>
          <cell r="I1602" t="str">
            <v>деп</v>
          </cell>
          <cell r="J1602">
            <v>38434</v>
          </cell>
        </row>
        <row r="1603">
          <cell r="A1603">
            <v>58723495</v>
          </cell>
          <cell r="B1603" t="str">
            <v>ТЕХНОКОМПЛЕКТЛИЗИНГ</v>
          </cell>
          <cell r="C1603" t="str">
            <v>ХОВРИНО      (ОКТ)</v>
          </cell>
          <cell r="D1603">
            <v>32721</v>
          </cell>
          <cell r="E1603">
            <v>37906</v>
          </cell>
          <cell r="F1603">
            <v>557</v>
          </cell>
          <cell r="H1603">
            <v>0</v>
          </cell>
          <cell r="I1603" t="str">
            <v>деп</v>
          </cell>
          <cell r="J1603">
            <v>38454</v>
          </cell>
        </row>
        <row r="1604">
          <cell r="A1604">
            <v>58723594</v>
          </cell>
          <cell r="B1604" t="str">
            <v>ТЕХНОКОМПЛЕКТЛИЗИНГ</v>
          </cell>
          <cell r="C1604" t="str">
            <v>ХОВРИНО      (ОКТ)</v>
          </cell>
          <cell r="D1604">
            <v>32721</v>
          </cell>
          <cell r="E1604">
            <v>37907</v>
          </cell>
          <cell r="F1604">
            <v>557</v>
          </cell>
          <cell r="H1604">
            <v>0</v>
          </cell>
          <cell r="I1604" t="str">
            <v>деп</v>
          </cell>
          <cell r="J1604">
            <v>38455</v>
          </cell>
        </row>
        <row r="1605">
          <cell r="A1605">
            <v>58723693</v>
          </cell>
          <cell r="B1605" t="str">
            <v>ТЕХНОКОМПЛЕКТЛИЗИНГ</v>
          </cell>
          <cell r="C1605" t="str">
            <v>ХОВРИНО      (ОКТ)</v>
          </cell>
          <cell r="D1605">
            <v>32721</v>
          </cell>
          <cell r="E1605">
            <v>37862</v>
          </cell>
          <cell r="F1605">
            <v>557</v>
          </cell>
          <cell r="H1605">
            <v>0</v>
          </cell>
          <cell r="I1605" t="str">
            <v>деп</v>
          </cell>
          <cell r="J1605">
            <v>38411</v>
          </cell>
        </row>
        <row r="1606">
          <cell r="A1606">
            <v>58723792</v>
          </cell>
          <cell r="B1606" t="str">
            <v>ТЕХНОКОМПЛЕКТЛИЗИНГ</v>
          </cell>
          <cell r="C1606" t="str">
            <v>ХОВРИНО      (ОКТ)</v>
          </cell>
          <cell r="D1606">
            <v>32721</v>
          </cell>
          <cell r="E1606">
            <v>37862</v>
          </cell>
          <cell r="F1606">
            <v>557</v>
          </cell>
          <cell r="H1606">
            <v>0</v>
          </cell>
          <cell r="I1606" t="str">
            <v>деп</v>
          </cell>
          <cell r="J1606">
            <v>38411</v>
          </cell>
        </row>
        <row r="1607">
          <cell r="A1607">
            <v>58723891</v>
          </cell>
          <cell r="B1607" t="str">
            <v>ТЕХНОКОМПЛЕКТЛИЗИНГ</v>
          </cell>
          <cell r="C1607" t="str">
            <v>ХОВРИНО      (ОКТ)</v>
          </cell>
          <cell r="D1607">
            <v>32721</v>
          </cell>
          <cell r="E1607">
            <v>37910</v>
          </cell>
          <cell r="F1607">
            <v>557</v>
          </cell>
          <cell r="H1607">
            <v>0</v>
          </cell>
          <cell r="I1607" t="str">
            <v>деп</v>
          </cell>
          <cell r="J1607">
            <v>38458</v>
          </cell>
        </row>
        <row r="1608">
          <cell r="A1608">
            <v>58723990</v>
          </cell>
          <cell r="B1608" t="str">
            <v>ТЕХНОКОМПЛЕКТЛИЗИНГ</v>
          </cell>
          <cell r="C1608" t="str">
            <v>ХОВРИНО      (ОКТ)</v>
          </cell>
          <cell r="D1608">
            <v>32721</v>
          </cell>
          <cell r="E1608">
            <v>37910</v>
          </cell>
          <cell r="F1608">
            <v>557</v>
          </cell>
          <cell r="H1608">
            <v>0</v>
          </cell>
          <cell r="I1608" t="str">
            <v>деп</v>
          </cell>
          <cell r="J1608">
            <v>38458</v>
          </cell>
        </row>
        <row r="1609">
          <cell r="A1609">
            <v>58724097</v>
          </cell>
          <cell r="B1609" t="str">
            <v>ТЕХНОКОМПЛЕКТЛИЗИНГ</v>
          </cell>
          <cell r="C1609" t="str">
            <v>ХОВРИНО      (ОКТ)</v>
          </cell>
          <cell r="D1609">
            <v>32721</v>
          </cell>
          <cell r="E1609">
            <v>37862</v>
          </cell>
          <cell r="F1609">
            <v>557</v>
          </cell>
          <cell r="H1609">
            <v>0</v>
          </cell>
          <cell r="I1609" t="str">
            <v>деп</v>
          </cell>
          <cell r="J1609">
            <v>38411</v>
          </cell>
        </row>
        <row r="1610">
          <cell r="A1610">
            <v>58724196</v>
          </cell>
          <cell r="B1610" t="str">
            <v>ТЕХНОКОМПЛЕКТЛИЗИНГ</v>
          </cell>
          <cell r="C1610" t="str">
            <v>ХОВРИНО      (ОКТ)</v>
          </cell>
          <cell r="D1610">
            <v>32721</v>
          </cell>
          <cell r="E1610">
            <v>37910</v>
          </cell>
          <cell r="F1610">
            <v>557</v>
          </cell>
          <cell r="H1610">
            <v>0</v>
          </cell>
          <cell r="I1610" t="str">
            <v>деп</v>
          </cell>
          <cell r="J1610">
            <v>38458</v>
          </cell>
        </row>
        <row r="1611">
          <cell r="A1611">
            <v>58724295</v>
          </cell>
          <cell r="B1611" t="str">
            <v>ТЕХНОКОМПЛЕКТЛИЗИНГ</v>
          </cell>
          <cell r="C1611" t="str">
            <v>ХОВРИНО      (ОКТ)</v>
          </cell>
          <cell r="D1611">
            <v>32721</v>
          </cell>
          <cell r="E1611">
            <v>37883</v>
          </cell>
          <cell r="F1611">
            <v>557</v>
          </cell>
          <cell r="H1611">
            <v>0</v>
          </cell>
          <cell r="I1611" t="str">
            <v>деп</v>
          </cell>
          <cell r="J1611">
            <v>38430</v>
          </cell>
        </row>
        <row r="1612">
          <cell r="A1612">
            <v>58724394</v>
          </cell>
          <cell r="B1612" t="str">
            <v>ТЕХНОКОМПЛЕКТЛИЗИНГ</v>
          </cell>
          <cell r="C1612" t="str">
            <v>ХОВРИНО      (ОКТ)</v>
          </cell>
          <cell r="D1612">
            <v>32721</v>
          </cell>
          <cell r="E1612">
            <v>37883</v>
          </cell>
          <cell r="F1612">
            <v>557</v>
          </cell>
          <cell r="H1612">
            <v>0</v>
          </cell>
          <cell r="I1612" t="str">
            <v>деп</v>
          </cell>
          <cell r="J1612">
            <v>38430</v>
          </cell>
        </row>
        <row r="1613">
          <cell r="A1613">
            <v>58724493</v>
          </cell>
          <cell r="B1613" t="str">
            <v>ТЕХНОКОМПЛЕКТЛИЗИНГ</v>
          </cell>
          <cell r="C1613" t="str">
            <v>ХОВРИНО      (ОКТ)</v>
          </cell>
          <cell r="D1613">
            <v>32721</v>
          </cell>
          <cell r="E1613">
            <v>37884</v>
          </cell>
          <cell r="F1613">
            <v>557</v>
          </cell>
          <cell r="H1613">
            <v>0</v>
          </cell>
          <cell r="I1613" t="str">
            <v>деп</v>
          </cell>
          <cell r="J1613">
            <v>38431</v>
          </cell>
        </row>
        <row r="1614">
          <cell r="A1614">
            <v>58724592</v>
          </cell>
          <cell r="B1614" t="str">
            <v>ТЕХНОКОМПЛЕКТЛИЗИНГ</v>
          </cell>
          <cell r="C1614" t="str">
            <v>ХОВРИНО      (ОКТ)</v>
          </cell>
          <cell r="D1614">
            <v>32721</v>
          </cell>
          <cell r="E1614">
            <v>37885</v>
          </cell>
          <cell r="F1614">
            <v>557</v>
          </cell>
          <cell r="H1614">
            <v>0</v>
          </cell>
          <cell r="I1614" t="str">
            <v>деп</v>
          </cell>
          <cell r="J1614">
            <v>38432</v>
          </cell>
        </row>
        <row r="1615">
          <cell r="A1615">
            <v>58725128</v>
          </cell>
          <cell r="B1615" t="str">
            <v>ТЕХНОКОМПЛЕКТЛИЗИНГ</v>
          </cell>
          <cell r="C1615" t="str">
            <v>ХОВРИНО      (ОКТ)</v>
          </cell>
          <cell r="D1615">
            <v>32752</v>
          </cell>
          <cell r="E1615">
            <v>37805</v>
          </cell>
          <cell r="F1615">
            <v>886</v>
          </cell>
          <cell r="H1615">
            <v>0</v>
          </cell>
          <cell r="I1615" t="str">
            <v>деп</v>
          </cell>
          <cell r="J1615">
            <v>38355</v>
          </cell>
        </row>
        <row r="1616">
          <cell r="A1616">
            <v>58725136</v>
          </cell>
          <cell r="B1616" t="str">
            <v>ТЕХНОКОМПЛЕКТЛИЗИНГ</v>
          </cell>
          <cell r="C1616" t="str">
            <v>ХОВРИНО      (ОКТ)</v>
          </cell>
          <cell r="D1616">
            <v>32752</v>
          </cell>
          <cell r="E1616">
            <v>37805</v>
          </cell>
          <cell r="F1616">
            <v>886</v>
          </cell>
          <cell r="H1616">
            <v>0</v>
          </cell>
          <cell r="I1616" t="str">
            <v>деп</v>
          </cell>
          <cell r="J1616">
            <v>38355</v>
          </cell>
        </row>
        <row r="1617">
          <cell r="A1617">
            <v>58725144</v>
          </cell>
          <cell r="B1617" t="str">
            <v>ТЕХНОКОМПЛЕКТЛИЗИНГ</v>
          </cell>
          <cell r="C1617" t="str">
            <v>ХОВРИНО      (ОКТ)</v>
          </cell>
          <cell r="D1617">
            <v>32752</v>
          </cell>
          <cell r="E1617">
            <v>37805</v>
          </cell>
          <cell r="F1617">
            <v>886</v>
          </cell>
          <cell r="H1617">
            <v>0</v>
          </cell>
          <cell r="I1617" t="str">
            <v>деп</v>
          </cell>
          <cell r="J1617">
            <v>38355</v>
          </cell>
        </row>
        <row r="1618">
          <cell r="A1618">
            <v>58725151</v>
          </cell>
          <cell r="B1618" t="str">
            <v>ТЕХНОКОМПЛЕКТЛИЗИНГ</v>
          </cell>
          <cell r="C1618" t="str">
            <v>ХОВРИНО      (ОКТ)</v>
          </cell>
          <cell r="D1618">
            <v>32752</v>
          </cell>
          <cell r="E1618">
            <v>37805</v>
          </cell>
          <cell r="F1618">
            <v>886</v>
          </cell>
          <cell r="H1618">
            <v>0</v>
          </cell>
          <cell r="I1618" t="str">
            <v>деп</v>
          </cell>
          <cell r="J1618">
            <v>38355</v>
          </cell>
        </row>
        <row r="1619">
          <cell r="A1619">
            <v>58725169</v>
          </cell>
          <cell r="B1619" t="str">
            <v>ТЕХНОКОМПЛЕКТЛИЗИНГ</v>
          </cell>
          <cell r="C1619" t="str">
            <v>ХОВРИНО      (ОКТ)</v>
          </cell>
          <cell r="D1619">
            <v>32840</v>
          </cell>
          <cell r="E1619">
            <v>37825</v>
          </cell>
          <cell r="F1619">
            <v>886</v>
          </cell>
          <cell r="H1619">
            <v>0</v>
          </cell>
          <cell r="I1619" t="str">
            <v>деп</v>
          </cell>
          <cell r="J1619">
            <v>38375</v>
          </cell>
        </row>
        <row r="1620">
          <cell r="A1620">
            <v>58725177</v>
          </cell>
          <cell r="B1620" t="str">
            <v>ТЕХНОКОМПЛЕКТЛИЗИНГ</v>
          </cell>
          <cell r="C1620" t="str">
            <v>ХОВРИНО      (ОКТ)</v>
          </cell>
          <cell r="D1620">
            <v>32840</v>
          </cell>
          <cell r="E1620">
            <v>37825</v>
          </cell>
          <cell r="F1620">
            <v>886</v>
          </cell>
          <cell r="H1620">
            <v>0</v>
          </cell>
          <cell r="I1620" t="str">
            <v>деп</v>
          </cell>
          <cell r="J1620">
            <v>38375</v>
          </cell>
        </row>
        <row r="1621">
          <cell r="A1621">
            <v>58725185</v>
          </cell>
          <cell r="B1621" t="str">
            <v>ТЕХНОКОМПЛЕКТЛИЗИНГ</v>
          </cell>
          <cell r="C1621" t="str">
            <v>ХОВРИНО      (ОКТ)</v>
          </cell>
          <cell r="D1621">
            <v>32840</v>
          </cell>
          <cell r="E1621">
            <v>37825</v>
          </cell>
          <cell r="F1621">
            <v>886</v>
          </cell>
          <cell r="H1621">
            <v>0</v>
          </cell>
          <cell r="I1621" t="str">
            <v>деп</v>
          </cell>
          <cell r="J1621">
            <v>38375</v>
          </cell>
        </row>
        <row r="1622">
          <cell r="A1622">
            <v>58725201</v>
          </cell>
          <cell r="B1622" t="str">
            <v>ТЕХНОКОМПЛЕКТЛИЗИНГ</v>
          </cell>
          <cell r="C1622" t="str">
            <v>ХОВРИНО      (ОКТ)</v>
          </cell>
          <cell r="D1622">
            <v>32840</v>
          </cell>
          <cell r="E1622">
            <v>37825</v>
          </cell>
          <cell r="F1622">
            <v>886</v>
          </cell>
          <cell r="H1622">
            <v>0</v>
          </cell>
          <cell r="I1622" t="str">
            <v>деп</v>
          </cell>
          <cell r="J1622">
            <v>38375</v>
          </cell>
        </row>
        <row r="1623">
          <cell r="A1623">
            <v>58725219</v>
          </cell>
          <cell r="B1623" t="str">
            <v>ТЕХНОКОМПЛЕКТЛИЗИНГ</v>
          </cell>
          <cell r="C1623" t="str">
            <v>ХОВРИНО      (ОКТ)</v>
          </cell>
          <cell r="D1623">
            <v>32843</v>
          </cell>
          <cell r="E1623">
            <v>37819</v>
          </cell>
          <cell r="F1623">
            <v>163</v>
          </cell>
          <cell r="H1623">
            <v>0</v>
          </cell>
          <cell r="I1623" t="str">
            <v>деп</v>
          </cell>
          <cell r="J1623">
            <v>38369</v>
          </cell>
        </row>
        <row r="1624">
          <cell r="A1624">
            <v>58725227</v>
          </cell>
          <cell r="B1624" t="str">
            <v>ТЕХНОКОМПЛЕКТЛИЗИНГ</v>
          </cell>
          <cell r="C1624" t="str">
            <v>ХОВРИНО      (ОКТ)</v>
          </cell>
          <cell r="D1624">
            <v>32843</v>
          </cell>
          <cell r="E1624">
            <v>37819</v>
          </cell>
          <cell r="F1624">
            <v>163</v>
          </cell>
          <cell r="H1624">
            <v>0</v>
          </cell>
          <cell r="I1624" t="str">
            <v>деп</v>
          </cell>
          <cell r="J1624">
            <v>38369</v>
          </cell>
        </row>
        <row r="1625">
          <cell r="A1625">
            <v>58725235</v>
          </cell>
          <cell r="B1625" t="str">
            <v>ТЕХНОКОМПЛЕКТЛИЗИНГ</v>
          </cell>
          <cell r="C1625" t="str">
            <v>ХОВРИНО      (ОКТ)</v>
          </cell>
          <cell r="D1625">
            <v>32843</v>
          </cell>
          <cell r="E1625">
            <v>37819</v>
          </cell>
          <cell r="F1625">
            <v>163</v>
          </cell>
          <cell r="H1625">
            <v>0</v>
          </cell>
          <cell r="I1625" t="str">
            <v>деп</v>
          </cell>
          <cell r="J1625">
            <v>38369</v>
          </cell>
        </row>
        <row r="1626">
          <cell r="A1626">
            <v>58725243</v>
          </cell>
          <cell r="B1626" t="str">
            <v>ТЕХНОКОМПЛЕКТЛИЗИНГ</v>
          </cell>
          <cell r="C1626" t="str">
            <v>ХОВРИНО      (ОКТ)</v>
          </cell>
          <cell r="D1626">
            <v>32843</v>
          </cell>
          <cell r="E1626">
            <v>37819</v>
          </cell>
          <cell r="F1626">
            <v>163</v>
          </cell>
          <cell r="H1626">
            <v>0</v>
          </cell>
          <cell r="I1626" t="str">
            <v>деп</v>
          </cell>
          <cell r="J1626">
            <v>38369</v>
          </cell>
        </row>
        <row r="1627">
          <cell r="A1627">
            <v>58725250</v>
          </cell>
          <cell r="B1627" t="str">
            <v>ТЕХНОКОМПЛЕКТЛИЗИНГ</v>
          </cell>
          <cell r="C1627" t="str">
            <v>ХОВРИНО      (ОКТ)</v>
          </cell>
          <cell r="D1627">
            <v>32843</v>
          </cell>
          <cell r="E1627">
            <v>37790</v>
          </cell>
          <cell r="F1627">
            <v>163</v>
          </cell>
          <cell r="H1627">
            <v>0</v>
          </cell>
          <cell r="I1627" t="str">
            <v>деп</v>
          </cell>
          <cell r="J1627">
            <v>38339</v>
          </cell>
        </row>
        <row r="1628">
          <cell r="A1628">
            <v>58725268</v>
          </cell>
          <cell r="B1628" t="str">
            <v>ТЕХНОКОМПЛЕКТЛИЗИНГ</v>
          </cell>
          <cell r="C1628" t="str">
            <v>ХОВРИНО      (ОКТ)</v>
          </cell>
          <cell r="D1628">
            <v>32843</v>
          </cell>
          <cell r="E1628">
            <v>37790</v>
          </cell>
          <cell r="F1628">
            <v>163</v>
          </cell>
          <cell r="H1628">
            <v>0</v>
          </cell>
          <cell r="I1628" t="str">
            <v>деп</v>
          </cell>
          <cell r="J1628">
            <v>38339</v>
          </cell>
        </row>
        <row r="1629">
          <cell r="A1629">
            <v>58725276</v>
          </cell>
          <cell r="B1629" t="str">
            <v>ТЕХНОКОМПЛЕКТЛИЗИНГ</v>
          </cell>
          <cell r="C1629" t="str">
            <v>ХОВРИНО      (ОКТ)</v>
          </cell>
          <cell r="D1629">
            <v>32843</v>
          </cell>
          <cell r="E1629">
            <v>37790</v>
          </cell>
          <cell r="F1629">
            <v>163</v>
          </cell>
          <cell r="H1629">
            <v>0</v>
          </cell>
          <cell r="I1629" t="str">
            <v>деп</v>
          </cell>
          <cell r="J1629">
            <v>38339</v>
          </cell>
        </row>
        <row r="1630">
          <cell r="A1630">
            <v>58725284</v>
          </cell>
          <cell r="B1630" t="str">
            <v>ТЕХНОКОМПЛЕКТЛИЗИНГ</v>
          </cell>
          <cell r="C1630" t="str">
            <v>ХОВРИНО      (ОКТ)</v>
          </cell>
          <cell r="D1630">
            <v>32843</v>
          </cell>
          <cell r="E1630">
            <v>37790</v>
          </cell>
          <cell r="F1630">
            <v>163</v>
          </cell>
          <cell r="H1630">
            <v>0</v>
          </cell>
          <cell r="I1630" t="str">
            <v>деп</v>
          </cell>
          <cell r="J1630">
            <v>38339</v>
          </cell>
        </row>
        <row r="1631">
          <cell r="A1631">
            <v>58725342</v>
          </cell>
          <cell r="B1631" t="str">
            <v>ТЕХНОКОМПЛЕКТЛИЗИНГ</v>
          </cell>
          <cell r="C1631" t="str">
            <v>ХОВРИНО      (ОКТ)</v>
          </cell>
          <cell r="D1631">
            <v>32752</v>
          </cell>
          <cell r="E1631">
            <v>37817</v>
          </cell>
          <cell r="F1631">
            <v>557</v>
          </cell>
          <cell r="H1631">
            <v>0</v>
          </cell>
          <cell r="I1631" t="str">
            <v>деп</v>
          </cell>
          <cell r="J1631">
            <v>38367</v>
          </cell>
        </row>
        <row r="1632">
          <cell r="A1632">
            <v>58725359</v>
          </cell>
          <cell r="B1632" t="str">
            <v>ТЕХНОКОМПЛЕКТЛИЗИНГ</v>
          </cell>
          <cell r="C1632" t="str">
            <v>ХОВРИНО      (ОКТ)</v>
          </cell>
          <cell r="D1632">
            <v>32721</v>
          </cell>
          <cell r="E1632">
            <v>37829</v>
          </cell>
          <cell r="F1632">
            <v>557</v>
          </cell>
          <cell r="H1632">
            <v>0</v>
          </cell>
          <cell r="I1632" t="str">
            <v>деп</v>
          </cell>
          <cell r="J1632">
            <v>38379</v>
          </cell>
        </row>
        <row r="1633">
          <cell r="A1633">
            <v>58725367</v>
          </cell>
          <cell r="B1633" t="str">
            <v>ТЕХНОКОМПЛЕКТЛИЗИНГ</v>
          </cell>
          <cell r="C1633" t="str">
            <v>ХОВРИНО      (ОКТ)</v>
          </cell>
          <cell r="D1633">
            <v>32721</v>
          </cell>
          <cell r="E1633">
            <v>37829</v>
          </cell>
          <cell r="F1633">
            <v>557</v>
          </cell>
          <cell r="H1633">
            <v>0</v>
          </cell>
          <cell r="I1633" t="str">
            <v>деп</v>
          </cell>
          <cell r="J1633">
            <v>38379</v>
          </cell>
        </row>
        <row r="1634">
          <cell r="A1634">
            <v>58725375</v>
          </cell>
          <cell r="B1634" t="str">
            <v>ТЕХНОКОМПЛЕКТЛИЗИНГ</v>
          </cell>
          <cell r="C1634" t="str">
            <v>ХОВРИНО      (ОКТ)</v>
          </cell>
          <cell r="D1634">
            <v>32721</v>
          </cell>
          <cell r="E1634">
            <v>37829</v>
          </cell>
          <cell r="F1634">
            <v>557</v>
          </cell>
          <cell r="H1634">
            <v>0</v>
          </cell>
          <cell r="I1634" t="str">
            <v>деп</v>
          </cell>
          <cell r="J1634">
            <v>38379</v>
          </cell>
        </row>
        <row r="1635">
          <cell r="A1635">
            <v>58725383</v>
          </cell>
          <cell r="B1635" t="str">
            <v>ТЕХНОКОМПЛЕКТЛИЗИНГ</v>
          </cell>
          <cell r="C1635" t="str">
            <v>ХОВРИНО      (ОКТ)</v>
          </cell>
          <cell r="D1635">
            <v>32721</v>
          </cell>
          <cell r="E1635">
            <v>37829</v>
          </cell>
          <cell r="F1635">
            <v>557</v>
          </cell>
          <cell r="H1635">
            <v>0</v>
          </cell>
          <cell r="I1635" t="str">
            <v>деп</v>
          </cell>
          <cell r="J1635">
            <v>38379</v>
          </cell>
        </row>
        <row r="1636">
          <cell r="A1636">
            <v>58725409</v>
          </cell>
          <cell r="B1636" t="str">
            <v>ТЕХНОКОМПЛЕКТЛИЗИНГ</v>
          </cell>
          <cell r="C1636" t="str">
            <v>ХОВРИНО      (ОКТ)</v>
          </cell>
          <cell r="D1636">
            <v>32721</v>
          </cell>
          <cell r="E1636">
            <v>37816</v>
          </cell>
          <cell r="F1636">
            <v>163</v>
          </cell>
          <cell r="H1636">
            <v>0</v>
          </cell>
          <cell r="I1636" t="str">
            <v>деп</v>
          </cell>
          <cell r="J1636">
            <v>38366</v>
          </cell>
        </row>
        <row r="1637">
          <cell r="A1637">
            <v>58725417</v>
          </cell>
          <cell r="B1637" t="str">
            <v>ТЕХНОКОМПЛЕКТЛИЗИНГ</v>
          </cell>
          <cell r="C1637" t="str">
            <v>ХОВРИНО      (ОКТ)</v>
          </cell>
          <cell r="D1637">
            <v>32721</v>
          </cell>
          <cell r="E1637">
            <v>37816</v>
          </cell>
          <cell r="F1637">
            <v>163</v>
          </cell>
          <cell r="H1637">
            <v>0</v>
          </cell>
          <cell r="I1637" t="str">
            <v>деп</v>
          </cell>
          <cell r="J1637">
            <v>38366</v>
          </cell>
        </row>
        <row r="1638">
          <cell r="A1638">
            <v>58725425</v>
          </cell>
          <cell r="B1638" t="str">
            <v>ТЕХНОКОМПЛЕКТЛИЗИНГ</v>
          </cell>
          <cell r="C1638" t="str">
            <v>ХОВРИНО      (ОКТ)</v>
          </cell>
          <cell r="D1638">
            <v>32721</v>
          </cell>
          <cell r="E1638">
            <v>37816</v>
          </cell>
          <cell r="F1638">
            <v>163</v>
          </cell>
          <cell r="H1638">
            <v>0</v>
          </cell>
          <cell r="I1638" t="str">
            <v>деп</v>
          </cell>
          <cell r="J1638">
            <v>38366</v>
          </cell>
        </row>
        <row r="1639">
          <cell r="A1639">
            <v>58725433</v>
          </cell>
          <cell r="B1639" t="str">
            <v>ТЕХНОКОМПЛЕКТЛИЗИНГ</v>
          </cell>
          <cell r="C1639" t="str">
            <v>ХОВРИНО      (ОКТ)</v>
          </cell>
          <cell r="D1639">
            <v>32721</v>
          </cell>
          <cell r="E1639">
            <v>37816</v>
          </cell>
          <cell r="F1639">
            <v>163</v>
          </cell>
          <cell r="H1639">
            <v>0</v>
          </cell>
          <cell r="I1639" t="str">
            <v>деп</v>
          </cell>
          <cell r="J1639">
            <v>38366</v>
          </cell>
        </row>
        <row r="1640">
          <cell r="A1640">
            <v>58725441</v>
          </cell>
          <cell r="B1640" t="str">
            <v>ТЕХНОКОМПЛЕКТЛИЗИНГ</v>
          </cell>
          <cell r="C1640" t="str">
            <v>ХОВРИНО      (ОКТ)</v>
          </cell>
          <cell r="D1640">
            <v>32721</v>
          </cell>
          <cell r="E1640">
            <v>37802</v>
          </cell>
          <cell r="F1640">
            <v>163</v>
          </cell>
          <cell r="H1640">
            <v>0</v>
          </cell>
          <cell r="I1640" t="str">
            <v>деп</v>
          </cell>
          <cell r="J1640">
            <v>38351</v>
          </cell>
        </row>
        <row r="1641">
          <cell r="A1641">
            <v>58725458</v>
          </cell>
          <cell r="B1641" t="str">
            <v>ТЕХНОКОМПЛЕКТЛИЗИНГ</v>
          </cell>
          <cell r="C1641" t="str">
            <v>ХОВРИНО      (ОКТ)</v>
          </cell>
          <cell r="D1641">
            <v>32721</v>
          </cell>
          <cell r="E1641">
            <v>37802</v>
          </cell>
          <cell r="F1641">
            <v>163</v>
          </cell>
          <cell r="H1641">
            <v>0</v>
          </cell>
          <cell r="I1641" t="str">
            <v>деп</v>
          </cell>
          <cell r="J1641">
            <v>38351</v>
          </cell>
        </row>
        <row r="1642">
          <cell r="A1642">
            <v>58725466</v>
          </cell>
          <cell r="B1642" t="str">
            <v>ТЕХНОКОМПЛЕКТЛИЗИНГ</v>
          </cell>
          <cell r="C1642" t="str">
            <v>ХОВРИНО      (ОКТ)</v>
          </cell>
          <cell r="D1642">
            <v>32721</v>
          </cell>
          <cell r="E1642">
            <v>37802</v>
          </cell>
          <cell r="F1642">
            <v>163</v>
          </cell>
          <cell r="H1642">
            <v>0</v>
          </cell>
          <cell r="I1642" t="str">
            <v>деп</v>
          </cell>
          <cell r="J1642">
            <v>38351</v>
          </cell>
        </row>
        <row r="1643">
          <cell r="A1643">
            <v>58725474</v>
          </cell>
          <cell r="B1643" t="str">
            <v>ТЕХНОКОМПЛЕКТЛИЗИНГ</v>
          </cell>
          <cell r="C1643" t="str">
            <v>ХОВРИНО      (ОКТ)</v>
          </cell>
          <cell r="D1643">
            <v>32721</v>
          </cell>
          <cell r="E1643">
            <v>37802</v>
          </cell>
          <cell r="F1643">
            <v>163</v>
          </cell>
          <cell r="H1643">
            <v>0</v>
          </cell>
          <cell r="I1643" t="str">
            <v>деп</v>
          </cell>
          <cell r="J1643">
            <v>38351</v>
          </cell>
        </row>
        <row r="1644">
          <cell r="A1644">
            <v>58725482</v>
          </cell>
          <cell r="B1644" t="str">
            <v>ТЕХНОКОМПЛЕКТЛИЗИНГ</v>
          </cell>
          <cell r="C1644" t="str">
            <v>ХОВРИНО      (ОКТ)</v>
          </cell>
          <cell r="D1644">
            <v>32752</v>
          </cell>
          <cell r="E1644">
            <v>37805</v>
          </cell>
          <cell r="F1644">
            <v>163</v>
          </cell>
          <cell r="H1644">
            <v>0</v>
          </cell>
          <cell r="I1644" t="str">
            <v>деп</v>
          </cell>
          <cell r="J1644">
            <v>38355</v>
          </cell>
        </row>
        <row r="1645">
          <cell r="A1645">
            <v>58725508</v>
          </cell>
          <cell r="B1645" t="str">
            <v>ТЕХНОКОМПЛЕКТЛИЗИНГ</v>
          </cell>
          <cell r="C1645" t="str">
            <v>ХОВРИНО      (ОКТ)</v>
          </cell>
          <cell r="D1645">
            <v>32752</v>
          </cell>
          <cell r="E1645">
            <v>37805</v>
          </cell>
          <cell r="F1645">
            <v>163</v>
          </cell>
          <cell r="H1645">
            <v>0</v>
          </cell>
          <cell r="I1645" t="str">
            <v>деп</v>
          </cell>
          <cell r="J1645">
            <v>38355</v>
          </cell>
        </row>
        <row r="1646">
          <cell r="A1646">
            <v>58725516</v>
          </cell>
          <cell r="B1646" t="str">
            <v>ТЕХНОКОМПЛЕКТЛИЗИНГ</v>
          </cell>
          <cell r="C1646" t="str">
            <v>ХОВРИНО      (ОКТ)</v>
          </cell>
          <cell r="D1646">
            <v>32752</v>
          </cell>
          <cell r="E1646">
            <v>37805</v>
          </cell>
          <cell r="F1646">
            <v>163</v>
          </cell>
          <cell r="H1646">
            <v>0</v>
          </cell>
          <cell r="I1646" t="str">
            <v>деп</v>
          </cell>
          <cell r="J1646">
            <v>38355</v>
          </cell>
        </row>
        <row r="1647">
          <cell r="A1647">
            <v>58725524</v>
          </cell>
          <cell r="B1647" t="str">
            <v>ТЕХНОКОМПЛЕКТЛИЗИНГ</v>
          </cell>
          <cell r="C1647" t="str">
            <v>ХОВРИНО      (ОКТ)</v>
          </cell>
          <cell r="D1647">
            <v>32752</v>
          </cell>
          <cell r="E1647">
            <v>37805</v>
          </cell>
          <cell r="F1647">
            <v>163</v>
          </cell>
          <cell r="H1647">
            <v>0</v>
          </cell>
          <cell r="I1647" t="str">
            <v>деп</v>
          </cell>
          <cell r="J1647">
            <v>38355</v>
          </cell>
        </row>
        <row r="1648">
          <cell r="A1648">
            <v>58725532</v>
          </cell>
          <cell r="B1648" t="str">
            <v>ТЕХНОКОМПЛЕКТЛИЗИНГ</v>
          </cell>
          <cell r="C1648" t="str">
            <v>ХОВРИНО      (ОКТ)</v>
          </cell>
          <cell r="D1648">
            <v>32752</v>
          </cell>
          <cell r="E1648">
            <v>37793</v>
          </cell>
          <cell r="F1648">
            <v>557</v>
          </cell>
          <cell r="H1648">
            <v>0</v>
          </cell>
          <cell r="I1648" t="str">
            <v>деп</v>
          </cell>
          <cell r="J1648">
            <v>38342</v>
          </cell>
        </row>
        <row r="1649">
          <cell r="A1649">
            <v>58725540</v>
          </cell>
          <cell r="B1649" t="str">
            <v>ТЕХНОКОМПЛЕКТЛИЗИНГ</v>
          </cell>
          <cell r="C1649" t="str">
            <v>ХОВРИНО      (ОКТ)</v>
          </cell>
          <cell r="D1649">
            <v>32752</v>
          </cell>
          <cell r="E1649">
            <v>37793</v>
          </cell>
          <cell r="F1649">
            <v>557</v>
          </cell>
          <cell r="H1649">
            <v>0</v>
          </cell>
          <cell r="I1649" t="str">
            <v>деп</v>
          </cell>
          <cell r="J1649">
            <v>38342</v>
          </cell>
        </row>
        <row r="1650">
          <cell r="A1650">
            <v>58729401</v>
          </cell>
          <cell r="B1650" t="str">
            <v>ТЕХНОКОМПЛЕКТЛИЗИНГ</v>
          </cell>
          <cell r="C1650" t="str">
            <v>ХОВРИНО      (ОКТ)</v>
          </cell>
          <cell r="D1650">
            <v>32752</v>
          </cell>
          <cell r="E1650">
            <v>37793</v>
          </cell>
          <cell r="F1650">
            <v>557</v>
          </cell>
          <cell r="H1650">
            <v>0</v>
          </cell>
          <cell r="I1650" t="str">
            <v>деп</v>
          </cell>
          <cell r="J1650">
            <v>38342</v>
          </cell>
        </row>
        <row r="1651">
          <cell r="A1651">
            <v>58729419</v>
          </cell>
          <cell r="B1651" t="str">
            <v>ТЕХНОКОМПЛЕКТЛИЗИНГ</v>
          </cell>
          <cell r="C1651" t="str">
            <v>ХОВРИНО      (ОКТ)</v>
          </cell>
          <cell r="D1651">
            <v>32752</v>
          </cell>
          <cell r="E1651">
            <v>37793</v>
          </cell>
          <cell r="F1651">
            <v>557</v>
          </cell>
          <cell r="H1651">
            <v>0</v>
          </cell>
          <cell r="I1651" t="str">
            <v>деп</v>
          </cell>
          <cell r="J1651">
            <v>38342</v>
          </cell>
        </row>
        <row r="1652">
          <cell r="A1652">
            <v>58729427</v>
          </cell>
          <cell r="B1652" t="str">
            <v>ТЕХНОКОМПЛЕКТЛИЗИНГ</v>
          </cell>
          <cell r="C1652" t="str">
            <v>ХОВРИНО      (ОКТ)</v>
          </cell>
          <cell r="D1652">
            <v>32752</v>
          </cell>
          <cell r="E1652">
            <v>37816</v>
          </cell>
          <cell r="F1652">
            <v>557</v>
          </cell>
          <cell r="H1652">
            <v>0</v>
          </cell>
          <cell r="I1652" t="str">
            <v>деп</v>
          </cell>
          <cell r="J1652">
            <v>38366</v>
          </cell>
        </row>
        <row r="1653">
          <cell r="A1653">
            <v>58729435</v>
          </cell>
          <cell r="B1653" t="str">
            <v>ТЕХНОКОМПЛЕКТЛИЗИНГ</v>
          </cell>
          <cell r="C1653" t="str">
            <v>ХОВРИНО      (ОКТ)</v>
          </cell>
          <cell r="D1653">
            <v>32752</v>
          </cell>
          <cell r="E1653">
            <v>37816</v>
          </cell>
          <cell r="F1653">
            <v>557</v>
          </cell>
          <cell r="H1653">
            <v>0</v>
          </cell>
          <cell r="I1653" t="str">
            <v>деп</v>
          </cell>
          <cell r="J1653">
            <v>38366</v>
          </cell>
        </row>
        <row r="1654">
          <cell r="A1654">
            <v>58729443</v>
          </cell>
          <cell r="B1654" t="str">
            <v>ТЕХНОКОМПЛЕКТЛИЗИНГ</v>
          </cell>
          <cell r="C1654" t="str">
            <v>ХОВРИНО      (ОКТ)</v>
          </cell>
          <cell r="D1654">
            <v>32752</v>
          </cell>
          <cell r="E1654">
            <v>37817</v>
          </cell>
          <cell r="F1654">
            <v>557</v>
          </cell>
          <cell r="H1654">
            <v>0</v>
          </cell>
          <cell r="I1654" t="str">
            <v>деп</v>
          </cell>
          <cell r="J1654">
            <v>38367</v>
          </cell>
        </row>
        <row r="1655">
          <cell r="A1655">
            <v>58729500</v>
          </cell>
          <cell r="B1655" t="str">
            <v>ТЕХНОКОМПЛЕКТЛИЗИНГ</v>
          </cell>
          <cell r="C1655" t="str">
            <v>ХОВРИНО      (ОКТ)</v>
          </cell>
          <cell r="D1655">
            <v>32540</v>
          </cell>
          <cell r="E1655">
            <v>37832</v>
          </cell>
          <cell r="F1655">
            <v>163</v>
          </cell>
          <cell r="H1655">
            <v>0</v>
          </cell>
          <cell r="I1655" t="str">
            <v>деп</v>
          </cell>
          <cell r="J1655">
            <v>38382</v>
          </cell>
        </row>
        <row r="1656">
          <cell r="A1656">
            <v>58729518</v>
          </cell>
          <cell r="B1656" t="str">
            <v>ТЕХНОКОМПЛЕКТЛИЗИНГ</v>
          </cell>
          <cell r="C1656" t="str">
            <v>ХОВРИНО      (ОКТ)</v>
          </cell>
          <cell r="D1656">
            <v>32540</v>
          </cell>
          <cell r="E1656">
            <v>37832</v>
          </cell>
          <cell r="F1656">
            <v>163</v>
          </cell>
          <cell r="H1656">
            <v>0</v>
          </cell>
          <cell r="I1656" t="str">
            <v>деп</v>
          </cell>
          <cell r="J1656">
            <v>38382</v>
          </cell>
        </row>
        <row r="1657">
          <cell r="A1657">
            <v>58729526</v>
          </cell>
          <cell r="B1657" t="str">
            <v>ТЕХНОКОМПЛЕКТЛИЗИНГ</v>
          </cell>
          <cell r="C1657" t="str">
            <v>ХОВРИНО      (ОКТ)</v>
          </cell>
          <cell r="D1657">
            <v>32540</v>
          </cell>
          <cell r="E1657">
            <v>37832</v>
          </cell>
          <cell r="F1657">
            <v>163</v>
          </cell>
          <cell r="H1657">
            <v>0</v>
          </cell>
          <cell r="I1657" t="str">
            <v>деп</v>
          </cell>
          <cell r="J1657">
            <v>38382</v>
          </cell>
        </row>
        <row r="1658">
          <cell r="A1658">
            <v>58729534</v>
          </cell>
          <cell r="B1658" t="str">
            <v>ТЕХНОКОМПЛЕКТЛИЗИНГ</v>
          </cell>
          <cell r="C1658" t="str">
            <v>ХОВРИНО      (ОКТ)</v>
          </cell>
          <cell r="D1658">
            <v>32540</v>
          </cell>
          <cell r="E1658">
            <v>37832</v>
          </cell>
          <cell r="F1658">
            <v>163</v>
          </cell>
          <cell r="H1658">
            <v>0</v>
          </cell>
          <cell r="I1658" t="str">
            <v>деп</v>
          </cell>
          <cell r="J1658">
            <v>38382</v>
          </cell>
        </row>
        <row r="1659">
          <cell r="A1659">
            <v>58729542</v>
          </cell>
          <cell r="B1659" t="str">
            <v>ТЕХНОКОМПЛЕКТЛИЗИНГ</v>
          </cell>
          <cell r="C1659" t="str">
            <v>ХОВРИНО      (ОКТ)</v>
          </cell>
          <cell r="D1659">
            <v>32540</v>
          </cell>
          <cell r="E1659">
            <v>37832</v>
          </cell>
          <cell r="F1659">
            <v>557</v>
          </cell>
          <cell r="H1659">
            <v>0</v>
          </cell>
          <cell r="I1659" t="str">
            <v>деп</v>
          </cell>
          <cell r="J1659">
            <v>38382</v>
          </cell>
        </row>
        <row r="1660">
          <cell r="A1660">
            <v>58729559</v>
          </cell>
          <cell r="B1660" t="str">
            <v>ТЕХНОКОМПЛЕКТЛИЗИНГ</v>
          </cell>
          <cell r="C1660" t="str">
            <v>ХОВРИНО      (ОКТ)</v>
          </cell>
          <cell r="D1660">
            <v>32540</v>
          </cell>
          <cell r="E1660">
            <v>37832</v>
          </cell>
          <cell r="F1660">
            <v>557</v>
          </cell>
          <cell r="H1660">
            <v>0</v>
          </cell>
          <cell r="I1660" t="str">
            <v>деп</v>
          </cell>
          <cell r="J1660">
            <v>38382</v>
          </cell>
        </row>
        <row r="1661">
          <cell r="A1661">
            <v>58729567</v>
          </cell>
          <cell r="B1661" t="str">
            <v>ТЕХНОКОМПЛЕКТЛИЗИНГ</v>
          </cell>
          <cell r="C1661" t="str">
            <v>ХОВРИНО      (ОКТ)</v>
          </cell>
          <cell r="D1661">
            <v>32540</v>
          </cell>
          <cell r="E1661">
            <v>37833</v>
          </cell>
          <cell r="F1661">
            <v>557</v>
          </cell>
          <cell r="H1661">
            <v>0</v>
          </cell>
          <cell r="I1661" t="str">
            <v>деп</v>
          </cell>
          <cell r="J1661">
            <v>38383</v>
          </cell>
        </row>
        <row r="1662">
          <cell r="A1662">
            <v>58729575</v>
          </cell>
          <cell r="B1662" t="str">
            <v>ТЕХНОКОМПЛЕКТЛИЗИНГ</v>
          </cell>
          <cell r="C1662" t="str">
            <v>ХОВРИНО      (ОКТ)</v>
          </cell>
          <cell r="D1662">
            <v>32540</v>
          </cell>
          <cell r="E1662">
            <v>37833</v>
          </cell>
          <cell r="F1662">
            <v>557</v>
          </cell>
          <cell r="H1662">
            <v>0</v>
          </cell>
          <cell r="I1662" t="str">
            <v>деп</v>
          </cell>
          <cell r="J1662">
            <v>38383</v>
          </cell>
        </row>
        <row r="1663">
          <cell r="A1663">
            <v>58729674</v>
          </cell>
          <cell r="B1663" t="str">
            <v>ТЕХНОКОМПЛЕКТЛИЗИНГ</v>
          </cell>
          <cell r="C1663" t="str">
            <v>ХОВРИНО      (ОКТ)</v>
          </cell>
          <cell r="D1663">
            <v>32782</v>
          </cell>
          <cell r="E1663">
            <v>37830</v>
          </cell>
          <cell r="F1663">
            <v>557</v>
          </cell>
          <cell r="H1663">
            <v>0</v>
          </cell>
          <cell r="I1663" t="str">
            <v>деп</v>
          </cell>
          <cell r="J1663">
            <v>38380</v>
          </cell>
        </row>
        <row r="1664">
          <cell r="A1664">
            <v>58729682</v>
          </cell>
          <cell r="B1664" t="str">
            <v>ТЕХНОКОМПЛЕКТЛИЗИНГ</v>
          </cell>
          <cell r="C1664" t="str">
            <v>ХОВРИНО      (ОКТ)</v>
          </cell>
          <cell r="D1664">
            <v>32782</v>
          </cell>
          <cell r="E1664">
            <v>37832</v>
          </cell>
          <cell r="F1664">
            <v>557</v>
          </cell>
          <cell r="H1664">
            <v>0</v>
          </cell>
          <cell r="I1664" t="str">
            <v>деп</v>
          </cell>
          <cell r="J1664">
            <v>38382</v>
          </cell>
        </row>
        <row r="1665">
          <cell r="A1665">
            <v>58729708</v>
          </cell>
          <cell r="B1665" t="str">
            <v>ТЕХНОКОМПЛЕКТЛИЗИНГ</v>
          </cell>
          <cell r="C1665" t="str">
            <v>ХОВРИНО      (ОКТ)</v>
          </cell>
          <cell r="D1665">
            <v>32782</v>
          </cell>
          <cell r="E1665">
            <v>37830</v>
          </cell>
          <cell r="F1665">
            <v>557</v>
          </cell>
          <cell r="H1665">
            <v>0</v>
          </cell>
          <cell r="I1665" t="str">
            <v>деп</v>
          </cell>
          <cell r="J1665">
            <v>38380</v>
          </cell>
        </row>
        <row r="1666">
          <cell r="A1666">
            <v>58729716</v>
          </cell>
          <cell r="B1666" t="str">
            <v>ТЕХНОКОМПЛЕКТЛИЗИНГ</v>
          </cell>
          <cell r="C1666" t="str">
            <v>ХОВРИНО      (ОКТ)</v>
          </cell>
          <cell r="D1666">
            <v>32782</v>
          </cell>
          <cell r="E1666">
            <v>37832</v>
          </cell>
          <cell r="F1666">
            <v>557</v>
          </cell>
          <cell r="H1666">
            <v>0</v>
          </cell>
          <cell r="I1666" t="str">
            <v>деп</v>
          </cell>
          <cell r="J1666">
            <v>38382</v>
          </cell>
        </row>
        <row r="1667">
          <cell r="A1667">
            <v>58729724</v>
          </cell>
          <cell r="B1667" t="str">
            <v>ТЕХНОКОМПЛЕКТЛИЗИНГ</v>
          </cell>
          <cell r="C1667" t="str">
            <v>ХОВРИНО      (ОКТ)</v>
          </cell>
          <cell r="D1667">
            <v>32782</v>
          </cell>
          <cell r="E1667">
            <v>37833</v>
          </cell>
          <cell r="F1667">
            <v>163</v>
          </cell>
          <cell r="H1667">
            <v>0</v>
          </cell>
          <cell r="I1667" t="str">
            <v>деп</v>
          </cell>
          <cell r="J1667">
            <v>38383</v>
          </cell>
        </row>
        <row r="1668">
          <cell r="A1668">
            <v>58729732</v>
          </cell>
          <cell r="B1668" t="str">
            <v>ТЕХНОКОМПЛЕКТЛИЗИНГ</v>
          </cell>
          <cell r="C1668" t="str">
            <v>ХОВРИНО      (ОКТ)</v>
          </cell>
          <cell r="D1668">
            <v>32782</v>
          </cell>
          <cell r="E1668">
            <v>37833</v>
          </cell>
          <cell r="F1668">
            <v>163</v>
          </cell>
          <cell r="H1668">
            <v>0</v>
          </cell>
          <cell r="I1668" t="str">
            <v>деп</v>
          </cell>
          <cell r="J1668">
            <v>38383</v>
          </cell>
        </row>
        <row r="1669">
          <cell r="A1669">
            <v>58729740</v>
          </cell>
          <cell r="B1669" t="str">
            <v>ТЕХНОКОМПЛЕКТЛИЗИНГ</v>
          </cell>
          <cell r="C1669" t="str">
            <v>ХОВРИНО      (ОКТ)</v>
          </cell>
          <cell r="D1669">
            <v>32782</v>
          </cell>
          <cell r="E1669">
            <v>37833</v>
          </cell>
          <cell r="F1669">
            <v>163</v>
          </cell>
          <cell r="H1669">
            <v>0</v>
          </cell>
          <cell r="I1669" t="str">
            <v>деп</v>
          </cell>
          <cell r="J1669">
            <v>38383</v>
          </cell>
        </row>
        <row r="1670">
          <cell r="A1670">
            <v>58729757</v>
          </cell>
          <cell r="B1670" t="str">
            <v>ТЕХНОКОМПЛЕКТЛИЗИНГ</v>
          </cell>
          <cell r="C1670" t="str">
            <v>ХОВРИНО      (ОКТ)</v>
          </cell>
          <cell r="D1670">
            <v>32782</v>
          </cell>
          <cell r="E1670">
            <v>37833</v>
          </cell>
          <cell r="F1670">
            <v>163</v>
          </cell>
          <cell r="H1670">
            <v>0</v>
          </cell>
          <cell r="I1670" t="str">
            <v>деп</v>
          </cell>
          <cell r="J1670">
            <v>38383</v>
          </cell>
        </row>
        <row r="1671">
          <cell r="A1671">
            <v>58729849</v>
          </cell>
          <cell r="B1671" t="str">
            <v>ТЕХНОКОМПЛЕКТЛИЗИНГ</v>
          </cell>
          <cell r="C1671" t="str">
            <v>ХОВРИНО      (ОКТ)</v>
          </cell>
          <cell r="D1671">
            <v>32509</v>
          </cell>
          <cell r="E1671">
            <v>37828</v>
          </cell>
          <cell r="F1671">
            <v>163</v>
          </cell>
          <cell r="H1671">
            <v>0</v>
          </cell>
          <cell r="I1671" t="str">
            <v>кап</v>
          </cell>
          <cell r="J1671">
            <v>38378</v>
          </cell>
        </row>
        <row r="1672">
          <cell r="A1672">
            <v>58729856</v>
          </cell>
          <cell r="B1672" t="str">
            <v>ТЕХНОКОМПЛЕКТЛИЗИНГ</v>
          </cell>
          <cell r="C1672" t="str">
            <v>ХОВРИНО      (ОКТ)</v>
          </cell>
          <cell r="D1672">
            <v>32509</v>
          </cell>
          <cell r="E1672">
            <v>37828</v>
          </cell>
          <cell r="F1672">
            <v>163</v>
          </cell>
          <cell r="H1672">
            <v>0</v>
          </cell>
          <cell r="I1672" t="str">
            <v>кап</v>
          </cell>
          <cell r="J1672">
            <v>38378</v>
          </cell>
        </row>
        <row r="1673">
          <cell r="A1673">
            <v>58729864</v>
          </cell>
          <cell r="B1673" t="str">
            <v>ТЕХНОКОМПЛЕКТЛИЗИНГ</v>
          </cell>
          <cell r="C1673" t="str">
            <v>ХОВРИНО      (ОКТ)</v>
          </cell>
          <cell r="D1673">
            <v>32509</v>
          </cell>
          <cell r="E1673">
            <v>37828</v>
          </cell>
          <cell r="F1673">
            <v>163</v>
          </cell>
          <cell r="H1673">
            <v>0</v>
          </cell>
          <cell r="I1673" t="str">
            <v>кап</v>
          </cell>
          <cell r="J1673">
            <v>38378</v>
          </cell>
        </row>
        <row r="1674">
          <cell r="A1674">
            <v>58729872</v>
          </cell>
          <cell r="B1674" t="str">
            <v>ТЕХНОКОМПЛЕКТЛИЗИНГ</v>
          </cell>
          <cell r="C1674" t="str">
            <v>ХОВРИНО      (ОКТ)</v>
          </cell>
          <cell r="D1674">
            <v>32509</v>
          </cell>
          <cell r="E1674">
            <v>37828</v>
          </cell>
          <cell r="F1674">
            <v>163</v>
          </cell>
          <cell r="H1674">
            <v>0</v>
          </cell>
          <cell r="I1674" t="str">
            <v>кап</v>
          </cell>
          <cell r="J1674">
            <v>38378</v>
          </cell>
        </row>
        <row r="1675">
          <cell r="A1675">
            <v>58729914</v>
          </cell>
          <cell r="B1675" t="str">
            <v>ТЕХНОКОМПЛЕКТЛИЗИНГ</v>
          </cell>
          <cell r="C1675" t="str">
            <v>ХОВРИНО      (ОКТ)</v>
          </cell>
          <cell r="D1675">
            <v>32509</v>
          </cell>
          <cell r="E1675">
            <v>37833</v>
          </cell>
          <cell r="F1675">
            <v>163</v>
          </cell>
          <cell r="H1675">
            <v>0</v>
          </cell>
          <cell r="I1675" t="str">
            <v>кап</v>
          </cell>
          <cell r="J1675">
            <v>38383</v>
          </cell>
        </row>
        <row r="1676">
          <cell r="A1676">
            <v>58729922</v>
          </cell>
          <cell r="B1676" t="str">
            <v>ТЕХНОКОМПЛЕКТЛИЗИНГ</v>
          </cell>
          <cell r="C1676" t="str">
            <v>ХОВРИНО      (ОКТ)</v>
          </cell>
          <cell r="D1676">
            <v>32509</v>
          </cell>
          <cell r="E1676">
            <v>37844</v>
          </cell>
          <cell r="F1676">
            <v>557</v>
          </cell>
          <cell r="H1676">
            <v>0</v>
          </cell>
          <cell r="I1676" t="str">
            <v>кап</v>
          </cell>
          <cell r="J1676">
            <v>38394</v>
          </cell>
        </row>
        <row r="1677">
          <cell r="A1677">
            <v>58731407</v>
          </cell>
          <cell r="B1677" t="str">
            <v>ТЕХНОКОМПЛЕКТЛИЗИНГ</v>
          </cell>
          <cell r="C1677" t="str">
            <v>ХОВРИНО      (ОКТ)</v>
          </cell>
          <cell r="D1677">
            <v>32660</v>
          </cell>
          <cell r="E1677">
            <v>37826</v>
          </cell>
          <cell r="F1677">
            <v>163</v>
          </cell>
          <cell r="H1677">
            <v>0</v>
          </cell>
          <cell r="I1677" t="str">
            <v>деп</v>
          </cell>
          <cell r="J1677">
            <v>38376</v>
          </cell>
        </row>
        <row r="1678">
          <cell r="A1678">
            <v>58731415</v>
          </cell>
          <cell r="B1678" t="str">
            <v>ТЕХНОКОМПЛЕКТЛИЗИНГ</v>
          </cell>
          <cell r="C1678" t="str">
            <v>ХОВРИНО      (ОКТ)</v>
          </cell>
          <cell r="D1678">
            <v>32660</v>
          </cell>
          <cell r="E1678">
            <v>37826</v>
          </cell>
          <cell r="F1678">
            <v>163</v>
          </cell>
          <cell r="H1678">
            <v>0</v>
          </cell>
          <cell r="I1678" t="str">
            <v>деп</v>
          </cell>
          <cell r="J1678">
            <v>38376</v>
          </cell>
        </row>
        <row r="1679">
          <cell r="A1679">
            <v>58731423</v>
          </cell>
          <cell r="B1679" t="str">
            <v>ТЕХНОКОМПЛЕКТЛИЗИНГ</v>
          </cell>
          <cell r="C1679" t="str">
            <v>ХОВРИНО      (ОКТ)</v>
          </cell>
          <cell r="D1679">
            <v>32660</v>
          </cell>
          <cell r="E1679">
            <v>37826</v>
          </cell>
          <cell r="F1679">
            <v>163</v>
          </cell>
          <cell r="H1679">
            <v>0</v>
          </cell>
          <cell r="I1679" t="str">
            <v>деп</v>
          </cell>
          <cell r="J1679">
            <v>38376</v>
          </cell>
        </row>
        <row r="1680">
          <cell r="A1680">
            <v>58731431</v>
          </cell>
          <cell r="B1680" t="str">
            <v>ТЕХНОКОМПЛЕКТЛИЗИНГ</v>
          </cell>
          <cell r="C1680" t="str">
            <v>ХОВРИНО      (ОКТ)</v>
          </cell>
          <cell r="D1680">
            <v>32660</v>
          </cell>
          <cell r="E1680">
            <v>37826</v>
          </cell>
          <cell r="F1680">
            <v>163</v>
          </cell>
          <cell r="H1680">
            <v>0</v>
          </cell>
          <cell r="I1680" t="str">
            <v>деп</v>
          </cell>
          <cell r="J1680">
            <v>38376</v>
          </cell>
        </row>
        <row r="1681">
          <cell r="A1681">
            <v>58731480</v>
          </cell>
          <cell r="B1681" t="str">
            <v>ТЕХНОКОМПЛЕКТЛИЗИНГ</v>
          </cell>
          <cell r="C1681" t="str">
            <v>ХОВРИНО      (ОКТ)</v>
          </cell>
          <cell r="D1681">
            <v>32660</v>
          </cell>
          <cell r="E1681">
            <v>37793</v>
          </cell>
          <cell r="F1681">
            <v>492</v>
          </cell>
          <cell r="H1681">
            <v>0</v>
          </cell>
          <cell r="I1681" t="str">
            <v>деп</v>
          </cell>
          <cell r="J1681">
            <v>38342</v>
          </cell>
        </row>
        <row r="1682">
          <cell r="A1682">
            <v>58731498</v>
          </cell>
          <cell r="B1682" t="str">
            <v>ТЕХНОКОМПЛЕКТЛИЗИНГ</v>
          </cell>
          <cell r="C1682" t="str">
            <v>ХОВРИНО      (ОКТ)</v>
          </cell>
          <cell r="D1682">
            <v>32660</v>
          </cell>
          <cell r="E1682">
            <v>37793</v>
          </cell>
          <cell r="F1682">
            <v>492</v>
          </cell>
          <cell r="H1682">
            <v>0</v>
          </cell>
          <cell r="I1682" t="str">
            <v>деп</v>
          </cell>
          <cell r="J1682">
            <v>38342</v>
          </cell>
        </row>
        <row r="1683">
          <cell r="A1683">
            <v>58731506</v>
          </cell>
          <cell r="B1683" t="str">
            <v>ТЕХНОКОМПЛЕКТЛИЗИНГ</v>
          </cell>
          <cell r="C1683" t="str">
            <v>ХОВРИНО      (ОКТ)</v>
          </cell>
          <cell r="D1683">
            <v>32660</v>
          </cell>
          <cell r="E1683">
            <v>37793</v>
          </cell>
          <cell r="F1683">
            <v>492</v>
          </cell>
          <cell r="H1683">
            <v>0</v>
          </cell>
          <cell r="I1683" t="str">
            <v>деп</v>
          </cell>
          <cell r="J1683">
            <v>38342</v>
          </cell>
        </row>
        <row r="1684">
          <cell r="A1684">
            <v>58731514</v>
          </cell>
          <cell r="B1684" t="str">
            <v>ТЕХНОКОМПЛЕКТЛИЗИНГ</v>
          </cell>
          <cell r="C1684" t="str">
            <v>ХОВРИНО      (ОКТ)</v>
          </cell>
          <cell r="D1684">
            <v>32660</v>
          </cell>
          <cell r="E1684">
            <v>37793</v>
          </cell>
          <cell r="F1684">
            <v>492</v>
          </cell>
          <cell r="H1684">
            <v>0</v>
          </cell>
          <cell r="I1684" t="str">
            <v>деп</v>
          </cell>
          <cell r="J1684">
            <v>38342</v>
          </cell>
        </row>
        <row r="1685">
          <cell r="A1685">
            <v>58731522</v>
          </cell>
          <cell r="B1685" t="str">
            <v>ТЕХНОКОМПЛЕКТЛИЗИНГ</v>
          </cell>
          <cell r="C1685" t="str">
            <v>ХОВРИНО      (ОКТ)</v>
          </cell>
          <cell r="D1685">
            <v>32690</v>
          </cell>
          <cell r="E1685">
            <v>37816</v>
          </cell>
          <cell r="F1685">
            <v>163</v>
          </cell>
          <cell r="H1685">
            <v>0</v>
          </cell>
          <cell r="I1685" t="str">
            <v>деп</v>
          </cell>
          <cell r="J1685">
            <v>38366</v>
          </cell>
        </row>
        <row r="1686">
          <cell r="A1686">
            <v>58731530</v>
          </cell>
          <cell r="B1686" t="str">
            <v>ТЕХНОКОМПЛЕКТЛИЗИНГ</v>
          </cell>
          <cell r="C1686" t="str">
            <v>ХОВРИНО      (ОКТ)</v>
          </cell>
          <cell r="D1686">
            <v>32690</v>
          </cell>
          <cell r="E1686">
            <v>37816</v>
          </cell>
          <cell r="F1686">
            <v>163</v>
          </cell>
          <cell r="H1686">
            <v>0</v>
          </cell>
          <cell r="I1686" t="str">
            <v>деп</v>
          </cell>
          <cell r="J1686">
            <v>38366</v>
          </cell>
        </row>
        <row r="1687">
          <cell r="A1687">
            <v>58731548</v>
          </cell>
          <cell r="B1687" t="str">
            <v>ТЕХНОКОМПЛЕКТЛИЗИНГ</v>
          </cell>
          <cell r="C1687" t="str">
            <v>ХОВРИНО      (ОКТ)</v>
          </cell>
          <cell r="D1687">
            <v>32690</v>
          </cell>
          <cell r="E1687">
            <v>37816</v>
          </cell>
          <cell r="F1687">
            <v>163</v>
          </cell>
          <cell r="H1687">
            <v>0</v>
          </cell>
          <cell r="I1687" t="str">
            <v>деп</v>
          </cell>
          <cell r="J1687">
            <v>38366</v>
          </cell>
        </row>
        <row r="1688">
          <cell r="A1688">
            <v>58731555</v>
          </cell>
          <cell r="B1688" t="str">
            <v>ТЕХНОКОМПЛЕКТЛИЗИНГ</v>
          </cell>
          <cell r="C1688" t="str">
            <v>ХОВРИНО      (ОКТ)</v>
          </cell>
          <cell r="D1688">
            <v>32690</v>
          </cell>
          <cell r="E1688">
            <v>37816</v>
          </cell>
          <cell r="F1688">
            <v>163</v>
          </cell>
          <cell r="H1688">
            <v>0</v>
          </cell>
          <cell r="I1688" t="str">
            <v>деп</v>
          </cell>
          <cell r="J1688">
            <v>38366</v>
          </cell>
        </row>
        <row r="1689">
          <cell r="A1689">
            <v>58731563</v>
          </cell>
          <cell r="B1689" t="str">
            <v>ТЕХНОКОМПЛЕКТЛИЗИНГ</v>
          </cell>
          <cell r="C1689" t="str">
            <v>ХОВРИНО      (ОКТ)</v>
          </cell>
          <cell r="D1689">
            <v>32690</v>
          </cell>
          <cell r="E1689">
            <v>37825</v>
          </cell>
          <cell r="F1689">
            <v>492</v>
          </cell>
          <cell r="H1689">
            <v>0</v>
          </cell>
          <cell r="I1689" t="str">
            <v>деп</v>
          </cell>
          <cell r="J1689">
            <v>38375</v>
          </cell>
        </row>
        <row r="1690">
          <cell r="A1690">
            <v>58731571</v>
          </cell>
          <cell r="B1690" t="str">
            <v>ТЕХНОКОМПЛЕКТЛИЗИНГ</v>
          </cell>
          <cell r="C1690" t="str">
            <v>ХОВРИНО      (ОКТ)</v>
          </cell>
          <cell r="D1690">
            <v>32690</v>
          </cell>
          <cell r="E1690">
            <v>37825</v>
          </cell>
          <cell r="F1690">
            <v>492</v>
          </cell>
          <cell r="H1690">
            <v>0</v>
          </cell>
          <cell r="I1690" t="str">
            <v>деп</v>
          </cell>
          <cell r="J1690">
            <v>38375</v>
          </cell>
        </row>
        <row r="1691">
          <cell r="A1691">
            <v>58731589</v>
          </cell>
          <cell r="B1691" t="str">
            <v>ТЕХНОКОМПЛЕКТЛИЗИНГ</v>
          </cell>
          <cell r="C1691" t="str">
            <v>ХОВРИНО      (ОКТ)</v>
          </cell>
          <cell r="D1691">
            <v>32690</v>
          </cell>
          <cell r="E1691">
            <v>37825</v>
          </cell>
          <cell r="F1691">
            <v>492</v>
          </cell>
          <cell r="H1691">
            <v>0</v>
          </cell>
          <cell r="I1691" t="str">
            <v>деп</v>
          </cell>
          <cell r="J1691">
            <v>38375</v>
          </cell>
        </row>
        <row r="1692">
          <cell r="A1692">
            <v>58731597</v>
          </cell>
          <cell r="B1692" t="str">
            <v>ТЕХНОКОМПЛЕКТЛИЗИНГ</v>
          </cell>
          <cell r="C1692" t="str">
            <v>ХОВРИНО      (ОКТ)</v>
          </cell>
          <cell r="D1692">
            <v>32690</v>
          </cell>
          <cell r="E1692">
            <v>37825</v>
          </cell>
          <cell r="F1692">
            <v>492</v>
          </cell>
          <cell r="H1692">
            <v>0</v>
          </cell>
          <cell r="I1692" t="str">
            <v>деп</v>
          </cell>
          <cell r="J1692">
            <v>38375</v>
          </cell>
        </row>
        <row r="1693">
          <cell r="A1693">
            <v>58731605</v>
          </cell>
          <cell r="B1693" t="str">
            <v>ТЕХНОКОМПЛЕКТЛИЗИНГ</v>
          </cell>
          <cell r="C1693" t="str">
            <v>ХОВРИНО      (ОКТ)</v>
          </cell>
          <cell r="D1693">
            <v>32690</v>
          </cell>
          <cell r="E1693">
            <v>37768</v>
          </cell>
          <cell r="F1693">
            <v>492</v>
          </cell>
          <cell r="H1693">
            <v>0</v>
          </cell>
          <cell r="I1693" t="str">
            <v>деп</v>
          </cell>
          <cell r="J1693">
            <v>38318</v>
          </cell>
        </row>
        <row r="1694">
          <cell r="A1694">
            <v>58731613</v>
          </cell>
          <cell r="B1694" t="str">
            <v>ТЕХНОКОМПЛЕКТЛИЗИНГ</v>
          </cell>
          <cell r="C1694" t="str">
            <v>ХОВРИНО      (ОКТ)</v>
          </cell>
          <cell r="D1694">
            <v>32690</v>
          </cell>
          <cell r="E1694">
            <v>37768</v>
          </cell>
          <cell r="F1694">
            <v>492</v>
          </cell>
          <cell r="H1694">
            <v>0</v>
          </cell>
          <cell r="I1694" t="str">
            <v>деп</v>
          </cell>
          <cell r="J1694">
            <v>38318</v>
          </cell>
        </row>
        <row r="1695">
          <cell r="A1695">
            <v>58731621</v>
          </cell>
          <cell r="B1695" t="str">
            <v>ТЕХНОКОМПЛЕКТЛИЗИНГ</v>
          </cell>
          <cell r="C1695" t="str">
            <v>ХОВРИНО      (ОКТ)</v>
          </cell>
          <cell r="D1695">
            <v>32690</v>
          </cell>
          <cell r="E1695">
            <v>37768</v>
          </cell>
          <cell r="F1695">
            <v>492</v>
          </cell>
          <cell r="H1695">
            <v>0</v>
          </cell>
          <cell r="I1695" t="str">
            <v>деп</v>
          </cell>
          <cell r="J1695">
            <v>38318</v>
          </cell>
        </row>
        <row r="1696">
          <cell r="A1696">
            <v>58731639</v>
          </cell>
          <cell r="B1696" t="str">
            <v>ТЕХНОКОМПЛЕКТЛИЗИНГ</v>
          </cell>
          <cell r="C1696" t="str">
            <v>ХОВРИНО      (ОКТ)</v>
          </cell>
          <cell r="D1696">
            <v>32690</v>
          </cell>
          <cell r="E1696">
            <v>37768</v>
          </cell>
          <cell r="F1696">
            <v>492</v>
          </cell>
          <cell r="H1696">
            <v>0</v>
          </cell>
          <cell r="I1696" t="str">
            <v>деп</v>
          </cell>
          <cell r="J1696">
            <v>38318</v>
          </cell>
        </row>
        <row r="1697">
          <cell r="A1697">
            <v>58731803</v>
          </cell>
          <cell r="B1697" t="str">
            <v>ТЕХНОКОМПЛЕКТЛИЗИНГ</v>
          </cell>
          <cell r="C1697" t="str">
            <v>ХОВРИНО      (ОКТ)</v>
          </cell>
          <cell r="D1697">
            <v>32660</v>
          </cell>
          <cell r="E1697">
            <v>37957</v>
          </cell>
          <cell r="F1697">
            <v>557</v>
          </cell>
          <cell r="H1697">
            <v>0</v>
          </cell>
          <cell r="I1697" t="str">
            <v>кап</v>
          </cell>
          <cell r="J1697">
            <v>38505</v>
          </cell>
        </row>
        <row r="1698">
          <cell r="A1698">
            <v>58731811</v>
          </cell>
          <cell r="B1698" t="str">
            <v>ТЕХНОКОМПЛЕКТЛИЗИНГ</v>
          </cell>
          <cell r="C1698" t="str">
            <v>ХОВРИНО      (ОКТ)</v>
          </cell>
          <cell r="D1698">
            <v>32660</v>
          </cell>
          <cell r="E1698">
            <v>37979</v>
          </cell>
          <cell r="F1698">
            <v>557</v>
          </cell>
          <cell r="H1698">
            <v>0</v>
          </cell>
          <cell r="I1698" t="str">
            <v>кап</v>
          </cell>
          <cell r="J1698">
            <v>38527</v>
          </cell>
        </row>
        <row r="1699">
          <cell r="A1699">
            <v>58731829</v>
          </cell>
          <cell r="B1699" t="str">
            <v>ТЕХНОКОМПЛЕКТЛИЗИНГ</v>
          </cell>
          <cell r="C1699" t="str">
            <v>ХОВРИНО      (ОКТ)</v>
          </cell>
          <cell r="D1699">
            <v>32660</v>
          </cell>
          <cell r="E1699">
            <v>37979</v>
          </cell>
          <cell r="F1699">
            <v>557</v>
          </cell>
          <cell r="H1699">
            <v>0</v>
          </cell>
          <cell r="I1699" t="str">
            <v>кап</v>
          </cell>
          <cell r="J1699">
            <v>38527</v>
          </cell>
        </row>
        <row r="1700">
          <cell r="A1700">
            <v>58731837</v>
          </cell>
          <cell r="B1700" t="str">
            <v>ТЕХНОКОМПЛЕКТЛИЗИНГ</v>
          </cell>
          <cell r="C1700" t="str">
            <v>ХОВРИНО      (ОКТ)</v>
          </cell>
          <cell r="D1700">
            <v>32660</v>
          </cell>
          <cell r="E1700">
            <v>37958</v>
          </cell>
          <cell r="F1700">
            <v>557</v>
          </cell>
          <cell r="H1700">
            <v>0</v>
          </cell>
          <cell r="I1700" t="str">
            <v>кап</v>
          </cell>
          <cell r="J1700">
            <v>38506</v>
          </cell>
        </row>
        <row r="1701">
          <cell r="A1701">
            <v>58732009</v>
          </cell>
          <cell r="B1701" t="str">
            <v>ТЕХНОКОМПЛЕКТЛИЗИНГ</v>
          </cell>
          <cell r="C1701" t="str">
            <v>ХОВРИНО      (ОКТ)</v>
          </cell>
          <cell r="D1701">
            <v>32660</v>
          </cell>
          <cell r="E1701">
            <v>37957</v>
          </cell>
          <cell r="F1701">
            <v>557</v>
          </cell>
          <cell r="H1701">
            <v>0</v>
          </cell>
          <cell r="I1701" t="str">
            <v>кап</v>
          </cell>
          <cell r="J1701">
            <v>38505</v>
          </cell>
        </row>
        <row r="1702">
          <cell r="A1702">
            <v>58732017</v>
          </cell>
          <cell r="B1702" t="str">
            <v>ТЕХНОКОМПЛЕКТЛИЗИНГ</v>
          </cell>
          <cell r="C1702" t="str">
            <v>ХОВРИНО      (ОКТ)</v>
          </cell>
          <cell r="D1702">
            <v>32660</v>
          </cell>
          <cell r="E1702">
            <v>37957</v>
          </cell>
          <cell r="F1702">
            <v>557</v>
          </cell>
          <cell r="H1702">
            <v>0</v>
          </cell>
          <cell r="I1702" t="str">
            <v>кап</v>
          </cell>
          <cell r="J1702">
            <v>38505</v>
          </cell>
        </row>
        <row r="1703">
          <cell r="A1703">
            <v>58732025</v>
          </cell>
          <cell r="B1703" t="str">
            <v>ТЕХНОКОМПЛЕКТЛИЗИНГ</v>
          </cell>
          <cell r="C1703" t="str">
            <v>ХОВРИНО      (ОКТ)</v>
          </cell>
          <cell r="D1703">
            <v>32660</v>
          </cell>
          <cell r="E1703">
            <v>37957</v>
          </cell>
          <cell r="F1703">
            <v>557</v>
          </cell>
          <cell r="H1703">
            <v>0</v>
          </cell>
          <cell r="I1703" t="str">
            <v>кап</v>
          </cell>
          <cell r="J1703">
            <v>38505</v>
          </cell>
        </row>
        <row r="1704">
          <cell r="A1704">
            <v>58732033</v>
          </cell>
          <cell r="B1704" t="str">
            <v>ТЕХНОКОМПЛЕКТЛИЗИНГ</v>
          </cell>
          <cell r="C1704" t="str">
            <v>ХОВРИНО      (ОКТ)</v>
          </cell>
          <cell r="D1704">
            <v>32660</v>
          </cell>
          <cell r="E1704">
            <v>37960</v>
          </cell>
          <cell r="F1704">
            <v>557</v>
          </cell>
          <cell r="H1704">
            <v>0</v>
          </cell>
          <cell r="I1704" t="str">
            <v>кап</v>
          </cell>
          <cell r="J1704">
            <v>38508</v>
          </cell>
        </row>
        <row r="1705">
          <cell r="A1705">
            <v>58732165</v>
          </cell>
          <cell r="B1705" t="str">
            <v>ТЕХНОКОМПЛЕКТЛИЗИНГ</v>
          </cell>
          <cell r="C1705" t="str">
            <v>ХОВРИНО      (ОКТ)</v>
          </cell>
          <cell r="D1705">
            <v>32660</v>
          </cell>
          <cell r="E1705">
            <v>37916</v>
          </cell>
          <cell r="F1705">
            <v>492</v>
          </cell>
          <cell r="H1705">
            <v>0</v>
          </cell>
          <cell r="I1705" t="str">
            <v>деп</v>
          </cell>
          <cell r="J1705">
            <v>38464</v>
          </cell>
        </row>
        <row r="1706">
          <cell r="A1706">
            <v>58732173</v>
          </cell>
          <cell r="B1706" t="str">
            <v>ТЕХНОКОМПЛЕКТЛИЗИНГ</v>
          </cell>
          <cell r="C1706" t="str">
            <v>ХОВРИНО      (ОКТ)</v>
          </cell>
          <cell r="D1706">
            <v>32660</v>
          </cell>
          <cell r="E1706">
            <v>37916</v>
          </cell>
          <cell r="F1706">
            <v>492</v>
          </cell>
          <cell r="H1706">
            <v>0</v>
          </cell>
          <cell r="I1706" t="str">
            <v>деп</v>
          </cell>
          <cell r="J1706">
            <v>38464</v>
          </cell>
        </row>
        <row r="1707">
          <cell r="A1707">
            <v>58732181</v>
          </cell>
          <cell r="B1707" t="str">
            <v>ТЕХНОКОМПЛЕКТЛИЗИНГ</v>
          </cell>
          <cell r="C1707" t="str">
            <v>ХОВРИНО      (ОКТ)</v>
          </cell>
          <cell r="D1707">
            <v>32660</v>
          </cell>
          <cell r="E1707">
            <v>37916</v>
          </cell>
          <cell r="F1707">
            <v>492</v>
          </cell>
          <cell r="H1707">
            <v>0</v>
          </cell>
          <cell r="I1707" t="str">
            <v>деп</v>
          </cell>
          <cell r="J1707">
            <v>38464</v>
          </cell>
        </row>
        <row r="1708">
          <cell r="A1708">
            <v>58732199</v>
          </cell>
          <cell r="B1708" t="str">
            <v>ТЕХНОКОМПЛЕКТЛИЗИНГ</v>
          </cell>
          <cell r="C1708" t="str">
            <v>ХОВРИНО      (ОКТ)</v>
          </cell>
          <cell r="D1708">
            <v>32660</v>
          </cell>
          <cell r="E1708">
            <v>37916</v>
          </cell>
          <cell r="F1708">
            <v>492</v>
          </cell>
          <cell r="H1708">
            <v>0</v>
          </cell>
          <cell r="I1708" t="str">
            <v>деп</v>
          </cell>
          <cell r="J1708">
            <v>38464</v>
          </cell>
        </row>
        <row r="1709">
          <cell r="B1709" t="str">
            <v>ТЕХНОКОМПЛЕКТЛИЗИНГ Количество</v>
          </cell>
          <cell r="D1709">
            <v>145</v>
          </cell>
        </row>
        <row r="1710">
          <cell r="A1710">
            <v>58724881</v>
          </cell>
          <cell r="B1710" t="str">
            <v>ТЕХПРОМ</v>
          </cell>
          <cell r="C1710" t="str">
            <v>УССУРИЙСК    (ДВС)</v>
          </cell>
          <cell r="D1710">
            <v>32965</v>
          </cell>
          <cell r="E1710">
            <v>37867</v>
          </cell>
          <cell r="F1710">
            <v>163</v>
          </cell>
          <cell r="H1710">
            <v>0</v>
          </cell>
          <cell r="I1710" t="str">
            <v>деп</v>
          </cell>
          <cell r="J1710">
            <v>38414</v>
          </cell>
        </row>
        <row r="1711">
          <cell r="B1711" t="str">
            <v>ТЕХПРОМ Количество</v>
          </cell>
          <cell r="D1711">
            <v>1</v>
          </cell>
        </row>
        <row r="1712">
          <cell r="A1712">
            <v>58724345</v>
          </cell>
          <cell r="B1712" t="str">
            <v>ТЗБ СЕВЕРГАЗТОРГА</v>
          </cell>
          <cell r="C1712" t="str">
            <v>УХТА         (СЕВ)</v>
          </cell>
          <cell r="D1712">
            <v>32843</v>
          </cell>
          <cell r="E1712">
            <v>35457</v>
          </cell>
        </row>
        <row r="1713">
          <cell r="B1713" t="str">
            <v>ТЗБ СЕВЕРГАЗТОРГА Количество</v>
          </cell>
          <cell r="D1713">
            <v>1</v>
          </cell>
        </row>
        <row r="1714">
          <cell r="A1714">
            <v>53706743</v>
          </cell>
          <cell r="B1714" t="str">
            <v>ТОРГОВЫЙ ДОМ ТРИАДА</v>
          </cell>
          <cell r="C1714" t="str">
            <v>ПРИСАДЫ      (МСK)</v>
          </cell>
          <cell r="D1714">
            <v>33526</v>
          </cell>
          <cell r="F1714">
            <v>0</v>
          </cell>
          <cell r="H1714">
            <v>0</v>
          </cell>
          <cell r="I1714" t="str">
            <v>деп</v>
          </cell>
          <cell r="J1714">
            <v>34439</v>
          </cell>
        </row>
        <row r="1715">
          <cell r="A1715">
            <v>53706750</v>
          </cell>
          <cell r="B1715" t="str">
            <v>ТОРГОВЫЙ ДОМ ТРИАДА</v>
          </cell>
          <cell r="C1715" t="str">
            <v>ПРИСАДЫ      (МСK)</v>
          </cell>
          <cell r="D1715">
            <v>33522</v>
          </cell>
          <cell r="F1715">
            <v>0</v>
          </cell>
          <cell r="H1715">
            <v>0</v>
          </cell>
          <cell r="I1715" t="str">
            <v>деп</v>
          </cell>
          <cell r="J1715">
            <v>34435</v>
          </cell>
        </row>
        <row r="1716">
          <cell r="A1716">
            <v>58741554</v>
          </cell>
          <cell r="B1716" t="str">
            <v>ТОРГОВЫЙ ДОМ ТРИАДА</v>
          </cell>
          <cell r="C1716" t="str">
            <v>ПРИСАДЫ      (МСK)</v>
          </cell>
          <cell r="D1716">
            <v>33572</v>
          </cell>
          <cell r="F1716">
            <v>0</v>
          </cell>
          <cell r="H1716">
            <v>0</v>
          </cell>
          <cell r="I1716" t="str">
            <v>деп</v>
          </cell>
          <cell r="J1716">
            <v>34484</v>
          </cell>
        </row>
        <row r="1717">
          <cell r="A1717">
            <v>58741562</v>
          </cell>
          <cell r="B1717" t="str">
            <v>ТОРГОВЫЙ ДОМ ТРИАДА</v>
          </cell>
          <cell r="C1717" t="str">
            <v>ПРИСАДЫ      (МСK)</v>
          </cell>
          <cell r="D1717">
            <v>33571</v>
          </cell>
          <cell r="F1717">
            <v>0</v>
          </cell>
          <cell r="H1717">
            <v>0</v>
          </cell>
          <cell r="I1717" t="str">
            <v>деп</v>
          </cell>
          <cell r="J1717">
            <v>34483</v>
          </cell>
        </row>
        <row r="1718">
          <cell r="A1718">
            <v>58741570</v>
          </cell>
          <cell r="B1718" t="str">
            <v>ТОРГОВЫЙ ДОМ ТРИАДА</v>
          </cell>
          <cell r="C1718" t="str">
            <v>ПРИСАДЫ      (МСK)</v>
          </cell>
          <cell r="D1718">
            <v>33571</v>
          </cell>
          <cell r="F1718">
            <v>0</v>
          </cell>
          <cell r="H1718">
            <v>0</v>
          </cell>
          <cell r="I1718" t="str">
            <v>деп</v>
          </cell>
          <cell r="J1718">
            <v>34483</v>
          </cell>
        </row>
        <row r="1719">
          <cell r="A1719">
            <v>58741588</v>
          </cell>
          <cell r="B1719" t="str">
            <v>ТОРГОВЫЙ ДОМ ТРИАДА</v>
          </cell>
          <cell r="C1719" t="str">
            <v>ПРИСАДЫ      (МСK)</v>
          </cell>
          <cell r="D1719">
            <v>33571</v>
          </cell>
          <cell r="F1719">
            <v>0</v>
          </cell>
          <cell r="H1719">
            <v>0</v>
          </cell>
          <cell r="I1719" t="str">
            <v>деп</v>
          </cell>
          <cell r="J1719">
            <v>34483</v>
          </cell>
        </row>
        <row r="1720">
          <cell r="B1720" t="str">
            <v>ТОРГОВЫЙ ДОМ ТРИАДА Количество</v>
          </cell>
          <cell r="D1720">
            <v>6</v>
          </cell>
        </row>
        <row r="1721">
          <cell r="A1721">
            <v>58740473</v>
          </cell>
          <cell r="B1721" t="str">
            <v>ТРАНЗИТ ТК</v>
          </cell>
          <cell r="C1721" t="str">
            <v>КРАСНОЯРСК   (КРС)</v>
          </cell>
          <cell r="D1721">
            <v>32933</v>
          </cell>
          <cell r="E1721">
            <v>37775</v>
          </cell>
          <cell r="F1721">
            <v>634</v>
          </cell>
          <cell r="H1721">
            <v>0</v>
          </cell>
          <cell r="I1721" t="str">
            <v>деп</v>
          </cell>
          <cell r="J1721">
            <v>38324</v>
          </cell>
        </row>
        <row r="1722">
          <cell r="B1722" t="str">
            <v>ТРАНЗИТ ТК Количество</v>
          </cell>
          <cell r="D1722">
            <v>1</v>
          </cell>
        </row>
        <row r="1723">
          <cell r="A1723">
            <v>53400081</v>
          </cell>
          <cell r="B1723" t="str">
            <v>ТРАНС СЕКТОР</v>
          </cell>
          <cell r="C1723" t="str">
            <v>ЛОСИНООСТРОВ (МСK)</v>
          </cell>
          <cell r="D1723">
            <v>28430</v>
          </cell>
          <cell r="E1723">
            <v>37841</v>
          </cell>
          <cell r="F1723">
            <v>350</v>
          </cell>
          <cell r="G1723">
            <v>32426</v>
          </cell>
          <cell r="H1723">
            <v>840</v>
          </cell>
          <cell r="I1723" t="str">
            <v>деп</v>
          </cell>
          <cell r="J1723">
            <v>38391</v>
          </cell>
        </row>
        <row r="1724">
          <cell r="A1724">
            <v>53400107</v>
          </cell>
          <cell r="B1724" t="str">
            <v>ТРАНС СЕКТОР</v>
          </cell>
          <cell r="C1724" t="str">
            <v>ЛОСИНООСТРОВ (МСK)</v>
          </cell>
          <cell r="D1724">
            <v>28491</v>
          </cell>
          <cell r="E1724">
            <v>37938</v>
          </cell>
          <cell r="F1724">
            <v>350</v>
          </cell>
          <cell r="G1724">
            <v>33761</v>
          </cell>
          <cell r="H1724">
            <v>840</v>
          </cell>
          <cell r="I1724" t="str">
            <v>деп</v>
          </cell>
          <cell r="J1724">
            <v>38485</v>
          </cell>
        </row>
        <row r="1725">
          <cell r="A1725">
            <v>53400156</v>
          </cell>
          <cell r="B1725" t="str">
            <v>ТРАНС СЕКТОР</v>
          </cell>
          <cell r="C1725" t="str">
            <v>ЛОСИНООСТРОВ (МСK)</v>
          </cell>
          <cell r="D1725">
            <v>28399</v>
          </cell>
          <cell r="E1725">
            <v>37883</v>
          </cell>
          <cell r="F1725">
            <v>350</v>
          </cell>
          <cell r="G1725">
            <v>32458</v>
          </cell>
          <cell r="H1725">
            <v>840</v>
          </cell>
          <cell r="I1725" t="str">
            <v>деп</v>
          </cell>
          <cell r="J1725">
            <v>38430</v>
          </cell>
        </row>
        <row r="1726">
          <cell r="A1726">
            <v>53400180</v>
          </cell>
          <cell r="B1726" t="str">
            <v>ТРАНС СЕКТОР</v>
          </cell>
          <cell r="C1726" t="str">
            <v>ЛОСИНООСТРОВ (МСK)</v>
          </cell>
          <cell r="D1726">
            <v>28491</v>
          </cell>
          <cell r="E1726">
            <v>37894</v>
          </cell>
          <cell r="F1726">
            <v>350</v>
          </cell>
          <cell r="G1726">
            <v>32489</v>
          </cell>
          <cell r="H1726">
            <v>840</v>
          </cell>
          <cell r="I1726" t="str">
            <v>деп</v>
          </cell>
          <cell r="J1726">
            <v>38441</v>
          </cell>
        </row>
        <row r="1727">
          <cell r="A1727">
            <v>58730003</v>
          </cell>
          <cell r="B1727" t="str">
            <v>ТРАНС СЕКТОР</v>
          </cell>
          <cell r="C1727" t="str">
            <v>ЛОСИНООСТРОВ (МСK)</v>
          </cell>
          <cell r="D1727">
            <v>28430</v>
          </cell>
          <cell r="E1727">
            <v>37841</v>
          </cell>
          <cell r="F1727">
            <v>350</v>
          </cell>
          <cell r="G1727">
            <v>32426</v>
          </cell>
          <cell r="H1727">
            <v>840</v>
          </cell>
          <cell r="I1727" t="str">
            <v>деп</v>
          </cell>
          <cell r="J1727">
            <v>38391</v>
          </cell>
        </row>
        <row r="1728">
          <cell r="A1728">
            <v>58730011</v>
          </cell>
          <cell r="B1728" t="str">
            <v>ТРАНС СЕКТОР</v>
          </cell>
          <cell r="C1728" t="str">
            <v>ЛОСИНООСТРОВ (МСK)</v>
          </cell>
          <cell r="D1728">
            <v>28430</v>
          </cell>
          <cell r="E1728">
            <v>37841</v>
          </cell>
          <cell r="F1728">
            <v>350</v>
          </cell>
          <cell r="G1728">
            <v>32426</v>
          </cell>
          <cell r="H1728">
            <v>840</v>
          </cell>
          <cell r="I1728" t="str">
            <v>деп</v>
          </cell>
          <cell r="J1728">
            <v>38391</v>
          </cell>
        </row>
        <row r="1729">
          <cell r="A1729">
            <v>58730029</v>
          </cell>
          <cell r="B1729" t="str">
            <v>ТРАНС СЕКТОР</v>
          </cell>
          <cell r="C1729" t="str">
            <v>ЛОСИНООСТРОВ (МСK)</v>
          </cell>
          <cell r="D1729">
            <v>28430</v>
          </cell>
          <cell r="E1729">
            <v>37841</v>
          </cell>
          <cell r="F1729">
            <v>350</v>
          </cell>
          <cell r="G1729">
            <v>32426</v>
          </cell>
          <cell r="H1729">
            <v>840</v>
          </cell>
          <cell r="I1729" t="str">
            <v>деп</v>
          </cell>
          <cell r="J1729">
            <v>38391</v>
          </cell>
        </row>
        <row r="1730">
          <cell r="A1730">
            <v>58730037</v>
          </cell>
          <cell r="B1730" t="str">
            <v>ТРАНС СЕКТОР</v>
          </cell>
          <cell r="C1730" t="str">
            <v>ЛОСИНООСТРОВ (МСK)</v>
          </cell>
          <cell r="D1730">
            <v>28430</v>
          </cell>
          <cell r="E1730">
            <v>37841</v>
          </cell>
          <cell r="F1730">
            <v>350</v>
          </cell>
          <cell r="G1730">
            <v>32426</v>
          </cell>
          <cell r="H1730">
            <v>840</v>
          </cell>
          <cell r="I1730" t="str">
            <v>деп</v>
          </cell>
          <cell r="J1730">
            <v>38391</v>
          </cell>
        </row>
        <row r="1731">
          <cell r="A1731">
            <v>58730045</v>
          </cell>
          <cell r="B1731" t="str">
            <v>ТРАНС СЕКТОР</v>
          </cell>
          <cell r="C1731" t="str">
            <v>ЛОСИНООСТРОВ (МСK)</v>
          </cell>
          <cell r="D1731">
            <v>28491</v>
          </cell>
          <cell r="E1731">
            <v>37938</v>
          </cell>
          <cell r="F1731">
            <v>350</v>
          </cell>
          <cell r="G1731">
            <v>33761</v>
          </cell>
          <cell r="H1731">
            <v>840</v>
          </cell>
          <cell r="I1731" t="str">
            <v>деп</v>
          </cell>
          <cell r="J1731">
            <v>38485</v>
          </cell>
        </row>
        <row r="1732">
          <cell r="A1732">
            <v>58730052</v>
          </cell>
          <cell r="B1732" t="str">
            <v>ТРАНС СЕКТОР</v>
          </cell>
          <cell r="C1732" t="str">
            <v>ЛОСИНООСТРОВ (МСK)</v>
          </cell>
          <cell r="D1732">
            <v>28491</v>
          </cell>
          <cell r="E1732">
            <v>37938</v>
          </cell>
          <cell r="F1732">
            <v>350</v>
          </cell>
          <cell r="G1732">
            <v>33761</v>
          </cell>
          <cell r="H1732">
            <v>840</v>
          </cell>
          <cell r="I1732" t="str">
            <v>деп</v>
          </cell>
          <cell r="J1732">
            <v>38485</v>
          </cell>
        </row>
        <row r="1733">
          <cell r="A1733">
            <v>58730060</v>
          </cell>
          <cell r="B1733" t="str">
            <v>ТРАНС СЕКТОР</v>
          </cell>
          <cell r="C1733" t="str">
            <v>ЛОСИНООСТРОВ (МСK)</v>
          </cell>
          <cell r="D1733">
            <v>28491</v>
          </cell>
          <cell r="E1733">
            <v>37938</v>
          </cell>
          <cell r="F1733">
            <v>350</v>
          </cell>
          <cell r="G1733">
            <v>33761</v>
          </cell>
          <cell r="H1733">
            <v>840</v>
          </cell>
          <cell r="I1733" t="str">
            <v>деп</v>
          </cell>
          <cell r="J1733">
            <v>38485</v>
          </cell>
        </row>
        <row r="1734">
          <cell r="A1734">
            <v>58730078</v>
          </cell>
          <cell r="B1734" t="str">
            <v>ТРАНС СЕКТОР</v>
          </cell>
          <cell r="C1734" t="str">
            <v>ЛОСИНООСТРОВ (МСK)</v>
          </cell>
          <cell r="D1734">
            <v>28491</v>
          </cell>
          <cell r="E1734">
            <v>37938</v>
          </cell>
          <cell r="F1734">
            <v>350</v>
          </cell>
          <cell r="G1734">
            <v>33761</v>
          </cell>
          <cell r="H1734">
            <v>840</v>
          </cell>
          <cell r="I1734" t="str">
            <v>деп</v>
          </cell>
          <cell r="J1734">
            <v>38485</v>
          </cell>
        </row>
        <row r="1735">
          <cell r="A1735">
            <v>58730243</v>
          </cell>
          <cell r="B1735" t="str">
            <v>ТРАНС СЕКТОР</v>
          </cell>
          <cell r="C1735" t="str">
            <v>ЛОСИНООСТРОВ (МСK)</v>
          </cell>
          <cell r="D1735">
            <v>28399</v>
          </cell>
          <cell r="E1735">
            <v>37883</v>
          </cell>
          <cell r="F1735">
            <v>350</v>
          </cell>
          <cell r="G1735">
            <v>32458</v>
          </cell>
          <cell r="H1735">
            <v>840</v>
          </cell>
          <cell r="I1735" t="str">
            <v>деп</v>
          </cell>
          <cell r="J1735">
            <v>38430</v>
          </cell>
        </row>
        <row r="1736">
          <cell r="A1736">
            <v>58730250</v>
          </cell>
          <cell r="B1736" t="str">
            <v>ТРАНС СЕКТОР</v>
          </cell>
          <cell r="C1736" t="str">
            <v>ЛОСИНООСТРОВ (МСK)</v>
          </cell>
          <cell r="D1736">
            <v>28399</v>
          </cell>
          <cell r="E1736">
            <v>37883</v>
          </cell>
          <cell r="F1736">
            <v>350</v>
          </cell>
          <cell r="G1736">
            <v>32458</v>
          </cell>
          <cell r="H1736">
            <v>840</v>
          </cell>
          <cell r="I1736" t="str">
            <v>деп</v>
          </cell>
          <cell r="J1736">
            <v>38430</v>
          </cell>
        </row>
        <row r="1737">
          <cell r="A1737">
            <v>58730268</v>
          </cell>
          <cell r="B1737" t="str">
            <v>ТРАНС СЕКТОР</v>
          </cell>
          <cell r="C1737" t="str">
            <v>ЛОСИНООСТРОВ (МСK)</v>
          </cell>
          <cell r="D1737">
            <v>28399</v>
          </cell>
          <cell r="E1737">
            <v>37883</v>
          </cell>
          <cell r="F1737">
            <v>350</v>
          </cell>
          <cell r="G1737">
            <v>32458</v>
          </cell>
          <cell r="H1737">
            <v>840</v>
          </cell>
          <cell r="I1737" t="str">
            <v>деп</v>
          </cell>
          <cell r="J1737">
            <v>38430</v>
          </cell>
        </row>
        <row r="1738">
          <cell r="A1738">
            <v>58730276</v>
          </cell>
          <cell r="B1738" t="str">
            <v>ТРАНС СЕКТОР</v>
          </cell>
          <cell r="C1738" t="str">
            <v>ЛОСИНООСТРОВ (МСK)</v>
          </cell>
          <cell r="D1738">
            <v>28399</v>
          </cell>
          <cell r="E1738">
            <v>37883</v>
          </cell>
          <cell r="F1738">
            <v>350</v>
          </cell>
          <cell r="G1738">
            <v>32458</v>
          </cell>
          <cell r="H1738">
            <v>840</v>
          </cell>
          <cell r="I1738" t="str">
            <v>деп</v>
          </cell>
          <cell r="J1738">
            <v>38430</v>
          </cell>
        </row>
        <row r="1739">
          <cell r="A1739">
            <v>58730367</v>
          </cell>
          <cell r="B1739" t="str">
            <v>ТРАНС СЕКТОР</v>
          </cell>
          <cell r="C1739" t="str">
            <v>ЛОСИНООСТРОВ (МСK)</v>
          </cell>
          <cell r="D1739">
            <v>28491</v>
          </cell>
          <cell r="E1739">
            <v>37894</v>
          </cell>
          <cell r="F1739">
            <v>350</v>
          </cell>
          <cell r="G1739">
            <v>32489</v>
          </cell>
          <cell r="H1739">
            <v>840</v>
          </cell>
          <cell r="I1739" t="str">
            <v>деп</v>
          </cell>
          <cell r="J1739">
            <v>38441</v>
          </cell>
        </row>
        <row r="1740">
          <cell r="A1740">
            <v>58730375</v>
          </cell>
          <cell r="B1740" t="str">
            <v>ТРАНС СЕКТОР</v>
          </cell>
          <cell r="C1740" t="str">
            <v>ЛОСИНООСТРОВ (МСK)</v>
          </cell>
          <cell r="D1740">
            <v>28491</v>
          </cell>
          <cell r="E1740">
            <v>37894</v>
          </cell>
          <cell r="F1740">
            <v>350</v>
          </cell>
          <cell r="G1740">
            <v>32489</v>
          </cell>
          <cell r="H1740">
            <v>840</v>
          </cell>
          <cell r="I1740" t="str">
            <v>деп</v>
          </cell>
          <cell r="J1740">
            <v>38441</v>
          </cell>
        </row>
        <row r="1741">
          <cell r="A1741">
            <v>58730383</v>
          </cell>
          <cell r="B1741" t="str">
            <v>ТРАНС СЕКТОР</v>
          </cell>
          <cell r="C1741" t="str">
            <v>ЛОСИНООСТРОВ (МСK)</v>
          </cell>
          <cell r="D1741">
            <v>28491</v>
          </cell>
          <cell r="E1741">
            <v>37894</v>
          </cell>
          <cell r="F1741">
            <v>350</v>
          </cell>
          <cell r="G1741">
            <v>32489</v>
          </cell>
          <cell r="H1741">
            <v>840</v>
          </cell>
          <cell r="I1741" t="str">
            <v>деп</v>
          </cell>
          <cell r="J1741">
            <v>38441</v>
          </cell>
        </row>
        <row r="1742">
          <cell r="A1742">
            <v>58730391</v>
          </cell>
          <cell r="B1742" t="str">
            <v>ТРАНС СЕКТОР</v>
          </cell>
          <cell r="C1742" t="str">
            <v>ЛОСИНООСТРОВ (МСK)</v>
          </cell>
          <cell r="D1742">
            <v>28491</v>
          </cell>
          <cell r="E1742">
            <v>37894</v>
          </cell>
          <cell r="F1742">
            <v>350</v>
          </cell>
          <cell r="G1742">
            <v>32489</v>
          </cell>
          <cell r="H1742">
            <v>840</v>
          </cell>
          <cell r="I1742" t="str">
            <v>деп</v>
          </cell>
          <cell r="J1742">
            <v>38441</v>
          </cell>
        </row>
        <row r="1743">
          <cell r="B1743" t="str">
            <v>ТРАНС СЕКТОР Количество</v>
          </cell>
          <cell r="D1743">
            <v>20</v>
          </cell>
        </row>
        <row r="1744">
          <cell r="A1744">
            <v>58332818</v>
          </cell>
          <cell r="B1744" t="str">
            <v>ТРАНССЕРВИСГРУЗ МОСАВТОДОР</v>
          </cell>
          <cell r="C1744" t="str">
            <v>НАУГОЛЬНЫЙ   (МСK)</v>
          </cell>
          <cell r="D1744">
            <v>31717</v>
          </cell>
          <cell r="E1744">
            <v>37733</v>
          </cell>
          <cell r="F1744">
            <v>350</v>
          </cell>
          <cell r="G1744">
            <v>35776</v>
          </cell>
          <cell r="I1744" t="str">
            <v>деп</v>
          </cell>
          <cell r="J1744">
            <v>38464</v>
          </cell>
        </row>
        <row r="1745">
          <cell r="B1745" t="str">
            <v>ТРАНССЕРВИСГРУЗ МОСАВТОДОР Количество</v>
          </cell>
          <cell r="D1745">
            <v>1</v>
          </cell>
        </row>
        <row r="1746">
          <cell r="A1746">
            <v>53701900</v>
          </cell>
          <cell r="B1746" t="str">
            <v>ТРАНССИБ ТК</v>
          </cell>
          <cell r="C1746" t="str">
            <v>КУШЕЛЕВКА    (ОКТ)</v>
          </cell>
          <cell r="D1746">
            <v>33914</v>
          </cell>
          <cell r="E1746">
            <v>37680</v>
          </cell>
          <cell r="F1746">
            <v>321</v>
          </cell>
          <cell r="H1746">
            <v>0</v>
          </cell>
          <cell r="I1746" t="str">
            <v>деп</v>
          </cell>
          <cell r="J1746">
            <v>38227</v>
          </cell>
        </row>
        <row r="1747">
          <cell r="B1747" t="str">
            <v>ТРАНССИБ ТК Количество</v>
          </cell>
          <cell r="D1747">
            <v>1</v>
          </cell>
        </row>
        <row r="1748">
          <cell r="A1748">
            <v>53700159</v>
          </cell>
          <cell r="B1748" t="str">
            <v>ТРАНССТРОЙМЕХАНИЗАЦИЯ</v>
          </cell>
          <cell r="C1748" t="str">
            <v>ЛЮБЛИНО-СОРТ (МСK)</v>
          </cell>
          <cell r="D1748">
            <v>32874</v>
          </cell>
          <cell r="E1748">
            <v>35020</v>
          </cell>
        </row>
        <row r="1749">
          <cell r="A1749">
            <v>53701017</v>
          </cell>
          <cell r="B1749" t="str">
            <v>ТРАНССТРОЙМЕХАНИЗАЦИЯ</v>
          </cell>
          <cell r="C1749" t="str">
            <v>ЛЮБЛИНО-СОРТ (МСK)</v>
          </cell>
          <cell r="D1749">
            <v>25934</v>
          </cell>
          <cell r="E1749">
            <v>35396</v>
          </cell>
          <cell r="G1749">
            <v>33430</v>
          </cell>
          <cell r="I1749" t="str">
            <v>деп</v>
          </cell>
          <cell r="J1749">
            <v>36491</v>
          </cell>
        </row>
        <row r="1750">
          <cell r="A1750">
            <v>53701447</v>
          </cell>
          <cell r="B1750" t="str">
            <v>ТРАНССТРОЙМЕХАНИЗАЦИЯ</v>
          </cell>
          <cell r="C1750" t="str">
            <v>ЛЮБЛИНО-СОРТ (МСK)</v>
          </cell>
          <cell r="D1750">
            <v>24473</v>
          </cell>
          <cell r="E1750">
            <v>34939</v>
          </cell>
          <cell r="I1750" t="str">
            <v>деп</v>
          </cell>
          <cell r="J1750">
            <v>36035</v>
          </cell>
        </row>
        <row r="1751">
          <cell r="A1751">
            <v>53706701</v>
          </cell>
          <cell r="B1751" t="str">
            <v>ТРАНССТРОЙМЕХАНИЗАЦИЯ</v>
          </cell>
          <cell r="C1751" t="str">
            <v>ЛЮБЛИНО-СОРТ (МСK)</v>
          </cell>
          <cell r="D1751">
            <v>31472</v>
          </cell>
          <cell r="E1751">
            <v>37693</v>
          </cell>
          <cell r="F1751">
            <v>333</v>
          </cell>
          <cell r="H1751">
            <v>0</v>
          </cell>
          <cell r="I1751" t="str">
            <v>деп</v>
          </cell>
          <cell r="J1751">
            <v>32387</v>
          </cell>
        </row>
        <row r="1752">
          <cell r="B1752" t="str">
            <v>ТРАНССТРОЙМЕХАНИЗАЦИЯ Количество</v>
          </cell>
          <cell r="D1752">
            <v>4</v>
          </cell>
        </row>
        <row r="1753">
          <cell r="A1753">
            <v>53701371</v>
          </cell>
          <cell r="B1753" t="str">
            <v>ТУЛАВТОДОР НОВОМОСК.ДРСУ</v>
          </cell>
          <cell r="C1753" t="str">
            <v>УРВАНКА      (МСK)</v>
          </cell>
          <cell r="D1753">
            <v>28157</v>
          </cell>
          <cell r="E1753">
            <v>34637</v>
          </cell>
        </row>
        <row r="1754">
          <cell r="A1754">
            <v>53701389</v>
          </cell>
          <cell r="B1754" t="str">
            <v>ТУЛАВТОДОР НОВОМОСК.ДРСУ</v>
          </cell>
          <cell r="C1754" t="str">
            <v>УРВАНКА      (МСK)</v>
          </cell>
          <cell r="D1754">
            <v>28157</v>
          </cell>
          <cell r="E1754">
            <v>34637</v>
          </cell>
        </row>
        <row r="1755">
          <cell r="B1755" t="str">
            <v>ТУЛАВТОДОР НОВОМОСК.ДРСУ Количество</v>
          </cell>
          <cell r="D1755">
            <v>2</v>
          </cell>
        </row>
        <row r="1756">
          <cell r="A1756">
            <v>53706008</v>
          </cell>
          <cell r="B1756" t="str">
            <v>ТЫНДИНСК.ОТДЕЛ ДОРС</v>
          </cell>
          <cell r="C1756" t="str">
            <v>ТЫНДА        (ДВС)</v>
          </cell>
          <cell r="D1756">
            <v>33749</v>
          </cell>
          <cell r="F1756">
            <v>0</v>
          </cell>
          <cell r="H1756">
            <v>0</v>
          </cell>
          <cell r="I1756" t="str">
            <v>деп</v>
          </cell>
          <cell r="J1756">
            <v>34663</v>
          </cell>
        </row>
        <row r="1757">
          <cell r="A1757">
            <v>58725599</v>
          </cell>
          <cell r="B1757" t="str">
            <v>ТЫНДИНСК.ОТДЕЛ ДОРС</v>
          </cell>
          <cell r="C1757" t="str">
            <v>ТЫНДА        (ДВС)</v>
          </cell>
          <cell r="D1757">
            <v>33751</v>
          </cell>
          <cell r="F1757">
            <v>0</v>
          </cell>
          <cell r="H1757">
            <v>0</v>
          </cell>
          <cell r="I1757" t="str">
            <v>деп</v>
          </cell>
          <cell r="J1757">
            <v>34665</v>
          </cell>
        </row>
        <row r="1758">
          <cell r="A1758">
            <v>58729815</v>
          </cell>
          <cell r="B1758" t="str">
            <v>ТЫНДИНСК.ОТДЕЛ ДОРС</v>
          </cell>
          <cell r="C1758" t="str">
            <v>ТЫНДА        (ДВС)</v>
          </cell>
          <cell r="D1758">
            <v>33751</v>
          </cell>
          <cell r="F1758">
            <v>0</v>
          </cell>
          <cell r="H1758">
            <v>0</v>
          </cell>
          <cell r="I1758" t="str">
            <v>деп</v>
          </cell>
          <cell r="J1758">
            <v>34665</v>
          </cell>
        </row>
        <row r="1759">
          <cell r="A1759">
            <v>58729823</v>
          </cell>
          <cell r="B1759" t="str">
            <v>ТЫНДИНСК.ОТДЕЛ ДОРС</v>
          </cell>
          <cell r="C1759" t="str">
            <v>ТЫНДА        (ДВС)</v>
          </cell>
          <cell r="D1759">
            <v>33751</v>
          </cell>
          <cell r="F1759">
            <v>0</v>
          </cell>
          <cell r="H1759">
            <v>0</v>
          </cell>
          <cell r="I1759" t="str">
            <v>деп</v>
          </cell>
          <cell r="J1759">
            <v>34665</v>
          </cell>
        </row>
        <row r="1760">
          <cell r="A1760">
            <v>58729831</v>
          </cell>
          <cell r="B1760" t="str">
            <v>ТЫНДИНСК.ОТДЕЛ ДОРС</v>
          </cell>
          <cell r="C1760" t="str">
            <v>ТЫНДА        (ДВС)</v>
          </cell>
          <cell r="D1760">
            <v>33751</v>
          </cell>
          <cell r="F1760">
            <v>0</v>
          </cell>
          <cell r="H1760">
            <v>0</v>
          </cell>
          <cell r="I1760" t="str">
            <v>деп</v>
          </cell>
          <cell r="J1760">
            <v>34665</v>
          </cell>
        </row>
        <row r="1761">
          <cell r="B1761" t="str">
            <v>ТЫНДИНСК.ОТДЕЛ ДОРС Количество</v>
          </cell>
          <cell r="D1761">
            <v>5</v>
          </cell>
        </row>
        <row r="1762">
          <cell r="A1762">
            <v>53701728</v>
          </cell>
          <cell r="B1762" t="str">
            <v>ТЭК ТРАНСРЕСУРС-К</v>
          </cell>
          <cell r="C1762" t="str">
            <v>СВЕРДЛВСК-ТВ (СВР)</v>
          </cell>
          <cell r="D1762">
            <v>33792</v>
          </cell>
          <cell r="E1762">
            <v>37531</v>
          </cell>
          <cell r="F1762">
            <v>819</v>
          </cell>
          <cell r="H1762">
            <v>0</v>
          </cell>
          <cell r="I1762" t="str">
            <v>деп</v>
          </cell>
          <cell r="J1762">
            <v>38079</v>
          </cell>
        </row>
        <row r="1763">
          <cell r="A1763">
            <v>58740218</v>
          </cell>
          <cell r="B1763" t="str">
            <v>ТЭК ТРАНСРЕСУРС-К</v>
          </cell>
          <cell r="C1763" t="str">
            <v>СВЕРДЛВСК-ТВ (СВР)</v>
          </cell>
          <cell r="D1763">
            <v>33792</v>
          </cell>
          <cell r="E1763">
            <v>37531</v>
          </cell>
          <cell r="F1763">
            <v>819</v>
          </cell>
          <cell r="H1763">
            <v>0</v>
          </cell>
          <cell r="I1763" t="str">
            <v>деп</v>
          </cell>
          <cell r="J1763">
            <v>38079</v>
          </cell>
        </row>
        <row r="1764">
          <cell r="A1764">
            <v>58740226</v>
          </cell>
          <cell r="B1764" t="str">
            <v>ТЭК ТРАНСРЕСУРС-К</v>
          </cell>
          <cell r="C1764" t="str">
            <v>СВЕРДЛВСК-ТВ (СВР)</v>
          </cell>
          <cell r="D1764">
            <v>33792</v>
          </cell>
          <cell r="E1764">
            <v>37531</v>
          </cell>
          <cell r="F1764">
            <v>819</v>
          </cell>
          <cell r="H1764">
            <v>0</v>
          </cell>
          <cell r="I1764" t="str">
            <v>деп</v>
          </cell>
          <cell r="J1764">
            <v>38079</v>
          </cell>
        </row>
        <row r="1765">
          <cell r="A1765">
            <v>58740234</v>
          </cell>
          <cell r="B1765" t="str">
            <v>ТЭК ТРАНСРЕСУРС-К</v>
          </cell>
          <cell r="C1765" t="str">
            <v>СВЕРДЛВСК-ТВ (СВР)</v>
          </cell>
          <cell r="D1765">
            <v>33792</v>
          </cell>
          <cell r="E1765">
            <v>37531</v>
          </cell>
          <cell r="F1765">
            <v>819</v>
          </cell>
          <cell r="H1765">
            <v>0</v>
          </cell>
          <cell r="I1765" t="str">
            <v>деп</v>
          </cell>
          <cell r="J1765">
            <v>38079</v>
          </cell>
        </row>
        <row r="1766">
          <cell r="A1766">
            <v>58740242</v>
          </cell>
          <cell r="B1766" t="str">
            <v>ТЭК ТРАНСРЕСУРС-К</v>
          </cell>
          <cell r="C1766" t="str">
            <v>СВЕРДЛВСК-ТВ (СВР)</v>
          </cell>
          <cell r="D1766">
            <v>33792</v>
          </cell>
          <cell r="E1766">
            <v>37531</v>
          </cell>
          <cell r="F1766">
            <v>819</v>
          </cell>
          <cell r="H1766">
            <v>0</v>
          </cell>
          <cell r="I1766" t="str">
            <v>деп</v>
          </cell>
          <cell r="J1766">
            <v>38079</v>
          </cell>
        </row>
        <row r="1767">
          <cell r="B1767" t="str">
            <v>ТЭК ТРАНСРЕСУРС-К Количество</v>
          </cell>
          <cell r="D1767">
            <v>5</v>
          </cell>
        </row>
        <row r="1768">
          <cell r="A1768">
            <v>53704284</v>
          </cell>
          <cell r="B1768" t="str">
            <v>УЖДТ 1 СМТ</v>
          </cell>
          <cell r="C1768" t="str">
            <v>БИРЮЛЕВО-ТОВ (МСK)</v>
          </cell>
          <cell r="D1768">
            <v>27395</v>
          </cell>
          <cell r="E1768">
            <v>37578</v>
          </cell>
          <cell r="F1768">
            <v>350</v>
          </cell>
          <cell r="G1768">
            <v>34243</v>
          </cell>
          <cell r="I1768" t="str">
            <v>деп</v>
          </cell>
          <cell r="J1768">
            <v>38674</v>
          </cell>
        </row>
        <row r="1769">
          <cell r="B1769" t="str">
            <v>УЖДТ 1 СМТ Количество</v>
          </cell>
          <cell r="D1769">
            <v>1</v>
          </cell>
        </row>
        <row r="1770">
          <cell r="A1770">
            <v>58331257</v>
          </cell>
          <cell r="B1770" t="str">
            <v>УКРАИНА ЧАСТНАЯ ФИРМА</v>
          </cell>
          <cell r="C1770" t="str">
            <v>ВАНИНО       (ДВС)</v>
          </cell>
          <cell r="D1770">
            <v>31778</v>
          </cell>
          <cell r="E1770">
            <v>34379</v>
          </cell>
          <cell r="I1770" t="str">
            <v>кап</v>
          </cell>
          <cell r="J1770">
            <v>35109</v>
          </cell>
        </row>
        <row r="1771">
          <cell r="A1771">
            <v>58332305</v>
          </cell>
          <cell r="B1771" t="str">
            <v>УКРАИНА ЧАСТНАЯ ФИРМА</v>
          </cell>
          <cell r="C1771" t="str">
            <v>ВАНИНО       (ДВС)</v>
          </cell>
          <cell r="D1771">
            <v>31048</v>
          </cell>
          <cell r="E1771">
            <v>36661</v>
          </cell>
          <cell r="F1771">
            <v>163</v>
          </cell>
          <cell r="I1771" t="str">
            <v>кап</v>
          </cell>
          <cell r="J1771">
            <v>37391</v>
          </cell>
        </row>
        <row r="1772">
          <cell r="B1772" t="str">
            <v>УКРАИНА ЧАСТНАЯ ФИРМА Количество</v>
          </cell>
          <cell r="D1772">
            <v>2</v>
          </cell>
        </row>
        <row r="1773">
          <cell r="A1773">
            <v>53703682</v>
          </cell>
          <cell r="B1773" t="str">
            <v>УПТК АВТОДОРСТРОЙТРЕСТА-3</v>
          </cell>
          <cell r="C1773" t="str">
            <v>РУМЯНЦЕВО    (МСK)</v>
          </cell>
          <cell r="D1773">
            <v>24862</v>
          </cell>
          <cell r="E1773">
            <v>34326</v>
          </cell>
          <cell r="G1773">
            <v>32067</v>
          </cell>
        </row>
        <row r="1774">
          <cell r="B1774" t="str">
            <v>УПТК АВТОДОРСТРОЙТРЕСТА-3 Количество</v>
          </cell>
          <cell r="D1774">
            <v>1</v>
          </cell>
        </row>
        <row r="1775">
          <cell r="A1775">
            <v>53703708</v>
          </cell>
          <cell r="B1775" t="str">
            <v>УПТК БАШКИРАВТОДОРА</v>
          </cell>
          <cell r="C1775" t="str">
            <v>УРШАК        (КБШ)</v>
          </cell>
          <cell r="D1775">
            <v>34151</v>
          </cell>
          <cell r="E1775">
            <v>35810</v>
          </cell>
          <cell r="G1775">
            <v>37481</v>
          </cell>
          <cell r="H1775">
            <v>594</v>
          </cell>
          <cell r="I1775" t="str">
            <v>деп</v>
          </cell>
          <cell r="J1775">
            <v>38577</v>
          </cell>
        </row>
        <row r="1776">
          <cell r="A1776">
            <v>53703716</v>
          </cell>
          <cell r="B1776" t="str">
            <v>УПТК БАШКИРАВТОДОРА</v>
          </cell>
          <cell r="C1776" t="str">
            <v>УРШАК        (КБШ)</v>
          </cell>
          <cell r="D1776">
            <v>34151</v>
          </cell>
          <cell r="E1776">
            <v>35850</v>
          </cell>
          <cell r="G1776">
            <v>37460</v>
          </cell>
          <cell r="H1776">
            <v>600</v>
          </cell>
          <cell r="I1776" t="str">
            <v>деп</v>
          </cell>
          <cell r="J1776">
            <v>38556</v>
          </cell>
        </row>
        <row r="1777">
          <cell r="B1777" t="str">
            <v>УПТК БАШКИРАВТОДОРА Количество</v>
          </cell>
          <cell r="D1777">
            <v>2</v>
          </cell>
        </row>
        <row r="1778">
          <cell r="A1778">
            <v>53703534</v>
          </cell>
          <cell r="B1778" t="str">
            <v>УРГУПС</v>
          </cell>
          <cell r="C1778" t="str">
            <v>СВЕРДЛВСК-СР (СВР)</v>
          </cell>
          <cell r="D1778">
            <v>28985</v>
          </cell>
          <cell r="E1778">
            <v>37479</v>
          </cell>
          <cell r="F1778">
            <v>579</v>
          </cell>
          <cell r="G1778">
            <v>33067</v>
          </cell>
          <cell r="H1778">
            <v>120</v>
          </cell>
          <cell r="I1778" t="str">
            <v>деп</v>
          </cell>
          <cell r="J1778">
            <v>38028</v>
          </cell>
        </row>
        <row r="1779">
          <cell r="A1779">
            <v>53704474</v>
          </cell>
          <cell r="B1779" t="str">
            <v>УРГУПС</v>
          </cell>
          <cell r="C1779" t="str">
            <v>СВЕРДЛВСК-СР (СВР)</v>
          </cell>
          <cell r="D1779">
            <v>27334</v>
          </cell>
          <cell r="E1779">
            <v>37923</v>
          </cell>
          <cell r="F1779">
            <v>819</v>
          </cell>
          <cell r="G1779">
            <v>34810</v>
          </cell>
          <cell r="H1779">
            <v>105</v>
          </cell>
          <cell r="I1779" t="str">
            <v>деп</v>
          </cell>
          <cell r="J1779">
            <v>38471</v>
          </cell>
        </row>
        <row r="1780">
          <cell r="A1780">
            <v>53704482</v>
          </cell>
          <cell r="B1780" t="str">
            <v>УРГУПС</v>
          </cell>
          <cell r="C1780" t="str">
            <v>СВЕРДЛВСК-СР (СВР)</v>
          </cell>
          <cell r="D1780">
            <v>27303</v>
          </cell>
          <cell r="E1780">
            <v>37579</v>
          </cell>
          <cell r="F1780">
            <v>579</v>
          </cell>
          <cell r="G1780">
            <v>34850</v>
          </cell>
          <cell r="I1780" t="str">
            <v>деп</v>
          </cell>
          <cell r="J1780">
            <v>38675</v>
          </cell>
        </row>
        <row r="1781">
          <cell r="A1781">
            <v>53704508</v>
          </cell>
          <cell r="B1781" t="str">
            <v>УРГУПС</v>
          </cell>
          <cell r="C1781" t="str">
            <v>СВЕРДЛВСК-СР (СВР)</v>
          </cell>
          <cell r="D1781">
            <v>28199</v>
          </cell>
          <cell r="E1781">
            <v>37594</v>
          </cell>
          <cell r="F1781">
            <v>579</v>
          </cell>
          <cell r="G1781">
            <v>34819</v>
          </cell>
          <cell r="H1781">
            <v>105</v>
          </cell>
          <cell r="I1781" t="str">
            <v>деп</v>
          </cell>
          <cell r="J1781">
            <v>38142</v>
          </cell>
        </row>
        <row r="1782">
          <cell r="A1782">
            <v>53704771</v>
          </cell>
          <cell r="B1782" t="str">
            <v>УРГУПС</v>
          </cell>
          <cell r="C1782" t="str">
            <v>СВЕРДЛВСК-СР (СВР)</v>
          </cell>
          <cell r="D1782">
            <v>29504</v>
          </cell>
          <cell r="E1782">
            <v>37546</v>
          </cell>
          <cell r="F1782">
            <v>579</v>
          </cell>
          <cell r="G1782">
            <v>33689</v>
          </cell>
          <cell r="H1782">
            <v>0</v>
          </cell>
          <cell r="I1782" t="str">
            <v>деп</v>
          </cell>
          <cell r="J1782">
            <v>38642</v>
          </cell>
        </row>
        <row r="1783">
          <cell r="A1783">
            <v>53704789</v>
          </cell>
          <cell r="B1783" t="str">
            <v>УРГУПС</v>
          </cell>
          <cell r="C1783" t="str">
            <v>СВЕРДЛВСК-СР (СВР)</v>
          </cell>
          <cell r="D1783">
            <v>29504</v>
          </cell>
          <cell r="E1783">
            <v>37627</v>
          </cell>
          <cell r="F1783">
            <v>579</v>
          </cell>
          <cell r="G1783">
            <v>33689</v>
          </cell>
          <cell r="H1783">
            <v>0</v>
          </cell>
          <cell r="I1783" t="str">
            <v>деп</v>
          </cell>
          <cell r="J1783">
            <v>38723</v>
          </cell>
        </row>
        <row r="1784">
          <cell r="A1784">
            <v>53704805</v>
          </cell>
          <cell r="B1784" t="str">
            <v>УРГУПС</v>
          </cell>
          <cell r="C1784" t="str">
            <v>СВЕРДЛВСК-СР (СВР)</v>
          </cell>
          <cell r="D1784">
            <v>31990</v>
          </cell>
          <cell r="E1784">
            <v>37672</v>
          </cell>
          <cell r="F1784">
            <v>579</v>
          </cell>
          <cell r="G1784">
            <v>33689</v>
          </cell>
          <cell r="H1784">
            <v>0</v>
          </cell>
          <cell r="I1784" t="str">
            <v>кап</v>
          </cell>
          <cell r="J1784">
            <v>38768</v>
          </cell>
        </row>
        <row r="1785">
          <cell r="A1785">
            <v>53705562</v>
          </cell>
          <cell r="B1785" t="str">
            <v>УРГУПС</v>
          </cell>
          <cell r="C1785" t="str">
            <v>СВЕРДЛВСК-СР (СВР)</v>
          </cell>
          <cell r="D1785">
            <v>28590</v>
          </cell>
          <cell r="E1785">
            <v>37613</v>
          </cell>
          <cell r="F1785">
            <v>579</v>
          </cell>
          <cell r="G1785">
            <v>32720</v>
          </cell>
          <cell r="H1785">
            <v>120</v>
          </cell>
          <cell r="I1785" t="str">
            <v>деп</v>
          </cell>
          <cell r="J1785">
            <v>38709</v>
          </cell>
        </row>
        <row r="1786">
          <cell r="A1786">
            <v>53705570</v>
          </cell>
          <cell r="B1786" t="str">
            <v>УРГУПС</v>
          </cell>
          <cell r="C1786" t="str">
            <v>СВЕРДЛВСК-СР (СВР)</v>
          </cell>
          <cell r="D1786">
            <v>28590</v>
          </cell>
          <cell r="E1786">
            <v>37767</v>
          </cell>
          <cell r="F1786">
            <v>579</v>
          </cell>
          <cell r="G1786">
            <v>35243</v>
          </cell>
          <cell r="H1786">
            <v>105</v>
          </cell>
          <cell r="I1786" t="str">
            <v>деп</v>
          </cell>
          <cell r="J1786">
            <v>38317</v>
          </cell>
        </row>
        <row r="1787">
          <cell r="A1787">
            <v>53705588</v>
          </cell>
          <cell r="B1787" t="str">
            <v>УРГУПС</v>
          </cell>
          <cell r="C1787" t="str">
            <v>СВЕРДЛВСК-СР (СВР)</v>
          </cell>
          <cell r="D1787">
            <v>30418</v>
          </cell>
          <cell r="E1787">
            <v>37395</v>
          </cell>
          <cell r="F1787">
            <v>579</v>
          </cell>
          <cell r="G1787">
            <v>37965</v>
          </cell>
          <cell r="H1787">
            <v>819</v>
          </cell>
          <cell r="I1787" t="str">
            <v>деп</v>
          </cell>
          <cell r="J1787">
            <v>38513</v>
          </cell>
        </row>
        <row r="1788">
          <cell r="A1788">
            <v>53705604</v>
          </cell>
          <cell r="B1788" t="str">
            <v>УРГУПС</v>
          </cell>
          <cell r="C1788" t="str">
            <v>СВЕРДЛВСК-СР (СВР)</v>
          </cell>
          <cell r="D1788">
            <v>32030</v>
          </cell>
          <cell r="E1788">
            <v>37411</v>
          </cell>
          <cell r="F1788">
            <v>579</v>
          </cell>
          <cell r="G1788">
            <v>37984</v>
          </cell>
          <cell r="H1788">
            <v>819</v>
          </cell>
          <cell r="I1788" t="str">
            <v>деп</v>
          </cell>
          <cell r="J1788">
            <v>38532</v>
          </cell>
        </row>
        <row r="1789">
          <cell r="A1789">
            <v>53705612</v>
          </cell>
          <cell r="B1789" t="str">
            <v>УРГУПС</v>
          </cell>
          <cell r="C1789" t="str">
            <v>СВЕРДЛВСК-СР (СВР)</v>
          </cell>
          <cell r="D1789">
            <v>31999</v>
          </cell>
          <cell r="E1789">
            <v>37443</v>
          </cell>
          <cell r="F1789">
            <v>579</v>
          </cell>
          <cell r="H1789">
            <v>0</v>
          </cell>
          <cell r="I1789" t="str">
            <v>кап</v>
          </cell>
          <cell r="J1789">
            <v>37992</v>
          </cell>
        </row>
        <row r="1790">
          <cell r="A1790">
            <v>53705620</v>
          </cell>
          <cell r="B1790" t="str">
            <v>УРГУПС</v>
          </cell>
          <cell r="C1790" t="str">
            <v>СВЕРДЛВСК-СР (СВР)</v>
          </cell>
          <cell r="D1790">
            <v>30722</v>
          </cell>
          <cell r="E1790">
            <v>37471</v>
          </cell>
          <cell r="F1790">
            <v>579</v>
          </cell>
          <cell r="H1790">
            <v>0</v>
          </cell>
          <cell r="I1790" t="str">
            <v>кап</v>
          </cell>
          <cell r="J1790">
            <v>38020</v>
          </cell>
        </row>
        <row r="1791">
          <cell r="A1791">
            <v>53705638</v>
          </cell>
          <cell r="B1791" t="str">
            <v>УРГУПС</v>
          </cell>
          <cell r="C1791" t="str">
            <v>СВЕРДЛВСК-СР (СВР)</v>
          </cell>
          <cell r="D1791">
            <v>31999</v>
          </cell>
          <cell r="E1791">
            <v>37697</v>
          </cell>
          <cell r="F1791">
            <v>579</v>
          </cell>
          <cell r="H1791">
            <v>0</v>
          </cell>
          <cell r="I1791" t="str">
            <v>кап</v>
          </cell>
          <cell r="J1791">
            <v>38793</v>
          </cell>
        </row>
        <row r="1792">
          <cell r="A1792">
            <v>53705646</v>
          </cell>
          <cell r="B1792" t="str">
            <v>УРГУПС</v>
          </cell>
          <cell r="C1792" t="str">
            <v>СВЕРДЛВСК-СР (СВР)</v>
          </cell>
          <cell r="D1792">
            <v>28590</v>
          </cell>
          <cell r="E1792">
            <v>36877</v>
          </cell>
          <cell r="F1792">
            <v>579</v>
          </cell>
          <cell r="G1792">
            <v>37599</v>
          </cell>
          <cell r="H1792">
            <v>819</v>
          </cell>
          <cell r="I1792" t="str">
            <v>деп</v>
          </cell>
          <cell r="J1792">
            <v>38695</v>
          </cell>
        </row>
        <row r="1793">
          <cell r="A1793">
            <v>53705653</v>
          </cell>
          <cell r="B1793" t="str">
            <v>УРГУПС</v>
          </cell>
          <cell r="C1793" t="str">
            <v>СВЕРДЛВСК-СР (СВР)</v>
          </cell>
          <cell r="D1793">
            <v>31999</v>
          </cell>
          <cell r="E1793">
            <v>37360</v>
          </cell>
          <cell r="F1793">
            <v>579</v>
          </cell>
          <cell r="G1793">
            <v>37906</v>
          </cell>
          <cell r="H1793">
            <v>819</v>
          </cell>
          <cell r="I1793" t="str">
            <v>деп</v>
          </cell>
          <cell r="J1793">
            <v>38454</v>
          </cell>
        </row>
        <row r="1794">
          <cell r="A1794">
            <v>53706255</v>
          </cell>
          <cell r="B1794" t="str">
            <v>УРГУПС</v>
          </cell>
          <cell r="C1794" t="str">
            <v>СВЕРДЛВСК-СР (СВР)</v>
          </cell>
          <cell r="D1794">
            <v>28194</v>
          </cell>
          <cell r="E1794">
            <v>36496</v>
          </cell>
          <cell r="F1794">
            <v>579</v>
          </cell>
          <cell r="G1794">
            <v>37584</v>
          </cell>
          <cell r="H1794">
            <v>819</v>
          </cell>
          <cell r="I1794" t="str">
            <v>деп</v>
          </cell>
          <cell r="J1794">
            <v>38131</v>
          </cell>
        </row>
        <row r="1795">
          <cell r="A1795">
            <v>53706263</v>
          </cell>
          <cell r="B1795" t="str">
            <v>УРГУПС</v>
          </cell>
          <cell r="C1795" t="str">
            <v>СВЕРДЛВСК-СР (СВР)</v>
          </cell>
          <cell r="D1795">
            <v>27613</v>
          </cell>
          <cell r="E1795">
            <v>37544</v>
          </cell>
          <cell r="F1795">
            <v>579</v>
          </cell>
          <cell r="G1795">
            <v>34335</v>
          </cell>
          <cell r="H1795">
            <v>579</v>
          </cell>
          <cell r="I1795" t="str">
            <v>деп</v>
          </cell>
          <cell r="J1795">
            <v>38092</v>
          </cell>
        </row>
        <row r="1796">
          <cell r="A1796">
            <v>53706271</v>
          </cell>
          <cell r="B1796" t="str">
            <v>УРГУПС</v>
          </cell>
          <cell r="C1796" t="str">
            <v>СВЕРДЛВСК-СР (СВР)</v>
          </cell>
          <cell r="D1796">
            <v>26981</v>
          </cell>
          <cell r="E1796">
            <v>37518</v>
          </cell>
          <cell r="F1796">
            <v>579</v>
          </cell>
          <cell r="G1796">
            <v>32874</v>
          </cell>
          <cell r="H1796">
            <v>579</v>
          </cell>
          <cell r="I1796" t="str">
            <v>деп</v>
          </cell>
          <cell r="J1796">
            <v>38065</v>
          </cell>
        </row>
        <row r="1797">
          <cell r="B1797" t="str">
            <v>УРГУПС Количество</v>
          </cell>
          <cell r="D1797">
            <v>19</v>
          </cell>
        </row>
        <row r="1798">
          <cell r="A1798">
            <v>53703625</v>
          </cell>
          <cell r="B1798" t="str">
            <v>УТЕС ЛТД КРАСНОЯРСК.ПРЕДПР</v>
          </cell>
          <cell r="C1798" t="str">
            <v>ЗЛОБИНО      (КРС)</v>
          </cell>
          <cell r="D1798">
            <v>33604</v>
          </cell>
          <cell r="E1798">
            <v>37620</v>
          </cell>
          <cell r="F1798">
            <v>635</v>
          </cell>
          <cell r="I1798" t="str">
            <v>кап</v>
          </cell>
          <cell r="J1798">
            <v>38716</v>
          </cell>
        </row>
        <row r="1799">
          <cell r="B1799" t="str">
            <v>УТЕС ЛТД КРАСНОЯРСК.ПРЕДПР Количество</v>
          </cell>
          <cell r="D1799">
            <v>1</v>
          </cell>
        </row>
        <row r="1800">
          <cell r="A1800">
            <v>53703385</v>
          </cell>
          <cell r="B1800" t="str">
            <v>ФИЕСТА</v>
          </cell>
          <cell r="C1800" t="str">
            <v>КИТОЙ-КОМБНТ (ВСБ)</v>
          </cell>
          <cell r="D1800">
            <v>34580</v>
          </cell>
          <cell r="E1800">
            <v>35971</v>
          </cell>
          <cell r="I1800" t="str">
            <v>деп</v>
          </cell>
          <cell r="J1800">
            <v>37067</v>
          </cell>
        </row>
        <row r="1801">
          <cell r="A1801">
            <v>58722349</v>
          </cell>
          <cell r="B1801" t="str">
            <v>ФИЕСТА</v>
          </cell>
          <cell r="C1801" t="str">
            <v>КИТОЙ-КОМБНТ (ВСБ)</v>
          </cell>
          <cell r="D1801">
            <v>34580</v>
          </cell>
          <cell r="E1801">
            <v>35971</v>
          </cell>
          <cell r="I1801" t="str">
            <v>деп</v>
          </cell>
          <cell r="J1801">
            <v>36702</v>
          </cell>
        </row>
        <row r="1802">
          <cell r="A1802">
            <v>58722356</v>
          </cell>
          <cell r="B1802" t="str">
            <v>ФИЕСТА</v>
          </cell>
          <cell r="C1802" t="str">
            <v>КИТОЙ-КОМБНТ (ВСБ)</v>
          </cell>
          <cell r="D1802">
            <v>34580</v>
          </cell>
          <cell r="E1802">
            <v>35971</v>
          </cell>
          <cell r="I1802" t="str">
            <v>деп</v>
          </cell>
          <cell r="J1802">
            <v>36702</v>
          </cell>
        </row>
        <row r="1803">
          <cell r="B1803" t="str">
            <v>ФИЕСТА Количество</v>
          </cell>
          <cell r="D1803">
            <v>3</v>
          </cell>
        </row>
        <row r="1804">
          <cell r="A1804">
            <v>53703633</v>
          </cell>
          <cell r="B1804" t="str">
            <v>ФИНПРОМКО УПК</v>
          </cell>
          <cell r="C1804" t="str">
            <v>ЛЕЧЕБНЫЙ     (СВР)</v>
          </cell>
          <cell r="D1804">
            <v>26299</v>
          </cell>
          <cell r="E1804">
            <v>34981</v>
          </cell>
          <cell r="G1804">
            <v>33889</v>
          </cell>
          <cell r="I1804" t="str">
            <v>деп</v>
          </cell>
          <cell r="J1804">
            <v>36077</v>
          </cell>
        </row>
        <row r="1805">
          <cell r="A1805">
            <v>58722984</v>
          </cell>
          <cell r="B1805" t="str">
            <v>ФИНПРОМКО УПК</v>
          </cell>
          <cell r="C1805" t="str">
            <v>ЛЕЧЕБНЫЙ     (СВР)</v>
          </cell>
          <cell r="D1805">
            <v>26299</v>
          </cell>
          <cell r="E1805">
            <v>34981</v>
          </cell>
          <cell r="G1805">
            <v>33889</v>
          </cell>
          <cell r="I1805" t="str">
            <v>деп</v>
          </cell>
          <cell r="J1805">
            <v>35712</v>
          </cell>
        </row>
        <row r="1806">
          <cell r="A1806">
            <v>58723008</v>
          </cell>
          <cell r="B1806" t="str">
            <v>ФИНПРОМКО УПК</v>
          </cell>
          <cell r="C1806" t="str">
            <v>ЛЕЧЕБНЫЙ     (СВР)</v>
          </cell>
          <cell r="D1806">
            <v>26299</v>
          </cell>
          <cell r="E1806">
            <v>34981</v>
          </cell>
          <cell r="G1806">
            <v>33889</v>
          </cell>
          <cell r="I1806" t="str">
            <v>деп</v>
          </cell>
          <cell r="J1806">
            <v>35712</v>
          </cell>
        </row>
        <row r="1807">
          <cell r="A1807">
            <v>58723016</v>
          </cell>
          <cell r="B1807" t="str">
            <v>ФИНПРОМКО УПК</v>
          </cell>
          <cell r="C1807" t="str">
            <v>ЛЕЧЕБНЫЙ     (СВР)</v>
          </cell>
          <cell r="D1807">
            <v>26299</v>
          </cell>
          <cell r="E1807">
            <v>34981</v>
          </cell>
          <cell r="G1807">
            <v>33889</v>
          </cell>
          <cell r="I1807" t="str">
            <v>деп</v>
          </cell>
          <cell r="J1807">
            <v>35712</v>
          </cell>
        </row>
        <row r="1808">
          <cell r="A1808">
            <v>58723024</v>
          </cell>
          <cell r="B1808" t="str">
            <v>ФИНПРОМКО УПК</v>
          </cell>
          <cell r="C1808" t="str">
            <v>ЛЕЧЕБНЫЙ     (СВР)</v>
          </cell>
          <cell r="D1808">
            <v>26299</v>
          </cell>
          <cell r="E1808">
            <v>34981</v>
          </cell>
          <cell r="G1808">
            <v>33889</v>
          </cell>
          <cell r="I1808" t="str">
            <v>деп</v>
          </cell>
          <cell r="J1808">
            <v>35712</v>
          </cell>
        </row>
        <row r="1809">
          <cell r="B1809" t="str">
            <v>ФИНПРОМКО УПК Количество</v>
          </cell>
          <cell r="D1809">
            <v>5</v>
          </cell>
        </row>
        <row r="1810">
          <cell r="A1810">
            <v>53702635</v>
          </cell>
          <cell r="B1810" t="str">
            <v>ЦЕНТР РАБОЧ.СНАБЖЕНИЯ ДВС</v>
          </cell>
          <cell r="C1810" t="str">
            <v>ХАБАРОВСК 1  (ДВС)</v>
          </cell>
          <cell r="D1810">
            <v>33563</v>
          </cell>
          <cell r="E1810">
            <v>37420</v>
          </cell>
          <cell r="F1810">
            <v>163</v>
          </cell>
          <cell r="H1810">
            <v>0</v>
          </cell>
          <cell r="I1810" t="str">
            <v>деп</v>
          </cell>
          <cell r="J1810">
            <v>37968</v>
          </cell>
        </row>
        <row r="1811">
          <cell r="A1811">
            <v>53705984</v>
          </cell>
          <cell r="B1811" t="str">
            <v>ЦЕНТР РАБОЧ.СНАБЖЕНИЯ ДВС</v>
          </cell>
          <cell r="C1811" t="str">
            <v>ХАБАРОВСК 1  (ДВС)</v>
          </cell>
          <cell r="D1811">
            <v>33771</v>
          </cell>
          <cell r="E1811">
            <v>37598</v>
          </cell>
          <cell r="F1811">
            <v>163</v>
          </cell>
          <cell r="H1811">
            <v>0</v>
          </cell>
          <cell r="I1811" t="str">
            <v>деп</v>
          </cell>
          <cell r="J1811">
            <v>38146</v>
          </cell>
        </row>
        <row r="1812">
          <cell r="A1812">
            <v>58342411</v>
          </cell>
          <cell r="B1812" t="str">
            <v>ЦЕНТР РАБОЧ.СНАБЖЕНИЯ ДВС</v>
          </cell>
          <cell r="C1812" t="str">
            <v>ХАБАРОВСК 1  (ДВС)</v>
          </cell>
          <cell r="D1812">
            <v>30610</v>
          </cell>
          <cell r="F1812">
            <v>0</v>
          </cell>
          <cell r="G1812">
            <v>37049</v>
          </cell>
          <cell r="H1812">
            <v>163</v>
          </cell>
          <cell r="I1812" t="str">
            <v>деп</v>
          </cell>
          <cell r="J1812">
            <v>37597</v>
          </cell>
        </row>
        <row r="1813">
          <cell r="A1813">
            <v>58342429</v>
          </cell>
          <cell r="B1813" t="str">
            <v>ЦЕНТР РАБОЧ.СНАБЖЕНИЯ ДВС</v>
          </cell>
          <cell r="C1813" t="str">
            <v>ХАБАРОВСК 1  (ДВС)</v>
          </cell>
          <cell r="D1813">
            <v>30633</v>
          </cell>
          <cell r="E1813">
            <v>37805</v>
          </cell>
          <cell r="F1813">
            <v>163</v>
          </cell>
          <cell r="G1813">
            <v>37068</v>
          </cell>
          <cell r="H1813">
            <v>163</v>
          </cell>
          <cell r="I1813" t="str">
            <v>деп</v>
          </cell>
          <cell r="J1813">
            <v>38355</v>
          </cell>
        </row>
        <row r="1814">
          <cell r="A1814">
            <v>58721572</v>
          </cell>
          <cell r="B1814" t="str">
            <v>ЦЕНТР РАБОЧ.СНАБЖЕНИЯ ДВС</v>
          </cell>
          <cell r="C1814" t="str">
            <v>ХАБАРОВСК 1  (ДВС)</v>
          </cell>
          <cell r="D1814">
            <v>33563</v>
          </cell>
          <cell r="E1814">
            <v>37420</v>
          </cell>
          <cell r="F1814">
            <v>163</v>
          </cell>
          <cell r="I1814" t="str">
            <v>деп</v>
          </cell>
          <cell r="J1814">
            <v>38151</v>
          </cell>
        </row>
        <row r="1815">
          <cell r="A1815">
            <v>58721580</v>
          </cell>
          <cell r="B1815" t="str">
            <v>ЦЕНТР РАБОЧ.СНАБЖЕНИЯ ДВС</v>
          </cell>
          <cell r="C1815" t="str">
            <v>ХАБАРОВСК 1  (ДВС)</v>
          </cell>
          <cell r="D1815">
            <v>33563</v>
          </cell>
          <cell r="E1815">
            <v>37420</v>
          </cell>
          <cell r="F1815">
            <v>163</v>
          </cell>
          <cell r="I1815" t="str">
            <v>деп</v>
          </cell>
          <cell r="J1815">
            <v>38151</v>
          </cell>
        </row>
        <row r="1816">
          <cell r="A1816">
            <v>58721606</v>
          </cell>
          <cell r="B1816" t="str">
            <v>ЦЕНТР РАБОЧ.СНАБЖЕНИЯ ДВС</v>
          </cell>
          <cell r="C1816" t="str">
            <v>ХАБАРОВСК 1  (ДВС)</v>
          </cell>
          <cell r="D1816">
            <v>33563</v>
          </cell>
          <cell r="E1816">
            <v>37420</v>
          </cell>
          <cell r="F1816">
            <v>163</v>
          </cell>
          <cell r="I1816" t="str">
            <v>деп</v>
          </cell>
          <cell r="J1816">
            <v>38151</v>
          </cell>
        </row>
        <row r="1817">
          <cell r="A1817">
            <v>58721614</v>
          </cell>
          <cell r="B1817" t="str">
            <v>ЦЕНТР РАБОЧ.СНАБЖЕНИЯ ДВС</v>
          </cell>
          <cell r="C1817" t="str">
            <v>ХАБАРОВСК 1  (ДВС)</v>
          </cell>
          <cell r="D1817">
            <v>33563</v>
          </cell>
          <cell r="E1817">
            <v>37420</v>
          </cell>
          <cell r="F1817">
            <v>163</v>
          </cell>
          <cell r="I1817" t="str">
            <v>деп</v>
          </cell>
          <cell r="J1817">
            <v>38151</v>
          </cell>
        </row>
        <row r="1818">
          <cell r="A1818">
            <v>58729765</v>
          </cell>
          <cell r="B1818" t="str">
            <v>ЦЕНТР РАБОЧ.СНАБЖЕНИЯ ДВС</v>
          </cell>
          <cell r="C1818" t="str">
            <v>ХАБАРОВСК 1  (ДВС)</v>
          </cell>
          <cell r="D1818">
            <v>33771</v>
          </cell>
          <cell r="E1818">
            <v>37590</v>
          </cell>
          <cell r="F1818">
            <v>163</v>
          </cell>
          <cell r="H1818">
            <v>0</v>
          </cell>
          <cell r="I1818" t="str">
            <v>деп</v>
          </cell>
          <cell r="J1818">
            <v>38137</v>
          </cell>
        </row>
        <row r="1819">
          <cell r="A1819">
            <v>58729773</v>
          </cell>
          <cell r="B1819" t="str">
            <v>ЦЕНТР РАБОЧ.СНАБЖЕНИЯ ДВС</v>
          </cell>
          <cell r="C1819" t="str">
            <v>ХАБАРОВСК 1  (ДВС)</v>
          </cell>
          <cell r="D1819">
            <v>33771</v>
          </cell>
          <cell r="E1819">
            <v>37590</v>
          </cell>
          <cell r="F1819">
            <v>163</v>
          </cell>
          <cell r="H1819">
            <v>0</v>
          </cell>
          <cell r="I1819" t="str">
            <v>деп</v>
          </cell>
          <cell r="J1819">
            <v>38137</v>
          </cell>
        </row>
        <row r="1820">
          <cell r="A1820">
            <v>58729781</v>
          </cell>
          <cell r="B1820" t="str">
            <v>ЦЕНТР РАБОЧ.СНАБЖЕНИЯ ДВС</v>
          </cell>
          <cell r="C1820" t="str">
            <v>ХАБАРОВСК 1  (ДВС)</v>
          </cell>
          <cell r="D1820">
            <v>33771</v>
          </cell>
          <cell r="E1820">
            <v>37590</v>
          </cell>
          <cell r="F1820">
            <v>163</v>
          </cell>
          <cell r="H1820">
            <v>0</v>
          </cell>
          <cell r="I1820" t="str">
            <v>деп</v>
          </cell>
          <cell r="J1820">
            <v>38137</v>
          </cell>
        </row>
        <row r="1821">
          <cell r="A1821">
            <v>58729807</v>
          </cell>
          <cell r="B1821" t="str">
            <v>ЦЕНТР РАБОЧ.СНАБЖЕНИЯ ДВС</v>
          </cell>
          <cell r="C1821" t="str">
            <v>ХАБАРОВСК 1  (ДВС)</v>
          </cell>
          <cell r="D1821">
            <v>33771</v>
          </cell>
          <cell r="E1821">
            <v>37590</v>
          </cell>
          <cell r="F1821">
            <v>163</v>
          </cell>
          <cell r="H1821">
            <v>0</v>
          </cell>
          <cell r="I1821" t="str">
            <v>деп</v>
          </cell>
          <cell r="J1821">
            <v>38137</v>
          </cell>
        </row>
        <row r="1822">
          <cell r="B1822" t="str">
            <v>ЦЕНТР РАБОЧ.СНАБЖЕНИЯ ДВС Количество</v>
          </cell>
          <cell r="D1822">
            <v>12</v>
          </cell>
        </row>
        <row r="1823">
          <cell r="A1823">
            <v>53704318</v>
          </cell>
          <cell r="B1823" t="str">
            <v>ЦИГЕЛЬ</v>
          </cell>
          <cell r="C1823" t="str">
            <v>ЗЕЛЕНОКУМСК  (СКВ)</v>
          </cell>
          <cell r="D1823">
            <v>28338</v>
          </cell>
          <cell r="E1823">
            <v>35278</v>
          </cell>
          <cell r="G1823">
            <v>32356</v>
          </cell>
          <cell r="I1823" t="str">
            <v>деп</v>
          </cell>
          <cell r="J1823">
            <v>36373</v>
          </cell>
        </row>
        <row r="1824">
          <cell r="B1824" t="str">
            <v>ЦИГЕЛЬ Количество</v>
          </cell>
          <cell r="D1824">
            <v>1</v>
          </cell>
        </row>
        <row r="1825">
          <cell r="A1825">
            <v>53702569</v>
          </cell>
          <cell r="B1825" t="str">
            <v>ЧАСТ.ПРЕДПР.ГОРДИЕНКО С.О.</v>
          </cell>
          <cell r="C1825" t="str">
            <v>КОМБИНАТСКАЯ (ЗСБ)</v>
          </cell>
          <cell r="D1825">
            <v>33712</v>
          </cell>
          <cell r="F1825">
            <v>0</v>
          </cell>
          <cell r="H1825">
            <v>0</v>
          </cell>
          <cell r="I1825" t="str">
            <v>деп</v>
          </cell>
          <cell r="J1825">
            <v>34625</v>
          </cell>
        </row>
        <row r="1826">
          <cell r="B1826" t="str">
            <v>ЧАСТ.ПРЕДПР.ГОРДИЕНКО С.О. Количество</v>
          </cell>
          <cell r="D1826">
            <v>1</v>
          </cell>
        </row>
        <row r="1827">
          <cell r="A1827">
            <v>58331216</v>
          </cell>
          <cell r="B1827" t="str">
            <v>ЧАСТН.ПРЕДПР.В.Н.ЧУПРИН</v>
          </cell>
          <cell r="C1827" t="str">
            <v>СИБИРСКАЯ    (ЗСБ)</v>
          </cell>
          <cell r="D1827">
            <v>31868</v>
          </cell>
          <cell r="E1827">
            <v>37918</v>
          </cell>
          <cell r="F1827">
            <v>616</v>
          </cell>
          <cell r="G1827">
            <v>34837</v>
          </cell>
          <cell r="H1827">
            <v>492</v>
          </cell>
          <cell r="I1827" t="str">
            <v>деп</v>
          </cell>
          <cell r="J1827">
            <v>38466</v>
          </cell>
        </row>
        <row r="1828">
          <cell r="A1828">
            <v>58332222</v>
          </cell>
          <cell r="B1828" t="str">
            <v>ЧАСТН.ПРЕДПР.В.Н.ЧУПРИН</v>
          </cell>
          <cell r="C1828" t="str">
            <v>СИБИРСКАЯ    (ЗСБ)</v>
          </cell>
          <cell r="D1828">
            <v>31868</v>
          </cell>
          <cell r="E1828">
            <v>37894</v>
          </cell>
          <cell r="F1828">
            <v>163</v>
          </cell>
          <cell r="G1828">
            <v>34860</v>
          </cell>
          <cell r="H1828">
            <v>492</v>
          </cell>
          <cell r="I1828" t="str">
            <v>деп</v>
          </cell>
          <cell r="J1828">
            <v>38441</v>
          </cell>
        </row>
        <row r="1829">
          <cell r="A1829">
            <v>58332263</v>
          </cell>
          <cell r="B1829" t="str">
            <v>ЧАСТН.ПРЕДПР.В.Н.ЧУПРИН</v>
          </cell>
          <cell r="C1829" t="str">
            <v>СИБИРСКАЯ    (ЗСБ)</v>
          </cell>
          <cell r="D1829">
            <v>31868</v>
          </cell>
          <cell r="E1829">
            <v>37446</v>
          </cell>
          <cell r="F1829">
            <v>231</v>
          </cell>
          <cell r="G1829">
            <v>36662</v>
          </cell>
          <cell r="H1829">
            <v>557</v>
          </cell>
          <cell r="I1829" t="str">
            <v>деп</v>
          </cell>
          <cell r="J1829">
            <v>38177</v>
          </cell>
        </row>
        <row r="1830">
          <cell r="A1830">
            <v>58332271</v>
          </cell>
          <cell r="B1830" t="str">
            <v>ЧАСТН.ПРЕДПР.В.Н.ЧУПРИН</v>
          </cell>
          <cell r="C1830" t="str">
            <v>СИБИРСКАЯ    (ЗСБ)</v>
          </cell>
          <cell r="D1830">
            <v>31868</v>
          </cell>
          <cell r="E1830">
            <v>37779</v>
          </cell>
          <cell r="F1830">
            <v>626</v>
          </cell>
          <cell r="G1830">
            <v>35595</v>
          </cell>
          <cell r="H1830">
            <v>492</v>
          </cell>
          <cell r="I1830" t="str">
            <v>деп</v>
          </cell>
          <cell r="J1830">
            <v>38328</v>
          </cell>
        </row>
        <row r="1831">
          <cell r="B1831" t="str">
            <v>ЧАСТН.ПРЕДПР.В.Н.ЧУПРИН Количество</v>
          </cell>
          <cell r="D1831">
            <v>4</v>
          </cell>
        </row>
        <row r="1832">
          <cell r="A1832">
            <v>58724758</v>
          </cell>
          <cell r="B1832" t="str">
            <v>ЧАСТН.ПРЕДПР.В.Ф.ДАВЫДОВ</v>
          </cell>
          <cell r="C1832" t="str">
            <v>УССУРИЙСК    (ДВС)</v>
          </cell>
          <cell r="D1832">
            <v>33178</v>
          </cell>
          <cell r="E1832">
            <v>37691</v>
          </cell>
          <cell r="F1832">
            <v>163</v>
          </cell>
          <cell r="H1832">
            <v>0</v>
          </cell>
          <cell r="I1832" t="str">
            <v>деп</v>
          </cell>
          <cell r="J1832">
            <v>38241</v>
          </cell>
        </row>
        <row r="1833">
          <cell r="B1833" t="str">
            <v>ЧАСТН.ПРЕДПР.В.Ф.ДАВЫДОВ Количество</v>
          </cell>
          <cell r="D1833">
            <v>1</v>
          </cell>
        </row>
        <row r="1834">
          <cell r="A1834">
            <v>58340258</v>
          </cell>
          <cell r="B1834" t="str">
            <v>ЧАСТН.ПРЕДПР.ДЫБЦОВ Е.В.</v>
          </cell>
          <cell r="C1834" t="str">
            <v>КОМС-НА-АМУР (ДВС)</v>
          </cell>
          <cell r="D1834">
            <v>29698</v>
          </cell>
          <cell r="E1834">
            <v>37736</v>
          </cell>
          <cell r="F1834">
            <v>163</v>
          </cell>
          <cell r="G1834">
            <v>36373</v>
          </cell>
          <cell r="I1834" t="str">
            <v>деп</v>
          </cell>
          <cell r="J1834">
            <v>38467</v>
          </cell>
        </row>
        <row r="1835">
          <cell r="B1835" t="str">
            <v>ЧАСТН.ПРЕДПР.ДЫБЦОВ Е.В. Количество</v>
          </cell>
          <cell r="D1835">
            <v>1</v>
          </cell>
        </row>
        <row r="1836">
          <cell r="A1836">
            <v>58330325</v>
          </cell>
          <cell r="B1836" t="str">
            <v>ЧАСТН.ПРЕДПР.ЕРМАКОВ М.И.</v>
          </cell>
          <cell r="C1836" t="str">
            <v>УССУРИЙСК    (ДВС)</v>
          </cell>
          <cell r="D1836">
            <v>32942</v>
          </cell>
          <cell r="E1836">
            <v>37826</v>
          </cell>
          <cell r="F1836">
            <v>163</v>
          </cell>
          <cell r="H1836">
            <v>0</v>
          </cell>
          <cell r="I1836" t="str">
            <v>деп</v>
          </cell>
          <cell r="J1836">
            <v>38376</v>
          </cell>
        </row>
        <row r="1837">
          <cell r="A1837">
            <v>58330333</v>
          </cell>
          <cell r="B1837" t="str">
            <v>ЧАСТН.ПРЕДПР.ЕРМАКОВ М.И.</v>
          </cell>
          <cell r="C1837" t="str">
            <v>УССУРИЙСК    (ДВС)</v>
          </cell>
          <cell r="D1837">
            <v>32942</v>
          </cell>
          <cell r="E1837">
            <v>37833</v>
          </cell>
          <cell r="F1837">
            <v>163</v>
          </cell>
          <cell r="H1837">
            <v>0</v>
          </cell>
          <cell r="I1837" t="str">
            <v>деп</v>
          </cell>
          <cell r="J1837">
            <v>38383</v>
          </cell>
        </row>
        <row r="1838">
          <cell r="B1838" t="str">
            <v>ЧАСТН.ПРЕДПР.ЕРМАКОВ М.И. Количество</v>
          </cell>
          <cell r="D1838">
            <v>2</v>
          </cell>
        </row>
        <row r="1839">
          <cell r="A1839">
            <v>53400461</v>
          </cell>
          <cell r="B1839" t="str">
            <v>ЧАСТН.ПРЕДПР.КИТАИН С.Д.</v>
          </cell>
          <cell r="C1839" t="str">
            <v>НОЯБРЬСК 2   (СВР)</v>
          </cell>
          <cell r="D1839">
            <v>33604</v>
          </cell>
          <cell r="E1839">
            <v>37555</v>
          </cell>
          <cell r="F1839">
            <v>350</v>
          </cell>
          <cell r="H1839">
            <v>0</v>
          </cell>
          <cell r="I1839" t="str">
            <v>деп</v>
          </cell>
          <cell r="J1839">
            <v>38103</v>
          </cell>
        </row>
        <row r="1840">
          <cell r="A1840">
            <v>53702080</v>
          </cell>
          <cell r="B1840" t="str">
            <v>ЧАСТН.ПРЕДПР.КИТАИН С.Д.</v>
          </cell>
          <cell r="C1840" t="str">
            <v>НОЯБРЬСК 2   (СВР)</v>
          </cell>
          <cell r="D1840">
            <v>33644</v>
          </cell>
          <cell r="E1840">
            <v>37853</v>
          </cell>
          <cell r="F1840">
            <v>350</v>
          </cell>
          <cell r="I1840" t="str">
            <v>кап</v>
          </cell>
          <cell r="J1840">
            <v>38949</v>
          </cell>
        </row>
        <row r="1841">
          <cell r="A1841">
            <v>58339722</v>
          </cell>
          <cell r="B1841" t="str">
            <v>ЧАСТН.ПРЕДПР.КИТАИН С.Д.</v>
          </cell>
          <cell r="C1841" t="str">
            <v>НОЯБРЬСК 2   (СВР)</v>
          </cell>
          <cell r="D1841">
            <v>33770</v>
          </cell>
          <cell r="E1841">
            <v>37853</v>
          </cell>
          <cell r="F1841">
            <v>350</v>
          </cell>
          <cell r="I1841" t="str">
            <v>деп</v>
          </cell>
          <cell r="J1841">
            <v>38584</v>
          </cell>
        </row>
        <row r="1842">
          <cell r="A1842">
            <v>58339730</v>
          </cell>
          <cell r="B1842" t="str">
            <v>ЧАСТН.ПРЕДПР.КИТАИН С.Д.</v>
          </cell>
          <cell r="C1842" t="str">
            <v>НОЯБРЬСК 2   (СВР)</v>
          </cell>
          <cell r="D1842">
            <v>33770</v>
          </cell>
          <cell r="E1842">
            <v>37853</v>
          </cell>
          <cell r="F1842">
            <v>350</v>
          </cell>
          <cell r="I1842" t="str">
            <v>деп</v>
          </cell>
          <cell r="J1842">
            <v>38584</v>
          </cell>
        </row>
        <row r="1843">
          <cell r="A1843">
            <v>58339748</v>
          </cell>
          <cell r="B1843" t="str">
            <v>ЧАСТН.ПРЕДПР.КИТАИН С.Д.</v>
          </cell>
          <cell r="C1843" t="str">
            <v>НОЯБРЬСК 2   (СВР)</v>
          </cell>
          <cell r="D1843">
            <v>33770</v>
          </cell>
          <cell r="E1843">
            <v>37853</v>
          </cell>
          <cell r="F1843">
            <v>350</v>
          </cell>
          <cell r="I1843" t="str">
            <v>деп</v>
          </cell>
          <cell r="J1843">
            <v>38584</v>
          </cell>
        </row>
        <row r="1844">
          <cell r="A1844">
            <v>58339755</v>
          </cell>
          <cell r="B1844" t="str">
            <v>ЧАСТН.ПРЕДПР.КИТАИН С.Д.</v>
          </cell>
          <cell r="C1844" t="str">
            <v>НОЯБРЬСК 2   (СВР)</v>
          </cell>
          <cell r="D1844">
            <v>33770</v>
          </cell>
          <cell r="E1844">
            <v>37853</v>
          </cell>
          <cell r="F1844">
            <v>350</v>
          </cell>
          <cell r="I1844" t="str">
            <v>деп</v>
          </cell>
          <cell r="J1844">
            <v>38584</v>
          </cell>
        </row>
        <row r="1845">
          <cell r="A1845">
            <v>58731365</v>
          </cell>
          <cell r="B1845" t="str">
            <v>ЧАСТН.ПРЕДПР.КИТАИН С.Д.</v>
          </cell>
          <cell r="C1845" t="str">
            <v>НОЯБРЬСК 2   (СВР)</v>
          </cell>
          <cell r="D1845">
            <v>33604</v>
          </cell>
          <cell r="E1845">
            <v>37555</v>
          </cell>
          <cell r="F1845">
            <v>350</v>
          </cell>
          <cell r="H1845">
            <v>0</v>
          </cell>
          <cell r="I1845" t="str">
            <v>деп</v>
          </cell>
          <cell r="J1845">
            <v>38103</v>
          </cell>
        </row>
        <row r="1846">
          <cell r="A1846">
            <v>58731373</v>
          </cell>
          <cell r="B1846" t="str">
            <v>ЧАСТН.ПРЕДПР.КИТАИН С.Д.</v>
          </cell>
          <cell r="C1846" t="str">
            <v>НОЯБРЬСК 2   (СВР)</v>
          </cell>
          <cell r="D1846">
            <v>33604</v>
          </cell>
          <cell r="E1846">
            <v>37555</v>
          </cell>
          <cell r="F1846">
            <v>350</v>
          </cell>
          <cell r="H1846">
            <v>0</v>
          </cell>
          <cell r="I1846" t="str">
            <v>деп</v>
          </cell>
          <cell r="J1846">
            <v>38103</v>
          </cell>
        </row>
        <row r="1847">
          <cell r="A1847">
            <v>58731381</v>
          </cell>
          <cell r="B1847" t="str">
            <v>ЧАСТН.ПРЕДПР.КИТАИН С.Д.</v>
          </cell>
          <cell r="C1847" t="str">
            <v>НОЯБРЬСК 2   (СВР)</v>
          </cell>
          <cell r="D1847">
            <v>33604</v>
          </cell>
          <cell r="E1847">
            <v>37555</v>
          </cell>
          <cell r="F1847">
            <v>350</v>
          </cell>
          <cell r="H1847">
            <v>0</v>
          </cell>
          <cell r="I1847" t="str">
            <v>деп</v>
          </cell>
          <cell r="J1847">
            <v>38103</v>
          </cell>
        </row>
        <row r="1848">
          <cell r="A1848">
            <v>58731399</v>
          </cell>
          <cell r="B1848" t="str">
            <v>ЧАСТН.ПРЕДПР.КИТАИН С.Д.</v>
          </cell>
          <cell r="C1848" t="str">
            <v>НОЯБРЬСК 2   (СВР)</v>
          </cell>
          <cell r="D1848">
            <v>33604</v>
          </cell>
          <cell r="E1848">
            <v>37555</v>
          </cell>
          <cell r="F1848">
            <v>350</v>
          </cell>
          <cell r="H1848">
            <v>0</v>
          </cell>
          <cell r="I1848" t="str">
            <v>деп</v>
          </cell>
          <cell r="J1848">
            <v>38103</v>
          </cell>
        </row>
        <row r="1849">
          <cell r="B1849" t="str">
            <v>ЧАСТН.ПРЕДПР.КИТАИН С.Д. Количество</v>
          </cell>
          <cell r="D1849">
            <v>10</v>
          </cell>
        </row>
        <row r="1850">
          <cell r="A1850">
            <v>58340266</v>
          </cell>
          <cell r="B1850" t="str">
            <v>ЧАСТН.ПРЕДПР.ЛИПИН В.Н.</v>
          </cell>
          <cell r="C1850" t="str">
            <v>СЕВЕРОБАЙКАЛ (ВСБ)</v>
          </cell>
          <cell r="D1850">
            <v>29830</v>
          </cell>
          <cell r="I1850" t="str">
            <v>деп</v>
          </cell>
          <cell r="J1850">
            <v>30926</v>
          </cell>
        </row>
        <row r="1851">
          <cell r="B1851" t="str">
            <v>ЧАСТН.ПРЕДПР.ЛИПИН В.Н. Количество</v>
          </cell>
          <cell r="D1851">
            <v>1</v>
          </cell>
        </row>
        <row r="1852">
          <cell r="A1852">
            <v>58332370</v>
          </cell>
          <cell r="B1852" t="str">
            <v>ЧАСТН.ПРЕДПР.МИХАЙЛОВ М.А.</v>
          </cell>
          <cell r="C1852" t="str">
            <v>ЧИТА 1       (ЗАБ)</v>
          </cell>
          <cell r="D1852">
            <v>28949</v>
          </cell>
          <cell r="E1852">
            <v>37778</v>
          </cell>
          <cell r="F1852">
            <v>643</v>
          </cell>
          <cell r="G1852">
            <v>34895</v>
          </cell>
          <cell r="I1852" t="str">
            <v>деп</v>
          </cell>
          <cell r="J1852">
            <v>38509</v>
          </cell>
        </row>
        <row r="1853">
          <cell r="B1853" t="str">
            <v>ЧАСТН.ПРЕДПР.МИХАЙЛОВ М.А. Количество</v>
          </cell>
          <cell r="D1853">
            <v>1</v>
          </cell>
        </row>
        <row r="1854">
          <cell r="A1854">
            <v>58000001</v>
          </cell>
          <cell r="B1854" t="str">
            <v>ЧАСТН.ПРЕДПР.РАГИМОВ Я.М.</v>
          </cell>
          <cell r="C1854" t="str">
            <v>ВАНИНО       (ДВС)</v>
          </cell>
          <cell r="D1854">
            <v>31778</v>
          </cell>
          <cell r="E1854">
            <v>37153</v>
          </cell>
          <cell r="F1854">
            <v>669</v>
          </cell>
          <cell r="G1854">
            <v>37925</v>
          </cell>
          <cell r="H1854">
            <v>163</v>
          </cell>
          <cell r="I1854" t="str">
            <v>деп</v>
          </cell>
          <cell r="J1854">
            <v>38656</v>
          </cell>
        </row>
        <row r="1855">
          <cell r="B1855" t="str">
            <v>ЧАСТН.ПРЕДПР.РАГИМОВ Я.М. Количество</v>
          </cell>
          <cell r="D1855">
            <v>1</v>
          </cell>
        </row>
        <row r="1856">
          <cell r="A1856">
            <v>53702338</v>
          </cell>
          <cell r="B1856" t="str">
            <v>ЧП АНФИЛОФЬЕВ В.И.</v>
          </cell>
          <cell r="C1856" t="str">
            <v>НОЯБРЬСК 2   (СВР)</v>
          </cell>
          <cell r="D1856">
            <v>34039</v>
          </cell>
          <cell r="E1856">
            <v>37925</v>
          </cell>
          <cell r="F1856">
            <v>350</v>
          </cell>
          <cell r="I1856" t="str">
            <v>кап</v>
          </cell>
          <cell r="J1856">
            <v>39021</v>
          </cell>
        </row>
        <row r="1857">
          <cell r="A1857">
            <v>58720574</v>
          </cell>
          <cell r="B1857" t="str">
            <v>ЧП АНФИЛОФЬЕВ В.И.</v>
          </cell>
          <cell r="C1857" t="str">
            <v>НОЯБРЬСК 2   (СВР)</v>
          </cell>
          <cell r="D1857">
            <v>34038</v>
          </cell>
          <cell r="E1857">
            <v>37925</v>
          </cell>
          <cell r="F1857">
            <v>350</v>
          </cell>
          <cell r="I1857" t="str">
            <v>деп</v>
          </cell>
          <cell r="J1857">
            <v>38352</v>
          </cell>
        </row>
        <row r="1858">
          <cell r="A1858">
            <v>58720582</v>
          </cell>
          <cell r="B1858" t="str">
            <v>ЧП АНФИЛОФЬЕВ В.И.</v>
          </cell>
          <cell r="C1858" t="str">
            <v>НОЯБРЬСК 2   (СВР)</v>
          </cell>
          <cell r="D1858">
            <v>34038</v>
          </cell>
          <cell r="E1858">
            <v>37925</v>
          </cell>
          <cell r="F1858">
            <v>350</v>
          </cell>
          <cell r="I1858" t="str">
            <v>деп</v>
          </cell>
          <cell r="J1858">
            <v>38352</v>
          </cell>
        </row>
        <row r="1859">
          <cell r="A1859">
            <v>58720608</v>
          </cell>
          <cell r="B1859" t="str">
            <v>ЧП АНФИЛОФЬЕВ В.И.</v>
          </cell>
          <cell r="C1859" t="str">
            <v>НОЯБРЬСК 2   (СВР)</v>
          </cell>
          <cell r="D1859">
            <v>34038</v>
          </cell>
          <cell r="E1859">
            <v>37925</v>
          </cell>
          <cell r="F1859">
            <v>350</v>
          </cell>
          <cell r="I1859" t="str">
            <v>деп</v>
          </cell>
          <cell r="J1859">
            <v>38352</v>
          </cell>
        </row>
        <row r="1860">
          <cell r="A1860">
            <v>58720616</v>
          </cell>
          <cell r="B1860" t="str">
            <v>ЧП АНФИЛОФЬЕВ В.И.</v>
          </cell>
          <cell r="C1860" t="str">
            <v>НОЯБРЬСК 2   (СВР)</v>
          </cell>
          <cell r="D1860">
            <v>34038</v>
          </cell>
          <cell r="E1860">
            <v>37925</v>
          </cell>
          <cell r="F1860">
            <v>350</v>
          </cell>
          <cell r="I1860" t="str">
            <v>деп</v>
          </cell>
          <cell r="J1860">
            <v>38352</v>
          </cell>
        </row>
        <row r="1861">
          <cell r="B1861" t="str">
            <v>ЧП АНФИЛОФЬЕВ В.И. Количество</v>
          </cell>
          <cell r="D1861">
            <v>5</v>
          </cell>
        </row>
        <row r="1862">
          <cell r="A1862">
            <v>53702320</v>
          </cell>
          <cell r="B1862" t="str">
            <v>ЧП КАПУЛА Г.И.</v>
          </cell>
          <cell r="C1862" t="str">
            <v>НОЯБРЬСК 1   (СВР)</v>
          </cell>
          <cell r="D1862">
            <v>33756</v>
          </cell>
          <cell r="E1862">
            <v>37960</v>
          </cell>
          <cell r="F1862">
            <v>350</v>
          </cell>
          <cell r="H1862">
            <v>0</v>
          </cell>
          <cell r="I1862" t="str">
            <v>кап</v>
          </cell>
          <cell r="J1862">
            <v>39056</v>
          </cell>
        </row>
        <row r="1863">
          <cell r="A1863">
            <v>58720533</v>
          </cell>
          <cell r="B1863" t="str">
            <v>ЧП КАПУЛА Г.И.</v>
          </cell>
          <cell r="C1863" t="str">
            <v>НОЯБРЬСК 1   (СВР)</v>
          </cell>
          <cell r="D1863">
            <v>33756</v>
          </cell>
          <cell r="E1863">
            <v>37960</v>
          </cell>
          <cell r="F1863">
            <v>350</v>
          </cell>
          <cell r="H1863">
            <v>0</v>
          </cell>
          <cell r="I1863" t="str">
            <v>деп</v>
          </cell>
          <cell r="J1863">
            <v>38388</v>
          </cell>
        </row>
        <row r="1864">
          <cell r="A1864">
            <v>58720541</v>
          </cell>
          <cell r="B1864" t="str">
            <v>ЧП КАПУЛА Г.И.</v>
          </cell>
          <cell r="C1864" t="str">
            <v>НОЯБРЬСК 1   (СВР)</v>
          </cell>
          <cell r="D1864">
            <v>33756</v>
          </cell>
          <cell r="E1864">
            <v>37960</v>
          </cell>
          <cell r="F1864">
            <v>350</v>
          </cell>
          <cell r="H1864">
            <v>0</v>
          </cell>
          <cell r="I1864" t="str">
            <v>деп</v>
          </cell>
          <cell r="J1864">
            <v>38388</v>
          </cell>
        </row>
        <row r="1865">
          <cell r="A1865">
            <v>58720558</v>
          </cell>
          <cell r="B1865" t="str">
            <v>ЧП КАПУЛА Г.И.</v>
          </cell>
          <cell r="C1865" t="str">
            <v>НОЯБРЬСК 1   (СВР)</v>
          </cell>
          <cell r="D1865">
            <v>33756</v>
          </cell>
          <cell r="E1865">
            <v>37978</v>
          </cell>
          <cell r="F1865">
            <v>350</v>
          </cell>
          <cell r="H1865">
            <v>0</v>
          </cell>
          <cell r="I1865" t="str">
            <v>деп</v>
          </cell>
          <cell r="J1865">
            <v>38406</v>
          </cell>
        </row>
        <row r="1866">
          <cell r="A1866">
            <v>58720566</v>
          </cell>
          <cell r="B1866" t="str">
            <v>ЧП КАПУЛА Г.И.</v>
          </cell>
          <cell r="C1866" t="str">
            <v>НОЯБРЬСК 1   (СВР)</v>
          </cell>
          <cell r="D1866">
            <v>33756</v>
          </cell>
          <cell r="E1866">
            <v>37960</v>
          </cell>
          <cell r="F1866">
            <v>350</v>
          </cell>
          <cell r="H1866">
            <v>0</v>
          </cell>
          <cell r="I1866" t="str">
            <v>деп</v>
          </cell>
          <cell r="J1866">
            <v>38388</v>
          </cell>
        </row>
        <row r="1867">
          <cell r="B1867" t="str">
            <v>ЧП КАПУЛА Г.И. Количество</v>
          </cell>
          <cell r="D1867">
            <v>5</v>
          </cell>
        </row>
        <row r="1868">
          <cell r="A1868">
            <v>53705372</v>
          </cell>
          <cell r="B1868" t="str">
            <v>ЧП СИВЧУК О.А.</v>
          </cell>
          <cell r="C1868" t="str">
            <v>УССУРИЙСК    (ДВС)</v>
          </cell>
          <cell r="D1868">
            <v>33270</v>
          </cell>
          <cell r="E1868">
            <v>37823</v>
          </cell>
          <cell r="F1868">
            <v>163</v>
          </cell>
          <cell r="H1868">
            <v>0</v>
          </cell>
          <cell r="I1868" t="str">
            <v>деп</v>
          </cell>
          <cell r="J1868">
            <v>38373</v>
          </cell>
        </row>
        <row r="1869">
          <cell r="A1869">
            <v>58340399</v>
          </cell>
          <cell r="B1869" t="str">
            <v>ЧП СИВЧУК О.А.</v>
          </cell>
          <cell r="C1869" t="str">
            <v>УССУРИЙСК    (ДВС)</v>
          </cell>
          <cell r="D1869">
            <v>32994</v>
          </cell>
          <cell r="E1869">
            <v>38016</v>
          </cell>
          <cell r="F1869">
            <v>163</v>
          </cell>
          <cell r="H1869">
            <v>0</v>
          </cell>
          <cell r="I1869" t="str">
            <v>кап</v>
          </cell>
          <cell r="J1869">
            <v>38747</v>
          </cell>
        </row>
        <row r="1870">
          <cell r="A1870">
            <v>58340407</v>
          </cell>
          <cell r="B1870" t="str">
            <v>ЧП СИВЧУК О.А.</v>
          </cell>
          <cell r="C1870" t="str">
            <v>УССУРИЙСК    (ДВС)</v>
          </cell>
          <cell r="D1870">
            <v>33025</v>
          </cell>
          <cell r="E1870">
            <v>37931</v>
          </cell>
          <cell r="F1870">
            <v>163</v>
          </cell>
          <cell r="H1870">
            <v>0</v>
          </cell>
          <cell r="I1870" t="str">
            <v>кап</v>
          </cell>
          <cell r="J1870">
            <v>38662</v>
          </cell>
        </row>
        <row r="1871">
          <cell r="A1871">
            <v>58340415</v>
          </cell>
          <cell r="B1871" t="str">
            <v>ЧП СИВЧУК О.А.</v>
          </cell>
          <cell r="C1871" t="str">
            <v>УССУРИЙСК    (ДВС)</v>
          </cell>
          <cell r="D1871">
            <v>33025</v>
          </cell>
          <cell r="E1871">
            <v>37372</v>
          </cell>
          <cell r="F1871">
            <v>163</v>
          </cell>
          <cell r="H1871">
            <v>0</v>
          </cell>
          <cell r="I1871" t="str">
            <v>деп</v>
          </cell>
          <cell r="J1871">
            <v>38103</v>
          </cell>
        </row>
        <row r="1872">
          <cell r="A1872">
            <v>58340423</v>
          </cell>
          <cell r="B1872" t="str">
            <v>ЧП СИВЧУК О.А.</v>
          </cell>
          <cell r="C1872" t="str">
            <v>УССУРИЙСК    (ДВС)</v>
          </cell>
          <cell r="D1872">
            <v>33178</v>
          </cell>
          <cell r="E1872">
            <v>37432</v>
          </cell>
          <cell r="F1872">
            <v>163</v>
          </cell>
          <cell r="H1872">
            <v>0</v>
          </cell>
          <cell r="I1872" t="str">
            <v>деп</v>
          </cell>
          <cell r="J1872">
            <v>38163</v>
          </cell>
        </row>
        <row r="1873">
          <cell r="A1873">
            <v>58728759</v>
          </cell>
          <cell r="B1873" t="str">
            <v>ЧП СИВЧУК О.А.</v>
          </cell>
          <cell r="C1873" t="str">
            <v>УССУРИЙСК    (ДВС)</v>
          </cell>
          <cell r="D1873">
            <v>33207</v>
          </cell>
          <cell r="E1873">
            <v>37823</v>
          </cell>
          <cell r="F1873">
            <v>163</v>
          </cell>
          <cell r="H1873">
            <v>0</v>
          </cell>
          <cell r="I1873" t="str">
            <v>деп</v>
          </cell>
          <cell r="J1873">
            <v>38554</v>
          </cell>
        </row>
        <row r="1874">
          <cell r="A1874">
            <v>58728767</v>
          </cell>
          <cell r="B1874" t="str">
            <v>ЧП СИВЧУК О.А.</v>
          </cell>
          <cell r="C1874" t="str">
            <v>УССУРИЙСК    (ДВС)</v>
          </cell>
          <cell r="D1874">
            <v>33270</v>
          </cell>
          <cell r="E1874">
            <v>37823</v>
          </cell>
          <cell r="F1874">
            <v>163</v>
          </cell>
          <cell r="H1874">
            <v>0</v>
          </cell>
          <cell r="I1874" t="str">
            <v>деп</v>
          </cell>
          <cell r="J1874">
            <v>38554</v>
          </cell>
        </row>
        <row r="1875">
          <cell r="A1875">
            <v>58728775</v>
          </cell>
          <cell r="B1875" t="str">
            <v>ЧП СИВЧУК О.А.</v>
          </cell>
          <cell r="C1875" t="str">
            <v>УССУРИЙСК    (ДВС)</v>
          </cell>
          <cell r="D1875">
            <v>33270</v>
          </cell>
          <cell r="E1875">
            <v>37823</v>
          </cell>
          <cell r="F1875">
            <v>163</v>
          </cell>
          <cell r="H1875">
            <v>0</v>
          </cell>
          <cell r="I1875" t="str">
            <v>деп</v>
          </cell>
          <cell r="J1875">
            <v>38554</v>
          </cell>
        </row>
        <row r="1876">
          <cell r="A1876">
            <v>58728783</v>
          </cell>
          <cell r="B1876" t="str">
            <v>ЧП СИВЧУК О.А.</v>
          </cell>
          <cell r="C1876" t="str">
            <v>УССУРИЙСК    (ДВС)</v>
          </cell>
          <cell r="D1876">
            <v>33302</v>
          </cell>
          <cell r="E1876">
            <v>37823</v>
          </cell>
          <cell r="F1876">
            <v>163</v>
          </cell>
          <cell r="H1876">
            <v>0</v>
          </cell>
          <cell r="I1876" t="str">
            <v>деп</v>
          </cell>
          <cell r="J1876">
            <v>38554</v>
          </cell>
        </row>
        <row r="1877">
          <cell r="B1877" t="str">
            <v>ЧП СИВЧУК О.А. Количество</v>
          </cell>
          <cell r="D1877">
            <v>9</v>
          </cell>
        </row>
        <row r="1878">
          <cell r="A1878">
            <v>58002619</v>
          </cell>
          <cell r="B1878" t="str">
            <v>ШЕРЛ ТК</v>
          </cell>
          <cell r="C1878" t="str">
            <v>МОС-ТОВ-СМОЛ (МСK)</v>
          </cell>
          <cell r="D1878">
            <v>31509</v>
          </cell>
          <cell r="E1878">
            <v>37809</v>
          </cell>
          <cell r="F1878">
            <v>886</v>
          </cell>
          <cell r="G1878">
            <v>36885</v>
          </cell>
          <cell r="H1878">
            <v>1065</v>
          </cell>
          <cell r="I1878" t="str">
            <v>деп</v>
          </cell>
          <cell r="J1878">
            <v>38540</v>
          </cell>
        </row>
        <row r="1879">
          <cell r="A1879">
            <v>58002627</v>
          </cell>
          <cell r="B1879" t="str">
            <v>ШЕРЛ ТК</v>
          </cell>
          <cell r="C1879" t="str">
            <v>МОС-ТОВ-СМОЛ (МСK)</v>
          </cell>
          <cell r="D1879">
            <v>32395</v>
          </cell>
          <cell r="E1879">
            <v>37616</v>
          </cell>
          <cell r="F1879">
            <v>163</v>
          </cell>
          <cell r="G1879">
            <v>36855</v>
          </cell>
          <cell r="H1879">
            <v>1065</v>
          </cell>
          <cell r="I1879" t="str">
            <v>деп</v>
          </cell>
          <cell r="J1879">
            <v>38347</v>
          </cell>
        </row>
        <row r="1880">
          <cell r="A1880">
            <v>58002635</v>
          </cell>
          <cell r="B1880" t="str">
            <v>ШЕРЛ ТК</v>
          </cell>
          <cell r="C1880" t="str">
            <v>МОС-ТОВ-СМОЛ (МСK)</v>
          </cell>
          <cell r="D1880">
            <v>31509</v>
          </cell>
          <cell r="E1880">
            <v>37807</v>
          </cell>
          <cell r="F1880">
            <v>886</v>
          </cell>
          <cell r="G1880">
            <v>36930</v>
          </cell>
          <cell r="H1880">
            <v>1065</v>
          </cell>
          <cell r="I1880" t="str">
            <v>деп</v>
          </cell>
          <cell r="J1880">
            <v>38538</v>
          </cell>
        </row>
        <row r="1881">
          <cell r="A1881">
            <v>58002643</v>
          </cell>
          <cell r="B1881" t="str">
            <v>ШЕРЛ ТК</v>
          </cell>
          <cell r="C1881" t="str">
            <v>МОС-ТОВ-СМОЛ (МСK)</v>
          </cell>
          <cell r="D1881">
            <v>32812</v>
          </cell>
          <cell r="E1881">
            <v>37775</v>
          </cell>
          <cell r="F1881">
            <v>350</v>
          </cell>
          <cell r="G1881">
            <v>36964</v>
          </cell>
          <cell r="H1881">
            <v>1065</v>
          </cell>
          <cell r="I1881" t="str">
            <v>деп</v>
          </cell>
          <cell r="J1881">
            <v>38506</v>
          </cell>
        </row>
        <row r="1882">
          <cell r="A1882">
            <v>58002650</v>
          </cell>
          <cell r="B1882" t="str">
            <v>ШЕРЛ ТК</v>
          </cell>
          <cell r="C1882" t="str">
            <v>МОС-ТОВ-СМОЛ (МСK)</v>
          </cell>
          <cell r="D1882">
            <v>32395</v>
          </cell>
          <cell r="E1882">
            <v>37871</v>
          </cell>
          <cell r="F1882">
            <v>647</v>
          </cell>
          <cell r="G1882">
            <v>37130</v>
          </cell>
          <cell r="H1882">
            <v>1065</v>
          </cell>
          <cell r="I1882" t="str">
            <v>деп</v>
          </cell>
          <cell r="J1882">
            <v>38602</v>
          </cell>
        </row>
        <row r="1883">
          <cell r="A1883">
            <v>58002668</v>
          </cell>
          <cell r="B1883" t="str">
            <v>ШЕРЛ ТК</v>
          </cell>
          <cell r="C1883" t="str">
            <v>МОС-ТОВ-СМОЛ (МСK)</v>
          </cell>
          <cell r="D1883">
            <v>32812</v>
          </cell>
          <cell r="E1883">
            <v>37775</v>
          </cell>
          <cell r="F1883">
            <v>350</v>
          </cell>
          <cell r="G1883">
            <v>36929</v>
          </cell>
          <cell r="H1883">
            <v>1065</v>
          </cell>
          <cell r="I1883" t="str">
            <v>деп</v>
          </cell>
          <cell r="J1883">
            <v>38506</v>
          </cell>
        </row>
        <row r="1884">
          <cell r="A1884">
            <v>58002676</v>
          </cell>
          <cell r="B1884" t="str">
            <v>ШЕРЛ ТК</v>
          </cell>
          <cell r="C1884" t="str">
            <v>МОС-ТОВ-СМОЛ (МСK)</v>
          </cell>
          <cell r="D1884">
            <v>32812</v>
          </cell>
          <cell r="E1884">
            <v>37599</v>
          </cell>
          <cell r="F1884">
            <v>819</v>
          </cell>
          <cell r="G1884">
            <v>36855</v>
          </cell>
          <cell r="H1884">
            <v>1065</v>
          </cell>
          <cell r="I1884" t="str">
            <v>деп</v>
          </cell>
          <cell r="J1884">
            <v>38330</v>
          </cell>
        </row>
        <row r="1885">
          <cell r="A1885">
            <v>58002684</v>
          </cell>
          <cell r="B1885" t="str">
            <v>ШЕРЛ ТК</v>
          </cell>
          <cell r="C1885" t="str">
            <v>МОС-ТОВ-СМОЛ (МСK)</v>
          </cell>
          <cell r="D1885">
            <v>31509</v>
          </cell>
          <cell r="E1885">
            <v>37807</v>
          </cell>
          <cell r="F1885">
            <v>886</v>
          </cell>
          <cell r="G1885">
            <v>36885</v>
          </cell>
          <cell r="H1885">
            <v>1065</v>
          </cell>
          <cell r="I1885" t="str">
            <v>деп</v>
          </cell>
          <cell r="J1885">
            <v>38538</v>
          </cell>
        </row>
        <row r="1886">
          <cell r="A1886">
            <v>58002700</v>
          </cell>
          <cell r="B1886" t="str">
            <v>ШЕРЛ ТК</v>
          </cell>
          <cell r="C1886" t="str">
            <v>МОС-ТОВ-СМОЛ (МСK)</v>
          </cell>
          <cell r="D1886">
            <v>32812</v>
          </cell>
          <cell r="E1886">
            <v>37807</v>
          </cell>
          <cell r="F1886">
            <v>886</v>
          </cell>
          <cell r="G1886">
            <v>36938</v>
          </cell>
          <cell r="H1886">
            <v>1065</v>
          </cell>
          <cell r="I1886" t="str">
            <v>деп</v>
          </cell>
          <cell r="J1886">
            <v>38538</v>
          </cell>
        </row>
        <row r="1887">
          <cell r="A1887">
            <v>58002718</v>
          </cell>
          <cell r="B1887" t="str">
            <v>ШЕРЛ ТК</v>
          </cell>
          <cell r="C1887" t="str">
            <v>МОС-ТОВ-СМОЛ (МСK)</v>
          </cell>
          <cell r="D1887">
            <v>32325</v>
          </cell>
          <cell r="E1887">
            <v>37599</v>
          </cell>
          <cell r="F1887">
            <v>350</v>
          </cell>
          <cell r="G1887">
            <v>36830</v>
          </cell>
          <cell r="H1887">
            <v>1065</v>
          </cell>
          <cell r="I1887" t="str">
            <v>деп</v>
          </cell>
          <cell r="J1887">
            <v>38330</v>
          </cell>
        </row>
        <row r="1888">
          <cell r="A1888">
            <v>58002726</v>
          </cell>
          <cell r="B1888" t="str">
            <v>ШЕРЛ ТК</v>
          </cell>
          <cell r="C1888" t="str">
            <v>МОС-ТОВ-СМОЛ (МСK)</v>
          </cell>
          <cell r="D1888">
            <v>32812</v>
          </cell>
          <cell r="E1888">
            <v>37599</v>
          </cell>
          <cell r="F1888">
            <v>350</v>
          </cell>
          <cell r="G1888">
            <v>36830</v>
          </cell>
          <cell r="H1888">
            <v>1065</v>
          </cell>
          <cell r="I1888" t="str">
            <v>деп</v>
          </cell>
          <cell r="J1888">
            <v>38330</v>
          </cell>
        </row>
        <row r="1889">
          <cell r="A1889">
            <v>58002734</v>
          </cell>
          <cell r="B1889" t="str">
            <v>ШЕРЛ ТК</v>
          </cell>
          <cell r="C1889" t="str">
            <v>МОС-ТОВ-СМОЛ (МСK)</v>
          </cell>
          <cell r="D1889">
            <v>32812</v>
          </cell>
          <cell r="E1889">
            <v>37775</v>
          </cell>
          <cell r="F1889">
            <v>350</v>
          </cell>
          <cell r="G1889">
            <v>37002</v>
          </cell>
          <cell r="H1889">
            <v>1065</v>
          </cell>
          <cell r="I1889" t="str">
            <v>деп</v>
          </cell>
          <cell r="J1889">
            <v>38506</v>
          </cell>
        </row>
        <row r="1890">
          <cell r="A1890">
            <v>58002742</v>
          </cell>
          <cell r="B1890" t="str">
            <v>ШЕРЛ ТК</v>
          </cell>
          <cell r="C1890" t="str">
            <v>МОС-ТОВ-СМОЛ (МСK)</v>
          </cell>
          <cell r="D1890">
            <v>32812</v>
          </cell>
          <cell r="E1890">
            <v>37775</v>
          </cell>
          <cell r="F1890">
            <v>350</v>
          </cell>
          <cell r="G1890">
            <v>36964</v>
          </cell>
          <cell r="H1890">
            <v>1065</v>
          </cell>
          <cell r="I1890" t="str">
            <v>деп</v>
          </cell>
          <cell r="J1890">
            <v>38506</v>
          </cell>
        </row>
        <row r="1891">
          <cell r="A1891">
            <v>58002759</v>
          </cell>
          <cell r="B1891" t="str">
            <v>ШЕРЛ ТК</v>
          </cell>
          <cell r="C1891" t="str">
            <v>МОС-ТОВ-СМОЛ (МСK)</v>
          </cell>
          <cell r="D1891">
            <v>32395</v>
          </cell>
          <cell r="E1891">
            <v>37921</v>
          </cell>
          <cell r="F1891">
            <v>647</v>
          </cell>
          <cell r="G1891">
            <v>37126</v>
          </cell>
          <cell r="H1891">
            <v>1065</v>
          </cell>
          <cell r="I1891" t="str">
            <v>деп</v>
          </cell>
          <cell r="J1891">
            <v>38652</v>
          </cell>
        </row>
        <row r="1892">
          <cell r="A1892">
            <v>58002767</v>
          </cell>
          <cell r="B1892" t="str">
            <v>ШЕРЛ ТК</v>
          </cell>
          <cell r="C1892" t="str">
            <v>МОС-ТОВ-СМОЛ (МСK)</v>
          </cell>
          <cell r="D1892">
            <v>32812</v>
          </cell>
          <cell r="E1892">
            <v>37775</v>
          </cell>
          <cell r="F1892">
            <v>350</v>
          </cell>
          <cell r="G1892">
            <v>37002</v>
          </cell>
          <cell r="H1892">
            <v>1065</v>
          </cell>
          <cell r="I1892" t="str">
            <v>деп</v>
          </cell>
          <cell r="J1892">
            <v>38506</v>
          </cell>
        </row>
        <row r="1893">
          <cell r="A1893">
            <v>58002775</v>
          </cell>
          <cell r="B1893" t="str">
            <v>ШЕРЛ ТК</v>
          </cell>
          <cell r="C1893" t="str">
            <v>МОС-ТОВ-СМОЛ (МСK)</v>
          </cell>
          <cell r="D1893">
            <v>32812</v>
          </cell>
          <cell r="E1893">
            <v>37791</v>
          </cell>
          <cell r="F1893">
            <v>163</v>
          </cell>
          <cell r="G1893">
            <v>36938</v>
          </cell>
          <cell r="H1893">
            <v>1065</v>
          </cell>
          <cell r="I1893" t="str">
            <v>деп</v>
          </cell>
          <cell r="J1893">
            <v>38522</v>
          </cell>
        </row>
        <row r="1894">
          <cell r="B1894" t="str">
            <v>ШЕРЛ ТК Количество</v>
          </cell>
          <cell r="D1894">
            <v>16</v>
          </cell>
        </row>
        <row r="1895">
          <cell r="A1895">
            <v>58331125</v>
          </cell>
          <cell r="B1895" t="str">
            <v>ЭКСТРА</v>
          </cell>
          <cell r="C1895" t="str">
            <v>ЧИТА 1       (ЗАБ)</v>
          </cell>
          <cell r="D1895">
            <v>31463</v>
          </cell>
          <cell r="E1895">
            <v>36300</v>
          </cell>
          <cell r="F1895">
            <v>643</v>
          </cell>
          <cell r="G1895">
            <v>37028</v>
          </cell>
          <cell r="H1895">
            <v>643</v>
          </cell>
          <cell r="I1895" t="str">
            <v>деп</v>
          </cell>
          <cell r="J1895">
            <v>37758</v>
          </cell>
        </row>
        <row r="1896">
          <cell r="B1896" t="str">
            <v>ЭКСТРА Количество</v>
          </cell>
          <cell r="D1896">
            <v>1</v>
          </cell>
        </row>
        <row r="1897">
          <cell r="A1897">
            <v>53702601</v>
          </cell>
          <cell r="B1897" t="str">
            <v>ЭНГЕЛЬСКАЯ ТОГОВАЯ БАЗА</v>
          </cell>
          <cell r="C1897" t="str">
            <v>ПОКРОВСК-ПРВ (ПРВ)</v>
          </cell>
          <cell r="D1897">
            <v>33613</v>
          </cell>
          <cell r="E1897">
            <v>36631</v>
          </cell>
          <cell r="F1897">
            <v>0</v>
          </cell>
          <cell r="H1897">
            <v>0</v>
          </cell>
          <cell r="I1897" t="str">
            <v>деп</v>
          </cell>
          <cell r="J1897">
            <v>37726</v>
          </cell>
        </row>
        <row r="1898">
          <cell r="B1898" t="str">
            <v>ЭНГЕЛЬСКАЯ ТОГОВАЯ БАЗА Количество</v>
          </cell>
          <cell r="D1898">
            <v>1</v>
          </cell>
        </row>
        <row r="1899">
          <cell r="A1899">
            <v>53703351</v>
          </cell>
          <cell r="B1899" t="str">
            <v>ЭНЕРГОСТРОЙКОНСТРУКЦИЯ</v>
          </cell>
          <cell r="C1899" t="str">
            <v>ЛЕФОРТОВО    (МСK)</v>
          </cell>
          <cell r="D1899">
            <v>25934</v>
          </cell>
          <cell r="E1899">
            <v>34486</v>
          </cell>
        </row>
        <row r="1900">
          <cell r="B1900" t="str">
            <v>ЭНЕРГОСТРОЙКОНСТРУКЦИЯ Количество</v>
          </cell>
          <cell r="D1900">
            <v>1</v>
          </cell>
        </row>
        <row r="1901">
          <cell r="A1901">
            <v>58339508</v>
          </cell>
          <cell r="B1901" t="str">
            <v>ЭТНА З-Д</v>
          </cell>
          <cell r="C1901" t="str">
            <v>ГОРЬКИЙ-МОСК (ГOР)</v>
          </cell>
          <cell r="D1901">
            <v>33878</v>
          </cell>
          <cell r="E1901">
            <v>37764</v>
          </cell>
          <cell r="F1901">
            <v>350</v>
          </cell>
          <cell r="H1901">
            <v>0</v>
          </cell>
          <cell r="I1901" t="str">
            <v>деп</v>
          </cell>
          <cell r="J1901">
            <v>38495</v>
          </cell>
        </row>
        <row r="1902">
          <cell r="A1902">
            <v>58339516</v>
          </cell>
          <cell r="B1902" t="str">
            <v>ЭТНА З-Д</v>
          </cell>
          <cell r="C1902" t="str">
            <v>ГОРЬКИЙ-МОСК (ГOР)</v>
          </cell>
          <cell r="D1902">
            <v>33878</v>
          </cell>
          <cell r="E1902">
            <v>37764</v>
          </cell>
          <cell r="F1902">
            <v>350</v>
          </cell>
          <cell r="H1902">
            <v>0</v>
          </cell>
          <cell r="I1902" t="str">
            <v>деп</v>
          </cell>
          <cell r="J1902">
            <v>38495</v>
          </cell>
        </row>
        <row r="1903">
          <cell r="B1903" t="str">
            <v>ЭТНА З-Д Количество</v>
          </cell>
          <cell r="D1903">
            <v>2</v>
          </cell>
        </row>
        <row r="1904">
          <cell r="A1904">
            <v>53701769</v>
          </cell>
          <cell r="B1904" t="str">
            <v>ЮГТРАНСГАЗ УПТОКИЖТ</v>
          </cell>
          <cell r="C1904" t="str">
            <v>ТАТИЩЕВО     (ПРВ)</v>
          </cell>
          <cell r="D1904">
            <v>35612</v>
          </cell>
          <cell r="I1904" t="str">
            <v>деп</v>
          </cell>
          <cell r="J1904">
            <v>36708</v>
          </cell>
        </row>
        <row r="1905">
          <cell r="A1905">
            <v>58339151</v>
          </cell>
          <cell r="B1905" t="str">
            <v>ЮГТРАНСГАЗ УПТОКИЖТ</v>
          </cell>
          <cell r="C1905" t="str">
            <v>ТАТИЩЕВО     (ПРВ)</v>
          </cell>
          <cell r="D1905">
            <v>35612</v>
          </cell>
          <cell r="I1905" t="str">
            <v>деп</v>
          </cell>
          <cell r="J1905">
            <v>36708</v>
          </cell>
        </row>
        <row r="1906">
          <cell r="A1906">
            <v>58339169</v>
          </cell>
          <cell r="B1906" t="str">
            <v>ЮГТРАНСГАЗ УПТОКИЖТ</v>
          </cell>
          <cell r="C1906" t="str">
            <v>ТАТИЩЕВО     (ПРВ)</v>
          </cell>
          <cell r="D1906">
            <v>35612</v>
          </cell>
          <cell r="I1906" t="str">
            <v>деп</v>
          </cell>
          <cell r="J1906">
            <v>36708</v>
          </cell>
        </row>
        <row r="1907">
          <cell r="A1907">
            <v>58339177</v>
          </cell>
          <cell r="B1907" t="str">
            <v>ЮГТРАНСГАЗ УПТОКИЖТ</v>
          </cell>
          <cell r="C1907" t="str">
            <v>ТАТИЩЕВО     (ПРВ)</v>
          </cell>
          <cell r="D1907">
            <v>35612</v>
          </cell>
          <cell r="I1907" t="str">
            <v>деп</v>
          </cell>
          <cell r="J1907">
            <v>36708</v>
          </cell>
        </row>
        <row r="1908">
          <cell r="A1908">
            <v>58339185</v>
          </cell>
          <cell r="B1908" t="str">
            <v>ЮГТРАНСГАЗ УПТОКИЖТ</v>
          </cell>
          <cell r="C1908" t="str">
            <v>ТАТИЩЕВО     (ПРВ)</v>
          </cell>
          <cell r="D1908">
            <v>35612</v>
          </cell>
          <cell r="I1908" t="str">
            <v>деп</v>
          </cell>
          <cell r="J1908">
            <v>36708</v>
          </cell>
        </row>
        <row r="1909">
          <cell r="B1909" t="str">
            <v>ЮГТРАНСГАЗ УПТОКИЖТ Количество</v>
          </cell>
          <cell r="D1909">
            <v>5</v>
          </cell>
        </row>
        <row r="1910">
          <cell r="A1910">
            <v>58733965</v>
          </cell>
          <cell r="B1910" t="str">
            <v>ЮНИЛИЗ</v>
          </cell>
          <cell r="C1910" t="str">
            <v>ОТРОЖКА      (ЮВС)</v>
          </cell>
          <cell r="D1910">
            <v>28126</v>
          </cell>
          <cell r="E1910">
            <v>36543</v>
          </cell>
          <cell r="F1910">
            <v>497</v>
          </cell>
          <cell r="G1910">
            <v>37818</v>
          </cell>
          <cell r="H1910">
            <v>497</v>
          </cell>
          <cell r="I1910" t="str">
            <v>деп</v>
          </cell>
          <cell r="J1910">
            <v>38368</v>
          </cell>
        </row>
        <row r="1911">
          <cell r="B1911" t="str">
            <v>ЮНИЛИЗ Количество</v>
          </cell>
          <cell r="D1911">
            <v>1</v>
          </cell>
        </row>
        <row r="1912">
          <cell r="A1912">
            <v>53703864</v>
          </cell>
          <cell r="B1912" t="str">
            <v>ЯМАЛИНВЕСТРЕСУРС</v>
          </cell>
          <cell r="C1912" t="str">
            <v>ЛЮБЛИНО-СОРТ (МСK)</v>
          </cell>
          <cell r="D1912">
            <v>34639</v>
          </cell>
          <cell r="E1912">
            <v>37733</v>
          </cell>
          <cell r="F1912">
            <v>350</v>
          </cell>
          <cell r="I1912" t="str">
            <v>деп</v>
          </cell>
          <cell r="J1912">
            <v>38829</v>
          </cell>
        </row>
        <row r="1913">
          <cell r="A1913">
            <v>58723180</v>
          </cell>
          <cell r="B1913" t="str">
            <v>ЯМАЛИНВЕСТРЕСУРС</v>
          </cell>
          <cell r="C1913" t="str">
            <v>ЛЮБЛИНО-СОРТ (МСK)</v>
          </cell>
          <cell r="D1913">
            <v>34851</v>
          </cell>
          <cell r="E1913">
            <v>37733</v>
          </cell>
          <cell r="F1913">
            <v>350</v>
          </cell>
          <cell r="I1913" t="str">
            <v>деп</v>
          </cell>
          <cell r="J1913">
            <v>38464</v>
          </cell>
        </row>
        <row r="1914">
          <cell r="A1914">
            <v>58723206</v>
          </cell>
          <cell r="B1914" t="str">
            <v>ЯМАЛИНВЕСТРЕСУРС</v>
          </cell>
          <cell r="C1914" t="str">
            <v>ЛЮБЛИНО-СОРТ (МСK)</v>
          </cell>
          <cell r="D1914">
            <v>34851</v>
          </cell>
          <cell r="E1914">
            <v>37733</v>
          </cell>
          <cell r="F1914">
            <v>350</v>
          </cell>
          <cell r="I1914" t="str">
            <v>деп</v>
          </cell>
          <cell r="J1914">
            <v>38464</v>
          </cell>
        </row>
        <row r="1915">
          <cell r="A1915">
            <v>58723214</v>
          </cell>
          <cell r="B1915" t="str">
            <v>ЯМАЛИНВЕСТРЕСУРС</v>
          </cell>
          <cell r="C1915" t="str">
            <v>ЛЮБЛИНО-СОРТ (МСK)</v>
          </cell>
          <cell r="D1915">
            <v>34851</v>
          </cell>
          <cell r="E1915">
            <v>37733</v>
          </cell>
          <cell r="F1915">
            <v>350</v>
          </cell>
          <cell r="I1915" t="str">
            <v>деп</v>
          </cell>
          <cell r="J1915">
            <v>38464</v>
          </cell>
        </row>
        <row r="1916">
          <cell r="A1916">
            <v>58723222</v>
          </cell>
          <cell r="B1916" t="str">
            <v>ЯМАЛИНВЕСТРЕСУРС</v>
          </cell>
          <cell r="C1916" t="str">
            <v>ЛЮБЛИНО-СОРТ (МСK)</v>
          </cell>
          <cell r="D1916">
            <v>34851</v>
          </cell>
          <cell r="E1916">
            <v>37733</v>
          </cell>
          <cell r="F1916">
            <v>350</v>
          </cell>
          <cell r="I1916" t="str">
            <v>деп</v>
          </cell>
          <cell r="J1916">
            <v>38464</v>
          </cell>
        </row>
        <row r="1917">
          <cell r="B1917" t="str">
            <v>ЯМАЛИНВЕСТРЕСУРС Количество</v>
          </cell>
          <cell r="D1917">
            <v>5</v>
          </cell>
        </row>
        <row r="1918">
          <cell r="A1918">
            <v>53702015</v>
          </cell>
          <cell r="B1918" t="str">
            <v>ЯМБУРГГАЗДОБЫЧА ПО</v>
          </cell>
          <cell r="C1918" t="str">
            <v>ЯМБУРГ       (СВР)</v>
          </cell>
          <cell r="D1918">
            <v>33630</v>
          </cell>
          <cell r="E1918">
            <v>37942</v>
          </cell>
          <cell r="F1918">
            <v>163</v>
          </cell>
          <cell r="I1918" t="str">
            <v>кап</v>
          </cell>
          <cell r="J1918">
            <v>39038</v>
          </cell>
        </row>
        <row r="1919">
          <cell r="A1919">
            <v>58339524</v>
          </cell>
          <cell r="B1919" t="str">
            <v>ЯМБУРГГАЗДОБЫЧА ПО</v>
          </cell>
          <cell r="C1919" t="str">
            <v>ЯМБУРГ       (СВР)</v>
          </cell>
          <cell r="D1919">
            <v>33928</v>
          </cell>
          <cell r="E1919">
            <v>37942</v>
          </cell>
          <cell r="F1919">
            <v>163</v>
          </cell>
          <cell r="I1919" t="str">
            <v>деп</v>
          </cell>
          <cell r="J1919">
            <v>38673</v>
          </cell>
        </row>
        <row r="1920">
          <cell r="A1920">
            <v>58339532</v>
          </cell>
          <cell r="B1920" t="str">
            <v>ЯМБУРГГАЗДОБЫЧА ПО</v>
          </cell>
          <cell r="C1920" t="str">
            <v>ЯМБУРГ       (СВР)</v>
          </cell>
          <cell r="D1920">
            <v>33928</v>
          </cell>
          <cell r="E1920">
            <v>37942</v>
          </cell>
          <cell r="F1920">
            <v>163</v>
          </cell>
          <cell r="I1920" t="str">
            <v>деп</v>
          </cell>
          <cell r="J1920">
            <v>38673</v>
          </cell>
        </row>
        <row r="1921">
          <cell r="A1921">
            <v>58339540</v>
          </cell>
          <cell r="B1921" t="str">
            <v>ЯМБУРГГАЗДОБЫЧА ПО</v>
          </cell>
          <cell r="C1921" t="str">
            <v>ЯМБУРГ       (СВР)</v>
          </cell>
          <cell r="D1921">
            <v>33928</v>
          </cell>
          <cell r="E1921">
            <v>37942</v>
          </cell>
          <cell r="F1921">
            <v>163</v>
          </cell>
          <cell r="I1921" t="str">
            <v>деп</v>
          </cell>
          <cell r="J1921">
            <v>38673</v>
          </cell>
        </row>
        <row r="1922">
          <cell r="A1922">
            <v>58339557</v>
          </cell>
          <cell r="B1922" t="str">
            <v>ЯМБУРГГАЗДОБЫЧА ПО</v>
          </cell>
          <cell r="C1922" t="str">
            <v>ЯМБУРГ       (СВР)</v>
          </cell>
          <cell r="D1922">
            <v>33928</v>
          </cell>
          <cell r="E1922">
            <v>37942</v>
          </cell>
          <cell r="F1922">
            <v>163</v>
          </cell>
          <cell r="I1922" t="str">
            <v>деп</v>
          </cell>
          <cell r="J1922">
            <v>38673</v>
          </cell>
        </row>
        <row r="1923">
          <cell r="B1923" t="str">
            <v>ЯМБУРГГАЗДОБЫЧА ПО Количество</v>
          </cell>
          <cell r="D1923">
            <v>5</v>
          </cell>
        </row>
        <row r="1924">
          <cell r="B1924" t="str">
            <v>Общее количество</v>
          </cell>
          <cell r="D1924">
            <v>1732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PREP_33963"/>
      <sheetName val="TMPREP_33963_НАГРУЗКА"/>
      <sheetName val="тарифы 2019_2018"/>
      <sheetName val="далее расч листы для тарифов"/>
      <sheetName val="энерг_1 действ"/>
      <sheetName val="энерг_2 действ"/>
      <sheetName val="кокс уг_3 действ"/>
      <sheetName val="энерг_1 предлаг"/>
      <sheetName val="энерг_2 предлаг"/>
      <sheetName val="кокс уг_3 предлаг"/>
      <sheetName val="Коэффициенты"/>
      <sheetName val="В инв"/>
      <sheetName val="сх 8"/>
      <sheetName val="сх пор"/>
      <sheetName val="список дальн"/>
      <sheetName val="сх И1"/>
      <sheetName val="к порожн "/>
    </sheetNames>
    <sheetDataSet>
      <sheetData sheetId="0"/>
      <sheetData sheetId="1"/>
      <sheetData sheetId="2"/>
      <sheetData sheetId="3"/>
      <sheetData sheetId="4">
        <row r="3">
          <cell r="I3">
            <v>25</v>
          </cell>
        </row>
        <row r="4">
          <cell r="I4">
            <v>26</v>
          </cell>
        </row>
        <row r="5">
          <cell r="I5">
            <v>27</v>
          </cell>
        </row>
        <row r="6">
          <cell r="I6">
            <v>28</v>
          </cell>
        </row>
        <row r="7">
          <cell r="I7">
            <v>29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ru.myfin.by/currency/cb-rf-archive/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W156"/>
  <sheetViews>
    <sheetView zoomScale="55" zoomScaleNormal="55"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defaultRowHeight="14.6"/>
  <cols>
    <col min="1" max="1" width="18.84375" customWidth="1"/>
    <col min="2" max="2" width="8.84375" customWidth="1"/>
    <col min="3" max="3" width="27.84375" customWidth="1"/>
    <col min="4" max="4" width="10.3828125" customWidth="1"/>
    <col min="5" max="5" width="22.3046875" customWidth="1"/>
    <col min="6" max="6" width="29.15234375" customWidth="1"/>
    <col min="7" max="8" width="9.15234375" customWidth="1"/>
    <col min="9" max="10" width="24.3828125" customWidth="1"/>
    <col min="11" max="11" width="16.3046875" customWidth="1"/>
    <col min="12" max="12" width="17.3828125" customWidth="1"/>
    <col min="13" max="13" width="25.3046875" customWidth="1"/>
    <col min="14" max="14" width="18.53515625" customWidth="1"/>
    <col min="15" max="15" width="17.69140625" customWidth="1"/>
    <col min="16" max="16" width="15.3828125" style="2" customWidth="1"/>
    <col min="17" max="18" width="30.15234375" customWidth="1"/>
    <col min="19" max="23" width="30.15234375" style="12" customWidth="1"/>
    <col min="24" max="25" width="27.3046875" customWidth="1"/>
    <col min="26" max="28" width="27.3046875" style="12" customWidth="1"/>
    <col min="29" max="29" width="28.53515625" customWidth="1"/>
    <col min="30" max="30" width="19.61328125" customWidth="1"/>
    <col min="31" max="31" width="26.84375" customWidth="1"/>
    <col min="32" max="32" width="16.3828125" customWidth="1"/>
    <col min="33" max="33" width="14.69140625" customWidth="1"/>
    <col min="34" max="34" width="23.4609375" customWidth="1"/>
    <col min="35" max="35" width="20.15234375" customWidth="1"/>
    <col min="36" max="37" width="22" customWidth="1"/>
    <col min="38" max="38" width="25.84375" customWidth="1"/>
    <col min="39" max="39" width="18.84375" customWidth="1"/>
    <col min="40" max="40" width="22.3046875" customWidth="1"/>
    <col min="41" max="41" width="21.15234375" customWidth="1"/>
    <col min="42" max="42" width="19.3828125" customWidth="1"/>
    <col min="43" max="43" width="19.69140625" customWidth="1"/>
    <col min="44" max="44" width="21.69140625" customWidth="1"/>
    <col min="45" max="46" width="21.69140625" style="12" customWidth="1"/>
    <col min="47" max="47" width="22.23046875" customWidth="1"/>
    <col min="48" max="48" width="19.3828125" style="12" customWidth="1"/>
    <col min="49" max="101" width="17.23046875" style="12" customWidth="1"/>
    <col min="253" max="253" width="22.3828125" customWidth="1"/>
    <col min="254" max="254" width="22.69140625" customWidth="1"/>
    <col min="255" max="255" width="18.61328125" customWidth="1"/>
    <col min="256" max="256" width="16.23046875" customWidth="1"/>
    <col min="257" max="257" width="54" customWidth="1"/>
  </cols>
  <sheetData>
    <row r="1" spans="1:257" s="12" customFormat="1" ht="36.450000000000003" customHeight="1">
      <c r="P1" s="2"/>
      <c r="IS1" s="124" t="s">
        <v>526</v>
      </c>
      <c r="IT1" s="124"/>
      <c r="IU1" s="100" t="s">
        <v>527</v>
      </c>
      <c r="IV1" s="101">
        <f>1+(IX1/1000)</f>
        <v>1</v>
      </c>
      <c r="IW1" s="102" t="s">
        <v>528</v>
      </c>
    </row>
    <row r="2" spans="1:257" ht="34" customHeight="1">
      <c r="A2" s="125" t="s">
        <v>47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7"/>
      <c r="X2" s="128" t="s">
        <v>516</v>
      </c>
      <c r="Y2" s="129"/>
      <c r="Z2" s="129"/>
      <c r="AA2" s="129"/>
      <c r="AB2" s="130"/>
      <c r="AC2" s="131" t="s">
        <v>517</v>
      </c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  <c r="AS2" s="133"/>
      <c r="AT2" s="59" t="s">
        <v>518</v>
      </c>
      <c r="AU2" s="137" t="s">
        <v>451</v>
      </c>
      <c r="AV2" s="136" t="s">
        <v>519</v>
      </c>
      <c r="AW2" s="136"/>
      <c r="AX2" s="136"/>
      <c r="AY2" s="136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  <c r="BY2" s="73"/>
      <c r="BZ2" s="73"/>
      <c r="CA2" s="73"/>
      <c r="CB2" s="73"/>
      <c r="CC2" s="73"/>
      <c r="CD2" s="73"/>
      <c r="CE2" s="73"/>
      <c r="CF2" s="73"/>
      <c r="CG2" s="73"/>
      <c r="CH2" s="73"/>
      <c r="CI2" s="73"/>
      <c r="CJ2" s="73"/>
      <c r="CK2" s="73"/>
      <c r="CL2" s="73"/>
      <c r="CM2" s="73"/>
      <c r="CN2" s="73"/>
      <c r="CO2" s="73"/>
      <c r="CP2" s="73"/>
      <c r="CQ2" s="73"/>
      <c r="CR2" s="73"/>
      <c r="CS2" s="73"/>
      <c r="CT2" s="73"/>
      <c r="CU2" s="73"/>
      <c r="CV2" s="73"/>
      <c r="CW2" s="73"/>
      <c r="CX2" s="134" t="s">
        <v>450</v>
      </c>
      <c r="CY2" s="135"/>
      <c r="CZ2" s="135"/>
      <c r="DA2" s="135"/>
      <c r="DB2" s="135"/>
      <c r="DC2" s="135"/>
      <c r="DD2" s="135"/>
      <c r="DE2" s="135"/>
      <c r="DF2" s="135"/>
      <c r="DG2" s="135"/>
      <c r="DH2" s="135"/>
      <c r="DI2" s="135"/>
      <c r="DJ2" s="135"/>
      <c r="DK2" s="135"/>
      <c r="DL2" s="135"/>
      <c r="DM2" s="135"/>
      <c r="DN2" s="135"/>
      <c r="DO2" s="135"/>
      <c r="DP2" s="135"/>
      <c r="DQ2" s="135"/>
      <c r="DR2" s="135"/>
      <c r="DS2" s="135"/>
      <c r="DT2" s="135"/>
      <c r="DU2" s="135"/>
      <c r="DV2" s="135"/>
      <c r="DW2" s="135"/>
      <c r="DX2" s="135"/>
      <c r="DY2" s="135"/>
      <c r="DZ2" s="135"/>
      <c r="EA2" s="135"/>
      <c r="EB2" s="135"/>
      <c r="EC2" s="135"/>
      <c r="ED2" s="135"/>
      <c r="EE2" s="135"/>
      <c r="EF2" s="135"/>
      <c r="EG2" s="135"/>
      <c r="EH2" s="135"/>
      <c r="EI2" s="135"/>
      <c r="EJ2" s="135"/>
      <c r="EK2" s="135"/>
      <c r="EL2" s="135"/>
      <c r="EM2" s="135"/>
      <c r="EN2" s="135"/>
      <c r="EO2" s="135"/>
      <c r="EP2" s="135"/>
      <c r="EQ2" s="135"/>
      <c r="ER2" s="135"/>
      <c r="ES2" s="135"/>
      <c r="ET2" s="135"/>
      <c r="EU2" s="135"/>
      <c r="EV2" s="135"/>
      <c r="EW2" s="135"/>
      <c r="EX2" s="135"/>
      <c r="EY2" s="135"/>
      <c r="EZ2" s="135"/>
      <c r="FA2" s="135"/>
      <c r="FB2" s="135"/>
      <c r="FC2" s="135"/>
      <c r="FD2" s="135"/>
      <c r="FE2" s="135"/>
      <c r="FF2" s="135"/>
      <c r="FG2" s="135"/>
      <c r="FH2" s="135"/>
      <c r="FI2" s="135"/>
      <c r="FJ2" s="135"/>
      <c r="FK2" s="135"/>
      <c r="FL2" s="135"/>
      <c r="FM2" s="135"/>
      <c r="FN2" s="135"/>
      <c r="FO2" s="135"/>
      <c r="FP2" s="135"/>
      <c r="FQ2" s="135"/>
      <c r="FR2" s="135"/>
      <c r="FS2" s="135"/>
      <c r="FT2" s="135"/>
      <c r="FU2" s="135"/>
      <c r="FV2" s="135"/>
      <c r="FW2" s="135"/>
      <c r="FX2" s="135"/>
      <c r="FY2" s="135"/>
      <c r="FZ2" s="135"/>
      <c r="GA2" s="135"/>
      <c r="GB2" s="135"/>
      <c r="GC2" s="135"/>
      <c r="GD2" s="135"/>
      <c r="GE2" s="135"/>
      <c r="GF2" s="135"/>
      <c r="GG2" s="135"/>
      <c r="GH2" s="135"/>
      <c r="GI2" s="135"/>
      <c r="GJ2" s="135"/>
      <c r="GK2" s="135"/>
      <c r="GL2" s="135"/>
      <c r="GM2" s="135"/>
      <c r="GN2" s="135"/>
      <c r="GO2" s="135"/>
      <c r="GP2" s="135"/>
      <c r="GQ2" s="135"/>
      <c r="GR2" s="135"/>
      <c r="GS2" s="135"/>
      <c r="GT2" s="135"/>
      <c r="GU2" s="135"/>
      <c r="GV2" s="135"/>
      <c r="GW2" s="135"/>
      <c r="GX2" s="135"/>
      <c r="GY2" s="135"/>
      <c r="GZ2" s="135"/>
      <c r="HA2" s="135"/>
      <c r="HB2" s="135"/>
      <c r="HC2" s="135"/>
      <c r="HD2" s="135"/>
      <c r="HE2" s="135"/>
      <c r="HF2" s="135"/>
      <c r="HG2" s="135"/>
      <c r="HH2" s="135"/>
      <c r="HI2" s="135"/>
      <c r="HJ2" s="135"/>
      <c r="HK2" s="135"/>
      <c r="HL2" s="135"/>
      <c r="HM2" s="135"/>
      <c r="HN2" s="135"/>
      <c r="HO2" s="135"/>
      <c r="HP2" s="135"/>
      <c r="HQ2" s="135"/>
      <c r="HR2" s="135"/>
      <c r="HS2" s="135"/>
      <c r="HT2" s="135"/>
      <c r="HU2" s="135"/>
      <c r="HV2" s="135"/>
      <c r="HW2" s="135"/>
      <c r="HX2" s="135"/>
      <c r="HY2" s="135"/>
      <c r="HZ2" s="135"/>
      <c r="IA2" s="135"/>
      <c r="IB2" s="135"/>
      <c r="IC2" s="135"/>
      <c r="ID2" s="135"/>
      <c r="IE2" s="135"/>
      <c r="IF2" s="135"/>
      <c r="IG2" s="135"/>
      <c r="IH2" s="135"/>
      <c r="II2" s="135"/>
      <c r="IJ2" s="135"/>
      <c r="IK2" s="135"/>
      <c r="IL2" s="135"/>
      <c r="IM2" s="135"/>
      <c r="IN2" s="135"/>
      <c r="IO2" s="135"/>
      <c r="IP2" s="135"/>
      <c r="IQ2" s="135"/>
      <c r="IR2" s="135"/>
      <c r="IS2" s="103">
        <f>ROUND(IU2,2)</f>
        <v>0.12</v>
      </c>
      <c r="IT2" s="104" t="str">
        <f>IF(IS2&lt;0,"скидка","индексация")</f>
        <v>индексация</v>
      </c>
      <c r="IU2" s="105">
        <v>0.12</v>
      </c>
      <c r="IV2" s="106">
        <v>1</v>
      </c>
      <c r="IW2" s="107" t="s">
        <v>529</v>
      </c>
    </row>
    <row r="3" spans="1:257" ht="116.7" customHeight="1">
      <c r="A3" s="75" t="s">
        <v>404</v>
      </c>
      <c r="B3" s="60" t="s">
        <v>0</v>
      </c>
      <c r="C3" s="61" t="s">
        <v>1</v>
      </c>
      <c r="D3" s="61" t="s">
        <v>2</v>
      </c>
      <c r="E3" s="61" t="s">
        <v>3</v>
      </c>
      <c r="F3" s="61" t="s">
        <v>4</v>
      </c>
      <c r="G3" s="61" t="s">
        <v>5</v>
      </c>
      <c r="H3" s="61" t="s">
        <v>6</v>
      </c>
      <c r="I3" s="61" t="s">
        <v>7</v>
      </c>
      <c r="J3" s="61" t="s">
        <v>8</v>
      </c>
      <c r="K3" s="61" t="s">
        <v>32</v>
      </c>
      <c r="L3" s="61" t="s">
        <v>9</v>
      </c>
      <c r="M3" s="61" t="s">
        <v>10</v>
      </c>
      <c r="N3" s="61" t="s">
        <v>11</v>
      </c>
      <c r="O3" s="61" t="s">
        <v>12</v>
      </c>
      <c r="P3" s="61" t="s">
        <v>13</v>
      </c>
      <c r="Q3" s="61" t="s">
        <v>14</v>
      </c>
      <c r="R3" s="61" t="s">
        <v>15</v>
      </c>
      <c r="S3" s="61" t="s">
        <v>486</v>
      </c>
      <c r="T3" s="61" t="s">
        <v>487</v>
      </c>
      <c r="U3" s="61" t="s">
        <v>488</v>
      </c>
      <c r="V3" s="61" t="s">
        <v>489</v>
      </c>
      <c r="W3" s="61" t="s">
        <v>490</v>
      </c>
      <c r="X3" s="62" t="s">
        <v>414</v>
      </c>
      <c r="Y3" s="62" t="s">
        <v>415</v>
      </c>
      <c r="Z3" s="63" t="s">
        <v>420</v>
      </c>
      <c r="AA3" s="63" t="s">
        <v>421</v>
      </c>
      <c r="AB3" s="63" t="s">
        <v>520</v>
      </c>
      <c r="AC3" s="64" t="s">
        <v>33</v>
      </c>
      <c r="AD3" s="64" t="s">
        <v>34</v>
      </c>
      <c r="AE3" s="64" t="s">
        <v>521</v>
      </c>
      <c r="AF3" s="65" t="s">
        <v>35</v>
      </c>
      <c r="AG3" s="66" t="s">
        <v>36</v>
      </c>
      <c r="AH3" s="67" t="s">
        <v>37</v>
      </c>
      <c r="AI3" s="68" t="s">
        <v>38</v>
      </c>
      <c r="AJ3" s="69" t="s">
        <v>39</v>
      </c>
      <c r="AK3" s="67" t="s">
        <v>40</v>
      </c>
      <c r="AL3" s="67" t="s">
        <v>41</v>
      </c>
      <c r="AM3" s="67" t="s">
        <v>42</v>
      </c>
      <c r="AN3" s="67" t="s">
        <v>43</v>
      </c>
      <c r="AO3" s="70" t="s">
        <v>522</v>
      </c>
      <c r="AP3" s="67" t="s">
        <v>44</v>
      </c>
      <c r="AQ3" s="67" t="s">
        <v>45</v>
      </c>
      <c r="AR3" s="67" t="s">
        <v>46</v>
      </c>
      <c r="AS3" s="71" t="s">
        <v>523</v>
      </c>
      <c r="AT3" s="72" t="s">
        <v>524</v>
      </c>
      <c r="AU3" s="137"/>
      <c r="AV3" s="70" t="s">
        <v>525</v>
      </c>
      <c r="AW3" s="67" t="s">
        <v>44</v>
      </c>
      <c r="AX3" s="67" t="s">
        <v>45</v>
      </c>
      <c r="AY3" s="67" t="s">
        <v>46</v>
      </c>
      <c r="AZ3" s="110">
        <f t="shared" ref="AZ3:CV3" si="0">ROUND(BA3-0.5%,3)</f>
        <v>-0.5</v>
      </c>
      <c r="BA3" s="110">
        <f t="shared" si="0"/>
        <v>-0.495</v>
      </c>
      <c r="BB3" s="110">
        <f t="shared" si="0"/>
        <v>-0.49</v>
      </c>
      <c r="BC3" s="110">
        <f t="shared" si="0"/>
        <v>-0.48499999999999999</v>
      </c>
      <c r="BD3" s="110">
        <f t="shared" si="0"/>
        <v>-0.48</v>
      </c>
      <c r="BE3" s="110">
        <f t="shared" si="0"/>
        <v>-0.47499999999999998</v>
      </c>
      <c r="BF3" s="110">
        <f t="shared" si="0"/>
        <v>-0.47</v>
      </c>
      <c r="BG3" s="110">
        <f t="shared" si="0"/>
        <v>-0.46500000000000002</v>
      </c>
      <c r="BH3" s="110">
        <f t="shared" si="0"/>
        <v>-0.46</v>
      </c>
      <c r="BI3" s="110">
        <f t="shared" si="0"/>
        <v>-0.45500000000000002</v>
      </c>
      <c r="BJ3" s="110">
        <f t="shared" si="0"/>
        <v>-0.45</v>
      </c>
      <c r="BK3" s="110">
        <f t="shared" si="0"/>
        <v>-0.44500000000000001</v>
      </c>
      <c r="BL3" s="110">
        <f t="shared" si="0"/>
        <v>-0.44</v>
      </c>
      <c r="BM3" s="110">
        <f t="shared" si="0"/>
        <v>-0.435</v>
      </c>
      <c r="BN3" s="110">
        <f t="shared" si="0"/>
        <v>-0.43</v>
      </c>
      <c r="BO3" s="110">
        <f t="shared" si="0"/>
        <v>-0.42499999999999999</v>
      </c>
      <c r="BP3" s="110">
        <f t="shared" si="0"/>
        <v>-0.42</v>
      </c>
      <c r="BQ3" s="110">
        <f t="shared" si="0"/>
        <v>-0.41499999999999998</v>
      </c>
      <c r="BR3" s="110">
        <f t="shared" si="0"/>
        <v>-0.41</v>
      </c>
      <c r="BS3" s="110">
        <f t="shared" si="0"/>
        <v>-0.40500000000000003</v>
      </c>
      <c r="BT3" s="110">
        <f t="shared" si="0"/>
        <v>-0.4</v>
      </c>
      <c r="BU3" s="110">
        <f t="shared" si="0"/>
        <v>-0.39500000000000002</v>
      </c>
      <c r="BV3" s="110">
        <f t="shared" si="0"/>
        <v>-0.39</v>
      </c>
      <c r="BW3" s="110">
        <f t="shared" si="0"/>
        <v>-0.38500000000000001</v>
      </c>
      <c r="BX3" s="110">
        <f t="shared" si="0"/>
        <v>-0.38</v>
      </c>
      <c r="BY3" s="110">
        <f t="shared" si="0"/>
        <v>-0.375</v>
      </c>
      <c r="BZ3" s="110">
        <f t="shared" si="0"/>
        <v>-0.37</v>
      </c>
      <c r="CA3" s="110">
        <f t="shared" si="0"/>
        <v>-0.36499999999999999</v>
      </c>
      <c r="CB3" s="110">
        <f t="shared" si="0"/>
        <v>-0.36</v>
      </c>
      <c r="CC3" s="110">
        <f t="shared" si="0"/>
        <v>-0.35499999999999998</v>
      </c>
      <c r="CD3" s="110">
        <f t="shared" si="0"/>
        <v>-0.35</v>
      </c>
      <c r="CE3" s="110">
        <f t="shared" si="0"/>
        <v>-0.34499999999999997</v>
      </c>
      <c r="CF3" s="110">
        <f t="shared" si="0"/>
        <v>-0.34</v>
      </c>
      <c r="CG3" s="110">
        <f t="shared" si="0"/>
        <v>-0.33500000000000002</v>
      </c>
      <c r="CH3" s="110">
        <f t="shared" si="0"/>
        <v>-0.33</v>
      </c>
      <c r="CI3" s="110">
        <f t="shared" si="0"/>
        <v>-0.32500000000000001</v>
      </c>
      <c r="CJ3" s="110">
        <f t="shared" si="0"/>
        <v>-0.32</v>
      </c>
      <c r="CK3" s="110">
        <f t="shared" si="0"/>
        <v>-0.315</v>
      </c>
      <c r="CL3" s="110">
        <f t="shared" si="0"/>
        <v>-0.31</v>
      </c>
      <c r="CM3" s="110">
        <f t="shared" si="0"/>
        <v>-0.30499999999999999</v>
      </c>
      <c r="CN3" s="110">
        <f t="shared" si="0"/>
        <v>-0.3</v>
      </c>
      <c r="CO3" s="110">
        <f t="shared" si="0"/>
        <v>-0.29499999999999998</v>
      </c>
      <c r="CP3" s="110">
        <f t="shared" si="0"/>
        <v>-0.28999999999999998</v>
      </c>
      <c r="CQ3" s="110">
        <f t="shared" si="0"/>
        <v>-0.28499999999999998</v>
      </c>
      <c r="CR3" s="110">
        <f t="shared" si="0"/>
        <v>-0.28000000000000003</v>
      </c>
      <c r="CS3" s="110">
        <f t="shared" si="0"/>
        <v>-0.27500000000000002</v>
      </c>
      <c r="CT3" s="110">
        <f t="shared" si="0"/>
        <v>-0.27</v>
      </c>
      <c r="CU3" s="110">
        <f t="shared" si="0"/>
        <v>-0.26500000000000001</v>
      </c>
      <c r="CV3" s="110">
        <f t="shared" si="0"/>
        <v>-0.26</v>
      </c>
      <c r="CW3" s="110">
        <f>ROUND(CX3-0.5%,3)</f>
        <v>-0.255</v>
      </c>
      <c r="CX3" s="74">
        <v>-0.25</v>
      </c>
      <c r="CY3" s="13">
        <v>-0.245</v>
      </c>
      <c r="CZ3" s="13">
        <v>-0.24</v>
      </c>
      <c r="DA3" s="13">
        <v>-0.23499999999999999</v>
      </c>
      <c r="DB3" s="13">
        <v>-0.23</v>
      </c>
      <c r="DC3" s="13">
        <v>-0.22500000000000001</v>
      </c>
      <c r="DD3" s="13">
        <v>-0.22</v>
      </c>
      <c r="DE3" s="13">
        <v>-0.215</v>
      </c>
      <c r="DF3" s="13">
        <v>-0.21</v>
      </c>
      <c r="DG3" s="13">
        <v>-0.20499999999999999</v>
      </c>
      <c r="DH3" s="13">
        <v>-0.2</v>
      </c>
      <c r="DI3" s="13">
        <v>-0.19500000000000001</v>
      </c>
      <c r="DJ3" s="13">
        <v>-0.19</v>
      </c>
      <c r="DK3" s="13">
        <v>-0.185</v>
      </c>
      <c r="DL3" s="13">
        <v>-0.18</v>
      </c>
      <c r="DM3" s="13">
        <v>-0.17499999999999999</v>
      </c>
      <c r="DN3" s="13">
        <v>-0.17</v>
      </c>
      <c r="DO3" s="13">
        <v>-0.16500000000000001</v>
      </c>
      <c r="DP3" s="13">
        <v>-0.16</v>
      </c>
      <c r="DQ3" s="13">
        <v>-0.155</v>
      </c>
      <c r="DR3" s="13">
        <v>-0.15</v>
      </c>
      <c r="DS3" s="13">
        <v>-0.14499999999999999</v>
      </c>
      <c r="DT3" s="13">
        <v>-0.14000000000000001</v>
      </c>
      <c r="DU3" s="13">
        <v>-0.13500000000000001</v>
      </c>
      <c r="DV3" s="13">
        <v>-0.13</v>
      </c>
      <c r="DW3" s="13">
        <v>-0.125</v>
      </c>
      <c r="DX3" s="13">
        <v>-0.12</v>
      </c>
      <c r="DY3" s="13">
        <v>-0.115</v>
      </c>
      <c r="DZ3" s="13">
        <v>-0.11</v>
      </c>
      <c r="EA3" s="13">
        <v>-0.105</v>
      </c>
      <c r="EB3" s="13">
        <v>-0.1</v>
      </c>
      <c r="EC3" s="13">
        <v>-9.5000000000000001E-2</v>
      </c>
      <c r="ED3" s="13">
        <v>-0.09</v>
      </c>
      <c r="EE3" s="13">
        <v>-8.5000000000000006E-2</v>
      </c>
      <c r="EF3" s="13">
        <v>-0.08</v>
      </c>
      <c r="EG3" s="13">
        <v>-7.4999999999999997E-2</v>
      </c>
      <c r="EH3" s="13">
        <v>-7.0000000000000007E-2</v>
      </c>
      <c r="EI3" s="13">
        <v>-6.5000000000000002E-2</v>
      </c>
      <c r="EJ3" s="13">
        <v>-0.06</v>
      </c>
      <c r="EK3" s="13">
        <v>-5.5E-2</v>
      </c>
      <c r="EL3" s="13">
        <v>-0.05</v>
      </c>
      <c r="EM3" s="13">
        <v>-4.4999999999999998E-2</v>
      </c>
      <c r="EN3" s="13">
        <v>-0.04</v>
      </c>
      <c r="EO3" s="13">
        <v>-3.5000000000000003E-2</v>
      </c>
      <c r="EP3" s="13">
        <v>-0.03</v>
      </c>
      <c r="EQ3" s="13">
        <v>-2.5000000000000001E-2</v>
      </c>
      <c r="ER3" s="13">
        <v>-0.02</v>
      </c>
      <c r="ES3" s="13">
        <v>-1.4999999999999999E-2</v>
      </c>
      <c r="ET3" s="13">
        <v>-0.01</v>
      </c>
      <c r="EU3" s="13">
        <v>-5.0000000000000001E-3</v>
      </c>
      <c r="EV3" s="14">
        <v>0</v>
      </c>
      <c r="EW3" s="13">
        <v>5.0000000000000001E-3</v>
      </c>
      <c r="EX3" s="13">
        <v>0.01</v>
      </c>
      <c r="EY3" s="13">
        <v>1.4999999999999999E-2</v>
      </c>
      <c r="EZ3" s="13">
        <v>0.02</v>
      </c>
      <c r="FA3" s="13">
        <v>2.5000000000000001E-2</v>
      </c>
      <c r="FB3" s="13">
        <v>0.03</v>
      </c>
      <c r="FC3" s="13">
        <v>3.5000000000000003E-2</v>
      </c>
      <c r="FD3" s="13">
        <v>0.04</v>
      </c>
      <c r="FE3" s="13">
        <v>4.4999999999999998E-2</v>
      </c>
      <c r="FF3" s="13">
        <v>0.05</v>
      </c>
      <c r="FG3" s="13">
        <v>5.5E-2</v>
      </c>
      <c r="FH3" s="13">
        <v>0.06</v>
      </c>
      <c r="FI3" s="13">
        <v>6.5000000000000002E-2</v>
      </c>
      <c r="FJ3" s="13">
        <v>7.0000000000000007E-2</v>
      </c>
      <c r="FK3" s="13">
        <v>7.4999999999999997E-2</v>
      </c>
      <c r="FL3" s="13">
        <v>0.08</v>
      </c>
      <c r="FM3" s="13">
        <v>8.5000000000000006E-2</v>
      </c>
      <c r="FN3" s="13">
        <v>0.09</v>
      </c>
      <c r="FO3" s="13">
        <v>9.5000000000000001E-2</v>
      </c>
      <c r="FP3" s="13">
        <v>0.1</v>
      </c>
      <c r="FQ3" s="13">
        <v>0.105</v>
      </c>
      <c r="FR3" s="13">
        <v>0.11</v>
      </c>
      <c r="FS3" s="13">
        <v>0.115</v>
      </c>
      <c r="FT3" s="13">
        <v>0.12</v>
      </c>
      <c r="FU3" s="13">
        <v>0.125</v>
      </c>
      <c r="FV3" s="13">
        <v>0.13</v>
      </c>
      <c r="FW3" s="13">
        <v>0.13500000000000001</v>
      </c>
      <c r="FX3" s="13">
        <v>0.14000000000000001</v>
      </c>
      <c r="FY3" s="13">
        <v>0.14499999999999999</v>
      </c>
      <c r="FZ3" s="13">
        <v>0.15</v>
      </c>
      <c r="GA3" s="13">
        <v>0.155</v>
      </c>
      <c r="GB3" s="13">
        <v>0.16</v>
      </c>
      <c r="GC3" s="13">
        <v>0.16500000000000001</v>
      </c>
      <c r="GD3" s="13">
        <v>0.17</v>
      </c>
      <c r="GE3" s="13">
        <v>0.17499999999999999</v>
      </c>
      <c r="GF3" s="13">
        <v>0.18</v>
      </c>
      <c r="GG3" s="13">
        <v>0.185</v>
      </c>
      <c r="GH3" s="13">
        <v>0.19</v>
      </c>
      <c r="GI3" s="13">
        <v>0.19500000000000001</v>
      </c>
      <c r="GJ3" s="13">
        <v>0.2</v>
      </c>
      <c r="GK3" s="13">
        <v>0.20499999999999999</v>
      </c>
      <c r="GL3" s="13">
        <v>0.21</v>
      </c>
      <c r="GM3" s="13">
        <v>0.215</v>
      </c>
      <c r="GN3" s="13">
        <v>0.22</v>
      </c>
      <c r="GO3" s="13">
        <v>0.22500000000000001</v>
      </c>
      <c r="GP3" s="13">
        <v>0.23</v>
      </c>
      <c r="GQ3" s="13">
        <v>0.23499999999999999</v>
      </c>
      <c r="GR3" s="13">
        <v>0.24</v>
      </c>
      <c r="GS3" s="13">
        <v>0.245</v>
      </c>
      <c r="GT3" s="13">
        <v>0.25</v>
      </c>
      <c r="GU3" s="13">
        <v>0.255</v>
      </c>
      <c r="GV3" s="13">
        <v>0.26</v>
      </c>
      <c r="GW3" s="13">
        <v>0.26500000000000001</v>
      </c>
      <c r="GX3" s="13">
        <v>0.27</v>
      </c>
      <c r="GY3" s="13">
        <v>0.27500000000000002</v>
      </c>
      <c r="GZ3" s="13">
        <v>0.28000000000000003</v>
      </c>
      <c r="HA3" s="13">
        <v>0.28499999999999998</v>
      </c>
      <c r="HB3" s="13">
        <v>0.28999999999999998</v>
      </c>
      <c r="HC3" s="13">
        <v>0.29499999999999998</v>
      </c>
      <c r="HD3" s="13">
        <v>0.3</v>
      </c>
      <c r="HE3" s="13">
        <v>0.30499999999999999</v>
      </c>
      <c r="HF3" s="13">
        <v>0.31</v>
      </c>
      <c r="HG3" s="13">
        <v>0.315</v>
      </c>
      <c r="HH3" s="13">
        <v>0.32</v>
      </c>
      <c r="HI3" s="13">
        <v>0.32500000000000001</v>
      </c>
      <c r="HJ3" s="13">
        <v>0.33</v>
      </c>
      <c r="HK3" s="13">
        <v>0.33500000000000002</v>
      </c>
      <c r="HL3" s="13">
        <v>0.34</v>
      </c>
      <c r="HM3" s="13">
        <v>0.34499999999999997</v>
      </c>
      <c r="HN3" s="13">
        <v>0.35</v>
      </c>
      <c r="HO3" s="13">
        <v>0.35499999999999998</v>
      </c>
      <c r="HP3" s="13">
        <v>0.36</v>
      </c>
      <c r="HQ3" s="13">
        <v>0.36499999999999999</v>
      </c>
      <c r="HR3" s="13">
        <v>0.37</v>
      </c>
      <c r="HS3" s="13">
        <v>0.375</v>
      </c>
      <c r="HT3" s="13">
        <v>0.38</v>
      </c>
      <c r="HU3" s="13">
        <v>0.38500000000000001</v>
      </c>
      <c r="HV3" s="13">
        <v>0.39</v>
      </c>
      <c r="HW3" s="13">
        <v>0.39500000000000002</v>
      </c>
      <c r="HX3" s="13">
        <v>0.4</v>
      </c>
      <c r="HY3" s="13">
        <v>0.40500000000000003</v>
      </c>
      <c r="HZ3" s="13">
        <v>0.41</v>
      </c>
      <c r="IA3" s="13">
        <v>0.41499999999999998</v>
      </c>
      <c r="IB3" s="13">
        <v>0.42</v>
      </c>
      <c r="IC3" s="13">
        <v>0.42499999999999999</v>
      </c>
      <c r="ID3" s="13">
        <v>0.43</v>
      </c>
      <c r="IE3" s="13">
        <v>0.435</v>
      </c>
      <c r="IF3" s="13">
        <v>0.44</v>
      </c>
      <c r="IG3" s="13">
        <v>0.44500000000000001</v>
      </c>
      <c r="IH3" s="13">
        <v>0.45</v>
      </c>
      <c r="II3" s="13">
        <v>0.45500000000000002</v>
      </c>
      <c r="IJ3" s="13">
        <v>0.46</v>
      </c>
      <c r="IK3" s="13">
        <v>0.46500000000000002</v>
      </c>
      <c r="IL3" s="13">
        <v>0.47</v>
      </c>
      <c r="IM3" s="13">
        <v>0.47499999999999998</v>
      </c>
      <c r="IN3" s="13">
        <v>0.48</v>
      </c>
      <c r="IO3" s="13">
        <v>0.48499999999999999</v>
      </c>
      <c r="IP3" s="13">
        <v>0.49</v>
      </c>
      <c r="IQ3" s="13">
        <v>0.495</v>
      </c>
      <c r="IR3" s="13">
        <v>0.5</v>
      </c>
      <c r="IS3" s="71" t="s">
        <v>530</v>
      </c>
      <c r="IT3" s="71" t="s">
        <v>531</v>
      </c>
      <c r="IU3" s="108"/>
      <c r="IV3" s="109"/>
      <c r="IW3" s="107" t="s">
        <v>532</v>
      </c>
    </row>
    <row r="4" spans="1:257" ht="45" customHeight="1">
      <c r="A4" s="89" t="s">
        <v>514</v>
      </c>
      <c r="B4" s="90">
        <v>2</v>
      </c>
      <c r="C4" s="5" t="s">
        <v>65</v>
      </c>
      <c r="D4" s="91">
        <v>17103</v>
      </c>
      <c r="E4" s="91" t="s">
        <v>316</v>
      </c>
      <c r="F4" s="92" t="s">
        <v>69</v>
      </c>
      <c r="G4" s="91" t="s">
        <v>50</v>
      </c>
      <c r="H4" s="91" t="s">
        <v>50</v>
      </c>
      <c r="I4" s="91" t="s">
        <v>82</v>
      </c>
      <c r="J4" s="91" t="s">
        <v>83</v>
      </c>
      <c r="K4" s="91">
        <v>309</v>
      </c>
      <c r="L4" s="85" t="s">
        <v>64</v>
      </c>
      <c r="M4" s="91" t="s">
        <v>190</v>
      </c>
      <c r="N4" s="91" t="s">
        <v>191</v>
      </c>
      <c r="O4" s="91" t="s">
        <v>192</v>
      </c>
      <c r="P4" s="89" t="s">
        <v>195</v>
      </c>
      <c r="Q4" s="91" t="s">
        <v>301</v>
      </c>
      <c r="R4" s="91" t="s">
        <v>250</v>
      </c>
      <c r="S4" s="82">
        <v>108133</v>
      </c>
      <c r="T4" s="82">
        <v>33413188</v>
      </c>
      <c r="U4" s="81">
        <v>2161</v>
      </c>
      <c r="V4" s="81">
        <v>0</v>
      </c>
      <c r="W4" s="82">
        <v>56573433</v>
      </c>
      <c r="X4" s="112">
        <v>52</v>
      </c>
      <c r="Y4" s="112" t="s">
        <v>417</v>
      </c>
      <c r="Z4" s="113">
        <v>4</v>
      </c>
      <c r="AA4" s="113">
        <v>4</v>
      </c>
      <c r="AB4" s="113">
        <v>4</v>
      </c>
      <c r="AC4" s="99">
        <v>555.75</v>
      </c>
      <c r="AD4" s="99">
        <f t="shared" ref="AD4:AD35" si="1">AE4-AC4</f>
        <v>142.26999999999998</v>
      </c>
      <c r="AE4" s="99">
        <v>698.02</v>
      </c>
      <c r="AF4" s="98">
        <f>(Z4+AA4+AB4)*'Ставки аренды'!$B$3/X4</f>
        <v>161.53846153846155</v>
      </c>
      <c r="AG4" s="114">
        <v>0</v>
      </c>
      <c r="AH4" s="94">
        <v>0</v>
      </c>
      <c r="AI4" s="115">
        <f>0.855*AJ4</f>
        <v>14535</v>
      </c>
      <c r="AJ4" s="117">
        <f>Цены!$D$9</f>
        <v>17000</v>
      </c>
      <c r="AK4" s="94">
        <f>AJ4/Цены!$B$1</f>
        <v>222.7886587467483</v>
      </c>
      <c r="AL4" s="95">
        <f>AE4+AF4+AG4</f>
        <v>859.55846153846153</v>
      </c>
      <c r="AM4" s="95">
        <f>AJ4-AL4</f>
        <v>16140.441538461539</v>
      </c>
      <c r="AN4" s="94">
        <f t="shared" ref="AN4:AN35" si="2">AI4+AH4+AG4+AF4+AE4</f>
        <v>15394.558461538461</v>
      </c>
      <c r="AO4" s="118">
        <f t="shared" ref="AO4:AO35" si="3">(AJ4-AN4)/AJ4</f>
        <v>9.4437737556561097E-2</v>
      </c>
      <c r="AP4" s="96">
        <f>AL4/AJ4</f>
        <v>5.0562262443438914E-2</v>
      </c>
      <c r="AQ4" s="96">
        <f>AE4/AJ4</f>
        <v>4.1059999999999999E-2</v>
      </c>
      <c r="AR4" s="96">
        <f>AE4/AL4</f>
        <v>0.81206809220476339</v>
      </c>
      <c r="AS4" s="122">
        <v>1</v>
      </c>
      <c r="AT4" s="121">
        <f>S4*AS4</f>
        <v>108133</v>
      </c>
      <c r="AU4" s="83">
        <v>0.9</v>
      </c>
      <c r="AV4" s="119">
        <f>(AJ4-(AE4*(1+$IS$2)+AF4+AG4+AH4+AI4))/AJ4</f>
        <v>8.9510537556561118E-2</v>
      </c>
      <c r="AW4" s="120">
        <f>(AE4*(1+$IS$2)+AF4+AG4)/AJ4</f>
        <v>5.5489462443438921E-2</v>
      </c>
      <c r="AX4" s="120">
        <f>(AE4*(1+$IS$2))/AJ4</f>
        <v>4.5987200000000006E-2</v>
      </c>
      <c r="AY4" s="120">
        <f>(AE4*(1+$IS$2))/(AE4*(1+$IS$2)+AF4+AG4)</f>
        <v>0.82875555060341977</v>
      </c>
      <c r="AZ4" s="15">
        <f>MIN(IF($AU4=100%,1,1+VLOOKUP(($AJ4-$AI4-$AH4-$AG4-$AF4-$AE4*(1+AZ$3))/$AJ4,'Технический лист'!$A:$B,2,1)-VLOOKUP($AO4,'Технический лист'!$A:$B,2,1)),1+(1-$AU4))</f>
        <v>1.01</v>
      </c>
      <c r="BA4" s="15">
        <f>MIN(IF($AU4=100%,1,1+VLOOKUP(($AJ4-$AI4-$AH4-$AG4-$AF4-$AE4*(1+BA$3))/$AJ4,'Технический лист'!$A:$B,2,1)-VLOOKUP($AO4,'Технический лист'!$A:$B,2,1)),1+(1-$AU4))</f>
        <v>1.01</v>
      </c>
      <c r="BB4" s="15">
        <f>MIN(IF($AU4=100%,1,1+VLOOKUP(($AJ4-$AI4-$AH4-$AG4-$AF4-$AE4*(1+BB$3))/$AJ4,'Технический лист'!$A:$B,2,1)-VLOOKUP($AO4,'Технический лист'!$A:$B,2,1)),1+(1-$AU4))</f>
        <v>1.01</v>
      </c>
      <c r="BC4" s="15">
        <f>MIN(IF($AU4=100%,1,1+VLOOKUP(($AJ4-$AI4-$AH4-$AG4-$AF4-$AE4*(1+BC$3))/$AJ4,'Технический лист'!$A:$B,2,1)-VLOOKUP($AO4,'Технический лист'!$A:$B,2,1)),1+(1-$AU4))</f>
        <v>1.01</v>
      </c>
      <c r="BD4" s="15">
        <f>MIN(IF($AU4=100%,1,1+VLOOKUP(($AJ4-$AI4-$AH4-$AG4-$AF4-$AE4*(1+BD$3))/$AJ4,'Технический лист'!$A:$B,2,1)-VLOOKUP($AO4,'Технический лист'!$A:$B,2,1)),1+(1-$AU4))</f>
        <v>1.01</v>
      </c>
      <c r="BE4" s="15">
        <f>MIN(IF($AU4=100%,1,1+VLOOKUP(($AJ4-$AI4-$AH4-$AG4-$AF4-$AE4*(1+BE$3))/$AJ4,'Технический лист'!$A:$B,2,1)-VLOOKUP($AO4,'Технический лист'!$A:$B,2,1)),1+(1-$AU4))</f>
        <v>1.01</v>
      </c>
      <c r="BF4" s="15">
        <f>MIN(IF($AU4=100%,1,1+VLOOKUP(($AJ4-$AI4-$AH4-$AG4-$AF4-$AE4*(1+BF$3))/$AJ4,'Технический лист'!$A:$B,2,1)-VLOOKUP($AO4,'Технический лист'!$A:$B,2,1)),1+(1-$AU4))</f>
        <v>1.01</v>
      </c>
      <c r="BG4" s="15">
        <f>MIN(IF($AU4=100%,1,1+VLOOKUP(($AJ4-$AI4-$AH4-$AG4-$AF4-$AE4*(1+BG$3))/$AJ4,'Технический лист'!$A:$B,2,1)-VLOOKUP($AO4,'Технический лист'!$A:$B,2,1)),1+(1-$AU4))</f>
        <v>1.01</v>
      </c>
      <c r="BH4" s="15">
        <f>MIN(IF($AU4=100%,1,1+VLOOKUP(($AJ4-$AI4-$AH4-$AG4-$AF4-$AE4*(1+BH$3))/$AJ4,'Технический лист'!$A:$B,2,1)-VLOOKUP($AO4,'Технический лист'!$A:$B,2,1)),1+(1-$AU4))</f>
        <v>1.01</v>
      </c>
      <c r="BI4" s="15">
        <f>MIN(IF($AU4=100%,1,1+VLOOKUP(($AJ4-$AI4-$AH4-$AG4-$AF4-$AE4*(1+BI$3))/$AJ4,'Технический лист'!$A:$B,2,1)-VLOOKUP($AO4,'Технический лист'!$A:$B,2,1)),1+(1-$AU4))</f>
        <v>1.01</v>
      </c>
      <c r="BJ4" s="15">
        <f>MIN(IF($AU4=100%,1,1+VLOOKUP(($AJ4-$AI4-$AH4-$AG4-$AF4-$AE4*(1+BJ$3))/$AJ4,'Технический лист'!$A:$B,2,1)-VLOOKUP($AO4,'Технический лист'!$A:$B,2,1)),1+(1-$AU4))</f>
        <v>1.01</v>
      </c>
      <c r="BK4" s="15">
        <f>MIN(IF($AU4=100%,1,1+VLOOKUP(($AJ4-$AI4-$AH4-$AG4-$AF4-$AE4*(1+BK$3))/$AJ4,'Технический лист'!$A:$B,2,1)-VLOOKUP($AO4,'Технический лист'!$A:$B,2,1)),1+(1-$AU4))</f>
        <v>1.01</v>
      </c>
      <c r="BL4" s="15">
        <f>MIN(IF($AU4=100%,1,1+VLOOKUP(($AJ4-$AI4-$AH4-$AG4-$AF4-$AE4*(1+BL$3))/$AJ4,'Технический лист'!$A:$B,2,1)-VLOOKUP($AO4,'Технический лист'!$A:$B,2,1)),1+(1-$AU4))</f>
        <v>1.01</v>
      </c>
      <c r="BM4" s="15">
        <f>MIN(IF($AU4=100%,1,1+VLOOKUP(($AJ4-$AI4-$AH4-$AG4-$AF4-$AE4*(1+BM$3))/$AJ4,'Технический лист'!$A:$B,2,1)-VLOOKUP($AO4,'Технический лист'!$A:$B,2,1)),1+(1-$AU4))</f>
        <v>1.01</v>
      </c>
      <c r="BN4" s="15">
        <f>MIN(IF($AU4=100%,1,1+VLOOKUP(($AJ4-$AI4-$AH4-$AG4-$AF4-$AE4*(1+BN$3))/$AJ4,'Технический лист'!$A:$B,2,1)-VLOOKUP($AO4,'Технический лист'!$A:$B,2,1)),1+(1-$AU4))</f>
        <v>1.01</v>
      </c>
      <c r="BO4" s="15">
        <f>MIN(IF($AU4=100%,1,1+VLOOKUP(($AJ4-$AI4-$AH4-$AG4-$AF4-$AE4*(1+BO$3))/$AJ4,'Технический лист'!$A:$B,2,1)-VLOOKUP($AO4,'Технический лист'!$A:$B,2,1)),1+(1-$AU4))</f>
        <v>1.01</v>
      </c>
      <c r="BP4" s="15">
        <f>MIN(IF($AU4=100%,1,1+VLOOKUP(($AJ4-$AI4-$AH4-$AG4-$AF4-$AE4*(1+BP$3))/$AJ4,'Технический лист'!$A:$B,2,1)-VLOOKUP($AO4,'Технический лист'!$A:$B,2,1)),1+(1-$AU4))</f>
        <v>1.01</v>
      </c>
      <c r="BQ4" s="15">
        <f>MIN(IF($AU4=100%,1,1+VLOOKUP(($AJ4-$AI4-$AH4-$AG4-$AF4-$AE4*(1+BQ$3))/$AJ4,'Технический лист'!$A:$B,2,1)-VLOOKUP($AO4,'Технический лист'!$A:$B,2,1)),1+(1-$AU4))</f>
        <v>1.01</v>
      </c>
      <c r="BR4" s="15">
        <f>MIN(IF($AU4=100%,1,1+VLOOKUP(($AJ4-$AI4-$AH4-$AG4-$AF4-$AE4*(1+BR$3))/$AJ4,'Технический лист'!$A:$B,2,1)-VLOOKUP($AO4,'Технический лист'!$A:$B,2,1)),1+(1-$AU4))</f>
        <v>1.01</v>
      </c>
      <c r="BS4" s="15">
        <f>MIN(IF($AU4=100%,1,1+VLOOKUP(($AJ4-$AI4-$AH4-$AG4-$AF4-$AE4*(1+BS$3))/$AJ4,'Технический лист'!$A:$B,2,1)-VLOOKUP($AO4,'Технический лист'!$A:$B,2,1)),1+(1-$AU4))</f>
        <v>1.01</v>
      </c>
      <c r="BT4" s="15">
        <f>MIN(IF($AU4=100%,1,1+VLOOKUP(($AJ4-$AI4-$AH4-$AG4-$AF4-$AE4*(1+BT$3))/$AJ4,'Технический лист'!$A:$B,2,1)-VLOOKUP($AO4,'Технический лист'!$A:$B,2,1)),1+(1-$AU4))</f>
        <v>1.01</v>
      </c>
      <c r="BU4" s="15">
        <f>MIN(IF($AU4=100%,1,1+VLOOKUP(($AJ4-$AI4-$AH4-$AG4-$AF4-$AE4*(1+BU$3))/$AJ4,'Технический лист'!$A:$B,2,1)-VLOOKUP($AO4,'Технический лист'!$A:$B,2,1)),1+(1-$AU4))</f>
        <v>1.01</v>
      </c>
      <c r="BV4" s="15">
        <f>MIN(IF($AU4=100%,1,1+VLOOKUP(($AJ4-$AI4-$AH4-$AG4-$AF4-$AE4*(1+BV$3))/$AJ4,'Технический лист'!$A:$B,2,1)-VLOOKUP($AO4,'Технический лист'!$A:$B,2,1)),1+(1-$AU4))</f>
        <v>1.01</v>
      </c>
      <c r="BW4" s="15">
        <f>MIN(IF($AU4=100%,1,1+VLOOKUP(($AJ4-$AI4-$AH4-$AG4-$AF4-$AE4*(1+BW$3))/$AJ4,'Технический лист'!$A:$B,2,1)-VLOOKUP($AO4,'Технический лист'!$A:$B,2,1)),1+(1-$AU4))</f>
        <v>1.01</v>
      </c>
      <c r="BX4" s="15">
        <f>MIN(IF($AU4=100%,1,1+VLOOKUP(($AJ4-$AI4-$AH4-$AG4-$AF4-$AE4*(1+BX$3))/$AJ4,'Технический лист'!$A:$B,2,1)-VLOOKUP($AO4,'Технический лист'!$A:$B,2,1)),1+(1-$AU4))</f>
        <v>1.01</v>
      </c>
      <c r="BY4" s="15">
        <f>MIN(IF($AU4=100%,1,1+VLOOKUP(($AJ4-$AI4-$AH4-$AG4-$AF4-$AE4*(1+BY$3))/$AJ4,'Технический лист'!$A:$B,2,1)-VLOOKUP($AO4,'Технический лист'!$A:$B,2,1)),1+(1-$AU4))</f>
        <v>1.0050000000000001</v>
      </c>
      <c r="BZ4" s="15">
        <f>MIN(IF($AU4=100%,1,1+VLOOKUP(($AJ4-$AI4-$AH4-$AG4-$AF4-$AE4*(1+BZ$3))/$AJ4,'Технический лист'!$A:$B,2,1)-VLOOKUP($AO4,'Технический лист'!$A:$B,2,1)),1+(1-$AU4))</f>
        <v>1.0050000000000001</v>
      </c>
      <c r="CA4" s="15">
        <f>MIN(IF($AU4=100%,1,1+VLOOKUP(($AJ4-$AI4-$AH4-$AG4-$AF4-$AE4*(1+CA$3))/$AJ4,'Технический лист'!$A:$B,2,1)-VLOOKUP($AO4,'Технический лист'!$A:$B,2,1)),1+(1-$AU4))</f>
        <v>1.0050000000000001</v>
      </c>
      <c r="CB4" s="15">
        <f>MIN(IF($AU4=100%,1,1+VLOOKUP(($AJ4-$AI4-$AH4-$AG4-$AF4-$AE4*(1+CB$3))/$AJ4,'Технический лист'!$A:$B,2,1)-VLOOKUP($AO4,'Технический лист'!$A:$B,2,1)),1+(1-$AU4))</f>
        <v>1.0050000000000001</v>
      </c>
      <c r="CC4" s="15">
        <f>MIN(IF($AU4=100%,1,1+VLOOKUP(($AJ4-$AI4-$AH4-$AG4-$AF4-$AE4*(1+CC$3))/$AJ4,'Технический лист'!$A:$B,2,1)-VLOOKUP($AO4,'Технический лист'!$A:$B,2,1)),1+(1-$AU4))</f>
        <v>1.0050000000000001</v>
      </c>
      <c r="CD4" s="15">
        <f>MIN(IF($AU4=100%,1,1+VLOOKUP(($AJ4-$AI4-$AH4-$AG4-$AF4-$AE4*(1+CD$3))/$AJ4,'Технический лист'!$A:$B,2,1)-VLOOKUP($AO4,'Технический лист'!$A:$B,2,1)),1+(1-$AU4))</f>
        <v>1.0050000000000001</v>
      </c>
      <c r="CE4" s="15">
        <f>MIN(IF($AU4=100%,1,1+VLOOKUP(($AJ4-$AI4-$AH4-$AG4-$AF4-$AE4*(1+CE$3))/$AJ4,'Технический лист'!$A:$B,2,1)-VLOOKUP($AO4,'Технический лист'!$A:$B,2,1)),1+(1-$AU4))</f>
        <v>1.0050000000000001</v>
      </c>
      <c r="CF4" s="15">
        <f>MIN(IF($AU4=100%,1,1+VLOOKUP(($AJ4-$AI4-$AH4-$AG4-$AF4-$AE4*(1+CF$3))/$AJ4,'Технический лист'!$A:$B,2,1)-VLOOKUP($AO4,'Технический лист'!$A:$B,2,1)),1+(1-$AU4))</f>
        <v>1.0050000000000001</v>
      </c>
      <c r="CG4" s="15">
        <f>MIN(IF($AU4=100%,1,1+VLOOKUP(($AJ4-$AI4-$AH4-$AG4-$AF4-$AE4*(1+CG$3))/$AJ4,'Технический лист'!$A:$B,2,1)-VLOOKUP($AO4,'Технический лист'!$A:$B,2,1)),1+(1-$AU4))</f>
        <v>1.0050000000000001</v>
      </c>
      <c r="CH4" s="15">
        <f>MIN(IF($AU4=100%,1,1+VLOOKUP(($AJ4-$AI4-$AH4-$AG4-$AF4-$AE4*(1+CH$3))/$AJ4,'Технический лист'!$A:$B,2,1)-VLOOKUP($AO4,'Технический лист'!$A:$B,2,1)),1+(1-$AU4))</f>
        <v>1.0050000000000001</v>
      </c>
      <c r="CI4" s="15">
        <f>MIN(IF($AU4=100%,1,1+VLOOKUP(($AJ4-$AI4-$AH4-$AG4-$AF4-$AE4*(1+CI$3))/$AJ4,'Технический лист'!$A:$B,2,1)-VLOOKUP($AO4,'Технический лист'!$A:$B,2,1)),1+(1-$AU4))</f>
        <v>1.0050000000000001</v>
      </c>
      <c r="CJ4" s="15">
        <f>MIN(IF($AU4=100%,1,1+VLOOKUP(($AJ4-$AI4-$AH4-$AG4-$AF4-$AE4*(1+CJ$3))/$AJ4,'Технический лист'!$A:$B,2,1)-VLOOKUP($AO4,'Технический лист'!$A:$B,2,1)),1+(1-$AU4))</f>
        <v>1.0050000000000001</v>
      </c>
      <c r="CK4" s="15">
        <f>MIN(IF($AU4=100%,1,1+VLOOKUP(($AJ4-$AI4-$AH4-$AG4-$AF4-$AE4*(1+CK$3))/$AJ4,'Технический лист'!$A:$B,2,1)-VLOOKUP($AO4,'Технический лист'!$A:$B,2,1)),1+(1-$AU4))</f>
        <v>1.0050000000000001</v>
      </c>
      <c r="CL4" s="15">
        <f>MIN(IF($AU4=100%,1,1+VLOOKUP(($AJ4-$AI4-$AH4-$AG4-$AF4-$AE4*(1+CL$3))/$AJ4,'Технический лист'!$A:$B,2,1)-VLOOKUP($AO4,'Технический лист'!$A:$B,2,1)),1+(1-$AU4))</f>
        <v>1.0050000000000001</v>
      </c>
      <c r="CM4" s="15">
        <f>MIN(IF($AU4=100%,1,1+VLOOKUP(($AJ4-$AI4-$AH4-$AG4-$AF4-$AE4*(1+CM$3))/$AJ4,'Технический лист'!$A:$B,2,1)-VLOOKUP($AO4,'Технический лист'!$A:$B,2,1)),1+(1-$AU4))</f>
        <v>1.0050000000000001</v>
      </c>
      <c r="CN4" s="15">
        <f>MIN(IF($AU4=100%,1,1+VLOOKUP(($AJ4-$AI4-$AH4-$AG4-$AF4-$AE4*(1+CN$3))/$AJ4,'Технический лист'!$A:$B,2,1)-VLOOKUP($AO4,'Технический лист'!$A:$B,2,1)),1+(1-$AU4))</f>
        <v>1.0050000000000001</v>
      </c>
      <c r="CO4" s="15">
        <f>MIN(IF($AU4=100%,1,1+VLOOKUP(($AJ4-$AI4-$AH4-$AG4-$AF4-$AE4*(1+CO$3))/$AJ4,'Технический лист'!$A:$B,2,1)-VLOOKUP($AO4,'Технический лист'!$A:$B,2,1)),1+(1-$AU4))</f>
        <v>1.0050000000000001</v>
      </c>
      <c r="CP4" s="15">
        <f>MIN(IF($AU4=100%,1,1+VLOOKUP(($AJ4-$AI4-$AH4-$AG4-$AF4-$AE4*(1+CP$3))/$AJ4,'Технический лист'!$A:$B,2,1)-VLOOKUP($AO4,'Технический лист'!$A:$B,2,1)),1+(1-$AU4))</f>
        <v>1.0050000000000001</v>
      </c>
      <c r="CQ4" s="15">
        <f>MIN(IF($AU4=100%,1,1+VLOOKUP(($AJ4-$AI4-$AH4-$AG4-$AF4-$AE4*(1+CQ$3))/$AJ4,'Технический лист'!$A:$B,2,1)-VLOOKUP($AO4,'Технический лист'!$A:$B,2,1)),1+(1-$AU4))</f>
        <v>1.0050000000000001</v>
      </c>
      <c r="CR4" s="15">
        <f>MIN(IF($AU4=100%,1,1+VLOOKUP(($AJ4-$AI4-$AH4-$AG4-$AF4-$AE4*(1+CR$3))/$AJ4,'Технический лист'!$A:$B,2,1)-VLOOKUP($AO4,'Технический лист'!$A:$B,2,1)),1+(1-$AU4))</f>
        <v>1.0050000000000001</v>
      </c>
      <c r="CS4" s="15">
        <f>MIN(IF($AU4=100%,1,1+VLOOKUP(($AJ4-$AI4-$AH4-$AG4-$AF4-$AE4*(1+CS$3))/$AJ4,'Технический лист'!$A:$B,2,1)-VLOOKUP($AO4,'Технический лист'!$A:$B,2,1)),1+(1-$AU4))</f>
        <v>1.0050000000000001</v>
      </c>
      <c r="CT4" s="15">
        <f>MIN(IF($AU4=100%,1,1+VLOOKUP(($AJ4-$AI4-$AH4-$AG4-$AF4-$AE4*(1+CT$3))/$AJ4,'Технический лист'!$A:$B,2,1)-VLOOKUP($AO4,'Технический лист'!$A:$B,2,1)),1+(1-$AU4))</f>
        <v>1.0050000000000001</v>
      </c>
      <c r="CU4" s="15">
        <f>MIN(IF($AU4=100%,1,1+VLOOKUP(($AJ4-$AI4-$AH4-$AG4-$AF4-$AE4*(1+CU$3))/$AJ4,'Технический лист'!$A:$B,2,1)-VLOOKUP($AO4,'Технический лист'!$A:$B,2,1)),1+(1-$AU4))</f>
        <v>1.0050000000000001</v>
      </c>
      <c r="CV4" s="15">
        <f>MIN(IF($AU4=100%,1,1+VLOOKUP(($AJ4-$AI4-$AH4-$AG4-$AF4-$AE4*(1+CV$3))/$AJ4,'Технический лист'!$A:$B,2,1)-VLOOKUP($AO4,'Технический лист'!$A:$B,2,1)),1+(1-$AU4))</f>
        <v>1.0050000000000001</v>
      </c>
      <c r="CW4" s="15">
        <f>MIN(IF($AU4=100%,1,1+VLOOKUP(($AJ4-$AI4-$AH4-$AG4-$AF4-$AE4*(1+CW$3))/$AJ4,'Технический лист'!$A:$B,2,1)-VLOOKUP($AO4,'Технический лист'!$A:$B,2,1)),1+(1-$AU4))</f>
        <v>1.0050000000000001</v>
      </c>
      <c r="CX4" s="15">
        <f>MIN(IF($AU4=100%,1,1+VLOOKUP(($AJ4-$AI4-$AH4-$AG4-$AF4-$AE4*(1+CX$3))/$AJ4,'Технический лист'!$A:$B,2,1)-VLOOKUP($AO4,'Технический лист'!$A:$B,2,1)),1+(1-$AU4))</f>
        <v>1.0050000000000001</v>
      </c>
      <c r="CY4" s="15">
        <f>MIN(IF($AU4=100%,1,1+VLOOKUP(($AJ4-$AI4-$AH4-$AG4-$AF4-$AE4*(1+CY$3))/$AJ4,'Технический лист'!$A:$B,2,1)-VLOOKUP($AO4,'Технический лист'!$A:$B,2,1)),1+(1-$AU4))</f>
        <v>1.0050000000000001</v>
      </c>
      <c r="CZ4" s="15">
        <f>MIN(IF($AU4=100%,1,1+VLOOKUP(($AJ4-$AI4-$AH4-$AG4-$AF4-$AE4*(1+CZ$3))/$AJ4,'Технический лист'!$A:$B,2,1)-VLOOKUP($AO4,'Технический лист'!$A:$B,2,1)),1+(1-$AU4))</f>
        <v>1.0050000000000001</v>
      </c>
      <c r="DA4" s="15">
        <f>MIN(IF($AU4=100%,1,1+VLOOKUP(($AJ4-$AI4-$AH4-$AG4-$AF4-$AE4*(1+DA$3))/$AJ4,'Технический лист'!$A:$B,2,1)-VLOOKUP($AO4,'Технический лист'!$A:$B,2,1)),1+(1-$AU4))</f>
        <v>1.0050000000000001</v>
      </c>
      <c r="DB4" s="15">
        <f>MIN(IF($AU4=100%,1,1+VLOOKUP(($AJ4-$AI4-$AH4-$AG4-$AF4-$AE4*(1+DB$3))/$AJ4,'Технический лист'!$A:$B,2,1)-VLOOKUP($AO4,'Технический лист'!$A:$B,2,1)),1+(1-$AU4))</f>
        <v>1.0050000000000001</v>
      </c>
      <c r="DC4" s="15">
        <f>MIN(IF($AU4=100%,1,1+VLOOKUP(($AJ4-$AI4-$AH4-$AG4-$AF4-$AE4*(1+DC$3))/$AJ4,'Технический лист'!$A:$B,2,1)-VLOOKUP($AO4,'Технический лист'!$A:$B,2,1)),1+(1-$AU4))</f>
        <v>1.0050000000000001</v>
      </c>
      <c r="DD4" s="15">
        <f>MIN(IF($AU4=100%,1,1+VLOOKUP(($AJ4-$AI4-$AH4-$AG4-$AF4-$AE4*(1+DD$3))/$AJ4,'Технический лист'!$A:$B,2,1)-VLOOKUP($AO4,'Технический лист'!$A:$B,2,1)),1+(1-$AU4))</f>
        <v>1.0050000000000001</v>
      </c>
      <c r="DE4" s="15">
        <f>MIN(IF($AU4=100%,1,1+VLOOKUP(($AJ4-$AI4-$AH4-$AG4-$AF4-$AE4*(1+DE$3))/$AJ4,'Технический лист'!$A:$B,2,1)-VLOOKUP($AO4,'Технический лист'!$A:$B,2,1)),1+(1-$AU4))</f>
        <v>1.0050000000000001</v>
      </c>
      <c r="DF4" s="15">
        <f>MIN(IF($AU4=100%,1,1+VLOOKUP(($AJ4-$AI4-$AH4-$AG4-$AF4-$AE4*(1+DF$3))/$AJ4,'Технический лист'!$A:$B,2,1)-VLOOKUP($AO4,'Технический лист'!$A:$B,2,1)),1+(1-$AU4))</f>
        <v>1.0050000000000001</v>
      </c>
      <c r="DG4" s="15">
        <f>MIN(IF($AU4=100%,1,1+VLOOKUP(($AJ4-$AI4-$AH4-$AG4-$AF4-$AE4*(1+DG$3))/$AJ4,'Технический лист'!$A:$B,2,1)-VLOOKUP($AO4,'Технический лист'!$A:$B,2,1)),1+(1-$AU4))</f>
        <v>1.0050000000000001</v>
      </c>
      <c r="DH4" s="15">
        <f>MIN(IF($AU4=100%,1,1+VLOOKUP(($AJ4-$AI4-$AH4-$AG4-$AF4-$AE4*(1+DH$3))/$AJ4,'Технический лист'!$A:$B,2,1)-VLOOKUP($AO4,'Технический лист'!$A:$B,2,1)),1+(1-$AU4))</f>
        <v>1.0050000000000001</v>
      </c>
      <c r="DI4" s="15">
        <f>MIN(IF($AU4=100%,1,1+VLOOKUP(($AJ4-$AI4-$AH4-$AG4-$AF4-$AE4*(1+DI$3))/$AJ4,'Технический лист'!$A:$B,2,1)-VLOOKUP($AO4,'Технический лист'!$A:$B,2,1)),1+(1-$AU4))</f>
        <v>1.0050000000000001</v>
      </c>
      <c r="DJ4" s="15">
        <f>MIN(IF($AU4=100%,1,1+VLOOKUP(($AJ4-$AI4-$AH4-$AG4-$AF4-$AE4*(1+DJ$3))/$AJ4,'Технический лист'!$A:$B,2,1)-VLOOKUP($AO4,'Технический лист'!$A:$B,2,1)),1+(1-$AU4))</f>
        <v>1.0050000000000001</v>
      </c>
      <c r="DK4" s="15">
        <f>MIN(IF($AU4=100%,1,1+VLOOKUP(($AJ4-$AI4-$AH4-$AG4-$AF4-$AE4*(1+DK$3))/$AJ4,'Технический лист'!$A:$B,2,1)-VLOOKUP($AO4,'Технический лист'!$A:$B,2,1)),1+(1-$AU4))</f>
        <v>1.0050000000000001</v>
      </c>
      <c r="DL4" s="15">
        <f>MIN(IF($AU4=100%,1,1+VLOOKUP(($AJ4-$AI4-$AH4-$AG4-$AF4-$AE4*(1+DL$3))/$AJ4,'Технический лист'!$A:$B,2,1)-VLOOKUP($AO4,'Технический лист'!$A:$B,2,1)),1+(1-$AU4))</f>
        <v>1.0050000000000001</v>
      </c>
      <c r="DM4" s="15">
        <f>MIN(IF($AU4=100%,1,1+VLOOKUP(($AJ4-$AI4-$AH4-$AG4-$AF4-$AE4*(1+DM$3))/$AJ4,'Технический лист'!$A:$B,2,1)-VLOOKUP($AO4,'Технический лист'!$A:$B,2,1)),1+(1-$AU4))</f>
        <v>1.0050000000000001</v>
      </c>
      <c r="DN4" s="15">
        <f>MIN(IF($AU4=100%,1,1+VLOOKUP(($AJ4-$AI4-$AH4-$AG4-$AF4-$AE4*(1+DN$3))/$AJ4,'Технический лист'!$A:$B,2,1)-VLOOKUP($AO4,'Технический лист'!$A:$B,2,1)),1+(1-$AU4))</f>
        <v>1.0050000000000001</v>
      </c>
      <c r="DO4" s="15">
        <f>MIN(IF($AU4=100%,1,1+VLOOKUP(($AJ4-$AI4-$AH4-$AG4-$AF4-$AE4*(1+DO$3))/$AJ4,'Технический лист'!$A:$B,2,1)-VLOOKUP($AO4,'Технический лист'!$A:$B,2,1)),1+(1-$AU4))</f>
        <v>1.0050000000000001</v>
      </c>
      <c r="DP4" s="15">
        <f>MIN(IF($AU4=100%,1,1+VLOOKUP(($AJ4-$AI4-$AH4-$AG4-$AF4-$AE4*(1+DP$3))/$AJ4,'Технический лист'!$A:$B,2,1)-VLOOKUP($AO4,'Технический лист'!$A:$B,2,1)),1+(1-$AU4))</f>
        <v>1.0050000000000001</v>
      </c>
      <c r="DQ4" s="15">
        <f>MIN(IF($AU4=100%,1,1+VLOOKUP(($AJ4-$AI4-$AH4-$AG4-$AF4-$AE4*(1+DQ$3))/$AJ4,'Технический лист'!$A:$B,2,1)-VLOOKUP($AO4,'Технический лист'!$A:$B,2,1)),1+(1-$AU4))</f>
        <v>1.0050000000000001</v>
      </c>
      <c r="DR4" s="15">
        <f>MIN(IF($AU4=100%,1,1+VLOOKUP(($AJ4-$AI4-$AH4-$AG4-$AF4-$AE4*(1+DR$3))/$AJ4,'Технический лист'!$A:$B,2,1)-VLOOKUP($AO4,'Технический лист'!$A:$B,2,1)),1+(1-$AU4))</f>
        <v>1.0050000000000001</v>
      </c>
      <c r="DS4" s="15">
        <f>MIN(IF($AU4=100%,1,1+VLOOKUP(($AJ4-$AI4-$AH4-$AG4-$AF4-$AE4*(1+DS$3))/$AJ4,'Технический лист'!$A:$B,2,1)-VLOOKUP($AO4,'Технический лист'!$A:$B,2,1)),1+(1-$AU4))</f>
        <v>1.0050000000000001</v>
      </c>
      <c r="DT4" s="15">
        <f>MIN(IF($AU4=100%,1,1+VLOOKUP(($AJ4-$AI4-$AH4-$AG4-$AF4-$AE4*(1+DT$3))/$AJ4,'Технический лист'!$A:$B,2,1)-VLOOKUP($AO4,'Технический лист'!$A:$B,2,1)),1+(1-$AU4))</f>
        <v>1.0050000000000001</v>
      </c>
      <c r="DU4" s="15">
        <f>MIN(IF($AU4=100%,1,1+VLOOKUP(($AJ4-$AI4-$AH4-$AG4-$AF4-$AE4*(1+DU$3))/$AJ4,'Технический лист'!$A:$B,2,1)-VLOOKUP($AO4,'Технический лист'!$A:$B,2,1)),1+(1-$AU4))</f>
        <v>1.0000000000000002</v>
      </c>
      <c r="DV4" s="15">
        <f>MIN(IF($AU4=100%,1,1+VLOOKUP(($AJ4-$AI4-$AH4-$AG4-$AF4-$AE4*(1+DV$3))/$AJ4,'Технический лист'!$A:$B,2,1)-VLOOKUP($AO4,'Технический лист'!$A:$B,2,1)),1+(1-$AU4))</f>
        <v>1.0000000000000002</v>
      </c>
      <c r="DW4" s="15">
        <f>MIN(IF($AU4=100%,1,1+VLOOKUP(($AJ4-$AI4-$AH4-$AG4-$AF4-$AE4*(1+DW$3))/$AJ4,'Технический лист'!$A:$B,2,1)-VLOOKUP($AO4,'Технический лист'!$A:$B,2,1)),1+(1-$AU4))</f>
        <v>1.0000000000000002</v>
      </c>
      <c r="DX4" s="15">
        <f>MIN(IF($AU4=100%,1,1+VLOOKUP(($AJ4-$AI4-$AH4-$AG4-$AF4-$AE4*(1+DX$3))/$AJ4,'Технический лист'!$A:$B,2,1)-VLOOKUP($AO4,'Технический лист'!$A:$B,2,1)),1+(1-$AU4))</f>
        <v>1.0000000000000002</v>
      </c>
      <c r="DY4" s="15">
        <f>MIN(IF($AU4=100%,1,1+VLOOKUP(($AJ4-$AI4-$AH4-$AG4-$AF4-$AE4*(1+DY$3))/$AJ4,'Технический лист'!$A:$B,2,1)-VLOOKUP($AO4,'Технический лист'!$A:$B,2,1)),1+(1-$AU4))</f>
        <v>1.0000000000000002</v>
      </c>
      <c r="DZ4" s="15">
        <f>MIN(IF($AU4=100%,1,1+VLOOKUP(($AJ4-$AI4-$AH4-$AG4-$AF4-$AE4*(1+DZ$3))/$AJ4,'Технический лист'!$A:$B,2,1)-VLOOKUP($AO4,'Технический лист'!$A:$B,2,1)),1+(1-$AU4))</f>
        <v>1.0000000000000002</v>
      </c>
      <c r="EA4" s="15">
        <f>MIN(IF($AU4=100%,1,1+VLOOKUP(($AJ4-$AI4-$AH4-$AG4-$AF4-$AE4*(1+EA$3))/$AJ4,'Технический лист'!$A:$B,2,1)-VLOOKUP($AO4,'Технический лист'!$A:$B,2,1)),1+(1-$AU4))</f>
        <v>1.0000000000000002</v>
      </c>
      <c r="EB4" s="15">
        <f>MIN(IF($AU4=100%,1,1+VLOOKUP(($AJ4-$AI4-$AH4-$AG4-$AF4-$AE4*(1+EB$3))/$AJ4,'Технический лист'!$A:$B,2,1)-VLOOKUP($AO4,'Технический лист'!$A:$B,2,1)),1+(1-$AU4))</f>
        <v>1.0000000000000002</v>
      </c>
      <c r="EC4" s="15">
        <f>MIN(IF($AU4=100%,1,1+VLOOKUP(($AJ4-$AI4-$AH4-$AG4-$AF4-$AE4*(1+EC$3))/$AJ4,'Технический лист'!$A:$B,2,1)-VLOOKUP($AO4,'Технический лист'!$A:$B,2,1)),1+(1-$AU4))</f>
        <v>1.0000000000000002</v>
      </c>
      <c r="ED4" s="15">
        <f>MIN(IF($AU4=100%,1,1+VLOOKUP(($AJ4-$AI4-$AH4-$AG4-$AF4-$AE4*(1+ED$3))/$AJ4,'Технический лист'!$A:$B,2,1)-VLOOKUP($AO4,'Технический лист'!$A:$B,2,1)),1+(1-$AU4))</f>
        <v>1.0000000000000002</v>
      </c>
      <c r="EE4" s="15">
        <f>MIN(IF($AU4=100%,1,1+VLOOKUP(($AJ4-$AI4-$AH4-$AG4-$AF4-$AE4*(1+EE$3))/$AJ4,'Технический лист'!$A:$B,2,1)-VLOOKUP($AO4,'Технический лист'!$A:$B,2,1)),1+(1-$AU4))</f>
        <v>1.0000000000000002</v>
      </c>
      <c r="EF4" s="15">
        <f>MIN(IF($AU4=100%,1,1+VLOOKUP(($AJ4-$AI4-$AH4-$AG4-$AF4-$AE4*(1+EF$3))/$AJ4,'Технический лист'!$A:$B,2,1)-VLOOKUP($AO4,'Технический лист'!$A:$B,2,1)),1+(1-$AU4))</f>
        <v>1.0000000000000002</v>
      </c>
      <c r="EG4" s="15">
        <f>MIN(IF($AU4=100%,1,1+VLOOKUP(($AJ4-$AI4-$AH4-$AG4-$AF4-$AE4*(1+EG$3))/$AJ4,'Технический лист'!$A:$B,2,1)-VLOOKUP($AO4,'Технический лист'!$A:$B,2,1)),1+(1-$AU4))</f>
        <v>1.0000000000000002</v>
      </c>
      <c r="EH4" s="15">
        <f>MIN(IF($AU4=100%,1,1+VLOOKUP(($AJ4-$AI4-$AH4-$AG4-$AF4-$AE4*(1+EH$3))/$AJ4,'Технический лист'!$A:$B,2,1)-VLOOKUP($AO4,'Технический лист'!$A:$B,2,1)),1+(1-$AU4))</f>
        <v>1.0000000000000002</v>
      </c>
      <c r="EI4" s="15">
        <f>MIN(IF($AU4=100%,1,1+VLOOKUP(($AJ4-$AI4-$AH4-$AG4-$AF4-$AE4*(1+EI$3))/$AJ4,'Технический лист'!$A:$B,2,1)-VLOOKUP($AO4,'Технический лист'!$A:$B,2,1)),1+(1-$AU4))</f>
        <v>1.0000000000000002</v>
      </c>
      <c r="EJ4" s="15">
        <f>MIN(IF($AU4=100%,1,1+VLOOKUP(($AJ4-$AI4-$AH4-$AG4-$AF4-$AE4*(1+EJ$3))/$AJ4,'Технический лист'!$A:$B,2,1)-VLOOKUP($AO4,'Технический лист'!$A:$B,2,1)),1+(1-$AU4))</f>
        <v>1.0000000000000002</v>
      </c>
      <c r="EK4" s="15">
        <f>MIN(IF($AU4=100%,1,1+VLOOKUP(($AJ4-$AI4-$AH4-$AG4-$AF4-$AE4*(1+EK$3))/$AJ4,'Технический лист'!$A:$B,2,1)-VLOOKUP($AO4,'Технический лист'!$A:$B,2,1)),1+(1-$AU4))</f>
        <v>1.0000000000000002</v>
      </c>
      <c r="EL4" s="15">
        <f>MIN(IF($AU4=100%,1,1+VLOOKUP(($AJ4-$AI4-$AH4-$AG4-$AF4-$AE4*(1+EL$3))/$AJ4,'Технический лист'!$A:$B,2,1)-VLOOKUP($AO4,'Технический лист'!$A:$B,2,1)),1+(1-$AU4))</f>
        <v>1.0000000000000002</v>
      </c>
      <c r="EM4" s="15">
        <f>MIN(IF($AU4=100%,1,1+VLOOKUP(($AJ4-$AI4-$AH4-$AG4-$AF4-$AE4*(1+EM$3))/$AJ4,'Технический лист'!$A:$B,2,1)-VLOOKUP($AO4,'Технический лист'!$A:$B,2,1)),1+(1-$AU4))</f>
        <v>1.0000000000000002</v>
      </c>
      <c r="EN4" s="15">
        <f>MIN(IF($AU4=100%,1,1+VLOOKUP(($AJ4-$AI4-$AH4-$AG4-$AF4-$AE4*(1+EN$3))/$AJ4,'Технический лист'!$A:$B,2,1)-VLOOKUP($AO4,'Технический лист'!$A:$B,2,1)),1+(1-$AU4))</f>
        <v>1.0000000000000002</v>
      </c>
      <c r="EO4" s="15">
        <f>MIN(IF($AU4=100%,1,1+VLOOKUP(($AJ4-$AI4-$AH4-$AG4-$AF4-$AE4*(1+EO$3))/$AJ4,'Технический лист'!$A:$B,2,1)-VLOOKUP($AO4,'Технический лист'!$A:$B,2,1)),1+(1-$AU4))</f>
        <v>1.0000000000000002</v>
      </c>
      <c r="EP4" s="15">
        <f>MIN(IF($AU4=100%,1,1+VLOOKUP(($AJ4-$AI4-$AH4-$AG4-$AF4-$AE4*(1+EP$3))/$AJ4,'Технический лист'!$A:$B,2,1)-VLOOKUP($AO4,'Технический лист'!$A:$B,2,1)),1+(1-$AU4))</f>
        <v>1.0000000000000002</v>
      </c>
      <c r="EQ4" s="15">
        <f>MIN(IF($AU4=100%,1,1+VLOOKUP(($AJ4-$AI4-$AH4-$AG4-$AF4-$AE4*(1+EQ$3))/$AJ4,'Технический лист'!$A:$B,2,1)-VLOOKUP($AO4,'Технический лист'!$A:$B,2,1)),1+(1-$AU4))</f>
        <v>1.0000000000000002</v>
      </c>
      <c r="ER4" s="15">
        <f>MIN(IF($AU4=100%,1,1+VLOOKUP(($AJ4-$AI4-$AH4-$AG4-$AF4-$AE4*(1+ER$3))/$AJ4,'Технический лист'!$A:$B,2,1)-VLOOKUP($AO4,'Технический лист'!$A:$B,2,1)),1+(1-$AU4))</f>
        <v>1.0000000000000002</v>
      </c>
      <c r="ES4" s="15">
        <f>MIN(IF($AU4=100%,1,1+VLOOKUP(($AJ4-$AI4-$AH4-$AG4-$AF4-$AE4*(1+ES$3))/$AJ4,'Технический лист'!$A:$B,2,1)-VLOOKUP($AO4,'Технический лист'!$A:$B,2,1)),1+(1-$AU4))</f>
        <v>1.0000000000000002</v>
      </c>
      <c r="ET4" s="15">
        <f>MIN(IF($AU4=100%,1,1+VLOOKUP(($AJ4-$AI4-$AH4-$AG4-$AF4-$AE4*(1+ET$3))/$AJ4,'Технический лист'!$A:$B,2,1)-VLOOKUP($AO4,'Технический лист'!$A:$B,2,1)),1+(1-$AU4))</f>
        <v>1.0000000000000002</v>
      </c>
      <c r="EU4" s="15">
        <f>MIN(IF($AU4=100%,1,1+VLOOKUP(($AJ4-$AI4-$AH4-$AG4-$AF4-$AE4*(1+EU$3))/$AJ4,'Технический лист'!$A:$B,2,1)-VLOOKUP($AO4,'Технический лист'!$A:$B,2,1)),1+(1-$AU4))</f>
        <v>1.0000000000000002</v>
      </c>
      <c r="EV4" s="111">
        <v>1</v>
      </c>
      <c r="EW4" s="15">
        <f>MIN(1,MAX(VLOOKUP(($AJ4-$AI4-$AH4-$AG4-$AF4-$AE4*(1+EW$3))/$AJ4,'Технический лист'!$A:$B,2,1),(EV4-0.05)))</f>
        <v>1</v>
      </c>
      <c r="EX4" s="15">
        <f>MIN(1,MAX(VLOOKUP(($AJ4-$AI4-$AH4-$AG4-$AF4-$AE4*(1+EX$3))/$AJ4,'Технический лист'!$A:$B,2,1),(EW4-0.05)))</f>
        <v>1</v>
      </c>
      <c r="EY4" s="15">
        <f>MIN(1,MAX(VLOOKUP(($AJ4-$AI4-$AH4-$AG4-$AF4-$AE4*(1+EY$3))/$AJ4,'Технический лист'!$A:$B,2,1),(EX4-0.05)))</f>
        <v>1</v>
      </c>
      <c r="EZ4" s="15">
        <f>MIN(1,MAX(VLOOKUP(($AJ4-$AI4-$AH4-$AG4-$AF4-$AE4*(1+EZ$3))/$AJ4,'Технический лист'!$A:$B,2,1),(EY4-0.05)))</f>
        <v>1</v>
      </c>
      <c r="FA4" s="15">
        <f>MIN(1,MAX(VLOOKUP(($AJ4-$AI4-$AH4-$AG4-$AF4-$AE4*(1+FA$3))/$AJ4,'Технический лист'!$A:$B,2,1),(EZ4-0.05)))</f>
        <v>1</v>
      </c>
      <c r="FB4" s="15">
        <f>MIN(1,MAX(VLOOKUP(($AJ4-$AI4-$AH4-$AG4-$AF4-$AE4*(1+FB$3))/$AJ4,'Технический лист'!$A:$B,2,1),(FA4-0.05)))</f>
        <v>1</v>
      </c>
      <c r="FC4" s="15">
        <f>MIN(1,MAX(VLOOKUP(($AJ4-$AI4-$AH4-$AG4-$AF4-$AE4*(1+FC$3))/$AJ4,'Технический лист'!$A:$B,2,1),(FB4-0.05)))</f>
        <v>1</v>
      </c>
      <c r="FD4" s="15">
        <f>MIN(1,MAX(VLOOKUP(($AJ4-$AI4-$AH4-$AG4-$AF4-$AE4*(1+FD$3))/$AJ4,'Технический лист'!$A:$B,2,1),(FC4-0.05)))</f>
        <v>1</v>
      </c>
      <c r="FE4" s="15">
        <f>MIN(1,MAX(VLOOKUP(($AJ4-$AI4-$AH4-$AG4-$AF4-$AE4*(1+FE$3))/$AJ4,'Технический лист'!$A:$B,2,1),(FD4-0.05)))</f>
        <v>1</v>
      </c>
      <c r="FF4" s="15">
        <f>MIN(1,MAX(VLOOKUP(($AJ4-$AI4-$AH4-$AG4-$AF4-$AE4*(1+FF$3))/$AJ4,'Технический лист'!$A:$B,2,1),(FE4-0.05)))</f>
        <v>1</v>
      </c>
      <c r="FG4" s="15">
        <f>MIN(1,MAX(VLOOKUP(($AJ4-$AI4-$AH4-$AG4-$AF4-$AE4*(1+FG$3))/$AJ4,'Технический лист'!$A:$B,2,1),(FF4-0.05)))</f>
        <v>1</v>
      </c>
      <c r="FH4" s="15">
        <f>MIN(1,MAX(VLOOKUP(($AJ4-$AI4-$AH4-$AG4-$AF4-$AE4*(1+FH$3))/$AJ4,'Технический лист'!$A:$B,2,1),(FG4-0.05)))</f>
        <v>1</v>
      </c>
      <c r="FI4" s="15">
        <f>MIN(1,MAX(VLOOKUP(($AJ4-$AI4-$AH4-$AG4-$AF4-$AE4*(1+FI$3))/$AJ4,'Технический лист'!$A:$B,2,1),(FH4-0.05)))</f>
        <v>1</v>
      </c>
      <c r="FJ4" s="15">
        <f>MIN(1,MAX(VLOOKUP(($AJ4-$AI4-$AH4-$AG4-$AF4-$AE4*(1+FJ$3))/$AJ4,'Технический лист'!$A:$B,2,1),(FI4-0.05)))</f>
        <v>1</v>
      </c>
      <c r="FK4" s="15">
        <f>MIN(1,MAX(VLOOKUP(($AJ4-$AI4-$AH4-$AG4-$AF4-$AE4*(1+FK$3))/$AJ4,'Технический лист'!$A:$B,2,1),(FJ4-0.05)))</f>
        <v>1</v>
      </c>
      <c r="FL4" s="15">
        <f>MIN(1,MAX(VLOOKUP(($AJ4-$AI4-$AH4-$AG4-$AF4-$AE4*(1+FL$3))/$AJ4,'Технический лист'!$A:$B,2,1),(FK4-0.05)))</f>
        <v>1</v>
      </c>
      <c r="FM4" s="15">
        <f>MIN(1,MAX(VLOOKUP(($AJ4-$AI4-$AH4-$AG4-$AF4-$AE4*(1+FM$3))/$AJ4,'Технический лист'!$A:$B,2,1),(FL4-0.05)))</f>
        <v>1</v>
      </c>
      <c r="FN4" s="15">
        <f>MIN(1,MAX(VLOOKUP(($AJ4-$AI4-$AH4-$AG4-$AF4-$AE4*(1+FN$3))/$AJ4,'Технический лист'!$A:$B,2,1),(FM4-0.05)))</f>
        <v>1</v>
      </c>
      <c r="FO4" s="15">
        <f>MIN(1,MAX(VLOOKUP(($AJ4-$AI4-$AH4-$AG4-$AF4-$AE4*(1+FO$3))/$AJ4,'Технический лист'!$A:$B,2,1),(FN4-0.05)))</f>
        <v>1</v>
      </c>
      <c r="FP4" s="15">
        <f>MIN(1,MAX(VLOOKUP(($AJ4-$AI4-$AH4-$AG4-$AF4-$AE4*(1+FP$3))/$AJ4,'Технический лист'!$A:$B,2,1),(FO4-0.05)))</f>
        <v>1</v>
      </c>
      <c r="FQ4" s="15">
        <f>MIN(1,MAX(VLOOKUP(($AJ4-$AI4-$AH4-$AG4-$AF4-$AE4*(1+FQ$3))/$AJ4,'Технический лист'!$A:$B,2,1),(FP4-0.05)))</f>
        <v>1</v>
      </c>
      <c r="FR4" s="15">
        <f>MIN(1,MAX(VLOOKUP(($AJ4-$AI4-$AH4-$AG4-$AF4-$AE4*(1+FR$3))/$AJ4,'Технический лист'!$A:$B,2,1),(FQ4-0.05)))</f>
        <v>1</v>
      </c>
      <c r="FS4" s="15">
        <f>MIN(1,MAX(VLOOKUP(($AJ4-$AI4-$AH4-$AG4-$AF4-$AE4*(1+FS$3))/$AJ4,'Технический лист'!$A:$B,2,1),(FR4-0.05)))</f>
        <v>1</v>
      </c>
      <c r="FT4" s="15">
        <f>MIN(1,MAX(VLOOKUP(($AJ4-$AI4-$AH4-$AG4-$AF4-$AE4*(1+FT$3))/$AJ4,'Технический лист'!$A:$B,2,1),(FS4-0.05)))</f>
        <v>1</v>
      </c>
      <c r="FU4" s="15">
        <f>MIN(1,MAX(VLOOKUP(($AJ4-$AI4-$AH4-$AG4-$AF4-$AE4*(1+FU$3))/$AJ4,'Технический лист'!$A:$B,2,1),(FT4-0.05)))</f>
        <v>1</v>
      </c>
      <c r="FV4" s="15">
        <f>MIN(1,MAX(VLOOKUP(($AJ4-$AI4-$AH4-$AG4-$AF4-$AE4*(1+FV$3))/$AJ4,'Технический лист'!$A:$B,2,1),(FU4-0.05)))</f>
        <v>1</v>
      </c>
      <c r="FW4" s="15">
        <f>MIN(1,MAX(VLOOKUP(($AJ4-$AI4-$AH4-$AG4-$AF4-$AE4*(1+FW$3))/$AJ4,'Технический лист'!$A:$B,2,1),(FV4-0.05)))</f>
        <v>1</v>
      </c>
      <c r="FX4" s="15">
        <f>MIN(1,MAX(VLOOKUP(($AJ4-$AI4-$AH4-$AG4-$AF4-$AE4*(1+FX$3))/$AJ4,'Технический лист'!$A:$B,2,1),(FW4-0.05)))</f>
        <v>1</v>
      </c>
      <c r="FY4" s="15">
        <f>MIN(1,MAX(VLOOKUP(($AJ4-$AI4-$AH4-$AG4-$AF4-$AE4*(1+FY$3))/$AJ4,'Технический лист'!$A:$B,2,1),(FX4-0.05)))</f>
        <v>1</v>
      </c>
      <c r="FZ4" s="15">
        <f>MIN(1,MAX(VLOOKUP(($AJ4-$AI4-$AH4-$AG4-$AF4-$AE4*(1+FZ$3))/$AJ4,'Технический лист'!$A:$B,2,1),(FY4-0.05)))</f>
        <v>1</v>
      </c>
      <c r="GA4" s="15">
        <f>MIN(1,MAX(VLOOKUP(($AJ4-$AI4-$AH4-$AG4-$AF4-$AE4*(1+GA$3))/$AJ4,'Технический лист'!$A:$B,2,1),(FZ4-0.05)))</f>
        <v>1</v>
      </c>
      <c r="GB4" s="15">
        <f>MIN(1,MAX(VLOOKUP(($AJ4-$AI4-$AH4-$AG4-$AF4-$AE4*(1+GB$3))/$AJ4,'Технический лист'!$A:$B,2,1),(GA4-0.05)))</f>
        <v>1</v>
      </c>
      <c r="GC4" s="15">
        <f>MIN(1,MAX(VLOOKUP(($AJ4-$AI4-$AH4-$AG4-$AF4-$AE4*(1+GC$3))/$AJ4,'Технический лист'!$A:$B,2,1),(GB4-0.05)))</f>
        <v>1</v>
      </c>
      <c r="GD4" s="15">
        <f>MIN(1,MAX(VLOOKUP(($AJ4-$AI4-$AH4-$AG4-$AF4-$AE4*(1+GD$3))/$AJ4,'Технический лист'!$A:$B,2,1),(GC4-0.05)))</f>
        <v>1</v>
      </c>
      <c r="GE4" s="15">
        <f>MIN(1,MAX(VLOOKUP(($AJ4-$AI4-$AH4-$AG4-$AF4-$AE4*(1+GE$3))/$AJ4,'Технический лист'!$A:$B,2,1),(GD4-0.05)))</f>
        <v>1</v>
      </c>
      <c r="GF4" s="15">
        <f>MIN(1,MAX(VLOOKUP(($AJ4-$AI4-$AH4-$AG4-$AF4-$AE4*(1+GF$3))/$AJ4,'Технический лист'!$A:$B,2,1),(GE4-0.05)))</f>
        <v>1</v>
      </c>
      <c r="GG4" s="15">
        <f>MIN(1,MAX(VLOOKUP(($AJ4-$AI4-$AH4-$AG4-$AF4-$AE4*(1+GG$3))/$AJ4,'Технический лист'!$A:$B,2,1),(GF4-0.05)))</f>
        <v>1</v>
      </c>
      <c r="GH4" s="15">
        <f>MIN(1,MAX(VLOOKUP(($AJ4-$AI4-$AH4-$AG4-$AF4-$AE4*(1+GH$3))/$AJ4,'Технический лист'!$A:$B,2,1),(GG4-0.05)))</f>
        <v>1</v>
      </c>
      <c r="GI4" s="15">
        <f>MIN(1,MAX(VLOOKUP(($AJ4-$AI4-$AH4-$AG4-$AF4-$AE4*(1+GI$3))/$AJ4,'Технический лист'!$A:$B,2,1),(GH4-0.05)))</f>
        <v>1</v>
      </c>
      <c r="GJ4" s="15">
        <f>MIN(1,MAX(VLOOKUP(($AJ4-$AI4-$AH4-$AG4-$AF4-$AE4*(1+GJ$3))/$AJ4,'Технический лист'!$A:$B,2,1),(GI4-0.05)))</f>
        <v>1</v>
      </c>
      <c r="GK4" s="15">
        <f>MIN(1,MAX(VLOOKUP(($AJ4-$AI4-$AH4-$AG4-$AF4-$AE4*(1+GK$3))/$AJ4,'Технический лист'!$A:$B,2,1),(GJ4-0.05)))</f>
        <v>1</v>
      </c>
      <c r="GL4" s="15">
        <f>MIN(1,MAX(VLOOKUP(($AJ4-$AI4-$AH4-$AG4-$AF4-$AE4*(1+GL$3))/$AJ4,'Технический лист'!$A:$B,2,1),(GK4-0.05)))</f>
        <v>1</v>
      </c>
      <c r="GM4" s="15">
        <f>MIN(1,MAX(VLOOKUP(($AJ4-$AI4-$AH4-$AG4-$AF4-$AE4*(1+GM$3))/$AJ4,'Технический лист'!$A:$B,2,1),(GL4-0.05)))</f>
        <v>1</v>
      </c>
      <c r="GN4" s="15">
        <f>MIN(1,MAX(VLOOKUP(($AJ4-$AI4-$AH4-$AG4-$AF4-$AE4*(1+GN$3))/$AJ4,'Технический лист'!$A:$B,2,1),(GM4-0.05)))</f>
        <v>1</v>
      </c>
      <c r="GO4" s="15">
        <f>MIN(1,MAX(VLOOKUP(($AJ4-$AI4-$AH4-$AG4-$AF4-$AE4*(1+GO$3))/$AJ4,'Технический лист'!$A:$B,2,1),(GN4-0.05)))</f>
        <v>1</v>
      </c>
      <c r="GP4" s="15">
        <f>MIN(1,MAX(VLOOKUP(($AJ4-$AI4-$AH4-$AG4-$AF4-$AE4*(1+GP$3))/$AJ4,'Технический лист'!$A:$B,2,1),(GO4-0.05)))</f>
        <v>1</v>
      </c>
      <c r="GQ4" s="15">
        <f>MIN(1,MAX(VLOOKUP(($AJ4-$AI4-$AH4-$AG4-$AF4-$AE4*(1+GQ$3))/$AJ4,'Технический лист'!$A:$B,2,1),(GP4-0.05)))</f>
        <v>1</v>
      </c>
      <c r="GR4" s="15">
        <f>MIN(1,MAX(VLOOKUP(($AJ4-$AI4-$AH4-$AG4-$AF4-$AE4*(1+GR$3))/$AJ4,'Технический лист'!$A:$B,2,1),(GQ4-0.05)))</f>
        <v>1</v>
      </c>
      <c r="GS4" s="15">
        <f>MIN(1,MAX(VLOOKUP(($AJ4-$AI4-$AH4-$AG4-$AF4-$AE4*(1+GS$3))/$AJ4,'Технический лист'!$A:$B,2,1),(GR4-0.05)))</f>
        <v>1</v>
      </c>
      <c r="GT4" s="15">
        <f>MIN(1,MAX(VLOOKUP(($AJ4-$AI4-$AH4-$AG4-$AF4-$AE4*(1+GT$3))/$AJ4,'Технический лист'!$A:$B,2,1),(GS4-0.05)))</f>
        <v>1</v>
      </c>
      <c r="GU4" s="15">
        <f>MIN(1,MAX(VLOOKUP(($AJ4-$AI4-$AH4-$AG4-$AF4-$AE4*(1+GU$3))/$AJ4,'Технический лист'!$A:$B,2,1),(GT4-0.05)))</f>
        <v>1</v>
      </c>
      <c r="GV4" s="15">
        <f>MIN(1,MAX(VLOOKUP(($AJ4-$AI4-$AH4-$AG4-$AF4-$AE4*(1+GV$3))/$AJ4,'Технический лист'!$A:$B,2,1),(GU4-0.05)))</f>
        <v>1</v>
      </c>
      <c r="GW4" s="15">
        <f>MIN(1,MAX(VLOOKUP(($AJ4-$AI4-$AH4-$AG4-$AF4-$AE4*(1+GW$3))/$AJ4,'Технический лист'!$A:$B,2,1),(GV4-0.05)))</f>
        <v>1</v>
      </c>
      <c r="GX4" s="15">
        <f>MIN(1,MAX(VLOOKUP(($AJ4-$AI4-$AH4-$AG4-$AF4-$AE4*(1+GX$3))/$AJ4,'Технический лист'!$A:$B,2,1),(GW4-0.05)))</f>
        <v>1</v>
      </c>
      <c r="GY4" s="15">
        <f>MIN(1,MAX(VLOOKUP(($AJ4-$AI4-$AH4-$AG4-$AF4-$AE4*(1+GY$3))/$AJ4,'Технический лист'!$A:$B,2,1),(GX4-0.05)))</f>
        <v>1</v>
      </c>
      <c r="GZ4" s="15">
        <f>MIN(1,MAX(VLOOKUP(($AJ4-$AI4-$AH4-$AG4-$AF4-$AE4*(1+GZ$3))/$AJ4,'Технический лист'!$A:$B,2,1),(GY4-0.05)))</f>
        <v>1</v>
      </c>
      <c r="HA4" s="15">
        <f>MIN(1,MAX(VLOOKUP(($AJ4-$AI4-$AH4-$AG4-$AF4-$AE4*(1+HA$3))/$AJ4,'Технический лист'!$A:$B,2,1),(GZ4-0.05)))</f>
        <v>1</v>
      </c>
      <c r="HB4" s="15">
        <f>MIN(1,MAX(VLOOKUP(($AJ4-$AI4-$AH4-$AG4-$AF4-$AE4*(1+HB$3))/$AJ4,'Технический лист'!$A:$B,2,1),(HA4-0.05)))</f>
        <v>1</v>
      </c>
      <c r="HC4" s="15">
        <f>MIN(1,MAX(VLOOKUP(($AJ4-$AI4-$AH4-$AG4-$AF4-$AE4*(1+HC$3))/$AJ4,'Технический лист'!$A:$B,2,1),(HB4-0.05)))</f>
        <v>1</v>
      </c>
      <c r="HD4" s="15">
        <f>MIN(1,MAX(VLOOKUP(($AJ4-$AI4-$AH4-$AG4-$AF4-$AE4*(1+HD$3))/$AJ4,'Технический лист'!$A:$B,2,1),(HC4-0.05)))</f>
        <v>1</v>
      </c>
      <c r="HE4" s="15">
        <f>MIN(1,MAX(VLOOKUP(($AJ4-$AI4-$AH4-$AG4-$AF4-$AE4*(1+HE$3))/$AJ4,'Технический лист'!$A:$B,2,1),(HD4-0.05)))</f>
        <v>1</v>
      </c>
      <c r="HF4" s="15">
        <f>MIN(1,MAX(VLOOKUP(($AJ4-$AI4-$AH4-$AG4-$AF4-$AE4*(1+HF$3))/$AJ4,'Технический лист'!$A:$B,2,1),(HE4-0.05)))</f>
        <v>1</v>
      </c>
      <c r="HG4" s="15">
        <f>MIN(1,MAX(VLOOKUP(($AJ4-$AI4-$AH4-$AG4-$AF4-$AE4*(1+HG$3))/$AJ4,'Технический лист'!$A:$B,2,1),(HF4-0.05)))</f>
        <v>1</v>
      </c>
      <c r="HH4" s="15">
        <f>MIN(1,MAX(VLOOKUP(($AJ4-$AI4-$AH4-$AG4-$AF4-$AE4*(1+HH$3))/$AJ4,'Технический лист'!$A:$B,2,1),(HG4-0.05)))</f>
        <v>1</v>
      </c>
      <c r="HI4" s="15">
        <f>MIN(1,MAX(VLOOKUP(($AJ4-$AI4-$AH4-$AG4-$AF4-$AE4*(1+HI$3))/$AJ4,'Технический лист'!$A:$B,2,1),(HH4-0.05)))</f>
        <v>1</v>
      </c>
      <c r="HJ4" s="15">
        <f>MIN(1,MAX(VLOOKUP(($AJ4-$AI4-$AH4-$AG4-$AF4-$AE4*(1+HJ$3))/$AJ4,'Технический лист'!$A:$B,2,1),(HI4-0.05)))</f>
        <v>1</v>
      </c>
      <c r="HK4" s="15">
        <f>MIN(1,MAX(VLOOKUP(($AJ4-$AI4-$AH4-$AG4-$AF4-$AE4*(1+HK$3))/$AJ4,'Технический лист'!$A:$B,2,1),(HJ4-0.05)))</f>
        <v>1</v>
      </c>
      <c r="HL4" s="15">
        <f>MIN(1,MAX(VLOOKUP(($AJ4-$AI4-$AH4-$AG4-$AF4-$AE4*(1+HL$3))/$AJ4,'Технический лист'!$A:$B,2,1),(HK4-0.05)))</f>
        <v>1</v>
      </c>
      <c r="HM4" s="15">
        <f>MIN(1,MAX(VLOOKUP(($AJ4-$AI4-$AH4-$AG4-$AF4-$AE4*(1+HM$3))/$AJ4,'Технический лист'!$A:$B,2,1),(HL4-0.05)))</f>
        <v>1</v>
      </c>
      <c r="HN4" s="15">
        <f>MIN(1,MAX(VLOOKUP(($AJ4-$AI4-$AH4-$AG4-$AF4-$AE4*(1+HN$3))/$AJ4,'Технический лист'!$A:$B,2,1),(HM4-0.05)))</f>
        <v>1</v>
      </c>
      <c r="HO4" s="15">
        <f>MIN(1,MAX(VLOOKUP(($AJ4-$AI4-$AH4-$AG4-$AF4-$AE4*(1+HO$3))/$AJ4,'Технический лист'!$A:$B,2,1),(HN4-0.05)))</f>
        <v>1</v>
      </c>
      <c r="HP4" s="15">
        <f>MIN(1,MAX(VLOOKUP(($AJ4-$AI4-$AH4-$AG4-$AF4-$AE4*(1+HP$3))/$AJ4,'Технический лист'!$A:$B,2,1),(HO4-0.05)))</f>
        <v>1</v>
      </c>
      <c r="HQ4" s="15">
        <f>MIN(1,MAX(VLOOKUP(($AJ4-$AI4-$AH4-$AG4-$AF4-$AE4*(1+HQ$3))/$AJ4,'Технический лист'!$A:$B,2,1),(HP4-0.05)))</f>
        <v>1</v>
      </c>
      <c r="HR4" s="15">
        <f>MIN(1,MAX(VLOOKUP(($AJ4-$AI4-$AH4-$AG4-$AF4-$AE4*(1+HR$3))/$AJ4,'Технический лист'!$A:$B,2,1),(HQ4-0.05)))</f>
        <v>1</v>
      </c>
      <c r="HS4" s="15">
        <f>MIN(1,MAX(VLOOKUP(($AJ4-$AI4-$AH4-$AG4-$AF4-$AE4*(1+HS$3))/$AJ4,'Технический лист'!$A:$B,2,1),(HR4-0.05)))</f>
        <v>1</v>
      </c>
      <c r="HT4" s="15">
        <f>MIN(1,MAX(VLOOKUP(($AJ4-$AI4-$AH4-$AG4-$AF4-$AE4*(1+HT$3))/$AJ4,'Технический лист'!$A:$B,2,1),(HS4-0.05)))</f>
        <v>1</v>
      </c>
      <c r="HU4" s="15">
        <f>MIN(1,MAX(VLOOKUP(($AJ4-$AI4-$AH4-$AG4-$AF4-$AE4*(1+HU$3))/$AJ4,'Технический лист'!$A:$B,2,1),(HT4-0.05)))</f>
        <v>1</v>
      </c>
      <c r="HV4" s="15">
        <f>MIN(1,MAX(VLOOKUP(($AJ4-$AI4-$AH4-$AG4-$AF4-$AE4*(1+HV$3))/$AJ4,'Технический лист'!$A:$B,2,1),(HU4-0.05)))</f>
        <v>1</v>
      </c>
      <c r="HW4" s="15">
        <f>MIN(1,MAX(VLOOKUP(($AJ4-$AI4-$AH4-$AG4-$AF4-$AE4*(1+HW$3))/$AJ4,'Технический лист'!$A:$B,2,1),(HV4-0.05)))</f>
        <v>1</v>
      </c>
      <c r="HX4" s="15">
        <f>MIN(1,MAX(VLOOKUP(($AJ4-$AI4-$AH4-$AG4-$AF4-$AE4*(1+HX$3))/$AJ4,'Технический лист'!$A:$B,2,1),(HW4-0.05)))</f>
        <v>1</v>
      </c>
      <c r="HY4" s="15">
        <f>MIN(1,MAX(VLOOKUP(($AJ4-$AI4-$AH4-$AG4-$AF4-$AE4*(1+HY$3))/$AJ4,'Технический лист'!$A:$B,2,1),(HX4-0.05)))</f>
        <v>1</v>
      </c>
      <c r="HZ4" s="15">
        <f>MIN(1,MAX(VLOOKUP(($AJ4-$AI4-$AH4-$AG4-$AF4-$AE4*(1+HZ$3))/$AJ4,'Технический лист'!$A:$B,2,1),(HY4-0.05)))</f>
        <v>1</v>
      </c>
      <c r="IA4" s="15">
        <f>MIN(1,MAX(VLOOKUP(($AJ4-$AI4-$AH4-$AG4-$AF4-$AE4*(1+IA$3))/$AJ4,'Технический лист'!$A:$B,2,1),(HZ4-0.05)))</f>
        <v>1</v>
      </c>
      <c r="IB4" s="15">
        <f>MIN(1,MAX(VLOOKUP(($AJ4-$AI4-$AH4-$AG4-$AF4-$AE4*(1+IB$3))/$AJ4,'Технический лист'!$A:$B,2,1),(IA4-0.05)))</f>
        <v>1</v>
      </c>
      <c r="IC4" s="15">
        <f>MIN(1,MAX(VLOOKUP(($AJ4-$AI4-$AH4-$AG4-$AF4-$AE4*(1+IC$3))/$AJ4,'Технический лист'!$A:$B,2,1),(IB4-0.05)))</f>
        <v>1</v>
      </c>
      <c r="ID4" s="15">
        <f>MIN(1,MAX(VLOOKUP(($AJ4-$AI4-$AH4-$AG4-$AF4-$AE4*(1+ID$3))/$AJ4,'Технический лист'!$A:$B,2,1),(IC4-0.05)))</f>
        <v>1</v>
      </c>
      <c r="IE4" s="15">
        <f>MIN(1,MAX(VLOOKUP(($AJ4-$AI4-$AH4-$AG4-$AF4-$AE4*(1+IE$3))/$AJ4,'Технический лист'!$A:$B,2,1),(ID4-0.05)))</f>
        <v>1</v>
      </c>
      <c r="IF4" s="15">
        <f>MIN(1,MAX(VLOOKUP(($AJ4-$AI4-$AH4-$AG4-$AF4-$AE4*(1+IF$3))/$AJ4,'Технический лист'!$A:$B,2,1),(IE4-0.05)))</f>
        <v>1</v>
      </c>
      <c r="IG4" s="15">
        <f>MIN(1,MAX(VLOOKUP(($AJ4-$AI4-$AH4-$AG4-$AF4-$AE4*(1+IG$3))/$AJ4,'Технический лист'!$A:$B,2,1),(IF4-0.05)))</f>
        <v>1</v>
      </c>
      <c r="IH4" s="15">
        <f>MIN(1,MAX(VLOOKUP(($AJ4-$AI4-$AH4-$AG4-$AF4-$AE4*(1+IH$3))/$AJ4,'Технический лист'!$A:$B,2,1),(IG4-0.05)))</f>
        <v>1</v>
      </c>
      <c r="II4" s="15">
        <f>MIN(1,MAX(VLOOKUP(($AJ4-$AI4-$AH4-$AG4-$AF4-$AE4*(1+II$3))/$AJ4,'Технический лист'!$A:$B,2,1),(IH4-0.05)))</f>
        <v>1</v>
      </c>
      <c r="IJ4" s="15">
        <f>MIN(1,MAX(VLOOKUP(($AJ4-$AI4-$AH4-$AG4-$AF4-$AE4*(1+IJ$3))/$AJ4,'Технический лист'!$A:$B,2,1),(II4-0.05)))</f>
        <v>1</v>
      </c>
      <c r="IK4" s="15">
        <f>MIN(1,MAX(VLOOKUP(($AJ4-$AI4-$AH4-$AG4-$AF4-$AE4*(1+IK$3))/$AJ4,'Технический лист'!$A:$B,2,1),(IJ4-0.05)))</f>
        <v>1</v>
      </c>
      <c r="IL4" s="15">
        <f>MIN(1,MAX(VLOOKUP(($AJ4-$AI4-$AH4-$AG4-$AF4-$AE4*(1+IL$3))/$AJ4,'Технический лист'!$A:$B,2,1),(IK4-0.05)))</f>
        <v>1</v>
      </c>
      <c r="IM4" s="15">
        <f>MIN(1,MAX(VLOOKUP(($AJ4-$AI4-$AH4-$AG4-$AF4-$AE4*(1+IM$3))/$AJ4,'Технический лист'!$A:$B,2,1),(IL4-0.05)))</f>
        <v>1</v>
      </c>
      <c r="IN4" s="15">
        <f>MIN(1,MAX(VLOOKUP(($AJ4-$AI4-$AH4-$AG4-$AF4-$AE4*(1+IN$3))/$AJ4,'Технический лист'!$A:$B,2,1),(IM4-0.05)))</f>
        <v>1</v>
      </c>
      <c r="IO4" s="15">
        <f>MIN(1,MAX(VLOOKUP(($AJ4-$AI4-$AH4-$AG4-$AF4-$AE4*(1+IO$3))/$AJ4,'Технический лист'!$A:$B,2,1),(IN4-0.05)))</f>
        <v>1</v>
      </c>
      <c r="IP4" s="15">
        <f>MIN(1,MAX(VLOOKUP(($AJ4-$AI4-$AH4-$AG4-$AF4-$AE4*(1+IP$3))/$AJ4,'Технический лист'!$A:$B,2,1),(IO4-0.05)))</f>
        <v>1</v>
      </c>
      <c r="IQ4" s="15">
        <f>MIN(1,MAX(VLOOKUP(($AJ4-$AI4-$AH4-$AG4-$AF4-$AE4*(1+IQ$3))/$AJ4,'Технический лист'!$A:$B,2,1),(IP4-0.05)))</f>
        <v>1</v>
      </c>
      <c r="IR4" s="15">
        <f>MIN(1,MAX(VLOOKUP(($AJ4-$AI4-$AH4-$AG4-$AF4-$AE4*(1+IR$3))/$AJ4,'Технический лист'!$A:$B,2,1),(IQ4-0.05)))</f>
        <v>1</v>
      </c>
    </row>
    <row r="5" spans="1:257" ht="45" customHeight="1">
      <c r="A5" s="89" t="s">
        <v>514</v>
      </c>
      <c r="B5" s="90">
        <v>2</v>
      </c>
      <c r="C5" s="5" t="s">
        <v>65</v>
      </c>
      <c r="D5" s="91">
        <v>17103</v>
      </c>
      <c r="E5" s="91" t="s">
        <v>316</v>
      </c>
      <c r="F5" s="92" t="s">
        <v>69</v>
      </c>
      <c r="G5" s="91" t="s">
        <v>50</v>
      </c>
      <c r="H5" s="91" t="s">
        <v>26</v>
      </c>
      <c r="I5" s="91" t="s">
        <v>82</v>
      </c>
      <c r="J5" s="91" t="s">
        <v>84</v>
      </c>
      <c r="K5" s="91">
        <v>1800</v>
      </c>
      <c r="L5" s="85" t="s">
        <v>64</v>
      </c>
      <c r="M5" s="91" t="s">
        <v>190</v>
      </c>
      <c r="N5" s="91" t="s">
        <v>191</v>
      </c>
      <c r="O5" s="91" t="s">
        <v>193</v>
      </c>
      <c r="P5" s="89" t="s">
        <v>195</v>
      </c>
      <c r="Q5" s="91" t="s">
        <v>301</v>
      </c>
      <c r="R5" s="91" t="s">
        <v>250</v>
      </c>
      <c r="S5" s="82">
        <v>127346</v>
      </c>
      <c r="T5" s="82">
        <v>229253986</v>
      </c>
      <c r="U5" s="81">
        <v>2434</v>
      </c>
      <c r="V5" s="81">
        <v>0</v>
      </c>
      <c r="W5" s="82">
        <v>186802087</v>
      </c>
      <c r="X5" s="112">
        <v>52</v>
      </c>
      <c r="Y5" s="112" t="s">
        <v>417</v>
      </c>
      <c r="Z5" s="113">
        <v>8</v>
      </c>
      <c r="AA5" s="113">
        <v>6</v>
      </c>
      <c r="AB5" s="113">
        <v>4</v>
      </c>
      <c r="AC5" s="99">
        <v>1614.63</v>
      </c>
      <c r="AD5" s="99">
        <f t="shared" si="1"/>
        <v>683.84999999999991</v>
      </c>
      <c r="AE5" s="99">
        <v>2298.48</v>
      </c>
      <c r="AF5" s="98">
        <f>(Z5+AA5+AB5)*'Ставки аренды'!$B$3/X5</f>
        <v>242.30769230769232</v>
      </c>
      <c r="AG5" s="114">
        <v>0</v>
      </c>
      <c r="AH5" s="94">
        <v>0</v>
      </c>
      <c r="AI5" s="115">
        <f t="shared" ref="AI5:AI6" si="4">0.855*AJ5</f>
        <v>14535</v>
      </c>
      <c r="AJ5" s="117">
        <f>Цены!$D$9</f>
        <v>17000</v>
      </c>
      <c r="AK5" s="94">
        <f>AJ5/Цены!$B$1</f>
        <v>222.7886587467483</v>
      </c>
      <c r="AL5" s="95">
        <f t="shared" ref="AL5:AL68" si="5">AE5+AF5+AG5</f>
        <v>2540.7876923076924</v>
      </c>
      <c r="AM5" s="95">
        <f t="shared" ref="AM5:AM68" si="6">AJ5-AL5</f>
        <v>14459.212307692307</v>
      </c>
      <c r="AN5" s="94">
        <f t="shared" si="2"/>
        <v>17075.787692307691</v>
      </c>
      <c r="AO5" s="118">
        <f t="shared" si="3"/>
        <v>-4.458099547511237E-3</v>
      </c>
      <c r="AP5" s="96">
        <f t="shared" ref="AP5:AP68" si="7">AL5/AJ5</f>
        <v>0.14945809954751132</v>
      </c>
      <c r="AQ5" s="96">
        <f t="shared" ref="AQ5:AQ68" si="8">AE5/AJ5</f>
        <v>0.13520470588235295</v>
      </c>
      <c r="AR5" s="96">
        <f t="shared" ref="AR5:AR68" si="9">AE5/AL5</f>
        <v>0.90463284553790702</v>
      </c>
      <c r="AS5" s="122">
        <v>1</v>
      </c>
      <c r="AT5" s="121">
        <f t="shared" ref="AT5:AT68" si="10">S5*AS5</f>
        <v>127346</v>
      </c>
      <c r="AU5" s="83">
        <v>0.9</v>
      </c>
      <c r="AV5" s="119">
        <f t="shared" ref="AV5:AV68" si="11">(AJ5-(AE5*(1+$IS$2)+AF5+AG5+AH5+AI5))/AJ5</f>
        <v>-2.0682664253393716E-2</v>
      </c>
      <c r="AW5" s="120">
        <f t="shared" ref="AW5:AW68" si="12">(AE5*(1+$IS$2)+AF5+AG5)/AJ5</f>
        <v>0.1656826642533937</v>
      </c>
      <c r="AX5" s="120">
        <f t="shared" ref="AX5:AX68" si="13">(AE5*(1+$IS$2))/AJ5</f>
        <v>0.15142927058823533</v>
      </c>
      <c r="AY5" s="120">
        <f t="shared" ref="AY5:AY68" si="14">(AE5*(1+$IS$2))/(AE5*(1+$IS$2)+AF5+AG5)</f>
        <v>0.9139717258327078</v>
      </c>
      <c r="AZ5" s="15">
        <f>MIN(IF($AU5=100%,1,1+VLOOKUP(($AJ5-$AI5-$AH5-$AG5-$AF5-$AE5*(1+AZ$3))/$AJ5,'Технический лист'!$A:$B,2,1)-VLOOKUP($AO5,'Технический лист'!$A:$B,2,1)),1+(1-$AU5))</f>
        <v>1.0249999999999999</v>
      </c>
      <c r="BA5" s="15">
        <f>MIN(IF($AU5=100%,1,1+VLOOKUP(($AJ5-$AI5-$AH5-$AG5-$AF5-$AE5*(1+BA$3))/$AJ5,'Технический лист'!$A:$B,2,1)-VLOOKUP($AO5,'Технический лист'!$A:$B,2,1)),1+(1-$AU5))</f>
        <v>1.0249999999999999</v>
      </c>
      <c r="BB5" s="15">
        <f>MIN(IF($AU5=100%,1,1+VLOOKUP(($AJ5-$AI5-$AH5-$AG5-$AF5-$AE5*(1+BB$3))/$AJ5,'Технический лист'!$A:$B,2,1)-VLOOKUP($AO5,'Технический лист'!$A:$B,2,1)),1+(1-$AU5))</f>
        <v>1.0249999999999999</v>
      </c>
      <c r="BC5" s="15">
        <f>MIN(IF($AU5=100%,1,1+VLOOKUP(($AJ5-$AI5-$AH5-$AG5-$AF5-$AE5*(1+BC$3))/$AJ5,'Технический лист'!$A:$B,2,1)-VLOOKUP($AO5,'Технический лист'!$A:$B,2,1)),1+(1-$AU5))</f>
        <v>1.0249999999999999</v>
      </c>
      <c r="BD5" s="15">
        <f>MIN(IF($AU5=100%,1,1+VLOOKUP(($AJ5-$AI5-$AH5-$AG5-$AF5-$AE5*(1+BD$3))/$AJ5,'Технический лист'!$A:$B,2,1)-VLOOKUP($AO5,'Технический лист'!$A:$B,2,1)),1+(1-$AU5))</f>
        <v>1.0249999999999999</v>
      </c>
      <c r="BE5" s="15">
        <f>MIN(IF($AU5=100%,1,1+VLOOKUP(($AJ5-$AI5-$AH5-$AG5-$AF5-$AE5*(1+BE$3))/$AJ5,'Технический лист'!$A:$B,2,1)-VLOOKUP($AO5,'Технический лист'!$A:$B,2,1)),1+(1-$AU5))</f>
        <v>1.0249999999999999</v>
      </c>
      <c r="BF5" s="15">
        <f>MIN(IF($AU5=100%,1,1+VLOOKUP(($AJ5-$AI5-$AH5-$AG5-$AF5-$AE5*(1+BF$3))/$AJ5,'Технический лист'!$A:$B,2,1)-VLOOKUP($AO5,'Технический лист'!$A:$B,2,1)),1+(1-$AU5))</f>
        <v>1.0249999999999999</v>
      </c>
      <c r="BG5" s="15">
        <f>MIN(IF($AU5=100%,1,1+VLOOKUP(($AJ5-$AI5-$AH5-$AG5-$AF5-$AE5*(1+BG$3))/$AJ5,'Технический лист'!$A:$B,2,1)-VLOOKUP($AO5,'Технический лист'!$A:$B,2,1)),1+(1-$AU5))</f>
        <v>1.0249999999999999</v>
      </c>
      <c r="BH5" s="15">
        <f>MIN(IF($AU5=100%,1,1+VLOOKUP(($AJ5-$AI5-$AH5-$AG5-$AF5-$AE5*(1+BH$3))/$AJ5,'Технический лист'!$A:$B,2,1)-VLOOKUP($AO5,'Технический лист'!$A:$B,2,1)),1+(1-$AU5))</f>
        <v>1.0249999999999999</v>
      </c>
      <c r="BI5" s="15">
        <f>MIN(IF($AU5=100%,1,1+VLOOKUP(($AJ5-$AI5-$AH5-$AG5-$AF5-$AE5*(1+BI$3))/$AJ5,'Технический лист'!$A:$B,2,1)-VLOOKUP($AO5,'Технический лист'!$A:$B,2,1)),1+(1-$AU5))</f>
        <v>1.0249999999999999</v>
      </c>
      <c r="BJ5" s="15">
        <f>MIN(IF($AU5=100%,1,1+VLOOKUP(($AJ5-$AI5-$AH5-$AG5-$AF5-$AE5*(1+BJ$3))/$AJ5,'Технический лист'!$A:$B,2,1)-VLOOKUP($AO5,'Технический лист'!$A:$B,2,1)),1+(1-$AU5))</f>
        <v>1.0249999999999999</v>
      </c>
      <c r="BK5" s="15">
        <f>MIN(IF($AU5=100%,1,1+VLOOKUP(($AJ5-$AI5-$AH5-$AG5-$AF5-$AE5*(1+BK$3))/$AJ5,'Технический лист'!$A:$B,2,1)-VLOOKUP($AO5,'Технический лист'!$A:$B,2,1)),1+(1-$AU5))</f>
        <v>1.0249999999999999</v>
      </c>
      <c r="BL5" s="15">
        <f>MIN(IF($AU5=100%,1,1+VLOOKUP(($AJ5-$AI5-$AH5-$AG5-$AF5-$AE5*(1+BL$3))/$AJ5,'Технический лист'!$A:$B,2,1)-VLOOKUP($AO5,'Технический лист'!$A:$B,2,1)),1+(1-$AU5))</f>
        <v>1.0249999999999999</v>
      </c>
      <c r="BM5" s="15">
        <f>MIN(IF($AU5=100%,1,1+VLOOKUP(($AJ5-$AI5-$AH5-$AG5-$AF5-$AE5*(1+BM$3))/$AJ5,'Технический лист'!$A:$B,2,1)-VLOOKUP($AO5,'Технический лист'!$A:$B,2,1)),1+(1-$AU5))</f>
        <v>1.0249999999999999</v>
      </c>
      <c r="BN5" s="15">
        <f>MIN(IF($AU5=100%,1,1+VLOOKUP(($AJ5-$AI5-$AH5-$AG5-$AF5-$AE5*(1+BN$3))/$AJ5,'Технический лист'!$A:$B,2,1)-VLOOKUP($AO5,'Технический лист'!$A:$B,2,1)),1+(1-$AU5))</f>
        <v>1.0249999999999999</v>
      </c>
      <c r="BO5" s="15">
        <f>MIN(IF($AU5=100%,1,1+VLOOKUP(($AJ5-$AI5-$AH5-$AG5-$AF5-$AE5*(1+BO$3))/$AJ5,'Технический лист'!$A:$B,2,1)-VLOOKUP($AO5,'Технический лист'!$A:$B,2,1)),1+(1-$AU5))</f>
        <v>1.0249999999999999</v>
      </c>
      <c r="BP5" s="15">
        <f>MIN(IF($AU5=100%,1,1+VLOOKUP(($AJ5-$AI5-$AH5-$AG5-$AF5-$AE5*(1+BP$3))/$AJ5,'Технический лист'!$A:$B,2,1)-VLOOKUP($AO5,'Технический лист'!$A:$B,2,1)),1+(1-$AU5))</f>
        <v>1.0249999999999999</v>
      </c>
      <c r="BQ5" s="15">
        <f>MIN(IF($AU5=100%,1,1+VLOOKUP(($AJ5-$AI5-$AH5-$AG5-$AF5-$AE5*(1+BQ$3))/$AJ5,'Технический лист'!$A:$B,2,1)-VLOOKUP($AO5,'Технический лист'!$A:$B,2,1)),1+(1-$AU5))</f>
        <v>1.0249999999999999</v>
      </c>
      <c r="BR5" s="15">
        <f>MIN(IF($AU5=100%,1,1+VLOOKUP(($AJ5-$AI5-$AH5-$AG5-$AF5-$AE5*(1+BR$3))/$AJ5,'Технический лист'!$A:$B,2,1)-VLOOKUP($AO5,'Технический лист'!$A:$B,2,1)),1+(1-$AU5))</f>
        <v>1.0249999999999999</v>
      </c>
      <c r="BS5" s="15">
        <f>MIN(IF($AU5=100%,1,1+VLOOKUP(($AJ5-$AI5-$AH5-$AG5-$AF5-$AE5*(1+BS$3))/$AJ5,'Технический лист'!$A:$B,2,1)-VLOOKUP($AO5,'Технический лист'!$A:$B,2,1)),1+(1-$AU5))</f>
        <v>1.0249999999999999</v>
      </c>
      <c r="BT5" s="15">
        <f>MIN(IF($AU5=100%,1,1+VLOOKUP(($AJ5-$AI5-$AH5-$AG5-$AF5-$AE5*(1+BT$3))/$AJ5,'Технический лист'!$A:$B,2,1)-VLOOKUP($AO5,'Технический лист'!$A:$B,2,1)),1+(1-$AU5))</f>
        <v>1</v>
      </c>
      <c r="BU5" s="15">
        <f>MIN(IF($AU5=100%,1,1+VLOOKUP(($AJ5-$AI5-$AH5-$AG5-$AF5-$AE5*(1+BU$3))/$AJ5,'Технический лист'!$A:$B,2,1)-VLOOKUP($AO5,'Технический лист'!$A:$B,2,1)),1+(1-$AU5))</f>
        <v>1</v>
      </c>
      <c r="BV5" s="15">
        <f>MIN(IF($AU5=100%,1,1+VLOOKUP(($AJ5-$AI5-$AH5-$AG5-$AF5-$AE5*(1+BV$3))/$AJ5,'Технический лист'!$A:$B,2,1)-VLOOKUP($AO5,'Технический лист'!$A:$B,2,1)),1+(1-$AU5))</f>
        <v>1</v>
      </c>
      <c r="BW5" s="15">
        <f>MIN(IF($AU5=100%,1,1+VLOOKUP(($AJ5-$AI5-$AH5-$AG5-$AF5-$AE5*(1+BW$3))/$AJ5,'Технический лист'!$A:$B,2,1)-VLOOKUP($AO5,'Технический лист'!$A:$B,2,1)),1+(1-$AU5))</f>
        <v>1</v>
      </c>
      <c r="BX5" s="15">
        <f>MIN(IF($AU5=100%,1,1+VLOOKUP(($AJ5-$AI5-$AH5-$AG5-$AF5-$AE5*(1+BX$3))/$AJ5,'Технический лист'!$A:$B,2,1)-VLOOKUP($AO5,'Технический лист'!$A:$B,2,1)),1+(1-$AU5))</f>
        <v>1</v>
      </c>
      <c r="BY5" s="15">
        <f>MIN(IF($AU5=100%,1,1+VLOOKUP(($AJ5-$AI5-$AH5-$AG5-$AF5-$AE5*(1+BY$3))/$AJ5,'Технический лист'!$A:$B,2,1)-VLOOKUP($AO5,'Технический лист'!$A:$B,2,1)),1+(1-$AU5))</f>
        <v>1</v>
      </c>
      <c r="BZ5" s="15">
        <f>MIN(IF($AU5=100%,1,1+VLOOKUP(($AJ5-$AI5-$AH5-$AG5-$AF5-$AE5*(1+BZ$3))/$AJ5,'Технический лист'!$A:$B,2,1)-VLOOKUP($AO5,'Технический лист'!$A:$B,2,1)),1+(1-$AU5))</f>
        <v>1</v>
      </c>
      <c r="CA5" s="15">
        <f>MIN(IF($AU5=100%,1,1+VLOOKUP(($AJ5-$AI5-$AH5-$AG5-$AF5-$AE5*(1+CA$3))/$AJ5,'Технический лист'!$A:$B,2,1)-VLOOKUP($AO5,'Технический лист'!$A:$B,2,1)),1+(1-$AU5))</f>
        <v>1</v>
      </c>
      <c r="CB5" s="15">
        <f>MIN(IF($AU5=100%,1,1+VLOOKUP(($AJ5-$AI5-$AH5-$AG5-$AF5-$AE5*(1+CB$3))/$AJ5,'Технический лист'!$A:$B,2,1)-VLOOKUP($AO5,'Технический лист'!$A:$B,2,1)),1+(1-$AU5))</f>
        <v>1</v>
      </c>
      <c r="CC5" s="15">
        <f>MIN(IF($AU5=100%,1,1+VLOOKUP(($AJ5-$AI5-$AH5-$AG5-$AF5-$AE5*(1+CC$3))/$AJ5,'Технический лист'!$A:$B,2,1)-VLOOKUP($AO5,'Технический лист'!$A:$B,2,1)),1+(1-$AU5))</f>
        <v>1</v>
      </c>
      <c r="CD5" s="15">
        <f>MIN(IF($AU5=100%,1,1+VLOOKUP(($AJ5-$AI5-$AH5-$AG5-$AF5-$AE5*(1+CD$3))/$AJ5,'Технический лист'!$A:$B,2,1)-VLOOKUP($AO5,'Технический лист'!$A:$B,2,1)),1+(1-$AU5))</f>
        <v>1</v>
      </c>
      <c r="CE5" s="15">
        <f>MIN(IF($AU5=100%,1,1+VLOOKUP(($AJ5-$AI5-$AH5-$AG5-$AF5-$AE5*(1+CE$3))/$AJ5,'Технический лист'!$A:$B,2,1)-VLOOKUP($AO5,'Технический лист'!$A:$B,2,1)),1+(1-$AU5))</f>
        <v>1</v>
      </c>
      <c r="CF5" s="15">
        <f>MIN(IF($AU5=100%,1,1+VLOOKUP(($AJ5-$AI5-$AH5-$AG5-$AF5-$AE5*(1+CF$3))/$AJ5,'Технический лист'!$A:$B,2,1)-VLOOKUP($AO5,'Технический лист'!$A:$B,2,1)),1+(1-$AU5))</f>
        <v>1</v>
      </c>
      <c r="CG5" s="15">
        <f>MIN(IF($AU5=100%,1,1+VLOOKUP(($AJ5-$AI5-$AH5-$AG5-$AF5-$AE5*(1+CG$3))/$AJ5,'Технический лист'!$A:$B,2,1)-VLOOKUP($AO5,'Технический лист'!$A:$B,2,1)),1+(1-$AU5))</f>
        <v>1</v>
      </c>
      <c r="CH5" s="15">
        <f>MIN(IF($AU5=100%,1,1+VLOOKUP(($AJ5-$AI5-$AH5-$AG5-$AF5-$AE5*(1+CH$3))/$AJ5,'Технический лист'!$A:$B,2,1)-VLOOKUP($AO5,'Технический лист'!$A:$B,2,1)),1+(1-$AU5))</f>
        <v>1</v>
      </c>
      <c r="CI5" s="15">
        <f>MIN(IF($AU5=100%,1,1+VLOOKUP(($AJ5-$AI5-$AH5-$AG5-$AF5-$AE5*(1+CI$3))/$AJ5,'Технический лист'!$A:$B,2,1)-VLOOKUP($AO5,'Технический лист'!$A:$B,2,1)),1+(1-$AU5))</f>
        <v>1</v>
      </c>
      <c r="CJ5" s="15">
        <f>MIN(IF($AU5=100%,1,1+VLOOKUP(($AJ5-$AI5-$AH5-$AG5-$AF5-$AE5*(1+CJ$3))/$AJ5,'Технический лист'!$A:$B,2,1)-VLOOKUP($AO5,'Технический лист'!$A:$B,2,1)),1+(1-$AU5))</f>
        <v>1</v>
      </c>
      <c r="CK5" s="15">
        <f>MIN(IF($AU5=100%,1,1+VLOOKUP(($AJ5-$AI5-$AH5-$AG5-$AF5-$AE5*(1+CK$3))/$AJ5,'Технический лист'!$A:$B,2,1)-VLOOKUP($AO5,'Технический лист'!$A:$B,2,1)),1+(1-$AU5))</f>
        <v>1</v>
      </c>
      <c r="CL5" s="15">
        <f>MIN(IF($AU5=100%,1,1+VLOOKUP(($AJ5-$AI5-$AH5-$AG5-$AF5-$AE5*(1+CL$3))/$AJ5,'Технический лист'!$A:$B,2,1)-VLOOKUP($AO5,'Технический лист'!$A:$B,2,1)),1+(1-$AU5))</f>
        <v>1</v>
      </c>
      <c r="CM5" s="15">
        <f>MIN(IF($AU5=100%,1,1+VLOOKUP(($AJ5-$AI5-$AH5-$AG5-$AF5-$AE5*(1+CM$3))/$AJ5,'Технический лист'!$A:$B,2,1)-VLOOKUP($AO5,'Технический лист'!$A:$B,2,1)),1+(1-$AU5))</f>
        <v>1</v>
      </c>
      <c r="CN5" s="15">
        <f>MIN(IF($AU5=100%,1,1+VLOOKUP(($AJ5-$AI5-$AH5-$AG5-$AF5-$AE5*(1+CN$3))/$AJ5,'Технический лист'!$A:$B,2,1)-VLOOKUP($AO5,'Технический лист'!$A:$B,2,1)),1+(1-$AU5))</f>
        <v>1</v>
      </c>
      <c r="CO5" s="15">
        <f>MIN(IF($AU5=100%,1,1+VLOOKUP(($AJ5-$AI5-$AH5-$AG5-$AF5-$AE5*(1+CO$3))/$AJ5,'Технический лист'!$A:$B,2,1)-VLOOKUP($AO5,'Технический лист'!$A:$B,2,1)),1+(1-$AU5))</f>
        <v>1</v>
      </c>
      <c r="CP5" s="15">
        <f>MIN(IF($AU5=100%,1,1+VLOOKUP(($AJ5-$AI5-$AH5-$AG5-$AF5-$AE5*(1+CP$3))/$AJ5,'Технический лист'!$A:$B,2,1)-VLOOKUP($AO5,'Технический лист'!$A:$B,2,1)),1+(1-$AU5))</f>
        <v>1</v>
      </c>
      <c r="CQ5" s="15">
        <f>MIN(IF($AU5=100%,1,1+VLOOKUP(($AJ5-$AI5-$AH5-$AG5-$AF5-$AE5*(1+CQ$3))/$AJ5,'Технический лист'!$A:$B,2,1)-VLOOKUP($AO5,'Технический лист'!$A:$B,2,1)),1+(1-$AU5))</f>
        <v>1</v>
      </c>
      <c r="CR5" s="15">
        <f>MIN(IF($AU5=100%,1,1+VLOOKUP(($AJ5-$AI5-$AH5-$AG5-$AF5-$AE5*(1+CR$3))/$AJ5,'Технический лист'!$A:$B,2,1)-VLOOKUP($AO5,'Технический лист'!$A:$B,2,1)),1+(1-$AU5))</f>
        <v>1</v>
      </c>
      <c r="CS5" s="15">
        <f>MIN(IF($AU5=100%,1,1+VLOOKUP(($AJ5-$AI5-$AH5-$AG5-$AF5-$AE5*(1+CS$3))/$AJ5,'Технический лист'!$A:$B,2,1)-VLOOKUP($AO5,'Технический лист'!$A:$B,2,1)),1+(1-$AU5))</f>
        <v>1</v>
      </c>
      <c r="CT5" s="15">
        <f>MIN(IF($AU5=100%,1,1+VLOOKUP(($AJ5-$AI5-$AH5-$AG5-$AF5-$AE5*(1+CT$3))/$AJ5,'Технический лист'!$A:$B,2,1)-VLOOKUP($AO5,'Технический лист'!$A:$B,2,1)),1+(1-$AU5))</f>
        <v>1</v>
      </c>
      <c r="CU5" s="15">
        <f>MIN(IF($AU5=100%,1,1+VLOOKUP(($AJ5-$AI5-$AH5-$AG5-$AF5-$AE5*(1+CU$3))/$AJ5,'Технический лист'!$A:$B,2,1)-VLOOKUP($AO5,'Технический лист'!$A:$B,2,1)),1+(1-$AU5))</f>
        <v>1</v>
      </c>
      <c r="CV5" s="15">
        <f>MIN(IF($AU5=100%,1,1+VLOOKUP(($AJ5-$AI5-$AH5-$AG5-$AF5-$AE5*(1+CV$3))/$AJ5,'Технический лист'!$A:$B,2,1)-VLOOKUP($AO5,'Технический лист'!$A:$B,2,1)),1+(1-$AU5))</f>
        <v>1</v>
      </c>
      <c r="CW5" s="15">
        <f>MIN(IF($AU5=100%,1,1+VLOOKUP(($AJ5-$AI5-$AH5-$AG5-$AF5-$AE5*(1+CW$3))/$AJ5,'Технический лист'!$A:$B,2,1)-VLOOKUP($AO5,'Технический лист'!$A:$B,2,1)),1+(1-$AU5))</f>
        <v>1</v>
      </c>
      <c r="CX5" s="15">
        <f>MIN(IF($AU5=100%,1,1+VLOOKUP(($AJ5-$AI5-$AH5-$AG5-$AF5-$AE5*(1+CX$3))/$AJ5,'Технический лист'!$A:$B,2,1)-VLOOKUP($AO5,'Технический лист'!$A:$B,2,1)),1+(1-$AU5))</f>
        <v>1</v>
      </c>
      <c r="CY5" s="15">
        <f>MIN(IF($AU5=100%,1,1+VLOOKUP(($AJ5-$AI5-$AH5-$AG5-$AF5-$AE5*(1+CY$3))/$AJ5,'Технический лист'!$A:$B,2,1)-VLOOKUP($AO5,'Технический лист'!$A:$B,2,1)),1+(1-$AU5))</f>
        <v>1</v>
      </c>
      <c r="CZ5" s="15">
        <f>MIN(IF($AU5=100%,1,1+VLOOKUP(($AJ5-$AI5-$AH5-$AG5-$AF5-$AE5*(1+CZ$3))/$AJ5,'Технический лист'!$A:$B,2,1)-VLOOKUP($AO5,'Технический лист'!$A:$B,2,1)),1+(1-$AU5))</f>
        <v>1</v>
      </c>
      <c r="DA5" s="15">
        <f>MIN(IF($AU5=100%,1,1+VLOOKUP(($AJ5-$AI5-$AH5-$AG5-$AF5-$AE5*(1+DA$3))/$AJ5,'Технический лист'!$A:$B,2,1)-VLOOKUP($AO5,'Технический лист'!$A:$B,2,1)),1+(1-$AU5))</f>
        <v>1</v>
      </c>
      <c r="DB5" s="15">
        <f>MIN(IF($AU5=100%,1,1+VLOOKUP(($AJ5-$AI5-$AH5-$AG5-$AF5-$AE5*(1+DB$3))/$AJ5,'Технический лист'!$A:$B,2,1)-VLOOKUP($AO5,'Технический лист'!$A:$B,2,1)),1+(1-$AU5))</f>
        <v>1</v>
      </c>
      <c r="DC5" s="15">
        <f>MIN(IF($AU5=100%,1,1+VLOOKUP(($AJ5-$AI5-$AH5-$AG5-$AF5-$AE5*(1+DC$3))/$AJ5,'Технический лист'!$A:$B,2,1)-VLOOKUP($AO5,'Технический лист'!$A:$B,2,1)),1+(1-$AU5))</f>
        <v>1</v>
      </c>
      <c r="DD5" s="15">
        <f>MIN(IF($AU5=100%,1,1+VLOOKUP(($AJ5-$AI5-$AH5-$AG5-$AF5-$AE5*(1+DD$3))/$AJ5,'Технический лист'!$A:$B,2,1)-VLOOKUP($AO5,'Технический лист'!$A:$B,2,1)),1+(1-$AU5))</f>
        <v>1</v>
      </c>
      <c r="DE5" s="15">
        <f>MIN(IF($AU5=100%,1,1+VLOOKUP(($AJ5-$AI5-$AH5-$AG5-$AF5-$AE5*(1+DE$3))/$AJ5,'Технический лист'!$A:$B,2,1)-VLOOKUP($AO5,'Технический лист'!$A:$B,2,1)),1+(1-$AU5))</f>
        <v>1</v>
      </c>
      <c r="DF5" s="15">
        <f>MIN(IF($AU5=100%,1,1+VLOOKUP(($AJ5-$AI5-$AH5-$AG5-$AF5-$AE5*(1+DF$3))/$AJ5,'Технический лист'!$A:$B,2,1)-VLOOKUP($AO5,'Технический лист'!$A:$B,2,1)),1+(1-$AU5))</f>
        <v>1</v>
      </c>
      <c r="DG5" s="15">
        <f>MIN(IF($AU5=100%,1,1+VLOOKUP(($AJ5-$AI5-$AH5-$AG5-$AF5-$AE5*(1+DG$3))/$AJ5,'Технический лист'!$A:$B,2,1)-VLOOKUP($AO5,'Технический лист'!$A:$B,2,1)),1+(1-$AU5))</f>
        <v>1</v>
      </c>
      <c r="DH5" s="15">
        <f>MIN(IF($AU5=100%,1,1+VLOOKUP(($AJ5-$AI5-$AH5-$AG5-$AF5-$AE5*(1+DH$3))/$AJ5,'Технический лист'!$A:$B,2,1)-VLOOKUP($AO5,'Технический лист'!$A:$B,2,1)),1+(1-$AU5))</f>
        <v>1</v>
      </c>
      <c r="DI5" s="15">
        <f>MIN(IF($AU5=100%,1,1+VLOOKUP(($AJ5-$AI5-$AH5-$AG5-$AF5-$AE5*(1+DI$3))/$AJ5,'Технический лист'!$A:$B,2,1)-VLOOKUP($AO5,'Технический лист'!$A:$B,2,1)),1+(1-$AU5))</f>
        <v>1</v>
      </c>
      <c r="DJ5" s="15">
        <f>MIN(IF($AU5=100%,1,1+VLOOKUP(($AJ5-$AI5-$AH5-$AG5-$AF5-$AE5*(1+DJ$3))/$AJ5,'Технический лист'!$A:$B,2,1)-VLOOKUP($AO5,'Технический лист'!$A:$B,2,1)),1+(1-$AU5))</f>
        <v>1</v>
      </c>
      <c r="DK5" s="15">
        <f>MIN(IF($AU5=100%,1,1+VLOOKUP(($AJ5-$AI5-$AH5-$AG5-$AF5-$AE5*(1+DK$3))/$AJ5,'Технический лист'!$A:$B,2,1)-VLOOKUP($AO5,'Технический лист'!$A:$B,2,1)),1+(1-$AU5))</f>
        <v>1</v>
      </c>
      <c r="DL5" s="15">
        <f>MIN(IF($AU5=100%,1,1+VLOOKUP(($AJ5-$AI5-$AH5-$AG5-$AF5-$AE5*(1+DL$3))/$AJ5,'Технический лист'!$A:$B,2,1)-VLOOKUP($AO5,'Технический лист'!$A:$B,2,1)),1+(1-$AU5))</f>
        <v>1</v>
      </c>
      <c r="DM5" s="15">
        <f>MIN(IF($AU5=100%,1,1+VLOOKUP(($AJ5-$AI5-$AH5-$AG5-$AF5-$AE5*(1+DM$3))/$AJ5,'Технический лист'!$A:$B,2,1)-VLOOKUP($AO5,'Технический лист'!$A:$B,2,1)),1+(1-$AU5))</f>
        <v>1</v>
      </c>
      <c r="DN5" s="15">
        <f>MIN(IF($AU5=100%,1,1+VLOOKUP(($AJ5-$AI5-$AH5-$AG5-$AF5-$AE5*(1+DN$3))/$AJ5,'Технический лист'!$A:$B,2,1)-VLOOKUP($AO5,'Технический лист'!$A:$B,2,1)),1+(1-$AU5))</f>
        <v>1</v>
      </c>
      <c r="DO5" s="15">
        <f>MIN(IF($AU5=100%,1,1+VLOOKUP(($AJ5-$AI5-$AH5-$AG5-$AF5-$AE5*(1+DO$3))/$AJ5,'Технический лист'!$A:$B,2,1)-VLOOKUP($AO5,'Технический лист'!$A:$B,2,1)),1+(1-$AU5))</f>
        <v>1</v>
      </c>
      <c r="DP5" s="15">
        <f>MIN(IF($AU5=100%,1,1+VLOOKUP(($AJ5-$AI5-$AH5-$AG5-$AF5-$AE5*(1+DP$3))/$AJ5,'Технический лист'!$A:$B,2,1)-VLOOKUP($AO5,'Технический лист'!$A:$B,2,1)),1+(1-$AU5))</f>
        <v>1</v>
      </c>
      <c r="DQ5" s="15">
        <f>MIN(IF($AU5=100%,1,1+VLOOKUP(($AJ5-$AI5-$AH5-$AG5-$AF5-$AE5*(1+DQ$3))/$AJ5,'Технический лист'!$A:$B,2,1)-VLOOKUP($AO5,'Технический лист'!$A:$B,2,1)),1+(1-$AU5))</f>
        <v>1</v>
      </c>
      <c r="DR5" s="15">
        <f>MIN(IF($AU5=100%,1,1+VLOOKUP(($AJ5-$AI5-$AH5-$AG5-$AF5-$AE5*(1+DR$3))/$AJ5,'Технический лист'!$A:$B,2,1)-VLOOKUP($AO5,'Технический лист'!$A:$B,2,1)),1+(1-$AU5))</f>
        <v>1</v>
      </c>
      <c r="DS5" s="15">
        <f>MIN(IF($AU5=100%,1,1+VLOOKUP(($AJ5-$AI5-$AH5-$AG5-$AF5-$AE5*(1+DS$3))/$AJ5,'Технический лист'!$A:$B,2,1)-VLOOKUP($AO5,'Технический лист'!$A:$B,2,1)),1+(1-$AU5))</f>
        <v>1</v>
      </c>
      <c r="DT5" s="15">
        <f>MIN(IF($AU5=100%,1,1+VLOOKUP(($AJ5-$AI5-$AH5-$AG5-$AF5-$AE5*(1+DT$3))/$AJ5,'Технический лист'!$A:$B,2,1)-VLOOKUP($AO5,'Технический лист'!$A:$B,2,1)),1+(1-$AU5))</f>
        <v>1</v>
      </c>
      <c r="DU5" s="15">
        <f>MIN(IF($AU5=100%,1,1+VLOOKUP(($AJ5-$AI5-$AH5-$AG5-$AF5-$AE5*(1+DU$3))/$AJ5,'Технический лист'!$A:$B,2,1)-VLOOKUP($AO5,'Технический лист'!$A:$B,2,1)),1+(1-$AU5))</f>
        <v>1</v>
      </c>
      <c r="DV5" s="15">
        <f>MIN(IF($AU5=100%,1,1+VLOOKUP(($AJ5-$AI5-$AH5-$AG5-$AF5-$AE5*(1+DV$3))/$AJ5,'Технический лист'!$A:$B,2,1)-VLOOKUP($AO5,'Технический лист'!$A:$B,2,1)),1+(1-$AU5))</f>
        <v>1</v>
      </c>
      <c r="DW5" s="15">
        <f>MIN(IF($AU5=100%,1,1+VLOOKUP(($AJ5-$AI5-$AH5-$AG5-$AF5-$AE5*(1+DW$3))/$AJ5,'Технический лист'!$A:$B,2,1)-VLOOKUP($AO5,'Технический лист'!$A:$B,2,1)),1+(1-$AU5))</f>
        <v>1</v>
      </c>
      <c r="DX5" s="15">
        <f>MIN(IF($AU5=100%,1,1+VLOOKUP(($AJ5-$AI5-$AH5-$AG5-$AF5-$AE5*(1+DX$3))/$AJ5,'Технический лист'!$A:$B,2,1)-VLOOKUP($AO5,'Технический лист'!$A:$B,2,1)),1+(1-$AU5))</f>
        <v>1</v>
      </c>
      <c r="DY5" s="15">
        <f>MIN(IF($AU5=100%,1,1+VLOOKUP(($AJ5-$AI5-$AH5-$AG5-$AF5-$AE5*(1+DY$3))/$AJ5,'Технический лист'!$A:$B,2,1)-VLOOKUP($AO5,'Технический лист'!$A:$B,2,1)),1+(1-$AU5))</f>
        <v>1</v>
      </c>
      <c r="DZ5" s="15">
        <f>MIN(IF($AU5=100%,1,1+VLOOKUP(($AJ5-$AI5-$AH5-$AG5-$AF5-$AE5*(1+DZ$3))/$AJ5,'Технический лист'!$A:$B,2,1)-VLOOKUP($AO5,'Технический лист'!$A:$B,2,1)),1+(1-$AU5))</f>
        <v>1</v>
      </c>
      <c r="EA5" s="15">
        <f>MIN(IF($AU5=100%,1,1+VLOOKUP(($AJ5-$AI5-$AH5-$AG5-$AF5-$AE5*(1+EA$3))/$AJ5,'Технический лист'!$A:$B,2,1)-VLOOKUP($AO5,'Технический лист'!$A:$B,2,1)),1+(1-$AU5))</f>
        <v>1</v>
      </c>
      <c r="EB5" s="15">
        <f>MIN(IF($AU5=100%,1,1+VLOOKUP(($AJ5-$AI5-$AH5-$AG5-$AF5-$AE5*(1+EB$3))/$AJ5,'Технический лист'!$A:$B,2,1)-VLOOKUP($AO5,'Технический лист'!$A:$B,2,1)),1+(1-$AU5))</f>
        <v>1</v>
      </c>
      <c r="EC5" s="15">
        <f>MIN(IF($AU5=100%,1,1+VLOOKUP(($AJ5-$AI5-$AH5-$AG5-$AF5-$AE5*(1+EC$3))/$AJ5,'Технический лист'!$A:$B,2,1)-VLOOKUP($AO5,'Технический лист'!$A:$B,2,1)),1+(1-$AU5))</f>
        <v>1</v>
      </c>
      <c r="ED5" s="15">
        <f>MIN(IF($AU5=100%,1,1+VLOOKUP(($AJ5-$AI5-$AH5-$AG5-$AF5-$AE5*(1+ED$3))/$AJ5,'Технический лист'!$A:$B,2,1)-VLOOKUP($AO5,'Технический лист'!$A:$B,2,1)),1+(1-$AU5))</f>
        <v>1</v>
      </c>
      <c r="EE5" s="15">
        <f>MIN(IF($AU5=100%,1,1+VLOOKUP(($AJ5-$AI5-$AH5-$AG5-$AF5-$AE5*(1+EE$3))/$AJ5,'Технический лист'!$A:$B,2,1)-VLOOKUP($AO5,'Технический лист'!$A:$B,2,1)),1+(1-$AU5))</f>
        <v>1</v>
      </c>
      <c r="EF5" s="15">
        <f>MIN(IF($AU5=100%,1,1+VLOOKUP(($AJ5-$AI5-$AH5-$AG5-$AF5-$AE5*(1+EF$3))/$AJ5,'Технический лист'!$A:$B,2,1)-VLOOKUP($AO5,'Технический лист'!$A:$B,2,1)),1+(1-$AU5))</f>
        <v>1</v>
      </c>
      <c r="EG5" s="15">
        <f>MIN(IF($AU5=100%,1,1+VLOOKUP(($AJ5-$AI5-$AH5-$AG5-$AF5-$AE5*(1+EG$3))/$AJ5,'Технический лист'!$A:$B,2,1)-VLOOKUP($AO5,'Технический лист'!$A:$B,2,1)),1+(1-$AU5))</f>
        <v>1</v>
      </c>
      <c r="EH5" s="15">
        <f>MIN(IF($AU5=100%,1,1+VLOOKUP(($AJ5-$AI5-$AH5-$AG5-$AF5-$AE5*(1+EH$3))/$AJ5,'Технический лист'!$A:$B,2,1)-VLOOKUP($AO5,'Технический лист'!$A:$B,2,1)),1+(1-$AU5))</f>
        <v>1</v>
      </c>
      <c r="EI5" s="15">
        <f>MIN(IF($AU5=100%,1,1+VLOOKUP(($AJ5-$AI5-$AH5-$AG5-$AF5-$AE5*(1+EI$3))/$AJ5,'Технический лист'!$A:$B,2,1)-VLOOKUP($AO5,'Технический лист'!$A:$B,2,1)),1+(1-$AU5))</f>
        <v>1</v>
      </c>
      <c r="EJ5" s="15">
        <f>MIN(IF($AU5=100%,1,1+VLOOKUP(($AJ5-$AI5-$AH5-$AG5-$AF5-$AE5*(1+EJ$3))/$AJ5,'Технический лист'!$A:$B,2,1)-VLOOKUP($AO5,'Технический лист'!$A:$B,2,1)),1+(1-$AU5))</f>
        <v>1</v>
      </c>
      <c r="EK5" s="15">
        <f>MIN(IF($AU5=100%,1,1+VLOOKUP(($AJ5-$AI5-$AH5-$AG5-$AF5-$AE5*(1+EK$3))/$AJ5,'Технический лист'!$A:$B,2,1)-VLOOKUP($AO5,'Технический лист'!$A:$B,2,1)),1+(1-$AU5))</f>
        <v>1</v>
      </c>
      <c r="EL5" s="15">
        <f>MIN(IF($AU5=100%,1,1+VLOOKUP(($AJ5-$AI5-$AH5-$AG5-$AF5-$AE5*(1+EL$3))/$AJ5,'Технический лист'!$A:$B,2,1)-VLOOKUP($AO5,'Технический лист'!$A:$B,2,1)),1+(1-$AU5))</f>
        <v>1</v>
      </c>
      <c r="EM5" s="15">
        <f>MIN(IF($AU5=100%,1,1+VLOOKUP(($AJ5-$AI5-$AH5-$AG5-$AF5-$AE5*(1+EM$3))/$AJ5,'Технический лист'!$A:$B,2,1)-VLOOKUP($AO5,'Технический лист'!$A:$B,2,1)),1+(1-$AU5))</f>
        <v>1</v>
      </c>
      <c r="EN5" s="15">
        <f>MIN(IF($AU5=100%,1,1+VLOOKUP(($AJ5-$AI5-$AH5-$AG5-$AF5-$AE5*(1+EN$3))/$AJ5,'Технический лист'!$A:$B,2,1)-VLOOKUP($AO5,'Технический лист'!$A:$B,2,1)),1+(1-$AU5))</f>
        <v>1</v>
      </c>
      <c r="EO5" s="15">
        <f>MIN(IF($AU5=100%,1,1+VLOOKUP(($AJ5-$AI5-$AH5-$AG5-$AF5-$AE5*(1+EO$3))/$AJ5,'Технический лист'!$A:$B,2,1)-VLOOKUP($AO5,'Технический лист'!$A:$B,2,1)),1+(1-$AU5))</f>
        <v>1</v>
      </c>
      <c r="EP5" s="15">
        <f>MIN(IF($AU5=100%,1,1+VLOOKUP(($AJ5-$AI5-$AH5-$AG5-$AF5-$AE5*(1+EP$3))/$AJ5,'Технический лист'!$A:$B,2,1)-VLOOKUP($AO5,'Технический лист'!$A:$B,2,1)),1+(1-$AU5))</f>
        <v>1</v>
      </c>
      <c r="EQ5" s="15">
        <f>MIN(IF($AU5=100%,1,1+VLOOKUP(($AJ5-$AI5-$AH5-$AG5-$AF5-$AE5*(1+EQ$3))/$AJ5,'Технический лист'!$A:$B,2,1)-VLOOKUP($AO5,'Технический лист'!$A:$B,2,1)),1+(1-$AU5))</f>
        <v>1</v>
      </c>
      <c r="ER5" s="15">
        <f>MIN(IF($AU5=100%,1,1+VLOOKUP(($AJ5-$AI5-$AH5-$AG5-$AF5-$AE5*(1+ER$3))/$AJ5,'Технический лист'!$A:$B,2,1)-VLOOKUP($AO5,'Технический лист'!$A:$B,2,1)),1+(1-$AU5))</f>
        <v>1</v>
      </c>
      <c r="ES5" s="15">
        <f>MIN(IF($AU5=100%,1,1+VLOOKUP(($AJ5-$AI5-$AH5-$AG5-$AF5-$AE5*(1+ES$3))/$AJ5,'Технический лист'!$A:$B,2,1)-VLOOKUP($AO5,'Технический лист'!$A:$B,2,1)),1+(1-$AU5))</f>
        <v>1</v>
      </c>
      <c r="ET5" s="15">
        <f>MIN(IF($AU5=100%,1,1+VLOOKUP(($AJ5-$AI5-$AH5-$AG5-$AF5-$AE5*(1+ET$3))/$AJ5,'Технический лист'!$A:$B,2,1)-VLOOKUP($AO5,'Технический лист'!$A:$B,2,1)),1+(1-$AU5))</f>
        <v>1</v>
      </c>
      <c r="EU5" s="15">
        <f>MIN(IF($AU5=100%,1,1+VLOOKUP(($AJ5-$AI5-$AH5-$AG5-$AF5-$AE5*(1+EU$3))/$AJ5,'Технический лист'!$A:$B,2,1)-VLOOKUP($AO5,'Технический лист'!$A:$B,2,1)),1+(1-$AU5))</f>
        <v>1</v>
      </c>
      <c r="EV5" s="111">
        <v>1</v>
      </c>
      <c r="EW5" s="15">
        <f>MIN(1,MAX(VLOOKUP(($AJ5-$AI5-$AH5-$AG5-$AF5-$AE5*(1+EW$3))/$AJ5,'Технический лист'!$A:$B,2,1),(EV5-0.05)))</f>
        <v>1</v>
      </c>
      <c r="EX5" s="15">
        <f>MIN(1,MAX(VLOOKUP(($AJ5-$AI5-$AH5-$AG5-$AF5-$AE5*(1+EX$3))/$AJ5,'Технический лист'!$A:$B,2,1),(EW5-0.05)))</f>
        <v>1</v>
      </c>
      <c r="EY5" s="15">
        <f>MIN(1,MAX(VLOOKUP(($AJ5-$AI5-$AH5-$AG5-$AF5-$AE5*(1+EY$3))/$AJ5,'Технический лист'!$A:$B,2,1),(EX5-0.05)))</f>
        <v>1</v>
      </c>
      <c r="EZ5" s="15">
        <f>MIN(1,MAX(VLOOKUP(($AJ5-$AI5-$AH5-$AG5-$AF5-$AE5*(1+EZ$3))/$AJ5,'Технический лист'!$A:$B,2,1),(EY5-0.05)))</f>
        <v>1</v>
      </c>
      <c r="FA5" s="15">
        <f>MIN(1,MAX(VLOOKUP(($AJ5-$AI5-$AH5-$AG5-$AF5-$AE5*(1+FA$3))/$AJ5,'Технический лист'!$A:$B,2,1),(EZ5-0.05)))</f>
        <v>1</v>
      </c>
      <c r="FB5" s="15">
        <f>MIN(1,MAX(VLOOKUP(($AJ5-$AI5-$AH5-$AG5-$AF5-$AE5*(1+FB$3))/$AJ5,'Технический лист'!$A:$B,2,1),(FA5-0.05)))</f>
        <v>1</v>
      </c>
      <c r="FC5" s="15">
        <f>MIN(1,MAX(VLOOKUP(($AJ5-$AI5-$AH5-$AG5-$AF5-$AE5*(1+FC$3))/$AJ5,'Технический лист'!$A:$B,2,1),(FB5-0.05)))</f>
        <v>1</v>
      </c>
      <c r="FD5" s="15">
        <f>MIN(1,MAX(VLOOKUP(($AJ5-$AI5-$AH5-$AG5-$AF5-$AE5*(1+FD$3))/$AJ5,'Технический лист'!$A:$B,2,1),(FC5-0.05)))</f>
        <v>1</v>
      </c>
      <c r="FE5" s="15">
        <f>MIN(1,MAX(VLOOKUP(($AJ5-$AI5-$AH5-$AG5-$AF5-$AE5*(1+FE$3))/$AJ5,'Технический лист'!$A:$B,2,1),(FD5-0.05)))</f>
        <v>1</v>
      </c>
      <c r="FF5" s="15">
        <f>MIN(1,MAX(VLOOKUP(($AJ5-$AI5-$AH5-$AG5-$AF5-$AE5*(1+FF$3))/$AJ5,'Технический лист'!$A:$B,2,1),(FE5-0.05)))</f>
        <v>1</v>
      </c>
      <c r="FG5" s="15">
        <f>MIN(1,MAX(VLOOKUP(($AJ5-$AI5-$AH5-$AG5-$AF5-$AE5*(1+FG$3))/$AJ5,'Технический лист'!$A:$B,2,1),(FF5-0.05)))</f>
        <v>1</v>
      </c>
      <c r="FH5" s="15">
        <f>MIN(1,MAX(VLOOKUP(($AJ5-$AI5-$AH5-$AG5-$AF5-$AE5*(1+FH$3))/$AJ5,'Технический лист'!$A:$B,2,1),(FG5-0.05)))</f>
        <v>1</v>
      </c>
      <c r="FI5" s="15">
        <f>MIN(1,MAX(VLOOKUP(($AJ5-$AI5-$AH5-$AG5-$AF5-$AE5*(1+FI$3))/$AJ5,'Технический лист'!$A:$B,2,1),(FH5-0.05)))</f>
        <v>1</v>
      </c>
      <c r="FJ5" s="15">
        <f>MIN(1,MAX(VLOOKUP(($AJ5-$AI5-$AH5-$AG5-$AF5-$AE5*(1+FJ$3))/$AJ5,'Технический лист'!$A:$B,2,1),(FI5-0.05)))</f>
        <v>1</v>
      </c>
      <c r="FK5" s="15">
        <f>MIN(1,MAX(VLOOKUP(($AJ5-$AI5-$AH5-$AG5-$AF5-$AE5*(1+FK$3))/$AJ5,'Технический лист'!$A:$B,2,1),(FJ5-0.05)))</f>
        <v>1</v>
      </c>
      <c r="FL5" s="15">
        <f>MIN(1,MAX(VLOOKUP(($AJ5-$AI5-$AH5-$AG5-$AF5-$AE5*(1+FL$3))/$AJ5,'Технический лист'!$A:$B,2,1),(FK5-0.05)))</f>
        <v>1</v>
      </c>
      <c r="FM5" s="15">
        <f>MIN(1,MAX(VLOOKUP(($AJ5-$AI5-$AH5-$AG5-$AF5-$AE5*(1+FM$3))/$AJ5,'Технический лист'!$A:$B,2,1),(FL5-0.05)))</f>
        <v>1</v>
      </c>
      <c r="FN5" s="15">
        <f>MIN(1,MAX(VLOOKUP(($AJ5-$AI5-$AH5-$AG5-$AF5-$AE5*(1+FN$3))/$AJ5,'Технический лист'!$A:$B,2,1),(FM5-0.05)))</f>
        <v>1</v>
      </c>
      <c r="FO5" s="15">
        <f>MIN(1,MAX(VLOOKUP(($AJ5-$AI5-$AH5-$AG5-$AF5-$AE5*(1+FO$3))/$AJ5,'Технический лист'!$A:$B,2,1),(FN5-0.05)))</f>
        <v>1</v>
      </c>
      <c r="FP5" s="15">
        <f>MIN(1,MAX(VLOOKUP(($AJ5-$AI5-$AH5-$AG5-$AF5-$AE5*(1+FP$3))/$AJ5,'Технический лист'!$A:$B,2,1),(FO5-0.05)))</f>
        <v>1</v>
      </c>
      <c r="FQ5" s="15">
        <f>MIN(1,MAX(VLOOKUP(($AJ5-$AI5-$AH5-$AG5-$AF5-$AE5*(1+FQ$3))/$AJ5,'Технический лист'!$A:$B,2,1),(FP5-0.05)))</f>
        <v>1</v>
      </c>
      <c r="FR5" s="15">
        <f>MIN(1,MAX(VLOOKUP(($AJ5-$AI5-$AH5-$AG5-$AF5-$AE5*(1+FR$3))/$AJ5,'Технический лист'!$A:$B,2,1),(FQ5-0.05)))</f>
        <v>1</v>
      </c>
      <c r="FS5" s="15">
        <f>MIN(1,MAX(VLOOKUP(($AJ5-$AI5-$AH5-$AG5-$AF5-$AE5*(1+FS$3))/$AJ5,'Технический лист'!$A:$B,2,1),(FR5-0.05)))</f>
        <v>0.995</v>
      </c>
      <c r="FT5" s="15">
        <f>MIN(1,MAX(VLOOKUP(($AJ5-$AI5-$AH5-$AG5-$AF5-$AE5*(1+FT$3))/$AJ5,'Технический лист'!$A:$B,2,1),(FS5-0.05)))</f>
        <v>0.995</v>
      </c>
      <c r="FU5" s="15">
        <f>MIN(1,MAX(VLOOKUP(($AJ5-$AI5-$AH5-$AG5-$AF5-$AE5*(1+FU$3))/$AJ5,'Технический лист'!$A:$B,2,1),(FT5-0.05)))</f>
        <v>0.995</v>
      </c>
      <c r="FV5" s="15">
        <f>MIN(1,MAX(VLOOKUP(($AJ5-$AI5-$AH5-$AG5-$AF5-$AE5*(1+FV$3))/$AJ5,'Технический лист'!$A:$B,2,1),(FU5-0.05)))</f>
        <v>0.995</v>
      </c>
      <c r="FW5" s="15">
        <f>MIN(1,MAX(VLOOKUP(($AJ5-$AI5-$AH5-$AG5-$AF5-$AE5*(1+FW$3))/$AJ5,'Технический лист'!$A:$B,2,1),(FV5-0.05)))</f>
        <v>0.995</v>
      </c>
      <c r="FX5" s="15">
        <f>MIN(1,MAX(VLOOKUP(($AJ5-$AI5-$AH5-$AG5-$AF5-$AE5*(1+FX$3))/$AJ5,'Технический лист'!$A:$B,2,1),(FW5-0.05)))</f>
        <v>0.995</v>
      </c>
      <c r="FY5" s="15">
        <f>MIN(1,MAX(VLOOKUP(($AJ5-$AI5-$AH5-$AG5-$AF5-$AE5*(1+FY$3))/$AJ5,'Технический лист'!$A:$B,2,1),(FX5-0.05)))</f>
        <v>0.995</v>
      </c>
      <c r="FZ5" s="15">
        <f>MIN(1,MAX(VLOOKUP(($AJ5-$AI5-$AH5-$AG5-$AF5-$AE5*(1+FZ$3))/$AJ5,'Технический лист'!$A:$B,2,1),(FY5-0.05)))</f>
        <v>0.995</v>
      </c>
      <c r="GA5" s="15">
        <f>MIN(1,MAX(VLOOKUP(($AJ5-$AI5-$AH5-$AG5-$AF5-$AE5*(1+GA$3))/$AJ5,'Технический лист'!$A:$B,2,1),(FZ5-0.05)))</f>
        <v>0.995</v>
      </c>
      <c r="GB5" s="15">
        <f>MIN(1,MAX(VLOOKUP(($AJ5-$AI5-$AH5-$AG5-$AF5-$AE5*(1+GB$3))/$AJ5,'Технический лист'!$A:$B,2,1),(GA5-0.05)))</f>
        <v>0.995</v>
      </c>
      <c r="GC5" s="15">
        <f>MIN(1,MAX(VLOOKUP(($AJ5-$AI5-$AH5-$AG5-$AF5-$AE5*(1+GC$3))/$AJ5,'Технический лист'!$A:$B,2,1),(GB5-0.05)))</f>
        <v>0.995</v>
      </c>
      <c r="GD5" s="15">
        <f>MIN(1,MAX(VLOOKUP(($AJ5-$AI5-$AH5-$AG5-$AF5-$AE5*(1+GD$3))/$AJ5,'Технический лист'!$A:$B,2,1),(GC5-0.05)))</f>
        <v>0.995</v>
      </c>
      <c r="GE5" s="15">
        <f>MIN(1,MAX(VLOOKUP(($AJ5-$AI5-$AH5-$AG5-$AF5-$AE5*(1+GE$3))/$AJ5,'Технический лист'!$A:$B,2,1),(GD5-0.05)))</f>
        <v>0.995</v>
      </c>
      <c r="GF5" s="15">
        <f>MIN(1,MAX(VLOOKUP(($AJ5-$AI5-$AH5-$AG5-$AF5-$AE5*(1+GF$3))/$AJ5,'Технический лист'!$A:$B,2,1),(GE5-0.05)))</f>
        <v>0.995</v>
      </c>
      <c r="GG5" s="15">
        <f>MIN(1,MAX(VLOOKUP(($AJ5-$AI5-$AH5-$AG5-$AF5-$AE5*(1+GG$3))/$AJ5,'Технический лист'!$A:$B,2,1),(GF5-0.05)))</f>
        <v>0.995</v>
      </c>
      <c r="GH5" s="15">
        <f>MIN(1,MAX(VLOOKUP(($AJ5-$AI5-$AH5-$AG5-$AF5-$AE5*(1+GH$3))/$AJ5,'Технический лист'!$A:$B,2,1),(GG5-0.05)))</f>
        <v>0.99</v>
      </c>
      <c r="GI5" s="15">
        <f>MIN(1,MAX(VLOOKUP(($AJ5-$AI5-$AH5-$AG5-$AF5-$AE5*(1+GI$3))/$AJ5,'Технический лист'!$A:$B,2,1),(GH5-0.05)))</f>
        <v>0.99</v>
      </c>
      <c r="GJ5" s="15">
        <f>MIN(1,MAX(VLOOKUP(($AJ5-$AI5-$AH5-$AG5-$AF5-$AE5*(1+GJ$3))/$AJ5,'Технический лист'!$A:$B,2,1),(GI5-0.05)))</f>
        <v>0.99</v>
      </c>
      <c r="GK5" s="15">
        <f>MIN(1,MAX(VLOOKUP(($AJ5-$AI5-$AH5-$AG5-$AF5-$AE5*(1+GK$3))/$AJ5,'Технический лист'!$A:$B,2,1),(GJ5-0.05)))</f>
        <v>0.99</v>
      </c>
      <c r="GL5" s="15">
        <f>MIN(1,MAX(VLOOKUP(($AJ5-$AI5-$AH5-$AG5-$AF5-$AE5*(1+GL$3))/$AJ5,'Технический лист'!$A:$B,2,1),(GK5-0.05)))</f>
        <v>0.99</v>
      </c>
      <c r="GM5" s="15">
        <f>MIN(1,MAX(VLOOKUP(($AJ5-$AI5-$AH5-$AG5-$AF5-$AE5*(1+GM$3))/$AJ5,'Технический лист'!$A:$B,2,1),(GL5-0.05)))</f>
        <v>0.99</v>
      </c>
      <c r="GN5" s="15">
        <f>MIN(1,MAX(VLOOKUP(($AJ5-$AI5-$AH5-$AG5-$AF5-$AE5*(1+GN$3))/$AJ5,'Технический лист'!$A:$B,2,1),(GM5-0.05)))</f>
        <v>0.99</v>
      </c>
      <c r="GO5" s="15">
        <f>MIN(1,MAX(VLOOKUP(($AJ5-$AI5-$AH5-$AG5-$AF5-$AE5*(1+GO$3))/$AJ5,'Технический лист'!$A:$B,2,1),(GN5-0.05)))</f>
        <v>0.99</v>
      </c>
      <c r="GP5" s="15">
        <f>MIN(1,MAX(VLOOKUP(($AJ5-$AI5-$AH5-$AG5-$AF5-$AE5*(1+GP$3))/$AJ5,'Технический лист'!$A:$B,2,1),(GO5-0.05)))</f>
        <v>0.99</v>
      </c>
      <c r="GQ5" s="15">
        <f>MIN(1,MAX(VLOOKUP(($AJ5-$AI5-$AH5-$AG5-$AF5-$AE5*(1+GQ$3))/$AJ5,'Технический лист'!$A:$B,2,1),(GP5-0.05)))</f>
        <v>0.99</v>
      </c>
      <c r="GR5" s="15">
        <f>MIN(1,MAX(VLOOKUP(($AJ5-$AI5-$AH5-$AG5-$AF5-$AE5*(1+GR$3))/$AJ5,'Технический лист'!$A:$B,2,1),(GQ5-0.05)))</f>
        <v>0.99</v>
      </c>
      <c r="GS5" s="15">
        <f>MIN(1,MAX(VLOOKUP(($AJ5-$AI5-$AH5-$AG5-$AF5-$AE5*(1+GS$3))/$AJ5,'Технический лист'!$A:$B,2,1),(GR5-0.05)))</f>
        <v>0.99</v>
      </c>
      <c r="GT5" s="15">
        <f>MIN(1,MAX(VLOOKUP(($AJ5-$AI5-$AH5-$AG5-$AF5-$AE5*(1+GT$3))/$AJ5,'Технический лист'!$A:$B,2,1),(GS5-0.05)))</f>
        <v>0.99</v>
      </c>
      <c r="GU5" s="15">
        <f>MIN(1,MAX(VLOOKUP(($AJ5-$AI5-$AH5-$AG5-$AF5-$AE5*(1+GU$3))/$AJ5,'Технический лист'!$A:$B,2,1),(GT5-0.05)))</f>
        <v>0.99</v>
      </c>
      <c r="GV5" s="15">
        <f>MIN(1,MAX(VLOOKUP(($AJ5-$AI5-$AH5-$AG5-$AF5-$AE5*(1+GV$3))/$AJ5,'Технический лист'!$A:$B,2,1),(GU5-0.05)))</f>
        <v>0.99</v>
      </c>
      <c r="GW5" s="15">
        <f>MIN(1,MAX(VLOOKUP(($AJ5-$AI5-$AH5-$AG5-$AF5-$AE5*(1+GW$3))/$AJ5,'Технический лист'!$A:$B,2,1),(GV5-0.05)))</f>
        <v>0.98499999999999999</v>
      </c>
      <c r="GX5" s="15">
        <f>MIN(1,MAX(VLOOKUP(($AJ5-$AI5-$AH5-$AG5-$AF5-$AE5*(1+GX$3))/$AJ5,'Технический лист'!$A:$B,2,1),(GW5-0.05)))</f>
        <v>0.98499999999999999</v>
      </c>
      <c r="GY5" s="15">
        <f>MIN(1,MAX(VLOOKUP(($AJ5-$AI5-$AH5-$AG5-$AF5-$AE5*(1+GY$3))/$AJ5,'Технический лист'!$A:$B,2,1),(GX5-0.05)))</f>
        <v>0.98499999999999999</v>
      </c>
      <c r="GZ5" s="15">
        <f>MIN(1,MAX(VLOOKUP(($AJ5-$AI5-$AH5-$AG5-$AF5-$AE5*(1+GZ$3))/$AJ5,'Технический лист'!$A:$B,2,1),(GY5-0.05)))</f>
        <v>0.98499999999999999</v>
      </c>
      <c r="HA5" s="15">
        <f>MIN(1,MAX(VLOOKUP(($AJ5-$AI5-$AH5-$AG5-$AF5-$AE5*(1+HA$3))/$AJ5,'Технический лист'!$A:$B,2,1),(GZ5-0.05)))</f>
        <v>0.98499999999999999</v>
      </c>
      <c r="HB5" s="15">
        <f>MIN(1,MAX(VLOOKUP(($AJ5-$AI5-$AH5-$AG5-$AF5-$AE5*(1+HB$3))/$AJ5,'Технический лист'!$A:$B,2,1),(HA5-0.05)))</f>
        <v>0.98499999999999999</v>
      </c>
      <c r="HC5" s="15">
        <f>MIN(1,MAX(VLOOKUP(($AJ5-$AI5-$AH5-$AG5-$AF5-$AE5*(1+HC$3))/$AJ5,'Технический лист'!$A:$B,2,1),(HB5-0.05)))</f>
        <v>0.98499999999999999</v>
      </c>
      <c r="HD5" s="15">
        <f>MIN(1,MAX(VLOOKUP(($AJ5-$AI5-$AH5-$AG5-$AF5-$AE5*(1+HD$3))/$AJ5,'Технический лист'!$A:$B,2,1),(HC5-0.05)))</f>
        <v>0.98499999999999999</v>
      </c>
      <c r="HE5" s="15">
        <f>MIN(1,MAX(VLOOKUP(($AJ5-$AI5-$AH5-$AG5-$AF5-$AE5*(1+HE$3))/$AJ5,'Технический лист'!$A:$B,2,1),(HD5-0.05)))</f>
        <v>0.98499999999999999</v>
      </c>
      <c r="HF5" s="15">
        <f>MIN(1,MAX(VLOOKUP(($AJ5-$AI5-$AH5-$AG5-$AF5-$AE5*(1+HF$3))/$AJ5,'Технический лист'!$A:$B,2,1),(HE5-0.05)))</f>
        <v>0.98499999999999999</v>
      </c>
      <c r="HG5" s="15">
        <f>MIN(1,MAX(VLOOKUP(($AJ5-$AI5-$AH5-$AG5-$AF5-$AE5*(1+HG$3))/$AJ5,'Технический лист'!$A:$B,2,1),(HF5-0.05)))</f>
        <v>0.98499999999999999</v>
      </c>
      <c r="HH5" s="15">
        <f>MIN(1,MAX(VLOOKUP(($AJ5-$AI5-$AH5-$AG5-$AF5-$AE5*(1+HH$3))/$AJ5,'Технический лист'!$A:$B,2,1),(HG5-0.05)))</f>
        <v>0.98499999999999999</v>
      </c>
      <c r="HI5" s="15">
        <f>MIN(1,MAX(VLOOKUP(($AJ5-$AI5-$AH5-$AG5-$AF5-$AE5*(1+HI$3))/$AJ5,'Технический лист'!$A:$B,2,1),(HH5-0.05)))</f>
        <v>0.98499999999999999</v>
      </c>
      <c r="HJ5" s="15">
        <f>MIN(1,MAX(VLOOKUP(($AJ5-$AI5-$AH5-$AG5-$AF5-$AE5*(1+HJ$3))/$AJ5,'Технический лист'!$A:$B,2,1),(HI5-0.05)))</f>
        <v>0.98499999999999999</v>
      </c>
      <c r="HK5" s="15">
        <f>MIN(1,MAX(VLOOKUP(($AJ5-$AI5-$AH5-$AG5-$AF5-$AE5*(1+HK$3))/$AJ5,'Технический лист'!$A:$B,2,1),(HJ5-0.05)))</f>
        <v>0.98499999999999999</v>
      </c>
      <c r="HL5" s="15">
        <f>MIN(1,MAX(VLOOKUP(($AJ5-$AI5-$AH5-$AG5-$AF5-$AE5*(1+HL$3))/$AJ5,'Технический лист'!$A:$B,2,1),(HK5-0.05)))</f>
        <v>0.98</v>
      </c>
      <c r="HM5" s="15">
        <f>MIN(1,MAX(VLOOKUP(($AJ5-$AI5-$AH5-$AG5-$AF5-$AE5*(1+HM$3))/$AJ5,'Технический лист'!$A:$B,2,1),(HL5-0.05)))</f>
        <v>0.98</v>
      </c>
      <c r="HN5" s="15">
        <f>MIN(1,MAX(VLOOKUP(($AJ5-$AI5-$AH5-$AG5-$AF5-$AE5*(1+HN$3))/$AJ5,'Технический лист'!$A:$B,2,1),(HM5-0.05)))</f>
        <v>0.98</v>
      </c>
      <c r="HO5" s="15">
        <f>MIN(1,MAX(VLOOKUP(($AJ5-$AI5-$AH5-$AG5-$AF5-$AE5*(1+HO$3))/$AJ5,'Технический лист'!$A:$B,2,1),(HN5-0.05)))</f>
        <v>0.98</v>
      </c>
      <c r="HP5" s="15">
        <f>MIN(1,MAX(VLOOKUP(($AJ5-$AI5-$AH5-$AG5-$AF5-$AE5*(1+HP$3))/$AJ5,'Технический лист'!$A:$B,2,1),(HO5-0.05)))</f>
        <v>0.98</v>
      </c>
      <c r="HQ5" s="15">
        <f>MIN(1,MAX(VLOOKUP(($AJ5-$AI5-$AH5-$AG5-$AF5-$AE5*(1+HQ$3))/$AJ5,'Технический лист'!$A:$B,2,1),(HP5-0.05)))</f>
        <v>0.98</v>
      </c>
      <c r="HR5" s="15">
        <f>MIN(1,MAX(VLOOKUP(($AJ5-$AI5-$AH5-$AG5-$AF5-$AE5*(1+HR$3))/$AJ5,'Технический лист'!$A:$B,2,1),(HQ5-0.05)))</f>
        <v>0.98</v>
      </c>
      <c r="HS5" s="15">
        <f>MIN(1,MAX(VLOOKUP(($AJ5-$AI5-$AH5-$AG5-$AF5-$AE5*(1+HS$3))/$AJ5,'Технический лист'!$A:$B,2,1),(HR5-0.05)))</f>
        <v>0.98</v>
      </c>
      <c r="HT5" s="15">
        <f>MIN(1,MAX(VLOOKUP(($AJ5-$AI5-$AH5-$AG5-$AF5-$AE5*(1+HT$3))/$AJ5,'Технический лист'!$A:$B,2,1),(HS5-0.05)))</f>
        <v>0.98</v>
      </c>
      <c r="HU5" s="15">
        <f>MIN(1,MAX(VLOOKUP(($AJ5-$AI5-$AH5-$AG5-$AF5-$AE5*(1+HU$3))/$AJ5,'Технический лист'!$A:$B,2,1),(HT5-0.05)))</f>
        <v>0.98</v>
      </c>
      <c r="HV5" s="15">
        <f>MIN(1,MAX(VLOOKUP(($AJ5-$AI5-$AH5-$AG5-$AF5-$AE5*(1+HV$3))/$AJ5,'Технический лист'!$A:$B,2,1),(HU5-0.05)))</f>
        <v>0.98</v>
      </c>
      <c r="HW5" s="15">
        <f>MIN(1,MAX(VLOOKUP(($AJ5-$AI5-$AH5-$AG5-$AF5-$AE5*(1+HW$3))/$AJ5,'Технический лист'!$A:$B,2,1),(HV5-0.05)))</f>
        <v>0.98</v>
      </c>
      <c r="HX5" s="15">
        <f>MIN(1,MAX(VLOOKUP(($AJ5-$AI5-$AH5-$AG5-$AF5-$AE5*(1+HX$3))/$AJ5,'Технический лист'!$A:$B,2,1),(HW5-0.05)))</f>
        <v>0.98</v>
      </c>
      <c r="HY5" s="15">
        <f>MIN(1,MAX(VLOOKUP(($AJ5-$AI5-$AH5-$AG5-$AF5-$AE5*(1+HY$3))/$AJ5,'Технический лист'!$A:$B,2,1),(HX5-0.05)))</f>
        <v>0.98</v>
      </c>
      <c r="HZ5" s="15">
        <f>MIN(1,MAX(VLOOKUP(($AJ5-$AI5-$AH5-$AG5-$AF5-$AE5*(1+HZ$3))/$AJ5,'Технический лист'!$A:$B,2,1),(HY5-0.05)))</f>
        <v>0.98</v>
      </c>
      <c r="IA5" s="15">
        <f>MIN(1,MAX(VLOOKUP(($AJ5-$AI5-$AH5-$AG5-$AF5-$AE5*(1+IA$3))/$AJ5,'Технический лист'!$A:$B,2,1),(HZ5-0.05)))</f>
        <v>0.97499999999999998</v>
      </c>
      <c r="IB5" s="15">
        <f>MIN(1,MAX(VLOOKUP(($AJ5-$AI5-$AH5-$AG5-$AF5-$AE5*(1+IB$3))/$AJ5,'Технический лист'!$A:$B,2,1),(IA5-0.05)))</f>
        <v>0.97499999999999998</v>
      </c>
      <c r="IC5" s="15">
        <f>MIN(1,MAX(VLOOKUP(($AJ5-$AI5-$AH5-$AG5-$AF5-$AE5*(1+IC$3))/$AJ5,'Технический лист'!$A:$B,2,1),(IB5-0.05)))</f>
        <v>0.97499999999999998</v>
      </c>
      <c r="ID5" s="15">
        <f>MIN(1,MAX(VLOOKUP(($AJ5-$AI5-$AH5-$AG5-$AF5-$AE5*(1+ID$3))/$AJ5,'Технический лист'!$A:$B,2,1),(IC5-0.05)))</f>
        <v>0.97499999999999998</v>
      </c>
      <c r="IE5" s="15">
        <f>MIN(1,MAX(VLOOKUP(($AJ5-$AI5-$AH5-$AG5-$AF5-$AE5*(1+IE$3))/$AJ5,'Технический лист'!$A:$B,2,1),(ID5-0.05)))</f>
        <v>0.97499999999999998</v>
      </c>
      <c r="IF5" s="15">
        <f>MIN(1,MAX(VLOOKUP(($AJ5-$AI5-$AH5-$AG5-$AF5-$AE5*(1+IF$3))/$AJ5,'Технический лист'!$A:$B,2,1),(IE5-0.05)))</f>
        <v>0.97499999999999998</v>
      </c>
      <c r="IG5" s="15">
        <f>MIN(1,MAX(VLOOKUP(($AJ5-$AI5-$AH5-$AG5-$AF5-$AE5*(1+IG$3))/$AJ5,'Технический лист'!$A:$B,2,1),(IF5-0.05)))</f>
        <v>0.97499999999999998</v>
      </c>
      <c r="IH5" s="15">
        <f>MIN(1,MAX(VLOOKUP(($AJ5-$AI5-$AH5-$AG5-$AF5-$AE5*(1+IH$3))/$AJ5,'Технический лист'!$A:$B,2,1),(IG5-0.05)))</f>
        <v>0.97499999999999998</v>
      </c>
      <c r="II5" s="15">
        <f>MIN(1,MAX(VLOOKUP(($AJ5-$AI5-$AH5-$AG5-$AF5-$AE5*(1+II$3))/$AJ5,'Технический лист'!$A:$B,2,1),(IH5-0.05)))</f>
        <v>0.97499999999999998</v>
      </c>
      <c r="IJ5" s="15">
        <f>MIN(1,MAX(VLOOKUP(($AJ5-$AI5-$AH5-$AG5-$AF5-$AE5*(1+IJ$3))/$AJ5,'Технический лист'!$A:$B,2,1),(II5-0.05)))</f>
        <v>0.97499999999999998</v>
      </c>
      <c r="IK5" s="15">
        <f>MIN(1,MAX(VLOOKUP(($AJ5-$AI5-$AH5-$AG5-$AF5-$AE5*(1+IK$3))/$AJ5,'Технический лист'!$A:$B,2,1),(IJ5-0.05)))</f>
        <v>0.97499999999999998</v>
      </c>
      <c r="IL5" s="15">
        <f>MIN(1,MAX(VLOOKUP(($AJ5-$AI5-$AH5-$AG5-$AF5-$AE5*(1+IL$3))/$AJ5,'Технический лист'!$A:$B,2,1),(IK5-0.05)))</f>
        <v>0.97499999999999998</v>
      </c>
      <c r="IM5" s="15">
        <f>MIN(1,MAX(VLOOKUP(($AJ5-$AI5-$AH5-$AG5-$AF5-$AE5*(1+IM$3))/$AJ5,'Технический лист'!$A:$B,2,1),(IL5-0.05)))</f>
        <v>0.97499999999999998</v>
      </c>
      <c r="IN5" s="15">
        <f>MIN(1,MAX(VLOOKUP(($AJ5-$AI5-$AH5-$AG5-$AF5-$AE5*(1+IN$3))/$AJ5,'Технический лист'!$A:$B,2,1),(IM5-0.05)))</f>
        <v>0.97499999999999998</v>
      </c>
      <c r="IO5" s="15">
        <f>MIN(1,MAX(VLOOKUP(($AJ5-$AI5-$AH5-$AG5-$AF5-$AE5*(1+IO$3))/$AJ5,'Технический лист'!$A:$B,2,1),(IN5-0.05)))</f>
        <v>0.97</v>
      </c>
      <c r="IP5" s="15">
        <f>MIN(1,MAX(VLOOKUP(($AJ5-$AI5-$AH5-$AG5-$AF5-$AE5*(1+IP$3))/$AJ5,'Технический лист'!$A:$B,2,1),(IO5-0.05)))</f>
        <v>0.97</v>
      </c>
      <c r="IQ5" s="15">
        <f>MIN(1,MAX(VLOOKUP(($AJ5-$AI5-$AH5-$AG5-$AF5-$AE5*(1+IQ$3))/$AJ5,'Технический лист'!$A:$B,2,1),(IP5-0.05)))</f>
        <v>0.97</v>
      </c>
      <c r="IR5" s="15">
        <f>MIN(1,MAX(VLOOKUP(($AJ5-$AI5-$AH5-$AG5-$AF5-$AE5*(1+IR$3))/$AJ5,'Технический лист'!$A:$B,2,1),(IQ5-0.05)))</f>
        <v>0.97</v>
      </c>
    </row>
    <row r="6" spans="1:257">
      <c r="A6" s="89" t="s">
        <v>514</v>
      </c>
      <c r="B6" s="90">
        <v>2</v>
      </c>
      <c r="C6" s="5" t="s">
        <v>65</v>
      </c>
      <c r="D6" s="91">
        <v>17105</v>
      </c>
      <c r="E6" s="91" t="s">
        <v>317</v>
      </c>
      <c r="F6" s="92" t="s">
        <v>69</v>
      </c>
      <c r="G6" s="91" t="s">
        <v>50</v>
      </c>
      <c r="H6" s="91" t="s">
        <v>26</v>
      </c>
      <c r="I6" s="91" t="s">
        <v>82</v>
      </c>
      <c r="J6" s="91" t="s">
        <v>85</v>
      </c>
      <c r="K6" s="91">
        <v>2237</v>
      </c>
      <c r="L6" s="85" t="s">
        <v>64</v>
      </c>
      <c r="M6" s="91" t="s">
        <v>17</v>
      </c>
      <c r="N6" s="91" t="s">
        <v>191</v>
      </c>
      <c r="O6" s="91" t="s">
        <v>193</v>
      </c>
      <c r="P6" s="89" t="s">
        <v>195</v>
      </c>
      <c r="Q6" s="91" t="s">
        <v>301</v>
      </c>
      <c r="R6" s="91" t="s">
        <v>250</v>
      </c>
      <c r="S6" s="82">
        <v>2377</v>
      </c>
      <c r="T6" s="82">
        <v>5315872</v>
      </c>
      <c r="U6" s="81">
        <v>52</v>
      </c>
      <c r="V6" s="81">
        <v>0</v>
      </c>
      <c r="W6" s="82">
        <v>4995010</v>
      </c>
      <c r="X6" s="112">
        <v>52</v>
      </c>
      <c r="Y6" s="112" t="s">
        <v>417</v>
      </c>
      <c r="Z6" s="113">
        <v>12</v>
      </c>
      <c r="AA6" s="113">
        <v>8</v>
      </c>
      <c r="AB6" s="113">
        <v>4</v>
      </c>
      <c r="AC6" s="99">
        <v>2011.46</v>
      </c>
      <c r="AD6" s="99">
        <f t="shared" si="1"/>
        <v>738.94</v>
      </c>
      <c r="AE6" s="99">
        <v>2750.4</v>
      </c>
      <c r="AF6" s="98">
        <f>(Z6+AA6+AB6)*'Ставки аренды'!$B$3/X6</f>
        <v>323.07692307692309</v>
      </c>
      <c r="AG6" s="114">
        <v>0</v>
      </c>
      <c r="AH6" s="94">
        <v>0</v>
      </c>
      <c r="AI6" s="115">
        <f t="shared" si="4"/>
        <v>13504.928917499999</v>
      </c>
      <c r="AJ6" s="117">
        <f>Цены!$C$8*'Курсы валют'!$B$2</f>
        <v>15795.238499999999</v>
      </c>
      <c r="AK6" s="94">
        <f>AJ6/Цены!$B$1</f>
        <v>207</v>
      </c>
      <c r="AL6" s="95">
        <f t="shared" si="5"/>
        <v>3073.4769230769234</v>
      </c>
      <c r="AM6" s="95">
        <f t="shared" si="6"/>
        <v>12721.761576923076</v>
      </c>
      <c r="AN6" s="94">
        <f t="shared" si="2"/>
        <v>16578.405840576925</v>
      </c>
      <c r="AO6" s="118">
        <f t="shared" si="3"/>
        <v>-4.9582495419548442E-2</v>
      </c>
      <c r="AP6" s="96">
        <f t="shared" si="7"/>
        <v>0.19458249541954833</v>
      </c>
      <c r="AQ6" s="96">
        <f t="shared" si="8"/>
        <v>0.17412842484144828</v>
      </c>
      <c r="AR6" s="96">
        <f t="shared" si="9"/>
        <v>0.89488226814031713</v>
      </c>
      <c r="AS6" s="122">
        <v>1</v>
      </c>
      <c r="AT6" s="121">
        <f t="shared" si="10"/>
        <v>2377</v>
      </c>
      <c r="AU6" s="83">
        <v>0.9</v>
      </c>
      <c r="AV6" s="119">
        <f t="shared" si="11"/>
        <v>-7.0477906400522164E-2</v>
      </c>
      <c r="AW6" s="120">
        <f t="shared" si="12"/>
        <v>0.21547790640052211</v>
      </c>
      <c r="AX6" s="120">
        <f t="shared" si="13"/>
        <v>0.19502383582242208</v>
      </c>
      <c r="AY6" s="120">
        <f t="shared" si="14"/>
        <v>0.90507578749126705</v>
      </c>
      <c r="AZ6" s="15">
        <f>MIN(IF($AU6=100%,1,1+VLOOKUP(($AJ6-$AI6-$AH6-$AG6-$AF6-$AE6*(1+AZ$3))/$AJ6,'Технический лист'!$A:$B,2,1)-VLOOKUP($AO6,'Технический лист'!$A:$B,2,1)),1+(1-$AU6))</f>
        <v>1.0150000000000001</v>
      </c>
      <c r="BA6" s="15">
        <f>MIN(IF($AU6=100%,1,1+VLOOKUP(($AJ6-$AI6-$AH6-$AG6-$AF6-$AE6*(1+BA$3))/$AJ6,'Технический лист'!$A:$B,2,1)-VLOOKUP($AO6,'Технический лист'!$A:$B,2,1)),1+(1-$AU6))</f>
        <v>1.0150000000000001</v>
      </c>
      <c r="BB6" s="15">
        <f>MIN(IF($AU6=100%,1,1+VLOOKUP(($AJ6-$AI6-$AH6-$AG6-$AF6-$AE6*(1+BB$3))/$AJ6,'Технический лист'!$A:$B,2,1)-VLOOKUP($AO6,'Технический лист'!$A:$B,2,1)),1+(1-$AU6))</f>
        <v>1.0150000000000001</v>
      </c>
      <c r="BC6" s="15">
        <f>MIN(IF($AU6=100%,1,1+VLOOKUP(($AJ6-$AI6-$AH6-$AG6-$AF6-$AE6*(1+BC$3))/$AJ6,'Технический лист'!$A:$B,2,1)-VLOOKUP($AO6,'Технический лист'!$A:$B,2,1)),1+(1-$AU6))</f>
        <v>1.0150000000000001</v>
      </c>
      <c r="BD6" s="15">
        <f>MIN(IF($AU6=100%,1,1+VLOOKUP(($AJ6-$AI6-$AH6-$AG6-$AF6-$AE6*(1+BD$3))/$AJ6,'Технический лист'!$A:$B,2,1)-VLOOKUP($AO6,'Технический лист'!$A:$B,2,1)),1+(1-$AU6))</f>
        <v>1.0150000000000001</v>
      </c>
      <c r="BE6" s="15">
        <f>MIN(IF($AU6=100%,1,1+VLOOKUP(($AJ6-$AI6-$AH6-$AG6-$AF6-$AE6*(1+BE$3))/$AJ6,'Технический лист'!$A:$B,2,1)-VLOOKUP($AO6,'Технический лист'!$A:$B,2,1)),1+(1-$AU6))</f>
        <v>1.0150000000000001</v>
      </c>
      <c r="BF6" s="15">
        <f>MIN(IF($AU6=100%,1,1+VLOOKUP(($AJ6-$AI6-$AH6-$AG6-$AF6-$AE6*(1+BF$3))/$AJ6,'Технический лист'!$A:$B,2,1)-VLOOKUP($AO6,'Технический лист'!$A:$B,2,1)),1+(1-$AU6))</f>
        <v>1.0150000000000001</v>
      </c>
      <c r="BG6" s="15">
        <f>MIN(IF($AU6=100%,1,1+VLOOKUP(($AJ6-$AI6-$AH6-$AG6-$AF6-$AE6*(1+BG$3))/$AJ6,'Технический лист'!$A:$B,2,1)-VLOOKUP($AO6,'Технический лист'!$A:$B,2,1)),1+(1-$AU6))</f>
        <v>1.0150000000000001</v>
      </c>
      <c r="BH6" s="15">
        <f>MIN(IF($AU6=100%,1,1+VLOOKUP(($AJ6-$AI6-$AH6-$AG6-$AF6-$AE6*(1+BH$3))/$AJ6,'Технический лист'!$A:$B,2,1)-VLOOKUP($AO6,'Технический лист'!$A:$B,2,1)),1+(1-$AU6))</f>
        <v>1.0150000000000001</v>
      </c>
      <c r="BI6" s="15">
        <f>MIN(IF($AU6=100%,1,1+VLOOKUP(($AJ6-$AI6-$AH6-$AG6-$AF6-$AE6*(1+BI$3))/$AJ6,'Технический лист'!$A:$B,2,1)-VLOOKUP($AO6,'Технический лист'!$A:$B,2,1)),1+(1-$AU6))</f>
        <v>1.0150000000000001</v>
      </c>
      <c r="BJ6" s="15">
        <f>MIN(IF($AU6=100%,1,1+VLOOKUP(($AJ6-$AI6-$AH6-$AG6-$AF6-$AE6*(1+BJ$3))/$AJ6,'Технический лист'!$A:$B,2,1)-VLOOKUP($AO6,'Технический лист'!$A:$B,2,1)),1+(1-$AU6))</f>
        <v>1.0150000000000001</v>
      </c>
      <c r="BK6" s="15">
        <f>MIN(IF($AU6=100%,1,1+VLOOKUP(($AJ6-$AI6-$AH6-$AG6-$AF6-$AE6*(1+BK$3))/$AJ6,'Технический лист'!$A:$B,2,1)-VLOOKUP($AO6,'Технический лист'!$A:$B,2,1)),1+(1-$AU6))</f>
        <v>1.0150000000000001</v>
      </c>
      <c r="BL6" s="15">
        <f>MIN(IF($AU6=100%,1,1+VLOOKUP(($AJ6-$AI6-$AH6-$AG6-$AF6-$AE6*(1+BL$3))/$AJ6,'Технический лист'!$A:$B,2,1)-VLOOKUP($AO6,'Технический лист'!$A:$B,2,1)),1+(1-$AU6))</f>
        <v>1.0150000000000001</v>
      </c>
      <c r="BM6" s="15">
        <f>MIN(IF($AU6=100%,1,1+VLOOKUP(($AJ6-$AI6-$AH6-$AG6-$AF6-$AE6*(1+BM$3))/$AJ6,'Технический лист'!$A:$B,2,1)-VLOOKUP($AO6,'Технический лист'!$A:$B,2,1)),1+(1-$AU6))</f>
        <v>1.0150000000000001</v>
      </c>
      <c r="BN6" s="15">
        <f>MIN(IF($AU6=100%,1,1+VLOOKUP(($AJ6-$AI6-$AH6-$AG6-$AF6-$AE6*(1+BN$3))/$AJ6,'Технический лист'!$A:$B,2,1)-VLOOKUP($AO6,'Технический лист'!$A:$B,2,1)),1+(1-$AU6))</f>
        <v>1.0150000000000001</v>
      </c>
      <c r="BO6" s="15">
        <f>MIN(IF($AU6=100%,1,1+VLOOKUP(($AJ6-$AI6-$AH6-$AG6-$AF6-$AE6*(1+BO$3))/$AJ6,'Технический лист'!$A:$B,2,1)-VLOOKUP($AO6,'Технический лист'!$A:$B,2,1)),1+(1-$AU6))</f>
        <v>1.0150000000000001</v>
      </c>
      <c r="BP6" s="15">
        <f>MIN(IF($AU6=100%,1,1+VLOOKUP(($AJ6-$AI6-$AH6-$AG6-$AF6-$AE6*(1+BP$3))/$AJ6,'Технический лист'!$A:$B,2,1)-VLOOKUP($AO6,'Технический лист'!$A:$B,2,1)),1+(1-$AU6))</f>
        <v>1.0150000000000001</v>
      </c>
      <c r="BQ6" s="15">
        <f>MIN(IF($AU6=100%,1,1+VLOOKUP(($AJ6-$AI6-$AH6-$AG6-$AF6-$AE6*(1+BQ$3))/$AJ6,'Технический лист'!$A:$B,2,1)-VLOOKUP($AO6,'Технический лист'!$A:$B,2,1)),1+(1-$AU6))</f>
        <v>1.0150000000000001</v>
      </c>
      <c r="BR6" s="15">
        <f>MIN(IF($AU6=100%,1,1+VLOOKUP(($AJ6-$AI6-$AH6-$AG6-$AF6-$AE6*(1+BR$3))/$AJ6,'Технический лист'!$A:$B,2,1)-VLOOKUP($AO6,'Технический лист'!$A:$B,2,1)),1+(1-$AU6))</f>
        <v>1.0150000000000001</v>
      </c>
      <c r="BS6" s="15">
        <f>MIN(IF($AU6=100%,1,1+VLOOKUP(($AJ6-$AI6-$AH6-$AG6-$AF6-$AE6*(1+BS$3))/$AJ6,'Технический лист'!$A:$B,2,1)-VLOOKUP($AO6,'Технический лист'!$A:$B,2,1)),1+(1-$AU6))</f>
        <v>1.0150000000000001</v>
      </c>
      <c r="BT6" s="15">
        <f>MIN(IF($AU6=100%,1,1+VLOOKUP(($AJ6-$AI6-$AH6-$AG6-$AF6-$AE6*(1+BT$3))/$AJ6,'Технический лист'!$A:$B,2,1)-VLOOKUP($AO6,'Технический лист'!$A:$B,2,1)),1+(1-$AU6))</f>
        <v>1.0150000000000001</v>
      </c>
      <c r="BU6" s="15">
        <f>MIN(IF($AU6=100%,1,1+VLOOKUP(($AJ6-$AI6-$AH6-$AG6-$AF6-$AE6*(1+BU$3))/$AJ6,'Технический лист'!$A:$B,2,1)-VLOOKUP($AO6,'Технический лист'!$A:$B,2,1)),1+(1-$AU6))</f>
        <v>1.0150000000000001</v>
      </c>
      <c r="BV6" s="15">
        <f>MIN(IF($AU6=100%,1,1+VLOOKUP(($AJ6-$AI6-$AH6-$AG6-$AF6-$AE6*(1+BV$3))/$AJ6,'Технический лист'!$A:$B,2,1)-VLOOKUP($AO6,'Технический лист'!$A:$B,2,1)),1+(1-$AU6))</f>
        <v>1.0150000000000001</v>
      </c>
      <c r="BW6" s="15">
        <f>MIN(IF($AU6=100%,1,1+VLOOKUP(($AJ6-$AI6-$AH6-$AG6-$AF6-$AE6*(1+BW$3))/$AJ6,'Технический лист'!$A:$B,2,1)-VLOOKUP($AO6,'Технический лист'!$A:$B,2,1)),1+(1-$AU6))</f>
        <v>1.0150000000000001</v>
      </c>
      <c r="BX6" s="15">
        <f>MIN(IF($AU6=100%,1,1+VLOOKUP(($AJ6-$AI6-$AH6-$AG6-$AF6-$AE6*(1+BX$3))/$AJ6,'Технический лист'!$A:$B,2,1)-VLOOKUP($AO6,'Технический лист'!$A:$B,2,1)),1+(1-$AU6))</f>
        <v>1.0150000000000001</v>
      </c>
      <c r="BY6" s="15">
        <f>MIN(IF($AU6=100%,1,1+VLOOKUP(($AJ6-$AI6-$AH6-$AG6-$AF6-$AE6*(1+BY$3))/$AJ6,'Технический лист'!$A:$B,2,1)-VLOOKUP($AO6,'Технический лист'!$A:$B,2,1)),1+(1-$AU6))</f>
        <v>1.0150000000000001</v>
      </c>
      <c r="BZ6" s="15">
        <f>MIN(IF($AU6=100%,1,1+VLOOKUP(($AJ6-$AI6-$AH6-$AG6-$AF6-$AE6*(1+BZ$3))/$AJ6,'Технический лист'!$A:$B,2,1)-VLOOKUP($AO6,'Технический лист'!$A:$B,2,1)),1+(1-$AU6))</f>
        <v>1.0150000000000001</v>
      </c>
      <c r="CA6" s="15">
        <f>MIN(IF($AU6=100%,1,1+VLOOKUP(($AJ6-$AI6-$AH6-$AG6-$AF6-$AE6*(1+CA$3))/$AJ6,'Технический лист'!$A:$B,2,1)-VLOOKUP($AO6,'Технический лист'!$A:$B,2,1)),1+(1-$AU6))</f>
        <v>1.0150000000000001</v>
      </c>
      <c r="CB6" s="15">
        <f>MIN(IF($AU6=100%,1,1+VLOOKUP(($AJ6-$AI6-$AH6-$AG6-$AF6-$AE6*(1+CB$3))/$AJ6,'Технический лист'!$A:$B,2,1)-VLOOKUP($AO6,'Технический лист'!$A:$B,2,1)),1+(1-$AU6))</f>
        <v>1.0150000000000001</v>
      </c>
      <c r="CC6" s="15">
        <f>MIN(IF($AU6=100%,1,1+VLOOKUP(($AJ6-$AI6-$AH6-$AG6-$AF6-$AE6*(1+CC$3))/$AJ6,'Технический лист'!$A:$B,2,1)-VLOOKUP($AO6,'Технический лист'!$A:$B,2,1)),1+(1-$AU6))</f>
        <v>1.0150000000000001</v>
      </c>
      <c r="CD6" s="15">
        <f>MIN(IF($AU6=100%,1,1+VLOOKUP(($AJ6-$AI6-$AH6-$AG6-$AF6-$AE6*(1+CD$3))/$AJ6,'Технический лист'!$A:$B,2,1)-VLOOKUP($AO6,'Технический лист'!$A:$B,2,1)),1+(1-$AU6))</f>
        <v>1.0150000000000001</v>
      </c>
      <c r="CE6" s="15">
        <f>MIN(IF($AU6=100%,1,1+VLOOKUP(($AJ6-$AI6-$AH6-$AG6-$AF6-$AE6*(1+CE$3))/$AJ6,'Технический лист'!$A:$B,2,1)-VLOOKUP($AO6,'Технический лист'!$A:$B,2,1)),1+(1-$AU6))</f>
        <v>1.0150000000000001</v>
      </c>
      <c r="CF6" s="15">
        <f>MIN(IF($AU6=100%,1,1+VLOOKUP(($AJ6-$AI6-$AH6-$AG6-$AF6-$AE6*(1+CF$3))/$AJ6,'Технический лист'!$A:$B,2,1)-VLOOKUP($AO6,'Технический лист'!$A:$B,2,1)),1+(1-$AU6))</f>
        <v>1.0150000000000001</v>
      </c>
      <c r="CG6" s="15">
        <f>MIN(IF($AU6=100%,1,1+VLOOKUP(($AJ6-$AI6-$AH6-$AG6-$AF6-$AE6*(1+CG$3))/$AJ6,'Технический лист'!$A:$B,2,1)-VLOOKUP($AO6,'Технический лист'!$A:$B,2,1)),1+(1-$AU6))</f>
        <v>1.0150000000000001</v>
      </c>
      <c r="CH6" s="15">
        <f>MIN(IF($AU6=100%,1,1+VLOOKUP(($AJ6-$AI6-$AH6-$AG6-$AF6-$AE6*(1+CH$3))/$AJ6,'Технический лист'!$A:$B,2,1)-VLOOKUP($AO6,'Технический лист'!$A:$B,2,1)),1+(1-$AU6))</f>
        <v>1.0150000000000001</v>
      </c>
      <c r="CI6" s="15">
        <f>MIN(IF($AU6=100%,1,1+VLOOKUP(($AJ6-$AI6-$AH6-$AG6-$AF6-$AE6*(1+CI$3))/$AJ6,'Технический лист'!$A:$B,2,1)-VLOOKUP($AO6,'Технический лист'!$A:$B,2,1)),1+(1-$AU6))</f>
        <v>1.0150000000000001</v>
      </c>
      <c r="CJ6" s="15">
        <f>MIN(IF($AU6=100%,1,1+VLOOKUP(($AJ6-$AI6-$AH6-$AG6-$AF6-$AE6*(1+CJ$3))/$AJ6,'Технический лист'!$A:$B,2,1)-VLOOKUP($AO6,'Технический лист'!$A:$B,2,1)),1+(1-$AU6))</f>
        <v>1.0150000000000001</v>
      </c>
      <c r="CK6" s="15">
        <f>MIN(IF($AU6=100%,1,1+VLOOKUP(($AJ6-$AI6-$AH6-$AG6-$AF6-$AE6*(1+CK$3))/$AJ6,'Технический лист'!$A:$B,2,1)-VLOOKUP($AO6,'Технический лист'!$A:$B,2,1)),1+(1-$AU6))</f>
        <v>1.0150000000000001</v>
      </c>
      <c r="CL6" s="15">
        <f>MIN(IF($AU6=100%,1,1+VLOOKUP(($AJ6-$AI6-$AH6-$AG6-$AF6-$AE6*(1+CL$3))/$AJ6,'Технический лист'!$A:$B,2,1)-VLOOKUP($AO6,'Технический лист'!$A:$B,2,1)),1+(1-$AU6))</f>
        <v>1.0150000000000001</v>
      </c>
      <c r="CM6" s="15">
        <f>MIN(IF($AU6=100%,1,1+VLOOKUP(($AJ6-$AI6-$AH6-$AG6-$AF6-$AE6*(1+CM$3))/$AJ6,'Технический лист'!$A:$B,2,1)-VLOOKUP($AO6,'Технический лист'!$A:$B,2,1)),1+(1-$AU6))</f>
        <v>1.0150000000000001</v>
      </c>
      <c r="CN6" s="15">
        <f>MIN(IF($AU6=100%,1,1+VLOOKUP(($AJ6-$AI6-$AH6-$AG6-$AF6-$AE6*(1+CN$3))/$AJ6,'Технический лист'!$A:$B,2,1)-VLOOKUP($AO6,'Технический лист'!$A:$B,2,1)),1+(1-$AU6))</f>
        <v>1.0150000000000001</v>
      </c>
      <c r="CO6" s="15">
        <f>MIN(IF($AU6=100%,1,1+VLOOKUP(($AJ6-$AI6-$AH6-$AG6-$AF6-$AE6*(1+CO$3))/$AJ6,'Технический лист'!$A:$B,2,1)-VLOOKUP($AO6,'Технический лист'!$A:$B,2,1)),1+(1-$AU6))</f>
        <v>1.0150000000000001</v>
      </c>
      <c r="CP6" s="15">
        <f>MIN(IF($AU6=100%,1,1+VLOOKUP(($AJ6-$AI6-$AH6-$AG6-$AF6-$AE6*(1+CP$3))/$AJ6,'Технический лист'!$A:$B,2,1)-VLOOKUP($AO6,'Технический лист'!$A:$B,2,1)),1+(1-$AU6))</f>
        <v>1.0150000000000001</v>
      </c>
      <c r="CQ6" s="15">
        <f>MIN(IF($AU6=100%,1,1+VLOOKUP(($AJ6-$AI6-$AH6-$AG6-$AF6-$AE6*(1+CQ$3))/$AJ6,'Технический лист'!$A:$B,2,1)-VLOOKUP($AO6,'Технический лист'!$A:$B,2,1)),1+(1-$AU6))</f>
        <v>1.0150000000000001</v>
      </c>
      <c r="CR6" s="15">
        <f>MIN(IF($AU6=100%,1,1+VLOOKUP(($AJ6-$AI6-$AH6-$AG6-$AF6-$AE6*(1+CR$3))/$AJ6,'Технический лист'!$A:$B,2,1)-VLOOKUP($AO6,'Технический лист'!$A:$B,2,1)),1+(1-$AU6))</f>
        <v>1.0150000000000001</v>
      </c>
      <c r="CS6" s="15">
        <f>MIN(IF($AU6=100%,1,1+VLOOKUP(($AJ6-$AI6-$AH6-$AG6-$AF6-$AE6*(1+CS$3))/$AJ6,'Технический лист'!$A:$B,2,1)-VLOOKUP($AO6,'Технический лист'!$A:$B,2,1)),1+(1-$AU6))</f>
        <v>1.0150000000000001</v>
      </c>
      <c r="CT6" s="15">
        <f>MIN(IF($AU6=100%,1,1+VLOOKUP(($AJ6-$AI6-$AH6-$AG6-$AF6-$AE6*(1+CT$3))/$AJ6,'Технический лист'!$A:$B,2,1)-VLOOKUP($AO6,'Технический лист'!$A:$B,2,1)),1+(1-$AU6))</f>
        <v>1.0150000000000001</v>
      </c>
      <c r="CU6" s="15">
        <f>MIN(IF($AU6=100%,1,1+VLOOKUP(($AJ6-$AI6-$AH6-$AG6-$AF6-$AE6*(1+CU$3))/$AJ6,'Технический лист'!$A:$B,2,1)-VLOOKUP($AO6,'Технический лист'!$A:$B,2,1)),1+(1-$AU6))</f>
        <v>1.0150000000000001</v>
      </c>
      <c r="CV6" s="15">
        <f>MIN(IF($AU6=100%,1,1+VLOOKUP(($AJ6-$AI6-$AH6-$AG6-$AF6-$AE6*(1+CV$3))/$AJ6,'Технический лист'!$A:$B,2,1)-VLOOKUP($AO6,'Технический лист'!$A:$B,2,1)),1+(1-$AU6))</f>
        <v>1.0150000000000001</v>
      </c>
      <c r="CW6" s="15">
        <f>MIN(IF($AU6=100%,1,1+VLOOKUP(($AJ6-$AI6-$AH6-$AG6-$AF6-$AE6*(1+CW$3))/$AJ6,'Технический лист'!$A:$B,2,1)-VLOOKUP($AO6,'Технический лист'!$A:$B,2,1)),1+(1-$AU6))</f>
        <v>1.0150000000000001</v>
      </c>
      <c r="CX6" s="15">
        <f>MIN(IF($AU6=100%,1,1+VLOOKUP(($AJ6-$AI6-$AH6-$AG6-$AF6-$AE6*(1+CX$3))/$AJ6,'Технический лист'!$A:$B,2,1)-VLOOKUP($AO6,'Технический лист'!$A:$B,2,1)),1+(1-$AU6))</f>
        <v>1.0150000000000001</v>
      </c>
      <c r="CY6" s="15">
        <f>MIN(IF($AU6=100%,1,1+VLOOKUP(($AJ6-$AI6-$AH6-$AG6-$AF6-$AE6*(1+CY$3))/$AJ6,'Технический лист'!$A:$B,2,1)-VLOOKUP($AO6,'Технический лист'!$A:$B,2,1)),1+(1-$AU6))</f>
        <v>1.0150000000000001</v>
      </c>
      <c r="CZ6" s="15">
        <f>MIN(IF($AU6=100%,1,1+VLOOKUP(($AJ6-$AI6-$AH6-$AG6-$AF6-$AE6*(1+CZ$3))/$AJ6,'Технический лист'!$A:$B,2,1)-VLOOKUP($AO6,'Технический лист'!$A:$B,2,1)),1+(1-$AU6))</f>
        <v>1.0150000000000001</v>
      </c>
      <c r="DA6" s="15">
        <f>MIN(IF($AU6=100%,1,1+VLOOKUP(($AJ6-$AI6-$AH6-$AG6-$AF6-$AE6*(1+DA$3))/$AJ6,'Технический лист'!$A:$B,2,1)-VLOOKUP($AO6,'Технический лист'!$A:$B,2,1)),1+(1-$AU6))</f>
        <v>1.0150000000000001</v>
      </c>
      <c r="DB6" s="15">
        <f>MIN(IF($AU6=100%,1,1+VLOOKUP(($AJ6-$AI6-$AH6-$AG6-$AF6-$AE6*(1+DB$3))/$AJ6,'Технический лист'!$A:$B,2,1)-VLOOKUP($AO6,'Технический лист'!$A:$B,2,1)),1+(1-$AU6))</f>
        <v>1.0150000000000001</v>
      </c>
      <c r="DC6" s="15">
        <f>MIN(IF($AU6=100%,1,1+VLOOKUP(($AJ6-$AI6-$AH6-$AG6-$AF6-$AE6*(1+DC$3))/$AJ6,'Технический лист'!$A:$B,2,1)-VLOOKUP($AO6,'Технический лист'!$A:$B,2,1)),1+(1-$AU6))</f>
        <v>1.0150000000000001</v>
      </c>
      <c r="DD6" s="15">
        <f>MIN(IF($AU6=100%,1,1+VLOOKUP(($AJ6-$AI6-$AH6-$AG6-$AF6-$AE6*(1+DD$3))/$AJ6,'Технический лист'!$A:$B,2,1)-VLOOKUP($AO6,'Технический лист'!$A:$B,2,1)),1+(1-$AU6))</f>
        <v>1.0150000000000001</v>
      </c>
      <c r="DE6" s="15">
        <f>MIN(IF($AU6=100%,1,1+VLOOKUP(($AJ6-$AI6-$AH6-$AG6-$AF6-$AE6*(1+DE$3))/$AJ6,'Технический лист'!$A:$B,2,1)-VLOOKUP($AO6,'Технический лист'!$A:$B,2,1)),1+(1-$AU6))</f>
        <v>1.0150000000000001</v>
      </c>
      <c r="DF6" s="15">
        <f>MIN(IF($AU6=100%,1,1+VLOOKUP(($AJ6-$AI6-$AH6-$AG6-$AF6-$AE6*(1+DF$3))/$AJ6,'Технический лист'!$A:$B,2,1)-VLOOKUP($AO6,'Технический лист'!$A:$B,2,1)),1+(1-$AU6))</f>
        <v>1.0150000000000001</v>
      </c>
      <c r="DG6" s="15">
        <f>MIN(IF($AU6=100%,1,1+VLOOKUP(($AJ6-$AI6-$AH6-$AG6-$AF6-$AE6*(1+DG$3))/$AJ6,'Технический лист'!$A:$B,2,1)-VLOOKUP($AO6,'Технический лист'!$A:$B,2,1)),1+(1-$AU6))</f>
        <v>1.0150000000000001</v>
      </c>
      <c r="DH6" s="15">
        <f>MIN(IF($AU6=100%,1,1+VLOOKUP(($AJ6-$AI6-$AH6-$AG6-$AF6-$AE6*(1+DH$3))/$AJ6,'Технический лист'!$A:$B,2,1)-VLOOKUP($AO6,'Технический лист'!$A:$B,2,1)),1+(1-$AU6))</f>
        <v>1.0150000000000001</v>
      </c>
      <c r="DI6" s="15">
        <f>MIN(IF($AU6=100%,1,1+VLOOKUP(($AJ6-$AI6-$AH6-$AG6-$AF6-$AE6*(1+DI$3))/$AJ6,'Технический лист'!$A:$B,2,1)-VLOOKUP($AO6,'Технический лист'!$A:$B,2,1)),1+(1-$AU6))</f>
        <v>1.0150000000000001</v>
      </c>
      <c r="DJ6" s="15">
        <f>MIN(IF($AU6=100%,1,1+VLOOKUP(($AJ6-$AI6-$AH6-$AG6-$AF6-$AE6*(1+DJ$3))/$AJ6,'Технический лист'!$A:$B,2,1)-VLOOKUP($AO6,'Технический лист'!$A:$B,2,1)),1+(1-$AU6))</f>
        <v>1.0150000000000001</v>
      </c>
      <c r="DK6" s="15">
        <f>MIN(IF($AU6=100%,1,1+VLOOKUP(($AJ6-$AI6-$AH6-$AG6-$AF6-$AE6*(1+DK$3))/$AJ6,'Технический лист'!$A:$B,2,1)-VLOOKUP($AO6,'Технический лист'!$A:$B,2,1)),1+(1-$AU6))</f>
        <v>1.0150000000000001</v>
      </c>
      <c r="DL6" s="15">
        <f>MIN(IF($AU6=100%,1,1+VLOOKUP(($AJ6-$AI6-$AH6-$AG6-$AF6-$AE6*(1+DL$3))/$AJ6,'Технический лист'!$A:$B,2,1)-VLOOKUP($AO6,'Технический лист'!$A:$B,2,1)),1+(1-$AU6))</f>
        <v>1.0150000000000001</v>
      </c>
      <c r="DM6" s="15">
        <f>MIN(IF($AU6=100%,1,1+VLOOKUP(($AJ6-$AI6-$AH6-$AG6-$AF6-$AE6*(1+DM$3))/$AJ6,'Технический лист'!$A:$B,2,1)-VLOOKUP($AO6,'Технический лист'!$A:$B,2,1)),1+(1-$AU6))</f>
        <v>1.0150000000000001</v>
      </c>
      <c r="DN6" s="15">
        <f>MIN(IF($AU6=100%,1,1+VLOOKUP(($AJ6-$AI6-$AH6-$AG6-$AF6-$AE6*(1+DN$3))/$AJ6,'Технический лист'!$A:$B,2,1)-VLOOKUP($AO6,'Технический лист'!$A:$B,2,1)),1+(1-$AU6))</f>
        <v>1.0150000000000001</v>
      </c>
      <c r="DO6" s="15">
        <f>MIN(IF($AU6=100%,1,1+VLOOKUP(($AJ6-$AI6-$AH6-$AG6-$AF6-$AE6*(1+DO$3))/$AJ6,'Технический лист'!$A:$B,2,1)-VLOOKUP($AO6,'Технический лист'!$A:$B,2,1)),1+(1-$AU6))</f>
        <v>1.0100000000000002</v>
      </c>
      <c r="DP6" s="15">
        <f>MIN(IF($AU6=100%,1,1+VLOOKUP(($AJ6-$AI6-$AH6-$AG6-$AF6-$AE6*(1+DP$3))/$AJ6,'Технический лист'!$A:$B,2,1)-VLOOKUP($AO6,'Технический лист'!$A:$B,2,1)),1+(1-$AU6))</f>
        <v>1.0100000000000002</v>
      </c>
      <c r="DQ6" s="15">
        <f>MIN(IF($AU6=100%,1,1+VLOOKUP(($AJ6-$AI6-$AH6-$AG6-$AF6-$AE6*(1+DQ$3))/$AJ6,'Технический лист'!$A:$B,2,1)-VLOOKUP($AO6,'Технический лист'!$A:$B,2,1)),1+(1-$AU6))</f>
        <v>1.0100000000000002</v>
      </c>
      <c r="DR6" s="15">
        <f>MIN(IF($AU6=100%,1,1+VLOOKUP(($AJ6-$AI6-$AH6-$AG6-$AF6-$AE6*(1+DR$3))/$AJ6,'Технический лист'!$A:$B,2,1)-VLOOKUP($AO6,'Технический лист'!$A:$B,2,1)),1+(1-$AU6))</f>
        <v>1.0100000000000002</v>
      </c>
      <c r="DS6" s="15">
        <f>MIN(IF($AU6=100%,1,1+VLOOKUP(($AJ6-$AI6-$AH6-$AG6-$AF6-$AE6*(1+DS$3))/$AJ6,'Технический лист'!$A:$B,2,1)-VLOOKUP($AO6,'Технический лист'!$A:$B,2,1)),1+(1-$AU6))</f>
        <v>1.0100000000000002</v>
      </c>
      <c r="DT6" s="15">
        <f>MIN(IF($AU6=100%,1,1+VLOOKUP(($AJ6-$AI6-$AH6-$AG6-$AF6-$AE6*(1+DT$3))/$AJ6,'Технический лист'!$A:$B,2,1)-VLOOKUP($AO6,'Технический лист'!$A:$B,2,1)),1+(1-$AU6))</f>
        <v>1.0100000000000002</v>
      </c>
      <c r="DU6" s="15">
        <f>MIN(IF($AU6=100%,1,1+VLOOKUP(($AJ6-$AI6-$AH6-$AG6-$AF6-$AE6*(1+DU$3))/$AJ6,'Технический лист'!$A:$B,2,1)-VLOOKUP($AO6,'Технический лист'!$A:$B,2,1)),1+(1-$AU6))</f>
        <v>1.0100000000000002</v>
      </c>
      <c r="DV6" s="15">
        <f>MIN(IF($AU6=100%,1,1+VLOOKUP(($AJ6-$AI6-$AH6-$AG6-$AF6-$AE6*(1+DV$3))/$AJ6,'Технический лист'!$A:$B,2,1)-VLOOKUP($AO6,'Технический лист'!$A:$B,2,1)),1+(1-$AU6))</f>
        <v>1.0100000000000002</v>
      </c>
      <c r="DW6" s="15">
        <f>MIN(IF($AU6=100%,1,1+VLOOKUP(($AJ6-$AI6-$AH6-$AG6-$AF6-$AE6*(1+DW$3))/$AJ6,'Технический лист'!$A:$B,2,1)-VLOOKUP($AO6,'Технический лист'!$A:$B,2,1)),1+(1-$AU6))</f>
        <v>1.0100000000000002</v>
      </c>
      <c r="DX6" s="15">
        <f>MIN(IF($AU6=100%,1,1+VLOOKUP(($AJ6-$AI6-$AH6-$AG6-$AF6-$AE6*(1+DX$3))/$AJ6,'Технический лист'!$A:$B,2,1)-VLOOKUP($AO6,'Технический лист'!$A:$B,2,1)),1+(1-$AU6))</f>
        <v>1.0100000000000002</v>
      </c>
      <c r="DY6" s="15">
        <f>MIN(IF($AU6=100%,1,1+VLOOKUP(($AJ6-$AI6-$AH6-$AG6-$AF6-$AE6*(1+DY$3))/$AJ6,'Технический лист'!$A:$B,2,1)-VLOOKUP($AO6,'Технический лист'!$A:$B,2,1)),1+(1-$AU6))</f>
        <v>1.0100000000000002</v>
      </c>
      <c r="DZ6" s="15">
        <f>MIN(IF($AU6=100%,1,1+VLOOKUP(($AJ6-$AI6-$AH6-$AG6-$AF6-$AE6*(1+DZ$3))/$AJ6,'Технический лист'!$A:$B,2,1)-VLOOKUP($AO6,'Технический лист'!$A:$B,2,1)),1+(1-$AU6))</f>
        <v>1.0049999999999999</v>
      </c>
      <c r="EA6" s="15">
        <f>MIN(IF($AU6=100%,1,1+VLOOKUP(($AJ6-$AI6-$AH6-$AG6-$AF6-$AE6*(1+EA$3))/$AJ6,'Технический лист'!$A:$B,2,1)-VLOOKUP($AO6,'Технический лист'!$A:$B,2,1)),1+(1-$AU6))</f>
        <v>1.0049999999999999</v>
      </c>
      <c r="EB6" s="15">
        <f>MIN(IF($AU6=100%,1,1+VLOOKUP(($AJ6-$AI6-$AH6-$AG6-$AF6-$AE6*(1+EB$3))/$AJ6,'Технический лист'!$A:$B,2,1)-VLOOKUP($AO6,'Технический лист'!$A:$B,2,1)),1+(1-$AU6))</f>
        <v>1.0049999999999999</v>
      </c>
      <c r="EC6" s="15">
        <f>MIN(IF($AU6=100%,1,1+VLOOKUP(($AJ6-$AI6-$AH6-$AG6-$AF6-$AE6*(1+EC$3))/$AJ6,'Технический лист'!$A:$B,2,1)-VLOOKUP($AO6,'Технический лист'!$A:$B,2,1)),1+(1-$AU6))</f>
        <v>1.0049999999999999</v>
      </c>
      <c r="ED6" s="15">
        <f>MIN(IF($AU6=100%,1,1+VLOOKUP(($AJ6-$AI6-$AH6-$AG6-$AF6-$AE6*(1+ED$3))/$AJ6,'Технический лист'!$A:$B,2,1)-VLOOKUP($AO6,'Технический лист'!$A:$B,2,1)),1+(1-$AU6))</f>
        <v>1.0049999999999999</v>
      </c>
      <c r="EE6" s="15">
        <f>MIN(IF($AU6=100%,1,1+VLOOKUP(($AJ6-$AI6-$AH6-$AG6-$AF6-$AE6*(1+EE$3))/$AJ6,'Технический лист'!$A:$B,2,1)-VLOOKUP($AO6,'Технический лист'!$A:$B,2,1)),1+(1-$AU6))</f>
        <v>1.0049999999999999</v>
      </c>
      <c r="EF6" s="15">
        <f>MIN(IF($AU6=100%,1,1+VLOOKUP(($AJ6-$AI6-$AH6-$AG6-$AF6-$AE6*(1+EF$3))/$AJ6,'Технический лист'!$A:$B,2,1)-VLOOKUP($AO6,'Технический лист'!$A:$B,2,1)),1+(1-$AU6))</f>
        <v>1.0049999999999999</v>
      </c>
      <c r="EG6" s="15">
        <f>MIN(IF($AU6=100%,1,1+VLOOKUP(($AJ6-$AI6-$AH6-$AG6-$AF6-$AE6*(1+EG$3))/$AJ6,'Технический лист'!$A:$B,2,1)-VLOOKUP($AO6,'Технический лист'!$A:$B,2,1)),1+(1-$AU6))</f>
        <v>1.0049999999999999</v>
      </c>
      <c r="EH6" s="15">
        <f>MIN(IF($AU6=100%,1,1+VLOOKUP(($AJ6-$AI6-$AH6-$AG6-$AF6-$AE6*(1+EH$3))/$AJ6,'Технический лист'!$A:$B,2,1)-VLOOKUP($AO6,'Технический лист'!$A:$B,2,1)),1+(1-$AU6))</f>
        <v>1.0049999999999999</v>
      </c>
      <c r="EI6" s="15">
        <f>MIN(IF($AU6=100%,1,1+VLOOKUP(($AJ6-$AI6-$AH6-$AG6-$AF6-$AE6*(1+EI$3))/$AJ6,'Технический лист'!$A:$B,2,1)-VLOOKUP($AO6,'Технический лист'!$A:$B,2,1)),1+(1-$AU6))</f>
        <v>1.0049999999999999</v>
      </c>
      <c r="EJ6" s="15">
        <f>MIN(IF($AU6=100%,1,1+VLOOKUP(($AJ6-$AI6-$AH6-$AG6-$AF6-$AE6*(1+EJ$3))/$AJ6,'Технический лист'!$A:$B,2,1)-VLOOKUP($AO6,'Технический лист'!$A:$B,2,1)),1+(1-$AU6))</f>
        <v>1.0049999999999999</v>
      </c>
      <c r="EK6" s="15">
        <f>MIN(IF($AU6=100%,1,1+VLOOKUP(($AJ6-$AI6-$AH6-$AG6-$AF6-$AE6*(1+EK$3))/$AJ6,'Технический лист'!$A:$B,2,1)-VLOOKUP($AO6,'Технический лист'!$A:$B,2,1)),1+(1-$AU6))</f>
        <v>0.99999999999999989</v>
      </c>
      <c r="EL6" s="15">
        <f>MIN(IF($AU6=100%,1,1+VLOOKUP(($AJ6-$AI6-$AH6-$AG6-$AF6-$AE6*(1+EL$3))/$AJ6,'Технический лист'!$A:$B,2,1)-VLOOKUP($AO6,'Технический лист'!$A:$B,2,1)),1+(1-$AU6))</f>
        <v>0.99999999999999989</v>
      </c>
      <c r="EM6" s="15">
        <f>MIN(IF($AU6=100%,1,1+VLOOKUP(($AJ6-$AI6-$AH6-$AG6-$AF6-$AE6*(1+EM$3))/$AJ6,'Технический лист'!$A:$B,2,1)-VLOOKUP($AO6,'Технический лист'!$A:$B,2,1)),1+(1-$AU6))</f>
        <v>0.99999999999999989</v>
      </c>
      <c r="EN6" s="15">
        <f>MIN(IF($AU6=100%,1,1+VLOOKUP(($AJ6-$AI6-$AH6-$AG6-$AF6-$AE6*(1+EN$3))/$AJ6,'Технический лист'!$A:$B,2,1)-VLOOKUP($AO6,'Технический лист'!$A:$B,2,1)),1+(1-$AU6))</f>
        <v>0.99999999999999989</v>
      </c>
      <c r="EO6" s="15">
        <f>MIN(IF($AU6=100%,1,1+VLOOKUP(($AJ6-$AI6-$AH6-$AG6-$AF6-$AE6*(1+EO$3))/$AJ6,'Технический лист'!$A:$B,2,1)-VLOOKUP($AO6,'Технический лист'!$A:$B,2,1)),1+(1-$AU6))</f>
        <v>0.99999999999999989</v>
      </c>
      <c r="EP6" s="15">
        <f>MIN(IF($AU6=100%,1,1+VLOOKUP(($AJ6-$AI6-$AH6-$AG6-$AF6-$AE6*(1+EP$3))/$AJ6,'Технический лист'!$A:$B,2,1)-VLOOKUP($AO6,'Технический лист'!$A:$B,2,1)),1+(1-$AU6))</f>
        <v>0.99999999999999989</v>
      </c>
      <c r="EQ6" s="15">
        <f>MIN(IF($AU6=100%,1,1+VLOOKUP(($AJ6-$AI6-$AH6-$AG6-$AF6-$AE6*(1+EQ$3))/$AJ6,'Технический лист'!$A:$B,2,1)-VLOOKUP($AO6,'Технический лист'!$A:$B,2,1)),1+(1-$AU6))</f>
        <v>0.99999999999999989</v>
      </c>
      <c r="ER6" s="15">
        <f>MIN(IF($AU6=100%,1,1+VLOOKUP(($AJ6-$AI6-$AH6-$AG6-$AF6-$AE6*(1+ER$3))/$AJ6,'Технический лист'!$A:$B,2,1)-VLOOKUP($AO6,'Технический лист'!$A:$B,2,1)),1+(1-$AU6))</f>
        <v>0.99999999999999989</v>
      </c>
      <c r="ES6" s="15">
        <f>MIN(IF($AU6=100%,1,1+VLOOKUP(($AJ6-$AI6-$AH6-$AG6-$AF6-$AE6*(1+ES$3))/$AJ6,'Технический лист'!$A:$B,2,1)-VLOOKUP($AO6,'Технический лист'!$A:$B,2,1)),1+(1-$AU6))</f>
        <v>0.99999999999999989</v>
      </c>
      <c r="ET6" s="15">
        <f>MIN(IF($AU6=100%,1,1+VLOOKUP(($AJ6-$AI6-$AH6-$AG6-$AF6-$AE6*(1+ET$3))/$AJ6,'Технический лист'!$A:$B,2,1)-VLOOKUP($AO6,'Технический лист'!$A:$B,2,1)),1+(1-$AU6))</f>
        <v>0.99999999999999989</v>
      </c>
      <c r="EU6" s="15">
        <f>MIN(IF($AU6=100%,1,1+VLOOKUP(($AJ6-$AI6-$AH6-$AG6-$AF6-$AE6*(1+EU$3))/$AJ6,'Технический лист'!$A:$B,2,1)-VLOOKUP($AO6,'Технический лист'!$A:$B,2,1)),1+(1-$AU6))</f>
        <v>0.99999999999999989</v>
      </c>
      <c r="EV6" s="111">
        <v>1</v>
      </c>
      <c r="EW6" s="15">
        <f>MIN(1,MAX(VLOOKUP(($AJ6-$AI6-$AH6-$AG6-$AF6-$AE6*(1+EW$3))/$AJ6,'Технический лист'!$A:$B,2,1),(EV6-0.05)))</f>
        <v>0.98</v>
      </c>
      <c r="EX6" s="15">
        <f>MIN(1,MAX(VLOOKUP(($AJ6-$AI6-$AH6-$AG6-$AF6-$AE6*(1+EX$3))/$AJ6,'Технический лист'!$A:$B,2,1),(EW6-0.05)))</f>
        <v>0.98</v>
      </c>
      <c r="EY6" s="15">
        <f>MIN(1,MAX(VLOOKUP(($AJ6-$AI6-$AH6-$AG6-$AF6-$AE6*(1+EY$3))/$AJ6,'Технический лист'!$A:$B,2,1),(EX6-0.05)))</f>
        <v>0.98</v>
      </c>
      <c r="EZ6" s="15">
        <f>MIN(1,MAX(VLOOKUP(($AJ6-$AI6-$AH6-$AG6-$AF6-$AE6*(1+EZ$3))/$AJ6,'Технический лист'!$A:$B,2,1),(EY6-0.05)))</f>
        <v>0.98</v>
      </c>
      <c r="FA6" s="15">
        <f>MIN(1,MAX(VLOOKUP(($AJ6-$AI6-$AH6-$AG6-$AF6-$AE6*(1+FA$3))/$AJ6,'Технический лист'!$A:$B,2,1),(EZ6-0.05)))</f>
        <v>0.98</v>
      </c>
      <c r="FB6" s="15">
        <f>MIN(1,MAX(VLOOKUP(($AJ6-$AI6-$AH6-$AG6-$AF6-$AE6*(1+FB$3))/$AJ6,'Технический лист'!$A:$B,2,1),(FA6-0.05)))</f>
        <v>0.98</v>
      </c>
      <c r="FC6" s="15">
        <f>MIN(1,MAX(VLOOKUP(($AJ6-$AI6-$AH6-$AG6-$AF6-$AE6*(1+FC$3))/$AJ6,'Технический лист'!$A:$B,2,1),(FB6-0.05)))</f>
        <v>0.98</v>
      </c>
      <c r="FD6" s="15">
        <f>MIN(1,MAX(VLOOKUP(($AJ6-$AI6-$AH6-$AG6-$AF6-$AE6*(1+FD$3))/$AJ6,'Технический лист'!$A:$B,2,1),(FC6-0.05)))</f>
        <v>0.98</v>
      </c>
      <c r="FE6" s="15">
        <f>MIN(1,MAX(VLOOKUP(($AJ6-$AI6-$AH6-$AG6-$AF6-$AE6*(1+FE$3))/$AJ6,'Технический лист'!$A:$B,2,1),(FD6-0.05)))</f>
        <v>0.98</v>
      </c>
      <c r="FF6" s="15">
        <f>MIN(1,MAX(VLOOKUP(($AJ6-$AI6-$AH6-$AG6-$AF6-$AE6*(1+FF$3))/$AJ6,'Технический лист'!$A:$B,2,1),(FE6-0.05)))</f>
        <v>0.98</v>
      </c>
      <c r="FG6" s="15">
        <f>MIN(1,MAX(VLOOKUP(($AJ6-$AI6-$AH6-$AG6-$AF6-$AE6*(1+FG$3))/$AJ6,'Технический лист'!$A:$B,2,1),(FF6-0.05)))</f>
        <v>0.98</v>
      </c>
      <c r="FH6" s="15">
        <f>MIN(1,MAX(VLOOKUP(($AJ6-$AI6-$AH6-$AG6-$AF6-$AE6*(1+FH$3))/$AJ6,'Технический лист'!$A:$B,2,1),(FG6-0.05)))</f>
        <v>0.97499999999999998</v>
      </c>
      <c r="FI6" s="15">
        <f>MIN(1,MAX(VLOOKUP(($AJ6-$AI6-$AH6-$AG6-$AF6-$AE6*(1+FI$3))/$AJ6,'Технический лист'!$A:$B,2,1),(FH6-0.05)))</f>
        <v>0.97499999999999998</v>
      </c>
      <c r="FJ6" s="15">
        <f>MIN(1,MAX(VLOOKUP(($AJ6-$AI6-$AH6-$AG6-$AF6-$AE6*(1+FJ$3))/$AJ6,'Технический лист'!$A:$B,2,1),(FI6-0.05)))</f>
        <v>0.97499999999999998</v>
      </c>
      <c r="FK6" s="15">
        <f>MIN(1,MAX(VLOOKUP(($AJ6-$AI6-$AH6-$AG6-$AF6-$AE6*(1+FK$3))/$AJ6,'Технический лист'!$A:$B,2,1),(FJ6-0.05)))</f>
        <v>0.97499999999999998</v>
      </c>
      <c r="FL6" s="15">
        <f>MIN(1,MAX(VLOOKUP(($AJ6-$AI6-$AH6-$AG6-$AF6-$AE6*(1+FL$3))/$AJ6,'Технический лист'!$A:$B,2,1),(FK6-0.05)))</f>
        <v>0.97499999999999998</v>
      </c>
      <c r="FM6" s="15">
        <f>MIN(1,MAX(VLOOKUP(($AJ6-$AI6-$AH6-$AG6-$AF6-$AE6*(1+FM$3))/$AJ6,'Технический лист'!$A:$B,2,1),(FL6-0.05)))</f>
        <v>0.97499999999999998</v>
      </c>
      <c r="FN6" s="15">
        <f>MIN(1,MAX(VLOOKUP(($AJ6-$AI6-$AH6-$AG6-$AF6-$AE6*(1+FN$3))/$AJ6,'Технический лист'!$A:$B,2,1),(FM6-0.05)))</f>
        <v>0.97499999999999998</v>
      </c>
      <c r="FO6" s="15">
        <f>MIN(1,MAX(VLOOKUP(($AJ6-$AI6-$AH6-$AG6-$AF6-$AE6*(1+FO$3))/$AJ6,'Технический лист'!$A:$B,2,1),(FN6-0.05)))</f>
        <v>0.97499999999999998</v>
      </c>
      <c r="FP6" s="15">
        <f>MIN(1,MAX(VLOOKUP(($AJ6-$AI6-$AH6-$AG6-$AF6-$AE6*(1+FP$3))/$AJ6,'Технический лист'!$A:$B,2,1),(FO6-0.05)))</f>
        <v>0.97499999999999998</v>
      </c>
      <c r="FQ6" s="15">
        <f>MIN(1,MAX(VLOOKUP(($AJ6-$AI6-$AH6-$AG6-$AF6-$AE6*(1+FQ$3))/$AJ6,'Технический лист'!$A:$B,2,1),(FP6-0.05)))</f>
        <v>0.97499999999999998</v>
      </c>
      <c r="FR6" s="15">
        <f>MIN(1,MAX(VLOOKUP(($AJ6-$AI6-$AH6-$AG6-$AF6-$AE6*(1+FR$3))/$AJ6,'Технический лист'!$A:$B,2,1),(FQ6-0.05)))</f>
        <v>0.97499999999999998</v>
      </c>
      <c r="FS6" s="15">
        <f>MIN(1,MAX(VLOOKUP(($AJ6-$AI6-$AH6-$AG6-$AF6-$AE6*(1+FS$3))/$AJ6,'Технический лист'!$A:$B,2,1),(FR6-0.05)))</f>
        <v>0.97499999999999998</v>
      </c>
      <c r="FT6" s="15">
        <f>MIN(1,MAX(VLOOKUP(($AJ6-$AI6-$AH6-$AG6-$AF6-$AE6*(1+FT$3))/$AJ6,'Технический лист'!$A:$B,2,1),(FS6-0.05)))</f>
        <v>0.97</v>
      </c>
      <c r="FU6" s="15">
        <f>MIN(1,MAX(VLOOKUP(($AJ6-$AI6-$AH6-$AG6-$AF6-$AE6*(1+FU$3))/$AJ6,'Технический лист'!$A:$B,2,1),(FT6-0.05)))</f>
        <v>0.97</v>
      </c>
      <c r="FV6" s="15">
        <f>MIN(1,MAX(VLOOKUP(($AJ6-$AI6-$AH6-$AG6-$AF6-$AE6*(1+FV$3))/$AJ6,'Технический лист'!$A:$B,2,1),(FU6-0.05)))</f>
        <v>0.97</v>
      </c>
      <c r="FW6" s="15">
        <f>MIN(1,MAX(VLOOKUP(($AJ6-$AI6-$AH6-$AG6-$AF6-$AE6*(1+FW$3))/$AJ6,'Технический лист'!$A:$B,2,1),(FV6-0.05)))</f>
        <v>0.97</v>
      </c>
      <c r="FX6" s="15">
        <f>MIN(1,MAX(VLOOKUP(($AJ6-$AI6-$AH6-$AG6-$AF6-$AE6*(1+FX$3))/$AJ6,'Технический лист'!$A:$B,2,1),(FW6-0.05)))</f>
        <v>0.97</v>
      </c>
      <c r="FY6" s="15">
        <f>MIN(1,MAX(VLOOKUP(($AJ6-$AI6-$AH6-$AG6-$AF6-$AE6*(1+FY$3))/$AJ6,'Технический лист'!$A:$B,2,1),(FX6-0.05)))</f>
        <v>0.97</v>
      </c>
      <c r="FZ6" s="15">
        <f>MIN(1,MAX(VLOOKUP(($AJ6-$AI6-$AH6-$AG6-$AF6-$AE6*(1+FZ$3))/$AJ6,'Технический лист'!$A:$B,2,1),(FY6-0.05)))</f>
        <v>0.97</v>
      </c>
      <c r="GA6" s="15">
        <f>MIN(1,MAX(VLOOKUP(($AJ6-$AI6-$AH6-$AG6-$AF6-$AE6*(1+GA$3))/$AJ6,'Технический лист'!$A:$B,2,1),(FZ6-0.05)))</f>
        <v>0.97</v>
      </c>
      <c r="GB6" s="15">
        <f>MIN(1,MAX(VLOOKUP(($AJ6-$AI6-$AH6-$AG6-$AF6-$AE6*(1+GB$3))/$AJ6,'Технический лист'!$A:$B,2,1),(GA6-0.05)))</f>
        <v>0.97</v>
      </c>
      <c r="GC6" s="15">
        <f>MIN(1,MAX(VLOOKUP(($AJ6-$AI6-$AH6-$AG6-$AF6-$AE6*(1+GC$3))/$AJ6,'Технический лист'!$A:$B,2,1),(GB6-0.05)))</f>
        <v>0.97</v>
      </c>
      <c r="GD6" s="15">
        <f>MIN(1,MAX(VLOOKUP(($AJ6-$AI6-$AH6-$AG6-$AF6-$AE6*(1+GD$3))/$AJ6,'Технический лист'!$A:$B,2,1),(GC6-0.05)))</f>
        <v>0.97</v>
      </c>
      <c r="GE6" s="15">
        <f>MIN(1,MAX(VLOOKUP(($AJ6-$AI6-$AH6-$AG6-$AF6-$AE6*(1+GE$3))/$AJ6,'Технический лист'!$A:$B,2,1),(GD6-0.05)))</f>
        <v>0.96499999999999997</v>
      </c>
      <c r="GF6" s="15">
        <f>MIN(1,MAX(VLOOKUP(($AJ6-$AI6-$AH6-$AG6-$AF6-$AE6*(1+GF$3))/$AJ6,'Технический лист'!$A:$B,2,1),(GE6-0.05)))</f>
        <v>0.96499999999999997</v>
      </c>
      <c r="GG6" s="15">
        <f>MIN(1,MAX(VLOOKUP(($AJ6-$AI6-$AH6-$AG6-$AF6-$AE6*(1+GG$3))/$AJ6,'Технический лист'!$A:$B,2,1),(GF6-0.05)))</f>
        <v>0.96499999999999997</v>
      </c>
      <c r="GH6" s="15">
        <f>MIN(1,MAX(VLOOKUP(($AJ6-$AI6-$AH6-$AG6-$AF6-$AE6*(1+GH$3))/$AJ6,'Технический лист'!$A:$B,2,1),(GG6-0.05)))</f>
        <v>0.96499999999999997</v>
      </c>
      <c r="GI6" s="15">
        <f>MIN(1,MAX(VLOOKUP(($AJ6-$AI6-$AH6-$AG6-$AF6-$AE6*(1+GI$3))/$AJ6,'Технический лист'!$A:$B,2,1),(GH6-0.05)))</f>
        <v>0.96499999999999997</v>
      </c>
      <c r="GJ6" s="15">
        <f>MIN(1,MAX(VLOOKUP(($AJ6-$AI6-$AH6-$AG6-$AF6-$AE6*(1+GJ$3))/$AJ6,'Технический лист'!$A:$B,2,1),(GI6-0.05)))</f>
        <v>0.96499999999999997</v>
      </c>
      <c r="GK6" s="15">
        <f>MIN(1,MAX(VLOOKUP(($AJ6-$AI6-$AH6-$AG6-$AF6-$AE6*(1+GK$3))/$AJ6,'Технический лист'!$A:$B,2,1),(GJ6-0.05)))</f>
        <v>0.96499999999999997</v>
      </c>
      <c r="GL6" s="15">
        <f>MIN(1,MAX(VLOOKUP(($AJ6-$AI6-$AH6-$AG6-$AF6-$AE6*(1+GL$3))/$AJ6,'Технический лист'!$A:$B,2,1),(GK6-0.05)))</f>
        <v>0.96499999999999997</v>
      </c>
      <c r="GM6" s="15">
        <f>MIN(1,MAX(VLOOKUP(($AJ6-$AI6-$AH6-$AG6-$AF6-$AE6*(1+GM$3))/$AJ6,'Технический лист'!$A:$B,2,1),(GL6-0.05)))</f>
        <v>0.96499999999999997</v>
      </c>
      <c r="GN6" s="15">
        <f>MIN(1,MAX(VLOOKUP(($AJ6-$AI6-$AH6-$AG6-$AF6-$AE6*(1+GN$3))/$AJ6,'Технический лист'!$A:$B,2,1),(GM6-0.05)))</f>
        <v>0.96499999999999997</v>
      </c>
      <c r="GO6" s="15">
        <f>MIN(1,MAX(VLOOKUP(($AJ6-$AI6-$AH6-$AG6-$AF6-$AE6*(1+GO$3))/$AJ6,'Технический лист'!$A:$B,2,1),(GN6-0.05)))</f>
        <v>0.96499999999999997</v>
      </c>
      <c r="GP6" s="15">
        <f>MIN(1,MAX(VLOOKUP(($AJ6-$AI6-$AH6-$AG6-$AF6-$AE6*(1+GP$3))/$AJ6,'Технический лист'!$A:$B,2,1),(GO6-0.05)))</f>
        <v>0.96499999999999997</v>
      </c>
      <c r="GQ6" s="15">
        <f>MIN(1,MAX(VLOOKUP(($AJ6-$AI6-$AH6-$AG6-$AF6-$AE6*(1+GQ$3))/$AJ6,'Технический лист'!$A:$B,2,1),(GP6-0.05)))</f>
        <v>0.96</v>
      </c>
      <c r="GR6" s="15">
        <f>MIN(1,MAX(VLOOKUP(($AJ6-$AI6-$AH6-$AG6-$AF6-$AE6*(1+GR$3))/$AJ6,'Технический лист'!$A:$B,2,1),(GQ6-0.05)))</f>
        <v>0.96</v>
      </c>
      <c r="GS6" s="15">
        <f>MIN(1,MAX(VLOOKUP(($AJ6-$AI6-$AH6-$AG6-$AF6-$AE6*(1+GS$3))/$AJ6,'Технический лист'!$A:$B,2,1),(GR6-0.05)))</f>
        <v>0.96</v>
      </c>
      <c r="GT6" s="15">
        <f>MIN(1,MAX(VLOOKUP(($AJ6-$AI6-$AH6-$AG6-$AF6-$AE6*(1+GT$3))/$AJ6,'Технический лист'!$A:$B,2,1),(GS6-0.05)))</f>
        <v>0.96</v>
      </c>
      <c r="GU6" s="15">
        <f>MIN(1,MAX(VLOOKUP(($AJ6-$AI6-$AH6-$AG6-$AF6-$AE6*(1+GU$3))/$AJ6,'Технический лист'!$A:$B,2,1),(GT6-0.05)))</f>
        <v>0.96</v>
      </c>
      <c r="GV6" s="15">
        <f>MIN(1,MAX(VLOOKUP(($AJ6-$AI6-$AH6-$AG6-$AF6-$AE6*(1+GV$3))/$AJ6,'Технический лист'!$A:$B,2,1),(GU6-0.05)))</f>
        <v>0.96</v>
      </c>
      <c r="GW6" s="15">
        <f>MIN(1,MAX(VLOOKUP(($AJ6-$AI6-$AH6-$AG6-$AF6-$AE6*(1+GW$3))/$AJ6,'Технический лист'!$A:$B,2,1),(GV6-0.05)))</f>
        <v>0.96</v>
      </c>
      <c r="GX6" s="15">
        <f>MIN(1,MAX(VLOOKUP(($AJ6-$AI6-$AH6-$AG6-$AF6-$AE6*(1+GX$3))/$AJ6,'Технический лист'!$A:$B,2,1),(GW6-0.05)))</f>
        <v>0.96</v>
      </c>
      <c r="GY6" s="15">
        <f>MIN(1,MAX(VLOOKUP(($AJ6-$AI6-$AH6-$AG6-$AF6-$AE6*(1+GY$3))/$AJ6,'Технический лист'!$A:$B,2,1),(GX6-0.05)))</f>
        <v>0.96</v>
      </c>
      <c r="GZ6" s="15">
        <f>MIN(1,MAX(VLOOKUP(($AJ6-$AI6-$AH6-$AG6-$AF6-$AE6*(1+GZ$3))/$AJ6,'Технический лист'!$A:$B,2,1),(GY6-0.05)))</f>
        <v>0.96</v>
      </c>
      <c r="HA6" s="15">
        <f>MIN(1,MAX(VLOOKUP(($AJ6-$AI6-$AH6-$AG6-$AF6-$AE6*(1+HA$3))/$AJ6,'Технический лист'!$A:$B,2,1),(GZ6-0.05)))</f>
        <v>0.96</v>
      </c>
      <c r="HB6" s="15">
        <f>MIN(1,MAX(VLOOKUP(($AJ6-$AI6-$AH6-$AG6-$AF6-$AE6*(1+HB$3))/$AJ6,'Технический лист'!$A:$B,2,1),(HA6-0.05)))</f>
        <v>0.95499999999999996</v>
      </c>
      <c r="HC6" s="15">
        <f>MIN(1,MAX(VLOOKUP(($AJ6-$AI6-$AH6-$AG6-$AF6-$AE6*(1+HC$3))/$AJ6,'Технический лист'!$A:$B,2,1),(HB6-0.05)))</f>
        <v>0.95499999999999996</v>
      </c>
      <c r="HD6" s="15">
        <f>MIN(1,MAX(VLOOKUP(($AJ6-$AI6-$AH6-$AG6-$AF6-$AE6*(1+HD$3))/$AJ6,'Технический лист'!$A:$B,2,1),(HC6-0.05)))</f>
        <v>0.95499999999999996</v>
      </c>
      <c r="HE6" s="15">
        <f>MIN(1,MAX(VLOOKUP(($AJ6-$AI6-$AH6-$AG6-$AF6-$AE6*(1+HE$3))/$AJ6,'Технический лист'!$A:$B,2,1),(HD6-0.05)))</f>
        <v>0.95499999999999996</v>
      </c>
      <c r="HF6" s="15">
        <f>MIN(1,MAX(VLOOKUP(($AJ6-$AI6-$AH6-$AG6-$AF6-$AE6*(1+HF$3))/$AJ6,'Технический лист'!$A:$B,2,1),(HE6-0.05)))</f>
        <v>0.95499999999999996</v>
      </c>
      <c r="HG6" s="15">
        <f>MIN(1,MAX(VLOOKUP(($AJ6-$AI6-$AH6-$AG6-$AF6-$AE6*(1+HG$3))/$AJ6,'Технический лист'!$A:$B,2,1),(HF6-0.05)))</f>
        <v>0.95499999999999996</v>
      </c>
      <c r="HH6" s="15">
        <f>MIN(1,MAX(VLOOKUP(($AJ6-$AI6-$AH6-$AG6-$AF6-$AE6*(1+HH$3))/$AJ6,'Технический лист'!$A:$B,2,1),(HG6-0.05)))</f>
        <v>0.95499999999999996</v>
      </c>
      <c r="HI6" s="15">
        <f>MIN(1,MAX(VLOOKUP(($AJ6-$AI6-$AH6-$AG6-$AF6-$AE6*(1+HI$3))/$AJ6,'Технический лист'!$A:$B,2,1),(HH6-0.05)))</f>
        <v>0.95499999999999996</v>
      </c>
      <c r="HJ6" s="15">
        <f>MIN(1,MAX(VLOOKUP(($AJ6-$AI6-$AH6-$AG6-$AF6-$AE6*(1+HJ$3))/$AJ6,'Технический лист'!$A:$B,2,1),(HI6-0.05)))</f>
        <v>0.95499999999999996</v>
      </c>
      <c r="HK6" s="15">
        <f>MIN(1,MAX(VLOOKUP(($AJ6-$AI6-$AH6-$AG6-$AF6-$AE6*(1+HK$3))/$AJ6,'Технический лист'!$A:$B,2,1),(HJ6-0.05)))</f>
        <v>0.95499999999999996</v>
      </c>
      <c r="HL6" s="15">
        <f>MIN(1,MAX(VLOOKUP(($AJ6-$AI6-$AH6-$AG6-$AF6-$AE6*(1+HL$3))/$AJ6,'Технический лист'!$A:$B,2,1),(HK6-0.05)))</f>
        <v>0.95499999999999996</v>
      </c>
      <c r="HM6" s="15">
        <f>MIN(1,MAX(VLOOKUP(($AJ6-$AI6-$AH6-$AG6-$AF6-$AE6*(1+HM$3))/$AJ6,'Технический лист'!$A:$B,2,1),(HL6-0.05)))</f>
        <v>0.95499999999999996</v>
      </c>
      <c r="HN6" s="15">
        <f>MIN(1,MAX(VLOOKUP(($AJ6-$AI6-$AH6-$AG6-$AF6-$AE6*(1+HN$3))/$AJ6,'Технический лист'!$A:$B,2,1),(HM6-0.05)))</f>
        <v>0.95</v>
      </c>
      <c r="HO6" s="15">
        <f>MIN(1,MAX(VLOOKUP(($AJ6-$AI6-$AH6-$AG6-$AF6-$AE6*(1+HO$3))/$AJ6,'Технический лист'!$A:$B,2,1),(HN6-0.05)))</f>
        <v>0.95</v>
      </c>
      <c r="HP6" s="15">
        <f>MIN(1,MAX(VLOOKUP(($AJ6-$AI6-$AH6-$AG6-$AF6-$AE6*(1+HP$3))/$AJ6,'Технический лист'!$A:$B,2,1),(HO6-0.05)))</f>
        <v>0.95</v>
      </c>
      <c r="HQ6" s="15">
        <f>MIN(1,MAX(VLOOKUP(($AJ6-$AI6-$AH6-$AG6-$AF6-$AE6*(1+HQ$3))/$AJ6,'Технический лист'!$A:$B,2,1),(HP6-0.05)))</f>
        <v>0.95</v>
      </c>
      <c r="HR6" s="15">
        <f>MIN(1,MAX(VLOOKUP(($AJ6-$AI6-$AH6-$AG6-$AF6-$AE6*(1+HR$3))/$AJ6,'Технический лист'!$A:$B,2,1),(HQ6-0.05)))</f>
        <v>0.95</v>
      </c>
      <c r="HS6" s="15">
        <f>MIN(1,MAX(VLOOKUP(($AJ6-$AI6-$AH6-$AG6-$AF6-$AE6*(1+HS$3))/$AJ6,'Технический лист'!$A:$B,2,1),(HR6-0.05)))</f>
        <v>0.95</v>
      </c>
      <c r="HT6" s="15">
        <f>MIN(1,MAX(VLOOKUP(($AJ6-$AI6-$AH6-$AG6-$AF6-$AE6*(1+HT$3))/$AJ6,'Технический лист'!$A:$B,2,1),(HS6-0.05)))</f>
        <v>0.95</v>
      </c>
      <c r="HU6" s="15">
        <f>MIN(1,MAX(VLOOKUP(($AJ6-$AI6-$AH6-$AG6-$AF6-$AE6*(1+HU$3))/$AJ6,'Технический лист'!$A:$B,2,1),(HT6-0.05)))</f>
        <v>0.95</v>
      </c>
      <c r="HV6" s="15">
        <f>MIN(1,MAX(VLOOKUP(($AJ6-$AI6-$AH6-$AG6-$AF6-$AE6*(1+HV$3))/$AJ6,'Технический лист'!$A:$B,2,1),(HU6-0.05)))</f>
        <v>0.95</v>
      </c>
      <c r="HW6" s="15">
        <f>MIN(1,MAX(VLOOKUP(($AJ6-$AI6-$AH6-$AG6-$AF6-$AE6*(1+HW$3))/$AJ6,'Технический лист'!$A:$B,2,1),(HV6-0.05)))</f>
        <v>0.95</v>
      </c>
      <c r="HX6" s="15">
        <f>MIN(1,MAX(VLOOKUP(($AJ6-$AI6-$AH6-$AG6-$AF6-$AE6*(1+HX$3))/$AJ6,'Технический лист'!$A:$B,2,1),(HW6-0.05)))</f>
        <v>0.95</v>
      </c>
      <c r="HY6" s="15">
        <f>MIN(1,MAX(VLOOKUP(($AJ6-$AI6-$AH6-$AG6-$AF6-$AE6*(1+HY$3))/$AJ6,'Технический лист'!$A:$B,2,1),(HX6-0.05)))</f>
        <v>0.94499999999999995</v>
      </c>
      <c r="HZ6" s="15">
        <f>MIN(1,MAX(VLOOKUP(($AJ6-$AI6-$AH6-$AG6-$AF6-$AE6*(1+HZ$3))/$AJ6,'Технический лист'!$A:$B,2,1),(HY6-0.05)))</f>
        <v>0.94499999999999995</v>
      </c>
      <c r="IA6" s="15">
        <f>MIN(1,MAX(VLOOKUP(($AJ6-$AI6-$AH6-$AG6-$AF6-$AE6*(1+IA$3))/$AJ6,'Технический лист'!$A:$B,2,1),(HZ6-0.05)))</f>
        <v>0.94499999999999995</v>
      </c>
      <c r="IB6" s="15">
        <f>MIN(1,MAX(VLOOKUP(($AJ6-$AI6-$AH6-$AG6-$AF6-$AE6*(1+IB$3))/$AJ6,'Технический лист'!$A:$B,2,1),(IA6-0.05)))</f>
        <v>0.94499999999999995</v>
      </c>
      <c r="IC6" s="15">
        <f>MIN(1,MAX(VLOOKUP(($AJ6-$AI6-$AH6-$AG6-$AF6-$AE6*(1+IC$3))/$AJ6,'Технический лист'!$A:$B,2,1),(IB6-0.05)))</f>
        <v>0.94499999999999995</v>
      </c>
      <c r="ID6" s="15">
        <f>MIN(1,MAX(VLOOKUP(($AJ6-$AI6-$AH6-$AG6-$AF6-$AE6*(1+ID$3))/$AJ6,'Технический лист'!$A:$B,2,1),(IC6-0.05)))</f>
        <v>0.94499999999999995</v>
      </c>
      <c r="IE6" s="15">
        <f>MIN(1,MAX(VLOOKUP(($AJ6-$AI6-$AH6-$AG6-$AF6-$AE6*(1+IE$3))/$AJ6,'Технический лист'!$A:$B,2,1),(ID6-0.05)))</f>
        <v>0.94499999999999995</v>
      </c>
      <c r="IF6" s="15">
        <f>MIN(1,MAX(VLOOKUP(($AJ6-$AI6-$AH6-$AG6-$AF6-$AE6*(1+IF$3))/$AJ6,'Технический лист'!$A:$B,2,1),(IE6-0.05)))</f>
        <v>0.94499999999999995</v>
      </c>
      <c r="IG6" s="15">
        <f>MIN(1,MAX(VLOOKUP(($AJ6-$AI6-$AH6-$AG6-$AF6-$AE6*(1+IG$3))/$AJ6,'Технический лист'!$A:$B,2,1),(IF6-0.05)))</f>
        <v>0.94499999999999995</v>
      </c>
      <c r="IH6" s="15">
        <f>MIN(1,MAX(VLOOKUP(($AJ6-$AI6-$AH6-$AG6-$AF6-$AE6*(1+IH$3))/$AJ6,'Технический лист'!$A:$B,2,1),(IG6-0.05)))</f>
        <v>0.94499999999999995</v>
      </c>
      <c r="II6" s="15">
        <f>MIN(1,MAX(VLOOKUP(($AJ6-$AI6-$AH6-$AG6-$AF6-$AE6*(1+II$3))/$AJ6,'Технический лист'!$A:$B,2,1),(IH6-0.05)))</f>
        <v>0.94499999999999995</v>
      </c>
      <c r="IJ6" s="15">
        <f>MIN(1,MAX(VLOOKUP(($AJ6-$AI6-$AH6-$AG6-$AF6-$AE6*(1+IJ$3))/$AJ6,'Технический лист'!$A:$B,2,1),(II6-0.05)))</f>
        <v>0.94499999999999995</v>
      </c>
      <c r="IK6" s="15">
        <f>MIN(1,MAX(VLOOKUP(($AJ6-$AI6-$AH6-$AG6-$AF6-$AE6*(1+IK$3))/$AJ6,'Технический лист'!$A:$B,2,1),(IJ6-0.05)))</f>
        <v>0.94</v>
      </c>
      <c r="IL6" s="15">
        <f>MIN(1,MAX(VLOOKUP(($AJ6-$AI6-$AH6-$AG6-$AF6-$AE6*(1+IL$3))/$AJ6,'Технический лист'!$A:$B,2,1),(IK6-0.05)))</f>
        <v>0.94</v>
      </c>
      <c r="IM6" s="15">
        <f>MIN(1,MAX(VLOOKUP(($AJ6-$AI6-$AH6-$AG6-$AF6-$AE6*(1+IM$3))/$AJ6,'Технический лист'!$A:$B,2,1),(IL6-0.05)))</f>
        <v>0.94</v>
      </c>
      <c r="IN6" s="15">
        <f>MIN(1,MAX(VLOOKUP(($AJ6-$AI6-$AH6-$AG6-$AF6-$AE6*(1+IN$3))/$AJ6,'Технический лист'!$A:$B,2,1),(IM6-0.05)))</f>
        <v>0.94</v>
      </c>
      <c r="IO6" s="15">
        <f>MIN(1,MAX(VLOOKUP(($AJ6-$AI6-$AH6-$AG6-$AF6-$AE6*(1+IO$3))/$AJ6,'Технический лист'!$A:$B,2,1),(IN6-0.05)))</f>
        <v>0.94</v>
      </c>
      <c r="IP6" s="15">
        <f>MIN(1,MAX(VLOOKUP(($AJ6-$AI6-$AH6-$AG6-$AF6-$AE6*(1+IP$3))/$AJ6,'Технический лист'!$A:$B,2,1),(IO6-0.05)))</f>
        <v>0.94</v>
      </c>
      <c r="IQ6" s="15">
        <f>MIN(1,MAX(VLOOKUP(($AJ6-$AI6-$AH6-$AG6-$AF6-$AE6*(1+IQ$3))/$AJ6,'Технический лист'!$A:$B,2,1),(IP6-0.05)))</f>
        <v>0.94</v>
      </c>
      <c r="IR6" s="15">
        <f>MIN(1,MAX(VLOOKUP(($AJ6-$AI6-$AH6-$AG6-$AF6-$AE6*(1+IR$3))/$AJ6,'Технический лист'!$A:$B,2,1),(IQ6-0.05)))</f>
        <v>0.94</v>
      </c>
    </row>
    <row r="7" spans="1:257" ht="45" customHeight="1">
      <c r="A7" s="89" t="s">
        <v>514</v>
      </c>
      <c r="B7" s="90">
        <v>2</v>
      </c>
      <c r="C7" s="5" t="s">
        <v>65</v>
      </c>
      <c r="D7" s="91">
        <v>17108</v>
      </c>
      <c r="E7" s="91" t="s">
        <v>318</v>
      </c>
      <c r="F7" s="92" t="s">
        <v>69</v>
      </c>
      <c r="G7" s="91" t="s">
        <v>50</v>
      </c>
      <c r="H7" s="91" t="s">
        <v>50</v>
      </c>
      <c r="I7" s="91" t="s">
        <v>83</v>
      </c>
      <c r="J7" s="91" t="s">
        <v>86</v>
      </c>
      <c r="K7" s="91">
        <v>103</v>
      </c>
      <c r="L7" s="85" t="s">
        <v>64</v>
      </c>
      <c r="M7" s="91" t="s">
        <v>190</v>
      </c>
      <c r="N7" s="91" t="s">
        <v>191</v>
      </c>
      <c r="O7" s="91" t="s">
        <v>192</v>
      </c>
      <c r="P7" s="89" t="s">
        <v>196</v>
      </c>
      <c r="Q7" s="91" t="s">
        <v>306</v>
      </c>
      <c r="R7" s="91" t="s">
        <v>251</v>
      </c>
      <c r="S7" s="82">
        <v>107630</v>
      </c>
      <c r="T7" s="82">
        <v>11085971</v>
      </c>
      <c r="U7" s="81">
        <v>1721</v>
      </c>
      <c r="V7" s="81">
        <v>0</v>
      </c>
      <c r="W7" s="82">
        <v>26484037</v>
      </c>
      <c r="X7" s="112">
        <v>62</v>
      </c>
      <c r="Y7" s="112" t="s">
        <v>418</v>
      </c>
      <c r="Z7" s="113">
        <v>3</v>
      </c>
      <c r="AA7" s="113">
        <v>3</v>
      </c>
      <c r="AB7" s="113">
        <v>4</v>
      </c>
      <c r="AC7" s="99">
        <v>278.60000000000002</v>
      </c>
      <c r="AD7" s="99">
        <f t="shared" si="1"/>
        <v>57.129999999999995</v>
      </c>
      <c r="AE7" s="99">
        <v>335.73</v>
      </c>
      <c r="AF7" s="98">
        <f>(Z7+AA7+AB7)*'Ставки аренды'!$B$3/X7</f>
        <v>112.90322580645162</v>
      </c>
      <c r="AG7" s="114">
        <v>0</v>
      </c>
      <c r="AH7" s="94">
        <v>0</v>
      </c>
      <c r="AI7" s="115">
        <f>0.71*AVERAGE(AJ7,AJ8)</f>
        <v>11642.3096675</v>
      </c>
      <c r="AJ7" s="117">
        <f>Цены!$D$9</f>
        <v>17000</v>
      </c>
      <c r="AK7" s="94">
        <f>AJ7/Цены!$B$1</f>
        <v>222.7886587467483</v>
      </c>
      <c r="AL7" s="95">
        <f t="shared" si="5"/>
        <v>448.63322580645161</v>
      </c>
      <c r="AM7" s="95">
        <f t="shared" si="6"/>
        <v>16551.36677419355</v>
      </c>
      <c r="AN7" s="94">
        <f t="shared" si="2"/>
        <v>12090.94289330645</v>
      </c>
      <c r="AO7" s="118">
        <f t="shared" si="3"/>
        <v>0.28876806509962061</v>
      </c>
      <c r="AP7" s="96">
        <f t="shared" si="7"/>
        <v>2.6390189753320682E-2</v>
      </c>
      <c r="AQ7" s="96">
        <f t="shared" si="8"/>
        <v>1.9748823529411767E-2</v>
      </c>
      <c r="AR7" s="96">
        <f t="shared" si="9"/>
        <v>0.74833958050365168</v>
      </c>
      <c r="AS7" s="122">
        <v>1</v>
      </c>
      <c r="AT7" s="121">
        <f t="shared" si="10"/>
        <v>107630</v>
      </c>
      <c r="AU7" s="83">
        <v>1</v>
      </c>
      <c r="AV7" s="119">
        <f t="shared" si="11"/>
        <v>0.28639820627609108</v>
      </c>
      <c r="AW7" s="120">
        <f t="shared" si="12"/>
        <v>2.8760048576850102E-2</v>
      </c>
      <c r="AX7" s="120">
        <f t="shared" si="13"/>
        <v>2.211868235294118E-2</v>
      </c>
      <c r="AY7" s="120">
        <f t="shared" si="14"/>
        <v>0.76907666876283476</v>
      </c>
      <c r="AZ7" s="15">
        <f>MIN(IF($AU7=100%,1,1+VLOOKUP(($AJ7-$AI7-$AH7-$AG7-$AF7-$AE7*(1+AZ$3))/$AJ7,'Технический лист'!$A:$B,2,1)-VLOOKUP($AO7,'Технический лист'!$A:$B,2,1)),1+(1-$AU7))</f>
        <v>1</v>
      </c>
      <c r="BA7" s="15">
        <f>MIN(IF($AU7=100%,1,1+VLOOKUP(($AJ7-$AI7-$AH7-$AG7-$AF7-$AE7*(1+BA$3))/$AJ7,'Технический лист'!$A:$B,2,1)-VLOOKUP($AO7,'Технический лист'!$A:$B,2,1)),1+(1-$AU7))</f>
        <v>1</v>
      </c>
      <c r="BB7" s="15">
        <f>MIN(IF($AU7=100%,1,1+VLOOKUP(($AJ7-$AI7-$AH7-$AG7-$AF7-$AE7*(1+BB$3))/$AJ7,'Технический лист'!$A:$B,2,1)-VLOOKUP($AO7,'Технический лист'!$A:$B,2,1)),1+(1-$AU7))</f>
        <v>1</v>
      </c>
      <c r="BC7" s="15">
        <f>MIN(IF($AU7=100%,1,1+VLOOKUP(($AJ7-$AI7-$AH7-$AG7-$AF7-$AE7*(1+BC$3))/$AJ7,'Технический лист'!$A:$B,2,1)-VLOOKUP($AO7,'Технический лист'!$A:$B,2,1)),1+(1-$AU7))</f>
        <v>1</v>
      </c>
      <c r="BD7" s="15">
        <f>MIN(IF($AU7=100%,1,1+VLOOKUP(($AJ7-$AI7-$AH7-$AG7-$AF7-$AE7*(1+BD$3))/$AJ7,'Технический лист'!$A:$B,2,1)-VLOOKUP($AO7,'Технический лист'!$A:$B,2,1)),1+(1-$AU7))</f>
        <v>1</v>
      </c>
      <c r="BE7" s="15">
        <f>MIN(IF($AU7=100%,1,1+VLOOKUP(($AJ7-$AI7-$AH7-$AG7-$AF7-$AE7*(1+BE$3))/$AJ7,'Технический лист'!$A:$B,2,1)-VLOOKUP($AO7,'Технический лист'!$A:$B,2,1)),1+(1-$AU7))</f>
        <v>1</v>
      </c>
      <c r="BF7" s="15">
        <f>MIN(IF($AU7=100%,1,1+VLOOKUP(($AJ7-$AI7-$AH7-$AG7-$AF7-$AE7*(1+BF$3))/$AJ7,'Технический лист'!$A:$B,2,1)-VLOOKUP($AO7,'Технический лист'!$A:$B,2,1)),1+(1-$AU7))</f>
        <v>1</v>
      </c>
      <c r="BG7" s="15">
        <f>MIN(IF($AU7=100%,1,1+VLOOKUP(($AJ7-$AI7-$AH7-$AG7-$AF7-$AE7*(1+BG$3))/$AJ7,'Технический лист'!$A:$B,2,1)-VLOOKUP($AO7,'Технический лист'!$A:$B,2,1)),1+(1-$AU7))</f>
        <v>1</v>
      </c>
      <c r="BH7" s="15">
        <f>MIN(IF($AU7=100%,1,1+VLOOKUP(($AJ7-$AI7-$AH7-$AG7-$AF7-$AE7*(1+BH$3))/$AJ7,'Технический лист'!$A:$B,2,1)-VLOOKUP($AO7,'Технический лист'!$A:$B,2,1)),1+(1-$AU7))</f>
        <v>1</v>
      </c>
      <c r="BI7" s="15">
        <f>MIN(IF($AU7=100%,1,1+VLOOKUP(($AJ7-$AI7-$AH7-$AG7-$AF7-$AE7*(1+BI$3))/$AJ7,'Технический лист'!$A:$B,2,1)-VLOOKUP($AO7,'Технический лист'!$A:$B,2,1)),1+(1-$AU7))</f>
        <v>1</v>
      </c>
      <c r="BJ7" s="15">
        <f>MIN(IF($AU7=100%,1,1+VLOOKUP(($AJ7-$AI7-$AH7-$AG7-$AF7-$AE7*(1+BJ$3))/$AJ7,'Технический лист'!$A:$B,2,1)-VLOOKUP($AO7,'Технический лист'!$A:$B,2,1)),1+(1-$AU7))</f>
        <v>1</v>
      </c>
      <c r="BK7" s="15">
        <f>MIN(IF($AU7=100%,1,1+VLOOKUP(($AJ7-$AI7-$AH7-$AG7-$AF7-$AE7*(1+BK$3))/$AJ7,'Технический лист'!$A:$B,2,1)-VLOOKUP($AO7,'Технический лист'!$A:$B,2,1)),1+(1-$AU7))</f>
        <v>1</v>
      </c>
      <c r="BL7" s="15">
        <f>MIN(IF($AU7=100%,1,1+VLOOKUP(($AJ7-$AI7-$AH7-$AG7-$AF7-$AE7*(1+BL$3))/$AJ7,'Технический лист'!$A:$B,2,1)-VLOOKUP($AO7,'Технический лист'!$A:$B,2,1)),1+(1-$AU7))</f>
        <v>1</v>
      </c>
      <c r="BM7" s="15">
        <f>MIN(IF($AU7=100%,1,1+VLOOKUP(($AJ7-$AI7-$AH7-$AG7-$AF7-$AE7*(1+BM$3))/$AJ7,'Технический лист'!$A:$B,2,1)-VLOOKUP($AO7,'Технический лист'!$A:$B,2,1)),1+(1-$AU7))</f>
        <v>1</v>
      </c>
      <c r="BN7" s="15">
        <f>MIN(IF($AU7=100%,1,1+VLOOKUP(($AJ7-$AI7-$AH7-$AG7-$AF7-$AE7*(1+BN$3))/$AJ7,'Технический лист'!$A:$B,2,1)-VLOOKUP($AO7,'Технический лист'!$A:$B,2,1)),1+(1-$AU7))</f>
        <v>1</v>
      </c>
      <c r="BO7" s="15">
        <f>MIN(IF($AU7=100%,1,1+VLOOKUP(($AJ7-$AI7-$AH7-$AG7-$AF7-$AE7*(1+BO$3))/$AJ7,'Технический лист'!$A:$B,2,1)-VLOOKUP($AO7,'Технический лист'!$A:$B,2,1)),1+(1-$AU7))</f>
        <v>1</v>
      </c>
      <c r="BP7" s="15">
        <f>MIN(IF($AU7=100%,1,1+VLOOKUP(($AJ7-$AI7-$AH7-$AG7-$AF7-$AE7*(1+BP$3))/$AJ7,'Технический лист'!$A:$B,2,1)-VLOOKUP($AO7,'Технический лист'!$A:$B,2,1)),1+(1-$AU7))</f>
        <v>1</v>
      </c>
      <c r="BQ7" s="15">
        <f>MIN(IF($AU7=100%,1,1+VLOOKUP(($AJ7-$AI7-$AH7-$AG7-$AF7-$AE7*(1+BQ$3))/$AJ7,'Технический лист'!$A:$B,2,1)-VLOOKUP($AO7,'Технический лист'!$A:$B,2,1)),1+(1-$AU7))</f>
        <v>1</v>
      </c>
      <c r="BR7" s="15">
        <f>MIN(IF($AU7=100%,1,1+VLOOKUP(($AJ7-$AI7-$AH7-$AG7-$AF7-$AE7*(1+BR$3))/$AJ7,'Технический лист'!$A:$B,2,1)-VLOOKUP($AO7,'Технический лист'!$A:$B,2,1)),1+(1-$AU7))</f>
        <v>1</v>
      </c>
      <c r="BS7" s="15">
        <f>MIN(IF($AU7=100%,1,1+VLOOKUP(($AJ7-$AI7-$AH7-$AG7-$AF7-$AE7*(1+BS$3))/$AJ7,'Технический лист'!$A:$B,2,1)-VLOOKUP($AO7,'Технический лист'!$A:$B,2,1)),1+(1-$AU7))</f>
        <v>1</v>
      </c>
      <c r="BT7" s="15">
        <f>MIN(IF($AU7=100%,1,1+VLOOKUP(($AJ7-$AI7-$AH7-$AG7-$AF7-$AE7*(1+BT$3))/$AJ7,'Технический лист'!$A:$B,2,1)-VLOOKUP($AO7,'Технический лист'!$A:$B,2,1)),1+(1-$AU7))</f>
        <v>1</v>
      </c>
      <c r="BU7" s="15">
        <f>MIN(IF($AU7=100%,1,1+VLOOKUP(($AJ7-$AI7-$AH7-$AG7-$AF7-$AE7*(1+BU$3))/$AJ7,'Технический лист'!$A:$B,2,1)-VLOOKUP($AO7,'Технический лист'!$A:$B,2,1)),1+(1-$AU7))</f>
        <v>1</v>
      </c>
      <c r="BV7" s="15">
        <f>MIN(IF($AU7=100%,1,1+VLOOKUP(($AJ7-$AI7-$AH7-$AG7-$AF7-$AE7*(1+BV$3))/$AJ7,'Технический лист'!$A:$B,2,1)-VLOOKUP($AO7,'Технический лист'!$A:$B,2,1)),1+(1-$AU7))</f>
        <v>1</v>
      </c>
      <c r="BW7" s="15">
        <f>MIN(IF($AU7=100%,1,1+VLOOKUP(($AJ7-$AI7-$AH7-$AG7-$AF7-$AE7*(1+BW$3))/$AJ7,'Технический лист'!$A:$B,2,1)-VLOOKUP($AO7,'Технический лист'!$A:$B,2,1)),1+(1-$AU7))</f>
        <v>1</v>
      </c>
      <c r="BX7" s="15">
        <f>MIN(IF($AU7=100%,1,1+VLOOKUP(($AJ7-$AI7-$AH7-$AG7-$AF7-$AE7*(1+BX$3))/$AJ7,'Технический лист'!$A:$B,2,1)-VLOOKUP($AO7,'Технический лист'!$A:$B,2,1)),1+(1-$AU7))</f>
        <v>1</v>
      </c>
      <c r="BY7" s="15">
        <f>MIN(IF($AU7=100%,1,1+VLOOKUP(($AJ7-$AI7-$AH7-$AG7-$AF7-$AE7*(1+BY$3))/$AJ7,'Технический лист'!$A:$B,2,1)-VLOOKUP($AO7,'Технический лист'!$A:$B,2,1)),1+(1-$AU7))</f>
        <v>1</v>
      </c>
      <c r="BZ7" s="15">
        <f>MIN(IF($AU7=100%,1,1+VLOOKUP(($AJ7-$AI7-$AH7-$AG7-$AF7-$AE7*(1+BZ$3))/$AJ7,'Технический лист'!$A:$B,2,1)-VLOOKUP($AO7,'Технический лист'!$A:$B,2,1)),1+(1-$AU7))</f>
        <v>1</v>
      </c>
      <c r="CA7" s="15">
        <f>MIN(IF($AU7=100%,1,1+VLOOKUP(($AJ7-$AI7-$AH7-$AG7-$AF7-$AE7*(1+CA$3))/$AJ7,'Технический лист'!$A:$B,2,1)-VLOOKUP($AO7,'Технический лист'!$A:$B,2,1)),1+(1-$AU7))</f>
        <v>1</v>
      </c>
      <c r="CB7" s="15">
        <f>MIN(IF($AU7=100%,1,1+VLOOKUP(($AJ7-$AI7-$AH7-$AG7-$AF7-$AE7*(1+CB$3))/$AJ7,'Технический лист'!$A:$B,2,1)-VLOOKUP($AO7,'Технический лист'!$A:$B,2,1)),1+(1-$AU7))</f>
        <v>1</v>
      </c>
      <c r="CC7" s="15">
        <f>MIN(IF($AU7=100%,1,1+VLOOKUP(($AJ7-$AI7-$AH7-$AG7-$AF7-$AE7*(1+CC$3))/$AJ7,'Технический лист'!$A:$B,2,1)-VLOOKUP($AO7,'Технический лист'!$A:$B,2,1)),1+(1-$AU7))</f>
        <v>1</v>
      </c>
      <c r="CD7" s="15">
        <f>MIN(IF($AU7=100%,1,1+VLOOKUP(($AJ7-$AI7-$AH7-$AG7-$AF7-$AE7*(1+CD$3))/$AJ7,'Технический лист'!$A:$B,2,1)-VLOOKUP($AO7,'Технический лист'!$A:$B,2,1)),1+(1-$AU7))</f>
        <v>1</v>
      </c>
      <c r="CE7" s="15">
        <f>MIN(IF($AU7=100%,1,1+VLOOKUP(($AJ7-$AI7-$AH7-$AG7-$AF7-$AE7*(1+CE$3))/$AJ7,'Технический лист'!$A:$B,2,1)-VLOOKUP($AO7,'Технический лист'!$A:$B,2,1)),1+(1-$AU7))</f>
        <v>1</v>
      </c>
      <c r="CF7" s="15">
        <f>MIN(IF($AU7=100%,1,1+VLOOKUP(($AJ7-$AI7-$AH7-$AG7-$AF7-$AE7*(1+CF$3))/$AJ7,'Технический лист'!$A:$B,2,1)-VLOOKUP($AO7,'Технический лист'!$A:$B,2,1)),1+(1-$AU7))</f>
        <v>1</v>
      </c>
      <c r="CG7" s="15">
        <f>MIN(IF($AU7=100%,1,1+VLOOKUP(($AJ7-$AI7-$AH7-$AG7-$AF7-$AE7*(1+CG$3))/$AJ7,'Технический лист'!$A:$B,2,1)-VLOOKUP($AO7,'Технический лист'!$A:$B,2,1)),1+(1-$AU7))</f>
        <v>1</v>
      </c>
      <c r="CH7" s="15">
        <f>MIN(IF($AU7=100%,1,1+VLOOKUP(($AJ7-$AI7-$AH7-$AG7-$AF7-$AE7*(1+CH$3))/$AJ7,'Технический лист'!$A:$B,2,1)-VLOOKUP($AO7,'Технический лист'!$A:$B,2,1)),1+(1-$AU7))</f>
        <v>1</v>
      </c>
      <c r="CI7" s="15">
        <f>MIN(IF($AU7=100%,1,1+VLOOKUP(($AJ7-$AI7-$AH7-$AG7-$AF7-$AE7*(1+CI$3))/$AJ7,'Технический лист'!$A:$B,2,1)-VLOOKUP($AO7,'Технический лист'!$A:$B,2,1)),1+(1-$AU7))</f>
        <v>1</v>
      </c>
      <c r="CJ7" s="15">
        <f>MIN(IF($AU7=100%,1,1+VLOOKUP(($AJ7-$AI7-$AH7-$AG7-$AF7-$AE7*(1+CJ$3))/$AJ7,'Технический лист'!$A:$B,2,1)-VLOOKUP($AO7,'Технический лист'!$A:$B,2,1)),1+(1-$AU7))</f>
        <v>1</v>
      </c>
      <c r="CK7" s="15">
        <f>MIN(IF($AU7=100%,1,1+VLOOKUP(($AJ7-$AI7-$AH7-$AG7-$AF7-$AE7*(1+CK$3))/$AJ7,'Технический лист'!$A:$B,2,1)-VLOOKUP($AO7,'Технический лист'!$A:$B,2,1)),1+(1-$AU7))</f>
        <v>1</v>
      </c>
      <c r="CL7" s="15">
        <f>MIN(IF($AU7=100%,1,1+VLOOKUP(($AJ7-$AI7-$AH7-$AG7-$AF7-$AE7*(1+CL$3))/$AJ7,'Технический лист'!$A:$B,2,1)-VLOOKUP($AO7,'Технический лист'!$A:$B,2,1)),1+(1-$AU7))</f>
        <v>1</v>
      </c>
      <c r="CM7" s="15">
        <f>MIN(IF($AU7=100%,1,1+VLOOKUP(($AJ7-$AI7-$AH7-$AG7-$AF7-$AE7*(1+CM$3))/$AJ7,'Технический лист'!$A:$B,2,1)-VLOOKUP($AO7,'Технический лист'!$A:$B,2,1)),1+(1-$AU7))</f>
        <v>1</v>
      </c>
      <c r="CN7" s="15">
        <f>MIN(IF($AU7=100%,1,1+VLOOKUP(($AJ7-$AI7-$AH7-$AG7-$AF7-$AE7*(1+CN$3))/$AJ7,'Технический лист'!$A:$B,2,1)-VLOOKUP($AO7,'Технический лист'!$A:$B,2,1)),1+(1-$AU7))</f>
        <v>1</v>
      </c>
      <c r="CO7" s="15">
        <f>MIN(IF($AU7=100%,1,1+VLOOKUP(($AJ7-$AI7-$AH7-$AG7-$AF7-$AE7*(1+CO$3))/$AJ7,'Технический лист'!$A:$B,2,1)-VLOOKUP($AO7,'Технический лист'!$A:$B,2,1)),1+(1-$AU7))</f>
        <v>1</v>
      </c>
      <c r="CP7" s="15">
        <f>MIN(IF($AU7=100%,1,1+VLOOKUP(($AJ7-$AI7-$AH7-$AG7-$AF7-$AE7*(1+CP$3))/$AJ7,'Технический лист'!$A:$B,2,1)-VLOOKUP($AO7,'Технический лист'!$A:$B,2,1)),1+(1-$AU7))</f>
        <v>1</v>
      </c>
      <c r="CQ7" s="15">
        <f>MIN(IF($AU7=100%,1,1+VLOOKUP(($AJ7-$AI7-$AH7-$AG7-$AF7-$AE7*(1+CQ$3))/$AJ7,'Технический лист'!$A:$B,2,1)-VLOOKUP($AO7,'Технический лист'!$A:$B,2,1)),1+(1-$AU7))</f>
        <v>1</v>
      </c>
      <c r="CR7" s="15">
        <f>MIN(IF($AU7=100%,1,1+VLOOKUP(($AJ7-$AI7-$AH7-$AG7-$AF7-$AE7*(1+CR$3))/$AJ7,'Технический лист'!$A:$B,2,1)-VLOOKUP($AO7,'Технический лист'!$A:$B,2,1)),1+(1-$AU7))</f>
        <v>1</v>
      </c>
      <c r="CS7" s="15">
        <f>MIN(IF($AU7=100%,1,1+VLOOKUP(($AJ7-$AI7-$AH7-$AG7-$AF7-$AE7*(1+CS$3))/$AJ7,'Технический лист'!$A:$B,2,1)-VLOOKUP($AO7,'Технический лист'!$A:$B,2,1)),1+(1-$AU7))</f>
        <v>1</v>
      </c>
      <c r="CT7" s="15">
        <f>MIN(IF($AU7=100%,1,1+VLOOKUP(($AJ7-$AI7-$AH7-$AG7-$AF7-$AE7*(1+CT$3))/$AJ7,'Технический лист'!$A:$B,2,1)-VLOOKUP($AO7,'Технический лист'!$A:$B,2,1)),1+(1-$AU7))</f>
        <v>1</v>
      </c>
      <c r="CU7" s="15">
        <f>MIN(IF($AU7=100%,1,1+VLOOKUP(($AJ7-$AI7-$AH7-$AG7-$AF7-$AE7*(1+CU$3))/$AJ7,'Технический лист'!$A:$B,2,1)-VLOOKUP($AO7,'Технический лист'!$A:$B,2,1)),1+(1-$AU7))</f>
        <v>1</v>
      </c>
      <c r="CV7" s="15">
        <f>MIN(IF($AU7=100%,1,1+VLOOKUP(($AJ7-$AI7-$AH7-$AG7-$AF7-$AE7*(1+CV$3))/$AJ7,'Технический лист'!$A:$B,2,1)-VLOOKUP($AO7,'Технический лист'!$A:$B,2,1)),1+(1-$AU7))</f>
        <v>1</v>
      </c>
      <c r="CW7" s="15">
        <f>MIN(IF($AU7=100%,1,1+VLOOKUP(($AJ7-$AI7-$AH7-$AG7-$AF7-$AE7*(1+CW$3))/$AJ7,'Технический лист'!$A:$B,2,1)-VLOOKUP($AO7,'Технический лист'!$A:$B,2,1)),1+(1-$AU7))</f>
        <v>1</v>
      </c>
      <c r="CX7" s="15">
        <f>MIN(IF($AU7=100%,1,1+VLOOKUP(($AJ7-$AI7-$AH7-$AG7-$AF7-$AE7*(1+CX$3))/$AJ7,'Технический лист'!$A:$B,2,1)-VLOOKUP($AO7,'Технический лист'!$A:$B,2,1)),1+(1-$AU7))</f>
        <v>1</v>
      </c>
      <c r="CY7" s="15">
        <f>MIN(IF($AU7=100%,1,1+VLOOKUP(($AJ7-$AI7-$AH7-$AG7-$AF7-$AE7*(1+CY$3))/$AJ7,'Технический лист'!$A:$B,2,1)-VLOOKUP($AO7,'Технический лист'!$A:$B,2,1)),1+(1-$AU7))</f>
        <v>1</v>
      </c>
      <c r="CZ7" s="15">
        <f>MIN(IF($AU7=100%,1,1+VLOOKUP(($AJ7-$AI7-$AH7-$AG7-$AF7-$AE7*(1+CZ$3))/$AJ7,'Технический лист'!$A:$B,2,1)-VLOOKUP($AO7,'Технический лист'!$A:$B,2,1)),1+(1-$AU7))</f>
        <v>1</v>
      </c>
      <c r="DA7" s="15">
        <f>MIN(IF($AU7=100%,1,1+VLOOKUP(($AJ7-$AI7-$AH7-$AG7-$AF7-$AE7*(1+DA$3))/$AJ7,'Технический лист'!$A:$B,2,1)-VLOOKUP($AO7,'Технический лист'!$A:$B,2,1)),1+(1-$AU7))</f>
        <v>1</v>
      </c>
      <c r="DB7" s="15">
        <f>MIN(IF($AU7=100%,1,1+VLOOKUP(($AJ7-$AI7-$AH7-$AG7-$AF7-$AE7*(1+DB$3))/$AJ7,'Технический лист'!$A:$B,2,1)-VLOOKUP($AO7,'Технический лист'!$A:$B,2,1)),1+(1-$AU7))</f>
        <v>1</v>
      </c>
      <c r="DC7" s="15">
        <f>MIN(IF($AU7=100%,1,1+VLOOKUP(($AJ7-$AI7-$AH7-$AG7-$AF7-$AE7*(1+DC$3))/$AJ7,'Технический лист'!$A:$B,2,1)-VLOOKUP($AO7,'Технический лист'!$A:$B,2,1)),1+(1-$AU7))</f>
        <v>1</v>
      </c>
      <c r="DD7" s="15">
        <f>MIN(IF($AU7=100%,1,1+VLOOKUP(($AJ7-$AI7-$AH7-$AG7-$AF7-$AE7*(1+DD$3))/$AJ7,'Технический лист'!$A:$B,2,1)-VLOOKUP($AO7,'Технический лист'!$A:$B,2,1)),1+(1-$AU7))</f>
        <v>1</v>
      </c>
      <c r="DE7" s="15">
        <f>MIN(IF($AU7=100%,1,1+VLOOKUP(($AJ7-$AI7-$AH7-$AG7-$AF7-$AE7*(1+DE$3))/$AJ7,'Технический лист'!$A:$B,2,1)-VLOOKUP($AO7,'Технический лист'!$A:$B,2,1)),1+(1-$AU7))</f>
        <v>1</v>
      </c>
      <c r="DF7" s="15">
        <f>MIN(IF($AU7=100%,1,1+VLOOKUP(($AJ7-$AI7-$AH7-$AG7-$AF7-$AE7*(1+DF$3))/$AJ7,'Технический лист'!$A:$B,2,1)-VLOOKUP($AO7,'Технический лист'!$A:$B,2,1)),1+(1-$AU7))</f>
        <v>1</v>
      </c>
      <c r="DG7" s="15">
        <f>MIN(IF($AU7=100%,1,1+VLOOKUP(($AJ7-$AI7-$AH7-$AG7-$AF7-$AE7*(1+DG$3))/$AJ7,'Технический лист'!$A:$B,2,1)-VLOOKUP($AO7,'Технический лист'!$A:$B,2,1)),1+(1-$AU7))</f>
        <v>1</v>
      </c>
      <c r="DH7" s="15">
        <f>MIN(IF($AU7=100%,1,1+VLOOKUP(($AJ7-$AI7-$AH7-$AG7-$AF7-$AE7*(1+DH$3))/$AJ7,'Технический лист'!$A:$B,2,1)-VLOOKUP($AO7,'Технический лист'!$A:$B,2,1)),1+(1-$AU7))</f>
        <v>1</v>
      </c>
      <c r="DI7" s="15">
        <f>MIN(IF($AU7=100%,1,1+VLOOKUP(($AJ7-$AI7-$AH7-$AG7-$AF7-$AE7*(1+DI$3))/$AJ7,'Технический лист'!$A:$B,2,1)-VLOOKUP($AO7,'Технический лист'!$A:$B,2,1)),1+(1-$AU7))</f>
        <v>1</v>
      </c>
      <c r="DJ7" s="15">
        <f>MIN(IF($AU7=100%,1,1+VLOOKUP(($AJ7-$AI7-$AH7-$AG7-$AF7-$AE7*(1+DJ$3))/$AJ7,'Технический лист'!$A:$B,2,1)-VLOOKUP($AO7,'Технический лист'!$A:$B,2,1)),1+(1-$AU7))</f>
        <v>1</v>
      </c>
      <c r="DK7" s="15">
        <f>MIN(IF($AU7=100%,1,1+VLOOKUP(($AJ7-$AI7-$AH7-$AG7-$AF7-$AE7*(1+DK$3))/$AJ7,'Технический лист'!$A:$B,2,1)-VLOOKUP($AO7,'Технический лист'!$A:$B,2,1)),1+(1-$AU7))</f>
        <v>1</v>
      </c>
      <c r="DL7" s="15">
        <f>MIN(IF($AU7=100%,1,1+VLOOKUP(($AJ7-$AI7-$AH7-$AG7-$AF7-$AE7*(1+DL$3))/$AJ7,'Технический лист'!$A:$B,2,1)-VLOOKUP($AO7,'Технический лист'!$A:$B,2,1)),1+(1-$AU7))</f>
        <v>1</v>
      </c>
      <c r="DM7" s="15">
        <f>MIN(IF($AU7=100%,1,1+VLOOKUP(($AJ7-$AI7-$AH7-$AG7-$AF7-$AE7*(1+DM$3))/$AJ7,'Технический лист'!$A:$B,2,1)-VLOOKUP($AO7,'Технический лист'!$A:$B,2,1)),1+(1-$AU7))</f>
        <v>1</v>
      </c>
      <c r="DN7" s="15">
        <f>MIN(IF($AU7=100%,1,1+VLOOKUP(($AJ7-$AI7-$AH7-$AG7-$AF7-$AE7*(1+DN$3))/$AJ7,'Технический лист'!$A:$B,2,1)-VLOOKUP($AO7,'Технический лист'!$A:$B,2,1)),1+(1-$AU7))</f>
        <v>1</v>
      </c>
      <c r="DO7" s="15">
        <f>MIN(IF($AU7=100%,1,1+VLOOKUP(($AJ7-$AI7-$AH7-$AG7-$AF7-$AE7*(1+DO$3))/$AJ7,'Технический лист'!$A:$B,2,1)-VLOOKUP($AO7,'Технический лист'!$A:$B,2,1)),1+(1-$AU7))</f>
        <v>1</v>
      </c>
      <c r="DP7" s="15">
        <f>MIN(IF($AU7=100%,1,1+VLOOKUP(($AJ7-$AI7-$AH7-$AG7-$AF7-$AE7*(1+DP$3))/$AJ7,'Технический лист'!$A:$B,2,1)-VLOOKUP($AO7,'Технический лист'!$A:$B,2,1)),1+(1-$AU7))</f>
        <v>1</v>
      </c>
      <c r="DQ7" s="15">
        <f>MIN(IF($AU7=100%,1,1+VLOOKUP(($AJ7-$AI7-$AH7-$AG7-$AF7-$AE7*(1+DQ$3))/$AJ7,'Технический лист'!$A:$B,2,1)-VLOOKUP($AO7,'Технический лист'!$A:$B,2,1)),1+(1-$AU7))</f>
        <v>1</v>
      </c>
      <c r="DR7" s="15">
        <f>MIN(IF($AU7=100%,1,1+VLOOKUP(($AJ7-$AI7-$AH7-$AG7-$AF7-$AE7*(1+DR$3))/$AJ7,'Технический лист'!$A:$B,2,1)-VLOOKUP($AO7,'Технический лист'!$A:$B,2,1)),1+(1-$AU7))</f>
        <v>1</v>
      </c>
      <c r="DS7" s="15">
        <f>MIN(IF($AU7=100%,1,1+VLOOKUP(($AJ7-$AI7-$AH7-$AG7-$AF7-$AE7*(1+DS$3))/$AJ7,'Технический лист'!$A:$B,2,1)-VLOOKUP($AO7,'Технический лист'!$A:$B,2,1)),1+(1-$AU7))</f>
        <v>1</v>
      </c>
      <c r="DT7" s="15">
        <f>MIN(IF($AU7=100%,1,1+VLOOKUP(($AJ7-$AI7-$AH7-$AG7-$AF7-$AE7*(1+DT$3))/$AJ7,'Технический лист'!$A:$B,2,1)-VLOOKUP($AO7,'Технический лист'!$A:$B,2,1)),1+(1-$AU7))</f>
        <v>1</v>
      </c>
      <c r="DU7" s="15">
        <f>MIN(IF($AU7=100%,1,1+VLOOKUP(($AJ7-$AI7-$AH7-$AG7-$AF7-$AE7*(1+DU$3))/$AJ7,'Технический лист'!$A:$B,2,1)-VLOOKUP($AO7,'Технический лист'!$A:$B,2,1)),1+(1-$AU7))</f>
        <v>1</v>
      </c>
      <c r="DV7" s="15">
        <f>MIN(IF($AU7=100%,1,1+VLOOKUP(($AJ7-$AI7-$AH7-$AG7-$AF7-$AE7*(1+DV$3))/$AJ7,'Технический лист'!$A:$B,2,1)-VLOOKUP($AO7,'Технический лист'!$A:$B,2,1)),1+(1-$AU7))</f>
        <v>1</v>
      </c>
      <c r="DW7" s="15">
        <f>MIN(IF($AU7=100%,1,1+VLOOKUP(($AJ7-$AI7-$AH7-$AG7-$AF7-$AE7*(1+DW$3))/$AJ7,'Технический лист'!$A:$B,2,1)-VLOOKUP($AO7,'Технический лист'!$A:$B,2,1)),1+(1-$AU7))</f>
        <v>1</v>
      </c>
      <c r="DX7" s="15">
        <f>MIN(IF($AU7=100%,1,1+VLOOKUP(($AJ7-$AI7-$AH7-$AG7-$AF7-$AE7*(1+DX$3))/$AJ7,'Технический лист'!$A:$B,2,1)-VLOOKUP($AO7,'Технический лист'!$A:$B,2,1)),1+(1-$AU7))</f>
        <v>1</v>
      </c>
      <c r="DY7" s="15">
        <f>MIN(IF($AU7=100%,1,1+VLOOKUP(($AJ7-$AI7-$AH7-$AG7-$AF7-$AE7*(1+DY$3))/$AJ7,'Технический лист'!$A:$B,2,1)-VLOOKUP($AO7,'Технический лист'!$A:$B,2,1)),1+(1-$AU7))</f>
        <v>1</v>
      </c>
      <c r="DZ7" s="15">
        <f>MIN(IF($AU7=100%,1,1+VLOOKUP(($AJ7-$AI7-$AH7-$AG7-$AF7-$AE7*(1+DZ$3))/$AJ7,'Технический лист'!$A:$B,2,1)-VLOOKUP($AO7,'Технический лист'!$A:$B,2,1)),1+(1-$AU7))</f>
        <v>1</v>
      </c>
      <c r="EA7" s="15">
        <f>MIN(IF($AU7=100%,1,1+VLOOKUP(($AJ7-$AI7-$AH7-$AG7-$AF7-$AE7*(1+EA$3))/$AJ7,'Технический лист'!$A:$B,2,1)-VLOOKUP($AO7,'Технический лист'!$A:$B,2,1)),1+(1-$AU7))</f>
        <v>1</v>
      </c>
      <c r="EB7" s="15">
        <f>MIN(IF($AU7=100%,1,1+VLOOKUP(($AJ7-$AI7-$AH7-$AG7-$AF7-$AE7*(1+EB$3))/$AJ7,'Технический лист'!$A:$B,2,1)-VLOOKUP($AO7,'Технический лист'!$A:$B,2,1)),1+(1-$AU7))</f>
        <v>1</v>
      </c>
      <c r="EC7" s="15">
        <f>MIN(IF($AU7=100%,1,1+VLOOKUP(($AJ7-$AI7-$AH7-$AG7-$AF7-$AE7*(1+EC$3))/$AJ7,'Технический лист'!$A:$B,2,1)-VLOOKUP($AO7,'Технический лист'!$A:$B,2,1)),1+(1-$AU7))</f>
        <v>1</v>
      </c>
      <c r="ED7" s="15">
        <f>MIN(IF($AU7=100%,1,1+VLOOKUP(($AJ7-$AI7-$AH7-$AG7-$AF7-$AE7*(1+ED$3))/$AJ7,'Технический лист'!$A:$B,2,1)-VLOOKUP($AO7,'Технический лист'!$A:$B,2,1)),1+(1-$AU7))</f>
        <v>1</v>
      </c>
      <c r="EE7" s="15">
        <f>MIN(IF($AU7=100%,1,1+VLOOKUP(($AJ7-$AI7-$AH7-$AG7-$AF7-$AE7*(1+EE$3))/$AJ7,'Технический лист'!$A:$B,2,1)-VLOOKUP($AO7,'Технический лист'!$A:$B,2,1)),1+(1-$AU7))</f>
        <v>1</v>
      </c>
      <c r="EF7" s="15">
        <f>MIN(IF($AU7=100%,1,1+VLOOKUP(($AJ7-$AI7-$AH7-$AG7-$AF7-$AE7*(1+EF$3))/$AJ7,'Технический лист'!$A:$B,2,1)-VLOOKUP($AO7,'Технический лист'!$A:$B,2,1)),1+(1-$AU7))</f>
        <v>1</v>
      </c>
      <c r="EG7" s="15">
        <f>MIN(IF($AU7=100%,1,1+VLOOKUP(($AJ7-$AI7-$AH7-$AG7-$AF7-$AE7*(1+EG$3))/$AJ7,'Технический лист'!$A:$B,2,1)-VLOOKUP($AO7,'Технический лист'!$A:$B,2,1)),1+(1-$AU7))</f>
        <v>1</v>
      </c>
      <c r="EH7" s="15">
        <f>MIN(IF($AU7=100%,1,1+VLOOKUP(($AJ7-$AI7-$AH7-$AG7-$AF7-$AE7*(1+EH$3))/$AJ7,'Технический лист'!$A:$B,2,1)-VLOOKUP($AO7,'Технический лист'!$A:$B,2,1)),1+(1-$AU7))</f>
        <v>1</v>
      </c>
      <c r="EI7" s="15">
        <f>MIN(IF($AU7=100%,1,1+VLOOKUP(($AJ7-$AI7-$AH7-$AG7-$AF7-$AE7*(1+EI$3))/$AJ7,'Технический лист'!$A:$B,2,1)-VLOOKUP($AO7,'Технический лист'!$A:$B,2,1)),1+(1-$AU7))</f>
        <v>1</v>
      </c>
      <c r="EJ7" s="15">
        <f>MIN(IF($AU7=100%,1,1+VLOOKUP(($AJ7-$AI7-$AH7-$AG7-$AF7-$AE7*(1+EJ$3))/$AJ7,'Технический лист'!$A:$B,2,1)-VLOOKUP($AO7,'Технический лист'!$A:$B,2,1)),1+(1-$AU7))</f>
        <v>1</v>
      </c>
      <c r="EK7" s="15">
        <f>MIN(IF($AU7=100%,1,1+VLOOKUP(($AJ7-$AI7-$AH7-$AG7-$AF7-$AE7*(1+EK$3))/$AJ7,'Технический лист'!$A:$B,2,1)-VLOOKUP($AO7,'Технический лист'!$A:$B,2,1)),1+(1-$AU7))</f>
        <v>1</v>
      </c>
      <c r="EL7" s="15">
        <f>MIN(IF($AU7=100%,1,1+VLOOKUP(($AJ7-$AI7-$AH7-$AG7-$AF7-$AE7*(1+EL$3))/$AJ7,'Технический лист'!$A:$B,2,1)-VLOOKUP($AO7,'Технический лист'!$A:$B,2,1)),1+(1-$AU7))</f>
        <v>1</v>
      </c>
      <c r="EM7" s="15">
        <f>MIN(IF($AU7=100%,1,1+VLOOKUP(($AJ7-$AI7-$AH7-$AG7-$AF7-$AE7*(1+EM$3))/$AJ7,'Технический лист'!$A:$B,2,1)-VLOOKUP($AO7,'Технический лист'!$A:$B,2,1)),1+(1-$AU7))</f>
        <v>1</v>
      </c>
      <c r="EN7" s="15">
        <f>MIN(IF($AU7=100%,1,1+VLOOKUP(($AJ7-$AI7-$AH7-$AG7-$AF7-$AE7*(1+EN$3))/$AJ7,'Технический лист'!$A:$B,2,1)-VLOOKUP($AO7,'Технический лист'!$A:$B,2,1)),1+(1-$AU7))</f>
        <v>1</v>
      </c>
      <c r="EO7" s="15">
        <f>MIN(IF($AU7=100%,1,1+VLOOKUP(($AJ7-$AI7-$AH7-$AG7-$AF7-$AE7*(1+EO$3))/$AJ7,'Технический лист'!$A:$B,2,1)-VLOOKUP($AO7,'Технический лист'!$A:$B,2,1)),1+(1-$AU7))</f>
        <v>1</v>
      </c>
      <c r="EP7" s="15">
        <f>MIN(IF($AU7=100%,1,1+VLOOKUP(($AJ7-$AI7-$AH7-$AG7-$AF7-$AE7*(1+EP$3))/$AJ7,'Технический лист'!$A:$B,2,1)-VLOOKUP($AO7,'Технический лист'!$A:$B,2,1)),1+(1-$AU7))</f>
        <v>1</v>
      </c>
      <c r="EQ7" s="15">
        <f>MIN(IF($AU7=100%,1,1+VLOOKUP(($AJ7-$AI7-$AH7-$AG7-$AF7-$AE7*(1+EQ$3))/$AJ7,'Технический лист'!$A:$B,2,1)-VLOOKUP($AO7,'Технический лист'!$A:$B,2,1)),1+(1-$AU7))</f>
        <v>1</v>
      </c>
      <c r="ER7" s="15">
        <f>MIN(IF($AU7=100%,1,1+VLOOKUP(($AJ7-$AI7-$AH7-$AG7-$AF7-$AE7*(1+ER$3))/$AJ7,'Технический лист'!$A:$B,2,1)-VLOOKUP($AO7,'Технический лист'!$A:$B,2,1)),1+(1-$AU7))</f>
        <v>1</v>
      </c>
      <c r="ES7" s="15">
        <f>MIN(IF($AU7=100%,1,1+VLOOKUP(($AJ7-$AI7-$AH7-$AG7-$AF7-$AE7*(1+ES$3))/$AJ7,'Технический лист'!$A:$B,2,1)-VLOOKUP($AO7,'Технический лист'!$A:$B,2,1)),1+(1-$AU7))</f>
        <v>1</v>
      </c>
      <c r="ET7" s="15">
        <f>MIN(IF($AU7=100%,1,1+VLOOKUP(($AJ7-$AI7-$AH7-$AG7-$AF7-$AE7*(1+ET$3))/$AJ7,'Технический лист'!$A:$B,2,1)-VLOOKUP($AO7,'Технический лист'!$A:$B,2,1)),1+(1-$AU7))</f>
        <v>1</v>
      </c>
      <c r="EU7" s="15">
        <f>MIN(IF($AU7=100%,1,1+VLOOKUP(($AJ7-$AI7-$AH7-$AG7-$AF7-$AE7*(1+EU$3))/$AJ7,'Технический лист'!$A:$B,2,1)-VLOOKUP($AO7,'Технический лист'!$A:$B,2,1)),1+(1-$AU7))</f>
        <v>1</v>
      </c>
      <c r="EV7" s="111">
        <v>1</v>
      </c>
      <c r="EW7" s="15">
        <f>MIN(1,MAX(VLOOKUP(($AJ7-$AI7-$AH7-$AG7-$AF7-$AE7*(1+EW$3))/$AJ7,'Технический лист'!$A:$B,2,1),(EV7-0.05)))</f>
        <v>1</v>
      </c>
      <c r="EX7" s="15">
        <f>MIN(1,MAX(VLOOKUP(($AJ7-$AI7-$AH7-$AG7-$AF7-$AE7*(1+EX$3))/$AJ7,'Технический лист'!$A:$B,2,1),(EW7-0.05)))</f>
        <v>1</v>
      </c>
      <c r="EY7" s="15">
        <f>MIN(1,MAX(VLOOKUP(($AJ7-$AI7-$AH7-$AG7-$AF7-$AE7*(1+EY$3))/$AJ7,'Технический лист'!$A:$B,2,1),(EX7-0.05)))</f>
        <v>1</v>
      </c>
      <c r="EZ7" s="15">
        <f>MIN(1,MAX(VLOOKUP(($AJ7-$AI7-$AH7-$AG7-$AF7-$AE7*(1+EZ$3))/$AJ7,'Технический лист'!$A:$B,2,1),(EY7-0.05)))</f>
        <v>1</v>
      </c>
      <c r="FA7" s="15">
        <f>MIN(1,MAX(VLOOKUP(($AJ7-$AI7-$AH7-$AG7-$AF7-$AE7*(1+FA$3))/$AJ7,'Технический лист'!$A:$B,2,1),(EZ7-0.05)))</f>
        <v>1</v>
      </c>
      <c r="FB7" s="15">
        <f>MIN(1,MAX(VLOOKUP(($AJ7-$AI7-$AH7-$AG7-$AF7-$AE7*(1+FB$3))/$AJ7,'Технический лист'!$A:$B,2,1),(FA7-0.05)))</f>
        <v>1</v>
      </c>
      <c r="FC7" s="15">
        <f>MIN(1,MAX(VLOOKUP(($AJ7-$AI7-$AH7-$AG7-$AF7-$AE7*(1+FC$3))/$AJ7,'Технический лист'!$A:$B,2,1),(FB7-0.05)))</f>
        <v>1</v>
      </c>
      <c r="FD7" s="15">
        <f>MIN(1,MAX(VLOOKUP(($AJ7-$AI7-$AH7-$AG7-$AF7-$AE7*(1+FD$3))/$AJ7,'Технический лист'!$A:$B,2,1),(FC7-0.05)))</f>
        <v>1</v>
      </c>
      <c r="FE7" s="15">
        <f>MIN(1,MAX(VLOOKUP(($AJ7-$AI7-$AH7-$AG7-$AF7-$AE7*(1+FE$3))/$AJ7,'Технический лист'!$A:$B,2,1),(FD7-0.05)))</f>
        <v>1</v>
      </c>
      <c r="FF7" s="15">
        <f>MIN(1,MAX(VLOOKUP(($AJ7-$AI7-$AH7-$AG7-$AF7-$AE7*(1+FF$3))/$AJ7,'Технический лист'!$A:$B,2,1),(FE7-0.05)))</f>
        <v>1</v>
      </c>
      <c r="FG7" s="15">
        <f>MIN(1,MAX(VLOOKUP(($AJ7-$AI7-$AH7-$AG7-$AF7-$AE7*(1+FG$3))/$AJ7,'Технический лист'!$A:$B,2,1),(FF7-0.05)))</f>
        <v>1</v>
      </c>
      <c r="FH7" s="15">
        <f>MIN(1,MAX(VLOOKUP(($AJ7-$AI7-$AH7-$AG7-$AF7-$AE7*(1+FH$3))/$AJ7,'Технический лист'!$A:$B,2,1),(FG7-0.05)))</f>
        <v>1</v>
      </c>
      <c r="FI7" s="15">
        <f>MIN(1,MAX(VLOOKUP(($AJ7-$AI7-$AH7-$AG7-$AF7-$AE7*(1+FI$3))/$AJ7,'Технический лист'!$A:$B,2,1),(FH7-0.05)))</f>
        <v>1</v>
      </c>
      <c r="FJ7" s="15">
        <f>MIN(1,MAX(VLOOKUP(($AJ7-$AI7-$AH7-$AG7-$AF7-$AE7*(1+FJ$3))/$AJ7,'Технический лист'!$A:$B,2,1),(FI7-0.05)))</f>
        <v>1</v>
      </c>
      <c r="FK7" s="15">
        <f>MIN(1,MAX(VLOOKUP(($AJ7-$AI7-$AH7-$AG7-$AF7-$AE7*(1+FK$3))/$AJ7,'Технический лист'!$A:$B,2,1),(FJ7-0.05)))</f>
        <v>1</v>
      </c>
      <c r="FL7" s="15">
        <f>MIN(1,MAX(VLOOKUP(($AJ7-$AI7-$AH7-$AG7-$AF7-$AE7*(1+FL$3))/$AJ7,'Технический лист'!$A:$B,2,1),(FK7-0.05)))</f>
        <v>1</v>
      </c>
      <c r="FM7" s="15">
        <f>MIN(1,MAX(VLOOKUP(($AJ7-$AI7-$AH7-$AG7-$AF7-$AE7*(1+FM$3))/$AJ7,'Технический лист'!$A:$B,2,1),(FL7-0.05)))</f>
        <v>1</v>
      </c>
      <c r="FN7" s="15">
        <f>MIN(1,MAX(VLOOKUP(($AJ7-$AI7-$AH7-$AG7-$AF7-$AE7*(1+FN$3))/$AJ7,'Технический лист'!$A:$B,2,1),(FM7-0.05)))</f>
        <v>1</v>
      </c>
      <c r="FO7" s="15">
        <f>MIN(1,MAX(VLOOKUP(($AJ7-$AI7-$AH7-$AG7-$AF7-$AE7*(1+FO$3))/$AJ7,'Технический лист'!$A:$B,2,1),(FN7-0.05)))</f>
        <v>1</v>
      </c>
      <c r="FP7" s="15">
        <f>MIN(1,MAX(VLOOKUP(($AJ7-$AI7-$AH7-$AG7-$AF7-$AE7*(1+FP$3))/$AJ7,'Технический лист'!$A:$B,2,1),(FO7-0.05)))</f>
        <v>1</v>
      </c>
      <c r="FQ7" s="15">
        <f>MIN(1,MAX(VLOOKUP(($AJ7-$AI7-$AH7-$AG7-$AF7-$AE7*(1+FQ$3))/$AJ7,'Технический лист'!$A:$B,2,1),(FP7-0.05)))</f>
        <v>1</v>
      </c>
      <c r="FR7" s="15">
        <f>MIN(1,MAX(VLOOKUP(($AJ7-$AI7-$AH7-$AG7-$AF7-$AE7*(1+FR$3))/$AJ7,'Технический лист'!$A:$B,2,1),(FQ7-0.05)))</f>
        <v>1</v>
      </c>
      <c r="FS7" s="15">
        <f>MIN(1,MAX(VLOOKUP(($AJ7-$AI7-$AH7-$AG7-$AF7-$AE7*(1+FS$3))/$AJ7,'Технический лист'!$A:$B,2,1),(FR7-0.05)))</f>
        <v>1</v>
      </c>
      <c r="FT7" s="15">
        <f>MIN(1,MAX(VLOOKUP(($AJ7-$AI7-$AH7-$AG7-$AF7-$AE7*(1+FT$3))/$AJ7,'Технический лист'!$A:$B,2,1),(FS7-0.05)))</f>
        <v>1</v>
      </c>
      <c r="FU7" s="15">
        <f>MIN(1,MAX(VLOOKUP(($AJ7-$AI7-$AH7-$AG7-$AF7-$AE7*(1+FU$3))/$AJ7,'Технический лист'!$A:$B,2,1),(FT7-0.05)))</f>
        <v>1</v>
      </c>
      <c r="FV7" s="15">
        <f>MIN(1,MAX(VLOOKUP(($AJ7-$AI7-$AH7-$AG7-$AF7-$AE7*(1+FV$3))/$AJ7,'Технический лист'!$A:$B,2,1),(FU7-0.05)))</f>
        <v>1</v>
      </c>
      <c r="FW7" s="15">
        <f>MIN(1,MAX(VLOOKUP(($AJ7-$AI7-$AH7-$AG7-$AF7-$AE7*(1+FW$3))/$AJ7,'Технический лист'!$A:$B,2,1),(FV7-0.05)))</f>
        <v>1</v>
      </c>
      <c r="FX7" s="15">
        <f>MIN(1,MAX(VLOOKUP(($AJ7-$AI7-$AH7-$AG7-$AF7-$AE7*(1+FX$3))/$AJ7,'Технический лист'!$A:$B,2,1),(FW7-0.05)))</f>
        <v>1</v>
      </c>
      <c r="FY7" s="15">
        <f>MIN(1,MAX(VLOOKUP(($AJ7-$AI7-$AH7-$AG7-$AF7-$AE7*(1+FY$3))/$AJ7,'Технический лист'!$A:$B,2,1),(FX7-0.05)))</f>
        <v>1</v>
      </c>
      <c r="FZ7" s="15">
        <f>MIN(1,MAX(VLOOKUP(($AJ7-$AI7-$AH7-$AG7-$AF7-$AE7*(1+FZ$3))/$AJ7,'Технический лист'!$A:$B,2,1),(FY7-0.05)))</f>
        <v>1</v>
      </c>
      <c r="GA7" s="15">
        <f>MIN(1,MAX(VLOOKUP(($AJ7-$AI7-$AH7-$AG7-$AF7-$AE7*(1+GA$3))/$AJ7,'Технический лист'!$A:$B,2,1),(FZ7-0.05)))</f>
        <v>1</v>
      </c>
      <c r="GB7" s="15">
        <f>MIN(1,MAX(VLOOKUP(($AJ7-$AI7-$AH7-$AG7-$AF7-$AE7*(1+GB$3))/$AJ7,'Технический лист'!$A:$B,2,1),(GA7-0.05)))</f>
        <v>1</v>
      </c>
      <c r="GC7" s="15">
        <f>MIN(1,MAX(VLOOKUP(($AJ7-$AI7-$AH7-$AG7-$AF7-$AE7*(1+GC$3))/$AJ7,'Технический лист'!$A:$B,2,1),(GB7-0.05)))</f>
        <v>1</v>
      </c>
      <c r="GD7" s="15">
        <f>MIN(1,MAX(VLOOKUP(($AJ7-$AI7-$AH7-$AG7-$AF7-$AE7*(1+GD$3))/$AJ7,'Технический лист'!$A:$B,2,1),(GC7-0.05)))</f>
        <v>1</v>
      </c>
      <c r="GE7" s="15">
        <f>MIN(1,MAX(VLOOKUP(($AJ7-$AI7-$AH7-$AG7-$AF7-$AE7*(1+GE$3))/$AJ7,'Технический лист'!$A:$B,2,1),(GD7-0.05)))</f>
        <v>1</v>
      </c>
      <c r="GF7" s="15">
        <f>MIN(1,MAX(VLOOKUP(($AJ7-$AI7-$AH7-$AG7-$AF7-$AE7*(1+GF$3))/$AJ7,'Технический лист'!$A:$B,2,1),(GE7-0.05)))</f>
        <v>1</v>
      </c>
      <c r="GG7" s="15">
        <f>MIN(1,MAX(VLOOKUP(($AJ7-$AI7-$AH7-$AG7-$AF7-$AE7*(1+GG$3))/$AJ7,'Технический лист'!$A:$B,2,1),(GF7-0.05)))</f>
        <v>1</v>
      </c>
      <c r="GH7" s="15">
        <f>MIN(1,MAX(VLOOKUP(($AJ7-$AI7-$AH7-$AG7-$AF7-$AE7*(1+GH$3))/$AJ7,'Технический лист'!$A:$B,2,1),(GG7-0.05)))</f>
        <v>1</v>
      </c>
      <c r="GI7" s="15">
        <f>MIN(1,MAX(VLOOKUP(($AJ7-$AI7-$AH7-$AG7-$AF7-$AE7*(1+GI$3))/$AJ7,'Технический лист'!$A:$B,2,1),(GH7-0.05)))</f>
        <v>1</v>
      </c>
      <c r="GJ7" s="15">
        <f>MIN(1,MAX(VLOOKUP(($AJ7-$AI7-$AH7-$AG7-$AF7-$AE7*(1+GJ$3))/$AJ7,'Технический лист'!$A:$B,2,1),(GI7-0.05)))</f>
        <v>1</v>
      </c>
      <c r="GK7" s="15">
        <f>MIN(1,MAX(VLOOKUP(($AJ7-$AI7-$AH7-$AG7-$AF7-$AE7*(1+GK$3))/$AJ7,'Технический лист'!$A:$B,2,1),(GJ7-0.05)))</f>
        <v>1</v>
      </c>
      <c r="GL7" s="15">
        <f>MIN(1,MAX(VLOOKUP(($AJ7-$AI7-$AH7-$AG7-$AF7-$AE7*(1+GL$3))/$AJ7,'Технический лист'!$A:$B,2,1),(GK7-0.05)))</f>
        <v>1</v>
      </c>
      <c r="GM7" s="15">
        <f>MIN(1,MAX(VLOOKUP(($AJ7-$AI7-$AH7-$AG7-$AF7-$AE7*(1+GM$3))/$AJ7,'Технический лист'!$A:$B,2,1),(GL7-0.05)))</f>
        <v>1</v>
      </c>
      <c r="GN7" s="15">
        <f>MIN(1,MAX(VLOOKUP(($AJ7-$AI7-$AH7-$AG7-$AF7-$AE7*(1+GN$3))/$AJ7,'Технический лист'!$A:$B,2,1),(GM7-0.05)))</f>
        <v>1</v>
      </c>
      <c r="GO7" s="15">
        <f>MIN(1,MAX(VLOOKUP(($AJ7-$AI7-$AH7-$AG7-$AF7-$AE7*(1+GO$3))/$AJ7,'Технический лист'!$A:$B,2,1),(GN7-0.05)))</f>
        <v>1</v>
      </c>
      <c r="GP7" s="15">
        <f>MIN(1,MAX(VLOOKUP(($AJ7-$AI7-$AH7-$AG7-$AF7-$AE7*(1+GP$3))/$AJ7,'Технический лист'!$A:$B,2,1),(GO7-0.05)))</f>
        <v>1</v>
      </c>
      <c r="GQ7" s="15">
        <f>MIN(1,MAX(VLOOKUP(($AJ7-$AI7-$AH7-$AG7-$AF7-$AE7*(1+GQ$3))/$AJ7,'Технический лист'!$A:$B,2,1),(GP7-0.05)))</f>
        <v>1</v>
      </c>
      <c r="GR7" s="15">
        <f>MIN(1,MAX(VLOOKUP(($AJ7-$AI7-$AH7-$AG7-$AF7-$AE7*(1+GR$3))/$AJ7,'Технический лист'!$A:$B,2,1),(GQ7-0.05)))</f>
        <v>1</v>
      </c>
      <c r="GS7" s="15">
        <f>MIN(1,MAX(VLOOKUP(($AJ7-$AI7-$AH7-$AG7-$AF7-$AE7*(1+GS$3))/$AJ7,'Технический лист'!$A:$B,2,1),(GR7-0.05)))</f>
        <v>1</v>
      </c>
      <c r="GT7" s="15">
        <f>MIN(1,MAX(VLOOKUP(($AJ7-$AI7-$AH7-$AG7-$AF7-$AE7*(1+GT$3))/$AJ7,'Технический лист'!$A:$B,2,1),(GS7-0.05)))</f>
        <v>1</v>
      </c>
      <c r="GU7" s="15">
        <f>MIN(1,MAX(VLOOKUP(($AJ7-$AI7-$AH7-$AG7-$AF7-$AE7*(1+GU$3))/$AJ7,'Технический лист'!$A:$B,2,1),(GT7-0.05)))</f>
        <v>1</v>
      </c>
      <c r="GV7" s="15">
        <f>MIN(1,MAX(VLOOKUP(($AJ7-$AI7-$AH7-$AG7-$AF7-$AE7*(1+GV$3))/$AJ7,'Технический лист'!$A:$B,2,1),(GU7-0.05)))</f>
        <v>1</v>
      </c>
      <c r="GW7" s="15">
        <f>MIN(1,MAX(VLOOKUP(($AJ7-$AI7-$AH7-$AG7-$AF7-$AE7*(1+GW$3))/$AJ7,'Технический лист'!$A:$B,2,1),(GV7-0.05)))</f>
        <v>1</v>
      </c>
      <c r="GX7" s="15">
        <f>MIN(1,MAX(VLOOKUP(($AJ7-$AI7-$AH7-$AG7-$AF7-$AE7*(1+GX$3))/$AJ7,'Технический лист'!$A:$B,2,1),(GW7-0.05)))</f>
        <v>1</v>
      </c>
      <c r="GY7" s="15">
        <f>MIN(1,MAX(VLOOKUP(($AJ7-$AI7-$AH7-$AG7-$AF7-$AE7*(1+GY$3))/$AJ7,'Технический лист'!$A:$B,2,1),(GX7-0.05)))</f>
        <v>1</v>
      </c>
      <c r="GZ7" s="15">
        <f>MIN(1,MAX(VLOOKUP(($AJ7-$AI7-$AH7-$AG7-$AF7-$AE7*(1+GZ$3))/$AJ7,'Технический лист'!$A:$B,2,1),(GY7-0.05)))</f>
        <v>1</v>
      </c>
      <c r="HA7" s="15">
        <f>MIN(1,MAX(VLOOKUP(($AJ7-$AI7-$AH7-$AG7-$AF7-$AE7*(1+HA$3))/$AJ7,'Технический лист'!$A:$B,2,1),(GZ7-0.05)))</f>
        <v>1</v>
      </c>
      <c r="HB7" s="15">
        <f>MIN(1,MAX(VLOOKUP(($AJ7-$AI7-$AH7-$AG7-$AF7-$AE7*(1+HB$3))/$AJ7,'Технический лист'!$A:$B,2,1),(HA7-0.05)))</f>
        <v>1</v>
      </c>
      <c r="HC7" s="15">
        <f>MIN(1,MAX(VLOOKUP(($AJ7-$AI7-$AH7-$AG7-$AF7-$AE7*(1+HC$3))/$AJ7,'Технический лист'!$A:$B,2,1),(HB7-0.05)))</f>
        <v>1</v>
      </c>
      <c r="HD7" s="15">
        <f>MIN(1,MAX(VLOOKUP(($AJ7-$AI7-$AH7-$AG7-$AF7-$AE7*(1+HD$3))/$AJ7,'Технический лист'!$A:$B,2,1),(HC7-0.05)))</f>
        <v>1</v>
      </c>
      <c r="HE7" s="15">
        <f>MIN(1,MAX(VLOOKUP(($AJ7-$AI7-$AH7-$AG7-$AF7-$AE7*(1+HE$3))/$AJ7,'Технический лист'!$A:$B,2,1),(HD7-0.05)))</f>
        <v>1</v>
      </c>
      <c r="HF7" s="15">
        <f>MIN(1,MAX(VLOOKUP(($AJ7-$AI7-$AH7-$AG7-$AF7-$AE7*(1+HF$3))/$AJ7,'Технический лист'!$A:$B,2,1),(HE7-0.05)))</f>
        <v>1</v>
      </c>
      <c r="HG7" s="15">
        <f>MIN(1,MAX(VLOOKUP(($AJ7-$AI7-$AH7-$AG7-$AF7-$AE7*(1+HG$3))/$AJ7,'Технический лист'!$A:$B,2,1),(HF7-0.05)))</f>
        <v>1</v>
      </c>
      <c r="HH7" s="15">
        <f>MIN(1,MAX(VLOOKUP(($AJ7-$AI7-$AH7-$AG7-$AF7-$AE7*(1+HH$3))/$AJ7,'Технический лист'!$A:$B,2,1),(HG7-0.05)))</f>
        <v>1</v>
      </c>
      <c r="HI7" s="15">
        <f>MIN(1,MAX(VLOOKUP(($AJ7-$AI7-$AH7-$AG7-$AF7-$AE7*(1+HI$3))/$AJ7,'Технический лист'!$A:$B,2,1),(HH7-0.05)))</f>
        <v>1</v>
      </c>
      <c r="HJ7" s="15">
        <f>MIN(1,MAX(VLOOKUP(($AJ7-$AI7-$AH7-$AG7-$AF7-$AE7*(1+HJ$3))/$AJ7,'Технический лист'!$A:$B,2,1),(HI7-0.05)))</f>
        <v>1</v>
      </c>
      <c r="HK7" s="15">
        <f>MIN(1,MAX(VLOOKUP(($AJ7-$AI7-$AH7-$AG7-$AF7-$AE7*(1+HK$3))/$AJ7,'Технический лист'!$A:$B,2,1),(HJ7-0.05)))</f>
        <v>1</v>
      </c>
      <c r="HL7" s="15">
        <f>MIN(1,MAX(VLOOKUP(($AJ7-$AI7-$AH7-$AG7-$AF7-$AE7*(1+HL$3))/$AJ7,'Технический лист'!$A:$B,2,1),(HK7-0.05)))</f>
        <v>1</v>
      </c>
      <c r="HM7" s="15">
        <f>MIN(1,MAX(VLOOKUP(($AJ7-$AI7-$AH7-$AG7-$AF7-$AE7*(1+HM$3))/$AJ7,'Технический лист'!$A:$B,2,1),(HL7-0.05)))</f>
        <v>1</v>
      </c>
      <c r="HN7" s="15">
        <f>MIN(1,MAX(VLOOKUP(($AJ7-$AI7-$AH7-$AG7-$AF7-$AE7*(1+HN$3))/$AJ7,'Технический лист'!$A:$B,2,1),(HM7-0.05)))</f>
        <v>1</v>
      </c>
      <c r="HO7" s="15">
        <f>MIN(1,MAX(VLOOKUP(($AJ7-$AI7-$AH7-$AG7-$AF7-$AE7*(1+HO$3))/$AJ7,'Технический лист'!$A:$B,2,1),(HN7-0.05)))</f>
        <v>1</v>
      </c>
      <c r="HP7" s="15">
        <f>MIN(1,MAX(VLOOKUP(($AJ7-$AI7-$AH7-$AG7-$AF7-$AE7*(1+HP$3))/$AJ7,'Технический лист'!$A:$B,2,1),(HO7-0.05)))</f>
        <v>1</v>
      </c>
      <c r="HQ7" s="15">
        <f>MIN(1,MAX(VLOOKUP(($AJ7-$AI7-$AH7-$AG7-$AF7-$AE7*(1+HQ$3))/$AJ7,'Технический лист'!$A:$B,2,1),(HP7-0.05)))</f>
        <v>1</v>
      </c>
      <c r="HR7" s="15">
        <f>MIN(1,MAX(VLOOKUP(($AJ7-$AI7-$AH7-$AG7-$AF7-$AE7*(1+HR$3))/$AJ7,'Технический лист'!$A:$B,2,1),(HQ7-0.05)))</f>
        <v>1</v>
      </c>
      <c r="HS7" s="15">
        <f>MIN(1,MAX(VLOOKUP(($AJ7-$AI7-$AH7-$AG7-$AF7-$AE7*(1+HS$3))/$AJ7,'Технический лист'!$A:$B,2,1),(HR7-0.05)))</f>
        <v>1</v>
      </c>
      <c r="HT7" s="15">
        <f>MIN(1,MAX(VLOOKUP(($AJ7-$AI7-$AH7-$AG7-$AF7-$AE7*(1+HT$3))/$AJ7,'Технический лист'!$A:$B,2,1),(HS7-0.05)))</f>
        <v>1</v>
      </c>
      <c r="HU7" s="15">
        <f>MIN(1,MAX(VLOOKUP(($AJ7-$AI7-$AH7-$AG7-$AF7-$AE7*(1+HU$3))/$AJ7,'Технический лист'!$A:$B,2,1),(HT7-0.05)))</f>
        <v>1</v>
      </c>
      <c r="HV7" s="15">
        <f>MIN(1,MAX(VLOOKUP(($AJ7-$AI7-$AH7-$AG7-$AF7-$AE7*(1+HV$3))/$AJ7,'Технический лист'!$A:$B,2,1),(HU7-0.05)))</f>
        <v>1</v>
      </c>
      <c r="HW7" s="15">
        <f>MIN(1,MAX(VLOOKUP(($AJ7-$AI7-$AH7-$AG7-$AF7-$AE7*(1+HW$3))/$AJ7,'Технический лист'!$A:$B,2,1),(HV7-0.05)))</f>
        <v>1</v>
      </c>
      <c r="HX7" s="15">
        <f>MIN(1,MAX(VLOOKUP(($AJ7-$AI7-$AH7-$AG7-$AF7-$AE7*(1+HX$3))/$AJ7,'Технический лист'!$A:$B,2,1),(HW7-0.05)))</f>
        <v>1</v>
      </c>
      <c r="HY7" s="15">
        <f>MIN(1,MAX(VLOOKUP(($AJ7-$AI7-$AH7-$AG7-$AF7-$AE7*(1+HY$3))/$AJ7,'Технический лист'!$A:$B,2,1),(HX7-0.05)))</f>
        <v>1</v>
      </c>
      <c r="HZ7" s="15">
        <f>MIN(1,MAX(VLOOKUP(($AJ7-$AI7-$AH7-$AG7-$AF7-$AE7*(1+HZ$3))/$AJ7,'Технический лист'!$A:$B,2,1),(HY7-0.05)))</f>
        <v>1</v>
      </c>
      <c r="IA7" s="15">
        <f>MIN(1,MAX(VLOOKUP(($AJ7-$AI7-$AH7-$AG7-$AF7-$AE7*(1+IA$3))/$AJ7,'Технический лист'!$A:$B,2,1),(HZ7-0.05)))</f>
        <v>1</v>
      </c>
      <c r="IB7" s="15">
        <f>MIN(1,MAX(VLOOKUP(($AJ7-$AI7-$AH7-$AG7-$AF7-$AE7*(1+IB$3))/$AJ7,'Технический лист'!$A:$B,2,1),(IA7-0.05)))</f>
        <v>1</v>
      </c>
      <c r="IC7" s="15">
        <f>MIN(1,MAX(VLOOKUP(($AJ7-$AI7-$AH7-$AG7-$AF7-$AE7*(1+IC$3))/$AJ7,'Технический лист'!$A:$B,2,1),(IB7-0.05)))</f>
        <v>1</v>
      </c>
      <c r="ID7" s="15">
        <f>MIN(1,MAX(VLOOKUP(($AJ7-$AI7-$AH7-$AG7-$AF7-$AE7*(1+ID$3))/$AJ7,'Технический лист'!$A:$B,2,1),(IC7-0.05)))</f>
        <v>1</v>
      </c>
      <c r="IE7" s="15">
        <f>MIN(1,MAX(VLOOKUP(($AJ7-$AI7-$AH7-$AG7-$AF7-$AE7*(1+IE$3))/$AJ7,'Технический лист'!$A:$B,2,1),(ID7-0.05)))</f>
        <v>1</v>
      </c>
      <c r="IF7" s="15">
        <f>MIN(1,MAX(VLOOKUP(($AJ7-$AI7-$AH7-$AG7-$AF7-$AE7*(1+IF$3))/$AJ7,'Технический лист'!$A:$B,2,1),(IE7-0.05)))</f>
        <v>1</v>
      </c>
      <c r="IG7" s="15">
        <f>MIN(1,MAX(VLOOKUP(($AJ7-$AI7-$AH7-$AG7-$AF7-$AE7*(1+IG$3))/$AJ7,'Технический лист'!$A:$B,2,1),(IF7-0.05)))</f>
        <v>1</v>
      </c>
      <c r="IH7" s="15">
        <f>MIN(1,MAX(VLOOKUP(($AJ7-$AI7-$AH7-$AG7-$AF7-$AE7*(1+IH$3))/$AJ7,'Технический лист'!$A:$B,2,1),(IG7-0.05)))</f>
        <v>1</v>
      </c>
      <c r="II7" s="15">
        <f>MIN(1,MAX(VLOOKUP(($AJ7-$AI7-$AH7-$AG7-$AF7-$AE7*(1+II$3))/$AJ7,'Технический лист'!$A:$B,2,1),(IH7-0.05)))</f>
        <v>1</v>
      </c>
      <c r="IJ7" s="15">
        <f>MIN(1,MAX(VLOOKUP(($AJ7-$AI7-$AH7-$AG7-$AF7-$AE7*(1+IJ$3))/$AJ7,'Технический лист'!$A:$B,2,1),(II7-0.05)))</f>
        <v>1</v>
      </c>
      <c r="IK7" s="15">
        <f>MIN(1,MAX(VLOOKUP(($AJ7-$AI7-$AH7-$AG7-$AF7-$AE7*(1+IK$3))/$AJ7,'Технический лист'!$A:$B,2,1),(IJ7-0.05)))</f>
        <v>1</v>
      </c>
      <c r="IL7" s="15">
        <f>MIN(1,MAX(VLOOKUP(($AJ7-$AI7-$AH7-$AG7-$AF7-$AE7*(1+IL$3))/$AJ7,'Технический лист'!$A:$B,2,1),(IK7-0.05)))</f>
        <v>1</v>
      </c>
      <c r="IM7" s="15">
        <f>MIN(1,MAX(VLOOKUP(($AJ7-$AI7-$AH7-$AG7-$AF7-$AE7*(1+IM$3))/$AJ7,'Технический лист'!$A:$B,2,1),(IL7-0.05)))</f>
        <v>1</v>
      </c>
      <c r="IN7" s="15">
        <f>MIN(1,MAX(VLOOKUP(($AJ7-$AI7-$AH7-$AG7-$AF7-$AE7*(1+IN$3))/$AJ7,'Технический лист'!$A:$B,2,1),(IM7-0.05)))</f>
        <v>1</v>
      </c>
      <c r="IO7" s="15">
        <f>MIN(1,MAX(VLOOKUP(($AJ7-$AI7-$AH7-$AG7-$AF7-$AE7*(1+IO$3))/$AJ7,'Технический лист'!$A:$B,2,1),(IN7-0.05)))</f>
        <v>1</v>
      </c>
      <c r="IP7" s="15">
        <f>MIN(1,MAX(VLOOKUP(($AJ7-$AI7-$AH7-$AG7-$AF7-$AE7*(1+IP$3))/$AJ7,'Технический лист'!$A:$B,2,1),(IO7-0.05)))</f>
        <v>1</v>
      </c>
      <c r="IQ7" s="15">
        <f>MIN(1,MAX(VLOOKUP(($AJ7-$AI7-$AH7-$AG7-$AF7-$AE7*(1+IQ$3))/$AJ7,'Технический лист'!$A:$B,2,1),(IP7-0.05)))</f>
        <v>1</v>
      </c>
      <c r="IR7" s="15">
        <f>MIN(1,MAX(VLOOKUP(($AJ7-$AI7-$AH7-$AG7-$AF7-$AE7*(1+IR$3))/$AJ7,'Технический лист'!$A:$B,2,1),(IQ7-0.05)))</f>
        <v>1</v>
      </c>
    </row>
    <row r="8" spans="1:257">
      <c r="A8" s="89" t="s">
        <v>514</v>
      </c>
      <c r="B8" s="90">
        <v>2</v>
      </c>
      <c r="C8" s="5" t="s">
        <v>65</v>
      </c>
      <c r="D8" s="91">
        <v>17108</v>
      </c>
      <c r="E8" s="91" t="s">
        <v>318</v>
      </c>
      <c r="F8" s="92" t="s">
        <v>69</v>
      </c>
      <c r="G8" s="91" t="s">
        <v>50</v>
      </c>
      <c r="H8" s="91" t="s">
        <v>31</v>
      </c>
      <c r="I8" s="91" t="s">
        <v>83</v>
      </c>
      <c r="J8" s="91" t="s">
        <v>56</v>
      </c>
      <c r="K8" s="91">
        <v>715</v>
      </c>
      <c r="L8" s="85" t="s">
        <v>64</v>
      </c>
      <c r="M8" s="91" t="s">
        <v>17</v>
      </c>
      <c r="N8" s="91" t="s">
        <v>191</v>
      </c>
      <c r="O8" s="91" t="s">
        <v>192</v>
      </c>
      <c r="P8" s="89" t="s">
        <v>197</v>
      </c>
      <c r="Q8" s="91" t="s">
        <v>251</v>
      </c>
      <c r="R8" s="91" t="s">
        <v>251</v>
      </c>
      <c r="S8" s="82">
        <v>15408</v>
      </c>
      <c r="T8" s="82">
        <v>11018927</v>
      </c>
      <c r="U8" s="81">
        <v>254</v>
      </c>
      <c r="V8" s="81">
        <v>0</v>
      </c>
      <c r="W8" s="82">
        <v>11679155</v>
      </c>
      <c r="X8" s="112">
        <v>56</v>
      </c>
      <c r="Y8" s="112" t="s">
        <v>417</v>
      </c>
      <c r="Z8" s="113">
        <v>5</v>
      </c>
      <c r="AA8" s="113">
        <v>3</v>
      </c>
      <c r="AB8" s="113">
        <v>4</v>
      </c>
      <c r="AC8" s="99">
        <v>889.96</v>
      </c>
      <c r="AD8" s="99">
        <f t="shared" si="1"/>
        <v>267.78999999999996</v>
      </c>
      <c r="AE8" s="99">
        <v>1157.75</v>
      </c>
      <c r="AF8" s="98">
        <f>(Z8+AA8+AB8)*'Ставки аренды'!$B$3/X8</f>
        <v>150</v>
      </c>
      <c r="AG8" s="114">
        <v>0</v>
      </c>
      <c r="AH8" s="94">
        <v>0</v>
      </c>
      <c r="AI8" s="115">
        <f>0.71*AVERAGE(AJ7,AJ8)</f>
        <v>11642.3096675</v>
      </c>
      <c r="AJ8" s="117">
        <f>Цены!$C$8*'Курсы валют'!$B$2</f>
        <v>15795.238499999999</v>
      </c>
      <c r="AK8" s="94">
        <f>AJ8/Цены!$B$1</f>
        <v>207</v>
      </c>
      <c r="AL8" s="95">
        <f t="shared" si="5"/>
        <v>1307.75</v>
      </c>
      <c r="AM8" s="95">
        <f t="shared" si="6"/>
        <v>14487.488499999999</v>
      </c>
      <c r="AN8" s="94">
        <f t="shared" si="2"/>
        <v>12950.0596675</v>
      </c>
      <c r="AO8" s="118">
        <f t="shared" si="3"/>
        <v>0.18012889343203015</v>
      </c>
      <c r="AP8" s="96">
        <f t="shared" si="7"/>
        <v>8.2793938185865321E-2</v>
      </c>
      <c r="AQ8" s="96">
        <f t="shared" si="8"/>
        <v>7.3297405417461728E-2</v>
      </c>
      <c r="AR8" s="96">
        <f t="shared" si="9"/>
        <v>0.88529917797744218</v>
      </c>
      <c r="AS8" s="122">
        <v>1</v>
      </c>
      <c r="AT8" s="121">
        <f t="shared" si="10"/>
        <v>15408</v>
      </c>
      <c r="AU8" s="83">
        <v>0.85</v>
      </c>
      <c r="AV8" s="119">
        <f t="shared" si="11"/>
        <v>0.17133320478193473</v>
      </c>
      <c r="AW8" s="120">
        <f t="shared" si="12"/>
        <v>9.1589626835960725E-2</v>
      </c>
      <c r="AX8" s="120">
        <f t="shared" si="13"/>
        <v>8.2093094067557132E-2</v>
      </c>
      <c r="AY8" s="120">
        <f t="shared" si="14"/>
        <v>0.89631431968368958</v>
      </c>
      <c r="AZ8" s="15">
        <f>MIN(IF($AU8=100%,1,1+VLOOKUP(($AJ8-$AI8-$AH8-$AG8-$AF8-$AE8*(1+AZ$3))/$AJ8,'Технический лист'!$A:$B,2,1)-VLOOKUP($AO8,'Технический лист'!$A:$B,2,1)),1+(1-$AU8))</f>
        <v>1.0179999999999998</v>
      </c>
      <c r="BA8" s="15">
        <f>MIN(IF($AU8=100%,1,1+VLOOKUP(($AJ8-$AI8-$AH8-$AG8-$AF8-$AE8*(1+BA$3))/$AJ8,'Технический лист'!$A:$B,2,1)-VLOOKUP($AO8,'Технический лист'!$A:$B,2,1)),1+(1-$AU8))</f>
        <v>1.0179999999999998</v>
      </c>
      <c r="BB8" s="15">
        <f>MIN(IF($AU8=100%,1,1+VLOOKUP(($AJ8-$AI8-$AH8-$AG8-$AF8-$AE8*(1+BB$3))/$AJ8,'Технический лист'!$A:$B,2,1)-VLOOKUP($AO8,'Технический лист'!$A:$B,2,1)),1+(1-$AU8))</f>
        <v>1.0179999999999998</v>
      </c>
      <c r="BC8" s="15">
        <f>MIN(IF($AU8=100%,1,1+VLOOKUP(($AJ8-$AI8-$AH8-$AG8-$AF8-$AE8*(1+BC$3))/$AJ8,'Технический лист'!$A:$B,2,1)-VLOOKUP($AO8,'Технический лист'!$A:$B,2,1)),1+(1-$AU8))</f>
        <v>1.0179999999999998</v>
      </c>
      <c r="BD8" s="15">
        <f>MIN(IF($AU8=100%,1,1+VLOOKUP(($AJ8-$AI8-$AH8-$AG8-$AF8-$AE8*(1+BD$3))/$AJ8,'Технический лист'!$A:$B,2,1)-VLOOKUP($AO8,'Технический лист'!$A:$B,2,1)),1+(1-$AU8))</f>
        <v>1.0179999999999998</v>
      </c>
      <c r="BE8" s="15">
        <f>MIN(IF($AU8=100%,1,1+VLOOKUP(($AJ8-$AI8-$AH8-$AG8-$AF8-$AE8*(1+BE$3))/$AJ8,'Технический лист'!$A:$B,2,1)-VLOOKUP($AO8,'Технический лист'!$A:$B,2,1)),1+(1-$AU8))</f>
        <v>1.0179999999999998</v>
      </c>
      <c r="BF8" s="15">
        <f>MIN(IF($AU8=100%,1,1+VLOOKUP(($AJ8-$AI8-$AH8-$AG8-$AF8-$AE8*(1+BF$3))/$AJ8,'Технический лист'!$A:$B,2,1)-VLOOKUP($AO8,'Технический лист'!$A:$B,2,1)),1+(1-$AU8))</f>
        <v>1.0179999999999998</v>
      </c>
      <c r="BG8" s="15">
        <f>MIN(IF($AU8=100%,1,1+VLOOKUP(($AJ8-$AI8-$AH8-$AG8-$AF8-$AE8*(1+BG$3))/$AJ8,'Технический лист'!$A:$B,2,1)-VLOOKUP($AO8,'Технический лист'!$A:$B,2,1)),1+(1-$AU8))</f>
        <v>1.0179999999999998</v>
      </c>
      <c r="BH8" s="15">
        <f>MIN(IF($AU8=100%,1,1+VLOOKUP(($AJ8-$AI8-$AH8-$AG8-$AF8-$AE8*(1+BH$3))/$AJ8,'Технический лист'!$A:$B,2,1)-VLOOKUP($AO8,'Технический лист'!$A:$B,2,1)),1+(1-$AU8))</f>
        <v>1.0179999999999998</v>
      </c>
      <c r="BI8" s="15">
        <f>MIN(IF($AU8=100%,1,1+VLOOKUP(($AJ8-$AI8-$AH8-$AG8-$AF8-$AE8*(1+BI$3))/$AJ8,'Технический лист'!$A:$B,2,1)-VLOOKUP($AO8,'Технический лист'!$A:$B,2,1)),1+(1-$AU8))</f>
        <v>1.0179999999999998</v>
      </c>
      <c r="BJ8" s="15">
        <f>MIN(IF($AU8=100%,1,1+VLOOKUP(($AJ8-$AI8-$AH8-$AG8-$AF8-$AE8*(1+BJ$3))/$AJ8,'Технический лист'!$A:$B,2,1)-VLOOKUP($AO8,'Технический лист'!$A:$B,2,1)),1+(1-$AU8))</f>
        <v>1.0179999999999998</v>
      </c>
      <c r="BK8" s="15">
        <f>MIN(IF($AU8=100%,1,1+VLOOKUP(($AJ8-$AI8-$AH8-$AG8-$AF8-$AE8*(1+BK$3))/$AJ8,'Технический лист'!$A:$B,2,1)-VLOOKUP($AO8,'Технический лист'!$A:$B,2,1)),1+(1-$AU8))</f>
        <v>1.0179999999999998</v>
      </c>
      <c r="BL8" s="15">
        <f>MIN(IF($AU8=100%,1,1+VLOOKUP(($AJ8-$AI8-$AH8-$AG8-$AF8-$AE8*(1+BL$3))/$AJ8,'Технический лист'!$A:$B,2,1)-VLOOKUP($AO8,'Технический лист'!$A:$B,2,1)),1+(1-$AU8))</f>
        <v>1.0179999999999998</v>
      </c>
      <c r="BM8" s="15">
        <f>MIN(IF($AU8=100%,1,1+VLOOKUP(($AJ8-$AI8-$AH8-$AG8-$AF8-$AE8*(1+BM$3))/$AJ8,'Технический лист'!$A:$B,2,1)-VLOOKUP($AO8,'Технический лист'!$A:$B,2,1)),1+(1-$AU8))</f>
        <v>1.0179999999999998</v>
      </c>
      <c r="BN8" s="15">
        <f>MIN(IF($AU8=100%,1,1+VLOOKUP(($AJ8-$AI8-$AH8-$AG8-$AF8-$AE8*(1+BN$3))/$AJ8,'Технический лист'!$A:$B,2,1)-VLOOKUP($AO8,'Технический лист'!$A:$B,2,1)),1+(1-$AU8))</f>
        <v>1.0179999999999998</v>
      </c>
      <c r="BO8" s="15">
        <f>MIN(IF($AU8=100%,1,1+VLOOKUP(($AJ8-$AI8-$AH8-$AG8-$AF8-$AE8*(1+BO$3))/$AJ8,'Технический лист'!$A:$B,2,1)-VLOOKUP($AO8,'Технический лист'!$A:$B,2,1)),1+(1-$AU8))</f>
        <v>1.0179999999999998</v>
      </c>
      <c r="BP8" s="15">
        <f>MIN(IF($AU8=100%,1,1+VLOOKUP(($AJ8-$AI8-$AH8-$AG8-$AF8-$AE8*(1+BP$3))/$AJ8,'Технический лист'!$A:$B,2,1)-VLOOKUP($AO8,'Технический лист'!$A:$B,2,1)),1+(1-$AU8))</f>
        <v>1.0179999999999998</v>
      </c>
      <c r="BQ8" s="15">
        <f>MIN(IF($AU8=100%,1,1+VLOOKUP(($AJ8-$AI8-$AH8-$AG8-$AF8-$AE8*(1+BQ$3))/$AJ8,'Технический лист'!$A:$B,2,1)-VLOOKUP($AO8,'Технический лист'!$A:$B,2,1)),1+(1-$AU8))</f>
        <v>1.0179999999999998</v>
      </c>
      <c r="BR8" s="15">
        <f>MIN(IF($AU8=100%,1,1+VLOOKUP(($AJ8-$AI8-$AH8-$AG8-$AF8-$AE8*(1+BR$3))/$AJ8,'Технический лист'!$A:$B,2,1)-VLOOKUP($AO8,'Технический лист'!$A:$B,2,1)),1+(1-$AU8))</f>
        <v>1.0179999999999998</v>
      </c>
      <c r="BS8" s="15">
        <f>MIN(IF($AU8=100%,1,1+VLOOKUP(($AJ8-$AI8-$AH8-$AG8-$AF8-$AE8*(1+BS$3))/$AJ8,'Технический лист'!$A:$B,2,1)-VLOOKUP($AO8,'Технический лист'!$A:$B,2,1)),1+(1-$AU8))</f>
        <v>1.012</v>
      </c>
      <c r="BT8" s="15">
        <f>MIN(IF($AU8=100%,1,1+VLOOKUP(($AJ8-$AI8-$AH8-$AG8-$AF8-$AE8*(1+BT$3))/$AJ8,'Технический лист'!$A:$B,2,1)-VLOOKUP($AO8,'Технический лист'!$A:$B,2,1)),1+(1-$AU8))</f>
        <v>1.012</v>
      </c>
      <c r="BU8" s="15">
        <f>MIN(IF($AU8=100%,1,1+VLOOKUP(($AJ8-$AI8-$AH8-$AG8-$AF8-$AE8*(1+BU$3))/$AJ8,'Технический лист'!$A:$B,2,1)-VLOOKUP($AO8,'Технический лист'!$A:$B,2,1)),1+(1-$AU8))</f>
        <v>1.012</v>
      </c>
      <c r="BV8" s="15">
        <f>MIN(IF($AU8=100%,1,1+VLOOKUP(($AJ8-$AI8-$AH8-$AG8-$AF8-$AE8*(1+BV$3))/$AJ8,'Технический лист'!$A:$B,2,1)-VLOOKUP($AO8,'Технический лист'!$A:$B,2,1)),1+(1-$AU8))</f>
        <v>1.012</v>
      </c>
      <c r="BW8" s="15">
        <f>MIN(IF($AU8=100%,1,1+VLOOKUP(($AJ8-$AI8-$AH8-$AG8-$AF8-$AE8*(1+BW$3))/$AJ8,'Технический лист'!$A:$B,2,1)-VLOOKUP($AO8,'Технический лист'!$A:$B,2,1)),1+(1-$AU8))</f>
        <v>1.012</v>
      </c>
      <c r="BX8" s="15">
        <f>MIN(IF($AU8=100%,1,1+VLOOKUP(($AJ8-$AI8-$AH8-$AG8-$AF8-$AE8*(1+BX$3))/$AJ8,'Технический лист'!$A:$B,2,1)-VLOOKUP($AO8,'Технический лист'!$A:$B,2,1)),1+(1-$AU8))</f>
        <v>1.012</v>
      </c>
      <c r="BY8" s="15">
        <f>MIN(IF($AU8=100%,1,1+VLOOKUP(($AJ8-$AI8-$AH8-$AG8-$AF8-$AE8*(1+BY$3))/$AJ8,'Технический лист'!$A:$B,2,1)-VLOOKUP($AO8,'Технический лист'!$A:$B,2,1)),1+(1-$AU8))</f>
        <v>1.012</v>
      </c>
      <c r="BZ8" s="15">
        <f>MIN(IF($AU8=100%,1,1+VLOOKUP(($AJ8-$AI8-$AH8-$AG8-$AF8-$AE8*(1+BZ$3))/$AJ8,'Технический лист'!$A:$B,2,1)-VLOOKUP($AO8,'Технический лист'!$A:$B,2,1)),1+(1-$AU8))</f>
        <v>1.012</v>
      </c>
      <c r="CA8" s="15">
        <f>MIN(IF($AU8=100%,1,1+VLOOKUP(($AJ8-$AI8-$AH8-$AG8-$AF8-$AE8*(1+CA$3))/$AJ8,'Технический лист'!$A:$B,2,1)-VLOOKUP($AO8,'Технический лист'!$A:$B,2,1)),1+(1-$AU8))</f>
        <v>1.012</v>
      </c>
      <c r="CB8" s="15">
        <f>MIN(IF($AU8=100%,1,1+VLOOKUP(($AJ8-$AI8-$AH8-$AG8-$AF8-$AE8*(1+CB$3))/$AJ8,'Технический лист'!$A:$B,2,1)-VLOOKUP($AO8,'Технический лист'!$A:$B,2,1)),1+(1-$AU8))</f>
        <v>1.012</v>
      </c>
      <c r="CC8" s="15">
        <f>MIN(IF($AU8=100%,1,1+VLOOKUP(($AJ8-$AI8-$AH8-$AG8-$AF8-$AE8*(1+CC$3))/$AJ8,'Технический лист'!$A:$B,2,1)-VLOOKUP($AO8,'Технический лист'!$A:$B,2,1)),1+(1-$AU8))</f>
        <v>1.012</v>
      </c>
      <c r="CD8" s="15">
        <f>MIN(IF($AU8=100%,1,1+VLOOKUP(($AJ8-$AI8-$AH8-$AG8-$AF8-$AE8*(1+CD$3))/$AJ8,'Технический лист'!$A:$B,2,1)-VLOOKUP($AO8,'Технический лист'!$A:$B,2,1)),1+(1-$AU8))</f>
        <v>1.012</v>
      </c>
      <c r="CE8" s="15">
        <f>MIN(IF($AU8=100%,1,1+VLOOKUP(($AJ8-$AI8-$AH8-$AG8-$AF8-$AE8*(1+CE$3))/$AJ8,'Технический лист'!$A:$B,2,1)-VLOOKUP($AO8,'Технический лист'!$A:$B,2,1)),1+(1-$AU8))</f>
        <v>1.012</v>
      </c>
      <c r="CF8" s="15">
        <f>MIN(IF($AU8=100%,1,1+VLOOKUP(($AJ8-$AI8-$AH8-$AG8-$AF8-$AE8*(1+CF$3))/$AJ8,'Технический лист'!$A:$B,2,1)-VLOOKUP($AO8,'Технический лист'!$A:$B,2,1)),1+(1-$AU8))</f>
        <v>1.012</v>
      </c>
      <c r="CG8" s="15">
        <f>MIN(IF($AU8=100%,1,1+VLOOKUP(($AJ8-$AI8-$AH8-$AG8-$AF8-$AE8*(1+CG$3))/$AJ8,'Технический лист'!$A:$B,2,1)-VLOOKUP($AO8,'Технический лист'!$A:$B,2,1)),1+(1-$AU8))</f>
        <v>1.012</v>
      </c>
      <c r="CH8" s="15">
        <f>MIN(IF($AU8=100%,1,1+VLOOKUP(($AJ8-$AI8-$AH8-$AG8-$AF8-$AE8*(1+CH$3))/$AJ8,'Технический лист'!$A:$B,2,1)-VLOOKUP($AO8,'Технический лист'!$A:$B,2,1)),1+(1-$AU8))</f>
        <v>1.012</v>
      </c>
      <c r="CI8" s="15">
        <f>MIN(IF($AU8=100%,1,1+VLOOKUP(($AJ8-$AI8-$AH8-$AG8-$AF8-$AE8*(1+CI$3))/$AJ8,'Технический лист'!$A:$B,2,1)-VLOOKUP($AO8,'Технический лист'!$A:$B,2,1)),1+(1-$AU8))</f>
        <v>1.012</v>
      </c>
      <c r="CJ8" s="15">
        <f>MIN(IF($AU8=100%,1,1+VLOOKUP(($AJ8-$AI8-$AH8-$AG8-$AF8-$AE8*(1+CJ$3))/$AJ8,'Технический лист'!$A:$B,2,1)-VLOOKUP($AO8,'Технический лист'!$A:$B,2,1)),1+(1-$AU8))</f>
        <v>1.012</v>
      </c>
      <c r="CK8" s="15">
        <f>MIN(IF($AU8=100%,1,1+VLOOKUP(($AJ8-$AI8-$AH8-$AG8-$AF8-$AE8*(1+CK$3))/$AJ8,'Технический лист'!$A:$B,2,1)-VLOOKUP($AO8,'Технический лист'!$A:$B,2,1)),1+(1-$AU8))</f>
        <v>1.012</v>
      </c>
      <c r="CL8" s="15">
        <f>MIN(IF($AU8=100%,1,1+VLOOKUP(($AJ8-$AI8-$AH8-$AG8-$AF8-$AE8*(1+CL$3))/$AJ8,'Технический лист'!$A:$B,2,1)-VLOOKUP($AO8,'Технический лист'!$A:$B,2,1)),1+(1-$AU8))</f>
        <v>1.012</v>
      </c>
      <c r="CM8" s="15">
        <f>MIN(IF($AU8=100%,1,1+VLOOKUP(($AJ8-$AI8-$AH8-$AG8-$AF8-$AE8*(1+CM$3))/$AJ8,'Технический лист'!$A:$B,2,1)-VLOOKUP($AO8,'Технический лист'!$A:$B,2,1)),1+(1-$AU8))</f>
        <v>1.012</v>
      </c>
      <c r="CN8" s="15">
        <f>MIN(IF($AU8=100%,1,1+VLOOKUP(($AJ8-$AI8-$AH8-$AG8-$AF8-$AE8*(1+CN$3))/$AJ8,'Технический лист'!$A:$B,2,1)-VLOOKUP($AO8,'Технический лист'!$A:$B,2,1)),1+(1-$AU8))</f>
        <v>1.012</v>
      </c>
      <c r="CO8" s="15">
        <f>MIN(IF($AU8=100%,1,1+VLOOKUP(($AJ8-$AI8-$AH8-$AG8-$AF8-$AE8*(1+CO$3))/$AJ8,'Технический лист'!$A:$B,2,1)-VLOOKUP($AO8,'Технический лист'!$A:$B,2,1)),1+(1-$AU8))</f>
        <v>1.012</v>
      </c>
      <c r="CP8" s="15">
        <f>MIN(IF($AU8=100%,1,1+VLOOKUP(($AJ8-$AI8-$AH8-$AG8-$AF8-$AE8*(1+CP$3))/$AJ8,'Технический лист'!$A:$B,2,1)-VLOOKUP($AO8,'Технический лист'!$A:$B,2,1)),1+(1-$AU8))</f>
        <v>1.012</v>
      </c>
      <c r="CQ8" s="15">
        <f>MIN(IF($AU8=100%,1,1+VLOOKUP(($AJ8-$AI8-$AH8-$AG8-$AF8-$AE8*(1+CQ$3))/$AJ8,'Технический лист'!$A:$B,2,1)-VLOOKUP($AO8,'Технический лист'!$A:$B,2,1)),1+(1-$AU8))</f>
        <v>1.012</v>
      </c>
      <c r="CR8" s="15">
        <f>MIN(IF($AU8=100%,1,1+VLOOKUP(($AJ8-$AI8-$AH8-$AG8-$AF8-$AE8*(1+CR$3))/$AJ8,'Технический лист'!$A:$B,2,1)-VLOOKUP($AO8,'Технический лист'!$A:$B,2,1)),1+(1-$AU8))</f>
        <v>1.012</v>
      </c>
      <c r="CS8" s="15">
        <f>MIN(IF($AU8=100%,1,1+VLOOKUP(($AJ8-$AI8-$AH8-$AG8-$AF8-$AE8*(1+CS$3))/$AJ8,'Технический лист'!$A:$B,2,1)-VLOOKUP($AO8,'Технический лист'!$A:$B,2,1)),1+(1-$AU8))</f>
        <v>1.012</v>
      </c>
      <c r="CT8" s="15">
        <f>MIN(IF($AU8=100%,1,1+VLOOKUP(($AJ8-$AI8-$AH8-$AG8-$AF8-$AE8*(1+CT$3))/$AJ8,'Технический лист'!$A:$B,2,1)-VLOOKUP($AO8,'Технический лист'!$A:$B,2,1)),1+(1-$AU8))</f>
        <v>1.0060000000000002</v>
      </c>
      <c r="CU8" s="15">
        <f>MIN(IF($AU8=100%,1,1+VLOOKUP(($AJ8-$AI8-$AH8-$AG8-$AF8-$AE8*(1+CU$3))/$AJ8,'Технический лист'!$A:$B,2,1)-VLOOKUP($AO8,'Технический лист'!$A:$B,2,1)),1+(1-$AU8))</f>
        <v>1.0060000000000002</v>
      </c>
      <c r="CV8" s="15">
        <f>MIN(IF($AU8=100%,1,1+VLOOKUP(($AJ8-$AI8-$AH8-$AG8-$AF8-$AE8*(1+CV$3))/$AJ8,'Технический лист'!$A:$B,2,1)-VLOOKUP($AO8,'Технический лист'!$A:$B,2,1)),1+(1-$AU8))</f>
        <v>1.0060000000000002</v>
      </c>
      <c r="CW8" s="15">
        <f>MIN(IF($AU8=100%,1,1+VLOOKUP(($AJ8-$AI8-$AH8-$AG8-$AF8-$AE8*(1+CW$3))/$AJ8,'Технический лист'!$A:$B,2,1)-VLOOKUP($AO8,'Технический лист'!$A:$B,2,1)),1+(1-$AU8))</f>
        <v>1.0060000000000002</v>
      </c>
      <c r="CX8" s="15">
        <f>MIN(IF($AU8=100%,1,1+VLOOKUP(($AJ8-$AI8-$AH8-$AG8-$AF8-$AE8*(1+CX$3))/$AJ8,'Технический лист'!$A:$B,2,1)-VLOOKUP($AO8,'Технический лист'!$A:$B,2,1)),1+(1-$AU8))</f>
        <v>1.0060000000000002</v>
      </c>
      <c r="CY8" s="15">
        <f>MIN(IF($AU8=100%,1,1+VLOOKUP(($AJ8-$AI8-$AH8-$AG8-$AF8-$AE8*(1+CY$3))/$AJ8,'Технический лист'!$A:$B,2,1)-VLOOKUP($AO8,'Технический лист'!$A:$B,2,1)),1+(1-$AU8))</f>
        <v>1.0060000000000002</v>
      </c>
      <c r="CZ8" s="15">
        <f>MIN(IF($AU8=100%,1,1+VLOOKUP(($AJ8-$AI8-$AH8-$AG8-$AF8-$AE8*(1+CZ$3))/$AJ8,'Технический лист'!$A:$B,2,1)-VLOOKUP($AO8,'Технический лист'!$A:$B,2,1)),1+(1-$AU8))</f>
        <v>1.0060000000000002</v>
      </c>
      <c r="DA8" s="15">
        <f>MIN(IF($AU8=100%,1,1+VLOOKUP(($AJ8-$AI8-$AH8-$AG8-$AF8-$AE8*(1+DA$3))/$AJ8,'Технический лист'!$A:$B,2,1)-VLOOKUP($AO8,'Технический лист'!$A:$B,2,1)),1+(1-$AU8))</f>
        <v>1.0060000000000002</v>
      </c>
      <c r="DB8" s="15">
        <f>MIN(IF($AU8=100%,1,1+VLOOKUP(($AJ8-$AI8-$AH8-$AG8-$AF8-$AE8*(1+DB$3))/$AJ8,'Технический лист'!$A:$B,2,1)-VLOOKUP($AO8,'Технический лист'!$A:$B,2,1)),1+(1-$AU8))</f>
        <v>1.0060000000000002</v>
      </c>
      <c r="DC8" s="15">
        <f>MIN(IF($AU8=100%,1,1+VLOOKUP(($AJ8-$AI8-$AH8-$AG8-$AF8-$AE8*(1+DC$3))/$AJ8,'Технический лист'!$A:$B,2,1)-VLOOKUP($AO8,'Технический лист'!$A:$B,2,1)),1+(1-$AU8))</f>
        <v>1.0060000000000002</v>
      </c>
      <c r="DD8" s="15">
        <f>MIN(IF($AU8=100%,1,1+VLOOKUP(($AJ8-$AI8-$AH8-$AG8-$AF8-$AE8*(1+DD$3))/$AJ8,'Технический лист'!$A:$B,2,1)-VLOOKUP($AO8,'Технический лист'!$A:$B,2,1)),1+(1-$AU8))</f>
        <v>1.0060000000000002</v>
      </c>
      <c r="DE8" s="15">
        <f>MIN(IF($AU8=100%,1,1+VLOOKUP(($AJ8-$AI8-$AH8-$AG8-$AF8-$AE8*(1+DE$3))/$AJ8,'Технический лист'!$A:$B,2,1)-VLOOKUP($AO8,'Технический лист'!$A:$B,2,1)),1+(1-$AU8))</f>
        <v>1.0060000000000002</v>
      </c>
      <c r="DF8" s="15">
        <f>MIN(IF($AU8=100%,1,1+VLOOKUP(($AJ8-$AI8-$AH8-$AG8-$AF8-$AE8*(1+DF$3))/$AJ8,'Технический лист'!$A:$B,2,1)-VLOOKUP($AO8,'Технический лист'!$A:$B,2,1)),1+(1-$AU8))</f>
        <v>1.0060000000000002</v>
      </c>
      <c r="DG8" s="15">
        <f>MIN(IF($AU8=100%,1,1+VLOOKUP(($AJ8-$AI8-$AH8-$AG8-$AF8-$AE8*(1+DG$3))/$AJ8,'Технический лист'!$A:$B,2,1)-VLOOKUP($AO8,'Технический лист'!$A:$B,2,1)),1+(1-$AU8))</f>
        <v>1.0060000000000002</v>
      </c>
      <c r="DH8" s="15">
        <f>MIN(IF($AU8=100%,1,1+VLOOKUP(($AJ8-$AI8-$AH8-$AG8-$AF8-$AE8*(1+DH$3))/$AJ8,'Технический лист'!$A:$B,2,1)-VLOOKUP($AO8,'Технический лист'!$A:$B,2,1)),1+(1-$AU8))</f>
        <v>1.0060000000000002</v>
      </c>
      <c r="DI8" s="15">
        <f>MIN(IF($AU8=100%,1,1+VLOOKUP(($AJ8-$AI8-$AH8-$AG8-$AF8-$AE8*(1+DI$3))/$AJ8,'Технический лист'!$A:$B,2,1)-VLOOKUP($AO8,'Технический лист'!$A:$B,2,1)),1+(1-$AU8))</f>
        <v>1.0060000000000002</v>
      </c>
      <c r="DJ8" s="15">
        <f>MIN(IF($AU8=100%,1,1+VLOOKUP(($AJ8-$AI8-$AH8-$AG8-$AF8-$AE8*(1+DJ$3))/$AJ8,'Технический лист'!$A:$B,2,1)-VLOOKUP($AO8,'Технический лист'!$A:$B,2,1)),1+(1-$AU8))</f>
        <v>1.0060000000000002</v>
      </c>
      <c r="DK8" s="15">
        <f>MIN(IF($AU8=100%,1,1+VLOOKUP(($AJ8-$AI8-$AH8-$AG8-$AF8-$AE8*(1+DK$3))/$AJ8,'Технический лист'!$A:$B,2,1)-VLOOKUP($AO8,'Технический лист'!$A:$B,2,1)),1+(1-$AU8))</f>
        <v>1.0060000000000002</v>
      </c>
      <c r="DL8" s="15">
        <f>MIN(IF($AU8=100%,1,1+VLOOKUP(($AJ8-$AI8-$AH8-$AG8-$AF8-$AE8*(1+DL$3))/$AJ8,'Технический лист'!$A:$B,2,1)-VLOOKUP($AO8,'Технический лист'!$A:$B,2,1)),1+(1-$AU8))</f>
        <v>1.0060000000000002</v>
      </c>
      <c r="DM8" s="15">
        <f>MIN(IF($AU8=100%,1,1+VLOOKUP(($AJ8-$AI8-$AH8-$AG8-$AF8-$AE8*(1+DM$3))/$AJ8,'Технический лист'!$A:$B,2,1)-VLOOKUP($AO8,'Технический лист'!$A:$B,2,1)),1+(1-$AU8))</f>
        <v>1.0060000000000002</v>
      </c>
      <c r="DN8" s="15">
        <f>MIN(IF($AU8=100%,1,1+VLOOKUP(($AJ8-$AI8-$AH8-$AG8-$AF8-$AE8*(1+DN$3))/$AJ8,'Технический лист'!$A:$B,2,1)-VLOOKUP($AO8,'Технический лист'!$A:$B,2,1)),1+(1-$AU8))</f>
        <v>1.0060000000000002</v>
      </c>
      <c r="DO8" s="15">
        <f>MIN(IF($AU8=100%,1,1+VLOOKUP(($AJ8-$AI8-$AH8-$AG8-$AF8-$AE8*(1+DO$3))/$AJ8,'Технический лист'!$A:$B,2,1)-VLOOKUP($AO8,'Технический лист'!$A:$B,2,1)),1+(1-$AU8))</f>
        <v>1.0060000000000002</v>
      </c>
      <c r="DP8" s="15">
        <f>MIN(IF($AU8=100%,1,1+VLOOKUP(($AJ8-$AI8-$AH8-$AG8-$AF8-$AE8*(1+DP$3))/$AJ8,'Технический лист'!$A:$B,2,1)-VLOOKUP($AO8,'Технический лист'!$A:$B,2,1)),1+(1-$AU8))</f>
        <v>1.0060000000000002</v>
      </c>
      <c r="DQ8" s="15">
        <f>MIN(IF($AU8=100%,1,1+VLOOKUP(($AJ8-$AI8-$AH8-$AG8-$AF8-$AE8*(1+DQ$3))/$AJ8,'Технический лист'!$A:$B,2,1)-VLOOKUP($AO8,'Технический лист'!$A:$B,2,1)),1+(1-$AU8))</f>
        <v>1.0060000000000002</v>
      </c>
      <c r="DR8" s="15">
        <f>MIN(IF($AU8=100%,1,1+VLOOKUP(($AJ8-$AI8-$AH8-$AG8-$AF8-$AE8*(1+DR$3))/$AJ8,'Технический лист'!$A:$B,2,1)-VLOOKUP($AO8,'Технический лист'!$A:$B,2,1)),1+(1-$AU8))</f>
        <v>1.0060000000000002</v>
      </c>
      <c r="DS8" s="15">
        <f>MIN(IF($AU8=100%,1,1+VLOOKUP(($AJ8-$AI8-$AH8-$AG8-$AF8-$AE8*(1+DS$3))/$AJ8,'Технический лист'!$A:$B,2,1)-VLOOKUP($AO8,'Технический лист'!$A:$B,2,1)),1+(1-$AU8))</f>
        <v>1.0060000000000002</v>
      </c>
      <c r="DT8" s="15">
        <f>MIN(IF($AU8=100%,1,1+VLOOKUP(($AJ8-$AI8-$AH8-$AG8-$AF8-$AE8*(1+DT$3))/$AJ8,'Технический лист'!$A:$B,2,1)-VLOOKUP($AO8,'Технический лист'!$A:$B,2,1)),1+(1-$AU8))</f>
        <v>1.0060000000000002</v>
      </c>
      <c r="DU8" s="15">
        <f>MIN(IF($AU8=100%,1,1+VLOOKUP(($AJ8-$AI8-$AH8-$AG8-$AF8-$AE8*(1+DU$3))/$AJ8,'Технический лист'!$A:$B,2,1)-VLOOKUP($AO8,'Технический лист'!$A:$B,2,1)),1+(1-$AU8))</f>
        <v>1.0060000000000002</v>
      </c>
      <c r="DV8" s="15">
        <f>MIN(IF($AU8=100%,1,1+VLOOKUP(($AJ8-$AI8-$AH8-$AG8-$AF8-$AE8*(1+DV$3))/$AJ8,'Технический лист'!$A:$B,2,1)-VLOOKUP($AO8,'Технический лист'!$A:$B,2,1)),1+(1-$AU8))</f>
        <v>1</v>
      </c>
      <c r="DW8" s="15">
        <f>MIN(IF($AU8=100%,1,1+VLOOKUP(($AJ8-$AI8-$AH8-$AG8-$AF8-$AE8*(1+DW$3))/$AJ8,'Технический лист'!$A:$B,2,1)-VLOOKUP($AO8,'Технический лист'!$A:$B,2,1)),1+(1-$AU8))</f>
        <v>1</v>
      </c>
      <c r="DX8" s="15">
        <f>MIN(IF($AU8=100%,1,1+VLOOKUP(($AJ8-$AI8-$AH8-$AG8-$AF8-$AE8*(1+DX$3))/$AJ8,'Технический лист'!$A:$B,2,1)-VLOOKUP($AO8,'Технический лист'!$A:$B,2,1)),1+(1-$AU8))</f>
        <v>1</v>
      </c>
      <c r="DY8" s="15">
        <f>MIN(IF($AU8=100%,1,1+VLOOKUP(($AJ8-$AI8-$AH8-$AG8-$AF8-$AE8*(1+DY$3))/$AJ8,'Технический лист'!$A:$B,2,1)-VLOOKUP($AO8,'Технический лист'!$A:$B,2,1)),1+(1-$AU8))</f>
        <v>1</v>
      </c>
      <c r="DZ8" s="15">
        <f>MIN(IF($AU8=100%,1,1+VLOOKUP(($AJ8-$AI8-$AH8-$AG8-$AF8-$AE8*(1+DZ$3))/$AJ8,'Технический лист'!$A:$B,2,1)-VLOOKUP($AO8,'Технический лист'!$A:$B,2,1)),1+(1-$AU8))</f>
        <v>1</v>
      </c>
      <c r="EA8" s="15">
        <f>MIN(IF($AU8=100%,1,1+VLOOKUP(($AJ8-$AI8-$AH8-$AG8-$AF8-$AE8*(1+EA$3))/$AJ8,'Технический лист'!$A:$B,2,1)-VLOOKUP($AO8,'Технический лист'!$A:$B,2,1)),1+(1-$AU8))</f>
        <v>1</v>
      </c>
      <c r="EB8" s="15">
        <f>MIN(IF($AU8=100%,1,1+VLOOKUP(($AJ8-$AI8-$AH8-$AG8-$AF8-$AE8*(1+EB$3))/$AJ8,'Технический лист'!$A:$B,2,1)-VLOOKUP($AO8,'Технический лист'!$A:$B,2,1)),1+(1-$AU8))</f>
        <v>1</v>
      </c>
      <c r="EC8" s="15">
        <f>MIN(IF($AU8=100%,1,1+VLOOKUP(($AJ8-$AI8-$AH8-$AG8-$AF8-$AE8*(1+EC$3))/$AJ8,'Технический лист'!$A:$B,2,1)-VLOOKUP($AO8,'Технический лист'!$A:$B,2,1)),1+(1-$AU8))</f>
        <v>1</v>
      </c>
      <c r="ED8" s="15">
        <f>MIN(IF($AU8=100%,1,1+VLOOKUP(($AJ8-$AI8-$AH8-$AG8-$AF8-$AE8*(1+ED$3))/$AJ8,'Технический лист'!$A:$B,2,1)-VLOOKUP($AO8,'Технический лист'!$A:$B,2,1)),1+(1-$AU8))</f>
        <v>1</v>
      </c>
      <c r="EE8" s="15">
        <f>MIN(IF($AU8=100%,1,1+VLOOKUP(($AJ8-$AI8-$AH8-$AG8-$AF8-$AE8*(1+EE$3))/$AJ8,'Технический лист'!$A:$B,2,1)-VLOOKUP($AO8,'Технический лист'!$A:$B,2,1)),1+(1-$AU8))</f>
        <v>1</v>
      </c>
      <c r="EF8" s="15">
        <f>MIN(IF($AU8=100%,1,1+VLOOKUP(($AJ8-$AI8-$AH8-$AG8-$AF8-$AE8*(1+EF$3))/$AJ8,'Технический лист'!$A:$B,2,1)-VLOOKUP($AO8,'Технический лист'!$A:$B,2,1)),1+(1-$AU8))</f>
        <v>1</v>
      </c>
      <c r="EG8" s="15">
        <f>MIN(IF($AU8=100%,1,1+VLOOKUP(($AJ8-$AI8-$AH8-$AG8-$AF8-$AE8*(1+EG$3))/$AJ8,'Технический лист'!$A:$B,2,1)-VLOOKUP($AO8,'Технический лист'!$A:$B,2,1)),1+(1-$AU8))</f>
        <v>1</v>
      </c>
      <c r="EH8" s="15">
        <f>MIN(IF($AU8=100%,1,1+VLOOKUP(($AJ8-$AI8-$AH8-$AG8-$AF8-$AE8*(1+EH$3))/$AJ8,'Технический лист'!$A:$B,2,1)-VLOOKUP($AO8,'Технический лист'!$A:$B,2,1)),1+(1-$AU8))</f>
        <v>1</v>
      </c>
      <c r="EI8" s="15">
        <f>MIN(IF($AU8=100%,1,1+VLOOKUP(($AJ8-$AI8-$AH8-$AG8-$AF8-$AE8*(1+EI$3))/$AJ8,'Технический лист'!$A:$B,2,1)-VLOOKUP($AO8,'Технический лист'!$A:$B,2,1)),1+(1-$AU8))</f>
        <v>1</v>
      </c>
      <c r="EJ8" s="15">
        <f>MIN(IF($AU8=100%,1,1+VLOOKUP(($AJ8-$AI8-$AH8-$AG8-$AF8-$AE8*(1+EJ$3))/$AJ8,'Технический лист'!$A:$B,2,1)-VLOOKUP($AO8,'Технический лист'!$A:$B,2,1)),1+(1-$AU8))</f>
        <v>1</v>
      </c>
      <c r="EK8" s="15">
        <f>MIN(IF($AU8=100%,1,1+VLOOKUP(($AJ8-$AI8-$AH8-$AG8-$AF8-$AE8*(1+EK$3))/$AJ8,'Технический лист'!$A:$B,2,1)-VLOOKUP($AO8,'Технический лист'!$A:$B,2,1)),1+(1-$AU8))</f>
        <v>1</v>
      </c>
      <c r="EL8" s="15">
        <f>MIN(IF($AU8=100%,1,1+VLOOKUP(($AJ8-$AI8-$AH8-$AG8-$AF8-$AE8*(1+EL$3))/$AJ8,'Технический лист'!$A:$B,2,1)-VLOOKUP($AO8,'Технический лист'!$A:$B,2,1)),1+(1-$AU8))</f>
        <v>1</v>
      </c>
      <c r="EM8" s="15">
        <f>MIN(IF($AU8=100%,1,1+VLOOKUP(($AJ8-$AI8-$AH8-$AG8-$AF8-$AE8*(1+EM$3))/$AJ8,'Технический лист'!$A:$B,2,1)-VLOOKUP($AO8,'Технический лист'!$A:$B,2,1)),1+(1-$AU8))</f>
        <v>1</v>
      </c>
      <c r="EN8" s="15">
        <f>MIN(IF($AU8=100%,1,1+VLOOKUP(($AJ8-$AI8-$AH8-$AG8-$AF8-$AE8*(1+EN$3))/$AJ8,'Технический лист'!$A:$B,2,1)-VLOOKUP($AO8,'Технический лист'!$A:$B,2,1)),1+(1-$AU8))</f>
        <v>1</v>
      </c>
      <c r="EO8" s="15">
        <f>MIN(IF($AU8=100%,1,1+VLOOKUP(($AJ8-$AI8-$AH8-$AG8-$AF8-$AE8*(1+EO$3))/$AJ8,'Технический лист'!$A:$B,2,1)-VLOOKUP($AO8,'Технический лист'!$A:$B,2,1)),1+(1-$AU8))</f>
        <v>1</v>
      </c>
      <c r="EP8" s="15">
        <f>MIN(IF($AU8=100%,1,1+VLOOKUP(($AJ8-$AI8-$AH8-$AG8-$AF8-$AE8*(1+EP$3))/$AJ8,'Технический лист'!$A:$B,2,1)-VLOOKUP($AO8,'Технический лист'!$A:$B,2,1)),1+(1-$AU8))</f>
        <v>1</v>
      </c>
      <c r="EQ8" s="15">
        <f>MIN(IF($AU8=100%,1,1+VLOOKUP(($AJ8-$AI8-$AH8-$AG8-$AF8-$AE8*(1+EQ$3))/$AJ8,'Технический лист'!$A:$B,2,1)-VLOOKUP($AO8,'Технический лист'!$A:$B,2,1)),1+(1-$AU8))</f>
        <v>1</v>
      </c>
      <c r="ER8" s="15">
        <f>MIN(IF($AU8=100%,1,1+VLOOKUP(($AJ8-$AI8-$AH8-$AG8-$AF8-$AE8*(1+ER$3))/$AJ8,'Технический лист'!$A:$B,2,1)-VLOOKUP($AO8,'Технический лист'!$A:$B,2,1)),1+(1-$AU8))</f>
        <v>1</v>
      </c>
      <c r="ES8" s="15">
        <f>MIN(IF($AU8=100%,1,1+VLOOKUP(($AJ8-$AI8-$AH8-$AG8-$AF8-$AE8*(1+ES$3))/$AJ8,'Технический лист'!$A:$B,2,1)-VLOOKUP($AO8,'Технический лист'!$A:$B,2,1)),1+(1-$AU8))</f>
        <v>1</v>
      </c>
      <c r="ET8" s="15">
        <f>MIN(IF($AU8=100%,1,1+VLOOKUP(($AJ8-$AI8-$AH8-$AG8-$AF8-$AE8*(1+ET$3))/$AJ8,'Технический лист'!$A:$B,2,1)-VLOOKUP($AO8,'Технический лист'!$A:$B,2,1)),1+(1-$AU8))</f>
        <v>1</v>
      </c>
      <c r="EU8" s="15">
        <f>MIN(IF($AU8=100%,1,1+VLOOKUP(($AJ8-$AI8-$AH8-$AG8-$AF8-$AE8*(1+EU$3))/$AJ8,'Технический лист'!$A:$B,2,1)-VLOOKUP($AO8,'Технический лист'!$A:$B,2,1)),1+(1-$AU8))</f>
        <v>1</v>
      </c>
      <c r="EV8" s="111">
        <v>1</v>
      </c>
      <c r="EW8" s="15">
        <f>MIN(1,MAX(VLOOKUP(($AJ8-$AI8-$AH8-$AG8-$AF8-$AE8*(1+EW$3))/$AJ8,'Технический лист'!$A:$B,2,1),(EV8-0.05)))</f>
        <v>1</v>
      </c>
      <c r="EX8" s="15">
        <f>MIN(1,MAX(VLOOKUP(($AJ8-$AI8-$AH8-$AG8-$AF8-$AE8*(1+EX$3))/$AJ8,'Технический лист'!$A:$B,2,1),(EW8-0.05)))</f>
        <v>1</v>
      </c>
      <c r="EY8" s="15">
        <f>MIN(1,MAX(VLOOKUP(($AJ8-$AI8-$AH8-$AG8-$AF8-$AE8*(1+EY$3))/$AJ8,'Технический лист'!$A:$B,2,1),(EX8-0.05)))</f>
        <v>1</v>
      </c>
      <c r="EZ8" s="15">
        <f>MIN(1,MAX(VLOOKUP(($AJ8-$AI8-$AH8-$AG8-$AF8-$AE8*(1+EZ$3))/$AJ8,'Технический лист'!$A:$B,2,1),(EY8-0.05)))</f>
        <v>1</v>
      </c>
      <c r="FA8" s="15">
        <f>MIN(1,MAX(VLOOKUP(($AJ8-$AI8-$AH8-$AG8-$AF8-$AE8*(1+FA$3))/$AJ8,'Технический лист'!$A:$B,2,1),(EZ8-0.05)))</f>
        <v>1</v>
      </c>
      <c r="FB8" s="15">
        <f>MIN(1,MAX(VLOOKUP(($AJ8-$AI8-$AH8-$AG8-$AF8-$AE8*(1+FB$3))/$AJ8,'Технический лист'!$A:$B,2,1),(FA8-0.05)))</f>
        <v>1</v>
      </c>
      <c r="FC8" s="15">
        <f>MIN(1,MAX(VLOOKUP(($AJ8-$AI8-$AH8-$AG8-$AF8-$AE8*(1+FC$3))/$AJ8,'Технический лист'!$A:$B,2,1),(FB8-0.05)))</f>
        <v>1</v>
      </c>
      <c r="FD8" s="15">
        <f>MIN(1,MAX(VLOOKUP(($AJ8-$AI8-$AH8-$AG8-$AF8-$AE8*(1+FD$3))/$AJ8,'Технический лист'!$A:$B,2,1),(FC8-0.05)))</f>
        <v>1</v>
      </c>
      <c r="FE8" s="15">
        <f>MIN(1,MAX(VLOOKUP(($AJ8-$AI8-$AH8-$AG8-$AF8-$AE8*(1+FE$3))/$AJ8,'Технический лист'!$A:$B,2,1),(FD8-0.05)))</f>
        <v>1</v>
      </c>
      <c r="FF8" s="15">
        <f>MIN(1,MAX(VLOOKUP(($AJ8-$AI8-$AH8-$AG8-$AF8-$AE8*(1+FF$3))/$AJ8,'Технический лист'!$A:$B,2,1),(FE8-0.05)))</f>
        <v>1</v>
      </c>
      <c r="FG8" s="15">
        <f>MIN(1,MAX(VLOOKUP(($AJ8-$AI8-$AH8-$AG8-$AF8-$AE8*(1+FG$3))/$AJ8,'Технический лист'!$A:$B,2,1),(FF8-0.05)))</f>
        <v>1</v>
      </c>
      <c r="FH8" s="15">
        <f>MIN(1,MAX(VLOOKUP(($AJ8-$AI8-$AH8-$AG8-$AF8-$AE8*(1+FH$3))/$AJ8,'Технический лист'!$A:$B,2,1),(FG8-0.05)))</f>
        <v>1</v>
      </c>
      <c r="FI8" s="15">
        <f>MIN(1,MAX(VLOOKUP(($AJ8-$AI8-$AH8-$AG8-$AF8-$AE8*(1+FI$3))/$AJ8,'Технический лист'!$A:$B,2,1),(FH8-0.05)))</f>
        <v>1</v>
      </c>
      <c r="FJ8" s="15">
        <f>MIN(1,MAX(VLOOKUP(($AJ8-$AI8-$AH8-$AG8-$AF8-$AE8*(1+FJ$3))/$AJ8,'Технический лист'!$A:$B,2,1),(FI8-0.05)))</f>
        <v>1</v>
      </c>
      <c r="FK8" s="15">
        <f>MIN(1,MAX(VLOOKUP(($AJ8-$AI8-$AH8-$AG8-$AF8-$AE8*(1+FK$3))/$AJ8,'Технический лист'!$A:$B,2,1),(FJ8-0.05)))</f>
        <v>1</v>
      </c>
      <c r="FL8" s="15">
        <f>MIN(1,MAX(VLOOKUP(($AJ8-$AI8-$AH8-$AG8-$AF8-$AE8*(1+FL$3))/$AJ8,'Технический лист'!$A:$B,2,1),(FK8-0.05)))</f>
        <v>1</v>
      </c>
      <c r="FM8" s="15">
        <f>MIN(1,MAX(VLOOKUP(($AJ8-$AI8-$AH8-$AG8-$AF8-$AE8*(1+FM$3))/$AJ8,'Технический лист'!$A:$B,2,1),(FL8-0.05)))</f>
        <v>1</v>
      </c>
      <c r="FN8" s="15">
        <f>MIN(1,MAX(VLOOKUP(($AJ8-$AI8-$AH8-$AG8-$AF8-$AE8*(1+FN$3))/$AJ8,'Технический лист'!$A:$B,2,1),(FM8-0.05)))</f>
        <v>1</v>
      </c>
      <c r="FO8" s="15">
        <f>MIN(1,MAX(VLOOKUP(($AJ8-$AI8-$AH8-$AG8-$AF8-$AE8*(1+FO$3))/$AJ8,'Технический лист'!$A:$B,2,1),(FN8-0.05)))</f>
        <v>1</v>
      </c>
      <c r="FP8" s="15">
        <f>MIN(1,MAX(VLOOKUP(($AJ8-$AI8-$AH8-$AG8-$AF8-$AE8*(1+FP$3))/$AJ8,'Технический лист'!$A:$B,2,1),(FO8-0.05)))</f>
        <v>1</v>
      </c>
      <c r="FQ8" s="15">
        <f>MIN(1,MAX(VLOOKUP(($AJ8-$AI8-$AH8-$AG8-$AF8-$AE8*(1+FQ$3))/$AJ8,'Технический лист'!$A:$B,2,1),(FP8-0.05)))</f>
        <v>1</v>
      </c>
      <c r="FR8" s="15">
        <f>MIN(1,MAX(VLOOKUP(($AJ8-$AI8-$AH8-$AG8-$AF8-$AE8*(1+FR$3))/$AJ8,'Технический лист'!$A:$B,2,1),(FQ8-0.05)))</f>
        <v>1</v>
      </c>
      <c r="FS8" s="15">
        <f>MIN(1,MAX(VLOOKUP(($AJ8-$AI8-$AH8-$AG8-$AF8-$AE8*(1+FS$3))/$AJ8,'Технический лист'!$A:$B,2,1),(FR8-0.05)))</f>
        <v>1</v>
      </c>
      <c r="FT8" s="15">
        <f>MIN(1,MAX(VLOOKUP(($AJ8-$AI8-$AH8-$AG8-$AF8-$AE8*(1+FT$3))/$AJ8,'Технический лист'!$A:$B,2,1),(FS8-0.05)))</f>
        <v>1</v>
      </c>
      <c r="FU8" s="15">
        <f>MIN(1,MAX(VLOOKUP(($AJ8-$AI8-$AH8-$AG8-$AF8-$AE8*(1+FU$3))/$AJ8,'Технический лист'!$A:$B,2,1),(FT8-0.05)))</f>
        <v>1</v>
      </c>
      <c r="FV8" s="15">
        <f>MIN(1,MAX(VLOOKUP(($AJ8-$AI8-$AH8-$AG8-$AF8-$AE8*(1+FV$3))/$AJ8,'Технический лист'!$A:$B,2,1),(FU8-0.05)))</f>
        <v>1</v>
      </c>
      <c r="FW8" s="15">
        <f>MIN(1,MAX(VLOOKUP(($AJ8-$AI8-$AH8-$AG8-$AF8-$AE8*(1+FW$3))/$AJ8,'Технический лист'!$A:$B,2,1),(FV8-0.05)))</f>
        <v>1</v>
      </c>
      <c r="FX8" s="15">
        <f>MIN(1,MAX(VLOOKUP(($AJ8-$AI8-$AH8-$AG8-$AF8-$AE8*(1+FX$3))/$AJ8,'Технический лист'!$A:$B,2,1),(FW8-0.05)))</f>
        <v>1</v>
      </c>
      <c r="FY8" s="15">
        <f>MIN(1,MAX(VLOOKUP(($AJ8-$AI8-$AH8-$AG8-$AF8-$AE8*(1+FY$3))/$AJ8,'Технический лист'!$A:$B,2,1),(FX8-0.05)))</f>
        <v>1</v>
      </c>
      <c r="FZ8" s="15">
        <f>MIN(1,MAX(VLOOKUP(($AJ8-$AI8-$AH8-$AG8-$AF8-$AE8*(1+FZ$3))/$AJ8,'Технический лист'!$A:$B,2,1),(FY8-0.05)))</f>
        <v>1</v>
      </c>
      <c r="GA8" s="15">
        <f>MIN(1,MAX(VLOOKUP(($AJ8-$AI8-$AH8-$AG8-$AF8-$AE8*(1+GA$3))/$AJ8,'Технический лист'!$A:$B,2,1),(FZ8-0.05)))</f>
        <v>1</v>
      </c>
      <c r="GB8" s="15">
        <f>MIN(1,MAX(VLOOKUP(($AJ8-$AI8-$AH8-$AG8-$AF8-$AE8*(1+GB$3))/$AJ8,'Технический лист'!$A:$B,2,1),(GA8-0.05)))</f>
        <v>1</v>
      </c>
      <c r="GC8" s="15">
        <f>MIN(1,MAX(VLOOKUP(($AJ8-$AI8-$AH8-$AG8-$AF8-$AE8*(1+GC$3))/$AJ8,'Технический лист'!$A:$B,2,1),(GB8-0.05)))</f>
        <v>1</v>
      </c>
      <c r="GD8" s="15">
        <f>MIN(1,MAX(VLOOKUP(($AJ8-$AI8-$AH8-$AG8-$AF8-$AE8*(1+GD$3))/$AJ8,'Технический лист'!$A:$B,2,1),(GC8-0.05)))</f>
        <v>1</v>
      </c>
      <c r="GE8" s="15">
        <f>MIN(1,MAX(VLOOKUP(($AJ8-$AI8-$AH8-$AG8-$AF8-$AE8*(1+GE$3))/$AJ8,'Технический лист'!$A:$B,2,1),(GD8-0.05)))</f>
        <v>1</v>
      </c>
      <c r="GF8" s="15">
        <f>MIN(1,MAX(VLOOKUP(($AJ8-$AI8-$AH8-$AG8-$AF8-$AE8*(1+GF$3))/$AJ8,'Технический лист'!$A:$B,2,1),(GE8-0.05)))</f>
        <v>1</v>
      </c>
      <c r="GG8" s="15">
        <f>MIN(1,MAX(VLOOKUP(($AJ8-$AI8-$AH8-$AG8-$AF8-$AE8*(1+GG$3))/$AJ8,'Технический лист'!$A:$B,2,1),(GF8-0.05)))</f>
        <v>1</v>
      </c>
      <c r="GH8" s="15">
        <f>MIN(1,MAX(VLOOKUP(($AJ8-$AI8-$AH8-$AG8-$AF8-$AE8*(1+GH$3))/$AJ8,'Технический лист'!$A:$B,2,1),(GG8-0.05)))</f>
        <v>1</v>
      </c>
      <c r="GI8" s="15">
        <f>MIN(1,MAX(VLOOKUP(($AJ8-$AI8-$AH8-$AG8-$AF8-$AE8*(1+GI$3))/$AJ8,'Технический лист'!$A:$B,2,1),(GH8-0.05)))</f>
        <v>1</v>
      </c>
      <c r="GJ8" s="15">
        <f>MIN(1,MAX(VLOOKUP(($AJ8-$AI8-$AH8-$AG8-$AF8-$AE8*(1+GJ$3))/$AJ8,'Технический лист'!$A:$B,2,1),(GI8-0.05)))</f>
        <v>1</v>
      </c>
      <c r="GK8" s="15">
        <f>MIN(1,MAX(VLOOKUP(($AJ8-$AI8-$AH8-$AG8-$AF8-$AE8*(1+GK$3))/$AJ8,'Технический лист'!$A:$B,2,1),(GJ8-0.05)))</f>
        <v>1</v>
      </c>
      <c r="GL8" s="15">
        <f>MIN(1,MAX(VLOOKUP(($AJ8-$AI8-$AH8-$AG8-$AF8-$AE8*(1+GL$3))/$AJ8,'Технический лист'!$A:$B,2,1),(GK8-0.05)))</f>
        <v>1</v>
      </c>
      <c r="GM8" s="15">
        <f>MIN(1,MAX(VLOOKUP(($AJ8-$AI8-$AH8-$AG8-$AF8-$AE8*(1+GM$3))/$AJ8,'Технический лист'!$A:$B,2,1),(GL8-0.05)))</f>
        <v>1</v>
      </c>
      <c r="GN8" s="15">
        <f>MIN(1,MAX(VLOOKUP(($AJ8-$AI8-$AH8-$AG8-$AF8-$AE8*(1+GN$3))/$AJ8,'Технический лист'!$A:$B,2,1),(GM8-0.05)))</f>
        <v>1</v>
      </c>
      <c r="GO8" s="15">
        <f>MIN(1,MAX(VLOOKUP(($AJ8-$AI8-$AH8-$AG8-$AF8-$AE8*(1+GO$3))/$AJ8,'Технический лист'!$A:$B,2,1),(GN8-0.05)))</f>
        <v>1</v>
      </c>
      <c r="GP8" s="15">
        <f>MIN(1,MAX(VLOOKUP(($AJ8-$AI8-$AH8-$AG8-$AF8-$AE8*(1+GP$3))/$AJ8,'Технический лист'!$A:$B,2,1),(GO8-0.05)))</f>
        <v>1</v>
      </c>
      <c r="GQ8" s="15">
        <f>MIN(1,MAX(VLOOKUP(($AJ8-$AI8-$AH8-$AG8-$AF8-$AE8*(1+GQ$3))/$AJ8,'Технический лист'!$A:$B,2,1),(GP8-0.05)))</f>
        <v>1</v>
      </c>
      <c r="GR8" s="15">
        <f>MIN(1,MAX(VLOOKUP(($AJ8-$AI8-$AH8-$AG8-$AF8-$AE8*(1+GR$3))/$AJ8,'Технический лист'!$A:$B,2,1),(GQ8-0.05)))</f>
        <v>1</v>
      </c>
      <c r="GS8" s="15">
        <f>MIN(1,MAX(VLOOKUP(($AJ8-$AI8-$AH8-$AG8-$AF8-$AE8*(1+GS$3))/$AJ8,'Технический лист'!$A:$B,2,1),(GR8-0.05)))</f>
        <v>1</v>
      </c>
      <c r="GT8" s="15">
        <f>MIN(1,MAX(VLOOKUP(($AJ8-$AI8-$AH8-$AG8-$AF8-$AE8*(1+GT$3))/$AJ8,'Технический лист'!$A:$B,2,1),(GS8-0.05)))</f>
        <v>1</v>
      </c>
      <c r="GU8" s="15">
        <f>MIN(1,MAX(VLOOKUP(($AJ8-$AI8-$AH8-$AG8-$AF8-$AE8*(1+GU$3))/$AJ8,'Технический лист'!$A:$B,2,1),(GT8-0.05)))</f>
        <v>1</v>
      </c>
      <c r="GV8" s="15">
        <f>MIN(1,MAX(VLOOKUP(($AJ8-$AI8-$AH8-$AG8-$AF8-$AE8*(1+GV$3))/$AJ8,'Технический лист'!$A:$B,2,1),(GU8-0.05)))</f>
        <v>1</v>
      </c>
      <c r="GW8" s="15">
        <f>MIN(1,MAX(VLOOKUP(($AJ8-$AI8-$AH8-$AG8-$AF8-$AE8*(1+GW$3))/$AJ8,'Технический лист'!$A:$B,2,1),(GV8-0.05)))</f>
        <v>1</v>
      </c>
      <c r="GX8" s="15">
        <f>MIN(1,MAX(VLOOKUP(($AJ8-$AI8-$AH8-$AG8-$AF8-$AE8*(1+GX$3))/$AJ8,'Технический лист'!$A:$B,2,1),(GW8-0.05)))</f>
        <v>1</v>
      </c>
      <c r="GY8" s="15">
        <f>MIN(1,MAX(VLOOKUP(($AJ8-$AI8-$AH8-$AG8-$AF8-$AE8*(1+GY$3))/$AJ8,'Технический лист'!$A:$B,2,1),(GX8-0.05)))</f>
        <v>1</v>
      </c>
      <c r="GZ8" s="15">
        <f>MIN(1,MAX(VLOOKUP(($AJ8-$AI8-$AH8-$AG8-$AF8-$AE8*(1+GZ$3))/$AJ8,'Технический лист'!$A:$B,2,1),(GY8-0.05)))</f>
        <v>1</v>
      </c>
      <c r="HA8" s="15">
        <f>MIN(1,MAX(VLOOKUP(($AJ8-$AI8-$AH8-$AG8-$AF8-$AE8*(1+HA$3))/$AJ8,'Технический лист'!$A:$B,2,1),(GZ8-0.05)))</f>
        <v>1</v>
      </c>
      <c r="HB8" s="15">
        <f>MIN(1,MAX(VLOOKUP(($AJ8-$AI8-$AH8-$AG8-$AF8-$AE8*(1+HB$3))/$AJ8,'Технический лист'!$A:$B,2,1),(HA8-0.05)))</f>
        <v>1</v>
      </c>
      <c r="HC8" s="15">
        <f>MIN(1,MAX(VLOOKUP(($AJ8-$AI8-$AH8-$AG8-$AF8-$AE8*(1+HC$3))/$AJ8,'Технический лист'!$A:$B,2,1),(HB8-0.05)))</f>
        <v>1</v>
      </c>
      <c r="HD8" s="15">
        <f>MIN(1,MAX(VLOOKUP(($AJ8-$AI8-$AH8-$AG8-$AF8-$AE8*(1+HD$3))/$AJ8,'Технический лист'!$A:$B,2,1),(HC8-0.05)))</f>
        <v>1</v>
      </c>
      <c r="HE8" s="15">
        <f>MIN(1,MAX(VLOOKUP(($AJ8-$AI8-$AH8-$AG8-$AF8-$AE8*(1+HE$3))/$AJ8,'Технический лист'!$A:$B,2,1),(HD8-0.05)))</f>
        <v>1</v>
      </c>
      <c r="HF8" s="15">
        <f>MIN(1,MAX(VLOOKUP(($AJ8-$AI8-$AH8-$AG8-$AF8-$AE8*(1+HF$3))/$AJ8,'Технический лист'!$A:$B,2,1),(HE8-0.05)))</f>
        <v>1</v>
      </c>
      <c r="HG8" s="15">
        <f>MIN(1,MAX(VLOOKUP(($AJ8-$AI8-$AH8-$AG8-$AF8-$AE8*(1+HG$3))/$AJ8,'Технический лист'!$A:$B,2,1),(HF8-0.05)))</f>
        <v>1</v>
      </c>
      <c r="HH8" s="15">
        <f>MIN(1,MAX(VLOOKUP(($AJ8-$AI8-$AH8-$AG8-$AF8-$AE8*(1+HH$3))/$AJ8,'Технический лист'!$A:$B,2,1),(HG8-0.05)))</f>
        <v>1</v>
      </c>
      <c r="HI8" s="15">
        <f>MIN(1,MAX(VLOOKUP(($AJ8-$AI8-$AH8-$AG8-$AF8-$AE8*(1+HI$3))/$AJ8,'Технический лист'!$A:$B,2,1),(HH8-0.05)))</f>
        <v>1</v>
      </c>
      <c r="HJ8" s="15">
        <f>MIN(1,MAX(VLOOKUP(($AJ8-$AI8-$AH8-$AG8-$AF8-$AE8*(1+HJ$3))/$AJ8,'Технический лист'!$A:$B,2,1),(HI8-0.05)))</f>
        <v>1</v>
      </c>
      <c r="HK8" s="15">
        <f>MIN(1,MAX(VLOOKUP(($AJ8-$AI8-$AH8-$AG8-$AF8-$AE8*(1+HK$3))/$AJ8,'Технический лист'!$A:$B,2,1),(HJ8-0.05)))</f>
        <v>1</v>
      </c>
      <c r="HL8" s="15">
        <f>MIN(1,MAX(VLOOKUP(($AJ8-$AI8-$AH8-$AG8-$AF8-$AE8*(1+HL$3))/$AJ8,'Технический лист'!$A:$B,2,1),(HK8-0.05)))</f>
        <v>1</v>
      </c>
      <c r="HM8" s="15">
        <f>MIN(1,MAX(VLOOKUP(($AJ8-$AI8-$AH8-$AG8-$AF8-$AE8*(1+HM$3))/$AJ8,'Технический лист'!$A:$B,2,1),(HL8-0.05)))</f>
        <v>1</v>
      </c>
      <c r="HN8" s="15">
        <f>MIN(1,MAX(VLOOKUP(($AJ8-$AI8-$AH8-$AG8-$AF8-$AE8*(1+HN$3))/$AJ8,'Технический лист'!$A:$B,2,1),(HM8-0.05)))</f>
        <v>1</v>
      </c>
      <c r="HO8" s="15">
        <f>MIN(1,MAX(VLOOKUP(($AJ8-$AI8-$AH8-$AG8-$AF8-$AE8*(1+HO$3))/$AJ8,'Технический лист'!$A:$B,2,1),(HN8-0.05)))</f>
        <v>1</v>
      </c>
      <c r="HP8" s="15">
        <f>MIN(1,MAX(VLOOKUP(($AJ8-$AI8-$AH8-$AG8-$AF8-$AE8*(1+HP$3))/$AJ8,'Технический лист'!$A:$B,2,1),(HO8-0.05)))</f>
        <v>1</v>
      </c>
      <c r="HQ8" s="15">
        <f>MIN(1,MAX(VLOOKUP(($AJ8-$AI8-$AH8-$AG8-$AF8-$AE8*(1+HQ$3))/$AJ8,'Технический лист'!$A:$B,2,1),(HP8-0.05)))</f>
        <v>1</v>
      </c>
      <c r="HR8" s="15">
        <f>MIN(1,MAX(VLOOKUP(($AJ8-$AI8-$AH8-$AG8-$AF8-$AE8*(1+HR$3))/$AJ8,'Технический лист'!$A:$B,2,1),(HQ8-0.05)))</f>
        <v>1</v>
      </c>
      <c r="HS8" s="15">
        <f>MIN(1,MAX(VLOOKUP(($AJ8-$AI8-$AH8-$AG8-$AF8-$AE8*(1+HS$3))/$AJ8,'Технический лист'!$A:$B,2,1),(HR8-0.05)))</f>
        <v>1</v>
      </c>
      <c r="HT8" s="15">
        <f>MIN(1,MAX(VLOOKUP(($AJ8-$AI8-$AH8-$AG8-$AF8-$AE8*(1+HT$3))/$AJ8,'Технический лист'!$A:$B,2,1),(HS8-0.05)))</f>
        <v>1</v>
      </c>
      <c r="HU8" s="15">
        <f>MIN(1,MAX(VLOOKUP(($AJ8-$AI8-$AH8-$AG8-$AF8-$AE8*(1+HU$3))/$AJ8,'Технический лист'!$A:$B,2,1),(HT8-0.05)))</f>
        <v>1</v>
      </c>
      <c r="HV8" s="15">
        <f>MIN(1,MAX(VLOOKUP(($AJ8-$AI8-$AH8-$AG8-$AF8-$AE8*(1+HV$3))/$AJ8,'Технический лист'!$A:$B,2,1),(HU8-0.05)))</f>
        <v>1</v>
      </c>
      <c r="HW8" s="15">
        <f>MIN(1,MAX(VLOOKUP(($AJ8-$AI8-$AH8-$AG8-$AF8-$AE8*(1+HW$3))/$AJ8,'Технический лист'!$A:$B,2,1),(HV8-0.05)))</f>
        <v>1</v>
      </c>
      <c r="HX8" s="15">
        <f>MIN(1,MAX(VLOOKUP(($AJ8-$AI8-$AH8-$AG8-$AF8-$AE8*(1+HX$3))/$AJ8,'Технический лист'!$A:$B,2,1),(HW8-0.05)))</f>
        <v>1</v>
      </c>
      <c r="HY8" s="15">
        <f>MIN(1,MAX(VLOOKUP(($AJ8-$AI8-$AH8-$AG8-$AF8-$AE8*(1+HY$3))/$AJ8,'Технический лист'!$A:$B,2,1),(HX8-0.05)))</f>
        <v>1</v>
      </c>
      <c r="HZ8" s="15">
        <f>MIN(1,MAX(VLOOKUP(($AJ8-$AI8-$AH8-$AG8-$AF8-$AE8*(1+HZ$3))/$AJ8,'Технический лист'!$A:$B,2,1),(HY8-0.05)))</f>
        <v>1</v>
      </c>
      <c r="IA8" s="15">
        <f>MIN(1,MAX(VLOOKUP(($AJ8-$AI8-$AH8-$AG8-$AF8-$AE8*(1+IA$3))/$AJ8,'Технический лист'!$A:$B,2,1),(HZ8-0.05)))</f>
        <v>1</v>
      </c>
      <c r="IB8" s="15">
        <f>MIN(1,MAX(VLOOKUP(($AJ8-$AI8-$AH8-$AG8-$AF8-$AE8*(1+IB$3))/$AJ8,'Технический лист'!$A:$B,2,1),(IA8-0.05)))</f>
        <v>1</v>
      </c>
      <c r="IC8" s="15">
        <f>MIN(1,MAX(VLOOKUP(($AJ8-$AI8-$AH8-$AG8-$AF8-$AE8*(1+IC$3))/$AJ8,'Технический лист'!$A:$B,2,1),(IB8-0.05)))</f>
        <v>1</v>
      </c>
      <c r="ID8" s="15">
        <f>MIN(1,MAX(VLOOKUP(($AJ8-$AI8-$AH8-$AG8-$AF8-$AE8*(1+ID$3))/$AJ8,'Технический лист'!$A:$B,2,1),(IC8-0.05)))</f>
        <v>1</v>
      </c>
      <c r="IE8" s="15">
        <f>MIN(1,MAX(VLOOKUP(($AJ8-$AI8-$AH8-$AG8-$AF8-$AE8*(1+IE$3))/$AJ8,'Технический лист'!$A:$B,2,1),(ID8-0.05)))</f>
        <v>1</v>
      </c>
      <c r="IF8" s="15">
        <f>MIN(1,MAX(VLOOKUP(($AJ8-$AI8-$AH8-$AG8-$AF8-$AE8*(1+IF$3))/$AJ8,'Технический лист'!$A:$B,2,1),(IE8-0.05)))</f>
        <v>1</v>
      </c>
      <c r="IG8" s="15">
        <f>MIN(1,MAX(VLOOKUP(($AJ8-$AI8-$AH8-$AG8-$AF8-$AE8*(1+IG$3))/$AJ8,'Технический лист'!$A:$B,2,1),(IF8-0.05)))</f>
        <v>1</v>
      </c>
      <c r="IH8" s="15">
        <f>MIN(1,MAX(VLOOKUP(($AJ8-$AI8-$AH8-$AG8-$AF8-$AE8*(1+IH$3))/$AJ8,'Технический лист'!$A:$B,2,1),(IG8-0.05)))</f>
        <v>1</v>
      </c>
      <c r="II8" s="15">
        <f>MIN(1,MAX(VLOOKUP(($AJ8-$AI8-$AH8-$AG8-$AF8-$AE8*(1+II$3))/$AJ8,'Технический лист'!$A:$B,2,1),(IH8-0.05)))</f>
        <v>1</v>
      </c>
      <c r="IJ8" s="15">
        <f>MIN(1,MAX(VLOOKUP(($AJ8-$AI8-$AH8-$AG8-$AF8-$AE8*(1+IJ$3))/$AJ8,'Технический лист'!$A:$B,2,1),(II8-0.05)))</f>
        <v>1</v>
      </c>
      <c r="IK8" s="15">
        <f>MIN(1,MAX(VLOOKUP(($AJ8-$AI8-$AH8-$AG8-$AF8-$AE8*(1+IK$3))/$AJ8,'Технический лист'!$A:$B,2,1),(IJ8-0.05)))</f>
        <v>1</v>
      </c>
      <c r="IL8" s="15">
        <f>MIN(1,MAX(VLOOKUP(($AJ8-$AI8-$AH8-$AG8-$AF8-$AE8*(1+IL$3))/$AJ8,'Технический лист'!$A:$B,2,1),(IK8-0.05)))</f>
        <v>1</v>
      </c>
      <c r="IM8" s="15">
        <f>MIN(1,MAX(VLOOKUP(($AJ8-$AI8-$AH8-$AG8-$AF8-$AE8*(1+IM$3))/$AJ8,'Технический лист'!$A:$B,2,1),(IL8-0.05)))</f>
        <v>1</v>
      </c>
      <c r="IN8" s="15">
        <f>MIN(1,MAX(VLOOKUP(($AJ8-$AI8-$AH8-$AG8-$AF8-$AE8*(1+IN$3))/$AJ8,'Технический лист'!$A:$B,2,1),(IM8-0.05)))</f>
        <v>1</v>
      </c>
      <c r="IO8" s="15">
        <f>MIN(1,MAX(VLOOKUP(($AJ8-$AI8-$AH8-$AG8-$AF8-$AE8*(1+IO$3))/$AJ8,'Технический лист'!$A:$B,2,1),(IN8-0.05)))</f>
        <v>1</v>
      </c>
      <c r="IP8" s="15">
        <f>MIN(1,MAX(VLOOKUP(($AJ8-$AI8-$AH8-$AG8-$AF8-$AE8*(1+IP$3))/$AJ8,'Технический лист'!$A:$B,2,1),(IO8-0.05)))</f>
        <v>1</v>
      </c>
      <c r="IQ8" s="15">
        <f>MIN(1,MAX(VLOOKUP(($AJ8-$AI8-$AH8-$AG8-$AF8-$AE8*(1+IQ$3))/$AJ8,'Технический лист'!$A:$B,2,1),(IP8-0.05)))</f>
        <v>1</v>
      </c>
      <c r="IR8" s="15">
        <f>MIN(1,MAX(VLOOKUP(($AJ8-$AI8-$AH8-$AG8-$AF8-$AE8*(1+IR$3))/$AJ8,'Технический лист'!$A:$B,2,1),(IQ8-0.05)))</f>
        <v>1</v>
      </c>
    </row>
    <row r="9" spans="1:257" ht="45" customHeight="1">
      <c r="A9" s="89" t="s">
        <v>514</v>
      </c>
      <c r="B9" s="90">
        <v>2</v>
      </c>
      <c r="C9" s="5" t="s">
        <v>65</v>
      </c>
      <c r="D9" s="91">
        <v>17106</v>
      </c>
      <c r="E9" s="91" t="s">
        <v>319</v>
      </c>
      <c r="F9" s="92" t="s">
        <v>69</v>
      </c>
      <c r="G9" s="91" t="s">
        <v>50</v>
      </c>
      <c r="H9" s="91" t="s">
        <v>30</v>
      </c>
      <c r="I9" s="91" t="s">
        <v>83</v>
      </c>
      <c r="J9" s="91" t="s">
        <v>87</v>
      </c>
      <c r="K9" s="91">
        <v>3548</v>
      </c>
      <c r="L9" s="85" t="s">
        <v>64</v>
      </c>
      <c r="M9" s="91" t="s">
        <v>190</v>
      </c>
      <c r="N9" s="91" t="s">
        <v>191</v>
      </c>
      <c r="O9" s="91" t="s">
        <v>194</v>
      </c>
      <c r="P9" s="89" t="s">
        <v>197</v>
      </c>
      <c r="Q9" s="91" t="s">
        <v>251</v>
      </c>
      <c r="R9" s="91" t="s">
        <v>251</v>
      </c>
      <c r="S9" s="82">
        <v>4069</v>
      </c>
      <c r="T9" s="82">
        <v>14438053</v>
      </c>
      <c r="U9" s="81">
        <v>70</v>
      </c>
      <c r="V9" s="81">
        <v>0</v>
      </c>
      <c r="W9" s="82">
        <v>8422842</v>
      </c>
      <c r="X9" s="112">
        <v>56</v>
      </c>
      <c r="Y9" s="112" t="s">
        <v>417</v>
      </c>
      <c r="Z9" s="113">
        <v>12</v>
      </c>
      <c r="AA9" s="113">
        <v>10</v>
      </c>
      <c r="AB9" s="113">
        <v>4</v>
      </c>
      <c r="AC9" s="99">
        <v>2331.39</v>
      </c>
      <c r="AD9" s="99">
        <f t="shared" si="1"/>
        <v>868.34000000000015</v>
      </c>
      <c r="AE9" s="99">
        <v>3199.73</v>
      </c>
      <c r="AF9" s="98">
        <f>(Z9+AA9+AB9)*'Ставки аренды'!$B$3/X9</f>
        <v>325</v>
      </c>
      <c r="AG9" s="114">
        <v>0</v>
      </c>
      <c r="AH9" s="94">
        <v>0</v>
      </c>
      <c r="AI9" s="115">
        <f>0.71*AVERAGE(AJ7,AJ8)</f>
        <v>11642.3096675</v>
      </c>
      <c r="AJ9" s="117">
        <f>Цены!$D$9</f>
        <v>17000</v>
      </c>
      <c r="AK9" s="94">
        <f>AJ9/Цены!$B$1</f>
        <v>222.7886587467483</v>
      </c>
      <c r="AL9" s="95">
        <f t="shared" si="5"/>
        <v>3524.73</v>
      </c>
      <c r="AM9" s="95">
        <f t="shared" si="6"/>
        <v>13475.27</v>
      </c>
      <c r="AN9" s="94">
        <f t="shared" si="2"/>
        <v>15167.039667499999</v>
      </c>
      <c r="AO9" s="118">
        <f t="shared" si="3"/>
        <v>0.10782119602941181</v>
      </c>
      <c r="AP9" s="96">
        <f t="shared" si="7"/>
        <v>0.2073370588235294</v>
      </c>
      <c r="AQ9" s="96">
        <f t="shared" si="8"/>
        <v>0.18821941176470589</v>
      </c>
      <c r="AR9" s="96">
        <f t="shared" si="9"/>
        <v>0.90779435587974111</v>
      </c>
      <c r="AS9" s="122">
        <v>1</v>
      </c>
      <c r="AT9" s="121">
        <f t="shared" si="10"/>
        <v>4069</v>
      </c>
      <c r="AU9" s="83">
        <v>0.85</v>
      </c>
      <c r="AV9" s="119">
        <f t="shared" si="11"/>
        <v>8.5234866617646995E-2</v>
      </c>
      <c r="AW9" s="120">
        <f t="shared" si="12"/>
        <v>0.22992338823529415</v>
      </c>
      <c r="AX9" s="120">
        <f t="shared" si="13"/>
        <v>0.21080574117647061</v>
      </c>
      <c r="AY9" s="120">
        <f t="shared" si="14"/>
        <v>0.91685209927726308</v>
      </c>
      <c r="AZ9" s="15">
        <f>MIN(IF($AU9=100%,1,1+VLOOKUP(($AJ9-$AI9-$AH9-$AG9-$AF9-$AE9*(1+AZ$3))/$AJ9,'Технический лист'!$A:$B,2,1)-VLOOKUP($AO9,'Технический лист'!$A:$B,2,1)),1+(1-$AU9))</f>
        <v>1.052</v>
      </c>
      <c r="BA9" s="15">
        <f>MIN(IF($AU9=100%,1,1+VLOOKUP(($AJ9-$AI9-$AH9-$AG9-$AF9-$AE9*(1+BA$3))/$AJ9,'Технический лист'!$A:$B,2,1)-VLOOKUP($AO9,'Технический лист'!$A:$B,2,1)),1+(1-$AU9))</f>
        <v>1.052</v>
      </c>
      <c r="BB9" s="15">
        <f>MIN(IF($AU9=100%,1,1+VLOOKUP(($AJ9-$AI9-$AH9-$AG9-$AF9-$AE9*(1+BB$3))/$AJ9,'Технический лист'!$A:$B,2,1)-VLOOKUP($AO9,'Технический лист'!$A:$B,2,1)),1+(1-$AU9))</f>
        <v>1.052</v>
      </c>
      <c r="BC9" s="15">
        <f>MIN(IF($AU9=100%,1,1+VLOOKUP(($AJ9-$AI9-$AH9-$AG9-$AF9-$AE9*(1+BC$3))/$AJ9,'Технический лист'!$A:$B,2,1)-VLOOKUP($AO9,'Технический лист'!$A:$B,2,1)),1+(1-$AU9))</f>
        <v>1.0460000000000003</v>
      </c>
      <c r="BD9" s="15">
        <f>MIN(IF($AU9=100%,1,1+VLOOKUP(($AJ9-$AI9-$AH9-$AG9-$AF9-$AE9*(1+BD$3))/$AJ9,'Технический лист'!$A:$B,2,1)-VLOOKUP($AO9,'Технический лист'!$A:$B,2,1)),1+(1-$AU9))</f>
        <v>1.0460000000000003</v>
      </c>
      <c r="BE9" s="15">
        <f>MIN(IF($AU9=100%,1,1+VLOOKUP(($AJ9-$AI9-$AH9-$AG9-$AF9-$AE9*(1+BE$3))/$AJ9,'Технический лист'!$A:$B,2,1)-VLOOKUP($AO9,'Технический лист'!$A:$B,2,1)),1+(1-$AU9))</f>
        <v>1.0460000000000003</v>
      </c>
      <c r="BF9" s="15">
        <f>MIN(IF($AU9=100%,1,1+VLOOKUP(($AJ9-$AI9-$AH9-$AG9-$AF9-$AE9*(1+BF$3))/$AJ9,'Технический лист'!$A:$B,2,1)-VLOOKUP($AO9,'Технический лист'!$A:$B,2,1)),1+(1-$AU9))</f>
        <v>1.0460000000000003</v>
      </c>
      <c r="BG9" s="15">
        <f>MIN(IF($AU9=100%,1,1+VLOOKUP(($AJ9-$AI9-$AH9-$AG9-$AF9-$AE9*(1+BG$3))/$AJ9,'Технический лист'!$A:$B,2,1)-VLOOKUP($AO9,'Технический лист'!$A:$B,2,1)),1+(1-$AU9))</f>
        <v>1.0460000000000003</v>
      </c>
      <c r="BH9" s="15">
        <f>MIN(IF($AU9=100%,1,1+VLOOKUP(($AJ9-$AI9-$AH9-$AG9-$AF9-$AE9*(1+BH$3))/$AJ9,'Технический лист'!$A:$B,2,1)-VLOOKUP($AO9,'Технический лист'!$A:$B,2,1)),1+(1-$AU9))</f>
        <v>1.0460000000000003</v>
      </c>
      <c r="BI9" s="15">
        <f>MIN(IF($AU9=100%,1,1+VLOOKUP(($AJ9-$AI9-$AH9-$AG9-$AF9-$AE9*(1+BI$3))/$AJ9,'Технический лист'!$A:$B,2,1)-VLOOKUP($AO9,'Технический лист'!$A:$B,2,1)),1+(1-$AU9))</f>
        <v>1.0460000000000003</v>
      </c>
      <c r="BJ9" s="15">
        <f>MIN(IF($AU9=100%,1,1+VLOOKUP(($AJ9-$AI9-$AH9-$AG9-$AF9-$AE9*(1+BJ$3))/$AJ9,'Технический лист'!$A:$B,2,1)-VLOOKUP($AO9,'Технический лист'!$A:$B,2,1)),1+(1-$AU9))</f>
        <v>1.0460000000000003</v>
      </c>
      <c r="BK9" s="15">
        <f>MIN(IF($AU9=100%,1,1+VLOOKUP(($AJ9-$AI9-$AH9-$AG9-$AF9-$AE9*(1+BK$3))/$AJ9,'Технический лист'!$A:$B,2,1)-VLOOKUP($AO9,'Технический лист'!$A:$B,2,1)),1+(1-$AU9))</f>
        <v>1.0460000000000003</v>
      </c>
      <c r="BL9" s="15">
        <f>MIN(IF($AU9=100%,1,1+VLOOKUP(($AJ9-$AI9-$AH9-$AG9-$AF9-$AE9*(1+BL$3))/$AJ9,'Технический лист'!$A:$B,2,1)-VLOOKUP($AO9,'Технический лист'!$A:$B,2,1)),1+(1-$AU9))</f>
        <v>1.0460000000000003</v>
      </c>
      <c r="BM9" s="15">
        <f>MIN(IF($AU9=100%,1,1+VLOOKUP(($AJ9-$AI9-$AH9-$AG9-$AF9-$AE9*(1+BM$3))/$AJ9,'Технический лист'!$A:$B,2,1)-VLOOKUP($AO9,'Технический лист'!$A:$B,2,1)),1+(1-$AU9))</f>
        <v>1.04</v>
      </c>
      <c r="BN9" s="15">
        <f>MIN(IF($AU9=100%,1,1+VLOOKUP(($AJ9-$AI9-$AH9-$AG9-$AF9-$AE9*(1+BN$3))/$AJ9,'Технический лист'!$A:$B,2,1)-VLOOKUP($AO9,'Технический лист'!$A:$B,2,1)),1+(1-$AU9))</f>
        <v>1.04</v>
      </c>
      <c r="BO9" s="15">
        <f>MIN(IF($AU9=100%,1,1+VLOOKUP(($AJ9-$AI9-$AH9-$AG9-$AF9-$AE9*(1+BO$3))/$AJ9,'Технический лист'!$A:$B,2,1)-VLOOKUP($AO9,'Технический лист'!$A:$B,2,1)),1+(1-$AU9))</f>
        <v>1.04</v>
      </c>
      <c r="BP9" s="15">
        <f>MIN(IF($AU9=100%,1,1+VLOOKUP(($AJ9-$AI9-$AH9-$AG9-$AF9-$AE9*(1+BP$3))/$AJ9,'Технический лист'!$A:$B,2,1)-VLOOKUP($AO9,'Технический лист'!$A:$B,2,1)),1+(1-$AU9))</f>
        <v>1.04</v>
      </c>
      <c r="BQ9" s="15">
        <f>MIN(IF($AU9=100%,1,1+VLOOKUP(($AJ9-$AI9-$AH9-$AG9-$AF9-$AE9*(1+BQ$3))/$AJ9,'Технический лист'!$A:$B,2,1)-VLOOKUP($AO9,'Технический лист'!$A:$B,2,1)),1+(1-$AU9))</f>
        <v>1.04</v>
      </c>
      <c r="BR9" s="15">
        <f>MIN(IF($AU9=100%,1,1+VLOOKUP(($AJ9-$AI9-$AH9-$AG9-$AF9-$AE9*(1+BR$3))/$AJ9,'Технический лист'!$A:$B,2,1)-VLOOKUP($AO9,'Технический лист'!$A:$B,2,1)),1+(1-$AU9))</f>
        <v>1.04</v>
      </c>
      <c r="BS9" s="15">
        <f>MIN(IF($AU9=100%,1,1+VLOOKUP(($AJ9-$AI9-$AH9-$AG9-$AF9-$AE9*(1+BS$3))/$AJ9,'Технический лист'!$A:$B,2,1)-VLOOKUP($AO9,'Технический лист'!$A:$B,2,1)),1+(1-$AU9))</f>
        <v>1.04</v>
      </c>
      <c r="BT9" s="15">
        <f>MIN(IF($AU9=100%,1,1+VLOOKUP(($AJ9-$AI9-$AH9-$AG9-$AF9-$AE9*(1+BT$3))/$AJ9,'Технический лист'!$A:$B,2,1)-VLOOKUP($AO9,'Технический лист'!$A:$B,2,1)),1+(1-$AU9))</f>
        <v>1.04</v>
      </c>
      <c r="BU9" s="15">
        <f>MIN(IF($AU9=100%,1,1+VLOOKUP(($AJ9-$AI9-$AH9-$AG9-$AF9-$AE9*(1+BU$3))/$AJ9,'Технический лист'!$A:$B,2,1)-VLOOKUP($AO9,'Технический лист'!$A:$B,2,1)),1+(1-$AU9))</f>
        <v>1.04</v>
      </c>
      <c r="BV9" s="15">
        <f>MIN(IF($AU9=100%,1,1+VLOOKUP(($AJ9-$AI9-$AH9-$AG9-$AF9-$AE9*(1+BV$3))/$AJ9,'Технический лист'!$A:$B,2,1)-VLOOKUP($AO9,'Технический лист'!$A:$B,2,1)),1+(1-$AU9))</f>
        <v>1.04</v>
      </c>
      <c r="BW9" s="15">
        <f>MIN(IF($AU9=100%,1,1+VLOOKUP(($AJ9-$AI9-$AH9-$AG9-$AF9-$AE9*(1+BW$3))/$AJ9,'Технический лист'!$A:$B,2,1)-VLOOKUP($AO9,'Технический лист'!$A:$B,2,1)),1+(1-$AU9))</f>
        <v>1.04</v>
      </c>
      <c r="BX9" s="15">
        <f>MIN(IF($AU9=100%,1,1+VLOOKUP(($AJ9-$AI9-$AH9-$AG9-$AF9-$AE9*(1+BX$3))/$AJ9,'Технический лист'!$A:$B,2,1)-VLOOKUP($AO9,'Технический лист'!$A:$B,2,1)),1+(1-$AU9))</f>
        <v>1.0350000000000001</v>
      </c>
      <c r="BY9" s="15">
        <f>MIN(IF($AU9=100%,1,1+VLOOKUP(($AJ9-$AI9-$AH9-$AG9-$AF9-$AE9*(1+BY$3))/$AJ9,'Технический лист'!$A:$B,2,1)-VLOOKUP($AO9,'Технический лист'!$A:$B,2,1)),1+(1-$AU9))</f>
        <v>1.0350000000000001</v>
      </c>
      <c r="BZ9" s="15">
        <f>MIN(IF($AU9=100%,1,1+VLOOKUP(($AJ9-$AI9-$AH9-$AG9-$AF9-$AE9*(1+BZ$3))/$AJ9,'Технический лист'!$A:$B,2,1)-VLOOKUP($AO9,'Технический лист'!$A:$B,2,1)),1+(1-$AU9))</f>
        <v>1.0350000000000001</v>
      </c>
      <c r="CA9" s="15">
        <f>MIN(IF($AU9=100%,1,1+VLOOKUP(($AJ9-$AI9-$AH9-$AG9-$AF9-$AE9*(1+CA$3))/$AJ9,'Технический лист'!$A:$B,2,1)-VLOOKUP($AO9,'Технический лист'!$A:$B,2,1)),1+(1-$AU9))</f>
        <v>1.0350000000000001</v>
      </c>
      <c r="CB9" s="15">
        <f>MIN(IF($AU9=100%,1,1+VLOOKUP(($AJ9-$AI9-$AH9-$AG9-$AF9-$AE9*(1+CB$3))/$AJ9,'Технический лист'!$A:$B,2,1)-VLOOKUP($AO9,'Технический лист'!$A:$B,2,1)),1+(1-$AU9))</f>
        <v>1.0350000000000001</v>
      </c>
      <c r="CC9" s="15">
        <f>MIN(IF($AU9=100%,1,1+VLOOKUP(($AJ9-$AI9-$AH9-$AG9-$AF9-$AE9*(1+CC$3))/$AJ9,'Технический лист'!$A:$B,2,1)-VLOOKUP($AO9,'Технический лист'!$A:$B,2,1)),1+(1-$AU9))</f>
        <v>1.0350000000000001</v>
      </c>
      <c r="CD9" s="15">
        <f>MIN(IF($AU9=100%,1,1+VLOOKUP(($AJ9-$AI9-$AH9-$AG9-$AF9-$AE9*(1+CD$3))/$AJ9,'Технический лист'!$A:$B,2,1)-VLOOKUP($AO9,'Технический лист'!$A:$B,2,1)),1+(1-$AU9))</f>
        <v>1.0350000000000001</v>
      </c>
      <c r="CE9" s="15">
        <f>MIN(IF($AU9=100%,1,1+VLOOKUP(($AJ9-$AI9-$AH9-$AG9-$AF9-$AE9*(1+CE$3))/$AJ9,'Технический лист'!$A:$B,2,1)-VLOOKUP($AO9,'Технический лист'!$A:$B,2,1)),1+(1-$AU9))</f>
        <v>1.0350000000000001</v>
      </c>
      <c r="CF9" s="15">
        <f>MIN(IF($AU9=100%,1,1+VLOOKUP(($AJ9-$AI9-$AH9-$AG9-$AF9-$AE9*(1+CF$3))/$AJ9,'Технический лист'!$A:$B,2,1)-VLOOKUP($AO9,'Технический лист'!$A:$B,2,1)),1+(1-$AU9))</f>
        <v>1.0350000000000001</v>
      </c>
      <c r="CG9" s="15">
        <f>MIN(IF($AU9=100%,1,1+VLOOKUP(($AJ9-$AI9-$AH9-$AG9-$AF9-$AE9*(1+CG$3))/$AJ9,'Технический лист'!$A:$B,2,1)-VLOOKUP($AO9,'Технический лист'!$A:$B,2,1)),1+(1-$AU9))</f>
        <v>1.0350000000000001</v>
      </c>
      <c r="CH9" s="15">
        <f>MIN(IF($AU9=100%,1,1+VLOOKUP(($AJ9-$AI9-$AH9-$AG9-$AF9-$AE9*(1+CH$3))/$AJ9,'Технический лист'!$A:$B,2,1)-VLOOKUP($AO9,'Технический лист'!$A:$B,2,1)),1+(1-$AU9))</f>
        <v>1.0300000000000002</v>
      </c>
      <c r="CI9" s="15">
        <f>MIN(IF($AU9=100%,1,1+VLOOKUP(($AJ9-$AI9-$AH9-$AG9-$AF9-$AE9*(1+CI$3))/$AJ9,'Технический лист'!$A:$B,2,1)-VLOOKUP($AO9,'Технический лист'!$A:$B,2,1)),1+(1-$AU9))</f>
        <v>1.0300000000000002</v>
      </c>
      <c r="CJ9" s="15">
        <f>MIN(IF($AU9=100%,1,1+VLOOKUP(($AJ9-$AI9-$AH9-$AG9-$AF9-$AE9*(1+CJ$3))/$AJ9,'Технический лист'!$A:$B,2,1)-VLOOKUP($AO9,'Технический лист'!$A:$B,2,1)),1+(1-$AU9))</f>
        <v>1.0300000000000002</v>
      </c>
      <c r="CK9" s="15">
        <f>MIN(IF($AU9=100%,1,1+VLOOKUP(($AJ9-$AI9-$AH9-$AG9-$AF9-$AE9*(1+CK$3))/$AJ9,'Технический лист'!$A:$B,2,1)-VLOOKUP($AO9,'Технический лист'!$A:$B,2,1)),1+(1-$AU9))</f>
        <v>1.0300000000000002</v>
      </c>
      <c r="CL9" s="15">
        <f>MIN(IF($AU9=100%,1,1+VLOOKUP(($AJ9-$AI9-$AH9-$AG9-$AF9-$AE9*(1+CL$3))/$AJ9,'Технический лист'!$A:$B,2,1)-VLOOKUP($AO9,'Технический лист'!$A:$B,2,1)),1+(1-$AU9))</f>
        <v>1.0300000000000002</v>
      </c>
      <c r="CM9" s="15">
        <f>MIN(IF($AU9=100%,1,1+VLOOKUP(($AJ9-$AI9-$AH9-$AG9-$AF9-$AE9*(1+CM$3))/$AJ9,'Технический лист'!$A:$B,2,1)-VLOOKUP($AO9,'Технический лист'!$A:$B,2,1)),1+(1-$AU9))</f>
        <v>1.0300000000000002</v>
      </c>
      <c r="CN9" s="15">
        <f>MIN(IF($AU9=100%,1,1+VLOOKUP(($AJ9-$AI9-$AH9-$AG9-$AF9-$AE9*(1+CN$3))/$AJ9,'Технический лист'!$A:$B,2,1)-VLOOKUP($AO9,'Технический лист'!$A:$B,2,1)),1+(1-$AU9))</f>
        <v>1.0300000000000002</v>
      </c>
      <c r="CO9" s="15">
        <f>MIN(IF($AU9=100%,1,1+VLOOKUP(($AJ9-$AI9-$AH9-$AG9-$AF9-$AE9*(1+CO$3))/$AJ9,'Технический лист'!$A:$B,2,1)-VLOOKUP($AO9,'Технический лист'!$A:$B,2,1)),1+(1-$AU9))</f>
        <v>1.0300000000000002</v>
      </c>
      <c r="CP9" s="15">
        <f>MIN(IF($AU9=100%,1,1+VLOOKUP(($AJ9-$AI9-$AH9-$AG9-$AF9-$AE9*(1+CP$3))/$AJ9,'Технический лист'!$A:$B,2,1)-VLOOKUP($AO9,'Технический лист'!$A:$B,2,1)),1+(1-$AU9))</f>
        <v>1.0300000000000002</v>
      </c>
      <c r="CQ9" s="15">
        <f>MIN(IF($AU9=100%,1,1+VLOOKUP(($AJ9-$AI9-$AH9-$AG9-$AF9-$AE9*(1+CQ$3))/$AJ9,'Технический лист'!$A:$B,2,1)-VLOOKUP($AO9,'Технический лист'!$A:$B,2,1)),1+(1-$AU9))</f>
        <v>1.0300000000000002</v>
      </c>
      <c r="CR9" s="15">
        <f>MIN(IF($AU9=100%,1,1+VLOOKUP(($AJ9-$AI9-$AH9-$AG9-$AF9-$AE9*(1+CR$3))/$AJ9,'Технический лист'!$A:$B,2,1)-VLOOKUP($AO9,'Технический лист'!$A:$B,2,1)),1+(1-$AU9))</f>
        <v>1.0300000000000002</v>
      </c>
      <c r="CS9" s="15">
        <f>MIN(IF($AU9=100%,1,1+VLOOKUP(($AJ9-$AI9-$AH9-$AG9-$AF9-$AE9*(1+CS$3))/$AJ9,'Технический лист'!$A:$B,2,1)-VLOOKUP($AO9,'Технический лист'!$A:$B,2,1)),1+(1-$AU9))</f>
        <v>1.0249999999999999</v>
      </c>
      <c r="CT9" s="15">
        <f>MIN(IF($AU9=100%,1,1+VLOOKUP(($AJ9-$AI9-$AH9-$AG9-$AF9-$AE9*(1+CT$3))/$AJ9,'Технический лист'!$A:$B,2,1)-VLOOKUP($AO9,'Технический лист'!$A:$B,2,1)),1+(1-$AU9))</f>
        <v>1.0249999999999999</v>
      </c>
      <c r="CU9" s="15">
        <f>MIN(IF($AU9=100%,1,1+VLOOKUP(($AJ9-$AI9-$AH9-$AG9-$AF9-$AE9*(1+CU$3))/$AJ9,'Технический лист'!$A:$B,2,1)-VLOOKUP($AO9,'Технический лист'!$A:$B,2,1)),1+(1-$AU9))</f>
        <v>1.0249999999999999</v>
      </c>
      <c r="CV9" s="15">
        <f>MIN(IF($AU9=100%,1,1+VLOOKUP(($AJ9-$AI9-$AH9-$AG9-$AF9-$AE9*(1+CV$3))/$AJ9,'Технический лист'!$A:$B,2,1)-VLOOKUP($AO9,'Технический лист'!$A:$B,2,1)),1+(1-$AU9))</f>
        <v>1.0249999999999999</v>
      </c>
      <c r="CW9" s="15">
        <f>MIN(IF($AU9=100%,1,1+VLOOKUP(($AJ9-$AI9-$AH9-$AG9-$AF9-$AE9*(1+CW$3))/$AJ9,'Технический лист'!$A:$B,2,1)-VLOOKUP($AO9,'Технический лист'!$A:$B,2,1)),1+(1-$AU9))</f>
        <v>1.0249999999999999</v>
      </c>
      <c r="CX9" s="15">
        <f>MIN(IF($AU9=100%,1,1+VLOOKUP(($AJ9-$AI9-$AH9-$AG9-$AF9-$AE9*(1+CX$3))/$AJ9,'Технический лист'!$A:$B,2,1)-VLOOKUP($AO9,'Технический лист'!$A:$B,2,1)),1+(1-$AU9))</f>
        <v>1.0249999999999999</v>
      </c>
      <c r="CY9" s="15">
        <f>MIN(IF($AU9=100%,1,1+VLOOKUP(($AJ9-$AI9-$AH9-$AG9-$AF9-$AE9*(1+CY$3))/$AJ9,'Технический лист'!$A:$B,2,1)-VLOOKUP($AO9,'Технический лист'!$A:$B,2,1)),1+(1-$AU9))</f>
        <v>1.0249999999999999</v>
      </c>
      <c r="CZ9" s="15">
        <f>MIN(IF($AU9=100%,1,1+VLOOKUP(($AJ9-$AI9-$AH9-$AG9-$AF9-$AE9*(1+CZ$3))/$AJ9,'Технический лист'!$A:$B,2,1)-VLOOKUP($AO9,'Технический лист'!$A:$B,2,1)),1+(1-$AU9))</f>
        <v>1.0249999999999999</v>
      </c>
      <c r="DA9" s="15">
        <f>MIN(IF($AU9=100%,1,1+VLOOKUP(($AJ9-$AI9-$AH9-$AG9-$AF9-$AE9*(1+DA$3))/$AJ9,'Технический лист'!$A:$B,2,1)-VLOOKUP($AO9,'Технический лист'!$A:$B,2,1)),1+(1-$AU9))</f>
        <v>1.0249999999999999</v>
      </c>
      <c r="DB9" s="15">
        <f>MIN(IF($AU9=100%,1,1+VLOOKUP(($AJ9-$AI9-$AH9-$AG9-$AF9-$AE9*(1+DB$3))/$AJ9,'Технический лист'!$A:$B,2,1)-VLOOKUP($AO9,'Технический лист'!$A:$B,2,1)),1+(1-$AU9))</f>
        <v>1.0249999999999999</v>
      </c>
      <c r="DC9" s="15">
        <f>MIN(IF($AU9=100%,1,1+VLOOKUP(($AJ9-$AI9-$AH9-$AG9-$AF9-$AE9*(1+DC$3))/$AJ9,'Технический лист'!$A:$B,2,1)-VLOOKUP($AO9,'Технический лист'!$A:$B,2,1)),1+(1-$AU9))</f>
        <v>1.0249999999999999</v>
      </c>
      <c r="DD9" s="15">
        <f>MIN(IF($AU9=100%,1,1+VLOOKUP(($AJ9-$AI9-$AH9-$AG9-$AF9-$AE9*(1+DD$3))/$AJ9,'Технический лист'!$A:$B,2,1)-VLOOKUP($AO9,'Технический лист'!$A:$B,2,1)),1+(1-$AU9))</f>
        <v>1.02</v>
      </c>
      <c r="DE9" s="15">
        <f>MIN(IF($AU9=100%,1,1+VLOOKUP(($AJ9-$AI9-$AH9-$AG9-$AF9-$AE9*(1+DE$3))/$AJ9,'Технический лист'!$A:$B,2,1)-VLOOKUP($AO9,'Технический лист'!$A:$B,2,1)),1+(1-$AU9))</f>
        <v>1.02</v>
      </c>
      <c r="DF9" s="15">
        <f>MIN(IF($AU9=100%,1,1+VLOOKUP(($AJ9-$AI9-$AH9-$AG9-$AF9-$AE9*(1+DF$3))/$AJ9,'Технический лист'!$A:$B,2,1)-VLOOKUP($AO9,'Технический лист'!$A:$B,2,1)),1+(1-$AU9))</f>
        <v>1.02</v>
      </c>
      <c r="DG9" s="15">
        <f>MIN(IF($AU9=100%,1,1+VLOOKUP(($AJ9-$AI9-$AH9-$AG9-$AF9-$AE9*(1+DG$3))/$AJ9,'Технический лист'!$A:$B,2,1)-VLOOKUP($AO9,'Технический лист'!$A:$B,2,1)),1+(1-$AU9))</f>
        <v>1.02</v>
      </c>
      <c r="DH9" s="15">
        <f>MIN(IF($AU9=100%,1,1+VLOOKUP(($AJ9-$AI9-$AH9-$AG9-$AF9-$AE9*(1+DH$3))/$AJ9,'Технический лист'!$A:$B,2,1)-VLOOKUP($AO9,'Технический лист'!$A:$B,2,1)),1+(1-$AU9))</f>
        <v>1.02</v>
      </c>
      <c r="DI9" s="15">
        <f>MIN(IF($AU9=100%,1,1+VLOOKUP(($AJ9-$AI9-$AH9-$AG9-$AF9-$AE9*(1+DI$3))/$AJ9,'Технический лист'!$A:$B,2,1)-VLOOKUP($AO9,'Технический лист'!$A:$B,2,1)),1+(1-$AU9))</f>
        <v>1.02</v>
      </c>
      <c r="DJ9" s="15">
        <f>MIN(IF($AU9=100%,1,1+VLOOKUP(($AJ9-$AI9-$AH9-$AG9-$AF9-$AE9*(1+DJ$3))/$AJ9,'Технический лист'!$A:$B,2,1)-VLOOKUP($AO9,'Технический лист'!$A:$B,2,1)),1+(1-$AU9))</f>
        <v>1.02</v>
      </c>
      <c r="DK9" s="15">
        <f>MIN(IF($AU9=100%,1,1+VLOOKUP(($AJ9-$AI9-$AH9-$AG9-$AF9-$AE9*(1+DK$3))/$AJ9,'Технический лист'!$A:$B,2,1)-VLOOKUP($AO9,'Технический лист'!$A:$B,2,1)),1+(1-$AU9))</f>
        <v>1.02</v>
      </c>
      <c r="DL9" s="15">
        <f>MIN(IF($AU9=100%,1,1+VLOOKUP(($AJ9-$AI9-$AH9-$AG9-$AF9-$AE9*(1+DL$3))/$AJ9,'Технический лист'!$A:$B,2,1)-VLOOKUP($AO9,'Технический лист'!$A:$B,2,1)),1+(1-$AU9))</f>
        <v>1.02</v>
      </c>
      <c r="DM9" s="15">
        <f>MIN(IF($AU9=100%,1,1+VLOOKUP(($AJ9-$AI9-$AH9-$AG9-$AF9-$AE9*(1+DM$3))/$AJ9,'Технический лист'!$A:$B,2,1)-VLOOKUP($AO9,'Технический лист'!$A:$B,2,1)),1+(1-$AU9))</f>
        <v>1.02</v>
      </c>
      <c r="DN9" s="15">
        <f>MIN(IF($AU9=100%,1,1+VLOOKUP(($AJ9-$AI9-$AH9-$AG9-$AF9-$AE9*(1+DN$3))/$AJ9,'Технический лист'!$A:$B,2,1)-VLOOKUP($AO9,'Технический лист'!$A:$B,2,1)),1+(1-$AU9))</f>
        <v>1.0149999999999997</v>
      </c>
      <c r="DO9" s="15">
        <f>MIN(IF($AU9=100%,1,1+VLOOKUP(($AJ9-$AI9-$AH9-$AG9-$AF9-$AE9*(1+DO$3))/$AJ9,'Технический лист'!$A:$B,2,1)-VLOOKUP($AO9,'Технический лист'!$A:$B,2,1)),1+(1-$AU9))</f>
        <v>1.0149999999999997</v>
      </c>
      <c r="DP9" s="15">
        <f>MIN(IF($AU9=100%,1,1+VLOOKUP(($AJ9-$AI9-$AH9-$AG9-$AF9-$AE9*(1+DP$3))/$AJ9,'Технический лист'!$A:$B,2,1)-VLOOKUP($AO9,'Технический лист'!$A:$B,2,1)),1+(1-$AU9))</f>
        <v>1.0149999999999997</v>
      </c>
      <c r="DQ9" s="15">
        <f>MIN(IF($AU9=100%,1,1+VLOOKUP(($AJ9-$AI9-$AH9-$AG9-$AF9-$AE9*(1+DQ$3))/$AJ9,'Технический лист'!$A:$B,2,1)-VLOOKUP($AO9,'Технический лист'!$A:$B,2,1)),1+(1-$AU9))</f>
        <v>1.0149999999999997</v>
      </c>
      <c r="DR9" s="15">
        <f>MIN(IF($AU9=100%,1,1+VLOOKUP(($AJ9-$AI9-$AH9-$AG9-$AF9-$AE9*(1+DR$3))/$AJ9,'Технический лист'!$A:$B,2,1)-VLOOKUP($AO9,'Технический лист'!$A:$B,2,1)),1+(1-$AU9))</f>
        <v>1.0149999999999997</v>
      </c>
      <c r="DS9" s="15">
        <f>MIN(IF($AU9=100%,1,1+VLOOKUP(($AJ9-$AI9-$AH9-$AG9-$AF9-$AE9*(1+DS$3))/$AJ9,'Технический лист'!$A:$B,2,1)-VLOOKUP($AO9,'Технический лист'!$A:$B,2,1)),1+(1-$AU9))</f>
        <v>1.0149999999999997</v>
      </c>
      <c r="DT9" s="15">
        <f>MIN(IF($AU9=100%,1,1+VLOOKUP(($AJ9-$AI9-$AH9-$AG9-$AF9-$AE9*(1+DT$3))/$AJ9,'Технический лист'!$A:$B,2,1)-VLOOKUP($AO9,'Технический лист'!$A:$B,2,1)),1+(1-$AU9))</f>
        <v>1.0149999999999997</v>
      </c>
      <c r="DU9" s="15">
        <f>MIN(IF($AU9=100%,1,1+VLOOKUP(($AJ9-$AI9-$AH9-$AG9-$AF9-$AE9*(1+DU$3))/$AJ9,'Технический лист'!$A:$B,2,1)-VLOOKUP($AO9,'Технический лист'!$A:$B,2,1)),1+(1-$AU9))</f>
        <v>1.0149999999999997</v>
      </c>
      <c r="DV9" s="15">
        <f>MIN(IF($AU9=100%,1,1+VLOOKUP(($AJ9-$AI9-$AH9-$AG9-$AF9-$AE9*(1+DV$3))/$AJ9,'Технический лист'!$A:$B,2,1)-VLOOKUP($AO9,'Технический лист'!$A:$B,2,1)),1+(1-$AU9))</f>
        <v>1.0149999999999997</v>
      </c>
      <c r="DW9" s="15">
        <f>MIN(IF($AU9=100%,1,1+VLOOKUP(($AJ9-$AI9-$AH9-$AG9-$AF9-$AE9*(1+DW$3))/$AJ9,'Технический лист'!$A:$B,2,1)-VLOOKUP($AO9,'Технический лист'!$A:$B,2,1)),1+(1-$AU9))</f>
        <v>1.0149999999999997</v>
      </c>
      <c r="DX9" s="15">
        <f>MIN(IF($AU9=100%,1,1+VLOOKUP(($AJ9-$AI9-$AH9-$AG9-$AF9-$AE9*(1+DX$3))/$AJ9,'Технический лист'!$A:$B,2,1)-VLOOKUP($AO9,'Технический лист'!$A:$B,2,1)),1+(1-$AU9))</f>
        <v>1.0149999999999997</v>
      </c>
      <c r="DY9" s="15">
        <f>MIN(IF($AU9=100%,1,1+VLOOKUP(($AJ9-$AI9-$AH9-$AG9-$AF9-$AE9*(1+DY$3))/$AJ9,'Технический лист'!$A:$B,2,1)-VLOOKUP($AO9,'Технический лист'!$A:$B,2,1)),1+(1-$AU9))</f>
        <v>1.0099999999999998</v>
      </c>
      <c r="DZ9" s="15">
        <f>MIN(IF($AU9=100%,1,1+VLOOKUP(($AJ9-$AI9-$AH9-$AG9-$AF9-$AE9*(1+DZ$3))/$AJ9,'Технический лист'!$A:$B,2,1)-VLOOKUP($AO9,'Технический лист'!$A:$B,2,1)),1+(1-$AU9))</f>
        <v>1.0099999999999998</v>
      </c>
      <c r="EA9" s="15">
        <f>MIN(IF($AU9=100%,1,1+VLOOKUP(($AJ9-$AI9-$AH9-$AG9-$AF9-$AE9*(1+EA$3))/$AJ9,'Технический лист'!$A:$B,2,1)-VLOOKUP($AO9,'Технический лист'!$A:$B,2,1)),1+(1-$AU9))</f>
        <v>1.0099999999999998</v>
      </c>
      <c r="EB9" s="15">
        <f>MIN(IF($AU9=100%,1,1+VLOOKUP(($AJ9-$AI9-$AH9-$AG9-$AF9-$AE9*(1+EB$3))/$AJ9,'Технический лист'!$A:$B,2,1)-VLOOKUP($AO9,'Технический лист'!$A:$B,2,1)),1+(1-$AU9))</f>
        <v>1.0099999999999998</v>
      </c>
      <c r="EC9" s="15">
        <f>MIN(IF($AU9=100%,1,1+VLOOKUP(($AJ9-$AI9-$AH9-$AG9-$AF9-$AE9*(1+EC$3))/$AJ9,'Технический лист'!$A:$B,2,1)-VLOOKUP($AO9,'Технический лист'!$A:$B,2,1)),1+(1-$AU9))</f>
        <v>1.0099999999999998</v>
      </c>
      <c r="ED9" s="15">
        <f>MIN(IF($AU9=100%,1,1+VLOOKUP(($AJ9-$AI9-$AH9-$AG9-$AF9-$AE9*(1+ED$3))/$AJ9,'Технический лист'!$A:$B,2,1)-VLOOKUP($AO9,'Технический лист'!$A:$B,2,1)),1+(1-$AU9))</f>
        <v>1.0099999999999998</v>
      </c>
      <c r="EE9" s="15">
        <f>MIN(IF($AU9=100%,1,1+VLOOKUP(($AJ9-$AI9-$AH9-$AG9-$AF9-$AE9*(1+EE$3))/$AJ9,'Технический лист'!$A:$B,2,1)-VLOOKUP($AO9,'Технический лист'!$A:$B,2,1)),1+(1-$AU9))</f>
        <v>1.0099999999999998</v>
      </c>
      <c r="EF9" s="15">
        <f>MIN(IF($AU9=100%,1,1+VLOOKUP(($AJ9-$AI9-$AH9-$AG9-$AF9-$AE9*(1+EF$3))/$AJ9,'Технический лист'!$A:$B,2,1)-VLOOKUP($AO9,'Технический лист'!$A:$B,2,1)),1+(1-$AU9))</f>
        <v>1.0099999999999998</v>
      </c>
      <c r="EG9" s="15">
        <f>MIN(IF($AU9=100%,1,1+VLOOKUP(($AJ9-$AI9-$AH9-$AG9-$AF9-$AE9*(1+EG$3))/$AJ9,'Технический лист'!$A:$B,2,1)-VLOOKUP($AO9,'Технический лист'!$A:$B,2,1)),1+(1-$AU9))</f>
        <v>1.0099999999999998</v>
      </c>
      <c r="EH9" s="15">
        <f>MIN(IF($AU9=100%,1,1+VLOOKUP(($AJ9-$AI9-$AH9-$AG9-$AF9-$AE9*(1+EH$3))/$AJ9,'Технический лист'!$A:$B,2,1)-VLOOKUP($AO9,'Технический лист'!$A:$B,2,1)),1+(1-$AU9))</f>
        <v>1.0099999999999998</v>
      </c>
      <c r="EI9" s="15">
        <f>MIN(IF($AU9=100%,1,1+VLOOKUP(($AJ9-$AI9-$AH9-$AG9-$AF9-$AE9*(1+EI$3))/$AJ9,'Технический лист'!$A:$B,2,1)-VLOOKUP($AO9,'Технический лист'!$A:$B,2,1)),1+(1-$AU9))</f>
        <v>1.0099999999999998</v>
      </c>
      <c r="EJ9" s="15">
        <f>MIN(IF($AU9=100%,1,1+VLOOKUP(($AJ9-$AI9-$AH9-$AG9-$AF9-$AE9*(1+EJ$3))/$AJ9,'Технический лист'!$A:$B,2,1)-VLOOKUP($AO9,'Технический лист'!$A:$B,2,1)),1+(1-$AU9))</f>
        <v>1.0049999999999999</v>
      </c>
      <c r="EK9" s="15">
        <f>MIN(IF($AU9=100%,1,1+VLOOKUP(($AJ9-$AI9-$AH9-$AG9-$AF9-$AE9*(1+EK$3))/$AJ9,'Технический лист'!$A:$B,2,1)-VLOOKUP($AO9,'Технический лист'!$A:$B,2,1)),1+(1-$AU9))</f>
        <v>1.0049999999999999</v>
      </c>
      <c r="EL9" s="15">
        <f>MIN(IF($AU9=100%,1,1+VLOOKUP(($AJ9-$AI9-$AH9-$AG9-$AF9-$AE9*(1+EL$3))/$AJ9,'Технический лист'!$A:$B,2,1)-VLOOKUP($AO9,'Технический лист'!$A:$B,2,1)),1+(1-$AU9))</f>
        <v>1.0049999999999999</v>
      </c>
      <c r="EM9" s="15">
        <f>MIN(IF($AU9=100%,1,1+VLOOKUP(($AJ9-$AI9-$AH9-$AG9-$AF9-$AE9*(1+EM$3))/$AJ9,'Технический лист'!$A:$B,2,1)-VLOOKUP($AO9,'Технический лист'!$A:$B,2,1)),1+(1-$AU9))</f>
        <v>1.0049999999999999</v>
      </c>
      <c r="EN9" s="15">
        <f>MIN(IF($AU9=100%,1,1+VLOOKUP(($AJ9-$AI9-$AH9-$AG9-$AF9-$AE9*(1+EN$3))/$AJ9,'Технический лист'!$A:$B,2,1)-VLOOKUP($AO9,'Технический лист'!$A:$B,2,1)),1+(1-$AU9))</f>
        <v>1.0049999999999999</v>
      </c>
      <c r="EO9" s="15">
        <f>MIN(IF($AU9=100%,1,1+VLOOKUP(($AJ9-$AI9-$AH9-$AG9-$AF9-$AE9*(1+EO$3))/$AJ9,'Технический лист'!$A:$B,2,1)-VLOOKUP($AO9,'Технический лист'!$A:$B,2,1)),1+(1-$AU9))</f>
        <v>1.0049999999999999</v>
      </c>
      <c r="EP9" s="15">
        <f>MIN(IF($AU9=100%,1,1+VLOOKUP(($AJ9-$AI9-$AH9-$AG9-$AF9-$AE9*(1+EP$3))/$AJ9,'Технический лист'!$A:$B,2,1)-VLOOKUP($AO9,'Технический лист'!$A:$B,2,1)),1+(1-$AU9))</f>
        <v>1.0049999999999999</v>
      </c>
      <c r="EQ9" s="15">
        <f>MIN(IF($AU9=100%,1,1+VLOOKUP(($AJ9-$AI9-$AH9-$AG9-$AF9-$AE9*(1+EQ$3))/$AJ9,'Технический лист'!$A:$B,2,1)-VLOOKUP($AO9,'Технический лист'!$A:$B,2,1)),1+(1-$AU9))</f>
        <v>1.0049999999999999</v>
      </c>
      <c r="ER9" s="15">
        <f>MIN(IF($AU9=100%,1,1+VLOOKUP(($AJ9-$AI9-$AH9-$AG9-$AF9-$AE9*(1+ER$3))/$AJ9,'Технический лист'!$A:$B,2,1)-VLOOKUP($AO9,'Технический лист'!$A:$B,2,1)),1+(1-$AU9))</f>
        <v>1.0049999999999999</v>
      </c>
      <c r="ES9" s="15">
        <f>MIN(IF($AU9=100%,1,1+VLOOKUP(($AJ9-$AI9-$AH9-$AG9-$AF9-$AE9*(1+ES$3))/$AJ9,'Технический лист'!$A:$B,2,1)-VLOOKUP($AO9,'Технический лист'!$A:$B,2,1)),1+(1-$AU9))</f>
        <v>1.0049999999999999</v>
      </c>
      <c r="ET9" s="15">
        <f>MIN(IF($AU9=100%,1,1+VLOOKUP(($AJ9-$AI9-$AH9-$AG9-$AF9-$AE9*(1+ET$3))/$AJ9,'Технический лист'!$A:$B,2,1)-VLOOKUP($AO9,'Технический лист'!$A:$B,2,1)),1+(1-$AU9))</f>
        <v>1</v>
      </c>
      <c r="EU9" s="15">
        <f>MIN(IF($AU9=100%,1,1+VLOOKUP(($AJ9-$AI9-$AH9-$AG9-$AF9-$AE9*(1+EU$3))/$AJ9,'Технический лист'!$A:$B,2,1)-VLOOKUP($AO9,'Технический лист'!$A:$B,2,1)),1+(1-$AU9))</f>
        <v>1</v>
      </c>
      <c r="EV9" s="111">
        <v>1</v>
      </c>
      <c r="EW9" s="15">
        <f>MIN(1,MAX(VLOOKUP(($AJ9-$AI9-$AH9-$AG9-$AF9-$AE9*(1+EW$3))/$AJ9,'Технический лист'!$A:$B,2,1),(EV9-0.05)))</f>
        <v>1</v>
      </c>
      <c r="EX9" s="15">
        <f>MIN(1,MAX(VLOOKUP(($AJ9-$AI9-$AH9-$AG9-$AF9-$AE9*(1+EX$3))/$AJ9,'Технический лист'!$A:$B,2,1),(EW9-0.05)))</f>
        <v>1</v>
      </c>
      <c r="EY9" s="15">
        <f>MIN(1,MAX(VLOOKUP(($AJ9-$AI9-$AH9-$AG9-$AF9-$AE9*(1+EY$3))/$AJ9,'Технический лист'!$A:$B,2,1),(EX9-0.05)))</f>
        <v>1</v>
      </c>
      <c r="EZ9" s="15">
        <f>MIN(1,MAX(VLOOKUP(($AJ9-$AI9-$AH9-$AG9-$AF9-$AE9*(1+EZ$3))/$AJ9,'Технический лист'!$A:$B,2,1),(EY9-0.05)))</f>
        <v>1</v>
      </c>
      <c r="FA9" s="15">
        <f>MIN(1,MAX(VLOOKUP(($AJ9-$AI9-$AH9-$AG9-$AF9-$AE9*(1+FA$3))/$AJ9,'Технический лист'!$A:$B,2,1),(EZ9-0.05)))</f>
        <v>1</v>
      </c>
      <c r="FB9" s="15">
        <f>MIN(1,MAX(VLOOKUP(($AJ9-$AI9-$AH9-$AG9-$AF9-$AE9*(1+FB$3))/$AJ9,'Технический лист'!$A:$B,2,1),(FA9-0.05)))</f>
        <v>1</v>
      </c>
      <c r="FC9" s="15">
        <f>MIN(1,MAX(VLOOKUP(($AJ9-$AI9-$AH9-$AG9-$AF9-$AE9*(1+FC$3))/$AJ9,'Технический лист'!$A:$B,2,1),(FB9-0.05)))</f>
        <v>1</v>
      </c>
      <c r="FD9" s="15">
        <f>MIN(1,MAX(VLOOKUP(($AJ9-$AI9-$AH9-$AG9-$AF9-$AE9*(1+FD$3))/$AJ9,'Технический лист'!$A:$B,2,1),(FC9-0.05)))</f>
        <v>1</v>
      </c>
      <c r="FE9" s="15">
        <f>MIN(1,MAX(VLOOKUP(($AJ9-$AI9-$AH9-$AG9-$AF9-$AE9*(1+FE$3))/$AJ9,'Технический лист'!$A:$B,2,1),(FD9-0.05)))</f>
        <v>1</v>
      </c>
      <c r="FF9" s="15">
        <f>MIN(1,MAX(VLOOKUP(($AJ9-$AI9-$AH9-$AG9-$AF9-$AE9*(1+FF$3))/$AJ9,'Технический лист'!$A:$B,2,1),(FE9-0.05)))</f>
        <v>1</v>
      </c>
      <c r="FG9" s="15">
        <f>MIN(1,MAX(VLOOKUP(($AJ9-$AI9-$AH9-$AG9-$AF9-$AE9*(1+FG$3))/$AJ9,'Технический лист'!$A:$B,2,1),(FF9-0.05)))</f>
        <v>1</v>
      </c>
      <c r="FH9" s="15">
        <f>MIN(1,MAX(VLOOKUP(($AJ9-$AI9-$AH9-$AG9-$AF9-$AE9*(1+FH$3))/$AJ9,'Технический лист'!$A:$B,2,1),(FG9-0.05)))</f>
        <v>1</v>
      </c>
      <c r="FI9" s="15">
        <f>MIN(1,MAX(VLOOKUP(($AJ9-$AI9-$AH9-$AG9-$AF9-$AE9*(1+FI$3))/$AJ9,'Технический лист'!$A:$B,2,1),(FH9-0.05)))</f>
        <v>1</v>
      </c>
      <c r="FJ9" s="15">
        <f>MIN(1,MAX(VLOOKUP(($AJ9-$AI9-$AH9-$AG9-$AF9-$AE9*(1+FJ$3))/$AJ9,'Технический лист'!$A:$B,2,1),(FI9-0.05)))</f>
        <v>1</v>
      </c>
      <c r="FK9" s="15">
        <f>MIN(1,MAX(VLOOKUP(($AJ9-$AI9-$AH9-$AG9-$AF9-$AE9*(1+FK$3))/$AJ9,'Технический лист'!$A:$B,2,1),(FJ9-0.05)))</f>
        <v>1</v>
      </c>
      <c r="FL9" s="15">
        <f>MIN(1,MAX(VLOOKUP(($AJ9-$AI9-$AH9-$AG9-$AF9-$AE9*(1+FL$3))/$AJ9,'Технический лист'!$A:$B,2,1),(FK9-0.05)))</f>
        <v>1</v>
      </c>
      <c r="FM9" s="15">
        <f>MIN(1,MAX(VLOOKUP(($AJ9-$AI9-$AH9-$AG9-$AF9-$AE9*(1+FM$3))/$AJ9,'Технический лист'!$A:$B,2,1),(FL9-0.05)))</f>
        <v>1</v>
      </c>
      <c r="FN9" s="15">
        <f>MIN(1,MAX(VLOOKUP(($AJ9-$AI9-$AH9-$AG9-$AF9-$AE9*(1+FN$3))/$AJ9,'Технический лист'!$A:$B,2,1),(FM9-0.05)))</f>
        <v>1</v>
      </c>
      <c r="FO9" s="15">
        <f>MIN(1,MAX(VLOOKUP(($AJ9-$AI9-$AH9-$AG9-$AF9-$AE9*(1+FO$3))/$AJ9,'Технический лист'!$A:$B,2,1),(FN9-0.05)))</f>
        <v>1</v>
      </c>
      <c r="FP9" s="15">
        <f>MIN(1,MAX(VLOOKUP(($AJ9-$AI9-$AH9-$AG9-$AF9-$AE9*(1+FP$3))/$AJ9,'Технический лист'!$A:$B,2,1),(FO9-0.05)))</f>
        <v>1</v>
      </c>
      <c r="FQ9" s="15">
        <f>MIN(1,MAX(VLOOKUP(($AJ9-$AI9-$AH9-$AG9-$AF9-$AE9*(1+FQ$3))/$AJ9,'Технический лист'!$A:$B,2,1),(FP9-0.05)))</f>
        <v>1</v>
      </c>
      <c r="FR9" s="15">
        <f>MIN(1,MAX(VLOOKUP(($AJ9-$AI9-$AH9-$AG9-$AF9-$AE9*(1+FR$3))/$AJ9,'Технический лист'!$A:$B,2,1),(FQ9-0.05)))</f>
        <v>1</v>
      </c>
      <c r="FS9" s="15">
        <f>MIN(1,MAX(VLOOKUP(($AJ9-$AI9-$AH9-$AG9-$AF9-$AE9*(1+FS$3))/$AJ9,'Технический лист'!$A:$B,2,1),(FR9-0.05)))</f>
        <v>1</v>
      </c>
      <c r="FT9" s="15">
        <f>MIN(1,MAX(VLOOKUP(($AJ9-$AI9-$AH9-$AG9-$AF9-$AE9*(1+FT$3))/$AJ9,'Технический лист'!$A:$B,2,1),(FS9-0.05)))</f>
        <v>1</v>
      </c>
      <c r="FU9" s="15">
        <f>MIN(1,MAX(VLOOKUP(($AJ9-$AI9-$AH9-$AG9-$AF9-$AE9*(1+FU$3))/$AJ9,'Технический лист'!$A:$B,2,1),(FT9-0.05)))</f>
        <v>1</v>
      </c>
      <c r="FV9" s="15">
        <f>MIN(1,MAX(VLOOKUP(($AJ9-$AI9-$AH9-$AG9-$AF9-$AE9*(1+FV$3))/$AJ9,'Технический лист'!$A:$B,2,1),(FU9-0.05)))</f>
        <v>1</v>
      </c>
      <c r="FW9" s="15">
        <f>MIN(1,MAX(VLOOKUP(($AJ9-$AI9-$AH9-$AG9-$AF9-$AE9*(1+FW$3))/$AJ9,'Технический лист'!$A:$B,2,1),(FV9-0.05)))</f>
        <v>1</v>
      </c>
      <c r="FX9" s="15">
        <f>MIN(1,MAX(VLOOKUP(($AJ9-$AI9-$AH9-$AG9-$AF9-$AE9*(1+FX$3))/$AJ9,'Технический лист'!$A:$B,2,1),(FW9-0.05)))</f>
        <v>1</v>
      </c>
      <c r="FY9" s="15">
        <f>MIN(1,MAX(VLOOKUP(($AJ9-$AI9-$AH9-$AG9-$AF9-$AE9*(1+FY$3))/$AJ9,'Технический лист'!$A:$B,2,1),(FX9-0.05)))</f>
        <v>1</v>
      </c>
      <c r="FZ9" s="15">
        <f>MIN(1,MAX(VLOOKUP(($AJ9-$AI9-$AH9-$AG9-$AF9-$AE9*(1+FZ$3))/$AJ9,'Технический лист'!$A:$B,2,1),(FY9-0.05)))</f>
        <v>1</v>
      </c>
      <c r="GA9" s="15">
        <f>MIN(1,MAX(VLOOKUP(($AJ9-$AI9-$AH9-$AG9-$AF9-$AE9*(1+GA$3))/$AJ9,'Технический лист'!$A:$B,2,1),(FZ9-0.05)))</f>
        <v>1</v>
      </c>
      <c r="GB9" s="15">
        <f>MIN(1,MAX(VLOOKUP(($AJ9-$AI9-$AH9-$AG9-$AF9-$AE9*(1+GB$3))/$AJ9,'Технический лист'!$A:$B,2,1),(GA9-0.05)))</f>
        <v>1</v>
      </c>
      <c r="GC9" s="15">
        <f>MIN(1,MAX(VLOOKUP(($AJ9-$AI9-$AH9-$AG9-$AF9-$AE9*(1+GC$3))/$AJ9,'Технический лист'!$A:$B,2,1),(GB9-0.05)))</f>
        <v>1</v>
      </c>
      <c r="GD9" s="15">
        <f>MIN(1,MAX(VLOOKUP(($AJ9-$AI9-$AH9-$AG9-$AF9-$AE9*(1+GD$3))/$AJ9,'Технический лист'!$A:$B,2,1),(GC9-0.05)))</f>
        <v>1</v>
      </c>
      <c r="GE9" s="15">
        <f>MIN(1,MAX(VLOOKUP(($AJ9-$AI9-$AH9-$AG9-$AF9-$AE9*(1+GE$3))/$AJ9,'Технический лист'!$A:$B,2,1),(GD9-0.05)))</f>
        <v>1</v>
      </c>
      <c r="GF9" s="15">
        <f>MIN(1,MAX(VLOOKUP(($AJ9-$AI9-$AH9-$AG9-$AF9-$AE9*(1+GF$3))/$AJ9,'Технический лист'!$A:$B,2,1),(GE9-0.05)))</f>
        <v>1</v>
      </c>
      <c r="GG9" s="15">
        <f>MIN(1,MAX(VLOOKUP(($AJ9-$AI9-$AH9-$AG9-$AF9-$AE9*(1+GG$3))/$AJ9,'Технический лист'!$A:$B,2,1),(GF9-0.05)))</f>
        <v>1</v>
      </c>
      <c r="GH9" s="15">
        <f>MIN(1,MAX(VLOOKUP(($AJ9-$AI9-$AH9-$AG9-$AF9-$AE9*(1+GH$3))/$AJ9,'Технический лист'!$A:$B,2,1),(GG9-0.05)))</f>
        <v>1</v>
      </c>
      <c r="GI9" s="15">
        <f>MIN(1,MAX(VLOOKUP(($AJ9-$AI9-$AH9-$AG9-$AF9-$AE9*(1+GI$3))/$AJ9,'Технический лист'!$A:$B,2,1),(GH9-0.05)))</f>
        <v>1</v>
      </c>
      <c r="GJ9" s="15">
        <f>MIN(1,MAX(VLOOKUP(($AJ9-$AI9-$AH9-$AG9-$AF9-$AE9*(1+GJ$3))/$AJ9,'Технический лист'!$A:$B,2,1),(GI9-0.05)))</f>
        <v>1</v>
      </c>
      <c r="GK9" s="15">
        <f>MIN(1,MAX(VLOOKUP(($AJ9-$AI9-$AH9-$AG9-$AF9-$AE9*(1+GK$3))/$AJ9,'Технический лист'!$A:$B,2,1),(GJ9-0.05)))</f>
        <v>1</v>
      </c>
      <c r="GL9" s="15">
        <f>MIN(1,MAX(VLOOKUP(($AJ9-$AI9-$AH9-$AG9-$AF9-$AE9*(1+GL$3))/$AJ9,'Технический лист'!$A:$B,2,1),(GK9-0.05)))</f>
        <v>1</v>
      </c>
      <c r="GM9" s="15">
        <f>MIN(1,MAX(VLOOKUP(($AJ9-$AI9-$AH9-$AG9-$AF9-$AE9*(1+GM$3))/$AJ9,'Технический лист'!$A:$B,2,1),(GL9-0.05)))</f>
        <v>1</v>
      </c>
      <c r="GN9" s="15">
        <f>MIN(1,MAX(VLOOKUP(($AJ9-$AI9-$AH9-$AG9-$AF9-$AE9*(1+GN$3))/$AJ9,'Технический лист'!$A:$B,2,1),(GM9-0.05)))</f>
        <v>1</v>
      </c>
      <c r="GO9" s="15">
        <f>MIN(1,MAX(VLOOKUP(($AJ9-$AI9-$AH9-$AG9-$AF9-$AE9*(1+GO$3))/$AJ9,'Технический лист'!$A:$B,2,1),(GN9-0.05)))</f>
        <v>1</v>
      </c>
      <c r="GP9" s="15">
        <f>MIN(1,MAX(VLOOKUP(($AJ9-$AI9-$AH9-$AG9-$AF9-$AE9*(1+GP$3))/$AJ9,'Технический лист'!$A:$B,2,1),(GO9-0.05)))</f>
        <v>1</v>
      </c>
      <c r="GQ9" s="15">
        <f>MIN(1,MAX(VLOOKUP(($AJ9-$AI9-$AH9-$AG9-$AF9-$AE9*(1+GQ$3))/$AJ9,'Технический лист'!$A:$B,2,1),(GP9-0.05)))</f>
        <v>1</v>
      </c>
      <c r="GR9" s="15">
        <f>MIN(1,MAX(VLOOKUP(($AJ9-$AI9-$AH9-$AG9-$AF9-$AE9*(1+GR$3))/$AJ9,'Технический лист'!$A:$B,2,1),(GQ9-0.05)))</f>
        <v>1</v>
      </c>
      <c r="GS9" s="15">
        <f>MIN(1,MAX(VLOOKUP(($AJ9-$AI9-$AH9-$AG9-$AF9-$AE9*(1+GS$3))/$AJ9,'Технический лист'!$A:$B,2,1),(GR9-0.05)))</f>
        <v>1</v>
      </c>
      <c r="GT9" s="15">
        <f>MIN(1,MAX(VLOOKUP(($AJ9-$AI9-$AH9-$AG9-$AF9-$AE9*(1+GT$3))/$AJ9,'Технический лист'!$A:$B,2,1),(GS9-0.05)))</f>
        <v>1</v>
      </c>
      <c r="GU9" s="15">
        <f>MIN(1,MAX(VLOOKUP(($AJ9-$AI9-$AH9-$AG9-$AF9-$AE9*(1+GU$3))/$AJ9,'Технический лист'!$A:$B,2,1),(GT9-0.05)))</f>
        <v>1</v>
      </c>
      <c r="GV9" s="15">
        <f>MIN(1,MAX(VLOOKUP(($AJ9-$AI9-$AH9-$AG9-$AF9-$AE9*(1+GV$3))/$AJ9,'Технический лист'!$A:$B,2,1),(GU9-0.05)))</f>
        <v>1</v>
      </c>
      <c r="GW9" s="15">
        <f>MIN(1,MAX(VLOOKUP(($AJ9-$AI9-$AH9-$AG9-$AF9-$AE9*(1+GW$3))/$AJ9,'Технический лист'!$A:$B,2,1),(GV9-0.05)))</f>
        <v>1</v>
      </c>
      <c r="GX9" s="15">
        <f>MIN(1,MAX(VLOOKUP(($AJ9-$AI9-$AH9-$AG9-$AF9-$AE9*(1+GX$3))/$AJ9,'Технический лист'!$A:$B,2,1),(GW9-0.05)))</f>
        <v>1</v>
      </c>
      <c r="GY9" s="15">
        <f>MIN(1,MAX(VLOOKUP(($AJ9-$AI9-$AH9-$AG9-$AF9-$AE9*(1+GY$3))/$AJ9,'Технический лист'!$A:$B,2,1),(GX9-0.05)))</f>
        <v>1</v>
      </c>
      <c r="GZ9" s="15">
        <f>MIN(1,MAX(VLOOKUP(($AJ9-$AI9-$AH9-$AG9-$AF9-$AE9*(1+GZ$3))/$AJ9,'Технический лист'!$A:$B,2,1),(GY9-0.05)))</f>
        <v>1</v>
      </c>
      <c r="HA9" s="15">
        <f>MIN(1,MAX(VLOOKUP(($AJ9-$AI9-$AH9-$AG9-$AF9-$AE9*(1+HA$3))/$AJ9,'Технический лист'!$A:$B,2,1),(GZ9-0.05)))</f>
        <v>1</v>
      </c>
      <c r="HB9" s="15">
        <f>MIN(1,MAX(VLOOKUP(($AJ9-$AI9-$AH9-$AG9-$AF9-$AE9*(1+HB$3))/$AJ9,'Технический лист'!$A:$B,2,1),(HA9-0.05)))</f>
        <v>1</v>
      </c>
      <c r="HC9" s="15">
        <f>MIN(1,MAX(VLOOKUP(($AJ9-$AI9-$AH9-$AG9-$AF9-$AE9*(1+HC$3))/$AJ9,'Технический лист'!$A:$B,2,1),(HB9-0.05)))</f>
        <v>1</v>
      </c>
      <c r="HD9" s="15">
        <f>MIN(1,MAX(VLOOKUP(($AJ9-$AI9-$AH9-$AG9-$AF9-$AE9*(1+HD$3))/$AJ9,'Технический лист'!$A:$B,2,1),(HC9-0.05)))</f>
        <v>1</v>
      </c>
      <c r="HE9" s="15">
        <f>MIN(1,MAX(VLOOKUP(($AJ9-$AI9-$AH9-$AG9-$AF9-$AE9*(1+HE$3))/$AJ9,'Технический лист'!$A:$B,2,1),(HD9-0.05)))</f>
        <v>1</v>
      </c>
      <c r="HF9" s="15">
        <f>MIN(1,MAX(VLOOKUP(($AJ9-$AI9-$AH9-$AG9-$AF9-$AE9*(1+HF$3))/$AJ9,'Технический лист'!$A:$B,2,1),(HE9-0.05)))</f>
        <v>1</v>
      </c>
      <c r="HG9" s="15">
        <f>MIN(1,MAX(VLOOKUP(($AJ9-$AI9-$AH9-$AG9-$AF9-$AE9*(1+HG$3))/$AJ9,'Технический лист'!$A:$B,2,1),(HF9-0.05)))</f>
        <v>1</v>
      </c>
      <c r="HH9" s="15">
        <f>MIN(1,MAX(VLOOKUP(($AJ9-$AI9-$AH9-$AG9-$AF9-$AE9*(1+HH$3))/$AJ9,'Технический лист'!$A:$B,2,1),(HG9-0.05)))</f>
        <v>1</v>
      </c>
      <c r="HI9" s="15">
        <f>MIN(1,MAX(VLOOKUP(($AJ9-$AI9-$AH9-$AG9-$AF9-$AE9*(1+HI$3))/$AJ9,'Технический лист'!$A:$B,2,1),(HH9-0.05)))</f>
        <v>1</v>
      </c>
      <c r="HJ9" s="15">
        <f>MIN(1,MAX(VLOOKUP(($AJ9-$AI9-$AH9-$AG9-$AF9-$AE9*(1+HJ$3))/$AJ9,'Технический лист'!$A:$B,2,1),(HI9-0.05)))</f>
        <v>1</v>
      </c>
      <c r="HK9" s="15">
        <f>MIN(1,MAX(VLOOKUP(($AJ9-$AI9-$AH9-$AG9-$AF9-$AE9*(1+HK$3))/$AJ9,'Технический лист'!$A:$B,2,1),(HJ9-0.05)))</f>
        <v>1</v>
      </c>
      <c r="HL9" s="15">
        <f>MIN(1,MAX(VLOOKUP(($AJ9-$AI9-$AH9-$AG9-$AF9-$AE9*(1+HL$3))/$AJ9,'Технический лист'!$A:$B,2,1),(HK9-0.05)))</f>
        <v>1</v>
      </c>
      <c r="HM9" s="15">
        <f>MIN(1,MAX(VLOOKUP(($AJ9-$AI9-$AH9-$AG9-$AF9-$AE9*(1+HM$3))/$AJ9,'Технический лист'!$A:$B,2,1),(HL9-0.05)))</f>
        <v>1</v>
      </c>
      <c r="HN9" s="15">
        <f>MIN(1,MAX(VLOOKUP(($AJ9-$AI9-$AH9-$AG9-$AF9-$AE9*(1+HN$3))/$AJ9,'Технический лист'!$A:$B,2,1),(HM9-0.05)))</f>
        <v>1</v>
      </c>
      <c r="HO9" s="15">
        <f>MIN(1,MAX(VLOOKUP(($AJ9-$AI9-$AH9-$AG9-$AF9-$AE9*(1+HO$3))/$AJ9,'Технический лист'!$A:$B,2,1),(HN9-0.05)))</f>
        <v>1</v>
      </c>
      <c r="HP9" s="15">
        <f>MIN(1,MAX(VLOOKUP(($AJ9-$AI9-$AH9-$AG9-$AF9-$AE9*(1+HP$3))/$AJ9,'Технический лист'!$A:$B,2,1),(HO9-0.05)))</f>
        <v>1</v>
      </c>
      <c r="HQ9" s="15">
        <f>MIN(1,MAX(VLOOKUP(($AJ9-$AI9-$AH9-$AG9-$AF9-$AE9*(1+HQ$3))/$AJ9,'Технический лист'!$A:$B,2,1),(HP9-0.05)))</f>
        <v>1</v>
      </c>
      <c r="HR9" s="15">
        <f>MIN(1,MAX(VLOOKUP(($AJ9-$AI9-$AH9-$AG9-$AF9-$AE9*(1+HR$3))/$AJ9,'Технический лист'!$A:$B,2,1),(HQ9-0.05)))</f>
        <v>1</v>
      </c>
      <c r="HS9" s="15">
        <f>MIN(1,MAX(VLOOKUP(($AJ9-$AI9-$AH9-$AG9-$AF9-$AE9*(1+HS$3))/$AJ9,'Технический лист'!$A:$B,2,1),(HR9-0.05)))</f>
        <v>1</v>
      </c>
      <c r="HT9" s="15">
        <f>MIN(1,MAX(VLOOKUP(($AJ9-$AI9-$AH9-$AG9-$AF9-$AE9*(1+HT$3))/$AJ9,'Технический лист'!$A:$B,2,1),(HS9-0.05)))</f>
        <v>1</v>
      </c>
      <c r="HU9" s="15">
        <f>MIN(1,MAX(VLOOKUP(($AJ9-$AI9-$AH9-$AG9-$AF9-$AE9*(1+HU$3))/$AJ9,'Технический лист'!$A:$B,2,1),(HT9-0.05)))</f>
        <v>1</v>
      </c>
      <c r="HV9" s="15">
        <f>MIN(1,MAX(VLOOKUP(($AJ9-$AI9-$AH9-$AG9-$AF9-$AE9*(1+HV$3))/$AJ9,'Технический лист'!$A:$B,2,1),(HU9-0.05)))</f>
        <v>1</v>
      </c>
      <c r="HW9" s="15">
        <f>MIN(1,MAX(VLOOKUP(($AJ9-$AI9-$AH9-$AG9-$AF9-$AE9*(1+HW$3))/$AJ9,'Технический лист'!$A:$B,2,1),(HV9-0.05)))</f>
        <v>1</v>
      </c>
      <c r="HX9" s="15">
        <f>MIN(1,MAX(VLOOKUP(($AJ9-$AI9-$AH9-$AG9-$AF9-$AE9*(1+HX$3))/$AJ9,'Технический лист'!$A:$B,2,1),(HW9-0.05)))</f>
        <v>1</v>
      </c>
      <c r="HY9" s="15">
        <f>MIN(1,MAX(VLOOKUP(($AJ9-$AI9-$AH9-$AG9-$AF9-$AE9*(1+HY$3))/$AJ9,'Технический лист'!$A:$B,2,1),(HX9-0.05)))</f>
        <v>1</v>
      </c>
      <c r="HZ9" s="15">
        <f>MIN(1,MAX(VLOOKUP(($AJ9-$AI9-$AH9-$AG9-$AF9-$AE9*(1+HZ$3))/$AJ9,'Технический лист'!$A:$B,2,1),(HY9-0.05)))</f>
        <v>1</v>
      </c>
      <c r="IA9" s="15">
        <f>MIN(1,MAX(VLOOKUP(($AJ9-$AI9-$AH9-$AG9-$AF9-$AE9*(1+IA$3))/$AJ9,'Технический лист'!$A:$B,2,1),(HZ9-0.05)))</f>
        <v>1</v>
      </c>
      <c r="IB9" s="15">
        <f>MIN(1,MAX(VLOOKUP(($AJ9-$AI9-$AH9-$AG9-$AF9-$AE9*(1+IB$3))/$AJ9,'Технический лист'!$A:$B,2,1),(IA9-0.05)))</f>
        <v>1</v>
      </c>
      <c r="IC9" s="15">
        <f>MIN(1,MAX(VLOOKUP(($AJ9-$AI9-$AH9-$AG9-$AF9-$AE9*(1+IC$3))/$AJ9,'Технический лист'!$A:$B,2,1),(IB9-0.05)))</f>
        <v>1</v>
      </c>
      <c r="ID9" s="15">
        <f>MIN(1,MAX(VLOOKUP(($AJ9-$AI9-$AH9-$AG9-$AF9-$AE9*(1+ID$3))/$AJ9,'Технический лист'!$A:$B,2,1),(IC9-0.05)))</f>
        <v>1</v>
      </c>
      <c r="IE9" s="15">
        <f>MIN(1,MAX(VLOOKUP(($AJ9-$AI9-$AH9-$AG9-$AF9-$AE9*(1+IE$3))/$AJ9,'Технический лист'!$A:$B,2,1),(ID9-0.05)))</f>
        <v>1</v>
      </c>
      <c r="IF9" s="15">
        <f>MIN(1,MAX(VLOOKUP(($AJ9-$AI9-$AH9-$AG9-$AF9-$AE9*(1+IF$3))/$AJ9,'Технический лист'!$A:$B,2,1),(IE9-0.05)))</f>
        <v>1</v>
      </c>
      <c r="IG9" s="15">
        <f>MIN(1,MAX(VLOOKUP(($AJ9-$AI9-$AH9-$AG9-$AF9-$AE9*(1+IG$3))/$AJ9,'Технический лист'!$A:$B,2,1),(IF9-0.05)))</f>
        <v>1</v>
      </c>
      <c r="IH9" s="15">
        <f>MIN(1,MAX(VLOOKUP(($AJ9-$AI9-$AH9-$AG9-$AF9-$AE9*(1+IH$3))/$AJ9,'Технический лист'!$A:$B,2,1),(IG9-0.05)))</f>
        <v>1</v>
      </c>
      <c r="II9" s="15">
        <f>MIN(1,MAX(VLOOKUP(($AJ9-$AI9-$AH9-$AG9-$AF9-$AE9*(1+II$3))/$AJ9,'Технический лист'!$A:$B,2,1),(IH9-0.05)))</f>
        <v>1</v>
      </c>
      <c r="IJ9" s="15">
        <f>MIN(1,MAX(VLOOKUP(($AJ9-$AI9-$AH9-$AG9-$AF9-$AE9*(1+IJ$3))/$AJ9,'Технический лист'!$A:$B,2,1),(II9-0.05)))</f>
        <v>1</v>
      </c>
      <c r="IK9" s="15">
        <f>MIN(1,MAX(VLOOKUP(($AJ9-$AI9-$AH9-$AG9-$AF9-$AE9*(1+IK$3))/$AJ9,'Технический лист'!$A:$B,2,1),(IJ9-0.05)))</f>
        <v>1</v>
      </c>
      <c r="IL9" s="15">
        <f>MIN(1,MAX(VLOOKUP(($AJ9-$AI9-$AH9-$AG9-$AF9-$AE9*(1+IL$3))/$AJ9,'Технический лист'!$A:$B,2,1),(IK9-0.05)))</f>
        <v>1</v>
      </c>
      <c r="IM9" s="15">
        <f>MIN(1,MAX(VLOOKUP(($AJ9-$AI9-$AH9-$AG9-$AF9-$AE9*(1+IM$3))/$AJ9,'Технический лист'!$A:$B,2,1),(IL9-0.05)))</f>
        <v>1</v>
      </c>
      <c r="IN9" s="15">
        <f>MIN(1,MAX(VLOOKUP(($AJ9-$AI9-$AH9-$AG9-$AF9-$AE9*(1+IN$3))/$AJ9,'Технический лист'!$A:$B,2,1),(IM9-0.05)))</f>
        <v>1</v>
      </c>
      <c r="IO9" s="15">
        <f>MIN(1,MAX(VLOOKUP(($AJ9-$AI9-$AH9-$AG9-$AF9-$AE9*(1+IO$3))/$AJ9,'Технический лист'!$A:$B,2,1),(IN9-0.05)))</f>
        <v>1</v>
      </c>
      <c r="IP9" s="15">
        <f>MIN(1,MAX(VLOOKUP(($AJ9-$AI9-$AH9-$AG9-$AF9-$AE9*(1+IP$3))/$AJ9,'Технический лист'!$A:$B,2,1),(IO9-0.05)))</f>
        <v>1</v>
      </c>
      <c r="IQ9" s="15">
        <f>MIN(1,MAX(VLOOKUP(($AJ9-$AI9-$AH9-$AG9-$AF9-$AE9*(1+IQ$3))/$AJ9,'Технический лист'!$A:$B,2,1),(IP9-0.05)))</f>
        <v>1</v>
      </c>
      <c r="IR9" s="15">
        <f>MIN(1,MAX(VLOOKUP(($AJ9-$AI9-$AH9-$AG9-$AF9-$AE9*(1+IR$3))/$AJ9,'Технический лист'!$A:$B,2,1),(IQ9-0.05)))</f>
        <v>1</v>
      </c>
    </row>
    <row r="10" spans="1:257" ht="45" customHeight="1">
      <c r="A10" s="89" t="s">
        <v>514</v>
      </c>
      <c r="B10" s="90">
        <v>2</v>
      </c>
      <c r="C10" s="5" t="s">
        <v>65</v>
      </c>
      <c r="D10" s="91">
        <v>17107</v>
      </c>
      <c r="E10" s="91" t="s">
        <v>320</v>
      </c>
      <c r="F10" s="92" t="s">
        <v>69</v>
      </c>
      <c r="G10" s="91" t="s">
        <v>50</v>
      </c>
      <c r="H10" s="91" t="s">
        <v>50</v>
      </c>
      <c r="I10" s="91" t="s">
        <v>88</v>
      </c>
      <c r="J10" s="91" t="s">
        <v>89</v>
      </c>
      <c r="K10" s="91">
        <v>297</v>
      </c>
      <c r="L10" s="85" t="s">
        <v>64</v>
      </c>
      <c r="M10" s="91" t="s">
        <v>190</v>
      </c>
      <c r="N10" s="91" t="s">
        <v>191</v>
      </c>
      <c r="O10" s="91" t="s">
        <v>192</v>
      </c>
      <c r="P10" s="89" t="s">
        <v>198</v>
      </c>
      <c r="Q10" s="91" t="s">
        <v>307</v>
      </c>
      <c r="R10" s="91" t="s">
        <v>252</v>
      </c>
      <c r="S10" s="82">
        <v>2318</v>
      </c>
      <c r="T10" s="82">
        <v>688462</v>
      </c>
      <c r="U10" s="81">
        <v>36</v>
      </c>
      <c r="V10" s="81">
        <v>0</v>
      </c>
      <c r="W10" s="82">
        <v>941063</v>
      </c>
      <c r="X10" s="112">
        <v>64</v>
      </c>
      <c r="Y10" s="112" t="s">
        <v>417</v>
      </c>
      <c r="Z10" s="113">
        <v>4</v>
      </c>
      <c r="AA10" s="113">
        <v>4</v>
      </c>
      <c r="AB10" s="113">
        <v>4</v>
      </c>
      <c r="AC10" s="99">
        <v>447.67</v>
      </c>
      <c r="AD10" s="99">
        <f t="shared" si="1"/>
        <v>105.46999999999997</v>
      </c>
      <c r="AE10" s="99">
        <v>553.14</v>
      </c>
      <c r="AF10" s="98">
        <f>(Z10+AA10+AB10)*'Ставки аренды'!$B$3/X10</f>
        <v>131.25</v>
      </c>
      <c r="AG10" s="114">
        <v>0</v>
      </c>
      <c r="AH10" s="94">
        <v>0</v>
      </c>
      <c r="AI10" s="115">
        <f>0.95*AVERAGE(AJ10,AJ11)</f>
        <v>15577.738287499998</v>
      </c>
      <c r="AJ10" s="117">
        <f>Цены!$D$9</f>
        <v>17000</v>
      </c>
      <c r="AK10" s="94">
        <f>AJ10/Цены!$B$1</f>
        <v>222.7886587467483</v>
      </c>
      <c r="AL10" s="95">
        <f t="shared" si="5"/>
        <v>684.39</v>
      </c>
      <c r="AM10" s="95">
        <f t="shared" si="6"/>
        <v>16315.61</v>
      </c>
      <c r="AN10" s="94">
        <f t="shared" si="2"/>
        <v>16262.128287499998</v>
      </c>
      <c r="AO10" s="118">
        <f t="shared" si="3"/>
        <v>4.3404218382353067E-2</v>
      </c>
      <c r="AP10" s="96">
        <f t="shared" si="7"/>
        <v>4.0258235294117643E-2</v>
      </c>
      <c r="AQ10" s="96">
        <f t="shared" si="8"/>
        <v>3.2537647058823525E-2</v>
      </c>
      <c r="AR10" s="96">
        <f t="shared" si="9"/>
        <v>0.808223381405339</v>
      </c>
      <c r="AS10" s="122">
        <v>1</v>
      </c>
      <c r="AT10" s="121">
        <f t="shared" si="10"/>
        <v>2318</v>
      </c>
      <c r="AU10" s="83">
        <v>0.95</v>
      </c>
      <c r="AV10" s="119">
        <f t="shared" si="11"/>
        <v>3.9499700735294241E-2</v>
      </c>
      <c r="AW10" s="120">
        <f t="shared" si="12"/>
        <v>4.416275294117647E-2</v>
      </c>
      <c r="AX10" s="120">
        <f t="shared" si="13"/>
        <v>3.6442164705882352E-2</v>
      </c>
      <c r="AY10" s="120">
        <f t="shared" si="14"/>
        <v>0.82517873725902635</v>
      </c>
      <c r="AZ10" s="15">
        <f>MIN(IF($AU10=100%,1,1+VLOOKUP(($AJ10-$AI10-$AH10-$AG10-$AF10-$AE10*(1+AZ$3))/$AJ10,'Технический лист'!$A:$B,2,1)-VLOOKUP($AO10,'Технический лист'!$A:$B,2,1)),1+(1-$AU10))</f>
        <v>1.0249999999999999</v>
      </c>
      <c r="BA10" s="15">
        <f>MIN(IF($AU10=100%,1,1+VLOOKUP(($AJ10-$AI10-$AH10-$AG10-$AF10-$AE10*(1+BA$3))/$AJ10,'Технический лист'!$A:$B,2,1)-VLOOKUP($AO10,'Технический лист'!$A:$B,2,1)),1+(1-$AU10))</f>
        <v>1.0249999999999999</v>
      </c>
      <c r="BB10" s="15">
        <f>MIN(IF($AU10=100%,1,1+VLOOKUP(($AJ10-$AI10-$AH10-$AG10-$AF10-$AE10*(1+BB$3))/$AJ10,'Технический лист'!$A:$B,2,1)-VLOOKUP($AO10,'Технический лист'!$A:$B,2,1)),1+(1-$AU10))</f>
        <v>1.0249999999999999</v>
      </c>
      <c r="BC10" s="15">
        <f>MIN(IF($AU10=100%,1,1+VLOOKUP(($AJ10-$AI10-$AH10-$AG10-$AF10-$AE10*(1+BC$3))/$AJ10,'Технический лист'!$A:$B,2,1)-VLOOKUP($AO10,'Технический лист'!$A:$B,2,1)),1+(1-$AU10))</f>
        <v>1.0249999999999999</v>
      </c>
      <c r="BD10" s="15">
        <f>MIN(IF($AU10=100%,1,1+VLOOKUP(($AJ10-$AI10-$AH10-$AG10-$AF10-$AE10*(1+BD$3))/$AJ10,'Технический лист'!$A:$B,2,1)-VLOOKUP($AO10,'Технический лист'!$A:$B,2,1)),1+(1-$AU10))</f>
        <v>1.0249999999999999</v>
      </c>
      <c r="BE10" s="15">
        <f>MIN(IF($AU10=100%,1,1+VLOOKUP(($AJ10-$AI10-$AH10-$AG10-$AF10-$AE10*(1+BE$3))/$AJ10,'Технический лист'!$A:$B,2,1)-VLOOKUP($AO10,'Технический лист'!$A:$B,2,1)),1+(1-$AU10))</f>
        <v>1.0249999999999999</v>
      </c>
      <c r="BF10" s="15">
        <f>MIN(IF($AU10=100%,1,1+VLOOKUP(($AJ10-$AI10-$AH10-$AG10-$AF10-$AE10*(1+BF$3))/$AJ10,'Технический лист'!$A:$B,2,1)-VLOOKUP($AO10,'Технический лист'!$A:$B,2,1)),1+(1-$AU10))</f>
        <v>1.0249999999999999</v>
      </c>
      <c r="BG10" s="15">
        <f>MIN(IF($AU10=100%,1,1+VLOOKUP(($AJ10-$AI10-$AH10-$AG10-$AF10-$AE10*(1+BG$3))/$AJ10,'Технический лист'!$A:$B,2,1)-VLOOKUP($AO10,'Технический лист'!$A:$B,2,1)),1+(1-$AU10))</f>
        <v>1.0249999999999999</v>
      </c>
      <c r="BH10" s="15">
        <f>MIN(IF($AU10=100%,1,1+VLOOKUP(($AJ10-$AI10-$AH10-$AG10-$AF10-$AE10*(1+BH$3))/$AJ10,'Технический лист'!$A:$B,2,1)-VLOOKUP($AO10,'Технический лист'!$A:$B,2,1)),1+(1-$AU10))</f>
        <v>1.0249999999999999</v>
      </c>
      <c r="BI10" s="15">
        <f>MIN(IF($AU10=100%,1,1+VLOOKUP(($AJ10-$AI10-$AH10-$AG10-$AF10-$AE10*(1+BI$3))/$AJ10,'Технический лист'!$A:$B,2,1)-VLOOKUP($AO10,'Технический лист'!$A:$B,2,1)),1+(1-$AU10))</f>
        <v>1.0249999999999999</v>
      </c>
      <c r="BJ10" s="15">
        <f>MIN(IF($AU10=100%,1,1+VLOOKUP(($AJ10-$AI10-$AH10-$AG10-$AF10-$AE10*(1+BJ$3))/$AJ10,'Технический лист'!$A:$B,2,1)-VLOOKUP($AO10,'Технический лист'!$A:$B,2,1)),1+(1-$AU10))</f>
        <v>1.0249999999999999</v>
      </c>
      <c r="BK10" s="15">
        <f>MIN(IF($AU10=100%,1,1+VLOOKUP(($AJ10-$AI10-$AH10-$AG10-$AF10-$AE10*(1+BK$3))/$AJ10,'Технический лист'!$A:$B,2,1)-VLOOKUP($AO10,'Технический лист'!$A:$B,2,1)),1+(1-$AU10))</f>
        <v>1.0249999999999999</v>
      </c>
      <c r="BL10" s="15">
        <f>MIN(IF($AU10=100%,1,1+VLOOKUP(($AJ10-$AI10-$AH10-$AG10-$AF10-$AE10*(1+BL$3))/$AJ10,'Технический лист'!$A:$B,2,1)-VLOOKUP($AO10,'Технический лист'!$A:$B,2,1)),1+(1-$AU10))</f>
        <v>1.0249999999999999</v>
      </c>
      <c r="BM10" s="15">
        <f>MIN(IF($AU10=100%,1,1+VLOOKUP(($AJ10-$AI10-$AH10-$AG10-$AF10-$AE10*(1+BM$3))/$AJ10,'Технический лист'!$A:$B,2,1)-VLOOKUP($AO10,'Технический лист'!$A:$B,2,1)),1+(1-$AU10))</f>
        <v>1.0249999999999999</v>
      </c>
      <c r="BN10" s="15">
        <f>MIN(IF($AU10=100%,1,1+VLOOKUP(($AJ10-$AI10-$AH10-$AG10-$AF10-$AE10*(1+BN$3))/$AJ10,'Технический лист'!$A:$B,2,1)-VLOOKUP($AO10,'Технический лист'!$A:$B,2,1)),1+(1-$AU10))</f>
        <v>1.0249999999999999</v>
      </c>
      <c r="BO10" s="15">
        <f>MIN(IF($AU10=100%,1,1+VLOOKUP(($AJ10-$AI10-$AH10-$AG10-$AF10-$AE10*(1+BO$3))/$AJ10,'Технический лист'!$A:$B,2,1)-VLOOKUP($AO10,'Технический лист'!$A:$B,2,1)),1+(1-$AU10))</f>
        <v>1.0249999999999999</v>
      </c>
      <c r="BP10" s="15">
        <f>MIN(IF($AU10=100%,1,1+VLOOKUP(($AJ10-$AI10-$AH10-$AG10-$AF10-$AE10*(1+BP$3))/$AJ10,'Технический лист'!$A:$B,2,1)-VLOOKUP($AO10,'Технический лист'!$A:$B,2,1)),1+(1-$AU10))</f>
        <v>1.0249999999999999</v>
      </c>
      <c r="BQ10" s="15">
        <f>MIN(IF($AU10=100%,1,1+VLOOKUP(($AJ10-$AI10-$AH10-$AG10-$AF10-$AE10*(1+BQ$3))/$AJ10,'Технический лист'!$A:$B,2,1)-VLOOKUP($AO10,'Технический лист'!$A:$B,2,1)),1+(1-$AU10))</f>
        <v>1.0249999999999999</v>
      </c>
      <c r="BR10" s="15">
        <f>MIN(IF($AU10=100%,1,1+VLOOKUP(($AJ10-$AI10-$AH10-$AG10-$AF10-$AE10*(1+BR$3))/$AJ10,'Технический лист'!$A:$B,2,1)-VLOOKUP($AO10,'Технический лист'!$A:$B,2,1)),1+(1-$AU10))</f>
        <v>1.0249999999999999</v>
      </c>
      <c r="BS10" s="15">
        <f>MIN(IF($AU10=100%,1,1+VLOOKUP(($AJ10-$AI10-$AH10-$AG10-$AF10-$AE10*(1+BS$3))/$AJ10,'Технический лист'!$A:$B,2,1)-VLOOKUP($AO10,'Технический лист'!$A:$B,2,1)),1+(1-$AU10))</f>
        <v>1.0249999999999999</v>
      </c>
      <c r="BT10" s="15">
        <f>MIN(IF($AU10=100%,1,1+VLOOKUP(($AJ10-$AI10-$AH10-$AG10-$AF10-$AE10*(1+BT$3))/$AJ10,'Технический лист'!$A:$B,2,1)-VLOOKUP($AO10,'Технический лист'!$A:$B,2,1)),1+(1-$AU10))</f>
        <v>1.0249999999999999</v>
      </c>
      <c r="BU10" s="15">
        <f>MIN(IF($AU10=100%,1,1+VLOOKUP(($AJ10-$AI10-$AH10-$AG10-$AF10-$AE10*(1+BU$3))/$AJ10,'Технический лист'!$A:$B,2,1)-VLOOKUP($AO10,'Технический лист'!$A:$B,2,1)),1+(1-$AU10))</f>
        <v>1.0249999999999999</v>
      </c>
      <c r="BV10" s="15">
        <f>MIN(IF($AU10=100%,1,1+VLOOKUP(($AJ10-$AI10-$AH10-$AG10-$AF10-$AE10*(1+BV$3))/$AJ10,'Технический лист'!$A:$B,2,1)-VLOOKUP($AO10,'Технический лист'!$A:$B,2,1)),1+(1-$AU10))</f>
        <v>1.0249999999999999</v>
      </c>
      <c r="BW10" s="15">
        <f>MIN(IF($AU10=100%,1,1+VLOOKUP(($AJ10-$AI10-$AH10-$AG10-$AF10-$AE10*(1+BW$3))/$AJ10,'Технический лист'!$A:$B,2,1)-VLOOKUP($AO10,'Технический лист'!$A:$B,2,1)),1+(1-$AU10))</f>
        <v>1.0249999999999999</v>
      </c>
      <c r="BX10" s="15">
        <f>MIN(IF($AU10=100%,1,1+VLOOKUP(($AJ10-$AI10-$AH10-$AG10-$AF10-$AE10*(1+BX$3))/$AJ10,'Технический лист'!$A:$B,2,1)-VLOOKUP($AO10,'Технический лист'!$A:$B,2,1)),1+(1-$AU10))</f>
        <v>1.0249999999999999</v>
      </c>
      <c r="BY10" s="15">
        <f>MIN(IF($AU10=100%,1,1+VLOOKUP(($AJ10-$AI10-$AH10-$AG10-$AF10-$AE10*(1+BY$3))/$AJ10,'Технический лист'!$A:$B,2,1)-VLOOKUP($AO10,'Технический лист'!$A:$B,2,1)),1+(1-$AU10))</f>
        <v>1.0249999999999999</v>
      </c>
      <c r="BZ10" s="15">
        <f>MIN(IF($AU10=100%,1,1+VLOOKUP(($AJ10-$AI10-$AH10-$AG10-$AF10-$AE10*(1+BZ$3))/$AJ10,'Технический лист'!$A:$B,2,1)-VLOOKUP($AO10,'Технический лист'!$A:$B,2,1)),1+(1-$AU10))</f>
        <v>1.0249999999999999</v>
      </c>
      <c r="CA10" s="15">
        <f>MIN(IF($AU10=100%,1,1+VLOOKUP(($AJ10-$AI10-$AH10-$AG10-$AF10-$AE10*(1+CA$3))/$AJ10,'Технический лист'!$A:$B,2,1)-VLOOKUP($AO10,'Технический лист'!$A:$B,2,1)),1+(1-$AU10))</f>
        <v>1.0249999999999999</v>
      </c>
      <c r="CB10" s="15">
        <f>MIN(IF($AU10=100%,1,1+VLOOKUP(($AJ10-$AI10-$AH10-$AG10-$AF10-$AE10*(1+CB$3))/$AJ10,'Технический лист'!$A:$B,2,1)-VLOOKUP($AO10,'Технический лист'!$A:$B,2,1)),1+(1-$AU10))</f>
        <v>1.0249999999999999</v>
      </c>
      <c r="CC10" s="15">
        <f>MIN(IF($AU10=100%,1,1+VLOOKUP(($AJ10-$AI10-$AH10-$AG10-$AF10-$AE10*(1+CC$3))/$AJ10,'Технический лист'!$A:$B,2,1)-VLOOKUP($AO10,'Технический лист'!$A:$B,2,1)),1+(1-$AU10))</f>
        <v>1.0249999999999999</v>
      </c>
      <c r="CD10" s="15">
        <f>MIN(IF($AU10=100%,1,1+VLOOKUP(($AJ10-$AI10-$AH10-$AG10-$AF10-$AE10*(1+CD$3))/$AJ10,'Технический лист'!$A:$B,2,1)-VLOOKUP($AO10,'Технический лист'!$A:$B,2,1)),1+(1-$AU10))</f>
        <v>1.0249999999999999</v>
      </c>
      <c r="CE10" s="15">
        <f>MIN(IF($AU10=100%,1,1+VLOOKUP(($AJ10-$AI10-$AH10-$AG10-$AF10-$AE10*(1+CE$3))/$AJ10,'Технический лист'!$A:$B,2,1)-VLOOKUP($AO10,'Технический лист'!$A:$B,2,1)),1+(1-$AU10))</f>
        <v>1.0249999999999999</v>
      </c>
      <c r="CF10" s="15">
        <f>MIN(IF($AU10=100%,1,1+VLOOKUP(($AJ10-$AI10-$AH10-$AG10-$AF10-$AE10*(1+CF$3))/$AJ10,'Технический лист'!$A:$B,2,1)-VLOOKUP($AO10,'Технический лист'!$A:$B,2,1)),1+(1-$AU10))</f>
        <v>1.0249999999999999</v>
      </c>
      <c r="CG10" s="15">
        <f>MIN(IF($AU10=100%,1,1+VLOOKUP(($AJ10-$AI10-$AH10-$AG10-$AF10-$AE10*(1+CG$3))/$AJ10,'Технический лист'!$A:$B,2,1)-VLOOKUP($AO10,'Технический лист'!$A:$B,2,1)),1+(1-$AU10))</f>
        <v>1.0249999999999999</v>
      </c>
      <c r="CH10" s="15">
        <f>MIN(IF($AU10=100%,1,1+VLOOKUP(($AJ10-$AI10-$AH10-$AG10-$AF10-$AE10*(1+CH$3))/$AJ10,'Технический лист'!$A:$B,2,1)-VLOOKUP($AO10,'Технический лист'!$A:$B,2,1)),1+(1-$AU10))</f>
        <v>1.0249999999999999</v>
      </c>
      <c r="CI10" s="15">
        <f>MIN(IF($AU10=100%,1,1+VLOOKUP(($AJ10-$AI10-$AH10-$AG10-$AF10-$AE10*(1+CI$3))/$AJ10,'Технический лист'!$A:$B,2,1)-VLOOKUP($AO10,'Технический лист'!$A:$B,2,1)),1+(1-$AU10))</f>
        <v>1.0249999999999999</v>
      </c>
      <c r="CJ10" s="15">
        <f>MIN(IF($AU10=100%,1,1+VLOOKUP(($AJ10-$AI10-$AH10-$AG10-$AF10-$AE10*(1+CJ$3))/$AJ10,'Технический лист'!$A:$B,2,1)-VLOOKUP($AO10,'Технический лист'!$A:$B,2,1)),1+(1-$AU10))</f>
        <v>1.0249999999999999</v>
      </c>
      <c r="CK10" s="15">
        <f>MIN(IF($AU10=100%,1,1+VLOOKUP(($AJ10-$AI10-$AH10-$AG10-$AF10-$AE10*(1+CK$3))/$AJ10,'Технический лист'!$A:$B,2,1)-VLOOKUP($AO10,'Технический лист'!$A:$B,2,1)),1+(1-$AU10))</f>
        <v>1.0249999999999999</v>
      </c>
      <c r="CL10" s="15">
        <f>MIN(IF($AU10=100%,1,1+VLOOKUP(($AJ10-$AI10-$AH10-$AG10-$AF10-$AE10*(1+CL$3))/$AJ10,'Технический лист'!$A:$B,2,1)-VLOOKUP($AO10,'Технический лист'!$A:$B,2,1)),1+(1-$AU10))</f>
        <v>1.0249999999999999</v>
      </c>
      <c r="CM10" s="15">
        <f>MIN(IF($AU10=100%,1,1+VLOOKUP(($AJ10-$AI10-$AH10-$AG10-$AF10-$AE10*(1+CM$3))/$AJ10,'Технический лист'!$A:$B,2,1)-VLOOKUP($AO10,'Технический лист'!$A:$B,2,1)),1+(1-$AU10))</f>
        <v>1.0249999999999999</v>
      </c>
      <c r="CN10" s="15">
        <f>MIN(IF($AU10=100%,1,1+VLOOKUP(($AJ10-$AI10-$AH10-$AG10-$AF10-$AE10*(1+CN$3))/$AJ10,'Технический лист'!$A:$B,2,1)-VLOOKUP($AO10,'Технический лист'!$A:$B,2,1)),1+(1-$AU10))</f>
        <v>1.0249999999999999</v>
      </c>
      <c r="CO10" s="15">
        <f>MIN(IF($AU10=100%,1,1+VLOOKUP(($AJ10-$AI10-$AH10-$AG10-$AF10-$AE10*(1+CO$3))/$AJ10,'Технический лист'!$A:$B,2,1)-VLOOKUP($AO10,'Технический лист'!$A:$B,2,1)),1+(1-$AU10))</f>
        <v>1.0249999999999999</v>
      </c>
      <c r="CP10" s="15">
        <f>MIN(IF($AU10=100%,1,1+VLOOKUP(($AJ10-$AI10-$AH10-$AG10-$AF10-$AE10*(1+CP$3))/$AJ10,'Технический лист'!$A:$B,2,1)-VLOOKUP($AO10,'Технический лист'!$A:$B,2,1)),1+(1-$AU10))</f>
        <v>1.0249999999999999</v>
      </c>
      <c r="CQ10" s="15">
        <f>MIN(IF($AU10=100%,1,1+VLOOKUP(($AJ10-$AI10-$AH10-$AG10-$AF10-$AE10*(1+CQ$3))/$AJ10,'Технический лист'!$A:$B,2,1)-VLOOKUP($AO10,'Технический лист'!$A:$B,2,1)),1+(1-$AU10))</f>
        <v>1.0249999999999999</v>
      </c>
      <c r="CR10" s="15">
        <f>MIN(IF($AU10=100%,1,1+VLOOKUP(($AJ10-$AI10-$AH10-$AG10-$AF10-$AE10*(1+CR$3))/$AJ10,'Технический лист'!$A:$B,2,1)-VLOOKUP($AO10,'Технический лист'!$A:$B,2,1)),1+(1-$AU10))</f>
        <v>1.0249999999999999</v>
      </c>
      <c r="CS10" s="15">
        <f>MIN(IF($AU10=100%,1,1+VLOOKUP(($AJ10-$AI10-$AH10-$AG10-$AF10-$AE10*(1+CS$3))/$AJ10,'Технический лист'!$A:$B,2,1)-VLOOKUP($AO10,'Технический лист'!$A:$B,2,1)),1+(1-$AU10))</f>
        <v>1.0249999999999999</v>
      </c>
      <c r="CT10" s="15">
        <f>MIN(IF($AU10=100%,1,1+VLOOKUP(($AJ10-$AI10-$AH10-$AG10-$AF10-$AE10*(1+CT$3))/$AJ10,'Технический лист'!$A:$B,2,1)-VLOOKUP($AO10,'Технический лист'!$A:$B,2,1)),1+(1-$AU10))</f>
        <v>1.0249999999999999</v>
      </c>
      <c r="CU10" s="15">
        <f>MIN(IF($AU10=100%,1,1+VLOOKUP(($AJ10-$AI10-$AH10-$AG10-$AF10-$AE10*(1+CU$3))/$AJ10,'Технический лист'!$A:$B,2,1)-VLOOKUP($AO10,'Технический лист'!$A:$B,2,1)),1+(1-$AU10))</f>
        <v>1.0249999999999999</v>
      </c>
      <c r="CV10" s="15">
        <f>MIN(IF($AU10=100%,1,1+VLOOKUP(($AJ10-$AI10-$AH10-$AG10-$AF10-$AE10*(1+CV$3))/$AJ10,'Технический лист'!$A:$B,2,1)-VLOOKUP($AO10,'Технический лист'!$A:$B,2,1)),1+(1-$AU10))</f>
        <v>1.0249999999999999</v>
      </c>
      <c r="CW10" s="15">
        <f>MIN(IF($AU10=100%,1,1+VLOOKUP(($AJ10-$AI10-$AH10-$AG10-$AF10-$AE10*(1+CW$3))/$AJ10,'Технический лист'!$A:$B,2,1)-VLOOKUP($AO10,'Технический лист'!$A:$B,2,1)),1+(1-$AU10))</f>
        <v>1.0249999999999999</v>
      </c>
      <c r="CX10" s="15">
        <f>MIN(IF($AU10=100%,1,1+VLOOKUP(($AJ10-$AI10-$AH10-$AG10-$AF10-$AE10*(1+CX$3))/$AJ10,'Технический лист'!$A:$B,2,1)-VLOOKUP($AO10,'Технический лист'!$A:$B,2,1)),1+(1-$AU10))</f>
        <v>1.0249999999999999</v>
      </c>
      <c r="CY10" s="15">
        <f>MIN(IF($AU10=100%,1,1+VLOOKUP(($AJ10-$AI10-$AH10-$AG10-$AF10-$AE10*(1+CY$3))/$AJ10,'Технический лист'!$A:$B,2,1)-VLOOKUP($AO10,'Технический лист'!$A:$B,2,1)),1+(1-$AU10))</f>
        <v>1.0249999999999999</v>
      </c>
      <c r="CZ10" s="15">
        <f>MIN(IF($AU10=100%,1,1+VLOOKUP(($AJ10-$AI10-$AH10-$AG10-$AF10-$AE10*(1+CZ$3))/$AJ10,'Технический лист'!$A:$B,2,1)-VLOOKUP($AO10,'Технический лист'!$A:$B,2,1)),1+(1-$AU10))</f>
        <v>1.0249999999999999</v>
      </c>
      <c r="DA10" s="15">
        <f>MIN(IF($AU10=100%,1,1+VLOOKUP(($AJ10-$AI10-$AH10-$AG10-$AF10-$AE10*(1+DA$3))/$AJ10,'Технический лист'!$A:$B,2,1)-VLOOKUP($AO10,'Технический лист'!$A:$B,2,1)),1+(1-$AU10))</f>
        <v>1.0249999999999999</v>
      </c>
      <c r="DB10" s="15">
        <f>MIN(IF($AU10=100%,1,1+VLOOKUP(($AJ10-$AI10-$AH10-$AG10-$AF10-$AE10*(1+DB$3))/$AJ10,'Технический лист'!$A:$B,2,1)-VLOOKUP($AO10,'Технический лист'!$A:$B,2,1)),1+(1-$AU10))</f>
        <v>1.0249999999999999</v>
      </c>
      <c r="DC10" s="15">
        <f>MIN(IF($AU10=100%,1,1+VLOOKUP(($AJ10-$AI10-$AH10-$AG10-$AF10-$AE10*(1+DC$3))/$AJ10,'Технический лист'!$A:$B,2,1)-VLOOKUP($AO10,'Технический лист'!$A:$B,2,1)),1+(1-$AU10))</f>
        <v>1.0249999999999999</v>
      </c>
      <c r="DD10" s="15">
        <f>MIN(IF($AU10=100%,1,1+VLOOKUP(($AJ10-$AI10-$AH10-$AG10-$AF10-$AE10*(1+DD$3))/$AJ10,'Технический лист'!$A:$B,2,1)-VLOOKUP($AO10,'Технический лист'!$A:$B,2,1)),1+(1-$AU10))</f>
        <v>1.0249999999999999</v>
      </c>
      <c r="DE10" s="15">
        <f>MIN(IF($AU10=100%,1,1+VLOOKUP(($AJ10-$AI10-$AH10-$AG10-$AF10-$AE10*(1+DE$3))/$AJ10,'Технический лист'!$A:$B,2,1)-VLOOKUP($AO10,'Технический лист'!$A:$B,2,1)),1+(1-$AU10))</f>
        <v>1.0249999999999999</v>
      </c>
      <c r="DF10" s="15">
        <f>MIN(IF($AU10=100%,1,1+VLOOKUP(($AJ10-$AI10-$AH10-$AG10-$AF10-$AE10*(1+DF$3))/$AJ10,'Технический лист'!$A:$B,2,1)-VLOOKUP($AO10,'Технический лист'!$A:$B,2,1)),1+(1-$AU10))</f>
        <v>1.0249999999999999</v>
      </c>
      <c r="DG10" s="15">
        <f>MIN(IF($AU10=100%,1,1+VLOOKUP(($AJ10-$AI10-$AH10-$AG10-$AF10-$AE10*(1+DG$3))/$AJ10,'Технический лист'!$A:$B,2,1)-VLOOKUP($AO10,'Технический лист'!$A:$B,2,1)),1+(1-$AU10))</f>
        <v>1.0249999999999999</v>
      </c>
      <c r="DH10" s="15">
        <f>MIN(IF($AU10=100%,1,1+VLOOKUP(($AJ10-$AI10-$AH10-$AG10-$AF10-$AE10*(1+DH$3))/$AJ10,'Технический лист'!$A:$B,2,1)-VLOOKUP($AO10,'Технический лист'!$A:$B,2,1)),1+(1-$AU10))</f>
        <v>1</v>
      </c>
      <c r="DI10" s="15">
        <f>MIN(IF($AU10=100%,1,1+VLOOKUP(($AJ10-$AI10-$AH10-$AG10-$AF10-$AE10*(1+DI$3))/$AJ10,'Технический лист'!$A:$B,2,1)-VLOOKUP($AO10,'Технический лист'!$A:$B,2,1)),1+(1-$AU10))</f>
        <v>1</v>
      </c>
      <c r="DJ10" s="15">
        <f>MIN(IF($AU10=100%,1,1+VLOOKUP(($AJ10-$AI10-$AH10-$AG10-$AF10-$AE10*(1+DJ$3))/$AJ10,'Технический лист'!$A:$B,2,1)-VLOOKUP($AO10,'Технический лист'!$A:$B,2,1)),1+(1-$AU10))</f>
        <v>1</v>
      </c>
      <c r="DK10" s="15">
        <f>MIN(IF($AU10=100%,1,1+VLOOKUP(($AJ10-$AI10-$AH10-$AG10-$AF10-$AE10*(1+DK$3))/$AJ10,'Технический лист'!$A:$B,2,1)-VLOOKUP($AO10,'Технический лист'!$A:$B,2,1)),1+(1-$AU10))</f>
        <v>1</v>
      </c>
      <c r="DL10" s="15">
        <f>MIN(IF($AU10=100%,1,1+VLOOKUP(($AJ10-$AI10-$AH10-$AG10-$AF10-$AE10*(1+DL$3))/$AJ10,'Технический лист'!$A:$B,2,1)-VLOOKUP($AO10,'Технический лист'!$A:$B,2,1)),1+(1-$AU10))</f>
        <v>1</v>
      </c>
      <c r="DM10" s="15">
        <f>MIN(IF($AU10=100%,1,1+VLOOKUP(($AJ10-$AI10-$AH10-$AG10-$AF10-$AE10*(1+DM$3))/$AJ10,'Технический лист'!$A:$B,2,1)-VLOOKUP($AO10,'Технический лист'!$A:$B,2,1)),1+(1-$AU10))</f>
        <v>1</v>
      </c>
      <c r="DN10" s="15">
        <f>MIN(IF($AU10=100%,1,1+VLOOKUP(($AJ10-$AI10-$AH10-$AG10-$AF10-$AE10*(1+DN$3))/$AJ10,'Технический лист'!$A:$B,2,1)-VLOOKUP($AO10,'Технический лист'!$A:$B,2,1)),1+(1-$AU10))</f>
        <v>1</v>
      </c>
      <c r="DO10" s="15">
        <f>MIN(IF($AU10=100%,1,1+VLOOKUP(($AJ10-$AI10-$AH10-$AG10-$AF10-$AE10*(1+DO$3))/$AJ10,'Технический лист'!$A:$B,2,1)-VLOOKUP($AO10,'Технический лист'!$A:$B,2,1)),1+(1-$AU10))</f>
        <v>1</v>
      </c>
      <c r="DP10" s="15">
        <f>MIN(IF($AU10=100%,1,1+VLOOKUP(($AJ10-$AI10-$AH10-$AG10-$AF10-$AE10*(1+DP$3))/$AJ10,'Технический лист'!$A:$B,2,1)-VLOOKUP($AO10,'Технический лист'!$A:$B,2,1)),1+(1-$AU10))</f>
        <v>1</v>
      </c>
      <c r="DQ10" s="15">
        <f>MIN(IF($AU10=100%,1,1+VLOOKUP(($AJ10-$AI10-$AH10-$AG10-$AF10-$AE10*(1+DQ$3))/$AJ10,'Технический лист'!$A:$B,2,1)-VLOOKUP($AO10,'Технический лист'!$A:$B,2,1)),1+(1-$AU10))</f>
        <v>1</v>
      </c>
      <c r="DR10" s="15">
        <f>MIN(IF($AU10=100%,1,1+VLOOKUP(($AJ10-$AI10-$AH10-$AG10-$AF10-$AE10*(1+DR$3))/$AJ10,'Технический лист'!$A:$B,2,1)-VLOOKUP($AO10,'Технический лист'!$A:$B,2,1)),1+(1-$AU10))</f>
        <v>1</v>
      </c>
      <c r="DS10" s="15">
        <f>MIN(IF($AU10=100%,1,1+VLOOKUP(($AJ10-$AI10-$AH10-$AG10-$AF10-$AE10*(1+DS$3))/$AJ10,'Технический лист'!$A:$B,2,1)-VLOOKUP($AO10,'Технический лист'!$A:$B,2,1)),1+(1-$AU10))</f>
        <v>1</v>
      </c>
      <c r="DT10" s="15">
        <f>MIN(IF($AU10=100%,1,1+VLOOKUP(($AJ10-$AI10-$AH10-$AG10-$AF10-$AE10*(1+DT$3))/$AJ10,'Технический лист'!$A:$B,2,1)-VLOOKUP($AO10,'Технический лист'!$A:$B,2,1)),1+(1-$AU10))</f>
        <v>1</v>
      </c>
      <c r="DU10" s="15">
        <f>MIN(IF($AU10=100%,1,1+VLOOKUP(($AJ10-$AI10-$AH10-$AG10-$AF10-$AE10*(1+DU$3))/$AJ10,'Технический лист'!$A:$B,2,1)-VLOOKUP($AO10,'Технический лист'!$A:$B,2,1)),1+(1-$AU10))</f>
        <v>1</v>
      </c>
      <c r="DV10" s="15">
        <f>MIN(IF($AU10=100%,1,1+VLOOKUP(($AJ10-$AI10-$AH10-$AG10-$AF10-$AE10*(1+DV$3))/$AJ10,'Технический лист'!$A:$B,2,1)-VLOOKUP($AO10,'Технический лист'!$A:$B,2,1)),1+(1-$AU10))</f>
        <v>1</v>
      </c>
      <c r="DW10" s="15">
        <f>MIN(IF($AU10=100%,1,1+VLOOKUP(($AJ10-$AI10-$AH10-$AG10-$AF10-$AE10*(1+DW$3))/$AJ10,'Технический лист'!$A:$B,2,1)-VLOOKUP($AO10,'Технический лист'!$A:$B,2,1)),1+(1-$AU10))</f>
        <v>1</v>
      </c>
      <c r="DX10" s="15">
        <f>MIN(IF($AU10=100%,1,1+VLOOKUP(($AJ10-$AI10-$AH10-$AG10-$AF10-$AE10*(1+DX$3))/$AJ10,'Технический лист'!$A:$B,2,1)-VLOOKUP($AO10,'Технический лист'!$A:$B,2,1)),1+(1-$AU10))</f>
        <v>1</v>
      </c>
      <c r="DY10" s="15">
        <f>MIN(IF($AU10=100%,1,1+VLOOKUP(($AJ10-$AI10-$AH10-$AG10-$AF10-$AE10*(1+DY$3))/$AJ10,'Технический лист'!$A:$B,2,1)-VLOOKUP($AO10,'Технический лист'!$A:$B,2,1)),1+(1-$AU10))</f>
        <v>1</v>
      </c>
      <c r="DZ10" s="15">
        <f>MIN(IF($AU10=100%,1,1+VLOOKUP(($AJ10-$AI10-$AH10-$AG10-$AF10-$AE10*(1+DZ$3))/$AJ10,'Технический лист'!$A:$B,2,1)-VLOOKUP($AO10,'Технический лист'!$A:$B,2,1)),1+(1-$AU10))</f>
        <v>1</v>
      </c>
      <c r="EA10" s="15">
        <f>MIN(IF($AU10=100%,1,1+VLOOKUP(($AJ10-$AI10-$AH10-$AG10-$AF10-$AE10*(1+EA$3))/$AJ10,'Технический лист'!$A:$B,2,1)-VLOOKUP($AO10,'Технический лист'!$A:$B,2,1)),1+(1-$AU10))</f>
        <v>1</v>
      </c>
      <c r="EB10" s="15">
        <f>MIN(IF($AU10=100%,1,1+VLOOKUP(($AJ10-$AI10-$AH10-$AG10-$AF10-$AE10*(1+EB$3))/$AJ10,'Технический лист'!$A:$B,2,1)-VLOOKUP($AO10,'Технический лист'!$A:$B,2,1)),1+(1-$AU10))</f>
        <v>1</v>
      </c>
      <c r="EC10" s="15">
        <f>MIN(IF($AU10=100%,1,1+VLOOKUP(($AJ10-$AI10-$AH10-$AG10-$AF10-$AE10*(1+EC$3))/$AJ10,'Технический лист'!$A:$B,2,1)-VLOOKUP($AO10,'Технический лист'!$A:$B,2,1)),1+(1-$AU10))</f>
        <v>1</v>
      </c>
      <c r="ED10" s="15">
        <f>MIN(IF($AU10=100%,1,1+VLOOKUP(($AJ10-$AI10-$AH10-$AG10-$AF10-$AE10*(1+ED$3))/$AJ10,'Технический лист'!$A:$B,2,1)-VLOOKUP($AO10,'Технический лист'!$A:$B,2,1)),1+(1-$AU10))</f>
        <v>1</v>
      </c>
      <c r="EE10" s="15">
        <f>MIN(IF($AU10=100%,1,1+VLOOKUP(($AJ10-$AI10-$AH10-$AG10-$AF10-$AE10*(1+EE$3))/$AJ10,'Технический лист'!$A:$B,2,1)-VLOOKUP($AO10,'Технический лист'!$A:$B,2,1)),1+(1-$AU10))</f>
        <v>1</v>
      </c>
      <c r="EF10" s="15">
        <f>MIN(IF($AU10=100%,1,1+VLOOKUP(($AJ10-$AI10-$AH10-$AG10-$AF10-$AE10*(1+EF$3))/$AJ10,'Технический лист'!$A:$B,2,1)-VLOOKUP($AO10,'Технический лист'!$A:$B,2,1)),1+(1-$AU10))</f>
        <v>1</v>
      </c>
      <c r="EG10" s="15">
        <f>MIN(IF($AU10=100%,1,1+VLOOKUP(($AJ10-$AI10-$AH10-$AG10-$AF10-$AE10*(1+EG$3))/$AJ10,'Технический лист'!$A:$B,2,1)-VLOOKUP($AO10,'Технический лист'!$A:$B,2,1)),1+(1-$AU10))</f>
        <v>1</v>
      </c>
      <c r="EH10" s="15">
        <f>MIN(IF($AU10=100%,1,1+VLOOKUP(($AJ10-$AI10-$AH10-$AG10-$AF10-$AE10*(1+EH$3))/$AJ10,'Технический лист'!$A:$B,2,1)-VLOOKUP($AO10,'Технический лист'!$A:$B,2,1)),1+(1-$AU10))</f>
        <v>1</v>
      </c>
      <c r="EI10" s="15">
        <f>MIN(IF($AU10=100%,1,1+VLOOKUP(($AJ10-$AI10-$AH10-$AG10-$AF10-$AE10*(1+EI$3))/$AJ10,'Технический лист'!$A:$B,2,1)-VLOOKUP($AO10,'Технический лист'!$A:$B,2,1)),1+(1-$AU10))</f>
        <v>1</v>
      </c>
      <c r="EJ10" s="15">
        <f>MIN(IF($AU10=100%,1,1+VLOOKUP(($AJ10-$AI10-$AH10-$AG10-$AF10-$AE10*(1+EJ$3))/$AJ10,'Технический лист'!$A:$B,2,1)-VLOOKUP($AO10,'Технический лист'!$A:$B,2,1)),1+(1-$AU10))</f>
        <v>1</v>
      </c>
      <c r="EK10" s="15">
        <f>MIN(IF($AU10=100%,1,1+VLOOKUP(($AJ10-$AI10-$AH10-$AG10-$AF10-$AE10*(1+EK$3))/$AJ10,'Технический лист'!$A:$B,2,1)-VLOOKUP($AO10,'Технический лист'!$A:$B,2,1)),1+(1-$AU10))</f>
        <v>1</v>
      </c>
      <c r="EL10" s="15">
        <f>MIN(IF($AU10=100%,1,1+VLOOKUP(($AJ10-$AI10-$AH10-$AG10-$AF10-$AE10*(1+EL$3))/$AJ10,'Технический лист'!$A:$B,2,1)-VLOOKUP($AO10,'Технический лист'!$A:$B,2,1)),1+(1-$AU10))</f>
        <v>1</v>
      </c>
      <c r="EM10" s="15">
        <f>MIN(IF($AU10=100%,1,1+VLOOKUP(($AJ10-$AI10-$AH10-$AG10-$AF10-$AE10*(1+EM$3))/$AJ10,'Технический лист'!$A:$B,2,1)-VLOOKUP($AO10,'Технический лист'!$A:$B,2,1)),1+(1-$AU10))</f>
        <v>1</v>
      </c>
      <c r="EN10" s="15">
        <f>MIN(IF($AU10=100%,1,1+VLOOKUP(($AJ10-$AI10-$AH10-$AG10-$AF10-$AE10*(1+EN$3))/$AJ10,'Технический лист'!$A:$B,2,1)-VLOOKUP($AO10,'Технический лист'!$A:$B,2,1)),1+(1-$AU10))</f>
        <v>1</v>
      </c>
      <c r="EO10" s="15">
        <f>MIN(IF($AU10=100%,1,1+VLOOKUP(($AJ10-$AI10-$AH10-$AG10-$AF10-$AE10*(1+EO$3))/$AJ10,'Технический лист'!$A:$B,2,1)-VLOOKUP($AO10,'Технический лист'!$A:$B,2,1)),1+(1-$AU10))</f>
        <v>1</v>
      </c>
      <c r="EP10" s="15">
        <f>MIN(IF($AU10=100%,1,1+VLOOKUP(($AJ10-$AI10-$AH10-$AG10-$AF10-$AE10*(1+EP$3))/$AJ10,'Технический лист'!$A:$B,2,1)-VLOOKUP($AO10,'Технический лист'!$A:$B,2,1)),1+(1-$AU10))</f>
        <v>1</v>
      </c>
      <c r="EQ10" s="15">
        <f>MIN(IF($AU10=100%,1,1+VLOOKUP(($AJ10-$AI10-$AH10-$AG10-$AF10-$AE10*(1+EQ$3))/$AJ10,'Технический лист'!$A:$B,2,1)-VLOOKUP($AO10,'Технический лист'!$A:$B,2,1)),1+(1-$AU10))</f>
        <v>1</v>
      </c>
      <c r="ER10" s="15">
        <f>MIN(IF($AU10=100%,1,1+VLOOKUP(($AJ10-$AI10-$AH10-$AG10-$AF10-$AE10*(1+ER$3))/$AJ10,'Технический лист'!$A:$B,2,1)-VLOOKUP($AO10,'Технический лист'!$A:$B,2,1)),1+(1-$AU10))</f>
        <v>1</v>
      </c>
      <c r="ES10" s="15">
        <f>MIN(IF($AU10=100%,1,1+VLOOKUP(($AJ10-$AI10-$AH10-$AG10-$AF10-$AE10*(1+ES$3))/$AJ10,'Технический лист'!$A:$B,2,1)-VLOOKUP($AO10,'Технический лист'!$A:$B,2,1)),1+(1-$AU10))</f>
        <v>1</v>
      </c>
      <c r="ET10" s="15">
        <f>MIN(IF($AU10=100%,1,1+VLOOKUP(($AJ10-$AI10-$AH10-$AG10-$AF10-$AE10*(1+ET$3))/$AJ10,'Технический лист'!$A:$B,2,1)-VLOOKUP($AO10,'Технический лист'!$A:$B,2,1)),1+(1-$AU10))</f>
        <v>1</v>
      </c>
      <c r="EU10" s="15">
        <f>MIN(IF($AU10=100%,1,1+VLOOKUP(($AJ10-$AI10-$AH10-$AG10-$AF10-$AE10*(1+EU$3))/$AJ10,'Технический лист'!$A:$B,2,1)-VLOOKUP($AO10,'Технический лист'!$A:$B,2,1)),1+(1-$AU10))</f>
        <v>1</v>
      </c>
      <c r="EV10" s="111">
        <v>1</v>
      </c>
      <c r="EW10" s="15">
        <f>MIN(1,MAX(VLOOKUP(($AJ10-$AI10-$AH10-$AG10-$AF10-$AE10*(1+EW$3))/$AJ10,'Технический лист'!$A:$B,2,1),(EV10-0.05)))</f>
        <v>1</v>
      </c>
      <c r="EX10" s="15">
        <f>MIN(1,MAX(VLOOKUP(($AJ10-$AI10-$AH10-$AG10-$AF10-$AE10*(1+EX$3))/$AJ10,'Технический лист'!$A:$B,2,1),(EW10-0.05)))</f>
        <v>1</v>
      </c>
      <c r="EY10" s="15">
        <f>MIN(1,MAX(VLOOKUP(($AJ10-$AI10-$AH10-$AG10-$AF10-$AE10*(1+EY$3))/$AJ10,'Технический лист'!$A:$B,2,1),(EX10-0.05)))</f>
        <v>1</v>
      </c>
      <c r="EZ10" s="15">
        <f>MIN(1,MAX(VLOOKUP(($AJ10-$AI10-$AH10-$AG10-$AF10-$AE10*(1+EZ$3))/$AJ10,'Технический лист'!$A:$B,2,1),(EY10-0.05)))</f>
        <v>1</v>
      </c>
      <c r="FA10" s="15">
        <f>MIN(1,MAX(VLOOKUP(($AJ10-$AI10-$AH10-$AG10-$AF10-$AE10*(1+FA$3))/$AJ10,'Технический лист'!$A:$B,2,1),(EZ10-0.05)))</f>
        <v>1</v>
      </c>
      <c r="FB10" s="15">
        <f>MIN(1,MAX(VLOOKUP(($AJ10-$AI10-$AH10-$AG10-$AF10-$AE10*(1+FB$3))/$AJ10,'Технический лист'!$A:$B,2,1),(FA10-0.05)))</f>
        <v>1</v>
      </c>
      <c r="FC10" s="15">
        <f>MIN(1,MAX(VLOOKUP(($AJ10-$AI10-$AH10-$AG10-$AF10-$AE10*(1+FC$3))/$AJ10,'Технический лист'!$A:$B,2,1),(FB10-0.05)))</f>
        <v>1</v>
      </c>
      <c r="FD10" s="15">
        <f>MIN(1,MAX(VLOOKUP(($AJ10-$AI10-$AH10-$AG10-$AF10-$AE10*(1+FD$3))/$AJ10,'Технический лист'!$A:$B,2,1),(FC10-0.05)))</f>
        <v>1</v>
      </c>
      <c r="FE10" s="15">
        <f>MIN(1,MAX(VLOOKUP(($AJ10-$AI10-$AH10-$AG10-$AF10-$AE10*(1+FE$3))/$AJ10,'Технический лист'!$A:$B,2,1),(FD10-0.05)))</f>
        <v>1</v>
      </c>
      <c r="FF10" s="15">
        <f>MIN(1,MAX(VLOOKUP(($AJ10-$AI10-$AH10-$AG10-$AF10-$AE10*(1+FF$3))/$AJ10,'Технический лист'!$A:$B,2,1),(FE10-0.05)))</f>
        <v>1</v>
      </c>
      <c r="FG10" s="15">
        <f>MIN(1,MAX(VLOOKUP(($AJ10-$AI10-$AH10-$AG10-$AF10-$AE10*(1+FG$3))/$AJ10,'Технический лист'!$A:$B,2,1),(FF10-0.05)))</f>
        <v>1</v>
      </c>
      <c r="FH10" s="15">
        <f>MIN(1,MAX(VLOOKUP(($AJ10-$AI10-$AH10-$AG10-$AF10-$AE10*(1+FH$3))/$AJ10,'Технический лист'!$A:$B,2,1),(FG10-0.05)))</f>
        <v>1</v>
      </c>
      <c r="FI10" s="15">
        <f>MIN(1,MAX(VLOOKUP(($AJ10-$AI10-$AH10-$AG10-$AF10-$AE10*(1+FI$3))/$AJ10,'Технический лист'!$A:$B,2,1),(FH10-0.05)))</f>
        <v>1</v>
      </c>
      <c r="FJ10" s="15">
        <f>MIN(1,MAX(VLOOKUP(($AJ10-$AI10-$AH10-$AG10-$AF10-$AE10*(1+FJ$3))/$AJ10,'Технический лист'!$A:$B,2,1),(FI10-0.05)))</f>
        <v>1</v>
      </c>
      <c r="FK10" s="15">
        <f>MIN(1,MAX(VLOOKUP(($AJ10-$AI10-$AH10-$AG10-$AF10-$AE10*(1+FK$3))/$AJ10,'Технический лист'!$A:$B,2,1),(FJ10-0.05)))</f>
        <v>1</v>
      </c>
      <c r="FL10" s="15">
        <f>MIN(1,MAX(VLOOKUP(($AJ10-$AI10-$AH10-$AG10-$AF10-$AE10*(1+FL$3))/$AJ10,'Технический лист'!$A:$B,2,1),(FK10-0.05)))</f>
        <v>1</v>
      </c>
      <c r="FM10" s="15">
        <f>MIN(1,MAX(VLOOKUP(($AJ10-$AI10-$AH10-$AG10-$AF10-$AE10*(1+FM$3))/$AJ10,'Технический лист'!$A:$B,2,1),(FL10-0.05)))</f>
        <v>1</v>
      </c>
      <c r="FN10" s="15">
        <f>MIN(1,MAX(VLOOKUP(($AJ10-$AI10-$AH10-$AG10-$AF10-$AE10*(1+FN$3))/$AJ10,'Технический лист'!$A:$B,2,1),(FM10-0.05)))</f>
        <v>1</v>
      </c>
      <c r="FO10" s="15">
        <f>MIN(1,MAX(VLOOKUP(($AJ10-$AI10-$AH10-$AG10-$AF10-$AE10*(1+FO$3))/$AJ10,'Технический лист'!$A:$B,2,1),(FN10-0.05)))</f>
        <v>1</v>
      </c>
      <c r="FP10" s="15">
        <f>MIN(1,MAX(VLOOKUP(($AJ10-$AI10-$AH10-$AG10-$AF10-$AE10*(1+FP$3))/$AJ10,'Технический лист'!$A:$B,2,1),(FO10-0.05)))</f>
        <v>1</v>
      </c>
      <c r="FQ10" s="15">
        <f>MIN(1,MAX(VLOOKUP(($AJ10-$AI10-$AH10-$AG10-$AF10-$AE10*(1+FQ$3))/$AJ10,'Технический лист'!$A:$B,2,1),(FP10-0.05)))</f>
        <v>1</v>
      </c>
      <c r="FR10" s="15">
        <f>MIN(1,MAX(VLOOKUP(($AJ10-$AI10-$AH10-$AG10-$AF10-$AE10*(1+FR$3))/$AJ10,'Технический лист'!$A:$B,2,1),(FQ10-0.05)))</f>
        <v>1</v>
      </c>
      <c r="FS10" s="15">
        <f>MIN(1,MAX(VLOOKUP(($AJ10-$AI10-$AH10-$AG10-$AF10-$AE10*(1+FS$3))/$AJ10,'Технический лист'!$A:$B,2,1),(FR10-0.05)))</f>
        <v>1</v>
      </c>
      <c r="FT10" s="15">
        <f>MIN(1,MAX(VLOOKUP(($AJ10-$AI10-$AH10-$AG10-$AF10-$AE10*(1+FT$3))/$AJ10,'Технический лист'!$A:$B,2,1),(FS10-0.05)))</f>
        <v>1</v>
      </c>
      <c r="FU10" s="15">
        <f>MIN(1,MAX(VLOOKUP(($AJ10-$AI10-$AH10-$AG10-$AF10-$AE10*(1+FU$3))/$AJ10,'Технический лист'!$A:$B,2,1),(FT10-0.05)))</f>
        <v>1</v>
      </c>
      <c r="FV10" s="15">
        <f>MIN(1,MAX(VLOOKUP(($AJ10-$AI10-$AH10-$AG10-$AF10-$AE10*(1+FV$3))/$AJ10,'Технический лист'!$A:$B,2,1),(FU10-0.05)))</f>
        <v>1</v>
      </c>
      <c r="FW10" s="15">
        <f>MIN(1,MAX(VLOOKUP(($AJ10-$AI10-$AH10-$AG10-$AF10-$AE10*(1+FW$3))/$AJ10,'Технический лист'!$A:$B,2,1),(FV10-0.05)))</f>
        <v>1</v>
      </c>
      <c r="FX10" s="15">
        <f>MIN(1,MAX(VLOOKUP(($AJ10-$AI10-$AH10-$AG10-$AF10-$AE10*(1+FX$3))/$AJ10,'Технический лист'!$A:$B,2,1),(FW10-0.05)))</f>
        <v>1</v>
      </c>
      <c r="FY10" s="15">
        <f>MIN(1,MAX(VLOOKUP(($AJ10-$AI10-$AH10-$AG10-$AF10-$AE10*(1+FY$3))/$AJ10,'Технический лист'!$A:$B,2,1),(FX10-0.05)))</f>
        <v>1</v>
      </c>
      <c r="FZ10" s="15">
        <f>MIN(1,MAX(VLOOKUP(($AJ10-$AI10-$AH10-$AG10-$AF10-$AE10*(1+FZ$3))/$AJ10,'Технический лист'!$A:$B,2,1),(FY10-0.05)))</f>
        <v>1</v>
      </c>
      <c r="GA10" s="15">
        <f>MIN(1,MAX(VLOOKUP(($AJ10-$AI10-$AH10-$AG10-$AF10-$AE10*(1+GA$3))/$AJ10,'Технический лист'!$A:$B,2,1),(FZ10-0.05)))</f>
        <v>1</v>
      </c>
      <c r="GB10" s="15">
        <f>MIN(1,MAX(VLOOKUP(($AJ10-$AI10-$AH10-$AG10-$AF10-$AE10*(1+GB$3))/$AJ10,'Технический лист'!$A:$B,2,1),(GA10-0.05)))</f>
        <v>1</v>
      </c>
      <c r="GC10" s="15">
        <f>MIN(1,MAX(VLOOKUP(($AJ10-$AI10-$AH10-$AG10-$AF10-$AE10*(1+GC$3))/$AJ10,'Технический лист'!$A:$B,2,1),(GB10-0.05)))</f>
        <v>1</v>
      </c>
      <c r="GD10" s="15">
        <f>MIN(1,MAX(VLOOKUP(($AJ10-$AI10-$AH10-$AG10-$AF10-$AE10*(1+GD$3))/$AJ10,'Технический лист'!$A:$B,2,1),(GC10-0.05)))</f>
        <v>1</v>
      </c>
      <c r="GE10" s="15">
        <f>MIN(1,MAX(VLOOKUP(($AJ10-$AI10-$AH10-$AG10-$AF10-$AE10*(1+GE$3))/$AJ10,'Технический лист'!$A:$B,2,1),(GD10-0.05)))</f>
        <v>1</v>
      </c>
      <c r="GF10" s="15">
        <f>MIN(1,MAX(VLOOKUP(($AJ10-$AI10-$AH10-$AG10-$AF10-$AE10*(1+GF$3))/$AJ10,'Технический лист'!$A:$B,2,1),(GE10-0.05)))</f>
        <v>1</v>
      </c>
      <c r="GG10" s="15">
        <f>MIN(1,MAX(VLOOKUP(($AJ10-$AI10-$AH10-$AG10-$AF10-$AE10*(1+GG$3))/$AJ10,'Технический лист'!$A:$B,2,1),(GF10-0.05)))</f>
        <v>1</v>
      </c>
      <c r="GH10" s="15">
        <f>MIN(1,MAX(VLOOKUP(($AJ10-$AI10-$AH10-$AG10-$AF10-$AE10*(1+GH$3))/$AJ10,'Технический лист'!$A:$B,2,1),(GG10-0.05)))</f>
        <v>1</v>
      </c>
      <c r="GI10" s="15">
        <f>MIN(1,MAX(VLOOKUP(($AJ10-$AI10-$AH10-$AG10-$AF10-$AE10*(1+GI$3))/$AJ10,'Технический лист'!$A:$B,2,1),(GH10-0.05)))</f>
        <v>1</v>
      </c>
      <c r="GJ10" s="15">
        <f>MIN(1,MAX(VLOOKUP(($AJ10-$AI10-$AH10-$AG10-$AF10-$AE10*(1+GJ$3))/$AJ10,'Технический лист'!$A:$B,2,1),(GI10-0.05)))</f>
        <v>1</v>
      </c>
      <c r="GK10" s="15">
        <f>MIN(1,MAX(VLOOKUP(($AJ10-$AI10-$AH10-$AG10-$AF10-$AE10*(1+GK$3))/$AJ10,'Технический лист'!$A:$B,2,1),(GJ10-0.05)))</f>
        <v>1</v>
      </c>
      <c r="GL10" s="15">
        <f>MIN(1,MAX(VLOOKUP(($AJ10-$AI10-$AH10-$AG10-$AF10-$AE10*(1+GL$3))/$AJ10,'Технический лист'!$A:$B,2,1),(GK10-0.05)))</f>
        <v>1</v>
      </c>
      <c r="GM10" s="15">
        <f>MIN(1,MAX(VLOOKUP(($AJ10-$AI10-$AH10-$AG10-$AF10-$AE10*(1+GM$3))/$AJ10,'Технический лист'!$A:$B,2,1),(GL10-0.05)))</f>
        <v>1</v>
      </c>
      <c r="GN10" s="15">
        <f>MIN(1,MAX(VLOOKUP(($AJ10-$AI10-$AH10-$AG10-$AF10-$AE10*(1+GN$3))/$AJ10,'Технический лист'!$A:$B,2,1),(GM10-0.05)))</f>
        <v>1</v>
      </c>
      <c r="GO10" s="15">
        <f>MIN(1,MAX(VLOOKUP(($AJ10-$AI10-$AH10-$AG10-$AF10-$AE10*(1+GO$3))/$AJ10,'Технический лист'!$A:$B,2,1),(GN10-0.05)))</f>
        <v>1</v>
      </c>
      <c r="GP10" s="15">
        <f>MIN(1,MAX(VLOOKUP(($AJ10-$AI10-$AH10-$AG10-$AF10-$AE10*(1+GP$3))/$AJ10,'Технический лист'!$A:$B,2,1),(GO10-0.05)))</f>
        <v>1</v>
      </c>
      <c r="GQ10" s="15">
        <f>MIN(1,MAX(VLOOKUP(($AJ10-$AI10-$AH10-$AG10-$AF10-$AE10*(1+GQ$3))/$AJ10,'Технический лист'!$A:$B,2,1),(GP10-0.05)))</f>
        <v>1</v>
      </c>
      <c r="GR10" s="15">
        <f>MIN(1,MAX(VLOOKUP(($AJ10-$AI10-$AH10-$AG10-$AF10-$AE10*(1+GR$3))/$AJ10,'Технический лист'!$A:$B,2,1),(GQ10-0.05)))</f>
        <v>1</v>
      </c>
      <c r="GS10" s="15">
        <f>MIN(1,MAX(VLOOKUP(($AJ10-$AI10-$AH10-$AG10-$AF10-$AE10*(1+GS$3))/$AJ10,'Технический лист'!$A:$B,2,1),(GR10-0.05)))</f>
        <v>1</v>
      </c>
      <c r="GT10" s="15">
        <f>MIN(1,MAX(VLOOKUP(($AJ10-$AI10-$AH10-$AG10-$AF10-$AE10*(1+GT$3))/$AJ10,'Технический лист'!$A:$B,2,1),(GS10-0.05)))</f>
        <v>1</v>
      </c>
      <c r="GU10" s="15">
        <f>MIN(1,MAX(VLOOKUP(($AJ10-$AI10-$AH10-$AG10-$AF10-$AE10*(1+GU$3))/$AJ10,'Технический лист'!$A:$B,2,1),(GT10-0.05)))</f>
        <v>1</v>
      </c>
      <c r="GV10" s="15">
        <f>MIN(1,MAX(VLOOKUP(($AJ10-$AI10-$AH10-$AG10-$AF10-$AE10*(1+GV$3))/$AJ10,'Технический лист'!$A:$B,2,1),(GU10-0.05)))</f>
        <v>1</v>
      </c>
      <c r="GW10" s="15">
        <f>MIN(1,MAX(VLOOKUP(($AJ10-$AI10-$AH10-$AG10-$AF10-$AE10*(1+GW$3))/$AJ10,'Технический лист'!$A:$B,2,1),(GV10-0.05)))</f>
        <v>1</v>
      </c>
      <c r="GX10" s="15">
        <f>MIN(1,MAX(VLOOKUP(($AJ10-$AI10-$AH10-$AG10-$AF10-$AE10*(1+GX$3))/$AJ10,'Технический лист'!$A:$B,2,1),(GW10-0.05)))</f>
        <v>1</v>
      </c>
      <c r="GY10" s="15">
        <f>MIN(1,MAX(VLOOKUP(($AJ10-$AI10-$AH10-$AG10-$AF10-$AE10*(1+GY$3))/$AJ10,'Технический лист'!$A:$B,2,1),(GX10-0.05)))</f>
        <v>1</v>
      </c>
      <c r="GZ10" s="15">
        <f>MIN(1,MAX(VLOOKUP(($AJ10-$AI10-$AH10-$AG10-$AF10-$AE10*(1+GZ$3))/$AJ10,'Технический лист'!$A:$B,2,1),(GY10-0.05)))</f>
        <v>1</v>
      </c>
      <c r="HA10" s="15">
        <f>MIN(1,MAX(VLOOKUP(($AJ10-$AI10-$AH10-$AG10-$AF10-$AE10*(1+HA$3))/$AJ10,'Технический лист'!$A:$B,2,1),(GZ10-0.05)))</f>
        <v>1</v>
      </c>
      <c r="HB10" s="15">
        <f>MIN(1,MAX(VLOOKUP(($AJ10-$AI10-$AH10-$AG10-$AF10-$AE10*(1+HB$3))/$AJ10,'Технический лист'!$A:$B,2,1),(HA10-0.05)))</f>
        <v>1</v>
      </c>
      <c r="HC10" s="15">
        <f>MIN(1,MAX(VLOOKUP(($AJ10-$AI10-$AH10-$AG10-$AF10-$AE10*(1+HC$3))/$AJ10,'Технический лист'!$A:$B,2,1),(HB10-0.05)))</f>
        <v>1</v>
      </c>
      <c r="HD10" s="15">
        <f>MIN(1,MAX(VLOOKUP(($AJ10-$AI10-$AH10-$AG10-$AF10-$AE10*(1+HD$3))/$AJ10,'Технический лист'!$A:$B,2,1),(HC10-0.05)))</f>
        <v>1</v>
      </c>
      <c r="HE10" s="15">
        <f>MIN(1,MAX(VLOOKUP(($AJ10-$AI10-$AH10-$AG10-$AF10-$AE10*(1+HE$3))/$AJ10,'Технический лист'!$A:$B,2,1),(HD10-0.05)))</f>
        <v>1</v>
      </c>
      <c r="HF10" s="15">
        <f>MIN(1,MAX(VLOOKUP(($AJ10-$AI10-$AH10-$AG10-$AF10-$AE10*(1+HF$3))/$AJ10,'Технический лист'!$A:$B,2,1),(HE10-0.05)))</f>
        <v>1</v>
      </c>
      <c r="HG10" s="15">
        <f>MIN(1,MAX(VLOOKUP(($AJ10-$AI10-$AH10-$AG10-$AF10-$AE10*(1+HG$3))/$AJ10,'Технический лист'!$A:$B,2,1),(HF10-0.05)))</f>
        <v>1</v>
      </c>
      <c r="HH10" s="15">
        <f>MIN(1,MAX(VLOOKUP(($AJ10-$AI10-$AH10-$AG10-$AF10-$AE10*(1+HH$3))/$AJ10,'Технический лист'!$A:$B,2,1),(HG10-0.05)))</f>
        <v>1</v>
      </c>
      <c r="HI10" s="15">
        <f>MIN(1,MAX(VLOOKUP(($AJ10-$AI10-$AH10-$AG10-$AF10-$AE10*(1+HI$3))/$AJ10,'Технический лист'!$A:$B,2,1),(HH10-0.05)))</f>
        <v>1</v>
      </c>
      <c r="HJ10" s="15">
        <f>MIN(1,MAX(VLOOKUP(($AJ10-$AI10-$AH10-$AG10-$AF10-$AE10*(1+HJ$3))/$AJ10,'Технический лист'!$A:$B,2,1),(HI10-0.05)))</f>
        <v>1</v>
      </c>
      <c r="HK10" s="15">
        <f>MIN(1,MAX(VLOOKUP(($AJ10-$AI10-$AH10-$AG10-$AF10-$AE10*(1+HK$3))/$AJ10,'Технический лист'!$A:$B,2,1),(HJ10-0.05)))</f>
        <v>1</v>
      </c>
      <c r="HL10" s="15">
        <f>MIN(1,MAX(VLOOKUP(($AJ10-$AI10-$AH10-$AG10-$AF10-$AE10*(1+HL$3))/$AJ10,'Технический лист'!$A:$B,2,1),(HK10-0.05)))</f>
        <v>1</v>
      </c>
      <c r="HM10" s="15">
        <f>MIN(1,MAX(VLOOKUP(($AJ10-$AI10-$AH10-$AG10-$AF10-$AE10*(1+HM$3))/$AJ10,'Технический лист'!$A:$B,2,1),(HL10-0.05)))</f>
        <v>1</v>
      </c>
      <c r="HN10" s="15">
        <f>MIN(1,MAX(VLOOKUP(($AJ10-$AI10-$AH10-$AG10-$AF10-$AE10*(1+HN$3))/$AJ10,'Технический лист'!$A:$B,2,1),(HM10-0.05)))</f>
        <v>1</v>
      </c>
      <c r="HO10" s="15">
        <f>MIN(1,MAX(VLOOKUP(($AJ10-$AI10-$AH10-$AG10-$AF10-$AE10*(1+HO$3))/$AJ10,'Технический лист'!$A:$B,2,1),(HN10-0.05)))</f>
        <v>1</v>
      </c>
      <c r="HP10" s="15">
        <f>MIN(1,MAX(VLOOKUP(($AJ10-$AI10-$AH10-$AG10-$AF10-$AE10*(1+HP$3))/$AJ10,'Технический лист'!$A:$B,2,1),(HO10-0.05)))</f>
        <v>1</v>
      </c>
      <c r="HQ10" s="15">
        <f>MIN(1,MAX(VLOOKUP(($AJ10-$AI10-$AH10-$AG10-$AF10-$AE10*(1+HQ$3))/$AJ10,'Технический лист'!$A:$B,2,1),(HP10-0.05)))</f>
        <v>1</v>
      </c>
      <c r="HR10" s="15">
        <f>MIN(1,MAX(VLOOKUP(($AJ10-$AI10-$AH10-$AG10-$AF10-$AE10*(1+HR$3))/$AJ10,'Технический лист'!$A:$B,2,1),(HQ10-0.05)))</f>
        <v>1</v>
      </c>
      <c r="HS10" s="15">
        <f>MIN(1,MAX(VLOOKUP(($AJ10-$AI10-$AH10-$AG10-$AF10-$AE10*(1+HS$3))/$AJ10,'Технический лист'!$A:$B,2,1),(HR10-0.05)))</f>
        <v>1</v>
      </c>
      <c r="HT10" s="15">
        <f>MIN(1,MAX(VLOOKUP(($AJ10-$AI10-$AH10-$AG10-$AF10-$AE10*(1+HT$3))/$AJ10,'Технический лист'!$A:$B,2,1),(HS10-0.05)))</f>
        <v>1</v>
      </c>
      <c r="HU10" s="15">
        <f>MIN(1,MAX(VLOOKUP(($AJ10-$AI10-$AH10-$AG10-$AF10-$AE10*(1+HU$3))/$AJ10,'Технический лист'!$A:$B,2,1),(HT10-0.05)))</f>
        <v>1</v>
      </c>
      <c r="HV10" s="15">
        <f>MIN(1,MAX(VLOOKUP(($AJ10-$AI10-$AH10-$AG10-$AF10-$AE10*(1+HV$3))/$AJ10,'Технический лист'!$A:$B,2,1),(HU10-0.05)))</f>
        <v>1</v>
      </c>
      <c r="HW10" s="15">
        <f>MIN(1,MAX(VLOOKUP(($AJ10-$AI10-$AH10-$AG10-$AF10-$AE10*(1+HW$3))/$AJ10,'Технический лист'!$A:$B,2,1),(HV10-0.05)))</f>
        <v>1</v>
      </c>
      <c r="HX10" s="15">
        <f>MIN(1,MAX(VLOOKUP(($AJ10-$AI10-$AH10-$AG10-$AF10-$AE10*(1+HX$3))/$AJ10,'Технический лист'!$A:$B,2,1),(HW10-0.05)))</f>
        <v>1</v>
      </c>
      <c r="HY10" s="15">
        <f>MIN(1,MAX(VLOOKUP(($AJ10-$AI10-$AH10-$AG10-$AF10-$AE10*(1+HY$3))/$AJ10,'Технический лист'!$A:$B,2,1),(HX10-0.05)))</f>
        <v>1</v>
      </c>
      <c r="HZ10" s="15">
        <f>MIN(1,MAX(VLOOKUP(($AJ10-$AI10-$AH10-$AG10-$AF10-$AE10*(1+HZ$3))/$AJ10,'Технический лист'!$A:$B,2,1),(HY10-0.05)))</f>
        <v>1</v>
      </c>
      <c r="IA10" s="15">
        <f>MIN(1,MAX(VLOOKUP(($AJ10-$AI10-$AH10-$AG10-$AF10-$AE10*(1+IA$3))/$AJ10,'Технический лист'!$A:$B,2,1),(HZ10-0.05)))</f>
        <v>1</v>
      </c>
      <c r="IB10" s="15">
        <f>MIN(1,MAX(VLOOKUP(($AJ10-$AI10-$AH10-$AG10-$AF10-$AE10*(1+IB$3))/$AJ10,'Технический лист'!$A:$B,2,1),(IA10-0.05)))</f>
        <v>1</v>
      </c>
      <c r="IC10" s="15">
        <f>MIN(1,MAX(VLOOKUP(($AJ10-$AI10-$AH10-$AG10-$AF10-$AE10*(1+IC$3))/$AJ10,'Технический лист'!$A:$B,2,1),(IB10-0.05)))</f>
        <v>1</v>
      </c>
      <c r="ID10" s="15">
        <f>MIN(1,MAX(VLOOKUP(($AJ10-$AI10-$AH10-$AG10-$AF10-$AE10*(1+ID$3))/$AJ10,'Технический лист'!$A:$B,2,1),(IC10-0.05)))</f>
        <v>1</v>
      </c>
      <c r="IE10" s="15">
        <f>MIN(1,MAX(VLOOKUP(($AJ10-$AI10-$AH10-$AG10-$AF10-$AE10*(1+IE$3))/$AJ10,'Технический лист'!$A:$B,2,1),(ID10-0.05)))</f>
        <v>1</v>
      </c>
      <c r="IF10" s="15">
        <f>MIN(1,MAX(VLOOKUP(($AJ10-$AI10-$AH10-$AG10-$AF10-$AE10*(1+IF$3))/$AJ10,'Технический лист'!$A:$B,2,1),(IE10-0.05)))</f>
        <v>1</v>
      </c>
      <c r="IG10" s="15">
        <f>MIN(1,MAX(VLOOKUP(($AJ10-$AI10-$AH10-$AG10-$AF10-$AE10*(1+IG$3))/$AJ10,'Технический лист'!$A:$B,2,1),(IF10-0.05)))</f>
        <v>1</v>
      </c>
      <c r="IH10" s="15">
        <f>MIN(1,MAX(VLOOKUP(($AJ10-$AI10-$AH10-$AG10-$AF10-$AE10*(1+IH$3))/$AJ10,'Технический лист'!$A:$B,2,1),(IG10-0.05)))</f>
        <v>1</v>
      </c>
      <c r="II10" s="15">
        <f>MIN(1,MAX(VLOOKUP(($AJ10-$AI10-$AH10-$AG10-$AF10-$AE10*(1+II$3))/$AJ10,'Технический лист'!$A:$B,2,1),(IH10-0.05)))</f>
        <v>1</v>
      </c>
      <c r="IJ10" s="15">
        <f>MIN(1,MAX(VLOOKUP(($AJ10-$AI10-$AH10-$AG10-$AF10-$AE10*(1+IJ$3))/$AJ10,'Технический лист'!$A:$B,2,1),(II10-0.05)))</f>
        <v>1</v>
      </c>
      <c r="IK10" s="15">
        <f>MIN(1,MAX(VLOOKUP(($AJ10-$AI10-$AH10-$AG10-$AF10-$AE10*(1+IK$3))/$AJ10,'Технический лист'!$A:$B,2,1),(IJ10-0.05)))</f>
        <v>1</v>
      </c>
      <c r="IL10" s="15">
        <f>MIN(1,MAX(VLOOKUP(($AJ10-$AI10-$AH10-$AG10-$AF10-$AE10*(1+IL$3))/$AJ10,'Технический лист'!$A:$B,2,1),(IK10-0.05)))</f>
        <v>1</v>
      </c>
      <c r="IM10" s="15">
        <f>MIN(1,MAX(VLOOKUP(($AJ10-$AI10-$AH10-$AG10-$AF10-$AE10*(1+IM$3))/$AJ10,'Технический лист'!$A:$B,2,1),(IL10-0.05)))</f>
        <v>1</v>
      </c>
      <c r="IN10" s="15">
        <f>MIN(1,MAX(VLOOKUP(($AJ10-$AI10-$AH10-$AG10-$AF10-$AE10*(1+IN$3))/$AJ10,'Технический лист'!$A:$B,2,1),(IM10-0.05)))</f>
        <v>1</v>
      </c>
      <c r="IO10" s="15">
        <f>MIN(1,MAX(VLOOKUP(($AJ10-$AI10-$AH10-$AG10-$AF10-$AE10*(1+IO$3))/$AJ10,'Технический лист'!$A:$B,2,1),(IN10-0.05)))</f>
        <v>1</v>
      </c>
      <c r="IP10" s="15">
        <f>MIN(1,MAX(VLOOKUP(($AJ10-$AI10-$AH10-$AG10-$AF10-$AE10*(1+IP$3))/$AJ10,'Технический лист'!$A:$B,2,1),(IO10-0.05)))</f>
        <v>1</v>
      </c>
      <c r="IQ10" s="15">
        <f>MIN(1,MAX(VLOOKUP(($AJ10-$AI10-$AH10-$AG10-$AF10-$AE10*(1+IQ$3))/$AJ10,'Технический лист'!$A:$B,2,1),(IP10-0.05)))</f>
        <v>1</v>
      </c>
      <c r="IR10" s="15">
        <f>MIN(1,MAX(VLOOKUP(($AJ10-$AI10-$AH10-$AG10-$AF10-$AE10*(1+IR$3))/$AJ10,'Технический лист'!$A:$B,2,1),(IQ10-0.05)))</f>
        <v>1</v>
      </c>
    </row>
    <row r="11" spans="1:257">
      <c r="A11" s="89" t="s">
        <v>514</v>
      </c>
      <c r="B11" s="90">
        <v>2</v>
      </c>
      <c r="C11" s="5" t="s">
        <v>65</v>
      </c>
      <c r="D11" s="91">
        <v>17107</v>
      </c>
      <c r="E11" s="91" t="s">
        <v>320</v>
      </c>
      <c r="F11" s="92" t="s">
        <v>69</v>
      </c>
      <c r="G11" s="91" t="s">
        <v>50</v>
      </c>
      <c r="H11" s="91" t="s">
        <v>31</v>
      </c>
      <c r="I11" s="91" t="s">
        <v>88</v>
      </c>
      <c r="J11" s="91" t="s">
        <v>56</v>
      </c>
      <c r="K11" s="91">
        <v>748</v>
      </c>
      <c r="L11" s="85" t="s">
        <v>64</v>
      </c>
      <c r="M11" s="91" t="s">
        <v>17</v>
      </c>
      <c r="N11" s="91" t="s">
        <v>191</v>
      </c>
      <c r="O11" s="91" t="s">
        <v>192</v>
      </c>
      <c r="P11" s="89" t="s">
        <v>198</v>
      </c>
      <c r="Q11" s="91" t="s">
        <v>307</v>
      </c>
      <c r="R11" s="91" t="s">
        <v>252</v>
      </c>
      <c r="S11" s="82">
        <v>2167</v>
      </c>
      <c r="T11" s="82">
        <v>1621459</v>
      </c>
      <c r="U11" s="81">
        <v>34</v>
      </c>
      <c r="V11" s="81">
        <v>0</v>
      </c>
      <c r="W11" s="82">
        <v>1668248</v>
      </c>
      <c r="X11" s="112">
        <v>64</v>
      </c>
      <c r="Y11" s="112" t="s">
        <v>417</v>
      </c>
      <c r="Z11" s="113">
        <v>5</v>
      </c>
      <c r="AA11" s="113">
        <v>3</v>
      </c>
      <c r="AB11" s="113">
        <v>4</v>
      </c>
      <c r="AC11" s="99">
        <v>833.44</v>
      </c>
      <c r="AD11" s="99">
        <f t="shared" si="1"/>
        <v>247.08999999999992</v>
      </c>
      <c r="AE11" s="99">
        <v>1080.53</v>
      </c>
      <c r="AF11" s="98">
        <f>(Z11+AA11+AB11)*'Ставки аренды'!$B$3/X11</f>
        <v>131.25</v>
      </c>
      <c r="AG11" s="114">
        <v>0</v>
      </c>
      <c r="AH11" s="94">
        <v>0</v>
      </c>
      <c r="AI11" s="115">
        <f>0.95*AVERAGE(AJ10,AJ11)</f>
        <v>15577.738287499998</v>
      </c>
      <c r="AJ11" s="117">
        <f>Цены!$C$8*'Курсы валют'!$B$2</f>
        <v>15795.238499999999</v>
      </c>
      <c r="AK11" s="94">
        <f>AJ11/Цены!$B$1</f>
        <v>207</v>
      </c>
      <c r="AL11" s="95">
        <f t="shared" si="5"/>
        <v>1211.78</v>
      </c>
      <c r="AM11" s="95">
        <f t="shared" si="6"/>
        <v>14583.458499999999</v>
      </c>
      <c r="AN11" s="94">
        <f t="shared" si="2"/>
        <v>16789.518287499999</v>
      </c>
      <c r="AO11" s="118">
        <f t="shared" si="3"/>
        <v>-6.2948070553034044E-2</v>
      </c>
      <c r="AP11" s="96">
        <f t="shared" si="7"/>
        <v>7.6718056520640704E-2</v>
      </c>
      <c r="AQ11" s="96">
        <f t="shared" si="8"/>
        <v>6.8408590348287557E-2</v>
      </c>
      <c r="AR11" s="96">
        <f t="shared" si="9"/>
        <v>0.89168826024525905</v>
      </c>
      <c r="AS11" s="122">
        <v>1</v>
      </c>
      <c r="AT11" s="121">
        <f t="shared" si="10"/>
        <v>2167</v>
      </c>
      <c r="AU11" s="83">
        <v>0.95</v>
      </c>
      <c r="AV11" s="119">
        <f t="shared" si="11"/>
        <v>-7.1157101394828545E-2</v>
      </c>
      <c r="AW11" s="120">
        <f t="shared" si="12"/>
        <v>8.4927087362435205E-2</v>
      </c>
      <c r="AX11" s="120">
        <f t="shared" si="13"/>
        <v>7.6617621190082072E-2</v>
      </c>
      <c r="AY11" s="120">
        <f t="shared" si="14"/>
        <v>0.90215764568857015</v>
      </c>
      <c r="AZ11" s="15">
        <f>MIN(IF($AU11=100%,1,1+VLOOKUP(($AJ11-$AI11-$AH11-$AG11-$AF11-$AE11*(1+AZ$3))/$AJ11,'Технический лист'!$A:$B,2,1)-VLOOKUP($AO11,'Технический лист'!$A:$B,2,1)),1+(1-$AU11))</f>
        <v>1.02</v>
      </c>
      <c r="BA11" s="15">
        <f>MIN(IF($AU11=100%,1,1+VLOOKUP(($AJ11-$AI11-$AH11-$AG11-$AF11-$AE11*(1+BA$3))/$AJ11,'Технический лист'!$A:$B,2,1)-VLOOKUP($AO11,'Технический лист'!$A:$B,2,1)),1+(1-$AU11))</f>
        <v>1.02</v>
      </c>
      <c r="BB11" s="15">
        <f>MIN(IF($AU11=100%,1,1+VLOOKUP(($AJ11-$AI11-$AH11-$AG11-$AF11-$AE11*(1+BB$3))/$AJ11,'Технический лист'!$A:$B,2,1)-VLOOKUP($AO11,'Технический лист'!$A:$B,2,1)),1+(1-$AU11))</f>
        <v>1.02</v>
      </c>
      <c r="BC11" s="15">
        <f>MIN(IF($AU11=100%,1,1+VLOOKUP(($AJ11-$AI11-$AH11-$AG11-$AF11-$AE11*(1+BC$3))/$AJ11,'Технический лист'!$A:$B,2,1)-VLOOKUP($AO11,'Технический лист'!$A:$B,2,1)),1+(1-$AU11))</f>
        <v>1.02</v>
      </c>
      <c r="BD11" s="15">
        <f>MIN(IF($AU11=100%,1,1+VLOOKUP(($AJ11-$AI11-$AH11-$AG11-$AF11-$AE11*(1+BD$3))/$AJ11,'Технический лист'!$A:$B,2,1)-VLOOKUP($AO11,'Технический лист'!$A:$B,2,1)),1+(1-$AU11))</f>
        <v>1.0150000000000001</v>
      </c>
      <c r="BE11" s="15">
        <f>MIN(IF($AU11=100%,1,1+VLOOKUP(($AJ11-$AI11-$AH11-$AG11-$AF11-$AE11*(1+BE$3))/$AJ11,'Технический лист'!$A:$B,2,1)-VLOOKUP($AO11,'Технический лист'!$A:$B,2,1)),1+(1-$AU11))</f>
        <v>1.0150000000000001</v>
      </c>
      <c r="BF11" s="15">
        <f>MIN(IF($AU11=100%,1,1+VLOOKUP(($AJ11-$AI11-$AH11-$AG11-$AF11-$AE11*(1+BF$3))/$AJ11,'Технический лист'!$A:$B,2,1)-VLOOKUP($AO11,'Технический лист'!$A:$B,2,1)),1+(1-$AU11))</f>
        <v>1.0150000000000001</v>
      </c>
      <c r="BG11" s="15">
        <f>MIN(IF($AU11=100%,1,1+VLOOKUP(($AJ11-$AI11-$AH11-$AG11-$AF11-$AE11*(1+BG$3))/$AJ11,'Технический лист'!$A:$B,2,1)-VLOOKUP($AO11,'Технический лист'!$A:$B,2,1)),1+(1-$AU11))</f>
        <v>1.0150000000000001</v>
      </c>
      <c r="BH11" s="15">
        <f>MIN(IF($AU11=100%,1,1+VLOOKUP(($AJ11-$AI11-$AH11-$AG11-$AF11-$AE11*(1+BH$3))/$AJ11,'Технический лист'!$A:$B,2,1)-VLOOKUP($AO11,'Технический лист'!$A:$B,2,1)),1+(1-$AU11))</f>
        <v>1.0150000000000001</v>
      </c>
      <c r="BI11" s="15">
        <f>MIN(IF($AU11=100%,1,1+VLOOKUP(($AJ11-$AI11-$AH11-$AG11-$AF11-$AE11*(1+BI$3))/$AJ11,'Технический лист'!$A:$B,2,1)-VLOOKUP($AO11,'Технический лист'!$A:$B,2,1)),1+(1-$AU11))</f>
        <v>1.0150000000000001</v>
      </c>
      <c r="BJ11" s="15">
        <f>MIN(IF($AU11=100%,1,1+VLOOKUP(($AJ11-$AI11-$AH11-$AG11-$AF11-$AE11*(1+BJ$3))/$AJ11,'Технический лист'!$A:$B,2,1)-VLOOKUP($AO11,'Технический лист'!$A:$B,2,1)),1+(1-$AU11))</f>
        <v>1.0150000000000001</v>
      </c>
      <c r="BK11" s="15">
        <f>MIN(IF($AU11=100%,1,1+VLOOKUP(($AJ11-$AI11-$AH11-$AG11-$AF11-$AE11*(1+BK$3))/$AJ11,'Технический лист'!$A:$B,2,1)-VLOOKUP($AO11,'Технический лист'!$A:$B,2,1)),1+(1-$AU11))</f>
        <v>1.0150000000000001</v>
      </c>
      <c r="BL11" s="15">
        <f>MIN(IF($AU11=100%,1,1+VLOOKUP(($AJ11-$AI11-$AH11-$AG11-$AF11-$AE11*(1+BL$3))/$AJ11,'Технический лист'!$A:$B,2,1)-VLOOKUP($AO11,'Технический лист'!$A:$B,2,1)),1+(1-$AU11))</f>
        <v>1.0150000000000001</v>
      </c>
      <c r="BM11" s="15">
        <f>MIN(IF($AU11=100%,1,1+VLOOKUP(($AJ11-$AI11-$AH11-$AG11-$AF11-$AE11*(1+BM$3))/$AJ11,'Технический лист'!$A:$B,2,1)-VLOOKUP($AO11,'Технический лист'!$A:$B,2,1)),1+(1-$AU11))</f>
        <v>1.0150000000000001</v>
      </c>
      <c r="BN11" s="15">
        <f>MIN(IF($AU11=100%,1,1+VLOOKUP(($AJ11-$AI11-$AH11-$AG11-$AF11-$AE11*(1+BN$3))/$AJ11,'Технический лист'!$A:$B,2,1)-VLOOKUP($AO11,'Технический лист'!$A:$B,2,1)),1+(1-$AU11))</f>
        <v>1.0150000000000001</v>
      </c>
      <c r="BO11" s="15">
        <f>MIN(IF($AU11=100%,1,1+VLOOKUP(($AJ11-$AI11-$AH11-$AG11-$AF11-$AE11*(1+BO$3))/$AJ11,'Технический лист'!$A:$B,2,1)-VLOOKUP($AO11,'Технический лист'!$A:$B,2,1)),1+(1-$AU11))</f>
        <v>1.0150000000000001</v>
      </c>
      <c r="BP11" s="15">
        <f>MIN(IF($AU11=100%,1,1+VLOOKUP(($AJ11-$AI11-$AH11-$AG11-$AF11-$AE11*(1+BP$3))/$AJ11,'Технический лист'!$A:$B,2,1)-VLOOKUP($AO11,'Технический лист'!$A:$B,2,1)),1+(1-$AU11))</f>
        <v>1.0150000000000001</v>
      </c>
      <c r="BQ11" s="15">
        <f>MIN(IF($AU11=100%,1,1+VLOOKUP(($AJ11-$AI11-$AH11-$AG11-$AF11-$AE11*(1+BQ$3))/$AJ11,'Технический лист'!$A:$B,2,1)-VLOOKUP($AO11,'Технический лист'!$A:$B,2,1)),1+(1-$AU11))</f>
        <v>1.0150000000000001</v>
      </c>
      <c r="BR11" s="15">
        <f>MIN(IF($AU11=100%,1,1+VLOOKUP(($AJ11-$AI11-$AH11-$AG11-$AF11-$AE11*(1+BR$3))/$AJ11,'Технический лист'!$A:$B,2,1)-VLOOKUP($AO11,'Технический лист'!$A:$B,2,1)),1+(1-$AU11))</f>
        <v>1.0150000000000001</v>
      </c>
      <c r="BS11" s="15">
        <f>MIN(IF($AU11=100%,1,1+VLOOKUP(($AJ11-$AI11-$AH11-$AG11-$AF11-$AE11*(1+BS$3))/$AJ11,'Технический лист'!$A:$B,2,1)-VLOOKUP($AO11,'Технический лист'!$A:$B,2,1)),1+(1-$AU11))</f>
        <v>1.0150000000000001</v>
      </c>
      <c r="BT11" s="15">
        <f>MIN(IF($AU11=100%,1,1+VLOOKUP(($AJ11-$AI11-$AH11-$AG11-$AF11-$AE11*(1+BT$3))/$AJ11,'Технический лист'!$A:$B,2,1)-VLOOKUP($AO11,'Технический лист'!$A:$B,2,1)),1+(1-$AU11))</f>
        <v>1.0150000000000001</v>
      </c>
      <c r="BU11" s="15">
        <f>MIN(IF($AU11=100%,1,1+VLOOKUP(($AJ11-$AI11-$AH11-$AG11-$AF11-$AE11*(1+BU$3))/$AJ11,'Технический лист'!$A:$B,2,1)-VLOOKUP($AO11,'Технический лист'!$A:$B,2,1)),1+(1-$AU11))</f>
        <v>1.0150000000000001</v>
      </c>
      <c r="BV11" s="15">
        <f>MIN(IF($AU11=100%,1,1+VLOOKUP(($AJ11-$AI11-$AH11-$AG11-$AF11-$AE11*(1+BV$3))/$AJ11,'Технический лист'!$A:$B,2,1)-VLOOKUP($AO11,'Технический лист'!$A:$B,2,1)),1+(1-$AU11))</f>
        <v>1.0150000000000001</v>
      </c>
      <c r="BW11" s="15">
        <f>MIN(IF($AU11=100%,1,1+VLOOKUP(($AJ11-$AI11-$AH11-$AG11-$AF11-$AE11*(1+BW$3))/$AJ11,'Технический лист'!$A:$B,2,1)-VLOOKUP($AO11,'Технический лист'!$A:$B,2,1)),1+(1-$AU11))</f>
        <v>1.0150000000000001</v>
      </c>
      <c r="BX11" s="15">
        <f>MIN(IF($AU11=100%,1,1+VLOOKUP(($AJ11-$AI11-$AH11-$AG11-$AF11-$AE11*(1+BX$3))/$AJ11,'Технический лист'!$A:$B,2,1)-VLOOKUP($AO11,'Технический лист'!$A:$B,2,1)),1+(1-$AU11))</f>
        <v>1.0150000000000001</v>
      </c>
      <c r="BY11" s="15">
        <f>MIN(IF($AU11=100%,1,1+VLOOKUP(($AJ11-$AI11-$AH11-$AG11-$AF11-$AE11*(1+BY$3))/$AJ11,'Технический лист'!$A:$B,2,1)-VLOOKUP($AO11,'Технический лист'!$A:$B,2,1)),1+(1-$AU11))</f>
        <v>1.0150000000000001</v>
      </c>
      <c r="BZ11" s="15">
        <f>MIN(IF($AU11=100%,1,1+VLOOKUP(($AJ11-$AI11-$AH11-$AG11-$AF11-$AE11*(1+BZ$3))/$AJ11,'Технический лист'!$A:$B,2,1)-VLOOKUP($AO11,'Технический лист'!$A:$B,2,1)),1+(1-$AU11))</f>
        <v>1.0150000000000001</v>
      </c>
      <c r="CA11" s="15">
        <f>MIN(IF($AU11=100%,1,1+VLOOKUP(($AJ11-$AI11-$AH11-$AG11-$AF11-$AE11*(1+CA$3))/$AJ11,'Технический лист'!$A:$B,2,1)-VLOOKUP($AO11,'Технический лист'!$A:$B,2,1)),1+(1-$AU11))</f>
        <v>1.0150000000000001</v>
      </c>
      <c r="CB11" s="15">
        <f>MIN(IF($AU11=100%,1,1+VLOOKUP(($AJ11-$AI11-$AH11-$AG11-$AF11-$AE11*(1+CB$3))/$AJ11,'Технический лист'!$A:$B,2,1)-VLOOKUP($AO11,'Технический лист'!$A:$B,2,1)),1+(1-$AU11))</f>
        <v>1.0150000000000001</v>
      </c>
      <c r="CC11" s="15">
        <f>MIN(IF($AU11=100%,1,1+VLOOKUP(($AJ11-$AI11-$AH11-$AG11-$AF11-$AE11*(1+CC$3))/$AJ11,'Технический лист'!$A:$B,2,1)-VLOOKUP($AO11,'Технический лист'!$A:$B,2,1)),1+(1-$AU11))</f>
        <v>1.0150000000000001</v>
      </c>
      <c r="CD11" s="15">
        <f>MIN(IF($AU11=100%,1,1+VLOOKUP(($AJ11-$AI11-$AH11-$AG11-$AF11-$AE11*(1+CD$3))/$AJ11,'Технический лист'!$A:$B,2,1)-VLOOKUP($AO11,'Технический лист'!$A:$B,2,1)),1+(1-$AU11))</f>
        <v>1.0150000000000001</v>
      </c>
      <c r="CE11" s="15">
        <f>MIN(IF($AU11=100%,1,1+VLOOKUP(($AJ11-$AI11-$AH11-$AG11-$AF11-$AE11*(1+CE$3))/$AJ11,'Технический лист'!$A:$B,2,1)-VLOOKUP($AO11,'Технический лист'!$A:$B,2,1)),1+(1-$AU11))</f>
        <v>1.0150000000000001</v>
      </c>
      <c r="CF11" s="15">
        <f>MIN(IF($AU11=100%,1,1+VLOOKUP(($AJ11-$AI11-$AH11-$AG11-$AF11-$AE11*(1+CF$3))/$AJ11,'Технический лист'!$A:$B,2,1)-VLOOKUP($AO11,'Технический лист'!$A:$B,2,1)),1+(1-$AU11))</f>
        <v>1.0150000000000001</v>
      </c>
      <c r="CG11" s="15">
        <f>MIN(IF($AU11=100%,1,1+VLOOKUP(($AJ11-$AI11-$AH11-$AG11-$AF11-$AE11*(1+CG$3))/$AJ11,'Технический лист'!$A:$B,2,1)-VLOOKUP($AO11,'Технический лист'!$A:$B,2,1)),1+(1-$AU11))</f>
        <v>1.0099999999999998</v>
      </c>
      <c r="CH11" s="15">
        <f>MIN(IF($AU11=100%,1,1+VLOOKUP(($AJ11-$AI11-$AH11-$AG11-$AF11-$AE11*(1+CH$3))/$AJ11,'Технический лист'!$A:$B,2,1)-VLOOKUP($AO11,'Технический лист'!$A:$B,2,1)),1+(1-$AU11))</f>
        <v>1.0099999999999998</v>
      </c>
      <c r="CI11" s="15">
        <f>MIN(IF($AU11=100%,1,1+VLOOKUP(($AJ11-$AI11-$AH11-$AG11-$AF11-$AE11*(1+CI$3))/$AJ11,'Технический лист'!$A:$B,2,1)-VLOOKUP($AO11,'Технический лист'!$A:$B,2,1)),1+(1-$AU11))</f>
        <v>1.0099999999999998</v>
      </c>
      <c r="CJ11" s="15">
        <f>MIN(IF($AU11=100%,1,1+VLOOKUP(($AJ11-$AI11-$AH11-$AG11-$AF11-$AE11*(1+CJ$3))/$AJ11,'Технический лист'!$A:$B,2,1)-VLOOKUP($AO11,'Технический лист'!$A:$B,2,1)),1+(1-$AU11))</f>
        <v>1.0099999999999998</v>
      </c>
      <c r="CK11" s="15">
        <f>MIN(IF($AU11=100%,1,1+VLOOKUP(($AJ11-$AI11-$AH11-$AG11-$AF11-$AE11*(1+CK$3))/$AJ11,'Технический лист'!$A:$B,2,1)-VLOOKUP($AO11,'Технический лист'!$A:$B,2,1)),1+(1-$AU11))</f>
        <v>1.0099999999999998</v>
      </c>
      <c r="CL11" s="15">
        <f>MIN(IF($AU11=100%,1,1+VLOOKUP(($AJ11-$AI11-$AH11-$AG11-$AF11-$AE11*(1+CL$3))/$AJ11,'Технический лист'!$A:$B,2,1)-VLOOKUP($AO11,'Технический лист'!$A:$B,2,1)),1+(1-$AU11))</f>
        <v>1.0099999999999998</v>
      </c>
      <c r="CM11" s="15">
        <f>MIN(IF($AU11=100%,1,1+VLOOKUP(($AJ11-$AI11-$AH11-$AG11-$AF11-$AE11*(1+CM$3))/$AJ11,'Технический лист'!$A:$B,2,1)-VLOOKUP($AO11,'Технический лист'!$A:$B,2,1)),1+(1-$AU11))</f>
        <v>1.0099999999999998</v>
      </c>
      <c r="CN11" s="15">
        <f>MIN(IF($AU11=100%,1,1+VLOOKUP(($AJ11-$AI11-$AH11-$AG11-$AF11-$AE11*(1+CN$3))/$AJ11,'Технический лист'!$A:$B,2,1)-VLOOKUP($AO11,'Технический лист'!$A:$B,2,1)),1+(1-$AU11))</f>
        <v>1.0099999999999998</v>
      </c>
      <c r="CO11" s="15">
        <f>MIN(IF($AU11=100%,1,1+VLOOKUP(($AJ11-$AI11-$AH11-$AG11-$AF11-$AE11*(1+CO$3))/$AJ11,'Технический лист'!$A:$B,2,1)-VLOOKUP($AO11,'Технический лист'!$A:$B,2,1)),1+(1-$AU11))</f>
        <v>1.0099999999999998</v>
      </c>
      <c r="CP11" s="15">
        <f>MIN(IF($AU11=100%,1,1+VLOOKUP(($AJ11-$AI11-$AH11-$AG11-$AF11-$AE11*(1+CP$3))/$AJ11,'Технический лист'!$A:$B,2,1)-VLOOKUP($AO11,'Технический лист'!$A:$B,2,1)),1+(1-$AU11))</f>
        <v>1.0099999999999998</v>
      </c>
      <c r="CQ11" s="15">
        <f>MIN(IF($AU11=100%,1,1+VLOOKUP(($AJ11-$AI11-$AH11-$AG11-$AF11-$AE11*(1+CQ$3))/$AJ11,'Технический лист'!$A:$B,2,1)-VLOOKUP($AO11,'Технический лист'!$A:$B,2,1)),1+(1-$AU11))</f>
        <v>1.0099999999999998</v>
      </c>
      <c r="CR11" s="15">
        <f>MIN(IF($AU11=100%,1,1+VLOOKUP(($AJ11-$AI11-$AH11-$AG11-$AF11-$AE11*(1+CR$3))/$AJ11,'Технический лист'!$A:$B,2,1)-VLOOKUP($AO11,'Технический лист'!$A:$B,2,1)),1+(1-$AU11))</f>
        <v>1.0099999999999998</v>
      </c>
      <c r="CS11" s="15">
        <f>MIN(IF($AU11=100%,1,1+VLOOKUP(($AJ11-$AI11-$AH11-$AG11-$AF11-$AE11*(1+CS$3))/$AJ11,'Технический лист'!$A:$B,2,1)-VLOOKUP($AO11,'Технический лист'!$A:$B,2,1)),1+(1-$AU11))</f>
        <v>1.0099999999999998</v>
      </c>
      <c r="CT11" s="15">
        <f>MIN(IF($AU11=100%,1,1+VLOOKUP(($AJ11-$AI11-$AH11-$AG11-$AF11-$AE11*(1+CT$3))/$AJ11,'Технический лист'!$A:$B,2,1)-VLOOKUP($AO11,'Технический лист'!$A:$B,2,1)),1+(1-$AU11))</f>
        <v>1.0099999999999998</v>
      </c>
      <c r="CU11" s="15">
        <f>MIN(IF($AU11=100%,1,1+VLOOKUP(($AJ11-$AI11-$AH11-$AG11-$AF11-$AE11*(1+CU$3))/$AJ11,'Технический лист'!$A:$B,2,1)-VLOOKUP($AO11,'Технический лист'!$A:$B,2,1)),1+(1-$AU11))</f>
        <v>1.0099999999999998</v>
      </c>
      <c r="CV11" s="15">
        <f>MIN(IF($AU11=100%,1,1+VLOOKUP(($AJ11-$AI11-$AH11-$AG11-$AF11-$AE11*(1+CV$3))/$AJ11,'Технический лист'!$A:$B,2,1)-VLOOKUP($AO11,'Технический лист'!$A:$B,2,1)),1+(1-$AU11))</f>
        <v>1.0099999999999998</v>
      </c>
      <c r="CW11" s="15">
        <f>MIN(IF($AU11=100%,1,1+VLOOKUP(($AJ11-$AI11-$AH11-$AG11-$AF11-$AE11*(1+CW$3))/$AJ11,'Технический лист'!$A:$B,2,1)-VLOOKUP($AO11,'Технический лист'!$A:$B,2,1)),1+(1-$AU11))</f>
        <v>1.0099999999999998</v>
      </c>
      <c r="CX11" s="15">
        <f>MIN(IF($AU11=100%,1,1+VLOOKUP(($AJ11-$AI11-$AH11-$AG11-$AF11-$AE11*(1+CX$3))/$AJ11,'Технический лист'!$A:$B,2,1)-VLOOKUP($AO11,'Технический лист'!$A:$B,2,1)),1+(1-$AU11))</f>
        <v>1.0099999999999998</v>
      </c>
      <c r="CY11" s="15">
        <f>MIN(IF($AU11=100%,1,1+VLOOKUP(($AJ11-$AI11-$AH11-$AG11-$AF11-$AE11*(1+CY$3))/$AJ11,'Технический лист'!$A:$B,2,1)-VLOOKUP($AO11,'Технический лист'!$A:$B,2,1)),1+(1-$AU11))</f>
        <v>1.0099999999999998</v>
      </c>
      <c r="CZ11" s="15">
        <f>MIN(IF($AU11=100%,1,1+VLOOKUP(($AJ11-$AI11-$AH11-$AG11-$AF11-$AE11*(1+CZ$3))/$AJ11,'Технический лист'!$A:$B,2,1)-VLOOKUP($AO11,'Технический лист'!$A:$B,2,1)),1+(1-$AU11))</f>
        <v>1.0099999999999998</v>
      </c>
      <c r="DA11" s="15">
        <f>MIN(IF($AU11=100%,1,1+VLOOKUP(($AJ11-$AI11-$AH11-$AG11-$AF11-$AE11*(1+DA$3))/$AJ11,'Технический лист'!$A:$B,2,1)-VLOOKUP($AO11,'Технический лист'!$A:$B,2,1)),1+(1-$AU11))</f>
        <v>1.0099999999999998</v>
      </c>
      <c r="DB11" s="15">
        <f>MIN(IF($AU11=100%,1,1+VLOOKUP(($AJ11-$AI11-$AH11-$AG11-$AF11-$AE11*(1+DB$3))/$AJ11,'Технический лист'!$A:$B,2,1)-VLOOKUP($AO11,'Технический лист'!$A:$B,2,1)),1+(1-$AU11))</f>
        <v>1.0099999999999998</v>
      </c>
      <c r="DC11" s="15">
        <f>MIN(IF($AU11=100%,1,1+VLOOKUP(($AJ11-$AI11-$AH11-$AG11-$AF11-$AE11*(1+DC$3))/$AJ11,'Технический лист'!$A:$B,2,1)-VLOOKUP($AO11,'Технический лист'!$A:$B,2,1)),1+(1-$AU11))</f>
        <v>1.0099999999999998</v>
      </c>
      <c r="DD11" s="15">
        <f>MIN(IF($AU11=100%,1,1+VLOOKUP(($AJ11-$AI11-$AH11-$AG11-$AF11-$AE11*(1+DD$3))/$AJ11,'Технический лист'!$A:$B,2,1)-VLOOKUP($AO11,'Технический лист'!$A:$B,2,1)),1+(1-$AU11))</f>
        <v>1.0099999999999998</v>
      </c>
      <c r="DE11" s="15">
        <f>MIN(IF($AU11=100%,1,1+VLOOKUP(($AJ11-$AI11-$AH11-$AG11-$AF11-$AE11*(1+DE$3))/$AJ11,'Технический лист'!$A:$B,2,1)-VLOOKUP($AO11,'Технический лист'!$A:$B,2,1)),1+(1-$AU11))</f>
        <v>1.0099999999999998</v>
      </c>
      <c r="DF11" s="15">
        <f>MIN(IF($AU11=100%,1,1+VLOOKUP(($AJ11-$AI11-$AH11-$AG11-$AF11-$AE11*(1+DF$3))/$AJ11,'Технический лист'!$A:$B,2,1)-VLOOKUP($AO11,'Технический лист'!$A:$B,2,1)),1+(1-$AU11))</f>
        <v>1.0099999999999998</v>
      </c>
      <c r="DG11" s="15">
        <f>MIN(IF($AU11=100%,1,1+VLOOKUP(($AJ11-$AI11-$AH11-$AG11-$AF11-$AE11*(1+DG$3))/$AJ11,'Технический лист'!$A:$B,2,1)-VLOOKUP($AO11,'Технический лист'!$A:$B,2,1)),1+(1-$AU11))</f>
        <v>1.0099999999999998</v>
      </c>
      <c r="DH11" s="15">
        <f>MIN(IF($AU11=100%,1,1+VLOOKUP(($AJ11-$AI11-$AH11-$AG11-$AF11-$AE11*(1+DH$3))/$AJ11,'Технический лист'!$A:$B,2,1)-VLOOKUP($AO11,'Технический лист'!$A:$B,2,1)),1+(1-$AU11))</f>
        <v>1.0099999999999998</v>
      </c>
      <c r="DI11" s="15">
        <f>MIN(IF($AU11=100%,1,1+VLOOKUP(($AJ11-$AI11-$AH11-$AG11-$AF11-$AE11*(1+DI$3))/$AJ11,'Технический лист'!$A:$B,2,1)-VLOOKUP($AO11,'Технический лист'!$A:$B,2,1)),1+(1-$AU11))</f>
        <v>1.0099999999999998</v>
      </c>
      <c r="DJ11" s="15">
        <f>MIN(IF($AU11=100%,1,1+VLOOKUP(($AJ11-$AI11-$AH11-$AG11-$AF11-$AE11*(1+DJ$3))/$AJ11,'Технический лист'!$A:$B,2,1)-VLOOKUP($AO11,'Технический лист'!$A:$B,2,1)),1+(1-$AU11))</f>
        <v>1.0099999999999998</v>
      </c>
      <c r="DK11" s="15">
        <f>MIN(IF($AU11=100%,1,1+VLOOKUP(($AJ11-$AI11-$AH11-$AG11-$AF11-$AE11*(1+DK$3))/$AJ11,'Технический лист'!$A:$B,2,1)-VLOOKUP($AO11,'Технический лист'!$A:$B,2,1)),1+(1-$AU11))</f>
        <v>1.0049999999999999</v>
      </c>
      <c r="DL11" s="15">
        <f>MIN(IF($AU11=100%,1,1+VLOOKUP(($AJ11-$AI11-$AH11-$AG11-$AF11-$AE11*(1+DL$3))/$AJ11,'Технический лист'!$A:$B,2,1)-VLOOKUP($AO11,'Технический лист'!$A:$B,2,1)),1+(1-$AU11))</f>
        <v>1.0049999999999999</v>
      </c>
      <c r="DM11" s="15">
        <f>MIN(IF($AU11=100%,1,1+VLOOKUP(($AJ11-$AI11-$AH11-$AG11-$AF11-$AE11*(1+DM$3))/$AJ11,'Технический лист'!$A:$B,2,1)-VLOOKUP($AO11,'Технический лист'!$A:$B,2,1)),1+(1-$AU11))</f>
        <v>1.0049999999999999</v>
      </c>
      <c r="DN11" s="15">
        <f>MIN(IF($AU11=100%,1,1+VLOOKUP(($AJ11-$AI11-$AH11-$AG11-$AF11-$AE11*(1+DN$3))/$AJ11,'Технический лист'!$A:$B,2,1)-VLOOKUP($AO11,'Технический лист'!$A:$B,2,1)),1+(1-$AU11))</f>
        <v>1.0049999999999999</v>
      </c>
      <c r="DO11" s="15">
        <f>MIN(IF($AU11=100%,1,1+VLOOKUP(($AJ11-$AI11-$AH11-$AG11-$AF11-$AE11*(1+DO$3))/$AJ11,'Технический лист'!$A:$B,2,1)-VLOOKUP($AO11,'Технический лист'!$A:$B,2,1)),1+(1-$AU11))</f>
        <v>1.0049999999999999</v>
      </c>
      <c r="DP11" s="15">
        <f>MIN(IF($AU11=100%,1,1+VLOOKUP(($AJ11-$AI11-$AH11-$AG11-$AF11-$AE11*(1+DP$3))/$AJ11,'Технический лист'!$A:$B,2,1)-VLOOKUP($AO11,'Технический лист'!$A:$B,2,1)),1+(1-$AU11))</f>
        <v>1.0049999999999999</v>
      </c>
      <c r="DQ11" s="15">
        <f>MIN(IF($AU11=100%,1,1+VLOOKUP(($AJ11-$AI11-$AH11-$AG11-$AF11-$AE11*(1+DQ$3))/$AJ11,'Технический лист'!$A:$B,2,1)-VLOOKUP($AO11,'Технический лист'!$A:$B,2,1)),1+(1-$AU11))</f>
        <v>1.0049999999999999</v>
      </c>
      <c r="DR11" s="15">
        <f>MIN(IF($AU11=100%,1,1+VLOOKUP(($AJ11-$AI11-$AH11-$AG11-$AF11-$AE11*(1+DR$3))/$AJ11,'Технический лист'!$A:$B,2,1)-VLOOKUP($AO11,'Технический лист'!$A:$B,2,1)),1+(1-$AU11))</f>
        <v>1.0049999999999999</v>
      </c>
      <c r="DS11" s="15">
        <f>MIN(IF($AU11=100%,1,1+VLOOKUP(($AJ11-$AI11-$AH11-$AG11-$AF11-$AE11*(1+DS$3))/$AJ11,'Технический лист'!$A:$B,2,1)-VLOOKUP($AO11,'Технический лист'!$A:$B,2,1)),1+(1-$AU11))</f>
        <v>1.0049999999999999</v>
      </c>
      <c r="DT11" s="15">
        <f>MIN(IF($AU11=100%,1,1+VLOOKUP(($AJ11-$AI11-$AH11-$AG11-$AF11-$AE11*(1+DT$3))/$AJ11,'Технический лист'!$A:$B,2,1)-VLOOKUP($AO11,'Технический лист'!$A:$B,2,1)),1+(1-$AU11))</f>
        <v>1.0049999999999999</v>
      </c>
      <c r="DU11" s="15">
        <f>MIN(IF($AU11=100%,1,1+VLOOKUP(($AJ11-$AI11-$AH11-$AG11-$AF11-$AE11*(1+DU$3))/$AJ11,'Технический лист'!$A:$B,2,1)-VLOOKUP($AO11,'Технический лист'!$A:$B,2,1)),1+(1-$AU11))</f>
        <v>1.0049999999999999</v>
      </c>
      <c r="DV11" s="15">
        <f>MIN(IF($AU11=100%,1,1+VLOOKUP(($AJ11-$AI11-$AH11-$AG11-$AF11-$AE11*(1+DV$3))/$AJ11,'Технический лист'!$A:$B,2,1)-VLOOKUP($AO11,'Технический лист'!$A:$B,2,1)),1+(1-$AU11))</f>
        <v>1.0049999999999999</v>
      </c>
      <c r="DW11" s="15">
        <f>MIN(IF($AU11=100%,1,1+VLOOKUP(($AJ11-$AI11-$AH11-$AG11-$AF11-$AE11*(1+DW$3))/$AJ11,'Технический лист'!$A:$B,2,1)-VLOOKUP($AO11,'Технический лист'!$A:$B,2,1)),1+(1-$AU11))</f>
        <v>1.0049999999999999</v>
      </c>
      <c r="DX11" s="15">
        <f>MIN(IF($AU11=100%,1,1+VLOOKUP(($AJ11-$AI11-$AH11-$AG11-$AF11-$AE11*(1+DX$3))/$AJ11,'Технический лист'!$A:$B,2,1)-VLOOKUP($AO11,'Технический лист'!$A:$B,2,1)),1+(1-$AU11))</f>
        <v>1.0049999999999999</v>
      </c>
      <c r="DY11" s="15">
        <f>MIN(IF($AU11=100%,1,1+VLOOKUP(($AJ11-$AI11-$AH11-$AG11-$AF11-$AE11*(1+DY$3))/$AJ11,'Технический лист'!$A:$B,2,1)-VLOOKUP($AO11,'Технический лист'!$A:$B,2,1)),1+(1-$AU11))</f>
        <v>1.0049999999999999</v>
      </c>
      <c r="DZ11" s="15">
        <f>MIN(IF($AU11=100%,1,1+VLOOKUP(($AJ11-$AI11-$AH11-$AG11-$AF11-$AE11*(1+DZ$3))/$AJ11,'Технический лист'!$A:$B,2,1)-VLOOKUP($AO11,'Технический лист'!$A:$B,2,1)),1+(1-$AU11))</f>
        <v>1.0049999999999999</v>
      </c>
      <c r="EA11" s="15">
        <f>MIN(IF($AU11=100%,1,1+VLOOKUP(($AJ11-$AI11-$AH11-$AG11-$AF11-$AE11*(1+EA$3))/$AJ11,'Технический лист'!$A:$B,2,1)-VLOOKUP($AO11,'Технический лист'!$A:$B,2,1)),1+(1-$AU11))</f>
        <v>1.0049999999999999</v>
      </c>
      <c r="EB11" s="15">
        <f>MIN(IF($AU11=100%,1,1+VLOOKUP(($AJ11-$AI11-$AH11-$AG11-$AF11-$AE11*(1+EB$3))/$AJ11,'Технический лист'!$A:$B,2,1)-VLOOKUP($AO11,'Технический лист'!$A:$B,2,1)),1+(1-$AU11))</f>
        <v>1.0049999999999999</v>
      </c>
      <c r="EC11" s="15">
        <f>MIN(IF($AU11=100%,1,1+VLOOKUP(($AJ11-$AI11-$AH11-$AG11-$AF11-$AE11*(1+EC$3))/$AJ11,'Технический лист'!$A:$B,2,1)-VLOOKUP($AO11,'Технический лист'!$A:$B,2,1)),1+(1-$AU11))</f>
        <v>1.0049999999999999</v>
      </c>
      <c r="ED11" s="15">
        <f>MIN(IF($AU11=100%,1,1+VLOOKUP(($AJ11-$AI11-$AH11-$AG11-$AF11-$AE11*(1+ED$3))/$AJ11,'Технический лист'!$A:$B,2,1)-VLOOKUP($AO11,'Технический лист'!$A:$B,2,1)),1+(1-$AU11))</f>
        <v>1.0049999999999999</v>
      </c>
      <c r="EE11" s="15">
        <f>MIN(IF($AU11=100%,1,1+VLOOKUP(($AJ11-$AI11-$AH11-$AG11-$AF11-$AE11*(1+EE$3))/$AJ11,'Технический лист'!$A:$B,2,1)-VLOOKUP($AO11,'Технический лист'!$A:$B,2,1)),1+(1-$AU11))</f>
        <v>1.0049999999999999</v>
      </c>
      <c r="EF11" s="15">
        <f>MIN(IF($AU11=100%,1,1+VLOOKUP(($AJ11-$AI11-$AH11-$AG11-$AF11-$AE11*(1+EF$3))/$AJ11,'Технический лист'!$A:$B,2,1)-VLOOKUP($AO11,'Технический лист'!$A:$B,2,1)),1+(1-$AU11))</f>
        <v>1.0049999999999999</v>
      </c>
      <c r="EG11" s="15">
        <f>MIN(IF($AU11=100%,1,1+VLOOKUP(($AJ11-$AI11-$AH11-$AG11-$AF11-$AE11*(1+EG$3))/$AJ11,'Технический лист'!$A:$B,2,1)-VLOOKUP($AO11,'Технический лист'!$A:$B,2,1)),1+(1-$AU11))</f>
        <v>1.0049999999999999</v>
      </c>
      <c r="EH11" s="15">
        <f>MIN(IF($AU11=100%,1,1+VLOOKUP(($AJ11-$AI11-$AH11-$AG11-$AF11-$AE11*(1+EH$3))/$AJ11,'Технический лист'!$A:$B,2,1)-VLOOKUP($AO11,'Технический лист'!$A:$B,2,1)),1+(1-$AU11))</f>
        <v>1.0049999999999999</v>
      </c>
      <c r="EI11" s="15">
        <f>MIN(IF($AU11=100%,1,1+VLOOKUP(($AJ11-$AI11-$AH11-$AG11-$AF11-$AE11*(1+EI$3))/$AJ11,'Технический лист'!$A:$B,2,1)-VLOOKUP($AO11,'Технический лист'!$A:$B,2,1)),1+(1-$AU11))</f>
        <v>1.0049999999999999</v>
      </c>
      <c r="EJ11" s="15">
        <f>MIN(IF($AU11=100%,1,1+VLOOKUP(($AJ11-$AI11-$AH11-$AG11-$AF11-$AE11*(1+EJ$3))/$AJ11,'Технический лист'!$A:$B,2,1)-VLOOKUP($AO11,'Технический лист'!$A:$B,2,1)),1+(1-$AU11))</f>
        <v>1.0049999999999999</v>
      </c>
      <c r="EK11" s="15">
        <f>MIN(IF($AU11=100%,1,1+VLOOKUP(($AJ11-$AI11-$AH11-$AG11-$AF11-$AE11*(1+EK$3))/$AJ11,'Технический лист'!$A:$B,2,1)-VLOOKUP($AO11,'Технический лист'!$A:$B,2,1)),1+(1-$AU11))</f>
        <v>1.0049999999999999</v>
      </c>
      <c r="EL11" s="15">
        <f>MIN(IF($AU11=100%,1,1+VLOOKUP(($AJ11-$AI11-$AH11-$AG11-$AF11-$AE11*(1+EL$3))/$AJ11,'Технический лист'!$A:$B,2,1)-VLOOKUP($AO11,'Технический лист'!$A:$B,2,1)),1+(1-$AU11))</f>
        <v>1.0049999999999999</v>
      </c>
      <c r="EM11" s="15">
        <f>MIN(IF($AU11=100%,1,1+VLOOKUP(($AJ11-$AI11-$AH11-$AG11-$AF11-$AE11*(1+EM$3))/$AJ11,'Технический лист'!$A:$B,2,1)-VLOOKUP($AO11,'Технический лист'!$A:$B,2,1)),1+(1-$AU11))</f>
        <v>1.0049999999999999</v>
      </c>
      <c r="EN11" s="15">
        <f>MIN(IF($AU11=100%,1,1+VLOOKUP(($AJ11-$AI11-$AH11-$AG11-$AF11-$AE11*(1+EN$3))/$AJ11,'Технический лист'!$A:$B,2,1)-VLOOKUP($AO11,'Технический лист'!$A:$B,2,1)),1+(1-$AU11))</f>
        <v>1</v>
      </c>
      <c r="EO11" s="15">
        <f>MIN(IF($AU11=100%,1,1+VLOOKUP(($AJ11-$AI11-$AH11-$AG11-$AF11-$AE11*(1+EO$3))/$AJ11,'Технический лист'!$A:$B,2,1)-VLOOKUP($AO11,'Технический лист'!$A:$B,2,1)),1+(1-$AU11))</f>
        <v>1</v>
      </c>
      <c r="EP11" s="15">
        <f>MIN(IF($AU11=100%,1,1+VLOOKUP(($AJ11-$AI11-$AH11-$AG11-$AF11-$AE11*(1+EP$3))/$AJ11,'Технический лист'!$A:$B,2,1)-VLOOKUP($AO11,'Технический лист'!$A:$B,2,1)),1+(1-$AU11))</f>
        <v>1</v>
      </c>
      <c r="EQ11" s="15">
        <f>MIN(IF($AU11=100%,1,1+VLOOKUP(($AJ11-$AI11-$AH11-$AG11-$AF11-$AE11*(1+EQ$3))/$AJ11,'Технический лист'!$A:$B,2,1)-VLOOKUP($AO11,'Технический лист'!$A:$B,2,1)),1+(1-$AU11))</f>
        <v>1</v>
      </c>
      <c r="ER11" s="15">
        <f>MIN(IF($AU11=100%,1,1+VLOOKUP(($AJ11-$AI11-$AH11-$AG11-$AF11-$AE11*(1+ER$3))/$AJ11,'Технический лист'!$A:$B,2,1)-VLOOKUP($AO11,'Технический лист'!$A:$B,2,1)),1+(1-$AU11))</f>
        <v>1</v>
      </c>
      <c r="ES11" s="15">
        <f>MIN(IF($AU11=100%,1,1+VLOOKUP(($AJ11-$AI11-$AH11-$AG11-$AF11-$AE11*(1+ES$3))/$AJ11,'Технический лист'!$A:$B,2,1)-VLOOKUP($AO11,'Технический лист'!$A:$B,2,1)),1+(1-$AU11))</f>
        <v>1</v>
      </c>
      <c r="ET11" s="15">
        <f>MIN(IF($AU11=100%,1,1+VLOOKUP(($AJ11-$AI11-$AH11-$AG11-$AF11-$AE11*(1+ET$3))/$AJ11,'Технический лист'!$A:$B,2,1)-VLOOKUP($AO11,'Технический лист'!$A:$B,2,1)),1+(1-$AU11))</f>
        <v>1</v>
      </c>
      <c r="EU11" s="15">
        <f>MIN(IF($AU11=100%,1,1+VLOOKUP(($AJ11-$AI11-$AH11-$AG11-$AF11-$AE11*(1+EU$3))/$AJ11,'Технический лист'!$A:$B,2,1)-VLOOKUP($AO11,'Технический лист'!$A:$B,2,1)),1+(1-$AU11))</f>
        <v>1</v>
      </c>
      <c r="EV11" s="111">
        <v>1</v>
      </c>
      <c r="EW11" s="15">
        <f>MIN(1,MAX(VLOOKUP(($AJ11-$AI11-$AH11-$AG11-$AF11-$AE11*(1+EW$3))/$AJ11,'Технический лист'!$A:$B,2,1),(EV11-0.05)))</f>
        <v>0.97499999999999998</v>
      </c>
      <c r="EX11" s="15">
        <f>MIN(1,MAX(VLOOKUP(($AJ11-$AI11-$AH11-$AG11-$AF11-$AE11*(1+EX$3))/$AJ11,'Технический лист'!$A:$B,2,1),(EW11-0.05)))</f>
        <v>0.97499999999999998</v>
      </c>
      <c r="EY11" s="15">
        <f>MIN(1,MAX(VLOOKUP(($AJ11-$AI11-$AH11-$AG11-$AF11-$AE11*(1+EY$3))/$AJ11,'Технический лист'!$A:$B,2,1),(EX11-0.05)))</f>
        <v>0.97499999999999998</v>
      </c>
      <c r="EZ11" s="15">
        <f>MIN(1,MAX(VLOOKUP(($AJ11-$AI11-$AH11-$AG11-$AF11-$AE11*(1+EZ$3))/$AJ11,'Технический лист'!$A:$B,2,1),(EY11-0.05)))</f>
        <v>0.97499999999999998</v>
      </c>
      <c r="FA11" s="15">
        <f>MIN(1,MAX(VLOOKUP(($AJ11-$AI11-$AH11-$AG11-$AF11-$AE11*(1+FA$3))/$AJ11,'Технический лист'!$A:$B,2,1),(EZ11-0.05)))</f>
        <v>0.97499999999999998</v>
      </c>
      <c r="FB11" s="15">
        <f>MIN(1,MAX(VLOOKUP(($AJ11-$AI11-$AH11-$AG11-$AF11-$AE11*(1+FB$3))/$AJ11,'Технический лист'!$A:$B,2,1),(FA11-0.05)))</f>
        <v>0.97499999999999998</v>
      </c>
      <c r="FC11" s="15">
        <f>MIN(1,MAX(VLOOKUP(($AJ11-$AI11-$AH11-$AG11-$AF11-$AE11*(1+FC$3))/$AJ11,'Технический лист'!$A:$B,2,1),(FB11-0.05)))</f>
        <v>0.97499999999999998</v>
      </c>
      <c r="FD11" s="15">
        <f>MIN(1,MAX(VLOOKUP(($AJ11-$AI11-$AH11-$AG11-$AF11-$AE11*(1+FD$3))/$AJ11,'Технический лист'!$A:$B,2,1),(FC11-0.05)))</f>
        <v>0.97499999999999998</v>
      </c>
      <c r="FE11" s="15">
        <f>MIN(1,MAX(VLOOKUP(($AJ11-$AI11-$AH11-$AG11-$AF11-$AE11*(1+FE$3))/$AJ11,'Технический лист'!$A:$B,2,1),(FD11-0.05)))</f>
        <v>0.97499999999999998</v>
      </c>
      <c r="FF11" s="15">
        <f>MIN(1,MAX(VLOOKUP(($AJ11-$AI11-$AH11-$AG11-$AF11-$AE11*(1+FF$3))/$AJ11,'Технический лист'!$A:$B,2,1),(FE11-0.05)))</f>
        <v>0.97499999999999998</v>
      </c>
      <c r="FG11" s="15">
        <f>MIN(1,MAX(VLOOKUP(($AJ11-$AI11-$AH11-$AG11-$AF11-$AE11*(1+FG$3))/$AJ11,'Технический лист'!$A:$B,2,1),(FF11-0.05)))</f>
        <v>0.97499999999999998</v>
      </c>
      <c r="FH11" s="15">
        <f>MIN(1,MAX(VLOOKUP(($AJ11-$AI11-$AH11-$AG11-$AF11-$AE11*(1+FH$3))/$AJ11,'Технический лист'!$A:$B,2,1),(FG11-0.05)))</f>
        <v>0.97499999999999998</v>
      </c>
      <c r="FI11" s="15">
        <f>MIN(1,MAX(VLOOKUP(($AJ11-$AI11-$AH11-$AG11-$AF11-$AE11*(1+FI$3))/$AJ11,'Технический лист'!$A:$B,2,1),(FH11-0.05)))</f>
        <v>0.97499999999999998</v>
      </c>
      <c r="FJ11" s="15">
        <f>MIN(1,MAX(VLOOKUP(($AJ11-$AI11-$AH11-$AG11-$AF11-$AE11*(1+FJ$3))/$AJ11,'Технический лист'!$A:$B,2,1),(FI11-0.05)))</f>
        <v>0.97499999999999998</v>
      </c>
      <c r="FK11" s="15">
        <f>MIN(1,MAX(VLOOKUP(($AJ11-$AI11-$AH11-$AG11-$AF11-$AE11*(1+FK$3))/$AJ11,'Технический лист'!$A:$B,2,1),(FJ11-0.05)))</f>
        <v>0.97499999999999998</v>
      </c>
      <c r="FL11" s="15">
        <f>MIN(1,MAX(VLOOKUP(($AJ11-$AI11-$AH11-$AG11-$AF11-$AE11*(1+FL$3))/$AJ11,'Технический лист'!$A:$B,2,1),(FK11-0.05)))</f>
        <v>0.97499999999999998</v>
      </c>
      <c r="FM11" s="15">
        <f>MIN(1,MAX(VLOOKUP(($AJ11-$AI11-$AH11-$AG11-$AF11-$AE11*(1+FM$3))/$AJ11,'Технический лист'!$A:$B,2,1),(FL11-0.05)))</f>
        <v>0.97499999999999998</v>
      </c>
      <c r="FN11" s="15">
        <f>MIN(1,MAX(VLOOKUP(($AJ11-$AI11-$AH11-$AG11-$AF11-$AE11*(1+FN$3))/$AJ11,'Технический лист'!$A:$B,2,1),(FM11-0.05)))</f>
        <v>0.97499999999999998</v>
      </c>
      <c r="FO11" s="15">
        <f>MIN(1,MAX(VLOOKUP(($AJ11-$AI11-$AH11-$AG11-$AF11-$AE11*(1+FO$3))/$AJ11,'Технический лист'!$A:$B,2,1),(FN11-0.05)))</f>
        <v>0.97499999999999998</v>
      </c>
      <c r="FP11" s="15">
        <f>MIN(1,MAX(VLOOKUP(($AJ11-$AI11-$AH11-$AG11-$AF11-$AE11*(1+FP$3))/$AJ11,'Технический лист'!$A:$B,2,1),(FO11-0.05)))</f>
        <v>0.97499999999999998</v>
      </c>
      <c r="FQ11" s="15">
        <f>MIN(1,MAX(VLOOKUP(($AJ11-$AI11-$AH11-$AG11-$AF11-$AE11*(1+FQ$3))/$AJ11,'Технический лист'!$A:$B,2,1),(FP11-0.05)))</f>
        <v>0.97</v>
      </c>
      <c r="FR11" s="15">
        <f>MIN(1,MAX(VLOOKUP(($AJ11-$AI11-$AH11-$AG11-$AF11-$AE11*(1+FR$3))/$AJ11,'Технический лист'!$A:$B,2,1),(FQ11-0.05)))</f>
        <v>0.97</v>
      </c>
      <c r="FS11" s="15">
        <f>MIN(1,MAX(VLOOKUP(($AJ11-$AI11-$AH11-$AG11-$AF11-$AE11*(1+FS$3))/$AJ11,'Технический лист'!$A:$B,2,1),(FR11-0.05)))</f>
        <v>0.97</v>
      </c>
      <c r="FT11" s="15">
        <f>MIN(1,MAX(VLOOKUP(($AJ11-$AI11-$AH11-$AG11-$AF11-$AE11*(1+FT$3))/$AJ11,'Технический лист'!$A:$B,2,1),(FS11-0.05)))</f>
        <v>0.97</v>
      </c>
      <c r="FU11" s="15">
        <f>MIN(1,MAX(VLOOKUP(($AJ11-$AI11-$AH11-$AG11-$AF11-$AE11*(1+FU$3))/$AJ11,'Технический лист'!$A:$B,2,1),(FT11-0.05)))</f>
        <v>0.97</v>
      </c>
      <c r="FV11" s="15">
        <f>MIN(1,MAX(VLOOKUP(($AJ11-$AI11-$AH11-$AG11-$AF11-$AE11*(1+FV$3))/$AJ11,'Технический лист'!$A:$B,2,1),(FU11-0.05)))</f>
        <v>0.97</v>
      </c>
      <c r="FW11" s="15">
        <f>MIN(1,MAX(VLOOKUP(($AJ11-$AI11-$AH11-$AG11-$AF11-$AE11*(1+FW$3))/$AJ11,'Технический лист'!$A:$B,2,1),(FV11-0.05)))</f>
        <v>0.97</v>
      </c>
      <c r="FX11" s="15">
        <f>MIN(1,MAX(VLOOKUP(($AJ11-$AI11-$AH11-$AG11-$AF11-$AE11*(1+FX$3))/$AJ11,'Технический лист'!$A:$B,2,1),(FW11-0.05)))</f>
        <v>0.97</v>
      </c>
      <c r="FY11" s="15">
        <f>MIN(1,MAX(VLOOKUP(($AJ11-$AI11-$AH11-$AG11-$AF11-$AE11*(1+FY$3))/$AJ11,'Технический лист'!$A:$B,2,1),(FX11-0.05)))</f>
        <v>0.97</v>
      </c>
      <c r="FZ11" s="15">
        <f>MIN(1,MAX(VLOOKUP(($AJ11-$AI11-$AH11-$AG11-$AF11-$AE11*(1+FZ$3))/$AJ11,'Технический лист'!$A:$B,2,1),(FY11-0.05)))</f>
        <v>0.97</v>
      </c>
      <c r="GA11" s="15">
        <f>MIN(1,MAX(VLOOKUP(($AJ11-$AI11-$AH11-$AG11-$AF11-$AE11*(1+GA$3))/$AJ11,'Технический лист'!$A:$B,2,1),(FZ11-0.05)))</f>
        <v>0.97</v>
      </c>
      <c r="GB11" s="15">
        <f>MIN(1,MAX(VLOOKUP(($AJ11-$AI11-$AH11-$AG11-$AF11-$AE11*(1+GB$3))/$AJ11,'Технический лист'!$A:$B,2,1),(GA11-0.05)))</f>
        <v>0.97</v>
      </c>
      <c r="GC11" s="15">
        <f>MIN(1,MAX(VLOOKUP(($AJ11-$AI11-$AH11-$AG11-$AF11-$AE11*(1+GC$3))/$AJ11,'Технический лист'!$A:$B,2,1),(GB11-0.05)))</f>
        <v>0.97</v>
      </c>
      <c r="GD11" s="15">
        <f>MIN(1,MAX(VLOOKUP(($AJ11-$AI11-$AH11-$AG11-$AF11-$AE11*(1+GD$3))/$AJ11,'Технический лист'!$A:$B,2,1),(GC11-0.05)))</f>
        <v>0.97</v>
      </c>
      <c r="GE11" s="15">
        <f>MIN(1,MAX(VLOOKUP(($AJ11-$AI11-$AH11-$AG11-$AF11-$AE11*(1+GE$3))/$AJ11,'Технический лист'!$A:$B,2,1),(GD11-0.05)))</f>
        <v>0.97</v>
      </c>
      <c r="GF11" s="15">
        <f>MIN(1,MAX(VLOOKUP(($AJ11-$AI11-$AH11-$AG11-$AF11-$AE11*(1+GF$3))/$AJ11,'Технический лист'!$A:$B,2,1),(GE11-0.05)))</f>
        <v>0.97</v>
      </c>
      <c r="GG11" s="15">
        <f>MIN(1,MAX(VLOOKUP(($AJ11-$AI11-$AH11-$AG11-$AF11-$AE11*(1+GG$3))/$AJ11,'Технический лист'!$A:$B,2,1),(GF11-0.05)))</f>
        <v>0.97</v>
      </c>
      <c r="GH11" s="15">
        <f>MIN(1,MAX(VLOOKUP(($AJ11-$AI11-$AH11-$AG11-$AF11-$AE11*(1+GH$3))/$AJ11,'Технический лист'!$A:$B,2,1),(GG11-0.05)))</f>
        <v>0.97</v>
      </c>
      <c r="GI11" s="15">
        <f>MIN(1,MAX(VLOOKUP(($AJ11-$AI11-$AH11-$AG11-$AF11-$AE11*(1+GI$3))/$AJ11,'Технический лист'!$A:$B,2,1),(GH11-0.05)))</f>
        <v>0.97</v>
      </c>
      <c r="GJ11" s="15">
        <f>MIN(1,MAX(VLOOKUP(($AJ11-$AI11-$AH11-$AG11-$AF11-$AE11*(1+GJ$3))/$AJ11,'Технический лист'!$A:$B,2,1),(GI11-0.05)))</f>
        <v>0.97</v>
      </c>
      <c r="GK11" s="15">
        <f>MIN(1,MAX(VLOOKUP(($AJ11-$AI11-$AH11-$AG11-$AF11-$AE11*(1+GK$3))/$AJ11,'Технический лист'!$A:$B,2,1),(GJ11-0.05)))</f>
        <v>0.97</v>
      </c>
      <c r="GL11" s="15">
        <f>MIN(1,MAX(VLOOKUP(($AJ11-$AI11-$AH11-$AG11-$AF11-$AE11*(1+GL$3))/$AJ11,'Технический лист'!$A:$B,2,1),(GK11-0.05)))</f>
        <v>0.97</v>
      </c>
      <c r="GM11" s="15">
        <f>MIN(1,MAX(VLOOKUP(($AJ11-$AI11-$AH11-$AG11-$AF11-$AE11*(1+GM$3))/$AJ11,'Технический лист'!$A:$B,2,1),(GL11-0.05)))</f>
        <v>0.97</v>
      </c>
      <c r="GN11" s="15">
        <f>MIN(1,MAX(VLOOKUP(($AJ11-$AI11-$AH11-$AG11-$AF11-$AE11*(1+GN$3))/$AJ11,'Технический лист'!$A:$B,2,1),(GM11-0.05)))</f>
        <v>0.97</v>
      </c>
      <c r="GO11" s="15">
        <f>MIN(1,MAX(VLOOKUP(($AJ11-$AI11-$AH11-$AG11-$AF11-$AE11*(1+GO$3))/$AJ11,'Технический лист'!$A:$B,2,1),(GN11-0.05)))</f>
        <v>0.97</v>
      </c>
      <c r="GP11" s="15">
        <f>MIN(1,MAX(VLOOKUP(($AJ11-$AI11-$AH11-$AG11-$AF11-$AE11*(1+GP$3))/$AJ11,'Технический лист'!$A:$B,2,1),(GO11-0.05)))</f>
        <v>0.97</v>
      </c>
      <c r="GQ11" s="15">
        <f>MIN(1,MAX(VLOOKUP(($AJ11-$AI11-$AH11-$AG11-$AF11-$AE11*(1+GQ$3))/$AJ11,'Технический лист'!$A:$B,2,1),(GP11-0.05)))</f>
        <v>0.97</v>
      </c>
      <c r="GR11" s="15">
        <f>MIN(1,MAX(VLOOKUP(($AJ11-$AI11-$AH11-$AG11-$AF11-$AE11*(1+GR$3))/$AJ11,'Технический лист'!$A:$B,2,1),(GQ11-0.05)))</f>
        <v>0.97</v>
      </c>
      <c r="GS11" s="15">
        <f>MIN(1,MAX(VLOOKUP(($AJ11-$AI11-$AH11-$AG11-$AF11-$AE11*(1+GS$3))/$AJ11,'Технический лист'!$A:$B,2,1),(GR11-0.05)))</f>
        <v>0.97</v>
      </c>
      <c r="GT11" s="15">
        <f>MIN(1,MAX(VLOOKUP(($AJ11-$AI11-$AH11-$AG11-$AF11-$AE11*(1+GT$3))/$AJ11,'Технический лист'!$A:$B,2,1),(GS11-0.05)))</f>
        <v>0.96499999999999997</v>
      </c>
      <c r="GU11" s="15">
        <f>MIN(1,MAX(VLOOKUP(($AJ11-$AI11-$AH11-$AG11-$AF11-$AE11*(1+GU$3))/$AJ11,'Технический лист'!$A:$B,2,1),(GT11-0.05)))</f>
        <v>0.96499999999999997</v>
      </c>
      <c r="GV11" s="15">
        <f>MIN(1,MAX(VLOOKUP(($AJ11-$AI11-$AH11-$AG11-$AF11-$AE11*(1+GV$3))/$AJ11,'Технический лист'!$A:$B,2,1),(GU11-0.05)))</f>
        <v>0.96499999999999997</v>
      </c>
      <c r="GW11" s="15">
        <f>MIN(1,MAX(VLOOKUP(($AJ11-$AI11-$AH11-$AG11-$AF11-$AE11*(1+GW$3))/$AJ11,'Технический лист'!$A:$B,2,1),(GV11-0.05)))</f>
        <v>0.96499999999999997</v>
      </c>
      <c r="GX11" s="15">
        <f>MIN(1,MAX(VLOOKUP(($AJ11-$AI11-$AH11-$AG11-$AF11-$AE11*(1+GX$3))/$AJ11,'Технический лист'!$A:$B,2,1),(GW11-0.05)))</f>
        <v>0.96499999999999997</v>
      </c>
      <c r="GY11" s="15">
        <f>MIN(1,MAX(VLOOKUP(($AJ11-$AI11-$AH11-$AG11-$AF11-$AE11*(1+GY$3))/$AJ11,'Технический лист'!$A:$B,2,1),(GX11-0.05)))</f>
        <v>0.96499999999999997</v>
      </c>
      <c r="GZ11" s="15">
        <f>MIN(1,MAX(VLOOKUP(($AJ11-$AI11-$AH11-$AG11-$AF11-$AE11*(1+GZ$3))/$AJ11,'Технический лист'!$A:$B,2,1),(GY11-0.05)))</f>
        <v>0.96499999999999997</v>
      </c>
      <c r="HA11" s="15">
        <f>MIN(1,MAX(VLOOKUP(($AJ11-$AI11-$AH11-$AG11-$AF11-$AE11*(1+HA$3))/$AJ11,'Технический лист'!$A:$B,2,1),(GZ11-0.05)))</f>
        <v>0.96499999999999997</v>
      </c>
      <c r="HB11" s="15">
        <f>MIN(1,MAX(VLOOKUP(($AJ11-$AI11-$AH11-$AG11-$AF11-$AE11*(1+HB$3))/$AJ11,'Технический лист'!$A:$B,2,1),(HA11-0.05)))</f>
        <v>0.96499999999999997</v>
      </c>
      <c r="HC11" s="15">
        <f>MIN(1,MAX(VLOOKUP(($AJ11-$AI11-$AH11-$AG11-$AF11-$AE11*(1+HC$3))/$AJ11,'Технический лист'!$A:$B,2,1),(HB11-0.05)))</f>
        <v>0.96499999999999997</v>
      </c>
      <c r="HD11" s="15">
        <f>MIN(1,MAX(VLOOKUP(($AJ11-$AI11-$AH11-$AG11-$AF11-$AE11*(1+HD$3))/$AJ11,'Технический лист'!$A:$B,2,1),(HC11-0.05)))</f>
        <v>0.96499999999999997</v>
      </c>
      <c r="HE11" s="15">
        <f>MIN(1,MAX(VLOOKUP(($AJ11-$AI11-$AH11-$AG11-$AF11-$AE11*(1+HE$3))/$AJ11,'Технический лист'!$A:$B,2,1),(HD11-0.05)))</f>
        <v>0.96499999999999997</v>
      </c>
      <c r="HF11" s="15">
        <f>MIN(1,MAX(VLOOKUP(($AJ11-$AI11-$AH11-$AG11-$AF11-$AE11*(1+HF$3))/$AJ11,'Технический лист'!$A:$B,2,1),(HE11-0.05)))</f>
        <v>0.96499999999999997</v>
      </c>
      <c r="HG11" s="15">
        <f>MIN(1,MAX(VLOOKUP(($AJ11-$AI11-$AH11-$AG11-$AF11-$AE11*(1+HG$3))/$AJ11,'Технический лист'!$A:$B,2,1),(HF11-0.05)))</f>
        <v>0.96499999999999997</v>
      </c>
      <c r="HH11" s="15">
        <f>MIN(1,MAX(VLOOKUP(($AJ11-$AI11-$AH11-$AG11-$AF11-$AE11*(1+HH$3))/$AJ11,'Технический лист'!$A:$B,2,1),(HG11-0.05)))</f>
        <v>0.96499999999999997</v>
      </c>
      <c r="HI11" s="15">
        <f>MIN(1,MAX(VLOOKUP(($AJ11-$AI11-$AH11-$AG11-$AF11-$AE11*(1+HI$3))/$AJ11,'Технический лист'!$A:$B,2,1),(HH11-0.05)))</f>
        <v>0.96499999999999997</v>
      </c>
      <c r="HJ11" s="15">
        <f>MIN(1,MAX(VLOOKUP(($AJ11-$AI11-$AH11-$AG11-$AF11-$AE11*(1+HJ$3))/$AJ11,'Технический лист'!$A:$B,2,1),(HI11-0.05)))</f>
        <v>0.96499999999999997</v>
      </c>
      <c r="HK11" s="15">
        <f>MIN(1,MAX(VLOOKUP(($AJ11-$AI11-$AH11-$AG11-$AF11-$AE11*(1+HK$3))/$AJ11,'Технический лист'!$A:$B,2,1),(HJ11-0.05)))</f>
        <v>0.96499999999999997</v>
      </c>
      <c r="HL11" s="15">
        <f>MIN(1,MAX(VLOOKUP(($AJ11-$AI11-$AH11-$AG11-$AF11-$AE11*(1+HL$3))/$AJ11,'Технический лист'!$A:$B,2,1),(HK11-0.05)))</f>
        <v>0.96499999999999997</v>
      </c>
      <c r="HM11" s="15">
        <f>MIN(1,MAX(VLOOKUP(($AJ11-$AI11-$AH11-$AG11-$AF11-$AE11*(1+HM$3))/$AJ11,'Технический лист'!$A:$B,2,1),(HL11-0.05)))</f>
        <v>0.96499999999999997</v>
      </c>
      <c r="HN11" s="15">
        <f>MIN(1,MAX(VLOOKUP(($AJ11-$AI11-$AH11-$AG11-$AF11-$AE11*(1+HN$3))/$AJ11,'Технический лист'!$A:$B,2,1),(HM11-0.05)))</f>
        <v>0.96499999999999997</v>
      </c>
      <c r="HO11" s="15">
        <f>MIN(1,MAX(VLOOKUP(($AJ11-$AI11-$AH11-$AG11-$AF11-$AE11*(1+HO$3))/$AJ11,'Технический лист'!$A:$B,2,1),(HN11-0.05)))</f>
        <v>0.96499999999999997</v>
      </c>
      <c r="HP11" s="15">
        <f>MIN(1,MAX(VLOOKUP(($AJ11-$AI11-$AH11-$AG11-$AF11-$AE11*(1+HP$3))/$AJ11,'Технический лист'!$A:$B,2,1),(HO11-0.05)))</f>
        <v>0.96499999999999997</v>
      </c>
      <c r="HQ11" s="15">
        <f>MIN(1,MAX(VLOOKUP(($AJ11-$AI11-$AH11-$AG11-$AF11-$AE11*(1+HQ$3))/$AJ11,'Технический лист'!$A:$B,2,1),(HP11-0.05)))</f>
        <v>0.96499999999999997</v>
      </c>
      <c r="HR11" s="15">
        <f>MIN(1,MAX(VLOOKUP(($AJ11-$AI11-$AH11-$AG11-$AF11-$AE11*(1+HR$3))/$AJ11,'Технический лист'!$A:$B,2,1),(HQ11-0.05)))</f>
        <v>0.96499999999999997</v>
      </c>
      <c r="HS11" s="15">
        <f>MIN(1,MAX(VLOOKUP(($AJ11-$AI11-$AH11-$AG11-$AF11-$AE11*(1+HS$3))/$AJ11,'Технический лист'!$A:$B,2,1),(HR11-0.05)))</f>
        <v>0.96499999999999997</v>
      </c>
      <c r="HT11" s="15">
        <f>MIN(1,MAX(VLOOKUP(($AJ11-$AI11-$AH11-$AG11-$AF11-$AE11*(1+HT$3))/$AJ11,'Технический лист'!$A:$B,2,1),(HS11-0.05)))</f>
        <v>0.96499999999999997</v>
      </c>
      <c r="HU11" s="15">
        <f>MIN(1,MAX(VLOOKUP(($AJ11-$AI11-$AH11-$AG11-$AF11-$AE11*(1+HU$3))/$AJ11,'Технический лист'!$A:$B,2,1),(HT11-0.05)))</f>
        <v>0.96499999999999997</v>
      </c>
      <c r="HV11" s="15">
        <f>MIN(1,MAX(VLOOKUP(($AJ11-$AI11-$AH11-$AG11-$AF11-$AE11*(1+HV$3))/$AJ11,'Технический лист'!$A:$B,2,1),(HU11-0.05)))</f>
        <v>0.96499999999999997</v>
      </c>
      <c r="HW11" s="15">
        <f>MIN(1,MAX(VLOOKUP(($AJ11-$AI11-$AH11-$AG11-$AF11-$AE11*(1+HW$3))/$AJ11,'Технический лист'!$A:$B,2,1),(HV11-0.05)))</f>
        <v>0.96499999999999997</v>
      </c>
      <c r="HX11" s="15">
        <f>MIN(1,MAX(VLOOKUP(($AJ11-$AI11-$AH11-$AG11-$AF11-$AE11*(1+HX$3))/$AJ11,'Технический лист'!$A:$B,2,1),(HW11-0.05)))</f>
        <v>0.96</v>
      </c>
      <c r="HY11" s="15">
        <f>MIN(1,MAX(VLOOKUP(($AJ11-$AI11-$AH11-$AG11-$AF11-$AE11*(1+HY$3))/$AJ11,'Технический лист'!$A:$B,2,1),(HX11-0.05)))</f>
        <v>0.96</v>
      </c>
      <c r="HZ11" s="15">
        <f>MIN(1,MAX(VLOOKUP(($AJ11-$AI11-$AH11-$AG11-$AF11-$AE11*(1+HZ$3))/$AJ11,'Технический лист'!$A:$B,2,1),(HY11-0.05)))</f>
        <v>0.96</v>
      </c>
      <c r="IA11" s="15">
        <f>MIN(1,MAX(VLOOKUP(($AJ11-$AI11-$AH11-$AG11-$AF11-$AE11*(1+IA$3))/$AJ11,'Технический лист'!$A:$B,2,1),(HZ11-0.05)))</f>
        <v>0.96</v>
      </c>
      <c r="IB11" s="15">
        <f>MIN(1,MAX(VLOOKUP(($AJ11-$AI11-$AH11-$AG11-$AF11-$AE11*(1+IB$3))/$AJ11,'Технический лист'!$A:$B,2,1),(IA11-0.05)))</f>
        <v>0.96</v>
      </c>
      <c r="IC11" s="15">
        <f>MIN(1,MAX(VLOOKUP(($AJ11-$AI11-$AH11-$AG11-$AF11-$AE11*(1+IC$3))/$AJ11,'Технический лист'!$A:$B,2,1),(IB11-0.05)))</f>
        <v>0.96</v>
      </c>
      <c r="ID11" s="15">
        <f>MIN(1,MAX(VLOOKUP(($AJ11-$AI11-$AH11-$AG11-$AF11-$AE11*(1+ID$3))/$AJ11,'Технический лист'!$A:$B,2,1),(IC11-0.05)))</f>
        <v>0.96</v>
      </c>
      <c r="IE11" s="15">
        <f>MIN(1,MAX(VLOOKUP(($AJ11-$AI11-$AH11-$AG11-$AF11-$AE11*(1+IE$3))/$AJ11,'Технический лист'!$A:$B,2,1),(ID11-0.05)))</f>
        <v>0.96</v>
      </c>
      <c r="IF11" s="15">
        <f>MIN(1,MAX(VLOOKUP(($AJ11-$AI11-$AH11-$AG11-$AF11-$AE11*(1+IF$3))/$AJ11,'Технический лист'!$A:$B,2,1),(IE11-0.05)))</f>
        <v>0.96</v>
      </c>
      <c r="IG11" s="15">
        <f>MIN(1,MAX(VLOOKUP(($AJ11-$AI11-$AH11-$AG11-$AF11-$AE11*(1+IG$3))/$AJ11,'Технический лист'!$A:$B,2,1),(IF11-0.05)))</f>
        <v>0.96</v>
      </c>
      <c r="IH11" s="15">
        <f>MIN(1,MAX(VLOOKUP(($AJ11-$AI11-$AH11-$AG11-$AF11-$AE11*(1+IH$3))/$AJ11,'Технический лист'!$A:$B,2,1),(IG11-0.05)))</f>
        <v>0.96</v>
      </c>
      <c r="II11" s="15">
        <f>MIN(1,MAX(VLOOKUP(($AJ11-$AI11-$AH11-$AG11-$AF11-$AE11*(1+II$3))/$AJ11,'Технический лист'!$A:$B,2,1),(IH11-0.05)))</f>
        <v>0.96</v>
      </c>
      <c r="IJ11" s="15">
        <f>MIN(1,MAX(VLOOKUP(($AJ11-$AI11-$AH11-$AG11-$AF11-$AE11*(1+IJ$3))/$AJ11,'Технический лист'!$A:$B,2,1),(II11-0.05)))</f>
        <v>0.96</v>
      </c>
      <c r="IK11" s="15">
        <f>MIN(1,MAX(VLOOKUP(($AJ11-$AI11-$AH11-$AG11-$AF11-$AE11*(1+IK$3))/$AJ11,'Технический лист'!$A:$B,2,1),(IJ11-0.05)))</f>
        <v>0.96</v>
      </c>
      <c r="IL11" s="15">
        <f>MIN(1,MAX(VLOOKUP(($AJ11-$AI11-$AH11-$AG11-$AF11-$AE11*(1+IL$3))/$AJ11,'Технический лист'!$A:$B,2,1),(IK11-0.05)))</f>
        <v>0.96</v>
      </c>
      <c r="IM11" s="15">
        <f>MIN(1,MAX(VLOOKUP(($AJ11-$AI11-$AH11-$AG11-$AF11-$AE11*(1+IM$3))/$AJ11,'Технический лист'!$A:$B,2,1),(IL11-0.05)))</f>
        <v>0.96</v>
      </c>
      <c r="IN11" s="15">
        <f>MIN(1,MAX(VLOOKUP(($AJ11-$AI11-$AH11-$AG11-$AF11-$AE11*(1+IN$3))/$AJ11,'Технический лист'!$A:$B,2,1),(IM11-0.05)))</f>
        <v>0.96</v>
      </c>
      <c r="IO11" s="15">
        <f>MIN(1,MAX(VLOOKUP(($AJ11-$AI11-$AH11-$AG11-$AF11-$AE11*(1+IO$3))/$AJ11,'Технический лист'!$A:$B,2,1),(IN11-0.05)))</f>
        <v>0.96</v>
      </c>
      <c r="IP11" s="15">
        <f>MIN(1,MAX(VLOOKUP(($AJ11-$AI11-$AH11-$AG11-$AF11-$AE11*(1+IP$3))/$AJ11,'Технический лист'!$A:$B,2,1),(IO11-0.05)))</f>
        <v>0.96</v>
      </c>
      <c r="IQ11" s="15">
        <f>MIN(1,MAX(VLOOKUP(($AJ11-$AI11-$AH11-$AG11-$AF11-$AE11*(1+IQ$3))/$AJ11,'Технический лист'!$A:$B,2,1),(IP11-0.05)))</f>
        <v>0.96</v>
      </c>
      <c r="IR11" s="15">
        <f>MIN(1,MAX(VLOOKUP(($AJ11-$AI11-$AH11-$AG11-$AF11-$AE11*(1+IR$3))/$AJ11,'Технический лист'!$A:$B,2,1),(IQ11-0.05)))</f>
        <v>0.96</v>
      </c>
    </row>
    <row r="12" spans="1:257" ht="45" customHeight="1">
      <c r="A12" s="89" t="s">
        <v>514</v>
      </c>
      <c r="B12" s="90">
        <v>2</v>
      </c>
      <c r="C12" s="5" t="s">
        <v>65</v>
      </c>
      <c r="D12" s="91">
        <v>17107</v>
      </c>
      <c r="E12" s="91" t="s">
        <v>320</v>
      </c>
      <c r="F12" s="92" t="s">
        <v>69</v>
      </c>
      <c r="G12" s="91" t="s">
        <v>50</v>
      </c>
      <c r="H12" s="91" t="s">
        <v>30</v>
      </c>
      <c r="I12" s="91" t="s">
        <v>88</v>
      </c>
      <c r="J12" s="91" t="s">
        <v>90</v>
      </c>
      <c r="K12" s="91">
        <v>2676</v>
      </c>
      <c r="L12" s="85" t="s">
        <v>64</v>
      </c>
      <c r="M12" s="91" t="s">
        <v>190</v>
      </c>
      <c r="N12" s="91" t="s">
        <v>191</v>
      </c>
      <c r="O12" s="91" t="s">
        <v>194</v>
      </c>
      <c r="P12" s="89" t="s">
        <v>198</v>
      </c>
      <c r="Q12" s="91" t="s">
        <v>307</v>
      </c>
      <c r="R12" s="91" t="s">
        <v>252</v>
      </c>
      <c r="S12" s="82">
        <v>115217</v>
      </c>
      <c r="T12" s="82">
        <v>308286836</v>
      </c>
      <c r="U12" s="81">
        <v>1809</v>
      </c>
      <c r="V12" s="81">
        <v>0</v>
      </c>
      <c r="W12" s="82">
        <v>182973051</v>
      </c>
      <c r="X12" s="112">
        <v>64</v>
      </c>
      <c r="Y12" s="112" t="s">
        <v>417</v>
      </c>
      <c r="Z12" s="113">
        <v>11</v>
      </c>
      <c r="AA12" s="113">
        <v>8</v>
      </c>
      <c r="AB12" s="113">
        <v>4</v>
      </c>
      <c r="AC12" s="99">
        <v>1761.09</v>
      </c>
      <c r="AD12" s="99">
        <f t="shared" si="1"/>
        <v>654.1099999999999</v>
      </c>
      <c r="AE12" s="99">
        <v>2415.1999999999998</v>
      </c>
      <c r="AF12" s="98">
        <f>(Z12+AA12+AB12)*'Ставки аренды'!$B$3/X12</f>
        <v>251.5625</v>
      </c>
      <c r="AG12" s="114">
        <v>0</v>
      </c>
      <c r="AH12" s="94">
        <v>0</v>
      </c>
      <c r="AI12" s="115">
        <f>0.95*AVERAGE(AJ10,AJ11)</f>
        <v>15577.738287499998</v>
      </c>
      <c r="AJ12" s="117">
        <f>Цены!$D$9</f>
        <v>17000</v>
      </c>
      <c r="AK12" s="94">
        <f>AJ12/Цены!$B$1</f>
        <v>222.7886587467483</v>
      </c>
      <c r="AL12" s="95">
        <f t="shared" si="5"/>
        <v>2666.7624999999998</v>
      </c>
      <c r="AM12" s="95">
        <f t="shared" si="6"/>
        <v>14333.237499999999</v>
      </c>
      <c r="AN12" s="94">
        <f t="shared" si="2"/>
        <v>18244.500787499997</v>
      </c>
      <c r="AO12" s="118">
        <f t="shared" si="3"/>
        <v>-7.3205928676470439E-2</v>
      </c>
      <c r="AP12" s="96">
        <f t="shared" si="7"/>
        <v>0.15686838235294118</v>
      </c>
      <c r="AQ12" s="96">
        <f t="shared" si="8"/>
        <v>0.14207058823529412</v>
      </c>
      <c r="AR12" s="96">
        <f t="shared" si="9"/>
        <v>0.90566745257592307</v>
      </c>
      <c r="AS12" s="122">
        <v>1</v>
      </c>
      <c r="AT12" s="121">
        <f t="shared" si="10"/>
        <v>115217</v>
      </c>
      <c r="AU12" s="83">
        <v>0.95</v>
      </c>
      <c r="AV12" s="119">
        <f t="shared" si="11"/>
        <v>-9.0254399264705756E-2</v>
      </c>
      <c r="AW12" s="120">
        <f t="shared" si="12"/>
        <v>0.17391685294117645</v>
      </c>
      <c r="AX12" s="120">
        <f t="shared" si="13"/>
        <v>0.15911905882352942</v>
      </c>
      <c r="AY12" s="120">
        <f t="shared" si="14"/>
        <v>0.91491454757031465</v>
      </c>
      <c r="AZ12" s="15">
        <f>MIN(IF($AU12=100%,1,1+VLOOKUP(($AJ12-$AI12-$AH12-$AG12-$AF12-$AE12*(1+AZ$3))/$AJ12,'Технический лист'!$A:$B,2,1)-VLOOKUP($AO12,'Технический лист'!$A:$B,2,1)),1+(1-$AU12))</f>
        <v>1.03</v>
      </c>
      <c r="BA12" s="15">
        <f>MIN(IF($AU12=100%,1,1+VLOOKUP(($AJ12-$AI12-$AH12-$AG12-$AF12-$AE12*(1+BA$3))/$AJ12,'Технический лист'!$A:$B,2,1)-VLOOKUP($AO12,'Технический лист'!$A:$B,2,1)),1+(1-$AU12))</f>
        <v>1.03</v>
      </c>
      <c r="BB12" s="15">
        <f>MIN(IF($AU12=100%,1,1+VLOOKUP(($AJ12-$AI12-$AH12-$AG12-$AF12-$AE12*(1+BB$3))/$AJ12,'Технический лист'!$A:$B,2,1)-VLOOKUP($AO12,'Технический лист'!$A:$B,2,1)),1+(1-$AU12))</f>
        <v>1.03</v>
      </c>
      <c r="BC12" s="15">
        <f>MIN(IF($AU12=100%,1,1+VLOOKUP(($AJ12-$AI12-$AH12-$AG12-$AF12-$AE12*(1+BC$3))/$AJ12,'Технический лист'!$A:$B,2,1)-VLOOKUP($AO12,'Технический лист'!$A:$B,2,1)),1+(1-$AU12))</f>
        <v>1.03</v>
      </c>
      <c r="BD12" s="15">
        <f>MIN(IF($AU12=100%,1,1+VLOOKUP(($AJ12-$AI12-$AH12-$AG12-$AF12-$AE12*(1+BD$3))/$AJ12,'Технический лист'!$A:$B,2,1)-VLOOKUP($AO12,'Технический лист'!$A:$B,2,1)),1+(1-$AU12))</f>
        <v>1.03</v>
      </c>
      <c r="BE12" s="15">
        <f>MIN(IF($AU12=100%,1,1+VLOOKUP(($AJ12-$AI12-$AH12-$AG12-$AF12-$AE12*(1+BE$3))/$AJ12,'Технический лист'!$A:$B,2,1)-VLOOKUP($AO12,'Технический лист'!$A:$B,2,1)),1+(1-$AU12))</f>
        <v>1.03</v>
      </c>
      <c r="BF12" s="15">
        <f>MIN(IF($AU12=100%,1,1+VLOOKUP(($AJ12-$AI12-$AH12-$AG12-$AF12-$AE12*(1+BF$3))/$AJ12,'Технический лист'!$A:$B,2,1)-VLOOKUP($AO12,'Технический лист'!$A:$B,2,1)),1+(1-$AU12))</f>
        <v>1.03</v>
      </c>
      <c r="BG12" s="15">
        <f>MIN(IF($AU12=100%,1,1+VLOOKUP(($AJ12-$AI12-$AH12-$AG12-$AF12-$AE12*(1+BG$3))/$AJ12,'Технический лист'!$A:$B,2,1)-VLOOKUP($AO12,'Технический лист'!$A:$B,2,1)),1+(1-$AU12))</f>
        <v>1.03</v>
      </c>
      <c r="BH12" s="15">
        <f>MIN(IF($AU12=100%,1,1+VLOOKUP(($AJ12-$AI12-$AH12-$AG12-$AF12-$AE12*(1+BH$3))/$AJ12,'Технический лист'!$A:$B,2,1)-VLOOKUP($AO12,'Технический лист'!$A:$B,2,1)),1+(1-$AU12))</f>
        <v>1.03</v>
      </c>
      <c r="BI12" s="15">
        <f>MIN(IF($AU12=100%,1,1+VLOOKUP(($AJ12-$AI12-$AH12-$AG12-$AF12-$AE12*(1+BI$3))/$AJ12,'Технический лист'!$A:$B,2,1)-VLOOKUP($AO12,'Технический лист'!$A:$B,2,1)),1+(1-$AU12))</f>
        <v>1.03</v>
      </c>
      <c r="BJ12" s="15">
        <f>MIN(IF($AU12=100%,1,1+VLOOKUP(($AJ12-$AI12-$AH12-$AG12-$AF12-$AE12*(1+BJ$3))/$AJ12,'Технический лист'!$A:$B,2,1)-VLOOKUP($AO12,'Технический лист'!$A:$B,2,1)),1+(1-$AU12))</f>
        <v>1.03</v>
      </c>
      <c r="BK12" s="15">
        <f>MIN(IF($AU12=100%,1,1+VLOOKUP(($AJ12-$AI12-$AH12-$AG12-$AF12-$AE12*(1+BK$3))/$AJ12,'Технический лист'!$A:$B,2,1)-VLOOKUP($AO12,'Технический лист'!$A:$B,2,1)),1+(1-$AU12))</f>
        <v>1.03</v>
      </c>
      <c r="BL12" s="15">
        <f>MIN(IF($AU12=100%,1,1+VLOOKUP(($AJ12-$AI12-$AH12-$AG12-$AF12-$AE12*(1+BL$3))/$AJ12,'Технический лист'!$A:$B,2,1)-VLOOKUP($AO12,'Технический лист'!$A:$B,2,1)),1+(1-$AU12))</f>
        <v>1.03</v>
      </c>
      <c r="BM12" s="15">
        <f>MIN(IF($AU12=100%,1,1+VLOOKUP(($AJ12-$AI12-$AH12-$AG12-$AF12-$AE12*(1+BM$3))/$AJ12,'Технический лист'!$A:$B,2,1)-VLOOKUP($AO12,'Технический лист'!$A:$B,2,1)),1+(1-$AU12))</f>
        <v>1.03</v>
      </c>
      <c r="BN12" s="15">
        <f>MIN(IF($AU12=100%,1,1+VLOOKUP(($AJ12-$AI12-$AH12-$AG12-$AF12-$AE12*(1+BN$3))/$AJ12,'Технический лист'!$A:$B,2,1)-VLOOKUP($AO12,'Технический лист'!$A:$B,2,1)),1+(1-$AU12))</f>
        <v>1.03</v>
      </c>
      <c r="BO12" s="15">
        <f>MIN(IF($AU12=100%,1,1+VLOOKUP(($AJ12-$AI12-$AH12-$AG12-$AF12-$AE12*(1+BO$3))/$AJ12,'Технический лист'!$A:$B,2,1)-VLOOKUP($AO12,'Технический лист'!$A:$B,2,1)),1+(1-$AU12))</f>
        <v>1.03</v>
      </c>
      <c r="BP12" s="15">
        <f>MIN(IF($AU12=100%,1,1+VLOOKUP(($AJ12-$AI12-$AH12-$AG12-$AF12-$AE12*(1+BP$3))/$AJ12,'Технический лист'!$A:$B,2,1)-VLOOKUP($AO12,'Технический лист'!$A:$B,2,1)),1+(1-$AU12))</f>
        <v>1.03</v>
      </c>
      <c r="BQ12" s="15">
        <f>MIN(IF($AU12=100%,1,1+VLOOKUP(($AJ12-$AI12-$AH12-$AG12-$AF12-$AE12*(1+BQ$3))/$AJ12,'Технический лист'!$A:$B,2,1)-VLOOKUP($AO12,'Технический лист'!$A:$B,2,1)),1+(1-$AU12))</f>
        <v>1.03</v>
      </c>
      <c r="BR12" s="15">
        <f>MIN(IF($AU12=100%,1,1+VLOOKUP(($AJ12-$AI12-$AH12-$AG12-$AF12-$AE12*(1+BR$3))/$AJ12,'Технический лист'!$A:$B,2,1)-VLOOKUP($AO12,'Технический лист'!$A:$B,2,1)),1+(1-$AU12))</f>
        <v>1.03</v>
      </c>
      <c r="BS12" s="15">
        <f>MIN(IF($AU12=100%,1,1+VLOOKUP(($AJ12-$AI12-$AH12-$AG12-$AF12-$AE12*(1+BS$3))/$AJ12,'Технический лист'!$A:$B,2,1)-VLOOKUP($AO12,'Технический лист'!$A:$B,2,1)),1+(1-$AU12))</f>
        <v>1.03</v>
      </c>
      <c r="BT12" s="15">
        <f>MIN(IF($AU12=100%,1,1+VLOOKUP(($AJ12-$AI12-$AH12-$AG12-$AF12-$AE12*(1+BT$3))/$AJ12,'Технический лист'!$A:$B,2,1)-VLOOKUP($AO12,'Технический лист'!$A:$B,2,1)),1+(1-$AU12))</f>
        <v>1.03</v>
      </c>
      <c r="BU12" s="15">
        <f>MIN(IF($AU12=100%,1,1+VLOOKUP(($AJ12-$AI12-$AH12-$AG12-$AF12-$AE12*(1+BU$3))/$AJ12,'Технический лист'!$A:$B,2,1)-VLOOKUP($AO12,'Технический лист'!$A:$B,2,1)),1+(1-$AU12))</f>
        <v>1.03</v>
      </c>
      <c r="BV12" s="15">
        <f>MIN(IF($AU12=100%,1,1+VLOOKUP(($AJ12-$AI12-$AH12-$AG12-$AF12-$AE12*(1+BV$3))/$AJ12,'Технический лист'!$A:$B,2,1)-VLOOKUP($AO12,'Технический лист'!$A:$B,2,1)),1+(1-$AU12))</f>
        <v>1.03</v>
      </c>
      <c r="BW12" s="15">
        <f>MIN(IF($AU12=100%,1,1+VLOOKUP(($AJ12-$AI12-$AH12-$AG12-$AF12-$AE12*(1+BW$3))/$AJ12,'Технический лист'!$A:$B,2,1)-VLOOKUP($AO12,'Технический лист'!$A:$B,2,1)),1+(1-$AU12))</f>
        <v>1.03</v>
      </c>
      <c r="BX12" s="15">
        <f>MIN(IF($AU12=100%,1,1+VLOOKUP(($AJ12-$AI12-$AH12-$AG12-$AF12-$AE12*(1+BX$3))/$AJ12,'Технический лист'!$A:$B,2,1)-VLOOKUP($AO12,'Технический лист'!$A:$B,2,1)),1+(1-$AU12))</f>
        <v>1.03</v>
      </c>
      <c r="BY12" s="15">
        <f>MIN(IF($AU12=100%,1,1+VLOOKUP(($AJ12-$AI12-$AH12-$AG12-$AF12-$AE12*(1+BY$3))/$AJ12,'Технический лист'!$A:$B,2,1)-VLOOKUP($AO12,'Технический лист'!$A:$B,2,1)),1+(1-$AU12))</f>
        <v>1.03</v>
      </c>
      <c r="BZ12" s="15">
        <f>MIN(IF($AU12=100%,1,1+VLOOKUP(($AJ12-$AI12-$AH12-$AG12-$AF12-$AE12*(1+BZ$3))/$AJ12,'Технический лист'!$A:$B,2,1)-VLOOKUP($AO12,'Технический лист'!$A:$B,2,1)),1+(1-$AU12))</f>
        <v>1.0250000000000001</v>
      </c>
      <c r="CA12" s="15">
        <f>MIN(IF($AU12=100%,1,1+VLOOKUP(($AJ12-$AI12-$AH12-$AG12-$AF12-$AE12*(1+CA$3))/$AJ12,'Технический лист'!$A:$B,2,1)-VLOOKUP($AO12,'Технический лист'!$A:$B,2,1)),1+(1-$AU12))</f>
        <v>1.0250000000000001</v>
      </c>
      <c r="CB12" s="15">
        <f>MIN(IF($AU12=100%,1,1+VLOOKUP(($AJ12-$AI12-$AH12-$AG12-$AF12-$AE12*(1+CB$3))/$AJ12,'Технический лист'!$A:$B,2,1)-VLOOKUP($AO12,'Технический лист'!$A:$B,2,1)),1+(1-$AU12))</f>
        <v>1.0250000000000001</v>
      </c>
      <c r="CC12" s="15">
        <f>MIN(IF($AU12=100%,1,1+VLOOKUP(($AJ12-$AI12-$AH12-$AG12-$AF12-$AE12*(1+CC$3))/$AJ12,'Технический лист'!$A:$B,2,1)-VLOOKUP($AO12,'Технический лист'!$A:$B,2,1)),1+(1-$AU12))</f>
        <v>1.0250000000000001</v>
      </c>
      <c r="CD12" s="15">
        <f>MIN(IF($AU12=100%,1,1+VLOOKUP(($AJ12-$AI12-$AH12-$AG12-$AF12-$AE12*(1+CD$3))/$AJ12,'Технический лист'!$A:$B,2,1)-VLOOKUP($AO12,'Технический лист'!$A:$B,2,1)),1+(1-$AU12))</f>
        <v>1.0250000000000001</v>
      </c>
      <c r="CE12" s="15">
        <f>MIN(IF($AU12=100%,1,1+VLOOKUP(($AJ12-$AI12-$AH12-$AG12-$AF12-$AE12*(1+CE$3))/$AJ12,'Технический лист'!$A:$B,2,1)-VLOOKUP($AO12,'Технический лист'!$A:$B,2,1)),1+(1-$AU12))</f>
        <v>1.0250000000000001</v>
      </c>
      <c r="CF12" s="15">
        <f>MIN(IF($AU12=100%,1,1+VLOOKUP(($AJ12-$AI12-$AH12-$AG12-$AF12-$AE12*(1+CF$3))/$AJ12,'Технический лист'!$A:$B,2,1)-VLOOKUP($AO12,'Технический лист'!$A:$B,2,1)),1+(1-$AU12))</f>
        <v>1.0250000000000001</v>
      </c>
      <c r="CG12" s="15">
        <f>MIN(IF($AU12=100%,1,1+VLOOKUP(($AJ12-$AI12-$AH12-$AG12-$AF12-$AE12*(1+CG$3))/$AJ12,'Технический лист'!$A:$B,2,1)-VLOOKUP($AO12,'Технический лист'!$A:$B,2,1)),1+(1-$AU12))</f>
        <v>1.0250000000000001</v>
      </c>
      <c r="CH12" s="15">
        <f>MIN(IF($AU12=100%,1,1+VLOOKUP(($AJ12-$AI12-$AH12-$AG12-$AF12-$AE12*(1+CH$3))/$AJ12,'Технический лист'!$A:$B,2,1)-VLOOKUP($AO12,'Технический лист'!$A:$B,2,1)),1+(1-$AU12))</f>
        <v>1.0250000000000001</v>
      </c>
      <c r="CI12" s="15">
        <f>MIN(IF($AU12=100%,1,1+VLOOKUP(($AJ12-$AI12-$AH12-$AG12-$AF12-$AE12*(1+CI$3))/$AJ12,'Технический лист'!$A:$B,2,1)-VLOOKUP($AO12,'Технический лист'!$A:$B,2,1)),1+(1-$AU12))</f>
        <v>1.0250000000000001</v>
      </c>
      <c r="CJ12" s="15">
        <f>MIN(IF($AU12=100%,1,1+VLOOKUP(($AJ12-$AI12-$AH12-$AG12-$AF12-$AE12*(1+CJ$3))/$AJ12,'Технический лист'!$A:$B,2,1)-VLOOKUP($AO12,'Технический лист'!$A:$B,2,1)),1+(1-$AU12))</f>
        <v>1.0250000000000001</v>
      </c>
      <c r="CK12" s="15">
        <f>MIN(IF($AU12=100%,1,1+VLOOKUP(($AJ12-$AI12-$AH12-$AG12-$AF12-$AE12*(1+CK$3))/$AJ12,'Технический лист'!$A:$B,2,1)-VLOOKUP($AO12,'Технический лист'!$A:$B,2,1)),1+(1-$AU12))</f>
        <v>1.0250000000000001</v>
      </c>
      <c r="CL12" s="15">
        <f>MIN(IF($AU12=100%,1,1+VLOOKUP(($AJ12-$AI12-$AH12-$AG12-$AF12-$AE12*(1+CL$3))/$AJ12,'Технический лист'!$A:$B,2,1)-VLOOKUP($AO12,'Технический лист'!$A:$B,2,1)),1+(1-$AU12))</f>
        <v>1.0250000000000001</v>
      </c>
      <c r="CM12" s="15">
        <f>MIN(IF($AU12=100%,1,1+VLOOKUP(($AJ12-$AI12-$AH12-$AG12-$AF12-$AE12*(1+CM$3))/$AJ12,'Технический лист'!$A:$B,2,1)-VLOOKUP($AO12,'Технический лист'!$A:$B,2,1)),1+(1-$AU12))</f>
        <v>1.0250000000000001</v>
      </c>
      <c r="CN12" s="15">
        <f>MIN(IF($AU12=100%,1,1+VLOOKUP(($AJ12-$AI12-$AH12-$AG12-$AF12-$AE12*(1+CN$3))/$AJ12,'Технический лист'!$A:$B,2,1)-VLOOKUP($AO12,'Технический лист'!$A:$B,2,1)),1+(1-$AU12))</f>
        <v>1.02</v>
      </c>
      <c r="CO12" s="15">
        <f>MIN(IF($AU12=100%,1,1+VLOOKUP(($AJ12-$AI12-$AH12-$AG12-$AF12-$AE12*(1+CO$3))/$AJ12,'Технический лист'!$A:$B,2,1)-VLOOKUP($AO12,'Технический лист'!$A:$B,2,1)),1+(1-$AU12))</f>
        <v>1.02</v>
      </c>
      <c r="CP12" s="15">
        <f>MIN(IF($AU12=100%,1,1+VLOOKUP(($AJ12-$AI12-$AH12-$AG12-$AF12-$AE12*(1+CP$3))/$AJ12,'Технический лист'!$A:$B,2,1)-VLOOKUP($AO12,'Технический лист'!$A:$B,2,1)),1+(1-$AU12))</f>
        <v>1.02</v>
      </c>
      <c r="CQ12" s="15">
        <f>MIN(IF($AU12=100%,1,1+VLOOKUP(($AJ12-$AI12-$AH12-$AG12-$AF12-$AE12*(1+CQ$3))/$AJ12,'Технический лист'!$A:$B,2,1)-VLOOKUP($AO12,'Технический лист'!$A:$B,2,1)),1+(1-$AU12))</f>
        <v>1.02</v>
      </c>
      <c r="CR12" s="15">
        <f>MIN(IF($AU12=100%,1,1+VLOOKUP(($AJ12-$AI12-$AH12-$AG12-$AF12-$AE12*(1+CR$3))/$AJ12,'Технический лист'!$A:$B,2,1)-VLOOKUP($AO12,'Технический лист'!$A:$B,2,1)),1+(1-$AU12))</f>
        <v>1.02</v>
      </c>
      <c r="CS12" s="15">
        <f>MIN(IF($AU12=100%,1,1+VLOOKUP(($AJ12-$AI12-$AH12-$AG12-$AF12-$AE12*(1+CS$3))/$AJ12,'Технический лист'!$A:$B,2,1)-VLOOKUP($AO12,'Технический лист'!$A:$B,2,1)),1+(1-$AU12))</f>
        <v>1.02</v>
      </c>
      <c r="CT12" s="15">
        <f>MIN(IF($AU12=100%,1,1+VLOOKUP(($AJ12-$AI12-$AH12-$AG12-$AF12-$AE12*(1+CT$3))/$AJ12,'Технический лист'!$A:$B,2,1)-VLOOKUP($AO12,'Технический лист'!$A:$B,2,1)),1+(1-$AU12))</f>
        <v>1.02</v>
      </c>
      <c r="CU12" s="15">
        <f>MIN(IF($AU12=100%,1,1+VLOOKUP(($AJ12-$AI12-$AH12-$AG12-$AF12-$AE12*(1+CU$3))/$AJ12,'Технический лист'!$A:$B,2,1)-VLOOKUP($AO12,'Технический лист'!$A:$B,2,1)),1+(1-$AU12))</f>
        <v>1.02</v>
      </c>
      <c r="CV12" s="15">
        <f>MIN(IF($AU12=100%,1,1+VLOOKUP(($AJ12-$AI12-$AH12-$AG12-$AF12-$AE12*(1+CV$3))/$AJ12,'Технический лист'!$A:$B,2,1)-VLOOKUP($AO12,'Технический лист'!$A:$B,2,1)),1+(1-$AU12))</f>
        <v>1.02</v>
      </c>
      <c r="CW12" s="15">
        <f>MIN(IF($AU12=100%,1,1+VLOOKUP(($AJ12-$AI12-$AH12-$AG12-$AF12-$AE12*(1+CW$3))/$AJ12,'Технический лист'!$A:$B,2,1)-VLOOKUP($AO12,'Технический лист'!$A:$B,2,1)),1+(1-$AU12))</f>
        <v>1.02</v>
      </c>
      <c r="CX12" s="15">
        <f>MIN(IF($AU12=100%,1,1+VLOOKUP(($AJ12-$AI12-$AH12-$AG12-$AF12-$AE12*(1+CX$3))/$AJ12,'Технический лист'!$A:$B,2,1)-VLOOKUP($AO12,'Технический лист'!$A:$B,2,1)),1+(1-$AU12))</f>
        <v>1.02</v>
      </c>
      <c r="CY12" s="15">
        <f>MIN(IF($AU12=100%,1,1+VLOOKUP(($AJ12-$AI12-$AH12-$AG12-$AF12-$AE12*(1+CY$3))/$AJ12,'Технический лист'!$A:$B,2,1)-VLOOKUP($AO12,'Технический лист'!$A:$B,2,1)),1+(1-$AU12))</f>
        <v>1.02</v>
      </c>
      <c r="CZ12" s="15">
        <f>MIN(IF($AU12=100%,1,1+VLOOKUP(($AJ12-$AI12-$AH12-$AG12-$AF12-$AE12*(1+CZ$3))/$AJ12,'Технический лист'!$A:$B,2,1)-VLOOKUP($AO12,'Технический лист'!$A:$B,2,1)),1+(1-$AU12))</f>
        <v>1.02</v>
      </c>
      <c r="DA12" s="15">
        <f>MIN(IF($AU12=100%,1,1+VLOOKUP(($AJ12-$AI12-$AH12-$AG12-$AF12-$AE12*(1+DA$3))/$AJ12,'Технический лист'!$A:$B,2,1)-VLOOKUP($AO12,'Технический лист'!$A:$B,2,1)),1+(1-$AU12))</f>
        <v>1.02</v>
      </c>
      <c r="DB12" s="15">
        <f>MIN(IF($AU12=100%,1,1+VLOOKUP(($AJ12-$AI12-$AH12-$AG12-$AF12-$AE12*(1+DB$3))/$AJ12,'Технический лист'!$A:$B,2,1)-VLOOKUP($AO12,'Технический лист'!$A:$B,2,1)),1+(1-$AU12))</f>
        <v>1.0149999999999999</v>
      </c>
      <c r="DC12" s="15">
        <f>MIN(IF($AU12=100%,1,1+VLOOKUP(($AJ12-$AI12-$AH12-$AG12-$AF12-$AE12*(1+DC$3))/$AJ12,'Технический лист'!$A:$B,2,1)-VLOOKUP($AO12,'Технический лист'!$A:$B,2,1)),1+(1-$AU12))</f>
        <v>1.0149999999999999</v>
      </c>
      <c r="DD12" s="15">
        <f>MIN(IF($AU12=100%,1,1+VLOOKUP(($AJ12-$AI12-$AH12-$AG12-$AF12-$AE12*(1+DD$3))/$AJ12,'Технический лист'!$A:$B,2,1)-VLOOKUP($AO12,'Технический лист'!$A:$B,2,1)),1+(1-$AU12))</f>
        <v>1.0149999999999999</v>
      </c>
      <c r="DE12" s="15">
        <f>MIN(IF($AU12=100%,1,1+VLOOKUP(($AJ12-$AI12-$AH12-$AG12-$AF12-$AE12*(1+DE$3))/$AJ12,'Технический лист'!$A:$B,2,1)-VLOOKUP($AO12,'Технический лист'!$A:$B,2,1)),1+(1-$AU12))</f>
        <v>1.0149999999999999</v>
      </c>
      <c r="DF12" s="15">
        <f>MIN(IF($AU12=100%,1,1+VLOOKUP(($AJ12-$AI12-$AH12-$AG12-$AF12-$AE12*(1+DF$3))/$AJ12,'Технический лист'!$A:$B,2,1)-VLOOKUP($AO12,'Технический лист'!$A:$B,2,1)),1+(1-$AU12))</f>
        <v>1.0149999999999999</v>
      </c>
      <c r="DG12" s="15">
        <f>MIN(IF($AU12=100%,1,1+VLOOKUP(($AJ12-$AI12-$AH12-$AG12-$AF12-$AE12*(1+DG$3))/$AJ12,'Технический лист'!$A:$B,2,1)-VLOOKUP($AO12,'Технический лист'!$A:$B,2,1)),1+(1-$AU12))</f>
        <v>1.0149999999999999</v>
      </c>
      <c r="DH12" s="15">
        <f>MIN(IF($AU12=100%,1,1+VLOOKUP(($AJ12-$AI12-$AH12-$AG12-$AF12-$AE12*(1+DH$3))/$AJ12,'Технический лист'!$A:$B,2,1)-VLOOKUP($AO12,'Технический лист'!$A:$B,2,1)),1+(1-$AU12))</f>
        <v>1.0149999999999999</v>
      </c>
      <c r="DI12" s="15">
        <f>MIN(IF($AU12=100%,1,1+VLOOKUP(($AJ12-$AI12-$AH12-$AG12-$AF12-$AE12*(1+DI$3))/$AJ12,'Технический лист'!$A:$B,2,1)-VLOOKUP($AO12,'Технический лист'!$A:$B,2,1)),1+(1-$AU12))</f>
        <v>1.0149999999999999</v>
      </c>
      <c r="DJ12" s="15">
        <f>MIN(IF($AU12=100%,1,1+VLOOKUP(($AJ12-$AI12-$AH12-$AG12-$AF12-$AE12*(1+DJ$3))/$AJ12,'Технический лист'!$A:$B,2,1)-VLOOKUP($AO12,'Технический лист'!$A:$B,2,1)),1+(1-$AU12))</f>
        <v>1.0149999999999999</v>
      </c>
      <c r="DK12" s="15">
        <f>MIN(IF($AU12=100%,1,1+VLOOKUP(($AJ12-$AI12-$AH12-$AG12-$AF12-$AE12*(1+DK$3))/$AJ12,'Технический лист'!$A:$B,2,1)-VLOOKUP($AO12,'Технический лист'!$A:$B,2,1)),1+(1-$AU12))</f>
        <v>1.0149999999999999</v>
      </c>
      <c r="DL12" s="15">
        <f>MIN(IF($AU12=100%,1,1+VLOOKUP(($AJ12-$AI12-$AH12-$AG12-$AF12-$AE12*(1+DL$3))/$AJ12,'Технический лист'!$A:$B,2,1)-VLOOKUP($AO12,'Технический лист'!$A:$B,2,1)),1+(1-$AU12))</f>
        <v>1.0149999999999999</v>
      </c>
      <c r="DM12" s="15">
        <f>MIN(IF($AU12=100%,1,1+VLOOKUP(($AJ12-$AI12-$AH12-$AG12-$AF12-$AE12*(1+DM$3))/$AJ12,'Технический лист'!$A:$B,2,1)-VLOOKUP($AO12,'Технический лист'!$A:$B,2,1)),1+(1-$AU12))</f>
        <v>1.0149999999999999</v>
      </c>
      <c r="DN12" s="15">
        <f>MIN(IF($AU12=100%,1,1+VLOOKUP(($AJ12-$AI12-$AH12-$AG12-$AF12-$AE12*(1+DN$3))/$AJ12,'Технический лист'!$A:$B,2,1)-VLOOKUP($AO12,'Технический лист'!$A:$B,2,1)),1+(1-$AU12))</f>
        <v>1.0149999999999999</v>
      </c>
      <c r="DO12" s="15">
        <f>MIN(IF($AU12=100%,1,1+VLOOKUP(($AJ12-$AI12-$AH12-$AG12-$AF12-$AE12*(1+DO$3))/$AJ12,'Технический лист'!$A:$B,2,1)-VLOOKUP($AO12,'Технический лист'!$A:$B,2,1)),1+(1-$AU12))</f>
        <v>1.0149999999999999</v>
      </c>
      <c r="DP12" s="15">
        <f>MIN(IF($AU12=100%,1,1+VLOOKUP(($AJ12-$AI12-$AH12-$AG12-$AF12-$AE12*(1+DP$3))/$AJ12,'Технический лист'!$A:$B,2,1)-VLOOKUP($AO12,'Технический лист'!$A:$B,2,1)),1+(1-$AU12))</f>
        <v>1.01</v>
      </c>
      <c r="DQ12" s="15">
        <f>MIN(IF($AU12=100%,1,1+VLOOKUP(($AJ12-$AI12-$AH12-$AG12-$AF12-$AE12*(1+DQ$3))/$AJ12,'Технический лист'!$A:$B,2,1)-VLOOKUP($AO12,'Технический лист'!$A:$B,2,1)),1+(1-$AU12))</f>
        <v>1.01</v>
      </c>
      <c r="DR12" s="15">
        <f>MIN(IF($AU12=100%,1,1+VLOOKUP(($AJ12-$AI12-$AH12-$AG12-$AF12-$AE12*(1+DR$3))/$AJ12,'Технический лист'!$A:$B,2,1)-VLOOKUP($AO12,'Технический лист'!$A:$B,2,1)),1+(1-$AU12))</f>
        <v>1.01</v>
      </c>
      <c r="DS12" s="15">
        <f>MIN(IF($AU12=100%,1,1+VLOOKUP(($AJ12-$AI12-$AH12-$AG12-$AF12-$AE12*(1+DS$3))/$AJ12,'Технический лист'!$A:$B,2,1)-VLOOKUP($AO12,'Технический лист'!$A:$B,2,1)),1+(1-$AU12))</f>
        <v>1.01</v>
      </c>
      <c r="DT12" s="15">
        <f>MIN(IF($AU12=100%,1,1+VLOOKUP(($AJ12-$AI12-$AH12-$AG12-$AF12-$AE12*(1+DT$3))/$AJ12,'Технический лист'!$A:$B,2,1)-VLOOKUP($AO12,'Технический лист'!$A:$B,2,1)),1+(1-$AU12))</f>
        <v>1.01</v>
      </c>
      <c r="DU12" s="15">
        <f>MIN(IF($AU12=100%,1,1+VLOOKUP(($AJ12-$AI12-$AH12-$AG12-$AF12-$AE12*(1+DU$3))/$AJ12,'Технический лист'!$A:$B,2,1)-VLOOKUP($AO12,'Технический лист'!$A:$B,2,1)),1+(1-$AU12))</f>
        <v>1.01</v>
      </c>
      <c r="DV12" s="15">
        <f>MIN(IF($AU12=100%,1,1+VLOOKUP(($AJ12-$AI12-$AH12-$AG12-$AF12-$AE12*(1+DV$3))/$AJ12,'Технический лист'!$A:$B,2,1)-VLOOKUP($AO12,'Технический лист'!$A:$B,2,1)),1+(1-$AU12))</f>
        <v>1.01</v>
      </c>
      <c r="DW12" s="15">
        <f>MIN(IF($AU12=100%,1,1+VLOOKUP(($AJ12-$AI12-$AH12-$AG12-$AF12-$AE12*(1+DW$3))/$AJ12,'Технический лист'!$A:$B,2,1)-VLOOKUP($AO12,'Технический лист'!$A:$B,2,1)),1+(1-$AU12))</f>
        <v>1.01</v>
      </c>
      <c r="DX12" s="15">
        <f>MIN(IF($AU12=100%,1,1+VLOOKUP(($AJ12-$AI12-$AH12-$AG12-$AF12-$AE12*(1+DX$3))/$AJ12,'Технический лист'!$A:$B,2,1)-VLOOKUP($AO12,'Технический лист'!$A:$B,2,1)),1+(1-$AU12))</f>
        <v>1.01</v>
      </c>
      <c r="DY12" s="15">
        <f>MIN(IF($AU12=100%,1,1+VLOOKUP(($AJ12-$AI12-$AH12-$AG12-$AF12-$AE12*(1+DY$3))/$AJ12,'Технический лист'!$A:$B,2,1)-VLOOKUP($AO12,'Технический лист'!$A:$B,2,1)),1+(1-$AU12))</f>
        <v>1.01</v>
      </c>
      <c r="DZ12" s="15">
        <f>MIN(IF($AU12=100%,1,1+VLOOKUP(($AJ12-$AI12-$AH12-$AG12-$AF12-$AE12*(1+DZ$3))/$AJ12,'Технический лист'!$A:$B,2,1)-VLOOKUP($AO12,'Технический лист'!$A:$B,2,1)),1+(1-$AU12))</f>
        <v>1.01</v>
      </c>
      <c r="EA12" s="15">
        <f>MIN(IF($AU12=100%,1,1+VLOOKUP(($AJ12-$AI12-$AH12-$AG12-$AF12-$AE12*(1+EA$3))/$AJ12,'Технический лист'!$A:$B,2,1)-VLOOKUP($AO12,'Технический лист'!$A:$B,2,1)),1+(1-$AU12))</f>
        <v>1.01</v>
      </c>
      <c r="EB12" s="15">
        <f>MIN(IF($AU12=100%,1,1+VLOOKUP(($AJ12-$AI12-$AH12-$AG12-$AF12-$AE12*(1+EB$3))/$AJ12,'Технический лист'!$A:$B,2,1)-VLOOKUP($AO12,'Технический лист'!$A:$B,2,1)),1+(1-$AU12))</f>
        <v>1.01</v>
      </c>
      <c r="EC12" s="15">
        <f>MIN(IF($AU12=100%,1,1+VLOOKUP(($AJ12-$AI12-$AH12-$AG12-$AF12-$AE12*(1+EC$3))/$AJ12,'Технический лист'!$A:$B,2,1)-VLOOKUP($AO12,'Технический лист'!$A:$B,2,1)),1+(1-$AU12))</f>
        <v>1.01</v>
      </c>
      <c r="ED12" s="15">
        <f>MIN(IF($AU12=100%,1,1+VLOOKUP(($AJ12-$AI12-$AH12-$AG12-$AF12-$AE12*(1+ED$3))/$AJ12,'Технический лист'!$A:$B,2,1)-VLOOKUP($AO12,'Технический лист'!$A:$B,2,1)),1+(1-$AU12))</f>
        <v>1.0050000000000001</v>
      </c>
      <c r="EE12" s="15">
        <f>MIN(IF($AU12=100%,1,1+VLOOKUP(($AJ12-$AI12-$AH12-$AG12-$AF12-$AE12*(1+EE$3))/$AJ12,'Технический лист'!$A:$B,2,1)-VLOOKUP($AO12,'Технический лист'!$A:$B,2,1)),1+(1-$AU12))</f>
        <v>1.0050000000000001</v>
      </c>
      <c r="EF12" s="15">
        <f>MIN(IF($AU12=100%,1,1+VLOOKUP(($AJ12-$AI12-$AH12-$AG12-$AF12-$AE12*(1+EF$3))/$AJ12,'Технический лист'!$A:$B,2,1)-VLOOKUP($AO12,'Технический лист'!$A:$B,2,1)),1+(1-$AU12))</f>
        <v>1.0050000000000001</v>
      </c>
      <c r="EG12" s="15">
        <f>MIN(IF($AU12=100%,1,1+VLOOKUP(($AJ12-$AI12-$AH12-$AG12-$AF12-$AE12*(1+EG$3))/$AJ12,'Технический лист'!$A:$B,2,1)-VLOOKUP($AO12,'Технический лист'!$A:$B,2,1)),1+(1-$AU12))</f>
        <v>1.0050000000000001</v>
      </c>
      <c r="EH12" s="15">
        <f>MIN(IF($AU12=100%,1,1+VLOOKUP(($AJ12-$AI12-$AH12-$AG12-$AF12-$AE12*(1+EH$3))/$AJ12,'Технический лист'!$A:$B,2,1)-VLOOKUP($AO12,'Технический лист'!$A:$B,2,1)),1+(1-$AU12))</f>
        <v>1.0050000000000001</v>
      </c>
      <c r="EI12" s="15">
        <f>MIN(IF($AU12=100%,1,1+VLOOKUP(($AJ12-$AI12-$AH12-$AG12-$AF12-$AE12*(1+EI$3))/$AJ12,'Технический лист'!$A:$B,2,1)-VLOOKUP($AO12,'Технический лист'!$A:$B,2,1)),1+(1-$AU12))</f>
        <v>1.0050000000000001</v>
      </c>
      <c r="EJ12" s="15">
        <f>MIN(IF($AU12=100%,1,1+VLOOKUP(($AJ12-$AI12-$AH12-$AG12-$AF12-$AE12*(1+EJ$3))/$AJ12,'Технический лист'!$A:$B,2,1)-VLOOKUP($AO12,'Технический лист'!$A:$B,2,1)),1+(1-$AU12))</f>
        <v>1.0050000000000001</v>
      </c>
      <c r="EK12" s="15">
        <f>MIN(IF($AU12=100%,1,1+VLOOKUP(($AJ12-$AI12-$AH12-$AG12-$AF12-$AE12*(1+EK$3))/$AJ12,'Технический лист'!$A:$B,2,1)-VLOOKUP($AO12,'Технический лист'!$A:$B,2,1)),1+(1-$AU12))</f>
        <v>1.0050000000000001</v>
      </c>
      <c r="EL12" s="15">
        <f>MIN(IF($AU12=100%,1,1+VLOOKUP(($AJ12-$AI12-$AH12-$AG12-$AF12-$AE12*(1+EL$3))/$AJ12,'Технический лист'!$A:$B,2,1)-VLOOKUP($AO12,'Технический лист'!$A:$B,2,1)),1+(1-$AU12))</f>
        <v>1.0050000000000001</v>
      </c>
      <c r="EM12" s="15">
        <f>MIN(IF($AU12=100%,1,1+VLOOKUP(($AJ12-$AI12-$AH12-$AG12-$AF12-$AE12*(1+EM$3))/$AJ12,'Технический лист'!$A:$B,2,1)-VLOOKUP($AO12,'Технический лист'!$A:$B,2,1)),1+(1-$AU12))</f>
        <v>1.0050000000000001</v>
      </c>
      <c r="EN12" s="15">
        <f>MIN(IF($AU12=100%,1,1+VLOOKUP(($AJ12-$AI12-$AH12-$AG12-$AF12-$AE12*(1+EN$3))/$AJ12,'Технический лист'!$A:$B,2,1)-VLOOKUP($AO12,'Технический лист'!$A:$B,2,1)),1+(1-$AU12))</f>
        <v>1.0050000000000001</v>
      </c>
      <c r="EO12" s="15">
        <f>MIN(IF($AU12=100%,1,1+VLOOKUP(($AJ12-$AI12-$AH12-$AG12-$AF12-$AE12*(1+EO$3))/$AJ12,'Технический лист'!$A:$B,2,1)-VLOOKUP($AO12,'Технический лист'!$A:$B,2,1)),1+(1-$AU12))</f>
        <v>1.0050000000000001</v>
      </c>
      <c r="EP12" s="15">
        <f>MIN(IF($AU12=100%,1,1+VLOOKUP(($AJ12-$AI12-$AH12-$AG12-$AF12-$AE12*(1+EP$3))/$AJ12,'Технический лист'!$A:$B,2,1)-VLOOKUP($AO12,'Технический лист'!$A:$B,2,1)),1+(1-$AU12))</f>
        <v>1.0050000000000001</v>
      </c>
      <c r="EQ12" s="15">
        <f>MIN(IF($AU12=100%,1,1+VLOOKUP(($AJ12-$AI12-$AH12-$AG12-$AF12-$AE12*(1+EQ$3))/$AJ12,'Технический лист'!$A:$B,2,1)-VLOOKUP($AO12,'Технический лист'!$A:$B,2,1)),1+(1-$AU12))</f>
        <v>1.0050000000000001</v>
      </c>
      <c r="ER12" s="15">
        <f>MIN(IF($AU12=100%,1,1+VLOOKUP(($AJ12-$AI12-$AH12-$AG12-$AF12-$AE12*(1+ER$3))/$AJ12,'Технический лист'!$A:$B,2,1)-VLOOKUP($AO12,'Технический лист'!$A:$B,2,1)),1+(1-$AU12))</f>
        <v>1</v>
      </c>
      <c r="ES12" s="15">
        <f>MIN(IF($AU12=100%,1,1+VLOOKUP(($AJ12-$AI12-$AH12-$AG12-$AF12-$AE12*(1+ES$3))/$AJ12,'Технический лист'!$A:$B,2,1)-VLOOKUP($AO12,'Технический лист'!$A:$B,2,1)),1+(1-$AU12))</f>
        <v>1</v>
      </c>
      <c r="ET12" s="15">
        <f>MIN(IF($AU12=100%,1,1+VLOOKUP(($AJ12-$AI12-$AH12-$AG12-$AF12-$AE12*(1+ET$3))/$AJ12,'Технический лист'!$A:$B,2,1)-VLOOKUP($AO12,'Технический лист'!$A:$B,2,1)),1+(1-$AU12))</f>
        <v>1</v>
      </c>
      <c r="EU12" s="15">
        <f>MIN(IF($AU12=100%,1,1+VLOOKUP(($AJ12-$AI12-$AH12-$AG12-$AF12-$AE12*(1+EU$3))/$AJ12,'Технический лист'!$A:$B,2,1)-VLOOKUP($AO12,'Технический лист'!$A:$B,2,1)),1+(1-$AU12))</f>
        <v>1</v>
      </c>
      <c r="EV12" s="111">
        <v>1</v>
      </c>
      <c r="EW12" s="15">
        <f>MIN(1,MAX(VLOOKUP(($AJ12-$AI12-$AH12-$AG12-$AF12-$AE12*(1+EW$3))/$AJ12,'Технический лист'!$A:$B,2,1),(EV12-0.05)))</f>
        <v>0.97</v>
      </c>
      <c r="EX12" s="15">
        <f>MIN(1,MAX(VLOOKUP(($AJ12-$AI12-$AH12-$AG12-$AF12-$AE12*(1+EX$3))/$AJ12,'Технический лист'!$A:$B,2,1),(EW12-0.05)))</f>
        <v>0.97</v>
      </c>
      <c r="EY12" s="15">
        <f>MIN(1,MAX(VLOOKUP(($AJ12-$AI12-$AH12-$AG12-$AF12-$AE12*(1+EY$3))/$AJ12,'Технический лист'!$A:$B,2,1),(EX12-0.05)))</f>
        <v>0.97</v>
      </c>
      <c r="EZ12" s="15">
        <f>MIN(1,MAX(VLOOKUP(($AJ12-$AI12-$AH12-$AG12-$AF12-$AE12*(1+EZ$3))/$AJ12,'Технический лист'!$A:$B,2,1),(EY12-0.05)))</f>
        <v>0.97</v>
      </c>
      <c r="FA12" s="15">
        <f>MIN(1,MAX(VLOOKUP(($AJ12-$AI12-$AH12-$AG12-$AF12-$AE12*(1+FA$3))/$AJ12,'Технический лист'!$A:$B,2,1),(EZ12-0.05)))</f>
        <v>0.97</v>
      </c>
      <c r="FB12" s="15">
        <f>MIN(1,MAX(VLOOKUP(($AJ12-$AI12-$AH12-$AG12-$AF12-$AE12*(1+FB$3))/$AJ12,'Технический лист'!$A:$B,2,1),(FA12-0.05)))</f>
        <v>0.97</v>
      </c>
      <c r="FC12" s="15">
        <f>MIN(1,MAX(VLOOKUP(($AJ12-$AI12-$AH12-$AG12-$AF12-$AE12*(1+FC$3))/$AJ12,'Технический лист'!$A:$B,2,1),(FB12-0.05)))</f>
        <v>0.97</v>
      </c>
      <c r="FD12" s="15">
        <f>MIN(1,MAX(VLOOKUP(($AJ12-$AI12-$AH12-$AG12-$AF12-$AE12*(1+FD$3))/$AJ12,'Технический лист'!$A:$B,2,1),(FC12-0.05)))</f>
        <v>0.97</v>
      </c>
      <c r="FE12" s="15">
        <f>MIN(1,MAX(VLOOKUP(($AJ12-$AI12-$AH12-$AG12-$AF12-$AE12*(1+FE$3))/$AJ12,'Технический лист'!$A:$B,2,1),(FD12-0.05)))</f>
        <v>0.97</v>
      </c>
      <c r="FF12" s="15">
        <f>MIN(1,MAX(VLOOKUP(($AJ12-$AI12-$AH12-$AG12-$AF12-$AE12*(1+FF$3))/$AJ12,'Технический лист'!$A:$B,2,1),(FE12-0.05)))</f>
        <v>0.96499999999999997</v>
      </c>
      <c r="FG12" s="15">
        <f>MIN(1,MAX(VLOOKUP(($AJ12-$AI12-$AH12-$AG12-$AF12-$AE12*(1+FG$3))/$AJ12,'Технический лист'!$A:$B,2,1),(FF12-0.05)))</f>
        <v>0.96499999999999997</v>
      </c>
      <c r="FH12" s="15">
        <f>MIN(1,MAX(VLOOKUP(($AJ12-$AI12-$AH12-$AG12-$AF12-$AE12*(1+FH$3))/$AJ12,'Технический лист'!$A:$B,2,1),(FG12-0.05)))</f>
        <v>0.96499999999999997</v>
      </c>
      <c r="FI12" s="15">
        <f>MIN(1,MAX(VLOOKUP(($AJ12-$AI12-$AH12-$AG12-$AF12-$AE12*(1+FI$3))/$AJ12,'Технический лист'!$A:$B,2,1),(FH12-0.05)))</f>
        <v>0.96499999999999997</v>
      </c>
      <c r="FJ12" s="15">
        <f>MIN(1,MAX(VLOOKUP(($AJ12-$AI12-$AH12-$AG12-$AF12-$AE12*(1+FJ$3))/$AJ12,'Технический лист'!$A:$B,2,1),(FI12-0.05)))</f>
        <v>0.96499999999999997</v>
      </c>
      <c r="FK12" s="15">
        <f>MIN(1,MAX(VLOOKUP(($AJ12-$AI12-$AH12-$AG12-$AF12-$AE12*(1+FK$3))/$AJ12,'Технический лист'!$A:$B,2,1),(FJ12-0.05)))</f>
        <v>0.96499999999999997</v>
      </c>
      <c r="FL12" s="15">
        <f>MIN(1,MAX(VLOOKUP(($AJ12-$AI12-$AH12-$AG12-$AF12-$AE12*(1+FL$3))/$AJ12,'Технический лист'!$A:$B,2,1),(FK12-0.05)))</f>
        <v>0.96499999999999997</v>
      </c>
      <c r="FM12" s="15">
        <f>MIN(1,MAX(VLOOKUP(($AJ12-$AI12-$AH12-$AG12-$AF12-$AE12*(1+FM$3))/$AJ12,'Технический лист'!$A:$B,2,1),(FL12-0.05)))</f>
        <v>0.96499999999999997</v>
      </c>
      <c r="FN12" s="15">
        <f>MIN(1,MAX(VLOOKUP(($AJ12-$AI12-$AH12-$AG12-$AF12-$AE12*(1+FN$3))/$AJ12,'Технический лист'!$A:$B,2,1),(FM12-0.05)))</f>
        <v>0.96499999999999997</v>
      </c>
      <c r="FO12" s="15">
        <f>MIN(1,MAX(VLOOKUP(($AJ12-$AI12-$AH12-$AG12-$AF12-$AE12*(1+FO$3))/$AJ12,'Технический лист'!$A:$B,2,1),(FN12-0.05)))</f>
        <v>0.96499999999999997</v>
      </c>
      <c r="FP12" s="15">
        <f>MIN(1,MAX(VLOOKUP(($AJ12-$AI12-$AH12-$AG12-$AF12-$AE12*(1+FP$3))/$AJ12,'Технический лист'!$A:$B,2,1),(FO12-0.05)))</f>
        <v>0.96499999999999997</v>
      </c>
      <c r="FQ12" s="15">
        <f>MIN(1,MAX(VLOOKUP(($AJ12-$AI12-$AH12-$AG12-$AF12-$AE12*(1+FQ$3))/$AJ12,'Технический лист'!$A:$B,2,1),(FP12-0.05)))</f>
        <v>0.96499999999999997</v>
      </c>
      <c r="FR12" s="15">
        <f>MIN(1,MAX(VLOOKUP(($AJ12-$AI12-$AH12-$AG12-$AF12-$AE12*(1+FR$3))/$AJ12,'Технический лист'!$A:$B,2,1),(FQ12-0.05)))</f>
        <v>0.96499999999999997</v>
      </c>
      <c r="FS12" s="15">
        <f>MIN(1,MAX(VLOOKUP(($AJ12-$AI12-$AH12-$AG12-$AF12-$AE12*(1+FS$3))/$AJ12,'Технический лист'!$A:$B,2,1),(FR12-0.05)))</f>
        <v>0.96499999999999997</v>
      </c>
      <c r="FT12" s="15">
        <f>MIN(1,MAX(VLOOKUP(($AJ12-$AI12-$AH12-$AG12-$AF12-$AE12*(1+FT$3))/$AJ12,'Технический лист'!$A:$B,2,1),(FS12-0.05)))</f>
        <v>0.96</v>
      </c>
      <c r="FU12" s="15">
        <f>MIN(1,MAX(VLOOKUP(($AJ12-$AI12-$AH12-$AG12-$AF12-$AE12*(1+FU$3))/$AJ12,'Технический лист'!$A:$B,2,1),(FT12-0.05)))</f>
        <v>0.96</v>
      </c>
      <c r="FV12" s="15">
        <f>MIN(1,MAX(VLOOKUP(($AJ12-$AI12-$AH12-$AG12-$AF12-$AE12*(1+FV$3))/$AJ12,'Технический лист'!$A:$B,2,1),(FU12-0.05)))</f>
        <v>0.96</v>
      </c>
      <c r="FW12" s="15">
        <f>MIN(1,MAX(VLOOKUP(($AJ12-$AI12-$AH12-$AG12-$AF12-$AE12*(1+FW$3))/$AJ12,'Технический лист'!$A:$B,2,1),(FV12-0.05)))</f>
        <v>0.96</v>
      </c>
      <c r="FX12" s="15">
        <f>MIN(1,MAX(VLOOKUP(($AJ12-$AI12-$AH12-$AG12-$AF12-$AE12*(1+FX$3))/$AJ12,'Технический лист'!$A:$B,2,1),(FW12-0.05)))</f>
        <v>0.96</v>
      </c>
      <c r="FY12" s="15">
        <f>MIN(1,MAX(VLOOKUP(($AJ12-$AI12-$AH12-$AG12-$AF12-$AE12*(1+FY$3))/$AJ12,'Технический лист'!$A:$B,2,1),(FX12-0.05)))</f>
        <v>0.96</v>
      </c>
      <c r="FZ12" s="15">
        <f>MIN(1,MAX(VLOOKUP(($AJ12-$AI12-$AH12-$AG12-$AF12-$AE12*(1+FZ$3))/$AJ12,'Технический лист'!$A:$B,2,1),(FY12-0.05)))</f>
        <v>0.96</v>
      </c>
      <c r="GA12" s="15">
        <f>MIN(1,MAX(VLOOKUP(($AJ12-$AI12-$AH12-$AG12-$AF12-$AE12*(1+GA$3))/$AJ12,'Технический лист'!$A:$B,2,1),(FZ12-0.05)))</f>
        <v>0.96</v>
      </c>
      <c r="GB12" s="15">
        <f>MIN(1,MAX(VLOOKUP(($AJ12-$AI12-$AH12-$AG12-$AF12-$AE12*(1+GB$3))/$AJ12,'Технический лист'!$A:$B,2,1),(GA12-0.05)))</f>
        <v>0.96</v>
      </c>
      <c r="GC12" s="15">
        <f>MIN(1,MAX(VLOOKUP(($AJ12-$AI12-$AH12-$AG12-$AF12-$AE12*(1+GC$3))/$AJ12,'Технический лист'!$A:$B,2,1),(GB12-0.05)))</f>
        <v>0.96</v>
      </c>
      <c r="GD12" s="15">
        <f>MIN(1,MAX(VLOOKUP(($AJ12-$AI12-$AH12-$AG12-$AF12-$AE12*(1+GD$3))/$AJ12,'Технический лист'!$A:$B,2,1),(GC12-0.05)))</f>
        <v>0.96</v>
      </c>
      <c r="GE12" s="15">
        <f>MIN(1,MAX(VLOOKUP(($AJ12-$AI12-$AH12-$AG12-$AF12-$AE12*(1+GE$3))/$AJ12,'Технический лист'!$A:$B,2,1),(GD12-0.05)))</f>
        <v>0.96</v>
      </c>
      <c r="GF12" s="15">
        <f>MIN(1,MAX(VLOOKUP(($AJ12-$AI12-$AH12-$AG12-$AF12-$AE12*(1+GF$3))/$AJ12,'Технический лист'!$A:$B,2,1),(GE12-0.05)))</f>
        <v>0.96</v>
      </c>
      <c r="GG12" s="15">
        <f>MIN(1,MAX(VLOOKUP(($AJ12-$AI12-$AH12-$AG12-$AF12-$AE12*(1+GG$3))/$AJ12,'Технический лист'!$A:$B,2,1),(GF12-0.05)))</f>
        <v>0.96</v>
      </c>
      <c r="GH12" s="15">
        <f>MIN(1,MAX(VLOOKUP(($AJ12-$AI12-$AH12-$AG12-$AF12-$AE12*(1+GH$3))/$AJ12,'Технический лист'!$A:$B,2,1),(GG12-0.05)))</f>
        <v>0.95499999999999996</v>
      </c>
      <c r="GI12" s="15">
        <f>MIN(1,MAX(VLOOKUP(($AJ12-$AI12-$AH12-$AG12-$AF12-$AE12*(1+GI$3))/$AJ12,'Технический лист'!$A:$B,2,1),(GH12-0.05)))</f>
        <v>0.95499999999999996</v>
      </c>
      <c r="GJ12" s="15">
        <f>MIN(1,MAX(VLOOKUP(($AJ12-$AI12-$AH12-$AG12-$AF12-$AE12*(1+GJ$3))/$AJ12,'Технический лист'!$A:$B,2,1),(GI12-0.05)))</f>
        <v>0.95499999999999996</v>
      </c>
      <c r="GK12" s="15">
        <f>MIN(1,MAX(VLOOKUP(($AJ12-$AI12-$AH12-$AG12-$AF12-$AE12*(1+GK$3))/$AJ12,'Технический лист'!$A:$B,2,1),(GJ12-0.05)))</f>
        <v>0.95499999999999996</v>
      </c>
      <c r="GL12" s="15">
        <f>MIN(1,MAX(VLOOKUP(($AJ12-$AI12-$AH12-$AG12-$AF12-$AE12*(1+GL$3))/$AJ12,'Технический лист'!$A:$B,2,1),(GK12-0.05)))</f>
        <v>0.95499999999999996</v>
      </c>
      <c r="GM12" s="15">
        <f>MIN(1,MAX(VLOOKUP(($AJ12-$AI12-$AH12-$AG12-$AF12-$AE12*(1+GM$3))/$AJ12,'Технический лист'!$A:$B,2,1),(GL12-0.05)))</f>
        <v>0.95499999999999996</v>
      </c>
      <c r="GN12" s="15">
        <f>MIN(1,MAX(VLOOKUP(($AJ12-$AI12-$AH12-$AG12-$AF12-$AE12*(1+GN$3))/$AJ12,'Технический лист'!$A:$B,2,1),(GM12-0.05)))</f>
        <v>0.95499999999999996</v>
      </c>
      <c r="GO12" s="15">
        <f>MIN(1,MAX(VLOOKUP(($AJ12-$AI12-$AH12-$AG12-$AF12-$AE12*(1+GO$3))/$AJ12,'Технический лист'!$A:$B,2,1),(GN12-0.05)))</f>
        <v>0.95499999999999996</v>
      </c>
      <c r="GP12" s="15">
        <f>MIN(1,MAX(VLOOKUP(($AJ12-$AI12-$AH12-$AG12-$AF12-$AE12*(1+GP$3))/$AJ12,'Технический лист'!$A:$B,2,1),(GO12-0.05)))</f>
        <v>0.95499999999999996</v>
      </c>
      <c r="GQ12" s="15">
        <f>MIN(1,MAX(VLOOKUP(($AJ12-$AI12-$AH12-$AG12-$AF12-$AE12*(1+GQ$3))/$AJ12,'Технический лист'!$A:$B,2,1),(GP12-0.05)))</f>
        <v>0.95499999999999996</v>
      </c>
      <c r="GR12" s="15">
        <f>MIN(1,MAX(VLOOKUP(($AJ12-$AI12-$AH12-$AG12-$AF12-$AE12*(1+GR$3))/$AJ12,'Технический лист'!$A:$B,2,1),(GQ12-0.05)))</f>
        <v>0.95499999999999996</v>
      </c>
      <c r="GS12" s="15">
        <f>MIN(1,MAX(VLOOKUP(($AJ12-$AI12-$AH12-$AG12-$AF12-$AE12*(1+GS$3))/$AJ12,'Технический лист'!$A:$B,2,1),(GR12-0.05)))</f>
        <v>0.95499999999999996</v>
      </c>
      <c r="GT12" s="15">
        <f>MIN(1,MAX(VLOOKUP(($AJ12-$AI12-$AH12-$AG12-$AF12-$AE12*(1+GT$3))/$AJ12,'Технический лист'!$A:$B,2,1),(GS12-0.05)))</f>
        <v>0.95499999999999996</v>
      </c>
      <c r="GU12" s="15">
        <f>MIN(1,MAX(VLOOKUP(($AJ12-$AI12-$AH12-$AG12-$AF12-$AE12*(1+GU$3))/$AJ12,'Технический лист'!$A:$B,2,1),(GT12-0.05)))</f>
        <v>0.95499999999999996</v>
      </c>
      <c r="GV12" s="15">
        <f>MIN(1,MAX(VLOOKUP(($AJ12-$AI12-$AH12-$AG12-$AF12-$AE12*(1+GV$3))/$AJ12,'Технический лист'!$A:$B,2,1),(GU12-0.05)))</f>
        <v>0.95</v>
      </c>
      <c r="GW12" s="15">
        <f>MIN(1,MAX(VLOOKUP(($AJ12-$AI12-$AH12-$AG12-$AF12-$AE12*(1+GW$3))/$AJ12,'Технический лист'!$A:$B,2,1),(GV12-0.05)))</f>
        <v>0.95</v>
      </c>
      <c r="GX12" s="15">
        <f>MIN(1,MAX(VLOOKUP(($AJ12-$AI12-$AH12-$AG12-$AF12-$AE12*(1+GX$3))/$AJ12,'Технический лист'!$A:$B,2,1),(GW12-0.05)))</f>
        <v>0.95</v>
      </c>
      <c r="GY12" s="15">
        <f>MIN(1,MAX(VLOOKUP(($AJ12-$AI12-$AH12-$AG12-$AF12-$AE12*(1+GY$3))/$AJ12,'Технический лист'!$A:$B,2,1),(GX12-0.05)))</f>
        <v>0.95</v>
      </c>
      <c r="GZ12" s="15">
        <f>MIN(1,MAX(VLOOKUP(($AJ12-$AI12-$AH12-$AG12-$AF12-$AE12*(1+GZ$3))/$AJ12,'Технический лист'!$A:$B,2,1),(GY12-0.05)))</f>
        <v>0.95</v>
      </c>
      <c r="HA12" s="15">
        <f>MIN(1,MAX(VLOOKUP(($AJ12-$AI12-$AH12-$AG12-$AF12-$AE12*(1+HA$3))/$AJ12,'Технический лист'!$A:$B,2,1),(GZ12-0.05)))</f>
        <v>0.95</v>
      </c>
      <c r="HB12" s="15">
        <f>MIN(1,MAX(VLOOKUP(($AJ12-$AI12-$AH12-$AG12-$AF12-$AE12*(1+HB$3))/$AJ12,'Технический лист'!$A:$B,2,1),(HA12-0.05)))</f>
        <v>0.95</v>
      </c>
      <c r="HC12" s="15">
        <f>MIN(1,MAX(VLOOKUP(($AJ12-$AI12-$AH12-$AG12-$AF12-$AE12*(1+HC$3))/$AJ12,'Технический лист'!$A:$B,2,1),(HB12-0.05)))</f>
        <v>0.95</v>
      </c>
      <c r="HD12" s="15">
        <f>MIN(1,MAX(VLOOKUP(($AJ12-$AI12-$AH12-$AG12-$AF12-$AE12*(1+HD$3))/$AJ12,'Технический лист'!$A:$B,2,1),(HC12-0.05)))</f>
        <v>0.95</v>
      </c>
      <c r="HE12" s="15">
        <f>MIN(1,MAX(VLOOKUP(($AJ12-$AI12-$AH12-$AG12-$AF12-$AE12*(1+HE$3))/$AJ12,'Технический лист'!$A:$B,2,1),(HD12-0.05)))</f>
        <v>0.95</v>
      </c>
      <c r="HF12" s="15">
        <f>MIN(1,MAX(VLOOKUP(($AJ12-$AI12-$AH12-$AG12-$AF12-$AE12*(1+HF$3))/$AJ12,'Технический лист'!$A:$B,2,1),(HE12-0.05)))</f>
        <v>0.95</v>
      </c>
      <c r="HG12" s="15">
        <f>MIN(1,MAX(VLOOKUP(($AJ12-$AI12-$AH12-$AG12-$AF12-$AE12*(1+HG$3))/$AJ12,'Технический лист'!$A:$B,2,1),(HF12-0.05)))</f>
        <v>0.95</v>
      </c>
      <c r="HH12" s="15">
        <f>MIN(1,MAX(VLOOKUP(($AJ12-$AI12-$AH12-$AG12-$AF12-$AE12*(1+HH$3))/$AJ12,'Технический лист'!$A:$B,2,1),(HG12-0.05)))</f>
        <v>0.95</v>
      </c>
      <c r="HI12" s="15">
        <f>MIN(1,MAX(VLOOKUP(($AJ12-$AI12-$AH12-$AG12-$AF12-$AE12*(1+HI$3))/$AJ12,'Технический лист'!$A:$B,2,1),(HH12-0.05)))</f>
        <v>0.95</v>
      </c>
      <c r="HJ12" s="15">
        <f>MIN(1,MAX(VLOOKUP(($AJ12-$AI12-$AH12-$AG12-$AF12-$AE12*(1+HJ$3))/$AJ12,'Технический лист'!$A:$B,2,1),(HI12-0.05)))</f>
        <v>0.94499999999999995</v>
      </c>
      <c r="HK12" s="15">
        <f>MIN(1,MAX(VLOOKUP(($AJ12-$AI12-$AH12-$AG12-$AF12-$AE12*(1+HK$3))/$AJ12,'Технический лист'!$A:$B,2,1),(HJ12-0.05)))</f>
        <v>0.94499999999999995</v>
      </c>
      <c r="HL12" s="15">
        <f>MIN(1,MAX(VLOOKUP(($AJ12-$AI12-$AH12-$AG12-$AF12-$AE12*(1+HL$3))/$AJ12,'Технический лист'!$A:$B,2,1),(HK12-0.05)))</f>
        <v>0.94499999999999995</v>
      </c>
      <c r="HM12" s="15">
        <f>MIN(1,MAX(VLOOKUP(($AJ12-$AI12-$AH12-$AG12-$AF12-$AE12*(1+HM$3))/$AJ12,'Технический лист'!$A:$B,2,1),(HL12-0.05)))</f>
        <v>0.94499999999999995</v>
      </c>
      <c r="HN12" s="15">
        <f>MIN(1,MAX(VLOOKUP(($AJ12-$AI12-$AH12-$AG12-$AF12-$AE12*(1+HN$3))/$AJ12,'Технический лист'!$A:$B,2,1),(HM12-0.05)))</f>
        <v>0.94499999999999995</v>
      </c>
      <c r="HO12" s="15">
        <f>MIN(1,MAX(VLOOKUP(($AJ12-$AI12-$AH12-$AG12-$AF12-$AE12*(1+HO$3))/$AJ12,'Технический лист'!$A:$B,2,1),(HN12-0.05)))</f>
        <v>0.94499999999999995</v>
      </c>
      <c r="HP12" s="15">
        <f>MIN(1,MAX(VLOOKUP(($AJ12-$AI12-$AH12-$AG12-$AF12-$AE12*(1+HP$3))/$AJ12,'Технический лист'!$A:$B,2,1),(HO12-0.05)))</f>
        <v>0.94499999999999995</v>
      </c>
      <c r="HQ12" s="15">
        <f>MIN(1,MAX(VLOOKUP(($AJ12-$AI12-$AH12-$AG12-$AF12-$AE12*(1+HQ$3))/$AJ12,'Технический лист'!$A:$B,2,1),(HP12-0.05)))</f>
        <v>0.94499999999999995</v>
      </c>
      <c r="HR12" s="15">
        <f>MIN(1,MAX(VLOOKUP(($AJ12-$AI12-$AH12-$AG12-$AF12-$AE12*(1+HR$3))/$AJ12,'Технический лист'!$A:$B,2,1),(HQ12-0.05)))</f>
        <v>0.94499999999999995</v>
      </c>
      <c r="HS12" s="15">
        <f>MIN(1,MAX(VLOOKUP(($AJ12-$AI12-$AH12-$AG12-$AF12-$AE12*(1+HS$3))/$AJ12,'Технический лист'!$A:$B,2,1),(HR12-0.05)))</f>
        <v>0.94499999999999995</v>
      </c>
      <c r="HT12" s="15">
        <f>MIN(1,MAX(VLOOKUP(($AJ12-$AI12-$AH12-$AG12-$AF12-$AE12*(1+HT$3))/$AJ12,'Технический лист'!$A:$B,2,1),(HS12-0.05)))</f>
        <v>0.94499999999999995</v>
      </c>
      <c r="HU12" s="15">
        <f>MIN(1,MAX(VLOOKUP(($AJ12-$AI12-$AH12-$AG12-$AF12-$AE12*(1+HU$3))/$AJ12,'Технический лист'!$A:$B,2,1),(HT12-0.05)))</f>
        <v>0.94499999999999995</v>
      </c>
      <c r="HV12" s="15">
        <f>MIN(1,MAX(VLOOKUP(($AJ12-$AI12-$AH12-$AG12-$AF12-$AE12*(1+HV$3))/$AJ12,'Технический лист'!$A:$B,2,1),(HU12-0.05)))</f>
        <v>0.94499999999999995</v>
      </c>
      <c r="HW12" s="15">
        <f>MIN(1,MAX(VLOOKUP(($AJ12-$AI12-$AH12-$AG12-$AF12-$AE12*(1+HW$3))/$AJ12,'Технический лист'!$A:$B,2,1),(HV12-0.05)))</f>
        <v>0.94499999999999995</v>
      </c>
      <c r="HX12" s="15">
        <f>MIN(1,MAX(VLOOKUP(($AJ12-$AI12-$AH12-$AG12-$AF12-$AE12*(1+HX$3))/$AJ12,'Технический лист'!$A:$B,2,1),(HW12-0.05)))</f>
        <v>0.94</v>
      </c>
      <c r="HY12" s="15">
        <f>MIN(1,MAX(VLOOKUP(($AJ12-$AI12-$AH12-$AG12-$AF12-$AE12*(1+HY$3))/$AJ12,'Технический лист'!$A:$B,2,1),(HX12-0.05)))</f>
        <v>0.94</v>
      </c>
      <c r="HZ12" s="15">
        <f>MIN(1,MAX(VLOOKUP(($AJ12-$AI12-$AH12-$AG12-$AF12-$AE12*(1+HZ$3))/$AJ12,'Технический лист'!$A:$B,2,1),(HY12-0.05)))</f>
        <v>0.94</v>
      </c>
      <c r="IA12" s="15">
        <f>MIN(1,MAX(VLOOKUP(($AJ12-$AI12-$AH12-$AG12-$AF12-$AE12*(1+IA$3))/$AJ12,'Технический лист'!$A:$B,2,1),(HZ12-0.05)))</f>
        <v>0.94</v>
      </c>
      <c r="IB12" s="15">
        <f>MIN(1,MAX(VLOOKUP(($AJ12-$AI12-$AH12-$AG12-$AF12-$AE12*(1+IB$3))/$AJ12,'Технический лист'!$A:$B,2,1),(IA12-0.05)))</f>
        <v>0.94</v>
      </c>
      <c r="IC12" s="15">
        <f>MIN(1,MAX(VLOOKUP(($AJ12-$AI12-$AH12-$AG12-$AF12-$AE12*(1+IC$3))/$AJ12,'Технический лист'!$A:$B,2,1),(IB12-0.05)))</f>
        <v>0.94</v>
      </c>
      <c r="ID12" s="15">
        <f>MIN(1,MAX(VLOOKUP(($AJ12-$AI12-$AH12-$AG12-$AF12-$AE12*(1+ID$3))/$AJ12,'Технический лист'!$A:$B,2,1),(IC12-0.05)))</f>
        <v>0.94</v>
      </c>
      <c r="IE12" s="15">
        <f>MIN(1,MAX(VLOOKUP(($AJ12-$AI12-$AH12-$AG12-$AF12-$AE12*(1+IE$3))/$AJ12,'Технический лист'!$A:$B,2,1),(ID12-0.05)))</f>
        <v>0.94</v>
      </c>
      <c r="IF12" s="15">
        <f>MIN(1,MAX(VLOOKUP(($AJ12-$AI12-$AH12-$AG12-$AF12-$AE12*(1+IF$3))/$AJ12,'Технический лист'!$A:$B,2,1),(IE12-0.05)))</f>
        <v>0.94</v>
      </c>
      <c r="IG12" s="15">
        <f>MIN(1,MAX(VLOOKUP(($AJ12-$AI12-$AH12-$AG12-$AF12-$AE12*(1+IG$3))/$AJ12,'Технический лист'!$A:$B,2,1),(IF12-0.05)))</f>
        <v>0.94</v>
      </c>
      <c r="IH12" s="15">
        <f>MIN(1,MAX(VLOOKUP(($AJ12-$AI12-$AH12-$AG12-$AF12-$AE12*(1+IH$3))/$AJ12,'Технический лист'!$A:$B,2,1),(IG12-0.05)))</f>
        <v>0.94</v>
      </c>
      <c r="II12" s="15">
        <f>MIN(1,MAX(VLOOKUP(($AJ12-$AI12-$AH12-$AG12-$AF12-$AE12*(1+II$3))/$AJ12,'Технический лист'!$A:$B,2,1),(IH12-0.05)))</f>
        <v>0.94</v>
      </c>
      <c r="IJ12" s="15">
        <f>MIN(1,MAX(VLOOKUP(($AJ12-$AI12-$AH12-$AG12-$AF12-$AE12*(1+IJ$3))/$AJ12,'Технический лист'!$A:$B,2,1),(II12-0.05)))</f>
        <v>0.94</v>
      </c>
      <c r="IK12" s="15">
        <f>MIN(1,MAX(VLOOKUP(($AJ12-$AI12-$AH12-$AG12-$AF12-$AE12*(1+IK$3))/$AJ12,'Технический лист'!$A:$B,2,1),(IJ12-0.05)))</f>
        <v>0.94</v>
      </c>
      <c r="IL12" s="15">
        <f>MIN(1,MAX(VLOOKUP(($AJ12-$AI12-$AH12-$AG12-$AF12-$AE12*(1+IL$3))/$AJ12,'Технический лист'!$A:$B,2,1),(IK12-0.05)))</f>
        <v>0.94</v>
      </c>
      <c r="IM12" s="15">
        <f>MIN(1,MAX(VLOOKUP(($AJ12-$AI12-$AH12-$AG12-$AF12-$AE12*(1+IM$3))/$AJ12,'Технический лист'!$A:$B,2,1),(IL12-0.05)))</f>
        <v>0.93500000000000005</v>
      </c>
      <c r="IN12" s="15">
        <f>MIN(1,MAX(VLOOKUP(($AJ12-$AI12-$AH12-$AG12-$AF12-$AE12*(1+IN$3))/$AJ12,'Технический лист'!$A:$B,2,1),(IM12-0.05)))</f>
        <v>0.93500000000000005</v>
      </c>
      <c r="IO12" s="15">
        <f>MIN(1,MAX(VLOOKUP(($AJ12-$AI12-$AH12-$AG12-$AF12-$AE12*(1+IO$3))/$AJ12,'Технический лист'!$A:$B,2,1),(IN12-0.05)))</f>
        <v>0.93500000000000005</v>
      </c>
      <c r="IP12" s="15">
        <f>MIN(1,MAX(VLOOKUP(($AJ12-$AI12-$AH12-$AG12-$AF12-$AE12*(1+IP$3))/$AJ12,'Технический лист'!$A:$B,2,1),(IO12-0.05)))</f>
        <v>0.93500000000000005</v>
      </c>
      <c r="IQ12" s="15">
        <f>MIN(1,MAX(VLOOKUP(($AJ12-$AI12-$AH12-$AG12-$AF12-$AE12*(1+IQ$3))/$AJ12,'Технический лист'!$A:$B,2,1),(IP12-0.05)))</f>
        <v>0.93500000000000005</v>
      </c>
      <c r="IR12" s="15">
        <f>MIN(1,MAX(VLOOKUP(($AJ12-$AI12-$AH12-$AG12-$AF12-$AE12*(1+IR$3))/$AJ12,'Технический лист'!$A:$B,2,1),(IQ12-0.05)))</f>
        <v>0.93500000000000005</v>
      </c>
    </row>
    <row r="13" spans="1:257" ht="17.149999999999999" customHeight="1">
      <c r="A13" s="89" t="s">
        <v>514</v>
      </c>
      <c r="B13" s="90">
        <v>2</v>
      </c>
      <c r="C13" s="5" t="s">
        <v>65</v>
      </c>
      <c r="D13" s="91">
        <v>17111</v>
      </c>
      <c r="E13" s="91" t="s">
        <v>321</v>
      </c>
      <c r="F13" s="92" t="s">
        <v>69</v>
      </c>
      <c r="G13" s="91" t="s">
        <v>23</v>
      </c>
      <c r="H13" s="91" t="s">
        <v>23</v>
      </c>
      <c r="I13" s="91" t="s">
        <v>54</v>
      </c>
      <c r="J13" s="91" t="s">
        <v>91</v>
      </c>
      <c r="K13" s="91">
        <v>804</v>
      </c>
      <c r="L13" s="85" t="s">
        <v>64</v>
      </c>
      <c r="M13" s="91" t="s">
        <v>17</v>
      </c>
      <c r="N13" s="91" t="s">
        <v>191</v>
      </c>
      <c r="O13" s="91" t="s">
        <v>192</v>
      </c>
      <c r="P13" s="89" t="s">
        <v>199</v>
      </c>
      <c r="Q13" s="91" t="s">
        <v>253</v>
      </c>
      <c r="R13" s="91" t="s">
        <v>253</v>
      </c>
      <c r="S13" s="82">
        <v>103613</v>
      </c>
      <c r="T13" s="82">
        <v>83305004</v>
      </c>
      <c r="U13" s="81">
        <v>2081</v>
      </c>
      <c r="V13" s="81">
        <v>0</v>
      </c>
      <c r="W13" s="82">
        <v>103864531</v>
      </c>
      <c r="X13" s="112">
        <v>50</v>
      </c>
      <c r="Y13" s="112" t="s">
        <v>417</v>
      </c>
      <c r="Z13" s="113">
        <v>6</v>
      </c>
      <c r="AA13" s="113">
        <v>3</v>
      </c>
      <c r="AB13" s="113">
        <v>4</v>
      </c>
      <c r="AC13" s="99">
        <v>1088.32</v>
      </c>
      <c r="AD13" s="99">
        <f t="shared" si="1"/>
        <v>336.06000000000017</v>
      </c>
      <c r="AE13" s="99">
        <v>1424.38</v>
      </c>
      <c r="AF13" s="98">
        <f>(Z13+AA13+AB13)*'Ставки аренды'!$B$3/X13</f>
        <v>182</v>
      </c>
      <c r="AG13" s="114">
        <v>0</v>
      </c>
      <c r="AH13" s="94">
        <v>0</v>
      </c>
      <c r="AI13" s="115">
        <f>0.9*AVERAGE(AJ13,AJ14)</f>
        <v>14757.857325000001</v>
      </c>
      <c r="AJ13" s="117">
        <f>Цены!$C$8*'Курсы валют'!$B$2</f>
        <v>15795.238499999999</v>
      </c>
      <c r="AK13" s="94">
        <f>AJ13/Цены!$B$1</f>
        <v>207</v>
      </c>
      <c r="AL13" s="95">
        <f t="shared" si="5"/>
        <v>1606.38</v>
      </c>
      <c r="AM13" s="95">
        <f t="shared" si="6"/>
        <v>14188.858499999998</v>
      </c>
      <c r="AN13" s="94">
        <f t="shared" si="2"/>
        <v>16364.237325000002</v>
      </c>
      <c r="AO13" s="118">
        <f t="shared" si="3"/>
        <v>-3.6023439911971093E-2</v>
      </c>
      <c r="AP13" s="96">
        <f t="shared" si="7"/>
        <v>0.10170026872338776</v>
      </c>
      <c r="AQ13" s="96">
        <f t="shared" si="8"/>
        <v>9.0177808964391398E-2</v>
      </c>
      <c r="AR13" s="96">
        <f t="shared" si="9"/>
        <v>0.88670177666554617</v>
      </c>
      <c r="AS13" s="122">
        <v>1</v>
      </c>
      <c r="AT13" s="121">
        <f t="shared" si="10"/>
        <v>103613</v>
      </c>
      <c r="AU13" s="83">
        <v>0.9</v>
      </c>
      <c r="AV13" s="119">
        <f t="shared" si="11"/>
        <v>-4.6844776987697977E-2</v>
      </c>
      <c r="AW13" s="120">
        <f t="shared" si="12"/>
        <v>0.11252160579911474</v>
      </c>
      <c r="AX13" s="120">
        <f t="shared" si="13"/>
        <v>0.10099914604011838</v>
      </c>
      <c r="AY13" s="120">
        <f t="shared" si="14"/>
        <v>0.89759780197620487</v>
      </c>
      <c r="AZ13" s="15">
        <f>MIN(IF($AU13=100%,1,1+VLOOKUP(($AJ13-$AI13-$AH13-$AG13-$AF13-$AE13*(1+AZ$3))/$AJ13,'Технический лист'!$A:$B,2,1)-VLOOKUP($AO13,'Технический лист'!$A:$B,2,1)),1+(1-$AU13))</f>
        <v>1.01</v>
      </c>
      <c r="BA13" s="15">
        <f>MIN(IF($AU13=100%,1,1+VLOOKUP(($AJ13-$AI13-$AH13-$AG13-$AF13-$AE13*(1+BA$3))/$AJ13,'Технический лист'!$A:$B,2,1)-VLOOKUP($AO13,'Технический лист'!$A:$B,2,1)),1+(1-$AU13))</f>
        <v>1.01</v>
      </c>
      <c r="BB13" s="15">
        <f>MIN(IF($AU13=100%,1,1+VLOOKUP(($AJ13-$AI13-$AH13-$AG13-$AF13-$AE13*(1+BB$3))/$AJ13,'Технический лист'!$A:$B,2,1)-VLOOKUP($AO13,'Технический лист'!$A:$B,2,1)),1+(1-$AU13))</f>
        <v>1.01</v>
      </c>
      <c r="BC13" s="15">
        <f>MIN(IF($AU13=100%,1,1+VLOOKUP(($AJ13-$AI13-$AH13-$AG13-$AF13-$AE13*(1+BC$3))/$AJ13,'Технический лист'!$A:$B,2,1)-VLOOKUP($AO13,'Технический лист'!$A:$B,2,1)),1+(1-$AU13))</f>
        <v>1.01</v>
      </c>
      <c r="BD13" s="15">
        <f>MIN(IF($AU13=100%,1,1+VLOOKUP(($AJ13-$AI13-$AH13-$AG13-$AF13-$AE13*(1+BD$3))/$AJ13,'Технический лист'!$A:$B,2,1)-VLOOKUP($AO13,'Технический лист'!$A:$B,2,1)),1+(1-$AU13))</f>
        <v>1.01</v>
      </c>
      <c r="BE13" s="15">
        <f>MIN(IF($AU13=100%,1,1+VLOOKUP(($AJ13-$AI13-$AH13-$AG13-$AF13-$AE13*(1+BE$3))/$AJ13,'Технический лист'!$A:$B,2,1)-VLOOKUP($AO13,'Технический лист'!$A:$B,2,1)),1+(1-$AU13))</f>
        <v>1.01</v>
      </c>
      <c r="BF13" s="15">
        <f>MIN(IF($AU13=100%,1,1+VLOOKUP(($AJ13-$AI13-$AH13-$AG13-$AF13-$AE13*(1+BF$3))/$AJ13,'Технический лист'!$A:$B,2,1)-VLOOKUP($AO13,'Технический лист'!$A:$B,2,1)),1+(1-$AU13))</f>
        <v>1.01</v>
      </c>
      <c r="BG13" s="15">
        <f>MIN(IF($AU13=100%,1,1+VLOOKUP(($AJ13-$AI13-$AH13-$AG13-$AF13-$AE13*(1+BG$3))/$AJ13,'Технический лист'!$A:$B,2,1)-VLOOKUP($AO13,'Технический лист'!$A:$B,2,1)),1+(1-$AU13))</f>
        <v>1.01</v>
      </c>
      <c r="BH13" s="15">
        <f>MIN(IF($AU13=100%,1,1+VLOOKUP(($AJ13-$AI13-$AH13-$AG13-$AF13-$AE13*(1+BH$3))/$AJ13,'Технический лист'!$A:$B,2,1)-VLOOKUP($AO13,'Технический лист'!$A:$B,2,1)),1+(1-$AU13))</f>
        <v>1.01</v>
      </c>
      <c r="BI13" s="15">
        <f>MIN(IF($AU13=100%,1,1+VLOOKUP(($AJ13-$AI13-$AH13-$AG13-$AF13-$AE13*(1+BI$3))/$AJ13,'Технический лист'!$A:$B,2,1)-VLOOKUP($AO13,'Технический лист'!$A:$B,2,1)),1+(1-$AU13))</f>
        <v>1.01</v>
      </c>
      <c r="BJ13" s="15">
        <f>MIN(IF($AU13=100%,1,1+VLOOKUP(($AJ13-$AI13-$AH13-$AG13-$AF13-$AE13*(1+BJ$3))/$AJ13,'Технический лист'!$A:$B,2,1)-VLOOKUP($AO13,'Технический лист'!$A:$B,2,1)),1+(1-$AU13))</f>
        <v>1.01</v>
      </c>
      <c r="BK13" s="15">
        <f>MIN(IF($AU13=100%,1,1+VLOOKUP(($AJ13-$AI13-$AH13-$AG13-$AF13-$AE13*(1+BK$3))/$AJ13,'Технический лист'!$A:$B,2,1)-VLOOKUP($AO13,'Технический лист'!$A:$B,2,1)),1+(1-$AU13))</f>
        <v>1.01</v>
      </c>
      <c r="BL13" s="15">
        <f>MIN(IF($AU13=100%,1,1+VLOOKUP(($AJ13-$AI13-$AH13-$AG13-$AF13-$AE13*(1+BL$3))/$AJ13,'Технический лист'!$A:$B,2,1)-VLOOKUP($AO13,'Технический лист'!$A:$B,2,1)),1+(1-$AU13))</f>
        <v>1.01</v>
      </c>
      <c r="BM13" s="15">
        <f>MIN(IF($AU13=100%,1,1+VLOOKUP(($AJ13-$AI13-$AH13-$AG13-$AF13-$AE13*(1+BM$3))/$AJ13,'Технический лист'!$A:$B,2,1)-VLOOKUP($AO13,'Технический лист'!$A:$B,2,1)),1+(1-$AU13))</f>
        <v>1.01</v>
      </c>
      <c r="BN13" s="15">
        <f>MIN(IF($AU13=100%,1,1+VLOOKUP(($AJ13-$AI13-$AH13-$AG13-$AF13-$AE13*(1+BN$3))/$AJ13,'Технический лист'!$A:$B,2,1)-VLOOKUP($AO13,'Технический лист'!$A:$B,2,1)),1+(1-$AU13))</f>
        <v>1.01</v>
      </c>
      <c r="BO13" s="15">
        <f>MIN(IF($AU13=100%,1,1+VLOOKUP(($AJ13-$AI13-$AH13-$AG13-$AF13-$AE13*(1+BO$3))/$AJ13,'Технический лист'!$A:$B,2,1)-VLOOKUP($AO13,'Технический лист'!$A:$B,2,1)),1+(1-$AU13))</f>
        <v>1.01</v>
      </c>
      <c r="BP13" s="15">
        <f>MIN(IF($AU13=100%,1,1+VLOOKUP(($AJ13-$AI13-$AH13-$AG13-$AF13-$AE13*(1+BP$3))/$AJ13,'Технический лист'!$A:$B,2,1)-VLOOKUP($AO13,'Технический лист'!$A:$B,2,1)),1+(1-$AU13))</f>
        <v>1.01</v>
      </c>
      <c r="BQ13" s="15">
        <f>MIN(IF($AU13=100%,1,1+VLOOKUP(($AJ13-$AI13-$AH13-$AG13-$AF13-$AE13*(1+BQ$3))/$AJ13,'Технический лист'!$A:$B,2,1)-VLOOKUP($AO13,'Технический лист'!$A:$B,2,1)),1+(1-$AU13))</f>
        <v>1.01</v>
      </c>
      <c r="BR13" s="15">
        <f>MIN(IF($AU13=100%,1,1+VLOOKUP(($AJ13-$AI13-$AH13-$AG13-$AF13-$AE13*(1+BR$3))/$AJ13,'Технический лист'!$A:$B,2,1)-VLOOKUP($AO13,'Технический лист'!$A:$B,2,1)),1+(1-$AU13))</f>
        <v>1.01</v>
      </c>
      <c r="BS13" s="15">
        <f>MIN(IF($AU13=100%,1,1+VLOOKUP(($AJ13-$AI13-$AH13-$AG13-$AF13-$AE13*(1+BS$3))/$AJ13,'Технический лист'!$A:$B,2,1)-VLOOKUP($AO13,'Технический лист'!$A:$B,2,1)),1+(1-$AU13))</f>
        <v>1.01</v>
      </c>
      <c r="BT13" s="15">
        <f>MIN(IF($AU13=100%,1,1+VLOOKUP(($AJ13-$AI13-$AH13-$AG13-$AF13-$AE13*(1+BT$3))/$AJ13,'Технический лист'!$A:$B,2,1)-VLOOKUP($AO13,'Технический лист'!$A:$B,2,1)),1+(1-$AU13))</f>
        <v>1.01</v>
      </c>
      <c r="BU13" s="15">
        <f>MIN(IF($AU13=100%,1,1+VLOOKUP(($AJ13-$AI13-$AH13-$AG13-$AF13-$AE13*(1+BU$3))/$AJ13,'Технический лист'!$A:$B,2,1)-VLOOKUP($AO13,'Технический лист'!$A:$B,2,1)),1+(1-$AU13))</f>
        <v>1.01</v>
      </c>
      <c r="BV13" s="15">
        <f>MIN(IF($AU13=100%,1,1+VLOOKUP(($AJ13-$AI13-$AH13-$AG13-$AF13-$AE13*(1+BV$3))/$AJ13,'Технический лист'!$A:$B,2,1)-VLOOKUP($AO13,'Технический лист'!$A:$B,2,1)),1+(1-$AU13))</f>
        <v>1.01</v>
      </c>
      <c r="BW13" s="15">
        <f>MIN(IF($AU13=100%,1,1+VLOOKUP(($AJ13-$AI13-$AH13-$AG13-$AF13-$AE13*(1+BW$3))/$AJ13,'Технический лист'!$A:$B,2,1)-VLOOKUP($AO13,'Технический лист'!$A:$B,2,1)),1+(1-$AU13))</f>
        <v>1.01</v>
      </c>
      <c r="BX13" s="15">
        <f>MIN(IF($AU13=100%,1,1+VLOOKUP(($AJ13-$AI13-$AH13-$AG13-$AF13-$AE13*(1+BX$3))/$AJ13,'Технический лист'!$A:$B,2,1)-VLOOKUP($AO13,'Технический лист'!$A:$B,2,1)),1+(1-$AU13))</f>
        <v>1.01</v>
      </c>
      <c r="BY13" s="15">
        <f>MIN(IF($AU13=100%,1,1+VLOOKUP(($AJ13-$AI13-$AH13-$AG13-$AF13-$AE13*(1+BY$3))/$AJ13,'Технический лист'!$A:$B,2,1)-VLOOKUP($AO13,'Технический лист'!$A:$B,2,1)),1+(1-$AU13))</f>
        <v>1.01</v>
      </c>
      <c r="BZ13" s="15">
        <f>MIN(IF($AU13=100%,1,1+VLOOKUP(($AJ13-$AI13-$AH13-$AG13-$AF13-$AE13*(1+BZ$3))/$AJ13,'Технический лист'!$A:$B,2,1)-VLOOKUP($AO13,'Технический лист'!$A:$B,2,1)),1+(1-$AU13))</f>
        <v>1.01</v>
      </c>
      <c r="CA13" s="15">
        <f>MIN(IF($AU13=100%,1,1+VLOOKUP(($AJ13-$AI13-$AH13-$AG13-$AF13-$AE13*(1+CA$3))/$AJ13,'Технический лист'!$A:$B,2,1)-VLOOKUP($AO13,'Технический лист'!$A:$B,2,1)),1+(1-$AU13))</f>
        <v>1.01</v>
      </c>
      <c r="CB13" s="15">
        <f>MIN(IF($AU13=100%,1,1+VLOOKUP(($AJ13-$AI13-$AH13-$AG13-$AF13-$AE13*(1+CB$3))/$AJ13,'Технический лист'!$A:$B,2,1)-VLOOKUP($AO13,'Технический лист'!$A:$B,2,1)),1+(1-$AU13))</f>
        <v>1.01</v>
      </c>
      <c r="CC13" s="15">
        <f>MIN(IF($AU13=100%,1,1+VLOOKUP(($AJ13-$AI13-$AH13-$AG13-$AF13-$AE13*(1+CC$3))/$AJ13,'Технический лист'!$A:$B,2,1)-VLOOKUP($AO13,'Технический лист'!$A:$B,2,1)),1+(1-$AU13))</f>
        <v>1.01</v>
      </c>
      <c r="CD13" s="15">
        <f>MIN(IF($AU13=100%,1,1+VLOOKUP(($AJ13-$AI13-$AH13-$AG13-$AF13-$AE13*(1+CD$3))/$AJ13,'Технический лист'!$A:$B,2,1)-VLOOKUP($AO13,'Технический лист'!$A:$B,2,1)),1+(1-$AU13))</f>
        <v>1.01</v>
      </c>
      <c r="CE13" s="15">
        <f>MIN(IF($AU13=100%,1,1+VLOOKUP(($AJ13-$AI13-$AH13-$AG13-$AF13-$AE13*(1+CE$3))/$AJ13,'Технический лист'!$A:$B,2,1)-VLOOKUP($AO13,'Технический лист'!$A:$B,2,1)),1+(1-$AU13))</f>
        <v>1.01</v>
      </c>
      <c r="CF13" s="15">
        <f>MIN(IF($AU13=100%,1,1+VLOOKUP(($AJ13-$AI13-$AH13-$AG13-$AF13-$AE13*(1+CF$3))/$AJ13,'Технический лист'!$A:$B,2,1)-VLOOKUP($AO13,'Технический лист'!$A:$B,2,1)),1+(1-$AU13))</f>
        <v>1.01</v>
      </c>
      <c r="CG13" s="15">
        <f>MIN(IF($AU13=100%,1,1+VLOOKUP(($AJ13-$AI13-$AH13-$AG13-$AF13-$AE13*(1+CG$3))/$AJ13,'Технический лист'!$A:$B,2,1)-VLOOKUP($AO13,'Технический лист'!$A:$B,2,1)),1+(1-$AU13))</f>
        <v>1.01</v>
      </c>
      <c r="CH13" s="15">
        <f>MIN(IF($AU13=100%,1,1+VLOOKUP(($AJ13-$AI13-$AH13-$AG13-$AF13-$AE13*(1+CH$3))/$AJ13,'Технический лист'!$A:$B,2,1)-VLOOKUP($AO13,'Технический лист'!$A:$B,2,1)),1+(1-$AU13))</f>
        <v>1.01</v>
      </c>
      <c r="CI13" s="15">
        <f>MIN(IF($AU13=100%,1,1+VLOOKUP(($AJ13-$AI13-$AH13-$AG13-$AF13-$AE13*(1+CI$3))/$AJ13,'Технический лист'!$A:$B,2,1)-VLOOKUP($AO13,'Технический лист'!$A:$B,2,1)),1+(1-$AU13))</f>
        <v>1.01</v>
      </c>
      <c r="CJ13" s="15">
        <f>MIN(IF($AU13=100%,1,1+VLOOKUP(($AJ13-$AI13-$AH13-$AG13-$AF13-$AE13*(1+CJ$3))/$AJ13,'Технический лист'!$A:$B,2,1)-VLOOKUP($AO13,'Технический лист'!$A:$B,2,1)),1+(1-$AU13))</f>
        <v>1.01</v>
      </c>
      <c r="CK13" s="15">
        <f>MIN(IF($AU13=100%,1,1+VLOOKUP(($AJ13-$AI13-$AH13-$AG13-$AF13-$AE13*(1+CK$3))/$AJ13,'Технический лист'!$A:$B,2,1)-VLOOKUP($AO13,'Технический лист'!$A:$B,2,1)),1+(1-$AU13))</f>
        <v>1.01</v>
      </c>
      <c r="CL13" s="15">
        <f>MIN(IF($AU13=100%,1,1+VLOOKUP(($AJ13-$AI13-$AH13-$AG13-$AF13-$AE13*(1+CL$3))/$AJ13,'Технический лист'!$A:$B,2,1)-VLOOKUP($AO13,'Технический лист'!$A:$B,2,1)),1+(1-$AU13))</f>
        <v>1.01</v>
      </c>
      <c r="CM13" s="15">
        <f>MIN(IF($AU13=100%,1,1+VLOOKUP(($AJ13-$AI13-$AH13-$AG13-$AF13-$AE13*(1+CM$3))/$AJ13,'Технический лист'!$A:$B,2,1)-VLOOKUP($AO13,'Технический лист'!$A:$B,2,1)),1+(1-$AU13))</f>
        <v>1.01</v>
      </c>
      <c r="CN13" s="15">
        <f>MIN(IF($AU13=100%,1,1+VLOOKUP(($AJ13-$AI13-$AH13-$AG13-$AF13-$AE13*(1+CN$3))/$AJ13,'Технический лист'!$A:$B,2,1)-VLOOKUP($AO13,'Технический лист'!$A:$B,2,1)),1+(1-$AU13))</f>
        <v>1.01</v>
      </c>
      <c r="CO13" s="15">
        <f>MIN(IF($AU13=100%,1,1+VLOOKUP(($AJ13-$AI13-$AH13-$AG13-$AF13-$AE13*(1+CO$3))/$AJ13,'Технический лист'!$A:$B,2,1)-VLOOKUP($AO13,'Технический лист'!$A:$B,2,1)),1+(1-$AU13))</f>
        <v>1.01</v>
      </c>
      <c r="CP13" s="15">
        <f>MIN(IF($AU13=100%,1,1+VLOOKUP(($AJ13-$AI13-$AH13-$AG13-$AF13-$AE13*(1+CP$3))/$AJ13,'Технический лист'!$A:$B,2,1)-VLOOKUP($AO13,'Технический лист'!$A:$B,2,1)),1+(1-$AU13))</f>
        <v>1.01</v>
      </c>
      <c r="CQ13" s="15">
        <f>MIN(IF($AU13=100%,1,1+VLOOKUP(($AJ13-$AI13-$AH13-$AG13-$AF13-$AE13*(1+CQ$3))/$AJ13,'Технический лист'!$A:$B,2,1)-VLOOKUP($AO13,'Технический лист'!$A:$B,2,1)),1+(1-$AU13))</f>
        <v>1.01</v>
      </c>
      <c r="CR13" s="15">
        <f>MIN(IF($AU13=100%,1,1+VLOOKUP(($AJ13-$AI13-$AH13-$AG13-$AF13-$AE13*(1+CR$3))/$AJ13,'Технический лист'!$A:$B,2,1)-VLOOKUP($AO13,'Технический лист'!$A:$B,2,1)),1+(1-$AU13))</f>
        <v>1.01</v>
      </c>
      <c r="CS13" s="15">
        <f>MIN(IF($AU13=100%,1,1+VLOOKUP(($AJ13-$AI13-$AH13-$AG13-$AF13-$AE13*(1+CS$3))/$AJ13,'Технический лист'!$A:$B,2,1)-VLOOKUP($AO13,'Технический лист'!$A:$B,2,1)),1+(1-$AU13))</f>
        <v>1.01</v>
      </c>
      <c r="CT13" s="15">
        <f>MIN(IF($AU13=100%,1,1+VLOOKUP(($AJ13-$AI13-$AH13-$AG13-$AF13-$AE13*(1+CT$3))/$AJ13,'Технический лист'!$A:$B,2,1)-VLOOKUP($AO13,'Технический лист'!$A:$B,2,1)),1+(1-$AU13))</f>
        <v>1.01</v>
      </c>
      <c r="CU13" s="15">
        <f>MIN(IF($AU13=100%,1,1+VLOOKUP(($AJ13-$AI13-$AH13-$AG13-$AF13-$AE13*(1+CU$3))/$AJ13,'Технический лист'!$A:$B,2,1)-VLOOKUP($AO13,'Технический лист'!$A:$B,2,1)),1+(1-$AU13))</f>
        <v>1.01</v>
      </c>
      <c r="CV13" s="15">
        <f>MIN(IF($AU13=100%,1,1+VLOOKUP(($AJ13-$AI13-$AH13-$AG13-$AF13-$AE13*(1+CV$3))/$AJ13,'Технический лист'!$A:$B,2,1)-VLOOKUP($AO13,'Технический лист'!$A:$B,2,1)),1+(1-$AU13))</f>
        <v>1.01</v>
      </c>
      <c r="CW13" s="15">
        <f>MIN(IF($AU13=100%,1,1+VLOOKUP(($AJ13-$AI13-$AH13-$AG13-$AF13-$AE13*(1+CW$3))/$AJ13,'Технический лист'!$A:$B,2,1)-VLOOKUP($AO13,'Технический лист'!$A:$B,2,1)),1+(1-$AU13))</f>
        <v>1.01</v>
      </c>
      <c r="CX13" s="15">
        <f>MIN(IF($AU13=100%,1,1+VLOOKUP(($AJ13-$AI13-$AH13-$AG13-$AF13-$AE13*(1+CX$3))/$AJ13,'Технический лист'!$A:$B,2,1)-VLOOKUP($AO13,'Технический лист'!$A:$B,2,1)),1+(1-$AU13))</f>
        <v>1.01</v>
      </c>
      <c r="CY13" s="15">
        <f>MIN(IF($AU13=100%,1,1+VLOOKUP(($AJ13-$AI13-$AH13-$AG13-$AF13-$AE13*(1+CY$3))/$AJ13,'Технический лист'!$A:$B,2,1)-VLOOKUP($AO13,'Технический лист'!$A:$B,2,1)),1+(1-$AU13))</f>
        <v>1.01</v>
      </c>
      <c r="CZ13" s="15">
        <f>MIN(IF($AU13=100%,1,1+VLOOKUP(($AJ13-$AI13-$AH13-$AG13-$AF13-$AE13*(1+CZ$3))/$AJ13,'Технический лист'!$A:$B,2,1)-VLOOKUP($AO13,'Технический лист'!$A:$B,2,1)),1+(1-$AU13))</f>
        <v>1.01</v>
      </c>
      <c r="DA13" s="15">
        <f>MIN(IF($AU13=100%,1,1+VLOOKUP(($AJ13-$AI13-$AH13-$AG13-$AF13-$AE13*(1+DA$3))/$AJ13,'Технический лист'!$A:$B,2,1)-VLOOKUP($AO13,'Технический лист'!$A:$B,2,1)),1+(1-$AU13))</f>
        <v>1.01</v>
      </c>
      <c r="DB13" s="15">
        <f>MIN(IF($AU13=100%,1,1+VLOOKUP(($AJ13-$AI13-$AH13-$AG13-$AF13-$AE13*(1+DB$3))/$AJ13,'Технический лист'!$A:$B,2,1)-VLOOKUP($AO13,'Технический лист'!$A:$B,2,1)),1+(1-$AU13))</f>
        <v>1.01</v>
      </c>
      <c r="DC13" s="15">
        <f>MIN(IF($AU13=100%,1,1+VLOOKUP(($AJ13-$AI13-$AH13-$AG13-$AF13-$AE13*(1+DC$3))/$AJ13,'Технический лист'!$A:$B,2,1)-VLOOKUP($AO13,'Технический лист'!$A:$B,2,1)),1+(1-$AU13))</f>
        <v>1.01</v>
      </c>
      <c r="DD13" s="15">
        <f>MIN(IF($AU13=100%,1,1+VLOOKUP(($AJ13-$AI13-$AH13-$AG13-$AF13-$AE13*(1+DD$3))/$AJ13,'Технический лист'!$A:$B,2,1)-VLOOKUP($AO13,'Технический лист'!$A:$B,2,1)),1+(1-$AU13))</f>
        <v>1.01</v>
      </c>
      <c r="DE13" s="15">
        <f>MIN(IF($AU13=100%,1,1+VLOOKUP(($AJ13-$AI13-$AH13-$AG13-$AF13-$AE13*(1+DE$3))/$AJ13,'Технический лист'!$A:$B,2,1)-VLOOKUP($AO13,'Технический лист'!$A:$B,2,1)),1+(1-$AU13))</f>
        <v>1.01</v>
      </c>
      <c r="DF13" s="15">
        <f>MIN(IF($AU13=100%,1,1+VLOOKUP(($AJ13-$AI13-$AH13-$AG13-$AF13-$AE13*(1+DF$3))/$AJ13,'Технический лист'!$A:$B,2,1)-VLOOKUP($AO13,'Технический лист'!$A:$B,2,1)),1+(1-$AU13))</f>
        <v>1.01</v>
      </c>
      <c r="DG13" s="15">
        <f>MIN(IF($AU13=100%,1,1+VLOOKUP(($AJ13-$AI13-$AH13-$AG13-$AF13-$AE13*(1+DG$3))/$AJ13,'Технический лист'!$A:$B,2,1)-VLOOKUP($AO13,'Технический лист'!$A:$B,2,1)),1+(1-$AU13))</f>
        <v>1.01</v>
      </c>
      <c r="DH13" s="15">
        <f>MIN(IF($AU13=100%,1,1+VLOOKUP(($AJ13-$AI13-$AH13-$AG13-$AF13-$AE13*(1+DH$3))/$AJ13,'Технический лист'!$A:$B,2,1)-VLOOKUP($AO13,'Технический лист'!$A:$B,2,1)),1+(1-$AU13))</f>
        <v>1.01</v>
      </c>
      <c r="DI13" s="15">
        <f>MIN(IF($AU13=100%,1,1+VLOOKUP(($AJ13-$AI13-$AH13-$AG13-$AF13-$AE13*(1+DI$3))/$AJ13,'Технический лист'!$A:$B,2,1)-VLOOKUP($AO13,'Технический лист'!$A:$B,2,1)),1+(1-$AU13))</f>
        <v>1.01</v>
      </c>
      <c r="DJ13" s="15">
        <f>MIN(IF($AU13=100%,1,1+VLOOKUP(($AJ13-$AI13-$AH13-$AG13-$AF13-$AE13*(1+DJ$3))/$AJ13,'Технический лист'!$A:$B,2,1)-VLOOKUP($AO13,'Технический лист'!$A:$B,2,1)),1+(1-$AU13))</f>
        <v>1.01</v>
      </c>
      <c r="DK13" s="15">
        <f>MIN(IF($AU13=100%,1,1+VLOOKUP(($AJ13-$AI13-$AH13-$AG13-$AF13-$AE13*(1+DK$3))/$AJ13,'Технический лист'!$A:$B,2,1)-VLOOKUP($AO13,'Технический лист'!$A:$B,2,1)),1+(1-$AU13))</f>
        <v>1.01</v>
      </c>
      <c r="DL13" s="15">
        <f>MIN(IF($AU13=100%,1,1+VLOOKUP(($AJ13-$AI13-$AH13-$AG13-$AF13-$AE13*(1+DL$3))/$AJ13,'Технический лист'!$A:$B,2,1)-VLOOKUP($AO13,'Технический лист'!$A:$B,2,1)),1+(1-$AU13))</f>
        <v>1.01</v>
      </c>
      <c r="DM13" s="15">
        <f>MIN(IF($AU13=100%,1,1+VLOOKUP(($AJ13-$AI13-$AH13-$AG13-$AF13-$AE13*(1+DM$3))/$AJ13,'Технический лист'!$A:$B,2,1)-VLOOKUP($AO13,'Технический лист'!$A:$B,2,1)),1+(1-$AU13))</f>
        <v>1.0050000000000001</v>
      </c>
      <c r="DN13" s="15">
        <f>MIN(IF($AU13=100%,1,1+VLOOKUP(($AJ13-$AI13-$AH13-$AG13-$AF13-$AE13*(1+DN$3))/$AJ13,'Технический лист'!$A:$B,2,1)-VLOOKUP($AO13,'Технический лист'!$A:$B,2,1)),1+(1-$AU13))</f>
        <v>1.0050000000000001</v>
      </c>
      <c r="DO13" s="15">
        <f>MIN(IF($AU13=100%,1,1+VLOOKUP(($AJ13-$AI13-$AH13-$AG13-$AF13-$AE13*(1+DO$3))/$AJ13,'Технический лист'!$A:$B,2,1)-VLOOKUP($AO13,'Технический лист'!$A:$B,2,1)),1+(1-$AU13))</f>
        <v>1.0050000000000001</v>
      </c>
      <c r="DP13" s="15">
        <f>MIN(IF($AU13=100%,1,1+VLOOKUP(($AJ13-$AI13-$AH13-$AG13-$AF13-$AE13*(1+DP$3))/$AJ13,'Технический лист'!$A:$B,2,1)-VLOOKUP($AO13,'Технический лист'!$A:$B,2,1)),1+(1-$AU13))</f>
        <v>1.0050000000000001</v>
      </c>
      <c r="DQ13" s="15">
        <f>MIN(IF($AU13=100%,1,1+VLOOKUP(($AJ13-$AI13-$AH13-$AG13-$AF13-$AE13*(1+DQ$3))/$AJ13,'Технический лист'!$A:$B,2,1)-VLOOKUP($AO13,'Технический лист'!$A:$B,2,1)),1+(1-$AU13))</f>
        <v>1.0050000000000001</v>
      </c>
      <c r="DR13" s="15">
        <f>MIN(IF($AU13=100%,1,1+VLOOKUP(($AJ13-$AI13-$AH13-$AG13-$AF13-$AE13*(1+DR$3))/$AJ13,'Технический лист'!$A:$B,2,1)-VLOOKUP($AO13,'Технический лист'!$A:$B,2,1)),1+(1-$AU13))</f>
        <v>1.0050000000000001</v>
      </c>
      <c r="DS13" s="15">
        <f>MIN(IF($AU13=100%,1,1+VLOOKUP(($AJ13-$AI13-$AH13-$AG13-$AF13-$AE13*(1+DS$3))/$AJ13,'Технический лист'!$A:$B,2,1)-VLOOKUP($AO13,'Технический лист'!$A:$B,2,1)),1+(1-$AU13))</f>
        <v>1.0050000000000001</v>
      </c>
      <c r="DT13" s="15">
        <f>MIN(IF($AU13=100%,1,1+VLOOKUP(($AJ13-$AI13-$AH13-$AG13-$AF13-$AE13*(1+DT$3))/$AJ13,'Технический лист'!$A:$B,2,1)-VLOOKUP($AO13,'Технический лист'!$A:$B,2,1)),1+(1-$AU13))</f>
        <v>1.0050000000000001</v>
      </c>
      <c r="DU13" s="15">
        <f>MIN(IF($AU13=100%,1,1+VLOOKUP(($AJ13-$AI13-$AH13-$AG13-$AF13-$AE13*(1+DU$3))/$AJ13,'Технический лист'!$A:$B,2,1)-VLOOKUP($AO13,'Технический лист'!$A:$B,2,1)),1+(1-$AU13))</f>
        <v>1.0050000000000001</v>
      </c>
      <c r="DV13" s="15">
        <f>MIN(IF($AU13=100%,1,1+VLOOKUP(($AJ13-$AI13-$AH13-$AG13-$AF13-$AE13*(1+DV$3))/$AJ13,'Технический лист'!$A:$B,2,1)-VLOOKUP($AO13,'Технический лист'!$A:$B,2,1)),1+(1-$AU13))</f>
        <v>1.0050000000000001</v>
      </c>
      <c r="DW13" s="15">
        <f>MIN(IF($AU13=100%,1,1+VLOOKUP(($AJ13-$AI13-$AH13-$AG13-$AF13-$AE13*(1+DW$3))/$AJ13,'Технический лист'!$A:$B,2,1)-VLOOKUP($AO13,'Технический лист'!$A:$B,2,1)),1+(1-$AU13))</f>
        <v>1.0050000000000001</v>
      </c>
      <c r="DX13" s="15">
        <f>MIN(IF($AU13=100%,1,1+VLOOKUP(($AJ13-$AI13-$AH13-$AG13-$AF13-$AE13*(1+DX$3))/$AJ13,'Технический лист'!$A:$B,2,1)-VLOOKUP($AO13,'Технический лист'!$A:$B,2,1)),1+(1-$AU13))</f>
        <v>1.0050000000000001</v>
      </c>
      <c r="DY13" s="15">
        <f>MIN(IF($AU13=100%,1,1+VLOOKUP(($AJ13-$AI13-$AH13-$AG13-$AF13-$AE13*(1+DY$3))/$AJ13,'Технический лист'!$A:$B,2,1)-VLOOKUP($AO13,'Технический лист'!$A:$B,2,1)),1+(1-$AU13))</f>
        <v>1.0050000000000001</v>
      </c>
      <c r="DZ13" s="15">
        <f>MIN(IF($AU13=100%,1,1+VLOOKUP(($AJ13-$AI13-$AH13-$AG13-$AF13-$AE13*(1+DZ$3))/$AJ13,'Технический лист'!$A:$B,2,1)-VLOOKUP($AO13,'Технический лист'!$A:$B,2,1)),1+(1-$AU13))</f>
        <v>1.0050000000000001</v>
      </c>
      <c r="EA13" s="15">
        <f>MIN(IF($AU13=100%,1,1+VLOOKUP(($AJ13-$AI13-$AH13-$AG13-$AF13-$AE13*(1+EA$3))/$AJ13,'Технический лист'!$A:$B,2,1)-VLOOKUP($AO13,'Технический лист'!$A:$B,2,1)),1+(1-$AU13))</f>
        <v>1.0050000000000001</v>
      </c>
      <c r="EB13" s="15">
        <f>MIN(IF($AU13=100%,1,1+VLOOKUP(($AJ13-$AI13-$AH13-$AG13-$AF13-$AE13*(1+EB$3))/$AJ13,'Технический лист'!$A:$B,2,1)-VLOOKUP($AO13,'Технический лист'!$A:$B,2,1)),1+(1-$AU13))</f>
        <v>1.0050000000000001</v>
      </c>
      <c r="EC13" s="15">
        <f>MIN(IF($AU13=100%,1,1+VLOOKUP(($AJ13-$AI13-$AH13-$AG13-$AF13-$AE13*(1+EC$3))/$AJ13,'Технический лист'!$A:$B,2,1)-VLOOKUP($AO13,'Технический лист'!$A:$B,2,1)),1+(1-$AU13))</f>
        <v>1.0050000000000001</v>
      </c>
      <c r="ED13" s="15">
        <f>MIN(IF($AU13=100%,1,1+VLOOKUP(($AJ13-$AI13-$AH13-$AG13-$AF13-$AE13*(1+ED$3))/$AJ13,'Технический лист'!$A:$B,2,1)-VLOOKUP($AO13,'Технический лист'!$A:$B,2,1)),1+(1-$AU13))</f>
        <v>1.0050000000000001</v>
      </c>
      <c r="EE13" s="15">
        <f>MIN(IF($AU13=100%,1,1+VLOOKUP(($AJ13-$AI13-$AH13-$AG13-$AF13-$AE13*(1+EE$3))/$AJ13,'Технический лист'!$A:$B,2,1)-VLOOKUP($AO13,'Технический лист'!$A:$B,2,1)),1+(1-$AU13))</f>
        <v>1.0050000000000001</v>
      </c>
      <c r="EF13" s="15">
        <f>MIN(IF($AU13=100%,1,1+VLOOKUP(($AJ13-$AI13-$AH13-$AG13-$AF13-$AE13*(1+EF$3))/$AJ13,'Технический лист'!$A:$B,2,1)-VLOOKUP($AO13,'Технический лист'!$A:$B,2,1)),1+(1-$AU13))</f>
        <v>1.0050000000000001</v>
      </c>
      <c r="EG13" s="15">
        <f>MIN(IF($AU13=100%,1,1+VLOOKUP(($AJ13-$AI13-$AH13-$AG13-$AF13-$AE13*(1+EG$3))/$AJ13,'Технический лист'!$A:$B,2,1)-VLOOKUP($AO13,'Технический лист'!$A:$B,2,1)),1+(1-$AU13))</f>
        <v>1.0050000000000001</v>
      </c>
      <c r="EH13" s="15">
        <f>MIN(IF($AU13=100%,1,1+VLOOKUP(($AJ13-$AI13-$AH13-$AG13-$AF13-$AE13*(1+EH$3))/$AJ13,'Технический лист'!$A:$B,2,1)-VLOOKUP($AO13,'Технический лист'!$A:$B,2,1)),1+(1-$AU13))</f>
        <v>1.0050000000000001</v>
      </c>
      <c r="EI13" s="15">
        <f>MIN(IF($AU13=100%,1,1+VLOOKUP(($AJ13-$AI13-$AH13-$AG13-$AF13-$AE13*(1+EI$3))/$AJ13,'Технический лист'!$A:$B,2,1)-VLOOKUP($AO13,'Технический лист'!$A:$B,2,1)),1+(1-$AU13))</f>
        <v>1</v>
      </c>
      <c r="EJ13" s="15">
        <f>MIN(IF($AU13=100%,1,1+VLOOKUP(($AJ13-$AI13-$AH13-$AG13-$AF13-$AE13*(1+EJ$3))/$AJ13,'Технический лист'!$A:$B,2,1)-VLOOKUP($AO13,'Технический лист'!$A:$B,2,1)),1+(1-$AU13))</f>
        <v>1</v>
      </c>
      <c r="EK13" s="15">
        <f>MIN(IF($AU13=100%,1,1+VLOOKUP(($AJ13-$AI13-$AH13-$AG13-$AF13-$AE13*(1+EK$3))/$AJ13,'Технический лист'!$A:$B,2,1)-VLOOKUP($AO13,'Технический лист'!$A:$B,2,1)),1+(1-$AU13))</f>
        <v>1</v>
      </c>
      <c r="EL13" s="15">
        <f>MIN(IF($AU13=100%,1,1+VLOOKUP(($AJ13-$AI13-$AH13-$AG13-$AF13-$AE13*(1+EL$3))/$AJ13,'Технический лист'!$A:$B,2,1)-VLOOKUP($AO13,'Технический лист'!$A:$B,2,1)),1+(1-$AU13))</f>
        <v>1</v>
      </c>
      <c r="EM13" s="15">
        <f>MIN(IF($AU13=100%,1,1+VLOOKUP(($AJ13-$AI13-$AH13-$AG13-$AF13-$AE13*(1+EM$3))/$AJ13,'Технический лист'!$A:$B,2,1)-VLOOKUP($AO13,'Технический лист'!$A:$B,2,1)),1+(1-$AU13))</f>
        <v>1</v>
      </c>
      <c r="EN13" s="15">
        <f>MIN(IF($AU13=100%,1,1+VLOOKUP(($AJ13-$AI13-$AH13-$AG13-$AF13-$AE13*(1+EN$3))/$AJ13,'Технический лист'!$A:$B,2,1)-VLOOKUP($AO13,'Технический лист'!$A:$B,2,1)),1+(1-$AU13))</f>
        <v>1</v>
      </c>
      <c r="EO13" s="15">
        <f>MIN(IF($AU13=100%,1,1+VLOOKUP(($AJ13-$AI13-$AH13-$AG13-$AF13-$AE13*(1+EO$3))/$AJ13,'Технический лист'!$A:$B,2,1)-VLOOKUP($AO13,'Технический лист'!$A:$B,2,1)),1+(1-$AU13))</f>
        <v>1</v>
      </c>
      <c r="EP13" s="15">
        <f>MIN(IF($AU13=100%,1,1+VLOOKUP(($AJ13-$AI13-$AH13-$AG13-$AF13-$AE13*(1+EP$3))/$AJ13,'Технический лист'!$A:$B,2,1)-VLOOKUP($AO13,'Технический лист'!$A:$B,2,1)),1+(1-$AU13))</f>
        <v>1</v>
      </c>
      <c r="EQ13" s="15">
        <f>MIN(IF($AU13=100%,1,1+VLOOKUP(($AJ13-$AI13-$AH13-$AG13-$AF13-$AE13*(1+EQ$3))/$AJ13,'Технический лист'!$A:$B,2,1)-VLOOKUP($AO13,'Технический лист'!$A:$B,2,1)),1+(1-$AU13))</f>
        <v>1</v>
      </c>
      <c r="ER13" s="15">
        <f>MIN(IF($AU13=100%,1,1+VLOOKUP(($AJ13-$AI13-$AH13-$AG13-$AF13-$AE13*(1+ER$3))/$AJ13,'Технический лист'!$A:$B,2,1)-VLOOKUP($AO13,'Технический лист'!$A:$B,2,1)),1+(1-$AU13))</f>
        <v>1</v>
      </c>
      <c r="ES13" s="15">
        <f>MIN(IF($AU13=100%,1,1+VLOOKUP(($AJ13-$AI13-$AH13-$AG13-$AF13-$AE13*(1+ES$3))/$AJ13,'Технический лист'!$A:$B,2,1)-VLOOKUP($AO13,'Технический лист'!$A:$B,2,1)),1+(1-$AU13))</f>
        <v>1</v>
      </c>
      <c r="ET13" s="15">
        <f>MIN(IF($AU13=100%,1,1+VLOOKUP(($AJ13-$AI13-$AH13-$AG13-$AF13-$AE13*(1+ET$3))/$AJ13,'Технический лист'!$A:$B,2,1)-VLOOKUP($AO13,'Технический лист'!$A:$B,2,1)),1+(1-$AU13))</f>
        <v>1</v>
      </c>
      <c r="EU13" s="15">
        <f>MIN(IF($AU13=100%,1,1+VLOOKUP(($AJ13-$AI13-$AH13-$AG13-$AF13-$AE13*(1+EU$3))/$AJ13,'Технический лист'!$A:$B,2,1)-VLOOKUP($AO13,'Технический лист'!$A:$B,2,1)),1+(1-$AU13))</f>
        <v>1</v>
      </c>
      <c r="EV13" s="111">
        <v>1</v>
      </c>
      <c r="EW13" s="15">
        <f>MIN(1,MAX(VLOOKUP(($AJ13-$AI13-$AH13-$AG13-$AF13-$AE13*(1+EW$3))/$AJ13,'Технический лист'!$A:$B,2,1),(EV13-0.05)))</f>
        <v>0.99</v>
      </c>
      <c r="EX13" s="15">
        <f>MIN(1,MAX(VLOOKUP(($AJ13-$AI13-$AH13-$AG13-$AF13-$AE13*(1+EX$3))/$AJ13,'Технический лист'!$A:$B,2,1),(EW13-0.05)))</f>
        <v>0.99</v>
      </c>
      <c r="EY13" s="15">
        <f>MIN(1,MAX(VLOOKUP(($AJ13-$AI13-$AH13-$AG13-$AF13-$AE13*(1+EY$3))/$AJ13,'Технический лист'!$A:$B,2,1),(EX13-0.05)))</f>
        <v>0.99</v>
      </c>
      <c r="EZ13" s="15">
        <f>MIN(1,MAX(VLOOKUP(($AJ13-$AI13-$AH13-$AG13-$AF13-$AE13*(1+EZ$3))/$AJ13,'Технический лист'!$A:$B,2,1),(EY13-0.05)))</f>
        <v>0.99</v>
      </c>
      <c r="FA13" s="15">
        <f>MIN(1,MAX(VLOOKUP(($AJ13-$AI13-$AH13-$AG13-$AF13-$AE13*(1+FA$3))/$AJ13,'Технический лист'!$A:$B,2,1),(EZ13-0.05)))</f>
        <v>0.99</v>
      </c>
      <c r="FB13" s="15">
        <f>MIN(1,MAX(VLOOKUP(($AJ13-$AI13-$AH13-$AG13-$AF13-$AE13*(1+FB$3))/$AJ13,'Технический лист'!$A:$B,2,1),(FA13-0.05)))</f>
        <v>0.99</v>
      </c>
      <c r="FC13" s="15">
        <f>MIN(1,MAX(VLOOKUP(($AJ13-$AI13-$AH13-$AG13-$AF13-$AE13*(1+FC$3))/$AJ13,'Технический лист'!$A:$B,2,1),(FB13-0.05)))</f>
        <v>0.99</v>
      </c>
      <c r="FD13" s="15">
        <f>MIN(1,MAX(VLOOKUP(($AJ13-$AI13-$AH13-$AG13-$AF13-$AE13*(1+FD$3))/$AJ13,'Технический лист'!$A:$B,2,1),(FC13-0.05)))</f>
        <v>0.99</v>
      </c>
      <c r="FE13" s="15">
        <f>MIN(1,MAX(VLOOKUP(($AJ13-$AI13-$AH13-$AG13-$AF13-$AE13*(1+FE$3))/$AJ13,'Технический лист'!$A:$B,2,1),(FD13-0.05)))</f>
        <v>0.98499999999999999</v>
      </c>
      <c r="FF13" s="15">
        <f>MIN(1,MAX(VLOOKUP(($AJ13-$AI13-$AH13-$AG13-$AF13-$AE13*(1+FF$3))/$AJ13,'Технический лист'!$A:$B,2,1),(FE13-0.05)))</f>
        <v>0.98499999999999999</v>
      </c>
      <c r="FG13" s="15">
        <f>MIN(1,MAX(VLOOKUP(($AJ13-$AI13-$AH13-$AG13-$AF13-$AE13*(1+FG$3))/$AJ13,'Технический лист'!$A:$B,2,1),(FF13-0.05)))</f>
        <v>0.98499999999999999</v>
      </c>
      <c r="FH13" s="15">
        <f>MIN(1,MAX(VLOOKUP(($AJ13-$AI13-$AH13-$AG13-$AF13-$AE13*(1+FH$3))/$AJ13,'Технический лист'!$A:$B,2,1),(FG13-0.05)))</f>
        <v>0.98499999999999999</v>
      </c>
      <c r="FI13" s="15">
        <f>MIN(1,MAX(VLOOKUP(($AJ13-$AI13-$AH13-$AG13-$AF13-$AE13*(1+FI$3))/$AJ13,'Технический лист'!$A:$B,2,1),(FH13-0.05)))</f>
        <v>0.98499999999999999</v>
      </c>
      <c r="FJ13" s="15">
        <f>MIN(1,MAX(VLOOKUP(($AJ13-$AI13-$AH13-$AG13-$AF13-$AE13*(1+FJ$3))/$AJ13,'Технический лист'!$A:$B,2,1),(FI13-0.05)))</f>
        <v>0.98499999999999999</v>
      </c>
      <c r="FK13" s="15">
        <f>MIN(1,MAX(VLOOKUP(($AJ13-$AI13-$AH13-$AG13-$AF13-$AE13*(1+FK$3))/$AJ13,'Технический лист'!$A:$B,2,1),(FJ13-0.05)))</f>
        <v>0.98499999999999999</v>
      </c>
      <c r="FL13" s="15">
        <f>MIN(1,MAX(VLOOKUP(($AJ13-$AI13-$AH13-$AG13-$AF13-$AE13*(1+FL$3))/$AJ13,'Технический лист'!$A:$B,2,1),(FK13-0.05)))</f>
        <v>0.98499999999999999</v>
      </c>
      <c r="FM13" s="15">
        <f>MIN(1,MAX(VLOOKUP(($AJ13-$AI13-$AH13-$AG13-$AF13-$AE13*(1+FM$3))/$AJ13,'Технический лист'!$A:$B,2,1),(FL13-0.05)))</f>
        <v>0.98499999999999999</v>
      </c>
      <c r="FN13" s="15">
        <f>MIN(1,MAX(VLOOKUP(($AJ13-$AI13-$AH13-$AG13-$AF13-$AE13*(1+FN$3))/$AJ13,'Технический лист'!$A:$B,2,1),(FM13-0.05)))</f>
        <v>0.98499999999999999</v>
      </c>
      <c r="FO13" s="15">
        <f>MIN(1,MAX(VLOOKUP(($AJ13-$AI13-$AH13-$AG13-$AF13-$AE13*(1+FO$3))/$AJ13,'Технический лист'!$A:$B,2,1),(FN13-0.05)))</f>
        <v>0.98499999999999999</v>
      </c>
      <c r="FP13" s="15">
        <f>MIN(1,MAX(VLOOKUP(($AJ13-$AI13-$AH13-$AG13-$AF13-$AE13*(1+FP$3))/$AJ13,'Технический лист'!$A:$B,2,1),(FO13-0.05)))</f>
        <v>0.98499999999999999</v>
      </c>
      <c r="FQ13" s="15">
        <f>MIN(1,MAX(VLOOKUP(($AJ13-$AI13-$AH13-$AG13-$AF13-$AE13*(1+FQ$3))/$AJ13,'Технический лист'!$A:$B,2,1),(FP13-0.05)))</f>
        <v>0.98499999999999999</v>
      </c>
      <c r="FR13" s="15">
        <f>MIN(1,MAX(VLOOKUP(($AJ13-$AI13-$AH13-$AG13-$AF13-$AE13*(1+FR$3))/$AJ13,'Технический лист'!$A:$B,2,1),(FQ13-0.05)))</f>
        <v>0.98499999999999999</v>
      </c>
      <c r="FS13" s="15">
        <f>MIN(1,MAX(VLOOKUP(($AJ13-$AI13-$AH13-$AG13-$AF13-$AE13*(1+FS$3))/$AJ13,'Технический лист'!$A:$B,2,1),(FR13-0.05)))</f>
        <v>0.98499999999999999</v>
      </c>
      <c r="FT13" s="15">
        <f>MIN(1,MAX(VLOOKUP(($AJ13-$AI13-$AH13-$AG13-$AF13-$AE13*(1+FT$3))/$AJ13,'Технический лист'!$A:$B,2,1),(FS13-0.05)))</f>
        <v>0.98499999999999999</v>
      </c>
      <c r="FU13" s="15">
        <f>MIN(1,MAX(VLOOKUP(($AJ13-$AI13-$AH13-$AG13-$AF13-$AE13*(1+FU$3))/$AJ13,'Технический лист'!$A:$B,2,1),(FT13-0.05)))</f>
        <v>0.98499999999999999</v>
      </c>
      <c r="FV13" s="15">
        <f>MIN(1,MAX(VLOOKUP(($AJ13-$AI13-$AH13-$AG13-$AF13-$AE13*(1+FV$3))/$AJ13,'Технический лист'!$A:$B,2,1),(FU13-0.05)))</f>
        <v>0.98499999999999999</v>
      </c>
      <c r="FW13" s="15">
        <f>MIN(1,MAX(VLOOKUP(($AJ13-$AI13-$AH13-$AG13-$AF13-$AE13*(1+FW$3))/$AJ13,'Технический лист'!$A:$B,2,1),(FV13-0.05)))</f>
        <v>0.98499999999999999</v>
      </c>
      <c r="FX13" s="15">
        <f>MIN(1,MAX(VLOOKUP(($AJ13-$AI13-$AH13-$AG13-$AF13-$AE13*(1+FX$3))/$AJ13,'Технический лист'!$A:$B,2,1),(FW13-0.05)))</f>
        <v>0.98499999999999999</v>
      </c>
      <c r="FY13" s="15">
        <f>MIN(1,MAX(VLOOKUP(($AJ13-$AI13-$AH13-$AG13-$AF13-$AE13*(1+FY$3))/$AJ13,'Технический лист'!$A:$B,2,1),(FX13-0.05)))</f>
        <v>0.98499999999999999</v>
      </c>
      <c r="FZ13" s="15">
        <f>MIN(1,MAX(VLOOKUP(($AJ13-$AI13-$AH13-$AG13-$AF13-$AE13*(1+FZ$3))/$AJ13,'Технический лист'!$A:$B,2,1),(FY13-0.05)))</f>
        <v>0.98499999999999999</v>
      </c>
      <c r="GA13" s="15">
        <f>MIN(1,MAX(VLOOKUP(($AJ13-$AI13-$AH13-$AG13-$AF13-$AE13*(1+GA$3))/$AJ13,'Технический лист'!$A:$B,2,1),(FZ13-0.05)))</f>
        <v>0.98</v>
      </c>
      <c r="GB13" s="15">
        <f>MIN(1,MAX(VLOOKUP(($AJ13-$AI13-$AH13-$AG13-$AF13-$AE13*(1+GB$3))/$AJ13,'Технический лист'!$A:$B,2,1),(GA13-0.05)))</f>
        <v>0.98</v>
      </c>
      <c r="GC13" s="15">
        <f>MIN(1,MAX(VLOOKUP(($AJ13-$AI13-$AH13-$AG13-$AF13-$AE13*(1+GC$3))/$AJ13,'Технический лист'!$A:$B,2,1),(GB13-0.05)))</f>
        <v>0.98</v>
      </c>
      <c r="GD13" s="15">
        <f>MIN(1,MAX(VLOOKUP(($AJ13-$AI13-$AH13-$AG13-$AF13-$AE13*(1+GD$3))/$AJ13,'Технический лист'!$A:$B,2,1),(GC13-0.05)))</f>
        <v>0.98</v>
      </c>
      <c r="GE13" s="15">
        <f>MIN(1,MAX(VLOOKUP(($AJ13-$AI13-$AH13-$AG13-$AF13-$AE13*(1+GE$3))/$AJ13,'Технический лист'!$A:$B,2,1),(GD13-0.05)))</f>
        <v>0.98</v>
      </c>
      <c r="GF13" s="15">
        <f>MIN(1,MAX(VLOOKUP(($AJ13-$AI13-$AH13-$AG13-$AF13-$AE13*(1+GF$3))/$AJ13,'Технический лист'!$A:$B,2,1),(GE13-0.05)))</f>
        <v>0.98</v>
      </c>
      <c r="GG13" s="15">
        <f>MIN(1,MAX(VLOOKUP(($AJ13-$AI13-$AH13-$AG13-$AF13-$AE13*(1+GG$3))/$AJ13,'Технический лист'!$A:$B,2,1),(GF13-0.05)))</f>
        <v>0.98</v>
      </c>
      <c r="GH13" s="15">
        <f>MIN(1,MAX(VLOOKUP(($AJ13-$AI13-$AH13-$AG13-$AF13-$AE13*(1+GH$3))/$AJ13,'Технический лист'!$A:$B,2,1),(GG13-0.05)))</f>
        <v>0.98</v>
      </c>
      <c r="GI13" s="15">
        <f>MIN(1,MAX(VLOOKUP(($AJ13-$AI13-$AH13-$AG13-$AF13-$AE13*(1+GI$3))/$AJ13,'Технический лист'!$A:$B,2,1),(GH13-0.05)))</f>
        <v>0.98</v>
      </c>
      <c r="GJ13" s="15">
        <f>MIN(1,MAX(VLOOKUP(($AJ13-$AI13-$AH13-$AG13-$AF13-$AE13*(1+GJ$3))/$AJ13,'Технический лист'!$A:$B,2,1),(GI13-0.05)))</f>
        <v>0.98</v>
      </c>
      <c r="GK13" s="15">
        <f>MIN(1,MAX(VLOOKUP(($AJ13-$AI13-$AH13-$AG13-$AF13-$AE13*(1+GK$3))/$AJ13,'Технический лист'!$A:$B,2,1),(GJ13-0.05)))</f>
        <v>0.98</v>
      </c>
      <c r="GL13" s="15">
        <f>MIN(1,MAX(VLOOKUP(($AJ13-$AI13-$AH13-$AG13-$AF13-$AE13*(1+GL$3))/$AJ13,'Технический лист'!$A:$B,2,1),(GK13-0.05)))</f>
        <v>0.98</v>
      </c>
      <c r="GM13" s="15">
        <f>MIN(1,MAX(VLOOKUP(($AJ13-$AI13-$AH13-$AG13-$AF13-$AE13*(1+GM$3))/$AJ13,'Технический лист'!$A:$B,2,1),(GL13-0.05)))</f>
        <v>0.98</v>
      </c>
      <c r="GN13" s="15">
        <f>MIN(1,MAX(VLOOKUP(($AJ13-$AI13-$AH13-$AG13-$AF13-$AE13*(1+GN$3))/$AJ13,'Технический лист'!$A:$B,2,1),(GM13-0.05)))</f>
        <v>0.98</v>
      </c>
      <c r="GO13" s="15">
        <f>MIN(1,MAX(VLOOKUP(($AJ13-$AI13-$AH13-$AG13-$AF13-$AE13*(1+GO$3))/$AJ13,'Технический лист'!$A:$B,2,1),(GN13-0.05)))</f>
        <v>0.98</v>
      </c>
      <c r="GP13" s="15">
        <f>MIN(1,MAX(VLOOKUP(($AJ13-$AI13-$AH13-$AG13-$AF13-$AE13*(1+GP$3))/$AJ13,'Технический лист'!$A:$B,2,1),(GO13-0.05)))</f>
        <v>0.98</v>
      </c>
      <c r="GQ13" s="15">
        <f>MIN(1,MAX(VLOOKUP(($AJ13-$AI13-$AH13-$AG13-$AF13-$AE13*(1+GQ$3))/$AJ13,'Технический лист'!$A:$B,2,1),(GP13-0.05)))</f>
        <v>0.98</v>
      </c>
      <c r="GR13" s="15">
        <f>MIN(1,MAX(VLOOKUP(($AJ13-$AI13-$AH13-$AG13-$AF13-$AE13*(1+GR$3))/$AJ13,'Технический лист'!$A:$B,2,1),(GQ13-0.05)))</f>
        <v>0.98</v>
      </c>
      <c r="GS13" s="15">
        <f>MIN(1,MAX(VLOOKUP(($AJ13-$AI13-$AH13-$AG13-$AF13-$AE13*(1+GS$3))/$AJ13,'Технический лист'!$A:$B,2,1),(GR13-0.05)))</f>
        <v>0.98</v>
      </c>
      <c r="GT13" s="15">
        <f>MIN(1,MAX(VLOOKUP(($AJ13-$AI13-$AH13-$AG13-$AF13-$AE13*(1+GT$3))/$AJ13,'Технический лист'!$A:$B,2,1),(GS13-0.05)))</f>
        <v>0.98</v>
      </c>
      <c r="GU13" s="15">
        <f>MIN(1,MAX(VLOOKUP(($AJ13-$AI13-$AH13-$AG13-$AF13-$AE13*(1+GU$3))/$AJ13,'Технический лист'!$A:$B,2,1),(GT13-0.05)))</f>
        <v>0.98</v>
      </c>
      <c r="GV13" s="15">
        <f>MIN(1,MAX(VLOOKUP(($AJ13-$AI13-$AH13-$AG13-$AF13-$AE13*(1+GV$3))/$AJ13,'Технический лист'!$A:$B,2,1),(GU13-0.05)))</f>
        <v>0.98</v>
      </c>
      <c r="GW13" s="15">
        <f>MIN(1,MAX(VLOOKUP(($AJ13-$AI13-$AH13-$AG13-$AF13-$AE13*(1+GW$3))/$AJ13,'Технический лист'!$A:$B,2,1),(GV13-0.05)))</f>
        <v>0.98</v>
      </c>
      <c r="GX13" s="15">
        <f>MIN(1,MAX(VLOOKUP(($AJ13-$AI13-$AH13-$AG13-$AF13-$AE13*(1+GX$3))/$AJ13,'Технический лист'!$A:$B,2,1),(GW13-0.05)))</f>
        <v>0.97499999999999998</v>
      </c>
      <c r="GY13" s="15">
        <f>MIN(1,MAX(VLOOKUP(($AJ13-$AI13-$AH13-$AG13-$AF13-$AE13*(1+GY$3))/$AJ13,'Технический лист'!$A:$B,2,1),(GX13-0.05)))</f>
        <v>0.97499999999999998</v>
      </c>
      <c r="GZ13" s="15">
        <f>MIN(1,MAX(VLOOKUP(($AJ13-$AI13-$AH13-$AG13-$AF13-$AE13*(1+GZ$3))/$AJ13,'Технический лист'!$A:$B,2,1),(GY13-0.05)))</f>
        <v>0.97499999999999998</v>
      </c>
      <c r="HA13" s="15">
        <f>MIN(1,MAX(VLOOKUP(($AJ13-$AI13-$AH13-$AG13-$AF13-$AE13*(1+HA$3))/$AJ13,'Технический лист'!$A:$B,2,1),(GZ13-0.05)))</f>
        <v>0.97499999999999998</v>
      </c>
      <c r="HB13" s="15">
        <f>MIN(1,MAX(VLOOKUP(($AJ13-$AI13-$AH13-$AG13-$AF13-$AE13*(1+HB$3))/$AJ13,'Технический лист'!$A:$B,2,1),(HA13-0.05)))</f>
        <v>0.97499999999999998</v>
      </c>
      <c r="HC13" s="15">
        <f>MIN(1,MAX(VLOOKUP(($AJ13-$AI13-$AH13-$AG13-$AF13-$AE13*(1+HC$3))/$AJ13,'Технический лист'!$A:$B,2,1),(HB13-0.05)))</f>
        <v>0.97499999999999998</v>
      </c>
      <c r="HD13" s="15">
        <f>MIN(1,MAX(VLOOKUP(($AJ13-$AI13-$AH13-$AG13-$AF13-$AE13*(1+HD$3))/$AJ13,'Технический лист'!$A:$B,2,1),(HC13-0.05)))</f>
        <v>0.97499999999999998</v>
      </c>
      <c r="HE13" s="15">
        <f>MIN(1,MAX(VLOOKUP(($AJ13-$AI13-$AH13-$AG13-$AF13-$AE13*(1+HE$3))/$AJ13,'Технический лист'!$A:$B,2,1),(HD13-0.05)))</f>
        <v>0.97499999999999998</v>
      </c>
      <c r="HF13" s="15">
        <f>MIN(1,MAX(VLOOKUP(($AJ13-$AI13-$AH13-$AG13-$AF13-$AE13*(1+HF$3))/$AJ13,'Технический лист'!$A:$B,2,1),(HE13-0.05)))</f>
        <v>0.97499999999999998</v>
      </c>
      <c r="HG13" s="15">
        <f>MIN(1,MAX(VLOOKUP(($AJ13-$AI13-$AH13-$AG13-$AF13-$AE13*(1+HG$3))/$AJ13,'Технический лист'!$A:$B,2,1),(HF13-0.05)))</f>
        <v>0.97499999999999998</v>
      </c>
      <c r="HH13" s="15">
        <f>MIN(1,MAX(VLOOKUP(($AJ13-$AI13-$AH13-$AG13-$AF13-$AE13*(1+HH$3))/$AJ13,'Технический лист'!$A:$B,2,1),(HG13-0.05)))</f>
        <v>0.97499999999999998</v>
      </c>
      <c r="HI13" s="15">
        <f>MIN(1,MAX(VLOOKUP(($AJ13-$AI13-$AH13-$AG13-$AF13-$AE13*(1+HI$3))/$AJ13,'Технический лист'!$A:$B,2,1),(HH13-0.05)))</f>
        <v>0.97499999999999998</v>
      </c>
      <c r="HJ13" s="15">
        <f>MIN(1,MAX(VLOOKUP(($AJ13-$AI13-$AH13-$AG13-$AF13-$AE13*(1+HJ$3))/$AJ13,'Технический лист'!$A:$B,2,1),(HI13-0.05)))</f>
        <v>0.97499999999999998</v>
      </c>
      <c r="HK13" s="15">
        <f>MIN(1,MAX(VLOOKUP(($AJ13-$AI13-$AH13-$AG13-$AF13-$AE13*(1+HK$3))/$AJ13,'Технический лист'!$A:$B,2,1),(HJ13-0.05)))</f>
        <v>0.97499999999999998</v>
      </c>
      <c r="HL13" s="15">
        <f>MIN(1,MAX(VLOOKUP(($AJ13-$AI13-$AH13-$AG13-$AF13-$AE13*(1+HL$3))/$AJ13,'Технический лист'!$A:$B,2,1),(HK13-0.05)))</f>
        <v>0.97499999999999998</v>
      </c>
      <c r="HM13" s="15">
        <f>MIN(1,MAX(VLOOKUP(($AJ13-$AI13-$AH13-$AG13-$AF13-$AE13*(1+HM$3))/$AJ13,'Технический лист'!$A:$B,2,1),(HL13-0.05)))</f>
        <v>0.97499999999999998</v>
      </c>
      <c r="HN13" s="15">
        <f>MIN(1,MAX(VLOOKUP(($AJ13-$AI13-$AH13-$AG13-$AF13-$AE13*(1+HN$3))/$AJ13,'Технический лист'!$A:$B,2,1),(HM13-0.05)))</f>
        <v>0.97499999999999998</v>
      </c>
      <c r="HO13" s="15">
        <f>MIN(1,MAX(VLOOKUP(($AJ13-$AI13-$AH13-$AG13-$AF13-$AE13*(1+HO$3))/$AJ13,'Технический лист'!$A:$B,2,1),(HN13-0.05)))</f>
        <v>0.97499999999999998</v>
      </c>
      <c r="HP13" s="15">
        <f>MIN(1,MAX(VLOOKUP(($AJ13-$AI13-$AH13-$AG13-$AF13-$AE13*(1+HP$3))/$AJ13,'Технический лист'!$A:$B,2,1),(HO13-0.05)))</f>
        <v>0.97499999999999998</v>
      </c>
      <c r="HQ13" s="15">
        <f>MIN(1,MAX(VLOOKUP(($AJ13-$AI13-$AH13-$AG13-$AF13-$AE13*(1+HQ$3))/$AJ13,'Технический лист'!$A:$B,2,1),(HP13-0.05)))</f>
        <v>0.97499999999999998</v>
      </c>
      <c r="HR13" s="15">
        <f>MIN(1,MAX(VLOOKUP(($AJ13-$AI13-$AH13-$AG13-$AF13-$AE13*(1+HR$3))/$AJ13,'Технический лист'!$A:$B,2,1),(HQ13-0.05)))</f>
        <v>0.97499999999999998</v>
      </c>
      <c r="HS13" s="15">
        <f>MIN(1,MAX(VLOOKUP(($AJ13-$AI13-$AH13-$AG13-$AF13-$AE13*(1+HS$3))/$AJ13,'Технический лист'!$A:$B,2,1),(HR13-0.05)))</f>
        <v>0.97499999999999998</v>
      </c>
      <c r="HT13" s="15">
        <f>MIN(1,MAX(VLOOKUP(($AJ13-$AI13-$AH13-$AG13-$AF13-$AE13*(1+HT$3))/$AJ13,'Технический лист'!$A:$B,2,1),(HS13-0.05)))</f>
        <v>0.97</v>
      </c>
      <c r="HU13" s="15">
        <f>MIN(1,MAX(VLOOKUP(($AJ13-$AI13-$AH13-$AG13-$AF13-$AE13*(1+HU$3))/$AJ13,'Технический лист'!$A:$B,2,1),(HT13-0.05)))</f>
        <v>0.97</v>
      </c>
      <c r="HV13" s="15">
        <f>MIN(1,MAX(VLOOKUP(($AJ13-$AI13-$AH13-$AG13-$AF13-$AE13*(1+HV$3))/$AJ13,'Технический лист'!$A:$B,2,1),(HU13-0.05)))</f>
        <v>0.97</v>
      </c>
      <c r="HW13" s="15">
        <f>MIN(1,MAX(VLOOKUP(($AJ13-$AI13-$AH13-$AG13-$AF13-$AE13*(1+HW$3))/$AJ13,'Технический лист'!$A:$B,2,1),(HV13-0.05)))</f>
        <v>0.97</v>
      </c>
      <c r="HX13" s="15">
        <f>MIN(1,MAX(VLOOKUP(($AJ13-$AI13-$AH13-$AG13-$AF13-$AE13*(1+HX$3))/$AJ13,'Технический лист'!$A:$B,2,1),(HW13-0.05)))</f>
        <v>0.97</v>
      </c>
      <c r="HY13" s="15">
        <f>MIN(1,MAX(VLOOKUP(($AJ13-$AI13-$AH13-$AG13-$AF13-$AE13*(1+HY$3))/$AJ13,'Технический лист'!$A:$B,2,1),(HX13-0.05)))</f>
        <v>0.97</v>
      </c>
      <c r="HZ13" s="15">
        <f>MIN(1,MAX(VLOOKUP(($AJ13-$AI13-$AH13-$AG13-$AF13-$AE13*(1+HZ$3))/$AJ13,'Технический лист'!$A:$B,2,1),(HY13-0.05)))</f>
        <v>0.97</v>
      </c>
      <c r="IA13" s="15">
        <f>MIN(1,MAX(VLOOKUP(($AJ13-$AI13-$AH13-$AG13-$AF13-$AE13*(1+IA$3))/$AJ13,'Технический лист'!$A:$B,2,1),(HZ13-0.05)))</f>
        <v>0.97</v>
      </c>
      <c r="IB13" s="15">
        <f>MIN(1,MAX(VLOOKUP(($AJ13-$AI13-$AH13-$AG13-$AF13-$AE13*(1+IB$3))/$AJ13,'Технический лист'!$A:$B,2,1),(IA13-0.05)))</f>
        <v>0.97</v>
      </c>
      <c r="IC13" s="15">
        <f>MIN(1,MAX(VLOOKUP(($AJ13-$AI13-$AH13-$AG13-$AF13-$AE13*(1+IC$3))/$AJ13,'Технический лист'!$A:$B,2,1),(IB13-0.05)))</f>
        <v>0.97</v>
      </c>
      <c r="ID13" s="15">
        <f>MIN(1,MAX(VLOOKUP(($AJ13-$AI13-$AH13-$AG13-$AF13-$AE13*(1+ID$3))/$AJ13,'Технический лист'!$A:$B,2,1),(IC13-0.05)))</f>
        <v>0.97</v>
      </c>
      <c r="IE13" s="15">
        <f>MIN(1,MAX(VLOOKUP(($AJ13-$AI13-$AH13-$AG13-$AF13-$AE13*(1+IE$3))/$AJ13,'Технический лист'!$A:$B,2,1),(ID13-0.05)))</f>
        <v>0.97</v>
      </c>
      <c r="IF13" s="15">
        <f>MIN(1,MAX(VLOOKUP(($AJ13-$AI13-$AH13-$AG13-$AF13-$AE13*(1+IF$3))/$AJ13,'Технический лист'!$A:$B,2,1),(IE13-0.05)))</f>
        <v>0.97</v>
      </c>
      <c r="IG13" s="15">
        <f>MIN(1,MAX(VLOOKUP(($AJ13-$AI13-$AH13-$AG13-$AF13-$AE13*(1+IG$3))/$AJ13,'Технический лист'!$A:$B,2,1),(IF13-0.05)))</f>
        <v>0.97</v>
      </c>
      <c r="IH13" s="15">
        <f>MIN(1,MAX(VLOOKUP(($AJ13-$AI13-$AH13-$AG13-$AF13-$AE13*(1+IH$3))/$AJ13,'Технический лист'!$A:$B,2,1),(IG13-0.05)))</f>
        <v>0.97</v>
      </c>
      <c r="II13" s="15">
        <f>MIN(1,MAX(VLOOKUP(($AJ13-$AI13-$AH13-$AG13-$AF13-$AE13*(1+II$3))/$AJ13,'Технический лист'!$A:$B,2,1),(IH13-0.05)))</f>
        <v>0.97</v>
      </c>
      <c r="IJ13" s="15">
        <f>MIN(1,MAX(VLOOKUP(($AJ13-$AI13-$AH13-$AG13-$AF13-$AE13*(1+IJ$3))/$AJ13,'Технический лист'!$A:$B,2,1),(II13-0.05)))</f>
        <v>0.97</v>
      </c>
      <c r="IK13" s="15">
        <f>MIN(1,MAX(VLOOKUP(($AJ13-$AI13-$AH13-$AG13-$AF13-$AE13*(1+IK$3))/$AJ13,'Технический лист'!$A:$B,2,1),(IJ13-0.05)))</f>
        <v>0.97</v>
      </c>
      <c r="IL13" s="15">
        <f>MIN(1,MAX(VLOOKUP(($AJ13-$AI13-$AH13-$AG13-$AF13-$AE13*(1+IL$3))/$AJ13,'Технический лист'!$A:$B,2,1),(IK13-0.05)))</f>
        <v>0.97</v>
      </c>
      <c r="IM13" s="15">
        <f>MIN(1,MAX(VLOOKUP(($AJ13-$AI13-$AH13-$AG13-$AF13-$AE13*(1+IM$3))/$AJ13,'Технический лист'!$A:$B,2,1),(IL13-0.05)))</f>
        <v>0.97</v>
      </c>
      <c r="IN13" s="15">
        <f>MIN(1,MAX(VLOOKUP(($AJ13-$AI13-$AH13-$AG13-$AF13-$AE13*(1+IN$3))/$AJ13,'Технический лист'!$A:$B,2,1),(IM13-0.05)))</f>
        <v>0.97</v>
      </c>
      <c r="IO13" s="15">
        <f>MIN(1,MAX(VLOOKUP(($AJ13-$AI13-$AH13-$AG13-$AF13-$AE13*(1+IO$3))/$AJ13,'Технический лист'!$A:$B,2,1),(IN13-0.05)))</f>
        <v>0.97</v>
      </c>
      <c r="IP13" s="15">
        <f>MIN(1,MAX(VLOOKUP(($AJ13-$AI13-$AH13-$AG13-$AF13-$AE13*(1+IP$3))/$AJ13,'Технический лист'!$A:$B,2,1),(IO13-0.05)))</f>
        <v>0.96499999999999997</v>
      </c>
      <c r="IQ13" s="15">
        <f>MIN(1,MAX(VLOOKUP(($AJ13-$AI13-$AH13-$AG13-$AF13-$AE13*(1+IQ$3))/$AJ13,'Технический лист'!$A:$B,2,1),(IP13-0.05)))</f>
        <v>0.96499999999999997</v>
      </c>
      <c r="IR13" s="15">
        <f>MIN(1,MAX(VLOOKUP(($AJ13-$AI13-$AH13-$AG13-$AF13-$AE13*(1+IR$3))/$AJ13,'Технический лист'!$A:$B,2,1),(IQ13-0.05)))</f>
        <v>0.96499999999999997</v>
      </c>
    </row>
    <row r="14" spans="1:257" ht="45" customHeight="1">
      <c r="A14" s="89" t="s">
        <v>514</v>
      </c>
      <c r="B14" s="90">
        <v>2</v>
      </c>
      <c r="C14" s="5" t="s">
        <v>65</v>
      </c>
      <c r="D14" s="91">
        <v>17103</v>
      </c>
      <c r="E14" s="91" t="s">
        <v>316</v>
      </c>
      <c r="F14" s="92" t="s">
        <v>69</v>
      </c>
      <c r="G14" s="91" t="s">
        <v>23</v>
      </c>
      <c r="H14" s="91" t="s">
        <v>50</v>
      </c>
      <c r="I14" s="91" t="s">
        <v>54</v>
      </c>
      <c r="J14" s="91" t="s">
        <v>83</v>
      </c>
      <c r="K14" s="91">
        <v>1982</v>
      </c>
      <c r="L14" s="85" t="s">
        <v>64</v>
      </c>
      <c r="M14" s="91" t="s">
        <v>190</v>
      </c>
      <c r="N14" s="91" t="s">
        <v>191</v>
      </c>
      <c r="O14" s="91" t="s">
        <v>192</v>
      </c>
      <c r="P14" s="89" t="s">
        <v>200</v>
      </c>
      <c r="Q14" s="91" t="s">
        <v>276</v>
      </c>
      <c r="R14" s="91" t="s">
        <v>253</v>
      </c>
      <c r="S14" s="82">
        <v>269089</v>
      </c>
      <c r="T14" s="82">
        <v>533360184</v>
      </c>
      <c r="U14" s="81">
        <v>5368</v>
      </c>
      <c r="V14" s="81">
        <v>0</v>
      </c>
      <c r="W14" s="82">
        <v>426612557</v>
      </c>
      <c r="X14" s="112">
        <v>50</v>
      </c>
      <c r="Y14" s="112" t="s">
        <v>417</v>
      </c>
      <c r="Z14" s="113">
        <v>9</v>
      </c>
      <c r="AA14" s="113">
        <v>8</v>
      </c>
      <c r="AB14" s="113">
        <v>4</v>
      </c>
      <c r="AC14" s="99">
        <v>1785.7</v>
      </c>
      <c r="AD14" s="99">
        <f t="shared" si="1"/>
        <v>743.1400000000001</v>
      </c>
      <c r="AE14" s="99">
        <v>2528.84</v>
      </c>
      <c r="AF14" s="98">
        <f>(Z14+AA14+AB14)*'Ставки аренды'!$B$3/X14</f>
        <v>294</v>
      </c>
      <c r="AG14" s="114">
        <v>0</v>
      </c>
      <c r="AH14" s="94">
        <v>0</v>
      </c>
      <c r="AI14" s="115">
        <f>0.9*AVERAGE(AJ13,AJ14)</f>
        <v>14757.857325000001</v>
      </c>
      <c r="AJ14" s="117">
        <f>Цены!$D$9</f>
        <v>17000</v>
      </c>
      <c r="AK14" s="94">
        <f>AJ14/Цены!$B$1</f>
        <v>222.7886587467483</v>
      </c>
      <c r="AL14" s="95">
        <f t="shared" si="5"/>
        <v>2822.84</v>
      </c>
      <c r="AM14" s="95">
        <f t="shared" si="6"/>
        <v>14177.16</v>
      </c>
      <c r="AN14" s="94">
        <f t="shared" si="2"/>
        <v>17580.697325000001</v>
      </c>
      <c r="AO14" s="118">
        <f t="shared" si="3"/>
        <v>-3.4158666176470648E-2</v>
      </c>
      <c r="AP14" s="96">
        <f t="shared" si="7"/>
        <v>0.16604941176470589</v>
      </c>
      <c r="AQ14" s="96">
        <f t="shared" si="8"/>
        <v>0.14875529411764707</v>
      </c>
      <c r="AR14" s="96">
        <f t="shared" si="9"/>
        <v>0.89584956993665954</v>
      </c>
      <c r="AS14" s="122">
        <v>1</v>
      </c>
      <c r="AT14" s="121">
        <f t="shared" si="10"/>
        <v>269089</v>
      </c>
      <c r="AU14" s="83">
        <v>0.9</v>
      </c>
      <c r="AV14" s="119">
        <f t="shared" si="11"/>
        <v>-5.200930147058834E-2</v>
      </c>
      <c r="AW14" s="120">
        <f t="shared" si="12"/>
        <v>0.18390004705882357</v>
      </c>
      <c r="AX14" s="120">
        <f t="shared" si="13"/>
        <v>0.16660592941176472</v>
      </c>
      <c r="AY14" s="120">
        <f t="shared" si="14"/>
        <v>0.90595914507010966</v>
      </c>
      <c r="AZ14" s="15">
        <f>MIN(IF($AU14=100%,1,1+VLOOKUP(($AJ14-$AI14-$AH14-$AG14-$AF14-$AE14*(1+AZ$3))/$AJ14,'Технический лист'!$A:$B,2,1)-VLOOKUP($AO14,'Технический лист'!$A:$B,2,1)),1+(1-$AU14))</f>
        <v>1.01</v>
      </c>
      <c r="BA14" s="15">
        <f>MIN(IF($AU14=100%,1,1+VLOOKUP(($AJ14-$AI14-$AH14-$AG14-$AF14-$AE14*(1+BA$3))/$AJ14,'Технический лист'!$A:$B,2,1)-VLOOKUP($AO14,'Технический лист'!$A:$B,2,1)),1+(1-$AU14))</f>
        <v>1.01</v>
      </c>
      <c r="BB14" s="15">
        <f>MIN(IF($AU14=100%,1,1+VLOOKUP(($AJ14-$AI14-$AH14-$AG14-$AF14-$AE14*(1+BB$3))/$AJ14,'Технический лист'!$A:$B,2,1)-VLOOKUP($AO14,'Технический лист'!$A:$B,2,1)),1+(1-$AU14))</f>
        <v>1.01</v>
      </c>
      <c r="BC14" s="15">
        <f>MIN(IF($AU14=100%,1,1+VLOOKUP(($AJ14-$AI14-$AH14-$AG14-$AF14-$AE14*(1+BC$3))/$AJ14,'Технический лист'!$A:$B,2,1)-VLOOKUP($AO14,'Технический лист'!$A:$B,2,1)),1+(1-$AU14))</f>
        <v>1.01</v>
      </c>
      <c r="BD14" s="15">
        <f>MIN(IF($AU14=100%,1,1+VLOOKUP(($AJ14-$AI14-$AH14-$AG14-$AF14-$AE14*(1+BD$3))/$AJ14,'Технический лист'!$A:$B,2,1)-VLOOKUP($AO14,'Технический лист'!$A:$B,2,1)),1+(1-$AU14))</f>
        <v>1.01</v>
      </c>
      <c r="BE14" s="15">
        <f>MIN(IF($AU14=100%,1,1+VLOOKUP(($AJ14-$AI14-$AH14-$AG14-$AF14-$AE14*(1+BE$3))/$AJ14,'Технический лист'!$A:$B,2,1)-VLOOKUP($AO14,'Технический лист'!$A:$B,2,1)),1+(1-$AU14))</f>
        <v>1.01</v>
      </c>
      <c r="BF14" s="15">
        <f>MIN(IF($AU14=100%,1,1+VLOOKUP(($AJ14-$AI14-$AH14-$AG14-$AF14-$AE14*(1+BF$3))/$AJ14,'Технический лист'!$A:$B,2,1)-VLOOKUP($AO14,'Технический лист'!$A:$B,2,1)),1+(1-$AU14))</f>
        <v>1.01</v>
      </c>
      <c r="BG14" s="15">
        <f>MIN(IF($AU14=100%,1,1+VLOOKUP(($AJ14-$AI14-$AH14-$AG14-$AF14-$AE14*(1+BG$3))/$AJ14,'Технический лист'!$A:$B,2,1)-VLOOKUP($AO14,'Технический лист'!$A:$B,2,1)),1+(1-$AU14))</f>
        <v>1.01</v>
      </c>
      <c r="BH14" s="15">
        <f>MIN(IF($AU14=100%,1,1+VLOOKUP(($AJ14-$AI14-$AH14-$AG14-$AF14-$AE14*(1+BH$3))/$AJ14,'Технический лист'!$A:$B,2,1)-VLOOKUP($AO14,'Технический лист'!$A:$B,2,1)),1+(1-$AU14))</f>
        <v>1.01</v>
      </c>
      <c r="BI14" s="15">
        <f>MIN(IF($AU14=100%,1,1+VLOOKUP(($AJ14-$AI14-$AH14-$AG14-$AF14-$AE14*(1+BI$3))/$AJ14,'Технический лист'!$A:$B,2,1)-VLOOKUP($AO14,'Технический лист'!$A:$B,2,1)),1+(1-$AU14))</f>
        <v>1.01</v>
      </c>
      <c r="BJ14" s="15">
        <f>MIN(IF($AU14=100%,1,1+VLOOKUP(($AJ14-$AI14-$AH14-$AG14-$AF14-$AE14*(1+BJ$3))/$AJ14,'Технический лист'!$A:$B,2,1)-VLOOKUP($AO14,'Технический лист'!$A:$B,2,1)),1+(1-$AU14))</f>
        <v>1.01</v>
      </c>
      <c r="BK14" s="15">
        <f>MIN(IF($AU14=100%,1,1+VLOOKUP(($AJ14-$AI14-$AH14-$AG14-$AF14-$AE14*(1+BK$3))/$AJ14,'Технический лист'!$A:$B,2,1)-VLOOKUP($AO14,'Технический лист'!$A:$B,2,1)),1+(1-$AU14))</f>
        <v>1.01</v>
      </c>
      <c r="BL14" s="15">
        <f>MIN(IF($AU14=100%,1,1+VLOOKUP(($AJ14-$AI14-$AH14-$AG14-$AF14-$AE14*(1+BL$3))/$AJ14,'Технический лист'!$A:$B,2,1)-VLOOKUP($AO14,'Технический лист'!$A:$B,2,1)),1+(1-$AU14))</f>
        <v>1.01</v>
      </c>
      <c r="BM14" s="15">
        <f>MIN(IF($AU14=100%,1,1+VLOOKUP(($AJ14-$AI14-$AH14-$AG14-$AF14-$AE14*(1+BM$3))/$AJ14,'Технический лист'!$A:$B,2,1)-VLOOKUP($AO14,'Технический лист'!$A:$B,2,1)),1+(1-$AU14))</f>
        <v>1.01</v>
      </c>
      <c r="BN14" s="15">
        <f>MIN(IF($AU14=100%,1,1+VLOOKUP(($AJ14-$AI14-$AH14-$AG14-$AF14-$AE14*(1+BN$3))/$AJ14,'Технический лист'!$A:$B,2,1)-VLOOKUP($AO14,'Технический лист'!$A:$B,2,1)),1+(1-$AU14))</f>
        <v>1.01</v>
      </c>
      <c r="BO14" s="15">
        <f>MIN(IF($AU14=100%,1,1+VLOOKUP(($AJ14-$AI14-$AH14-$AG14-$AF14-$AE14*(1+BO$3))/$AJ14,'Технический лист'!$A:$B,2,1)-VLOOKUP($AO14,'Технический лист'!$A:$B,2,1)),1+(1-$AU14))</f>
        <v>1.01</v>
      </c>
      <c r="BP14" s="15">
        <f>MIN(IF($AU14=100%,1,1+VLOOKUP(($AJ14-$AI14-$AH14-$AG14-$AF14-$AE14*(1+BP$3))/$AJ14,'Технический лист'!$A:$B,2,1)-VLOOKUP($AO14,'Технический лист'!$A:$B,2,1)),1+(1-$AU14))</f>
        <v>1.01</v>
      </c>
      <c r="BQ14" s="15">
        <f>MIN(IF($AU14=100%,1,1+VLOOKUP(($AJ14-$AI14-$AH14-$AG14-$AF14-$AE14*(1+BQ$3))/$AJ14,'Технический лист'!$A:$B,2,1)-VLOOKUP($AO14,'Технический лист'!$A:$B,2,1)),1+(1-$AU14))</f>
        <v>1.01</v>
      </c>
      <c r="BR14" s="15">
        <f>MIN(IF($AU14=100%,1,1+VLOOKUP(($AJ14-$AI14-$AH14-$AG14-$AF14-$AE14*(1+BR$3))/$AJ14,'Технический лист'!$A:$B,2,1)-VLOOKUP($AO14,'Технический лист'!$A:$B,2,1)),1+(1-$AU14))</f>
        <v>1.01</v>
      </c>
      <c r="BS14" s="15">
        <f>MIN(IF($AU14=100%,1,1+VLOOKUP(($AJ14-$AI14-$AH14-$AG14-$AF14-$AE14*(1+BS$3))/$AJ14,'Технический лист'!$A:$B,2,1)-VLOOKUP($AO14,'Технический лист'!$A:$B,2,1)),1+(1-$AU14))</f>
        <v>1.01</v>
      </c>
      <c r="BT14" s="15">
        <f>MIN(IF($AU14=100%,1,1+VLOOKUP(($AJ14-$AI14-$AH14-$AG14-$AF14-$AE14*(1+BT$3))/$AJ14,'Технический лист'!$A:$B,2,1)-VLOOKUP($AO14,'Технический лист'!$A:$B,2,1)),1+(1-$AU14))</f>
        <v>1.01</v>
      </c>
      <c r="BU14" s="15">
        <f>MIN(IF($AU14=100%,1,1+VLOOKUP(($AJ14-$AI14-$AH14-$AG14-$AF14-$AE14*(1+BU$3))/$AJ14,'Технический лист'!$A:$B,2,1)-VLOOKUP($AO14,'Технический лист'!$A:$B,2,1)),1+(1-$AU14))</f>
        <v>1.01</v>
      </c>
      <c r="BV14" s="15">
        <f>MIN(IF($AU14=100%,1,1+VLOOKUP(($AJ14-$AI14-$AH14-$AG14-$AF14-$AE14*(1+BV$3))/$AJ14,'Технический лист'!$A:$B,2,1)-VLOOKUP($AO14,'Технический лист'!$A:$B,2,1)),1+(1-$AU14))</f>
        <v>1.01</v>
      </c>
      <c r="BW14" s="15">
        <f>MIN(IF($AU14=100%,1,1+VLOOKUP(($AJ14-$AI14-$AH14-$AG14-$AF14-$AE14*(1+BW$3))/$AJ14,'Технический лист'!$A:$B,2,1)-VLOOKUP($AO14,'Технический лист'!$A:$B,2,1)),1+(1-$AU14))</f>
        <v>1.01</v>
      </c>
      <c r="BX14" s="15">
        <f>MIN(IF($AU14=100%,1,1+VLOOKUP(($AJ14-$AI14-$AH14-$AG14-$AF14-$AE14*(1+BX$3))/$AJ14,'Технический лист'!$A:$B,2,1)-VLOOKUP($AO14,'Технический лист'!$A:$B,2,1)),1+(1-$AU14))</f>
        <v>1.01</v>
      </c>
      <c r="BY14" s="15">
        <f>MIN(IF($AU14=100%,1,1+VLOOKUP(($AJ14-$AI14-$AH14-$AG14-$AF14-$AE14*(1+BY$3))/$AJ14,'Технический лист'!$A:$B,2,1)-VLOOKUP($AO14,'Технический лист'!$A:$B,2,1)),1+(1-$AU14))</f>
        <v>1.01</v>
      </c>
      <c r="BZ14" s="15">
        <f>MIN(IF($AU14=100%,1,1+VLOOKUP(($AJ14-$AI14-$AH14-$AG14-$AF14-$AE14*(1+BZ$3))/$AJ14,'Технический лист'!$A:$B,2,1)-VLOOKUP($AO14,'Технический лист'!$A:$B,2,1)),1+(1-$AU14))</f>
        <v>1.01</v>
      </c>
      <c r="CA14" s="15">
        <f>MIN(IF($AU14=100%,1,1+VLOOKUP(($AJ14-$AI14-$AH14-$AG14-$AF14-$AE14*(1+CA$3))/$AJ14,'Технический лист'!$A:$B,2,1)-VLOOKUP($AO14,'Технический лист'!$A:$B,2,1)),1+(1-$AU14))</f>
        <v>1.01</v>
      </c>
      <c r="CB14" s="15">
        <f>MIN(IF($AU14=100%,1,1+VLOOKUP(($AJ14-$AI14-$AH14-$AG14-$AF14-$AE14*(1+CB$3))/$AJ14,'Технический лист'!$A:$B,2,1)-VLOOKUP($AO14,'Технический лист'!$A:$B,2,1)),1+(1-$AU14))</f>
        <v>1.01</v>
      </c>
      <c r="CC14" s="15">
        <f>MIN(IF($AU14=100%,1,1+VLOOKUP(($AJ14-$AI14-$AH14-$AG14-$AF14-$AE14*(1+CC$3))/$AJ14,'Технический лист'!$A:$B,2,1)-VLOOKUP($AO14,'Технический лист'!$A:$B,2,1)),1+(1-$AU14))</f>
        <v>1.01</v>
      </c>
      <c r="CD14" s="15">
        <f>MIN(IF($AU14=100%,1,1+VLOOKUP(($AJ14-$AI14-$AH14-$AG14-$AF14-$AE14*(1+CD$3))/$AJ14,'Технический лист'!$A:$B,2,1)-VLOOKUP($AO14,'Технический лист'!$A:$B,2,1)),1+(1-$AU14))</f>
        <v>1.01</v>
      </c>
      <c r="CE14" s="15">
        <f>MIN(IF($AU14=100%,1,1+VLOOKUP(($AJ14-$AI14-$AH14-$AG14-$AF14-$AE14*(1+CE$3))/$AJ14,'Технический лист'!$A:$B,2,1)-VLOOKUP($AO14,'Технический лист'!$A:$B,2,1)),1+(1-$AU14))</f>
        <v>1.01</v>
      </c>
      <c r="CF14" s="15">
        <f>MIN(IF($AU14=100%,1,1+VLOOKUP(($AJ14-$AI14-$AH14-$AG14-$AF14-$AE14*(1+CF$3))/$AJ14,'Технический лист'!$A:$B,2,1)-VLOOKUP($AO14,'Технический лист'!$A:$B,2,1)),1+(1-$AU14))</f>
        <v>1.01</v>
      </c>
      <c r="CG14" s="15">
        <f>MIN(IF($AU14=100%,1,1+VLOOKUP(($AJ14-$AI14-$AH14-$AG14-$AF14-$AE14*(1+CG$3))/$AJ14,'Технический лист'!$A:$B,2,1)-VLOOKUP($AO14,'Технический лист'!$A:$B,2,1)),1+(1-$AU14))</f>
        <v>1.01</v>
      </c>
      <c r="CH14" s="15">
        <f>MIN(IF($AU14=100%,1,1+VLOOKUP(($AJ14-$AI14-$AH14-$AG14-$AF14-$AE14*(1+CH$3))/$AJ14,'Технический лист'!$A:$B,2,1)-VLOOKUP($AO14,'Технический лист'!$A:$B,2,1)),1+(1-$AU14))</f>
        <v>1.01</v>
      </c>
      <c r="CI14" s="15">
        <f>MIN(IF($AU14=100%,1,1+VLOOKUP(($AJ14-$AI14-$AH14-$AG14-$AF14-$AE14*(1+CI$3))/$AJ14,'Технический лист'!$A:$B,2,1)-VLOOKUP($AO14,'Технический лист'!$A:$B,2,1)),1+(1-$AU14))</f>
        <v>1.01</v>
      </c>
      <c r="CJ14" s="15">
        <f>MIN(IF($AU14=100%,1,1+VLOOKUP(($AJ14-$AI14-$AH14-$AG14-$AF14-$AE14*(1+CJ$3))/$AJ14,'Технический лист'!$A:$B,2,1)-VLOOKUP($AO14,'Технический лист'!$A:$B,2,1)),1+(1-$AU14))</f>
        <v>1.01</v>
      </c>
      <c r="CK14" s="15">
        <f>MIN(IF($AU14=100%,1,1+VLOOKUP(($AJ14-$AI14-$AH14-$AG14-$AF14-$AE14*(1+CK$3))/$AJ14,'Технический лист'!$A:$B,2,1)-VLOOKUP($AO14,'Технический лист'!$A:$B,2,1)),1+(1-$AU14))</f>
        <v>1.01</v>
      </c>
      <c r="CL14" s="15">
        <f>MIN(IF($AU14=100%,1,1+VLOOKUP(($AJ14-$AI14-$AH14-$AG14-$AF14-$AE14*(1+CL$3))/$AJ14,'Технический лист'!$A:$B,2,1)-VLOOKUP($AO14,'Технический лист'!$A:$B,2,1)),1+(1-$AU14))</f>
        <v>1.01</v>
      </c>
      <c r="CM14" s="15">
        <f>MIN(IF($AU14=100%,1,1+VLOOKUP(($AJ14-$AI14-$AH14-$AG14-$AF14-$AE14*(1+CM$3))/$AJ14,'Технический лист'!$A:$B,2,1)-VLOOKUP($AO14,'Технический лист'!$A:$B,2,1)),1+(1-$AU14))</f>
        <v>1.01</v>
      </c>
      <c r="CN14" s="15">
        <f>MIN(IF($AU14=100%,1,1+VLOOKUP(($AJ14-$AI14-$AH14-$AG14-$AF14-$AE14*(1+CN$3))/$AJ14,'Технический лист'!$A:$B,2,1)-VLOOKUP($AO14,'Технический лист'!$A:$B,2,1)),1+(1-$AU14))</f>
        <v>1.01</v>
      </c>
      <c r="CO14" s="15">
        <f>MIN(IF($AU14=100%,1,1+VLOOKUP(($AJ14-$AI14-$AH14-$AG14-$AF14-$AE14*(1+CO$3))/$AJ14,'Технический лист'!$A:$B,2,1)-VLOOKUP($AO14,'Технический лист'!$A:$B,2,1)),1+(1-$AU14))</f>
        <v>1.01</v>
      </c>
      <c r="CP14" s="15">
        <f>MIN(IF($AU14=100%,1,1+VLOOKUP(($AJ14-$AI14-$AH14-$AG14-$AF14-$AE14*(1+CP$3))/$AJ14,'Технический лист'!$A:$B,2,1)-VLOOKUP($AO14,'Технический лист'!$A:$B,2,1)),1+(1-$AU14))</f>
        <v>1.01</v>
      </c>
      <c r="CQ14" s="15">
        <f>MIN(IF($AU14=100%,1,1+VLOOKUP(($AJ14-$AI14-$AH14-$AG14-$AF14-$AE14*(1+CQ$3))/$AJ14,'Технический лист'!$A:$B,2,1)-VLOOKUP($AO14,'Технический лист'!$A:$B,2,1)),1+(1-$AU14))</f>
        <v>1.01</v>
      </c>
      <c r="CR14" s="15">
        <f>MIN(IF($AU14=100%,1,1+VLOOKUP(($AJ14-$AI14-$AH14-$AG14-$AF14-$AE14*(1+CR$3))/$AJ14,'Технический лист'!$A:$B,2,1)-VLOOKUP($AO14,'Технический лист'!$A:$B,2,1)),1+(1-$AU14))</f>
        <v>1.01</v>
      </c>
      <c r="CS14" s="15">
        <f>MIN(IF($AU14=100%,1,1+VLOOKUP(($AJ14-$AI14-$AH14-$AG14-$AF14-$AE14*(1+CS$3))/$AJ14,'Технический лист'!$A:$B,2,1)-VLOOKUP($AO14,'Технический лист'!$A:$B,2,1)),1+(1-$AU14))</f>
        <v>1.01</v>
      </c>
      <c r="CT14" s="15">
        <f>MIN(IF($AU14=100%,1,1+VLOOKUP(($AJ14-$AI14-$AH14-$AG14-$AF14-$AE14*(1+CT$3))/$AJ14,'Технический лист'!$A:$B,2,1)-VLOOKUP($AO14,'Технический лист'!$A:$B,2,1)),1+(1-$AU14))</f>
        <v>1.01</v>
      </c>
      <c r="CU14" s="15">
        <f>MIN(IF($AU14=100%,1,1+VLOOKUP(($AJ14-$AI14-$AH14-$AG14-$AF14-$AE14*(1+CU$3))/$AJ14,'Технический лист'!$A:$B,2,1)-VLOOKUP($AO14,'Технический лист'!$A:$B,2,1)),1+(1-$AU14))</f>
        <v>1.01</v>
      </c>
      <c r="CV14" s="15">
        <f>MIN(IF($AU14=100%,1,1+VLOOKUP(($AJ14-$AI14-$AH14-$AG14-$AF14-$AE14*(1+CV$3))/$AJ14,'Технический лист'!$A:$B,2,1)-VLOOKUP($AO14,'Технический лист'!$A:$B,2,1)),1+(1-$AU14))</f>
        <v>1.01</v>
      </c>
      <c r="CW14" s="15">
        <f>MIN(IF($AU14=100%,1,1+VLOOKUP(($AJ14-$AI14-$AH14-$AG14-$AF14-$AE14*(1+CW$3))/$AJ14,'Технический лист'!$A:$B,2,1)-VLOOKUP($AO14,'Технический лист'!$A:$B,2,1)),1+(1-$AU14))</f>
        <v>1.01</v>
      </c>
      <c r="CX14" s="15">
        <f>MIN(IF($AU14=100%,1,1+VLOOKUP(($AJ14-$AI14-$AH14-$AG14-$AF14-$AE14*(1+CX$3))/$AJ14,'Технический лист'!$A:$B,2,1)-VLOOKUP($AO14,'Технический лист'!$A:$B,2,1)),1+(1-$AU14))</f>
        <v>1.01</v>
      </c>
      <c r="CY14" s="15">
        <f>MIN(IF($AU14=100%,1,1+VLOOKUP(($AJ14-$AI14-$AH14-$AG14-$AF14-$AE14*(1+CY$3))/$AJ14,'Технический лист'!$A:$B,2,1)-VLOOKUP($AO14,'Технический лист'!$A:$B,2,1)),1+(1-$AU14))</f>
        <v>1.01</v>
      </c>
      <c r="CZ14" s="15">
        <f>MIN(IF($AU14=100%,1,1+VLOOKUP(($AJ14-$AI14-$AH14-$AG14-$AF14-$AE14*(1+CZ$3))/$AJ14,'Технический лист'!$A:$B,2,1)-VLOOKUP($AO14,'Технический лист'!$A:$B,2,1)),1+(1-$AU14))</f>
        <v>1.01</v>
      </c>
      <c r="DA14" s="15">
        <f>MIN(IF($AU14=100%,1,1+VLOOKUP(($AJ14-$AI14-$AH14-$AG14-$AF14-$AE14*(1+DA$3))/$AJ14,'Технический лист'!$A:$B,2,1)-VLOOKUP($AO14,'Технический лист'!$A:$B,2,1)),1+(1-$AU14))</f>
        <v>1.01</v>
      </c>
      <c r="DB14" s="15">
        <f>MIN(IF($AU14=100%,1,1+VLOOKUP(($AJ14-$AI14-$AH14-$AG14-$AF14-$AE14*(1+DB$3))/$AJ14,'Технический лист'!$A:$B,2,1)-VLOOKUP($AO14,'Технический лист'!$A:$B,2,1)),1+(1-$AU14))</f>
        <v>1.01</v>
      </c>
      <c r="DC14" s="15">
        <f>MIN(IF($AU14=100%,1,1+VLOOKUP(($AJ14-$AI14-$AH14-$AG14-$AF14-$AE14*(1+DC$3))/$AJ14,'Технический лист'!$A:$B,2,1)-VLOOKUP($AO14,'Технический лист'!$A:$B,2,1)),1+(1-$AU14))</f>
        <v>1.01</v>
      </c>
      <c r="DD14" s="15">
        <f>MIN(IF($AU14=100%,1,1+VLOOKUP(($AJ14-$AI14-$AH14-$AG14-$AF14-$AE14*(1+DD$3))/$AJ14,'Технический лист'!$A:$B,2,1)-VLOOKUP($AO14,'Технический лист'!$A:$B,2,1)),1+(1-$AU14))</f>
        <v>1.01</v>
      </c>
      <c r="DE14" s="15">
        <f>MIN(IF($AU14=100%,1,1+VLOOKUP(($AJ14-$AI14-$AH14-$AG14-$AF14-$AE14*(1+DE$3))/$AJ14,'Технический лист'!$A:$B,2,1)-VLOOKUP($AO14,'Технический лист'!$A:$B,2,1)),1+(1-$AU14))</f>
        <v>1.01</v>
      </c>
      <c r="DF14" s="15">
        <f>MIN(IF($AU14=100%,1,1+VLOOKUP(($AJ14-$AI14-$AH14-$AG14-$AF14-$AE14*(1+DF$3))/$AJ14,'Технический лист'!$A:$B,2,1)-VLOOKUP($AO14,'Технический лист'!$A:$B,2,1)),1+(1-$AU14))</f>
        <v>1.01</v>
      </c>
      <c r="DG14" s="15">
        <f>MIN(IF($AU14=100%,1,1+VLOOKUP(($AJ14-$AI14-$AH14-$AG14-$AF14-$AE14*(1+DG$3))/$AJ14,'Технический лист'!$A:$B,2,1)-VLOOKUP($AO14,'Технический лист'!$A:$B,2,1)),1+(1-$AU14))</f>
        <v>1.01</v>
      </c>
      <c r="DH14" s="15">
        <f>MIN(IF($AU14=100%,1,1+VLOOKUP(($AJ14-$AI14-$AH14-$AG14-$AF14-$AE14*(1+DH$3))/$AJ14,'Технический лист'!$A:$B,2,1)-VLOOKUP($AO14,'Технический лист'!$A:$B,2,1)),1+(1-$AU14))</f>
        <v>1.01</v>
      </c>
      <c r="DI14" s="15">
        <f>MIN(IF($AU14=100%,1,1+VLOOKUP(($AJ14-$AI14-$AH14-$AG14-$AF14-$AE14*(1+DI$3))/$AJ14,'Технический лист'!$A:$B,2,1)-VLOOKUP($AO14,'Технический лист'!$A:$B,2,1)),1+(1-$AU14))</f>
        <v>1.01</v>
      </c>
      <c r="DJ14" s="15">
        <f>MIN(IF($AU14=100%,1,1+VLOOKUP(($AJ14-$AI14-$AH14-$AG14-$AF14-$AE14*(1+DJ$3))/$AJ14,'Технический лист'!$A:$B,2,1)-VLOOKUP($AO14,'Технический лист'!$A:$B,2,1)),1+(1-$AU14))</f>
        <v>1.01</v>
      </c>
      <c r="DK14" s="15">
        <f>MIN(IF($AU14=100%,1,1+VLOOKUP(($AJ14-$AI14-$AH14-$AG14-$AF14-$AE14*(1+DK$3))/$AJ14,'Технический лист'!$A:$B,2,1)-VLOOKUP($AO14,'Технический лист'!$A:$B,2,1)),1+(1-$AU14))</f>
        <v>1.01</v>
      </c>
      <c r="DL14" s="15">
        <f>MIN(IF($AU14=100%,1,1+VLOOKUP(($AJ14-$AI14-$AH14-$AG14-$AF14-$AE14*(1+DL$3))/$AJ14,'Технический лист'!$A:$B,2,1)-VLOOKUP($AO14,'Технический лист'!$A:$B,2,1)),1+(1-$AU14))</f>
        <v>1.01</v>
      </c>
      <c r="DM14" s="15">
        <f>MIN(IF($AU14=100%,1,1+VLOOKUP(($AJ14-$AI14-$AH14-$AG14-$AF14-$AE14*(1+DM$3))/$AJ14,'Технический лист'!$A:$B,2,1)-VLOOKUP($AO14,'Технический лист'!$A:$B,2,1)),1+(1-$AU14))</f>
        <v>1.01</v>
      </c>
      <c r="DN14" s="15">
        <f>MIN(IF($AU14=100%,1,1+VLOOKUP(($AJ14-$AI14-$AH14-$AG14-$AF14-$AE14*(1+DN$3))/$AJ14,'Технический лист'!$A:$B,2,1)-VLOOKUP($AO14,'Технический лист'!$A:$B,2,1)),1+(1-$AU14))</f>
        <v>1.01</v>
      </c>
      <c r="DO14" s="15">
        <f>MIN(IF($AU14=100%,1,1+VLOOKUP(($AJ14-$AI14-$AH14-$AG14-$AF14-$AE14*(1+DO$3))/$AJ14,'Технический лист'!$A:$B,2,1)-VLOOKUP($AO14,'Технический лист'!$A:$B,2,1)),1+(1-$AU14))</f>
        <v>1.01</v>
      </c>
      <c r="DP14" s="15">
        <f>MIN(IF($AU14=100%,1,1+VLOOKUP(($AJ14-$AI14-$AH14-$AG14-$AF14-$AE14*(1+DP$3))/$AJ14,'Технический лист'!$A:$B,2,1)-VLOOKUP($AO14,'Технический лист'!$A:$B,2,1)),1+(1-$AU14))</f>
        <v>1.01</v>
      </c>
      <c r="DQ14" s="15">
        <f>MIN(IF($AU14=100%,1,1+VLOOKUP(($AJ14-$AI14-$AH14-$AG14-$AF14-$AE14*(1+DQ$3))/$AJ14,'Технический лист'!$A:$B,2,1)-VLOOKUP($AO14,'Технический лист'!$A:$B,2,1)),1+(1-$AU14))</f>
        <v>1.01</v>
      </c>
      <c r="DR14" s="15">
        <f>MIN(IF($AU14=100%,1,1+VLOOKUP(($AJ14-$AI14-$AH14-$AG14-$AF14-$AE14*(1+DR$3))/$AJ14,'Технический лист'!$A:$B,2,1)-VLOOKUP($AO14,'Технический лист'!$A:$B,2,1)),1+(1-$AU14))</f>
        <v>1.01</v>
      </c>
      <c r="DS14" s="15">
        <f>MIN(IF($AU14=100%,1,1+VLOOKUP(($AJ14-$AI14-$AH14-$AG14-$AF14-$AE14*(1+DS$3))/$AJ14,'Технический лист'!$A:$B,2,1)-VLOOKUP($AO14,'Технический лист'!$A:$B,2,1)),1+(1-$AU14))</f>
        <v>1.01</v>
      </c>
      <c r="DT14" s="15">
        <f>MIN(IF($AU14=100%,1,1+VLOOKUP(($AJ14-$AI14-$AH14-$AG14-$AF14-$AE14*(1+DT$3))/$AJ14,'Технический лист'!$A:$B,2,1)-VLOOKUP($AO14,'Технический лист'!$A:$B,2,1)),1+(1-$AU14))</f>
        <v>1.01</v>
      </c>
      <c r="DU14" s="15">
        <f>MIN(IF($AU14=100%,1,1+VLOOKUP(($AJ14-$AI14-$AH14-$AG14-$AF14-$AE14*(1+DU$3))/$AJ14,'Технический лист'!$A:$B,2,1)-VLOOKUP($AO14,'Технический лист'!$A:$B,2,1)),1+(1-$AU14))</f>
        <v>1.01</v>
      </c>
      <c r="DV14" s="15">
        <f>MIN(IF($AU14=100%,1,1+VLOOKUP(($AJ14-$AI14-$AH14-$AG14-$AF14-$AE14*(1+DV$3))/$AJ14,'Технический лист'!$A:$B,2,1)-VLOOKUP($AO14,'Технический лист'!$A:$B,2,1)),1+(1-$AU14))</f>
        <v>1.01</v>
      </c>
      <c r="DW14" s="15">
        <f>MIN(IF($AU14=100%,1,1+VLOOKUP(($AJ14-$AI14-$AH14-$AG14-$AF14-$AE14*(1+DW$3))/$AJ14,'Технический лист'!$A:$B,2,1)-VLOOKUP($AO14,'Технический лист'!$A:$B,2,1)),1+(1-$AU14))</f>
        <v>1.01</v>
      </c>
      <c r="DX14" s="15">
        <f>MIN(IF($AU14=100%,1,1+VLOOKUP(($AJ14-$AI14-$AH14-$AG14-$AF14-$AE14*(1+DX$3))/$AJ14,'Технический лист'!$A:$B,2,1)-VLOOKUP($AO14,'Технический лист'!$A:$B,2,1)),1+(1-$AU14))</f>
        <v>1.01</v>
      </c>
      <c r="DY14" s="15">
        <f>MIN(IF($AU14=100%,1,1+VLOOKUP(($AJ14-$AI14-$AH14-$AG14-$AF14-$AE14*(1+DY$3))/$AJ14,'Технический лист'!$A:$B,2,1)-VLOOKUP($AO14,'Технический лист'!$A:$B,2,1)),1+(1-$AU14))</f>
        <v>1.01</v>
      </c>
      <c r="DZ14" s="15">
        <f>MIN(IF($AU14=100%,1,1+VLOOKUP(($AJ14-$AI14-$AH14-$AG14-$AF14-$AE14*(1+DZ$3))/$AJ14,'Технический лист'!$A:$B,2,1)-VLOOKUP($AO14,'Технический лист'!$A:$B,2,1)),1+(1-$AU14))</f>
        <v>1.01</v>
      </c>
      <c r="EA14" s="15">
        <f>MIN(IF($AU14=100%,1,1+VLOOKUP(($AJ14-$AI14-$AH14-$AG14-$AF14-$AE14*(1+EA$3))/$AJ14,'Технический лист'!$A:$B,2,1)-VLOOKUP($AO14,'Технический лист'!$A:$B,2,1)),1+(1-$AU14))</f>
        <v>1.01</v>
      </c>
      <c r="EB14" s="15">
        <f>MIN(IF($AU14=100%,1,1+VLOOKUP(($AJ14-$AI14-$AH14-$AG14-$AF14-$AE14*(1+EB$3))/$AJ14,'Технический лист'!$A:$B,2,1)-VLOOKUP($AO14,'Технический лист'!$A:$B,2,1)),1+(1-$AU14))</f>
        <v>1.01</v>
      </c>
      <c r="EC14" s="15">
        <f>MIN(IF($AU14=100%,1,1+VLOOKUP(($AJ14-$AI14-$AH14-$AG14-$AF14-$AE14*(1+EC$3))/$AJ14,'Технический лист'!$A:$B,2,1)-VLOOKUP($AO14,'Технический лист'!$A:$B,2,1)),1+(1-$AU14))</f>
        <v>1.0050000000000001</v>
      </c>
      <c r="ED14" s="15">
        <f>MIN(IF($AU14=100%,1,1+VLOOKUP(($AJ14-$AI14-$AH14-$AG14-$AF14-$AE14*(1+ED$3))/$AJ14,'Технический лист'!$A:$B,2,1)-VLOOKUP($AO14,'Технический лист'!$A:$B,2,1)),1+(1-$AU14))</f>
        <v>1.0050000000000001</v>
      </c>
      <c r="EE14" s="15">
        <f>MIN(IF($AU14=100%,1,1+VLOOKUP(($AJ14-$AI14-$AH14-$AG14-$AF14-$AE14*(1+EE$3))/$AJ14,'Технический лист'!$A:$B,2,1)-VLOOKUP($AO14,'Технический лист'!$A:$B,2,1)),1+(1-$AU14))</f>
        <v>1.0050000000000001</v>
      </c>
      <c r="EF14" s="15">
        <f>MIN(IF($AU14=100%,1,1+VLOOKUP(($AJ14-$AI14-$AH14-$AG14-$AF14-$AE14*(1+EF$3))/$AJ14,'Технический лист'!$A:$B,2,1)-VLOOKUP($AO14,'Технический лист'!$A:$B,2,1)),1+(1-$AU14))</f>
        <v>1.0050000000000001</v>
      </c>
      <c r="EG14" s="15">
        <f>MIN(IF($AU14=100%,1,1+VLOOKUP(($AJ14-$AI14-$AH14-$AG14-$AF14-$AE14*(1+EG$3))/$AJ14,'Технический лист'!$A:$B,2,1)-VLOOKUP($AO14,'Технический лист'!$A:$B,2,1)),1+(1-$AU14))</f>
        <v>1.0050000000000001</v>
      </c>
      <c r="EH14" s="15">
        <f>MIN(IF($AU14=100%,1,1+VLOOKUP(($AJ14-$AI14-$AH14-$AG14-$AF14-$AE14*(1+EH$3))/$AJ14,'Технический лист'!$A:$B,2,1)-VLOOKUP($AO14,'Технический лист'!$A:$B,2,1)),1+(1-$AU14))</f>
        <v>1.0050000000000001</v>
      </c>
      <c r="EI14" s="15">
        <f>MIN(IF($AU14=100%,1,1+VLOOKUP(($AJ14-$AI14-$AH14-$AG14-$AF14-$AE14*(1+EI$3))/$AJ14,'Технический лист'!$A:$B,2,1)-VLOOKUP($AO14,'Технический лист'!$A:$B,2,1)),1+(1-$AU14))</f>
        <v>1.0050000000000001</v>
      </c>
      <c r="EJ14" s="15">
        <f>MIN(IF($AU14=100%,1,1+VLOOKUP(($AJ14-$AI14-$AH14-$AG14-$AF14-$AE14*(1+EJ$3))/$AJ14,'Технический лист'!$A:$B,2,1)-VLOOKUP($AO14,'Технический лист'!$A:$B,2,1)),1+(1-$AU14))</f>
        <v>1.0050000000000001</v>
      </c>
      <c r="EK14" s="15">
        <f>MIN(IF($AU14=100%,1,1+VLOOKUP(($AJ14-$AI14-$AH14-$AG14-$AF14-$AE14*(1+EK$3))/$AJ14,'Технический лист'!$A:$B,2,1)-VLOOKUP($AO14,'Технический лист'!$A:$B,2,1)),1+(1-$AU14))</f>
        <v>1.0050000000000001</v>
      </c>
      <c r="EL14" s="15">
        <f>MIN(IF($AU14=100%,1,1+VLOOKUP(($AJ14-$AI14-$AH14-$AG14-$AF14-$AE14*(1+EL$3))/$AJ14,'Технический лист'!$A:$B,2,1)-VLOOKUP($AO14,'Технический лист'!$A:$B,2,1)),1+(1-$AU14))</f>
        <v>1.0050000000000001</v>
      </c>
      <c r="EM14" s="15">
        <f>MIN(IF($AU14=100%,1,1+VLOOKUP(($AJ14-$AI14-$AH14-$AG14-$AF14-$AE14*(1+EM$3))/$AJ14,'Технический лист'!$A:$B,2,1)-VLOOKUP($AO14,'Технический лист'!$A:$B,2,1)),1+(1-$AU14))</f>
        <v>1.0050000000000001</v>
      </c>
      <c r="EN14" s="15">
        <f>MIN(IF($AU14=100%,1,1+VLOOKUP(($AJ14-$AI14-$AH14-$AG14-$AF14-$AE14*(1+EN$3))/$AJ14,'Технический лист'!$A:$B,2,1)-VLOOKUP($AO14,'Технический лист'!$A:$B,2,1)),1+(1-$AU14))</f>
        <v>1.0050000000000001</v>
      </c>
      <c r="EO14" s="15">
        <f>MIN(IF($AU14=100%,1,1+VLOOKUP(($AJ14-$AI14-$AH14-$AG14-$AF14-$AE14*(1+EO$3))/$AJ14,'Технический лист'!$A:$B,2,1)-VLOOKUP($AO14,'Технический лист'!$A:$B,2,1)),1+(1-$AU14))</f>
        <v>1.0050000000000001</v>
      </c>
      <c r="EP14" s="15">
        <f>MIN(IF($AU14=100%,1,1+VLOOKUP(($AJ14-$AI14-$AH14-$AG14-$AF14-$AE14*(1+EP$3))/$AJ14,'Технический лист'!$A:$B,2,1)-VLOOKUP($AO14,'Технический лист'!$A:$B,2,1)),1+(1-$AU14))</f>
        <v>1.0050000000000001</v>
      </c>
      <c r="EQ14" s="15">
        <f>MIN(IF($AU14=100%,1,1+VLOOKUP(($AJ14-$AI14-$AH14-$AG14-$AF14-$AE14*(1+EQ$3))/$AJ14,'Технический лист'!$A:$B,2,1)-VLOOKUP($AO14,'Технический лист'!$A:$B,2,1)),1+(1-$AU14))</f>
        <v>1</v>
      </c>
      <c r="ER14" s="15">
        <f>MIN(IF($AU14=100%,1,1+VLOOKUP(($AJ14-$AI14-$AH14-$AG14-$AF14-$AE14*(1+ER$3))/$AJ14,'Технический лист'!$A:$B,2,1)-VLOOKUP($AO14,'Технический лист'!$A:$B,2,1)),1+(1-$AU14))</f>
        <v>1</v>
      </c>
      <c r="ES14" s="15">
        <f>MIN(IF($AU14=100%,1,1+VLOOKUP(($AJ14-$AI14-$AH14-$AG14-$AF14-$AE14*(1+ES$3))/$AJ14,'Технический лист'!$A:$B,2,1)-VLOOKUP($AO14,'Технический лист'!$A:$B,2,1)),1+(1-$AU14))</f>
        <v>1</v>
      </c>
      <c r="ET14" s="15">
        <f>MIN(IF($AU14=100%,1,1+VLOOKUP(($AJ14-$AI14-$AH14-$AG14-$AF14-$AE14*(1+ET$3))/$AJ14,'Технический лист'!$A:$B,2,1)-VLOOKUP($AO14,'Технический лист'!$A:$B,2,1)),1+(1-$AU14))</f>
        <v>1</v>
      </c>
      <c r="EU14" s="15">
        <f>MIN(IF($AU14=100%,1,1+VLOOKUP(($AJ14-$AI14-$AH14-$AG14-$AF14-$AE14*(1+EU$3))/$AJ14,'Технический лист'!$A:$B,2,1)-VLOOKUP($AO14,'Технический лист'!$A:$B,2,1)),1+(1-$AU14))</f>
        <v>1</v>
      </c>
      <c r="EV14" s="111">
        <v>1</v>
      </c>
      <c r="EW14" s="15">
        <f>MIN(1,MAX(VLOOKUP(($AJ14-$AI14-$AH14-$AG14-$AF14-$AE14*(1+EW$3))/$AJ14,'Технический лист'!$A:$B,2,1),(EV14-0.05)))</f>
        <v>0.99</v>
      </c>
      <c r="EX14" s="15">
        <f>MIN(1,MAX(VLOOKUP(($AJ14-$AI14-$AH14-$AG14-$AF14-$AE14*(1+EX$3))/$AJ14,'Технический лист'!$A:$B,2,1),(EW14-0.05)))</f>
        <v>0.99</v>
      </c>
      <c r="EY14" s="15">
        <f>MIN(1,MAX(VLOOKUP(($AJ14-$AI14-$AH14-$AG14-$AF14-$AE14*(1+EY$3))/$AJ14,'Технический лист'!$A:$B,2,1),(EX14-0.05)))</f>
        <v>0.99</v>
      </c>
      <c r="EZ14" s="15">
        <f>MIN(1,MAX(VLOOKUP(($AJ14-$AI14-$AH14-$AG14-$AF14-$AE14*(1+EZ$3))/$AJ14,'Технический лист'!$A:$B,2,1),(EY14-0.05)))</f>
        <v>0.99</v>
      </c>
      <c r="FA14" s="15">
        <f>MIN(1,MAX(VLOOKUP(($AJ14-$AI14-$AH14-$AG14-$AF14-$AE14*(1+FA$3))/$AJ14,'Технический лист'!$A:$B,2,1),(EZ14-0.05)))</f>
        <v>0.99</v>
      </c>
      <c r="FB14" s="15">
        <f>MIN(1,MAX(VLOOKUP(($AJ14-$AI14-$AH14-$AG14-$AF14-$AE14*(1+FB$3))/$AJ14,'Технический лист'!$A:$B,2,1),(FA14-0.05)))</f>
        <v>0.99</v>
      </c>
      <c r="FC14" s="15">
        <f>MIN(1,MAX(VLOOKUP(($AJ14-$AI14-$AH14-$AG14-$AF14-$AE14*(1+FC$3))/$AJ14,'Технический лист'!$A:$B,2,1),(FB14-0.05)))</f>
        <v>0.99</v>
      </c>
      <c r="FD14" s="15">
        <f>MIN(1,MAX(VLOOKUP(($AJ14-$AI14-$AH14-$AG14-$AF14-$AE14*(1+FD$3))/$AJ14,'Технический лист'!$A:$B,2,1),(FC14-0.05)))</f>
        <v>0.98499999999999999</v>
      </c>
      <c r="FE14" s="15">
        <f>MIN(1,MAX(VLOOKUP(($AJ14-$AI14-$AH14-$AG14-$AF14-$AE14*(1+FE$3))/$AJ14,'Технический лист'!$A:$B,2,1),(FD14-0.05)))</f>
        <v>0.98499999999999999</v>
      </c>
      <c r="FF14" s="15">
        <f>MIN(1,MAX(VLOOKUP(($AJ14-$AI14-$AH14-$AG14-$AF14-$AE14*(1+FF$3))/$AJ14,'Технический лист'!$A:$B,2,1),(FE14-0.05)))</f>
        <v>0.98499999999999999</v>
      </c>
      <c r="FG14" s="15">
        <f>MIN(1,MAX(VLOOKUP(($AJ14-$AI14-$AH14-$AG14-$AF14-$AE14*(1+FG$3))/$AJ14,'Технический лист'!$A:$B,2,1),(FF14-0.05)))</f>
        <v>0.98499999999999999</v>
      </c>
      <c r="FH14" s="15">
        <f>MIN(1,MAX(VLOOKUP(($AJ14-$AI14-$AH14-$AG14-$AF14-$AE14*(1+FH$3))/$AJ14,'Технический лист'!$A:$B,2,1),(FG14-0.05)))</f>
        <v>0.98499999999999999</v>
      </c>
      <c r="FI14" s="15">
        <f>MIN(1,MAX(VLOOKUP(($AJ14-$AI14-$AH14-$AG14-$AF14-$AE14*(1+FI$3))/$AJ14,'Технический лист'!$A:$B,2,1),(FH14-0.05)))</f>
        <v>0.98499999999999999</v>
      </c>
      <c r="FJ14" s="15">
        <f>MIN(1,MAX(VLOOKUP(($AJ14-$AI14-$AH14-$AG14-$AF14-$AE14*(1+FJ$3))/$AJ14,'Технический лист'!$A:$B,2,1),(FI14-0.05)))</f>
        <v>0.98499999999999999</v>
      </c>
      <c r="FK14" s="15">
        <f>MIN(1,MAX(VLOOKUP(($AJ14-$AI14-$AH14-$AG14-$AF14-$AE14*(1+FK$3))/$AJ14,'Технический лист'!$A:$B,2,1),(FJ14-0.05)))</f>
        <v>0.98499999999999999</v>
      </c>
      <c r="FL14" s="15">
        <f>MIN(1,MAX(VLOOKUP(($AJ14-$AI14-$AH14-$AG14-$AF14-$AE14*(1+FL$3))/$AJ14,'Технический лист'!$A:$B,2,1),(FK14-0.05)))</f>
        <v>0.98499999999999999</v>
      </c>
      <c r="FM14" s="15">
        <f>MIN(1,MAX(VLOOKUP(($AJ14-$AI14-$AH14-$AG14-$AF14-$AE14*(1+FM$3))/$AJ14,'Технический лист'!$A:$B,2,1),(FL14-0.05)))</f>
        <v>0.98499999999999999</v>
      </c>
      <c r="FN14" s="15">
        <f>MIN(1,MAX(VLOOKUP(($AJ14-$AI14-$AH14-$AG14-$AF14-$AE14*(1+FN$3))/$AJ14,'Технический лист'!$A:$B,2,1),(FM14-0.05)))</f>
        <v>0.98499999999999999</v>
      </c>
      <c r="FO14" s="15">
        <f>MIN(1,MAX(VLOOKUP(($AJ14-$AI14-$AH14-$AG14-$AF14-$AE14*(1+FO$3))/$AJ14,'Технический лист'!$A:$B,2,1),(FN14-0.05)))</f>
        <v>0.98499999999999999</v>
      </c>
      <c r="FP14" s="15">
        <f>MIN(1,MAX(VLOOKUP(($AJ14-$AI14-$AH14-$AG14-$AF14-$AE14*(1+FP$3))/$AJ14,'Технический лист'!$A:$B,2,1),(FO14-0.05)))</f>
        <v>0.98499999999999999</v>
      </c>
      <c r="FQ14" s="15">
        <f>MIN(1,MAX(VLOOKUP(($AJ14-$AI14-$AH14-$AG14-$AF14-$AE14*(1+FQ$3))/$AJ14,'Технический лист'!$A:$B,2,1),(FP14-0.05)))</f>
        <v>0.98499999999999999</v>
      </c>
      <c r="FR14" s="15">
        <f>MIN(1,MAX(VLOOKUP(($AJ14-$AI14-$AH14-$AG14-$AF14-$AE14*(1+FR$3))/$AJ14,'Технический лист'!$A:$B,2,1),(FQ14-0.05)))</f>
        <v>0.98</v>
      </c>
      <c r="FS14" s="15">
        <f>MIN(1,MAX(VLOOKUP(($AJ14-$AI14-$AH14-$AG14-$AF14-$AE14*(1+FS$3))/$AJ14,'Технический лист'!$A:$B,2,1),(FR14-0.05)))</f>
        <v>0.98</v>
      </c>
      <c r="FT14" s="15">
        <f>MIN(1,MAX(VLOOKUP(($AJ14-$AI14-$AH14-$AG14-$AF14-$AE14*(1+FT$3))/$AJ14,'Технический лист'!$A:$B,2,1),(FS14-0.05)))</f>
        <v>0.98</v>
      </c>
      <c r="FU14" s="15">
        <f>MIN(1,MAX(VLOOKUP(($AJ14-$AI14-$AH14-$AG14-$AF14-$AE14*(1+FU$3))/$AJ14,'Технический лист'!$A:$B,2,1),(FT14-0.05)))</f>
        <v>0.98</v>
      </c>
      <c r="FV14" s="15">
        <f>MIN(1,MAX(VLOOKUP(($AJ14-$AI14-$AH14-$AG14-$AF14-$AE14*(1+FV$3))/$AJ14,'Технический лист'!$A:$B,2,1),(FU14-0.05)))</f>
        <v>0.98</v>
      </c>
      <c r="FW14" s="15">
        <f>MIN(1,MAX(VLOOKUP(($AJ14-$AI14-$AH14-$AG14-$AF14-$AE14*(1+FW$3))/$AJ14,'Технический лист'!$A:$B,2,1),(FV14-0.05)))</f>
        <v>0.98</v>
      </c>
      <c r="FX14" s="15">
        <f>MIN(1,MAX(VLOOKUP(($AJ14-$AI14-$AH14-$AG14-$AF14-$AE14*(1+FX$3))/$AJ14,'Технический лист'!$A:$B,2,1),(FW14-0.05)))</f>
        <v>0.98</v>
      </c>
      <c r="FY14" s="15">
        <f>MIN(1,MAX(VLOOKUP(($AJ14-$AI14-$AH14-$AG14-$AF14-$AE14*(1+FY$3))/$AJ14,'Технический лист'!$A:$B,2,1),(FX14-0.05)))</f>
        <v>0.98</v>
      </c>
      <c r="FZ14" s="15">
        <f>MIN(1,MAX(VLOOKUP(($AJ14-$AI14-$AH14-$AG14-$AF14-$AE14*(1+FZ$3))/$AJ14,'Технический лист'!$A:$B,2,1),(FY14-0.05)))</f>
        <v>0.98</v>
      </c>
      <c r="GA14" s="15">
        <f>MIN(1,MAX(VLOOKUP(($AJ14-$AI14-$AH14-$AG14-$AF14-$AE14*(1+GA$3))/$AJ14,'Технический лист'!$A:$B,2,1),(FZ14-0.05)))</f>
        <v>0.98</v>
      </c>
      <c r="GB14" s="15">
        <f>MIN(1,MAX(VLOOKUP(($AJ14-$AI14-$AH14-$AG14-$AF14-$AE14*(1+GB$3))/$AJ14,'Технический лист'!$A:$B,2,1),(GA14-0.05)))</f>
        <v>0.98</v>
      </c>
      <c r="GC14" s="15">
        <f>MIN(1,MAX(VLOOKUP(($AJ14-$AI14-$AH14-$AG14-$AF14-$AE14*(1+GC$3))/$AJ14,'Технический лист'!$A:$B,2,1),(GB14-0.05)))</f>
        <v>0.98</v>
      </c>
      <c r="GD14" s="15">
        <f>MIN(1,MAX(VLOOKUP(($AJ14-$AI14-$AH14-$AG14-$AF14-$AE14*(1+GD$3))/$AJ14,'Технический лист'!$A:$B,2,1),(GC14-0.05)))</f>
        <v>0.98</v>
      </c>
      <c r="GE14" s="15">
        <f>MIN(1,MAX(VLOOKUP(($AJ14-$AI14-$AH14-$AG14-$AF14-$AE14*(1+GE$3))/$AJ14,'Технический лист'!$A:$B,2,1),(GD14-0.05)))</f>
        <v>0.97499999999999998</v>
      </c>
      <c r="GF14" s="15">
        <f>MIN(1,MAX(VLOOKUP(($AJ14-$AI14-$AH14-$AG14-$AF14-$AE14*(1+GF$3))/$AJ14,'Технический лист'!$A:$B,2,1),(GE14-0.05)))</f>
        <v>0.97499999999999998</v>
      </c>
      <c r="GG14" s="15">
        <f>MIN(1,MAX(VLOOKUP(($AJ14-$AI14-$AH14-$AG14-$AF14-$AE14*(1+GG$3))/$AJ14,'Технический лист'!$A:$B,2,1),(GF14-0.05)))</f>
        <v>0.97499999999999998</v>
      </c>
      <c r="GH14" s="15">
        <f>MIN(1,MAX(VLOOKUP(($AJ14-$AI14-$AH14-$AG14-$AF14-$AE14*(1+GH$3))/$AJ14,'Технический лист'!$A:$B,2,1),(GG14-0.05)))</f>
        <v>0.97499999999999998</v>
      </c>
      <c r="GI14" s="15">
        <f>MIN(1,MAX(VLOOKUP(($AJ14-$AI14-$AH14-$AG14-$AF14-$AE14*(1+GI$3))/$AJ14,'Технический лист'!$A:$B,2,1),(GH14-0.05)))</f>
        <v>0.97499999999999998</v>
      </c>
      <c r="GJ14" s="15">
        <f>MIN(1,MAX(VLOOKUP(($AJ14-$AI14-$AH14-$AG14-$AF14-$AE14*(1+GJ$3))/$AJ14,'Технический лист'!$A:$B,2,1),(GI14-0.05)))</f>
        <v>0.97499999999999998</v>
      </c>
      <c r="GK14" s="15">
        <f>MIN(1,MAX(VLOOKUP(($AJ14-$AI14-$AH14-$AG14-$AF14-$AE14*(1+GK$3))/$AJ14,'Технический лист'!$A:$B,2,1),(GJ14-0.05)))</f>
        <v>0.97499999999999998</v>
      </c>
      <c r="GL14" s="15">
        <f>MIN(1,MAX(VLOOKUP(($AJ14-$AI14-$AH14-$AG14-$AF14-$AE14*(1+GL$3))/$AJ14,'Технический лист'!$A:$B,2,1),(GK14-0.05)))</f>
        <v>0.97499999999999998</v>
      </c>
      <c r="GM14" s="15">
        <f>MIN(1,MAX(VLOOKUP(($AJ14-$AI14-$AH14-$AG14-$AF14-$AE14*(1+GM$3))/$AJ14,'Технический лист'!$A:$B,2,1),(GL14-0.05)))</f>
        <v>0.97499999999999998</v>
      </c>
      <c r="GN14" s="15">
        <f>MIN(1,MAX(VLOOKUP(($AJ14-$AI14-$AH14-$AG14-$AF14-$AE14*(1+GN$3))/$AJ14,'Технический лист'!$A:$B,2,1),(GM14-0.05)))</f>
        <v>0.97499999999999998</v>
      </c>
      <c r="GO14" s="15">
        <f>MIN(1,MAX(VLOOKUP(($AJ14-$AI14-$AH14-$AG14-$AF14-$AE14*(1+GO$3))/$AJ14,'Технический лист'!$A:$B,2,1),(GN14-0.05)))</f>
        <v>0.97499999999999998</v>
      </c>
      <c r="GP14" s="15">
        <f>MIN(1,MAX(VLOOKUP(($AJ14-$AI14-$AH14-$AG14-$AF14-$AE14*(1+GP$3))/$AJ14,'Технический лист'!$A:$B,2,1),(GO14-0.05)))</f>
        <v>0.97499999999999998</v>
      </c>
      <c r="GQ14" s="15">
        <f>MIN(1,MAX(VLOOKUP(($AJ14-$AI14-$AH14-$AG14-$AF14-$AE14*(1+GQ$3))/$AJ14,'Технический лист'!$A:$B,2,1),(GP14-0.05)))</f>
        <v>0.97499999999999998</v>
      </c>
      <c r="GR14" s="15">
        <f>MIN(1,MAX(VLOOKUP(($AJ14-$AI14-$AH14-$AG14-$AF14-$AE14*(1+GR$3))/$AJ14,'Технический лист'!$A:$B,2,1),(GQ14-0.05)))</f>
        <v>0.97499999999999998</v>
      </c>
      <c r="GS14" s="15">
        <f>MIN(1,MAX(VLOOKUP(($AJ14-$AI14-$AH14-$AG14-$AF14-$AE14*(1+GS$3))/$AJ14,'Технический лист'!$A:$B,2,1),(GR14-0.05)))</f>
        <v>0.97</v>
      </c>
      <c r="GT14" s="15">
        <f>MIN(1,MAX(VLOOKUP(($AJ14-$AI14-$AH14-$AG14-$AF14-$AE14*(1+GT$3))/$AJ14,'Технический лист'!$A:$B,2,1),(GS14-0.05)))</f>
        <v>0.97</v>
      </c>
      <c r="GU14" s="15">
        <f>MIN(1,MAX(VLOOKUP(($AJ14-$AI14-$AH14-$AG14-$AF14-$AE14*(1+GU$3))/$AJ14,'Технический лист'!$A:$B,2,1),(GT14-0.05)))</f>
        <v>0.97</v>
      </c>
      <c r="GV14" s="15">
        <f>MIN(1,MAX(VLOOKUP(($AJ14-$AI14-$AH14-$AG14-$AF14-$AE14*(1+GV$3))/$AJ14,'Технический лист'!$A:$B,2,1),(GU14-0.05)))</f>
        <v>0.97</v>
      </c>
      <c r="GW14" s="15">
        <f>MIN(1,MAX(VLOOKUP(($AJ14-$AI14-$AH14-$AG14-$AF14-$AE14*(1+GW$3))/$AJ14,'Технический лист'!$A:$B,2,1),(GV14-0.05)))</f>
        <v>0.97</v>
      </c>
      <c r="GX14" s="15">
        <f>MIN(1,MAX(VLOOKUP(($AJ14-$AI14-$AH14-$AG14-$AF14-$AE14*(1+GX$3))/$AJ14,'Технический лист'!$A:$B,2,1),(GW14-0.05)))</f>
        <v>0.97</v>
      </c>
      <c r="GY14" s="15">
        <f>MIN(1,MAX(VLOOKUP(($AJ14-$AI14-$AH14-$AG14-$AF14-$AE14*(1+GY$3))/$AJ14,'Технический лист'!$A:$B,2,1),(GX14-0.05)))</f>
        <v>0.97</v>
      </c>
      <c r="GZ14" s="15">
        <f>MIN(1,MAX(VLOOKUP(($AJ14-$AI14-$AH14-$AG14-$AF14-$AE14*(1+GZ$3))/$AJ14,'Технический лист'!$A:$B,2,1),(GY14-0.05)))</f>
        <v>0.97</v>
      </c>
      <c r="HA14" s="15">
        <f>MIN(1,MAX(VLOOKUP(($AJ14-$AI14-$AH14-$AG14-$AF14-$AE14*(1+HA$3))/$AJ14,'Технический лист'!$A:$B,2,1),(GZ14-0.05)))</f>
        <v>0.97</v>
      </c>
      <c r="HB14" s="15">
        <f>MIN(1,MAX(VLOOKUP(($AJ14-$AI14-$AH14-$AG14-$AF14-$AE14*(1+HB$3))/$AJ14,'Технический лист'!$A:$B,2,1),(HA14-0.05)))</f>
        <v>0.97</v>
      </c>
      <c r="HC14" s="15">
        <f>MIN(1,MAX(VLOOKUP(($AJ14-$AI14-$AH14-$AG14-$AF14-$AE14*(1+HC$3))/$AJ14,'Технический лист'!$A:$B,2,1),(HB14-0.05)))</f>
        <v>0.97</v>
      </c>
      <c r="HD14" s="15">
        <f>MIN(1,MAX(VLOOKUP(($AJ14-$AI14-$AH14-$AG14-$AF14-$AE14*(1+HD$3))/$AJ14,'Технический лист'!$A:$B,2,1),(HC14-0.05)))</f>
        <v>0.97</v>
      </c>
      <c r="HE14" s="15">
        <f>MIN(1,MAX(VLOOKUP(($AJ14-$AI14-$AH14-$AG14-$AF14-$AE14*(1+HE$3))/$AJ14,'Технический лист'!$A:$B,2,1),(HD14-0.05)))</f>
        <v>0.97</v>
      </c>
      <c r="HF14" s="15">
        <f>MIN(1,MAX(VLOOKUP(($AJ14-$AI14-$AH14-$AG14-$AF14-$AE14*(1+HF$3))/$AJ14,'Технический лист'!$A:$B,2,1),(HE14-0.05)))</f>
        <v>0.96499999999999997</v>
      </c>
      <c r="HG14" s="15">
        <f>MIN(1,MAX(VLOOKUP(($AJ14-$AI14-$AH14-$AG14-$AF14-$AE14*(1+HG$3))/$AJ14,'Технический лист'!$A:$B,2,1),(HF14-0.05)))</f>
        <v>0.96499999999999997</v>
      </c>
      <c r="HH14" s="15">
        <f>MIN(1,MAX(VLOOKUP(($AJ14-$AI14-$AH14-$AG14-$AF14-$AE14*(1+HH$3))/$AJ14,'Технический лист'!$A:$B,2,1),(HG14-0.05)))</f>
        <v>0.96499999999999997</v>
      </c>
      <c r="HI14" s="15">
        <f>MIN(1,MAX(VLOOKUP(($AJ14-$AI14-$AH14-$AG14-$AF14-$AE14*(1+HI$3))/$AJ14,'Технический лист'!$A:$B,2,1),(HH14-0.05)))</f>
        <v>0.96499999999999997</v>
      </c>
      <c r="HJ14" s="15">
        <f>MIN(1,MAX(VLOOKUP(($AJ14-$AI14-$AH14-$AG14-$AF14-$AE14*(1+HJ$3))/$AJ14,'Технический лист'!$A:$B,2,1),(HI14-0.05)))</f>
        <v>0.96499999999999997</v>
      </c>
      <c r="HK14" s="15">
        <f>MIN(1,MAX(VLOOKUP(($AJ14-$AI14-$AH14-$AG14-$AF14-$AE14*(1+HK$3))/$AJ14,'Технический лист'!$A:$B,2,1),(HJ14-0.05)))</f>
        <v>0.96499999999999997</v>
      </c>
      <c r="HL14" s="15">
        <f>MIN(1,MAX(VLOOKUP(($AJ14-$AI14-$AH14-$AG14-$AF14-$AE14*(1+HL$3))/$AJ14,'Технический лист'!$A:$B,2,1),(HK14-0.05)))</f>
        <v>0.96499999999999997</v>
      </c>
      <c r="HM14" s="15">
        <f>MIN(1,MAX(VLOOKUP(($AJ14-$AI14-$AH14-$AG14-$AF14-$AE14*(1+HM$3))/$AJ14,'Технический лист'!$A:$B,2,1),(HL14-0.05)))</f>
        <v>0.96499999999999997</v>
      </c>
      <c r="HN14" s="15">
        <f>MIN(1,MAX(VLOOKUP(($AJ14-$AI14-$AH14-$AG14-$AF14-$AE14*(1+HN$3))/$AJ14,'Технический лист'!$A:$B,2,1),(HM14-0.05)))</f>
        <v>0.96499999999999997</v>
      </c>
      <c r="HO14" s="15">
        <f>MIN(1,MAX(VLOOKUP(($AJ14-$AI14-$AH14-$AG14-$AF14-$AE14*(1+HO$3))/$AJ14,'Технический лист'!$A:$B,2,1),(HN14-0.05)))</f>
        <v>0.96499999999999997</v>
      </c>
      <c r="HP14" s="15">
        <f>MIN(1,MAX(VLOOKUP(($AJ14-$AI14-$AH14-$AG14-$AF14-$AE14*(1+HP$3))/$AJ14,'Технический лист'!$A:$B,2,1),(HO14-0.05)))</f>
        <v>0.96499999999999997</v>
      </c>
      <c r="HQ14" s="15">
        <f>MIN(1,MAX(VLOOKUP(($AJ14-$AI14-$AH14-$AG14-$AF14-$AE14*(1+HQ$3))/$AJ14,'Технический лист'!$A:$B,2,1),(HP14-0.05)))</f>
        <v>0.96499999999999997</v>
      </c>
      <c r="HR14" s="15">
        <f>MIN(1,MAX(VLOOKUP(($AJ14-$AI14-$AH14-$AG14-$AF14-$AE14*(1+HR$3))/$AJ14,'Технический лист'!$A:$B,2,1),(HQ14-0.05)))</f>
        <v>0.96499999999999997</v>
      </c>
      <c r="HS14" s="15">
        <f>MIN(1,MAX(VLOOKUP(($AJ14-$AI14-$AH14-$AG14-$AF14-$AE14*(1+HS$3))/$AJ14,'Технический лист'!$A:$B,2,1),(HR14-0.05)))</f>
        <v>0.96499999999999997</v>
      </c>
      <c r="HT14" s="15">
        <f>MIN(1,MAX(VLOOKUP(($AJ14-$AI14-$AH14-$AG14-$AF14-$AE14*(1+HT$3))/$AJ14,'Технический лист'!$A:$B,2,1),(HS14-0.05)))</f>
        <v>0.96</v>
      </c>
      <c r="HU14" s="15">
        <f>MIN(1,MAX(VLOOKUP(($AJ14-$AI14-$AH14-$AG14-$AF14-$AE14*(1+HU$3))/$AJ14,'Технический лист'!$A:$B,2,1),(HT14-0.05)))</f>
        <v>0.96</v>
      </c>
      <c r="HV14" s="15">
        <f>MIN(1,MAX(VLOOKUP(($AJ14-$AI14-$AH14-$AG14-$AF14-$AE14*(1+HV$3))/$AJ14,'Технический лист'!$A:$B,2,1),(HU14-0.05)))</f>
        <v>0.96</v>
      </c>
      <c r="HW14" s="15">
        <f>MIN(1,MAX(VLOOKUP(($AJ14-$AI14-$AH14-$AG14-$AF14-$AE14*(1+HW$3))/$AJ14,'Технический лист'!$A:$B,2,1),(HV14-0.05)))</f>
        <v>0.96</v>
      </c>
      <c r="HX14" s="15">
        <f>MIN(1,MAX(VLOOKUP(($AJ14-$AI14-$AH14-$AG14-$AF14-$AE14*(1+HX$3))/$AJ14,'Технический лист'!$A:$B,2,1),(HW14-0.05)))</f>
        <v>0.96</v>
      </c>
      <c r="HY14" s="15">
        <f>MIN(1,MAX(VLOOKUP(($AJ14-$AI14-$AH14-$AG14-$AF14-$AE14*(1+HY$3))/$AJ14,'Технический лист'!$A:$B,2,1),(HX14-0.05)))</f>
        <v>0.96</v>
      </c>
      <c r="HZ14" s="15">
        <f>MIN(1,MAX(VLOOKUP(($AJ14-$AI14-$AH14-$AG14-$AF14-$AE14*(1+HZ$3))/$AJ14,'Технический лист'!$A:$B,2,1),(HY14-0.05)))</f>
        <v>0.96</v>
      </c>
      <c r="IA14" s="15">
        <f>MIN(1,MAX(VLOOKUP(($AJ14-$AI14-$AH14-$AG14-$AF14-$AE14*(1+IA$3))/$AJ14,'Технический лист'!$A:$B,2,1),(HZ14-0.05)))</f>
        <v>0.96</v>
      </c>
      <c r="IB14" s="15">
        <f>MIN(1,MAX(VLOOKUP(($AJ14-$AI14-$AH14-$AG14-$AF14-$AE14*(1+IB$3))/$AJ14,'Технический лист'!$A:$B,2,1),(IA14-0.05)))</f>
        <v>0.96</v>
      </c>
      <c r="IC14" s="15">
        <f>MIN(1,MAX(VLOOKUP(($AJ14-$AI14-$AH14-$AG14-$AF14-$AE14*(1+IC$3))/$AJ14,'Технический лист'!$A:$B,2,1),(IB14-0.05)))</f>
        <v>0.96</v>
      </c>
      <c r="ID14" s="15">
        <f>MIN(1,MAX(VLOOKUP(($AJ14-$AI14-$AH14-$AG14-$AF14-$AE14*(1+ID$3))/$AJ14,'Технический лист'!$A:$B,2,1),(IC14-0.05)))</f>
        <v>0.96</v>
      </c>
      <c r="IE14" s="15">
        <f>MIN(1,MAX(VLOOKUP(($AJ14-$AI14-$AH14-$AG14-$AF14-$AE14*(1+IE$3))/$AJ14,'Технический лист'!$A:$B,2,1),(ID14-0.05)))</f>
        <v>0.96</v>
      </c>
      <c r="IF14" s="15">
        <f>MIN(1,MAX(VLOOKUP(($AJ14-$AI14-$AH14-$AG14-$AF14-$AE14*(1+IF$3))/$AJ14,'Технический лист'!$A:$B,2,1),(IE14-0.05)))</f>
        <v>0.96</v>
      </c>
      <c r="IG14" s="15">
        <f>MIN(1,MAX(VLOOKUP(($AJ14-$AI14-$AH14-$AG14-$AF14-$AE14*(1+IG$3))/$AJ14,'Технический лист'!$A:$B,2,1),(IF14-0.05)))</f>
        <v>0.95499999999999996</v>
      </c>
      <c r="IH14" s="15">
        <f>MIN(1,MAX(VLOOKUP(($AJ14-$AI14-$AH14-$AG14-$AF14-$AE14*(1+IH$3))/$AJ14,'Технический лист'!$A:$B,2,1),(IG14-0.05)))</f>
        <v>0.95499999999999996</v>
      </c>
      <c r="II14" s="15">
        <f>MIN(1,MAX(VLOOKUP(($AJ14-$AI14-$AH14-$AG14-$AF14-$AE14*(1+II$3))/$AJ14,'Технический лист'!$A:$B,2,1),(IH14-0.05)))</f>
        <v>0.95499999999999996</v>
      </c>
      <c r="IJ14" s="15">
        <f>MIN(1,MAX(VLOOKUP(($AJ14-$AI14-$AH14-$AG14-$AF14-$AE14*(1+IJ$3))/$AJ14,'Технический лист'!$A:$B,2,1),(II14-0.05)))</f>
        <v>0.95499999999999996</v>
      </c>
      <c r="IK14" s="15">
        <f>MIN(1,MAX(VLOOKUP(($AJ14-$AI14-$AH14-$AG14-$AF14-$AE14*(1+IK$3))/$AJ14,'Технический лист'!$A:$B,2,1),(IJ14-0.05)))</f>
        <v>0.95499999999999996</v>
      </c>
      <c r="IL14" s="15">
        <f>MIN(1,MAX(VLOOKUP(($AJ14-$AI14-$AH14-$AG14-$AF14-$AE14*(1+IL$3))/$AJ14,'Технический лист'!$A:$B,2,1),(IK14-0.05)))</f>
        <v>0.95499999999999996</v>
      </c>
      <c r="IM14" s="15">
        <f>MIN(1,MAX(VLOOKUP(($AJ14-$AI14-$AH14-$AG14-$AF14-$AE14*(1+IM$3))/$AJ14,'Технический лист'!$A:$B,2,1),(IL14-0.05)))</f>
        <v>0.95499999999999996</v>
      </c>
      <c r="IN14" s="15">
        <f>MIN(1,MAX(VLOOKUP(($AJ14-$AI14-$AH14-$AG14-$AF14-$AE14*(1+IN$3))/$AJ14,'Технический лист'!$A:$B,2,1),(IM14-0.05)))</f>
        <v>0.95499999999999996</v>
      </c>
      <c r="IO14" s="15">
        <f>MIN(1,MAX(VLOOKUP(($AJ14-$AI14-$AH14-$AG14-$AF14-$AE14*(1+IO$3))/$AJ14,'Технический лист'!$A:$B,2,1),(IN14-0.05)))</f>
        <v>0.95499999999999996</v>
      </c>
      <c r="IP14" s="15">
        <f>MIN(1,MAX(VLOOKUP(($AJ14-$AI14-$AH14-$AG14-$AF14-$AE14*(1+IP$3))/$AJ14,'Технический лист'!$A:$B,2,1),(IO14-0.05)))</f>
        <v>0.95499999999999996</v>
      </c>
      <c r="IQ14" s="15">
        <f>MIN(1,MAX(VLOOKUP(($AJ14-$AI14-$AH14-$AG14-$AF14-$AE14*(1+IQ$3))/$AJ14,'Технический лист'!$A:$B,2,1),(IP14-0.05)))</f>
        <v>0.95499999999999996</v>
      </c>
      <c r="IR14" s="15">
        <f>MIN(1,MAX(VLOOKUP(($AJ14-$AI14-$AH14-$AG14-$AF14-$AE14*(1+IR$3))/$AJ14,'Технический лист'!$A:$B,2,1),(IQ14-0.05)))</f>
        <v>0.95499999999999996</v>
      </c>
    </row>
    <row r="15" spans="1:257" ht="43.75">
      <c r="A15" s="89" t="s">
        <v>514</v>
      </c>
      <c r="B15" s="90">
        <v>2</v>
      </c>
      <c r="C15" s="5" t="s">
        <v>65</v>
      </c>
      <c r="D15" s="91">
        <v>17110</v>
      </c>
      <c r="E15" s="91" t="s">
        <v>322</v>
      </c>
      <c r="F15" s="92" t="s">
        <v>69</v>
      </c>
      <c r="G15" s="91" t="s">
        <v>26</v>
      </c>
      <c r="H15" s="91" t="s">
        <v>51</v>
      </c>
      <c r="I15" s="91" t="s">
        <v>92</v>
      </c>
      <c r="J15" s="91" t="s">
        <v>93</v>
      </c>
      <c r="K15" s="91">
        <v>1221</v>
      </c>
      <c r="L15" s="85" t="s">
        <v>64</v>
      </c>
      <c r="M15" s="91" t="s">
        <v>17</v>
      </c>
      <c r="N15" s="91" t="s">
        <v>191</v>
      </c>
      <c r="O15" s="91" t="s">
        <v>192</v>
      </c>
      <c r="P15" s="89" t="s">
        <v>201</v>
      </c>
      <c r="Q15" s="91" t="s">
        <v>271</v>
      </c>
      <c r="R15" s="91" t="s">
        <v>253</v>
      </c>
      <c r="S15" s="82">
        <v>90345</v>
      </c>
      <c r="T15" s="82">
        <v>110291447</v>
      </c>
      <c r="U15" s="81">
        <v>1566</v>
      </c>
      <c r="V15" s="81">
        <v>0</v>
      </c>
      <c r="W15" s="82">
        <v>102631838</v>
      </c>
      <c r="X15" s="112">
        <v>58</v>
      </c>
      <c r="Y15" s="112" t="s">
        <v>417</v>
      </c>
      <c r="Z15" s="113">
        <v>7</v>
      </c>
      <c r="AA15" s="113">
        <v>4</v>
      </c>
      <c r="AB15" s="113">
        <v>4</v>
      </c>
      <c r="AC15" s="99">
        <v>1249.3800000000001</v>
      </c>
      <c r="AD15" s="99">
        <f t="shared" si="1"/>
        <v>417.8599999999999</v>
      </c>
      <c r="AE15" s="99">
        <v>1667.24</v>
      </c>
      <c r="AF15" s="98">
        <f>(Z15+AA15+AB15)*'Ставки аренды'!$B$3/X15</f>
        <v>181.0344827586207</v>
      </c>
      <c r="AG15" s="114">
        <v>0</v>
      </c>
      <c r="AH15" s="94">
        <v>0</v>
      </c>
      <c r="AI15" s="115">
        <f>0.9*AVERAGE(AJ13,AJ14)</f>
        <v>14757.857325000001</v>
      </c>
      <c r="AJ15" s="117">
        <f>Цены!$C$8*'Курсы валют'!$B$2</f>
        <v>15795.238499999999</v>
      </c>
      <c r="AK15" s="94">
        <f>AJ15/Цены!$B$1</f>
        <v>207</v>
      </c>
      <c r="AL15" s="95">
        <f t="shared" si="5"/>
        <v>1848.2744827586207</v>
      </c>
      <c r="AM15" s="95">
        <f t="shared" si="6"/>
        <v>13946.964017241378</v>
      </c>
      <c r="AN15" s="94">
        <f t="shared" si="2"/>
        <v>16606.131807758622</v>
      </c>
      <c r="AO15" s="118">
        <f t="shared" si="3"/>
        <v>-5.1337832458726251E-2</v>
      </c>
      <c r="AP15" s="96">
        <f t="shared" si="7"/>
        <v>0.11701466127014294</v>
      </c>
      <c r="AQ15" s="96">
        <f t="shared" si="8"/>
        <v>0.10555332861862136</v>
      </c>
      <c r="AR15" s="96">
        <f t="shared" si="9"/>
        <v>0.90205216571057145</v>
      </c>
      <c r="AS15" s="122">
        <v>1</v>
      </c>
      <c r="AT15" s="121">
        <f t="shared" si="10"/>
        <v>90345</v>
      </c>
      <c r="AU15" s="83">
        <v>0.9</v>
      </c>
      <c r="AV15" s="119">
        <f t="shared" si="11"/>
        <v>-6.4004231892960881E-2</v>
      </c>
      <c r="AW15" s="120">
        <f t="shared" si="12"/>
        <v>0.12968106070437754</v>
      </c>
      <c r="AX15" s="120">
        <f t="shared" si="13"/>
        <v>0.11821972805285595</v>
      </c>
      <c r="AY15" s="120">
        <f t="shared" si="14"/>
        <v>0.91161907074735471</v>
      </c>
      <c r="AZ15" s="15">
        <f>MIN(IF($AU15=100%,1,1+VLOOKUP(($AJ15-$AI15-$AH15-$AG15-$AF15-$AE15*(1+AZ$3))/$AJ15,'Технический лист'!$A:$B,2,1)-VLOOKUP($AO15,'Технический лист'!$A:$B,2,1)),1+(1-$AU15))</f>
        <v>1.02</v>
      </c>
      <c r="BA15" s="15">
        <f>MIN(IF($AU15=100%,1,1+VLOOKUP(($AJ15-$AI15-$AH15-$AG15-$AF15-$AE15*(1+BA$3))/$AJ15,'Технический лист'!$A:$B,2,1)-VLOOKUP($AO15,'Технический лист'!$A:$B,2,1)),1+(1-$AU15))</f>
        <v>1.02</v>
      </c>
      <c r="BB15" s="15">
        <f>MIN(IF($AU15=100%,1,1+VLOOKUP(($AJ15-$AI15-$AH15-$AG15-$AF15-$AE15*(1+BB$3))/$AJ15,'Технический лист'!$A:$B,2,1)-VLOOKUP($AO15,'Технический лист'!$A:$B,2,1)),1+(1-$AU15))</f>
        <v>1.02</v>
      </c>
      <c r="BC15" s="15">
        <f>MIN(IF($AU15=100%,1,1+VLOOKUP(($AJ15-$AI15-$AH15-$AG15-$AF15-$AE15*(1+BC$3))/$AJ15,'Технический лист'!$A:$B,2,1)-VLOOKUP($AO15,'Технический лист'!$A:$B,2,1)),1+(1-$AU15))</f>
        <v>1.02</v>
      </c>
      <c r="BD15" s="15">
        <f>MIN(IF($AU15=100%,1,1+VLOOKUP(($AJ15-$AI15-$AH15-$AG15-$AF15-$AE15*(1+BD$3))/$AJ15,'Технический лист'!$A:$B,2,1)-VLOOKUP($AO15,'Технический лист'!$A:$B,2,1)),1+(1-$AU15))</f>
        <v>1.02</v>
      </c>
      <c r="BE15" s="15">
        <f>MIN(IF($AU15=100%,1,1+VLOOKUP(($AJ15-$AI15-$AH15-$AG15-$AF15-$AE15*(1+BE$3))/$AJ15,'Технический лист'!$A:$B,2,1)-VLOOKUP($AO15,'Технический лист'!$A:$B,2,1)),1+(1-$AU15))</f>
        <v>1.02</v>
      </c>
      <c r="BF15" s="15">
        <f>MIN(IF($AU15=100%,1,1+VLOOKUP(($AJ15-$AI15-$AH15-$AG15-$AF15-$AE15*(1+BF$3))/$AJ15,'Технический лист'!$A:$B,2,1)-VLOOKUP($AO15,'Технический лист'!$A:$B,2,1)),1+(1-$AU15))</f>
        <v>1.02</v>
      </c>
      <c r="BG15" s="15">
        <f>MIN(IF($AU15=100%,1,1+VLOOKUP(($AJ15-$AI15-$AH15-$AG15-$AF15-$AE15*(1+BG$3))/$AJ15,'Технический лист'!$A:$B,2,1)-VLOOKUP($AO15,'Технический лист'!$A:$B,2,1)),1+(1-$AU15))</f>
        <v>1.02</v>
      </c>
      <c r="BH15" s="15">
        <f>MIN(IF($AU15=100%,1,1+VLOOKUP(($AJ15-$AI15-$AH15-$AG15-$AF15-$AE15*(1+BH$3))/$AJ15,'Технический лист'!$A:$B,2,1)-VLOOKUP($AO15,'Технический лист'!$A:$B,2,1)),1+(1-$AU15))</f>
        <v>1.02</v>
      </c>
      <c r="BI15" s="15">
        <f>MIN(IF($AU15=100%,1,1+VLOOKUP(($AJ15-$AI15-$AH15-$AG15-$AF15-$AE15*(1+BI$3))/$AJ15,'Технический лист'!$A:$B,2,1)-VLOOKUP($AO15,'Технический лист'!$A:$B,2,1)),1+(1-$AU15))</f>
        <v>1.02</v>
      </c>
      <c r="BJ15" s="15">
        <f>MIN(IF($AU15=100%,1,1+VLOOKUP(($AJ15-$AI15-$AH15-$AG15-$AF15-$AE15*(1+BJ$3))/$AJ15,'Технический лист'!$A:$B,2,1)-VLOOKUP($AO15,'Технический лист'!$A:$B,2,1)),1+(1-$AU15))</f>
        <v>1.02</v>
      </c>
      <c r="BK15" s="15">
        <f>MIN(IF($AU15=100%,1,1+VLOOKUP(($AJ15-$AI15-$AH15-$AG15-$AF15-$AE15*(1+BK$3))/$AJ15,'Технический лист'!$A:$B,2,1)-VLOOKUP($AO15,'Технический лист'!$A:$B,2,1)),1+(1-$AU15))</f>
        <v>1.02</v>
      </c>
      <c r="BL15" s="15">
        <f>MIN(IF($AU15=100%,1,1+VLOOKUP(($AJ15-$AI15-$AH15-$AG15-$AF15-$AE15*(1+BL$3))/$AJ15,'Технический лист'!$A:$B,2,1)-VLOOKUP($AO15,'Технический лист'!$A:$B,2,1)),1+(1-$AU15))</f>
        <v>1.02</v>
      </c>
      <c r="BM15" s="15">
        <f>MIN(IF($AU15=100%,1,1+VLOOKUP(($AJ15-$AI15-$AH15-$AG15-$AF15-$AE15*(1+BM$3))/$AJ15,'Технический лист'!$A:$B,2,1)-VLOOKUP($AO15,'Технический лист'!$A:$B,2,1)),1+(1-$AU15))</f>
        <v>1.02</v>
      </c>
      <c r="BN15" s="15">
        <f>MIN(IF($AU15=100%,1,1+VLOOKUP(($AJ15-$AI15-$AH15-$AG15-$AF15-$AE15*(1+BN$3))/$AJ15,'Технический лист'!$A:$B,2,1)-VLOOKUP($AO15,'Технический лист'!$A:$B,2,1)),1+(1-$AU15))</f>
        <v>1.02</v>
      </c>
      <c r="BO15" s="15">
        <f>MIN(IF($AU15=100%,1,1+VLOOKUP(($AJ15-$AI15-$AH15-$AG15-$AF15-$AE15*(1+BO$3))/$AJ15,'Технический лист'!$A:$B,2,1)-VLOOKUP($AO15,'Технический лист'!$A:$B,2,1)),1+(1-$AU15))</f>
        <v>1.02</v>
      </c>
      <c r="BP15" s="15">
        <f>MIN(IF($AU15=100%,1,1+VLOOKUP(($AJ15-$AI15-$AH15-$AG15-$AF15-$AE15*(1+BP$3))/$AJ15,'Технический лист'!$A:$B,2,1)-VLOOKUP($AO15,'Технический лист'!$A:$B,2,1)),1+(1-$AU15))</f>
        <v>1.02</v>
      </c>
      <c r="BQ15" s="15">
        <f>MIN(IF($AU15=100%,1,1+VLOOKUP(($AJ15-$AI15-$AH15-$AG15-$AF15-$AE15*(1+BQ$3))/$AJ15,'Технический лист'!$A:$B,2,1)-VLOOKUP($AO15,'Технический лист'!$A:$B,2,1)),1+(1-$AU15))</f>
        <v>1.02</v>
      </c>
      <c r="BR15" s="15">
        <f>MIN(IF($AU15=100%,1,1+VLOOKUP(($AJ15-$AI15-$AH15-$AG15-$AF15-$AE15*(1+BR$3))/$AJ15,'Технический лист'!$A:$B,2,1)-VLOOKUP($AO15,'Технический лист'!$A:$B,2,1)),1+(1-$AU15))</f>
        <v>1.02</v>
      </c>
      <c r="BS15" s="15">
        <f>MIN(IF($AU15=100%,1,1+VLOOKUP(($AJ15-$AI15-$AH15-$AG15-$AF15-$AE15*(1+BS$3))/$AJ15,'Технический лист'!$A:$B,2,1)-VLOOKUP($AO15,'Технический лист'!$A:$B,2,1)),1+(1-$AU15))</f>
        <v>1.02</v>
      </c>
      <c r="BT15" s="15">
        <f>MIN(IF($AU15=100%,1,1+VLOOKUP(($AJ15-$AI15-$AH15-$AG15-$AF15-$AE15*(1+BT$3))/$AJ15,'Технический лист'!$A:$B,2,1)-VLOOKUP($AO15,'Технический лист'!$A:$B,2,1)),1+(1-$AU15))</f>
        <v>1.02</v>
      </c>
      <c r="BU15" s="15">
        <f>MIN(IF($AU15=100%,1,1+VLOOKUP(($AJ15-$AI15-$AH15-$AG15-$AF15-$AE15*(1+BU$3))/$AJ15,'Технический лист'!$A:$B,2,1)-VLOOKUP($AO15,'Технический лист'!$A:$B,2,1)),1+(1-$AU15))</f>
        <v>1.02</v>
      </c>
      <c r="BV15" s="15">
        <f>MIN(IF($AU15=100%,1,1+VLOOKUP(($AJ15-$AI15-$AH15-$AG15-$AF15-$AE15*(1+BV$3))/$AJ15,'Технический лист'!$A:$B,2,1)-VLOOKUP($AO15,'Технический лист'!$A:$B,2,1)),1+(1-$AU15))</f>
        <v>1.02</v>
      </c>
      <c r="BW15" s="15">
        <f>MIN(IF($AU15=100%,1,1+VLOOKUP(($AJ15-$AI15-$AH15-$AG15-$AF15-$AE15*(1+BW$3))/$AJ15,'Технический лист'!$A:$B,2,1)-VLOOKUP($AO15,'Технический лист'!$A:$B,2,1)),1+(1-$AU15))</f>
        <v>1.02</v>
      </c>
      <c r="BX15" s="15">
        <f>MIN(IF($AU15=100%,1,1+VLOOKUP(($AJ15-$AI15-$AH15-$AG15-$AF15-$AE15*(1+BX$3))/$AJ15,'Технический лист'!$A:$B,2,1)-VLOOKUP($AO15,'Технический лист'!$A:$B,2,1)),1+(1-$AU15))</f>
        <v>1.02</v>
      </c>
      <c r="BY15" s="15">
        <f>MIN(IF($AU15=100%,1,1+VLOOKUP(($AJ15-$AI15-$AH15-$AG15-$AF15-$AE15*(1+BY$3))/$AJ15,'Технический лист'!$A:$B,2,1)-VLOOKUP($AO15,'Технический лист'!$A:$B,2,1)),1+(1-$AU15))</f>
        <v>1.02</v>
      </c>
      <c r="BZ15" s="15">
        <f>MIN(IF($AU15=100%,1,1+VLOOKUP(($AJ15-$AI15-$AH15-$AG15-$AF15-$AE15*(1+BZ$3))/$AJ15,'Технический лист'!$A:$B,2,1)-VLOOKUP($AO15,'Технический лист'!$A:$B,2,1)),1+(1-$AU15))</f>
        <v>1.02</v>
      </c>
      <c r="CA15" s="15">
        <f>MIN(IF($AU15=100%,1,1+VLOOKUP(($AJ15-$AI15-$AH15-$AG15-$AF15-$AE15*(1+CA$3))/$AJ15,'Технический лист'!$A:$B,2,1)-VLOOKUP($AO15,'Технический лист'!$A:$B,2,1)),1+(1-$AU15))</f>
        <v>1.02</v>
      </c>
      <c r="CB15" s="15">
        <f>MIN(IF($AU15=100%,1,1+VLOOKUP(($AJ15-$AI15-$AH15-$AG15-$AF15-$AE15*(1+CB$3))/$AJ15,'Технический лист'!$A:$B,2,1)-VLOOKUP($AO15,'Технический лист'!$A:$B,2,1)),1+(1-$AU15))</f>
        <v>1.02</v>
      </c>
      <c r="CC15" s="15">
        <f>MIN(IF($AU15=100%,1,1+VLOOKUP(($AJ15-$AI15-$AH15-$AG15-$AF15-$AE15*(1+CC$3))/$AJ15,'Технический лист'!$A:$B,2,1)-VLOOKUP($AO15,'Технический лист'!$A:$B,2,1)),1+(1-$AU15))</f>
        <v>1.02</v>
      </c>
      <c r="CD15" s="15">
        <f>MIN(IF($AU15=100%,1,1+VLOOKUP(($AJ15-$AI15-$AH15-$AG15-$AF15-$AE15*(1+CD$3))/$AJ15,'Технический лист'!$A:$B,2,1)-VLOOKUP($AO15,'Технический лист'!$A:$B,2,1)),1+(1-$AU15))</f>
        <v>1.02</v>
      </c>
      <c r="CE15" s="15">
        <f>MIN(IF($AU15=100%,1,1+VLOOKUP(($AJ15-$AI15-$AH15-$AG15-$AF15-$AE15*(1+CE$3))/$AJ15,'Технический лист'!$A:$B,2,1)-VLOOKUP($AO15,'Технический лист'!$A:$B,2,1)),1+(1-$AU15))</f>
        <v>1.02</v>
      </c>
      <c r="CF15" s="15">
        <f>MIN(IF($AU15=100%,1,1+VLOOKUP(($AJ15-$AI15-$AH15-$AG15-$AF15-$AE15*(1+CF$3))/$AJ15,'Технический лист'!$A:$B,2,1)-VLOOKUP($AO15,'Технический лист'!$A:$B,2,1)),1+(1-$AU15))</f>
        <v>1.02</v>
      </c>
      <c r="CG15" s="15">
        <f>MIN(IF($AU15=100%,1,1+VLOOKUP(($AJ15-$AI15-$AH15-$AG15-$AF15-$AE15*(1+CG$3))/$AJ15,'Технический лист'!$A:$B,2,1)-VLOOKUP($AO15,'Технический лист'!$A:$B,2,1)),1+(1-$AU15))</f>
        <v>1.02</v>
      </c>
      <c r="CH15" s="15">
        <f>MIN(IF($AU15=100%,1,1+VLOOKUP(($AJ15-$AI15-$AH15-$AG15-$AF15-$AE15*(1+CH$3))/$AJ15,'Технический лист'!$A:$B,2,1)-VLOOKUP($AO15,'Технический лист'!$A:$B,2,1)),1+(1-$AU15))</f>
        <v>1.02</v>
      </c>
      <c r="CI15" s="15">
        <f>MIN(IF($AU15=100%,1,1+VLOOKUP(($AJ15-$AI15-$AH15-$AG15-$AF15-$AE15*(1+CI$3))/$AJ15,'Технический лист'!$A:$B,2,1)-VLOOKUP($AO15,'Технический лист'!$A:$B,2,1)),1+(1-$AU15))</f>
        <v>1.02</v>
      </c>
      <c r="CJ15" s="15">
        <f>MIN(IF($AU15=100%,1,1+VLOOKUP(($AJ15-$AI15-$AH15-$AG15-$AF15-$AE15*(1+CJ$3))/$AJ15,'Технический лист'!$A:$B,2,1)-VLOOKUP($AO15,'Технический лист'!$A:$B,2,1)),1+(1-$AU15))</f>
        <v>1.02</v>
      </c>
      <c r="CK15" s="15">
        <f>MIN(IF($AU15=100%,1,1+VLOOKUP(($AJ15-$AI15-$AH15-$AG15-$AF15-$AE15*(1+CK$3))/$AJ15,'Технический лист'!$A:$B,2,1)-VLOOKUP($AO15,'Технический лист'!$A:$B,2,1)),1+(1-$AU15))</f>
        <v>1.02</v>
      </c>
      <c r="CL15" s="15">
        <f>MIN(IF($AU15=100%,1,1+VLOOKUP(($AJ15-$AI15-$AH15-$AG15-$AF15-$AE15*(1+CL$3))/$AJ15,'Технический лист'!$A:$B,2,1)-VLOOKUP($AO15,'Технический лист'!$A:$B,2,1)),1+(1-$AU15))</f>
        <v>1.02</v>
      </c>
      <c r="CM15" s="15">
        <f>MIN(IF($AU15=100%,1,1+VLOOKUP(($AJ15-$AI15-$AH15-$AG15-$AF15-$AE15*(1+CM$3))/$AJ15,'Технический лист'!$A:$B,2,1)-VLOOKUP($AO15,'Технический лист'!$A:$B,2,1)),1+(1-$AU15))</f>
        <v>1.02</v>
      </c>
      <c r="CN15" s="15">
        <f>MIN(IF($AU15=100%,1,1+VLOOKUP(($AJ15-$AI15-$AH15-$AG15-$AF15-$AE15*(1+CN$3))/$AJ15,'Технический лист'!$A:$B,2,1)-VLOOKUP($AO15,'Технический лист'!$A:$B,2,1)),1+(1-$AU15))</f>
        <v>1.02</v>
      </c>
      <c r="CO15" s="15">
        <f>MIN(IF($AU15=100%,1,1+VLOOKUP(($AJ15-$AI15-$AH15-$AG15-$AF15-$AE15*(1+CO$3))/$AJ15,'Технический лист'!$A:$B,2,1)-VLOOKUP($AO15,'Технический лист'!$A:$B,2,1)),1+(1-$AU15))</f>
        <v>1.0150000000000001</v>
      </c>
      <c r="CP15" s="15">
        <f>MIN(IF($AU15=100%,1,1+VLOOKUP(($AJ15-$AI15-$AH15-$AG15-$AF15-$AE15*(1+CP$3))/$AJ15,'Технический лист'!$A:$B,2,1)-VLOOKUP($AO15,'Технический лист'!$A:$B,2,1)),1+(1-$AU15))</f>
        <v>1.0150000000000001</v>
      </c>
      <c r="CQ15" s="15">
        <f>MIN(IF($AU15=100%,1,1+VLOOKUP(($AJ15-$AI15-$AH15-$AG15-$AF15-$AE15*(1+CQ$3))/$AJ15,'Технический лист'!$A:$B,2,1)-VLOOKUP($AO15,'Технический лист'!$A:$B,2,1)),1+(1-$AU15))</f>
        <v>1.0150000000000001</v>
      </c>
      <c r="CR15" s="15">
        <f>MIN(IF($AU15=100%,1,1+VLOOKUP(($AJ15-$AI15-$AH15-$AG15-$AF15-$AE15*(1+CR$3))/$AJ15,'Технический лист'!$A:$B,2,1)-VLOOKUP($AO15,'Технический лист'!$A:$B,2,1)),1+(1-$AU15))</f>
        <v>1.0150000000000001</v>
      </c>
      <c r="CS15" s="15">
        <f>MIN(IF($AU15=100%,1,1+VLOOKUP(($AJ15-$AI15-$AH15-$AG15-$AF15-$AE15*(1+CS$3))/$AJ15,'Технический лист'!$A:$B,2,1)-VLOOKUP($AO15,'Технический лист'!$A:$B,2,1)),1+(1-$AU15))</f>
        <v>1.0150000000000001</v>
      </c>
      <c r="CT15" s="15">
        <f>MIN(IF($AU15=100%,1,1+VLOOKUP(($AJ15-$AI15-$AH15-$AG15-$AF15-$AE15*(1+CT$3))/$AJ15,'Технический лист'!$A:$B,2,1)-VLOOKUP($AO15,'Технический лист'!$A:$B,2,1)),1+(1-$AU15))</f>
        <v>1.0150000000000001</v>
      </c>
      <c r="CU15" s="15">
        <f>MIN(IF($AU15=100%,1,1+VLOOKUP(($AJ15-$AI15-$AH15-$AG15-$AF15-$AE15*(1+CU$3))/$AJ15,'Технический лист'!$A:$B,2,1)-VLOOKUP($AO15,'Технический лист'!$A:$B,2,1)),1+(1-$AU15))</f>
        <v>1.0150000000000001</v>
      </c>
      <c r="CV15" s="15">
        <f>MIN(IF($AU15=100%,1,1+VLOOKUP(($AJ15-$AI15-$AH15-$AG15-$AF15-$AE15*(1+CV$3))/$AJ15,'Технический лист'!$A:$B,2,1)-VLOOKUP($AO15,'Технический лист'!$A:$B,2,1)),1+(1-$AU15))</f>
        <v>1.0150000000000001</v>
      </c>
      <c r="CW15" s="15">
        <f>MIN(IF($AU15=100%,1,1+VLOOKUP(($AJ15-$AI15-$AH15-$AG15-$AF15-$AE15*(1+CW$3))/$AJ15,'Технический лист'!$A:$B,2,1)-VLOOKUP($AO15,'Технический лист'!$A:$B,2,1)),1+(1-$AU15))</f>
        <v>1.0150000000000001</v>
      </c>
      <c r="CX15" s="15">
        <f>MIN(IF($AU15=100%,1,1+VLOOKUP(($AJ15-$AI15-$AH15-$AG15-$AF15-$AE15*(1+CX$3))/$AJ15,'Технический лист'!$A:$B,2,1)-VLOOKUP($AO15,'Технический лист'!$A:$B,2,1)),1+(1-$AU15))</f>
        <v>1.0150000000000001</v>
      </c>
      <c r="CY15" s="15">
        <f>MIN(IF($AU15=100%,1,1+VLOOKUP(($AJ15-$AI15-$AH15-$AG15-$AF15-$AE15*(1+CY$3))/$AJ15,'Технический лист'!$A:$B,2,1)-VLOOKUP($AO15,'Технический лист'!$A:$B,2,1)),1+(1-$AU15))</f>
        <v>1.0150000000000001</v>
      </c>
      <c r="CZ15" s="15">
        <f>MIN(IF($AU15=100%,1,1+VLOOKUP(($AJ15-$AI15-$AH15-$AG15-$AF15-$AE15*(1+CZ$3))/$AJ15,'Технический лист'!$A:$B,2,1)-VLOOKUP($AO15,'Технический лист'!$A:$B,2,1)),1+(1-$AU15))</f>
        <v>1.0150000000000001</v>
      </c>
      <c r="DA15" s="15">
        <f>MIN(IF($AU15=100%,1,1+VLOOKUP(($AJ15-$AI15-$AH15-$AG15-$AF15-$AE15*(1+DA$3))/$AJ15,'Технический лист'!$A:$B,2,1)-VLOOKUP($AO15,'Технический лист'!$A:$B,2,1)),1+(1-$AU15))</f>
        <v>1.0150000000000001</v>
      </c>
      <c r="DB15" s="15">
        <f>MIN(IF($AU15=100%,1,1+VLOOKUP(($AJ15-$AI15-$AH15-$AG15-$AF15-$AE15*(1+DB$3))/$AJ15,'Технический лист'!$A:$B,2,1)-VLOOKUP($AO15,'Технический лист'!$A:$B,2,1)),1+(1-$AU15))</f>
        <v>1.0150000000000001</v>
      </c>
      <c r="DC15" s="15">
        <f>MIN(IF($AU15=100%,1,1+VLOOKUP(($AJ15-$AI15-$AH15-$AG15-$AF15-$AE15*(1+DC$3))/$AJ15,'Технический лист'!$A:$B,2,1)-VLOOKUP($AO15,'Технический лист'!$A:$B,2,1)),1+(1-$AU15))</f>
        <v>1.0150000000000001</v>
      </c>
      <c r="DD15" s="15">
        <f>MIN(IF($AU15=100%,1,1+VLOOKUP(($AJ15-$AI15-$AH15-$AG15-$AF15-$AE15*(1+DD$3))/$AJ15,'Технический лист'!$A:$B,2,1)-VLOOKUP($AO15,'Технический лист'!$A:$B,2,1)),1+(1-$AU15))</f>
        <v>1.0150000000000001</v>
      </c>
      <c r="DE15" s="15">
        <f>MIN(IF($AU15=100%,1,1+VLOOKUP(($AJ15-$AI15-$AH15-$AG15-$AF15-$AE15*(1+DE$3))/$AJ15,'Технический лист'!$A:$B,2,1)-VLOOKUP($AO15,'Технический лист'!$A:$B,2,1)),1+(1-$AU15))</f>
        <v>1.0150000000000001</v>
      </c>
      <c r="DF15" s="15">
        <f>MIN(IF($AU15=100%,1,1+VLOOKUP(($AJ15-$AI15-$AH15-$AG15-$AF15-$AE15*(1+DF$3))/$AJ15,'Технический лист'!$A:$B,2,1)-VLOOKUP($AO15,'Технический лист'!$A:$B,2,1)),1+(1-$AU15))</f>
        <v>1.0150000000000001</v>
      </c>
      <c r="DG15" s="15">
        <f>MIN(IF($AU15=100%,1,1+VLOOKUP(($AJ15-$AI15-$AH15-$AG15-$AF15-$AE15*(1+DG$3))/$AJ15,'Технический лист'!$A:$B,2,1)-VLOOKUP($AO15,'Технический лист'!$A:$B,2,1)),1+(1-$AU15))</f>
        <v>1.0150000000000001</v>
      </c>
      <c r="DH15" s="15">
        <f>MIN(IF($AU15=100%,1,1+VLOOKUP(($AJ15-$AI15-$AH15-$AG15-$AF15-$AE15*(1+DH$3))/$AJ15,'Технический лист'!$A:$B,2,1)-VLOOKUP($AO15,'Технический лист'!$A:$B,2,1)),1+(1-$AU15))</f>
        <v>1.01</v>
      </c>
      <c r="DI15" s="15">
        <f>MIN(IF($AU15=100%,1,1+VLOOKUP(($AJ15-$AI15-$AH15-$AG15-$AF15-$AE15*(1+DI$3))/$AJ15,'Технический лист'!$A:$B,2,1)-VLOOKUP($AO15,'Технический лист'!$A:$B,2,1)),1+(1-$AU15))</f>
        <v>1.01</v>
      </c>
      <c r="DJ15" s="15">
        <f>MIN(IF($AU15=100%,1,1+VLOOKUP(($AJ15-$AI15-$AH15-$AG15-$AF15-$AE15*(1+DJ$3))/$AJ15,'Технический лист'!$A:$B,2,1)-VLOOKUP($AO15,'Технический лист'!$A:$B,2,1)),1+(1-$AU15))</f>
        <v>1.01</v>
      </c>
      <c r="DK15" s="15">
        <f>MIN(IF($AU15=100%,1,1+VLOOKUP(($AJ15-$AI15-$AH15-$AG15-$AF15-$AE15*(1+DK$3))/$AJ15,'Технический лист'!$A:$B,2,1)-VLOOKUP($AO15,'Технический лист'!$A:$B,2,1)),1+(1-$AU15))</f>
        <v>1.01</v>
      </c>
      <c r="DL15" s="15">
        <f>MIN(IF($AU15=100%,1,1+VLOOKUP(($AJ15-$AI15-$AH15-$AG15-$AF15-$AE15*(1+DL$3))/$AJ15,'Технический лист'!$A:$B,2,1)-VLOOKUP($AO15,'Технический лист'!$A:$B,2,1)),1+(1-$AU15))</f>
        <v>1.01</v>
      </c>
      <c r="DM15" s="15">
        <f>MIN(IF($AU15=100%,1,1+VLOOKUP(($AJ15-$AI15-$AH15-$AG15-$AF15-$AE15*(1+DM$3))/$AJ15,'Технический лист'!$A:$B,2,1)-VLOOKUP($AO15,'Технический лист'!$A:$B,2,1)),1+(1-$AU15))</f>
        <v>1.01</v>
      </c>
      <c r="DN15" s="15">
        <f>MIN(IF($AU15=100%,1,1+VLOOKUP(($AJ15-$AI15-$AH15-$AG15-$AF15-$AE15*(1+DN$3))/$AJ15,'Технический лист'!$A:$B,2,1)-VLOOKUP($AO15,'Технический лист'!$A:$B,2,1)),1+(1-$AU15))</f>
        <v>1.01</v>
      </c>
      <c r="DO15" s="15">
        <f>MIN(IF($AU15=100%,1,1+VLOOKUP(($AJ15-$AI15-$AH15-$AG15-$AF15-$AE15*(1+DO$3))/$AJ15,'Технический лист'!$A:$B,2,1)-VLOOKUP($AO15,'Технический лист'!$A:$B,2,1)),1+(1-$AU15))</f>
        <v>1.01</v>
      </c>
      <c r="DP15" s="15">
        <f>MIN(IF($AU15=100%,1,1+VLOOKUP(($AJ15-$AI15-$AH15-$AG15-$AF15-$AE15*(1+DP$3))/$AJ15,'Технический лист'!$A:$B,2,1)-VLOOKUP($AO15,'Технический лист'!$A:$B,2,1)),1+(1-$AU15))</f>
        <v>1.01</v>
      </c>
      <c r="DQ15" s="15">
        <f>MIN(IF($AU15=100%,1,1+VLOOKUP(($AJ15-$AI15-$AH15-$AG15-$AF15-$AE15*(1+DQ$3))/$AJ15,'Технический лист'!$A:$B,2,1)-VLOOKUP($AO15,'Технический лист'!$A:$B,2,1)),1+(1-$AU15))</f>
        <v>1.01</v>
      </c>
      <c r="DR15" s="15">
        <f>MIN(IF($AU15=100%,1,1+VLOOKUP(($AJ15-$AI15-$AH15-$AG15-$AF15-$AE15*(1+DR$3))/$AJ15,'Технический лист'!$A:$B,2,1)-VLOOKUP($AO15,'Технический лист'!$A:$B,2,1)),1+(1-$AU15))</f>
        <v>1.01</v>
      </c>
      <c r="DS15" s="15">
        <f>MIN(IF($AU15=100%,1,1+VLOOKUP(($AJ15-$AI15-$AH15-$AG15-$AF15-$AE15*(1+DS$3))/$AJ15,'Технический лист'!$A:$B,2,1)-VLOOKUP($AO15,'Технический лист'!$A:$B,2,1)),1+(1-$AU15))</f>
        <v>1.01</v>
      </c>
      <c r="DT15" s="15">
        <f>MIN(IF($AU15=100%,1,1+VLOOKUP(($AJ15-$AI15-$AH15-$AG15-$AF15-$AE15*(1+DT$3))/$AJ15,'Технический лист'!$A:$B,2,1)-VLOOKUP($AO15,'Технический лист'!$A:$B,2,1)),1+(1-$AU15))</f>
        <v>1.01</v>
      </c>
      <c r="DU15" s="15">
        <f>MIN(IF($AU15=100%,1,1+VLOOKUP(($AJ15-$AI15-$AH15-$AG15-$AF15-$AE15*(1+DU$3))/$AJ15,'Технический лист'!$A:$B,2,1)-VLOOKUP($AO15,'Технический лист'!$A:$B,2,1)),1+(1-$AU15))</f>
        <v>1.01</v>
      </c>
      <c r="DV15" s="15">
        <f>MIN(IF($AU15=100%,1,1+VLOOKUP(($AJ15-$AI15-$AH15-$AG15-$AF15-$AE15*(1+DV$3))/$AJ15,'Технический лист'!$A:$B,2,1)-VLOOKUP($AO15,'Технический лист'!$A:$B,2,1)),1+(1-$AU15))</f>
        <v>1.01</v>
      </c>
      <c r="DW15" s="15">
        <f>MIN(IF($AU15=100%,1,1+VLOOKUP(($AJ15-$AI15-$AH15-$AG15-$AF15-$AE15*(1+DW$3))/$AJ15,'Технический лист'!$A:$B,2,1)-VLOOKUP($AO15,'Технический лист'!$A:$B,2,1)),1+(1-$AU15))</f>
        <v>1.01</v>
      </c>
      <c r="DX15" s="15">
        <f>MIN(IF($AU15=100%,1,1+VLOOKUP(($AJ15-$AI15-$AH15-$AG15-$AF15-$AE15*(1+DX$3))/$AJ15,'Технический лист'!$A:$B,2,1)-VLOOKUP($AO15,'Технический лист'!$A:$B,2,1)),1+(1-$AU15))</f>
        <v>1.01</v>
      </c>
      <c r="DY15" s="15">
        <f>MIN(IF($AU15=100%,1,1+VLOOKUP(($AJ15-$AI15-$AH15-$AG15-$AF15-$AE15*(1+DY$3))/$AJ15,'Технический лист'!$A:$B,2,1)-VLOOKUP($AO15,'Технический лист'!$A:$B,2,1)),1+(1-$AU15))</f>
        <v>1.01</v>
      </c>
      <c r="DZ15" s="15">
        <f>MIN(IF($AU15=100%,1,1+VLOOKUP(($AJ15-$AI15-$AH15-$AG15-$AF15-$AE15*(1+DZ$3))/$AJ15,'Технический лист'!$A:$B,2,1)-VLOOKUP($AO15,'Технический лист'!$A:$B,2,1)),1+(1-$AU15))</f>
        <v>1.01</v>
      </c>
      <c r="EA15" s="15">
        <f>MIN(IF($AU15=100%,1,1+VLOOKUP(($AJ15-$AI15-$AH15-$AG15-$AF15-$AE15*(1+EA$3))/$AJ15,'Технический лист'!$A:$B,2,1)-VLOOKUP($AO15,'Технический лист'!$A:$B,2,1)),1+(1-$AU15))</f>
        <v>1.0049999999999999</v>
      </c>
      <c r="EB15" s="15">
        <f>MIN(IF($AU15=100%,1,1+VLOOKUP(($AJ15-$AI15-$AH15-$AG15-$AF15-$AE15*(1+EB$3))/$AJ15,'Технический лист'!$A:$B,2,1)-VLOOKUP($AO15,'Технический лист'!$A:$B,2,1)),1+(1-$AU15))</f>
        <v>1.0049999999999999</v>
      </c>
      <c r="EC15" s="15">
        <f>MIN(IF($AU15=100%,1,1+VLOOKUP(($AJ15-$AI15-$AH15-$AG15-$AF15-$AE15*(1+EC$3))/$AJ15,'Технический лист'!$A:$B,2,1)-VLOOKUP($AO15,'Технический лист'!$A:$B,2,1)),1+(1-$AU15))</f>
        <v>1.0049999999999999</v>
      </c>
      <c r="ED15" s="15">
        <f>MIN(IF($AU15=100%,1,1+VLOOKUP(($AJ15-$AI15-$AH15-$AG15-$AF15-$AE15*(1+ED$3))/$AJ15,'Технический лист'!$A:$B,2,1)-VLOOKUP($AO15,'Технический лист'!$A:$B,2,1)),1+(1-$AU15))</f>
        <v>1.0049999999999999</v>
      </c>
      <c r="EE15" s="15">
        <f>MIN(IF($AU15=100%,1,1+VLOOKUP(($AJ15-$AI15-$AH15-$AG15-$AF15-$AE15*(1+EE$3))/$AJ15,'Технический лист'!$A:$B,2,1)-VLOOKUP($AO15,'Технический лист'!$A:$B,2,1)),1+(1-$AU15))</f>
        <v>1.0049999999999999</v>
      </c>
      <c r="EF15" s="15">
        <f>MIN(IF($AU15=100%,1,1+VLOOKUP(($AJ15-$AI15-$AH15-$AG15-$AF15-$AE15*(1+EF$3))/$AJ15,'Технический лист'!$A:$B,2,1)-VLOOKUP($AO15,'Технический лист'!$A:$B,2,1)),1+(1-$AU15))</f>
        <v>1.0049999999999999</v>
      </c>
      <c r="EG15" s="15">
        <f>MIN(IF($AU15=100%,1,1+VLOOKUP(($AJ15-$AI15-$AH15-$AG15-$AF15-$AE15*(1+EG$3))/$AJ15,'Технический лист'!$A:$B,2,1)-VLOOKUP($AO15,'Технический лист'!$A:$B,2,1)),1+(1-$AU15))</f>
        <v>1.0049999999999999</v>
      </c>
      <c r="EH15" s="15">
        <f>MIN(IF($AU15=100%,1,1+VLOOKUP(($AJ15-$AI15-$AH15-$AG15-$AF15-$AE15*(1+EH$3))/$AJ15,'Технический лист'!$A:$B,2,1)-VLOOKUP($AO15,'Технический лист'!$A:$B,2,1)),1+(1-$AU15))</f>
        <v>1.0049999999999999</v>
      </c>
      <c r="EI15" s="15">
        <f>MIN(IF($AU15=100%,1,1+VLOOKUP(($AJ15-$AI15-$AH15-$AG15-$AF15-$AE15*(1+EI$3))/$AJ15,'Технический лист'!$A:$B,2,1)-VLOOKUP($AO15,'Технический лист'!$A:$B,2,1)),1+(1-$AU15))</f>
        <v>1.0049999999999999</v>
      </c>
      <c r="EJ15" s="15">
        <f>MIN(IF($AU15=100%,1,1+VLOOKUP(($AJ15-$AI15-$AH15-$AG15-$AF15-$AE15*(1+EJ$3))/$AJ15,'Технический лист'!$A:$B,2,1)-VLOOKUP($AO15,'Технический лист'!$A:$B,2,1)),1+(1-$AU15))</f>
        <v>1.0049999999999999</v>
      </c>
      <c r="EK15" s="15">
        <f>MIN(IF($AU15=100%,1,1+VLOOKUP(($AJ15-$AI15-$AH15-$AG15-$AF15-$AE15*(1+EK$3))/$AJ15,'Технический лист'!$A:$B,2,1)-VLOOKUP($AO15,'Технический лист'!$A:$B,2,1)),1+(1-$AU15))</f>
        <v>1.0049999999999999</v>
      </c>
      <c r="EL15" s="15">
        <f>MIN(IF($AU15=100%,1,1+VLOOKUP(($AJ15-$AI15-$AH15-$AG15-$AF15-$AE15*(1+EL$3))/$AJ15,'Технический лист'!$A:$B,2,1)-VLOOKUP($AO15,'Технический лист'!$A:$B,2,1)),1+(1-$AU15))</f>
        <v>1.0049999999999999</v>
      </c>
      <c r="EM15" s="15">
        <f>MIN(IF($AU15=100%,1,1+VLOOKUP(($AJ15-$AI15-$AH15-$AG15-$AF15-$AE15*(1+EM$3))/$AJ15,'Технический лист'!$A:$B,2,1)-VLOOKUP($AO15,'Технический лист'!$A:$B,2,1)),1+(1-$AU15))</f>
        <v>1.0049999999999999</v>
      </c>
      <c r="EN15" s="15">
        <f>MIN(IF($AU15=100%,1,1+VLOOKUP(($AJ15-$AI15-$AH15-$AG15-$AF15-$AE15*(1+EN$3))/$AJ15,'Технический лист'!$A:$B,2,1)-VLOOKUP($AO15,'Технический лист'!$A:$B,2,1)),1+(1-$AU15))</f>
        <v>1.0049999999999999</v>
      </c>
      <c r="EO15" s="15">
        <f>MIN(IF($AU15=100%,1,1+VLOOKUP(($AJ15-$AI15-$AH15-$AG15-$AF15-$AE15*(1+EO$3))/$AJ15,'Технический лист'!$A:$B,2,1)-VLOOKUP($AO15,'Технический лист'!$A:$B,2,1)),1+(1-$AU15))</f>
        <v>1.0049999999999999</v>
      </c>
      <c r="EP15" s="15">
        <f>MIN(IF($AU15=100%,1,1+VLOOKUP(($AJ15-$AI15-$AH15-$AG15-$AF15-$AE15*(1+EP$3))/$AJ15,'Технический лист'!$A:$B,2,1)-VLOOKUP($AO15,'Технический лист'!$A:$B,2,1)),1+(1-$AU15))</f>
        <v>1.0049999999999999</v>
      </c>
      <c r="EQ15" s="15">
        <f>MIN(IF($AU15=100%,1,1+VLOOKUP(($AJ15-$AI15-$AH15-$AG15-$AF15-$AE15*(1+EQ$3))/$AJ15,'Технический лист'!$A:$B,2,1)-VLOOKUP($AO15,'Технический лист'!$A:$B,2,1)),1+(1-$AU15))</f>
        <v>1.0049999999999999</v>
      </c>
      <c r="ER15" s="15">
        <f>MIN(IF($AU15=100%,1,1+VLOOKUP(($AJ15-$AI15-$AH15-$AG15-$AF15-$AE15*(1+ER$3))/$AJ15,'Технический лист'!$A:$B,2,1)-VLOOKUP($AO15,'Технический лист'!$A:$B,2,1)),1+(1-$AU15))</f>
        <v>1.0049999999999999</v>
      </c>
      <c r="ES15" s="15">
        <f>MIN(IF($AU15=100%,1,1+VLOOKUP(($AJ15-$AI15-$AH15-$AG15-$AF15-$AE15*(1+ES$3))/$AJ15,'Технический лист'!$A:$B,2,1)-VLOOKUP($AO15,'Технический лист'!$A:$B,2,1)),1+(1-$AU15))</f>
        <v>1.0049999999999999</v>
      </c>
      <c r="ET15" s="15">
        <f>MIN(IF($AU15=100%,1,1+VLOOKUP(($AJ15-$AI15-$AH15-$AG15-$AF15-$AE15*(1+ET$3))/$AJ15,'Технический лист'!$A:$B,2,1)-VLOOKUP($AO15,'Технический лист'!$A:$B,2,1)),1+(1-$AU15))</f>
        <v>1</v>
      </c>
      <c r="EU15" s="15">
        <f>MIN(IF($AU15=100%,1,1+VLOOKUP(($AJ15-$AI15-$AH15-$AG15-$AF15-$AE15*(1+EU$3))/$AJ15,'Технический лист'!$A:$B,2,1)-VLOOKUP($AO15,'Технический лист'!$A:$B,2,1)),1+(1-$AU15))</f>
        <v>1</v>
      </c>
      <c r="EV15" s="111">
        <v>1</v>
      </c>
      <c r="EW15" s="15">
        <f>MIN(1,MAX(VLOOKUP(($AJ15-$AI15-$AH15-$AG15-$AF15-$AE15*(1+EW$3))/$AJ15,'Технический лист'!$A:$B,2,1),(EV15-0.05)))</f>
        <v>0.98</v>
      </c>
      <c r="EX15" s="15">
        <f>MIN(1,MAX(VLOOKUP(($AJ15-$AI15-$AH15-$AG15-$AF15-$AE15*(1+EX$3))/$AJ15,'Технический лист'!$A:$B,2,1),(EW15-0.05)))</f>
        <v>0.98</v>
      </c>
      <c r="EY15" s="15">
        <f>MIN(1,MAX(VLOOKUP(($AJ15-$AI15-$AH15-$AG15-$AF15-$AE15*(1+EY$3))/$AJ15,'Технический лист'!$A:$B,2,1),(EX15-0.05)))</f>
        <v>0.98</v>
      </c>
      <c r="EZ15" s="15">
        <f>MIN(1,MAX(VLOOKUP(($AJ15-$AI15-$AH15-$AG15-$AF15-$AE15*(1+EZ$3))/$AJ15,'Технический лист'!$A:$B,2,1),(EY15-0.05)))</f>
        <v>0.98</v>
      </c>
      <c r="FA15" s="15">
        <f>MIN(1,MAX(VLOOKUP(($AJ15-$AI15-$AH15-$AG15-$AF15-$AE15*(1+FA$3))/$AJ15,'Технический лист'!$A:$B,2,1),(EZ15-0.05)))</f>
        <v>0.98</v>
      </c>
      <c r="FB15" s="15">
        <f>MIN(1,MAX(VLOOKUP(($AJ15-$AI15-$AH15-$AG15-$AF15-$AE15*(1+FB$3))/$AJ15,'Технический лист'!$A:$B,2,1),(FA15-0.05)))</f>
        <v>0.98</v>
      </c>
      <c r="FC15" s="15">
        <f>MIN(1,MAX(VLOOKUP(($AJ15-$AI15-$AH15-$AG15-$AF15-$AE15*(1+FC$3))/$AJ15,'Технический лист'!$A:$B,2,1),(FB15-0.05)))</f>
        <v>0.98</v>
      </c>
      <c r="FD15" s="15">
        <f>MIN(1,MAX(VLOOKUP(($AJ15-$AI15-$AH15-$AG15-$AF15-$AE15*(1+FD$3))/$AJ15,'Технический лист'!$A:$B,2,1),(FC15-0.05)))</f>
        <v>0.98</v>
      </c>
      <c r="FE15" s="15">
        <f>MIN(1,MAX(VLOOKUP(($AJ15-$AI15-$AH15-$AG15-$AF15-$AE15*(1+FE$3))/$AJ15,'Технический лист'!$A:$B,2,1),(FD15-0.05)))</f>
        <v>0.98</v>
      </c>
      <c r="FF15" s="15">
        <f>MIN(1,MAX(VLOOKUP(($AJ15-$AI15-$AH15-$AG15-$AF15-$AE15*(1+FF$3))/$AJ15,'Технический лист'!$A:$B,2,1),(FE15-0.05)))</f>
        <v>0.98</v>
      </c>
      <c r="FG15" s="15">
        <f>MIN(1,MAX(VLOOKUP(($AJ15-$AI15-$AH15-$AG15-$AF15-$AE15*(1+FG$3))/$AJ15,'Технический лист'!$A:$B,2,1),(FF15-0.05)))</f>
        <v>0.98</v>
      </c>
      <c r="FH15" s="15">
        <f>MIN(1,MAX(VLOOKUP(($AJ15-$AI15-$AH15-$AG15-$AF15-$AE15*(1+FH$3))/$AJ15,'Технический лист'!$A:$B,2,1),(FG15-0.05)))</f>
        <v>0.98</v>
      </c>
      <c r="FI15" s="15">
        <f>MIN(1,MAX(VLOOKUP(($AJ15-$AI15-$AH15-$AG15-$AF15-$AE15*(1+FI$3))/$AJ15,'Технический лист'!$A:$B,2,1),(FH15-0.05)))</f>
        <v>0.98</v>
      </c>
      <c r="FJ15" s="15">
        <f>MIN(1,MAX(VLOOKUP(($AJ15-$AI15-$AH15-$AG15-$AF15-$AE15*(1+FJ$3))/$AJ15,'Технический лист'!$A:$B,2,1),(FI15-0.05)))</f>
        <v>0.98</v>
      </c>
      <c r="FK15" s="15">
        <f>MIN(1,MAX(VLOOKUP(($AJ15-$AI15-$AH15-$AG15-$AF15-$AE15*(1+FK$3))/$AJ15,'Технический лист'!$A:$B,2,1),(FJ15-0.05)))</f>
        <v>0.98</v>
      </c>
      <c r="FL15" s="15">
        <f>MIN(1,MAX(VLOOKUP(($AJ15-$AI15-$AH15-$AG15-$AF15-$AE15*(1+FL$3))/$AJ15,'Технический лист'!$A:$B,2,1),(FK15-0.05)))</f>
        <v>0.98</v>
      </c>
      <c r="FM15" s="15">
        <f>MIN(1,MAX(VLOOKUP(($AJ15-$AI15-$AH15-$AG15-$AF15-$AE15*(1+FM$3))/$AJ15,'Технический лист'!$A:$B,2,1),(FL15-0.05)))</f>
        <v>0.97499999999999998</v>
      </c>
      <c r="FN15" s="15">
        <f>MIN(1,MAX(VLOOKUP(($AJ15-$AI15-$AH15-$AG15-$AF15-$AE15*(1+FN$3))/$AJ15,'Технический лист'!$A:$B,2,1),(FM15-0.05)))</f>
        <v>0.97499999999999998</v>
      </c>
      <c r="FO15" s="15">
        <f>MIN(1,MAX(VLOOKUP(($AJ15-$AI15-$AH15-$AG15-$AF15-$AE15*(1+FO$3))/$AJ15,'Технический лист'!$A:$B,2,1),(FN15-0.05)))</f>
        <v>0.97499999999999998</v>
      </c>
      <c r="FP15" s="15">
        <f>MIN(1,MAX(VLOOKUP(($AJ15-$AI15-$AH15-$AG15-$AF15-$AE15*(1+FP$3))/$AJ15,'Технический лист'!$A:$B,2,1),(FO15-0.05)))</f>
        <v>0.97499999999999998</v>
      </c>
      <c r="FQ15" s="15">
        <f>MIN(1,MAX(VLOOKUP(($AJ15-$AI15-$AH15-$AG15-$AF15-$AE15*(1+FQ$3))/$AJ15,'Технический лист'!$A:$B,2,1),(FP15-0.05)))</f>
        <v>0.97499999999999998</v>
      </c>
      <c r="FR15" s="15">
        <f>MIN(1,MAX(VLOOKUP(($AJ15-$AI15-$AH15-$AG15-$AF15-$AE15*(1+FR$3))/$AJ15,'Технический лист'!$A:$B,2,1),(FQ15-0.05)))</f>
        <v>0.97499999999999998</v>
      </c>
      <c r="FS15" s="15">
        <f>MIN(1,MAX(VLOOKUP(($AJ15-$AI15-$AH15-$AG15-$AF15-$AE15*(1+FS$3))/$AJ15,'Технический лист'!$A:$B,2,1),(FR15-0.05)))</f>
        <v>0.97499999999999998</v>
      </c>
      <c r="FT15" s="15">
        <f>MIN(1,MAX(VLOOKUP(($AJ15-$AI15-$AH15-$AG15-$AF15-$AE15*(1+FT$3))/$AJ15,'Технический лист'!$A:$B,2,1),(FS15-0.05)))</f>
        <v>0.97499999999999998</v>
      </c>
      <c r="FU15" s="15">
        <f>MIN(1,MAX(VLOOKUP(($AJ15-$AI15-$AH15-$AG15-$AF15-$AE15*(1+FU$3))/$AJ15,'Технический лист'!$A:$B,2,1),(FT15-0.05)))</f>
        <v>0.97499999999999998</v>
      </c>
      <c r="FV15" s="15">
        <f>MIN(1,MAX(VLOOKUP(($AJ15-$AI15-$AH15-$AG15-$AF15-$AE15*(1+FV$3))/$AJ15,'Технический лист'!$A:$B,2,1),(FU15-0.05)))</f>
        <v>0.97499999999999998</v>
      </c>
      <c r="FW15" s="15">
        <f>MIN(1,MAX(VLOOKUP(($AJ15-$AI15-$AH15-$AG15-$AF15-$AE15*(1+FW$3))/$AJ15,'Технический лист'!$A:$B,2,1),(FV15-0.05)))</f>
        <v>0.97499999999999998</v>
      </c>
      <c r="FX15" s="15">
        <f>MIN(1,MAX(VLOOKUP(($AJ15-$AI15-$AH15-$AG15-$AF15-$AE15*(1+FX$3))/$AJ15,'Технический лист'!$A:$B,2,1),(FW15-0.05)))</f>
        <v>0.97499999999999998</v>
      </c>
      <c r="FY15" s="15">
        <f>MIN(1,MAX(VLOOKUP(($AJ15-$AI15-$AH15-$AG15-$AF15-$AE15*(1+FY$3))/$AJ15,'Технический лист'!$A:$B,2,1),(FX15-0.05)))</f>
        <v>0.97499999999999998</v>
      </c>
      <c r="FZ15" s="15">
        <f>MIN(1,MAX(VLOOKUP(($AJ15-$AI15-$AH15-$AG15-$AF15-$AE15*(1+FZ$3))/$AJ15,'Технический лист'!$A:$B,2,1),(FY15-0.05)))</f>
        <v>0.97499999999999998</v>
      </c>
      <c r="GA15" s="15">
        <f>MIN(1,MAX(VLOOKUP(($AJ15-$AI15-$AH15-$AG15-$AF15-$AE15*(1+GA$3))/$AJ15,'Технический лист'!$A:$B,2,1),(FZ15-0.05)))</f>
        <v>0.97499999999999998</v>
      </c>
      <c r="GB15" s="15">
        <f>MIN(1,MAX(VLOOKUP(($AJ15-$AI15-$AH15-$AG15-$AF15-$AE15*(1+GB$3))/$AJ15,'Технический лист'!$A:$B,2,1),(GA15-0.05)))</f>
        <v>0.97499999999999998</v>
      </c>
      <c r="GC15" s="15">
        <f>MIN(1,MAX(VLOOKUP(($AJ15-$AI15-$AH15-$AG15-$AF15-$AE15*(1+GC$3))/$AJ15,'Технический лист'!$A:$B,2,1),(GB15-0.05)))</f>
        <v>0.97499999999999998</v>
      </c>
      <c r="GD15" s="15">
        <f>MIN(1,MAX(VLOOKUP(($AJ15-$AI15-$AH15-$AG15-$AF15-$AE15*(1+GD$3))/$AJ15,'Технический лист'!$A:$B,2,1),(GC15-0.05)))</f>
        <v>0.97499999999999998</v>
      </c>
      <c r="GE15" s="15">
        <f>MIN(1,MAX(VLOOKUP(($AJ15-$AI15-$AH15-$AG15-$AF15-$AE15*(1+GE$3))/$AJ15,'Технический лист'!$A:$B,2,1),(GD15-0.05)))</f>
        <v>0.97499999999999998</v>
      </c>
      <c r="GF15" s="15">
        <f>MIN(1,MAX(VLOOKUP(($AJ15-$AI15-$AH15-$AG15-$AF15-$AE15*(1+GF$3))/$AJ15,'Технический лист'!$A:$B,2,1),(GE15-0.05)))</f>
        <v>0.97</v>
      </c>
      <c r="GG15" s="15">
        <f>MIN(1,MAX(VLOOKUP(($AJ15-$AI15-$AH15-$AG15-$AF15-$AE15*(1+GG$3))/$AJ15,'Технический лист'!$A:$B,2,1),(GF15-0.05)))</f>
        <v>0.97</v>
      </c>
      <c r="GH15" s="15">
        <f>MIN(1,MAX(VLOOKUP(($AJ15-$AI15-$AH15-$AG15-$AF15-$AE15*(1+GH$3))/$AJ15,'Технический лист'!$A:$B,2,1),(GG15-0.05)))</f>
        <v>0.97</v>
      </c>
      <c r="GI15" s="15">
        <f>MIN(1,MAX(VLOOKUP(($AJ15-$AI15-$AH15-$AG15-$AF15-$AE15*(1+GI$3))/$AJ15,'Технический лист'!$A:$B,2,1),(GH15-0.05)))</f>
        <v>0.97</v>
      </c>
      <c r="GJ15" s="15">
        <f>MIN(1,MAX(VLOOKUP(($AJ15-$AI15-$AH15-$AG15-$AF15-$AE15*(1+GJ$3))/$AJ15,'Технический лист'!$A:$B,2,1),(GI15-0.05)))</f>
        <v>0.97</v>
      </c>
      <c r="GK15" s="15">
        <f>MIN(1,MAX(VLOOKUP(($AJ15-$AI15-$AH15-$AG15-$AF15-$AE15*(1+GK$3))/$AJ15,'Технический лист'!$A:$B,2,1),(GJ15-0.05)))</f>
        <v>0.97</v>
      </c>
      <c r="GL15" s="15">
        <f>MIN(1,MAX(VLOOKUP(($AJ15-$AI15-$AH15-$AG15-$AF15-$AE15*(1+GL$3))/$AJ15,'Технический лист'!$A:$B,2,1),(GK15-0.05)))</f>
        <v>0.97</v>
      </c>
      <c r="GM15" s="15">
        <f>MIN(1,MAX(VLOOKUP(($AJ15-$AI15-$AH15-$AG15-$AF15-$AE15*(1+GM$3))/$AJ15,'Технический лист'!$A:$B,2,1),(GL15-0.05)))</f>
        <v>0.97</v>
      </c>
      <c r="GN15" s="15">
        <f>MIN(1,MAX(VLOOKUP(($AJ15-$AI15-$AH15-$AG15-$AF15-$AE15*(1+GN$3))/$AJ15,'Технический лист'!$A:$B,2,1),(GM15-0.05)))</f>
        <v>0.97</v>
      </c>
      <c r="GO15" s="15">
        <f>MIN(1,MAX(VLOOKUP(($AJ15-$AI15-$AH15-$AG15-$AF15-$AE15*(1+GO$3))/$AJ15,'Технический лист'!$A:$B,2,1),(GN15-0.05)))</f>
        <v>0.97</v>
      </c>
      <c r="GP15" s="15">
        <f>MIN(1,MAX(VLOOKUP(($AJ15-$AI15-$AH15-$AG15-$AF15-$AE15*(1+GP$3))/$AJ15,'Технический лист'!$A:$B,2,1),(GO15-0.05)))</f>
        <v>0.97</v>
      </c>
      <c r="GQ15" s="15">
        <f>MIN(1,MAX(VLOOKUP(($AJ15-$AI15-$AH15-$AG15-$AF15-$AE15*(1+GQ$3))/$AJ15,'Технический лист'!$A:$B,2,1),(GP15-0.05)))</f>
        <v>0.97</v>
      </c>
      <c r="GR15" s="15">
        <f>MIN(1,MAX(VLOOKUP(($AJ15-$AI15-$AH15-$AG15-$AF15-$AE15*(1+GR$3))/$AJ15,'Технический лист'!$A:$B,2,1),(GQ15-0.05)))</f>
        <v>0.97</v>
      </c>
      <c r="GS15" s="15">
        <f>MIN(1,MAX(VLOOKUP(($AJ15-$AI15-$AH15-$AG15-$AF15-$AE15*(1+GS$3))/$AJ15,'Технический лист'!$A:$B,2,1),(GR15-0.05)))</f>
        <v>0.97</v>
      </c>
      <c r="GT15" s="15">
        <f>MIN(1,MAX(VLOOKUP(($AJ15-$AI15-$AH15-$AG15-$AF15-$AE15*(1+GT$3))/$AJ15,'Технический лист'!$A:$B,2,1),(GS15-0.05)))</f>
        <v>0.97</v>
      </c>
      <c r="GU15" s="15">
        <f>MIN(1,MAX(VLOOKUP(($AJ15-$AI15-$AH15-$AG15-$AF15-$AE15*(1+GU$3))/$AJ15,'Технический лист'!$A:$B,2,1),(GT15-0.05)))</f>
        <v>0.97</v>
      </c>
      <c r="GV15" s="15">
        <f>MIN(1,MAX(VLOOKUP(($AJ15-$AI15-$AH15-$AG15-$AF15-$AE15*(1+GV$3))/$AJ15,'Технический лист'!$A:$B,2,1),(GU15-0.05)))</f>
        <v>0.97</v>
      </c>
      <c r="GW15" s="15">
        <f>MIN(1,MAX(VLOOKUP(($AJ15-$AI15-$AH15-$AG15-$AF15-$AE15*(1+GW$3))/$AJ15,'Технический лист'!$A:$B,2,1),(GV15-0.05)))</f>
        <v>0.97</v>
      </c>
      <c r="GX15" s="15">
        <f>MIN(1,MAX(VLOOKUP(($AJ15-$AI15-$AH15-$AG15-$AF15-$AE15*(1+GX$3))/$AJ15,'Технический лист'!$A:$B,2,1),(GW15-0.05)))</f>
        <v>0.97</v>
      </c>
      <c r="GY15" s="15">
        <f>MIN(1,MAX(VLOOKUP(($AJ15-$AI15-$AH15-$AG15-$AF15-$AE15*(1+GY$3))/$AJ15,'Технический лист'!$A:$B,2,1),(GX15-0.05)))</f>
        <v>0.96499999999999997</v>
      </c>
      <c r="GZ15" s="15">
        <f>MIN(1,MAX(VLOOKUP(($AJ15-$AI15-$AH15-$AG15-$AF15-$AE15*(1+GZ$3))/$AJ15,'Технический лист'!$A:$B,2,1),(GY15-0.05)))</f>
        <v>0.96499999999999997</v>
      </c>
      <c r="HA15" s="15">
        <f>MIN(1,MAX(VLOOKUP(($AJ15-$AI15-$AH15-$AG15-$AF15-$AE15*(1+HA$3))/$AJ15,'Технический лист'!$A:$B,2,1),(GZ15-0.05)))</f>
        <v>0.96499999999999997</v>
      </c>
      <c r="HB15" s="15">
        <f>MIN(1,MAX(VLOOKUP(($AJ15-$AI15-$AH15-$AG15-$AF15-$AE15*(1+HB$3))/$AJ15,'Технический лист'!$A:$B,2,1),(HA15-0.05)))</f>
        <v>0.96499999999999997</v>
      </c>
      <c r="HC15" s="15">
        <f>MIN(1,MAX(VLOOKUP(($AJ15-$AI15-$AH15-$AG15-$AF15-$AE15*(1+HC$3))/$AJ15,'Технический лист'!$A:$B,2,1),(HB15-0.05)))</f>
        <v>0.96499999999999997</v>
      </c>
      <c r="HD15" s="15">
        <f>MIN(1,MAX(VLOOKUP(($AJ15-$AI15-$AH15-$AG15-$AF15-$AE15*(1+HD$3))/$AJ15,'Технический лист'!$A:$B,2,1),(HC15-0.05)))</f>
        <v>0.96499999999999997</v>
      </c>
      <c r="HE15" s="15">
        <f>MIN(1,MAX(VLOOKUP(($AJ15-$AI15-$AH15-$AG15-$AF15-$AE15*(1+HE$3))/$AJ15,'Технический лист'!$A:$B,2,1),(HD15-0.05)))</f>
        <v>0.96499999999999997</v>
      </c>
      <c r="HF15" s="15">
        <f>MIN(1,MAX(VLOOKUP(($AJ15-$AI15-$AH15-$AG15-$AF15-$AE15*(1+HF$3))/$AJ15,'Технический лист'!$A:$B,2,1),(HE15-0.05)))</f>
        <v>0.96499999999999997</v>
      </c>
      <c r="HG15" s="15">
        <f>MIN(1,MAX(VLOOKUP(($AJ15-$AI15-$AH15-$AG15-$AF15-$AE15*(1+HG$3))/$AJ15,'Технический лист'!$A:$B,2,1),(HF15-0.05)))</f>
        <v>0.96499999999999997</v>
      </c>
      <c r="HH15" s="15">
        <f>MIN(1,MAX(VLOOKUP(($AJ15-$AI15-$AH15-$AG15-$AF15-$AE15*(1+HH$3))/$AJ15,'Технический лист'!$A:$B,2,1),(HG15-0.05)))</f>
        <v>0.96499999999999997</v>
      </c>
      <c r="HI15" s="15">
        <f>MIN(1,MAX(VLOOKUP(($AJ15-$AI15-$AH15-$AG15-$AF15-$AE15*(1+HI$3))/$AJ15,'Технический лист'!$A:$B,2,1),(HH15-0.05)))</f>
        <v>0.96499999999999997</v>
      </c>
      <c r="HJ15" s="15">
        <f>MIN(1,MAX(VLOOKUP(($AJ15-$AI15-$AH15-$AG15-$AF15-$AE15*(1+HJ$3))/$AJ15,'Технический лист'!$A:$B,2,1),(HI15-0.05)))</f>
        <v>0.96499999999999997</v>
      </c>
      <c r="HK15" s="15">
        <f>MIN(1,MAX(VLOOKUP(($AJ15-$AI15-$AH15-$AG15-$AF15-$AE15*(1+HK$3))/$AJ15,'Технический лист'!$A:$B,2,1),(HJ15-0.05)))</f>
        <v>0.96499999999999997</v>
      </c>
      <c r="HL15" s="15">
        <f>MIN(1,MAX(VLOOKUP(($AJ15-$AI15-$AH15-$AG15-$AF15-$AE15*(1+HL$3))/$AJ15,'Технический лист'!$A:$B,2,1),(HK15-0.05)))</f>
        <v>0.96499999999999997</v>
      </c>
      <c r="HM15" s="15">
        <f>MIN(1,MAX(VLOOKUP(($AJ15-$AI15-$AH15-$AG15-$AF15-$AE15*(1+HM$3))/$AJ15,'Технический лист'!$A:$B,2,1),(HL15-0.05)))</f>
        <v>0.96499999999999997</v>
      </c>
      <c r="HN15" s="15">
        <f>MIN(1,MAX(VLOOKUP(($AJ15-$AI15-$AH15-$AG15-$AF15-$AE15*(1+HN$3))/$AJ15,'Технический лист'!$A:$B,2,1),(HM15-0.05)))</f>
        <v>0.96499999999999997</v>
      </c>
      <c r="HO15" s="15">
        <f>MIN(1,MAX(VLOOKUP(($AJ15-$AI15-$AH15-$AG15-$AF15-$AE15*(1+HO$3))/$AJ15,'Технический лист'!$A:$B,2,1),(HN15-0.05)))</f>
        <v>0.96499999999999997</v>
      </c>
      <c r="HP15" s="15">
        <f>MIN(1,MAX(VLOOKUP(($AJ15-$AI15-$AH15-$AG15-$AF15-$AE15*(1+HP$3))/$AJ15,'Технический лист'!$A:$B,2,1),(HO15-0.05)))</f>
        <v>0.96499999999999997</v>
      </c>
      <c r="HQ15" s="15">
        <f>MIN(1,MAX(VLOOKUP(($AJ15-$AI15-$AH15-$AG15-$AF15-$AE15*(1+HQ$3))/$AJ15,'Технический лист'!$A:$B,2,1),(HP15-0.05)))</f>
        <v>0.96499999999999997</v>
      </c>
      <c r="HR15" s="15">
        <f>MIN(1,MAX(VLOOKUP(($AJ15-$AI15-$AH15-$AG15-$AF15-$AE15*(1+HR$3))/$AJ15,'Технический лист'!$A:$B,2,1),(HQ15-0.05)))</f>
        <v>0.96</v>
      </c>
      <c r="HS15" s="15">
        <f>MIN(1,MAX(VLOOKUP(($AJ15-$AI15-$AH15-$AG15-$AF15-$AE15*(1+HS$3))/$AJ15,'Технический лист'!$A:$B,2,1),(HR15-0.05)))</f>
        <v>0.96</v>
      </c>
      <c r="HT15" s="15">
        <f>MIN(1,MAX(VLOOKUP(($AJ15-$AI15-$AH15-$AG15-$AF15-$AE15*(1+HT$3))/$AJ15,'Технический лист'!$A:$B,2,1),(HS15-0.05)))</f>
        <v>0.96</v>
      </c>
      <c r="HU15" s="15">
        <f>MIN(1,MAX(VLOOKUP(($AJ15-$AI15-$AH15-$AG15-$AF15-$AE15*(1+HU$3))/$AJ15,'Технический лист'!$A:$B,2,1),(HT15-0.05)))</f>
        <v>0.96</v>
      </c>
      <c r="HV15" s="15">
        <f>MIN(1,MAX(VLOOKUP(($AJ15-$AI15-$AH15-$AG15-$AF15-$AE15*(1+HV$3))/$AJ15,'Технический лист'!$A:$B,2,1),(HU15-0.05)))</f>
        <v>0.96</v>
      </c>
      <c r="HW15" s="15">
        <f>MIN(1,MAX(VLOOKUP(($AJ15-$AI15-$AH15-$AG15-$AF15-$AE15*(1+HW$3))/$AJ15,'Технический лист'!$A:$B,2,1),(HV15-0.05)))</f>
        <v>0.96</v>
      </c>
      <c r="HX15" s="15">
        <f>MIN(1,MAX(VLOOKUP(($AJ15-$AI15-$AH15-$AG15-$AF15-$AE15*(1+HX$3))/$AJ15,'Технический лист'!$A:$B,2,1),(HW15-0.05)))</f>
        <v>0.96</v>
      </c>
      <c r="HY15" s="15">
        <f>MIN(1,MAX(VLOOKUP(($AJ15-$AI15-$AH15-$AG15-$AF15-$AE15*(1+HY$3))/$AJ15,'Технический лист'!$A:$B,2,1),(HX15-0.05)))</f>
        <v>0.96</v>
      </c>
      <c r="HZ15" s="15">
        <f>MIN(1,MAX(VLOOKUP(($AJ15-$AI15-$AH15-$AG15-$AF15-$AE15*(1+HZ$3))/$AJ15,'Технический лист'!$A:$B,2,1),(HY15-0.05)))</f>
        <v>0.96</v>
      </c>
      <c r="IA15" s="15">
        <f>MIN(1,MAX(VLOOKUP(($AJ15-$AI15-$AH15-$AG15-$AF15-$AE15*(1+IA$3))/$AJ15,'Технический лист'!$A:$B,2,1),(HZ15-0.05)))</f>
        <v>0.96</v>
      </c>
      <c r="IB15" s="15">
        <f>MIN(1,MAX(VLOOKUP(($AJ15-$AI15-$AH15-$AG15-$AF15-$AE15*(1+IB$3))/$AJ15,'Технический лист'!$A:$B,2,1),(IA15-0.05)))</f>
        <v>0.96</v>
      </c>
      <c r="IC15" s="15">
        <f>MIN(1,MAX(VLOOKUP(($AJ15-$AI15-$AH15-$AG15-$AF15-$AE15*(1+IC$3))/$AJ15,'Технический лист'!$A:$B,2,1),(IB15-0.05)))</f>
        <v>0.96</v>
      </c>
      <c r="ID15" s="15">
        <f>MIN(1,MAX(VLOOKUP(($AJ15-$AI15-$AH15-$AG15-$AF15-$AE15*(1+ID$3))/$AJ15,'Технический лист'!$A:$B,2,1),(IC15-0.05)))</f>
        <v>0.96</v>
      </c>
      <c r="IE15" s="15">
        <f>MIN(1,MAX(VLOOKUP(($AJ15-$AI15-$AH15-$AG15-$AF15-$AE15*(1+IE$3))/$AJ15,'Технический лист'!$A:$B,2,1),(ID15-0.05)))</f>
        <v>0.96</v>
      </c>
      <c r="IF15" s="15">
        <f>MIN(1,MAX(VLOOKUP(($AJ15-$AI15-$AH15-$AG15-$AF15-$AE15*(1+IF$3))/$AJ15,'Технический лист'!$A:$B,2,1),(IE15-0.05)))</f>
        <v>0.96</v>
      </c>
      <c r="IG15" s="15">
        <f>MIN(1,MAX(VLOOKUP(($AJ15-$AI15-$AH15-$AG15-$AF15-$AE15*(1+IG$3))/$AJ15,'Технический лист'!$A:$B,2,1),(IF15-0.05)))</f>
        <v>0.96</v>
      </c>
      <c r="IH15" s="15">
        <f>MIN(1,MAX(VLOOKUP(($AJ15-$AI15-$AH15-$AG15-$AF15-$AE15*(1+IH$3))/$AJ15,'Технический лист'!$A:$B,2,1),(IG15-0.05)))</f>
        <v>0.96</v>
      </c>
      <c r="II15" s="15">
        <f>MIN(1,MAX(VLOOKUP(($AJ15-$AI15-$AH15-$AG15-$AF15-$AE15*(1+II$3))/$AJ15,'Технический лист'!$A:$B,2,1),(IH15-0.05)))</f>
        <v>0.96</v>
      </c>
      <c r="IJ15" s="15">
        <f>MIN(1,MAX(VLOOKUP(($AJ15-$AI15-$AH15-$AG15-$AF15-$AE15*(1+IJ$3))/$AJ15,'Технический лист'!$A:$B,2,1),(II15-0.05)))</f>
        <v>0.96</v>
      </c>
      <c r="IK15" s="15">
        <f>MIN(1,MAX(VLOOKUP(($AJ15-$AI15-$AH15-$AG15-$AF15-$AE15*(1+IK$3))/$AJ15,'Технический лист'!$A:$B,2,1),(IJ15-0.05)))</f>
        <v>0.95499999999999996</v>
      </c>
      <c r="IL15" s="15">
        <f>MIN(1,MAX(VLOOKUP(($AJ15-$AI15-$AH15-$AG15-$AF15-$AE15*(1+IL$3))/$AJ15,'Технический лист'!$A:$B,2,1),(IK15-0.05)))</f>
        <v>0.95499999999999996</v>
      </c>
      <c r="IM15" s="15">
        <f>MIN(1,MAX(VLOOKUP(($AJ15-$AI15-$AH15-$AG15-$AF15-$AE15*(1+IM$3))/$AJ15,'Технический лист'!$A:$B,2,1),(IL15-0.05)))</f>
        <v>0.95499999999999996</v>
      </c>
      <c r="IN15" s="15">
        <f>MIN(1,MAX(VLOOKUP(($AJ15-$AI15-$AH15-$AG15-$AF15-$AE15*(1+IN$3))/$AJ15,'Технический лист'!$A:$B,2,1),(IM15-0.05)))</f>
        <v>0.95499999999999996</v>
      </c>
      <c r="IO15" s="15">
        <f>MIN(1,MAX(VLOOKUP(($AJ15-$AI15-$AH15-$AG15-$AF15-$AE15*(1+IO$3))/$AJ15,'Технический лист'!$A:$B,2,1),(IN15-0.05)))</f>
        <v>0.95499999999999996</v>
      </c>
      <c r="IP15" s="15">
        <f>MIN(1,MAX(VLOOKUP(($AJ15-$AI15-$AH15-$AG15-$AF15-$AE15*(1+IP$3))/$AJ15,'Технический лист'!$A:$B,2,1),(IO15-0.05)))</f>
        <v>0.95499999999999996</v>
      </c>
      <c r="IQ15" s="15">
        <f>MIN(1,MAX(VLOOKUP(($AJ15-$AI15-$AH15-$AG15-$AF15-$AE15*(1+IQ$3))/$AJ15,'Технический лист'!$A:$B,2,1),(IP15-0.05)))</f>
        <v>0.95499999999999996</v>
      </c>
      <c r="IR15" s="15">
        <f>MIN(1,MAX(VLOOKUP(($AJ15-$AI15-$AH15-$AG15-$AF15-$AE15*(1+IR$3))/$AJ15,'Технический лист'!$A:$B,2,1),(IQ15-0.05)))</f>
        <v>0.95499999999999996</v>
      </c>
    </row>
    <row r="16" spans="1:257" ht="45" customHeight="1">
      <c r="A16" s="89" t="s">
        <v>514</v>
      </c>
      <c r="B16" s="90">
        <v>2</v>
      </c>
      <c r="C16" s="5" t="s">
        <v>65</v>
      </c>
      <c r="D16" s="91">
        <v>17111</v>
      </c>
      <c r="E16" s="91" t="s">
        <v>321</v>
      </c>
      <c r="F16" s="92" t="s">
        <v>69</v>
      </c>
      <c r="G16" s="91" t="s">
        <v>23</v>
      </c>
      <c r="H16" s="91" t="s">
        <v>19</v>
      </c>
      <c r="I16" s="91" t="s">
        <v>54</v>
      </c>
      <c r="J16" s="91" t="s">
        <v>94</v>
      </c>
      <c r="K16" s="91">
        <v>697</v>
      </c>
      <c r="L16" s="85" t="s">
        <v>64</v>
      </c>
      <c r="M16" s="91" t="s">
        <v>190</v>
      </c>
      <c r="N16" s="91" t="s">
        <v>191</v>
      </c>
      <c r="O16" s="91" t="s">
        <v>194</v>
      </c>
      <c r="P16" s="89" t="s">
        <v>200</v>
      </c>
      <c r="Q16" s="91" t="s">
        <v>276</v>
      </c>
      <c r="R16" s="91" t="s">
        <v>253</v>
      </c>
      <c r="S16" s="82">
        <v>21520</v>
      </c>
      <c r="T16" s="82">
        <v>14999320</v>
      </c>
      <c r="U16" s="81">
        <v>432</v>
      </c>
      <c r="V16" s="81">
        <v>0</v>
      </c>
      <c r="W16" s="82">
        <v>17973782</v>
      </c>
      <c r="X16" s="112">
        <v>50</v>
      </c>
      <c r="Y16" s="112" t="s">
        <v>417</v>
      </c>
      <c r="Z16" s="113">
        <v>6</v>
      </c>
      <c r="AA16" s="113">
        <v>6</v>
      </c>
      <c r="AB16" s="113">
        <v>4</v>
      </c>
      <c r="AC16" s="99">
        <v>903.98</v>
      </c>
      <c r="AD16" s="99">
        <f t="shared" si="1"/>
        <v>299.92000000000007</v>
      </c>
      <c r="AE16" s="99">
        <v>1203.9000000000001</v>
      </c>
      <c r="AF16" s="98">
        <f>(Z16+AA16+AB16)*'Ставки аренды'!$B$3/X16</f>
        <v>224</v>
      </c>
      <c r="AG16" s="114">
        <v>0</v>
      </c>
      <c r="AH16" s="94">
        <v>0</v>
      </c>
      <c r="AI16" s="115">
        <f>0.9*AVERAGE(AJ13,AJ14)</f>
        <v>14757.857325000001</v>
      </c>
      <c r="AJ16" s="117">
        <f>Цены!$D$9</f>
        <v>17000</v>
      </c>
      <c r="AK16" s="94">
        <f>AJ16/Цены!$B$1</f>
        <v>222.7886587467483</v>
      </c>
      <c r="AL16" s="95">
        <f t="shared" si="5"/>
        <v>1427.9</v>
      </c>
      <c r="AM16" s="95">
        <f t="shared" si="6"/>
        <v>15572.1</v>
      </c>
      <c r="AN16" s="94">
        <f t="shared" si="2"/>
        <v>16185.757325</v>
      </c>
      <c r="AO16" s="118">
        <f t="shared" si="3"/>
        <v>4.789662794117644E-2</v>
      </c>
      <c r="AP16" s="96">
        <f t="shared" si="7"/>
        <v>8.399411764705883E-2</v>
      </c>
      <c r="AQ16" s="96">
        <f t="shared" si="8"/>
        <v>7.0817647058823541E-2</v>
      </c>
      <c r="AR16" s="96">
        <f t="shared" si="9"/>
        <v>0.84312626934659296</v>
      </c>
      <c r="AS16" s="122">
        <v>1</v>
      </c>
      <c r="AT16" s="121">
        <f t="shared" si="10"/>
        <v>21520</v>
      </c>
      <c r="AU16" s="83">
        <v>0.9</v>
      </c>
      <c r="AV16" s="119">
        <f t="shared" si="11"/>
        <v>3.9398510294117575E-2</v>
      </c>
      <c r="AW16" s="120">
        <f t="shared" si="12"/>
        <v>9.2492235294117653E-2</v>
      </c>
      <c r="AX16" s="120">
        <f t="shared" si="13"/>
        <v>7.9315764705882363E-2</v>
      </c>
      <c r="AY16" s="120">
        <f t="shared" si="14"/>
        <v>0.85753971080561298</v>
      </c>
      <c r="AZ16" s="15">
        <f>MIN(IF($AU16=100%,1,1+VLOOKUP(($AJ16-$AI16-$AH16-$AG16-$AF16-$AE16*(1+AZ$3))/$AJ16,'Технический лист'!$A:$B,2,1)-VLOOKUP($AO16,'Технический лист'!$A:$B,2,1)),1+(1-$AU16))</f>
        <v>1.0300000000000002</v>
      </c>
      <c r="BA16" s="15">
        <f>MIN(IF($AU16=100%,1,1+VLOOKUP(($AJ16-$AI16-$AH16-$AG16-$AF16-$AE16*(1+BA$3))/$AJ16,'Технический лист'!$A:$B,2,1)-VLOOKUP($AO16,'Технический лист'!$A:$B,2,1)),1+(1-$AU16))</f>
        <v>1.0300000000000002</v>
      </c>
      <c r="BB16" s="15">
        <f>MIN(IF($AU16=100%,1,1+VLOOKUP(($AJ16-$AI16-$AH16-$AG16-$AF16-$AE16*(1+BB$3))/$AJ16,'Технический лист'!$A:$B,2,1)-VLOOKUP($AO16,'Технический лист'!$A:$B,2,1)),1+(1-$AU16))</f>
        <v>1.0300000000000002</v>
      </c>
      <c r="BC16" s="15">
        <f>MIN(IF($AU16=100%,1,1+VLOOKUP(($AJ16-$AI16-$AH16-$AG16-$AF16-$AE16*(1+BC$3))/$AJ16,'Технический лист'!$A:$B,2,1)-VLOOKUP($AO16,'Технический лист'!$A:$B,2,1)),1+(1-$AU16))</f>
        <v>1.0300000000000002</v>
      </c>
      <c r="BD16" s="15">
        <f>MIN(IF($AU16=100%,1,1+VLOOKUP(($AJ16-$AI16-$AH16-$AG16-$AF16-$AE16*(1+BD$3))/$AJ16,'Технический лист'!$A:$B,2,1)-VLOOKUP($AO16,'Технический лист'!$A:$B,2,1)),1+(1-$AU16))</f>
        <v>1.0300000000000002</v>
      </c>
      <c r="BE16" s="15">
        <f>MIN(IF($AU16=100%,1,1+VLOOKUP(($AJ16-$AI16-$AH16-$AG16-$AF16-$AE16*(1+BE$3))/$AJ16,'Технический лист'!$A:$B,2,1)-VLOOKUP($AO16,'Технический лист'!$A:$B,2,1)),1+(1-$AU16))</f>
        <v>1.0300000000000002</v>
      </c>
      <c r="BF16" s="15">
        <f>MIN(IF($AU16=100%,1,1+VLOOKUP(($AJ16-$AI16-$AH16-$AG16-$AF16-$AE16*(1+BF$3))/$AJ16,'Технический лист'!$A:$B,2,1)-VLOOKUP($AO16,'Технический лист'!$A:$B,2,1)),1+(1-$AU16))</f>
        <v>1.0300000000000002</v>
      </c>
      <c r="BG16" s="15">
        <f>MIN(IF($AU16=100%,1,1+VLOOKUP(($AJ16-$AI16-$AH16-$AG16-$AF16-$AE16*(1+BG$3))/$AJ16,'Технический лист'!$A:$B,2,1)-VLOOKUP($AO16,'Технический лист'!$A:$B,2,1)),1+(1-$AU16))</f>
        <v>1.0300000000000002</v>
      </c>
      <c r="BH16" s="15">
        <f>MIN(IF($AU16=100%,1,1+VLOOKUP(($AJ16-$AI16-$AH16-$AG16-$AF16-$AE16*(1+BH$3))/$AJ16,'Технический лист'!$A:$B,2,1)-VLOOKUP($AO16,'Технический лист'!$A:$B,2,1)),1+(1-$AU16))</f>
        <v>1.0300000000000002</v>
      </c>
      <c r="BI16" s="15">
        <f>MIN(IF($AU16=100%,1,1+VLOOKUP(($AJ16-$AI16-$AH16-$AG16-$AF16-$AE16*(1+BI$3))/$AJ16,'Технический лист'!$A:$B,2,1)-VLOOKUP($AO16,'Технический лист'!$A:$B,2,1)),1+(1-$AU16))</f>
        <v>1.0300000000000002</v>
      </c>
      <c r="BJ16" s="15">
        <f>MIN(IF($AU16=100%,1,1+VLOOKUP(($AJ16-$AI16-$AH16-$AG16-$AF16-$AE16*(1+BJ$3))/$AJ16,'Технический лист'!$A:$B,2,1)-VLOOKUP($AO16,'Технический лист'!$A:$B,2,1)),1+(1-$AU16))</f>
        <v>1.0249999999999999</v>
      </c>
      <c r="BK16" s="15">
        <f>MIN(IF($AU16=100%,1,1+VLOOKUP(($AJ16-$AI16-$AH16-$AG16-$AF16-$AE16*(1+BK$3))/$AJ16,'Технический лист'!$A:$B,2,1)-VLOOKUP($AO16,'Технический лист'!$A:$B,2,1)),1+(1-$AU16))</f>
        <v>1.0249999999999999</v>
      </c>
      <c r="BL16" s="15">
        <f>MIN(IF($AU16=100%,1,1+VLOOKUP(($AJ16-$AI16-$AH16-$AG16-$AF16-$AE16*(1+BL$3))/$AJ16,'Технический лист'!$A:$B,2,1)-VLOOKUP($AO16,'Технический лист'!$A:$B,2,1)),1+(1-$AU16))</f>
        <v>1.0249999999999999</v>
      </c>
      <c r="BM16" s="15">
        <f>MIN(IF($AU16=100%,1,1+VLOOKUP(($AJ16-$AI16-$AH16-$AG16-$AF16-$AE16*(1+BM$3))/$AJ16,'Технический лист'!$A:$B,2,1)-VLOOKUP($AO16,'Технический лист'!$A:$B,2,1)),1+(1-$AU16))</f>
        <v>1.0249999999999999</v>
      </c>
      <c r="BN16" s="15">
        <f>MIN(IF($AU16=100%,1,1+VLOOKUP(($AJ16-$AI16-$AH16-$AG16-$AF16-$AE16*(1+BN$3))/$AJ16,'Технический лист'!$A:$B,2,1)-VLOOKUP($AO16,'Технический лист'!$A:$B,2,1)),1+(1-$AU16))</f>
        <v>1.0249999999999999</v>
      </c>
      <c r="BO16" s="15">
        <f>MIN(IF($AU16=100%,1,1+VLOOKUP(($AJ16-$AI16-$AH16-$AG16-$AF16-$AE16*(1+BO$3))/$AJ16,'Технический лист'!$A:$B,2,1)-VLOOKUP($AO16,'Технический лист'!$A:$B,2,1)),1+(1-$AU16))</f>
        <v>1.0249999999999999</v>
      </c>
      <c r="BP16" s="15">
        <f>MIN(IF($AU16=100%,1,1+VLOOKUP(($AJ16-$AI16-$AH16-$AG16-$AF16-$AE16*(1+BP$3))/$AJ16,'Технический лист'!$A:$B,2,1)-VLOOKUP($AO16,'Технический лист'!$A:$B,2,1)),1+(1-$AU16))</f>
        <v>1.0249999999999999</v>
      </c>
      <c r="BQ16" s="15">
        <f>MIN(IF($AU16=100%,1,1+VLOOKUP(($AJ16-$AI16-$AH16-$AG16-$AF16-$AE16*(1+BQ$3))/$AJ16,'Технический лист'!$A:$B,2,1)-VLOOKUP($AO16,'Технический лист'!$A:$B,2,1)),1+(1-$AU16))</f>
        <v>1.0249999999999999</v>
      </c>
      <c r="BR16" s="15">
        <f>MIN(IF($AU16=100%,1,1+VLOOKUP(($AJ16-$AI16-$AH16-$AG16-$AF16-$AE16*(1+BR$3))/$AJ16,'Технический лист'!$A:$B,2,1)-VLOOKUP($AO16,'Технический лист'!$A:$B,2,1)),1+(1-$AU16))</f>
        <v>1.0249999999999999</v>
      </c>
      <c r="BS16" s="15">
        <f>MIN(IF($AU16=100%,1,1+VLOOKUP(($AJ16-$AI16-$AH16-$AG16-$AF16-$AE16*(1+BS$3))/$AJ16,'Технический лист'!$A:$B,2,1)-VLOOKUP($AO16,'Технический лист'!$A:$B,2,1)),1+(1-$AU16))</f>
        <v>1.0249999999999999</v>
      </c>
      <c r="BT16" s="15">
        <f>MIN(IF($AU16=100%,1,1+VLOOKUP(($AJ16-$AI16-$AH16-$AG16-$AF16-$AE16*(1+BT$3))/$AJ16,'Технический лист'!$A:$B,2,1)-VLOOKUP($AO16,'Технический лист'!$A:$B,2,1)),1+(1-$AU16))</f>
        <v>1.0249999999999999</v>
      </c>
      <c r="BU16" s="15">
        <f>MIN(IF($AU16=100%,1,1+VLOOKUP(($AJ16-$AI16-$AH16-$AG16-$AF16-$AE16*(1+BU$3))/$AJ16,'Технический лист'!$A:$B,2,1)-VLOOKUP($AO16,'Технический лист'!$A:$B,2,1)),1+(1-$AU16))</f>
        <v>1.0249999999999999</v>
      </c>
      <c r="BV16" s="15">
        <f>MIN(IF($AU16=100%,1,1+VLOOKUP(($AJ16-$AI16-$AH16-$AG16-$AF16-$AE16*(1+BV$3))/$AJ16,'Технический лист'!$A:$B,2,1)-VLOOKUP($AO16,'Технический лист'!$A:$B,2,1)),1+(1-$AU16))</f>
        <v>1.0249999999999999</v>
      </c>
      <c r="BW16" s="15">
        <f>MIN(IF($AU16=100%,1,1+VLOOKUP(($AJ16-$AI16-$AH16-$AG16-$AF16-$AE16*(1+BW$3))/$AJ16,'Технический лист'!$A:$B,2,1)-VLOOKUP($AO16,'Технический лист'!$A:$B,2,1)),1+(1-$AU16))</f>
        <v>1.0249999999999999</v>
      </c>
      <c r="BX16" s="15">
        <f>MIN(IF($AU16=100%,1,1+VLOOKUP(($AJ16-$AI16-$AH16-$AG16-$AF16-$AE16*(1+BX$3))/$AJ16,'Технический лист'!$A:$B,2,1)-VLOOKUP($AO16,'Технический лист'!$A:$B,2,1)),1+(1-$AU16))</f>
        <v>1.0249999999999999</v>
      </c>
      <c r="BY16" s="15">
        <f>MIN(IF($AU16=100%,1,1+VLOOKUP(($AJ16-$AI16-$AH16-$AG16-$AF16-$AE16*(1+BY$3))/$AJ16,'Технический лист'!$A:$B,2,1)-VLOOKUP($AO16,'Технический лист'!$A:$B,2,1)),1+(1-$AU16))</f>
        <v>1.0249999999999999</v>
      </c>
      <c r="BZ16" s="15">
        <f>MIN(IF($AU16=100%,1,1+VLOOKUP(($AJ16-$AI16-$AH16-$AG16-$AF16-$AE16*(1+BZ$3))/$AJ16,'Технический лист'!$A:$B,2,1)-VLOOKUP($AO16,'Технический лист'!$A:$B,2,1)),1+(1-$AU16))</f>
        <v>1.0249999999999999</v>
      </c>
      <c r="CA16" s="15">
        <f>MIN(IF($AU16=100%,1,1+VLOOKUP(($AJ16-$AI16-$AH16-$AG16-$AF16-$AE16*(1+CA$3))/$AJ16,'Технический лист'!$A:$B,2,1)-VLOOKUP($AO16,'Технический лист'!$A:$B,2,1)),1+(1-$AU16))</f>
        <v>1.0249999999999999</v>
      </c>
      <c r="CB16" s="15">
        <f>MIN(IF($AU16=100%,1,1+VLOOKUP(($AJ16-$AI16-$AH16-$AG16-$AF16-$AE16*(1+CB$3))/$AJ16,'Технический лист'!$A:$B,2,1)-VLOOKUP($AO16,'Технический лист'!$A:$B,2,1)),1+(1-$AU16))</f>
        <v>1.0249999999999999</v>
      </c>
      <c r="CC16" s="15">
        <f>MIN(IF($AU16=100%,1,1+VLOOKUP(($AJ16-$AI16-$AH16-$AG16-$AF16-$AE16*(1+CC$3))/$AJ16,'Технический лист'!$A:$B,2,1)-VLOOKUP($AO16,'Технический лист'!$A:$B,2,1)),1+(1-$AU16))</f>
        <v>1.0249999999999999</v>
      </c>
      <c r="CD16" s="15">
        <f>MIN(IF($AU16=100%,1,1+VLOOKUP(($AJ16-$AI16-$AH16-$AG16-$AF16-$AE16*(1+CD$3))/$AJ16,'Технический лист'!$A:$B,2,1)-VLOOKUP($AO16,'Технический лист'!$A:$B,2,1)),1+(1-$AU16))</f>
        <v>1.0249999999999999</v>
      </c>
      <c r="CE16" s="15">
        <f>MIN(IF($AU16=100%,1,1+VLOOKUP(($AJ16-$AI16-$AH16-$AG16-$AF16-$AE16*(1+CE$3))/$AJ16,'Технический лист'!$A:$B,2,1)-VLOOKUP($AO16,'Технический лист'!$A:$B,2,1)),1+(1-$AU16))</f>
        <v>1.0249999999999999</v>
      </c>
      <c r="CF16" s="15">
        <f>MIN(IF($AU16=100%,1,1+VLOOKUP(($AJ16-$AI16-$AH16-$AG16-$AF16-$AE16*(1+CF$3))/$AJ16,'Технический лист'!$A:$B,2,1)-VLOOKUP($AO16,'Технический лист'!$A:$B,2,1)),1+(1-$AU16))</f>
        <v>1.0249999999999999</v>
      </c>
      <c r="CG16" s="15">
        <f>MIN(IF($AU16=100%,1,1+VLOOKUP(($AJ16-$AI16-$AH16-$AG16-$AF16-$AE16*(1+CG$3))/$AJ16,'Технический лист'!$A:$B,2,1)-VLOOKUP($AO16,'Технический лист'!$A:$B,2,1)),1+(1-$AU16))</f>
        <v>1.0249999999999999</v>
      </c>
      <c r="CH16" s="15">
        <f>MIN(IF($AU16=100%,1,1+VLOOKUP(($AJ16-$AI16-$AH16-$AG16-$AF16-$AE16*(1+CH$3))/$AJ16,'Технический лист'!$A:$B,2,1)-VLOOKUP($AO16,'Технический лист'!$A:$B,2,1)),1+(1-$AU16))</f>
        <v>1.0249999999999999</v>
      </c>
      <c r="CI16" s="15">
        <f>MIN(IF($AU16=100%,1,1+VLOOKUP(($AJ16-$AI16-$AH16-$AG16-$AF16-$AE16*(1+CI$3))/$AJ16,'Технический лист'!$A:$B,2,1)-VLOOKUP($AO16,'Технический лист'!$A:$B,2,1)),1+(1-$AU16))</f>
        <v>1.0249999999999999</v>
      </c>
      <c r="CJ16" s="15">
        <f>MIN(IF($AU16=100%,1,1+VLOOKUP(($AJ16-$AI16-$AH16-$AG16-$AF16-$AE16*(1+CJ$3))/$AJ16,'Технический лист'!$A:$B,2,1)-VLOOKUP($AO16,'Технический лист'!$A:$B,2,1)),1+(1-$AU16))</f>
        <v>1.0249999999999999</v>
      </c>
      <c r="CK16" s="15">
        <f>MIN(IF($AU16=100%,1,1+VLOOKUP(($AJ16-$AI16-$AH16-$AG16-$AF16-$AE16*(1+CK$3))/$AJ16,'Технический лист'!$A:$B,2,1)-VLOOKUP($AO16,'Технический лист'!$A:$B,2,1)),1+(1-$AU16))</f>
        <v>1.0249999999999999</v>
      </c>
      <c r="CL16" s="15">
        <f>MIN(IF($AU16=100%,1,1+VLOOKUP(($AJ16-$AI16-$AH16-$AG16-$AF16-$AE16*(1+CL$3))/$AJ16,'Технический лист'!$A:$B,2,1)-VLOOKUP($AO16,'Технический лист'!$A:$B,2,1)),1+(1-$AU16))</f>
        <v>1.0249999999999999</v>
      </c>
      <c r="CM16" s="15">
        <f>MIN(IF($AU16=100%,1,1+VLOOKUP(($AJ16-$AI16-$AH16-$AG16-$AF16-$AE16*(1+CM$3))/$AJ16,'Технический лист'!$A:$B,2,1)-VLOOKUP($AO16,'Технический лист'!$A:$B,2,1)),1+(1-$AU16))</f>
        <v>1.0249999999999999</v>
      </c>
      <c r="CN16" s="15">
        <f>MIN(IF($AU16=100%,1,1+VLOOKUP(($AJ16-$AI16-$AH16-$AG16-$AF16-$AE16*(1+CN$3))/$AJ16,'Технический лист'!$A:$B,2,1)-VLOOKUP($AO16,'Технический лист'!$A:$B,2,1)),1+(1-$AU16))</f>
        <v>1.0249999999999999</v>
      </c>
      <c r="CO16" s="15">
        <f>MIN(IF($AU16=100%,1,1+VLOOKUP(($AJ16-$AI16-$AH16-$AG16-$AF16-$AE16*(1+CO$3))/$AJ16,'Технический лист'!$A:$B,2,1)-VLOOKUP($AO16,'Технический лист'!$A:$B,2,1)),1+(1-$AU16))</f>
        <v>1.0249999999999999</v>
      </c>
      <c r="CP16" s="15">
        <f>MIN(IF($AU16=100%,1,1+VLOOKUP(($AJ16-$AI16-$AH16-$AG16-$AF16-$AE16*(1+CP$3))/$AJ16,'Технический лист'!$A:$B,2,1)-VLOOKUP($AO16,'Технический лист'!$A:$B,2,1)),1+(1-$AU16))</f>
        <v>1.0249999999999999</v>
      </c>
      <c r="CQ16" s="15">
        <f>MIN(IF($AU16=100%,1,1+VLOOKUP(($AJ16-$AI16-$AH16-$AG16-$AF16-$AE16*(1+CQ$3))/$AJ16,'Технический лист'!$A:$B,2,1)-VLOOKUP($AO16,'Технический лист'!$A:$B,2,1)),1+(1-$AU16))</f>
        <v>1.0249999999999999</v>
      </c>
      <c r="CR16" s="15">
        <f>MIN(IF($AU16=100%,1,1+VLOOKUP(($AJ16-$AI16-$AH16-$AG16-$AF16-$AE16*(1+CR$3))/$AJ16,'Технический лист'!$A:$B,2,1)-VLOOKUP($AO16,'Технический лист'!$A:$B,2,1)),1+(1-$AU16))</f>
        <v>1.0249999999999999</v>
      </c>
      <c r="CS16" s="15">
        <f>MIN(IF($AU16=100%,1,1+VLOOKUP(($AJ16-$AI16-$AH16-$AG16-$AF16-$AE16*(1+CS$3))/$AJ16,'Технический лист'!$A:$B,2,1)-VLOOKUP($AO16,'Технический лист'!$A:$B,2,1)),1+(1-$AU16))</f>
        <v>1.0249999999999999</v>
      </c>
      <c r="CT16" s="15">
        <f>MIN(IF($AU16=100%,1,1+VLOOKUP(($AJ16-$AI16-$AH16-$AG16-$AF16-$AE16*(1+CT$3))/$AJ16,'Технический лист'!$A:$B,2,1)-VLOOKUP($AO16,'Технический лист'!$A:$B,2,1)),1+(1-$AU16))</f>
        <v>1.0249999999999999</v>
      </c>
      <c r="CU16" s="15">
        <f>MIN(IF($AU16=100%,1,1+VLOOKUP(($AJ16-$AI16-$AH16-$AG16-$AF16-$AE16*(1+CU$3))/$AJ16,'Технический лист'!$A:$B,2,1)-VLOOKUP($AO16,'Технический лист'!$A:$B,2,1)),1+(1-$AU16))</f>
        <v>1.0249999999999999</v>
      </c>
      <c r="CV16" s="15">
        <f>MIN(IF($AU16=100%,1,1+VLOOKUP(($AJ16-$AI16-$AH16-$AG16-$AF16-$AE16*(1+CV$3))/$AJ16,'Технический лист'!$A:$B,2,1)-VLOOKUP($AO16,'Технический лист'!$A:$B,2,1)),1+(1-$AU16))</f>
        <v>1.0249999999999999</v>
      </c>
      <c r="CW16" s="15">
        <f>MIN(IF($AU16=100%,1,1+VLOOKUP(($AJ16-$AI16-$AH16-$AG16-$AF16-$AE16*(1+CW$3))/$AJ16,'Технический лист'!$A:$B,2,1)-VLOOKUP($AO16,'Технический лист'!$A:$B,2,1)),1+(1-$AU16))</f>
        <v>1.0249999999999999</v>
      </c>
      <c r="CX16" s="15">
        <f>MIN(IF($AU16=100%,1,1+VLOOKUP(($AJ16-$AI16-$AH16-$AG16-$AF16-$AE16*(1+CX$3))/$AJ16,'Технический лист'!$A:$B,2,1)-VLOOKUP($AO16,'Технический лист'!$A:$B,2,1)),1+(1-$AU16))</f>
        <v>1.0249999999999999</v>
      </c>
      <c r="CY16" s="15">
        <f>MIN(IF($AU16=100%,1,1+VLOOKUP(($AJ16-$AI16-$AH16-$AG16-$AF16-$AE16*(1+CY$3))/$AJ16,'Технический лист'!$A:$B,2,1)-VLOOKUP($AO16,'Технический лист'!$A:$B,2,1)),1+(1-$AU16))</f>
        <v>1.0249999999999999</v>
      </c>
      <c r="CZ16" s="15">
        <f>MIN(IF($AU16=100%,1,1+VLOOKUP(($AJ16-$AI16-$AH16-$AG16-$AF16-$AE16*(1+CZ$3))/$AJ16,'Технический лист'!$A:$B,2,1)-VLOOKUP($AO16,'Технический лист'!$A:$B,2,1)),1+(1-$AU16))</f>
        <v>1.0249999999999999</v>
      </c>
      <c r="DA16" s="15">
        <f>MIN(IF($AU16=100%,1,1+VLOOKUP(($AJ16-$AI16-$AH16-$AG16-$AF16-$AE16*(1+DA$3))/$AJ16,'Технический лист'!$A:$B,2,1)-VLOOKUP($AO16,'Технический лист'!$A:$B,2,1)),1+(1-$AU16))</f>
        <v>1.0249999999999999</v>
      </c>
      <c r="DB16" s="15">
        <f>MIN(IF($AU16=100%,1,1+VLOOKUP(($AJ16-$AI16-$AH16-$AG16-$AF16-$AE16*(1+DB$3))/$AJ16,'Технический лист'!$A:$B,2,1)-VLOOKUP($AO16,'Технический лист'!$A:$B,2,1)),1+(1-$AU16))</f>
        <v>1.0249999999999999</v>
      </c>
      <c r="DC16" s="15">
        <f>MIN(IF($AU16=100%,1,1+VLOOKUP(($AJ16-$AI16-$AH16-$AG16-$AF16-$AE16*(1+DC$3))/$AJ16,'Технический лист'!$A:$B,2,1)-VLOOKUP($AO16,'Технический лист'!$A:$B,2,1)),1+(1-$AU16))</f>
        <v>1.0249999999999999</v>
      </c>
      <c r="DD16" s="15">
        <f>MIN(IF($AU16=100%,1,1+VLOOKUP(($AJ16-$AI16-$AH16-$AG16-$AF16-$AE16*(1+DD$3))/$AJ16,'Технический лист'!$A:$B,2,1)-VLOOKUP($AO16,'Технический лист'!$A:$B,2,1)),1+(1-$AU16))</f>
        <v>1.0249999999999999</v>
      </c>
      <c r="DE16" s="15">
        <f>MIN(IF($AU16=100%,1,1+VLOOKUP(($AJ16-$AI16-$AH16-$AG16-$AF16-$AE16*(1+DE$3))/$AJ16,'Технический лист'!$A:$B,2,1)-VLOOKUP($AO16,'Технический лист'!$A:$B,2,1)),1+(1-$AU16))</f>
        <v>1.0249999999999999</v>
      </c>
      <c r="DF16" s="15">
        <f>MIN(IF($AU16=100%,1,1+VLOOKUP(($AJ16-$AI16-$AH16-$AG16-$AF16-$AE16*(1+DF$3))/$AJ16,'Технический лист'!$A:$B,2,1)-VLOOKUP($AO16,'Технический лист'!$A:$B,2,1)),1+(1-$AU16))</f>
        <v>1.0249999999999999</v>
      </c>
      <c r="DG16" s="15">
        <f>MIN(IF($AU16=100%,1,1+VLOOKUP(($AJ16-$AI16-$AH16-$AG16-$AF16-$AE16*(1+DG$3))/$AJ16,'Технический лист'!$A:$B,2,1)-VLOOKUP($AO16,'Технический лист'!$A:$B,2,1)),1+(1-$AU16))</f>
        <v>1.0249999999999999</v>
      </c>
      <c r="DH16" s="15">
        <f>MIN(IF($AU16=100%,1,1+VLOOKUP(($AJ16-$AI16-$AH16-$AG16-$AF16-$AE16*(1+DH$3))/$AJ16,'Технический лист'!$A:$B,2,1)-VLOOKUP($AO16,'Технический лист'!$A:$B,2,1)),1+(1-$AU16))</f>
        <v>1.0249999999999999</v>
      </c>
      <c r="DI16" s="15">
        <f>MIN(IF($AU16=100%,1,1+VLOOKUP(($AJ16-$AI16-$AH16-$AG16-$AF16-$AE16*(1+DI$3))/$AJ16,'Технический лист'!$A:$B,2,1)-VLOOKUP($AO16,'Технический лист'!$A:$B,2,1)),1+(1-$AU16))</f>
        <v>1.0249999999999999</v>
      </c>
      <c r="DJ16" s="15">
        <f>MIN(IF($AU16=100%,1,1+VLOOKUP(($AJ16-$AI16-$AH16-$AG16-$AF16-$AE16*(1+DJ$3))/$AJ16,'Технический лист'!$A:$B,2,1)-VLOOKUP($AO16,'Технический лист'!$A:$B,2,1)),1+(1-$AU16))</f>
        <v>1.0249999999999999</v>
      </c>
      <c r="DK16" s="15">
        <f>MIN(IF($AU16=100%,1,1+VLOOKUP(($AJ16-$AI16-$AH16-$AG16-$AF16-$AE16*(1+DK$3))/$AJ16,'Технический лист'!$A:$B,2,1)-VLOOKUP($AO16,'Технический лист'!$A:$B,2,1)),1+(1-$AU16))</f>
        <v>1.0249999999999999</v>
      </c>
      <c r="DL16" s="15">
        <f>MIN(IF($AU16=100%,1,1+VLOOKUP(($AJ16-$AI16-$AH16-$AG16-$AF16-$AE16*(1+DL$3))/$AJ16,'Технический лист'!$A:$B,2,1)-VLOOKUP($AO16,'Технический лист'!$A:$B,2,1)),1+(1-$AU16))</f>
        <v>1.0249999999999999</v>
      </c>
      <c r="DM16" s="15">
        <f>MIN(IF($AU16=100%,1,1+VLOOKUP(($AJ16-$AI16-$AH16-$AG16-$AF16-$AE16*(1+DM$3))/$AJ16,'Технический лист'!$A:$B,2,1)-VLOOKUP($AO16,'Технический лист'!$A:$B,2,1)),1+(1-$AU16))</f>
        <v>1.0249999999999999</v>
      </c>
      <c r="DN16" s="15">
        <f>MIN(IF($AU16=100%,1,1+VLOOKUP(($AJ16-$AI16-$AH16-$AG16-$AF16-$AE16*(1+DN$3))/$AJ16,'Технический лист'!$A:$B,2,1)-VLOOKUP($AO16,'Технический лист'!$A:$B,2,1)),1+(1-$AU16))</f>
        <v>1.0249999999999999</v>
      </c>
      <c r="DO16" s="15">
        <f>MIN(IF($AU16=100%,1,1+VLOOKUP(($AJ16-$AI16-$AH16-$AG16-$AF16-$AE16*(1+DO$3))/$AJ16,'Технический лист'!$A:$B,2,1)-VLOOKUP($AO16,'Технический лист'!$A:$B,2,1)),1+(1-$AU16))</f>
        <v>1.0249999999999999</v>
      </c>
      <c r="DP16" s="15">
        <f>MIN(IF($AU16=100%,1,1+VLOOKUP(($AJ16-$AI16-$AH16-$AG16-$AF16-$AE16*(1+DP$3))/$AJ16,'Технический лист'!$A:$B,2,1)-VLOOKUP($AO16,'Технический лист'!$A:$B,2,1)),1+(1-$AU16))</f>
        <v>1.0249999999999999</v>
      </c>
      <c r="DQ16" s="15">
        <f>MIN(IF($AU16=100%,1,1+VLOOKUP(($AJ16-$AI16-$AH16-$AG16-$AF16-$AE16*(1+DQ$3))/$AJ16,'Технический лист'!$A:$B,2,1)-VLOOKUP($AO16,'Технический лист'!$A:$B,2,1)),1+(1-$AU16))</f>
        <v>1.0249999999999999</v>
      </c>
      <c r="DR16" s="15">
        <f>MIN(IF($AU16=100%,1,1+VLOOKUP(($AJ16-$AI16-$AH16-$AG16-$AF16-$AE16*(1+DR$3))/$AJ16,'Технический лист'!$A:$B,2,1)-VLOOKUP($AO16,'Технический лист'!$A:$B,2,1)),1+(1-$AU16))</f>
        <v>1.0249999999999999</v>
      </c>
      <c r="DS16" s="15">
        <f>MIN(IF($AU16=100%,1,1+VLOOKUP(($AJ16-$AI16-$AH16-$AG16-$AF16-$AE16*(1+DS$3))/$AJ16,'Технический лист'!$A:$B,2,1)-VLOOKUP($AO16,'Технический лист'!$A:$B,2,1)),1+(1-$AU16))</f>
        <v>1.0249999999999999</v>
      </c>
      <c r="DT16" s="15">
        <f>MIN(IF($AU16=100%,1,1+VLOOKUP(($AJ16-$AI16-$AH16-$AG16-$AF16-$AE16*(1+DT$3))/$AJ16,'Технический лист'!$A:$B,2,1)-VLOOKUP($AO16,'Технический лист'!$A:$B,2,1)),1+(1-$AU16))</f>
        <v>1.0249999999999999</v>
      </c>
      <c r="DU16" s="15">
        <f>MIN(IF($AU16=100%,1,1+VLOOKUP(($AJ16-$AI16-$AH16-$AG16-$AF16-$AE16*(1+DU$3))/$AJ16,'Технический лист'!$A:$B,2,1)-VLOOKUP($AO16,'Технический лист'!$A:$B,2,1)),1+(1-$AU16))</f>
        <v>1.0249999999999999</v>
      </c>
      <c r="DV16" s="15">
        <f>MIN(IF($AU16=100%,1,1+VLOOKUP(($AJ16-$AI16-$AH16-$AG16-$AF16-$AE16*(1+DV$3))/$AJ16,'Технический лист'!$A:$B,2,1)-VLOOKUP($AO16,'Технический лист'!$A:$B,2,1)),1+(1-$AU16))</f>
        <v>1.0249999999999999</v>
      </c>
      <c r="DW16" s="15">
        <f>MIN(IF($AU16=100%,1,1+VLOOKUP(($AJ16-$AI16-$AH16-$AG16-$AF16-$AE16*(1+DW$3))/$AJ16,'Технический лист'!$A:$B,2,1)-VLOOKUP($AO16,'Технический лист'!$A:$B,2,1)),1+(1-$AU16))</f>
        <v>1.0249999999999999</v>
      </c>
      <c r="DX16" s="15">
        <f>MIN(IF($AU16=100%,1,1+VLOOKUP(($AJ16-$AI16-$AH16-$AG16-$AF16-$AE16*(1+DX$3))/$AJ16,'Технический лист'!$A:$B,2,1)-VLOOKUP($AO16,'Технический лист'!$A:$B,2,1)),1+(1-$AU16))</f>
        <v>1.0249999999999999</v>
      </c>
      <c r="DY16" s="15">
        <f>MIN(IF($AU16=100%,1,1+VLOOKUP(($AJ16-$AI16-$AH16-$AG16-$AF16-$AE16*(1+DY$3))/$AJ16,'Технический лист'!$A:$B,2,1)-VLOOKUP($AO16,'Технический лист'!$A:$B,2,1)),1+(1-$AU16))</f>
        <v>1.0249999999999999</v>
      </c>
      <c r="DZ16" s="15">
        <f>MIN(IF($AU16=100%,1,1+VLOOKUP(($AJ16-$AI16-$AH16-$AG16-$AF16-$AE16*(1+DZ$3))/$AJ16,'Технический лист'!$A:$B,2,1)-VLOOKUP($AO16,'Технический лист'!$A:$B,2,1)),1+(1-$AU16))</f>
        <v>1.0249999999999999</v>
      </c>
      <c r="EA16" s="15">
        <f>MIN(IF($AU16=100%,1,1+VLOOKUP(($AJ16-$AI16-$AH16-$AG16-$AF16-$AE16*(1+EA$3))/$AJ16,'Технический лист'!$A:$B,2,1)-VLOOKUP($AO16,'Технический лист'!$A:$B,2,1)),1+(1-$AU16))</f>
        <v>1.0249999999999999</v>
      </c>
      <c r="EB16" s="15">
        <f>MIN(IF($AU16=100%,1,1+VLOOKUP(($AJ16-$AI16-$AH16-$AG16-$AF16-$AE16*(1+EB$3))/$AJ16,'Технический лист'!$A:$B,2,1)-VLOOKUP($AO16,'Технический лист'!$A:$B,2,1)),1+(1-$AU16))</f>
        <v>1.0249999999999999</v>
      </c>
      <c r="EC16" s="15">
        <f>MIN(IF($AU16=100%,1,1+VLOOKUP(($AJ16-$AI16-$AH16-$AG16-$AF16-$AE16*(1+EC$3))/$AJ16,'Технический лист'!$A:$B,2,1)-VLOOKUP($AO16,'Технический лист'!$A:$B,2,1)),1+(1-$AU16))</f>
        <v>1.0249999999999999</v>
      </c>
      <c r="ED16" s="15">
        <f>MIN(IF($AU16=100%,1,1+VLOOKUP(($AJ16-$AI16-$AH16-$AG16-$AF16-$AE16*(1+ED$3))/$AJ16,'Технический лист'!$A:$B,2,1)-VLOOKUP($AO16,'Технический лист'!$A:$B,2,1)),1+(1-$AU16))</f>
        <v>1.0249999999999999</v>
      </c>
      <c r="EE16" s="15">
        <f>MIN(IF($AU16=100%,1,1+VLOOKUP(($AJ16-$AI16-$AH16-$AG16-$AF16-$AE16*(1+EE$3))/$AJ16,'Технический лист'!$A:$B,2,1)-VLOOKUP($AO16,'Технический лист'!$A:$B,2,1)),1+(1-$AU16))</f>
        <v>1.0249999999999999</v>
      </c>
      <c r="EF16" s="15">
        <f>MIN(IF($AU16=100%,1,1+VLOOKUP(($AJ16-$AI16-$AH16-$AG16-$AF16-$AE16*(1+EF$3))/$AJ16,'Технический лист'!$A:$B,2,1)-VLOOKUP($AO16,'Технический лист'!$A:$B,2,1)),1+(1-$AU16))</f>
        <v>1.0249999999999999</v>
      </c>
      <c r="EG16" s="15">
        <f>MIN(IF($AU16=100%,1,1+VLOOKUP(($AJ16-$AI16-$AH16-$AG16-$AF16-$AE16*(1+EG$3))/$AJ16,'Технический лист'!$A:$B,2,1)-VLOOKUP($AO16,'Технический лист'!$A:$B,2,1)),1+(1-$AU16))</f>
        <v>1.0249999999999999</v>
      </c>
      <c r="EH16" s="15">
        <f>MIN(IF($AU16=100%,1,1+VLOOKUP(($AJ16-$AI16-$AH16-$AG16-$AF16-$AE16*(1+EH$3))/$AJ16,'Технический лист'!$A:$B,2,1)-VLOOKUP($AO16,'Технический лист'!$A:$B,2,1)),1+(1-$AU16))</f>
        <v>1.0249999999999999</v>
      </c>
      <c r="EI16" s="15">
        <f>MIN(IF($AU16=100%,1,1+VLOOKUP(($AJ16-$AI16-$AH16-$AG16-$AF16-$AE16*(1+EI$3))/$AJ16,'Технический лист'!$A:$B,2,1)-VLOOKUP($AO16,'Технический лист'!$A:$B,2,1)),1+(1-$AU16))</f>
        <v>1.0249999999999999</v>
      </c>
      <c r="EJ16" s="15">
        <f>MIN(IF($AU16=100%,1,1+VLOOKUP(($AJ16-$AI16-$AH16-$AG16-$AF16-$AE16*(1+EJ$3))/$AJ16,'Технический лист'!$A:$B,2,1)-VLOOKUP($AO16,'Технический лист'!$A:$B,2,1)),1+(1-$AU16))</f>
        <v>1.0249999999999999</v>
      </c>
      <c r="EK16" s="15">
        <f>MIN(IF($AU16=100%,1,1+VLOOKUP(($AJ16-$AI16-$AH16-$AG16-$AF16-$AE16*(1+EK$3))/$AJ16,'Технический лист'!$A:$B,2,1)-VLOOKUP($AO16,'Технический лист'!$A:$B,2,1)),1+(1-$AU16))</f>
        <v>1.0249999999999999</v>
      </c>
      <c r="EL16" s="15">
        <f>MIN(IF($AU16=100%,1,1+VLOOKUP(($AJ16-$AI16-$AH16-$AG16-$AF16-$AE16*(1+EL$3))/$AJ16,'Технический лист'!$A:$B,2,1)-VLOOKUP($AO16,'Технический лист'!$A:$B,2,1)),1+(1-$AU16))</f>
        <v>1.0249999999999999</v>
      </c>
      <c r="EM16" s="15">
        <f>MIN(IF($AU16=100%,1,1+VLOOKUP(($AJ16-$AI16-$AH16-$AG16-$AF16-$AE16*(1+EM$3))/$AJ16,'Технический лист'!$A:$B,2,1)-VLOOKUP($AO16,'Технический лист'!$A:$B,2,1)),1+(1-$AU16))</f>
        <v>1.0249999999999999</v>
      </c>
      <c r="EN16" s="15">
        <f>MIN(IF($AU16=100%,1,1+VLOOKUP(($AJ16-$AI16-$AH16-$AG16-$AF16-$AE16*(1+EN$3))/$AJ16,'Технический лист'!$A:$B,2,1)-VLOOKUP($AO16,'Технический лист'!$A:$B,2,1)),1+(1-$AU16))</f>
        <v>1.0249999999999999</v>
      </c>
      <c r="EO16" s="15">
        <f>MIN(IF($AU16=100%,1,1+VLOOKUP(($AJ16-$AI16-$AH16-$AG16-$AF16-$AE16*(1+EO$3))/$AJ16,'Технический лист'!$A:$B,2,1)-VLOOKUP($AO16,'Технический лист'!$A:$B,2,1)),1+(1-$AU16))</f>
        <v>1.0249999999999999</v>
      </c>
      <c r="EP16" s="15">
        <f>MIN(IF($AU16=100%,1,1+VLOOKUP(($AJ16-$AI16-$AH16-$AG16-$AF16-$AE16*(1+EP$3))/$AJ16,'Технический лист'!$A:$B,2,1)-VLOOKUP($AO16,'Технический лист'!$A:$B,2,1)),1+(1-$AU16))</f>
        <v>1.0249999999999999</v>
      </c>
      <c r="EQ16" s="15">
        <f>MIN(IF($AU16=100%,1,1+VLOOKUP(($AJ16-$AI16-$AH16-$AG16-$AF16-$AE16*(1+EQ$3))/$AJ16,'Технический лист'!$A:$B,2,1)-VLOOKUP($AO16,'Технический лист'!$A:$B,2,1)),1+(1-$AU16))</f>
        <v>1</v>
      </c>
      <c r="ER16" s="15">
        <f>MIN(IF($AU16=100%,1,1+VLOOKUP(($AJ16-$AI16-$AH16-$AG16-$AF16-$AE16*(1+ER$3))/$AJ16,'Технический лист'!$A:$B,2,1)-VLOOKUP($AO16,'Технический лист'!$A:$B,2,1)),1+(1-$AU16))</f>
        <v>1</v>
      </c>
      <c r="ES16" s="15">
        <f>MIN(IF($AU16=100%,1,1+VLOOKUP(($AJ16-$AI16-$AH16-$AG16-$AF16-$AE16*(1+ES$3))/$AJ16,'Технический лист'!$A:$B,2,1)-VLOOKUP($AO16,'Технический лист'!$A:$B,2,1)),1+(1-$AU16))</f>
        <v>1</v>
      </c>
      <c r="ET16" s="15">
        <f>MIN(IF($AU16=100%,1,1+VLOOKUP(($AJ16-$AI16-$AH16-$AG16-$AF16-$AE16*(1+ET$3))/$AJ16,'Технический лист'!$A:$B,2,1)-VLOOKUP($AO16,'Технический лист'!$A:$B,2,1)),1+(1-$AU16))</f>
        <v>1</v>
      </c>
      <c r="EU16" s="15">
        <f>MIN(IF($AU16=100%,1,1+VLOOKUP(($AJ16-$AI16-$AH16-$AG16-$AF16-$AE16*(1+EU$3))/$AJ16,'Технический лист'!$A:$B,2,1)-VLOOKUP($AO16,'Технический лист'!$A:$B,2,1)),1+(1-$AU16))</f>
        <v>1</v>
      </c>
      <c r="EV16" s="111">
        <v>1</v>
      </c>
      <c r="EW16" s="15">
        <f>MIN(1,MAX(VLOOKUP(($AJ16-$AI16-$AH16-$AG16-$AF16-$AE16*(1+EW$3))/$AJ16,'Технический лист'!$A:$B,2,1),(EV16-0.05)))</f>
        <v>1</v>
      </c>
      <c r="EX16" s="15">
        <f>MIN(1,MAX(VLOOKUP(($AJ16-$AI16-$AH16-$AG16-$AF16-$AE16*(1+EX$3))/$AJ16,'Технический лист'!$A:$B,2,1),(EW16-0.05)))</f>
        <v>1</v>
      </c>
      <c r="EY16" s="15">
        <f>MIN(1,MAX(VLOOKUP(($AJ16-$AI16-$AH16-$AG16-$AF16-$AE16*(1+EY$3))/$AJ16,'Технический лист'!$A:$B,2,1),(EX16-0.05)))</f>
        <v>1</v>
      </c>
      <c r="EZ16" s="15">
        <f>MIN(1,MAX(VLOOKUP(($AJ16-$AI16-$AH16-$AG16-$AF16-$AE16*(1+EZ$3))/$AJ16,'Технический лист'!$A:$B,2,1),(EY16-0.05)))</f>
        <v>1</v>
      </c>
      <c r="FA16" s="15">
        <f>MIN(1,MAX(VLOOKUP(($AJ16-$AI16-$AH16-$AG16-$AF16-$AE16*(1+FA$3))/$AJ16,'Технический лист'!$A:$B,2,1),(EZ16-0.05)))</f>
        <v>1</v>
      </c>
      <c r="FB16" s="15">
        <f>MIN(1,MAX(VLOOKUP(($AJ16-$AI16-$AH16-$AG16-$AF16-$AE16*(1+FB$3))/$AJ16,'Технический лист'!$A:$B,2,1),(FA16-0.05)))</f>
        <v>1</v>
      </c>
      <c r="FC16" s="15">
        <f>MIN(1,MAX(VLOOKUP(($AJ16-$AI16-$AH16-$AG16-$AF16-$AE16*(1+FC$3))/$AJ16,'Технический лист'!$A:$B,2,1),(FB16-0.05)))</f>
        <v>1</v>
      </c>
      <c r="FD16" s="15">
        <f>MIN(1,MAX(VLOOKUP(($AJ16-$AI16-$AH16-$AG16-$AF16-$AE16*(1+FD$3))/$AJ16,'Технический лист'!$A:$B,2,1),(FC16-0.05)))</f>
        <v>1</v>
      </c>
      <c r="FE16" s="15">
        <f>MIN(1,MAX(VLOOKUP(($AJ16-$AI16-$AH16-$AG16-$AF16-$AE16*(1+FE$3))/$AJ16,'Технический лист'!$A:$B,2,1),(FD16-0.05)))</f>
        <v>1</v>
      </c>
      <c r="FF16" s="15">
        <f>MIN(1,MAX(VLOOKUP(($AJ16-$AI16-$AH16-$AG16-$AF16-$AE16*(1+FF$3))/$AJ16,'Технический лист'!$A:$B,2,1),(FE16-0.05)))</f>
        <v>1</v>
      </c>
      <c r="FG16" s="15">
        <f>MIN(1,MAX(VLOOKUP(($AJ16-$AI16-$AH16-$AG16-$AF16-$AE16*(1+FG$3))/$AJ16,'Технический лист'!$A:$B,2,1),(FF16-0.05)))</f>
        <v>1</v>
      </c>
      <c r="FH16" s="15">
        <f>MIN(1,MAX(VLOOKUP(($AJ16-$AI16-$AH16-$AG16-$AF16-$AE16*(1+FH$3))/$AJ16,'Технический лист'!$A:$B,2,1),(FG16-0.05)))</f>
        <v>1</v>
      </c>
      <c r="FI16" s="15">
        <f>MIN(1,MAX(VLOOKUP(($AJ16-$AI16-$AH16-$AG16-$AF16-$AE16*(1+FI$3))/$AJ16,'Технический лист'!$A:$B,2,1),(FH16-0.05)))</f>
        <v>1</v>
      </c>
      <c r="FJ16" s="15">
        <f>MIN(1,MAX(VLOOKUP(($AJ16-$AI16-$AH16-$AG16-$AF16-$AE16*(1+FJ$3))/$AJ16,'Технический лист'!$A:$B,2,1),(FI16-0.05)))</f>
        <v>1</v>
      </c>
      <c r="FK16" s="15">
        <f>MIN(1,MAX(VLOOKUP(($AJ16-$AI16-$AH16-$AG16-$AF16-$AE16*(1+FK$3))/$AJ16,'Технический лист'!$A:$B,2,1),(FJ16-0.05)))</f>
        <v>1</v>
      </c>
      <c r="FL16" s="15">
        <f>MIN(1,MAX(VLOOKUP(($AJ16-$AI16-$AH16-$AG16-$AF16-$AE16*(1+FL$3))/$AJ16,'Технический лист'!$A:$B,2,1),(FK16-0.05)))</f>
        <v>1</v>
      </c>
      <c r="FM16" s="15">
        <f>MIN(1,MAX(VLOOKUP(($AJ16-$AI16-$AH16-$AG16-$AF16-$AE16*(1+FM$3))/$AJ16,'Технический лист'!$A:$B,2,1),(FL16-0.05)))</f>
        <v>1</v>
      </c>
      <c r="FN16" s="15">
        <f>MIN(1,MAX(VLOOKUP(($AJ16-$AI16-$AH16-$AG16-$AF16-$AE16*(1+FN$3))/$AJ16,'Технический лист'!$A:$B,2,1),(FM16-0.05)))</f>
        <v>1</v>
      </c>
      <c r="FO16" s="15">
        <f>MIN(1,MAX(VLOOKUP(($AJ16-$AI16-$AH16-$AG16-$AF16-$AE16*(1+FO$3))/$AJ16,'Технический лист'!$A:$B,2,1),(FN16-0.05)))</f>
        <v>1</v>
      </c>
      <c r="FP16" s="15">
        <f>MIN(1,MAX(VLOOKUP(($AJ16-$AI16-$AH16-$AG16-$AF16-$AE16*(1+FP$3))/$AJ16,'Технический лист'!$A:$B,2,1),(FO16-0.05)))</f>
        <v>1</v>
      </c>
      <c r="FQ16" s="15">
        <f>MIN(1,MAX(VLOOKUP(($AJ16-$AI16-$AH16-$AG16-$AF16-$AE16*(1+FQ$3))/$AJ16,'Технический лист'!$A:$B,2,1),(FP16-0.05)))</f>
        <v>1</v>
      </c>
      <c r="FR16" s="15">
        <f>MIN(1,MAX(VLOOKUP(($AJ16-$AI16-$AH16-$AG16-$AF16-$AE16*(1+FR$3))/$AJ16,'Технический лист'!$A:$B,2,1),(FQ16-0.05)))</f>
        <v>1</v>
      </c>
      <c r="FS16" s="15">
        <f>MIN(1,MAX(VLOOKUP(($AJ16-$AI16-$AH16-$AG16-$AF16-$AE16*(1+FS$3))/$AJ16,'Технический лист'!$A:$B,2,1),(FR16-0.05)))</f>
        <v>1</v>
      </c>
      <c r="FT16" s="15">
        <f>MIN(1,MAX(VLOOKUP(($AJ16-$AI16-$AH16-$AG16-$AF16-$AE16*(1+FT$3))/$AJ16,'Технический лист'!$A:$B,2,1),(FS16-0.05)))</f>
        <v>1</v>
      </c>
      <c r="FU16" s="15">
        <f>MIN(1,MAX(VLOOKUP(($AJ16-$AI16-$AH16-$AG16-$AF16-$AE16*(1+FU$3))/$AJ16,'Технический лист'!$A:$B,2,1),(FT16-0.05)))</f>
        <v>1</v>
      </c>
      <c r="FV16" s="15">
        <f>MIN(1,MAX(VLOOKUP(($AJ16-$AI16-$AH16-$AG16-$AF16-$AE16*(1+FV$3))/$AJ16,'Технический лист'!$A:$B,2,1),(FU16-0.05)))</f>
        <v>1</v>
      </c>
      <c r="FW16" s="15">
        <f>MIN(1,MAX(VLOOKUP(($AJ16-$AI16-$AH16-$AG16-$AF16-$AE16*(1+FW$3))/$AJ16,'Технический лист'!$A:$B,2,1),(FV16-0.05)))</f>
        <v>1</v>
      </c>
      <c r="FX16" s="15">
        <f>MIN(1,MAX(VLOOKUP(($AJ16-$AI16-$AH16-$AG16-$AF16-$AE16*(1+FX$3))/$AJ16,'Технический лист'!$A:$B,2,1),(FW16-0.05)))</f>
        <v>1</v>
      </c>
      <c r="FY16" s="15">
        <f>MIN(1,MAX(VLOOKUP(($AJ16-$AI16-$AH16-$AG16-$AF16-$AE16*(1+FY$3))/$AJ16,'Технический лист'!$A:$B,2,1),(FX16-0.05)))</f>
        <v>1</v>
      </c>
      <c r="FZ16" s="15">
        <f>MIN(1,MAX(VLOOKUP(($AJ16-$AI16-$AH16-$AG16-$AF16-$AE16*(1+FZ$3))/$AJ16,'Технический лист'!$A:$B,2,1),(FY16-0.05)))</f>
        <v>1</v>
      </c>
      <c r="GA16" s="15">
        <f>MIN(1,MAX(VLOOKUP(($AJ16-$AI16-$AH16-$AG16-$AF16-$AE16*(1+GA$3))/$AJ16,'Технический лист'!$A:$B,2,1),(FZ16-0.05)))</f>
        <v>1</v>
      </c>
      <c r="GB16" s="15">
        <f>MIN(1,MAX(VLOOKUP(($AJ16-$AI16-$AH16-$AG16-$AF16-$AE16*(1+GB$3))/$AJ16,'Технический лист'!$A:$B,2,1),(GA16-0.05)))</f>
        <v>1</v>
      </c>
      <c r="GC16" s="15">
        <f>MIN(1,MAX(VLOOKUP(($AJ16-$AI16-$AH16-$AG16-$AF16-$AE16*(1+GC$3))/$AJ16,'Технический лист'!$A:$B,2,1),(GB16-0.05)))</f>
        <v>1</v>
      </c>
      <c r="GD16" s="15">
        <f>MIN(1,MAX(VLOOKUP(($AJ16-$AI16-$AH16-$AG16-$AF16-$AE16*(1+GD$3))/$AJ16,'Технический лист'!$A:$B,2,1),(GC16-0.05)))</f>
        <v>1</v>
      </c>
      <c r="GE16" s="15">
        <f>MIN(1,MAX(VLOOKUP(($AJ16-$AI16-$AH16-$AG16-$AF16-$AE16*(1+GE$3))/$AJ16,'Технический лист'!$A:$B,2,1),(GD16-0.05)))</f>
        <v>1</v>
      </c>
      <c r="GF16" s="15">
        <f>MIN(1,MAX(VLOOKUP(($AJ16-$AI16-$AH16-$AG16-$AF16-$AE16*(1+GF$3))/$AJ16,'Технический лист'!$A:$B,2,1),(GE16-0.05)))</f>
        <v>1</v>
      </c>
      <c r="GG16" s="15">
        <f>MIN(1,MAX(VLOOKUP(($AJ16-$AI16-$AH16-$AG16-$AF16-$AE16*(1+GG$3))/$AJ16,'Технический лист'!$A:$B,2,1),(GF16-0.05)))</f>
        <v>1</v>
      </c>
      <c r="GH16" s="15">
        <f>MIN(1,MAX(VLOOKUP(($AJ16-$AI16-$AH16-$AG16-$AF16-$AE16*(1+GH$3))/$AJ16,'Технический лист'!$A:$B,2,1),(GG16-0.05)))</f>
        <v>1</v>
      </c>
      <c r="GI16" s="15">
        <f>MIN(1,MAX(VLOOKUP(($AJ16-$AI16-$AH16-$AG16-$AF16-$AE16*(1+GI$3))/$AJ16,'Технический лист'!$A:$B,2,1),(GH16-0.05)))</f>
        <v>1</v>
      </c>
      <c r="GJ16" s="15">
        <f>MIN(1,MAX(VLOOKUP(($AJ16-$AI16-$AH16-$AG16-$AF16-$AE16*(1+GJ$3))/$AJ16,'Технический лист'!$A:$B,2,1),(GI16-0.05)))</f>
        <v>1</v>
      </c>
      <c r="GK16" s="15">
        <f>MIN(1,MAX(VLOOKUP(($AJ16-$AI16-$AH16-$AG16-$AF16-$AE16*(1+GK$3))/$AJ16,'Технический лист'!$A:$B,2,1),(GJ16-0.05)))</f>
        <v>1</v>
      </c>
      <c r="GL16" s="15">
        <f>MIN(1,MAX(VLOOKUP(($AJ16-$AI16-$AH16-$AG16-$AF16-$AE16*(1+GL$3))/$AJ16,'Технический лист'!$A:$B,2,1),(GK16-0.05)))</f>
        <v>1</v>
      </c>
      <c r="GM16" s="15">
        <f>MIN(1,MAX(VLOOKUP(($AJ16-$AI16-$AH16-$AG16-$AF16-$AE16*(1+GM$3))/$AJ16,'Технический лист'!$A:$B,2,1),(GL16-0.05)))</f>
        <v>1</v>
      </c>
      <c r="GN16" s="15">
        <f>MIN(1,MAX(VLOOKUP(($AJ16-$AI16-$AH16-$AG16-$AF16-$AE16*(1+GN$3))/$AJ16,'Технический лист'!$A:$B,2,1),(GM16-0.05)))</f>
        <v>1</v>
      </c>
      <c r="GO16" s="15">
        <f>MIN(1,MAX(VLOOKUP(($AJ16-$AI16-$AH16-$AG16-$AF16-$AE16*(1+GO$3))/$AJ16,'Технический лист'!$A:$B,2,1),(GN16-0.05)))</f>
        <v>1</v>
      </c>
      <c r="GP16" s="15">
        <f>MIN(1,MAX(VLOOKUP(($AJ16-$AI16-$AH16-$AG16-$AF16-$AE16*(1+GP$3))/$AJ16,'Технический лист'!$A:$B,2,1),(GO16-0.05)))</f>
        <v>1</v>
      </c>
      <c r="GQ16" s="15">
        <f>MIN(1,MAX(VLOOKUP(($AJ16-$AI16-$AH16-$AG16-$AF16-$AE16*(1+GQ$3))/$AJ16,'Технический лист'!$A:$B,2,1),(GP16-0.05)))</f>
        <v>1</v>
      </c>
      <c r="GR16" s="15">
        <f>MIN(1,MAX(VLOOKUP(($AJ16-$AI16-$AH16-$AG16-$AF16-$AE16*(1+GR$3))/$AJ16,'Технический лист'!$A:$B,2,1),(GQ16-0.05)))</f>
        <v>1</v>
      </c>
      <c r="GS16" s="15">
        <f>MIN(1,MAX(VLOOKUP(($AJ16-$AI16-$AH16-$AG16-$AF16-$AE16*(1+GS$3))/$AJ16,'Технический лист'!$A:$B,2,1),(GR16-0.05)))</f>
        <v>1</v>
      </c>
      <c r="GT16" s="15">
        <f>MIN(1,MAX(VLOOKUP(($AJ16-$AI16-$AH16-$AG16-$AF16-$AE16*(1+GT$3))/$AJ16,'Технический лист'!$A:$B,2,1),(GS16-0.05)))</f>
        <v>1</v>
      </c>
      <c r="GU16" s="15">
        <f>MIN(1,MAX(VLOOKUP(($AJ16-$AI16-$AH16-$AG16-$AF16-$AE16*(1+GU$3))/$AJ16,'Технический лист'!$A:$B,2,1),(GT16-0.05)))</f>
        <v>1</v>
      </c>
      <c r="GV16" s="15">
        <f>MIN(1,MAX(VLOOKUP(($AJ16-$AI16-$AH16-$AG16-$AF16-$AE16*(1+GV$3))/$AJ16,'Технический лист'!$A:$B,2,1),(GU16-0.05)))</f>
        <v>1</v>
      </c>
      <c r="GW16" s="15">
        <f>MIN(1,MAX(VLOOKUP(($AJ16-$AI16-$AH16-$AG16-$AF16-$AE16*(1+GW$3))/$AJ16,'Технический лист'!$A:$B,2,1),(GV16-0.05)))</f>
        <v>1</v>
      </c>
      <c r="GX16" s="15">
        <f>MIN(1,MAX(VLOOKUP(($AJ16-$AI16-$AH16-$AG16-$AF16-$AE16*(1+GX$3))/$AJ16,'Технический лист'!$A:$B,2,1),(GW16-0.05)))</f>
        <v>1</v>
      </c>
      <c r="GY16" s="15">
        <f>MIN(1,MAX(VLOOKUP(($AJ16-$AI16-$AH16-$AG16-$AF16-$AE16*(1+GY$3))/$AJ16,'Технический лист'!$A:$B,2,1),(GX16-0.05)))</f>
        <v>1</v>
      </c>
      <c r="GZ16" s="15">
        <f>MIN(1,MAX(VLOOKUP(($AJ16-$AI16-$AH16-$AG16-$AF16-$AE16*(1+GZ$3))/$AJ16,'Технический лист'!$A:$B,2,1),(GY16-0.05)))</f>
        <v>1</v>
      </c>
      <c r="HA16" s="15">
        <f>MIN(1,MAX(VLOOKUP(($AJ16-$AI16-$AH16-$AG16-$AF16-$AE16*(1+HA$3))/$AJ16,'Технический лист'!$A:$B,2,1),(GZ16-0.05)))</f>
        <v>1</v>
      </c>
      <c r="HB16" s="15">
        <f>MIN(1,MAX(VLOOKUP(($AJ16-$AI16-$AH16-$AG16-$AF16-$AE16*(1+HB$3))/$AJ16,'Технический лист'!$A:$B,2,1),(HA16-0.05)))</f>
        <v>1</v>
      </c>
      <c r="HC16" s="15">
        <f>MIN(1,MAX(VLOOKUP(($AJ16-$AI16-$AH16-$AG16-$AF16-$AE16*(1+HC$3))/$AJ16,'Технический лист'!$A:$B,2,1),(HB16-0.05)))</f>
        <v>1</v>
      </c>
      <c r="HD16" s="15">
        <f>MIN(1,MAX(VLOOKUP(($AJ16-$AI16-$AH16-$AG16-$AF16-$AE16*(1+HD$3))/$AJ16,'Технический лист'!$A:$B,2,1),(HC16-0.05)))</f>
        <v>1</v>
      </c>
      <c r="HE16" s="15">
        <f>MIN(1,MAX(VLOOKUP(($AJ16-$AI16-$AH16-$AG16-$AF16-$AE16*(1+HE$3))/$AJ16,'Технический лист'!$A:$B,2,1),(HD16-0.05)))</f>
        <v>1</v>
      </c>
      <c r="HF16" s="15">
        <f>MIN(1,MAX(VLOOKUP(($AJ16-$AI16-$AH16-$AG16-$AF16-$AE16*(1+HF$3))/$AJ16,'Технический лист'!$A:$B,2,1),(HE16-0.05)))</f>
        <v>1</v>
      </c>
      <c r="HG16" s="15">
        <f>MIN(1,MAX(VLOOKUP(($AJ16-$AI16-$AH16-$AG16-$AF16-$AE16*(1+HG$3))/$AJ16,'Технический лист'!$A:$B,2,1),(HF16-0.05)))</f>
        <v>1</v>
      </c>
      <c r="HH16" s="15">
        <f>MIN(1,MAX(VLOOKUP(($AJ16-$AI16-$AH16-$AG16-$AF16-$AE16*(1+HH$3))/$AJ16,'Технический лист'!$A:$B,2,1),(HG16-0.05)))</f>
        <v>1</v>
      </c>
      <c r="HI16" s="15">
        <f>MIN(1,MAX(VLOOKUP(($AJ16-$AI16-$AH16-$AG16-$AF16-$AE16*(1+HI$3))/$AJ16,'Технический лист'!$A:$B,2,1),(HH16-0.05)))</f>
        <v>1</v>
      </c>
      <c r="HJ16" s="15">
        <f>MIN(1,MAX(VLOOKUP(($AJ16-$AI16-$AH16-$AG16-$AF16-$AE16*(1+HJ$3))/$AJ16,'Технический лист'!$A:$B,2,1),(HI16-0.05)))</f>
        <v>1</v>
      </c>
      <c r="HK16" s="15">
        <f>MIN(1,MAX(VLOOKUP(($AJ16-$AI16-$AH16-$AG16-$AF16-$AE16*(1+HK$3))/$AJ16,'Технический лист'!$A:$B,2,1),(HJ16-0.05)))</f>
        <v>1</v>
      </c>
      <c r="HL16" s="15">
        <f>MIN(1,MAX(VLOOKUP(($AJ16-$AI16-$AH16-$AG16-$AF16-$AE16*(1+HL$3))/$AJ16,'Технический лист'!$A:$B,2,1),(HK16-0.05)))</f>
        <v>1</v>
      </c>
      <c r="HM16" s="15">
        <f>MIN(1,MAX(VLOOKUP(($AJ16-$AI16-$AH16-$AG16-$AF16-$AE16*(1+HM$3))/$AJ16,'Технический лист'!$A:$B,2,1),(HL16-0.05)))</f>
        <v>1</v>
      </c>
      <c r="HN16" s="15">
        <f>MIN(1,MAX(VLOOKUP(($AJ16-$AI16-$AH16-$AG16-$AF16-$AE16*(1+HN$3))/$AJ16,'Технический лист'!$A:$B,2,1),(HM16-0.05)))</f>
        <v>1</v>
      </c>
      <c r="HO16" s="15">
        <f>MIN(1,MAX(VLOOKUP(($AJ16-$AI16-$AH16-$AG16-$AF16-$AE16*(1+HO$3))/$AJ16,'Технический лист'!$A:$B,2,1),(HN16-0.05)))</f>
        <v>1</v>
      </c>
      <c r="HP16" s="15">
        <f>MIN(1,MAX(VLOOKUP(($AJ16-$AI16-$AH16-$AG16-$AF16-$AE16*(1+HP$3))/$AJ16,'Технический лист'!$A:$B,2,1),(HO16-0.05)))</f>
        <v>1</v>
      </c>
      <c r="HQ16" s="15">
        <f>MIN(1,MAX(VLOOKUP(($AJ16-$AI16-$AH16-$AG16-$AF16-$AE16*(1+HQ$3))/$AJ16,'Технический лист'!$A:$B,2,1),(HP16-0.05)))</f>
        <v>1</v>
      </c>
      <c r="HR16" s="15">
        <f>MIN(1,MAX(VLOOKUP(($AJ16-$AI16-$AH16-$AG16-$AF16-$AE16*(1+HR$3))/$AJ16,'Технический лист'!$A:$B,2,1),(HQ16-0.05)))</f>
        <v>1</v>
      </c>
      <c r="HS16" s="15">
        <f>MIN(1,MAX(VLOOKUP(($AJ16-$AI16-$AH16-$AG16-$AF16-$AE16*(1+HS$3))/$AJ16,'Технический лист'!$A:$B,2,1),(HR16-0.05)))</f>
        <v>1</v>
      </c>
      <c r="HT16" s="15">
        <f>MIN(1,MAX(VLOOKUP(($AJ16-$AI16-$AH16-$AG16-$AF16-$AE16*(1+HT$3))/$AJ16,'Технический лист'!$A:$B,2,1),(HS16-0.05)))</f>
        <v>1</v>
      </c>
      <c r="HU16" s="15">
        <f>MIN(1,MAX(VLOOKUP(($AJ16-$AI16-$AH16-$AG16-$AF16-$AE16*(1+HU$3))/$AJ16,'Технический лист'!$A:$B,2,1),(HT16-0.05)))</f>
        <v>1</v>
      </c>
      <c r="HV16" s="15">
        <f>MIN(1,MAX(VLOOKUP(($AJ16-$AI16-$AH16-$AG16-$AF16-$AE16*(1+HV$3))/$AJ16,'Технический лист'!$A:$B,2,1),(HU16-0.05)))</f>
        <v>1</v>
      </c>
      <c r="HW16" s="15">
        <f>MIN(1,MAX(VLOOKUP(($AJ16-$AI16-$AH16-$AG16-$AF16-$AE16*(1+HW$3))/$AJ16,'Технический лист'!$A:$B,2,1),(HV16-0.05)))</f>
        <v>1</v>
      </c>
      <c r="HX16" s="15">
        <f>MIN(1,MAX(VLOOKUP(($AJ16-$AI16-$AH16-$AG16-$AF16-$AE16*(1+HX$3))/$AJ16,'Технический лист'!$A:$B,2,1),(HW16-0.05)))</f>
        <v>1</v>
      </c>
      <c r="HY16" s="15">
        <f>MIN(1,MAX(VLOOKUP(($AJ16-$AI16-$AH16-$AG16-$AF16-$AE16*(1+HY$3))/$AJ16,'Технический лист'!$A:$B,2,1),(HX16-0.05)))</f>
        <v>1</v>
      </c>
      <c r="HZ16" s="15">
        <f>MIN(1,MAX(VLOOKUP(($AJ16-$AI16-$AH16-$AG16-$AF16-$AE16*(1+HZ$3))/$AJ16,'Технический лист'!$A:$B,2,1),(HY16-0.05)))</f>
        <v>1</v>
      </c>
      <c r="IA16" s="15">
        <f>MIN(1,MAX(VLOOKUP(($AJ16-$AI16-$AH16-$AG16-$AF16-$AE16*(1+IA$3))/$AJ16,'Технический лист'!$A:$B,2,1),(HZ16-0.05)))</f>
        <v>1</v>
      </c>
      <c r="IB16" s="15">
        <f>MIN(1,MAX(VLOOKUP(($AJ16-$AI16-$AH16-$AG16-$AF16-$AE16*(1+IB$3))/$AJ16,'Технический лист'!$A:$B,2,1),(IA16-0.05)))</f>
        <v>1</v>
      </c>
      <c r="IC16" s="15">
        <f>MIN(1,MAX(VLOOKUP(($AJ16-$AI16-$AH16-$AG16-$AF16-$AE16*(1+IC$3))/$AJ16,'Технический лист'!$A:$B,2,1),(IB16-0.05)))</f>
        <v>1</v>
      </c>
      <c r="ID16" s="15">
        <f>MIN(1,MAX(VLOOKUP(($AJ16-$AI16-$AH16-$AG16-$AF16-$AE16*(1+ID$3))/$AJ16,'Технический лист'!$A:$B,2,1),(IC16-0.05)))</f>
        <v>1</v>
      </c>
      <c r="IE16" s="15">
        <f>MIN(1,MAX(VLOOKUP(($AJ16-$AI16-$AH16-$AG16-$AF16-$AE16*(1+IE$3))/$AJ16,'Технический лист'!$A:$B,2,1),(ID16-0.05)))</f>
        <v>1</v>
      </c>
      <c r="IF16" s="15">
        <f>MIN(1,MAX(VLOOKUP(($AJ16-$AI16-$AH16-$AG16-$AF16-$AE16*(1+IF$3))/$AJ16,'Технический лист'!$A:$B,2,1),(IE16-0.05)))</f>
        <v>1</v>
      </c>
      <c r="IG16" s="15">
        <f>MIN(1,MAX(VLOOKUP(($AJ16-$AI16-$AH16-$AG16-$AF16-$AE16*(1+IG$3))/$AJ16,'Технический лист'!$A:$B,2,1),(IF16-0.05)))</f>
        <v>1</v>
      </c>
      <c r="IH16" s="15">
        <f>MIN(1,MAX(VLOOKUP(($AJ16-$AI16-$AH16-$AG16-$AF16-$AE16*(1+IH$3))/$AJ16,'Технический лист'!$A:$B,2,1),(IG16-0.05)))</f>
        <v>1</v>
      </c>
      <c r="II16" s="15">
        <f>MIN(1,MAX(VLOOKUP(($AJ16-$AI16-$AH16-$AG16-$AF16-$AE16*(1+II$3))/$AJ16,'Технический лист'!$A:$B,2,1),(IH16-0.05)))</f>
        <v>1</v>
      </c>
      <c r="IJ16" s="15">
        <f>MIN(1,MAX(VLOOKUP(($AJ16-$AI16-$AH16-$AG16-$AF16-$AE16*(1+IJ$3))/$AJ16,'Технический лист'!$A:$B,2,1),(II16-0.05)))</f>
        <v>1</v>
      </c>
      <c r="IK16" s="15">
        <f>MIN(1,MAX(VLOOKUP(($AJ16-$AI16-$AH16-$AG16-$AF16-$AE16*(1+IK$3))/$AJ16,'Технический лист'!$A:$B,2,1),(IJ16-0.05)))</f>
        <v>1</v>
      </c>
      <c r="IL16" s="15">
        <f>MIN(1,MAX(VLOOKUP(($AJ16-$AI16-$AH16-$AG16-$AF16-$AE16*(1+IL$3))/$AJ16,'Технический лист'!$A:$B,2,1),(IK16-0.05)))</f>
        <v>1</v>
      </c>
      <c r="IM16" s="15">
        <f>MIN(1,MAX(VLOOKUP(($AJ16-$AI16-$AH16-$AG16-$AF16-$AE16*(1+IM$3))/$AJ16,'Технический лист'!$A:$B,2,1),(IL16-0.05)))</f>
        <v>1</v>
      </c>
      <c r="IN16" s="15">
        <f>MIN(1,MAX(VLOOKUP(($AJ16-$AI16-$AH16-$AG16-$AF16-$AE16*(1+IN$3))/$AJ16,'Технический лист'!$A:$B,2,1),(IM16-0.05)))</f>
        <v>1</v>
      </c>
      <c r="IO16" s="15">
        <f>MIN(1,MAX(VLOOKUP(($AJ16-$AI16-$AH16-$AG16-$AF16-$AE16*(1+IO$3))/$AJ16,'Технический лист'!$A:$B,2,1),(IN16-0.05)))</f>
        <v>1</v>
      </c>
      <c r="IP16" s="15">
        <f>MIN(1,MAX(VLOOKUP(($AJ16-$AI16-$AH16-$AG16-$AF16-$AE16*(1+IP$3))/$AJ16,'Технический лист'!$A:$B,2,1),(IO16-0.05)))</f>
        <v>1</v>
      </c>
      <c r="IQ16" s="15">
        <f>MIN(1,MAX(VLOOKUP(($AJ16-$AI16-$AH16-$AG16-$AF16-$AE16*(1+IQ$3))/$AJ16,'Технический лист'!$A:$B,2,1),(IP16-0.05)))</f>
        <v>1</v>
      </c>
      <c r="IR16" s="15">
        <f>MIN(1,MAX(VLOOKUP(($AJ16-$AI16-$AH16-$AG16-$AF16-$AE16*(1+IR$3))/$AJ16,'Технический лист'!$A:$B,2,1),(IQ16-0.05)))</f>
        <v>1</v>
      </c>
    </row>
    <row r="17" spans="1:252" ht="43.75">
      <c r="A17" s="89" t="s">
        <v>514</v>
      </c>
      <c r="B17" s="90">
        <v>2</v>
      </c>
      <c r="C17" s="5" t="s">
        <v>65</v>
      </c>
      <c r="D17" s="91">
        <v>17110</v>
      </c>
      <c r="E17" s="91" t="s">
        <v>322</v>
      </c>
      <c r="F17" s="92" t="s">
        <v>69</v>
      </c>
      <c r="G17" s="91" t="s">
        <v>23</v>
      </c>
      <c r="H17" s="91" t="s">
        <v>16</v>
      </c>
      <c r="I17" s="91" t="s">
        <v>54</v>
      </c>
      <c r="J17" s="91" t="s">
        <v>95</v>
      </c>
      <c r="K17" s="91">
        <v>5788</v>
      </c>
      <c r="L17" s="85" t="s">
        <v>64</v>
      </c>
      <c r="M17" s="91" t="s">
        <v>17</v>
      </c>
      <c r="N17" s="91" t="s">
        <v>191</v>
      </c>
      <c r="O17" s="91" t="s">
        <v>194</v>
      </c>
      <c r="P17" s="89" t="s">
        <v>200</v>
      </c>
      <c r="Q17" s="91" t="s">
        <v>276</v>
      </c>
      <c r="R17" s="91" t="s">
        <v>253</v>
      </c>
      <c r="S17" s="82">
        <v>10601</v>
      </c>
      <c r="T17" s="82">
        <v>61359168</v>
      </c>
      <c r="U17" s="81">
        <v>178</v>
      </c>
      <c r="V17" s="81">
        <v>0</v>
      </c>
      <c r="W17" s="82">
        <v>31981756</v>
      </c>
      <c r="X17" s="112">
        <v>60</v>
      </c>
      <c r="Y17" s="112" t="s">
        <v>416</v>
      </c>
      <c r="Z17" s="113">
        <v>17</v>
      </c>
      <c r="AA17" s="113">
        <v>14</v>
      </c>
      <c r="AB17" s="113">
        <v>4</v>
      </c>
      <c r="AC17" s="99">
        <v>333.78</v>
      </c>
      <c r="AD17" s="99">
        <f t="shared" si="1"/>
        <v>4459.3</v>
      </c>
      <c r="AE17" s="99">
        <v>4793.08</v>
      </c>
      <c r="AF17" s="98">
        <f>(Z17+AA17+AB17)*'Ставки аренды'!$B$3/X17</f>
        <v>408.33333333333331</v>
      </c>
      <c r="AG17" s="114">
        <v>0</v>
      </c>
      <c r="AH17" s="94">
        <v>0</v>
      </c>
      <c r="AI17" s="115">
        <f>0.9*AVERAGE(AJ13,AJ14)</f>
        <v>14757.857325000001</v>
      </c>
      <c r="AJ17" s="117">
        <f>Цены!$C$8*'Курсы валют'!$B$2</f>
        <v>15795.238499999999</v>
      </c>
      <c r="AK17" s="94">
        <f>AJ17/Цены!$B$1</f>
        <v>207</v>
      </c>
      <c r="AL17" s="95">
        <f t="shared" si="5"/>
        <v>5201.413333333333</v>
      </c>
      <c r="AM17" s="95">
        <f t="shared" si="6"/>
        <v>10593.825166666666</v>
      </c>
      <c r="AN17" s="94">
        <f t="shared" si="2"/>
        <v>19959.270658333335</v>
      </c>
      <c r="AO17" s="118">
        <f t="shared" si="3"/>
        <v>-0.26362578560199235</v>
      </c>
      <c r="AP17" s="96">
        <f t="shared" si="7"/>
        <v>0.32930261441340902</v>
      </c>
      <c r="AQ17" s="96">
        <f t="shared" si="8"/>
        <v>0.30345094187719929</v>
      </c>
      <c r="AR17" s="96">
        <f t="shared" si="9"/>
        <v>0.92149569604158876</v>
      </c>
      <c r="AS17" s="122">
        <v>1</v>
      </c>
      <c r="AT17" s="121">
        <f t="shared" si="10"/>
        <v>10601</v>
      </c>
      <c r="AU17" s="83">
        <v>0.9</v>
      </c>
      <c r="AV17" s="119">
        <f t="shared" si="11"/>
        <v>-0.30003989862725633</v>
      </c>
      <c r="AW17" s="120">
        <f t="shared" si="12"/>
        <v>0.36571672743867295</v>
      </c>
      <c r="AX17" s="120">
        <f t="shared" si="13"/>
        <v>0.33986505490246316</v>
      </c>
      <c r="AY17" s="120">
        <f t="shared" si="14"/>
        <v>0.92931230486156846</v>
      </c>
      <c r="AZ17" s="15">
        <f>MIN(IF($AU17=100%,1,1+VLOOKUP(($AJ17-$AI17-$AH17-$AG17-$AF17-$AE17*(1+AZ$3))/$AJ17,'Технический лист'!$A:$B,2,1)-VLOOKUP($AO17,'Технический лист'!$A:$B,2,1)),1+(1-$AU17))</f>
        <v>1.0840000000000001</v>
      </c>
      <c r="BA17" s="15">
        <f>MIN(IF($AU17=100%,1,1+VLOOKUP(($AJ17-$AI17-$AH17-$AG17-$AF17-$AE17*(1+BA$3))/$AJ17,'Технический лист'!$A:$B,2,1)-VLOOKUP($AO17,'Технический лист'!$A:$B,2,1)),1+(1-$AU17))</f>
        <v>1.0840000000000001</v>
      </c>
      <c r="BB17" s="15">
        <f>MIN(IF($AU17=100%,1,1+VLOOKUP(($AJ17-$AI17-$AH17-$AG17-$AF17-$AE17*(1+BB$3))/$AJ17,'Технический лист'!$A:$B,2,1)-VLOOKUP($AO17,'Технический лист'!$A:$B,2,1)),1+(1-$AU17))</f>
        <v>1.0840000000000001</v>
      </c>
      <c r="BC17" s="15">
        <f>MIN(IF($AU17=100%,1,1+VLOOKUP(($AJ17-$AI17-$AH17-$AG17-$AF17-$AE17*(1+BC$3))/$AJ17,'Технический лист'!$A:$B,2,1)-VLOOKUP($AO17,'Технический лист'!$A:$B,2,1)),1+(1-$AU17))</f>
        <v>1.0840000000000001</v>
      </c>
      <c r="BD17" s="15">
        <f>MIN(IF($AU17=100%,1,1+VLOOKUP(($AJ17-$AI17-$AH17-$AG17-$AF17-$AE17*(1+BD$3))/$AJ17,'Технический лист'!$A:$B,2,1)-VLOOKUP($AO17,'Технический лист'!$A:$B,2,1)),1+(1-$AU17))</f>
        <v>1.0840000000000001</v>
      </c>
      <c r="BE17" s="15">
        <f>MIN(IF($AU17=100%,1,1+VLOOKUP(($AJ17-$AI17-$AH17-$AG17-$AF17-$AE17*(1+BE$3))/$AJ17,'Технический лист'!$A:$B,2,1)-VLOOKUP($AO17,'Технический лист'!$A:$B,2,1)),1+(1-$AU17))</f>
        <v>1.0840000000000001</v>
      </c>
      <c r="BF17" s="15">
        <f>MIN(IF($AU17=100%,1,1+VLOOKUP(($AJ17-$AI17-$AH17-$AG17-$AF17-$AE17*(1+BF$3))/$AJ17,'Технический лист'!$A:$B,2,1)-VLOOKUP($AO17,'Технический лист'!$A:$B,2,1)),1+(1-$AU17))</f>
        <v>1.0789999999999997</v>
      </c>
      <c r="BG17" s="15">
        <f>MIN(IF($AU17=100%,1,1+VLOOKUP(($AJ17-$AI17-$AH17-$AG17-$AF17-$AE17*(1+BG$3))/$AJ17,'Технический лист'!$A:$B,2,1)-VLOOKUP($AO17,'Технический лист'!$A:$B,2,1)),1+(1-$AU17))</f>
        <v>1.0789999999999997</v>
      </c>
      <c r="BH17" s="15">
        <f>MIN(IF($AU17=100%,1,1+VLOOKUP(($AJ17-$AI17-$AH17-$AG17-$AF17-$AE17*(1+BH$3))/$AJ17,'Технический лист'!$A:$B,2,1)-VLOOKUP($AO17,'Технический лист'!$A:$B,2,1)),1+(1-$AU17))</f>
        <v>1.0789999999999997</v>
      </c>
      <c r="BI17" s="15">
        <f>MIN(IF($AU17=100%,1,1+VLOOKUP(($AJ17-$AI17-$AH17-$AG17-$AF17-$AE17*(1+BI$3))/$AJ17,'Технический лист'!$A:$B,2,1)-VLOOKUP($AO17,'Технический лист'!$A:$B,2,1)),1+(1-$AU17))</f>
        <v>1.0789999999999997</v>
      </c>
      <c r="BJ17" s="15">
        <f>MIN(IF($AU17=100%,1,1+VLOOKUP(($AJ17-$AI17-$AH17-$AG17-$AF17-$AE17*(1+BJ$3))/$AJ17,'Технический лист'!$A:$B,2,1)-VLOOKUP($AO17,'Технический лист'!$A:$B,2,1)),1+(1-$AU17))</f>
        <v>1.0789999999999997</v>
      </c>
      <c r="BK17" s="15">
        <f>MIN(IF($AU17=100%,1,1+VLOOKUP(($AJ17-$AI17-$AH17-$AG17-$AF17-$AE17*(1+BK$3))/$AJ17,'Технический лист'!$A:$B,2,1)-VLOOKUP($AO17,'Технический лист'!$A:$B,2,1)),1+(1-$AU17))</f>
        <v>1.0789999999999997</v>
      </c>
      <c r="BL17" s="15">
        <f>MIN(IF($AU17=100%,1,1+VLOOKUP(($AJ17-$AI17-$AH17-$AG17-$AF17-$AE17*(1+BL$3))/$AJ17,'Технический лист'!$A:$B,2,1)-VLOOKUP($AO17,'Технический лист'!$A:$B,2,1)),1+(1-$AU17))</f>
        <v>1.0739999999999998</v>
      </c>
      <c r="BM17" s="15">
        <f>MIN(IF($AU17=100%,1,1+VLOOKUP(($AJ17-$AI17-$AH17-$AG17-$AF17-$AE17*(1+BM$3))/$AJ17,'Технический лист'!$A:$B,2,1)-VLOOKUP($AO17,'Технический лист'!$A:$B,2,1)),1+(1-$AU17))</f>
        <v>1.0739999999999998</v>
      </c>
      <c r="BN17" s="15">
        <f>MIN(IF($AU17=100%,1,1+VLOOKUP(($AJ17-$AI17-$AH17-$AG17-$AF17-$AE17*(1+BN$3))/$AJ17,'Технический лист'!$A:$B,2,1)-VLOOKUP($AO17,'Технический лист'!$A:$B,2,1)),1+(1-$AU17))</f>
        <v>1.0739999999999998</v>
      </c>
      <c r="BO17" s="15">
        <f>MIN(IF($AU17=100%,1,1+VLOOKUP(($AJ17-$AI17-$AH17-$AG17-$AF17-$AE17*(1+BO$3))/$AJ17,'Технический лист'!$A:$B,2,1)-VLOOKUP($AO17,'Технический лист'!$A:$B,2,1)),1+(1-$AU17))</f>
        <v>1.0739999999999998</v>
      </c>
      <c r="BP17" s="15">
        <f>MIN(IF($AU17=100%,1,1+VLOOKUP(($AJ17-$AI17-$AH17-$AG17-$AF17-$AE17*(1+BP$3))/$AJ17,'Технический лист'!$A:$B,2,1)-VLOOKUP($AO17,'Технический лист'!$A:$B,2,1)),1+(1-$AU17))</f>
        <v>1.0739999999999998</v>
      </c>
      <c r="BQ17" s="15">
        <f>MIN(IF($AU17=100%,1,1+VLOOKUP(($AJ17-$AI17-$AH17-$AG17-$AF17-$AE17*(1+BQ$3))/$AJ17,'Технический лист'!$A:$B,2,1)-VLOOKUP($AO17,'Технический лист'!$A:$B,2,1)),1+(1-$AU17))</f>
        <v>1.0739999999999998</v>
      </c>
      <c r="BR17" s="15">
        <f>MIN(IF($AU17=100%,1,1+VLOOKUP(($AJ17-$AI17-$AH17-$AG17-$AF17-$AE17*(1+BR$3))/$AJ17,'Технический лист'!$A:$B,2,1)-VLOOKUP($AO17,'Технический лист'!$A:$B,2,1)),1+(1-$AU17))</f>
        <v>1.0739999999999998</v>
      </c>
      <c r="BS17" s="15">
        <f>MIN(IF($AU17=100%,1,1+VLOOKUP(($AJ17-$AI17-$AH17-$AG17-$AF17-$AE17*(1+BS$3))/$AJ17,'Технический лист'!$A:$B,2,1)-VLOOKUP($AO17,'Технический лист'!$A:$B,2,1)),1+(1-$AU17))</f>
        <v>1.069</v>
      </c>
      <c r="BT17" s="15">
        <f>MIN(IF($AU17=100%,1,1+VLOOKUP(($AJ17-$AI17-$AH17-$AG17-$AF17-$AE17*(1+BT$3))/$AJ17,'Технический лист'!$A:$B,2,1)-VLOOKUP($AO17,'Технический лист'!$A:$B,2,1)),1+(1-$AU17))</f>
        <v>1.069</v>
      </c>
      <c r="BU17" s="15">
        <f>MIN(IF($AU17=100%,1,1+VLOOKUP(($AJ17-$AI17-$AH17-$AG17-$AF17-$AE17*(1+BU$3))/$AJ17,'Технический лист'!$A:$B,2,1)-VLOOKUP($AO17,'Технический лист'!$A:$B,2,1)),1+(1-$AU17))</f>
        <v>1.069</v>
      </c>
      <c r="BV17" s="15">
        <f>MIN(IF($AU17=100%,1,1+VLOOKUP(($AJ17-$AI17-$AH17-$AG17-$AF17-$AE17*(1+BV$3))/$AJ17,'Технический лист'!$A:$B,2,1)-VLOOKUP($AO17,'Технический лист'!$A:$B,2,1)),1+(1-$AU17))</f>
        <v>1.069</v>
      </c>
      <c r="BW17" s="15">
        <f>MIN(IF($AU17=100%,1,1+VLOOKUP(($AJ17-$AI17-$AH17-$AG17-$AF17-$AE17*(1+BW$3))/$AJ17,'Технический лист'!$A:$B,2,1)-VLOOKUP($AO17,'Технический лист'!$A:$B,2,1)),1+(1-$AU17))</f>
        <v>1.069</v>
      </c>
      <c r="BX17" s="15">
        <f>MIN(IF($AU17=100%,1,1+VLOOKUP(($AJ17-$AI17-$AH17-$AG17-$AF17-$AE17*(1+BX$3))/$AJ17,'Технический лист'!$A:$B,2,1)-VLOOKUP($AO17,'Технический лист'!$A:$B,2,1)),1+(1-$AU17))</f>
        <v>1.069</v>
      </c>
      <c r="BY17" s="15">
        <f>MIN(IF($AU17=100%,1,1+VLOOKUP(($AJ17-$AI17-$AH17-$AG17-$AF17-$AE17*(1+BY$3))/$AJ17,'Технический лист'!$A:$B,2,1)-VLOOKUP($AO17,'Технический лист'!$A:$B,2,1)),1+(1-$AU17))</f>
        <v>1.069</v>
      </c>
      <c r="BZ17" s="15">
        <f>MIN(IF($AU17=100%,1,1+VLOOKUP(($AJ17-$AI17-$AH17-$AG17-$AF17-$AE17*(1+BZ$3))/$AJ17,'Технический лист'!$A:$B,2,1)-VLOOKUP($AO17,'Технический лист'!$A:$B,2,1)),1+(1-$AU17))</f>
        <v>1.0640000000000001</v>
      </c>
      <c r="CA17" s="15">
        <f>MIN(IF($AU17=100%,1,1+VLOOKUP(($AJ17-$AI17-$AH17-$AG17-$AF17-$AE17*(1+CA$3))/$AJ17,'Технический лист'!$A:$B,2,1)-VLOOKUP($AO17,'Технический лист'!$A:$B,2,1)),1+(1-$AU17))</f>
        <v>1.0640000000000001</v>
      </c>
      <c r="CB17" s="15">
        <f>MIN(IF($AU17=100%,1,1+VLOOKUP(($AJ17-$AI17-$AH17-$AG17-$AF17-$AE17*(1+CB$3))/$AJ17,'Технический лист'!$A:$B,2,1)-VLOOKUP($AO17,'Технический лист'!$A:$B,2,1)),1+(1-$AU17))</f>
        <v>1.0640000000000001</v>
      </c>
      <c r="CC17" s="15">
        <f>MIN(IF($AU17=100%,1,1+VLOOKUP(($AJ17-$AI17-$AH17-$AG17-$AF17-$AE17*(1+CC$3))/$AJ17,'Технический лист'!$A:$B,2,1)-VLOOKUP($AO17,'Технический лист'!$A:$B,2,1)),1+(1-$AU17))</f>
        <v>1.0640000000000001</v>
      </c>
      <c r="CD17" s="15">
        <f>MIN(IF($AU17=100%,1,1+VLOOKUP(($AJ17-$AI17-$AH17-$AG17-$AF17-$AE17*(1+CD$3))/$AJ17,'Технический лист'!$A:$B,2,1)-VLOOKUP($AO17,'Технический лист'!$A:$B,2,1)),1+(1-$AU17))</f>
        <v>1.0640000000000001</v>
      </c>
      <c r="CE17" s="15">
        <f>MIN(IF($AU17=100%,1,1+VLOOKUP(($AJ17-$AI17-$AH17-$AG17-$AF17-$AE17*(1+CE$3))/$AJ17,'Технический лист'!$A:$B,2,1)-VLOOKUP($AO17,'Технический лист'!$A:$B,2,1)),1+(1-$AU17))</f>
        <v>1.0640000000000001</v>
      </c>
      <c r="CF17" s="15">
        <f>MIN(IF($AU17=100%,1,1+VLOOKUP(($AJ17-$AI17-$AH17-$AG17-$AF17-$AE17*(1+CF$3))/$AJ17,'Технический лист'!$A:$B,2,1)-VLOOKUP($AO17,'Технический лист'!$A:$B,2,1)),1+(1-$AU17))</f>
        <v>1.0590000000000002</v>
      </c>
      <c r="CG17" s="15">
        <f>MIN(IF($AU17=100%,1,1+VLOOKUP(($AJ17-$AI17-$AH17-$AG17-$AF17-$AE17*(1+CG$3))/$AJ17,'Технический лист'!$A:$B,2,1)-VLOOKUP($AO17,'Технический лист'!$A:$B,2,1)),1+(1-$AU17))</f>
        <v>1.0590000000000002</v>
      </c>
      <c r="CH17" s="15">
        <f>MIN(IF($AU17=100%,1,1+VLOOKUP(($AJ17-$AI17-$AH17-$AG17-$AF17-$AE17*(1+CH$3))/$AJ17,'Технический лист'!$A:$B,2,1)-VLOOKUP($AO17,'Технический лист'!$A:$B,2,1)),1+(1-$AU17))</f>
        <v>1.0590000000000002</v>
      </c>
      <c r="CI17" s="15">
        <f>MIN(IF($AU17=100%,1,1+VLOOKUP(($AJ17-$AI17-$AH17-$AG17-$AF17-$AE17*(1+CI$3))/$AJ17,'Технический лист'!$A:$B,2,1)-VLOOKUP($AO17,'Технический лист'!$A:$B,2,1)),1+(1-$AU17))</f>
        <v>1.0590000000000002</v>
      </c>
      <c r="CJ17" s="15">
        <f>MIN(IF($AU17=100%,1,1+VLOOKUP(($AJ17-$AI17-$AH17-$AG17-$AF17-$AE17*(1+CJ$3))/$AJ17,'Технический лист'!$A:$B,2,1)-VLOOKUP($AO17,'Технический лист'!$A:$B,2,1)),1+(1-$AU17))</f>
        <v>1.0590000000000002</v>
      </c>
      <c r="CK17" s="15">
        <f>MIN(IF($AU17=100%,1,1+VLOOKUP(($AJ17-$AI17-$AH17-$AG17-$AF17-$AE17*(1+CK$3))/$AJ17,'Технический лист'!$A:$B,2,1)-VLOOKUP($AO17,'Технический лист'!$A:$B,2,1)),1+(1-$AU17))</f>
        <v>1.0590000000000002</v>
      </c>
      <c r="CL17" s="15">
        <f>MIN(IF($AU17=100%,1,1+VLOOKUP(($AJ17-$AI17-$AH17-$AG17-$AF17-$AE17*(1+CL$3))/$AJ17,'Технический лист'!$A:$B,2,1)-VLOOKUP($AO17,'Технический лист'!$A:$B,2,1)),1+(1-$AU17))</f>
        <v>1.0590000000000002</v>
      </c>
      <c r="CM17" s="15">
        <f>MIN(IF($AU17=100%,1,1+VLOOKUP(($AJ17-$AI17-$AH17-$AG17-$AF17-$AE17*(1+CM$3))/$AJ17,'Технический лист'!$A:$B,2,1)-VLOOKUP($AO17,'Технический лист'!$A:$B,2,1)),1+(1-$AU17))</f>
        <v>1.0539999999999998</v>
      </c>
      <c r="CN17" s="15">
        <f>MIN(IF($AU17=100%,1,1+VLOOKUP(($AJ17-$AI17-$AH17-$AG17-$AF17-$AE17*(1+CN$3))/$AJ17,'Технический лист'!$A:$B,2,1)-VLOOKUP($AO17,'Технический лист'!$A:$B,2,1)),1+(1-$AU17))</f>
        <v>1.0539999999999998</v>
      </c>
      <c r="CO17" s="15">
        <f>MIN(IF($AU17=100%,1,1+VLOOKUP(($AJ17-$AI17-$AH17-$AG17-$AF17-$AE17*(1+CO$3))/$AJ17,'Технический лист'!$A:$B,2,1)-VLOOKUP($AO17,'Технический лист'!$A:$B,2,1)),1+(1-$AU17))</f>
        <v>1.0539999999999998</v>
      </c>
      <c r="CP17" s="15">
        <f>MIN(IF($AU17=100%,1,1+VLOOKUP(($AJ17-$AI17-$AH17-$AG17-$AF17-$AE17*(1+CP$3))/$AJ17,'Технический лист'!$A:$B,2,1)-VLOOKUP($AO17,'Технический лист'!$A:$B,2,1)),1+(1-$AU17))</f>
        <v>1.0539999999999998</v>
      </c>
      <c r="CQ17" s="15">
        <f>MIN(IF($AU17=100%,1,1+VLOOKUP(($AJ17-$AI17-$AH17-$AG17-$AF17-$AE17*(1+CQ$3))/$AJ17,'Технический лист'!$A:$B,2,1)-VLOOKUP($AO17,'Технический лист'!$A:$B,2,1)),1+(1-$AU17))</f>
        <v>1.0539999999999998</v>
      </c>
      <c r="CR17" s="15">
        <f>MIN(IF($AU17=100%,1,1+VLOOKUP(($AJ17-$AI17-$AH17-$AG17-$AF17-$AE17*(1+CR$3))/$AJ17,'Технический лист'!$A:$B,2,1)-VLOOKUP($AO17,'Технический лист'!$A:$B,2,1)),1+(1-$AU17))</f>
        <v>1.0539999999999998</v>
      </c>
      <c r="CS17" s="15">
        <f>MIN(IF($AU17=100%,1,1+VLOOKUP(($AJ17-$AI17-$AH17-$AG17-$AF17-$AE17*(1+CS$3))/$AJ17,'Технический лист'!$A:$B,2,1)-VLOOKUP($AO17,'Технический лист'!$A:$B,2,1)),1+(1-$AU17))</f>
        <v>1.048</v>
      </c>
      <c r="CT17" s="15">
        <f>MIN(IF($AU17=100%,1,1+VLOOKUP(($AJ17-$AI17-$AH17-$AG17-$AF17-$AE17*(1+CT$3))/$AJ17,'Технический лист'!$A:$B,2,1)-VLOOKUP($AO17,'Технический лист'!$A:$B,2,1)),1+(1-$AU17))</f>
        <v>1.048</v>
      </c>
      <c r="CU17" s="15">
        <f>MIN(IF($AU17=100%,1,1+VLOOKUP(($AJ17-$AI17-$AH17-$AG17-$AF17-$AE17*(1+CU$3))/$AJ17,'Технический лист'!$A:$B,2,1)-VLOOKUP($AO17,'Технический лист'!$A:$B,2,1)),1+(1-$AU17))</f>
        <v>1.048</v>
      </c>
      <c r="CV17" s="15">
        <f>MIN(IF($AU17=100%,1,1+VLOOKUP(($AJ17-$AI17-$AH17-$AG17-$AF17-$AE17*(1+CV$3))/$AJ17,'Технический лист'!$A:$B,2,1)-VLOOKUP($AO17,'Технический лист'!$A:$B,2,1)),1+(1-$AU17))</f>
        <v>1.048</v>
      </c>
      <c r="CW17" s="15">
        <f>MIN(IF($AU17=100%,1,1+VLOOKUP(($AJ17-$AI17-$AH17-$AG17-$AF17-$AE17*(1+CW$3))/$AJ17,'Технический лист'!$A:$B,2,1)-VLOOKUP($AO17,'Технический лист'!$A:$B,2,1)),1+(1-$AU17))</f>
        <v>1.048</v>
      </c>
      <c r="CX17" s="15">
        <f>MIN(IF($AU17=100%,1,1+VLOOKUP(($AJ17-$AI17-$AH17-$AG17-$AF17-$AE17*(1+CX$3))/$AJ17,'Технический лист'!$A:$B,2,1)-VLOOKUP($AO17,'Технический лист'!$A:$B,2,1)),1+(1-$AU17))</f>
        <v>1.048</v>
      </c>
      <c r="CY17" s="15">
        <f>MIN(IF($AU17=100%,1,1+VLOOKUP(($AJ17-$AI17-$AH17-$AG17-$AF17-$AE17*(1+CY$3))/$AJ17,'Технический лист'!$A:$B,2,1)-VLOOKUP($AO17,'Технический лист'!$A:$B,2,1)),1+(1-$AU17))</f>
        <v>1.048</v>
      </c>
      <c r="CZ17" s="15">
        <f>MIN(IF($AU17=100%,1,1+VLOOKUP(($AJ17-$AI17-$AH17-$AG17-$AF17-$AE17*(1+CZ$3))/$AJ17,'Технический лист'!$A:$B,2,1)-VLOOKUP($AO17,'Технический лист'!$A:$B,2,1)),1+(1-$AU17))</f>
        <v>1.0419999999999998</v>
      </c>
      <c r="DA17" s="15">
        <f>MIN(IF($AU17=100%,1,1+VLOOKUP(($AJ17-$AI17-$AH17-$AG17-$AF17-$AE17*(1+DA$3))/$AJ17,'Технический лист'!$A:$B,2,1)-VLOOKUP($AO17,'Технический лист'!$A:$B,2,1)),1+(1-$AU17))</f>
        <v>1.0419999999999998</v>
      </c>
      <c r="DB17" s="15">
        <f>MIN(IF($AU17=100%,1,1+VLOOKUP(($AJ17-$AI17-$AH17-$AG17-$AF17-$AE17*(1+DB$3))/$AJ17,'Технический лист'!$A:$B,2,1)-VLOOKUP($AO17,'Технический лист'!$A:$B,2,1)),1+(1-$AU17))</f>
        <v>1.0419999999999998</v>
      </c>
      <c r="DC17" s="15">
        <f>MIN(IF($AU17=100%,1,1+VLOOKUP(($AJ17-$AI17-$AH17-$AG17-$AF17-$AE17*(1+DC$3))/$AJ17,'Технический лист'!$A:$B,2,1)-VLOOKUP($AO17,'Технический лист'!$A:$B,2,1)),1+(1-$AU17))</f>
        <v>1.0419999999999998</v>
      </c>
      <c r="DD17" s="15">
        <f>MIN(IF($AU17=100%,1,1+VLOOKUP(($AJ17-$AI17-$AH17-$AG17-$AF17-$AE17*(1+DD$3))/$AJ17,'Технический лист'!$A:$B,2,1)-VLOOKUP($AO17,'Технический лист'!$A:$B,2,1)),1+(1-$AU17))</f>
        <v>1.0419999999999998</v>
      </c>
      <c r="DE17" s="15">
        <f>MIN(IF($AU17=100%,1,1+VLOOKUP(($AJ17-$AI17-$AH17-$AG17-$AF17-$AE17*(1+DE$3))/$AJ17,'Технический лист'!$A:$B,2,1)-VLOOKUP($AO17,'Технический лист'!$A:$B,2,1)),1+(1-$AU17))</f>
        <v>1.0419999999999998</v>
      </c>
      <c r="DF17" s="15">
        <f>MIN(IF($AU17=100%,1,1+VLOOKUP(($AJ17-$AI17-$AH17-$AG17-$AF17-$AE17*(1+DF$3))/$AJ17,'Технический лист'!$A:$B,2,1)-VLOOKUP($AO17,'Технический лист'!$A:$B,2,1)),1+(1-$AU17))</f>
        <v>1.0419999999999998</v>
      </c>
      <c r="DG17" s="15">
        <f>MIN(IF($AU17=100%,1,1+VLOOKUP(($AJ17-$AI17-$AH17-$AG17-$AF17-$AE17*(1+DG$3))/$AJ17,'Технический лист'!$A:$B,2,1)-VLOOKUP($AO17,'Технический лист'!$A:$B,2,1)),1+(1-$AU17))</f>
        <v>1.036</v>
      </c>
      <c r="DH17" s="15">
        <f>MIN(IF($AU17=100%,1,1+VLOOKUP(($AJ17-$AI17-$AH17-$AG17-$AF17-$AE17*(1+DH$3))/$AJ17,'Технический лист'!$A:$B,2,1)-VLOOKUP($AO17,'Технический лист'!$A:$B,2,1)),1+(1-$AU17))</f>
        <v>1.036</v>
      </c>
      <c r="DI17" s="15">
        <f>MIN(IF($AU17=100%,1,1+VLOOKUP(($AJ17-$AI17-$AH17-$AG17-$AF17-$AE17*(1+DI$3))/$AJ17,'Технический лист'!$A:$B,2,1)-VLOOKUP($AO17,'Технический лист'!$A:$B,2,1)),1+(1-$AU17))</f>
        <v>1.036</v>
      </c>
      <c r="DJ17" s="15">
        <f>MIN(IF($AU17=100%,1,1+VLOOKUP(($AJ17-$AI17-$AH17-$AG17-$AF17-$AE17*(1+DJ$3))/$AJ17,'Технический лист'!$A:$B,2,1)-VLOOKUP($AO17,'Технический лист'!$A:$B,2,1)),1+(1-$AU17))</f>
        <v>1.036</v>
      </c>
      <c r="DK17" s="15">
        <f>MIN(IF($AU17=100%,1,1+VLOOKUP(($AJ17-$AI17-$AH17-$AG17-$AF17-$AE17*(1+DK$3))/$AJ17,'Технический лист'!$A:$B,2,1)-VLOOKUP($AO17,'Технический лист'!$A:$B,2,1)),1+(1-$AU17))</f>
        <v>1.036</v>
      </c>
      <c r="DL17" s="15">
        <f>MIN(IF($AU17=100%,1,1+VLOOKUP(($AJ17-$AI17-$AH17-$AG17-$AF17-$AE17*(1+DL$3))/$AJ17,'Технический лист'!$A:$B,2,1)-VLOOKUP($AO17,'Технический лист'!$A:$B,2,1)),1+(1-$AU17))</f>
        <v>1.036</v>
      </c>
      <c r="DM17" s="15">
        <f>MIN(IF($AU17=100%,1,1+VLOOKUP(($AJ17-$AI17-$AH17-$AG17-$AF17-$AE17*(1+DM$3))/$AJ17,'Технический лист'!$A:$B,2,1)-VLOOKUP($AO17,'Технический лист'!$A:$B,2,1)),1+(1-$AU17))</f>
        <v>1.0299999999999998</v>
      </c>
      <c r="DN17" s="15">
        <f>MIN(IF($AU17=100%,1,1+VLOOKUP(($AJ17-$AI17-$AH17-$AG17-$AF17-$AE17*(1+DN$3))/$AJ17,'Технический лист'!$A:$B,2,1)-VLOOKUP($AO17,'Технический лист'!$A:$B,2,1)),1+(1-$AU17))</f>
        <v>1.0299999999999998</v>
      </c>
      <c r="DO17" s="15">
        <f>MIN(IF($AU17=100%,1,1+VLOOKUP(($AJ17-$AI17-$AH17-$AG17-$AF17-$AE17*(1+DO$3))/$AJ17,'Технический лист'!$A:$B,2,1)-VLOOKUP($AO17,'Технический лист'!$A:$B,2,1)),1+(1-$AU17))</f>
        <v>1.0299999999999998</v>
      </c>
      <c r="DP17" s="15">
        <f>MIN(IF($AU17=100%,1,1+VLOOKUP(($AJ17-$AI17-$AH17-$AG17-$AF17-$AE17*(1+DP$3))/$AJ17,'Технический лист'!$A:$B,2,1)-VLOOKUP($AO17,'Технический лист'!$A:$B,2,1)),1+(1-$AU17))</f>
        <v>1.0299999999999998</v>
      </c>
      <c r="DQ17" s="15">
        <f>MIN(IF($AU17=100%,1,1+VLOOKUP(($AJ17-$AI17-$AH17-$AG17-$AF17-$AE17*(1+DQ$3))/$AJ17,'Технический лист'!$A:$B,2,1)-VLOOKUP($AO17,'Технический лист'!$A:$B,2,1)),1+(1-$AU17))</f>
        <v>1.0299999999999998</v>
      </c>
      <c r="DR17" s="15">
        <f>MIN(IF($AU17=100%,1,1+VLOOKUP(($AJ17-$AI17-$AH17-$AG17-$AF17-$AE17*(1+DR$3))/$AJ17,'Технический лист'!$A:$B,2,1)-VLOOKUP($AO17,'Технический лист'!$A:$B,2,1)),1+(1-$AU17))</f>
        <v>1.0299999999999998</v>
      </c>
      <c r="DS17" s="15">
        <f>MIN(IF($AU17=100%,1,1+VLOOKUP(($AJ17-$AI17-$AH17-$AG17-$AF17-$AE17*(1+DS$3))/$AJ17,'Технический лист'!$A:$B,2,1)-VLOOKUP($AO17,'Технический лист'!$A:$B,2,1)),1+(1-$AU17))</f>
        <v>1.0299999999999998</v>
      </c>
      <c r="DT17" s="15">
        <f>MIN(IF($AU17=100%,1,1+VLOOKUP(($AJ17-$AI17-$AH17-$AG17-$AF17-$AE17*(1+DT$3))/$AJ17,'Технический лист'!$A:$B,2,1)-VLOOKUP($AO17,'Технический лист'!$A:$B,2,1)),1+(1-$AU17))</f>
        <v>1.024</v>
      </c>
      <c r="DU17" s="15">
        <f>MIN(IF($AU17=100%,1,1+VLOOKUP(($AJ17-$AI17-$AH17-$AG17-$AF17-$AE17*(1+DU$3))/$AJ17,'Технический лист'!$A:$B,2,1)-VLOOKUP($AO17,'Технический лист'!$A:$B,2,1)),1+(1-$AU17))</f>
        <v>1.024</v>
      </c>
      <c r="DV17" s="15">
        <f>MIN(IF($AU17=100%,1,1+VLOOKUP(($AJ17-$AI17-$AH17-$AG17-$AF17-$AE17*(1+DV$3))/$AJ17,'Технический лист'!$A:$B,2,1)-VLOOKUP($AO17,'Технический лист'!$A:$B,2,1)),1+(1-$AU17))</f>
        <v>1.024</v>
      </c>
      <c r="DW17" s="15">
        <f>MIN(IF($AU17=100%,1,1+VLOOKUP(($AJ17-$AI17-$AH17-$AG17-$AF17-$AE17*(1+DW$3))/$AJ17,'Технический лист'!$A:$B,2,1)-VLOOKUP($AO17,'Технический лист'!$A:$B,2,1)),1+(1-$AU17))</f>
        <v>1.024</v>
      </c>
      <c r="DX17" s="15">
        <f>MIN(IF($AU17=100%,1,1+VLOOKUP(($AJ17-$AI17-$AH17-$AG17-$AF17-$AE17*(1+DX$3))/$AJ17,'Технический лист'!$A:$B,2,1)-VLOOKUP($AO17,'Технический лист'!$A:$B,2,1)),1+(1-$AU17))</f>
        <v>1.024</v>
      </c>
      <c r="DY17" s="15">
        <f>MIN(IF($AU17=100%,1,1+VLOOKUP(($AJ17-$AI17-$AH17-$AG17-$AF17-$AE17*(1+DY$3))/$AJ17,'Технический лист'!$A:$B,2,1)-VLOOKUP($AO17,'Технический лист'!$A:$B,2,1)),1+(1-$AU17))</f>
        <v>1.024</v>
      </c>
      <c r="DZ17" s="15">
        <f>MIN(IF($AU17=100%,1,1+VLOOKUP(($AJ17-$AI17-$AH17-$AG17-$AF17-$AE17*(1+DZ$3))/$AJ17,'Технический лист'!$A:$B,2,1)-VLOOKUP($AO17,'Технический лист'!$A:$B,2,1)),1+(1-$AU17))</f>
        <v>1.0179999999999998</v>
      </c>
      <c r="EA17" s="15">
        <f>MIN(IF($AU17=100%,1,1+VLOOKUP(($AJ17-$AI17-$AH17-$AG17-$AF17-$AE17*(1+EA$3))/$AJ17,'Технический лист'!$A:$B,2,1)-VLOOKUP($AO17,'Технический лист'!$A:$B,2,1)),1+(1-$AU17))</f>
        <v>1.0179999999999998</v>
      </c>
      <c r="EB17" s="15">
        <f>MIN(IF($AU17=100%,1,1+VLOOKUP(($AJ17-$AI17-$AH17-$AG17-$AF17-$AE17*(1+EB$3))/$AJ17,'Технический лист'!$A:$B,2,1)-VLOOKUP($AO17,'Технический лист'!$A:$B,2,1)),1+(1-$AU17))</f>
        <v>1.0179999999999998</v>
      </c>
      <c r="EC17" s="15">
        <f>MIN(IF($AU17=100%,1,1+VLOOKUP(($AJ17-$AI17-$AH17-$AG17-$AF17-$AE17*(1+EC$3))/$AJ17,'Технический лист'!$A:$B,2,1)-VLOOKUP($AO17,'Технический лист'!$A:$B,2,1)),1+(1-$AU17))</f>
        <v>1.0179999999999998</v>
      </c>
      <c r="ED17" s="15">
        <f>MIN(IF($AU17=100%,1,1+VLOOKUP(($AJ17-$AI17-$AH17-$AG17-$AF17-$AE17*(1+ED$3))/$AJ17,'Технический лист'!$A:$B,2,1)-VLOOKUP($AO17,'Технический лист'!$A:$B,2,1)),1+(1-$AU17))</f>
        <v>1.0179999999999998</v>
      </c>
      <c r="EE17" s="15">
        <f>MIN(IF($AU17=100%,1,1+VLOOKUP(($AJ17-$AI17-$AH17-$AG17-$AF17-$AE17*(1+EE$3))/$AJ17,'Технический лист'!$A:$B,2,1)-VLOOKUP($AO17,'Технический лист'!$A:$B,2,1)),1+(1-$AU17))</f>
        <v>1.0179999999999998</v>
      </c>
      <c r="EF17" s="15">
        <f>MIN(IF($AU17=100%,1,1+VLOOKUP(($AJ17-$AI17-$AH17-$AG17-$AF17-$AE17*(1+EF$3))/$AJ17,'Технический лист'!$A:$B,2,1)-VLOOKUP($AO17,'Технический лист'!$A:$B,2,1)),1+(1-$AU17))</f>
        <v>1.0179999999999998</v>
      </c>
      <c r="EG17" s="15">
        <f>MIN(IF($AU17=100%,1,1+VLOOKUP(($AJ17-$AI17-$AH17-$AG17-$AF17-$AE17*(1+EG$3))/$AJ17,'Технический лист'!$A:$B,2,1)-VLOOKUP($AO17,'Технический лист'!$A:$B,2,1)),1+(1-$AU17))</f>
        <v>1.012</v>
      </c>
      <c r="EH17" s="15">
        <f>MIN(IF($AU17=100%,1,1+VLOOKUP(($AJ17-$AI17-$AH17-$AG17-$AF17-$AE17*(1+EH$3))/$AJ17,'Технический лист'!$A:$B,2,1)-VLOOKUP($AO17,'Технический лист'!$A:$B,2,1)),1+(1-$AU17))</f>
        <v>1.012</v>
      </c>
      <c r="EI17" s="15">
        <f>MIN(IF($AU17=100%,1,1+VLOOKUP(($AJ17-$AI17-$AH17-$AG17-$AF17-$AE17*(1+EI$3))/$AJ17,'Технический лист'!$A:$B,2,1)-VLOOKUP($AO17,'Технический лист'!$A:$B,2,1)),1+(1-$AU17))</f>
        <v>1.012</v>
      </c>
      <c r="EJ17" s="15">
        <f>MIN(IF($AU17=100%,1,1+VLOOKUP(($AJ17-$AI17-$AH17-$AG17-$AF17-$AE17*(1+EJ$3))/$AJ17,'Технический лист'!$A:$B,2,1)-VLOOKUP($AO17,'Технический лист'!$A:$B,2,1)),1+(1-$AU17))</f>
        <v>1.012</v>
      </c>
      <c r="EK17" s="15">
        <f>MIN(IF($AU17=100%,1,1+VLOOKUP(($AJ17-$AI17-$AH17-$AG17-$AF17-$AE17*(1+EK$3))/$AJ17,'Технический лист'!$A:$B,2,1)-VLOOKUP($AO17,'Технический лист'!$A:$B,2,1)),1+(1-$AU17))</f>
        <v>1.012</v>
      </c>
      <c r="EL17" s="15">
        <f>MIN(IF($AU17=100%,1,1+VLOOKUP(($AJ17-$AI17-$AH17-$AG17-$AF17-$AE17*(1+EL$3))/$AJ17,'Технический лист'!$A:$B,2,1)-VLOOKUP($AO17,'Технический лист'!$A:$B,2,1)),1+(1-$AU17))</f>
        <v>1.012</v>
      </c>
      <c r="EM17" s="15">
        <f>MIN(IF($AU17=100%,1,1+VLOOKUP(($AJ17-$AI17-$AH17-$AG17-$AF17-$AE17*(1+EM$3))/$AJ17,'Технический лист'!$A:$B,2,1)-VLOOKUP($AO17,'Технический лист'!$A:$B,2,1)),1+(1-$AU17))</f>
        <v>1.012</v>
      </c>
      <c r="EN17" s="15">
        <f>MIN(IF($AU17=100%,1,1+VLOOKUP(($AJ17-$AI17-$AH17-$AG17-$AF17-$AE17*(1+EN$3))/$AJ17,'Технический лист'!$A:$B,2,1)-VLOOKUP($AO17,'Технический лист'!$A:$B,2,1)),1+(1-$AU17))</f>
        <v>1.0059999999999998</v>
      </c>
      <c r="EO17" s="15">
        <f>MIN(IF($AU17=100%,1,1+VLOOKUP(($AJ17-$AI17-$AH17-$AG17-$AF17-$AE17*(1+EO$3))/$AJ17,'Технический лист'!$A:$B,2,1)-VLOOKUP($AO17,'Технический лист'!$A:$B,2,1)),1+(1-$AU17))</f>
        <v>1.0059999999999998</v>
      </c>
      <c r="EP17" s="15">
        <f>MIN(IF($AU17=100%,1,1+VLOOKUP(($AJ17-$AI17-$AH17-$AG17-$AF17-$AE17*(1+EP$3))/$AJ17,'Технический лист'!$A:$B,2,1)-VLOOKUP($AO17,'Технический лист'!$A:$B,2,1)),1+(1-$AU17))</f>
        <v>1.0059999999999998</v>
      </c>
      <c r="EQ17" s="15">
        <f>MIN(IF($AU17=100%,1,1+VLOOKUP(($AJ17-$AI17-$AH17-$AG17-$AF17-$AE17*(1+EQ$3))/$AJ17,'Технический лист'!$A:$B,2,1)-VLOOKUP($AO17,'Технический лист'!$A:$B,2,1)),1+(1-$AU17))</f>
        <v>1.0059999999999998</v>
      </c>
      <c r="ER17" s="15">
        <f>MIN(IF($AU17=100%,1,1+VLOOKUP(($AJ17-$AI17-$AH17-$AG17-$AF17-$AE17*(1+ER$3))/$AJ17,'Технический лист'!$A:$B,2,1)-VLOOKUP($AO17,'Технический лист'!$A:$B,2,1)),1+(1-$AU17))</f>
        <v>1.0059999999999998</v>
      </c>
      <c r="ES17" s="15">
        <f>MIN(IF($AU17=100%,1,1+VLOOKUP(($AJ17-$AI17-$AH17-$AG17-$AF17-$AE17*(1+ES$3))/$AJ17,'Технический лист'!$A:$B,2,1)-VLOOKUP($AO17,'Технический лист'!$A:$B,2,1)),1+(1-$AU17))</f>
        <v>1.0059999999999998</v>
      </c>
      <c r="ET17" s="15">
        <f>MIN(IF($AU17=100%,1,1+VLOOKUP(($AJ17-$AI17-$AH17-$AG17-$AF17-$AE17*(1+ET$3))/$AJ17,'Технический лист'!$A:$B,2,1)-VLOOKUP($AO17,'Технический лист'!$A:$B,2,1)),1+(1-$AU17))</f>
        <v>1</v>
      </c>
      <c r="EU17" s="15">
        <f>MIN(IF($AU17=100%,1,1+VLOOKUP(($AJ17-$AI17-$AH17-$AG17-$AF17-$AE17*(1+EU$3))/$AJ17,'Технический лист'!$A:$B,2,1)-VLOOKUP($AO17,'Технический лист'!$A:$B,2,1)),1+(1-$AU17))</f>
        <v>1</v>
      </c>
      <c r="EV17" s="111">
        <v>1</v>
      </c>
      <c r="EW17" s="15">
        <f>MIN(1,MAX(VLOOKUP(($AJ17-$AI17-$AH17-$AG17-$AF17-$AE17*(1+EW$3))/$AJ17,'Технический лист'!$A:$B,2,1),(EV17-0.05)))</f>
        <v>0.95</v>
      </c>
      <c r="EX17" s="15">
        <f>MIN(1,MAX(VLOOKUP(($AJ17-$AI17-$AH17-$AG17-$AF17-$AE17*(1+EX$3))/$AJ17,'Технический лист'!$A:$B,2,1),(EW17-0.05)))</f>
        <v>0.89999999999999991</v>
      </c>
      <c r="EY17" s="15">
        <f>MIN(1,MAX(VLOOKUP(($AJ17-$AI17-$AH17-$AG17-$AF17-$AE17*(1+EY$3))/$AJ17,'Технический лист'!$A:$B,2,1),(EX17-0.05)))</f>
        <v>0.86599999999999999</v>
      </c>
      <c r="EZ17" s="15">
        <f>MIN(1,MAX(VLOOKUP(($AJ17-$AI17-$AH17-$AG17-$AF17-$AE17*(1+EZ$3))/$AJ17,'Технический лист'!$A:$B,2,1),(EY17-0.05)))</f>
        <v>0.86599999999999999</v>
      </c>
      <c r="FA17" s="15">
        <f>MIN(1,MAX(VLOOKUP(($AJ17-$AI17-$AH17-$AG17-$AF17-$AE17*(1+FA$3))/$AJ17,'Технический лист'!$A:$B,2,1),(EZ17-0.05)))</f>
        <v>0.86</v>
      </c>
      <c r="FB17" s="15">
        <f>MIN(1,MAX(VLOOKUP(($AJ17-$AI17-$AH17-$AG17-$AF17-$AE17*(1+FB$3))/$AJ17,'Технический лист'!$A:$B,2,1),(FA17-0.05)))</f>
        <v>0.86</v>
      </c>
      <c r="FC17" s="15">
        <f>MIN(1,MAX(VLOOKUP(($AJ17-$AI17-$AH17-$AG17-$AF17-$AE17*(1+FC$3))/$AJ17,'Технический лист'!$A:$B,2,1),(FB17-0.05)))</f>
        <v>0.86</v>
      </c>
      <c r="FD17" s="15">
        <f>MIN(1,MAX(VLOOKUP(($AJ17-$AI17-$AH17-$AG17-$AF17-$AE17*(1+FD$3))/$AJ17,'Технический лист'!$A:$B,2,1),(FC17-0.05)))</f>
        <v>0.86</v>
      </c>
      <c r="FE17" s="15">
        <f>MIN(1,MAX(VLOOKUP(($AJ17-$AI17-$AH17-$AG17-$AF17-$AE17*(1+FE$3))/$AJ17,'Технический лист'!$A:$B,2,1),(FD17-0.05)))</f>
        <v>0.86</v>
      </c>
      <c r="FF17" s="15">
        <f>MIN(1,MAX(VLOOKUP(($AJ17-$AI17-$AH17-$AG17-$AF17-$AE17*(1+FF$3))/$AJ17,'Технический лист'!$A:$B,2,1),(FE17-0.05)))</f>
        <v>0.86</v>
      </c>
      <c r="FG17" s="15">
        <f>MIN(1,MAX(VLOOKUP(($AJ17-$AI17-$AH17-$AG17-$AF17-$AE17*(1+FG$3))/$AJ17,'Технический лист'!$A:$B,2,1),(FF17-0.05)))</f>
        <v>0.85399999999999998</v>
      </c>
      <c r="FH17" s="15">
        <f>MIN(1,MAX(VLOOKUP(($AJ17-$AI17-$AH17-$AG17-$AF17-$AE17*(1+FH$3))/$AJ17,'Технический лист'!$A:$B,2,1),(FG17-0.05)))</f>
        <v>0.85399999999999998</v>
      </c>
      <c r="FI17" s="15">
        <f>MIN(1,MAX(VLOOKUP(($AJ17-$AI17-$AH17-$AG17-$AF17-$AE17*(1+FI$3))/$AJ17,'Технический лист'!$A:$B,2,1),(FH17-0.05)))</f>
        <v>0.85399999999999998</v>
      </c>
      <c r="FJ17" s="15">
        <f>MIN(1,MAX(VLOOKUP(($AJ17-$AI17-$AH17-$AG17-$AF17-$AE17*(1+FJ$3))/$AJ17,'Технический лист'!$A:$B,2,1),(FI17-0.05)))</f>
        <v>0.85399999999999998</v>
      </c>
      <c r="FK17" s="15">
        <f>MIN(1,MAX(VLOOKUP(($AJ17-$AI17-$AH17-$AG17-$AF17-$AE17*(1+FK$3))/$AJ17,'Технический лист'!$A:$B,2,1),(FJ17-0.05)))</f>
        <v>0.85399999999999998</v>
      </c>
      <c r="FL17" s="15">
        <f>MIN(1,MAX(VLOOKUP(($AJ17-$AI17-$AH17-$AG17-$AF17-$AE17*(1+FL$3))/$AJ17,'Технический лист'!$A:$B,2,1),(FK17-0.05)))</f>
        <v>0.85399999999999998</v>
      </c>
      <c r="FM17" s="15">
        <f>MIN(1,MAX(VLOOKUP(($AJ17-$AI17-$AH17-$AG17-$AF17-$AE17*(1+FM$3))/$AJ17,'Технический лист'!$A:$B,2,1),(FL17-0.05)))</f>
        <v>0.85399999999999998</v>
      </c>
      <c r="FN17" s="15">
        <f>MIN(1,MAX(VLOOKUP(($AJ17-$AI17-$AH17-$AG17-$AF17-$AE17*(1+FN$3))/$AJ17,'Технический лист'!$A:$B,2,1),(FM17-0.05)))</f>
        <v>0.84799999999999998</v>
      </c>
      <c r="FO17" s="15">
        <f>MIN(1,MAX(VLOOKUP(($AJ17-$AI17-$AH17-$AG17-$AF17-$AE17*(1+FO$3))/$AJ17,'Технический лист'!$A:$B,2,1),(FN17-0.05)))</f>
        <v>0.84799999999999998</v>
      </c>
      <c r="FP17" s="15">
        <f>MIN(1,MAX(VLOOKUP(($AJ17-$AI17-$AH17-$AG17-$AF17-$AE17*(1+FP$3))/$AJ17,'Технический лист'!$A:$B,2,1),(FO17-0.05)))</f>
        <v>0.84799999999999998</v>
      </c>
      <c r="FQ17" s="15">
        <f>MIN(1,MAX(VLOOKUP(($AJ17-$AI17-$AH17-$AG17-$AF17-$AE17*(1+FQ$3))/$AJ17,'Технический лист'!$A:$B,2,1),(FP17-0.05)))</f>
        <v>0.84799999999999998</v>
      </c>
      <c r="FR17" s="15">
        <f>MIN(1,MAX(VLOOKUP(($AJ17-$AI17-$AH17-$AG17-$AF17-$AE17*(1+FR$3))/$AJ17,'Технический лист'!$A:$B,2,1),(FQ17-0.05)))</f>
        <v>0.84799999999999998</v>
      </c>
      <c r="FS17" s="15">
        <f>MIN(1,MAX(VLOOKUP(($AJ17-$AI17-$AH17-$AG17-$AF17-$AE17*(1+FS$3))/$AJ17,'Технический лист'!$A:$B,2,1),(FR17-0.05)))</f>
        <v>0.84799999999999998</v>
      </c>
      <c r="FT17" s="15">
        <f>MIN(1,MAX(VLOOKUP(($AJ17-$AI17-$AH17-$AG17-$AF17-$AE17*(1+FT$3))/$AJ17,'Технический лист'!$A:$B,2,1),(FS17-0.05)))</f>
        <v>0.84199999999999997</v>
      </c>
      <c r="FU17" s="15">
        <f>MIN(1,MAX(VLOOKUP(($AJ17-$AI17-$AH17-$AG17-$AF17-$AE17*(1+FU$3))/$AJ17,'Технический лист'!$A:$B,2,1),(FT17-0.05)))</f>
        <v>0.84199999999999997</v>
      </c>
      <c r="FV17" s="15">
        <f>MIN(1,MAX(VLOOKUP(($AJ17-$AI17-$AH17-$AG17-$AF17-$AE17*(1+FV$3))/$AJ17,'Технический лист'!$A:$B,2,1),(FU17-0.05)))</f>
        <v>0.84199999999999997</v>
      </c>
      <c r="FW17" s="15">
        <f>MIN(1,MAX(VLOOKUP(($AJ17-$AI17-$AH17-$AG17-$AF17-$AE17*(1+FW$3))/$AJ17,'Технический лист'!$A:$B,2,1),(FV17-0.05)))</f>
        <v>0.84199999999999997</v>
      </c>
      <c r="FX17" s="15">
        <f>MIN(1,MAX(VLOOKUP(($AJ17-$AI17-$AH17-$AG17-$AF17-$AE17*(1+FX$3))/$AJ17,'Технический лист'!$A:$B,2,1),(FW17-0.05)))</f>
        <v>0.84199999999999997</v>
      </c>
      <c r="FY17" s="15">
        <f>MIN(1,MAX(VLOOKUP(($AJ17-$AI17-$AH17-$AG17-$AF17-$AE17*(1+FY$3))/$AJ17,'Технический лист'!$A:$B,2,1),(FX17-0.05)))</f>
        <v>0.84199999999999997</v>
      </c>
      <c r="FZ17" s="15">
        <f>MIN(1,MAX(VLOOKUP(($AJ17-$AI17-$AH17-$AG17-$AF17-$AE17*(1+FZ$3))/$AJ17,'Технический лист'!$A:$B,2,1),(FY17-0.05)))</f>
        <v>0.84199999999999997</v>
      </c>
      <c r="GA17" s="15">
        <f>MIN(1,MAX(VLOOKUP(($AJ17-$AI17-$AH17-$AG17-$AF17-$AE17*(1+GA$3))/$AJ17,'Технический лист'!$A:$B,2,1),(FZ17-0.05)))</f>
        <v>0.83599999999999997</v>
      </c>
      <c r="GB17" s="15">
        <f>MIN(1,MAX(VLOOKUP(($AJ17-$AI17-$AH17-$AG17-$AF17-$AE17*(1+GB$3))/$AJ17,'Технический лист'!$A:$B,2,1),(GA17-0.05)))</f>
        <v>0.83599999999999997</v>
      </c>
      <c r="GC17" s="15">
        <f>MIN(1,MAX(VLOOKUP(($AJ17-$AI17-$AH17-$AG17-$AF17-$AE17*(1+GC$3))/$AJ17,'Технический лист'!$A:$B,2,1),(GB17-0.05)))</f>
        <v>0.83599999999999997</v>
      </c>
      <c r="GD17" s="15">
        <f>MIN(1,MAX(VLOOKUP(($AJ17-$AI17-$AH17-$AG17-$AF17-$AE17*(1+GD$3))/$AJ17,'Технический лист'!$A:$B,2,1),(GC17-0.05)))</f>
        <v>0.83599999999999997</v>
      </c>
      <c r="GE17" s="15">
        <f>MIN(1,MAX(VLOOKUP(($AJ17-$AI17-$AH17-$AG17-$AF17-$AE17*(1+GE$3))/$AJ17,'Технический лист'!$A:$B,2,1),(GD17-0.05)))</f>
        <v>0.83599999999999997</v>
      </c>
      <c r="GF17" s="15">
        <f>MIN(1,MAX(VLOOKUP(($AJ17-$AI17-$AH17-$AG17-$AF17-$AE17*(1+GF$3))/$AJ17,'Технический лист'!$A:$B,2,1),(GE17-0.05)))</f>
        <v>0.83599999999999997</v>
      </c>
      <c r="GG17" s="15">
        <f>MIN(1,MAX(VLOOKUP(($AJ17-$AI17-$AH17-$AG17-$AF17-$AE17*(1+GG$3))/$AJ17,'Технический лист'!$A:$B,2,1),(GF17-0.05)))</f>
        <v>0.83599999999999997</v>
      </c>
      <c r="GH17" s="15">
        <f>MIN(1,MAX(VLOOKUP(($AJ17-$AI17-$AH17-$AG17-$AF17-$AE17*(1+GH$3))/$AJ17,'Технический лист'!$A:$B,2,1),(GG17-0.05)))</f>
        <v>0.82899999999999996</v>
      </c>
      <c r="GI17" s="15">
        <f>MIN(1,MAX(VLOOKUP(($AJ17-$AI17-$AH17-$AG17-$AF17-$AE17*(1+GI$3))/$AJ17,'Технический лист'!$A:$B,2,1),(GH17-0.05)))</f>
        <v>0.82899999999999996</v>
      </c>
      <c r="GJ17" s="15">
        <f>MIN(1,MAX(VLOOKUP(($AJ17-$AI17-$AH17-$AG17-$AF17-$AE17*(1+GJ$3))/$AJ17,'Технический лист'!$A:$B,2,1),(GI17-0.05)))</f>
        <v>0.82899999999999996</v>
      </c>
      <c r="GK17" s="15">
        <f>MIN(1,MAX(VLOOKUP(($AJ17-$AI17-$AH17-$AG17-$AF17-$AE17*(1+GK$3))/$AJ17,'Технический лист'!$A:$B,2,1),(GJ17-0.05)))</f>
        <v>0.82899999999999996</v>
      </c>
      <c r="GL17" s="15">
        <f>MIN(1,MAX(VLOOKUP(($AJ17-$AI17-$AH17-$AG17-$AF17-$AE17*(1+GL$3))/$AJ17,'Технический лист'!$A:$B,2,1),(GK17-0.05)))</f>
        <v>0.82899999999999996</v>
      </c>
      <c r="GM17" s="15">
        <f>MIN(1,MAX(VLOOKUP(($AJ17-$AI17-$AH17-$AG17-$AF17-$AE17*(1+GM$3))/$AJ17,'Технический лист'!$A:$B,2,1),(GL17-0.05)))</f>
        <v>0.82899999999999996</v>
      </c>
      <c r="GN17" s="15">
        <f>MIN(1,MAX(VLOOKUP(($AJ17-$AI17-$AH17-$AG17-$AF17-$AE17*(1+GN$3))/$AJ17,'Технический лист'!$A:$B,2,1),(GM17-0.05)))</f>
        <v>0.82199999999999995</v>
      </c>
      <c r="GO17" s="15">
        <f>MIN(1,MAX(VLOOKUP(($AJ17-$AI17-$AH17-$AG17-$AF17-$AE17*(1+GO$3))/$AJ17,'Технический лист'!$A:$B,2,1),(GN17-0.05)))</f>
        <v>0.82199999999999995</v>
      </c>
      <c r="GP17" s="15">
        <f>MIN(1,MAX(VLOOKUP(($AJ17-$AI17-$AH17-$AG17-$AF17-$AE17*(1+GP$3))/$AJ17,'Технический лист'!$A:$B,2,1),(GO17-0.05)))</f>
        <v>0.82199999999999995</v>
      </c>
      <c r="GQ17" s="15">
        <f>MIN(1,MAX(VLOOKUP(($AJ17-$AI17-$AH17-$AG17-$AF17-$AE17*(1+GQ$3))/$AJ17,'Технический лист'!$A:$B,2,1),(GP17-0.05)))</f>
        <v>0.82199999999999995</v>
      </c>
      <c r="GR17" s="15">
        <f>MIN(1,MAX(VLOOKUP(($AJ17-$AI17-$AH17-$AG17-$AF17-$AE17*(1+GR$3))/$AJ17,'Технический лист'!$A:$B,2,1),(GQ17-0.05)))</f>
        <v>0.82199999999999995</v>
      </c>
      <c r="GS17" s="15">
        <f>MIN(1,MAX(VLOOKUP(($AJ17-$AI17-$AH17-$AG17-$AF17-$AE17*(1+GS$3))/$AJ17,'Технический лист'!$A:$B,2,1),(GR17-0.05)))</f>
        <v>0.82199999999999995</v>
      </c>
      <c r="GT17" s="15">
        <f>MIN(1,MAX(VLOOKUP(($AJ17-$AI17-$AH17-$AG17-$AF17-$AE17*(1+GT$3))/$AJ17,'Технический лист'!$A:$B,2,1),(GS17-0.05)))</f>
        <v>0.82199999999999995</v>
      </c>
      <c r="GU17" s="15">
        <f>MIN(1,MAX(VLOOKUP(($AJ17-$AI17-$AH17-$AG17-$AF17-$AE17*(1+GU$3))/$AJ17,'Технический лист'!$A:$B,2,1),(GT17-0.05)))</f>
        <v>0.81499999999999995</v>
      </c>
      <c r="GV17" s="15">
        <f>MIN(1,MAX(VLOOKUP(($AJ17-$AI17-$AH17-$AG17-$AF17-$AE17*(1+GV$3))/$AJ17,'Технический лист'!$A:$B,2,1),(GU17-0.05)))</f>
        <v>0.81499999999999995</v>
      </c>
      <c r="GW17" s="15">
        <f>MIN(1,MAX(VLOOKUP(($AJ17-$AI17-$AH17-$AG17-$AF17-$AE17*(1+GW$3))/$AJ17,'Технический лист'!$A:$B,2,1),(GV17-0.05)))</f>
        <v>0.81499999999999995</v>
      </c>
      <c r="GX17" s="15">
        <f>MIN(1,MAX(VLOOKUP(($AJ17-$AI17-$AH17-$AG17-$AF17-$AE17*(1+GX$3))/$AJ17,'Технический лист'!$A:$B,2,1),(GW17-0.05)))</f>
        <v>0.81499999999999995</v>
      </c>
      <c r="GY17" s="15">
        <f>MIN(1,MAX(VLOOKUP(($AJ17-$AI17-$AH17-$AG17-$AF17-$AE17*(1+GY$3))/$AJ17,'Технический лист'!$A:$B,2,1),(GX17-0.05)))</f>
        <v>0.81499999999999995</v>
      </c>
      <c r="GZ17" s="15">
        <f>MIN(1,MAX(VLOOKUP(($AJ17-$AI17-$AH17-$AG17-$AF17-$AE17*(1+GZ$3))/$AJ17,'Технический лист'!$A:$B,2,1),(GY17-0.05)))</f>
        <v>0.81499999999999995</v>
      </c>
      <c r="HA17" s="15">
        <f>MIN(1,MAX(VLOOKUP(($AJ17-$AI17-$AH17-$AG17-$AF17-$AE17*(1+HA$3))/$AJ17,'Технический лист'!$A:$B,2,1),(GZ17-0.05)))</f>
        <v>0.80800000000000005</v>
      </c>
      <c r="HB17" s="15">
        <f>MIN(1,MAX(VLOOKUP(($AJ17-$AI17-$AH17-$AG17-$AF17-$AE17*(1+HB$3))/$AJ17,'Технический лист'!$A:$B,2,1),(HA17-0.05)))</f>
        <v>0.80800000000000005</v>
      </c>
      <c r="HC17" s="15">
        <f>MIN(1,MAX(VLOOKUP(($AJ17-$AI17-$AH17-$AG17-$AF17-$AE17*(1+HC$3))/$AJ17,'Технический лист'!$A:$B,2,1),(HB17-0.05)))</f>
        <v>0.80800000000000005</v>
      </c>
      <c r="HD17" s="15">
        <f>MIN(1,MAX(VLOOKUP(($AJ17-$AI17-$AH17-$AG17-$AF17-$AE17*(1+HD$3))/$AJ17,'Технический лист'!$A:$B,2,1),(HC17-0.05)))</f>
        <v>0.80800000000000005</v>
      </c>
      <c r="HE17" s="15">
        <f>MIN(1,MAX(VLOOKUP(($AJ17-$AI17-$AH17-$AG17-$AF17-$AE17*(1+HE$3))/$AJ17,'Технический лист'!$A:$B,2,1),(HD17-0.05)))</f>
        <v>0.80800000000000005</v>
      </c>
      <c r="HF17" s="15">
        <f>MIN(1,MAX(VLOOKUP(($AJ17-$AI17-$AH17-$AG17-$AF17-$AE17*(1+HF$3))/$AJ17,'Технический лист'!$A:$B,2,1),(HE17-0.05)))</f>
        <v>0.80800000000000005</v>
      </c>
      <c r="HG17" s="15">
        <f>MIN(1,MAX(VLOOKUP(($AJ17-$AI17-$AH17-$AG17-$AF17-$AE17*(1+HG$3))/$AJ17,'Технический лист'!$A:$B,2,1),(HF17-0.05)))</f>
        <v>0.80800000000000005</v>
      </c>
      <c r="HH17" s="15">
        <f>MIN(1,MAX(VLOOKUP(($AJ17-$AI17-$AH17-$AG17-$AF17-$AE17*(1+HH$3))/$AJ17,'Технический лист'!$A:$B,2,1),(HG17-0.05)))</f>
        <v>0.80100000000000005</v>
      </c>
      <c r="HI17" s="15">
        <f>MIN(1,MAX(VLOOKUP(($AJ17-$AI17-$AH17-$AG17-$AF17-$AE17*(1+HI$3))/$AJ17,'Технический лист'!$A:$B,2,1),(HH17-0.05)))</f>
        <v>0.80100000000000005</v>
      </c>
      <c r="HJ17" s="15">
        <f>MIN(1,MAX(VLOOKUP(($AJ17-$AI17-$AH17-$AG17-$AF17-$AE17*(1+HJ$3))/$AJ17,'Технический лист'!$A:$B,2,1),(HI17-0.05)))</f>
        <v>0.80100000000000005</v>
      </c>
      <c r="HK17" s="15">
        <f>MIN(1,MAX(VLOOKUP(($AJ17-$AI17-$AH17-$AG17-$AF17-$AE17*(1+HK$3))/$AJ17,'Технический лист'!$A:$B,2,1),(HJ17-0.05)))</f>
        <v>0.80100000000000005</v>
      </c>
      <c r="HL17" s="15">
        <f>MIN(1,MAX(VLOOKUP(($AJ17-$AI17-$AH17-$AG17-$AF17-$AE17*(1+HL$3))/$AJ17,'Технический лист'!$A:$B,2,1),(HK17-0.05)))</f>
        <v>0.80100000000000005</v>
      </c>
      <c r="HM17" s="15">
        <f>MIN(1,MAX(VLOOKUP(($AJ17-$AI17-$AH17-$AG17-$AF17-$AE17*(1+HM$3))/$AJ17,'Технический лист'!$A:$B,2,1),(HL17-0.05)))</f>
        <v>0.80100000000000005</v>
      </c>
      <c r="HN17" s="15">
        <f>MIN(1,MAX(VLOOKUP(($AJ17-$AI17-$AH17-$AG17-$AF17-$AE17*(1+HN$3))/$AJ17,'Технический лист'!$A:$B,2,1),(HM17-0.05)))</f>
        <v>0.80100000000000005</v>
      </c>
      <c r="HO17" s="15">
        <f>MIN(1,MAX(VLOOKUP(($AJ17-$AI17-$AH17-$AG17-$AF17-$AE17*(1+HO$3))/$AJ17,'Технический лист'!$A:$B,2,1),(HN17-0.05)))</f>
        <v>0.79400000000000004</v>
      </c>
      <c r="HP17" s="15">
        <f>MIN(1,MAX(VLOOKUP(($AJ17-$AI17-$AH17-$AG17-$AF17-$AE17*(1+HP$3))/$AJ17,'Технический лист'!$A:$B,2,1),(HO17-0.05)))</f>
        <v>0.79400000000000004</v>
      </c>
      <c r="HQ17" s="15">
        <f>MIN(1,MAX(VLOOKUP(($AJ17-$AI17-$AH17-$AG17-$AF17-$AE17*(1+HQ$3))/$AJ17,'Технический лист'!$A:$B,2,1),(HP17-0.05)))</f>
        <v>0.79400000000000004</v>
      </c>
      <c r="HR17" s="15">
        <f>MIN(1,MAX(VLOOKUP(($AJ17-$AI17-$AH17-$AG17-$AF17-$AE17*(1+HR$3))/$AJ17,'Технический лист'!$A:$B,2,1),(HQ17-0.05)))</f>
        <v>0.79400000000000004</v>
      </c>
      <c r="HS17" s="15">
        <f>MIN(1,MAX(VLOOKUP(($AJ17-$AI17-$AH17-$AG17-$AF17-$AE17*(1+HS$3))/$AJ17,'Технический лист'!$A:$B,2,1),(HR17-0.05)))</f>
        <v>0.79400000000000004</v>
      </c>
      <c r="HT17" s="15">
        <f>MIN(1,MAX(VLOOKUP(($AJ17-$AI17-$AH17-$AG17-$AF17-$AE17*(1+HT$3))/$AJ17,'Технический лист'!$A:$B,2,1),(HS17-0.05)))</f>
        <v>0.79400000000000004</v>
      </c>
      <c r="HU17" s="15">
        <f>MIN(1,MAX(VLOOKUP(($AJ17-$AI17-$AH17-$AG17-$AF17-$AE17*(1+HU$3))/$AJ17,'Технический лист'!$A:$B,2,1),(HT17-0.05)))</f>
        <v>0.78700000000000003</v>
      </c>
      <c r="HV17" s="15">
        <f>MIN(1,MAX(VLOOKUP(($AJ17-$AI17-$AH17-$AG17-$AF17-$AE17*(1+HV$3))/$AJ17,'Технический лист'!$A:$B,2,1),(HU17-0.05)))</f>
        <v>0.78700000000000003</v>
      </c>
      <c r="HW17" s="15">
        <f>MIN(1,MAX(VLOOKUP(($AJ17-$AI17-$AH17-$AG17-$AF17-$AE17*(1+HW$3))/$AJ17,'Технический лист'!$A:$B,2,1),(HV17-0.05)))</f>
        <v>0.78700000000000003</v>
      </c>
      <c r="HX17" s="15">
        <f>MIN(1,MAX(VLOOKUP(($AJ17-$AI17-$AH17-$AG17-$AF17-$AE17*(1+HX$3))/$AJ17,'Технический лист'!$A:$B,2,1),(HW17-0.05)))</f>
        <v>0.78700000000000003</v>
      </c>
      <c r="HY17" s="15">
        <f>MIN(1,MAX(VLOOKUP(($AJ17-$AI17-$AH17-$AG17-$AF17-$AE17*(1+HY$3))/$AJ17,'Технический лист'!$A:$B,2,1),(HX17-0.05)))</f>
        <v>0.78700000000000003</v>
      </c>
      <c r="HZ17" s="15">
        <f>MIN(1,MAX(VLOOKUP(($AJ17-$AI17-$AH17-$AG17-$AF17-$AE17*(1+HZ$3))/$AJ17,'Технический лист'!$A:$B,2,1),(HY17-0.05)))</f>
        <v>0.78700000000000003</v>
      </c>
      <c r="IA17" s="15">
        <f>MIN(1,MAX(VLOOKUP(($AJ17-$AI17-$AH17-$AG17-$AF17-$AE17*(1+IA$3))/$AJ17,'Технический лист'!$A:$B,2,1),(HZ17-0.05)))</f>
        <v>0.78700000000000003</v>
      </c>
      <c r="IB17" s="15">
        <f>MIN(1,MAX(VLOOKUP(($AJ17-$AI17-$AH17-$AG17-$AF17-$AE17*(1+IB$3))/$AJ17,'Технический лист'!$A:$B,2,1),(IA17-0.05)))</f>
        <v>0.78</v>
      </c>
      <c r="IC17" s="15">
        <f>MIN(1,MAX(VLOOKUP(($AJ17-$AI17-$AH17-$AG17-$AF17-$AE17*(1+IC$3))/$AJ17,'Технический лист'!$A:$B,2,1),(IB17-0.05)))</f>
        <v>0.78</v>
      </c>
      <c r="ID17" s="15">
        <f>MIN(1,MAX(VLOOKUP(($AJ17-$AI17-$AH17-$AG17-$AF17-$AE17*(1+ID$3))/$AJ17,'Технический лист'!$A:$B,2,1),(IC17-0.05)))</f>
        <v>0.78</v>
      </c>
      <c r="IE17" s="15">
        <f>MIN(1,MAX(VLOOKUP(($AJ17-$AI17-$AH17-$AG17-$AF17-$AE17*(1+IE$3))/$AJ17,'Технический лист'!$A:$B,2,1),(ID17-0.05)))</f>
        <v>0.78</v>
      </c>
      <c r="IF17" s="15">
        <f>MIN(1,MAX(VLOOKUP(($AJ17-$AI17-$AH17-$AG17-$AF17-$AE17*(1+IF$3))/$AJ17,'Технический лист'!$A:$B,2,1),(IE17-0.05)))</f>
        <v>0.78</v>
      </c>
      <c r="IG17" s="15">
        <f>MIN(1,MAX(VLOOKUP(($AJ17-$AI17-$AH17-$AG17-$AF17-$AE17*(1+IG$3))/$AJ17,'Технический лист'!$A:$B,2,1),(IF17-0.05)))</f>
        <v>0.78</v>
      </c>
      <c r="IH17" s="15">
        <f>MIN(1,MAX(VLOOKUP(($AJ17-$AI17-$AH17-$AG17-$AF17-$AE17*(1+IH$3))/$AJ17,'Технический лист'!$A:$B,2,1),(IG17-0.05)))</f>
        <v>0.77300000000000002</v>
      </c>
      <c r="II17" s="15">
        <f>MIN(1,MAX(VLOOKUP(($AJ17-$AI17-$AH17-$AG17-$AF17-$AE17*(1+II$3))/$AJ17,'Технический лист'!$A:$B,2,1),(IH17-0.05)))</f>
        <v>0.77300000000000002</v>
      </c>
      <c r="IJ17" s="15">
        <f>MIN(1,MAX(VLOOKUP(($AJ17-$AI17-$AH17-$AG17-$AF17-$AE17*(1+IJ$3))/$AJ17,'Технический лист'!$A:$B,2,1),(II17-0.05)))</f>
        <v>0.77300000000000002</v>
      </c>
      <c r="IK17" s="15">
        <f>MIN(1,MAX(VLOOKUP(($AJ17-$AI17-$AH17-$AG17-$AF17-$AE17*(1+IK$3))/$AJ17,'Технический лист'!$A:$B,2,1),(IJ17-0.05)))</f>
        <v>0.77300000000000002</v>
      </c>
      <c r="IL17" s="15">
        <f>MIN(1,MAX(VLOOKUP(($AJ17-$AI17-$AH17-$AG17-$AF17-$AE17*(1+IL$3))/$AJ17,'Технический лист'!$A:$B,2,1),(IK17-0.05)))</f>
        <v>0.77300000000000002</v>
      </c>
      <c r="IM17" s="15">
        <f>MIN(1,MAX(VLOOKUP(($AJ17-$AI17-$AH17-$AG17-$AF17-$AE17*(1+IM$3))/$AJ17,'Технический лист'!$A:$B,2,1),(IL17-0.05)))</f>
        <v>0.77300000000000002</v>
      </c>
      <c r="IN17" s="15">
        <f>MIN(1,MAX(VLOOKUP(($AJ17-$AI17-$AH17-$AG17-$AF17-$AE17*(1+IN$3))/$AJ17,'Технический лист'!$A:$B,2,1),(IM17-0.05)))</f>
        <v>0.77300000000000002</v>
      </c>
      <c r="IO17" s="15">
        <f>MIN(1,MAX(VLOOKUP(($AJ17-$AI17-$AH17-$AG17-$AF17-$AE17*(1+IO$3))/$AJ17,'Технический лист'!$A:$B,2,1),(IN17-0.05)))</f>
        <v>0.76600000000000001</v>
      </c>
      <c r="IP17" s="15">
        <f>MIN(1,MAX(VLOOKUP(($AJ17-$AI17-$AH17-$AG17-$AF17-$AE17*(1+IP$3))/$AJ17,'Технический лист'!$A:$B,2,1),(IO17-0.05)))</f>
        <v>0.76600000000000001</v>
      </c>
      <c r="IQ17" s="15">
        <f>MIN(1,MAX(VLOOKUP(($AJ17-$AI17-$AH17-$AG17-$AF17-$AE17*(1+IQ$3))/$AJ17,'Технический лист'!$A:$B,2,1),(IP17-0.05)))</f>
        <v>0.76600000000000001</v>
      </c>
      <c r="IR17" s="15">
        <f>MIN(1,MAX(VLOOKUP(($AJ17-$AI17-$AH17-$AG17-$AF17-$AE17*(1+IR$3))/$AJ17,'Технический лист'!$A:$B,2,1),(IQ17-0.05)))</f>
        <v>0.76600000000000001</v>
      </c>
    </row>
    <row r="18" spans="1:252" ht="45" customHeight="1">
      <c r="A18" s="89" t="s">
        <v>514</v>
      </c>
      <c r="B18" s="90">
        <v>2</v>
      </c>
      <c r="C18" s="5" t="s">
        <v>65</v>
      </c>
      <c r="D18" s="91">
        <v>17103</v>
      </c>
      <c r="E18" s="91" t="s">
        <v>316</v>
      </c>
      <c r="F18" s="92" t="s">
        <v>69</v>
      </c>
      <c r="G18" s="91" t="s">
        <v>23</v>
      </c>
      <c r="H18" s="91" t="s">
        <v>26</v>
      </c>
      <c r="I18" s="91" t="s">
        <v>54</v>
      </c>
      <c r="J18" s="91" t="s">
        <v>92</v>
      </c>
      <c r="K18" s="91">
        <v>3714</v>
      </c>
      <c r="L18" s="85" t="s">
        <v>64</v>
      </c>
      <c r="M18" s="91" t="s">
        <v>190</v>
      </c>
      <c r="N18" s="91" t="s">
        <v>191</v>
      </c>
      <c r="O18" s="91" t="s">
        <v>193</v>
      </c>
      <c r="P18" s="89" t="s">
        <v>200</v>
      </c>
      <c r="Q18" s="91" t="s">
        <v>276</v>
      </c>
      <c r="R18" s="91" t="s">
        <v>253</v>
      </c>
      <c r="S18" s="82">
        <v>1059539</v>
      </c>
      <c r="T18" s="82">
        <v>3935328101</v>
      </c>
      <c r="U18" s="81">
        <v>22624</v>
      </c>
      <c r="V18" s="81">
        <v>0</v>
      </c>
      <c r="W18" s="82">
        <v>2444061086</v>
      </c>
      <c r="X18" s="112">
        <v>47</v>
      </c>
      <c r="Y18" s="112" t="s">
        <v>418</v>
      </c>
      <c r="Z18" s="113">
        <v>9</v>
      </c>
      <c r="AA18" s="113">
        <v>10</v>
      </c>
      <c r="AB18" s="113">
        <v>4</v>
      </c>
      <c r="AC18" s="99">
        <v>2557.79</v>
      </c>
      <c r="AD18" s="99">
        <f t="shared" si="1"/>
        <v>1243.7600000000002</v>
      </c>
      <c r="AE18" s="99">
        <v>3801.55</v>
      </c>
      <c r="AF18" s="98">
        <f>(Z18+AA18+AB18)*'Ставки аренды'!$B$3/X18</f>
        <v>342.55319148936172</v>
      </c>
      <c r="AG18" s="114">
        <v>0</v>
      </c>
      <c r="AH18" s="94">
        <v>0</v>
      </c>
      <c r="AI18" s="115">
        <f>0.9*AVERAGE(AJ13,AJ14)</f>
        <v>14757.857325000001</v>
      </c>
      <c r="AJ18" s="117">
        <f>Цены!$D$9</f>
        <v>17000</v>
      </c>
      <c r="AK18" s="94">
        <f>AJ18/Цены!$B$1</f>
        <v>222.7886587467483</v>
      </c>
      <c r="AL18" s="95">
        <f t="shared" si="5"/>
        <v>4144.103191489362</v>
      </c>
      <c r="AM18" s="95">
        <f t="shared" si="6"/>
        <v>12855.896808510639</v>
      </c>
      <c r="AN18" s="94">
        <f t="shared" si="2"/>
        <v>18901.960516489362</v>
      </c>
      <c r="AO18" s="118">
        <f t="shared" si="3"/>
        <v>-0.11188003038172717</v>
      </c>
      <c r="AP18" s="96">
        <f t="shared" si="7"/>
        <v>0.24377077596996247</v>
      </c>
      <c r="AQ18" s="96">
        <f t="shared" si="8"/>
        <v>0.22362058823529413</v>
      </c>
      <c r="AR18" s="96">
        <f t="shared" si="9"/>
        <v>0.91733960867749276</v>
      </c>
      <c r="AS18" s="122">
        <v>1</v>
      </c>
      <c r="AT18" s="121">
        <f t="shared" si="10"/>
        <v>1059539</v>
      </c>
      <c r="AU18" s="83" t="s">
        <v>475</v>
      </c>
      <c r="AV18" s="119">
        <f t="shared" si="11"/>
        <v>-0.13871450096996255</v>
      </c>
      <c r="AW18" s="120">
        <f t="shared" si="12"/>
        <v>0.27060524655819779</v>
      </c>
      <c r="AX18" s="120">
        <f t="shared" si="13"/>
        <v>0.25045505882352948</v>
      </c>
      <c r="AY18" s="120">
        <f t="shared" si="14"/>
        <v>0.92553659623766849</v>
      </c>
      <c r="AZ18" s="15">
        <v>1</v>
      </c>
      <c r="BA18" s="15">
        <v>1</v>
      </c>
      <c r="BB18" s="15">
        <v>1</v>
      </c>
      <c r="BC18" s="15">
        <v>1</v>
      </c>
      <c r="BD18" s="15">
        <v>1</v>
      </c>
      <c r="BE18" s="15">
        <v>1</v>
      </c>
      <c r="BF18" s="15">
        <v>1</v>
      </c>
      <c r="BG18" s="15">
        <v>1</v>
      </c>
      <c r="BH18" s="15">
        <v>1</v>
      </c>
      <c r="BI18" s="15">
        <v>1</v>
      </c>
      <c r="BJ18" s="15">
        <v>1</v>
      </c>
      <c r="BK18" s="15">
        <v>1</v>
      </c>
      <c r="BL18" s="15">
        <v>1</v>
      </c>
      <c r="BM18" s="15">
        <v>1</v>
      </c>
      <c r="BN18" s="15">
        <v>1</v>
      </c>
      <c r="BO18" s="15">
        <v>1</v>
      </c>
      <c r="BP18" s="15">
        <v>1</v>
      </c>
      <c r="BQ18" s="15">
        <v>1</v>
      </c>
      <c r="BR18" s="15">
        <v>1</v>
      </c>
      <c r="BS18" s="15">
        <v>1</v>
      </c>
      <c r="BT18" s="15">
        <v>1</v>
      </c>
      <c r="BU18" s="15">
        <v>1</v>
      </c>
      <c r="BV18" s="15">
        <v>1</v>
      </c>
      <c r="BW18" s="15">
        <v>1</v>
      </c>
      <c r="BX18" s="15">
        <v>1</v>
      </c>
      <c r="BY18" s="15">
        <v>1</v>
      </c>
      <c r="BZ18" s="15">
        <v>1</v>
      </c>
      <c r="CA18" s="15">
        <v>1</v>
      </c>
      <c r="CB18" s="15">
        <v>1</v>
      </c>
      <c r="CC18" s="15">
        <v>1</v>
      </c>
      <c r="CD18" s="15">
        <v>1</v>
      </c>
      <c r="CE18" s="15">
        <v>1</v>
      </c>
      <c r="CF18" s="15">
        <v>1</v>
      </c>
      <c r="CG18" s="15">
        <v>1</v>
      </c>
      <c r="CH18" s="15">
        <v>1</v>
      </c>
      <c r="CI18" s="15">
        <v>1</v>
      </c>
      <c r="CJ18" s="15">
        <v>1</v>
      </c>
      <c r="CK18" s="15">
        <v>1</v>
      </c>
      <c r="CL18" s="15">
        <v>1</v>
      </c>
      <c r="CM18" s="15">
        <v>1</v>
      </c>
      <c r="CN18" s="15">
        <v>1</v>
      </c>
      <c r="CO18" s="15">
        <v>1</v>
      </c>
      <c r="CP18" s="15">
        <v>1</v>
      </c>
      <c r="CQ18" s="15">
        <v>1</v>
      </c>
      <c r="CR18" s="15">
        <v>1</v>
      </c>
      <c r="CS18" s="15">
        <v>1</v>
      </c>
      <c r="CT18" s="15">
        <v>1</v>
      </c>
      <c r="CU18" s="15">
        <v>1</v>
      </c>
      <c r="CV18" s="15">
        <v>1</v>
      </c>
      <c r="CW18" s="15">
        <v>1</v>
      </c>
      <c r="CX18" s="15">
        <v>1</v>
      </c>
      <c r="CY18" s="15">
        <v>1</v>
      </c>
      <c r="CZ18" s="15">
        <v>1</v>
      </c>
      <c r="DA18" s="15">
        <v>1</v>
      </c>
      <c r="DB18" s="15">
        <v>1</v>
      </c>
      <c r="DC18" s="15">
        <v>1</v>
      </c>
      <c r="DD18" s="15">
        <v>1</v>
      </c>
      <c r="DE18" s="15">
        <v>1</v>
      </c>
      <c r="DF18" s="15">
        <v>1</v>
      </c>
      <c r="DG18" s="15">
        <v>1</v>
      </c>
      <c r="DH18" s="15">
        <v>1</v>
      </c>
      <c r="DI18" s="15">
        <v>1</v>
      </c>
      <c r="DJ18" s="15">
        <v>1</v>
      </c>
      <c r="DK18" s="15">
        <v>1</v>
      </c>
      <c r="DL18" s="15">
        <v>1</v>
      </c>
      <c r="DM18" s="15">
        <v>1</v>
      </c>
      <c r="DN18" s="15">
        <v>1</v>
      </c>
      <c r="DO18" s="15">
        <v>1</v>
      </c>
      <c r="DP18" s="15">
        <v>1</v>
      </c>
      <c r="DQ18" s="15">
        <v>1</v>
      </c>
      <c r="DR18" s="15">
        <v>1</v>
      </c>
      <c r="DS18" s="15">
        <v>1</v>
      </c>
      <c r="DT18" s="15">
        <v>1</v>
      </c>
      <c r="DU18" s="15">
        <v>1</v>
      </c>
      <c r="DV18" s="15">
        <v>1</v>
      </c>
      <c r="DW18" s="15">
        <v>1</v>
      </c>
      <c r="DX18" s="15">
        <v>1</v>
      </c>
      <c r="DY18" s="15">
        <v>1</v>
      </c>
      <c r="DZ18" s="15">
        <v>1</v>
      </c>
      <c r="EA18" s="15">
        <v>1</v>
      </c>
      <c r="EB18" s="15">
        <v>1</v>
      </c>
      <c r="EC18" s="15">
        <v>1</v>
      </c>
      <c r="ED18" s="15">
        <v>1</v>
      </c>
      <c r="EE18" s="15">
        <v>1</v>
      </c>
      <c r="EF18" s="15">
        <v>1</v>
      </c>
      <c r="EG18" s="15">
        <v>1</v>
      </c>
      <c r="EH18" s="15">
        <v>1</v>
      </c>
      <c r="EI18" s="15">
        <v>1</v>
      </c>
      <c r="EJ18" s="15">
        <v>1</v>
      </c>
      <c r="EK18" s="15">
        <v>1</v>
      </c>
      <c r="EL18" s="15">
        <v>1</v>
      </c>
      <c r="EM18" s="15">
        <v>1</v>
      </c>
      <c r="EN18" s="15">
        <v>1</v>
      </c>
      <c r="EO18" s="15">
        <v>1</v>
      </c>
      <c r="EP18" s="15">
        <v>1</v>
      </c>
      <c r="EQ18" s="15">
        <v>1</v>
      </c>
      <c r="ER18" s="15">
        <v>1</v>
      </c>
      <c r="ES18" s="15">
        <v>1</v>
      </c>
      <c r="ET18" s="15">
        <v>1</v>
      </c>
      <c r="EU18" s="15">
        <v>1</v>
      </c>
      <c r="EV18" s="111">
        <v>1</v>
      </c>
      <c r="EW18" s="15">
        <v>1</v>
      </c>
      <c r="EX18" s="15">
        <v>1</v>
      </c>
      <c r="EY18" s="15">
        <v>1</v>
      </c>
      <c r="EZ18" s="15">
        <v>1</v>
      </c>
      <c r="FA18" s="15">
        <v>1</v>
      </c>
      <c r="FB18" s="15">
        <v>1</v>
      </c>
      <c r="FC18" s="15">
        <v>1</v>
      </c>
      <c r="FD18" s="15">
        <v>1</v>
      </c>
      <c r="FE18" s="15">
        <v>1</v>
      </c>
      <c r="FF18" s="15">
        <v>1</v>
      </c>
      <c r="FG18" s="15">
        <v>1</v>
      </c>
      <c r="FH18" s="15">
        <v>1</v>
      </c>
      <c r="FI18" s="15">
        <v>1</v>
      </c>
      <c r="FJ18" s="15">
        <v>1</v>
      </c>
      <c r="FK18" s="15">
        <v>1</v>
      </c>
      <c r="FL18" s="15">
        <v>1</v>
      </c>
      <c r="FM18" s="15">
        <v>1</v>
      </c>
      <c r="FN18" s="15">
        <v>1</v>
      </c>
      <c r="FO18" s="15">
        <v>1</v>
      </c>
      <c r="FP18" s="15">
        <v>1</v>
      </c>
      <c r="FQ18" s="15">
        <v>1</v>
      </c>
      <c r="FR18" s="15">
        <v>1</v>
      </c>
      <c r="FS18" s="15">
        <v>1</v>
      </c>
      <c r="FT18" s="15">
        <v>1</v>
      </c>
      <c r="FU18" s="15">
        <v>1</v>
      </c>
      <c r="FV18" s="15">
        <v>1</v>
      </c>
      <c r="FW18" s="15">
        <v>1</v>
      </c>
      <c r="FX18" s="15">
        <v>1</v>
      </c>
      <c r="FY18" s="15">
        <v>1</v>
      </c>
      <c r="FZ18" s="15">
        <v>1</v>
      </c>
      <c r="GA18" s="15">
        <v>1</v>
      </c>
      <c r="GB18" s="15">
        <v>1</v>
      </c>
      <c r="GC18" s="15">
        <v>1</v>
      </c>
      <c r="GD18" s="15">
        <v>1</v>
      </c>
      <c r="GE18" s="15">
        <v>1</v>
      </c>
      <c r="GF18" s="15">
        <v>1</v>
      </c>
      <c r="GG18" s="15">
        <v>1</v>
      </c>
      <c r="GH18" s="15">
        <v>1</v>
      </c>
      <c r="GI18" s="15">
        <v>1</v>
      </c>
      <c r="GJ18" s="15">
        <v>1</v>
      </c>
      <c r="GK18" s="15">
        <v>1</v>
      </c>
      <c r="GL18" s="15">
        <v>1</v>
      </c>
      <c r="GM18" s="15">
        <v>1</v>
      </c>
      <c r="GN18" s="15">
        <v>1</v>
      </c>
      <c r="GO18" s="15">
        <v>1</v>
      </c>
      <c r="GP18" s="15">
        <v>1</v>
      </c>
      <c r="GQ18" s="15">
        <v>1</v>
      </c>
      <c r="GR18" s="15">
        <v>1</v>
      </c>
      <c r="GS18" s="15">
        <v>1</v>
      </c>
      <c r="GT18" s="15">
        <v>1</v>
      </c>
      <c r="GU18" s="15">
        <v>1</v>
      </c>
      <c r="GV18" s="15">
        <v>1</v>
      </c>
      <c r="GW18" s="15">
        <v>1</v>
      </c>
      <c r="GX18" s="15">
        <v>1</v>
      </c>
      <c r="GY18" s="15">
        <v>1</v>
      </c>
      <c r="GZ18" s="15">
        <v>1</v>
      </c>
      <c r="HA18" s="15">
        <v>1</v>
      </c>
      <c r="HB18" s="15">
        <v>1</v>
      </c>
      <c r="HC18" s="15">
        <v>1</v>
      </c>
      <c r="HD18" s="15">
        <v>1</v>
      </c>
      <c r="HE18" s="15">
        <v>1</v>
      </c>
      <c r="HF18" s="15">
        <v>1</v>
      </c>
      <c r="HG18" s="15">
        <v>1</v>
      </c>
      <c r="HH18" s="15">
        <v>1</v>
      </c>
      <c r="HI18" s="15">
        <v>1</v>
      </c>
      <c r="HJ18" s="15">
        <v>1</v>
      </c>
      <c r="HK18" s="15">
        <v>1</v>
      </c>
      <c r="HL18" s="15">
        <v>1</v>
      </c>
      <c r="HM18" s="15">
        <v>1</v>
      </c>
      <c r="HN18" s="15">
        <v>1</v>
      </c>
      <c r="HO18" s="15">
        <v>1</v>
      </c>
      <c r="HP18" s="15">
        <v>1</v>
      </c>
      <c r="HQ18" s="15">
        <v>1</v>
      </c>
      <c r="HR18" s="15">
        <v>1</v>
      </c>
      <c r="HS18" s="15">
        <v>1</v>
      </c>
      <c r="HT18" s="15">
        <v>1</v>
      </c>
      <c r="HU18" s="15">
        <v>1</v>
      </c>
      <c r="HV18" s="15">
        <v>1</v>
      </c>
      <c r="HW18" s="15">
        <v>1</v>
      </c>
      <c r="HX18" s="15">
        <v>1</v>
      </c>
      <c r="HY18" s="15">
        <v>1</v>
      </c>
      <c r="HZ18" s="15">
        <v>1</v>
      </c>
      <c r="IA18" s="15">
        <v>1</v>
      </c>
      <c r="IB18" s="15">
        <v>1</v>
      </c>
      <c r="IC18" s="15">
        <v>1</v>
      </c>
      <c r="ID18" s="15">
        <v>1</v>
      </c>
      <c r="IE18" s="15">
        <v>1</v>
      </c>
      <c r="IF18" s="15">
        <v>1</v>
      </c>
      <c r="IG18" s="15">
        <v>1</v>
      </c>
      <c r="IH18" s="15">
        <v>1</v>
      </c>
      <c r="II18" s="15">
        <v>1</v>
      </c>
      <c r="IJ18" s="15">
        <v>1</v>
      </c>
      <c r="IK18" s="15">
        <v>1</v>
      </c>
      <c r="IL18" s="15">
        <v>1</v>
      </c>
      <c r="IM18" s="15">
        <v>1</v>
      </c>
      <c r="IN18" s="15">
        <v>1</v>
      </c>
      <c r="IO18" s="15">
        <v>1</v>
      </c>
      <c r="IP18" s="15">
        <v>1</v>
      </c>
      <c r="IQ18" s="15">
        <v>1</v>
      </c>
      <c r="IR18" s="15">
        <v>1</v>
      </c>
    </row>
    <row r="19" spans="1:252" ht="45" customHeight="1">
      <c r="A19" s="89" t="s">
        <v>514</v>
      </c>
      <c r="B19" s="90">
        <v>2</v>
      </c>
      <c r="C19" s="5" t="s">
        <v>65</v>
      </c>
      <c r="D19" s="91">
        <v>17107</v>
      </c>
      <c r="E19" s="91" t="s">
        <v>320</v>
      </c>
      <c r="F19" s="92" t="s">
        <v>69</v>
      </c>
      <c r="G19" s="91" t="s">
        <v>50</v>
      </c>
      <c r="H19" s="91" t="s">
        <v>23</v>
      </c>
      <c r="I19" s="91" t="s">
        <v>96</v>
      </c>
      <c r="J19" s="91" t="s">
        <v>97</v>
      </c>
      <c r="K19" s="91">
        <v>1982</v>
      </c>
      <c r="L19" s="85" t="s">
        <v>64</v>
      </c>
      <c r="M19" s="91" t="s">
        <v>190</v>
      </c>
      <c r="N19" s="91" t="s">
        <v>191</v>
      </c>
      <c r="O19" s="91" t="s">
        <v>192</v>
      </c>
      <c r="P19" s="89" t="s">
        <v>202</v>
      </c>
      <c r="Q19" s="91" t="s">
        <v>269</v>
      </c>
      <c r="R19" s="91" t="s">
        <v>254</v>
      </c>
      <c r="S19" s="82">
        <v>148088</v>
      </c>
      <c r="T19" s="82">
        <v>293544886</v>
      </c>
      <c r="U19" s="81">
        <v>2260</v>
      </c>
      <c r="V19" s="81">
        <v>0</v>
      </c>
      <c r="W19" s="82">
        <v>196826263</v>
      </c>
      <c r="X19" s="112">
        <v>66</v>
      </c>
      <c r="Y19" s="112" t="s">
        <v>417</v>
      </c>
      <c r="Z19" s="113">
        <v>9</v>
      </c>
      <c r="AA19" s="113">
        <v>7</v>
      </c>
      <c r="AB19" s="113">
        <v>4</v>
      </c>
      <c r="AC19" s="99">
        <v>1445.06</v>
      </c>
      <c r="AD19" s="99">
        <f t="shared" si="1"/>
        <v>562.99</v>
      </c>
      <c r="AE19" s="99">
        <v>2008.05</v>
      </c>
      <c r="AF19" s="98">
        <f>(Z19+AA19+AB19)*'Ставки аренды'!$B$3/X19</f>
        <v>212.12121212121212</v>
      </c>
      <c r="AG19" s="114">
        <v>0</v>
      </c>
      <c r="AH19" s="94">
        <v>0</v>
      </c>
      <c r="AI19" s="115">
        <f>39785847/79866389*AVERAGE(AJ19,AJ20)</f>
        <v>8168.5572468382761</v>
      </c>
      <c r="AJ19" s="117">
        <f>Цены!$D$9</f>
        <v>17000</v>
      </c>
      <c r="AK19" s="94">
        <f>AJ19/Цены!$B$1</f>
        <v>222.7886587467483</v>
      </c>
      <c r="AL19" s="95">
        <f t="shared" si="5"/>
        <v>2220.1712121212122</v>
      </c>
      <c r="AM19" s="95">
        <f t="shared" si="6"/>
        <v>14779.828787878789</v>
      </c>
      <c r="AN19" s="94">
        <f t="shared" si="2"/>
        <v>10388.728458959487</v>
      </c>
      <c r="AO19" s="118">
        <f t="shared" si="3"/>
        <v>0.38889832594355955</v>
      </c>
      <c r="AP19" s="96">
        <f t="shared" si="7"/>
        <v>0.13059830659536542</v>
      </c>
      <c r="AQ19" s="96">
        <f t="shared" si="8"/>
        <v>0.11812058823529412</v>
      </c>
      <c r="AR19" s="96">
        <f t="shared" si="9"/>
        <v>0.90445727295123968</v>
      </c>
      <c r="AS19" s="122">
        <v>1</v>
      </c>
      <c r="AT19" s="121">
        <f t="shared" si="10"/>
        <v>148088</v>
      </c>
      <c r="AU19" s="83">
        <v>0.95</v>
      </c>
      <c r="AV19" s="119">
        <f t="shared" si="11"/>
        <v>0.37472385535532426</v>
      </c>
      <c r="AW19" s="120">
        <f t="shared" si="12"/>
        <v>0.14477277718360071</v>
      </c>
      <c r="AX19" s="120">
        <f t="shared" si="13"/>
        <v>0.1322950588235294</v>
      </c>
      <c r="AY19" s="120">
        <f t="shared" si="14"/>
        <v>0.91381170823125768</v>
      </c>
      <c r="AZ19" s="15">
        <f>MIN(IF($AU19=100%,1,1+VLOOKUP(($AJ19-$AI19-$AH19-$AG19-$AF19-$AE19*(1+AZ$3))/$AJ19,'Технический лист'!$A:$B,2,1)-VLOOKUP($AO19,'Технический лист'!$A:$B,2,1)),1+(1-$AU19))</f>
        <v>1.0420000000000003</v>
      </c>
      <c r="BA19" s="15">
        <f>MIN(IF($AU19=100%,1,1+VLOOKUP(($AJ19-$AI19-$AH19-$AG19-$AF19-$AE19*(1+BA$3))/$AJ19,'Технический лист'!$A:$B,2,1)-VLOOKUP($AO19,'Технический лист'!$A:$B,2,1)),1+(1-$AU19))</f>
        <v>1.0420000000000003</v>
      </c>
      <c r="BB19" s="15">
        <f>MIN(IF($AU19=100%,1,1+VLOOKUP(($AJ19-$AI19-$AH19-$AG19-$AF19-$AE19*(1+BB$3))/$AJ19,'Технический лист'!$A:$B,2,1)-VLOOKUP($AO19,'Технический лист'!$A:$B,2,1)),1+(1-$AU19))</f>
        <v>1.0420000000000003</v>
      </c>
      <c r="BC19" s="15">
        <f>MIN(IF($AU19=100%,1,1+VLOOKUP(($AJ19-$AI19-$AH19-$AG19-$AF19-$AE19*(1+BC$3))/$AJ19,'Технический лист'!$A:$B,2,1)-VLOOKUP($AO19,'Технический лист'!$A:$B,2,1)),1+(1-$AU19))</f>
        <v>1.0420000000000003</v>
      </c>
      <c r="BD19" s="15">
        <f>MIN(IF($AU19=100%,1,1+VLOOKUP(($AJ19-$AI19-$AH19-$AG19-$AF19-$AE19*(1+BD$3))/$AJ19,'Технический лист'!$A:$B,2,1)-VLOOKUP($AO19,'Технический лист'!$A:$B,2,1)),1+(1-$AU19))</f>
        <v>1.0420000000000003</v>
      </c>
      <c r="BE19" s="15">
        <f>MIN(IF($AU19=100%,1,1+VLOOKUP(($AJ19-$AI19-$AH19-$AG19-$AF19-$AE19*(1+BE$3))/$AJ19,'Технический лист'!$A:$B,2,1)-VLOOKUP($AO19,'Технический лист'!$A:$B,2,1)),1+(1-$AU19))</f>
        <v>1.0420000000000003</v>
      </c>
      <c r="BF19" s="15">
        <f>MIN(IF($AU19=100%,1,1+VLOOKUP(($AJ19-$AI19-$AH19-$AG19-$AF19-$AE19*(1+BF$3))/$AJ19,'Технический лист'!$A:$B,2,1)-VLOOKUP($AO19,'Технический лист'!$A:$B,2,1)),1+(1-$AU19))</f>
        <v>1.0420000000000003</v>
      </c>
      <c r="BG19" s="15">
        <f>MIN(IF($AU19=100%,1,1+VLOOKUP(($AJ19-$AI19-$AH19-$AG19-$AF19-$AE19*(1+BG$3))/$AJ19,'Технический лист'!$A:$B,2,1)-VLOOKUP($AO19,'Технический лист'!$A:$B,2,1)),1+(1-$AU19))</f>
        <v>1.0420000000000003</v>
      </c>
      <c r="BH19" s="15">
        <f>MIN(IF($AU19=100%,1,1+VLOOKUP(($AJ19-$AI19-$AH19-$AG19-$AF19-$AE19*(1+BH$3))/$AJ19,'Технический лист'!$A:$B,2,1)-VLOOKUP($AO19,'Технический лист'!$A:$B,2,1)),1+(1-$AU19))</f>
        <v>1.0420000000000003</v>
      </c>
      <c r="BI19" s="15">
        <f>MIN(IF($AU19=100%,1,1+VLOOKUP(($AJ19-$AI19-$AH19-$AG19-$AF19-$AE19*(1+BI$3))/$AJ19,'Технический лист'!$A:$B,2,1)-VLOOKUP($AO19,'Технический лист'!$A:$B,2,1)),1+(1-$AU19))</f>
        <v>1.0420000000000003</v>
      </c>
      <c r="BJ19" s="15">
        <f>MIN(IF($AU19=100%,1,1+VLOOKUP(($AJ19-$AI19-$AH19-$AG19-$AF19-$AE19*(1+BJ$3))/$AJ19,'Технический лист'!$A:$B,2,1)-VLOOKUP($AO19,'Технический лист'!$A:$B,2,1)),1+(1-$AU19))</f>
        <v>1.0420000000000003</v>
      </c>
      <c r="BK19" s="15">
        <f>MIN(IF($AU19=100%,1,1+VLOOKUP(($AJ19-$AI19-$AH19-$AG19-$AF19-$AE19*(1+BK$3))/$AJ19,'Технический лист'!$A:$B,2,1)-VLOOKUP($AO19,'Технический лист'!$A:$B,2,1)),1+(1-$AU19))</f>
        <v>1.0420000000000003</v>
      </c>
      <c r="BL19" s="15">
        <f>MIN(IF($AU19=100%,1,1+VLOOKUP(($AJ19-$AI19-$AH19-$AG19-$AF19-$AE19*(1+BL$3))/$AJ19,'Технический лист'!$A:$B,2,1)-VLOOKUP($AO19,'Технический лист'!$A:$B,2,1)),1+(1-$AU19))</f>
        <v>1.0420000000000003</v>
      </c>
      <c r="BM19" s="15">
        <f>MIN(IF($AU19=100%,1,1+VLOOKUP(($AJ19-$AI19-$AH19-$AG19-$AF19-$AE19*(1+BM$3))/$AJ19,'Технический лист'!$A:$B,2,1)-VLOOKUP($AO19,'Технический лист'!$A:$B,2,1)),1+(1-$AU19))</f>
        <v>1.0420000000000003</v>
      </c>
      <c r="BN19" s="15">
        <f>MIN(IF($AU19=100%,1,1+VLOOKUP(($AJ19-$AI19-$AH19-$AG19-$AF19-$AE19*(1+BN$3))/$AJ19,'Технический лист'!$A:$B,2,1)-VLOOKUP($AO19,'Технический лист'!$A:$B,2,1)),1+(1-$AU19))</f>
        <v>1.0350000000000001</v>
      </c>
      <c r="BO19" s="15">
        <f>MIN(IF($AU19=100%,1,1+VLOOKUP(($AJ19-$AI19-$AH19-$AG19-$AF19-$AE19*(1+BO$3))/$AJ19,'Технический лист'!$A:$B,2,1)-VLOOKUP($AO19,'Технический лист'!$A:$B,2,1)),1+(1-$AU19))</f>
        <v>1.0350000000000001</v>
      </c>
      <c r="BP19" s="15">
        <f>MIN(IF($AU19=100%,1,1+VLOOKUP(($AJ19-$AI19-$AH19-$AG19-$AF19-$AE19*(1+BP$3))/$AJ19,'Технический лист'!$A:$B,2,1)-VLOOKUP($AO19,'Технический лист'!$A:$B,2,1)),1+(1-$AU19))</f>
        <v>1.0350000000000001</v>
      </c>
      <c r="BQ19" s="15">
        <f>MIN(IF($AU19=100%,1,1+VLOOKUP(($AJ19-$AI19-$AH19-$AG19-$AF19-$AE19*(1+BQ$3))/$AJ19,'Технический лист'!$A:$B,2,1)-VLOOKUP($AO19,'Технический лист'!$A:$B,2,1)),1+(1-$AU19))</f>
        <v>1.0350000000000001</v>
      </c>
      <c r="BR19" s="15">
        <f>MIN(IF($AU19=100%,1,1+VLOOKUP(($AJ19-$AI19-$AH19-$AG19-$AF19-$AE19*(1+BR$3))/$AJ19,'Технический лист'!$A:$B,2,1)-VLOOKUP($AO19,'Технический лист'!$A:$B,2,1)),1+(1-$AU19))</f>
        <v>1.0350000000000001</v>
      </c>
      <c r="BS19" s="15">
        <f>MIN(IF($AU19=100%,1,1+VLOOKUP(($AJ19-$AI19-$AH19-$AG19-$AF19-$AE19*(1+BS$3))/$AJ19,'Технический лист'!$A:$B,2,1)-VLOOKUP($AO19,'Технический лист'!$A:$B,2,1)),1+(1-$AU19))</f>
        <v>1.0350000000000001</v>
      </c>
      <c r="BT19" s="15">
        <f>MIN(IF($AU19=100%,1,1+VLOOKUP(($AJ19-$AI19-$AH19-$AG19-$AF19-$AE19*(1+BT$3))/$AJ19,'Технический лист'!$A:$B,2,1)-VLOOKUP($AO19,'Технический лист'!$A:$B,2,1)),1+(1-$AU19))</f>
        <v>1.0350000000000001</v>
      </c>
      <c r="BU19" s="15">
        <f>MIN(IF($AU19=100%,1,1+VLOOKUP(($AJ19-$AI19-$AH19-$AG19-$AF19-$AE19*(1+BU$3))/$AJ19,'Технический лист'!$A:$B,2,1)-VLOOKUP($AO19,'Технический лист'!$A:$B,2,1)),1+(1-$AU19))</f>
        <v>1.0350000000000001</v>
      </c>
      <c r="BV19" s="15">
        <f>MIN(IF($AU19=100%,1,1+VLOOKUP(($AJ19-$AI19-$AH19-$AG19-$AF19-$AE19*(1+BV$3))/$AJ19,'Технический лист'!$A:$B,2,1)-VLOOKUP($AO19,'Технический лист'!$A:$B,2,1)),1+(1-$AU19))</f>
        <v>1.0350000000000001</v>
      </c>
      <c r="BW19" s="15">
        <f>MIN(IF($AU19=100%,1,1+VLOOKUP(($AJ19-$AI19-$AH19-$AG19-$AF19-$AE19*(1+BW$3))/$AJ19,'Технический лист'!$A:$B,2,1)-VLOOKUP($AO19,'Технический лист'!$A:$B,2,1)),1+(1-$AU19))</f>
        <v>1.0350000000000001</v>
      </c>
      <c r="BX19" s="15">
        <f>MIN(IF($AU19=100%,1,1+VLOOKUP(($AJ19-$AI19-$AH19-$AG19-$AF19-$AE19*(1+BX$3))/$AJ19,'Технический лист'!$A:$B,2,1)-VLOOKUP($AO19,'Технический лист'!$A:$B,2,1)),1+(1-$AU19))</f>
        <v>1.0350000000000001</v>
      </c>
      <c r="BY19" s="15">
        <f>MIN(IF($AU19=100%,1,1+VLOOKUP(($AJ19-$AI19-$AH19-$AG19-$AF19-$AE19*(1+BY$3))/$AJ19,'Технический лист'!$A:$B,2,1)-VLOOKUP($AO19,'Технический лист'!$A:$B,2,1)),1+(1-$AU19))</f>
        <v>1.0350000000000001</v>
      </c>
      <c r="BZ19" s="15">
        <f>MIN(IF($AU19=100%,1,1+VLOOKUP(($AJ19-$AI19-$AH19-$AG19-$AF19-$AE19*(1+BZ$3))/$AJ19,'Технический лист'!$A:$B,2,1)-VLOOKUP($AO19,'Технический лист'!$A:$B,2,1)),1+(1-$AU19))</f>
        <v>1.0350000000000001</v>
      </c>
      <c r="CA19" s="15">
        <f>MIN(IF($AU19=100%,1,1+VLOOKUP(($AJ19-$AI19-$AH19-$AG19-$AF19-$AE19*(1+CA$3))/$AJ19,'Технический лист'!$A:$B,2,1)-VLOOKUP($AO19,'Технический лист'!$A:$B,2,1)),1+(1-$AU19))</f>
        <v>1.0350000000000001</v>
      </c>
      <c r="CB19" s="15">
        <f>MIN(IF($AU19=100%,1,1+VLOOKUP(($AJ19-$AI19-$AH19-$AG19-$AF19-$AE19*(1+CB$3))/$AJ19,'Технический лист'!$A:$B,2,1)-VLOOKUP($AO19,'Технический лист'!$A:$B,2,1)),1+(1-$AU19))</f>
        <v>1.0350000000000001</v>
      </c>
      <c r="CC19" s="15">
        <f>MIN(IF($AU19=100%,1,1+VLOOKUP(($AJ19-$AI19-$AH19-$AG19-$AF19-$AE19*(1+CC$3))/$AJ19,'Технический лист'!$A:$B,2,1)-VLOOKUP($AO19,'Технический лист'!$A:$B,2,1)),1+(1-$AU19))</f>
        <v>1.0350000000000001</v>
      </c>
      <c r="CD19" s="15">
        <f>MIN(IF($AU19=100%,1,1+VLOOKUP(($AJ19-$AI19-$AH19-$AG19-$AF19-$AE19*(1+CD$3))/$AJ19,'Технический лист'!$A:$B,2,1)-VLOOKUP($AO19,'Технический лист'!$A:$B,2,1)),1+(1-$AU19))</f>
        <v>1.0350000000000001</v>
      </c>
      <c r="CE19" s="15">
        <f>MIN(IF($AU19=100%,1,1+VLOOKUP(($AJ19-$AI19-$AH19-$AG19-$AF19-$AE19*(1+CE$3))/$AJ19,'Технический лист'!$A:$B,2,1)-VLOOKUP($AO19,'Технический лист'!$A:$B,2,1)),1+(1-$AU19))</f>
        <v>1.028</v>
      </c>
      <c r="CF19" s="15">
        <f>MIN(IF($AU19=100%,1,1+VLOOKUP(($AJ19-$AI19-$AH19-$AG19-$AF19-$AE19*(1+CF$3))/$AJ19,'Технический лист'!$A:$B,2,1)-VLOOKUP($AO19,'Технический лист'!$A:$B,2,1)),1+(1-$AU19))</f>
        <v>1.028</v>
      </c>
      <c r="CG19" s="15">
        <f>MIN(IF($AU19=100%,1,1+VLOOKUP(($AJ19-$AI19-$AH19-$AG19-$AF19-$AE19*(1+CG$3))/$AJ19,'Технический лист'!$A:$B,2,1)-VLOOKUP($AO19,'Технический лист'!$A:$B,2,1)),1+(1-$AU19))</f>
        <v>1.028</v>
      </c>
      <c r="CH19" s="15">
        <f>MIN(IF($AU19=100%,1,1+VLOOKUP(($AJ19-$AI19-$AH19-$AG19-$AF19-$AE19*(1+CH$3))/$AJ19,'Технический лист'!$A:$B,2,1)-VLOOKUP($AO19,'Технический лист'!$A:$B,2,1)),1+(1-$AU19))</f>
        <v>1.028</v>
      </c>
      <c r="CI19" s="15">
        <f>MIN(IF($AU19=100%,1,1+VLOOKUP(($AJ19-$AI19-$AH19-$AG19-$AF19-$AE19*(1+CI$3))/$AJ19,'Технический лист'!$A:$B,2,1)-VLOOKUP($AO19,'Технический лист'!$A:$B,2,1)),1+(1-$AU19))</f>
        <v>1.028</v>
      </c>
      <c r="CJ19" s="15">
        <f>MIN(IF($AU19=100%,1,1+VLOOKUP(($AJ19-$AI19-$AH19-$AG19-$AF19-$AE19*(1+CJ$3))/$AJ19,'Технический лист'!$A:$B,2,1)-VLOOKUP($AO19,'Технический лист'!$A:$B,2,1)),1+(1-$AU19))</f>
        <v>1.028</v>
      </c>
      <c r="CK19" s="15">
        <f>MIN(IF($AU19=100%,1,1+VLOOKUP(($AJ19-$AI19-$AH19-$AG19-$AF19-$AE19*(1+CK$3))/$AJ19,'Технический лист'!$A:$B,2,1)-VLOOKUP($AO19,'Технический лист'!$A:$B,2,1)),1+(1-$AU19))</f>
        <v>1.028</v>
      </c>
      <c r="CL19" s="15">
        <f>MIN(IF($AU19=100%,1,1+VLOOKUP(($AJ19-$AI19-$AH19-$AG19-$AF19-$AE19*(1+CL$3))/$AJ19,'Технический лист'!$A:$B,2,1)-VLOOKUP($AO19,'Технический лист'!$A:$B,2,1)),1+(1-$AU19))</f>
        <v>1.028</v>
      </c>
      <c r="CM19" s="15">
        <f>MIN(IF($AU19=100%,1,1+VLOOKUP(($AJ19-$AI19-$AH19-$AG19-$AF19-$AE19*(1+CM$3))/$AJ19,'Технический лист'!$A:$B,2,1)-VLOOKUP($AO19,'Технический лист'!$A:$B,2,1)),1+(1-$AU19))</f>
        <v>1.028</v>
      </c>
      <c r="CN19" s="15">
        <f>MIN(IF($AU19=100%,1,1+VLOOKUP(($AJ19-$AI19-$AH19-$AG19-$AF19-$AE19*(1+CN$3))/$AJ19,'Технический лист'!$A:$B,2,1)-VLOOKUP($AO19,'Технический лист'!$A:$B,2,1)),1+(1-$AU19))</f>
        <v>1.028</v>
      </c>
      <c r="CO19" s="15">
        <f>MIN(IF($AU19=100%,1,1+VLOOKUP(($AJ19-$AI19-$AH19-$AG19-$AF19-$AE19*(1+CO$3))/$AJ19,'Технический лист'!$A:$B,2,1)-VLOOKUP($AO19,'Технический лист'!$A:$B,2,1)),1+(1-$AU19))</f>
        <v>1.028</v>
      </c>
      <c r="CP19" s="15">
        <f>MIN(IF($AU19=100%,1,1+VLOOKUP(($AJ19-$AI19-$AH19-$AG19-$AF19-$AE19*(1+CP$3))/$AJ19,'Технический лист'!$A:$B,2,1)-VLOOKUP($AO19,'Технический лист'!$A:$B,2,1)),1+(1-$AU19))</f>
        <v>1.028</v>
      </c>
      <c r="CQ19" s="15">
        <f>MIN(IF($AU19=100%,1,1+VLOOKUP(($AJ19-$AI19-$AH19-$AG19-$AF19-$AE19*(1+CQ$3))/$AJ19,'Технический лист'!$A:$B,2,1)-VLOOKUP($AO19,'Технический лист'!$A:$B,2,1)),1+(1-$AU19))</f>
        <v>1.028</v>
      </c>
      <c r="CR19" s="15">
        <f>MIN(IF($AU19=100%,1,1+VLOOKUP(($AJ19-$AI19-$AH19-$AG19-$AF19-$AE19*(1+CR$3))/$AJ19,'Технический лист'!$A:$B,2,1)-VLOOKUP($AO19,'Технический лист'!$A:$B,2,1)),1+(1-$AU19))</f>
        <v>1.028</v>
      </c>
      <c r="CS19" s="15">
        <f>MIN(IF($AU19=100%,1,1+VLOOKUP(($AJ19-$AI19-$AH19-$AG19-$AF19-$AE19*(1+CS$3))/$AJ19,'Технический лист'!$A:$B,2,1)-VLOOKUP($AO19,'Технический лист'!$A:$B,2,1)),1+(1-$AU19))</f>
        <v>1.028</v>
      </c>
      <c r="CT19" s="15">
        <f>MIN(IF($AU19=100%,1,1+VLOOKUP(($AJ19-$AI19-$AH19-$AG19-$AF19-$AE19*(1+CT$3))/$AJ19,'Технический лист'!$A:$B,2,1)-VLOOKUP($AO19,'Технический лист'!$A:$B,2,1)),1+(1-$AU19))</f>
        <v>1.028</v>
      </c>
      <c r="CU19" s="15">
        <f>MIN(IF($AU19=100%,1,1+VLOOKUP(($AJ19-$AI19-$AH19-$AG19-$AF19-$AE19*(1+CU$3))/$AJ19,'Технический лист'!$A:$B,2,1)-VLOOKUP($AO19,'Технический лист'!$A:$B,2,1)),1+(1-$AU19))</f>
        <v>1.028</v>
      </c>
      <c r="CV19" s="15">
        <f>MIN(IF($AU19=100%,1,1+VLOOKUP(($AJ19-$AI19-$AH19-$AG19-$AF19-$AE19*(1+CV$3))/$AJ19,'Технический лист'!$A:$B,2,1)-VLOOKUP($AO19,'Технический лист'!$A:$B,2,1)),1+(1-$AU19))</f>
        <v>1.0210000000000004</v>
      </c>
      <c r="CW19" s="15">
        <f>MIN(IF($AU19=100%,1,1+VLOOKUP(($AJ19-$AI19-$AH19-$AG19-$AF19-$AE19*(1+CW$3))/$AJ19,'Технический лист'!$A:$B,2,1)-VLOOKUP($AO19,'Технический лист'!$A:$B,2,1)),1+(1-$AU19))</f>
        <v>1.0210000000000004</v>
      </c>
      <c r="CX19" s="15">
        <f>MIN(IF($AU19=100%,1,1+VLOOKUP(($AJ19-$AI19-$AH19-$AG19-$AF19-$AE19*(1+CX$3))/$AJ19,'Технический лист'!$A:$B,2,1)-VLOOKUP($AO19,'Технический лист'!$A:$B,2,1)),1+(1-$AU19))</f>
        <v>1.0210000000000004</v>
      </c>
      <c r="CY19" s="15">
        <f>MIN(IF($AU19=100%,1,1+VLOOKUP(($AJ19-$AI19-$AH19-$AG19-$AF19-$AE19*(1+CY$3))/$AJ19,'Технический лист'!$A:$B,2,1)-VLOOKUP($AO19,'Технический лист'!$A:$B,2,1)),1+(1-$AU19))</f>
        <v>1.0210000000000004</v>
      </c>
      <c r="CZ19" s="15">
        <f>MIN(IF($AU19=100%,1,1+VLOOKUP(($AJ19-$AI19-$AH19-$AG19-$AF19-$AE19*(1+CZ$3))/$AJ19,'Технический лист'!$A:$B,2,1)-VLOOKUP($AO19,'Технический лист'!$A:$B,2,1)),1+(1-$AU19))</f>
        <v>1.0210000000000004</v>
      </c>
      <c r="DA19" s="15">
        <f>MIN(IF($AU19=100%,1,1+VLOOKUP(($AJ19-$AI19-$AH19-$AG19-$AF19-$AE19*(1+DA$3))/$AJ19,'Технический лист'!$A:$B,2,1)-VLOOKUP($AO19,'Технический лист'!$A:$B,2,1)),1+(1-$AU19))</f>
        <v>1.0210000000000004</v>
      </c>
      <c r="DB19" s="15">
        <f>MIN(IF($AU19=100%,1,1+VLOOKUP(($AJ19-$AI19-$AH19-$AG19-$AF19-$AE19*(1+DB$3))/$AJ19,'Технический лист'!$A:$B,2,1)-VLOOKUP($AO19,'Технический лист'!$A:$B,2,1)),1+(1-$AU19))</f>
        <v>1.0210000000000004</v>
      </c>
      <c r="DC19" s="15">
        <f>MIN(IF($AU19=100%,1,1+VLOOKUP(($AJ19-$AI19-$AH19-$AG19-$AF19-$AE19*(1+DC$3))/$AJ19,'Технический лист'!$A:$B,2,1)-VLOOKUP($AO19,'Технический лист'!$A:$B,2,1)),1+(1-$AU19))</f>
        <v>1.0210000000000004</v>
      </c>
      <c r="DD19" s="15">
        <f>MIN(IF($AU19=100%,1,1+VLOOKUP(($AJ19-$AI19-$AH19-$AG19-$AF19-$AE19*(1+DD$3))/$AJ19,'Технический лист'!$A:$B,2,1)-VLOOKUP($AO19,'Технический лист'!$A:$B,2,1)),1+(1-$AU19))</f>
        <v>1.0210000000000004</v>
      </c>
      <c r="DE19" s="15">
        <f>MIN(IF($AU19=100%,1,1+VLOOKUP(($AJ19-$AI19-$AH19-$AG19-$AF19-$AE19*(1+DE$3))/$AJ19,'Технический лист'!$A:$B,2,1)-VLOOKUP($AO19,'Технический лист'!$A:$B,2,1)),1+(1-$AU19))</f>
        <v>1.0210000000000004</v>
      </c>
      <c r="DF19" s="15">
        <f>MIN(IF($AU19=100%,1,1+VLOOKUP(($AJ19-$AI19-$AH19-$AG19-$AF19-$AE19*(1+DF$3))/$AJ19,'Технический лист'!$A:$B,2,1)-VLOOKUP($AO19,'Технический лист'!$A:$B,2,1)),1+(1-$AU19))</f>
        <v>1.0210000000000004</v>
      </c>
      <c r="DG19" s="15">
        <f>MIN(IF($AU19=100%,1,1+VLOOKUP(($AJ19-$AI19-$AH19-$AG19-$AF19-$AE19*(1+DG$3))/$AJ19,'Технический лист'!$A:$B,2,1)-VLOOKUP($AO19,'Технический лист'!$A:$B,2,1)),1+(1-$AU19))</f>
        <v>1.0210000000000004</v>
      </c>
      <c r="DH19" s="15">
        <f>MIN(IF($AU19=100%,1,1+VLOOKUP(($AJ19-$AI19-$AH19-$AG19-$AF19-$AE19*(1+DH$3))/$AJ19,'Технический лист'!$A:$B,2,1)-VLOOKUP($AO19,'Технический лист'!$A:$B,2,1)),1+(1-$AU19))</f>
        <v>1.0210000000000004</v>
      </c>
      <c r="DI19" s="15">
        <f>MIN(IF($AU19=100%,1,1+VLOOKUP(($AJ19-$AI19-$AH19-$AG19-$AF19-$AE19*(1+DI$3))/$AJ19,'Технический лист'!$A:$B,2,1)-VLOOKUP($AO19,'Технический лист'!$A:$B,2,1)),1+(1-$AU19))</f>
        <v>1.0210000000000004</v>
      </c>
      <c r="DJ19" s="15">
        <f>MIN(IF($AU19=100%,1,1+VLOOKUP(($AJ19-$AI19-$AH19-$AG19-$AF19-$AE19*(1+DJ$3))/$AJ19,'Технический лист'!$A:$B,2,1)-VLOOKUP($AO19,'Технический лист'!$A:$B,2,1)),1+(1-$AU19))</f>
        <v>1.0210000000000004</v>
      </c>
      <c r="DK19" s="15">
        <f>MIN(IF($AU19=100%,1,1+VLOOKUP(($AJ19-$AI19-$AH19-$AG19-$AF19-$AE19*(1+DK$3))/$AJ19,'Технический лист'!$A:$B,2,1)-VLOOKUP($AO19,'Технический лист'!$A:$B,2,1)),1+(1-$AU19))</f>
        <v>1.0210000000000004</v>
      </c>
      <c r="DL19" s="15">
        <f>MIN(IF($AU19=100%,1,1+VLOOKUP(($AJ19-$AI19-$AH19-$AG19-$AF19-$AE19*(1+DL$3))/$AJ19,'Технический лист'!$A:$B,2,1)-VLOOKUP($AO19,'Технический лист'!$A:$B,2,1)),1+(1-$AU19))</f>
        <v>1.0210000000000004</v>
      </c>
      <c r="DM19" s="15">
        <f>MIN(IF($AU19=100%,1,1+VLOOKUP(($AJ19-$AI19-$AH19-$AG19-$AF19-$AE19*(1+DM$3))/$AJ19,'Технический лист'!$A:$B,2,1)-VLOOKUP($AO19,'Технический лист'!$A:$B,2,1)),1+(1-$AU19))</f>
        <v>1.0139999999999998</v>
      </c>
      <c r="DN19" s="15">
        <f>MIN(IF($AU19=100%,1,1+VLOOKUP(($AJ19-$AI19-$AH19-$AG19-$AF19-$AE19*(1+DN$3))/$AJ19,'Технический лист'!$A:$B,2,1)-VLOOKUP($AO19,'Технический лист'!$A:$B,2,1)),1+(1-$AU19))</f>
        <v>1.0139999999999998</v>
      </c>
      <c r="DO19" s="15">
        <f>MIN(IF($AU19=100%,1,1+VLOOKUP(($AJ19-$AI19-$AH19-$AG19-$AF19-$AE19*(1+DO$3))/$AJ19,'Технический лист'!$A:$B,2,1)-VLOOKUP($AO19,'Технический лист'!$A:$B,2,1)),1+(1-$AU19))</f>
        <v>1.0139999999999998</v>
      </c>
      <c r="DP19" s="15">
        <f>MIN(IF($AU19=100%,1,1+VLOOKUP(($AJ19-$AI19-$AH19-$AG19-$AF19-$AE19*(1+DP$3))/$AJ19,'Технический лист'!$A:$B,2,1)-VLOOKUP($AO19,'Технический лист'!$A:$B,2,1)),1+(1-$AU19))</f>
        <v>1.0139999999999998</v>
      </c>
      <c r="DQ19" s="15">
        <f>MIN(IF($AU19=100%,1,1+VLOOKUP(($AJ19-$AI19-$AH19-$AG19-$AF19-$AE19*(1+DQ$3))/$AJ19,'Технический лист'!$A:$B,2,1)-VLOOKUP($AO19,'Технический лист'!$A:$B,2,1)),1+(1-$AU19))</f>
        <v>1.0139999999999998</v>
      </c>
      <c r="DR19" s="15">
        <f>MIN(IF($AU19=100%,1,1+VLOOKUP(($AJ19-$AI19-$AH19-$AG19-$AF19-$AE19*(1+DR$3))/$AJ19,'Технический лист'!$A:$B,2,1)-VLOOKUP($AO19,'Технический лист'!$A:$B,2,1)),1+(1-$AU19))</f>
        <v>1.0139999999999998</v>
      </c>
      <c r="DS19" s="15">
        <f>MIN(IF($AU19=100%,1,1+VLOOKUP(($AJ19-$AI19-$AH19-$AG19-$AF19-$AE19*(1+DS$3))/$AJ19,'Технический лист'!$A:$B,2,1)-VLOOKUP($AO19,'Технический лист'!$A:$B,2,1)),1+(1-$AU19))</f>
        <v>1.0139999999999998</v>
      </c>
      <c r="DT19" s="15">
        <f>MIN(IF($AU19=100%,1,1+VLOOKUP(($AJ19-$AI19-$AH19-$AG19-$AF19-$AE19*(1+DT$3))/$AJ19,'Технический лист'!$A:$B,2,1)-VLOOKUP($AO19,'Технический лист'!$A:$B,2,1)),1+(1-$AU19))</f>
        <v>1.0139999999999998</v>
      </c>
      <c r="DU19" s="15">
        <f>MIN(IF($AU19=100%,1,1+VLOOKUP(($AJ19-$AI19-$AH19-$AG19-$AF19-$AE19*(1+DU$3))/$AJ19,'Технический лист'!$A:$B,2,1)-VLOOKUP($AO19,'Технический лист'!$A:$B,2,1)),1+(1-$AU19))</f>
        <v>1.0139999999999998</v>
      </c>
      <c r="DV19" s="15">
        <f>MIN(IF($AU19=100%,1,1+VLOOKUP(($AJ19-$AI19-$AH19-$AG19-$AF19-$AE19*(1+DV$3))/$AJ19,'Технический лист'!$A:$B,2,1)-VLOOKUP($AO19,'Технический лист'!$A:$B,2,1)),1+(1-$AU19))</f>
        <v>1.0139999999999998</v>
      </c>
      <c r="DW19" s="15">
        <f>MIN(IF($AU19=100%,1,1+VLOOKUP(($AJ19-$AI19-$AH19-$AG19-$AF19-$AE19*(1+DW$3))/$AJ19,'Технический лист'!$A:$B,2,1)-VLOOKUP($AO19,'Технический лист'!$A:$B,2,1)),1+(1-$AU19))</f>
        <v>1.0139999999999998</v>
      </c>
      <c r="DX19" s="15">
        <f>MIN(IF($AU19=100%,1,1+VLOOKUP(($AJ19-$AI19-$AH19-$AG19-$AF19-$AE19*(1+DX$3))/$AJ19,'Технический лист'!$A:$B,2,1)-VLOOKUP($AO19,'Технический лист'!$A:$B,2,1)),1+(1-$AU19))</f>
        <v>1.0139999999999998</v>
      </c>
      <c r="DY19" s="15">
        <f>MIN(IF($AU19=100%,1,1+VLOOKUP(($AJ19-$AI19-$AH19-$AG19-$AF19-$AE19*(1+DY$3))/$AJ19,'Технический лист'!$A:$B,2,1)-VLOOKUP($AO19,'Технический лист'!$A:$B,2,1)),1+(1-$AU19))</f>
        <v>1.0139999999999998</v>
      </c>
      <c r="DZ19" s="15">
        <f>MIN(IF($AU19=100%,1,1+VLOOKUP(($AJ19-$AI19-$AH19-$AG19-$AF19-$AE19*(1+DZ$3))/$AJ19,'Технический лист'!$A:$B,2,1)-VLOOKUP($AO19,'Технический лист'!$A:$B,2,1)),1+(1-$AU19))</f>
        <v>1.0139999999999998</v>
      </c>
      <c r="EA19" s="15">
        <f>MIN(IF($AU19=100%,1,1+VLOOKUP(($AJ19-$AI19-$AH19-$AG19-$AF19-$AE19*(1+EA$3))/$AJ19,'Технический лист'!$A:$B,2,1)-VLOOKUP($AO19,'Технический лист'!$A:$B,2,1)),1+(1-$AU19))</f>
        <v>1.0139999999999998</v>
      </c>
      <c r="EB19" s="15">
        <f>MIN(IF($AU19=100%,1,1+VLOOKUP(($AJ19-$AI19-$AH19-$AG19-$AF19-$AE19*(1+EB$3))/$AJ19,'Технический лист'!$A:$B,2,1)-VLOOKUP($AO19,'Технический лист'!$A:$B,2,1)),1+(1-$AU19))</f>
        <v>1.0139999999999998</v>
      </c>
      <c r="EC19" s="15">
        <f>MIN(IF($AU19=100%,1,1+VLOOKUP(($AJ19-$AI19-$AH19-$AG19-$AF19-$AE19*(1+EC$3))/$AJ19,'Технический лист'!$A:$B,2,1)-VLOOKUP($AO19,'Технический лист'!$A:$B,2,1)),1+(1-$AU19))</f>
        <v>1.0139999999999998</v>
      </c>
      <c r="ED19" s="15">
        <f>MIN(IF($AU19=100%,1,1+VLOOKUP(($AJ19-$AI19-$AH19-$AG19-$AF19-$AE19*(1+ED$3))/$AJ19,'Технический лист'!$A:$B,2,1)-VLOOKUP($AO19,'Технический лист'!$A:$B,2,1)),1+(1-$AU19))</f>
        <v>1.0070000000000001</v>
      </c>
      <c r="EE19" s="15">
        <f>MIN(IF($AU19=100%,1,1+VLOOKUP(($AJ19-$AI19-$AH19-$AG19-$AF19-$AE19*(1+EE$3))/$AJ19,'Технический лист'!$A:$B,2,1)-VLOOKUP($AO19,'Технический лист'!$A:$B,2,1)),1+(1-$AU19))</f>
        <v>1.0070000000000001</v>
      </c>
      <c r="EF19" s="15">
        <f>MIN(IF($AU19=100%,1,1+VLOOKUP(($AJ19-$AI19-$AH19-$AG19-$AF19-$AE19*(1+EF$3))/$AJ19,'Технический лист'!$A:$B,2,1)-VLOOKUP($AO19,'Технический лист'!$A:$B,2,1)),1+(1-$AU19))</f>
        <v>1.0070000000000001</v>
      </c>
      <c r="EG19" s="15">
        <f>MIN(IF($AU19=100%,1,1+VLOOKUP(($AJ19-$AI19-$AH19-$AG19-$AF19-$AE19*(1+EG$3))/$AJ19,'Технический лист'!$A:$B,2,1)-VLOOKUP($AO19,'Технический лист'!$A:$B,2,1)),1+(1-$AU19))</f>
        <v>1.0070000000000001</v>
      </c>
      <c r="EH19" s="15">
        <f>MIN(IF($AU19=100%,1,1+VLOOKUP(($AJ19-$AI19-$AH19-$AG19-$AF19-$AE19*(1+EH$3))/$AJ19,'Технический лист'!$A:$B,2,1)-VLOOKUP($AO19,'Технический лист'!$A:$B,2,1)),1+(1-$AU19))</f>
        <v>1.0070000000000001</v>
      </c>
      <c r="EI19" s="15">
        <f>MIN(IF($AU19=100%,1,1+VLOOKUP(($AJ19-$AI19-$AH19-$AG19-$AF19-$AE19*(1+EI$3))/$AJ19,'Технический лист'!$A:$B,2,1)-VLOOKUP($AO19,'Технический лист'!$A:$B,2,1)),1+(1-$AU19))</f>
        <v>1.0070000000000001</v>
      </c>
      <c r="EJ19" s="15">
        <f>MIN(IF($AU19=100%,1,1+VLOOKUP(($AJ19-$AI19-$AH19-$AG19-$AF19-$AE19*(1+EJ$3))/$AJ19,'Технический лист'!$A:$B,2,1)-VLOOKUP($AO19,'Технический лист'!$A:$B,2,1)),1+(1-$AU19))</f>
        <v>1.0070000000000001</v>
      </c>
      <c r="EK19" s="15">
        <f>MIN(IF($AU19=100%,1,1+VLOOKUP(($AJ19-$AI19-$AH19-$AG19-$AF19-$AE19*(1+EK$3))/$AJ19,'Технический лист'!$A:$B,2,1)-VLOOKUP($AO19,'Технический лист'!$A:$B,2,1)),1+(1-$AU19))</f>
        <v>1.0070000000000001</v>
      </c>
      <c r="EL19" s="15">
        <f>MIN(IF($AU19=100%,1,1+VLOOKUP(($AJ19-$AI19-$AH19-$AG19-$AF19-$AE19*(1+EL$3))/$AJ19,'Технический лист'!$A:$B,2,1)-VLOOKUP($AO19,'Технический лист'!$A:$B,2,1)),1+(1-$AU19))</f>
        <v>1.0070000000000001</v>
      </c>
      <c r="EM19" s="15">
        <f>MIN(IF($AU19=100%,1,1+VLOOKUP(($AJ19-$AI19-$AH19-$AG19-$AF19-$AE19*(1+EM$3))/$AJ19,'Технический лист'!$A:$B,2,1)-VLOOKUP($AO19,'Технический лист'!$A:$B,2,1)),1+(1-$AU19))</f>
        <v>1.0070000000000001</v>
      </c>
      <c r="EN19" s="15">
        <f>MIN(IF($AU19=100%,1,1+VLOOKUP(($AJ19-$AI19-$AH19-$AG19-$AF19-$AE19*(1+EN$3))/$AJ19,'Технический лист'!$A:$B,2,1)-VLOOKUP($AO19,'Технический лист'!$A:$B,2,1)),1+(1-$AU19))</f>
        <v>1.0070000000000001</v>
      </c>
      <c r="EO19" s="15">
        <f>MIN(IF($AU19=100%,1,1+VLOOKUP(($AJ19-$AI19-$AH19-$AG19-$AF19-$AE19*(1+EO$3))/$AJ19,'Технический лист'!$A:$B,2,1)-VLOOKUP($AO19,'Технический лист'!$A:$B,2,1)),1+(1-$AU19))</f>
        <v>1.0070000000000001</v>
      </c>
      <c r="EP19" s="15">
        <f>MIN(IF($AU19=100%,1,1+VLOOKUP(($AJ19-$AI19-$AH19-$AG19-$AF19-$AE19*(1+EP$3))/$AJ19,'Технический лист'!$A:$B,2,1)-VLOOKUP($AO19,'Технический лист'!$A:$B,2,1)),1+(1-$AU19))</f>
        <v>1.0070000000000001</v>
      </c>
      <c r="EQ19" s="15">
        <f>MIN(IF($AU19=100%,1,1+VLOOKUP(($AJ19-$AI19-$AH19-$AG19-$AF19-$AE19*(1+EQ$3))/$AJ19,'Технический лист'!$A:$B,2,1)-VLOOKUP($AO19,'Технический лист'!$A:$B,2,1)),1+(1-$AU19))</f>
        <v>1.0070000000000001</v>
      </c>
      <c r="ER19" s="15">
        <f>MIN(IF($AU19=100%,1,1+VLOOKUP(($AJ19-$AI19-$AH19-$AG19-$AF19-$AE19*(1+ER$3))/$AJ19,'Технический лист'!$A:$B,2,1)-VLOOKUP($AO19,'Технический лист'!$A:$B,2,1)),1+(1-$AU19))</f>
        <v>1.0070000000000001</v>
      </c>
      <c r="ES19" s="15">
        <f>MIN(IF($AU19=100%,1,1+VLOOKUP(($AJ19-$AI19-$AH19-$AG19-$AF19-$AE19*(1+ES$3))/$AJ19,'Технический лист'!$A:$B,2,1)-VLOOKUP($AO19,'Технический лист'!$A:$B,2,1)),1+(1-$AU19))</f>
        <v>1.0070000000000001</v>
      </c>
      <c r="ET19" s="15">
        <f>MIN(IF($AU19=100%,1,1+VLOOKUP(($AJ19-$AI19-$AH19-$AG19-$AF19-$AE19*(1+ET$3))/$AJ19,'Технический лист'!$A:$B,2,1)-VLOOKUP($AO19,'Технический лист'!$A:$B,2,1)),1+(1-$AU19))</f>
        <v>1.0070000000000001</v>
      </c>
      <c r="EU19" s="15">
        <f>MIN(IF($AU19=100%,1,1+VLOOKUP(($AJ19-$AI19-$AH19-$AG19-$AF19-$AE19*(1+EU$3))/$AJ19,'Технический лист'!$A:$B,2,1)-VLOOKUP($AO19,'Технический лист'!$A:$B,2,1)),1+(1-$AU19))</f>
        <v>1</v>
      </c>
      <c r="EV19" s="111">
        <v>1</v>
      </c>
      <c r="EW19" s="15">
        <f>MIN(1,MAX(VLOOKUP(($AJ19-$AI19-$AH19-$AG19-$AF19-$AE19*(1+EW$3))/$AJ19,'Технический лист'!$A:$B,2,1),(EV19-0.05)))</f>
        <v>1</v>
      </c>
      <c r="EX19" s="15">
        <f>MIN(1,MAX(VLOOKUP(($AJ19-$AI19-$AH19-$AG19-$AF19-$AE19*(1+EX$3))/$AJ19,'Технический лист'!$A:$B,2,1),(EW19-0.05)))</f>
        <v>1</v>
      </c>
      <c r="EY19" s="15">
        <f>MIN(1,MAX(VLOOKUP(($AJ19-$AI19-$AH19-$AG19-$AF19-$AE19*(1+EY$3))/$AJ19,'Технический лист'!$A:$B,2,1),(EX19-0.05)))</f>
        <v>1</v>
      </c>
      <c r="EZ19" s="15">
        <f>MIN(1,MAX(VLOOKUP(($AJ19-$AI19-$AH19-$AG19-$AF19-$AE19*(1+EZ$3))/$AJ19,'Технический лист'!$A:$B,2,1),(EY19-0.05)))</f>
        <v>1</v>
      </c>
      <c r="FA19" s="15">
        <f>MIN(1,MAX(VLOOKUP(($AJ19-$AI19-$AH19-$AG19-$AF19-$AE19*(1+FA$3))/$AJ19,'Технический лист'!$A:$B,2,1),(EZ19-0.05)))</f>
        <v>1</v>
      </c>
      <c r="FB19" s="15">
        <f>MIN(1,MAX(VLOOKUP(($AJ19-$AI19-$AH19-$AG19-$AF19-$AE19*(1+FB$3))/$AJ19,'Технический лист'!$A:$B,2,1),(FA19-0.05)))</f>
        <v>1</v>
      </c>
      <c r="FC19" s="15">
        <f>MIN(1,MAX(VLOOKUP(($AJ19-$AI19-$AH19-$AG19-$AF19-$AE19*(1+FC$3))/$AJ19,'Технический лист'!$A:$B,2,1),(FB19-0.05)))</f>
        <v>1</v>
      </c>
      <c r="FD19" s="15">
        <f>MIN(1,MAX(VLOOKUP(($AJ19-$AI19-$AH19-$AG19-$AF19-$AE19*(1+FD$3))/$AJ19,'Технический лист'!$A:$B,2,1),(FC19-0.05)))</f>
        <v>1</v>
      </c>
      <c r="FE19" s="15">
        <f>MIN(1,MAX(VLOOKUP(($AJ19-$AI19-$AH19-$AG19-$AF19-$AE19*(1+FE$3))/$AJ19,'Технический лист'!$A:$B,2,1),(FD19-0.05)))</f>
        <v>1</v>
      </c>
      <c r="FF19" s="15">
        <f>MIN(1,MAX(VLOOKUP(($AJ19-$AI19-$AH19-$AG19-$AF19-$AE19*(1+FF$3))/$AJ19,'Технический лист'!$A:$B,2,1),(FE19-0.05)))</f>
        <v>1</v>
      </c>
      <c r="FG19" s="15">
        <f>MIN(1,MAX(VLOOKUP(($AJ19-$AI19-$AH19-$AG19-$AF19-$AE19*(1+FG$3))/$AJ19,'Технический лист'!$A:$B,2,1),(FF19-0.05)))</f>
        <v>1</v>
      </c>
      <c r="FH19" s="15">
        <f>MIN(1,MAX(VLOOKUP(($AJ19-$AI19-$AH19-$AG19-$AF19-$AE19*(1+FH$3))/$AJ19,'Технический лист'!$A:$B,2,1),(FG19-0.05)))</f>
        <v>1</v>
      </c>
      <c r="FI19" s="15">
        <f>MIN(1,MAX(VLOOKUP(($AJ19-$AI19-$AH19-$AG19-$AF19-$AE19*(1+FI$3))/$AJ19,'Технический лист'!$A:$B,2,1),(FH19-0.05)))</f>
        <v>1</v>
      </c>
      <c r="FJ19" s="15">
        <f>MIN(1,MAX(VLOOKUP(($AJ19-$AI19-$AH19-$AG19-$AF19-$AE19*(1+FJ$3))/$AJ19,'Технический лист'!$A:$B,2,1),(FI19-0.05)))</f>
        <v>1</v>
      </c>
      <c r="FK19" s="15">
        <f>MIN(1,MAX(VLOOKUP(($AJ19-$AI19-$AH19-$AG19-$AF19-$AE19*(1+FK$3))/$AJ19,'Технический лист'!$A:$B,2,1),(FJ19-0.05)))</f>
        <v>1</v>
      </c>
      <c r="FL19" s="15">
        <f>MIN(1,MAX(VLOOKUP(($AJ19-$AI19-$AH19-$AG19-$AF19-$AE19*(1+FL$3))/$AJ19,'Технический лист'!$A:$B,2,1),(FK19-0.05)))</f>
        <v>1</v>
      </c>
      <c r="FM19" s="15">
        <f>MIN(1,MAX(VLOOKUP(($AJ19-$AI19-$AH19-$AG19-$AF19-$AE19*(1+FM$3))/$AJ19,'Технический лист'!$A:$B,2,1),(FL19-0.05)))</f>
        <v>1</v>
      </c>
      <c r="FN19" s="15">
        <f>MIN(1,MAX(VLOOKUP(($AJ19-$AI19-$AH19-$AG19-$AF19-$AE19*(1+FN$3))/$AJ19,'Технический лист'!$A:$B,2,1),(FM19-0.05)))</f>
        <v>1</v>
      </c>
      <c r="FO19" s="15">
        <f>MIN(1,MAX(VLOOKUP(($AJ19-$AI19-$AH19-$AG19-$AF19-$AE19*(1+FO$3))/$AJ19,'Технический лист'!$A:$B,2,1),(FN19-0.05)))</f>
        <v>1</v>
      </c>
      <c r="FP19" s="15">
        <f>MIN(1,MAX(VLOOKUP(($AJ19-$AI19-$AH19-$AG19-$AF19-$AE19*(1+FP$3))/$AJ19,'Технический лист'!$A:$B,2,1),(FO19-0.05)))</f>
        <v>1</v>
      </c>
      <c r="FQ19" s="15">
        <f>MIN(1,MAX(VLOOKUP(($AJ19-$AI19-$AH19-$AG19-$AF19-$AE19*(1+FQ$3))/$AJ19,'Технический лист'!$A:$B,2,1),(FP19-0.05)))</f>
        <v>1</v>
      </c>
      <c r="FR19" s="15">
        <f>MIN(1,MAX(VLOOKUP(($AJ19-$AI19-$AH19-$AG19-$AF19-$AE19*(1+FR$3))/$AJ19,'Технический лист'!$A:$B,2,1),(FQ19-0.05)))</f>
        <v>1</v>
      </c>
      <c r="FS19" s="15">
        <f>MIN(1,MAX(VLOOKUP(($AJ19-$AI19-$AH19-$AG19-$AF19-$AE19*(1+FS$3))/$AJ19,'Технический лист'!$A:$B,2,1),(FR19-0.05)))</f>
        <v>1</v>
      </c>
      <c r="FT19" s="15">
        <f>MIN(1,MAX(VLOOKUP(($AJ19-$AI19-$AH19-$AG19-$AF19-$AE19*(1+FT$3))/$AJ19,'Технический лист'!$A:$B,2,1),(FS19-0.05)))</f>
        <v>1</v>
      </c>
      <c r="FU19" s="15">
        <f>MIN(1,MAX(VLOOKUP(($AJ19-$AI19-$AH19-$AG19-$AF19-$AE19*(1+FU$3))/$AJ19,'Технический лист'!$A:$B,2,1),(FT19-0.05)))</f>
        <v>1</v>
      </c>
      <c r="FV19" s="15">
        <f>MIN(1,MAX(VLOOKUP(($AJ19-$AI19-$AH19-$AG19-$AF19-$AE19*(1+FV$3))/$AJ19,'Технический лист'!$A:$B,2,1),(FU19-0.05)))</f>
        <v>1</v>
      </c>
      <c r="FW19" s="15">
        <f>MIN(1,MAX(VLOOKUP(($AJ19-$AI19-$AH19-$AG19-$AF19-$AE19*(1+FW$3))/$AJ19,'Технический лист'!$A:$B,2,1),(FV19-0.05)))</f>
        <v>1</v>
      </c>
      <c r="FX19" s="15">
        <f>MIN(1,MAX(VLOOKUP(($AJ19-$AI19-$AH19-$AG19-$AF19-$AE19*(1+FX$3))/$AJ19,'Технический лист'!$A:$B,2,1),(FW19-0.05)))</f>
        <v>1</v>
      </c>
      <c r="FY19" s="15">
        <f>MIN(1,MAX(VLOOKUP(($AJ19-$AI19-$AH19-$AG19-$AF19-$AE19*(1+FY$3))/$AJ19,'Технический лист'!$A:$B,2,1),(FX19-0.05)))</f>
        <v>1</v>
      </c>
      <c r="FZ19" s="15">
        <f>MIN(1,MAX(VLOOKUP(($AJ19-$AI19-$AH19-$AG19-$AF19-$AE19*(1+FZ$3))/$AJ19,'Технический лист'!$A:$B,2,1),(FY19-0.05)))</f>
        <v>1</v>
      </c>
      <c r="GA19" s="15">
        <f>MIN(1,MAX(VLOOKUP(($AJ19-$AI19-$AH19-$AG19-$AF19-$AE19*(1+GA$3))/$AJ19,'Технический лист'!$A:$B,2,1),(FZ19-0.05)))</f>
        <v>1</v>
      </c>
      <c r="GB19" s="15">
        <f>MIN(1,MAX(VLOOKUP(($AJ19-$AI19-$AH19-$AG19-$AF19-$AE19*(1+GB$3))/$AJ19,'Технический лист'!$A:$B,2,1),(GA19-0.05)))</f>
        <v>1</v>
      </c>
      <c r="GC19" s="15">
        <f>MIN(1,MAX(VLOOKUP(($AJ19-$AI19-$AH19-$AG19-$AF19-$AE19*(1+GC$3))/$AJ19,'Технический лист'!$A:$B,2,1),(GB19-0.05)))</f>
        <v>1</v>
      </c>
      <c r="GD19" s="15">
        <f>MIN(1,MAX(VLOOKUP(($AJ19-$AI19-$AH19-$AG19-$AF19-$AE19*(1+GD$3))/$AJ19,'Технический лист'!$A:$B,2,1),(GC19-0.05)))</f>
        <v>1</v>
      </c>
      <c r="GE19" s="15">
        <f>MIN(1,MAX(VLOOKUP(($AJ19-$AI19-$AH19-$AG19-$AF19-$AE19*(1+GE$3))/$AJ19,'Технический лист'!$A:$B,2,1),(GD19-0.05)))</f>
        <v>1</v>
      </c>
      <c r="GF19" s="15">
        <f>MIN(1,MAX(VLOOKUP(($AJ19-$AI19-$AH19-$AG19-$AF19-$AE19*(1+GF$3))/$AJ19,'Технический лист'!$A:$B,2,1),(GE19-0.05)))</f>
        <v>1</v>
      </c>
      <c r="GG19" s="15">
        <f>MIN(1,MAX(VLOOKUP(($AJ19-$AI19-$AH19-$AG19-$AF19-$AE19*(1+GG$3))/$AJ19,'Технический лист'!$A:$B,2,1),(GF19-0.05)))</f>
        <v>1</v>
      </c>
      <c r="GH19" s="15">
        <f>MIN(1,MAX(VLOOKUP(($AJ19-$AI19-$AH19-$AG19-$AF19-$AE19*(1+GH$3))/$AJ19,'Технический лист'!$A:$B,2,1),(GG19-0.05)))</f>
        <v>1</v>
      </c>
      <c r="GI19" s="15">
        <f>MIN(1,MAX(VLOOKUP(($AJ19-$AI19-$AH19-$AG19-$AF19-$AE19*(1+GI$3))/$AJ19,'Технический лист'!$A:$B,2,1),(GH19-0.05)))</f>
        <v>1</v>
      </c>
      <c r="GJ19" s="15">
        <f>MIN(1,MAX(VLOOKUP(($AJ19-$AI19-$AH19-$AG19-$AF19-$AE19*(1+GJ$3))/$AJ19,'Технический лист'!$A:$B,2,1),(GI19-0.05)))</f>
        <v>1</v>
      </c>
      <c r="GK19" s="15">
        <f>MIN(1,MAX(VLOOKUP(($AJ19-$AI19-$AH19-$AG19-$AF19-$AE19*(1+GK$3))/$AJ19,'Технический лист'!$A:$B,2,1),(GJ19-0.05)))</f>
        <v>1</v>
      </c>
      <c r="GL19" s="15">
        <f>MIN(1,MAX(VLOOKUP(($AJ19-$AI19-$AH19-$AG19-$AF19-$AE19*(1+GL$3))/$AJ19,'Технический лист'!$A:$B,2,1),(GK19-0.05)))</f>
        <v>1</v>
      </c>
      <c r="GM19" s="15">
        <f>MIN(1,MAX(VLOOKUP(($AJ19-$AI19-$AH19-$AG19-$AF19-$AE19*(1+GM$3))/$AJ19,'Технический лист'!$A:$B,2,1),(GL19-0.05)))</f>
        <v>1</v>
      </c>
      <c r="GN19" s="15">
        <f>MIN(1,MAX(VLOOKUP(($AJ19-$AI19-$AH19-$AG19-$AF19-$AE19*(1+GN$3))/$AJ19,'Технический лист'!$A:$B,2,1),(GM19-0.05)))</f>
        <v>1</v>
      </c>
      <c r="GO19" s="15">
        <f>MIN(1,MAX(VLOOKUP(($AJ19-$AI19-$AH19-$AG19-$AF19-$AE19*(1+GO$3))/$AJ19,'Технический лист'!$A:$B,2,1),(GN19-0.05)))</f>
        <v>1</v>
      </c>
      <c r="GP19" s="15">
        <f>MIN(1,MAX(VLOOKUP(($AJ19-$AI19-$AH19-$AG19-$AF19-$AE19*(1+GP$3))/$AJ19,'Технический лист'!$A:$B,2,1),(GO19-0.05)))</f>
        <v>1</v>
      </c>
      <c r="GQ19" s="15">
        <f>MIN(1,MAX(VLOOKUP(($AJ19-$AI19-$AH19-$AG19-$AF19-$AE19*(1+GQ$3))/$AJ19,'Технический лист'!$A:$B,2,1),(GP19-0.05)))</f>
        <v>1</v>
      </c>
      <c r="GR19" s="15">
        <f>MIN(1,MAX(VLOOKUP(($AJ19-$AI19-$AH19-$AG19-$AF19-$AE19*(1+GR$3))/$AJ19,'Технический лист'!$A:$B,2,1),(GQ19-0.05)))</f>
        <v>1</v>
      </c>
      <c r="GS19" s="15">
        <f>MIN(1,MAX(VLOOKUP(($AJ19-$AI19-$AH19-$AG19-$AF19-$AE19*(1+GS$3))/$AJ19,'Технический лист'!$A:$B,2,1),(GR19-0.05)))</f>
        <v>1</v>
      </c>
      <c r="GT19" s="15">
        <f>MIN(1,MAX(VLOOKUP(($AJ19-$AI19-$AH19-$AG19-$AF19-$AE19*(1+GT$3))/$AJ19,'Технический лист'!$A:$B,2,1),(GS19-0.05)))</f>
        <v>1</v>
      </c>
      <c r="GU19" s="15">
        <f>MIN(1,MAX(VLOOKUP(($AJ19-$AI19-$AH19-$AG19-$AF19-$AE19*(1+GU$3))/$AJ19,'Технический лист'!$A:$B,2,1),(GT19-0.05)))</f>
        <v>1</v>
      </c>
      <c r="GV19" s="15">
        <f>MIN(1,MAX(VLOOKUP(($AJ19-$AI19-$AH19-$AG19-$AF19-$AE19*(1+GV$3))/$AJ19,'Технический лист'!$A:$B,2,1),(GU19-0.05)))</f>
        <v>1</v>
      </c>
      <c r="GW19" s="15">
        <f>MIN(1,MAX(VLOOKUP(($AJ19-$AI19-$AH19-$AG19-$AF19-$AE19*(1+GW$3))/$AJ19,'Технический лист'!$A:$B,2,1),(GV19-0.05)))</f>
        <v>1</v>
      </c>
      <c r="GX19" s="15">
        <f>MIN(1,MAX(VLOOKUP(($AJ19-$AI19-$AH19-$AG19-$AF19-$AE19*(1+GX$3))/$AJ19,'Технический лист'!$A:$B,2,1),(GW19-0.05)))</f>
        <v>1</v>
      </c>
      <c r="GY19" s="15">
        <f>MIN(1,MAX(VLOOKUP(($AJ19-$AI19-$AH19-$AG19-$AF19-$AE19*(1+GY$3))/$AJ19,'Технический лист'!$A:$B,2,1),(GX19-0.05)))</f>
        <v>1</v>
      </c>
      <c r="GZ19" s="15">
        <f>MIN(1,MAX(VLOOKUP(($AJ19-$AI19-$AH19-$AG19-$AF19-$AE19*(1+GZ$3))/$AJ19,'Технический лист'!$A:$B,2,1),(GY19-0.05)))</f>
        <v>1</v>
      </c>
      <c r="HA19" s="15">
        <f>MIN(1,MAX(VLOOKUP(($AJ19-$AI19-$AH19-$AG19-$AF19-$AE19*(1+HA$3))/$AJ19,'Технический лист'!$A:$B,2,1),(GZ19-0.05)))</f>
        <v>1</v>
      </c>
      <c r="HB19" s="15">
        <f>MIN(1,MAX(VLOOKUP(($AJ19-$AI19-$AH19-$AG19-$AF19-$AE19*(1+HB$3))/$AJ19,'Технический лист'!$A:$B,2,1),(HA19-0.05)))</f>
        <v>1</v>
      </c>
      <c r="HC19" s="15">
        <f>MIN(1,MAX(VLOOKUP(($AJ19-$AI19-$AH19-$AG19-$AF19-$AE19*(1+HC$3))/$AJ19,'Технический лист'!$A:$B,2,1),(HB19-0.05)))</f>
        <v>1</v>
      </c>
      <c r="HD19" s="15">
        <f>MIN(1,MAX(VLOOKUP(($AJ19-$AI19-$AH19-$AG19-$AF19-$AE19*(1+HD$3))/$AJ19,'Технический лист'!$A:$B,2,1),(HC19-0.05)))</f>
        <v>1</v>
      </c>
      <c r="HE19" s="15">
        <f>MIN(1,MAX(VLOOKUP(($AJ19-$AI19-$AH19-$AG19-$AF19-$AE19*(1+HE$3))/$AJ19,'Технический лист'!$A:$B,2,1),(HD19-0.05)))</f>
        <v>1</v>
      </c>
      <c r="HF19" s="15">
        <f>MIN(1,MAX(VLOOKUP(($AJ19-$AI19-$AH19-$AG19-$AF19-$AE19*(1+HF$3))/$AJ19,'Технический лист'!$A:$B,2,1),(HE19-0.05)))</f>
        <v>1</v>
      </c>
      <c r="HG19" s="15">
        <f>MIN(1,MAX(VLOOKUP(($AJ19-$AI19-$AH19-$AG19-$AF19-$AE19*(1+HG$3))/$AJ19,'Технический лист'!$A:$B,2,1),(HF19-0.05)))</f>
        <v>1</v>
      </c>
      <c r="HH19" s="15">
        <f>MIN(1,MAX(VLOOKUP(($AJ19-$AI19-$AH19-$AG19-$AF19-$AE19*(1+HH$3))/$AJ19,'Технический лист'!$A:$B,2,1),(HG19-0.05)))</f>
        <v>1</v>
      </c>
      <c r="HI19" s="15">
        <f>MIN(1,MAX(VLOOKUP(($AJ19-$AI19-$AH19-$AG19-$AF19-$AE19*(1+HI$3))/$AJ19,'Технический лист'!$A:$B,2,1),(HH19-0.05)))</f>
        <v>1</v>
      </c>
      <c r="HJ19" s="15">
        <f>MIN(1,MAX(VLOOKUP(($AJ19-$AI19-$AH19-$AG19-$AF19-$AE19*(1+HJ$3))/$AJ19,'Технический лист'!$A:$B,2,1),(HI19-0.05)))</f>
        <v>1</v>
      </c>
      <c r="HK19" s="15">
        <f>MIN(1,MAX(VLOOKUP(($AJ19-$AI19-$AH19-$AG19-$AF19-$AE19*(1+HK$3))/$AJ19,'Технический лист'!$A:$B,2,1),(HJ19-0.05)))</f>
        <v>1</v>
      </c>
      <c r="HL19" s="15">
        <f>MIN(1,MAX(VLOOKUP(($AJ19-$AI19-$AH19-$AG19-$AF19-$AE19*(1+HL$3))/$AJ19,'Технический лист'!$A:$B,2,1),(HK19-0.05)))</f>
        <v>1</v>
      </c>
      <c r="HM19" s="15">
        <f>MIN(1,MAX(VLOOKUP(($AJ19-$AI19-$AH19-$AG19-$AF19-$AE19*(1+HM$3))/$AJ19,'Технический лист'!$A:$B,2,1),(HL19-0.05)))</f>
        <v>1</v>
      </c>
      <c r="HN19" s="15">
        <f>MIN(1,MAX(VLOOKUP(($AJ19-$AI19-$AH19-$AG19-$AF19-$AE19*(1+HN$3))/$AJ19,'Технический лист'!$A:$B,2,1),(HM19-0.05)))</f>
        <v>1</v>
      </c>
      <c r="HO19" s="15">
        <f>MIN(1,MAX(VLOOKUP(($AJ19-$AI19-$AH19-$AG19-$AF19-$AE19*(1+HO$3))/$AJ19,'Технический лист'!$A:$B,2,1),(HN19-0.05)))</f>
        <v>1</v>
      </c>
      <c r="HP19" s="15">
        <f>MIN(1,MAX(VLOOKUP(($AJ19-$AI19-$AH19-$AG19-$AF19-$AE19*(1+HP$3))/$AJ19,'Технический лист'!$A:$B,2,1),(HO19-0.05)))</f>
        <v>1</v>
      </c>
      <c r="HQ19" s="15">
        <f>MIN(1,MAX(VLOOKUP(($AJ19-$AI19-$AH19-$AG19-$AF19-$AE19*(1+HQ$3))/$AJ19,'Технический лист'!$A:$B,2,1),(HP19-0.05)))</f>
        <v>1</v>
      </c>
      <c r="HR19" s="15">
        <f>MIN(1,MAX(VLOOKUP(($AJ19-$AI19-$AH19-$AG19-$AF19-$AE19*(1+HR$3))/$AJ19,'Технический лист'!$A:$B,2,1),(HQ19-0.05)))</f>
        <v>1</v>
      </c>
      <c r="HS19" s="15">
        <f>MIN(1,MAX(VLOOKUP(($AJ19-$AI19-$AH19-$AG19-$AF19-$AE19*(1+HS$3))/$AJ19,'Технический лист'!$A:$B,2,1),(HR19-0.05)))</f>
        <v>1</v>
      </c>
      <c r="HT19" s="15">
        <f>MIN(1,MAX(VLOOKUP(($AJ19-$AI19-$AH19-$AG19-$AF19-$AE19*(1+HT$3))/$AJ19,'Технический лист'!$A:$B,2,1),(HS19-0.05)))</f>
        <v>1</v>
      </c>
      <c r="HU19" s="15">
        <f>MIN(1,MAX(VLOOKUP(($AJ19-$AI19-$AH19-$AG19-$AF19-$AE19*(1+HU$3))/$AJ19,'Технический лист'!$A:$B,2,1),(HT19-0.05)))</f>
        <v>1</v>
      </c>
      <c r="HV19" s="15">
        <f>MIN(1,MAX(VLOOKUP(($AJ19-$AI19-$AH19-$AG19-$AF19-$AE19*(1+HV$3))/$AJ19,'Технический лист'!$A:$B,2,1),(HU19-0.05)))</f>
        <v>1</v>
      </c>
      <c r="HW19" s="15">
        <f>MIN(1,MAX(VLOOKUP(($AJ19-$AI19-$AH19-$AG19-$AF19-$AE19*(1+HW$3))/$AJ19,'Технический лист'!$A:$B,2,1),(HV19-0.05)))</f>
        <v>1</v>
      </c>
      <c r="HX19" s="15">
        <f>MIN(1,MAX(VLOOKUP(($AJ19-$AI19-$AH19-$AG19-$AF19-$AE19*(1+HX$3))/$AJ19,'Технический лист'!$A:$B,2,1),(HW19-0.05)))</f>
        <v>1</v>
      </c>
      <c r="HY19" s="15">
        <f>MIN(1,MAX(VLOOKUP(($AJ19-$AI19-$AH19-$AG19-$AF19-$AE19*(1+HY$3))/$AJ19,'Технический лист'!$A:$B,2,1),(HX19-0.05)))</f>
        <v>1</v>
      </c>
      <c r="HZ19" s="15">
        <f>MIN(1,MAX(VLOOKUP(($AJ19-$AI19-$AH19-$AG19-$AF19-$AE19*(1+HZ$3))/$AJ19,'Технический лист'!$A:$B,2,1),(HY19-0.05)))</f>
        <v>1</v>
      </c>
      <c r="IA19" s="15">
        <f>MIN(1,MAX(VLOOKUP(($AJ19-$AI19-$AH19-$AG19-$AF19-$AE19*(1+IA$3))/$AJ19,'Технический лист'!$A:$B,2,1),(HZ19-0.05)))</f>
        <v>1</v>
      </c>
      <c r="IB19" s="15">
        <f>MIN(1,MAX(VLOOKUP(($AJ19-$AI19-$AH19-$AG19-$AF19-$AE19*(1+IB$3))/$AJ19,'Технический лист'!$A:$B,2,1),(IA19-0.05)))</f>
        <v>1</v>
      </c>
      <c r="IC19" s="15">
        <f>MIN(1,MAX(VLOOKUP(($AJ19-$AI19-$AH19-$AG19-$AF19-$AE19*(1+IC$3))/$AJ19,'Технический лист'!$A:$B,2,1),(IB19-0.05)))</f>
        <v>1</v>
      </c>
      <c r="ID19" s="15">
        <f>MIN(1,MAX(VLOOKUP(($AJ19-$AI19-$AH19-$AG19-$AF19-$AE19*(1+ID$3))/$AJ19,'Технический лист'!$A:$B,2,1),(IC19-0.05)))</f>
        <v>1</v>
      </c>
      <c r="IE19" s="15">
        <f>MIN(1,MAX(VLOOKUP(($AJ19-$AI19-$AH19-$AG19-$AF19-$AE19*(1+IE$3))/$AJ19,'Технический лист'!$A:$B,2,1),(ID19-0.05)))</f>
        <v>1</v>
      </c>
      <c r="IF19" s="15">
        <f>MIN(1,MAX(VLOOKUP(($AJ19-$AI19-$AH19-$AG19-$AF19-$AE19*(1+IF$3))/$AJ19,'Технический лист'!$A:$B,2,1),(IE19-0.05)))</f>
        <v>1</v>
      </c>
      <c r="IG19" s="15">
        <f>MIN(1,MAX(VLOOKUP(($AJ19-$AI19-$AH19-$AG19-$AF19-$AE19*(1+IG$3))/$AJ19,'Технический лист'!$A:$B,2,1),(IF19-0.05)))</f>
        <v>1</v>
      </c>
      <c r="IH19" s="15">
        <f>MIN(1,MAX(VLOOKUP(($AJ19-$AI19-$AH19-$AG19-$AF19-$AE19*(1+IH$3))/$AJ19,'Технический лист'!$A:$B,2,1),(IG19-0.05)))</f>
        <v>1</v>
      </c>
      <c r="II19" s="15">
        <f>MIN(1,MAX(VLOOKUP(($AJ19-$AI19-$AH19-$AG19-$AF19-$AE19*(1+II$3))/$AJ19,'Технический лист'!$A:$B,2,1),(IH19-0.05)))</f>
        <v>1</v>
      </c>
      <c r="IJ19" s="15">
        <f>MIN(1,MAX(VLOOKUP(($AJ19-$AI19-$AH19-$AG19-$AF19-$AE19*(1+IJ$3))/$AJ19,'Технический лист'!$A:$B,2,1),(II19-0.05)))</f>
        <v>1</v>
      </c>
      <c r="IK19" s="15">
        <f>MIN(1,MAX(VLOOKUP(($AJ19-$AI19-$AH19-$AG19-$AF19-$AE19*(1+IK$3))/$AJ19,'Технический лист'!$A:$B,2,1),(IJ19-0.05)))</f>
        <v>1</v>
      </c>
      <c r="IL19" s="15">
        <f>MIN(1,MAX(VLOOKUP(($AJ19-$AI19-$AH19-$AG19-$AF19-$AE19*(1+IL$3))/$AJ19,'Технический лист'!$A:$B,2,1),(IK19-0.05)))</f>
        <v>1</v>
      </c>
      <c r="IM19" s="15">
        <f>MIN(1,MAX(VLOOKUP(($AJ19-$AI19-$AH19-$AG19-$AF19-$AE19*(1+IM$3))/$AJ19,'Технический лист'!$A:$B,2,1),(IL19-0.05)))</f>
        <v>1</v>
      </c>
      <c r="IN19" s="15">
        <f>MIN(1,MAX(VLOOKUP(($AJ19-$AI19-$AH19-$AG19-$AF19-$AE19*(1+IN$3))/$AJ19,'Технический лист'!$A:$B,2,1),(IM19-0.05)))</f>
        <v>1</v>
      </c>
      <c r="IO19" s="15">
        <f>MIN(1,MAX(VLOOKUP(($AJ19-$AI19-$AH19-$AG19-$AF19-$AE19*(1+IO$3))/$AJ19,'Технический лист'!$A:$B,2,1),(IN19-0.05)))</f>
        <v>1</v>
      </c>
      <c r="IP19" s="15">
        <f>MIN(1,MAX(VLOOKUP(($AJ19-$AI19-$AH19-$AG19-$AF19-$AE19*(1+IP$3))/$AJ19,'Технический лист'!$A:$B,2,1),(IO19-0.05)))</f>
        <v>1</v>
      </c>
      <c r="IQ19" s="15">
        <f>MIN(1,MAX(VLOOKUP(($AJ19-$AI19-$AH19-$AG19-$AF19-$AE19*(1+IQ$3))/$AJ19,'Технический лист'!$A:$B,2,1),(IP19-0.05)))</f>
        <v>1</v>
      </c>
      <c r="IR19" s="15">
        <f>MIN(1,MAX(VLOOKUP(($AJ19-$AI19-$AH19-$AG19-$AF19-$AE19*(1+IR$3))/$AJ19,'Технический лист'!$A:$B,2,1),(IQ19-0.05)))</f>
        <v>1</v>
      </c>
    </row>
    <row r="20" spans="1:252" ht="29.15">
      <c r="A20" s="89" t="s">
        <v>514</v>
      </c>
      <c r="B20" s="90">
        <v>2</v>
      </c>
      <c r="C20" s="5" t="s">
        <v>65</v>
      </c>
      <c r="D20" s="91">
        <v>17107</v>
      </c>
      <c r="E20" s="91" t="s">
        <v>320</v>
      </c>
      <c r="F20" s="92" t="s">
        <v>69</v>
      </c>
      <c r="G20" s="91" t="s">
        <v>52</v>
      </c>
      <c r="H20" s="91" t="s">
        <v>21</v>
      </c>
      <c r="I20" s="91" t="s">
        <v>98</v>
      </c>
      <c r="J20" s="91" t="s">
        <v>27</v>
      </c>
      <c r="K20" s="91">
        <v>2311</v>
      </c>
      <c r="L20" s="85" t="s">
        <v>64</v>
      </c>
      <c r="M20" s="91" t="s">
        <v>17</v>
      </c>
      <c r="N20" s="91" t="s">
        <v>191</v>
      </c>
      <c r="O20" s="91" t="s">
        <v>192</v>
      </c>
      <c r="P20" s="89" t="s">
        <v>203</v>
      </c>
      <c r="Q20" s="91" t="s">
        <v>290</v>
      </c>
      <c r="R20" s="91" t="s">
        <v>254</v>
      </c>
      <c r="S20" s="82">
        <v>56167</v>
      </c>
      <c r="T20" s="82">
        <v>129801242</v>
      </c>
      <c r="U20" s="81">
        <v>871</v>
      </c>
      <c r="V20" s="81">
        <v>0</v>
      </c>
      <c r="W20" s="82">
        <v>84578350</v>
      </c>
      <c r="X20" s="112">
        <v>65</v>
      </c>
      <c r="Y20" s="112" t="s">
        <v>417</v>
      </c>
      <c r="Z20" s="113">
        <v>9</v>
      </c>
      <c r="AA20" s="113">
        <v>7</v>
      </c>
      <c r="AB20" s="113">
        <v>4</v>
      </c>
      <c r="AC20" s="99">
        <v>1698.55</v>
      </c>
      <c r="AD20" s="99">
        <f t="shared" si="1"/>
        <v>581.39999999999986</v>
      </c>
      <c r="AE20" s="99">
        <v>2279.9499999999998</v>
      </c>
      <c r="AF20" s="98">
        <f>(Z20+AA20+AB20)*'Ставки аренды'!$B$3/X20</f>
        <v>215.38461538461539</v>
      </c>
      <c r="AG20" s="114">
        <f>'Ставки перевалки'!$B$3*'Курсы валют'!$B$2</f>
        <v>991.97149999999988</v>
      </c>
      <c r="AH20" s="94">
        <v>0</v>
      </c>
      <c r="AI20" s="115">
        <f>55698921/113463679*AVERAGE(AJ20,AJ21)</f>
        <v>8049.533623828901</v>
      </c>
      <c r="AJ20" s="117">
        <f>Цены!$C$8*'Курсы валют'!$B$2</f>
        <v>15795.238499999999</v>
      </c>
      <c r="AK20" s="94">
        <f>AJ20/Цены!$B$1</f>
        <v>207</v>
      </c>
      <c r="AL20" s="95">
        <f t="shared" si="5"/>
        <v>3487.3061153846147</v>
      </c>
      <c r="AM20" s="95">
        <f t="shared" si="6"/>
        <v>12307.932384615386</v>
      </c>
      <c r="AN20" s="94">
        <f t="shared" si="2"/>
        <v>11536.839739213516</v>
      </c>
      <c r="AO20" s="118">
        <f t="shared" si="3"/>
        <v>0.26960015581825397</v>
      </c>
      <c r="AP20" s="96">
        <f t="shared" si="7"/>
        <v>0.22078211198802822</v>
      </c>
      <c r="AQ20" s="96">
        <f t="shared" si="8"/>
        <v>0.14434413256881179</v>
      </c>
      <c r="AR20" s="96">
        <f t="shared" si="9"/>
        <v>0.65378545059229598</v>
      </c>
      <c r="AS20" s="122">
        <v>1</v>
      </c>
      <c r="AT20" s="121">
        <f t="shared" si="10"/>
        <v>56167</v>
      </c>
      <c r="AU20" s="83">
        <v>0.95</v>
      </c>
      <c r="AV20" s="119">
        <f t="shared" si="11"/>
        <v>0.25227885990999649</v>
      </c>
      <c r="AW20" s="120">
        <f t="shared" si="12"/>
        <v>0.23810340789628565</v>
      </c>
      <c r="AX20" s="120">
        <f t="shared" si="13"/>
        <v>0.16166542847706922</v>
      </c>
      <c r="AY20" s="120">
        <f t="shared" si="14"/>
        <v>0.67897150194292177</v>
      </c>
      <c r="AZ20" s="15">
        <f>MIN(IF($AU20=100%,1,1+VLOOKUP(($AJ20-$AI20-$AH20-$AG20-$AF20-$AE20*(1+AZ$3))/$AJ20,'Технический лист'!$A:$B,2,1)-VLOOKUP($AO20,'Технический лист'!$A:$B,2,1)),1+(1-$AU20))</f>
        <v>1.05</v>
      </c>
      <c r="BA20" s="15">
        <f>MIN(IF($AU20=100%,1,1+VLOOKUP(($AJ20-$AI20-$AH20-$AG20-$AF20-$AE20*(1+BA$3))/$AJ20,'Технический лист'!$A:$B,2,1)-VLOOKUP($AO20,'Технический лист'!$A:$B,2,1)),1+(1-$AU20))</f>
        <v>1.05</v>
      </c>
      <c r="BB20" s="15">
        <f>MIN(IF($AU20=100%,1,1+VLOOKUP(($AJ20-$AI20-$AH20-$AG20-$AF20-$AE20*(1+BB$3))/$AJ20,'Технический лист'!$A:$B,2,1)-VLOOKUP($AO20,'Технический лист'!$A:$B,2,1)),1+(1-$AU20))</f>
        <v>1.05</v>
      </c>
      <c r="BC20" s="15">
        <f>MIN(IF($AU20=100%,1,1+VLOOKUP(($AJ20-$AI20-$AH20-$AG20-$AF20-$AE20*(1+BC$3))/$AJ20,'Технический лист'!$A:$B,2,1)-VLOOKUP($AO20,'Технический лист'!$A:$B,2,1)),1+(1-$AU20))</f>
        <v>1.0430000000000004</v>
      </c>
      <c r="BD20" s="15">
        <f>MIN(IF($AU20=100%,1,1+VLOOKUP(($AJ20-$AI20-$AH20-$AG20-$AF20-$AE20*(1+BD$3))/$AJ20,'Технический лист'!$A:$B,2,1)-VLOOKUP($AO20,'Технический лист'!$A:$B,2,1)),1+(1-$AU20))</f>
        <v>1.0430000000000004</v>
      </c>
      <c r="BE20" s="15">
        <f>MIN(IF($AU20=100%,1,1+VLOOKUP(($AJ20-$AI20-$AH20-$AG20-$AF20-$AE20*(1+BE$3))/$AJ20,'Технический лист'!$A:$B,2,1)-VLOOKUP($AO20,'Технический лист'!$A:$B,2,1)),1+(1-$AU20))</f>
        <v>1.0430000000000004</v>
      </c>
      <c r="BF20" s="15">
        <f>MIN(IF($AU20=100%,1,1+VLOOKUP(($AJ20-$AI20-$AH20-$AG20-$AF20-$AE20*(1+BF$3))/$AJ20,'Технический лист'!$A:$B,2,1)-VLOOKUP($AO20,'Технический лист'!$A:$B,2,1)),1+(1-$AU20))</f>
        <v>1.0430000000000004</v>
      </c>
      <c r="BG20" s="15">
        <f>MIN(IF($AU20=100%,1,1+VLOOKUP(($AJ20-$AI20-$AH20-$AG20-$AF20-$AE20*(1+BG$3))/$AJ20,'Технический лист'!$A:$B,2,1)-VLOOKUP($AO20,'Технический лист'!$A:$B,2,1)),1+(1-$AU20))</f>
        <v>1.0430000000000004</v>
      </c>
      <c r="BH20" s="15">
        <f>MIN(IF($AU20=100%,1,1+VLOOKUP(($AJ20-$AI20-$AH20-$AG20-$AF20-$AE20*(1+BH$3))/$AJ20,'Технический лист'!$A:$B,2,1)-VLOOKUP($AO20,'Технический лист'!$A:$B,2,1)),1+(1-$AU20))</f>
        <v>1.0430000000000004</v>
      </c>
      <c r="BI20" s="15">
        <f>MIN(IF($AU20=100%,1,1+VLOOKUP(($AJ20-$AI20-$AH20-$AG20-$AF20-$AE20*(1+BI$3))/$AJ20,'Технический лист'!$A:$B,2,1)-VLOOKUP($AO20,'Технический лист'!$A:$B,2,1)),1+(1-$AU20))</f>
        <v>1.0430000000000004</v>
      </c>
      <c r="BJ20" s="15">
        <f>MIN(IF($AU20=100%,1,1+VLOOKUP(($AJ20-$AI20-$AH20-$AG20-$AF20-$AE20*(1+BJ$3))/$AJ20,'Технический лист'!$A:$B,2,1)-VLOOKUP($AO20,'Технический лист'!$A:$B,2,1)),1+(1-$AU20))</f>
        <v>1.0430000000000004</v>
      </c>
      <c r="BK20" s="15">
        <f>MIN(IF($AU20=100%,1,1+VLOOKUP(($AJ20-$AI20-$AH20-$AG20-$AF20-$AE20*(1+BK$3))/$AJ20,'Технический лист'!$A:$B,2,1)-VLOOKUP($AO20,'Технический лист'!$A:$B,2,1)),1+(1-$AU20))</f>
        <v>1.0430000000000004</v>
      </c>
      <c r="BL20" s="15">
        <f>MIN(IF($AU20=100%,1,1+VLOOKUP(($AJ20-$AI20-$AH20-$AG20-$AF20-$AE20*(1+BL$3))/$AJ20,'Технический лист'!$A:$B,2,1)-VLOOKUP($AO20,'Технический лист'!$A:$B,2,1)),1+(1-$AU20))</f>
        <v>1.0430000000000004</v>
      </c>
      <c r="BM20" s="15">
        <f>MIN(IF($AU20=100%,1,1+VLOOKUP(($AJ20-$AI20-$AH20-$AG20-$AF20-$AE20*(1+BM$3))/$AJ20,'Технический лист'!$A:$B,2,1)-VLOOKUP($AO20,'Технический лист'!$A:$B,2,1)),1+(1-$AU20))</f>
        <v>1.0430000000000004</v>
      </c>
      <c r="BN20" s="15">
        <f>MIN(IF($AU20=100%,1,1+VLOOKUP(($AJ20-$AI20-$AH20-$AG20-$AF20-$AE20*(1+BN$3))/$AJ20,'Технический лист'!$A:$B,2,1)-VLOOKUP($AO20,'Технический лист'!$A:$B,2,1)),1+(1-$AU20))</f>
        <v>1.0430000000000004</v>
      </c>
      <c r="BO20" s="15">
        <f>MIN(IF($AU20=100%,1,1+VLOOKUP(($AJ20-$AI20-$AH20-$AG20-$AF20-$AE20*(1+BO$3))/$AJ20,'Технический лист'!$A:$B,2,1)-VLOOKUP($AO20,'Технический лист'!$A:$B,2,1)),1+(1-$AU20))</f>
        <v>1.0430000000000004</v>
      </c>
      <c r="BP20" s="15">
        <f>MIN(IF($AU20=100%,1,1+VLOOKUP(($AJ20-$AI20-$AH20-$AG20-$AF20-$AE20*(1+BP$3))/$AJ20,'Технический лист'!$A:$B,2,1)-VLOOKUP($AO20,'Технический лист'!$A:$B,2,1)),1+(1-$AU20))</f>
        <v>1.0430000000000004</v>
      </c>
      <c r="BQ20" s="15">
        <f>MIN(IF($AU20=100%,1,1+VLOOKUP(($AJ20-$AI20-$AH20-$AG20-$AF20-$AE20*(1+BQ$3))/$AJ20,'Технический лист'!$A:$B,2,1)-VLOOKUP($AO20,'Технический лист'!$A:$B,2,1)),1+(1-$AU20))</f>
        <v>1.0359999999999998</v>
      </c>
      <c r="BR20" s="15">
        <f>MIN(IF($AU20=100%,1,1+VLOOKUP(($AJ20-$AI20-$AH20-$AG20-$AF20-$AE20*(1+BR$3))/$AJ20,'Технический лист'!$A:$B,2,1)-VLOOKUP($AO20,'Технический лист'!$A:$B,2,1)),1+(1-$AU20))</f>
        <v>1.0359999999999998</v>
      </c>
      <c r="BS20" s="15">
        <f>MIN(IF($AU20=100%,1,1+VLOOKUP(($AJ20-$AI20-$AH20-$AG20-$AF20-$AE20*(1+BS$3))/$AJ20,'Технический лист'!$A:$B,2,1)-VLOOKUP($AO20,'Технический лист'!$A:$B,2,1)),1+(1-$AU20))</f>
        <v>1.0359999999999998</v>
      </c>
      <c r="BT20" s="15">
        <f>MIN(IF($AU20=100%,1,1+VLOOKUP(($AJ20-$AI20-$AH20-$AG20-$AF20-$AE20*(1+BT$3))/$AJ20,'Технический лист'!$A:$B,2,1)-VLOOKUP($AO20,'Технический лист'!$A:$B,2,1)),1+(1-$AU20))</f>
        <v>1.0359999999999998</v>
      </c>
      <c r="BU20" s="15">
        <f>MIN(IF($AU20=100%,1,1+VLOOKUP(($AJ20-$AI20-$AH20-$AG20-$AF20-$AE20*(1+BU$3))/$AJ20,'Технический лист'!$A:$B,2,1)-VLOOKUP($AO20,'Технический лист'!$A:$B,2,1)),1+(1-$AU20))</f>
        <v>1.0359999999999998</v>
      </c>
      <c r="BV20" s="15">
        <f>MIN(IF($AU20=100%,1,1+VLOOKUP(($AJ20-$AI20-$AH20-$AG20-$AF20-$AE20*(1+BV$3))/$AJ20,'Технический лист'!$A:$B,2,1)-VLOOKUP($AO20,'Технический лист'!$A:$B,2,1)),1+(1-$AU20))</f>
        <v>1.0359999999999998</v>
      </c>
      <c r="BW20" s="15">
        <f>MIN(IF($AU20=100%,1,1+VLOOKUP(($AJ20-$AI20-$AH20-$AG20-$AF20-$AE20*(1+BW$3))/$AJ20,'Технический лист'!$A:$B,2,1)-VLOOKUP($AO20,'Технический лист'!$A:$B,2,1)),1+(1-$AU20))</f>
        <v>1.0359999999999998</v>
      </c>
      <c r="BX20" s="15">
        <f>MIN(IF($AU20=100%,1,1+VLOOKUP(($AJ20-$AI20-$AH20-$AG20-$AF20-$AE20*(1+BX$3))/$AJ20,'Технический лист'!$A:$B,2,1)-VLOOKUP($AO20,'Технический лист'!$A:$B,2,1)),1+(1-$AU20))</f>
        <v>1.0359999999999998</v>
      </c>
      <c r="BY20" s="15">
        <f>MIN(IF($AU20=100%,1,1+VLOOKUP(($AJ20-$AI20-$AH20-$AG20-$AF20-$AE20*(1+BY$3))/$AJ20,'Технический лист'!$A:$B,2,1)-VLOOKUP($AO20,'Технический лист'!$A:$B,2,1)),1+(1-$AU20))</f>
        <v>1.0359999999999998</v>
      </c>
      <c r="BZ20" s="15">
        <f>MIN(IF($AU20=100%,1,1+VLOOKUP(($AJ20-$AI20-$AH20-$AG20-$AF20-$AE20*(1+BZ$3))/$AJ20,'Технический лист'!$A:$B,2,1)-VLOOKUP($AO20,'Технический лист'!$A:$B,2,1)),1+(1-$AU20))</f>
        <v>1.0359999999999998</v>
      </c>
      <c r="CA20" s="15">
        <f>MIN(IF($AU20=100%,1,1+VLOOKUP(($AJ20-$AI20-$AH20-$AG20-$AF20-$AE20*(1+CA$3))/$AJ20,'Технический лист'!$A:$B,2,1)-VLOOKUP($AO20,'Технический лист'!$A:$B,2,1)),1+(1-$AU20))</f>
        <v>1.0359999999999998</v>
      </c>
      <c r="CB20" s="15">
        <f>MIN(IF($AU20=100%,1,1+VLOOKUP(($AJ20-$AI20-$AH20-$AG20-$AF20-$AE20*(1+CB$3))/$AJ20,'Технический лист'!$A:$B,2,1)-VLOOKUP($AO20,'Технический лист'!$A:$B,2,1)),1+(1-$AU20))</f>
        <v>1.0359999999999998</v>
      </c>
      <c r="CC20" s="15">
        <f>MIN(IF($AU20=100%,1,1+VLOOKUP(($AJ20-$AI20-$AH20-$AG20-$AF20-$AE20*(1+CC$3))/$AJ20,'Технический лист'!$A:$B,2,1)-VLOOKUP($AO20,'Технический лист'!$A:$B,2,1)),1+(1-$AU20))</f>
        <v>1.0359999999999998</v>
      </c>
      <c r="CD20" s="15">
        <f>MIN(IF($AU20=100%,1,1+VLOOKUP(($AJ20-$AI20-$AH20-$AG20-$AF20-$AE20*(1+CD$3))/$AJ20,'Технический лист'!$A:$B,2,1)-VLOOKUP($AO20,'Технический лист'!$A:$B,2,1)),1+(1-$AU20))</f>
        <v>1.0359999999999998</v>
      </c>
      <c r="CE20" s="15">
        <f>MIN(IF($AU20=100%,1,1+VLOOKUP(($AJ20-$AI20-$AH20-$AG20-$AF20-$AE20*(1+CE$3))/$AJ20,'Технический лист'!$A:$B,2,1)-VLOOKUP($AO20,'Технический лист'!$A:$B,2,1)),1+(1-$AU20))</f>
        <v>1.03</v>
      </c>
      <c r="CF20" s="15">
        <f>MIN(IF($AU20=100%,1,1+VLOOKUP(($AJ20-$AI20-$AH20-$AG20-$AF20-$AE20*(1+CF$3))/$AJ20,'Технический лист'!$A:$B,2,1)-VLOOKUP($AO20,'Технический лист'!$A:$B,2,1)),1+(1-$AU20))</f>
        <v>1.03</v>
      </c>
      <c r="CG20" s="15">
        <f>MIN(IF($AU20=100%,1,1+VLOOKUP(($AJ20-$AI20-$AH20-$AG20-$AF20-$AE20*(1+CG$3))/$AJ20,'Технический лист'!$A:$B,2,1)-VLOOKUP($AO20,'Технический лист'!$A:$B,2,1)),1+(1-$AU20))</f>
        <v>1.03</v>
      </c>
      <c r="CH20" s="15">
        <f>MIN(IF($AU20=100%,1,1+VLOOKUP(($AJ20-$AI20-$AH20-$AG20-$AF20-$AE20*(1+CH$3))/$AJ20,'Технический лист'!$A:$B,2,1)-VLOOKUP($AO20,'Технический лист'!$A:$B,2,1)),1+(1-$AU20))</f>
        <v>1.03</v>
      </c>
      <c r="CI20" s="15">
        <f>MIN(IF($AU20=100%,1,1+VLOOKUP(($AJ20-$AI20-$AH20-$AG20-$AF20-$AE20*(1+CI$3))/$AJ20,'Технический лист'!$A:$B,2,1)-VLOOKUP($AO20,'Технический лист'!$A:$B,2,1)),1+(1-$AU20))</f>
        <v>1.03</v>
      </c>
      <c r="CJ20" s="15">
        <f>MIN(IF($AU20=100%,1,1+VLOOKUP(($AJ20-$AI20-$AH20-$AG20-$AF20-$AE20*(1+CJ$3))/$AJ20,'Технический лист'!$A:$B,2,1)-VLOOKUP($AO20,'Технический лист'!$A:$B,2,1)),1+(1-$AU20))</f>
        <v>1.03</v>
      </c>
      <c r="CK20" s="15">
        <f>MIN(IF($AU20=100%,1,1+VLOOKUP(($AJ20-$AI20-$AH20-$AG20-$AF20-$AE20*(1+CK$3))/$AJ20,'Технический лист'!$A:$B,2,1)-VLOOKUP($AO20,'Технический лист'!$A:$B,2,1)),1+(1-$AU20))</f>
        <v>1.03</v>
      </c>
      <c r="CL20" s="15">
        <f>MIN(IF($AU20=100%,1,1+VLOOKUP(($AJ20-$AI20-$AH20-$AG20-$AF20-$AE20*(1+CL$3))/$AJ20,'Технический лист'!$A:$B,2,1)-VLOOKUP($AO20,'Технический лист'!$A:$B,2,1)),1+(1-$AU20))</f>
        <v>1.03</v>
      </c>
      <c r="CM20" s="15">
        <f>MIN(IF($AU20=100%,1,1+VLOOKUP(($AJ20-$AI20-$AH20-$AG20-$AF20-$AE20*(1+CM$3))/$AJ20,'Технический лист'!$A:$B,2,1)-VLOOKUP($AO20,'Технический лист'!$A:$B,2,1)),1+(1-$AU20))</f>
        <v>1.03</v>
      </c>
      <c r="CN20" s="15">
        <f>MIN(IF($AU20=100%,1,1+VLOOKUP(($AJ20-$AI20-$AH20-$AG20-$AF20-$AE20*(1+CN$3))/$AJ20,'Технический лист'!$A:$B,2,1)-VLOOKUP($AO20,'Технический лист'!$A:$B,2,1)),1+(1-$AU20))</f>
        <v>1.03</v>
      </c>
      <c r="CO20" s="15">
        <f>MIN(IF($AU20=100%,1,1+VLOOKUP(($AJ20-$AI20-$AH20-$AG20-$AF20-$AE20*(1+CO$3))/$AJ20,'Технический лист'!$A:$B,2,1)-VLOOKUP($AO20,'Технический лист'!$A:$B,2,1)),1+(1-$AU20))</f>
        <v>1.03</v>
      </c>
      <c r="CP20" s="15">
        <f>MIN(IF($AU20=100%,1,1+VLOOKUP(($AJ20-$AI20-$AH20-$AG20-$AF20-$AE20*(1+CP$3))/$AJ20,'Технический лист'!$A:$B,2,1)-VLOOKUP($AO20,'Технический лист'!$A:$B,2,1)),1+(1-$AU20))</f>
        <v>1.03</v>
      </c>
      <c r="CQ20" s="15">
        <f>MIN(IF($AU20=100%,1,1+VLOOKUP(($AJ20-$AI20-$AH20-$AG20-$AF20-$AE20*(1+CQ$3))/$AJ20,'Технический лист'!$A:$B,2,1)-VLOOKUP($AO20,'Технический лист'!$A:$B,2,1)),1+(1-$AU20))</f>
        <v>1.03</v>
      </c>
      <c r="CR20" s="15">
        <f>MIN(IF($AU20=100%,1,1+VLOOKUP(($AJ20-$AI20-$AH20-$AG20-$AF20-$AE20*(1+CR$3))/$AJ20,'Технический лист'!$A:$B,2,1)-VLOOKUP($AO20,'Технический лист'!$A:$B,2,1)),1+(1-$AU20))</f>
        <v>1.03</v>
      </c>
      <c r="CS20" s="15">
        <f>MIN(IF($AU20=100%,1,1+VLOOKUP(($AJ20-$AI20-$AH20-$AG20-$AF20-$AE20*(1+CS$3))/$AJ20,'Технический лист'!$A:$B,2,1)-VLOOKUP($AO20,'Технический лист'!$A:$B,2,1)),1+(1-$AU20))</f>
        <v>1.0240000000000002</v>
      </c>
      <c r="CT20" s="15">
        <f>MIN(IF($AU20=100%,1,1+VLOOKUP(($AJ20-$AI20-$AH20-$AG20-$AF20-$AE20*(1+CT$3))/$AJ20,'Технический лист'!$A:$B,2,1)-VLOOKUP($AO20,'Технический лист'!$A:$B,2,1)),1+(1-$AU20))</f>
        <v>1.0240000000000002</v>
      </c>
      <c r="CU20" s="15">
        <f>MIN(IF($AU20=100%,1,1+VLOOKUP(($AJ20-$AI20-$AH20-$AG20-$AF20-$AE20*(1+CU$3))/$AJ20,'Технический лист'!$A:$B,2,1)-VLOOKUP($AO20,'Технический лист'!$A:$B,2,1)),1+(1-$AU20))</f>
        <v>1.0240000000000002</v>
      </c>
      <c r="CV20" s="15">
        <f>MIN(IF($AU20=100%,1,1+VLOOKUP(($AJ20-$AI20-$AH20-$AG20-$AF20-$AE20*(1+CV$3))/$AJ20,'Технический лист'!$A:$B,2,1)-VLOOKUP($AO20,'Технический лист'!$A:$B,2,1)),1+(1-$AU20))</f>
        <v>1.0240000000000002</v>
      </c>
      <c r="CW20" s="15">
        <f>MIN(IF($AU20=100%,1,1+VLOOKUP(($AJ20-$AI20-$AH20-$AG20-$AF20-$AE20*(1+CW$3))/$AJ20,'Технический лист'!$A:$B,2,1)-VLOOKUP($AO20,'Технический лист'!$A:$B,2,1)),1+(1-$AU20))</f>
        <v>1.0240000000000002</v>
      </c>
      <c r="CX20" s="15">
        <f>MIN(IF($AU20=100%,1,1+VLOOKUP(($AJ20-$AI20-$AH20-$AG20-$AF20-$AE20*(1+CX$3))/$AJ20,'Технический лист'!$A:$B,2,1)-VLOOKUP($AO20,'Технический лист'!$A:$B,2,1)),1+(1-$AU20))</f>
        <v>1.0240000000000002</v>
      </c>
      <c r="CY20" s="15">
        <f>MIN(IF($AU20=100%,1,1+VLOOKUP(($AJ20-$AI20-$AH20-$AG20-$AF20-$AE20*(1+CY$3))/$AJ20,'Технический лист'!$A:$B,2,1)-VLOOKUP($AO20,'Технический лист'!$A:$B,2,1)),1+(1-$AU20))</f>
        <v>1.0240000000000002</v>
      </c>
      <c r="CZ20" s="15">
        <f>MIN(IF($AU20=100%,1,1+VLOOKUP(($AJ20-$AI20-$AH20-$AG20-$AF20-$AE20*(1+CZ$3))/$AJ20,'Технический лист'!$A:$B,2,1)-VLOOKUP($AO20,'Технический лист'!$A:$B,2,1)),1+(1-$AU20))</f>
        <v>1.0240000000000002</v>
      </c>
      <c r="DA20" s="15">
        <f>MIN(IF($AU20=100%,1,1+VLOOKUP(($AJ20-$AI20-$AH20-$AG20-$AF20-$AE20*(1+DA$3))/$AJ20,'Технический лист'!$A:$B,2,1)-VLOOKUP($AO20,'Технический лист'!$A:$B,2,1)),1+(1-$AU20))</f>
        <v>1.0240000000000002</v>
      </c>
      <c r="DB20" s="15">
        <f>MIN(IF($AU20=100%,1,1+VLOOKUP(($AJ20-$AI20-$AH20-$AG20-$AF20-$AE20*(1+DB$3))/$AJ20,'Технический лист'!$A:$B,2,1)-VLOOKUP($AO20,'Технический лист'!$A:$B,2,1)),1+(1-$AU20))</f>
        <v>1.0240000000000002</v>
      </c>
      <c r="DC20" s="15">
        <f>MIN(IF($AU20=100%,1,1+VLOOKUP(($AJ20-$AI20-$AH20-$AG20-$AF20-$AE20*(1+DC$3))/$AJ20,'Технический лист'!$A:$B,2,1)-VLOOKUP($AO20,'Технический лист'!$A:$B,2,1)),1+(1-$AU20))</f>
        <v>1.0240000000000002</v>
      </c>
      <c r="DD20" s="15">
        <f>MIN(IF($AU20=100%,1,1+VLOOKUP(($AJ20-$AI20-$AH20-$AG20-$AF20-$AE20*(1+DD$3))/$AJ20,'Технический лист'!$A:$B,2,1)-VLOOKUP($AO20,'Технический лист'!$A:$B,2,1)),1+(1-$AU20))</f>
        <v>1.0240000000000002</v>
      </c>
      <c r="DE20" s="15">
        <f>MIN(IF($AU20=100%,1,1+VLOOKUP(($AJ20-$AI20-$AH20-$AG20-$AF20-$AE20*(1+DE$3))/$AJ20,'Технический лист'!$A:$B,2,1)-VLOOKUP($AO20,'Технический лист'!$A:$B,2,1)),1+(1-$AU20))</f>
        <v>1.0240000000000002</v>
      </c>
      <c r="DF20" s="15">
        <f>MIN(IF($AU20=100%,1,1+VLOOKUP(($AJ20-$AI20-$AH20-$AG20-$AF20-$AE20*(1+DF$3))/$AJ20,'Технический лист'!$A:$B,2,1)-VLOOKUP($AO20,'Технический лист'!$A:$B,2,1)),1+(1-$AU20))</f>
        <v>1.018</v>
      </c>
      <c r="DG20" s="15">
        <f>MIN(IF($AU20=100%,1,1+VLOOKUP(($AJ20-$AI20-$AH20-$AG20-$AF20-$AE20*(1+DG$3))/$AJ20,'Технический лист'!$A:$B,2,1)-VLOOKUP($AO20,'Технический лист'!$A:$B,2,1)),1+(1-$AU20))</f>
        <v>1.018</v>
      </c>
      <c r="DH20" s="15">
        <f>MIN(IF($AU20=100%,1,1+VLOOKUP(($AJ20-$AI20-$AH20-$AG20-$AF20-$AE20*(1+DH$3))/$AJ20,'Технический лист'!$A:$B,2,1)-VLOOKUP($AO20,'Технический лист'!$A:$B,2,1)),1+(1-$AU20))</f>
        <v>1.018</v>
      </c>
      <c r="DI20" s="15">
        <f>MIN(IF($AU20=100%,1,1+VLOOKUP(($AJ20-$AI20-$AH20-$AG20-$AF20-$AE20*(1+DI$3))/$AJ20,'Технический лист'!$A:$B,2,1)-VLOOKUP($AO20,'Технический лист'!$A:$B,2,1)),1+(1-$AU20))</f>
        <v>1.018</v>
      </c>
      <c r="DJ20" s="15">
        <f>MIN(IF($AU20=100%,1,1+VLOOKUP(($AJ20-$AI20-$AH20-$AG20-$AF20-$AE20*(1+DJ$3))/$AJ20,'Технический лист'!$A:$B,2,1)-VLOOKUP($AO20,'Технический лист'!$A:$B,2,1)),1+(1-$AU20))</f>
        <v>1.018</v>
      </c>
      <c r="DK20" s="15">
        <f>MIN(IF($AU20=100%,1,1+VLOOKUP(($AJ20-$AI20-$AH20-$AG20-$AF20-$AE20*(1+DK$3))/$AJ20,'Технический лист'!$A:$B,2,1)-VLOOKUP($AO20,'Технический лист'!$A:$B,2,1)),1+(1-$AU20))</f>
        <v>1.018</v>
      </c>
      <c r="DL20" s="15">
        <f>MIN(IF($AU20=100%,1,1+VLOOKUP(($AJ20-$AI20-$AH20-$AG20-$AF20-$AE20*(1+DL$3))/$AJ20,'Технический лист'!$A:$B,2,1)-VLOOKUP($AO20,'Технический лист'!$A:$B,2,1)),1+(1-$AU20))</f>
        <v>1.018</v>
      </c>
      <c r="DM20" s="15">
        <f>MIN(IF($AU20=100%,1,1+VLOOKUP(($AJ20-$AI20-$AH20-$AG20-$AF20-$AE20*(1+DM$3))/$AJ20,'Технический лист'!$A:$B,2,1)-VLOOKUP($AO20,'Технический лист'!$A:$B,2,1)),1+(1-$AU20))</f>
        <v>1.018</v>
      </c>
      <c r="DN20" s="15">
        <f>MIN(IF($AU20=100%,1,1+VLOOKUP(($AJ20-$AI20-$AH20-$AG20-$AF20-$AE20*(1+DN$3))/$AJ20,'Технический лист'!$A:$B,2,1)-VLOOKUP($AO20,'Технический лист'!$A:$B,2,1)),1+(1-$AU20))</f>
        <v>1.018</v>
      </c>
      <c r="DO20" s="15">
        <f>MIN(IF($AU20=100%,1,1+VLOOKUP(($AJ20-$AI20-$AH20-$AG20-$AF20-$AE20*(1+DO$3))/$AJ20,'Технический лист'!$A:$B,2,1)-VLOOKUP($AO20,'Технический лист'!$A:$B,2,1)),1+(1-$AU20))</f>
        <v>1.018</v>
      </c>
      <c r="DP20" s="15">
        <f>MIN(IF($AU20=100%,1,1+VLOOKUP(($AJ20-$AI20-$AH20-$AG20-$AF20-$AE20*(1+DP$3))/$AJ20,'Технический лист'!$A:$B,2,1)-VLOOKUP($AO20,'Технический лист'!$A:$B,2,1)),1+(1-$AU20))</f>
        <v>1.018</v>
      </c>
      <c r="DQ20" s="15">
        <f>MIN(IF($AU20=100%,1,1+VLOOKUP(($AJ20-$AI20-$AH20-$AG20-$AF20-$AE20*(1+DQ$3))/$AJ20,'Технический лист'!$A:$B,2,1)-VLOOKUP($AO20,'Технический лист'!$A:$B,2,1)),1+(1-$AU20))</f>
        <v>1.018</v>
      </c>
      <c r="DR20" s="15">
        <f>MIN(IF($AU20=100%,1,1+VLOOKUP(($AJ20-$AI20-$AH20-$AG20-$AF20-$AE20*(1+DR$3))/$AJ20,'Технический лист'!$A:$B,2,1)-VLOOKUP($AO20,'Технический лист'!$A:$B,2,1)),1+(1-$AU20))</f>
        <v>1.018</v>
      </c>
      <c r="DS20" s="15">
        <f>MIN(IF($AU20=100%,1,1+VLOOKUP(($AJ20-$AI20-$AH20-$AG20-$AF20-$AE20*(1+DS$3))/$AJ20,'Технический лист'!$A:$B,2,1)-VLOOKUP($AO20,'Технический лист'!$A:$B,2,1)),1+(1-$AU20))</f>
        <v>1.018</v>
      </c>
      <c r="DT20" s="15">
        <f>MIN(IF($AU20=100%,1,1+VLOOKUP(($AJ20-$AI20-$AH20-$AG20-$AF20-$AE20*(1+DT$3))/$AJ20,'Технический лист'!$A:$B,2,1)-VLOOKUP($AO20,'Технический лист'!$A:$B,2,1)),1+(1-$AU20))</f>
        <v>1.0119999999999998</v>
      </c>
      <c r="DU20" s="15">
        <f>MIN(IF($AU20=100%,1,1+VLOOKUP(($AJ20-$AI20-$AH20-$AG20-$AF20-$AE20*(1+DU$3))/$AJ20,'Технический лист'!$A:$B,2,1)-VLOOKUP($AO20,'Технический лист'!$A:$B,2,1)),1+(1-$AU20))</f>
        <v>1.0119999999999998</v>
      </c>
      <c r="DV20" s="15">
        <f>MIN(IF($AU20=100%,1,1+VLOOKUP(($AJ20-$AI20-$AH20-$AG20-$AF20-$AE20*(1+DV$3))/$AJ20,'Технический лист'!$A:$B,2,1)-VLOOKUP($AO20,'Технический лист'!$A:$B,2,1)),1+(1-$AU20))</f>
        <v>1.0119999999999998</v>
      </c>
      <c r="DW20" s="15">
        <f>MIN(IF($AU20=100%,1,1+VLOOKUP(($AJ20-$AI20-$AH20-$AG20-$AF20-$AE20*(1+DW$3))/$AJ20,'Технический лист'!$A:$B,2,1)-VLOOKUP($AO20,'Технический лист'!$A:$B,2,1)),1+(1-$AU20))</f>
        <v>1.0119999999999998</v>
      </c>
      <c r="DX20" s="15">
        <f>MIN(IF($AU20=100%,1,1+VLOOKUP(($AJ20-$AI20-$AH20-$AG20-$AF20-$AE20*(1+DX$3))/$AJ20,'Технический лист'!$A:$B,2,1)-VLOOKUP($AO20,'Технический лист'!$A:$B,2,1)),1+(1-$AU20))</f>
        <v>1.0119999999999998</v>
      </c>
      <c r="DY20" s="15">
        <f>MIN(IF($AU20=100%,1,1+VLOOKUP(($AJ20-$AI20-$AH20-$AG20-$AF20-$AE20*(1+DY$3))/$AJ20,'Технический лист'!$A:$B,2,1)-VLOOKUP($AO20,'Технический лист'!$A:$B,2,1)),1+(1-$AU20))</f>
        <v>1.0119999999999998</v>
      </c>
      <c r="DZ20" s="15">
        <f>MIN(IF($AU20=100%,1,1+VLOOKUP(($AJ20-$AI20-$AH20-$AG20-$AF20-$AE20*(1+DZ$3))/$AJ20,'Технический лист'!$A:$B,2,1)-VLOOKUP($AO20,'Технический лист'!$A:$B,2,1)),1+(1-$AU20))</f>
        <v>1.0119999999999998</v>
      </c>
      <c r="EA20" s="15">
        <f>MIN(IF($AU20=100%,1,1+VLOOKUP(($AJ20-$AI20-$AH20-$AG20-$AF20-$AE20*(1+EA$3))/$AJ20,'Технический лист'!$A:$B,2,1)-VLOOKUP($AO20,'Технический лист'!$A:$B,2,1)),1+(1-$AU20))</f>
        <v>1.0119999999999998</v>
      </c>
      <c r="EB20" s="15">
        <f>MIN(IF($AU20=100%,1,1+VLOOKUP(($AJ20-$AI20-$AH20-$AG20-$AF20-$AE20*(1+EB$3))/$AJ20,'Технический лист'!$A:$B,2,1)-VLOOKUP($AO20,'Технический лист'!$A:$B,2,1)),1+(1-$AU20))</f>
        <v>1.0119999999999998</v>
      </c>
      <c r="EC20" s="15">
        <f>MIN(IF($AU20=100%,1,1+VLOOKUP(($AJ20-$AI20-$AH20-$AG20-$AF20-$AE20*(1+EC$3))/$AJ20,'Технический лист'!$A:$B,2,1)-VLOOKUP($AO20,'Технический лист'!$A:$B,2,1)),1+(1-$AU20))</f>
        <v>1.0119999999999998</v>
      </c>
      <c r="ED20" s="15">
        <f>MIN(IF($AU20=100%,1,1+VLOOKUP(($AJ20-$AI20-$AH20-$AG20-$AF20-$AE20*(1+ED$3))/$AJ20,'Технический лист'!$A:$B,2,1)-VLOOKUP($AO20,'Технический лист'!$A:$B,2,1)),1+(1-$AU20))</f>
        <v>1.0119999999999998</v>
      </c>
      <c r="EE20" s="15">
        <f>MIN(IF($AU20=100%,1,1+VLOOKUP(($AJ20-$AI20-$AH20-$AG20-$AF20-$AE20*(1+EE$3))/$AJ20,'Технический лист'!$A:$B,2,1)-VLOOKUP($AO20,'Технический лист'!$A:$B,2,1)),1+(1-$AU20))</f>
        <v>1.0119999999999998</v>
      </c>
      <c r="EF20" s="15">
        <f>MIN(IF($AU20=100%,1,1+VLOOKUP(($AJ20-$AI20-$AH20-$AG20-$AF20-$AE20*(1+EF$3))/$AJ20,'Технический лист'!$A:$B,2,1)-VLOOKUP($AO20,'Технический лист'!$A:$B,2,1)),1+(1-$AU20))</f>
        <v>1.0119999999999998</v>
      </c>
      <c r="EG20" s="15">
        <f>MIN(IF($AU20=100%,1,1+VLOOKUP(($AJ20-$AI20-$AH20-$AG20-$AF20-$AE20*(1+EG$3))/$AJ20,'Технический лист'!$A:$B,2,1)-VLOOKUP($AO20,'Технический лист'!$A:$B,2,1)),1+(1-$AU20))</f>
        <v>1.0119999999999998</v>
      </c>
      <c r="EH20" s="15">
        <f>MIN(IF($AU20=100%,1,1+VLOOKUP(($AJ20-$AI20-$AH20-$AG20-$AF20-$AE20*(1+EH$3))/$AJ20,'Технический лист'!$A:$B,2,1)-VLOOKUP($AO20,'Технический лист'!$A:$B,2,1)),1+(1-$AU20))</f>
        <v>1.006</v>
      </c>
      <c r="EI20" s="15">
        <f>MIN(IF($AU20=100%,1,1+VLOOKUP(($AJ20-$AI20-$AH20-$AG20-$AF20-$AE20*(1+EI$3))/$AJ20,'Технический лист'!$A:$B,2,1)-VLOOKUP($AO20,'Технический лист'!$A:$B,2,1)),1+(1-$AU20))</f>
        <v>1.006</v>
      </c>
      <c r="EJ20" s="15">
        <f>MIN(IF($AU20=100%,1,1+VLOOKUP(($AJ20-$AI20-$AH20-$AG20-$AF20-$AE20*(1+EJ$3))/$AJ20,'Технический лист'!$A:$B,2,1)-VLOOKUP($AO20,'Технический лист'!$A:$B,2,1)),1+(1-$AU20))</f>
        <v>1.006</v>
      </c>
      <c r="EK20" s="15">
        <f>MIN(IF($AU20=100%,1,1+VLOOKUP(($AJ20-$AI20-$AH20-$AG20-$AF20-$AE20*(1+EK$3))/$AJ20,'Технический лист'!$A:$B,2,1)-VLOOKUP($AO20,'Технический лист'!$A:$B,2,1)),1+(1-$AU20))</f>
        <v>1.006</v>
      </c>
      <c r="EL20" s="15">
        <f>MIN(IF($AU20=100%,1,1+VLOOKUP(($AJ20-$AI20-$AH20-$AG20-$AF20-$AE20*(1+EL$3))/$AJ20,'Технический лист'!$A:$B,2,1)-VLOOKUP($AO20,'Технический лист'!$A:$B,2,1)),1+(1-$AU20))</f>
        <v>1.006</v>
      </c>
      <c r="EM20" s="15">
        <f>MIN(IF($AU20=100%,1,1+VLOOKUP(($AJ20-$AI20-$AH20-$AG20-$AF20-$AE20*(1+EM$3))/$AJ20,'Технический лист'!$A:$B,2,1)-VLOOKUP($AO20,'Технический лист'!$A:$B,2,1)),1+(1-$AU20))</f>
        <v>1.006</v>
      </c>
      <c r="EN20" s="15">
        <f>MIN(IF($AU20=100%,1,1+VLOOKUP(($AJ20-$AI20-$AH20-$AG20-$AF20-$AE20*(1+EN$3))/$AJ20,'Технический лист'!$A:$B,2,1)-VLOOKUP($AO20,'Технический лист'!$A:$B,2,1)),1+(1-$AU20))</f>
        <v>1.006</v>
      </c>
      <c r="EO20" s="15">
        <f>MIN(IF($AU20=100%,1,1+VLOOKUP(($AJ20-$AI20-$AH20-$AG20-$AF20-$AE20*(1+EO$3))/$AJ20,'Технический лист'!$A:$B,2,1)-VLOOKUP($AO20,'Технический лист'!$A:$B,2,1)),1+(1-$AU20))</f>
        <v>1.006</v>
      </c>
      <c r="EP20" s="15">
        <f>MIN(IF($AU20=100%,1,1+VLOOKUP(($AJ20-$AI20-$AH20-$AG20-$AF20-$AE20*(1+EP$3))/$AJ20,'Технический лист'!$A:$B,2,1)-VLOOKUP($AO20,'Технический лист'!$A:$B,2,1)),1+(1-$AU20))</f>
        <v>1.006</v>
      </c>
      <c r="EQ20" s="15">
        <f>MIN(IF($AU20=100%,1,1+VLOOKUP(($AJ20-$AI20-$AH20-$AG20-$AF20-$AE20*(1+EQ$3))/$AJ20,'Технический лист'!$A:$B,2,1)-VLOOKUP($AO20,'Технический лист'!$A:$B,2,1)),1+(1-$AU20))</f>
        <v>1.006</v>
      </c>
      <c r="ER20" s="15">
        <f>MIN(IF($AU20=100%,1,1+VLOOKUP(($AJ20-$AI20-$AH20-$AG20-$AF20-$AE20*(1+ER$3))/$AJ20,'Технический лист'!$A:$B,2,1)-VLOOKUP($AO20,'Технический лист'!$A:$B,2,1)),1+(1-$AU20))</f>
        <v>1.006</v>
      </c>
      <c r="ES20" s="15">
        <f>MIN(IF($AU20=100%,1,1+VLOOKUP(($AJ20-$AI20-$AH20-$AG20-$AF20-$AE20*(1+ES$3))/$AJ20,'Технический лист'!$A:$B,2,1)-VLOOKUP($AO20,'Технический лист'!$A:$B,2,1)),1+(1-$AU20))</f>
        <v>1.006</v>
      </c>
      <c r="ET20" s="15">
        <f>MIN(IF($AU20=100%,1,1+VLOOKUP(($AJ20-$AI20-$AH20-$AG20-$AF20-$AE20*(1+ET$3))/$AJ20,'Технический лист'!$A:$B,2,1)-VLOOKUP($AO20,'Технический лист'!$A:$B,2,1)),1+(1-$AU20))</f>
        <v>1.006</v>
      </c>
      <c r="EU20" s="15">
        <f>MIN(IF($AU20=100%,1,1+VLOOKUP(($AJ20-$AI20-$AH20-$AG20-$AF20-$AE20*(1+EU$3))/$AJ20,'Технический лист'!$A:$B,2,1)-VLOOKUP($AO20,'Технический лист'!$A:$B,2,1)),1+(1-$AU20))</f>
        <v>1.006</v>
      </c>
      <c r="EV20" s="111">
        <v>1</v>
      </c>
      <c r="EW20" s="15">
        <f>MIN(1,MAX(VLOOKUP(($AJ20-$AI20-$AH20-$AG20-$AF20-$AE20*(1+EW$3))/$AJ20,'Технический лист'!$A:$B,2,1),(EV20-0.05)))</f>
        <v>1</v>
      </c>
      <c r="EX20" s="15">
        <f>MIN(1,MAX(VLOOKUP(($AJ20-$AI20-$AH20-$AG20-$AF20-$AE20*(1+EX$3))/$AJ20,'Технический лист'!$A:$B,2,1),(EW20-0.05)))</f>
        <v>1</v>
      </c>
      <c r="EY20" s="15">
        <f>MIN(1,MAX(VLOOKUP(($AJ20-$AI20-$AH20-$AG20-$AF20-$AE20*(1+EY$3))/$AJ20,'Технический лист'!$A:$B,2,1),(EX20-0.05)))</f>
        <v>1</v>
      </c>
      <c r="EZ20" s="15">
        <f>MIN(1,MAX(VLOOKUP(($AJ20-$AI20-$AH20-$AG20-$AF20-$AE20*(1+EZ$3))/$AJ20,'Технический лист'!$A:$B,2,1),(EY20-0.05)))</f>
        <v>1</v>
      </c>
      <c r="FA20" s="15">
        <f>MIN(1,MAX(VLOOKUP(($AJ20-$AI20-$AH20-$AG20-$AF20-$AE20*(1+FA$3))/$AJ20,'Технический лист'!$A:$B,2,1),(EZ20-0.05)))</f>
        <v>1</v>
      </c>
      <c r="FB20" s="15">
        <f>MIN(1,MAX(VLOOKUP(($AJ20-$AI20-$AH20-$AG20-$AF20-$AE20*(1+FB$3))/$AJ20,'Технический лист'!$A:$B,2,1),(FA20-0.05)))</f>
        <v>1</v>
      </c>
      <c r="FC20" s="15">
        <f>MIN(1,MAX(VLOOKUP(($AJ20-$AI20-$AH20-$AG20-$AF20-$AE20*(1+FC$3))/$AJ20,'Технический лист'!$A:$B,2,1),(FB20-0.05)))</f>
        <v>1</v>
      </c>
      <c r="FD20" s="15">
        <f>MIN(1,MAX(VLOOKUP(($AJ20-$AI20-$AH20-$AG20-$AF20-$AE20*(1+FD$3))/$AJ20,'Технический лист'!$A:$B,2,1),(FC20-0.05)))</f>
        <v>1</v>
      </c>
      <c r="FE20" s="15">
        <f>MIN(1,MAX(VLOOKUP(($AJ20-$AI20-$AH20-$AG20-$AF20-$AE20*(1+FE$3))/$AJ20,'Технический лист'!$A:$B,2,1),(FD20-0.05)))</f>
        <v>1</v>
      </c>
      <c r="FF20" s="15">
        <f>MIN(1,MAX(VLOOKUP(($AJ20-$AI20-$AH20-$AG20-$AF20-$AE20*(1+FF$3))/$AJ20,'Технический лист'!$A:$B,2,1),(FE20-0.05)))</f>
        <v>1</v>
      </c>
      <c r="FG20" s="15">
        <f>MIN(1,MAX(VLOOKUP(($AJ20-$AI20-$AH20-$AG20-$AF20-$AE20*(1+FG$3))/$AJ20,'Технический лист'!$A:$B,2,1),(FF20-0.05)))</f>
        <v>1</v>
      </c>
      <c r="FH20" s="15">
        <f>MIN(1,MAX(VLOOKUP(($AJ20-$AI20-$AH20-$AG20-$AF20-$AE20*(1+FH$3))/$AJ20,'Технический лист'!$A:$B,2,1),(FG20-0.05)))</f>
        <v>1</v>
      </c>
      <c r="FI20" s="15">
        <f>MIN(1,MAX(VLOOKUP(($AJ20-$AI20-$AH20-$AG20-$AF20-$AE20*(1+FI$3))/$AJ20,'Технический лист'!$A:$B,2,1),(FH20-0.05)))</f>
        <v>1</v>
      </c>
      <c r="FJ20" s="15">
        <f>MIN(1,MAX(VLOOKUP(($AJ20-$AI20-$AH20-$AG20-$AF20-$AE20*(1+FJ$3))/$AJ20,'Технический лист'!$A:$B,2,1),(FI20-0.05)))</f>
        <v>1</v>
      </c>
      <c r="FK20" s="15">
        <f>MIN(1,MAX(VLOOKUP(($AJ20-$AI20-$AH20-$AG20-$AF20-$AE20*(1+FK$3))/$AJ20,'Технический лист'!$A:$B,2,1),(FJ20-0.05)))</f>
        <v>1</v>
      </c>
      <c r="FL20" s="15">
        <f>MIN(1,MAX(VLOOKUP(($AJ20-$AI20-$AH20-$AG20-$AF20-$AE20*(1+FL$3))/$AJ20,'Технический лист'!$A:$B,2,1),(FK20-0.05)))</f>
        <v>1</v>
      </c>
      <c r="FM20" s="15">
        <f>MIN(1,MAX(VLOOKUP(($AJ20-$AI20-$AH20-$AG20-$AF20-$AE20*(1+FM$3))/$AJ20,'Технический лист'!$A:$B,2,1),(FL20-0.05)))</f>
        <v>1</v>
      </c>
      <c r="FN20" s="15">
        <f>MIN(1,MAX(VLOOKUP(($AJ20-$AI20-$AH20-$AG20-$AF20-$AE20*(1+FN$3))/$AJ20,'Технический лист'!$A:$B,2,1),(FM20-0.05)))</f>
        <v>1</v>
      </c>
      <c r="FO20" s="15">
        <f>MIN(1,MAX(VLOOKUP(($AJ20-$AI20-$AH20-$AG20-$AF20-$AE20*(1+FO$3))/$AJ20,'Технический лист'!$A:$B,2,1),(FN20-0.05)))</f>
        <v>1</v>
      </c>
      <c r="FP20" s="15">
        <f>MIN(1,MAX(VLOOKUP(($AJ20-$AI20-$AH20-$AG20-$AF20-$AE20*(1+FP$3))/$AJ20,'Технический лист'!$A:$B,2,1),(FO20-0.05)))</f>
        <v>1</v>
      </c>
      <c r="FQ20" s="15">
        <f>MIN(1,MAX(VLOOKUP(($AJ20-$AI20-$AH20-$AG20-$AF20-$AE20*(1+FQ$3))/$AJ20,'Технический лист'!$A:$B,2,1),(FP20-0.05)))</f>
        <v>1</v>
      </c>
      <c r="FR20" s="15">
        <f>MIN(1,MAX(VLOOKUP(($AJ20-$AI20-$AH20-$AG20-$AF20-$AE20*(1+FR$3))/$AJ20,'Технический лист'!$A:$B,2,1),(FQ20-0.05)))</f>
        <v>1</v>
      </c>
      <c r="FS20" s="15">
        <f>MIN(1,MAX(VLOOKUP(($AJ20-$AI20-$AH20-$AG20-$AF20-$AE20*(1+FS$3))/$AJ20,'Технический лист'!$A:$B,2,1),(FR20-0.05)))</f>
        <v>1</v>
      </c>
      <c r="FT20" s="15">
        <f>MIN(1,MAX(VLOOKUP(($AJ20-$AI20-$AH20-$AG20-$AF20-$AE20*(1+FT$3))/$AJ20,'Технический лист'!$A:$B,2,1),(FS20-0.05)))</f>
        <v>1</v>
      </c>
      <c r="FU20" s="15">
        <f>MIN(1,MAX(VLOOKUP(($AJ20-$AI20-$AH20-$AG20-$AF20-$AE20*(1+FU$3))/$AJ20,'Технический лист'!$A:$B,2,1),(FT20-0.05)))</f>
        <v>1</v>
      </c>
      <c r="FV20" s="15">
        <f>MIN(1,MAX(VLOOKUP(($AJ20-$AI20-$AH20-$AG20-$AF20-$AE20*(1+FV$3))/$AJ20,'Технический лист'!$A:$B,2,1),(FU20-0.05)))</f>
        <v>1</v>
      </c>
      <c r="FW20" s="15">
        <f>MIN(1,MAX(VLOOKUP(($AJ20-$AI20-$AH20-$AG20-$AF20-$AE20*(1+FW$3))/$AJ20,'Технический лист'!$A:$B,2,1),(FV20-0.05)))</f>
        <v>1</v>
      </c>
      <c r="FX20" s="15">
        <f>MIN(1,MAX(VLOOKUP(($AJ20-$AI20-$AH20-$AG20-$AF20-$AE20*(1+FX$3))/$AJ20,'Технический лист'!$A:$B,2,1),(FW20-0.05)))</f>
        <v>1</v>
      </c>
      <c r="FY20" s="15">
        <f>MIN(1,MAX(VLOOKUP(($AJ20-$AI20-$AH20-$AG20-$AF20-$AE20*(1+FY$3))/$AJ20,'Технический лист'!$A:$B,2,1),(FX20-0.05)))</f>
        <v>1</v>
      </c>
      <c r="FZ20" s="15">
        <f>MIN(1,MAX(VLOOKUP(($AJ20-$AI20-$AH20-$AG20-$AF20-$AE20*(1+FZ$3))/$AJ20,'Технический лист'!$A:$B,2,1),(FY20-0.05)))</f>
        <v>1</v>
      </c>
      <c r="GA20" s="15">
        <f>MIN(1,MAX(VLOOKUP(($AJ20-$AI20-$AH20-$AG20-$AF20-$AE20*(1+GA$3))/$AJ20,'Технический лист'!$A:$B,2,1),(FZ20-0.05)))</f>
        <v>1</v>
      </c>
      <c r="GB20" s="15">
        <f>MIN(1,MAX(VLOOKUP(($AJ20-$AI20-$AH20-$AG20-$AF20-$AE20*(1+GB$3))/$AJ20,'Технический лист'!$A:$B,2,1),(GA20-0.05)))</f>
        <v>1</v>
      </c>
      <c r="GC20" s="15">
        <f>MIN(1,MAX(VLOOKUP(($AJ20-$AI20-$AH20-$AG20-$AF20-$AE20*(1+GC$3))/$AJ20,'Технический лист'!$A:$B,2,1),(GB20-0.05)))</f>
        <v>1</v>
      </c>
      <c r="GD20" s="15">
        <f>MIN(1,MAX(VLOOKUP(($AJ20-$AI20-$AH20-$AG20-$AF20-$AE20*(1+GD$3))/$AJ20,'Технический лист'!$A:$B,2,1),(GC20-0.05)))</f>
        <v>1</v>
      </c>
      <c r="GE20" s="15">
        <f>MIN(1,MAX(VLOOKUP(($AJ20-$AI20-$AH20-$AG20-$AF20-$AE20*(1+GE$3))/$AJ20,'Технический лист'!$A:$B,2,1),(GD20-0.05)))</f>
        <v>1</v>
      </c>
      <c r="GF20" s="15">
        <f>MIN(1,MAX(VLOOKUP(($AJ20-$AI20-$AH20-$AG20-$AF20-$AE20*(1+GF$3))/$AJ20,'Технический лист'!$A:$B,2,1),(GE20-0.05)))</f>
        <v>1</v>
      </c>
      <c r="GG20" s="15">
        <f>MIN(1,MAX(VLOOKUP(($AJ20-$AI20-$AH20-$AG20-$AF20-$AE20*(1+GG$3))/$AJ20,'Технический лист'!$A:$B,2,1),(GF20-0.05)))</f>
        <v>1</v>
      </c>
      <c r="GH20" s="15">
        <f>MIN(1,MAX(VLOOKUP(($AJ20-$AI20-$AH20-$AG20-$AF20-$AE20*(1+GH$3))/$AJ20,'Технический лист'!$A:$B,2,1),(GG20-0.05)))</f>
        <v>1</v>
      </c>
      <c r="GI20" s="15">
        <f>MIN(1,MAX(VLOOKUP(($AJ20-$AI20-$AH20-$AG20-$AF20-$AE20*(1+GI$3))/$AJ20,'Технический лист'!$A:$B,2,1),(GH20-0.05)))</f>
        <v>1</v>
      </c>
      <c r="GJ20" s="15">
        <f>MIN(1,MAX(VLOOKUP(($AJ20-$AI20-$AH20-$AG20-$AF20-$AE20*(1+GJ$3))/$AJ20,'Технический лист'!$A:$B,2,1),(GI20-0.05)))</f>
        <v>1</v>
      </c>
      <c r="GK20" s="15">
        <f>MIN(1,MAX(VLOOKUP(($AJ20-$AI20-$AH20-$AG20-$AF20-$AE20*(1+GK$3))/$AJ20,'Технический лист'!$A:$B,2,1),(GJ20-0.05)))</f>
        <v>1</v>
      </c>
      <c r="GL20" s="15">
        <f>MIN(1,MAX(VLOOKUP(($AJ20-$AI20-$AH20-$AG20-$AF20-$AE20*(1+GL$3))/$AJ20,'Технический лист'!$A:$B,2,1),(GK20-0.05)))</f>
        <v>1</v>
      </c>
      <c r="GM20" s="15">
        <f>MIN(1,MAX(VLOOKUP(($AJ20-$AI20-$AH20-$AG20-$AF20-$AE20*(1+GM$3))/$AJ20,'Технический лист'!$A:$B,2,1),(GL20-0.05)))</f>
        <v>1</v>
      </c>
      <c r="GN20" s="15">
        <f>MIN(1,MAX(VLOOKUP(($AJ20-$AI20-$AH20-$AG20-$AF20-$AE20*(1+GN$3))/$AJ20,'Технический лист'!$A:$B,2,1),(GM20-0.05)))</f>
        <v>1</v>
      </c>
      <c r="GO20" s="15">
        <f>MIN(1,MAX(VLOOKUP(($AJ20-$AI20-$AH20-$AG20-$AF20-$AE20*(1+GO$3))/$AJ20,'Технический лист'!$A:$B,2,1),(GN20-0.05)))</f>
        <v>1</v>
      </c>
      <c r="GP20" s="15">
        <f>MIN(1,MAX(VLOOKUP(($AJ20-$AI20-$AH20-$AG20-$AF20-$AE20*(1+GP$3))/$AJ20,'Технический лист'!$A:$B,2,1),(GO20-0.05)))</f>
        <v>1</v>
      </c>
      <c r="GQ20" s="15">
        <f>MIN(1,MAX(VLOOKUP(($AJ20-$AI20-$AH20-$AG20-$AF20-$AE20*(1+GQ$3))/$AJ20,'Технический лист'!$A:$B,2,1),(GP20-0.05)))</f>
        <v>1</v>
      </c>
      <c r="GR20" s="15">
        <f>MIN(1,MAX(VLOOKUP(($AJ20-$AI20-$AH20-$AG20-$AF20-$AE20*(1+GR$3))/$AJ20,'Технический лист'!$A:$B,2,1),(GQ20-0.05)))</f>
        <v>1</v>
      </c>
      <c r="GS20" s="15">
        <f>MIN(1,MAX(VLOOKUP(($AJ20-$AI20-$AH20-$AG20-$AF20-$AE20*(1+GS$3))/$AJ20,'Технический лист'!$A:$B,2,1),(GR20-0.05)))</f>
        <v>1</v>
      </c>
      <c r="GT20" s="15">
        <f>MIN(1,MAX(VLOOKUP(($AJ20-$AI20-$AH20-$AG20-$AF20-$AE20*(1+GT$3))/$AJ20,'Технический лист'!$A:$B,2,1),(GS20-0.05)))</f>
        <v>1</v>
      </c>
      <c r="GU20" s="15">
        <f>MIN(1,MAX(VLOOKUP(($AJ20-$AI20-$AH20-$AG20-$AF20-$AE20*(1+GU$3))/$AJ20,'Технический лист'!$A:$B,2,1),(GT20-0.05)))</f>
        <v>1</v>
      </c>
      <c r="GV20" s="15">
        <f>MIN(1,MAX(VLOOKUP(($AJ20-$AI20-$AH20-$AG20-$AF20-$AE20*(1+GV$3))/$AJ20,'Технический лист'!$A:$B,2,1),(GU20-0.05)))</f>
        <v>1</v>
      </c>
      <c r="GW20" s="15">
        <f>MIN(1,MAX(VLOOKUP(($AJ20-$AI20-$AH20-$AG20-$AF20-$AE20*(1+GW$3))/$AJ20,'Технический лист'!$A:$B,2,1),(GV20-0.05)))</f>
        <v>1</v>
      </c>
      <c r="GX20" s="15">
        <f>MIN(1,MAX(VLOOKUP(($AJ20-$AI20-$AH20-$AG20-$AF20-$AE20*(1+GX$3))/$AJ20,'Технический лист'!$A:$B,2,1),(GW20-0.05)))</f>
        <v>1</v>
      </c>
      <c r="GY20" s="15">
        <f>MIN(1,MAX(VLOOKUP(($AJ20-$AI20-$AH20-$AG20-$AF20-$AE20*(1+GY$3))/$AJ20,'Технический лист'!$A:$B,2,1),(GX20-0.05)))</f>
        <v>1</v>
      </c>
      <c r="GZ20" s="15">
        <f>MIN(1,MAX(VLOOKUP(($AJ20-$AI20-$AH20-$AG20-$AF20-$AE20*(1+GZ$3))/$AJ20,'Технический лист'!$A:$B,2,1),(GY20-0.05)))</f>
        <v>1</v>
      </c>
      <c r="HA20" s="15">
        <f>MIN(1,MAX(VLOOKUP(($AJ20-$AI20-$AH20-$AG20-$AF20-$AE20*(1+HA$3))/$AJ20,'Технический лист'!$A:$B,2,1),(GZ20-0.05)))</f>
        <v>1</v>
      </c>
      <c r="HB20" s="15">
        <f>MIN(1,MAX(VLOOKUP(($AJ20-$AI20-$AH20-$AG20-$AF20-$AE20*(1+HB$3))/$AJ20,'Технический лист'!$A:$B,2,1),(HA20-0.05)))</f>
        <v>1</v>
      </c>
      <c r="HC20" s="15">
        <f>MIN(1,MAX(VLOOKUP(($AJ20-$AI20-$AH20-$AG20-$AF20-$AE20*(1+HC$3))/$AJ20,'Технический лист'!$A:$B,2,1),(HB20-0.05)))</f>
        <v>1</v>
      </c>
      <c r="HD20" s="15">
        <f>MIN(1,MAX(VLOOKUP(($AJ20-$AI20-$AH20-$AG20-$AF20-$AE20*(1+HD$3))/$AJ20,'Технический лист'!$A:$B,2,1),(HC20-0.05)))</f>
        <v>1</v>
      </c>
      <c r="HE20" s="15">
        <f>MIN(1,MAX(VLOOKUP(($AJ20-$AI20-$AH20-$AG20-$AF20-$AE20*(1+HE$3))/$AJ20,'Технический лист'!$A:$B,2,1),(HD20-0.05)))</f>
        <v>1</v>
      </c>
      <c r="HF20" s="15">
        <f>MIN(1,MAX(VLOOKUP(($AJ20-$AI20-$AH20-$AG20-$AF20-$AE20*(1+HF$3))/$AJ20,'Технический лист'!$A:$B,2,1),(HE20-0.05)))</f>
        <v>1</v>
      </c>
      <c r="HG20" s="15">
        <f>MIN(1,MAX(VLOOKUP(($AJ20-$AI20-$AH20-$AG20-$AF20-$AE20*(1+HG$3))/$AJ20,'Технический лист'!$A:$B,2,1),(HF20-0.05)))</f>
        <v>1</v>
      </c>
      <c r="HH20" s="15">
        <f>MIN(1,MAX(VLOOKUP(($AJ20-$AI20-$AH20-$AG20-$AF20-$AE20*(1+HH$3))/$AJ20,'Технический лист'!$A:$B,2,1),(HG20-0.05)))</f>
        <v>1</v>
      </c>
      <c r="HI20" s="15">
        <f>MIN(1,MAX(VLOOKUP(($AJ20-$AI20-$AH20-$AG20-$AF20-$AE20*(1+HI$3))/$AJ20,'Технический лист'!$A:$B,2,1),(HH20-0.05)))</f>
        <v>1</v>
      </c>
      <c r="HJ20" s="15">
        <f>MIN(1,MAX(VLOOKUP(($AJ20-$AI20-$AH20-$AG20-$AF20-$AE20*(1+HJ$3))/$AJ20,'Технический лист'!$A:$B,2,1),(HI20-0.05)))</f>
        <v>1</v>
      </c>
      <c r="HK20" s="15">
        <f>MIN(1,MAX(VLOOKUP(($AJ20-$AI20-$AH20-$AG20-$AF20-$AE20*(1+HK$3))/$AJ20,'Технический лист'!$A:$B,2,1),(HJ20-0.05)))</f>
        <v>1</v>
      </c>
      <c r="HL20" s="15">
        <f>MIN(1,MAX(VLOOKUP(($AJ20-$AI20-$AH20-$AG20-$AF20-$AE20*(1+HL$3))/$AJ20,'Технический лист'!$A:$B,2,1),(HK20-0.05)))</f>
        <v>1</v>
      </c>
      <c r="HM20" s="15">
        <f>MIN(1,MAX(VLOOKUP(($AJ20-$AI20-$AH20-$AG20-$AF20-$AE20*(1+HM$3))/$AJ20,'Технический лист'!$A:$B,2,1),(HL20-0.05)))</f>
        <v>1</v>
      </c>
      <c r="HN20" s="15">
        <f>MIN(1,MAX(VLOOKUP(($AJ20-$AI20-$AH20-$AG20-$AF20-$AE20*(1+HN$3))/$AJ20,'Технический лист'!$A:$B,2,1),(HM20-0.05)))</f>
        <v>1</v>
      </c>
      <c r="HO20" s="15">
        <f>MIN(1,MAX(VLOOKUP(($AJ20-$AI20-$AH20-$AG20-$AF20-$AE20*(1+HO$3))/$AJ20,'Технический лист'!$A:$B,2,1),(HN20-0.05)))</f>
        <v>1</v>
      </c>
      <c r="HP20" s="15">
        <f>MIN(1,MAX(VLOOKUP(($AJ20-$AI20-$AH20-$AG20-$AF20-$AE20*(1+HP$3))/$AJ20,'Технический лист'!$A:$B,2,1),(HO20-0.05)))</f>
        <v>1</v>
      </c>
      <c r="HQ20" s="15">
        <f>MIN(1,MAX(VLOOKUP(($AJ20-$AI20-$AH20-$AG20-$AF20-$AE20*(1+HQ$3))/$AJ20,'Технический лист'!$A:$B,2,1),(HP20-0.05)))</f>
        <v>1</v>
      </c>
      <c r="HR20" s="15">
        <f>MIN(1,MAX(VLOOKUP(($AJ20-$AI20-$AH20-$AG20-$AF20-$AE20*(1+HR$3))/$AJ20,'Технический лист'!$A:$B,2,1),(HQ20-0.05)))</f>
        <v>1</v>
      </c>
      <c r="HS20" s="15">
        <f>MIN(1,MAX(VLOOKUP(($AJ20-$AI20-$AH20-$AG20-$AF20-$AE20*(1+HS$3))/$AJ20,'Технический лист'!$A:$B,2,1),(HR20-0.05)))</f>
        <v>1</v>
      </c>
      <c r="HT20" s="15">
        <f>MIN(1,MAX(VLOOKUP(($AJ20-$AI20-$AH20-$AG20-$AF20-$AE20*(1+HT$3))/$AJ20,'Технический лист'!$A:$B,2,1),(HS20-0.05)))</f>
        <v>1</v>
      </c>
      <c r="HU20" s="15">
        <f>MIN(1,MAX(VLOOKUP(($AJ20-$AI20-$AH20-$AG20-$AF20-$AE20*(1+HU$3))/$AJ20,'Технический лист'!$A:$B,2,1),(HT20-0.05)))</f>
        <v>1</v>
      </c>
      <c r="HV20" s="15">
        <f>MIN(1,MAX(VLOOKUP(($AJ20-$AI20-$AH20-$AG20-$AF20-$AE20*(1+HV$3))/$AJ20,'Технический лист'!$A:$B,2,1),(HU20-0.05)))</f>
        <v>1</v>
      </c>
      <c r="HW20" s="15">
        <f>MIN(1,MAX(VLOOKUP(($AJ20-$AI20-$AH20-$AG20-$AF20-$AE20*(1+HW$3))/$AJ20,'Технический лист'!$A:$B,2,1),(HV20-0.05)))</f>
        <v>1</v>
      </c>
      <c r="HX20" s="15">
        <f>MIN(1,MAX(VLOOKUP(($AJ20-$AI20-$AH20-$AG20-$AF20-$AE20*(1+HX$3))/$AJ20,'Технический лист'!$A:$B,2,1),(HW20-0.05)))</f>
        <v>1</v>
      </c>
      <c r="HY20" s="15">
        <f>MIN(1,MAX(VLOOKUP(($AJ20-$AI20-$AH20-$AG20-$AF20-$AE20*(1+HY$3))/$AJ20,'Технический лист'!$A:$B,2,1),(HX20-0.05)))</f>
        <v>1</v>
      </c>
      <c r="HZ20" s="15">
        <f>MIN(1,MAX(VLOOKUP(($AJ20-$AI20-$AH20-$AG20-$AF20-$AE20*(1+HZ$3))/$AJ20,'Технический лист'!$A:$B,2,1),(HY20-0.05)))</f>
        <v>1</v>
      </c>
      <c r="IA20" s="15">
        <f>MIN(1,MAX(VLOOKUP(($AJ20-$AI20-$AH20-$AG20-$AF20-$AE20*(1+IA$3))/$AJ20,'Технический лист'!$A:$B,2,1),(HZ20-0.05)))</f>
        <v>1</v>
      </c>
      <c r="IB20" s="15">
        <f>MIN(1,MAX(VLOOKUP(($AJ20-$AI20-$AH20-$AG20-$AF20-$AE20*(1+IB$3))/$AJ20,'Технический лист'!$A:$B,2,1),(IA20-0.05)))</f>
        <v>1</v>
      </c>
      <c r="IC20" s="15">
        <f>MIN(1,MAX(VLOOKUP(($AJ20-$AI20-$AH20-$AG20-$AF20-$AE20*(1+IC$3))/$AJ20,'Технический лист'!$A:$B,2,1),(IB20-0.05)))</f>
        <v>1</v>
      </c>
      <c r="ID20" s="15">
        <f>MIN(1,MAX(VLOOKUP(($AJ20-$AI20-$AH20-$AG20-$AF20-$AE20*(1+ID$3))/$AJ20,'Технический лист'!$A:$B,2,1),(IC20-0.05)))</f>
        <v>1</v>
      </c>
      <c r="IE20" s="15">
        <f>MIN(1,MAX(VLOOKUP(($AJ20-$AI20-$AH20-$AG20-$AF20-$AE20*(1+IE$3))/$AJ20,'Технический лист'!$A:$B,2,1),(ID20-0.05)))</f>
        <v>1</v>
      </c>
      <c r="IF20" s="15">
        <f>MIN(1,MAX(VLOOKUP(($AJ20-$AI20-$AH20-$AG20-$AF20-$AE20*(1+IF$3))/$AJ20,'Технический лист'!$A:$B,2,1),(IE20-0.05)))</f>
        <v>1</v>
      </c>
      <c r="IG20" s="15">
        <f>MIN(1,MAX(VLOOKUP(($AJ20-$AI20-$AH20-$AG20-$AF20-$AE20*(1+IG$3))/$AJ20,'Технический лист'!$A:$B,2,1),(IF20-0.05)))</f>
        <v>1</v>
      </c>
      <c r="IH20" s="15">
        <f>MIN(1,MAX(VLOOKUP(($AJ20-$AI20-$AH20-$AG20-$AF20-$AE20*(1+IH$3))/$AJ20,'Технический лист'!$A:$B,2,1),(IG20-0.05)))</f>
        <v>1</v>
      </c>
      <c r="II20" s="15">
        <f>MIN(1,MAX(VLOOKUP(($AJ20-$AI20-$AH20-$AG20-$AF20-$AE20*(1+II$3))/$AJ20,'Технический лист'!$A:$B,2,1),(IH20-0.05)))</f>
        <v>1</v>
      </c>
      <c r="IJ20" s="15">
        <f>MIN(1,MAX(VLOOKUP(($AJ20-$AI20-$AH20-$AG20-$AF20-$AE20*(1+IJ$3))/$AJ20,'Технический лист'!$A:$B,2,1),(II20-0.05)))</f>
        <v>1</v>
      </c>
      <c r="IK20" s="15">
        <f>MIN(1,MAX(VLOOKUP(($AJ20-$AI20-$AH20-$AG20-$AF20-$AE20*(1+IK$3))/$AJ20,'Технический лист'!$A:$B,2,1),(IJ20-0.05)))</f>
        <v>1</v>
      </c>
      <c r="IL20" s="15">
        <f>MIN(1,MAX(VLOOKUP(($AJ20-$AI20-$AH20-$AG20-$AF20-$AE20*(1+IL$3))/$AJ20,'Технический лист'!$A:$B,2,1),(IK20-0.05)))</f>
        <v>1</v>
      </c>
      <c r="IM20" s="15">
        <f>MIN(1,MAX(VLOOKUP(($AJ20-$AI20-$AH20-$AG20-$AF20-$AE20*(1+IM$3))/$AJ20,'Технический лист'!$A:$B,2,1),(IL20-0.05)))</f>
        <v>1</v>
      </c>
      <c r="IN20" s="15">
        <f>MIN(1,MAX(VLOOKUP(($AJ20-$AI20-$AH20-$AG20-$AF20-$AE20*(1+IN$3))/$AJ20,'Технический лист'!$A:$B,2,1),(IM20-0.05)))</f>
        <v>1</v>
      </c>
      <c r="IO20" s="15">
        <f>MIN(1,MAX(VLOOKUP(($AJ20-$AI20-$AH20-$AG20-$AF20-$AE20*(1+IO$3))/$AJ20,'Технический лист'!$A:$B,2,1),(IN20-0.05)))</f>
        <v>1</v>
      </c>
      <c r="IP20" s="15">
        <f>MIN(1,MAX(VLOOKUP(($AJ20-$AI20-$AH20-$AG20-$AF20-$AE20*(1+IP$3))/$AJ20,'Технический лист'!$A:$B,2,1),(IO20-0.05)))</f>
        <v>1</v>
      </c>
      <c r="IQ20" s="15">
        <f>MIN(1,MAX(VLOOKUP(($AJ20-$AI20-$AH20-$AG20-$AF20-$AE20*(1+IQ$3))/$AJ20,'Технический лист'!$A:$B,2,1),(IP20-0.05)))</f>
        <v>1</v>
      </c>
      <c r="IR20" s="15">
        <f>MIN(1,MAX(VLOOKUP(($AJ20-$AI20-$AH20-$AG20-$AF20-$AE20*(1+IR$3))/$AJ20,'Технический лист'!$A:$B,2,1),(IQ20-0.05)))</f>
        <v>1</v>
      </c>
    </row>
    <row r="21" spans="1:252" ht="45" customHeight="1">
      <c r="A21" s="89" t="s">
        <v>514</v>
      </c>
      <c r="B21" s="90">
        <v>2</v>
      </c>
      <c r="C21" s="5" t="s">
        <v>65</v>
      </c>
      <c r="D21" s="91">
        <v>17107</v>
      </c>
      <c r="E21" s="91" t="s">
        <v>320</v>
      </c>
      <c r="F21" s="92" t="s">
        <v>69</v>
      </c>
      <c r="G21" s="91" t="s">
        <v>50</v>
      </c>
      <c r="H21" s="91" t="s">
        <v>30</v>
      </c>
      <c r="I21" s="91" t="s">
        <v>96</v>
      </c>
      <c r="J21" s="91" t="s">
        <v>90</v>
      </c>
      <c r="K21" s="91">
        <v>3373</v>
      </c>
      <c r="L21" s="85" t="s">
        <v>64</v>
      </c>
      <c r="M21" s="91" t="s">
        <v>190</v>
      </c>
      <c r="N21" s="91" t="s">
        <v>191</v>
      </c>
      <c r="O21" s="91" t="s">
        <v>194</v>
      </c>
      <c r="P21" s="89" t="s">
        <v>202</v>
      </c>
      <c r="Q21" s="91" t="s">
        <v>269</v>
      </c>
      <c r="R21" s="91" t="s">
        <v>254</v>
      </c>
      <c r="S21" s="82">
        <v>105963</v>
      </c>
      <c r="T21" s="82">
        <v>357404692</v>
      </c>
      <c r="U21" s="81">
        <v>1611</v>
      </c>
      <c r="V21" s="81">
        <v>0</v>
      </c>
      <c r="W21" s="82">
        <v>190769898</v>
      </c>
      <c r="X21" s="112">
        <v>66</v>
      </c>
      <c r="Y21" s="112" t="s">
        <v>417</v>
      </c>
      <c r="Z21" s="113">
        <v>11</v>
      </c>
      <c r="AA21" s="113">
        <v>9</v>
      </c>
      <c r="AB21" s="113">
        <v>4</v>
      </c>
      <c r="AC21" s="99">
        <v>1990.03</v>
      </c>
      <c r="AD21" s="99">
        <f t="shared" si="1"/>
        <v>723.33000000000015</v>
      </c>
      <c r="AE21" s="99">
        <v>2713.36</v>
      </c>
      <c r="AF21" s="98">
        <f>(Z21+AA21+AB21)*'Ставки аренды'!$B$3/X21</f>
        <v>254.54545454545453</v>
      </c>
      <c r="AG21" s="114">
        <v>0</v>
      </c>
      <c r="AH21" s="94">
        <v>0</v>
      </c>
      <c r="AI21" s="115">
        <f>39785847/79866389*AVERAGE(AJ19,AJ20)</f>
        <v>8168.5572468382761</v>
      </c>
      <c r="AJ21" s="117">
        <f>Цены!$D$9</f>
        <v>17000</v>
      </c>
      <c r="AK21" s="94">
        <f>AJ21/Цены!$B$1</f>
        <v>222.7886587467483</v>
      </c>
      <c r="AL21" s="95">
        <f t="shared" si="5"/>
        <v>2967.9054545454546</v>
      </c>
      <c r="AM21" s="95">
        <f t="shared" si="6"/>
        <v>14032.094545454545</v>
      </c>
      <c r="AN21" s="94">
        <f t="shared" si="2"/>
        <v>11136.462701383731</v>
      </c>
      <c r="AO21" s="118">
        <f t="shared" si="3"/>
        <v>0.34491395874213349</v>
      </c>
      <c r="AP21" s="96">
        <f t="shared" si="7"/>
        <v>0.17458267379679146</v>
      </c>
      <c r="AQ21" s="96">
        <f t="shared" si="8"/>
        <v>0.15960941176470589</v>
      </c>
      <c r="AR21" s="96">
        <f t="shared" si="9"/>
        <v>0.91423397461815747</v>
      </c>
      <c r="AS21" s="122">
        <v>1</v>
      </c>
      <c r="AT21" s="121">
        <f t="shared" si="10"/>
        <v>105963</v>
      </c>
      <c r="AU21" s="83">
        <v>0.95</v>
      </c>
      <c r="AV21" s="119">
        <f t="shared" si="11"/>
        <v>0.32576082933036871</v>
      </c>
      <c r="AW21" s="120">
        <f t="shared" si="12"/>
        <v>0.19373580320855618</v>
      </c>
      <c r="AX21" s="120">
        <f t="shared" si="13"/>
        <v>0.17876254117647061</v>
      </c>
      <c r="AY21" s="120">
        <f t="shared" si="14"/>
        <v>0.9227129844659282</v>
      </c>
      <c r="AZ21" s="15">
        <f>MIN(IF($AU21=100%,1,1+VLOOKUP(($AJ21-$AI21-$AH21-$AG21-$AF21-$AE21*(1+AZ$3))/$AJ21,'Технический лист'!$A:$B,2,1)-VLOOKUP($AO21,'Технический лист'!$A:$B,2,1)),1+(1-$AU21))</f>
        <v>1.05</v>
      </c>
      <c r="BA21" s="15">
        <f>MIN(IF($AU21=100%,1,1+VLOOKUP(($AJ21-$AI21-$AH21-$AG21-$AF21-$AE21*(1+BA$3))/$AJ21,'Технический лист'!$A:$B,2,1)-VLOOKUP($AO21,'Технический лист'!$A:$B,2,1)),1+(1-$AU21))</f>
        <v>1.05</v>
      </c>
      <c r="BB21" s="15">
        <f>MIN(IF($AU21=100%,1,1+VLOOKUP(($AJ21-$AI21-$AH21-$AG21-$AF21-$AE21*(1+BB$3))/$AJ21,'Технический лист'!$A:$B,2,1)-VLOOKUP($AO21,'Технический лист'!$A:$B,2,1)),1+(1-$AU21))</f>
        <v>1.05</v>
      </c>
      <c r="BC21" s="15">
        <f>MIN(IF($AU21=100%,1,1+VLOOKUP(($AJ21-$AI21-$AH21-$AG21-$AF21-$AE21*(1+BC$3))/$AJ21,'Технический лист'!$A:$B,2,1)-VLOOKUP($AO21,'Технический лист'!$A:$B,2,1)),1+(1-$AU21))</f>
        <v>1.05</v>
      </c>
      <c r="BD21" s="15">
        <f>MIN(IF($AU21=100%,1,1+VLOOKUP(($AJ21-$AI21-$AH21-$AG21-$AF21-$AE21*(1+BD$3))/$AJ21,'Технический лист'!$A:$B,2,1)-VLOOKUP($AO21,'Технический лист'!$A:$B,2,1)),1+(1-$AU21))</f>
        <v>1.05</v>
      </c>
      <c r="BE21" s="15">
        <f>MIN(IF($AU21=100%,1,1+VLOOKUP(($AJ21-$AI21-$AH21-$AG21-$AF21-$AE21*(1+BE$3))/$AJ21,'Технический лист'!$A:$B,2,1)-VLOOKUP($AO21,'Технический лист'!$A:$B,2,1)),1+(1-$AU21))</f>
        <v>1.05</v>
      </c>
      <c r="BF21" s="15">
        <f>MIN(IF($AU21=100%,1,1+VLOOKUP(($AJ21-$AI21-$AH21-$AG21-$AF21-$AE21*(1+BF$3))/$AJ21,'Технический лист'!$A:$B,2,1)-VLOOKUP($AO21,'Технический лист'!$A:$B,2,1)),1+(1-$AU21))</f>
        <v>1.0490000000000004</v>
      </c>
      <c r="BG21" s="15">
        <f>MIN(IF($AU21=100%,1,1+VLOOKUP(($AJ21-$AI21-$AH21-$AG21-$AF21-$AE21*(1+BG$3))/$AJ21,'Технический лист'!$A:$B,2,1)-VLOOKUP($AO21,'Технический лист'!$A:$B,2,1)),1+(1-$AU21))</f>
        <v>1.0490000000000004</v>
      </c>
      <c r="BH21" s="15">
        <f>MIN(IF($AU21=100%,1,1+VLOOKUP(($AJ21-$AI21-$AH21-$AG21-$AF21-$AE21*(1+BH$3))/$AJ21,'Технический лист'!$A:$B,2,1)-VLOOKUP($AO21,'Технический лист'!$A:$B,2,1)),1+(1-$AU21))</f>
        <v>1.0490000000000004</v>
      </c>
      <c r="BI21" s="15">
        <f>MIN(IF($AU21=100%,1,1+VLOOKUP(($AJ21-$AI21-$AH21-$AG21-$AF21-$AE21*(1+BI$3))/$AJ21,'Технический лист'!$A:$B,2,1)-VLOOKUP($AO21,'Технический лист'!$A:$B,2,1)),1+(1-$AU21))</f>
        <v>1.0490000000000004</v>
      </c>
      <c r="BJ21" s="15">
        <f>MIN(IF($AU21=100%,1,1+VLOOKUP(($AJ21-$AI21-$AH21-$AG21-$AF21-$AE21*(1+BJ$3))/$AJ21,'Технический лист'!$A:$B,2,1)-VLOOKUP($AO21,'Технический лист'!$A:$B,2,1)),1+(1-$AU21))</f>
        <v>1.0490000000000004</v>
      </c>
      <c r="BK21" s="15">
        <f>MIN(IF($AU21=100%,1,1+VLOOKUP(($AJ21-$AI21-$AH21-$AG21-$AF21-$AE21*(1+BK$3))/$AJ21,'Технический лист'!$A:$B,2,1)-VLOOKUP($AO21,'Технический лист'!$A:$B,2,1)),1+(1-$AU21))</f>
        <v>1.0490000000000004</v>
      </c>
      <c r="BL21" s="15">
        <f>MIN(IF($AU21=100%,1,1+VLOOKUP(($AJ21-$AI21-$AH21-$AG21-$AF21-$AE21*(1+BL$3))/$AJ21,'Технический лист'!$A:$B,2,1)-VLOOKUP($AO21,'Технический лист'!$A:$B,2,1)),1+(1-$AU21))</f>
        <v>1.0490000000000004</v>
      </c>
      <c r="BM21" s="15">
        <f>MIN(IF($AU21=100%,1,1+VLOOKUP(($AJ21-$AI21-$AH21-$AG21-$AF21-$AE21*(1+BM$3))/$AJ21,'Технический лист'!$A:$B,2,1)-VLOOKUP($AO21,'Технический лист'!$A:$B,2,1)),1+(1-$AU21))</f>
        <v>1.0490000000000004</v>
      </c>
      <c r="BN21" s="15">
        <f>MIN(IF($AU21=100%,1,1+VLOOKUP(($AJ21-$AI21-$AH21-$AG21-$AF21-$AE21*(1+BN$3))/$AJ21,'Технический лист'!$A:$B,2,1)-VLOOKUP($AO21,'Технический лист'!$A:$B,2,1)),1+(1-$AU21))</f>
        <v>1.0490000000000004</v>
      </c>
      <c r="BO21" s="15">
        <f>MIN(IF($AU21=100%,1,1+VLOOKUP(($AJ21-$AI21-$AH21-$AG21-$AF21-$AE21*(1+BO$3))/$AJ21,'Технический лист'!$A:$B,2,1)-VLOOKUP($AO21,'Технический лист'!$A:$B,2,1)),1+(1-$AU21))</f>
        <v>1.0490000000000004</v>
      </c>
      <c r="BP21" s="15">
        <f>MIN(IF($AU21=100%,1,1+VLOOKUP(($AJ21-$AI21-$AH21-$AG21-$AF21-$AE21*(1+BP$3))/$AJ21,'Технический лист'!$A:$B,2,1)-VLOOKUP($AO21,'Технический лист'!$A:$B,2,1)),1+(1-$AU21))</f>
        <v>1.0490000000000004</v>
      </c>
      <c r="BQ21" s="15">
        <f>MIN(IF($AU21=100%,1,1+VLOOKUP(($AJ21-$AI21-$AH21-$AG21-$AF21-$AE21*(1+BQ$3))/$AJ21,'Технический лист'!$A:$B,2,1)-VLOOKUP($AO21,'Технический лист'!$A:$B,2,1)),1+(1-$AU21))</f>
        <v>1.0490000000000004</v>
      </c>
      <c r="BR21" s="15">
        <f>MIN(IF($AU21=100%,1,1+VLOOKUP(($AJ21-$AI21-$AH21-$AG21-$AF21-$AE21*(1+BR$3))/$AJ21,'Технический лист'!$A:$B,2,1)-VLOOKUP($AO21,'Технический лист'!$A:$B,2,1)),1+(1-$AU21))</f>
        <v>1.0490000000000004</v>
      </c>
      <c r="BS21" s="15">
        <f>MIN(IF($AU21=100%,1,1+VLOOKUP(($AJ21-$AI21-$AH21-$AG21-$AF21-$AE21*(1+BS$3))/$AJ21,'Технический лист'!$A:$B,2,1)-VLOOKUP($AO21,'Технический лист'!$A:$B,2,1)),1+(1-$AU21))</f>
        <v>1.0419999999999998</v>
      </c>
      <c r="BT21" s="15">
        <f>MIN(IF($AU21=100%,1,1+VLOOKUP(($AJ21-$AI21-$AH21-$AG21-$AF21-$AE21*(1+BT$3))/$AJ21,'Технический лист'!$A:$B,2,1)-VLOOKUP($AO21,'Технический лист'!$A:$B,2,1)),1+(1-$AU21))</f>
        <v>1.0419999999999998</v>
      </c>
      <c r="BU21" s="15">
        <f>MIN(IF($AU21=100%,1,1+VLOOKUP(($AJ21-$AI21-$AH21-$AG21-$AF21-$AE21*(1+BU$3))/$AJ21,'Технический лист'!$A:$B,2,1)-VLOOKUP($AO21,'Технический лист'!$A:$B,2,1)),1+(1-$AU21))</f>
        <v>1.0419999999999998</v>
      </c>
      <c r="BV21" s="15">
        <f>MIN(IF($AU21=100%,1,1+VLOOKUP(($AJ21-$AI21-$AH21-$AG21-$AF21-$AE21*(1+BV$3))/$AJ21,'Технический лист'!$A:$B,2,1)-VLOOKUP($AO21,'Технический лист'!$A:$B,2,1)),1+(1-$AU21))</f>
        <v>1.0419999999999998</v>
      </c>
      <c r="BW21" s="15">
        <f>MIN(IF($AU21=100%,1,1+VLOOKUP(($AJ21-$AI21-$AH21-$AG21-$AF21-$AE21*(1+BW$3))/$AJ21,'Технический лист'!$A:$B,2,1)-VLOOKUP($AO21,'Технический лист'!$A:$B,2,1)),1+(1-$AU21))</f>
        <v>1.0419999999999998</v>
      </c>
      <c r="BX21" s="15">
        <f>MIN(IF($AU21=100%,1,1+VLOOKUP(($AJ21-$AI21-$AH21-$AG21-$AF21-$AE21*(1+BX$3))/$AJ21,'Технический лист'!$A:$B,2,1)-VLOOKUP($AO21,'Технический лист'!$A:$B,2,1)),1+(1-$AU21))</f>
        <v>1.0419999999999998</v>
      </c>
      <c r="BY21" s="15">
        <f>MIN(IF($AU21=100%,1,1+VLOOKUP(($AJ21-$AI21-$AH21-$AG21-$AF21-$AE21*(1+BY$3))/$AJ21,'Технический лист'!$A:$B,2,1)-VLOOKUP($AO21,'Технический лист'!$A:$B,2,1)),1+(1-$AU21))</f>
        <v>1.0419999999999998</v>
      </c>
      <c r="BZ21" s="15">
        <f>MIN(IF($AU21=100%,1,1+VLOOKUP(($AJ21-$AI21-$AH21-$AG21-$AF21-$AE21*(1+BZ$3))/$AJ21,'Технический лист'!$A:$B,2,1)-VLOOKUP($AO21,'Технический лист'!$A:$B,2,1)),1+(1-$AU21))</f>
        <v>1.0419999999999998</v>
      </c>
      <c r="CA21" s="15">
        <f>MIN(IF($AU21=100%,1,1+VLOOKUP(($AJ21-$AI21-$AH21-$AG21-$AF21-$AE21*(1+CA$3))/$AJ21,'Технический лист'!$A:$B,2,1)-VLOOKUP($AO21,'Технический лист'!$A:$B,2,1)),1+(1-$AU21))</f>
        <v>1.0419999999999998</v>
      </c>
      <c r="CB21" s="15">
        <f>MIN(IF($AU21=100%,1,1+VLOOKUP(($AJ21-$AI21-$AH21-$AG21-$AF21-$AE21*(1+CB$3))/$AJ21,'Технический лист'!$A:$B,2,1)-VLOOKUP($AO21,'Технический лист'!$A:$B,2,1)),1+(1-$AU21))</f>
        <v>1.0419999999999998</v>
      </c>
      <c r="CC21" s="15">
        <f>MIN(IF($AU21=100%,1,1+VLOOKUP(($AJ21-$AI21-$AH21-$AG21-$AF21-$AE21*(1+CC$3))/$AJ21,'Технический лист'!$A:$B,2,1)-VLOOKUP($AO21,'Технический лист'!$A:$B,2,1)),1+(1-$AU21))</f>
        <v>1.0419999999999998</v>
      </c>
      <c r="CD21" s="15">
        <f>MIN(IF($AU21=100%,1,1+VLOOKUP(($AJ21-$AI21-$AH21-$AG21-$AF21-$AE21*(1+CD$3))/$AJ21,'Технический лист'!$A:$B,2,1)-VLOOKUP($AO21,'Технический лист'!$A:$B,2,1)),1+(1-$AU21))</f>
        <v>1.0419999999999998</v>
      </c>
      <c r="CE21" s="15">
        <f>MIN(IF($AU21=100%,1,1+VLOOKUP(($AJ21-$AI21-$AH21-$AG21-$AF21-$AE21*(1+CE$3))/$AJ21,'Технический лист'!$A:$B,2,1)-VLOOKUP($AO21,'Технический лист'!$A:$B,2,1)),1+(1-$AU21))</f>
        <v>1.0350000000000001</v>
      </c>
      <c r="CF21" s="15">
        <f>MIN(IF($AU21=100%,1,1+VLOOKUP(($AJ21-$AI21-$AH21-$AG21-$AF21-$AE21*(1+CF$3))/$AJ21,'Технический лист'!$A:$B,2,1)-VLOOKUP($AO21,'Технический лист'!$A:$B,2,1)),1+(1-$AU21))</f>
        <v>1.0350000000000001</v>
      </c>
      <c r="CG21" s="15">
        <f>MIN(IF($AU21=100%,1,1+VLOOKUP(($AJ21-$AI21-$AH21-$AG21-$AF21-$AE21*(1+CG$3))/$AJ21,'Технический лист'!$A:$B,2,1)-VLOOKUP($AO21,'Технический лист'!$A:$B,2,1)),1+(1-$AU21))</f>
        <v>1.0350000000000001</v>
      </c>
      <c r="CH21" s="15">
        <f>MIN(IF($AU21=100%,1,1+VLOOKUP(($AJ21-$AI21-$AH21-$AG21-$AF21-$AE21*(1+CH$3))/$AJ21,'Технический лист'!$A:$B,2,1)-VLOOKUP($AO21,'Технический лист'!$A:$B,2,1)),1+(1-$AU21))</f>
        <v>1.0350000000000001</v>
      </c>
      <c r="CI21" s="15">
        <f>MIN(IF($AU21=100%,1,1+VLOOKUP(($AJ21-$AI21-$AH21-$AG21-$AF21-$AE21*(1+CI$3))/$AJ21,'Технический лист'!$A:$B,2,1)-VLOOKUP($AO21,'Технический лист'!$A:$B,2,1)),1+(1-$AU21))</f>
        <v>1.0350000000000001</v>
      </c>
      <c r="CJ21" s="15">
        <f>MIN(IF($AU21=100%,1,1+VLOOKUP(($AJ21-$AI21-$AH21-$AG21-$AF21-$AE21*(1+CJ$3))/$AJ21,'Технический лист'!$A:$B,2,1)-VLOOKUP($AO21,'Технический лист'!$A:$B,2,1)),1+(1-$AU21))</f>
        <v>1.0350000000000001</v>
      </c>
      <c r="CK21" s="15">
        <f>MIN(IF($AU21=100%,1,1+VLOOKUP(($AJ21-$AI21-$AH21-$AG21-$AF21-$AE21*(1+CK$3))/$AJ21,'Технический лист'!$A:$B,2,1)-VLOOKUP($AO21,'Технический лист'!$A:$B,2,1)),1+(1-$AU21))</f>
        <v>1.0350000000000001</v>
      </c>
      <c r="CL21" s="15">
        <f>MIN(IF($AU21=100%,1,1+VLOOKUP(($AJ21-$AI21-$AH21-$AG21-$AF21-$AE21*(1+CL$3))/$AJ21,'Технический лист'!$A:$B,2,1)-VLOOKUP($AO21,'Технический лист'!$A:$B,2,1)),1+(1-$AU21))</f>
        <v>1.0350000000000001</v>
      </c>
      <c r="CM21" s="15">
        <f>MIN(IF($AU21=100%,1,1+VLOOKUP(($AJ21-$AI21-$AH21-$AG21-$AF21-$AE21*(1+CM$3))/$AJ21,'Технический лист'!$A:$B,2,1)-VLOOKUP($AO21,'Технический лист'!$A:$B,2,1)),1+(1-$AU21))</f>
        <v>1.0350000000000001</v>
      </c>
      <c r="CN21" s="15">
        <f>MIN(IF($AU21=100%,1,1+VLOOKUP(($AJ21-$AI21-$AH21-$AG21-$AF21-$AE21*(1+CN$3))/$AJ21,'Технический лист'!$A:$B,2,1)-VLOOKUP($AO21,'Технический лист'!$A:$B,2,1)),1+(1-$AU21))</f>
        <v>1.0350000000000001</v>
      </c>
      <c r="CO21" s="15">
        <f>MIN(IF($AU21=100%,1,1+VLOOKUP(($AJ21-$AI21-$AH21-$AG21-$AF21-$AE21*(1+CO$3))/$AJ21,'Технический лист'!$A:$B,2,1)-VLOOKUP($AO21,'Технический лист'!$A:$B,2,1)),1+(1-$AU21))</f>
        <v>1.0350000000000001</v>
      </c>
      <c r="CP21" s="15">
        <f>MIN(IF($AU21=100%,1,1+VLOOKUP(($AJ21-$AI21-$AH21-$AG21-$AF21-$AE21*(1+CP$3))/$AJ21,'Технический лист'!$A:$B,2,1)-VLOOKUP($AO21,'Технический лист'!$A:$B,2,1)),1+(1-$AU21))</f>
        <v>1.0350000000000001</v>
      </c>
      <c r="CQ21" s="15">
        <f>MIN(IF($AU21=100%,1,1+VLOOKUP(($AJ21-$AI21-$AH21-$AG21-$AF21-$AE21*(1+CQ$3))/$AJ21,'Технический лист'!$A:$B,2,1)-VLOOKUP($AO21,'Технический лист'!$A:$B,2,1)),1+(1-$AU21))</f>
        <v>1.0350000000000001</v>
      </c>
      <c r="CR21" s="15">
        <f>MIN(IF($AU21=100%,1,1+VLOOKUP(($AJ21-$AI21-$AH21-$AG21-$AF21-$AE21*(1+CR$3))/$AJ21,'Технический лист'!$A:$B,2,1)-VLOOKUP($AO21,'Технический лист'!$A:$B,2,1)),1+(1-$AU21))</f>
        <v>1.028</v>
      </c>
      <c r="CS21" s="15">
        <f>MIN(IF($AU21=100%,1,1+VLOOKUP(($AJ21-$AI21-$AH21-$AG21-$AF21-$AE21*(1+CS$3))/$AJ21,'Технический лист'!$A:$B,2,1)-VLOOKUP($AO21,'Технический лист'!$A:$B,2,1)),1+(1-$AU21))</f>
        <v>1.028</v>
      </c>
      <c r="CT21" s="15">
        <f>MIN(IF($AU21=100%,1,1+VLOOKUP(($AJ21-$AI21-$AH21-$AG21-$AF21-$AE21*(1+CT$3))/$AJ21,'Технический лист'!$A:$B,2,1)-VLOOKUP($AO21,'Технический лист'!$A:$B,2,1)),1+(1-$AU21))</f>
        <v>1.028</v>
      </c>
      <c r="CU21" s="15">
        <f>MIN(IF($AU21=100%,1,1+VLOOKUP(($AJ21-$AI21-$AH21-$AG21-$AF21-$AE21*(1+CU$3))/$AJ21,'Технический лист'!$A:$B,2,1)-VLOOKUP($AO21,'Технический лист'!$A:$B,2,1)),1+(1-$AU21))</f>
        <v>1.028</v>
      </c>
      <c r="CV21" s="15">
        <f>MIN(IF($AU21=100%,1,1+VLOOKUP(($AJ21-$AI21-$AH21-$AG21-$AF21-$AE21*(1+CV$3))/$AJ21,'Технический лист'!$A:$B,2,1)-VLOOKUP($AO21,'Технический лист'!$A:$B,2,1)),1+(1-$AU21))</f>
        <v>1.028</v>
      </c>
      <c r="CW21" s="15">
        <f>MIN(IF($AU21=100%,1,1+VLOOKUP(($AJ21-$AI21-$AH21-$AG21-$AF21-$AE21*(1+CW$3))/$AJ21,'Технический лист'!$A:$B,2,1)-VLOOKUP($AO21,'Технический лист'!$A:$B,2,1)),1+(1-$AU21))</f>
        <v>1.028</v>
      </c>
      <c r="CX21" s="15">
        <f>MIN(IF($AU21=100%,1,1+VLOOKUP(($AJ21-$AI21-$AH21-$AG21-$AF21-$AE21*(1+CX$3))/$AJ21,'Технический лист'!$A:$B,2,1)-VLOOKUP($AO21,'Технический лист'!$A:$B,2,1)),1+(1-$AU21))</f>
        <v>1.028</v>
      </c>
      <c r="CY21" s="15">
        <f>MIN(IF($AU21=100%,1,1+VLOOKUP(($AJ21-$AI21-$AH21-$AG21-$AF21-$AE21*(1+CY$3))/$AJ21,'Технический лист'!$A:$B,2,1)-VLOOKUP($AO21,'Технический лист'!$A:$B,2,1)),1+(1-$AU21))</f>
        <v>1.028</v>
      </c>
      <c r="CZ21" s="15">
        <f>MIN(IF($AU21=100%,1,1+VLOOKUP(($AJ21-$AI21-$AH21-$AG21-$AF21-$AE21*(1+CZ$3))/$AJ21,'Технический лист'!$A:$B,2,1)-VLOOKUP($AO21,'Технический лист'!$A:$B,2,1)),1+(1-$AU21))</f>
        <v>1.028</v>
      </c>
      <c r="DA21" s="15">
        <f>MIN(IF($AU21=100%,1,1+VLOOKUP(($AJ21-$AI21-$AH21-$AG21-$AF21-$AE21*(1+DA$3))/$AJ21,'Технический лист'!$A:$B,2,1)-VLOOKUP($AO21,'Технический лист'!$A:$B,2,1)),1+(1-$AU21))</f>
        <v>1.028</v>
      </c>
      <c r="DB21" s="15">
        <f>MIN(IF($AU21=100%,1,1+VLOOKUP(($AJ21-$AI21-$AH21-$AG21-$AF21-$AE21*(1+DB$3))/$AJ21,'Технический лист'!$A:$B,2,1)-VLOOKUP($AO21,'Технический лист'!$A:$B,2,1)),1+(1-$AU21))</f>
        <v>1.028</v>
      </c>
      <c r="DC21" s="15">
        <f>MIN(IF($AU21=100%,1,1+VLOOKUP(($AJ21-$AI21-$AH21-$AG21-$AF21-$AE21*(1+DC$3))/$AJ21,'Технический лист'!$A:$B,2,1)-VLOOKUP($AO21,'Технический лист'!$A:$B,2,1)),1+(1-$AU21))</f>
        <v>1.028</v>
      </c>
      <c r="DD21" s="15">
        <f>MIN(IF($AU21=100%,1,1+VLOOKUP(($AJ21-$AI21-$AH21-$AG21-$AF21-$AE21*(1+DD$3))/$AJ21,'Технический лист'!$A:$B,2,1)-VLOOKUP($AO21,'Технический лист'!$A:$B,2,1)),1+(1-$AU21))</f>
        <v>1.028</v>
      </c>
      <c r="DE21" s="15">
        <f>MIN(IF($AU21=100%,1,1+VLOOKUP(($AJ21-$AI21-$AH21-$AG21-$AF21-$AE21*(1+DE$3))/$AJ21,'Технический лист'!$A:$B,2,1)-VLOOKUP($AO21,'Технический лист'!$A:$B,2,1)),1+(1-$AU21))</f>
        <v>1.0209999999999999</v>
      </c>
      <c r="DF21" s="15">
        <f>MIN(IF($AU21=100%,1,1+VLOOKUP(($AJ21-$AI21-$AH21-$AG21-$AF21-$AE21*(1+DF$3))/$AJ21,'Технический лист'!$A:$B,2,1)-VLOOKUP($AO21,'Технический лист'!$A:$B,2,1)),1+(1-$AU21))</f>
        <v>1.0209999999999999</v>
      </c>
      <c r="DG21" s="15">
        <f>MIN(IF($AU21=100%,1,1+VLOOKUP(($AJ21-$AI21-$AH21-$AG21-$AF21-$AE21*(1+DG$3))/$AJ21,'Технический лист'!$A:$B,2,1)-VLOOKUP($AO21,'Технический лист'!$A:$B,2,1)),1+(1-$AU21))</f>
        <v>1.0209999999999999</v>
      </c>
      <c r="DH21" s="15">
        <f>MIN(IF($AU21=100%,1,1+VLOOKUP(($AJ21-$AI21-$AH21-$AG21-$AF21-$AE21*(1+DH$3))/$AJ21,'Технический лист'!$A:$B,2,1)-VLOOKUP($AO21,'Технический лист'!$A:$B,2,1)),1+(1-$AU21))</f>
        <v>1.0209999999999999</v>
      </c>
      <c r="DI21" s="15">
        <f>MIN(IF($AU21=100%,1,1+VLOOKUP(($AJ21-$AI21-$AH21-$AG21-$AF21-$AE21*(1+DI$3))/$AJ21,'Технический лист'!$A:$B,2,1)-VLOOKUP($AO21,'Технический лист'!$A:$B,2,1)),1+(1-$AU21))</f>
        <v>1.0209999999999999</v>
      </c>
      <c r="DJ21" s="15">
        <f>MIN(IF($AU21=100%,1,1+VLOOKUP(($AJ21-$AI21-$AH21-$AG21-$AF21-$AE21*(1+DJ$3))/$AJ21,'Технический лист'!$A:$B,2,1)-VLOOKUP($AO21,'Технический лист'!$A:$B,2,1)),1+(1-$AU21))</f>
        <v>1.0209999999999999</v>
      </c>
      <c r="DK21" s="15">
        <f>MIN(IF($AU21=100%,1,1+VLOOKUP(($AJ21-$AI21-$AH21-$AG21-$AF21-$AE21*(1+DK$3))/$AJ21,'Технический лист'!$A:$B,2,1)-VLOOKUP($AO21,'Технический лист'!$A:$B,2,1)),1+(1-$AU21))</f>
        <v>1.0209999999999999</v>
      </c>
      <c r="DL21" s="15">
        <f>MIN(IF($AU21=100%,1,1+VLOOKUP(($AJ21-$AI21-$AH21-$AG21-$AF21-$AE21*(1+DL$3))/$AJ21,'Технический лист'!$A:$B,2,1)-VLOOKUP($AO21,'Технический лист'!$A:$B,2,1)),1+(1-$AU21))</f>
        <v>1.0209999999999999</v>
      </c>
      <c r="DM21" s="15">
        <f>MIN(IF($AU21=100%,1,1+VLOOKUP(($AJ21-$AI21-$AH21-$AG21-$AF21-$AE21*(1+DM$3))/$AJ21,'Технический лист'!$A:$B,2,1)-VLOOKUP($AO21,'Технический лист'!$A:$B,2,1)),1+(1-$AU21))</f>
        <v>1.0209999999999999</v>
      </c>
      <c r="DN21" s="15">
        <f>MIN(IF($AU21=100%,1,1+VLOOKUP(($AJ21-$AI21-$AH21-$AG21-$AF21-$AE21*(1+DN$3))/$AJ21,'Технический лист'!$A:$B,2,1)-VLOOKUP($AO21,'Технический лист'!$A:$B,2,1)),1+(1-$AU21))</f>
        <v>1.0209999999999999</v>
      </c>
      <c r="DO21" s="15">
        <f>MIN(IF($AU21=100%,1,1+VLOOKUP(($AJ21-$AI21-$AH21-$AG21-$AF21-$AE21*(1+DO$3))/$AJ21,'Технический лист'!$A:$B,2,1)-VLOOKUP($AO21,'Технический лист'!$A:$B,2,1)),1+(1-$AU21))</f>
        <v>1.0209999999999999</v>
      </c>
      <c r="DP21" s="15">
        <f>MIN(IF($AU21=100%,1,1+VLOOKUP(($AJ21-$AI21-$AH21-$AG21-$AF21-$AE21*(1+DP$3))/$AJ21,'Технический лист'!$A:$B,2,1)-VLOOKUP($AO21,'Технический лист'!$A:$B,2,1)),1+(1-$AU21))</f>
        <v>1.0209999999999999</v>
      </c>
      <c r="DQ21" s="15">
        <f>MIN(IF($AU21=100%,1,1+VLOOKUP(($AJ21-$AI21-$AH21-$AG21-$AF21-$AE21*(1+DQ$3))/$AJ21,'Технический лист'!$A:$B,2,1)-VLOOKUP($AO21,'Технический лист'!$A:$B,2,1)),1+(1-$AU21))</f>
        <v>1.0140000000000002</v>
      </c>
      <c r="DR21" s="15">
        <f>MIN(IF($AU21=100%,1,1+VLOOKUP(($AJ21-$AI21-$AH21-$AG21-$AF21-$AE21*(1+DR$3))/$AJ21,'Технический лист'!$A:$B,2,1)-VLOOKUP($AO21,'Технический лист'!$A:$B,2,1)),1+(1-$AU21))</f>
        <v>1.0140000000000002</v>
      </c>
      <c r="DS21" s="15">
        <f>MIN(IF($AU21=100%,1,1+VLOOKUP(($AJ21-$AI21-$AH21-$AG21-$AF21-$AE21*(1+DS$3))/$AJ21,'Технический лист'!$A:$B,2,1)-VLOOKUP($AO21,'Технический лист'!$A:$B,2,1)),1+(1-$AU21))</f>
        <v>1.0140000000000002</v>
      </c>
      <c r="DT21" s="15">
        <f>MIN(IF($AU21=100%,1,1+VLOOKUP(($AJ21-$AI21-$AH21-$AG21-$AF21-$AE21*(1+DT$3))/$AJ21,'Технический лист'!$A:$B,2,1)-VLOOKUP($AO21,'Технический лист'!$A:$B,2,1)),1+(1-$AU21))</f>
        <v>1.0140000000000002</v>
      </c>
      <c r="DU21" s="15">
        <f>MIN(IF($AU21=100%,1,1+VLOOKUP(($AJ21-$AI21-$AH21-$AG21-$AF21-$AE21*(1+DU$3))/$AJ21,'Технический лист'!$A:$B,2,1)-VLOOKUP($AO21,'Технический лист'!$A:$B,2,1)),1+(1-$AU21))</f>
        <v>1.0140000000000002</v>
      </c>
      <c r="DV21" s="15">
        <f>MIN(IF($AU21=100%,1,1+VLOOKUP(($AJ21-$AI21-$AH21-$AG21-$AF21-$AE21*(1+DV$3))/$AJ21,'Технический лист'!$A:$B,2,1)-VLOOKUP($AO21,'Технический лист'!$A:$B,2,1)),1+(1-$AU21))</f>
        <v>1.0140000000000002</v>
      </c>
      <c r="DW21" s="15">
        <f>MIN(IF($AU21=100%,1,1+VLOOKUP(($AJ21-$AI21-$AH21-$AG21-$AF21-$AE21*(1+DW$3))/$AJ21,'Технический лист'!$A:$B,2,1)-VLOOKUP($AO21,'Технический лист'!$A:$B,2,1)),1+(1-$AU21))</f>
        <v>1.0140000000000002</v>
      </c>
      <c r="DX21" s="15">
        <f>MIN(IF($AU21=100%,1,1+VLOOKUP(($AJ21-$AI21-$AH21-$AG21-$AF21-$AE21*(1+DX$3))/$AJ21,'Технический лист'!$A:$B,2,1)-VLOOKUP($AO21,'Технический лист'!$A:$B,2,1)),1+(1-$AU21))</f>
        <v>1.0140000000000002</v>
      </c>
      <c r="DY21" s="15">
        <f>MIN(IF($AU21=100%,1,1+VLOOKUP(($AJ21-$AI21-$AH21-$AG21-$AF21-$AE21*(1+DY$3))/$AJ21,'Технический лист'!$A:$B,2,1)-VLOOKUP($AO21,'Технический лист'!$A:$B,2,1)),1+(1-$AU21))</f>
        <v>1.0140000000000002</v>
      </c>
      <c r="DZ21" s="15">
        <f>MIN(IF($AU21=100%,1,1+VLOOKUP(($AJ21-$AI21-$AH21-$AG21-$AF21-$AE21*(1+DZ$3))/$AJ21,'Технический лист'!$A:$B,2,1)-VLOOKUP($AO21,'Технический лист'!$A:$B,2,1)),1+(1-$AU21))</f>
        <v>1.0140000000000002</v>
      </c>
      <c r="EA21" s="15">
        <f>MIN(IF($AU21=100%,1,1+VLOOKUP(($AJ21-$AI21-$AH21-$AG21-$AF21-$AE21*(1+EA$3))/$AJ21,'Технический лист'!$A:$B,2,1)-VLOOKUP($AO21,'Технический лист'!$A:$B,2,1)),1+(1-$AU21))</f>
        <v>1.0140000000000002</v>
      </c>
      <c r="EB21" s="15">
        <f>MIN(IF($AU21=100%,1,1+VLOOKUP(($AJ21-$AI21-$AH21-$AG21-$AF21-$AE21*(1+EB$3))/$AJ21,'Технический лист'!$A:$B,2,1)-VLOOKUP($AO21,'Технический лист'!$A:$B,2,1)),1+(1-$AU21))</f>
        <v>1.0140000000000002</v>
      </c>
      <c r="EC21" s="15">
        <f>MIN(IF($AU21=100%,1,1+VLOOKUP(($AJ21-$AI21-$AH21-$AG21-$AF21-$AE21*(1+EC$3))/$AJ21,'Технический лист'!$A:$B,2,1)-VLOOKUP($AO21,'Технический лист'!$A:$B,2,1)),1+(1-$AU21))</f>
        <v>1.0140000000000002</v>
      </c>
      <c r="ED21" s="15">
        <f>MIN(IF($AU21=100%,1,1+VLOOKUP(($AJ21-$AI21-$AH21-$AG21-$AF21-$AE21*(1+ED$3))/$AJ21,'Технический лист'!$A:$B,2,1)-VLOOKUP($AO21,'Технический лист'!$A:$B,2,1)),1+(1-$AU21))</f>
        <v>1.0070000000000001</v>
      </c>
      <c r="EE21" s="15">
        <f>MIN(IF($AU21=100%,1,1+VLOOKUP(($AJ21-$AI21-$AH21-$AG21-$AF21-$AE21*(1+EE$3))/$AJ21,'Технический лист'!$A:$B,2,1)-VLOOKUP($AO21,'Технический лист'!$A:$B,2,1)),1+(1-$AU21))</f>
        <v>1.0070000000000001</v>
      </c>
      <c r="EF21" s="15">
        <f>MIN(IF($AU21=100%,1,1+VLOOKUP(($AJ21-$AI21-$AH21-$AG21-$AF21-$AE21*(1+EF$3))/$AJ21,'Технический лист'!$A:$B,2,1)-VLOOKUP($AO21,'Технический лист'!$A:$B,2,1)),1+(1-$AU21))</f>
        <v>1.0070000000000001</v>
      </c>
      <c r="EG21" s="15">
        <f>MIN(IF($AU21=100%,1,1+VLOOKUP(($AJ21-$AI21-$AH21-$AG21-$AF21-$AE21*(1+EG$3))/$AJ21,'Технический лист'!$A:$B,2,1)-VLOOKUP($AO21,'Технический лист'!$A:$B,2,1)),1+(1-$AU21))</f>
        <v>1.0070000000000001</v>
      </c>
      <c r="EH21" s="15">
        <f>MIN(IF($AU21=100%,1,1+VLOOKUP(($AJ21-$AI21-$AH21-$AG21-$AF21-$AE21*(1+EH$3))/$AJ21,'Технический лист'!$A:$B,2,1)-VLOOKUP($AO21,'Технический лист'!$A:$B,2,1)),1+(1-$AU21))</f>
        <v>1.0070000000000001</v>
      </c>
      <c r="EI21" s="15">
        <f>MIN(IF($AU21=100%,1,1+VLOOKUP(($AJ21-$AI21-$AH21-$AG21-$AF21-$AE21*(1+EI$3))/$AJ21,'Технический лист'!$A:$B,2,1)-VLOOKUP($AO21,'Технический лист'!$A:$B,2,1)),1+(1-$AU21))</f>
        <v>1.0070000000000001</v>
      </c>
      <c r="EJ21" s="15">
        <f>MIN(IF($AU21=100%,1,1+VLOOKUP(($AJ21-$AI21-$AH21-$AG21-$AF21-$AE21*(1+EJ$3))/$AJ21,'Технический лист'!$A:$B,2,1)-VLOOKUP($AO21,'Технический лист'!$A:$B,2,1)),1+(1-$AU21))</f>
        <v>1.0070000000000001</v>
      </c>
      <c r="EK21" s="15">
        <f>MIN(IF($AU21=100%,1,1+VLOOKUP(($AJ21-$AI21-$AH21-$AG21-$AF21-$AE21*(1+EK$3))/$AJ21,'Технический лист'!$A:$B,2,1)-VLOOKUP($AO21,'Технический лист'!$A:$B,2,1)),1+(1-$AU21))</f>
        <v>1.0070000000000001</v>
      </c>
      <c r="EL21" s="15">
        <f>MIN(IF($AU21=100%,1,1+VLOOKUP(($AJ21-$AI21-$AH21-$AG21-$AF21-$AE21*(1+EL$3))/$AJ21,'Технический лист'!$A:$B,2,1)-VLOOKUP($AO21,'Технический лист'!$A:$B,2,1)),1+(1-$AU21))</f>
        <v>1.0070000000000001</v>
      </c>
      <c r="EM21" s="15">
        <f>MIN(IF($AU21=100%,1,1+VLOOKUP(($AJ21-$AI21-$AH21-$AG21-$AF21-$AE21*(1+EM$3))/$AJ21,'Технический лист'!$A:$B,2,1)-VLOOKUP($AO21,'Технический лист'!$A:$B,2,1)),1+(1-$AU21))</f>
        <v>1.0070000000000001</v>
      </c>
      <c r="EN21" s="15">
        <f>MIN(IF($AU21=100%,1,1+VLOOKUP(($AJ21-$AI21-$AH21-$AG21-$AF21-$AE21*(1+EN$3))/$AJ21,'Технический лист'!$A:$B,2,1)-VLOOKUP($AO21,'Технический лист'!$A:$B,2,1)),1+(1-$AU21))</f>
        <v>1.0070000000000001</v>
      </c>
      <c r="EO21" s="15">
        <f>MIN(IF($AU21=100%,1,1+VLOOKUP(($AJ21-$AI21-$AH21-$AG21-$AF21-$AE21*(1+EO$3))/$AJ21,'Технический лист'!$A:$B,2,1)-VLOOKUP($AO21,'Технический лист'!$A:$B,2,1)),1+(1-$AU21))</f>
        <v>1.0070000000000001</v>
      </c>
      <c r="EP21" s="15">
        <f>MIN(IF($AU21=100%,1,1+VLOOKUP(($AJ21-$AI21-$AH21-$AG21-$AF21-$AE21*(1+EP$3))/$AJ21,'Технический лист'!$A:$B,2,1)-VLOOKUP($AO21,'Технический лист'!$A:$B,2,1)),1+(1-$AU21))</f>
        <v>1</v>
      </c>
      <c r="EQ21" s="15">
        <f>MIN(IF($AU21=100%,1,1+VLOOKUP(($AJ21-$AI21-$AH21-$AG21-$AF21-$AE21*(1+EQ$3))/$AJ21,'Технический лист'!$A:$B,2,1)-VLOOKUP($AO21,'Технический лист'!$A:$B,2,1)),1+(1-$AU21))</f>
        <v>1</v>
      </c>
      <c r="ER21" s="15">
        <f>MIN(IF($AU21=100%,1,1+VLOOKUP(($AJ21-$AI21-$AH21-$AG21-$AF21-$AE21*(1+ER$3))/$AJ21,'Технический лист'!$A:$B,2,1)-VLOOKUP($AO21,'Технический лист'!$A:$B,2,1)),1+(1-$AU21))</f>
        <v>1</v>
      </c>
      <c r="ES21" s="15">
        <f>MIN(IF($AU21=100%,1,1+VLOOKUP(($AJ21-$AI21-$AH21-$AG21-$AF21-$AE21*(1+ES$3))/$AJ21,'Технический лист'!$A:$B,2,1)-VLOOKUP($AO21,'Технический лист'!$A:$B,2,1)),1+(1-$AU21))</f>
        <v>1</v>
      </c>
      <c r="ET21" s="15">
        <f>MIN(IF($AU21=100%,1,1+VLOOKUP(($AJ21-$AI21-$AH21-$AG21-$AF21-$AE21*(1+ET$3))/$AJ21,'Технический лист'!$A:$B,2,1)-VLOOKUP($AO21,'Технический лист'!$A:$B,2,1)),1+(1-$AU21))</f>
        <v>1</v>
      </c>
      <c r="EU21" s="15">
        <f>MIN(IF($AU21=100%,1,1+VLOOKUP(($AJ21-$AI21-$AH21-$AG21-$AF21-$AE21*(1+EU$3))/$AJ21,'Технический лист'!$A:$B,2,1)-VLOOKUP($AO21,'Технический лист'!$A:$B,2,1)),1+(1-$AU21))</f>
        <v>1</v>
      </c>
      <c r="EV21" s="111">
        <v>1</v>
      </c>
      <c r="EW21" s="15">
        <f>MIN(1,MAX(VLOOKUP(($AJ21-$AI21-$AH21-$AG21-$AF21-$AE21*(1+EW$3))/$AJ21,'Технический лист'!$A:$B,2,1),(EV21-0.05)))</f>
        <v>1</v>
      </c>
      <c r="EX21" s="15">
        <f>MIN(1,MAX(VLOOKUP(($AJ21-$AI21-$AH21-$AG21-$AF21-$AE21*(1+EX$3))/$AJ21,'Технический лист'!$A:$B,2,1),(EW21-0.05)))</f>
        <v>1</v>
      </c>
      <c r="EY21" s="15">
        <f>MIN(1,MAX(VLOOKUP(($AJ21-$AI21-$AH21-$AG21-$AF21-$AE21*(1+EY$3))/$AJ21,'Технический лист'!$A:$B,2,1),(EX21-0.05)))</f>
        <v>1</v>
      </c>
      <c r="EZ21" s="15">
        <f>MIN(1,MAX(VLOOKUP(($AJ21-$AI21-$AH21-$AG21-$AF21-$AE21*(1+EZ$3))/$AJ21,'Технический лист'!$A:$B,2,1),(EY21-0.05)))</f>
        <v>1</v>
      </c>
      <c r="FA21" s="15">
        <f>MIN(1,MAX(VLOOKUP(($AJ21-$AI21-$AH21-$AG21-$AF21-$AE21*(1+FA$3))/$AJ21,'Технический лист'!$A:$B,2,1),(EZ21-0.05)))</f>
        <v>1</v>
      </c>
      <c r="FB21" s="15">
        <f>MIN(1,MAX(VLOOKUP(($AJ21-$AI21-$AH21-$AG21-$AF21-$AE21*(1+FB$3))/$AJ21,'Технический лист'!$A:$B,2,1),(FA21-0.05)))</f>
        <v>1</v>
      </c>
      <c r="FC21" s="15">
        <f>MIN(1,MAX(VLOOKUP(($AJ21-$AI21-$AH21-$AG21-$AF21-$AE21*(1+FC$3))/$AJ21,'Технический лист'!$A:$B,2,1),(FB21-0.05)))</f>
        <v>1</v>
      </c>
      <c r="FD21" s="15">
        <f>MIN(1,MAX(VLOOKUP(($AJ21-$AI21-$AH21-$AG21-$AF21-$AE21*(1+FD$3))/$AJ21,'Технический лист'!$A:$B,2,1),(FC21-0.05)))</f>
        <v>1</v>
      </c>
      <c r="FE21" s="15">
        <f>MIN(1,MAX(VLOOKUP(($AJ21-$AI21-$AH21-$AG21-$AF21-$AE21*(1+FE$3))/$AJ21,'Технический лист'!$A:$B,2,1),(FD21-0.05)))</f>
        <v>1</v>
      </c>
      <c r="FF21" s="15">
        <f>MIN(1,MAX(VLOOKUP(($AJ21-$AI21-$AH21-$AG21-$AF21-$AE21*(1+FF$3))/$AJ21,'Технический лист'!$A:$B,2,1),(FE21-0.05)))</f>
        <v>1</v>
      </c>
      <c r="FG21" s="15">
        <f>MIN(1,MAX(VLOOKUP(($AJ21-$AI21-$AH21-$AG21-$AF21-$AE21*(1+FG$3))/$AJ21,'Технический лист'!$A:$B,2,1),(FF21-0.05)))</f>
        <v>1</v>
      </c>
      <c r="FH21" s="15">
        <f>MIN(1,MAX(VLOOKUP(($AJ21-$AI21-$AH21-$AG21-$AF21-$AE21*(1+FH$3))/$AJ21,'Технический лист'!$A:$B,2,1),(FG21-0.05)))</f>
        <v>1</v>
      </c>
      <c r="FI21" s="15">
        <f>MIN(1,MAX(VLOOKUP(($AJ21-$AI21-$AH21-$AG21-$AF21-$AE21*(1+FI$3))/$AJ21,'Технический лист'!$A:$B,2,1),(FH21-0.05)))</f>
        <v>1</v>
      </c>
      <c r="FJ21" s="15">
        <f>MIN(1,MAX(VLOOKUP(($AJ21-$AI21-$AH21-$AG21-$AF21-$AE21*(1+FJ$3))/$AJ21,'Технический лист'!$A:$B,2,1),(FI21-0.05)))</f>
        <v>1</v>
      </c>
      <c r="FK21" s="15">
        <f>MIN(1,MAX(VLOOKUP(($AJ21-$AI21-$AH21-$AG21-$AF21-$AE21*(1+FK$3))/$AJ21,'Технический лист'!$A:$B,2,1),(FJ21-0.05)))</f>
        <v>1</v>
      </c>
      <c r="FL21" s="15">
        <f>MIN(1,MAX(VLOOKUP(($AJ21-$AI21-$AH21-$AG21-$AF21-$AE21*(1+FL$3))/$AJ21,'Технический лист'!$A:$B,2,1),(FK21-0.05)))</f>
        <v>1</v>
      </c>
      <c r="FM21" s="15">
        <f>MIN(1,MAX(VLOOKUP(($AJ21-$AI21-$AH21-$AG21-$AF21-$AE21*(1+FM$3))/$AJ21,'Технический лист'!$A:$B,2,1),(FL21-0.05)))</f>
        <v>1</v>
      </c>
      <c r="FN21" s="15">
        <f>MIN(1,MAX(VLOOKUP(($AJ21-$AI21-$AH21-$AG21-$AF21-$AE21*(1+FN$3))/$AJ21,'Технический лист'!$A:$B,2,1),(FM21-0.05)))</f>
        <v>1</v>
      </c>
      <c r="FO21" s="15">
        <f>MIN(1,MAX(VLOOKUP(($AJ21-$AI21-$AH21-$AG21-$AF21-$AE21*(1+FO$3))/$AJ21,'Технический лист'!$A:$B,2,1),(FN21-0.05)))</f>
        <v>1</v>
      </c>
      <c r="FP21" s="15">
        <f>MIN(1,MAX(VLOOKUP(($AJ21-$AI21-$AH21-$AG21-$AF21-$AE21*(1+FP$3))/$AJ21,'Технический лист'!$A:$B,2,1),(FO21-0.05)))</f>
        <v>1</v>
      </c>
      <c r="FQ21" s="15">
        <f>MIN(1,MAX(VLOOKUP(($AJ21-$AI21-$AH21-$AG21-$AF21-$AE21*(1+FQ$3))/$AJ21,'Технический лист'!$A:$B,2,1),(FP21-0.05)))</f>
        <v>1</v>
      </c>
      <c r="FR21" s="15">
        <f>MIN(1,MAX(VLOOKUP(($AJ21-$AI21-$AH21-$AG21-$AF21-$AE21*(1+FR$3))/$AJ21,'Технический лист'!$A:$B,2,1),(FQ21-0.05)))</f>
        <v>1</v>
      </c>
      <c r="FS21" s="15">
        <f>MIN(1,MAX(VLOOKUP(($AJ21-$AI21-$AH21-$AG21-$AF21-$AE21*(1+FS$3))/$AJ21,'Технический лист'!$A:$B,2,1),(FR21-0.05)))</f>
        <v>1</v>
      </c>
      <c r="FT21" s="15">
        <f>MIN(1,MAX(VLOOKUP(($AJ21-$AI21-$AH21-$AG21-$AF21-$AE21*(1+FT$3))/$AJ21,'Технический лист'!$A:$B,2,1),(FS21-0.05)))</f>
        <v>1</v>
      </c>
      <c r="FU21" s="15">
        <f>MIN(1,MAX(VLOOKUP(($AJ21-$AI21-$AH21-$AG21-$AF21-$AE21*(1+FU$3))/$AJ21,'Технический лист'!$A:$B,2,1),(FT21-0.05)))</f>
        <v>1</v>
      </c>
      <c r="FV21" s="15">
        <f>MIN(1,MAX(VLOOKUP(($AJ21-$AI21-$AH21-$AG21-$AF21-$AE21*(1+FV$3))/$AJ21,'Технический лист'!$A:$B,2,1),(FU21-0.05)))</f>
        <v>1</v>
      </c>
      <c r="FW21" s="15">
        <f>MIN(1,MAX(VLOOKUP(($AJ21-$AI21-$AH21-$AG21-$AF21-$AE21*(1+FW$3))/$AJ21,'Технический лист'!$A:$B,2,1),(FV21-0.05)))</f>
        <v>1</v>
      </c>
      <c r="FX21" s="15">
        <f>MIN(1,MAX(VLOOKUP(($AJ21-$AI21-$AH21-$AG21-$AF21-$AE21*(1+FX$3))/$AJ21,'Технический лист'!$A:$B,2,1),(FW21-0.05)))</f>
        <v>1</v>
      </c>
      <c r="FY21" s="15">
        <f>MIN(1,MAX(VLOOKUP(($AJ21-$AI21-$AH21-$AG21-$AF21-$AE21*(1+FY$3))/$AJ21,'Технический лист'!$A:$B,2,1),(FX21-0.05)))</f>
        <v>1</v>
      </c>
      <c r="FZ21" s="15">
        <f>MIN(1,MAX(VLOOKUP(($AJ21-$AI21-$AH21-$AG21-$AF21-$AE21*(1+FZ$3))/$AJ21,'Технический лист'!$A:$B,2,1),(FY21-0.05)))</f>
        <v>1</v>
      </c>
      <c r="GA21" s="15">
        <f>MIN(1,MAX(VLOOKUP(($AJ21-$AI21-$AH21-$AG21-$AF21-$AE21*(1+GA$3))/$AJ21,'Технический лист'!$A:$B,2,1),(FZ21-0.05)))</f>
        <v>1</v>
      </c>
      <c r="GB21" s="15">
        <f>MIN(1,MAX(VLOOKUP(($AJ21-$AI21-$AH21-$AG21-$AF21-$AE21*(1+GB$3))/$AJ21,'Технический лист'!$A:$B,2,1),(GA21-0.05)))</f>
        <v>1</v>
      </c>
      <c r="GC21" s="15">
        <f>MIN(1,MAX(VLOOKUP(($AJ21-$AI21-$AH21-$AG21-$AF21-$AE21*(1+GC$3))/$AJ21,'Технический лист'!$A:$B,2,1),(GB21-0.05)))</f>
        <v>1</v>
      </c>
      <c r="GD21" s="15">
        <f>MIN(1,MAX(VLOOKUP(($AJ21-$AI21-$AH21-$AG21-$AF21-$AE21*(1+GD$3))/$AJ21,'Технический лист'!$A:$B,2,1),(GC21-0.05)))</f>
        <v>1</v>
      </c>
      <c r="GE21" s="15">
        <f>MIN(1,MAX(VLOOKUP(($AJ21-$AI21-$AH21-$AG21-$AF21-$AE21*(1+GE$3))/$AJ21,'Технический лист'!$A:$B,2,1),(GD21-0.05)))</f>
        <v>1</v>
      </c>
      <c r="GF21" s="15">
        <f>MIN(1,MAX(VLOOKUP(($AJ21-$AI21-$AH21-$AG21-$AF21-$AE21*(1+GF$3))/$AJ21,'Технический лист'!$A:$B,2,1),(GE21-0.05)))</f>
        <v>1</v>
      </c>
      <c r="GG21" s="15">
        <f>MIN(1,MAX(VLOOKUP(($AJ21-$AI21-$AH21-$AG21-$AF21-$AE21*(1+GG$3))/$AJ21,'Технический лист'!$A:$B,2,1),(GF21-0.05)))</f>
        <v>1</v>
      </c>
      <c r="GH21" s="15">
        <f>MIN(1,MAX(VLOOKUP(($AJ21-$AI21-$AH21-$AG21-$AF21-$AE21*(1+GH$3))/$AJ21,'Технический лист'!$A:$B,2,1),(GG21-0.05)))</f>
        <v>1</v>
      </c>
      <c r="GI21" s="15">
        <f>MIN(1,MAX(VLOOKUP(($AJ21-$AI21-$AH21-$AG21-$AF21-$AE21*(1+GI$3))/$AJ21,'Технический лист'!$A:$B,2,1),(GH21-0.05)))</f>
        <v>1</v>
      </c>
      <c r="GJ21" s="15">
        <f>MIN(1,MAX(VLOOKUP(($AJ21-$AI21-$AH21-$AG21-$AF21-$AE21*(1+GJ$3))/$AJ21,'Технический лист'!$A:$B,2,1),(GI21-0.05)))</f>
        <v>1</v>
      </c>
      <c r="GK21" s="15">
        <f>MIN(1,MAX(VLOOKUP(($AJ21-$AI21-$AH21-$AG21-$AF21-$AE21*(1+GK$3))/$AJ21,'Технический лист'!$A:$B,2,1),(GJ21-0.05)))</f>
        <v>1</v>
      </c>
      <c r="GL21" s="15">
        <f>MIN(1,MAX(VLOOKUP(($AJ21-$AI21-$AH21-$AG21-$AF21-$AE21*(1+GL$3))/$AJ21,'Технический лист'!$A:$B,2,1),(GK21-0.05)))</f>
        <v>1</v>
      </c>
      <c r="GM21" s="15">
        <f>MIN(1,MAX(VLOOKUP(($AJ21-$AI21-$AH21-$AG21-$AF21-$AE21*(1+GM$3))/$AJ21,'Технический лист'!$A:$B,2,1),(GL21-0.05)))</f>
        <v>1</v>
      </c>
      <c r="GN21" s="15">
        <f>MIN(1,MAX(VLOOKUP(($AJ21-$AI21-$AH21-$AG21-$AF21-$AE21*(1+GN$3))/$AJ21,'Технический лист'!$A:$B,2,1),(GM21-0.05)))</f>
        <v>1</v>
      </c>
      <c r="GO21" s="15">
        <f>MIN(1,MAX(VLOOKUP(($AJ21-$AI21-$AH21-$AG21-$AF21-$AE21*(1+GO$3))/$AJ21,'Технический лист'!$A:$B,2,1),(GN21-0.05)))</f>
        <v>1</v>
      </c>
      <c r="GP21" s="15">
        <f>MIN(1,MAX(VLOOKUP(($AJ21-$AI21-$AH21-$AG21-$AF21-$AE21*(1+GP$3))/$AJ21,'Технический лист'!$A:$B,2,1),(GO21-0.05)))</f>
        <v>1</v>
      </c>
      <c r="GQ21" s="15">
        <f>MIN(1,MAX(VLOOKUP(($AJ21-$AI21-$AH21-$AG21-$AF21-$AE21*(1+GQ$3))/$AJ21,'Технический лист'!$A:$B,2,1),(GP21-0.05)))</f>
        <v>1</v>
      </c>
      <c r="GR21" s="15">
        <f>MIN(1,MAX(VLOOKUP(($AJ21-$AI21-$AH21-$AG21-$AF21-$AE21*(1+GR$3))/$AJ21,'Технический лист'!$A:$B,2,1),(GQ21-0.05)))</f>
        <v>1</v>
      </c>
      <c r="GS21" s="15">
        <f>MIN(1,MAX(VLOOKUP(($AJ21-$AI21-$AH21-$AG21-$AF21-$AE21*(1+GS$3))/$AJ21,'Технический лист'!$A:$B,2,1),(GR21-0.05)))</f>
        <v>1</v>
      </c>
      <c r="GT21" s="15">
        <f>MIN(1,MAX(VLOOKUP(($AJ21-$AI21-$AH21-$AG21-$AF21-$AE21*(1+GT$3))/$AJ21,'Технический лист'!$A:$B,2,1),(GS21-0.05)))</f>
        <v>1</v>
      </c>
      <c r="GU21" s="15">
        <f>MIN(1,MAX(VLOOKUP(($AJ21-$AI21-$AH21-$AG21-$AF21-$AE21*(1+GU$3))/$AJ21,'Технический лист'!$A:$B,2,1),(GT21-0.05)))</f>
        <v>1</v>
      </c>
      <c r="GV21" s="15">
        <f>MIN(1,MAX(VLOOKUP(($AJ21-$AI21-$AH21-$AG21-$AF21-$AE21*(1+GV$3))/$AJ21,'Технический лист'!$A:$B,2,1),(GU21-0.05)))</f>
        <v>1</v>
      </c>
      <c r="GW21" s="15">
        <f>MIN(1,MAX(VLOOKUP(($AJ21-$AI21-$AH21-$AG21-$AF21-$AE21*(1+GW$3))/$AJ21,'Технический лист'!$A:$B,2,1),(GV21-0.05)))</f>
        <v>1</v>
      </c>
      <c r="GX21" s="15">
        <f>MIN(1,MAX(VLOOKUP(($AJ21-$AI21-$AH21-$AG21-$AF21-$AE21*(1+GX$3))/$AJ21,'Технический лист'!$A:$B,2,1),(GW21-0.05)))</f>
        <v>1</v>
      </c>
      <c r="GY21" s="15">
        <f>MIN(1,MAX(VLOOKUP(($AJ21-$AI21-$AH21-$AG21-$AF21-$AE21*(1+GY$3))/$AJ21,'Технический лист'!$A:$B,2,1),(GX21-0.05)))</f>
        <v>1</v>
      </c>
      <c r="GZ21" s="15">
        <f>MIN(1,MAX(VLOOKUP(($AJ21-$AI21-$AH21-$AG21-$AF21-$AE21*(1+GZ$3))/$AJ21,'Технический лист'!$A:$B,2,1),(GY21-0.05)))</f>
        <v>1</v>
      </c>
      <c r="HA21" s="15">
        <f>MIN(1,MAX(VLOOKUP(($AJ21-$AI21-$AH21-$AG21-$AF21-$AE21*(1+HA$3))/$AJ21,'Технический лист'!$A:$B,2,1),(GZ21-0.05)))</f>
        <v>1</v>
      </c>
      <c r="HB21" s="15">
        <f>MIN(1,MAX(VLOOKUP(($AJ21-$AI21-$AH21-$AG21-$AF21-$AE21*(1+HB$3))/$AJ21,'Технический лист'!$A:$B,2,1),(HA21-0.05)))</f>
        <v>1</v>
      </c>
      <c r="HC21" s="15">
        <f>MIN(1,MAX(VLOOKUP(($AJ21-$AI21-$AH21-$AG21-$AF21-$AE21*(1+HC$3))/$AJ21,'Технический лист'!$A:$B,2,1),(HB21-0.05)))</f>
        <v>1</v>
      </c>
      <c r="HD21" s="15">
        <f>MIN(1,MAX(VLOOKUP(($AJ21-$AI21-$AH21-$AG21-$AF21-$AE21*(1+HD$3))/$AJ21,'Технический лист'!$A:$B,2,1),(HC21-0.05)))</f>
        <v>1</v>
      </c>
      <c r="HE21" s="15">
        <f>MIN(1,MAX(VLOOKUP(($AJ21-$AI21-$AH21-$AG21-$AF21-$AE21*(1+HE$3))/$AJ21,'Технический лист'!$A:$B,2,1),(HD21-0.05)))</f>
        <v>1</v>
      </c>
      <c r="HF21" s="15">
        <f>MIN(1,MAX(VLOOKUP(($AJ21-$AI21-$AH21-$AG21-$AF21-$AE21*(1+HF$3))/$AJ21,'Технический лист'!$A:$B,2,1),(HE21-0.05)))</f>
        <v>1</v>
      </c>
      <c r="HG21" s="15">
        <f>MIN(1,MAX(VLOOKUP(($AJ21-$AI21-$AH21-$AG21-$AF21-$AE21*(1+HG$3))/$AJ21,'Технический лист'!$A:$B,2,1),(HF21-0.05)))</f>
        <v>1</v>
      </c>
      <c r="HH21" s="15">
        <f>MIN(1,MAX(VLOOKUP(($AJ21-$AI21-$AH21-$AG21-$AF21-$AE21*(1+HH$3))/$AJ21,'Технический лист'!$A:$B,2,1),(HG21-0.05)))</f>
        <v>1</v>
      </c>
      <c r="HI21" s="15">
        <f>MIN(1,MAX(VLOOKUP(($AJ21-$AI21-$AH21-$AG21-$AF21-$AE21*(1+HI$3))/$AJ21,'Технический лист'!$A:$B,2,1),(HH21-0.05)))</f>
        <v>1</v>
      </c>
      <c r="HJ21" s="15">
        <f>MIN(1,MAX(VLOOKUP(($AJ21-$AI21-$AH21-$AG21-$AF21-$AE21*(1+HJ$3))/$AJ21,'Технический лист'!$A:$B,2,1),(HI21-0.05)))</f>
        <v>1</v>
      </c>
      <c r="HK21" s="15">
        <f>MIN(1,MAX(VLOOKUP(($AJ21-$AI21-$AH21-$AG21-$AF21-$AE21*(1+HK$3))/$AJ21,'Технический лист'!$A:$B,2,1),(HJ21-0.05)))</f>
        <v>1</v>
      </c>
      <c r="HL21" s="15">
        <f>MIN(1,MAX(VLOOKUP(($AJ21-$AI21-$AH21-$AG21-$AF21-$AE21*(1+HL$3))/$AJ21,'Технический лист'!$A:$B,2,1),(HK21-0.05)))</f>
        <v>1</v>
      </c>
      <c r="HM21" s="15">
        <f>MIN(1,MAX(VLOOKUP(($AJ21-$AI21-$AH21-$AG21-$AF21-$AE21*(1+HM$3))/$AJ21,'Технический лист'!$A:$B,2,1),(HL21-0.05)))</f>
        <v>1</v>
      </c>
      <c r="HN21" s="15">
        <f>MIN(1,MAX(VLOOKUP(($AJ21-$AI21-$AH21-$AG21-$AF21-$AE21*(1+HN$3))/$AJ21,'Технический лист'!$A:$B,2,1),(HM21-0.05)))</f>
        <v>1</v>
      </c>
      <c r="HO21" s="15">
        <f>MIN(1,MAX(VLOOKUP(($AJ21-$AI21-$AH21-$AG21-$AF21-$AE21*(1+HO$3))/$AJ21,'Технический лист'!$A:$B,2,1),(HN21-0.05)))</f>
        <v>1</v>
      </c>
      <c r="HP21" s="15">
        <f>MIN(1,MAX(VLOOKUP(($AJ21-$AI21-$AH21-$AG21-$AF21-$AE21*(1+HP$3))/$AJ21,'Технический лист'!$A:$B,2,1),(HO21-0.05)))</f>
        <v>1</v>
      </c>
      <c r="HQ21" s="15">
        <f>MIN(1,MAX(VLOOKUP(($AJ21-$AI21-$AH21-$AG21-$AF21-$AE21*(1+HQ$3))/$AJ21,'Технический лист'!$A:$B,2,1),(HP21-0.05)))</f>
        <v>1</v>
      </c>
      <c r="HR21" s="15">
        <f>MIN(1,MAX(VLOOKUP(($AJ21-$AI21-$AH21-$AG21-$AF21-$AE21*(1+HR$3))/$AJ21,'Технический лист'!$A:$B,2,1),(HQ21-0.05)))</f>
        <v>1</v>
      </c>
      <c r="HS21" s="15">
        <f>MIN(1,MAX(VLOOKUP(($AJ21-$AI21-$AH21-$AG21-$AF21-$AE21*(1+HS$3))/$AJ21,'Технический лист'!$A:$B,2,1),(HR21-0.05)))</f>
        <v>1</v>
      </c>
      <c r="HT21" s="15">
        <f>MIN(1,MAX(VLOOKUP(($AJ21-$AI21-$AH21-$AG21-$AF21-$AE21*(1+HT$3))/$AJ21,'Технический лист'!$A:$B,2,1),(HS21-0.05)))</f>
        <v>1</v>
      </c>
      <c r="HU21" s="15">
        <f>MIN(1,MAX(VLOOKUP(($AJ21-$AI21-$AH21-$AG21-$AF21-$AE21*(1+HU$3))/$AJ21,'Технический лист'!$A:$B,2,1),(HT21-0.05)))</f>
        <v>1</v>
      </c>
      <c r="HV21" s="15">
        <f>MIN(1,MAX(VLOOKUP(($AJ21-$AI21-$AH21-$AG21-$AF21-$AE21*(1+HV$3))/$AJ21,'Технический лист'!$A:$B,2,1),(HU21-0.05)))</f>
        <v>1</v>
      </c>
      <c r="HW21" s="15">
        <f>MIN(1,MAX(VLOOKUP(($AJ21-$AI21-$AH21-$AG21-$AF21-$AE21*(1+HW$3))/$AJ21,'Технический лист'!$A:$B,2,1),(HV21-0.05)))</f>
        <v>1</v>
      </c>
      <c r="HX21" s="15">
        <f>MIN(1,MAX(VLOOKUP(($AJ21-$AI21-$AH21-$AG21-$AF21-$AE21*(1+HX$3))/$AJ21,'Технический лист'!$A:$B,2,1),(HW21-0.05)))</f>
        <v>1</v>
      </c>
      <c r="HY21" s="15">
        <f>MIN(1,MAX(VLOOKUP(($AJ21-$AI21-$AH21-$AG21-$AF21-$AE21*(1+HY$3))/$AJ21,'Технический лист'!$A:$B,2,1),(HX21-0.05)))</f>
        <v>1</v>
      </c>
      <c r="HZ21" s="15">
        <f>MIN(1,MAX(VLOOKUP(($AJ21-$AI21-$AH21-$AG21-$AF21-$AE21*(1+HZ$3))/$AJ21,'Технический лист'!$A:$B,2,1),(HY21-0.05)))</f>
        <v>1</v>
      </c>
      <c r="IA21" s="15">
        <f>MIN(1,MAX(VLOOKUP(($AJ21-$AI21-$AH21-$AG21-$AF21-$AE21*(1+IA$3))/$AJ21,'Технический лист'!$A:$B,2,1),(HZ21-0.05)))</f>
        <v>1</v>
      </c>
      <c r="IB21" s="15">
        <f>MIN(1,MAX(VLOOKUP(($AJ21-$AI21-$AH21-$AG21-$AF21-$AE21*(1+IB$3))/$AJ21,'Технический лист'!$A:$B,2,1),(IA21-0.05)))</f>
        <v>1</v>
      </c>
      <c r="IC21" s="15">
        <f>MIN(1,MAX(VLOOKUP(($AJ21-$AI21-$AH21-$AG21-$AF21-$AE21*(1+IC$3))/$AJ21,'Технический лист'!$A:$B,2,1),(IB21-0.05)))</f>
        <v>1</v>
      </c>
      <c r="ID21" s="15">
        <f>MIN(1,MAX(VLOOKUP(($AJ21-$AI21-$AH21-$AG21-$AF21-$AE21*(1+ID$3))/$AJ21,'Технический лист'!$A:$B,2,1),(IC21-0.05)))</f>
        <v>1</v>
      </c>
      <c r="IE21" s="15">
        <f>MIN(1,MAX(VLOOKUP(($AJ21-$AI21-$AH21-$AG21-$AF21-$AE21*(1+IE$3))/$AJ21,'Технический лист'!$A:$B,2,1),(ID21-0.05)))</f>
        <v>1</v>
      </c>
      <c r="IF21" s="15">
        <f>MIN(1,MAX(VLOOKUP(($AJ21-$AI21-$AH21-$AG21-$AF21-$AE21*(1+IF$3))/$AJ21,'Технический лист'!$A:$B,2,1),(IE21-0.05)))</f>
        <v>1</v>
      </c>
      <c r="IG21" s="15">
        <f>MIN(1,MAX(VLOOKUP(($AJ21-$AI21-$AH21-$AG21-$AF21-$AE21*(1+IG$3))/$AJ21,'Технический лист'!$A:$B,2,1),(IF21-0.05)))</f>
        <v>1</v>
      </c>
      <c r="IH21" s="15">
        <f>MIN(1,MAX(VLOOKUP(($AJ21-$AI21-$AH21-$AG21-$AF21-$AE21*(1+IH$3))/$AJ21,'Технический лист'!$A:$B,2,1),(IG21-0.05)))</f>
        <v>1</v>
      </c>
      <c r="II21" s="15">
        <f>MIN(1,MAX(VLOOKUP(($AJ21-$AI21-$AH21-$AG21-$AF21-$AE21*(1+II$3))/$AJ21,'Технический лист'!$A:$B,2,1),(IH21-0.05)))</f>
        <v>1</v>
      </c>
      <c r="IJ21" s="15">
        <f>MIN(1,MAX(VLOOKUP(($AJ21-$AI21-$AH21-$AG21-$AF21-$AE21*(1+IJ$3))/$AJ21,'Технический лист'!$A:$B,2,1),(II21-0.05)))</f>
        <v>1</v>
      </c>
      <c r="IK21" s="15">
        <f>MIN(1,MAX(VLOOKUP(($AJ21-$AI21-$AH21-$AG21-$AF21-$AE21*(1+IK$3))/$AJ21,'Технический лист'!$A:$B,2,1),(IJ21-0.05)))</f>
        <v>1</v>
      </c>
      <c r="IL21" s="15">
        <f>MIN(1,MAX(VLOOKUP(($AJ21-$AI21-$AH21-$AG21-$AF21-$AE21*(1+IL$3))/$AJ21,'Технический лист'!$A:$B,2,1),(IK21-0.05)))</f>
        <v>1</v>
      </c>
      <c r="IM21" s="15">
        <f>MIN(1,MAX(VLOOKUP(($AJ21-$AI21-$AH21-$AG21-$AF21-$AE21*(1+IM$3))/$AJ21,'Технический лист'!$A:$B,2,1),(IL21-0.05)))</f>
        <v>1</v>
      </c>
      <c r="IN21" s="15">
        <f>MIN(1,MAX(VLOOKUP(($AJ21-$AI21-$AH21-$AG21-$AF21-$AE21*(1+IN$3))/$AJ21,'Технический лист'!$A:$B,2,1),(IM21-0.05)))</f>
        <v>1</v>
      </c>
      <c r="IO21" s="15">
        <f>MIN(1,MAX(VLOOKUP(($AJ21-$AI21-$AH21-$AG21-$AF21-$AE21*(1+IO$3))/$AJ21,'Технический лист'!$A:$B,2,1),(IN21-0.05)))</f>
        <v>1</v>
      </c>
      <c r="IP21" s="15">
        <f>MIN(1,MAX(VLOOKUP(($AJ21-$AI21-$AH21-$AG21-$AF21-$AE21*(1+IP$3))/$AJ21,'Технический лист'!$A:$B,2,1),(IO21-0.05)))</f>
        <v>1</v>
      </c>
      <c r="IQ21" s="15">
        <f>MIN(1,MAX(VLOOKUP(($AJ21-$AI21-$AH21-$AG21-$AF21-$AE21*(1+IQ$3))/$AJ21,'Технический лист'!$A:$B,2,1),(IP21-0.05)))</f>
        <v>1</v>
      </c>
      <c r="IR21" s="15">
        <f>MIN(1,MAX(VLOOKUP(($AJ21-$AI21-$AH21-$AG21-$AF21-$AE21*(1+IR$3))/$AJ21,'Технический лист'!$A:$B,2,1),(IQ21-0.05)))</f>
        <v>1</v>
      </c>
    </row>
    <row r="22" spans="1:252" ht="29.15">
      <c r="A22" s="89" t="s">
        <v>514</v>
      </c>
      <c r="B22" s="90">
        <v>2</v>
      </c>
      <c r="C22" s="5" t="s">
        <v>65</v>
      </c>
      <c r="D22" s="91">
        <v>17107</v>
      </c>
      <c r="E22" s="91" t="s">
        <v>320</v>
      </c>
      <c r="F22" s="92" t="s">
        <v>69</v>
      </c>
      <c r="G22" s="91" t="s">
        <v>50</v>
      </c>
      <c r="H22" s="91" t="s">
        <v>25</v>
      </c>
      <c r="I22" s="91" t="s">
        <v>96</v>
      </c>
      <c r="J22" s="91" t="s">
        <v>62</v>
      </c>
      <c r="K22" s="91">
        <v>5225</v>
      </c>
      <c r="L22" s="85" t="s">
        <v>64</v>
      </c>
      <c r="M22" s="91" t="s">
        <v>17</v>
      </c>
      <c r="N22" s="91" t="s">
        <v>191</v>
      </c>
      <c r="O22" s="91" t="s">
        <v>194</v>
      </c>
      <c r="P22" s="89" t="s">
        <v>202</v>
      </c>
      <c r="Q22" s="91" t="s">
        <v>269</v>
      </c>
      <c r="R22" s="91" t="s">
        <v>254</v>
      </c>
      <c r="S22" s="82">
        <v>4329</v>
      </c>
      <c r="T22" s="82">
        <v>22621231</v>
      </c>
      <c r="U22" s="81">
        <v>71</v>
      </c>
      <c r="V22" s="81">
        <v>0</v>
      </c>
      <c r="W22" s="82">
        <v>12901565</v>
      </c>
      <c r="X22" s="112">
        <v>66</v>
      </c>
      <c r="Y22" s="112" t="s">
        <v>417</v>
      </c>
      <c r="Z22" s="113">
        <v>16</v>
      </c>
      <c r="AA22" s="113">
        <v>12</v>
      </c>
      <c r="AB22" s="113">
        <v>4</v>
      </c>
      <c r="AC22" s="99">
        <v>2799.69</v>
      </c>
      <c r="AD22" s="99">
        <f t="shared" si="1"/>
        <v>905.75999999999976</v>
      </c>
      <c r="AE22" s="99">
        <v>3705.45</v>
      </c>
      <c r="AF22" s="98">
        <f>(Z22+AA22+AB22)*'Ставки аренды'!$B$3/X22</f>
        <v>339.39393939393938</v>
      </c>
      <c r="AG22" s="114">
        <v>0</v>
      </c>
      <c r="AH22" s="94">
        <v>0</v>
      </c>
      <c r="AI22" s="115">
        <f>39785847/79866389*AVERAGE(AJ19,AJ20)</f>
        <v>8168.5572468382761</v>
      </c>
      <c r="AJ22" s="117">
        <f>Цены!$C$8*'Курсы валют'!$B$2</f>
        <v>15795.238499999999</v>
      </c>
      <c r="AK22" s="94">
        <f>AJ22/Цены!$B$1</f>
        <v>207</v>
      </c>
      <c r="AL22" s="95">
        <f t="shared" si="5"/>
        <v>4044.8439393939393</v>
      </c>
      <c r="AM22" s="95">
        <f t="shared" si="6"/>
        <v>11750.394560606061</v>
      </c>
      <c r="AN22" s="94">
        <f t="shared" si="2"/>
        <v>12213.401186232215</v>
      </c>
      <c r="AO22" s="118">
        <f t="shared" si="3"/>
        <v>0.22676690280857645</v>
      </c>
      <c r="AP22" s="96">
        <f t="shared" si="7"/>
        <v>0.25607995342355477</v>
      </c>
      <c r="AQ22" s="96">
        <f t="shared" si="8"/>
        <v>0.23459284897787394</v>
      </c>
      <c r="AR22" s="96">
        <f t="shared" si="9"/>
        <v>0.91609220417913262</v>
      </c>
      <c r="AS22" s="122">
        <v>1</v>
      </c>
      <c r="AT22" s="121">
        <f t="shared" si="10"/>
        <v>4329</v>
      </c>
      <c r="AU22" s="83">
        <v>0.95</v>
      </c>
      <c r="AV22" s="119">
        <f t="shared" si="11"/>
        <v>0.19861576093123154</v>
      </c>
      <c r="AW22" s="120">
        <f t="shared" si="12"/>
        <v>0.28423109530089968</v>
      </c>
      <c r="AX22" s="120">
        <f t="shared" si="13"/>
        <v>0.26274399085521882</v>
      </c>
      <c r="AY22" s="120">
        <f t="shared" si="14"/>
        <v>0.92440269625343552</v>
      </c>
      <c r="AZ22" s="15">
        <f>MIN(IF($AU22=100%,1,1+VLOOKUP(($AJ22-$AI22-$AH22-$AG22-$AF22-$AE22*(1+AZ$3))/$AJ22,'Технический лист'!$A:$B,2,1)-VLOOKUP($AO22,'Технический лист'!$A:$B,2,1)),1+(1-$AU22))</f>
        <v>1.05</v>
      </c>
      <c r="BA22" s="15">
        <f>MIN(IF($AU22=100%,1,1+VLOOKUP(($AJ22-$AI22-$AH22-$AG22-$AF22-$AE22*(1+BA$3))/$AJ22,'Технический лист'!$A:$B,2,1)-VLOOKUP($AO22,'Технический лист'!$A:$B,2,1)),1+(1-$AU22))</f>
        <v>1.05</v>
      </c>
      <c r="BB22" s="15">
        <f>MIN(IF($AU22=100%,1,1+VLOOKUP(($AJ22-$AI22-$AH22-$AG22-$AF22-$AE22*(1+BB$3))/$AJ22,'Технический лист'!$A:$B,2,1)-VLOOKUP($AO22,'Технический лист'!$A:$B,2,1)),1+(1-$AU22))</f>
        <v>1.05</v>
      </c>
      <c r="BC22" s="15">
        <f>MIN(IF($AU22=100%,1,1+VLOOKUP(($AJ22-$AI22-$AH22-$AG22-$AF22-$AE22*(1+BC$3))/$AJ22,'Технический лист'!$A:$B,2,1)-VLOOKUP($AO22,'Технический лист'!$A:$B,2,1)),1+(1-$AU22))</f>
        <v>1.05</v>
      </c>
      <c r="BD22" s="15">
        <f>MIN(IF($AU22=100%,1,1+VLOOKUP(($AJ22-$AI22-$AH22-$AG22-$AF22-$AE22*(1+BD$3))/$AJ22,'Технический лист'!$A:$B,2,1)-VLOOKUP($AO22,'Технический лист'!$A:$B,2,1)),1+(1-$AU22))</f>
        <v>1.05</v>
      </c>
      <c r="BE22" s="15">
        <f>MIN(IF($AU22=100%,1,1+VLOOKUP(($AJ22-$AI22-$AH22-$AG22-$AF22-$AE22*(1+BE$3))/$AJ22,'Технический лист'!$A:$B,2,1)-VLOOKUP($AO22,'Технический лист'!$A:$B,2,1)),1+(1-$AU22))</f>
        <v>1.05</v>
      </c>
      <c r="BF22" s="15">
        <f>MIN(IF($AU22=100%,1,1+VLOOKUP(($AJ22-$AI22-$AH22-$AG22-$AF22-$AE22*(1+BF$3))/$AJ22,'Технический лист'!$A:$B,2,1)-VLOOKUP($AO22,'Технический лист'!$A:$B,2,1)),1+(1-$AU22))</f>
        <v>1.05</v>
      </c>
      <c r="BG22" s="15">
        <f>MIN(IF($AU22=100%,1,1+VLOOKUP(($AJ22-$AI22-$AH22-$AG22-$AF22-$AE22*(1+BG$3))/$AJ22,'Технический лист'!$A:$B,2,1)-VLOOKUP($AO22,'Технический лист'!$A:$B,2,1)),1+(1-$AU22))</f>
        <v>1.05</v>
      </c>
      <c r="BH22" s="15">
        <f>MIN(IF($AU22=100%,1,1+VLOOKUP(($AJ22-$AI22-$AH22-$AG22-$AF22-$AE22*(1+BH$3))/$AJ22,'Технический лист'!$A:$B,2,1)-VLOOKUP($AO22,'Технический лист'!$A:$B,2,1)),1+(1-$AU22))</f>
        <v>1.05</v>
      </c>
      <c r="BI22" s="15">
        <f>MIN(IF($AU22=100%,1,1+VLOOKUP(($AJ22-$AI22-$AH22-$AG22-$AF22-$AE22*(1+BI$3))/$AJ22,'Технический лист'!$A:$B,2,1)-VLOOKUP($AO22,'Технический лист'!$A:$B,2,1)),1+(1-$AU22))</f>
        <v>1.05</v>
      </c>
      <c r="BJ22" s="15">
        <f>MIN(IF($AU22=100%,1,1+VLOOKUP(($AJ22-$AI22-$AH22-$AG22-$AF22-$AE22*(1+BJ$3))/$AJ22,'Технический лист'!$A:$B,2,1)-VLOOKUP($AO22,'Технический лист'!$A:$B,2,1)),1+(1-$AU22))</f>
        <v>1.05</v>
      </c>
      <c r="BK22" s="15">
        <f>MIN(IF($AU22=100%,1,1+VLOOKUP(($AJ22-$AI22-$AH22-$AG22-$AF22-$AE22*(1+BK$3))/$AJ22,'Технический лист'!$A:$B,2,1)-VLOOKUP($AO22,'Технический лист'!$A:$B,2,1)),1+(1-$AU22))</f>
        <v>1.05</v>
      </c>
      <c r="BL22" s="15">
        <f>MIN(IF($AU22=100%,1,1+VLOOKUP(($AJ22-$AI22-$AH22-$AG22-$AF22-$AE22*(1+BL$3))/$AJ22,'Технический лист'!$A:$B,2,1)-VLOOKUP($AO22,'Технический лист'!$A:$B,2,1)),1+(1-$AU22))</f>
        <v>1.05</v>
      </c>
      <c r="BM22" s="15">
        <f>MIN(IF($AU22=100%,1,1+VLOOKUP(($AJ22-$AI22-$AH22-$AG22-$AF22-$AE22*(1+BM$3))/$AJ22,'Технический лист'!$A:$B,2,1)-VLOOKUP($AO22,'Технический лист'!$A:$B,2,1)),1+(1-$AU22))</f>
        <v>1.05</v>
      </c>
      <c r="BN22" s="15">
        <f>MIN(IF($AU22=100%,1,1+VLOOKUP(($AJ22-$AI22-$AH22-$AG22-$AF22-$AE22*(1+BN$3))/$AJ22,'Технический лист'!$A:$B,2,1)-VLOOKUP($AO22,'Технический лист'!$A:$B,2,1)),1+(1-$AU22))</f>
        <v>1.05</v>
      </c>
      <c r="BO22" s="15">
        <f>MIN(IF($AU22=100%,1,1+VLOOKUP(($AJ22-$AI22-$AH22-$AG22-$AF22-$AE22*(1+BO$3))/$AJ22,'Технический лист'!$A:$B,2,1)-VLOOKUP($AO22,'Технический лист'!$A:$B,2,1)),1+(1-$AU22))</f>
        <v>1.05</v>
      </c>
      <c r="BP22" s="15">
        <f>MIN(IF($AU22=100%,1,1+VLOOKUP(($AJ22-$AI22-$AH22-$AG22-$AF22-$AE22*(1+BP$3))/$AJ22,'Технический лист'!$A:$B,2,1)-VLOOKUP($AO22,'Технический лист'!$A:$B,2,1)),1+(1-$AU22))</f>
        <v>1.05</v>
      </c>
      <c r="BQ22" s="15">
        <f>MIN(IF($AU22=100%,1,1+VLOOKUP(($AJ22-$AI22-$AH22-$AG22-$AF22-$AE22*(1+BQ$3))/$AJ22,'Технический лист'!$A:$B,2,1)-VLOOKUP($AO22,'Технический лист'!$A:$B,2,1)),1+(1-$AU22))</f>
        <v>1.05</v>
      </c>
      <c r="BR22" s="15">
        <f>MIN(IF($AU22=100%,1,1+VLOOKUP(($AJ22-$AI22-$AH22-$AG22-$AF22-$AE22*(1+BR$3))/$AJ22,'Технический лист'!$A:$B,2,1)-VLOOKUP($AO22,'Технический лист'!$A:$B,2,1)),1+(1-$AU22))</f>
        <v>1.05</v>
      </c>
      <c r="BS22" s="15">
        <f>MIN(IF($AU22=100%,1,1+VLOOKUP(($AJ22-$AI22-$AH22-$AG22-$AF22-$AE22*(1+BS$3))/$AJ22,'Технический лист'!$A:$B,2,1)-VLOOKUP($AO22,'Технический лист'!$A:$B,2,1)),1+(1-$AU22))</f>
        <v>1.05</v>
      </c>
      <c r="BT22" s="15">
        <f>MIN(IF($AU22=100%,1,1+VLOOKUP(($AJ22-$AI22-$AH22-$AG22-$AF22-$AE22*(1+BT$3))/$AJ22,'Технический лист'!$A:$B,2,1)-VLOOKUP($AO22,'Технический лист'!$A:$B,2,1)),1+(1-$AU22))</f>
        <v>1.05</v>
      </c>
      <c r="BU22" s="15">
        <f>MIN(IF($AU22=100%,1,1+VLOOKUP(($AJ22-$AI22-$AH22-$AG22-$AF22-$AE22*(1+BU$3))/$AJ22,'Технический лист'!$A:$B,2,1)-VLOOKUP($AO22,'Технический лист'!$A:$B,2,1)),1+(1-$AU22))</f>
        <v>1.05</v>
      </c>
      <c r="BV22" s="15">
        <f>MIN(IF($AU22=100%,1,1+VLOOKUP(($AJ22-$AI22-$AH22-$AG22-$AF22-$AE22*(1+BV$3))/$AJ22,'Технический лист'!$A:$B,2,1)-VLOOKUP($AO22,'Технический лист'!$A:$B,2,1)),1+(1-$AU22))</f>
        <v>1.05</v>
      </c>
      <c r="BW22" s="15">
        <f>MIN(IF($AU22=100%,1,1+VLOOKUP(($AJ22-$AI22-$AH22-$AG22-$AF22-$AE22*(1+BW$3))/$AJ22,'Технический лист'!$A:$B,2,1)-VLOOKUP($AO22,'Технический лист'!$A:$B,2,1)),1+(1-$AU22))</f>
        <v>1.05</v>
      </c>
      <c r="BX22" s="15">
        <f>MIN(IF($AU22=100%,1,1+VLOOKUP(($AJ22-$AI22-$AH22-$AG22-$AF22-$AE22*(1+BX$3))/$AJ22,'Технический лист'!$A:$B,2,1)-VLOOKUP($AO22,'Технический лист'!$A:$B,2,1)),1+(1-$AU22))</f>
        <v>1.05</v>
      </c>
      <c r="BY22" s="15">
        <f>MIN(IF($AU22=100%,1,1+VLOOKUP(($AJ22-$AI22-$AH22-$AG22-$AF22-$AE22*(1+BY$3))/$AJ22,'Технический лист'!$A:$B,2,1)-VLOOKUP($AO22,'Технический лист'!$A:$B,2,1)),1+(1-$AU22))</f>
        <v>1.05</v>
      </c>
      <c r="BZ22" s="15">
        <f>MIN(IF($AU22=100%,1,1+VLOOKUP(($AJ22-$AI22-$AH22-$AG22-$AF22-$AE22*(1+BZ$3))/$AJ22,'Технический лист'!$A:$B,2,1)-VLOOKUP($AO22,'Технический лист'!$A:$B,2,1)),1+(1-$AU22))</f>
        <v>1.05</v>
      </c>
      <c r="CA22" s="15">
        <f>MIN(IF($AU22=100%,1,1+VLOOKUP(($AJ22-$AI22-$AH22-$AG22-$AF22-$AE22*(1+CA$3))/$AJ22,'Технический лист'!$A:$B,2,1)-VLOOKUP($AO22,'Технический лист'!$A:$B,2,1)),1+(1-$AU22))</f>
        <v>1.05</v>
      </c>
      <c r="CB22" s="15">
        <f>MIN(IF($AU22=100%,1,1+VLOOKUP(($AJ22-$AI22-$AH22-$AG22-$AF22-$AE22*(1+CB$3))/$AJ22,'Технический лист'!$A:$B,2,1)-VLOOKUP($AO22,'Технический лист'!$A:$B,2,1)),1+(1-$AU22))</f>
        <v>1.05</v>
      </c>
      <c r="CC22" s="15">
        <f>MIN(IF($AU22=100%,1,1+VLOOKUP(($AJ22-$AI22-$AH22-$AG22-$AF22-$AE22*(1+CC$3))/$AJ22,'Технический лист'!$A:$B,2,1)-VLOOKUP($AO22,'Технический лист'!$A:$B,2,1)),1+(1-$AU22))</f>
        <v>1.05</v>
      </c>
      <c r="CD22" s="15">
        <f>MIN(IF($AU22=100%,1,1+VLOOKUP(($AJ22-$AI22-$AH22-$AG22-$AF22-$AE22*(1+CD$3))/$AJ22,'Технический лист'!$A:$B,2,1)-VLOOKUP($AO22,'Технический лист'!$A:$B,2,1)),1+(1-$AU22))</f>
        <v>1.048</v>
      </c>
      <c r="CE22" s="15">
        <f>MIN(IF($AU22=100%,1,1+VLOOKUP(($AJ22-$AI22-$AH22-$AG22-$AF22-$AE22*(1+CE$3))/$AJ22,'Технический лист'!$A:$B,2,1)-VLOOKUP($AO22,'Технический лист'!$A:$B,2,1)),1+(1-$AU22))</f>
        <v>1.048</v>
      </c>
      <c r="CF22" s="15">
        <f>MIN(IF($AU22=100%,1,1+VLOOKUP(($AJ22-$AI22-$AH22-$AG22-$AF22-$AE22*(1+CF$3))/$AJ22,'Технический лист'!$A:$B,2,1)-VLOOKUP($AO22,'Технический лист'!$A:$B,2,1)),1+(1-$AU22))</f>
        <v>1.048</v>
      </c>
      <c r="CG22" s="15">
        <f>MIN(IF($AU22=100%,1,1+VLOOKUP(($AJ22-$AI22-$AH22-$AG22-$AF22-$AE22*(1+CG$3))/$AJ22,'Технический лист'!$A:$B,2,1)-VLOOKUP($AO22,'Технический лист'!$A:$B,2,1)),1+(1-$AU22))</f>
        <v>1.048</v>
      </c>
      <c r="CH22" s="15">
        <f>MIN(IF($AU22=100%,1,1+VLOOKUP(($AJ22-$AI22-$AH22-$AG22-$AF22-$AE22*(1+CH$3))/$AJ22,'Технический лист'!$A:$B,2,1)-VLOOKUP($AO22,'Технический лист'!$A:$B,2,1)),1+(1-$AU22))</f>
        <v>1.048</v>
      </c>
      <c r="CI22" s="15">
        <f>MIN(IF($AU22=100%,1,1+VLOOKUP(($AJ22-$AI22-$AH22-$AG22-$AF22-$AE22*(1+CI$3))/$AJ22,'Технический лист'!$A:$B,2,1)-VLOOKUP($AO22,'Технический лист'!$A:$B,2,1)),1+(1-$AU22))</f>
        <v>1.048</v>
      </c>
      <c r="CJ22" s="15">
        <f>MIN(IF($AU22=100%,1,1+VLOOKUP(($AJ22-$AI22-$AH22-$AG22-$AF22-$AE22*(1+CJ$3))/$AJ22,'Технический лист'!$A:$B,2,1)-VLOOKUP($AO22,'Технический лист'!$A:$B,2,1)),1+(1-$AU22))</f>
        <v>1.048</v>
      </c>
      <c r="CK22" s="15">
        <f>MIN(IF($AU22=100%,1,1+VLOOKUP(($AJ22-$AI22-$AH22-$AG22-$AF22-$AE22*(1+CK$3))/$AJ22,'Технический лист'!$A:$B,2,1)-VLOOKUP($AO22,'Технический лист'!$A:$B,2,1)),1+(1-$AU22))</f>
        <v>1.048</v>
      </c>
      <c r="CL22" s="15">
        <f>MIN(IF($AU22=100%,1,1+VLOOKUP(($AJ22-$AI22-$AH22-$AG22-$AF22-$AE22*(1+CL$3))/$AJ22,'Технический лист'!$A:$B,2,1)-VLOOKUP($AO22,'Технический лист'!$A:$B,2,1)),1+(1-$AU22))</f>
        <v>1.0419999999999998</v>
      </c>
      <c r="CM22" s="15">
        <f>MIN(IF($AU22=100%,1,1+VLOOKUP(($AJ22-$AI22-$AH22-$AG22-$AF22-$AE22*(1+CM$3))/$AJ22,'Технический лист'!$A:$B,2,1)-VLOOKUP($AO22,'Технический лист'!$A:$B,2,1)),1+(1-$AU22))</f>
        <v>1.0419999999999998</v>
      </c>
      <c r="CN22" s="15">
        <f>MIN(IF($AU22=100%,1,1+VLOOKUP(($AJ22-$AI22-$AH22-$AG22-$AF22-$AE22*(1+CN$3))/$AJ22,'Технический лист'!$A:$B,2,1)-VLOOKUP($AO22,'Технический лист'!$A:$B,2,1)),1+(1-$AU22))</f>
        <v>1.0419999999999998</v>
      </c>
      <c r="CO22" s="15">
        <f>MIN(IF($AU22=100%,1,1+VLOOKUP(($AJ22-$AI22-$AH22-$AG22-$AF22-$AE22*(1+CO$3))/$AJ22,'Технический лист'!$A:$B,2,1)-VLOOKUP($AO22,'Технический лист'!$A:$B,2,1)),1+(1-$AU22))</f>
        <v>1.0419999999999998</v>
      </c>
      <c r="CP22" s="15">
        <f>MIN(IF($AU22=100%,1,1+VLOOKUP(($AJ22-$AI22-$AH22-$AG22-$AF22-$AE22*(1+CP$3))/$AJ22,'Технический лист'!$A:$B,2,1)-VLOOKUP($AO22,'Технический лист'!$A:$B,2,1)),1+(1-$AU22))</f>
        <v>1.0419999999999998</v>
      </c>
      <c r="CQ22" s="15">
        <f>MIN(IF($AU22=100%,1,1+VLOOKUP(($AJ22-$AI22-$AH22-$AG22-$AF22-$AE22*(1+CQ$3))/$AJ22,'Технический лист'!$A:$B,2,1)-VLOOKUP($AO22,'Технический лист'!$A:$B,2,1)),1+(1-$AU22))</f>
        <v>1.0419999999999998</v>
      </c>
      <c r="CR22" s="15">
        <f>MIN(IF($AU22=100%,1,1+VLOOKUP(($AJ22-$AI22-$AH22-$AG22-$AF22-$AE22*(1+CR$3))/$AJ22,'Технический лист'!$A:$B,2,1)-VLOOKUP($AO22,'Технический лист'!$A:$B,2,1)),1+(1-$AU22))</f>
        <v>1.0419999999999998</v>
      </c>
      <c r="CS22" s="15">
        <f>MIN(IF($AU22=100%,1,1+VLOOKUP(($AJ22-$AI22-$AH22-$AG22-$AF22-$AE22*(1+CS$3))/$AJ22,'Технический лист'!$A:$B,2,1)-VLOOKUP($AO22,'Технический лист'!$A:$B,2,1)),1+(1-$AU22))</f>
        <v>1.0419999999999998</v>
      </c>
      <c r="CT22" s="15">
        <f>MIN(IF($AU22=100%,1,1+VLOOKUP(($AJ22-$AI22-$AH22-$AG22-$AF22-$AE22*(1+CT$3))/$AJ22,'Технический лист'!$A:$B,2,1)-VLOOKUP($AO22,'Технический лист'!$A:$B,2,1)),1+(1-$AU22))</f>
        <v>1.0419999999999998</v>
      </c>
      <c r="CU22" s="15">
        <f>MIN(IF($AU22=100%,1,1+VLOOKUP(($AJ22-$AI22-$AH22-$AG22-$AF22-$AE22*(1+CU$3))/$AJ22,'Технический лист'!$A:$B,2,1)-VLOOKUP($AO22,'Технический лист'!$A:$B,2,1)),1+(1-$AU22))</f>
        <v>1.0359999999999996</v>
      </c>
      <c r="CV22" s="15">
        <f>MIN(IF($AU22=100%,1,1+VLOOKUP(($AJ22-$AI22-$AH22-$AG22-$AF22-$AE22*(1+CV$3))/$AJ22,'Технический лист'!$A:$B,2,1)-VLOOKUP($AO22,'Технический лист'!$A:$B,2,1)),1+(1-$AU22))</f>
        <v>1.0359999999999996</v>
      </c>
      <c r="CW22" s="15">
        <f>MIN(IF($AU22=100%,1,1+VLOOKUP(($AJ22-$AI22-$AH22-$AG22-$AF22-$AE22*(1+CW$3))/$AJ22,'Технический лист'!$A:$B,2,1)-VLOOKUP($AO22,'Технический лист'!$A:$B,2,1)),1+(1-$AU22))</f>
        <v>1.0359999999999996</v>
      </c>
      <c r="CX22" s="15">
        <f>MIN(IF($AU22=100%,1,1+VLOOKUP(($AJ22-$AI22-$AH22-$AG22-$AF22-$AE22*(1+CX$3))/$AJ22,'Технический лист'!$A:$B,2,1)-VLOOKUP($AO22,'Технический лист'!$A:$B,2,1)),1+(1-$AU22))</f>
        <v>1.0359999999999996</v>
      </c>
      <c r="CY22" s="15">
        <f>MIN(IF($AU22=100%,1,1+VLOOKUP(($AJ22-$AI22-$AH22-$AG22-$AF22-$AE22*(1+CY$3))/$AJ22,'Технический лист'!$A:$B,2,1)-VLOOKUP($AO22,'Технический лист'!$A:$B,2,1)),1+(1-$AU22))</f>
        <v>1.0359999999999996</v>
      </c>
      <c r="CZ22" s="15">
        <f>MIN(IF($AU22=100%,1,1+VLOOKUP(($AJ22-$AI22-$AH22-$AG22-$AF22-$AE22*(1+CZ$3))/$AJ22,'Технический лист'!$A:$B,2,1)-VLOOKUP($AO22,'Технический лист'!$A:$B,2,1)),1+(1-$AU22))</f>
        <v>1.0359999999999996</v>
      </c>
      <c r="DA22" s="15">
        <f>MIN(IF($AU22=100%,1,1+VLOOKUP(($AJ22-$AI22-$AH22-$AG22-$AF22-$AE22*(1+DA$3))/$AJ22,'Технический лист'!$A:$B,2,1)-VLOOKUP($AO22,'Технический лист'!$A:$B,2,1)),1+(1-$AU22))</f>
        <v>1.0359999999999996</v>
      </c>
      <c r="DB22" s="15">
        <f>MIN(IF($AU22=100%,1,1+VLOOKUP(($AJ22-$AI22-$AH22-$AG22-$AF22-$AE22*(1+DB$3))/$AJ22,'Технический лист'!$A:$B,2,1)-VLOOKUP($AO22,'Технический лист'!$A:$B,2,1)),1+(1-$AU22))</f>
        <v>1.0359999999999996</v>
      </c>
      <c r="DC22" s="15">
        <f>MIN(IF($AU22=100%,1,1+VLOOKUP(($AJ22-$AI22-$AH22-$AG22-$AF22-$AE22*(1+DC$3))/$AJ22,'Технический лист'!$A:$B,2,1)-VLOOKUP($AO22,'Технический лист'!$A:$B,2,1)),1+(1-$AU22))</f>
        <v>1.0299999999999998</v>
      </c>
      <c r="DD22" s="15">
        <f>MIN(IF($AU22=100%,1,1+VLOOKUP(($AJ22-$AI22-$AH22-$AG22-$AF22-$AE22*(1+DD$3))/$AJ22,'Технический лист'!$A:$B,2,1)-VLOOKUP($AO22,'Технический лист'!$A:$B,2,1)),1+(1-$AU22))</f>
        <v>1.0299999999999998</v>
      </c>
      <c r="DE22" s="15">
        <f>MIN(IF($AU22=100%,1,1+VLOOKUP(($AJ22-$AI22-$AH22-$AG22-$AF22-$AE22*(1+DE$3))/$AJ22,'Технический лист'!$A:$B,2,1)-VLOOKUP($AO22,'Технический лист'!$A:$B,2,1)),1+(1-$AU22))</f>
        <v>1.0299999999999998</v>
      </c>
      <c r="DF22" s="15">
        <f>MIN(IF($AU22=100%,1,1+VLOOKUP(($AJ22-$AI22-$AH22-$AG22-$AF22-$AE22*(1+DF$3))/$AJ22,'Технический лист'!$A:$B,2,1)-VLOOKUP($AO22,'Технический лист'!$A:$B,2,1)),1+(1-$AU22))</f>
        <v>1.0299999999999998</v>
      </c>
      <c r="DG22" s="15">
        <f>MIN(IF($AU22=100%,1,1+VLOOKUP(($AJ22-$AI22-$AH22-$AG22-$AF22-$AE22*(1+DG$3))/$AJ22,'Технический лист'!$A:$B,2,1)-VLOOKUP($AO22,'Технический лист'!$A:$B,2,1)),1+(1-$AU22))</f>
        <v>1.0299999999999998</v>
      </c>
      <c r="DH22" s="15">
        <f>MIN(IF($AU22=100%,1,1+VLOOKUP(($AJ22-$AI22-$AH22-$AG22-$AF22-$AE22*(1+DH$3))/$AJ22,'Технический лист'!$A:$B,2,1)-VLOOKUP($AO22,'Технический лист'!$A:$B,2,1)),1+(1-$AU22))</f>
        <v>1.0299999999999998</v>
      </c>
      <c r="DI22" s="15">
        <f>MIN(IF($AU22=100%,1,1+VLOOKUP(($AJ22-$AI22-$AH22-$AG22-$AF22-$AE22*(1+DI$3))/$AJ22,'Технический лист'!$A:$B,2,1)-VLOOKUP($AO22,'Технический лист'!$A:$B,2,1)),1+(1-$AU22))</f>
        <v>1.0299999999999998</v>
      </c>
      <c r="DJ22" s="15">
        <f>MIN(IF($AU22=100%,1,1+VLOOKUP(($AJ22-$AI22-$AH22-$AG22-$AF22-$AE22*(1+DJ$3))/$AJ22,'Технический лист'!$A:$B,2,1)-VLOOKUP($AO22,'Технический лист'!$A:$B,2,1)),1+(1-$AU22))</f>
        <v>1.0299999999999998</v>
      </c>
      <c r="DK22" s="15">
        <f>MIN(IF($AU22=100%,1,1+VLOOKUP(($AJ22-$AI22-$AH22-$AG22-$AF22-$AE22*(1+DK$3))/$AJ22,'Технический лист'!$A:$B,2,1)-VLOOKUP($AO22,'Технический лист'!$A:$B,2,1)),1+(1-$AU22))</f>
        <v>1.0299999999999998</v>
      </c>
      <c r="DL22" s="15">
        <f>MIN(IF($AU22=100%,1,1+VLOOKUP(($AJ22-$AI22-$AH22-$AG22-$AF22-$AE22*(1+DL$3))/$AJ22,'Технический лист'!$A:$B,2,1)-VLOOKUP($AO22,'Технический лист'!$A:$B,2,1)),1+(1-$AU22))</f>
        <v>1.024</v>
      </c>
      <c r="DM22" s="15">
        <f>MIN(IF($AU22=100%,1,1+VLOOKUP(($AJ22-$AI22-$AH22-$AG22-$AF22-$AE22*(1+DM$3))/$AJ22,'Технический лист'!$A:$B,2,1)-VLOOKUP($AO22,'Технический лист'!$A:$B,2,1)),1+(1-$AU22))</f>
        <v>1.024</v>
      </c>
      <c r="DN22" s="15">
        <f>MIN(IF($AU22=100%,1,1+VLOOKUP(($AJ22-$AI22-$AH22-$AG22-$AF22-$AE22*(1+DN$3))/$AJ22,'Технический лист'!$A:$B,2,1)-VLOOKUP($AO22,'Технический лист'!$A:$B,2,1)),1+(1-$AU22))</f>
        <v>1.024</v>
      </c>
      <c r="DO22" s="15">
        <f>MIN(IF($AU22=100%,1,1+VLOOKUP(($AJ22-$AI22-$AH22-$AG22-$AF22-$AE22*(1+DO$3))/$AJ22,'Технический лист'!$A:$B,2,1)-VLOOKUP($AO22,'Технический лист'!$A:$B,2,1)),1+(1-$AU22))</f>
        <v>1.024</v>
      </c>
      <c r="DP22" s="15">
        <f>MIN(IF($AU22=100%,1,1+VLOOKUP(($AJ22-$AI22-$AH22-$AG22-$AF22-$AE22*(1+DP$3))/$AJ22,'Технический лист'!$A:$B,2,1)-VLOOKUP($AO22,'Технический лист'!$A:$B,2,1)),1+(1-$AU22))</f>
        <v>1.024</v>
      </c>
      <c r="DQ22" s="15">
        <f>MIN(IF($AU22=100%,1,1+VLOOKUP(($AJ22-$AI22-$AH22-$AG22-$AF22-$AE22*(1+DQ$3))/$AJ22,'Технический лист'!$A:$B,2,1)-VLOOKUP($AO22,'Технический лист'!$A:$B,2,1)),1+(1-$AU22))</f>
        <v>1.024</v>
      </c>
      <c r="DR22" s="15">
        <f>MIN(IF($AU22=100%,1,1+VLOOKUP(($AJ22-$AI22-$AH22-$AG22-$AF22-$AE22*(1+DR$3))/$AJ22,'Технический лист'!$A:$B,2,1)-VLOOKUP($AO22,'Технический лист'!$A:$B,2,1)),1+(1-$AU22))</f>
        <v>1.024</v>
      </c>
      <c r="DS22" s="15">
        <f>MIN(IF($AU22=100%,1,1+VLOOKUP(($AJ22-$AI22-$AH22-$AG22-$AF22-$AE22*(1+DS$3))/$AJ22,'Технический лист'!$A:$B,2,1)-VLOOKUP($AO22,'Технический лист'!$A:$B,2,1)),1+(1-$AU22))</f>
        <v>1.024</v>
      </c>
      <c r="DT22" s="15">
        <f>MIN(IF($AU22=100%,1,1+VLOOKUP(($AJ22-$AI22-$AH22-$AG22-$AF22-$AE22*(1+DT$3))/$AJ22,'Технический лист'!$A:$B,2,1)-VLOOKUP($AO22,'Технический лист'!$A:$B,2,1)),1+(1-$AU22))</f>
        <v>1.0179999999999998</v>
      </c>
      <c r="DU22" s="15">
        <f>MIN(IF($AU22=100%,1,1+VLOOKUP(($AJ22-$AI22-$AH22-$AG22-$AF22-$AE22*(1+DU$3))/$AJ22,'Технический лист'!$A:$B,2,1)-VLOOKUP($AO22,'Технический лист'!$A:$B,2,1)),1+(1-$AU22))</f>
        <v>1.0179999999999998</v>
      </c>
      <c r="DV22" s="15">
        <f>MIN(IF($AU22=100%,1,1+VLOOKUP(($AJ22-$AI22-$AH22-$AG22-$AF22-$AE22*(1+DV$3))/$AJ22,'Технический лист'!$A:$B,2,1)-VLOOKUP($AO22,'Технический лист'!$A:$B,2,1)),1+(1-$AU22))</f>
        <v>1.0179999999999998</v>
      </c>
      <c r="DW22" s="15">
        <f>MIN(IF($AU22=100%,1,1+VLOOKUP(($AJ22-$AI22-$AH22-$AG22-$AF22-$AE22*(1+DW$3))/$AJ22,'Технический лист'!$A:$B,2,1)-VLOOKUP($AO22,'Технический лист'!$A:$B,2,1)),1+(1-$AU22))</f>
        <v>1.0179999999999998</v>
      </c>
      <c r="DX22" s="15">
        <f>MIN(IF($AU22=100%,1,1+VLOOKUP(($AJ22-$AI22-$AH22-$AG22-$AF22-$AE22*(1+DX$3))/$AJ22,'Технический лист'!$A:$B,2,1)-VLOOKUP($AO22,'Технический лист'!$A:$B,2,1)),1+(1-$AU22))</f>
        <v>1.0179999999999998</v>
      </c>
      <c r="DY22" s="15">
        <f>MIN(IF($AU22=100%,1,1+VLOOKUP(($AJ22-$AI22-$AH22-$AG22-$AF22-$AE22*(1+DY$3))/$AJ22,'Технический лист'!$A:$B,2,1)-VLOOKUP($AO22,'Технический лист'!$A:$B,2,1)),1+(1-$AU22))</f>
        <v>1.0179999999999998</v>
      </c>
      <c r="DZ22" s="15">
        <f>MIN(IF($AU22=100%,1,1+VLOOKUP(($AJ22-$AI22-$AH22-$AG22-$AF22-$AE22*(1+DZ$3))/$AJ22,'Технический лист'!$A:$B,2,1)-VLOOKUP($AO22,'Технический лист'!$A:$B,2,1)),1+(1-$AU22))</f>
        <v>1.0179999999999998</v>
      </c>
      <c r="EA22" s="15">
        <f>MIN(IF($AU22=100%,1,1+VLOOKUP(($AJ22-$AI22-$AH22-$AG22-$AF22-$AE22*(1+EA$3))/$AJ22,'Технический лист'!$A:$B,2,1)-VLOOKUP($AO22,'Технический лист'!$A:$B,2,1)),1+(1-$AU22))</f>
        <v>1.0179999999999998</v>
      </c>
      <c r="EB22" s="15">
        <f>MIN(IF($AU22=100%,1,1+VLOOKUP(($AJ22-$AI22-$AH22-$AG22-$AF22-$AE22*(1+EB$3))/$AJ22,'Технический лист'!$A:$B,2,1)-VLOOKUP($AO22,'Технический лист'!$A:$B,2,1)),1+(1-$AU22))</f>
        <v>1.0179999999999998</v>
      </c>
      <c r="EC22" s="15">
        <f>MIN(IF($AU22=100%,1,1+VLOOKUP(($AJ22-$AI22-$AH22-$AG22-$AF22-$AE22*(1+EC$3))/$AJ22,'Технический лист'!$A:$B,2,1)-VLOOKUP($AO22,'Технический лист'!$A:$B,2,1)),1+(1-$AU22))</f>
        <v>1.012</v>
      </c>
      <c r="ED22" s="15">
        <f>MIN(IF($AU22=100%,1,1+VLOOKUP(($AJ22-$AI22-$AH22-$AG22-$AF22-$AE22*(1+ED$3))/$AJ22,'Технический лист'!$A:$B,2,1)-VLOOKUP($AO22,'Технический лист'!$A:$B,2,1)),1+(1-$AU22))</f>
        <v>1.012</v>
      </c>
      <c r="EE22" s="15">
        <f>MIN(IF($AU22=100%,1,1+VLOOKUP(($AJ22-$AI22-$AH22-$AG22-$AF22-$AE22*(1+EE$3))/$AJ22,'Технический лист'!$A:$B,2,1)-VLOOKUP($AO22,'Технический лист'!$A:$B,2,1)),1+(1-$AU22))</f>
        <v>1.012</v>
      </c>
      <c r="EF22" s="15">
        <f>MIN(IF($AU22=100%,1,1+VLOOKUP(($AJ22-$AI22-$AH22-$AG22-$AF22-$AE22*(1+EF$3))/$AJ22,'Технический лист'!$A:$B,2,1)-VLOOKUP($AO22,'Технический лист'!$A:$B,2,1)),1+(1-$AU22))</f>
        <v>1.012</v>
      </c>
      <c r="EG22" s="15">
        <f>MIN(IF($AU22=100%,1,1+VLOOKUP(($AJ22-$AI22-$AH22-$AG22-$AF22-$AE22*(1+EG$3))/$AJ22,'Технический лист'!$A:$B,2,1)-VLOOKUP($AO22,'Технический лист'!$A:$B,2,1)),1+(1-$AU22))</f>
        <v>1.012</v>
      </c>
      <c r="EH22" s="15">
        <f>MIN(IF($AU22=100%,1,1+VLOOKUP(($AJ22-$AI22-$AH22-$AG22-$AF22-$AE22*(1+EH$3))/$AJ22,'Технический лист'!$A:$B,2,1)-VLOOKUP($AO22,'Технический лист'!$A:$B,2,1)),1+(1-$AU22))</f>
        <v>1.012</v>
      </c>
      <c r="EI22" s="15">
        <f>MIN(IF($AU22=100%,1,1+VLOOKUP(($AJ22-$AI22-$AH22-$AG22-$AF22-$AE22*(1+EI$3))/$AJ22,'Технический лист'!$A:$B,2,1)-VLOOKUP($AO22,'Технический лист'!$A:$B,2,1)),1+(1-$AU22))</f>
        <v>1.012</v>
      </c>
      <c r="EJ22" s="15">
        <f>MIN(IF($AU22=100%,1,1+VLOOKUP(($AJ22-$AI22-$AH22-$AG22-$AF22-$AE22*(1+EJ$3))/$AJ22,'Технический лист'!$A:$B,2,1)-VLOOKUP($AO22,'Технический лист'!$A:$B,2,1)),1+(1-$AU22))</f>
        <v>1.012</v>
      </c>
      <c r="EK22" s="15">
        <f>MIN(IF($AU22=100%,1,1+VLOOKUP(($AJ22-$AI22-$AH22-$AG22-$AF22-$AE22*(1+EK$3))/$AJ22,'Технический лист'!$A:$B,2,1)-VLOOKUP($AO22,'Технический лист'!$A:$B,2,1)),1+(1-$AU22))</f>
        <v>1.0060000000000002</v>
      </c>
      <c r="EL22" s="15">
        <f>MIN(IF($AU22=100%,1,1+VLOOKUP(($AJ22-$AI22-$AH22-$AG22-$AF22-$AE22*(1+EL$3))/$AJ22,'Технический лист'!$A:$B,2,1)-VLOOKUP($AO22,'Технический лист'!$A:$B,2,1)),1+(1-$AU22))</f>
        <v>1.0060000000000002</v>
      </c>
      <c r="EM22" s="15">
        <f>MIN(IF($AU22=100%,1,1+VLOOKUP(($AJ22-$AI22-$AH22-$AG22-$AF22-$AE22*(1+EM$3))/$AJ22,'Технический лист'!$A:$B,2,1)-VLOOKUP($AO22,'Технический лист'!$A:$B,2,1)),1+(1-$AU22))</f>
        <v>1.0060000000000002</v>
      </c>
      <c r="EN22" s="15">
        <f>MIN(IF($AU22=100%,1,1+VLOOKUP(($AJ22-$AI22-$AH22-$AG22-$AF22-$AE22*(1+EN$3))/$AJ22,'Технический лист'!$A:$B,2,1)-VLOOKUP($AO22,'Технический лист'!$A:$B,2,1)),1+(1-$AU22))</f>
        <v>1.0060000000000002</v>
      </c>
      <c r="EO22" s="15">
        <f>MIN(IF($AU22=100%,1,1+VLOOKUP(($AJ22-$AI22-$AH22-$AG22-$AF22-$AE22*(1+EO$3))/$AJ22,'Технический лист'!$A:$B,2,1)-VLOOKUP($AO22,'Технический лист'!$A:$B,2,1)),1+(1-$AU22))</f>
        <v>1.0060000000000002</v>
      </c>
      <c r="EP22" s="15">
        <f>MIN(IF($AU22=100%,1,1+VLOOKUP(($AJ22-$AI22-$AH22-$AG22-$AF22-$AE22*(1+EP$3))/$AJ22,'Технический лист'!$A:$B,2,1)-VLOOKUP($AO22,'Технический лист'!$A:$B,2,1)),1+(1-$AU22))</f>
        <v>1.0060000000000002</v>
      </c>
      <c r="EQ22" s="15">
        <f>MIN(IF($AU22=100%,1,1+VLOOKUP(($AJ22-$AI22-$AH22-$AG22-$AF22-$AE22*(1+EQ$3))/$AJ22,'Технический лист'!$A:$B,2,1)-VLOOKUP($AO22,'Технический лист'!$A:$B,2,1)),1+(1-$AU22))</f>
        <v>1.0060000000000002</v>
      </c>
      <c r="ER22" s="15">
        <f>MIN(IF($AU22=100%,1,1+VLOOKUP(($AJ22-$AI22-$AH22-$AG22-$AF22-$AE22*(1+ER$3))/$AJ22,'Технический лист'!$A:$B,2,1)-VLOOKUP($AO22,'Технический лист'!$A:$B,2,1)),1+(1-$AU22))</f>
        <v>1.0060000000000002</v>
      </c>
      <c r="ES22" s="15">
        <f>MIN(IF($AU22=100%,1,1+VLOOKUP(($AJ22-$AI22-$AH22-$AG22-$AF22-$AE22*(1+ES$3))/$AJ22,'Технический лист'!$A:$B,2,1)-VLOOKUP($AO22,'Технический лист'!$A:$B,2,1)),1+(1-$AU22))</f>
        <v>1.0060000000000002</v>
      </c>
      <c r="ET22" s="15">
        <f>MIN(IF($AU22=100%,1,1+VLOOKUP(($AJ22-$AI22-$AH22-$AG22-$AF22-$AE22*(1+ET$3))/$AJ22,'Технический лист'!$A:$B,2,1)-VLOOKUP($AO22,'Технический лист'!$A:$B,2,1)),1+(1-$AU22))</f>
        <v>1</v>
      </c>
      <c r="EU22" s="15">
        <f>MIN(IF($AU22=100%,1,1+VLOOKUP(($AJ22-$AI22-$AH22-$AG22-$AF22-$AE22*(1+EU$3))/$AJ22,'Технический лист'!$A:$B,2,1)-VLOOKUP($AO22,'Технический лист'!$A:$B,2,1)),1+(1-$AU22))</f>
        <v>1</v>
      </c>
      <c r="EV22" s="111">
        <v>1</v>
      </c>
      <c r="EW22" s="15">
        <f>MIN(1,MAX(VLOOKUP(($AJ22-$AI22-$AH22-$AG22-$AF22-$AE22*(1+EW$3))/$AJ22,'Технический лист'!$A:$B,2,1),(EV22-0.05)))</f>
        <v>1</v>
      </c>
      <c r="EX22" s="15">
        <f>MIN(1,MAX(VLOOKUP(($AJ22-$AI22-$AH22-$AG22-$AF22-$AE22*(1+EX$3))/$AJ22,'Технический лист'!$A:$B,2,1),(EW22-0.05)))</f>
        <v>1</v>
      </c>
      <c r="EY22" s="15">
        <f>MIN(1,MAX(VLOOKUP(($AJ22-$AI22-$AH22-$AG22-$AF22-$AE22*(1+EY$3))/$AJ22,'Технический лист'!$A:$B,2,1),(EX22-0.05)))</f>
        <v>1</v>
      </c>
      <c r="EZ22" s="15">
        <f>MIN(1,MAX(VLOOKUP(($AJ22-$AI22-$AH22-$AG22-$AF22-$AE22*(1+EZ$3))/$AJ22,'Технический лист'!$A:$B,2,1),(EY22-0.05)))</f>
        <v>1</v>
      </c>
      <c r="FA22" s="15">
        <f>MIN(1,MAX(VLOOKUP(($AJ22-$AI22-$AH22-$AG22-$AF22-$AE22*(1+FA$3))/$AJ22,'Технический лист'!$A:$B,2,1),(EZ22-0.05)))</f>
        <v>1</v>
      </c>
      <c r="FB22" s="15">
        <f>MIN(1,MAX(VLOOKUP(($AJ22-$AI22-$AH22-$AG22-$AF22-$AE22*(1+FB$3))/$AJ22,'Технический лист'!$A:$B,2,1),(FA22-0.05)))</f>
        <v>1</v>
      </c>
      <c r="FC22" s="15">
        <f>MIN(1,MAX(VLOOKUP(($AJ22-$AI22-$AH22-$AG22-$AF22-$AE22*(1+FC$3))/$AJ22,'Технический лист'!$A:$B,2,1),(FB22-0.05)))</f>
        <v>1</v>
      </c>
      <c r="FD22" s="15">
        <f>MIN(1,MAX(VLOOKUP(($AJ22-$AI22-$AH22-$AG22-$AF22-$AE22*(1+FD$3))/$AJ22,'Технический лист'!$A:$B,2,1),(FC22-0.05)))</f>
        <v>1</v>
      </c>
      <c r="FE22" s="15">
        <f>MIN(1,MAX(VLOOKUP(($AJ22-$AI22-$AH22-$AG22-$AF22-$AE22*(1+FE$3))/$AJ22,'Технический лист'!$A:$B,2,1),(FD22-0.05)))</f>
        <v>1</v>
      </c>
      <c r="FF22" s="15">
        <f>MIN(1,MAX(VLOOKUP(($AJ22-$AI22-$AH22-$AG22-$AF22-$AE22*(1+FF$3))/$AJ22,'Технический лист'!$A:$B,2,1),(FE22-0.05)))</f>
        <v>1</v>
      </c>
      <c r="FG22" s="15">
        <f>MIN(1,MAX(VLOOKUP(($AJ22-$AI22-$AH22-$AG22-$AF22-$AE22*(1+FG$3))/$AJ22,'Технический лист'!$A:$B,2,1),(FF22-0.05)))</f>
        <v>1</v>
      </c>
      <c r="FH22" s="15">
        <f>MIN(1,MAX(VLOOKUP(($AJ22-$AI22-$AH22-$AG22-$AF22-$AE22*(1+FH$3))/$AJ22,'Технический лист'!$A:$B,2,1),(FG22-0.05)))</f>
        <v>1</v>
      </c>
      <c r="FI22" s="15">
        <f>MIN(1,MAX(VLOOKUP(($AJ22-$AI22-$AH22-$AG22-$AF22-$AE22*(1+FI$3))/$AJ22,'Технический лист'!$A:$B,2,1),(FH22-0.05)))</f>
        <v>1</v>
      </c>
      <c r="FJ22" s="15">
        <f>MIN(1,MAX(VLOOKUP(($AJ22-$AI22-$AH22-$AG22-$AF22-$AE22*(1+FJ$3))/$AJ22,'Технический лист'!$A:$B,2,1),(FI22-0.05)))</f>
        <v>1</v>
      </c>
      <c r="FK22" s="15">
        <f>MIN(1,MAX(VLOOKUP(($AJ22-$AI22-$AH22-$AG22-$AF22-$AE22*(1+FK$3))/$AJ22,'Технический лист'!$A:$B,2,1),(FJ22-0.05)))</f>
        <v>1</v>
      </c>
      <c r="FL22" s="15">
        <f>MIN(1,MAX(VLOOKUP(($AJ22-$AI22-$AH22-$AG22-$AF22-$AE22*(1+FL$3))/$AJ22,'Технический лист'!$A:$B,2,1),(FK22-0.05)))</f>
        <v>1</v>
      </c>
      <c r="FM22" s="15">
        <f>MIN(1,MAX(VLOOKUP(($AJ22-$AI22-$AH22-$AG22-$AF22-$AE22*(1+FM$3))/$AJ22,'Технический лист'!$A:$B,2,1),(FL22-0.05)))</f>
        <v>1</v>
      </c>
      <c r="FN22" s="15">
        <f>MIN(1,MAX(VLOOKUP(($AJ22-$AI22-$AH22-$AG22-$AF22-$AE22*(1+FN$3))/$AJ22,'Технический лист'!$A:$B,2,1),(FM22-0.05)))</f>
        <v>1</v>
      </c>
      <c r="FO22" s="15">
        <f>MIN(1,MAX(VLOOKUP(($AJ22-$AI22-$AH22-$AG22-$AF22-$AE22*(1+FO$3))/$AJ22,'Технический лист'!$A:$B,2,1),(FN22-0.05)))</f>
        <v>1</v>
      </c>
      <c r="FP22" s="15">
        <f>MIN(1,MAX(VLOOKUP(($AJ22-$AI22-$AH22-$AG22-$AF22-$AE22*(1+FP$3))/$AJ22,'Технический лист'!$A:$B,2,1),(FO22-0.05)))</f>
        <v>1</v>
      </c>
      <c r="FQ22" s="15">
        <f>MIN(1,MAX(VLOOKUP(($AJ22-$AI22-$AH22-$AG22-$AF22-$AE22*(1+FQ$3))/$AJ22,'Технический лист'!$A:$B,2,1),(FP22-0.05)))</f>
        <v>1</v>
      </c>
      <c r="FR22" s="15">
        <f>MIN(1,MAX(VLOOKUP(($AJ22-$AI22-$AH22-$AG22-$AF22-$AE22*(1+FR$3))/$AJ22,'Технический лист'!$A:$B,2,1),(FQ22-0.05)))</f>
        <v>1</v>
      </c>
      <c r="FS22" s="15">
        <f>MIN(1,MAX(VLOOKUP(($AJ22-$AI22-$AH22-$AG22-$AF22-$AE22*(1+FS$3))/$AJ22,'Технический лист'!$A:$B,2,1),(FR22-0.05)))</f>
        <v>1</v>
      </c>
      <c r="FT22" s="15">
        <f>MIN(1,MAX(VLOOKUP(($AJ22-$AI22-$AH22-$AG22-$AF22-$AE22*(1+FT$3))/$AJ22,'Технический лист'!$A:$B,2,1),(FS22-0.05)))</f>
        <v>1</v>
      </c>
      <c r="FU22" s="15">
        <f>MIN(1,MAX(VLOOKUP(($AJ22-$AI22-$AH22-$AG22-$AF22-$AE22*(1+FU$3))/$AJ22,'Технический лист'!$A:$B,2,1),(FT22-0.05)))</f>
        <v>1</v>
      </c>
      <c r="FV22" s="15">
        <f>MIN(1,MAX(VLOOKUP(($AJ22-$AI22-$AH22-$AG22-$AF22-$AE22*(1+FV$3))/$AJ22,'Технический лист'!$A:$B,2,1),(FU22-0.05)))</f>
        <v>1</v>
      </c>
      <c r="FW22" s="15">
        <f>MIN(1,MAX(VLOOKUP(($AJ22-$AI22-$AH22-$AG22-$AF22-$AE22*(1+FW$3))/$AJ22,'Технический лист'!$A:$B,2,1),(FV22-0.05)))</f>
        <v>1</v>
      </c>
      <c r="FX22" s="15">
        <f>MIN(1,MAX(VLOOKUP(($AJ22-$AI22-$AH22-$AG22-$AF22-$AE22*(1+FX$3))/$AJ22,'Технический лист'!$A:$B,2,1),(FW22-0.05)))</f>
        <v>1</v>
      </c>
      <c r="FY22" s="15">
        <f>MIN(1,MAX(VLOOKUP(($AJ22-$AI22-$AH22-$AG22-$AF22-$AE22*(1+FY$3))/$AJ22,'Технический лист'!$A:$B,2,1),(FX22-0.05)))</f>
        <v>1</v>
      </c>
      <c r="FZ22" s="15">
        <f>MIN(1,MAX(VLOOKUP(($AJ22-$AI22-$AH22-$AG22-$AF22-$AE22*(1+FZ$3))/$AJ22,'Технический лист'!$A:$B,2,1),(FY22-0.05)))</f>
        <v>1</v>
      </c>
      <c r="GA22" s="15">
        <f>MIN(1,MAX(VLOOKUP(($AJ22-$AI22-$AH22-$AG22-$AF22-$AE22*(1+GA$3))/$AJ22,'Технический лист'!$A:$B,2,1),(FZ22-0.05)))</f>
        <v>1</v>
      </c>
      <c r="GB22" s="15">
        <f>MIN(1,MAX(VLOOKUP(($AJ22-$AI22-$AH22-$AG22-$AF22-$AE22*(1+GB$3))/$AJ22,'Технический лист'!$A:$B,2,1),(GA22-0.05)))</f>
        <v>1</v>
      </c>
      <c r="GC22" s="15">
        <f>MIN(1,MAX(VLOOKUP(($AJ22-$AI22-$AH22-$AG22-$AF22-$AE22*(1+GC$3))/$AJ22,'Технический лист'!$A:$B,2,1),(GB22-0.05)))</f>
        <v>1</v>
      </c>
      <c r="GD22" s="15">
        <f>MIN(1,MAX(VLOOKUP(($AJ22-$AI22-$AH22-$AG22-$AF22-$AE22*(1+GD$3))/$AJ22,'Технический лист'!$A:$B,2,1),(GC22-0.05)))</f>
        <v>1</v>
      </c>
      <c r="GE22" s="15">
        <f>MIN(1,MAX(VLOOKUP(($AJ22-$AI22-$AH22-$AG22-$AF22-$AE22*(1+GE$3))/$AJ22,'Технический лист'!$A:$B,2,1),(GD22-0.05)))</f>
        <v>1</v>
      </c>
      <c r="GF22" s="15">
        <f>MIN(1,MAX(VLOOKUP(($AJ22-$AI22-$AH22-$AG22-$AF22-$AE22*(1+GF$3))/$AJ22,'Технический лист'!$A:$B,2,1),(GE22-0.05)))</f>
        <v>1</v>
      </c>
      <c r="GG22" s="15">
        <f>MIN(1,MAX(VLOOKUP(($AJ22-$AI22-$AH22-$AG22-$AF22-$AE22*(1+GG$3))/$AJ22,'Технический лист'!$A:$B,2,1),(GF22-0.05)))</f>
        <v>1</v>
      </c>
      <c r="GH22" s="15">
        <f>MIN(1,MAX(VLOOKUP(($AJ22-$AI22-$AH22-$AG22-$AF22-$AE22*(1+GH$3))/$AJ22,'Технический лист'!$A:$B,2,1),(GG22-0.05)))</f>
        <v>1</v>
      </c>
      <c r="GI22" s="15">
        <f>MIN(1,MAX(VLOOKUP(($AJ22-$AI22-$AH22-$AG22-$AF22-$AE22*(1+GI$3))/$AJ22,'Технический лист'!$A:$B,2,1),(GH22-0.05)))</f>
        <v>1</v>
      </c>
      <c r="GJ22" s="15">
        <f>MIN(1,MAX(VLOOKUP(($AJ22-$AI22-$AH22-$AG22-$AF22-$AE22*(1+GJ$3))/$AJ22,'Технический лист'!$A:$B,2,1),(GI22-0.05)))</f>
        <v>1</v>
      </c>
      <c r="GK22" s="15">
        <f>MIN(1,MAX(VLOOKUP(($AJ22-$AI22-$AH22-$AG22-$AF22-$AE22*(1+GK$3))/$AJ22,'Технический лист'!$A:$B,2,1),(GJ22-0.05)))</f>
        <v>1</v>
      </c>
      <c r="GL22" s="15">
        <f>MIN(1,MAX(VLOOKUP(($AJ22-$AI22-$AH22-$AG22-$AF22-$AE22*(1+GL$3))/$AJ22,'Технический лист'!$A:$B,2,1),(GK22-0.05)))</f>
        <v>1</v>
      </c>
      <c r="GM22" s="15">
        <f>MIN(1,MAX(VLOOKUP(($AJ22-$AI22-$AH22-$AG22-$AF22-$AE22*(1+GM$3))/$AJ22,'Технический лист'!$A:$B,2,1),(GL22-0.05)))</f>
        <v>1</v>
      </c>
      <c r="GN22" s="15">
        <f>MIN(1,MAX(VLOOKUP(($AJ22-$AI22-$AH22-$AG22-$AF22-$AE22*(1+GN$3))/$AJ22,'Технический лист'!$A:$B,2,1),(GM22-0.05)))</f>
        <v>1</v>
      </c>
      <c r="GO22" s="15">
        <f>MIN(1,MAX(VLOOKUP(($AJ22-$AI22-$AH22-$AG22-$AF22-$AE22*(1+GO$3))/$AJ22,'Технический лист'!$A:$B,2,1),(GN22-0.05)))</f>
        <v>1</v>
      </c>
      <c r="GP22" s="15">
        <f>MIN(1,MAX(VLOOKUP(($AJ22-$AI22-$AH22-$AG22-$AF22-$AE22*(1+GP$3))/$AJ22,'Технический лист'!$A:$B,2,1),(GO22-0.05)))</f>
        <v>1</v>
      </c>
      <c r="GQ22" s="15">
        <f>MIN(1,MAX(VLOOKUP(($AJ22-$AI22-$AH22-$AG22-$AF22-$AE22*(1+GQ$3))/$AJ22,'Технический лист'!$A:$B,2,1),(GP22-0.05)))</f>
        <v>1</v>
      </c>
      <c r="GR22" s="15">
        <f>MIN(1,MAX(VLOOKUP(($AJ22-$AI22-$AH22-$AG22-$AF22-$AE22*(1+GR$3))/$AJ22,'Технический лист'!$A:$B,2,1),(GQ22-0.05)))</f>
        <v>1</v>
      </c>
      <c r="GS22" s="15">
        <f>MIN(1,MAX(VLOOKUP(($AJ22-$AI22-$AH22-$AG22-$AF22-$AE22*(1+GS$3))/$AJ22,'Технический лист'!$A:$B,2,1),(GR22-0.05)))</f>
        <v>1</v>
      </c>
      <c r="GT22" s="15">
        <f>MIN(1,MAX(VLOOKUP(($AJ22-$AI22-$AH22-$AG22-$AF22-$AE22*(1+GT$3))/$AJ22,'Технический лист'!$A:$B,2,1),(GS22-0.05)))</f>
        <v>1</v>
      </c>
      <c r="GU22" s="15">
        <f>MIN(1,MAX(VLOOKUP(($AJ22-$AI22-$AH22-$AG22-$AF22-$AE22*(1+GU$3))/$AJ22,'Технический лист'!$A:$B,2,1),(GT22-0.05)))</f>
        <v>1</v>
      </c>
      <c r="GV22" s="15">
        <f>MIN(1,MAX(VLOOKUP(($AJ22-$AI22-$AH22-$AG22-$AF22-$AE22*(1+GV$3))/$AJ22,'Технический лист'!$A:$B,2,1),(GU22-0.05)))</f>
        <v>1</v>
      </c>
      <c r="GW22" s="15">
        <f>MIN(1,MAX(VLOOKUP(($AJ22-$AI22-$AH22-$AG22-$AF22-$AE22*(1+GW$3))/$AJ22,'Технический лист'!$A:$B,2,1),(GV22-0.05)))</f>
        <v>1</v>
      </c>
      <c r="GX22" s="15">
        <f>MIN(1,MAX(VLOOKUP(($AJ22-$AI22-$AH22-$AG22-$AF22-$AE22*(1+GX$3))/$AJ22,'Технический лист'!$A:$B,2,1),(GW22-0.05)))</f>
        <v>1</v>
      </c>
      <c r="GY22" s="15">
        <f>MIN(1,MAX(VLOOKUP(($AJ22-$AI22-$AH22-$AG22-$AF22-$AE22*(1+GY$3))/$AJ22,'Технический лист'!$A:$B,2,1),(GX22-0.05)))</f>
        <v>1</v>
      </c>
      <c r="GZ22" s="15">
        <f>MIN(1,MAX(VLOOKUP(($AJ22-$AI22-$AH22-$AG22-$AF22-$AE22*(1+GZ$3))/$AJ22,'Технический лист'!$A:$B,2,1),(GY22-0.05)))</f>
        <v>1</v>
      </c>
      <c r="HA22" s="15">
        <f>MIN(1,MAX(VLOOKUP(($AJ22-$AI22-$AH22-$AG22-$AF22-$AE22*(1+HA$3))/$AJ22,'Технический лист'!$A:$B,2,1),(GZ22-0.05)))</f>
        <v>1</v>
      </c>
      <c r="HB22" s="15">
        <f>MIN(1,MAX(VLOOKUP(($AJ22-$AI22-$AH22-$AG22-$AF22-$AE22*(1+HB$3))/$AJ22,'Технический лист'!$A:$B,2,1),(HA22-0.05)))</f>
        <v>1</v>
      </c>
      <c r="HC22" s="15">
        <f>MIN(1,MAX(VLOOKUP(($AJ22-$AI22-$AH22-$AG22-$AF22-$AE22*(1+HC$3))/$AJ22,'Технический лист'!$A:$B,2,1),(HB22-0.05)))</f>
        <v>1</v>
      </c>
      <c r="HD22" s="15">
        <f>MIN(1,MAX(VLOOKUP(($AJ22-$AI22-$AH22-$AG22-$AF22-$AE22*(1+HD$3))/$AJ22,'Технический лист'!$A:$B,2,1),(HC22-0.05)))</f>
        <v>1</v>
      </c>
      <c r="HE22" s="15">
        <f>MIN(1,MAX(VLOOKUP(($AJ22-$AI22-$AH22-$AG22-$AF22-$AE22*(1+HE$3))/$AJ22,'Технический лист'!$A:$B,2,1),(HD22-0.05)))</f>
        <v>1</v>
      </c>
      <c r="HF22" s="15">
        <f>MIN(1,MAX(VLOOKUP(($AJ22-$AI22-$AH22-$AG22-$AF22-$AE22*(1+HF$3))/$AJ22,'Технический лист'!$A:$B,2,1),(HE22-0.05)))</f>
        <v>1</v>
      </c>
      <c r="HG22" s="15">
        <f>MIN(1,MAX(VLOOKUP(($AJ22-$AI22-$AH22-$AG22-$AF22-$AE22*(1+HG$3))/$AJ22,'Технический лист'!$A:$B,2,1),(HF22-0.05)))</f>
        <v>1</v>
      </c>
      <c r="HH22" s="15">
        <f>MIN(1,MAX(VLOOKUP(($AJ22-$AI22-$AH22-$AG22-$AF22-$AE22*(1+HH$3))/$AJ22,'Технический лист'!$A:$B,2,1),(HG22-0.05)))</f>
        <v>1</v>
      </c>
      <c r="HI22" s="15">
        <f>MIN(1,MAX(VLOOKUP(($AJ22-$AI22-$AH22-$AG22-$AF22-$AE22*(1+HI$3))/$AJ22,'Технический лист'!$A:$B,2,1),(HH22-0.05)))</f>
        <v>1</v>
      </c>
      <c r="HJ22" s="15">
        <f>MIN(1,MAX(VLOOKUP(($AJ22-$AI22-$AH22-$AG22-$AF22-$AE22*(1+HJ$3))/$AJ22,'Технический лист'!$A:$B,2,1),(HI22-0.05)))</f>
        <v>1</v>
      </c>
      <c r="HK22" s="15">
        <f>MIN(1,MAX(VLOOKUP(($AJ22-$AI22-$AH22-$AG22-$AF22-$AE22*(1+HK$3))/$AJ22,'Технический лист'!$A:$B,2,1),(HJ22-0.05)))</f>
        <v>1</v>
      </c>
      <c r="HL22" s="15">
        <f>MIN(1,MAX(VLOOKUP(($AJ22-$AI22-$AH22-$AG22-$AF22-$AE22*(1+HL$3))/$AJ22,'Технический лист'!$A:$B,2,1),(HK22-0.05)))</f>
        <v>1</v>
      </c>
      <c r="HM22" s="15">
        <f>MIN(1,MAX(VLOOKUP(($AJ22-$AI22-$AH22-$AG22-$AF22-$AE22*(1+HM$3))/$AJ22,'Технический лист'!$A:$B,2,1),(HL22-0.05)))</f>
        <v>1</v>
      </c>
      <c r="HN22" s="15">
        <f>MIN(1,MAX(VLOOKUP(($AJ22-$AI22-$AH22-$AG22-$AF22-$AE22*(1+HN$3))/$AJ22,'Технический лист'!$A:$B,2,1),(HM22-0.05)))</f>
        <v>1</v>
      </c>
      <c r="HO22" s="15">
        <f>MIN(1,MAX(VLOOKUP(($AJ22-$AI22-$AH22-$AG22-$AF22-$AE22*(1+HO$3))/$AJ22,'Технический лист'!$A:$B,2,1),(HN22-0.05)))</f>
        <v>1</v>
      </c>
      <c r="HP22" s="15">
        <f>MIN(1,MAX(VLOOKUP(($AJ22-$AI22-$AH22-$AG22-$AF22-$AE22*(1+HP$3))/$AJ22,'Технический лист'!$A:$B,2,1),(HO22-0.05)))</f>
        <v>1</v>
      </c>
      <c r="HQ22" s="15">
        <f>MIN(1,MAX(VLOOKUP(($AJ22-$AI22-$AH22-$AG22-$AF22-$AE22*(1+HQ$3))/$AJ22,'Технический лист'!$A:$B,2,1),(HP22-0.05)))</f>
        <v>1</v>
      </c>
      <c r="HR22" s="15">
        <f>MIN(1,MAX(VLOOKUP(($AJ22-$AI22-$AH22-$AG22-$AF22-$AE22*(1+HR$3))/$AJ22,'Технический лист'!$A:$B,2,1),(HQ22-0.05)))</f>
        <v>1</v>
      </c>
      <c r="HS22" s="15">
        <f>MIN(1,MAX(VLOOKUP(($AJ22-$AI22-$AH22-$AG22-$AF22-$AE22*(1+HS$3))/$AJ22,'Технический лист'!$A:$B,2,1),(HR22-0.05)))</f>
        <v>1</v>
      </c>
      <c r="HT22" s="15">
        <f>MIN(1,MAX(VLOOKUP(($AJ22-$AI22-$AH22-$AG22-$AF22-$AE22*(1+HT$3))/$AJ22,'Технический лист'!$A:$B,2,1),(HS22-0.05)))</f>
        <v>1</v>
      </c>
      <c r="HU22" s="15">
        <f>MIN(1,MAX(VLOOKUP(($AJ22-$AI22-$AH22-$AG22-$AF22-$AE22*(1+HU$3))/$AJ22,'Технический лист'!$A:$B,2,1),(HT22-0.05)))</f>
        <v>1</v>
      </c>
      <c r="HV22" s="15">
        <f>MIN(1,MAX(VLOOKUP(($AJ22-$AI22-$AH22-$AG22-$AF22-$AE22*(1+HV$3))/$AJ22,'Технический лист'!$A:$B,2,1),(HU22-0.05)))</f>
        <v>1</v>
      </c>
      <c r="HW22" s="15">
        <f>MIN(1,MAX(VLOOKUP(($AJ22-$AI22-$AH22-$AG22-$AF22-$AE22*(1+HW$3))/$AJ22,'Технический лист'!$A:$B,2,1),(HV22-0.05)))</f>
        <v>1</v>
      </c>
      <c r="HX22" s="15">
        <f>MIN(1,MAX(VLOOKUP(($AJ22-$AI22-$AH22-$AG22-$AF22-$AE22*(1+HX$3))/$AJ22,'Технический лист'!$A:$B,2,1),(HW22-0.05)))</f>
        <v>1</v>
      </c>
      <c r="HY22" s="15">
        <f>MIN(1,MAX(VLOOKUP(($AJ22-$AI22-$AH22-$AG22-$AF22-$AE22*(1+HY$3))/$AJ22,'Технический лист'!$A:$B,2,1),(HX22-0.05)))</f>
        <v>1</v>
      </c>
      <c r="HZ22" s="15">
        <f>MIN(1,MAX(VLOOKUP(($AJ22-$AI22-$AH22-$AG22-$AF22-$AE22*(1+HZ$3))/$AJ22,'Технический лист'!$A:$B,2,1),(HY22-0.05)))</f>
        <v>1</v>
      </c>
      <c r="IA22" s="15">
        <f>MIN(1,MAX(VLOOKUP(($AJ22-$AI22-$AH22-$AG22-$AF22-$AE22*(1+IA$3))/$AJ22,'Технический лист'!$A:$B,2,1),(HZ22-0.05)))</f>
        <v>1</v>
      </c>
      <c r="IB22" s="15">
        <f>MIN(1,MAX(VLOOKUP(($AJ22-$AI22-$AH22-$AG22-$AF22-$AE22*(1+IB$3))/$AJ22,'Технический лист'!$A:$B,2,1),(IA22-0.05)))</f>
        <v>1</v>
      </c>
      <c r="IC22" s="15">
        <f>MIN(1,MAX(VLOOKUP(($AJ22-$AI22-$AH22-$AG22-$AF22-$AE22*(1+IC$3))/$AJ22,'Технический лист'!$A:$B,2,1),(IB22-0.05)))</f>
        <v>1</v>
      </c>
      <c r="ID22" s="15">
        <f>MIN(1,MAX(VLOOKUP(($AJ22-$AI22-$AH22-$AG22-$AF22-$AE22*(1+ID$3))/$AJ22,'Технический лист'!$A:$B,2,1),(IC22-0.05)))</f>
        <v>1</v>
      </c>
      <c r="IE22" s="15">
        <f>MIN(1,MAX(VLOOKUP(($AJ22-$AI22-$AH22-$AG22-$AF22-$AE22*(1+IE$3))/$AJ22,'Технический лист'!$A:$B,2,1),(ID22-0.05)))</f>
        <v>1</v>
      </c>
      <c r="IF22" s="15">
        <f>MIN(1,MAX(VLOOKUP(($AJ22-$AI22-$AH22-$AG22-$AF22-$AE22*(1+IF$3))/$AJ22,'Технический лист'!$A:$B,2,1),(IE22-0.05)))</f>
        <v>1</v>
      </c>
      <c r="IG22" s="15">
        <f>MIN(1,MAX(VLOOKUP(($AJ22-$AI22-$AH22-$AG22-$AF22-$AE22*(1+IG$3))/$AJ22,'Технический лист'!$A:$B,2,1),(IF22-0.05)))</f>
        <v>1</v>
      </c>
      <c r="IH22" s="15">
        <f>MIN(1,MAX(VLOOKUP(($AJ22-$AI22-$AH22-$AG22-$AF22-$AE22*(1+IH$3))/$AJ22,'Технический лист'!$A:$B,2,1),(IG22-0.05)))</f>
        <v>1</v>
      </c>
      <c r="II22" s="15">
        <f>MIN(1,MAX(VLOOKUP(($AJ22-$AI22-$AH22-$AG22-$AF22-$AE22*(1+II$3))/$AJ22,'Технический лист'!$A:$B,2,1),(IH22-0.05)))</f>
        <v>1</v>
      </c>
      <c r="IJ22" s="15">
        <f>MIN(1,MAX(VLOOKUP(($AJ22-$AI22-$AH22-$AG22-$AF22-$AE22*(1+IJ$3))/$AJ22,'Технический лист'!$A:$B,2,1),(II22-0.05)))</f>
        <v>1</v>
      </c>
      <c r="IK22" s="15">
        <f>MIN(1,MAX(VLOOKUP(($AJ22-$AI22-$AH22-$AG22-$AF22-$AE22*(1+IK$3))/$AJ22,'Технический лист'!$A:$B,2,1),(IJ22-0.05)))</f>
        <v>1</v>
      </c>
      <c r="IL22" s="15">
        <f>MIN(1,MAX(VLOOKUP(($AJ22-$AI22-$AH22-$AG22-$AF22-$AE22*(1+IL$3))/$AJ22,'Технический лист'!$A:$B,2,1),(IK22-0.05)))</f>
        <v>1</v>
      </c>
      <c r="IM22" s="15">
        <f>MIN(1,MAX(VLOOKUP(($AJ22-$AI22-$AH22-$AG22-$AF22-$AE22*(1+IM$3))/$AJ22,'Технический лист'!$A:$B,2,1),(IL22-0.05)))</f>
        <v>1</v>
      </c>
      <c r="IN22" s="15">
        <f>MIN(1,MAX(VLOOKUP(($AJ22-$AI22-$AH22-$AG22-$AF22-$AE22*(1+IN$3))/$AJ22,'Технический лист'!$A:$B,2,1),(IM22-0.05)))</f>
        <v>1</v>
      </c>
      <c r="IO22" s="15">
        <f>MIN(1,MAX(VLOOKUP(($AJ22-$AI22-$AH22-$AG22-$AF22-$AE22*(1+IO$3))/$AJ22,'Технический лист'!$A:$B,2,1),(IN22-0.05)))</f>
        <v>1</v>
      </c>
      <c r="IP22" s="15">
        <f>MIN(1,MAX(VLOOKUP(($AJ22-$AI22-$AH22-$AG22-$AF22-$AE22*(1+IP$3))/$AJ22,'Технический лист'!$A:$B,2,1),(IO22-0.05)))</f>
        <v>1</v>
      </c>
      <c r="IQ22" s="15">
        <f>MIN(1,MAX(VLOOKUP(($AJ22-$AI22-$AH22-$AG22-$AF22-$AE22*(1+IQ$3))/$AJ22,'Технический лист'!$A:$B,2,1),(IP22-0.05)))</f>
        <v>1</v>
      </c>
      <c r="IR22" s="15">
        <f>MIN(1,MAX(VLOOKUP(($AJ22-$AI22-$AH22-$AG22-$AF22-$AE22*(1+IR$3))/$AJ22,'Технический лист'!$A:$B,2,1),(IQ22-0.05)))</f>
        <v>1</v>
      </c>
    </row>
    <row r="23" spans="1:252" ht="29.15">
      <c r="A23" s="89" t="s">
        <v>514</v>
      </c>
      <c r="B23" s="90">
        <v>2</v>
      </c>
      <c r="C23" s="5" t="s">
        <v>65</v>
      </c>
      <c r="D23" s="91">
        <v>17107</v>
      </c>
      <c r="E23" s="91" t="s">
        <v>320</v>
      </c>
      <c r="F23" s="92" t="s">
        <v>69</v>
      </c>
      <c r="G23" s="91" t="s">
        <v>52</v>
      </c>
      <c r="H23" s="91" t="s">
        <v>20</v>
      </c>
      <c r="I23" s="91" t="s">
        <v>98</v>
      </c>
      <c r="J23" s="91" t="s">
        <v>24</v>
      </c>
      <c r="K23" s="91">
        <v>1522</v>
      </c>
      <c r="L23" s="85" t="s">
        <v>64</v>
      </c>
      <c r="M23" s="91" t="s">
        <v>17</v>
      </c>
      <c r="N23" s="91" t="s">
        <v>191</v>
      </c>
      <c r="O23" s="91" t="s">
        <v>193</v>
      </c>
      <c r="P23" s="89" t="s">
        <v>203</v>
      </c>
      <c r="Q23" s="91" t="s">
        <v>290</v>
      </c>
      <c r="R23" s="91" t="s">
        <v>254</v>
      </c>
      <c r="S23" s="82">
        <v>188450</v>
      </c>
      <c r="T23" s="82">
        <v>286795312</v>
      </c>
      <c r="U23" s="81">
        <v>2909</v>
      </c>
      <c r="V23" s="81">
        <v>0</v>
      </c>
      <c r="W23" s="82">
        <v>211081112</v>
      </c>
      <c r="X23" s="112">
        <v>65</v>
      </c>
      <c r="Y23" s="112" t="s">
        <v>417</v>
      </c>
      <c r="Z23" s="113">
        <v>8</v>
      </c>
      <c r="AA23" s="113">
        <v>8</v>
      </c>
      <c r="AB23" s="113">
        <v>4</v>
      </c>
      <c r="AC23" s="99">
        <v>1311.82</v>
      </c>
      <c r="AD23" s="99">
        <f t="shared" si="1"/>
        <v>459.38000000000011</v>
      </c>
      <c r="AE23" s="99">
        <v>1771.2</v>
      </c>
      <c r="AF23" s="98">
        <f>(Z23+AA23+AB23)*'Ставки аренды'!$B$3/X23</f>
        <v>215.38461538461539</v>
      </c>
      <c r="AG23" s="114">
        <f>'Ставки перевалки'!$B$4*'Курсы валют'!$B$2</f>
        <v>610.44399999999996</v>
      </c>
      <c r="AH23" s="94">
        <v>0</v>
      </c>
      <c r="AI23" s="115">
        <f>55698921/113463679*AVERAGE(AJ20,AJ21)</f>
        <v>8049.533623828901</v>
      </c>
      <c r="AJ23" s="117">
        <f>Цены!$C$8*'Курсы валют'!$B$2</f>
        <v>15795.238499999999</v>
      </c>
      <c r="AK23" s="94">
        <f>AJ23/Цены!$B$1</f>
        <v>207</v>
      </c>
      <c r="AL23" s="95">
        <f t="shared" si="5"/>
        <v>2597.0286153846155</v>
      </c>
      <c r="AM23" s="95">
        <f t="shared" si="6"/>
        <v>13198.209884615384</v>
      </c>
      <c r="AN23" s="94">
        <f t="shared" si="2"/>
        <v>10646.562239213517</v>
      </c>
      <c r="AO23" s="118">
        <f t="shared" si="3"/>
        <v>0.32596381882973668</v>
      </c>
      <c r="AP23" s="96">
        <f t="shared" si="7"/>
        <v>0.16441844897654539</v>
      </c>
      <c r="AQ23" s="96">
        <f t="shared" si="8"/>
        <v>0.11213505892930963</v>
      </c>
      <c r="AR23" s="96">
        <f t="shared" si="9"/>
        <v>0.68201019792679041</v>
      </c>
      <c r="AS23" s="122">
        <v>1</v>
      </c>
      <c r="AT23" s="121">
        <f t="shared" si="10"/>
        <v>188450</v>
      </c>
      <c r="AU23" s="83">
        <v>0.95</v>
      </c>
      <c r="AV23" s="119">
        <f t="shared" si="11"/>
        <v>0.31250761175821956</v>
      </c>
      <c r="AW23" s="120">
        <f t="shared" si="12"/>
        <v>0.17787465604806255</v>
      </c>
      <c r="AX23" s="120">
        <f t="shared" si="13"/>
        <v>0.12559126600082679</v>
      </c>
      <c r="AY23" s="120">
        <f t="shared" si="14"/>
        <v>0.70606610739919828</v>
      </c>
      <c r="AZ23" s="15">
        <f>MIN(IF($AU23=100%,1,1+VLOOKUP(($AJ23-$AI23-$AH23-$AG23-$AF23-$AE23*(1+AZ$3))/$AJ23,'Технический лист'!$A:$B,2,1)-VLOOKUP($AO23,'Технический лист'!$A:$B,2,1)),1+(1-$AU23))</f>
        <v>1.042</v>
      </c>
      <c r="BA23" s="15">
        <f>MIN(IF($AU23=100%,1,1+VLOOKUP(($AJ23-$AI23-$AH23-$AG23-$AF23-$AE23*(1+BA$3))/$AJ23,'Технический лист'!$A:$B,2,1)-VLOOKUP($AO23,'Технический лист'!$A:$B,2,1)),1+(1-$AU23))</f>
        <v>1.042</v>
      </c>
      <c r="BB23" s="15">
        <f>MIN(IF($AU23=100%,1,1+VLOOKUP(($AJ23-$AI23-$AH23-$AG23-$AF23-$AE23*(1+BB$3))/$AJ23,'Технический лист'!$A:$B,2,1)-VLOOKUP($AO23,'Технический лист'!$A:$B,2,1)),1+(1-$AU23))</f>
        <v>1.042</v>
      </c>
      <c r="BC23" s="15">
        <f>MIN(IF($AU23=100%,1,1+VLOOKUP(($AJ23-$AI23-$AH23-$AG23-$AF23-$AE23*(1+BC$3))/$AJ23,'Технический лист'!$A:$B,2,1)-VLOOKUP($AO23,'Технический лист'!$A:$B,2,1)),1+(1-$AU23))</f>
        <v>1.042</v>
      </c>
      <c r="BD23" s="15">
        <f>MIN(IF($AU23=100%,1,1+VLOOKUP(($AJ23-$AI23-$AH23-$AG23-$AF23-$AE23*(1+BD$3))/$AJ23,'Технический лист'!$A:$B,2,1)-VLOOKUP($AO23,'Технический лист'!$A:$B,2,1)),1+(1-$AU23))</f>
        <v>1.0349999999999999</v>
      </c>
      <c r="BE23" s="15">
        <f>MIN(IF($AU23=100%,1,1+VLOOKUP(($AJ23-$AI23-$AH23-$AG23-$AF23-$AE23*(1+BE$3))/$AJ23,'Технический лист'!$A:$B,2,1)-VLOOKUP($AO23,'Технический лист'!$A:$B,2,1)),1+(1-$AU23))</f>
        <v>1.0349999999999999</v>
      </c>
      <c r="BF23" s="15">
        <f>MIN(IF($AU23=100%,1,1+VLOOKUP(($AJ23-$AI23-$AH23-$AG23-$AF23-$AE23*(1+BF$3))/$AJ23,'Технический лист'!$A:$B,2,1)-VLOOKUP($AO23,'Технический лист'!$A:$B,2,1)),1+(1-$AU23))</f>
        <v>1.0349999999999999</v>
      </c>
      <c r="BG23" s="15">
        <f>MIN(IF($AU23=100%,1,1+VLOOKUP(($AJ23-$AI23-$AH23-$AG23-$AF23-$AE23*(1+BG$3))/$AJ23,'Технический лист'!$A:$B,2,1)-VLOOKUP($AO23,'Технический лист'!$A:$B,2,1)),1+(1-$AU23))</f>
        <v>1.0349999999999999</v>
      </c>
      <c r="BH23" s="15">
        <f>MIN(IF($AU23=100%,1,1+VLOOKUP(($AJ23-$AI23-$AH23-$AG23-$AF23-$AE23*(1+BH$3))/$AJ23,'Технический лист'!$A:$B,2,1)-VLOOKUP($AO23,'Технический лист'!$A:$B,2,1)),1+(1-$AU23))</f>
        <v>1.0349999999999999</v>
      </c>
      <c r="BI23" s="15">
        <f>MIN(IF($AU23=100%,1,1+VLOOKUP(($AJ23-$AI23-$AH23-$AG23-$AF23-$AE23*(1+BI$3))/$AJ23,'Технический лист'!$A:$B,2,1)-VLOOKUP($AO23,'Технический лист'!$A:$B,2,1)),1+(1-$AU23))</f>
        <v>1.0349999999999999</v>
      </c>
      <c r="BJ23" s="15">
        <f>MIN(IF($AU23=100%,1,1+VLOOKUP(($AJ23-$AI23-$AH23-$AG23-$AF23-$AE23*(1+BJ$3))/$AJ23,'Технический лист'!$A:$B,2,1)-VLOOKUP($AO23,'Технический лист'!$A:$B,2,1)),1+(1-$AU23))</f>
        <v>1.0349999999999999</v>
      </c>
      <c r="BK23" s="15">
        <f>MIN(IF($AU23=100%,1,1+VLOOKUP(($AJ23-$AI23-$AH23-$AG23-$AF23-$AE23*(1+BK$3))/$AJ23,'Технический лист'!$A:$B,2,1)-VLOOKUP($AO23,'Технический лист'!$A:$B,2,1)),1+(1-$AU23))</f>
        <v>1.0349999999999999</v>
      </c>
      <c r="BL23" s="15">
        <f>MIN(IF($AU23=100%,1,1+VLOOKUP(($AJ23-$AI23-$AH23-$AG23-$AF23-$AE23*(1+BL$3))/$AJ23,'Технический лист'!$A:$B,2,1)-VLOOKUP($AO23,'Технический лист'!$A:$B,2,1)),1+(1-$AU23))</f>
        <v>1.0349999999999999</v>
      </c>
      <c r="BM23" s="15">
        <f>MIN(IF($AU23=100%,1,1+VLOOKUP(($AJ23-$AI23-$AH23-$AG23-$AF23-$AE23*(1+BM$3))/$AJ23,'Технический лист'!$A:$B,2,1)-VLOOKUP($AO23,'Технический лист'!$A:$B,2,1)),1+(1-$AU23))</f>
        <v>1.0349999999999999</v>
      </c>
      <c r="BN23" s="15">
        <f>MIN(IF($AU23=100%,1,1+VLOOKUP(($AJ23-$AI23-$AH23-$AG23-$AF23-$AE23*(1+BN$3))/$AJ23,'Технический лист'!$A:$B,2,1)-VLOOKUP($AO23,'Технический лист'!$A:$B,2,1)),1+(1-$AU23))</f>
        <v>1.0349999999999999</v>
      </c>
      <c r="BO23" s="15">
        <f>MIN(IF($AU23=100%,1,1+VLOOKUP(($AJ23-$AI23-$AH23-$AG23-$AF23-$AE23*(1+BO$3))/$AJ23,'Технический лист'!$A:$B,2,1)-VLOOKUP($AO23,'Технический лист'!$A:$B,2,1)),1+(1-$AU23))</f>
        <v>1.0349999999999999</v>
      </c>
      <c r="BP23" s="15">
        <f>MIN(IF($AU23=100%,1,1+VLOOKUP(($AJ23-$AI23-$AH23-$AG23-$AF23-$AE23*(1+BP$3))/$AJ23,'Технический лист'!$A:$B,2,1)-VLOOKUP($AO23,'Технический лист'!$A:$B,2,1)),1+(1-$AU23))</f>
        <v>1.0349999999999999</v>
      </c>
      <c r="BQ23" s="15">
        <f>MIN(IF($AU23=100%,1,1+VLOOKUP(($AJ23-$AI23-$AH23-$AG23-$AF23-$AE23*(1+BQ$3))/$AJ23,'Технический лист'!$A:$B,2,1)-VLOOKUP($AO23,'Технический лист'!$A:$B,2,1)),1+(1-$AU23))</f>
        <v>1.0349999999999999</v>
      </c>
      <c r="BR23" s="15">
        <f>MIN(IF($AU23=100%,1,1+VLOOKUP(($AJ23-$AI23-$AH23-$AG23-$AF23-$AE23*(1+BR$3))/$AJ23,'Технический лист'!$A:$B,2,1)-VLOOKUP($AO23,'Технический лист'!$A:$B,2,1)),1+(1-$AU23))</f>
        <v>1.0349999999999999</v>
      </c>
      <c r="BS23" s="15">
        <f>MIN(IF($AU23=100%,1,1+VLOOKUP(($AJ23-$AI23-$AH23-$AG23-$AF23-$AE23*(1+BS$3))/$AJ23,'Технический лист'!$A:$B,2,1)-VLOOKUP($AO23,'Технический лист'!$A:$B,2,1)),1+(1-$AU23))</f>
        <v>1.0349999999999999</v>
      </c>
      <c r="BT23" s="15">
        <f>MIN(IF($AU23=100%,1,1+VLOOKUP(($AJ23-$AI23-$AH23-$AG23-$AF23-$AE23*(1+BT$3))/$AJ23,'Технический лист'!$A:$B,2,1)-VLOOKUP($AO23,'Технический лист'!$A:$B,2,1)),1+(1-$AU23))</f>
        <v>1.0349999999999999</v>
      </c>
      <c r="BU23" s="15">
        <f>MIN(IF($AU23=100%,1,1+VLOOKUP(($AJ23-$AI23-$AH23-$AG23-$AF23-$AE23*(1+BU$3))/$AJ23,'Технический лист'!$A:$B,2,1)-VLOOKUP($AO23,'Технический лист'!$A:$B,2,1)),1+(1-$AU23))</f>
        <v>1.0349999999999999</v>
      </c>
      <c r="BV23" s="15">
        <f>MIN(IF($AU23=100%,1,1+VLOOKUP(($AJ23-$AI23-$AH23-$AG23-$AF23-$AE23*(1+BV$3))/$AJ23,'Технический лист'!$A:$B,2,1)-VLOOKUP($AO23,'Технический лист'!$A:$B,2,1)),1+(1-$AU23))</f>
        <v>1.0280000000000002</v>
      </c>
      <c r="BW23" s="15">
        <f>MIN(IF($AU23=100%,1,1+VLOOKUP(($AJ23-$AI23-$AH23-$AG23-$AF23-$AE23*(1+BW$3))/$AJ23,'Технический лист'!$A:$B,2,1)-VLOOKUP($AO23,'Технический лист'!$A:$B,2,1)),1+(1-$AU23))</f>
        <v>1.0280000000000002</v>
      </c>
      <c r="BX23" s="15">
        <f>MIN(IF($AU23=100%,1,1+VLOOKUP(($AJ23-$AI23-$AH23-$AG23-$AF23-$AE23*(1+BX$3))/$AJ23,'Технический лист'!$A:$B,2,1)-VLOOKUP($AO23,'Технический лист'!$A:$B,2,1)),1+(1-$AU23))</f>
        <v>1.0280000000000002</v>
      </c>
      <c r="BY23" s="15">
        <f>MIN(IF($AU23=100%,1,1+VLOOKUP(($AJ23-$AI23-$AH23-$AG23-$AF23-$AE23*(1+BY$3))/$AJ23,'Технический лист'!$A:$B,2,1)-VLOOKUP($AO23,'Технический лист'!$A:$B,2,1)),1+(1-$AU23))</f>
        <v>1.0280000000000002</v>
      </c>
      <c r="BZ23" s="15">
        <f>MIN(IF($AU23=100%,1,1+VLOOKUP(($AJ23-$AI23-$AH23-$AG23-$AF23-$AE23*(1+BZ$3))/$AJ23,'Технический лист'!$A:$B,2,1)-VLOOKUP($AO23,'Технический лист'!$A:$B,2,1)),1+(1-$AU23))</f>
        <v>1.0280000000000002</v>
      </c>
      <c r="CA23" s="15">
        <f>MIN(IF($AU23=100%,1,1+VLOOKUP(($AJ23-$AI23-$AH23-$AG23-$AF23-$AE23*(1+CA$3))/$AJ23,'Технический лист'!$A:$B,2,1)-VLOOKUP($AO23,'Технический лист'!$A:$B,2,1)),1+(1-$AU23))</f>
        <v>1.0280000000000002</v>
      </c>
      <c r="CB23" s="15">
        <f>MIN(IF($AU23=100%,1,1+VLOOKUP(($AJ23-$AI23-$AH23-$AG23-$AF23-$AE23*(1+CB$3))/$AJ23,'Технический лист'!$A:$B,2,1)-VLOOKUP($AO23,'Технический лист'!$A:$B,2,1)),1+(1-$AU23))</f>
        <v>1.0280000000000002</v>
      </c>
      <c r="CC23" s="15">
        <f>MIN(IF($AU23=100%,1,1+VLOOKUP(($AJ23-$AI23-$AH23-$AG23-$AF23-$AE23*(1+CC$3))/$AJ23,'Технический лист'!$A:$B,2,1)-VLOOKUP($AO23,'Технический лист'!$A:$B,2,1)),1+(1-$AU23))</f>
        <v>1.0280000000000002</v>
      </c>
      <c r="CD23" s="15">
        <f>MIN(IF($AU23=100%,1,1+VLOOKUP(($AJ23-$AI23-$AH23-$AG23-$AF23-$AE23*(1+CD$3))/$AJ23,'Технический лист'!$A:$B,2,1)-VLOOKUP($AO23,'Технический лист'!$A:$B,2,1)),1+(1-$AU23))</f>
        <v>1.0280000000000002</v>
      </c>
      <c r="CE23" s="15">
        <f>MIN(IF($AU23=100%,1,1+VLOOKUP(($AJ23-$AI23-$AH23-$AG23-$AF23-$AE23*(1+CE$3))/$AJ23,'Технический лист'!$A:$B,2,1)-VLOOKUP($AO23,'Технический лист'!$A:$B,2,1)),1+(1-$AU23))</f>
        <v>1.0280000000000002</v>
      </c>
      <c r="CF23" s="15">
        <f>MIN(IF($AU23=100%,1,1+VLOOKUP(($AJ23-$AI23-$AH23-$AG23-$AF23-$AE23*(1+CF$3))/$AJ23,'Технический лист'!$A:$B,2,1)-VLOOKUP($AO23,'Технический лист'!$A:$B,2,1)),1+(1-$AU23))</f>
        <v>1.0280000000000002</v>
      </c>
      <c r="CG23" s="15">
        <f>MIN(IF($AU23=100%,1,1+VLOOKUP(($AJ23-$AI23-$AH23-$AG23-$AF23-$AE23*(1+CG$3))/$AJ23,'Технический лист'!$A:$B,2,1)-VLOOKUP($AO23,'Технический лист'!$A:$B,2,1)),1+(1-$AU23))</f>
        <v>1.0280000000000002</v>
      </c>
      <c r="CH23" s="15">
        <f>MIN(IF($AU23=100%,1,1+VLOOKUP(($AJ23-$AI23-$AH23-$AG23-$AF23-$AE23*(1+CH$3))/$AJ23,'Технический лист'!$A:$B,2,1)-VLOOKUP($AO23,'Технический лист'!$A:$B,2,1)),1+(1-$AU23))</f>
        <v>1.0280000000000002</v>
      </c>
      <c r="CI23" s="15">
        <f>MIN(IF($AU23=100%,1,1+VLOOKUP(($AJ23-$AI23-$AH23-$AG23-$AF23-$AE23*(1+CI$3))/$AJ23,'Технический лист'!$A:$B,2,1)-VLOOKUP($AO23,'Технический лист'!$A:$B,2,1)),1+(1-$AU23))</f>
        <v>1.0280000000000002</v>
      </c>
      <c r="CJ23" s="15">
        <f>MIN(IF($AU23=100%,1,1+VLOOKUP(($AJ23-$AI23-$AH23-$AG23-$AF23-$AE23*(1+CJ$3))/$AJ23,'Технический лист'!$A:$B,2,1)-VLOOKUP($AO23,'Технический лист'!$A:$B,2,1)),1+(1-$AU23))</f>
        <v>1.0280000000000002</v>
      </c>
      <c r="CK23" s="15">
        <f>MIN(IF($AU23=100%,1,1+VLOOKUP(($AJ23-$AI23-$AH23-$AG23-$AF23-$AE23*(1+CK$3))/$AJ23,'Технический лист'!$A:$B,2,1)-VLOOKUP($AO23,'Технический лист'!$A:$B,2,1)),1+(1-$AU23))</f>
        <v>1.0280000000000002</v>
      </c>
      <c r="CL23" s="15">
        <f>MIN(IF($AU23=100%,1,1+VLOOKUP(($AJ23-$AI23-$AH23-$AG23-$AF23-$AE23*(1+CL$3))/$AJ23,'Технический лист'!$A:$B,2,1)-VLOOKUP($AO23,'Технический лист'!$A:$B,2,1)),1+(1-$AU23))</f>
        <v>1.0280000000000002</v>
      </c>
      <c r="CM23" s="15">
        <f>MIN(IF($AU23=100%,1,1+VLOOKUP(($AJ23-$AI23-$AH23-$AG23-$AF23-$AE23*(1+CM$3))/$AJ23,'Технический лист'!$A:$B,2,1)-VLOOKUP($AO23,'Технический лист'!$A:$B,2,1)),1+(1-$AU23))</f>
        <v>1.0280000000000002</v>
      </c>
      <c r="CN23" s="15">
        <f>MIN(IF($AU23=100%,1,1+VLOOKUP(($AJ23-$AI23-$AH23-$AG23-$AF23-$AE23*(1+CN$3))/$AJ23,'Технический лист'!$A:$B,2,1)-VLOOKUP($AO23,'Технический лист'!$A:$B,2,1)),1+(1-$AU23))</f>
        <v>1.0210000000000001</v>
      </c>
      <c r="CO23" s="15">
        <f>MIN(IF($AU23=100%,1,1+VLOOKUP(($AJ23-$AI23-$AH23-$AG23-$AF23-$AE23*(1+CO$3))/$AJ23,'Технический лист'!$A:$B,2,1)-VLOOKUP($AO23,'Технический лист'!$A:$B,2,1)),1+(1-$AU23))</f>
        <v>1.0210000000000001</v>
      </c>
      <c r="CP23" s="15">
        <f>MIN(IF($AU23=100%,1,1+VLOOKUP(($AJ23-$AI23-$AH23-$AG23-$AF23-$AE23*(1+CP$3))/$AJ23,'Технический лист'!$A:$B,2,1)-VLOOKUP($AO23,'Технический лист'!$A:$B,2,1)),1+(1-$AU23))</f>
        <v>1.0210000000000001</v>
      </c>
      <c r="CQ23" s="15">
        <f>MIN(IF($AU23=100%,1,1+VLOOKUP(($AJ23-$AI23-$AH23-$AG23-$AF23-$AE23*(1+CQ$3))/$AJ23,'Технический лист'!$A:$B,2,1)-VLOOKUP($AO23,'Технический лист'!$A:$B,2,1)),1+(1-$AU23))</f>
        <v>1.0210000000000001</v>
      </c>
      <c r="CR23" s="15">
        <f>MIN(IF($AU23=100%,1,1+VLOOKUP(($AJ23-$AI23-$AH23-$AG23-$AF23-$AE23*(1+CR$3))/$AJ23,'Технический лист'!$A:$B,2,1)-VLOOKUP($AO23,'Технический лист'!$A:$B,2,1)),1+(1-$AU23))</f>
        <v>1.0210000000000001</v>
      </c>
      <c r="CS23" s="15">
        <f>MIN(IF($AU23=100%,1,1+VLOOKUP(($AJ23-$AI23-$AH23-$AG23-$AF23-$AE23*(1+CS$3))/$AJ23,'Технический лист'!$A:$B,2,1)-VLOOKUP($AO23,'Технический лист'!$A:$B,2,1)),1+(1-$AU23))</f>
        <v>1.0210000000000001</v>
      </c>
      <c r="CT23" s="15">
        <f>MIN(IF($AU23=100%,1,1+VLOOKUP(($AJ23-$AI23-$AH23-$AG23-$AF23-$AE23*(1+CT$3))/$AJ23,'Технический лист'!$A:$B,2,1)-VLOOKUP($AO23,'Технический лист'!$A:$B,2,1)),1+(1-$AU23))</f>
        <v>1.0210000000000001</v>
      </c>
      <c r="CU23" s="15">
        <f>MIN(IF($AU23=100%,1,1+VLOOKUP(($AJ23-$AI23-$AH23-$AG23-$AF23-$AE23*(1+CU$3))/$AJ23,'Технический лист'!$A:$B,2,1)-VLOOKUP($AO23,'Технический лист'!$A:$B,2,1)),1+(1-$AU23))</f>
        <v>1.0210000000000001</v>
      </c>
      <c r="CV23" s="15">
        <f>MIN(IF($AU23=100%,1,1+VLOOKUP(($AJ23-$AI23-$AH23-$AG23-$AF23-$AE23*(1+CV$3))/$AJ23,'Технический лист'!$A:$B,2,1)-VLOOKUP($AO23,'Технический лист'!$A:$B,2,1)),1+(1-$AU23))</f>
        <v>1.0210000000000001</v>
      </c>
      <c r="CW23" s="15">
        <f>MIN(IF($AU23=100%,1,1+VLOOKUP(($AJ23-$AI23-$AH23-$AG23-$AF23-$AE23*(1+CW$3))/$AJ23,'Технический лист'!$A:$B,2,1)-VLOOKUP($AO23,'Технический лист'!$A:$B,2,1)),1+(1-$AU23))</f>
        <v>1.0210000000000001</v>
      </c>
      <c r="CX23" s="15">
        <f>MIN(IF($AU23=100%,1,1+VLOOKUP(($AJ23-$AI23-$AH23-$AG23-$AF23-$AE23*(1+CX$3))/$AJ23,'Технический лист'!$A:$B,2,1)-VLOOKUP($AO23,'Технический лист'!$A:$B,2,1)),1+(1-$AU23))</f>
        <v>1.0210000000000001</v>
      </c>
      <c r="CY23" s="15">
        <f>MIN(IF($AU23=100%,1,1+VLOOKUP(($AJ23-$AI23-$AH23-$AG23-$AF23-$AE23*(1+CY$3))/$AJ23,'Технический лист'!$A:$B,2,1)-VLOOKUP($AO23,'Технический лист'!$A:$B,2,1)),1+(1-$AU23))</f>
        <v>1.0210000000000001</v>
      </c>
      <c r="CZ23" s="15">
        <f>MIN(IF($AU23=100%,1,1+VLOOKUP(($AJ23-$AI23-$AH23-$AG23-$AF23-$AE23*(1+CZ$3))/$AJ23,'Технический лист'!$A:$B,2,1)-VLOOKUP($AO23,'Технический лист'!$A:$B,2,1)),1+(1-$AU23))</f>
        <v>1.0210000000000001</v>
      </c>
      <c r="DA23" s="15">
        <f>MIN(IF($AU23=100%,1,1+VLOOKUP(($AJ23-$AI23-$AH23-$AG23-$AF23-$AE23*(1+DA$3))/$AJ23,'Технический лист'!$A:$B,2,1)-VLOOKUP($AO23,'Технический лист'!$A:$B,2,1)),1+(1-$AU23))</f>
        <v>1.0210000000000001</v>
      </c>
      <c r="DB23" s="15">
        <f>MIN(IF($AU23=100%,1,1+VLOOKUP(($AJ23-$AI23-$AH23-$AG23-$AF23-$AE23*(1+DB$3))/$AJ23,'Технический лист'!$A:$B,2,1)-VLOOKUP($AO23,'Технический лист'!$A:$B,2,1)),1+(1-$AU23))</f>
        <v>1.0210000000000001</v>
      </c>
      <c r="DC23" s="15">
        <f>MIN(IF($AU23=100%,1,1+VLOOKUP(($AJ23-$AI23-$AH23-$AG23-$AF23-$AE23*(1+DC$3))/$AJ23,'Технический лист'!$A:$B,2,1)-VLOOKUP($AO23,'Технический лист'!$A:$B,2,1)),1+(1-$AU23))</f>
        <v>1.0210000000000001</v>
      </c>
      <c r="DD23" s="15">
        <f>MIN(IF($AU23=100%,1,1+VLOOKUP(($AJ23-$AI23-$AH23-$AG23-$AF23-$AE23*(1+DD$3))/$AJ23,'Технический лист'!$A:$B,2,1)-VLOOKUP($AO23,'Технический лист'!$A:$B,2,1)),1+(1-$AU23))</f>
        <v>1.0210000000000001</v>
      </c>
      <c r="DE23" s="15">
        <f>MIN(IF($AU23=100%,1,1+VLOOKUP(($AJ23-$AI23-$AH23-$AG23-$AF23-$AE23*(1+DE$3))/$AJ23,'Технический лист'!$A:$B,2,1)-VLOOKUP($AO23,'Технический лист'!$A:$B,2,1)),1+(1-$AU23))</f>
        <v>1.0210000000000001</v>
      </c>
      <c r="DF23" s="15">
        <f>MIN(IF($AU23=100%,1,1+VLOOKUP(($AJ23-$AI23-$AH23-$AG23-$AF23-$AE23*(1+DF$3))/$AJ23,'Технический лист'!$A:$B,2,1)-VLOOKUP($AO23,'Технический лист'!$A:$B,2,1)),1+(1-$AU23))</f>
        <v>1.014</v>
      </c>
      <c r="DG23" s="15">
        <f>MIN(IF($AU23=100%,1,1+VLOOKUP(($AJ23-$AI23-$AH23-$AG23-$AF23-$AE23*(1+DG$3))/$AJ23,'Технический лист'!$A:$B,2,1)-VLOOKUP($AO23,'Технический лист'!$A:$B,2,1)),1+(1-$AU23))</f>
        <v>1.014</v>
      </c>
      <c r="DH23" s="15">
        <f>MIN(IF($AU23=100%,1,1+VLOOKUP(($AJ23-$AI23-$AH23-$AG23-$AF23-$AE23*(1+DH$3))/$AJ23,'Технический лист'!$A:$B,2,1)-VLOOKUP($AO23,'Технический лист'!$A:$B,2,1)),1+(1-$AU23))</f>
        <v>1.014</v>
      </c>
      <c r="DI23" s="15">
        <f>MIN(IF($AU23=100%,1,1+VLOOKUP(($AJ23-$AI23-$AH23-$AG23-$AF23-$AE23*(1+DI$3))/$AJ23,'Технический лист'!$A:$B,2,1)-VLOOKUP($AO23,'Технический лист'!$A:$B,2,1)),1+(1-$AU23))</f>
        <v>1.014</v>
      </c>
      <c r="DJ23" s="15">
        <f>MIN(IF($AU23=100%,1,1+VLOOKUP(($AJ23-$AI23-$AH23-$AG23-$AF23-$AE23*(1+DJ$3))/$AJ23,'Технический лист'!$A:$B,2,1)-VLOOKUP($AO23,'Технический лист'!$A:$B,2,1)),1+(1-$AU23))</f>
        <v>1.014</v>
      </c>
      <c r="DK23" s="15">
        <f>MIN(IF($AU23=100%,1,1+VLOOKUP(($AJ23-$AI23-$AH23-$AG23-$AF23-$AE23*(1+DK$3))/$AJ23,'Технический лист'!$A:$B,2,1)-VLOOKUP($AO23,'Технический лист'!$A:$B,2,1)),1+(1-$AU23))</f>
        <v>1.014</v>
      </c>
      <c r="DL23" s="15">
        <f>MIN(IF($AU23=100%,1,1+VLOOKUP(($AJ23-$AI23-$AH23-$AG23-$AF23-$AE23*(1+DL$3))/$AJ23,'Технический лист'!$A:$B,2,1)-VLOOKUP($AO23,'Технический лист'!$A:$B,2,1)),1+(1-$AU23))</f>
        <v>1.014</v>
      </c>
      <c r="DM23" s="15">
        <f>MIN(IF($AU23=100%,1,1+VLOOKUP(($AJ23-$AI23-$AH23-$AG23-$AF23-$AE23*(1+DM$3))/$AJ23,'Технический лист'!$A:$B,2,1)-VLOOKUP($AO23,'Технический лист'!$A:$B,2,1)),1+(1-$AU23))</f>
        <v>1.014</v>
      </c>
      <c r="DN23" s="15">
        <f>MIN(IF($AU23=100%,1,1+VLOOKUP(($AJ23-$AI23-$AH23-$AG23-$AF23-$AE23*(1+DN$3))/$AJ23,'Технический лист'!$A:$B,2,1)-VLOOKUP($AO23,'Технический лист'!$A:$B,2,1)),1+(1-$AU23))</f>
        <v>1.014</v>
      </c>
      <c r="DO23" s="15">
        <f>MIN(IF($AU23=100%,1,1+VLOOKUP(($AJ23-$AI23-$AH23-$AG23-$AF23-$AE23*(1+DO$3))/$AJ23,'Технический лист'!$A:$B,2,1)-VLOOKUP($AO23,'Технический лист'!$A:$B,2,1)),1+(1-$AU23))</f>
        <v>1.014</v>
      </c>
      <c r="DP23" s="15">
        <f>MIN(IF($AU23=100%,1,1+VLOOKUP(($AJ23-$AI23-$AH23-$AG23-$AF23-$AE23*(1+DP$3))/$AJ23,'Технический лист'!$A:$B,2,1)-VLOOKUP($AO23,'Технический лист'!$A:$B,2,1)),1+(1-$AU23))</f>
        <v>1.014</v>
      </c>
      <c r="DQ23" s="15">
        <f>MIN(IF($AU23=100%,1,1+VLOOKUP(($AJ23-$AI23-$AH23-$AG23-$AF23-$AE23*(1+DQ$3))/$AJ23,'Технический лист'!$A:$B,2,1)-VLOOKUP($AO23,'Технический лист'!$A:$B,2,1)),1+(1-$AU23))</f>
        <v>1.014</v>
      </c>
      <c r="DR23" s="15">
        <f>MIN(IF($AU23=100%,1,1+VLOOKUP(($AJ23-$AI23-$AH23-$AG23-$AF23-$AE23*(1+DR$3))/$AJ23,'Технический лист'!$A:$B,2,1)-VLOOKUP($AO23,'Технический лист'!$A:$B,2,1)),1+(1-$AU23))</f>
        <v>1.014</v>
      </c>
      <c r="DS23" s="15">
        <f>MIN(IF($AU23=100%,1,1+VLOOKUP(($AJ23-$AI23-$AH23-$AG23-$AF23-$AE23*(1+DS$3))/$AJ23,'Технический лист'!$A:$B,2,1)-VLOOKUP($AO23,'Технический лист'!$A:$B,2,1)),1+(1-$AU23))</f>
        <v>1.014</v>
      </c>
      <c r="DT23" s="15">
        <f>MIN(IF($AU23=100%,1,1+VLOOKUP(($AJ23-$AI23-$AH23-$AG23-$AF23-$AE23*(1+DT$3))/$AJ23,'Технический лист'!$A:$B,2,1)-VLOOKUP($AO23,'Технический лист'!$A:$B,2,1)),1+(1-$AU23))</f>
        <v>1.014</v>
      </c>
      <c r="DU23" s="15">
        <f>MIN(IF($AU23=100%,1,1+VLOOKUP(($AJ23-$AI23-$AH23-$AG23-$AF23-$AE23*(1+DU$3))/$AJ23,'Технический лист'!$A:$B,2,1)-VLOOKUP($AO23,'Технический лист'!$A:$B,2,1)),1+(1-$AU23))</f>
        <v>1.014</v>
      </c>
      <c r="DV23" s="15">
        <f>MIN(IF($AU23=100%,1,1+VLOOKUP(($AJ23-$AI23-$AH23-$AG23-$AF23-$AE23*(1+DV$3))/$AJ23,'Технический лист'!$A:$B,2,1)-VLOOKUP($AO23,'Технический лист'!$A:$B,2,1)),1+(1-$AU23))</f>
        <v>1.014</v>
      </c>
      <c r="DW23" s="15">
        <f>MIN(IF($AU23=100%,1,1+VLOOKUP(($AJ23-$AI23-$AH23-$AG23-$AF23-$AE23*(1+DW$3))/$AJ23,'Технический лист'!$A:$B,2,1)-VLOOKUP($AO23,'Технический лист'!$A:$B,2,1)),1+(1-$AU23))</f>
        <v>1.0070000000000003</v>
      </c>
      <c r="DX23" s="15">
        <f>MIN(IF($AU23=100%,1,1+VLOOKUP(($AJ23-$AI23-$AH23-$AG23-$AF23-$AE23*(1+DX$3))/$AJ23,'Технический лист'!$A:$B,2,1)-VLOOKUP($AO23,'Технический лист'!$A:$B,2,1)),1+(1-$AU23))</f>
        <v>1.0070000000000003</v>
      </c>
      <c r="DY23" s="15">
        <f>MIN(IF($AU23=100%,1,1+VLOOKUP(($AJ23-$AI23-$AH23-$AG23-$AF23-$AE23*(1+DY$3))/$AJ23,'Технический лист'!$A:$B,2,1)-VLOOKUP($AO23,'Технический лист'!$A:$B,2,1)),1+(1-$AU23))</f>
        <v>1.0070000000000003</v>
      </c>
      <c r="DZ23" s="15">
        <f>MIN(IF($AU23=100%,1,1+VLOOKUP(($AJ23-$AI23-$AH23-$AG23-$AF23-$AE23*(1+DZ$3))/$AJ23,'Технический лист'!$A:$B,2,1)-VLOOKUP($AO23,'Технический лист'!$A:$B,2,1)),1+(1-$AU23))</f>
        <v>1.0070000000000003</v>
      </c>
      <c r="EA23" s="15">
        <f>MIN(IF($AU23=100%,1,1+VLOOKUP(($AJ23-$AI23-$AH23-$AG23-$AF23-$AE23*(1+EA$3))/$AJ23,'Технический лист'!$A:$B,2,1)-VLOOKUP($AO23,'Технический лист'!$A:$B,2,1)),1+(1-$AU23))</f>
        <v>1.0070000000000003</v>
      </c>
      <c r="EB23" s="15">
        <f>MIN(IF($AU23=100%,1,1+VLOOKUP(($AJ23-$AI23-$AH23-$AG23-$AF23-$AE23*(1+EB$3))/$AJ23,'Технический лист'!$A:$B,2,1)-VLOOKUP($AO23,'Технический лист'!$A:$B,2,1)),1+(1-$AU23))</f>
        <v>1.0070000000000003</v>
      </c>
      <c r="EC23" s="15">
        <f>MIN(IF($AU23=100%,1,1+VLOOKUP(($AJ23-$AI23-$AH23-$AG23-$AF23-$AE23*(1+EC$3))/$AJ23,'Технический лист'!$A:$B,2,1)-VLOOKUP($AO23,'Технический лист'!$A:$B,2,1)),1+(1-$AU23))</f>
        <v>1.0070000000000003</v>
      </c>
      <c r="ED23" s="15">
        <f>MIN(IF($AU23=100%,1,1+VLOOKUP(($AJ23-$AI23-$AH23-$AG23-$AF23-$AE23*(1+ED$3))/$AJ23,'Технический лист'!$A:$B,2,1)-VLOOKUP($AO23,'Технический лист'!$A:$B,2,1)),1+(1-$AU23))</f>
        <v>1.0070000000000003</v>
      </c>
      <c r="EE23" s="15">
        <f>MIN(IF($AU23=100%,1,1+VLOOKUP(($AJ23-$AI23-$AH23-$AG23-$AF23-$AE23*(1+EE$3))/$AJ23,'Технический лист'!$A:$B,2,1)-VLOOKUP($AO23,'Технический лист'!$A:$B,2,1)),1+(1-$AU23))</f>
        <v>1.0070000000000003</v>
      </c>
      <c r="EF23" s="15">
        <f>MIN(IF($AU23=100%,1,1+VLOOKUP(($AJ23-$AI23-$AH23-$AG23-$AF23-$AE23*(1+EF$3))/$AJ23,'Технический лист'!$A:$B,2,1)-VLOOKUP($AO23,'Технический лист'!$A:$B,2,1)),1+(1-$AU23))</f>
        <v>1.0070000000000003</v>
      </c>
      <c r="EG23" s="15">
        <f>MIN(IF($AU23=100%,1,1+VLOOKUP(($AJ23-$AI23-$AH23-$AG23-$AF23-$AE23*(1+EG$3))/$AJ23,'Технический лист'!$A:$B,2,1)-VLOOKUP($AO23,'Технический лист'!$A:$B,2,1)),1+(1-$AU23))</f>
        <v>1.0070000000000003</v>
      </c>
      <c r="EH23" s="15">
        <f>MIN(IF($AU23=100%,1,1+VLOOKUP(($AJ23-$AI23-$AH23-$AG23-$AF23-$AE23*(1+EH$3))/$AJ23,'Технический лист'!$A:$B,2,1)-VLOOKUP($AO23,'Технический лист'!$A:$B,2,1)),1+(1-$AU23))</f>
        <v>1.0070000000000003</v>
      </c>
      <c r="EI23" s="15">
        <f>MIN(IF($AU23=100%,1,1+VLOOKUP(($AJ23-$AI23-$AH23-$AG23-$AF23-$AE23*(1+EI$3))/$AJ23,'Технический лист'!$A:$B,2,1)-VLOOKUP($AO23,'Технический лист'!$A:$B,2,1)),1+(1-$AU23))</f>
        <v>1.0070000000000003</v>
      </c>
      <c r="EJ23" s="15">
        <f>MIN(IF($AU23=100%,1,1+VLOOKUP(($AJ23-$AI23-$AH23-$AG23-$AF23-$AE23*(1+EJ$3))/$AJ23,'Технический лист'!$A:$B,2,1)-VLOOKUP($AO23,'Технический лист'!$A:$B,2,1)),1+(1-$AU23))</f>
        <v>1.0070000000000003</v>
      </c>
      <c r="EK23" s="15">
        <f>MIN(IF($AU23=100%,1,1+VLOOKUP(($AJ23-$AI23-$AH23-$AG23-$AF23-$AE23*(1+EK$3))/$AJ23,'Технический лист'!$A:$B,2,1)-VLOOKUP($AO23,'Технический лист'!$A:$B,2,1)),1+(1-$AU23))</f>
        <v>1.0070000000000003</v>
      </c>
      <c r="EL23" s="15">
        <f>MIN(IF($AU23=100%,1,1+VLOOKUP(($AJ23-$AI23-$AH23-$AG23-$AF23-$AE23*(1+EL$3))/$AJ23,'Технический лист'!$A:$B,2,1)-VLOOKUP($AO23,'Технический лист'!$A:$B,2,1)),1+(1-$AU23))</f>
        <v>1.0070000000000003</v>
      </c>
      <c r="EM23" s="15">
        <f>MIN(IF($AU23=100%,1,1+VLOOKUP(($AJ23-$AI23-$AH23-$AG23-$AF23-$AE23*(1+EM$3))/$AJ23,'Технический лист'!$A:$B,2,1)-VLOOKUP($AO23,'Технический лист'!$A:$B,2,1)),1+(1-$AU23))</f>
        <v>1.0070000000000003</v>
      </c>
      <c r="EN23" s="15">
        <f>MIN(IF($AU23=100%,1,1+VLOOKUP(($AJ23-$AI23-$AH23-$AG23-$AF23-$AE23*(1+EN$3))/$AJ23,'Технический лист'!$A:$B,2,1)-VLOOKUP($AO23,'Технический лист'!$A:$B,2,1)),1+(1-$AU23))</f>
        <v>1.0070000000000003</v>
      </c>
      <c r="EO23" s="15">
        <f>MIN(IF($AU23=100%,1,1+VLOOKUP(($AJ23-$AI23-$AH23-$AG23-$AF23-$AE23*(1+EO$3))/$AJ23,'Технический лист'!$A:$B,2,1)-VLOOKUP($AO23,'Технический лист'!$A:$B,2,1)),1+(1-$AU23))</f>
        <v>0.99999999999999978</v>
      </c>
      <c r="EP23" s="15">
        <f>MIN(IF($AU23=100%,1,1+VLOOKUP(($AJ23-$AI23-$AH23-$AG23-$AF23-$AE23*(1+EP$3))/$AJ23,'Технический лист'!$A:$B,2,1)-VLOOKUP($AO23,'Технический лист'!$A:$B,2,1)),1+(1-$AU23))</f>
        <v>0.99999999999999978</v>
      </c>
      <c r="EQ23" s="15">
        <f>MIN(IF($AU23=100%,1,1+VLOOKUP(($AJ23-$AI23-$AH23-$AG23-$AF23-$AE23*(1+EQ$3))/$AJ23,'Технический лист'!$A:$B,2,1)-VLOOKUP($AO23,'Технический лист'!$A:$B,2,1)),1+(1-$AU23))</f>
        <v>0.99999999999999978</v>
      </c>
      <c r="ER23" s="15">
        <f>MIN(IF($AU23=100%,1,1+VLOOKUP(($AJ23-$AI23-$AH23-$AG23-$AF23-$AE23*(1+ER$3))/$AJ23,'Технический лист'!$A:$B,2,1)-VLOOKUP($AO23,'Технический лист'!$A:$B,2,1)),1+(1-$AU23))</f>
        <v>0.99999999999999978</v>
      </c>
      <c r="ES23" s="15">
        <f>MIN(IF($AU23=100%,1,1+VLOOKUP(($AJ23-$AI23-$AH23-$AG23-$AF23-$AE23*(1+ES$3))/$AJ23,'Технический лист'!$A:$B,2,1)-VLOOKUP($AO23,'Технический лист'!$A:$B,2,1)),1+(1-$AU23))</f>
        <v>0.99999999999999978</v>
      </c>
      <c r="ET23" s="15">
        <f>MIN(IF($AU23=100%,1,1+VLOOKUP(($AJ23-$AI23-$AH23-$AG23-$AF23-$AE23*(1+ET$3))/$AJ23,'Технический лист'!$A:$B,2,1)-VLOOKUP($AO23,'Технический лист'!$A:$B,2,1)),1+(1-$AU23))</f>
        <v>0.99999999999999978</v>
      </c>
      <c r="EU23" s="15">
        <f>MIN(IF($AU23=100%,1,1+VLOOKUP(($AJ23-$AI23-$AH23-$AG23-$AF23-$AE23*(1+EU$3))/$AJ23,'Технический лист'!$A:$B,2,1)-VLOOKUP($AO23,'Технический лист'!$A:$B,2,1)),1+(1-$AU23))</f>
        <v>0.99999999999999978</v>
      </c>
      <c r="EV23" s="111">
        <v>1</v>
      </c>
      <c r="EW23" s="15">
        <f>MIN(1,MAX(VLOOKUP(($AJ23-$AI23-$AH23-$AG23-$AF23-$AE23*(1+EW$3))/$AJ23,'Технический лист'!$A:$B,2,1),(EV23-0.05)))</f>
        <v>1</v>
      </c>
      <c r="EX23" s="15">
        <f>MIN(1,MAX(VLOOKUP(($AJ23-$AI23-$AH23-$AG23-$AF23-$AE23*(1+EX$3))/$AJ23,'Технический лист'!$A:$B,2,1),(EW23-0.05)))</f>
        <v>1</v>
      </c>
      <c r="EY23" s="15">
        <f>MIN(1,MAX(VLOOKUP(($AJ23-$AI23-$AH23-$AG23-$AF23-$AE23*(1+EY$3))/$AJ23,'Технический лист'!$A:$B,2,1),(EX23-0.05)))</f>
        <v>1</v>
      </c>
      <c r="EZ23" s="15">
        <f>MIN(1,MAX(VLOOKUP(($AJ23-$AI23-$AH23-$AG23-$AF23-$AE23*(1+EZ$3))/$AJ23,'Технический лист'!$A:$B,2,1),(EY23-0.05)))</f>
        <v>1</v>
      </c>
      <c r="FA23" s="15">
        <f>MIN(1,MAX(VLOOKUP(($AJ23-$AI23-$AH23-$AG23-$AF23-$AE23*(1+FA$3))/$AJ23,'Технический лист'!$A:$B,2,1),(EZ23-0.05)))</f>
        <v>1</v>
      </c>
      <c r="FB23" s="15">
        <f>MIN(1,MAX(VLOOKUP(($AJ23-$AI23-$AH23-$AG23-$AF23-$AE23*(1+FB$3))/$AJ23,'Технический лист'!$A:$B,2,1),(FA23-0.05)))</f>
        <v>1</v>
      </c>
      <c r="FC23" s="15">
        <f>MIN(1,MAX(VLOOKUP(($AJ23-$AI23-$AH23-$AG23-$AF23-$AE23*(1+FC$3))/$AJ23,'Технический лист'!$A:$B,2,1),(FB23-0.05)))</f>
        <v>1</v>
      </c>
      <c r="FD23" s="15">
        <f>MIN(1,MAX(VLOOKUP(($AJ23-$AI23-$AH23-$AG23-$AF23-$AE23*(1+FD$3))/$AJ23,'Технический лист'!$A:$B,2,1),(FC23-0.05)))</f>
        <v>1</v>
      </c>
      <c r="FE23" s="15">
        <f>MIN(1,MAX(VLOOKUP(($AJ23-$AI23-$AH23-$AG23-$AF23-$AE23*(1+FE$3))/$AJ23,'Технический лист'!$A:$B,2,1),(FD23-0.05)))</f>
        <v>1</v>
      </c>
      <c r="FF23" s="15">
        <f>MIN(1,MAX(VLOOKUP(($AJ23-$AI23-$AH23-$AG23-$AF23-$AE23*(1+FF$3))/$AJ23,'Технический лист'!$A:$B,2,1),(FE23-0.05)))</f>
        <v>1</v>
      </c>
      <c r="FG23" s="15">
        <f>MIN(1,MAX(VLOOKUP(($AJ23-$AI23-$AH23-$AG23-$AF23-$AE23*(1+FG$3))/$AJ23,'Технический лист'!$A:$B,2,1),(FF23-0.05)))</f>
        <v>1</v>
      </c>
      <c r="FH23" s="15">
        <f>MIN(1,MAX(VLOOKUP(($AJ23-$AI23-$AH23-$AG23-$AF23-$AE23*(1+FH$3))/$AJ23,'Технический лист'!$A:$B,2,1),(FG23-0.05)))</f>
        <v>1</v>
      </c>
      <c r="FI23" s="15">
        <f>MIN(1,MAX(VLOOKUP(($AJ23-$AI23-$AH23-$AG23-$AF23-$AE23*(1+FI$3))/$AJ23,'Технический лист'!$A:$B,2,1),(FH23-0.05)))</f>
        <v>1</v>
      </c>
      <c r="FJ23" s="15">
        <f>MIN(1,MAX(VLOOKUP(($AJ23-$AI23-$AH23-$AG23-$AF23-$AE23*(1+FJ$3))/$AJ23,'Технический лист'!$A:$B,2,1),(FI23-0.05)))</f>
        <v>1</v>
      </c>
      <c r="FK23" s="15">
        <f>MIN(1,MAX(VLOOKUP(($AJ23-$AI23-$AH23-$AG23-$AF23-$AE23*(1+FK$3))/$AJ23,'Технический лист'!$A:$B,2,1),(FJ23-0.05)))</f>
        <v>1</v>
      </c>
      <c r="FL23" s="15">
        <f>MIN(1,MAX(VLOOKUP(($AJ23-$AI23-$AH23-$AG23-$AF23-$AE23*(1+FL$3))/$AJ23,'Технический лист'!$A:$B,2,1),(FK23-0.05)))</f>
        <v>1</v>
      </c>
      <c r="FM23" s="15">
        <f>MIN(1,MAX(VLOOKUP(($AJ23-$AI23-$AH23-$AG23-$AF23-$AE23*(1+FM$3))/$AJ23,'Технический лист'!$A:$B,2,1),(FL23-0.05)))</f>
        <v>1</v>
      </c>
      <c r="FN23" s="15">
        <f>MIN(1,MAX(VLOOKUP(($AJ23-$AI23-$AH23-$AG23-$AF23-$AE23*(1+FN$3))/$AJ23,'Технический лист'!$A:$B,2,1),(FM23-0.05)))</f>
        <v>1</v>
      </c>
      <c r="FO23" s="15">
        <f>MIN(1,MAX(VLOOKUP(($AJ23-$AI23-$AH23-$AG23-$AF23-$AE23*(1+FO$3))/$AJ23,'Технический лист'!$A:$B,2,1),(FN23-0.05)))</f>
        <v>1</v>
      </c>
      <c r="FP23" s="15">
        <f>MIN(1,MAX(VLOOKUP(($AJ23-$AI23-$AH23-$AG23-$AF23-$AE23*(1+FP$3))/$AJ23,'Технический лист'!$A:$B,2,1),(FO23-0.05)))</f>
        <v>1</v>
      </c>
      <c r="FQ23" s="15">
        <f>MIN(1,MAX(VLOOKUP(($AJ23-$AI23-$AH23-$AG23-$AF23-$AE23*(1+FQ$3))/$AJ23,'Технический лист'!$A:$B,2,1),(FP23-0.05)))</f>
        <v>1</v>
      </c>
      <c r="FR23" s="15">
        <f>MIN(1,MAX(VLOOKUP(($AJ23-$AI23-$AH23-$AG23-$AF23-$AE23*(1+FR$3))/$AJ23,'Технический лист'!$A:$B,2,1),(FQ23-0.05)))</f>
        <v>1</v>
      </c>
      <c r="FS23" s="15">
        <f>MIN(1,MAX(VLOOKUP(($AJ23-$AI23-$AH23-$AG23-$AF23-$AE23*(1+FS$3))/$AJ23,'Технический лист'!$A:$B,2,1),(FR23-0.05)))</f>
        <v>1</v>
      </c>
      <c r="FT23" s="15">
        <f>MIN(1,MAX(VLOOKUP(($AJ23-$AI23-$AH23-$AG23-$AF23-$AE23*(1+FT$3))/$AJ23,'Технический лист'!$A:$B,2,1),(FS23-0.05)))</f>
        <v>1</v>
      </c>
      <c r="FU23" s="15">
        <f>MIN(1,MAX(VLOOKUP(($AJ23-$AI23-$AH23-$AG23-$AF23-$AE23*(1+FU$3))/$AJ23,'Технический лист'!$A:$B,2,1),(FT23-0.05)))</f>
        <v>1</v>
      </c>
      <c r="FV23" s="15">
        <f>MIN(1,MAX(VLOOKUP(($AJ23-$AI23-$AH23-$AG23-$AF23-$AE23*(1+FV$3))/$AJ23,'Технический лист'!$A:$B,2,1),(FU23-0.05)))</f>
        <v>1</v>
      </c>
      <c r="FW23" s="15">
        <f>MIN(1,MAX(VLOOKUP(($AJ23-$AI23-$AH23-$AG23-$AF23-$AE23*(1+FW$3))/$AJ23,'Технический лист'!$A:$B,2,1),(FV23-0.05)))</f>
        <v>1</v>
      </c>
      <c r="FX23" s="15">
        <f>MIN(1,MAX(VLOOKUP(($AJ23-$AI23-$AH23-$AG23-$AF23-$AE23*(1+FX$3))/$AJ23,'Технический лист'!$A:$B,2,1),(FW23-0.05)))</f>
        <v>1</v>
      </c>
      <c r="FY23" s="15">
        <f>MIN(1,MAX(VLOOKUP(($AJ23-$AI23-$AH23-$AG23-$AF23-$AE23*(1+FY$3))/$AJ23,'Технический лист'!$A:$B,2,1),(FX23-0.05)))</f>
        <v>1</v>
      </c>
      <c r="FZ23" s="15">
        <f>MIN(1,MAX(VLOOKUP(($AJ23-$AI23-$AH23-$AG23-$AF23-$AE23*(1+FZ$3))/$AJ23,'Технический лист'!$A:$B,2,1),(FY23-0.05)))</f>
        <v>1</v>
      </c>
      <c r="GA23" s="15">
        <f>MIN(1,MAX(VLOOKUP(($AJ23-$AI23-$AH23-$AG23-$AF23-$AE23*(1+GA$3))/$AJ23,'Технический лист'!$A:$B,2,1),(FZ23-0.05)))</f>
        <v>1</v>
      </c>
      <c r="GB23" s="15">
        <f>MIN(1,MAX(VLOOKUP(($AJ23-$AI23-$AH23-$AG23-$AF23-$AE23*(1+GB$3))/$AJ23,'Технический лист'!$A:$B,2,1),(GA23-0.05)))</f>
        <v>1</v>
      </c>
      <c r="GC23" s="15">
        <f>MIN(1,MAX(VLOOKUP(($AJ23-$AI23-$AH23-$AG23-$AF23-$AE23*(1+GC$3))/$AJ23,'Технический лист'!$A:$B,2,1),(GB23-0.05)))</f>
        <v>1</v>
      </c>
      <c r="GD23" s="15">
        <f>MIN(1,MAX(VLOOKUP(($AJ23-$AI23-$AH23-$AG23-$AF23-$AE23*(1+GD$3))/$AJ23,'Технический лист'!$A:$B,2,1),(GC23-0.05)))</f>
        <v>1</v>
      </c>
      <c r="GE23" s="15">
        <f>MIN(1,MAX(VLOOKUP(($AJ23-$AI23-$AH23-$AG23-$AF23-$AE23*(1+GE$3))/$AJ23,'Технический лист'!$A:$B,2,1),(GD23-0.05)))</f>
        <v>1</v>
      </c>
      <c r="GF23" s="15">
        <f>MIN(1,MAX(VLOOKUP(($AJ23-$AI23-$AH23-$AG23-$AF23-$AE23*(1+GF$3))/$AJ23,'Технический лист'!$A:$B,2,1),(GE23-0.05)))</f>
        <v>1</v>
      </c>
      <c r="GG23" s="15">
        <f>MIN(1,MAX(VLOOKUP(($AJ23-$AI23-$AH23-$AG23-$AF23-$AE23*(1+GG$3))/$AJ23,'Технический лист'!$A:$B,2,1),(GF23-0.05)))</f>
        <v>1</v>
      </c>
      <c r="GH23" s="15">
        <f>MIN(1,MAX(VLOOKUP(($AJ23-$AI23-$AH23-$AG23-$AF23-$AE23*(1+GH$3))/$AJ23,'Технический лист'!$A:$B,2,1),(GG23-0.05)))</f>
        <v>1</v>
      </c>
      <c r="GI23" s="15">
        <f>MIN(1,MAX(VLOOKUP(($AJ23-$AI23-$AH23-$AG23-$AF23-$AE23*(1+GI$3))/$AJ23,'Технический лист'!$A:$B,2,1),(GH23-0.05)))</f>
        <v>1</v>
      </c>
      <c r="GJ23" s="15">
        <f>MIN(1,MAX(VLOOKUP(($AJ23-$AI23-$AH23-$AG23-$AF23-$AE23*(1+GJ$3))/$AJ23,'Технический лист'!$A:$B,2,1),(GI23-0.05)))</f>
        <v>1</v>
      </c>
      <c r="GK23" s="15">
        <f>MIN(1,MAX(VLOOKUP(($AJ23-$AI23-$AH23-$AG23-$AF23-$AE23*(1+GK$3))/$AJ23,'Технический лист'!$A:$B,2,1),(GJ23-0.05)))</f>
        <v>1</v>
      </c>
      <c r="GL23" s="15">
        <f>MIN(1,MAX(VLOOKUP(($AJ23-$AI23-$AH23-$AG23-$AF23-$AE23*(1+GL$3))/$AJ23,'Технический лист'!$A:$B,2,1),(GK23-0.05)))</f>
        <v>1</v>
      </c>
      <c r="GM23" s="15">
        <f>MIN(1,MAX(VLOOKUP(($AJ23-$AI23-$AH23-$AG23-$AF23-$AE23*(1+GM$3))/$AJ23,'Технический лист'!$A:$B,2,1),(GL23-0.05)))</f>
        <v>1</v>
      </c>
      <c r="GN23" s="15">
        <f>MIN(1,MAX(VLOOKUP(($AJ23-$AI23-$AH23-$AG23-$AF23-$AE23*(1+GN$3))/$AJ23,'Технический лист'!$A:$B,2,1),(GM23-0.05)))</f>
        <v>1</v>
      </c>
      <c r="GO23" s="15">
        <f>MIN(1,MAX(VLOOKUP(($AJ23-$AI23-$AH23-$AG23-$AF23-$AE23*(1+GO$3))/$AJ23,'Технический лист'!$A:$B,2,1),(GN23-0.05)))</f>
        <v>1</v>
      </c>
      <c r="GP23" s="15">
        <f>MIN(1,MAX(VLOOKUP(($AJ23-$AI23-$AH23-$AG23-$AF23-$AE23*(1+GP$3))/$AJ23,'Технический лист'!$A:$B,2,1),(GO23-0.05)))</f>
        <v>1</v>
      </c>
      <c r="GQ23" s="15">
        <f>MIN(1,MAX(VLOOKUP(($AJ23-$AI23-$AH23-$AG23-$AF23-$AE23*(1+GQ$3))/$AJ23,'Технический лист'!$A:$B,2,1),(GP23-0.05)))</f>
        <v>1</v>
      </c>
      <c r="GR23" s="15">
        <f>MIN(1,MAX(VLOOKUP(($AJ23-$AI23-$AH23-$AG23-$AF23-$AE23*(1+GR$3))/$AJ23,'Технический лист'!$A:$B,2,1),(GQ23-0.05)))</f>
        <v>1</v>
      </c>
      <c r="GS23" s="15">
        <f>MIN(1,MAX(VLOOKUP(($AJ23-$AI23-$AH23-$AG23-$AF23-$AE23*(1+GS$3))/$AJ23,'Технический лист'!$A:$B,2,1),(GR23-0.05)))</f>
        <v>1</v>
      </c>
      <c r="GT23" s="15">
        <f>MIN(1,MAX(VLOOKUP(($AJ23-$AI23-$AH23-$AG23-$AF23-$AE23*(1+GT$3))/$AJ23,'Технический лист'!$A:$B,2,1),(GS23-0.05)))</f>
        <v>1</v>
      </c>
      <c r="GU23" s="15">
        <f>MIN(1,MAX(VLOOKUP(($AJ23-$AI23-$AH23-$AG23-$AF23-$AE23*(1+GU$3))/$AJ23,'Технический лист'!$A:$B,2,1),(GT23-0.05)))</f>
        <v>1</v>
      </c>
      <c r="GV23" s="15">
        <f>MIN(1,MAX(VLOOKUP(($AJ23-$AI23-$AH23-$AG23-$AF23-$AE23*(1+GV$3))/$AJ23,'Технический лист'!$A:$B,2,1),(GU23-0.05)))</f>
        <v>1</v>
      </c>
      <c r="GW23" s="15">
        <f>MIN(1,MAX(VLOOKUP(($AJ23-$AI23-$AH23-$AG23-$AF23-$AE23*(1+GW$3))/$AJ23,'Технический лист'!$A:$B,2,1),(GV23-0.05)))</f>
        <v>1</v>
      </c>
      <c r="GX23" s="15">
        <f>MIN(1,MAX(VLOOKUP(($AJ23-$AI23-$AH23-$AG23-$AF23-$AE23*(1+GX$3))/$AJ23,'Технический лист'!$A:$B,2,1),(GW23-0.05)))</f>
        <v>1</v>
      </c>
      <c r="GY23" s="15">
        <f>MIN(1,MAX(VLOOKUP(($AJ23-$AI23-$AH23-$AG23-$AF23-$AE23*(1+GY$3))/$AJ23,'Технический лист'!$A:$B,2,1),(GX23-0.05)))</f>
        <v>1</v>
      </c>
      <c r="GZ23" s="15">
        <f>MIN(1,MAX(VLOOKUP(($AJ23-$AI23-$AH23-$AG23-$AF23-$AE23*(1+GZ$3))/$AJ23,'Технический лист'!$A:$B,2,1),(GY23-0.05)))</f>
        <v>1</v>
      </c>
      <c r="HA23" s="15">
        <f>MIN(1,MAX(VLOOKUP(($AJ23-$AI23-$AH23-$AG23-$AF23-$AE23*(1+HA$3))/$AJ23,'Технический лист'!$A:$B,2,1),(GZ23-0.05)))</f>
        <v>1</v>
      </c>
      <c r="HB23" s="15">
        <f>MIN(1,MAX(VLOOKUP(($AJ23-$AI23-$AH23-$AG23-$AF23-$AE23*(1+HB$3))/$AJ23,'Технический лист'!$A:$B,2,1),(HA23-0.05)))</f>
        <v>1</v>
      </c>
      <c r="HC23" s="15">
        <f>MIN(1,MAX(VLOOKUP(($AJ23-$AI23-$AH23-$AG23-$AF23-$AE23*(1+HC$3))/$AJ23,'Технический лист'!$A:$B,2,1),(HB23-0.05)))</f>
        <v>1</v>
      </c>
      <c r="HD23" s="15">
        <f>MIN(1,MAX(VLOOKUP(($AJ23-$AI23-$AH23-$AG23-$AF23-$AE23*(1+HD$3))/$AJ23,'Технический лист'!$A:$B,2,1),(HC23-0.05)))</f>
        <v>1</v>
      </c>
      <c r="HE23" s="15">
        <f>MIN(1,MAX(VLOOKUP(($AJ23-$AI23-$AH23-$AG23-$AF23-$AE23*(1+HE$3))/$AJ23,'Технический лист'!$A:$B,2,1),(HD23-0.05)))</f>
        <v>1</v>
      </c>
      <c r="HF23" s="15">
        <f>MIN(1,MAX(VLOOKUP(($AJ23-$AI23-$AH23-$AG23-$AF23-$AE23*(1+HF$3))/$AJ23,'Технический лист'!$A:$B,2,1),(HE23-0.05)))</f>
        <v>1</v>
      </c>
      <c r="HG23" s="15">
        <f>MIN(1,MAX(VLOOKUP(($AJ23-$AI23-$AH23-$AG23-$AF23-$AE23*(1+HG$3))/$AJ23,'Технический лист'!$A:$B,2,1),(HF23-0.05)))</f>
        <v>1</v>
      </c>
      <c r="HH23" s="15">
        <f>MIN(1,MAX(VLOOKUP(($AJ23-$AI23-$AH23-$AG23-$AF23-$AE23*(1+HH$3))/$AJ23,'Технический лист'!$A:$B,2,1),(HG23-0.05)))</f>
        <v>1</v>
      </c>
      <c r="HI23" s="15">
        <f>MIN(1,MAX(VLOOKUP(($AJ23-$AI23-$AH23-$AG23-$AF23-$AE23*(1+HI$3))/$AJ23,'Технический лист'!$A:$B,2,1),(HH23-0.05)))</f>
        <v>1</v>
      </c>
      <c r="HJ23" s="15">
        <f>MIN(1,MAX(VLOOKUP(($AJ23-$AI23-$AH23-$AG23-$AF23-$AE23*(1+HJ$3))/$AJ23,'Технический лист'!$A:$B,2,1),(HI23-0.05)))</f>
        <v>1</v>
      </c>
      <c r="HK23" s="15">
        <f>MIN(1,MAX(VLOOKUP(($AJ23-$AI23-$AH23-$AG23-$AF23-$AE23*(1+HK$3))/$AJ23,'Технический лист'!$A:$B,2,1),(HJ23-0.05)))</f>
        <v>1</v>
      </c>
      <c r="HL23" s="15">
        <f>MIN(1,MAX(VLOOKUP(($AJ23-$AI23-$AH23-$AG23-$AF23-$AE23*(1+HL$3))/$AJ23,'Технический лист'!$A:$B,2,1),(HK23-0.05)))</f>
        <v>1</v>
      </c>
      <c r="HM23" s="15">
        <f>MIN(1,MAX(VLOOKUP(($AJ23-$AI23-$AH23-$AG23-$AF23-$AE23*(1+HM$3))/$AJ23,'Технический лист'!$A:$B,2,1),(HL23-0.05)))</f>
        <v>1</v>
      </c>
      <c r="HN23" s="15">
        <f>MIN(1,MAX(VLOOKUP(($AJ23-$AI23-$AH23-$AG23-$AF23-$AE23*(1+HN$3))/$AJ23,'Технический лист'!$A:$B,2,1),(HM23-0.05)))</f>
        <v>1</v>
      </c>
      <c r="HO23" s="15">
        <f>MIN(1,MAX(VLOOKUP(($AJ23-$AI23-$AH23-$AG23-$AF23-$AE23*(1+HO$3))/$AJ23,'Технический лист'!$A:$B,2,1),(HN23-0.05)))</f>
        <v>1</v>
      </c>
      <c r="HP23" s="15">
        <f>MIN(1,MAX(VLOOKUP(($AJ23-$AI23-$AH23-$AG23-$AF23-$AE23*(1+HP$3))/$AJ23,'Технический лист'!$A:$B,2,1),(HO23-0.05)))</f>
        <v>1</v>
      </c>
      <c r="HQ23" s="15">
        <f>MIN(1,MAX(VLOOKUP(($AJ23-$AI23-$AH23-$AG23-$AF23-$AE23*(1+HQ$3))/$AJ23,'Технический лист'!$A:$B,2,1),(HP23-0.05)))</f>
        <v>1</v>
      </c>
      <c r="HR23" s="15">
        <f>MIN(1,MAX(VLOOKUP(($AJ23-$AI23-$AH23-$AG23-$AF23-$AE23*(1+HR$3))/$AJ23,'Технический лист'!$A:$B,2,1),(HQ23-0.05)))</f>
        <v>1</v>
      </c>
      <c r="HS23" s="15">
        <f>MIN(1,MAX(VLOOKUP(($AJ23-$AI23-$AH23-$AG23-$AF23-$AE23*(1+HS$3))/$AJ23,'Технический лист'!$A:$B,2,1),(HR23-0.05)))</f>
        <v>1</v>
      </c>
      <c r="HT23" s="15">
        <f>MIN(1,MAX(VLOOKUP(($AJ23-$AI23-$AH23-$AG23-$AF23-$AE23*(1+HT$3))/$AJ23,'Технический лист'!$A:$B,2,1),(HS23-0.05)))</f>
        <v>1</v>
      </c>
      <c r="HU23" s="15">
        <f>MIN(1,MAX(VLOOKUP(($AJ23-$AI23-$AH23-$AG23-$AF23-$AE23*(1+HU$3))/$AJ23,'Технический лист'!$A:$B,2,1),(HT23-0.05)))</f>
        <v>1</v>
      </c>
      <c r="HV23" s="15">
        <f>MIN(1,MAX(VLOOKUP(($AJ23-$AI23-$AH23-$AG23-$AF23-$AE23*(1+HV$3))/$AJ23,'Технический лист'!$A:$B,2,1),(HU23-0.05)))</f>
        <v>1</v>
      </c>
      <c r="HW23" s="15">
        <f>MIN(1,MAX(VLOOKUP(($AJ23-$AI23-$AH23-$AG23-$AF23-$AE23*(1+HW$3))/$AJ23,'Технический лист'!$A:$B,2,1),(HV23-0.05)))</f>
        <v>1</v>
      </c>
      <c r="HX23" s="15">
        <f>MIN(1,MAX(VLOOKUP(($AJ23-$AI23-$AH23-$AG23-$AF23-$AE23*(1+HX$3))/$AJ23,'Технический лист'!$A:$B,2,1),(HW23-0.05)))</f>
        <v>1</v>
      </c>
      <c r="HY23" s="15">
        <f>MIN(1,MAX(VLOOKUP(($AJ23-$AI23-$AH23-$AG23-$AF23-$AE23*(1+HY$3))/$AJ23,'Технический лист'!$A:$B,2,1),(HX23-0.05)))</f>
        <v>1</v>
      </c>
      <c r="HZ23" s="15">
        <f>MIN(1,MAX(VLOOKUP(($AJ23-$AI23-$AH23-$AG23-$AF23-$AE23*(1+HZ$3))/$AJ23,'Технический лист'!$A:$B,2,1),(HY23-0.05)))</f>
        <v>1</v>
      </c>
      <c r="IA23" s="15">
        <f>MIN(1,MAX(VLOOKUP(($AJ23-$AI23-$AH23-$AG23-$AF23-$AE23*(1+IA$3))/$AJ23,'Технический лист'!$A:$B,2,1),(HZ23-0.05)))</f>
        <v>1</v>
      </c>
      <c r="IB23" s="15">
        <f>MIN(1,MAX(VLOOKUP(($AJ23-$AI23-$AH23-$AG23-$AF23-$AE23*(1+IB$3))/$AJ23,'Технический лист'!$A:$B,2,1),(IA23-0.05)))</f>
        <v>1</v>
      </c>
      <c r="IC23" s="15">
        <f>MIN(1,MAX(VLOOKUP(($AJ23-$AI23-$AH23-$AG23-$AF23-$AE23*(1+IC$3))/$AJ23,'Технический лист'!$A:$B,2,1),(IB23-0.05)))</f>
        <v>1</v>
      </c>
      <c r="ID23" s="15">
        <f>MIN(1,MAX(VLOOKUP(($AJ23-$AI23-$AH23-$AG23-$AF23-$AE23*(1+ID$3))/$AJ23,'Технический лист'!$A:$B,2,1),(IC23-0.05)))</f>
        <v>1</v>
      </c>
      <c r="IE23" s="15">
        <f>MIN(1,MAX(VLOOKUP(($AJ23-$AI23-$AH23-$AG23-$AF23-$AE23*(1+IE$3))/$AJ23,'Технический лист'!$A:$B,2,1),(ID23-0.05)))</f>
        <v>1</v>
      </c>
      <c r="IF23" s="15">
        <f>MIN(1,MAX(VLOOKUP(($AJ23-$AI23-$AH23-$AG23-$AF23-$AE23*(1+IF$3))/$AJ23,'Технический лист'!$A:$B,2,1),(IE23-0.05)))</f>
        <v>1</v>
      </c>
      <c r="IG23" s="15">
        <f>MIN(1,MAX(VLOOKUP(($AJ23-$AI23-$AH23-$AG23-$AF23-$AE23*(1+IG$3))/$AJ23,'Технический лист'!$A:$B,2,1),(IF23-0.05)))</f>
        <v>1</v>
      </c>
      <c r="IH23" s="15">
        <f>MIN(1,MAX(VLOOKUP(($AJ23-$AI23-$AH23-$AG23-$AF23-$AE23*(1+IH$3))/$AJ23,'Технический лист'!$A:$B,2,1),(IG23-0.05)))</f>
        <v>1</v>
      </c>
      <c r="II23" s="15">
        <f>MIN(1,MAX(VLOOKUP(($AJ23-$AI23-$AH23-$AG23-$AF23-$AE23*(1+II$3))/$AJ23,'Технический лист'!$A:$B,2,1),(IH23-0.05)))</f>
        <v>1</v>
      </c>
      <c r="IJ23" s="15">
        <f>MIN(1,MAX(VLOOKUP(($AJ23-$AI23-$AH23-$AG23-$AF23-$AE23*(1+IJ$3))/$AJ23,'Технический лист'!$A:$B,2,1),(II23-0.05)))</f>
        <v>1</v>
      </c>
      <c r="IK23" s="15">
        <f>MIN(1,MAX(VLOOKUP(($AJ23-$AI23-$AH23-$AG23-$AF23-$AE23*(1+IK$3))/$AJ23,'Технический лист'!$A:$B,2,1),(IJ23-0.05)))</f>
        <v>1</v>
      </c>
      <c r="IL23" s="15">
        <f>MIN(1,MAX(VLOOKUP(($AJ23-$AI23-$AH23-$AG23-$AF23-$AE23*(1+IL$3))/$AJ23,'Технический лист'!$A:$B,2,1),(IK23-0.05)))</f>
        <v>1</v>
      </c>
      <c r="IM23" s="15">
        <f>MIN(1,MAX(VLOOKUP(($AJ23-$AI23-$AH23-$AG23-$AF23-$AE23*(1+IM$3))/$AJ23,'Технический лист'!$A:$B,2,1),(IL23-0.05)))</f>
        <v>1</v>
      </c>
      <c r="IN23" s="15">
        <f>MIN(1,MAX(VLOOKUP(($AJ23-$AI23-$AH23-$AG23-$AF23-$AE23*(1+IN$3))/$AJ23,'Технический лист'!$A:$B,2,1),(IM23-0.05)))</f>
        <v>1</v>
      </c>
      <c r="IO23" s="15">
        <f>MIN(1,MAX(VLOOKUP(($AJ23-$AI23-$AH23-$AG23-$AF23-$AE23*(1+IO$3))/$AJ23,'Технический лист'!$A:$B,2,1),(IN23-0.05)))</f>
        <v>1</v>
      </c>
      <c r="IP23" s="15">
        <f>MIN(1,MAX(VLOOKUP(($AJ23-$AI23-$AH23-$AG23-$AF23-$AE23*(1+IP$3))/$AJ23,'Технический лист'!$A:$B,2,1),(IO23-0.05)))</f>
        <v>1</v>
      </c>
      <c r="IQ23" s="15">
        <f>MIN(1,MAX(VLOOKUP(($AJ23-$AI23-$AH23-$AG23-$AF23-$AE23*(1+IQ$3))/$AJ23,'Технический лист'!$A:$B,2,1),(IP23-0.05)))</f>
        <v>1</v>
      </c>
      <c r="IR23" s="15">
        <f>MIN(1,MAX(VLOOKUP(($AJ23-$AI23-$AH23-$AG23-$AF23-$AE23*(1+IR$3))/$AJ23,'Технический лист'!$A:$B,2,1),(IQ23-0.05)))</f>
        <v>1</v>
      </c>
    </row>
    <row r="24" spans="1:252" ht="45" customHeight="1">
      <c r="A24" s="89" t="s">
        <v>514</v>
      </c>
      <c r="B24" s="90">
        <v>2</v>
      </c>
      <c r="C24" s="5" t="s">
        <v>65</v>
      </c>
      <c r="D24" s="91">
        <v>17108</v>
      </c>
      <c r="E24" s="91" t="s">
        <v>318</v>
      </c>
      <c r="F24" s="92" t="s">
        <v>69</v>
      </c>
      <c r="G24" s="91" t="s">
        <v>26</v>
      </c>
      <c r="H24" s="91" t="s">
        <v>26</v>
      </c>
      <c r="I24" s="91" t="s">
        <v>99</v>
      </c>
      <c r="J24" s="91" t="s">
        <v>84</v>
      </c>
      <c r="K24" s="91">
        <v>236</v>
      </c>
      <c r="L24" s="85" t="s">
        <v>64</v>
      </c>
      <c r="M24" s="91" t="s">
        <v>190</v>
      </c>
      <c r="N24" s="91" t="s">
        <v>191</v>
      </c>
      <c r="O24" s="91" t="s">
        <v>193</v>
      </c>
      <c r="P24" s="89" t="s">
        <v>204</v>
      </c>
      <c r="Q24" s="91" t="s">
        <v>286</v>
      </c>
      <c r="R24" s="91" t="s">
        <v>255</v>
      </c>
      <c r="S24" s="82">
        <v>113824</v>
      </c>
      <c r="T24" s="82">
        <v>26862542</v>
      </c>
      <c r="U24" s="81">
        <v>2235</v>
      </c>
      <c r="V24" s="81">
        <v>0</v>
      </c>
      <c r="W24" s="82">
        <v>51596157</v>
      </c>
      <c r="X24" s="112">
        <v>51</v>
      </c>
      <c r="Y24" s="112" t="s">
        <v>417</v>
      </c>
      <c r="Z24" s="113">
        <v>5</v>
      </c>
      <c r="AA24" s="113">
        <v>5</v>
      </c>
      <c r="AB24" s="113">
        <v>4</v>
      </c>
      <c r="AC24" s="99">
        <v>492.04</v>
      </c>
      <c r="AD24" s="99">
        <f t="shared" si="1"/>
        <v>107.99999999999994</v>
      </c>
      <c r="AE24" s="99">
        <v>600.04</v>
      </c>
      <c r="AF24" s="98">
        <f>(Z24+AA24+AB24)*'Ставки аренды'!$B$3/X24</f>
        <v>192.15686274509804</v>
      </c>
      <c r="AG24" s="114">
        <v>0</v>
      </c>
      <c r="AH24" s="94">
        <v>0</v>
      </c>
      <c r="AI24" s="115">
        <f>1.01*AJ24</f>
        <v>17170</v>
      </c>
      <c r="AJ24" s="117">
        <f>Цены!$D$9</f>
        <v>17000</v>
      </c>
      <c r="AK24" s="94">
        <f>AJ24/Цены!$B$1</f>
        <v>222.7886587467483</v>
      </c>
      <c r="AL24" s="95">
        <f t="shared" si="5"/>
        <v>792.19686274509797</v>
      </c>
      <c r="AM24" s="95">
        <f t="shared" si="6"/>
        <v>16207.803137254901</v>
      </c>
      <c r="AN24" s="94">
        <f t="shared" si="2"/>
        <v>17962.196862745099</v>
      </c>
      <c r="AO24" s="118">
        <f t="shared" si="3"/>
        <v>-5.6599815455594046E-2</v>
      </c>
      <c r="AP24" s="96">
        <f t="shared" si="7"/>
        <v>4.6599815455593996E-2</v>
      </c>
      <c r="AQ24" s="96">
        <f t="shared" si="8"/>
        <v>3.529647058823529E-2</v>
      </c>
      <c r="AR24" s="96">
        <f t="shared" si="9"/>
        <v>0.75743799075492224</v>
      </c>
      <c r="AS24" s="122">
        <v>1</v>
      </c>
      <c r="AT24" s="121">
        <f t="shared" si="10"/>
        <v>113824</v>
      </c>
      <c r="AU24" s="83">
        <v>0.95</v>
      </c>
      <c r="AV24" s="119">
        <f t="shared" si="11"/>
        <v>-6.083539192618221E-2</v>
      </c>
      <c r="AW24" s="120">
        <f t="shared" si="12"/>
        <v>5.0835391926182236E-2</v>
      </c>
      <c r="AX24" s="120">
        <f t="shared" si="13"/>
        <v>3.953204705882353E-2</v>
      </c>
      <c r="AY24" s="120">
        <f t="shared" si="14"/>
        <v>0.77764812192709709</v>
      </c>
      <c r="AZ24" s="15">
        <f>MIN(IF($AU24=100%,1,1+VLOOKUP(($AJ24-$AI24-$AH24-$AG24-$AF24-$AE24*(1+AZ$3))/$AJ24,'Технический лист'!$A:$B,2,1)-VLOOKUP($AO24,'Технический лист'!$A:$B,2,1)),1+(1-$AU24))</f>
        <v>1.01</v>
      </c>
      <c r="BA24" s="15">
        <f>MIN(IF($AU24=100%,1,1+VLOOKUP(($AJ24-$AI24-$AH24-$AG24-$AF24-$AE24*(1+BA$3))/$AJ24,'Технический лист'!$A:$B,2,1)-VLOOKUP($AO24,'Технический лист'!$A:$B,2,1)),1+(1-$AU24))</f>
        <v>1.01</v>
      </c>
      <c r="BB24" s="15">
        <f>MIN(IF($AU24=100%,1,1+VLOOKUP(($AJ24-$AI24-$AH24-$AG24-$AF24-$AE24*(1+BB$3))/$AJ24,'Технический лист'!$A:$B,2,1)-VLOOKUP($AO24,'Технический лист'!$A:$B,2,1)),1+(1-$AU24))</f>
        <v>1.01</v>
      </c>
      <c r="BC24" s="15">
        <f>MIN(IF($AU24=100%,1,1+VLOOKUP(($AJ24-$AI24-$AH24-$AG24-$AF24-$AE24*(1+BC$3))/$AJ24,'Технический лист'!$A:$B,2,1)-VLOOKUP($AO24,'Технический лист'!$A:$B,2,1)),1+(1-$AU24))</f>
        <v>1.01</v>
      </c>
      <c r="BD24" s="15">
        <f>MIN(IF($AU24=100%,1,1+VLOOKUP(($AJ24-$AI24-$AH24-$AG24-$AF24-$AE24*(1+BD$3))/$AJ24,'Технический лист'!$A:$B,2,1)-VLOOKUP($AO24,'Технический лист'!$A:$B,2,1)),1+(1-$AU24))</f>
        <v>1.01</v>
      </c>
      <c r="BE24" s="15">
        <f>MIN(IF($AU24=100%,1,1+VLOOKUP(($AJ24-$AI24-$AH24-$AG24-$AF24-$AE24*(1+BE$3))/$AJ24,'Технический лист'!$A:$B,2,1)-VLOOKUP($AO24,'Технический лист'!$A:$B,2,1)),1+(1-$AU24))</f>
        <v>1.01</v>
      </c>
      <c r="BF24" s="15">
        <f>MIN(IF($AU24=100%,1,1+VLOOKUP(($AJ24-$AI24-$AH24-$AG24-$AF24-$AE24*(1+BF$3))/$AJ24,'Технический лист'!$A:$B,2,1)-VLOOKUP($AO24,'Технический лист'!$A:$B,2,1)),1+(1-$AU24))</f>
        <v>1.0049999999999999</v>
      </c>
      <c r="BG24" s="15">
        <f>MIN(IF($AU24=100%,1,1+VLOOKUP(($AJ24-$AI24-$AH24-$AG24-$AF24-$AE24*(1+BG$3))/$AJ24,'Технический лист'!$A:$B,2,1)-VLOOKUP($AO24,'Технический лист'!$A:$B,2,1)),1+(1-$AU24))</f>
        <v>1.0049999999999999</v>
      </c>
      <c r="BH24" s="15">
        <f>MIN(IF($AU24=100%,1,1+VLOOKUP(($AJ24-$AI24-$AH24-$AG24-$AF24-$AE24*(1+BH$3))/$AJ24,'Технический лист'!$A:$B,2,1)-VLOOKUP($AO24,'Технический лист'!$A:$B,2,1)),1+(1-$AU24))</f>
        <v>1.0049999999999999</v>
      </c>
      <c r="BI24" s="15">
        <f>MIN(IF($AU24=100%,1,1+VLOOKUP(($AJ24-$AI24-$AH24-$AG24-$AF24-$AE24*(1+BI$3))/$AJ24,'Технический лист'!$A:$B,2,1)-VLOOKUP($AO24,'Технический лист'!$A:$B,2,1)),1+(1-$AU24))</f>
        <v>1.0049999999999999</v>
      </c>
      <c r="BJ24" s="15">
        <f>MIN(IF($AU24=100%,1,1+VLOOKUP(($AJ24-$AI24-$AH24-$AG24-$AF24-$AE24*(1+BJ$3))/$AJ24,'Технический лист'!$A:$B,2,1)-VLOOKUP($AO24,'Технический лист'!$A:$B,2,1)),1+(1-$AU24))</f>
        <v>1.0049999999999999</v>
      </c>
      <c r="BK24" s="15">
        <f>MIN(IF($AU24=100%,1,1+VLOOKUP(($AJ24-$AI24-$AH24-$AG24-$AF24-$AE24*(1+BK$3))/$AJ24,'Технический лист'!$A:$B,2,1)-VLOOKUP($AO24,'Технический лист'!$A:$B,2,1)),1+(1-$AU24))</f>
        <v>1.0049999999999999</v>
      </c>
      <c r="BL24" s="15">
        <f>MIN(IF($AU24=100%,1,1+VLOOKUP(($AJ24-$AI24-$AH24-$AG24-$AF24-$AE24*(1+BL$3))/$AJ24,'Технический лист'!$A:$B,2,1)-VLOOKUP($AO24,'Технический лист'!$A:$B,2,1)),1+(1-$AU24))</f>
        <v>1.0049999999999999</v>
      </c>
      <c r="BM24" s="15">
        <f>MIN(IF($AU24=100%,1,1+VLOOKUP(($AJ24-$AI24-$AH24-$AG24-$AF24-$AE24*(1+BM$3))/$AJ24,'Технический лист'!$A:$B,2,1)-VLOOKUP($AO24,'Технический лист'!$A:$B,2,1)),1+(1-$AU24))</f>
        <v>1.0049999999999999</v>
      </c>
      <c r="BN24" s="15">
        <f>MIN(IF($AU24=100%,1,1+VLOOKUP(($AJ24-$AI24-$AH24-$AG24-$AF24-$AE24*(1+BN$3))/$AJ24,'Технический лист'!$A:$B,2,1)-VLOOKUP($AO24,'Технический лист'!$A:$B,2,1)),1+(1-$AU24))</f>
        <v>1.0049999999999999</v>
      </c>
      <c r="BO24" s="15">
        <f>MIN(IF($AU24=100%,1,1+VLOOKUP(($AJ24-$AI24-$AH24-$AG24-$AF24-$AE24*(1+BO$3))/$AJ24,'Технический лист'!$A:$B,2,1)-VLOOKUP($AO24,'Технический лист'!$A:$B,2,1)),1+(1-$AU24))</f>
        <v>1.0049999999999999</v>
      </c>
      <c r="BP24" s="15">
        <f>MIN(IF($AU24=100%,1,1+VLOOKUP(($AJ24-$AI24-$AH24-$AG24-$AF24-$AE24*(1+BP$3))/$AJ24,'Технический лист'!$A:$B,2,1)-VLOOKUP($AO24,'Технический лист'!$A:$B,2,1)),1+(1-$AU24))</f>
        <v>1.0049999999999999</v>
      </c>
      <c r="BQ24" s="15">
        <f>MIN(IF($AU24=100%,1,1+VLOOKUP(($AJ24-$AI24-$AH24-$AG24-$AF24-$AE24*(1+BQ$3))/$AJ24,'Технический лист'!$A:$B,2,1)-VLOOKUP($AO24,'Технический лист'!$A:$B,2,1)),1+(1-$AU24))</f>
        <v>1.0049999999999999</v>
      </c>
      <c r="BR24" s="15">
        <f>MIN(IF($AU24=100%,1,1+VLOOKUP(($AJ24-$AI24-$AH24-$AG24-$AF24-$AE24*(1+BR$3))/$AJ24,'Технический лист'!$A:$B,2,1)-VLOOKUP($AO24,'Технический лист'!$A:$B,2,1)),1+(1-$AU24))</f>
        <v>1.0049999999999999</v>
      </c>
      <c r="BS24" s="15">
        <f>MIN(IF($AU24=100%,1,1+VLOOKUP(($AJ24-$AI24-$AH24-$AG24-$AF24-$AE24*(1+BS$3))/$AJ24,'Технический лист'!$A:$B,2,1)-VLOOKUP($AO24,'Технический лист'!$A:$B,2,1)),1+(1-$AU24))</f>
        <v>1.0049999999999999</v>
      </c>
      <c r="BT24" s="15">
        <f>MIN(IF($AU24=100%,1,1+VLOOKUP(($AJ24-$AI24-$AH24-$AG24-$AF24-$AE24*(1+BT$3))/$AJ24,'Технический лист'!$A:$B,2,1)-VLOOKUP($AO24,'Технический лист'!$A:$B,2,1)),1+(1-$AU24))</f>
        <v>1.0049999999999999</v>
      </c>
      <c r="BU24" s="15">
        <f>MIN(IF($AU24=100%,1,1+VLOOKUP(($AJ24-$AI24-$AH24-$AG24-$AF24-$AE24*(1+BU$3))/$AJ24,'Технический лист'!$A:$B,2,1)-VLOOKUP($AO24,'Технический лист'!$A:$B,2,1)),1+(1-$AU24))</f>
        <v>1.0049999999999999</v>
      </c>
      <c r="BV24" s="15">
        <f>MIN(IF($AU24=100%,1,1+VLOOKUP(($AJ24-$AI24-$AH24-$AG24-$AF24-$AE24*(1+BV$3))/$AJ24,'Технический лист'!$A:$B,2,1)-VLOOKUP($AO24,'Технический лист'!$A:$B,2,1)),1+(1-$AU24))</f>
        <v>1.0049999999999999</v>
      </c>
      <c r="BW24" s="15">
        <f>MIN(IF($AU24=100%,1,1+VLOOKUP(($AJ24-$AI24-$AH24-$AG24-$AF24-$AE24*(1+BW$3))/$AJ24,'Технический лист'!$A:$B,2,1)-VLOOKUP($AO24,'Технический лист'!$A:$B,2,1)),1+(1-$AU24))</f>
        <v>1.0049999999999999</v>
      </c>
      <c r="BX24" s="15">
        <f>MIN(IF($AU24=100%,1,1+VLOOKUP(($AJ24-$AI24-$AH24-$AG24-$AF24-$AE24*(1+BX$3))/$AJ24,'Технический лист'!$A:$B,2,1)-VLOOKUP($AO24,'Технический лист'!$A:$B,2,1)),1+(1-$AU24))</f>
        <v>1.0049999999999999</v>
      </c>
      <c r="BY24" s="15">
        <f>MIN(IF($AU24=100%,1,1+VLOOKUP(($AJ24-$AI24-$AH24-$AG24-$AF24-$AE24*(1+BY$3))/$AJ24,'Технический лист'!$A:$B,2,1)-VLOOKUP($AO24,'Технический лист'!$A:$B,2,1)),1+(1-$AU24))</f>
        <v>1.0049999999999999</v>
      </c>
      <c r="BZ24" s="15">
        <f>MIN(IF($AU24=100%,1,1+VLOOKUP(($AJ24-$AI24-$AH24-$AG24-$AF24-$AE24*(1+BZ$3))/$AJ24,'Технический лист'!$A:$B,2,1)-VLOOKUP($AO24,'Технический лист'!$A:$B,2,1)),1+(1-$AU24))</f>
        <v>1.0049999999999999</v>
      </c>
      <c r="CA24" s="15">
        <f>MIN(IF($AU24=100%,1,1+VLOOKUP(($AJ24-$AI24-$AH24-$AG24-$AF24-$AE24*(1+CA$3))/$AJ24,'Технический лист'!$A:$B,2,1)-VLOOKUP($AO24,'Технический лист'!$A:$B,2,1)),1+(1-$AU24))</f>
        <v>1.0049999999999999</v>
      </c>
      <c r="CB24" s="15">
        <f>MIN(IF($AU24=100%,1,1+VLOOKUP(($AJ24-$AI24-$AH24-$AG24-$AF24-$AE24*(1+CB$3))/$AJ24,'Технический лист'!$A:$B,2,1)-VLOOKUP($AO24,'Технический лист'!$A:$B,2,1)),1+(1-$AU24))</f>
        <v>1.0049999999999999</v>
      </c>
      <c r="CC24" s="15">
        <f>MIN(IF($AU24=100%,1,1+VLOOKUP(($AJ24-$AI24-$AH24-$AG24-$AF24-$AE24*(1+CC$3))/$AJ24,'Технический лист'!$A:$B,2,1)-VLOOKUP($AO24,'Технический лист'!$A:$B,2,1)),1+(1-$AU24))</f>
        <v>1.0049999999999999</v>
      </c>
      <c r="CD24" s="15">
        <f>MIN(IF($AU24=100%,1,1+VLOOKUP(($AJ24-$AI24-$AH24-$AG24-$AF24-$AE24*(1+CD$3))/$AJ24,'Технический лист'!$A:$B,2,1)-VLOOKUP($AO24,'Технический лист'!$A:$B,2,1)),1+(1-$AU24))</f>
        <v>1.0049999999999999</v>
      </c>
      <c r="CE24" s="15">
        <f>MIN(IF($AU24=100%,1,1+VLOOKUP(($AJ24-$AI24-$AH24-$AG24-$AF24-$AE24*(1+CE$3))/$AJ24,'Технический лист'!$A:$B,2,1)-VLOOKUP($AO24,'Технический лист'!$A:$B,2,1)),1+(1-$AU24))</f>
        <v>1.0049999999999999</v>
      </c>
      <c r="CF24" s="15">
        <f>MIN(IF($AU24=100%,1,1+VLOOKUP(($AJ24-$AI24-$AH24-$AG24-$AF24-$AE24*(1+CF$3))/$AJ24,'Технический лист'!$A:$B,2,1)-VLOOKUP($AO24,'Технический лист'!$A:$B,2,1)),1+(1-$AU24))</f>
        <v>1.0049999999999999</v>
      </c>
      <c r="CG24" s="15">
        <f>MIN(IF($AU24=100%,1,1+VLOOKUP(($AJ24-$AI24-$AH24-$AG24-$AF24-$AE24*(1+CG$3))/$AJ24,'Технический лист'!$A:$B,2,1)-VLOOKUP($AO24,'Технический лист'!$A:$B,2,1)),1+(1-$AU24))</f>
        <v>1.0049999999999999</v>
      </c>
      <c r="CH24" s="15">
        <f>MIN(IF($AU24=100%,1,1+VLOOKUP(($AJ24-$AI24-$AH24-$AG24-$AF24-$AE24*(1+CH$3))/$AJ24,'Технический лист'!$A:$B,2,1)-VLOOKUP($AO24,'Технический лист'!$A:$B,2,1)),1+(1-$AU24))</f>
        <v>1.0049999999999999</v>
      </c>
      <c r="CI24" s="15">
        <f>MIN(IF($AU24=100%,1,1+VLOOKUP(($AJ24-$AI24-$AH24-$AG24-$AF24-$AE24*(1+CI$3))/$AJ24,'Технический лист'!$A:$B,2,1)-VLOOKUP($AO24,'Технический лист'!$A:$B,2,1)),1+(1-$AU24))</f>
        <v>1.0049999999999999</v>
      </c>
      <c r="CJ24" s="15">
        <f>MIN(IF($AU24=100%,1,1+VLOOKUP(($AJ24-$AI24-$AH24-$AG24-$AF24-$AE24*(1+CJ$3))/$AJ24,'Технический лист'!$A:$B,2,1)-VLOOKUP($AO24,'Технический лист'!$A:$B,2,1)),1+(1-$AU24))</f>
        <v>1.0049999999999999</v>
      </c>
      <c r="CK24" s="15">
        <f>MIN(IF($AU24=100%,1,1+VLOOKUP(($AJ24-$AI24-$AH24-$AG24-$AF24-$AE24*(1+CK$3))/$AJ24,'Технический лист'!$A:$B,2,1)-VLOOKUP($AO24,'Технический лист'!$A:$B,2,1)),1+(1-$AU24))</f>
        <v>1.0049999999999999</v>
      </c>
      <c r="CL24" s="15">
        <f>MIN(IF($AU24=100%,1,1+VLOOKUP(($AJ24-$AI24-$AH24-$AG24-$AF24-$AE24*(1+CL$3))/$AJ24,'Технический лист'!$A:$B,2,1)-VLOOKUP($AO24,'Технический лист'!$A:$B,2,1)),1+(1-$AU24))</f>
        <v>1.0049999999999999</v>
      </c>
      <c r="CM24" s="15">
        <f>MIN(IF($AU24=100%,1,1+VLOOKUP(($AJ24-$AI24-$AH24-$AG24-$AF24-$AE24*(1+CM$3))/$AJ24,'Технический лист'!$A:$B,2,1)-VLOOKUP($AO24,'Технический лист'!$A:$B,2,1)),1+(1-$AU24))</f>
        <v>1.0049999999999999</v>
      </c>
      <c r="CN24" s="15">
        <f>MIN(IF($AU24=100%,1,1+VLOOKUP(($AJ24-$AI24-$AH24-$AG24-$AF24-$AE24*(1+CN$3))/$AJ24,'Технический лист'!$A:$B,2,1)-VLOOKUP($AO24,'Технический лист'!$A:$B,2,1)),1+(1-$AU24))</f>
        <v>1.0049999999999999</v>
      </c>
      <c r="CO24" s="15">
        <f>MIN(IF($AU24=100%,1,1+VLOOKUP(($AJ24-$AI24-$AH24-$AG24-$AF24-$AE24*(1+CO$3))/$AJ24,'Технический лист'!$A:$B,2,1)-VLOOKUP($AO24,'Технический лист'!$A:$B,2,1)),1+(1-$AU24))</f>
        <v>1.0049999999999999</v>
      </c>
      <c r="CP24" s="15">
        <f>MIN(IF($AU24=100%,1,1+VLOOKUP(($AJ24-$AI24-$AH24-$AG24-$AF24-$AE24*(1+CP$3))/$AJ24,'Технический лист'!$A:$B,2,1)-VLOOKUP($AO24,'Технический лист'!$A:$B,2,1)),1+(1-$AU24))</f>
        <v>1.0049999999999999</v>
      </c>
      <c r="CQ24" s="15">
        <f>MIN(IF($AU24=100%,1,1+VLOOKUP(($AJ24-$AI24-$AH24-$AG24-$AF24-$AE24*(1+CQ$3))/$AJ24,'Технический лист'!$A:$B,2,1)-VLOOKUP($AO24,'Технический лист'!$A:$B,2,1)),1+(1-$AU24))</f>
        <v>1.0049999999999999</v>
      </c>
      <c r="CR24" s="15">
        <f>MIN(IF($AU24=100%,1,1+VLOOKUP(($AJ24-$AI24-$AH24-$AG24-$AF24-$AE24*(1+CR$3))/$AJ24,'Технический лист'!$A:$B,2,1)-VLOOKUP($AO24,'Технический лист'!$A:$B,2,1)),1+(1-$AU24))</f>
        <v>1.0049999999999999</v>
      </c>
      <c r="CS24" s="15">
        <f>MIN(IF($AU24=100%,1,1+VLOOKUP(($AJ24-$AI24-$AH24-$AG24-$AF24-$AE24*(1+CS$3))/$AJ24,'Технический лист'!$A:$B,2,1)-VLOOKUP($AO24,'Технический лист'!$A:$B,2,1)),1+(1-$AU24))</f>
        <v>1.0049999999999999</v>
      </c>
      <c r="CT24" s="15">
        <f>MIN(IF($AU24=100%,1,1+VLOOKUP(($AJ24-$AI24-$AH24-$AG24-$AF24-$AE24*(1+CT$3))/$AJ24,'Технический лист'!$A:$B,2,1)-VLOOKUP($AO24,'Технический лист'!$A:$B,2,1)),1+(1-$AU24))</f>
        <v>1.0049999999999999</v>
      </c>
      <c r="CU24" s="15">
        <f>MIN(IF($AU24=100%,1,1+VLOOKUP(($AJ24-$AI24-$AH24-$AG24-$AF24-$AE24*(1+CU$3))/$AJ24,'Технический лист'!$A:$B,2,1)-VLOOKUP($AO24,'Технический лист'!$A:$B,2,1)),1+(1-$AU24))</f>
        <v>1.0049999999999999</v>
      </c>
      <c r="CV24" s="15">
        <f>MIN(IF($AU24=100%,1,1+VLOOKUP(($AJ24-$AI24-$AH24-$AG24-$AF24-$AE24*(1+CV$3))/$AJ24,'Технический лист'!$A:$B,2,1)-VLOOKUP($AO24,'Технический лист'!$A:$B,2,1)),1+(1-$AU24))</f>
        <v>1.0049999999999999</v>
      </c>
      <c r="CW24" s="15">
        <f>MIN(IF($AU24=100%,1,1+VLOOKUP(($AJ24-$AI24-$AH24-$AG24-$AF24-$AE24*(1+CW$3))/$AJ24,'Технический лист'!$A:$B,2,1)-VLOOKUP($AO24,'Технический лист'!$A:$B,2,1)),1+(1-$AU24))</f>
        <v>1.0049999999999999</v>
      </c>
      <c r="CX24" s="15">
        <f>MIN(IF($AU24=100%,1,1+VLOOKUP(($AJ24-$AI24-$AH24-$AG24-$AF24-$AE24*(1+CX$3))/$AJ24,'Технический лист'!$A:$B,2,1)-VLOOKUP($AO24,'Технический лист'!$A:$B,2,1)),1+(1-$AU24))</f>
        <v>1.0049999999999999</v>
      </c>
      <c r="CY24" s="15">
        <f>MIN(IF($AU24=100%,1,1+VLOOKUP(($AJ24-$AI24-$AH24-$AG24-$AF24-$AE24*(1+CY$3))/$AJ24,'Технический лист'!$A:$B,2,1)-VLOOKUP($AO24,'Технический лист'!$A:$B,2,1)),1+(1-$AU24))</f>
        <v>1.0049999999999999</v>
      </c>
      <c r="CZ24" s="15">
        <f>MIN(IF($AU24=100%,1,1+VLOOKUP(($AJ24-$AI24-$AH24-$AG24-$AF24-$AE24*(1+CZ$3))/$AJ24,'Технический лист'!$A:$B,2,1)-VLOOKUP($AO24,'Технический лист'!$A:$B,2,1)),1+(1-$AU24))</f>
        <v>1.0049999999999999</v>
      </c>
      <c r="DA24" s="15">
        <f>MIN(IF($AU24=100%,1,1+VLOOKUP(($AJ24-$AI24-$AH24-$AG24-$AF24-$AE24*(1+DA$3))/$AJ24,'Технический лист'!$A:$B,2,1)-VLOOKUP($AO24,'Технический лист'!$A:$B,2,1)),1+(1-$AU24))</f>
        <v>1.0049999999999999</v>
      </c>
      <c r="DB24" s="15">
        <f>MIN(IF($AU24=100%,1,1+VLOOKUP(($AJ24-$AI24-$AH24-$AG24-$AF24-$AE24*(1+DB$3))/$AJ24,'Технический лист'!$A:$B,2,1)-VLOOKUP($AO24,'Технический лист'!$A:$B,2,1)),1+(1-$AU24))</f>
        <v>1.0049999999999999</v>
      </c>
      <c r="DC24" s="15">
        <f>MIN(IF($AU24=100%,1,1+VLOOKUP(($AJ24-$AI24-$AH24-$AG24-$AF24-$AE24*(1+DC$3))/$AJ24,'Технический лист'!$A:$B,2,1)-VLOOKUP($AO24,'Технический лист'!$A:$B,2,1)),1+(1-$AU24))</f>
        <v>1.0049999999999999</v>
      </c>
      <c r="DD24" s="15">
        <f>MIN(IF($AU24=100%,1,1+VLOOKUP(($AJ24-$AI24-$AH24-$AG24-$AF24-$AE24*(1+DD$3))/$AJ24,'Технический лист'!$A:$B,2,1)-VLOOKUP($AO24,'Технический лист'!$A:$B,2,1)),1+(1-$AU24))</f>
        <v>1.0049999999999999</v>
      </c>
      <c r="DE24" s="15">
        <f>MIN(IF($AU24=100%,1,1+VLOOKUP(($AJ24-$AI24-$AH24-$AG24-$AF24-$AE24*(1+DE$3))/$AJ24,'Технический лист'!$A:$B,2,1)-VLOOKUP($AO24,'Технический лист'!$A:$B,2,1)),1+(1-$AU24))</f>
        <v>1.0049999999999999</v>
      </c>
      <c r="DF24" s="15">
        <f>MIN(IF($AU24=100%,1,1+VLOOKUP(($AJ24-$AI24-$AH24-$AG24-$AF24-$AE24*(1+DF$3))/$AJ24,'Технический лист'!$A:$B,2,1)-VLOOKUP($AO24,'Технический лист'!$A:$B,2,1)),1+(1-$AU24))</f>
        <v>1.0049999999999999</v>
      </c>
      <c r="DG24" s="15">
        <f>MIN(IF($AU24=100%,1,1+VLOOKUP(($AJ24-$AI24-$AH24-$AG24-$AF24-$AE24*(1+DG$3))/$AJ24,'Технический лист'!$A:$B,2,1)-VLOOKUP($AO24,'Технический лист'!$A:$B,2,1)),1+(1-$AU24))</f>
        <v>1.0049999999999999</v>
      </c>
      <c r="DH24" s="15">
        <f>MIN(IF($AU24=100%,1,1+VLOOKUP(($AJ24-$AI24-$AH24-$AG24-$AF24-$AE24*(1+DH$3))/$AJ24,'Технический лист'!$A:$B,2,1)-VLOOKUP($AO24,'Технический лист'!$A:$B,2,1)),1+(1-$AU24))</f>
        <v>1.0049999999999999</v>
      </c>
      <c r="DI24" s="15">
        <f>MIN(IF($AU24=100%,1,1+VLOOKUP(($AJ24-$AI24-$AH24-$AG24-$AF24-$AE24*(1+DI$3))/$AJ24,'Технический лист'!$A:$B,2,1)-VLOOKUP($AO24,'Технический лист'!$A:$B,2,1)),1+(1-$AU24))</f>
        <v>1.0049999999999999</v>
      </c>
      <c r="DJ24" s="15">
        <f>MIN(IF($AU24=100%,1,1+VLOOKUP(($AJ24-$AI24-$AH24-$AG24-$AF24-$AE24*(1+DJ$3))/$AJ24,'Технический лист'!$A:$B,2,1)-VLOOKUP($AO24,'Технический лист'!$A:$B,2,1)),1+(1-$AU24))</f>
        <v>1.0049999999999999</v>
      </c>
      <c r="DK24" s="15">
        <f>MIN(IF($AU24=100%,1,1+VLOOKUP(($AJ24-$AI24-$AH24-$AG24-$AF24-$AE24*(1+DK$3))/$AJ24,'Технический лист'!$A:$B,2,1)-VLOOKUP($AO24,'Технический лист'!$A:$B,2,1)),1+(1-$AU24))</f>
        <v>1</v>
      </c>
      <c r="DL24" s="15">
        <f>MIN(IF($AU24=100%,1,1+VLOOKUP(($AJ24-$AI24-$AH24-$AG24-$AF24-$AE24*(1+DL$3))/$AJ24,'Технический лист'!$A:$B,2,1)-VLOOKUP($AO24,'Технический лист'!$A:$B,2,1)),1+(1-$AU24))</f>
        <v>1</v>
      </c>
      <c r="DM24" s="15">
        <f>MIN(IF($AU24=100%,1,1+VLOOKUP(($AJ24-$AI24-$AH24-$AG24-$AF24-$AE24*(1+DM$3))/$AJ24,'Технический лист'!$A:$B,2,1)-VLOOKUP($AO24,'Технический лист'!$A:$B,2,1)),1+(1-$AU24))</f>
        <v>1</v>
      </c>
      <c r="DN24" s="15">
        <f>MIN(IF($AU24=100%,1,1+VLOOKUP(($AJ24-$AI24-$AH24-$AG24-$AF24-$AE24*(1+DN$3))/$AJ24,'Технический лист'!$A:$B,2,1)-VLOOKUP($AO24,'Технический лист'!$A:$B,2,1)),1+(1-$AU24))</f>
        <v>1</v>
      </c>
      <c r="DO24" s="15">
        <f>MIN(IF($AU24=100%,1,1+VLOOKUP(($AJ24-$AI24-$AH24-$AG24-$AF24-$AE24*(1+DO$3))/$AJ24,'Технический лист'!$A:$B,2,1)-VLOOKUP($AO24,'Технический лист'!$A:$B,2,1)),1+(1-$AU24))</f>
        <v>1</v>
      </c>
      <c r="DP24" s="15">
        <f>MIN(IF($AU24=100%,1,1+VLOOKUP(($AJ24-$AI24-$AH24-$AG24-$AF24-$AE24*(1+DP$3))/$AJ24,'Технический лист'!$A:$B,2,1)-VLOOKUP($AO24,'Технический лист'!$A:$B,2,1)),1+(1-$AU24))</f>
        <v>1</v>
      </c>
      <c r="DQ24" s="15">
        <f>MIN(IF($AU24=100%,1,1+VLOOKUP(($AJ24-$AI24-$AH24-$AG24-$AF24-$AE24*(1+DQ$3))/$AJ24,'Технический лист'!$A:$B,2,1)-VLOOKUP($AO24,'Технический лист'!$A:$B,2,1)),1+(1-$AU24))</f>
        <v>1</v>
      </c>
      <c r="DR24" s="15">
        <f>MIN(IF($AU24=100%,1,1+VLOOKUP(($AJ24-$AI24-$AH24-$AG24-$AF24-$AE24*(1+DR$3))/$AJ24,'Технический лист'!$A:$B,2,1)-VLOOKUP($AO24,'Технический лист'!$A:$B,2,1)),1+(1-$AU24))</f>
        <v>1</v>
      </c>
      <c r="DS24" s="15">
        <f>MIN(IF($AU24=100%,1,1+VLOOKUP(($AJ24-$AI24-$AH24-$AG24-$AF24-$AE24*(1+DS$3))/$AJ24,'Технический лист'!$A:$B,2,1)-VLOOKUP($AO24,'Технический лист'!$A:$B,2,1)),1+(1-$AU24))</f>
        <v>1</v>
      </c>
      <c r="DT24" s="15">
        <f>MIN(IF($AU24=100%,1,1+VLOOKUP(($AJ24-$AI24-$AH24-$AG24-$AF24-$AE24*(1+DT$3))/$AJ24,'Технический лист'!$A:$B,2,1)-VLOOKUP($AO24,'Технический лист'!$A:$B,2,1)),1+(1-$AU24))</f>
        <v>1</v>
      </c>
      <c r="DU24" s="15">
        <f>MIN(IF($AU24=100%,1,1+VLOOKUP(($AJ24-$AI24-$AH24-$AG24-$AF24-$AE24*(1+DU$3))/$AJ24,'Технический лист'!$A:$B,2,1)-VLOOKUP($AO24,'Технический лист'!$A:$B,2,1)),1+(1-$AU24))</f>
        <v>1</v>
      </c>
      <c r="DV24" s="15">
        <f>MIN(IF($AU24=100%,1,1+VLOOKUP(($AJ24-$AI24-$AH24-$AG24-$AF24-$AE24*(1+DV$3))/$AJ24,'Технический лист'!$A:$B,2,1)-VLOOKUP($AO24,'Технический лист'!$A:$B,2,1)),1+(1-$AU24))</f>
        <v>1</v>
      </c>
      <c r="DW24" s="15">
        <f>MIN(IF($AU24=100%,1,1+VLOOKUP(($AJ24-$AI24-$AH24-$AG24-$AF24-$AE24*(1+DW$3))/$AJ24,'Технический лист'!$A:$B,2,1)-VLOOKUP($AO24,'Технический лист'!$A:$B,2,1)),1+(1-$AU24))</f>
        <v>1</v>
      </c>
      <c r="DX24" s="15">
        <f>MIN(IF($AU24=100%,1,1+VLOOKUP(($AJ24-$AI24-$AH24-$AG24-$AF24-$AE24*(1+DX$3))/$AJ24,'Технический лист'!$A:$B,2,1)-VLOOKUP($AO24,'Технический лист'!$A:$B,2,1)),1+(1-$AU24))</f>
        <v>1</v>
      </c>
      <c r="DY24" s="15">
        <f>MIN(IF($AU24=100%,1,1+VLOOKUP(($AJ24-$AI24-$AH24-$AG24-$AF24-$AE24*(1+DY$3))/$AJ24,'Технический лист'!$A:$B,2,1)-VLOOKUP($AO24,'Технический лист'!$A:$B,2,1)),1+(1-$AU24))</f>
        <v>1</v>
      </c>
      <c r="DZ24" s="15">
        <f>MIN(IF($AU24=100%,1,1+VLOOKUP(($AJ24-$AI24-$AH24-$AG24-$AF24-$AE24*(1+DZ$3))/$AJ24,'Технический лист'!$A:$B,2,1)-VLOOKUP($AO24,'Технический лист'!$A:$B,2,1)),1+(1-$AU24))</f>
        <v>1</v>
      </c>
      <c r="EA24" s="15">
        <f>MIN(IF($AU24=100%,1,1+VLOOKUP(($AJ24-$AI24-$AH24-$AG24-$AF24-$AE24*(1+EA$3))/$AJ24,'Технический лист'!$A:$B,2,1)-VLOOKUP($AO24,'Технический лист'!$A:$B,2,1)),1+(1-$AU24))</f>
        <v>1</v>
      </c>
      <c r="EB24" s="15">
        <f>MIN(IF($AU24=100%,1,1+VLOOKUP(($AJ24-$AI24-$AH24-$AG24-$AF24-$AE24*(1+EB$3))/$AJ24,'Технический лист'!$A:$B,2,1)-VLOOKUP($AO24,'Технический лист'!$A:$B,2,1)),1+(1-$AU24))</f>
        <v>1</v>
      </c>
      <c r="EC24" s="15">
        <f>MIN(IF($AU24=100%,1,1+VLOOKUP(($AJ24-$AI24-$AH24-$AG24-$AF24-$AE24*(1+EC$3))/$AJ24,'Технический лист'!$A:$B,2,1)-VLOOKUP($AO24,'Технический лист'!$A:$B,2,1)),1+(1-$AU24))</f>
        <v>1</v>
      </c>
      <c r="ED24" s="15">
        <f>MIN(IF($AU24=100%,1,1+VLOOKUP(($AJ24-$AI24-$AH24-$AG24-$AF24-$AE24*(1+ED$3))/$AJ24,'Технический лист'!$A:$B,2,1)-VLOOKUP($AO24,'Технический лист'!$A:$B,2,1)),1+(1-$AU24))</f>
        <v>1</v>
      </c>
      <c r="EE24" s="15">
        <f>MIN(IF($AU24=100%,1,1+VLOOKUP(($AJ24-$AI24-$AH24-$AG24-$AF24-$AE24*(1+EE$3))/$AJ24,'Технический лист'!$A:$B,2,1)-VLOOKUP($AO24,'Технический лист'!$A:$B,2,1)),1+(1-$AU24))</f>
        <v>1</v>
      </c>
      <c r="EF24" s="15">
        <f>MIN(IF($AU24=100%,1,1+VLOOKUP(($AJ24-$AI24-$AH24-$AG24-$AF24-$AE24*(1+EF$3))/$AJ24,'Технический лист'!$A:$B,2,1)-VLOOKUP($AO24,'Технический лист'!$A:$B,2,1)),1+(1-$AU24))</f>
        <v>1</v>
      </c>
      <c r="EG24" s="15">
        <f>MIN(IF($AU24=100%,1,1+VLOOKUP(($AJ24-$AI24-$AH24-$AG24-$AF24-$AE24*(1+EG$3))/$AJ24,'Технический лист'!$A:$B,2,1)-VLOOKUP($AO24,'Технический лист'!$A:$B,2,1)),1+(1-$AU24))</f>
        <v>1</v>
      </c>
      <c r="EH24" s="15">
        <f>MIN(IF($AU24=100%,1,1+VLOOKUP(($AJ24-$AI24-$AH24-$AG24-$AF24-$AE24*(1+EH$3))/$AJ24,'Технический лист'!$A:$B,2,1)-VLOOKUP($AO24,'Технический лист'!$A:$B,2,1)),1+(1-$AU24))</f>
        <v>1</v>
      </c>
      <c r="EI24" s="15">
        <f>MIN(IF($AU24=100%,1,1+VLOOKUP(($AJ24-$AI24-$AH24-$AG24-$AF24-$AE24*(1+EI$3))/$AJ24,'Технический лист'!$A:$B,2,1)-VLOOKUP($AO24,'Технический лист'!$A:$B,2,1)),1+(1-$AU24))</f>
        <v>1</v>
      </c>
      <c r="EJ24" s="15">
        <f>MIN(IF($AU24=100%,1,1+VLOOKUP(($AJ24-$AI24-$AH24-$AG24-$AF24-$AE24*(1+EJ$3))/$AJ24,'Технический лист'!$A:$B,2,1)-VLOOKUP($AO24,'Технический лист'!$A:$B,2,1)),1+(1-$AU24))</f>
        <v>1</v>
      </c>
      <c r="EK24" s="15">
        <f>MIN(IF($AU24=100%,1,1+VLOOKUP(($AJ24-$AI24-$AH24-$AG24-$AF24-$AE24*(1+EK$3))/$AJ24,'Технический лист'!$A:$B,2,1)-VLOOKUP($AO24,'Технический лист'!$A:$B,2,1)),1+(1-$AU24))</f>
        <v>1</v>
      </c>
      <c r="EL24" s="15">
        <f>MIN(IF($AU24=100%,1,1+VLOOKUP(($AJ24-$AI24-$AH24-$AG24-$AF24-$AE24*(1+EL$3))/$AJ24,'Технический лист'!$A:$B,2,1)-VLOOKUP($AO24,'Технический лист'!$A:$B,2,1)),1+(1-$AU24))</f>
        <v>1</v>
      </c>
      <c r="EM24" s="15">
        <f>MIN(IF($AU24=100%,1,1+VLOOKUP(($AJ24-$AI24-$AH24-$AG24-$AF24-$AE24*(1+EM$3))/$AJ24,'Технический лист'!$A:$B,2,1)-VLOOKUP($AO24,'Технический лист'!$A:$B,2,1)),1+(1-$AU24))</f>
        <v>1</v>
      </c>
      <c r="EN24" s="15">
        <f>MIN(IF($AU24=100%,1,1+VLOOKUP(($AJ24-$AI24-$AH24-$AG24-$AF24-$AE24*(1+EN$3))/$AJ24,'Технический лист'!$A:$B,2,1)-VLOOKUP($AO24,'Технический лист'!$A:$B,2,1)),1+(1-$AU24))</f>
        <v>1</v>
      </c>
      <c r="EO24" s="15">
        <f>MIN(IF($AU24=100%,1,1+VLOOKUP(($AJ24-$AI24-$AH24-$AG24-$AF24-$AE24*(1+EO$3))/$AJ24,'Технический лист'!$A:$B,2,1)-VLOOKUP($AO24,'Технический лист'!$A:$B,2,1)),1+(1-$AU24))</f>
        <v>1</v>
      </c>
      <c r="EP24" s="15">
        <f>MIN(IF($AU24=100%,1,1+VLOOKUP(($AJ24-$AI24-$AH24-$AG24-$AF24-$AE24*(1+EP$3))/$AJ24,'Технический лист'!$A:$B,2,1)-VLOOKUP($AO24,'Технический лист'!$A:$B,2,1)),1+(1-$AU24))</f>
        <v>1</v>
      </c>
      <c r="EQ24" s="15">
        <f>MIN(IF($AU24=100%,1,1+VLOOKUP(($AJ24-$AI24-$AH24-$AG24-$AF24-$AE24*(1+EQ$3))/$AJ24,'Технический лист'!$A:$B,2,1)-VLOOKUP($AO24,'Технический лист'!$A:$B,2,1)),1+(1-$AU24))</f>
        <v>1</v>
      </c>
      <c r="ER24" s="15">
        <f>MIN(IF($AU24=100%,1,1+VLOOKUP(($AJ24-$AI24-$AH24-$AG24-$AF24-$AE24*(1+ER$3))/$AJ24,'Технический лист'!$A:$B,2,1)-VLOOKUP($AO24,'Технический лист'!$A:$B,2,1)),1+(1-$AU24))</f>
        <v>1</v>
      </c>
      <c r="ES24" s="15">
        <f>MIN(IF($AU24=100%,1,1+VLOOKUP(($AJ24-$AI24-$AH24-$AG24-$AF24-$AE24*(1+ES$3))/$AJ24,'Технический лист'!$A:$B,2,1)-VLOOKUP($AO24,'Технический лист'!$A:$B,2,1)),1+(1-$AU24))</f>
        <v>1</v>
      </c>
      <c r="ET24" s="15">
        <f>MIN(IF($AU24=100%,1,1+VLOOKUP(($AJ24-$AI24-$AH24-$AG24-$AF24-$AE24*(1+ET$3))/$AJ24,'Технический лист'!$A:$B,2,1)-VLOOKUP($AO24,'Технический лист'!$A:$B,2,1)),1+(1-$AU24))</f>
        <v>1</v>
      </c>
      <c r="EU24" s="15">
        <f>MIN(IF($AU24=100%,1,1+VLOOKUP(($AJ24-$AI24-$AH24-$AG24-$AF24-$AE24*(1+EU$3))/$AJ24,'Технический лист'!$A:$B,2,1)-VLOOKUP($AO24,'Технический лист'!$A:$B,2,1)),1+(1-$AU24))</f>
        <v>1</v>
      </c>
      <c r="EV24" s="111">
        <v>1</v>
      </c>
      <c r="EW24" s="15">
        <f>MIN(1,MAX(VLOOKUP(($AJ24-$AI24-$AH24-$AG24-$AF24-$AE24*(1+EW$3))/$AJ24,'Технический лист'!$A:$B,2,1),(EV24-0.05)))</f>
        <v>0.98</v>
      </c>
      <c r="EX24" s="15">
        <f>MIN(1,MAX(VLOOKUP(($AJ24-$AI24-$AH24-$AG24-$AF24-$AE24*(1+EX$3))/$AJ24,'Технический лист'!$A:$B,2,1),(EW24-0.05)))</f>
        <v>0.98</v>
      </c>
      <c r="EY24" s="15">
        <f>MIN(1,MAX(VLOOKUP(($AJ24-$AI24-$AH24-$AG24-$AF24-$AE24*(1+EY$3))/$AJ24,'Технический лист'!$A:$B,2,1),(EX24-0.05)))</f>
        <v>0.98</v>
      </c>
      <c r="EZ24" s="15">
        <f>MIN(1,MAX(VLOOKUP(($AJ24-$AI24-$AH24-$AG24-$AF24-$AE24*(1+EZ$3))/$AJ24,'Технический лист'!$A:$B,2,1),(EY24-0.05)))</f>
        <v>0.98</v>
      </c>
      <c r="FA24" s="15">
        <f>MIN(1,MAX(VLOOKUP(($AJ24-$AI24-$AH24-$AG24-$AF24-$AE24*(1+FA$3))/$AJ24,'Технический лист'!$A:$B,2,1),(EZ24-0.05)))</f>
        <v>0.98</v>
      </c>
      <c r="FB24" s="15">
        <f>MIN(1,MAX(VLOOKUP(($AJ24-$AI24-$AH24-$AG24-$AF24-$AE24*(1+FB$3))/$AJ24,'Технический лист'!$A:$B,2,1),(FA24-0.05)))</f>
        <v>0.98</v>
      </c>
      <c r="FC24" s="15">
        <f>MIN(1,MAX(VLOOKUP(($AJ24-$AI24-$AH24-$AG24-$AF24-$AE24*(1+FC$3))/$AJ24,'Технический лист'!$A:$B,2,1),(FB24-0.05)))</f>
        <v>0.98</v>
      </c>
      <c r="FD24" s="15">
        <f>MIN(1,MAX(VLOOKUP(($AJ24-$AI24-$AH24-$AG24-$AF24-$AE24*(1+FD$3))/$AJ24,'Технический лист'!$A:$B,2,1),(FC24-0.05)))</f>
        <v>0.98</v>
      </c>
      <c r="FE24" s="15">
        <f>MIN(1,MAX(VLOOKUP(($AJ24-$AI24-$AH24-$AG24-$AF24-$AE24*(1+FE$3))/$AJ24,'Технический лист'!$A:$B,2,1),(FD24-0.05)))</f>
        <v>0.98</v>
      </c>
      <c r="FF24" s="15">
        <f>MIN(1,MAX(VLOOKUP(($AJ24-$AI24-$AH24-$AG24-$AF24-$AE24*(1+FF$3))/$AJ24,'Технический лист'!$A:$B,2,1),(FE24-0.05)))</f>
        <v>0.98</v>
      </c>
      <c r="FG24" s="15">
        <f>MIN(1,MAX(VLOOKUP(($AJ24-$AI24-$AH24-$AG24-$AF24-$AE24*(1+FG$3))/$AJ24,'Технический лист'!$A:$B,2,1),(FF24-0.05)))</f>
        <v>0.98</v>
      </c>
      <c r="FH24" s="15">
        <f>MIN(1,MAX(VLOOKUP(($AJ24-$AI24-$AH24-$AG24-$AF24-$AE24*(1+FH$3))/$AJ24,'Технический лист'!$A:$B,2,1),(FG24-0.05)))</f>
        <v>0.98</v>
      </c>
      <c r="FI24" s="15">
        <f>MIN(1,MAX(VLOOKUP(($AJ24-$AI24-$AH24-$AG24-$AF24-$AE24*(1+FI$3))/$AJ24,'Технический лист'!$A:$B,2,1),(FH24-0.05)))</f>
        <v>0.98</v>
      </c>
      <c r="FJ24" s="15">
        <f>MIN(1,MAX(VLOOKUP(($AJ24-$AI24-$AH24-$AG24-$AF24-$AE24*(1+FJ$3))/$AJ24,'Технический лист'!$A:$B,2,1),(FI24-0.05)))</f>
        <v>0.98</v>
      </c>
      <c r="FK24" s="15">
        <f>MIN(1,MAX(VLOOKUP(($AJ24-$AI24-$AH24-$AG24-$AF24-$AE24*(1+FK$3))/$AJ24,'Технический лист'!$A:$B,2,1),(FJ24-0.05)))</f>
        <v>0.98</v>
      </c>
      <c r="FL24" s="15">
        <f>MIN(1,MAX(VLOOKUP(($AJ24-$AI24-$AH24-$AG24-$AF24-$AE24*(1+FL$3))/$AJ24,'Технический лист'!$A:$B,2,1),(FK24-0.05)))</f>
        <v>0.98</v>
      </c>
      <c r="FM24" s="15">
        <f>MIN(1,MAX(VLOOKUP(($AJ24-$AI24-$AH24-$AG24-$AF24-$AE24*(1+FM$3))/$AJ24,'Технический лист'!$A:$B,2,1),(FL24-0.05)))</f>
        <v>0.98</v>
      </c>
      <c r="FN24" s="15">
        <f>MIN(1,MAX(VLOOKUP(($AJ24-$AI24-$AH24-$AG24-$AF24-$AE24*(1+FN$3))/$AJ24,'Технический лист'!$A:$B,2,1),(FM24-0.05)))</f>
        <v>0.98</v>
      </c>
      <c r="FO24" s="15">
        <f>MIN(1,MAX(VLOOKUP(($AJ24-$AI24-$AH24-$AG24-$AF24-$AE24*(1+FO$3))/$AJ24,'Технический лист'!$A:$B,2,1),(FN24-0.05)))</f>
        <v>0.98</v>
      </c>
      <c r="FP24" s="15">
        <f>MIN(1,MAX(VLOOKUP(($AJ24-$AI24-$AH24-$AG24-$AF24-$AE24*(1+FP$3))/$AJ24,'Технический лист'!$A:$B,2,1),(FO24-0.05)))</f>
        <v>0.97499999999999998</v>
      </c>
      <c r="FQ24" s="15">
        <f>MIN(1,MAX(VLOOKUP(($AJ24-$AI24-$AH24-$AG24-$AF24-$AE24*(1+FQ$3))/$AJ24,'Технический лист'!$A:$B,2,1),(FP24-0.05)))</f>
        <v>0.97499999999999998</v>
      </c>
      <c r="FR24" s="15">
        <f>MIN(1,MAX(VLOOKUP(($AJ24-$AI24-$AH24-$AG24-$AF24-$AE24*(1+FR$3))/$AJ24,'Технический лист'!$A:$B,2,1),(FQ24-0.05)))</f>
        <v>0.97499999999999998</v>
      </c>
      <c r="FS24" s="15">
        <f>MIN(1,MAX(VLOOKUP(($AJ24-$AI24-$AH24-$AG24-$AF24-$AE24*(1+FS$3))/$AJ24,'Технический лист'!$A:$B,2,1),(FR24-0.05)))</f>
        <v>0.97499999999999998</v>
      </c>
      <c r="FT24" s="15">
        <f>MIN(1,MAX(VLOOKUP(($AJ24-$AI24-$AH24-$AG24-$AF24-$AE24*(1+FT$3))/$AJ24,'Технический лист'!$A:$B,2,1),(FS24-0.05)))</f>
        <v>0.97499999999999998</v>
      </c>
      <c r="FU24" s="15">
        <f>MIN(1,MAX(VLOOKUP(($AJ24-$AI24-$AH24-$AG24-$AF24-$AE24*(1+FU$3))/$AJ24,'Технический лист'!$A:$B,2,1),(FT24-0.05)))</f>
        <v>0.97499999999999998</v>
      </c>
      <c r="FV24" s="15">
        <f>MIN(1,MAX(VLOOKUP(($AJ24-$AI24-$AH24-$AG24-$AF24-$AE24*(1+FV$3))/$AJ24,'Технический лист'!$A:$B,2,1),(FU24-0.05)))</f>
        <v>0.97499999999999998</v>
      </c>
      <c r="FW24" s="15">
        <f>MIN(1,MAX(VLOOKUP(($AJ24-$AI24-$AH24-$AG24-$AF24-$AE24*(1+FW$3))/$AJ24,'Технический лист'!$A:$B,2,1),(FV24-0.05)))</f>
        <v>0.97499999999999998</v>
      </c>
      <c r="FX24" s="15">
        <f>MIN(1,MAX(VLOOKUP(($AJ24-$AI24-$AH24-$AG24-$AF24-$AE24*(1+FX$3))/$AJ24,'Технический лист'!$A:$B,2,1),(FW24-0.05)))</f>
        <v>0.97499999999999998</v>
      </c>
      <c r="FY24" s="15">
        <f>MIN(1,MAX(VLOOKUP(($AJ24-$AI24-$AH24-$AG24-$AF24-$AE24*(1+FY$3))/$AJ24,'Технический лист'!$A:$B,2,1),(FX24-0.05)))</f>
        <v>0.97499999999999998</v>
      </c>
      <c r="FZ24" s="15">
        <f>MIN(1,MAX(VLOOKUP(($AJ24-$AI24-$AH24-$AG24-$AF24-$AE24*(1+FZ$3))/$AJ24,'Технический лист'!$A:$B,2,1),(FY24-0.05)))</f>
        <v>0.97499999999999998</v>
      </c>
      <c r="GA24" s="15">
        <f>MIN(1,MAX(VLOOKUP(($AJ24-$AI24-$AH24-$AG24-$AF24-$AE24*(1+GA$3))/$AJ24,'Технический лист'!$A:$B,2,1),(FZ24-0.05)))</f>
        <v>0.97499999999999998</v>
      </c>
      <c r="GB24" s="15">
        <f>MIN(1,MAX(VLOOKUP(($AJ24-$AI24-$AH24-$AG24-$AF24-$AE24*(1+GB$3))/$AJ24,'Технический лист'!$A:$B,2,1),(GA24-0.05)))</f>
        <v>0.97499999999999998</v>
      </c>
      <c r="GC24" s="15">
        <f>MIN(1,MAX(VLOOKUP(($AJ24-$AI24-$AH24-$AG24-$AF24-$AE24*(1+GC$3))/$AJ24,'Технический лист'!$A:$B,2,1),(GB24-0.05)))</f>
        <v>0.97499999999999998</v>
      </c>
      <c r="GD24" s="15">
        <f>MIN(1,MAX(VLOOKUP(($AJ24-$AI24-$AH24-$AG24-$AF24-$AE24*(1+GD$3))/$AJ24,'Технический лист'!$A:$B,2,1),(GC24-0.05)))</f>
        <v>0.97499999999999998</v>
      </c>
      <c r="GE24" s="15">
        <f>MIN(1,MAX(VLOOKUP(($AJ24-$AI24-$AH24-$AG24-$AF24-$AE24*(1+GE$3))/$AJ24,'Технический лист'!$A:$B,2,1),(GD24-0.05)))</f>
        <v>0.97499999999999998</v>
      </c>
      <c r="GF24" s="15">
        <f>MIN(1,MAX(VLOOKUP(($AJ24-$AI24-$AH24-$AG24-$AF24-$AE24*(1+GF$3))/$AJ24,'Технический лист'!$A:$B,2,1),(GE24-0.05)))</f>
        <v>0.97499999999999998</v>
      </c>
      <c r="GG24" s="15">
        <f>MIN(1,MAX(VLOOKUP(($AJ24-$AI24-$AH24-$AG24-$AF24-$AE24*(1+GG$3))/$AJ24,'Технический лист'!$A:$B,2,1),(GF24-0.05)))</f>
        <v>0.97499999999999998</v>
      </c>
      <c r="GH24" s="15">
        <f>MIN(1,MAX(VLOOKUP(($AJ24-$AI24-$AH24-$AG24-$AF24-$AE24*(1+GH$3))/$AJ24,'Технический лист'!$A:$B,2,1),(GG24-0.05)))</f>
        <v>0.97499999999999998</v>
      </c>
      <c r="GI24" s="15">
        <f>MIN(1,MAX(VLOOKUP(($AJ24-$AI24-$AH24-$AG24-$AF24-$AE24*(1+GI$3))/$AJ24,'Технический лист'!$A:$B,2,1),(GH24-0.05)))</f>
        <v>0.97499999999999998</v>
      </c>
      <c r="GJ24" s="15">
        <f>MIN(1,MAX(VLOOKUP(($AJ24-$AI24-$AH24-$AG24-$AF24-$AE24*(1+GJ$3))/$AJ24,'Технический лист'!$A:$B,2,1),(GI24-0.05)))</f>
        <v>0.97499999999999998</v>
      </c>
      <c r="GK24" s="15">
        <f>MIN(1,MAX(VLOOKUP(($AJ24-$AI24-$AH24-$AG24-$AF24-$AE24*(1+GK$3))/$AJ24,'Технический лист'!$A:$B,2,1),(GJ24-0.05)))</f>
        <v>0.97499999999999998</v>
      </c>
      <c r="GL24" s="15">
        <f>MIN(1,MAX(VLOOKUP(($AJ24-$AI24-$AH24-$AG24-$AF24-$AE24*(1+GL$3))/$AJ24,'Технический лист'!$A:$B,2,1),(GK24-0.05)))</f>
        <v>0.97499999999999998</v>
      </c>
      <c r="GM24" s="15">
        <f>MIN(1,MAX(VLOOKUP(($AJ24-$AI24-$AH24-$AG24-$AF24-$AE24*(1+GM$3))/$AJ24,'Технический лист'!$A:$B,2,1),(GL24-0.05)))</f>
        <v>0.97499999999999998</v>
      </c>
      <c r="GN24" s="15">
        <f>MIN(1,MAX(VLOOKUP(($AJ24-$AI24-$AH24-$AG24-$AF24-$AE24*(1+GN$3))/$AJ24,'Технический лист'!$A:$B,2,1),(GM24-0.05)))</f>
        <v>0.97499999999999998</v>
      </c>
      <c r="GO24" s="15">
        <f>MIN(1,MAX(VLOOKUP(($AJ24-$AI24-$AH24-$AG24-$AF24-$AE24*(1+GO$3))/$AJ24,'Технический лист'!$A:$B,2,1),(GN24-0.05)))</f>
        <v>0.97499999999999998</v>
      </c>
      <c r="GP24" s="15">
        <f>MIN(1,MAX(VLOOKUP(($AJ24-$AI24-$AH24-$AG24-$AF24-$AE24*(1+GP$3))/$AJ24,'Технический лист'!$A:$B,2,1),(GO24-0.05)))</f>
        <v>0.97499999999999998</v>
      </c>
      <c r="GQ24" s="15">
        <f>MIN(1,MAX(VLOOKUP(($AJ24-$AI24-$AH24-$AG24-$AF24-$AE24*(1+GQ$3))/$AJ24,'Технический лист'!$A:$B,2,1),(GP24-0.05)))</f>
        <v>0.97499999999999998</v>
      </c>
      <c r="GR24" s="15">
        <f>MIN(1,MAX(VLOOKUP(($AJ24-$AI24-$AH24-$AG24-$AF24-$AE24*(1+GR$3))/$AJ24,'Технический лист'!$A:$B,2,1),(GQ24-0.05)))</f>
        <v>0.97499999999999998</v>
      </c>
      <c r="GS24" s="15">
        <f>MIN(1,MAX(VLOOKUP(($AJ24-$AI24-$AH24-$AG24-$AF24-$AE24*(1+GS$3))/$AJ24,'Технический лист'!$A:$B,2,1),(GR24-0.05)))</f>
        <v>0.97499999999999998</v>
      </c>
      <c r="GT24" s="15">
        <f>MIN(1,MAX(VLOOKUP(($AJ24-$AI24-$AH24-$AG24-$AF24-$AE24*(1+GT$3))/$AJ24,'Технический лист'!$A:$B,2,1),(GS24-0.05)))</f>
        <v>0.97499999999999998</v>
      </c>
      <c r="GU24" s="15">
        <f>MIN(1,MAX(VLOOKUP(($AJ24-$AI24-$AH24-$AG24-$AF24-$AE24*(1+GU$3))/$AJ24,'Технический лист'!$A:$B,2,1),(GT24-0.05)))</f>
        <v>0.97499999999999998</v>
      </c>
      <c r="GV24" s="15">
        <f>MIN(1,MAX(VLOOKUP(($AJ24-$AI24-$AH24-$AG24-$AF24-$AE24*(1+GV$3))/$AJ24,'Технический лист'!$A:$B,2,1),(GU24-0.05)))</f>
        <v>0.97499999999999998</v>
      </c>
      <c r="GW24" s="15">
        <f>MIN(1,MAX(VLOOKUP(($AJ24-$AI24-$AH24-$AG24-$AF24-$AE24*(1+GW$3))/$AJ24,'Технический лист'!$A:$B,2,1),(GV24-0.05)))</f>
        <v>0.97499999999999998</v>
      </c>
      <c r="GX24" s="15">
        <f>MIN(1,MAX(VLOOKUP(($AJ24-$AI24-$AH24-$AG24-$AF24-$AE24*(1+GX$3))/$AJ24,'Технический лист'!$A:$B,2,1),(GW24-0.05)))</f>
        <v>0.97499999999999998</v>
      </c>
      <c r="GY24" s="15">
        <f>MIN(1,MAX(VLOOKUP(($AJ24-$AI24-$AH24-$AG24-$AF24-$AE24*(1+GY$3))/$AJ24,'Технический лист'!$A:$B,2,1),(GX24-0.05)))</f>
        <v>0.97499999999999998</v>
      </c>
      <c r="GZ24" s="15">
        <f>MIN(1,MAX(VLOOKUP(($AJ24-$AI24-$AH24-$AG24-$AF24-$AE24*(1+GZ$3))/$AJ24,'Технический лист'!$A:$B,2,1),(GY24-0.05)))</f>
        <v>0.97499999999999998</v>
      </c>
      <c r="HA24" s="15">
        <f>MIN(1,MAX(VLOOKUP(($AJ24-$AI24-$AH24-$AG24-$AF24-$AE24*(1+HA$3))/$AJ24,'Технический лист'!$A:$B,2,1),(GZ24-0.05)))</f>
        <v>0.97499999999999998</v>
      </c>
      <c r="HB24" s="15">
        <f>MIN(1,MAX(VLOOKUP(($AJ24-$AI24-$AH24-$AG24-$AF24-$AE24*(1+HB$3))/$AJ24,'Технический лист'!$A:$B,2,1),(HA24-0.05)))</f>
        <v>0.97499999999999998</v>
      </c>
      <c r="HC24" s="15">
        <f>MIN(1,MAX(VLOOKUP(($AJ24-$AI24-$AH24-$AG24-$AF24-$AE24*(1+HC$3))/$AJ24,'Технический лист'!$A:$B,2,1),(HB24-0.05)))</f>
        <v>0.97499999999999998</v>
      </c>
      <c r="HD24" s="15">
        <f>MIN(1,MAX(VLOOKUP(($AJ24-$AI24-$AH24-$AG24-$AF24-$AE24*(1+HD$3))/$AJ24,'Технический лист'!$A:$B,2,1),(HC24-0.05)))</f>
        <v>0.97499999999999998</v>
      </c>
      <c r="HE24" s="15">
        <f>MIN(1,MAX(VLOOKUP(($AJ24-$AI24-$AH24-$AG24-$AF24-$AE24*(1+HE$3))/$AJ24,'Технический лист'!$A:$B,2,1),(HD24-0.05)))</f>
        <v>0.97499999999999998</v>
      </c>
      <c r="HF24" s="15">
        <f>MIN(1,MAX(VLOOKUP(($AJ24-$AI24-$AH24-$AG24-$AF24-$AE24*(1+HF$3))/$AJ24,'Технический лист'!$A:$B,2,1),(HE24-0.05)))</f>
        <v>0.97499999999999998</v>
      </c>
      <c r="HG24" s="15">
        <f>MIN(1,MAX(VLOOKUP(($AJ24-$AI24-$AH24-$AG24-$AF24-$AE24*(1+HG$3))/$AJ24,'Технический лист'!$A:$B,2,1),(HF24-0.05)))</f>
        <v>0.97499999999999998</v>
      </c>
      <c r="HH24" s="15">
        <f>MIN(1,MAX(VLOOKUP(($AJ24-$AI24-$AH24-$AG24-$AF24-$AE24*(1+HH$3))/$AJ24,'Технический лист'!$A:$B,2,1),(HG24-0.05)))</f>
        <v>0.97499999999999998</v>
      </c>
      <c r="HI24" s="15">
        <f>MIN(1,MAX(VLOOKUP(($AJ24-$AI24-$AH24-$AG24-$AF24-$AE24*(1+HI$3))/$AJ24,'Технический лист'!$A:$B,2,1),(HH24-0.05)))</f>
        <v>0.97499999999999998</v>
      </c>
      <c r="HJ24" s="15">
        <f>MIN(1,MAX(VLOOKUP(($AJ24-$AI24-$AH24-$AG24-$AF24-$AE24*(1+HJ$3))/$AJ24,'Технический лист'!$A:$B,2,1),(HI24-0.05)))</f>
        <v>0.97499999999999998</v>
      </c>
      <c r="HK24" s="15">
        <f>MIN(1,MAX(VLOOKUP(($AJ24-$AI24-$AH24-$AG24-$AF24-$AE24*(1+HK$3))/$AJ24,'Технический лист'!$A:$B,2,1),(HJ24-0.05)))</f>
        <v>0.97499999999999998</v>
      </c>
      <c r="HL24" s="15">
        <f>MIN(1,MAX(VLOOKUP(($AJ24-$AI24-$AH24-$AG24-$AF24-$AE24*(1+HL$3))/$AJ24,'Технический лист'!$A:$B,2,1),(HK24-0.05)))</f>
        <v>0.97499999999999998</v>
      </c>
      <c r="HM24" s="15">
        <f>MIN(1,MAX(VLOOKUP(($AJ24-$AI24-$AH24-$AG24-$AF24-$AE24*(1+HM$3))/$AJ24,'Технический лист'!$A:$B,2,1),(HL24-0.05)))</f>
        <v>0.97499999999999998</v>
      </c>
      <c r="HN24" s="15">
        <f>MIN(1,MAX(VLOOKUP(($AJ24-$AI24-$AH24-$AG24-$AF24-$AE24*(1+HN$3))/$AJ24,'Технический лист'!$A:$B,2,1),(HM24-0.05)))</f>
        <v>0.97499999999999998</v>
      </c>
      <c r="HO24" s="15">
        <f>MIN(1,MAX(VLOOKUP(($AJ24-$AI24-$AH24-$AG24-$AF24-$AE24*(1+HO$3))/$AJ24,'Технический лист'!$A:$B,2,1),(HN24-0.05)))</f>
        <v>0.97499999999999998</v>
      </c>
      <c r="HP24" s="15">
        <f>MIN(1,MAX(VLOOKUP(($AJ24-$AI24-$AH24-$AG24-$AF24-$AE24*(1+HP$3))/$AJ24,'Технический лист'!$A:$B,2,1),(HO24-0.05)))</f>
        <v>0.97499999999999998</v>
      </c>
      <c r="HQ24" s="15">
        <f>MIN(1,MAX(VLOOKUP(($AJ24-$AI24-$AH24-$AG24-$AF24-$AE24*(1+HQ$3))/$AJ24,'Технический лист'!$A:$B,2,1),(HP24-0.05)))</f>
        <v>0.97499999999999998</v>
      </c>
      <c r="HR24" s="15">
        <f>MIN(1,MAX(VLOOKUP(($AJ24-$AI24-$AH24-$AG24-$AF24-$AE24*(1+HR$3))/$AJ24,'Технический лист'!$A:$B,2,1),(HQ24-0.05)))</f>
        <v>0.97499999999999998</v>
      </c>
      <c r="HS24" s="15">
        <f>MIN(1,MAX(VLOOKUP(($AJ24-$AI24-$AH24-$AG24-$AF24-$AE24*(1+HS$3))/$AJ24,'Технический лист'!$A:$B,2,1),(HR24-0.05)))</f>
        <v>0.97499999999999998</v>
      </c>
      <c r="HT24" s="15">
        <f>MIN(1,MAX(VLOOKUP(($AJ24-$AI24-$AH24-$AG24-$AF24-$AE24*(1+HT$3))/$AJ24,'Технический лист'!$A:$B,2,1),(HS24-0.05)))</f>
        <v>0.97</v>
      </c>
      <c r="HU24" s="15">
        <f>MIN(1,MAX(VLOOKUP(($AJ24-$AI24-$AH24-$AG24-$AF24-$AE24*(1+HU$3))/$AJ24,'Технический лист'!$A:$B,2,1),(HT24-0.05)))</f>
        <v>0.97</v>
      </c>
      <c r="HV24" s="15">
        <f>MIN(1,MAX(VLOOKUP(($AJ24-$AI24-$AH24-$AG24-$AF24-$AE24*(1+HV$3))/$AJ24,'Технический лист'!$A:$B,2,1),(HU24-0.05)))</f>
        <v>0.97</v>
      </c>
      <c r="HW24" s="15">
        <f>MIN(1,MAX(VLOOKUP(($AJ24-$AI24-$AH24-$AG24-$AF24-$AE24*(1+HW$3))/$AJ24,'Технический лист'!$A:$B,2,1),(HV24-0.05)))</f>
        <v>0.97</v>
      </c>
      <c r="HX24" s="15">
        <f>MIN(1,MAX(VLOOKUP(($AJ24-$AI24-$AH24-$AG24-$AF24-$AE24*(1+HX$3))/$AJ24,'Технический лист'!$A:$B,2,1),(HW24-0.05)))</f>
        <v>0.97</v>
      </c>
      <c r="HY24" s="15">
        <f>MIN(1,MAX(VLOOKUP(($AJ24-$AI24-$AH24-$AG24-$AF24-$AE24*(1+HY$3))/$AJ24,'Технический лист'!$A:$B,2,1),(HX24-0.05)))</f>
        <v>0.97</v>
      </c>
      <c r="HZ24" s="15">
        <f>MIN(1,MAX(VLOOKUP(($AJ24-$AI24-$AH24-$AG24-$AF24-$AE24*(1+HZ$3))/$AJ24,'Технический лист'!$A:$B,2,1),(HY24-0.05)))</f>
        <v>0.97</v>
      </c>
      <c r="IA24" s="15">
        <f>MIN(1,MAX(VLOOKUP(($AJ24-$AI24-$AH24-$AG24-$AF24-$AE24*(1+IA$3))/$AJ24,'Технический лист'!$A:$B,2,1),(HZ24-0.05)))</f>
        <v>0.97</v>
      </c>
      <c r="IB24" s="15">
        <f>MIN(1,MAX(VLOOKUP(($AJ24-$AI24-$AH24-$AG24-$AF24-$AE24*(1+IB$3))/$AJ24,'Технический лист'!$A:$B,2,1),(IA24-0.05)))</f>
        <v>0.97</v>
      </c>
      <c r="IC24" s="15">
        <f>MIN(1,MAX(VLOOKUP(($AJ24-$AI24-$AH24-$AG24-$AF24-$AE24*(1+IC$3))/$AJ24,'Технический лист'!$A:$B,2,1),(IB24-0.05)))</f>
        <v>0.97</v>
      </c>
      <c r="ID24" s="15">
        <f>MIN(1,MAX(VLOOKUP(($AJ24-$AI24-$AH24-$AG24-$AF24-$AE24*(1+ID$3))/$AJ24,'Технический лист'!$A:$B,2,1),(IC24-0.05)))</f>
        <v>0.97</v>
      </c>
      <c r="IE24" s="15">
        <f>MIN(1,MAX(VLOOKUP(($AJ24-$AI24-$AH24-$AG24-$AF24-$AE24*(1+IE$3))/$AJ24,'Технический лист'!$A:$B,2,1),(ID24-0.05)))</f>
        <v>0.97</v>
      </c>
      <c r="IF24" s="15">
        <f>MIN(1,MAX(VLOOKUP(($AJ24-$AI24-$AH24-$AG24-$AF24-$AE24*(1+IF$3))/$AJ24,'Технический лист'!$A:$B,2,1),(IE24-0.05)))</f>
        <v>0.97</v>
      </c>
      <c r="IG24" s="15">
        <f>MIN(1,MAX(VLOOKUP(($AJ24-$AI24-$AH24-$AG24-$AF24-$AE24*(1+IG$3))/$AJ24,'Технический лист'!$A:$B,2,1),(IF24-0.05)))</f>
        <v>0.97</v>
      </c>
      <c r="IH24" s="15">
        <f>MIN(1,MAX(VLOOKUP(($AJ24-$AI24-$AH24-$AG24-$AF24-$AE24*(1+IH$3))/$AJ24,'Технический лист'!$A:$B,2,1),(IG24-0.05)))</f>
        <v>0.97</v>
      </c>
      <c r="II24" s="15">
        <f>MIN(1,MAX(VLOOKUP(($AJ24-$AI24-$AH24-$AG24-$AF24-$AE24*(1+II$3))/$AJ24,'Технический лист'!$A:$B,2,1),(IH24-0.05)))</f>
        <v>0.97</v>
      </c>
      <c r="IJ24" s="15">
        <f>MIN(1,MAX(VLOOKUP(($AJ24-$AI24-$AH24-$AG24-$AF24-$AE24*(1+IJ$3))/$AJ24,'Технический лист'!$A:$B,2,1),(II24-0.05)))</f>
        <v>0.97</v>
      </c>
      <c r="IK24" s="15">
        <f>MIN(1,MAX(VLOOKUP(($AJ24-$AI24-$AH24-$AG24-$AF24-$AE24*(1+IK$3))/$AJ24,'Технический лист'!$A:$B,2,1),(IJ24-0.05)))</f>
        <v>0.97</v>
      </c>
      <c r="IL24" s="15">
        <f>MIN(1,MAX(VLOOKUP(($AJ24-$AI24-$AH24-$AG24-$AF24-$AE24*(1+IL$3))/$AJ24,'Технический лист'!$A:$B,2,1),(IK24-0.05)))</f>
        <v>0.97</v>
      </c>
      <c r="IM24" s="15">
        <f>MIN(1,MAX(VLOOKUP(($AJ24-$AI24-$AH24-$AG24-$AF24-$AE24*(1+IM$3))/$AJ24,'Технический лист'!$A:$B,2,1),(IL24-0.05)))</f>
        <v>0.97</v>
      </c>
      <c r="IN24" s="15">
        <f>MIN(1,MAX(VLOOKUP(($AJ24-$AI24-$AH24-$AG24-$AF24-$AE24*(1+IN$3))/$AJ24,'Технический лист'!$A:$B,2,1),(IM24-0.05)))</f>
        <v>0.97</v>
      </c>
      <c r="IO24" s="15">
        <f>MIN(1,MAX(VLOOKUP(($AJ24-$AI24-$AH24-$AG24-$AF24-$AE24*(1+IO$3))/$AJ24,'Технический лист'!$A:$B,2,1),(IN24-0.05)))</f>
        <v>0.97</v>
      </c>
      <c r="IP24" s="15">
        <f>MIN(1,MAX(VLOOKUP(($AJ24-$AI24-$AH24-$AG24-$AF24-$AE24*(1+IP$3))/$AJ24,'Технический лист'!$A:$B,2,1),(IO24-0.05)))</f>
        <v>0.97</v>
      </c>
      <c r="IQ24" s="15">
        <f>MIN(1,MAX(VLOOKUP(($AJ24-$AI24-$AH24-$AG24-$AF24-$AE24*(1+IQ$3))/$AJ24,'Технический лист'!$A:$B,2,1),(IP24-0.05)))</f>
        <v>0.97</v>
      </c>
      <c r="IR24" s="15">
        <f>MIN(1,MAX(VLOOKUP(($AJ24-$AI24-$AH24-$AG24-$AF24-$AE24*(1+IR$3))/$AJ24,'Технический лист'!$A:$B,2,1),(IQ24-0.05)))</f>
        <v>0.97</v>
      </c>
    </row>
    <row r="25" spans="1:252" ht="45" customHeight="1">
      <c r="A25" s="89" t="s">
        <v>514</v>
      </c>
      <c r="B25" s="90">
        <v>2</v>
      </c>
      <c r="C25" s="5" t="s">
        <v>65</v>
      </c>
      <c r="D25" s="91">
        <v>17108</v>
      </c>
      <c r="E25" s="91" t="s">
        <v>318</v>
      </c>
      <c r="F25" s="92" t="s">
        <v>69</v>
      </c>
      <c r="G25" s="91" t="s">
        <v>26</v>
      </c>
      <c r="H25" s="91" t="s">
        <v>50</v>
      </c>
      <c r="I25" s="91" t="s">
        <v>99</v>
      </c>
      <c r="J25" s="91" t="s">
        <v>83</v>
      </c>
      <c r="K25" s="91">
        <v>2303</v>
      </c>
      <c r="L25" s="85" t="s">
        <v>64</v>
      </c>
      <c r="M25" s="91" t="s">
        <v>190</v>
      </c>
      <c r="N25" s="91" t="s">
        <v>191</v>
      </c>
      <c r="O25" s="91" t="s">
        <v>192</v>
      </c>
      <c r="P25" s="89" t="s">
        <v>204</v>
      </c>
      <c r="Q25" s="91" t="s">
        <v>286</v>
      </c>
      <c r="R25" s="91" t="s">
        <v>255</v>
      </c>
      <c r="S25" s="82">
        <v>51703</v>
      </c>
      <c r="T25" s="82">
        <v>119081287</v>
      </c>
      <c r="U25" s="81">
        <v>1039</v>
      </c>
      <c r="V25" s="81">
        <v>0</v>
      </c>
      <c r="W25" s="82">
        <v>80898804</v>
      </c>
      <c r="X25" s="112">
        <v>51</v>
      </c>
      <c r="Y25" s="112" t="s">
        <v>417</v>
      </c>
      <c r="Z25" s="113">
        <v>9</v>
      </c>
      <c r="AA25" s="113">
        <v>7</v>
      </c>
      <c r="AB25" s="113">
        <v>4</v>
      </c>
      <c r="AC25" s="99">
        <v>1695.49</v>
      </c>
      <c r="AD25" s="99">
        <f t="shared" si="1"/>
        <v>706.81999999999994</v>
      </c>
      <c r="AE25" s="99">
        <v>2402.31</v>
      </c>
      <c r="AF25" s="98">
        <f>(Z25+AA25+AB25)*'Ставки аренды'!$B$3/X25</f>
        <v>274.50980392156862</v>
      </c>
      <c r="AG25" s="114">
        <v>0</v>
      </c>
      <c r="AH25" s="94">
        <v>0</v>
      </c>
      <c r="AI25" s="115">
        <f>1.01*AJ25</f>
        <v>17170</v>
      </c>
      <c r="AJ25" s="117">
        <f>Цены!$D$9</f>
        <v>17000</v>
      </c>
      <c r="AK25" s="94">
        <f>AJ25/Цены!$B$1</f>
        <v>222.7886587467483</v>
      </c>
      <c r="AL25" s="95">
        <f t="shared" si="5"/>
        <v>2676.8198039215686</v>
      </c>
      <c r="AM25" s="95">
        <f t="shared" si="6"/>
        <v>14323.180196078432</v>
      </c>
      <c r="AN25" s="94">
        <f t="shared" si="2"/>
        <v>19846.819803921571</v>
      </c>
      <c r="AO25" s="118">
        <f t="shared" si="3"/>
        <v>-0.16745998846597479</v>
      </c>
      <c r="AP25" s="96">
        <f t="shared" si="7"/>
        <v>0.15745998846597462</v>
      </c>
      <c r="AQ25" s="96">
        <f t="shared" si="8"/>
        <v>0.14131235294117647</v>
      </c>
      <c r="AR25" s="96">
        <f t="shared" si="9"/>
        <v>0.89744927786345241</v>
      </c>
      <c r="AS25" s="122">
        <v>1</v>
      </c>
      <c r="AT25" s="121">
        <f t="shared" si="10"/>
        <v>51703</v>
      </c>
      <c r="AU25" s="83">
        <v>0.95</v>
      </c>
      <c r="AV25" s="119">
        <f t="shared" si="11"/>
        <v>-0.18441747081891577</v>
      </c>
      <c r="AW25" s="120">
        <f t="shared" si="12"/>
        <v>0.17441747081891582</v>
      </c>
      <c r="AX25" s="120">
        <f t="shared" si="13"/>
        <v>0.15826983529411767</v>
      </c>
      <c r="AY25" s="120">
        <f t="shared" si="14"/>
        <v>0.9074196211596085</v>
      </c>
      <c r="AZ25" s="15">
        <f>MIN(IF($AU25=100%,1,1+VLOOKUP(($AJ25-$AI25-$AH25-$AG25-$AF25-$AE25*(1+AZ$3))/$AJ25,'Технический лист'!$A:$B,2,1)-VLOOKUP($AO25,'Технический лист'!$A:$B,2,1)),1+(1-$AU25))</f>
        <v>1.0349999999999999</v>
      </c>
      <c r="BA25" s="15">
        <f>MIN(IF($AU25=100%,1,1+VLOOKUP(($AJ25-$AI25-$AH25-$AG25-$AF25-$AE25*(1+BA$3))/$AJ25,'Технический лист'!$A:$B,2,1)-VLOOKUP($AO25,'Технический лист'!$A:$B,2,1)),1+(1-$AU25))</f>
        <v>1.0349999999999999</v>
      </c>
      <c r="BB25" s="15">
        <f>MIN(IF($AU25=100%,1,1+VLOOKUP(($AJ25-$AI25-$AH25-$AG25-$AF25-$AE25*(1+BB$3))/$AJ25,'Технический лист'!$A:$B,2,1)-VLOOKUP($AO25,'Технический лист'!$A:$B,2,1)),1+(1-$AU25))</f>
        <v>1.0349999999999999</v>
      </c>
      <c r="BC25" s="15">
        <f>MIN(IF($AU25=100%,1,1+VLOOKUP(($AJ25-$AI25-$AH25-$AG25-$AF25-$AE25*(1+BC$3))/$AJ25,'Технический лист'!$A:$B,2,1)-VLOOKUP($AO25,'Технический лист'!$A:$B,2,1)),1+(1-$AU25))</f>
        <v>1.0349999999999999</v>
      </c>
      <c r="BD25" s="15">
        <f>MIN(IF($AU25=100%,1,1+VLOOKUP(($AJ25-$AI25-$AH25-$AG25-$AF25-$AE25*(1+BD$3))/$AJ25,'Технический лист'!$A:$B,2,1)-VLOOKUP($AO25,'Технический лист'!$A:$B,2,1)),1+(1-$AU25))</f>
        <v>1.0349999999999999</v>
      </c>
      <c r="BE25" s="15">
        <f>MIN(IF($AU25=100%,1,1+VLOOKUP(($AJ25-$AI25-$AH25-$AG25-$AF25-$AE25*(1+BE$3))/$AJ25,'Технический лист'!$A:$B,2,1)-VLOOKUP($AO25,'Технический лист'!$A:$B,2,1)),1+(1-$AU25))</f>
        <v>1.03</v>
      </c>
      <c r="BF25" s="15">
        <f>MIN(IF($AU25=100%,1,1+VLOOKUP(($AJ25-$AI25-$AH25-$AG25-$AF25-$AE25*(1+BF$3))/$AJ25,'Технический лист'!$A:$B,2,1)-VLOOKUP($AO25,'Технический лист'!$A:$B,2,1)),1+(1-$AU25))</f>
        <v>1.03</v>
      </c>
      <c r="BG25" s="15">
        <f>MIN(IF($AU25=100%,1,1+VLOOKUP(($AJ25-$AI25-$AH25-$AG25-$AF25-$AE25*(1+BG$3))/$AJ25,'Технический лист'!$A:$B,2,1)-VLOOKUP($AO25,'Технический лист'!$A:$B,2,1)),1+(1-$AU25))</f>
        <v>1.03</v>
      </c>
      <c r="BH25" s="15">
        <f>MIN(IF($AU25=100%,1,1+VLOOKUP(($AJ25-$AI25-$AH25-$AG25-$AF25-$AE25*(1+BH$3))/$AJ25,'Технический лист'!$A:$B,2,1)-VLOOKUP($AO25,'Технический лист'!$A:$B,2,1)),1+(1-$AU25))</f>
        <v>1.03</v>
      </c>
      <c r="BI25" s="15">
        <f>MIN(IF($AU25=100%,1,1+VLOOKUP(($AJ25-$AI25-$AH25-$AG25-$AF25-$AE25*(1+BI$3))/$AJ25,'Технический лист'!$A:$B,2,1)-VLOOKUP($AO25,'Технический лист'!$A:$B,2,1)),1+(1-$AU25))</f>
        <v>1.03</v>
      </c>
      <c r="BJ25" s="15">
        <f>MIN(IF($AU25=100%,1,1+VLOOKUP(($AJ25-$AI25-$AH25-$AG25-$AF25-$AE25*(1+BJ$3))/$AJ25,'Технический лист'!$A:$B,2,1)-VLOOKUP($AO25,'Технический лист'!$A:$B,2,1)),1+(1-$AU25))</f>
        <v>1.03</v>
      </c>
      <c r="BK25" s="15">
        <f>MIN(IF($AU25=100%,1,1+VLOOKUP(($AJ25-$AI25-$AH25-$AG25-$AF25-$AE25*(1+BK$3))/$AJ25,'Технический лист'!$A:$B,2,1)-VLOOKUP($AO25,'Технический лист'!$A:$B,2,1)),1+(1-$AU25))</f>
        <v>1.03</v>
      </c>
      <c r="BL25" s="15">
        <f>MIN(IF($AU25=100%,1,1+VLOOKUP(($AJ25-$AI25-$AH25-$AG25-$AF25-$AE25*(1+BL$3))/$AJ25,'Технический лист'!$A:$B,2,1)-VLOOKUP($AO25,'Технический лист'!$A:$B,2,1)),1+(1-$AU25))</f>
        <v>1.03</v>
      </c>
      <c r="BM25" s="15">
        <f>MIN(IF($AU25=100%,1,1+VLOOKUP(($AJ25-$AI25-$AH25-$AG25-$AF25-$AE25*(1+BM$3))/$AJ25,'Технический лист'!$A:$B,2,1)-VLOOKUP($AO25,'Технический лист'!$A:$B,2,1)),1+(1-$AU25))</f>
        <v>1.03</v>
      </c>
      <c r="BN25" s="15">
        <f>MIN(IF($AU25=100%,1,1+VLOOKUP(($AJ25-$AI25-$AH25-$AG25-$AF25-$AE25*(1+BN$3))/$AJ25,'Технический лист'!$A:$B,2,1)-VLOOKUP($AO25,'Технический лист'!$A:$B,2,1)),1+(1-$AU25))</f>
        <v>1.03</v>
      </c>
      <c r="BO25" s="15">
        <f>MIN(IF($AU25=100%,1,1+VLOOKUP(($AJ25-$AI25-$AH25-$AG25-$AF25-$AE25*(1+BO$3))/$AJ25,'Технический лист'!$A:$B,2,1)-VLOOKUP($AO25,'Технический лист'!$A:$B,2,1)),1+(1-$AU25))</f>
        <v>1.03</v>
      </c>
      <c r="BP25" s="15">
        <f>MIN(IF($AU25=100%,1,1+VLOOKUP(($AJ25-$AI25-$AH25-$AG25-$AF25-$AE25*(1+BP$3))/$AJ25,'Технический лист'!$A:$B,2,1)-VLOOKUP($AO25,'Технический лист'!$A:$B,2,1)),1+(1-$AU25))</f>
        <v>1.03</v>
      </c>
      <c r="BQ25" s="15">
        <f>MIN(IF($AU25=100%,1,1+VLOOKUP(($AJ25-$AI25-$AH25-$AG25-$AF25-$AE25*(1+BQ$3))/$AJ25,'Технический лист'!$A:$B,2,1)-VLOOKUP($AO25,'Технический лист'!$A:$B,2,1)),1+(1-$AU25))</f>
        <v>1.03</v>
      </c>
      <c r="BR25" s="15">
        <f>MIN(IF($AU25=100%,1,1+VLOOKUP(($AJ25-$AI25-$AH25-$AG25-$AF25-$AE25*(1+BR$3))/$AJ25,'Технический лист'!$A:$B,2,1)-VLOOKUP($AO25,'Технический лист'!$A:$B,2,1)),1+(1-$AU25))</f>
        <v>1.03</v>
      </c>
      <c r="BS25" s="15">
        <f>MIN(IF($AU25=100%,1,1+VLOOKUP(($AJ25-$AI25-$AH25-$AG25-$AF25-$AE25*(1+BS$3))/$AJ25,'Технический лист'!$A:$B,2,1)-VLOOKUP($AO25,'Технический лист'!$A:$B,2,1)),1+(1-$AU25))</f>
        <v>1.0249999999999999</v>
      </c>
      <c r="BT25" s="15">
        <f>MIN(IF($AU25=100%,1,1+VLOOKUP(($AJ25-$AI25-$AH25-$AG25-$AF25-$AE25*(1+BT$3))/$AJ25,'Технический лист'!$A:$B,2,1)-VLOOKUP($AO25,'Технический лист'!$A:$B,2,1)),1+(1-$AU25))</f>
        <v>1.0249999999999999</v>
      </c>
      <c r="BU25" s="15">
        <f>MIN(IF($AU25=100%,1,1+VLOOKUP(($AJ25-$AI25-$AH25-$AG25-$AF25-$AE25*(1+BU$3))/$AJ25,'Технический лист'!$A:$B,2,1)-VLOOKUP($AO25,'Технический лист'!$A:$B,2,1)),1+(1-$AU25))</f>
        <v>1.0249999999999999</v>
      </c>
      <c r="BV25" s="15">
        <f>MIN(IF($AU25=100%,1,1+VLOOKUP(($AJ25-$AI25-$AH25-$AG25-$AF25-$AE25*(1+BV$3))/$AJ25,'Технический лист'!$A:$B,2,1)-VLOOKUP($AO25,'Технический лист'!$A:$B,2,1)),1+(1-$AU25))</f>
        <v>1.0249999999999999</v>
      </c>
      <c r="BW25" s="15">
        <f>MIN(IF($AU25=100%,1,1+VLOOKUP(($AJ25-$AI25-$AH25-$AG25-$AF25-$AE25*(1+BW$3))/$AJ25,'Технический лист'!$A:$B,2,1)-VLOOKUP($AO25,'Технический лист'!$A:$B,2,1)),1+(1-$AU25))</f>
        <v>1.0249999999999999</v>
      </c>
      <c r="BX25" s="15">
        <f>MIN(IF($AU25=100%,1,1+VLOOKUP(($AJ25-$AI25-$AH25-$AG25-$AF25-$AE25*(1+BX$3))/$AJ25,'Технический лист'!$A:$B,2,1)-VLOOKUP($AO25,'Технический лист'!$A:$B,2,1)),1+(1-$AU25))</f>
        <v>1.0249999999999999</v>
      </c>
      <c r="BY25" s="15">
        <f>MIN(IF($AU25=100%,1,1+VLOOKUP(($AJ25-$AI25-$AH25-$AG25-$AF25-$AE25*(1+BY$3))/$AJ25,'Технический лист'!$A:$B,2,1)-VLOOKUP($AO25,'Технический лист'!$A:$B,2,1)),1+(1-$AU25))</f>
        <v>1.0249999999999999</v>
      </c>
      <c r="BZ25" s="15">
        <f>MIN(IF($AU25=100%,1,1+VLOOKUP(($AJ25-$AI25-$AH25-$AG25-$AF25-$AE25*(1+BZ$3))/$AJ25,'Технический лист'!$A:$B,2,1)-VLOOKUP($AO25,'Технический лист'!$A:$B,2,1)),1+(1-$AU25))</f>
        <v>1.0249999999999999</v>
      </c>
      <c r="CA25" s="15">
        <f>MIN(IF($AU25=100%,1,1+VLOOKUP(($AJ25-$AI25-$AH25-$AG25-$AF25-$AE25*(1+CA$3))/$AJ25,'Технический лист'!$A:$B,2,1)-VLOOKUP($AO25,'Технический лист'!$A:$B,2,1)),1+(1-$AU25))</f>
        <v>1.0249999999999999</v>
      </c>
      <c r="CB25" s="15">
        <f>MIN(IF($AU25=100%,1,1+VLOOKUP(($AJ25-$AI25-$AH25-$AG25-$AF25-$AE25*(1+CB$3))/$AJ25,'Технический лист'!$A:$B,2,1)-VLOOKUP($AO25,'Технический лист'!$A:$B,2,1)),1+(1-$AU25))</f>
        <v>1.0249999999999999</v>
      </c>
      <c r="CC25" s="15">
        <f>MIN(IF($AU25=100%,1,1+VLOOKUP(($AJ25-$AI25-$AH25-$AG25-$AF25-$AE25*(1+CC$3))/$AJ25,'Технический лист'!$A:$B,2,1)-VLOOKUP($AO25,'Технический лист'!$A:$B,2,1)),1+(1-$AU25))</f>
        <v>1.0249999999999999</v>
      </c>
      <c r="CD25" s="15">
        <f>MIN(IF($AU25=100%,1,1+VLOOKUP(($AJ25-$AI25-$AH25-$AG25-$AF25-$AE25*(1+CD$3))/$AJ25,'Технический лист'!$A:$B,2,1)-VLOOKUP($AO25,'Технический лист'!$A:$B,2,1)),1+(1-$AU25))</f>
        <v>1.0249999999999999</v>
      </c>
      <c r="CE25" s="15">
        <f>MIN(IF($AU25=100%,1,1+VLOOKUP(($AJ25-$AI25-$AH25-$AG25-$AF25-$AE25*(1+CE$3))/$AJ25,'Технический лист'!$A:$B,2,1)-VLOOKUP($AO25,'Технический лист'!$A:$B,2,1)),1+(1-$AU25))</f>
        <v>1.0249999999999999</v>
      </c>
      <c r="CF25" s="15">
        <f>MIN(IF($AU25=100%,1,1+VLOOKUP(($AJ25-$AI25-$AH25-$AG25-$AF25-$AE25*(1+CF$3))/$AJ25,'Технический лист'!$A:$B,2,1)-VLOOKUP($AO25,'Технический лист'!$A:$B,2,1)),1+(1-$AU25))</f>
        <v>1.0249999999999999</v>
      </c>
      <c r="CG25" s="15">
        <f>MIN(IF($AU25=100%,1,1+VLOOKUP(($AJ25-$AI25-$AH25-$AG25-$AF25-$AE25*(1+CG$3))/$AJ25,'Технический лист'!$A:$B,2,1)-VLOOKUP($AO25,'Технический лист'!$A:$B,2,1)),1+(1-$AU25))</f>
        <v>1.0199999999999998</v>
      </c>
      <c r="CH25" s="15">
        <f>MIN(IF($AU25=100%,1,1+VLOOKUP(($AJ25-$AI25-$AH25-$AG25-$AF25-$AE25*(1+CH$3))/$AJ25,'Технический лист'!$A:$B,2,1)-VLOOKUP($AO25,'Технический лист'!$A:$B,2,1)),1+(1-$AU25))</f>
        <v>1.0199999999999998</v>
      </c>
      <c r="CI25" s="15">
        <f>MIN(IF($AU25=100%,1,1+VLOOKUP(($AJ25-$AI25-$AH25-$AG25-$AF25-$AE25*(1+CI$3))/$AJ25,'Технический лист'!$A:$B,2,1)-VLOOKUP($AO25,'Технический лист'!$A:$B,2,1)),1+(1-$AU25))</f>
        <v>1.0199999999999998</v>
      </c>
      <c r="CJ25" s="15">
        <f>MIN(IF($AU25=100%,1,1+VLOOKUP(($AJ25-$AI25-$AH25-$AG25-$AF25-$AE25*(1+CJ$3))/$AJ25,'Технический лист'!$A:$B,2,1)-VLOOKUP($AO25,'Технический лист'!$A:$B,2,1)),1+(1-$AU25))</f>
        <v>1.0199999999999998</v>
      </c>
      <c r="CK25" s="15">
        <f>MIN(IF($AU25=100%,1,1+VLOOKUP(($AJ25-$AI25-$AH25-$AG25-$AF25-$AE25*(1+CK$3))/$AJ25,'Технический лист'!$A:$B,2,1)-VLOOKUP($AO25,'Технический лист'!$A:$B,2,1)),1+(1-$AU25))</f>
        <v>1.0199999999999998</v>
      </c>
      <c r="CL25" s="15">
        <f>MIN(IF($AU25=100%,1,1+VLOOKUP(($AJ25-$AI25-$AH25-$AG25-$AF25-$AE25*(1+CL$3))/$AJ25,'Технический лист'!$A:$B,2,1)-VLOOKUP($AO25,'Технический лист'!$A:$B,2,1)),1+(1-$AU25))</f>
        <v>1.0199999999999998</v>
      </c>
      <c r="CM25" s="15">
        <f>MIN(IF($AU25=100%,1,1+VLOOKUP(($AJ25-$AI25-$AH25-$AG25-$AF25-$AE25*(1+CM$3))/$AJ25,'Технический лист'!$A:$B,2,1)-VLOOKUP($AO25,'Технический лист'!$A:$B,2,1)),1+(1-$AU25))</f>
        <v>1.0199999999999998</v>
      </c>
      <c r="CN25" s="15">
        <f>MIN(IF($AU25=100%,1,1+VLOOKUP(($AJ25-$AI25-$AH25-$AG25-$AF25-$AE25*(1+CN$3))/$AJ25,'Технический лист'!$A:$B,2,1)-VLOOKUP($AO25,'Технический лист'!$A:$B,2,1)),1+(1-$AU25))</f>
        <v>1.0199999999999998</v>
      </c>
      <c r="CO25" s="15">
        <f>MIN(IF($AU25=100%,1,1+VLOOKUP(($AJ25-$AI25-$AH25-$AG25-$AF25-$AE25*(1+CO$3))/$AJ25,'Технический лист'!$A:$B,2,1)-VLOOKUP($AO25,'Технический лист'!$A:$B,2,1)),1+(1-$AU25))</f>
        <v>1.0199999999999998</v>
      </c>
      <c r="CP25" s="15">
        <f>MIN(IF($AU25=100%,1,1+VLOOKUP(($AJ25-$AI25-$AH25-$AG25-$AF25-$AE25*(1+CP$3))/$AJ25,'Технический лист'!$A:$B,2,1)-VLOOKUP($AO25,'Технический лист'!$A:$B,2,1)),1+(1-$AU25))</f>
        <v>1.0199999999999998</v>
      </c>
      <c r="CQ25" s="15">
        <f>MIN(IF($AU25=100%,1,1+VLOOKUP(($AJ25-$AI25-$AH25-$AG25-$AF25-$AE25*(1+CQ$3))/$AJ25,'Технический лист'!$A:$B,2,1)-VLOOKUP($AO25,'Технический лист'!$A:$B,2,1)),1+(1-$AU25))</f>
        <v>1.0199999999999998</v>
      </c>
      <c r="CR25" s="15">
        <f>MIN(IF($AU25=100%,1,1+VLOOKUP(($AJ25-$AI25-$AH25-$AG25-$AF25-$AE25*(1+CR$3))/$AJ25,'Технический лист'!$A:$B,2,1)-VLOOKUP($AO25,'Технический лист'!$A:$B,2,1)),1+(1-$AU25))</f>
        <v>1.0199999999999998</v>
      </c>
      <c r="CS25" s="15">
        <f>MIN(IF($AU25=100%,1,1+VLOOKUP(($AJ25-$AI25-$AH25-$AG25-$AF25-$AE25*(1+CS$3))/$AJ25,'Технический лист'!$A:$B,2,1)-VLOOKUP($AO25,'Технический лист'!$A:$B,2,1)),1+(1-$AU25))</f>
        <v>1.0199999999999998</v>
      </c>
      <c r="CT25" s="15">
        <f>MIN(IF($AU25=100%,1,1+VLOOKUP(($AJ25-$AI25-$AH25-$AG25-$AF25-$AE25*(1+CT$3))/$AJ25,'Технический лист'!$A:$B,2,1)-VLOOKUP($AO25,'Технический лист'!$A:$B,2,1)),1+(1-$AU25))</f>
        <v>1.0199999999999998</v>
      </c>
      <c r="CU25" s="15">
        <f>MIN(IF($AU25=100%,1,1+VLOOKUP(($AJ25-$AI25-$AH25-$AG25-$AF25-$AE25*(1+CU$3))/$AJ25,'Технический лист'!$A:$B,2,1)-VLOOKUP($AO25,'Технический лист'!$A:$B,2,1)),1+(1-$AU25))</f>
        <v>1.0149999999999999</v>
      </c>
      <c r="CV25" s="15">
        <f>MIN(IF($AU25=100%,1,1+VLOOKUP(($AJ25-$AI25-$AH25-$AG25-$AF25-$AE25*(1+CV$3))/$AJ25,'Технический лист'!$A:$B,2,1)-VLOOKUP($AO25,'Технический лист'!$A:$B,2,1)),1+(1-$AU25))</f>
        <v>1.0149999999999999</v>
      </c>
      <c r="CW25" s="15">
        <f>MIN(IF($AU25=100%,1,1+VLOOKUP(($AJ25-$AI25-$AH25-$AG25-$AF25-$AE25*(1+CW$3))/$AJ25,'Технический лист'!$A:$B,2,1)-VLOOKUP($AO25,'Технический лист'!$A:$B,2,1)),1+(1-$AU25))</f>
        <v>1.0149999999999999</v>
      </c>
      <c r="CX25" s="15">
        <f>MIN(IF($AU25=100%,1,1+VLOOKUP(($AJ25-$AI25-$AH25-$AG25-$AF25-$AE25*(1+CX$3))/$AJ25,'Технический лист'!$A:$B,2,1)-VLOOKUP($AO25,'Технический лист'!$A:$B,2,1)),1+(1-$AU25))</f>
        <v>1.0149999999999999</v>
      </c>
      <c r="CY25" s="15">
        <f>MIN(IF($AU25=100%,1,1+VLOOKUP(($AJ25-$AI25-$AH25-$AG25-$AF25-$AE25*(1+CY$3))/$AJ25,'Технический лист'!$A:$B,2,1)-VLOOKUP($AO25,'Технический лист'!$A:$B,2,1)),1+(1-$AU25))</f>
        <v>1.0149999999999999</v>
      </c>
      <c r="CZ25" s="15">
        <f>MIN(IF($AU25=100%,1,1+VLOOKUP(($AJ25-$AI25-$AH25-$AG25-$AF25-$AE25*(1+CZ$3))/$AJ25,'Технический лист'!$A:$B,2,1)-VLOOKUP($AO25,'Технический лист'!$A:$B,2,1)),1+(1-$AU25))</f>
        <v>1.0149999999999999</v>
      </c>
      <c r="DA25" s="15">
        <f>MIN(IF($AU25=100%,1,1+VLOOKUP(($AJ25-$AI25-$AH25-$AG25-$AF25-$AE25*(1+DA$3))/$AJ25,'Технический лист'!$A:$B,2,1)-VLOOKUP($AO25,'Технический лист'!$A:$B,2,1)),1+(1-$AU25))</f>
        <v>1.0149999999999999</v>
      </c>
      <c r="DB25" s="15">
        <f>MIN(IF($AU25=100%,1,1+VLOOKUP(($AJ25-$AI25-$AH25-$AG25-$AF25-$AE25*(1+DB$3))/$AJ25,'Технический лист'!$A:$B,2,1)-VLOOKUP($AO25,'Технический лист'!$A:$B,2,1)),1+(1-$AU25))</f>
        <v>1.0149999999999999</v>
      </c>
      <c r="DC25" s="15">
        <f>MIN(IF($AU25=100%,1,1+VLOOKUP(($AJ25-$AI25-$AH25-$AG25-$AF25-$AE25*(1+DC$3))/$AJ25,'Технический лист'!$A:$B,2,1)-VLOOKUP($AO25,'Технический лист'!$A:$B,2,1)),1+(1-$AU25))</f>
        <v>1.0149999999999999</v>
      </c>
      <c r="DD25" s="15">
        <f>MIN(IF($AU25=100%,1,1+VLOOKUP(($AJ25-$AI25-$AH25-$AG25-$AF25-$AE25*(1+DD$3))/$AJ25,'Технический лист'!$A:$B,2,1)-VLOOKUP($AO25,'Технический лист'!$A:$B,2,1)),1+(1-$AU25))</f>
        <v>1.0149999999999999</v>
      </c>
      <c r="DE25" s="15">
        <f>MIN(IF($AU25=100%,1,1+VLOOKUP(($AJ25-$AI25-$AH25-$AG25-$AF25-$AE25*(1+DE$3))/$AJ25,'Технический лист'!$A:$B,2,1)-VLOOKUP($AO25,'Технический лист'!$A:$B,2,1)),1+(1-$AU25))</f>
        <v>1.0149999999999999</v>
      </c>
      <c r="DF25" s="15">
        <f>MIN(IF($AU25=100%,1,1+VLOOKUP(($AJ25-$AI25-$AH25-$AG25-$AF25-$AE25*(1+DF$3))/$AJ25,'Технический лист'!$A:$B,2,1)-VLOOKUP($AO25,'Технический лист'!$A:$B,2,1)),1+(1-$AU25))</f>
        <v>1.0149999999999999</v>
      </c>
      <c r="DG25" s="15">
        <f>MIN(IF($AU25=100%,1,1+VLOOKUP(($AJ25-$AI25-$AH25-$AG25-$AF25-$AE25*(1+DG$3))/$AJ25,'Технический лист'!$A:$B,2,1)-VLOOKUP($AO25,'Технический лист'!$A:$B,2,1)),1+(1-$AU25))</f>
        <v>1.0149999999999999</v>
      </c>
      <c r="DH25" s="15">
        <f>MIN(IF($AU25=100%,1,1+VLOOKUP(($AJ25-$AI25-$AH25-$AG25-$AF25-$AE25*(1+DH$3))/$AJ25,'Технический лист'!$A:$B,2,1)-VLOOKUP($AO25,'Технический лист'!$A:$B,2,1)),1+(1-$AU25))</f>
        <v>1.0149999999999999</v>
      </c>
      <c r="DI25" s="15">
        <f>MIN(IF($AU25=100%,1,1+VLOOKUP(($AJ25-$AI25-$AH25-$AG25-$AF25-$AE25*(1+DI$3))/$AJ25,'Технический лист'!$A:$B,2,1)-VLOOKUP($AO25,'Технический лист'!$A:$B,2,1)),1+(1-$AU25))</f>
        <v>1.0149999999999999</v>
      </c>
      <c r="DJ25" s="15">
        <f>MIN(IF($AU25=100%,1,1+VLOOKUP(($AJ25-$AI25-$AH25-$AG25-$AF25-$AE25*(1+DJ$3))/$AJ25,'Технический лист'!$A:$B,2,1)-VLOOKUP($AO25,'Технический лист'!$A:$B,2,1)),1+(1-$AU25))</f>
        <v>1.01</v>
      </c>
      <c r="DK25" s="15">
        <f>MIN(IF($AU25=100%,1,1+VLOOKUP(($AJ25-$AI25-$AH25-$AG25-$AF25-$AE25*(1+DK$3))/$AJ25,'Технический лист'!$A:$B,2,1)-VLOOKUP($AO25,'Технический лист'!$A:$B,2,1)),1+(1-$AU25))</f>
        <v>1.01</v>
      </c>
      <c r="DL25" s="15">
        <f>MIN(IF($AU25=100%,1,1+VLOOKUP(($AJ25-$AI25-$AH25-$AG25-$AF25-$AE25*(1+DL$3))/$AJ25,'Технический лист'!$A:$B,2,1)-VLOOKUP($AO25,'Технический лист'!$A:$B,2,1)),1+(1-$AU25))</f>
        <v>1.01</v>
      </c>
      <c r="DM25" s="15">
        <f>MIN(IF($AU25=100%,1,1+VLOOKUP(($AJ25-$AI25-$AH25-$AG25-$AF25-$AE25*(1+DM$3))/$AJ25,'Технический лист'!$A:$B,2,1)-VLOOKUP($AO25,'Технический лист'!$A:$B,2,1)),1+(1-$AU25))</f>
        <v>1.01</v>
      </c>
      <c r="DN25" s="15">
        <f>MIN(IF($AU25=100%,1,1+VLOOKUP(($AJ25-$AI25-$AH25-$AG25-$AF25-$AE25*(1+DN$3))/$AJ25,'Технический лист'!$A:$B,2,1)-VLOOKUP($AO25,'Технический лист'!$A:$B,2,1)),1+(1-$AU25))</f>
        <v>1.01</v>
      </c>
      <c r="DO25" s="15">
        <f>MIN(IF($AU25=100%,1,1+VLOOKUP(($AJ25-$AI25-$AH25-$AG25-$AF25-$AE25*(1+DO$3))/$AJ25,'Технический лист'!$A:$B,2,1)-VLOOKUP($AO25,'Технический лист'!$A:$B,2,1)),1+(1-$AU25))</f>
        <v>1.01</v>
      </c>
      <c r="DP25" s="15">
        <f>MIN(IF($AU25=100%,1,1+VLOOKUP(($AJ25-$AI25-$AH25-$AG25-$AF25-$AE25*(1+DP$3))/$AJ25,'Технический лист'!$A:$B,2,1)-VLOOKUP($AO25,'Технический лист'!$A:$B,2,1)),1+(1-$AU25))</f>
        <v>1.01</v>
      </c>
      <c r="DQ25" s="15">
        <f>MIN(IF($AU25=100%,1,1+VLOOKUP(($AJ25-$AI25-$AH25-$AG25-$AF25-$AE25*(1+DQ$3))/$AJ25,'Технический лист'!$A:$B,2,1)-VLOOKUP($AO25,'Технический лист'!$A:$B,2,1)),1+(1-$AU25))</f>
        <v>1.01</v>
      </c>
      <c r="DR25" s="15">
        <f>MIN(IF($AU25=100%,1,1+VLOOKUP(($AJ25-$AI25-$AH25-$AG25-$AF25-$AE25*(1+DR$3))/$AJ25,'Технический лист'!$A:$B,2,1)-VLOOKUP($AO25,'Технический лист'!$A:$B,2,1)),1+(1-$AU25))</f>
        <v>1.01</v>
      </c>
      <c r="DS25" s="15">
        <f>MIN(IF($AU25=100%,1,1+VLOOKUP(($AJ25-$AI25-$AH25-$AG25-$AF25-$AE25*(1+DS$3))/$AJ25,'Технический лист'!$A:$B,2,1)-VLOOKUP($AO25,'Технический лист'!$A:$B,2,1)),1+(1-$AU25))</f>
        <v>1.01</v>
      </c>
      <c r="DT25" s="15">
        <f>MIN(IF($AU25=100%,1,1+VLOOKUP(($AJ25-$AI25-$AH25-$AG25-$AF25-$AE25*(1+DT$3))/$AJ25,'Технический лист'!$A:$B,2,1)-VLOOKUP($AO25,'Технический лист'!$A:$B,2,1)),1+(1-$AU25))</f>
        <v>1.01</v>
      </c>
      <c r="DU25" s="15">
        <f>MIN(IF($AU25=100%,1,1+VLOOKUP(($AJ25-$AI25-$AH25-$AG25-$AF25-$AE25*(1+DU$3))/$AJ25,'Технический лист'!$A:$B,2,1)-VLOOKUP($AO25,'Технический лист'!$A:$B,2,1)),1+(1-$AU25))</f>
        <v>1.01</v>
      </c>
      <c r="DV25" s="15">
        <f>MIN(IF($AU25=100%,1,1+VLOOKUP(($AJ25-$AI25-$AH25-$AG25-$AF25-$AE25*(1+DV$3))/$AJ25,'Технический лист'!$A:$B,2,1)-VLOOKUP($AO25,'Технический лист'!$A:$B,2,1)),1+(1-$AU25))</f>
        <v>1.01</v>
      </c>
      <c r="DW25" s="15">
        <f>MIN(IF($AU25=100%,1,1+VLOOKUP(($AJ25-$AI25-$AH25-$AG25-$AF25-$AE25*(1+DW$3))/$AJ25,'Технический лист'!$A:$B,2,1)-VLOOKUP($AO25,'Технический лист'!$A:$B,2,1)),1+(1-$AU25))</f>
        <v>1.01</v>
      </c>
      <c r="DX25" s="15">
        <f>MIN(IF($AU25=100%,1,1+VLOOKUP(($AJ25-$AI25-$AH25-$AG25-$AF25-$AE25*(1+DX$3))/$AJ25,'Технический лист'!$A:$B,2,1)-VLOOKUP($AO25,'Технический лист'!$A:$B,2,1)),1+(1-$AU25))</f>
        <v>1.0050000000000001</v>
      </c>
      <c r="DY25" s="15">
        <f>MIN(IF($AU25=100%,1,1+VLOOKUP(($AJ25-$AI25-$AH25-$AG25-$AF25-$AE25*(1+DY$3))/$AJ25,'Технический лист'!$A:$B,2,1)-VLOOKUP($AO25,'Технический лист'!$A:$B,2,1)),1+(1-$AU25))</f>
        <v>1.0050000000000001</v>
      </c>
      <c r="DZ25" s="15">
        <f>MIN(IF($AU25=100%,1,1+VLOOKUP(($AJ25-$AI25-$AH25-$AG25-$AF25-$AE25*(1+DZ$3))/$AJ25,'Технический лист'!$A:$B,2,1)-VLOOKUP($AO25,'Технический лист'!$A:$B,2,1)),1+(1-$AU25))</f>
        <v>1.0050000000000001</v>
      </c>
      <c r="EA25" s="15">
        <f>MIN(IF($AU25=100%,1,1+VLOOKUP(($AJ25-$AI25-$AH25-$AG25-$AF25-$AE25*(1+EA$3))/$AJ25,'Технический лист'!$A:$B,2,1)-VLOOKUP($AO25,'Технический лист'!$A:$B,2,1)),1+(1-$AU25))</f>
        <v>1.0050000000000001</v>
      </c>
      <c r="EB25" s="15">
        <f>MIN(IF($AU25=100%,1,1+VLOOKUP(($AJ25-$AI25-$AH25-$AG25-$AF25-$AE25*(1+EB$3))/$AJ25,'Технический лист'!$A:$B,2,1)-VLOOKUP($AO25,'Технический лист'!$A:$B,2,1)),1+(1-$AU25))</f>
        <v>1.0050000000000001</v>
      </c>
      <c r="EC25" s="15">
        <f>MIN(IF($AU25=100%,1,1+VLOOKUP(($AJ25-$AI25-$AH25-$AG25-$AF25-$AE25*(1+EC$3))/$AJ25,'Технический лист'!$A:$B,2,1)-VLOOKUP($AO25,'Технический лист'!$A:$B,2,1)),1+(1-$AU25))</f>
        <v>1.0050000000000001</v>
      </c>
      <c r="ED25" s="15">
        <f>MIN(IF($AU25=100%,1,1+VLOOKUP(($AJ25-$AI25-$AH25-$AG25-$AF25-$AE25*(1+ED$3))/$AJ25,'Технический лист'!$A:$B,2,1)-VLOOKUP($AO25,'Технический лист'!$A:$B,2,1)),1+(1-$AU25))</f>
        <v>1.0050000000000001</v>
      </c>
      <c r="EE25" s="15">
        <f>MIN(IF($AU25=100%,1,1+VLOOKUP(($AJ25-$AI25-$AH25-$AG25-$AF25-$AE25*(1+EE$3))/$AJ25,'Технический лист'!$A:$B,2,1)-VLOOKUP($AO25,'Технический лист'!$A:$B,2,1)),1+(1-$AU25))</f>
        <v>1.0050000000000001</v>
      </c>
      <c r="EF25" s="15">
        <f>MIN(IF($AU25=100%,1,1+VLOOKUP(($AJ25-$AI25-$AH25-$AG25-$AF25-$AE25*(1+EF$3))/$AJ25,'Технический лист'!$A:$B,2,1)-VLOOKUP($AO25,'Технический лист'!$A:$B,2,1)),1+(1-$AU25))</f>
        <v>1.0050000000000001</v>
      </c>
      <c r="EG25" s="15">
        <f>MIN(IF($AU25=100%,1,1+VLOOKUP(($AJ25-$AI25-$AH25-$AG25-$AF25-$AE25*(1+EG$3))/$AJ25,'Технический лист'!$A:$B,2,1)-VLOOKUP($AO25,'Технический лист'!$A:$B,2,1)),1+(1-$AU25))</f>
        <v>1.0050000000000001</v>
      </c>
      <c r="EH25" s="15">
        <f>MIN(IF($AU25=100%,1,1+VLOOKUP(($AJ25-$AI25-$AH25-$AG25-$AF25-$AE25*(1+EH$3))/$AJ25,'Технический лист'!$A:$B,2,1)-VLOOKUP($AO25,'Технический лист'!$A:$B,2,1)),1+(1-$AU25))</f>
        <v>1.0050000000000001</v>
      </c>
      <c r="EI25" s="15">
        <f>MIN(IF($AU25=100%,1,1+VLOOKUP(($AJ25-$AI25-$AH25-$AG25-$AF25-$AE25*(1+EI$3))/$AJ25,'Технический лист'!$A:$B,2,1)-VLOOKUP($AO25,'Технический лист'!$A:$B,2,1)),1+(1-$AU25))</f>
        <v>1.0050000000000001</v>
      </c>
      <c r="EJ25" s="15">
        <f>MIN(IF($AU25=100%,1,1+VLOOKUP(($AJ25-$AI25-$AH25-$AG25-$AF25-$AE25*(1+EJ$3))/$AJ25,'Технический лист'!$A:$B,2,1)-VLOOKUP($AO25,'Технический лист'!$A:$B,2,1)),1+(1-$AU25))</f>
        <v>1.0050000000000001</v>
      </c>
      <c r="EK25" s="15">
        <f>MIN(IF($AU25=100%,1,1+VLOOKUP(($AJ25-$AI25-$AH25-$AG25-$AF25-$AE25*(1+EK$3))/$AJ25,'Технический лист'!$A:$B,2,1)-VLOOKUP($AO25,'Технический лист'!$A:$B,2,1)),1+(1-$AU25))</f>
        <v>1.0050000000000001</v>
      </c>
      <c r="EL25" s="15">
        <f>MIN(IF($AU25=100%,1,1+VLOOKUP(($AJ25-$AI25-$AH25-$AG25-$AF25-$AE25*(1+EL$3))/$AJ25,'Технический лист'!$A:$B,2,1)-VLOOKUP($AO25,'Технический лист'!$A:$B,2,1)),1+(1-$AU25))</f>
        <v>1</v>
      </c>
      <c r="EM25" s="15">
        <f>MIN(IF($AU25=100%,1,1+VLOOKUP(($AJ25-$AI25-$AH25-$AG25-$AF25-$AE25*(1+EM$3))/$AJ25,'Технический лист'!$A:$B,2,1)-VLOOKUP($AO25,'Технический лист'!$A:$B,2,1)),1+(1-$AU25))</f>
        <v>1</v>
      </c>
      <c r="EN25" s="15">
        <f>MIN(IF($AU25=100%,1,1+VLOOKUP(($AJ25-$AI25-$AH25-$AG25-$AF25-$AE25*(1+EN$3))/$AJ25,'Технический лист'!$A:$B,2,1)-VLOOKUP($AO25,'Технический лист'!$A:$B,2,1)),1+(1-$AU25))</f>
        <v>1</v>
      </c>
      <c r="EO25" s="15">
        <f>MIN(IF($AU25=100%,1,1+VLOOKUP(($AJ25-$AI25-$AH25-$AG25-$AF25-$AE25*(1+EO$3))/$AJ25,'Технический лист'!$A:$B,2,1)-VLOOKUP($AO25,'Технический лист'!$A:$B,2,1)),1+(1-$AU25))</f>
        <v>1</v>
      </c>
      <c r="EP25" s="15">
        <f>MIN(IF($AU25=100%,1,1+VLOOKUP(($AJ25-$AI25-$AH25-$AG25-$AF25-$AE25*(1+EP$3))/$AJ25,'Технический лист'!$A:$B,2,1)-VLOOKUP($AO25,'Технический лист'!$A:$B,2,1)),1+(1-$AU25))</f>
        <v>1</v>
      </c>
      <c r="EQ25" s="15">
        <f>MIN(IF($AU25=100%,1,1+VLOOKUP(($AJ25-$AI25-$AH25-$AG25-$AF25-$AE25*(1+EQ$3))/$AJ25,'Технический лист'!$A:$B,2,1)-VLOOKUP($AO25,'Технический лист'!$A:$B,2,1)),1+(1-$AU25))</f>
        <v>1</v>
      </c>
      <c r="ER25" s="15">
        <f>MIN(IF($AU25=100%,1,1+VLOOKUP(($AJ25-$AI25-$AH25-$AG25-$AF25-$AE25*(1+ER$3))/$AJ25,'Технический лист'!$A:$B,2,1)-VLOOKUP($AO25,'Технический лист'!$A:$B,2,1)),1+(1-$AU25))</f>
        <v>1</v>
      </c>
      <c r="ES25" s="15">
        <f>MIN(IF($AU25=100%,1,1+VLOOKUP(($AJ25-$AI25-$AH25-$AG25-$AF25-$AE25*(1+ES$3))/$AJ25,'Технический лист'!$A:$B,2,1)-VLOOKUP($AO25,'Технический лист'!$A:$B,2,1)),1+(1-$AU25))</f>
        <v>1</v>
      </c>
      <c r="ET25" s="15">
        <f>MIN(IF($AU25=100%,1,1+VLOOKUP(($AJ25-$AI25-$AH25-$AG25-$AF25-$AE25*(1+ET$3))/$AJ25,'Технический лист'!$A:$B,2,1)-VLOOKUP($AO25,'Технический лист'!$A:$B,2,1)),1+(1-$AU25))</f>
        <v>1</v>
      </c>
      <c r="EU25" s="15">
        <f>MIN(IF($AU25=100%,1,1+VLOOKUP(($AJ25-$AI25-$AH25-$AG25-$AF25-$AE25*(1+EU$3))/$AJ25,'Технический лист'!$A:$B,2,1)-VLOOKUP($AO25,'Технический лист'!$A:$B,2,1)),1+(1-$AU25))</f>
        <v>1</v>
      </c>
      <c r="EV25" s="111">
        <v>1</v>
      </c>
      <c r="EW25" s="15">
        <f>MIN(1,MAX(VLOOKUP(($AJ25-$AI25-$AH25-$AG25-$AF25-$AE25*(1+EW$3))/$AJ25,'Технический лист'!$A:$B,2,1),(EV25-0.05)))</f>
        <v>0.95</v>
      </c>
      <c r="EX25" s="15">
        <f>MIN(1,MAX(VLOOKUP(($AJ25-$AI25-$AH25-$AG25-$AF25-$AE25*(1+EX$3))/$AJ25,'Технический лист'!$A:$B,2,1),(EW25-0.05)))</f>
        <v>0.92500000000000004</v>
      </c>
      <c r="EY25" s="15">
        <f>MIN(1,MAX(VLOOKUP(($AJ25-$AI25-$AH25-$AG25-$AF25-$AE25*(1+EY$3))/$AJ25,'Технический лист'!$A:$B,2,1),(EX25-0.05)))</f>
        <v>0.92500000000000004</v>
      </c>
      <c r="EZ25" s="15">
        <f>MIN(1,MAX(VLOOKUP(($AJ25-$AI25-$AH25-$AG25-$AF25-$AE25*(1+EZ$3))/$AJ25,'Технический лист'!$A:$B,2,1),(EY25-0.05)))</f>
        <v>0.92</v>
      </c>
      <c r="FA25" s="15">
        <f>MIN(1,MAX(VLOOKUP(($AJ25-$AI25-$AH25-$AG25-$AF25-$AE25*(1+FA$3))/$AJ25,'Технический лист'!$A:$B,2,1),(EZ25-0.05)))</f>
        <v>0.92</v>
      </c>
      <c r="FB25" s="15">
        <f>MIN(1,MAX(VLOOKUP(($AJ25-$AI25-$AH25-$AG25-$AF25-$AE25*(1+FB$3))/$AJ25,'Технический лист'!$A:$B,2,1),(FA25-0.05)))</f>
        <v>0.92</v>
      </c>
      <c r="FC25" s="15">
        <f>MIN(1,MAX(VLOOKUP(($AJ25-$AI25-$AH25-$AG25-$AF25-$AE25*(1+FC$3))/$AJ25,'Технический лист'!$A:$B,2,1),(FB25-0.05)))</f>
        <v>0.92</v>
      </c>
      <c r="FD25" s="15">
        <f>MIN(1,MAX(VLOOKUP(($AJ25-$AI25-$AH25-$AG25-$AF25-$AE25*(1+FD$3))/$AJ25,'Технический лист'!$A:$B,2,1),(FC25-0.05)))</f>
        <v>0.92</v>
      </c>
      <c r="FE25" s="15">
        <f>MIN(1,MAX(VLOOKUP(($AJ25-$AI25-$AH25-$AG25-$AF25-$AE25*(1+FE$3))/$AJ25,'Технический лист'!$A:$B,2,1),(FD25-0.05)))</f>
        <v>0.92</v>
      </c>
      <c r="FF25" s="15">
        <f>MIN(1,MAX(VLOOKUP(($AJ25-$AI25-$AH25-$AG25-$AF25-$AE25*(1+FF$3))/$AJ25,'Технический лист'!$A:$B,2,1),(FE25-0.05)))</f>
        <v>0.92</v>
      </c>
      <c r="FG25" s="15">
        <f>MIN(1,MAX(VLOOKUP(($AJ25-$AI25-$AH25-$AG25-$AF25-$AE25*(1+FG$3))/$AJ25,'Технический лист'!$A:$B,2,1),(FF25-0.05)))</f>
        <v>0.92</v>
      </c>
      <c r="FH25" s="15">
        <f>MIN(1,MAX(VLOOKUP(($AJ25-$AI25-$AH25-$AG25-$AF25-$AE25*(1+FH$3))/$AJ25,'Технический лист'!$A:$B,2,1),(FG25-0.05)))</f>
        <v>0.92</v>
      </c>
      <c r="FI25" s="15">
        <f>MIN(1,MAX(VLOOKUP(($AJ25-$AI25-$AH25-$AG25-$AF25-$AE25*(1+FI$3))/$AJ25,'Технический лист'!$A:$B,2,1),(FH25-0.05)))</f>
        <v>0.92</v>
      </c>
      <c r="FJ25" s="15">
        <f>MIN(1,MAX(VLOOKUP(($AJ25-$AI25-$AH25-$AG25-$AF25-$AE25*(1+FJ$3))/$AJ25,'Технический лист'!$A:$B,2,1),(FI25-0.05)))</f>
        <v>0.92</v>
      </c>
      <c r="FK25" s="15">
        <f>MIN(1,MAX(VLOOKUP(($AJ25-$AI25-$AH25-$AG25-$AF25-$AE25*(1+FK$3))/$AJ25,'Технический лист'!$A:$B,2,1),(FJ25-0.05)))</f>
        <v>0.92</v>
      </c>
      <c r="FL25" s="15">
        <f>MIN(1,MAX(VLOOKUP(($AJ25-$AI25-$AH25-$AG25-$AF25-$AE25*(1+FL$3))/$AJ25,'Технический лист'!$A:$B,2,1),(FK25-0.05)))</f>
        <v>0.92</v>
      </c>
      <c r="FM25" s="15">
        <f>MIN(1,MAX(VLOOKUP(($AJ25-$AI25-$AH25-$AG25-$AF25-$AE25*(1+FM$3))/$AJ25,'Технический лист'!$A:$B,2,1),(FL25-0.05)))</f>
        <v>0.92</v>
      </c>
      <c r="FN25" s="15">
        <f>MIN(1,MAX(VLOOKUP(($AJ25-$AI25-$AH25-$AG25-$AF25-$AE25*(1+FN$3))/$AJ25,'Технический лист'!$A:$B,2,1),(FM25-0.05)))</f>
        <v>0.91400000000000003</v>
      </c>
      <c r="FO25" s="15">
        <f>MIN(1,MAX(VLOOKUP(($AJ25-$AI25-$AH25-$AG25-$AF25-$AE25*(1+FO$3))/$AJ25,'Технический лист'!$A:$B,2,1),(FN25-0.05)))</f>
        <v>0.91400000000000003</v>
      </c>
      <c r="FP25" s="15">
        <f>MIN(1,MAX(VLOOKUP(($AJ25-$AI25-$AH25-$AG25-$AF25-$AE25*(1+FP$3))/$AJ25,'Технический лист'!$A:$B,2,1),(FO25-0.05)))</f>
        <v>0.91400000000000003</v>
      </c>
      <c r="FQ25" s="15">
        <f>MIN(1,MAX(VLOOKUP(($AJ25-$AI25-$AH25-$AG25-$AF25-$AE25*(1+FQ$3))/$AJ25,'Технический лист'!$A:$B,2,1),(FP25-0.05)))</f>
        <v>0.91400000000000003</v>
      </c>
      <c r="FR25" s="15">
        <f>MIN(1,MAX(VLOOKUP(($AJ25-$AI25-$AH25-$AG25-$AF25-$AE25*(1+FR$3))/$AJ25,'Технический лист'!$A:$B,2,1),(FQ25-0.05)))</f>
        <v>0.91400000000000003</v>
      </c>
      <c r="FS25" s="15">
        <f>MIN(1,MAX(VLOOKUP(($AJ25-$AI25-$AH25-$AG25-$AF25-$AE25*(1+FS$3))/$AJ25,'Технический лист'!$A:$B,2,1),(FR25-0.05)))</f>
        <v>0.91400000000000003</v>
      </c>
      <c r="FT25" s="15">
        <f>MIN(1,MAX(VLOOKUP(($AJ25-$AI25-$AH25-$AG25-$AF25-$AE25*(1+FT$3))/$AJ25,'Технический лист'!$A:$B,2,1),(FS25-0.05)))</f>
        <v>0.91400000000000003</v>
      </c>
      <c r="FU25" s="15">
        <f>MIN(1,MAX(VLOOKUP(($AJ25-$AI25-$AH25-$AG25-$AF25-$AE25*(1+FU$3))/$AJ25,'Технический лист'!$A:$B,2,1),(FT25-0.05)))</f>
        <v>0.91400000000000003</v>
      </c>
      <c r="FV25" s="15">
        <f>MIN(1,MAX(VLOOKUP(($AJ25-$AI25-$AH25-$AG25-$AF25-$AE25*(1+FV$3))/$AJ25,'Технический лист'!$A:$B,2,1),(FU25-0.05)))</f>
        <v>0.91400000000000003</v>
      </c>
      <c r="FW25" s="15">
        <f>MIN(1,MAX(VLOOKUP(($AJ25-$AI25-$AH25-$AG25-$AF25-$AE25*(1+FW$3))/$AJ25,'Технический лист'!$A:$B,2,1),(FV25-0.05)))</f>
        <v>0.91400000000000003</v>
      </c>
      <c r="FX25" s="15">
        <f>MIN(1,MAX(VLOOKUP(($AJ25-$AI25-$AH25-$AG25-$AF25-$AE25*(1+FX$3))/$AJ25,'Технический лист'!$A:$B,2,1),(FW25-0.05)))</f>
        <v>0.91400000000000003</v>
      </c>
      <c r="FY25" s="15">
        <f>MIN(1,MAX(VLOOKUP(($AJ25-$AI25-$AH25-$AG25-$AF25-$AE25*(1+FY$3))/$AJ25,'Технический лист'!$A:$B,2,1),(FX25-0.05)))</f>
        <v>0.91400000000000003</v>
      </c>
      <c r="FZ25" s="15">
        <f>MIN(1,MAX(VLOOKUP(($AJ25-$AI25-$AH25-$AG25-$AF25-$AE25*(1+FZ$3))/$AJ25,'Технический лист'!$A:$B,2,1),(FY25-0.05)))</f>
        <v>0.91400000000000003</v>
      </c>
      <c r="GA25" s="15">
        <f>MIN(1,MAX(VLOOKUP(($AJ25-$AI25-$AH25-$AG25-$AF25-$AE25*(1+GA$3))/$AJ25,'Технический лист'!$A:$B,2,1),(FZ25-0.05)))</f>
        <v>0.91400000000000003</v>
      </c>
      <c r="GB25" s="15">
        <f>MIN(1,MAX(VLOOKUP(($AJ25-$AI25-$AH25-$AG25-$AF25-$AE25*(1+GB$3))/$AJ25,'Технический лист'!$A:$B,2,1),(GA25-0.05)))</f>
        <v>0.90800000000000003</v>
      </c>
      <c r="GC25" s="15">
        <f>MIN(1,MAX(VLOOKUP(($AJ25-$AI25-$AH25-$AG25-$AF25-$AE25*(1+GC$3))/$AJ25,'Технический лист'!$A:$B,2,1),(GB25-0.05)))</f>
        <v>0.90800000000000003</v>
      </c>
      <c r="GD25" s="15">
        <f>MIN(1,MAX(VLOOKUP(($AJ25-$AI25-$AH25-$AG25-$AF25-$AE25*(1+GD$3))/$AJ25,'Технический лист'!$A:$B,2,1),(GC25-0.05)))</f>
        <v>0.90800000000000003</v>
      </c>
      <c r="GE25" s="15">
        <f>MIN(1,MAX(VLOOKUP(($AJ25-$AI25-$AH25-$AG25-$AF25-$AE25*(1+GE$3))/$AJ25,'Технический лист'!$A:$B,2,1),(GD25-0.05)))</f>
        <v>0.90800000000000003</v>
      </c>
      <c r="GF25" s="15">
        <f>MIN(1,MAX(VLOOKUP(($AJ25-$AI25-$AH25-$AG25-$AF25-$AE25*(1+GF$3))/$AJ25,'Технический лист'!$A:$B,2,1),(GE25-0.05)))</f>
        <v>0.90800000000000003</v>
      </c>
      <c r="GG25" s="15">
        <f>MIN(1,MAX(VLOOKUP(($AJ25-$AI25-$AH25-$AG25-$AF25-$AE25*(1+GG$3))/$AJ25,'Технический лист'!$A:$B,2,1),(GF25-0.05)))</f>
        <v>0.90800000000000003</v>
      </c>
      <c r="GH25" s="15">
        <f>MIN(1,MAX(VLOOKUP(($AJ25-$AI25-$AH25-$AG25-$AF25-$AE25*(1+GH$3))/$AJ25,'Технический лист'!$A:$B,2,1),(GG25-0.05)))</f>
        <v>0.90800000000000003</v>
      </c>
      <c r="GI25" s="15">
        <f>MIN(1,MAX(VLOOKUP(($AJ25-$AI25-$AH25-$AG25-$AF25-$AE25*(1+GI$3))/$AJ25,'Технический лист'!$A:$B,2,1),(GH25-0.05)))</f>
        <v>0.90800000000000003</v>
      </c>
      <c r="GJ25" s="15">
        <f>MIN(1,MAX(VLOOKUP(($AJ25-$AI25-$AH25-$AG25-$AF25-$AE25*(1+GJ$3))/$AJ25,'Технический лист'!$A:$B,2,1),(GI25-0.05)))</f>
        <v>0.90800000000000003</v>
      </c>
      <c r="GK25" s="15">
        <f>MIN(1,MAX(VLOOKUP(($AJ25-$AI25-$AH25-$AG25-$AF25-$AE25*(1+GK$3))/$AJ25,'Технический лист'!$A:$B,2,1),(GJ25-0.05)))</f>
        <v>0.90800000000000003</v>
      </c>
      <c r="GL25" s="15">
        <f>MIN(1,MAX(VLOOKUP(($AJ25-$AI25-$AH25-$AG25-$AF25-$AE25*(1+GL$3))/$AJ25,'Технический лист'!$A:$B,2,1),(GK25-0.05)))</f>
        <v>0.90800000000000003</v>
      </c>
      <c r="GM25" s="15">
        <f>MIN(1,MAX(VLOOKUP(($AJ25-$AI25-$AH25-$AG25-$AF25-$AE25*(1+GM$3))/$AJ25,'Технический лист'!$A:$B,2,1),(GL25-0.05)))</f>
        <v>0.90800000000000003</v>
      </c>
      <c r="GN25" s="15">
        <f>MIN(1,MAX(VLOOKUP(($AJ25-$AI25-$AH25-$AG25-$AF25-$AE25*(1+GN$3))/$AJ25,'Технический лист'!$A:$B,2,1),(GM25-0.05)))</f>
        <v>0.90800000000000003</v>
      </c>
      <c r="GO25" s="15">
        <f>MIN(1,MAX(VLOOKUP(($AJ25-$AI25-$AH25-$AG25-$AF25-$AE25*(1+GO$3))/$AJ25,'Технический лист'!$A:$B,2,1),(GN25-0.05)))</f>
        <v>0.90800000000000003</v>
      </c>
      <c r="GP25" s="15">
        <f>MIN(1,MAX(VLOOKUP(($AJ25-$AI25-$AH25-$AG25-$AF25-$AE25*(1+GP$3))/$AJ25,'Технический лист'!$A:$B,2,1),(GO25-0.05)))</f>
        <v>0.90800000000000003</v>
      </c>
      <c r="GQ25" s="15">
        <f>MIN(1,MAX(VLOOKUP(($AJ25-$AI25-$AH25-$AG25-$AF25-$AE25*(1+GQ$3))/$AJ25,'Технический лист'!$A:$B,2,1),(GP25-0.05)))</f>
        <v>0.90200000000000002</v>
      </c>
      <c r="GR25" s="15">
        <f>MIN(1,MAX(VLOOKUP(($AJ25-$AI25-$AH25-$AG25-$AF25-$AE25*(1+GR$3))/$AJ25,'Технический лист'!$A:$B,2,1),(GQ25-0.05)))</f>
        <v>0.90200000000000002</v>
      </c>
      <c r="GS25" s="15">
        <f>MIN(1,MAX(VLOOKUP(($AJ25-$AI25-$AH25-$AG25-$AF25-$AE25*(1+GS$3))/$AJ25,'Технический лист'!$A:$B,2,1),(GR25-0.05)))</f>
        <v>0.90200000000000002</v>
      </c>
      <c r="GT25" s="15">
        <f>MIN(1,MAX(VLOOKUP(($AJ25-$AI25-$AH25-$AG25-$AF25-$AE25*(1+GT$3))/$AJ25,'Технический лист'!$A:$B,2,1),(GS25-0.05)))</f>
        <v>0.90200000000000002</v>
      </c>
      <c r="GU25" s="15">
        <f>MIN(1,MAX(VLOOKUP(($AJ25-$AI25-$AH25-$AG25-$AF25-$AE25*(1+GU$3))/$AJ25,'Технический лист'!$A:$B,2,1),(GT25-0.05)))</f>
        <v>0.90200000000000002</v>
      </c>
      <c r="GV25" s="15">
        <f>MIN(1,MAX(VLOOKUP(($AJ25-$AI25-$AH25-$AG25-$AF25-$AE25*(1+GV$3))/$AJ25,'Технический лист'!$A:$B,2,1),(GU25-0.05)))</f>
        <v>0.90200000000000002</v>
      </c>
      <c r="GW25" s="15">
        <f>MIN(1,MAX(VLOOKUP(($AJ25-$AI25-$AH25-$AG25-$AF25-$AE25*(1+GW$3))/$AJ25,'Технический лист'!$A:$B,2,1),(GV25-0.05)))</f>
        <v>0.90200000000000002</v>
      </c>
      <c r="GX25" s="15">
        <f>MIN(1,MAX(VLOOKUP(($AJ25-$AI25-$AH25-$AG25-$AF25-$AE25*(1+GX$3))/$AJ25,'Технический лист'!$A:$B,2,1),(GW25-0.05)))</f>
        <v>0.90200000000000002</v>
      </c>
      <c r="GY25" s="15">
        <f>MIN(1,MAX(VLOOKUP(($AJ25-$AI25-$AH25-$AG25-$AF25-$AE25*(1+GY$3))/$AJ25,'Технический лист'!$A:$B,2,1),(GX25-0.05)))</f>
        <v>0.90200000000000002</v>
      </c>
      <c r="GZ25" s="15">
        <f>MIN(1,MAX(VLOOKUP(($AJ25-$AI25-$AH25-$AG25-$AF25-$AE25*(1+GZ$3))/$AJ25,'Технический лист'!$A:$B,2,1),(GY25-0.05)))</f>
        <v>0.90200000000000002</v>
      </c>
      <c r="HA25" s="15">
        <f>MIN(1,MAX(VLOOKUP(($AJ25-$AI25-$AH25-$AG25-$AF25-$AE25*(1+HA$3))/$AJ25,'Технический лист'!$A:$B,2,1),(GZ25-0.05)))</f>
        <v>0.90200000000000002</v>
      </c>
      <c r="HB25" s="15">
        <f>MIN(1,MAX(VLOOKUP(($AJ25-$AI25-$AH25-$AG25-$AF25-$AE25*(1+HB$3))/$AJ25,'Технический лист'!$A:$B,2,1),(HA25-0.05)))</f>
        <v>0.90200000000000002</v>
      </c>
      <c r="HC25" s="15">
        <f>MIN(1,MAX(VLOOKUP(($AJ25-$AI25-$AH25-$AG25-$AF25-$AE25*(1+HC$3))/$AJ25,'Технический лист'!$A:$B,2,1),(HB25-0.05)))</f>
        <v>0.90200000000000002</v>
      </c>
      <c r="HD25" s="15">
        <f>MIN(1,MAX(VLOOKUP(($AJ25-$AI25-$AH25-$AG25-$AF25-$AE25*(1+HD$3))/$AJ25,'Технический лист'!$A:$B,2,1),(HC25-0.05)))</f>
        <v>0.90200000000000002</v>
      </c>
      <c r="HE25" s="15">
        <f>MIN(1,MAX(VLOOKUP(($AJ25-$AI25-$AH25-$AG25-$AF25-$AE25*(1+HE$3))/$AJ25,'Технический лист'!$A:$B,2,1),(HD25-0.05)))</f>
        <v>0.89600000000000002</v>
      </c>
      <c r="HF25" s="15">
        <f>MIN(1,MAX(VLOOKUP(($AJ25-$AI25-$AH25-$AG25-$AF25-$AE25*(1+HF$3))/$AJ25,'Технический лист'!$A:$B,2,1),(HE25-0.05)))</f>
        <v>0.89600000000000002</v>
      </c>
      <c r="HG25" s="15">
        <f>MIN(1,MAX(VLOOKUP(($AJ25-$AI25-$AH25-$AG25-$AF25-$AE25*(1+HG$3))/$AJ25,'Технический лист'!$A:$B,2,1),(HF25-0.05)))</f>
        <v>0.89600000000000002</v>
      </c>
      <c r="HH25" s="15">
        <f>MIN(1,MAX(VLOOKUP(($AJ25-$AI25-$AH25-$AG25-$AF25-$AE25*(1+HH$3))/$AJ25,'Технический лист'!$A:$B,2,1),(HG25-0.05)))</f>
        <v>0.89600000000000002</v>
      </c>
      <c r="HI25" s="15">
        <f>MIN(1,MAX(VLOOKUP(($AJ25-$AI25-$AH25-$AG25-$AF25-$AE25*(1+HI$3))/$AJ25,'Технический лист'!$A:$B,2,1),(HH25-0.05)))</f>
        <v>0.89600000000000002</v>
      </c>
      <c r="HJ25" s="15">
        <f>MIN(1,MAX(VLOOKUP(($AJ25-$AI25-$AH25-$AG25-$AF25-$AE25*(1+HJ$3))/$AJ25,'Технический лист'!$A:$B,2,1),(HI25-0.05)))</f>
        <v>0.89600000000000002</v>
      </c>
      <c r="HK25" s="15">
        <f>MIN(1,MAX(VLOOKUP(($AJ25-$AI25-$AH25-$AG25-$AF25-$AE25*(1+HK$3))/$AJ25,'Технический лист'!$A:$B,2,1),(HJ25-0.05)))</f>
        <v>0.89600000000000002</v>
      </c>
      <c r="HL25" s="15">
        <f>MIN(1,MAX(VLOOKUP(($AJ25-$AI25-$AH25-$AG25-$AF25-$AE25*(1+HL$3))/$AJ25,'Технический лист'!$A:$B,2,1),(HK25-0.05)))</f>
        <v>0.89600000000000002</v>
      </c>
      <c r="HM25" s="15">
        <f>MIN(1,MAX(VLOOKUP(($AJ25-$AI25-$AH25-$AG25-$AF25-$AE25*(1+HM$3))/$AJ25,'Технический лист'!$A:$B,2,1),(HL25-0.05)))</f>
        <v>0.89600000000000002</v>
      </c>
      <c r="HN25" s="15">
        <f>MIN(1,MAX(VLOOKUP(($AJ25-$AI25-$AH25-$AG25-$AF25-$AE25*(1+HN$3))/$AJ25,'Технический лист'!$A:$B,2,1),(HM25-0.05)))</f>
        <v>0.89600000000000002</v>
      </c>
      <c r="HO25" s="15">
        <f>MIN(1,MAX(VLOOKUP(($AJ25-$AI25-$AH25-$AG25-$AF25-$AE25*(1+HO$3))/$AJ25,'Технический лист'!$A:$B,2,1),(HN25-0.05)))</f>
        <v>0.89600000000000002</v>
      </c>
      <c r="HP25" s="15">
        <f>MIN(1,MAX(VLOOKUP(($AJ25-$AI25-$AH25-$AG25-$AF25-$AE25*(1+HP$3))/$AJ25,'Технический лист'!$A:$B,2,1),(HO25-0.05)))</f>
        <v>0.89600000000000002</v>
      </c>
      <c r="HQ25" s="15">
        <f>MIN(1,MAX(VLOOKUP(($AJ25-$AI25-$AH25-$AG25-$AF25-$AE25*(1+HQ$3))/$AJ25,'Технический лист'!$A:$B,2,1),(HP25-0.05)))</f>
        <v>0.89600000000000002</v>
      </c>
      <c r="HR25" s="15">
        <f>MIN(1,MAX(VLOOKUP(($AJ25-$AI25-$AH25-$AG25-$AF25-$AE25*(1+HR$3))/$AJ25,'Технический лист'!$A:$B,2,1),(HQ25-0.05)))</f>
        <v>0.89600000000000002</v>
      </c>
      <c r="HS25" s="15">
        <f>MIN(1,MAX(VLOOKUP(($AJ25-$AI25-$AH25-$AG25-$AF25-$AE25*(1+HS$3))/$AJ25,'Технический лист'!$A:$B,2,1),(HR25-0.05)))</f>
        <v>0.89</v>
      </c>
      <c r="HT25" s="15">
        <f>MIN(1,MAX(VLOOKUP(($AJ25-$AI25-$AH25-$AG25-$AF25-$AE25*(1+HT$3))/$AJ25,'Технический лист'!$A:$B,2,1),(HS25-0.05)))</f>
        <v>0.89</v>
      </c>
      <c r="HU25" s="15">
        <f>MIN(1,MAX(VLOOKUP(($AJ25-$AI25-$AH25-$AG25-$AF25-$AE25*(1+HU$3))/$AJ25,'Технический лист'!$A:$B,2,1),(HT25-0.05)))</f>
        <v>0.89</v>
      </c>
      <c r="HV25" s="15">
        <f>MIN(1,MAX(VLOOKUP(($AJ25-$AI25-$AH25-$AG25-$AF25-$AE25*(1+HV$3))/$AJ25,'Технический лист'!$A:$B,2,1),(HU25-0.05)))</f>
        <v>0.89</v>
      </c>
      <c r="HW25" s="15">
        <f>MIN(1,MAX(VLOOKUP(($AJ25-$AI25-$AH25-$AG25-$AF25-$AE25*(1+HW$3))/$AJ25,'Технический лист'!$A:$B,2,1),(HV25-0.05)))</f>
        <v>0.89</v>
      </c>
      <c r="HX25" s="15">
        <f>MIN(1,MAX(VLOOKUP(($AJ25-$AI25-$AH25-$AG25-$AF25-$AE25*(1+HX$3))/$AJ25,'Технический лист'!$A:$B,2,1),(HW25-0.05)))</f>
        <v>0.89</v>
      </c>
      <c r="HY25" s="15">
        <f>MIN(1,MAX(VLOOKUP(($AJ25-$AI25-$AH25-$AG25-$AF25-$AE25*(1+HY$3))/$AJ25,'Технический лист'!$A:$B,2,1),(HX25-0.05)))</f>
        <v>0.89</v>
      </c>
      <c r="HZ25" s="15">
        <f>MIN(1,MAX(VLOOKUP(($AJ25-$AI25-$AH25-$AG25-$AF25-$AE25*(1+HZ$3))/$AJ25,'Технический лист'!$A:$B,2,1),(HY25-0.05)))</f>
        <v>0.89</v>
      </c>
      <c r="IA25" s="15">
        <f>MIN(1,MAX(VLOOKUP(($AJ25-$AI25-$AH25-$AG25-$AF25-$AE25*(1+IA$3))/$AJ25,'Технический лист'!$A:$B,2,1),(HZ25-0.05)))</f>
        <v>0.89</v>
      </c>
      <c r="IB25" s="15">
        <f>MIN(1,MAX(VLOOKUP(($AJ25-$AI25-$AH25-$AG25-$AF25-$AE25*(1+IB$3))/$AJ25,'Технический лист'!$A:$B,2,1),(IA25-0.05)))</f>
        <v>0.89</v>
      </c>
      <c r="IC25" s="15">
        <f>MIN(1,MAX(VLOOKUP(($AJ25-$AI25-$AH25-$AG25-$AF25-$AE25*(1+IC$3))/$AJ25,'Технический лист'!$A:$B,2,1),(IB25-0.05)))</f>
        <v>0.89</v>
      </c>
      <c r="ID25" s="15">
        <f>MIN(1,MAX(VLOOKUP(($AJ25-$AI25-$AH25-$AG25-$AF25-$AE25*(1+ID$3))/$AJ25,'Технический лист'!$A:$B,2,1),(IC25-0.05)))</f>
        <v>0.89</v>
      </c>
      <c r="IE25" s="15">
        <f>MIN(1,MAX(VLOOKUP(($AJ25-$AI25-$AH25-$AG25-$AF25-$AE25*(1+IE$3))/$AJ25,'Технический лист'!$A:$B,2,1),(ID25-0.05)))</f>
        <v>0.89</v>
      </c>
      <c r="IF25" s="15">
        <f>MIN(1,MAX(VLOOKUP(($AJ25-$AI25-$AH25-$AG25-$AF25-$AE25*(1+IF$3))/$AJ25,'Технический лист'!$A:$B,2,1),(IE25-0.05)))</f>
        <v>0.89</v>
      </c>
      <c r="IG25" s="15">
        <f>MIN(1,MAX(VLOOKUP(($AJ25-$AI25-$AH25-$AG25-$AF25-$AE25*(1+IG$3))/$AJ25,'Технический лист'!$A:$B,2,1),(IF25-0.05)))</f>
        <v>0.88400000000000001</v>
      </c>
      <c r="IH25" s="15">
        <f>MIN(1,MAX(VLOOKUP(($AJ25-$AI25-$AH25-$AG25-$AF25-$AE25*(1+IH$3))/$AJ25,'Технический лист'!$A:$B,2,1),(IG25-0.05)))</f>
        <v>0.88400000000000001</v>
      </c>
      <c r="II25" s="15">
        <f>MIN(1,MAX(VLOOKUP(($AJ25-$AI25-$AH25-$AG25-$AF25-$AE25*(1+II$3))/$AJ25,'Технический лист'!$A:$B,2,1),(IH25-0.05)))</f>
        <v>0.88400000000000001</v>
      </c>
      <c r="IJ25" s="15">
        <f>MIN(1,MAX(VLOOKUP(($AJ25-$AI25-$AH25-$AG25-$AF25-$AE25*(1+IJ$3))/$AJ25,'Технический лист'!$A:$B,2,1),(II25-0.05)))</f>
        <v>0.88400000000000001</v>
      </c>
      <c r="IK25" s="15">
        <f>MIN(1,MAX(VLOOKUP(($AJ25-$AI25-$AH25-$AG25-$AF25-$AE25*(1+IK$3))/$AJ25,'Технический лист'!$A:$B,2,1),(IJ25-0.05)))</f>
        <v>0.88400000000000001</v>
      </c>
      <c r="IL25" s="15">
        <f>MIN(1,MAX(VLOOKUP(($AJ25-$AI25-$AH25-$AG25-$AF25-$AE25*(1+IL$3))/$AJ25,'Технический лист'!$A:$B,2,1),(IK25-0.05)))</f>
        <v>0.88400000000000001</v>
      </c>
      <c r="IM25" s="15">
        <f>MIN(1,MAX(VLOOKUP(($AJ25-$AI25-$AH25-$AG25-$AF25-$AE25*(1+IM$3))/$AJ25,'Технический лист'!$A:$B,2,1),(IL25-0.05)))</f>
        <v>0.88400000000000001</v>
      </c>
      <c r="IN25" s="15">
        <f>MIN(1,MAX(VLOOKUP(($AJ25-$AI25-$AH25-$AG25-$AF25-$AE25*(1+IN$3))/$AJ25,'Технический лист'!$A:$B,2,1),(IM25-0.05)))</f>
        <v>0.88400000000000001</v>
      </c>
      <c r="IO25" s="15">
        <f>MIN(1,MAX(VLOOKUP(($AJ25-$AI25-$AH25-$AG25-$AF25-$AE25*(1+IO$3))/$AJ25,'Технический лист'!$A:$B,2,1),(IN25-0.05)))</f>
        <v>0.88400000000000001</v>
      </c>
      <c r="IP25" s="15">
        <f>MIN(1,MAX(VLOOKUP(($AJ25-$AI25-$AH25-$AG25-$AF25-$AE25*(1+IP$3))/$AJ25,'Технический лист'!$A:$B,2,1),(IO25-0.05)))</f>
        <v>0.88400000000000001</v>
      </c>
      <c r="IQ25" s="15">
        <f>MIN(1,MAX(VLOOKUP(($AJ25-$AI25-$AH25-$AG25-$AF25-$AE25*(1+IQ$3))/$AJ25,'Технический лист'!$A:$B,2,1),(IP25-0.05)))</f>
        <v>0.88400000000000001</v>
      </c>
      <c r="IR25" s="15">
        <f>MIN(1,MAX(VLOOKUP(($AJ25-$AI25-$AH25-$AG25-$AF25-$AE25*(1+IR$3))/$AJ25,'Технический лист'!$A:$B,2,1),(IQ25-0.05)))</f>
        <v>0.88400000000000001</v>
      </c>
    </row>
    <row r="26" spans="1:252" ht="43.75">
      <c r="A26" s="89" t="s">
        <v>514</v>
      </c>
      <c r="B26" s="90">
        <v>2</v>
      </c>
      <c r="C26" s="5" t="s">
        <v>65</v>
      </c>
      <c r="D26" s="91">
        <v>17110</v>
      </c>
      <c r="E26" s="91" t="s">
        <v>322</v>
      </c>
      <c r="F26" s="92" t="s">
        <v>69</v>
      </c>
      <c r="G26" s="91" t="s">
        <v>31</v>
      </c>
      <c r="H26" s="91" t="s">
        <v>21</v>
      </c>
      <c r="I26" s="91" t="s">
        <v>100</v>
      </c>
      <c r="J26" s="91" t="s">
        <v>101</v>
      </c>
      <c r="K26" s="91">
        <v>2850</v>
      </c>
      <c r="L26" s="85" t="s">
        <v>64</v>
      </c>
      <c r="M26" s="91" t="s">
        <v>17</v>
      </c>
      <c r="N26" s="91" t="s">
        <v>191</v>
      </c>
      <c r="O26" s="91" t="s">
        <v>192</v>
      </c>
      <c r="P26" s="89" t="s">
        <v>205</v>
      </c>
      <c r="Q26" s="91" t="s">
        <v>308</v>
      </c>
      <c r="R26" s="91" t="s">
        <v>255</v>
      </c>
      <c r="S26" s="82">
        <v>18367</v>
      </c>
      <c r="T26" s="82">
        <v>52340331</v>
      </c>
      <c r="U26" s="81">
        <v>308</v>
      </c>
      <c r="V26" s="81">
        <v>0</v>
      </c>
      <c r="W26" s="82">
        <v>34970109</v>
      </c>
      <c r="X26" s="112">
        <v>60</v>
      </c>
      <c r="Y26" s="112" t="s">
        <v>417</v>
      </c>
      <c r="Z26" s="113">
        <v>11</v>
      </c>
      <c r="AA26" s="113">
        <v>8</v>
      </c>
      <c r="AB26" s="113">
        <v>4</v>
      </c>
      <c r="AC26" s="99">
        <v>2061.98</v>
      </c>
      <c r="AD26" s="99">
        <f t="shared" si="1"/>
        <v>718.2199999999998</v>
      </c>
      <c r="AE26" s="99">
        <v>2780.2</v>
      </c>
      <c r="AF26" s="98">
        <f>(Z26+AA26+AB26)*'Ставки аренды'!$B$3/X26</f>
        <v>268.33333333333331</v>
      </c>
      <c r="AG26" s="114">
        <f>'Ставки перевалки'!$B$3*'Курсы валют'!$B$2</f>
        <v>991.97149999999988</v>
      </c>
      <c r="AH26" s="94">
        <v>0</v>
      </c>
      <c r="AI26" s="115">
        <f>131496272/143742760*AVERAGE(AJ26,AJ27)</f>
        <v>15000.587167314972</v>
      </c>
      <c r="AJ26" s="117">
        <f>Цены!$C$8*'Курсы валют'!$B$2</f>
        <v>15795.238499999999</v>
      </c>
      <c r="AK26" s="94">
        <f>AJ26/Цены!$B$1</f>
        <v>207</v>
      </c>
      <c r="AL26" s="95">
        <f t="shared" si="5"/>
        <v>4040.5048333333334</v>
      </c>
      <c r="AM26" s="95">
        <f t="shared" si="6"/>
        <v>11754.733666666667</v>
      </c>
      <c r="AN26" s="94">
        <f t="shared" si="2"/>
        <v>19041.092000648307</v>
      </c>
      <c r="AO26" s="118">
        <f t="shared" si="3"/>
        <v>-0.20549569420229438</v>
      </c>
      <c r="AP26" s="96">
        <f t="shared" si="7"/>
        <v>0.25580524367095397</v>
      </c>
      <c r="AQ26" s="96">
        <f t="shared" si="8"/>
        <v>0.17601506935143776</v>
      </c>
      <c r="AR26" s="96">
        <f t="shared" si="9"/>
        <v>0.68808233492605231</v>
      </c>
      <c r="AS26" s="122">
        <v>1</v>
      </c>
      <c r="AT26" s="121">
        <f t="shared" si="10"/>
        <v>18367</v>
      </c>
      <c r="AU26" s="83">
        <v>0.95</v>
      </c>
      <c r="AV26" s="119">
        <f t="shared" si="11"/>
        <v>-0.22661750252446691</v>
      </c>
      <c r="AW26" s="120">
        <f t="shared" si="12"/>
        <v>0.27692705199312651</v>
      </c>
      <c r="AX26" s="120">
        <f t="shared" si="13"/>
        <v>0.19713687767361032</v>
      </c>
      <c r="AY26" s="120">
        <f t="shared" si="14"/>
        <v>0.71187295085387103</v>
      </c>
      <c r="AZ26" s="15">
        <f>MIN(IF($AU26=100%,1,1+VLOOKUP(($AJ26-$AI26-$AH26-$AG26-$AF26-$AE26*(1+AZ$3))/$AJ26,'Технический лист'!$A:$B,2,1)-VLOOKUP($AO26,'Технический лист'!$A:$B,2,1)),1+(1-$AU26))</f>
        <v>1.048</v>
      </c>
      <c r="BA26" s="15">
        <f>MIN(IF($AU26=100%,1,1+VLOOKUP(($AJ26-$AI26-$AH26-$AG26-$AF26-$AE26*(1+BA$3))/$AJ26,'Технический лист'!$A:$B,2,1)-VLOOKUP($AO26,'Технический лист'!$A:$B,2,1)),1+(1-$AU26))</f>
        <v>1.048</v>
      </c>
      <c r="BB26" s="15">
        <f>MIN(IF($AU26=100%,1,1+VLOOKUP(($AJ26-$AI26-$AH26-$AG26-$AF26-$AE26*(1+BB$3))/$AJ26,'Технический лист'!$A:$B,2,1)-VLOOKUP($AO26,'Технический лист'!$A:$B,2,1)),1+(1-$AU26))</f>
        <v>1.048</v>
      </c>
      <c r="BC26" s="15">
        <f>MIN(IF($AU26=100%,1,1+VLOOKUP(($AJ26-$AI26-$AH26-$AG26-$AF26-$AE26*(1+BC$3))/$AJ26,'Технический лист'!$A:$B,2,1)-VLOOKUP($AO26,'Технический лист'!$A:$B,2,1)),1+(1-$AU26))</f>
        <v>1.0429999999999997</v>
      </c>
      <c r="BD26" s="15">
        <f>MIN(IF($AU26=100%,1,1+VLOOKUP(($AJ26-$AI26-$AH26-$AG26-$AF26-$AE26*(1+BD$3))/$AJ26,'Технический лист'!$A:$B,2,1)-VLOOKUP($AO26,'Технический лист'!$A:$B,2,1)),1+(1-$AU26))</f>
        <v>1.0429999999999997</v>
      </c>
      <c r="BE26" s="15">
        <f>MIN(IF($AU26=100%,1,1+VLOOKUP(($AJ26-$AI26-$AH26-$AG26-$AF26-$AE26*(1+BE$3))/$AJ26,'Технический лист'!$A:$B,2,1)-VLOOKUP($AO26,'Технический лист'!$A:$B,2,1)),1+(1-$AU26))</f>
        <v>1.0429999999999997</v>
      </c>
      <c r="BF26" s="15">
        <f>MIN(IF($AU26=100%,1,1+VLOOKUP(($AJ26-$AI26-$AH26-$AG26-$AF26-$AE26*(1+BF$3))/$AJ26,'Технический лист'!$A:$B,2,1)-VLOOKUP($AO26,'Технический лист'!$A:$B,2,1)),1+(1-$AU26))</f>
        <v>1.0429999999999997</v>
      </c>
      <c r="BG26" s="15">
        <f>MIN(IF($AU26=100%,1,1+VLOOKUP(($AJ26-$AI26-$AH26-$AG26-$AF26-$AE26*(1+BG$3))/$AJ26,'Технический лист'!$A:$B,2,1)-VLOOKUP($AO26,'Технический лист'!$A:$B,2,1)),1+(1-$AU26))</f>
        <v>1.0429999999999997</v>
      </c>
      <c r="BH26" s="15">
        <f>MIN(IF($AU26=100%,1,1+VLOOKUP(($AJ26-$AI26-$AH26-$AG26-$AF26-$AE26*(1+BH$3))/$AJ26,'Технический лист'!$A:$B,2,1)-VLOOKUP($AO26,'Технический лист'!$A:$B,2,1)),1+(1-$AU26))</f>
        <v>1.0429999999999997</v>
      </c>
      <c r="BI26" s="15">
        <f>MIN(IF($AU26=100%,1,1+VLOOKUP(($AJ26-$AI26-$AH26-$AG26-$AF26-$AE26*(1+BI$3))/$AJ26,'Технический лист'!$A:$B,2,1)-VLOOKUP($AO26,'Технический лист'!$A:$B,2,1)),1+(1-$AU26))</f>
        <v>1.0429999999999997</v>
      </c>
      <c r="BJ26" s="15">
        <f>MIN(IF($AU26=100%,1,1+VLOOKUP(($AJ26-$AI26-$AH26-$AG26-$AF26-$AE26*(1+BJ$3))/$AJ26,'Технический лист'!$A:$B,2,1)-VLOOKUP($AO26,'Технический лист'!$A:$B,2,1)),1+(1-$AU26))</f>
        <v>1.0429999999999997</v>
      </c>
      <c r="BK26" s="15">
        <f>MIN(IF($AU26=100%,1,1+VLOOKUP(($AJ26-$AI26-$AH26-$AG26-$AF26-$AE26*(1+BK$3))/$AJ26,'Технический лист'!$A:$B,2,1)-VLOOKUP($AO26,'Технический лист'!$A:$B,2,1)),1+(1-$AU26))</f>
        <v>1.0429999999999997</v>
      </c>
      <c r="BL26" s="15">
        <f>MIN(IF($AU26=100%,1,1+VLOOKUP(($AJ26-$AI26-$AH26-$AG26-$AF26-$AE26*(1+BL$3))/$AJ26,'Технический лист'!$A:$B,2,1)-VLOOKUP($AO26,'Технический лист'!$A:$B,2,1)),1+(1-$AU26))</f>
        <v>1.0429999999999997</v>
      </c>
      <c r="BM26" s="15">
        <f>MIN(IF($AU26=100%,1,1+VLOOKUP(($AJ26-$AI26-$AH26-$AG26-$AF26-$AE26*(1+BM$3))/$AJ26,'Технический лист'!$A:$B,2,1)-VLOOKUP($AO26,'Технический лист'!$A:$B,2,1)),1+(1-$AU26))</f>
        <v>1.0429999999999997</v>
      </c>
      <c r="BN26" s="15">
        <f>MIN(IF($AU26=100%,1,1+VLOOKUP(($AJ26-$AI26-$AH26-$AG26-$AF26-$AE26*(1+BN$3))/$AJ26,'Технический лист'!$A:$B,2,1)-VLOOKUP($AO26,'Технический лист'!$A:$B,2,1)),1+(1-$AU26))</f>
        <v>1.0429999999999997</v>
      </c>
      <c r="BO26" s="15">
        <f>MIN(IF($AU26=100%,1,1+VLOOKUP(($AJ26-$AI26-$AH26-$AG26-$AF26-$AE26*(1+BO$3))/$AJ26,'Технический лист'!$A:$B,2,1)-VLOOKUP($AO26,'Технический лист'!$A:$B,2,1)),1+(1-$AU26))</f>
        <v>1.0379999999999998</v>
      </c>
      <c r="BP26" s="15">
        <f>MIN(IF($AU26=100%,1,1+VLOOKUP(($AJ26-$AI26-$AH26-$AG26-$AF26-$AE26*(1+BP$3))/$AJ26,'Технический лист'!$A:$B,2,1)-VLOOKUP($AO26,'Технический лист'!$A:$B,2,1)),1+(1-$AU26))</f>
        <v>1.0379999999999998</v>
      </c>
      <c r="BQ26" s="15">
        <f>MIN(IF($AU26=100%,1,1+VLOOKUP(($AJ26-$AI26-$AH26-$AG26-$AF26-$AE26*(1+BQ$3))/$AJ26,'Технический лист'!$A:$B,2,1)-VLOOKUP($AO26,'Технический лист'!$A:$B,2,1)),1+(1-$AU26))</f>
        <v>1.0379999999999998</v>
      </c>
      <c r="BR26" s="15">
        <f>MIN(IF($AU26=100%,1,1+VLOOKUP(($AJ26-$AI26-$AH26-$AG26-$AF26-$AE26*(1+BR$3))/$AJ26,'Технический лист'!$A:$B,2,1)-VLOOKUP($AO26,'Технический лист'!$A:$B,2,1)),1+(1-$AU26))</f>
        <v>1.0379999999999998</v>
      </c>
      <c r="BS26" s="15">
        <f>MIN(IF($AU26=100%,1,1+VLOOKUP(($AJ26-$AI26-$AH26-$AG26-$AF26-$AE26*(1+BS$3))/$AJ26,'Технический лист'!$A:$B,2,1)-VLOOKUP($AO26,'Технический лист'!$A:$B,2,1)),1+(1-$AU26))</f>
        <v>1.0379999999999998</v>
      </c>
      <c r="BT26" s="15">
        <f>MIN(IF($AU26=100%,1,1+VLOOKUP(($AJ26-$AI26-$AH26-$AG26-$AF26-$AE26*(1+BT$3))/$AJ26,'Технический лист'!$A:$B,2,1)-VLOOKUP($AO26,'Технический лист'!$A:$B,2,1)),1+(1-$AU26))</f>
        <v>1.0379999999999998</v>
      </c>
      <c r="BU26" s="15">
        <f>MIN(IF($AU26=100%,1,1+VLOOKUP(($AJ26-$AI26-$AH26-$AG26-$AF26-$AE26*(1+BU$3))/$AJ26,'Технический лист'!$A:$B,2,1)-VLOOKUP($AO26,'Технический лист'!$A:$B,2,1)),1+(1-$AU26))</f>
        <v>1.0379999999999998</v>
      </c>
      <c r="BV26" s="15">
        <f>MIN(IF($AU26=100%,1,1+VLOOKUP(($AJ26-$AI26-$AH26-$AG26-$AF26-$AE26*(1+BV$3))/$AJ26,'Технический лист'!$A:$B,2,1)-VLOOKUP($AO26,'Технический лист'!$A:$B,2,1)),1+(1-$AU26))</f>
        <v>1.0379999999999998</v>
      </c>
      <c r="BW26" s="15">
        <f>MIN(IF($AU26=100%,1,1+VLOOKUP(($AJ26-$AI26-$AH26-$AG26-$AF26-$AE26*(1+BW$3))/$AJ26,'Технический лист'!$A:$B,2,1)-VLOOKUP($AO26,'Технический лист'!$A:$B,2,1)),1+(1-$AU26))</f>
        <v>1.0379999999999998</v>
      </c>
      <c r="BX26" s="15">
        <f>MIN(IF($AU26=100%,1,1+VLOOKUP(($AJ26-$AI26-$AH26-$AG26-$AF26-$AE26*(1+BX$3))/$AJ26,'Технический лист'!$A:$B,2,1)-VLOOKUP($AO26,'Технический лист'!$A:$B,2,1)),1+(1-$AU26))</f>
        <v>1.0379999999999998</v>
      </c>
      <c r="BY26" s="15">
        <f>MIN(IF($AU26=100%,1,1+VLOOKUP(($AJ26-$AI26-$AH26-$AG26-$AF26-$AE26*(1+BY$3))/$AJ26,'Технический лист'!$A:$B,2,1)-VLOOKUP($AO26,'Технический лист'!$A:$B,2,1)),1+(1-$AU26))</f>
        <v>1.0379999999999998</v>
      </c>
      <c r="BZ26" s="15">
        <f>MIN(IF($AU26=100%,1,1+VLOOKUP(($AJ26-$AI26-$AH26-$AG26-$AF26-$AE26*(1+BZ$3))/$AJ26,'Технический лист'!$A:$B,2,1)-VLOOKUP($AO26,'Технический лист'!$A:$B,2,1)),1+(1-$AU26))</f>
        <v>1.0329999999999999</v>
      </c>
      <c r="CA26" s="15">
        <f>MIN(IF($AU26=100%,1,1+VLOOKUP(($AJ26-$AI26-$AH26-$AG26-$AF26-$AE26*(1+CA$3))/$AJ26,'Технический лист'!$A:$B,2,1)-VLOOKUP($AO26,'Технический лист'!$A:$B,2,1)),1+(1-$AU26))</f>
        <v>1.0329999999999999</v>
      </c>
      <c r="CB26" s="15">
        <f>MIN(IF($AU26=100%,1,1+VLOOKUP(($AJ26-$AI26-$AH26-$AG26-$AF26-$AE26*(1+CB$3))/$AJ26,'Технический лист'!$A:$B,2,1)-VLOOKUP($AO26,'Технический лист'!$A:$B,2,1)),1+(1-$AU26))</f>
        <v>1.0329999999999999</v>
      </c>
      <c r="CC26" s="15">
        <f>MIN(IF($AU26=100%,1,1+VLOOKUP(($AJ26-$AI26-$AH26-$AG26-$AF26-$AE26*(1+CC$3))/$AJ26,'Технический лист'!$A:$B,2,1)-VLOOKUP($AO26,'Технический лист'!$A:$B,2,1)),1+(1-$AU26))</f>
        <v>1.0329999999999999</v>
      </c>
      <c r="CD26" s="15">
        <f>MIN(IF($AU26=100%,1,1+VLOOKUP(($AJ26-$AI26-$AH26-$AG26-$AF26-$AE26*(1+CD$3))/$AJ26,'Технический лист'!$A:$B,2,1)-VLOOKUP($AO26,'Технический лист'!$A:$B,2,1)),1+(1-$AU26))</f>
        <v>1.0329999999999999</v>
      </c>
      <c r="CE26" s="15">
        <f>MIN(IF($AU26=100%,1,1+VLOOKUP(($AJ26-$AI26-$AH26-$AG26-$AF26-$AE26*(1+CE$3))/$AJ26,'Технический лист'!$A:$B,2,1)-VLOOKUP($AO26,'Технический лист'!$A:$B,2,1)),1+(1-$AU26))</f>
        <v>1.0329999999999999</v>
      </c>
      <c r="CF26" s="15">
        <f>MIN(IF($AU26=100%,1,1+VLOOKUP(($AJ26-$AI26-$AH26-$AG26-$AF26-$AE26*(1+CF$3))/$AJ26,'Технический лист'!$A:$B,2,1)-VLOOKUP($AO26,'Технический лист'!$A:$B,2,1)),1+(1-$AU26))</f>
        <v>1.0329999999999999</v>
      </c>
      <c r="CG26" s="15">
        <f>MIN(IF($AU26=100%,1,1+VLOOKUP(($AJ26-$AI26-$AH26-$AG26-$AF26-$AE26*(1+CG$3))/$AJ26,'Технический лист'!$A:$B,2,1)-VLOOKUP($AO26,'Технический лист'!$A:$B,2,1)),1+(1-$AU26))</f>
        <v>1.0329999999999999</v>
      </c>
      <c r="CH26" s="15">
        <f>MIN(IF($AU26=100%,1,1+VLOOKUP(($AJ26-$AI26-$AH26-$AG26-$AF26-$AE26*(1+CH$3))/$AJ26,'Технический лист'!$A:$B,2,1)-VLOOKUP($AO26,'Технический лист'!$A:$B,2,1)),1+(1-$AU26))</f>
        <v>1.0329999999999999</v>
      </c>
      <c r="CI26" s="15">
        <f>MIN(IF($AU26=100%,1,1+VLOOKUP(($AJ26-$AI26-$AH26-$AG26-$AF26-$AE26*(1+CI$3))/$AJ26,'Технический лист'!$A:$B,2,1)-VLOOKUP($AO26,'Технический лист'!$A:$B,2,1)),1+(1-$AU26))</f>
        <v>1.0329999999999999</v>
      </c>
      <c r="CJ26" s="15">
        <f>MIN(IF($AU26=100%,1,1+VLOOKUP(($AJ26-$AI26-$AH26-$AG26-$AF26-$AE26*(1+CJ$3))/$AJ26,'Технический лист'!$A:$B,2,1)-VLOOKUP($AO26,'Технический лист'!$A:$B,2,1)),1+(1-$AU26))</f>
        <v>1.0329999999999999</v>
      </c>
      <c r="CK26" s="15">
        <f>MIN(IF($AU26=100%,1,1+VLOOKUP(($AJ26-$AI26-$AH26-$AG26-$AF26-$AE26*(1+CK$3))/$AJ26,'Технический лист'!$A:$B,2,1)-VLOOKUP($AO26,'Технический лист'!$A:$B,2,1)),1+(1-$AU26))</f>
        <v>1.028</v>
      </c>
      <c r="CL26" s="15">
        <f>MIN(IF($AU26=100%,1,1+VLOOKUP(($AJ26-$AI26-$AH26-$AG26-$AF26-$AE26*(1+CL$3))/$AJ26,'Технический лист'!$A:$B,2,1)-VLOOKUP($AO26,'Технический лист'!$A:$B,2,1)),1+(1-$AU26))</f>
        <v>1.028</v>
      </c>
      <c r="CM26" s="15">
        <f>MIN(IF($AU26=100%,1,1+VLOOKUP(($AJ26-$AI26-$AH26-$AG26-$AF26-$AE26*(1+CM$3))/$AJ26,'Технический лист'!$A:$B,2,1)-VLOOKUP($AO26,'Технический лист'!$A:$B,2,1)),1+(1-$AU26))</f>
        <v>1.028</v>
      </c>
      <c r="CN26" s="15">
        <f>MIN(IF($AU26=100%,1,1+VLOOKUP(($AJ26-$AI26-$AH26-$AG26-$AF26-$AE26*(1+CN$3))/$AJ26,'Технический лист'!$A:$B,2,1)-VLOOKUP($AO26,'Технический лист'!$A:$B,2,1)),1+(1-$AU26))</f>
        <v>1.028</v>
      </c>
      <c r="CO26" s="15">
        <f>MIN(IF($AU26=100%,1,1+VLOOKUP(($AJ26-$AI26-$AH26-$AG26-$AF26-$AE26*(1+CO$3))/$AJ26,'Технический лист'!$A:$B,2,1)-VLOOKUP($AO26,'Технический лист'!$A:$B,2,1)),1+(1-$AU26))</f>
        <v>1.028</v>
      </c>
      <c r="CP26" s="15">
        <f>MIN(IF($AU26=100%,1,1+VLOOKUP(($AJ26-$AI26-$AH26-$AG26-$AF26-$AE26*(1+CP$3))/$AJ26,'Технический лист'!$A:$B,2,1)-VLOOKUP($AO26,'Технический лист'!$A:$B,2,1)),1+(1-$AU26))</f>
        <v>1.028</v>
      </c>
      <c r="CQ26" s="15">
        <f>MIN(IF($AU26=100%,1,1+VLOOKUP(($AJ26-$AI26-$AH26-$AG26-$AF26-$AE26*(1+CQ$3))/$AJ26,'Технический лист'!$A:$B,2,1)-VLOOKUP($AO26,'Технический лист'!$A:$B,2,1)),1+(1-$AU26))</f>
        <v>1.028</v>
      </c>
      <c r="CR26" s="15">
        <f>MIN(IF($AU26=100%,1,1+VLOOKUP(($AJ26-$AI26-$AH26-$AG26-$AF26-$AE26*(1+CR$3))/$AJ26,'Технический лист'!$A:$B,2,1)-VLOOKUP($AO26,'Технический лист'!$A:$B,2,1)),1+(1-$AU26))</f>
        <v>1.028</v>
      </c>
      <c r="CS26" s="15">
        <f>MIN(IF($AU26=100%,1,1+VLOOKUP(($AJ26-$AI26-$AH26-$AG26-$AF26-$AE26*(1+CS$3))/$AJ26,'Технический лист'!$A:$B,2,1)-VLOOKUP($AO26,'Технический лист'!$A:$B,2,1)),1+(1-$AU26))</f>
        <v>1.028</v>
      </c>
      <c r="CT26" s="15">
        <f>MIN(IF($AU26=100%,1,1+VLOOKUP(($AJ26-$AI26-$AH26-$AG26-$AF26-$AE26*(1+CT$3))/$AJ26,'Технический лист'!$A:$B,2,1)-VLOOKUP($AO26,'Технический лист'!$A:$B,2,1)),1+(1-$AU26))</f>
        <v>1.028</v>
      </c>
      <c r="CU26" s="15">
        <f>MIN(IF($AU26=100%,1,1+VLOOKUP(($AJ26-$AI26-$AH26-$AG26-$AF26-$AE26*(1+CU$3))/$AJ26,'Технический лист'!$A:$B,2,1)-VLOOKUP($AO26,'Технический лист'!$A:$B,2,1)),1+(1-$AU26))</f>
        <v>1.028</v>
      </c>
      <c r="CV26" s="15">
        <f>MIN(IF($AU26=100%,1,1+VLOOKUP(($AJ26-$AI26-$AH26-$AG26-$AF26-$AE26*(1+CV$3))/$AJ26,'Технический лист'!$A:$B,2,1)-VLOOKUP($AO26,'Технический лист'!$A:$B,2,1)),1+(1-$AU26))</f>
        <v>1.028</v>
      </c>
      <c r="CW26" s="15">
        <f>MIN(IF($AU26=100%,1,1+VLOOKUP(($AJ26-$AI26-$AH26-$AG26-$AF26-$AE26*(1+CW$3))/$AJ26,'Технический лист'!$A:$B,2,1)-VLOOKUP($AO26,'Технический лист'!$A:$B,2,1)),1+(1-$AU26))</f>
        <v>1.0230000000000001</v>
      </c>
      <c r="CX26" s="15">
        <f>MIN(IF($AU26=100%,1,1+VLOOKUP(($AJ26-$AI26-$AH26-$AG26-$AF26-$AE26*(1+CX$3))/$AJ26,'Технический лист'!$A:$B,2,1)-VLOOKUP($AO26,'Технический лист'!$A:$B,2,1)),1+(1-$AU26))</f>
        <v>1.0230000000000001</v>
      </c>
      <c r="CY26" s="15">
        <f>MIN(IF($AU26=100%,1,1+VLOOKUP(($AJ26-$AI26-$AH26-$AG26-$AF26-$AE26*(1+CY$3))/$AJ26,'Технический лист'!$A:$B,2,1)-VLOOKUP($AO26,'Технический лист'!$A:$B,2,1)),1+(1-$AU26))</f>
        <v>1.0230000000000001</v>
      </c>
      <c r="CZ26" s="15">
        <f>MIN(IF($AU26=100%,1,1+VLOOKUP(($AJ26-$AI26-$AH26-$AG26-$AF26-$AE26*(1+CZ$3))/$AJ26,'Технический лист'!$A:$B,2,1)-VLOOKUP($AO26,'Технический лист'!$A:$B,2,1)),1+(1-$AU26))</f>
        <v>1.0230000000000001</v>
      </c>
      <c r="DA26" s="15">
        <f>MIN(IF($AU26=100%,1,1+VLOOKUP(($AJ26-$AI26-$AH26-$AG26-$AF26-$AE26*(1+DA$3))/$AJ26,'Технический лист'!$A:$B,2,1)-VLOOKUP($AO26,'Технический лист'!$A:$B,2,1)),1+(1-$AU26))</f>
        <v>1.0230000000000001</v>
      </c>
      <c r="DB26" s="15">
        <f>MIN(IF($AU26=100%,1,1+VLOOKUP(($AJ26-$AI26-$AH26-$AG26-$AF26-$AE26*(1+DB$3))/$AJ26,'Технический лист'!$A:$B,2,1)-VLOOKUP($AO26,'Технический лист'!$A:$B,2,1)),1+(1-$AU26))</f>
        <v>1.0230000000000001</v>
      </c>
      <c r="DC26" s="15">
        <f>MIN(IF($AU26=100%,1,1+VLOOKUP(($AJ26-$AI26-$AH26-$AG26-$AF26-$AE26*(1+DC$3))/$AJ26,'Технический лист'!$A:$B,2,1)-VLOOKUP($AO26,'Технический лист'!$A:$B,2,1)),1+(1-$AU26))</f>
        <v>1.0230000000000001</v>
      </c>
      <c r="DD26" s="15">
        <f>MIN(IF($AU26=100%,1,1+VLOOKUP(($AJ26-$AI26-$AH26-$AG26-$AF26-$AE26*(1+DD$3))/$AJ26,'Технический лист'!$A:$B,2,1)-VLOOKUP($AO26,'Технический лист'!$A:$B,2,1)),1+(1-$AU26))</f>
        <v>1.0230000000000001</v>
      </c>
      <c r="DE26" s="15">
        <f>MIN(IF($AU26=100%,1,1+VLOOKUP(($AJ26-$AI26-$AH26-$AG26-$AF26-$AE26*(1+DE$3))/$AJ26,'Технический лист'!$A:$B,2,1)-VLOOKUP($AO26,'Технический лист'!$A:$B,2,1)),1+(1-$AU26))</f>
        <v>1.0230000000000001</v>
      </c>
      <c r="DF26" s="15">
        <f>MIN(IF($AU26=100%,1,1+VLOOKUP(($AJ26-$AI26-$AH26-$AG26-$AF26-$AE26*(1+DF$3))/$AJ26,'Технический лист'!$A:$B,2,1)-VLOOKUP($AO26,'Технический лист'!$A:$B,2,1)),1+(1-$AU26))</f>
        <v>1.0230000000000001</v>
      </c>
      <c r="DG26" s="15">
        <f>MIN(IF($AU26=100%,1,1+VLOOKUP(($AJ26-$AI26-$AH26-$AG26-$AF26-$AE26*(1+DG$3))/$AJ26,'Технический лист'!$A:$B,2,1)-VLOOKUP($AO26,'Технический лист'!$A:$B,2,1)),1+(1-$AU26))</f>
        <v>1.0230000000000001</v>
      </c>
      <c r="DH26" s="15">
        <f>MIN(IF($AU26=100%,1,1+VLOOKUP(($AJ26-$AI26-$AH26-$AG26-$AF26-$AE26*(1+DH$3))/$AJ26,'Технический лист'!$A:$B,2,1)-VLOOKUP($AO26,'Технический лист'!$A:$B,2,1)),1+(1-$AU26))</f>
        <v>1.0179999999999998</v>
      </c>
      <c r="DI26" s="15">
        <f>MIN(IF($AU26=100%,1,1+VLOOKUP(($AJ26-$AI26-$AH26-$AG26-$AF26-$AE26*(1+DI$3))/$AJ26,'Технический лист'!$A:$B,2,1)-VLOOKUP($AO26,'Технический лист'!$A:$B,2,1)),1+(1-$AU26))</f>
        <v>1.0179999999999998</v>
      </c>
      <c r="DJ26" s="15">
        <f>MIN(IF($AU26=100%,1,1+VLOOKUP(($AJ26-$AI26-$AH26-$AG26-$AF26-$AE26*(1+DJ$3))/$AJ26,'Технический лист'!$A:$B,2,1)-VLOOKUP($AO26,'Технический лист'!$A:$B,2,1)),1+(1-$AU26))</f>
        <v>1.0179999999999998</v>
      </c>
      <c r="DK26" s="15">
        <f>MIN(IF($AU26=100%,1,1+VLOOKUP(($AJ26-$AI26-$AH26-$AG26-$AF26-$AE26*(1+DK$3))/$AJ26,'Технический лист'!$A:$B,2,1)-VLOOKUP($AO26,'Технический лист'!$A:$B,2,1)),1+(1-$AU26))</f>
        <v>1.0179999999999998</v>
      </c>
      <c r="DL26" s="15">
        <f>MIN(IF($AU26=100%,1,1+VLOOKUP(($AJ26-$AI26-$AH26-$AG26-$AF26-$AE26*(1+DL$3))/$AJ26,'Технический лист'!$A:$B,2,1)-VLOOKUP($AO26,'Технический лист'!$A:$B,2,1)),1+(1-$AU26))</f>
        <v>1.0179999999999998</v>
      </c>
      <c r="DM26" s="15">
        <f>MIN(IF($AU26=100%,1,1+VLOOKUP(($AJ26-$AI26-$AH26-$AG26-$AF26-$AE26*(1+DM$3))/$AJ26,'Технический лист'!$A:$B,2,1)-VLOOKUP($AO26,'Технический лист'!$A:$B,2,1)),1+(1-$AU26))</f>
        <v>1.0179999999999998</v>
      </c>
      <c r="DN26" s="15">
        <f>MIN(IF($AU26=100%,1,1+VLOOKUP(($AJ26-$AI26-$AH26-$AG26-$AF26-$AE26*(1+DN$3))/$AJ26,'Технический лист'!$A:$B,2,1)-VLOOKUP($AO26,'Технический лист'!$A:$B,2,1)),1+(1-$AU26))</f>
        <v>1.0179999999999998</v>
      </c>
      <c r="DO26" s="15">
        <f>MIN(IF($AU26=100%,1,1+VLOOKUP(($AJ26-$AI26-$AH26-$AG26-$AF26-$AE26*(1+DO$3))/$AJ26,'Технический лист'!$A:$B,2,1)-VLOOKUP($AO26,'Технический лист'!$A:$B,2,1)),1+(1-$AU26))</f>
        <v>1.0179999999999998</v>
      </c>
      <c r="DP26" s="15">
        <f>MIN(IF($AU26=100%,1,1+VLOOKUP(($AJ26-$AI26-$AH26-$AG26-$AF26-$AE26*(1+DP$3))/$AJ26,'Технический лист'!$A:$B,2,1)-VLOOKUP($AO26,'Технический лист'!$A:$B,2,1)),1+(1-$AU26))</f>
        <v>1.0179999999999998</v>
      </c>
      <c r="DQ26" s="15">
        <f>MIN(IF($AU26=100%,1,1+VLOOKUP(($AJ26-$AI26-$AH26-$AG26-$AF26-$AE26*(1+DQ$3))/$AJ26,'Технический лист'!$A:$B,2,1)-VLOOKUP($AO26,'Технический лист'!$A:$B,2,1)),1+(1-$AU26))</f>
        <v>1.0179999999999998</v>
      </c>
      <c r="DR26" s="15">
        <f>MIN(IF($AU26=100%,1,1+VLOOKUP(($AJ26-$AI26-$AH26-$AG26-$AF26-$AE26*(1+DR$3))/$AJ26,'Технический лист'!$A:$B,2,1)-VLOOKUP($AO26,'Технический лист'!$A:$B,2,1)),1+(1-$AU26))</f>
        <v>1.0179999999999998</v>
      </c>
      <c r="DS26" s="15">
        <f>MIN(IF($AU26=100%,1,1+VLOOKUP(($AJ26-$AI26-$AH26-$AG26-$AF26-$AE26*(1+DS$3))/$AJ26,'Технический лист'!$A:$B,2,1)-VLOOKUP($AO26,'Технический лист'!$A:$B,2,1)),1+(1-$AU26))</f>
        <v>1.0179999999999998</v>
      </c>
      <c r="DT26" s="15">
        <f>MIN(IF($AU26=100%,1,1+VLOOKUP(($AJ26-$AI26-$AH26-$AG26-$AF26-$AE26*(1+DT$3))/$AJ26,'Технический лист'!$A:$B,2,1)-VLOOKUP($AO26,'Технический лист'!$A:$B,2,1)),1+(1-$AU26))</f>
        <v>1.012</v>
      </c>
      <c r="DU26" s="15">
        <f>MIN(IF($AU26=100%,1,1+VLOOKUP(($AJ26-$AI26-$AH26-$AG26-$AF26-$AE26*(1+DU$3))/$AJ26,'Технический лист'!$A:$B,2,1)-VLOOKUP($AO26,'Технический лист'!$A:$B,2,1)),1+(1-$AU26))</f>
        <v>1.012</v>
      </c>
      <c r="DV26" s="15">
        <f>MIN(IF($AU26=100%,1,1+VLOOKUP(($AJ26-$AI26-$AH26-$AG26-$AF26-$AE26*(1+DV$3))/$AJ26,'Технический лист'!$A:$B,2,1)-VLOOKUP($AO26,'Технический лист'!$A:$B,2,1)),1+(1-$AU26))</f>
        <v>1.012</v>
      </c>
      <c r="DW26" s="15">
        <f>MIN(IF($AU26=100%,1,1+VLOOKUP(($AJ26-$AI26-$AH26-$AG26-$AF26-$AE26*(1+DW$3))/$AJ26,'Технический лист'!$A:$B,2,1)-VLOOKUP($AO26,'Технический лист'!$A:$B,2,1)),1+(1-$AU26))</f>
        <v>1.012</v>
      </c>
      <c r="DX26" s="15">
        <f>MIN(IF($AU26=100%,1,1+VLOOKUP(($AJ26-$AI26-$AH26-$AG26-$AF26-$AE26*(1+DX$3))/$AJ26,'Технический лист'!$A:$B,2,1)-VLOOKUP($AO26,'Технический лист'!$A:$B,2,1)),1+(1-$AU26))</f>
        <v>1.012</v>
      </c>
      <c r="DY26" s="15">
        <f>MIN(IF($AU26=100%,1,1+VLOOKUP(($AJ26-$AI26-$AH26-$AG26-$AF26-$AE26*(1+DY$3))/$AJ26,'Технический лист'!$A:$B,2,1)-VLOOKUP($AO26,'Технический лист'!$A:$B,2,1)),1+(1-$AU26))</f>
        <v>1.012</v>
      </c>
      <c r="DZ26" s="15">
        <f>MIN(IF($AU26=100%,1,1+VLOOKUP(($AJ26-$AI26-$AH26-$AG26-$AF26-$AE26*(1+DZ$3))/$AJ26,'Технический лист'!$A:$B,2,1)-VLOOKUP($AO26,'Технический лист'!$A:$B,2,1)),1+(1-$AU26))</f>
        <v>1.012</v>
      </c>
      <c r="EA26" s="15">
        <f>MIN(IF($AU26=100%,1,1+VLOOKUP(($AJ26-$AI26-$AH26-$AG26-$AF26-$AE26*(1+EA$3))/$AJ26,'Технический лист'!$A:$B,2,1)-VLOOKUP($AO26,'Технический лист'!$A:$B,2,1)),1+(1-$AU26))</f>
        <v>1.012</v>
      </c>
      <c r="EB26" s="15">
        <f>MIN(IF($AU26=100%,1,1+VLOOKUP(($AJ26-$AI26-$AH26-$AG26-$AF26-$AE26*(1+EB$3))/$AJ26,'Технический лист'!$A:$B,2,1)-VLOOKUP($AO26,'Технический лист'!$A:$B,2,1)),1+(1-$AU26))</f>
        <v>1.012</v>
      </c>
      <c r="EC26" s="15">
        <f>MIN(IF($AU26=100%,1,1+VLOOKUP(($AJ26-$AI26-$AH26-$AG26-$AF26-$AE26*(1+EC$3))/$AJ26,'Технический лист'!$A:$B,2,1)-VLOOKUP($AO26,'Технический лист'!$A:$B,2,1)),1+(1-$AU26))</f>
        <v>1.012</v>
      </c>
      <c r="ED26" s="15">
        <f>MIN(IF($AU26=100%,1,1+VLOOKUP(($AJ26-$AI26-$AH26-$AG26-$AF26-$AE26*(1+ED$3))/$AJ26,'Технический лист'!$A:$B,2,1)-VLOOKUP($AO26,'Технический лист'!$A:$B,2,1)),1+(1-$AU26))</f>
        <v>1.012</v>
      </c>
      <c r="EE26" s="15">
        <f>MIN(IF($AU26=100%,1,1+VLOOKUP(($AJ26-$AI26-$AH26-$AG26-$AF26-$AE26*(1+EE$3))/$AJ26,'Технический лист'!$A:$B,2,1)-VLOOKUP($AO26,'Технический лист'!$A:$B,2,1)),1+(1-$AU26))</f>
        <v>1.0059999999999998</v>
      </c>
      <c r="EF26" s="15">
        <f>MIN(IF($AU26=100%,1,1+VLOOKUP(($AJ26-$AI26-$AH26-$AG26-$AF26-$AE26*(1+EF$3))/$AJ26,'Технический лист'!$A:$B,2,1)-VLOOKUP($AO26,'Технический лист'!$A:$B,2,1)),1+(1-$AU26))</f>
        <v>1.0059999999999998</v>
      </c>
      <c r="EG26" s="15">
        <f>MIN(IF($AU26=100%,1,1+VLOOKUP(($AJ26-$AI26-$AH26-$AG26-$AF26-$AE26*(1+EG$3))/$AJ26,'Технический лист'!$A:$B,2,1)-VLOOKUP($AO26,'Технический лист'!$A:$B,2,1)),1+(1-$AU26))</f>
        <v>1.0059999999999998</v>
      </c>
      <c r="EH26" s="15">
        <f>MIN(IF($AU26=100%,1,1+VLOOKUP(($AJ26-$AI26-$AH26-$AG26-$AF26-$AE26*(1+EH$3))/$AJ26,'Технический лист'!$A:$B,2,1)-VLOOKUP($AO26,'Технический лист'!$A:$B,2,1)),1+(1-$AU26))</f>
        <v>1.0059999999999998</v>
      </c>
      <c r="EI26" s="15">
        <f>MIN(IF($AU26=100%,1,1+VLOOKUP(($AJ26-$AI26-$AH26-$AG26-$AF26-$AE26*(1+EI$3))/$AJ26,'Технический лист'!$A:$B,2,1)-VLOOKUP($AO26,'Технический лист'!$A:$B,2,1)),1+(1-$AU26))</f>
        <v>1.0059999999999998</v>
      </c>
      <c r="EJ26" s="15">
        <f>MIN(IF($AU26=100%,1,1+VLOOKUP(($AJ26-$AI26-$AH26-$AG26-$AF26-$AE26*(1+EJ$3))/$AJ26,'Технический лист'!$A:$B,2,1)-VLOOKUP($AO26,'Технический лист'!$A:$B,2,1)),1+(1-$AU26))</f>
        <v>1.0059999999999998</v>
      </c>
      <c r="EK26" s="15">
        <f>MIN(IF($AU26=100%,1,1+VLOOKUP(($AJ26-$AI26-$AH26-$AG26-$AF26-$AE26*(1+EK$3))/$AJ26,'Технический лист'!$A:$B,2,1)-VLOOKUP($AO26,'Технический лист'!$A:$B,2,1)),1+(1-$AU26))</f>
        <v>1.0059999999999998</v>
      </c>
      <c r="EL26" s="15">
        <f>MIN(IF($AU26=100%,1,1+VLOOKUP(($AJ26-$AI26-$AH26-$AG26-$AF26-$AE26*(1+EL$3))/$AJ26,'Технический лист'!$A:$B,2,1)-VLOOKUP($AO26,'Технический лист'!$A:$B,2,1)),1+(1-$AU26))</f>
        <v>1.0059999999999998</v>
      </c>
      <c r="EM26" s="15">
        <f>MIN(IF($AU26=100%,1,1+VLOOKUP(($AJ26-$AI26-$AH26-$AG26-$AF26-$AE26*(1+EM$3))/$AJ26,'Технический лист'!$A:$B,2,1)-VLOOKUP($AO26,'Технический лист'!$A:$B,2,1)),1+(1-$AU26))</f>
        <v>1.0059999999999998</v>
      </c>
      <c r="EN26" s="15">
        <f>MIN(IF($AU26=100%,1,1+VLOOKUP(($AJ26-$AI26-$AH26-$AG26-$AF26-$AE26*(1+EN$3))/$AJ26,'Технический лист'!$A:$B,2,1)-VLOOKUP($AO26,'Технический лист'!$A:$B,2,1)),1+(1-$AU26))</f>
        <v>1.0059999999999998</v>
      </c>
      <c r="EO26" s="15">
        <f>MIN(IF($AU26=100%,1,1+VLOOKUP(($AJ26-$AI26-$AH26-$AG26-$AF26-$AE26*(1+EO$3))/$AJ26,'Технический лист'!$A:$B,2,1)-VLOOKUP($AO26,'Технический лист'!$A:$B,2,1)),1+(1-$AU26))</f>
        <v>1.0059999999999998</v>
      </c>
      <c r="EP26" s="15">
        <f>MIN(IF($AU26=100%,1,1+VLOOKUP(($AJ26-$AI26-$AH26-$AG26-$AF26-$AE26*(1+EP$3))/$AJ26,'Технический лист'!$A:$B,2,1)-VLOOKUP($AO26,'Технический лист'!$A:$B,2,1)),1+(1-$AU26))</f>
        <v>1</v>
      </c>
      <c r="EQ26" s="15">
        <f>MIN(IF($AU26=100%,1,1+VLOOKUP(($AJ26-$AI26-$AH26-$AG26-$AF26-$AE26*(1+EQ$3))/$AJ26,'Технический лист'!$A:$B,2,1)-VLOOKUP($AO26,'Технический лист'!$A:$B,2,1)),1+(1-$AU26))</f>
        <v>1</v>
      </c>
      <c r="ER26" s="15">
        <f>MIN(IF($AU26=100%,1,1+VLOOKUP(($AJ26-$AI26-$AH26-$AG26-$AF26-$AE26*(1+ER$3))/$AJ26,'Технический лист'!$A:$B,2,1)-VLOOKUP($AO26,'Технический лист'!$A:$B,2,1)),1+(1-$AU26))</f>
        <v>1</v>
      </c>
      <c r="ES26" s="15">
        <f>MIN(IF($AU26=100%,1,1+VLOOKUP(($AJ26-$AI26-$AH26-$AG26-$AF26-$AE26*(1+ES$3))/$AJ26,'Технический лист'!$A:$B,2,1)-VLOOKUP($AO26,'Технический лист'!$A:$B,2,1)),1+(1-$AU26))</f>
        <v>1</v>
      </c>
      <c r="ET26" s="15">
        <f>MIN(IF($AU26=100%,1,1+VLOOKUP(($AJ26-$AI26-$AH26-$AG26-$AF26-$AE26*(1+ET$3))/$AJ26,'Технический лист'!$A:$B,2,1)-VLOOKUP($AO26,'Технический лист'!$A:$B,2,1)),1+(1-$AU26))</f>
        <v>1</v>
      </c>
      <c r="EU26" s="15">
        <f>MIN(IF($AU26=100%,1,1+VLOOKUP(($AJ26-$AI26-$AH26-$AG26-$AF26-$AE26*(1+EU$3))/$AJ26,'Технический лист'!$A:$B,2,1)-VLOOKUP($AO26,'Технический лист'!$A:$B,2,1)),1+(1-$AU26))</f>
        <v>1</v>
      </c>
      <c r="EV26" s="111">
        <v>1</v>
      </c>
      <c r="EW26" s="15">
        <f>MIN(1,MAX(VLOOKUP(($AJ26-$AI26-$AH26-$AG26-$AF26-$AE26*(1+EW$3))/$AJ26,'Технический лист'!$A:$B,2,1),(EV26-0.05)))</f>
        <v>0.95</v>
      </c>
      <c r="EX26" s="15">
        <f>MIN(1,MAX(VLOOKUP(($AJ26-$AI26-$AH26-$AG26-$AF26-$AE26*(1+EX$3))/$AJ26,'Технический лист'!$A:$B,2,1),(EW26-0.05)))</f>
        <v>0.90200000000000002</v>
      </c>
      <c r="EY26" s="15">
        <f>MIN(1,MAX(VLOOKUP(($AJ26-$AI26-$AH26-$AG26-$AF26-$AE26*(1+EY$3))/$AJ26,'Технический лист'!$A:$B,2,1),(EX26-0.05)))</f>
        <v>0.90200000000000002</v>
      </c>
      <c r="EZ26" s="15">
        <f>MIN(1,MAX(VLOOKUP(($AJ26-$AI26-$AH26-$AG26-$AF26-$AE26*(1+EZ$3))/$AJ26,'Технический лист'!$A:$B,2,1),(EY26-0.05)))</f>
        <v>0.90200000000000002</v>
      </c>
      <c r="FA26" s="15">
        <f>MIN(1,MAX(VLOOKUP(($AJ26-$AI26-$AH26-$AG26-$AF26-$AE26*(1+FA$3))/$AJ26,'Технический лист'!$A:$B,2,1),(EZ26-0.05)))</f>
        <v>0.90200000000000002</v>
      </c>
      <c r="FB26" s="15">
        <f>MIN(1,MAX(VLOOKUP(($AJ26-$AI26-$AH26-$AG26-$AF26-$AE26*(1+FB$3))/$AJ26,'Технический лист'!$A:$B,2,1),(FA26-0.05)))</f>
        <v>0.89600000000000002</v>
      </c>
      <c r="FC26" s="15">
        <f>MIN(1,MAX(VLOOKUP(($AJ26-$AI26-$AH26-$AG26-$AF26-$AE26*(1+FC$3))/$AJ26,'Технический лист'!$A:$B,2,1),(FB26-0.05)))</f>
        <v>0.89600000000000002</v>
      </c>
      <c r="FD26" s="15">
        <f>MIN(1,MAX(VLOOKUP(($AJ26-$AI26-$AH26-$AG26-$AF26-$AE26*(1+FD$3))/$AJ26,'Технический лист'!$A:$B,2,1),(FC26-0.05)))</f>
        <v>0.89600000000000002</v>
      </c>
      <c r="FE26" s="15">
        <f>MIN(1,MAX(VLOOKUP(($AJ26-$AI26-$AH26-$AG26-$AF26-$AE26*(1+FE$3))/$AJ26,'Технический лист'!$A:$B,2,1),(FD26-0.05)))</f>
        <v>0.89600000000000002</v>
      </c>
      <c r="FF26" s="15">
        <f>MIN(1,MAX(VLOOKUP(($AJ26-$AI26-$AH26-$AG26-$AF26-$AE26*(1+FF$3))/$AJ26,'Технический лист'!$A:$B,2,1),(FE26-0.05)))</f>
        <v>0.89600000000000002</v>
      </c>
      <c r="FG26" s="15">
        <f>MIN(1,MAX(VLOOKUP(($AJ26-$AI26-$AH26-$AG26-$AF26-$AE26*(1+FG$3))/$AJ26,'Технический лист'!$A:$B,2,1),(FF26-0.05)))</f>
        <v>0.89600000000000002</v>
      </c>
      <c r="FH26" s="15">
        <f>MIN(1,MAX(VLOOKUP(($AJ26-$AI26-$AH26-$AG26-$AF26-$AE26*(1+FH$3))/$AJ26,'Технический лист'!$A:$B,2,1),(FG26-0.05)))</f>
        <v>0.89600000000000002</v>
      </c>
      <c r="FI26" s="15">
        <f>MIN(1,MAX(VLOOKUP(($AJ26-$AI26-$AH26-$AG26-$AF26-$AE26*(1+FI$3))/$AJ26,'Технический лист'!$A:$B,2,1),(FH26-0.05)))</f>
        <v>0.89600000000000002</v>
      </c>
      <c r="FJ26" s="15">
        <f>MIN(1,MAX(VLOOKUP(($AJ26-$AI26-$AH26-$AG26-$AF26-$AE26*(1+FJ$3))/$AJ26,'Технический лист'!$A:$B,2,1),(FI26-0.05)))</f>
        <v>0.89600000000000002</v>
      </c>
      <c r="FK26" s="15">
        <f>MIN(1,MAX(VLOOKUP(($AJ26-$AI26-$AH26-$AG26-$AF26-$AE26*(1+FK$3))/$AJ26,'Технический лист'!$A:$B,2,1),(FJ26-0.05)))</f>
        <v>0.89600000000000002</v>
      </c>
      <c r="FL26" s="15">
        <f>MIN(1,MAX(VLOOKUP(($AJ26-$AI26-$AH26-$AG26-$AF26-$AE26*(1+FL$3))/$AJ26,'Технический лист'!$A:$B,2,1),(FK26-0.05)))</f>
        <v>0.89600000000000002</v>
      </c>
      <c r="FM26" s="15">
        <f>MIN(1,MAX(VLOOKUP(($AJ26-$AI26-$AH26-$AG26-$AF26-$AE26*(1+FM$3))/$AJ26,'Технический лист'!$A:$B,2,1),(FL26-0.05)))</f>
        <v>0.89</v>
      </c>
      <c r="FN26" s="15">
        <f>MIN(1,MAX(VLOOKUP(($AJ26-$AI26-$AH26-$AG26-$AF26-$AE26*(1+FN$3))/$AJ26,'Технический лист'!$A:$B,2,1),(FM26-0.05)))</f>
        <v>0.89</v>
      </c>
      <c r="FO26" s="15">
        <f>MIN(1,MAX(VLOOKUP(($AJ26-$AI26-$AH26-$AG26-$AF26-$AE26*(1+FO$3))/$AJ26,'Технический лист'!$A:$B,2,1),(FN26-0.05)))</f>
        <v>0.89</v>
      </c>
      <c r="FP26" s="15">
        <f>MIN(1,MAX(VLOOKUP(($AJ26-$AI26-$AH26-$AG26-$AF26-$AE26*(1+FP$3))/$AJ26,'Технический лист'!$A:$B,2,1),(FO26-0.05)))</f>
        <v>0.89</v>
      </c>
      <c r="FQ26" s="15">
        <f>MIN(1,MAX(VLOOKUP(($AJ26-$AI26-$AH26-$AG26-$AF26-$AE26*(1+FQ$3))/$AJ26,'Технический лист'!$A:$B,2,1),(FP26-0.05)))</f>
        <v>0.89</v>
      </c>
      <c r="FR26" s="15">
        <f>MIN(1,MAX(VLOOKUP(($AJ26-$AI26-$AH26-$AG26-$AF26-$AE26*(1+FR$3))/$AJ26,'Технический лист'!$A:$B,2,1),(FQ26-0.05)))</f>
        <v>0.89</v>
      </c>
      <c r="FS26" s="15">
        <f>MIN(1,MAX(VLOOKUP(($AJ26-$AI26-$AH26-$AG26-$AF26-$AE26*(1+FS$3))/$AJ26,'Технический лист'!$A:$B,2,1),(FR26-0.05)))</f>
        <v>0.89</v>
      </c>
      <c r="FT26" s="15">
        <f>MIN(1,MAX(VLOOKUP(($AJ26-$AI26-$AH26-$AG26-$AF26-$AE26*(1+FT$3))/$AJ26,'Технический лист'!$A:$B,2,1),(FS26-0.05)))</f>
        <v>0.89</v>
      </c>
      <c r="FU26" s="15">
        <f>MIN(1,MAX(VLOOKUP(($AJ26-$AI26-$AH26-$AG26-$AF26-$AE26*(1+FU$3))/$AJ26,'Технический лист'!$A:$B,2,1),(FT26-0.05)))</f>
        <v>0.89</v>
      </c>
      <c r="FV26" s="15">
        <f>MIN(1,MAX(VLOOKUP(($AJ26-$AI26-$AH26-$AG26-$AF26-$AE26*(1+FV$3))/$AJ26,'Технический лист'!$A:$B,2,1),(FU26-0.05)))</f>
        <v>0.89</v>
      </c>
      <c r="FW26" s="15">
        <f>MIN(1,MAX(VLOOKUP(($AJ26-$AI26-$AH26-$AG26-$AF26-$AE26*(1+FW$3))/$AJ26,'Технический лист'!$A:$B,2,1),(FV26-0.05)))</f>
        <v>0.89</v>
      </c>
      <c r="FX26" s="15">
        <f>MIN(1,MAX(VLOOKUP(($AJ26-$AI26-$AH26-$AG26-$AF26-$AE26*(1+FX$3))/$AJ26,'Технический лист'!$A:$B,2,1),(FW26-0.05)))</f>
        <v>0.88400000000000001</v>
      </c>
      <c r="FY26" s="15">
        <f>MIN(1,MAX(VLOOKUP(($AJ26-$AI26-$AH26-$AG26-$AF26-$AE26*(1+FY$3))/$AJ26,'Технический лист'!$A:$B,2,1),(FX26-0.05)))</f>
        <v>0.88400000000000001</v>
      </c>
      <c r="FZ26" s="15">
        <f>MIN(1,MAX(VLOOKUP(($AJ26-$AI26-$AH26-$AG26-$AF26-$AE26*(1+FZ$3))/$AJ26,'Технический лист'!$A:$B,2,1),(FY26-0.05)))</f>
        <v>0.88400000000000001</v>
      </c>
      <c r="GA26" s="15">
        <f>MIN(1,MAX(VLOOKUP(($AJ26-$AI26-$AH26-$AG26-$AF26-$AE26*(1+GA$3))/$AJ26,'Технический лист'!$A:$B,2,1),(FZ26-0.05)))</f>
        <v>0.88400000000000001</v>
      </c>
      <c r="GB26" s="15">
        <f>MIN(1,MAX(VLOOKUP(($AJ26-$AI26-$AH26-$AG26-$AF26-$AE26*(1+GB$3))/$AJ26,'Технический лист'!$A:$B,2,1),(GA26-0.05)))</f>
        <v>0.88400000000000001</v>
      </c>
      <c r="GC26" s="15">
        <f>MIN(1,MAX(VLOOKUP(($AJ26-$AI26-$AH26-$AG26-$AF26-$AE26*(1+GC$3))/$AJ26,'Технический лист'!$A:$B,2,1),(GB26-0.05)))</f>
        <v>0.88400000000000001</v>
      </c>
      <c r="GD26" s="15">
        <f>MIN(1,MAX(VLOOKUP(($AJ26-$AI26-$AH26-$AG26-$AF26-$AE26*(1+GD$3))/$AJ26,'Технический лист'!$A:$B,2,1),(GC26-0.05)))</f>
        <v>0.88400000000000001</v>
      </c>
      <c r="GE26" s="15">
        <f>MIN(1,MAX(VLOOKUP(($AJ26-$AI26-$AH26-$AG26-$AF26-$AE26*(1+GE$3))/$AJ26,'Технический лист'!$A:$B,2,1),(GD26-0.05)))</f>
        <v>0.88400000000000001</v>
      </c>
      <c r="GF26" s="15">
        <f>MIN(1,MAX(VLOOKUP(($AJ26-$AI26-$AH26-$AG26-$AF26-$AE26*(1+GF$3))/$AJ26,'Технический лист'!$A:$B,2,1),(GE26-0.05)))</f>
        <v>0.88400000000000001</v>
      </c>
      <c r="GG26" s="15">
        <f>MIN(1,MAX(VLOOKUP(($AJ26-$AI26-$AH26-$AG26-$AF26-$AE26*(1+GG$3))/$AJ26,'Технический лист'!$A:$B,2,1),(GF26-0.05)))</f>
        <v>0.88400000000000001</v>
      </c>
      <c r="GH26" s="15">
        <f>MIN(1,MAX(VLOOKUP(($AJ26-$AI26-$AH26-$AG26-$AF26-$AE26*(1+GH$3))/$AJ26,'Технический лист'!$A:$B,2,1),(GG26-0.05)))</f>
        <v>0.88400000000000001</v>
      </c>
      <c r="GI26" s="15">
        <f>MIN(1,MAX(VLOOKUP(($AJ26-$AI26-$AH26-$AG26-$AF26-$AE26*(1+GI$3))/$AJ26,'Технический лист'!$A:$B,2,1),(GH26-0.05)))</f>
        <v>0.88400000000000001</v>
      </c>
      <c r="GJ26" s="15">
        <f>MIN(1,MAX(VLOOKUP(($AJ26-$AI26-$AH26-$AG26-$AF26-$AE26*(1+GJ$3))/$AJ26,'Технический лист'!$A:$B,2,1),(GI26-0.05)))</f>
        <v>0.878</v>
      </c>
      <c r="GK26" s="15">
        <f>MIN(1,MAX(VLOOKUP(($AJ26-$AI26-$AH26-$AG26-$AF26-$AE26*(1+GK$3))/$AJ26,'Технический лист'!$A:$B,2,1),(GJ26-0.05)))</f>
        <v>0.878</v>
      </c>
      <c r="GL26" s="15">
        <f>MIN(1,MAX(VLOOKUP(($AJ26-$AI26-$AH26-$AG26-$AF26-$AE26*(1+GL$3))/$AJ26,'Технический лист'!$A:$B,2,1),(GK26-0.05)))</f>
        <v>0.878</v>
      </c>
      <c r="GM26" s="15">
        <f>MIN(1,MAX(VLOOKUP(($AJ26-$AI26-$AH26-$AG26-$AF26-$AE26*(1+GM$3))/$AJ26,'Технический лист'!$A:$B,2,1),(GL26-0.05)))</f>
        <v>0.878</v>
      </c>
      <c r="GN26" s="15">
        <f>MIN(1,MAX(VLOOKUP(($AJ26-$AI26-$AH26-$AG26-$AF26-$AE26*(1+GN$3))/$AJ26,'Технический лист'!$A:$B,2,1),(GM26-0.05)))</f>
        <v>0.878</v>
      </c>
      <c r="GO26" s="15">
        <f>MIN(1,MAX(VLOOKUP(($AJ26-$AI26-$AH26-$AG26-$AF26-$AE26*(1+GO$3))/$AJ26,'Технический лист'!$A:$B,2,1),(GN26-0.05)))</f>
        <v>0.878</v>
      </c>
      <c r="GP26" s="15">
        <f>MIN(1,MAX(VLOOKUP(($AJ26-$AI26-$AH26-$AG26-$AF26-$AE26*(1+GP$3))/$AJ26,'Технический лист'!$A:$B,2,1),(GO26-0.05)))</f>
        <v>0.878</v>
      </c>
      <c r="GQ26" s="15">
        <f>MIN(1,MAX(VLOOKUP(($AJ26-$AI26-$AH26-$AG26-$AF26-$AE26*(1+GQ$3))/$AJ26,'Технический лист'!$A:$B,2,1),(GP26-0.05)))</f>
        <v>0.878</v>
      </c>
      <c r="GR26" s="15">
        <f>MIN(1,MAX(VLOOKUP(($AJ26-$AI26-$AH26-$AG26-$AF26-$AE26*(1+GR$3))/$AJ26,'Технический лист'!$A:$B,2,1),(GQ26-0.05)))</f>
        <v>0.878</v>
      </c>
      <c r="GS26" s="15">
        <f>MIN(1,MAX(VLOOKUP(($AJ26-$AI26-$AH26-$AG26-$AF26-$AE26*(1+GS$3))/$AJ26,'Технический лист'!$A:$B,2,1),(GR26-0.05)))</f>
        <v>0.878</v>
      </c>
      <c r="GT26" s="15">
        <f>MIN(1,MAX(VLOOKUP(($AJ26-$AI26-$AH26-$AG26-$AF26-$AE26*(1+GT$3))/$AJ26,'Технический лист'!$A:$B,2,1),(GS26-0.05)))</f>
        <v>0.878</v>
      </c>
      <c r="GU26" s="15">
        <f>MIN(1,MAX(VLOOKUP(($AJ26-$AI26-$AH26-$AG26-$AF26-$AE26*(1+GU$3))/$AJ26,'Технический лист'!$A:$B,2,1),(GT26-0.05)))</f>
        <v>0.872</v>
      </c>
      <c r="GV26" s="15">
        <f>MIN(1,MAX(VLOOKUP(($AJ26-$AI26-$AH26-$AG26-$AF26-$AE26*(1+GV$3))/$AJ26,'Технический лист'!$A:$B,2,1),(GU26-0.05)))</f>
        <v>0.872</v>
      </c>
      <c r="GW26" s="15">
        <f>MIN(1,MAX(VLOOKUP(($AJ26-$AI26-$AH26-$AG26-$AF26-$AE26*(1+GW$3))/$AJ26,'Технический лист'!$A:$B,2,1),(GV26-0.05)))</f>
        <v>0.872</v>
      </c>
      <c r="GX26" s="15">
        <f>MIN(1,MAX(VLOOKUP(($AJ26-$AI26-$AH26-$AG26-$AF26-$AE26*(1+GX$3))/$AJ26,'Технический лист'!$A:$B,2,1),(GW26-0.05)))</f>
        <v>0.872</v>
      </c>
      <c r="GY26" s="15">
        <f>MIN(1,MAX(VLOOKUP(($AJ26-$AI26-$AH26-$AG26-$AF26-$AE26*(1+GY$3))/$AJ26,'Технический лист'!$A:$B,2,1),(GX26-0.05)))</f>
        <v>0.872</v>
      </c>
      <c r="GZ26" s="15">
        <f>MIN(1,MAX(VLOOKUP(($AJ26-$AI26-$AH26-$AG26-$AF26-$AE26*(1+GZ$3))/$AJ26,'Технический лист'!$A:$B,2,1),(GY26-0.05)))</f>
        <v>0.872</v>
      </c>
      <c r="HA26" s="15">
        <f>MIN(1,MAX(VLOOKUP(($AJ26-$AI26-$AH26-$AG26-$AF26-$AE26*(1+HA$3))/$AJ26,'Технический лист'!$A:$B,2,1),(GZ26-0.05)))</f>
        <v>0.872</v>
      </c>
      <c r="HB26" s="15">
        <f>MIN(1,MAX(VLOOKUP(($AJ26-$AI26-$AH26-$AG26-$AF26-$AE26*(1+HB$3))/$AJ26,'Технический лист'!$A:$B,2,1),(HA26-0.05)))</f>
        <v>0.872</v>
      </c>
      <c r="HC26" s="15">
        <f>MIN(1,MAX(VLOOKUP(($AJ26-$AI26-$AH26-$AG26-$AF26-$AE26*(1+HC$3))/$AJ26,'Технический лист'!$A:$B,2,1),(HB26-0.05)))</f>
        <v>0.872</v>
      </c>
      <c r="HD26" s="15">
        <f>MIN(1,MAX(VLOOKUP(($AJ26-$AI26-$AH26-$AG26-$AF26-$AE26*(1+HD$3))/$AJ26,'Технический лист'!$A:$B,2,1),(HC26-0.05)))</f>
        <v>0.872</v>
      </c>
      <c r="HE26" s="15">
        <f>MIN(1,MAX(VLOOKUP(($AJ26-$AI26-$AH26-$AG26-$AF26-$AE26*(1+HE$3))/$AJ26,'Технический лист'!$A:$B,2,1),(HD26-0.05)))</f>
        <v>0.872</v>
      </c>
      <c r="HF26" s="15">
        <f>MIN(1,MAX(VLOOKUP(($AJ26-$AI26-$AH26-$AG26-$AF26-$AE26*(1+HF$3))/$AJ26,'Технический лист'!$A:$B,2,1),(HE26-0.05)))</f>
        <v>0.86599999999999999</v>
      </c>
      <c r="HG26" s="15">
        <f>MIN(1,MAX(VLOOKUP(($AJ26-$AI26-$AH26-$AG26-$AF26-$AE26*(1+HG$3))/$AJ26,'Технический лист'!$A:$B,2,1),(HF26-0.05)))</f>
        <v>0.86599999999999999</v>
      </c>
      <c r="HH26" s="15">
        <f>MIN(1,MAX(VLOOKUP(($AJ26-$AI26-$AH26-$AG26-$AF26-$AE26*(1+HH$3))/$AJ26,'Технический лист'!$A:$B,2,1),(HG26-0.05)))</f>
        <v>0.86599999999999999</v>
      </c>
      <c r="HI26" s="15">
        <f>MIN(1,MAX(VLOOKUP(($AJ26-$AI26-$AH26-$AG26-$AF26-$AE26*(1+HI$3))/$AJ26,'Технический лист'!$A:$B,2,1),(HH26-0.05)))</f>
        <v>0.86599999999999999</v>
      </c>
      <c r="HJ26" s="15">
        <f>MIN(1,MAX(VLOOKUP(($AJ26-$AI26-$AH26-$AG26-$AF26-$AE26*(1+HJ$3))/$AJ26,'Технический лист'!$A:$B,2,1),(HI26-0.05)))</f>
        <v>0.86599999999999999</v>
      </c>
      <c r="HK26" s="15">
        <f>MIN(1,MAX(VLOOKUP(($AJ26-$AI26-$AH26-$AG26-$AF26-$AE26*(1+HK$3))/$AJ26,'Технический лист'!$A:$B,2,1),(HJ26-0.05)))</f>
        <v>0.86599999999999999</v>
      </c>
      <c r="HL26" s="15">
        <f>MIN(1,MAX(VLOOKUP(($AJ26-$AI26-$AH26-$AG26-$AF26-$AE26*(1+HL$3))/$AJ26,'Технический лист'!$A:$B,2,1),(HK26-0.05)))</f>
        <v>0.86599999999999999</v>
      </c>
      <c r="HM26" s="15">
        <f>MIN(1,MAX(VLOOKUP(($AJ26-$AI26-$AH26-$AG26-$AF26-$AE26*(1+HM$3))/$AJ26,'Технический лист'!$A:$B,2,1),(HL26-0.05)))</f>
        <v>0.86599999999999999</v>
      </c>
      <c r="HN26" s="15">
        <f>MIN(1,MAX(VLOOKUP(($AJ26-$AI26-$AH26-$AG26-$AF26-$AE26*(1+HN$3))/$AJ26,'Технический лист'!$A:$B,2,1),(HM26-0.05)))</f>
        <v>0.86599999999999999</v>
      </c>
      <c r="HO26" s="15">
        <f>MIN(1,MAX(VLOOKUP(($AJ26-$AI26-$AH26-$AG26-$AF26-$AE26*(1+HO$3))/$AJ26,'Технический лист'!$A:$B,2,1),(HN26-0.05)))</f>
        <v>0.86599999999999999</v>
      </c>
      <c r="HP26" s="15">
        <f>MIN(1,MAX(VLOOKUP(($AJ26-$AI26-$AH26-$AG26-$AF26-$AE26*(1+HP$3))/$AJ26,'Технический лист'!$A:$B,2,1),(HO26-0.05)))</f>
        <v>0.86599999999999999</v>
      </c>
      <c r="HQ26" s="15">
        <f>MIN(1,MAX(VLOOKUP(($AJ26-$AI26-$AH26-$AG26-$AF26-$AE26*(1+HQ$3))/$AJ26,'Технический лист'!$A:$B,2,1),(HP26-0.05)))</f>
        <v>0.86599999999999999</v>
      </c>
      <c r="HR26" s="15">
        <f>MIN(1,MAX(VLOOKUP(($AJ26-$AI26-$AH26-$AG26-$AF26-$AE26*(1+HR$3))/$AJ26,'Технический лист'!$A:$B,2,1),(HQ26-0.05)))</f>
        <v>0.86</v>
      </c>
      <c r="HS26" s="15">
        <f>MIN(1,MAX(VLOOKUP(($AJ26-$AI26-$AH26-$AG26-$AF26-$AE26*(1+HS$3))/$AJ26,'Технический лист'!$A:$B,2,1),(HR26-0.05)))</f>
        <v>0.86</v>
      </c>
      <c r="HT26" s="15">
        <f>MIN(1,MAX(VLOOKUP(($AJ26-$AI26-$AH26-$AG26-$AF26-$AE26*(1+HT$3))/$AJ26,'Технический лист'!$A:$B,2,1),(HS26-0.05)))</f>
        <v>0.86</v>
      </c>
      <c r="HU26" s="15">
        <f>MIN(1,MAX(VLOOKUP(($AJ26-$AI26-$AH26-$AG26-$AF26-$AE26*(1+HU$3))/$AJ26,'Технический лист'!$A:$B,2,1),(HT26-0.05)))</f>
        <v>0.86</v>
      </c>
      <c r="HV26" s="15">
        <f>MIN(1,MAX(VLOOKUP(($AJ26-$AI26-$AH26-$AG26-$AF26-$AE26*(1+HV$3))/$AJ26,'Технический лист'!$A:$B,2,1),(HU26-0.05)))</f>
        <v>0.86</v>
      </c>
      <c r="HW26" s="15">
        <f>MIN(1,MAX(VLOOKUP(($AJ26-$AI26-$AH26-$AG26-$AF26-$AE26*(1+HW$3))/$AJ26,'Технический лист'!$A:$B,2,1),(HV26-0.05)))</f>
        <v>0.86</v>
      </c>
      <c r="HX26" s="15">
        <f>MIN(1,MAX(VLOOKUP(($AJ26-$AI26-$AH26-$AG26-$AF26-$AE26*(1+HX$3))/$AJ26,'Технический лист'!$A:$B,2,1),(HW26-0.05)))</f>
        <v>0.86</v>
      </c>
      <c r="HY26" s="15">
        <f>MIN(1,MAX(VLOOKUP(($AJ26-$AI26-$AH26-$AG26-$AF26-$AE26*(1+HY$3))/$AJ26,'Технический лист'!$A:$B,2,1),(HX26-0.05)))</f>
        <v>0.86</v>
      </c>
      <c r="HZ26" s="15">
        <f>MIN(1,MAX(VLOOKUP(($AJ26-$AI26-$AH26-$AG26-$AF26-$AE26*(1+HZ$3))/$AJ26,'Технический лист'!$A:$B,2,1),(HY26-0.05)))</f>
        <v>0.86</v>
      </c>
      <c r="IA26" s="15">
        <f>MIN(1,MAX(VLOOKUP(($AJ26-$AI26-$AH26-$AG26-$AF26-$AE26*(1+IA$3))/$AJ26,'Технический лист'!$A:$B,2,1),(HZ26-0.05)))</f>
        <v>0.86</v>
      </c>
      <c r="IB26" s="15">
        <f>MIN(1,MAX(VLOOKUP(($AJ26-$AI26-$AH26-$AG26-$AF26-$AE26*(1+IB$3))/$AJ26,'Технический лист'!$A:$B,2,1),(IA26-0.05)))</f>
        <v>0.86</v>
      </c>
      <c r="IC26" s="15">
        <f>MIN(1,MAX(VLOOKUP(($AJ26-$AI26-$AH26-$AG26-$AF26-$AE26*(1+IC$3))/$AJ26,'Технический лист'!$A:$B,2,1),(IB26-0.05)))</f>
        <v>0.85399999999999998</v>
      </c>
      <c r="ID26" s="15">
        <f>MIN(1,MAX(VLOOKUP(($AJ26-$AI26-$AH26-$AG26-$AF26-$AE26*(1+ID$3))/$AJ26,'Технический лист'!$A:$B,2,1),(IC26-0.05)))</f>
        <v>0.85399999999999998</v>
      </c>
      <c r="IE26" s="15">
        <f>MIN(1,MAX(VLOOKUP(($AJ26-$AI26-$AH26-$AG26-$AF26-$AE26*(1+IE$3))/$AJ26,'Технический лист'!$A:$B,2,1),(ID26-0.05)))</f>
        <v>0.85399999999999998</v>
      </c>
      <c r="IF26" s="15">
        <f>MIN(1,MAX(VLOOKUP(($AJ26-$AI26-$AH26-$AG26-$AF26-$AE26*(1+IF$3))/$AJ26,'Технический лист'!$A:$B,2,1),(IE26-0.05)))</f>
        <v>0.85399999999999998</v>
      </c>
      <c r="IG26" s="15">
        <f>MIN(1,MAX(VLOOKUP(($AJ26-$AI26-$AH26-$AG26-$AF26-$AE26*(1+IG$3))/$AJ26,'Технический лист'!$A:$B,2,1),(IF26-0.05)))</f>
        <v>0.85399999999999998</v>
      </c>
      <c r="IH26" s="15">
        <f>MIN(1,MAX(VLOOKUP(($AJ26-$AI26-$AH26-$AG26-$AF26-$AE26*(1+IH$3))/$AJ26,'Технический лист'!$A:$B,2,1),(IG26-0.05)))</f>
        <v>0.85399999999999998</v>
      </c>
      <c r="II26" s="15">
        <f>MIN(1,MAX(VLOOKUP(($AJ26-$AI26-$AH26-$AG26-$AF26-$AE26*(1+II$3))/$AJ26,'Технический лист'!$A:$B,2,1),(IH26-0.05)))</f>
        <v>0.85399999999999998</v>
      </c>
      <c r="IJ26" s="15">
        <f>MIN(1,MAX(VLOOKUP(($AJ26-$AI26-$AH26-$AG26-$AF26-$AE26*(1+IJ$3))/$AJ26,'Технический лист'!$A:$B,2,1),(II26-0.05)))</f>
        <v>0.85399999999999998</v>
      </c>
      <c r="IK26" s="15">
        <f>MIN(1,MAX(VLOOKUP(($AJ26-$AI26-$AH26-$AG26-$AF26-$AE26*(1+IK$3))/$AJ26,'Технический лист'!$A:$B,2,1),(IJ26-0.05)))</f>
        <v>0.85399999999999998</v>
      </c>
      <c r="IL26" s="15">
        <f>MIN(1,MAX(VLOOKUP(($AJ26-$AI26-$AH26-$AG26-$AF26-$AE26*(1+IL$3))/$AJ26,'Технический лист'!$A:$B,2,1),(IK26-0.05)))</f>
        <v>0.85399999999999998</v>
      </c>
      <c r="IM26" s="15">
        <f>MIN(1,MAX(VLOOKUP(($AJ26-$AI26-$AH26-$AG26-$AF26-$AE26*(1+IM$3))/$AJ26,'Технический лист'!$A:$B,2,1),(IL26-0.05)))</f>
        <v>0.85399999999999998</v>
      </c>
      <c r="IN26" s="15">
        <f>MIN(1,MAX(VLOOKUP(($AJ26-$AI26-$AH26-$AG26-$AF26-$AE26*(1+IN$3))/$AJ26,'Технический лист'!$A:$B,2,1),(IM26-0.05)))</f>
        <v>0.85399999999999998</v>
      </c>
      <c r="IO26" s="15">
        <f>MIN(1,MAX(VLOOKUP(($AJ26-$AI26-$AH26-$AG26-$AF26-$AE26*(1+IO$3))/$AJ26,'Технический лист'!$A:$B,2,1),(IN26-0.05)))</f>
        <v>0.84799999999999998</v>
      </c>
      <c r="IP26" s="15">
        <f>MIN(1,MAX(VLOOKUP(($AJ26-$AI26-$AH26-$AG26-$AF26-$AE26*(1+IP$3))/$AJ26,'Технический лист'!$A:$B,2,1),(IO26-0.05)))</f>
        <v>0.84799999999999998</v>
      </c>
      <c r="IQ26" s="15">
        <f>MIN(1,MAX(VLOOKUP(($AJ26-$AI26-$AH26-$AG26-$AF26-$AE26*(1+IQ$3))/$AJ26,'Технический лист'!$A:$B,2,1),(IP26-0.05)))</f>
        <v>0.84799999999999998</v>
      </c>
      <c r="IR26" s="15">
        <f>MIN(1,MAX(VLOOKUP(($AJ26-$AI26-$AH26-$AG26-$AF26-$AE26*(1+IR$3))/$AJ26,'Технический лист'!$A:$B,2,1),(IQ26-0.05)))</f>
        <v>0.84799999999999998</v>
      </c>
    </row>
    <row r="27" spans="1:252" ht="45" customHeight="1">
      <c r="A27" s="89" t="s">
        <v>514</v>
      </c>
      <c r="B27" s="90">
        <v>2</v>
      </c>
      <c r="C27" s="5" t="s">
        <v>65</v>
      </c>
      <c r="D27" s="91">
        <v>17106</v>
      </c>
      <c r="E27" s="91" t="s">
        <v>319</v>
      </c>
      <c r="F27" s="92" t="s">
        <v>69</v>
      </c>
      <c r="G27" s="91" t="s">
        <v>31</v>
      </c>
      <c r="H27" s="91" t="s">
        <v>30</v>
      </c>
      <c r="I27" s="91" t="s">
        <v>100</v>
      </c>
      <c r="J27" s="91" t="s">
        <v>87</v>
      </c>
      <c r="K27" s="91">
        <v>3312</v>
      </c>
      <c r="L27" s="85" t="s">
        <v>64</v>
      </c>
      <c r="M27" s="91" t="s">
        <v>190</v>
      </c>
      <c r="N27" s="91" t="s">
        <v>191</v>
      </c>
      <c r="O27" s="91" t="s">
        <v>194</v>
      </c>
      <c r="P27" s="89" t="s">
        <v>206</v>
      </c>
      <c r="Q27" s="91" t="s">
        <v>255</v>
      </c>
      <c r="R27" s="91" t="s">
        <v>255</v>
      </c>
      <c r="S27" s="82">
        <v>12030</v>
      </c>
      <c r="T27" s="82">
        <v>39837443</v>
      </c>
      <c r="U27" s="81">
        <v>218</v>
      </c>
      <c r="V27" s="81">
        <v>0</v>
      </c>
      <c r="W27" s="82">
        <v>24770586</v>
      </c>
      <c r="X27" s="112">
        <v>55</v>
      </c>
      <c r="Y27" s="112" t="s">
        <v>416</v>
      </c>
      <c r="Z27" s="113">
        <v>11</v>
      </c>
      <c r="AA27" s="113">
        <v>9</v>
      </c>
      <c r="AB27" s="113">
        <v>4</v>
      </c>
      <c r="AC27" s="99">
        <v>2323.16</v>
      </c>
      <c r="AD27" s="99">
        <f t="shared" si="1"/>
        <v>875.79</v>
      </c>
      <c r="AE27" s="99">
        <v>3198.95</v>
      </c>
      <c r="AF27" s="98">
        <f>(Z27+AA27+AB27)*'Ставки аренды'!$B$3/X27</f>
        <v>305.45454545454544</v>
      </c>
      <c r="AG27" s="114">
        <v>0</v>
      </c>
      <c r="AH27" s="94">
        <v>0</v>
      </c>
      <c r="AI27" s="115">
        <f>131496272/143742760*AVERAGE(AJ26,AJ27)</f>
        <v>15000.587167314972</v>
      </c>
      <c r="AJ27" s="117">
        <f>Цены!$D$9</f>
        <v>17000</v>
      </c>
      <c r="AK27" s="94">
        <f>AJ27/Цены!$B$1</f>
        <v>222.7886587467483</v>
      </c>
      <c r="AL27" s="95">
        <f t="shared" si="5"/>
        <v>3504.4045454545453</v>
      </c>
      <c r="AM27" s="95">
        <f t="shared" si="6"/>
        <v>13495.595454545455</v>
      </c>
      <c r="AN27" s="94">
        <f t="shared" si="2"/>
        <v>18504.991712769519</v>
      </c>
      <c r="AO27" s="118">
        <f t="shared" si="3"/>
        <v>-8.8528924280559931E-2</v>
      </c>
      <c r="AP27" s="96">
        <f t="shared" si="7"/>
        <v>0.20614144385026736</v>
      </c>
      <c r="AQ27" s="96">
        <f t="shared" si="8"/>
        <v>0.18817352941176468</v>
      </c>
      <c r="AR27" s="96">
        <f t="shared" si="9"/>
        <v>0.912836962316254</v>
      </c>
      <c r="AS27" s="122">
        <v>1</v>
      </c>
      <c r="AT27" s="121">
        <f t="shared" si="10"/>
        <v>12030</v>
      </c>
      <c r="AU27" s="83">
        <v>0.95</v>
      </c>
      <c r="AV27" s="119">
        <f t="shared" si="11"/>
        <v>-0.1111097478099717</v>
      </c>
      <c r="AW27" s="120">
        <f t="shared" si="12"/>
        <v>0.22872226737967916</v>
      </c>
      <c r="AX27" s="120">
        <f t="shared" si="13"/>
        <v>0.21075435294117648</v>
      </c>
      <c r="AY27" s="120">
        <f t="shared" si="14"/>
        <v>0.92144221616745381</v>
      </c>
      <c r="AZ27" s="15">
        <f>MIN(IF($AU27=100%,1,1+VLOOKUP(($AJ27-$AI27-$AH27-$AG27-$AF27-$AE27*(1+AZ$3))/$AJ27,'Технический лист'!$A:$B,2,1)-VLOOKUP($AO27,'Технический лист'!$A:$B,2,1)),1+(1-$AU27))</f>
        <v>1.0350000000000001</v>
      </c>
      <c r="BA27" s="15">
        <f>MIN(IF($AU27=100%,1,1+VLOOKUP(($AJ27-$AI27-$AH27-$AG27-$AF27-$AE27*(1+BA$3))/$AJ27,'Технический лист'!$A:$B,2,1)-VLOOKUP($AO27,'Технический лист'!$A:$B,2,1)),1+(1-$AU27))</f>
        <v>1.0350000000000001</v>
      </c>
      <c r="BB27" s="15">
        <f>MIN(IF($AU27=100%,1,1+VLOOKUP(($AJ27-$AI27-$AH27-$AG27-$AF27-$AE27*(1+BB$3))/$AJ27,'Технический лист'!$A:$B,2,1)-VLOOKUP($AO27,'Технический лист'!$A:$B,2,1)),1+(1-$AU27))</f>
        <v>1.0350000000000001</v>
      </c>
      <c r="BC27" s="15">
        <f>MIN(IF($AU27=100%,1,1+VLOOKUP(($AJ27-$AI27-$AH27-$AG27-$AF27-$AE27*(1+BC$3))/$AJ27,'Технический лист'!$A:$B,2,1)-VLOOKUP($AO27,'Технический лист'!$A:$B,2,1)),1+(1-$AU27))</f>
        <v>1.0350000000000001</v>
      </c>
      <c r="BD27" s="15">
        <f>MIN(IF($AU27=100%,1,1+VLOOKUP(($AJ27-$AI27-$AH27-$AG27-$AF27-$AE27*(1+BD$3))/$AJ27,'Технический лист'!$A:$B,2,1)-VLOOKUP($AO27,'Технический лист'!$A:$B,2,1)),1+(1-$AU27))</f>
        <v>1.0350000000000001</v>
      </c>
      <c r="BE27" s="15">
        <f>MIN(IF($AU27=100%,1,1+VLOOKUP(($AJ27-$AI27-$AH27-$AG27-$AF27-$AE27*(1+BE$3))/$AJ27,'Технический лист'!$A:$B,2,1)-VLOOKUP($AO27,'Технический лист'!$A:$B,2,1)),1+(1-$AU27))</f>
        <v>1.0350000000000001</v>
      </c>
      <c r="BF27" s="15">
        <f>MIN(IF($AU27=100%,1,1+VLOOKUP(($AJ27-$AI27-$AH27-$AG27-$AF27-$AE27*(1+BF$3))/$AJ27,'Технический лист'!$A:$B,2,1)-VLOOKUP($AO27,'Технический лист'!$A:$B,2,1)),1+(1-$AU27))</f>
        <v>1.0350000000000001</v>
      </c>
      <c r="BG27" s="15">
        <f>MIN(IF($AU27=100%,1,1+VLOOKUP(($AJ27-$AI27-$AH27-$AG27-$AF27-$AE27*(1+BG$3))/$AJ27,'Технический лист'!$A:$B,2,1)-VLOOKUP($AO27,'Технический лист'!$A:$B,2,1)),1+(1-$AU27))</f>
        <v>1.0350000000000001</v>
      </c>
      <c r="BH27" s="15">
        <f>MIN(IF($AU27=100%,1,1+VLOOKUP(($AJ27-$AI27-$AH27-$AG27-$AF27-$AE27*(1+BH$3))/$AJ27,'Технический лист'!$A:$B,2,1)-VLOOKUP($AO27,'Технический лист'!$A:$B,2,1)),1+(1-$AU27))</f>
        <v>1.0350000000000001</v>
      </c>
      <c r="BI27" s="15">
        <f>MIN(IF($AU27=100%,1,1+VLOOKUP(($AJ27-$AI27-$AH27-$AG27-$AF27-$AE27*(1+BI$3))/$AJ27,'Технический лист'!$A:$B,2,1)-VLOOKUP($AO27,'Технический лист'!$A:$B,2,1)),1+(1-$AU27))</f>
        <v>1.0350000000000001</v>
      </c>
      <c r="BJ27" s="15">
        <f>MIN(IF($AU27=100%,1,1+VLOOKUP(($AJ27-$AI27-$AH27-$AG27-$AF27-$AE27*(1+BJ$3))/$AJ27,'Технический лист'!$A:$B,2,1)-VLOOKUP($AO27,'Технический лист'!$A:$B,2,1)),1+(1-$AU27))</f>
        <v>1.0350000000000001</v>
      </c>
      <c r="BK27" s="15">
        <f>MIN(IF($AU27=100%,1,1+VLOOKUP(($AJ27-$AI27-$AH27-$AG27-$AF27-$AE27*(1+BK$3))/$AJ27,'Технический лист'!$A:$B,2,1)-VLOOKUP($AO27,'Технический лист'!$A:$B,2,1)),1+(1-$AU27))</f>
        <v>1.0350000000000001</v>
      </c>
      <c r="BL27" s="15">
        <f>MIN(IF($AU27=100%,1,1+VLOOKUP(($AJ27-$AI27-$AH27-$AG27-$AF27-$AE27*(1+BL$3))/$AJ27,'Технический лист'!$A:$B,2,1)-VLOOKUP($AO27,'Технический лист'!$A:$B,2,1)),1+(1-$AU27))</f>
        <v>1.0350000000000001</v>
      </c>
      <c r="BM27" s="15">
        <f>MIN(IF($AU27=100%,1,1+VLOOKUP(($AJ27-$AI27-$AH27-$AG27-$AF27-$AE27*(1+BM$3))/$AJ27,'Технический лист'!$A:$B,2,1)-VLOOKUP($AO27,'Технический лист'!$A:$B,2,1)),1+(1-$AU27))</f>
        <v>1.0350000000000001</v>
      </c>
      <c r="BN27" s="15">
        <f>MIN(IF($AU27=100%,1,1+VLOOKUP(($AJ27-$AI27-$AH27-$AG27-$AF27-$AE27*(1+BN$3))/$AJ27,'Технический лист'!$A:$B,2,1)-VLOOKUP($AO27,'Технический лист'!$A:$B,2,1)),1+(1-$AU27))</f>
        <v>1.0350000000000001</v>
      </c>
      <c r="BO27" s="15">
        <f>MIN(IF($AU27=100%,1,1+VLOOKUP(($AJ27-$AI27-$AH27-$AG27-$AF27-$AE27*(1+BO$3))/$AJ27,'Технический лист'!$A:$B,2,1)-VLOOKUP($AO27,'Технический лист'!$A:$B,2,1)),1+(1-$AU27))</f>
        <v>1.0350000000000001</v>
      </c>
      <c r="BP27" s="15">
        <f>MIN(IF($AU27=100%,1,1+VLOOKUP(($AJ27-$AI27-$AH27-$AG27-$AF27-$AE27*(1+BP$3))/$AJ27,'Технический лист'!$A:$B,2,1)-VLOOKUP($AO27,'Технический лист'!$A:$B,2,1)),1+(1-$AU27))</f>
        <v>1.0350000000000001</v>
      </c>
      <c r="BQ27" s="15">
        <f>MIN(IF($AU27=100%,1,1+VLOOKUP(($AJ27-$AI27-$AH27-$AG27-$AF27-$AE27*(1+BQ$3))/$AJ27,'Технический лист'!$A:$B,2,1)-VLOOKUP($AO27,'Технический лист'!$A:$B,2,1)),1+(1-$AU27))</f>
        <v>1.0350000000000001</v>
      </c>
      <c r="BR27" s="15">
        <f>MIN(IF($AU27=100%,1,1+VLOOKUP(($AJ27-$AI27-$AH27-$AG27-$AF27-$AE27*(1+BR$3))/$AJ27,'Технический лист'!$A:$B,2,1)-VLOOKUP($AO27,'Технический лист'!$A:$B,2,1)),1+(1-$AU27))</f>
        <v>1.0350000000000001</v>
      </c>
      <c r="BS27" s="15">
        <f>MIN(IF($AU27=100%,1,1+VLOOKUP(($AJ27-$AI27-$AH27-$AG27-$AF27-$AE27*(1+BS$3))/$AJ27,'Технический лист'!$A:$B,2,1)-VLOOKUP($AO27,'Технический лист'!$A:$B,2,1)),1+(1-$AU27))</f>
        <v>1.0350000000000001</v>
      </c>
      <c r="BT27" s="15">
        <f>MIN(IF($AU27=100%,1,1+VLOOKUP(($AJ27-$AI27-$AH27-$AG27-$AF27-$AE27*(1+BT$3))/$AJ27,'Технический лист'!$A:$B,2,1)-VLOOKUP($AO27,'Технический лист'!$A:$B,2,1)),1+(1-$AU27))</f>
        <v>1.0350000000000001</v>
      </c>
      <c r="BU27" s="15">
        <f>MIN(IF($AU27=100%,1,1+VLOOKUP(($AJ27-$AI27-$AH27-$AG27-$AF27-$AE27*(1+BU$3))/$AJ27,'Технический лист'!$A:$B,2,1)-VLOOKUP($AO27,'Технический лист'!$A:$B,2,1)),1+(1-$AU27))</f>
        <v>1.0350000000000001</v>
      </c>
      <c r="BV27" s="15">
        <f>MIN(IF($AU27=100%,1,1+VLOOKUP(($AJ27-$AI27-$AH27-$AG27-$AF27-$AE27*(1+BV$3))/$AJ27,'Технический лист'!$A:$B,2,1)-VLOOKUP($AO27,'Технический лист'!$A:$B,2,1)),1+(1-$AU27))</f>
        <v>1.0350000000000001</v>
      </c>
      <c r="BW27" s="15">
        <f>MIN(IF($AU27=100%,1,1+VLOOKUP(($AJ27-$AI27-$AH27-$AG27-$AF27-$AE27*(1+BW$3))/$AJ27,'Технический лист'!$A:$B,2,1)-VLOOKUP($AO27,'Технический лист'!$A:$B,2,1)),1+(1-$AU27))</f>
        <v>1.0350000000000001</v>
      </c>
      <c r="BX27" s="15">
        <f>MIN(IF($AU27=100%,1,1+VLOOKUP(($AJ27-$AI27-$AH27-$AG27-$AF27-$AE27*(1+BX$3))/$AJ27,'Технический лист'!$A:$B,2,1)-VLOOKUP($AO27,'Технический лист'!$A:$B,2,1)),1+(1-$AU27))</f>
        <v>1.0350000000000001</v>
      </c>
      <c r="BY27" s="15">
        <f>MIN(IF($AU27=100%,1,1+VLOOKUP(($AJ27-$AI27-$AH27-$AG27-$AF27-$AE27*(1+BY$3))/$AJ27,'Технический лист'!$A:$B,2,1)-VLOOKUP($AO27,'Технический лист'!$A:$B,2,1)),1+(1-$AU27))</f>
        <v>1.0350000000000001</v>
      </c>
      <c r="BZ27" s="15">
        <f>MIN(IF($AU27=100%,1,1+VLOOKUP(($AJ27-$AI27-$AH27-$AG27-$AF27-$AE27*(1+BZ$3))/$AJ27,'Технический лист'!$A:$B,2,1)-VLOOKUP($AO27,'Технический лист'!$A:$B,2,1)),1+(1-$AU27))</f>
        <v>1.0350000000000001</v>
      </c>
      <c r="CA27" s="15">
        <f>MIN(IF($AU27=100%,1,1+VLOOKUP(($AJ27-$AI27-$AH27-$AG27-$AF27-$AE27*(1+CA$3))/$AJ27,'Технический лист'!$A:$B,2,1)-VLOOKUP($AO27,'Технический лист'!$A:$B,2,1)),1+(1-$AU27))</f>
        <v>1.0350000000000001</v>
      </c>
      <c r="CB27" s="15">
        <f>MIN(IF($AU27=100%,1,1+VLOOKUP(($AJ27-$AI27-$AH27-$AG27-$AF27-$AE27*(1+CB$3))/$AJ27,'Технический лист'!$A:$B,2,1)-VLOOKUP($AO27,'Технический лист'!$A:$B,2,1)),1+(1-$AU27))</f>
        <v>1.0300000000000002</v>
      </c>
      <c r="CC27" s="15">
        <f>MIN(IF($AU27=100%,1,1+VLOOKUP(($AJ27-$AI27-$AH27-$AG27-$AF27-$AE27*(1+CC$3))/$AJ27,'Технический лист'!$A:$B,2,1)-VLOOKUP($AO27,'Технический лист'!$A:$B,2,1)),1+(1-$AU27))</f>
        <v>1.0300000000000002</v>
      </c>
      <c r="CD27" s="15">
        <f>MIN(IF($AU27=100%,1,1+VLOOKUP(($AJ27-$AI27-$AH27-$AG27-$AF27-$AE27*(1+CD$3))/$AJ27,'Технический лист'!$A:$B,2,1)-VLOOKUP($AO27,'Технический лист'!$A:$B,2,1)),1+(1-$AU27))</f>
        <v>1.0300000000000002</v>
      </c>
      <c r="CE27" s="15">
        <f>MIN(IF($AU27=100%,1,1+VLOOKUP(($AJ27-$AI27-$AH27-$AG27-$AF27-$AE27*(1+CE$3))/$AJ27,'Технический лист'!$A:$B,2,1)-VLOOKUP($AO27,'Технический лист'!$A:$B,2,1)),1+(1-$AU27))</f>
        <v>1.0300000000000002</v>
      </c>
      <c r="CF27" s="15">
        <f>MIN(IF($AU27=100%,1,1+VLOOKUP(($AJ27-$AI27-$AH27-$AG27-$AF27-$AE27*(1+CF$3))/$AJ27,'Технический лист'!$A:$B,2,1)-VLOOKUP($AO27,'Технический лист'!$A:$B,2,1)),1+(1-$AU27))</f>
        <v>1.0300000000000002</v>
      </c>
      <c r="CG27" s="15">
        <f>MIN(IF($AU27=100%,1,1+VLOOKUP(($AJ27-$AI27-$AH27-$AG27-$AF27-$AE27*(1+CG$3))/$AJ27,'Технический лист'!$A:$B,2,1)-VLOOKUP($AO27,'Технический лист'!$A:$B,2,1)),1+(1-$AU27))</f>
        <v>1.0300000000000002</v>
      </c>
      <c r="CH27" s="15">
        <f>MIN(IF($AU27=100%,1,1+VLOOKUP(($AJ27-$AI27-$AH27-$AG27-$AF27-$AE27*(1+CH$3))/$AJ27,'Технический лист'!$A:$B,2,1)-VLOOKUP($AO27,'Технический лист'!$A:$B,2,1)),1+(1-$AU27))</f>
        <v>1.0300000000000002</v>
      </c>
      <c r="CI27" s="15">
        <f>MIN(IF($AU27=100%,1,1+VLOOKUP(($AJ27-$AI27-$AH27-$AG27-$AF27-$AE27*(1+CI$3))/$AJ27,'Технический лист'!$A:$B,2,1)-VLOOKUP($AO27,'Технический лист'!$A:$B,2,1)),1+(1-$AU27))</f>
        <v>1.0300000000000002</v>
      </c>
      <c r="CJ27" s="15">
        <f>MIN(IF($AU27=100%,1,1+VLOOKUP(($AJ27-$AI27-$AH27-$AG27-$AF27-$AE27*(1+CJ$3))/$AJ27,'Технический лист'!$A:$B,2,1)-VLOOKUP($AO27,'Технический лист'!$A:$B,2,1)),1+(1-$AU27))</f>
        <v>1.0300000000000002</v>
      </c>
      <c r="CK27" s="15">
        <f>MIN(IF($AU27=100%,1,1+VLOOKUP(($AJ27-$AI27-$AH27-$AG27-$AF27-$AE27*(1+CK$3))/$AJ27,'Технический лист'!$A:$B,2,1)-VLOOKUP($AO27,'Технический лист'!$A:$B,2,1)),1+(1-$AU27))</f>
        <v>1.0300000000000002</v>
      </c>
      <c r="CL27" s="15">
        <f>MIN(IF($AU27=100%,1,1+VLOOKUP(($AJ27-$AI27-$AH27-$AG27-$AF27-$AE27*(1+CL$3))/$AJ27,'Технический лист'!$A:$B,2,1)-VLOOKUP($AO27,'Технический лист'!$A:$B,2,1)),1+(1-$AU27))</f>
        <v>1.0249999999999999</v>
      </c>
      <c r="CM27" s="15">
        <f>MIN(IF($AU27=100%,1,1+VLOOKUP(($AJ27-$AI27-$AH27-$AG27-$AF27-$AE27*(1+CM$3))/$AJ27,'Технический лист'!$A:$B,2,1)-VLOOKUP($AO27,'Технический лист'!$A:$B,2,1)),1+(1-$AU27))</f>
        <v>1.0249999999999999</v>
      </c>
      <c r="CN27" s="15">
        <f>MIN(IF($AU27=100%,1,1+VLOOKUP(($AJ27-$AI27-$AH27-$AG27-$AF27-$AE27*(1+CN$3))/$AJ27,'Технический лист'!$A:$B,2,1)-VLOOKUP($AO27,'Технический лист'!$A:$B,2,1)),1+(1-$AU27))</f>
        <v>1.0249999999999999</v>
      </c>
      <c r="CO27" s="15">
        <f>MIN(IF($AU27=100%,1,1+VLOOKUP(($AJ27-$AI27-$AH27-$AG27-$AF27-$AE27*(1+CO$3))/$AJ27,'Технический лист'!$A:$B,2,1)-VLOOKUP($AO27,'Технический лист'!$A:$B,2,1)),1+(1-$AU27))</f>
        <v>1.0249999999999999</v>
      </c>
      <c r="CP27" s="15">
        <f>MIN(IF($AU27=100%,1,1+VLOOKUP(($AJ27-$AI27-$AH27-$AG27-$AF27-$AE27*(1+CP$3))/$AJ27,'Технический лист'!$A:$B,2,1)-VLOOKUP($AO27,'Технический лист'!$A:$B,2,1)),1+(1-$AU27))</f>
        <v>1.0249999999999999</v>
      </c>
      <c r="CQ27" s="15">
        <f>MIN(IF($AU27=100%,1,1+VLOOKUP(($AJ27-$AI27-$AH27-$AG27-$AF27-$AE27*(1+CQ$3))/$AJ27,'Технический лист'!$A:$B,2,1)-VLOOKUP($AO27,'Технический лист'!$A:$B,2,1)),1+(1-$AU27))</f>
        <v>1.0249999999999999</v>
      </c>
      <c r="CR27" s="15">
        <f>MIN(IF($AU27=100%,1,1+VLOOKUP(($AJ27-$AI27-$AH27-$AG27-$AF27-$AE27*(1+CR$3))/$AJ27,'Технический лист'!$A:$B,2,1)-VLOOKUP($AO27,'Технический лист'!$A:$B,2,1)),1+(1-$AU27))</f>
        <v>1.0249999999999999</v>
      </c>
      <c r="CS27" s="15">
        <f>MIN(IF($AU27=100%,1,1+VLOOKUP(($AJ27-$AI27-$AH27-$AG27-$AF27-$AE27*(1+CS$3))/$AJ27,'Технический лист'!$A:$B,2,1)-VLOOKUP($AO27,'Технический лист'!$A:$B,2,1)),1+(1-$AU27))</f>
        <v>1.0249999999999999</v>
      </c>
      <c r="CT27" s="15">
        <f>MIN(IF($AU27=100%,1,1+VLOOKUP(($AJ27-$AI27-$AH27-$AG27-$AF27-$AE27*(1+CT$3))/$AJ27,'Технический лист'!$A:$B,2,1)-VLOOKUP($AO27,'Технический лист'!$A:$B,2,1)),1+(1-$AU27))</f>
        <v>1.0249999999999999</v>
      </c>
      <c r="CU27" s="15">
        <f>MIN(IF($AU27=100%,1,1+VLOOKUP(($AJ27-$AI27-$AH27-$AG27-$AF27-$AE27*(1+CU$3))/$AJ27,'Технический лист'!$A:$B,2,1)-VLOOKUP($AO27,'Технический лист'!$A:$B,2,1)),1+(1-$AU27))</f>
        <v>1.0249999999999999</v>
      </c>
      <c r="CV27" s="15">
        <f>MIN(IF($AU27=100%,1,1+VLOOKUP(($AJ27-$AI27-$AH27-$AG27-$AF27-$AE27*(1+CV$3))/$AJ27,'Технический лист'!$A:$B,2,1)-VLOOKUP($AO27,'Технический лист'!$A:$B,2,1)),1+(1-$AU27))</f>
        <v>1.0249999999999999</v>
      </c>
      <c r="CW27" s="15">
        <f>MIN(IF($AU27=100%,1,1+VLOOKUP(($AJ27-$AI27-$AH27-$AG27-$AF27-$AE27*(1+CW$3))/$AJ27,'Технический лист'!$A:$B,2,1)-VLOOKUP($AO27,'Технический лист'!$A:$B,2,1)),1+(1-$AU27))</f>
        <v>1.02</v>
      </c>
      <c r="CX27" s="15">
        <f>MIN(IF($AU27=100%,1,1+VLOOKUP(($AJ27-$AI27-$AH27-$AG27-$AF27-$AE27*(1+CX$3))/$AJ27,'Технический лист'!$A:$B,2,1)-VLOOKUP($AO27,'Технический лист'!$A:$B,2,1)),1+(1-$AU27))</f>
        <v>1.02</v>
      </c>
      <c r="CY27" s="15">
        <f>MIN(IF($AU27=100%,1,1+VLOOKUP(($AJ27-$AI27-$AH27-$AG27-$AF27-$AE27*(1+CY$3))/$AJ27,'Технический лист'!$A:$B,2,1)-VLOOKUP($AO27,'Технический лист'!$A:$B,2,1)),1+(1-$AU27))</f>
        <v>1.02</v>
      </c>
      <c r="CZ27" s="15">
        <f>MIN(IF($AU27=100%,1,1+VLOOKUP(($AJ27-$AI27-$AH27-$AG27-$AF27-$AE27*(1+CZ$3))/$AJ27,'Технический лист'!$A:$B,2,1)-VLOOKUP($AO27,'Технический лист'!$A:$B,2,1)),1+(1-$AU27))</f>
        <v>1.02</v>
      </c>
      <c r="DA27" s="15">
        <f>MIN(IF($AU27=100%,1,1+VLOOKUP(($AJ27-$AI27-$AH27-$AG27-$AF27-$AE27*(1+DA$3))/$AJ27,'Технический лист'!$A:$B,2,1)-VLOOKUP($AO27,'Технический лист'!$A:$B,2,1)),1+(1-$AU27))</f>
        <v>1.02</v>
      </c>
      <c r="DB27" s="15">
        <f>MIN(IF($AU27=100%,1,1+VLOOKUP(($AJ27-$AI27-$AH27-$AG27-$AF27-$AE27*(1+DB$3))/$AJ27,'Технический лист'!$A:$B,2,1)-VLOOKUP($AO27,'Технический лист'!$A:$B,2,1)),1+(1-$AU27))</f>
        <v>1.02</v>
      </c>
      <c r="DC27" s="15">
        <f>MIN(IF($AU27=100%,1,1+VLOOKUP(($AJ27-$AI27-$AH27-$AG27-$AF27-$AE27*(1+DC$3))/$AJ27,'Технический лист'!$A:$B,2,1)-VLOOKUP($AO27,'Технический лист'!$A:$B,2,1)),1+(1-$AU27))</f>
        <v>1.02</v>
      </c>
      <c r="DD27" s="15">
        <f>MIN(IF($AU27=100%,1,1+VLOOKUP(($AJ27-$AI27-$AH27-$AG27-$AF27-$AE27*(1+DD$3))/$AJ27,'Технический лист'!$A:$B,2,1)-VLOOKUP($AO27,'Технический лист'!$A:$B,2,1)),1+(1-$AU27))</f>
        <v>1.02</v>
      </c>
      <c r="DE27" s="15">
        <f>MIN(IF($AU27=100%,1,1+VLOOKUP(($AJ27-$AI27-$AH27-$AG27-$AF27-$AE27*(1+DE$3))/$AJ27,'Технический лист'!$A:$B,2,1)-VLOOKUP($AO27,'Технический лист'!$A:$B,2,1)),1+(1-$AU27))</f>
        <v>1.02</v>
      </c>
      <c r="DF27" s="15">
        <f>MIN(IF($AU27=100%,1,1+VLOOKUP(($AJ27-$AI27-$AH27-$AG27-$AF27-$AE27*(1+DF$3))/$AJ27,'Технический лист'!$A:$B,2,1)-VLOOKUP($AO27,'Технический лист'!$A:$B,2,1)),1+(1-$AU27))</f>
        <v>1.02</v>
      </c>
      <c r="DG27" s="15">
        <f>MIN(IF($AU27=100%,1,1+VLOOKUP(($AJ27-$AI27-$AH27-$AG27-$AF27-$AE27*(1+DG$3))/$AJ27,'Технический лист'!$A:$B,2,1)-VLOOKUP($AO27,'Технический лист'!$A:$B,2,1)),1+(1-$AU27))</f>
        <v>1.02</v>
      </c>
      <c r="DH27" s="15">
        <f>MIN(IF($AU27=100%,1,1+VLOOKUP(($AJ27-$AI27-$AH27-$AG27-$AF27-$AE27*(1+DH$3))/$AJ27,'Технический лист'!$A:$B,2,1)-VLOOKUP($AO27,'Технический лист'!$A:$B,2,1)),1+(1-$AU27))</f>
        <v>1.0150000000000001</v>
      </c>
      <c r="DI27" s="15">
        <f>MIN(IF($AU27=100%,1,1+VLOOKUP(($AJ27-$AI27-$AH27-$AG27-$AF27-$AE27*(1+DI$3))/$AJ27,'Технический лист'!$A:$B,2,1)-VLOOKUP($AO27,'Технический лист'!$A:$B,2,1)),1+(1-$AU27))</f>
        <v>1.0150000000000001</v>
      </c>
      <c r="DJ27" s="15">
        <f>MIN(IF($AU27=100%,1,1+VLOOKUP(($AJ27-$AI27-$AH27-$AG27-$AF27-$AE27*(1+DJ$3))/$AJ27,'Технический лист'!$A:$B,2,1)-VLOOKUP($AO27,'Технический лист'!$A:$B,2,1)),1+(1-$AU27))</f>
        <v>1.0150000000000001</v>
      </c>
      <c r="DK27" s="15">
        <f>MIN(IF($AU27=100%,1,1+VLOOKUP(($AJ27-$AI27-$AH27-$AG27-$AF27-$AE27*(1+DK$3))/$AJ27,'Технический лист'!$A:$B,2,1)-VLOOKUP($AO27,'Технический лист'!$A:$B,2,1)),1+(1-$AU27))</f>
        <v>1.0150000000000001</v>
      </c>
      <c r="DL27" s="15">
        <f>MIN(IF($AU27=100%,1,1+VLOOKUP(($AJ27-$AI27-$AH27-$AG27-$AF27-$AE27*(1+DL$3))/$AJ27,'Технический лист'!$A:$B,2,1)-VLOOKUP($AO27,'Технический лист'!$A:$B,2,1)),1+(1-$AU27))</f>
        <v>1.0150000000000001</v>
      </c>
      <c r="DM27" s="15">
        <f>MIN(IF($AU27=100%,1,1+VLOOKUP(($AJ27-$AI27-$AH27-$AG27-$AF27-$AE27*(1+DM$3))/$AJ27,'Технический лист'!$A:$B,2,1)-VLOOKUP($AO27,'Технический лист'!$A:$B,2,1)),1+(1-$AU27))</f>
        <v>1.0150000000000001</v>
      </c>
      <c r="DN27" s="15">
        <f>MIN(IF($AU27=100%,1,1+VLOOKUP(($AJ27-$AI27-$AH27-$AG27-$AF27-$AE27*(1+DN$3))/$AJ27,'Технический лист'!$A:$B,2,1)-VLOOKUP($AO27,'Технический лист'!$A:$B,2,1)),1+(1-$AU27))</f>
        <v>1.0150000000000001</v>
      </c>
      <c r="DO27" s="15">
        <f>MIN(IF($AU27=100%,1,1+VLOOKUP(($AJ27-$AI27-$AH27-$AG27-$AF27-$AE27*(1+DO$3))/$AJ27,'Технический лист'!$A:$B,2,1)-VLOOKUP($AO27,'Технический лист'!$A:$B,2,1)),1+(1-$AU27))</f>
        <v>1.0150000000000001</v>
      </c>
      <c r="DP27" s="15">
        <f>MIN(IF($AU27=100%,1,1+VLOOKUP(($AJ27-$AI27-$AH27-$AG27-$AF27-$AE27*(1+DP$3))/$AJ27,'Технический лист'!$A:$B,2,1)-VLOOKUP($AO27,'Технический лист'!$A:$B,2,1)),1+(1-$AU27))</f>
        <v>1.0150000000000001</v>
      </c>
      <c r="DQ27" s="15">
        <f>MIN(IF($AU27=100%,1,1+VLOOKUP(($AJ27-$AI27-$AH27-$AG27-$AF27-$AE27*(1+DQ$3))/$AJ27,'Технический лист'!$A:$B,2,1)-VLOOKUP($AO27,'Технический лист'!$A:$B,2,1)),1+(1-$AU27))</f>
        <v>1.0150000000000001</v>
      </c>
      <c r="DR27" s="15">
        <f>MIN(IF($AU27=100%,1,1+VLOOKUP(($AJ27-$AI27-$AH27-$AG27-$AF27-$AE27*(1+DR$3))/$AJ27,'Технический лист'!$A:$B,2,1)-VLOOKUP($AO27,'Технический лист'!$A:$B,2,1)),1+(1-$AU27))</f>
        <v>1.0100000000000002</v>
      </c>
      <c r="DS27" s="15">
        <f>MIN(IF($AU27=100%,1,1+VLOOKUP(($AJ27-$AI27-$AH27-$AG27-$AF27-$AE27*(1+DS$3))/$AJ27,'Технический лист'!$A:$B,2,1)-VLOOKUP($AO27,'Технический лист'!$A:$B,2,1)),1+(1-$AU27))</f>
        <v>1.0100000000000002</v>
      </c>
      <c r="DT27" s="15">
        <f>MIN(IF($AU27=100%,1,1+VLOOKUP(($AJ27-$AI27-$AH27-$AG27-$AF27-$AE27*(1+DT$3))/$AJ27,'Технический лист'!$A:$B,2,1)-VLOOKUP($AO27,'Технический лист'!$A:$B,2,1)),1+(1-$AU27))</f>
        <v>1.0100000000000002</v>
      </c>
      <c r="DU27" s="15">
        <f>MIN(IF($AU27=100%,1,1+VLOOKUP(($AJ27-$AI27-$AH27-$AG27-$AF27-$AE27*(1+DU$3))/$AJ27,'Технический лист'!$A:$B,2,1)-VLOOKUP($AO27,'Технический лист'!$A:$B,2,1)),1+(1-$AU27))</f>
        <v>1.0100000000000002</v>
      </c>
      <c r="DV27" s="15">
        <f>MIN(IF($AU27=100%,1,1+VLOOKUP(($AJ27-$AI27-$AH27-$AG27-$AF27-$AE27*(1+DV$3))/$AJ27,'Технический лист'!$A:$B,2,1)-VLOOKUP($AO27,'Технический лист'!$A:$B,2,1)),1+(1-$AU27))</f>
        <v>1.0100000000000002</v>
      </c>
      <c r="DW27" s="15">
        <f>MIN(IF($AU27=100%,1,1+VLOOKUP(($AJ27-$AI27-$AH27-$AG27-$AF27-$AE27*(1+DW$3))/$AJ27,'Технический лист'!$A:$B,2,1)-VLOOKUP($AO27,'Технический лист'!$A:$B,2,1)),1+(1-$AU27))</f>
        <v>1.0100000000000002</v>
      </c>
      <c r="DX27" s="15">
        <f>MIN(IF($AU27=100%,1,1+VLOOKUP(($AJ27-$AI27-$AH27-$AG27-$AF27-$AE27*(1+DX$3))/$AJ27,'Технический лист'!$A:$B,2,1)-VLOOKUP($AO27,'Технический лист'!$A:$B,2,1)),1+(1-$AU27))</f>
        <v>1.0100000000000002</v>
      </c>
      <c r="DY27" s="15">
        <f>MIN(IF($AU27=100%,1,1+VLOOKUP(($AJ27-$AI27-$AH27-$AG27-$AF27-$AE27*(1+DY$3))/$AJ27,'Технический лист'!$A:$B,2,1)-VLOOKUP($AO27,'Технический лист'!$A:$B,2,1)),1+(1-$AU27))</f>
        <v>1.0100000000000002</v>
      </c>
      <c r="DZ27" s="15">
        <f>MIN(IF($AU27=100%,1,1+VLOOKUP(($AJ27-$AI27-$AH27-$AG27-$AF27-$AE27*(1+DZ$3))/$AJ27,'Технический лист'!$A:$B,2,1)-VLOOKUP($AO27,'Технический лист'!$A:$B,2,1)),1+(1-$AU27))</f>
        <v>1.0100000000000002</v>
      </c>
      <c r="EA27" s="15">
        <f>MIN(IF($AU27=100%,1,1+VLOOKUP(($AJ27-$AI27-$AH27-$AG27-$AF27-$AE27*(1+EA$3))/$AJ27,'Технический лист'!$A:$B,2,1)-VLOOKUP($AO27,'Технический лист'!$A:$B,2,1)),1+(1-$AU27))</f>
        <v>1.0100000000000002</v>
      </c>
      <c r="EB27" s="15">
        <f>MIN(IF($AU27=100%,1,1+VLOOKUP(($AJ27-$AI27-$AH27-$AG27-$AF27-$AE27*(1+EB$3))/$AJ27,'Технический лист'!$A:$B,2,1)-VLOOKUP($AO27,'Технический лист'!$A:$B,2,1)),1+(1-$AU27))</f>
        <v>1.0100000000000002</v>
      </c>
      <c r="EC27" s="15">
        <f>MIN(IF($AU27=100%,1,1+VLOOKUP(($AJ27-$AI27-$AH27-$AG27-$AF27-$AE27*(1+EC$3))/$AJ27,'Технический лист'!$A:$B,2,1)-VLOOKUP($AO27,'Технический лист'!$A:$B,2,1)),1+(1-$AU27))</f>
        <v>1.0049999999999999</v>
      </c>
      <c r="ED27" s="15">
        <f>MIN(IF($AU27=100%,1,1+VLOOKUP(($AJ27-$AI27-$AH27-$AG27-$AF27-$AE27*(1+ED$3))/$AJ27,'Технический лист'!$A:$B,2,1)-VLOOKUP($AO27,'Технический лист'!$A:$B,2,1)),1+(1-$AU27))</f>
        <v>1.0049999999999999</v>
      </c>
      <c r="EE27" s="15">
        <f>MIN(IF($AU27=100%,1,1+VLOOKUP(($AJ27-$AI27-$AH27-$AG27-$AF27-$AE27*(1+EE$3))/$AJ27,'Технический лист'!$A:$B,2,1)-VLOOKUP($AO27,'Технический лист'!$A:$B,2,1)),1+(1-$AU27))</f>
        <v>1.0049999999999999</v>
      </c>
      <c r="EF27" s="15">
        <f>MIN(IF($AU27=100%,1,1+VLOOKUP(($AJ27-$AI27-$AH27-$AG27-$AF27-$AE27*(1+EF$3))/$AJ27,'Технический лист'!$A:$B,2,1)-VLOOKUP($AO27,'Технический лист'!$A:$B,2,1)),1+(1-$AU27))</f>
        <v>1.0049999999999999</v>
      </c>
      <c r="EG27" s="15">
        <f>MIN(IF($AU27=100%,1,1+VLOOKUP(($AJ27-$AI27-$AH27-$AG27-$AF27-$AE27*(1+EG$3))/$AJ27,'Технический лист'!$A:$B,2,1)-VLOOKUP($AO27,'Технический лист'!$A:$B,2,1)),1+(1-$AU27))</f>
        <v>1.0049999999999999</v>
      </c>
      <c r="EH27" s="15">
        <f>MIN(IF($AU27=100%,1,1+VLOOKUP(($AJ27-$AI27-$AH27-$AG27-$AF27-$AE27*(1+EH$3))/$AJ27,'Технический лист'!$A:$B,2,1)-VLOOKUP($AO27,'Технический лист'!$A:$B,2,1)),1+(1-$AU27))</f>
        <v>1.0049999999999999</v>
      </c>
      <c r="EI27" s="15">
        <f>MIN(IF($AU27=100%,1,1+VLOOKUP(($AJ27-$AI27-$AH27-$AG27-$AF27-$AE27*(1+EI$3))/$AJ27,'Технический лист'!$A:$B,2,1)-VLOOKUP($AO27,'Технический лист'!$A:$B,2,1)),1+(1-$AU27))</f>
        <v>1.0049999999999999</v>
      </c>
      <c r="EJ27" s="15">
        <f>MIN(IF($AU27=100%,1,1+VLOOKUP(($AJ27-$AI27-$AH27-$AG27-$AF27-$AE27*(1+EJ$3))/$AJ27,'Технический лист'!$A:$B,2,1)-VLOOKUP($AO27,'Технический лист'!$A:$B,2,1)),1+(1-$AU27))</f>
        <v>1.0049999999999999</v>
      </c>
      <c r="EK27" s="15">
        <f>MIN(IF($AU27=100%,1,1+VLOOKUP(($AJ27-$AI27-$AH27-$AG27-$AF27-$AE27*(1+EK$3))/$AJ27,'Технический лист'!$A:$B,2,1)-VLOOKUP($AO27,'Технический лист'!$A:$B,2,1)),1+(1-$AU27))</f>
        <v>1.0049999999999999</v>
      </c>
      <c r="EL27" s="15">
        <f>MIN(IF($AU27=100%,1,1+VLOOKUP(($AJ27-$AI27-$AH27-$AG27-$AF27-$AE27*(1+EL$3))/$AJ27,'Технический лист'!$A:$B,2,1)-VLOOKUP($AO27,'Технический лист'!$A:$B,2,1)),1+(1-$AU27))</f>
        <v>1.0049999999999999</v>
      </c>
      <c r="EM27" s="15">
        <f>MIN(IF($AU27=100%,1,1+VLOOKUP(($AJ27-$AI27-$AH27-$AG27-$AF27-$AE27*(1+EM$3))/$AJ27,'Технический лист'!$A:$B,2,1)-VLOOKUP($AO27,'Технический лист'!$A:$B,2,1)),1+(1-$AU27))</f>
        <v>0.99999999999999989</v>
      </c>
      <c r="EN27" s="15">
        <f>MIN(IF($AU27=100%,1,1+VLOOKUP(($AJ27-$AI27-$AH27-$AG27-$AF27-$AE27*(1+EN$3))/$AJ27,'Технический лист'!$A:$B,2,1)-VLOOKUP($AO27,'Технический лист'!$A:$B,2,1)),1+(1-$AU27))</f>
        <v>0.99999999999999989</v>
      </c>
      <c r="EO27" s="15">
        <f>MIN(IF($AU27=100%,1,1+VLOOKUP(($AJ27-$AI27-$AH27-$AG27-$AF27-$AE27*(1+EO$3))/$AJ27,'Технический лист'!$A:$B,2,1)-VLOOKUP($AO27,'Технический лист'!$A:$B,2,1)),1+(1-$AU27))</f>
        <v>0.99999999999999989</v>
      </c>
      <c r="EP27" s="15">
        <f>MIN(IF($AU27=100%,1,1+VLOOKUP(($AJ27-$AI27-$AH27-$AG27-$AF27-$AE27*(1+EP$3))/$AJ27,'Технический лист'!$A:$B,2,1)-VLOOKUP($AO27,'Технический лист'!$A:$B,2,1)),1+(1-$AU27))</f>
        <v>0.99999999999999989</v>
      </c>
      <c r="EQ27" s="15">
        <f>MIN(IF($AU27=100%,1,1+VLOOKUP(($AJ27-$AI27-$AH27-$AG27-$AF27-$AE27*(1+EQ$3))/$AJ27,'Технический лист'!$A:$B,2,1)-VLOOKUP($AO27,'Технический лист'!$A:$B,2,1)),1+(1-$AU27))</f>
        <v>0.99999999999999989</v>
      </c>
      <c r="ER27" s="15">
        <f>MIN(IF($AU27=100%,1,1+VLOOKUP(($AJ27-$AI27-$AH27-$AG27-$AF27-$AE27*(1+ER$3))/$AJ27,'Технический лист'!$A:$B,2,1)-VLOOKUP($AO27,'Технический лист'!$A:$B,2,1)),1+(1-$AU27))</f>
        <v>0.99999999999999989</v>
      </c>
      <c r="ES27" s="15">
        <f>MIN(IF($AU27=100%,1,1+VLOOKUP(($AJ27-$AI27-$AH27-$AG27-$AF27-$AE27*(1+ES$3))/$AJ27,'Технический лист'!$A:$B,2,1)-VLOOKUP($AO27,'Технический лист'!$A:$B,2,1)),1+(1-$AU27))</f>
        <v>0.99999999999999989</v>
      </c>
      <c r="ET27" s="15">
        <f>MIN(IF($AU27=100%,1,1+VLOOKUP(($AJ27-$AI27-$AH27-$AG27-$AF27-$AE27*(1+ET$3))/$AJ27,'Технический лист'!$A:$B,2,1)-VLOOKUP($AO27,'Технический лист'!$A:$B,2,1)),1+(1-$AU27))</f>
        <v>0.99999999999999989</v>
      </c>
      <c r="EU27" s="15">
        <f>MIN(IF($AU27=100%,1,1+VLOOKUP(($AJ27-$AI27-$AH27-$AG27-$AF27-$AE27*(1+EU$3))/$AJ27,'Технический лист'!$A:$B,2,1)-VLOOKUP($AO27,'Технический лист'!$A:$B,2,1)),1+(1-$AU27))</f>
        <v>0.99999999999999989</v>
      </c>
      <c r="EV27" s="111">
        <v>1</v>
      </c>
      <c r="EW27" s="15">
        <f>MIN(1,MAX(VLOOKUP(($AJ27-$AI27-$AH27-$AG27-$AF27-$AE27*(1+EW$3))/$AJ27,'Технический лист'!$A:$B,2,1),(EV27-0.05)))</f>
        <v>0.96499999999999997</v>
      </c>
      <c r="EX27" s="15">
        <f>MIN(1,MAX(VLOOKUP(($AJ27-$AI27-$AH27-$AG27-$AF27-$AE27*(1+EX$3))/$AJ27,'Технический лист'!$A:$B,2,1),(EW27-0.05)))</f>
        <v>0.96</v>
      </c>
      <c r="EY27" s="15">
        <f>MIN(1,MAX(VLOOKUP(($AJ27-$AI27-$AH27-$AG27-$AF27-$AE27*(1+EY$3))/$AJ27,'Технический лист'!$A:$B,2,1),(EX27-0.05)))</f>
        <v>0.96</v>
      </c>
      <c r="EZ27" s="15">
        <f>MIN(1,MAX(VLOOKUP(($AJ27-$AI27-$AH27-$AG27-$AF27-$AE27*(1+EZ$3))/$AJ27,'Технический лист'!$A:$B,2,1),(EY27-0.05)))</f>
        <v>0.96</v>
      </c>
      <c r="FA27" s="15">
        <f>MIN(1,MAX(VLOOKUP(($AJ27-$AI27-$AH27-$AG27-$AF27-$AE27*(1+FA$3))/$AJ27,'Технический лист'!$A:$B,2,1),(EZ27-0.05)))</f>
        <v>0.96</v>
      </c>
      <c r="FB27" s="15">
        <f>MIN(1,MAX(VLOOKUP(($AJ27-$AI27-$AH27-$AG27-$AF27-$AE27*(1+FB$3))/$AJ27,'Технический лист'!$A:$B,2,1),(FA27-0.05)))</f>
        <v>0.96</v>
      </c>
      <c r="FC27" s="15">
        <f>MIN(1,MAX(VLOOKUP(($AJ27-$AI27-$AH27-$AG27-$AF27-$AE27*(1+FC$3))/$AJ27,'Технический лист'!$A:$B,2,1),(FB27-0.05)))</f>
        <v>0.96</v>
      </c>
      <c r="FD27" s="15">
        <f>MIN(1,MAX(VLOOKUP(($AJ27-$AI27-$AH27-$AG27-$AF27-$AE27*(1+FD$3))/$AJ27,'Технический лист'!$A:$B,2,1),(FC27-0.05)))</f>
        <v>0.96</v>
      </c>
      <c r="FE27" s="15">
        <f>MIN(1,MAX(VLOOKUP(($AJ27-$AI27-$AH27-$AG27-$AF27-$AE27*(1+FE$3))/$AJ27,'Технический лист'!$A:$B,2,1),(FD27-0.05)))</f>
        <v>0.96</v>
      </c>
      <c r="FF27" s="15">
        <f>MIN(1,MAX(VLOOKUP(($AJ27-$AI27-$AH27-$AG27-$AF27-$AE27*(1+FF$3))/$AJ27,'Технический лист'!$A:$B,2,1),(FE27-0.05)))</f>
        <v>0.96</v>
      </c>
      <c r="FG27" s="15">
        <f>MIN(1,MAX(VLOOKUP(($AJ27-$AI27-$AH27-$AG27-$AF27-$AE27*(1+FG$3))/$AJ27,'Технический лист'!$A:$B,2,1),(FF27-0.05)))</f>
        <v>0.96</v>
      </c>
      <c r="FH27" s="15">
        <f>MIN(1,MAX(VLOOKUP(($AJ27-$AI27-$AH27-$AG27-$AF27-$AE27*(1+FH$3))/$AJ27,'Технический лист'!$A:$B,2,1),(FG27-0.05)))</f>
        <v>0.96</v>
      </c>
      <c r="FI27" s="15">
        <f>MIN(1,MAX(VLOOKUP(($AJ27-$AI27-$AH27-$AG27-$AF27-$AE27*(1+FI$3))/$AJ27,'Технический лист'!$A:$B,2,1),(FH27-0.05)))</f>
        <v>0.95499999999999996</v>
      </c>
      <c r="FJ27" s="15">
        <f>MIN(1,MAX(VLOOKUP(($AJ27-$AI27-$AH27-$AG27-$AF27-$AE27*(1+FJ$3))/$AJ27,'Технический лист'!$A:$B,2,1),(FI27-0.05)))</f>
        <v>0.95499999999999996</v>
      </c>
      <c r="FK27" s="15">
        <f>MIN(1,MAX(VLOOKUP(($AJ27-$AI27-$AH27-$AG27-$AF27-$AE27*(1+FK$3))/$AJ27,'Технический лист'!$A:$B,2,1),(FJ27-0.05)))</f>
        <v>0.95499999999999996</v>
      </c>
      <c r="FL27" s="15">
        <f>MIN(1,MAX(VLOOKUP(($AJ27-$AI27-$AH27-$AG27-$AF27-$AE27*(1+FL$3))/$AJ27,'Технический лист'!$A:$B,2,1),(FK27-0.05)))</f>
        <v>0.95499999999999996</v>
      </c>
      <c r="FM27" s="15">
        <f>MIN(1,MAX(VLOOKUP(($AJ27-$AI27-$AH27-$AG27-$AF27-$AE27*(1+FM$3))/$AJ27,'Технический лист'!$A:$B,2,1),(FL27-0.05)))</f>
        <v>0.95499999999999996</v>
      </c>
      <c r="FN27" s="15">
        <f>MIN(1,MAX(VLOOKUP(($AJ27-$AI27-$AH27-$AG27-$AF27-$AE27*(1+FN$3))/$AJ27,'Технический лист'!$A:$B,2,1),(FM27-0.05)))</f>
        <v>0.95499999999999996</v>
      </c>
      <c r="FO27" s="15">
        <f>MIN(1,MAX(VLOOKUP(($AJ27-$AI27-$AH27-$AG27-$AF27-$AE27*(1+FO$3))/$AJ27,'Технический лист'!$A:$B,2,1),(FN27-0.05)))</f>
        <v>0.95499999999999996</v>
      </c>
      <c r="FP27" s="15">
        <f>MIN(1,MAX(VLOOKUP(($AJ27-$AI27-$AH27-$AG27-$AF27-$AE27*(1+FP$3))/$AJ27,'Технический лист'!$A:$B,2,1),(FO27-0.05)))</f>
        <v>0.95499999999999996</v>
      </c>
      <c r="FQ27" s="15">
        <f>MIN(1,MAX(VLOOKUP(($AJ27-$AI27-$AH27-$AG27-$AF27-$AE27*(1+FQ$3))/$AJ27,'Технический лист'!$A:$B,2,1),(FP27-0.05)))</f>
        <v>0.95499999999999996</v>
      </c>
      <c r="FR27" s="15">
        <f>MIN(1,MAX(VLOOKUP(($AJ27-$AI27-$AH27-$AG27-$AF27-$AE27*(1+FR$3))/$AJ27,'Технический лист'!$A:$B,2,1),(FQ27-0.05)))</f>
        <v>0.95499999999999996</v>
      </c>
      <c r="FS27" s="15">
        <f>MIN(1,MAX(VLOOKUP(($AJ27-$AI27-$AH27-$AG27-$AF27-$AE27*(1+FS$3))/$AJ27,'Технический лист'!$A:$B,2,1),(FR27-0.05)))</f>
        <v>0.95</v>
      </c>
      <c r="FT27" s="15">
        <f>MIN(1,MAX(VLOOKUP(($AJ27-$AI27-$AH27-$AG27-$AF27-$AE27*(1+FT$3))/$AJ27,'Технический лист'!$A:$B,2,1),(FS27-0.05)))</f>
        <v>0.95</v>
      </c>
      <c r="FU27" s="15">
        <f>MIN(1,MAX(VLOOKUP(($AJ27-$AI27-$AH27-$AG27-$AF27-$AE27*(1+FU$3))/$AJ27,'Технический лист'!$A:$B,2,1),(FT27-0.05)))</f>
        <v>0.95</v>
      </c>
      <c r="FV27" s="15">
        <f>MIN(1,MAX(VLOOKUP(($AJ27-$AI27-$AH27-$AG27-$AF27-$AE27*(1+FV$3))/$AJ27,'Технический лист'!$A:$B,2,1),(FU27-0.05)))</f>
        <v>0.95</v>
      </c>
      <c r="FW27" s="15">
        <f>MIN(1,MAX(VLOOKUP(($AJ27-$AI27-$AH27-$AG27-$AF27-$AE27*(1+FW$3))/$AJ27,'Технический лист'!$A:$B,2,1),(FV27-0.05)))</f>
        <v>0.95</v>
      </c>
      <c r="FX27" s="15">
        <f>MIN(1,MAX(VLOOKUP(($AJ27-$AI27-$AH27-$AG27-$AF27-$AE27*(1+FX$3))/$AJ27,'Технический лист'!$A:$B,2,1),(FW27-0.05)))</f>
        <v>0.95</v>
      </c>
      <c r="FY27" s="15">
        <f>MIN(1,MAX(VLOOKUP(($AJ27-$AI27-$AH27-$AG27-$AF27-$AE27*(1+FY$3))/$AJ27,'Технический лист'!$A:$B,2,1),(FX27-0.05)))</f>
        <v>0.95</v>
      </c>
      <c r="FZ27" s="15">
        <f>MIN(1,MAX(VLOOKUP(($AJ27-$AI27-$AH27-$AG27-$AF27-$AE27*(1+FZ$3))/$AJ27,'Технический лист'!$A:$B,2,1),(FY27-0.05)))</f>
        <v>0.95</v>
      </c>
      <c r="GA27" s="15">
        <f>MIN(1,MAX(VLOOKUP(($AJ27-$AI27-$AH27-$AG27-$AF27-$AE27*(1+GA$3))/$AJ27,'Технический лист'!$A:$B,2,1),(FZ27-0.05)))</f>
        <v>0.95</v>
      </c>
      <c r="GB27" s="15">
        <f>MIN(1,MAX(VLOOKUP(($AJ27-$AI27-$AH27-$AG27-$AF27-$AE27*(1+GB$3))/$AJ27,'Технический лист'!$A:$B,2,1),(GA27-0.05)))</f>
        <v>0.95</v>
      </c>
      <c r="GC27" s="15">
        <f>MIN(1,MAX(VLOOKUP(($AJ27-$AI27-$AH27-$AG27-$AF27-$AE27*(1+GC$3))/$AJ27,'Технический лист'!$A:$B,2,1),(GB27-0.05)))</f>
        <v>0.95</v>
      </c>
      <c r="GD27" s="15">
        <f>MIN(1,MAX(VLOOKUP(($AJ27-$AI27-$AH27-$AG27-$AF27-$AE27*(1+GD$3))/$AJ27,'Технический лист'!$A:$B,2,1),(GC27-0.05)))</f>
        <v>0.94499999999999995</v>
      </c>
      <c r="GE27" s="15">
        <f>MIN(1,MAX(VLOOKUP(($AJ27-$AI27-$AH27-$AG27-$AF27-$AE27*(1+GE$3))/$AJ27,'Технический лист'!$A:$B,2,1),(GD27-0.05)))</f>
        <v>0.94499999999999995</v>
      </c>
      <c r="GF27" s="15">
        <f>MIN(1,MAX(VLOOKUP(($AJ27-$AI27-$AH27-$AG27-$AF27-$AE27*(1+GF$3))/$AJ27,'Технический лист'!$A:$B,2,1),(GE27-0.05)))</f>
        <v>0.94499999999999995</v>
      </c>
      <c r="GG27" s="15">
        <f>MIN(1,MAX(VLOOKUP(($AJ27-$AI27-$AH27-$AG27-$AF27-$AE27*(1+GG$3))/$AJ27,'Технический лист'!$A:$B,2,1),(GF27-0.05)))</f>
        <v>0.94499999999999995</v>
      </c>
      <c r="GH27" s="15">
        <f>MIN(1,MAX(VLOOKUP(($AJ27-$AI27-$AH27-$AG27-$AF27-$AE27*(1+GH$3))/$AJ27,'Технический лист'!$A:$B,2,1),(GG27-0.05)))</f>
        <v>0.94499999999999995</v>
      </c>
      <c r="GI27" s="15">
        <f>MIN(1,MAX(VLOOKUP(($AJ27-$AI27-$AH27-$AG27-$AF27-$AE27*(1+GI$3))/$AJ27,'Технический лист'!$A:$B,2,1),(GH27-0.05)))</f>
        <v>0.94499999999999995</v>
      </c>
      <c r="GJ27" s="15">
        <f>MIN(1,MAX(VLOOKUP(($AJ27-$AI27-$AH27-$AG27-$AF27-$AE27*(1+GJ$3))/$AJ27,'Технический лист'!$A:$B,2,1),(GI27-0.05)))</f>
        <v>0.94499999999999995</v>
      </c>
      <c r="GK27" s="15">
        <f>MIN(1,MAX(VLOOKUP(($AJ27-$AI27-$AH27-$AG27-$AF27-$AE27*(1+GK$3))/$AJ27,'Технический лист'!$A:$B,2,1),(GJ27-0.05)))</f>
        <v>0.94499999999999995</v>
      </c>
      <c r="GL27" s="15">
        <f>MIN(1,MAX(VLOOKUP(($AJ27-$AI27-$AH27-$AG27-$AF27-$AE27*(1+GL$3))/$AJ27,'Технический лист'!$A:$B,2,1),(GK27-0.05)))</f>
        <v>0.94499999999999995</v>
      </c>
      <c r="GM27" s="15">
        <f>MIN(1,MAX(VLOOKUP(($AJ27-$AI27-$AH27-$AG27-$AF27-$AE27*(1+GM$3))/$AJ27,'Технический лист'!$A:$B,2,1),(GL27-0.05)))</f>
        <v>0.94499999999999995</v>
      </c>
      <c r="GN27" s="15">
        <f>MIN(1,MAX(VLOOKUP(($AJ27-$AI27-$AH27-$AG27-$AF27-$AE27*(1+GN$3))/$AJ27,'Технический лист'!$A:$B,2,1),(GM27-0.05)))</f>
        <v>0.94499999999999995</v>
      </c>
      <c r="GO27" s="15">
        <f>MIN(1,MAX(VLOOKUP(($AJ27-$AI27-$AH27-$AG27-$AF27-$AE27*(1+GO$3))/$AJ27,'Технический лист'!$A:$B,2,1),(GN27-0.05)))</f>
        <v>0.94</v>
      </c>
      <c r="GP27" s="15">
        <f>MIN(1,MAX(VLOOKUP(($AJ27-$AI27-$AH27-$AG27-$AF27-$AE27*(1+GP$3))/$AJ27,'Технический лист'!$A:$B,2,1),(GO27-0.05)))</f>
        <v>0.94</v>
      </c>
      <c r="GQ27" s="15">
        <f>MIN(1,MAX(VLOOKUP(($AJ27-$AI27-$AH27-$AG27-$AF27-$AE27*(1+GQ$3))/$AJ27,'Технический лист'!$A:$B,2,1),(GP27-0.05)))</f>
        <v>0.94</v>
      </c>
      <c r="GR27" s="15">
        <f>MIN(1,MAX(VLOOKUP(($AJ27-$AI27-$AH27-$AG27-$AF27-$AE27*(1+GR$3))/$AJ27,'Технический лист'!$A:$B,2,1),(GQ27-0.05)))</f>
        <v>0.94</v>
      </c>
      <c r="GS27" s="15">
        <f>MIN(1,MAX(VLOOKUP(($AJ27-$AI27-$AH27-$AG27-$AF27-$AE27*(1+GS$3))/$AJ27,'Технический лист'!$A:$B,2,1),(GR27-0.05)))</f>
        <v>0.94</v>
      </c>
      <c r="GT27" s="15">
        <f>MIN(1,MAX(VLOOKUP(($AJ27-$AI27-$AH27-$AG27-$AF27-$AE27*(1+GT$3))/$AJ27,'Технический лист'!$A:$B,2,1),(GS27-0.05)))</f>
        <v>0.94</v>
      </c>
      <c r="GU27" s="15">
        <f>MIN(1,MAX(VLOOKUP(($AJ27-$AI27-$AH27-$AG27-$AF27-$AE27*(1+GU$3))/$AJ27,'Технический лист'!$A:$B,2,1),(GT27-0.05)))</f>
        <v>0.94</v>
      </c>
      <c r="GV27" s="15">
        <f>MIN(1,MAX(VLOOKUP(($AJ27-$AI27-$AH27-$AG27-$AF27-$AE27*(1+GV$3))/$AJ27,'Технический лист'!$A:$B,2,1),(GU27-0.05)))</f>
        <v>0.94</v>
      </c>
      <c r="GW27" s="15">
        <f>MIN(1,MAX(VLOOKUP(($AJ27-$AI27-$AH27-$AG27-$AF27-$AE27*(1+GW$3))/$AJ27,'Технический лист'!$A:$B,2,1),(GV27-0.05)))</f>
        <v>0.94</v>
      </c>
      <c r="GX27" s="15">
        <f>MIN(1,MAX(VLOOKUP(($AJ27-$AI27-$AH27-$AG27-$AF27-$AE27*(1+GX$3))/$AJ27,'Технический лист'!$A:$B,2,1),(GW27-0.05)))</f>
        <v>0.94</v>
      </c>
      <c r="GY27" s="15">
        <f>MIN(1,MAX(VLOOKUP(($AJ27-$AI27-$AH27-$AG27-$AF27-$AE27*(1+GY$3))/$AJ27,'Технический лист'!$A:$B,2,1),(GX27-0.05)))</f>
        <v>0.93500000000000005</v>
      </c>
      <c r="GZ27" s="15">
        <f>MIN(1,MAX(VLOOKUP(($AJ27-$AI27-$AH27-$AG27-$AF27-$AE27*(1+GZ$3))/$AJ27,'Технический лист'!$A:$B,2,1),(GY27-0.05)))</f>
        <v>0.93500000000000005</v>
      </c>
      <c r="HA27" s="15">
        <f>MIN(1,MAX(VLOOKUP(($AJ27-$AI27-$AH27-$AG27-$AF27-$AE27*(1+HA$3))/$AJ27,'Технический лист'!$A:$B,2,1),(GZ27-0.05)))</f>
        <v>0.93500000000000005</v>
      </c>
      <c r="HB27" s="15">
        <f>MIN(1,MAX(VLOOKUP(($AJ27-$AI27-$AH27-$AG27-$AF27-$AE27*(1+HB$3))/$AJ27,'Технический лист'!$A:$B,2,1),(HA27-0.05)))</f>
        <v>0.93500000000000005</v>
      </c>
      <c r="HC27" s="15">
        <f>MIN(1,MAX(VLOOKUP(($AJ27-$AI27-$AH27-$AG27-$AF27-$AE27*(1+HC$3))/$AJ27,'Технический лист'!$A:$B,2,1),(HB27-0.05)))</f>
        <v>0.93500000000000005</v>
      </c>
      <c r="HD27" s="15">
        <f>MIN(1,MAX(VLOOKUP(($AJ27-$AI27-$AH27-$AG27-$AF27-$AE27*(1+HD$3))/$AJ27,'Технический лист'!$A:$B,2,1),(HC27-0.05)))</f>
        <v>0.93500000000000005</v>
      </c>
      <c r="HE27" s="15">
        <f>MIN(1,MAX(VLOOKUP(($AJ27-$AI27-$AH27-$AG27-$AF27-$AE27*(1+HE$3))/$AJ27,'Технический лист'!$A:$B,2,1),(HD27-0.05)))</f>
        <v>0.93500000000000005</v>
      </c>
      <c r="HF27" s="15">
        <f>MIN(1,MAX(VLOOKUP(($AJ27-$AI27-$AH27-$AG27-$AF27-$AE27*(1+HF$3))/$AJ27,'Технический лист'!$A:$B,2,1),(HE27-0.05)))</f>
        <v>0.93500000000000005</v>
      </c>
      <c r="HG27" s="15">
        <f>MIN(1,MAX(VLOOKUP(($AJ27-$AI27-$AH27-$AG27-$AF27-$AE27*(1+HG$3))/$AJ27,'Технический лист'!$A:$B,2,1),(HF27-0.05)))</f>
        <v>0.93500000000000005</v>
      </c>
      <c r="HH27" s="15">
        <f>MIN(1,MAX(VLOOKUP(($AJ27-$AI27-$AH27-$AG27-$AF27-$AE27*(1+HH$3))/$AJ27,'Технический лист'!$A:$B,2,1),(HG27-0.05)))</f>
        <v>0.93500000000000005</v>
      </c>
      <c r="HI27" s="15">
        <f>MIN(1,MAX(VLOOKUP(($AJ27-$AI27-$AH27-$AG27-$AF27-$AE27*(1+HI$3))/$AJ27,'Технический лист'!$A:$B,2,1),(HH27-0.05)))</f>
        <v>0.93500000000000005</v>
      </c>
      <c r="HJ27" s="15">
        <f>MIN(1,MAX(VLOOKUP(($AJ27-$AI27-$AH27-$AG27-$AF27-$AE27*(1+HJ$3))/$AJ27,'Технический лист'!$A:$B,2,1),(HI27-0.05)))</f>
        <v>0.93</v>
      </c>
      <c r="HK27" s="15">
        <f>MIN(1,MAX(VLOOKUP(($AJ27-$AI27-$AH27-$AG27-$AF27-$AE27*(1+HK$3))/$AJ27,'Технический лист'!$A:$B,2,1),(HJ27-0.05)))</f>
        <v>0.93</v>
      </c>
      <c r="HL27" s="15">
        <f>MIN(1,MAX(VLOOKUP(($AJ27-$AI27-$AH27-$AG27-$AF27-$AE27*(1+HL$3))/$AJ27,'Технический лист'!$A:$B,2,1),(HK27-0.05)))</f>
        <v>0.93</v>
      </c>
      <c r="HM27" s="15">
        <f>MIN(1,MAX(VLOOKUP(($AJ27-$AI27-$AH27-$AG27-$AF27-$AE27*(1+HM$3))/$AJ27,'Технический лист'!$A:$B,2,1),(HL27-0.05)))</f>
        <v>0.93</v>
      </c>
      <c r="HN27" s="15">
        <f>MIN(1,MAX(VLOOKUP(($AJ27-$AI27-$AH27-$AG27-$AF27-$AE27*(1+HN$3))/$AJ27,'Технический лист'!$A:$B,2,1),(HM27-0.05)))</f>
        <v>0.93</v>
      </c>
      <c r="HO27" s="15">
        <f>MIN(1,MAX(VLOOKUP(($AJ27-$AI27-$AH27-$AG27-$AF27-$AE27*(1+HO$3))/$AJ27,'Технический лист'!$A:$B,2,1),(HN27-0.05)))</f>
        <v>0.93</v>
      </c>
      <c r="HP27" s="15">
        <f>MIN(1,MAX(VLOOKUP(($AJ27-$AI27-$AH27-$AG27-$AF27-$AE27*(1+HP$3))/$AJ27,'Технический лист'!$A:$B,2,1),(HO27-0.05)))</f>
        <v>0.93</v>
      </c>
      <c r="HQ27" s="15">
        <f>MIN(1,MAX(VLOOKUP(($AJ27-$AI27-$AH27-$AG27-$AF27-$AE27*(1+HQ$3))/$AJ27,'Технический лист'!$A:$B,2,1),(HP27-0.05)))</f>
        <v>0.93</v>
      </c>
      <c r="HR27" s="15">
        <f>MIN(1,MAX(VLOOKUP(($AJ27-$AI27-$AH27-$AG27-$AF27-$AE27*(1+HR$3))/$AJ27,'Технический лист'!$A:$B,2,1),(HQ27-0.05)))</f>
        <v>0.93</v>
      </c>
      <c r="HS27" s="15">
        <f>MIN(1,MAX(VLOOKUP(($AJ27-$AI27-$AH27-$AG27-$AF27-$AE27*(1+HS$3))/$AJ27,'Технический лист'!$A:$B,2,1),(HR27-0.05)))</f>
        <v>0.93</v>
      </c>
      <c r="HT27" s="15">
        <f>MIN(1,MAX(VLOOKUP(($AJ27-$AI27-$AH27-$AG27-$AF27-$AE27*(1+HT$3))/$AJ27,'Технический лист'!$A:$B,2,1),(HS27-0.05)))</f>
        <v>0.92500000000000004</v>
      </c>
      <c r="HU27" s="15">
        <f>MIN(1,MAX(VLOOKUP(($AJ27-$AI27-$AH27-$AG27-$AF27-$AE27*(1+HU$3))/$AJ27,'Технический лист'!$A:$B,2,1),(HT27-0.05)))</f>
        <v>0.92500000000000004</v>
      </c>
      <c r="HV27" s="15">
        <f>MIN(1,MAX(VLOOKUP(($AJ27-$AI27-$AH27-$AG27-$AF27-$AE27*(1+HV$3))/$AJ27,'Технический лист'!$A:$B,2,1),(HU27-0.05)))</f>
        <v>0.92500000000000004</v>
      </c>
      <c r="HW27" s="15">
        <f>MIN(1,MAX(VLOOKUP(($AJ27-$AI27-$AH27-$AG27-$AF27-$AE27*(1+HW$3))/$AJ27,'Технический лист'!$A:$B,2,1),(HV27-0.05)))</f>
        <v>0.92500000000000004</v>
      </c>
      <c r="HX27" s="15">
        <f>MIN(1,MAX(VLOOKUP(($AJ27-$AI27-$AH27-$AG27-$AF27-$AE27*(1+HX$3))/$AJ27,'Технический лист'!$A:$B,2,1),(HW27-0.05)))</f>
        <v>0.92500000000000004</v>
      </c>
      <c r="HY27" s="15">
        <f>MIN(1,MAX(VLOOKUP(($AJ27-$AI27-$AH27-$AG27-$AF27-$AE27*(1+HY$3))/$AJ27,'Технический лист'!$A:$B,2,1),(HX27-0.05)))</f>
        <v>0.92500000000000004</v>
      </c>
      <c r="HZ27" s="15">
        <f>MIN(1,MAX(VLOOKUP(($AJ27-$AI27-$AH27-$AG27-$AF27-$AE27*(1+HZ$3))/$AJ27,'Технический лист'!$A:$B,2,1),(HY27-0.05)))</f>
        <v>0.92500000000000004</v>
      </c>
      <c r="IA27" s="15">
        <f>MIN(1,MAX(VLOOKUP(($AJ27-$AI27-$AH27-$AG27-$AF27-$AE27*(1+IA$3))/$AJ27,'Технический лист'!$A:$B,2,1),(HZ27-0.05)))</f>
        <v>0.92500000000000004</v>
      </c>
      <c r="IB27" s="15">
        <f>MIN(1,MAX(VLOOKUP(($AJ27-$AI27-$AH27-$AG27-$AF27-$AE27*(1+IB$3))/$AJ27,'Технический лист'!$A:$B,2,1),(IA27-0.05)))</f>
        <v>0.92500000000000004</v>
      </c>
      <c r="IC27" s="15">
        <f>MIN(1,MAX(VLOOKUP(($AJ27-$AI27-$AH27-$AG27-$AF27-$AE27*(1+IC$3))/$AJ27,'Технический лист'!$A:$B,2,1),(IB27-0.05)))</f>
        <v>0.92500000000000004</v>
      </c>
      <c r="ID27" s="15">
        <f>MIN(1,MAX(VLOOKUP(($AJ27-$AI27-$AH27-$AG27-$AF27-$AE27*(1+ID$3))/$AJ27,'Технический лист'!$A:$B,2,1),(IC27-0.05)))</f>
        <v>0.92500000000000004</v>
      </c>
      <c r="IE27" s="15">
        <f>MIN(1,MAX(VLOOKUP(($AJ27-$AI27-$AH27-$AG27-$AF27-$AE27*(1+IE$3))/$AJ27,'Технический лист'!$A:$B,2,1),(ID27-0.05)))</f>
        <v>0.92</v>
      </c>
      <c r="IF27" s="15">
        <f>MIN(1,MAX(VLOOKUP(($AJ27-$AI27-$AH27-$AG27-$AF27-$AE27*(1+IF$3))/$AJ27,'Технический лист'!$A:$B,2,1),(IE27-0.05)))</f>
        <v>0.92</v>
      </c>
      <c r="IG27" s="15">
        <f>MIN(1,MAX(VLOOKUP(($AJ27-$AI27-$AH27-$AG27-$AF27-$AE27*(1+IG$3))/$AJ27,'Технический лист'!$A:$B,2,1),(IF27-0.05)))</f>
        <v>0.92</v>
      </c>
      <c r="IH27" s="15">
        <f>MIN(1,MAX(VLOOKUP(($AJ27-$AI27-$AH27-$AG27-$AF27-$AE27*(1+IH$3))/$AJ27,'Технический лист'!$A:$B,2,1),(IG27-0.05)))</f>
        <v>0.92</v>
      </c>
      <c r="II27" s="15">
        <f>MIN(1,MAX(VLOOKUP(($AJ27-$AI27-$AH27-$AG27-$AF27-$AE27*(1+II$3))/$AJ27,'Технический лист'!$A:$B,2,1),(IH27-0.05)))</f>
        <v>0.92</v>
      </c>
      <c r="IJ27" s="15">
        <f>MIN(1,MAX(VLOOKUP(($AJ27-$AI27-$AH27-$AG27-$AF27-$AE27*(1+IJ$3))/$AJ27,'Технический лист'!$A:$B,2,1),(II27-0.05)))</f>
        <v>0.92</v>
      </c>
      <c r="IK27" s="15">
        <f>MIN(1,MAX(VLOOKUP(($AJ27-$AI27-$AH27-$AG27-$AF27-$AE27*(1+IK$3))/$AJ27,'Технический лист'!$A:$B,2,1),(IJ27-0.05)))</f>
        <v>0.92</v>
      </c>
      <c r="IL27" s="15">
        <f>MIN(1,MAX(VLOOKUP(($AJ27-$AI27-$AH27-$AG27-$AF27-$AE27*(1+IL$3))/$AJ27,'Технический лист'!$A:$B,2,1),(IK27-0.05)))</f>
        <v>0.92</v>
      </c>
      <c r="IM27" s="15">
        <f>MIN(1,MAX(VLOOKUP(($AJ27-$AI27-$AH27-$AG27-$AF27-$AE27*(1+IM$3))/$AJ27,'Технический лист'!$A:$B,2,1),(IL27-0.05)))</f>
        <v>0.92</v>
      </c>
      <c r="IN27" s="15">
        <f>MIN(1,MAX(VLOOKUP(($AJ27-$AI27-$AH27-$AG27-$AF27-$AE27*(1+IN$3))/$AJ27,'Технический лист'!$A:$B,2,1),(IM27-0.05)))</f>
        <v>0.92</v>
      </c>
      <c r="IO27" s="15">
        <f>MIN(1,MAX(VLOOKUP(($AJ27-$AI27-$AH27-$AG27-$AF27-$AE27*(1+IO$3))/$AJ27,'Технический лист'!$A:$B,2,1),(IN27-0.05)))</f>
        <v>0.92</v>
      </c>
      <c r="IP27" s="15">
        <f>MIN(1,MAX(VLOOKUP(($AJ27-$AI27-$AH27-$AG27-$AF27-$AE27*(1+IP$3))/$AJ27,'Технический лист'!$A:$B,2,1),(IO27-0.05)))</f>
        <v>0.91400000000000003</v>
      </c>
      <c r="IQ27" s="15">
        <f>MIN(1,MAX(VLOOKUP(($AJ27-$AI27-$AH27-$AG27-$AF27-$AE27*(1+IQ$3))/$AJ27,'Технический лист'!$A:$B,2,1),(IP27-0.05)))</f>
        <v>0.91400000000000003</v>
      </c>
      <c r="IR27" s="15">
        <f>MIN(1,MAX(VLOOKUP(($AJ27-$AI27-$AH27-$AG27-$AF27-$AE27*(1+IR$3))/$AJ27,'Технический лист'!$A:$B,2,1),(IQ27-0.05)))</f>
        <v>0.91400000000000003</v>
      </c>
    </row>
    <row r="28" spans="1:252" ht="45" customHeight="1">
      <c r="A28" s="89" t="s">
        <v>514</v>
      </c>
      <c r="B28" s="90">
        <v>2</v>
      </c>
      <c r="C28" s="5" t="s">
        <v>65</v>
      </c>
      <c r="D28" s="91">
        <v>17110</v>
      </c>
      <c r="E28" s="91" t="s">
        <v>322</v>
      </c>
      <c r="F28" s="92" t="s">
        <v>69</v>
      </c>
      <c r="G28" s="91" t="s">
        <v>31</v>
      </c>
      <c r="H28" s="91" t="s">
        <v>31</v>
      </c>
      <c r="I28" s="91" t="s">
        <v>102</v>
      </c>
      <c r="J28" s="91" t="s">
        <v>103</v>
      </c>
      <c r="K28" s="91">
        <v>408</v>
      </c>
      <c r="L28" s="85" t="s">
        <v>64</v>
      </c>
      <c r="M28" s="91" t="s">
        <v>190</v>
      </c>
      <c r="N28" s="91" t="s">
        <v>191</v>
      </c>
      <c r="O28" s="91" t="s">
        <v>192</v>
      </c>
      <c r="P28" s="89" t="s">
        <v>207</v>
      </c>
      <c r="Q28" s="91" t="s">
        <v>270</v>
      </c>
      <c r="R28" s="91" t="s">
        <v>256</v>
      </c>
      <c r="S28" s="82">
        <v>30134</v>
      </c>
      <c r="T28" s="82">
        <v>12294564</v>
      </c>
      <c r="U28" s="81">
        <v>522</v>
      </c>
      <c r="V28" s="81">
        <v>0</v>
      </c>
      <c r="W28" s="82">
        <v>17644584</v>
      </c>
      <c r="X28" s="112">
        <v>58</v>
      </c>
      <c r="Y28" s="112" t="s">
        <v>416</v>
      </c>
      <c r="Z28" s="113">
        <v>5</v>
      </c>
      <c r="AA28" s="113">
        <v>4</v>
      </c>
      <c r="AB28" s="113">
        <v>4</v>
      </c>
      <c r="AC28" s="99">
        <v>639.84</v>
      </c>
      <c r="AD28" s="99">
        <f t="shared" si="1"/>
        <v>176.38</v>
      </c>
      <c r="AE28" s="99">
        <v>816.22</v>
      </c>
      <c r="AF28" s="98">
        <f>(Z28+AA28+AB28)*'Ставки аренды'!$B$3/X28</f>
        <v>156.89655172413794</v>
      </c>
      <c r="AG28" s="114">
        <v>0</v>
      </c>
      <c r="AH28" s="94">
        <v>0</v>
      </c>
      <c r="AI28" s="116">
        <f>429559973/511416159*AVERAGE(AJ28,AJ29)</f>
        <v>13773.051082443957</v>
      </c>
      <c r="AJ28" s="117">
        <f>Цены!$D$9</f>
        <v>17000</v>
      </c>
      <c r="AK28" s="94">
        <f>AJ28/Цены!$B$1</f>
        <v>222.7886587467483</v>
      </c>
      <c r="AL28" s="95">
        <f t="shared" si="5"/>
        <v>973.11655172413793</v>
      </c>
      <c r="AM28" s="95">
        <f t="shared" si="6"/>
        <v>16026.883448275861</v>
      </c>
      <c r="AN28" s="94">
        <f t="shared" si="2"/>
        <v>14746.167634168094</v>
      </c>
      <c r="AO28" s="118">
        <f t="shared" si="3"/>
        <v>0.13257837446070034</v>
      </c>
      <c r="AP28" s="96">
        <f t="shared" si="7"/>
        <v>5.7242150101419878E-2</v>
      </c>
      <c r="AQ28" s="96">
        <f t="shared" si="8"/>
        <v>4.8012941176470592E-2</v>
      </c>
      <c r="AR28" s="96">
        <f t="shared" si="9"/>
        <v>0.83876900311051805</v>
      </c>
      <c r="AS28" s="122">
        <v>1</v>
      </c>
      <c r="AT28" s="121">
        <f t="shared" si="10"/>
        <v>30134</v>
      </c>
      <c r="AU28" s="83">
        <v>0.7</v>
      </c>
      <c r="AV28" s="119">
        <f t="shared" si="11"/>
        <v>0.12681682151952384</v>
      </c>
      <c r="AW28" s="120">
        <f t="shared" si="12"/>
        <v>6.3003703042596351E-2</v>
      </c>
      <c r="AX28" s="120">
        <f t="shared" si="13"/>
        <v>5.3774494117647065E-2</v>
      </c>
      <c r="AY28" s="120">
        <f t="shared" si="14"/>
        <v>0.85351323050472938</v>
      </c>
      <c r="AZ28" s="15">
        <f>MIN(IF($AU28=100%,1,1+VLOOKUP(($AJ28-$AI28-$AH28-$AG28-$AF28-$AE28*(1+AZ$3))/$AJ28,'Технический лист'!$A:$B,2,1)-VLOOKUP($AO28,'Технический лист'!$A:$B,2,1)),1+(1-$AU28))</f>
        <v>1.01</v>
      </c>
      <c r="BA28" s="15">
        <f>MIN(IF($AU28=100%,1,1+VLOOKUP(($AJ28-$AI28-$AH28-$AG28-$AF28-$AE28*(1+BA$3))/$AJ28,'Технический лист'!$A:$B,2,1)-VLOOKUP($AO28,'Технический лист'!$A:$B,2,1)),1+(1-$AU28))</f>
        <v>1.01</v>
      </c>
      <c r="BB28" s="15">
        <f>MIN(IF($AU28=100%,1,1+VLOOKUP(($AJ28-$AI28-$AH28-$AG28-$AF28-$AE28*(1+BB$3))/$AJ28,'Технический лист'!$A:$B,2,1)-VLOOKUP($AO28,'Технический лист'!$A:$B,2,1)),1+(1-$AU28))</f>
        <v>1.01</v>
      </c>
      <c r="BC28" s="15">
        <f>MIN(IF($AU28=100%,1,1+VLOOKUP(($AJ28-$AI28-$AH28-$AG28-$AF28-$AE28*(1+BC$3))/$AJ28,'Технический лист'!$A:$B,2,1)-VLOOKUP($AO28,'Технический лист'!$A:$B,2,1)),1+(1-$AU28))</f>
        <v>1.01</v>
      </c>
      <c r="BD28" s="15">
        <f>MIN(IF($AU28=100%,1,1+VLOOKUP(($AJ28-$AI28-$AH28-$AG28-$AF28-$AE28*(1+BD$3))/$AJ28,'Технический лист'!$A:$B,2,1)-VLOOKUP($AO28,'Технический лист'!$A:$B,2,1)),1+(1-$AU28))</f>
        <v>1.01</v>
      </c>
      <c r="BE28" s="15">
        <f>MIN(IF($AU28=100%,1,1+VLOOKUP(($AJ28-$AI28-$AH28-$AG28-$AF28-$AE28*(1+BE$3))/$AJ28,'Технический лист'!$A:$B,2,1)-VLOOKUP($AO28,'Технический лист'!$A:$B,2,1)),1+(1-$AU28))</f>
        <v>1.01</v>
      </c>
      <c r="BF28" s="15">
        <f>MIN(IF($AU28=100%,1,1+VLOOKUP(($AJ28-$AI28-$AH28-$AG28-$AF28-$AE28*(1+BF$3))/$AJ28,'Технический лист'!$A:$B,2,1)-VLOOKUP($AO28,'Технический лист'!$A:$B,2,1)),1+(1-$AU28))</f>
        <v>1.01</v>
      </c>
      <c r="BG28" s="15">
        <f>MIN(IF($AU28=100%,1,1+VLOOKUP(($AJ28-$AI28-$AH28-$AG28-$AF28-$AE28*(1+BG$3))/$AJ28,'Технический лист'!$A:$B,2,1)-VLOOKUP($AO28,'Технический лист'!$A:$B,2,1)),1+(1-$AU28))</f>
        <v>1.01</v>
      </c>
      <c r="BH28" s="15">
        <f>MIN(IF($AU28=100%,1,1+VLOOKUP(($AJ28-$AI28-$AH28-$AG28-$AF28-$AE28*(1+BH$3))/$AJ28,'Технический лист'!$A:$B,2,1)-VLOOKUP($AO28,'Технический лист'!$A:$B,2,1)),1+(1-$AU28))</f>
        <v>1.01</v>
      </c>
      <c r="BI28" s="15">
        <f>MIN(IF($AU28=100%,1,1+VLOOKUP(($AJ28-$AI28-$AH28-$AG28-$AF28-$AE28*(1+BI$3))/$AJ28,'Технический лист'!$A:$B,2,1)-VLOOKUP($AO28,'Технический лист'!$A:$B,2,1)),1+(1-$AU28))</f>
        <v>1.01</v>
      </c>
      <c r="BJ28" s="15">
        <f>MIN(IF($AU28=100%,1,1+VLOOKUP(($AJ28-$AI28-$AH28-$AG28-$AF28-$AE28*(1+BJ$3))/$AJ28,'Технический лист'!$A:$B,2,1)-VLOOKUP($AO28,'Технический лист'!$A:$B,2,1)),1+(1-$AU28))</f>
        <v>1.01</v>
      </c>
      <c r="BK28" s="15">
        <f>MIN(IF($AU28=100%,1,1+VLOOKUP(($AJ28-$AI28-$AH28-$AG28-$AF28-$AE28*(1+BK$3))/$AJ28,'Технический лист'!$A:$B,2,1)-VLOOKUP($AO28,'Технический лист'!$A:$B,2,1)),1+(1-$AU28))</f>
        <v>1.01</v>
      </c>
      <c r="BL28" s="15">
        <f>MIN(IF($AU28=100%,1,1+VLOOKUP(($AJ28-$AI28-$AH28-$AG28-$AF28-$AE28*(1+BL$3))/$AJ28,'Технический лист'!$A:$B,2,1)-VLOOKUP($AO28,'Технический лист'!$A:$B,2,1)),1+(1-$AU28))</f>
        <v>1.01</v>
      </c>
      <c r="BM28" s="15">
        <f>MIN(IF($AU28=100%,1,1+VLOOKUP(($AJ28-$AI28-$AH28-$AG28-$AF28-$AE28*(1+BM$3))/$AJ28,'Технический лист'!$A:$B,2,1)-VLOOKUP($AO28,'Технический лист'!$A:$B,2,1)),1+(1-$AU28))</f>
        <v>1.01</v>
      </c>
      <c r="BN28" s="15">
        <f>MIN(IF($AU28=100%,1,1+VLOOKUP(($AJ28-$AI28-$AH28-$AG28-$AF28-$AE28*(1+BN$3))/$AJ28,'Технический лист'!$A:$B,2,1)-VLOOKUP($AO28,'Технический лист'!$A:$B,2,1)),1+(1-$AU28))</f>
        <v>1.01</v>
      </c>
      <c r="BO28" s="15">
        <f>MIN(IF($AU28=100%,1,1+VLOOKUP(($AJ28-$AI28-$AH28-$AG28-$AF28-$AE28*(1+BO$3))/$AJ28,'Технический лист'!$A:$B,2,1)-VLOOKUP($AO28,'Технический лист'!$A:$B,2,1)),1+(1-$AU28))</f>
        <v>1.01</v>
      </c>
      <c r="BP28" s="15">
        <f>MIN(IF($AU28=100%,1,1+VLOOKUP(($AJ28-$AI28-$AH28-$AG28-$AF28-$AE28*(1+BP$3))/$AJ28,'Технический лист'!$A:$B,2,1)-VLOOKUP($AO28,'Технический лист'!$A:$B,2,1)),1+(1-$AU28))</f>
        <v>1.01</v>
      </c>
      <c r="BQ28" s="15">
        <f>MIN(IF($AU28=100%,1,1+VLOOKUP(($AJ28-$AI28-$AH28-$AG28-$AF28-$AE28*(1+BQ$3))/$AJ28,'Технический лист'!$A:$B,2,1)-VLOOKUP($AO28,'Технический лист'!$A:$B,2,1)),1+(1-$AU28))</f>
        <v>1.01</v>
      </c>
      <c r="BR28" s="15">
        <f>MIN(IF($AU28=100%,1,1+VLOOKUP(($AJ28-$AI28-$AH28-$AG28-$AF28-$AE28*(1+BR$3))/$AJ28,'Технический лист'!$A:$B,2,1)-VLOOKUP($AO28,'Технический лист'!$A:$B,2,1)),1+(1-$AU28))</f>
        <v>1.01</v>
      </c>
      <c r="BS28" s="15">
        <f>MIN(IF($AU28=100%,1,1+VLOOKUP(($AJ28-$AI28-$AH28-$AG28-$AF28-$AE28*(1+BS$3))/$AJ28,'Технический лист'!$A:$B,2,1)-VLOOKUP($AO28,'Технический лист'!$A:$B,2,1)),1+(1-$AU28))</f>
        <v>1.01</v>
      </c>
      <c r="BT28" s="15">
        <f>MIN(IF($AU28=100%,1,1+VLOOKUP(($AJ28-$AI28-$AH28-$AG28-$AF28-$AE28*(1+BT$3))/$AJ28,'Технический лист'!$A:$B,2,1)-VLOOKUP($AO28,'Технический лист'!$A:$B,2,1)),1+(1-$AU28))</f>
        <v>1.01</v>
      </c>
      <c r="BU28" s="15">
        <f>MIN(IF($AU28=100%,1,1+VLOOKUP(($AJ28-$AI28-$AH28-$AG28-$AF28-$AE28*(1+BU$3))/$AJ28,'Технический лист'!$A:$B,2,1)-VLOOKUP($AO28,'Технический лист'!$A:$B,2,1)),1+(1-$AU28))</f>
        <v>1.01</v>
      </c>
      <c r="BV28" s="15">
        <f>MIN(IF($AU28=100%,1,1+VLOOKUP(($AJ28-$AI28-$AH28-$AG28-$AF28-$AE28*(1+BV$3))/$AJ28,'Технический лист'!$A:$B,2,1)-VLOOKUP($AO28,'Технический лист'!$A:$B,2,1)),1+(1-$AU28))</f>
        <v>1.01</v>
      </c>
      <c r="BW28" s="15">
        <f>MIN(IF($AU28=100%,1,1+VLOOKUP(($AJ28-$AI28-$AH28-$AG28-$AF28-$AE28*(1+BW$3))/$AJ28,'Технический лист'!$A:$B,2,1)-VLOOKUP($AO28,'Технический лист'!$A:$B,2,1)),1+(1-$AU28))</f>
        <v>1.01</v>
      </c>
      <c r="BX28" s="15">
        <f>MIN(IF($AU28=100%,1,1+VLOOKUP(($AJ28-$AI28-$AH28-$AG28-$AF28-$AE28*(1+BX$3))/$AJ28,'Технический лист'!$A:$B,2,1)-VLOOKUP($AO28,'Технический лист'!$A:$B,2,1)),1+(1-$AU28))</f>
        <v>1.01</v>
      </c>
      <c r="BY28" s="15">
        <f>MIN(IF($AU28=100%,1,1+VLOOKUP(($AJ28-$AI28-$AH28-$AG28-$AF28-$AE28*(1+BY$3))/$AJ28,'Технический лист'!$A:$B,2,1)-VLOOKUP($AO28,'Технический лист'!$A:$B,2,1)),1+(1-$AU28))</f>
        <v>1.01</v>
      </c>
      <c r="BZ28" s="15">
        <f>MIN(IF($AU28=100%,1,1+VLOOKUP(($AJ28-$AI28-$AH28-$AG28-$AF28-$AE28*(1+BZ$3))/$AJ28,'Технический лист'!$A:$B,2,1)-VLOOKUP($AO28,'Технический лист'!$A:$B,2,1)),1+(1-$AU28))</f>
        <v>1.01</v>
      </c>
      <c r="CA28" s="15">
        <f>MIN(IF($AU28=100%,1,1+VLOOKUP(($AJ28-$AI28-$AH28-$AG28-$AF28-$AE28*(1+CA$3))/$AJ28,'Технический лист'!$A:$B,2,1)-VLOOKUP($AO28,'Технический лист'!$A:$B,2,1)),1+(1-$AU28))</f>
        <v>1.01</v>
      </c>
      <c r="CB28" s="15">
        <f>MIN(IF($AU28=100%,1,1+VLOOKUP(($AJ28-$AI28-$AH28-$AG28-$AF28-$AE28*(1+CB$3))/$AJ28,'Технический лист'!$A:$B,2,1)-VLOOKUP($AO28,'Технический лист'!$A:$B,2,1)),1+(1-$AU28))</f>
        <v>1.0050000000000001</v>
      </c>
      <c r="CC28" s="15">
        <f>MIN(IF($AU28=100%,1,1+VLOOKUP(($AJ28-$AI28-$AH28-$AG28-$AF28-$AE28*(1+CC$3))/$AJ28,'Технический лист'!$A:$B,2,1)-VLOOKUP($AO28,'Технический лист'!$A:$B,2,1)),1+(1-$AU28))</f>
        <v>1.0050000000000001</v>
      </c>
      <c r="CD28" s="15">
        <f>MIN(IF($AU28=100%,1,1+VLOOKUP(($AJ28-$AI28-$AH28-$AG28-$AF28-$AE28*(1+CD$3))/$AJ28,'Технический лист'!$A:$B,2,1)-VLOOKUP($AO28,'Технический лист'!$A:$B,2,1)),1+(1-$AU28))</f>
        <v>1.0050000000000001</v>
      </c>
      <c r="CE28" s="15">
        <f>MIN(IF($AU28=100%,1,1+VLOOKUP(($AJ28-$AI28-$AH28-$AG28-$AF28-$AE28*(1+CE$3))/$AJ28,'Технический лист'!$A:$B,2,1)-VLOOKUP($AO28,'Технический лист'!$A:$B,2,1)),1+(1-$AU28))</f>
        <v>1.0050000000000001</v>
      </c>
      <c r="CF28" s="15">
        <f>MIN(IF($AU28=100%,1,1+VLOOKUP(($AJ28-$AI28-$AH28-$AG28-$AF28-$AE28*(1+CF$3))/$AJ28,'Технический лист'!$A:$B,2,1)-VLOOKUP($AO28,'Технический лист'!$A:$B,2,1)),1+(1-$AU28))</f>
        <v>1.0050000000000001</v>
      </c>
      <c r="CG28" s="15">
        <f>MIN(IF($AU28=100%,1,1+VLOOKUP(($AJ28-$AI28-$AH28-$AG28-$AF28-$AE28*(1+CG$3))/$AJ28,'Технический лист'!$A:$B,2,1)-VLOOKUP($AO28,'Технический лист'!$A:$B,2,1)),1+(1-$AU28))</f>
        <v>1.0050000000000001</v>
      </c>
      <c r="CH28" s="15">
        <f>MIN(IF($AU28=100%,1,1+VLOOKUP(($AJ28-$AI28-$AH28-$AG28-$AF28-$AE28*(1+CH$3))/$AJ28,'Технический лист'!$A:$B,2,1)-VLOOKUP($AO28,'Технический лист'!$A:$B,2,1)),1+(1-$AU28))</f>
        <v>1.0050000000000001</v>
      </c>
      <c r="CI28" s="15">
        <f>MIN(IF($AU28=100%,1,1+VLOOKUP(($AJ28-$AI28-$AH28-$AG28-$AF28-$AE28*(1+CI$3))/$AJ28,'Технический лист'!$A:$B,2,1)-VLOOKUP($AO28,'Технический лист'!$A:$B,2,1)),1+(1-$AU28))</f>
        <v>1.0050000000000001</v>
      </c>
      <c r="CJ28" s="15">
        <f>MIN(IF($AU28=100%,1,1+VLOOKUP(($AJ28-$AI28-$AH28-$AG28-$AF28-$AE28*(1+CJ$3))/$AJ28,'Технический лист'!$A:$B,2,1)-VLOOKUP($AO28,'Технический лист'!$A:$B,2,1)),1+(1-$AU28))</f>
        <v>1.0050000000000001</v>
      </c>
      <c r="CK28" s="15">
        <f>MIN(IF($AU28=100%,1,1+VLOOKUP(($AJ28-$AI28-$AH28-$AG28-$AF28-$AE28*(1+CK$3))/$AJ28,'Технический лист'!$A:$B,2,1)-VLOOKUP($AO28,'Технический лист'!$A:$B,2,1)),1+(1-$AU28))</f>
        <v>1.0050000000000001</v>
      </c>
      <c r="CL28" s="15">
        <f>MIN(IF($AU28=100%,1,1+VLOOKUP(($AJ28-$AI28-$AH28-$AG28-$AF28-$AE28*(1+CL$3))/$AJ28,'Технический лист'!$A:$B,2,1)-VLOOKUP($AO28,'Технический лист'!$A:$B,2,1)),1+(1-$AU28))</f>
        <v>1.0050000000000001</v>
      </c>
      <c r="CM28" s="15">
        <f>MIN(IF($AU28=100%,1,1+VLOOKUP(($AJ28-$AI28-$AH28-$AG28-$AF28-$AE28*(1+CM$3))/$AJ28,'Технический лист'!$A:$B,2,1)-VLOOKUP($AO28,'Технический лист'!$A:$B,2,1)),1+(1-$AU28))</f>
        <v>1.0050000000000001</v>
      </c>
      <c r="CN28" s="15">
        <f>MIN(IF($AU28=100%,1,1+VLOOKUP(($AJ28-$AI28-$AH28-$AG28-$AF28-$AE28*(1+CN$3))/$AJ28,'Технический лист'!$A:$B,2,1)-VLOOKUP($AO28,'Технический лист'!$A:$B,2,1)),1+(1-$AU28))</f>
        <v>1.0050000000000001</v>
      </c>
      <c r="CO28" s="15">
        <f>MIN(IF($AU28=100%,1,1+VLOOKUP(($AJ28-$AI28-$AH28-$AG28-$AF28-$AE28*(1+CO$3))/$AJ28,'Технический лист'!$A:$B,2,1)-VLOOKUP($AO28,'Технический лист'!$A:$B,2,1)),1+(1-$AU28))</f>
        <v>1.0050000000000001</v>
      </c>
      <c r="CP28" s="15">
        <f>MIN(IF($AU28=100%,1,1+VLOOKUP(($AJ28-$AI28-$AH28-$AG28-$AF28-$AE28*(1+CP$3))/$AJ28,'Технический лист'!$A:$B,2,1)-VLOOKUP($AO28,'Технический лист'!$A:$B,2,1)),1+(1-$AU28))</f>
        <v>1.0050000000000001</v>
      </c>
      <c r="CQ28" s="15">
        <f>MIN(IF($AU28=100%,1,1+VLOOKUP(($AJ28-$AI28-$AH28-$AG28-$AF28-$AE28*(1+CQ$3))/$AJ28,'Технический лист'!$A:$B,2,1)-VLOOKUP($AO28,'Технический лист'!$A:$B,2,1)),1+(1-$AU28))</f>
        <v>1.0050000000000001</v>
      </c>
      <c r="CR28" s="15">
        <f>MIN(IF($AU28=100%,1,1+VLOOKUP(($AJ28-$AI28-$AH28-$AG28-$AF28-$AE28*(1+CR$3))/$AJ28,'Технический лист'!$A:$B,2,1)-VLOOKUP($AO28,'Технический лист'!$A:$B,2,1)),1+(1-$AU28))</f>
        <v>1.0050000000000001</v>
      </c>
      <c r="CS28" s="15">
        <f>MIN(IF($AU28=100%,1,1+VLOOKUP(($AJ28-$AI28-$AH28-$AG28-$AF28-$AE28*(1+CS$3))/$AJ28,'Технический лист'!$A:$B,2,1)-VLOOKUP($AO28,'Технический лист'!$A:$B,2,1)),1+(1-$AU28))</f>
        <v>1.0050000000000001</v>
      </c>
      <c r="CT28" s="15">
        <f>MIN(IF($AU28=100%,1,1+VLOOKUP(($AJ28-$AI28-$AH28-$AG28-$AF28-$AE28*(1+CT$3))/$AJ28,'Технический лист'!$A:$B,2,1)-VLOOKUP($AO28,'Технический лист'!$A:$B,2,1)),1+(1-$AU28))</f>
        <v>1.0050000000000001</v>
      </c>
      <c r="CU28" s="15">
        <f>MIN(IF($AU28=100%,1,1+VLOOKUP(($AJ28-$AI28-$AH28-$AG28-$AF28-$AE28*(1+CU$3))/$AJ28,'Технический лист'!$A:$B,2,1)-VLOOKUP($AO28,'Технический лист'!$A:$B,2,1)),1+(1-$AU28))</f>
        <v>1.0050000000000001</v>
      </c>
      <c r="CV28" s="15">
        <f>MIN(IF($AU28=100%,1,1+VLOOKUP(($AJ28-$AI28-$AH28-$AG28-$AF28-$AE28*(1+CV$3))/$AJ28,'Технический лист'!$A:$B,2,1)-VLOOKUP($AO28,'Технический лист'!$A:$B,2,1)),1+(1-$AU28))</f>
        <v>1.0050000000000001</v>
      </c>
      <c r="CW28" s="15">
        <f>MIN(IF($AU28=100%,1,1+VLOOKUP(($AJ28-$AI28-$AH28-$AG28-$AF28-$AE28*(1+CW$3))/$AJ28,'Технический лист'!$A:$B,2,1)-VLOOKUP($AO28,'Технический лист'!$A:$B,2,1)),1+(1-$AU28))</f>
        <v>1.0050000000000001</v>
      </c>
      <c r="CX28" s="15">
        <f>MIN(IF($AU28=100%,1,1+VLOOKUP(($AJ28-$AI28-$AH28-$AG28-$AF28-$AE28*(1+CX$3))/$AJ28,'Технический лист'!$A:$B,2,1)-VLOOKUP($AO28,'Технический лист'!$A:$B,2,1)),1+(1-$AU28))</f>
        <v>1.0050000000000001</v>
      </c>
      <c r="CY28" s="15">
        <f>MIN(IF($AU28=100%,1,1+VLOOKUP(($AJ28-$AI28-$AH28-$AG28-$AF28-$AE28*(1+CY$3))/$AJ28,'Технический лист'!$A:$B,2,1)-VLOOKUP($AO28,'Технический лист'!$A:$B,2,1)),1+(1-$AU28))</f>
        <v>1.0050000000000001</v>
      </c>
      <c r="CZ28" s="15">
        <f>MIN(IF($AU28=100%,1,1+VLOOKUP(($AJ28-$AI28-$AH28-$AG28-$AF28-$AE28*(1+CZ$3))/$AJ28,'Технический лист'!$A:$B,2,1)-VLOOKUP($AO28,'Технический лист'!$A:$B,2,1)),1+(1-$AU28))</f>
        <v>1.0050000000000001</v>
      </c>
      <c r="DA28" s="15">
        <f>MIN(IF($AU28=100%,1,1+VLOOKUP(($AJ28-$AI28-$AH28-$AG28-$AF28-$AE28*(1+DA$3))/$AJ28,'Технический лист'!$A:$B,2,1)-VLOOKUP($AO28,'Технический лист'!$A:$B,2,1)),1+(1-$AU28))</f>
        <v>1.0050000000000001</v>
      </c>
      <c r="DB28" s="15">
        <f>MIN(IF($AU28=100%,1,1+VLOOKUP(($AJ28-$AI28-$AH28-$AG28-$AF28-$AE28*(1+DB$3))/$AJ28,'Технический лист'!$A:$B,2,1)-VLOOKUP($AO28,'Технический лист'!$A:$B,2,1)),1+(1-$AU28))</f>
        <v>1.0050000000000001</v>
      </c>
      <c r="DC28" s="15">
        <f>MIN(IF($AU28=100%,1,1+VLOOKUP(($AJ28-$AI28-$AH28-$AG28-$AF28-$AE28*(1+DC$3))/$AJ28,'Технический лист'!$A:$B,2,1)-VLOOKUP($AO28,'Технический лист'!$A:$B,2,1)),1+(1-$AU28))</f>
        <v>1.0050000000000001</v>
      </c>
      <c r="DD28" s="15">
        <f>MIN(IF($AU28=100%,1,1+VLOOKUP(($AJ28-$AI28-$AH28-$AG28-$AF28-$AE28*(1+DD$3))/$AJ28,'Технический лист'!$A:$B,2,1)-VLOOKUP($AO28,'Технический лист'!$A:$B,2,1)),1+(1-$AU28))</f>
        <v>1.0050000000000001</v>
      </c>
      <c r="DE28" s="15">
        <f>MIN(IF($AU28=100%,1,1+VLOOKUP(($AJ28-$AI28-$AH28-$AG28-$AF28-$AE28*(1+DE$3))/$AJ28,'Технический лист'!$A:$B,2,1)-VLOOKUP($AO28,'Технический лист'!$A:$B,2,1)),1+(1-$AU28))</f>
        <v>1.0050000000000001</v>
      </c>
      <c r="DF28" s="15">
        <f>MIN(IF($AU28=100%,1,1+VLOOKUP(($AJ28-$AI28-$AH28-$AG28-$AF28-$AE28*(1+DF$3))/$AJ28,'Технический лист'!$A:$B,2,1)-VLOOKUP($AO28,'Технический лист'!$A:$B,2,1)),1+(1-$AU28))</f>
        <v>1.0050000000000001</v>
      </c>
      <c r="DG28" s="15">
        <f>MIN(IF($AU28=100%,1,1+VLOOKUP(($AJ28-$AI28-$AH28-$AG28-$AF28-$AE28*(1+DG$3))/$AJ28,'Технический лист'!$A:$B,2,1)-VLOOKUP($AO28,'Технический лист'!$A:$B,2,1)),1+(1-$AU28))</f>
        <v>1.0050000000000001</v>
      </c>
      <c r="DH28" s="15">
        <f>MIN(IF($AU28=100%,1,1+VLOOKUP(($AJ28-$AI28-$AH28-$AG28-$AF28-$AE28*(1+DH$3))/$AJ28,'Технический лист'!$A:$B,2,1)-VLOOKUP($AO28,'Технический лист'!$A:$B,2,1)),1+(1-$AU28))</f>
        <v>1.0050000000000001</v>
      </c>
      <c r="DI28" s="15">
        <f>MIN(IF($AU28=100%,1,1+VLOOKUP(($AJ28-$AI28-$AH28-$AG28-$AF28-$AE28*(1+DI$3))/$AJ28,'Технический лист'!$A:$B,2,1)-VLOOKUP($AO28,'Технический лист'!$A:$B,2,1)),1+(1-$AU28))</f>
        <v>1.0050000000000001</v>
      </c>
      <c r="DJ28" s="15">
        <f>MIN(IF($AU28=100%,1,1+VLOOKUP(($AJ28-$AI28-$AH28-$AG28-$AF28-$AE28*(1+DJ$3))/$AJ28,'Технический лист'!$A:$B,2,1)-VLOOKUP($AO28,'Технический лист'!$A:$B,2,1)),1+(1-$AU28))</f>
        <v>1.0050000000000001</v>
      </c>
      <c r="DK28" s="15">
        <f>MIN(IF($AU28=100%,1,1+VLOOKUP(($AJ28-$AI28-$AH28-$AG28-$AF28-$AE28*(1+DK$3))/$AJ28,'Технический лист'!$A:$B,2,1)-VLOOKUP($AO28,'Технический лист'!$A:$B,2,1)),1+(1-$AU28))</f>
        <v>1.0050000000000001</v>
      </c>
      <c r="DL28" s="15">
        <f>MIN(IF($AU28=100%,1,1+VLOOKUP(($AJ28-$AI28-$AH28-$AG28-$AF28-$AE28*(1+DL$3))/$AJ28,'Технический лист'!$A:$B,2,1)-VLOOKUP($AO28,'Технический лист'!$A:$B,2,1)),1+(1-$AU28))</f>
        <v>1.0050000000000001</v>
      </c>
      <c r="DM28" s="15">
        <f>MIN(IF($AU28=100%,1,1+VLOOKUP(($AJ28-$AI28-$AH28-$AG28-$AF28-$AE28*(1+DM$3))/$AJ28,'Технический лист'!$A:$B,2,1)-VLOOKUP($AO28,'Технический лист'!$A:$B,2,1)),1+(1-$AU28))</f>
        <v>1.0050000000000001</v>
      </c>
      <c r="DN28" s="15">
        <f>MIN(IF($AU28=100%,1,1+VLOOKUP(($AJ28-$AI28-$AH28-$AG28-$AF28-$AE28*(1+DN$3))/$AJ28,'Технический лист'!$A:$B,2,1)-VLOOKUP($AO28,'Технический лист'!$A:$B,2,1)),1+(1-$AU28))</f>
        <v>1.0050000000000001</v>
      </c>
      <c r="DO28" s="15">
        <f>MIN(IF($AU28=100%,1,1+VLOOKUP(($AJ28-$AI28-$AH28-$AG28-$AF28-$AE28*(1+DO$3))/$AJ28,'Технический лист'!$A:$B,2,1)-VLOOKUP($AO28,'Технический лист'!$A:$B,2,1)),1+(1-$AU28))</f>
        <v>1.0050000000000001</v>
      </c>
      <c r="DP28" s="15">
        <f>MIN(IF($AU28=100%,1,1+VLOOKUP(($AJ28-$AI28-$AH28-$AG28-$AF28-$AE28*(1+DP$3))/$AJ28,'Технический лист'!$A:$B,2,1)-VLOOKUP($AO28,'Технический лист'!$A:$B,2,1)),1+(1-$AU28))</f>
        <v>1.0050000000000001</v>
      </c>
      <c r="DQ28" s="15">
        <f>MIN(IF($AU28=100%,1,1+VLOOKUP(($AJ28-$AI28-$AH28-$AG28-$AF28-$AE28*(1+DQ$3))/$AJ28,'Технический лист'!$A:$B,2,1)-VLOOKUP($AO28,'Технический лист'!$A:$B,2,1)),1+(1-$AU28))</f>
        <v>1.0050000000000001</v>
      </c>
      <c r="DR28" s="15">
        <f>MIN(IF($AU28=100%,1,1+VLOOKUP(($AJ28-$AI28-$AH28-$AG28-$AF28-$AE28*(1+DR$3))/$AJ28,'Технический лист'!$A:$B,2,1)-VLOOKUP($AO28,'Технический лист'!$A:$B,2,1)),1+(1-$AU28))</f>
        <v>0.99999999999999978</v>
      </c>
      <c r="DS28" s="15">
        <f>MIN(IF($AU28=100%,1,1+VLOOKUP(($AJ28-$AI28-$AH28-$AG28-$AF28-$AE28*(1+DS$3))/$AJ28,'Технический лист'!$A:$B,2,1)-VLOOKUP($AO28,'Технический лист'!$A:$B,2,1)),1+(1-$AU28))</f>
        <v>0.99999999999999978</v>
      </c>
      <c r="DT28" s="15">
        <f>MIN(IF($AU28=100%,1,1+VLOOKUP(($AJ28-$AI28-$AH28-$AG28-$AF28-$AE28*(1+DT$3))/$AJ28,'Технический лист'!$A:$B,2,1)-VLOOKUP($AO28,'Технический лист'!$A:$B,2,1)),1+(1-$AU28))</f>
        <v>0.99999999999999978</v>
      </c>
      <c r="DU28" s="15">
        <f>MIN(IF($AU28=100%,1,1+VLOOKUP(($AJ28-$AI28-$AH28-$AG28-$AF28-$AE28*(1+DU$3))/$AJ28,'Технический лист'!$A:$B,2,1)-VLOOKUP($AO28,'Технический лист'!$A:$B,2,1)),1+(1-$AU28))</f>
        <v>0.99999999999999978</v>
      </c>
      <c r="DV28" s="15">
        <f>MIN(IF($AU28=100%,1,1+VLOOKUP(($AJ28-$AI28-$AH28-$AG28-$AF28-$AE28*(1+DV$3))/$AJ28,'Технический лист'!$A:$B,2,1)-VLOOKUP($AO28,'Технический лист'!$A:$B,2,1)),1+(1-$AU28))</f>
        <v>0.99999999999999978</v>
      </c>
      <c r="DW28" s="15">
        <f>MIN(IF($AU28=100%,1,1+VLOOKUP(($AJ28-$AI28-$AH28-$AG28-$AF28-$AE28*(1+DW$3))/$AJ28,'Технический лист'!$A:$B,2,1)-VLOOKUP($AO28,'Технический лист'!$A:$B,2,1)),1+(1-$AU28))</f>
        <v>0.99999999999999978</v>
      </c>
      <c r="DX28" s="15">
        <f>MIN(IF($AU28=100%,1,1+VLOOKUP(($AJ28-$AI28-$AH28-$AG28-$AF28-$AE28*(1+DX$3))/$AJ28,'Технический лист'!$A:$B,2,1)-VLOOKUP($AO28,'Технический лист'!$A:$B,2,1)),1+(1-$AU28))</f>
        <v>0.99999999999999978</v>
      </c>
      <c r="DY28" s="15">
        <f>MIN(IF($AU28=100%,1,1+VLOOKUP(($AJ28-$AI28-$AH28-$AG28-$AF28-$AE28*(1+DY$3))/$AJ28,'Технический лист'!$A:$B,2,1)-VLOOKUP($AO28,'Технический лист'!$A:$B,2,1)),1+(1-$AU28))</f>
        <v>0.99999999999999978</v>
      </c>
      <c r="DZ28" s="15">
        <f>MIN(IF($AU28=100%,1,1+VLOOKUP(($AJ28-$AI28-$AH28-$AG28-$AF28-$AE28*(1+DZ$3))/$AJ28,'Технический лист'!$A:$B,2,1)-VLOOKUP($AO28,'Технический лист'!$A:$B,2,1)),1+(1-$AU28))</f>
        <v>0.99999999999999978</v>
      </c>
      <c r="EA28" s="15">
        <f>MIN(IF($AU28=100%,1,1+VLOOKUP(($AJ28-$AI28-$AH28-$AG28-$AF28-$AE28*(1+EA$3))/$AJ28,'Технический лист'!$A:$B,2,1)-VLOOKUP($AO28,'Технический лист'!$A:$B,2,1)),1+(1-$AU28))</f>
        <v>0.99999999999999978</v>
      </c>
      <c r="EB28" s="15">
        <f>MIN(IF($AU28=100%,1,1+VLOOKUP(($AJ28-$AI28-$AH28-$AG28-$AF28-$AE28*(1+EB$3))/$AJ28,'Технический лист'!$A:$B,2,1)-VLOOKUP($AO28,'Технический лист'!$A:$B,2,1)),1+(1-$AU28))</f>
        <v>0.99999999999999978</v>
      </c>
      <c r="EC28" s="15">
        <f>MIN(IF($AU28=100%,1,1+VLOOKUP(($AJ28-$AI28-$AH28-$AG28-$AF28-$AE28*(1+EC$3))/$AJ28,'Технический лист'!$A:$B,2,1)-VLOOKUP($AO28,'Технический лист'!$A:$B,2,1)),1+(1-$AU28))</f>
        <v>0.99999999999999978</v>
      </c>
      <c r="ED28" s="15">
        <f>MIN(IF($AU28=100%,1,1+VLOOKUP(($AJ28-$AI28-$AH28-$AG28-$AF28-$AE28*(1+ED$3))/$AJ28,'Технический лист'!$A:$B,2,1)-VLOOKUP($AO28,'Технический лист'!$A:$B,2,1)),1+(1-$AU28))</f>
        <v>0.99999999999999978</v>
      </c>
      <c r="EE28" s="15">
        <f>MIN(IF($AU28=100%,1,1+VLOOKUP(($AJ28-$AI28-$AH28-$AG28-$AF28-$AE28*(1+EE$3))/$AJ28,'Технический лист'!$A:$B,2,1)-VLOOKUP($AO28,'Технический лист'!$A:$B,2,1)),1+(1-$AU28))</f>
        <v>0.99999999999999978</v>
      </c>
      <c r="EF28" s="15">
        <f>MIN(IF($AU28=100%,1,1+VLOOKUP(($AJ28-$AI28-$AH28-$AG28-$AF28-$AE28*(1+EF$3))/$AJ28,'Технический лист'!$A:$B,2,1)-VLOOKUP($AO28,'Технический лист'!$A:$B,2,1)),1+(1-$AU28))</f>
        <v>0.99999999999999978</v>
      </c>
      <c r="EG28" s="15">
        <f>MIN(IF($AU28=100%,1,1+VLOOKUP(($AJ28-$AI28-$AH28-$AG28-$AF28-$AE28*(1+EG$3))/$AJ28,'Технический лист'!$A:$B,2,1)-VLOOKUP($AO28,'Технический лист'!$A:$B,2,1)),1+(1-$AU28))</f>
        <v>0.99999999999999978</v>
      </c>
      <c r="EH28" s="15">
        <f>MIN(IF($AU28=100%,1,1+VLOOKUP(($AJ28-$AI28-$AH28-$AG28-$AF28-$AE28*(1+EH$3))/$AJ28,'Технический лист'!$A:$B,2,1)-VLOOKUP($AO28,'Технический лист'!$A:$B,2,1)),1+(1-$AU28))</f>
        <v>0.99999999999999978</v>
      </c>
      <c r="EI28" s="15">
        <f>MIN(IF($AU28=100%,1,1+VLOOKUP(($AJ28-$AI28-$AH28-$AG28-$AF28-$AE28*(1+EI$3))/$AJ28,'Технический лист'!$A:$B,2,1)-VLOOKUP($AO28,'Технический лист'!$A:$B,2,1)),1+(1-$AU28))</f>
        <v>0.99999999999999978</v>
      </c>
      <c r="EJ28" s="15">
        <f>MIN(IF($AU28=100%,1,1+VLOOKUP(($AJ28-$AI28-$AH28-$AG28-$AF28-$AE28*(1+EJ$3))/$AJ28,'Технический лист'!$A:$B,2,1)-VLOOKUP($AO28,'Технический лист'!$A:$B,2,1)),1+(1-$AU28))</f>
        <v>0.99999999999999978</v>
      </c>
      <c r="EK28" s="15">
        <f>MIN(IF($AU28=100%,1,1+VLOOKUP(($AJ28-$AI28-$AH28-$AG28-$AF28-$AE28*(1+EK$3))/$AJ28,'Технический лист'!$A:$B,2,1)-VLOOKUP($AO28,'Технический лист'!$A:$B,2,1)),1+(1-$AU28))</f>
        <v>0.99999999999999978</v>
      </c>
      <c r="EL28" s="15">
        <f>MIN(IF($AU28=100%,1,1+VLOOKUP(($AJ28-$AI28-$AH28-$AG28-$AF28-$AE28*(1+EL$3))/$AJ28,'Технический лист'!$A:$B,2,1)-VLOOKUP($AO28,'Технический лист'!$A:$B,2,1)),1+(1-$AU28))</f>
        <v>0.99999999999999978</v>
      </c>
      <c r="EM28" s="15">
        <f>MIN(IF($AU28=100%,1,1+VLOOKUP(($AJ28-$AI28-$AH28-$AG28-$AF28-$AE28*(1+EM$3))/$AJ28,'Технический лист'!$A:$B,2,1)-VLOOKUP($AO28,'Технический лист'!$A:$B,2,1)),1+(1-$AU28))</f>
        <v>0.99999999999999978</v>
      </c>
      <c r="EN28" s="15">
        <f>MIN(IF($AU28=100%,1,1+VLOOKUP(($AJ28-$AI28-$AH28-$AG28-$AF28-$AE28*(1+EN$3))/$AJ28,'Технический лист'!$A:$B,2,1)-VLOOKUP($AO28,'Технический лист'!$A:$B,2,1)),1+(1-$AU28))</f>
        <v>0.99999999999999978</v>
      </c>
      <c r="EO28" s="15">
        <f>MIN(IF($AU28=100%,1,1+VLOOKUP(($AJ28-$AI28-$AH28-$AG28-$AF28-$AE28*(1+EO$3))/$AJ28,'Технический лист'!$A:$B,2,1)-VLOOKUP($AO28,'Технический лист'!$A:$B,2,1)),1+(1-$AU28))</f>
        <v>0.99999999999999978</v>
      </c>
      <c r="EP28" s="15">
        <f>MIN(IF($AU28=100%,1,1+VLOOKUP(($AJ28-$AI28-$AH28-$AG28-$AF28-$AE28*(1+EP$3))/$AJ28,'Технический лист'!$A:$B,2,1)-VLOOKUP($AO28,'Технический лист'!$A:$B,2,1)),1+(1-$AU28))</f>
        <v>0.99999999999999978</v>
      </c>
      <c r="EQ28" s="15">
        <f>MIN(IF($AU28=100%,1,1+VLOOKUP(($AJ28-$AI28-$AH28-$AG28-$AF28-$AE28*(1+EQ$3))/$AJ28,'Технический лист'!$A:$B,2,1)-VLOOKUP($AO28,'Технический лист'!$A:$B,2,1)),1+(1-$AU28))</f>
        <v>0.99999999999999978</v>
      </c>
      <c r="ER28" s="15">
        <f>MIN(IF($AU28=100%,1,1+VLOOKUP(($AJ28-$AI28-$AH28-$AG28-$AF28-$AE28*(1+ER$3))/$AJ28,'Технический лист'!$A:$B,2,1)-VLOOKUP($AO28,'Технический лист'!$A:$B,2,1)),1+(1-$AU28))</f>
        <v>0.99999999999999978</v>
      </c>
      <c r="ES28" s="15">
        <f>MIN(IF($AU28=100%,1,1+VLOOKUP(($AJ28-$AI28-$AH28-$AG28-$AF28-$AE28*(1+ES$3))/$AJ28,'Технический лист'!$A:$B,2,1)-VLOOKUP($AO28,'Технический лист'!$A:$B,2,1)),1+(1-$AU28))</f>
        <v>0.99999999999999978</v>
      </c>
      <c r="ET28" s="15">
        <f>MIN(IF($AU28=100%,1,1+VLOOKUP(($AJ28-$AI28-$AH28-$AG28-$AF28-$AE28*(1+ET$3))/$AJ28,'Технический лист'!$A:$B,2,1)-VLOOKUP($AO28,'Технический лист'!$A:$B,2,1)),1+(1-$AU28))</f>
        <v>0.99999999999999978</v>
      </c>
      <c r="EU28" s="15">
        <f>MIN(IF($AU28=100%,1,1+VLOOKUP(($AJ28-$AI28-$AH28-$AG28-$AF28-$AE28*(1+EU$3))/$AJ28,'Технический лист'!$A:$B,2,1)-VLOOKUP($AO28,'Технический лист'!$A:$B,2,1)),1+(1-$AU28))</f>
        <v>0.99999999999999978</v>
      </c>
      <c r="EV28" s="111">
        <v>1</v>
      </c>
      <c r="EW28" s="15">
        <f>MIN(1,MAX(VLOOKUP(($AJ28-$AI28-$AH28-$AG28-$AF28-$AE28*(1+EW$3))/$AJ28,'Технический лист'!$A:$B,2,1),(EV28-0.05)))</f>
        <v>1</v>
      </c>
      <c r="EX28" s="15">
        <f>MIN(1,MAX(VLOOKUP(($AJ28-$AI28-$AH28-$AG28-$AF28-$AE28*(1+EX$3))/$AJ28,'Технический лист'!$A:$B,2,1),(EW28-0.05)))</f>
        <v>1</v>
      </c>
      <c r="EY28" s="15">
        <f>MIN(1,MAX(VLOOKUP(($AJ28-$AI28-$AH28-$AG28-$AF28-$AE28*(1+EY$3))/$AJ28,'Технический лист'!$A:$B,2,1),(EX28-0.05)))</f>
        <v>1</v>
      </c>
      <c r="EZ28" s="15">
        <f>MIN(1,MAX(VLOOKUP(($AJ28-$AI28-$AH28-$AG28-$AF28-$AE28*(1+EZ$3))/$AJ28,'Технический лист'!$A:$B,2,1),(EY28-0.05)))</f>
        <v>1</v>
      </c>
      <c r="FA28" s="15">
        <f>MIN(1,MAX(VLOOKUP(($AJ28-$AI28-$AH28-$AG28-$AF28-$AE28*(1+FA$3))/$AJ28,'Технический лист'!$A:$B,2,1),(EZ28-0.05)))</f>
        <v>1</v>
      </c>
      <c r="FB28" s="15">
        <f>MIN(1,MAX(VLOOKUP(($AJ28-$AI28-$AH28-$AG28-$AF28-$AE28*(1+FB$3))/$AJ28,'Технический лист'!$A:$B,2,1),(FA28-0.05)))</f>
        <v>1</v>
      </c>
      <c r="FC28" s="15">
        <f>MIN(1,MAX(VLOOKUP(($AJ28-$AI28-$AH28-$AG28-$AF28-$AE28*(1+FC$3))/$AJ28,'Технический лист'!$A:$B,2,1),(FB28-0.05)))</f>
        <v>1</v>
      </c>
      <c r="FD28" s="15">
        <f>MIN(1,MAX(VLOOKUP(($AJ28-$AI28-$AH28-$AG28-$AF28-$AE28*(1+FD$3))/$AJ28,'Технический лист'!$A:$B,2,1),(FC28-0.05)))</f>
        <v>1</v>
      </c>
      <c r="FE28" s="15">
        <f>MIN(1,MAX(VLOOKUP(($AJ28-$AI28-$AH28-$AG28-$AF28-$AE28*(1+FE$3))/$AJ28,'Технический лист'!$A:$B,2,1),(FD28-0.05)))</f>
        <v>1</v>
      </c>
      <c r="FF28" s="15">
        <f>MIN(1,MAX(VLOOKUP(($AJ28-$AI28-$AH28-$AG28-$AF28-$AE28*(1+FF$3))/$AJ28,'Технический лист'!$A:$B,2,1),(FE28-0.05)))</f>
        <v>1</v>
      </c>
      <c r="FG28" s="15">
        <f>MIN(1,MAX(VLOOKUP(($AJ28-$AI28-$AH28-$AG28-$AF28-$AE28*(1+FG$3))/$AJ28,'Технический лист'!$A:$B,2,1),(FF28-0.05)))</f>
        <v>1</v>
      </c>
      <c r="FH28" s="15">
        <f>MIN(1,MAX(VLOOKUP(($AJ28-$AI28-$AH28-$AG28-$AF28-$AE28*(1+FH$3))/$AJ28,'Технический лист'!$A:$B,2,1),(FG28-0.05)))</f>
        <v>1</v>
      </c>
      <c r="FI28" s="15">
        <f>MIN(1,MAX(VLOOKUP(($AJ28-$AI28-$AH28-$AG28-$AF28-$AE28*(1+FI$3))/$AJ28,'Технический лист'!$A:$B,2,1),(FH28-0.05)))</f>
        <v>1</v>
      </c>
      <c r="FJ28" s="15">
        <f>MIN(1,MAX(VLOOKUP(($AJ28-$AI28-$AH28-$AG28-$AF28-$AE28*(1+FJ$3))/$AJ28,'Технический лист'!$A:$B,2,1),(FI28-0.05)))</f>
        <v>1</v>
      </c>
      <c r="FK28" s="15">
        <f>MIN(1,MAX(VLOOKUP(($AJ28-$AI28-$AH28-$AG28-$AF28-$AE28*(1+FK$3))/$AJ28,'Технический лист'!$A:$B,2,1),(FJ28-0.05)))</f>
        <v>1</v>
      </c>
      <c r="FL28" s="15">
        <f>MIN(1,MAX(VLOOKUP(($AJ28-$AI28-$AH28-$AG28-$AF28-$AE28*(1+FL$3))/$AJ28,'Технический лист'!$A:$B,2,1),(FK28-0.05)))</f>
        <v>1</v>
      </c>
      <c r="FM28" s="15">
        <f>MIN(1,MAX(VLOOKUP(($AJ28-$AI28-$AH28-$AG28-$AF28-$AE28*(1+FM$3))/$AJ28,'Технический лист'!$A:$B,2,1),(FL28-0.05)))</f>
        <v>1</v>
      </c>
      <c r="FN28" s="15">
        <f>MIN(1,MAX(VLOOKUP(($AJ28-$AI28-$AH28-$AG28-$AF28-$AE28*(1+FN$3))/$AJ28,'Технический лист'!$A:$B,2,1),(FM28-0.05)))</f>
        <v>1</v>
      </c>
      <c r="FO28" s="15">
        <f>MIN(1,MAX(VLOOKUP(($AJ28-$AI28-$AH28-$AG28-$AF28-$AE28*(1+FO$3))/$AJ28,'Технический лист'!$A:$B,2,1),(FN28-0.05)))</f>
        <v>1</v>
      </c>
      <c r="FP28" s="15">
        <f>MIN(1,MAX(VLOOKUP(($AJ28-$AI28-$AH28-$AG28-$AF28-$AE28*(1+FP$3))/$AJ28,'Технический лист'!$A:$B,2,1),(FO28-0.05)))</f>
        <v>1</v>
      </c>
      <c r="FQ28" s="15">
        <f>MIN(1,MAX(VLOOKUP(($AJ28-$AI28-$AH28-$AG28-$AF28-$AE28*(1+FQ$3))/$AJ28,'Технический лист'!$A:$B,2,1),(FP28-0.05)))</f>
        <v>1</v>
      </c>
      <c r="FR28" s="15">
        <f>MIN(1,MAX(VLOOKUP(($AJ28-$AI28-$AH28-$AG28-$AF28-$AE28*(1+FR$3))/$AJ28,'Технический лист'!$A:$B,2,1),(FQ28-0.05)))</f>
        <v>1</v>
      </c>
      <c r="FS28" s="15">
        <f>MIN(1,MAX(VLOOKUP(($AJ28-$AI28-$AH28-$AG28-$AF28-$AE28*(1+FS$3))/$AJ28,'Технический лист'!$A:$B,2,1),(FR28-0.05)))</f>
        <v>1</v>
      </c>
      <c r="FT28" s="15">
        <f>MIN(1,MAX(VLOOKUP(($AJ28-$AI28-$AH28-$AG28-$AF28-$AE28*(1+FT$3))/$AJ28,'Технический лист'!$A:$B,2,1),(FS28-0.05)))</f>
        <v>1</v>
      </c>
      <c r="FU28" s="15">
        <f>MIN(1,MAX(VLOOKUP(($AJ28-$AI28-$AH28-$AG28-$AF28-$AE28*(1+FU$3))/$AJ28,'Технический лист'!$A:$B,2,1),(FT28-0.05)))</f>
        <v>1</v>
      </c>
      <c r="FV28" s="15">
        <f>MIN(1,MAX(VLOOKUP(($AJ28-$AI28-$AH28-$AG28-$AF28-$AE28*(1+FV$3))/$AJ28,'Технический лист'!$A:$B,2,1),(FU28-0.05)))</f>
        <v>1</v>
      </c>
      <c r="FW28" s="15">
        <f>MIN(1,MAX(VLOOKUP(($AJ28-$AI28-$AH28-$AG28-$AF28-$AE28*(1+FW$3))/$AJ28,'Технический лист'!$A:$B,2,1),(FV28-0.05)))</f>
        <v>1</v>
      </c>
      <c r="FX28" s="15">
        <f>MIN(1,MAX(VLOOKUP(($AJ28-$AI28-$AH28-$AG28-$AF28-$AE28*(1+FX$3))/$AJ28,'Технический лист'!$A:$B,2,1),(FW28-0.05)))</f>
        <v>1</v>
      </c>
      <c r="FY28" s="15">
        <f>MIN(1,MAX(VLOOKUP(($AJ28-$AI28-$AH28-$AG28-$AF28-$AE28*(1+FY$3))/$AJ28,'Технический лист'!$A:$B,2,1),(FX28-0.05)))</f>
        <v>1</v>
      </c>
      <c r="FZ28" s="15">
        <f>MIN(1,MAX(VLOOKUP(($AJ28-$AI28-$AH28-$AG28-$AF28-$AE28*(1+FZ$3))/$AJ28,'Технический лист'!$A:$B,2,1),(FY28-0.05)))</f>
        <v>1</v>
      </c>
      <c r="GA28" s="15">
        <f>MIN(1,MAX(VLOOKUP(($AJ28-$AI28-$AH28-$AG28-$AF28-$AE28*(1+GA$3))/$AJ28,'Технический лист'!$A:$B,2,1),(FZ28-0.05)))</f>
        <v>1</v>
      </c>
      <c r="GB28" s="15">
        <f>MIN(1,MAX(VLOOKUP(($AJ28-$AI28-$AH28-$AG28-$AF28-$AE28*(1+GB$3))/$AJ28,'Технический лист'!$A:$B,2,1),(GA28-0.05)))</f>
        <v>1</v>
      </c>
      <c r="GC28" s="15">
        <f>MIN(1,MAX(VLOOKUP(($AJ28-$AI28-$AH28-$AG28-$AF28-$AE28*(1+GC$3))/$AJ28,'Технический лист'!$A:$B,2,1),(GB28-0.05)))</f>
        <v>1</v>
      </c>
      <c r="GD28" s="15">
        <f>MIN(1,MAX(VLOOKUP(($AJ28-$AI28-$AH28-$AG28-$AF28-$AE28*(1+GD$3))/$AJ28,'Технический лист'!$A:$B,2,1),(GC28-0.05)))</f>
        <v>1</v>
      </c>
      <c r="GE28" s="15">
        <f>MIN(1,MAX(VLOOKUP(($AJ28-$AI28-$AH28-$AG28-$AF28-$AE28*(1+GE$3))/$AJ28,'Технический лист'!$A:$B,2,1),(GD28-0.05)))</f>
        <v>1</v>
      </c>
      <c r="GF28" s="15">
        <f>MIN(1,MAX(VLOOKUP(($AJ28-$AI28-$AH28-$AG28-$AF28-$AE28*(1+GF$3))/$AJ28,'Технический лист'!$A:$B,2,1),(GE28-0.05)))</f>
        <v>1</v>
      </c>
      <c r="GG28" s="15">
        <f>MIN(1,MAX(VLOOKUP(($AJ28-$AI28-$AH28-$AG28-$AF28-$AE28*(1+GG$3))/$AJ28,'Технический лист'!$A:$B,2,1),(GF28-0.05)))</f>
        <v>1</v>
      </c>
      <c r="GH28" s="15">
        <f>MIN(1,MAX(VLOOKUP(($AJ28-$AI28-$AH28-$AG28-$AF28-$AE28*(1+GH$3))/$AJ28,'Технический лист'!$A:$B,2,1),(GG28-0.05)))</f>
        <v>1</v>
      </c>
      <c r="GI28" s="15">
        <f>MIN(1,MAX(VLOOKUP(($AJ28-$AI28-$AH28-$AG28-$AF28-$AE28*(1+GI$3))/$AJ28,'Технический лист'!$A:$B,2,1),(GH28-0.05)))</f>
        <v>1</v>
      </c>
      <c r="GJ28" s="15">
        <f>MIN(1,MAX(VLOOKUP(($AJ28-$AI28-$AH28-$AG28-$AF28-$AE28*(1+GJ$3))/$AJ28,'Технический лист'!$A:$B,2,1),(GI28-0.05)))</f>
        <v>1</v>
      </c>
      <c r="GK28" s="15">
        <f>MIN(1,MAX(VLOOKUP(($AJ28-$AI28-$AH28-$AG28-$AF28-$AE28*(1+GK$3))/$AJ28,'Технический лист'!$A:$B,2,1),(GJ28-0.05)))</f>
        <v>1</v>
      </c>
      <c r="GL28" s="15">
        <f>MIN(1,MAX(VLOOKUP(($AJ28-$AI28-$AH28-$AG28-$AF28-$AE28*(1+GL$3))/$AJ28,'Технический лист'!$A:$B,2,1),(GK28-0.05)))</f>
        <v>1</v>
      </c>
      <c r="GM28" s="15">
        <f>MIN(1,MAX(VLOOKUP(($AJ28-$AI28-$AH28-$AG28-$AF28-$AE28*(1+GM$3))/$AJ28,'Технический лист'!$A:$B,2,1),(GL28-0.05)))</f>
        <v>1</v>
      </c>
      <c r="GN28" s="15">
        <f>MIN(1,MAX(VLOOKUP(($AJ28-$AI28-$AH28-$AG28-$AF28-$AE28*(1+GN$3))/$AJ28,'Технический лист'!$A:$B,2,1),(GM28-0.05)))</f>
        <v>1</v>
      </c>
      <c r="GO28" s="15">
        <f>MIN(1,MAX(VLOOKUP(($AJ28-$AI28-$AH28-$AG28-$AF28-$AE28*(1+GO$3))/$AJ28,'Технический лист'!$A:$B,2,1),(GN28-0.05)))</f>
        <v>1</v>
      </c>
      <c r="GP28" s="15">
        <f>MIN(1,MAX(VLOOKUP(($AJ28-$AI28-$AH28-$AG28-$AF28-$AE28*(1+GP$3))/$AJ28,'Технический лист'!$A:$B,2,1),(GO28-0.05)))</f>
        <v>1</v>
      </c>
      <c r="GQ28" s="15">
        <f>MIN(1,MAX(VLOOKUP(($AJ28-$AI28-$AH28-$AG28-$AF28-$AE28*(1+GQ$3))/$AJ28,'Технический лист'!$A:$B,2,1),(GP28-0.05)))</f>
        <v>1</v>
      </c>
      <c r="GR28" s="15">
        <f>MIN(1,MAX(VLOOKUP(($AJ28-$AI28-$AH28-$AG28-$AF28-$AE28*(1+GR$3))/$AJ28,'Технический лист'!$A:$B,2,1),(GQ28-0.05)))</f>
        <v>1</v>
      </c>
      <c r="GS28" s="15">
        <f>MIN(1,MAX(VLOOKUP(($AJ28-$AI28-$AH28-$AG28-$AF28-$AE28*(1+GS$3))/$AJ28,'Технический лист'!$A:$B,2,1),(GR28-0.05)))</f>
        <v>1</v>
      </c>
      <c r="GT28" s="15">
        <f>MIN(1,MAX(VLOOKUP(($AJ28-$AI28-$AH28-$AG28-$AF28-$AE28*(1+GT$3))/$AJ28,'Технический лист'!$A:$B,2,1),(GS28-0.05)))</f>
        <v>1</v>
      </c>
      <c r="GU28" s="15">
        <f>MIN(1,MAX(VLOOKUP(($AJ28-$AI28-$AH28-$AG28-$AF28-$AE28*(1+GU$3))/$AJ28,'Технический лист'!$A:$B,2,1),(GT28-0.05)))</f>
        <v>1</v>
      </c>
      <c r="GV28" s="15">
        <f>MIN(1,MAX(VLOOKUP(($AJ28-$AI28-$AH28-$AG28-$AF28-$AE28*(1+GV$3))/$AJ28,'Технический лист'!$A:$B,2,1),(GU28-0.05)))</f>
        <v>1</v>
      </c>
      <c r="GW28" s="15">
        <f>MIN(1,MAX(VLOOKUP(($AJ28-$AI28-$AH28-$AG28-$AF28-$AE28*(1+GW$3))/$AJ28,'Технический лист'!$A:$B,2,1),(GV28-0.05)))</f>
        <v>1</v>
      </c>
      <c r="GX28" s="15">
        <f>MIN(1,MAX(VLOOKUP(($AJ28-$AI28-$AH28-$AG28-$AF28-$AE28*(1+GX$3))/$AJ28,'Технический лист'!$A:$B,2,1),(GW28-0.05)))</f>
        <v>1</v>
      </c>
      <c r="GY28" s="15">
        <f>MIN(1,MAX(VLOOKUP(($AJ28-$AI28-$AH28-$AG28-$AF28-$AE28*(1+GY$3))/$AJ28,'Технический лист'!$A:$B,2,1),(GX28-0.05)))</f>
        <v>1</v>
      </c>
      <c r="GZ28" s="15">
        <f>MIN(1,MAX(VLOOKUP(($AJ28-$AI28-$AH28-$AG28-$AF28-$AE28*(1+GZ$3))/$AJ28,'Технический лист'!$A:$B,2,1),(GY28-0.05)))</f>
        <v>1</v>
      </c>
      <c r="HA28" s="15">
        <f>MIN(1,MAX(VLOOKUP(($AJ28-$AI28-$AH28-$AG28-$AF28-$AE28*(1+HA$3))/$AJ28,'Технический лист'!$A:$B,2,1),(GZ28-0.05)))</f>
        <v>1</v>
      </c>
      <c r="HB28" s="15">
        <f>MIN(1,MAX(VLOOKUP(($AJ28-$AI28-$AH28-$AG28-$AF28-$AE28*(1+HB$3))/$AJ28,'Технический лист'!$A:$B,2,1),(HA28-0.05)))</f>
        <v>1</v>
      </c>
      <c r="HC28" s="15">
        <f>MIN(1,MAX(VLOOKUP(($AJ28-$AI28-$AH28-$AG28-$AF28-$AE28*(1+HC$3))/$AJ28,'Технический лист'!$A:$B,2,1),(HB28-0.05)))</f>
        <v>1</v>
      </c>
      <c r="HD28" s="15">
        <f>MIN(1,MAX(VLOOKUP(($AJ28-$AI28-$AH28-$AG28-$AF28-$AE28*(1+HD$3))/$AJ28,'Технический лист'!$A:$B,2,1),(HC28-0.05)))</f>
        <v>1</v>
      </c>
      <c r="HE28" s="15">
        <f>MIN(1,MAX(VLOOKUP(($AJ28-$AI28-$AH28-$AG28-$AF28-$AE28*(1+HE$3))/$AJ28,'Технический лист'!$A:$B,2,1),(HD28-0.05)))</f>
        <v>1</v>
      </c>
      <c r="HF28" s="15">
        <f>MIN(1,MAX(VLOOKUP(($AJ28-$AI28-$AH28-$AG28-$AF28-$AE28*(1+HF$3))/$AJ28,'Технический лист'!$A:$B,2,1),(HE28-0.05)))</f>
        <v>1</v>
      </c>
      <c r="HG28" s="15">
        <f>MIN(1,MAX(VLOOKUP(($AJ28-$AI28-$AH28-$AG28-$AF28-$AE28*(1+HG$3))/$AJ28,'Технический лист'!$A:$B,2,1),(HF28-0.05)))</f>
        <v>1</v>
      </c>
      <c r="HH28" s="15">
        <f>MIN(1,MAX(VLOOKUP(($AJ28-$AI28-$AH28-$AG28-$AF28-$AE28*(1+HH$3))/$AJ28,'Технический лист'!$A:$B,2,1),(HG28-0.05)))</f>
        <v>1</v>
      </c>
      <c r="HI28" s="15">
        <f>MIN(1,MAX(VLOOKUP(($AJ28-$AI28-$AH28-$AG28-$AF28-$AE28*(1+HI$3))/$AJ28,'Технический лист'!$A:$B,2,1),(HH28-0.05)))</f>
        <v>1</v>
      </c>
      <c r="HJ28" s="15">
        <f>MIN(1,MAX(VLOOKUP(($AJ28-$AI28-$AH28-$AG28-$AF28-$AE28*(1+HJ$3))/$AJ28,'Технический лист'!$A:$B,2,1),(HI28-0.05)))</f>
        <v>1</v>
      </c>
      <c r="HK28" s="15">
        <f>MIN(1,MAX(VLOOKUP(($AJ28-$AI28-$AH28-$AG28-$AF28-$AE28*(1+HK$3))/$AJ28,'Технический лист'!$A:$B,2,1),(HJ28-0.05)))</f>
        <v>1</v>
      </c>
      <c r="HL28" s="15">
        <f>MIN(1,MAX(VLOOKUP(($AJ28-$AI28-$AH28-$AG28-$AF28-$AE28*(1+HL$3))/$AJ28,'Технический лист'!$A:$B,2,1),(HK28-0.05)))</f>
        <v>1</v>
      </c>
      <c r="HM28" s="15">
        <f>MIN(1,MAX(VLOOKUP(($AJ28-$AI28-$AH28-$AG28-$AF28-$AE28*(1+HM$3))/$AJ28,'Технический лист'!$A:$B,2,1),(HL28-0.05)))</f>
        <v>1</v>
      </c>
      <c r="HN28" s="15">
        <f>MIN(1,MAX(VLOOKUP(($AJ28-$AI28-$AH28-$AG28-$AF28-$AE28*(1+HN$3))/$AJ28,'Технический лист'!$A:$B,2,1),(HM28-0.05)))</f>
        <v>1</v>
      </c>
      <c r="HO28" s="15">
        <f>MIN(1,MAX(VLOOKUP(($AJ28-$AI28-$AH28-$AG28-$AF28-$AE28*(1+HO$3))/$AJ28,'Технический лист'!$A:$B,2,1),(HN28-0.05)))</f>
        <v>1</v>
      </c>
      <c r="HP28" s="15">
        <f>MIN(1,MAX(VLOOKUP(($AJ28-$AI28-$AH28-$AG28-$AF28-$AE28*(1+HP$3))/$AJ28,'Технический лист'!$A:$B,2,1),(HO28-0.05)))</f>
        <v>1</v>
      </c>
      <c r="HQ28" s="15">
        <f>MIN(1,MAX(VLOOKUP(($AJ28-$AI28-$AH28-$AG28-$AF28-$AE28*(1+HQ$3))/$AJ28,'Технический лист'!$A:$B,2,1),(HP28-0.05)))</f>
        <v>1</v>
      </c>
      <c r="HR28" s="15">
        <f>MIN(1,MAX(VLOOKUP(($AJ28-$AI28-$AH28-$AG28-$AF28-$AE28*(1+HR$3))/$AJ28,'Технический лист'!$A:$B,2,1),(HQ28-0.05)))</f>
        <v>1</v>
      </c>
      <c r="HS28" s="15">
        <f>MIN(1,MAX(VLOOKUP(($AJ28-$AI28-$AH28-$AG28-$AF28-$AE28*(1+HS$3))/$AJ28,'Технический лист'!$A:$B,2,1),(HR28-0.05)))</f>
        <v>1</v>
      </c>
      <c r="HT28" s="15">
        <f>MIN(1,MAX(VLOOKUP(($AJ28-$AI28-$AH28-$AG28-$AF28-$AE28*(1+HT$3))/$AJ28,'Технический лист'!$A:$B,2,1),(HS28-0.05)))</f>
        <v>1</v>
      </c>
      <c r="HU28" s="15">
        <f>MIN(1,MAX(VLOOKUP(($AJ28-$AI28-$AH28-$AG28-$AF28-$AE28*(1+HU$3))/$AJ28,'Технический лист'!$A:$B,2,1),(HT28-0.05)))</f>
        <v>1</v>
      </c>
      <c r="HV28" s="15">
        <f>MIN(1,MAX(VLOOKUP(($AJ28-$AI28-$AH28-$AG28-$AF28-$AE28*(1+HV$3))/$AJ28,'Технический лист'!$A:$B,2,1),(HU28-0.05)))</f>
        <v>1</v>
      </c>
      <c r="HW28" s="15">
        <f>MIN(1,MAX(VLOOKUP(($AJ28-$AI28-$AH28-$AG28-$AF28-$AE28*(1+HW$3))/$AJ28,'Технический лист'!$A:$B,2,1),(HV28-0.05)))</f>
        <v>1</v>
      </c>
      <c r="HX28" s="15">
        <f>MIN(1,MAX(VLOOKUP(($AJ28-$AI28-$AH28-$AG28-$AF28-$AE28*(1+HX$3))/$AJ28,'Технический лист'!$A:$B,2,1),(HW28-0.05)))</f>
        <v>1</v>
      </c>
      <c r="HY28" s="15">
        <f>MIN(1,MAX(VLOOKUP(($AJ28-$AI28-$AH28-$AG28-$AF28-$AE28*(1+HY$3))/$AJ28,'Технический лист'!$A:$B,2,1),(HX28-0.05)))</f>
        <v>1</v>
      </c>
      <c r="HZ28" s="15">
        <f>MIN(1,MAX(VLOOKUP(($AJ28-$AI28-$AH28-$AG28-$AF28-$AE28*(1+HZ$3))/$AJ28,'Технический лист'!$A:$B,2,1),(HY28-0.05)))</f>
        <v>1</v>
      </c>
      <c r="IA28" s="15">
        <f>MIN(1,MAX(VLOOKUP(($AJ28-$AI28-$AH28-$AG28-$AF28-$AE28*(1+IA$3))/$AJ28,'Технический лист'!$A:$B,2,1),(HZ28-0.05)))</f>
        <v>1</v>
      </c>
      <c r="IB28" s="15">
        <f>MIN(1,MAX(VLOOKUP(($AJ28-$AI28-$AH28-$AG28-$AF28-$AE28*(1+IB$3))/$AJ28,'Технический лист'!$A:$B,2,1),(IA28-0.05)))</f>
        <v>1</v>
      </c>
      <c r="IC28" s="15">
        <f>MIN(1,MAX(VLOOKUP(($AJ28-$AI28-$AH28-$AG28-$AF28-$AE28*(1+IC$3))/$AJ28,'Технический лист'!$A:$B,2,1),(IB28-0.05)))</f>
        <v>1</v>
      </c>
      <c r="ID28" s="15">
        <f>MIN(1,MAX(VLOOKUP(($AJ28-$AI28-$AH28-$AG28-$AF28-$AE28*(1+ID$3))/$AJ28,'Технический лист'!$A:$B,2,1),(IC28-0.05)))</f>
        <v>1</v>
      </c>
      <c r="IE28" s="15">
        <f>MIN(1,MAX(VLOOKUP(($AJ28-$AI28-$AH28-$AG28-$AF28-$AE28*(1+IE$3))/$AJ28,'Технический лист'!$A:$B,2,1),(ID28-0.05)))</f>
        <v>1</v>
      </c>
      <c r="IF28" s="15">
        <f>MIN(1,MAX(VLOOKUP(($AJ28-$AI28-$AH28-$AG28-$AF28-$AE28*(1+IF$3))/$AJ28,'Технический лист'!$A:$B,2,1),(IE28-0.05)))</f>
        <v>1</v>
      </c>
      <c r="IG28" s="15">
        <f>MIN(1,MAX(VLOOKUP(($AJ28-$AI28-$AH28-$AG28-$AF28-$AE28*(1+IG$3))/$AJ28,'Технический лист'!$A:$B,2,1),(IF28-0.05)))</f>
        <v>1</v>
      </c>
      <c r="IH28" s="15">
        <f>MIN(1,MAX(VLOOKUP(($AJ28-$AI28-$AH28-$AG28-$AF28-$AE28*(1+IH$3))/$AJ28,'Технический лист'!$A:$B,2,1),(IG28-0.05)))</f>
        <v>1</v>
      </c>
      <c r="II28" s="15">
        <f>MIN(1,MAX(VLOOKUP(($AJ28-$AI28-$AH28-$AG28-$AF28-$AE28*(1+II$3))/$AJ28,'Технический лист'!$A:$B,2,1),(IH28-0.05)))</f>
        <v>1</v>
      </c>
      <c r="IJ28" s="15">
        <f>MIN(1,MAX(VLOOKUP(($AJ28-$AI28-$AH28-$AG28-$AF28-$AE28*(1+IJ$3))/$AJ28,'Технический лист'!$A:$B,2,1),(II28-0.05)))</f>
        <v>1</v>
      </c>
      <c r="IK28" s="15">
        <f>MIN(1,MAX(VLOOKUP(($AJ28-$AI28-$AH28-$AG28-$AF28-$AE28*(1+IK$3))/$AJ28,'Технический лист'!$A:$B,2,1),(IJ28-0.05)))</f>
        <v>1</v>
      </c>
      <c r="IL28" s="15">
        <f>MIN(1,MAX(VLOOKUP(($AJ28-$AI28-$AH28-$AG28-$AF28-$AE28*(1+IL$3))/$AJ28,'Технический лист'!$A:$B,2,1),(IK28-0.05)))</f>
        <v>1</v>
      </c>
      <c r="IM28" s="15">
        <f>MIN(1,MAX(VLOOKUP(($AJ28-$AI28-$AH28-$AG28-$AF28-$AE28*(1+IM$3))/$AJ28,'Технический лист'!$A:$B,2,1),(IL28-0.05)))</f>
        <v>1</v>
      </c>
      <c r="IN28" s="15">
        <f>MIN(1,MAX(VLOOKUP(($AJ28-$AI28-$AH28-$AG28-$AF28-$AE28*(1+IN$3))/$AJ28,'Технический лист'!$A:$B,2,1),(IM28-0.05)))</f>
        <v>1</v>
      </c>
      <c r="IO28" s="15">
        <f>MIN(1,MAX(VLOOKUP(($AJ28-$AI28-$AH28-$AG28-$AF28-$AE28*(1+IO$3))/$AJ28,'Технический лист'!$A:$B,2,1),(IN28-0.05)))</f>
        <v>1</v>
      </c>
      <c r="IP28" s="15">
        <f>MIN(1,MAX(VLOOKUP(($AJ28-$AI28-$AH28-$AG28-$AF28-$AE28*(1+IP$3))/$AJ28,'Технический лист'!$A:$B,2,1),(IO28-0.05)))</f>
        <v>1</v>
      </c>
      <c r="IQ28" s="15">
        <f>MIN(1,MAX(VLOOKUP(($AJ28-$AI28-$AH28-$AG28-$AF28-$AE28*(1+IQ$3))/$AJ28,'Технический лист'!$A:$B,2,1),(IP28-0.05)))</f>
        <v>1</v>
      </c>
      <c r="IR28" s="15">
        <f>MIN(1,MAX(VLOOKUP(($AJ28-$AI28-$AH28-$AG28-$AF28-$AE28*(1+IR$3))/$AJ28,'Технический лист'!$A:$B,2,1),(IQ28-0.05)))</f>
        <v>1</v>
      </c>
    </row>
    <row r="29" spans="1:252" ht="34.75" customHeight="1">
      <c r="A29" s="89" t="s">
        <v>514</v>
      </c>
      <c r="B29" s="90">
        <v>2</v>
      </c>
      <c r="C29" s="5" t="s">
        <v>65</v>
      </c>
      <c r="D29" s="91">
        <v>17110</v>
      </c>
      <c r="E29" s="91" t="s">
        <v>322</v>
      </c>
      <c r="F29" s="92" t="s">
        <v>69</v>
      </c>
      <c r="G29" s="91" t="s">
        <v>31</v>
      </c>
      <c r="H29" s="91" t="s">
        <v>31</v>
      </c>
      <c r="I29" s="91" t="s">
        <v>102</v>
      </c>
      <c r="J29" s="91" t="s">
        <v>56</v>
      </c>
      <c r="K29" s="91">
        <v>178</v>
      </c>
      <c r="L29" s="85" t="s">
        <v>64</v>
      </c>
      <c r="M29" s="91" t="s">
        <v>17</v>
      </c>
      <c r="N29" s="91" t="s">
        <v>191</v>
      </c>
      <c r="O29" s="91" t="s">
        <v>192</v>
      </c>
      <c r="P29" s="89" t="s">
        <v>207</v>
      </c>
      <c r="Q29" s="91" t="s">
        <v>270</v>
      </c>
      <c r="R29" s="91" t="s">
        <v>256</v>
      </c>
      <c r="S29" s="82">
        <v>1039</v>
      </c>
      <c r="T29" s="82">
        <v>185023</v>
      </c>
      <c r="U29" s="81">
        <v>18</v>
      </c>
      <c r="V29" s="81">
        <v>0</v>
      </c>
      <c r="W29" s="82">
        <v>443459</v>
      </c>
      <c r="X29" s="112">
        <v>58</v>
      </c>
      <c r="Y29" s="112" t="s">
        <v>416</v>
      </c>
      <c r="Z29" s="113">
        <v>2</v>
      </c>
      <c r="AA29" s="113">
        <v>1</v>
      </c>
      <c r="AB29" s="113">
        <v>4</v>
      </c>
      <c r="AC29" s="99">
        <v>471.74</v>
      </c>
      <c r="AD29" s="99">
        <f t="shared" si="1"/>
        <v>77.590000000000032</v>
      </c>
      <c r="AE29" s="99">
        <v>549.33000000000004</v>
      </c>
      <c r="AF29" s="98">
        <f>(Z29+AA29+AB29)*'Ставки аренды'!$B$3/X29</f>
        <v>84.482758620689651</v>
      </c>
      <c r="AG29" s="114">
        <v>0</v>
      </c>
      <c r="AH29" s="94">
        <v>0</v>
      </c>
      <c r="AI29" s="116">
        <f>429559973/511416159*AVERAGE(AJ28,AJ29)</f>
        <v>13773.051082443957</v>
      </c>
      <c r="AJ29" s="117">
        <f>Цены!$C$8*'Курсы валют'!$B$2</f>
        <v>15795.238499999999</v>
      </c>
      <c r="AK29" s="94">
        <f>AJ29/Цены!$B$1</f>
        <v>207</v>
      </c>
      <c r="AL29" s="95">
        <f t="shared" si="5"/>
        <v>633.81275862068969</v>
      </c>
      <c r="AM29" s="95">
        <f t="shared" si="6"/>
        <v>15161.425741379309</v>
      </c>
      <c r="AN29" s="94">
        <f t="shared" si="2"/>
        <v>14406.863841064647</v>
      </c>
      <c r="AO29" s="118">
        <f t="shared" si="3"/>
        <v>8.7898302956004898E-2</v>
      </c>
      <c r="AP29" s="96">
        <f t="shared" si="7"/>
        <v>4.0126824208491042E-2</v>
      </c>
      <c r="AQ29" s="96">
        <f t="shared" si="8"/>
        <v>3.4778202304447642E-2</v>
      </c>
      <c r="AR29" s="96">
        <f t="shared" si="9"/>
        <v>0.86670707165229366</v>
      </c>
      <c r="AS29" s="122">
        <v>1</v>
      </c>
      <c r="AT29" s="121">
        <f t="shared" si="10"/>
        <v>1039</v>
      </c>
      <c r="AU29" s="83">
        <v>0.7</v>
      </c>
      <c r="AV29" s="119">
        <f t="shared" si="11"/>
        <v>8.3724918679471225E-2</v>
      </c>
      <c r="AW29" s="120">
        <f t="shared" si="12"/>
        <v>4.4300208485024764E-2</v>
      </c>
      <c r="AX29" s="120">
        <f t="shared" si="13"/>
        <v>3.8951586580981357E-2</v>
      </c>
      <c r="AY29" s="120">
        <f t="shared" si="14"/>
        <v>0.87926418211211244</v>
      </c>
      <c r="AZ29" s="15">
        <f>MIN(IF($AU29=100%,1,1+VLOOKUP(($AJ29-$AI29-$AH29-$AG29-$AF29-$AE29*(1+AZ$3))/$AJ29,'Технический лист'!$A:$B,2,1)-VLOOKUP($AO29,'Технический лист'!$A:$B,2,1)),1+(1-$AU29))</f>
        <v>1.01</v>
      </c>
      <c r="BA29" s="15">
        <f>MIN(IF($AU29=100%,1,1+VLOOKUP(($AJ29-$AI29-$AH29-$AG29-$AF29-$AE29*(1+BA$3))/$AJ29,'Технический лист'!$A:$B,2,1)-VLOOKUP($AO29,'Технический лист'!$A:$B,2,1)),1+(1-$AU29))</f>
        <v>1.01</v>
      </c>
      <c r="BB29" s="15">
        <f>MIN(IF($AU29=100%,1,1+VLOOKUP(($AJ29-$AI29-$AH29-$AG29-$AF29-$AE29*(1+BB$3))/$AJ29,'Технический лист'!$A:$B,2,1)-VLOOKUP($AO29,'Технический лист'!$A:$B,2,1)),1+(1-$AU29))</f>
        <v>1.01</v>
      </c>
      <c r="BC29" s="15">
        <f>MIN(IF($AU29=100%,1,1+VLOOKUP(($AJ29-$AI29-$AH29-$AG29-$AF29-$AE29*(1+BC$3))/$AJ29,'Технический лист'!$A:$B,2,1)-VLOOKUP($AO29,'Технический лист'!$A:$B,2,1)),1+(1-$AU29))</f>
        <v>1.01</v>
      </c>
      <c r="BD29" s="15">
        <f>MIN(IF($AU29=100%,1,1+VLOOKUP(($AJ29-$AI29-$AH29-$AG29-$AF29-$AE29*(1+BD$3))/$AJ29,'Технический лист'!$A:$B,2,1)-VLOOKUP($AO29,'Технический лист'!$A:$B,2,1)),1+(1-$AU29))</f>
        <v>1.01</v>
      </c>
      <c r="BE29" s="15">
        <f>MIN(IF($AU29=100%,1,1+VLOOKUP(($AJ29-$AI29-$AH29-$AG29-$AF29-$AE29*(1+BE$3))/$AJ29,'Технический лист'!$A:$B,2,1)-VLOOKUP($AO29,'Технический лист'!$A:$B,2,1)),1+(1-$AU29))</f>
        <v>1.01</v>
      </c>
      <c r="BF29" s="15">
        <f>MIN(IF($AU29=100%,1,1+VLOOKUP(($AJ29-$AI29-$AH29-$AG29-$AF29-$AE29*(1+BF$3))/$AJ29,'Технический лист'!$A:$B,2,1)-VLOOKUP($AO29,'Технический лист'!$A:$B,2,1)),1+(1-$AU29))</f>
        <v>1.01</v>
      </c>
      <c r="BG29" s="15">
        <f>MIN(IF($AU29=100%,1,1+VLOOKUP(($AJ29-$AI29-$AH29-$AG29-$AF29-$AE29*(1+BG$3))/$AJ29,'Технический лист'!$A:$B,2,1)-VLOOKUP($AO29,'Технический лист'!$A:$B,2,1)),1+(1-$AU29))</f>
        <v>1.01</v>
      </c>
      <c r="BH29" s="15">
        <f>MIN(IF($AU29=100%,1,1+VLOOKUP(($AJ29-$AI29-$AH29-$AG29-$AF29-$AE29*(1+BH$3))/$AJ29,'Технический лист'!$A:$B,2,1)-VLOOKUP($AO29,'Технический лист'!$A:$B,2,1)),1+(1-$AU29))</f>
        <v>1.01</v>
      </c>
      <c r="BI29" s="15">
        <f>MIN(IF($AU29=100%,1,1+VLOOKUP(($AJ29-$AI29-$AH29-$AG29-$AF29-$AE29*(1+BI$3))/$AJ29,'Технический лист'!$A:$B,2,1)-VLOOKUP($AO29,'Технический лист'!$A:$B,2,1)),1+(1-$AU29))</f>
        <v>1.01</v>
      </c>
      <c r="BJ29" s="15">
        <f>MIN(IF($AU29=100%,1,1+VLOOKUP(($AJ29-$AI29-$AH29-$AG29-$AF29-$AE29*(1+BJ$3))/$AJ29,'Технический лист'!$A:$B,2,1)-VLOOKUP($AO29,'Технический лист'!$A:$B,2,1)),1+(1-$AU29))</f>
        <v>1.01</v>
      </c>
      <c r="BK29" s="15">
        <f>MIN(IF($AU29=100%,1,1+VLOOKUP(($AJ29-$AI29-$AH29-$AG29-$AF29-$AE29*(1+BK$3))/$AJ29,'Технический лист'!$A:$B,2,1)-VLOOKUP($AO29,'Технический лист'!$A:$B,2,1)),1+(1-$AU29))</f>
        <v>1.01</v>
      </c>
      <c r="BL29" s="15">
        <f>MIN(IF($AU29=100%,1,1+VLOOKUP(($AJ29-$AI29-$AH29-$AG29-$AF29-$AE29*(1+BL$3))/$AJ29,'Технический лист'!$A:$B,2,1)-VLOOKUP($AO29,'Технический лист'!$A:$B,2,1)),1+(1-$AU29))</f>
        <v>1.01</v>
      </c>
      <c r="BM29" s="15">
        <f>MIN(IF($AU29=100%,1,1+VLOOKUP(($AJ29-$AI29-$AH29-$AG29-$AF29-$AE29*(1+BM$3))/$AJ29,'Технический лист'!$A:$B,2,1)-VLOOKUP($AO29,'Технический лист'!$A:$B,2,1)),1+(1-$AU29))</f>
        <v>1.01</v>
      </c>
      <c r="BN29" s="15">
        <f>MIN(IF($AU29=100%,1,1+VLOOKUP(($AJ29-$AI29-$AH29-$AG29-$AF29-$AE29*(1+BN$3))/$AJ29,'Технический лист'!$A:$B,2,1)-VLOOKUP($AO29,'Технический лист'!$A:$B,2,1)),1+(1-$AU29))</f>
        <v>1.01</v>
      </c>
      <c r="BO29" s="15">
        <f>MIN(IF($AU29=100%,1,1+VLOOKUP(($AJ29-$AI29-$AH29-$AG29-$AF29-$AE29*(1+BO$3))/$AJ29,'Технический лист'!$A:$B,2,1)-VLOOKUP($AO29,'Технический лист'!$A:$B,2,1)),1+(1-$AU29))</f>
        <v>1.01</v>
      </c>
      <c r="BP29" s="15">
        <f>MIN(IF($AU29=100%,1,1+VLOOKUP(($AJ29-$AI29-$AH29-$AG29-$AF29-$AE29*(1+BP$3))/$AJ29,'Технический лист'!$A:$B,2,1)-VLOOKUP($AO29,'Технический лист'!$A:$B,2,1)),1+(1-$AU29))</f>
        <v>1.01</v>
      </c>
      <c r="BQ29" s="15">
        <f>MIN(IF($AU29=100%,1,1+VLOOKUP(($AJ29-$AI29-$AH29-$AG29-$AF29-$AE29*(1+BQ$3))/$AJ29,'Технический лист'!$A:$B,2,1)-VLOOKUP($AO29,'Технический лист'!$A:$B,2,1)),1+(1-$AU29))</f>
        <v>1.01</v>
      </c>
      <c r="BR29" s="15">
        <f>MIN(IF($AU29=100%,1,1+VLOOKUP(($AJ29-$AI29-$AH29-$AG29-$AF29-$AE29*(1+BR$3))/$AJ29,'Технический лист'!$A:$B,2,1)-VLOOKUP($AO29,'Технический лист'!$A:$B,2,1)),1+(1-$AU29))</f>
        <v>1.01</v>
      </c>
      <c r="BS29" s="15">
        <f>MIN(IF($AU29=100%,1,1+VLOOKUP(($AJ29-$AI29-$AH29-$AG29-$AF29-$AE29*(1+BS$3))/$AJ29,'Технический лист'!$A:$B,2,1)-VLOOKUP($AO29,'Технический лист'!$A:$B,2,1)),1+(1-$AU29))</f>
        <v>1.01</v>
      </c>
      <c r="BT29" s="15">
        <f>MIN(IF($AU29=100%,1,1+VLOOKUP(($AJ29-$AI29-$AH29-$AG29-$AF29-$AE29*(1+BT$3))/$AJ29,'Технический лист'!$A:$B,2,1)-VLOOKUP($AO29,'Технический лист'!$A:$B,2,1)),1+(1-$AU29))</f>
        <v>1.01</v>
      </c>
      <c r="BU29" s="15">
        <f>MIN(IF($AU29=100%,1,1+VLOOKUP(($AJ29-$AI29-$AH29-$AG29-$AF29-$AE29*(1+BU$3))/$AJ29,'Технический лист'!$A:$B,2,1)-VLOOKUP($AO29,'Технический лист'!$A:$B,2,1)),1+(1-$AU29))</f>
        <v>1.01</v>
      </c>
      <c r="BV29" s="15">
        <f>MIN(IF($AU29=100%,1,1+VLOOKUP(($AJ29-$AI29-$AH29-$AG29-$AF29-$AE29*(1+BV$3))/$AJ29,'Технический лист'!$A:$B,2,1)-VLOOKUP($AO29,'Технический лист'!$A:$B,2,1)),1+(1-$AU29))</f>
        <v>1.01</v>
      </c>
      <c r="BW29" s="15">
        <f>MIN(IF($AU29=100%,1,1+VLOOKUP(($AJ29-$AI29-$AH29-$AG29-$AF29-$AE29*(1+BW$3))/$AJ29,'Технический лист'!$A:$B,2,1)-VLOOKUP($AO29,'Технический лист'!$A:$B,2,1)),1+(1-$AU29))</f>
        <v>1.01</v>
      </c>
      <c r="BX29" s="15">
        <f>MIN(IF($AU29=100%,1,1+VLOOKUP(($AJ29-$AI29-$AH29-$AG29-$AF29-$AE29*(1+BX$3))/$AJ29,'Технический лист'!$A:$B,2,1)-VLOOKUP($AO29,'Технический лист'!$A:$B,2,1)),1+(1-$AU29))</f>
        <v>1.01</v>
      </c>
      <c r="BY29" s="15">
        <f>MIN(IF($AU29=100%,1,1+VLOOKUP(($AJ29-$AI29-$AH29-$AG29-$AF29-$AE29*(1+BY$3))/$AJ29,'Технический лист'!$A:$B,2,1)-VLOOKUP($AO29,'Технический лист'!$A:$B,2,1)),1+(1-$AU29))</f>
        <v>1.01</v>
      </c>
      <c r="BZ29" s="15">
        <f>MIN(IF($AU29=100%,1,1+VLOOKUP(($AJ29-$AI29-$AH29-$AG29-$AF29-$AE29*(1+BZ$3))/$AJ29,'Технический лист'!$A:$B,2,1)-VLOOKUP($AO29,'Технический лист'!$A:$B,2,1)),1+(1-$AU29))</f>
        <v>1.01</v>
      </c>
      <c r="CA29" s="15">
        <f>MIN(IF($AU29=100%,1,1+VLOOKUP(($AJ29-$AI29-$AH29-$AG29-$AF29-$AE29*(1+CA$3))/$AJ29,'Технический лист'!$A:$B,2,1)-VLOOKUP($AO29,'Технический лист'!$A:$B,2,1)),1+(1-$AU29))</f>
        <v>1.01</v>
      </c>
      <c r="CB29" s="15">
        <f>MIN(IF($AU29=100%,1,1+VLOOKUP(($AJ29-$AI29-$AH29-$AG29-$AF29-$AE29*(1+CB$3))/$AJ29,'Технический лист'!$A:$B,2,1)-VLOOKUP($AO29,'Технический лист'!$A:$B,2,1)),1+(1-$AU29))</f>
        <v>1.01</v>
      </c>
      <c r="CC29" s="15">
        <f>MIN(IF($AU29=100%,1,1+VLOOKUP(($AJ29-$AI29-$AH29-$AG29-$AF29-$AE29*(1+CC$3))/$AJ29,'Технический лист'!$A:$B,2,1)-VLOOKUP($AO29,'Технический лист'!$A:$B,2,1)),1+(1-$AU29))</f>
        <v>1.01</v>
      </c>
      <c r="CD29" s="15">
        <f>MIN(IF($AU29=100%,1,1+VLOOKUP(($AJ29-$AI29-$AH29-$AG29-$AF29-$AE29*(1+CD$3))/$AJ29,'Технический лист'!$A:$B,2,1)-VLOOKUP($AO29,'Технический лист'!$A:$B,2,1)),1+(1-$AU29))</f>
        <v>1.01</v>
      </c>
      <c r="CE29" s="15">
        <f>MIN(IF($AU29=100%,1,1+VLOOKUP(($AJ29-$AI29-$AH29-$AG29-$AF29-$AE29*(1+CE$3))/$AJ29,'Технический лист'!$A:$B,2,1)-VLOOKUP($AO29,'Технический лист'!$A:$B,2,1)),1+(1-$AU29))</f>
        <v>1.0050000000000001</v>
      </c>
      <c r="CF29" s="15">
        <f>MIN(IF($AU29=100%,1,1+VLOOKUP(($AJ29-$AI29-$AH29-$AG29-$AF29-$AE29*(1+CF$3))/$AJ29,'Технический лист'!$A:$B,2,1)-VLOOKUP($AO29,'Технический лист'!$A:$B,2,1)),1+(1-$AU29))</f>
        <v>1.0050000000000001</v>
      </c>
      <c r="CG29" s="15">
        <f>MIN(IF($AU29=100%,1,1+VLOOKUP(($AJ29-$AI29-$AH29-$AG29-$AF29-$AE29*(1+CG$3))/$AJ29,'Технический лист'!$A:$B,2,1)-VLOOKUP($AO29,'Технический лист'!$A:$B,2,1)),1+(1-$AU29))</f>
        <v>1.0050000000000001</v>
      </c>
      <c r="CH29" s="15">
        <f>MIN(IF($AU29=100%,1,1+VLOOKUP(($AJ29-$AI29-$AH29-$AG29-$AF29-$AE29*(1+CH$3))/$AJ29,'Технический лист'!$A:$B,2,1)-VLOOKUP($AO29,'Технический лист'!$A:$B,2,1)),1+(1-$AU29))</f>
        <v>1.0050000000000001</v>
      </c>
      <c r="CI29" s="15">
        <f>MIN(IF($AU29=100%,1,1+VLOOKUP(($AJ29-$AI29-$AH29-$AG29-$AF29-$AE29*(1+CI$3))/$AJ29,'Технический лист'!$A:$B,2,1)-VLOOKUP($AO29,'Технический лист'!$A:$B,2,1)),1+(1-$AU29))</f>
        <v>1.0050000000000001</v>
      </c>
      <c r="CJ29" s="15">
        <f>MIN(IF($AU29=100%,1,1+VLOOKUP(($AJ29-$AI29-$AH29-$AG29-$AF29-$AE29*(1+CJ$3))/$AJ29,'Технический лист'!$A:$B,2,1)-VLOOKUP($AO29,'Технический лист'!$A:$B,2,1)),1+(1-$AU29))</f>
        <v>1.0050000000000001</v>
      </c>
      <c r="CK29" s="15">
        <f>MIN(IF($AU29=100%,1,1+VLOOKUP(($AJ29-$AI29-$AH29-$AG29-$AF29-$AE29*(1+CK$3))/$AJ29,'Технический лист'!$A:$B,2,1)-VLOOKUP($AO29,'Технический лист'!$A:$B,2,1)),1+(1-$AU29))</f>
        <v>1.0050000000000001</v>
      </c>
      <c r="CL29" s="15">
        <f>MIN(IF($AU29=100%,1,1+VLOOKUP(($AJ29-$AI29-$AH29-$AG29-$AF29-$AE29*(1+CL$3))/$AJ29,'Технический лист'!$A:$B,2,1)-VLOOKUP($AO29,'Технический лист'!$A:$B,2,1)),1+(1-$AU29))</f>
        <v>1.0050000000000001</v>
      </c>
      <c r="CM29" s="15">
        <f>MIN(IF($AU29=100%,1,1+VLOOKUP(($AJ29-$AI29-$AH29-$AG29-$AF29-$AE29*(1+CM$3))/$AJ29,'Технический лист'!$A:$B,2,1)-VLOOKUP($AO29,'Технический лист'!$A:$B,2,1)),1+(1-$AU29))</f>
        <v>1.0050000000000001</v>
      </c>
      <c r="CN29" s="15">
        <f>MIN(IF($AU29=100%,1,1+VLOOKUP(($AJ29-$AI29-$AH29-$AG29-$AF29-$AE29*(1+CN$3))/$AJ29,'Технический лист'!$A:$B,2,1)-VLOOKUP($AO29,'Технический лист'!$A:$B,2,1)),1+(1-$AU29))</f>
        <v>1.0050000000000001</v>
      </c>
      <c r="CO29" s="15">
        <f>MIN(IF($AU29=100%,1,1+VLOOKUP(($AJ29-$AI29-$AH29-$AG29-$AF29-$AE29*(1+CO$3))/$AJ29,'Технический лист'!$A:$B,2,1)-VLOOKUP($AO29,'Технический лист'!$A:$B,2,1)),1+(1-$AU29))</f>
        <v>1.0050000000000001</v>
      </c>
      <c r="CP29" s="15">
        <f>MIN(IF($AU29=100%,1,1+VLOOKUP(($AJ29-$AI29-$AH29-$AG29-$AF29-$AE29*(1+CP$3))/$AJ29,'Технический лист'!$A:$B,2,1)-VLOOKUP($AO29,'Технический лист'!$A:$B,2,1)),1+(1-$AU29))</f>
        <v>1.0050000000000001</v>
      </c>
      <c r="CQ29" s="15">
        <f>MIN(IF($AU29=100%,1,1+VLOOKUP(($AJ29-$AI29-$AH29-$AG29-$AF29-$AE29*(1+CQ$3))/$AJ29,'Технический лист'!$A:$B,2,1)-VLOOKUP($AO29,'Технический лист'!$A:$B,2,1)),1+(1-$AU29))</f>
        <v>1.0050000000000001</v>
      </c>
      <c r="CR29" s="15">
        <f>MIN(IF($AU29=100%,1,1+VLOOKUP(($AJ29-$AI29-$AH29-$AG29-$AF29-$AE29*(1+CR$3))/$AJ29,'Технический лист'!$A:$B,2,1)-VLOOKUP($AO29,'Технический лист'!$A:$B,2,1)),1+(1-$AU29))</f>
        <v>1.0050000000000001</v>
      </c>
      <c r="CS29" s="15">
        <f>MIN(IF($AU29=100%,1,1+VLOOKUP(($AJ29-$AI29-$AH29-$AG29-$AF29-$AE29*(1+CS$3))/$AJ29,'Технический лист'!$A:$B,2,1)-VLOOKUP($AO29,'Технический лист'!$A:$B,2,1)),1+(1-$AU29))</f>
        <v>1.0050000000000001</v>
      </c>
      <c r="CT29" s="15">
        <f>MIN(IF($AU29=100%,1,1+VLOOKUP(($AJ29-$AI29-$AH29-$AG29-$AF29-$AE29*(1+CT$3))/$AJ29,'Технический лист'!$A:$B,2,1)-VLOOKUP($AO29,'Технический лист'!$A:$B,2,1)),1+(1-$AU29))</f>
        <v>1.0050000000000001</v>
      </c>
      <c r="CU29" s="15">
        <f>MIN(IF($AU29=100%,1,1+VLOOKUP(($AJ29-$AI29-$AH29-$AG29-$AF29-$AE29*(1+CU$3))/$AJ29,'Технический лист'!$A:$B,2,1)-VLOOKUP($AO29,'Технический лист'!$A:$B,2,1)),1+(1-$AU29))</f>
        <v>1.0050000000000001</v>
      </c>
      <c r="CV29" s="15">
        <f>MIN(IF($AU29=100%,1,1+VLOOKUP(($AJ29-$AI29-$AH29-$AG29-$AF29-$AE29*(1+CV$3))/$AJ29,'Технический лист'!$A:$B,2,1)-VLOOKUP($AO29,'Технический лист'!$A:$B,2,1)),1+(1-$AU29))</f>
        <v>1.0050000000000001</v>
      </c>
      <c r="CW29" s="15">
        <f>MIN(IF($AU29=100%,1,1+VLOOKUP(($AJ29-$AI29-$AH29-$AG29-$AF29-$AE29*(1+CW$3))/$AJ29,'Технический лист'!$A:$B,2,1)-VLOOKUP($AO29,'Технический лист'!$A:$B,2,1)),1+(1-$AU29))</f>
        <v>1.0050000000000001</v>
      </c>
      <c r="CX29" s="15">
        <f>MIN(IF($AU29=100%,1,1+VLOOKUP(($AJ29-$AI29-$AH29-$AG29-$AF29-$AE29*(1+CX$3))/$AJ29,'Технический лист'!$A:$B,2,1)-VLOOKUP($AO29,'Технический лист'!$A:$B,2,1)),1+(1-$AU29))</f>
        <v>1.0050000000000001</v>
      </c>
      <c r="CY29" s="15">
        <f>MIN(IF($AU29=100%,1,1+VLOOKUP(($AJ29-$AI29-$AH29-$AG29-$AF29-$AE29*(1+CY$3))/$AJ29,'Технический лист'!$A:$B,2,1)-VLOOKUP($AO29,'Технический лист'!$A:$B,2,1)),1+(1-$AU29))</f>
        <v>1.0050000000000001</v>
      </c>
      <c r="CZ29" s="15">
        <f>MIN(IF($AU29=100%,1,1+VLOOKUP(($AJ29-$AI29-$AH29-$AG29-$AF29-$AE29*(1+CZ$3))/$AJ29,'Технический лист'!$A:$B,2,1)-VLOOKUP($AO29,'Технический лист'!$A:$B,2,1)),1+(1-$AU29))</f>
        <v>1.0050000000000001</v>
      </c>
      <c r="DA29" s="15">
        <f>MIN(IF($AU29=100%,1,1+VLOOKUP(($AJ29-$AI29-$AH29-$AG29-$AF29-$AE29*(1+DA$3))/$AJ29,'Технический лист'!$A:$B,2,1)-VLOOKUP($AO29,'Технический лист'!$A:$B,2,1)),1+(1-$AU29))</f>
        <v>1.0050000000000001</v>
      </c>
      <c r="DB29" s="15">
        <f>MIN(IF($AU29=100%,1,1+VLOOKUP(($AJ29-$AI29-$AH29-$AG29-$AF29-$AE29*(1+DB$3))/$AJ29,'Технический лист'!$A:$B,2,1)-VLOOKUP($AO29,'Технический лист'!$A:$B,2,1)),1+(1-$AU29))</f>
        <v>1.0050000000000001</v>
      </c>
      <c r="DC29" s="15">
        <f>MIN(IF($AU29=100%,1,1+VLOOKUP(($AJ29-$AI29-$AH29-$AG29-$AF29-$AE29*(1+DC$3))/$AJ29,'Технический лист'!$A:$B,2,1)-VLOOKUP($AO29,'Технический лист'!$A:$B,2,1)),1+(1-$AU29))</f>
        <v>1.0050000000000001</v>
      </c>
      <c r="DD29" s="15">
        <f>MIN(IF($AU29=100%,1,1+VLOOKUP(($AJ29-$AI29-$AH29-$AG29-$AF29-$AE29*(1+DD$3))/$AJ29,'Технический лист'!$A:$B,2,1)-VLOOKUP($AO29,'Технический лист'!$A:$B,2,1)),1+(1-$AU29))</f>
        <v>1.0050000000000001</v>
      </c>
      <c r="DE29" s="15">
        <f>MIN(IF($AU29=100%,1,1+VLOOKUP(($AJ29-$AI29-$AH29-$AG29-$AF29-$AE29*(1+DE$3))/$AJ29,'Технический лист'!$A:$B,2,1)-VLOOKUP($AO29,'Технический лист'!$A:$B,2,1)),1+(1-$AU29))</f>
        <v>1.0050000000000001</v>
      </c>
      <c r="DF29" s="15">
        <f>MIN(IF($AU29=100%,1,1+VLOOKUP(($AJ29-$AI29-$AH29-$AG29-$AF29-$AE29*(1+DF$3))/$AJ29,'Технический лист'!$A:$B,2,1)-VLOOKUP($AO29,'Технический лист'!$A:$B,2,1)),1+(1-$AU29))</f>
        <v>1.0050000000000001</v>
      </c>
      <c r="DG29" s="15">
        <f>MIN(IF($AU29=100%,1,1+VLOOKUP(($AJ29-$AI29-$AH29-$AG29-$AF29-$AE29*(1+DG$3))/$AJ29,'Технический лист'!$A:$B,2,1)-VLOOKUP($AO29,'Технический лист'!$A:$B,2,1)),1+(1-$AU29))</f>
        <v>1.0050000000000001</v>
      </c>
      <c r="DH29" s="15">
        <f>MIN(IF($AU29=100%,1,1+VLOOKUP(($AJ29-$AI29-$AH29-$AG29-$AF29-$AE29*(1+DH$3))/$AJ29,'Технический лист'!$A:$B,2,1)-VLOOKUP($AO29,'Технический лист'!$A:$B,2,1)),1+(1-$AU29))</f>
        <v>1.0050000000000001</v>
      </c>
      <c r="DI29" s="15">
        <f>MIN(IF($AU29=100%,1,1+VLOOKUP(($AJ29-$AI29-$AH29-$AG29-$AF29-$AE29*(1+DI$3))/$AJ29,'Технический лист'!$A:$B,2,1)-VLOOKUP($AO29,'Технический лист'!$A:$B,2,1)),1+(1-$AU29))</f>
        <v>1.0050000000000001</v>
      </c>
      <c r="DJ29" s="15">
        <f>MIN(IF($AU29=100%,1,1+VLOOKUP(($AJ29-$AI29-$AH29-$AG29-$AF29-$AE29*(1+DJ$3))/$AJ29,'Технический лист'!$A:$B,2,1)-VLOOKUP($AO29,'Технический лист'!$A:$B,2,1)),1+(1-$AU29))</f>
        <v>1.0050000000000001</v>
      </c>
      <c r="DK29" s="15">
        <f>MIN(IF($AU29=100%,1,1+VLOOKUP(($AJ29-$AI29-$AH29-$AG29-$AF29-$AE29*(1+DK$3))/$AJ29,'Технический лист'!$A:$B,2,1)-VLOOKUP($AO29,'Технический лист'!$A:$B,2,1)),1+(1-$AU29))</f>
        <v>1.0050000000000001</v>
      </c>
      <c r="DL29" s="15">
        <f>MIN(IF($AU29=100%,1,1+VLOOKUP(($AJ29-$AI29-$AH29-$AG29-$AF29-$AE29*(1+DL$3))/$AJ29,'Технический лист'!$A:$B,2,1)-VLOOKUP($AO29,'Технический лист'!$A:$B,2,1)),1+(1-$AU29))</f>
        <v>1.0050000000000001</v>
      </c>
      <c r="DM29" s="15">
        <f>MIN(IF($AU29=100%,1,1+VLOOKUP(($AJ29-$AI29-$AH29-$AG29-$AF29-$AE29*(1+DM$3))/$AJ29,'Технический лист'!$A:$B,2,1)-VLOOKUP($AO29,'Технический лист'!$A:$B,2,1)),1+(1-$AU29))</f>
        <v>1.0050000000000001</v>
      </c>
      <c r="DN29" s="15">
        <f>MIN(IF($AU29=100%,1,1+VLOOKUP(($AJ29-$AI29-$AH29-$AG29-$AF29-$AE29*(1+DN$3))/$AJ29,'Технический лист'!$A:$B,2,1)-VLOOKUP($AO29,'Технический лист'!$A:$B,2,1)),1+(1-$AU29))</f>
        <v>1.0050000000000001</v>
      </c>
      <c r="DO29" s="15">
        <f>MIN(IF($AU29=100%,1,1+VLOOKUP(($AJ29-$AI29-$AH29-$AG29-$AF29-$AE29*(1+DO$3))/$AJ29,'Технический лист'!$A:$B,2,1)-VLOOKUP($AO29,'Технический лист'!$A:$B,2,1)),1+(1-$AU29))</f>
        <v>1.0050000000000001</v>
      </c>
      <c r="DP29" s="15">
        <f>MIN(IF($AU29=100%,1,1+VLOOKUP(($AJ29-$AI29-$AH29-$AG29-$AF29-$AE29*(1+DP$3))/$AJ29,'Технический лист'!$A:$B,2,1)-VLOOKUP($AO29,'Технический лист'!$A:$B,2,1)),1+(1-$AU29))</f>
        <v>1.0050000000000001</v>
      </c>
      <c r="DQ29" s="15">
        <f>MIN(IF($AU29=100%,1,1+VLOOKUP(($AJ29-$AI29-$AH29-$AG29-$AF29-$AE29*(1+DQ$3))/$AJ29,'Технический лист'!$A:$B,2,1)-VLOOKUP($AO29,'Технический лист'!$A:$B,2,1)),1+(1-$AU29))</f>
        <v>1.0050000000000001</v>
      </c>
      <c r="DR29" s="15">
        <f>MIN(IF($AU29=100%,1,1+VLOOKUP(($AJ29-$AI29-$AH29-$AG29-$AF29-$AE29*(1+DR$3))/$AJ29,'Технический лист'!$A:$B,2,1)-VLOOKUP($AO29,'Технический лист'!$A:$B,2,1)),1+(1-$AU29))</f>
        <v>1.0050000000000001</v>
      </c>
      <c r="DS29" s="15">
        <f>MIN(IF($AU29=100%,1,1+VLOOKUP(($AJ29-$AI29-$AH29-$AG29-$AF29-$AE29*(1+DS$3))/$AJ29,'Технический лист'!$A:$B,2,1)-VLOOKUP($AO29,'Технический лист'!$A:$B,2,1)),1+(1-$AU29))</f>
        <v>1.0050000000000001</v>
      </c>
      <c r="DT29" s="15">
        <f>MIN(IF($AU29=100%,1,1+VLOOKUP(($AJ29-$AI29-$AH29-$AG29-$AF29-$AE29*(1+DT$3))/$AJ29,'Технический лист'!$A:$B,2,1)-VLOOKUP($AO29,'Технический лист'!$A:$B,2,1)),1+(1-$AU29))</f>
        <v>1.0050000000000001</v>
      </c>
      <c r="DU29" s="15">
        <f>MIN(IF($AU29=100%,1,1+VLOOKUP(($AJ29-$AI29-$AH29-$AG29-$AF29-$AE29*(1+DU$3))/$AJ29,'Технический лист'!$A:$B,2,1)-VLOOKUP($AO29,'Технический лист'!$A:$B,2,1)),1+(1-$AU29))</f>
        <v>1.0050000000000001</v>
      </c>
      <c r="DV29" s="15">
        <f>MIN(IF($AU29=100%,1,1+VLOOKUP(($AJ29-$AI29-$AH29-$AG29-$AF29-$AE29*(1+DV$3))/$AJ29,'Технический лист'!$A:$B,2,1)-VLOOKUP($AO29,'Технический лист'!$A:$B,2,1)),1+(1-$AU29))</f>
        <v>1.0050000000000001</v>
      </c>
      <c r="DW29" s="15">
        <f>MIN(IF($AU29=100%,1,1+VLOOKUP(($AJ29-$AI29-$AH29-$AG29-$AF29-$AE29*(1+DW$3))/$AJ29,'Технический лист'!$A:$B,2,1)-VLOOKUP($AO29,'Технический лист'!$A:$B,2,1)),1+(1-$AU29))</f>
        <v>1.0050000000000001</v>
      </c>
      <c r="DX29" s="15">
        <f>MIN(IF($AU29=100%,1,1+VLOOKUP(($AJ29-$AI29-$AH29-$AG29-$AF29-$AE29*(1+DX$3))/$AJ29,'Технический лист'!$A:$B,2,1)-VLOOKUP($AO29,'Технический лист'!$A:$B,2,1)),1+(1-$AU29))</f>
        <v>1.0050000000000001</v>
      </c>
      <c r="DY29" s="15">
        <f>MIN(IF($AU29=100%,1,1+VLOOKUP(($AJ29-$AI29-$AH29-$AG29-$AF29-$AE29*(1+DY$3))/$AJ29,'Технический лист'!$A:$B,2,1)-VLOOKUP($AO29,'Технический лист'!$A:$B,2,1)),1+(1-$AU29))</f>
        <v>1.0050000000000001</v>
      </c>
      <c r="DZ29" s="15">
        <f>MIN(IF($AU29=100%,1,1+VLOOKUP(($AJ29-$AI29-$AH29-$AG29-$AF29-$AE29*(1+DZ$3))/$AJ29,'Технический лист'!$A:$B,2,1)-VLOOKUP($AO29,'Технический лист'!$A:$B,2,1)),1+(1-$AU29))</f>
        <v>1.0050000000000001</v>
      </c>
      <c r="EA29" s="15">
        <f>MIN(IF($AU29=100%,1,1+VLOOKUP(($AJ29-$AI29-$AH29-$AG29-$AF29-$AE29*(1+EA$3))/$AJ29,'Технический лист'!$A:$B,2,1)-VLOOKUP($AO29,'Технический лист'!$A:$B,2,1)),1+(1-$AU29))</f>
        <v>1.0050000000000001</v>
      </c>
      <c r="EB29" s="15">
        <f>MIN(IF($AU29=100%,1,1+VLOOKUP(($AJ29-$AI29-$AH29-$AG29-$AF29-$AE29*(1+EB$3))/$AJ29,'Технический лист'!$A:$B,2,1)-VLOOKUP($AO29,'Технический лист'!$A:$B,2,1)),1+(1-$AU29))</f>
        <v>1.0050000000000001</v>
      </c>
      <c r="EC29" s="15">
        <f>MIN(IF($AU29=100%,1,1+VLOOKUP(($AJ29-$AI29-$AH29-$AG29-$AF29-$AE29*(1+EC$3))/$AJ29,'Технический лист'!$A:$B,2,1)-VLOOKUP($AO29,'Технический лист'!$A:$B,2,1)),1+(1-$AU29))</f>
        <v>1.0050000000000001</v>
      </c>
      <c r="ED29" s="15">
        <f>MIN(IF($AU29=100%,1,1+VLOOKUP(($AJ29-$AI29-$AH29-$AG29-$AF29-$AE29*(1+ED$3))/$AJ29,'Технический лист'!$A:$B,2,1)-VLOOKUP($AO29,'Технический лист'!$A:$B,2,1)),1+(1-$AU29))</f>
        <v>1.0050000000000001</v>
      </c>
      <c r="EE29" s="15">
        <f>MIN(IF($AU29=100%,1,1+VLOOKUP(($AJ29-$AI29-$AH29-$AG29-$AF29-$AE29*(1+EE$3))/$AJ29,'Технический лист'!$A:$B,2,1)-VLOOKUP($AO29,'Технический лист'!$A:$B,2,1)),1+(1-$AU29))</f>
        <v>1.0050000000000001</v>
      </c>
      <c r="EF29" s="15">
        <f>MIN(IF($AU29=100%,1,1+VLOOKUP(($AJ29-$AI29-$AH29-$AG29-$AF29-$AE29*(1+EF$3))/$AJ29,'Технический лист'!$A:$B,2,1)-VLOOKUP($AO29,'Технический лист'!$A:$B,2,1)),1+(1-$AU29))</f>
        <v>1.0050000000000001</v>
      </c>
      <c r="EG29" s="15">
        <f>MIN(IF($AU29=100%,1,1+VLOOKUP(($AJ29-$AI29-$AH29-$AG29-$AF29-$AE29*(1+EG$3))/$AJ29,'Технический лист'!$A:$B,2,1)-VLOOKUP($AO29,'Технический лист'!$A:$B,2,1)),1+(1-$AU29))</f>
        <v>1.0050000000000001</v>
      </c>
      <c r="EH29" s="15">
        <f>MIN(IF($AU29=100%,1,1+VLOOKUP(($AJ29-$AI29-$AH29-$AG29-$AF29-$AE29*(1+EH$3))/$AJ29,'Технический лист'!$A:$B,2,1)-VLOOKUP($AO29,'Технический лист'!$A:$B,2,1)),1+(1-$AU29))</f>
        <v>1.0050000000000001</v>
      </c>
      <c r="EI29" s="15">
        <f>MIN(IF($AU29=100%,1,1+VLOOKUP(($AJ29-$AI29-$AH29-$AG29-$AF29-$AE29*(1+EI$3))/$AJ29,'Технический лист'!$A:$B,2,1)-VLOOKUP($AO29,'Технический лист'!$A:$B,2,1)),1+(1-$AU29))</f>
        <v>1.0050000000000001</v>
      </c>
      <c r="EJ29" s="15">
        <f>MIN(IF($AU29=100%,1,1+VLOOKUP(($AJ29-$AI29-$AH29-$AG29-$AF29-$AE29*(1+EJ$3))/$AJ29,'Технический лист'!$A:$B,2,1)-VLOOKUP($AO29,'Технический лист'!$A:$B,2,1)),1+(1-$AU29))</f>
        <v>1.0000000000000002</v>
      </c>
      <c r="EK29" s="15">
        <f>MIN(IF($AU29=100%,1,1+VLOOKUP(($AJ29-$AI29-$AH29-$AG29-$AF29-$AE29*(1+EK$3))/$AJ29,'Технический лист'!$A:$B,2,1)-VLOOKUP($AO29,'Технический лист'!$A:$B,2,1)),1+(1-$AU29))</f>
        <v>1.0000000000000002</v>
      </c>
      <c r="EL29" s="15">
        <f>MIN(IF($AU29=100%,1,1+VLOOKUP(($AJ29-$AI29-$AH29-$AG29-$AF29-$AE29*(1+EL$3))/$AJ29,'Технический лист'!$A:$B,2,1)-VLOOKUP($AO29,'Технический лист'!$A:$B,2,1)),1+(1-$AU29))</f>
        <v>1.0000000000000002</v>
      </c>
      <c r="EM29" s="15">
        <f>MIN(IF($AU29=100%,1,1+VLOOKUP(($AJ29-$AI29-$AH29-$AG29-$AF29-$AE29*(1+EM$3))/$AJ29,'Технический лист'!$A:$B,2,1)-VLOOKUP($AO29,'Технический лист'!$A:$B,2,1)),1+(1-$AU29))</f>
        <v>1.0000000000000002</v>
      </c>
      <c r="EN29" s="15">
        <f>MIN(IF($AU29=100%,1,1+VLOOKUP(($AJ29-$AI29-$AH29-$AG29-$AF29-$AE29*(1+EN$3))/$AJ29,'Технический лист'!$A:$B,2,1)-VLOOKUP($AO29,'Технический лист'!$A:$B,2,1)),1+(1-$AU29))</f>
        <v>1.0000000000000002</v>
      </c>
      <c r="EO29" s="15">
        <f>MIN(IF($AU29=100%,1,1+VLOOKUP(($AJ29-$AI29-$AH29-$AG29-$AF29-$AE29*(1+EO$3))/$AJ29,'Технический лист'!$A:$B,2,1)-VLOOKUP($AO29,'Технический лист'!$A:$B,2,1)),1+(1-$AU29))</f>
        <v>1.0000000000000002</v>
      </c>
      <c r="EP29" s="15">
        <f>MIN(IF($AU29=100%,1,1+VLOOKUP(($AJ29-$AI29-$AH29-$AG29-$AF29-$AE29*(1+EP$3))/$AJ29,'Технический лист'!$A:$B,2,1)-VLOOKUP($AO29,'Технический лист'!$A:$B,2,1)),1+(1-$AU29))</f>
        <v>1.0000000000000002</v>
      </c>
      <c r="EQ29" s="15">
        <f>MIN(IF($AU29=100%,1,1+VLOOKUP(($AJ29-$AI29-$AH29-$AG29-$AF29-$AE29*(1+EQ$3))/$AJ29,'Технический лист'!$A:$B,2,1)-VLOOKUP($AO29,'Технический лист'!$A:$B,2,1)),1+(1-$AU29))</f>
        <v>1.0000000000000002</v>
      </c>
      <c r="ER29" s="15">
        <f>MIN(IF($AU29=100%,1,1+VLOOKUP(($AJ29-$AI29-$AH29-$AG29-$AF29-$AE29*(1+ER$3))/$AJ29,'Технический лист'!$A:$B,2,1)-VLOOKUP($AO29,'Технический лист'!$A:$B,2,1)),1+(1-$AU29))</f>
        <v>1.0000000000000002</v>
      </c>
      <c r="ES29" s="15">
        <f>MIN(IF($AU29=100%,1,1+VLOOKUP(($AJ29-$AI29-$AH29-$AG29-$AF29-$AE29*(1+ES$3))/$AJ29,'Технический лист'!$A:$B,2,1)-VLOOKUP($AO29,'Технический лист'!$A:$B,2,1)),1+(1-$AU29))</f>
        <v>1.0000000000000002</v>
      </c>
      <c r="ET29" s="15">
        <f>MIN(IF($AU29=100%,1,1+VLOOKUP(($AJ29-$AI29-$AH29-$AG29-$AF29-$AE29*(1+ET$3))/$AJ29,'Технический лист'!$A:$B,2,1)-VLOOKUP($AO29,'Технический лист'!$A:$B,2,1)),1+(1-$AU29))</f>
        <v>1.0000000000000002</v>
      </c>
      <c r="EU29" s="15">
        <f>MIN(IF($AU29=100%,1,1+VLOOKUP(($AJ29-$AI29-$AH29-$AG29-$AF29-$AE29*(1+EU$3))/$AJ29,'Технический лист'!$A:$B,2,1)-VLOOKUP($AO29,'Технический лист'!$A:$B,2,1)),1+(1-$AU29))</f>
        <v>1.0000000000000002</v>
      </c>
      <c r="EV29" s="111">
        <v>1</v>
      </c>
      <c r="EW29" s="15">
        <f>MIN(1,MAX(VLOOKUP(($AJ29-$AI29-$AH29-$AG29-$AF29-$AE29*(1+EW$3))/$AJ29,'Технический лист'!$A:$B,2,1),(EV29-0.05)))</f>
        <v>1</v>
      </c>
      <c r="EX29" s="15">
        <f>MIN(1,MAX(VLOOKUP(($AJ29-$AI29-$AH29-$AG29-$AF29-$AE29*(1+EX$3))/$AJ29,'Технический лист'!$A:$B,2,1),(EW29-0.05)))</f>
        <v>1</v>
      </c>
      <c r="EY29" s="15">
        <f>MIN(1,MAX(VLOOKUP(($AJ29-$AI29-$AH29-$AG29-$AF29-$AE29*(1+EY$3))/$AJ29,'Технический лист'!$A:$B,2,1),(EX29-0.05)))</f>
        <v>1</v>
      </c>
      <c r="EZ29" s="15">
        <f>MIN(1,MAX(VLOOKUP(($AJ29-$AI29-$AH29-$AG29-$AF29-$AE29*(1+EZ$3))/$AJ29,'Технический лист'!$A:$B,2,1),(EY29-0.05)))</f>
        <v>1</v>
      </c>
      <c r="FA29" s="15">
        <f>MIN(1,MAX(VLOOKUP(($AJ29-$AI29-$AH29-$AG29-$AF29-$AE29*(1+FA$3))/$AJ29,'Технический лист'!$A:$B,2,1),(EZ29-0.05)))</f>
        <v>1</v>
      </c>
      <c r="FB29" s="15">
        <f>MIN(1,MAX(VLOOKUP(($AJ29-$AI29-$AH29-$AG29-$AF29-$AE29*(1+FB$3))/$AJ29,'Технический лист'!$A:$B,2,1),(FA29-0.05)))</f>
        <v>1</v>
      </c>
      <c r="FC29" s="15">
        <f>MIN(1,MAX(VLOOKUP(($AJ29-$AI29-$AH29-$AG29-$AF29-$AE29*(1+FC$3))/$AJ29,'Технический лист'!$A:$B,2,1),(FB29-0.05)))</f>
        <v>1</v>
      </c>
      <c r="FD29" s="15">
        <f>MIN(1,MAX(VLOOKUP(($AJ29-$AI29-$AH29-$AG29-$AF29-$AE29*(1+FD$3))/$AJ29,'Технический лист'!$A:$B,2,1),(FC29-0.05)))</f>
        <v>1</v>
      </c>
      <c r="FE29" s="15">
        <f>MIN(1,MAX(VLOOKUP(($AJ29-$AI29-$AH29-$AG29-$AF29-$AE29*(1+FE$3))/$AJ29,'Технический лист'!$A:$B,2,1),(FD29-0.05)))</f>
        <v>1</v>
      </c>
      <c r="FF29" s="15">
        <f>MIN(1,MAX(VLOOKUP(($AJ29-$AI29-$AH29-$AG29-$AF29-$AE29*(1+FF$3))/$AJ29,'Технический лист'!$A:$B,2,1),(FE29-0.05)))</f>
        <v>1</v>
      </c>
      <c r="FG29" s="15">
        <f>MIN(1,MAX(VLOOKUP(($AJ29-$AI29-$AH29-$AG29-$AF29-$AE29*(1+FG$3))/$AJ29,'Технический лист'!$A:$B,2,1),(FF29-0.05)))</f>
        <v>1</v>
      </c>
      <c r="FH29" s="15">
        <f>MIN(1,MAX(VLOOKUP(($AJ29-$AI29-$AH29-$AG29-$AF29-$AE29*(1+FH$3))/$AJ29,'Технический лист'!$A:$B,2,1),(FG29-0.05)))</f>
        <v>1</v>
      </c>
      <c r="FI29" s="15">
        <f>MIN(1,MAX(VLOOKUP(($AJ29-$AI29-$AH29-$AG29-$AF29-$AE29*(1+FI$3))/$AJ29,'Технический лист'!$A:$B,2,1),(FH29-0.05)))</f>
        <v>1</v>
      </c>
      <c r="FJ29" s="15">
        <f>MIN(1,MAX(VLOOKUP(($AJ29-$AI29-$AH29-$AG29-$AF29-$AE29*(1+FJ$3))/$AJ29,'Технический лист'!$A:$B,2,1),(FI29-0.05)))</f>
        <v>1</v>
      </c>
      <c r="FK29" s="15">
        <f>MIN(1,MAX(VLOOKUP(($AJ29-$AI29-$AH29-$AG29-$AF29-$AE29*(1+FK$3))/$AJ29,'Технический лист'!$A:$B,2,1),(FJ29-0.05)))</f>
        <v>1</v>
      </c>
      <c r="FL29" s="15">
        <f>MIN(1,MAX(VLOOKUP(($AJ29-$AI29-$AH29-$AG29-$AF29-$AE29*(1+FL$3))/$AJ29,'Технический лист'!$A:$B,2,1),(FK29-0.05)))</f>
        <v>1</v>
      </c>
      <c r="FM29" s="15">
        <f>MIN(1,MAX(VLOOKUP(($AJ29-$AI29-$AH29-$AG29-$AF29-$AE29*(1+FM$3))/$AJ29,'Технический лист'!$A:$B,2,1),(FL29-0.05)))</f>
        <v>1</v>
      </c>
      <c r="FN29" s="15">
        <f>MIN(1,MAX(VLOOKUP(($AJ29-$AI29-$AH29-$AG29-$AF29-$AE29*(1+FN$3))/$AJ29,'Технический лист'!$A:$B,2,1),(FM29-0.05)))</f>
        <v>1</v>
      </c>
      <c r="FO29" s="15">
        <f>MIN(1,MAX(VLOOKUP(($AJ29-$AI29-$AH29-$AG29-$AF29-$AE29*(1+FO$3))/$AJ29,'Технический лист'!$A:$B,2,1),(FN29-0.05)))</f>
        <v>1</v>
      </c>
      <c r="FP29" s="15">
        <f>MIN(1,MAX(VLOOKUP(($AJ29-$AI29-$AH29-$AG29-$AF29-$AE29*(1+FP$3))/$AJ29,'Технический лист'!$A:$B,2,1),(FO29-0.05)))</f>
        <v>1</v>
      </c>
      <c r="FQ29" s="15">
        <f>MIN(1,MAX(VLOOKUP(($AJ29-$AI29-$AH29-$AG29-$AF29-$AE29*(1+FQ$3))/$AJ29,'Технический лист'!$A:$B,2,1),(FP29-0.05)))</f>
        <v>1</v>
      </c>
      <c r="FR29" s="15">
        <f>MIN(1,MAX(VLOOKUP(($AJ29-$AI29-$AH29-$AG29-$AF29-$AE29*(1+FR$3))/$AJ29,'Технический лист'!$A:$B,2,1),(FQ29-0.05)))</f>
        <v>1</v>
      </c>
      <c r="FS29" s="15">
        <f>MIN(1,MAX(VLOOKUP(($AJ29-$AI29-$AH29-$AG29-$AF29-$AE29*(1+FS$3))/$AJ29,'Технический лист'!$A:$B,2,1),(FR29-0.05)))</f>
        <v>1</v>
      </c>
      <c r="FT29" s="15">
        <f>MIN(1,MAX(VLOOKUP(($AJ29-$AI29-$AH29-$AG29-$AF29-$AE29*(1+FT$3))/$AJ29,'Технический лист'!$A:$B,2,1),(FS29-0.05)))</f>
        <v>1</v>
      </c>
      <c r="FU29" s="15">
        <f>MIN(1,MAX(VLOOKUP(($AJ29-$AI29-$AH29-$AG29-$AF29-$AE29*(1+FU$3))/$AJ29,'Технический лист'!$A:$B,2,1),(FT29-0.05)))</f>
        <v>1</v>
      </c>
      <c r="FV29" s="15">
        <f>MIN(1,MAX(VLOOKUP(($AJ29-$AI29-$AH29-$AG29-$AF29-$AE29*(1+FV$3))/$AJ29,'Технический лист'!$A:$B,2,1),(FU29-0.05)))</f>
        <v>1</v>
      </c>
      <c r="FW29" s="15">
        <f>MIN(1,MAX(VLOOKUP(($AJ29-$AI29-$AH29-$AG29-$AF29-$AE29*(1+FW$3))/$AJ29,'Технический лист'!$A:$B,2,1),(FV29-0.05)))</f>
        <v>1</v>
      </c>
      <c r="FX29" s="15">
        <f>MIN(1,MAX(VLOOKUP(($AJ29-$AI29-$AH29-$AG29-$AF29-$AE29*(1+FX$3))/$AJ29,'Технический лист'!$A:$B,2,1),(FW29-0.05)))</f>
        <v>1</v>
      </c>
      <c r="FY29" s="15">
        <f>MIN(1,MAX(VLOOKUP(($AJ29-$AI29-$AH29-$AG29-$AF29-$AE29*(1+FY$3))/$AJ29,'Технический лист'!$A:$B,2,1),(FX29-0.05)))</f>
        <v>1</v>
      </c>
      <c r="FZ29" s="15">
        <f>MIN(1,MAX(VLOOKUP(($AJ29-$AI29-$AH29-$AG29-$AF29-$AE29*(1+FZ$3))/$AJ29,'Технический лист'!$A:$B,2,1),(FY29-0.05)))</f>
        <v>1</v>
      </c>
      <c r="GA29" s="15">
        <f>MIN(1,MAX(VLOOKUP(($AJ29-$AI29-$AH29-$AG29-$AF29-$AE29*(1+GA$3))/$AJ29,'Технический лист'!$A:$B,2,1),(FZ29-0.05)))</f>
        <v>1</v>
      </c>
      <c r="GB29" s="15">
        <f>MIN(1,MAX(VLOOKUP(($AJ29-$AI29-$AH29-$AG29-$AF29-$AE29*(1+GB$3))/$AJ29,'Технический лист'!$A:$B,2,1),(GA29-0.05)))</f>
        <v>1</v>
      </c>
      <c r="GC29" s="15">
        <f>MIN(1,MAX(VLOOKUP(($AJ29-$AI29-$AH29-$AG29-$AF29-$AE29*(1+GC$3))/$AJ29,'Технический лист'!$A:$B,2,1),(GB29-0.05)))</f>
        <v>1</v>
      </c>
      <c r="GD29" s="15">
        <f>MIN(1,MAX(VLOOKUP(($AJ29-$AI29-$AH29-$AG29-$AF29-$AE29*(1+GD$3))/$AJ29,'Технический лист'!$A:$B,2,1),(GC29-0.05)))</f>
        <v>1</v>
      </c>
      <c r="GE29" s="15">
        <f>MIN(1,MAX(VLOOKUP(($AJ29-$AI29-$AH29-$AG29-$AF29-$AE29*(1+GE$3))/$AJ29,'Технический лист'!$A:$B,2,1),(GD29-0.05)))</f>
        <v>1</v>
      </c>
      <c r="GF29" s="15">
        <f>MIN(1,MAX(VLOOKUP(($AJ29-$AI29-$AH29-$AG29-$AF29-$AE29*(1+GF$3))/$AJ29,'Технический лист'!$A:$B,2,1),(GE29-0.05)))</f>
        <v>1</v>
      </c>
      <c r="GG29" s="15">
        <f>MIN(1,MAX(VLOOKUP(($AJ29-$AI29-$AH29-$AG29-$AF29-$AE29*(1+GG$3))/$AJ29,'Технический лист'!$A:$B,2,1),(GF29-0.05)))</f>
        <v>1</v>
      </c>
      <c r="GH29" s="15">
        <f>MIN(1,MAX(VLOOKUP(($AJ29-$AI29-$AH29-$AG29-$AF29-$AE29*(1+GH$3))/$AJ29,'Технический лист'!$A:$B,2,1),(GG29-0.05)))</f>
        <v>1</v>
      </c>
      <c r="GI29" s="15">
        <f>MIN(1,MAX(VLOOKUP(($AJ29-$AI29-$AH29-$AG29-$AF29-$AE29*(1+GI$3))/$AJ29,'Технический лист'!$A:$B,2,1),(GH29-0.05)))</f>
        <v>1</v>
      </c>
      <c r="GJ29" s="15">
        <f>MIN(1,MAX(VLOOKUP(($AJ29-$AI29-$AH29-$AG29-$AF29-$AE29*(1+GJ$3))/$AJ29,'Технический лист'!$A:$B,2,1),(GI29-0.05)))</f>
        <v>1</v>
      </c>
      <c r="GK29" s="15">
        <f>MIN(1,MAX(VLOOKUP(($AJ29-$AI29-$AH29-$AG29-$AF29-$AE29*(1+GK$3))/$AJ29,'Технический лист'!$A:$B,2,1),(GJ29-0.05)))</f>
        <v>1</v>
      </c>
      <c r="GL29" s="15">
        <f>MIN(1,MAX(VLOOKUP(($AJ29-$AI29-$AH29-$AG29-$AF29-$AE29*(1+GL$3))/$AJ29,'Технический лист'!$A:$B,2,1),(GK29-0.05)))</f>
        <v>1</v>
      </c>
      <c r="GM29" s="15">
        <f>MIN(1,MAX(VLOOKUP(($AJ29-$AI29-$AH29-$AG29-$AF29-$AE29*(1+GM$3))/$AJ29,'Технический лист'!$A:$B,2,1),(GL29-0.05)))</f>
        <v>1</v>
      </c>
      <c r="GN29" s="15">
        <f>MIN(1,MAX(VLOOKUP(($AJ29-$AI29-$AH29-$AG29-$AF29-$AE29*(1+GN$3))/$AJ29,'Технический лист'!$A:$B,2,1),(GM29-0.05)))</f>
        <v>1</v>
      </c>
      <c r="GO29" s="15">
        <f>MIN(1,MAX(VLOOKUP(($AJ29-$AI29-$AH29-$AG29-$AF29-$AE29*(1+GO$3))/$AJ29,'Технический лист'!$A:$B,2,1),(GN29-0.05)))</f>
        <v>1</v>
      </c>
      <c r="GP29" s="15">
        <f>MIN(1,MAX(VLOOKUP(($AJ29-$AI29-$AH29-$AG29-$AF29-$AE29*(1+GP$3))/$AJ29,'Технический лист'!$A:$B,2,1),(GO29-0.05)))</f>
        <v>1</v>
      </c>
      <c r="GQ29" s="15">
        <f>MIN(1,MAX(VLOOKUP(($AJ29-$AI29-$AH29-$AG29-$AF29-$AE29*(1+GQ$3))/$AJ29,'Технический лист'!$A:$B,2,1),(GP29-0.05)))</f>
        <v>1</v>
      </c>
      <c r="GR29" s="15">
        <f>MIN(1,MAX(VLOOKUP(($AJ29-$AI29-$AH29-$AG29-$AF29-$AE29*(1+GR$3))/$AJ29,'Технический лист'!$A:$B,2,1),(GQ29-0.05)))</f>
        <v>1</v>
      </c>
      <c r="GS29" s="15">
        <f>MIN(1,MAX(VLOOKUP(($AJ29-$AI29-$AH29-$AG29-$AF29-$AE29*(1+GS$3))/$AJ29,'Технический лист'!$A:$B,2,1),(GR29-0.05)))</f>
        <v>1</v>
      </c>
      <c r="GT29" s="15">
        <f>MIN(1,MAX(VLOOKUP(($AJ29-$AI29-$AH29-$AG29-$AF29-$AE29*(1+GT$3))/$AJ29,'Технический лист'!$A:$B,2,1),(GS29-0.05)))</f>
        <v>1</v>
      </c>
      <c r="GU29" s="15">
        <f>MIN(1,MAX(VLOOKUP(($AJ29-$AI29-$AH29-$AG29-$AF29-$AE29*(1+GU$3))/$AJ29,'Технический лист'!$A:$B,2,1),(GT29-0.05)))</f>
        <v>1</v>
      </c>
      <c r="GV29" s="15">
        <f>MIN(1,MAX(VLOOKUP(($AJ29-$AI29-$AH29-$AG29-$AF29-$AE29*(1+GV$3))/$AJ29,'Технический лист'!$A:$B,2,1),(GU29-0.05)))</f>
        <v>1</v>
      </c>
      <c r="GW29" s="15">
        <f>MIN(1,MAX(VLOOKUP(($AJ29-$AI29-$AH29-$AG29-$AF29-$AE29*(1+GW$3))/$AJ29,'Технический лист'!$A:$B,2,1),(GV29-0.05)))</f>
        <v>1</v>
      </c>
      <c r="GX29" s="15">
        <f>MIN(1,MAX(VLOOKUP(($AJ29-$AI29-$AH29-$AG29-$AF29-$AE29*(1+GX$3))/$AJ29,'Технический лист'!$A:$B,2,1),(GW29-0.05)))</f>
        <v>1</v>
      </c>
      <c r="GY29" s="15">
        <f>MIN(1,MAX(VLOOKUP(($AJ29-$AI29-$AH29-$AG29-$AF29-$AE29*(1+GY$3))/$AJ29,'Технический лист'!$A:$B,2,1),(GX29-0.05)))</f>
        <v>1</v>
      </c>
      <c r="GZ29" s="15">
        <f>MIN(1,MAX(VLOOKUP(($AJ29-$AI29-$AH29-$AG29-$AF29-$AE29*(1+GZ$3))/$AJ29,'Технический лист'!$A:$B,2,1),(GY29-0.05)))</f>
        <v>1</v>
      </c>
      <c r="HA29" s="15">
        <f>MIN(1,MAX(VLOOKUP(($AJ29-$AI29-$AH29-$AG29-$AF29-$AE29*(1+HA$3))/$AJ29,'Технический лист'!$A:$B,2,1),(GZ29-0.05)))</f>
        <v>1</v>
      </c>
      <c r="HB29" s="15">
        <f>MIN(1,MAX(VLOOKUP(($AJ29-$AI29-$AH29-$AG29-$AF29-$AE29*(1+HB$3))/$AJ29,'Технический лист'!$A:$B,2,1),(HA29-0.05)))</f>
        <v>1</v>
      </c>
      <c r="HC29" s="15">
        <f>MIN(1,MAX(VLOOKUP(($AJ29-$AI29-$AH29-$AG29-$AF29-$AE29*(1+HC$3))/$AJ29,'Технический лист'!$A:$B,2,1),(HB29-0.05)))</f>
        <v>1</v>
      </c>
      <c r="HD29" s="15">
        <f>MIN(1,MAX(VLOOKUP(($AJ29-$AI29-$AH29-$AG29-$AF29-$AE29*(1+HD$3))/$AJ29,'Технический лист'!$A:$B,2,1),(HC29-0.05)))</f>
        <v>1</v>
      </c>
      <c r="HE29" s="15">
        <f>MIN(1,MAX(VLOOKUP(($AJ29-$AI29-$AH29-$AG29-$AF29-$AE29*(1+HE$3))/$AJ29,'Технический лист'!$A:$B,2,1),(HD29-0.05)))</f>
        <v>1</v>
      </c>
      <c r="HF29" s="15">
        <f>MIN(1,MAX(VLOOKUP(($AJ29-$AI29-$AH29-$AG29-$AF29-$AE29*(1+HF$3))/$AJ29,'Технический лист'!$A:$B,2,1),(HE29-0.05)))</f>
        <v>1</v>
      </c>
      <c r="HG29" s="15">
        <f>MIN(1,MAX(VLOOKUP(($AJ29-$AI29-$AH29-$AG29-$AF29-$AE29*(1+HG$3))/$AJ29,'Технический лист'!$A:$B,2,1),(HF29-0.05)))</f>
        <v>1</v>
      </c>
      <c r="HH29" s="15">
        <f>MIN(1,MAX(VLOOKUP(($AJ29-$AI29-$AH29-$AG29-$AF29-$AE29*(1+HH$3))/$AJ29,'Технический лист'!$A:$B,2,1),(HG29-0.05)))</f>
        <v>1</v>
      </c>
      <c r="HI29" s="15">
        <f>MIN(1,MAX(VLOOKUP(($AJ29-$AI29-$AH29-$AG29-$AF29-$AE29*(1+HI$3))/$AJ29,'Технический лист'!$A:$B,2,1),(HH29-0.05)))</f>
        <v>1</v>
      </c>
      <c r="HJ29" s="15">
        <f>MIN(1,MAX(VLOOKUP(($AJ29-$AI29-$AH29-$AG29-$AF29-$AE29*(1+HJ$3))/$AJ29,'Технический лист'!$A:$B,2,1),(HI29-0.05)))</f>
        <v>1</v>
      </c>
      <c r="HK29" s="15">
        <f>MIN(1,MAX(VLOOKUP(($AJ29-$AI29-$AH29-$AG29-$AF29-$AE29*(1+HK$3))/$AJ29,'Технический лист'!$A:$B,2,1),(HJ29-0.05)))</f>
        <v>1</v>
      </c>
      <c r="HL29" s="15">
        <f>MIN(1,MAX(VLOOKUP(($AJ29-$AI29-$AH29-$AG29-$AF29-$AE29*(1+HL$3))/$AJ29,'Технический лист'!$A:$B,2,1),(HK29-0.05)))</f>
        <v>1</v>
      </c>
      <c r="HM29" s="15">
        <f>MIN(1,MAX(VLOOKUP(($AJ29-$AI29-$AH29-$AG29-$AF29-$AE29*(1+HM$3))/$AJ29,'Технический лист'!$A:$B,2,1),(HL29-0.05)))</f>
        <v>1</v>
      </c>
      <c r="HN29" s="15">
        <f>MIN(1,MAX(VLOOKUP(($AJ29-$AI29-$AH29-$AG29-$AF29-$AE29*(1+HN$3))/$AJ29,'Технический лист'!$A:$B,2,1),(HM29-0.05)))</f>
        <v>1</v>
      </c>
      <c r="HO29" s="15">
        <f>MIN(1,MAX(VLOOKUP(($AJ29-$AI29-$AH29-$AG29-$AF29-$AE29*(1+HO$3))/$AJ29,'Технический лист'!$A:$B,2,1),(HN29-0.05)))</f>
        <v>1</v>
      </c>
      <c r="HP29" s="15">
        <f>MIN(1,MAX(VLOOKUP(($AJ29-$AI29-$AH29-$AG29-$AF29-$AE29*(1+HP$3))/$AJ29,'Технический лист'!$A:$B,2,1),(HO29-0.05)))</f>
        <v>1</v>
      </c>
      <c r="HQ29" s="15">
        <f>MIN(1,MAX(VLOOKUP(($AJ29-$AI29-$AH29-$AG29-$AF29-$AE29*(1+HQ$3))/$AJ29,'Технический лист'!$A:$B,2,1),(HP29-0.05)))</f>
        <v>1</v>
      </c>
      <c r="HR29" s="15">
        <f>MIN(1,MAX(VLOOKUP(($AJ29-$AI29-$AH29-$AG29-$AF29-$AE29*(1+HR$3))/$AJ29,'Технический лист'!$A:$B,2,1),(HQ29-0.05)))</f>
        <v>1</v>
      </c>
      <c r="HS29" s="15">
        <f>MIN(1,MAX(VLOOKUP(($AJ29-$AI29-$AH29-$AG29-$AF29-$AE29*(1+HS$3))/$AJ29,'Технический лист'!$A:$B,2,1),(HR29-0.05)))</f>
        <v>1</v>
      </c>
      <c r="HT29" s="15">
        <f>MIN(1,MAX(VLOOKUP(($AJ29-$AI29-$AH29-$AG29-$AF29-$AE29*(1+HT$3))/$AJ29,'Технический лист'!$A:$B,2,1),(HS29-0.05)))</f>
        <v>1</v>
      </c>
      <c r="HU29" s="15">
        <f>MIN(1,MAX(VLOOKUP(($AJ29-$AI29-$AH29-$AG29-$AF29-$AE29*(1+HU$3))/$AJ29,'Технический лист'!$A:$B,2,1),(HT29-0.05)))</f>
        <v>1</v>
      </c>
      <c r="HV29" s="15">
        <f>MIN(1,MAX(VLOOKUP(($AJ29-$AI29-$AH29-$AG29-$AF29-$AE29*(1+HV$3))/$AJ29,'Технический лист'!$A:$B,2,1),(HU29-0.05)))</f>
        <v>1</v>
      </c>
      <c r="HW29" s="15">
        <f>MIN(1,MAX(VLOOKUP(($AJ29-$AI29-$AH29-$AG29-$AF29-$AE29*(1+HW$3))/$AJ29,'Технический лист'!$A:$B,2,1),(HV29-0.05)))</f>
        <v>1</v>
      </c>
      <c r="HX29" s="15">
        <f>MIN(1,MAX(VLOOKUP(($AJ29-$AI29-$AH29-$AG29-$AF29-$AE29*(1+HX$3))/$AJ29,'Технический лист'!$A:$B,2,1),(HW29-0.05)))</f>
        <v>1</v>
      </c>
      <c r="HY29" s="15">
        <f>MIN(1,MAX(VLOOKUP(($AJ29-$AI29-$AH29-$AG29-$AF29-$AE29*(1+HY$3))/$AJ29,'Технический лист'!$A:$B,2,1),(HX29-0.05)))</f>
        <v>1</v>
      </c>
      <c r="HZ29" s="15">
        <f>MIN(1,MAX(VLOOKUP(($AJ29-$AI29-$AH29-$AG29-$AF29-$AE29*(1+HZ$3))/$AJ29,'Технический лист'!$A:$B,2,1),(HY29-0.05)))</f>
        <v>1</v>
      </c>
      <c r="IA29" s="15">
        <f>MIN(1,MAX(VLOOKUP(($AJ29-$AI29-$AH29-$AG29-$AF29-$AE29*(1+IA$3))/$AJ29,'Технический лист'!$A:$B,2,1),(HZ29-0.05)))</f>
        <v>1</v>
      </c>
      <c r="IB29" s="15">
        <f>MIN(1,MAX(VLOOKUP(($AJ29-$AI29-$AH29-$AG29-$AF29-$AE29*(1+IB$3))/$AJ29,'Технический лист'!$A:$B,2,1),(IA29-0.05)))</f>
        <v>1</v>
      </c>
      <c r="IC29" s="15">
        <f>MIN(1,MAX(VLOOKUP(($AJ29-$AI29-$AH29-$AG29-$AF29-$AE29*(1+IC$3))/$AJ29,'Технический лист'!$A:$B,2,1),(IB29-0.05)))</f>
        <v>1</v>
      </c>
      <c r="ID29" s="15">
        <f>MIN(1,MAX(VLOOKUP(($AJ29-$AI29-$AH29-$AG29-$AF29-$AE29*(1+ID$3))/$AJ29,'Технический лист'!$A:$B,2,1),(IC29-0.05)))</f>
        <v>1</v>
      </c>
      <c r="IE29" s="15">
        <f>MIN(1,MAX(VLOOKUP(($AJ29-$AI29-$AH29-$AG29-$AF29-$AE29*(1+IE$3))/$AJ29,'Технический лист'!$A:$B,2,1),(ID29-0.05)))</f>
        <v>1</v>
      </c>
      <c r="IF29" s="15">
        <f>MIN(1,MAX(VLOOKUP(($AJ29-$AI29-$AH29-$AG29-$AF29-$AE29*(1+IF$3))/$AJ29,'Технический лист'!$A:$B,2,1),(IE29-0.05)))</f>
        <v>1</v>
      </c>
      <c r="IG29" s="15">
        <f>MIN(1,MAX(VLOOKUP(($AJ29-$AI29-$AH29-$AG29-$AF29-$AE29*(1+IG$3))/$AJ29,'Технический лист'!$A:$B,2,1),(IF29-0.05)))</f>
        <v>1</v>
      </c>
      <c r="IH29" s="15">
        <f>MIN(1,MAX(VLOOKUP(($AJ29-$AI29-$AH29-$AG29-$AF29-$AE29*(1+IH$3))/$AJ29,'Технический лист'!$A:$B,2,1),(IG29-0.05)))</f>
        <v>1</v>
      </c>
      <c r="II29" s="15">
        <f>MIN(1,MAX(VLOOKUP(($AJ29-$AI29-$AH29-$AG29-$AF29-$AE29*(1+II$3))/$AJ29,'Технический лист'!$A:$B,2,1),(IH29-0.05)))</f>
        <v>1</v>
      </c>
      <c r="IJ29" s="15">
        <f>MIN(1,MAX(VLOOKUP(($AJ29-$AI29-$AH29-$AG29-$AF29-$AE29*(1+IJ$3))/$AJ29,'Технический лист'!$A:$B,2,1),(II29-0.05)))</f>
        <v>1</v>
      </c>
      <c r="IK29" s="15">
        <f>MIN(1,MAX(VLOOKUP(($AJ29-$AI29-$AH29-$AG29-$AF29-$AE29*(1+IK$3))/$AJ29,'Технический лист'!$A:$B,2,1),(IJ29-0.05)))</f>
        <v>1</v>
      </c>
      <c r="IL29" s="15">
        <f>MIN(1,MAX(VLOOKUP(($AJ29-$AI29-$AH29-$AG29-$AF29-$AE29*(1+IL$3))/$AJ29,'Технический лист'!$A:$B,2,1),(IK29-0.05)))</f>
        <v>1</v>
      </c>
      <c r="IM29" s="15">
        <f>MIN(1,MAX(VLOOKUP(($AJ29-$AI29-$AH29-$AG29-$AF29-$AE29*(1+IM$3))/$AJ29,'Технический лист'!$A:$B,2,1),(IL29-0.05)))</f>
        <v>1</v>
      </c>
      <c r="IN29" s="15">
        <f>MIN(1,MAX(VLOOKUP(($AJ29-$AI29-$AH29-$AG29-$AF29-$AE29*(1+IN$3))/$AJ29,'Технический лист'!$A:$B,2,1),(IM29-0.05)))</f>
        <v>1</v>
      </c>
      <c r="IO29" s="15">
        <f>MIN(1,MAX(VLOOKUP(($AJ29-$AI29-$AH29-$AG29-$AF29-$AE29*(1+IO$3))/$AJ29,'Технический лист'!$A:$B,2,1),(IN29-0.05)))</f>
        <v>1</v>
      </c>
      <c r="IP29" s="15">
        <f>MIN(1,MAX(VLOOKUP(($AJ29-$AI29-$AH29-$AG29-$AF29-$AE29*(1+IP$3))/$AJ29,'Технический лист'!$A:$B,2,1),(IO29-0.05)))</f>
        <v>1</v>
      </c>
      <c r="IQ29" s="15">
        <f>MIN(1,MAX(VLOOKUP(($AJ29-$AI29-$AH29-$AG29-$AF29-$AE29*(1+IQ$3))/$AJ29,'Технический лист'!$A:$B,2,1),(IP29-0.05)))</f>
        <v>1</v>
      </c>
      <c r="IR29" s="15">
        <f>MIN(1,MAX(VLOOKUP(($AJ29-$AI29-$AH29-$AG29-$AF29-$AE29*(1+IR$3))/$AJ29,'Технический лист'!$A:$B,2,1),(IQ29-0.05)))</f>
        <v>1</v>
      </c>
    </row>
    <row r="30" spans="1:252" ht="45" customHeight="1">
      <c r="A30" s="89" t="s">
        <v>514</v>
      </c>
      <c r="B30" s="90">
        <v>2</v>
      </c>
      <c r="C30" s="5" t="s">
        <v>65</v>
      </c>
      <c r="D30" s="91">
        <v>17103</v>
      </c>
      <c r="E30" s="91" t="s">
        <v>316</v>
      </c>
      <c r="F30" s="92" t="s">
        <v>69</v>
      </c>
      <c r="G30" s="91" t="s">
        <v>23</v>
      </c>
      <c r="H30" s="91" t="s">
        <v>28</v>
      </c>
      <c r="I30" s="91" t="s">
        <v>104</v>
      </c>
      <c r="J30" s="91" t="s">
        <v>105</v>
      </c>
      <c r="K30" s="91">
        <v>3587</v>
      </c>
      <c r="L30" s="85" t="s">
        <v>64</v>
      </c>
      <c r="M30" s="91" t="s">
        <v>190</v>
      </c>
      <c r="N30" s="91" t="s">
        <v>191</v>
      </c>
      <c r="O30" s="91" t="s">
        <v>192</v>
      </c>
      <c r="P30" s="89" t="s">
        <v>208</v>
      </c>
      <c r="Q30" s="91" t="s">
        <v>288</v>
      </c>
      <c r="R30" s="91" t="s">
        <v>257</v>
      </c>
      <c r="S30" s="82">
        <v>2721480</v>
      </c>
      <c r="T30" s="82">
        <v>9761242621</v>
      </c>
      <c r="U30" s="81">
        <v>51049</v>
      </c>
      <c r="V30" s="81">
        <v>0</v>
      </c>
      <c r="W30" s="82">
        <v>5603833739</v>
      </c>
      <c r="X30" s="112">
        <v>53</v>
      </c>
      <c r="Y30" s="112" t="s">
        <v>418</v>
      </c>
      <c r="Z30" s="113">
        <v>9</v>
      </c>
      <c r="AA30" s="113">
        <v>9</v>
      </c>
      <c r="AB30" s="113">
        <v>4</v>
      </c>
      <c r="AC30" s="99">
        <v>2308.21</v>
      </c>
      <c r="AD30" s="99">
        <f t="shared" si="1"/>
        <v>1081.79</v>
      </c>
      <c r="AE30" s="99">
        <v>3390</v>
      </c>
      <c r="AF30" s="98">
        <f>(Z30+AA30+AB30)*'Ставки аренды'!$B$3/X30</f>
        <v>290.56603773584908</v>
      </c>
      <c r="AG30" s="114">
        <v>0</v>
      </c>
      <c r="AH30" s="94">
        <v>0</v>
      </c>
      <c r="AI30" s="115">
        <f>45627537/67277047*AVERAGE(AJ30,AJ31)</f>
        <v>11120.924779015453</v>
      </c>
      <c r="AJ30" s="117">
        <f>Цены!$D$9</f>
        <v>17000</v>
      </c>
      <c r="AK30" s="94">
        <f>AJ30/Цены!$B$1</f>
        <v>222.7886587467483</v>
      </c>
      <c r="AL30" s="95">
        <f t="shared" si="5"/>
        <v>3680.566037735849</v>
      </c>
      <c r="AM30" s="95">
        <f t="shared" si="6"/>
        <v>13319.433962264151</v>
      </c>
      <c r="AN30" s="94">
        <f t="shared" si="2"/>
        <v>14801.490816751302</v>
      </c>
      <c r="AO30" s="118">
        <f t="shared" si="3"/>
        <v>0.12932406960286458</v>
      </c>
      <c r="AP30" s="96">
        <f t="shared" si="7"/>
        <v>0.21650388457269701</v>
      </c>
      <c r="AQ30" s="96">
        <f t="shared" si="8"/>
        <v>0.19941176470588234</v>
      </c>
      <c r="AR30" s="96">
        <f t="shared" si="9"/>
        <v>0.92105398062234067</v>
      </c>
      <c r="AS30" s="122">
        <v>1</v>
      </c>
      <c r="AT30" s="121">
        <f t="shared" si="10"/>
        <v>2721480</v>
      </c>
      <c r="AU30" s="7" t="s">
        <v>475</v>
      </c>
      <c r="AV30" s="119">
        <f t="shared" si="11"/>
        <v>0.10539465783815874</v>
      </c>
      <c r="AW30" s="120">
        <f t="shared" si="12"/>
        <v>0.2404332963374029</v>
      </c>
      <c r="AX30" s="120">
        <f t="shared" si="13"/>
        <v>0.22334117647058824</v>
      </c>
      <c r="AY30" s="120">
        <f t="shared" si="14"/>
        <v>0.9289111777479061</v>
      </c>
      <c r="AZ30" s="15">
        <v>1</v>
      </c>
      <c r="BA30" s="15">
        <v>1</v>
      </c>
      <c r="BB30" s="15">
        <v>1</v>
      </c>
      <c r="BC30" s="15">
        <v>1</v>
      </c>
      <c r="BD30" s="15">
        <v>1</v>
      </c>
      <c r="BE30" s="15">
        <v>1</v>
      </c>
      <c r="BF30" s="15">
        <v>1</v>
      </c>
      <c r="BG30" s="15">
        <v>1</v>
      </c>
      <c r="BH30" s="15">
        <v>1</v>
      </c>
      <c r="BI30" s="15">
        <v>1</v>
      </c>
      <c r="BJ30" s="15">
        <v>1</v>
      </c>
      <c r="BK30" s="15">
        <v>1</v>
      </c>
      <c r="BL30" s="15">
        <v>1</v>
      </c>
      <c r="BM30" s="15">
        <v>1</v>
      </c>
      <c r="BN30" s="15">
        <v>1</v>
      </c>
      <c r="BO30" s="15">
        <v>1</v>
      </c>
      <c r="BP30" s="15">
        <v>1</v>
      </c>
      <c r="BQ30" s="15">
        <v>1</v>
      </c>
      <c r="BR30" s="15">
        <v>1</v>
      </c>
      <c r="BS30" s="15">
        <v>1</v>
      </c>
      <c r="BT30" s="15">
        <v>1</v>
      </c>
      <c r="BU30" s="15">
        <v>1</v>
      </c>
      <c r="BV30" s="15">
        <v>1</v>
      </c>
      <c r="BW30" s="15">
        <v>1</v>
      </c>
      <c r="BX30" s="15">
        <v>1</v>
      </c>
      <c r="BY30" s="15">
        <v>1</v>
      </c>
      <c r="BZ30" s="15">
        <v>1</v>
      </c>
      <c r="CA30" s="15">
        <v>1</v>
      </c>
      <c r="CB30" s="15">
        <v>1</v>
      </c>
      <c r="CC30" s="15">
        <v>1</v>
      </c>
      <c r="CD30" s="15">
        <v>1</v>
      </c>
      <c r="CE30" s="15">
        <v>1</v>
      </c>
      <c r="CF30" s="15">
        <v>1</v>
      </c>
      <c r="CG30" s="15">
        <v>1</v>
      </c>
      <c r="CH30" s="15">
        <v>1</v>
      </c>
      <c r="CI30" s="15">
        <v>1</v>
      </c>
      <c r="CJ30" s="15">
        <v>1</v>
      </c>
      <c r="CK30" s="15">
        <v>1</v>
      </c>
      <c r="CL30" s="15">
        <v>1</v>
      </c>
      <c r="CM30" s="15">
        <v>1</v>
      </c>
      <c r="CN30" s="15">
        <v>1</v>
      </c>
      <c r="CO30" s="15">
        <v>1</v>
      </c>
      <c r="CP30" s="15">
        <v>1</v>
      </c>
      <c r="CQ30" s="15">
        <v>1</v>
      </c>
      <c r="CR30" s="15">
        <v>1</v>
      </c>
      <c r="CS30" s="15">
        <v>1</v>
      </c>
      <c r="CT30" s="15">
        <v>1</v>
      </c>
      <c r="CU30" s="15">
        <v>1</v>
      </c>
      <c r="CV30" s="15">
        <v>1</v>
      </c>
      <c r="CW30" s="15">
        <v>1</v>
      </c>
      <c r="CX30" s="15">
        <v>1</v>
      </c>
      <c r="CY30" s="15">
        <v>1</v>
      </c>
      <c r="CZ30" s="15">
        <v>1</v>
      </c>
      <c r="DA30" s="15">
        <v>1</v>
      </c>
      <c r="DB30" s="15">
        <v>1</v>
      </c>
      <c r="DC30" s="15">
        <v>1</v>
      </c>
      <c r="DD30" s="15">
        <v>1</v>
      </c>
      <c r="DE30" s="15">
        <v>1</v>
      </c>
      <c r="DF30" s="15">
        <v>1</v>
      </c>
      <c r="DG30" s="15">
        <v>1</v>
      </c>
      <c r="DH30" s="15">
        <v>1</v>
      </c>
      <c r="DI30" s="15">
        <v>1</v>
      </c>
      <c r="DJ30" s="15">
        <v>1</v>
      </c>
      <c r="DK30" s="15">
        <v>1</v>
      </c>
      <c r="DL30" s="15">
        <v>1</v>
      </c>
      <c r="DM30" s="15">
        <v>1</v>
      </c>
      <c r="DN30" s="15">
        <v>1</v>
      </c>
      <c r="DO30" s="15">
        <v>1</v>
      </c>
      <c r="DP30" s="15">
        <v>1</v>
      </c>
      <c r="DQ30" s="15">
        <v>1</v>
      </c>
      <c r="DR30" s="15">
        <v>1</v>
      </c>
      <c r="DS30" s="15">
        <v>1</v>
      </c>
      <c r="DT30" s="15">
        <v>1</v>
      </c>
      <c r="DU30" s="15">
        <v>1</v>
      </c>
      <c r="DV30" s="15">
        <v>1</v>
      </c>
      <c r="DW30" s="15">
        <v>1</v>
      </c>
      <c r="DX30" s="15">
        <v>1</v>
      </c>
      <c r="DY30" s="15">
        <v>1</v>
      </c>
      <c r="DZ30" s="15">
        <v>1</v>
      </c>
      <c r="EA30" s="15">
        <v>1</v>
      </c>
      <c r="EB30" s="15">
        <v>1</v>
      </c>
      <c r="EC30" s="15">
        <v>1</v>
      </c>
      <c r="ED30" s="15">
        <v>1</v>
      </c>
      <c r="EE30" s="15">
        <v>1</v>
      </c>
      <c r="EF30" s="15">
        <v>1</v>
      </c>
      <c r="EG30" s="15">
        <v>1</v>
      </c>
      <c r="EH30" s="15">
        <v>1</v>
      </c>
      <c r="EI30" s="15">
        <v>1</v>
      </c>
      <c r="EJ30" s="15">
        <v>1</v>
      </c>
      <c r="EK30" s="15">
        <v>1</v>
      </c>
      <c r="EL30" s="15">
        <v>1</v>
      </c>
      <c r="EM30" s="15">
        <v>1</v>
      </c>
      <c r="EN30" s="15">
        <v>1</v>
      </c>
      <c r="EO30" s="15">
        <v>1</v>
      </c>
      <c r="EP30" s="15">
        <v>1</v>
      </c>
      <c r="EQ30" s="15">
        <v>1</v>
      </c>
      <c r="ER30" s="15">
        <v>1</v>
      </c>
      <c r="ES30" s="15">
        <v>1</v>
      </c>
      <c r="ET30" s="15">
        <v>1</v>
      </c>
      <c r="EU30" s="15">
        <v>1</v>
      </c>
      <c r="EV30" s="111">
        <v>1</v>
      </c>
      <c r="EW30" s="15">
        <v>1</v>
      </c>
      <c r="EX30" s="15">
        <v>1</v>
      </c>
      <c r="EY30" s="15">
        <v>1</v>
      </c>
      <c r="EZ30" s="15">
        <v>1</v>
      </c>
      <c r="FA30" s="15">
        <v>1</v>
      </c>
      <c r="FB30" s="15">
        <v>1</v>
      </c>
      <c r="FC30" s="15">
        <v>1</v>
      </c>
      <c r="FD30" s="15">
        <v>1</v>
      </c>
      <c r="FE30" s="15">
        <v>1</v>
      </c>
      <c r="FF30" s="15">
        <v>1</v>
      </c>
      <c r="FG30" s="15">
        <v>1</v>
      </c>
      <c r="FH30" s="15">
        <v>1</v>
      </c>
      <c r="FI30" s="15">
        <v>1</v>
      </c>
      <c r="FJ30" s="15">
        <v>1</v>
      </c>
      <c r="FK30" s="15">
        <v>1</v>
      </c>
      <c r="FL30" s="15">
        <v>1</v>
      </c>
      <c r="FM30" s="15">
        <v>1</v>
      </c>
      <c r="FN30" s="15">
        <v>1</v>
      </c>
      <c r="FO30" s="15">
        <v>1</v>
      </c>
      <c r="FP30" s="15">
        <v>1</v>
      </c>
      <c r="FQ30" s="15">
        <v>1</v>
      </c>
      <c r="FR30" s="15">
        <v>1</v>
      </c>
      <c r="FS30" s="15">
        <v>1</v>
      </c>
      <c r="FT30" s="15">
        <v>1</v>
      </c>
      <c r="FU30" s="15">
        <v>1</v>
      </c>
      <c r="FV30" s="15">
        <v>1</v>
      </c>
      <c r="FW30" s="15">
        <v>1</v>
      </c>
      <c r="FX30" s="15">
        <v>1</v>
      </c>
      <c r="FY30" s="15">
        <v>1</v>
      </c>
      <c r="FZ30" s="15">
        <v>1</v>
      </c>
      <c r="GA30" s="15">
        <v>1</v>
      </c>
      <c r="GB30" s="15">
        <v>1</v>
      </c>
      <c r="GC30" s="15">
        <v>1</v>
      </c>
      <c r="GD30" s="15">
        <v>1</v>
      </c>
      <c r="GE30" s="15">
        <v>1</v>
      </c>
      <c r="GF30" s="15">
        <v>1</v>
      </c>
      <c r="GG30" s="15">
        <v>1</v>
      </c>
      <c r="GH30" s="15">
        <v>1</v>
      </c>
      <c r="GI30" s="15">
        <v>1</v>
      </c>
      <c r="GJ30" s="15">
        <v>1</v>
      </c>
      <c r="GK30" s="15">
        <v>1</v>
      </c>
      <c r="GL30" s="15">
        <v>1</v>
      </c>
      <c r="GM30" s="15">
        <v>1</v>
      </c>
      <c r="GN30" s="15">
        <v>1</v>
      </c>
      <c r="GO30" s="15">
        <v>1</v>
      </c>
      <c r="GP30" s="15">
        <v>1</v>
      </c>
      <c r="GQ30" s="15">
        <v>1</v>
      </c>
      <c r="GR30" s="15">
        <v>1</v>
      </c>
      <c r="GS30" s="15">
        <v>1</v>
      </c>
      <c r="GT30" s="15">
        <v>1</v>
      </c>
      <c r="GU30" s="15">
        <v>1</v>
      </c>
      <c r="GV30" s="15">
        <v>1</v>
      </c>
      <c r="GW30" s="15">
        <v>1</v>
      </c>
      <c r="GX30" s="15">
        <v>1</v>
      </c>
      <c r="GY30" s="15">
        <v>1</v>
      </c>
      <c r="GZ30" s="15">
        <v>1</v>
      </c>
      <c r="HA30" s="15">
        <v>1</v>
      </c>
      <c r="HB30" s="15">
        <v>1</v>
      </c>
      <c r="HC30" s="15">
        <v>1</v>
      </c>
      <c r="HD30" s="15">
        <v>1</v>
      </c>
      <c r="HE30" s="15">
        <v>1</v>
      </c>
      <c r="HF30" s="15">
        <v>1</v>
      </c>
      <c r="HG30" s="15">
        <v>1</v>
      </c>
      <c r="HH30" s="15">
        <v>1</v>
      </c>
      <c r="HI30" s="15">
        <v>1</v>
      </c>
      <c r="HJ30" s="15">
        <v>1</v>
      </c>
      <c r="HK30" s="15">
        <v>1</v>
      </c>
      <c r="HL30" s="15">
        <v>1</v>
      </c>
      <c r="HM30" s="15">
        <v>1</v>
      </c>
      <c r="HN30" s="15">
        <v>1</v>
      </c>
      <c r="HO30" s="15">
        <v>1</v>
      </c>
      <c r="HP30" s="15">
        <v>1</v>
      </c>
      <c r="HQ30" s="15">
        <v>1</v>
      </c>
      <c r="HR30" s="15">
        <v>1</v>
      </c>
      <c r="HS30" s="15">
        <v>1</v>
      </c>
      <c r="HT30" s="15">
        <v>1</v>
      </c>
      <c r="HU30" s="15">
        <v>1</v>
      </c>
      <c r="HV30" s="15">
        <v>1</v>
      </c>
      <c r="HW30" s="15">
        <v>1</v>
      </c>
      <c r="HX30" s="15">
        <v>1</v>
      </c>
      <c r="HY30" s="15">
        <v>1</v>
      </c>
      <c r="HZ30" s="15">
        <v>1</v>
      </c>
      <c r="IA30" s="15">
        <v>1</v>
      </c>
      <c r="IB30" s="15">
        <v>1</v>
      </c>
      <c r="IC30" s="15">
        <v>1</v>
      </c>
      <c r="ID30" s="15">
        <v>1</v>
      </c>
      <c r="IE30" s="15">
        <v>1</v>
      </c>
      <c r="IF30" s="15">
        <v>1</v>
      </c>
      <c r="IG30" s="15">
        <v>1</v>
      </c>
      <c r="IH30" s="15">
        <v>1</v>
      </c>
      <c r="II30" s="15">
        <v>1</v>
      </c>
      <c r="IJ30" s="15">
        <v>1</v>
      </c>
      <c r="IK30" s="15">
        <v>1</v>
      </c>
      <c r="IL30" s="15">
        <v>1</v>
      </c>
      <c r="IM30" s="15">
        <v>1</v>
      </c>
      <c r="IN30" s="15">
        <v>1</v>
      </c>
      <c r="IO30" s="15">
        <v>1</v>
      </c>
      <c r="IP30" s="15">
        <v>1</v>
      </c>
      <c r="IQ30" s="15">
        <v>1</v>
      </c>
      <c r="IR30" s="15">
        <v>1</v>
      </c>
    </row>
    <row r="31" spans="1:252" ht="37.4" customHeight="1">
      <c r="A31" s="89" t="s">
        <v>514</v>
      </c>
      <c r="B31" s="90">
        <v>2</v>
      </c>
      <c r="C31" s="5" t="s">
        <v>65</v>
      </c>
      <c r="D31" s="91">
        <v>17111</v>
      </c>
      <c r="E31" s="91" t="s">
        <v>321</v>
      </c>
      <c r="F31" s="92" t="s">
        <v>69</v>
      </c>
      <c r="G31" s="91" t="s">
        <v>23</v>
      </c>
      <c r="H31" s="91" t="s">
        <v>21</v>
      </c>
      <c r="I31" s="91" t="s">
        <v>104</v>
      </c>
      <c r="J31" s="91" t="s">
        <v>106</v>
      </c>
      <c r="K31" s="91">
        <v>4406</v>
      </c>
      <c r="L31" s="85" t="s">
        <v>64</v>
      </c>
      <c r="M31" s="91" t="s">
        <v>17</v>
      </c>
      <c r="N31" s="91" t="s">
        <v>191</v>
      </c>
      <c r="O31" s="91" t="s">
        <v>192</v>
      </c>
      <c r="P31" s="89" t="s">
        <v>208</v>
      </c>
      <c r="Q31" s="91" t="s">
        <v>288</v>
      </c>
      <c r="R31" s="91" t="s">
        <v>257</v>
      </c>
      <c r="S31" s="82">
        <v>61722</v>
      </c>
      <c r="T31" s="82">
        <v>271943600</v>
      </c>
      <c r="U31" s="81">
        <v>1133</v>
      </c>
      <c r="V31" s="81">
        <v>0</v>
      </c>
      <c r="W31" s="82">
        <v>162562764</v>
      </c>
      <c r="X31" s="112">
        <v>54</v>
      </c>
      <c r="Y31" s="112" t="s">
        <v>417</v>
      </c>
      <c r="Z31" s="113">
        <v>14</v>
      </c>
      <c r="AA31" s="113">
        <v>11</v>
      </c>
      <c r="AB31" s="113">
        <v>4</v>
      </c>
      <c r="AC31" s="99">
        <v>2932.15</v>
      </c>
      <c r="AD31" s="99">
        <f t="shared" si="1"/>
        <v>1002.96</v>
      </c>
      <c r="AE31" s="99">
        <v>3935.11</v>
      </c>
      <c r="AF31" s="98">
        <f>(Z31+AA31+AB31)*'Ставки аренды'!$B$3/X31</f>
        <v>375.92592592592592</v>
      </c>
      <c r="AG31" s="114">
        <v>0</v>
      </c>
      <c r="AH31" s="94">
        <v>0</v>
      </c>
      <c r="AI31" s="115">
        <f>45627537/67277047*AVERAGE(AJ30,AJ31)</f>
        <v>11120.924779015453</v>
      </c>
      <c r="AJ31" s="117">
        <f>Цены!$C$8*'Курсы валют'!$B$2</f>
        <v>15795.238499999999</v>
      </c>
      <c r="AK31" s="94">
        <f>AJ31/Цены!$B$1</f>
        <v>207</v>
      </c>
      <c r="AL31" s="95">
        <f t="shared" si="5"/>
        <v>4311.0359259259258</v>
      </c>
      <c r="AM31" s="95">
        <f t="shared" si="6"/>
        <v>11484.202574074074</v>
      </c>
      <c r="AN31" s="94">
        <f t="shared" si="2"/>
        <v>15431.960704941379</v>
      </c>
      <c r="AO31" s="118">
        <f t="shared" si="3"/>
        <v>2.2999196565383965E-2</v>
      </c>
      <c r="AP31" s="96">
        <f t="shared" si="7"/>
        <v>0.27293262624213782</v>
      </c>
      <c r="AQ31" s="96">
        <f t="shared" si="8"/>
        <v>0.24913267374848441</v>
      </c>
      <c r="AR31" s="96">
        <f t="shared" si="9"/>
        <v>0.91279916651467385</v>
      </c>
      <c r="AS31" s="122">
        <v>1</v>
      </c>
      <c r="AT31" s="121">
        <f t="shared" si="10"/>
        <v>61722</v>
      </c>
      <c r="AU31" s="83">
        <v>0.9</v>
      </c>
      <c r="AV31" s="119">
        <f t="shared" si="11"/>
        <v>-6.8967242844342885E-3</v>
      </c>
      <c r="AW31" s="120">
        <f t="shared" si="12"/>
        <v>0.30282854709195606</v>
      </c>
      <c r="AX31" s="120">
        <f t="shared" si="13"/>
        <v>0.27902859459830259</v>
      </c>
      <c r="AY31" s="120">
        <f t="shared" si="14"/>
        <v>0.92140783052917918</v>
      </c>
      <c r="AZ31" s="15">
        <f>MIN(IF($AU31=100%,1,1+VLOOKUP(($AJ31-$AI31-$AH31-$AG31-$AF31-$AE31*(1+AZ$3))/$AJ31,'Технический лист'!$A:$B,2,1)-VLOOKUP($AO31,'Технический лист'!$A:$B,2,1)),1+(1-$AU31))</f>
        <v>1.06</v>
      </c>
      <c r="BA31" s="15">
        <f>MIN(IF($AU31=100%,1,1+VLOOKUP(($AJ31-$AI31-$AH31-$AG31-$AF31-$AE31*(1+BA$3))/$AJ31,'Технический лист'!$A:$B,2,1)-VLOOKUP($AO31,'Технический лист'!$A:$B,2,1)),1+(1-$AU31))</f>
        <v>1.06</v>
      </c>
      <c r="BB31" s="15">
        <f>MIN(IF($AU31=100%,1,1+VLOOKUP(($AJ31-$AI31-$AH31-$AG31-$AF31-$AE31*(1+BB$3))/$AJ31,'Технический лист'!$A:$B,2,1)-VLOOKUP($AO31,'Технический лист'!$A:$B,2,1)),1+(1-$AU31))</f>
        <v>1.06</v>
      </c>
      <c r="BC31" s="15">
        <f>MIN(IF($AU31=100%,1,1+VLOOKUP(($AJ31-$AI31-$AH31-$AG31-$AF31-$AE31*(1+BC$3))/$AJ31,'Технический лист'!$A:$B,2,1)-VLOOKUP($AO31,'Технический лист'!$A:$B,2,1)),1+(1-$AU31))</f>
        <v>1.06</v>
      </c>
      <c r="BD31" s="15">
        <f>MIN(IF($AU31=100%,1,1+VLOOKUP(($AJ31-$AI31-$AH31-$AG31-$AF31-$AE31*(1+BD$3))/$AJ31,'Технический лист'!$A:$B,2,1)-VLOOKUP($AO31,'Технический лист'!$A:$B,2,1)),1+(1-$AU31))</f>
        <v>1.06</v>
      </c>
      <c r="BE31" s="15">
        <f>MIN(IF($AU31=100%,1,1+VLOOKUP(($AJ31-$AI31-$AH31-$AG31-$AF31-$AE31*(1+BE$3))/$AJ31,'Технический лист'!$A:$B,2,1)-VLOOKUP($AO31,'Технический лист'!$A:$B,2,1)),1+(1-$AU31))</f>
        <v>1.06</v>
      </c>
      <c r="BF31" s="15">
        <f>MIN(IF($AU31=100%,1,1+VLOOKUP(($AJ31-$AI31-$AH31-$AG31-$AF31-$AE31*(1+BF$3))/$AJ31,'Технический лист'!$A:$B,2,1)-VLOOKUP($AO31,'Технический лист'!$A:$B,2,1)),1+(1-$AU31))</f>
        <v>1.06</v>
      </c>
      <c r="BG31" s="15">
        <f>MIN(IF($AU31=100%,1,1+VLOOKUP(($AJ31-$AI31-$AH31-$AG31-$AF31-$AE31*(1+BG$3))/$AJ31,'Технический лист'!$A:$B,2,1)-VLOOKUP($AO31,'Технический лист'!$A:$B,2,1)),1+(1-$AU31))</f>
        <v>1.0549999999999997</v>
      </c>
      <c r="BH31" s="15">
        <f>MIN(IF($AU31=100%,1,1+VLOOKUP(($AJ31-$AI31-$AH31-$AG31-$AF31-$AE31*(1+BH$3))/$AJ31,'Технический лист'!$A:$B,2,1)-VLOOKUP($AO31,'Технический лист'!$A:$B,2,1)),1+(1-$AU31))</f>
        <v>1.0549999999999997</v>
      </c>
      <c r="BI31" s="15">
        <f>MIN(IF($AU31=100%,1,1+VLOOKUP(($AJ31-$AI31-$AH31-$AG31-$AF31-$AE31*(1+BI$3))/$AJ31,'Технический лист'!$A:$B,2,1)-VLOOKUP($AO31,'Технический лист'!$A:$B,2,1)),1+(1-$AU31))</f>
        <v>1.0549999999999997</v>
      </c>
      <c r="BJ31" s="15">
        <f>MIN(IF($AU31=100%,1,1+VLOOKUP(($AJ31-$AI31-$AH31-$AG31-$AF31-$AE31*(1+BJ$3))/$AJ31,'Технический лист'!$A:$B,2,1)-VLOOKUP($AO31,'Технический лист'!$A:$B,2,1)),1+(1-$AU31))</f>
        <v>1.0549999999999997</v>
      </c>
      <c r="BK31" s="15">
        <f>MIN(IF($AU31=100%,1,1+VLOOKUP(($AJ31-$AI31-$AH31-$AG31-$AF31-$AE31*(1+BK$3))/$AJ31,'Технический лист'!$A:$B,2,1)-VLOOKUP($AO31,'Технический лист'!$A:$B,2,1)),1+(1-$AU31))</f>
        <v>1.0549999999999997</v>
      </c>
      <c r="BL31" s="15">
        <f>MIN(IF($AU31=100%,1,1+VLOOKUP(($AJ31-$AI31-$AH31-$AG31-$AF31-$AE31*(1+BL$3))/$AJ31,'Технический лист'!$A:$B,2,1)-VLOOKUP($AO31,'Технический лист'!$A:$B,2,1)),1+(1-$AU31))</f>
        <v>1.0549999999999997</v>
      </c>
      <c r="BM31" s="15">
        <f>MIN(IF($AU31=100%,1,1+VLOOKUP(($AJ31-$AI31-$AH31-$AG31-$AF31-$AE31*(1+BM$3))/$AJ31,'Технический лист'!$A:$B,2,1)-VLOOKUP($AO31,'Технический лист'!$A:$B,2,1)),1+(1-$AU31))</f>
        <v>1.0549999999999997</v>
      </c>
      <c r="BN31" s="15">
        <f>MIN(IF($AU31=100%,1,1+VLOOKUP(($AJ31-$AI31-$AH31-$AG31-$AF31-$AE31*(1+BN$3))/$AJ31,'Технический лист'!$A:$B,2,1)-VLOOKUP($AO31,'Технический лист'!$A:$B,2,1)),1+(1-$AU31))</f>
        <v>1.0549999999999997</v>
      </c>
      <c r="BO31" s="15">
        <f>MIN(IF($AU31=100%,1,1+VLOOKUP(($AJ31-$AI31-$AH31-$AG31-$AF31-$AE31*(1+BO$3))/$AJ31,'Технический лист'!$A:$B,2,1)-VLOOKUP($AO31,'Технический лист'!$A:$B,2,1)),1+(1-$AU31))</f>
        <v>1.0499999999999998</v>
      </c>
      <c r="BP31" s="15">
        <f>MIN(IF($AU31=100%,1,1+VLOOKUP(($AJ31-$AI31-$AH31-$AG31-$AF31-$AE31*(1+BP$3))/$AJ31,'Технический лист'!$A:$B,2,1)-VLOOKUP($AO31,'Технический лист'!$A:$B,2,1)),1+(1-$AU31))</f>
        <v>1.0499999999999998</v>
      </c>
      <c r="BQ31" s="15">
        <f>MIN(IF($AU31=100%,1,1+VLOOKUP(($AJ31-$AI31-$AH31-$AG31-$AF31-$AE31*(1+BQ$3))/$AJ31,'Технический лист'!$A:$B,2,1)-VLOOKUP($AO31,'Технический лист'!$A:$B,2,1)),1+(1-$AU31))</f>
        <v>1.0499999999999998</v>
      </c>
      <c r="BR31" s="15">
        <f>MIN(IF($AU31=100%,1,1+VLOOKUP(($AJ31-$AI31-$AH31-$AG31-$AF31-$AE31*(1+BR$3))/$AJ31,'Технический лист'!$A:$B,2,1)-VLOOKUP($AO31,'Технический лист'!$A:$B,2,1)),1+(1-$AU31))</f>
        <v>1.0499999999999998</v>
      </c>
      <c r="BS31" s="15">
        <f>MIN(IF($AU31=100%,1,1+VLOOKUP(($AJ31-$AI31-$AH31-$AG31-$AF31-$AE31*(1+BS$3))/$AJ31,'Технический лист'!$A:$B,2,1)-VLOOKUP($AO31,'Технический лист'!$A:$B,2,1)),1+(1-$AU31))</f>
        <v>1.0499999999999998</v>
      </c>
      <c r="BT31" s="15">
        <f>MIN(IF($AU31=100%,1,1+VLOOKUP(($AJ31-$AI31-$AH31-$AG31-$AF31-$AE31*(1+BT$3))/$AJ31,'Технический лист'!$A:$B,2,1)-VLOOKUP($AO31,'Технический лист'!$A:$B,2,1)),1+(1-$AU31))</f>
        <v>1.0499999999999998</v>
      </c>
      <c r="BU31" s="15">
        <f>MIN(IF($AU31=100%,1,1+VLOOKUP(($AJ31-$AI31-$AH31-$AG31-$AF31-$AE31*(1+BU$3))/$AJ31,'Технический лист'!$A:$B,2,1)-VLOOKUP($AO31,'Технический лист'!$A:$B,2,1)),1+(1-$AU31))</f>
        <v>1.0499999999999998</v>
      </c>
      <c r="BV31" s="15">
        <f>MIN(IF($AU31=100%,1,1+VLOOKUP(($AJ31-$AI31-$AH31-$AG31-$AF31-$AE31*(1+BV$3))/$AJ31,'Технический лист'!$A:$B,2,1)-VLOOKUP($AO31,'Технический лист'!$A:$B,2,1)),1+(1-$AU31))</f>
        <v>1.0499999999999998</v>
      </c>
      <c r="BW31" s="15">
        <f>MIN(IF($AU31=100%,1,1+VLOOKUP(($AJ31-$AI31-$AH31-$AG31-$AF31-$AE31*(1+BW$3))/$AJ31,'Технический лист'!$A:$B,2,1)-VLOOKUP($AO31,'Технический лист'!$A:$B,2,1)),1+(1-$AU31))</f>
        <v>1.0449999999999999</v>
      </c>
      <c r="BX31" s="15">
        <f>MIN(IF($AU31=100%,1,1+VLOOKUP(($AJ31-$AI31-$AH31-$AG31-$AF31-$AE31*(1+BX$3))/$AJ31,'Технический лист'!$A:$B,2,1)-VLOOKUP($AO31,'Технический лист'!$A:$B,2,1)),1+(1-$AU31))</f>
        <v>1.0449999999999999</v>
      </c>
      <c r="BY31" s="15">
        <f>MIN(IF($AU31=100%,1,1+VLOOKUP(($AJ31-$AI31-$AH31-$AG31-$AF31-$AE31*(1+BY$3))/$AJ31,'Технический лист'!$A:$B,2,1)-VLOOKUP($AO31,'Технический лист'!$A:$B,2,1)),1+(1-$AU31))</f>
        <v>1.0449999999999999</v>
      </c>
      <c r="BZ31" s="15">
        <f>MIN(IF($AU31=100%,1,1+VLOOKUP(($AJ31-$AI31-$AH31-$AG31-$AF31-$AE31*(1+BZ$3))/$AJ31,'Технический лист'!$A:$B,2,1)-VLOOKUP($AO31,'Технический лист'!$A:$B,2,1)),1+(1-$AU31))</f>
        <v>1.0449999999999999</v>
      </c>
      <c r="CA31" s="15">
        <f>MIN(IF($AU31=100%,1,1+VLOOKUP(($AJ31-$AI31-$AH31-$AG31-$AF31-$AE31*(1+CA$3))/$AJ31,'Технический лист'!$A:$B,2,1)-VLOOKUP($AO31,'Технический лист'!$A:$B,2,1)),1+(1-$AU31))</f>
        <v>1.0449999999999999</v>
      </c>
      <c r="CB31" s="15">
        <f>MIN(IF($AU31=100%,1,1+VLOOKUP(($AJ31-$AI31-$AH31-$AG31-$AF31-$AE31*(1+CB$3))/$AJ31,'Технический лист'!$A:$B,2,1)-VLOOKUP($AO31,'Технический лист'!$A:$B,2,1)),1+(1-$AU31))</f>
        <v>1.0449999999999999</v>
      </c>
      <c r="CC31" s="15">
        <f>MIN(IF($AU31=100%,1,1+VLOOKUP(($AJ31-$AI31-$AH31-$AG31-$AF31-$AE31*(1+CC$3))/$AJ31,'Технический лист'!$A:$B,2,1)-VLOOKUP($AO31,'Технический лист'!$A:$B,2,1)),1+(1-$AU31))</f>
        <v>1.0449999999999999</v>
      </c>
      <c r="CD31" s="15">
        <f>MIN(IF($AU31=100%,1,1+VLOOKUP(($AJ31-$AI31-$AH31-$AG31-$AF31-$AE31*(1+CD$3))/$AJ31,'Технический лист'!$A:$B,2,1)-VLOOKUP($AO31,'Технический лист'!$A:$B,2,1)),1+(1-$AU31))</f>
        <v>1.0449999999999999</v>
      </c>
      <c r="CE31" s="15">
        <f>MIN(IF($AU31=100%,1,1+VLOOKUP(($AJ31-$AI31-$AH31-$AG31-$AF31-$AE31*(1+CE$3))/$AJ31,'Технический лист'!$A:$B,2,1)-VLOOKUP($AO31,'Технический лист'!$A:$B,2,1)),1+(1-$AU31))</f>
        <v>1.04</v>
      </c>
      <c r="CF31" s="15">
        <f>MIN(IF($AU31=100%,1,1+VLOOKUP(($AJ31-$AI31-$AH31-$AG31-$AF31-$AE31*(1+CF$3))/$AJ31,'Технический лист'!$A:$B,2,1)-VLOOKUP($AO31,'Технический лист'!$A:$B,2,1)),1+(1-$AU31))</f>
        <v>1.04</v>
      </c>
      <c r="CG31" s="15">
        <f>MIN(IF($AU31=100%,1,1+VLOOKUP(($AJ31-$AI31-$AH31-$AG31-$AF31-$AE31*(1+CG$3))/$AJ31,'Технический лист'!$A:$B,2,1)-VLOOKUP($AO31,'Технический лист'!$A:$B,2,1)),1+(1-$AU31))</f>
        <v>1.04</v>
      </c>
      <c r="CH31" s="15">
        <f>MIN(IF($AU31=100%,1,1+VLOOKUP(($AJ31-$AI31-$AH31-$AG31-$AF31-$AE31*(1+CH$3))/$AJ31,'Технический лист'!$A:$B,2,1)-VLOOKUP($AO31,'Технический лист'!$A:$B,2,1)),1+(1-$AU31))</f>
        <v>1.04</v>
      </c>
      <c r="CI31" s="15">
        <f>MIN(IF($AU31=100%,1,1+VLOOKUP(($AJ31-$AI31-$AH31-$AG31-$AF31-$AE31*(1+CI$3))/$AJ31,'Технический лист'!$A:$B,2,1)-VLOOKUP($AO31,'Технический лист'!$A:$B,2,1)),1+(1-$AU31))</f>
        <v>1.04</v>
      </c>
      <c r="CJ31" s="15">
        <f>MIN(IF($AU31=100%,1,1+VLOOKUP(($AJ31-$AI31-$AH31-$AG31-$AF31-$AE31*(1+CJ$3))/$AJ31,'Технический лист'!$A:$B,2,1)-VLOOKUP($AO31,'Технический лист'!$A:$B,2,1)),1+(1-$AU31))</f>
        <v>1.04</v>
      </c>
      <c r="CK31" s="15">
        <f>MIN(IF($AU31=100%,1,1+VLOOKUP(($AJ31-$AI31-$AH31-$AG31-$AF31-$AE31*(1+CK$3))/$AJ31,'Технический лист'!$A:$B,2,1)-VLOOKUP($AO31,'Технический лист'!$A:$B,2,1)),1+(1-$AU31))</f>
        <v>1.04</v>
      </c>
      <c r="CL31" s="15">
        <f>MIN(IF($AU31=100%,1,1+VLOOKUP(($AJ31-$AI31-$AH31-$AG31-$AF31-$AE31*(1+CL$3))/$AJ31,'Технический лист'!$A:$B,2,1)-VLOOKUP($AO31,'Технический лист'!$A:$B,2,1)),1+(1-$AU31))</f>
        <v>1.04</v>
      </c>
      <c r="CM31" s="15">
        <f>MIN(IF($AU31=100%,1,1+VLOOKUP(($AJ31-$AI31-$AH31-$AG31-$AF31-$AE31*(1+CM$3))/$AJ31,'Технический лист'!$A:$B,2,1)-VLOOKUP($AO31,'Технический лист'!$A:$B,2,1)),1+(1-$AU31))</f>
        <v>1.0350000000000001</v>
      </c>
      <c r="CN31" s="15">
        <f>MIN(IF($AU31=100%,1,1+VLOOKUP(($AJ31-$AI31-$AH31-$AG31-$AF31-$AE31*(1+CN$3))/$AJ31,'Технический лист'!$A:$B,2,1)-VLOOKUP($AO31,'Технический лист'!$A:$B,2,1)),1+(1-$AU31))</f>
        <v>1.0350000000000001</v>
      </c>
      <c r="CO31" s="15">
        <f>MIN(IF($AU31=100%,1,1+VLOOKUP(($AJ31-$AI31-$AH31-$AG31-$AF31-$AE31*(1+CO$3))/$AJ31,'Технический лист'!$A:$B,2,1)-VLOOKUP($AO31,'Технический лист'!$A:$B,2,1)),1+(1-$AU31))</f>
        <v>1.0350000000000001</v>
      </c>
      <c r="CP31" s="15">
        <f>MIN(IF($AU31=100%,1,1+VLOOKUP(($AJ31-$AI31-$AH31-$AG31-$AF31-$AE31*(1+CP$3))/$AJ31,'Технический лист'!$A:$B,2,1)-VLOOKUP($AO31,'Технический лист'!$A:$B,2,1)),1+(1-$AU31))</f>
        <v>1.0350000000000001</v>
      </c>
      <c r="CQ31" s="15">
        <f>MIN(IF($AU31=100%,1,1+VLOOKUP(($AJ31-$AI31-$AH31-$AG31-$AF31-$AE31*(1+CQ$3))/$AJ31,'Технический лист'!$A:$B,2,1)-VLOOKUP($AO31,'Технический лист'!$A:$B,2,1)),1+(1-$AU31))</f>
        <v>1.0350000000000001</v>
      </c>
      <c r="CR31" s="15">
        <f>MIN(IF($AU31=100%,1,1+VLOOKUP(($AJ31-$AI31-$AH31-$AG31-$AF31-$AE31*(1+CR$3))/$AJ31,'Технический лист'!$A:$B,2,1)-VLOOKUP($AO31,'Технический лист'!$A:$B,2,1)),1+(1-$AU31))</f>
        <v>1.0350000000000001</v>
      </c>
      <c r="CS31" s="15">
        <f>MIN(IF($AU31=100%,1,1+VLOOKUP(($AJ31-$AI31-$AH31-$AG31-$AF31-$AE31*(1+CS$3))/$AJ31,'Технический лист'!$A:$B,2,1)-VLOOKUP($AO31,'Технический лист'!$A:$B,2,1)),1+(1-$AU31))</f>
        <v>1.0350000000000001</v>
      </c>
      <c r="CT31" s="15">
        <f>MIN(IF($AU31=100%,1,1+VLOOKUP(($AJ31-$AI31-$AH31-$AG31-$AF31-$AE31*(1+CT$3))/$AJ31,'Технический лист'!$A:$B,2,1)-VLOOKUP($AO31,'Технический лист'!$A:$B,2,1)),1+(1-$AU31))</f>
        <v>1.0350000000000001</v>
      </c>
      <c r="CU31" s="15">
        <f>MIN(IF($AU31=100%,1,1+VLOOKUP(($AJ31-$AI31-$AH31-$AG31-$AF31-$AE31*(1+CU$3))/$AJ31,'Технический лист'!$A:$B,2,1)-VLOOKUP($AO31,'Технический лист'!$A:$B,2,1)),1+(1-$AU31))</f>
        <v>1.0300000000000002</v>
      </c>
      <c r="CV31" s="15">
        <f>MIN(IF($AU31=100%,1,1+VLOOKUP(($AJ31-$AI31-$AH31-$AG31-$AF31-$AE31*(1+CV$3))/$AJ31,'Технический лист'!$A:$B,2,1)-VLOOKUP($AO31,'Технический лист'!$A:$B,2,1)),1+(1-$AU31))</f>
        <v>1.0300000000000002</v>
      </c>
      <c r="CW31" s="15">
        <f>MIN(IF($AU31=100%,1,1+VLOOKUP(($AJ31-$AI31-$AH31-$AG31-$AF31-$AE31*(1+CW$3))/$AJ31,'Технический лист'!$A:$B,2,1)-VLOOKUP($AO31,'Технический лист'!$A:$B,2,1)),1+(1-$AU31))</f>
        <v>1.0300000000000002</v>
      </c>
      <c r="CX31" s="15">
        <f>MIN(IF($AU31=100%,1,1+VLOOKUP(($AJ31-$AI31-$AH31-$AG31-$AF31-$AE31*(1+CX$3))/$AJ31,'Технический лист'!$A:$B,2,1)-VLOOKUP($AO31,'Технический лист'!$A:$B,2,1)),1+(1-$AU31))</f>
        <v>1.0300000000000002</v>
      </c>
      <c r="CY31" s="15">
        <f>MIN(IF($AU31=100%,1,1+VLOOKUP(($AJ31-$AI31-$AH31-$AG31-$AF31-$AE31*(1+CY$3))/$AJ31,'Технический лист'!$A:$B,2,1)-VLOOKUP($AO31,'Технический лист'!$A:$B,2,1)),1+(1-$AU31))</f>
        <v>1.0300000000000002</v>
      </c>
      <c r="CZ31" s="15">
        <f>MIN(IF($AU31=100%,1,1+VLOOKUP(($AJ31-$AI31-$AH31-$AG31-$AF31-$AE31*(1+CZ$3))/$AJ31,'Технический лист'!$A:$B,2,1)-VLOOKUP($AO31,'Технический лист'!$A:$B,2,1)),1+(1-$AU31))</f>
        <v>1.0300000000000002</v>
      </c>
      <c r="DA31" s="15">
        <f>MIN(IF($AU31=100%,1,1+VLOOKUP(($AJ31-$AI31-$AH31-$AG31-$AF31-$AE31*(1+DA$3))/$AJ31,'Технический лист'!$A:$B,2,1)-VLOOKUP($AO31,'Технический лист'!$A:$B,2,1)),1+(1-$AU31))</f>
        <v>1.0300000000000002</v>
      </c>
      <c r="DB31" s="15">
        <f>MIN(IF($AU31=100%,1,1+VLOOKUP(($AJ31-$AI31-$AH31-$AG31-$AF31-$AE31*(1+DB$3))/$AJ31,'Технический лист'!$A:$B,2,1)-VLOOKUP($AO31,'Технический лист'!$A:$B,2,1)),1+(1-$AU31))</f>
        <v>1.0300000000000002</v>
      </c>
      <c r="DC31" s="15">
        <f>MIN(IF($AU31=100%,1,1+VLOOKUP(($AJ31-$AI31-$AH31-$AG31-$AF31-$AE31*(1+DC$3))/$AJ31,'Технический лист'!$A:$B,2,1)-VLOOKUP($AO31,'Технический лист'!$A:$B,2,1)),1+(1-$AU31))</f>
        <v>1.0249999999999999</v>
      </c>
      <c r="DD31" s="15">
        <f>MIN(IF($AU31=100%,1,1+VLOOKUP(($AJ31-$AI31-$AH31-$AG31-$AF31-$AE31*(1+DD$3))/$AJ31,'Технический лист'!$A:$B,2,1)-VLOOKUP($AO31,'Технический лист'!$A:$B,2,1)),1+(1-$AU31))</f>
        <v>1.0249999999999999</v>
      </c>
      <c r="DE31" s="15">
        <f>MIN(IF($AU31=100%,1,1+VLOOKUP(($AJ31-$AI31-$AH31-$AG31-$AF31-$AE31*(1+DE$3))/$AJ31,'Технический лист'!$A:$B,2,1)-VLOOKUP($AO31,'Технический лист'!$A:$B,2,1)),1+(1-$AU31))</f>
        <v>1.0249999999999999</v>
      </c>
      <c r="DF31" s="15">
        <f>MIN(IF($AU31=100%,1,1+VLOOKUP(($AJ31-$AI31-$AH31-$AG31-$AF31-$AE31*(1+DF$3))/$AJ31,'Технический лист'!$A:$B,2,1)-VLOOKUP($AO31,'Технический лист'!$A:$B,2,1)),1+(1-$AU31))</f>
        <v>1.0249999999999999</v>
      </c>
      <c r="DG31" s="15">
        <f>MIN(IF($AU31=100%,1,1+VLOOKUP(($AJ31-$AI31-$AH31-$AG31-$AF31-$AE31*(1+DG$3))/$AJ31,'Технический лист'!$A:$B,2,1)-VLOOKUP($AO31,'Технический лист'!$A:$B,2,1)),1+(1-$AU31))</f>
        <v>1.0249999999999999</v>
      </c>
      <c r="DH31" s="15">
        <f>MIN(IF($AU31=100%,1,1+VLOOKUP(($AJ31-$AI31-$AH31-$AG31-$AF31-$AE31*(1+DH$3))/$AJ31,'Технический лист'!$A:$B,2,1)-VLOOKUP($AO31,'Технический лист'!$A:$B,2,1)),1+(1-$AU31))</f>
        <v>1.0249999999999999</v>
      </c>
      <c r="DI31" s="15">
        <f>MIN(IF($AU31=100%,1,1+VLOOKUP(($AJ31-$AI31-$AH31-$AG31-$AF31-$AE31*(1+DI$3))/$AJ31,'Технический лист'!$A:$B,2,1)-VLOOKUP($AO31,'Технический лист'!$A:$B,2,1)),1+(1-$AU31))</f>
        <v>1.0249999999999999</v>
      </c>
      <c r="DJ31" s="15">
        <f>MIN(IF($AU31=100%,1,1+VLOOKUP(($AJ31-$AI31-$AH31-$AG31-$AF31-$AE31*(1+DJ$3))/$AJ31,'Технический лист'!$A:$B,2,1)-VLOOKUP($AO31,'Технический лист'!$A:$B,2,1)),1+(1-$AU31))</f>
        <v>1.0249999999999999</v>
      </c>
      <c r="DK31" s="15">
        <f>MIN(IF($AU31=100%,1,1+VLOOKUP(($AJ31-$AI31-$AH31-$AG31-$AF31-$AE31*(1+DK$3))/$AJ31,'Технический лист'!$A:$B,2,1)-VLOOKUP($AO31,'Технический лист'!$A:$B,2,1)),1+(1-$AU31))</f>
        <v>1.0249999999999999</v>
      </c>
      <c r="DL31" s="15">
        <f>MIN(IF($AU31=100%,1,1+VLOOKUP(($AJ31-$AI31-$AH31-$AG31-$AF31-$AE31*(1+DL$3))/$AJ31,'Технический лист'!$A:$B,2,1)-VLOOKUP($AO31,'Технический лист'!$A:$B,2,1)),1+(1-$AU31))</f>
        <v>1.0249999999999999</v>
      </c>
      <c r="DM31" s="15">
        <f>MIN(IF($AU31=100%,1,1+VLOOKUP(($AJ31-$AI31-$AH31-$AG31-$AF31-$AE31*(1+DM$3))/$AJ31,'Технический лист'!$A:$B,2,1)-VLOOKUP($AO31,'Технический лист'!$A:$B,2,1)),1+(1-$AU31))</f>
        <v>1.0249999999999999</v>
      </c>
      <c r="DN31" s="15">
        <f>MIN(IF($AU31=100%,1,1+VLOOKUP(($AJ31-$AI31-$AH31-$AG31-$AF31-$AE31*(1+DN$3))/$AJ31,'Технический лист'!$A:$B,2,1)-VLOOKUP($AO31,'Технический лист'!$A:$B,2,1)),1+(1-$AU31))</f>
        <v>1.0249999999999999</v>
      </c>
      <c r="DO31" s="15">
        <f>MIN(IF($AU31=100%,1,1+VLOOKUP(($AJ31-$AI31-$AH31-$AG31-$AF31-$AE31*(1+DO$3))/$AJ31,'Технический лист'!$A:$B,2,1)-VLOOKUP($AO31,'Технический лист'!$A:$B,2,1)),1+(1-$AU31))</f>
        <v>1.0249999999999999</v>
      </c>
      <c r="DP31" s="15">
        <f>MIN(IF($AU31=100%,1,1+VLOOKUP(($AJ31-$AI31-$AH31-$AG31-$AF31-$AE31*(1+DP$3))/$AJ31,'Технический лист'!$A:$B,2,1)-VLOOKUP($AO31,'Технический лист'!$A:$B,2,1)),1+(1-$AU31))</f>
        <v>1.0249999999999999</v>
      </c>
      <c r="DQ31" s="15">
        <f>MIN(IF($AU31=100%,1,1+VLOOKUP(($AJ31-$AI31-$AH31-$AG31-$AF31-$AE31*(1+DQ$3))/$AJ31,'Технический лист'!$A:$B,2,1)-VLOOKUP($AO31,'Технический лист'!$A:$B,2,1)),1+(1-$AU31))</f>
        <v>1.0249999999999999</v>
      </c>
      <c r="DR31" s="15">
        <f>MIN(IF($AU31=100%,1,1+VLOOKUP(($AJ31-$AI31-$AH31-$AG31-$AF31-$AE31*(1+DR$3))/$AJ31,'Технический лист'!$A:$B,2,1)-VLOOKUP($AO31,'Технический лист'!$A:$B,2,1)),1+(1-$AU31))</f>
        <v>1.0249999999999999</v>
      </c>
      <c r="DS31" s="15">
        <f>MIN(IF($AU31=100%,1,1+VLOOKUP(($AJ31-$AI31-$AH31-$AG31-$AF31-$AE31*(1+DS$3))/$AJ31,'Технический лист'!$A:$B,2,1)-VLOOKUP($AO31,'Технический лист'!$A:$B,2,1)),1+(1-$AU31))</f>
        <v>1.0249999999999999</v>
      </c>
      <c r="DT31" s="15">
        <f>MIN(IF($AU31=100%,1,1+VLOOKUP(($AJ31-$AI31-$AH31-$AG31-$AF31-$AE31*(1+DT$3))/$AJ31,'Технический лист'!$A:$B,2,1)-VLOOKUP($AO31,'Технический лист'!$A:$B,2,1)),1+(1-$AU31))</f>
        <v>1.0249999999999999</v>
      </c>
      <c r="DU31" s="15">
        <f>MIN(IF($AU31=100%,1,1+VLOOKUP(($AJ31-$AI31-$AH31-$AG31-$AF31-$AE31*(1+DU$3))/$AJ31,'Технический лист'!$A:$B,2,1)-VLOOKUP($AO31,'Технический лист'!$A:$B,2,1)),1+(1-$AU31))</f>
        <v>1.0249999999999999</v>
      </c>
      <c r="DV31" s="15">
        <f>MIN(IF($AU31=100%,1,1+VLOOKUP(($AJ31-$AI31-$AH31-$AG31-$AF31-$AE31*(1+DV$3))/$AJ31,'Технический лист'!$A:$B,2,1)-VLOOKUP($AO31,'Технический лист'!$A:$B,2,1)),1+(1-$AU31))</f>
        <v>1.0249999999999999</v>
      </c>
      <c r="DW31" s="15">
        <f>MIN(IF($AU31=100%,1,1+VLOOKUP(($AJ31-$AI31-$AH31-$AG31-$AF31-$AE31*(1+DW$3))/$AJ31,'Технический лист'!$A:$B,2,1)-VLOOKUP($AO31,'Технический лист'!$A:$B,2,1)),1+(1-$AU31))</f>
        <v>1.0249999999999999</v>
      </c>
      <c r="DX31" s="15">
        <f>MIN(IF($AU31=100%,1,1+VLOOKUP(($AJ31-$AI31-$AH31-$AG31-$AF31-$AE31*(1+DX$3))/$AJ31,'Технический лист'!$A:$B,2,1)-VLOOKUP($AO31,'Технический лист'!$A:$B,2,1)),1+(1-$AU31))</f>
        <v>1.0249999999999999</v>
      </c>
      <c r="DY31" s="15">
        <f>MIN(IF($AU31=100%,1,1+VLOOKUP(($AJ31-$AI31-$AH31-$AG31-$AF31-$AE31*(1+DY$3))/$AJ31,'Технический лист'!$A:$B,2,1)-VLOOKUP($AO31,'Технический лист'!$A:$B,2,1)),1+(1-$AU31))</f>
        <v>1.0249999999999999</v>
      </c>
      <c r="DZ31" s="15">
        <f>MIN(IF($AU31=100%,1,1+VLOOKUP(($AJ31-$AI31-$AH31-$AG31-$AF31-$AE31*(1+DZ$3))/$AJ31,'Технический лист'!$A:$B,2,1)-VLOOKUP($AO31,'Технический лист'!$A:$B,2,1)),1+(1-$AU31))</f>
        <v>1.0249999999999999</v>
      </c>
      <c r="EA31" s="15">
        <f>MIN(IF($AU31=100%,1,1+VLOOKUP(($AJ31-$AI31-$AH31-$AG31-$AF31-$AE31*(1+EA$3))/$AJ31,'Технический лист'!$A:$B,2,1)-VLOOKUP($AO31,'Технический лист'!$A:$B,2,1)),1+(1-$AU31))</f>
        <v>1</v>
      </c>
      <c r="EB31" s="15">
        <f>MIN(IF($AU31=100%,1,1+VLOOKUP(($AJ31-$AI31-$AH31-$AG31-$AF31-$AE31*(1+EB$3))/$AJ31,'Технический лист'!$A:$B,2,1)-VLOOKUP($AO31,'Технический лист'!$A:$B,2,1)),1+(1-$AU31))</f>
        <v>1</v>
      </c>
      <c r="EC31" s="15">
        <f>MIN(IF($AU31=100%,1,1+VLOOKUP(($AJ31-$AI31-$AH31-$AG31-$AF31-$AE31*(1+EC$3))/$AJ31,'Технический лист'!$A:$B,2,1)-VLOOKUP($AO31,'Технический лист'!$A:$B,2,1)),1+(1-$AU31))</f>
        <v>1</v>
      </c>
      <c r="ED31" s="15">
        <f>MIN(IF($AU31=100%,1,1+VLOOKUP(($AJ31-$AI31-$AH31-$AG31-$AF31-$AE31*(1+ED$3))/$AJ31,'Технический лист'!$A:$B,2,1)-VLOOKUP($AO31,'Технический лист'!$A:$B,2,1)),1+(1-$AU31))</f>
        <v>1</v>
      </c>
      <c r="EE31" s="15">
        <f>MIN(IF($AU31=100%,1,1+VLOOKUP(($AJ31-$AI31-$AH31-$AG31-$AF31-$AE31*(1+EE$3))/$AJ31,'Технический лист'!$A:$B,2,1)-VLOOKUP($AO31,'Технический лист'!$A:$B,2,1)),1+(1-$AU31))</f>
        <v>1</v>
      </c>
      <c r="EF31" s="15">
        <f>MIN(IF($AU31=100%,1,1+VLOOKUP(($AJ31-$AI31-$AH31-$AG31-$AF31-$AE31*(1+EF$3))/$AJ31,'Технический лист'!$A:$B,2,1)-VLOOKUP($AO31,'Технический лист'!$A:$B,2,1)),1+(1-$AU31))</f>
        <v>1</v>
      </c>
      <c r="EG31" s="15">
        <f>MIN(IF($AU31=100%,1,1+VLOOKUP(($AJ31-$AI31-$AH31-$AG31-$AF31-$AE31*(1+EG$3))/$AJ31,'Технический лист'!$A:$B,2,1)-VLOOKUP($AO31,'Технический лист'!$A:$B,2,1)),1+(1-$AU31))</f>
        <v>1</v>
      </c>
      <c r="EH31" s="15">
        <f>MIN(IF($AU31=100%,1,1+VLOOKUP(($AJ31-$AI31-$AH31-$AG31-$AF31-$AE31*(1+EH$3))/$AJ31,'Технический лист'!$A:$B,2,1)-VLOOKUP($AO31,'Технический лист'!$A:$B,2,1)),1+(1-$AU31))</f>
        <v>1</v>
      </c>
      <c r="EI31" s="15">
        <f>MIN(IF($AU31=100%,1,1+VLOOKUP(($AJ31-$AI31-$AH31-$AG31-$AF31-$AE31*(1+EI$3))/$AJ31,'Технический лист'!$A:$B,2,1)-VLOOKUP($AO31,'Технический лист'!$A:$B,2,1)),1+(1-$AU31))</f>
        <v>1</v>
      </c>
      <c r="EJ31" s="15">
        <f>MIN(IF($AU31=100%,1,1+VLOOKUP(($AJ31-$AI31-$AH31-$AG31-$AF31-$AE31*(1+EJ$3))/$AJ31,'Технический лист'!$A:$B,2,1)-VLOOKUP($AO31,'Технический лист'!$A:$B,2,1)),1+(1-$AU31))</f>
        <v>1</v>
      </c>
      <c r="EK31" s="15">
        <f>MIN(IF($AU31=100%,1,1+VLOOKUP(($AJ31-$AI31-$AH31-$AG31-$AF31-$AE31*(1+EK$3))/$AJ31,'Технический лист'!$A:$B,2,1)-VLOOKUP($AO31,'Технический лист'!$A:$B,2,1)),1+(1-$AU31))</f>
        <v>1</v>
      </c>
      <c r="EL31" s="15">
        <f>MIN(IF($AU31=100%,1,1+VLOOKUP(($AJ31-$AI31-$AH31-$AG31-$AF31-$AE31*(1+EL$3))/$AJ31,'Технический лист'!$A:$B,2,1)-VLOOKUP($AO31,'Технический лист'!$A:$B,2,1)),1+(1-$AU31))</f>
        <v>1</v>
      </c>
      <c r="EM31" s="15">
        <f>MIN(IF($AU31=100%,1,1+VLOOKUP(($AJ31-$AI31-$AH31-$AG31-$AF31-$AE31*(1+EM$3))/$AJ31,'Технический лист'!$A:$B,2,1)-VLOOKUP($AO31,'Технический лист'!$A:$B,2,1)),1+(1-$AU31))</f>
        <v>1</v>
      </c>
      <c r="EN31" s="15">
        <f>MIN(IF($AU31=100%,1,1+VLOOKUP(($AJ31-$AI31-$AH31-$AG31-$AF31-$AE31*(1+EN$3))/$AJ31,'Технический лист'!$A:$B,2,1)-VLOOKUP($AO31,'Технический лист'!$A:$B,2,1)),1+(1-$AU31))</f>
        <v>1</v>
      </c>
      <c r="EO31" s="15">
        <f>MIN(IF($AU31=100%,1,1+VLOOKUP(($AJ31-$AI31-$AH31-$AG31-$AF31-$AE31*(1+EO$3))/$AJ31,'Технический лист'!$A:$B,2,1)-VLOOKUP($AO31,'Технический лист'!$A:$B,2,1)),1+(1-$AU31))</f>
        <v>1</v>
      </c>
      <c r="EP31" s="15">
        <f>MIN(IF($AU31=100%,1,1+VLOOKUP(($AJ31-$AI31-$AH31-$AG31-$AF31-$AE31*(1+EP$3))/$AJ31,'Технический лист'!$A:$B,2,1)-VLOOKUP($AO31,'Технический лист'!$A:$B,2,1)),1+(1-$AU31))</f>
        <v>1</v>
      </c>
      <c r="EQ31" s="15">
        <f>MIN(IF($AU31=100%,1,1+VLOOKUP(($AJ31-$AI31-$AH31-$AG31-$AF31-$AE31*(1+EQ$3))/$AJ31,'Технический лист'!$A:$B,2,1)-VLOOKUP($AO31,'Технический лист'!$A:$B,2,1)),1+(1-$AU31))</f>
        <v>1</v>
      </c>
      <c r="ER31" s="15">
        <f>MIN(IF($AU31=100%,1,1+VLOOKUP(($AJ31-$AI31-$AH31-$AG31-$AF31-$AE31*(1+ER$3))/$AJ31,'Технический лист'!$A:$B,2,1)-VLOOKUP($AO31,'Технический лист'!$A:$B,2,1)),1+(1-$AU31))</f>
        <v>1</v>
      </c>
      <c r="ES31" s="15">
        <f>MIN(IF($AU31=100%,1,1+VLOOKUP(($AJ31-$AI31-$AH31-$AG31-$AF31-$AE31*(1+ES$3))/$AJ31,'Технический лист'!$A:$B,2,1)-VLOOKUP($AO31,'Технический лист'!$A:$B,2,1)),1+(1-$AU31))</f>
        <v>1</v>
      </c>
      <c r="ET31" s="15">
        <f>MIN(IF($AU31=100%,1,1+VLOOKUP(($AJ31-$AI31-$AH31-$AG31-$AF31-$AE31*(1+ET$3))/$AJ31,'Технический лист'!$A:$B,2,1)-VLOOKUP($AO31,'Технический лист'!$A:$B,2,1)),1+(1-$AU31))</f>
        <v>1</v>
      </c>
      <c r="EU31" s="15">
        <f>MIN(IF($AU31=100%,1,1+VLOOKUP(($AJ31-$AI31-$AH31-$AG31-$AF31-$AE31*(1+EU$3))/$AJ31,'Технический лист'!$A:$B,2,1)-VLOOKUP($AO31,'Технический лист'!$A:$B,2,1)),1+(1-$AU31))</f>
        <v>1</v>
      </c>
      <c r="EV31" s="111">
        <v>1</v>
      </c>
      <c r="EW31" s="15">
        <f>MIN(1,MAX(VLOOKUP(($AJ31-$AI31-$AH31-$AG31-$AF31-$AE31*(1+EW$3))/$AJ31,'Технический лист'!$A:$B,2,1),(EV31-0.05)))</f>
        <v>1</v>
      </c>
      <c r="EX31" s="15">
        <f>MIN(1,MAX(VLOOKUP(($AJ31-$AI31-$AH31-$AG31-$AF31-$AE31*(1+EX$3))/$AJ31,'Технический лист'!$A:$B,2,1),(EW31-0.05)))</f>
        <v>1</v>
      </c>
      <c r="EY31" s="15">
        <f>MIN(1,MAX(VLOOKUP(($AJ31-$AI31-$AH31-$AG31-$AF31-$AE31*(1+EY$3))/$AJ31,'Технический лист'!$A:$B,2,1),(EX31-0.05)))</f>
        <v>1</v>
      </c>
      <c r="EZ31" s="15">
        <f>MIN(1,MAX(VLOOKUP(($AJ31-$AI31-$AH31-$AG31-$AF31-$AE31*(1+EZ$3))/$AJ31,'Технический лист'!$A:$B,2,1),(EY31-0.05)))</f>
        <v>1</v>
      </c>
      <c r="FA31" s="15">
        <f>MIN(1,MAX(VLOOKUP(($AJ31-$AI31-$AH31-$AG31-$AF31-$AE31*(1+FA$3))/$AJ31,'Технический лист'!$A:$B,2,1),(EZ31-0.05)))</f>
        <v>1</v>
      </c>
      <c r="FB31" s="15">
        <f>MIN(1,MAX(VLOOKUP(($AJ31-$AI31-$AH31-$AG31-$AF31-$AE31*(1+FB$3))/$AJ31,'Технический лист'!$A:$B,2,1),(FA31-0.05)))</f>
        <v>1</v>
      </c>
      <c r="FC31" s="15">
        <f>MIN(1,MAX(VLOOKUP(($AJ31-$AI31-$AH31-$AG31-$AF31-$AE31*(1+FC$3))/$AJ31,'Технический лист'!$A:$B,2,1),(FB31-0.05)))</f>
        <v>1</v>
      </c>
      <c r="FD31" s="15">
        <f>MIN(1,MAX(VLOOKUP(($AJ31-$AI31-$AH31-$AG31-$AF31-$AE31*(1+FD$3))/$AJ31,'Технический лист'!$A:$B,2,1),(FC31-0.05)))</f>
        <v>1</v>
      </c>
      <c r="FE31" s="15">
        <f>MIN(1,MAX(VLOOKUP(($AJ31-$AI31-$AH31-$AG31-$AF31-$AE31*(1+FE$3))/$AJ31,'Технический лист'!$A:$B,2,1),(FD31-0.05)))</f>
        <v>1</v>
      </c>
      <c r="FF31" s="15">
        <f>MIN(1,MAX(VLOOKUP(($AJ31-$AI31-$AH31-$AG31-$AF31-$AE31*(1+FF$3))/$AJ31,'Технический лист'!$A:$B,2,1),(FE31-0.05)))</f>
        <v>1</v>
      </c>
      <c r="FG31" s="15">
        <f>MIN(1,MAX(VLOOKUP(($AJ31-$AI31-$AH31-$AG31-$AF31-$AE31*(1+FG$3))/$AJ31,'Технический лист'!$A:$B,2,1),(FF31-0.05)))</f>
        <v>1</v>
      </c>
      <c r="FH31" s="15">
        <f>MIN(1,MAX(VLOOKUP(($AJ31-$AI31-$AH31-$AG31-$AF31-$AE31*(1+FH$3))/$AJ31,'Технический лист'!$A:$B,2,1),(FG31-0.05)))</f>
        <v>1</v>
      </c>
      <c r="FI31" s="15">
        <f>MIN(1,MAX(VLOOKUP(($AJ31-$AI31-$AH31-$AG31-$AF31-$AE31*(1+FI$3))/$AJ31,'Технический лист'!$A:$B,2,1),(FH31-0.05)))</f>
        <v>1</v>
      </c>
      <c r="FJ31" s="15">
        <f>MIN(1,MAX(VLOOKUP(($AJ31-$AI31-$AH31-$AG31-$AF31-$AE31*(1+FJ$3))/$AJ31,'Технический лист'!$A:$B,2,1),(FI31-0.05)))</f>
        <v>1</v>
      </c>
      <c r="FK31" s="15">
        <f>MIN(1,MAX(VLOOKUP(($AJ31-$AI31-$AH31-$AG31-$AF31-$AE31*(1+FK$3))/$AJ31,'Технический лист'!$A:$B,2,1),(FJ31-0.05)))</f>
        <v>1</v>
      </c>
      <c r="FL31" s="15">
        <f>MIN(1,MAX(VLOOKUP(($AJ31-$AI31-$AH31-$AG31-$AF31-$AE31*(1+FL$3))/$AJ31,'Технический лист'!$A:$B,2,1),(FK31-0.05)))</f>
        <v>1</v>
      </c>
      <c r="FM31" s="15">
        <f>MIN(1,MAX(VLOOKUP(($AJ31-$AI31-$AH31-$AG31-$AF31-$AE31*(1+FM$3))/$AJ31,'Технический лист'!$A:$B,2,1),(FL31-0.05)))</f>
        <v>1</v>
      </c>
      <c r="FN31" s="15">
        <f>MIN(1,MAX(VLOOKUP(($AJ31-$AI31-$AH31-$AG31-$AF31-$AE31*(1+FN$3))/$AJ31,'Технический лист'!$A:$B,2,1),(FM31-0.05)))</f>
        <v>1</v>
      </c>
      <c r="FO31" s="15">
        <f>MIN(1,MAX(VLOOKUP(($AJ31-$AI31-$AH31-$AG31-$AF31-$AE31*(1+FO$3))/$AJ31,'Технический лист'!$A:$B,2,1),(FN31-0.05)))</f>
        <v>1</v>
      </c>
      <c r="FP31" s="15">
        <f>MIN(1,MAX(VLOOKUP(($AJ31-$AI31-$AH31-$AG31-$AF31-$AE31*(1+FP$3))/$AJ31,'Технический лист'!$A:$B,2,1),(FO31-0.05)))</f>
        <v>1</v>
      </c>
      <c r="FQ31" s="15">
        <f>MIN(1,MAX(VLOOKUP(($AJ31-$AI31-$AH31-$AG31-$AF31-$AE31*(1+FQ$3))/$AJ31,'Технический лист'!$A:$B,2,1),(FP31-0.05)))</f>
        <v>1</v>
      </c>
      <c r="FR31" s="15">
        <f>MIN(1,MAX(VLOOKUP(($AJ31-$AI31-$AH31-$AG31-$AF31-$AE31*(1+FR$3))/$AJ31,'Технический лист'!$A:$B,2,1),(FQ31-0.05)))</f>
        <v>1</v>
      </c>
      <c r="FS31" s="15">
        <f>MIN(1,MAX(VLOOKUP(($AJ31-$AI31-$AH31-$AG31-$AF31-$AE31*(1+FS$3))/$AJ31,'Технический лист'!$A:$B,2,1),(FR31-0.05)))</f>
        <v>1</v>
      </c>
      <c r="FT31" s="15">
        <f>MIN(1,MAX(VLOOKUP(($AJ31-$AI31-$AH31-$AG31-$AF31-$AE31*(1+FT$3))/$AJ31,'Технический лист'!$A:$B,2,1),(FS31-0.05)))</f>
        <v>1</v>
      </c>
      <c r="FU31" s="15">
        <f>MIN(1,MAX(VLOOKUP(($AJ31-$AI31-$AH31-$AG31-$AF31-$AE31*(1+FU$3))/$AJ31,'Технический лист'!$A:$B,2,1),(FT31-0.05)))</f>
        <v>1</v>
      </c>
      <c r="FV31" s="15">
        <f>MIN(1,MAX(VLOOKUP(($AJ31-$AI31-$AH31-$AG31-$AF31-$AE31*(1+FV$3))/$AJ31,'Технический лист'!$A:$B,2,1),(FU31-0.05)))</f>
        <v>1</v>
      </c>
      <c r="FW31" s="15">
        <f>MIN(1,MAX(VLOOKUP(($AJ31-$AI31-$AH31-$AG31-$AF31-$AE31*(1+FW$3))/$AJ31,'Технический лист'!$A:$B,2,1),(FV31-0.05)))</f>
        <v>1</v>
      </c>
      <c r="FX31" s="15">
        <f>MIN(1,MAX(VLOOKUP(($AJ31-$AI31-$AH31-$AG31-$AF31-$AE31*(1+FX$3))/$AJ31,'Технический лист'!$A:$B,2,1),(FW31-0.05)))</f>
        <v>1</v>
      </c>
      <c r="FY31" s="15">
        <f>MIN(1,MAX(VLOOKUP(($AJ31-$AI31-$AH31-$AG31-$AF31-$AE31*(1+FY$3))/$AJ31,'Технический лист'!$A:$B,2,1),(FX31-0.05)))</f>
        <v>1</v>
      </c>
      <c r="FZ31" s="15">
        <f>MIN(1,MAX(VLOOKUP(($AJ31-$AI31-$AH31-$AG31-$AF31-$AE31*(1+FZ$3))/$AJ31,'Технический лист'!$A:$B,2,1),(FY31-0.05)))</f>
        <v>1</v>
      </c>
      <c r="GA31" s="15">
        <f>MIN(1,MAX(VLOOKUP(($AJ31-$AI31-$AH31-$AG31-$AF31-$AE31*(1+GA$3))/$AJ31,'Технический лист'!$A:$B,2,1),(FZ31-0.05)))</f>
        <v>1</v>
      </c>
      <c r="GB31" s="15">
        <f>MIN(1,MAX(VLOOKUP(($AJ31-$AI31-$AH31-$AG31-$AF31-$AE31*(1+GB$3))/$AJ31,'Технический лист'!$A:$B,2,1),(GA31-0.05)))</f>
        <v>1</v>
      </c>
      <c r="GC31" s="15">
        <f>MIN(1,MAX(VLOOKUP(($AJ31-$AI31-$AH31-$AG31-$AF31-$AE31*(1+GC$3))/$AJ31,'Технический лист'!$A:$B,2,1),(GB31-0.05)))</f>
        <v>1</v>
      </c>
      <c r="GD31" s="15">
        <f>MIN(1,MAX(VLOOKUP(($AJ31-$AI31-$AH31-$AG31-$AF31-$AE31*(1+GD$3))/$AJ31,'Технический лист'!$A:$B,2,1),(GC31-0.05)))</f>
        <v>1</v>
      </c>
      <c r="GE31" s="15">
        <f>MIN(1,MAX(VLOOKUP(($AJ31-$AI31-$AH31-$AG31-$AF31-$AE31*(1+GE$3))/$AJ31,'Технический лист'!$A:$B,2,1),(GD31-0.05)))</f>
        <v>0.995</v>
      </c>
      <c r="GF31" s="15">
        <f>MIN(1,MAX(VLOOKUP(($AJ31-$AI31-$AH31-$AG31-$AF31-$AE31*(1+GF$3))/$AJ31,'Технический лист'!$A:$B,2,1),(GE31-0.05)))</f>
        <v>0.995</v>
      </c>
      <c r="GG31" s="15">
        <f>MIN(1,MAX(VLOOKUP(($AJ31-$AI31-$AH31-$AG31-$AF31-$AE31*(1+GG$3))/$AJ31,'Технический лист'!$A:$B,2,1),(GF31-0.05)))</f>
        <v>0.995</v>
      </c>
      <c r="GH31" s="15">
        <f>MIN(1,MAX(VLOOKUP(($AJ31-$AI31-$AH31-$AG31-$AF31-$AE31*(1+GH$3))/$AJ31,'Технический лист'!$A:$B,2,1),(GG31-0.05)))</f>
        <v>0.995</v>
      </c>
      <c r="GI31" s="15">
        <f>MIN(1,MAX(VLOOKUP(($AJ31-$AI31-$AH31-$AG31-$AF31-$AE31*(1+GI$3))/$AJ31,'Технический лист'!$A:$B,2,1),(GH31-0.05)))</f>
        <v>0.995</v>
      </c>
      <c r="GJ31" s="15">
        <f>MIN(1,MAX(VLOOKUP(($AJ31-$AI31-$AH31-$AG31-$AF31-$AE31*(1+GJ$3))/$AJ31,'Технический лист'!$A:$B,2,1),(GI31-0.05)))</f>
        <v>0.995</v>
      </c>
      <c r="GK31" s="15">
        <f>MIN(1,MAX(VLOOKUP(($AJ31-$AI31-$AH31-$AG31-$AF31-$AE31*(1+GK$3))/$AJ31,'Технический лист'!$A:$B,2,1),(GJ31-0.05)))</f>
        <v>0.995</v>
      </c>
      <c r="GL31" s="15">
        <f>MIN(1,MAX(VLOOKUP(($AJ31-$AI31-$AH31-$AG31-$AF31-$AE31*(1+GL$3))/$AJ31,'Технический лист'!$A:$B,2,1),(GK31-0.05)))</f>
        <v>0.995</v>
      </c>
      <c r="GM31" s="15">
        <f>MIN(1,MAX(VLOOKUP(($AJ31-$AI31-$AH31-$AG31-$AF31-$AE31*(1+GM$3))/$AJ31,'Технический лист'!$A:$B,2,1),(GL31-0.05)))</f>
        <v>0.99</v>
      </c>
      <c r="GN31" s="15">
        <f>MIN(1,MAX(VLOOKUP(($AJ31-$AI31-$AH31-$AG31-$AF31-$AE31*(1+GN$3))/$AJ31,'Технический лист'!$A:$B,2,1),(GM31-0.05)))</f>
        <v>0.99</v>
      </c>
      <c r="GO31" s="15">
        <f>MIN(1,MAX(VLOOKUP(($AJ31-$AI31-$AH31-$AG31-$AF31-$AE31*(1+GO$3))/$AJ31,'Технический лист'!$A:$B,2,1),(GN31-0.05)))</f>
        <v>0.99</v>
      </c>
      <c r="GP31" s="15">
        <f>MIN(1,MAX(VLOOKUP(($AJ31-$AI31-$AH31-$AG31-$AF31-$AE31*(1+GP$3))/$AJ31,'Технический лист'!$A:$B,2,1),(GO31-0.05)))</f>
        <v>0.99</v>
      </c>
      <c r="GQ31" s="15">
        <f>MIN(1,MAX(VLOOKUP(($AJ31-$AI31-$AH31-$AG31-$AF31-$AE31*(1+GQ$3))/$AJ31,'Технический лист'!$A:$B,2,1),(GP31-0.05)))</f>
        <v>0.99</v>
      </c>
      <c r="GR31" s="15">
        <f>MIN(1,MAX(VLOOKUP(($AJ31-$AI31-$AH31-$AG31-$AF31-$AE31*(1+GR$3))/$AJ31,'Технический лист'!$A:$B,2,1),(GQ31-0.05)))</f>
        <v>0.99</v>
      </c>
      <c r="GS31" s="15">
        <f>MIN(1,MAX(VLOOKUP(($AJ31-$AI31-$AH31-$AG31-$AF31-$AE31*(1+GS$3))/$AJ31,'Технический лист'!$A:$B,2,1),(GR31-0.05)))</f>
        <v>0.99</v>
      </c>
      <c r="GT31" s="15">
        <f>MIN(1,MAX(VLOOKUP(($AJ31-$AI31-$AH31-$AG31-$AF31-$AE31*(1+GT$3))/$AJ31,'Технический лист'!$A:$B,2,1),(GS31-0.05)))</f>
        <v>0.99</v>
      </c>
      <c r="GU31" s="15">
        <f>MIN(1,MAX(VLOOKUP(($AJ31-$AI31-$AH31-$AG31-$AF31-$AE31*(1+GU$3))/$AJ31,'Технический лист'!$A:$B,2,1),(GT31-0.05)))</f>
        <v>0.98499999999999999</v>
      </c>
      <c r="GV31" s="15">
        <f>MIN(1,MAX(VLOOKUP(($AJ31-$AI31-$AH31-$AG31-$AF31-$AE31*(1+GV$3))/$AJ31,'Технический лист'!$A:$B,2,1),(GU31-0.05)))</f>
        <v>0.98499999999999999</v>
      </c>
      <c r="GW31" s="15">
        <f>MIN(1,MAX(VLOOKUP(($AJ31-$AI31-$AH31-$AG31-$AF31-$AE31*(1+GW$3))/$AJ31,'Технический лист'!$A:$B,2,1),(GV31-0.05)))</f>
        <v>0.98499999999999999</v>
      </c>
      <c r="GX31" s="15">
        <f>MIN(1,MAX(VLOOKUP(($AJ31-$AI31-$AH31-$AG31-$AF31-$AE31*(1+GX$3))/$AJ31,'Технический лист'!$A:$B,2,1),(GW31-0.05)))</f>
        <v>0.98499999999999999</v>
      </c>
      <c r="GY31" s="15">
        <f>MIN(1,MAX(VLOOKUP(($AJ31-$AI31-$AH31-$AG31-$AF31-$AE31*(1+GY$3))/$AJ31,'Технический лист'!$A:$B,2,1),(GX31-0.05)))</f>
        <v>0.98499999999999999</v>
      </c>
      <c r="GZ31" s="15">
        <f>MIN(1,MAX(VLOOKUP(($AJ31-$AI31-$AH31-$AG31-$AF31-$AE31*(1+GZ$3))/$AJ31,'Технический лист'!$A:$B,2,1),(GY31-0.05)))</f>
        <v>0.98499999999999999</v>
      </c>
      <c r="HA31" s="15">
        <f>MIN(1,MAX(VLOOKUP(($AJ31-$AI31-$AH31-$AG31-$AF31-$AE31*(1+HA$3))/$AJ31,'Технический лист'!$A:$B,2,1),(GZ31-0.05)))</f>
        <v>0.98499999999999999</v>
      </c>
      <c r="HB31" s="15">
        <f>MIN(1,MAX(VLOOKUP(($AJ31-$AI31-$AH31-$AG31-$AF31-$AE31*(1+HB$3))/$AJ31,'Технический лист'!$A:$B,2,1),(HA31-0.05)))</f>
        <v>0.98499999999999999</v>
      </c>
      <c r="HC31" s="15">
        <f>MIN(1,MAX(VLOOKUP(($AJ31-$AI31-$AH31-$AG31-$AF31-$AE31*(1+HC$3))/$AJ31,'Технический лист'!$A:$B,2,1),(HB31-0.05)))</f>
        <v>0.98</v>
      </c>
      <c r="HD31" s="15">
        <f>MIN(1,MAX(VLOOKUP(($AJ31-$AI31-$AH31-$AG31-$AF31-$AE31*(1+HD$3))/$AJ31,'Технический лист'!$A:$B,2,1),(HC31-0.05)))</f>
        <v>0.98</v>
      </c>
      <c r="HE31" s="15">
        <f>MIN(1,MAX(VLOOKUP(($AJ31-$AI31-$AH31-$AG31-$AF31-$AE31*(1+HE$3))/$AJ31,'Технический лист'!$A:$B,2,1),(HD31-0.05)))</f>
        <v>0.98</v>
      </c>
      <c r="HF31" s="15">
        <f>MIN(1,MAX(VLOOKUP(($AJ31-$AI31-$AH31-$AG31-$AF31-$AE31*(1+HF$3))/$AJ31,'Технический лист'!$A:$B,2,1),(HE31-0.05)))</f>
        <v>0.98</v>
      </c>
      <c r="HG31" s="15">
        <f>MIN(1,MAX(VLOOKUP(($AJ31-$AI31-$AH31-$AG31-$AF31-$AE31*(1+HG$3))/$AJ31,'Технический лист'!$A:$B,2,1),(HF31-0.05)))</f>
        <v>0.98</v>
      </c>
      <c r="HH31" s="15">
        <f>MIN(1,MAX(VLOOKUP(($AJ31-$AI31-$AH31-$AG31-$AF31-$AE31*(1+HH$3))/$AJ31,'Технический лист'!$A:$B,2,1),(HG31-0.05)))</f>
        <v>0.98</v>
      </c>
      <c r="HI31" s="15">
        <f>MIN(1,MAX(VLOOKUP(($AJ31-$AI31-$AH31-$AG31-$AF31-$AE31*(1+HI$3))/$AJ31,'Технический лист'!$A:$B,2,1),(HH31-0.05)))</f>
        <v>0.98</v>
      </c>
      <c r="HJ31" s="15">
        <f>MIN(1,MAX(VLOOKUP(($AJ31-$AI31-$AH31-$AG31-$AF31-$AE31*(1+HJ$3))/$AJ31,'Технический лист'!$A:$B,2,1),(HI31-0.05)))</f>
        <v>0.98</v>
      </c>
      <c r="HK31" s="15">
        <f>MIN(1,MAX(VLOOKUP(($AJ31-$AI31-$AH31-$AG31-$AF31-$AE31*(1+HK$3))/$AJ31,'Технический лист'!$A:$B,2,1),(HJ31-0.05)))</f>
        <v>0.97499999999999998</v>
      </c>
      <c r="HL31" s="15">
        <f>MIN(1,MAX(VLOOKUP(($AJ31-$AI31-$AH31-$AG31-$AF31-$AE31*(1+HL$3))/$AJ31,'Технический лист'!$A:$B,2,1),(HK31-0.05)))</f>
        <v>0.97499999999999998</v>
      </c>
      <c r="HM31" s="15">
        <f>MIN(1,MAX(VLOOKUP(($AJ31-$AI31-$AH31-$AG31-$AF31-$AE31*(1+HM$3))/$AJ31,'Технический лист'!$A:$B,2,1),(HL31-0.05)))</f>
        <v>0.97499999999999998</v>
      </c>
      <c r="HN31" s="15">
        <f>MIN(1,MAX(VLOOKUP(($AJ31-$AI31-$AH31-$AG31-$AF31-$AE31*(1+HN$3))/$AJ31,'Технический лист'!$A:$B,2,1),(HM31-0.05)))</f>
        <v>0.97499999999999998</v>
      </c>
      <c r="HO31" s="15">
        <f>MIN(1,MAX(VLOOKUP(($AJ31-$AI31-$AH31-$AG31-$AF31-$AE31*(1+HO$3))/$AJ31,'Технический лист'!$A:$B,2,1),(HN31-0.05)))</f>
        <v>0.97499999999999998</v>
      </c>
      <c r="HP31" s="15">
        <f>MIN(1,MAX(VLOOKUP(($AJ31-$AI31-$AH31-$AG31-$AF31-$AE31*(1+HP$3))/$AJ31,'Технический лист'!$A:$B,2,1),(HO31-0.05)))</f>
        <v>0.97499999999999998</v>
      </c>
      <c r="HQ31" s="15">
        <f>MIN(1,MAX(VLOOKUP(($AJ31-$AI31-$AH31-$AG31-$AF31-$AE31*(1+HQ$3))/$AJ31,'Технический лист'!$A:$B,2,1),(HP31-0.05)))</f>
        <v>0.97499999999999998</v>
      </c>
      <c r="HR31" s="15">
        <f>MIN(1,MAX(VLOOKUP(($AJ31-$AI31-$AH31-$AG31-$AF31-$AE31*(1+HR$3))/$AJ31,'Технический лист'!$A:$B,2,1),(HQ31-0.05)))</f>
        <v>0.97499999999999998</v>
      </c>
      <c r="HS31" s="15">
        <f>MIN(1,MAX(VLOOKUP(($AJ31-$AI31-$AH31-$AG31-$AF31-$AE31*(1+HS$3))/$AJ31,'Технический лист'!$A:$B,2,1),(HR31-0.05)))</f>
        <v>0.97</v>
      </c>
      <c r="HT31" s="15">
        <f>MIN(1,MAX(VLOOKUP(($AJ31-$AI31-$AH31-$AG31-$AF31-$AE31*(1+HT$3))/$AJ31,'Технический лист'!$A:$B,2,1),(HS31-0.05)))</f>
        <v>0.97</v>
      </c>
      <c r="HU31" s="15">
        <f>MIN(1,MAX(VLOOKUP(($AJ31-$AI31-$AH31-$AG31-$AF31-$AE31*(1+HU$3))/$AJ31,'Технический лист'!$A:$B,2,1),(HT31-0.05)))</f>
        <v>0.97</v>
      </c>
      <c r="HV31" s="15">
        <f>MIN(1,MAX(VLOOKUP(($AJ31-$AI31-$AH31-$AG31-$AF31-$AE31*(1+HV$3))/$AJ31,'Технический лист'!$A:$B,2,1),(HU31-0.05)))</f>
        <v>0.97</v>
      </c>
      <c r="HW31" s="15">
        <f>MIN(1,MAX(VLOOKUP(($AJ31-$AI31-$AH31-$AG31-$AF31-$AE31*(1+HW$3))/$AJ31,'Технический лист'!$A:$B,2,1),(HV31-0.05)))</f>
        <v>0.97</v>
      </c>
      <c r="HX31" s="15">
        <f>MIN(1,MAX(VLOOKUP(($AJ31-$AI31-$AH31-$AG31-$AF31-$AE31*(1+HX$3))/$AJ31,'Технический лист'!$A:$B,2,1),(HW31-0.05)))</f>
        <v>0.97</v>
      </c>
      <c r="HY31" s="15">
        <f>MIN(1,MAX(VLOOKUP(($AJ31-$AI31-$AH31-$AG31-$AF31-$AE31*(1+HY$3))/$AJ31,'Технический лист'!$A:$B,2,1),(HX31-0.05)))</f>
        <v>0.97</v>
      </c>
      <c r="HZ31" s="15">
        <f>MIN(1,MAX(VLOOKUP(($AJ31-$AI31-$AH31-$AG31-$AF31-$AE31*(1+HZ$3))/$AJ31,'Технический лист'!$A:$B,2,1),(HY31-0.05)))</f>
        <v>0.97</v>
      </c>
      <c r="IA31" s="15">
        <f>MIN(1,MAX(VLOOKUP(($AJ31-$AI31-$AH31-$AG31-$AF31-$AE31*(1+IA$3))/$AJ31,'Технический лист'!$A:$B,2,1),(HZ31-0.05)))</f>
        <v>0.96499999999999997</v>
      </c>
      <c r="IB31" s="15">
        <f>MIN(1,MAX(VLOOKUP(($AJ31-$AI31-$AH31-$AG31-$AF31-$AE31*(1+IB$3))/$AJ31,'Технический лист'!$A:$B,2,1),(IA31-0.05)))</f>
        <v>0.96499999999999997</v>
      </c>
      <c r="IC31" s="15">
        <f>MIN(1,MAX(VLOOKUP(($AJ31-$AI31-$AH31-$AG31-$AF31-$AE31*(1+IC$3))/$AJ31,'Технический лист'!$A:$B,2,1),(IB31-0.05)))</f>
        <v>0.96499999999999997</v>
      </c>
      <c r="ID31" s="15">
        <f>MIN(1,MAX(VLOOKUP(($AJ31-$AI31-$AH31-$AG31-$AF31-$AE31*(1+ID$3))/$AJ31,'Технический лист'!$A:$B,2,1),(IC31-0.05)))</f>
        <v>0.96499999999999997</v>
      </c>
      <c r="IE31" s="15">
        <f>MIN(1,MAX(VLOOKUP(($AJ31-$AI31-$AH31-$AG31-$AF31-$AE31*(1+IE$3))/$AJ31,'Технический лист'!$A:$B,2,1),(ID31-0.05)))</f>
        <v>0.96499999999999997</v>
      </c>
      <c r="IF31" s="15">
        <f>MIN(1,MAX(VLOOKUP(($AJ31-$AI31-$AH31-$AG31-$AF31-$AE31*(1+IF$3))/$AJ31,'Технический лист'!$A:$B,2,1),(IE31-0.05)))</f>
        <v>0.96499999999999997</v>
      </c>
      <c r="IG31" s="15">
        <f>MIN(1,MAX(VLOOKUP(($AJ31-$AI31-$AH31-$AG31-$AF31-$AE31*(1+IG$3))/$AJ31,'Технический лист'!$A:$B,2,1),(IF31-0.05)))</f>
        <v>0.96499999999999997</v>
      </c>
      <c r="IH31" s="15">
        <f>MIN(1,MAX(VLOOKUP(($AJ31-$AI31-$AH31-$AG31-$AF31-$AE31*(1+IH$3))/$AJ31,'Технический лист'!$A:$B,2,1),(IG31-0.05)))</f>
        <v>0.96499999999999997</v>
      </c>
      <c r="II31" s="15">
        <f>MIN(1,MAX(VLOOKUP(($AJ31-$AI31-$AH31-$AG31-$AF31-$AE31*(1+II$3))/$AJ31,'Технический лист'!$A:$B,2,1),(IH31-0.05)))</f>
        <v>0.96</v>
      </c>
      <c r="IJ31" s="15">
        <f>MIN(1,MAX(VLOOKUP(($AJ31-$AI31-$AH31-$AG31-$AF31-$AE31*(1+IJ$3))/$AJ31,'Технический лист'!$A:$B,2,1),(II31-0.05)))</f>
        <v>0.96</v>
      </c>
      <c r="IK31" s="15">
        <f>MIN(1,MAX(VLOOKUP(($AJ31-$AI31-$AH31-$AG31-$AF31-$AE31*(1+IK$3))/$AJ31,'Технический лист'!$A:$B,2,1),(IJ31-0.05)))</f>
        <v>0.96</v>
      </c>
      <c r="IL31" s="15">
        <f>MIN(1,MAX(VLOOKUP(($AJ31-$AI31-$AH31-$AG31-$AF31-$AE31*(1+IL$3))/$AJ31,'Технический лист'!$A:$B,2,1),(IK31-0.05)))</f>
        <v>0.96</v>
      </c>
      <c r="IM31" s="15">
        <f>MIN(1,MAX(VLOOKUP(($AJ31-$AI31-$AH31-$AG31-$AF31-$AE31*(1+IM$3))/$AJ31,'Технический лист'!$A:$B,2,1),(IL31-0.05)))</f>
        <v>0.96</v>
      </c>
      <c r="IN31" s="15">
        <f>MIN(1,MAX(VLOOKUP(($AJ31-$AI31-$AH31-$AG31-$AF31-$AE31*(1+IN$3))/$AJ31,'Технический лист'!$A:$B,2,1),(IM31-0.05)))</f>
        <v>0.96</v>
      </c>
      <c r="IO31" s="15">
        <f>MIN(1,MAX(VLOOKUP(($AJ31-$AI31-$AH31-$AG31-$AF31-$AE31*(1+IO$3))/$AJ31,'Технический лист'!$A:$B,2,1),(IN31-0.05)))</f>
        <v>0.96</v>
      </c>
      <c r="IP31" s="15">
        <f>MIN(1,MAX(VLOOKUP(($AJ31-$AI31-$AH31-$AG31-$AF31-$AE31*(1+IP$3))/$AJ31,'Технический лист'!$A:$B,2,1),(IO31-0.05)))</f>
        <v>0.96</v>
      </c>
      <c r="IQ31" s="15">
        <f>MIN(1,MAX(VLOOKUP(($AJ31-$AI31-$AH31-$AG31-$AF31-$AE31*(1+IQ$3))/$AJ31,'Технический лист'!$A:$B,2,1),(IP31-0.05)))</f>
        <v>0.95499999999999996</v>
      </c>
      <c r="IR31" s="15">
        <f>MIN(1,MAX(VLOOKUP(($AJ31-$AI31-$AH31-$AG31-$AF31-$AE31*(1+IR$3))/$AJ31,'Технический лист'!$A:$B,2,1),(IQ31-0.05)))</f>
        <v>0.95499999999999996</v>
      </c>
    </row>
    <row r="32" spans="1:252" ht="45" customHeight="1">
      <c r="A32" s="89" t="s">
        <v>514</v>
      </c>
      <c r="B32" s="90">
        <v>2</v>
      </c>
      <c r="C32" s="5" t="s">
        <v>65</v>
      </c>
      <c r="D32" s="91">
        <v>17111</v>
      </c>
      <c r="E32" s="91" t="s">
        <v>321</v>
      </c>
      <c r="F32" s="92" t="s">
        <v>69</v>
      </c>
      <c r="G32" s="91" t="s">
        <v>23</v>
      </c>
      <c r="H32" s="91" t="s">
        <v>19</v>
      </c>
      <c r="I32" s="91" t="s">
        <v>104</v>
      </c>
      <c r="J32" s="91" t="s">
        <v>94</v>
      </c>
      <c r="K32" s="91">
        <v>1038</v>
      </c>
      <c r="L32" s="85" t="s">
        <v>64</v>
      </c>
      <c r="M32" s="91" t="s">
        <v>190</v>
      </c>
      <c r="N32" s="91" t="s">
        <v>191</v>
      </c>
      <c r="O32" s="91" t="s">
        <v>194</v>
      </c>
      <c r="P32" s="89" t="s">
        <v>208</v>
      </c>
      <c r="Q32" s="91" t="s">
        <v>288</v>
      </c>
      <c r="R32" s="91" t="s">
        <v>257</v>
      </c>
      <c r="S32" s="82">
        <v>1633</v>
      </c>
      <c r="T32" s="82">
        <v>1694838</v>
      </c>
      <c r="U32" s="81">
        <v>30</v>
      </c>
      <c r="V32" s="81">
        <v>0</v>
      </c>
      <c r="W32" s="82">
        <v>1713843</v>
      </c>
      <c r="X32" s="112">
        <v>54</v>
      </c>
      <c r="Y32" s="112" t="s">
        <v>416</v>
      </c>
      <c r="Z32" s="113">
        <v>7</v>
      </c>
      <c r="AA32" s="113">
        <v>5</v>
      </c>
      <c r="AB32" s="113">
        <v>4</v>
      </c>
      <c r="AC32" s="99">
        <v>1171.52</v>
      </c>
      <c r="AD32" s="99">
        <f t="shared" si="1"/>
        <v>439.15000000000009</v>
      </c>
      <c r="AE32" s="99">
        <v>1610.67</v>
      </c>
      <c r="AF32" s="98">
        <f>(Z32+AA32+AB32)*'Ставки аренды'!$B$3/X32</f>
        <v>207.40740740740742</v>
      </c>
      <c r="AG32" s="114">
        <v>0</v>
      </c>
      <c r="AH32" s="94">
        <v>0</v>
      </c>
      <c r="AI32" s="115">
        <f>45627537/67277047*AVERAGE(AJ30,AJ31)</f>
        <v>11120.924779015453</v>
      </c>
      <c r="AJ32" s="117">
        <f>Цены!$D$9</f>
        <v>17000</v>
      </c>
      <c r="AK32" s="94">
        <f>AJ32/Цены!$B$1</f>
        <v>222.7886587467483</v>
      </c>
      <c r="AL32" s="95">
        <f t="shared" si="5"/>
        <v>1818.0774074074075</v>
      </c>
      <c r="AM32" s="95">
        <f t="shared" si="6"/>
        <v>15181.922592592593</v>
      </c>
      <c r="AN32" s="94">
        <f t="shared" si="2"/>
        <v>12939.00218642286</v>
      </c>
      <c r="AO32" s="118">
        <f t="shared" si="3"/>
        <v>0.23888222432806705</v>
      </c>
      <c r="AP32" s="96">
        <f t="shared" si="7"/>
        <v>0.10694572984749455</v>
      </c>
      <c r="AQ32" s="96">
        <f t="shared" si="8"/>
        <v>9.4745294117647066E-2</v>
      </c>
      <c r="AR32" s="96">
        <f t="shared" si="9"/>
        <v>0.88591937474039018</v>
      </c>
      <c r="AS32" s="122">
        <v>1</v>
      </c>
      <c r="AT32" s="121">
        <f t="shared" si="10"/>
        <v>1633</v>
      </c>
      <c r="AU32" s="83">
        <v>0.9</v>
      </c>
      <c r="AV32" s="119">
        <f t="shared" si="11"/>
        <v>0.22751278903394931</v>
      </c>
      <c r="AW32" s="120">
        <f t="shared" si="12"/>
        <v>0.11831516514161221</v>
      </c>
      <c r="AX32" s="120">
        <f t="shared" si="13"/>
        <v>0.10611472941176471</v>
      </c>
      <c r="AY32" s="120">
        <f t="shared" si="14"/>
        <v>0.89688189408986829</v>
      </c>
      <c r="AZ32" s="15">
        <f>MIN(IF($AU32=100%,1,1+VLOOKUP(($AJ32-$AI32-$AH32-$AG32-$AF32-$AE32*(1+AZ$3))/$AJ32,'Технический лист'!$A:$B,2,1)-VLOOKUP($AO32,'Технический лист'!$A:$B,2,1)),1+(1-$AU32))</f>
        <v>1.0299999999999996</v>
      </c>
      <c r="BA32" s="15">
        <f>MIN(IF($AU32=100%,1,1+VLOOKUP(($AJ32-$AI32-$AH32-$AG32-$AF32-$AE32*(1+BA$3))/$AJ32,'Технический лист'!$A:$B,2,1)-VLOOKUP($AO32,'Технический лист'!$A:$B,2,1)),1+(1-$AU32))</f>
        <v>1.0299999999999996</v>
      </c>
      <c r="BB32" s="15">
        <f>MIN(IF($AU32=100%,1,1+VLOOKUP(($AJ32-$AI32-$AH32-$AG32-$AF32-$AE32*(1+BB$3))/$AJ32,'Технический лист'!$A:$B,2,1)-VLOOKUP($AO32,'Технический лист'!$A:$B,2,1)),1+(1-$AU32))</f>
        <v>1.0299999999999996</v>
      </c>
      <c r="BC32" s="15">
        <f>MIN(IF($AU32=100%,1,1+VLOOKUP(($AJ32-$AI32-$AH32-$AG32-$AF32-$AE32*(1+BC$3))/$AJ32,'Технический лист'!$A:$B,2,1)-VLOOKUP($AO32,'Технический лист'!$A:$B,2,1)),1+(1-$AU32))</f>
        <v>1.0299999999999996</v>
      </c>
      <c r="BD32" s="15">
        <f>MIN(IF($AU32=100%,1,1+VLOOKUP(($AJ32-$AI32-$AH32-$AG32-$AF32-$AE32*(1+BD$3))/$AJ32,'Технический лист'!$A:$B,2,1)-VLOOKUP($AO32,'Технический лист'!$A:$B,2,1)),1+(1-$AU32))</f>
        <v>1.0299999999999996</v>
      </c>
      <c r="BE32" s="15">
        <f>MIN(IF($AU32=100%,1,1+VLOOKUP(($AJ32-$AI32-$AH32-$AG32-$AF32-$AE32*(1+BE$3))/$AJ32,'Технический лист'!$A:$B,2,1)-VLOOKUP($AO32,'Технический лист'!$A:$B,2,1)),1+(1-$AU32))</f>
        <v>1.0299999999999996</v>
      </c>
      <c r="BF32" s="15">
        <f>MIN(IF($AU32=100%,1,1+VLOOKUP(($AJ32-$AI32-$AH32-$AG32-$AF32-$AE32*(1+BF$3))/$AJ32,'Технический лист'!$A:$B,2,1)-VLOOKUP($AO32,'Технический лист'!$A:$B,2,1)),1+(1-$AU32))</f>
        <v>1.0299999999999996</v>
      </c>
      <c r="BG32" s="15">
        <f>MIN(IF($AU32=100%,1,1+VLOOKUP(($AJ32-$AI32-$AH32-$AG32-$AF32-$AE32*(1+BG$3))/$AJ32,'Технический лист'!$A:$B,2,1)-VLOOKUP($AO32,'Технический лист'!$A:$B,2,1)),1+(1-$AU32))</f>
        <v>1.0299999999999996</v>
      </c>
      <c r="BH32" s="15">
        <f>MIN(IF($AU32=100%,1,1+VLOOKUP(($AJ32-$AI32-$AH32-$AG32-$AF32-$AE32*(1+BH$3))/$AJ32,'Технический лист'!$A:$B,2,1)-VLOOKUP($AO32,'Технический лист'!$A:$B,2,1)),1+(1-$AU32))</f>
        <v>1.0299999999999996</v>
      </c>
      <c r="BI32" s="15">
        <f>MIN(IF($AU32=100%,1,1+VLOOKUP(($AJ32-$AI32-$AH32-$AG32-$AF32-$AE32*(1+BI$3))/$AJ32,'Технический лист'!$A:$B,2,1)-VLOOKUP($AO32,'Технический лист'!$A:$B,2,1)),1+(1-$AU32))</f>
        <v>1.0299999999999996</v>
      </c>
      <c r="BJ32" s="15">
        <f>MIN(IF($AU32=100%,1,1+VLOOKUP(($AJ32-$AI32-$AH32-$AG32-$AF32-$AE32*(1+BJ$3))/$AJ32,'Технический лист'!$A:$B,2,1)-VLOOKUP($AO32,'Технический лист'!$A:$B,2,1)),1+(1-$AU32))</f>
        <v>1.0299999999999996</v>
      </c>
      <c r="BK32" s="15">
        <f>MIN(IF($AU32=100%,1,1+VLOOKUP(($AJ32-$AI32-$AH32-$AG32-$AF32-$AE32*(1+BK$3))/$AJ32,'Технический лист'!$A:$B,2,1)-VLOOKUP($AO32,'Технический лист'!$A:$B,2,1)),1+(1-$AU32))</f>
        <v>1.0299999999999996</v>
      </c>
      <c r="BL32" s="15">
        <f>MIN(IF($AU32=100%,1,1+VLOOKUP(($AJ32-$AI32-$AH32-$AG32-$AF32-$AE32*(1+BL$3))/$AJ32,'Технический лист'!$A:$B,2,1)-VLOOKUP($AO32,'Технический лист'!$A:$B,2,1)),1+(1-$AU32))</f>
        <v>1.0299999999999996</v>
      </c>
      <c r="BM32" s="15">
        <f>MIN(IF($AU32=100%,1,1+VLOOKUP(($AJ32-$AI32-$AH32-$AG32-$AF32-$AE32*(1+BM$3))/$AJ32,'Технический лист'!$A:$B,2,1)-VLOOKUP($AO32,'Технический лист'!$A:$B,2,1)),1+(1-$AU32))</f>
        <v>1.0299999999999996</v>
      </c>
      <c r="BN32" s="15">
        <f>MIN(IF($AU32=100%,1,1+VLOOKUP(($AJ32-$AI32-$AH32-$AG32-$AF32-$AE32*(1+BN$3))/$AJ32,'Технический лист'!$A:$B,2,1)-VLOOKUP($AO32,'Технический лист'!$A:$B,2,1)),1+(1-$AU32))</f>
        <v>1.0239999999999998</v>
      </c>
      <c r="BO32" s="15">
        <f>MIN(IF($AU32=100%,1,1+VLOOKUP(($AJ32-$AI32-$AH32-$AG32-$AF32-$AE32*(1+BO$3))/$AJ32,'Технический лист'!$A:$B,2,1)-VLOOKUP($AO32,'Технический лист'!$A:$B,2,1)),1+(1-$AU32))</f>
        <v>1.0239999999999998</v>
      </c>
      <c r="BP32" s="15">
        <f>MIN(IF($AU32=100%,1,1+VLOOKUP(($AJ32-$AI32-$AH32-$AG32-$AF32-$AE32*(1+BP$3))/$AJ32,'Технический лист'!$A:$B,2,1)-VLOOKUP($AO32,'Технический лист'!$A:$B,2,1)),1+(1-$AU32))</f>
        <v>1.0239999999999998</v>
      </c>
      <c r="BQ32" s="15">
        <f>MIN(IF($AU32=100%,1,1+VLOOKUP(($AJ32-$AI32-$AH32-$AG32-$AF32-$AE32*(1+BQ$3))/$AJ32,'Технический лист'!$A:$B,2,1)-VLOOKUP($AO32,'Технический лист'!$A:$B,2,1)),1+(1-$AU32))</f>
        <v>1.0239999999999998</v>
      </c>
      <c r="BR32" s="15">
        <f>MIN(IF($AU32=100%,1,1+VLOOKUP(($AJ32-$AI32-$AH32-$AG32-$AF32-$AE32*(1+BR$3))/$AJ32,'Технический лист'!$A:$B,2,1)-VLOOKUP($AO32,'Технический лист'!$A:$B,2,1)),1+(1-$AU32))</f>
        <v>1.0239999999999998</v>
      </c>
      <c r="BS32" s="15">
        <f>MIN(IF($AU32=100%,1,1+VLOOKUP(($AJ32-$AI32-$AH32-$AG32-$AF32-$AE32*(1+BS$3))/$AJ32,'Технический лист'!$A:$B,2,1)-VLOOKUP($AO32,'Технический лист'!$A:$B,2,1)),1+(1-$AU32))</f>
        <v>1.0239999999999998</v>
      </c>
      <c r="BT32" s="15">
        <f>MIN(IF($AU32=100%,1,1+VLOOKUP(($AJ32-$AI32-$AH32-$AG32-$AF32-$AE32*(1+BT$3))/$AJ32,'Технический лист'!$A:$B,2,1)-VLOOKUP($AO32,'Технический лист'!$A:$B,2,1)),1+(1-$AU32))</f>
        <v>1.0239999999999998</v>
      </c>
      <c r="BU32" s="15">
        <f>MIN(IF($AU32=100%,1,1+VLOOKUP(($AJ32-$AI32-$AH32-$AG32-$AF32-$AE32*(1+BU$3))/$AJ32,'Технический лист'!$A:$B,2,1)-VLOOKUP($AO32,'Технический лист'!$A:$B,2,1)),1+(1-$AU32))</f>
        <v>1.0239999999999998</v>
      </c>
      <c r="BV32" s="15">
        <f>MIN(IF($AU32=100%,1,1+VLOOKUP(($AJ32-$AI32-$AH32-$AG32-$AF32-$AE32*(1+BV$3))/$AJ32,'Технический лист'!$A:$B,2,1)-VLOOKUP($AO32,'Технический лист'!$A:$B,2,1)),1+(1-$AU32))</f>
        <v>1.0239999999999998</v>
      </c>
      <c r="BW32" s="15">
        <f>MIN(IF($AU32=100%,1,1+VLOOKUP(($AJ32-$AI32-$AH32-$AG32-$AF32-$AE32*(1+BW$3))/$AJ32,'Технический лист'!$A:$B,2,1)-VLOOKUP($AO32,'Технический лист'!$A:$B,2,1)),1+(1-$AU32))</f>
        <v>1.0239999999999998</v>
      </c>
      <c r="BX32" s="15">
        <f>MIN(IF($AU32=100%,1,1+VLOOKUP(($AJ32-$AI32-$AH32-$AG32-$AF32-$AE32*(1+BX$3))/$AJ32,'Технический лист'!$A:$B,2,1)-VLOOKUP($AO32,'Технический лист'!$A:$B,2,1)),1+(1-$AU32))</f>
        <v>1.0239999999999998</v>
      </c>
      <c r="BY32" s="15">
        <f>MIN(IF($AU32=100%,1,1+VLOOKUP(($AJ32-$AI32-$AH32-$AG32-$AF32-$AE32*(1+BY$3))/$AJ32,'Технический лист'!$A:$B,2,1)-VLOOKUP($AO32,'Технический лист'!$A:$B,2,1)),1+(1-$AU32))</f>
        <v>1.0239999999999998</v>
      </c>
      <c r="BZ32" s="15">
        <f>MIN(IF($AU32=100%,1,1+VLOOKUP(($AJ32-$AI32-$AH32-$AG32-$AF32-$AE32*(1+BZ$3))/$AJ32,'Технический лист'!$A:$B,2,1)-VLOOKUP($AO32,'Технический лист'!$A:$B,2,1)),1+(1-$AU32))</f>
        <v>1.0239999999999998</v>
      </c>
      <c r="CA32" s="15">
        <f>MIN(IF($AU32=100%,1,1+VLOOKUP(($AJ32-$AI32-$AH32-$AG32-$AF32-$AE32*(1+CA$3))/$AJ32,'Технический лист'!$A:$B,2,1)-VLOOKUP($AO32,'Технический лист'!$A:$B,2,1)),1+(1-$AU32))</f>
        <v>1.0239999999999998</v>
      </c>
      <c r="CB32" s="15">
        <f>MIN(IF($AU32=100%,1,1+VLOOKUP(($AJ32-$AI32-$AH32-$AG32-$AF32-$AE32*(1+CB$3))/$AJ32,'Технический лист'!$A:$B,2,1)-VLOOKUP($AO32,'Технический лист'!$A:$B,2,1)),1+(1-$AU32))</f>
        <v>1.0239999999999998</v>
      </c>
      <c r="CC32" s="15">
        <f>MIN(IF($AU32=100%,1,1+VLOOKUP(($AJ32-$AI32-$AH32-$AG32-$AF32-$AE32*(1+CC$3))/$AJ32,'Технический лист'!$A:$B,2,1)-VLOOKUP($AO32,'Технический лист'!$A:$B,2,1)),1+(1-$AU32))</f>
        <v>1.0239999999999998</v>
      </c>
      <c r="CD32" s="15">
        <f>MIN(IF($AU32=100%,1,1+VLOOKUP(($AJ32-$AI32-$AH32-$AG32-$AF32-$AE32*(1+CD$3))/$AJ32,'Технический лист'!$A:$B,2,1)-VLOOKUP($AO32,'Технический лист'!$A:$B,2,1)),1+(1-$AU32))</f>
        <v>1.0239999999999998</v>
      </c>
      <c r="CE32" s="15">
        <f>MIN(IF($AU32=100%,1,1+VLOOKUP(($AJ32-$AI32-$AH32-$AG32-$AF32-$AE32*(1+CE$3))/$AJ32,'Технический лист'!$A:$B,2,1)-VLOOKUP($AO32,'Технический лист'!$A:$B,2,1)),1+(1-$AU32))</f>
        <v>1.0239999999999998</v>
      </c>
      <c r="CF32" s="15">
        <f>MIN(IF($AU32=100%,1,1+VLOOKUP(($AJ32-$AI32-$AH32-$AG32-$AF32-$AE32*(1+CF$3))/$AJ32,'Технический лист'!$A:$B,2,1)-VLOOKUP($AO32,'Технический лист'!$A:$B,2,1)),1+(1-$AU32))</f>
        <v>1.0239999999999998</v>
      </c>
      <c r="CG32" s="15">
        <f>MIN(IF($AU32=100%,1,1+VLOOKUP(($AJ32-$AI32-$AH32-$AG32-$AF32-$AE32*(1+CG$3))/$AJ32,'Технический лист'!$A:$B,2,1)-VLOOKUP($AO32,'Технический лист'!$A:$B,2,1)),1+(1-$AU32))</f>
        <v>1.0239999999999998</v>
      </c>
      <c r="CH32" s="15">
        <f>MIN(IF($AU32=100%,1,1+VLOOKUP(($AJ32-$AI32-$AH32-$AG32-$AF32-$AE32*(1+CH$3))/$AJ32,'Технический лист'!$A:$B,2,1)-VLOOKUP($AO32,'Технический лист'!$A:$B,2,1)),1+(1-$AU32))</f>
        <v>1.0239999999999998</v>
      </c>
      <c r="CI32" s="15">
        <f>MIN(IF($AU32=100%,1,1+VLOOKUP(($AJ32-$AI32-$AH32-$AG32-$AF32-$AE32*(1+CI$3))/$AJ32,'Технический лист'!$A:$B,2,1)-VLOOKUP($AO32,'Технический лист'!$A:$B,2,1)),1+(1-$AU32))</f>
        <v>1.018</v>
      </c>
      <c r="CJ32" s="15">
        <f>MIN(IF($AU32=100%,1,1+VLOOKUP(($AJ32-$AI32-$AH32-$AG32-$AF32-$AE32*(1+CJ$3))/$AJ32,'Технический лист'!$A:$B,2,1)-VLOOKUP($AO32,'Технический лист'!$A:$B,2,1)),1+(1-$AU32))</f>
        <v>1.018</v>
      </c>
      <c r="CK32" s="15">
        <f>MIN(IF($AU32=100%,1,1+VLOOKUP(($AJ32-$AI32-$AH32-$AG32-$AF32-$AE32*(1+CK$3))/$AJ32,'Технический лист'!$A:$B,2,1)-VLOOKUP($AO32,'Технический лист'!$A:$B,2,1)),1+(1-$AU32))</f>
        <v>1.018</v>
      </c>
      <c r="CL32" s="15">
        <f>MIN(IF($AU32=100%,1,1+VLOOKUP(($AJ32-$AI32-$AH32-$AG32-$AF32-$AE32*(1+CL$3))/$AJ32,'Технический лист'!$A:$B,2,1)-VLOOKUP($AO32,'Технический лист'!$A:$B,2,1)),1+(1-$AU32))</f>
        <v>1.018</v>
      </c>
      <c r="CM32" s="15">
        <f>MIN(IF($AU32=100%,1,1+VLOOKUP(($AJ32-$AI32-$AH32-$AG32-$AF32-$AE32*(1+CM$3))/$AJ32,'Технический лист'!$A:$B,2,1)-VLOOKUP($AO32,'Технический лист'!$A:$B,2,1)),1+(1-$AU32))</f>
        <v>1.018</v>
      </c>
      <c r="CN32" s="15">
        <f>MIN(IF($AU32=100%,1,1+VLOOKUP(($AJ32-$AI32-$AH32-$AG32-$AF32-$AE32*(1+CN$3))/$AJ32,'Технический лист'!$A:$B,2,1)-VLOOKUP($AO32,'Технический лист'!$A:$B,2,1)),1+(1-$AU32))</f>
        <v>1.018</v>
      </c>
      <c r="CO32" s="15">
        <f>MIN(IF($AU32=100%,1,1+VLOOKUP(($AJ32-$AI32-$AH32-$AG32-$AF32-$AE32*(1+CO$3))/$AJ32,'Технический лист'!$A:$B,2,1)-VLOOKUP($AO32,'Технический лист'!$A:$B,2,1)),1+(1-$AU32))</f>
        <v>1.018</v>
      </c>
      <c r="CP32" s="15">
        <f>MIN(IF($AU32=100%,1,1+VLOOKUP(($AJ32-$AI32-$AH32-$AG32-$AF32-$AE32*(1+CP$3))/$AJ32,'Технический лист'!$A:$B,2,1)-VLOOKUP($AO32,'Технический лист'!$A:$B,2,1)),1+(1-$AU32))</f>
        <v>1.018</v>
      </c>
      <c r="CQ32" s="15">
        <f>MIN(IF($AU32=100%,1,1+VLOOKUP(($AJ32-$AI32-$AH32-$AG32-$AF32-$AE32*(1+CQ$3))/$AJ32,'Технический лист'!$A:$B,2,1)-VLOOKUP($AO32,'Технический лист'!$A:$B,2,1)),1+(1-$AU32))</f>
        <v>1.018</v>
      </c>
      <c r="CR32" s="15">
        <f>MIN(IF($AU32=100%,1,1+VLOOKUP(($AJ32-$AI32-$AH32-$AG32-$AF32-$AE32*(1+CR$3))/$AJ32,'Технический лист'!$A:$B,2,1)-VLOOKUP($AO32,'Технический лист'!$A:$B,2,1)),1+(1-$AU32))</f>
        <v>1.018</v>
      </c>
      <c r="CS32" s="15">
        <f>MIN(IF($AU32=100%,1,1+VLOOKUP(($AJ32-$AI32-$AH32-$AG32-$AF32-$AE32*(1+CS$3))/$AJ32,'Технический лист'!$A:$B,2,1)-VLOOKUP($AO32,'Технический лист'!$A:$B,2,1)),1+(1-$AU32))</f>
        <v>1.018</v>
      </c>
      <c r="CT32" s="15">
        <f>MIN(IF($AU32=100%,1,1+VLOOKUP(($AJ32-$AI32-$AH32-$AG32-$AF32-$AE32*(1+CT$3))/$AJ32,'Технический лист'!$A:$B,2,1)-VLOOKUP($AO32,'Технический лист'!$A:$B,2,1)),1+(1-$AU32))</f>
        <v>1.018</v>
      </c>
      <c r="CU32" s="15">
        <f>MIN(IF($AU32=100%,1,1+VLOOKUP(($AJ32-$AI32-$AH32-$AG32-$AF32-$AE32*(1+CU$3))/$AJ32,'Технический лист'!$A:$B,2,1)-VLOOKUP($AO32,'Технический лист'!$A:$B,2,1)),1+(1-$AU32))</f>
        <v>1.018</v>
      </c>
      <c r="CV32" s="15">
        <f>MIN(IF($AU32=100%,1,1+VLOOKUP(($AJ32-$AI32-$AH32-$AG32-$AF32-$AE32*(1+CV$3))/$AJ32,'Технический лист'!$A:$B,2,1)-VLOOKUP($AO32,'Технический лист'!$A:$B,2,1)),1+(1-$AU32))</f>
        <v>1.018</v>
      </c>
      <c r="CW32" s="15">
        <f>MIN(IF($AU32=100%,1,1+VLOOKUP(($AJ32-$AI32-$AH32-$AG32-$AF32-$AE32*(1+CW$3))/$AJ32,'Технический лист'!$A:$B,2,1)-VLOOKUP($AO32,'Технический лист'!$A:$B,2,1)),1+(1-$AU32))</f>
        <v>1.018</v>
      </c>
      <c r="CX32" s="15">
        <f>MIN(IF($AU32=100%,1,1+VLOOKUP(($AJ32-$AI32-$AH32-$AG32-$AF32-$AE32*(1+CX$3))/$AJ32,'Технический лист'!$A:$B,2,1)-VLOOKUP($AO32,'Технический лист'!$A:$B,2,1)),1+(1-$AU32))</f>
        <v>1.018</v>
      </c>
      <c r="CY32" s="15">
        <f>MIN(IF($AU32=100%,1,1+VLOOKUP(($AJ32-$AI32-$AH32-$AG32-$AF32-$AE32*(1+CY$3))/$AJ32,'Технический лист'!$A:$B,2,1)-VLOOKUP($AO32,'Технический лист'!$A:$B,2,1)),1+(1-$AU32))</f>
        <v>1.018</v>
      </c>
      <c r="CZ32" s="15">
        <f>MIN(IF($AU32=100%,1,1+VLOOKUP(($AJ32-$AI32-$AH32-$AG32-$AF32-$AE32*(1+CZ$3))/$AJ32,'Технический лист'!$A:$B,2,1)-VLOOKUP($AO32,'Технический лист'!$A:$B,2,1)),1+(1-$AU32))</f>
        <v>1.018</v>
      </c>
      <c r="DA32" s="15">
        <f>MIN(IF($AU32=100%,1,1+VLOOKUP(($AJ32-$AI32-$AH32-$AG32-$AF32-$AE32*(1+DA$3))/$AJ32,'Технический лист'!$A:$B,2,1)-VLOOKUP($AO32,'Технический лист'!$A:$B,2,1)),1+(1-$AU32))</f>
        <v>1.018</v>
      </c>
      <c r="DB32" s="15">
        <f>MIN(IF($AU32=100%,1,1+VLOOKUP(($AJ32-$AI32-$AH32-$AG32-$AF32-$AE32*(1+DB$3))/$AJ32,'Технический лист'!$A:$B,2,1)-VLOOKUP($AO32,'Технический лист'!$A:$B,2,1)),1+(1-$AU32))</f>
        <v>1.018</v>
      </c>
      <c r="DC32" s="15">
        <f>MIN(IF($AU32=100%,1,1+VLOOKUP(($AJ32-$AI32-$AH32-$AG32-$AF32-$AE32*(1+DC$3))/$AJ32,'Технический лист'!$A:$B,2,1)-VLOOKUP($AO32,'Технический лист'!$A:$B,2,1)),1+(1-$AU32))</f>
        <v>1.018</v>
      </c>
      <c r="DD32" s="15">
        <f>MIN(IF($AU32=100%,1,1+VLOOKUP(($AJ32-$AI32-$AH32-$AG32-$AF32-$AE32*(1+DD$3))/$AJ32,'Технический лист'!$A:$B,2,1)-VLOOKUP($AO32,'Технический лист'!$A:$B,2,1)),1+(1-$AU32))</f>
        <v>1.0119999999999998</v>
      </c>
      <c r="DE32" s="15">
        <f>MIN(IF($AU32=100%,1,1+VLOOKUP(($AJ32-$AI32-$AH32-$AG32-$AF32-$AE32*(1+DE$3))/$AJ32,'Технический лист'!$A:$B,2,1)-VLOOKUP($AO32,'Технический лист'!$A:$B,2,1)),1+(1-$AU32))</f>
        <v>1.0119999999999998</v>
      </c>
      <c r="DF32" s="15">
        <f>MIN(IF($AU32=100%,1,1+VLOOKUP(($AJ32-$AI32-$AH32-$AG32-$AF32-$AE32*(1+DF$3))/$AJ32,'Технический лист'!$A:$B,2,1)-VLOOKUP($AO32,'Технический лист'!$A:$B,2,1)),1+(1-$AU32))</f>
        <v>1.0119999999999998</v>
      </c>
      <c r="DG32" s="15">
        <f>MIN(IF($AU32=100%,1,1+VLOOKUP(($AJ32-$AI32-$AH32-$AG32-$AF32-$AE32*(1+DG$3))/$AJ32,'Технический лист'!$A:$B,2,1)-VLOOKUP($AO32,'Технический лист'!$A:$B,2,1)),1+(1-$AU32))</f>
        <v>1.0119999999999998</v>
      </c>
      <c r="DH32" s="15">
        <f>MIN(IF($AU32=100%,1,1+VLOOKUP(($AJ32-$AI32-$AH32-$AG32-$AF32-$AE32*(1+DH$3))/$AJ32,'Технический лист'!$A:$B,2,1)-VLOOKUP($AO32,'Технический лист'!$A:$B,2,1)),1+(1-$AU32))</f>
        <v>1.0119999999999998</v>
      </c>
      <c r="DI32" s="15">
        <f>MIN(IF($AU32=100%,1,1+VLOOKUP(($AJ32-$AI32-$AH32-$AG32-$AF32-$AE32*(1+DI$3))/$AJ32,'Технический лист'!$A:$B,2,1)-VLOOKUP($AO32,'Технический лист'!$A:$B,2,1)),1+(1-$AU32))</f>
        <v>1.0119999999999998</v>
      </c>
      <c r="DJ32" s="15">
        <f>MIN(IF($AU32=100%,1,1+VLOOKUP(($AJ32-$AI32-$AH32-$AG32-$AF32-$AE32*(1+DJ$3))/$AJ32,'Технический лист'!$A:$B,2,1)-VLOOKUP($AO32,'Технический лист'!$A:$B,2,1)),1+(1-$AU32))</f>
        <v>1.0119999999999998</v>
      </c>
      <c r="DK32" s="15">
        <f>MIN(IF($AU32=100%,1,1+VLOOKUP(($AJ32-$AI32-$AH32-$AG32-$AF32-$AE32*(1+DK$3))/$AJ32,'Технический лист'!$A:$B,2,1)-VLOOKUP($AO32,'Технический лист'!$A:$B,2,1)),1+(1-$AU32))</f>
        <v>1.0119999999999998</v>
      </c>
      <c r="DL32" s="15">
        <f>MIN(IF($AU32=100%,1,1+VLOOKUP(($AJ32-$AI32-$AH32-$AG32-$AF32-$AE32*(1+DL$3))/$AJ32,'Технический лист'!$A:$B,2,1)-VLOOKUP($AO32,'Технический лист'!$A:$B,2,1)),1+(1-$AU32))</f>
        <v>1.0119999999999998</v>
      </c>
      <c r="DM32" s="15">
        <f>MIN(IF($AU32=100%,1,1+VLOOKUP(($AJ32-$AI32-$AH32-$AG32-$AF32-$AE32*(1+DM$3))/$AJ32,'Технический лист'!$A:$B,2,1)-VLOOKUP($AO32,'Технический лист'!$A:$B,2,1)),1+(1-$AU32))</f>
        <v>1.0119999999999998</v>
      </c>
      <c r="DN32" s="15">
        <f>MIN(IF($AU32=100%,1,1+VLOOKUP(($AJ32-$AI32-$AH32-$AG32-$AF32-$AE32*(1+DN$3))/$AJ32,'Технический лист'!$A:$B,2,1)-VLOOKUP($AO32,'Технический лист'!$A:$B,2,1)),1+(1-$AU32))</f>
        <v>1.0119999999999998</v>
      </c>
      <c r="DO32" s="15">
        <f>MIN(IF($AU32=100%,1,1+VLOOKUP(($AJ32-$AI32-$AH32-$AG32-$AF32-$AE32*(1+DO$3))/$AJ32,'Технический лист'!$A:$B,2,1)-VLOOKUP($AO32,'Технический лист'!$A:$B,2,1)),1+(1-$AU32))</f>
        <v>1.0119999999999998</v>
      </c>
      <c r="DP32" s="15">
        <f>MIN(IF($AU32=100%,1,1+VLOOKUP(($AJ32-$AI32-$AH32-$AG32-$AF32-$AE32*(1+DP$3))/$AJ32,'Технический лист'!$A:$B,2,1)-VLOOKUP($AO32,'Технический лист'!$A:$B,2,1)),1+(1-$AU32))</f>
        <v>1.0119999999999998</v>
      </c>
      <c r="DQ32" s="15">
        <f>MIN(IF($AU32=100%,1,1+VLOOKUP(($AJ32-$AI32-$AH32-$AG32-$AF32-$AE32*(1+DQ$3))/$AJ32,'Технический лист'!$A:$B,2,1)-VLOOKUP($AO32,'Технический лист'!$A:$B,2,1)),1+(1-$AU32))</f>
        <v>1.0119999999999998</v>
      </c>
      <c r="DR32" s="15">
        <f>MIN(IF($AU32=100%,1,1+VLOOKUP(($AJ32-$AI32-$AH32-$AG32-$AF32-$AE32*(1+DR$3))/$AJ32,'Технический лист'!$A:$B,2,1)-VLOOKUP($AO32,'Технический лист'!$A:$B,2,1)),1+(1-$AU32))</f>
        <v>1.0119999999999998</v>
      </c>
      <c r="DS32" s="15">
        <f>MIN(IF($AU32=100%,1,1+VLOOKUP(($AJ32-$AI32-$AH32-$AG32-$AF32-$AE32*(1+DS$3))/$AJ32,'Технический лист'!$A:$B,2,1)-VLOOKUP($AO32,'Технический лист'!$A:$B,2,1)),1+(1-$AU32))</f>
        <v>1.0119999999999998</v>
      </c>
      <c r="DT32" s="15">
        <f>MIN(IF($AU32=100%,1,1+VLOOKUP(($AJ32-$AI32-$AH32-$AG32-$AF32-$AE32*(1+DT$3))/$AJ32,'Технический лист'!$A:$B,2,1)-VLOOKUP($AO32,'Технический лист'!$A:$B,2,1)),1+(1-$AU32))</f>
        <v>1.0119999999999998</v>
      </c>
      <c r="DU32" s="15">
        <f>MIN(IF($AU32=100%,1,1+VLOOKUP(($AJ32-$AI32-$AH32-$AG32-$AF32-$AE32*(1+DU$3))/$AJ32,'Технический лист'!$A:$B,2,1)-VLOOKUP($AO32,'Технический лист'!$A:$B,2,1)),1+(1-$AU32))</f>
        <v>1.0119999999999998</v>
      </c>
      <c r="DV32" s="15">
        <f>MIN(IF($AU32=100%,1,1+VLOOKUP(($AJ32-$AI32-$AH32-$AG32-$AF32-$AE32*(1+DV$3))/$AJ32,'Технический лист'!$A:$B,2,1)-VLOOKUP($AO32,'Технический лист'!$A:$B,2,1)),1+(1-$AU32))</f>
        <v>1.0119999999999998</v>
      </c>
      <c r="DW32" s="15">
        <f>MIN(IF($AU32=100%,1,1+VLOOKUP(($AJ32-$AI32-$AH32-$AG32-$AF32-$AE32*(1+DW$3))/$AJ32,'Технический лист'!$A:$B,2,1)-VLOOKUP($AO32,'Технический лист'!$A:$B,2,1)),1+(1-$AU32))</f>
        <v>1.0119999999999998</v>
      </c>
      <c r="DX32" s="15">
        <f>MIN(IF($AU32=100%,1,1+VLOOKUP(($AJ32-$AI32-$AH32-$AG32-$AF32-$AE32*(1+DX$3))/$AJ32,'Технический лист'!$A:$B,2,1)-VLOOKUP($AO32,'Технический лист'!$A:$B,2,1)),1+(1-$AU32))</f>
        <v>1.0119999999999998</v>
      </c>
      <c r="DY32" s="15">
        <f>MIN(IF($AU32=100%,1,1+VLOOKUP(($AJ32-$AI32-$AH32-$AG32-$AF32-$AE32*(1+DY$3))/$AJ32,'Технический лист'!$A:$B,2,1)-VLOOKUP($AO32,'Технический лист'!$A:$B,2,1)),1+(1-$AU32))</f>
        <v>1.006</v>
      </c>
      <c r="DZ32" s="15">
        <f>MIN(IF($AU32=100%,1,1+VLOOKUP(($AJ32-$AI32-$AH32-$AG32-$AF32-$AE32*(1+DZ$3))/$AJ32,'Технический лист'!$A:$B,2,1)-VLOOKUP($AO32,'Технический лист'!$A:$B,2,1)),1+(1-$AU32))</f>
        <v>1.006</v>
      </c>
      <c r="EA32" s="15">
        <f>MIN(IF($AU32=100%,1,1+VLOOKUP(($AJ32-$AI32-$AH32-$AG32-$AF32-$AE32*(1+EA$3))/$AJ32,'Технический лист'!$A:$B,2,1)-VLOOKUP($AO32,'Технический лист'!$A:$B,2,1)),1+(1-$AU32))</f>
        <v>1.006</v>
      </c>
      <c r="EB32" s="15">
        <f>MIN(IF($AU32=100%,1,1+VLOOKUP(($AJ32-$AI32-$AH32-$AG32-$AF32-$AE32*(1+EB$3))/$AJ32,'Технический лист'!$A:$B,2,1)-VLOOKUP($AO32,'Технический лист'!$A:$B,2,1)),1+(1-$AU32))</f>
        <v>1.006</v>
      </c>
      <c r="EC32" s="15">
        <f>MIN(IF($AU32=100%,1,1+VLOOKUP(($AJ32-$AI32-$AH32-$AG32-$AF32-$AE32*(1+EC$3))/$AJ32,'Технический лист'!$A:$B,2,1)-VLOOKUP($AO32,'Технический лист'!$A:$B,2,1)),1+(1-$AU32))</f>
        <v>1.006</v>
      </c>
      <c r="ED32" s="15">
        <f>MIN(IF($AU32=100%,1,1+VLOOKUP(($AJ32-$AI32-$AH32-$AG32-$AF32-$AE32*(1+ED$3))/$AJ32,'Технический лист'!$A:$B,2,1)-VLOOKUP($AO32,'Технический лист'!$A:$B,2,1)),1+(1-$AU32))</f>
        <v>1.006</v>
      </c>
      <c r="EE32" s="15">
        <f>MIN(IF($AU32=100%,1,1+VLOOKUP(($AJ32-$AI32-$AH32-$AG32-$AF32-$AE32*(1+EE$3))/$AJ32,'Технический лист'!$A:$B,2,1)-VLOOKUP($AO32,'Технический лист'!$A:$B,2,1)),1+(1-$AU32))</f>
        <v>1.006</v>
      </c>
      <c r="EF32" s="15">
        <f>MIN(IF($AU32=100%,1,1+VLOOKUP(($AJ32-$AI32-$AH32-$AG32-$AF32-$AE32*(1+EF$3))/$AJ32,'Технический лист'!$A:$B,2,1)-VLOOKUP($AO32,'Технический лист'!$A:$B,2,1)),1+(1-$AU32))</f>
        <v>1.006</v>
      </c>
      <c r="EG32" s="15">
        <f>MIN(IF($AU32=100%,1,1+VLOOKUP(($AJ32-$AI32-$AH32-$AG32-$AF32-$AE32*(1+EG$3))/$AJ32,'Технический лист'!$A:$B,2,1)-VLOOKUP($AO32,'Технический лист'!$A:$B,2,1)),1+(1-$AU32))</f>
        <v>1.006</v>
      </c>
      <c r="EH32" s="15">
        <f>MIN(IF($AU32=100%,1,1+VLOOKUP(($AJ32-$AI32-$AH32-$AG32-$AF32-$AE32*(1+EH$3))/$AJ32,'Технический лист'!$A:$B,2,1)-VLOOKUP($AO32,'Технический лист'!$A:$B,2,1)),1+(1-$AU32))</f>
        <v>1.006</v>
      </c>
      <c r="EI32" s="15">
        <f>MIN(IF($AU32=100%,1,1+VLOOKUP(($AJ32-$AI32-$AH32-$AG32-$AF32-$AE32*(1+EI$3))/$AJ32,'Технический лист'!$A:$B,2,1)-VLOOKUP($AO32,'Технический лист'!$A:$B,2,1)),1+(1-$AU32))</f>
        <v>1.006</v>
      </c>
      <c r="EJ32" s="15">
        <f>MIN(IF($AU32=100%,1,1+VLOOKUP(($AJ32-$AI32-$AH32-$AG32-$AF32-$AE32*(1+EJ$3))/$AJ32,'Технический лист'!$A:$B,2,1)-VLOOKUP($AO32,'Технический лист'!$A:$B,2,1)),1+(1-$AU32))</f>
        <v>1.006</v>
      </c>
      <c r="EK32" s="15">
        <f>MIN(IF($AU32=100%,1,1+VLOOKUP(($AJ32-$AI32-$AH32-$AG32-$AF32-$AE32*(1+EK$3))/$AJ32,'Технический лист'!$A:$B,2,1)-VLOOKUP($AO32,'Технический лист'!$A:$B,2,1)),1+(1-$AU32))</f>
        <v>1.006</v>
      </c>
      <c r="EL32" s="15">
        <f>MIN(IF($AU32=100%,1,1+VLOOKUP(($AJ32-$AI32-$AH32-$AG32-$AF32-$AE32*(1+EL$3))/$AJ32,'Технический лист'!$A:$B,2,1)-VLOOKUP($AO32,'Технический лист'!$A:$B,2,1)),1+(1-$AU32))</f>
        <v>1.006</v>
      </c>
      <c r="EM32" s="15">
        <f>MIN(IF($AU32=100%,1,1+VLOOKUP(($AJ32-$AI32-$AH32-$AG32-$AF32-$AE32*(1+EM$3))/$AJ32,'Технический лист'!$A:$B,2,1)-VLOOKUP($AO32,'Технический лист'!$A:$B,2,1)),1+(1-$AU32))</f>
        <v>1.006</v>
      </c>
      <c r="EN32" s="15">
        <f>MIN(IF($AU32=100%,1,1+VLOOKUP(($AJ32-$AI32-$AH32-$AG32-$AF32-$AE32*(1+EN$3))/$AJ32,'Технический лист'!$A:$B,2,1)-VLOOKUP($AO32,'Технический лист'!$A:$B,2,1)),1+(1-$AU32))</f>
        <v>1.006</v>
      </c>
      <c r="EO32" s="15">
        <f>MIN(IF($AU32=100%,1,1+VLOOKUP(($AJ32-$AI32-$AH32-$AG32-$AF32-$AE32*(1+EO$3))/$AJ32,'Технический лист'!$A:$B,2,1)-VLOOKUP($AO32,'Технический лист'!$A:$B,2,1)),1+(1-$AU32))</f>
        <v>1.006</v>
      </c>
      <c r="EP32" s="15">
        <f>MIN(IF($AU32=100%,1,1+VLOOKUP(($AJ32-$AI32-$AH32-$AG32-$AF32-$AE32*(1+EP$3))/$AJ32,'Технический лист'!$A:$B,2,1)-VLOOKUP($AO32,'Технический лист'!$A:$B,2,1)),1+(1-$AU32))</f>
        <v>1.006</v>
      </c>
      <c r="EQ32" s="15">
        <f>MIN(IF($AU32=100%,1,1+VLOOKUP(($AJ32-$AI32-$AH32-$AG32-$AF32-$AE32*(1+EQ$3))/$AJ32,'Технический лист'!$A:$B,2,1)-VLOOKUP($AO32,'Технический лист'!$A:$B,2,1)),1+(1-$AU32))</f>
        <v>1.006</v>
      </c>
      <c r="ER32" s="15">
        <f>MIN(IF($AU32=100%,1,1+VLOOKUP(($AJ32-$AI32-$AH32-$AG32-$AF32-$AE32*(1+ER$3))/$AJ32,'Технический лист'!$A:$B,2,1)-VLOOKUP($AO32,'Технический лист'!$A:$B,2,1)),1+(1-$AU32))</f>
        <v>1.006</v>
      </c>
      <c r="ES32" s="15">
        <f>MIN(IF($AU32=100%,1,1+VLOOKUP(($AJ32-$AI32-$AH32-$AG32-$AF32-$AE32*(1+ES$3))/$AJ32,'Технический лист'!$A:$B,2,1)-VLOOKUP($AO32,'Технический лист'!$A:$B,2,1)),1+(1-$AU32))</f>
        <v>1.006</v>
      </c>
      <c r="ET32" s="15">
        <f>MIN(IF($AU32=100%,1,1+VLOOKUP(($AJ32-$AI32-$AH32-$AG32-$AF32-$AE32*(1+ET$3))/$AJ32,'Технический лист'!$A:$B,2,1)-VLOOKUP($AO32,'Технический лист'!$A:$B,2,1)),1+(1-$AU32))</f>
        <v>1.0000000000000002</v>
      </c>
      <c r="EU32" s="15">
        <f>MIN(IF($AU32=100%,1,1+VLOOKUP(($AJ32-$AI32-$AH32-$AG32-$AF32-$AE32*(1+EU$3))/$AJ32,'Технический лист'!$A:$B,2,1)-VLOOKUP($AO32,'Технический лист'!$A:$B,2,1)),1+(1-$AU32))</f>
        <v>1.0000000000000002</v>
      </c>
      <c r="EV32" s="111">
        <v>1</v>
      </c>
      <c r="EW32" s="15">
        <f>MIN(1,MAX(VLOOKUP(($AJ32-$AI32-$AH32-$AG32-$AF32-$AE32*(1+EW$3))/$AJ32,'Технический лист'!$A:$B,2,1),(EV32-0.05)))</f>
        <v>1</v>
      </c>
      <c r="EX32" s="15">
        <f>MIN(1,MAX(VLOOKUP(($AJ32-$AI32-$AH32-$AG32-$AF32-$AE32*(1+EX$3))/$AJ32,'Технический лист'!$A:$B,2,1),(EW32-0.05)))</f>
        <v>1</v>
      </c>
      <c r="EY32" s="15">
        <f>MIN(1,MAX(VLOOKUP(($AJ32-$AI32-$AH32-$AG32-$AF32-$AE32*(1+EY$3))/$AJ32,'Технический лист'!$A:$B,2,1),(EX32-0.05)))</f>
        <v>1</v>
      </c>
      <c r="EZ32" s="15">
        <f>MIN(1,MAX(VLOOKUP(($AJ32-$AI32-$AH32-$AG32-$AF32-$AE32*(1+EZ$3))/$AJ32,'Технический лист'!$A:$B,2,1),(EY32-0.05)))</f>
        <v>1</v>
      </c>
      <c r="FA32" s="15">
        <f>MIN(1,MAX(VLOOKUP(($AJ32-$AI32-$AH32-$AG32-$AF32-$AE32*(1+FA$3))/$AJ32,'Технический лист'!$A:$B,2,1),(EZ32-0.05)))</f>
        <v>1</v>
      </c>
      <c r="FB32" s="15">
        <f>MIN(1,MAX(VLOOKUP(($AJ32-$AI32-$AH32-$AG32-$AF32-$AE32*(1+FB$3))/$AJ32,'Технический лист'!$A:$B,2,1),(FA32-0.05)))</f>
        <v>1</v>
      </c>
      <c r="FC32" s="15">
        <f>MIN(1,MAX(VLOOKUP(($AJ32-$AI32-$AH32-$AG32-$AF32-$AE32*(1+FC$3))/$AJ32,'Технический лист'!$A:$B,2,1),(FB32-0.05)))</f>
        <v>1</v>
      </c>
      <c r="FD32" s="15">
        <f>MIN(1,MAX(VLOOKUP(($AJ32-$AI32-$AH32-$AG32-$AF32-$AE32*(1+FD$3))/$AJ32,'Технический лист'!$A:$B,2,1),(FC32-0.05)))</f>
        <v>1</v>
      </c>
      <c r="FE32" s="15">
        <f>MIN(1,MAX(VLOOKUP(($AJ32-$AI32-$AH32-$AG32-$AF32-$AE32*(1+FE$3))/$AJ32,'Технический лист'!$A:$B,2,1),(FD32-0.05)))</f>
        <v>1</v>
      </c>
      <c r="FF32" s="15">
        <f>MIN(1,MAX(VLOOKUP(($AJ32-$AI32-$AH32-$AG32-$AF32-$AE32*(1+FF$3))/$AJ32,'Технический лист'!$A:$B,2,1),(FE32-0.05)))</f>
        <v>1</v>
      </c>
      <c r="FG32" s="15">
        <f>MIN(1,MAX(VLOOKUP(($AJ32-$AI32-$AH32-$AG32-$AF32-$AE32*(1+FG$3))/$AJ32,'Технический лист'!$A:$B,2,1),(FF32-0.05)))</f>
        <v>1</v>
      </c>
      <c r="FH32" s="15">
        <f>MIN(1,MAX(VLOOKUP(($AJ32-$AI32-$AH32-$AG32-$AF32-$AE32*(1+FH$3))/$AJ32,'Технический лист'!$A:$B,2,1),(FG32-0.05)))</f>
        <v>1</v>
      </c>
      <c r="FI32" s="15">
        <f>MIN(1,MAX(VLOOKUP(($AJ32-$AI32-$AH32-$AG32-$AF32-$AE32*(1+FI$3))/$AJ32,'Технический лист'!$A:$B,2,1),(FH32-0.05)))</f>
        <v>1</v>
      </c>
      <c r="FJ32" s="15">
        <f>MIN(1,MAX(VLOOKUP(($AJ32-$AI32-$AH32-$AG32-$AF32-$AE32*(1+FJ$3))/$AJ32,'Технический лист'!$A:$B,2,1),(FI32-0.05)))</f>
        <v>1</v>
      </c>
      <c r="FK32" s="15">
        <f>MIN(1,MAX(VLOOKUP(($AJ32-$AI32-$AH32-$AG32-$AF32-$AE32*(1+FK$3))/$AJ32,'Технический лист'!$A:$B,2,1),(FJ32-0.05)))</f>
        <v>1</v>
      </c>
      <c r="FL32" s="15">
        <f>MIN(1,MAX(VLOOKUP(($AJ32-$AI32-$AH32-$AG32-$AF32-$AE32*(1+FL$3))/$AJ32,'Технический лист'!$A:$B,2,1),(FK32-0.05)))</f>
        <v>1</v>
      </c>
      <c r="FM32" s="15">
        <f>MIN(1,MAX(VLOOKUP(($AJ32-$AI32-$AH32-$AG32-$AF32-$AE32*(1+FM$3))/$AJ32,'Технический лист'!$A:$B,2,1),(FL32-0.05)))</f>
        <v>1</v>
      </c>
      <c r="FN32" s="15">
        <f>MIN(1,MAX(VLOOKUP(($AJ32-$AI32-$AH32-$AG32-$AF32-$AE32*(1+FN$3))/$AJ32,'Технический лист'!$A:$B,2,1),(FM32-0.05)))</f>
        <v>1</v>
      </c>
      <c r="FO32" s="15">
        <f>MIN(1,MAX(VLOOKUP(($AJ32-$AI32-$AH32-$AG32-$AF32-$AE32*(1+FO$3))/$AJ32,'Технический лист'!$A:$B,2,1),(FN32-0.05)))</f>
        <v>1</v>
      </c>
      <c r="FP32" s="15">
        <f>MIN(1,MAX(VLOOKUP(($AJ32-$AI32-$AH32-$AG32-$AF32-$AE32*(1+FP$3))/$AJ32,'Технический лист'!$A:$B,2,1),(FO32-0.05)))</f>
        <v>1</v>
      </c>
      <c r="FQ32" s="15">
        <f>MIN(1,MAX(VLOOKUP(($AJ32-$AI32-$AH32-$AG32-$AF32-$AE32*(1+FQ$3))/$AJ32,'Технический лист'!$A:$B,2,1),(FP32-0.05)))</f>
        <v>1</v>
      </c>
      <c r="FR32" s="15">
        <f>MIN(1,MAX(VLOOKUP(($AJ32-$AI32-$AH32-$AG32-$AF32-$AE32*(1+FR$3))/$AJ32,'Технический лист'!$A:$B,2,1),(FQ32-0.05)))</f>
        <v>1</v>
      </c>
      <c r="FS32" s="15">
        <f>MIN(1,MAX(VLOOKUP(($AJ32-$AI32-$AH32-$AG32-$AF32-$AE32*(1+FS$3))/$AJ32,'Технический лист'!$A:$B,2,1),(FR32-0.05)))</f>
        <v>1</v>
      </c>
      <c r="FT32" s="15">
        <f>MIN(1,MAX(VLOOKUP(($AJ32-$AI32-$AH32-$AG32-$AF32-$AE32*(1+FT$3))/$AJ32,'Технический лист'!$A:$B,2,1),(FS32-0.05)))</f>
        <v>1</v>
      </c>
      <c r="FU32" s="15">
        <f>MIN(1,MAX(VLOOKUP(($AJ32-$AI32-$AH32-$AG32-$AF32-$AE32*(1+FU$3))/$AJ32,'Технический лист'!$A:$B,2,1),(FT32-0.05)))</f>
        <v>1</v>
      </c>
      <c r="FV32" s="15">
        <f>MIN(1,MAX(VLOOKUP(($AJ32-$AI32-$AH32-$AG32-$AF32-$AE32*(1+FV$3))/$AJ32,'Технический лист'!$A:$B,2,1),(FU32-0.05)))</f>
        <v>1</v>
      </c>
      <c r="FW32" s="15">
        <f>MIN(1,MAX(VLOOKUP(($AJ32-$AI32-$AH32-$AG32-$AF32-$AE32*(1+FW$3))/$AJ32,'Технический лист'!$A:$B,2,1),(FV32-0.05)))</f>
        <v>1</v>
      </c>
      <c r="FX32" s="15">
        <f>MIN(1,MAX(VLOOKUP(($AJ32-$AI32-$AH32-$AG32-$AF32-$AE32*(1+FX$3))/$AJ32,'Технический лист'!$A:$B,2,1),(FW32-0.05)))</f>
        <v>1</v>
      </c>
      <c r="FY32" s="15">
        <f>MIN(1,MAX(VLOOKUP(($AJ32-$AI32-$AH32-$AG32-$AF32-$AE32*(1+FY$3))/$AJ32,'Технический лист'!$A:$B,2,1),(FX32-0.05)))</f>
        <v>1</v>
      </c>
      <c r="FZ32" s="15">
        <f>MIN(1,MAX(VLOOKUP(($AJ32-$AI32-$AH32-$AG32-$AF32-$AE32*(1+FZ$3))/$AJ32,'Технический лист'!$A:$B,2,1),(FY32-0.05)))</f>
        <v>1</v>
      </c>
      <c r="GA32" s="15">
        <f>MIN(1,MAX(VLOOKUP(($AJ32-$AI32-$AH32-$AG32-$AF32-$AE32*(1+GA$3))/$AJ32,'Технический лист'!$A:$B,2,1),(FZ32-0.05)))</f>
        <v>1</v>
      </c>
      <c r="GB32" s="15">
        <f>MIN(1,MAX(VLOOKUP(($AJ32-$AI32-$AH32-$AG32-$AF32-$AE32*(1+GB$3))/$AJ32,'Технический лист'!$A:$B,2,1),(GA32-0.05)))</f>
        <v>1</v>
      </c>
      <c r="GC32" s="15">
        <f>MIN(1,MAX(VLOOKUP(($AJ32-$AI32-$AH32-$AG32-$AF32-$AE32*(1+GC$3))/$AJ32,'Технический лист'!$A:$B,2,1),(GB32-0.05)))</f>
        <v>1</v>
      </c>
      <c r="GD32" s="15">
        <f>MIN(1,MAX(VLOOKUP(($AJ32-$AI32-$AH32-$AG32-$AF32-$AE32*(1+GD$3))/$AJ32,'Технический лист'!$A:$B,2,1),(GC32-0.05)))</f>
        <v>1</v>
      </c>
      <c r="GE32" s="15">
        <f>MIN(1,MAX(VLOOKUP(($AJ32-$AI32-$AH32-$AG32-$AF32-$AE32*(1+GE$3))/$AJ32,'Технический лист'!$A:$B,2,1),(GD32-0.05)))</f>
        <v>1</v>
      </c>
      <c r="GF32" s="15">
        <f>MIN(1,MAX(VLOOKUP(($AJ32-$AI32-$AH32-$AG32-$AF32-$AE32*(1+GF$3))/$AJ32,'Технический лист'!$A:$B,2,1),(GE32-0.05)))</f>
        <v>1</v>
      </c>
      <c r="GG32" s="15">
        <f>MIN(1,MAX(VLOOKUP(($AJ32-$AI32-$AH32-$AG32-$AF32-$AE32*(1+GG$3))/$AJ32,'Технический лист'!$A:$B,2,1),(GF32-0.05)))</f>
        <v>1</v>
      </c>
      <c r="GH32" s="15">
        <f>MIN(1,MAX(VLOOKUP(($AJ32-$AI32-$AH32-$AG32-$AF32-$AE32*(1+GH$3))/$AJ32,'Технический лист'!$A:$B,2,1),(GG32-0.05)))</f>
        <v>1</v>
      </c>
      <c r="GI32" s="15">
        <f>MIN(1,MAX(VLOOKUP(($AJ32-$AI32-$AH32-$AG32-$AF32-$AE32*(1+GI$3))/$AJ32,'Технический лист'!$A:$B,2,1),(GH32-0.05)))</f>
        <v>1</v>
      </c>
      <c r="GJ32" s="15">
        <f>MIN(1,MAX(VLOOKUP(($AJ32-$AI32-$AH32-$AG32-$AF32-$AE32*(1+GJ$3))/$AJ32,'Технический лист'!$A:$B,2,1),(GI32-0.05)))</f>
        <v>1</v>
      </c>
      <c r="GK32" s="15">
        <f>MIN(1,MAX(VLOOKUP(($AJ32-$AI32-$AH32-$AG32-$AF32-$AE32*(1+GK$3))/$AJ32,'Технический лист'!$A:$B,2,1),(GJ32-0.05)))</f>
        <v>1</v>
      </c>
      <c r="GL32" s="15">
        <f>MIN(1,MAX(VLOOKUP(($AJ32-$AI32-$AH32-$AG32-$AF32-$AE32*(1+GL$3))/$AJ32,'Технический лист'!$A:$B,2,1),(GK32-0.05)))</f>
        <v>1</v>
      </c>
      <c r="GM32" s="15">
        <f>MIN(1,MAX(VLOOKUP(($AJ32-$AI32-$AH32-$AG32-$AF32-$AE32*(1+GM$3))/$AJ32,'Технический лист'!$A:$B,2,1),(GL32-0.05)))</f>
        <v>1</v>
      </c>
      <c r="GN32" s="15">
        <f>MIN(1,MAX(VLOOKUP(($AJ32-$AI32-$AH32-$AG32-$AF32-$AE32*(1+GN$3))/$AJ32,'Технический лист'!$A:$B,2,1),(GM32-0.05)))</f>
        <v>1</v>
      </c>
      <c r="GO32" s="15">
        <f>MIN(1,MAX(VLOOKUP(($AJ32-$AI32-$AH32-$AG32-$AF32-$AE32*(1+GO$3))/$AJ32,'Технический лист'!$A:$B,2,1),(GN32-0.05)))</f>
        <v>1</v>
      </c>
      <c r="GP32" s="15">
        <f>MIN(1,MAX(VLOOKUP(($AJ32-$AI32-$AH32-$AG32-$AF32-$AE32*(1+GP$3))/$AJ32,'Технический лист'!$A:$B,2,1),(GO32-0.05)))</f>
        <v>1</v>
      </c>
      <c r="GQ32" s="15">
        <f>MIN(1,MAX(VLOOKUP(($AJ32-$AI32-$AH32-$AG32-$AF32-$AE32*(1+GQ$3))/$AJ32,'Технический лист'!$A:$B,2,1),(GP32-0.05)))</f>
        <v>1</v>
      </c>
      <c r="GR32" s="15">
        <f>MIN(1,MAX(VLOOKUP(($AJ32-$AI32-$AH32-$AG32-$AF32-$AE32*(1+GR$3))/$AJ32,'Технический лист'!$A:$B,2,1),(GQ32-0.05)))</f>
        <v>1</v>
      </c>
      <c r="GS32" s="15">
        <f>MIN(1,MAX(VLOOKUP(($AJ32-$AI32-$AH32-$AG32-$AF32-$AE32*(1+GS$3))/$AJ32,'Технический лист'!$A:$B,2,1),(GR32-0.05)))</f>
        <v>1</v>
      </c>
      <c r="GT32" s="15">
        <f>MIN(1,MAX(VLOOKUP(($AJ32-$AI32-$AH32-$AG32-$AF32-$AE32*(1+GT$3))/$AJ32,'Технический лист'!$A:$B,2,1),(GS32-0.05)))</f>
        <v>1</v>
      </c>
      <c r="GU32" s="15">
        <f>MIN(1,MAX(VLOOKUP(($AJ32-$AI32-$AH32-$AG32-$AF32-$AE32*(1+GU$3))/$AJ32,'Технический лист'!$A:$B,2,1),(GT32-0.05)))</f>
        <v>1</v>
      </c>
      <c r="GV32" s="15">
        <f>MIN(1,MAX(VLOOKUP(($AJ32-$AI32-$AH32-$AG32-$AF32-$AE32*(1+GV$3))/$AJ32,'Технический лист'!$A:$B,2,1),(GU32-0.05)))</f>
        <v>1</v>
      </c>
      <c r="GW32" s="15">
        <f>MIN(1,MAX(VLOOKUP(($AJ32-$AI32-$AH32-$AG32-$AF32-$AE32*(1+GW$3))/$AJ32,'Технический лист'!$A:$B,2,1),(GV32-0.05)))</f>
        <v>1</v>
      </c>
      <c r="GX32" s="15">
        <f>MIN(1,MAX(VLOOKUP(($AJ32-$AI32-$AH32-$AG32-$AF32-$AE32*(1+GX$3))/$AJ32,'Технический лист'!$A:$B,2,1),(GW32-0.05)))</f>
        <v>1</v>
      </c>
      <c r="GY32" s="15">
        <f>MIN(1,MAX(VLOOKUP(($AJ32-$AI32-$AH32-$AG32-$AF32-$AE32*(1+GY$3))/$AJ32,'Технический лист'!$A:$B,2,1),(GX32-0.05)))</f>
        <v>1</v>
      </c>
      <c r="GZ32" s="15">
        <f>MIN(1,MAX(VLOOKUP(($AJ32-$AI32-$AH32-$AG32-$AF32-$AE32*(1+GZ$3))/$AJ32,'Технический лист'!$A:$B,2,1),(GY32-0.05)))</f>
        <v>1</v>
      </c>
      <c r="HA32" s="15">
        <f>MIN(1,MAX(VLOOKUP(($AJ32-$AI32-$AH32-$AG32-$AF32-$AE32*(1+HA$3))/$AJ32,'Технический лист'!$A:$B,2,1),(GZ32-0.05)))</f>
        <v>1</v>
      </c>
      <c r="HB32" s="15">
        <f>MIN(1,MAX(VLOOKUP(($AJ32-$AI32-$AH32-$AG32-$AF32-$AE32*(1+HB$3))/$AJ32,'Технический лист'!$A:$B,2,1),(HA32-0.05)))</f>
        <v>1</v>
      </c>
      <c r="HC32" s="15">
        <f>MIN(1,MAX(VLOOKUP(($AJ32-$AI32-$AH32-$AG32-$AF32-$AE32*(1+HC$3))/$AJ32,'Технический лист'!$A:$B,2,1),(HB32-0.05)))</f>
        <v>1</v>
      </c>
      <c r="HD32" s="15">
        <f>MIN(1,MAX(VLOOKUP(($AJ32-$AI32-$AH32-$AG32-$AF32-$AE32*(1+HD$3))/$AJ32,'Технический лист'!$A:$B,2,1),(HC32-0.05)))</f>
        <v>1</v>
      </c>
      <c r="HE32" s="15">
        <f>MIN(1,MAX(VLOOKUP(($AJ32-$AI32-$AH32-$AG32-$AF32-$AE32*(1+HE$3))/$AJ32,'Технический лист'!$A:$B,2,1),(HD32-0.05)))</f>
        <v>1</v>
      </c>
      <c r="HF32" s="15">
        <f>MIN(1,MAX(VLOOKUP(($AJ32-$AI32-$AH32-$AG32-$AF32-$AE32*(1+HF$3))/$AJ32,'Технический лист'!$A:$B,2,1),(HE32-0.05)))</f>
        <v>1</v>
      </c>
      <c r="HG32" s="15">
        <f>MIN(1,MAX(VLOOKUP(($AJ32-$AI32-$AH32-$AG32-$AF32-$AE32*(1+HG$3))/$AJ32,'Технический лист'!$A:$B,2,1),(HF32-0.05)))</f>
        <v>1</v>
      </c>
      <c r="HH32" s="15">
        <f>MIN(1,MAX(VLOOKUP(($AJ32-$AI32-$AH32-$AG32-$AF32-$AE32*(1+HH$3))/$AJ32,'Технический лист'!$A:$B,2,1),(HG32-0.05)))</f>
        <v>1</v>
      </c>
      <c r="HI32" s="15">
        <f>MIN(1,MAX(VLOOKUP(($AJ32-$AI32-$AH32-$AG32-$AF32-$AE32*(1+HI$3))/$AJ32,'Технический лист'!$A:$B,2,1),(HH32-0.05)))</f>
        <v>1</v>
      </c>
      <c r="HJ32" s="15">
        <f>MIN(1,MAX(VLOOKUP(($AJ32-$AI32-$AH32-$AG32-$AF32-$AE32*(1+HJ$3))/$AJ32,'Технический лист'!$A:$B,2,1),(HI32-0.05)))</f>
        <v>1</v>
      </c>
      <c r="HK32" s="15">
        <f>MIN(1,MAX(VLOOKUP(($AJ32-$AI32-$AH32-$AG32-$AF32-$AE32*(1+HK$3))/$AJ32,'Технический лист'!$A:$B,2,1),(HJ32-0.05)))</f>
        <v>1</v>
      </c>
      <c r="HL32" s="15">
        <f>MIN(1,MAX(VLOOKUP(($AJ32-$AI32-$AH32-$AG32-$AF32-$AE32*(1+HL$3))/$AJ32,'Технический лист'!$A:$B,2,1),(HK32-0.05)))</f>
        <v>1</v>
      </c>
      <c r="HM32" s="15">
        <f>MIN(1,MAX(VLOOKUP(($AJ32-$AI32-$AH32-$AG32-$AF32-$AE32*(1+HM$3))/$AJ32,'Технический лист'!$A:$B,2,1),(HL32-0.05)))</f>
        <v>1</v>
      </c>
      <c r="HN32" s="15">
        <f>MIN(1,MAX(VLOOKUP(($AJ32-$AI32-$AH32-$AG32-$AF32-$AE32*(1+HN$3))/$AJ32,'Технический лист'!$A:$B,2,1),(HM32-0.05)))</f>
        <v>1</v>
      </c>
      <c r="HO32" s="15">
        <f>MIN(1,MAX(VLOOKUP(($AJ32-$AI32-$AH32-$AG32-$AF32-$AE32*(1+HO$3))/$AJ32,'Технический лист'!$A:$B,2,1),(HN32-0.05)))</f>
        <v>1</v>
      </c>
      <c r="HP32" s="15">
        <f>MIN(1,MAX(VLOOKUP(($AJ32-$AI32-$AH32-$AG32-$AF32-$AE32*(1+HP$3))/$AJ32,'Технический лист'!$A:$B,2,1),(HO32-0.05)))</f>
        <v>1</v>
      </c>
      <c r="HQ32" s="15">
        <f>MIN(1,MAX(VLOOKUP(($AJ32-$AI32-$AH32-$AG32-$AF32-$AE32*(1+HQ$3))/$AJ32,'Технический лист'!$A:$B,2,1),(HP32-0.05)))</f>
        <v>1</v>
      </c>
      <c r="HR32" s="15">
        <f>MIN(1,MAX(VLOOKUP(($AJ32-$AI32-$AH32-$AG32-$AF32-$AE32*(1+HR$3))/$AJ32,'Технический лист'!$A:$B,2,1),(HQ32-0.05)))</f>
        <v>1</v>
      </c>
      <c r="HS32" s="15">
        <f>MIN(1,MAX(VLOOKUP(($AJ32-$AI32-$AH32-$AG32-$AF32-$AE32*(1+HS$3))/$AJ32,'Технический лист'!$A:$B,2,1),(HR32-0.05)))</f>
        <v>1</v>
      </c>
      <c r="HT32" s="15">
        <f>MIN(1,MAX(VLOOKUP(($AJ32-$AI32-$AH32-$AG32-$AF32-$AE32*(1+HT$3))/$AJ32,'Технический лист'!$A:$B,2,1),(HS32-0.05)))</f>
        <v>1</v>
      </c>
      <c r="HU32" s="15">
        <f>MIN(1,MAX(VLOOKUP(($AJ32-$AI32-$AH32-$AG32-$AF32-$AE32*(1+HU$3))/$AJ32,'Технический лист'!$A:$B,2,1),(HT32-0.05)))</f>
        <v>1</v>
      </c>
      <c r="HV32" s="15">
        <f>MIN(1,MAX(VLOOKUP(($AJ32-$AI32-$AH32-$AG32-$AF32-$AE32*(1+HV$3))/$AJ32,'Технический лист'!$A:$B,2,1),(HU32-0.05)))</f>
        <v>1</v>
      </c>
      <c r="HW32" s="15">
        <f>MIN(1,MAX(VLOOKUP(($AJ32-$AI32-$AH32-$AG32-$AF32-$AE32*(1+HW$3))/$AJ32,'Технический лист'!$A:$B,2,1),(HV32-0.05)))</f>
        <v>1</v>
      </c>
      <c r="HX32" s="15">
        <f>MIN(1,MAX(VLOOKUP(($AJ32-$AI32-$AH32-$AG32-$AF32-$AE32*(1+HX$3))/$AJ32,'Технический лист'!$A:$B,2,1),(HW32-0.05)))</f>
        <v>1</v>
      </c>
      <c r="HY32" s="15">
        <f>MIN(1,MAX(VLOOKUP(($AJ32-$AI32-$AH32-$AG32-$AF32-$AE32*(1+HY$3))/$AJ32,'Технический лист'!$A:$B,2,1),(HX32-0.05)))</f>
        <v>1</v>
      </c>
      <c r="HZ32" s="15">
        <f>MIN(1,MAX(VLOOKUP(($AJ32-$AI32-$AH32-$AG32-$AF32-$AE32*(1+HZ$3))/$AJ32,'Технический лист'!$A:$B,2,1),(HY32-0.05)))</f>
        <v>1</v>
      </c>
      <c r="IA32" s="15">
        <f>MIN(1,MAX(VLOOKUP(($AJ32-$AI32-$AH32-$AG32-$AF32-$AE32*(1+IA$3))/$AJ32,'Технический лист'!$A:$B,2,1),(HZ32-0.05)))</f>
        <v>1</v>
      </c>
      <c r="IB32" s="15">
        <f>MIN(1,MAX(VLOOKUP(($AJ32-$AI32-$AH32-$AG32-$AF32-$AE32*(1+IB$3))/$AJ32,'Технический лист'!$A:$B,2,1),(IA32-0.05)))</f>
        <v>1</v>
      </c>
      <c r="IC32" s="15">
        <f>MIN(1,MAX(VLOOKUP(($AJ32-$AI32-$AH32-$AG32-$AF32-$AE32*(1+IC$3))/$AJ32,'Технический лист'!$A:$B,2,1),(IB32-0.05)))</f>
        <v>1</v>
      </c>
      <c r="ID32" s="15">
        <f>MIN(1,MAX(VLOOKUP(($AJ32-$AI32-$AH32-$AG32-$AF32-$AE32*(1+ID$3))/$AJ32,'Технический лист'!$A:$B,2,1),(IC32-0.05)))</f>
        <v>1</v>
      </c>
      <c r="IE32" s="15">
        <f>MIN(1,MAX(VLOOKUP(($AJ32-$AI32-$AH32-$AG32-$AF32-$AE32*(1+IE$3))/$AJ32,'Технический лист'!$A:$B,2,1),(ID32-0.05)))</f>
        <v>1</v>
      </c>
      <c r="IF32" s="15">
        <f>MIN(1,MAX(VLOOKUP(($AJ32-$AI32-$AH32-$AG32-$AF32-$AE32*(1+IF$3))/$AJ32,'Технический лист'!$A:$B,2,1),(IE32-0.05)))</f>
        <v>1</v>
      </c>
      <c r="IG32" s="15">
        <f>MIN(1,MAX(VLOOKUP(($AJ32-$AI32-$AH32-$AG32-$AF32-$AE32*(1+IG$3))/$AJ32,'Технический лист'!$A:$B,2,1),(IF32-0.05)))</f>
        <v>1</v>
      </c>
      <c r="IH32" s="15">
        <f>MIN(1,MAX(VLOOKUP(($AJ32-$AI32-$AH32-$AG32-$AF32-$AE32*(1+IH$3))/$AJ32,'Технический лист'!$A:$B,2,1),(IG32-0.05)))</f>
        <v>1</v>
      </c>
      <c r="II32" s="15">
        <f>MIN(1,MAX(VLOOKUP(($AJ32-$AI32-$AH32-$AG32-$AF32-$AE32*(1+II$3))/$AJ32,'Технический лист'!$A:$B,2,1),(IH32-0.05)))</f>
        <v>1</v>
      </c>
      <c r="IJ32" s="15">
        <f>MIN(1,MAX(VLOOKUP(($AJ32-$AI32-$AH32-$AG32-$AF32-$AE32*(1+IJ$3))/$AJ32,'Технический лист'!$A:$B,2,1),(II32-0.05)))</f>
        <v>1</v>
      </c>
      <c r="IK32" s="15">
        <f>MIN(1,MAX(VLOOKUP(($AJ32-$AI32-$AH32-$AG32-$AF32-$AE32*(1+IK$3))/$AJ32,'Технический лист'!$A:$B,2,1),(IJ32-0.05)))</f>
        <v>1</v>
      </c>
      <c r="IL32" s="15">
        <f>MIN(1,MAX(VLOOKUP(($AJ32-$AI32-$AH32-$AG32-$AF32-$AE32*(1+IL$3))/$AJ32,'Технический лист'!$A:$B,2,1),(IK32-0.05)))</f>
        <v>1</v>
      </c>
      <c r="IM32" s="15">
        <f>MIN(1,MAX(VLOOKUP(($AJ32-$AI32-$AH32-$AG32-$AF32-$AE32*(1+IM$3))/$AJ32,'Технический лист'!$A:$B,2,1),(IL32-0.05)))</f>
        <v>1</v>
      </c>
      <c r="IN32" s="15">
        <f>MIN(1,MAX(VLOOKUP(($AJ32-$AI32-$AH32-$AG32-$AF32-$AE32*(1+IN$3))/$AJ32,'Технический лист'!$A:$B,2,1),(IM32-0.05)))</f>
        <v>1</v>
      </c>
      <c r="IO32" s="15">
        <f>MIN(1,MAX(VLOOKUP(($AJ32-$AI32-$AH32-$AG32-$AF32-$AE32*(1+IO$3))/$AJ32,'Технический лист'!$A:$B,2,1),(IN32-0.05)))</f>
        <v>1</v>
      </c>
      <c r="IP32" s="15">
        <f>MIN(1,MAX(VLOOKUP(($AJ32-$AI32-$AH32-$AG32-$AF32-$AE32*(1+IP$3))/$AJ32,'Технический лист'!$A:$B,2,1),(IO32-0.05)))</f>
        <v>1</v>
      </c>
      <c r="IQ32" s="15">
        <f>MIN(1,MAX(VLOOKUP(($AJ32-$AI32-$AH32-$AG32-$AF32-$AE32*(1+IQ$3))/$AJ32,'Технический лист'!$A:$B,2,1),(IP32-0.05)))</f>
        <v>1</v>
      </c>
      <c r="IR32" s="15">
        <f>MIN(1,MAX(VLOOKUP(($AJ32-$AI32-$AH32-$AG32-$AF32-$AE32*(1+IR$3))/$AJ32,'Технический лист'!$A:$B,2,1),(IQ32-0.05)))</f>
        <v>1</v>
      </c>
    </row>
    <row r="33" spans="1:252" ht="43.75">
      <c r="A33" s="89" t="s">
        <v>514</v>
      </c>
      <c r="B33" s="90">
        <v>2</v>
      </c>
      <c r="C33" s="5" t="s">
        <v>65</v>
      </c>
      <c r="D33" s="91">
        <v>17110</v>
      </c>
      <c r="E33" s="91" t="s">
        <v>322</v>
      </c>
      <c r="F33" s="92" t="s">
        <v>69</v>
      </c>
      <c r="G33" s="91" t="s">
        <v>22</v>
      </c>
      <c r="H33" s="91" t="s">
        <v>20</v>
      </c>
      <c r="I33" s="91" t="s">
        <v>29</v>
      </c>
      <c r="J33" s="91" t="s">
        <v>61</v>
      </c>
      <c r="K33" s="91">
        <v>533</v>
      </c>
      <c r="L33" s="85" t="s">
        <v>64</v>
      </c>
      <c r="M33" s="91" t="s">
        <v>17</v>
      </c>
      <c r="N33" s="91" t="s">
        <v>191</v>
      </c>
      <c r="O33" s="91" t="s">
        <v>193</v>
      </c>
      <c r="P33" s="89" t="s">
        <v>209</v>
      </c>
      <c r="Q33" s="91" t="s">
        <v>258</v>
      </c>
      <c r="R33" s="91" t="s">
        <v>258</v>
      </c>
      <c r="S33" s="82">
        <v>33908</v>
      </c>
      <c r="T33" s="82">
        <v>18077222</v>
      </c>
      <c r="U33" s="81">
        <v>610</v>
      </c>
      <c r="V33" s="81">
        <v>0</v>
      </c>
      <c r="W33" s="82">
        <v>22739556</v>
      </c>
      <c r="X33" s="112">
        <v>53</v>
      </c>
      <c r="Y33" s="112" t="s">
        <v>417</v>
      </c>
      <c r="Z33" s="113">
        <v>7</v>
      </c>
      <c r="AA33" s="113">
        <v>6</v>
      </c>
      <c r="AB33" s="113">
        <v>4</v>
      </c>
      <c r="AC33" s="99">
        <v>748.23</v>
      </c>
      <c r="AD33" s="99">
        <f t="shared" si="1"/>
        <v>198.75</v>
      </c>
      <c r="AE33" s="99">
        <v>946.98</v>
      </c>
      <c r="AF33" s="98">
        <f>(Z33+AA33+AB33)*'Ставки аренды'!$B$3/X33</f>
        <v>224.52830188679246</v>
      </c>
      <c r="AG33" s="114">
        <f>'Ставки перевалки'!$B$4*'Курсы валют'!$B$2</f>
        <v>610.44399999999996</v>
      </c>
      <c r="AH33" s="94">
        <v>0</v>
      </c>
      <c r="AI33" s="115">
        <f>507353/712157*AVERAGE(AJ33,AJ34)</f>
        <v>11681.948389674257</v>
      </c>
      <c r="AJ33" s="117">
        <f>Цены!$C$8*'Курсы валют'!$B$2</f>
        <v>15795.238499999999</v>
      </c>
      <c r="AK33" s="94">
        <f>AJ33/Цены!$B$1</f>
        <v>207</v>
      </c>
      <c r="AL33" s="95">
        <f t="shared" si="5"/>
        <v>1781.9523018867924</v>
      </c>
      <c r="AM33" s="95">
        <f t="shared" si="6"/>
        <v>14013.286198113206</v>
      </c>
      <c r="AN33" s="94">
        <f t="shared" si="2"/>
        <v>13463.900691561048</v>
      </c>
      <c r="AO33" s="118">
        <f t="shared" si="3"/>
        <v>0.14759750594705814</v>
      </c>
      <c r="AP33" s="96">
        <f t="shared" si="7"/>
        <v>0.11281578951066756</v>
      </c>
      <c r="AQ33" s="96">
        <f t="shared" si="8"/>
        <v>5.9953510673485561E-2</v>
      </c>
      <c r="AR33" s="96">
        <f t="shared" si="9"/>
        <v>0.53142836595418685</v>
      </c>
      <c r="AS33" s="122">
        <v>1</v>
      </c>
      <c r="AT33" s="121">
        <f t="shared" si="10"/>
        <v>33908</v>
      </c>
      <c r="AU33" s="83">
        <v>0.95</v>
      </c>
      <c r="AV33" s="119">
        <f t="shared" si="11"/>
        <v>0.14040308466623974</v>
      </c>
      <c r="AW33" s="120">
        <f t="shared" si="12"/>
        <v>0.12001021079148583</v>
      </c>
      <c r="AX33" s="120">
        <f t="shared" si="13"/>
        <v>6.7147931954303824E-2</v>
      </c>
      <c r="AY33" s="120">
        <f t="shared" si="14"/>
        <v>0.55951849023056344</v>
      </c>
      <c r="AZ33" s="15">
        <f>MIN(IF($AU33=100%,1,1+VLOOKUP(($AJ33-$AI33-$AH33-$AG33-$AF33-$AE33*(1+AZ$3))/$AJ33,'Технический лист'!$A:$B,2,1)-VLOOKUP($AO33,'Технический лист'!$A:$B,2,1)),1+(1-$AU33))</f>
        <v>1.0150000000000001</v>
      </c>
      <c r="BA33" s="15">
        <f>MIN(IF($AU33=100%,1,1+VLOOKUP(($AJ33-$AI33-$AH33-$AG33-$AF33-$AE33*(1+BA$3))/$AJ33,'Технический лист'!$A:$B,2,1)-VLOOKUP($AO33,'Технический лист'!$A:$B,2,1)),1+(1-$AU33))</f>
        <v>1.0150000000000001</v>
      </c>
      <c r="BB33" s="15">
        <f>MIN(IF($AU33=100%,1,1+VLOOKUP(($AJ33-$AI33-$AH33-$AG33-$AF33-$AE33*(1+BB$3))/$AJ33,'Технический лист'!$A:$B,2,1)-VLOOKUP($AO33,'Технический лист'!$A:$B,2,1)),1+(1-$AU33))</f>
        <v>1.0150000000000001</v>
      </c>
      <c r="BC33" s="15">
        <f>MIN(IF($AU33=100%,1,1+VLOOKUP(($AJ33-$AI33-$AH33-$AG33-$AF33-$AE33*(1+BC$3))/$AJ33,'Технический лист'!$A:$B,2,1)-VLOOKUP($AO33,'Технический лист'!$A:$B,2,1)),1+(1-$AU33))</f>
        <v>1.0150000000000001</v>
      </c>
      <c r="BD33" s="15">
        <f>MIN(IF($AU33=100%,1,1+VLOOKUP(($AJ33-$AI33-$AH33-$AG33-$AF33-$AE33*(1+BD$3))/$AJ33,'Технический лист'!$A:$B,2,1)-VLOOKUP($AO33,'Технический лист'!$A:$B,2,1)),1+(1-$AU33))</f>
        <v>1.0150000000000001</v>
      </c>
      <c r="BE33" s="15">
        <f>MIN(IF($AU33=100%,1,1+VLOOKUP(($AJ33-$AI33-$AH33-$AG33-$AF33-$AE33*(1+BE$3))/$AJ33,'Технический лист'!$A:$B,2,1)-VLOOKUP($AO33,'Технический лист'!$A:$B,2,1)),1+(1-$AU33))</f>
        <v>1.0150000000000001</v>
      </c>
      <c r="BF33" s="15">
        <f>MIN(IF($AU33=100%,1,1+VLOOKUP(($AJ33-$AI33-$AH33-$AG33-$AF33-$AE33*(1+BF$3))/$AJ33,'Технический лист'!$A:$B,2,1)-VLOOKUP($AO33,'Технический лист'!$A:$B,2,1)),1+(1-$AU33))</f>
        <v>1.0150000000000001</v>
      </c>
      <c r="BG33" s="15">
        <f>MIN(IF($AU33=100%,1,1+VLOOKUP(($AJ33-$AI33-$AH33-$AG33-$AF33-$AE33*(1+BG$3))/$AJ33,'Технический лист'!$A:$B,2,1)-VLOOKUP($AO33,'Технический лист'!$A:$B,2,1)),1+(1-$AU33))</f>
        <v>1.0150000000000001</v>
      </c>
      <c r="BH33" s="15">
        <f>MIN(IF($AU33=100%,1,1+VLOOKUP(($AJ33-$AI33-$AH33-$AG33-$AF33-$AE33*(1+BH$3))/$AJ33,'Технический лист'!$A:$B,2,1)-VLOOKUP($AO33,'Технический лист'!$A:$B,2,1)),1+(1-$AU33))</f>
        <v>1.0150000000000001</v>
      </c>
      <c r="BI33" s="15">
        <f>MIN(IF($AU33=100%,1,1+VLOOKUP(($AJ33-$AI33-$AH33-$AG33-$AF33-$AE33*(1+BI$3))/$AJ33,'Технический лист'!$A:$B,2,1)-VLOOKUP($AO33,'Технический лист'!$A:$B,2,1)),1+(1-$AU33))</f>
        <v>1.0150000000000001</v>
      </c>
      <c r="BJ33" s="15">
        <f>MIN(IF($AU33=100%,1,1+VLOOKUP(($AJ33-$AI33-$AH33-$AG33-$AF33-$AE33*(1+BJ$3))/$AJ33,'Технический лист'!$A:$B,2,1)-VLOOKUP($AO33,'Технический лист'!$A:$B,2,1)),1+(1-$AU33))</f>
        <v>1.0150000000000001</v>
      </c>
      <c r="BK33" s="15">
        <f>MIN(IF($AU33=100%,1,1+VLOOKUP(($AJ33-$AI33-$AH33-$AG33-$AF33-$AE33*(1+BK$3))/$AJ33,'Технический лист'!$A:$B,2,1)-VLOOKUP($AO33,'Технический лист'!$A:$B,2,1)),1+(1-$AU33))</f>
        <v>1.0150000000000001</v>
      </c>
      <c r="BL33" s="15">
        <f>MIN(IF($AU33=100%,1,1+VLOOKUP(($AJ33-$AI33-$AH33-$AG33-$AF33-$AE33*(1+BL$3))/$AJ33,'Технический лист'!$A:$B,2,1)-VLOOKUP($AO33,'Технический лист'!$A:$B,2,1)),1+(1-$AU33))</f>
        <v>1.0150000000000001</v>
      </c>
      <c r="BM33" s="15">
        <f>MIN(IF($AU33=100%,1,1+VLOOKUP(($AJ33-$AI33-$AH33-$AG33-$AF33-$AE33*(1+BM$3))/$AJ33,'Технический лист'!$A:$B,2,1)-VLOOKUP($AO33,'Технический лист'!$A:$B,2,1)),1+(1-$AU33))</f>
        <v>1.0150000000000001</v>
      </c>
      <c r="BN33" s="15">
        <f>MIN(IF($AU33=100%,1,1+VLOOKUP(($AJ33-$AI33-$AH33-$AG33-$AF33-$AE33*(1+BN$3))/$AJ33,'Технический лист'!$A:$B,2,1)-VLOOKUP($AO33,'Технический лист'!$A:$B,2,1)),1+(1-$AU33))</f>
        <v>1.0150000000000001</v>
      </c>
      <c r="BO33" s="15">
        <f>MIN(IF($AU33=100%,1,1+VLOOKUP(($AJ33-$AI33-$AH33-$AG33-$AF33-$AE33*(1+BO$3))/$AJ33,'Технический лист'!$A:$B,2,1)-VLOOKUP($AO33,'Технический лист'!$A:$B,2,1)),1+(1-$AU33))</f>
        <v>1.0150000000000001</v>
      </c>
      <c r="BP33" s="15">
        <f>MIN(IF($AU33=100%,1,1+VLOOKUP(($AJ33-$AI33-$AH33-$AG33-$AF33-$AE33*(1+BP$3))/$AJ33,'Технический лист'!$A:$B,2,1)-VLOOKUP($AO33,'Технический лист'!$A:$B,2,1)),1+(1-$AU33))</f>
        <v>1.0150000000000001</v>
      </c>
      <c r="BQ33" s="15">
        <f>MIN(IF($AU33=100%,1,1+VLOOKUP(($AJ33-$AI33-$AH33-$AG33-$AF33-$AE33*(1+BQ$3))/$AJ33,'Технический лист'!$A:$B,2,1)-VLOOKUP($AO33,'Технический лист'!$A:$B,2,1)),1+(1-$AU33))</f>
        <v>1.0150000000000001</v>
      </c>
      <c r="BR33" s="15">
        <f>MIN(IF($AU33=100%,1,1+VLOOKUP(($AJ33-$AI33-$AH33-$AG33-$AF33-$AE33*(1+BR$3))/$AJ33,'Технический лист'!$A:$B,2,1)-VLOOKUP($AO33,'Технический лист'!$A:$B,2,1)),1+(1-$AU33))</f>
        <v>1.0150000000000001</v>
      </c>
      <c r="BS33" s="15">
        <f>MIN(IF($AU33=100%,1,1+VLOOKUP(($AJ33-$AI33-$AH33-$AG33-$AF33-$AE33*(1+BS$3))/$AJ33,'Технический лист'!$A:$B,2,1)-VLOOKUP($AO33,'Технический лист'!$A:$B,2,1)),1+(1-$AU33))</f>
        <v>1.0150000000000001</v>
      </c>
      <c r="BT33" s="15">
        <f>MIN(IF($AU33=100%,1,1+VLOOKUP(($AJ33-$AI33-$AH33-$AG33-$AF33-$AE33*(1+BT$3))/$AJ33,'Технический лист'!$A:$B,2,1)-VLOOKUP($AO33,'Технический лист'!$A:$B,2,1)),1+(1-$AU33))</f>
        <v>1.0150000000000001</v>
      </c>
      <c r="BU33" s="15">
        <f>MIN(IF($AU33=100%,1,1+VLOOKUP(($AJ33-$AI33-$AH33-$AG33-$AF33-$AE33*(1+BU$3))/$AJ33,'Технический лист'!$A:$B,2,1)-VLOOKUP($AO33,'Технический лист'!$A:$B,2,1)),1+(1-$AU33))</f>
        <v>1.0150000000000001</v>
      </c>
      <c r="BV33" s="15">
        <f>MIN(IF($AU33=100%,1,1+VLOOKUP(($AJ33-$AI33-$AH33-$AG33-$AF33-$AE33*(1+BV$3))/$AJ33,'Технический лист'!$A:$B,2,1)-VLOOKUP($AO33,'Технический лист'!$A:$B,2,1)),1+(1-$AU33))</f>
        <v>1.0150000000000001</v>
      </c>
      <c r="BW33" s="15">
        <f>MIN(IF($AU33=100%,1,1+VLOOKUP(($AJ33-$AI33-$AH33-$AG33-$AF33-$AE33*(1+BW$3))/$AJ33,'Технический лист'!$A:$B,2,1)-VLOOKUP($AO33,'Технический лист'!$A:$B,2,1)),1+(1-$AU33))</f>
        <v>1.0150000000000001</v>
      </c>
      <c r="BX33" s="15">
        <f>MIN(IF($AU33=100%,1,1+VLOOKUP(($AJ33-$AI33-$AH33-$AG33-$AF33-$AE33*(1+BX$3))/$AJ33,'Технический лист'!$A:$B,2,1)-VLOOKUP($AO33,'Технический лист'!$A:$B,2,1)),1+(1-$AU33))</f>
        <v>1.0150000000000001</v>
      </c>
      <c r="BY33" s="15">
        <f>MIN(IF($AU33=100%,1,1+VLOOKUP(($AJ33-$AI33-$AH33-$AG33-$AF33-$AE33*(1+BY$3))/$AJ33,'Технический лист'!$A:$B,2,1)-VLOOKUP($AO33,'Технический лист'!$A:$B,2,1)),1+(1-$AU33))</f>
        <v>1.0150000000000001</v>
      </c>
      <c r="BZ33" s="15">
        <f>MIN(IF($AU33=100%,1,1+VLOOKUP(($AJ33-$AI33-$AH33-$AG33-$AF33-$AE33*(1+BZ$3))/$AJ33,'Технический лист'!$A:$B,2,1)-VLOOKUP($AO33,'Технический лист'!$A:$B,2,1)),1+(1-$AU33))</f>
        <v>1.0100000000000002</v>
      </c>
      <c r="CA33" s="15">
        <f>MIN(IF($AU33=100%,1,1+VLOOKUP(($AJ33-$AI33-$AH33-$AG33-$AF33-$AE33*(1+CA$3))/$AJ33,'Технический лист'!$A:$B,2,1)-VLOOKUP($AO33,'Технический лист'!$A:$B,2,1)),1+(1-$AU33))</f>
        <v>1.0100000000000002</v>
      </c>
      <c r="CB33" s="15">
        <f>MIN(IF($AU33=100%,1,1+VLOOKUP(($AJ33-$AI33-$AH33-$AG33-$AF33-$AE33*(1+CB$3))/$AJ33,'Технический лист'!$A:$B,2,1)-VLOOKUP($AO33,'Технический лист'!$A:$B,2,1)),1+(1-$AU33))</f>
        <v>1.0100000000000002</v>
      </c>
      <c r="CC33" s="15">
        <f>MIN(IF($AU33=100%,1,1+VLOOKUP(($AJ33-$AI33-$AH33-$AG33-$AF33-$AE33*(1+CC$3))/$AJ33,'Технический лист'!$A:$B,2,1)-VLOOKUP($AO33,'Технический лист'!$A:$B,2,1)),1+(1-$AU33))</f>
        <v>1.0100000000000002</v>
      </c>
      <c r="CD33" s="15">
        <f>MIN(IF($AU33=100%,1,1+VLOOKUP(($AJ33-$AI33-$AH33-$AG33-$AF33-$AE33*(1+CD$3))/$AJ33,'Технический лист'!$A:$B,2,1)-VLOOKUP($AO33,'Технический лист'!$A:$B,2,1)),1+(1-$AU33))</f>
        <v>1.0100000000000002</v>
      </c>
      <c r="CE33" s="15">
        <f>MIN(IF($AU33=100%,1,1+VLOOKUP(($AJ33-$AI33-$AH33-$AG33-$AF33-$AE33*(1+CE$3))/$AJ33,'Технический лист'!$A:$B,2,1)-VLOOKUP($AO33,'Технический лист'!$A:$B,2,1)),1+(1-$AU33))</f>
        <v>1.0100000000000002</v>
      </c>
      <c r="CF33" s="15">
        <f>MIN(IF($AU33=100%,1,1+VLOOKUP(($AJ33-$AI33-$AH33-$AG33-$AF33-$AE33*(1+CF$3))/$AJ33,'Технический лист'!$A:$B,2,1)-VLOOKUP($AO33,'Технический лист'!$A:$B,2,1)),1+(1-$AU33))</f>
        <v>1.0100000000000002</v>
      </c>
      <c r="CG33" s="15">
        <f>MIN(IF($AU33=100%,1,1+VLOOKUP(($AJ33-$AI33-$AH33-$AG33-$AF33-$AE33*(1+CG$3))/$AJ33,'Технический лист'!$A:$B,2,1)-VLOOKUP($AO33,'Технический лист'!$A:$B,2,1)),1+(1-$AU33))</f>
        <v>1.0100000000000002</v>
      </c>
      <c r="CH33" s="15">
        <f>MIN(IF($AU33=100%,1,1+VLOOKUP(($AJ33-$AI33-$AH33-$AG33-$AF33-$AE33*(1+CH$3))/$AJ33,'Технический лист'!$A:$B,2,1)-VLOOKUP($AO33,'Технический лист'!$A:$B,2,1)),1+(1-$AU33))</f>
        <v>1.0100000000000002</v>
      </c>
      <c r="CI33" s="15">
        <f>MIN(IF($AU33=100%,1,1+VLOOKUP(($AJ33-$AI33-$AH33-$AG33-$AF33-$AE33*(1+CI$3))/$AJ33,'Технический лист'!$A:$B,2,1)-VLOOKUP($AO33,'Технический лист'!$A:$B,2,1)),1+(1-$AU33))</f>
        <v>1.0100000000000002</v>
      </c>
      <c r="CJ33" s="15">
        <f>MIN(IF($AU33=100%,1,1+VLOOKUP(($AJ33-$AI33-$AH33-$AG33-$AF33-$AE33*(1+CJ$3))/$AJ33,'Технический лист'!$A:$B,2,1)-VLOOKUP($AO33,'Технический лист'!$A:$B,2,1)),1+(1-$AU33))</f>
        <v>1.0100000000000002</v>
      </c>
      <c r="CK33" s="15">
        <f>MIN(IF($AU33=100%,1,1+VLOOKUP(($AJ33-$AI33-$AH33-$AG33-$AF33-$AE33*(1+CK$3))/$AJ33,'Технический лист'!$A:$B,2,1)-VLOOKUP($AO33,'Технический лист'!$A:$B,2,1)),1+(1-$AU33))</f>
        <v>1.0100000000000002</v>
      </c>
      <c r="CL33" s="15">
        <f>MIN(IF($AU33=100%,1,1+VLOOKUP(($AJ33-$AI33-$AH33-$AG33-$AF33-$AE33*(1+CL$3))/$AJ33,'Технический лист'!$A:$B,2,1)-VLOOKUP($AO33,'Технический лист'!$A:$B,2,1)),1+(1-$AU33))</f>
        <v>1.0100000000000002</v>
      </c>
      <c r="CM33" s="15">
        <f>MIN(IF($AU33=100%,1,1+VLOOKUP(($AJ33-$AI33-$AH33-$AG33-$AF33-$AE33*(1+CM$3))/$AJ33,'Технический лист'!$A:$B,2,1)-VLOOKUP($AO33,'Технический лист'!$A:$B,2,1)),1+(1-$AU33))</f>
        <v>1.0100000000000002</v>
      </c>
      <c r="CN33" s="15">
        <f>MIN(IF($AU33=100%,1,1+VLOOKUP(($AJ33-$AI33-$AH33-$AG33-$AF33-$AE33*(1+CN$3))/$AJ33,'Технический лист'!$A:$B,2,1)-VLOOKUP($AO33,'Технический лист'!$A:$B,2,1)),1+(1-$AU33))</f>
        <v>1.0100000000000002</v>
      </c>
      <c r="CO33" s="15">
        <f>MIN(IF($AU33=100%,1,1+VLOOKUP(($AJ33-$AI33-$AH33-$AG33-$AF33-$AE33*(1+CO$3))/$AJ33,'Технический лист'!$A:$B,2,1)-VLOOKUP($AO33,'Технический лист'!$A:$B,2,1)),1+(1-$AU33))</f>
        <v>1.0100000000000002</v>
      </c>
      <c r="CP33" s="15">
        <f>MIN(IF($AU33=100%,1,1+VLOOKUP(($AJ33-$AI33-$AH33-$AG33-$AF33-$AE33*(1+CP$3))/$AJ33,'Технический лист'!$A:$B,2,1)-VLOOKUP($AO33,'Технический лист'!$A:$B,2,1)),1+(1-$AU33))</f>
        <v>1.0100000000000002</v>
      </c>
      <c r="CQ33" s="15">
        <f>MIN(IF($AU33=100%,1,1+VLOOKUP(($AJ33-$AI33-$AH33-$AG33-$AF33-$AE33*(1+CQ$3))/$AJ33,'Технический лист'!$A:$B,2,1)-VLOOKUP($AO33,'Технический лист'!$A:$B,2,1)),1+(1-$AU33))</f>
        <v>1.0100000000000002</v>
      </c>
      <c r="CR33" s="15">
        <f>MIN(IF($AU33=100%,1,1+VLOOKUP(($AJ33-$AI33-$AH33-$AG33-$AF33-$AE33*(1+CR$3))/$AJ33,'Технический лист'!$A:$B,2,1)-VLOOKUP($AO33,'Технический лист'!$A:$B,2,1)),1+(1-$AU33))</f>
        <v>1.0100000000000002</v>
      </c>
      <c r="CS33" s="15">
        <f>MIN(IF($AU33=100%,1,1+VLOOKUP(($AJ33-$AI33-$AH33-$AG33-$AF33-$AE33*(1+CS$3))/$AJ33,'Технический лист'!$A:$B,2,1)-VLOOKUP($AO33,'Технический лист'!$A:$B,2,1)),1+(1-$AU33))</f>
        <v>1.0100000000000002</v>
      </c>
      <c r="CT33" s="15">
        <f>MIN(IF($AU33=100%,1,1+VLOOKUP(($AJ33-$AI33-$AH33-$AG33-$AF33-$AE33*(1+CT$3))/$AJ33,'Технический лист'!$A:$B,2,1)-VLOOKUP($AO33,'Технический лист'!$A:$B,2,1)),1+(1-$AU33))</f>
        <v>1.0100000000000002</v>
      </c>
      <c r="CU33" s="15">
        <f>MIN(IF($AU33=100%,1,1+VLOOKUP(($AJ33-$AI33-$AH33-$AG33-$AF33-$AE33*(1+CU$3))/$AJ33,'Технический лист'!$A:$B,2,1)-VLOOKUP($AO33,'Технический лист'!$A:$B,2,1)),1+(1-$AU33))</f>
        <v>1.0100000000000002</v>
      </c>
      <c r="CV33" s="15">
        <f>MIN(IF($AU33=100%,1,1+VLOOKUP(($AJ33-$AI33-$AH33-$AG33-$AF33-$AE33*(1+CV$3))/$AJ33,'Технический лист'!$A:$B,2,1)-VLOOKUP($AO33,'Технический лист'!$A:$B,2,1)),1+(1-$AU33))</f>
        <v>1.0100000000000002</v>
      </c>
      <c r="CW33" s="15">
        <f>MIN(IF($AU33=100%,1,1+VLOOKUP(($AJ33-$AI33-$AH33-$AG33-$AF33-$AE33*(1+CW$3))/$AJ33,'Технический лист'!$A:$B,2,1)-VLOOKUP($AO33,'Технический лист'!$A:$B,2,1)),1+(1-$AU33))</f>
        <v>1.0100000000000002</v>
      </c>
      <c r="CX33" s="15">
        <f>MIN(IF($AU33=100%,1,1+VLOOKUP(($AJ33-$AI33-$AH33-$AG33-$AF33-$AE33*(1+CX$3))/$AJ33,'Технический лист'!$A:$B,2,1)-VLOOKUP($AO33,'Технический лист'!$A:$B,2,1)),1+(1-$AU33))</f>
        <v>1.0100000000000002</v>
      </c>
      <c r="CY33" s="15">
        <f>MIN(IF($AU33=100%,1,1+VLOOKUP(($AJ33-$AI33-$AH33-$AG33-$AF33-$AE33*(1+CY$3))/$AJ33,'Технический лист'!$A:$B,2,1)-VLOOKUP($AO33,'Технический лист'!$A:$B,2,1)),1+(1-$AU33))</f>
        <v>1.0100000000000002</v>
      </c>
      <c r="CZ33" s="15">
        <f>MIN(IF($AU33=100%,1,1+VLOOKUP(($AJ33-$AI33-$AH33-$AG33-$AF33-$AE33*(1+CZ$3))/$AJ33,'Технический лист'!$A:$B,2,1)-VLOOKUP($AO33,'Технический лист'!$A:$B,2,1)),1+(1-$AU33))</f>
        <v>1.0100000000000002</v>
      </c>
      <c r="DA33" s="15">
        <f>MIN(IF($AU33=100%,1,1+VLOOKUP(($AJ33-$AI33-$AH33-$AG33-$AF33-$AE33*(1+DA$3))/$AJ33,'Технический лист'!$A:$B,2,1)-VLOOKUP($AO33,'Технический лист'!$A:$B,2,1)),1+(1-$AU33))</f>
        <v>1.0100000000000002</v>
      </c>
      <c r="DB33" s="15">
        <f>MIN(IF($AU33=100%,1,1+VLOOKUP(($AJ33-$AI33-$AH33-$AG33-$AF33-$AE33*(1+DB$3))/$AJ33,'Технический лист'!$A:$B,2,1)-VLOOKUP($AO33,'Технический лист'!$A:$B,2,1)),1+(1-$AU33))</f>
        <v>1.0100000000000002</v>
      </c>
      <c r="DC33" s="15">
        <f>MIN(IF($AU33=100%,1,1+VLOOKUP(($AJ33-$AI33-$AH33-$AG33-$AF33-$AE33*(1+DC$3))/$AJ33,'Технический лист'!$A:$B,2,1)-VLOOKUP($AO33,'Технический лист'!$A:$B,2,1)),1+(1-$AU33))</f>
        <v>1.0100000000000002</v>
      </c>
      <c r="DD33" s="15">
        <f>MIN(IF($AU33=100%,1,1+VLOOKUP(($AJ33-$AI33-$AH33-$AG33-$AF33-$AE33*(1+DD$3))/$AJ33,'Технический лист'!$A:$B,2,1)-VLOOKUP($AO33,'Технический лист'!$A:$B,2,1)),1+(1-$AU33))</f>
        <v>1.0100000000000002</v>
      </c>
      <c r="DE33" s="15">
        <f>MIN(IF($AU33=100%,1,1+VLOOKUP(($AJ33-$AI33-$AH33-$AG33-$AF33-$AE33*(1+DE$3))/$AJ33,'Технический лист'!$A:$B,2,1)-VLOOKUP($AO33,'Технический лист'!$A:$B,2,1)),1+(1-$AU33))</f>
        <v>1.0100000000000002</v>
      </c>
      <c r="DF33" s="15">
        <f>MIN(IF($AU33=100%,1,1+VLOOKUP(($AJ33-$AI33-$AH33-$AG33-$AF33-$AE33*(1+DF$3))/$AJ33,'Технический лист'!$A:$B,2,1)-VLOOKUP($AO33,'Технический лист'!$A:$B,2,1)),1+(1-$AU33))</f>
        <v>1.0100000000000002</v>
      </c>
      <c r="DG33" s="15">
        <f>MIN(IF($AU33=100%,1,1+VLOOKUP(($AJ33-$AI33-$AH33-$AG33-$AF33-$AE33*(1+DG$3))/$AJ33,'Технический лист'!$A:$B,2,1)-VLOOKUP($AO33,'Технический лист'!$A:$B,2,1)),1+(1-$AU33))</f>
        <v>1.0049999999999999</v>
      </c>
      <c r="DH33" s="15">
        <f>MIN(IF($AU33=100%,1,1+VLOOKUP(($AJ33-$AI33-$AH33-$AG33-$AF33-$AE33*(1+DH$3))/$AJ33,'Технический лист'!$A:$B,2,1)-VLOOKUP($AO33,'Технический лист'!$A:$B,2,1)),1+(1-$AU33))</f>
        <v>1.0049999999999999</v>
      </c>
      <c r="DI33" s="15">
        <f>MIN(IF($AU33=100%,1,1+VLOOKUP(($AJ33-$AI33-$AH33-$AG33-$AF33-$AE33*(1+DI$3))/$AJ33,'Технический лист'!$A:$B,2,1)-VLOOKUP($AO33,'Технический лист'!$A:$B,2,1)),1+(1-$AU33))</f>
        <v>1.0049999999999999</v>
      </c>
      <c r="DJ33" s="15">
        <f>MIN(IF($AU33=100%,1,1+VLOOKUP(($AJ33-$AI33-$AH33-$AG33-$AF33-$AE33*(1+DJ$3))/$AJ33,'Технический лист'!$A:$B,2,1)-VLOOKUP($AO33,'Технический лист'!$A:$B,2,1)),1+(1-$AU33))</f>
        <v>1.0049999999999999</v>
      </c>
      <c r="DK33" s="15">
        <f>MIN(IF($AU33=100%,1,1+VLOOKUP(($AJ33-$AI33-$AH33-$AG33-$AF33-$AE33*(1+DK$3))/$AJ33,'Технический лист'!$A:$B,2,1)-VLOOKUP($AO33,'Технический лист'!$A:$B,2,1)),1+(1-$AU33))</f>
        <v>1.0049999999999999</v>
      </c>
      <c r="DL33" s="15">
        <f>MIN(IF($AU33=100%,1,1+VLOOKUP(($AJ33-$AI33-$AH33-$AG33-$AF33-$AE33*(1+DL$3))/$AJ33,'Технический лист'!$A:$B,2,1)-VLOOKUP($AO33,'Технический лист'!$A:$B,2,1)),1+(1-$AU33))</f>
        <v>1.0049999999999999</v>
      </c>
      <c r="DM33" s="15">
        <f>MIN(IF($AU33=100%,1,1+VLOOKUP(($AJ33-$AI33-$AH33-$AG33-$AF33-$AE33*(1+DM$3))/$AJ33,'Технический лист'!$A:$B,2,1)-VLOOKUP($AO33,'Технический лист'!$A:$B,2,1)),1+(1-$AU33))</f>
        <v>1.0049999999999999</v>
      </c>
      <c r="DN33" s="15">
        <f>MIN(IF($AU33=100%,1,1+VLOOKUP(($AJ33-$AI33-$AH33-$AG33-$AF33-$AE33*(1+DN$3))/$AJ33,'Технический лист'!$A:$B,2,1)-VLOOKUP($AO33,'Технический лист'!$A:$B,2,1)),1+(1-$AU33))</f>
        <v>1.0049999999999999</v>
      </c>
      <c r="DO33" s="15">
        <f>MIN(IF($AU33=100%,1,1+VLOOKUP(($AJ33-$AI33-$AH33-$AG33-$AF33-$AE33*(1+DO$3))/$AJ33,'Технический лист'!$A:$B,2,1)-VLOOKUP($AO33,'Технический лист'!$A:$B,2,1)),1+(1-$AU33))</f>
        <v>1.0049999999999999</v>
      </c>
      <c r="DP33" s="15">
        <f>MIN(IF($AU33=100%,1,1+VLOOKUP(($AJ33-$AI33-$AH33-$AG33-$AF33-$AE33*(1+DP$3))/$AJ33,'Технический лист'!$A:$B,2,1)-VLOOKUP($AO33,'Технический лист'!$A:$B,2,1)),1+(1-$AU33))</f>
        <v>1.0049999999999999</v>
      </c>
      <c r="DQ33" s="15">
        <f>MIN(IF($AU33=100%,1,1+VLOOKUP(($AJ33-$AI33-$AH33-$AG33-$AF33-$AE33*(1+DQ$3))/$AJ33,'Технический лист'!$A:$B,2,1)-VLOOKUP($AO33,'Технический лист'!$A:$B,2,1)),1+(1-$AU33))</f>
        <v>1.0049999999999999</v>
      </c>
      <c r="DR33" s="15">
        <f>MIN(IF($AU33=100%,1,1+VLOOKUP(($AJ33-$AI33-$AH33-$AG33-$AF33-$AE33*(1+DR$3))/$AJ33,'Технический лист'!$A:$B,2,1)-VLOOKUP($AO33,'Технический лист'!$A:$B,2,1)),1+(1-$AU33))</f>
        <v>1.0049999999999999</v>
      </c>
      <c r="DS33" s="15">
        <f>MIN(IF($AU33=100%,1,1+VLOOKUP(($AJ33-$AI33-$AH33-$AG33-$AF33-$AE33*(1+DS$3))/$AJ33,'Технический лист'!$A:$B,2,1)-VLOOKUP($AO33,'Технический лист'!$A:$B,2,1)),1+(1-$AU33))</f>
        <v>1.0049999999999999</v>
      </c>
      <c r="DT33" s="15">
        <f>MIN(IF($AU33=100%,1,1+VLOOKUP(($AJ33-$AI33-$AH33-$AG33-$AF33-$AE33*(1+DT$3))/$AJ33,'Технический лист'!$A:$B,2,1)-VLOOKUP($AO33,'Технический лист'!$A:$B,2,1)),1+(1-$AU33))</f>
        <v>1.0049999999999999</v>
      </c>
      <c r="DU33" s="15">
        <f>MIN(IF($AU33=100%,1,1+VLOOKUP(($AJ33-$AI33-$AH33-$AG33-$AF33-$AE33*(1+DU$3))/$AJ33,'Технический лист'!$A:$B,2,1)-VLOOKUP($AO33,'Технический лист'!$A:$B,2,1)),1+(1-$AU33))</f>
        <v>1.0049999999999999</v>
      </c>
      <c r="DV33" s="15">
        <f>MIN(IF($AU33=100%,1,1+VLOOKUP(($AJ33-$AI33-$AH33-$AG33-$AF33-$AE33*(1+DV$3))/$AJ33,'Технический лист'!$A:$B,2,1)-VLOOKUP($AO33,'Технический лист'!$A:$B,2,1)),1+(1-$AU33))</f>
        <v>1.0049999999999999</v>
      </c>
      <c r="DW33" s="15">
        <f>MIN(IF($AU33=100%,1,1+VLOOKUP(($AJ33-$AI33-$AH33-$AG33-$AF33-$AE33*(1+DW$3))/$AJ33,'Технический лист'!$A:$B,2,1)-VLOOKUP($AO33,'Технический лист'!$A:$B,2,1)),1+(1-$AU33))</f>
        <v>1.0049999999999999</v>
      </c>
      <c r="DX33" s="15">
        <f>MIN(IF($AU33=100%,1,1+VLOOKUP(($AJ33-$AI33-$AH33-$AG33-$AF33-$AE33*(1+DX$3))/$AJ33,'Технический лист'!$A:$B,2,1)-VLOOKUP($AO33,'Технический лист'!$A:$B,2,1)),1+(1-$AU33))</f>
        <v>1.0049999999999999</v>
      </c>
      <c r="DY33" s="15">
        <f>MIN(IF($AU33=100%,1,1+VLOOKUP(($AJ33-$AI33-$AH33-$AG33-$AF33-$AE33*(1+DY$3))/$AJ33,'Технический лист'!$A:$B,2,1)-VLOOKUP($AO33,'Технический лист'!$A:$B,2,1)),1+(1-$AU33))</f>
        <v>1.0049999999999999</v>
      </c>
      <c r="DZ33" s="15">
        <f>MIN(IF($AU33=100%,1,1+VLOOKUP(($AJ33-$AI33-$AH33-$AG33-$AF33-$AE33*(1+DZ$3))/$AJ33,'Технический лист'!$A:$B,2,1)-VLOOKUP($AO33,'Технический лист'!$A:$B,2,1)),1+(1-$AU33))</f>
        <v>1.0049999999999999</v>
      </c>
      <c r="EA33" s="15">
        <f>MIN(IF($AU33=100%,1,1+VLOOKUP(($AJ33-$AI33-$AH33-$AG33-$AF33-$AE33*(1+EA$3))/$AJ33,'Технический лист'!$A:$B,2,1)-VLOOKUP($AO33,'Технический лист'!$A:$B,2,1)),1+(1-$AU33))</f>
        <v>1.0049999999999999</v>
      </c>
      <c r="EB33" s="15">
        <f>MIN(IF($AU33=100%,1,1+VLOOKUP(($AJ33-$AI33-$AH33-$AG33-$AF33-$AE33*(1+EB$3))/$AJ33,'Технический лист'!$A:$B,2,1)-VLOOKUP($AO33,'Технический лист'!$A:$B,2,1)),1+(1-$AU33))</f>
        <v>1.0049999999999999</v>
      </c>
      <c r="EC33" s="15">
        <f>MIN(IF($AU33=100%,1,1+VLOOKUP(($AJ33-$AI33-$AH33-$AG33-$AF33-$AE33*(1+EC$3))/$AJ33,'Технический лист'!$A:$B,2,1)-VLOOKUP($AO33,'Технический лист'!$A:$B,2,1)),1+(1-$AU33))</f>
        <v>1.0049999999999999</v>
      </c>
      <c r="ED33" s="15">
        <f>MIN(IF($AU33=100%,1,1+VLOOKUP(($AJ33-$AI33-$AH33-$AG33-$AF33-$AE33*(1+ED$3))/$AJ33,'Технический лист'!$A:$B,2,1)-VLOOKUP($AO33,'Технический лист'!$A:$B,2,1)),1+(1-$AU33))</f>
        <v>1.0049999999999999</v>
      </c>
      <c r="EE33" s="15">
        <f>MIN(IF($AU33=100%,1,1+VLOOKUP(($AJ33-$AI33-$AH33-$AG33-$AF33-$AE33*(1+EE$3))/$AJ33,'Технический лист'!$A:$B,2,1)-VLOOKUP($AO33,'Технический лист'!$A:$B,2,1)),1+(1-$AU33))</f>
        <v>1.0049999999999999</v>
      </c>
      <c r="EF33" s="15">
        <f>MIN(IF($AU33=100%,1,1+VLOOKUP(($AJ33-$AI33-$AH33-$AG33-$AF33-$AE33*(1+EF$3))/$AJ33,'Технический лист'!$A:$B,2,1)-VLOOKUP($AO33,'Технический лист'!$A:$B,2,1)),1+(1-$AU33))</f>
        <v>1.0049999999999999</v>
      </c>
      <c r="EG33" s="15">
        <f>MIN(IF($AU33=100%,1,1+VLOOKUP(($AJ33-$AI33-$AH33-$AG33-$AF33-$AE33*(1+EG$3))/$AJ33,'Технический лист'!$A:$B,2,1)-VLOOKUP($AO33,'Технический лист'!$A:$B,2,1)),1+(1-$AU33))</f>
        <v>1.0049999999999999</v>
      </c>
      <c r="EH33" s="15">
        <f>MIN(IF($AU33=100%,1,1+VLOOKUP(($AJ33-$AI33-$AH33-$AG33-$AF33-$AE33*(1+EH$3))/$AJ33,'Технический лист'!$A:$B,2,1)-VLOOKUP($AO33,'Технический лист'!$A:$B,2,1)),1+(1-$AU33))</f>
        <v>1.0049999999999999</v>
      </c>
      <c r="EI33" s="15">
        <f>MIN(IF($AU33=100%,1,1+VLOOKUP(($AJ33-$AI33-$AH33-$AG33-$AF33-$AE33*(1+EI$3))/$AJ33,'Технический лист'!$A:$B,2,1)-VLOOKUP($AO33,'Технический лист'!$A:$B,2,1)),1+(1-$AU33))</f>
        <v>1.0049999999999999</v>
      </c>
      <c r="EJ33" s="15">
        <f>MIN(IF($AU33=100%,1,1+VLOOKUP(($AJ33-$AI33-$AH33-$AG33-$AF33-$AE33*(1+EJ$3))/$AJ33,'Технический лист'!$A:$B,2,1)-VLOOKUP($AO33,'Технический лист'!$A:$B,2,1)),1+(1-$AU33))</f>
        <v>1.0049999999999999</v>
      </c>
      <c r="EK33" s="15">
        <f>MIN(IF($AU33=100%,1,1+VLOOKUP(($AJ33-$AI33-$AH33-$AG33-$AF33-$AE33*(1+EK$3))/$AJ33,'Технический лист'!$A:$B,2,1)-VLOOKUP($AO33,'Технический лист'!$A:$B,2,1)),1+(1-$AU33))</f>
        <v>1.0049999999999999</v>
      </c>
      <c r="EL33" s="15">
        <f>MIN(IF($AU33=100%,1,1+VLOOKUP(($AJ33-$AI33-$AH33-$AG33-$AF33-$AE33*(1+EL$3))/$AJ33,'Технический лист'!$A:$B,2,1)-VLOOKUP($AO33,'Технический лист'!$A:$B,2,1)),1+(1-$AU33))</f>
        <v>1.0049999999999999</v>
      </c>
      <c r="EM33" s="15">
        <f>MIN(IF($AU33=100%,1,1+VLOOKUP(($AJ33-$AI33-$AH33-$AG33-$AF33-$AE33*(1+EM$3))/$AJ33,'Технический лист'!$A:$B,2,1)-VLOOKUP($AO33,'Технический лист'!$A:$B,2,1)),1+(1-$AU33))</f>
        <v>1.0049999999999999</v>
      </c>
      <c r="EN33" s="15">
        <f>MIN(IF($AU33=100%,1,1+VLOOKUP(($AJ33-$AI33-$AH33-$AG33-$AF33-$AE33*(1+EN$3))/$AJ33,'Технический лист'!$A:$B,2,1)-VLOOKUP($AO33,'Технический лист'!$A:$B,2,1)),1+(1-$AU33))</f>
        <v>1</v>
      </c>
      <c r="EO33" s="15">
        <f>MIN(IF($AU33=100%,1,1+VLOOKUP(($AJ33-$AI33-$AH33-$AG33-$AF33-$AE33*(1+EO$3))/$AJ33,'Технический лист'!$A:$B,2,1)-VLOOKUP($AO33,'Технический лист'!$A:$B,2,1)),1+(1-$AU33))</f>
        <v>1</v>
      </c>
      <c r="EP33" s="15">
        <f>MIN(IF($AU33=100%,1,1+VLOOKUP(($AJ33-$AI33-$AH33-$AG33-$AF33-$AE33*(1+EP$3))/$AJ33,'Технический лист'!$A:$B,2,1)-VLOOKUP($AO33,'Технический лист'!$A:$B,2,1)),1+(1-$AU33))</f>
        <v>1</v>
      </c>
      <c r="EQ33" s="15">
        <f>MIN(IF($AU33=100%,1,1+VLOOKUP(($AJ33-$AI33-$AH33-$AG33-$AF33-$AE33*(1+EQ$3))/$AJ33,'Технический лист'!$A:$B,2,1)-VLOOKUP($AO33,'Технический лист'!$A:$B,2,1)),1+(1-$AU33))</f>
        <v>1</v>
      </c>
      <c r="ER33" s="15">
        <f>MIN(IF($AU33=100%,1,1+VLOOKUP(($AJ33-$AI33-$AH33-$AG33-$AF33-$AE33*(1+ER$3))/$AJ33,'Технический лист'!$A:$B,2,1)-VLOOKUP($AO33,'Технический лист'!$A:$B,2,1)),1+(1-$AU33))</f>
        <v>1</v>
      </c>
      <c r="ES33" s="15">
        <f>MIN(IF($AU33=100%,1,1+VLOOKUP(($AJ33-$AI33-$AH33-$AG33-$AF33-$AE33*(1+ES$3))/$AJ33,'Технический лист'!$A:$B,2,1)-VLOOKUP($AO33,'Технический лист'!$A:$B,2,1)),1+(1-$AU33))</f>
        <v>1</v>
      </c>
      <c r="ET33" s="15">
        <f>MIN(IF($AU33=100%,1,1+VLOOKUP(($AJ33-$AI33-$AH33-$AG33-$AF33-$AE33*(1+ET$3))/$AJ33,'Технический лист'!$A:$B,2,1)-VLOOKUP($AO33,'Технический лист'!$A:$B,2,1)),1+(1-$AU33))</f>
        <v>1</v>
      </c>
      <c r="EU33" s="15">
        <f>MIN(IF($AU33=100%,1,1+VLOOKUP(($AJ33-$AI33-$AH33-$AG33-$AF33-$AE33*(1+EU$3))/$AJ33,'Технический лист'!$A:$B,2,1)-VLOOKUP($AO33,'Технический лист'!$A:$B,2,1)),1+(1-$AU33))</f>
        <v>1</v>
      </c>
      <c r="EV33" s="111">
        <v>1</v>
      </c>
      <c r="EW33" s="15">
        <f>MIN(1,MAX(VLOOKUP(($AJ33-$AI33-$AH33-$AG33-$AF33-$AE33*(1+EW$3))/$AJ33,'Технический лист'!$A:$B,2,1),(EV33-0.05)))</f>
        <v>1</v>
      </c>
      <c r="EX33" s="15">
        <f>MIN(1,MAX(VLOOKUP(($AJ33-$AI33-$AH33-$AG33-$AF33-$AE33*(1+EX$3))/$AJ33,'Технический лист'!$A:$B,2,1),(EW33-0.05)))</f>
        <v>1</v>
      </c>
      <c r="EY33" s="15">
        <f>MIN(1,MAX(VLOOKUP(($AJ33-$AI33-$AH33-$AG33-$AF33-$AE33*(1+EY$3))/$AJ33,'Технический лист'!$A:$B,2,1),(EX33-0.05)))</f>
        <v>1</v>
      </c>
      <c r="EZ33" s="15">
        <f>MIN(1,MAX(VLOOKUP(($AJ33-$AI33-$AH33-$AG33-$AF33-$AE33*(1+EZ$3))/$AJ33,'Технический лист'!$A:$B,2,1),(EY33-0.05)))</f>
        <v>1</v>
      </c>
      <c r="FA33" s="15">
        <f>MIN(1,MAX(VLOOKUP(($AJ33-$AI33-$AH33-$AG33-$AF33-$AE33*(1+FA$3))/$AJ33,'Технический лист'!$A:$B,2,1),(EZ33-0.05)))</f>
        <v>1</v>
      </c>
      <c r="FB33" s="15">
        <f>MIN(1,MAX(VLOOKUP(($AJ33-$AI33-$AH33-$AG33-$AF33-$AE33*(1+FB$3))/$AJ33,'Технический лист'!$A:$B,2,1),(FA33-0.05)))</f>
        <v>1</v>
      </c>
      <c r="FC33" s="15">
        <f>MIN(1,MAX(VLOOKUP(($AJ33-$AI33-$AH33-$AG33-$AF33-$AE33*(1+FC$3))/$AJ33,'Технический лист'!$A:$B,2,1),(FB33-0.05)))</f>
        <v>1</v>
      </c>
      <c r="FD33" s="15">
        <f>MIN(1,MAX(VLOOKUP(($AJ33-$AI33-$AH33-$AG33-$AF33-$AE33*(1+FD$3))/$AJ33,'Технический лист'!$A:$B,2,1),(FC33-0.05)))</f>
        <v>1</v>
      </c>
      <c r="FE33" s="15">
        <f>MIN(1,MAX(VLOOKUP(($AJ33-$AI33-$AH33-$AG33-$AF33-$AE33*(1+FE$3))/$AJ33,'Технический лист'!$A:$B,2,1),(FD33-0.05)))</f>
        <v>1</v>
      </c>
      <c r="FF33" s="15">
        <f>MIN(1,MAX(VLOOKUP(($AJ33-$AI33-$AH33-$AG33-$AF33-$AE33*(1+FF$3))/$AJ33,'Технический лист'!$A:$B,2,1),(FE33-0.05)))</f>
        <v>1</v>
      </c>
      <c r="FG33" s="15">
        <f>MIN(1,MAX(VLOOKUP(($AJ33-$AI33-$AH33-$AG33-$AF33-$AE33*(1+FG$3))/$AJ33,'Технический лист'!$A:$B,2,1),(FF33-0.05)))</f>
        <v>1</v>
      </c>
      <c r="FH33" s="15">
        <f>MIN(1,MAX(VLOOKUP(($AJ33-$AI33-$AH33-$AG33-$AF33-$AE33*(1+FH$3))/$AJ33,'Технический лист'!$A:$B,2,1),(FG33-0.05)))</f>
        <v>1</v>
      </c>
      <c r="FI33" s="15">
        <f>MIN(1,MAX(VLOOKUP(($AJ33-$AI33-$AH33-$AG33-$AF33-$AE33*(1+FI$3))/$AJ33,'Технический лист'!$A:$B,2,1),(FH33-0.05)))</f>
        <v>1</v>
      </c>
      <c r="FJ33" s="15">
        <f>MIN(1,MAX(VLOOKUP(($AJ33-$AI33-$AH33-$AG33-$AF33-$AE33*(1+FJ$3))/$AJ33,'Технический лист'!$A:$B,2,1),(FI33-0.05)))</f>
        <v>1</v>
      </c>
      <c r="FK33" s="15">
        <f>MIN(1,MAX(VLOOKUP(($AJ33-$AI33-$AH33-$AG33-$AF33-$AE33*(1+FK$3))/$AJ33,'Технический лист'!$A:$B,2,1),(FJ33-0.05)))</f>
        <v>1</v>
      </c>
      <c r="FL33" s="15">
        <f>MIN(1,MAX(VLOOKUP(($AJ33-$AI33-$AH33-$AG33-$AF33-$AE33*(1+FL$3))/$AJ33,'Технический лист'!$A:$B,2,1),(FK33-0.05)))</f>
        <v>1</v>
      </c>
      <c r="FM33" s="15">
        <f>MIN(1,MAX(VLOOKUP(($AJ33-$AI33-$AH33-$AG33-$AF33-$AE33*(1+FM$3))/$AJ33,'Технический лист'!$A:$B,2,1),(FL33-0.05)))</f>
        <v>1</v>
      </c>
      <c r="FN33" s="15">
        <f>MIN(1,MAX(VLOOKUP(($AJ33-$AI33-$AH33-$AG33-$AF33-$AE33*(1+FN$3))/$AJ33,'Технический лист'!$A:$B,2,1),(FM33-0.05)))</f>
        <v>1</v>
      </c>
      <c r="FO33" s="15">
        <f>MIN(1,MAX(VLOOKUP(($AJ33-$AI33-$AH33-$AG33-$AF33-$AE33*(1+FO$3))/$AJ33,'Технический лист'!$A:$B,2,1),(FN33-0.05)))</f>
        <v>1</v>
      </c>
      <c r="FP33" s="15">
        <f>MIN(1,MAX(VLOOKUP(($AJ33-$AI33-$AH33-$AG33-$AF33-$AE33*(1+FP$3))/$AJ33,'Технический лист'!$A:$B,2,1),(FO33-0.05)))</f>
        <v>1</v>
      </c>
      <c r="FQ33" s="15">
        <f>MIN(1,MAX(VLOOKUP(($AJ33-$AI33-$AH33-$AG33-$AF33-$AE33*(1+FQ$3))/$AJ33,'Технический лист'!$A:$B,2,1),(FP33-0.05)))</f>
        <v>1</v>
      </c>
      <c r="FR33" s="15">
        <f>MIN(1,MAX(VLOOKUP(($AJ33-$AI33-$AH33-$AG33-$AF33-$AE33*(1+FR$3))/$AJ33,'Технический лист'!$A:$B,2,1),(FQ33-0.05)))</f>
        <v>1</v>
      </c>
      <c r="FS33" s="15">
        <f>MIN(1,MAX(VLOOKUP(($AJ33-$AI33-$AH33-$AG33-$AF33-$AE33*(1+FS$3))/$AJ33,'Технический лист'!$A:$B,2,1),(FR33-0.05)))</f>
        <v>1</v>
      </c>
      <c r="FT33" s="15">
        <f>MIN(1,MAX(VLOOKUP(($AJ33-$AI33-$AH33-$AG33-$AF33-$AE33*(1+FT$3))/$AJ33,'Технический лист'!$A:$B,2,1),(FS33-0.05)))</f>
        <v>1</v>
      </c>
      <c r="FU33" s="15">
        <f>MIN(1,MAX(VLOOKUP(($AJ33-$AI33-$AH33-$AG33-$AF33-$AE33*(1+FU$3))/$AJ33,'Технический лист'!$A:$B,2,1),(FT33-0.05)))</f>
        <v>1</v>
      </c>
      <c r="FV33" s="15">
        <f>MIN(1,MAX(VLOOKUP(($AJ33-$AI33-$AH33-$AG33-$AF33-$AE33*(1+FV$3))/$AJ33,'Технический лист'!$A:$B,2,1),(FU33-0.05)))</f>
        <v>1</v>
      </c>
      <c r="FW33" s="15">
        <f>MIN(1,MAX(VLOOKUP(($AJ33-$AI33-$AH33-$AG33-$AF33-$AE33*(1+FW$3))/$AJ33,'Технический лист'!$A:$B,2,1),(FV33-0.05)))</f>
        <v>1</v>
      </c>
      <c r="FX33" s="15">
        <f>MIN(1,MAX(VLOOKUP(($AJ33-$AI33-$AH33-$AG33-$AF33-$AE33*(1+FX$3))/$AJ33,'Технический лист'!$A:$B,2,1),(FW33-0.05)))</f>
        <v>1</v>
      </c>
      <c r="FY33" s="15">
        <f>MIN(1,MAX(VLOOKUP(($AJ33-$AI33-$AH33-$AG33-$AF33-$AE33*(1+FY$3))/$AJ33,'Технический лист'!$A:$B,2,1),(FX33-0.05)))</f>
        <v>1</v>
      </c>
      <c r="FZ33" s="15">
        <f>MIN(1,MAX(VLOOKUP(($AJ33-$AI33-$AH33-$AG33-$AF33-$AE33*(1+FZ$3))/$AJ33,'Технический лист'!$A:$B,2,1),(FY33-0.05)))</f>
        <v>1</v>
      </c>
      <c r="GA33" s="15">
        <f>MIN(1,MAX(VLOOKUP(($AJ33-$AI33-$AH33-$AG33-$AF33-$AE33*(1+GA$3))/$AJ33,'Технический лист'!$A:$B,2,1),(FZ33-0.05)))</f>
        <v>1</v>
      </c>
      <c r="GB33" s="15">
        <f>MIN(1,MAX(VLOOKUP(($AJ33-$AI33-$AH33-$AG33-$AF33-$AE33*(1+GB$3))/$AJ33,'Технический лист'!$A:$B,2,1),(GA33-0.05)))</f>
        <v>1</v>
      </c>
      <c r="GC33" s="15">
        <f>MIN(1,MAX(VLOOKUP(($AJ33-$AI33-$AH33-$AG33-$AF33-$AE33*(1+GC$3))/$AJ33,'Технический лист'!$A:$B,2,1),(GB33-0.05)))</f>
        <v>1</v>
      </c>
      <c r="GD33" s="15">
        <f>MIN(1,MAX(VLOOKUP(($AJ33-$AI33-$AH33-$AG33-$AF33-$AE33*(1+GD$3))/$AJ33,'Технический лист'!$A:$B,2,1),(GC33-0.05)))</f>
        <v>1</v>
      </c>
      <c r="GE33" s="15">
        <f>MIN(1,MAX(VLOOKUP(($AJ33-$AI33-$AH33-$AG33-$AF33-$AE33*(1+GE$3))/$AJ33,'Технический лист'!$A:$B,2,1),(GD33-0.05)))</f>
        <v>1</v>
      </c>
      <c r="GF33" s="15">
        <f>MIN(1,MAX(VLOOKUP(($AJ33-$AI33-$AH33-$AG33-$AF33-$AE33*(1+GF$3))/$AJ33,'Технический лист'!$A:$B,2,1),(GE33-0.05)))</f>
        <v>1</v>
      </c>
      <c r="GG33" s="15">
        <f>MIN(1,MAX(VLOOKUP(($AJ33-$AI33-$AH33-$AG33-$AF33-$AE33*(1+GG$3))/$AJ33,'Технический лист'!$A:$B,2,1),(GF33-0.05)))</f>
        <v>1</v>
      </c>
      <c r="GH33" s="15">
        <f>MIN(1,MAX(VLOOKUP(($AJ33-$AI33-$AH33-$AG33-$AF33-$AE33*(1+GH$3))/$AJ33,'Технический лист'!$A:$B,2,1),(GG33-0.05)))</f>
        <v>1</v>
      </c>
      <c r="GI33" s="15">
        <f>MIN(1,MAX(VLOOKUP(($AJ33-$AI33-$AH33-$AG33-$AF33-$AE33*(1+GI$3))/$AJ33,'Технический лист'!$A:$B,2,1),(GH33-0.05)))</f>
        <v>1</v>
      </c>
      <c r="GJ33" s="15">
        <f>MIN(1,MAX(VLOOKUP(($AJ33-$AI33-$AH33-$AG33-$AF33-$AE33*(1+GJ$3))/$AJ33,'Технический лист'!$A:$B,2,1),(GI33-0.05)))</f>
        <v>1</v>
      </c>
      <c r="GK33" s="15">
        <f>MIN(1,MAX(VLOOKUP(($AJ33-$AI33-$AH33-$AG33-$AF33-$AE33*(1+GK$3))/$AJ33,'Технический лист'!$A:$B,2,1),(GJ33-0.05)))</f>
        <v>1</v>
      </c>
      <c r="GL33" s="15">
        <f>MIN(1,MAX(VLOOKUP(($AJ33-$AI33-$AH33-$AG33-$AF33-$AE33*(1+GL$3))/$AJ33,'Технический лист'!$A:$B,2,1),(GK33-0.05)))</f>
        <v>1</v>
      </c>
      <c r="GM33" s="15">
        <f>MIN(1,MAX(VLOOKUP(($AJ33-$AI33-$AH33-$AG33-$AF33-$AE33*(1+GM$3))/$AJ33,'Технический лист'!$A:$B,2,1),(GL33-0.05)))</f>
        <v>1</v>
      </c>
      <c r="GN33" s="15">
        <f>MIN(1,MAX(VLOOKUP(($AJ33-$AI33-$AH33-$AG33-$AF33-$AE33*(1+GN$3))/$AJ33,'Технический лист'!$A:$B,2,1),(GM33-0.05)))</f>
        <v>1</v>
      </c>
      <c r="GO33" s="15">
        <f>MIN(1,MAX(VLOOKUP(($AJ33-$AI33-$AH33-$AG33-$AF33-$AE33*(1+GO$3))/$AJ33,'Технический лист'!$A:$B,2,1),(GN33-0.05)))</f>
        <v>1</v>
      </c>
      <c r="GP33" s="15">
        <f>MIN(1,MAX(VLOOKUP(($AJ33-$AI33-$AH33-$AG33-$AF33-$AE33*(1+GP$3))/$AJ33,'Технический лист'!$A:$B,2,1),(GO33-0.05)))</f>
        <v>1</v>
      </c>
      <c r="GQ33" s="15">
        <f>MIN(1,MAX(VLOOKUP(($AJ33-$AI33-$AH33-$AG33-$AF33-$AE33*(1+GQ$3))/$AJ33,'Технический лист'!$A:$B,2,1),(GP33-0.05)))</f>
        <v>1</v>
      </c>
      <c r="GR33" s="15">
        <f>MIN(1,MAX(VLOOKUP(($AJ33-$AI33-$AH33-$AG33-$AF33-$AE33*(1+GR$3))/$AJ33,'Технический лист'!$A:$B,2,1),(GQ33-0.05)))</f>
        <v>1</v>
      </c>
      <c r="GS33" s="15">
        <f>MIN(1,MAX(VLOOKUP(($AJ33-$AI33-$AH33-$AG33-$AF33-$AE33*(1+GS$3))/$AJ33,'Технический лист'!$A:$B,2,1),(GR33-0.05)))</f>
        <v>1</v>
      </c>
      <c r="GT33" s="15">
        <f>MIN(1,MAX(VLOOKUP(($AJ33-$AI33-$AH33-$AG33-$AF33-$AE33*(1+GT$3))/$AJ33,'Технический лист'!$A:$B,2,1),(GS33-0.05)))</f>
        <v>1</v>
      </c>
      <c r="GU33" s="15">
        <f>MIN(1,MAX(VLOOKUP(($AJ33-$AI33-$AH33-$AG33-$AF33-$AE33*(1+GU$3))/$AJ33,'Технический лист'!$A:$B,2,1),(GT33-0.05)))</f>
        <v>1</v>
      </c>
      <c r="GV33" s="15">
        <f>MIN(1,MAX(VLOOKUP(($AJ33-$AI33-$AH33-$AG33-$AF33-$AE33*(1+GV$3))/$AJ33,'Технический лист'!$A:$B,2,1),(GU33-0.05)))</f>
        <v>1</v>
      </c>
      <c r="GW33" s="15">
        <f>MIN(1,MAX(VLOOKUP(($AJ33-$AI33-$AH33-$AG33-$AF33-$AE33*(1+GW$3))/$AJ33,'Технический лист'!$A:$B,2,1),(GV33-0.05)))</f>
        <v>1</v>
      </c>
      <c r="GX33" s="15">
        <f>MIN(1,MAX(VLOOKUP(($AJ33-$AI33-$AH33-$AG33-$AF33-$AE33*(1+GX$3))/$AJ33,'Технический лист'!$A:$B,2,1),(GW33-0.05)))</f>
        <v>1</v>
      </c>
      <c r="GY33" s="15">
        <f>MIN(1,MAX(VLOOKUP(($AJ33-$AI33-$AH33-$AG33-$AF33-$AE33*(1+GY$3))/$AJ33,'Технический лист'!$A:$B,2,1),(GX33-0.05)))</f>
        <v>1</v>
      </c>
      <c r="GZ33" s="15">
        <f>MIN(1,MAX(VLOOKUP(($AJ33-$AI33-$AH33-$AG33-$AF33-$AE33*(1+GZ$3))/$AJ33,'Технический лист'!$A:$B,2,1),(GY33-0.05)))</f>
        <v>1</v>
      </c>
      <c r="HA33" s="15">
        <f>MIN(1,MAX(VLOOKUP(($AJ33-$AI33-$AH33-$AG33-$AF33-$AE33*(1+HA$3))/$AJ33,'Технический лист'!$A:$B,2,1),(GZ33-0.05)))</f>
        <v>1</v>
      </c>
      <c r="HB33" s="15">
        <f>MIN(1,MAX(VLOOKUP(($AJ33-$AI33-$AH33-$AG33-$AF33-$AE33*(1+HB$3))/$AJ33,'Технический лист'!$A:$B,2,1),(HA33-0.05)))</f>
        <v>1</v>
      </c>
      <c r="HC33" s="15">
        <f>MIN(1,MAX(VLOOKUP(($AJ33-$AI33-$AH33-$AG33-$AF33-$AE33*(1+HC$3))/$AJ33,'Технический лист'!$A:$B,2,1),(HB33-0.05)))</f>
        <v>1</v>
      </c>
      <c r="HD33" s="15">
        <f>MIN(1,MAX(VLOOKUP(($AJ33-$AI33-$AH33-$AG33-$AF33-$AE33*(1+HD$3))/$AJ33,'Технический лист'!$A:$B,2,1),(HC33-0.05)))</f>
        <v>1</v>
      </c>
      <c r="HE33" s="15">
        <f>MIN(1,MAX(VLOOKUP(($AJ33-$AI33-$AH33-$AG33-$AF33-$AE33*(1+HE$3))/$AJ33,'Технический лист'!$A:$B,2,1),(HD33-0.05)))</f>
        <v>1</v>
      </c>
      <c r="HF33" s="15">
        <f>MIN(1,MAX(VLOOKUP(($AJ33-$AI33-$AH33-$AG33-$AF33-$AE33*(1+HF$3))/$AJ33,'Технический лист'!$A:$B,2,1),(HE33-0.05)))</f>
        <v>1</v>
      </c>
      <c r="HG33" s="15">
        <f>MIN(1,MAX(VLOOKUP(($AJ33-$AI33-$AH33-$AG33-$AF33-$AE33*(1+HG$3))/$AJ33,'Технический лист'!$A:$B,2,1),(HF33-0.05)))</f>
        <v>1</v>
      </c>
      <c r="HH33" s="15">
        <f>MIN(1,MAX(VLOOKUP(($AJ33-$AI33-$AH33-$AG33-$AF33-$AE33*(1+HH$3))/$AJ33,'Технический лист'!$A:$B,2,1),(HG33-0.05)))</f>
        <v>1</v>
      </c>
      <c r="HI33" s="15">
        <f>MIN(1,MAX(VLOOKUP(($AJ33-$AI33-$AH33-$AG33-$AF33-$AE33*(1+HI$3))/$AJ33,'Технический лист'!$A:$B,2,1),(HH33-0.05)))</f>
        <v>1</v>
      </c>
      <c r="HJ33" s="15">
        <f>MIN(1,MAX(VLOOKUP(($AJ33-$AI33-$AH33-$AG33-$AF33-$AE33*(1+HJ$3))/$AJ33,'Технический лист'!$A:$B,2,1),(HI33-0.05)))</f>
        <v>1</v>
      </c>
      <c r="HK33" s="15">
        <f>MIN(1,MAX(VLOOKUP(($AJ33-$AI33-$AH33-$AG33-$AF33-$AE33*(1+HK$3))/$AJ33,'Технический лист'!$A:$B,2,1),(HJ33-0.05)))</f>
        <v>1</v>
      </c>
      <c r="HL33" s="15">
        <f>MIN(1,MAX(VLOOKUP(($AJ33-$AI33-$AH33-$AG33-$AF33-$AE33*(1+HL$3))/$AJ33,'Технический лист'!$A:$B,2,1),(HK33-0.05)))</f>
        <v>1</v>
      </c>
      <c r="HM33" s="15">
        <f>MIN(1,MAX(VLOOKUP(($AJ33-$AI33-$AH33-$AG33-$AF33-$AE33*(1+HM$3))/$AJ33,'Технический лист'!$A:$B,2,1),(HL33-0.05)))</f>
        <v>1</v>
      </c>
      <c r="HN33" s="15">
        <f>MIN(1,MAX(VLOOKUP(($AJ33-$AI33-$AH33-$AG33-$AF33-$AE33*(1+HN$3))/$AJ33,'Технический лист'!$A:$B,2,1),(HM33-0.05)))</f>
        <v>1</v>
      </c>
      <c r="HO33" s="15">
        <f>MIN(1,MAX(VLOOKUP(($AJ33-$AI33-$AH33-$AG33-$AF33-$AE33*(1+HO$3))/$AJ33,'Технический лист'!$A:$B,2,1),(HN33-0.05)))</f>
        <v>1</v>
      </c>
      <c r="HP33" s="15">
        <f>MIN(1,MAX(VLOOKUP(($AJ33-$AI33-$AH33-$AG33-$AF33-$AE33*(1+HP$3))/$AJ33,'Технический лист'!$A:$B,2,1),(HO33-0.05)))</f>
        <v>1</v>
      </c>
      <c r="HQ33" s="15">
        <f>MIN(1,MAX(VLOOKUP(($AJ33-$AI33-$AH33-$AG33-$AF33-$AE33*(1+HQ$3))/$AJ33,'Технический лист'!$A:$B,2,1),(HP33-0.05)))</f>
        <v>1</v>
      </c>
      <c r="HR33" s="15">
        <f>MIN(1,MAX(VLOOKUP(($AJ33-$AI33-$AH33-$AG33-$AF33-$AE33*(1+HR$3))/$AJ33,'Технический лист'!$A:$B,2,1),(HQ33-0.05)))</f>
        <v>1</v>
      </c>
      <c r="HS33" s="15">
        <f>MIN(1,MAX(VLOOKUP(($AJ33-$AI33-$AH33-$AG33-$AF33-$AE33*(1+HS$3))/$AJ33,'Технический лист'!$A:$B,2,1),(HR33-0.05)))</f>
        <v>1</v>
      </c>
      <c r="HT33" s="15">
        <f>MIN(1,MAX(VLOOKUP(($AJ33-$AI33-$AH33-$AG33-$AF33-$AE33*(1+HT$3))/$AJ33,'Технический лист'!$A:$B,2,1),(HS33-0.05)))</f>
        <v>1</v>
      </c>
      <c r="HU33" s="15">
        <f>MIN(1,MAX(VLOOKUP(($AJ33-$AI33-$AH33-$AG33-$AF33-$AE33*(1+HU$3))/$AJ33,'Технический лист'!$A:$B,2,1),(HT33-0.05)))</f>
        <v>1</v>
      </c>
      <c r="HV33" s="15">
        <f>MIN(1,MAX(VLOOKUP(($AJ33-$AI33-$AH33-$AG33-$AF33-$AE33*(1+HV$3))/$AJ33,'Технический лист'!$A:$B,2,1),(HU33-0.05)))</f>
        <v>1</v>
      </c>
      <c r="HW33" s="15">
        <f>MIN(1,MAX(VLOOKUP(($AJ33-$AI33-$AH33-$AG33-$AF33-$AE33*(1+HW$3))/$AJ33,'Технический лист'!$A:$B,2,1),(HV33-0.05)))</f>
        <v>1</v>
      </c>
      <c r="HX33" s="15">
        <f>MIN(1,MAX(VLOOKUP(($AJ33-$AI33-$AH33-$AG33-$AF33-$AE33*(1+HX$3))/$AJ33,'Технический лист'!$A:$B,2,1),(HW33-0.05)))</f>
        <v>1</v>
      </c>
      <c r="HY33" s="15">
        <f>MIN(1,MAX(VLOOKUP(($AJ33-$AI33-$AH33-$AG33-$AF33-$AE33*(1+HY$3))/$AJ33,'Технический лист'!$A:$B,2,1),(HX33-0.05)))</f>
        <v>1</v>
      </c>
      <c r="HZ33" s="15">
        <f>MIN(1,MAX(VLOOKUP(($AJ33-$AI33-$AH33-$AG33-$AF33-$AE33*(1+HZ$3))/$AJ33,'Технический лист'!$A:$B,2,1),(HY33-0.05)))</f>
        <v>1</v>
      </c>
      <c r="IA33" s="15">
        <f>MIN(1,MAX(VLOOKUP(($AJ33-$AI33-$AH33-$AG33-$AF33-$AE33*(1+IA$3))/$AJ33,'Технический лист'!$A:$B,2,1),(HZ33-0.05)))</f>
        <v>1</v>
      </c>
      <c r="IB33" s="15">
        <f>MIN(1,MAX(VLOOKUP(($AJ33-$AI33-$AH33-$AG33-$AF33-$AE33*(1+IB$3))/$AJ33,'Технический лист'!$A:$B,2,1),(IA33-0.05)))</f>
        <v>1</v>
      </c>
      <c r="IC33" s="15">
        <f>MIN(1,MAX(VLOOKUP(($AJ33-$AI33-$AH33-$AG33-$AF33-$AE33*(1+IC$3))/$AJ33,'Технический лист'!$A:$B,2,1),(IB33-0.05)))</f>
        <v>1</v>
      </c>
      <c r="ID33" s="15">
        <f>MIN(1,MAX(VLOOKUP(($AJ33-$AI33-$AH33-$AG33-$AF33-$AE33*(1+ID$3))/$AJ33,'Технический лист'!$A:$B,2,1),(IC33-0.05)))</f>
        <v>1</v>
      </c>
      <c r="IE33" s="15">
        <f>MIN(1,MAX(VLOOKUP(($AJ33-$AI33-$AH33-$AG33-$AF33-$AE33*(1+IE$3))/$AJ33,'Технический лист'!$A:$B,2,1),(ID33-0.05)))</f>
        <v>1</v>
      </c>
      <c r="IF33" s="15">
        <f>MIN(1,MAX(VLOOKUP(($AJ33-$AI33-$AH33-$AG33-$AF33-$AE33*(1+IF$3))/$AJ33,'Технический лист'!$A:$B,2,1),(IE33-0.05)))</f>
        <v>1</v>
      </c>
      <c r="IG33" s="15">
        <f>MIN(1,MAX(VLOOKUP(($AJ33-$AI33-$AH33-$AG33-$AF33-$AE33*(1+IG$3))/$AJ33,'Технический лист'!$A:$B,2,1),(IF33-0.05)))</f>
        <v>1</v>
      </c>
      <c r="IH33" s="15">
        <f>MIN(1,MAX(VLOOKUP(($AJ33-$AI33-$AH33-$AG33-$AF33-$AE33*(1+IH$3))/$AJ33,'Технический лист'!$A:$B,2,1),(IG33-0.05)))</f>
        <v>1</v>
      </c>
      <c r="II33" s="15">
        <f>MIN(1,MAX(VLOOKUP(($AJ33-$AI33-$AH33-$AG33-$AF33-$AE33*(1+II$3))/$AJ33,'Технический лист'!$A:$B,2,1),(IH33-0.05)))</f>
        <v>1</v>
      </c>
      <c r="IJ33" s="15">
        <f>MIN(1,MAX(VLOOKUP(($AJ33-$AI33-$AH33-$AG33-$AF33-$AE33*(1+IJ$3))/$AJ33,'Технический лист'!$A:$B,2,1),(II33-0.05)))</f>
        <v>1</v>
      </c>
      <c r="IK33" s="15">
        <f>MIN(1,MAX(VLOOKUP(($AJ33-$AI33-$AH33-$AG33-$AF33-$AE33*(1+IK$3))/$AJ33,'Технический лист'!$A:$B,2,1),(IJ33-0.05)))</f>
        <v>1</v>
      </c>
      <c r="IL33" s="15">
        <f>MIN(1,MAX(VLOOKUP(($AJ33-$AI33-$AH33-$AG33-$AF33-$AE33*(1+IL$3))/$AJ33,'Технический лист'!$A:$B,2,1),(IK33-0.05)))</f>
        <v>1</v>
      </c>
      <c r="IM33" s="15">
        <f>MIN(1,MAX(VLOOKUP(($AJ33-$AI33-$AH33-$AG33-$AF33-$AE33*(1+IM$3))/$AJ33,'Технический лист'!$A:$B,2,1),(IL33-0.05)))</f>
        <v>1</v>
      </c>
      <c r="IN33" s="15">
        <f>MIN(1,MAX(VLOOKUP(($AJ33-$AI33-$AH33-$AG33-$AF33-$AE33*(1+IN$3))/$AJ33,'Технический лист'!$A:$B,2,1),(IM33-0.05)))</f>
        <v>1</v>
      </c>
      <c r="IO33" s="15">
        <f>MIN(1,MAX(VLOOKUP(($AJ33-$AI33-$AH33-$AG33-$AF33-$AE33*(1+IO$3))/$AJ33,'Технический лист'!$A:$B,2,1),(IN33-0.05)))</f>
        <v>1</v>
      </c>
      <c r="IP33" s="15">
        <f>MIN(1,MAX(VLOOKUP(($AJ33-$AI33-$AH33-$AG33-$AF33-$AE33*(1+IP$3))/$AJ33,'Технический лист'!$A:$B,2,1),(IO33-0.05)))</f>
        <v>1</v>
      </c>
      <c r="IQ33" s="15">
        <f>MIN(1,MAX(VLOOKUP(($AJ33-$AI33-$AH33-$AG33-$AF33-$AE33*(1+IQ$3))/$AJ33,'Технический лист'!$A:$B,2,1),(IP33-0.05)))</f>
        <v>1</v>
      </c>
      <c r="IR33" s="15">
        <f>MIN(1,MAX(VLOOKUP(($AJ33-$AI33-$AH33-$AG33-$AF33-$AE33*(1+IR$3))/$AJ33,'Технический лист'!$A:$B,2,1),(IQ33-0.05)))</f>
        <v>1</v>
      </c>
    </row>
    <row r="34" spans="1:252" ht="45" customHeight="1">
      <c r="A34" s="89" t="s">
        <v>514</v>
      </c>
      <c r="B34" s="90">
        <v>2</v>
      </c>
      <c r="C34" s="5" t="s">
        <v>65</v>
      </c>
      <c r="D34" s="91">
        <v>17110</v>
      </c>
      <c r="E34" s="91" t="s">
        <v>322</v>
      </c>
      <c r="F34" s="92" t="s">
        <v>69</v>
      </c>
      <c r="G34" s="91" t="s">
        <v>22</v>
      </c>
      <c r="H34" s="91" t="s">
        <v>26</v>
      </c>
      <c r="I34" s="91" t="s">
        <v>29</v>
      </c>
      <c r="J34" s="91" t="s">
        <v>107</v>
      </c>
      <c r="K34" s="91">
        <v>907</v>
      </c>
      <c r="L34" s="85" t="s">
        <v>64</v>
      </c>
      <c r="M34" s="91" t="s">
        <v>190</v>
      </c>
      <c r="N34" s="91" t="s">
        <v>191</v>
      </c>
      <c r="O34" s="91" t="s">
        <v>193</v>
      </c>
      <c r="P34" s="89" t="s">
        <v>210</v>
      </c>
      <c r="Q34" s="91" t="s">
        <v>309</v>
      </c>
      <c r="R34" s="91" t="s">
        <v>258</v>
      </c>
      <c r="S34" s="82">
        <v>23116</v>
      </c>
      <c r="T34" s="82">
        <v>20966560</v>
      </c>
      <c r="U34" s="81">
        <v>452</v>
      </c>
      <c r="V34" s="81">
        <v>0</v>
      </c>
      <c r="W34" s="82">
        <v>22649349</v>
      </c>
      <c r="X34" s="112">
        <v>53</v>
      </c>
      <c r="Y34" s="112" t="s">
        <v>417</v>
      </c>
      <c r="Z34" s="113">
        <v>6</v>
      </c>
      <c r="AA34" s="113">
        <v>6</v>
      </c>
      <c r="AB34" s="113">
        <v>4</v>
      </c>
      <c r="AC34" s="99">
        <v>1023.58</v>
      </c>
      <c r="AD34" s="99">
        <f t="shared" si="1"/>
        <v>350.90999999999997</v>
      </c>
      <c r="AE34" s="99">
        <v>1374.49</v>
      </c>
      <c r="AF34" s="98">
        <f>(Z34+AA34+AB34)*'Ставки аренды'!$B$3/X34</f>
        <v>211.32075471698113</v>
      </c>
      <c r="AG34" s="114">
        <v>0</v>
      </c>
      <c r="AH34" s="94">
        <v>0</v>
      </c>
      <c r="AI34" s="116">
        <f>507353/712157*AVERAGE(AJ33,AJ34)</f>
        <v>11681.948389674257</v>
      </c>
      <c r="AJ34" s="117">
        <f>Цены!$D$9</f>
        <v>17000</v>
      </c>
      <c r="AK34" s="94">
        <f>AJ34/Цены!$B$1</f>
        <v>222.7886587467483</v>
      </c>
      <c r="AL34" s="95">
        <f t="shared" si="5"/>
        <v>1585.8107547169811</v>
      </c>
      <c r="AM34" s="95">
        <f t="shared" si="6"/>
        <v>15414.189245283018</v>
      </c>
      <c r="AN34" s="94">
        <f t="shared" si="2"/>
        <v>13267.759144391237</v>
      </c>
      <c r="AO34" s="118">
        <f t="shared" si="3"/>
        <v>0.21954357974169195</v>
      </c>
      <c r="AP34" s="96">
        <f t="shared" si="7"/>
        <v>9.3282985571587124E-2</v>
      </c>
      <c r="AQ34" s="96">
        <f t="shared" si="8"/>
        <v>8.0852352941176472E-2</v>
      </c>
      <c r="AR34" s="96">
        <f t="shared" si="9"/>
        <v>0.86674276606561707</v>
      </c>
      <c r="AS34" s="122">
        <v>1</v>
      </c>
      <c r="AT34" s="121">
        <f t="shared" si="10"/>
        <v>23116</v>
      </c>
      <c r="AU34" s="83">
        <v>0.95</v>
      </c>
      <c r="AV34" s="119">
        <f t="shared" si="11"/>
        <v>0.20984129738875065</v>
      </c>
      <c r="AW34" s="120">
        <f t="shared" si="12"/>
        <v>0.10298526792452831</v>
      </c>
      <c r="AX34" s="120">
        <f t="shared" si="13"/>
        <v>9.0554635294117655E-2</v>
      </c>
      <c r="AY34" s="120">
        <f t="shared" si="14"/>
        <v>0.87929698217107799</v>
      </c>
      <c r="AZ34" s="15">
        <f>MIN(IF($AU34=100%,1,1+VLOOKUP(($AJ34-$AI34-$AH34-$AG34-$AF34-$AE34*(1+AZ$3))/$AJ34,'Технический лист'!$A:$B,2,1)-VLOOKUP($AO34,'Технический лист'!$A:$B,2,1)),1+(1-$AU34))</f>
        <v>1.0239999999999998</v>
      </c>
      <c r="BA34" s="15">
        <f>MIN(IF($AU34=100%,1,1+VLOOKUP(($AJ34-$AI34-$AH34-$AG34-$AF34-$AE34*(1+BA$3))/$AJ34,'Технический лист'!$A:$B,2,1)-VLOOKUP($AO34,'Технический лист'!$A:$B,2,1)),1+(1-$AU34))</f>
        <v>1.0239999999999998</v>
      </c>
      <c r="BB34" s="15">
        <f>MIN(IF($AU34=100%,1,1+VLOOKUP(($AJ34-$AI34-$AH34-$AG34-$AF34-$AE34*(1+BB$3))/$AJ34,'Технический лист'!$A:$B,2,1)-VLOOKUP($AO34,'Технический лист'!$A:$B,2,1)),1+(1-$AU34))</f>
        <v>1.0239999999999998</v>
      </c>
      <c r="BC34" s="15">
        <f>MIN(IF($AU34=100%,1,1+VLOOKUP(($AJ34-$AI34-$AH34-$AG34-$AF34-$AE34*(1+BC$3))/$AJ34,'Технический лист'!$A:$B,2,1)-VLOOKUP($AO34,'Технический лист'!$A:$B,2,1)),1+(1-$AU34))</f>
        <v>1.0239999999999998</v>
      </c>
      <c r="BD34" s="15">
        <f>MIN(IF($AU34=100%,1,1+VLOOKUP(($AJ34-$AI34-$AH34-$AG34-$AF34-$AE34*(1+BD$3))/$AJ34,'Технический лист'!$A:$B,2,1)-VLOOKUP($AO34,'Технический лист'!$A:$B,2,1)),1+(1-$AU34))</f>
        <v>1.0239999999999998</v>
      </c>
      <c r="BE34" s="15">
        <f>MIN(IF($AU34=100%,1,1+VLOOKUP(($AJ34-$AI34-$AH34-$AG34-$AF34-$AE34*(1+BE$3))/$AJ34,'Технический лист'!$A:$B,2,1)-VLOOKUP($AO34,'Технический лист'!$A:$B,2,1)),1+(1-$AU34))</f>
        <v>1.0239999999999998</v>
      </c>
      <c r="BF34" s="15">
        <f>MIN(IF($AU34=100%,1,1+VLOOKUP(($AJ34-$AI34-$AH34-$AG34-$AF34-$AE34*(1+BF$3))/$AJ34,'Технический лист'!$A:$B,2,1)-VLOOKUP($AO34,'Технический лист'!$A:$B,2,1)),1+(1-$AU34))</f>
        <v>1.0239999999999998</v>
      </c>
      <c r="BG34" s="15">
        <f>MIN(IF($AU34=100%,1,1+VLOOKUP(($AJ34-$AI34-$AH34-$AG34-$AF34-$AE34*(1+BG$3))/$AJ34,'Технический лист'!$A:$B,2,1)-VLOOKUP($AO34,'Технический лист'!$A:$B,2,1)),1+(1-$AU34))</f>
        <v>1.0239999999999998</v>
      </c>
      <c r="BH34" s="15">
        <f>MIN(IF($AU34=100%,1,1+VLOOKUP(($AJ34-$AI34-$AH34-$AG34-$AF34-$AE34*(1+BH$3))/$AJ34,'Технический лист'!$A:$B,2,1)-VLOOKUP($AO34,'Технический лист'!$A:$B,2,1)),1+(1-$AU34))</f>
        <v>1.0239999999999998</v>
      </c>
      <c r="BI34" s="15">
        <f>MIN(IF($AU34=100%,1,1+VLOOKUP(($AJ34-$AI34-$AH34-$AG34-$AF34-$AE34*(1+BI$3))/$AJ34,'Технический лист'!$A:$B,2,1)-VLOOKUP($AO34,'Технический лист'!$A:$B,2,1)),1+(1-$AU34))</f>
        <v>1.0239999999999998</v>
      </c>
      <c r="BJ34" s="15">
        <f>MIN(IF($AU34=100%,1,1+VLOOKUP(($AJ34-$AI34-$AH34-$AG34-$AF34-$AE34*(1+BJ$3))/$AJ34,'Технический лист'!$A:$B,2,1)-VLOOKUP($AO34,'Технический лист'!$A:$B,2,1)),1+(1-$AU34))</f>
        <v>1.0239999999999998</v>
      </c>
      <c r="BK34" s="15">
        <f>MIN(IF($AU34=100%,1,1+VLOOKUP(($AJ34-$AI34-$AH34-$AG34-$AF34-$AE34*(1+BK$3))/$AJ34,'Технический лист'!$A:$B,2,1)-VLOOKUP($AO34,'Технический лист'!$A:$B,2,1)),1+(1-$AU34))</f>
        <v>1.0239999999999998</v>
      </c>
      <c r="BL34" s="15">
        <f>MIN(IF($AU34=100%,1,1+VLOOKUP(($AJ34-$AI34-$AH34-$AG34-$AF34-$AE34*(1+BL$3))/$AJ34,'Технический лист'!$A:$B,2,1)-VLOOKUP($AO34,'Технический лист'!$A:$B,2,1)),1+(1-$AU34))</f>
        <v>1.0239999999999998</v>
      </c>
      <c r="BM34" s="15">
        <f>MIN(IF($AU34=100%,1,1+VLOOKUP(($AJ34-$AI34-$AH34-$AG34-$AF34-$AE34*(1+BM$3))/$AJ34,'Технический лист'!$A:$B,2,1)-VLOOKUP($AO34,'Технический лист'!$A:$B,2,1)),1+(1-$AU34))</f>
        <v>1.0239999999999998</v>
      </c>
      <c r="BN34" s="15">
        <f>MIN(IF($AU34=100%,1,1+VLOOKUP(($AJ34-$AI34-$AH34-$AG34-$AF34-$AE34*(1+BN$3))/$AJ34,'Технический лист'!$A:$B,2,1)-VLOOKUP($AO34,'Технический лист'!$A:$B,2,1)),1+(1-$AU34))</f>
        <v>1.0239999999999998</v>
      </c>
      <c r="BO34" s="15">
        <f>MIN(IF($AU34=100%,1,1+VLOOKUP(($AJ34-$AI34-$AH34-$AG34-$AF34-$AE34*(1+BO$3))/$AJ34,'Технический лист'!$A:$B,2,1)-VLOOKUP($AO34,'Технический лист'!$A:$B,2,1)),1+(1-$AU34))</f>
        <v>1.0239999999999998</v>
      </c>
      <c r="BP34" s="15">
        <f>MIN(IF($AU34=100%,1,1+VLOOKUP(($AJ34-$AI34-$AH34-$AG34-$AF34-$AE34*(1+BP$3))/$AJ34,'Технический лист'!$A:$B,2,1)-VLOOKUP($AO34,'Технический лист'!$A:$B,2,1)),1+(1-$AU34))</f>
        <v>1.0239999999999998</v>
      </c>
      <c r="BQ34" s="15">
        <f>MIN(IF($AU34=100%,1,1+VLOOKUP(($AJ34-$AI34-$AH34-$AG34-$AF34-$AE34*(1+BQ$3))/$AJ34,'Технический лист'!$A:$B,2,1)-VLOOKUP($AO34,'Технический лист'!$A:$B,2,1)),1+(1-$AU34))</f>
        <v>1.0239999999999998</v>
      </c>
      <c r="BR34" s="15">
        <f>MIN(IF($AU34=100%,1,1+VLOOKUP(($AJ34-$AI34-$AH34-$AG34-$AF34-$AE34*(1+BR$3))/$AJ34,'Технический лист'!$A:$B,2,1)-VLOOKUP($AO34,'Технический лист'!$A:$B,2,1)),1+(1-$AU34))</f>
        <v>1.0239999999999998</v>
      </c>
      <c r="BS34" s="15">
        <f>MIN(IF($AU34=100%,1,1+VLOOKUP(($AJ34-$AI34-$AH34-$AG34-$AF34-$AE34*(1+BS$3))/$AJ34,'Технический лист'!$A:$B,2,1)-VLOOKUP($AO34,'Технический лист'!$A:$B,2,1)),1+(1-$AU34))</f>
        <v>1.0239999999999998</v>
      </c>
      <c r="BT34" s="15">
        <f>MIN(IF($AU34=100%,1,1+VLOOKUP(($AJ34-$AI34-$AH34-$AG34-$AF34-$AE34*(1+BT$3))/$AJ34,'Технический лист'!$A:$B,2,1)-VLOOKUP($AO34,'Технический лист'!$A:$B,2,1)),1+(1-$AU34))</f>
        <v>1.0239999999999998</v>
      </c>
      <c r="BU34" s="15">
        <f>MIN(IF($AU34=100%,1,1+VLOOKUP(($AJ34-$AI34-$AH34-$AG34-$AF34-$AE34*(1+BU$3))/$AJ34,'Технический лист'!$A:$B,2,1)-VLOOKUP($AO34,'Технический лист'!$A:$B,2,1)),1+(1-$AU34))</f>
        <v>1.0239999999999998</v>
      </c>
      <c r="BV34" s="15">
        <f>MIN(IF($AU34=100%,1,1+VLOOKUP(($AJ34-$AI34-$AH34-$AG34-$AF34-$AE34*(1+BV$3))/$AJ34,'Технический лист'!$A:$B,2,1)-VLOOKUP($AO34,'Технический лист'!$A:$B,2,1)),1+(1-$AU34))</f>
        <v>1.0239999999999998</v>
      </c>
      <c r="BW34" s="15">
        <f>MIN(IF($AU34=100%,1,1+VLOOKUP(($AJ34-$AI34-$AH34-$AG34-$AF34-$AE34*(1+BW$3))/$AJ34,'Технический лист'!$A:$B,2,1)-VLOOKUP($AO34,'Технический лист'!$A:$B,2,1)),1+(1-$AU34))</f>
        <v>1.0239999999999998</v>
      </c>
      <c r="BX34" s="15">
        <f>MIN(IF($AU34=100%,1,1+VLOOKUP(($AJ34-$AI34-$AH34-$AG34-$AF34-$AE34*(1+BX$3))/$AJ34,'Технический лист'!$A:$B,2,1)-VLOOKUP($AO34,'Технический лист'!$A:$B,2,1)),1+(1-$AU34))</f>
        <v>1.0239999999999998</v>
      </c>
      <c r="BY34" s="15">
        <f>MIN(IF($AU34=100%,1,1+VLOOKUP(($AJ34-$AI34-$AH34-$AG34-$AF34-$AE34*(1+BY$3))/$AJ34,'Технический лист'!$A:$B,2,1)-VLOOKUP($AO34,'Технический лист'!$A:$B,2,1)),1+(1-$AU34))</f>
        <v>1.018</v>
      </c>
      <c r="BZ34" s="15">
        <f>MIN(IF($AU34=100%,1,1+VLOOKUP(($AJ34-$AI34-$AH34-$AG34-$AF34-$AE34*(1+BZ$3))/$AJ34,'Технический лист'!$A:$B,2,1)-VLOOKUP($AO34,'Технический лист'!$A:$B,2,1)),1+(1-$AU34))</f>
        <v>1.018</v>
      </c>
      <c r="CA34" s="15">
        <f>MIN(IF($AU34=100%,1,1+VLOOKUP(($AJ34-$AI34-$AH34-$AG34-$AF34-$AE34*(1+CA$3))/$AJ34,'Технический лист'!$A:$B,2,1)-VLOOKUP($AO34,'Технический лист'!$A:$B,2,1)),1+(1-$AU34))</f>
        <v>1.018</v>
      </c>
      <c r="CB34" s="15">
        <f>MIN(IF($AU34=100%,1,1+VLOOKUP(($AJ34-$AI34-$AH34-$AG34-$AF34-$AE34*(1+CB$3))/$AJ34,'Технический лист'!$A:$B,2,1)-VLOOKUP($AO34,'Технический лист'!$A:$B,2,1)),1+(1-$AU34))</f>
        <v>1.018</v>
      </c>
      <c r="CC34" s="15">
        <f>MIN(IF($AU34=100%,1,1+VLOOKUP(($AJ34-$AI34-$AH34-$AG34-$AF34-$AE34*(1+CC$3))/$AJ34,'Технический лист'!$A:$B,2,1)-VLOOKUP($AO34,'Технический лист'!$A:$B,2,1)),1+(1-$AU34))</f>
        <v>1.018</v>
      </c>
      <c r="CD34" s="15">
        <f>MIN(IF($AU34=100%,1,1+VLOOKUP(($AJ34-$AI34-$AH34-$AG34-$AF34-$AE34*(1+CD$3))/$AJ34,'Технический лист'!$A:$B,2,1)-VLOOKUP($AO34,'Технический лист'!$A:$B,2,1)),1+(1-$AU34))</f>
        <v>1.018</v>
      </c>
      <c r="CE34" s="15">
        <f>MIN(IF($AU34=100%,1,1+VLOOKUP(($AJ34-$AI34-$AH34-$AG34-$AF34-$AE34*(1+CE$3))/$AJ34,'Технический лист'!$A:$B,2,1)-VLOOKUP($AO34,'Технический лист'!$A:$B,2,1)),1+(1-$AU34))</f>
        <v>1.018</v>
      </c>
      <c r="CF34" s="15">
        <f>MIN(IF($AU34=100%,1,1+VLOOKUP(($AJ34-$AI34-$AH34-$AG34-$AF34-$AE34*(1+CF$3))/$AJ34,'Технический лист'!$A:$B,2,1)-VLOOKUP($AO34,'Технический лист'!$A:$B,2,1)),1+(1-$AU34))</f>
        <v>1.018</v>
      </c>
      <c r="CG34" s="15">
        <f>MIN(IF($AU34=100%,1,1+VLOOKUP(($AJ34-$AI34-$AH34-$AG34-$AF34-$AE34*(1+CG$3))/$AJ34,'Технический лист'!$A:$B,2,1)-VLOOKUP($AO34,'Технический лист'!$A:$B,2,1)),1+(1-$AU34))</f>
        <v>1.018</v>
      </c>
      <c r="CH34" s="15">
        <f>MIN(IF($AU34=100%,1,1+VLOOKUP(($AJ34-$AI34-$AH34-$AG34-$AF34-$AE34*(1+CH$3))/$AJ34,'Технический лист'!$A:$B,2,1)-VLOOKUP($AO34,'Технический лист'!$A:$B,2,1)),1+(1-$AU34))</f>
        <v>1.018</v>
      </c>
      <c r="CI34" s="15">
        <f>MIN(IF($AU34=100%,1,1+VLOOKUP(($AJ34-$AI34-$AH34-$AG34-$AF34-$AE34*(1+CI$3))/$AJ34,'Технический лист'!$A:$B,2,1)-VLOOKUP($AO34,'Технический лист'!$A:$B,2,1)),1+(1-$AU34))</f>
        <v>1.018</v>
      </c>
      <c r="CJ34" s="15">
        <f>MIN(IF($AU34=100%,1,1+VLOOKUP(($AJ34-$AI34-$AH34-$AG34-$AF34-$AE34*(1+CJ$3))/$AJ34,'Технический лист'!$A:$B,2,1)-VLOOKUP($AO34,'Технический лист'!$A:$B,2,1)),1+(1-$AU34))</f>
        <v>1.018</v>
      </c>
      <c r="CK34" s="15">
        <f>MIN(IF($AU34=100%,1,1+VLOOKUP(($AJ34-$AI34-$AH34-$AG34-$AF34-$AE34*(1+CK$3))/$AJ34,'Технический лист'!$A:$B,2,1)-VLOOKUP($AO34,'Технический лист'!$A:$B,2,1)),1+(1-$AU34))</f>
        <v>1.018</v>
      </c>
      <c r="CL34" s="15">
        <f>MIN(IF($AU34=100%,1,1+VLOOKUP(($AJ34-$AI34-$AH34-$AG34-$AF34-$AE34*(1+CL$3))/$AJ34,'Технический лист'!$A:$B,2,1)-VLOOKUP($AO34,'Технический лист'!$A:$B,2,1)),1+(1-$AU34))</f>
        <v>1.018</v>
      </c>
      <c r="CM34" s="15">
        <f>MIN(IF($AU34=100%,1,1+VLOOKUP(($AJ34-$AI34-$AH34-$AG34-$AF34-$AE34*(1+CM$3))/$AJ34,'Технический лист'!$A:$B,2,1)-VLOOKUP($AO34,'Технический лист'!$A:$B,2,1)),1+(1-$AU34))</f>
        <v>1.018</v>
      </c>
      <c r="CN34" s="15">
        <f>MIN(IF($AU34=100%,1,1+VLOOKUP(($AJ34-$AI34-$AH34-$AG34-$AF34-$AE34*(1+CN$3))/$AJ34,'Технический лист'!$A:$B,2,1)-VLOOKUP($AO34,'Технический лист'!$A:$B,2,1)),1+(1-$AU34))</f>
        <v>1.018</v>
      </c>
      <c r="CO34" s="15">
        <f>MIN(IF($AU34=100%,1,1+VLOOKUP(($AJ34-$AI34-$AH34-$AG34-$AF34-$AE34*(1+CO$3))/$AJ34,'Технический лист'!$A:$B,2,1)-VLOOKUP($AO34,'Технический лист'!$A:$B,2,1)),1+(1-$AU34))</f>
        <v>1.018</v>
      </c>
      <c r="CP34" s="15">
        <f>MIN(IF($AU34=100%,1,1+VLOOKUP(($AJ34-$AI34-$AH34-$AG34-$AF34-$AE34*(1+CP$3))/$AJ34,'Технический лист'!$A:$B,2,1)-VLOOKUP($AO34,'Технический лист'!$A:$B,2,1)),1+(1-$AU34))</f>
        <v>1.018</v>
      </c>
      <c r="CQ34" s="15">
        <f>MIN(IF($AU34=100%,1,1+VLOOKUP(($AJ34-$AI34-$AH34-$AG34-$AF34-$AE34*(1+CQ$3))/$AJ34,'Технический лист'!$A:$B,2,1)-VLOOKUP($AO34,'Технический лист'!$A:$B,2,1)),1+(1-$AU34))</f>
        <v>1.018</v>
      </c>
      <c r="CR34" s="15">
        <f>MIN(IF($AU34=100%,1,1+VLOOKUP(($AJ34-$AI34-$AH34-$AG34-$AF34-$AE34*(1+CR$3))/$AJ34,'Технический лист'!$A:$B,2,1)-VLOOKUP($AO34,'Технический лист'!$A:$B,2,1)),1+(1-$AU34))</f>
        <v>1.018</v>
      </c>
      <c r="CS34" s="15">
        <f>MIN(IF($AU34=100%,1,1+VLOOKUP(($AJ34-$AI34-$AH34-$AG34-$AF34-$AE34*(1+CS$3))/$AJ34,'Технический лист'!$A:$B,2,1)-VLOOKUP($AO34,'Технический лист'!$A:$B,2,1)),1+(1-$AU34))</f>
        <v>1.018</v>
      </c>
      <c r="CT34" s="15">
        <f>MIN(IF($AU34=100%,1,1+VLOOKUP(($AJ34-$AI34-$AH34-$AG34-$AF34-$AE34*(1+CT$3))/$AJ34,'Технический лист'!$A:$B,2,1)-VLOOKUP($AO34,'Технический лист'!$A:$B,2,1)),1+(1-$AU34))</f>
        <v>1.018</v>
      </c>
      <c r="CU34" s="15">
        <f>MIN(IF($AU34=100%,1,1+VLOOKUP(($AJ34-$AI34-$AH34-$AG34-$AF34-$AE34*(1+CU$3))/$AJ34,'Технический лист'!$A:$B,2,1)-VLOOKUP($AO34,'Технический лист'!$A:$B,2,1)),1+(1-$AU34))</f>
        <v>1.018</v>
      </c>
      <c r="CV34" s="15">
        <f>MIN(IF($AU34=100%,1,1+VLOOKUP(($AJ34-$AI34-$AH34-$AG34-$AF34-$AE34*(1+CV$3))/$AJ34,'Технический лист'!$A:$B,2,1)-VLOOKUP($AO34,'Технический лист'!$A:$B,2,1)),1+(1-$AU34))</f>
        <v>1.018</v>
      </c>
      <c r="CW34" s="15">
        <f>MIN(IF($AU34=100%,1,1+VLOOKUP(($AJ34-$AI34-$AH34-$AG34-$AF34-$AE34*(1+CW$3))/$AJ34,'Технический лист'!$A:$B,2,1)-VLOOKUP($AO34,'Технический лист'!$A:$B,2,1)),1+(1-$AU34))</f>
        <v>1.018</v>
      </c>
      <c r="CX34" s="15">
        <f>MIN(IF($AU34=100%,1,1+VLOOKUP(($AJ34-$AI34-$AH34-$AG34-$AF34-$AE34*(1+CX$3))/$AJ34,'Технический лист'!$A:$B,2,1)-VLOOKUP($AO34,'Технический лист'!$A:$B,2,1)),1+(1-$AU34))</f>
        <v>1.0120000000000002</v>
      </c>
      <c r="CY34" s="15">
        <f>MIN(IF($AU34=100%,1,1+VLOOKUP(($AJ34-$AI34-$AH34-$AG34-$AF34-$AE34*(1+CY$3))/$AJ34,'Технический лист'!$A:$B,2,1)-VLOOKUP($AO34,'Технический лист'!$A:$B,2,1)),1+(1-$AU34))</f>
        <v>1.0120000000000002</v>
      </c>
      <c r="CZ34" s="15">
        <f>MIN(IF($AU34=100%,1,1+VLOOKUP(($AJ34-$AI34-$AH34-$AG34-$AF34-$AE34*(1+CZ$3))/$AJ34,'Технический лист'!$A:$B,2,1)-VLOOKUP($AO34,'Технический лист'!$A:$B,2,1)),1+(1-$AU34))</f>
        <v>1.0120000000000002</v>
      </c>
      <c r="DA34" s="15">
        <f>MIN(IF($AU34=100%,1,1+VLOOKUP(($AJ34-$AI34-$AH34-$AG34-$AF34-$AE34*(1+DA$3))/$AJ34,'Технический лист'!$A:$B,2,1)-VLOOKUP($AO34,'Технический лист'!$A:$B,2,1)),1+(1-$AU34))</f>
        <v>1.0120000000000002</v>
      </c>
      <c r="DB34" s="15">
        <f>MIN(IF($AU34=100%,1,1+VLOOKUP(($AJ34-$AI34-$AH34-$AG34-$AF34-$AE34*(1+DB$3))/$AJ34,'Технический лист'!$A:$B,2,1)-VLOOKUP($AO34,'Технический лист'!$A:$B,2,1)),1+(1-$AU34))</f>
        <v>1.0120000000000002</v>
      </c>
      <c r="DC34" s="15">
        <f>MIN(IF($AU34=100%,1,1+VLOOKUP(($AJ34-$AI34-$AH34-$AG34-$AF34-$AE34*(1+DC$3))/$AJ34,'Технический лист'!$A:$B,2,1)-VLOOKUP($AO34,'Технический лист'!$A:$B,2,1)),1+(1-$AU34))</f>
        <v>1.0120000000000002</v>
      </c>
      <c r="DD34" s="15">
        <f>MIN(IF($AU34=100%,1,1+VLOOKUP(($AJ34-$AI34-$AH34-$AG34-$AF34-$AE34*(1+DD$3))/$AJ34,'Технический лист'!$A:$B,2,1)-VLOOKUP($AO34,'Технический лист'!$A:$B,2,1)),1+(1-$AU34))</f>
        <v>1.0120000000000002</v>
      </c>
      <c r="DE34" s="15">
        <f>MIN(IF($AU34=100%,1,1+VLOOKUP(($AJ34-$AI34-$AH34-$AG34-$AF34-$AE34*(1+DE$3))/$AJ34,'Технический лист'!$A:$B,2,1)-VLOOKUP($AO34,'Технический лист'!$A:$B,2,1)),1+(1-$AU34))</f>
        <v>1.0120000000000002</v>
      </c>
      <c r="DF34" s="15">
        <f>MIN(IF($AU34=100%,1,1+VLOOKUP(($AJ34-$AI34-$AH34-$AG34-$AF34-$AE34*(1+DF$3))/$AJ34,'Технический лист'!$A:$B,2,1)-VLOOKUP($AO34,'Технический лист'!$A:$B,2,1)),1+(1-$AU34))</f>
        <v>1.0120000000000002</v>
      </c>
      <c r="DG34" s="15">
        <f>MIN(IF($AU34=100%,1,1+VLOOKUP(($AJ34-$AI34-$AH34-$AG34-$AF34-$AE34*(1+DG$3))/$AJ34,'Технический лист'!$A:$B,2,1)-VLOOKUP($AO34,'Технический лист'!$A:$B,2,1)),1+(1-$AU34))</f>
        <v>1.0120000000000002</v>
      </c>
      <c r="DH34" s="15">
        <f>MIN(IF($AU34=100%,1,1+VLOOKUP(($AJ34-$AI34-$AH34-$AG34-$AF34-$AE34*(1+DH$3))/$AJ34,'Технический лист'!$A:$B,2,1)-VLOOKUP($AO34,'Технический лист'!$A:$B,2,1)),1+(1-$AU34))</f>
        <v>1.0120000000000002</v>
      </c>
      <c r="DI34" s="15">
        <f>MIN(IF($AU34=100%,1,1+VLOOKUP(($AJ34-$AI34-$AH34-$AG34-$AF34-$AE34*(1+DI$3))/$AJ34,'Технический лист'!$A:$B,2,1)-VLOOKUP($AO34,'Технический лист'!$A:$B,2,1)),1+(1-$AU34))</f>
        <v>1.0120000000000002</v>
      </c>
      <c r="DJ34" s="15">
        <f>MIN(IF($AU34=100%,1,1+VLOOKUP(($AJ34-$AI34-$AH34-$AG34-$AF34-$AE34*(1+DJ$3))/$AJ34,'Технический лист'!$A:$B,2,1)-VLOOKUP($AO34,'Технический лист'!$A:$B,2,1)),1+(1-$AU34))</f>
        <v>1.0120000000000002</v>
      </c>
      <c r="DK34" s="15">
        <f>MIN(IF($AU34=100%,1,1+VLOOKUP(($AJ34-$AI34-$AH34-$AG34-$AF34-$AE34*(1+DK$3))/$AJ34,'Технический лист'!$A:$B,2,1)-VLOOKUP($AO34,'Технический лист'!$A:$B,2,1)),1+(1-$AU34))</f>
        <v>1.0120000000000002</v>
      </c>
      <c r="DL34" s="15">
        <f>MIN(IF($AU34=100%,1,1+VLOOKUP(($AJ34-$AI34-$AH34-$AG34-$AF34-$AE34*(1+DL$3))/$AJ34,'Технический лист'!$A:$B,2,1)-VLOOKUP($AO34,'Технический лист'!$A:$B,2,1)),1+(1-$AU34))</f>
        <v>1.0120000000000002</v>
      </c>
      <c r="DM34" s="15">
        <f>MIN(IF($AU34=100%,1,1+VLOOKUP(($AJ34-$AI34-$AH34-$AG34-$AF34-$AE34*(1+DM$3))/$AJ34,'Технический лист'!$A:$B,2,1)-VLOOKUP($AO34,'Технический лист'!$A:$B,2,1)),1+(1-$AU34))</f>
        <v>1.0120000000000002</v>
      </c>
      <c r="DN34" s="15">
        <f>MIN(IF($AU34=100%,1,1+VLOOKUP(($AJ34-$AI34-$AH34-$AG34-$AF34-$AE34*(1+DN$3))/$AJ34,'Технический лист'!$A:$B,2,1)-VLOOKUP($AO34,'Технический лист'!$A:$B,2,1)),1+(1-$AU34))</f>
        <v>1.0120000000000002</v>
      </c>
      <c r="DO34" s="15">
        <f>MIN(IF($AU34=100%,1,1+VLOOKUP(($AJ34-$AI34-$AH34-$AG34-$AF34-$AE34*(1+DO$3))/$AJ34,'Технический лист'!$A:$B,2,1)-VLOOKUP($AO34,'Технический лист'!$A:$B,2,1)),1+(1-$AU34))</f>
        <v>1.0120000000000002</v>
      </c>
      <c r="DP34" s="15">
        <f>MIN(IF($AU34=100%,1,1+VLOOKUP(($AJ34-$AI34-$AH34-$AG34-$AF34-$AE34*(1+DP$3))/$AJ34,'Технический лист'!$A:$B,2,1)-VLOOKUP($AO34,'Технический лист'!$A:$B,2,1)),1+(1-$AU34))</f>
        <v>1.0120000000000002</v>
      </c>
      <c r="DQ34" s="15">
        <f>MIN(IF($AU34=100%,1,1+VLOOKUP(($AJ34-$AI34-$AH34-$AG34-$AF34-$AE34*(1+DQ$3))/$AJ34,'Технический лист'!$A:$B,2,1)-VLOOKUP($AO34,'Технический лист'!$A:$B,2,1)),1+(1-$AU34))</f>
        <v>1.0120000000000002</v>
      </c>
      <c r="DR34" s="15">
        <f>MIN(IF($AU34=100%,1,1+VLOOKUP(($AJ34-$AI34-$AH34-$AG34-$AF34-$AE34*(1+DR$3))/$AJ34,'Технический лист'!$A:$B,2,1)-VLOOKUP($AO34,'Технический лист'!$A:$B,2,1)),1+(1-$AU34))</f>
        <v>1.0120000000000002</v>
      </c>
      <c r="DS34" s="15">
        <f>MIN(IF($AU34=100%,1,1+VLOOKUP(($AJ34-$AI34-$AH34-$AG34-$AF34-$AE34*(1+DS$3))/$AJ34,'Технический лист'!$A:$B,2,1)-VLOOKUP($AO34,'Технический лист'!$A:$B,2,1)),1+(1-$AU34))</f>
        <v>1.0120000000000002</v>
      </c>
      <c r="DT34" s="15">
        <f>MIN(IF($AU34=100%,1,1+VLOOKUP(($AJ34-$AI34-$AH34-$AG34-$AF34-$AE34*(1+DT$3))/$AJ34,'Технический лист'!$A:$B,2,1)-VLOOKUP($AO34,'Технический лист'!$A:$B,2,1)),1+(1-$AU34))</f>
        <v>1.0120000000000002</v>
      </c>
      <c r="DU34" s="15">
        <f>MIN(IF($AU34=100%,1,1+VLOOKUP(($AJ34-$AI34-$AH34-$AG34-$AF34-$AE34*(1+DU$3))/$AJ34,'Технический лист'!$A:$B,2,1)-VLOOKUP($AO34,'Технический лист'!$A:$B,2,1)),1+(1-$AU34))</f>
        <v>1.0120000000000002</v>
      </c>
      <c r="DV34" s="15">
        <f>MIN(IF($AU34=100%,1,1+VLOOKUP(($AJ34-$AI34-$AH34-$AG34-$AF34-$AE34*(1+DV$3))/$AJ34,'Технический лист'!$A:$B,2,1)-VLOOKUP($AO34,'Технический лист'!$A:$B,2,1)),1+(1-$AU34))</f>
        <v>1.0120000000000002</v>
      </c>
      <c r="DW34" s="15">
        <f>MIN(IF($AU34=100%,1,1+VLOOKUP(($AJ34-$AI34-$AH34-$AG34-$AF34-$AE34*(1+DW$3))/$AJ34,'Технический лист'!$A:$B,2,1)-VLOOKUP($AO34,'Технический лист'!$A:$B,2,1)),1+(1-$AU34))</f>
        <v>1.006</v>
      </c>
      <c r="DX34" s="15">
        <f>MIN(IF($AU34=100%,1,1+VLOOKUP(($AJ34-$AI34-$AH34-$AG34-$AF34-$AE34*(1+DX$3))/$AJ34,'Технический лист'!$A:$B,2,1)-VLOOKUP($AO34,'Технический лист'!$A:$B,2,1)),1+(1-$AU34))</f>
        <v>1.006</v>
      </c>
      <c r="DY34" s="15">
        <f>MIN(IF($AU34=100%,1,1+VLOOKUP(($AJ34-$AI34-$AH34-$AG34-$AF34-$AE34*(1+DY$3))/$AJ34,'Технический лист'!$A:$B,2,1)-VLOOKUP($AO34,'Технический лист'!$A:$B,2,1)),1+(1-$AU34))</f>
        <v>1.006</v>
      </c>
      <c r="DZ34" s="15">
        <f>MIN(IF($AU34=100%,1,1+VLOOKUP(($AJ34-$AI34-$AH34-$AG34-$AF34-$AE34*(1+DZ$3))/$AJ34,'Технический лист'!$A:$B,2,1)-VLOOKUP($AO34,'Технический лист'!$A:$B,2,1)),1+(1-$AU34))</f>
        <v>1.006</v>
      </c>
      <c r="EA34" s="15">
        <f>MIN(IF($AU34=100%,1,1+VLOOKUP(($AJ34-$AI34-$AH34-$AG34-$AF34-$AE34*(1+EA$3))/$AJ34,'Технический лист'!$A:$B,2,1)-VLOOKUP($AO34,'Технический лист'!$A:$B,2,1)),1+(1-$AU34))</f>
        <v>1.006</v>
      </c>
      <c r="EB34" s="15">
        <f>MIN(IF($AU34=100%,1,1+VLOOKUP(($AJ34-$AI34-$AH34-$AG34-$AF34-$AE34*(1+EB$3))/$AJ34,'Технический лист'!$A:$B,2,1)-VLOOKUP($AO34,'Технический лист'!$A:$B,2,1)),1+(1-$AU34))</f>
        <v>1.006</v>
      </c>
      <c r="EC34" s="15">
        <f>MIN(IF($AU34=100%,1,1+VLOOKUP(($AJ34-$AI34-$AH34-$AG34-$AF34-$AE34*(1+EC$3))/$AJ34,'Технический лист'!$A:$B,2,1)-VLOOKUP($AO34,'Технический лист'!$A:$B,2,1)),1+(1-$AU34))</f>
        <v>1.006</v>
      </c>
      <c r="ED34" s="15">
        <f>MIN(IF($AU34=100%,1,1+VLOOKUP(($AJ34-$AI34-$AH34-$AG34-$AF34-$AE34*(1+ED$3))/$AJ34,'Технический лист'!$A:$B,2,1)-VLOOKUP($AO34,'Технический лист'!$A:$B,2,1)),1+(1-$AU34))</f>
        <v>1.006</v>
      </c>
      <c r="EE34" s="15">
        <f>MIN(IF($AU34=100%,1,1+VLOOKUP(($AJ34-$AI34-$AH34-$AG34-$AF34-$AE34*(1+EE$3))/$AJ34,'Технический лист'!$A:$B,2,1)-VLOOKUP($AO34,'Технический лист'!$A:$B,2,1)),1+(1-$AU34))</f>
        <v>1.006</v>
      </c>
      <c r="EF34" s="15">
        <f>MIN(IF($AU34=100%,1,1+VLOOKUP(($AJ34-$AI34-$AH34-$AG34-$AF34-$AE34*(1+EF$3))/$AJ34,'Технический лист'!$A:$B,2,1)-VLOOKUP($AO34,'Технический лист'!$A:$B,2,1)),1+(1-$AU34))</f>
        <v>1.006</v>
      </c>
      <c r="EG34" s="15">
        <f>MIN(IF($AU34=100%,1,1+VLOOKUP(($AJ34-$AI34-$AH34-$AG34-$AF34-$AE34*(1+EG$3))/$AJ34,'Технический лист'!$A:$B,2,1)-VLOOKUP($AO34,'Технический лист'!$A:$B,2,1)),1+(1-$AU34))</f>
        <v>1.006</v>
      </c>
      <c r="EH34" s="15">
        <f>MIN(IF($AU34=100%,1,1+VLOOKUP(($AJ34-$AI34-$AH34-$AG34-$AF34-$AE34*(1+EH$3))/$AJ34,'Технический лист'!$A:$B,2,1)-VLOOKUP($AO34,'Технический лист'!$A:$B,2,1)),1+(1-$AU34))</f>
        <v>1.006</v>
      </c>
      <c r="EI34" s="15">
        <f>MIN(IF($AU34=100%,1,1+VLOOKUP(($AJ34-$AI34-$AH34-$AG34-$AF34-$AE34*(1+EI$3))/$AJ34,'Технический лист'!$A:$B,2,1)-VLOOKUP($AO34,'Технический лист'!$A:$B,2,1)),1+(1-$AU34))</f>
        <v>1.006</v>
      </c>
      <c r="EJ34" s="15">
        <f>MIN(IF($AU34=100%,1,1+VLOOKUP(($AJ34-$AI34-$AH34-$AG34-$AF34-$AE34*(1+EJ$3))/$AJ34,'Технический лист'!$A:$B,2,1)-VLOOKUP($AO34,'Технический лист'!$A:$B,2,1)),1+(1-$AU34))</f>
        <v>1.006</v>
      </c>
      <c r="EK34" s="15">
        <f>MIN(IF($AU34=100%,1,1+VLOOKUP(($AJ34-$AI34-$AH34-$AG34-$AF34-$AE34*(1+EK$3))/$AJ34,'Технический лист'!$A:$B,2,1)-VLOOKUP($AO34,'Технический лист'!$A:$B,2,1)),1+(1-$AU34))</f>
        <v>1.006</v>
      </c>
      <c r="EL34" s="15">
        <f>MIN(IF($AU34=100%,1,1+VLOOKUP(($AJ34-$AI34-$AH34-$AG34-$AF34-$AE34*(1+EL$3))/$AJ34,'Технический лист'!$A:$B,2,1)-VLOOKUP($AO34,'Технический лист'!$A:$B,2,1)),1+(1-$AU34))</f>
        <v>1.006</v>
      </c>
      <c r="EM34" s="15">
        <f>MIN(IF($AU34=100%,1,1+VLOOKUP(($AJ34-$AI34-$AH34-$AG34-$AF34-$AE34*(1+EM$3))/$AJ34,'Технический лист'!$A:$B,2,1)-VLOOKUP($AO34,'Технический лист'!$A:$B,2,1)),1+(1-$AU34))</f>
        <v>1.006</v>
      </c>
      <c r="EN34" s="15">
        <f>MIN(IF($AU34=100%,1,1+VLOOKUP(($AJ34-$AI34-$AH34-$AG34-$AF34-$AE34*(1+EN$3))/$AJ34,'Технический лист'!$A:$B,2,1)-VLOOKUP($AO34,'Технический лист'!$A:$B,2,1)),1+(1-$AU34))</f>
        <v>1.006</v>
      </c>
      <c r="EO34" s="15">
        <f>MIN(IF($AU34=100%,1,1+VLOOKUP(($AJ34-$AI34-$AH34-$AG34-$AF34-$AE34*(1+EO$3))/$AJ34,'Технический лист'!$A:$B,2,1)-VLOOKUP($AO34,'Технический лист'!$A:$B,2,1)),1+(1-$AU34))</f>
        <v>1.006</v>
      </c>
      <c r="EP34" s="15">
        <f>MIN(IF($AU34=100%,1,1+VLOOKUP(($AJ34-$AI34-$AH34-$AG34-$AF34-$AE34*(1+EP$3))/$AJ34,'Технический лист'!$A:$B,2,1)-VLOOKUP($AO34,'Технический лист'!$A:$B,2,1)),1+(1-$AU34))</f>
        <v>1.006</v>
      </c>
      <c r="EQ34" s="15">
        <f>MIN(IF($AU34=100%,1,1+VLOOKUP(($AJ34-$AI34-$AH34-$AG34-$AF34-$AE34*(1+EQ$3))/$AJ34,'Технический лист'!$A:$B,2,1)-VLOOKUP($AO34,'Технический лист'!$A:$B,2,1)),1+(1-$AU34))</f>
        <v>1.006</v>
      </c>
      <c r="ER34" s="15">
        <f>MIN(IF($AU34=100%,1,1+VLOOKUP(($AJ34-$AI34-$AH34-$AG34-$AF34-$AE34*(1+ER$3))/$AJ34,'Технический лист'!$A:$B,2,1)-VLOOKUP($AO34,'Технический лист'!$A:$B,2,1)),1+(1-$AU34))</f>
        <v>1.006</v>
      </c>
      <c r="ES34" s="15">
        <f>MIN(IF($AU34=100%,1,1+VLOOKUP(($AJ34-$AI34-$AH34-$AG34-$AF34-$AE34*(1+ES$3))/$AJ34,'Технический лист'!$A:$B,2,1)-VLOOKUP($AO34,'Технический лист'!$A:$B,2,1)),1+(1-$AU34))</f>
        <v>1.006</v>
      </c>
      <c r="ET34" s="15">
        <f>MIN(IF($AU34=100%,1,1+VLOOKUP(($AJ34-$AI34-$AH34-$AG34-$AF34-$AE34*(1+ET$3))/$AJ34,'Технический лист'!$A:$B,2,1)-VLOOKUP($AO34,'Технический лист'!$A:$B,2,1)),1+(1-$AU34))</f>
        <v>1.006</v>
      </c>
      <c r="EU34" s="15">
        <f>MIN(IF($AU34=100%,1,1+VLOOKUP(($AJ34-$AI34-$AH34-$AG34-$AF34-$AE34*(1+EU$3))/$AJ34,'Технический лист'!$A:$B,2,1)-VLOOKUP($AO34,'Технический лист'!$A:$B,2,1)),1+(1-$AU34))</f>
        <v>0.99999999999999978</v>
      </c>
      <c r="EV34" s="111">
        <v>1</v>
      </c>
      <c r="EW34" s="15">
        <f>MIN(1,MAX(VLOOKUP(($AJ34-$AI34-$AH34-$AG34-$AF34-$AE34*(1+EW$3))/$AJ34,'Технический лист'!$A:$B,2,1),(EV34-0.05)))</f>
        <v>1</v>
      </c>
      <c r="EX34" s="15">
        <f>MIN(1,MAX(VLOOKUP(($AJ34-$AI34-$AH34-$AG34-$AF34-$AE34*(1+EX$3))/$AJ34,'Технический лист'!$A:$B,2,1),(EW34-0.05)))</f>
        <v>1</v>
      </c>
      <c r="EY34" s="15">
        <f>MIN(1,MAX(VLOOKUP(($AJ34-$AI34-$AH34-$AG34-$AF34-$AE34*(1+EY$3))/$AJ34,'Технический лист'!$A:$B,2,1),(EX34-0.05)))</f>
        <v>1</v>
      </c>
      <c r="EZ34" s="15">
        <f>MIN(1,MAX(VLOOKUP(($AJ34-$AI34-$AH34-$AG34-$AF34-$AE34*(1+EZ$3))/$AJ34,'Технический лист'!$A:$B,2,1),(EY34-0.05)))</f>
        <v>1</v>
      </c>
      <c r="FA34" s="15">
        <f>MIN(1,MAX(VLOOKUP(($AJ34-$AI34-$AH34-$AG34-$AF34-$AE34*(1+FA$3))/$AJ34,'Технический лист'!$A:$B,2,1),(EZ34-0.05)))</f>
        <v>1</v>
      </c>
      <c r="FB34" s="15">
        <f>MIN(1,MAX(VLOOKUP(($AJ34-$AI34-$AH34-$AG34-$AF34-$AE34*(1+FB$3))/$AJ34,'Технический лист'!$A:$B,2,1),(FA34-0.05)))</f>
        <v>1</v>
      </c>
      <c r="FC34" s="15">
        <f>MIN(1,MAX(VLOOKUP(($AJ34-$AI34-$AH34-$AG34-$AF34-$AE34*(1+FC$3))/$AJ34,'Технический лист'!$A:$B,2,1),(FB34-0.05)))</f>
        <v>1</v>
      </c>
      <c r="FD34" s="15">
        <f>MIN(1,MAX(VLOOKUP(($AJ34-$AI34-$AH34-$AG34-$AF34-$AE34*(1+FD$3))/$AJ34,'Технический лист'!$A:$B,2,1),(FC34-0.05)))</f>
        <v>1</v>
      </c>
      <c r="FE34" s="15">
        <f>MIN(1,MAX(VLOOKUP(($AJ34-$AI34-$AH34-$AG34-$AF34-$AE34*(1+FE$3))/$AJ34,'Технический лист'!$A:$B,2,1),(FD34-0.05)))</f>
        <v>1</v>
      </c>
      <c r="FF34" s="15">
        <f>MIN(1,MAX(VLOOKUP(($AJ34-$AI34-$AH34-$AG34-$AF34-$AE34*(1+FF$3))/$AJ34,'Технический лист'!$A:$B,2,1),(FE34-0.05)))</f>
        <v>1</v>
      </c>
      <c r="FG34" s="15">
        <f>MIN(1,MAX(VLOOKUP(($AJ34-$AI34-$AH34-$AG34-$AF34-$AE34*(1+FG$3))/$AJ34,'Технический лист'!$A:$B,2,1),(FF34-0.05)))</f>
        <v>1</v>
      </c>
      <c r="FH34" s="15">
        <f>MIN(1,MAX(VLOOKUP(($AJ34-$AI34-$AH34-$AG34-$AF34-$AE34*(1+FH$3))/$AJ34,'Технический лист'!$A:$B,2,1),(FG34-0.05)))</f>
        <v>1</v>
      </c>
      <c r="FI34" s="15">
        <f>MIN(1,MAX(VLOOKUP(($AJ34-$AI34-$AH34-$AG34-$AF34-$AE34*(1+FI$3))/$AJ34,'Технический лист'!$A:$B,2,1),(FH34-0.05)))</f>
        <v>1</v>
      </c>
      <c r="FJ34" s="15">
        <f>MIN(1,MAX(VLOOKUP(($AJ34-$AI34-$AH34-$AG34-$AF34-$AE34*(1+FJ$3))/$AJ34,'Технический лист'!$A:$B,2,1),(FI34-0.05)))</f>
        <v>1</v>
      </c>
      <c r="FK34" s="15">
        <f>MIN(1,MAX(VLOOKUP(($AJ34-$AI34-$AH34-$AG34-$AF34-$AE34*(1+FK$3))/$AJ34,'Технический лист'!$A:$B,2,1),(FJ34-0.05)))</f>
        <v>1</v>
      </c>
      <c r="FL34" s="15">
        <f>MIN(1,MAX(VLOOKUP(($AJ34-$AI34-$AH34-$AG34-$AF34-$AE34*(1+FL$3))/$AJ34,'Технический лист'!$A:$B,2,1),(FK34-0.05)))</f>
        <v>1</v>
      </c>
      <c r="FM34" s="15">
        <f>MIN(1,MAX(VLOOKUP(($AJ34-$AI34-$AH34-$AG34-$AF34-$AE34*(1+FM$3))/$AJ34,'Технический лист'!$A:$B,2,1),(FL34-0.05)))</f>
        <v>1</v>
      </c>
      <c r="FN34" s="15">
        <f>MIN(1,MAX(VLOOKUP(($AJ34-$AI34-$AH34-$AG34-$AF34-$AE34*(1+FN$3))/$AJ34,'Технический лист'!$A:$B,2,1),(FM34-0.05)))</f>
        <v>1</v>
      </c>
      <c r="FO34" s="15">
        <f>MIN(1,MAX(VLOOKUP(($AJ34-$AI34-$AH34-$AG34-$AF34-$AE34*(1+FO$3))/$AJ34,'Технический лист'!$A:$B,2,1),(FN34-0.05)))</f>
        <v>1</v>
      </c>
      <c r="FP34" s="15">
        <f>MIN(1,MAX(VLOOKUP(($AJ34-$AI34-$AH34-$AG34-$AF34-$AE34*(1+FP$3))/$AJ34,'Технический лист'!$A:$B,2,1),(FO34-0.05)))</f>
        <v>1</v>
      </c>
      <c r="FQ34" s="15">
        <f>MIN(1,MAX(VLOOKUP(($AJ34-$AI34-$AH34-$AG34-$AF34-$AE34*(1+FQ$3))/$AJ34,'Технический лист'!$A:$B,2,1),(FP34-0.05)))</f>
        <v>1</v>
      </c>
      <c r="FR34" s="15">
        <f>MIN(1,MAX(VLOOKUP(($AJ34-$AI34-$AH34-$AG34-$AF34-$AE34*(1+FR$3))/$AJ34,'Технический лист'!$A:$B,2,1),(FQ34-0.05)))</f>
        <v>1</v>
      </c>
      <c r="FS34" s="15">
        <f>MIN(1,MAX(VLOOKUP(($AJ34-$AI34-$AH34-$AG34-$AF34-$AE34*(1+FS$3))/$AJ34,'Технический лист'!$A:$B,2,1),(FR34-0.05)))</f>
        <v>1</v>
      </c>
      <c r="FT34" s="15">
        <f>MIN(1,MAX(VLOOKUP(($AJ34-$AI34-$AH34-$AG34-$AF34-$AE34*(1+FT$3))/$AJ34,'Технический лист'!$A:$B,2,1),(FS34-0.05)))</f>
        <v>1</v>
      </c>
      <c r="FU34" s="15">
        <f>MIN(1,MAX(VLOOKUP(($AJ34-$AI34-$AH34-$AG34-$AF34-$AE34*(1+FU$3))/$AJ34,'Технический лист'!$A:$B,2,1),(FT34-0.05)))</f>
        <v>1</v>
      </c>
      <c r="FV34" s="15">
        <f>MIN(1,MAX(VLOOKUP(($AJ34-$AI34-$AH34-$AG34-$AF34-$AE34*(1+FV$3))/$AJ34,'Технический лист'!$A:$B,2,1),(FU34-0.05)))</f>
        <v>1</v>
      </c>
      <c r="FW34" s="15">
        <f>MIN(1,MAX(VLOOKUP(($AJ34-$AI34-$AH34-$AG34-$AF34-$AE34*(1+FW$3))/$AJ34,'Технический лист'!$A:$B,2,1),(FV34-0.05)))</f>
        <v>1</v>
      </c>
      <c r="FX34" s="15">
        <f>MIN(1,MAX(VLOOKUP(($AJ34-$AI34-$AH34-$AG34-$AF34-$AE34*(1+FX$3))/$AJ34,'Технический лист'!$A:$B,2,1),(FW34-0.05)))</f>
        <v>1</v>
      </c>
      <c r="FY34" s="15">
        <f>MIN(1,MAX(VLOOKUP(($AJ34-$AI34-$AH34-$AG34-$AF34-$AE34*(1+FY$3))/$AJ34,'Технический лист'!$A:$B,2,1),(FX34-0.05)))</f>
        <v>1</v>
      </c>
      <c r="FZ34" s="15">
        <f>MIN(1,MAX(VLOOKUP(($AJ34-$AI34-$AH34-$AG34-$AF34-$AE34*(1+FZ$3))/$AJ34,'Технический лист'!$A:$B,2,1),(FY34-0.05)))</f>
        <v>1</v>
      </c>
      <c r="GA34" s="15">
        <f>MIN(1,MAX(VLOOKUP(($AJ34-$AI34-$AH34-$AG34-$AF34-$AE34*(1+GA$3))/$AJ34,'Технический лист'!$A:$B,2,1),(FZ34-0.05)))</f>
        <v>1</v>
      </c>
      <c r="GB34" s="15">
        <f>MIN(1,MAX(VLOOKUP(($AJ34-$AI34-$AH34-$AG34-$AF34-$AE34*(1+GB$3))/$AJ34,'Технический лист'!$A:$B,2,1),(GA34-0.05)))</f>
        <v>1</v>
      </c>
      <c r="GC34" s="15">
        <f>MIN(1,MAX(VLOOKUP(($AJ34-$AI34-$AH34-$AG34-$AF34-$AE34*(1+GC$3))/$AJ34,'Технический лист'!$A:$B,2,1),(GB34-0.05)))</f>
        <v>1</v>
      </c>
      <c r="GD34" s="15">
        <f>MIN(1,MAX(VLOOKUP(($AJ34-$AI34-$AH34-$AG34-$AF34-$AE34*(1+GD$3))/$AJ34,'Технический лист'!$A:$B,2,1),(GC34-0.05)))</f>
        <v>1</v>
      </c>
      <c r="GE34" s="15">
        <f>MIN(1,MAX(VLOOKUP(($AJ34-$AI34-$AH34-$AG34-$AF34-$AE34*(1+GE$3))/$AJ34,'Технический лист'!$A:$B,2,1),(GD34-0.05)))</f>
        <v>1</v>
      </c>
      <c r="GF34" s="15">
        <f>MIN(1,MAX(VLOOKUP(($AJ34-$AI34-$AH34-$AG34-$AF34-$AE34*(1+GF$3))/$AJ34,'Технический лист'!$A:$B,2,1),(GE34-0.05)))</f>
        <v>1</v>
      </c>
      <c r="GG34" s="15">
        <f>MIN(1,MAX(VLOOKUP(($AJ34-$AI34-$AH34-$AG34-$AF34-$AE34*(1+GG$3))/$AJ34,'Технический лист'!$A:$B,2,1),(GF34-0.05)))</f>
        <v>1</v>
      </c>
      <c r="GH34" s="15">
        <f>MIN(1,MAX(VLOOKUP(($AJ34-$AI34-$AH34-$AG34-$AF34-$AE34*(1+GH$3))/$AJ34,'Технический лист'!$A:$B,2,1),(GG34-0.05)))</f>
        <v>1</v>
      </c>
      <c r="GI34" s="15">
        <f>MIN(1,MAX(VLOOKUP(($AJ34-$AI34-$AH34-$AG34-$AF34-$AE34*(1+GI$3))/$AJ34,'Технический лист'!$A:$B,2,1),(GH34-0.05)))</f>
        <v>1</v>
      </c>
      <c r="GJ34" s="15">
        <f>MIN(1,MAX(VLOOKUP(($AJ34-$AI34-$AH34-$AG34-$AF34-$AE34*(1+GJ$3))/$AJ34,'Технический лист'!$A:$B,2,1),(GI34-0.05)))</f>
        <v>1</v>
      </c>
      <c r="GK34" s="15">
        <f>MIN(1,MAX(VLOOKUP(($AJ34-$AI34-$AH34-$AG34-$AF34-$AE34*(1+GK$3))/$AJ34,'Технический лист'!$A:$B,2,1),(GJ34-0.05)))</f>
        <v>1</v>
      </c>
      <c r="GL34" s="15">
        <f>MIN(1,MAX(VLOOKUP(($AJ34-$AI34-$AH34-$AG34-$AF34-$AE34*(1+GL$3))/$AJ34,'Технический лист'!$A:$B,2,1),(GK34-0.05)))</f>
        <v>1</v>
      </c>
      <c r="GM34" s="15">
        <f>MIN(1,MAX(VLOOKUP(($AJ34-$AI34-$AH34-$AG34-$AF34-$AE34*(1+GM$3))/$AJ34,'Технический лист'!$A:$B,2,1),(GL34-0.05)))</f>
        <v>1</v>
      </c>
      <c r="GN34" s="15">
        <f>MIN(1,MAX(VLOOKUP(($AJ34-$AI34-$AH34-$AG34-$AF34-$AE34*(1+GN$3))/$AJ34,'Технический лист'!$A:$B,2,1),(GM34-0.05)))</f>
        <v>1</v>
      </c>
      <c r="GO34" s="15">
        <f>MIN(1,MAX(VLOOKUP(($AJ34-$AI34-$AH34-$AG34-$AF34-$AE34*(1+GO$3))/$AJ34,'Технический лист'!$A:$B,2,1),(GN34-0.05)))</f>
        <v>1</v>
      </c>
      <c r="GP34" s="15">
        <f>MIN(1,MAX(VLOOKUP(($AJ34-$AI34-$AH34-$AG34-$AF34-$AE34*(1+GP$3))/$AJ34,'Технический лист'!$A:$B,2,1),(GO34-0.05)))</f>
        <v>1</v>
      </c>
      <c r="GQ34" s="15">
        <f>MIN(1,MAX(VLOOKUP(($AJ34-$AI34-$AH34-$AG34-$AF34-$AE34*(1+GQ$3))/$AJ34,'Технический лист'!$A:$B,2,1),(GP34-0.05)))</f>
        <v>1</v>
      </c>
      <c r="GR34" s="15">
        <f>MIN(1,MAX(VLOOKUP(($AJ34-$AI34-$AH34-$AG34-$AF34-$AE34*(1+GR$3))/$AJ34,'Технический лист'!$A:$B,2,1),(GQ34-0.05)))</f>
        <v>1</v>
      </c>
      <c r="GS34" s="15">
        <f>MIN(1,MAX(VLOOKUP(($AJ34-$AI34-$AH34-$AG34-$AF34-$AE34*(1+GS$3))/$AJ34,'Технический лист'!$A:$B,2,1),(GR34-0.05)))</f>
        <v>1</v>
      </c>
      <c r="GT34" s="15">
        <f>MIN(1,MAX(VLOOKUP(($AJ34-$AI34-$AH34-$AG34-$AF34-$AE34*(1+GT$3))/$AJ34,'Технический лист'!$A:$B,2,1),(GS34-0.05)))</f>
        <v>1</v>
      </c>
      <c r="GU34" s="15">
        <f>MIN(1,MAX(VLOOKUP(($AJ34-$AI34-$AH34-$AG34-$AF34-$AE34*(1+GU$3))/$AJ34,'Технический лист'!$A:$B,2,1),(GT34-0.05)))</f>
        <v>1</v>
      </c>
      <c r="GV34" s="15">
        <f>MIN(1,MAX(VLOOKUP(($AJ34-$AI34-$AH34-$AG34-$AF34-$AE34*(1+GV$3))/$AJ34,'Технический лист'!$A:$B,2,1),(GU34-0.05)))</f>
        <v>1</v>
      </c>
      <c r="GW34" s="15">
        <f>MIN(1,MAX(VLOOKUP(($AJ34-$AI34-$AH34-$AG34-$AF34-$AE34*(1+GW$3))/$AJ34,'Технический лист'!$A:$B,2,1),(GV34-0.05)))</f>
        <v>1</v>
      </c>
      <c r="GX34" s="15">
        <f>MIN(1,MAX(VLOOKUP(($AJ34-$AI34-$AH34-$AG34-$AF34-$AE34*(1+GX$3))/$AJ34,'Технический лист'!$A:$B,2,1),(GW34-0.05)))</f>
        <v>1</v>
      </c>
      <c r="GY34" s="15">
        <f>MIN(1,MAX(VLOOKUP(($AJ34-$AI34-$AH34-$AG34-$AF34-$AE34*(1+GY$3))/$AJ34,'Технический лист'!$A:$B,2,1),(GX34-0.05)))</f>
        <v>1</v>
      </c>
      <c r="GZ34" s="15">
        <f>MIN(1,MAX(VLOOKUP(($AJ34-$AI34-$AH34-$AG34-$AF34-$AE34*(1+GZ$3))/$AJ34,'Технический лист'!$A:$B,2,1),(GY34-0.05)))</f>
        <v>1</v>
      </c>
      <c r="HA34" s="15">
        <f>MIN(1,MAX(VLOOKUP(($AJ34-$AI34-$AH34-$AG34-$AF34-$AE34*(1+HA$3))/$AJ34,'Технический лист'!$A:$B,2,1),(GZ34-0.05)))</f>
        <v>1</v>
      </c>
      <c r="HB34" s="15">
        <f>MIN(1,MAX(VLOOKUP(($AJ34-$AI34-$AH34-$AG34-$AF34-$AE34*(1+HB$3))/$AJ34,'Технический лист'!$A:$B,2,1),(HA34-0.05)))</f>
        <v>1</v>
      </c>
      <c r="HC34" s="15">
        <f>MIN(1,MAX(VLOOKUP(($AJ34-$AI34-$AH34-$AG34-$AF34-$AE34*(1+HC$3))/$AJ34,'Технический лист'!$A:$B,2,1),(HB34-0.05)))</f>
        <v>1</v>
      </c>
      <c r="HD34" s="15">
        <f>MIN(1,MAX(VLOOKUP(($AJ34-$AI34-$AH34-$AG34-$AF34-$AE34*(1+HD$3))/$AJ34,'Технический лист'!$A:$B,2,1),(HC34-0.05)))</f>
        <v>1</v>
      </c>
      <c r="HE34" s="15">
        <f>MIN(1,MAX(VLOOKUP(($AJ34-$AI34-$AH34-$AG34-$AF34-$AE34*(1+HE$3))/$AJ34,'Технический лист'!$A:$B,2,1),(HD34-0.05)))</f>
        <v>1</v>
      </c>
      <c r="HF34" s="15">
        <f>MIN(1,MAX(VLOOKUP(($AJ34-$AI34-$AH34-$AG34-$AF34-$AE34*(1+HF$3))/$AJ34,'Технический лист'!$A:$B,2,1),(HE34-0.05)))</f>
        <v>1</v>
      </c>
      <c r="HG34" s="15">
        <f>MIN(1,MAX(VLOOKUP(($AJ34-$AI34-$AH34-$AG34-$AF34-$AE34*(1+HG$3))/$AJ34,'Технический лист'!$A:$B,2,1),(HF34-0.05)))</f>
        <v>1</v>
      </c>
      <c r="HH34" s="15">
        <f>MIN(1,MAX(VLOOKUP(($AJ34-$AI34-$AH34-$AG34-$AF34-$AE34*(1+HH$3))/$AJ34,'Технический лист'!$A:$B,2,1),(HG34-0.05)))</f>
        <v>1</v>
      </c>
      <c r="HI34" s="15">
        <f>MIN(1,MAX(VLOOKUP(($AJ34-$AI34-$AH34-$AG34-$AF34-$AE34*(1+HI$3))/$AJ34,'Технический лист'!$A:$B,2,1),(HH34-0.05)))</f>
        <v>1</v>
      </c>
      <c r="HJ34" s="15">
        <f>MIN(1,MAX(VLOOKUP(($AJ34-$AI34-$AH34-$AG34-$AF34-$AE34*(1+HJ$3))/$AJ34,'Технический лист'!$A:$B,2,1),(HI34-0.05)))</f>
        <v>1</v>
      </c>
      <c r="HK34" s="15">
        <f>MIN(1,MAX(VLOOKUP(($AJ34-$AI34-$AH34-$AG34-$AF34-$AE34*(1+HK$3))/$AJ34,'Технический лист'!$A:$B,2,1),(HJ34-0.05)))</f>
        <v>1</v>
      </c>
      <c r="HL34" s="15">
        <f>MIN(1,MAX(VLOOKUP(($AJ34-$AI34-$AH34-$AG34-$AF34-$AE34*(1+HL$3))/$AJ34,'Технический лист'!$A:$B,2,1),(HK34-0.05)))</f>
        <v>1</v>
      </c>
      <c r="HM34" s="15">
        <f>MIN(1,MAX(VLOOKUP(($AJ34-$AI34-$AH34-$AG34-$AF34-$AE34*(1+HM$3))/$AJ34,'Технический лист'!$A:$B,2,1),(HL34-0.05)))</f>
        <v>1</v>
      </c>
      <c r="HN34" s="15">
        <f>MIN(1,MAX(VLOOKUP(($AJ34-$AI34-$AH34-$AG34-$AF34-$AE34*(1+HN$3))/$AJ34,'Технический лист'!$A:$B,2,1),(HM34-0.05)))</f>
        <v>1</v>
      </c>
      <c r="HO34" s="15">
        <f>MIN(1,MAX(VLOOKUP(($AJ34-$AI34-$AH34-$AG34-$AF34-$AE34*(1+HO$3))/$AJ34,'Технический лист'!$A:$B,2,1),(HN34-0.05)))</f>
        <v>1</v>
      </c>
      <c r="HP34" s="15">
        <f>MIN(1,MAX(VLOOKUP(($AJ34-$AI34-$AH34-$AG34-$AF34-$AE34*(1+HP$3))/$AJ34,'Технический лист'!$A:$B,2,1),(HO34-0.05)))</f>
        <v>1</v>
      </c>
      <c r="HQ34" s="15">
        <f>MIN(1,MAX(VLOOKUP(($AJ34-$AI34-$AH34-$AG34-$AF34-$AE34*(1+HQ$3))/$AJ34,'Технический лист'!$A:$B,2,1),(HP34-0.05)))</f>
        <v>1</v>
      </c>
      <c r="HR34" s="15">
        <f>MIN(1,MAX(VLOOKUP(($AJ34-$AI34-$AH34-$AG34-$AF34-$AE34*(1+HR$3))/$AJ34,'Технический лист'!$A:$B,2,1),(HQ34-0.05)))</f>
        <v>1</v>
      </c>
      <c r="HS34" s="15">
        <f>MIN(1,MAX(VLOOKUP(($AJ34-$AI34-$AH34-$AG34-$AF34-$AE34*(1+HS$3))/$AJ34,'Технический лист'!$A:$B,2,1),(HR34-0.05)))</f>
        <v>1</v>
      </c>
      <c r="HT34" s="15">
        <f>MIN(1,MAX(VLOOKUP(($AJ34-$AI34-$AH34-$AG34-$AF34-$AE34*(1+HT$3))/$AJ34,'Технический лист'!$A:$B,2,1),(HS34-0.05)))</f>
        <v>1</v>
      </c>
      <c r="HU34" s="15">
        <f>MIN(1,MAX(VLOOKUP(($AJ34-$AI34-$AH34-$AG34-$AF34-$AE34*(1+HU$3))/$AJ34,'Технический лист'!$A:$B,2,1),(HT34-0.05)))</f>
        <v>1</v>
      </c>
      <c r="HV34" s="15">
        <f>MIN(1,MAX(VLOOKUP(($AJ34-$AI34-$AH34-$AG34-$AF34-$AE34*(1+HV$3))/$AJ34,'Технический лист'!$A:$B,2,1),(HU34-0.05)))</f>
        <v>1</v>
      </c>
      <c r="HW34" s="15">
        <f>MIN(1,MAX(VLOOKUP(($AJ34-$AI34-$AH34-$AG34-$AF34-$AE34*(1+HW$3))/$AJ34,'Технический лист'!$A:$B,2,1),(HV34-0.05)))</f>
        <v>1</v>
      </c>
      <c r="HX34" s="15">
        <f>MIN(1,MAX(VLOOKUP(($AJ34-$AI34-$AH34-$AG34-$AF34-$AE34*(1+HX$3))/$AJ34,'Технический лист'!$A:$B,2,1),(HW34-0.05)))</f>
        <v>1</v>
      </c>
      <c r="HY34" s="15">
        <f>MIN(1,MAX(VLOOKUP(($AJ34-$AI34-$AH34-$AG34-$AF34-$AE34*(1+HY$3))/$AJ34,'Технический лист'!$A:$B,2,1),(HX34-0.05)))</f>
        <v>1</v>
      </c>
      <c r="HZ34" s="15">
        <f>MIN(1,MAX(VLOOKUP(($AJ34-$AI34-$AH34-$AG34-$AF34-$AE34*(1+HZ$3))/$AJ34,'Технический лист'!$A:$B,2,1),(HY34-0.05)))</f>
        <v>1</v>
      </c>
      <c r="IA34" s="15">
        <f>MIN(1,MAX(VLOOKUP(($AJ34-$AI34-$AH34-$AG34-$AF34-$AE34*(1+IA$3))/$AJ34,'Технический лист'!$A:$B,2,1),(HZ34-0.05)))</f>
        <v>1</v>
      </c>
      <c r="IB34" s="15">
        <f>MIN(1,MAX(VLOOKUP(($AJ34-$AI34-$AH34-$AG34-$AF34-$AE34*(1+IB$3))/$AJ34,'Технический лист'!$A:$B,2,1),(IA34-0.05)))</f>
        <v>1</v>
      </c>
      <c r="IC34" s="15">
        <f>MIN(1,MAX(VLOOKUP(($AJ34-$AI34-$AH34-$AG34-$AF34-$AE34*(1+IC$3))/$AJ34,'Технический лист'!$A:$B,2,1),(IB34-0.05)))</f>
        <v>1</v>
      </c>
      <c r="ID34" s="15">
        <f>MIN(1,MAX(VLOOKUP(($AJ34-$AI34-$AH34-$AG34-$AF34-$AE34*(1+ID$3))/$AJ34,'Технический лист'!$A:$B,2,1),(IC34-0.05)))</f>
        <v>1</v>
      </c>
      <c r="IE34" s="15">
        <f>MIN(1,MAX(VLOOKUP(($AJ34-$AI34-$AH34-$AG34-$AF34-$AE34*(1+IE$3))/$AJ34,'Технический лист'!$A:$B,2,1),(ID34-0.05)))</f>
        <v>1</v>
      </c>
      <c r="IF34" s="15">
        <f>MIN(1,MAX(VLOOKUP(($AJ34-$AI34-$AH34-$AG34-$AF34-$AE34*(1+IF$3))/$AJ34,'Технический лист'!$A:$B,2,1),(IE34-0.05)))</f>
        <v>1</v>
      </c>
      <c r="IG34" s="15">
        <f>MIN(1,MAX(VLOOKUP(($AJ34-$AI34-$AH34-$AG34-$AF34-$AE34*(1+IG$3))/$AJ34,'Технический лист'!$A:$B,2,1),(IF34-0.05)))</f>
        <v>1</v>
      </c>
      <c r="IH34" s="15">
        <f>MIN(1,MAX(VLOOKUP(($AJ34-$AI34-$AH34-$AG34-$AF34-$AE34*(1+IH$3))/$AJ34,'Технический лист'!$A:$B,2,1),(IG34-0.05)))</f>
        <v>1</v>
      </c>
      <c r="II34" s="15">
        <f>MIN(1,MAX(VLOOKUP(($AJ34-$AI34-$AH34-$AG34-$AF34-$AE34*(1+II$3))/$AJ34,'Технический лист'!$A:$B,2,1),(IH34-0.05)))</f>
        <v>1</v>
      </c>
      <c r="IJ34" s="15">
        <f>MIN(1,MAX(VLOOKUP(($AJ34-$AI34-$AH34-$AG34-$AF34-$AE34*(1+IJ$3))/$AJ34,'Технический лист'!$A:$B,2,1),(II34-0.05)))</f>
        <v>1</v>
      </c>
      <c r="IK34" s="15">
        <f>MIN(1,MAX(VLOOKUP(($AJ34-$AI34-$AH34-$AG34-$AF34-$AE34*(1+IK$3))/$AJ34,'Технический лист'!$A:$B,2,1),(IJ34-0.05)))</f>
        <v>1</v>
      </c>
      <c r="IL34" s="15">
        <f>MIN(1,MAX(VLOOKUP(($AJ34-$AI34-$AH34-$AG34-$AF34-$AE34*(1+IL$3))/$AJ34,'Технический лист'!$A:$B,2,1),(IK34-0.05)))</f>
        <v>1</v>
      </c>
      <c r="IM34" s="15">
        <f>MIN(1,MAX(VLOOKUP(($AJ34-$AI34-$AH34-$AG34-$AF34-$AE34*(1+IM$3))/$AJ34,'Технический лист'!$A:$B,2,1),(IL34-0.05)))</f>
        <v>1</v>
      </c>
      <c r="IN34" s="15">
        <f>MIN(1,MAX(VLOOKUP(($AJ34-$AI34-$AH34-$AG34-$AF34-$AE34*(1+IN$3))/$AJ34,'Технический лист'!$A:$B,2,1),(IM34-0.05)))</f>
        <v>1</v>
      </c>
      <c r="IO34" s="15">
        <f>MIN(1,MAX(VLOOKUP(($AJ34-$AI34-$AH34-$AG34-$AF34-$AE34*(1+IO$3))/$AJ34,'Технический лист'!$A:$B,2,1),(IN34-0.05)))</f>
        <v>1</v>
      </c>
      <c r="IP34" s="15">
        <f>MIN(1,MAX(VLOOKUP(($AJ34-$AI34-$AH34-$AG34-$AF34-$AE34*(1+IP$3))/$AJ34,'Технический лист'!$A:$B,2,1),(IO34-0.05)))</f>
        <v>1</v>
      </c>
      <c r="IQ34" s="15">
        <f>MIN(1,MAX(VLOOKUP(($AJ34-$AI34-$AH34-$AG34-$AF34-$AE34*(1+IQ$3))/$AJ34,'Технический лист'!$A:$B,2,1),(IP34-0.05)))</f>
        <v>1</v>
      </c>
      <c r="IR34" s="15">
        <f>MIN(1,MAX(VLOOKUP(($AJ34-$AI34-$AH34-$AG34-$AF34-$AE34*(1+IR$3))/$AJ34,'Технический лист'!$A:$B,2,1),(IQ34-0.05)))</f>
        <v>1</v>
      </c>
    </row>
    <row r="35" spans="1:252" ht="43.75">
      <c r="A35" s="89" t="s">
        <v>514</v>
      </c>
      <c r="B35" s="90">
        <v>2</v>
      </c>
      <c r="C35" s="5" t="s">
        <v>65</v>
      </c>
      <c r="D35" s="91">
        <v>17110</v>
      </c>
      <c r="E35" s="91" t="s">
        <v>322</v>
      </c>
      <c r="F35" s="92" t="s">
        <v>69</v>
      </c>
      <c r="G35" s="91" t="s">
        <v>22</v>
      </c>
      <c r="H35" s="91" t="s">
        <v>31</v>
      </c>
      <c r="I35" s="91" t="s">
        <v>29</v>
      </c>
      <c r="J35" s="91" t="s">
        <v>57</v>
      </c>
      <c r="K35" s="91">
        <v>2162</v>
      </c>
      <c r="L35" s="85" t="s">
        <v>64</v>
      </c>
      <c r="M35" s="91" t="s">
        <v>17</v>
      </c>
      <c r="N35" s="91" t="s">
        <v>191</v>
      </c>
      <c r="O35" s="91" t="s">
        <v>192</v>
      </c>
      <c r="P35" s="89" t="s">
        <v>209</v>
      </c>
      <c r="Q35" s="91" t="s">
        <v>258</v>
      </c>
      <c r="R35" s="91" t="s">
        <v>258</v>
      </c>
      <c r="S35" s="82">
        <v>34401</v>
      </c>
      <c r="T35" s="82">
        <v>74359846</v>
      </c>
      <c r="U35" s="81">
        <v>656</v>
      </c>
      <c r="V35" s="81">
        <v>0</v>
      </c>
      <c r="W35" s="82">
        <v>59457600</v>
      </c>
      <c r="X35" s="112">
        <v>53</v>
      </c>
      <c r="Y35" s="112" t="s">
        <v>417</v>
      </c>
      <c r="Z35" s="113">
        <v>12</v>
      </c>
      <c r="AA35" s="113">
        <v>7</v>
      </c>
      <c r="AB35" s="113">
        <v>4</v>
      </c>
      <c r="AC35" s="99">
        <v>1902.09</v>
      </c>
      <c r="AD35" s="99">
        <f t="shared" si="1"/>
        <v>713.04000000000019</v>
      </c>
      <c r="AE35" s="99">
        <v>2615.13</v>
      </c>
      <c r="AF35" s="98">
        <f>(Z35+AA35+AB35)*'Ставки аренды'!$B$3/X35</f>
        <v>303.77358490566036</v>
      </c>
      <c r="AG35" s="114">
        <v>0</v>
      </c>
      <c r="AH35" s="94">
        <v>0</v>
      </c>
      <c r="AI35" s="116">
        <f>507353/712157*AVERAGE(AJ33,AJ34)</f>
        <v>11681.948389674257</v>
      </c>
      <c r="AJ35" s="117">
        <f>Цены!$C$8*'Курсы валют'!$B$2</f>
        <v>15795.238499999999</v>
      </c>
      <c r="AK35" s="94">
        <f>AJ35/Цены!$B$1</f>
        <v>207</v>
      </c>
      <c r="AL35" s="95">
        <f t="shared" si="5"/>
        <v>2918.9035849056604</v>
      </c>
      <c r="AM35" s="95">
        <f t="shared" si="6"/>
        <v>12876.33491509434</v>
      </c>
      <c r="AN35" s="94">
        <f t="shared" si="2"/>
        <v>14600.851974579917</v>
      </c>
      <c r="AO35" s="118">
        <f t="shared" si="3"/>
        <v>7.5616871845276837E-2</v>
      </c>
      <c r="AP35" s="96">
        <f t="shared" si="7"/>
        <v>0.1847964236124488</v>
      </c>
      <c r="AQ35" s="96">
        <f t="shared" si="8"/>
        <v>0.16556445159090191</v>
      </c>
      <c r="AR35" s="96">
        <f t="shared" si="9"/>
        <v>0.8959288732671592</v>
      </c>
      <c r="AS35" s="122">
        <v>1</v>
      </c>
      <c r="AT35" s="121">
        <f t="shared" si="10"/>
        <v>34401</v>
      </c>
      <c r="AU35" s="83">
        <v>0.95</v>
      </c>
      <c r="AV35" s="119">
        <f t="shared" si="11"/>
        <v>5.5749137654368501E-2</v>
      </c>
      <c r="AW35" s="120">
        <f t="shared" si="12"/>
        <v>0.20466415780335706</v>
      </c>
      <c r="AX35" s="120">
        <f t="shared" si="13"/>
        <v>0.18543218578181017</v>
      </c>
      <c r="AY35" s="120">
        <f t="shared" si="14"/>
        <v>0.90603155810005032</v>
      </c>
      <c r="AZ35" s="15">
        <f>MIN(IF($AU35=100%,1,1+VLOOKUP(($AJ35-$AI35-$AH35-$AG35-$AF35-$AE35*(1+AZ$3))/$AJ35,'Технический лист'!$A:$B,2,1)-VLOOKUP($AO35,'Технический лист'!$A:$B,2,1)),1+(1-$AU35))</f>
        <v>1.04</v>
      </c>
      <c r="BA35" s="15">
        <f>MIN(IF($AU35=100%,1,1+VLOOKUP(($AJ35-$AI35-$AH35-$AG35-$AF35-$AE35*(1+BA$3))/$AJ35,'Технический лист'!$A:$B,2,1)-VLOOKUP($AO35,'Технический лист'!$A:$B,2,1)),1+(1-$AU35))</f>
        <v>1.04</v>
      </c>
      <c r="BB35" s="15">
        <f>MIN(IF($AU35=100%,1,1+VLOOKUP(($AJ35-$AI35-$AH35-$AG35-$AF35-$AE35*(1+BB$3))/$AJ35,'Технический лист'!$A:$B,2,1)-VLOOKUP($AO35,'Технический лист'!$A:$B,2,1)),1+(1-$AU35))</f>
        <v>1.04</v>
      </c>
      <c r="BC35" s="15">
        <f>MIN(IF($AU35=100%,1,1+VLOOKUP(($AJ35-$AI35-$AH35-$AG35-$AF35-$AE35*(1+BC$3))/$AJ35,'Технический лист'!$A:$B,2,1)-VLOOKUP($AO35,'Технический лист'!$A:$B,2,1)),1+(1-$AU35))</f>
        <v>1.04</v>
      </c>
      <c r="BD35" s="15">
        <f>MIN(IF($AU35=100%,1,1+VLOOKUP(($AJ35-$AI35-$AH35-$AG35-$AF35-$AE35*(1+BD$3))/$AJ35,'Технический лист'!$A:$B,2,1)-VLOOKUP($AO35,'Технический лист'!$A:$B,2,1)),1+(1-$AU35))</f>
        <v>1.04</v>
      </c>
      <c r="BE35" s="15">
        <f>MIN(IF($AU35=100%,1,1+VLOOKUP(($AJ35-$AI35-$AH35-$AG35-$AF35-$AE35*(1+BE$3))/$AJ35,'Технический лист'!$A:$B,2,1)-VLOOKUP($AO35,'Технический лист'!$A:$B,2,1)),1+(1-$AU35))</f>
        <v>1.04</v>
      </c>
      <c r="BF35" s="15">
        <f>MIN(IF($AU35=100%,1,1+VLOOKUP(($AJ35-$AI35-$AH35-$AG35-$AF35-$AE35*(1+BF$3))/$AJ35,'Технический лист'!$A:$B,2,1)-VLOOKUP($AO35,'Технический лист'!$A:$B,2,1)),1+(1-$AU35))</f>
        <v>1.04</v>
      </c>
      <c r="BG35" s="15">
        <f>MIN(IF($AU35=100%,1,1+VLOOKUP(($AJ35-$AI35-$AH35-$AG35-$AF35-$AE35*(1+BG$3))/$AJ35,'Технический лист'!$A:$B,2,1)-VLOOKUP($AO35,'Технический лист'!$A:$B,2,1)),1+(1-$AU35))</f>
        <v>1.04</v>
      </c>
      <c r="BH35" s="15">
        <f>MIN(IF($AU35=100%,1,1+VLOOKUP(($AJ35-$AI35-$AH35-$AG35-$AF35-$AE35*(1+BH$3))/$AJ35,'Технический лист'!$A:$B,2,1)-VLOOKUP($AO35,'Технический лист'!$A:$B,2,1)),1+(1-$AU35))</f>
        <v>1.04</v>
      </c>
      <c r="BI35" s="15">
        <f>MIN(IF($AU35=100%,1,1+VLOOKUP(($AJ35-$AI35-$AH35-$AG35-$AF35-$AE35*(1+BI$3))/$AJ35,'Технический лист'!$A:$B,2,1)-VLOOKUP($AO35,'Технический лист'!$A:$B,2,1)),1+(1-$AU35))</f>
        <v>1.04</v>
      </c>
      <c r="BJ35" s="15">
        <f>MIN(IF($AU35=100%,1,1+VLOOKUP(($AJ35-$AI35-$AH35-$AG35-$AF35-$AE35*(1+BJ$3))/$AJ35,'Технический лист'!$A:$B,2,1)-VLOOKUP($AO35,'Технический лист'!$A:$B,2,1)),1+(1-$AU35))</f>
        <v>1.04</v>
      </c>
      <c r="BK35" s="15">
        <f>MIN(IF($AU35=100%,1,1+VLOOKUP(($AJ35-$AI35-$AH35-$AG35-$AF35-$AE35*(1+BK$3))/$AJ35,'Технический лист'!$A:$B,2,1)-VLOOKUP($AO35,'Технический лист'!$A:$B,2,1)),1+(1-$AU35))</f>
        <v>1.0350000000000001</v>
      </c>
      <c r="BL35" s="15">
        <f>MIN(IF($AU35=100%,1,1+VLOOKUP(($AJ35-$AI35-$AH35-$AG35-$AF35-$AE35*(1+BL$3))/$AJ35,'Технический лист'!$A:$B,2,1)-VLOOKUP($AO35,'Технический лист'!$A:$B,2,1)),1+(1-$AU35))</f>
        <v>1.0350000000000001</v>
      </c>
      <c r="BM35" s="15">
        <f>MIN(IF($AU35=100%,1,1+VLOOKUP(($AJ35-$AI35-$AH35-$AG35-$AF35-$AE35*(1+BM$3))/$AJ35,'Технический лист'!$A:$B,2,1)-VLOOKUP($AO35,'Технический лист'!$A:$B,2,1)),1+(1-$AU35))</f>
        <v>1.0350000000000001</v>
      </c>
      <c r="BN35" s="15">
        <f>MIN(IF($AU35=100%,1,1+VLOOKUP(($AJ35-$AI35-$AH35-$AG35-$AF35-$AE35*(1+BN$3))/$AJ35,'Технический лист'!$A:$B,2,1)-VLOOKUP($AO35,'Технический лист'!$A:$B,2,1)),1+(1-$AU35))</f>
        <v>1.0350000000000001</v>
      </c>
      <c r="BO35" s="15">
        <f>MIN(IF($AU35=100%,1,1+VLOOKUP(($AJ35-$AI35-$AH35-$AG35-$AF35-$AE35*(1+BO$3))/$AJ35,'Технический лист'!$A:$B,2,1)-VLOOKUP($AO35,'Технический лист'!$A:$B,2,1)),1+(1-$AU35))</f>
        <v>1.0350000000000001</v>
      </c>
      <c r="BP35" s="15">
        <f>MIN(IF($AU35=100%,1,1+VLOOKUP(($AJ35-$AI35-$AH35-$AG35-$AF35-$AE35*(1+BP$3))/$AJ35,'Технический лист'!$A:$B,2,1)-VLOOKUP($AO35,'Технический лист'!$A:$B,2,1)),1+(1-$AU35))</f>
        <v>1.0350000000000001</v>
      </c>
      <c r="BQ35" s="15">
        <f>MIN(IF($AU35=100%,1,1+VLOOKUP(($AJ35-$AI35-$AH35-$AG35-$AF35-$AE35*(1+BQ$3))/$AJ35,'Технический лист'!$A:$B,2,1)-VLOOKUP($AO35,'Технический лист'!$A:$B,2,1)),1+(1-$AU35))</f>
        <v>1.0350000000000001</v>
      </c>
      <c r="BR35" s="15">
        <f>MIN(IF($AU35=100%,1,1+VLOOKUP(($AJ35-$AI35-$AH35-$AG35-$AF35-$AE35*(1+BR$3))/$AJ35,'Технический лист'!$A:$B,2,1)-VLOOKUP($AO35,'Технический лист'!$A:$B,2,1)),1+(1-$AU35))</f>
        <v>1.0350000000000001</v>
      </c>
      <c r="BS35" s="15">
        <f>MIN(IF($AU35=100%,1,1+VLOOKUP(($AJ35-$AI35-$AH35-$AG35-$AF35-$AE35*(1+BS$3))/$AJ35,'Технический лист'!$A:$B,2,1)-VLOOKUP($AO35,'Технический лист'!$A:$B,2,1)),1+(1-$AU35))</f>
        <v>1.0350000000000001</v>
      </c>
      <c r="BT35" s="15">
        <f>MIN(IF($AU35=100%,1,1+VLOOKUP(($AJ35-$AI35-$AH35-$AG35-$AF35-$AE35*(1+BT$3))/$AJ35,'Технический лист'!$A:$B,2,1)-VLOOKUP($AO35,'Технический лист'!$A:$B,2,1)),1+(1-$AU35))</f>
        <v>1.0350000000000001</v>
      </c>
      <c r="BU35" s="15">
        <f>MIN(IF($AU35=100%,1,1+VLOOKUP(($AJ35-$AI35-$AH35-$AG35-$AF35-$AE35*(1+BU$3))/$AJ35,'Технический лист'!$A:$B,2,1)-VLOOKUP($AO35,'Технический лист'!$A:$B,2,1)),1+(1-$AU35))</f>
        <v>1.0350000000000001</v>
      </c>
      <c r="BV35" s="15">
        <f>MIN(IF($AU35=100%,1,1+VLOOKUP(($AJ35-$AI35-$AH35-$AG35-$AF35-$AE35*(1+BV$3))/$AJ35,'Технический лист'!$A:$B,2,1)-VLOOKUP($AO35,'Технический лист'!$A:$B,2,1)),1+(1-$AU35))</f>
        <v>1.0350000000000001</v>
      </c>
      <c r="BW35" s="15">
        <f>MIN(IF($AU35=100%,1,1+VLOOKUP(($AJ35-$AI35-$AH35-$AG35-$AF35-$AE35*(1+BW$3))/$AJ35,'Технический лист'!$A:$B,2,1)-VLOOKUP($AO35,'Технический лист'!$A:$B,2,1)),1+(1-$AU35))</f>
        <v>1.0299999999999998</v>
      </c>
      <c r="BX35" s="15">
        <f>MIN(IF($AU35=100%,1,1+VLOOKUP(($AJ35-$AI35-$AH35-$AG35-$AF35-$AE35*(1+BX$3))/$AJ35,'Технический лист'!$A:$B,2,1)-VLOOKUP($AO35,'Технический лист'!$A:$B,2,1)),1+(1-$AU35))</f>
        <v>1.0299999999999998</v>
      </c>
      <c r="BY35" s="15">
        <f>MIN(IF($AU35=100%,1,1+VLOOKUP(($AJ35-$AI35-$AH35-$AG35-$AF35-$AE35*(1+BY$3))/$AJ35,'Технический лист'!$A:$B,2,1)-VLOOKUP($AO35,'Технический лист'!$A:$B,2,1)),1+(1-$AU35))</f>
        <v>1.0299999999999998</v>
      </c>
      <c r="BZ35" s="15">
        <f>MIN(IF($AU35=100%,1,1+VLOOKUP(($AJ35-$AI35-$AH35-$AG35-$AF35-$AE35*(1+BZ$3))/$AJ35,'Технический лист'!$A:$B,2,1)-VLOOKUP($AO35,'Технический лист'!$A:$B,2,1)),1+(1-$AU35))</f>
        <v>1.0299999999999998</v>
      </c>
      <c r="CA35" s="15">
        <f>MIN(IF($AU35=100%,1,1+VLOOKUP(($AJ35-$AI35-$AH35-$AG35-$AF35-$AE35*(1+CA$3))/$AJ35,'Технический лист'!$A:$B,2,1)-VLOOKUP($AO35,'Технический лист'!$A:$B,2,1)),1+(1-$AU35))</f>
        <v>1.0299999999999998</v>
      </c>
      <c r="CB35" s="15">
        <f>MIN(IF($AU35=100%,1,1+VLOOKUP(($AJ35-$AI35-$AH35-$AG35-$AF35-$AE35*(1+CB$3))/$AJ35,'Технический лист'!$A:$B,2,1)-VLOOKUP($AO35,'Технический лист'!$A:$B,2,1)),1+(1-$AU35))</f>
        <v>1.0299999999999998</v>
      </c>
      <c r="CC35" s="15">
        <f>MIN(IF($AU35=100%,1,1+VLOOKUP(($AJ35-$AI35-$AH35-$AG35-$AF35-$AE35*(1+CC$3))/$AJ35,'Технический лист'!$A:$B,2,1)-VLOOKUP($AO35,'Технический лист'!$A:$B,2,1)),1+(1-$AU35))</f>
        <v>1.0299999999999998</v>
      </c>
      <c r="CD35" s="15">
        <f>MIN(IF($AU35=100%,1,1+VLOOKUP(($AJ35-$AI35-$AH35-$AG35-$AF35-$AE35*(1+CD$3))/$AJ35,'Технический лист'!$A:$B,2,1)-VLOOKUP($AO35,'Технический лист'!$A:$B,2,1)),1+(1-$AU35))</f>
        <v>1.0299999999999998</v>
      </c>
      <c r="CE35" s="15">
        <f>MIN(IF($AU35=100%,1,1+VLOOKUP(($AJ35-$AI35-$AH35-$AG35-$AF35-$AE35*(1+CE$3))/$AJ35,'Технический лист'!$A:$B,2,1)-VLOOKUP($AO35,'Технический лист'!$A:$B,2,1)),1+(1-$AU35))</f>
        <v>1.0299999999999998</v>
      </c>
      <c r="CF35" s="15">
        <f>MIN(IF($AU35=100%,1,1+VLOOKUP(($AJ35-$AI35-$AH35-$AG35-$AF35-$AE35*(1+CF$3))/$AJ35,'Технический лист'!$A:$B,2,1)-VLOOKUP($AO35,'Технический лист'!$A:$B,2,1)),1+(1-$AU35))</f>
        <v>1.0299999999999998</v>
      </c>
      <c r="CG35" s="15">
        <f>MIN(IF($AU35=100%,1,1+VLOOKUP(($AJ35-$AI35-$AH35-$AG35-$AF35-$AE35*(1+CG$3))/$AJ35,'Технический лист'!$A:$B,2,1)-VLOOKUP($AO35,'Технический лист'!$A:$B,2,1)),1+(1-$AU35))</f>
        <v>1.0299999999999998</v>
      </c>
      <c r="CH35" s="15">
        <f>MIN(IF($AU35=100%,1,1+VLOOKUP(($AJ35-$AI35-$AH35-$AG35-$AF35-$AE35*(1+CH$3))/$AJ35,'Технический лист'!$A:$B,2,1)-VLOOKUP($AO35,'Технический лист'!$A:$B,2,1)),1+(1-$AU35))</f>
        <v>1.0299999999999998</v>
      </c>
      <c r="CI35" s="15">
        <f>MIN(IF($AU35=100%,1,1+VLOOKUP(($AJ35-$AI35-$AH35-$AG35-$AF35-$AE35*(1+CI$3))/$AJ35,'Технический лист'!$A:$B,2,1)-VLOOKUP($AO35,'Технический лист'!$A:$B,2,1)),1+(1-$AU35))</f>
        <v>1.0249999999999999</v>
      </c>
      <c r="CJ35" s="15">
        <f>MIN(IF($AU35=100%,1,1+VLOOKUP(($AJ35-$AI35-$AH35-$AG35-$AF35-$AE35*(1+CJ$3))/$AJ35,'Технический лист'!$A:$B,2,1)-VLOOKUP($AO35,'Технический лист'!$A:$B,2,1)),1+(1-$AU35))</f>
        <v>1.0249999999999999</v>
      </c>
      <c r="CK35" s="15">
        <f>MIN(IF($AU35=100%,1,1+VLOOKUP(($AJ35-$AI35-$AH35-$AG35-$AF35-$AE35*(1+CK$3))/$AJ35,'Технический лист'!$A:$B,2,1)-VLOOKUP($AO35,'Технический лист'!$A:$B,2,1)),1+(1-$AU35))</f>
        <v>1.0249999999999999</v>
      </c>
      <c r="CL35" s="15">
        <f>MIN(IF($AU35=100%,1,1+VLOOKUP(($AJ35-$AI35-$AH35-$AG35-$AF35-$AE35*(1+CL$3))/$AJ35,'Технический лист'!$A:$B,2,1)-VLOOKUP($AO35,'Технический лист'!$A:$B,2,1)),1+(1-$AU35))</f>
        <v>1.0249999999999999</v>
      </c>
      <c r="CM35" s="15">
        <f>MIN(IF($AU35=100%,1,1+VLOOKUP(($AJ35-$AI35-$AH35-$AG35-$AF35-$AE35*(1+CM$3))/$AJ35,'Технический лист'!$A:$B,2,1)-VLOOKUP($AO35,'Технический лист'!$A:$B,2,1)),1+(1-$AU35))</f>
        <v>1.0249999999999999</v>
      </c>
      <c r="CN35" s="15">
        <f>MIN(IF($AU35=100%,1,1+VLOOKUP(($AJ35-$AI35-$AH35-$AG35-$AF35-$AE35*(1+CN$3))/$AJ35,'Технический лист'!$A:$B,2,1)-VLOOKUP($AO35,'Технический лист'!$A:$B,2,1)),1+(1-$AU35))</f>
        <v>1.0249999999999999</v>
      </c>
      <c r="CO35" s="15">
        <f>MIN(IF($AU35=100%,1,1+VLOOKUP(($AJ35-$AI35-$AH35-$AG35-$AF35-$AE35*(1+CO$3))/$AJ35,'Технический лист'!$A:$B,2,1)-VLOOKUP($AO35,'Технический лист'!$A:$B,2,1)),1+(1-$AU35))</f>
        <v>1.0249999999999999</v>
      </c>
      <c r="CP35" s="15">
        <f>MIN(IF($AU35=100%,1,1+VLOOKUP(($AJ35-$AI35-$AH35-$AG35-$AF35-$AE35*(1+CP$3))/$AJ35,'Технический лист'!$A:$B,2,1)-VLOOKUP($AO35,'Технический лист'!$A:$B,2,1)),1+(1-$AU35))</f>
        <v>1.0249999999999999</v>
      </c>
      <c r="CQ35" s="15">
        <f>MIN(IF($AU35=100%,1,1+VLOOKUP(($AJ35-$AI35-$AH35-$AG35-$AF35-$AE35*(1+CQ$3))/$AJ35,'Технический лист'!$A:$B,2,1)-VLOOKUP($AO35,'Технический лист'!$A:$B,2,1)),1+(1-$AU35))</f>
        <v>1.0249999999999999</v>
      </c>
      <c r="CR35" s="15">
        <f>MIN(IF($AU35=100%,1,1+VLOOKUP(($AJ35-$AI35-$AH35-$AG35-$AF35-$AE35*(1+CR$3))/$AJ35,'Технический лист'!$A:$B,2,1)-VLOOKUP($AO35,'Технический лист'!$A:$B,2,1)),1+(1-$AU35))</f>
        <v>1.0249999999999999</v>
      </c>
      <c r="CS35" s="15">
        <f>MIN(IF($AU35=100%,1,1+VLOOKUP(($AJ35-$AI35-$AH35-$AG35-$AF35-$AE35*(1+CS$3))/$AJ35,'Технический лист'!$A:$B,2,1)-VLOOKUP($AO35,'Технический лист'!$A:$B,2,1)),1+(1-$AU35))</f>
        <v>1.0249999999999999</v>
      </c>
      <c r="CT35" s="15">
        <f>MIN(IF($AU35=100%,1,1+VLOOKUP(($AJ35-$AI35-$AH35-$AG35-$AF35-$AE35*(1+CT$3))/$AJ35,'Технический лист'!$A:$B,2,1)-VLOOKUP($AO35,'Технический лист'!$A:$B,2,1)),1+(1-$AU35))</f>
        <v>1.0249999999999999</v>
      </c>
      <c r="CU35" s="15">
        <f>MIN(IF($AU35=100%,1,1+VLOOKUP(($AJ35-$AI35-$AH35-$AG35-$AF35-$AE35*(1+CU$3))/$AJ35,'Технический лист'!$A:$B,2,1)-VLOOKUP($AO35,'Технический лист'!$A:$B,2,1)),1+(1-$AU35))</f>
        <v>1.02</v>
      </c>
      <c r="CV35" s="15">
        <f>MIN(IF($AU35=100%,1,1+VLOOKUP(($AJ35-$AI35-$AH35-$AG35-$AF35-$AE35*(1+CV$3))/$AJ35,'Технический лист'!$A:$B,2,1)-VLOOKUP($AO35,'Технический лист'!$A:$B,2,1)),1+(1-$AU35))</f>
        <v>1.02</v>
      </c>
      <c r="CW35" s="15">
        <f>MIN(IF($AU35=100%,1,1+VLOOKUP(($AJ35-$AI35-$AH35-$AG35-$AF35-$AE35*(1+CW$3))/$AJ35,'Технический лист'!$A:$B,2,1)-VLOOKUP($AO35,'Технический лист'!$A:$B,2,1)),1+(1-$AU35))</f>
        <v>1.02</v>
      </c>
      <c r="CX35" s="15">
        <f>MIN(IF($AU35=100%,1,1+VLOOKUP(($AJ35-$AI35-$AH35-$AG35-$AF35-$AE35*(1+CX$3))/$AJ35,'Технический лист'!$A:$B,2,1)-VLOOKUP($AO35,'Технический лист'!$A:$B,2,1)),1+(1-$AU35))</f>
        <v>1.02</v>
      </c>
      <c r="CY35" s="15">
        <f>MIN(IF($AU35=100%,1,1+VLOOKUP(($AJ35-$AI35-$AH35-$AG35-$AF35-$AE35*(1+CY$3))/$AJ35,'Технический лист'!$A:$B,2,1)-VLOOKUP($AO35,'Технический лист'!$A:$B,2,1)),1+(1-$AU35))</f>
        <v>1.02</v>
      </c>
      <c r="CZ35" s="15">
        <f>MIN(IF($AU35=100%,1,1+VLOOKUP(($AJ35-$AI35-$AH35-$AG35-$AF35-$AE35*(1+CZ$3))/$AJ35,'Технический лист'!$A:$B,2,1)-VLOOKUP($AO35,'Технический лист'!$A:$B,2,1)),1+(1-$AU35))</f>
        <v>1.02</v>
      </c>
      <c r="DA35" s="15">
        <f>MIN(IF($AU35=100%,1,1+VLOOKUP(($AJ35-$AI35-$AH35-$AG35-$AF35-$AE35*(1+DA$3))/$AJ35,'Технический лист'!$A:$B,2,1)-VLOOKUP($AO35,'Технический лист'!$A:$B,2,1)),1+(1-$AU35))</f>
        <v>1.02</v>
      </c>
      <c r="DB35" s="15">
        <f>MIN(IF($AU35=100%,1,1+VLOOKUP(($AJ35-$AI35-$AH35-$AG35-$AF35-$AE35*(1+DB$3))/$AJ35,'Технический лист'!$A:$B,2,1)-VLOOKUP($AO35,'Технический лист'!$A:$B,2,1)),1+(1-$AU35))</f>
        <v>1.02</v>
      </c>
      <c r="DC35" s="15">
        <f>MIN(IF($AU35=100%,1,1+VLOOKUP(($AJ35-$AI35-$AH35-$AG35-$AF35-$AE35*(1+DC$3))/$AJ35,'Технический лист'!$A:$B,2,1)-VLOOKUP($AO35,'Технический лист'!$A:$B,2,1)),1+(1-$AU35))</f>
        <v>1.02</v>
      </c>
      <c r="DD35" s="15">
        <f>MIN(IF($AU35=100%,1,1+VLOOKUP(($AJ35-$AI35-$AH35-$AG35-$AF35-$AE35*(1+DD$3))/$AJ35,'Технический лист'!$A:$B,2,1)-VLOOKUP($AO35,'Технический лист'!$A:$B,2,1)),1+(1-$AU35))</f>
        <v>1.02</v>
      </c>
      <c r="DE35" s="15">
        <f>MIN(IF($AU35=100%,1,1+VLOOKUP(($AJ35-$AI35-$AH35-$AG35-$AF35-$AE35*(1+DE$3))/$AJ35,'Технический лист'!$A:$B,2,1)-VLOOKUP($AO35,'Технический лист'!$A:$B,2,1)),1+(1-$AU35))</f>
        <v>1.02</v>
      </c>
      <c r="DF35" s="15">
        <f>MIN(IF($AU35=100%,1,1+VLOOKUP(($AJ35-$AI35-$AH35-$AG35-$AF35-$AE35*(1+DF$3))/$AJ35,'Технический лист'!$A:$B,2,1)-VLOOKUP($AO35,'Технический лист'!$A:$B,2,1)),1+(1-$AU35))</f>
        <v>1.02</v>
      </c>
      <c r="DG35" s="15">
        <f>MIN(IF($AU35=100%,1,1+VLOOKUP(($AJ35-$AI35-$AH35-$AG35-$AF35-$AE35*(1+DG$3))/$AJ35,'Технический лист'!$A:$B,2,1)-VLOOKUP($AO35,'Технический лист'!$A:$B,2,1)),1+(1-$AU35))</f>
        <v>1.0150000000000001</v>
      </c>
      <c r="DH35" s="15">
        <f>MIN(IF($AU35=100%,1,1+VLOOKUP(($AJ35-$AI35-$AH35-$AG35-$AF35-$AE35*(1+DH$3))/$AJ35,'Технический лист'!$A:$B,2,1)-VLOOKUP($AO35,'Технический лист'!$A:$B,2,1)),1+(1-$AU35))</f>
        <v>1.0150000000000001</v>
      </c>
      <c r="DI35" s="15">
        <f>MIN(IF($AU35=100%,1,1+VLOOKUP(($AJ35-$AI35-$AH35-$AG35-$AF35-$AE35*(1+DI$3))/$AJ35,'Технический лист'!$A:$B,2,1)-VLOOKUP($AO35,'Технический лист'!$A:$B,2,1)),1+(1-$AU35))</f>
        <v>1.0150000000000001</v>
      </c>
      <c r="DJ35" s="15">
        <f>MIN(IF($AU35=100%,1,1+VLOOKUP(($AJ35-$AI35-$AH35-$AG35-$AF35-$AE35*(1+DJ$3))/$AJ35,'Технический лист'!$A:$B,2,1)-VLOOKUP($AO35,'Технический лист'!$A:$B,2,1)),1+(1-$AU35))</f>
        <v>1.0150000000000001</v>
      </c>
      <c r="DK35" s="15">
        <f>MIN(IF($AU35=100%,1,1+VLOOKUP(($AJ35-$AI35-$AH35-$AG35-$AF35-$AE35*(1+DK$3))/$AJ35,'Технический лист'!$A:$B,2,1)-VLOOKUP($AO35,'Технический лист'!$A:$B,2,1)),1+(1-$AU35))</f>
        <v>1.0150000000000001</v>
      </c>
      <c r="DL35" s="15">
        <f>MIN(IF($AU35=100%,1,1+VLOOKUP(($AJ35-$AI35-$AH35-$AG35-$AF35-$AE35*(1+DL$3))/$AJ35,'Технический лист'!$A:$B,2,1)-VLOOKUP($AO35,'Технический лист'!$A:$B,2,1)),1+(1-$AU35))</f>
        <v>1.0150000000000001</v>
      </c>
      <c r="DM35" s="15">
        <f>MIN(IF($AU35=100%,1,1+VLOOKUP(($AJ35-$AI35-$AH35-$AG35-$AF35-$AE35*(1+DM$3))/$AJ35,'Технический лист'!$A:$B,2,1)-VLOOKUP($AO35,'Технический лист'!$A:$B,2,1)),1+(1-$AU35))</f>
        <v>1.0150000000000001</v>
      </c>
      <c r="DN35" s="15">
        <f>MIN(IF($AU35=100%,1,1+VLOOKUP(($AJ35-$AI35-$AH35-$AG35-$AF35-$AE35*(1+DN$3))/$AJ35,'Технический лист'!$A:$B,2,1)-VLOOKUP($AO35,'Технический лист'!$A:$B,2,1)),1+(1-$AU35))</f>
        <v>1.0150000000000001</v>
      </c>
      <c r="DO35" s="15">
        <f>MIN(IF($AU35=100%,1,1+VLOOKUP(($AJ35-$AI35-$AH35-$AG35-$AF35-$AE35*(1+DO$3))/$AJ35,'Технический лист'!$A:$B,2,1)-VLOOKUP($AO35,'Технический лист'!$A:$B,2,1)),1+(1-$AU35))</f>
        <v>1.0150000000000001</v>
      </c>
      <c r="DP35" s="15">
        <f>MIN(IF($AU35=100%,1,1+VLOOKUP(($AJ35-$AI35-$AH35-$AG35-$AF35-$AE35*(1+DP$3))/$AJ35,'Технический лист'!$A:$B,2,1)-VLOOKUP($AO35,'Технический лист'!$A:$B,2,1)),1+(1-$AU35))</f>
        <v>1.0150000000000001</v>
      </c>
      <c r="DQ35" s="15">
        <f>MIN(IF($AU35=100%,1,1+VLOOKUP(($AJ35-$AI35-$AH35-$AG35-$AF35-$AE35*(1+DQ$3))/$AJ35,'Технический лист'!$A:$B,2,1)-VLOOKUP($AO35,'Технический лист'!$A:$B,2,1)),1+(1-$AU35))</f>
        <v>1.0150000000000001</v>
      </c>
      <c r="DR35" s="15">
        <f>MIN(IF($AU35=100%,1,1+VLOOKUP(($AJ35-$AI35-$AH35-$AG35-$AF35-$AE35*(1+DR$3))/$AJ35,'Технический лист'!$A:$B,2,1)-VLOOKUP($AO35,'Технический лист'!$A:$B,2,1)),1+(1-$AU35))</f>
        <v>1.0150000000000001</v>
      </c>
      <c r="DS35" s="15">
        <f>MIN(IF($AU35=100%,1,1+VLOOKUP(($AJ35-$AI35-$AH35-$AG35-$AF35-$AE35*(1+DS$3))/$AJ35,'Технический лист'!$A:$B,2,1)-VLOOKUP($AO35,'Технический лист'!$A:$B,2,1)),1+(1-$AU35))</f>
        <v>1.0100000000000002</v>
      </c>
      <c r="DT35" s="15">
        <f>MIN(IF($AU35=100%,1,1+VLOOKUP(($AJ35-$AI35-$AH35-$AG35-$AF35-$AE35*(1+DT$3))/$AJ35,'Технический лист'!$A:$B,2,1)-VLOOKUP($AO35,'Технический лист'!$A:$B,2,1)),1+(1-$AU35))</f>
        <v>1.0100000000000002</v>
      </c>
      <c r="DU35" s="15">
        <f>MIN(IF($AU35=100%,1,1+VLOOKUP(($AJ35-$AI35-$AH35-$AG35-$AF35-$AE35*(1+DU$3))/$AJ35,'Технический лист'!$A:$B,2,1)-VLOOKUP($AO35,'Технический лист'!$A:$B,2,1)),1+(1-$AU35))</f>
        <v>1.0100000000000002</v>
      </c>
      <c r="DV35" s="15">
        <f>MIN(IF($AU35=100%,1,1+VLOOKUP(($AJ35-$AI35-$AH35-$AG35-$AF35-$AE35*(1+DV$3))/$AJ35,'Технический лист'!$A:$B,2,1)-VLOOKUP($AO35,'Технический лист'!$A:$B,2,1)),1+(1-$AU35))</f>
        <v>1.0100000000000002</v>
      </c>
      <c r="DW35" s="15">
        <f>MIN(IF($AU35=100%,1,1+VLOOKUP(($AJ35-$AI35-$AH35-$AG35-$AF35-$AE35*(1+DW$3))/$AJ35,'Технический лист'!$A:$B,2,1)-VLOOKUP($AO35,'Технический лист'!$A:$B,2,1)),1+(1-$AU35))</f>
        <v>1.0100000000000002</v>
      </c>
      <c r="DX35" s="15">
        <f>MIN(IF($AU35=100%,1,1+VLOOKUP(($AJ35-$AI35-$AH35-$AG35-$AF35-$AE35*(1+DX$3))/$AJ35,'Технический лист'!$A:$B,2,1)-VLOOKUP($AO35,'Технический лист'!$A:$B,2,1)),1+(1-$AU35))</f>
        <v>1.0100000000000002</v>
      </c>
      <c r="DY35" s="15">
        <f>MIN(IF($AU35=100%,1,1+VLOOKUP(($AJ35-$AI35-$AH35-$AG35-$AF35-$AE35*(1+DY$3))/$AJ35,'Технический лист'!$A:$B,2,1)-VLOOKUP($AO35,'Технический лист'!$A:$B,2,1)),1+(1-$AU35))</f>
        <v>1.0100000000000002</v>
      </c>
      <c r="DZ35" s="15">
        <f>MIN(IF($AU35=100%,1,1+VLOOKUP(($AJ35-$AI35-$AH35-$AG35-$AF35-$AE35*(1+DZ$3))/$AJ35,'Технический лист'!$A:$B,2,1)-VLOOKUP($AO35,'Технический лист'!$A:$B,2,1)),1+(1-$AU35))</f>
        <v>1.0100000000000002</v>
      </c>
      <c r="EA35" s="15">
        <f>MIN(IF($AU35=100%,1,1+VLOOKUP(($AJ35-$AI35-$AH35-$AG35-$AF35-$AE35*(1+EA$3))/$AJ35,'Технический лист'!$A:$B,2,1)-VLOOKUP($AO35,'Технический лист'!$A:$B,2,1)),1+(1-$AU35))</f>
        <v>1.0100000000000002</v>
      </c>
      <c r="EB35" s="15">
        <f>MIN(IF($AU35=100%,1,1+VLOOKUP(($AJ35-$AI35-$AH35-$AG35-$AF35-$AE35*(1+EB$3))/$AJ35,'Технический лист'!$A:$B,2,1)-VLOOKUP($AO35,'Технический лист'!$A:$B,2,1)),1+(1-$AU35))</f>
        <v>1.0100000000000002</v>
      </c>
      <c r="EC35" s="15">
        <f>MIN(IF($AU35=100%,1,1+VLOOKUP(($AJ35-$AI35-$AH35-$AG35-$AF35-$AE35*(1+EC$3))/$AJ35,'Технический лист'!$A:$B,2,1)-VLOOKUP($AO35,'Технический лист'!$A:$B,2,1)),1+(1-$AU35))</f>
        <v>1.0100000000000002</v>
      </c>
      <c r="ED35" s="15">
        <f>MIN(IF($AU35=100%,1,1+VLOOKUP(($AJ35-$AI35-$AH35-$AG35-$AF35-$AE35*(1+ED$3))/$AJ35,'Технический лист'!$A:$B,2,1)-VLOOKUP($AO35,'Технический лист'!$A:$B,2,1)),1+(1-$AU35))</f>
        <v>1.0100000000000002</v>
      </c>
      <c r="EE35" s="15">
        <f>MIN(IF($AU35=100%,1,1+VLOOKUP(($AJ35-$AI35-$AH35-$AG35-$AF35-$AE35*(1+EE$3))/$AJ35,'Технический лист'!$A:$B,2,1)-VLOOKUP($AO35,'Технический лист'!$A:$B,2,1)),1+(1-$AU35))</f>
        <v>1.0050000000000003</v>
      </c>
      <c r="EF35" s="15">
        <f>MIN(IF($AU35=100%,1,1+VLOOKUP(($AJ35-$AI35-$AH35-$AG35-$AF35-$AE35*(1+EF$3))/$AJ35,'Технический лист'!$A:$B,2,1)-VLOOKUP($AO35,'Технический лист'!$A:$B,2,1)),1+(1-$AU35))</f>
        <v>1.0050000000000003</v>
      </c>
      <c r="EG35" s="15">
        <f>MIN(IF($AU35=100%,1,1+VLOOKUP(($AJ35-$AI35-$AH35-$AG35-$AF35-$AE35*(1+EG$3))/$AJ35,'Технический лист'!$A:$B,2,1)-VLOOKUP($AO35,'Технический лист'!$A:$B,2,1)),1+(1-$AU35))</f>
        <v>1.0050000000000003</v>
      </c>
      <c r="EH35" s="15">
        <f>MIN(IF($AU35=100%,1,1+VLOOKUP(($AJ35-$AI35-$AH35-$AG35-$AF35-$AE35*(1+EH$3))/$AJ35,'Технический лист'!$A:$B,2,1)-VLOOKUP($AO35,'Технический лист'!$A:$B,2,1)),1+(1-$AU35))</f>
        <v>1.0050000000000003</v>
      </c>
      <c r="EI35" s="15">
        <f>MIN(IF($AU35=100%,1,1+VLOOKUP(($AJ35-$AI35-$AH35-$AG35-$AF35-$AE35*(1+EI$3))/$AJ35,'Технический лист'!$A:$B,2,1)-VLOOKUP($AO35,'Технический лист'!$A:$B,2,1)),1+(1-$AU35))</f>
        <v>1.0050000000000003</v>
      </c>
      <c r="EJ35" s="15">
        <f>MIN(IF($AU35=100%,1,1+VLOOKUP(($AJ35-$AI35-$AH35-$AG35-$AF35-$AE35*(1+EJ$3))/$AJ35,'Технический лист'!$A:$B,2,1)-VLOOKUP($AO35,'Технический лист'!$A:$B,2,1)),1+(1-$AU35))</f>
        <v>1.0050000000000003</v>
      </c>
      <c r="EK35" s="15">
        <f>MIN(IF($AU35=100%,1,1+VLOOKUP(($AJ35-$AI35-$AH35-$AG35-$AF35-$AE35*(1+EK$3))/$AJ35,'Технический лист'!$A:$B,2,1)-VLOOKUP($AO35,'Технический лист'!$A:$B,2,1)),1+(1-$AU35))</f>
        <v>1.0050000000000003</v>
      </c>
      <c r="EL35" s="15">
        <f>MIN(IF($AU35=100%,1,1+VLOOKUP(($AJ35-$AI35-$AH35-$AG35-$AF35-$AE35*(1+EL$3))/$AJ35,'Технический лист'!$A:$B,2,1)-VLOOKUP($AO35,'Технический лист'!$A:$B,2,1)),1+(1-$AU35))</f>
        <v>1.0050000000000003</v>
      </c>
      <c r="EM35" s="15">
        <f>MIN(IF($AU35=100%,1,1+VLOOKUP(($AJ35-$AI35-$AH35-$AG35-$AF35-$AE35*(1+EM$3))/$AJ35,'Технический лист'!$A:$B,2,1)-VLOOKUP($AO35,'Технический лист'!$A:$B,2,1)),1+(1-$AU35))</f>
        <v>1.0050000000000003</v>
      </c>
      <c r="EN35" s="15">
        <f>MIN(IF($AU35=100%,1,1+VLOOKUP(($AJ35-$AI35-$AH35-$AG35-$AF35-$AE35*(1+EN$3))/$AJ35,'Технический лист'!$A:$B,2,1)-VLOOKUP($AO35,'Технический лист'!$A:$B,2,1)),1+(1-$AU35))</f>
        <v>1.0050000000000003</v>
      </c>
      <c r="EO35" s="15">
        <f>MIN(IF($AU35=100%,1,1+VLOOKUP(($AJ35-$AI35-$AH35-$AG35-$AF35-$AE35*(1+EO$3))/$AJ35,'Технический лист'!$A:$B,2,1)-VLOOKUP($AO35,'Технический лист'!$A:$B,2,1)),1+(1-$AU35))</f>
        <v>1.0050000000000003</v>
      </c>
      <c r="EP35" s="15">
        <f>MIN(IF($AU35=100%,1,1+VLOOKUP(($AJ35-$AI35-$AH35-$AG35-$AF35-$AE35*(1+EP$3))/$AJ35,'Технический лист'!$A:$B,2,1)-VLOOKUP($AO35,'Технический лист'!$A:$B,2,1)),1+(1-$AU35))</f>
        <v>1.0050000000000003</v>
      </c>
      <c r="EQ35" s="15">
        <f>MIN(IF($AU35=100%,1,1+VLOOKUP(($AJ35-$AI35-$AH35-$AG35-$AF35-$AE35*(1+EQ$3))/$AJ35,'Технический лист'!$A:$B,2,1)-VLOOKUP($AO35,'Технический лист'!$A:$B,2,1)),1+(1-$AU35))</f>
        <v>1</v>
      </c>
      <c r="ER35" s="15">
        <f>MIN(IF($AU35=100%,1,1+VLOOKUP(($AJ35-$AI35-$AH35-$AG35-$AF35-$AE35*(1+ER$3))/$AJ35,'Технический лист'!$A:$B,2,1)-VLOOKUP($AO35,'Технический лист'!$A:$B,2,1)),1+(1-$AU35))</f>
        <v>1</v>
      </c>
      <c r="ES35" s="15">
        <f>MIN(IF($AU35=100%,1,1+VLOOKUP(($AJ35-$AI35-$AH35-$AG35-$AF35-$AE35*(1+ES$3))/$AJ35,'Технический лист'!$A:$B,2,1)-VLOOKUP($AO35,'Технический лист'!$A:$B,2,1)),1+(1-$AU35))</f>
        <v>1</v>
      </c>
      <c r="ET35" s="15">
        <f>MIN(IF($AU35=100%,1,1+VLOOKUP(($AJ35-$AI35-$AH35-$AG35-$AF35-$AE35*(1+ET$3))/$AJ35,'Технический лист'!$A:$B,2,1)-VLOOKUP($AO35,'Технический лист'!$A:$B,2,1)),1+(1-$AU35))</f>
        <v>1</v>
      </c>
      <c r="EU35" s="15">
        <f>MIN(IF($AU35=100%,1,1+VLOOKUP(($AJ35-$AI35-$AH35-$AG35-$AF35-$AE35*(1+EU$3))/$AJ35,'Технический лист'!$A:$B,2,1)-VLOOKUP($AO35,'Технический лист'!$A:$B,2,1)),1+(1-$AU35))</f>
        <v>1</v>
      </c>
      <c r="EV35" s="111">
        <v>1</v>
      </c>
      <c r="EW35" s="15">
        <f>MIN(1,MAX(VLOOKUP(($AJ35-$AI35-$AH35-$AG35-$AF35-$AE35*(1+EW$3))/$AJ35,'Технический лист'!$A:$B,2,1),(EV35-0.05)))</f>
        <v>1</v>
      </c>
      <c r="EX35" s="15">
        <f>MIN(1,MAX(VLOOKUP(($AJ35-$AI35-$AH35-$AG35-$AF35-$AE35*(1+EX$3))/$AJ35,'Технический лист'!$A:$B,2,1),(EW35-0.05)))</f>
        <v>1</v>
      </c>
      <c r="EY35" s="15">
        <f>MIN(1,MAX(VLOOKUP(($AJ35-$AI35-$AH35-$AG35-$AF35-$AE35*(1+EY$3))/$AJ35,'Технический лист'!$A:$B,2,1),(EX35-0.05)))</f>
        <v>1</v>
      </c>
      <c r="EZ35" s="15">
        <f>MIN(1,MAX(VLOOKUP(($AJ35-$AI35-$AH35-$AG35-$AF35-$AE35*(1+EZ$3))/$AJ35,'Технический лист'!$A:$B,2,1),(EY35-0.05)))</f>
        <v>1</v>
      </c>
      <c r="FA35" s="15">
        <f>MIN(1,MAX(VLOOKUP(($AJ35-$AI35-$AH35-$AG35-$AF35-$AE35*(1+FA$3))/$AJ35,'Технический лист'!$A:$B,2,1),(EZ35-0.05)))</f>
        <v>1</v>
      </c>
      <c r="FB35" s="15">
        <f>MIN(1,MAX(VLOOKUP(($AJ35-$AI35-$AH35-$AG35-$AF35-$AE35*(1+FB$3))/$AJ35,'Технический лист'!$A:$B,2,1),(FA35-0.05)))</f>
        <v>1</v>
      </c>
      <c r="FC35" s="15">
        <f>MIN(1,MAX(VLOOKUP(($AJ35-$AI35-$AH35-$AG35-$AF35-$AE35*(1+FC$3))/$AJ35,'Технический лист'!$A:$B,2,1),(FB35-0.05)))</f>
        <v>1</v>
      </c>
      <c r="FD35" s="15">
        <f>MIN(1,MAX(VLOOKUP(($AJ35-$AI35-$AH35-$AG35-$AF35-$AE35*(1+FD$3))/$AJ35,'Технический лист'!$A:$B,2,1),(FC35-0.05)))</f>
        <v>1</v>
      </c>
      <c r="FE35" s="15">
        <f>MIN(1,MAX(VLOOKUP(($AJ35-$AI35-$AH35-$AG35-$AF35-$AE35*(1+FE$3))/$AJ35,'Технический лист'!$A:$B,2,1),(FD35-0.05)))</f>
        <v>1</v>
      </c>
      <c r="FF35" s="15">
        <f>MIN(1,MAX(VLOOKUP(($AJ35-$AI35-$AH35-$AG35-$AF35-$AE35*(1+FF$3))/$AJ35,'Технический лист'!$A:$B,2,1),(FE35-0.05)))</f>
        <v>1</v>
      </c>
      <c r="FG35" s="15">
        <f>MIN(1,MAX(VLOOKUP(($AJ35-$AI35-$AH35-$AG35-$AF35-$AE35*(1+FG$3))/$AJ35,'Технический лист'!$A:$B,2,1),(FF35-0.05)))</f>
        <v>1</v>
      </c>
      <c r="FH35" s="15">
        <f>MIN(1,MAX(VLOOKUP(($AJ35-$AI35-$AH35-$AG35-$AF35-$AE35*(1+FH$3))/$AJ35,'Технический лист'!$A:$B,2,1),(FG35-0.05)))</f>
        <v>1</v>
      </c>
      <c r="FI35" s="15">
        <f>MIN(1,MAX(VLOOKUP(($AJ35-$AI35-$AH35-$AG35-$AF35-$AE35*(1+FI$3))/$AJ35,'Технический лист'!$A:$B,2,1),(FH35-0.05)))</f>
        <v>1</v>
      </c>
      <c r="FJ35" s="15">
        <f>MIN(1,MAX(VLOOKUP(($AJ35-$AI35-$AH35-$AG35-$AF35-$AE35*(1+FJ$3))/$AJ35,'Технический лист'!$A:$B,2,1),(FI35-0.05)))</f>
        <v>1</v>
      </c>
      <c r="FK35" s="15">
        <f>MIN(1,MAX(VLOOKUP(($AJ35-$AI35-$AH35-$AG35-$AF35-$AE35*(1+FK$3))/$AJ35,'Технический лист'!$A:$B,2,1),(FJ35-0.05)))</f>
        <v>1</v>
      </c>
      <c r="FL35" s="15">
        <f>MIN(1,MAX(VLOOKUP(($AJ35-$AI35-$AH35-$AG35-$AF35-$AE35*(1+FL$3))/$AJ35,'Технический лист'!$A:$B,2,1),(FK35-0.05)))</f>
        <v>1</v>
      </c>
      <c r="FM35" s="15">
        <f>MIN(1,MAX(VLOOKUP(($AJ35-$AI35-$AH35-$AG35-$AF35-$AE35*(1+FM$3))/$AJ35,'Технический лист'!$A:$B,2,1),(FL35-0.05)))</f>
        <v>1</v>
      </c>
      <c r="FN35" s="15">
        <f>MIN(1,MAX(VLOOKUP(($AJ35-$AI35-$AH35-$AG35-$AF35-$AE35*(1+FN$3))/$AJ35,'Технический лист'!$A:$B,2,1),(FM35-0.05)))</f>
        <v>1</v>
      </c>
      <c r="FO35" s="15">
        <f>MIN(1,MAX(VLOOKUP(($AJ35-$AI35-$AH35-$AG35-$AF35-$AE35*(1+FO$3))/$AJ35,'Технический лист'!$A:$B,2,1),(FN35-0.05)))</f>
        <v>1</v>
      </c>
      <c r="FP35" s="15">
        <f>MIN(1,MAX(VLOOKUP(($AJ35-$AI35-$AH35-$AG35-$AF35-$AE35*(1+FP$3))/$AJ35,'Технический лист'!$A:$B,2,1),(FO35-0.05)))</f>
        <v>1</v>
      </c>
      <c r="FQ35" s="15">
        <f>MIN(1,MAX(VLOOKUP(($AJ35-$AI35-$AH35-$AG35-$AF35-$AE35*(1+FQ$3))/$AJ35,'Технический лист'!$A:$B,2,1),(FP35-0.05)))</f>
        <v>1</v>
      </c>
      <c r="FR35" s="15">
        <f>MIN(1,MAX(VLOOKUP(($AJ35-$AI35-$AH35-$AG35-$AF35-$AE35*(1+FR$3))/$AJ35,'Технический лист'!$A:$B,2,1),(FQ35-0.05)))</f>
        <v>1</v>
      </c>
      <c r="FS35" s="15">
        <f>MIN(1,MAX(VLOOKUP(($AJ35-$AI35-$AH35-$AG35-$AF35-$AE35*(1+FS$3))/$AJ35,'Технический лист'!$A:$B,2,1),(FR35-0.05)))</f>
        <v>1</v>
      </c>
      <c r="FT35" s="15">
        <f>MIN(1,MAX(VLOOKUP(($AJ35-$AI35-$AH35-$AG35-$AF35-$AE35*(1+FT$3))/$AJ35,'Технический лист'!$A:$B,2,1),(FS35-0.05)))</f>
        <v>1</v>
      </c>
      <c r="FU35" s="15">
        <f>MIN(1,MAX(VLOOKUP(($AJ35-$AI35-$AH35-$AG35-$AF35-$AE35*(1+FU$3))/$AJ35,'Технический лист'!$A:$B,2,1),(FT35-0.05)))</f>
        <v>1</v>
      </c>
      <c r="FV35" s="15">
        <f>MIN(1,MAX(VLOOKUP(($AJ35-$AI35-$AH35-$AG35-$AF35-$AE35*(1+FV$3))/$AJ35,'Технический лист'!$A:$B,2,1),(FU35-0.05)))</f>
        <v>1</v>
      </c>
      <c r="FW35" s="15">
        <f>MIN(1,MAX(VLOOKUP(($AJ35-$AI35-$AH35-$AG35-$AF35-$AE35*(1+FW$3))/$AJ35,'Технический лист'!$A:$B,2,1),(FV35-0.05)))</f>
        <v>1</v>
      </c>
      <c r="FX35" s="15">
        <f>MIN(1,MAX(VLOOKUP(($AJ35-$AI35-$AH35-$AG35-$AF35-$AE35*(1+FX$3))/$AJ35,'Технический лист'!$A:$B,2,1),(FW35-0.05)))</f>
        <v>1</v>
      </c>
      <c r="FY35" s="15">
        <f>MIN(1,MAX(VLOOKUP(($AJ35-$AI35-$AH35-$AG35-$AF35-$AE35*(1+FY$3))/$AJ35,'Технический лист'!$A:$B,2,1),(FX35-0.05)))</f>
        <v>1</v>
      </c>
      <c r="FZ35" s="15">
        <f>MIN(1,MAX(VLOOKUP(($AJ35-$AI35-$AH35-$AG35-$AF35-$AE35*(1+FZ$3))/$AJ35,'Технический лист'!$A:$B,2,1),(FY35-0.05)))</f>
        <v>1</v>
      </c>
      <c r="GA35" s="15">
        <f>MIN(1,MAX(VLOOKUP(($AJ35-$AI35-$AH35-$AG35-$AF35-$AE35*(1+GA$3))/$AJ35,'Технический лист'!$A:$B,2,1),(FZ35-0.05)))</f>
        <v>1</v>
      </c>
      <c r="GB35" s="15">
        <f>MIN(1,MAX(VLOOKUP(($AJ35-$AI35-$AH35-$AG35-$AF35-$AE35*(1+GB$3))/$AJ35,'Технический лист'!$A:$B,2,1),(GA35-0.05)))</f>
        <v>1</v>
      </c>
      <c r="GC35" s="15">
        <f>MIN(1,MAX(VLOOKUP(($AJ35-$AI35-$AH35-$AG35-$AF35-$AE35*(1+GC$3))/$AJ35,'Технический лист'!$A:$B,2,1),(GB35-0.05)))</f>
        <v>1</v>
      </c>
      <c r="GD35" s="15">
        <f>MIN(1,MAX(VLOOKUP(($AJ35-$AI35-$AH35-$AG35-$AF35-$AE35*(1+GD$3))/$AJ35,'Технический лист'!$A:$B,2,1),(GC35-0.05)))</f>
        <v>1</v>
      </c>
      <c r="GE35" s="15">
        <f>MIN(1,MAX(VLOOKUP(($AJ35-$AI35-$AH35-$AG35-$AF35-$AE35*(1+GE$3))/$AJ35,'Технический лист'!$A:$B,2,1),(GD35-0.05)))</f>
        <v>1</v>
      </c>
      <c r="GF35" s="15">
        <f>MIN(1,MAX(VLOOKUP(($AJ35-$AI35-$AH35-$AG35-$AF35-$AE35*(1+GF$3))/$AJ35,'Технический лист'!$A:$B,2,1),(GE35-0.05)))</f>
        <v>1</v>
      </c>
      <c r="GG35" s="15">
        <f>MIN(1,MAX(VLOOKUP(($AJ35-$AI35-$AH35-$AG35-$AF35-$AE35*(1+GG$3))/$AJ35,'Технический лист'!$A:$B,2,1),(GF35-0.05)))</f>
        <v>1</v>
      </c>
      <c r="GH35" s="15">
        <f>MIN(1,MAX(VLOOKUP(($AJ35-$AI35-$AH35-$AG35-$AF35-$AE35*(1+GH$3))/$AJ35,'Технический лист'!$A:$B,2,1),(GG35-0.05)))</f>
        <v>1</v>
      </c>
      <c r="GI35" s="15">
        <f>MIN(1,MAX(VLOOKUP(($AJ35-$AI35-$AH35-$AG35-$AF35-$AE35*(1+GI$3))/$AJ35,'Технический лист'!$A:$B,2,1),(GH35-0.05)))</f>
        <v>1</v>
      </c>
      <c r="GJ35" s="15">
        <f>MIN(1,MAX(VLOOKUP(($AJ35-$AI35-$AH35-$AG35-$AF35-$AE35*(1+GJ$3))/$AJ35,'Технический лист'!$A:$B,2,1),(GI35-0.05)))</f>
        <v>1</v>
      </c>
      <c r="GK35" s="15">
        <f>MIN(1,MAX(VLOOKUP(($AJ35-$AI35-$AH35-$AG35-$AF35-$AE35*(1+GK$3))/$AJ35,'Технический лист'!$A:$B,2,1),(GJ35-0.05)))</f>
        <v>1</v>
      </c>
      <c r="GL35" s="15">
        <f>MIN(1,MAX(VLOOKUP(($AJ35-$AI35-$AH35-$AG35-$AF35-$AE35*(1+GL$3))/$AJ35,'Технический лист'!$A:$B,2,1),(GK35-0.05)))</f>
        <v>1</v>
      </c>
      <c r="GM35" s="15">
        <f>MIN(1,MAX(VLOOKUP(($AJ35-$AI35-$AH35-$AG35-$AF35-$AE35*(1+GM$3))/$AJ35,'Технический лист'!$A:$B,2,1),(GL35-0.05)))</f>
        <v>1</v>
      </c>
      <c r="GN35" s="15">
        <f>MIN(1,MAX(VLOOKUP(($AJ35-$AI35-$AH35-$AG35-$AF35-$AE35*(1+GN$3))/$AJ35,'Технический лист'!$A:$B,2,1),(GM35-0.05)))</f>
        <v>1</v>
      </c>
      <c r="GO35" s="15">
        <f>MIN(1,MAX(VLOOKUP(($AJ35-$AI35-$AH35-$AG35-$AF35-$AE35*(1+GO$3))/$AJ35,'Технический лист'!$A:$B,2,1),(GN35-0.05)))</f>
        <v>1</v>
      </c>
      <c r="GP35" s="15">
        <f>MIN(1,MAX(VLOOKUP(($AJ35-$AI35-$AH35-$AG35-$AF35-$AE35*(1+GP$3))/$AJ35,'Технический лист'!$A:$B,2,1),(GO35-0.05)))</f>
        <v>1</v>
      </c>
      <c r="GQ35" s="15">
        <f>MIN(1,MAX(VLOOKUP(($AJ35-$AI35-$AH35-$AG35-$AF35-$AE35*(1+GQ$3))/$AJ35,'Технический лист'!$A:$B,2,1),(GP35-0.05)))</f>
        <v>1</v>
      </c>
      <c r="GR35" s="15">
        <f>MIN(1,MAX(VLOOKUP(($AJ35-$AI35-$AH35-$AG35-$AF35-$AE35*(1+GR$3))/$AJ35,'Технический лист'!$A:$B,2,1),(GQ35-0.05)))</f>
        <v>1</v>
      </c>
      <c r="GS35" s="15">
        <f>MIN(1,MAX(VLOOKUP(($AJ35-$AI35-$AH35-$AG35-$AF35-$AE35*(1+GS$3))/$AJ35,'Технический лист'!$A:$B,2,1),(GR35-0.05)))</f>
        <v>1</v>
      </c>
      <c r="GT35" s="15">
        <f>MIN(1,MAX(VLOOKUP(($AJ35-$AI35-$AH35-$AG35-$AF35-$AE35*(1+GT$3))/$AJ35,'Технический лист'!$A:$B,2,1),(GS35-0.05)))</f>
        <v>1</v>
      </c>
      <c r="GU35" s="15">
        <f>MIN(1,MAX(VLOOKUP(($AJ35-$AI35-$AH35-$AG35-$AF35-$AE35*(1+GU$3))/$AJ35,'Технический лист'!$A:$B,2,1),(GT35-0.05)))</f>
        <v>1</v>
      </c>
      <c r="GV35" s="15">
        <f>MIN(1,MAX(VLOOKUP(($AJ35-$AI35-$AH35-$AG35-$AF35-$AE35*(1+GV$3))/$AJ35,'Технический лист'!$A:$B,2,1),(GU35-0.05)))</f>
        <v>1</v>
      </c>
      <c r="GW35" s="15">
        <f>MIN(1,MAX(VLOOKUP(($AJ35-$AI35-$AH35-$AG35-$AF35-$AE35*(1+GW$3))/$AJ35,'Технический лист'!$A:$B,2,1),(GV35-0.05)))</f>
        <v>1</v>
      </c>
      <c r="GX35" s="15">
        <f>MIN(1,MAX(VLOOKUP(($AJ35-$AI35-$AH35-$AG35-$AF35-$AE35*(1+GX$3))/$AJ35,'Технический лист'!$A:$B,2,1),(GW35-0.05)))</f>
        <v>1</v>
      </c>
      <c r="GY35" s="15">
        <f>MIN(1,MAX(VLOOKUP(($AJ35-$AI35-$AH35-$AG35-$AF35-$AE35*(1+GY$3))/$AJ35,'Технический лист'!$A:$B,2,1),(GX35-0.05)))</f>
        <v>1</v>
      </c>
      <c r="GZ35" s="15">
        <f>MIN(1,MAX(VLOOKUP(($AJ35-$AI35-$AH35-$AG35-$AF35-$AE35*(1+GZ$3))/$AJ35,'Технический лист'!$A:$B,2,1),(GY35-0.05)))</f>
        <v>1</v>
      </c>
      <c r="HA35" s="15">
        <f>MIN(1,MAX(VLOOKUP(($AJ35-$AI35-$AH35-$AG35-$AF35-$AE35*(1+HA$3))/$AJ35,'Технический лист'!$A:$B,2,1),(GZ35-0.05)))</f>
        <v>1</v>
      </c>
      <c r="HB35" s="15">
        <f>MIN(1,MAX(VLOOKUP(($AJ35-$AI35-$AH35-$AG35-$AF35-$AE35*(1+HB$3))/$AJ35,'Технический лист'!$A:$B,2,1),(HA35-0.05)))</f>
        <v>1</v>
      </c>
      <c r="HC35" s="15">
        <f>MIN(1,MAX(VLOOKUP(($AJ35-$AI35-$AH35-$AG35-$AF35-$AE35*(1+HC$3))/$AJ35,'Технический лист'!$A:$B,2,1),(HB35-0.05)))</f>
        <v>1</v>
      </c>
      <c r="HD35" s="15">
        <f>MIN(1,MAX(VLOOKUP(($AJ35-$AI35-$AH35-$AG35-$AF35-$AE35*(1+HD$3))/$AJ35,'Технический лист'!$A:$B,2,1),(HC35-0.05)))</f>
        <v>1</v>
      </c>
      <c r="HE35" s="15">
        <f>MIN(1,MAX(VLOOKUP(($AJ35-$AI35-$AH35-$AG35-$AF35-$AE35*(1+HE$3))/$AJ35,'Технический лист'!$A:$B,2,1),(HD35-0.05)))</f>
        <v>1</v>
      </c>
      <c r="HF35" s="15">
        <f>MIN(1,MAX(VLOOKUP(($AJ35-$AI35-$AH35-$AG35-$AF35-$AE35*(1+HF$3))/$AJ35,'Технический лист'!$A:$B,2,1),(HE35-0.05)))</f>
        <v>1</v>
      </c>
      <c r="HG35" s="15">
        <f>MIN(1,MAX(VLOOKUP(($AJ35-$AI35-$AH35-$AG35-$AF35-$AE35*(1+HG$3))/$AJ35,'Технический лист'!$A:$B,2,1),(HF35-0.05)))</f>
        <v>1</v>
      </c>
      <c r="HH35" s="15">
        <f>MIN(1,MAX(VLOOKUP(($AJ35-$AI35-$AH35-$AG35-$AF35-$AE35*(1+HH$3))/$AJ35,'Технический лист'!$A:$B,2,1),(HG35-0.05)))</f>
        <v>1</v>
      </c>
      <c r="HI35" s="15">
        <f>MIN(1,MAX(VLOOKUP(($AJ35-$AI35-$AH35-$AG35-$AF35-$AE35*(1+HI$3))/$AJ35,'Технический лист'!$A:$B,2,1),(HH35-0.05)))</f>
        <v>1</v>
      </c>
      <c r="HJ35" s="15">
        <f>MIN(1,MAX(VLOOKUP(($AJ35-$AI35-$AH35-$AG35-$AF35-$AE35*(1+HJ$3))/$AJ35,'Технический лист'!$A:$B,2,1),(HI35-0.05)))</f>
        <v>1</v>
      </c>
      <c r="HK35" s="15">
        <f>MIN(1,MAX(VLOOKUP(($AJ35-$AI35-$AH35-$AG35-$AF35-$AE35*(1+HK$3))/$AJ35,'Технический лист'!$A:$B,2,1),(HJ35-0.05)))</f>
        <v>1</v>
      </c>
      <c r="HL35" s="15">
        <f>MIN(1,MAX(VLOOKUP(($AJ35-$AI35-$AH35-$AG35-$AF35-$AE35*(1+HL$3))/$AJ35,'Технический лист'!$A:$B,2,1),(HK35-0.05)))</f>
        <v>1</v>
      </c>
      <c r="HM35" s="15">
        <f>MIN(1,MAX(VLOOKUP(($AJ35-$AI35-$AH35-$AG35-$AF35-$AE35*(1+HM$3))/$AJ35,'Технический лист'!$A:$B,2,1),(HL35-0.05)))</f>
        <v>1</v>
      </c>
      <c r="HN35" s="15">
        <f>MIN(1,MAX(VLOOKUP(($AJ35-$AI35-$AH35-$AG35-$AF35-$AE35*(1+HN$3))/$AJ35,'Технический лист'!$A:$B,2,1),(HM35-0.05)))</f>
        <v>1</v>
      </c>
      <c r="HO35" s="15">
        <f>MIN(1,MAX(VLOOKUP(($AJ35-$AI35-$AH35-$AG35-$AF35-$AE35*(1+HO$3))/$AJ35,'Технический лист'!$A:$B,2,1),(HN35-0.05)))</f>
        <v>1</v>
      </c>
      <c r="HP35" s="15">
        <f>MIN(1,MAX(VLOOKUP(($AJ35-$AI35-$AH35-$AG35-$AF35-$AE35*(1+HP$3))/$AJ35,'Технический лист'!$A:$B,2,1),(HO35-0.05)))</f>
        <v>1</v>
      </c>
      <c r="HQ35" s="15">
        <f>MIN(1,MAX(VLOOKUP(($AJ35-$AI35-$AH35-$AG35-$AF35-$AE35*(1+HQ$3))/$AJ35,'Технический лист'!$A:$B,2,1),(HP35-0.05)))</f>
        <v>1</v>
      </c>
      <c r="HR35" s="15">
        <f>MIN(1,MAX(VLOOKUP(($AJ35-$AI35-$AH35-$AG35-$AF35-$AE35*(1+HR$3))/$AJ35,'Технический лист'!$A:$B,2,1),(HQ35-0.05)))</f>
        <v>1</v>
      </c>
      <c r="HS35" s="15">
        <f>MIN(1,MAX(VLOOKUP(($AJ35-$AI35-$AH35-$AG35-$AF35-$AE35*(1+HS$3))/$AJ35,'Технический лист'!$A:$B,2,1),(HR35-0.05)))</f>
        <v>1</v>
      </c>
      <c r="HT35" s="15">
        <f>MIN(1,MAX(VLOOKUP(($AJ35-$AI35-$AH35-$AG35-$AF35-$AE35*(1+HT$3))/$AJ35,'Технический лист'!$A:$B,2,1),(HS35-0.05)))</f>
        <v>1</v>
      </c>
      <c r="HU35" s="15">
        <f>MIN(1,MAX(VLOOKUP(($AJ35-$AI35-$AH35-$AG35-$AF35-$AE35*(1+HU$3))/$AJ35,'Технический лист'!$A:$B,2,1),(HT35-0.05)))</f>
        <v>1</v>
      </c>
      <c r="HV35" s="15">
        <f>MIN(1,MAX(VLOOKUP(($AJ35-$AI35-$AH35-$AG35-$AF35-$AE35*(1+HV$3))/$AJ35,'Технический лист'!$A:$B,2,1),(HU35-0.05)))</f>
        <v>1</v>
      </c>
      <c r="HW35" s="15">
        <f>MIN(1,MAX(VLOOKUP(($AJ35-$AI35-$AH35-$AG35-$AF35-$AE35*(1+HW$3))/$AJ35,'Технический лист'!$A:$B,2,1),(HV35-0.05)))</f>
        <v>1</v>
      </c>
      <c r="HX35" s="15">
        <f>MIN(1,MAX(VLOOKUP(($AJ35-$AI35-$AH35-$AG35-$AF35-$AE35*(1+HX$3))/$AJ35,'Технический лист'!$A:$B,2,1),(HW35-0.05)))</f>
        <v>1</v>
      </c>
      <c r="HY35" s="15">
        <f>MIN(1,MAX(VLOOKUP(($AJ35-$AI35-$AH35-$AG35-$AF35-$AE35*(1+HY$3))/$AJ35,'Технический лист'!$A:$B,2,1),(HX35-0.05)))</f>
        <v>1</v>
      </c>
      <c r="HZ35" s="15">
        <f>MIN(1,MAX(VLOOKUP(($AJ35-$AI35-$AH35-$AG35-$AF35-$AE35*(1+HZ$3))/$AJ35,'Технический лист'!$A:$B,2,1),(HY35-0.05)))</f>
        <v>1</v>
      </c>
      <c r="IA35" s="15">
        <f>MIN(1,MAX(VLOOKUP(($AJ35-$AI35-$AH35-$AG35-$AF35-$AE35*(1+IA$3))/$AJ35,'Технический лист'!$A:$B,2,1),(HZ35-0.05)))</f>
        <v>1</v>
      </c>
      <c r="IB35" s="15">
        <f>MIN(1,MAX(VLOOKUP(($AJ35-$AI35-$AH35-$AG35-$AF35-$AE35*(1+IB$3))/$AJ35,'Технический лист'!$A:$B,2,1),(IA35-0.05)))</f>
        <v>1</v>
      </c>
      <c r="IC35" s="15">
        <f>MIN(1,MAX(VLOOKUP(($AJ35-$AI35-$AH35-$AG35-$AF35-$AE35*(1+IC$3))/$AJ35,'Технический лист'!$A:$B,2,1),(IB35-0.05)))</f>
        <v>1</v>
      </c>
      <c r="ID35" s="15">
        <f>MIN(1,MAX(VLOOKUP(($AJ35-$AI35-$AH35-$AG35-$AF35-$AE35*(1+ID$3))/$AJ35,'Технический лист'!$A:$B,2,1),(IC35-0.05)))</f>
        <v>1</v>
      </c>
      <c r="IE35" s="15">
        <f>MIN(1,MAX(VLOOKUP(($AJ35-$AI35-$AH35-$AG35-$AF35-$AE35*(1+IE$3))/$AJ35,'Технический лист'!$A:$B,2,1),(ID35-0.05)))</f>
        <v>1</v>
      </c>
      <c r="IF35" s="15">
        <f>MIN(1,MAX(VLOOKUP(($AJ35-$AI35-$AH35-$AG35-$AF35-$AE35*(1+IF$3))/$AJ35,'Технический лист'!$A:$B,2,1),(IE35-0.05)))</f>
        <v>1</v>
      </c>
      <c r="IG35" s="15">
        <f>MIN(1,MAX(VLOOKUP(($AJ35-$AI35-$AH35-$AG35-$AF35-$AE35*(1+IG$3))/$AJ35,'Технический лист'!$A:$B,2,1),(IF35-0.05)))</f>
        <v>1</v>
      </c>
      <c r="IH35" s="15">
        <f>MIN(1,MAX(VLOOKUP(($AJ35-$AI35-$AH35-$AG35-$AF35-$AE35*(1+IH$3))/$AJ35,'Технический лист'!$A:$B,2,1),(IG35-0.05)))</f>
        <v>1</v>
      </c>
      <c r="II35" s="15">
        <f>MIN(1,MAX(VLOOKUP(($AJ35-$AI35-$AH35-$AG35-$AF35-$AE35*(1+II$3))/$AJ35,'Технический лист'!$A:$B,2,1),(IH35-0.05)))</f>
        <v>1</v>
      </c>
      <c r="IJ35" s="15">
        <f>MIN(1,MAX(VLOOKUP(($AJ35-$AI35-$AH35-$AG35-$AF35-$AE35*(1+IJ$3))/$AJ35,'Технический лист'!$A:$B,2,1),(II35-0.05)))</f>
        <v>1</v>
      </c>
      <c r="IK35" s="15">
        <f>MIN(1,MAX(VLOOKUP(($AJ35-$AI35-$AH35-$AG35-$AF35-$AE35*(1+IK$3))/$AJ35,'Технический лист'!$A:$B,2,1),(IJ35-0.05)))</f>
        <v>1</v>
      </c>
      <c r="IL35" s="15">
        <f>MIN(1,MAX(VLOOKUP(($AJ35-$AI35-$AH35-$AG35-$AF35-$AE35*(1+IL$3))/$AJ35,'Технический лист'!$A:$B,2,1),(IK35-0.05)))</f>
        <v>1</v>
      </c>
      <c r="IM35" s="15">
        <f>MIN(1,MAX(VLOOKUP(($AJ35-$AI35-$AH35-$AG35-$AF35-$AE35*(1+IM$3))/$AJ35,'Технический лист'!$A:$B,2,1),(IL35-0.05)))</f>
        <v>1</v>
      </c>
      <c r="IN35" s="15">
        <f>MIN(1,MAX(VLOOKUP(($AJ35-$AI35-$AH35-$AG35-$AF35-$AE35*(1+IN$3))/$AJ35,'Технический лист'!$A:$B,2,1),(IM35-0.05)))</f>
        <v>1</v>
      </c>
      <c r="IO35" s="15">
        <f>MIN(1,MAX(VLOOKUP(($AJ35-$AI35-$AH35-$AG35-$AF35-$AE35*(1+IO$3))/$AJ35,'Технический лист'!$A:$B,2,1),(IN35-0.05)))</f>
        <v>1</v>
      </c>
      <c r="IP35" s="15">
        <f>MIN(1,MAX(VLOOKUP(($AJ35-$AI35-$AH35-$AG35-$AF35-$AE35*(1+IP$3))/$AJ35,'Технический лист'!$A:$B,2,1),(IO35-0.05)))</f>
        <v>1</v>
      </c>
      <c r="IQ35" s="15">
        <f>MIN(1,MAX(VLOOKUP(($AJ35-$AI35-$AH35-$AG35-$AF35-$AE35*(1+IQ$3))/$AJ35,'Технический лист'!$A:$B,2,1),(IP35-0.05)))</f>
        <v>1</v>
      </c>
      <c r="IR35" s="15">
        <f>MIN(1,MAX(VLOOKUP(($AJ35-$AI35-$AH35-$AG35-$AF35-$AE35*(1+IR$3))/$AJ35,'Технический лист'!$A:$B,2,1),(IQ35-0.05)))</f>
        <v>1</v>
      </c>
    </row>
    <row r="36" spans="1:252" ht="45" customHeight="1">
      <c r="A36" s="89" t="s">
        <v>514</v>
      </c>
      <c r="B36" s="90">
        <v>2</v>
      </c>
      <c r="C36" s="5" t="s">
        <v>65</v>
      </c>
      <c r="D36" s="91">
        <v>17110</v>
      </c>
      <c r="E36" s="91" t="s">
        <v>322</v>
      </c>
      <c r="F36" s="92" t="s">
        <v>69</v>
      </c>
      <c r="G36" s="91" t="s">
        <v>22</v>
      </c>
      <c r="H36" s="91" t="s">
        <v>28</v>
      </c>
      <c r="I36" s="91" t="s">
        <v>29</v>
      </c>
      <c r="J36" s="91" t="s">
        <v>108</v>
      </c>
      <c r="K36" s="91">
        <v>1062</v>
      </c>
      <c r="L36" s="85" t="s">
        <v>64</v>
      </c>
      <c r="M36" s="91" t="s">
        <v>190</v>
      </c>
      <c r="N36" s="91" t="s">
        <v>191</v>
      </c>
      <c r="O36" s="91" t="s">
        <v>192</v>
      </c>
      <c r="P36" s="89" t="s">
        <v>209</v>
      </c>
      <c r="Q36" s="91" t="s">
        <v>258</v>
      </c>
      <c r="R36" s="91" t="s">
        <v>258</v>
      </c>
      <c r="S36" s="82">
        <v>21751</v>
      </c>
      <c r="T36" s="82">
        <v>23102111</v>
      </c>
      <c r="U36" s="81">
        <v>411</v>
      </c>
      <c r="V36" s="81">
        <v>0</v>
      </c>
      <c r="W36" s="82">
        <v>23154405</v>
      </c>
      <c r="X36" s="112">
        <v>53</v>
      </c>
      <c r="Y36" s="112" t="s">
        <v>417</v>
      </c>
      <c r="Z36" s="113">
        <v>6</v>
      </c>
      <c r="AA36" s="113">
        <v>5</v>
      </c>
      <c r="AB36" s="113">
        <v>4</v>
      </c>
      <c r="AC36" s="99">
        <v>1165.77</v>
      </c>
      <c r="AD36" s="99">
        <f t="shared" ref="AD36:AD55" si="15">AE36-AC36</f>
        <v>413.61000000000013</v>
      </c>
      <c r="AE36" s="99">
        <v>1579.38</v>
      </c>
      <c r="AF36" s="98">
        <f>(Z36+AA36+AB36)*'Ставки аренды'!$B$3/X36</f>
        <v>198.11320754716982</v>
      </c>
      <c r="AG36" s="114">
        <v>0</v>
      </c>
      <c r="AH36" s="94">
        <v>0</v>
      </c>
      <c r="AI36" s="116">
        <f>507353/712157*AVERAGE(AJ33,AJ34)</f>
        <v>11681.948389674257</v>
      </c>
      <c r="AJ36" s="117">
        <f>Цены!$D$9</f>
        <v>17000</v>
      </c>
      <c r="AK36" s="94">
        <f>AJ36/Цены!$B$1</f>
        <v>222.7886587467483</v>
      </c>
      <c r="AL36" s="95">
        <f t="shared" si="5"/>
        <v>1777.49320754717</v>
      </c>
      <c r="AM36" s="95">
        <f t="shared" si="6"/>
        <v>15222.50679245283</v>
      </c>
      <c r="AN36" s="94">
        <f t="shared" ref="AN36:AN67" si="16">AI36+AH36+AG36+AF36+AE36</f>
        <v>13459.441597221426</v>
      </c>
      <c r="AO36" s="118">
        <f t="shared" ref="AO36:AO67" si="17">(AJ36-AN36)/AJ36</f>
        <v>0.20826814133991609</v>
      </c>
      <c r="AP36" s="96">
        <f t="shared" si="7"/>
        <v>0.10455842397336294</v>
      </c>
      <c r="AQ36" s="96">
        <f t="shared" si="8"/>
        <v>9.2904705882352945E-2</v>
      </c>
      <c r="AR36" s="96">
        <f t="shared" si="9"/>
        <v>0.88854347982541448</v>
      </c>
      <c r="AS36" s="122">
        <v>1</v>
      </c>
      <c r="AT36" s="121">
        <f t="shared" si="10"/>
        <v>21751</v>
      </c>
      <c r="AU36" s="83">
        <v>0.95</v>
      </c>
      <c r="AV36" s="119">
        <f t="shared" si="11"/>
        <v>0.19711957663403368</v>
      </c>
      <c r="AW36" s="120">
        <f t="shared" si="12"/>
        <v>0.1157069886792453</v>
      </c>
      <c r="AX36" s="120">
        <f t="shared" si="13"/>
        <v>0.10405327058823531</v>
      </c>
      <c r="AY36" s="120">
        <f t="shared" si="14"/>
        <v>0.8992825046781262</v>
      </c>
      <c r="AZ36" s="15">
        <f>MIN(IF($AU36=100%,1,1+VLOOKUP(($AJ36-$AI36-$AH36-$AG36-$AF36-$AE36*(1+AZ$3))/$AJ36,'Технический лист'!$A:$B,2,1)-VLOOKUP($AO36,'Технический лист'!$A:$B,2,1)),1+(1-$AU36))</f>
        <v>1.0299999999999998</v>
      </c>
      <c r="BA36" s="15">
        <f>MIN(IF($AU36=100%,1,1+VLOOKUP(($AJ36-$AI36-$AH36-$AG36-$AF36-$AE36*(1+BA$3))/$AJ36,'Технический лист'!$A:$B,2,1)-VLOOKUP($AO36,'Технический лист'!$A:$B,2,1)),1+(1-$AU36))</f>
        <v>1.0299999999999998</v>
      </c>
      <c r="BB36" s="15">
        <f>MIN(IF($AU36=100%,1,1+VLOOKUP(($AJ36-$AI36-$AH36-$AG36-$AF36-$AE36*(1+BB$3))/$AJ36,'Технический лист'!$A:$B,2,1)-VLOOKUP($AO36,'Технический лист'!$A:$B,2,1)),1+(1-$AU36))</f>
        <v>1.0299999999999998</v>
      </c>
      <c r="BC36" s="15">
        <f>MIN(IF($AU36=100%,1,1+VLOOKUP(($AJ36-$AI36-$AH36-$AG36-$AF36-$AE36*(1+BC$3))/$AJ36,'Технический лист'!$A:$B,2,1)-VLOOKUP($AO36,'Технический лист'!$A:$B,2,1)),1+(1-$AU36))</f>
        <v>1.0299999999999998</v>
      </c>
      <c r="BD36" s="15">
        <f>MIN(IF($AU36=100%,1,1+VLOOKUP(($AJ36-$AI36-$AH36-$AG36-$AF36-$AE36*(1+BD$3))/$AJ36,'Технический лист'!$A:$B,2,1)-VLOOKUP($AO36,'Технический лист'!$A:$B,2,1)),1+(1-$AU36))</f>
        <v>1.0299999999999998</v>
      </c>
      <c r="BE36" s="15">
        <f>MIN(IF($AU36=100%,1,1+VLOOKUP(($AJ36-$AI36-$AH36-$AG36-$AF36-$AE36*(1+BE$3))/$AJ36,'Технический лист'!$A:$B,2,1)-VLOOKUP($AO36,'Технический лист'!$A:$B,2,1)),1+(1-$AU36))</f>
        <v>1.0299999999999998</v>
      </c>
      <c r="BF36" s="15">
        <f>MIN(IF($AU36=100%,1,1+VLOOKUP(($AJ36-$AI36-$AH36-$AG36-$AF36-$AE36*(1+BF$3))/$AJ36,'Технический лист'!$A:$B,2,1)-VLOOKUP($AO36,'Технический лист'!$A:$B,2,1)),1+(1-$AU36))</f>
        <v>1.0299999999999998</v>
      </c>
      <c r="BG36" s="15">
        <f>MIN(IF($AU36=100%,1,1+VLOOKUP(($AJ36-$AI36-$AH36-$AG36-$AF36-$AE36*(1+BG$3))/$AJ36,'Технический лист'!$A:$B,2,1)-VLOOKUP($AO36,'Технический лист'!$A:$B,2,1)),1+(1-$AU36))</f>
        <v>1.0299999999999998</v>
      </c>
      <c r="BH36" s="15">
        <f>MIN(IF($AU36=100%,1,1+VLOOKUP(($AJ36-$AI36-$AH36-$AG36-$AF36-$AE36*(1+BH$3))/$AJ36,'Технический лист'!$A:$B,2,1)-VLOOKUP($AO36,'Технический лист'!$A:$B,2,1)),1+(1-$AU36))</f>
        <v>1.0299999999999998</v>
      </c>
      <c r="BI36" s="15">
        <f>MIN(IF($AU36=100%,1,1+VLOOKUP(($AJ36-$AI36-$AH36-$AG36-$AF36-$AE36*(1+BI$3))/$AJ36,'Технический лист'!$A:$B,2,1)-VLOOKUP($AO36,'Технический лист'!$A:$B,2,1)),1+(1-$AU36))</f>
        <v>1.0299999999999998</v>
      </c>
      <c r="BJ36" s="15">
        <f>MIN(IF($AU36=100%,1,1+VLOOKUP(($AJ36-$AI36-$AH36-$AG36-$AF36-$AE36*(1+BJ$3))/$AJ36,'Технический лист'!$A:$B,2,1)-VLOOKUP($AO36,'Технический лист'!$A:$B,2,1)),1+(1-$AU36))</f>
        <v>1.0299999999999998</v>
      </c>
      <c r="BK36" s="15">
        <f>MIN(IF($AU36=100%,1,1+VLOOKUP(($AJ36-$AI36-$AH36-$AG36-$AF36-$AE36*(1+BK$3))/$AJ36,'Технический лист'!$A:$B,2,1)-VLOOKUP($AO36,'Технический лист'!$A:$B,2,1)),1+(1-$AU36))</f>
        <v>1.024</v>
      </c>
      <c r="BL36" s="15">
        <f>MIN(IF($AU36=100%,1,1+VLOOKUP(($AJ36-$AI36-$AH36-$AG36-$AF36-$AE36*(1+BL$3))/$AJ36,'Технический лист'!$A:$B,2,1)-VLOOKUP($AO36,'Технический лист'!$A:$B,2,1)),1+(1-$AU36))</f>
        <v>1.024</v>
      </c>
      <c r="BM36" s="15">
        <f>MIN(IF($AU36=100%,1,1+VLOOKUP(($AJ36-$AI36-$AH36-$AG36-$AF36-$AE36*(1+BM$3))/$AJ36,'Технический лист'!$A:$B,2,1)-VLOOKUP($AO36,'Технический лист'!$A:$B,2,1)),1+(1-$AU36))</f>
        <v>1.024</v>
      </c>
      <c r="BN36" s="15">
        <f>MIN(IF($AU36=100%,1,1+VLOOKUP(($AJ36-$AI36-$AH36-$AG36-$AF36-$AE36*(1+BN$3))/$AJ36,'Технический лист'!$A:$B,2,1)-VLOOKUP($AO36,'Технический лист'!$A:$B,2,1)),1+(1-$AU36))</f>
        <v>1.024</v>
      </c>
      <c r="BO36" s="15">
        <f>MIN(IF($AU36=100%,1,1+VLOOKUP(($AJ36-$AI36-$AH36-$AG36-$AF36-$AE36*(1+BO$3))/$AJ36,'Технический лист'!$A:$B,2,1)-VLOOKUP($AO36,'Технический лист'!$A:$B,2,1)),1+(1-$AU36))</f>
        <v>1.024</v>
      </c>
      <c r="BP36" s="15">
        <f>MIN(IF($AU36=100%,1,1+VLOOKUP(($AJ36-$AI36-$AH36-$AG36-$AF36-$AE36*(1+BP$3))/$AJ36,'Технический лист'!$A:$B,2,1)-VLOOKUP($AO36,'Технический лист'!$A:$B,2,1)),1+(1-$AU36))</f>
        <v>1.024</v>
      </c>
      <c r="BQ36" s="15">
        <f>MIN(IF($AU36=100%,1,1+VLOOKUP(($AJ36-$AI36-$AH36-$AG36-$AF36-$AE36*(1+BQ$3))/$AJ36,'Технический лист'!$A:$B,2,1)-VLOOKUP($AO36,'Технический лист'!$A:$B,2,1)),1+(1-$AU36))</f>
        <v>1.024</v>
      </c>
      <c r="BR36" s="15">
        <f>MIN(IF($AU36=100%,1,1+VLOOKUP(($AJ36-$AI36-$AH36-$AG36-$AF36-$AE36*(1+BR$3))/$AJ36,'Технический лист'!$A:$B,2,1)-VLOOKUP($AO36,'Технический лист'!$A:$B,2,1)),1+(1-$AU36))</f>
        <v>1.024</v>
      </c>
      <c r="BS36" s="15">
        <f>MIN(IF($AU36=100%,1,1+VLOOKUP(($AJ36-$AI36-$AH36-$AG36-$AF36-$AE36*(1+BS$3))/$AJ36,'Технический лист'!$A:$B,2,1)-VLOOKUP($AO36,'Технический лист'!$A:$B,2,1)),1+(1-$AU36))</f>
        <v>1.024</v>
      </c>
      <c r="BT36" s="15">
        <f>MIN(IF($AU36=100%,1,1+VLOOKUP(($AJ36-$AI36-$AH36-$AG36-$AF36-$AE36*(1+BT$3))/$AJ36,'Технический лист'!$A:$B,2,1)-VLOOKUP($AO36,'Технический лист'!$A:$B,2,1)),1+(1-$AU36))</f>
        <v>1.024</v>
      </c>
      <c r="BU36" s="15">
        <f>MIN(IF($AU36=100%,1,1+VLOOKUP(($AJ36-$AI36-$AH36-$AG36-$AF36-$AE36*(1+BU$3))/$AJ36,'Технический лист'!$A:$B,2,1)-VLOOKUP($AO36,'Технический лист'!$A:$B,2,1)),1+(1-$AU36))</f>
        <v>1.024</v>
      </c>
      <c r="BV36" s="15">
        <f>MIN(IF($AU36=100%,1,1+VLOOKUP(($AJ36-$AI36-$AH36-$AG36-$AF36-$AE36*(1+BV$3))/$AJ36,'Технический лист'!$A:$B,2,1)-VLOOKUP($AO36,'Технический лист'!$A:$B,2,1)),1+(1-$AU36))</f>
        <v>1.024</v>
      </c>
      <c r="BW36" s="15">
        <f>MIN(IF($AU36=100%,1,1+VLOOKUP(($AJ36-$AI36-$AH36-$AG36-$AF36-$AE36*(1+BW$3))/$AJ36,'Технический лист'!$A:$B,2,1)-VLOOKUP($AO36,'Технический лист'!$A:$B,2,1)),1+(1-$AU36))</f>
        <v>1.024</v>
      </c>
      <c r="BX36" s="15">
        <f>MIN(IF($AU36=100%,1,1+VLOOKUP(($AJ36-$AI36-$AH36-$AG36-$AF36-$AE36*(1+BX$3))/$AJ36,'Технический лист'!$A:$B,2,1)-VLOOKUP($AO36,'Технический лист'!$A:$B,2,1)),1+(1-$AU36))</f>
        <v>1.024</v>
      </c>
      <c r="BY36" s="15">
        <f>MIN(IF($AU36=100%,1,1+VLOOKUP(($AJ36-$AI36-$AH36-$AG36-$AF36-$AE36*(1+BY$3))/$AJ36,'Технический лист'!$A:$B,2,1)-VLOOKUP($AO36,'Технический лист'!$A:$B,2,1)),1+(1-$AU36))</f>
        <v>1.024</v>
      </c>
      <c r="BZ36" s="15">
        <f>MIN(IF($AU36=100%,1,1+VLOOKUP(($AJ36-$AI36-$AH36-$AG36-$AF36-$AE36*(1+BZ$3))/$AJ36,'Технический лист'!$A:$B,2,1)-VLOOKUP($AO36,'Технический лист'!$A:$B,2,1)),1+(1-$AU36))</f>
        <v>1.024</v>
      </c>
      <c r="CA36" s="15">
        <f>MIN(IF($AU36=100%,1,1+VLOOKUP(($AJ36-$AI36-$AH36-$AG36-$AF36-$AE36*(1+CA$3))/$AJ36,'Технический лист'!$A:$B,2,1)-VLOOKUP($AO36,'Технический лист'!$A:$B,2,1)),1+(1-$AU36))</f>
        <v>1.024</v>
      </c>
      <c r="CB36" s="15">
        <f>MIN(IF($AU36=100%,1,1+VLOOKUP(($AJ36-$AI36-$AH36-$AG36-$AF36-$AE36*(1+CB$3))/$AJ36,'Технический лист'!$A:$B,2,1)-VLOOKUP($AO36,'Технический лист'!$A:$B,2,1)),1+(1-$AU36))</f>
        <v>1.024</v>
      </c>
      <c r="CC36" s="15">
        <f>MIN(IF($AU36=100%,1,1+VLOOKUP(($AJ36-$AI36-$AH36-$AG36-$AF36-$AE36*(1+CC$3))/$AJ36,'Технический лист'!$A:$B,2,1)-VLOOKUP($AO36,'Технический лист'!$A:$B,2,1)),1+(1-$AU36))</f>
        <v>1.024</v>
      </c>
      <c r="CD36" s="15">
        <f>MIN(IF($AU36=100%,1,1+VLOOKUP(($AJ36-$AI36-$AH36-$AG36-$AF36-$AE36*(1+CD$3))/$AJ36,'Технический лист'!$A:$B,2,1)-VLOOKUP($AO36,'Технический лист'!$A:$B,2,1)),1+(1-$AU36))</f>
        <v>1.024</v>
      </c>
      <c r="CE36" s="15">
        <f>MIN(IF($AU36=100%,1,1+VLOOKUP(($AJ36-$AI36-$AH36-$AG36-$AF36-$AE36*(1+CE$3))/$AJ36,'Технический лист'!$A:$B,2,1)-VLOOKUP($AO36,'Технический лист'!$A:$B,2,1)),1+(1-$AU36))</f>
        <v>1.024</v>
      </c>
      <c r="CF36" s="15">
        <f>MIN(IF($AU36=100%,1,1+VLOOKUP(($AJ36-$AI36-$AH36-$AG36-$AF36-$AE36*(1+CF$3))/$AJ36,'Технический лист'!$A:$B,2,1)-VLOOKUP($AO36,'Технический лист'!$A:$B,2,1)),1+(1-$AU36))</f>
        <v>1.0180000000000002</v>
      </c>
      <c r="CG36" s="15">
        <f>MIN(IF($AU36=100%,1,1+VLOOKUP(($AJ36-$AI36-$AH36-$AG36-$AF36-$AE36*(1+CG$3))/$AJ36,'Технический лист'!$A:$B,2,1)-VLOOKUP($AO36,'Технический лист'!$A:$B,2,1)),1+(1-$AU36))</f>
        <v>1.0180000000000002</v>
      </c>
      <c r="CH36" s="15">
        <f>MIN(IF($AU36=100%,1,1+VLOOKUP(($AJ36-$AI36-$AH36-$AG36-$AF36-$AE36*(1+CH$3))/$AJ36,'Технический лист'!$A:$B,2,1)-VLOOKUP($AO36,'Технический лист'!$A:$B,2,1)),1+(1-$AU36))</f>
        <v>1.0180000000000002</v>
      </c>
      <c r="CI36" s="15">
        <f>MIN(IF($AU36=100%,1,1+VLOOKUP(($AJ36-$AI36-$AH36-$AG36-$AF36-$AE36*(1+CI$3))/$AJ36,'Технический лист'!$A:$B,2,1)-VLOOKUP($AO36,'Технический лист'!$A:$B,2,1)),1+(1-$AU36))</f>
        <v>1.0180000000000002</v>
      </c>
      <c r="CJ36" s="15">
        <f>MIN(IF($AU36=100%,1,1+VLOOKUP(($AJ36-$AI36-$AH36-$AG36-$AF36-$AE36*(1+CJ$3))/$AJ36,'Технический лист'!$A:$B,2,1)-VLOOKUP($AO36,'Технический лист'!$A:$B,2,1)),1+(1-$AU36))</f>
        <v>1.0180000000000002</v>
      </c>
      <c r="CK36" s="15">
        <f>MIN(IF($AU36=100%,1,1+VLOOKUP(($AJ36-$AI36-$AH36-$AG36-$AF36-$AE36*(1+CK$3))/$AJ36,'Технический лист'!$A:$B,2,1)-VLOOKUP($AO36,'Технический лист'!$A:$B,2,1)),1+(1-$AU36))</f>
        <v>1.0180000000000002</v>
      </c>
      <c r="CL36" s="15">
        <f>MIN(IF($AU36=100%,1,1+VLOOKUP(($AJ36-$AI36-$AH36-$AG36-$AF36-$AE36*(1+CL$3))/$AJ36,'Технический лист'!$A:$B,2,1)-VLOOKUP($AO36,'Технический лист'!$A:$B,2,1)),1+(1-$AU36))</f>
        <v>1.0180000000000002</v>
      </c>
      <c r="CM36" s="15">
        <f>MIN(IF($AU36=100%,1,1+VLOOKUP(($AJ36-$AI36-$AH36-$AG36-$AF36-$AE36*(1+CM$3))/$AJ36,'Технический лист'!$A:$B,2,1)-VLOOKUP($AO36,'Технический лист'!$A:$B,2,1)),1+(1-$AU36))</f>
        <v>1.0180000000000002</v>
      </c>
      <c r="CN36" s="15">
        <f>MIN(IF($AU36=100%,1,1+VLOOKUP(($AJ36-$AI36-$AH36-$AG36-$AF36-$AE36*(1+CN$3))/$AJ36,'Технический лист'!$A:$B,2,1)-VLOOKUP($AO36,'Технический лист'!$A:$B,2,1)),1+(1-$AU36))</f>
        <v>1.0180000000000002</v>
      </c>
      <c r="CO36" s="15">
        <f>MIN(IF($AU36=100%,1,1+VLOOKUP(($AJ36-$AI36-$AH36-$AG36-$AF36-$AE36*(1+CO$3))/$AJ36,'Технический лист'!$A:$B,2,1)-VLOOKUP($AO36,'Технический лист'!$A:$B,2,1)),1+(1-$AU36))</f>
        <v>1.0180000000000002</v>
      </c>
      <c r="CP36" s="15">
        <f>MIN(IF($AU36=100%,1,1+VLOOKUP(($AJ36-$AI36-$AH36-$AG36-$AF36-$AE36*(1+CP$3))/$AJ36,'Технический лист'!$A:$B,2,1)-VLOOKUP($AO36,'Технический лист'!$A:$B,2,1)),1+(1-$AU36))</f>
        <v>1.0180000000000002</v>
      </c>
      <c r="CQ36" s="15">
        <f>MIN(IF($AU36=100%,1,1+VLOOKUP(($AJ36-$AI36-$AH36-$AG36-$AF36-$AE36*(1+CQ$3))/$AJ36,'Технический лист'!$A:$B,2,1)-VLOOKUP($AO36,'Технический лист'!$A:$B,2,1)),1+(1-$AU36))</f>
        <v>1.0180000000000002</v>
      </c>
      <c r="CR36" s="15">
        <f>MIN(IF($AU36=100%,1,1+VLOOKUP(($AJ36-$AI36-$AH36-$AG36-$AF36-$AE36*(1+CR$3))/$AJ36,'Технический лист'!$A:$B,2,1)-VLOOKUP($AO36,'Технический лист'!$A:$B,2,1)),1+(1-$AU36))</f>
        <v>1.0180000000000002</v>
      </c>
      <c r="CS36" s="15">
        <f>MIN(IF($AU36=100%,1,1+VLOOKUP(($AJ36-$AI36-$AH36-$AG36-$AF36-$AE36*(1+CS$3))/$AJ36,'Технический лист'!$A:$B,2,1)-VLOOKUP($AO36,'Технический лист'!$A:$B,2,1)),1+(1-$AU36))</f>
        <v>1.0180000000000002</v>
      </c>
      <c r="CT36" s="15">
        <f>MIN(IF($AU36=100%,1,1+VLOOKUP(($AJ36-$AI36-$AH36-$AG36-$AF36-$AE36*(1+CT$3))/$AJ36,'Технический лист'!$A:$B,2,1)-VLOOKUP($AO36,'Технический лист'!$A:$B,2,1)),1+(1-$AU36))</f>
        <v>1.0180000000000002</v>
      </c>
      <c r="CU36" s="15">
        <f>MIN(IF($AU36=100%,1,1+VLOOKUP(($AJ36-$AI36-$AH36-$AG36-$AF36-$AE36*(1+CU$3))/$AJ36,'Технический лист'!$A:$B,2,1)-VLOOKUP($AO36,'Технический лист'!$A:$B,2,1)),1+(1-$AU36))</f>
        <v>1.0180000000000002</v>
      </c>
      <c r="CV36" s="15">
        <f>MIN(IF($AU36=100%,1,1+VLOOKUP(($AJ36-$AI36-$AH36-$AG36-$AF36-$AE36*(1+CV$3))/$AJ36,'Технический лист'!$A:$B,2,1)-VLOOKUP($AO36,'Технический лист'!$A:$B,2,1)),1+(1-$AU36))</f>
        <v>1.0180000000000002</v>
      </c>
      <c r="CW36" s="15">
        <f>MIN(IF($AU36=100%,1,1+VLOOKUP(($AJ36-$AI36-$AH36-$AG36-$AF36-$AE36*(1+CW$3))/$AJ36,'Технический лист'!$A:$B,2,1)-VLOOKUP($AO36,'Технический лист'!$A:$B,2,1)),1+(1-$AU36))</f>
        <v>1.0180000000000002</v>
      </c>
      <c r="CX36" s="15">
        <f>MIN(IF($AU36=100%,1,1+VLOOKUP(($AJ36-$AI36-$AH36-$AG36-$AF36-$AE36*(1+CX$3))/$AJ36,'Технический лист'!$A:$B,2,1)-VLOOKUP($AO36,'Технический лист'!$A:$B,2,1)),1+(1-$AU36))</f>
        <v>1.0180000000000002</v>
      </c>
      <c r="CY36" s="15">
        <f>MIN(IF($AU36=100%,1,1+VLOOKUP(($AJ36-$AI36-$AH36-$AG36-$AF36-$AE36*(1+CY$3))/$AJ36,'Технический лист'!$A:$B,2,1)-VLOOKUP($AO36,'Технический лист'!$A:$B,2,1)),1+(1-$AU36))</f>
        <v>1.0180000000000002</v>
      </c>
      <c r="CZ36" s="15">
        <f>MIN(IF($AU36=100%,1,1+VLOOKUP(($AJ36-$AI36-$AH36-$AG36-$AF36-$AE36*(1+CZ$3))/$AJ36,'Технический лист'!$A:$B,2,1)-VLOOKUP($AO36,'Технический лист'!$A:$B,2,1)),1+(1-$AU36))</f>
        <v>1.0180000000000002</v>
      </c>
      <c r="DA36" s="15">
        <f>MIN(IF($AU36=100%,1,1+VLOOKUP(($AJ36-$AI36-$AH36-$AG36-$AF36-$AE36*(1+DA$3))/$AJ36,'Технический лист'!$A:$B,2,1)-VLOOKUP($AO36,'Технический лист'!$A:$B,2,1)),1+(1-$AU36))</f>
        <v>1.0180000000000002</v>
      </c>
      <c r="DB36" s="15">
        <f>MIN(IF($AU36=100%,1,1+VLOOKUP(($AJ36-$AI36-$AH36-$AG36-$AF36-$AE36*(1+DB$3))/$AJ36,'Технический лист'!$A:$B,2,1)-VLOOKUP($AO36,'Технический лист'!$A:$B,2,1)),1+(1-$AU36))</f>
        <v>1.012</v>
      </c>
      <c r="DC36" s="15">
        <f>MIN(IF($AU36=100%,1,1+VLOOKUP(($AJ36-$AI36-$AH36-$AG36-$AF36-$AE36*(1+DC$3))/$AJ36,'Технический лист'!$A:$B,2,1)-VLOOKUP($AO36,'Технический лист'!$A:$B,2,1)),1+(1-$AU36))</f>
        <v>1.012</v>
      </c>
      <c r="DD36" s="15">
        <f>MIN(IF($AU36=100%,1,1+VLOOKUP(($AJ36-$AI36-$AH36-$AG36-$AF36-$AE36*(1+DD$3))/$AJ36,'Технический лист'!$A:$B,2,1)-VLOOKUP($AO36,'Технический лист'!$A:$B,2,1)),1+(1-$AU36))</f>
        <v>1.012</v>
      </c>
      <c r="DE36" s="15">
        <f>MIN(IF($AU36=100%,1,1+VLOOKUP(($AJ36-$AI36-$AH36-$AG36-$AF36-$AE36*(1+DE$3))/$AJ36,'Технический лист'!$A:$B,2,1)-VLOOKUP($AO36,'Технический лист'!$A:$B,2,1)),1+(1-$AU36))</f>
        <v>1.012</v>
      </c>
      <c r="DF36" s="15">
        <f>MIN(IF($AU36=100%,1,1+VLOOKUP(($AJ36-$AI36-$AH36-$AG36-$AF36-$AE36*(1+DF$3))/$AJ36,'Технический лист'!$A:$B,2,1)-VLOOKUP($AO36,'Технический лист'!$A:$B,2,1)),1+(1-$AU36))</f>
        <v>1.012</v>
      </c>
      <c r="DG36" s="15">
        <f>MIN(IF($AU36=100%,1,1+VLOOKUP(($AJ36-$AI36-$AH36-$AG36-$AF36-$AE36*(1+DG$3))/$AJ36,'Технический лист'!$A:$B,2,1)-VLOOKUP($AO36,'Технический лист'!$A:$B,2,1)),1+(1-$AU36))</f>
        <v>1.012</v>
      </c>
      <c r="DH36" s="15">
        <f>MIN(IF($AU36=100%,1,1+VLOOKUP(($AJ36-$AI36-$AH36-$AG36-$AF36-$AE36*(1+DH$3))/$AJ36,'Технический лист'!$A:$B,2,1)-VLOOKUP($AO36,'Технический лист'!$A:$B,2,1)),1+(1-$AU36))</f>
        <v>1.012</v>
      </c>
      <c r="DI36" s="15">
        <f>MIN(IF($AU36=100%,1,1+VLOOKUP(($AJ36-$AI36-$AH36-$AG36-$AF36-$AE36*(1+DI$3))/$AJ36,'Технический лист'!$A:$B,2,1)-VLOOKUP($AO36,'Технический лист'!$A:$B,2,1)),1+(1-$AU36))</f>
        <v>1.012</v>
      </c>
      <c r="DJ36" s="15">
        <f>MIN(IF($AU36=100%,1,1+VLOOKUP(($AJ36-$AI36-$AH36-$AG36-$AF36-$AE36*(1+DJ$3))/$AJ36,'Технический лист'!$A:$B,2,1)-VLOOKUP($AO36,'Технический лист'!$A:$B,2,1)),1+(1-$AU36))</f>
        <v>1.012</v>
      </c>
      <c r="DK36" s="15">
        <f>MIN(IF($AU36=100%,1,1+VLOOKUP(($AJ36-$AI36-$AH36-$AG36-$AF36-$AE36*(1+DK$3))/$AJ36,'Технический лист'!$A:$B,2,1)-VLOOKUP($AO36,'Технический лист'!$A:$B,2,1)),1+(1-$AU36))</f>
        <v>1.012</v>
      </c>
      <c r="DL36" s="15">
        <f>MIN(IF($AU36=100%,1,1+VLOOKUP(($AJ36-$AI36-$AH36-$AG36-$AF36-$AE36*(1+DL$3))/$AJ36,'Технический лист'!$A:$B,2,1)-VLOOKUP($AO36,'Технический лист'!$A:$B,2,1)),1+(1-$AU36))</f>
        <v>1.012</v>
      </c>
      <c r="DM36" s="15">
        <f>MIN(IF($AU36=100%,1,1+VLOOKUP(($AJ36-$AI36-$AH36-$AG36-$AF36-$AE36*(1+DM$3))/$AJ36,'Технический лист'!$A:$B,2,1)-VLOOKUP($AO36,'Технический лист'!$A:$B,2,1)),1+(1-$AU36))</f>
        <v>1.012</v>
      </c>
      <c r="DN36" s="15">
        <f>MIN(IF($AU36=100%,1,1+VLOOKUP(($AJ36-$AI36-$AH36-$AG36-$AF36-$AE36*(1+DN$3))/$AJ36,'Технический лист'!$A:$B,2,1)-VLOOKUP($AO36,'Технический лист'!$A:$B,2,1)),1+(1-$AU36))</f>
        <v>1.012</v>
      </c>
      <c r="DO36" s="15">
        <f>MIN(IF($AU36=100%,1,1+VLOOKUP(($AJ36-$AI36-$AH36-$AG36-$AF36-$AE36*(1+DO$3))/$AJ36,'Технический лист'!$A:$B,2,1)-VLOOKUP($AO36,'Технический лист'!$A:$B,2,1)),1+(1-$AU36))</f>
        <v>1.012</v>
      </c>
      <c r="DP36" s="15">
        <f>MIN(IF($AU36=100%,1,1+VLOOKUP(($AJ36-$AI36-$AH36-$AG36-$AF36-$AE36*(1+DP$3))/$AJ36,'Технический лист'!$A:$B,2,1)-VLOOKUP($AO36,'Технический лист'!$A:$B,2,1)),1+(1-$AU36))</f>
        <v>1.012</v>
      </c>
      <c r="DQ36" s="15">
        <f>MIN(IF($AU36=100%,1,1+VLOOKUP(($AJ36-$AI36-$AH36-$AG36-$AF36-$AE36*(1+DQ$3))/$AJ36,'Технический лист'!$A:$B,2,1)-VLOOKUP($AO36,'Технический лист'!$A:$B,2,1)),1+(1-$AU36))</f>
        <v>1.012</v>
      </c>
      <c r="DR36" s="15">
        <f>MIN(IF($AU36=100%,1,1+VLOOKUP(($AJ36-$AI36-$AH36-$AG36-$AF36-$AE36*(1+DR$3))/$AJ36,'Технический лист'!$A:$B,2,1)-VLOOKUP($AO36,'Технический лист'!$A:$B,2,1)),1+(1-$AU36))</f>
        <v>1.012</v>
      </c>
      <c r="DS36" s="15">
        <f>MIN(IF($AU36=100%,1,1+VLOOKUP(($AJ36-$AI36-$AH36-$AG36-$AF36-$AE36*(1+DS$3))/$AJ36,'Технический лист'!$A:$B,2,1)-VLOOKUP($AO36,'Технический лист'!$A:$B,2,1)),1+(1-$AU36))</f>
        <v>1.012</v>
      </c>
      <c r="DT36" s="15">
        <f>MIN(IF($AU36=100%,1,1+VLOOKUP(($AJ36-$AI36-$AH36-$AG36-$AF36-$AE36*(1+DT$3))/$AJ36,'Технический лист'!$A:$B,2,1)-VLOOKUP($AO36,'Технический лист'!$A:$B,2,1)),1+(1-$AU36))</f>
        <v>1.012</v>
      </c>
      <c r="DU36" s="15">
        <f>MIN(IF($AU36=100%,1,1+VLOOKUP(($AJ36-$AI36-$AH36-$AG36-$AF36-$AE36*(1+DU$3))/$AJ36,'Технический лист'!$A:$B,2,1)-VLOOKUP($AO36,'Технический лист'!$A:$B,2,1)),1+(1-$AU36))</f>
        <v>1.012</v>
      </c>
      <c r="DV36" s="15">
        <f>MIN(IF($AU36=100%,1,1+VLOOKUP(($AJ36-$AI36-$AH36-$AG36-$AF36-$AE36*(1+DV$3))/$AJ36,'Технический лист'!$A:$B,2,1)-VLOOKUP($AO36,'Технический лист'!$A:$B,2,1)),1+(1-$AU36))</f>
        <v>1.012</v>
      </c>
      <c r="DW36" s="15">
        <f>MIN(IF($AU36=100%,1,1+VLOOKUP(($AJ36-$AI36-$AH36-$AG36-$AF36-$AE36*(1+DW$3))/$AJ36,'Технический лист'!$A:$B,2,1)-VLOOKUP($AO36,'Технический лист'!$A:$B,2,1)),1+(1-$AU36))</f>
        <v>1.0059999999999998</v>
      </c>
      <c r="DX36" s="15">
        <f>MIN(IF($AU36=100%,1,1+VLOOKUP(($AJ36-$AI36-$AH36-$AG36-$AF36-$AE36*(1+DX$3))/$AJ36,'Технический лист'!$A:$B,2,1)-VLOOKUP($AO36,'Технический лист'!$A:$B,2,1)),1+(1-$AU36))</f>
        <v>1.0059999999999998</v>
      </c>
      <c r="DY36" s="15">
        <f>MIN(IF($AU36=100%,1,1+VLOOKUP(($AJ36-$AI36-$AH36-$AG36-$AF36-$AE36*(1+DY$3))/$AJ36,'Технический лист'!$A:$B,2,1)-VLOOKUP($AO36,'Технический лист'!$A:$B,2,1)),1+(1-$AU36))</f>
        <v>1.0059999999999998</v>
      </c>
      <c r="DZ36" s="15">
        <f>MIN(IF($AU36=100%,1,1+VLOOKUP(($AJ36-$AI36-$AH36-$AG36-$AF36-$AE36*(1+DZ$3))/$AJ36,'Технический лист'!$A:$B,2,1)-VLOOKUP($AO36,'Технический лист'!$A:$B,2,1)),1+(1-$AU36))</f>
        <v>1.0059999999999998</v>
      </c>
      <c r="EA36" s="15">
        <f>MIN(IF($AU36=100%,1,1+VLOOKUP(($AJ36-$AI36-$AH36-$AG36-$AF36-$AE36*(1+EA$3))/$AJ36,'Технический лист'!$A:$B,2,1)-VLOOKUP($AO36,'Технический лист'!$A:$B,2,1)),1+(1-$AU36))</f>
        <v>1.0059999999999998</v>
      </c>
      <c r="EB36" s="15">
        <f>MIN(IF($AU36=100%,1,1+VLOOKUP(($AJ36-$AI36-$AH36-$AG36-$AF36-$AE36*(1+EB$3))/$AJ36,'Технический лист'!$A:$B,2,1)-VLOOKUP($AO36,'Технический лист'!$A:$B,2,1)),1+(1-$AU36))</f>
        <v>1.0059999999999998</v>
      </c>
      <c r="EC36" s="15">
        <f>MIN(IF($AU36=100%,1,1+VLOOKUP(($AJ36-$AI36-$AH36-$AG36-$AF36-$AE36*(1+EC$3))/$AJ36,'Технический лист'!$A:$B,2,1)-VLOOKUP($AO36,'Технический лист'!$A:$B,2,1)),1+(1-$AU36))</f>
        <v>1.0059999999999998</v>
      </c>
      <c r="ED36" s="15">
        <f>MIN(IF($AU36=100%,1,1+VLOOKUP(($AJ36-$AI36-$AH36-$AG36-$AF36-$AE36*(1+ED$3))/$AJ36,'Технический лист'!$A:$B,2,1)-VLOOKUP($AO36,'Технический лист'!$A:$B,2,1)),1+(1-$AU36))</f>
        <v>1.0059999999999998</v>
      </c>
      <c r="EE36" s="15">
        <f>MIN(IF($AU36=100%,1,1+VLOOKUP(($AJ36-$AI36-$AH36-$AG36-$AF36-$AE36*(1+EE$3))/$AJ36,'Технический лист'!$A:$B,2,1)-VLOOKUP($AO36,'Технический лист'!$A:$B,2,1)),1+(1-$AU36))</f>
        <v>1.0059999999999998</v>
      </c>
      <c r="EF36" s="15">
        <f>MIN(IF($AU36=100%,1,1+VLOOKUP(($AJ36-$AI36-$AH36-$AG36-$AF36-$AE36*(1+EF$3))/$AJ36,'Технический лист'!$A:$B,2,1)-VLOOKUP($AO36,'Технический лист'!$A:$B,2,1)),1+(1-$AU36))</f>
        <v>1.0059999999999998</v>
      </c>
      <c r="EG36" s="15">
        <f>MIN(IF($AU36=100%,1,1+VLOOKUP(($AJ36-$AI36-$AH36-$AG36-$AF36-$AE36*(1+EG$3))/$AJ36,'Технический лист'!$A:$B,2,1)-VLOOKUP($AO36,'Технический лист'!$A:$B,2,1)),1+(1-$AU36))</f>
        <v>1.0059999999999998</v>
      </c>
      <c r="EH36" s="15">
        <f>MIN(IF($AU36=100%,1,1+VLOOKUP(($AJ36-$AI36-$AH36-$AG36-$AF36-$AE36*(1+EH$3))/$AJ36,'Технический лист'!$A:$B,2,1)-VLOOKUP($AO36,'Технический лист'!$A:$B,2,1)),1+(1-$AU36))</f>
        <v>1.0059999999999998</v>
      </c>
      <c r="EI36" s="15">
        <f>MIN(IF($AU36=100%,1,1+VLOOKUP(($AJ36-$AI36-$AH36-$AG36-$AF36-$AE36*(1+EI$3))/$AJ36,'Технический лист'!$A:$B,2,1)-VLOOKUP($AO36,'Технический лист'!$A:$B,2,1)),1+(1-$AU36))</f>
        <v>1.0059999999999998</v>
      </c>
      <c r="EJ36" s="15">
        <f>MIN(IF($AU36=100%,1,1+VLOOKUP(($AJ36-$AI36-$AH36-$AG36-$AF36-$AE36*(1+EJ$3))/$AJ36,'Технический лист'!$A:$B,2,1)-VLOOKUP($AO36,'Технический лист'!$A:$B,2,1)),1+(1-$AU36))</f>
        <v>1.0059999999999998</v>
      </c>
      <c r="EK36" s="15">
        <f>MIN(IF($AU36=100%,1,1+VLOOKUP(($AJ36-$AI36-$AH36-$AG36-$AF36-$AE36*(1+EK$3))/$AJ36,'Технический лист'!$A:$B,2,1)-VLOOKUP($AO36,'Технический лист'!$A:$B,2,1)),1+(1-$AU36))</f>
        <v>1.0059999999999998</v>
      </c>
      <c r="EL36" s="15">
        <f>MIN(IF($AU36=100%,1,1+VLOOKUP(($AJ36-$AI36-$AH36-$AG36-$AF36-$AE36*(1+EL$3))/$AJ36,'Технический лист'!$A:$B,2,1)-VLOOKUP($AO36,'Технический лист'!$A:$B,2,1)),1+(1-$AU36))</f>
        <v>1.0059999999999998</v>
      </c>
      <c r="EM36" s="15">
        <f>MIN(IF($AU36=100%,1,1+VLOOKUP(($AJ36-$AI36-$AH36-$AG36-$AF36-$AE36*(1+EM$3))/$AJ36,'Технический лист'!$A:$B,2,1)-VLOOKUP($AO36,'Технический лист'!$A:$B,2,1)),1+(1-$AU36))</f>
        <v>1.0059999999999998</v>
      </c>
      <c r="EN36" s="15">
        <f>MIN(IF($AU36=100%,1,1+VLOOKUP(($AJ36-$AI36-$AH36-$AG36-$AF36-$AE36*(1+EN$3))/$AJ36,'Технический лист'!$A:$B,2,1)-VLOOKUP($AO36,'Технический лист'!$A:$B,2,1)),1+(1-$AU36))</f>
        <v>1.0059999999999998</v>
      </c>
      <c r="EO36" s="15">
        <f>MIN(IF($AU36=100%,1,1+VLOOKUP(($AJ36-$AI36-$AH36-$AG36-$AF36-$AE36*(1+EO$3))/$AJ36,'Технический лист'!$A:$B,2,1)-VLOOKUP($AO36,'Технический лист'!$A:$B,2,1)),1+(1-$AU36))</f>
        <v>1.0059999999999998</v>
      </c>
      <c r="EP36" s="15">
        <f>MIN(IF($AU36=100%,1,1+VLOOKUP(($AJ36-$AI36-$AH36-$AG36-$AF36-$AE36*(1+EP$3))/$AJ36,'Технический лист'!$A:$B,2,1)-VLOOKUP($AO36,'Технический лист'!$A:$B,2,1)),1+(1-$AU36))</f>
        <v>1.0059999999999998</v>
      </c>
      <c r="EQ36" s="15">
        <f>MIN(IF($AU36=100%,1,1+VLOOKUP(($AJ36-$AI36-$AH36-$AG36-$AF36-$AE36*(1+EQ$3))/$AJ36,'Технический лист'!$A:$B,2,1)-VLOOKUP($AO36,'Технический лист'!$A:$B,2,1)),1+(1-$AU36))</f>
        <v>1.0059999999999998</v>
      </c>
      <c r="ER36" s="15">
        <f>MIN(IF($AU36=100%,1,1+VLOOKUP(($AJ36-$AI36-$AH36-$AG36-$AF36-$AE36*(1+ER$3))/$AJ36,'Технический лист'!$A:$B,2,1)-VLOOKUP($AO36,'Технический лист'!$A:$B,2,1)),1+(1-$AU36))</f>
        <v>1.0059999999999998</v>
      </c>
      <c r="ES36" s="15">
        <f>MIN(IF($AU36=100%,1,1+VLOOKUP(($AJ36-$AI36-$AH36-$AG36-$AF36-$AE36*(1+ES$3))/$AJ36,'Технический лист'!$A:$B,2,1)-VLOOKUP($AO36,'Технический лист'!$A:$B,2,1)),1+(1-$AU36))</f>
        <v>1</v>
      </c>
      <c r="ET36" s="15">
        <f>MIN(IF($AU36=100%,1,1+VLOOKUP(($AJ36-$AI36-$AH36-$AG36-$AF36-$AE36*(1+ET$3))/$AJ36,'Технический лист'!$A:$B,2,1)-VLOOKUP($AO36,'Технический лист'!$A:$B,2,1)),1+(1-$AU36))</f>
        <v>1</v>
      </c>
      <c r="EU36" s="15">
        <f>MIN(IF($AU36=100%,1,1+VLOOKUP(($AJ36-$AI36-$AH36-$AG36-$AF36-$AE36*(1+EU$3))/$AJ36,'Технический лист'!$A:$B,2,1)-VLOOKUP($AO36,'Технический лист'!$A:$B,2,1)),1+(1-$AU36))</f>
        <v>1</v>
      </c>
      <c r="EV36" s="111">
        <v>1</v>
      </c>
      <c r="EW36" s="15">
        <f>MIN(1,MAX(VLOOKUP(($AJ36-$AI36-$AH36-$AG36-$AF36-$AE36*(1+EW$3))/$AJ36,'Технический лист'!$A:$B,2,1),(EV36-0.05)))</f>
        <v>1</v>
      </c>
      <c r="EX36" s="15">
        <f>MIN(1,MAX(VLOOKUP(($AJ36-$AI36-$AH36-$AG36-$AF36-$AE36*(1+EX$3))/$AJ36,'Технический лист'!$A:$B,2,1),(EW36-0.05)))</f>
        <v>1</v>
      </c>
      <c r="EY36" s="15">
        <f>MIN(1,MAX(VLOOKUP(($AJ36-$AI36-$AH36-$AG36-$AF36-$AE36*(1+EY$3))/$AJ36,'Технический лист'!$A:$B,2,1),(EX36-0.05)))</f>
        <v>1</v>
      </c>
      <c r="EZ36" s="15">
        <f>MIN(1,MAX(VLOOKUP(($AJ36-$AI36-$AH36-$AG36-$AF36-$AE36*(1+EZ$3))/$AJ36,'Технический лист'!$A:$B,2,1),(EY36-0.05)))</f>
        <v>1</v>
      </c>
      <c r="FA36" s="15">
        <f>MIN(1,MAX(VLOOKUP(($AJ36-$AI36-$AH36-$AG36-$AF36-$AE36*(1+FA$3))/$AJ36,'Технический лист'!$A:$B,2,1),(EZ36-0.05)))</f>
        <v>1</v>
      </c>
      <c r="FB36" s="15">
        <f>MIN(1,MAX(VLOOKUP(($AJ36-$AI36-$AH36-$AG36-$AF36-$AE36*(1+FB$3))/$AJ36,'Технический лист'!$A:$B,2,1),(FA36-0.05)))</f>
        <v>1</v>
      </c>
      <c r="FC36" s="15">
        <f>MIN(1,MAX(VLOOKUP(($AJ36-$AI36-$AH36-$AG36-$AF36-$AE36*(1+FC$3))/$AJ36,'Технический лист'!$A:$B,2,1),(FB36-0.05)))</f>
        <v>1</v>
      </c>
      <c r="FD36" s="15">
        <f>MIN(1,MAX(VLOOKUP(($AJ36-$AI36-$AH36-$AG36-$AF36-$AE36*(1+FD$3))/$AJ36,'Технический лист'!$A:$B,2,1),(FC36-0.05)))</f>
        <v>1</v>
      </c>
      <c r="FE36" s="15">
        <f>MIN(1,MAX(VLOOKUP(($AJ36-$AI36-$AH36-$AG36-$AF36-$AE36*(1+FE$3))/$AJ36,'Технический лист'!$A:$B,2,1),(FD36-0.05)))</f>
        <v>1</v>
      </c>
      <c r="FF36" s="15">
        <f>MIN(1,MAX(VLOOKUP(($AJ36-$AI36-$AH36-$AG36-$AF36-$AE36*(1+FF$3))/$AJ36,'Технический лист'!$A:$B,2,1),(FE36-0.05)))</f>
        <v>1</v>
      </c>
      <c r="FG36" s="15">
        <f>MIN(1,MAX(VLOOKUP(($AJ36-$AI36-$AH36-$AG36-$AF36-$AE36*(1+FG$3))/$AJ36,'Технический лист'!$A:$B,2,1),(FF36-0.05)))</f>
        <v>1</v>
      </c>
      <c r="FH36" s="15">
        <f>MIN(1,MAX(VLOOKUP(($AJ36-$AI36-$AH36-$AG36-$AF36-$AE36*(1+FH$3))/$AJ36,'Технический лист'!$A:$B,2,1),(FG36-0.05)))</f>
        <v>1</v>
      </c>
      <c r="FI36" s="15">
        <f>MIN(1,MAX(VLOOKUP(($AJ36-$AI36-$AH36-$AG36-$AF36-$AE36*(1+FI$3))/$AJ36,'Технический лист'!$A:$B,2,1),(FH36-0.05)))</f>
        <v>1</v>
      </c>
      <c r="FJ36" s="15">
        <f>MIN(1,MAX(VLOOKUP(($AJ36-$AI36-$AH36-$AG36-$AF36-$AE36*(1+FJ$3))/$AJ36,'Технический лист'!$A:$B,2,1),(FI36-0.05)))</f>
        <v>1</v>
      </c>
      <c r="FK36" s="15">
        <f>MIN(1,MAX(VLOOKUP(($AJ36-$AI36-$AH36-$AG36-$AF36-$AE36*(1+FK$3))/$AJ36,'Технический лист'!$A:$B,2,1),(FJ36-0.05)))</f>
        <v>1</v>
      </c>
      <c r="FL36" s="15">
        <f>MIN(1,MAX(VLOOKUP(($AJ36-$AI36-$AH36-$AG36-$AF36-$AE36*(1+FL$3))/$AJ36,'Технический лист'!$A:$B,2,1),(FK36-0.05)))</f>
        <v>1</v>
      </c>
      <c r="FM36" s="15">
        <f>MIN(1,MAX(VLOOKUP(($AJ36-$AI36-$AH36-$AG36-$AF36-$AE36*(1+FM$3))/$AJ36,'Технический лист'!$A:$B,2,1),(FL36-0.05)))</f>
        <v>1</v>
      </c>
      <c r="FN36" s="15">
        <f>MIN(1,MAX(VLOOKUP(($AJ36-$AI36-$AH36-$AG36-$AF36-$AE36*(1+FN$3))/$AJ36,'Технический лист'!$A:$B,2,1),(FM36-0.05)))</f>
        <v>1</v>
      </c>
      <c r="FO36" s="15">
        <f>MIN(1,MAX(VLOOKUP(($AJ36-$AI36-$AH36-$AG36-$AF36-$AE36*(1+FO$3))/$AJ36,'Технический лист'!$A:$B,2,1),(FN36-0.05)))</f>
        <v>1</v>
      </c>
      <c r="FP36" s="15">
        <f>MIN(1,MAX(VLOOKUP(($AJ36-$AI36-$AH36-$AG36-$AF36-$AE36*(1+FP$3))/$AJ36,'Технический лист'!$A:$B,2,1),(FO36-0.05)))</f>
        <v>1</v>
      </c>
      <c r="FQ36" s="15">
        <f>MIN(1,MAX(VLOOKUP(($AJ36-$AI36-$AH36-$AG36-$AF36-$AE36*(1+FQ$3))/$AJ36,'Технический лист'!$A:$B,2,1),(FP36-0.05)))</f>
        <v>1</v>
      </c>
      <c r="FR36" s="15">
        <f>MIN(1,MAX(VLOOKUP(($AJ36-$AI36-$AH36-$AG36-$AF36-$AE36*(1+FR$3))/$AJ36,'Технический лист'!$A:$B,2,1),(FQ36-0.05)))</f>
        <v>1</v>
      </c>
      <c r="FS36" s="15">
        <f>MIN(1,MAX(VLOOKUP(($AJ36-$AI36-$AH36-$AG36-$AF36-$AE36*(1+FS$3))/$AJ36,'Технический лист'!$A:$B,2,1),(FR36-0.05)))</f>
        <v>1</v>
      </c>
      <c r="FT36" s="15">
        <f>MIN(1,MAX(VLOOKUP(($AJ36-$AI36-$AH36-$AG36-$AF36-$AE36*(1+FT$3))/$AJ36,'Технический лист'!$A:$B,2,1),(FS36-0.05)))</f>
        <v>1</v>
      </c>
      <c r="FU36" s="15">
        <f>MIN(1,MAX(VLOOKUP(($AJ36-$AI36-$AH36-$AG36-$AF36-$AE36*(1+FU$3))/$AJ36,'Технический лист'!$A:$B,2,1),(FT36-0.05)))</f>
        <v>1</v>
      </c>
      <c r="FV36" s="15">
        <f>MIN(1,MAX(VLOOKUP(($AJ36-$AI36-$AH36-$AG36-$AF36-$AE36*(1+FV$3))/$AJ36,'Технический лист'!$A:$B,2,1),(FU36-0.05)))</f>
        <v>1</v>
      </c>
      <c r="FW36" s="15">
        <f>MIN(1,MAX(VLOOKUP(($AJ36-$AI36-$AH36-$AG36-$AF36-$AE36*(1+FW$3))/$AJ36,'Технический лист'!$A:$B,2,1),(FV36-0.05)))</f>
        <v>1</v>
      </c>
      <c r="FX36" s="15">
        <f>MIN(1,MAX(VLOOKUP(($AJ36-$AI36-$AH36-$AG36-$AF36-$AE36*(1+FX$3))/$AJ36,'Технический лист'!$A:$B,2,1),(FW36-0.05)))</f>
        <v>1</v>
      </c>
      <c r="FY36" s="15">
        <f>MIN(1,MAX(VLOOKUP(($AJ36-$AI36-$AH36-$AG36-$AF36-$AE36*(1+FY$3))/$AJ36,'Технический лист'!$A:$B,2,1),(FX36-0.05)))</f>
        <v>1</v>
      </c>
      <c r="FZ36" s="15">
        <f>MIN(1,MAX(VLOOKUP(($AJ36-$AI36-$AH36-$AG36-$AF36-$AE36*(1+FZ$3))/$AJ36,'Технический лист'!$A:$B,2,1),(FY36-0.05)))</f>
        <v>1</v>
      </c>
      <c r="GA36" s="15">
        <f>MIN(1,MAX(VLOOKUP(($AJ36-$AI36-$AH36-$AG36-$AF36-$AE36*(1+GA$3))/$AJ36,'Технический лист'!$A:$B,2,1),(FZ36-0.05)))</f>
        <v>1</v>
      </c>
      <c r="GB36" s="15">
        <f>MIN(1,MAX(VLOOKUP(($AJ36-$AI36-$AH36-$AG36-$AF36-$AE36*(1+GB$3))/$AJ36,'Технический лист'!$A:$B,2,1),(GA36-0.05)))</f>
        <v>1</v>
      </c>
      <c r="GC36" s="15">
        <f>MIN(1,MAX(VLOOKUP(($AJ36-$AI36-$AH36-$AG36-$AF36-$AE36*(1+GC$3))/$AJ36,'Технический лист'!$A:$B,2,1),(GB36-0.05)))</f>
        <v>1</v>
      </c>
      <c r="GD36" s="15">
        <f>MIN(1,MAX(VLOOKUP(($AJ36-$AI36-$AH36-$AG36-$AF36-$AE36*(1+GD$3))/$AJ36,'Технический лист'!$A:$B,2,1),(GC36-0.05)))</f>
        <v>1</v>
      </c>
      <c r="GE36" s="15">
        <f>MIN(1,MAX(VLOOKUP(($AJ36-$AI36-$AH36-$AG36-$AF36-$AE36*(1+GE$3))/$AJ36,'Технический лист'!$A:$B,2,1),(GD36-0.05)))</f>
        <v>1</v>
      </c>
      <c r="GF36" s="15">
        <f>MIN(1,MAX(VLOOKUP(($AJ36-$AI36-$AH36-$AG36-$AF36-$AE36*(1+GF$3))/$AJ36,'Технический лист'!$A:$B,2,1),(GE36-0.05)))</f>
        <v>1</v>
      </c>
      <c r="GG36" s="15">
        <f>MIN(1,MAX(VLOOKUP(($AJ36-$AI36-$AH36-$AG36-$AF36-$AE36*(1+GG$3))/$AJ36,'Технический лист'!$A:$B,2,1),(GF36-0.05)))</f>
        <v>1</v>
      </c>
      <c r="GH36" s="15">
        <f>MIN(1,MAX(VLOOKUP(($AJ36-$AI36-$AH36-$AG36-$AF36-$AE36*(1+GH$3))/$AJ36,'Технический лист'!$A:$B,2,1),(GG36-0.05)))</f>
        <v>1</v>
      </c>
      <c r="GI36" s="15">
        <f>MIN(1,MAX(VLOOKUP(($AJ36-$AI36-$AH36-$AG36-$AF36-$AE36*(1+GI$3))/$AJ36,'Технический лист'!$A:$B,2,1),(GH36-0.05)))</f>
        <v>1</v>
      </c>
      <c r="GJ36" s="15">
        <f>MIN(1,MAX(VLOOKUP(($AJ36-$AI36-$AH36-$AG36-$AF36-$AE36*(1+GJ$3))/$AJ36,'Технический лист'!$A:$B,2,1),(GI36-0.05)))</f>
        <v>1</v>
      </c>
      <c r="GK36" s="15">
        <f>MIN(1,MAX(VLOOKUP(($AJ36-$AI36-$AH36-$AG36-$AF36-$AE36*(1+GK$3))/$AJ36,'Технический лист'!$A:$B,2,1),(GJ36-0.05)))</f>
        <v>1</v>
      </c>
      <c r="GL36" s="15">
        <f>MIN(1,MAX(VLOOKUP(($AJ36-$AI36-$AH36-$AG36-$AF36-$AE36*(1+GL$3))/$AJ36,'Технический лист'!$A:$B,2,1),(GK36-0.05)))</f>
        <v>1</v>
      </c>
      <c r="GM36" s="15">
        <f>MIN(1,MAX(VLOOKUP(($AJ36-$AI36-$AH36-$AG36-$AF36-$AE36*(1+GM$3))/$AJ36,'Технический лист'!$A:$B,2,1),(GL36-0.05)))</f>
        <v>1</v>
      </c>
      <c r="GN36" s="15">
        <f>MIN(1,MAX(VLOOKUP(($AJ36-$AI36-$AH36-$AG36-$AF36-$AE36*(1+GN$3))/$AJ36,'Технический лист'!$A:$B,2,1),(GM36-0.05)))</f>
        <v>1</v>
      </c>
      <c r="GO36" s="15">
        <f>MIN(1,MAX(VLOOKUP(($AJ36-$AI36-$AH36-$AG36-$AF36-$AE36*(1+GO$3))/$AJ36,'Технический лист'!$A:$B,2,1),(GN36-0.05)))</f>
        <v>1</v>
      </c>
      <c r="GP36" s="15">
        <f>MIN(1,MAX(VLOOKUP(($AJ36-$AI36-$AH36-$AG36-$AF36-$AE36*(1+GP$3))/$AJ36,'Технический лист'!$A:$B,2,1),(GO36-0.05)))</f>
        <v>1</v>
      </c>
      <c r="GQ36" s="15">
        <f>MIN(1,MAX(VLOOKUP(($AJ36-$AI36-$AH36-$AG36-$AF36-$AE36*(1+GQ$3))/$AJ36,'Технический лист'!$A:$B,2,1),(GP36-0.05)))</f>
        <v>1</v>
      </c>
      <c r="GR36" s="15">
        <f>MIN(1,MAX(VLOOKUP(($AJ36-$AI36-$AH36-$AG36-$AF36-$AE36*(1+GR$3))/$AJ36,'Технический лист'!$A:$B,2,1),(GQ36-0.05)))</f>
        <v>1</v>
      </c>
      <c r="GS36" s="15">
        <f>MIN(1,MAX(VLOOKUP(($AJ36-$AI36-$AH36-$AG36-$AF36-$AE36*(1+GS$3))/$AJ36,'Технический лист'!$A:$B,2,1),(GR36-0.05)))</f>
        <v>1</v>
      </c>
      <c r="GT36" s="15">
        <f>MIN(1,MAX(VLOOKUP(($AJ36-$AI36-$AH36-$AG36-$AF36-$AE36*(1+GT$3))/$AJ36,'Технический лист'!$A:$B,2,1),(GS36-0.05)))</f>
        <v>1</v>
      </c>
      <c r="GU36" s="15">
        <f>MIN(1,MAX(VLOOKUP(($AJ36-$AI36-$AH36-$AG36-$AF36-$AE36*(1+GU$3))/$AJ36,'Технический лист'!$A:$B,2,1),(GT36-0.05)))</f>
        <v>1</v>
      </c>
      <c r="GV36" s="15">
        <f>MIN(1,MAX(VLOOKUP(($AJ36-$AI36-$AH36-$AG36-$AF36-$AE36*(1+GV$3))/$AJ36,'Технический лист'!$A:$B,2,1),(GU36-0.05)))</f>
        <v>1</v>
      </c>
      <c r="GW36" s="15">
        <f>MIN(1,MAX(VLOOKUP(($AJ36-$AI36-$AH36-$AG36-$AF36-$AE36*(1+GW$3))/$AJ36,'Технический лист'!$A:$B,2,1),(GV36-0.05)))</f>
        <v>1</v>
      </c>
      <c r="GX36" s="15">
        <f>MIN(1,MAX(VLOOKUP(($AJ36-$AI36-$AH36-$AG36-$AF36-$AE36*(1+GX$3))/$AJ36,'Технический лист'!$A:$B,2,1),(GW36-0.05)))</f>
        <v>1</v>
      </c>
      <c r="GY36" s="15">
        <f>MIN(1,MAX(VLOOKUP(($AJ36-$AI36-$AH36-$AG36-$AF36-$AE36*(1+GY$3))/$AJ36,'Технический лист'!$A:$B,2,1),(GX36-0.05)))</f>
        <v>1</v>
      </c>
      <c r="GZ36" s="15">
        <f>MIN(1,MAX(VLOOKUP(($AJ36-$AI36-$AH36-$AG36-$AF36-$AE36*(1+GZ$3))/$AJ36,'Технический лист'!$A:$B,2,1),(GY36-0.05)))</f>
        <v>1</v>
      </c>
      <c r="HA36" s="15">
        <f>MIN(1,MAX(VLOOKUP(($AJ36-$AI36-$AH36-$AG36-$AF36-$AE36*(1+HA$3))/$AJ36,'Технический лист'!$A:$B,2,1),(GZ36-0.05)))</f>
        <v>1</v>
      </c>
      <c r="HB36" s="15">
        <f>MIN(1,MAX(VLOOKUP(($AJ36-$AI36-$AH36-$AG36-$AF36-$AE36*(1+HB$3))/$AJ36,'Технический лист'!$A:$B,2,1),(HA36-0.05)))</f>
        <v>1</v>
      </c>
      <c r="HC36" s="15">
        <f>MIN(1,MAX(VLOOKUP(($AJ36-$AI36-$AH36-$AG36-$AF36-$AE36*(1+HC$3))/$AJ36,'Технический лист'!$A:$B,2,1),(HB36-0.05)))</f>
        <v>1</v>
      </c>
      <c r="HD36" s="15">
        <f>MIN(1,MAX(VLOOKUP(($AJ36-$AI36-$AH36-$AG36-$AF36-$AE36*(1+HD$3))/$AJ36,'Технический лист'!$A:$B,2,1),(HC36-0.05)))</f>
        <v>1</v>
      </c>
      <c r="HE36" s="15">
        <f>MIN(1,MAX(VLOOKUP(($AJ36-$AI36-$AH36-$AG36-$AF36-$AE36*(1+HE$3))/$AJ36,'Технический лист'!$A:$B,2,1),(HD36-0.05)))</f>
        <v>1</v>
      </c>
      <c r="HF36" s="15">
        <f>MIN(1,MAX(VLOOKUP(($AJ36-$AI36-$AH36-$AG36-$AF36-$AE36*(1+HF$3))/$AJ36,'Технический лист'!$A:$B,2,1),(HE36-0.05)))</f>
        <v>1</v>
      </c>
      <c r="HG36" s="15">
        <f>MIN(1,MAX(VLOOKUP(($AJ36-$AI36-$AH36-$AG36-$AF36-$AE36*(1+HG$3))/$AJ36,'Технический лист'!$A:$B,2,1),(HF36-0.05)))</f>
        <v>1</v>
      </c>
      <c r="HH36" s="15">
        <f>MIN(1,MAX(VLOOKUP(($AJ36-$AI36-$AH36-$AG36-$AF36-$AE36*(1+HH$3))/$AJ36,'Технический лист'!$A:$B,2,1),(HG36-0.05)))</f>
        <v>1</v>
      </c>
      <c r="HI36" s="15">
        <f>MIN(1,MAX(VLOOKUP(($AJ36-$AI36-$AH36-$AG36-$AF36-$AE36*(1+HI$3))/$AJ36,'Технический лист'!$A:$B,2,1),(HH36-0.05)))</f>
        <v>1</v>
      </c>
      <c r="HJ36" s="15">
        <f>MIN(1,MAX(VLOOKUP(($AJ36-$AI36-$AH36-$AG36-$AF36-$AE36*(1+HJ$3))/$AJ36,'Технический лист'!$A:$B,2,1),(HI36-0.05)))</f>
        <v>1</v>
      </c>
      <c r="HK36" s="15">
        <f>MIN(1,MAX(VLOOKUP(($AJ36-$AI36-$AH36-$AG36-$AF36-$AE36*(1+HK$3))/$AJ36,'Технический лист'!$A:$B,2,1),(HJ36-0.05)))</f>
        <v>1</v>
      </c>
      <c r="HL36" s="15">
        <f>MIN(1,MAX(VLOOKUP(($AJ36-$AI36-$AH36-$AG36-$AF36-$AE36*(1+HL$3))/$AJ36,'Технический лист'!$A:$B,2,1),(HK36-0.05)))</f>
        <v>1</v>
      </c>
      <c r="HM36" s="15">
        <f>MIN(1,MAX(VLOOKUP(($AJ36-$AI36-$AH36-$AG36-$AF36-$AE36*(1+HM$3))/$AJ36,'Технический лист'!$A:$B,2,1),(HL36-0.05)))</f>
        <v>1</v>
      </c>
      <c r="HN36" s="15">
        <f>MIN(1,MAX(VLOOKUP(($AJ36-$AI36-$AH36-$AG36-$AF36-$AE36*(1+HN$3))/$AJ36,'Технический лист'!$A:$B,2,1),(HM36-0.05)))</f>
        <v>1</v>
      </c>
      <c r="HO36" s="15">
        <f>MIN(1,MAX(VLOOKUP(($AJ36-$AI36-$AH36-$AG36-$AF36-$AE36*(1+HO$3))/$AJ36,'Технический лист'!$A:$B,2,1),(HN36-0.05)))</f>
        <v>1</v>
      </c>
      <c r="HP36" s="15">
        <f>MIN(1,MAX(VLOOKUP(($AJ36-$AI36-$AH36-$AG36-$AF36-$AE36*(1+HP$3))/$AJ36,'Технический лист'!$A:$B,2,1),(HO36-0.05)))</f>
        <v>1</v>
      </c>
      <c r="HQ36" s="15">
        <f>MIN(1,MAX(VLOOKUP(($AJ36-$AI36-$AH36-$AG36-$AF36-$AE36*(1+HQ$3))/$AJ36,'Технический лист'!$A:$B,2,1),(HP36-0.05)))</f>
        <v>1</v>
      </c>
      <c r="HR36" s="15">
        <f>MIN(1,MAX(VLOOKUP(($AJ36-$AI36-$AH36-$AG36-$AF36-$AE36*(1+HR$3))/$AJ36,'Технический лист'!$A:$B,2,1),(HQ36-0.05)))</f>
        <v>1</v>
      </c>
      <c r="HS36" s="15">
        <f>MIN(1,MAX(VLOOKUP(($AJ36-$AI36-$AH36-$AG36-$AF36-$AE36*(1+HS$3))/$AJ36,'Технический лист'!$A:$B,2,1),(HR36-0.05)))</f>
        <v>1</v>
      </c>
      <c r="HT36" s="15">
        <f>MIN(1,MAX(VLOOKUP(($AJ36-$AI36-$AH36-$AG36-$AF36-$AE36*(1+HT$3))/$AJ36,'Технический лист'!$A:$B,2,1),(HS36-0.05)))</f>
        <v>1</v>
      </c>
      <c r="HU36" s="15">
        <f>MIN(1,MAX(VLOOKUP(($AJ36-$AI36-$AH36-$AG36-$AF36-$AE36*(1+HU$3))/$AJ36,'Технический лист'!$A:$B,2,1),(HT36-0.05)))</f>
        <v>1</v>
      </c>
      <c r="HV36" s="15">
        <f>MIN(1,MAX(VLOOKUP(($AJ36-$AI36-$AH36-$AG36-$AF36-$AE36*(1+HV$3))/$AJ36,'Технический лист'!$A:$B,2,1),(HU36-0.05)))</f>
        <v>1</v>
      </c>
      <c r="HW36" s="15">
        <f>MIN(1,MAX(VLOOKUP(($AJ36-$AI36-$AH36-$AG36-$AF36-$AE36*(1+HW$3))/$AJ36,'Технический лист'!$A:$B,2,1),(HV36-0.05)))</f>
        <v>1</v>
      </c>
      <c r="HX36" s="15">
        <f>MIN(1,MAX(VLOOKUP(($AJ36-$AI36-$AH36-$AG36-$AF36-$AE36*(1+HX$3))/$AJ36,'Технический лист'!$A:$B,2,1),(HW36-0.05)))</f>
        <v>1</v>
      </c>
      <c r="HY36" s="15">
        <f>MIN(1,MAX(VLOOKUP(($AJ36-$AI36-$AH36-$AG36-$AF36-$AE36*(1+HY$3))/$AJ36,'Технический лист'!$A:$B,2,1),(HX36-0.05)))</f>
        <v>1</v>
      </c>
      <c r="HZ36" s="15">
        <f>MIN(1,MAX(VLOOKUP(($AJ36-$AI36-$AH36-$AG36-$AF36-$AE36*(1+HZ$3))/$AJ36,'Технический лист'!$A:$B,2,1),(HY36-0.05)))</f>
        <v>1</v>
      </c>
      <c r="IA36" s="15">
        <f>MIN(1,MAX(VLOOKUP(($AJ36-$AI36-$AH36-$AG36-$AF36-$AE36*(1+IA$3))/$AJ36,'Технический лист'!$A:$B,2,1),(HZ36-0.05)))</f>
        <v>1</v>
      </c>
      <c r="IB36" s="15">
        <f>MIN(1,MAX(VLOOKUP(($AJ36-$AI36-$AH36-$AG36-$AF36-$AE36*(1+IB$3))/$AJ36,'Технический лист'!$A:$B,2,1),(IA36-0.05)))</f>
        <v>1</v>
      </c>
      <c r="IC36" s="15">
        <f>MIN(1,MAX(VLOOKUP(($AJ36-$AI36-$AH36-$AG36-$AF36-$AE36*(1+IC$3))/$AJ36,'Технический лист'!$A:$B,2,1),(IB36-0.05)))</f>
        <v>1</v>
      </c>
      <c r="ID36" s="15">
        <f>MIN(1,MAX(VLOOKUP(($AJ36-$AI36-$AH36-$AG36-$AF36-$AE36*(1+ID$3))/$AJ36,'Технический лист'!$A:$B,2,1),(IC36-0.05)))</f>
        <v>1</v>
      </c>
      <c r="IE36" s="15">
        <f>MIN(1,MAX(VLOOKUP(($AJ36-$AI36-$AH36-$AG36-$AF36-$AE36*(1+IE$3))/$AJ36,'Технический лист'!$A:$B,2,1),(ID36-0.05)))</f>
        <v>1</v>
      </c>
      <c r="IF36" s="15">
        <f>MIN(1,MAX(VLOOKUP(($AJ36-$AI36-$AH36-$AG36-$AF36-$AE36*(1+IF$3))/$AJ36,'Технический лист'!$A:$B,2,1),(IE36-0.05)))</f>
        <v>1</v>
      </c>
      <c r="IG36" s="15">
        <f>MIN(1,MAX(VLOOKUP(($AJ36-$AI36-$AH36-$AG36-$AF36-$AE36*(1+IG$3))/$AJ36,'Технический лист'!$A:$B,2,1),(IF36-0.05)))</f>
        <v>1</v>
      </c>
      <c r="IH36" s="15">
        <f>MIN(1,MAX(VLOOKUP(($AJ36-$AI36-$AH36-$AG36-$AF36-$AE36*(1+IH$3))/$AJ36,'Технический лист'!$A:$B,2,1),(IG36-0.05)))</f>
        <v>1</v>
      </c>
      <c r="II36" s="15">
        <f>MIN(1,MAX(VLOOKUP(($AJ36-$AI36-$AH36-$AG36-$AF36-$AE36*(1+II$3))/$AJ36,'Технический лист'!$A:$B,2,1),(IH36-0.05)))</f>
        <v>1</v>
      </c>
      <c r="IJ36" s="15">
        <f>MIN(1,MAX(VLOOKUP(($AJ36-$AI36-$AH36-$AG36-$AF36-$AE36*(1+IJ$3))/$AJ36,'Технический лист'!$A:$B,2,1),(II36-0.05)))</f>
        <v>1</v>
      </c>
      <c r="IK36" s="15">
        <f>MIN(1,MAX(VLOOKUP(($AJ36-$AI36-$AH36-$AG36-$AF36-$AE36*(1+IK$3))/$AJ36,'Технический лист'!$A:$B,2,1),(IJ36-0.05)))</f>
        <v>1</v>
      </c>
      <c r="IL36" s="15">
        <f>MIN(1,MAX(VLOOKUP(($AJ36-$AI36-$AH36-$AG36-$AF36-$AE36*(1+IL$3))/$AJ36,'Технический лист'!$A:$B,2,1),(IK36-0.05)))</f>
        <v>1</v>
      </c>
      <c r="IM36" s="15">
        <f>MIN(1,MAX(VLOOKUP(($AJ36-$AI36-$AH36-$AG36-$AF36-$AE36*(1+IM$3))/$AJ36,'Технический лист'!$A:$B,2,1),(IL36-0.05)))</f>
        <v>1</v>
      </c>
      <c r="IN36" s="15">
        <f>MIN(1,MAX(VLOOKUP(($AJ36-$AI36-$AH36-$AG36-$AF36-$AE36*(1+IN$3))/$AJ36,'Технический лист'!$A:$B,2,1),(IM36-0.05)))</f>
        <v>1</v>
      </c>
      <c r="IO36" s="15">
        <f>MIN(1,MAX(VLOOKUP(($AJ36-$AI36-$AH36-$AG36-$AF36-$AE36*(1+IO$3))/$AJ36,'Технический лист'!$A:$B,2,1),(IN36-0.05)))</f>
        <v>1</v>
      </c>
      <c r="IP36" s="15">
        <f>MIN(1,MAX(VLOOKUP(($AJ36-$AI36-$AH36-$AG36-$AF36-$AE36*(1+IP$3))/$AJ36,'Технический лист'!$A:$B,2,1),(IO36-0.05)))</f>
        <v>1</v>
      </c>
      <c r="IQ36" s="15">
        <f>MIN(1,MAX(VLOOKUP(($AJ36-$AI36-$AH36-$AG36-$AF36-$AE36*(1+IQ$3))/$AJ36,'Технический лист'!$A:$B,2,1),(IP36-0.05)))</f>
        <v>1</v>
      </c>
      <c r="IR36" s="15">
        <f>MIN(1,MAX(VLOOKUP(($AJ36-$AI36-$AH36-$AG36-$AF36-$AE36*(1+IR$3))/$AJ36,'Технический лист'!$A:$B,2,1),(IQ36-0.05)))</f>
        <v>1</v>
      </c>
    </row>
    <row r="37" spans="1:252" ht="29.15">
      <c r="A37" s="89" t="s">
        <v>514</v>
      </c>
      <c r="B37" s="90">
        <v>4</v>
      </c>
      <c r="C37" s="5" t="s">
        <v>67</v>
      </c>
      <c r="D37" s="91">
        <v>14109</v>
      </c>
      <c r="E37" s="91" t="s">
        <v>335</v>
      </c>
      <c r="F37" s="92" t="s">
        <v>74</v>
      </c>
      <c r="G37" s="91" t="s">
        <v>20</v>
      </c>
      <c r="H37" s="91" t="s">
        <v>20</v>
      </c>
      <c r="I37" s="91" t="s">
        <v>140</v>
      </c>
      <c r="J37" s="91" t="s">
        <v>131</v>
      </c>
      <c r="K37" s="91">
        <v>368</v>
      </c>
      <c r="L37" s="85" t="s">
        <v>64</v>
      </c>
      <c r="M37" s="91" t="s">
        <v>17</v>
      </c>
      <c r="N37" s="91" t="s">
        <v>191</v>
      </c>
      <c r="O37" s="91" t="s">
        <v>193</v>
      </c>
      <c r="P37" s="89" t="s">
        <v>230</v>
      </c>
      <c r="Q37" s="91" t="s">
        <v>278</v>
      </c>
      <c r="R37" s="91" t="s">
        <v>63</v>
      </c>
      <c r="S37" s="82">
        <v>1888121</v>
      </c>
      <c r="T37" s="82">
        <v>694828174</v>
      </c>
      <c r="U37" s="81">
        <v>26331</v>
      </c>
      <c r="V37" s="81">
        <v>0</v>
      </c>
      <c r="W37" s="82">
        <v>769417041</v>
      </c>
      <c r="X37" s="112">
        <v>72</v>
      </c>
      <c r="Y37" s="112" t="s">
        <v>418</v>
      </c>
      <c r="Z37" s="113">
        <v>3</v>
      </c>
      <c r="AA37" s="113">
        <v>3</v>
      </c>
      <c r="AB37" s="113">
        <v>4</v>
      </c>
      <c r="AC37" s="99">
        <v>439.96</v>
      </c>
      <c r="AD37" s="99">
        <f t="shared" si="15"/>
        <v>149.90000000000003</v>
      </c>
      <c r="AE37" s="99">
        <v>589.86</v>
      </c>
      <c r="AF37" s="98">
        <f>(Z37+AA37+AB37)*'Ставки аренды'!$B$2/X37</f>
        <v>138.88888888888889</v>
      </c>
      <c r="AG37" s="114">
        <f>'Ставки перевалки'!$B$13</f>
        <v>1500</v>
      </c>
      <c r="AH37" s="94">
        <v>0</v>
      </c>
      <c r="AI37" s="115">
        <f>0.5*AVERAGE(AJ37,AJ38)</f>
        <v>2876.1099999999997</v>
      </c>
      <c r="AJ37" s="117">
        <f>Цены!C15*'Курсы валют'!B2</f>
        <v>6104.44</v>
      </c>
      <c r="AK37" s="94">
        <f>AJ37/Цены!$B$1</f>
        <v>80</v>
      </c>
      <c r="AL37" s="95">
        <f t="shared" si="5"/>
        <v>2228.7488888888888</v>
      </c>
      <c r="AM37" s="95">
        <f t="shared" si="6"/>
        <v>3875.6911111111108</v>
      </c>
      <c r="AN37" s="94">
        <f t="shared" si="16"/>
        <v>5104.858888888888</v>
      </c>
      <c r="AO37" s="118">
        <f t="shared" si="17"/>
        <v>0.16374656989193304</v>
      </c>
      <c r="AP37" s="96">
        <f t="shared" si="7"/>
        <v>0.36510292326386845</v>
      </c>
      <c r="AQ37" s="96">
        <f t="shared" si="8"/>
        <v>9.662802812379187E-2</v>
      </c>
      <c r="AR37" s="96">
        <f t="shared" si="9"/>
        <v>0.26465969447732013</v>
      </c>
      <c r="AS37" s="122">
        <v>1</v>
      </c>
      <c r="AT37" s="121">
        <f t="shared" si="10"/>
        <v>1888121</v>
      </c>
      <c r="AU37" s="7">
        <v>0.98</v>
      </c>
      <c r="AV37" s="119">
        <f t="shared" si="11"/>
        <v>0.15215120651707786</v>
      </c>
      <c r="AW37" s="120">
        <f t="shared" si="12"/>
        <v>0.37669828663872351</v>
      </c>
      <c r="AX37" s="120">
        <f t="shared" si="13"/>
        <v>0.1082233914986469</v>
      </c>
      <c r="AY37" s="120">
        <f t="shared" si="14"/>
        <v>0.28729462101971198</v>
      </c>
      <c r="AZ37" s="15">
        <f>MIN(IF($AU37=100%,1,1+VLOOKUP(($AJ37-$AI37-$AH37-$AG37-$AF37-$AE37*(1+AZ$3))/$AJ37,'Технический лист'!$M:$N,2,1)-VLOOKUP($AO37,'Технический лист'!$M:$N,2,1)),1+(1-$AU37))</f>
        <v>1.02</v>
      </c>
      <c r="BA37" s="15">
        <f>MIN(IF($AU37=100%,1,1+VLOOKUP(($AJ37-$AI37-$AH37-$AG37-$AF37-$AE37*(1+BA$3))/$AJ37,'Технический лист'!$M:$N,2,1)-VLOOKUP($AO37,'Технический лист'!$M:$N,2,1)),1+(1-$AU37))</f>
        <v>1.02</v>
      </c>
      <c r="BB37" s="15">
        <f>MIN(IF($AU37=100%,1,1+VLOOKUP(($AJ37-$AI37-$AH37-$AG37-$AF37-$AE37*(1+BB$3))/$AJ37,'Технический лист'!$M:$N,2,1)-VLOOKUP($AO37,'Технический лист'!$M:$N,2,1)),1+(1-$AU37))</f>
        <v>1.02</v>
      </c>
      <c r="BC37" s="15">
        <f>MIN(IF($AU37=100%,1,1+VLOOKUP(($AJ37-$AI37-$AH37-$AG37-$AF37-$AE37*(1+BC$3))/$AJ37,'Технический лист'!$M:$N,2,1)-VLOOKUP($AO37,'Технический лист'!$M:$N,2,1)),1+(1-$AU37))</f>
        <v>1.02</v>
      </c>
      <c r="BD37" s="15">
        <f>MIN(IF($AU37=100%,1,1+VLOOKUP(($AJ37-$AI37-$AH37-$AG37-$AF37-$AE37*(1+BD$3))/$AJ37,'Технический лист'!$M:$N,2,1)-VLOOKUP($AO37,'Технический лист'!$M:$N,2,1)),1+(1-$AU37))</f>
        <v>1.02</v>
      </c>
      <c r="BE37" s="15">
        <f>MIN(IF($AU37=100%,1,1+VLOOKUP(($AJ37-$AI37-$AH37-$AG37-$AF37-$AE37*(1+BE$3))/$AJ37,'Технический лист'!$M:$N,2,1)-VLOOKUP($AO37,'Технический лист'!$M:$N,2,1)),1+(1-$AU37))</f>
        <v>1.02</v>
      </c>
      <c r="BF37" s="15">
        <f>MIN(IF($AU37=100%,1,1+VLOOKUP(($AJ37-$AI37-$AH37-$AG37-$AF37-$AE37*(1+BF$3))/$AJ37,'Технический лист'!$M:$N,2,1)-VLOOKUP($AO37,'Технический лист'!$M:$N,2,1)),1+(1-$AU37))</f>
        <v>1.02</v>
      </c>
      <c r="BG37" s="15">
        <f>MIN(IF($AU37=100%,1,1+VLOOKUP(($AJ37-$AI37-$AH37-$AG37-$AF37-$AE37*(1+BG$3))/$AJ37,'Технический лист'!$M:$N,2,1)-VLOOKUP($AO37,'Технический лист'!$M:$N,2,1)),1+(1-$AU37))</f>
        <v>1.02</v>
      </c>
      <c r="BH37" s="15">
        <f>MIN(IF($AU37=100%,1,1+VLOOKUP(($AJ37-$AI37-$AH37-$AG37-$AF37-$AE37*(1+BH$3))/$AJ37,'Технический лист'!$M:$N,2,1)-VLOOKUP($AO37,'Технический лист'!$M:$N,2,1)),1+(1-$AU37))</f>
        <v>1.02</v>
      </c>
      <c r="BI37" s="15">
        <f>MIN(IF($AU37=100%,1,1+VLOOKUP(($AJ37-$AI37-$AH37-$AG37-$AF37-$AE37*(1+BI$3))/$AJ37,'Технический лист'!$M:$N,2,1)-VLOOKUP($AO37,'Технический лист'!$M:$N,2,1)),1+(1-$AU37))</f>
        <v>1.02</v>
      </c>
      <c r="BJ37" s="15">
        <f>MIN(IF($AU37=100%,1,1+VLOOKUP(($AJ37-$AI37-$AH37-$AG37-$AF37-$AE37*(1+BJ$3))/$AJ37,'Технический лист'!$M:$N,2,1)-VLOOKUP($AO37,'Технический лист'!$M:$N,2,1)),1+(1-$AU37))</f>
        <v>1.02</v>
      </c>
      <c r="BK37" s="15">
        <f>MIN(IF($AU37=100%,1,1+VLOOKUP(($AJ37-$AI37-$AH37-$AG37-$AF37-$AE37*(1+BK$3))/$AJ37,'Технический лист'!$M:$N,2,1)-VLOOKUP($AO37,'Технический лист'!$M:$N,2,1)),1+(1-$AU37))</f>
        <v>1.02</v>
      </c>
      <c r="BL37" s="15">
        <f>MIN(IF($AU37=100%,1,1+VLOOKUP(($AJ37-$AI37-$AH37-$AG37-$AF37-$AE37*(1+BL$3))/$AJ37,'Технический лист'!$M:$N,2,1)-VLOOKUP($AO37,'Технический лист'!$M:$N,2,1)),1+(1-$AU37))</f>
        <v>1.02</v>
      </c>
      <c r="BM37" s="15">
        <f>MIN(IF($AU37=100%,1,1+VLOOKUP(($AJ37-$AI37-$AH37-$AG37-$AF37-$AE37*(1+BM$3))/$AJ37,'Технический лист'!$M:$N,2,1)-VLOOKUP($AO37,'Технический лист'!$M:$N,2,1)),1+(1-$AU37))</f>
        <v>1.02</v>
      </c>
      <c r="BN37" s="15">
        <f>MIN(IF($AU37=100%,1,1+VLOOKUP(($AJ37-$AI37-$AH37-$AG37-$AF37-$AE37*(1+BN$3))/$AJ37,'Технический лист'!$M:$N,2,1)-VLOOKUP($AO37,'Технический лист'!$M:$N,2,1)),1+(1-$AU37))</f>
        <v>1.02</v>
      </c>
      <c r="BO37" s="15">
        <f>MIN(IF($AU37=100%,1,1+VLOOKUP(($AJ37-$AI37-$AH37-$AG37-$AF37-$AE37*(1+BO$3))/$AJ37,'Технический лист'!$M:$N,2,1)-VLOOKUP($AO37,'Технический лист'!$M:$N,2,1)),1+(1-$AU37))</f>
        <v>1.02</v>
      </c>
      <c r="BP37" s="15">
        <f>MIN(IF($AU37=100%,1,1+VLOOKUP(($AJ37-$AI37-$AH37-$AG37-$AF37-$AE37*(1+BP$3))/$AJ37,'Технический лист'!$M:$N,2,1)-VLOOKUP($AO37,'Технический лист'!$M:$N,2,1)),1+(1-$AU37))</f>
        <v>1.02</v>
      </c>
      <c r="BQ37" s="15">
        <f>MIN(IF($AU37=100%,1,1+VLOOKUP(($AJ37-$AI37-$AH37-$AG37-$AF37-$AE37*(1+BQ$3))/$AJ37,'Технический лист'!$M:$N,2,1)-VLOOKUP($AO37,'Технический лист'!$M:$N,2,1)),1+(1-$AU37))</f>
        <v>1.02</v>
      </c>
      <c r="BR37" s="15">
        <f>MIN(IF($AU37=100%,1,1+VLOOKUP(($AJ37-$AI37-$AH37-$AG37-$AF37-$AE37*(1+BR$3))/$AJ37,'Технический лист'!$M:$N,2,1)-VLOOKUP($AO37,'Технический лист'!$M:$N,2,1)),1+(1-$AU37))</f>
        <v>1.02</v>
      </c>
      <c r="BS37" s="15">
        <f>MIN(IF($AU37=100%,1,1+VLOOKUP(($AJ37-$AI37-$AH37-$AG37-$AF37-$AE37*(1+BS$3))/$AJ37,'Технический лист'!$M:$N,2,1)-VLOOKUP($AO37,'Технический лист'!$M:$N,2,1)),1+(1-$AU37))</f>
        <v>1.02</v>
      </c>
      <c r="BT37" s="15">
        <f>MIN(IF($AU37=100%,1,1+VLOOKUP(($AJ37-$AI37-$AH37-$AG37-$AF37-$AE37*(1+BT$3))/$AJ37,'Технический лист'!$M:$N,2,1)-VLOOKUP($AO37,'Технический лист'!$M:$N,2,1)),1+(1-$AU37))</f>
        <v>1.02</v>
      </c>
      <c r="BU37" s="15">
        <f>MIN(IF($AU37=100%,1,1+VLOOKUP(($AJ37-$AI37-$AH37-$AG37-$AF37-$AE37*(1+BU$3))/$AJ37,'Технический лист'!$M:$N,2,1)-VLOOKUP($AO37,'Технический лист'!$M:$N,2,1)),1+(1-$AU37))</f>
        <v>1.02</v>
      </c>
      <c r="BV37" s="15">
        <f>MIN(IF($AU37=100%,1,1+VLOOKUP(($AJ37-$AI37-$AH37-$AG37-$AF37-$AE37*(1+BV$3))/$AJ37,'Технический лист'!$M:$N,2,1)-VLOOKUP($AO37,'Технический лист'!$M:$N,2,1)),1+(1-$AU37))</f>
        <v>1.02</v>
      </c>
      <c r="BW37" s="15">
        <f>MIN(IF($AU37=100%,1,1+VLOOKUP(($AJ37-$AI37-$AH37-$AG37-$AF37-$AE37*(1+BW$3))/$AJ37,'Технический лист'!$M:$N,2,1)-VLOOKUP($AO37,'Технический лист'!$M:$N,2,1)),1+(1-$AU37))</f>
        <v>1.02</v>
      </c>
      <c r="BX37" s="15">
        <f>MIN(IF($AU37=100%,1,1+VLOOKUP(($AJ37-$AI37-$AH37-$AG37-$AF37-$AE37*(1+BX$3))/$AJ37,'Технический лист'!$M:$N,2,1)-VLOOKUP($AO37,'Технический лист'!$M:$N,2,1)),1+(1-$AU37))</f>
        <v>1.02</v>
      </c>
      <c r="BY37" s="15">
        <f>MIN(IF($AU37=100%,1,1+VLOOKUP(($AJ37-$AI37-$AH37-$AG37-$AF37-$AE37*(1+BY$3))/$AJ37,'Технический лист'!$M:$N,2,1)-VLOOKUP($AO37,'Технический лист'!$M:$N,2,1)),1+(1-$AU37))</f>
        <v>1.02</v>
      </c>
      <c r="BZ37" s="15">
        <f>MIN(IF($AU37=100%,1,1+VLOOKUP(($AJ37-$AI37-$AH37-$AG37-$AF37-$AE37*(1+BZ$3))/$AJ37,'Технический лист'!$M:$N,2,1)-VLOOKUP($AO37,'Технический лист'!$M:$N,2,1)),1+(1-$AU37))</f>
        <v>1.02</v>
      </c>
      <c r="CA37" s="15">
        <f>MIN(IF($AU37=100%,1,1+VLOOKUP(($AJ37-$AI37-$AH37-$AG37-$AF37-$AE37*(1+CA$3))/$AJ37,'Технический лист'!$M:$N,2,1)-VLOOKUP($AO37,'Технический лист'!$M:$N,2,1)),1+(1-$AU37))</f>
        <v>1.02</v>
      </c>
      <c r="CB37" s="15">
        <f>MIN(IF($AU37=100%,1,1+VLOOKUP(($AJ37-$AI37-$AH37-$AG37-$AF37-$AE37*(1+CB$3))/$AJ37,'Технический лист'!$M:$N,2,1)-VLOOKUP($AO37,'Технический лист'!$M:$N,2,1)),1+(1-$AU37))</f>
        <v>1.02</v>
      </c>
      <c r="CC37" s="15">
        <f>MIN(IF($AU37=100%,1,1+VLOOKUP(($AJ37-$AI37-$AH37-$AG37-$AF37-$AE37*(1+CC$3))/$AJ37,'Технический лист'!$M:$N,2,1)-VLOOKUP($AO37,'Технический лист'!$M:$N,2,1)),1+(1-$AU37))</f>
        <v>1.02</v>
      </c>
      <c r="CD37" s="15">
        <f>MIN(IF($AU37=100%,1,1+VLOOKUP(($AJ37-$AI37-$AH37-$AG37-$AF37-$AE37*(1+CD$3))/$AJ37,'Технический лист'!$M:$N,2,1)-VLOOKUP($AO37,'Технический лист'!$M:$N,2,1)),1+(1-$AU37))</f>
        <v>1.02</v>
      </c>
      <c r="CE37" s="15">
        <f>MIN(IF($AU37=100%,1,1+VLOOKUP(($AJ37-$AI37-$AH37-$AG37-$AF37-$AE37*(1+CE$3))/$AJ37,'Технический лист'!$M:$N,2,1)-VLOOKUP($AO37,'Технический лист'!$M:$N,2,1)),1+(1-$AU37))</f>
        <v>1.02</v>
      </c>
      <c r="CF37" s="15">
        <f>MIN(IF($AU37=100%,1,1+VLOOKUP(($AJ37-$AI37-$AH37-$AG37-$AF37-$AE37*(1+CF$3))/$AJ37,'Технический лист'!$M:$N,2,1)-VLOOKUP($AO37,'Технический лист'!$M:$N,2,1)),1+(1-$AU37))</f>
        <v>1.02</v>
      </c>
      <c r="CG37" s="15">
        <f>MIN(IF($AU37=100%,1,1+VLOOKUP(($AJ37-$AI37-$AH37-$AG37-$AF37-$AE37*(1+CG$3))/$AJ37,'Технический лист'!$M:$N,2,1)-VLOOKUP($AO37,'Технический лист'!$M:$N,2,1)),1+(1-$AU37))</f>
        <v>1.02</v>
      </c>
      <c r="CH37" s="15">
        <f>MIN(IF($AU37=100%,1,1+VLOOKUP(($AJ37-$AI37-$AH37-$AG37-$AF37-$AE37*(1+CH$3))/$AJ37,'Технический лист'!$M:$N,2,1)-VLOOKUP($AO37,'Технический лист'!$M:$N,2,1)),1+(1-$AU37))</f>
        <v>1.02</v>
      </c>
      <c r="CI37" s="15">
        <f>MIN(IF($AU37=100%,1,1+VLOOKUP(($AJ37-$AI37-$AH37-$AG37-$AF37-$AE37*(1+CI$3))/$AJ37,'Технический лист'!$M:$N,2,1)-VLOOKUP($AO37,'Технический лист'!$M:$N,2,1)),1+(1-$AU37))</f>
        <v>1.02</v>
      </c>
      <c r="CJ37" s="15">
        <f>MIN(IF($AU37=100%,1,1+VLOOKUP(($AJ37-$AI37-$AH37-$AG37-$AF37-$AE37*(1+CJ$3))/$AJ37,'Технический лист'!$M:$N,2,1)-VLOOKUP($AO37,'Технический лист'!$M:$N,2,1)),1+(1-$AU37))</f>
        <v>1.02</v>
      </c>
      <c r="CK37" s="15">
        <f>MIN(IF($AU37=100%,1,1+VLOOKUP(($AJ37-$AI37-$AH37-$AG37-$AF37-$AE37*(1+CK$3))/$AJ37,'Технический лист'!$M:$N,2,1)-VLOOKUP($AO37,'Технический лист'!$M:$N,2,1)),1+(1-$AU37))</f>
        <v>1.02</v>
      </c>
      <c r="CL37" s="15">
        <f>MIN(IF($AU37=100%,1,1+VLOOKUP(($AJ37-$AI37-$AH37-$AG37-$AF37-$AE37*(1+CL$3))/$AJ37,'Технический лист'!$M:$N,2,1)-VLOOKUP($AO37,'Технический лист'!$M:$N,2,1)),1+(1-$AU37))</f>
        <v>1.02</v>
      </c>
      <c r="CM37" s="15">
        <f>MIN(IF($AU37=100%,1,1+VLOOKUP(($AJ37-$AI37-$AH37-$AG37-$AF37-$AE37*(1+CM$3))/$AJ37,'Технический лист'!$M:$N,2,1)-VLOOKUP($AO37,'Технический лист'!$M:$N,2,1)),1+(1-$AU37))</f>
        <v>1.02</v>
      </c>
      <c r="CN37" s="15">
        <f>MIN(IF($AU37=100%,1,1+VLOOKUP(($AJ37-$AI37-$AH37-$AG37-$AF37-$AE37*(1+CN$3))/$AJ37,'Технический лист'!$M:$N,2,1)-VLOOKUP($AO37,'Технический лист'!$M:$N,2,1)),1+(1-$AU37))</f>
        <v>1.02</v>
      </c>
      <c r="CO37" s="15">
        <f>MIN(IF($AU37=100%,1,1+VLOOKUP(($AJ37-$AI37-$AH37-$AG37-$AF37-$AE37*(1+CO$3))/$AJ37,'Технический лист'!$M:$N,2,1)-VLOOKUP($AO37,'Технический лист'!$M:$N,2,1)),1+(1-$AU37))</f>
        <v>1.02</v>
      </c>
      <c r="CP37" s="15">
        <f>MIN(IF($AU37=100%,1,1+VLOOKUP(($AJ37-$AI37-$AH37-$AG37-$AF37-$AE37*(1+CP$3))/$AJ37,'Технический лист'!$M:$N,2,1)-VLOOKUP($AO37,'Технический лист'!$M:$N,2,1)),1+(1-$AU37))</f>
        <v>1.02</v>
      </c>
      <c r="CQ37" s="15">
        <f>MIN(IF($AU37=100%,1,1+VLOOKUP(($AJ37-$AI37-$AH37-$AG37-$AF37-$AE37*(1+CQ$3))/$AJ37,'Технический лист'!$M:$N,2,1)-VLOOKUP($AO37,'Технический лист'!$M:$N,2,1)),1+(1-$AU37))</f>
        <v>1.02</v>
      </c>
      <c r="CR37" s="15">
        <f>MIN(IF($AU37=100%,1,1+VLOOKUP(($AJ37-$AI37-$AH37-$AG37-$AF37-$AE37*(1+CR$3))/$AJ37,'Технический лист'!$M:$N,2,1)-VLOOKUP($AO37,'Технический лист'!$M:$N,2,1)),1+(1-$AU37))</f>
        <v>1.02</v>
      </c>
      <c r="CS37" s="15">
        <f>MIN(IF($AU37=100%,1,1+VLOOKUP(($AJ37-$AI37-$AH37-$AG37-$AF37-$AE37*(1+CS$3))/$AJ37,'Технический лист'!$M:$N,2,1)-VLOOKUP($AO37,'Технический лист'!$M:$N,2,1)),1+(1-$AU37))</f>
        <v>1.02</v>
      </c>
      <c r="CT37" s="15">
        <f>MIN(IF($AU37=100%,1,1+VLOOKUP(($AJ37-$AI37-$AH37-$AG37-$AF37-$AE37*(1+CT$3))/$AJ37,'Технический лист'!$M:$N,2,1)-VLOOKUP($AO37,'Технический лист'!$M:$N,2,1)),1+(1-$AU37))</f>
        <v>1.02</v>
      </c>
      <c r="CU37" s="15">
        <f>MIN(IF($AU37=100%,1,1+VLOOKUP(($AJ37-$AI37-$AH37-$AG37-$AF37-$AE37*(1+CU$3))/$AJ37,'Технический лист'!$M:$N,2,1)-VLOOKUP($AO37,'Технический лист'!$M:$N,2,1)),1+(1-$AU37))</f>
        <v>1.02</v>
      </c>
      <c r="CV37" s="15">
        <f>MIN(IF($AU37=100%,1,1+VLOOKUP(($AJ37-$AI37-$AH37-$AG37-$AF37-$AE37*(1+CV$3))/$AJ37,'Технический лист'!$M:$N,2,1)-VLOOKUP($AO37,'Технический лист'!$M:$N,2,1)),1+(1-$AU37))</f>
        <v>1.02</v>
      </c>
      <c r="CW37" s="15">
        <f>MIN(IF($AU37=100%,1,1+VLOOKUP(($AJ37-$AI37-$AH37-$AG37-$AF37-$AE37*(1+CW$3))/$AJ37,'Технический лист'!$M:$N,2,1)-VLOOKUP($AO37,'Технический лист'!$M:$N,2,1)),1+(1-$AU37))</f>
        <v>1.02</v>
      </c>
      <c r="CX37" s="15">
        <f>MIN(IF($AU37=100%,1,1+VLOOKUP(($AJ37-$AI37-$AH37-$AG37-$AF37-$AE37*(1+CX$3))/$AJ37,'Технический лист'!$M:$N,2,1)-VLOOKUP($AO37,'Технический лист'!$M:$N,2,1)),1+(1-$AU37))</f>
        <v>1.02</v>
      </c>
      <c r="CY37" s="15">
        <f>MIN(IF($AU37=100%,1,1+VLOOKUP(($AJ37-$AI37-$AH37-$AG37-$AF37-$AE37*(1+CY$3))/$AJ37,'Технический лист'!$M:$N,2,1)-VLOOKUP($AO37,'Технический лист'!$M:$N,2,1)),1+(1-$AU37))</f>
        <v>1.02</v>
      </c>
      <c r="CZ37" s="15">
        <f>MIN(IF($AU37=100%,1,1+VLOOKUP(($AJ37-$AI37-$AH37-$AG37-$AF37-$AE37*(1+CZ$3))/$AJ37,'Технический лист'!$M:$N,2,1)-VLOOKUP($AO37,'Технический лист'!$M:$N,2,1)),1+(1-$AU37))</f>
        <v>1.02</v>
      </c>
      <c r="DA37" s="15">
        <f>MIN(IF($AU37=100%,1,1+VLOOKUP(($AJ37-$AI37-$AH37-$AG37-$AF37-$AE37*(1+DA$3))/$AJ37,'Технический лист'!$M:$N,2,1)-VLOOKUP($AO37,'Технический лист'!$M:$N,2,1)),1+(1-$AU37))</f>
        <v>1.02</v>
      </c>
      <c r="DB37" s="15">
        <f>MIN(IF($AU37=100%,1,1+VLOOKUP(($AJ37-$AI37-$AH37-$AG37-$AF37-$AE37*(1+DB$3))/$AJ37,'Технический лист'!$M:$N,2,1)-VLOOKUP($AO37,'Технический лист'!$M:$N,2,1)),1+(1-$AU37))</f>
        <v>1.02</v>
      </c>
      <c r="DC37" s="15">
        <f>MIN(IF($AU37=100%,1,1+VLOOKUP(($AJ37-$AI37-$AH37-$AG37-$AF37-$AE37*(1+DC$3))/$AJ37,'Технический лист'!$M:$N,2,1)-VLOOKUP($AO37,'Технический лист'!$M:$N,2,1)),1+(1-$AU37))</f>
        <v>1.02</v>
      </c>
      <c r="DD37" s="15">
        <f>MIN(IF($AU37=100%,1,1+VLOOKUP(($AJ37-$AI37-$AH37-$AG37-$AF37-$AE37*(1+DD$3))/$AJ37,'Технический лист'!$M:$N,2,1)-VLOOKUP($AO37,'Технический лист'!$M:$N,2,1)),1+(1-$AU37))</f>
        <v>1.02</v>
      </c>
      <c r="DE37" s="15">
        <f>MIN(IF($AU37=100%,1,1+VLOOKUP(($AJ37-$AI37-$AH37-$AG37-$AF37-$AE37*(1+DE$3))/$AJ37,'Технический лист'!$M:$N,2,1)-VLOOKUP($AO37,'Технический лист'!$M:$N,2,1)),1+(1-$AU37))</f>
        <v>1.02</v>
      </c>
      <c r="DF37" s="15">
        <f>MIN(IF($AU37=100%,1,1+VLOOKUP(($AJ37-$AI37-$AH37-$AG37-$AF37-$AE37*(1+DF$3))/$AJ37,'Технический лист'!$M:$N,2,1)-VLOOKUP($AO37,'Технический лист'!$M:$N,2,1)),1+(1-$AU37))</f>
        <v>1.02</v>
      </c>
      <c r="DG37" s="15">
        <f>MIN(IF($AU37=100%,1,1+VLOOKUP(($AJ37-$AI37-$AH37-$AG37-$AF37-$AE37*(1+DG$3))/$AJ37,'Технический лист'!$M:$N,2,1)-VLOOKUP($AO37,'Технический лист'!$M:$N,2,1)),1+(1-$AU37))</f>
        <v>1.02</v>
      </c>
      <c r="DH37" s="15">
        <f>MIN(IF($AU37=100%,1,1+VLOOKUP(($AJ37-$AI37-$AH37-$AG37-$AF37-$AE37*(1+DH$3))/$AJ37,'Технический лист'!$M:$N,2,1)-VLOOKUP($AO37,'Технический лист'!$M:$N,2,1)),1+(1-$AU37))</f>
        <v>1.02</v>
      </c>
      <c r="DI37" s="15">
        <f>MIN(IF($AU37=100%,1,1+VLOOKUP(($AJ37-$AI37-$AH37-$AG37-$AF37-$AE37*(1+DI$3))/$AJ37,'Технический лист'!$M:$N,2,1)-VLOOKUP($AO37,'Технический лист'!$M:$N,2,1)),1+(1-$AU37))</f>
        <v>1.02</v>
      </c>
      <c r="DJ37" s="15">
        <f>MIN(IF($AU37=100%,1,1+VLOOKUP(($AJ37-$AI37-$AH37-$AG37-$AF37-$AE37*(1+DJ$3))/$AJ37,'Технический лист'!$M:$N,2,1)-VLOOKUP($AO37,'Технический лист'!$M:$N,2,1)),1+(1-$AU37))</f>
        <v>1.02</v>
      </c>
      <c r="DK37" s="15">
        <f>MIN(IF($AU37=100%,1,1+VLOOKUP(($AJ37-$AI37-$AH37-$AG37-$AF37-$AE37*(1+DK$3))/$AJ37,'Технический лист'!$M:$N,2,1)-VLOOKUP($AO37,'Технический лист'!$M:$N,2,1)),1+(1-$AU37))</f>
        <v>1.02</v>
      </c>
      <c r="DL37" s="15">
        <f>MIN(IF($AU37=100%,1,1+VLOOKUP(($AJ37-$AI37-$AH37-$AG37-$AF37-$AE37*(1+DL$3))/$AJ37,'Технический лист'!$M:$N,2,1)-VLOOKUP($AO37,'Технический лист'!$M:$N,2,1)),1+(1-$AU37))</f>
        <v>1.02</v>
      </c>
      <c r="DM37" s="15">
        <f>MIN(IF($AU37=100%,1,1+VLOOKUP(($AJ37-$AI37-$AH37-$AG37-$AF37-$AE37*(1+DM$3))/$AJ37,'Технический лист'!$M:$N,2,1)-VLOOKUP($AO37,'Технический лист'!$M:$N,2,1)),1+(1-$AU37))</f>
        <v>1.02</v>
      </c>
      <c r="DN37" s="15">
        <f>MIN(IF($AU37=100%,1,1+VLOOKUP(($AJ37-$AI37-$AH37-$AG37-$AF37-$AE37*(1+DN$3))/$AJ37,'Технический лист'!$M:$N,2,1)-VLOOKUP($AO37,'Технический лист'!$M:$N,2,1)),1+(1-$AU37))</f>
        <v>1.02</v>
      </c>
      <c r="DO37" s="15">
        <f>MIN(IF($AU37=100%,1,1+VLOOKUP(($AJ37-$AI37-$AH37-$AG37-$AF37-$AE37*(1+DO$3))/$AJ37,'Технический лист'!$M:$N,2,1)-VLOOKUP($AO37,'Технический лист'!$M:$N,2,1)),1+(1-$AU37))</f>
        <v>1.02</v>
      </c>
      <c r="DP37" s="15">
        <f>MIN(IF($AU37=100%,1,1+VLOOKUP(($AJ37-$AI37-$AH37-$AG37-$AF37-$AE37*(1+DP$3))/$AJ37,'Технический лист'!$M:$N,2,1)-VLOOKUP($AO37,'Технический лист'!$M:$N,2,1)),1+(1-$AU37))</f>
        <v>1.02</v>
      </c>
      <c r="DQ37" s="15">
        <f>MIN(IF($AU37=100%,1,1+VLOOKUP(($AJ37-$AI37-$AH37-$AG37-$AF37-$AE37*(1+DQ$3))/$AJ37,'Технический лист'!$M:$N,2,1)-VLOOKUP($AO37,'Технический лист'!$M:$N,2,1)),1+(1-$AU37))</f>
        <v>1.02</v>
      </c>
      <c r="DR37" s="15">
        <f>MIN(IF($AU37=100%,1,1+VLOOKUP(($AJ37-$AI37-$AH37-$AG37-$AF37-$AE37*(1+DR$3))/$AJ37,'Технический лист'!$M:$N,2,1)-VLOOKUP($AO37,'Технический лист'!$M:$N,2,1)),1+(1-$AU37))</f>
        <v>1.02</v>
      </c>
      <c r="DS37" s="15">
        <f>MIN(IF($AU37=100%,1,1+VLOOKUP(($AJ37-$AI37-$AH37-$AG37-$AF37-$AE37*(1+DS$3))/$AJ37,'Технический лист'!$M:$N,2,1)-VLOOKUP($AO37,'Технический лист'!$M:$N,2,1)),1+(1-$AU37))</f>
        <v>1.02</v>
      </c>
      <c r="DT37" s="15">
        <f>MIN(IF($AU37=100%,1,1+VLOOKUP(($AJ37-$AI37-$AH37-$AG37-$AF37-$AE37*(1+DT$3))/$AJ37,'Технический лист'!$M:$N,2,1)-VLOOKUP($AO37,'Технический лист'!$M:$N,2,1)),1+(1-$AU37))</f>
        <v>1.02</v>
      </c>
      <c r="DU37" s="15">
        <f>MIN(IF($AU37=100%,1,1+VLOOKUP(($AJ37-$AI37-$AH37-$AG37-$AF37-$AE37*(1+DU$3))/$AJ37,'Технический лист'!$M:$N,2,1)-VLOOKUP($AO37,'Технический лист'!$M:$N,2,1)),1+(1-$AU37))</f>
        <v>1.02</v>
      </c>
      <c r="DV37" s="15">
        <f>MIN(IF($AU37=100%,1,1+VLOOKUP(($AJ37-$AI37-$AH37-$AG37-$AF37-$AE37*(1+DV$3))/$AJ37,'Технический лист'!$M:$N,2,1)-VLOOKUP($AO37,'Технический лист'!$M:$N,2,1)),1+(1-$AU37))</f>
        <v>1.02</v>
      </c>
      <c r="DW37" s="15">
        <f>MIN(IF($AU37=100%,1,1+VLOOKUP(($AJ37-$AI37-$AH37-$AG37-$AF37-$AE37*(1+DW$3))/$AJ37,'Технический лист'!$M:$N,2,1)-VLOOKUP($AO37,'Технический лист'!$M:$N,2,1)),1+(1-$AU37))</f>
        <v>1.02</v>
      </c>
      <c r="DX37" s="15">
        <f>MIN(IF($AU37=100%,1,1+VLOOKUP(($AJ37-$AI37-$AH37-$AG37-$AF37-$AE37*(1+DX$3))/$AJ37,'Технический лист'!$M:$N,2,1)-VLOOKUP($AO37,'Технический лист'!$M:$N,2,1)),1+(1-$AU37))</f>
        <v>1.02</v>
      </c>
      <c r="DY37" s="15">
        <f>MIN(IF($AU37=100%,1,1+VLOOKUP(($AJ37-$AI37-$AH37-$AG37-$AF37-$AE37*(1+DY$3))/$AJ37,'Технический лист'!$M:$N,2,1)-VLOOKUP($AO37,'Технический лист'!$M:$N,2,1)),1+(1-$AU37))</f>
        <v>1.02</v>
      </c>
      <c r="DZ37" s="15">
        <f>MIN(IF($AU37=100%,1,1+VLOOKUP(($AJ37-$AI37-$AH37-$AG37-$AF37-$AE37*(1+DZ$3))/$AJ37,'Технический лист'!$M:$N,2,1)-VLOOKUP($AO37,'Технический лист'!$M:$N,2,1)),1+(1-$AU37))</f>
        <v>1.02</v>
      </c>
      <c r="EA37" s="15">
        <f>MIN(IF($AU37=100%,1,1+VLOOKUP(($AJ37-$AI37-$AH37-$AG37-$AF37-$AE37*(1+EA$3))/$AJ37,'Технический лист'!$M:$N,2,1)-VLOOKUP($AO37,'Технический лист'!$M:$N,2,1)),1+(1-$AU37))</f>
        <v>1.02</v>
      </c>
      <c r="EB37" s="15">
        <f>MIN(IF($AU37=100%,1,1+VLOOKUP(($AJ37-$AI37-$AH37-$AG37-$AF37-$AE37*(1+EB$3))/$AJ37,'Технический лист'!$M:$N,2,1)-VLOOKUP($AO37,'Технический лист'!$M:$N,2,1)),1+(1-$AU37))</f>
        <v>1.02</v>
      </c>
      <c r="EC37" s="15">
        <f>MIN(IF($AU37=100%,1,1+VLOOKUP(($AJ37-$AI37-$AH37-$AG37-$AF37-$AE37*(1+EC$3))/$AJ37,'Технический лист'!$M:$N,2,1)-VLOOKUP($AO37,'Технический лист'!$M:$N,2,1)),1+(1-$AU37))</f>
        <v>1.02</v>
      </c>
      <c r="ED37" s="15">
        <f>MIN(IF($AU37=100%,1,1+VLOOKUP(($AJ37-$AI37-$AH37-$AG37-$AF37-$AE37*(1+ED$3))/$AJ37,'Технический лист'!$M:$N,2,1)-VLOOKUP($AO37,'Технический лист'!$M:$N,2,1)),1+(1-$AU37))</f>
        <v>1.02</v>
      </c>
      <c r="EE37" s="15">
        <f>MIN(IF($AU37=100%,1,1+VLOOKUP(($AJ37-$AI37-$AH37-$AG37-$AF37-$AE37*(1+EE$3))/$AJ37,'Технический лист'!$M:$N,2,1)-VLOOKUP($AO37,'Технический лист'!$M:$N,2,1)),1+(1-$AU37))</f>
        <v>1.02</v>
      </c>
      <c r="EF37" s="15">
        <f>MIN(IF($AU37=100%,1,1+VLOOKUP(($AJ37-$AI37-$AH37-$AG37-$AF37-$AE37*(1+EF$3))/$AJ37,'Технический лист'!$M:$N,2,1)-VLOOKUP($AO37,'Технический лист'!$M:$N,2,1)),1+(1-$AU37))</f>
        <v>1.02</v>
      </c>
      <c r="EG37" s="15">
        <f>MIN(IF($AU37=100%,1,1+VLOOKUP(($AJ37-$AI37-$AH37-$AG37-$AF37-$AE37*(1+EG$3))/$AJ37,'Технический лист'!$M:$N,2,1)-VLOOKUP($AO37,'Технический лист'!$M:$N,2,1)),1+(1-$AU37))</f>
        <v>1.02</v>
      </c>
      <c r="EH37" s="15">
        <f>MIN(IF($AU37=100%,1,1+VLOOKUP(($AJ37-$AI37-$AH37-$AG37-$AF37-$AE37*(1+EH$3))/$AJ37,'Технический лист'!$M:$N,2,1)-VLOOKUP($AO37,'Технический лист'!$M:$N,2,1)),1+(1-$AU37))</f>
        <v>1.02</v>
      </c>
      <c r="EI37" s="15">
        <f>MIN(IF($AU37=100%,1,1+VLOOKUP(($AJ37-$AI37-$AH37-$AG37-$AF37-$AE37*(1+EI$3))/$AJ37,'Технический лист'!$M:$N,2,1)-VLOOKUP($AO37,'Технический лист'!$M:$N,2,1)),1+(1-$AU37))</f>
        <v>1.02</v>
      </c>
      <c r="EJ37" s="15">
        <f>MIN(IF($AU37=100%,1,1+VLOOKUP(($AJ37-$AI37-$AH37-$AG37-$AF37-$AE37*(1+EJ$3))/$AJ37,'Технический лист'!$M:$N,2,1)-VLOOKUP($AO37,'Технический лист'!$M:$N,2,1)),1+(1-$AU37))</f>
        <v>1.02</v>
      </c>
      <c r="EK37" s="15">
        <f>MIN(IF($AU37=100%,1,1+VLOOKUP(($AJ37-$AI37-$AH37-$AG37-$AF37-$AE37*(1+EK$3))/$AJ37,'Технический лист'!$M:$N,2,1)-VLOOKUP($AO37,'Технический лист'!$M:$N,2,1)),1+(1-$AU37))</f>
        <v>1.02</v>
      </c>
      <c r="EL37" s="15">
        <f>MIN(IF($AU37=100%,1,1+VLOOKUP(($AJ37-$AI37-$AH37-$AG37-$AF37-$AE37*(1+EL$3))/$AJ37,'Технический лист'!$M:$N,2,1)-VLOOKUP($AO37,'Технический лист'!$M:$N,2,1)),1+(1-$AU37))</f>
        <v>1.02</v>
      </c>
      <c r="EM37" s="15">
        <f>MIN(IF($AU37=100%,1,1+VLOOKUP(($AJ37-$AI37-$AH37-$AG37-$AF37-$AE37*(1+EM$3))/$AJ37,'Технический лист'!$M:$N,2,1)-VLOOKUP($AO37,'Технический лист'!$M:$N,2,1)),1+(1-$AU37))</f>
        <v>1.02</v>
      </c>
      <c r="EN37" s="15">
        <f>MIN(IF($AU37=100%,1,1+VLOOKUP(($AJ37-$AI37-$AH37-$AG37-$AF37-$AE37*(1+EN$3))/$AJ37,'Технический лист'!$M:$N,2,1)-VLOOKUP($AO37,'Технический лист'!$M:$N,2,1)),1+(1-$AU37))</f>
        <v>1.02</v>
      </c>
      <c r="EO37" s="15">
        <f>MIN(IF($AU37=100%,1,1+VLOOKUP(($AJ37-$AI37-$AH37-$AG37-$AF37-$AE37*(1+EO$3))/$AJ37,'Технический лист'!$M:$N,2,1)-VLOOKUP($AO37,'Технический лист'!$M:$N,2,1)),1+(1-$AU37))</f>
        <v>1.02</v>
      </c>
      <c r="EP37" s="15">
        <f>MIN(IF($AU37=100%,1,1+VLOOKUP(($AJ37-$AI37-$AH37-$AG37-$AF37-$AE37*(1+EP$3))/$AJ37,'Технический лист'!$M:$N,2,1)-VLOOKUP($AO37,'Технический лист'!$M:$N,2,1)),1+(1-$AU37))</f>
        <v>1.02</v>
      </c>
      <c r="EQ37" s="15">
        <f>MIN(IF($AU37=100%,1,1+VLOOKUP(($AJ37-$AI37-$AH37-$AG37-$AF37-$AE37*(1+EQ$3))/$AJ37,'Технический лист'!$M:$N,2,1)-VLOOKUP($AO37,'Технический лист'!$M:$N,2,1)),1+(1-$AU37))</f>
        <v>1.02</v>
      </c>
      <c r="ER37" s="15">
        <f>MIN(IF($AU37=100%,1,1+VLOOKUP(($AJ37-$AI37-$AH37-$AG37-$AF37-$AE37*(1+ER$3))/$AJ37,'Технический лист'!$M:$N,2,1)-VLOOKUP($AO37,'Технический лист'!$M:$N,2,1)),1+(1-$AU37))</f>
        <v>1.02</v>
      </c>
      <c r="ES37" s="15">
        <f>MIN(IF($AU37=100%,1,1+VLOOKUP(($AJ37-$AI37-$AH37-$AG37-$AF37-$AE37*(1+ES$3))/$AJ37,'Технический лист'!$M:$N,2,1)-VLOOKUP($AO37,'Технический лист'!$M:$N,2,1)),1+(1-$AU37))</f>
        <v>1.02</v>
      </c>
      <c r="ET37" s="15">
        <f>MIN(IF($AU37=100%,1,1+VLOOKUP(($AJ37-$AI37-$AH37-$AG37-$AF37-$AE37*(1+ET$3))/$AJ37,'Технический лист'!$M:$N,2,1)-VLOOKUP($AO37,'Технический лист'!$M:$N,2,1)),1+(1-$AU37))</f>
        <v>0.99999999999999978</v>
      </c>
      <c r="EU37" s="15">
        <f>MIN(IF($AU37=100%,1,1+VLOOKUP(($AJ37-$AI37-$AH37-$AG37-$AF37-$AE37*(1+EU$3))/$AJ37,'Технический лист'!$M:$N,2,1)-VLOOKUP($AO37,'Технический лист'!$M:$N,2,1)),1+(1-$AU37))</f>
        <v>0.99999999999999978</v>
      </c>
      <c r="EV37" s="111">
        <v>1</v>
      </c>
      <c r="EW37" s="15">
        <f>MIN(1,MAX(VLOOKUP(($AJ37-$AI37-$AH37-$AG37-$AF37-$AE37*(1+EW$3))/$AJ37,'Технический лист'!$M:$N,2,1),(EV37-0.05)))</f>
        <v>1</v>
      </c>
      <c r="EX37" s="15">
        <f>MIN(1,MAX(VLOOKUP(($AJ37-$AI37-$AH37-$AG37-$AF37-$AE37*(1+EX$3))/$AJ37,'Технический лист'!$M:$N,2,1),(EW37-0.05)))</f>
        <v>1</v>
      </c>
      <c r="EY37" s="15">
        <f>MIN(1,MAX(VLOOKUP(($AJ37-$AI37-$AH37-$AG37-$AF37-$AE37*(1+EY$3))/$AJ37,'Технический лист'!$M:$N,2,1),(EX37-0.05)))</f>
        <v>1</v>
      </c>
      <c r="EZ37" s="15">
        <f>MIN(1,MAX(VLOOKUP(($AJ37-$AI37-$AH37-$AG37-$AF37-$AE37*(1+EZ$3))/$AJ37,'Технический лист'!$M:$N,2,1),(EY37-0.05)))</f>
        <v>1</v>
      </c>
      <c r="FA37" s="15">
        <f>MIN(1,MAX(VLOOKUP(($AJ37-$AI37-$AH37-$AG37-$AF37-$AE37*(1+FA$3))/$AJ37,'Технический лист'!$M:$N,2,1),(EZ37-0.05)))</f>
        <v>1</v>
      </c>
      <c r="FB37" s="15">
        <f>MIN(1,MAX(VLOOKUP(($AJ37-$AI37-$AH37-$AG37-$AF37-$AE37*(1+FB$3))/$AJ37,'Технический лист'!$M:$N,2,1),(FA37-0.05)))</f>
        <v>1</v>
      </c>
      <c r="FC37" s="15">
        <f>MIN(1,MAX(VLOOKUP(($AJ37-$AI37-$AH37-$AG37-$AF37-$AE37*(1+FC$3))/$AJ37,'Технический лист'!$M:$N,2,1),(FB37-0.05)))</f>
        <v>1</v>
      </c>
      <c r="FD37" s="15">
        <f>MIN(1,MAX(VLOOKUP(($AJ37-$AI37-$AH37-$AG37-$AF37-$AE37*(1+FD$3))/$AJ37,'Технический лист'!$M:$N,2,1),(FC37-0.05)))</f>
        <v>1</v>
      </c>
      <c r="FE37" s="15">
        <f>MIN(1,MAX(VLOOKUP(($AJ37-$AI37-$AH37-$AG37-$AF37-$AE37*(1+FE$3))/$AJ37,'Технический лист'!$M:$N,2,1),(FD37-0.05)))</f>
        <v>1</v>
      </c>
      <c r="FF37" s="15">
        <f>MIN(1,MAX(VLOOKUP(($AJ37-$AI37-$AH37-$AG37-$AF37-$AE37*(1+FF$3))/$AJ37,'Технический лист'!$M:$N,2,1),(FE37-0.05)))</f>
        <v>1</v>
      </c>
      <c r="FG37" s="15">
        <f>MIN(1,MAX(VLOOKUP(($AJ37-$AI37-$AH37-$AG37-$AF37-$AE37*(1+FG$3))/$AJ37,'Технический лист'!$M:$N,2,1),(FF37-0.05)))</f>
        <v>1</v>
      </c>
      <c r="FH37" s="15">
        <f>MIN(1,MAX(VLOOKUP(($AJ37-$AI37-$AH37-$AG37-$AF37-$AE37*(1+FH$3))/$AJ37,'Технический лист'!$M:$N,2,1),(FG37-0.05)))</f>
        <v>1</v>
      </c>
      <c r="FI37" s="15">
        <f>MIN(1,MAX(VLOOKUP(($AJ37-$AI37-$AH37-$AG37-$AF37-$AE37*(1+FI$3))/$AJ37,'Технический лист'!$M:$N,2,1),(FH37-0.05)))</f>
        <v>1</v>
      </c>
      <c r="FJ37" s="15">
        <f>MIN(1,MAX(VLOOKUP(($AJ37-$AI37-$AH37-$AG37-$AF37-$AE37*(1+FJ$3))/$AJ37,'Технический лист'!$M:$N,2,1),(FI37-0.05)))</f>
        <v>1</v>
      </c>
      <c r="FK37" s="15">
        <f>MIN(1,MAX(VLOOKUP(($AJ37-$AI37-$AH37-$AG37-$AF37-$AE37*(1+FK$3))/$AJ37,'Технический лист'!$M:$N,2,1),(FJ37-0.05)))</f>
        <v>1</v>
      </c>
      <c r="FL37" s="15">
        <f>MIN(1,MAX(VLOOKUP(($AJ37-$AI37-$AH37-$AG37-$AF37-$AE37*(1+FL$3))/$AJ37,'Технический лист'!$M:$N,2,1),(FK37-0.05)))</f>
        <v>1</v>
      </c>
      <c r="FM37" s="15">
        <f>MIN(1,MAX(VLOOKUP(($AJ37-$AI37-$AH37-$AG37-$AF37-$AE37*(1+FM$3))/$AJ37,'Технический лист'!$M:$N,2,1),(FL37-0.05)))</f>
        <v>1</v>
      </c>
      <c r="FN37" s="15">
        <f>MIN(1,MAX(VLOOKUP(($AJ37-$AI37-$AH37-$AG37-$AF37-$AE37*(1+FN$3))/$AJ37,'Технический лист'!$M:$N,2,1),(FM37-0.05)))</f>
        <v>1</v>
      </c>
      <c r="FO37" s="15">
        <f>MIN(1,MAX(VLOOKUP(($AJ37-$AI37-$AH37-$AG37-$AF37-$AE37*(1+FO$3))/$AJ37,'Технический лист'!$M:$N,2,1),(FN37-0.05)))</f>
        <v>1</v>
      </c>
      <c r="FP37" s="15">
        <f>MIN(1,MAX(VLOOKUP(($AJ37-$AI37-$AH37-$AG37-$AF37-$AE37*(1+FP$3))/$AJ37,'Технический лист'!$M:$N,2,1),(FO37-0.05)))</f>
        <v>1</v>
      </c>
      <c r="FQ37" s="15">
        <f>MIN(1,MAX(VLOOKUP(($AJ37-$AI37-$AH37-$AG37-$AF37-$AE37*(1+FQ$3))/$AJ37,'Технический лист'!$M:$N,2,1),(FP37-0.05)))</f>
        <v>1</v>
      </c>
      <c r="FR37" s="15">
        <f>MIN(1,MAX(VLOOKUP(($AJ37-$AI37-$AH37-$AG37-$AF37-$AE37*(1+FR$3))/$AJ37,'Технический лист'!$M:$N,2,1),(FQ37-0.05)))</f>
        <v>1</v>
      </c>
      <c r="FS37" s="15">
        <f>MIN(1,MAX(VLOOKUP(($AJ37-$AI37-$AH37-$AG37-$AF37-$AE37*(1+FS$3))/$AJ37,'Технический лист'!$M:$N,2,1),(FR37-0.05)))</f>
        <v>1</v>
      </c>
      <c r="FT37" s="15">
        <f>MIN(1,MAX(VLOOKUP(($AJ37-$AI37-$AH37-$AG37-$AF37-$AE37*(1+FT$3))/$AJ37,'Технический лист'!$M:$N,2,1),(FS37-0.05)))</f>
        <v>1</v>
      </c>
      <c r="FU37" s="15">
        <f>MIN(1,MAX(VLOOKUP(($AJ37-$AI37-$AH37-$AG37-$AF37-$AE37*(1+FU$3))/$AJ37,'Технический лист'!$M:$N,2,1),(FT37-0.05)))</f>
        <v>1</v>
      </c>
      <c r="FV37" s="15">
        <f>MIN(1,MAX(VLOOKUP(($AJ37-$AI37-$AH37-$AG37-$AF37-$AE37*(1+FV$3))/$AJ37,'Технический лист'!$M:$N,2,1),(FU37-0.05)))</f>
        <v>1</v>
      </c>
      <c r="FW37" s="15">
        <f>MIN(1,MAX(VLOOKUP(($AJ37-$AI37-$AH37-$AG37-$AF37-$AE37*(1+FW$3))/$AJ37,'Технический лист'!$M:$N,2,1),(FV37-0.05)))</f>
        <v>1</v>
      </c>
      <c r="FX37" s="15">
        <f>MIN(1,MAX(VLOOKUP(($AJ37-$AI37-$AH37-$AG37-$AF37-$AE37*(1+FX$3))/$AJ37,'Технический лист'!$M:$N,2,1),(FW37-0.05)))</f>
        <v>1</v>
      </c>
      <c r="FY37" s="15">
        <f>MIN(1,MAX(VLOOKUP(($AJ37-$AI37-$AH37-$AG37-$AF37-$AE37*(1+FY$3))/$AJ37,'Технический лист'!$M:$N,2,1),(FX37-0.05)))</f>
        <v>1</v>
      </c>
      <c r="FZ37" s="15">
        <f>MIN(1,MAX(VLOOKUP(($AJ37-$AI37-$AH37-$AG37-$AF37-$AE37*(1+FZ$3))/$AJ37,'Технический лист'!$M:$N,2,1),(FY37-0.05)))</f>
        <v>1</v>
      </c>
      <c r="GA37" s="15">
        <f>MIN(1,MAX(VLOOKUP(($AJ37-$AI37-$AH37-$AG37-$AF37-$AE37*(1+GA$3))/$AJ37,'Технический лист'!$M:$N,2,1),(FZ37-0.05)))</f>
        <v>1</v>
      </c>
      <c r="GB37" s="15">
        <f>MIN(1,MAX(VLOOKUP(($AJ37-$AI37-$AH37-$AG37-$AF37-$AE37*(1+GB$3))/$AJ37,'Технический лист'!$M:$N,2,1),(GA37-0.05)))</f>
        <v>1</v>
      </c>
      <c r="GC37" s="15">
        <f>MIN(1,MAX(VLOOKUP(($AJ37-$AI37-$AH37-$AG37-$AF37-$AE37*(1+GC$3))/$AJ37,'Технический лист'!$M:$N,2,1),(GB37-0.05)))</f>
        <v>1</v>
      </c>
      <c r="GD37" s="15">
        <f>MIN(1,MAX(VLOOKUP(($AJ37-$AI37-$AH37-$AG37-$AF37-$AE37*(1+GD$3))/$AJ37,'Технический лист'!$M:$N,2,1),(GC37-0.05)))</f>
        <v>1</v>
      </c>
      <c r="GE37" s="15">
        <f>MIN(1,MAX(VLOOKUP(($AJ37-$AI37-$AH37-$AG37-$AF37-$AE37*(1+GE$3))/$AJ37,'Технический лист'!$M:$N,2,1),(GD37-0.05)))</f>
        <v>1</v>
      </c>
      <c r="GF37" s="15">
        <f>MIN(1,MAX(VLOOKUP(($AJ37-$AI37-$AH37-$AG37-$AF37-$AE37*(1+GF$3))/$AJ37,'Технический лист'!$M:$N,2,1),(GE37-0.05)))</f>
        <v>1</v>
      </c>
      <c r="GG37" s="15">
        <f>MIN(1,MAX(VLOOKUP(($AJ37-$AI37-$AH37-$AG37-$AF37-$AE37*(1+GG$3))/$AJ37,'Технический лист'!$M:$N,2,1),(GF37-0.05)))</f>
        <v>1</v>
      </c>
      <c r="GH37" s="15">
        <f>MIN(1,MAX(VLOOKUP(($AJ37-$AI37-$AH37-$AG37-$AF37-$AE37*(1+GH$3))/$AJ37,'Технический лист'!$M:$N,2,1),(GG37-0.05)))</f>
        <v>1</v>
      </c>
      <c r="GI37" s="15">
        <f>MIN(1,MAX(VLOOKUP(($AJ37-$AI37-$AH37-$AG37-$AF37-$AE37*(1+GI$3))/$AJ37,'Технический лист'!$M:$N,2,1),(GH37-0.05)))</f>
        <v>1</v>
      </c>
      <c r="GJ37" s="15">
        <f>MIN(1,MAX(VLOOKUP(($AJ37-$AI37-$AH37-$AG37-$AF37-$AE37*(1+GJ$3))/$AJ37,'Технический лист'!$M:$N,2,1),(GI37-0.05)))</f>
        <v>1</v>
      </c>
      <c r="GK37" s="15">
        <f>MIN(1,MAX(VLOOKUP(($AJ37-$AI37-$AH37-$AG37-$AF37-$AE37*(1+GK$3))/$AJ37,'Технический лист'!$M:$N,2,1),(GJ37-0.05)))</f>
        <v>1</v>
      </c>
      <c r="GL37" s="15">
        <f>MIN(1,MAX(VLOOKUP(($AJ37-$AI37-$AH37-$AG37-$AF37-$AE37*(1+GL$3))/$AJ37,'Технический лист'!$M:$N,2,1),(GK37-0.05)))</f>
        <v>1</v>
      </c>
      <c r="GM37" s="15">
        <f>MIN(1,MAX(VLOOKUP(($AJ37-$AI37-$AH37-$AG37-$AF37-$AE37*(1+GM$3))/$AJ37,'Технический лист'!$M:$N,2,1),(GL37-0.05)))</f>
        <v>1</v>
      </c>
      <c r="GN37" s="15">
        <f>MIN(1,MAX(VLOOKUP(($AJ37-$AI37-$AH37-$AG37-$AF37-$AE37*(1+GN$3))/$AJ37,'Технический лист'!$M:$N,2,1),(GM37-0.05)))</f>
        <v>1</v>
      </c>
      <c r="GO37" s="15">
        <f>MIN(1,MAX(VLOOKUP(($AJ37-$AI37-$AH37-$AG37-$AF37-$AE37*(1+GO$3))/$AJ37,'Технический лист'!$M:$N,2,1),(GN37-0.05)))</f>
        <v>1</v>
      </c>
      <c r="GP37" s="15">
        <f>MIN(1,MAX(VLOOKUP(($AJ37-$AI37-$AH37-$AG37-$AF37-$AE37*(1+GP$3))/$AJ37,'Технический лист'!$M:$N,2,1),(GO37-0.05)))</f>
        <v>1</v>
      </c>
      <c r="GQ37" s="15">
        <f>MIN(1,MAX(VLOOKUP(($AJ37-$AI37-$AH37-$AG37-$AF37-$AE37*(1+GQ$3))/$AJ37,'Технический лист'!$M:$N,2,1),(GP37-0.05)))</f>
        <v>1</v>
      </c>
      <c r="GR37" s="15">
        <f>MIN(1,MAX(VLOOKUP(($AJ37-$AI37-$AH37-$AG37-$AF37-$AE37*(1+GR$3))/$AJ37,'Технический лист'!$M:$N,2,1),(GQ37-0.05)))</f>
        <v>1</v>
      </c>
      <c r="GS37" s="15">
        <f>MIN(1,MAX(VLOOKUP(($AJ37-$AI37-$AH37-$AG37-$AF37-$AE37*(1+GS$3))/$AJ37,'Технический лист'!$M:$N,2,1),(GR37-0.05)))</f>
        <v>1</v>
      </c>
      <c r="GT37" s="15">
        <f>MIN(1,MAX(VLOOKUP(($AJ37-$AI37-$AH37-$AG37-$AF37-$AE37*(1+GT$3))/$AJ37,'Технический лист'!$M:$N,2,1),(GS37-0.05)))</f>
        <v>1</v>
      </c>
      <c r="GU37" s="15">
        <f>MIN(1,MAX(VLOOKUP(($AJ37-$AI37-$AH37-$AG37-$AF37-$AE37*(1+GU$3))/$AJ37,'Технический лист'!$M:$N,2,1),(GT37-0.05)))</f>
        <v>1</v>
      </c>
      <c r="GV37" s="15">
        <f>MIN(1,MAX(VLOOKUP(($AJ37-$AI37-$AH37-$AG37-$AF37-$AE37*(1+GV$3))/$AJ37,'Технический лист'!$M:$N,2,1),(GU37-0.05)))</f>
        <v>1</v>
      </c>
      <c r="GW37" s="15">
        <f>MIN(1,MAX(VLOOKUP(($AJ37-$AI37-$AH37-$AG37-$AF37-$AE37*(1+GW$3))/$AJ37,'Технический лист'!$M:$N,2,1),(GV37-0.05)))</f>
        <v>1</v>
      </c>
      <c r="GX37" s="15">
        <f>MIN(1,MAX(VLOOKUP(($AJ37-$AI37-$AH37-$AG37-$AF37-$AE37*(1+GX$3))/$AJ37,'Технический лист'!$M:$N,2,1),(GW37-0.05)))</f>
        <v>1</v>
      </c>
      <c r="GY37" s="15">
        <f>MIN(1,MAX(VLOOKUP(($AJ37-$AI37-$AH37-$AG37-$AF37-$AE37*(1+GY$3))/$AJ37,'Технический лист'!$M:$N,2,1),(GX37-0.05)))</f>
        <v>1</v>
      </c>
      <c r="GZ37" s="15">
        <f>MIN(1,MAX(VLOOKUP(($AJ37-$AI37-$AH37-$AG37-$AF37-$AE37*(1+GZ$3))/$AJ37,'Технический лист'!$M:$N,2,1),(GY37-0.05)))</f>
        <v>1</v>
      </c>
      <c r="HA37" s="15">
        <f>MIN(1,MAX(VLOOKUP(($AJ37-$AI37-$AH37-$AG37-$AF37-$AE37*(1+HA$3))/$AJ37,'Технический лист'!$M:$N,2,1),(GZ37-0.05)))</f>
        <v>1</v>
      </c>
      <c r="HB37" s="15">
        <f>MIN(1,MAX(VLOOKUP(($AJ37-$AI37-$AH37-$AG37-$AF37-$AE37*(1+HB$3))/$AJ37,'Технический лист'!$M:$N,2,1),(HA37-0.05)))</f>
        <v>1</v>
      </c>
      <c r="HC37" s="15">
        <f>MIN(1,MAX(VLOOKUP(($AJ37-$AI37-$AH37-$AG37-$AF37-$AE37*(1+HC$3))/$AJ37,'Технический лист'!$M:$N,2,1),(HB37-0.05)))</f>
        <v>1</v>
      </c>
      <c r="HD37" s="15">
        <f>MIN(1,MAX(VLOOKUP(($AJ37-$AI37-$AH37-$AG37-$AF37-$AE37*(1+HD$3))/$AJ37,'Технический лист'!$M:$N,2,1),(HC37-0.05)))</f>
        <v>1</v>
      </c>
      <c r="HE37" s="15">
        <f>MIN(1,MAX(VLOOKUP(($AJ37-$AI37-$AH37-$AG37-$AF37-$AE37*(1+HE$3))/$AJ37,'Технический лист'!$M:$N,2,1),(HD37-0.05)))</f>
        <v>1</v>
      </c>
      <c r="HF37" s="15">
        <f>MIN(1,MAX(VLOOKUP(($AJ37-$AI37-$AH37-$AG37-$AF37-$AE37*(1+HF$3))/$AJ37,'Технический лист'!$M:$N,2,1),(HE37-0.05)))</f>
        <v>1</v>
      </c>
      <c r="HG37" s="15">
        <f>MIN(1,MAX(VLOOKUP(($AJ37-$AI37-$AH37-$AG37-$AF37-$AE37*(1+HG$3))/$AJ37,'Технический лист'!$M:$N,2,1),(HF37-0.05)))</f>
        <v>1</v>
      </c>
      <c r="HH37" s="15">
        <f>MIN(1,MAX(VLOOKUP(($AJ37-$AI37-$AH37-$AG37-$AF37-$AE37*(1+HH$3))/$AJ37,'Технический лист'!$M:$N,2,1),(HG37-0.05)))</f>
        <v>1</v>
      </c>
      <c r="HI37" s="15">
        <f>MIN(1,MAX(VLOOKUP(($AJ37-$AI37-$AH37-$AG37-$AF37-$AE37*(1+HI$3))/$AJ37,'Технический лист'!$M:$N,2,1),(HH37-0.05)))</f>
        <v>1</v>
      </c>
      <c r="HJ37" s="15">
        <f>MIN(1,MAX(VLOOKUP(($AJ37-$AI37-$AH37-$AG37-$AF37-$AE37*(1+HJ$3))/$AJ37,'Технический лист'!$M:$N,2,1),(HI37-0.05)))</f>
        <v>1</v>
      </c>
      <c r="HK37" s="15">
        <f>MIN(1,MAX(VLOOKUP(($AJ37-$AI37-$AH37-$AG37-$AF37-$AE37*(1+HK$3))/$AJ37,'Технический лист'!$M:$N,2,1),(HJ37-0.05)))</f>
        <v>1</v>
      </c>
      <c r="HL37" s="15">
        <f>MIN(1,MAX(VLOOKUP(($AJ37-$AI37-$AH37-$AG37-$AF37-$AE37*(1+HL$3))/$AJ37,'Технический лист'!$M:$N,2,1),(HK37-0.05)))</f>
        <v>1</v>
      </c>
      <c r="HM37" s="15">
        <f>MIN(1,MAX(VLOOKUP(($AJ37-$AI37-$AH37-$AG37-$AF37-$AE37*(1+HM$3))/$AJ37,'Технический лист'!$M:$N,2,1),(HL37-0.05)))</f>
        <v>1</v>
      </c>
      <c r="HN37" s="15">
        <f>MIN(1,MAX(VLOOKUP(($AJ37-$AI37-$AH37-$AG37-$AF37-$AE37*(1+HN$3))/$AJ37,'Технический лист'!$M:$N,2,1),(HM37-0.05)))</f>
        <v>1</v>
      </c>
      <c r="HO37" s="15">
        <f>MIN(1,MAX(VLOOKUP(($AJ37-$AI37-$AH37-$AG37-$AF37-$AE37*(1+HO$3))/$AJ37,'Технический лист'!$M:$N,2,1),(HN37-0.05)))</f>
        <v>1</v>
      </c>
      <c r="HP37" s="15">
        <f>MIN(1,MAX(VLOOKUP(($AJ37-$AI37-$AH37-$AG37-$AF37-$AE37*(1+HP$3))/$AJ37,'Технический лист'!$M:$N,2,1),(HO37-0.05)))</f>
        <v>1</v>
      </c>
      <c r="HQ37" s="15">
        <f>MIN(1,MAX(VLOOKUP(($AJ37-$AI37-$AH37-$AG37-$AF37-$AE37*(1+HQ$3))/$AJ37,'Технический лист'!$M:$N,2,1),(HP37-0.05)))</f>
        <v>1</v>
      </c>
      <c r="HR37" s="15">
        <f>MIN(1,MAX(VLOOKUP(($AJ37-$AI37-$AH37-$AG37-$AF37-$AE37*(1+HR$3))/$AJ37,'Технический лист'!$M:$N,2,1),(HQ37-0.05)))</f>
        <v>1</v>
      </c>
      <c r="HS37" s="15">
        <f>MIN(1,MAX(VLOOKUP(($AJ37-$AI37-$AH37-$AG37-$AF37-$AE37*(1+HS$3))/$AJ37,'Технический лист'!$M:$N,2,1),(HR37-0.05)))</f>
        <v>1</v>
      </c>
      <c r="HT37" s="15">
        <f>MIN(1,MAX(VLOOKUP(($AJ37-$AI37-$AH37-$AG37-$AF37-$AE37*(1+HT$3))/$AJ37,'Технический лист'!$M:$N,2,1),(HS37-0.05)))</f>
        <v>1</v>
      </c>
      <c r="HU37" s="15">
        <f>MIN(1,MAX(VLOOKUP(($AJ37-$AI37-$AH37-$AG37-$AF37-$AE37*(1+HU$3))/$AJ37,'Технический лист'!$M:$N,2,1),(HT37-0.05)))</f>
        <v>1</v>
      </c>
      <c r="HV37" s="15">
        <f>MIN(1,MAX(VLOOKUP(($AJ37-$AI37-$AH37-$AG37-$AF37-$AE37*(1+HV$3))/$AJ37,'Технический лист'!$M:$N,2,1),(HU37-0.05)))</f>
        <v>1</v>
      </c>
      <c r="HW37" s="15">
        <f>MIN(1,MAX(VLOOKUP(($AJ37-$AI37-$AH37-$AG37-$AF37-$AE37*(1+HW$3))/$AJ37,'Технический лист'!$M:$N,2,1),(HV37-0.05)))</f>
        <v>1</v>
      </c>
      <c r="HX37" s="15">
        <f>MIN(1,MAX(VLOOKUP(($AJ37-$AI37-$AH37-$AG37-$AF37-$AE37*(1+HX$3))/$AJ37,'Технический лист'!$M:$N,2,1),(HW37-0.05)))</f>
        <v>1</v>
      </c>
      <c r="HY37" s="15">
        <f>MIN(1,MAX(VLOOKUP(($AJ37-$AI37-$AH37-$AG37-$AF37-$AE37*(1+HY$3))/$AJ37,'Технический лист'!$M:$N,2,1),(HX37-0.05)))</f>
        <v>1</v>
      </c>
      <c r="HZ37" s="15">
        <f>MIN(1,MAX(VLOOKUP(($AJ37-$AI37-$AH37-$AG37-$AF37-$AE37*(1+HZ$3))/$AJ37,'Технический лист'!$M:$N,2,1),(HY37-0.05)))</f>
        <v>1</v>
      </c>
      <c r="IA37" s="15">
        <f>MIN(1,MAX(VLOOKUP(($AJ37-$AI37-$AH37-$AG37-$AF37-$AE37*(1+IA$3))/$AJ37,'Технический лист'!$M:$N,2,1),(HZ37-0.05)))</f>
        <v>1</v>
      </c>
      <c r="IB37" s="15">
        <f>MIN(1,MAX(VLOOKUP(($AJ37-$AI37-$AH37-$AG37-$AF37-$AE37*(1+IB$3))/$AJ37,'Технический лист'!$M:$N,2,1),(IA37-0.05)))</f>
        <v>1</v>
      </c>
      <c r="IC37" s="15">
        <f>MIN(1,MAX(VLOOKUP(($AJ37-$AI37-$AH37-$AG37-$AF37-$AE37*(1+IC$3))/$AJ37,'Технический лист'!$M:$N,2,1),(IB37-0.05)))</f>
        <v>1</v>
      </c>
      <c r="ID37" s="15">
        <f>MIN(1,MAX(VLOOKUP(($AJ37-$AI37-$AH37-$AG37-$AF37-$AE37*(1+ID$3))/$AJ37,'Технический лист'!$M:$N,2,1),(IC37-0.05)))</f>
        <v>1</v>
      </c>
      <c r="IE37" s="15">
        <f>MIN(1,MAX(VLOOKUP(($AJ37-$AI37-$AH37-$AG37-$AF37-$AE37*(1+IE$3))/$AJ37,'Технический лист'!$M:$N,2,1),(ID37-0.05)))</f>
        <v>1</v>
      </c>
      <c r="IF37" s="15">
        <f>MIN(1,MAX(VLOOKUP(($AJ37-$AI37-$AH37-$AG37-$AF37-$AE37*(1+IF$3))/$AJ37,'Технический лист'!$M:$N,2,1),(IE37-0.05)))</f>
        <v>1</v>
      </c>
      <c r="IG37" s="15">
        <f>MIN(1,MAX(VLOOKUP(($AJ37-$AI37-$AH37-$AG37-$AF37-$AE37*(1+IG$3))/$AJ37,'Технический лист'!$M:$N,2,1),(IF37-0.05)))</f>
        <v>1</v>
      </c>
      <c r="IH37" s="15">
        <f>MIN(1,MAX(VLOOKUP(($AJ37-$AI37-$AH37-$AG37-$AF37-$AE37*(1+IH$3))/$AJ37,'Технический лист'!$M:$N,2,1),(IG37-0.05)))</f>
        <v>1</v>
      </c>
      <c r="II37" s="15">
        <f>MIN(1,MAX(VLOOKUP(($AJ37-$AI37-$AH37-$AG37-$AF37-$AE37*(1+II$3))/$AJ37,'Технический лист'!$M:$N,2,1),(IH37-0.05)))</f>
        <v>1</v>
      </c>
      <c r="IJ37" s="15">
        <f>MIN(1,MAX(VLOOKUP(($AJ37-$AI37-$AH37-$AG37-$AF37-$AE37*(1+IJ$3))/$AJ37,'Технический лист'!$M:$N,2,1),(II37-0.05)))</f>
        <v>1</v>
      </c>
      <c r="IK37" s="15">
        <f>MIN(1,MAX(VLOOKUP(($AJ37-$AI37-$AH37-$AG37-$AF37-$AE37*(1+IK$3))/$AJ37,'Технический лист'!$M:$N,2,1),(IJ37-0.05)))</f>
        <v>1</v>
      </c>
      <c r="IL37" s="15">
        <f>MIN(1,MAX(VLOOKUP(($AJ37-$AI37-$AH37-$AG37-$AF37-$AE37*(1+IL$3))/$AJ37,'Технический лист'!$M:$N,2,1),(IK37-0.05)))</f>
        <v>1</v>
      </c>
      <c r="IM37" s="15">
        <f>MIN(1,MAX(VLOOKUP(($AJ37-$AI37-$AH37-$AG37-$AF37-$AE37*(1+IM$3))/$AJ37,'Технический лист'!$M:$N,2,1),(IL37-0.05)))</f>
        <v>1</v>
      </c>
      <c r="IN37" s="15">
        <f>MIN(1,MAX(VLOOKUP(($AJ37-$AI37-$AH37-$AG37-$AF37-$AE37*(1+IN$3))/$AJ37,'Технический лист'!$M:$N,2,1),(IM37-0.05)))</f>
        <v>1</v>
      </c>
      <c r="IO37" s="15">
        <f>MIN(1,MAX(VLOOKUP(($AJ37-$AI37-$AH37-$AG37-$AF37-$AE37*(1+IO$3))/$AJ37,'Технический лист'!$M:$N,2,1),(IN37-0.05)))</f>
        <v>1</v>
      </c>
      <c r="IP37" s="15">
        <f>MIN(1,MAX(VLOOKUP(($AJ37-$AI37-$AH37-$AG37-$AF37-$AE37*(1+IP$3))/$AJ37,'Технический лист'!$M:$N,2,1),(IO37-0.05)))</f>
        <v>1</v>
      </c>
      <c r="IQ37" s="15">
        <f>MIN(1,MAX(VLOOKUP(($AJ37-$AI37-$AH37-$AG37-$AF37-$AE37*(1+IQ$3))/$AJ37,'Технический лист'!$M:$N,2,1),(IP37-0.05)))</f>
        <v>1</v>
      </c>
      <c r="IR37" s="15">
        <f>MIN(1,MAX(VLOOKUP(($AJ37-$AI37-$AH37-$AG37-$AF37-$AE37*(1+IR$3))/$AJ37,'Технический лист'!$M:$N,2,1),(IQ37-0.05)))</f>
        <v>1</v>
      </c>
    </row>
    <row r="38" spans="1:252" ht="29.15">
      <c r="A38" s="89" t="s">
        <v>514</v>
      </c>
      <c r="B38" s="90">
        <v>4</v>
      </c>
      <c r="C38" s="5" t="s">
        <v>67</v>
      </c>
      <c r="D38" s="91">
        <v>14109</v>
      </c>
      <c r="E38" s="91" t="s">
        <v>335</v>
      </c>
      <c r="F38" s="92" t="s">
        <v>74</v>
      </c>
      <c r="G38" s="91" t="s">
        <v>20</v>
      </c>
      <c r="H38" s="91" t="s">
        <v>31</v>
      </c>
      <c r="I38" s="91" t="s">
        <v>140</v>
      </c>
      <c r="J38" s="91" t="s">
        <v>141</v>
      </c>
      <c r="K38" s="91">
        <v>3795</v>
      </c>
      <c r="L38" s="85" t="s">
        <v>64</v>
      </c>
      <c r="M38" s="91" t="s">
        <v>190</v>
      </c>
      <c r="N38" s="91" t="s">
        <v>191</v>
      </c>
      <c r="O38" s="91" t="s">
        <v>192</v>
      </c>
      <c r="P38" s="89" t="s">
        <v>230</v>
      </c>
      <c r="Q38" s="91" t="s">
        <v>278</v>
      </c>
      <c r="R38" s="91" t="s">
        <v>63</v>
      </c>
      <c r="S38" s="82">
        <v>789059</v>
      </c>
      <c r="T38" s="82">
        <v>2994562366</v>
      </c>
      <c r="U38" s="81">
        <v>10980</v>
      </c>
      <c r="V38" s="81">
        <v>0</v>
      </c>
      <c r="W38" s="82">
        <v>971906367</v>
      </c>
      <c r="X38" s="112">
        <v>72</v>
      </c>
      <c r="Y38" s="112" t="s">
        <v>418</v>
      </c>
      <c r="Z38" s="113">
        <v>8</v>
      </c>
      <c r="AA38" s="113">
        <v>8</v>
      </c>
      <c r="AB38" s="113">
        <v>4</v>
      </c>
      <c r="AC38" s="99">
        <v>1338.31</v>
      </c>
      <c r="AD38" s="99">
        <f t="shared" si="15"/>
        <v>749.44</v>
      </c>
      <c r="AE38" s="99">
        <v>2087.75</v>
      </c>
      <c r="AF38" s="98">
        <f>(Z38+AA38+AB38)*'Ставки аренды'!$B$2/X38</f>
        <v>277.77777777777777</v>
      </c>
      <c r="AG38" s="114">
        <v>0</v>
      </c>
      <c r="AH38" s="94">
        <v>0</v>
      </c>
      <c r="AI38" s="115">
        <f>0.5*AVERAGE(AJ37,AJ38)</f>
        <v>2876.1099999999997</v>
      </c>
      <c r="AJ38" s="117">
        <f>Цены!$D$14</f>
        <v>5400</v>
      </c>
      <c r="AK38" s="94">
        <f>AJ38/Цены!$B$1</f>
        <v>70.76816219014357</v>
      </c>
      <c r="AL38" s="95">
        <f t="shared" si="5"/>
        <v>2365.5277777777778</v>
      </c>
      <c r="AM38" s="95">
        <f t="shared" si="6"/>
        <v>3034.4722222222222</v>
      </c>
      <c r="AN38" s="94">
        <f t="shared" si="16"/>
        <v>5241.637777777778</v>
      </c>
      <c r="AO38" s="118">
        <f t="shared" si="17"/>
        <v>2.9326337448559638E-2</v>
      </c>
      <c r="AP38" s="96">
        <f t="shared" si="7"/>
        <v>0.43806069958847738</v>
      </c>
      <c r="AQ38" s="96">
        <f t="shared" si="8"/>
        <v>0.38662037037037039</v>
      </c>
      <c r="AR38" s="96">
        <f t="shared" si="9"/>
        <v>0.88257259949036504</v>
      </c>
      <c r="AS38" s="122">
        <v>1</v>
      </c>
      <c r="AT38" s="121">
        <f t="shared" si="10"/>
        <v>789059</v>
      </c>
      <c r="AU38" s="7">
        <v>0.98</v>
      </c>
      <c r="AV38" s="119">
        <f t="shared" si="11"/>
        <v>-1.706810699588476E-2</v>
      </c>
      <c r="AW38" s="120">
        <f t="shared" si="12"/>
        <v>0.48445514403292184</v>
      </c>
      <c r="AX38" s="120">
        <f t="shared" si="13"/>
        <v>0.43301481481481485</v>
      </c>
      <c r="AY38" s="120">
        <f t="shared" si="14"/>
        <v>0.89381817934704122</v>
      </c>
      <c r="AZ38" s="15">
        <f>MIN(IF($AU38=100%,1,1+VLOOKUP(($AJ38-$AI38-$AH38-$AG38-$AF38-$AE38*(1+AZ$3))/$AJ38,'Технический лист'!$M:$N,2,1)-VLOOKUP($AO38,'Технический лист'!$M:$N,2,1)),1+(1-$AU38))</f>
        <v>1.02</v>
      </c>
      <c r="BA38" s="15">
        <f>MIN(IF($AU38=100%,1,1+VLOOKUP(($AJ38-$AI38-$AH38-$AG38-$AF38-$AE38*(1+BA$3))/$AJ38,'Технический лист'!$M:$N,2,1)-VLOOKUP($AO38,'Технический лист'!$M:$N,2,1)),1+(1-$AU38))</f>
        <v>1.02</v>
      </c>
      <c r="BB38" s="15">
        <f>MIN(IF($AU38=100%,1,1+VLOOKUP(($AJ38-$AI38-$AH38-$AG38-$AF38-$AE38*(1+BB$3))/$AJ38,'Технический лист'!$M:$N,2,1)-VLOOKUP($AO38,'Технический лист'!$M:$N,2,1)),1+(1-$AU38))</f>
        <v>1.02</v>
      </c>
      <c r="BC38" s="15">
        <f>MIN(IF($AU38=100%,1,1+VLOOKUP(($AJ38-$AI38-$AH38-$AG38-$AF38-$AE38*(1+BC$3))/$AJ38,'Технический лист'!$M:$N,2,1)-VLOOKUP($AO38,'Технический лист'!$M:$N,2,1)),1+(1-$AU38))</f>
        <v>1.02</v>
      </c>
      <c r="BD38" s="15">
        <f>MIN(IF($AU38=100%,1,1+VLOOKUP(($AJ38-$AI38-$AH38-$AG38-$AF38-$AE38*(1+BD$3))/$AJ38,'Технический лист'!$M:$N,2,1)-VLOOKUP($AO38,'Технический лист'!$M:$N,2,1)),1+(1-$AU38))</f>
        <v>1.02</v>
      </c>
      <c r="BE38" s="15">
        <f>MIN(IF($AU38=100%,1,1+VLOOKUP(($AJ38-$AI38-$AH38-$AG38-$AF38-$AE38*(1+BE$3))/$AJ38,'Технический лист'!$M:$N,2,1)-VLOOKUP($AO38,'Технический лист'!$M:$N,2,1)),1+(1-$AU38))</f>
        <v>1.02</v>
      </c>
      <c r="BF38" s="15">
        <f>MIN(IF($AU38=100%,1,1+VLOOKUP(($AJ38-$AI38-$AH38-$AG38-$AF38-$AE38*(1+BF$3))/$AJ38,'Технический лист'!$M:$N,2,1)-VLOOKUP($AO38,'Технический лист'!$M:$N,2,1)),1+(1-$AU38))</f>
        <v>1.02</v>
      </c>
      <c r="BG38" s="15">
        <f>MIN(IF($AU38=100%,1,1+VLOOKUP(($AJ38-$AI38-$AH38-$AG38-$AF38-$AE38*(1+BG$3))/$AJ38,'Технический лист'!$M:$N,2,1)-VLOOKUP($AO38,'Технический лист'!$M:$N,2,1)),1+(1-$AU38))</f>
        <v>1.02</v>
      </c>
      <c r="BH38" s="15">
        <f>MIN(IF($AU38=100%,1,1+VLOOKUP(($AJ38-$AI38-$AH38-$AG38-$AF38-$AE38*(1+BH$3))/$AJ38,'Технический лист'!$M:$N,2,1)-VLOOKUP($AO38,'Технический лист'!$M:$N,2,1)),1+(1-$AU38))</f>
        <v>1.02</v>
      </c>
      <c r="BI38" s="15">
        <f>MIN(IF($AU38=100%,1,1+VLOOKUP(($AJ38-$AI38-$AH38-$AG38-$AF38-$AE38*(1+BI$3))/$AJ38,'Технический лист'!$M:$N,2,1)-VLOOKUP($AO38,'Технический лист'!$M:$N,2,1)),1+(1-$AU38))</f>
        <v>1.02</v>
      </c>
      <c r="BJ38" s="15">
        <f>MIN(IF($AU38=100%,1,1+VLOOKUP(($AJ38-$AI38-$AH38-$AG38-$AF38-$AE38*(1+BJ$3))/$AJ38,'Технический лист'!$M:$N,2,1)-VLOOKUP($AO38,'Технический лист'!$M:$N,2,1)),1+(1-$AU38))</f>
        <v>1.02</v>
      </c>
      <c r="BK38" s="15">
        <f>MIN(IF($AU38=100%,1,1+VLOOKUP(($AJ38-$AI38-$AH38-$AG38-$AF38-$AE38*(1+BK$3))/$AJ38,'Технический лист'!$M:$N,2,1)-VLOOKUP($AO38,'Технический лист'!$M:$N,2,1)),1+(1-$AU38))</f>
        <v>1.02</v>
      </c>
      <c r="BL38" s="15">
        <f>MIN(IF($AU38=100%,1,1+VLOOKUP(($AJ38-$AI38-$AH38-$AG38-$AF38-$AE38*(1+BL$3))/$AJ38,'Технический лист'!$M:$N,2,1)-VLOOKUP($AO38,'Технический лист'!$M:$N,2,1)),1+(1-$AU38))</f>
        <v>1.02</v>
      </c>
      <c r="BM38" s="15">
        <f>MIN(IF($AU38=100%,1,1+VLOOKUP(($AJ38-$AI38-$AH38-$AG38-$AF38-$AE38*(1+BM$3))/$AJ38,'Технический лист'!$M:$N,2,1)-VLOOKUP($AO38,'Технический лист'!$M:$N,2,1)),1+(1-$AU38))</f>
        <v>1.02</v>
      </c>
      <c r="BN38" s="15">
        <f>MIN(IF($AU38=100%,1,1+VLOOKUP(($AJ38-$AI38-$AH38-$AG38-$AF38-$AE38*(1+BN$3))/$AJ38,'Технический лист'!$M:$N,2,1)-VLOOKUP($AO38,'Технический лист'!$M:$N,2,1)),1+(1-$AU38))</f>
        <v>1.02</v>
      </c>
      <c r="BO38" s="15">
        <f>MIN(IF($AU38=100%,1,1+VLOOKUP(($AJ38-$AI38-$AH38-$AG38-$AF38-$AE38*(1+BO$3))/$AJ38,'Технический лист'!$M:$N,2,1)-VLOOKUP($AO38,'Технический лист'!$M:$N,2,1)),1+(1-$AU38))</f>
        <v>1.02</v>
      </c>
      <c r="BP38" s="15">
        <f>MIN(IF($AU38=100%,1,1+VLOOKUP(($AJ38-$AI38-$AH38-$AG38-$AF38-$AE38*(1+BP$3))/$AJ38,'Технический лист'!$M:$N,2,1)-VLOOKUP($AO38,'Технический лист'!$M:$N,2,1)),1+(1-$AU38))</f>
        <v>1.02</v>
      </c>
      <c r="BQ38" s="15">
        <f>MIN(IF($AU38=100%,1,1+VLOOKUP(($AJ38-$AI38-$AH38-$AG38-$AF38-$AE38*(1+BQ$3))/$AJ38,'Технический лист'!$M:$N,2,1)-VLOOKUP($AO38,'Технический лист'!$M:$N,2,1)),1+(1-$AU38))</f>
        <v>1.02</v>
      </c>
      <c r="BR38" s="15">
        <f>MIN(IF($AU38=100%,1,1+VLOOKUP(($AJ38-$AI38-$AH38-$AG38-$AF38-$AE38*(1+BR$3))/$AJ38,'Технический лист'!$M:$N,2,1)-VLOOKUP($AO38,'Технический лист'!$M:$N,2,1)),1+(1-$AU38))</f>
        <v>1.02</v>
      </c>
      <c r="BS38" s="15">
        <f>MIN(IF($AU38=100%,1,1+VLOOKUP(($AJ38-$AI38-$AH38-$AG38-$AF38-$AE38*(1+BS$3))/$AJ38,'Технический лист'!$M:$N,2,1)-VLOOKUP($AO38,'Технический лист'!$M:$N,2,1)),1+(1-$AU38))</f>
        <v>1.02</v>
      </c>
      <c r="BT38" s="15">
        <f>MIN(IF($AU38=100%,1,1+VLOOKUP(($AJ38-$AI38-$AH38-$AG38-$AF38-$AE38*(1+BT$3))/$AJ38,'Технический лист'!$M:$N,2,1)-VLOOKUP($AO38,'Технический лист'!$M:$N,2,1)),1+(1-$AU38))</f>
        <v>1.02</v>
      </c>
      <c r="BU38" s="15">
        <f>MIN(IF($AU38=100%,1,1+VLOOKUP(($AJ38-$AI38-$AH38-$AG38-$AF38-$AE38*(1+BU$3))/$AJ38,'Технический лист'!$M:$N,2,1)-VLOOKUP($AO38,'Технический лист'!$M:$N,2,1)),1+(1-$AU38))</f>
        <v>1.02</v>
      </c>
      <c r="BV38" s="15">
        <f>MIN(IF($AU38=100%,1,1+VLOOKUP(($AJ38-$AI38-$AH38-$AG38-$AF38-$AE38*(1+BV$3))/$AJ38,'Технический лист'!$M:$N,2,1)-VLOOKUP($AO38,'Технический лист'!$M:$N,2,1)),1+(1-$AU38))</f>
        <v>1.02</v>
      </c>
      <c r="BW38" s="15">
        <f>MIN(IF($AU38=100%,1,1+VLOOKUP(($AJ38-$AI38-$AH38-$AG38-$AF38-$AE38*(1+BW$3))/$AJ38,'Технический лист'!$M:$N,2,1)-VLOOKUP($AO38,'Технический лист'!$M:$N,2,1)),1+(1-$AU38))</f>
        <v>1.02</v>
      </c>
      <c r="BX38" s="15">
        <f>MIN(IF($AU38=100%,1,1+VLOOKUP(($AJ38-$AI38-$AH38-$AG38-$AF38-$AE38*(1+BX$3))/$AJ38,'Технический лист'!$M:$N,2,1)-VLOOKUP($AO38,'Технический лист'!$M:$N,2,1)),1+(1-$AU38))</f>
        <v>1.02</v>
      </c>
      <c r="BY38" s="15">
        <f>MIN(IF($AU38=100%,1,1+VLOOKUP(($AJ38-$AI38-$AH38-$AG38-$AF38-$AE38*(1+BY$3))/$AJ38,'Технический лист'!$M:$N,2,1)-VLOOKUP($AO38,'Технический лист'!$M:$N,2,1)),1+(1-$AU38))</f>
        <v>1.02</v>
      </c>
      <c r="BZ38" s="15">
        <f>MIN(IF($AU38=100%,1,1+VLOOKUP(($AJ38-$AI38-$AH38-$AG38-$AF38-$AE38*(1+BZ$3))/$AJ38,'Технический лист'!$M:$N,2,1)-VLOOKUP($AO38,'Технический лист'!$M:$N,2,1)),1+(1-$AU38))</f>
        <v>1.02</v>
      </c>
      <c r="CA38" s="15">
        <f>MIN(IF($AU38=100%,1,1+VLOOKUP(($AJ38-$AI38-$AH38-$AG38-$AF38-$AE38*(1+CA$3))/$AJ38,'Технический лист'!$M:$N,2,1)-VLOOKUP($AO38,'Технический лист'!$M:$N,2,1)),1+(1-$AU38))</f>
        <v>1.02</v>
      </c>
      <c r="CB38" s="15">
        <f>MIN(IF($AU38=100%,1,1+VLOOKUP(($AJ38-$AI38-$AH38-$AG38-$AF38-$AE38*(1+CB$3))/$AJ38,'Технический лист'!$M:$N,2,1)-VLOOKUP($AO38,'Технический лист'!$M:$N,2,1)),1+(1-$AU38))</f>
        <v>1.02</v>
      </c>
      <c r="CC38" s="15">
        <f>MIN(IF($AU38=100%,1,1+VLOOKUP(($AJ38-$AI38-$AH38-$AG38-$AF38-$AE38*(1+CC$3))/$AJ38,'Технический лист'!$M:$N,2,1)-VLOOKUP($AO38,'Технический лист'!$M:$N,2,1)),1+(1-$AU38))</f>
        <v>1.02</v>
      </c>
      <c r="CD38" s="15">
        <f>MIN(IF($AU38=100%,1,1+VLOOKUP(($AJ38-$AI38-$AH38-$AG38-$AF38-$AE38*(1+CD$3))/$AJ38,'Технический лист'!$M:$N,2,1)-VLOOKUP($AO38,'Технический лист'!$M:$N,2,1)),1+(1-$AU38))</f>
        <v>1.02</v>
      </c>
      <c r="CE38" s="15">
        <f>MIN(IF($AU38=100%,1,1+VLOOKUP(($AJ38-$AI38-$AH38-$AG38-$AF38-$AE38*(1+CE$3))/$AJ38,'Технический лист'!$M:$N,2,1)-VLOOKUP($AO38,'Технический лист'!$M:$N,2,1)),1+(1-$AU38))</f>
        <v>1.02</v>
      </c>
      <c r="CF38" s="15">
        <f>MIN(IF($AU38=100%,1,1+VLOOKUP(($AJ38-$AI38-$AH38-$AG38-$AF38-$AE38*(1+CF$3))/$AJ38,'Технический лист'!$M:$N,2,1)-VLOOKUP($AO38,'Технический лист'!$M:$N,2,1)),1+(1-$AU38))</f>
        <v>1.02</v>
      </c>
      <c r="CG38" s="15">
        <f>MIN(IF($AU38=100%,1,1+VLOOKUP(($AJ38-$AI38-$AH38-$AG38-$AF38-$AE38*(1+CG$3))/$AJ38,'Технический лист'!$M:$N,2,1)-VLOOKUP($AO38,'Технический лист'!$M:$N,2,1)),1+(1-$AU38))</f>
        <v>1.02</v>
      </c>
      <c r="CH38" s="15">
        <f>MIN(IF($AU38=100%,1,1+VLOOKUP(($AJ38-$AI38-$AH38-$AG38-$AF38-$AE38*(1+CH$3))/$AJ38,'Технический лист'!$M:$N,2,1)-VLOOKUP($AO38,'Технический лист'!$M:$N,2,1)),1+(1-$AU38))</f>
        <v>1.02</v>
      </c>
      <c r="CI38" s="15">
        <f>MIN(IF($AU38=100%,1,1+VLOOKUP(($AJ38-$AI38-$AH38-$AG38-$AF38-$AE38*(1+CI$3))/$AJ38,'Технический лист'!$M:$N,2,1)-VLOOKUP($AO38,'Технический лист'!$M:$N,2,1)),1+(1-$AU38))</f>
        <v>1.02</v>
      </c>
      <c r="CJ38" s="15">
        <f>MIN(IF($AU38=100%,1,1+VLOOKUP(($AJ38-$AI38-$AH38-$AG38-$AF38-$AE38*(1+CJ$3))/$AJ38,'Технический лист'!$M:$N,2,1)-VLOOKUP($AO38,'Технический лист'!$M:$N,2,1)),1+(1-$AU38))</f>
        <v>1.02</v>
      </c>
      <c r="CK38" s="15">
        <f>MIN(IF($AU38=100%,1,1+VLOOKUP(($AJ38-$AI38-$AH38-$AG38-$AF38-$AE38*(1+CK$3))/$AJ38,'Технический лист'!$M:$N,2,1)-VLOOKUP($AO38,'Технический лист'!$M:$N,2,1)),1+(1-$AU38))</f>
        <v>1.02</v>
      </c>
      <c r="CL38" s="15">
        <f>MIN(IF($AU38=100%,1,1+VLOOKUP(($AJ38-$AI38-$AH38-$AG38-$AF38-$AE38*(1+CL$3))/$AJ38,'Технический лист'!$M:$N,2,1)-VLOOKUP($AO38,'Технический лист'!$M:$N,2,1)),1+(1-$AU38))</f>
        <v>1.02</v>
      </c>
      <c r="CM38" s="15">
        <f>MIN(IF($AU38=100%,1,1+VLOOKUP(($AJ38-$AI38-$AH38-$AG38-$AF38-$AE38*(1+CM$3))/$AJ38,'Технический лист'!$M:$N,2,1)-VLOOKUP($AO38,'Технический лист'!$M:$N,2,1)),1+(1-$AU38))</f>
        <v>1.02</v>
      </c>
      <c r="CN38" s="15">
        <f>MIN(IF($AU38=100%,1,1+VLOOKUP(($AJ38-$AI38-$AH38-$AG38-$AF38-$AE38*(1+CN$3))/$AJ38,'Технический лист'!$M:$N,2,1)-VLOOKUP($AO38,'Технический лист'!$M:$N,2,1)),1+(1-$AU38))</f>
        <v>1.02</v>
      </c>
      <c r="CO38" s="15">
        <f>MIN(IF($AU38=100%,1,1+VLOOKUP(($AJ38-$AI38-$AH38-$AG38-$AF38-$AE38*(1+CO$3))/$AJ38,'Технический лист'!$M:$N,2,1)-VLOOKUP($AO38,'Технический лист'!$M:$N,2,1)),1+(1-$AU38))</f>
        <v>1.02</v>
      </c>
      <c r="CP38" s="15">
        <f>MIN(IF($AU38=100%,1,1+VLOOKUP(($AJ38-$AI38-$AH38-$AG38-$AF38-$AE38*(1+CP$3))/$AJ38,'Технический лист'!$M:$N,2,1)-VLOOKUP($AO38,'Технический лист'!$M:$N,2,1)),1+(1-$AU38))</f>
        <v>1.02</v>
      </c>
      <c r="CQ38" s="15">
        <f>MIN(IF($AU38=100%,1,1+VLOOKUP(($AJ38-$AI38-$AH38-$AG38-$AF38-$AE38*(1+CQ$3))/$AJ38,'Технический лист'!$M:$N,2,1)-VLOOKUP($AO38,'Технический лист'!$M:$N,2,1)),1+(1-$AU38))</f>
        <v>1.02</v>
      </c>
      <c r="CR38" s="15">
        <f>MIN(IF($AU38=100%,1,1+VLOOKUP(($AJ38-$AI38-$AH38-$AG38-$AF38-$AE38*(1+CR$3))/$AJ38,'Технический лист'!$M:$N,2,1)-VLOOKUP($AO38,'Технический лист'!$M:$N,2,1)),1+(1-$AU38))</f>
        <v>1.02</v>
      </c>
      <c r="CS38" s="15">
        <f>MIN(IF($AU38=100%,1,1+VLOOKUP(($AJ38-$AI38-$AH38-$AG38-$AF38-$AE38*(1+CS$3))/$AJ38,'Технический лист'!$M:$N,2,1)-VLOOKUP($AO38,'Технический лист'!$M:$N,2,1)),1+(1-$AU38))</f>
        <v>1.02</v>
      </c>
      <c r="CT38" s="15">
        <f>MIN(IF($AU38=100%,1,1+VLOOKUP(($AJ38-$AI38-$AH38-$AG38-$AF38-$AE38*(1+CT$3))/$AJ38,'Технический лист'!$M:$N,2,1)-VLOOKUP($AO38,'Технический лист'!$M:$N,2,1)),1+(1-$AU38))</f>
        <v>1.02</v>
      </c>
      <c r="CU38" s="15">
        <f>MIN(IF($AU38=100%,1,1+VLOOKUP(($AJ38-$AI38-$AH38-$AG38-$AF38-$AE38*(1+CU$3))/$AJ38,'Технический лист'!$M:$N,2,1)-VLOOKUP($AO38,'Технический лист'!$M:$N,2,1)),1+(1-$AU38))</f>
        <v>1.02</v>
      </c>
      <c r="CV38" s="15">
        <f>MIN(IF($AU38=100%,1,1+VLOOKUP(($AJ38-$AI38-$AH38-$AG38-$AF38-$AE38*(1+CV$3))/$AJ38,'Технический лист'!$M:$N,2,1)-VLOOKUP($AO38,'Технический лист'!$M:$N,2,1)),1+(1-$AU38))</f>
        <v>1.02</v>
      </c>
      <c r="CW38" s="15">
        <f>MIN(IF($AU38=100%,1,1+VLOOKUP(($AJ38-$AI38-$AH38-$AG38-$AF38-$AE38*(1+CW$3))/$AJ38,'Технический лист'!$M:$N,2,1)-VLOOKUP($AO38,'Технический лист'!$M:$N,2,1)),1+(1-$AU38))</f>
        <v>1.02</v>
      </c>
      <c r="CX38" s="15">
        <f>MIN(IF($AU38=100%,1,1+VLOOKUP(($AJ38-$AI38-$AH38-$AG38-$AF38-$AE38*(1+CX$3))/$AJ38,'Технический лист'!$M:$N,2,1)-VLOOKUP($AO38,'Технический лист'!$M:$N,2,1)),1+(1-$AU38))</f>
        <v>1.02</v>
      </c>
      <c r="CY38" s="15">
        <f>MIN(IF($AU38=100%,1,1+VLOOKUP(($AJ38-$AI38-$AH38-$AG38-$AF38-$AE38*(1+CY$3))/$AJ38,'Технический лист'!$M:$N,2,1)-VLOOKUP($AO38,'Технический лист'!$M:$N,2,1)),1+(1-$AU38))</f>
        <v>1.02</v>
      </c>
      <c r="CZ38" s="15">
        <f>MIN(IF($AU38=100%,1,1+VLOOKUP(($AJ38-$AI38-$AH38-$AG38-$AF38-$AE38*(1+CZ$3))/$AJ38,'Технический лист'!$M:$N,2,1)-VLOOKUP($AO38,'Технический лист'!$M:$N,2,1)),1+(1-$AU38))</f>
        <v>1.02</v>
      </c>
      <c r="DA38" s="15">
        <f>MIN(IF($AU38=100%,1,1+VLOOKUP(($AJ38-$AI38-$AH38-$AG38-$AF38-$AE38*(1+DA$3))/$AJ38,'Технический лист'!$M:$N,2,1)-VLOOKUP($AO38,'Технический лист'!$M:$N,2,1)),1+(1-$AU38))</f>
        <v>1.02</v>
      </c>
      <c r="DB38" s="15">
        <f>MIN(IF($AU38=100%,1,1+VLOOKUP(($AJ38-$AI38-$AH38-$AG38-$AF38-$AE38*(1+DB$3))/$AJ38,'Технический лист'!$M:$N,2,1)-VLOOKUP($AO38,'Технический лист'!$M:$N,2,1)),1+(1-$AU38))</f>
        <v>1.02</v>
      </c>
      <c r="DC38" s="15">
        <f>MIN(IF($AU38=100%,1,1+VLOOKUP(($AJ38-$AI38-$AH38-$AG38-$AF38-$AE38*(1+DC$3))/$AJ38,'Технический лист'!$M:$N,2,1)-VLOOKUP($AO38,'Технический лист'!$M:$N,2,1)),1+(1-$AU38))</f>
        <v>1.02</v>
      </c>
      <c r="DD38" s="15">
        <f>MIN(IF($AU38=100%,1,1+VLOOKUP(($AJ38-$AI38-$AH38-$AG38-$AF38-$AE38*(1+DD$3))/$AJ38,'Технический лист'!$M:$N,2,1)-VLOOKUP($AO38,'Технический лист'!$M:$N,2,1)),1+(1-$AU38))</f>
        <v>1.02</v>
      </c>
      <c r="DE38" s="15">
        <f>MIN(IF($AU38=100%,1,1+VLOOKUP(($AJ38-$AI38-$AH38-$AG38-$AF38-$AE38*(1+DE$3))/$AJ38,'Технический лист'!$M:$N,2,1)-VLOOKUP($AO38,'Технический лист'!$M:$N,2,1)),1+(1-$AU38))</f>
        <v>1.02</v>
      </c>
      <c r="DF38" s="15">
        <f>MIN(IF($AU38=100%,1,1+VLOOKUP(($AJ38-$AI38-$AH38-$AG38-$AF38-$AE38*(1+DF$3))/$AJ38,'Технический лист'!$M:$N,2,1)-VLOOKUP($AO38,'Технический лист'!$M:$N,2,1)),1+(1-$AU38))</f>
        <v>1.02</v>
      </c>
      <c r="DG38" s="15">
        <f>MIN(IF($AU38=100%,1,1+VLOOKUP(($AJ38-$AI38-$AH38-$AG38-$AF38-$AE38*(1+DG$3))/$AJ38,'Технический лист'!$M:$N,2,1)-VLOOKUP($AO38,'Технический лист'!$M:$N,2,1)),1+(1-$AU38))</f>
        <v>1.02</v>
      </c>
      <c r="DH38" s="15">
        <f>MIN(IF($AU38=100%,1,1+VLOOKUP(($AJ38-$AI38-$AH38-$AG38-$AF38-$AE38*(1+DH$3))/$AJ38,'Технический лист'!$M:$N,2,1)-VLOOKUP($AO38,'Технический лист'!$M:$N,2,1)),1+(1-$AU38))</f>
        <v>1.02</v>
      </c>
      <c r="DI38" s="15">
        <f>MIN(IF($AU38=100%,1,1+VLOOKUP(($AJ38-$AI38-$AH38-$AG38-$AF38-$AE38*(1+DI$3))/$AJ38,'Технический лист'!$M:$N,2,1)-VLOOKUP($AO38,'Технический лист'!$M:$N,2,1)),1+(1-$AU38))</f>
        <v>1.02</v>
      </c>
      <c r="DJ38" s="15">
        <f>MIN(IF($AU38=100%,1,1+VLOOKUP(($AJ38-$AI38-$AH38-$AG38-$AF38-$AE38*(1+DJ$3))/$AJ38,'Технический лист'!$M:$N,2,1)-VLOOKUP($AO38,'Технический лист'!$M:$N,2,1)),1+(1-$AU38))</f>
        <v>1.02</v>
      </c>
      <c r="DK38" s="15">
        <f>MIN(IF($AU38=100%,1,1+VLOOKUP(($AJ38-$AI38-$AH38-$AG38-$AF38-$AE38*(1+DK$3))/$AJ38,'Технический лист'!$M:$N,2,1)-VLOOKUP($AO38,'Технический лист'!$M:$N,2,1)),1+(1-$AU38))</f>
        <v>1.02</v>
      </c>
      <c r="DL38" s="15">
        <f>MIN(IF($AU38=100%,1,1+VLOOKUP(($AJ38-$AI38-$AH38-$AG38-$AF38-$AE38*(1+DL$3))/$AJ38,'Технический лист'!$M:$N,2,1)-VLOOKUP($AO38,'Технический лист'!$M:$N,2,1)),1+(1-$AU38))</f>
        <v>1.02</v>
      </c>
      <c r="DM38" s="15">
        <f>MIN(IF($AU38=100%,1,1+VLOOKUP(($AJ38-$AI38-$AH38-$AG38-$AF38-$AE38*(1+DM$3))/$AJ38,'Технический лист'!$M:$N,2,1)-VLOOKUP($AO38,'Технический лист'!$M:$N,2,1)),1+(1-$AU38))</f>
        <v>1.02</v>
      </c>
      <c r="DN38" s="15">
        <f>MIN(IF($AU38=100%,1,1+VLOOKUP(($AJ38-$AI38-$AH38-$AG38-$AF38-$AE38*(1+DN$3))/$AJ38,'Технический лист'!$M:$N,2,1)-VLOOKUP($AO38,'Технический лист'!$M:$N,2,1)),1+(1-$AU38))</f>
        <v>1.02</v>
      </c>
      <c r="DO38" s="15">
        <f>MIN(IF($AU38=100%,1,1+VLOOKUP(($AJ38-$AI38-$AH38-$AG38-$AF38-$AE38*(1+DO$3))/$AJ38,'Технический лист'!$M:$N,2,1)-VLOOKUP($AO38,'Технический лист'!$M:$N,2,1)),1+(1-$AU38))</f>
        <v>1.02</v>
      </c>
      <c r="DP38" s="15">
        <f>MIN(IF($AU38=100%,1,1+VLOOKUP(($AJ38-$AI38-$AH38-$AG38-$AF38-$AE38*(1+DP$3))/$AJ38,'Технический лист'!$M:$N,2,1)-VLOOKUP($AO38,'Технический лист'!$M:$N,2,1)),1+(1-$AU38))</f>
        <v>1.02</v>
      </c>
      <c r="DQ38" s="15">
        <f>MIN(IF($AU38=100%,1,1+VLOOKUP(($AJ38-$AI38-$AH38-$AG38-$AF38-$AE38*(1+DQ$3))/$AJ38,'Технический лист'!$M:$N,2,1)-VLOOKUP($AO38,'Технический лист'!$M:$N,2,1)),1+(1-$AU38))</f>
        <v>1.02</v>
      </c>
      <c r="DR38" s="15">
        <f>MIN(IF($AU38=100%,1,1+VLOOKUP(($AJ38-$AI38-$AH38-$AG38-$AF38-$AE38*(1+DR$3))/$AJ38,'Технический лист'!$M:$N,2,1)-VLOOKUP($AO38,'Технический лист'!$M:$N,2,1)),1+(1-$AU38))</f>
        <v>1.02</v>
      </c>
      <c r="DS38" s="15">
        <f>MIN(IF($AU38=100%,1,1+VLOOKUP(($AJ38-$AI38-$AH38-$AG38-$AF38-$AE38*(1+DS$3))/$AJ38,'Технический лист'!$M:$N,2,1)-VLOOKUP($AO38,'Технический лист'!$M:$N,2,1)),1+(1-$AU38))</f>
        <v>1.02</v>
      </c>
      <c r="DT38" s="15">
        <f>MIN(IF($AU38=100%,1,1+VLOOKUP(($AJ38-$AI38-$AH38-$AG38-$AF38-$AE38*(1+DT$3))/$AJ38,'Технический лист'!$M:$N,2,1)-VLOOKUP($AO38,'Технический лист'!$M:$N,2,1)),1+(1-$AU38))</f>
        <v>1.02</v>
      </c>
      <c r="DU38" s="15">
        <f>MIN(IF($AU38=100%,1,1+VLOOKUP(($AJ38-$AI38-$AH38-$AG38-$AF38-$AE38*(1+DU$3))/$AJ38,'Технический лист'!$M:$N,2,1)-VLOOKUP($AO38,'Технический лист'!$M:$N,2,1)),1+(1-$AU38))</f>
        <v>1.02</v>
      </c>
      <c r="DV38" s="15">
        <f>MIN(IF($AU38=100%,1,1+VLOOKUP(($AJ38-$AI38-$AH38-$AG38-$AF38-$AE38*(1+DV$3))/$AJ38,'Технический лист'!$M:$N,2,1)-VLOOKUP($AO38,'Технический лист'!$M:$N,2,1)),1+(1-$AU38))</f>
        <v>1.02</v>
      </c>
      <c r="DW38" s="15">
        <f>MIN(IF($AU38=100%,1,1+VLOOKUP(($AJ38-$AI38-$AH38-$AG38-$AF38-$AE38*(1+DW$3))/$AJ38,'Технический лист'!$M:$N,2,1)-VLOOKUP($AO38,'Технический лист'!$M:$N,2,1)),1+(1-$AU38))</f>
        <v>1.02</v>
      </c>
      <c r="DX38" s="15">
        <f>MIN(IF($AU38=100%,1,1+VLOOKUP(($AJ38-$AI38-$AH38-$AG38-$AF38-$AE38*(1+DX$3))/$AJ38,'Технический лист'!$M:$N,2,1)-VLOOKUP($AO38,'Технический лист'!$M:$N,2,1)),1+(1-$AU38))</f>
        <v>1.02</v>
      </c>
      <c r="DY38" s="15">
        <f>MIN(IF($AU38=100%,1,1+VLOOKUP(($AJ38-$AI38-$AH38-$AG38-$AF38-$AE38*(1+DY$3))/$AJ38,'Технический лист'!$M:$N,2,1)-VLOOKUP($AO38,'Технический лист'!$M:$N,2,1)),1+(1-$AU38))</f>
        <v>1.02</v>
      </c>
      <c r="DZ38" s="15">
        <f>MIN(IF($AU38=100%,1,1+VLOOKUP(($AJ38-$AI38-$AH38-$AG38-$AF38-$AE38*(1+DZ$3))/$AJ38,'Технический лист'!$M:$N,2,1)-VLOOKUP($AO38,'Технический лист'!$M:$N,2,1)),1+(1-$AU38))</f>
        <v>1.02</v>
      </c>
      <c r="EA38" s="15">
        <f>MIN(IF($AU38=100%,1,1+VLOOKUP(($AJ38-$AI38-$AH38-$AG38-$AF38-$AE38*(1+EA$3))/$AJ38,'Технический лист'!$M:$N,2,1)-VLOOKUP($AO38,'Технический лист'!$M:$N,2,1)),1+(1-$AU38))</f>
        <v>1.02</v>
      </c>
      <c r="EB38" s="15">
        <f>MIN(IF($AU38=100%,1,1+VLOOKUP(($AJ38-$AI38-$AH38-$AG38-$AF38-$AE38*(1+EB$3))/$AJ38,'Технический лист'!$M:$N,2,1)-VLOOKUP($AO38,'Технический лист'!$M:$N,2,1)),1+(1-$AU38))</f>
        <v>1.02</v>
      </c>
      <c r="EC38" s="15">
        <f>MIN(IF($AU38=100%,1,1+VLOOKUP(($AJ38-$AI38-$AH38-$AG38-$AF38-$AE38*(1+EC$3))/$AJ38,'Технический лист'!$M:$N,2,1)-VLOOKUP($AO38,'Технический лист'!$M:$N,2,1)),1+(1-$AU38))</f>
        <v>1.02</v>
      </c>
      <c r="ED38" s="15">
        <f>MIN(IF($AU38=100%,1,1+VLOOKUP(($AJ38-$AI38-$AH38-$AG38-$AF38-$AE38*(1+ED$3))/$AJ38,'Технический лист'!$M:$N,2,1)-VLOOKUP($AO38,'Технический лист'!$M:$N,2,1)),1+(1-$AU38))</f>
        <v>1.02</v>
      </c>
      <c r="EE38" s="15">
        <f>MIN(IF($AU38=100%,1,1+VLOOKUP(($AJ38-$AI38-$AH38-$AG38-$AF38-$AE38*(1+EE$3))/$AJ38,'Технический лист'!$M:$N,2,1)-VLOOKUP($AO38,'Технический лист'!$M:$N,2,1)),1+(1-$AU38))</f>
        <v>1.02</v>
      </c>
      <c r="EF38" s="15">
        <f>MIN(IF($AU38=100%,1,1+VLOOKUP(($AJ38-$AI38-$AH38-$AG38-$AF38-$AE38*(1+EF$3))/$AJ38,'Технический лист'!$M:$N,2,1)-VLOOKUP($AO38,'Технический лист'!$M:$N,2,1)),1+(1-$AU38))</f>
        <v>1.02</v>
      </c>
      <c r="EG38" s="15">
        <f>MIN(IF($AU38=100%,1,1+VLOOKUP(($AJ38-$AI38-$AH38-$AG38-$AF38-$AE38*(1+EG$3))/$AJ38,'Технический лист'!$M:$N,2,1)-VLOOKUP($AO38,'Технический лист'!$M:$N,2,1)),1+(1-$AU38))</f>
        <v>1.02</v>
      </c>
      <c r="EH38" s="15">
        <f>MIN(IF($AU38=100%,1,1+VLOOKUP(($AJ38-$AI38-$AH38-$AG38-$AF38-$AE38*(1+EH$3))/$AJ38,'Технический лист'!$M:$N,2,1)-VLOOKUP($AO38,'Технический лист'!$M:$N,2,1)),1+(1-$AU38))</f>
        <v>1.02</v>
      </c>
      <c r="EI38" s="15">
        <f>MIN(IF($AU38=100%,1,1+VLOOKUP(($AJ38-$AI38-$AH38-$AG38-$AF38-$AE38*(1+EI$3))/$AJ38,'Технический лист'!$M:$N,2,1)-VLOOKUP($AO38,'Технический лист'!$M:$N,2,1)),1+(1-$AU38))</f>
        <v>1.02</v>
      </c>
      <c r="EJ38" s="15">
        <f>MIN(IF($AU38=100%,1,1+VLOOKUP(($AJ38-$AI38-$AH38-$AG38-$AF38-$AE38*(1+EJ$3))/$AJ38,'Технический лист'!$M:$N,2,1)-VLOOKUP($AO38,'Технический лист'!$M:$N,2,1)),1+(1-$AU38))</f>
        <v>1.02</v>
      </c>
      <c r="EK38" s="15">
        <f>MIN(IF($AU38=100%,1,1+VLOOKUP(($AJ38-$AI38-$AH38-$AG38-$AF38-$AE38*(1+EK$3))/$AJ38,'Технический лист'!$M:$N,2,1)-VLOOKUP($AO38,'Технический лист'!$M:$N,2,1)),1+(1-$AU38))</f>
        <v>1.02</v>
      </c>
      <c r="EL38" s="15">
        <f>MIN(IF($AU38=100%,1,1+VLOOKUP(($AJ38-$AI38-$AH38-$AG38-$AF38-$AE38*(1+EL$3))/$AJ38,'Технический лист'!$M:$N,2,1)-VLOOKUP($AO38,'Технический лист'!$M:$N,2,1)),1+(1-$AU38))</f>
        <v>1.0199999999999996</v>
      </c>
      <c r="EM38" s="15">
        <f>MIN(IF($AU38=100%,1,1+VLOOKUP(($AJ38-$AI38-$AH38-$AG38-$AF38-$AE38*(1+EM$3))/$AJ38,'Технический лист'!$M:$N,2,1)-VLOOKUP($AO38,'Технический лист'!$M:$N,2,1)),1+(1-$AU38))</f>
        <v>1.0199999999999996</v>
      </c>
      <c r="EN38" s="15">
        <f>MIN(IF($AU38=100%,1,1+VLOOKUP(($AJ38-$AI38-$AH38-$AG38-$AF38-$AE38*(1+EN$3))/$AJ38,'Технический лист'!$M:$N,2,1)-VLOOKUP($AO38,'Технический лист'!$M:$N,2,1)),1+(1-$AU38))</f>
        <v>1.0149999999999997</v>
      </c>
      <c r="EO38" s="15">
        <f>MIN(IF($AU38=100%,1,1+VLOOKUP(($AJ38-$AI38-$AH38-$AG38-$AF38-$AE38*(1+EO$3))/$AJ38,'Технический лист'!$M:$N,2,1)-VLOOKUP($AO38,'Технический лист'!$M:$N,2,1)),1+(1-$AU38))</f>
        <v>1.0149999999999997</v>
      </c>
      <c r="EP38" s="15">
        <f>MIN(IF($AU38=100%,1,1+VLOOKUP(($AJ38-$AI38-$AH38-$AG38-$AF38-$AE38*(1+EP$3))/$AJ38,'Технический лист'!$M:$N,2,1)-VLOOKUP($AO38,'Технический лист'!$M:$N,2,1)),1+(1-$AU38))</f>
        <v>1.0149999999999997</v>
      </c>
      <c r="EQ38" s="15">
        <f>MIN(IF($AU38=100%,1,1+VLOOKUP(($AJ38-$AI38-$AH38-$AG38-$AF38-$AE38*(1+EQ$3))/$AJ38,'Технический лист'!$M:$N,2,1)-VLOOKUP($AO38,'Технический лист'!$M:$N,2,1)),1+(1-$AU38))</f>
        <v>1.0099999999999998</v>
      </c>
      <c r="ER38" s="15">
        <f>MIN(IF($AU38=100%,1,1+VLOOKUP(($AJ38-$AI38-$AH38-$AG38-$AF38-$AE38*(1+ER$3))/$AJ38,'Технический лист'!$M:$N,2,1)-VLOOKUP($AO38,'Технический лист'!$M:$N,2,1)),1+(1-$AU38))</f>
        <v>1.0099999999999998</v>
      </c>
      <c r="ES38" s="15">
        <f>MIN(IF($AU38=100%,1,1+VLOOKUP(($AJ38-$AI38-$AH38-$AG38-$AF38-$AE38*(1+ES$3))/$AJ38,'Технический лист'!$M:$N,2,1)-VLOOKUP($AO38,'Технический лист'!$M:$N,2,1)),1+(1-$AU38))</f>
        <v>1.0099999999999998</v>
      </c>
      <c r="ET38" s="15">
        <f>MIN(IF($AU38=100%,1,1+VLOOKUP(($AJ38-$AI38-$AH38-$AG38-$AF38-$AE38*(1+ET$3))/$AJ38,'Технический лист'!$M:$N,2,1)-VLOOKUP($AO38,'Технический лист'!$M:$N,2,1)),1+(1-$AU38))</f>
        <v>1.0049999999999999</v>
      </c>
      <c r="EU38" s="15">
        <f>MIN(IF($AU38=100%,1,1+VLOOKUP(($AJ38-$AI38-$AH38-$AG38-$AF38-$AE38*(1+EU$3))/$AJ38,'Технический лист'!$M:$N,2,1)-VLOOKUP($AO38,'Технический лист'!$M:$N,2,1)),1+(1-$AU38))</f>
        <v>1.0049999999999999</v>
      </c>
      <c r="EV38" s="111">
        <v>1</v>
      </c>
      <c r="EW38" s="15">
        <f>MIN(1,MAX(VLOOKUP(($AJ38-$AI38-$AH38-$AG38-$AF38-$AE38*(1+EW$3))/$AJ38,'Технический лист'!$M:$N,2,1),(EV38-0.05)))</f>
        <v>1</v>
      </c>
      <c r="EX38" s="15">
        <f>MIN(1,MAX(VLOOKUP(($AJ38-$AI38-$AH38-$AG38-$AF38-$AE38*(1+EX$3))/$AJ38,'Технический лист'!$M:$N,2,1),(EW38-0.05)))</f>
        <v>1</v>
      </c>
      <c r="EY38" s="15">
        <f>MIN(1,MAX(VLOOKUP(($AJ38-$AI38-$AH38-$AG38-$AF38-$AE38*(1+EY$3))/$AJ38,'Технический лист'!$M:$N,2,1),(EX38-0.05)))</f>
        <v>1</v>
      </c>
      <c r="EZ38" s="15">
        <f>MIN(1,MAX(VLOOKUP(($AJ38-$AI38-$AH38-$AG38-$AF38-$AE38*(1+EZ$3))/$AJ38,'Технический лист'!$M:$N,2,1),(EY38-0.05)))</f>
        <v>1</v>
      </c>
      <c r="FA38" s="15">
        <f>MIN(1,MAX(VLOOKUP(($AJ38-$AI38-$AH38-$AG38-$AF38-$AE38*(1+FA$3))/$AJ38,'Технический лист'!$M:$N,2,1),(EZ38-0.05)))</f>
        <v>1</v>
      </c>
      <c r="FB38" s="15">
        <f>MIN(1,MAX(VLOOKUP(($AJ38-$AI38-$AH38-$AG38-$AF38-$AE38*(1+FB$3))/$AJ38,'Технический лист'!$M:$N,2,1),(FA38-0.05)))</f>
        <v>1</v>
      </c>
      <c r="FC38" s="15">
        <f>MIN(1,MAX(VLOOKUP(($AJ38-$AI38-$AH38-$AG38-$AF38-$AE38*(1+FC$3))/$AJ38,'Технический лист'!$M:$N,2,1),(FB38-0.05)))</f>
        <v>1</v>
      </c>
      <c r="FD38" s="15">
        <f>MIN(1,MAX(VLOOKUP(($AJ38-$AI38-$AH38-$AG38-$AF38-$AE38*(1+FD$3))/$AJ38,'Технический лист'!$M:$N,2,1),(FC38-0.05)))</f>
        <v>1</v>
      </c>
      <c r="FE38" s="15">
        <f>MIN(1,MAX(VLOOKUP(($AJ38-$AI38-$AH38-$AG38-$AF38-$AE38*(1+FE$3))/$AJ38,'Технический лист'!$M:$N,2,1),(FD38-0.05)))</f>
        <v>1</v>
      </c>
      <c r="FF38" s="15">
        <f>MIN(1,MAX(VLOOKUP(($AJ38-$AI38-$AH38-$AG38-$AF38-$AE38*(1+FF$3))/$AJ38,'Технический лист'!$M:$N,2,1),(FE38-0.05)))</f>
        <v>1</v>
      </c>
      <c r="FG38" s="15">
        <f>MIN(1,MAX(VLOOKUP(($AJ38-$AI38-$AH38-$AG38-$AF38-$AE38*(1+FG$3))/$AJ38,'Технический лист'!$M:$N,2,1),(FF38-0.05)))</f>
        <v>1</v>
      </c>
      <c r="FH38" s="15">
        <f>MIN(1,MAX(VLOOKUP(($AJ38-$AI38-$AH38-$AG38-$AF38-$AE38*(1+FH$3))/$AJ38,'Технический лист'!$M:$N,2,1),(FG38-0.05)))</f>
        <v>1</v>
      </c>
      <c r="FI38" s="15">
        <f>MIN(1,MAX(VLOOKUP(($AJ38-$AI38-$AH38-$AG38-$AF38-$AE38*(1+FI$3))/$AJ38,'Технический лист'!$M:$N,2,1),(FH38-0.05)))</f>
        <v>1</v>
      </c>
      <c r="FJ38" s="15">
        <f>MIN(1,MAX(VLOOKUP(($AJ38-$AI38-$AH38-$AG38-$AF38-$AE38*(1+FJ$3))/$AJ38,'Технический лист'!$M:$N,2,1),(FI38-0.05)))</f>
        <v>1</v>
      </c>
      <c r="FK38" s="15">
        <f>MIN(1,MAX(VLOOKUP(($AJ38-$AI38-$AH38-$AG38-$AF38-$AE38*(1+FK$3))/$AJ38,'Технический лист'!$M:$N,2,1),(FJ38-0.05)))</f>
        <v>1</v>
      </c>
      <c r="FL38" s="15">
        <f>MIN(1,MAX(VLOOKUP(($AJ38-$AI38-$AH38-$AG38-$AF38-$AE38*(1+FL$3))/$AJ38,'Технический лист'!$M:$N,2,1),(FK38-0.05)))</f>
        <v>1</v>
      </c>
      <c r="FM38" s="15">
        <f>MIN(1,MAX(VLOOKUP(($AJ38-$AI38-$AH38-$AG38-$AF38-$AE38*(1+FM$3))/$AJ38,'Технический лист'!$M:$N,2,1),(FL38-0.05)))</f>
        <v>1</v>
      </c>
      <c r="FN38" s="15">
        <f>MIN(1,MAX(VLOOKUP(($AJ38-$AI38-$AH38-$AG38-$AF38-$AE38*(1+FN$3))/$AJ38,'Технический лист'!$M:$N,2,1),(FM38-0.05)))</f>
        <v>1</v>
      </c>
      <c r="FO38" s="15">
        <f>MIN(1,MAX(VLOOKUP(($AJ38-$AI38-$AH38-$AG38-$AF38-$AE38*(1+FO$3))/$AJ38,'Технический лист'!$M:$N,2,1),(FN38-0.05)))</f>
        <v>1</v>
      </c>
      <c r="FP38" s="15">
        <f>MIN(1,MAX(VLOOKUP(($AJ38-$AI38-$AH38-$AG38-$AF38-$AE38*(1+FP$3))/$AJ38,'Технический лист'!$M:$N,2,1),(FO38-0.05)))</f>
        <v>1</v>
      </c>
      <c r="FQ38" s="15">
        <f>MIN(1,MAX(VLOOKUP(($AJ38-$AI38-$AH38-$AG38-$AF38-$AE38*(1+FQ$3))/$AJ38,'Технический лист'!$M:$N,2,1),(FP38-0.05)))</f>
        <v>0.995</v>
      </c>
      <c r="FR38" s="15">
        <f>MIN(1,MAX(VLOOKUP(($AJ38-$AI38-$AH38-$AG38-$AF38-$AE38*(1+FR$3))/$AJ38,'Технический лист'!$M:$N,2,1),(FQ38-0.05)))</f>
        <v>0.995</v>
      </c>
      <c r="FS38" s="15">
        <f>MIN(1,MAX(VLOOKUP(($AJ38-$AI38-$AH38-$AG38-$AF38-$AE38*(1+FS$3))/$AJ38,'Технический лист'!$M:$N,2,1),(FR38-0.05)))</f>
        <v>0.99</v>
      </c>
      <c r="FT38" s="15">
        <f>MIN(1,MAX(VLOOKUP(($AJ38-$AI38-$AH38-$AG38-$AF38-$AE38*(1+FT$3))/$AJ38,'Технический лист'!$M:$N,2,1),(FS38-0.05)))</f>
        <v>0.99</v>
      </c>
      <c r="FU38" s="15">
        <f>MIN(1,MAX(VLOOKUP(($AJ38-$AI38-$AH38-$AG38-$AF38-$AE38*(1+FU$3))/$AJ38,'Технический лист'!$M:$N,2,1),(FT38-0.05)))</f>
        <v>0.99</v>
      </c>
      <c r="FV38" s="15">
        <f>MIN(1,MAX(VLOOKUP(($AJ38-$AI38-$AH38-$AG38-$AF38-$AE38*(1+FV$3))/$AJ38,'Технический лист'!$M:$N,2,1),(FU38-0.05)))</f>
        <v>0.98499999999999999</v>
      </c>
      <c r="FW38" s="15">
        <f>MIN(1,MAX(VLOOKUP(($AJ38-$AI38-$AH38-$AG38-$AF38-$AE38*(1+FW$3))/$AJ38,'Технический лист'!$M:$N,2,1),(FV38-0.05)))</f>
        <v>0.98499999999999999</v>
      </c>
      <c r="FX38" s="15">
        <f>MIN(1,MAX(VLOOKUP(($AJ38-$AI38-$AH38-$AG38-$AF38-$AE38*(1+FX$3))/$AJ38,'Технический лист'!$M:$N,2,1),(FW38-0.05)))</f>
        <v>0.98499999999999999</v>
      </c>
      <c r="FY38" s="15">
        <f>MIN(1,MAX(VLOOKUP(($AJ38-$AI38-$AH38-$AG38-$AF38-$AE38*(1+FY$3))/$AJ38,'Технический лист'!$M:$N,2,1),(FX38-0.05)))</f>
        <v>0.98</v>
      </c>
      <c r="FZ38" s="15">
        <f>MIN(1,MAX(VLOOKUP(($AJ38-$AI38-$AH38-$AG38-$AF38-$AE38*(1+FZ$3))/$AJ38,'Технический лист'!$M:$N,2,1),(FY38-0.05)))</f>
        <v>0.98</v>
      </c>
      <c r="GA38" s="15">
        <f>MIN(1,MAX(VLOOKUP(($AJ38-$AI38-$AH38-$AG38-$AF38-$AE38*(1+GA$3))/$AJ38,'Технический лист'!$M:$N,2,1),(FZ38-0.05)))</f>
        <v>0.97499999999999998</v>
      </c>
      <c r="GB38" s="15">
        <f>MIN(1,MAX(VLOOKUP(($AJ38-$AI38-$AH38-$AG38-$AF38-$AE38*(1+GB$3))/$AJ38,'Технический лист'!$M:$N,2,1),(GA38-0.05)))</f>
        <v>0.97499999999999998</v>
      </c>
      <c r="GC38" s="15">
        <f>MIN(1,MAX(VLOOKUP(($AJ38-$AI38-$AH38-$AG38-$AF38-$AE38*(1+GC$3))/$AJ38,'Технический лист'!$M:$N,2,1),(GB38-0.05)))</f>
        <v>0.97499999999999998</v>
      </c>
      <c r="GD38" s="15">
        <f>MIN(1,MAX(VLOOKUP(($AJ38-$AI38-$AH38-$AG38-$AF38-$AE38*(1+GD$3))/$AJ38,'Технический лист'!$M:$N,2,1),(GC38-0.05)))</f>
        <v>0.97</v>
      </c>
      <c r="GE38" s="15">
        <f>MIN(1,MAX(VLOOKUP(($AJ38-$AI38-$AH38-$AG38-$AF38-$AE38*(1+GE$3))/$AJ38,'Технический лист'!$M:$N,2,1),(GD38-0.05)))</f>
        <v>0.97</v>
      </c>
      <c r="GF38" s="15">
        <f>MIN(1,MAX(VLOOKUP(($AJ38-$AI38-$AH38-$AG38-$AF38-$AE38*(1+GF$3))/$AJ38,'Технический лист'!$M:$N,2,1),(GE38-0.05)))</f>
        <v>0.96499999999999997</v>
      </c>
      <c r="GG38" s="15">
        <f>MIN(1,MAX(VLOOKUP(($AJ38-$AI38-$AH38-$AG38-$AF38-$AE38*(1+GG$3))/$AJ38,'Технический лист'!$M:$N,2,1),(GF38-0.05)))</f>
        <v>0.96499999999999997</v>
      </c>
      <c r="GH38" s="15">
        <f>MIN(1,MAX(VLOOKUP(($AJ38-$AI38-$AH38-$AG38-$AF38-$AE38*(1+GH$3))/$AJ38,'Технический лист'!$M:$N,2,1),(GG38-0.05)))</f>
        <v>0.96499999999999997</v>
      </c>
      <c r="GI38" s="15">
        <f>MIN(1,MAX(VLOOKUP(($AJ38-$AI38-$AH38-$AG38-$AF38-$AE38*(1+GI$3))/$AJ38,'Технический лист'!$M:$N,2,1),(GH38-0.05)))</f>
        <v>0.96</v>
      </c>
      <c r="GJ38" s="15">
        <f>MIN(1,MAX(VLOOKUP(($AJ38-$AI38-$AH38-$AG38-$AF38-$AE38*(1+GJ$3))/$AJ38,'Технический лист'!$M:$N,2,1),(GI38-0.05)))</f>
        <v>0.96</v>
      </c>
      <c r="GK38" s="15">
        <f>MIN(1,MAX(VLOOKUP(($AJ38-$AI38-$AH38-$AG38-$AF38-$AE38*(1+GK$3))/$AJ38,'Технический лист'!$M:$N,2,1),(GJ38-0.05)))</f>
        <v>0.96</v>
      </c>
      <c r="GL38" s="15">
        <f>MIN(1,MAX(VLOOKUP(($AJ38-$AI38-$AH38-$AG38-$AF38-$AE38*(1+GL$3))/$AJ38,'Технический лист'!$M:$N,2,1),(GK38-0.05)))</f>
        <v>0.95</v>
      </c>
      <c r="GM38" s="15">
        <f>MIN(1,MAX(VLOOKUP(($AJ38-$AI38-$AH38-$AG38-$AF38-$AE38*(1+GM$3))/$AJ38,'Технический лист'!$M:$N,2,1),(GL38-0.05)))</f>
        <v>0.95</v>
      </c>
      <c r="GN38" s="15">
        <f>MIN(1,MAX(VLOOKUP(($AJ38-$AI38-$AH38-$AG38-$AF38-$AE38*(1+GN$3))/$AJ38,'Технический лист'!$M:$N,2,1),(GM38-0.05)))</f>
        <v>0.94</v>
      </c>
      <c r="GO38" s="15">
        <f>MIN(1,MAX(VLOOKUP(($AJ38-$AI38-$AH38-$AG38-$AF38-$AE38*(1+GO$3))/$AJ38,'Технический лист'!$M:$N,2,1),(GN38-0.05)))</f>
        <v>0.94</v>
      </c>
      <c r="GP38" s="15">
        <f>MIN(1,MAX(VLOOKUP(($AJ38-$AI38-$AH38-$AG38-$AF38-$AE38*(1+GP$3))/$AJ38,'Технический лист'!$M:$N,2,1),(GO38-0.05)))</f>
        <v>0.94</v>
      </c>
      <c r="GQ38" s="15">
        <f>MIN(1,MAX(VLOOKUP(($AJ38-$AI38-$AH38-$AG38-$AF38-$AE38*(1+GQ$3))/$AJ38,'Технический лист'!$M:$N,2,1),(GP38-0.05)))</f>
        <v>0.93</v>
      </c>
      <c r="GR38" s="15">
        <f>MIN(1,MAX(VLOOKUP(($AJ38-$AI38-$AH38-$AG38-$AF38-$AE38*(1+GR$3))/$AJ38,'Технический лист'!$M:$N,2,1),(GQ38-0.05)))</f>
        <v>0.93</v>
      </c>
      <c r="GS38" s="15">
        <f>MIN(1,MAX(VLOOKUP(($AJ38-$AI38-$AH38-$AG38-$AF38-$AE38*(1+GS$3))/$AJ38,'Технический лист'!$M:$N,2,1),(GR38-0.05)))</f>
        <v>0.92</v>
      </c>
      <c r="GT38" s="15">
        <f>MIN(1,MAX(VLOOKUP(($AJ38-$AI38-$AH38-$AG38-$AF38-$AE38*(1+GT$3))/$AJ38,'Технический лист'!$M:$N,2,1),(GS38-0.05)))</f>
        <v>0.92</v>
      </c>
      <c r="GU38" s="15">
        <f>MIN(1,MAX(VLOOKUP(($AJ38-$AI38-$AH38-$AG38-$AF38-$AE38*(1+GU$3))/$AJ38,'Технический лист'!$M:$N,2,1),(GT38-0.05)))</f>
        <v>0.92</v>
      </c>
      <c r="GV38" s="15">
        <f>MIN(1,MAX(VLOOKUP(($AJ38-$AI38-$AH38-$AG38-$AF38-$AE38*(1+GV$3))/$AJ38,'Технический лист'!$M:$N,2,1),(GU38-0.05)))</f>
        <v>0.91</v>
      </c>
      <c r="GW38" s="15">
        <f>MIN(1,MAX(VLOOKUP(($AJ38-$AI38-$AH38-$AG38-$AF38-$AE38*(1+GW$3))/$AJ38,'Технический лист'!$M:$N,2,1),(GV38-0.05)))</f>
        <v>0.91</v>
      </c>
      <c r="GX38" s="15">
        <f>MIN(1,MAX(VLOOKUP(($AJ38-$AI38-$AH38-$AG38-$AF38-$AE38*(1+GX$3))/$AJ38,'Технический лист'!$M:$N,2,1),(GW38-0.05)))</f>
        <v>0.9</v>
      </c>
      <c r="GY38" s="15">
        <f>MIN(1,MAX(VLOOKUP(($AJ38-$AI38-$AH38-$AG38-$AF38-$AE38*(1+GY$3))/$AJ38,'Технический лист'!$M:$N,2,1),(GX38-0.05)))</f>
        <v>0.9</v>
      </c>
      <c r="GZ38" s="15">
        <f>MIN(1,MAX(VLOOKUP(($AJ38-$AI38-$AH38-$AG38-$AF38-$AE38*(1+GZ$3))/$AJ38,'Технический лист'!$M:$N,2,1),(GY38-0.05)))</f>
        <v>0.9</v>
      </c>
      <c r="HA38" s="15">
        <f>MIN(1,MAX(VLOOKUP(($AJ38-$AI38-$AH38-$AG38-$AF38-$AE38*(1+HA$3))/$AJ38,'Технический лист'!$M:$N,2,1),(GZ38-0.05)))</f>
        <v>0.88500000000000001</v>
      </c>
      <c r="HB38" s="15">
        <f>MIN(1,MAX(VLOOKUP(($AJ38-$AI38-$AH38-$AG38-$AF38-$AE38*(1+HB$3))/$AJ38,'Технический лист'!$M:$N,2,1),(HA38-0.05)))</f>
        <v>0.88500000000000001</v>
      </c>
      <c r="HC38" s="15">
        <f>MIN(1,MAX(VLOOKUP(($AJ38-$AI38-$AH38-$AG38-$AF38-$AE38*(1+HC$3))/$AJ38,'Технический лист'!$M:$N,2,1),(HB38-0.05)))</f>
        <v>0.88500000000000001</v>
      </c>
      <c r="HD38" s="15">
        <f>MIN(1,MAX(VLOOKUP(($AJ38-$AI38-$AH38-$AG38-$AF38-$AE38*(1+HD$3))/$AJ38,'Технический лист'!$M:$N,2,1),(HC38-0.05)))</f>
        <v>0.87</v>
      </c>
      <c r="HE38" s="15">
        <f>MIN(1,MAX(VLOOKUP(($AJ38-$AI38-$AH38-$AG38-$AF38-$AE38*(1+HE$3))/$AJ38,'Технический лист'!$M:$N,2,1),(HD38-0.05)))</f>
        <v>0.87</v>
      </c>
      <c r="HF38" s="15">
        <f>MIN(1,MAX(VLOOKUP(($AJ38-$AI38-$AH38-$AG38-$AF38-$AE38*(1+HF$3))/$AJ38,'Технический лист'!$M:$N,2,1),(HE38-0.05)))</f>
        <v>0.85499999999999998</v>
      </c>
      <c r="HG38" s="15">
        <f>MIN(1,MAX(VLOOKUP(($AJ38-$AI38-$AH38-$AG38-$AF38-$AE38*(1+HG$3))/$AJ38,'Технический лист'!$M:$N,2,1),(HF38-0.05)))</f>
        <v>0.85499999999999998</v>
      </c>
      <c r="HH38" s="15">
        <f>MIN(1,MAX(VLOOKUP(($AJ38-$AI38-$AH38-$AG38-$AF38-$AE38*(1+HH$3))/$AJ38,'Технический лист'!$M:$N,2,1),(HG38-0.05)))</f>
        <v>0.85499999999999998</v>
      </c>
      <c r="HI38" s="15">
        <f>MIN(1,MAX(VLOOKUP(($AJ38-$AI38-$AH38-$AG38-$AF38-$AE38*(1+HI$3))/$AJ38,'Технический лист'!$M:$N,2,1),(HH38-0.05)))</f>
        <v>0.84</v>
      </c>
      <c r="HJ38" s="15">
        <f>MIN(1,MAX(VLOOKUP(($AJ38-$AI38-$AH38-$AG38-$AF38-$AE38*(1+HJ$3))/$AJ38,'Технический лист'!$M:$N,2,1),(HI38-0.05)))</f>
        <v>0.84</v>
      </c>
      <c r="HK38" s="15">
        <f>MIN(1,MAX(VLOOKUP(($AJ38-$AI38-$AH38-$AG38-$AF38-$AE38*(1+HK$3))/$AJ38,'Технический лист'!$M:$N,2,1),(HJ38-0.05)))</f>
        <v>0.82499999999999996</v>
      </c>
      <c r="HL38" s="15">
        <f>MIN(1,MAX(VLOOKUP(($AJ38-$AI38-$AH38-$AG38-$AF38-$AE38*(1+HL$3))/$AJ38,'Технический лист'!$M:$N,2,1),(HK38-0.05)))</f>
        <v>0.82499999999999996</v>
      </c>
      <c r="HM38" s="15">
        <f>MIN(1,MAX(VLOOKUP(($AJ38-$AI38-$AH38-$AG38-$AF38-$AE38*(1+HM$3))/$AJ38,'Технический лист'!$M:$N,2,1),(HL38-0.05)))</f>
        <v>0.82499999999999996</v>
      </c>
      <c r="HN38" s="15">
        <f>MIN(1,MAX(VLOOKUP(($AJ38-$AI38-$AH38-$AG38-$AF38-$AE38*(1+HN$3))/$AJ38,'Технический лист'!$M:$N,2,1),(HM38-0.05)))</f>
        <v>0.81</v>
      </c>
      <c r="HO38" s="15">
        <f>MIN(1,MAX(VLOOKUP(($AJ38-$AI38-$AH38-$AG38-$AF38-$AE38*(1+HO$3))/$AJ38,'Технический лист'!$M:$N,2,1),(HN38-0.05)))</f>
        <v>0.81</v>
      </c>
      <c r="HP38" s="15">
        <f>MIN(1,MAX(VLOOKUP(($AJ38-$AI38-$AH38-$AG38-$AF38-$AE38*(1+HP$3))/$AJ38,'Технический лист'!$M:$N,2,1),(HO38-0.05)))</f>
        <v>0.81</v>
      </c>
      <c r="HQ38" s="15">
        <f>MIN(1,MAX(VLOOKUP(($AJ38-$AI38-$AH38-$AG38-$AF38-$AE38*(1+HQ$3))/$AJ38,'Технический лист'!$M:$N,2,1),(HP38-0.05)))</f>
        <v>0.79</v>
      </c>
      <c r="HR38" s="15">
        <f>MIN(1,MAX(VLOOKUP(($AJ38-$AI38-$AH38-$AG38-$AF38-$AE38*(1+HR$3))/$AJ38,'Технический лист'!$M:$N,2,1),(HQ38-0.05)))</f>
        <v>0.79</v>
      </c>
      <c r="HS38" s="15">
        <f>MIN(1,MAX(VLOOKUP(($AJ38-$AI38-$AH38-$AG38-$AF38-$AE38*(1+HS$3))/$AJ38,'Технический лист'!$M:$N,2,1),(HR38-0.05)))</f>
        <v>0.77</v>
      </c>
      <c r="HT38" s="15">
        <f>MIN(1,MAX(VLOOKUP(($AJ38-$AI38-$AH38-$AG38-$AF38-$AE38*(1+HT$3))/$AJ38,'Технический лист'!$M:$N,2,1),(HS38-0.05)))</f>
        <v>0.77</v>
      </c>
      <c r="HU38" s="15">
        <f>MIN(1,MAX(VLOOKUP(($AJ38-$AI38-$AH38-$AG38-$AF38-$AE38*(1+HU$3))/$AJ38,'Технический лист'!$M:$N,2,1),(HT38-0.05)))</f>
        <v>0.77</v>
      </c>
      <c r="HV38" s="15">
        <f>MIN(1,MAX(VLOOKUP(($AJ38-$AI38-$AH38-$AG38-$AF38-$AE38*(1+HV$3))/$AJ38,'Технический лист'!$M:$N,2,1),(HU38-0.05)))</f>
        <v>0.75</v>
      </c>
      <c r="HW38" s="15">
        <f>MIN(1,MAX(VLOOKUP(($AJ38-$AI38-$AH38-$AG38-$AF38-$AE38*(1+HW$3))/$AJ38,'Технический лист'!$M:$N,2,1),(HV38-0.05)))</f>
        <v>0.75</v>
      </c>
      <c r="HX38" s="15">
        <f>MIN(1,MAX(VLOOKUP(($AJ38-$AI38-$AH38-$AG38-$AF38-$AE38*(1+HX$3))/$AJ38,'Технический лист'!$M:$N,2,1),(HW38-0.05)))</f>
        <v>0.73</v>
      </c>
      <c r="HY38" s="15">
        <f>MIN(1,MAX(VLOOKUP(($AJ38-$AI38-$AH38-$AG38-$AF38-$AE38*(1+HY$3))/$AJ38,'Технический лист'!$M:$N,2,1),(HX38-0.05)))</f>
        <v>0.73</v>
      </c>
      <c r="HZ38" s="15">
        <f>MIN(1,MAX(VLOOKUP(($AJ38-$AI38-$AH38-$AG38-$AF38-$AE38*(1+HZ$3))/$AJ38,'Технический лист'!$M:$N,2,1),(HY38-0.05)))</f>
        <v>0.73</v>
      </c>
      <c r="IA38" s="15">
        <f>MIN(1,MAX(VLOOKUP(($AJ38-$AI38-$AH38-$AG38-$AF38-$AE38*(1+IA$3))/$AJ38,'Технический лист'!$M:$N,2,1),(HZ38-0.05)))</f>
        <v>0.71</v>
      </c>
      <c r="IB38" s="15">
        <f>MIN(1,MAX(VLOOKUP(($AJ38-$AI38-$AH38-$AG38-$AF38-$AE38*(1+IB$3))/$AJ38,'Технический лист'!$M:$N,2,1),(IA38-0.05)))</f>
        <v>0.71</v>
      </c>
      <c r="IC38" s="15">
        <f>MIN(1,MAX(VLOOKUP(($AJ38-$AI38-$AH38-$AG38-$AF38-$AE38*(1+IC$3))/$AJ38,'Технический лист'!$M:$N,2,1),(IB38-0.05)))</f>
        <v>0.71</v>
      </c>
      <c r="ID38" s="15">
        <f>MIN(1,MAX(VLOOKUP(($AJ38-$AI38-$AH38-$AG38-$AF38-$AE38*(1+ID$3))/$AJ38,'Технический лист'!$M:$N,2,1),(IC38-0.05)))</f>
        <v>0.68500000000000005</v>
      </c>
      <c r="IE38" s="15">
        <f>MIN(1,MAX(VLOOKUP(($AJ38-$AI38-$AH38-$AG38-$AF38-$AE38*(1+IE$3))/$AJ38,'Технический лист'!$M:$N,2,1),(ID38-0.05)))</f>
        <v>0.68500000000000005</v>
      </c>
      <c r="IF38" s="15">
        <f>MIN(1,MAX(VLOOKUP(($AJ38-$AI38-$AH38-$AG38-$AF38-$AE38*(1+IF$3))/$AJ38,'Технический лист'!$M:$N,2,1),(IE38-0.05)))</f>
        <v>0.66</v>
      </c>
      <c r="IG38" s="15">
        <f>MIN(1,MAX(VLOOKUP(($AJ38-$AI38-$AH38-$AG38-$AF38-$AE38*(1+IG$3))/$AJ38,'Технический лист'!$M:$N,2,1),(IF38-0.05)))</f>
        <v>0.66</v>
      </c>
      <c r="IH38" s="15">
        <f>MIN(1,MAX(VLOOKUP(($AJ38-$AI38-$AH38-$AG38-$AF38-$AE38*(1+IH$3))/$AJ38,'Технический лист'!$M:$N,2,1),(IG38-0.05)))</f>
        <v>0.66</v>
      </c>
      <c r="II38" s="15">
        <f>MIN(1,MAX(VLOOKUP(($AJ38-$AI38-$AH38-$AG38-$AF38-$AE38*(1+II$3))/$AJ38,'Технический лист'!$M:$N,2,1),(IH38-0.05)))</f>
        <v>0.63500000000000001</v>
      </c>
      <c r="IJ38" s="15">
        <f>MIN(1,MAX(VLOOKUP(($AJ38-$AI38-$AH38-$AG38-$AF38-$AE38*(1+IJ$3))/$AJ38,'Технический лист'!$M:$N,2,1),(II38-0.05)))</f>
        <v>0.63500000000000001</v>
      </c>
      <c r="IK38" s="15">
        <f>MIN(1,MAX(VLOOKUP(($AJ38-$AI38-$AH38-$AG38-$AF38-$AE38*(1+IK$3))/$AJ38,'Технический лист'!$M:$N,2,1),(IJ38-0.05)))</f>
        <v>0.61</v>
      </c>
      <c r="IL38" s="15">
        <f>MIN(1,MAX(VLOOKUP(($AJ38-$AI38-$AH38-$AG38-$AF38-$AE38*(1+IL$3))/$AJ38,'Технический лист'!$M:$N,2,1),(IK38-0.05)))</f>
        <v>0.61</v>
      </c>
      <c r="IM38" s="15">
        <f>MIN(1,MAX(VLOOKUP(($AJ38-$AI38-$AH38-$AG38-$AF38-$AE38*(1+IM$3))/$AJ38,'Технический лист'!$M:$N,2,1),(IL38-0.05)))</f>
        <v>0.61</v>
      </c>
      <c r="IN38" s="15">
        <f>MIN(1,MAX(VLOOKUP(($AJ38-$AI38-$AH38-$AG38-$AF38-$AE38*(1+IN$3))/$AJ38,'Технический лист'!$M:$N,2,1),(IM38-0.05)))</f>
        <v>0.57999999999999996</v>
      </c>
      <c r="IO38" s="15">
        <f>MIN(1,MAX(VLOOKUP(($AJ38-$AI38-$AH38-$AG38-$AF38-$AE38*(1+IO$3))/$AJ38,'Технический лист'!$M:$N,2,1),(IN38-0.05)))</f>
        <v>0.57999999999999996</v>
      </c>
      <c r="IP38" s="15">
        <f>MIN(1,MAX(VLOOKUP(($AJ38-$AI38-$AH38-$AG38-$AF38-$AE38*(1+IP$3))/$AJ38,'Технический лист'!$M:$N,2,1),(IO38-0.05)))</f>
        <v>0.55000000000000004</v>
      </c>
      <c r="IQ38" s="15">
        <f>MIN(1,MAX(VLOOKUP(($AJ38-$AI38-$AH38-$AG38-$AF38-$AE38*(1+IQ$3))/$AJ38,'Технический лист'!$M:$N,2,1),(IP38-0.05)))</f>
        <v>0.55000000000000004</v>
      </c>
      <c r="IR38" s="15">
        <f>MIN(1,MAX(VLOOKUP(($AJ38-$AI38-$AH38-$AG38-$AF38-$AE38*(1+IR$3))/$AJ38,'Технический лист'!$M:$N,2,1),(IQ38-0.05)))</f>
        <v>0.55000000000000004</v>
      </c>
    </row>
    <row r="39" spans="1:252" ht="29.15">
      <c r="A39" s="89" t="s">
        <v>514</v>
      </c>
      <c r="B39" s="90">
        <v>4</v>
      </c>
      <c r="C39" s="5" t="s">
        <v>67</v>
      </c>
      <c r="D39" s="91">
        <v>14109</v>
      </c>
      <c r="E39" s="91" t="s">
        <v>335</v>
      </c>
      <c r="F39" s="92" t="s">
        <v>74</v>
      </c>
      <c r="G39" s="91" t="s">
        <v>20</v>
      </c>
      <c r="H39" s="91" t="s">
        <v>22</v>
      </c>
      <c r="I39" s="91" t="s">
        <v>140</v>
      </c>
      <c r="J39" s="91" t="s">
        <v>29</v>
      </c>
      <c r="K39" s="91">
        <v>1506</v>
      </c>
      <c r="L39" s="85" t="s">
        <v>64</v>
      </c>
      <c r="M39" s="91" t="s">
        <v>190</v>
      </c>
      <c r="N39" s="91" t="s">
        <v>191</v>
      </c>
      <c r="O39" s="91" t="s">
        <v>193</v>
      </c>
      <c r="P39" s="89" t="s">
        <v>230</v>
      </c>
      <c r="Q39" s="91" t="s">
        <v>278</v>
      </c>
      <c r="R39" s="91" t="s">
        <v>63</v>
      </c>
      <c r="S39" s="82">
        <v>709894</v>
      </c>
      <c r="T39" s="82">
        <v>1069339403</v>
      </c>
      <c r="U39" s="81">
        <v>9904</v>
      </c>
      <c r="V39" s="81">
        <v>0</v>
      </c>
      <c r="W39" s="82">
        <v>603175640</v>
      </c>
      <c r="X39" s="112">
        <v>72</v>
      </c>
      <c r="Y39" s="112" t="s">
        <v>418</v>
      </c>
      <c r="Z39" s="113">
        <v>5</v>
      </c>
      <c r="AA39" s="113">
        <v>5</v>
      </c>
      <c r="AB39" s="113">
        <v>4</v>
      </c>
      <c r="AC39" s="99">
        <v>926.58</v>
      </c>
      <c r="AD39" s="99">
        <f t="shared" si="15"/>
        <v>514.81000000000006</v>
      </c>
      <c r="AE39" s="99">
        <v>1441.39</v>
      </c>
      <c r="AF39" s="98">
        <f>(Z39+AA39+AB39)*'Ставки аренды'!$B$2/X39</f>
        <v>194.44444444444446</v>
      </c>
      <c r="AG39" s="114">
        <v>0</v>
      </c>
      <c r="AH39" s="94">
        <v>0</v>
      </c>
      <c r="AI39" s="115">
        <f>0.5*AVERAGE(AJ37,AJ38)</f>
        <v>2876.1099999999997</v>
      </c>
      <c r="AJ39" s="117">
        <f>Цены!$D$14</f>
        <v>5400</v>
      </c>
      <c r="AK39" s="94">
        <f>AJ39/Цены!$B$1</f>
        <v>70.76816219014357</v>
      </c>
      <c r="AL39" s="95">
        <f t="shared" si="5"/>
        <v>1635.8344444444447</v>
      </c>
      <c r="AM39" s="95">
        <f t="shared" si="6"/>
        <v>3764.1655555555553</v>
      </c>
      <c r="AN39" s="94">
        <f t="shared" si="16"/>
        <v>4511.9444444444443</v>
      </c>
      <c r="AO39" s="118">
        <f t="shared" si="17"/>
        <v>0.16445473251028808</v>
      </c>
      <c r="AP39" s="96">
        <f t="shared" si="7"/>
        <v>0.30293230452674902</v>
      </c>
      <c r="AQ39" s="96">
        <f t="shared" si="8"/>
        <v>0.26692407407407409</v>
      </c>
      <c r="AR39" s="96">
        <f t="shared" si="9"/>
        <v>0.88113439895778634</v>
      </c>
      <c r="AS39" s="122">
        <v>1</v>
      </c>
      <c r="AT39" s="121">
        <f t="shared" si="10"/>
        <v>709894</v>
      </c>
      <c r="AU39" s="7">
        <v>0.98</v>
      </c>
      <c r="AV39" s="119">
        <f t="shared" si="11"/>
        <v>0.13242384362139917</v>
      </c>
      <c r="AW39" s="120">
        <f t="shared" si="12"/>
        <v>0.33496319341563791</v>
      </c>
      <c r="AX39" s="120">
        <f t="shared" si="13"/>
        <v>0.29895496296296303</v>
      </c>
      <c r="AY39" s="120">
        <f t="shared" si="14"/>
        <v>0.89250093395188579</v>
      </c>
      <c r="AZ39" s="15">
        <f>MIN(IF($AU39=100%,1,1+VLOOKUP(($AJ39-$AI39-$AH39-$AG39-$AF39-$AE39*(1+AZ$3))/$AJ39,'Технический лист'!$M:$N,2,1)-VLOOKUP($AO39,'Технический лист'!$M:$N,2,1)),1+(1-$AU39))</f>
        <v>1.02</v>
      </c>
      <c r="BA39" s="15">
        <f>MIN(IF($AU39=100%,1,1+VLOOKUP(($AJ39-$AI39-$AH39-$AG39-$AF39-$AE39*(1+BA$3))/$AJ39,'Технический лист'!$M:$N,2,1)-VLOOKUP($AO39,'Технический лист'!$M:$N,2,1)),1+(1-$AU39))</f>
        <v>1.02</v>
      </c>
      <c r="BB39" s="15">
        <f>MIN(IF($AU39=100%,1,1+VLOOKUP(($AJ39-$AI39-$AH39-$AG39-$AF39-$AE39*(1+BB$3))/$AJ39,'Технический лист'!$M:$N,2,1)-VLOOKUP($AO39,'Технический лист'!$M:$N,2,1)),1+(1-$AU39))</f>
        <v>1.02</v>
      </c>
      <c r="BC39" s="15">
        <f>MIN(IF($AU39=100%,1,1+VLOOKUP(($AJ39-$AI39-$AH39-$AG39-$AF39-$AE39*(1+BC$3))/$AJ39,'Технический лист'!$M:$N,2,1)-VLOOKUP($AO39,'Технический лист'!$M:$N,2,1)),1+(1-$AU39))</f>
        <v>1.02</v>
      </c>
      <c r="BD39" s="15">
        <f>MIN(IF($AU39=100%,1,1+VLOOKUP(($AJ39-$AI39-$AH39-$AG39-$AF39-$AE39*(1+BD$3))/$AJ39,'Технический лист'!$M:$N,2,1)-VLOOKUP($AO39,'Технический лист'!$M:$N,2,1)),1+(1-$AU39))</f>
        <v>1.02</v>
      </c>
      <c r="BE39" s="15">
        <f>MIN(IF($AU39=100%,1,1+VLOOKUP(($AJ39-$AI39-$AH39-$AG39-$AF39-$AE39*(1+BE$3))/$AJ39,'Технический лист'!$M:$N,2,1)-VLOOKUP($AO39,'Технический лист'!$M:$N,2,1)),1+(1-$AU39))</f>
        <v>1.02</v>
      </c>
      <c r="BF39" s="15">
        <f>MIN(IF($AU39=100%,1,1+VLOOKUP(($AJ39-$AI39-$AH39-$AG39-$AF39-$AE39*(1+BF$3))/$AJ39,'Технический лист'!$M:$N,2,1)-VLOOKUP($AO39,'Технический лист'!$M:$N,2,1)),1+(1-$AU39))</f>
        <v>1.02</v>
      </c>
      <c r="BG39" s="15">
        <f>MIN(IF($AU39=100%,1,1+VLOOKUP(($AJ39-$AI39-$AH39-$AG39-$AF39-$AE39*(1+BG$3))/$AJ39,'Технический лист'!$M:$N,2,1)-VLOOKUP($AO39,'Технический лист'!$M:$N,2,1)),1+(1-$AU39))</f>
        <v>1.02</v>
      </c>
      <c r="BH39" s="15">
        <f>MIN(IF($AU39=100%,1,1+VLOOKUP(($AJ39-$AI39-$AH39-$AG39-$AF39-$AE39*(1+BH$3))/$AJ39,'Технический лист'!$M:$N,2,1)-VLOOKUP($AO39,'Технический лист'!$M:$N,2,1)),1+(1-$AU39))</f>
        <v>1.02</v>
      </c>
      <c r="BI39" s="15">
        <f>MIN(IF($AU39=100%,1,1+VLOOKUP(($AJ39-$AI39-$AH39-$AG39-$AF39-$AE39*(1+BI$3))/$AJ39,'Технический лист'!$M:$N,2,1)-VLOOKUP($AO39,'Технический лист'!$M:$N,2,1)),1+(1-$AU39))</f>
        <v>1.02</v>
      </c>
      <c r="BJ39" s="15">
        <f>MIN(IF($AU39=100%,1,1+VLOOKUP(($AJ39-$AI39-$AH39-$AG39-$AF39-$AE39*(1+BJ$3))/$AJ39,'Технический лист'!$M:$N,2,1)-VLOOKUP($AO39,'Технический лист'!$M:$N,2,1)),1+(1-$AU39))</f>
        <v>1.02</v>
      </c>
      <c r="BK39" s="15">
        <f>MIN(IF($AU39=100%,1,1+VLOOKUP(($AJ39-$AI39-$AH39-$AG39-$AF39-$AE39*(1+BK$3))/$AJ39,'Технический лист'!$M:$N,2,1)-VLOOKUP($AO39,'Технический лист'!$M:$N,2,1)),1+(1-$AU39))</f>
        <v>1.02</v>
      </c>
      <c r="BL39" s="15">
        <f>MIN(IF($AU39=100%,1,1+VLOOKUP(($AJ39-$AI39-$AH39-$AG39-$AF39-$AE39*(1+BL$3))/$AJ39,'Технический лист'!$M:$N,2,1)-VLOOKUP($AO39,'Технический лист'!$M:$N,2,1)),1+(1-$AU39))</f>
        <v>1.02</v>
      </c>
      <c r="BM39" s="15">
        <f>MIN(IF($AU39=100%,1,1+VLOOKUP(($AJ39-$AI39-$AH39-$AG39-$AF39-$AE39*(1+BM$3))/$AJ39,'Технический лист'!$M:$N,2,1)-VLOOKUP($AO39,'Технический лист'!$M:$N,2,1)),1+(1-$AU39))</f>
        <v>1.02</v>
      </c>
      <c r="BN39" s="15">
        <f>MIN(IF($AU39=100%,1,1+VLOOKUP(($AJ39-$AI39-$AH39-$AG39-$AF39-$AE39*(1+BN$3))/$AJ39,'Технический лист'!$M:$N,2,1)-VLOOKUP($AO39,'Технический лист'!$M:$N,2,1)),1+(1-$AU39))</f>
        <v>1.02</v>
      </c>
      <c r="BO39" s="15">
        <f>MIN(IF($AU39=100%,1,1+VLOOKUP(($AJ39-$AI39-$AH39-$AG39-$AF39-$AE39*(1+BO$3))/$AJ39,'Технический лист'!$M:$N,2,1)-VLOOKUP($AO39,'Технический лист'!$M:$N,2,1)),1+(1-$AU39))</f>
        <v>1.02</v>
      </c>
      <c r="BP39" s="15">
        <f>MIN(IF($AU39=100%,1,1+VLOOKUP(($AJ39-$AI39-$AH39-$AG39-$AF39-$AE39*(1+BP$3))/$AJ39,'Технический лист'!$M:$N,2,1)-VLOOKUP($AO39,'Технический лист'!$M:$N,2,1)),1+(1-$AU39))</f>
        <v>1.02</v>
      </c>
      <c r="BQ39" s="15">
        <f>MIN(IF($AU39=100%,1,1+VLOOKUP(($AJ39-$AI39-$AH39-$AG39-$AF39-$AE39*(1+BQ$3))/$AJ39,'Технический лист'!$M:$N,2,1)-VLOOKUP($AO39,'Технический лист'!$M:$N,2,1)),1+(1-$AU39))</f>
        <v>1.02</v>
      </c>
      <c r="BR39" s="15">
        <f>MIN(IF($AU39=100%,1,1+VLOOKUP(($AJ39-$AI39-$AH39-$AG39-$AF39-$AE39*(1+BR$3))/$AJ39,'Технический лист'!$M:$N,2,1)-VLOOKUP($AO39,'Технический лист'!$M:$N,2,1)),1+(1-$AU39))</f>
        <v>1.02</v>
      </c>
      <c r="BS39" s="15">
        <f>MIN(IF($AU39=100%,1,1+VLOOKUP(($AJ39-$AI39-$AH39-$AG39-$AF39-$AE39*(1+BS$3))/$AJ39,'Технический лист'!$M:$N,2,1)-VLOOKUP($AO39,'Технический лист'!$M:$N,2,1)),1+(1-$AU39))</f>
        <v>1.02</v>
      </c>
      <c r="BT39" s="15">
        <f>MIN(IF($AU39=100%,1,1+VLOOKUP(($AJ39-$AI39-$AH39-$AG39-$AF39-$AE39*(1+BT$3))/$AJ39,'Технический лист'!$M:$N,2,1)-VLOOKUP($AO39,'Технический лист'!$M:$N,2,1)),1+(1-$AU39))</f>
        <v>1.02</v>
      </c>
      <c r="BU39" s="15">
        <f>MIN(IF($AU39=100%,1,1+VLOOKUP(($AJ39-$AI39-$AH39-$AG39-$AF39-$AE39*(1+BU$3))/$AJ39,'Технический лист'!$M:$N,2,1)-VLOOKUP($AO39,'Технический лист'!$M:$N,2,1)),1+(1-$AU39))</f>
        <v>1.02</v>
      </c>
      <c r="BV39" s="15">
        <f>MIN(IF($AU39=100%,1,1+VLOOKUP(($AJ39-$AI39-$AH39-$AG39-$AF39-$AE39*(1+BV$3))/$AJ39,'Технический лист'!$M:$N,2,1)-VLOOKUP($AO39,'Технический лист'!$M:$N,2,1)),1+(1-$AU39))</f>
        <v>1.02</v>
      </c>
      <c r="BW39" s="15">
        <f>MIN(IF($AU39=100%,1,1+VLOOKUP(($AJ39-$AI39-$AH39-$AG39-$AF39-$AE39*(1+BW$3))/$AJ39,'Технический лист'!$M:$N,2,1)-VLOOKUP($AO39,'Технический лист'!$M:$N,2,1)),1+(1-$AU39))</f>
        <v>1.02</v>
      </c>
      <c r="BX39" s="15">
        <f>MIN(IF($AU39=100%,1,1+VLOOKUP(($AJ39-$AI39-$AH39-$AG39-$AF39-$AE39*(1+BX$3))/$AJ39,'Технический лист'!$M:$N,2,1)-VLOOKUP($AO39,'Технический лист'!$M:$N,2,1)),1+(1-$AU39))</f>
        <v>1.02</v>
      </c>
      <c r="BY39" s="15">
        <f>MIN(IF($AU39=100%,1,1+VLOOKUP(($AJ39-$AI39-$AH39-$AG39-$AF39-$AE39*(1+BY$3))/$AJ39,'Технический лист'!$M:$N,2,1)-VLOOKUP($AO39,'Технический лист'!$M:$N,2,1)),1+(1-$AU39))</f>
        <v>1.02</v>
      </c>
      <c r="BZ39" s="15">
        <f>MIN(IF($AU39=100%,1,1+VLOOKUP(($AJ39-$AI39-$AH39-$AG39-$AF39-$AE39*(1+BZ$3))/$AJ39,'Технический лист'!$M:$N,2,1)-VLOOKUP($AO39,'Технический лист'!$M:$N,2,1)),1+(1-$AU39))</f>
        <v>1.02</v>
      </c>
      <c r="CA39" s="15">
        <f>MIN(IF($AU39=100%,1,1+VLOOKUP(($AJ39-$AI39-$AH39-$AG39-$AF39-$AE39*(1+CA$3))/$AJ39,'Технический лист'!$M:$N,2,1)-VLOOKUP($AO39,'Технический лист'!$M:$N,2,1)),1+(1-$AU39))</f>
        <v>1.02</v>
      </c>
      <c r="CB39" s="15">
        <f>MIN(IF($AU39=100%,1,1+VLOOKUP(($AJ39-$AI39-$AH39-$AG39-$AF39-$AE39*(1+CB$3))/$AJ39,'Технический лист'!$M:$N,2,1)-VLOOKUP($AO39,'Технический лист'!$M:$N,2,1)),1+(1-$AU39))</f>
        <v>1.02</v>
      </c>
      <c r="CC39" s="15">
        <f>MIN(IF($AU39=100%,1,1+VLOOKUP(($AJ39-$AI39-$AH39-$AG39-$AF39-$AE39*(1+CC$3))/$AJ39,'Технический лист'!$M:$N,2,1)-VLOOKUP($AO39,'Технический лист'!$M:$N,2,1)),1+(1-$AU39))</f>
        <v>1.02</v>
      </c>
      <c r="CD39" s="15">
        <f>MIN(IF($AU39=100%,1,1+VLOOKUP(($AJ39-$AI39-$AH39-$AG39-$AF39-$AE39*(1+CD$3))/$AJ39,'Технический лист'!$M:$N,2,1)-VLOOKUP($AO39,'Технический лист'!$M:$N,2,1)),1+(1-$AU39))</f>
        <v>1.02</v>
      </c>
      <c r="CE39" s="15">
        <f>MIN(IF($AU39=100%,1,1+VLOOKUP(($AJ39-$AI39-$AH39-$AG39-$AF39-$AE39*(1+CE$3))/$AJ39,'Технический лист'!$M:$N,2,1)-VLOOKUP($AO39,'Технический лист'!$M:$N,2,1)),1+(1-$AU39))</f>
        <v>1.02</v>
      </c>
      <c r="CF39" s="15">
        <f>MIN(IF($AU39=100%,1,1+VLOOKUP(($AJ39-$AI39-$AH39-$AG39-$AF39-$AE39*(1+CF$3))/$AJ39,'Технический лист'!$M:$N,2,1)-VLOOKUP($AO39,'Технический лист'!$M:$N,2,1)),1+(1-$AU39))</f>
        <v>1.02</v>
      </c>
      <c r="CG39" s="15">
        <f>MIN(IF($AU39=100%,1,1+VLOOKUP(($AJ39-$AI39-$AH39-$AG39-$AF39-$AE39*(1+CG$3))/$AJ39,'Технический лист'!$M:$N,2,1)-VLOOKUP($AO39,'Технический лист'!$M:$N,2,1)),1+(1-$AU39))</f>
        <v>1.02</v>
      </c>
      <c r="CH39" s="15">
        <f>MIN(IF($AU39=100%,1,1+VLOOKUP(($AJ39-$AI39-$AH39-$AG39-$AF39-$AE39*(1+CH$3))/$AJ39,'Технический лист'!$M:$N,2,1)-VLOOKUP($AO39,'Технический лист'!$M:$N,2,1)),1+(1-$AU39))</f>
        <v>1.02</v>
      </c>
      <c r="CI39" s="15">
        <f>MIN(IF($AU39=100%,1,1+VLOOKUP(($AJ39-$AI39-$AH39-$AG39-$AF39-$AE39*(1+CI$3))/$AJ39,'Технический лист'!$M:$N,2,1)-VLOOKUP($AO39,'Технический лист'!$M:$N,2,1)),1+(1-$AU39))</f>
        <v>1.02</v>
      </c>
      <c r="CJ39" s="15">
        <f>MIN(IF($AU39=100%,1,1+VLOOKUP(($AJ39-$AI39-$AH39-$AG39-$AF39-$AE39*(1+CJ$3))/$AJ39,'Технический лист'!$M:$N,2,1)-VLOOKUP($AO39,'Технический лист'!$M:$N,2,1)),1+(1-$AU39))</f>
        <v>1.02</v>
      </c>
      <c r="CK39" s="15">
        <f>MIN(IF($AU39=100%,1,1+VLOOKUP(($AJ39-$AI39-$AH39-$AG39-$AF39-$AE39*(1+CK$3))/$AJ39,'Технический лист'!$M:$N,2,1)-VLOOKUP($AO39,'Технический лист'!$M:$N,2,1)),1+(1-$AU39))</f>
        <v>1.02</v>
      </c>
      <c r="CL39" s="15">
        <f>MIN(IF($AU39=100%,1,1+VLOOKUP(($AJ39-$AI39-$AH39-$AG39-$AF39-$AE39*(1+CL$3))/$AJ39,'Технический лист'!$M:$N,2,1)-VLOOKUP($AO39,'Технический лист'!$M:$N,2,1)),1+(1-$AU39))</f>
        <v>1.02</v>
      </c>
      <c r="CM39" s="15">
        <f>MIN(IF($AU39=100%,1,1+VLOOKUP(($AJ39-$AI39-$AH39-$AG39-$AF39-$AE39*(1+CM$3))/$AJ39,'Технический лист'!$M:$N,2,1)-VLOOKUP($AO39,'Технический лист'!$M:$N,2,1)),1+(1-$AU39))</f>
        <v>1.02</v>
      </c>
      <c r="CN39" s="15">
        <f>MIN(IF($AU39=100%,1,1+VLOOKUP(($AJ39-$AI39-$AH39-$AG39-$AF39-$AE39*(1+CN$3))/$AJ39,'Технический лист'!$M:$N,2,1)-VLOOKUP($AO39,'Технический лист'!$M:$N,2,1)),1+(1-$AU39))</f>
        <v>1.02</v>
      </c>
      <c r="CO39" s="15">
        <f>MIN(IF($AU39=100%,1,1+VLOOKUP(($AJ39-$AI39-$AH39-$AG39-$AF39-$AE39*(1+CO$3))/$AJ39,'Технический лист'!$M:$N,2,1)-VLOOKUP($AO39,'Технический лист'!$M:$N,2,1)),1+(1-$AU39))</f>
        <v>1.02</v>
      </c>
      <c r="CP39" s="15">
        <f>MIN(IF($AU39=100%,1,1+VLOOKUP(($AJ39-$AI39-$AH39-$AG39-$AF39-$AE39*(1+CP$3))/$AJ39,'Технический лист'!$M:$N,2,1)-VLOOKUP($AO39,'Технический лист'!$M:$N,2,1)),1+(1-$AU39))</f>
        <v>1.02</v>
      </c>
      <c r="CQ39" s="15">
        <f>MIN(IF($AU39=100%,1,1+VLOOKUP(($AJ39-$AI39-$AH39-$AG39-$AF39-$AE39*(1+CQ$3))/$AJ39,'Технический лист'!$M:$N,2,1)-VLOOKUP($AO39,'Технический лист'!$M:$N,2,1)),1+(1-$AU39))</f>
        <v>1.02</v>
      </c>
      <c r="CR39" s="15">
        <f>MIN(IF($AU39=100%,1,1+VLOOKUP(($AJ39-$AI39-$AH39-$AG39-$AF39-$AE39*(1+CR$3))/$AJ39,'Технический лист'!$M:$N,2,1)-VLOOKUP($AO39,'Технический лист'!$M:$N,2,1)),1+(1-$AU39))</f>
        <v>1.02</v>
      </c>
      <c r="CS39" s="15">
        <f>MIN(IF($AU39=100%,1,1+VLOOKUP(($AJ39-$AI39-$AH39-$AG39-$AF39-$AE39*(1+CS$3))/$AJ39,'Технический лист'!$M:$N,2,1)-VLOOKUP($AO39,'Технический лист'!$M:$N,2,1)),1+(1-$AU39))</f>
        <v>1.02</v>
      </c>
      <c r="CT39" s="15">
        <f>MIN(IF($AU39=100%,1,1+VLOOKUP(($AJ39-$AI39-$AH39-$AG39-$AF39-$AE39*(1+CT$3))/$AJ39,'Технический лист'!$M:$N,2,1)-VLOOKUP($AO39,'Технический лист'!$M:$N,2,1)),1+(1-$AU39))</f>
        <v>1.02</v>
      </c>
      <c r="CU39" s="15">
        <f>MIN(IF($AU39=100%,1,1+VLOOKUP(($AJ39-$AI39-$AH39-$AG39-$AF39-$AE39*(1+CU$3))/$AJ39,'Технический лист'!$M:$N,2,1)-VLOOKUP($AO39,'Технический лист'!$M:$N,2,1)),1+(1-$AU39))</f>
        <v>1.02</v>
      </c>
      <c r="CV39" s="15">
        <f>MIN(IF($AU39=100%,1,1+VLOOKUP(($AJ39-$AI39-$AH39-$AG39-$AF39-$AE39*(1+CV$3))/$AJ39,'Технический лист'!$M:$N,2,1)-VLOOKUP($AO39,'Технический лист'!$M:$N,2,1)),1+(1-$AU39))</f>
        <v>1.02</v>
      </c>
      <c r="CW39" s="15">
        <f>MIN(IF($AU39=100%,1,1+VLOOKUP(($AJ39-$AI39-$AH39-$AG39-$AF39-$AE39*(1+CW$3))/$AJ39,'Технический лист'!$M:$N,2,1)-VLOOKUP($AO39,'Технический лист'!$M:$N,2,1)),1+(1-$AU39))</f>
        <v>1.02</v>
      </c>
      <c r="CX39" s="15">
        <f>MIN(IF($AU39=100%,1,1+VLOOKUP(($AJ39-$AI39-$AH39-$AG39-$AF39-$AE39*(1+CX$3))/$AJ39,'Технический лист'!$M:$N,2,1)-VLOOKUP($AO39,'Технический лист'!$M:$N,2,1)),1+(1-$AU39))</f>
        <v>1.02</v>
      </c>
      <c r="CY39" s="15">
        <f>MIN(IF($AU39=100%,1,1+VLOOKUP(($AJ39-$AI39-$AH39-$AG39-$AF39-$AE39*(1+CY$3))/$AJ39,'Технический лист'!$M:$N,2,1)-VLOOKUP($AO39,'Технический лист'!$M:$N,2,1)),1+(1-$AU39))</f>
        <v>1.02</v>
      </c>
      <c r="CZ39" s="15">
        <f>MIN(IF($AU39=100%,1,1+VLOOKUP(($AJ39-$AI39-$AH39-$AG39-$AF39-$AE39*(1+CZ$3))/$AJ39,'Технический лист'!$M:$N,2,1)-VLOOKUP($AO39,'Технический лист'!$M:$N,2,1)),1+(1-$AU39))</f>
        <v>1.02</v>
      </c>
      <c r="DA39" s="15">
        <f>MIN(IF($AU39=100%,1,1+VLOOKUP(($AJ39-$AI39-$AH39-$AG39-$AF39-$AE39*(1+DA$3))/$AJ39,'Технический лист'!$M:$N,2,1)-VLOOKUP($AO39,'Технический лист'!$M:$N,2,1)),1+(1-$AU39))</f>
        <v>1.02</v>
      </c>
      <c r="DB39" s="15">
        <f>MIN(IF($AU39=100%,1,1+VLOOKUP(($AJ39-$AI39-$AH39-$AG39-$AF39-$AE39*(1+DB$3))/$AJ39,'Технический лист'!$M:$N,2,1)-VLOOKUP($AO39,'Технический лист'!$M:$N,2,1)),1+(1-$AU39))</f>
        <v>1.02</v>
      </c>
      <c r="DC39" s="15">
        <f>MIN(IF($AU39=100%,1,1+VLOOKUP(($AJ39-$AI39-$AH39-$AG39-$AF39-$AE39*(1+DC$3))/$AJ39,'Технический лист'!$M:$N,2,1)-VLOOKUP($AO39,'Технический лист'!$M:$N,2,1)),1+(1-$AU39))</f>
        <v>1.02</v>
      </c>
      <c r="DD39" s="15">
        <f>MIN(IF($AU39=100%,1,1+VLOOKUP(($AJ39-$AI39-$AH39-$AG39-$AF39-$AE39*(1+DD$3))/$AJ39,'Технический лист'!$M:$N,2,1)-VLOOKUP($AO39,'Технический лист'!$M:$N,2,1)),1+(1-$AU39))</f>
        <v>1.02</v>
      </c>
      <c r="DE39" s="15">
        <f>MIN(IF($AU39=100%,1,1+VLOOKUP(($AJ39-$AI39-$AH39-$AG39-$AF39-$AE39*(1+DE$3))/$AJ39,'Технический лист'!$M:$N,2,1)-VLOOKUP($AO39,'Технический лист'!$M:$N,2,1)),1+(1-$AU39))</f>
        <v>1.02</v>
      </c>
      <c r="DF39" s="15">
        <f>MIN(IF($AU39=100%,1,1+VLOOKUP(($AJ39-$AI39-$AH39-$AG39-$AF39-$AE39*(1+DF$3))/$AJ39,'Технический лист'!$M:$N,2,1)-VLOOKUP($AO39,'Технический лист'!$M:$N,2,1)),1+(1-$AU39))</f>
        <v>1.02</v>
      </c>
      <c r="DG39" s="15">
        <f>MIN(IF($AU39=100%,1,1+VLOOKUP(($AJ39-$AI39-$AH39-$AG39-$AF39-$AE39*(1+DG$3))/$AJ39,'Технический лист'!$M:$N,2,1)-VLOOKUP($AO39,'Технический лист'!$M:$N,2,1)),1+(1-$AU39))</f>
        <v>1.02</v>
      </c>
      <c r="DH39" s="15">
        <f>MIN(IF($AU39=100%,1,1+VLOOKUP(($AJ39-$AI39-$AH39-$AG39-$AF39-$AE39*(1+DH$3))/$AJ39,'Технический лист'!$M:$N,2,1)-VLOOKUP($AO39,'Технический лист'!$M:$N,2,1)),1+(1-$AU39))</f>
        <v>1.02</v>
      </c>
      <c r="DI39" s="15">
        <f>MIN(IF($AU39=100%,1,1+VLOOKUP(($AJ39-$AI39-$AH39-$AG39-$AF39-$AE39*(1+DI$3))/$AJ39,'Технический лист'!$M:$N,2,1)-VLOOKUP($AO39,'Технический лист'!$M:$N,2,1)),1+(1-$AU39))</f>
        <v>1.02</v>
      </c>
      <c r="DJ39" s="15">
        <f>MIN(IF($AU39=100%,1,1+VLOOKUP(($AJ39-$AI39-$AH39-$AG39-$AF39-$AE39*(1+DJ$3))/$AJ39,'Технический лист'!$M:$N,2,1)-VLOOKUP($AO39,'Технический лист'!$M:$N,2,1)),1+(1-$AU39))</f>
        <v>1.02</v>
      </c>
      <c r="DK39" s="15">
        <f>MIN(IF($AU39=100%,1,1+VLOOKUP(($AJ39-$AI39-$AH39-$AG39-$AF39-$AE39*(1+DK$3))/$AJ39,'Технический лист'!$M:$N,2,1)-VLOOKUP($AO39,'Технический лист'!$M:$N,2,1)),1+(1-$AU39))</f>
        <v>1.02</v>
      </c>
      <c r="DL39" s="15">
        <f>MIN(IF($AU39=100%,1,1+VLOOKUP(($AJ39-$AI39-$AH39-$AG39-$AF39-$AE39*(1+DL$3))/$AJ39,'Технический лист'!$M:$N,2,1)-VLOOKUP($AO39,'Технический лист'!$M:$N,2,1)),1+(1-$AU39))</f>
        <v>1.02</v>
      </c>
      <c r="DM39" s="15">
        <f>MIN(IF($AU39=100%,1,1+VLOOKUP(($AJ39-$AI39-$AH39-$AG39-$AF39-$AE39*(1+DM$3))/$AJ39,'Технический лист'!$M:$N,2,1)-VLOOKUP($AO39,'Технический лист'!$M:$N,2,1)),1+(1-$AU39))</f>
        <v>1.02</v>
      </c>
      <c r="DN39" s="15">
        <f>MIN(IF($AU39=100%,1,1+VLOOKUP(($AJ39-$AI39-$AH39-$AG39-$AF39-$AE39*(1+DN$3))/$AJ39,'Технический лист'!$M:$N,2,1)-VLOOKUP($AO39,'Технический лист'!$M:$N,2,1)),1+(1-$AU39))</f>
        <v>1.02</v>
      </c>
      <c r="DO39" s="15">
        <f>MIN(IF($AU39=100%,1,1+VLOOKUP(($AJ39-$AI39-$AH39-$AG39-$AF39-$AE39*(1+DO$3))/$AJ39,'Технический лист'!$M:$N,2,1)-VLOOKUP($AO39,'Технический лист'!$M:$N,2,1)),1+(1-$AU39))</f>
        <v>1.02</v>
      </c>
      <c r="DP39" s="15">
        <f>MIN(IF($AU39=100%,1,1+VLOOKUP(($AJ39-$AI39-$AH39-$AG39-$AF39-$AE39*(1+DP$3))/$AJ39,'Технический лист'!$M:$N,2,1)-VLOOKUP($AO39,'Технический лист'!$M:$N,2,1)),1+(1-$AU39))</f>
        <v>1.02</v>
      </c>
      <c r="DQ39" s="15">
        <f>MIN(IF($AU39=100%,1,1+VLOOKUP(($AJ39-$AI39-$AH39-$AG39-$AF39-$AE39*(1+DQ$3))/$AJ39,'Технический лист'!$M:$N,2,1)-VLOOKUP($AO39,'Технический лист'!$M:$N,2,1)),1+(1-$AU39))</f>
        <v>1.02</v>
      </c>
      <c r="DR39" s="15">
        <f>MIN(IF($AU39=100%,1,1+VLOOKUP(($AJ39-$AI39-$AH39-$AG39-$AF39-$AE39*(1+DR$3))/$AJ39,'Технический лист'!$M:$N,2,1)-VLOOKUP($AO39,'Технический лист'!$M:$N,2,1)),1+(1-$AU39))</f>
        <v>1.02</v>
      </c>
      <c r="DS39" s="15">
        <f>MIN(IF($AU39=100%,1,1+VLOOKUP(($AJ39-$AI39-$AH39-$AG39-$AF39-$AE39*(1+DS$3))/$AJ39,'Технический лист'!$M:$N,2,1)-VLOOKUP($AO39,'Технический лист'!$M:$N,2,1)),1+(1-$AU39))</f>
        <v>1.02</v>
      </c>
      <c r="DT39" s="15">
        <f>MIN(IF($AU39=100%,1,1+VLOOKUP(($AJ39-$AI39-$AH39-$AG39-$AF39-$AE39*(1+DT$3))/$AJ39,'Технический лист'!$M:$N,2,1)-VLOOKUP($AO39,'Технический лист'!$M:$N,2,1)),1+(1-$AU39))</f>
        <v>1.02</v>
      </c>
      <c r="DU39" s="15">
        <f>MIN(IF($AU39=100%,1,1+VLOOKUP(($AJ39-$AI39-$AH39-$AG39-$AF39-$AE39*(1+DU$3))/$AJ39,'Технический лист'!$M:$N,2,1)-VLOOKUP($AO39,'Технический лист'!$M:$N,2,1)),1+(1-$AU39))</f>
        <v>1.02</v>
      </c>
      <c r="DV39" s="15">
        <f>MIN(IF($AU39=100%,1,1+VLOOKUP(($AJ39-$AI39-$AH39-$AG39-$AF39-$AE39*(1+DV$3))/$AJ39,'Технический лист'!$M:$N,2,1)-VLOOKUP($AO39,'Технический лист'!$M:$N,2,1)),1+(1-$AU39))</f>
        <v>1.02</v>
      </c>
      <c r="DW39" s="15">
        <f>MIN(IF($AU39=100%,1,1+VLOOKUP(($AJ39-$AI39-$AH39-$AG39-$AF39-$AE39*(1+DW$3))/$AJ39,'Технический лист'!$M:$N,2,1)-VLOOKUP($AO39,'Технический лист'!$M:$N,2,1)),1+(1-$AU39))</f>
        <v>1.02</v>
      </c>
      <c r="DX39" s="15">
        <f>MIN(IF($AU39=100%,1,1+VLOOKUP(($AJ39-$AI39-$AH39-$AG39-$AF39-$AE39*(1+DX$3))/$AJ39,'Технический лист'!$M:$N,2,1)-VLOOKUP($AO39,'Технический лист'!$M:$N,2,1)),1+(1-$AU39))</f>
        <v>1.02</v>
      </c>
      <c r="DY39" s="15">
        <f>MIN(IF($AU39=100%,1,1+VLOOKUP(($AJ39-$AI39-$AH39-$AG39-$AF39-$AE39*(1+DY$3))/$AJ39,'Технический лист'!$M:$N,2,1)-VLOOKUP($AO39,'Технический лист'!$M:$N,2,1)),1+(1-$AU39))</f>
        <v>1.02</v>
      </c>
      <c r="DZ39" s="15">
        <f>MIN(IF($AU39=100%,1,1+VLOOKUP(($AJ39-$AI39-$AH39-$AG39-$AF39-$AE39*(1+DZ$3))/$AJ39,'Технический лист'!$M:$N,2,1)-VLOOKUP($AO39,'Технический лист'!$M:$N,2,1)),1+(1-$AU39))</f>
        <v>1.02</v>
      </c>
      <c r="EA39" s="15">
        <f>MIN(IF($AU39=100%,1,1+VLOOKUP(($AJ39-$AI39-$AH39-$AG39-$AF39-$AE39*(1+EA$3))/$AJ39,'Технический лист'!$M:$N,2,1)-VLOOKUP($AO39,'Технический лист'!$M:$N,2,1)),1+(1-$AU39))</f>
        <v>1.02</v>
      </c>
      <c r="EB39" s="15">
        <f>MIN(IF($AU39=100%,1,1+VLOOKUP(($AJ39-$AI39-$AH39-$AG39-$AF39-$AE39*(1+EB$3))/$AJ39,'Технический лист'!$M:$N,2,1)-VLOOKUP($AO39,'Технический лист'!$M:$N,2,1)),1+(1-$AU39))</f>
        <v>1.02</v>
      </c>
      <c r="EC39" s="15">
        <f>MIN(IF($AU39=100%,1,1+VLOOKUP(($AJ39-$AI39-$AH39-$AG39-$AF39-$AE39*(1+EC$3))/$AJ39,'Технический лист'!$M:$N,2,1)-VLOOKUP($AO39,'Технический лист'!$M:$N,2,1)),1+(1-$AU39))</f>
        <v>1.02</v>
      </c>
      <c r="ED39" s="15">
        <f>MIN(IF($AU39=100%,1,1+VLOOKUP(($AJ39-$AI39-$AH39-$AG39-$AF39-$AE39*(1+ED$3))/$AJ39,'Технический лист'!$M:$N,2,1)-VLOOKUP($AO39,'Технический лист'!$M:$N,2,1)),1+(1-$AU39))</f>
        <v>1.02</v>
      </c>
      <c r="EE39" s="15">
        <f>MIN(IF($AU39=100%,1,1+VLOOKUP(($AJ39-$AI39-$AH39-$AG39-$AF39-$AE39*(1+EE$3))/$AJ39,'Технический лист'!$M:$N,2,1)-VLOOKUP($AO39,'Технический лист'!$M:$N,2,1)),1+(1-$AU39))</f>
        <v>1.02</v>
      </c>
      <c r="EF39" s="15">
        <f>MIN(IF($AU39=100%,1,1+VLOOKUP(($AJ39-$AI39-$AH39-$AG39-$AF39-$AE39*(1+EF$3))/$AJ39,'Технический лист'!$M:$N,2,1)-VLOOKUP($AO39,'Технический лист'!$M:$N,2,1)),1+(1-$AU39))</f>
        <v>1.02</v>
      </c>
      <c r="EG39" s="15">
        <f>MIN(IF($AU39=100%,1,1+VLOOKUP(($AJ39-$AI39-$AH39-$AG39-$AF39-$AE39*(1+EG$3))/$AJ39,'Технический лист'!$M:$N,2,1)-VLOOKUP($AO39,'Технический лист'!$M:$N,2,1)),1+(1-$AU39))</f>
        <v>1.02</v>
      </c>
      <c r="EH39" s="15">
        <f>MIN(IF($AU39=100%,1,1+VLOOKUP(($AJ39-$AI39-$AH39-$AG39-$AF39-$AE39*(1+EH$3))/$AJ39,'Технический лист'!$M:$N,2,1)-VLOOKUP($AO39,'Технический лист'!$M:$N,2,1)),1+(1-$AU39))</f>
        <v>1.02</v>
      </c>
      <c r="EI39" s="15">
        <f>MIN(IF($AU39=100%,1,1+VLOOKUP(($AJ39-$AI39-$AH39-$AG39-$AF39-$AE39*(1+EI$3))/$AJ39,'Технический лист'!$M:$N,2,1)-VLOOKUP($AO39,'Технический лист'!$M:$N,2,1)),1+(1-$AU39))</f>
        <v>1.02</v>
      </c>
      <c r="EJ39" s="15">
        <f>MIN(IF($AU39=100%,1,1+VLOOKUP(($AJ39-$AI39-$AH39-$AG39-$AF39-$AE39*(1+EJ$3))/$AJ39,'Технический лист'!$M:$N,2,1)-VLOOKUP($AO39,'Технический лист'!$M:$N,2,1)),1+(1-$AU39))</f>
        <v>1.02</v>
      </c>
      <c r="EK39" s="15">
        <f>MIN(IF($AU39=100%,1,1+VLOOKUP(($AJ39-$AI39-$AH39-$AG39-$AF39-$AE39*(1+EK$3))/$AJ39,'Технический лист'!$M:$N,2,1)-VLOOKUP($AO39,'Технический лист'!$M:$N,2,1)),1+(1-$AU39))</f>
        <v>1.02</v>
      </c>
      <c r="EL39" s="15">
        <f>MIN(IF($AU39=100%,1,1+VLOOKUP(($AJ39-$AI39-$AH39-$AG39-$AF39-$AE39*(1+EL$3))/$AJ39,'Технический лист'!$M:$N,2,1)-VLOOKUP($AO39,'Технический лист'!$M:$N,2,1)),1+(1-$AU39))</f>
        <v>1.02</v>
      </c>
      <c r="EM39" s="15">
        <f>MIN(IF($AU39=100%,1,1+VLOOKUP(($AJ39-$AI39-$AH39-$AG39-$AF39-$AE39*(1+EM$3))/$AJ39,'Технический лист'!$M:$N,2,1)-VLOOKUP($AO39,'Технический лист'!$M:$N,2,1)),1+(1-$AU39))</f>
        <v>1.02</v>
      </c>
      <c r="EN39" s="15">
        <f>MIN(IF($AU39=100%,1,1+VLOOKUP(($AJ39-$AI39-$AH39-$AG39-$AF39-$AE39*(1+EN$3))/$AJ39,'Технический лист'!$M:$N,2,1)-VLOOKUP($AO39,'Технический лист'!$M:$N,2,1)),1+(1-$AU39))</f>
        <v>1.02</v>
      </c>
      <c r="EO39" s="15">
        <f>MIN(IF($AU39=100%,1,1+VLOOKUP(($AJ39-$AI39-$AH39-$AG39-$AF39-$AE39*(1+EO$3))/$AJ39,'Технический лист'!$M:$N,2,1)-VLOOKUP($AO39,'Технический лист'!$M:$N,2,1)),1+(1-$AU39))</f>
        <v>1.02</v>
      </c>
      <c r="EP39" s="15">
        <f>MIN(IF($AU39=100%,1,1+VLOOKUP(($AJ39-$AI39-$AH39-$AG39-$AF39-$AE39*(1+EP$3))/$AJ39,'Технический лист'!$M:$N,2,1)-VLOOKUP($AO39,'Технический лист'!$M:$N,2,1)),1+(1-$AU39))</f>
        <v>1.02</v>
      </c>
      <c r="EQ39" s="15">
        <f>MIN(IF($AU39=100%,1,1+VLOOKUP(($AJ39-$AI39-$AH39-$AG39-$AF39-$AE39*(1+EQ$3))/$AJ39,'Технический лист'!$M:$N,2,1)-VLOOKUP($AO39,'Технический лист'!$M:$N,2,1)),1+(1-$AU39))</f>
        <v>1.02</v>
      </c>
      <c r="ER39" s="15">
        <f>MIN(IF($AU39=100%,1,1+VLOOKUP(($AJ39-$AI39-$AH39-$AG39-$AF39-$AE39*(1+ER$3))/$AJ39,'Технический лист'!$M:$N,2,1)-VLOOKUP($AO39,'Технический лист'!$M:$N,2,1)),1+(1-$AU39))</f>
        <v>1.02</v>
      </c>
      <c r="ES39" s="15">
        <f>MIN(IF($AU39=100%,1,1+VLOOKUP(($AJ39-$AI39-$AH39-$AG39-$AF39-$AE39*(1+ES$3))/$AJ39,'Технический лист'!$M:$N,2,1)-VLOOKUP($AO39,'Технический лист'!$M:$N,2,1)),1+(1-$AU39))</f>
        <v>1.02</v>
      </c>
      <c r="ET39" s="15">
        <f>MIN(IF($AU39=100%,1,1+VLOOKUP(($AJ39-$AI39-$AH39-$AG39-$AF39-$AE39*(1+ET$3))/$AJ39,'Технический лист'!$M:$N,2,1)-VLOOKUP($AO39,'Технический лист'!$M:$N,2,1)),1+(1-$AU39))</f>
        <v>1.02</v>
      </c>
      <c r="EU39" s="15">
        <f>MIN(IF($AU39=100%,1,1+VLOOKUP(($AJ39-$AI39-$AH39-$AG39-$AF39-$AE39*(1+EU$3))/$AJ39,'Технический лист'!$M:$N,2,1)-VLOOKUP($AO39,'Технический лист'!$M:$N,2,1)),1+(1-$AU39))</f>
        <v>1.02</v>
      </c>
      <c r="EV39" s="111">
        <v>1</v>
      </c>
      <c r="EW39" s="15">
        <f>MIN(1,MAX(VLOOKUP(($AJ39-$AI39-$AH39-$AG39-$AF39-$AE39*(1+EW$3))/$AJ39,'Технический лист'!$M:$N,2,1),(EV39-0.05)))</f>
        <v>1</v>
      </c>
      <c r="EX39" s="15">
        <f>MIN(1,MAX(VLOOKUP(($AJ39-$AI39-$AH39-$AG39-$AF39-$AE39*(1+EX$3))/$AJ39,'Технический лист'!$M:$N,2,1),(EW39-0.05)))</f>
        <v>1</v>
      </c>
      <c r="EY39" s="15">
        <f>MIN(1,MAX(VLOOKUP(($AJ39-$AI39-$AH39-$AG39-$AF39-$AE39*(1+EY$3))/$AJ39,'Технический лист'!$M:$N,2,1),(EX39-0.05)))</f>
        <v>1</v>
      </c>
      <c r="EZ39" s="15">
        <f>MIN(1,MAX(VLOOKUP(($AJ39-$AI39-$AH39-$AG39-$AF39-$AE39*(1+EZ$3))/$AJ39,'Технический лист'!$M:$N,2,1),(EY39-0.05)))</f>
        <v>1</v>
      </c>
      <c r="FA39" s="15">
        <f>MIN(1,MAX(VLOOKUP(($AJ39-$AI39-$AH39-$AG39-$AF39-$AE39*(1+FA$3))/$AJ39,'Технический лист'!$M:$N,2,1),(EZ39-0.05)))</f>
        <v>1</v>
      </c>
      <c r="FB39" s="15">
        <f>MIN(1,MAX(VLOOKUP(($AJ39-$AI39-$AH39-$AG39-$AF39-$AE39*(1+FB$3))/$AJ39,'Технический лист'!$M:$N,2,1),(FA39-0.05)))</f>
        <v>1</v>
      </c>
      <c r="FC39" s="15">
        <f>MIN(1,MAX(VLOOKUP(($AJ39-$AI39-$AH39-$AG39-$AF39-$AE39*(1+FC$3))/$AJ39,'Технический лист'!$M:$N,2,1),(FB39-0.05)))</f>
        <v>1</v>
      </c>
      <c r="FD39" s="15">
        <f>MIN(1,MAX(VLOOKUP(($AJ39-$AI39-$AH39-$AG39-$AF39-$AE39*(1+FD$3))/$AJ39,'Технический лист'!$M:$N,2,1),(FC39-0.05)))</f>
        <v>1</v>
      </c>
      <c r="FE39" s="15">
        <f>MIN(1,MAX(VLOOKUP(($AJ39-$AI39-$AH39-$AG39-$AF39-$AE39*(1+FE$3))/$AJ39,'Технический лист'!$M:$N,2,1),(FD39-0.05)))</f>
        <v>1</v>
      </c>
      <c r="FF39" s="15">
        <f>MIN(1,MAX(VLOOKUP(($AJ39-$AI39-$AH39-$AG39-$AF39-$AE39*(1+FF$3))/$AJ39,'Технический лист'!$M:$N,2,1),(FE39-0.05)))</f>
        <v>1</v>
      </c>
      <c r="FG39" s="15">
        <f>MIN(1,MAX(VLOOKUP(($AJ39-$AI39-$AH39-$AG39-$AF39-$AE39*(1+FG$3))/$AJ39,'Технический лист'!$M:$N,2,1),(FF39-0.05)))</f>
        <v>1</v>
      </c>
      <c r="FH39" s="15">
        <f>MIN(1,MAX(VLOOKUP(($AJ39-$AI39-$AH39-$AG39-$AF39-$AE39*(1+FH$3))/$AJ39,'Технический лист'!$M:$N,2,1),(FG39-0.05)))</f>
        <v>1</v>
      </c>
      <c r="FI39" s="15">
        <f>MIN(1,MAX(VLOOKUP(($AJ39-$AI39-$AH39-$AG39-$AF39-$AE39*(1+FI$3))/$AJ39,'Технический лист'!$M:$N,2,1),(FH39-0.05)))</f>
        <v>1</v>
      </c>
      <c r="FJ39" s="15">
        <f>MIN(1,MAX(VLOOKUP(($AJ39-$AI39-$AH39-$AG39-$AF39-$AE39*(1+FJ$3))/$AJ39,'Технический лист'!$M:$N,2,1),(FI39-0.05)))</f>
        <v>1</v>
      </c>
      <c r="FK39" s="15">
        <f>MIN(1,MAX(VLOOKUP(($AJ39-$AI39-$AH39-$AG39-$AF39-$AE39*(1+FK$3))/$AJ39,'Технический лист'!$M:$N,2,1),(FJ39-0.05)))</f>
        <v>1</v>
      </c>
      <c r="FL39" s="15">
        <f>MIN(1,MAX(VLOOKUP(($AJ39-$AI39-$AH39-$AG39-$AF39-$AE39*(1+FL$3))/$AJ39,'Технический лист'!$M:$N,2,1),(FK39-0.05)))</f>
        <v>1</v>
      </c>
      <c r="FM39" s="15">
        <f>MIN(1,MAX(VLOOKUP(($AJ39-$AI39-$AH39-$AG39-$AF39-$AE39*(1+FM$3))/$AJ39,'Технический лист'!$M:$N,2,1),(FL39-0.05)))</f>
        <v>1</v>
      </c>
      <c r="FN39" s="15">
        <f>MIN(1,MAX(VLOOKUP(($AJ39-$AI39-$AH39-$AG39-$AF39-$AE39*(1+FN$3))/$AJ39,'Технический лист'!$M:$N,2,1),(FM39-0.05)))</f>
        <v>1</v>
      </c>
      <c r="FO39" s="15">
        <f>MIN(1,MAX(VLOOKUP(($AJ39-$AI39-$AH39-$AG39-$AF39-$AE39*(1+FO$3))/$AJ39,'Технический лист'!$M:$N,2,1),(FN39-0.05)))</f>
        <v>1</v>
      </c>
      <c r="FP39" s="15">
        <f>MIN(1,MAX(VLOOKUP(($AJ39-$AI39-$AH39-$AG39-$AF39-$AE39*(1+FP$3))/$AJ39,'Технический лист'!$M:$N,2,1),(FO39-0.05)))</f>
        <v>1</v>
      </c>
      <c r="FQ39" s="15">
        <f>MIN(1,MAX(VLOOKUP(($AJ39-$AI39-$AH39-$AG39-$AF39-$AE39*(1+FQ$3))/$AJ39,'Технический лист'!$M:$N,2,1),(FP39-0.05)))</f>
        <v>1</v>
      </c>
      <c r="FR39" s="15">
        <f>MIN(1,MAX(VLOOKUP(($AJ39-$AI39-$AH39-$AG39-$AF39-$AE39*(1+FR$3))/$AJ39,'Технический лист'!$M:$N,2,1),(FQ39-0.05)))</f>
        <v>1</v>
      </c>
      <c r="FS39" s="15">
        <f>MIN(1,MAX(VLOOKUP(($AJ39-$AI39-$AH39-$AG39-$AF39-$AE39*(1+FS$3))/$AJ39,'Технический лист'!$M:$N,2,1),(FR39-0.05)))</f>
        <v>1</v>
      </c>
      <c r="FT39" s="15">
        <f>MIN(1,MAX(VLOOKUP(($AJ39-$AI39-$AH39-$AG39-$AF39-$AE39*(1+FT$3))/$AJ39,'Технический лист'!$M:$N,2,1),(FS39-0.05)))</f>
        <v>1</v>
      </c>
      <c r="FU39" s="15">
        <f>MIN(1,MAX(VLOOKUP(($AJ39-$AI39-$AH39-$AG39-$AF39-$AE39*(1+FU$3))/$AJ39,'Технический лист'!$M:$N,2,1),(FT39-0.05)))</f>
        <v>1</v>
      </c>
      <c r="FV39" s="15">
        <f>MIN(1,MAX(VLOOKUP(($AJ39-$AI39-$AH39-$AG39-$AF39-$AE39*(1+FV$3))/$AJ39,'Технический лист'!$M:$N,2,1),(FU39-0.05)))</f>
        <v>1</v>
      </c>
      <c r="FW39" s="15">
        <f>MIN(1,MAX(VLOOKUP(($AJ39-$AI39-$AH39-$AG39-$AF39-$AE39*(1+FW$3))/$AJ39,'Технический лист'!$M:$N,2,1),(FV39-0.05)))</f>
        <v>1</v>
      </c>
      <c r="FX39" s="15">
        <f>MIN(1,MAX(VLOOKUP(($AJ39-$AI39-$AH39-$AG39-$AF39-$AE39*(1+FX$3))/$AJ39,'Технический лист'!$M:$N,2,1),(FW39-0.05)))</f>
        <v>1</v>
      </c>
      <c r="FY39" s="15">
        <f>MIN(1,MAX(VLOOKUP(($AJ39-$AI39-$AH39-$AG39-$AF39-$AE39*(1+FY$3))/$AJ39,'Технический лист'!$M:$N,2,1),(FX39-0.05)))</f>
        <v>1</v>
      </c>
      <c r="FZ39" s="15">
        <f>MIN(1,MAX(VLOOKUP(($AJ39-$AI39-$AH39-$AG39-$AF39-$AE39*(1+FZ$3))/$AJ39,'Технический лист'!$M:$N,2,1),(FY39-0.05)))</f>
        <v>1</v>
      </c>
      <c r="GA39" s="15">
        <f>MIN(1,MAX(VLOOKUP(($AJ39-$AI39-$AH39-$AG39-$AF39-$AE39*(1+GA$3))/$AJ39,'Технический лист'!$M:$N,2,1),(FZ39-0.05)))</f>
        <v>1</v>
      </c>
      <c r="GB39" s="15">
        <f>MIN(1,MAX(VLOOKUP(($AJ39-$AI39-$AH39-$AG39-$AF39-$AE39*(1+GB$3))/$AJ39,'Технический лист'!$M:$N,2,1),(GA39-0.05)))</f>
        <v>1</v>
      </c>
      <c r="GC39" s="15">
        <f>MIN(1,MAX(VLOOKUP(($AJ39-$AI39-$AH39-$AG39-$AF39-$AE39*(1+GC$3))/$AJ39,'Технический лист'!$M:$N,2,1),(GB39-0.05)))</f>
        <v>1</v>
      </c>
      <c r="GD39" s="15">
        <f>MIN(1,MAX(VLOOKUP(($AJ39-$AI39-$AH39-$AG39-$AF39-$AE39*(1+GD$3))/$AJ39,'Технический лист'!$M:$N,2,1),(GC39-0.05)))</f>
        <v>1</v>
      </c>
      <c r="GE39" s="15">
        <f>MIN(1,MAX(VLOOKUP(($AJ39-$AI39-$AH39-$AG39-$AF39-$AE39*(1+GE$3))/$AJ39,'Технический лист'!$M:$N,2,1),(GD39-0.05)))</f>
        <v>1</v>
      </c>
      <c r="GF39" s="15">
        <f>MIN(1,MAX(VLOOKUP(($AJ39-$AI39-$AH39-$AG39-$AF39-$AE39*(1+GF$3))/$AJ39,'Технический лист'!$M:$N,2,1),(GE39-0.05)))</f>
        <v>1</v>
      </c>
      <c r="GG39" s="15">
        <f>MIN(1,MAX(VLOOKUP(($AJ39-$AI39-$AH39-$AG39-$AF39-$AE39*(1+GG$3))/$AJ39,'Технический лист'!$M:$N,2,1),(GF39-0.05)))</f>
        <v>1</v>
      </c>
      <c r="GH39" s="15">
        <f>MIN(1,MAX(VLOOKUP(($AJ39-$AI39-$AH39-$AG39-$AF39-$AE39*(1+GH$3))/$AJ39,'Технический лист'!$M:$N,2,1),(GG39-0.05)))</f>
        <v>1</v>
      </c>
      <c r="GI39" s="15">
        <f>MIN(1,MAX(VLOOKUP(($AJ39-$AI39-$AH39-$AG39-$AF39-$AE39*(1+GI$3))/$AJ39,'Технический лист'!$M:$N,2,1),(GH39-0.05)))</f>
        <v>1</v>
      </c>
      <c r="GJ39" s="15">
        <f>MIN(1,MAX(VLOOKUP(($AJ39-$AI39-$AH39-$AG39-$AF39-$AE39*(1+GJ$3))/$AJ39,'Технический лист'!$M:$N,2,1),(GI39-0.05)))</f>
        <v>1</v>
      </c>
      <c r="GK39" s="15">
        <f>MIN(1,MAX(VLOOKUP(($AJ39-$AI39-$AH39-$AG39-$AF39-$AE39*(1+GK$3))/$AJ39,'Технический лист'!$M:$N,2,1),(GJ39-0.05)))</f>
        <v>1</v>
      </c>
      <c r="GL39" s="15">
        <f>MIN(1,MAX(VLOOKUP(($AJ39-$AI39-$AH39-$AG39-$AF39-$AE39*(1+GL$3))/$AJ39,'Технический лист'!$M:$N,2,1),(GK39-0.05)))</f>
        <v>1</v>
      </c>
      <c r="GM39" s="15">
        <f>MIN(1,MAX(VLOOKUP(($AJ39-$AI39-$AH39-$AG39-$AF39-$AE39*(1+GM$3))/$AJ39,'Технический лист'!$M:$N,2,1),(GL39-0.05)))</f>
        <v>1</v>
      </c>
      <c r="GN39" s="15">
        <f>MIN(1,MAX(VLOOKUP(($AJ39-$AI39-$AH39-$AG39-$AF39-$AE39*(1+GN$3))/$AJ39,'Технический лист'!$M:$N,2,1),(GM39-0.05)))</f>
        <v>1</v>
      </c>
      <c r="GO39" s="15">
        <f>MIN(1,MAX(VLOOKUP(($AJ39-$AI39-$AH39-$AG39-$AF39-$AE39*(1+GO$3))/$AJ39,'Технический лист'!$M:$N,2,1),(GN39-0.05)))</f>
        <v>1</v>
      </c>
      <c r="GP39" s="15">
        <f>MIN(1,MAX(VLOOKUP(($AJ39-$AI39-$AH39-$AG39-$AF39-$AE39*(1+GP$3))/$AJ39,'Технический лист'!$M:$N,2,1),(GO39-0.05)))</f>
        <v>1</v>
      </c>
      <c r="GQ39" s="15">
        <f>MIN(1,MAX(VLOOKUP(($AJ39-$AI39-$AH39-$AG39-$AF39-$AE39*(1+GQ$3))/$AJ39,'Технический лист'!$M:$N,2,1),(GP39-0.05)))</f>
        <v>1</v>
      </c>
      <c r="GR39" s="15">
        <f>MIN(1,MAX(VLOOKUP(($AJ39-$AI39-$AH39-$AG39-$AF39-$AE39*(1+GR$3))/$AJ39,'Технический лист'!$M:$N,2,1),(GQ39-0.05)))</f>
        <v>1</v>
      </c>
      <c r="GS39" s="15">
        <f>MIN(1,MAX(VLOOKUP(($AJ39-$AI39-$AH39-$AG39-$AF39-$AE39*(1+GS$3))/$AJ39,'Технический лист'!$M:$N,2,1),(GR39-0.05)))</f>
        <v>1</v>
      </c>
      <c r="GT39" s="15">
        <f>MIN(1,MAX(VLOOKUP(($AJ39-$AI39-$AH39-$AG39-$AF39-$AE39*(1+GT$3))/$AJ39,'Технический лист'!$M:$N,2,1),(GS39-0.05)))</f>
        <v>1</v>
      </c>
      <c r="GU39" s="15">
        <f>MIN(1,MAX(VLOOKUP(($AJ39-$AI39-$AH39-$AG39-$AF39-$AE39*(1+GU$3))/$AJ39,'Технический лист'!$M:$N,2,1),(GT39-0.05)))</f>
        <v>1</v>
      </c>
      <c r="GV39" s="15">
        <f>MIN(1,MAX(VLOOKUP(($AJ39-$AI39-$AH39-$AG39-$AF39-$AE39*(1+GV$3))/$AJ39,'Технический лист'!$M:$N,2,1),(GU39-0.05)))</f>
        <v>1</v>
      </c>
      <c r="GW39" s="15">
        <f>MIN(1,MAX(VLOOKUP(($AJ39-$AI39-$AH39-$AG39-$AF39-$AE39*(1+GW$3))/$AJ39,'Технический лист'!$M:$N,2,1),(GV39-0.05)))</f>
        <v>1</v>
      </c>
      <c r="GX39" s="15">
        <f>MIN(1,MAX(VLOOKUP(($AJ39-$AI39-$AH39-$AG39-$AF39-$AE39*(1+GX$3))/$AJ39,'Технический лист'!$M:$N,2,1),(GW39-0.05)))</f>
        <v>1</v>
      </c>
      <c r="GY39" s="15">
        <f>MIN(1,MAX(VLOOKUP(($AJ39-$AI39-$AH39-$AG39-$AF39-$AE39*(1+GY$3))/$AJ39,'Технический лист'!$M:$N,2,1),(GX39-0.05)))</f>
        <v>1</v>
      </c>
      <c r="GZ39" s="15">
        <f>MIN(1,MAX(VLOOKUP(($AJ39-$AI39-$AH39-$AG39-$AF39-$AE39*(1+GZ$3))/$AJ39,'Технический лист'!$M:$N,2,1),(GY39-0.05)))</f>
        <v>1</v>
      </c>
      <c r="HA39" s="15">
        <f>MIN(1,MAX(VLOOKUP(($AJ39-$AI39-$AH39-$AG39-$AF39-$AE39*(1+HA$3))/$AJ39,'Технический лист'!$M:$N,2,1),(GZ39-0.05)))</f>
        <v>1</v>
      </c>
      <c r="HB39" s="15">
        <f>MIN(1,MAX(VLOOKUP(($AJ39-$AI39-$AH39-$AG39-$AF39-$AE39*(1+HB$3))/$AJ39,'Технический лист'!$M:$N,2,1),(HA39-0.05)))</f>
        <v>1</v>
      </c>
      <c r="HC39" s="15">
        <f>MIN(1,MAX(VLOOKUP(($AJ39-$AI39-$AH39-$AG39-$AF39-$AE39*(1+HC$3))/$AJ39,'Технический лист'!$M:$N,2,1),(HB39-0.05)))</f>
        <v>1</v>
      </c>
      <c r="HD39" s="15">
        <f>MIN(1,MAX(VLOOKUP(($AJ39-$AI39-$AH39-$AG39-$AF39-$AE39*(1+HD$3))/$AJ39,'Технический лист'!$M:$N,2,1),(HC39-0.05)))</f>
        <v>1</v>
      </c>
      <c r="HE39" s="15">
        <f>MIN(1,MAX(VLOOKUP(($AJ39-$AI39-$AH39-$AG39-$AF39-$AE39*(1+HE$3))/$AJ39,'Технический лист'!$M:$N,2,1),(HD39-0.05)))</f>
        <v>1</v>
      </c>
      <c r="HF39" s="15">
        <f>MIN(1,MAX(VLOOKUP(($AJ39-$AI39-$AH39-$AG39-$AF39-$AE39*(1+HF$3))/$AJ39,'Технический лист'!$M:$N,2,1),(HE39-0.05)))</f>
        <v>1</v>
      </c>
      <c r="HG39" s="15">
        <f>MIN(1,MAX(VLOOKUP(($AJ39-$AI39-$AH39-$AG39-$AF39-$AE39*(1+HG$3))/$AJ39,'Технический лист'!$M:$N,2,1),(HF39-0.05)))</f>
        <v>1</v>
      </c>
      <c r="HH39" s="15">
        <f>MIN(1,MAX(VLOOKUP(($AJ39-$AI39-$AH39-$AG39-$AF39-$AE39*(1+HH$3))/$AJ39,'Технический лист'!$M:$N,2,1),(HG39-0.05)))</f>
        <v>1</v>
      </c>
      <c r="HI39" s="15">
        <f>MIN(1,MAX(VLOOKUP(($AJ39-$AI39-$AH39-$AG39-$AF39-$AE39*(1+HI$3))/$AJ39,'Технический лист'!$M:$N,2,1),(HH39-0.05)))</f>
        <v>1</v>
      </c>
      <c r="HJ39" s="15">
        <f>MIN(1,MAX(VLOOKUP(($AJ39-$AI39-$AH39-$AG39-$AF39-$AE39*(1+HJ$3))/$AJ39,'Технический лист'!$M:$N,2,1),(HI39-0.05)))</f>
        <v>1</v>
      </c>
      <c r="HK39" s="15">
        <f>MIN(1,MAX(VLOOKUP(($AJ39-$AI39-$AH39-$AG39-$AF39-$AE39*(1+HK$3))/$AJ39,'Технический лист'!$M:$N,2,1),(HJ39-0.05)))</f>
        <v>1</v>
      </c>
      <c r="HL39" s="15">
        <f>MIN(1,MAX(VLOOKUP(($AJ39-$AI39-$AH39-$AG39-$AF39-$AE39*(1+HL$3))/$AJ39,'Технический лист'!$M:$N,2,1),(HK39-0.05)))</f>
        <v>1</v>
      </c>
      <c r="HM39" s="15">
        <f>MIN(1,MAX(VLOOKUP(($AJ39-$AI39-$AH39-$AG39-$AF39-$AE39*(1+HM$3))/$AJ39,'Технический лист'!$M:$N,2,1),(HL39-0.05)))</f>
        <v>1</v>
      </c>
      <c r="HN39" s="15">
        <f>MIN(1,MAX(VLOOKUP(($AJ39-$AI39-$AH39-$AG39-$AF39-$AE39*(1+HN$3))/$AJ39,'Технический лист'!$M:$N,2,1),(HM39-0.05)))</f>
        <v>1</v>
      </c>
      <c r="HO39" s="15">
        <f>MIN(1,MAX(VLOOKUP(($AJ39-$AI39-$AH39-$AG39-$AF39-$AE39*(1+HO$3))/$AJ39,'Технический лист'!$M:$N,2,1),(HN39-0.05)))</f>
        <v>1</v>
      </c>
      <c r="HP39" s="15">
        <f>MIN(1,MAX(VLOOKUP(($AJ39-$AI39-$AH39-$AG39-$AF39-$AE39*(1+HP$3))/$AJ39,'Технический лист'!$M:$N,2,1),(HO39-0.05)))</f>
        <v>1</v>
      </c>
      <c r="HQ39" s="15">
        <f>MIN(1,MAX(VLOOKUP(($AJ39-$AI39-$AH39-$AG39-$AF39-$AE39*(1+HQ$3))/$AJ39,'Технический лист'!$M:$N,2,1),(HP39-0.05)))</f>
        <v>1</v>
      </c>
      <c r="HR39" s="15">
        <f>MIN(1,MAX(VLOOKUP(($AJ39-$AI39-$AH39-$AG39-$AF39-$AE39*(1+HR$3))/$AJ39,'Технический лист'!$M:$N,2,1),(HQ39-0.05)))</f>
        <v>1</v>
      </c>
      <c r="HS39" s="15">
        <f>MIN(1,MAX(VLOOKUP(($AJ39-$AI39-$AH39-$AG39-$AF39-$AE39*(1+HS$3))/$AJ39,'Технический лист'!$M:$N,2,1),(HR39-0.05)))</f>
        <v>1</v>
      </c>
      <c r="HT39" s="15">
        <f>MIN(1,MAX(VLOOKUP(($AJ39-$AI39-$AH39-$AG39-$AF39-$AE39*(1+HT$3))/$AJ39,'Технический лист'!$M:$N,2,1),(HS39-0.05)))</f>
        <v>1</v>
      </c>
      <c r="HU39" s="15">
        <f>MIN(1,MAX(VLOOKUP(($AJ39-$AI39-$AH39-$AG39-$AF39-$AE39*(1+HU$3))/$AJ39,'Технический лист'!$M:$N,2,1),(HT39-0.05)))</f>
        <v>1</v>
      </c>
      <c r="HV39" s="15">
        <f>MIN(1,MAX(VLOOKUP(($AJ39-$AI39-$AH39-$AG39-$AF39-$AE39*(1+HV$3))/$AJ39,'Технический лист'!$M:$N,2,1),(HU39-0.05)))</f>
        <v>1</v>
      </c>
      <c r="HW39" s="15">
        <f>MIN(1,MAX(VLOOKUP(($AJ39-$AI39-$AH39-$AG39-$AF39-$AE39*(1+HW$3))/$AJ39,'Технический лист'!$M:$N,2,1),(HV39-0.05)))</f>
        <v>1</v>
      </c>
      <c r="HX39" s="15">
        <f>MIN(1,MAX(VLOOKUP(($AJ39-$AI39-$AH39-$AG39-$AF39-$AE39*(1+HX$3))/$AJ39,'Технический лист'!$M:$N,2,1),(HW39-0.05)))</f>
        <v>1</v>
      </c>
      <c r="HY39" s="15">
        <f>MIN(1,MAX(VLOOKUP(($AJ39-$AI39-$AH39-$AG39-$AF39-$AE39*(1+HY$3))/$AJ39,'Технический лист'!$M:$N,2,1),(HX39-0.05)))</f>
        <v>1</v>
      </c>
      <c r="HZ39" s="15">
        <f>MIN(1,MAX(VLOOKUP(($AJ39-$AI39-$AH39-$AG39-$AF39-$AE39*(1+HZ$3))/$AJ39,'Технический лист'!$M:$N,2,1),(HY39-0.05)))</f>
        <v>1</v>
      </c>
      <c r="IA39" s="15">
        <f>MIN(1,MAX(VLOOKUP(($AJ39-$AI39-$AH39-$AG39-$AF39-$AE39*(1+IA$3))/$AJ39,'Технический лист'!$M:$N,2,1),(HZ39-0.05)))</f>
        <v>1</v>
      </c>
      <c r="IB39" s="15">
        <f>MIN(1,MAX(VLOOKUP(($AJ39-$AI39-$AH39-$AG39-$AF39-$AE39*(1+IB$3))/$AJ39,'Технический лист'!$M:$N,2,1),(IA39-0.05)))</f>
        <v>1</v>
      </c>
      <c r="IC39" s="15">
        <f>MIN(1,MAX(VLOOKUP(($AJ39-$AI39-$AH39-$AG39-$AF39-$AE39*(1+IC$3))/$AJ39,'Технический лист'!$M:$N,2,1),(IB39-0.05)))</f>
        <v>1</v>
      </c>
      <c r="ID39" s="15">
        <f>MIN(1,MAX(VLOOKUP(($AJ39-$AI39-$AH39-$AG39-$AF39-$AE39*(1+ID$3))/$AJ39,'Технический лист'!$M:$N,2,1),(IC39-0.05)))</f>
        <v>1</v>
      </c>
      <c r="IE39" s="15">
        <f>MIN(1,MAX(VLOOKUP(($AJ39-$AI39-$AH39-$AG39-$AF39-$AE39*(1+IE$3))/$AJ39,'Технический лист'!$M:$N,2,1),(ID39-0.05)))</f>
        <v>1</v>
      </c>
      <c r="IF39" s="15">
        <f>MIN(1,MAX(VLOOKUP(($AJ39-$AI39-$AH39-$AG39-$AF39-$AE39*(1+IF$3))/$AJ39,'Технический лист'!$M:$N,2,1),(IE39-0.05)))</f>
        <v>1</v>
      </c>
      <c r="IG39" s="15">
        <f>MIN(1,MAX(VLOOKUP(($AJ39-$AI39-$AH39-$AG39-$AF39-$AE39*(1+IG$3))/$AJ39,'Технический лист'!$M:$N,2,1),(IF39-0.05)))</f>
        <v>1</v>
      </c>
      <c r="IH39" s="15">
        <f>MIN(1,MAX(VLOOKUP(($AJ39-$AI39-$AH39-$AG39-$AF39-$AE39*(1+IH$3))/$AJ39,'Технический лист'!$M:$N,2,1),(IG39-0.05)))</f>
        <v>1</v>
      </c>
      <c r="II39" s="15">
        <f>MIN(1,MAX(VLOOKUP(($AJ39-$AI39-$AH39-$AG39-$AF39-$AE39*(1+II$3))/$AJ39,'Технический лист'!$M:$N,2,1),(IH39-0.05)))</f>
        <v>1</v>
      </c>
      <c r="IJ39" s="15">
        <f>MIN(1,MAX(VLOOKUP(($AJ39-$AI39-$AH39-$AG39-$AF39-$AE39*(1+IJ$3))/$AJ39,'Технический лист'!$M:$N,2,1),(II39-0.05)))</f>
        <v>1</v>
      </c>
      <c r="IK39" s="15">
        <f>MIN(1,MAX(VLOOKUP(($AJ39-$AI39-$AH39-$AG39-$AF39-$AE39*(1+IK$3))/$AJ39,'Технический лист'!$M:$N,2,1),(IJ39-0.05)))</f>
        <v>1</v>
      </c>
      <c r="IL39" s="15">
        <f>MIN(1,MAX(VLOOKUP(($AJ39-$AI39-$AH39-$AG39-$AF39-$AE39*(1+IL$3))/$AJ39,'Технический лист'!$M:$N,2,1),(IK39-0.05)))</f>
        <v>1</v>
      </c>
      <c r="IM39" s="15">
        <f>MIN(1,MAX(VLOOKUP(($AJ39-$AI39-$AH39-$AG39-$AF39-$AE39*(1+IM$3))/$AJ39,'Технический лист'!$M:$N,2,1),(IL39-0.05)))</f>
        <v>1</v>
      </c>
      <c r="IN39" s="15">
        <f>MIN(1,MAX(VLOOKUP(($AJ39-$AI39-$AH39-$AG39-$AF39-$AE39*(1+IN$3))/$AJ39,'Технический лист'!$M:$N,2,1),(IM39-0.05)))</f>
        <v>1</v>
      </c>
      <c r="IO39" s="15">
        <f>MIN(1,MAX(VLOOKUP(($AJ39-$AI39-$AH39-$AG39-$AF39-$AE39*(1+IO$3))/$AJ39,'Технический лист'!$M:$N,2,1),(IN39-0.05)))</f>
        <v>1</v>
      </c>
      <c r="IP39" s="15">
        <f>MIN(1,MAX(VLOOKUP(($AJ39-$AI39-$AH39-$AG39-$AF39-$AE39*(1+IP$3))/$AJ39,'Технический лист'!$M:$N,2,1),(IO39-0.05)))</f>
        <v>1</v>
      </c>
      <c r="IQ39" s="15">
        <f>MIN(1,MAX(VLOOKUP(($AJ39-$AI39-$AH39-$AG39-$AF39-$AE39*(1+IQ$3))/$AJ39,'Технический лист'!$M:$N,2,1),(IP39-0.05)))</f>
        <v>1</v>
      </c>
      <c r="IR39" s="15">
        <f>MIN(1,MAX(VLOOKUP(($AJ39-$AI39-$AH39-$AG39-$AF39-$AE39*(1+IR$3))/$AJ39,'Технический лист'!$M:$N,2,1),(IQ39-0.05)))</f>
        <v>1</v>
      </c>
    </row>
    <row r="40" spans="1:252" ht="29.15">
      <c r="A40" s="89" t="s">
        <v>514</v>
      </c>
      <c r="B40" s="90">
        <v>4</v>
      </c>
      <c r="C40" s="5" t="s">
        <v>67</v>
      </c>
      <c r="D40" s="91">
        <v>14109</v>
      </c>
      <c r="E40" s="91" t="s">
        <v>335</v>
      </c>
      <c r="F40" s="92" t="s">
        <v>74</v>
      </c>
      <c r="G40" s="91" t="s">
        <v>16</v>
      </c>
      <c r="H40" s="91" t="s">
        <v>81</v>
      </c>
      <c r="I40" s="91" t="s">
        <v>142</v>
      </c>
      <c r="J40" s="91" t="s">
        <v>143</v>
      </c>
      <c r="K40" s="91">
        <v>244</v>
      </c>
      <c r="L40" s="85" t="s">
        <v>64</v>
      </c>
      <c r="M40" s="91" t="s">
        <v>17</v>
      </c>
      <c r="N40" s="91" t="s">
        <v>191</v>
      </c>
      <c r="O40" s="91" t="s">
        <v>18</v>
      </c>
      <c r="P40" s="89" t="s">
        <v>231</v>
      </c>
      <c r="Q40" s="93" t="s">
        <v>474</v>
      </c>
      <c r="R40" s="91" t="s">
        <v>265</v>
      </c>
      <c r="S40" s="82">
        <v>1588316</v>
      </c>
      <c r="T40" s="82">
        <v>387549218</v>
      </c>
      <c r="U40" s="81">
        <v>22239</v>
      </c>
      <c r="V40" s="81">
        <v>0</v>
      </c>
      <c r="W40" s="82">
        <v>1326258461</v>
      </c>
      <c r="X40" s="112">
        <v>72</v>
      </c>
      <c r="Y40" s="112" t="s">
        <v>418</v>
      </c>
      <c r="Z40" s="113">
        <v>3</v>
      </c>
      <c r="AA40" s="113">
        <v>2</v>
      </c>
      <c r="AB40" s="113">
        <v>4</v>
      </c>
      <c r="AC40" s="99">
        <v>360.42</v>
      </c>
      <c r="AD40" s="99">
        <f t="shared" si="15"/>
        <v>104.5</v>
      </c>
      <c r="AE40" s="99">
        <v>464.92</v>
      </c>
      <c r="AF40" s="98">
        <f>(Z40+AA40+AB40)*'Ставки аренды'!$B$2/X40</f>
        <v>125</v>
      </c>
      <c r="AG40" s="114">
        <f>'Ставки перевалки'!$B$13</f>
        <v>1500</v>
      </c>
      <c r="AH40" s="94">
        <v>0</v>
      </c>
      <c r="AI40" s="115">
        <f>14214890/21228111*AVERAGE(AJ40,AJ41)</f>
        <v>3851.8346995547549</v>
      </c>
      <c r="AJ40" s="117">
        <f>Цены!C15*'Курсы валют'!B2</f>
        <v>6104.44</v>
      </c>
      <c r="AK40" s="94">
        <f>AJ40/Цены!$B$1</f>
        <v>80</v>
      </c>
      <c r="AL40" s="95">
        <f t="shared" si="5"/>
        <v>2089.92</v>
      </c>
      <c r="AM40" s="95">
        <f t="shared" si="6"/>
        <v>4014.5199999999995</v>
      </c>
      <c r="AN40" s="94">
        <f t="shared" si="16"/>
        <v>5941.7546995547546</v>
      </c>
      <c r="AO40" s="118">
        <f t="shared" si="17"/>
        <v>2.6650323444123467E-2</v>
      </c>
      <c r="AP40" s="96">
        <f t="shared" si="7"/>
        <v>0.34236064241765013</v>
      </c>
      <c r="AQ40" s="96">
        <f t="shared" si="8"/>
        <v>7.6160958253336922E-2</v>
      </c>
      <c r="AR40" s="96">
        <f t="shared" si="9"/>
        <v>0.22245827591486755</v>
      </c>
      <c r="AS40" s="122">
        <v>1</v>
      </c>
      <c r="AT40" s="121">
        <f t="shared" si="10"/>
        <v>1588316</v>
      </c>
      <c r="AU40" s="83">
        <v>0.75</v>
      </c>
      <c r="AV40" s="119">
        <f t="shared" si="11"/>
        <v>1.7511008453723061E-2</v>
      </c>
      <c r="AW40" s="120">
        <f t="shared" si="12"/>
        <v>0.35149995740805057</v>
      </c>
      <c r="AX40" s="120">
        <f t="shared" si="13"/>
        <v>8.530027324373736E-2</v>
      </c>
      <c r="AY40" s="120">
        <f t="shared" si="14"/>
        <v>0.24267505997081437</v>
      </c>
      <c r="AZ40" s="15">
        <f>MIN(IF($AU40=100%,1,1+VLOOKUP(($AJ40-$AI40-$AH40-$AG40-$AF40-$AE40*(1+AZ$3))/$AJ40,'Технический лист'!$M:$N,2,1)-VLOOKUP($AO40,'Технический лист'!$M:$N,2,1)),1+(1-$AU40))</f>
        <v>1.0449999999999995</v>
      </c>
      <c r="BA40" s="15">
        <f>MIN(IF($AU40=100%,1,1+VLOOKUP(($AJ40-$AI40-$AH40-$AG40-$AF40-$AE40*(1+BA$3))/$AJ40,'Технический лист'!$M:$N,2,1)-VLOOKUP($AO40,'Технический лист'!$M:$N,2,1)),1+(1-$AU40))</f>
        <v>1.0449999999999995</v>
      </c>
      <c r="BB40" s="15">
        <f>MIN(IF($AU40=100%,1,1+VLOOKUP(($AJ40-$AI40-$AH40-$AG40-$AF40-$AE40*(1+BB$3))/$AJ40,'Технический лист'!$M:$N,2,1)-VLOOKUP($AO40,'Технический лист'!$M:$N,2,1)),1+(1-$AU40))</f>
        <v>1.0449999999999995</v>
      </c>
      <c r="BC40" s="15">
        <f>MIN(IF($AU40=100%,1,1+VLOOKUP(($AJ40-$AI40-$AH40-$AG40-$AF40-$AE40*(1+BC$3))/$AJ40,'Технический лист'!$M:$N,2,1)-VLOOKUP($AO40,'Технический лист'!$M:$N,2,1)),1+(1-$AU40))</f>
        <v>1.0449999999999995</v>
      </c>
      <c r="BD40" s="15">
        <f>MIN(IF($AU40=100%,1,1+VLOOKUP(($AJ40-$AI40-$AH40-$AG40-$AF40-$AE40*(1+BD$3))/$AJ40,'Технический лист'!$M:$N,2,1)-VLOOKUP($AO40,'Технический лист'!$M:$N,2,1)),1+(1-$AU40))</f>
        <v>1.0449999999999995</v>
      </c>
      <c r="BE40" s="15">
        <f>MIN(IF($AU40=100%,1,1+VLOOKUP(($AJ40-$AI40-$AH40-$AG40-$AF40-$AE40*(1+BE$3))/$AJ40,'Технический лист'!$M:$N,2,1)-VLOOKUP($AO40,'Технический лист'!$M:$N,2,1)),1+(1-$AU40))</f>
        <v>1.0449999999999995</v>
      </c>
      <c r="BF40" s="15">
        <f>MIN(IF($AU40=100%,1,1+VLOOKUP(($AJ40-$AI40-$AH40-$AG40-$AF40-$AE40*(1+BF$3))/$AJ40,'Технический лист'!$M:$N,2,1)-VLOOKUP($AO40,'Технический лист'!$M:$N,2,1)),1+(1-$AU40))</f>
        <v>1.0449999999999995</v>
      </c>
      <c r="BG40" s="15">
        <f>MIN(IF($AU40=100%,1,1+VLOOKUP(($AJ40-$AI40-$AH40-$AG40-$AF40-$AE40*(1+BG$3))/$AJ40,'Технический лист'!$M:$N,2,1)-VLOOKUP($AO40,'Технический лист'!$M:$N,2,1)),1+(1-$AU40))</f>
        <v>1.0449999999999995</v>
      </c>
      <c r="BH40" s="15">
        <f>MIN(IF($AU40=100%,1,1+VLOOKUP(($AJ40-$AI40-$AH40-$AG40-$AF40-$AE40*(1+BH$3))/$AJ40,'Технический лист'!$M:$N,2,1)-VLOOKUP($AO40,'Технический лист'!$M:$N,2,1)),1+(1-$AU40))</f>
        <v>1.0449999999999995</v>
      </c>
      <c r="BI40" s="15">
        <f>MIN(IF($AU40=100%,1,1+VLOOKUP(($AJ40-$AI40-$AH40-$AG40-$AF40-$AE40*(1+BI$3))/$AJ40,'Технический лист'!$M:$N,2,1)-VLOOKUP($AO40,'Технический лист'!$M:$N,2,1)),1+(1-$AU40))</f>
        <v>1.0449999999999995</v>
      </c>
      <c r="BJ40" s="15">
        <f>MIN(IF($AU40=100%,1,1+VLOOKUP(($AJ40-$AI40-$AH40-$AG40-$AF40-$AE40*(1+BJ$3))/$AJ40,'Технический лист'!$M:$N,2,1)-VLOOKUP($AO40,'Технический лист'!$M:$N,2,1)),1+(1-$AU40))</f>
        <v>1.0449999999999995</v>
      </c>
      <c r="BK40" s="15">
        <f>MIN(IF($AU40=100%,1,1+VLOOKUP(($AJ40-$AI40-$AH40-$AG40-$AF40-$AE40*(1+BK$3))/$AJ40,'Технический лист'!$M:$N,2,1)-VLOOKUP($AO40,'Технический лист'!$M:$N,2,1)),1+(1-$AU40))</f>
        <v>1.0449999999999995</v>
      </c>
      <c r="BL40" s="15">
        <f>MIN(IF($AU40=100%,1,1+VLOOKUP(($AJ40-$AI40-$AH40-$AG40-$AF40-$AE40*(1+BL$3))/$AJ40,'Технический лист'!$M:$N,2,1)-VLOOKUP($AO40,'Технический лист'!$M:$N,2,1)),1+(1-$AU40))</f>
        <v>1.0449999999999995</v>
      </c>
      <c r="BM40" s="15">
        <f>MIN(IF($AU40=100%,1,1+VLOOKUP(($AJ40-$AI40-$AH40-$AG40-$AF40-$AE40*(1+BM$3))/$AJ40,'Технический лист'!$M:$N,2,1)-VLOOKUP($AO40,'Технический лист'!$M:$N,2,1)),1+(1-$AU40))</f>
        <v>1.0349999999999993</v>
      </c>
      <c r="BN40" s="15">
        <f>MIN(IF($AU40=100%,1,1+VLOOKUP(($AJ40-$AI40-$AH40-$AG40-$AF40-$AE40*(1+BN$3))/$AJ40,'Технический лист'!$M:$N,2,1)-VLOOKUP($AO40,'Технический лист'!$M:$N,2,1)),1+(1-$AU40))</f>
        <v>1.0349999999999993</v>
      </c>
      <c r="BO40" s="15">
        <f>MIN(IF($AU40=100%,1,1+VLOOKUP(($AJ40-$AI40-$AH40-$AG40-$AF40-$AE40*(1+BO$3))/$AJ40,'Технический лист'!$M:$N,2,1)-VLOOKUP($AO40,'Технический лист'!$M:$N,2,1)),1+(1-$AU40))</f>
        <v>1.0349999999999993</v>
      </c>
      <c r="BP40" s="15">
        <f>MIN(IF($AU40=100%,1,1+VLOOKUP(($AJ40-$AI40-$AH40-$AG40-$AF40-$AE40*(1+BP$3))/$AJ40,'Технический лист'!$M:$N,2,1)-VLOOKUP($AO40,'Технический лист'!$M:$N,2,1)),1+(1-$AU40))</f>
        <v>1.0349999999999993</v>
      </c>
      <c r="BQ40" s="15">
        <f>MIN(IF($AU40=100%,1,1+VLOOKUP(($AJ40-$AI40-$AH40-$AG40-$AF40-$AE40*(1+BQ$3))/$AJ40,'Технический лист'!$M:$N,2,1)-VLOOKUP($AO40,'Технический лист'!$M:$N,2,1)),1+(1-$AU40))</f>
        <v>1.0349999999999993</v>
      </c>
      <c r="BR40" s="15">
        <f>MIN(IF($AU40=100%,1,1+VLOOKUP(($AJ40-$AI40-$AH40-$AG40-$AF40-$AE40*(1+BR$3))/$AJ40,'Технический лист'!$M:$N,2,1)-VLOOKUP($AO40,'Технический лист'!$M:$N,2,1)),1+(1-$AU40))</f>
        <v>1.0349999999999993</v>
      </c>
      <c r="BS40" s="15">
        <f>MIN(IF($AU40=100%,1,1+VLOOKUP(($AJ40-$AI40-$AH40-$AG40-$AF40-$AE40*(1+BS$3))/$AJ40,'Технический лист'!$M:$N,2,1)-VLOOKUP($AO40,'Технический лист'!$M:$N,2,1)),1+(1-$AU40))</f>
        <v>1.0349999999999993</v>
      </c>
      <c r="BT40" s="15">
        <f>MIN(IF($AU40=100%,1,1+VLOOKUP(($AJ40-$AI40-$AH40-$AG40-$AF40-$AE40*(1+BT$3))/$AJ40,'Технический лист'!$M:$N,2,1)-VLOOKUP($AO40,'Технический лист'!$M:$N,2,1)),1+(1-$AU40))</f>
        <v>1.0349999999999993</v>
      </c>
      <c r="BU40" s="15">
        <f>MIN(IF($AU40=100%,1,1+VLOOKUP(($AJ40-$AI40-$AH40-$AG40-$AF40-$AE40*(1+BU$3))/$AJ40,'Технический лист'!$M:$N,2,1)-VLOOKUP($AO40,'Технический лист'!$M:$N,2,1)),1+(1-$AU40))</f>
        <v>1.0349999999999993</v>
      </c>
      <c r="BV40" s="15">
        <f>MIN(IF($AU40=100%,1,1+VLOOKUP(($AJ40-$AI40-$AH40-$AG40-$AF40-$AE40*(1+BV$3))/$AJ40,'Технический лист'!$M:$N,2,1)-VLOOKUP($AO40,'Технический лист'!$M:$N,2,1)),1+(1-$AU40))</f>
        <v>1.0349999999999993</v>
      </c>
      <c r="BW40" s="15">
        <f>MIN(IF($AU40=100%,1,1+VLOOKUP(($AJ40-$AI40-$AH40-$AG40-$AF40-$AE40*(1+BW$3))/$AJ40,'Технический лист'!$M:$N,2,1)-VLOOKUP($AO40,'Технический лист'!$M:$N,2,1)),1+(1-$AU40))</f>
        <v>1.0349999999999993</v>
      </c>
      <c r="BX40" s="15">
        <f>MIN(IF($AU40=100%,1,1+VLOOKUP(($AJ40-$AI40-$AH40-$AG40-$AF40-$AE40*(1+BX$3))/$AJ40,'Технический лист'!$M:$N,2,1)-VLOOKUP($AO40,'Технический лист'!$M:$N,2,1)),1+(1-$AU40))</f>
        <v>1.0349999999999993</v>
      </c>
      <c r="BY40" s="15">
        <f>MIN(IF($AU40=100%,1,1+VLOOKUP(($AJ40-$AI40-$AH40-$AG40-$AF40-$AE40*(1+BY$3))/$AJ40,'Технический лист'!$M:$N,2,1)-VLOOKUP($AO40,'Технический лист'!$M:$N,2,1)),1+(1-$AU40))</f>
        <v>1.0349999999999993</v>
      </c>
      <c r="BZ40" s="15">
        <f>MIN(IF($AU40=100%,1,1+VLOOKUP(($AJ40-$AI40-$AH40-$AG40-$AF40-$AE40*(1+BZ$3))/$AJ40,'Технический лист'!$M:$N,2,1)-VLOOKUP($AO40,'Технический лист'!$M:$N,2,1)),1+(1-$AU40))</f>
        <v>1.0249999999999995</v>
      </c>
      <c r="CA40" s="15">
        <f>MIN(IF($AU40=100%,1,1+VLOOKUP(($AJ40-$AI40-$AH40-$AG40-$AF40-$AE40*(1+CA$3))/$AJ40,'Технический лист'!$M:$N,2,1)-VLOOKUP($AO40,'Технический лист'!$M:$N,2,1)),1+(1-$AU40))</f>
        <v>1.0249999999999995</v>
      </c>
      <c r="CB40" s="15">
        <f>MIN(IF($AU40=100%,1,1+VLOOKUP(($AJ40-$AI40-$AH40-$AG40-$AF40-$AE40*(1+CB$3))/$AJ40,'Технический лист'!$M:$N,2,1)-VLOOKUP($AO40,'Технический лист'!$M:$N,2,1)),1+(1-$AU40))</f>
        <v>1.0249999999999995</v>
      </c>
      <c r="CC40" s="15">
        <f>MIN(IF($AU40=100%,1,1+VLOOKUP(($AJ40-$AI40-$AH40-$AG40-$AF40-$AE40*(1+CC$3))/$AJ40,'Технический лист'!$M:$N,2,1)-VLOOKUP($AO40,'Технический лист'!$M:$N,2,1)),1+(1-$AU40))</f>
        <v>1.0249999999999995</v>
      </c>
      <c r="CD40" s="15">
        <f>MIN(IF($AU40=100%,1,1+VLOOKUP(($AJ40-$AI40-$AH40-$AG40-$AF40-$AE40*(1+CD$3))/$AJ40,'Технический лист'!$M:$N,2,1)-VLOOKUP($AO40,'Технический лист'!$M:$N,2,1)),1+(1-$AU40))</f>
        <v>1.0249999999999995</v>
      </c>
      <c r="CE40" s="15">
        <f>MIN(IF($AU40=100%,1,1+VLOOKUP(($AJ40-$AI40-$AH40-$AG40-$AF40-$AE40*(1+CE$3))/$AJ40,'Технический лист'!$M:$N,2,1)-VLOOKUP($AO40,'Технический лист'!$M:$N,2,1)),1+(1-$AU40))</f>
        <v>1.0249999999999995</v>
      </c>
      <c r="CF40" s="15">
        <f>MIN(IF($AU40=100%,1,1+VLOOKUP(($AJ40-$AI40-$AH40-$AG40-$AF40-$AE40*(1+CF$3))/$AJ40,'Технический лист'!$M:$N,2,1)-VLOOKUP($AO40,'Технический лист'!$M:$N,2,1)),1+(1-$AU40))</f>
        <v>1.0249999999999995</v>
      </c>
      <c r="CG40" s="15">
        <f>MIN(IF($AU40=100%,1,1+VLOOKUP(($AJ40-$AI40-$AH40-$AG40-$AF40-$AE40*(1+CG$3))/$AJ40,'Технический лист'!$M:$N,2,1)-VLOOKUP($AO40,'Технический лист'!$M:$N,2,1)),1+(1-$AU40))</f>
        <v>1.0249999999999995</v>
      </c>
      <c r="CH40" s="15">
        <f>MIN(IF($AU40=100%,1,1+VLOOKUP(($AJ40-$AI40-$AH40-$AG40-$AF40-$AE40*(1+CH$3))/$AJ40,'Технический лист'!$M:$N,2,1)-VLOOKUP($AO40,'Технический лист'!$M:$N,2,1)),1+(1-$AU40))</f>
        <v>1.0249999999999995</v>
      </c>
      <c r="CI40" s="15">
        <f>MIN(IF($AU40=100%,1,1+VLOOKUP(($AJ40-$AI40-$AH40-$AG40-$AF40-$AE40*(1+CI$3))/$AJ40,'Технический лист'!$M:$N,2,1)-VLOOKUP($AO40,'Технический лист'!$M:$N,2,1)),1+(1-$AU40))</f>
        <v>1.0249999999999995</v>
      </c>
      <c r="CJ40" s="15">
        <f>MIN(IF($AU40=100%,1,1+VLOOKUP(($AJ40-$AI40-$AH40-$AG40-$AF40-$AE40*(1+CJ$3))/$AJ40,'Технический лист'!$M:$N,2,1)-VLOOKUP($AO40,'Технический лист'!$M:$N,2,1)),1+(1-$AU40))</f>
        <v>1.0249999999999995</v>
      </c>
      <c r="CK40" s="15">
        <f>MIN(IF($AU40=100%,1,1+VLOOKUP(($AJ40-$AI40-$AH40-$AG40-$AF40-$AE40*(1+CK$3))/$AJ40,'Технический лист'!$M:$N,2,1)-VLOOKUP($AO40,'Технический лист'!$M:$N,2,1)),1+(1-$AU40))</f>
        <v>1.0249999999999995</v>
      </c>
      <c r="CL40" s="15">
        <f>MIN(IF($AU40=100%,1,1+VLOOKUP(($AJ40-$AI40-$AH40-$AG40-$AF40-$AE40*(1+CL$3))/$AJ40,'Технический лист'!$M:$N,2,1)-VLOOKUP($AO40,'Технический лист'!$M:$N,2,1)),1+(1-$AU40))</f>
        <v>1.0249999999999995</v>
      </c>
      <c r="CM40" s="15">
        <f>MIN(IF($AU40=100%,1,1+VLOOKUP(($AJ40-$AI40-$AH40-$AG40-$AF40-$AE40*(1+CM$3))/$AJ40,'Технический лист'!$M:$N,2,1)-VLOOKUP($AO40,'Технический лист'!$M:$N,2,1)),1+(1-$AU40))</f>
        <v>1.0199999999999996</v>
      </c>
      <c r="CN40" s="15">
        <f>MIN(IF($AU40=100%,1,1+VLOOKUP(($AJ40-$AI40-$AH40-$AG40-$AF40-$AE40*(1+CN$3))/$AJ40,'Технический лист'!$M:$N,2,1)-VLOOKUP($AO40,'Технический лист'!$M:$N,2,1)),1+(1-$AU40))</f>
        <v>1.0199999999999996</v>
      </c>
      <c r="CO40" s="15">
        <f>MIN(IF($AU40=100%,1,1+VLOOKUP(($AJ40-$AI40-$AH40-$AG40-$AF40-$AE40*(1+CO$3))/$AJ40,'Технический лист'!$M:$N,2,1)-VLOOKUP($AO40,'Технический лист'!$M:$N,2,1)),1+(1-$AU40))</f>
        <v>1.0199999999999996</v>
      </c>
      <c r="CP40" s="15">
        <f>MIN(IF($AU40=100%,1,1+VLOOKUP(($AJ40-$AI40-$AH40-$AG40-$AF40-$AE40*(1+CP$3))/$AJ40,'Технический лист'!$M:$N,2,1)-VLOOKUP($AO40,'Технический лист'!$M:$N,2,1)),1+(1-$AU40))</f>
        <v>1.0199999999999996</v>
      </c>
      <c r="CQ40" s="15">
        <f>MIN(IF($AU40=100%,1,1+VLOOKUP(($AJ40-$AI40-$AH40-$AG40-$AF40-$AE40*(1+CQ$3))/$AJ40,'Технический лист'!$M:$N,2,1)-VLOOKUP($AO40,'Технический лист'!$M:$N,2,1)),1+(1-$AU40))</f>
        <v>1.0199999999999996</v>
      </c>
      <c r="CR40" s="15">
        <f>MIN(IF($AU40=100%,1,1+VLOOKUP(($AJ40-$AI40-$AH40-$AG40-$AF40-$AE40*(1+CR$3))/$AJ40,'Технический лист'!$M:$N,2,1)-VLOOKUP($AO40,'Технический лист'!$M:$N,2,1)),1+(1-$AU40))</f>
        <v>1.0199999999999996</v>
      </c>
      <c r="CS40" s="15">
        <f>MIN(IF($AU40=100%,1,1+VLOOKUP(($AJ40-$AI40-$AH40-$AG40-$AF40-$AE40*(1+CS$3))/$AJ40,'Технический лист'!$M:$N,2,1)-VLOOKUP($AO40,'Технический лист'!$M:$N,2,1)),1+(1-$AU40))</f>
        <v>1.0199999999999996</v>
      </c>
      <c r="CT40" s="15">
        <f>MIN(IF($AU40=100%,1,1+VLOOKUP(($AJ40-$AI40-$AH40-$AG40-$AF40-$AE40*(1+CT$3))/$AJ40,'Технический лист'!$M:$N,2,1)-VLOOKUP($AO40,'Технический лист'!$M:$N,2,1)),1+(1-$AU40))</f>
        <v>1.0199999999999996</v>
      </c>
      <c r="CU40" s="15">
        <f>MIN(IF($AU40=100%,1,1+VLOOKUP(($AJ40-$AI40-$AH40-$AG40-$AF40-$AE40*(1+CU$3))/$AJ40,'Технический лист'!$M:$N,2,1)-VLOOKUP($AO40,'Технический лист'!$M:$N,2,1)),1+(1-$AU40))</f>
        <v>1.0199999999999996</v>
      </c>
      <c r="CV40" s="15">
        <f>MIN(IF($AU40=100%,1,1+VLOOKUP(($AJ40-$AI40-$AH40-$AG40-$AF40-$AE40*(1+CV$3))/$AJ40,'Технический лист'!$M:$N,2,1)-VLOOKUP($AO40,'Технический лист'!$M:$N,2,1)),1+(1-$AU40))</f>
        <v>1.0199999999999996</v>
      </c>
      <c r="CW40" s="15">
        <f>MIN(IF($AU40=100%,1,1+VLOOKUP(($AJ40-$AI40-$AH40-$AG40-$AF40-$AE40*(1+CW$3))/$AJ40,'Технический лист'!$M:$N,2,1)-VLOOKUP($AO40,'Технический лист'!$M:$N,2,1)),1+(1-$AU40))</f>
        <v>1.0199999999999996</v>
      </c>
      <c r="CX40" s="15">
        <f>MIN(IF($AU40=100%,1,1+VLOOKUP(($AJ40-$AI40-$AH40-$AG40-$AF40-$AE40*(1+CX$3))/$AJ40,'Технический лист'!$M:$N,2,1)-VLOOKUP($AO40,'Технический лист'!$M:$N,2,1)),1+(1-$AU40))</f>
        <v>1.0199999999999996</v>
      </c>
      <c r="CY40" s="15">
        <f>MIN(IF($AU40=100%,1,1+VLOOKUP(($AJ40-$AI40-$AH40-$AG40-$AF40-$AE40*(1+CY$3))/$AJ40,'Технический лист'!$M:$N,2,1)-VLOOKUP($AO40,'Технический лист'!$M:$N,2,1)),1+(1-$AU40))</f>
        <v>1.0199999999999996</v>
      </c>
      <c r="CZ40" s="15">
        <f>MIN(IF($AU40=100%,1,1+VLOOKUP(($AJ40-$AI40-$AH40-$AG40-$AF40-$AE40*(1+CZ$3))/$AJ40,'Технический лист'!$M:$N,2,1)-VLOOKUP($AO40,'Технический лист'!$M:$N,2,1)),1+(1-$AU40))</f>
        <v>1.0149999999999997</v>
      </c>
      <c r="DA40" s="15">
        <f>MIN(IF($AU40=100%,1,1+VLOOKUP(($AJ40-$AI40-$AH40-$AG40-$AF40-$AE40*(1+DA$3))/$AJ40,'Технический лист'!$M:$N,2,1)-VLOOKUP($AO40,'Технический лист'!$M:$N,2,1)),1+(1-$AU40))</f>
        <v>1.0149999999999997</v>
      </c>
      <c r="DB40" s="15">
        <f>MIN(IF($AU40=100%,1,1+VLOOKUP(($AJ40-$AI40-$AH40-$AG40-$AF40-$AE40*(1+DB$3))/$AJ40,'Технический лист'!$M:$N,2,1)-VLOOKUP($AO40,'Технический лист'!$M:$N,2,1)),1+(1-$AU40))</f>
        <v>1.0149999999999997</v>
      </c>
      <c r="DC40" s="15">
        <f>MIN(IF($AU40=100%,1,1+VLOOKUP(($AJ40-$AI40-$AH40-$AG40-$AF40-$AE40*(1+DC$3))/$AJ40,'Технический лист'!$M:$N,2,1)-VLOOKUP($AO40,'Технический лист'!$M:$N,2,1)),1+(1-$AU40))</f>
        <v>1.0149999999999997</v>
      </c>
      <c r="DD40" s="15">
        <f>MIN(IF($AU40=100%,1,1+VLOOKUP(($AJ40-$AI40-$AH40-$AG40-$AF40-$AE40*(1+DD$3))/$AJ40,'Технический лист'!$M:$N,2,1)-VLOOKUP($AO40,'Технический лист'!$M:$N,2,1)),1+(1-$AU40))</f>
        <v>1.0149999999999997</v>
      </c>
      <c r="DE40" s="15">
        <f>MIN(IF($AU40=100%,1,1+VLOOKUP(($AJ40-$AI40-$AH40-$AG40-$AF40-$AE40*(1+DE$3))/$AJ40,'Технический лист'!$M:$N,2,1)-VLOOKUP($AO40,'Технический лист'!$M:$N,2,1)),1+(1-$AU40))</f>
        <v>1.0149999999999997</v>
      </c>
      <c r="DF40" s="15">
        <f>MIN(IF($AU40=100%,1,1+VLOOKUP(($AJ40-$AI40-$AH40-$AG40-$AF40-$AE40*(1+DF$3))/$AJ40,'Технический лист'!$M:$N,2,1)-VLOOKUP($AO40,'Технический лист'!$M:$N,2,1)),1+(1-$AU40))</f>
        <v>1.0149999999999997</v>
      </c>
      <c r="DG40" s="15">
        <f>MIN(IF($AU40=100%,1,1+VLOOKUP(($AJ40-$AI40-$AH40-$AG40-$AF40-$AE40*(1+DG$3))/$AJ40,'Технический лист'!$M:$N,2,1)-VLOOKUP($AO40,'Технический лист'!$M:$N,2,1)),1+(1-$AU40))</f>
        <v>1.0149999999999997</v>
      </c>
      <c r="DH40" s="15">
        <f>MIN(IF($AU40=100%,1,1+VLOOKUP(($AJ40-$AI40-$AH40-$AG40-$AF40-$AE40*(1+DH$3))/$AJ40,'Технический лист'!$M:$N,2,1)-VLOOKUP($AO40,'Технический лист'!$M:$N,2,1)),1+(1-$AU40))</f>
        <v>1.0149999999999997</v>
      </c>
      <c r="DI40" s="15">
        <f>MIN(IF($AU40=100%,1,1+VLOOKUP(($AJ40-$AI40-$AH40-$AG40-$AF40-$AE40*(1+DI$3))/$AJ40,'Технический лист'!$M:$N,2,1)-VLOOKUP($AO40,'Технический лист'!$M:$N,2,1)),1+(1-$AU40))</f>
        <v>1.0149999999999997</v>
      </c>
      <c r="DJ40" s="15">
        <f>MIN(IF($AU40=100%,1,1+VLOOKUP(($AJ40-$AI40-$AH40-$AG40-$AF40-$AE40*(1+DJ$3))/$AJ40,'Технический лист'!$M:$N,2,1)-VLOOKUP($AO40,'Технический лист'!$M:$N,2,1)),1+(1-$AU40))</f>
        <v>1.0149999999999997</v>
      </c>
      <c r="DK40" s="15">
        <f>MIN(IF($AU40=100%,1,1+VLOOKUP(($AJ40-$AI40-$AH40-$AG40-$AF40-$AE40*(1+DK$3))/$AJ40,'Технический лист'!$M:$N,2,1)-VLOOKUP($AO40,'Технический лист'!$M:$N,2,1)),1+(1-$AU40))</f>
        <v>1.0149999999999997</v>
      </c>
      <c r="DL40" s="15">
        <f>MIN(IF($AU40=100%,1,1+VLOOKUP(($AJ40-$AI40-$AH40-$AG40-$AF40-$AE40*(1+DL$3))/$AJ40,'Технический лист'!$M:$N,2,1)-VLOOKUP($AO40,'Технический лист'!$M:$N,2,1)),1+(1-$AU40))</f>
        <v>1.0149999999999997</v>
      </c>
      <c r="DM40" s="15">
        <f>MIN(IF($AU40=100%,1,1+VLOOKUP(($AJ40-$AI40-$AH40-$AG40-$AF40-$AE40*(1+DM$3))/$AJ40,'Технический лист'!$M:$N,2,1)-VLOOKUP($AO40,'Технический лист'!$M:$N,2,1)),1+(1-$AU40))</f>
        <v>1.0099999999999998</v>
      </c>
      <c r="DN40" s="15">
        <f>MIN(IF($AU40=100%,1,1+VLOOKUP(($AJ40-$AI40-$AH40-$AG40-$AF40-$AE40*(1+DN$3))/$AJ40,'Технический лист'!$M:$N,2,1)-VLOOKUP($AO40,'Технический лист'!$M:$N,2,1)),1+(1-$AU40))</f>
        <v>1.0099999999999998</v>
      </c>
      <c r="DO40" s="15">
        <f>MIN(IF($AU40=100%,1,1+VLOOKUP(($AJ40-$AI40-$AH40-$AG40-$AF40-$AE40*(1+DO$3))/$AJ40,'Технический лист'!$M:$N,2,1)-VLOOKUP($AO40,'Технический лист'!$M:$N,2,1)),1+(1-$AU40))</f>
        <v>1.0099999999999998</v>
      </c>
      <c r="DP40" s="15">
        <f>MIN(IF($AU40=100%,1,1+VLOOKUP(($AJ40-$AI40-$AH40-$AG40-$AF40-$AE40*(1+DP$3))/$AJ40,'Технический лист'!$M:$N,2,1)-VLOOKUP($AO40,'Технический лист'!$M:$N,2,1)),1+(1-$AU40))</f>
        <v>1.0099999999999998</v>
      </c>
      <c r="DQ40" s="15">
        <f>MIN(IF($AU40=100%,1,1+VLOOKUP(($AJ40-$AI40-$AH40-$AG40-$AF40-$AE40*(1+DQ$3))/$AJ40,'Технический лист'!$M:$N,2,1)-VLOOKUP($AO40,'Технический лист'!$M:$N,2,1)),1+(1-$AU40))</f>
        <v>1.0099999999999998</v>
      </c>
      <c r="DR40" s="15">
        <f>MIN(IF($AU40=100%,1,1+VLOOKUP(($AJ40-$AI40-$AH40-$AG40-$AF40-$AE40*(1+DR$3))/$AJ40,'Технический лист'!$M:$N,2,1)-VLOOKUP($AO40,'Технический лист'!$M:$N,2,1)),1+(1-$AU40))</f>
        <v>1.0099999999999998</v>
      </c>
      <c r="DS40" s="15">
        <f>MIN(IF($AU40=100%,1,1+VLOOKUP(($AJ40-$AI40-$AH40-$AG40-$AF40-$AE40*(1+DS$3))/$AJ40,'Технический лист'!$M:$N,2,1)-VLOOKUP($AO40,'Технический лист'!$M:$N,2,1)),1+(1-$AU40))</f>
        <v>1.0099999999999998</v>
      </c>
      <c r="DT40" s="15">
        <f>MIN(IF($AU40=100%,1,1+VLOOKUP(($AJ40-$AI40-$AH40-$AG40-$AF40-$AE40*(1+DT$3))/$AJ40,'Технический лист'!$M:$N,2,1)-VLOOKUP($AO40,'Технический лист'!$M:$N,2,1)),1+(1-$AU40))</f>
        <v>1.0099999999999998</v>
      </c>
      <c r="DU40" s="15">
        <f>MIN(IF($AU40=100%,1,1+VLOOKUP(($AJ40-$AI40-$AH40-$AG40-$AF40-$AE40*(1+DU$3))/$AJ40,'Технический лист'!$M:$N,2,1)-VLOOKUP($AO40,'Технический лист'!$M:$N,2,1)),1+(1-$AU40))</f>
        <v>1.0099999999999998</v>
      </c>
      <c r="DV40" s="15">
        <f>MIN(IF($AU40=100%,1,1+VLOOKUP(($AJ40-$AI40-$AH40-$AG40-$AF40-$AE40*(1+DV$3))/$AJ40,'Технический лист'!$M:$N,2,1)-VLOOKUP($AO40,'Технический лист'!$M:$N,2,1)),1+(1-$AU40))</f>
        <v>1.0099999999999998</v>
      </c>
      <c r="DW40" s="15">
        <f>MIN(IF($AU40=100%,1,1+VLOOKUP(($AJ40-$AI40-$AH40-$AG40-$AF40-$AE40*(1+DW$3))/$AJ40,'Технический лист'!$M:$N,2,1)-VLOOKUP($AO40,'Технический лист'!$M:$N,2,1)),1+(1-$AU40))</f>
        <v>1.0099999999999998</v>
      </c>
      <c r="DX40" s="15">
        <f>MIN(IF($AU40=100%,1,1+VLOOKUP(($AJ40-$AI40-$AH40-$AG40-$AF40-$AE40*(1+DX$3))/$AJ40,'Технический лист'!$M:$N,2,1)-VLOOKUP($AO40,'Технический лист'!$M:$N,2,1)),1+(1-$AU40))</f>
        <v>1.0099999999999998</v>
      </c>
      <c r="DY40" s="15">
        <f>MIN(IF($AU40=100%,1,1+VLOOKUP(($AJ40-$AI40-$AH40-$AG40-$AF40-$AE40*(1+DY$3))/$AJ40,'Технический лист'!$M:$N,2,1)-VLOOKUP($AO40,'Технический лист'!$M:$N,2,1)),1+(1-$AU40))</f>
        <v>1.0099999999999998</v>
      </c>
      <c r="DZ40" s="15">
        <f>MIN(IF($AU40=100%,1,1+VLOOKUP(($AJ40-$AI40-$AH40-$AG40-$AF40-$AE40*(1+DZ$3))/$AJ40,'Технический лист'!$M:$N,2,1)-VLOOKUP($AO40,'Технический лист'!$M:$N,2,1)),1+(1-$AU40))</f>
        <v>1.0099999999999998</v>
      </c>
      <c r="EA40" s="15">
        <f>MIN(IF($AU40=100%,1,1+VLOOKUP(($AJ40-$AI40-$AH40-$AG40-$AF40-$AE40*(1+EA$3))/$AJ40,'Технический лист'!$M:$N,2,1)-VLOOKUP($AO40,'Технический лист'!$M:$N,2,1)),1+(1-$AU40))</f>
        <v>1.0049999999999999</v>
      </c>
      <c r="EB40" s="15">
        <f>MIN(IF($AU40=100%,1,1+VLOOKUP(($AJ40-$AI40-$AH40-$AG40-$AF40-$AE40*(1+EB$3))/$AJ40,'Технический лист'!$M:$N,2,1)-VLOOKUP($AO40,'Технический лист'!$M:$N,2,1)),1+(1-$AU40))</f>
        <v>1.0049999999999999</v>
      </c>
      <c r="EC40" s="15">
        <f>MIN(IF($AU40=100%,1,1+VLOOKUP(($AJ40-$AI40-$AH40-$AG40-$AF40-$AE40*(1+EC$3))/$AJ40,'Технический лист'!$M:$N,2,1)-VLOOKUP($AO40,'Технический лист'!$M:$N,2,1)),1+(1-$AU40))</f>
        <v>1.0049999999999999</v>
      </c>
      <c r="ED40" s="15">
        <f>MIN(IF($AU40=100%,1,1+VLOOKUP(($AJ40-$AI40-$AH40-$AG40-$AF40-$AE40*(1+ED$3))/$AJ40,'Технический лист'!$M:$N,2,1)-VLOOKUP($AO40,'Технический лист'!$M:$N,2,1)),1+(1-$AU40))</f>
        <v>1.0049999999999999</v>
      </c>
      <c r="EE40" s="15">
        <f>MIN(IF($AU40=100%,1,1+VLOOKUP(($AJ40-$AI40-$AH40-$AG40-$AF40-$AE40*(1+EE$3))/$AJ40,'Технический лист'!$M:$N,2,1)-VLOOKUP($AO40,'Технический лист'!$M:$N,2,1)),1+(1-$AU40))</f>
        <v>1.0049999999999999</v>
      </c>
      <c r="EF40" s="15">
        <f>MIN(IF($AU40=100%,1,1+VLOOKUP(($AJ40-$AI40-$AH40-$AG40-$AF40-$AE40*(1+EF$3))/$AJ40,'Технический лист'!$M:$N,2,1)-VLOOKUP($AO40,'Технический лист'!$M:$N,2,1)),1+(1-$AU40))</f>
        <v>1.0049999999999999</v>
      </c>
      <c r="EG40" s="15">
        <f>MIN(IF($AU40=100%,1,1+VLOOKUP(($AJ40-$AI40-$AH40-$AG40-$AF40-$AE40*(1+EG$3))/$AJ40,'Технический лист'!$M:$N,2,1)-VLOOKUP($AO40,'Технический лист'!$M:$N,2,1)),1+(1-$AU40))</f>
        <v>1.0049999999999999</v>
      </c>
      <c r="EH40" s="15">
        <f>MIN(IF($AU40=100%,1,1+VLOOKUP(($AJ40-$AI40-$AH40-$AG40-$AF40-$AE40*(1+EH$3))/$AJ40,'Технический лист'!$M:$N,2,1)-VLOOKUP($AO40,'Технический лист'!$M:$N,2,1)),1+(1-$AU40))</f>
        <v>1.0049999999999999</v>
      </c>
      <c r="EI40" s="15">
        <f>MIN(IF($AU40=100%,1,1+VLOOKUP(($AJ40-$AI40-$AH40-$AG40-$AF40-$AE40*(1+EI$3))/$AJ40,'Технический лист'!$M:$N,2,1)-VLOOKUP($AO40,'Технический лист'!$M:$N,2,1)),1+(1-$AU40))</f>
        <v>1.0049999999999999</v>
      </c>
      <c r="EJ40" s="15">
        <f>MIN(IF($AU40=100%,1,1+VLOOKUP(($AJ40-$AI40-$AH40-$AG40-$AF40-$AE40*(1+EJ$3))/$AJ40,'Технический лист'!$M:$N,2,1)-VLOOKUP($AO40,'Технический лист'!$M:$N,2,1)),1+(1-$AU40))</f>
        <v>1.0049999999999999</v>
      </c>
      <c r="EK40" s="15">
        <f>MIN(IF($AU40=100%,1,1+VLOOKUP(($AJ40-$AI40-$AH40-$AG40-$AF40-$AE40*(1+EK$3))/$AJ40,'Технический лист'!$M:$N,2,1)-VLOOKUP($AO40,'Технический лист'!$M:$N,2,1)),1+(1-$AU40))</f>
        <v>1.0049999999999999</v>
      </c>
      <c r="EL40" s="15">
        <f>MIN(IF($AU40=100%,1,1+VLOOKUP(($AJ40-$AI40-$AH40-$AG40-$AF40-$AE40*(1+EL$3))/$AJ40,'Технический лист'!$M:$N,2,1)-VLOOKUP($AO40,'Технический лист'!$M:$N,2,1)),1+(1-$AU40))</f>
        <v>1.0049999999999999</v>
      </c>
      <c r="EM40" s="15">
        <f>MIN(IF($AU40=100%,1,1+VLOOKUP(($AJ40-$AI40-$AH40-$AG40-$AF40-$AE40*(1+EM$3))/$AJ40,'Технический лист'!$M:$N,2,1)-VLOOKUP($AO40,'Технический лист'!$M:$N,2,1)),1+(1-$AU40))</f>
        <v>1.0049999999999999</v>
      </c>
      <c r="EN40" s="15">
        <f>MIN(IF($AU40=100%,1,1+VLOOKUP(($AJ40-$AI40-$AH40-$AG40-$AF40-$AE40*(1+EN$3))/$AJ40,'Технический лист'!$M:$N,2,1)-VLOOKUP($AO40,'Технический лист'!$M:$N,2,1)),1+(1-$AU40))</f>
        <v>1</v>
      </c>
      <c r="EO40" s="15">
        <f>MIN(IF($AU40=100%,1,1+VLOOKUP(($AJ40-$AI40-$AH40-$AG40-$AF40-$AE40*(1+EO$3))/$AJ40,'Технический лист'!$M:$N,2,1)-VLOOKUP($AO40,'Технический лист'!$M:$N,2,1)),1+(1-$AU40))</f>
        <v>1</v>
      </c>
      <c r="EP40" s="15">
        <f>MIN(IF($AU40=100%,1,1+VLOOKUP(($AJ40-$AI40-$AH40-$AG40-$AF40-$AE40*(1+EP$3))/$AJ40,'Технический лист'!$M:$N,2,1)-VLOOKUP($AO40,'Технический лист'!$M:$N,2,1)),1+(1-$AU40))</f>
        <v>1</v>
      </c>
      <c r="EQ40" s="15">
        <f>MIN(IF($AU40=100%,1,1+VLOOKUP(($AJ40-$AI40-$AH40-$AG40-$AF40-$AE40*(1+EQ$3))/$AJ40,'Технический лист'!$M:$N,2,1)-VLOOKUP($AO40,'Технический лист'!$M:$N,2,1)),1+(1-$AU40))</f>
        <v>1</v>
      </c>
      <c r="ER40" s="15">
        <f>MIN(IF($AU40=100%,1,1+VLOOKUP(($AJ40-$AI40-$AH40-$AG40-$AF40-$AE40*(1+ER$3))/$AJ40,'Технический лист'!$M:$N,2,1)-VLOOKUP($AO40,'Технический лист'!$M:$N,2,1)),1+(1-$AU40))</f>
        <v>1</v>
      </c>
      <c r="ES40" s="15">
        <f>MIN(IF($AU40=100%,1,1+VLOOKUP(($AJ40-$AI40-$AH40-$AG40-$AF40-$AE40*(1+ES$3))/$AJ40,'Технический лист'!$M:$N,2,1)-VLOOKUP($AO40,'Технический лист'!$M:$N,2,1)),1+(1-$AU40))</f>
        <v>1</v>
      </c>
      <c r="ET40" s="15">
        <f>MIN(IF($AU40=100%,1,1+VLOOKUP(($AJ40-$AI40-$AH40-$AG40-$AF40-$AE40*(1+ET$3))/$AJ40,'Технический лист'!$M:$N,2,1)-VLOOKUP($AO40,'Технический лист'!$M:$N,2,1)),1+(1-$AU40))</f>
        <v>1</v>
      </c>
      <c r="EU40" s="15">
        <f>MIN(IF($AU40=100%,1,1+VLOOKUP(($AJ40-$AI40-$AH40-$AG40-$AF40-$AE40*(1+EU$3))/$AJ40,'Технический лист'!$M:$N,2,1)-VLOOKUP($AO40,'Технический лист'!$M:$N,2,1)),1+(1-$AU40))</f>
        <v>1</v>
      </c>
      <c r="EV40" s="111">
        <v>1</v>
      </c>
      <c r="EW40" s="15">
        <f>MIN(1,MAX(VLOOKUP(($AJ40-$AI40-$AH40-$AG40-$AF40-$AE40*(1+EW$3))/$AJ40,'Технический лист'!$M:$N,2,1),(EV40-0.05)))</f>
        <v>1</v>
      </c>
      <c r="EX40" s="15">
        <f>MIN(1,MAX(VLOOKUP(($AJ40-$AI40-$AH40-$AG40-$AF40-$AE40*(1+EX$3))/$AJ40,'Технический лист'!$M:$N,2,1),(EW40-0.05)))</f>
        <v>1</v>
      </c>
      <c r="EY40" s="15">
        <f>MIN(1,MAX(VLOOKUP(($AJ40-$AI40-$AH40-$AG40-$AF40-$AE40*(1+EY$3))/$AJ40,'Технический лист'!$M:$N,2,1),(EX40-0.05)))</f>
        <v>1</v>
      </c>
      <c r="EZ40" s="15">
        <f>MIN(1,MAX(VLOOKUP(($AJ40-$AI40-$AH40-$AG40-$AF40-$AE40*(1+EZ$3))/$AJ40,'Технический лист'!$M:$N,2,1),(EY40-0.05)))</f>
        <v>1</v>
      </c>
      <c r="FA40" s="15">
        <f>MIN(1,MAX(VLOOKUP(($AJ40-$AI40-$AH40-$AG40-$AF40-$AE40*(1+FA$3))/$AJ40,'Технический лист'!$M:$N,2,1),(EZ40-0.05)))</f>
        <v>1</v>
      </c>
      <c r="FB40" s="15">
        <f>MIN(1,MAX(VLOOKUP(($AJ40-$AI40-$AH40-$AG40-$AF40-$AE40*(1+FB$3))/$AJ40,'Технический лист'!$M:$N,2,1),(FA40-0.05)))</f>
        <v>1</v>
      </c>
      <c r="FC40" s="15">
        <f>MIN(1,MAX(VLOOKUP(($AJ40-$AI40-$AH40-$AG40-$AF40-$AE40*(1+FC$3))/$AJ40,'Технический лист'!$M:$N,2,1),(FB40-0.05)))</f>
        <v>1</v>
      </c>
      <c r="FD40" s="15">
        <f>MIN(1,MAX(VLOOKUP(($AJ40-$AI40-$AH40-$AG40-$AF40-$AE40*(1+FD$3))/$AJ40,'Технический лист'!$M:$N,2,1),(FC40-0.05)))</f>
        <v>1</v>
      </c>
      <c r="FE40" s="15">
        <f>MIN(1,MAX(VLOOKUP(($AJ40-$AI40-$AH40-$AG40-$AF40-$AE40*(1+FE$3))/$AJ40,'Технический лист'!$M:$N,2,1),(FD40-0.05)))</f>
        <v>1</v>
      </c>
      <c r="FF40" s="15">
        <f>MIN(1,MAX(VLOOKUP(($AJ40-$AI40-$AH40-$AG40-$AF40-$AE40*(1+FF$3))/$AJ40,'Технический лист'!$M:$N,2,1),(FE40-0.05)))</f>
        <v>1</v>
      </c>
      <c r="FG40" s="15">
        <f>MIN(1,MAX(VLOOKUP(($AJ40-$AI40-$AH40-$AG40-$AF40-$AE40*(1+FG$3))/$AJ40,'Технический лист'!$M:$N,2,1),(FF40-0.05)))</f>
        <v>1</v>
      </c>
      <c r="FH40" s="15">
        <f>MIN(1,MAX(VLOOKUP(($AJ40-$AI40-$AH40-$AG40-$AF40-$AE40*(1+FH$3))/$AJ40,'Технический лист'!$M:$N,2,1),(FG40-0.05)))</f>
        <v>1</v>
      </c>
      <c r="FI40" s="15">
        <f>MIN(1,MAX(VLOOKUP(($AJ40-$AI40-$AH40-$AG40-$AF40-$AE40*(1+FI$3))/$AJ40,'Технический лист'!$M:$N,2,1),(FH40-0.05)))</f>
        <v>1</v>
      </c>
      <c r="FJ40" s="15">
        <f>MIN(1,MAX(VLOOKUP(($AJ40-$AI40-$AH40-$AG40-$AF40-$AE40*(1+FJ$3))/$AJ40,'Технический лист'!$M:$N,2,1),(FI40-0.05)))</f>
        <v>1</v>
      </c>
      <c r="FK40" s="15">
        <f>MIN(1,MAX(VLOOKUP(($AJ40-$AI40-$AH40-$AG40-$AF40-$AE40*(1+FK$3))/$AJ40,'Технический лист'!$M:$N,2,1),(FJ40-0.05)))</f>
        <v>1</v>
      </c>
      <c r="FL40" s="15">
        <f>MIN(1,MAX(VLOOKUP(($AJ40-$AI40-$AH40-$AG40-$AF40-$AE40*(1+FL$3))/$AJ40,'Технический лист'!$M:$N,2,1),(FK40-0.05)))</f>
        <v>1</v>
      </c>
      <c r="FM40" s="15">
        <f>MIN(1,MAX(VLOOKUP(($AJ40-$AI40-$AH40-$AG40-$AF40-$AE40*(1+FM$3))/$AJ40,'Технический лист'!$M:$N,2,1),(FL40-0.05)))</f>
        <v>1</v>
      </c>
      <c r="FN40" s="15">
        <f>MIN(1,MAX(VLOOKUP(($AJ40-$AI40-$AH40-$AG40-$AF40-$AE40*(1+FN$3))/$AJ40,'Технический лист'!$M:$N,2,1),(FM40-0.05)))</f>
        <v>1</v>
      </c>
      <c r="FO40" s="15">
        <f>MIN(1,MAX(VLOOKUP(($AJ40-$AI40-$AH40-$AG40-$AF40-$AE40*(1+FO$3))/$AJ40,'Технический лист'!$M:$N,2,1),(FN40-0.05)))</f>
        <v>1</v>
      </c>
      <c r="FP40" s="15">
        <f>MIN(1,MAX(VLOOKUP(($AJ40-$AI40-$AH40-$AG40-$AF40-$AE40*(1+FP$3))/$AJ40,'Технический лист'!$M:$N,2,1),(FO40-0.05)))</f>
        <v>1</v>
      </c>
      <c r="FQ40" s="15">
        <f>MIN(1,MAX(VLOOKUP(($AJ40-$AI40-$AH40-$AG40-$AF40-$AE40*(1+FQ$3))/$AJ40,'Технический лист'!$M:$N,2,1),(FP40-0.05)))</f>
        <v>1</v>
      </c>
      <c r="FR40" s="15">
        <f>MIN(1,MAX(VLOOKUP(($AJ40-$AI40-$AH40-$AG40-$AF40-$AE40*(1+FR$3))/$AJ40,'Технический лист'!$M:$N,2,1),(FQ40-0.05)))</f>
        <v>1</v>
      </c>
      <c r="FS40" s="15">
        <f>MIN(1,MAX(VLOOKUP(($AJ40-$AI40-$AH40-$AG40-$AF40-$AE40*(1+FS$3))/$AJ40,'Технический лист'!$M:$N,2,1),(FR40-0.05)))</f>
        <v>1</v>
      </c>
      <c r="FT40" s="15">
        <f>MIN(1,MAX(VLOOKUP(($AJ40-$AI40-$AH40-$AG40-$AF40-$AE40*(1+FT$3))/$AJ40,'Технический лист'!$M:$N,2,1),(FS40-0.05)))</f>
        <v>1</v>
      </c>
      <c r="FU40" s="15">
        <f>MIN(1,MAX(VLOOKUP(($AJ40-$AI40-$AH40-$AG40-$AF40-$AE40*(1+FU$3))/$AJ40,'Технический лист'!$M:$N,2,1),(FT40-0.05)))</f>
        <v>1</v>
      </c>
      <c r="FV40" s="15">
        <f>MIN(1,MAX(VLOOKUP(($AJ40-$AI40-$AH40-$AG40-$AF40-$AE40*(1+FV$3))/$AJ40,'Технический лист'!$M:$N,2,1),(FU40-0.05)))</f>
        <v>1</v>
      </c>
      <c r="FW40" s="15">
        <f>MIN(1,MAX(VLOOKUP(($AJ40-$AI40-$AH40-$AG40-$AF40-$AE40*(1+FW$3))/$AJ40,'Технический лист'!$M:$N,2,1),(FV40-0.05)))</f>
        <v>1</v>
      </c>
      <c r="FX40" s="15">
        <f>MIN(1,MAX(VLOOKUP(($AJ40-$AI40-$AH40-$AG40-$AF40-$AE40*(1+FX$3))/$AJ40,'Технический лист'!$M:$N,2,1),(FW40-0.05)))</f>
        <v>1</v>
      </c>
      <c r="FY40" s="15">
        <f>MIN(1,MAX(VLOOKUP(($AJ40-$AI40-$AH40-$AG40-$AF40-$AE40*(1+FY$3))/$AJ40,'Технический лист'!$M:$N,2,1),(FX40-0.05)))</f>
        <v>1</v>
      </c>
      <c r="FZ40" s="15">
        <f>MIN(1,MAX(VLOOKUP(($AJ40-$AI40-$AH40-$AG40-$AF40-$AE40*(1+FZ$3))/$AJ40,'Технический лист'!$M:$N,2,1),(FY40-0.05)))</f>
        <v>1</v>
      </c>
      <c r="GA40" s="15">
        <f>MIN(1,MAX(VLOOKUP(($AJ40-$AI40-$AH40-$AG40-$AF40-$AE40*(1+GA$3))/$AJ40,'Технический лист'!$M:$N,2,1),(FZ40-0.05)))</f>
        <v>1</v>
      </c>
      <c r="GB40" s="15">
        <f>MIN(1,MAX(VLOOKUP(($AJ40-$AI40-$AH40-$AG40-$AF40-$AE40*(1+GB$3))/$AJ40,'Технический лист'!$M:$N,2,1),(GA40-0.05)))</f>
        <v>1</v>
      </c>
      <c r="GC40" s="15">
        <f>MIN(1,MAX(VLOOKUP(($AJ40-$AI40-$AH40-$AG40-$AF40-$AE40*(1+GC$3))/$AJ40,'Технический лист'!$M:$N,2,1),(GB40-0.05)))</f>
        <v>1</v>
      </c>
      <c r="GD40" s="15">
        <f>MIN(1,MAX(VLOOKUP(($AJ40-$AI40-$AH40-$AG40-$AF40-$AE40*(1+GD$3))/$AJ40,'Технический лист'!$M:$N,2,1),(GC40-0.05)))</f>
        <v>1</v>
      </c>
      <c r="GE40" s="15">
        <f>MIN(1,MAX(VLOOKUP(($AJ40-$AI40-$AH40-$AG40-$AF40-$AE40*(1+GE$3))/$AJ40,'Технический лист'!$M:$N,2,1),(GD40-0.05)))</f>
        <v>1</v>
      </c>
      <c r="GF40" s="15">
        <f>MIN(1,MAX(VLOOKUP(($AJ40-$AI40-$AH40-$AG40-$AF40-$AE40*(1+GF$3))/$AJ40,'Технический лист'!$M:$N,2,1),(GE40-0.05)))</f>
        <v>1</v>
      </c>
      <c r="GG40" s="15">
        <f>MIN(1,MAX(VLOOKUP(($AJ40-$AI40-$AH40-$AG40-$AF40-$AE40*(1+GG$3))/$AJ40,'Технический лист'!$M:$N,2,1),(GF40-0.05)))</f>
        <v>1</v>
      </c>
      <c r="GH40" s="15">
        <f>MIN(1,MAX(VLOOKUP(($AJ40-$AI40-$AH40-$AG40-$AF40-$AE40*(1+GH$3))/$AJ40,'Технический лист'!$M:$N,2,1),(GG40-0.05)))</f>
        <v>1</v>
      </c>
      <c r="GI40" s="15">
        <f>MIN(1,MAX(VLOOKUP(($AJ40-$AI40-$AH40-$AG40-$AF40-$AE40*(1+GI$3))/$AJ40,'Технический лист'!$M:$N,2,1),(GH40-0.05)))</f>
        <v>1</v>
      </c>
      <c r="GJ40" s="15">
        <f>MIN(1,MAX(VLOOKUP(($AJ40-$AI40-$AH40-$AG40-$AF40-$AE40*(1+GJ$3))/$AJ40,'Технический лист'!$M:$N,2,1),(GI40-0.05)))</f>
        <v>1</v>
      </c>
      <c r="GK40" s="15">
        <f>MIN(1,MAX(VLOOKUP(($AJ40-$AI40-$AH40-$AG40-$AF40-$AE40*(1+GK$3))/$AJ40,'Технический лист'!$M:$N,2,1),(GJ40-0.05)))</f>
        <v>1</v>
      </c>
      <c r="GL40" s="15">
        <f>MIN(1,MAX(VLOOKUP(($AJ40-$AI40-$AH40-$AG40-$AF40-$AE40*(1+GL$3))/$AJ40,'Технический лист'!$M:$N,2,1),(GK40-0.05)))</f>
        <v>1</v>
      </c>
      <c r="GM40" s="15">
        <f>MIN(1,MAX(VLOOKUP(($AJ40-$AI40-$AH40-$AG40-$AF40-$AE40*(1+GM$3))/$AJ40,'Технический лист'!$M:$N,2,1),(GL40-0.05)))</f>
        <v>1</v>
      </c>
      <c r="GN40" s="15">
        <f>MIN(1,MAX(VLOOKUP(($AJ40-$AI40-$AH40-$AG40-$AF40-$AE40*(1+GN$3))/$AJ40,'Технический лист'!$M:$N,2,1),(GM40-0.05)))</f>
        <v>1</v>
      </c>
      <c r="GO40" s="15">
        <f>MIN(1,MAX(VLOOKUP(($AJ40-$AI40-$AH40-$AG40-$AF40-$AE40*(1+GO$3))/$AJ40,'Технический лист'!$M:$N,2,1),(GN40-0.05)))</f>
        <v>1</v>
      </c>
      <c r="GP40" s="15">
        <f>MIN(1,MAX(VLOOKUP(($AJ40-$AI40-$AH40-$AG40-$AF40-$AE40*(1+GP$3))/$AJ40,'Технический лист'!$M:$N,2,1),(GO40-0.05)))</f>
        <v>1</v>
      </c>
      <c r="GQ40" s="15">
        <f>MIN(1,MAX(VLOOKUP(($AJ40-$AI40-$AH40-$AG40-$AF40-$AE40*(1+GQ$3))/$AJ40,'Технический лист'!$M:$N,2,1),(GP40-0.05)))</f>
        <v>1</v>
      </c>
      <c r="GR40" s="15">
        <f>MIN(1,MAX(VLOOKUP(($AJ40-$AI40-$AH40-$AG40-$AF40-$AE40*(1+GR$3))/$AJ40,'Технический лист'!$M:$N,2,1),(GQ40-0.05)))</f>
        <v>1</v>
      </c>
      <c r="GS40" s="15">
        <f>MIN(1,MAX(VLOOKUP(($AJ40-$AI40-$AH40-$AG40-$AF40-$AE40*(1+GS$3))/$AJ40,'Технический лист'!$M:$N,2,1),(GR40-0.05)))</f>
        <v>1</v>
      </c>
      <c r="GT40" s="15">
        <f>MIN(1,MAX(VLOOKUP(($AJ40-$AI40-$AH40-$AG40-$AF40-$AE40*(1+GT$3))/$AJ40,'Технический лист'!$M:$N,2,1),(GS40-0.05)))</f>
        <v>1</v>
      </c>
      <c r="GU40" s="15">
        <f>MIN(1,MAX(VLOOKUP(($AJ40-$AI40-$AH40-$AG40-$AF40-$AE40*(1+GU$3))/$AJ40,'Технический лист'!$M:$N,2,1),(GT40-0.05)))</f>
        <v>1</v>
      </c>
      <c r="GV40" s="15">
        <f>MIN(1,MAX(VLOOKUP(($AJ40-$AI40-$AH40-$AG40-$AF40-$AE40*(1+GV$3))/$AJ40,'Технический лист'!$M:$N,2,1),(GU40-0.05)))</f>
        <v>1</v>
      </c>
      <c r="GW40" s="15">
        <f>MIN(1,MAX(VLOOKUP(($AJ40-$AI40-$AH40-$AG40-$AF40-$AE40*(1+GW$3))/$AJ40,'Технический лист'!$M:$N,2,1),(GV40-0.05)))</f>
        <v>1</v>
      </c>
      <c r="GX40" s="15">
        <f>MIN(1,MAX(VLOOKUP(($AJ40-$AI40-$AH40-$AG40-$AF40-$AE40*(1+GX$3))/$AJ40,'Технический лист'!$M:$N,2,1),(GW40-0.05)))</f>
        <v>1</v>
      </c>
      <c r="GY40" s="15">
        <f>MIN(1,MAX(VLOOKUP(($AJ40-$AI40-$AH40-$AG40-$AF40-$AE40*(1+GY$3))/$AJ40,'Технический лист'!$M:$N,2,1),(GX40-0.05)))</f>
        <v>1</v>
      </c>
      <c r="GZ40" s="15">
        <f>MIN(1,MAX(VLOOKUP(($AJ40-$AI40-$AH40-$AG40-$AF40-$AE40*(1+GZ$3))/$AJ40,'Технический лист'!$M:$N,2,1),(GY40-0.05)))</f>
        <v>1</v>
      </c>
      <c r="HA40" s="15">
        <f>MIN(1,MAX(VLOOKUP(($AJ40-$AI40-$AH40-$AG40-$AF40-$AE40*(1+HA$3))/$AJ40,'Технический лист'!$M:$N,2,1),(GZ40-0.05)))</f>
        <v>1</v>
      </c>
      <c r="HB40" s="15">
        <f>MIN(1,MAX(VLOOKUP(($AJ40-$AI40-$AH40-$AG40-$AF40-$AE40*(1+HB$3))/$AJ40,'Технический лист'!$M:$N,2,1),(HA40-0.05)))</f>
        <v>1</v>
      </c>
      <c r="HC40" s="15">
        <f>MIN(1,MAX(VLOOKUP(($AJ40-$AI40-$AH40-$AG40-$AF40-$AE40*(1+HC$3))/$AJ40,'Технический лист'!$M:$N,2,1),(HB40-0.05)))</f>
        <v>1</v>
      </c>
      <c r="HD40" s="15">
        <f>MIN(1,MAX(VLOOKUP(($AJ40-$AI40-$AH40-$AG40-$AF40-$AE40*(1+HD$3))/$AJ40,'Технический лист'!$M:$N,2,1),(HC40-0.05)))</f>
        <v>1</v>
      </c>
      <c r="HE40" s="15">
        <f>MIN(1,MAX(VLOOKUP(($AJ40-$AI40-$AH40-$AG40-$AF40-$AE40*(1+HE$3))/$AJ40,'Технический лист'!$M:$N,2,1),(HD40-0.05)))</f>
        <v>1</v>
      </c>
      <c r="HF40" s="15">
        <f>MIN(1,MAX(VLOOKUP(($AJ40-$AI40-$AH40-$AG40-$AF40-$AE40*(1+HF$3))/$AJ40,'Технический лист'!$M:$N,2,1),(HE40-0.05)))</f>
        <v>1</v>
      </c>
      <c r="HG40" s="15">
        <f>MIN(1,MAX(VLOOKUP(($AJ40-$AI40-$AH40-$AG40-$AF40-$AE40*(1+HG$3))/$AJ40,'Технический лист'!$M:$N,2,1),(HF40-0.05)))</f>
        <v>1</v>
      </c>
      <c r="HH40" s="15">
        <f>MIN(1,MAX(VLOOKUP(($AJ40-$AI40-$AH40-$AG40-$AF40-$AE40*(1+HH$3))/$AJ40,'Технический лист'!$M:$N,2,1),(HG40-0.05)))</f>
        <v>1</v>
      </c>
      <c r="HI40" s="15">
        <f>MIN(1,MAX(VLOOKUP(($AJ40-$AI40-$AH40-$AG40-$AF40-$AE40*(1+HI$3))/$AJ40,'Технический лист'!$M:$N,2,1),(HH40-0.05)))</f>
        <v>1</v>
      </c>
      <c r="HJ40" s="15">
        <f>MIN(1,MAX(VLOOKUP(($AJ40-$AI40-$AH40-$AG40-$AF40-$AE40*(1+HJ$3))/$AJ40,'Технический лист'!$M:$N,2,1),(HI40-0.05)))</f>
        <v>1</v>
      </c>
      <c r="HK40" s="15">
        <f>MIN(1,MAX(VLOOKUP(($AJ40-$AI40-$AH40-$AG40-$AF40-$AE40*(1+HK$3))/$AJ40,'Технический лист'!$M:$N,2,1),(HJ40-0.05)))</f>
        <v>1</v>
      </c>
      <c r="HL40" s="15">
        <f>MIN(1,MAX(VLOOKUP(($AJ40-$AI40-$AH40-$AG40-$AF40-$AE40*(1+HL$3))/$AJ40,'Технический лист'!$M:$N,2,1),(HK40-0.05)))</f>
        <v>1</v>
      </c>
      <c r="HM40" s="15">
        <f>MIN(1,MAX(VLOOKUP(($AJ40-$AI40-$AH40-$AG40-$AF40-$AE40*(1+HM$3))/$AJ40,'Технический лист'!$M:$N,2,1),(HL40-0.05)))</f>
        <v>1</v>
      </c>
      <c r="HN40" s="15">
        <f>MIN(1,MAX(VLOOKUP(($AJ40-$AI40-$AH40-$AG40-$AF40-$AE40*(1+HN$3))/$AJ40,'Технический лист'!$M:$N,2,1),(HM40-0.05)))</f>
        <v>1</v>
      </c>
      <c r="HO40" s="15">
        <f>MIN(1,MAX(VLOOKUP(($AJ40-$AI40-$AH40-$AG40-$AF40-$AE40*(1+HO$3))/$AJ40,'Технический лист'!$M:$N,2,1),(HN40-0.05)))</f>
        <v>1</v>
      </c>
      <c r="HP40" s="15">
        <f>MIN(1,MAX(VLOOKUP(($AJ40-$AI40-$AH40-$AG40-$AF40-$AE40*(1+HP$3))/$AJ40,'Технический лист'!$M:$N,2,1),(HO40-0.05)))</f>
        <v>1</v>
      </c>
      <c r="HQ40" s="15">
        <f>MIN(1,MAX(VLOOKUP(($AJ40-$AI40-$AH40-$AG40-$AF40-$AE40*(1+HQ$3))/$AJ40,'Технический лист'!$M:$N,2,1),(HP40-0.05)))</f>
        <v>1</v>
      </c>
      <c r="HR40" s="15">
        <f>MIN(1,MAX(VLOOKUP(($AJ40-$AI40-$AH40-$AG40-$AF40-$AE40*(1+HR$3))/$AJ40,'Технический лист'!$M:$N,2,1),(HQ40-0.05)))</f>
        <v>1</v>
      </c>
      <c r="HS40" s="15">
        <f>MIN(1,MAX(VLOOKUP(($AJ40-$AI40-$AH40-$AG40-$AF40-$AE40*(1+HS$3))/$AJ40,'Технический лист'!$M:$N,2,1),(HR40-0.05)))</f>
        <v>1</v>
      </c>
      <c r="HT40" s="15">
        <f>MIN(1,MAX(VLOOKUP(($AJ40-$AI40-$AH40-$AG40-$AF40-$AE40*(1+HT$3))/$AJ40,'Технический лист'!$M:$N,2,1),(HS40-0.05)))</f>
        <v>1</v>
      </c>
      <c r="HU40" s="15">
        <f>MIN(1,MAX(VLOOKUP(($AJ40-$AI40-$AH40-$AG40-$AF40-$AE40*(1+HU$3))/$AJ40,'Технический лист'!$M:$N,2,1),(HT40-0.05)))</f>
        <v>1</v>
      </c>
      <c r="HV40" s="15">
        <f>MIN(1,MAX(VLOOKUP(($AJ40-$AI40-$AH40-$AG40-$AF40-$AE40*(1+HV$3))/$AJ40,'Технический лист'!$M:$N,2,1),(HU40-0.05)))</f>
        <v>1</v>
      </c>
      <c r="HW40" s="15">
        <f>MIN(1,MAX(VLOOKUP(($AJ40-$AI40-$AH40-$AG40-$AF40-$AE40*(1+HW$3))/$AJ40,'Технический лист'!$M:$N,2,1),(HV40-0.05)))</f>
        <v>1</v>
      </c>
      <c r="HX40" s="15">
        <f>MIN(1,MAX(VLOOKUP(($AJ40-$AI40-$AH40-$AG40-$AF40-$AE40*(1+HX$3))/$AJ40,'Технический лист'!$M:$N,2,1),(HW40-0.05)))</f>
        <v>1</v>
      </c>
      <c r="HY40" s="15">
        <f>MIN(1,MAX(VLOOKUP(($AJ40-$AI40-$AH40-$AG40-$AF40-$AE40*(1+HY$3))/$AJ40,'Технический лист'!$M:$N,2,1),(HX40-0.05)))</f>
        <v>1</v>
      </c>
      <c r="HZ40" s="15">
        <f>MIN(1,MAX(VLOOKUP(($AJ40-$AI40-$AH40-$AG40-$AF40-$AE40*(1+HZ$3))/$AJ40,'Технический лист'!$M:$N,2,1),(HY40-0.05)))</f>
        <v>1</v>
      </c>
      <c r="IA40" s="15">
        <f>MIN(1,MAX(VLOOKUP(($AJ40-$AI40-$AH40-$AG40-$AF40-$AE40*(1+IA$3))/$AJ40,'Технический лист'!$M:$N,2,1),(HZ40-0.05)))</f>
        <v>1</v>
      </c>
      <c r="IB40" s="15">
        <f>MIN(1,MAX(VLOOKUP(($AJ40-$AI40-$AH40-$AG40-$AF40-$AE40*(1+IB$3))/$AJ40,'Технический лист'!$M:$N,2,1),(IA40-0.05)))</f>
        <v>1</v>
      </c>
      <c r="IC40" s="15">
        <f>MIN(1,MAX(VLOOKUP(($AJ40-$AI40-$AH40-$AG40-$AF40-$AE40*(1+IC$3))/$AJ40,'Технический лист'!$M:$N,2,1),(IB40-0.05)))</f>
        <v>1</v>
      </c>
      <c r="ID40" s="15">
        <f>MIN(1,MAX(VLOOKUP(($AJ40-$AI40-$AH40-$AG40-$AF40-$AE40*(1+ID$3))/$AJ40,'Технический лист'!$M:$N,2,1),(IC40-0.05)))</f>
        <v>1</v>
      </c>
      <c r="IE40" s="15">
        <f>MIN(1,MAX(VLOOKUP(($AJ40-$AI40-$AH40-$AG40-$AF40-$AE40*(1+IE$3))/$AJ40,'Технический лист'!$M:$N,2,1),(ID40-0.05)))</f>
        <v>1</v>
      </c>
      <c r="IF40" s="15">
        <f>MIN(1,MAX(VLOOKUP(($AJ40-$AI40-$AH40-$AG40-$AF40-$AE40*(1+IF$3))/$AJ40,'Технический лист'!$M:$N,2,1),(IE40-0.05)))</f>
        <v>1</v>
      </c>
      <c r="IG40" s="15">
        <f>MIN(1,MAX(VLOOKUP(($AJ40-$AI40-$AH40-$AG40-$AF40-$AE40*(1+IG$3))/$AJ40,'Технический лист'!$M:$N,2,1),(IF40-0.05)))</f>
        <v>1</v>
      </c>
      <c r="IH40" s="15">
        <f>MIN(1,MAX(VLOOKUP(($AJ40-$AI40-$AH40-$AG40-$AF40-$AE40*(1+IH$3))/$AJ40,'Технический лист'!$M:$N,2,1),(IG40-0.05)))</f>
        <v>1</v>
      </c>
      <c r="II40" s="15">
        <f>MIN(1,MAX(VLOOKUP(($AJ40-$AI40-$AH40-$AG40-$AF40-$AE40*(1+II$3))/$AJ40,'Технический лист'!$M:$N,2,1),(IH40-0.05)))</f>
        <v>1</v>
      </c>
      <c r="IJ40" s="15">
        <f>MIN(1,MAX(VLOOKUP(($AJ40-$AI40-$AH40-$AG40-$AF40-$AE40*(1+IJ$3))/$AJ40,'Технический лист'!$M:$N,2,1),(II40-0.05)))</f>
        <v>1</v>
      </c>
      <c r="IK40" s="15">
        <f>MIN(1,MAX(VLOOKUP(($AJ40-$AI40-$AH40-$AG40-$AF40-$AE40*(1+IK$3))/$AJ40,'Технический лист'!$M:$N,2,1),(IJ40-0.05)))</f>
        <v>1</v>
      </c>
      <c r="IL40" s="15">
        <f>MIN(1,MAX(VLOOKUP(($AJ40-$AI40-$AH40-$AG40-$AF40-$AE40*(1+IL$3))/$AJ40,'Технический лист'!$M:$N,2,1),(IK40-0.05)))</f>
        <v>1</v>
      </c>
      <c r="IM40" s="15">
        <f>MIN(1,MAX(VLOOKUP(($AJ40-$AI40-$AH40-$AG40-$AF40-$AE40*(1+IM$3))/$AJ40,'Технический лист'!$M:$N,2,1),(IL40-0.05)))</f>
        <v>1</v>
      </c>
      <c r="IN40" s="15">
        <f>MIN(1,MAX(VLOOKUP(($AJ40-$AI40-$AH40-$AG40-$AF40-$AE40*(1+IN$3))/$AJ40,'Технический лист'!$M:$N,2,1),(IM40-0.05)))</f>
        <v>1</v>
      </c>
      <c r="IO40" s="15">
        <f>MIN(1,MAX(VLOOKUP(($AJ40-$AI40-$AH40-$AG40-$AF40-$AE40*(1+IO$3))/$AJ40,'Технический лист'!$M:$N,2,1),(IN40-0.05)))</f>
        <v>0.995</v>
      </c>
      <c r="IP40" s="15">
        <f>MIN(1,MAX(VLOOKUP(($AJ40-$AI40-$AH40-$AG40-$AF40-$AE40*(1+IP$3))/$AJ40,'Технический лист'!$M:$N,2,1),(IO40-0.05)))</f>
        <v>0.995</v>
      </c>
      <c r="IQ40" s="15">
        <f>MIN(1,MAX(VLOOKUP(($AJ40-$AI40-$AH40-$AG40-$AF40-$AE40*(1+IQ$3))/$AJ40,'Технический лист'!$M:$N,2,1),(IP40-0.05)))</f>
        <v>0.995</v>
      </c>
      <c r="IR40" s="15">
        <f>MIN(1,MAX(VLOOKUP(($AJ40-$AI40-$AH40-$AG40-$AF40-$AE40*(1+IR$3))/$AJ40,'Технический лист'!$M:$N,2,1),(IQ40-0.05)))</f>
        <v>0.995</v>
      </c>
    </row>
    <row r="41" spans="1:252" ht="29.15">
      <c r="A41" s="89" t="s">
        <v>514</v>
      </c>
      <c r="B41" s="90">
        <v>4</v>
      </c>
      <c r="C41" s="5" t="s">
        <v>67</v>
      </c>
      <c r="D41" s="91">
        <v>14109</v>
      </c>
      <c r="E41" s="91" t="s">
        <v>335</v>
      </c>
      <c r="F41" s="92" t="s">
        <v>74</v>
      </c>
      <c r="G41" s="91" t="s">
        <v>16</v>
      </c>
      <c r="H41" s="91" t="s">
        <v>30</v>
      </c>
      <c r="I41" s="91" t="s">
        <v>142</v>
      </c>
      <c r="J41" s="91" t="s">
        <v>60</v>
      </c>
      <c r="K41" s="91">
        <v>2524</v>
      </c>
      <c r="L41" s="85" t="s">
        <v>64</v>
      </c>
      <c r="M41" s="91" t="s">
        <v>190</v>
      </c>
      <c r="N41" s="91" t="s">
        <v>191</v>
      </c>
      <c r="O41" s="91" t="s">
        <v>194</v>
      </c>
      <c r="P41" s="89" t="s">
        <v>231</v>
      </c>
      <c r="Q41" s="91" t="s">
        <v>305</v>
      </c>
      <c r="R41" s="91" t="s">
        <v>265</v>
      </c>
      <c r="S41" s="82">
        <v>37843</v>
      </c>
      <c r="T41" s="82">
        <v>95516374</v>
      </c>
      <c r="U41" s="81">
        <v>512</v>
      </c>
      <c r="V41" s="81">
        <v>0</v>
      </c>
      <c r="W41" s="82">
        <v>42894811</v>
      </c>
      <c r="X41" s="112">
        <v>72</v>
      </c>
      <c r="Y41" s="112" t="s">
        <v>418</v>
      </c>
      <c r="Z41" s="113">
        <v>7</v>
      </c>
      <c r="AA41" s="113">
        <v>7</v>
      </c>
      <c r="AB41" s="113">
        <v>4</v>
      </c>
      <c r="AC41" s="99">
        <v>1194.32</v>
      </c>
      <c r="AD41" s="99">
        <f t="shared" si="15"/>
        <v>653.81000000000017</v>
      </c>
      <c r="AE41" s="99">
        <v>1848.13</v>
      </c>
      <c r="AF41" s="98">
        <f>(Z41+AA41+AB41)*'Ставки аренды'!$B$2/X41</f>
        <v>250</v>
      </c>
      <c r="AG41" s="114">
        <v>0</v>
      </c>
      <c r="AH41" s="94">
        <v>0</v>
      </c>
      <c r="AI41" s="115">
        <f>14214890/21228111*AVERAGE(AJ40,AJ41)</f>
        <v>3851.8346995547549</v>
      </c>
      <c r="AJ41" s="117">
        <f>Цены!$D$14</f>
        <v>5400</v>
      </c>
      <c r="AK41" s="94">
        <f>AJ41/Цены!$B$1</f>
        <v>70.76816219014357</v>
      </c>
      <c r="AL41" s="95">
        <f t="shared" si="5"/>
        <v>2098.13</v>
      </c>
      <c r="AM41" s="95">
        <f t="shared" si="6"/>
        <v>3301.87</v>
      </c>
      <c r="AN41" s="94">
        <f t="shared" si="16"/>
        <v>5949.9646995547546</v>
      </c>
      <c r="AO41" s="118">
        <f t="shared" si="17"/>
        <v>-0.10184531473236196</v>
      </c>
      <c r="AP41" s="96">
        <f t="shared" si="7"/>
        <v>0.38854259259259261</v>
      </c>
      <c r="AQ41" s="96">
        <f t="shared" si="8"/>
        <v>0.34224629629629633</v>
      </c>
      <c r="AR41" s="96">
        <f t="shared" si="9"/>
        <v>0.88084627739939847</v>
      </c>
      <c r="AS41" s="122">
        <v>1</v>
      </c>
      <c r="AT41" s="121">
        <f t="shared" si="10"/>
        <v>37843</v>
      </c>
      <c r="AU41" s="83">
        <v>0.75</v>
      </c>
      <c r="AV41" s="119">
        <f t="shared" si="11"/>
        <v>-0.14291487028791766</v>
      </c>
      <c r="AW41" s="120">
        <f t="shared" si="12"/>
        <v>0.42961214814814824</v>
      </c>
      <c r="AX41" s="120">
        <f t="shared" si="13"/>
        <v>0.38331585185185196</v>
      </c>
      <c r="AY41" s="120">
        <f t="shared" si="14"/>
        <v>0.89223699447080951</v>
      </c>
      <c r="AZ41" s="15">
        <f>MIN(IF($AU41=100%,1,1+VLOOKUP(($AJ41-$AI41-$AH41-$AG41-$AF41-$AE41*(1+AZ$3))/$AJ41,'Технический лист'!$M:$N,2,1)-VLOOKUP($AO41,'Технический лист'!$M:$N,2,1)),1+(1-$AU41))</f>
        <v>1.2449999999999994</v>
      </c>
      <c r="BA41" s="15">
        <f>MIN(IF($AU41=100%,1,1+VLOOKUP(($AJ41-$AI41-$AH41-$AG41-$AF41-$AE41*(1+BA$3))/$AJ41,'Технический лист'!$M:$N,2,1)-VLOOKUP($AO41,'Технический лист'!$M:$N,2,1)),1+(1-$AU41))</f>
        <v>1.2449999999999994</v>
      </c>
      <c r="BB41" s="15">
        <f>MIN(IF($AU41=100%,1,1+VLOOKUP(($AJ41-$AI41-$AH41-$AG41-$AF41-$AE41*(1+BB$3))/$AJ41,'Технический лист'!$M:$N,2,1)-VLOOKUP($AO41,'Технический лист'!$M:$N,2,1)),1+(1-$AU41))</f>
        <v>1.2449999999999994</v>
      </c>
      <c r="BC41" s="15">
        <f>MIN(IF($AU41=100%,1,1+VLOOKUP(($AJ41-$AI41-$AH41-$AG41-$AF41-$AE41*(1+BC$3))/$AJ41,'Технический лист'!$M:$N,2,1)-VLOOKUP($AO41,'Технический лист'!$M:$N,2,1)),1+(1-$AU41))</f>
        <v>1.2349999999999992</v>
      </c>
      <c r="BD41" s="15">
        <f>MIN(IF($AU41=100%,1,1+VLOOKUP(($AJ41-$AI41-$AH41-$AG41-$AF41-$AE41*(1+BD$3))/$AJ41,'Технический лист'!$M:$N,2,1)-VLOOKUP($AO41,'Технический лист'!$M:$N,2,1)),1+(1-$AU41))</f>
        <v>1.2349999999999992</v>
      </c>
      <c r="BE41" s="15">
        <f>MIN(IF($AU41=100%,1,1+VLOOKUP(($AJ41-$AI41-$AH41-$AG41-$AF41-$AE41*(1+BE$3))/$AJ41,'Технический лист'!$M:$N,2,1)-VLOOKUP($AO41,'Технический лист'!$M:$N,2,1)),1+(1-$AU41))</f>
        <v>1.2349999999999992</v>
      </c>
      <c r="BF41" s="15">
        <f>MIN(IF($AU41=100%,1,1+VLOOKUP(($AJ41-$AI41-$AH41-$AG41-$AF41-$AE41*(1+BF$3))/$AJ41,'Технический лист'!$M:$N,2,1)-VLOOKUP($AO41,'Технический лист'!$M:$N,2,1)),1+(1-$AU41))</f>
        <v>1.224999999999999</v>
      </c>
      <c r="BG41" s="15">
        <f>MIN(IF($AU41=100%,1,1+VLOOKUP(($AJ41-$AI41-$AH41-$AG41-$AF41-$AE41*(1+BG$3))/$AJ41,'Технический лист'!$M:$N,2,1)-VLOOKUP($AO41,'Технический лист'!$M:$N,2,1)),1+(1-$AU41))</f>
        <v>1.224999999999999</v>
      </c>
      <c r="BH41" s="15">
        <f>MIN(IF($AU41=100%,1,1+VLOOKUP(($AJ41-$AI41-$AH41-$AG41-$AF41-$AE41*(1+BH$3))/$AJ41,'Технический лист'!$M:$N,2,1)-VLOOKUP($AO41,'Технический лист'!$M:$N,2,1)),1+(1-$AU41))</f>
        <v>1.224999999999999</v>
      </c>
      <c r="BI41" s="15">
        <f>MIN(IF($AU41=100%,1,1+VLOOKUP(($AJ41-$AI41-$AH41-$AG41-$AF41-$AE41*(1+BI$3))/$AJ41,'Технический лист'!$M:$N,2,1)-VLOOKUP($AO41,'Технический лист'!$M:$N,2,1)),1+(1-$AU41))</f>
        <v>1.2149999999999992</v>
      </c>
      <c r="BJ41" s="15">
        <f>MIN(IF($AU41=100%,1,1+VLOOKUP(($AJ41-$AI41-$AH41-$AG41-$AF41-$AE41*(1+BJ$3))/$AJ41,'Технический лист'!$M:$N,2,1)-VLOOKUP($AO41,'Технический лист'!$M:$N,2,1)),1+(1-$AU41))</f>
        <v>1.2149999999999992</v>
      </c>
      <c r="BK41" s="15">
        <f>MIN(IF($AU41=100%,1,1+VLOOKUP(($AJ41-$AI41-$AH41-$AG41-$AF41-$AE41*(1+BK$3))/$AJ41,'Технический лист'!$M:$N,2,1)-VLOOKUP($AO41,'Технический лист'!$M:$N,2,1)),1+(1-$AU41))</f>
        <v>1.2149999999999992</v>
      </c>
      <c r="BL41" s="15">
        <f>MIN(IF($AU41=100%,1,1+VLOOKUP(($AJ41-$AI41-$AH41-$AG41-$AF41-$AE41*(1+BL$3))/$AJ41,'Технический лист'!$M:$N,2,1)-VLOOKUP($AO41,'Технический лист'!$M:$N,2,1)),1+(1-$AU41))</f>
        <v>1.2099999999999993</v>
      </c>
      <c r="BM41" s="15">
        <f>MIN(IF($AU41=100%,1,1+VLOOKUP(($AJ41-$AI41-$AH41-$AG41-$AF41-$AE41*(1+BM$3))/$AJ41,'Технический лист'!$M:$N,2,1)-VLOOKUP($AO41,'Технический лист'!$M:$N,2,1)),1+(1-$AU41))</f>
        <v>1.2099999999999993</v>
      </c>
      <c r="BN41" s="15">
        <f>MIN(IF($AU41=100%,1,1+VLOOKUP(($AJ41-$AI41-$AH41-$AG41-$AF41-$AE41*(1+BN$3))/$AJ41,'Технический лист'!$M:$N,2,1)-VLOOKUP($AO41,'Технический лист'!$M:$N,2,1)),1+(1-$AU41))</f>
        <v>1.2099999999999993</v>
      </c>
      <c r="BO41" s="15">
        <f>MIN(IF($AU41=100%,1,1+VLOOKUP(($AJ41-$AI41-$AH41-$AG41-$AF41-$AE41*(1+BO$3))/$AJ41,'Технический лист'!$M:$N,2,1)-VLOOKUP($AO41,'Технический лист'!$M:$N,2,1)),1+(1-$AU41))</f>
        <v>1.2049999999999994</v>
      </c>
      <c r="BP41" s="15">
        <f>MIN(IF($AU41=100%,1,1+VLOOKUP(($AJ41-$AI41-$AH41-$AG41-$AF41-$AE41*(1+BP$3))/$AJ41,'Технический лист'!$M:$N,2,1)-VLOOKUP($AO41,'Технический лист'!$M:$N,2,1)),1+(1-$AU41))</f>
        <v>1.2049999999999994</v>
      </c>
      <c r="BQ41" s="15">
        <f>MIN(IF($AU41=100%,1,1+VLOOKUP(($AJ41-$AI41-$AH41-$AG41-$AF41-$AE41*(1+BQ$3))/$AJ41,'Технический лист'!$M:$N,2,1)-VLOOKUP($AO41,'Технический лист'!$M:$N,2,1)),1+(1-$AU41))</f>
        <v>1.2049999999999994</v>
      </c>
      <c r="BR41" s="15">
        <f>MIN(IF($AU41=100%,1,1+VLOOKUP(($AJ41-$AI41-$AH41-$AG41-$AF41-$AE41*(1+BR$3))/$AJ41,'Технический лист'!$M:$N,2,1)-VLOOKUP($AO41,'Технический лист'!$M:$N,2,1)),1+(1-$AU41))</f>
        <v>1.1999999999999995</v>
      </c>
      <c r="BS41" s="15">
        <f>MIN(IF($AU41=100%,1,1+VLOOKUP(($AJ41-$AI41-$AH41-$AG41-$AF41-$AE41*(1+BS$3))/$AJ41,'Технический лист'!$M:$N,2,1)-VLOOKUP($AO41,'Технический лист'!$M:$N,2,1)),1+(1-$AU41))</f>
        <v>1.1999999999999995</v>
      </c>
      <c r="BT41" s="15">
        <f>MIN(IF($AU41=100%,1,1+VLOOKUP(($AJ41-$AI41-$AH41-$AG41-$AF41-$AE41*(1+BT$3))/$AJ41,'Технический лист'!$M:$N,2,1)-VLOOKUP($AO41,'Технический лист'!$M:$N,2,1)),1+(1-$AU41))</f>
        <v>1.1999999999999995</v>
      </c>
      <c r="BU41" s="15">
        <f>MIN(IF($AU41=100%,1,1+VLOOKUP(($AJ41-$AI41-$AH41-$AG41-$AF41-$AE41*(1+BU$3))/$AJ41,'Технический лист'!$M:$N,2,1)-VLOOKUP($AO41,'Технический лист'!$M:$N,2,1)),1+(1-$AU41))</f>
        <v>1.1949999999999996</v>
      </c>
      <c r="BV41" s="15">
        <f>MIN(IF($AU41=100%,1,1+VLOOKUP(($AJ41-$AI41-$AH41-$AG41-$AF41-$AE41*(1+BV$3))/$AJ41,'Технический лист'!$M:$N,2,1)-VLOOKUP($AO41,'Технический лист'!$M:$N,2,1)),1+(1-$AU41))</f>
        <v>1.1949999999999996</v>
      </c>
      <c r="BW41" s="15">
        <f>MIN(IF($AU41=100%,1,1+VLOOKUP(($AJ41-$AI41-$AH41-$AG41-$AF41-$AE41*(1+BW$3))/$AJ41,'Технический лист'!$M:$N,2,1)-VLOOKUP($AO41,'Технический лист'!$M:$N,2,1)),1+(1-$AU41))</f>
        <v>1.1899999999999997</v>
      </c>
      <c r="BX41" s="15">
        <f>MIN(IF($AU41=100%,1,1+VLOOKUP(($AJ41-$AI41-$AH41-$AG41-$AF41-$AE41*(1+BX$3))/$AJ41,'Технический лист'!$M:$N,2,1)-VLOOKUP($AO41,'Технический лист'!$M:$N,2,1)),1+(1-$AU41))</f>
        <v>1.1899999999999997</v>
      </c>
      <c r="BY41" s="15">
        <f>MIN(IF($AU41=100%,1,1+VLOOKUP(($AJ41-$AI41-$AH41-$AG41-$AF41-$AE41*(1+BY$3))/$AJ41,'Технический лист'!$M:$N,2,1)-VLOOKUP($AO41,'Технический лист'!$M:$N,2,1)),1+(1-$AU41))</f>
        <v>1.1899999999999997</v>
      </c>
      <c r="BZ41" s="15">
        <f>MIN(IF($AU41=100%,1,1+VLOOKUP(($AJ41-$AI41-$AH41-$AG41-$AF41-$AE41*(1+BZ$3))/$AJ41,'Технический лист'!$M:$N,2,1)-VLOOKUP($AO41,'Технический лист'!$M:$N,2,1)),1+(1-$AU41))</f>
        <v>1.1849999999999998</v>
      </c>
      <c r="CA41" s="15">
        <f>MIN(IF($AU41=100%,1,1+VLOOKUP(($AJ41-$AI41-$AH41-$AG41-$AF41-$AE41*(1+CA$3))/$AJ41,'Технический лист'!$M:$N,2,1)-VLOOKUP($AO41,'Технический лист'!$M:$N,2,1)),1+(1-$AU41))</f>
        <v>1.1849999999999998</v>
      </c>
      <c r="CB41" s="15">
        <f>MIN(IF($AU41=100%,1,1+VLOOKUP(($AJ41-$AI41-$AH41-$AG41-$AF41-$AE41*(1+CB$3))/$AJ41,'Технический лист'!$M:$N,2,1)-VLOOKUP($AO41,'Технический лист'!$M:$N,2,1)),1+(1-$AU41))</f>
        <v>1.1849999999999998</v>
      </c>
      <c r="CC41" s="15">
        <f>MIN(IF($AU41=100%,1,1+VLOOKUP(($AJ41-$AI41-$AH41-$AG41-$AF41-$AE41*(1+CC$3))/$AJ41,'Технический лист'!$M:$N,2,1)-VLOOKUP($AO41,'Технический лист'!$M:$N,2,1)),1+(1-$AU41))</f>
        <v>1.18</v>
      </c>
      <c r="CD41" s="15">
        <f>MIN(IF($AU41=100%,1,1+VLOOKUP(($AJ41-$AI41-$AH41-$AG41-$AF41-$AE41*(1+CD$3))/$AJ41,'Технический лист'!$M:$N,2,1)-VLOOKUP($AO41,'Технический лист'!$M:$N,2,1)),1+(1-$AU41))</f>
        <v>1.18</v>
      </c>
      <c r="CE41" s="15">
        <f>MIN(IF($AU41=100%,1,1+VLOOKUP(($AJ41-$AI41-$AH41-$AG41-$AF41-$AE41*(1+CE$3))/$AJ41,'Технический лист'!$M:$N,2,1)-VLOOKUP($AO41,'Технический лист'!$M:$N,2,1)),1+(1-$AU41))</f>
        <v>1.18</v>
      </c>
      <c r="CF41" s="15">
        <f>MIN(IF($AU41=100%,1,1+VLOOKUP(($AJ41-$AI41-$AH41-$AG41-$AF41-$AE41*(1+CF$3))/$AJ41,'Технический лист'!$M:$N,2,1)-VLOOKUP($AO41,'Технический лист'!$M:$N,2,1)),1+(1-$AU41))</f>
        <v>1.175</v>
      </c>
      <c r="CG41" s="15">
        <f>MIN(IF($AU41=100%,1,1+VLOOKUP(($AJ41-$AI41-$AH41-$AG41-$AF41-$AE41*(1+CG$3))/$AJ41,'Технический лист'!$M:$N,2,1)-VLOOKUP($AO41,'Технический лист'!$M:$N,2,1)),1+(1-$AU41))</f>
        <v>1.175</v>
      </c>
      <c r="CH41" s="15">
        <f>MIN(IF($AU41=100%,1,1+VLOOKUP(($AJ41-$AI41-$AH41-$AG41-$AF41-$AE41*(1+CH$3))/$AJ41,'Технический лист'!$M:$N,2,1)-VLOOKUP($AO41,'Технический лист'!$M:$N,2,1)),1+(1-$AU41))</f>
        <v>1.175</v>
      </c>
      <c r="CI41" s="15">
        <f>MIN(IF($AU41=100%,1,1+VLOOKUP(($AJ41-$AI41-$AH41-$AG41-$AF41-$AE41*(1+CI$3))/$AJ41,'Технический лист'!$M:$N,2,1)-VLOOKUP($AO41,'Технический лист'!$M:$N,2,1)),1+(1-$AU41))</f>
        <v>1.175</v>
      </c>
      <c r="CJ41" s="15">
        <f>MIN(IF($AU41=100%,1,1+VLOOKUP(($AJ41-$AI41-$AH41-$AG41-$AF41-$AE41*(1+CJ$3))/$AJ41,'Технический лист'!$M:$N,2,1)-VLOOKUP($AO41,'Технический лист'!$M:$N,2,1)),1+(1-$AU41))</f>
        <v>1.175</v>
      </c>
      <c r="CK41" s="15">
        <f>MIN(IF($AU41=100%,1,1+VLOOKUP(($AJ41-$AI41-$AH41-$AG41-$AF41-$AE41*(1+CK$3))/$AJ41,'Технический лист'!$M:$N,2,1)-VLOOKUP($AO41,'Технический лист'!$M:$N,2,1)),1+(1-$AU41))</f>
        <v>1.175</v>
      </c>
      <c r="CL41" s="15">
        <f>MIN(IF($AU41=100%,1,1+VLOOKUP(($AJ41-$AI41-$AH41-$AG41-$AF41-$AE41*(1+CL$3))/$AJ41,'Технический лист'!$M:$N,2,1)-VLOOKUP($AO41,'Технический лист'!$M:$N,2,1)),1+(1-$AU41))</f>
        <v>1.175</v>
      </c>
      <c r="CM41" s="15">
        <f>MIN(IF($AU41=100%,1,1+VLOOKUP(($AJ41-$AI41-$AH41-$AG41-$AF41-$AE41*(1+CM$3))/$AJ41,'Технический лист'!$M:$N,2,1)-VLOOKUP($AO41,'Технический лист'!$M:$N,2,1)),1+(1-$AU41))</f>
        <v>1.175</v>
      </c>
      <c r="CN41" s="15">
        <f>MIN(IF($AU41=100%,1,1+VLOOKUP(($AJ41-$AI41-$AH41-$AG41-$AF41-$AE41*(1+CN$3))/$AJ41,'Технический лист'!$M:$N,2,1)-VLOOKUP($AO41,'Технический лист'!$M:$N,2,1)),1+(1-$AU41))</f>
        <v>1.175</v>
      </c>
      <c r="CO41" s="15">
        <f>MIN(IF($AU41=100%,1,1+VLOOKUP(($AJ41-$AI41-$AH41-$AG41-$AF41-$AE41*(1+CO$3))/$AJ41,'Технический лист'!$M:$N,2,1)-VLOOKUP($AO41,'Технический лист'!$M:$N,2,1)),1+(1-$AU41))</f>
        <v>1.175</v>
      </c>
      <c r="CP41" s="15">
        <f>MIN(IF($AU41=100%,1,1+VLOOKUP(($AJ41-$AI41-$AH41-$AG41-$AF41-$AE41*(1+CP$3))/$AJ41,'Технический лист'!$M:$N,2,1)-VLOOKUP($AO41,'Технический лист'!$M:$N,2,1)),1+(1-$AU41))</f>
        <v>1.175</v>
      </c>
      <c r="CQ41" s="15">
        <f>MIN(IF($AU41=100%,1,1+VLOOKUP(($AJ41-$AI41-$AH41-$AG41-$AF41-$AE41*(1+CQ$3))/$AJ41,'Технический лист'!$M:$N,2,1)-VLOOKUP($AO41,'Технический лист'!$M:$N,2,1)),1+(1-$AU41))</f>
        <v>1.175</v>
      </c>
      <c r="CR41" s="15">
        <f>MIN(IF($AU41=100%,1,1+VLOOKUP(($AJ41-$AI41-$AH41-$AG41-$AF41-$AE41*(1+CR$3))/$AJ41,'Технический лист'!$M:$N,2,1)-VLOOKUP($AO41,'Технический лист'!$M:$N,2,1)),1+(1-$AU41))</f>
        <v>1.175</v>
      </c>
      <c r="CS41" s="15">
        <f>MIN(IF($AU41=100%,1,1+VLOOKUP(($AJ41-$AI41-$AH41-$AG41-$AF41-$AE41*(1+CS$3))/$AJ41,'Технический лист'!$M:$N,2,1)-VLOOKUP($AO41,'Технический лист'!$M:$N,2,1)),1+(1-$AU41))</f>
        <v>1.175</v>
      </c>
      <c r="CT41" s="15">
        <f>MIN(IF($AU41=100%,1,1+VLOOKUP(($AJ41-$AI41-$AH41-$AG41-$AF41-$AE41*(1+CT$3))/$AJ41,'Технический лист'!$M:$N,2,1)-VLOOKUP($AO41,'Технический лист'!$M:$N,2,1)),1+(1-$AU41))</f>
        <v>1.175</v>
      </c>
      <c r="CU41" s="15">
        <f>MIN(IF($AU41=100%,1,1+VLOOKUP(($AJ41-$AI41-$AH41-$AG41-$AF41-$AE41*(1+CU$3))/$AJ41,'Технический лист'!$M:$N,2,1)-VLOOKUP($AO41,'Технический лист'!$M:$N,2,1)),1+(1-$AU41))</f>
        <v>1.1700000000000002</v>
      </c>
      <c r="CV41" s="15">
        <f>MIN(IF($AU41=100%,1,1+VLOOKUP(($AJ41-$AI41-$AH41-$AG41-$AF41-$AE41*(1+CV$3))/$AJ41,'Технический лист'!$M:$N,2,1)-VLOOKUP($AO41,'Технический лист'!$M:$N,2,1)),1+(1-$AU41))</f>
        <v>1.1700000000000002</v>
      </c>
      <c r="CW41" s="15">
        <f>MIN(IF($AU41=100%,1,1+VLOOKUP(($AJ41-$AI41-$AH41-$AG41-$AF41-$AE41*(1+CW$3))/$AJ41,'Технический лист'!$M:$N,2,1)-VLOOKUP($AO41,'Технический лист'!$M:$N,2,1)),1+(1-$AU41))</f>
        <v>1.1700000000000002</v>
      </c>
      <c r="CX41" s="15">
        <f>MIN(IF($AU41=100%,1,1+VLOOKUP(($AJ41-$AI41-$AH41-$AG41-$AF41-$AE41*(1+CX$3))/$AJ41,'Технический лист'!$M:$N,2,1)-VLOOKUP($AO41,'Технический лист'!$M:$N,2,1)),1+(1-$AU41))</f>
        <v>1.165</v>
      </c>
      <c r="CY41" s="15">
        <f>MIN(IF($AU41=100%,1,1+VLOOKUP(($AJ41-$AI41-$AH41-$AG41-$AF41-$AE41*(1+CY$3))/$AJ41,'Технический лист'!$M:$N,2,1)-VLOOKUP($AO41,'Технический лист'!$M:$N,2,1)),1+(1-$AU41))</f>
        <v>1.165</v>
      </c>
      <c r="CZ41" s="15">
        <f>MIN(IF($AU41=100%,1,1+VLOOKUP(($AJ41-$AI41-$AH41-$AG41-$AF41-$AE41*(1+CZ$3))/$AJ41,'Технический лист'!$M:$N,2,1)-VLOOKUP($AO41,'Технический лист'!$M:$N,2,1)),1+(1-$AU41))</f>
        <v>1.165</v>
      </c>
      <c r="DA41" s="15">
        <f>MIN(IF($AU41=100%,1,1+VLOOKUP(($AJ41-$AI41-$AH41-$AG41-$AF41-$AE41*(1+DA$3))/$AJ41,'Технический лист'!$M:$N,2,1)-VLOOKUP($AO41,'Технический лист'!$M:$N,2,1)),1+(1-$AU41))</f>
        <v>1.1599999999999999</v>
      </c>
      <c r="DB41" s="15">
        <f>MIN(IF($AU41=100%,1,1+VLOOKUP(($AJ41-$AI41-$AH41-$AG41-$AF41-$AE41*(1+DB$3))/$AJ41,'Технический лист'!$M:$N,2,1)-VLOOKUP($AO41,'Технический лист'!$M:$N,2,1)),1+(1-$AU41))</f>
        <v>1.1599999999999999</v>
      </c>
      <c r="DC41" s="15">
        <f>MIN(IF($AU41=100%,1,1+VLOOKUP(($AJ41-$AI41-$AH41-$AG41-$AF41-$AE41*(1+DC$3))/$AJ41,'Технический лист'!$M:$N,2,1)-VLOOKUP($AO41,'Технический лист'!$M:$N,2,1)),1+(1-$AU41))</f>
        <v>1.1599999999999999</v>
      </c>
      <c r="DD41" s="15">
        <f>MIN(IF($AU41=100%,1,1+VLOOKUP(($AJ41-$AI41-$AH41-$AG41-$AF41-$AE41*(1+DD$3))/$AJ41,'Технический лист'!$M:$N,2,1)-VLOOKUP($AO41,'Технический лист'!$M:$N,2,1)),1+(1-$AU41))</f>
        <v>1.155</v>
      </c>
      <c r="DE41" s="15">
        <f>MIN(IF($AU41=100%,1,1+VLOOKUP(($AJ41-$AI41-$AH41-$AG41-$AF41-$AE41*(1+DE$3))/$AJ41,'Технический лист'!$M:$N,2,1)-VLOOKUP($AO41,'Технический лист'!$M:$N,2,1)),1+(1-$AU41))</f>
        <v>1.155</v>
      </c>
      <c r="DF41" s="15">
        <f>MIN(IF($AU41=100%,1,1+VLOOKUP(($AJ41-$AI41-$AH41-$AG41-$AF41-$AE41*(1+DF$3))/$AJ41,'Технический лист'!$M:$N,2,1)-VLOOKUP($AO41,'Технический лист'!$M:$N,2,1)),1+(1-$AU41))</f>
        <v>1.155</v>
      </c>
      <c r="DG41" s="15">
        <f>MIN(IF($AU41=100%,1,1+VLOOKUP(($AJ41-$AI41-$AH41-$AG41-$AF41-$AE41*(1+DG$3))/$AJ41,'Технический лист'!$M:$N,2,1)-VLOOKUP($AO41,'Технический лист'!$M:$N,2,1)),1+(1-$AU41))</f>
        <v>1.1500000000000001</v>
      </c>
      <c r="DH41" s="15">
        <f>MIN(IF($AU41=100%,1,1+VLOOKUP(($AJ41-$AI41-$AH41-$AG41-$AF41-$AE41*(1+DH$3))/$AJ41,'Технический лист'!$M:$N,2,1)-VLOOKUP($AO41,'Технический лист'!$M:$N,2,1)),1+(1-$AU41))</f>
        <v>1.1500000000000001</v>
      </c>
      <c r="DI41" s="15">
        <f>MIN(IF($AU41=100%,1,1+VLOOKUP(($AJ41-$AI41-$AH41-$AG41-$AF41-$AE41*(1+DI$3))/$AJ41,'Технический лист'!$M:$N,2,1)-VLOOKUP($AO41,'Технический лист'!$M:$N,2,1)),1+(1-$AU41))</f>
        <v>1.145</v>
      </c>
      <c r="DJ41" s="15">
        <f>MIN(IF($AU41=100%,1,1+VLOOKUP(($AJ41-$AI41-$AH41-$AG41-$AF41-$AE41*(1+DJ$3))/$AJ41,'Технический лист'!$M:$N,2,1)-VLOOKUP($AO41,'Технический лист'!$M:$N,2,1)),1+(1-$AU41))</f>
        <v>1.145</v>
      </c>
      <c r="DK41" s="15">
        <f>MIN(IF($AU41=100%,1,1+VLOOKUP(($AJ41-$AI41-$AH41-$AG41-$AF41-$AE41*(1+DK$3))/$AJ41,'Технический лист'!$M:$N,2,1)-VLOOKUP($AO41,'Технический лист'!$M:$N,2,1)),1+(1-$AU41))</f>
        <v>1.145</v>
      </c>
      <c r="DL41" s="15">
        <f>MIN(IF($AU41=100%,1,1+VLOOKUP(($AJ41-$AI41-$AH41-$AG41-$AF41-$AE41*(1+DL$3))/$AJ41,'Технический лист'!$M:$N,2,1)-VLOOKUP($AO41,'Технический лист'!$M:$N,2,1)),1+(1-$AU41))</f>
        <v>1.1399999999999999</v>
      </c>
      <c r="DM41" s="15">
        <f>MIN(IF($AU41=100%,1,1+VLOOKUP(($AJ41-$AI41-$AH41-$AG41-$AF41-$AE41*(1+DM$3))/$AJ41,'Технический лист'!$M:$N,2,1)-VLOOKUP($AO41,'Технический лист'!$M:$N,2,1)),1+(1-$AU41))</f>
        <v>1.1399999999999999</v>
      </c>
      <c r="DN41" s="15">
        <f>MIN(IF($AU41=100%,1,1+VLOOKUP(($AJ41-$AI41-$AH41-$AG41-$AF41-$AE41*(1+DN$3))/$AJ41,'Технический лист'!$M:$N,2,1)-VLOOKUP($AO41,'Технический лист'!$M:$N,2,1)),1+(1-$AU41))</f>
        <v>1.1399999999999999</v>
      </c>
      <c r="DO41" s="15">
        <f>MIN(IF($AU41=100%,1,1+VLOOKUP(($AJ41-$AI41-$AH41-$AG41-$AF41-$AE41*(1+DO$3))/$AJ41,'Технический лист'!$M:$N,2,1)-VLOOKUP($AO41,'Технический лист'!$M:$N,2,1)),1+(1-$AU41))</f>
        <v>1.135</v>
      </c>
      <c r="DP41" s="15">
        <f>MIN(IF($AU41=100%,1,1+VLOOKUP(($AJ41-$AI41-$AH41-$AG41-$AF41-$AE41*(1+DP$3))/$AJ41,'Технический лист'!$M:$N,2,1)-VLOOKUP($AO41,'Технический лист'!$M:$N,2,1)),1+(1-$AU41))</f>
        <v>1.135</v>
      </c>
      <c r="DQ41" s="15">
        <f>MIN(IF($AU41=100%,1,1+VLOOKUP(($AJ41-$AI41-$AH41-$AG41-$AF41-$AE41*(1+DQ$3))/$AJ41,'Технический лист'!$M:$N,2,1)-VLOOKUP($AO41,'Технический лист'!$M:$N,2,1)),1+(1-$AU41))</f>
        <v>1.135</v>
      </c>
      <c r="DR41" s="15">
        <f>MIN(IF($AU41=100%,1,1+VLOOKUP(($AJ41-$AI41-$AH41-$AG41-$AF41-$AE41*(1+DR$3))/$AJ41,'Технический лист'!$M:$N,2,1)-VLOOKUP($AO41,'Технический лист'!$M:$N,2,1)),1+(1-$AU41))</f>
        <v>1.125</v>
      </c>
      <c r="DS41" s="15">
        <f>MIN(IF($AU41=100%,1,1+VLOOKUP(($AJ41-$AI41-$AH41-$AG41-$AF41-$AE41*(1+DS$3))/$AJ41,'Технический лист'!$M:$N,2,1)-VLOOKUP($AO41,'Технический лист'!$M:$N,2,1)),1+(1-$AU41))</f>
        <v>1.125</v>
      </c>
      <c r="DT41" s="15">
        <f>MIN(IF($AU41=100%,1,1+VLOOKUP(($AJ41-$AI41-$AH41-$AG41-$AF41-$AE41*(1+DT$3))/$AJ41,'Технический лист'!$M:$N,2,1)-VLOOKUP($AO41,'Технический лист'!$M:$N,2,1)),1+(1-$AU41))</f>
        <v>1.125</v>
      </c>
      <c r="DU41" s="15">
        <f>MIN(IF($AU41=100%,1,1+VLOOKUP(($AJ41-$AI41-$AH41-$AG41-$AF41-$AE41*(1+DU$3))/$AJ41,'Технический лист'!$M:$N,2,1)-VLOOKUP($AO41,'Технический лист'!$M:$N,2,1)),1+(1-$AU41))</f>
        <v>1.115</v>
      </c>
      <c r="DV41" s="15">
        <f>MIN(IF($AU41=100%,1,1+VLOOKUP(($AJ41-$AI41-$AH41-$AG41-$AF41-$AE41*(1+DV$3))/$AJ41,'Технический лист'!$M:$N,2,1)-VLOOKUP($AO41,'Технический лист'!$M:$N,2,1)),1+(1-$AU41))</f>
        <v>1.115</v>
      </c>
      <c r="DW41" s="15">
        <f>MIN(IF($AU41=100%,1,1+VLOOKUP(($AJ41-$AI41-$AH41-$AG41-$AF41-$AE41*(1+DW$3))/$AJ41,'Технический лист'!$M:$N,2,1)-VLOOKUP($AO41,'Технический лист'!$M:$N,2,1)),1+(1-$AU41))</f>
        <v>1.115</v>
      </c>
      <c r="DX41" s="15">
        <f>MIN(IF($AU41=100%,1,1+VLOOKUP(($AJ41-$AI41-$AH41-$AG41-$AF41-$AE41*(1+DX$3))/$AJ41,'Технический лист'!$M:$N,2,1)-VLOOKUP($AO41,'Технический лист'!$M:$N,2,1)),1+(1-$AU41))</f>
        <v>1.1050000000000002</v>
      </c>
      <c r="DY41" s="15">
        <f>MIN(IF($AU41=100%,1,1+VLOOKUP(($AJ41-$AI41-$AH41-$AG41-$AF41-$AE41*(1+DY$3))/$AJ41,'Технический лист'!$M:$N,2,1)-VLOOKUP($AO41,'Технический лист'!$M:$N,2,1)),1+(1-$AU41))</f>
        <v>1.1050000000000002</v>
      </c>
      <c r="DZ41" s="15">
        <f>MIN(IF($AU41=100%,1,1+VLOOKUP(($AJ41-$AI41-$AH41-$AG41-$AF41-$AE41*(1+DZ$3))/$AJ41,'Технический лист'!$M:$N,2,1)-VLOOKUP($AO41,'Технический лист'!$M:$N,2,1)),1+(1-$AU41))</f>
        <v>1.1050000000000002</v>
      </c>
      <c r="EA41" s="15">
        <f>MIN(IF($AU41=100%,1,1+VLOOKUP(($AJ41-$AI41-$AH41-$AG41-$AF41-$AE41*(1+EA$3))/$AJ41,'Технический лист'!$M:$N,2,1)-VLOOKUP($AO41,'Технический лист'!$M:$N,2,1)),1+(1-$AU41))</f>
        <v>1.095</v>
      </c>
      <c r="EB41" s="15">
        <f>MIN(IF($AU41=100%,1,1+VLOOKUP(($AJ41-$AI41-$AH41-$AG41-$AF41-$AE41*(1+EB$3))/$AJ41,'Технический лист'!$M:$N,2,1)-VLOOKUP($AO41,'Технический лист'!$M:$N,2,1)),1+(1-$AU41))</f>
        <v>1.095</v>
      </c>
      <c r="EC41" s="15">
        <f>MIN(IF($AU41=100%,1,1+VLOOKUP(($AJ41-$AI41-$AH41-$AG41-$AF41-$AE41*(1+EC$3))/$AJ41,'Технический лист'!$M:$N,2,1)-VLOOKUP($AO41,'Технический лист'!$M:$N,2,1)),1+(1-$AU41))</f>
        <v>1.095</v>
      </c>
      <c r="ED41" s="15">
        <f>MIN(IF($AU41=100%,1,1+VLOOKUP(($AJ41-$AI41-$AH41-$AG41-$AF41-$AE41*(1+ED$3))/$AJ41,'Технический лист'!$M:$N,2,1)-VLOOKUP($AO41,'Технический лист'!$M:$N,2,1)),1+(1-$AU41))</f>
        <v>1.0850000000000002</v>
      </c>
      <c r="EE41" s="15">
        <f>MIN(IF($AU41=100%,1,1+VLOOKUP(($AJ41-$AI41-$AH41-$AG41-$AF41-$AE41*(1+EE$3))/$AJ41,'Технический лист'!$M:$N,2,1)-VLOOKUP($AO41,'Технический лист'!$M:$N,2,1)),1+(1-$AU41))</f>
        <v>1.0850000000000002</v>
      </c>
      <c r="EF41" s="15">
        <f>MIN(IF($AU41=100%,1,1+VLOOKUP(($AJ41-$AI41-$AH41-$AG41-$AF41-$AE41*(1+EF$3))/$AJ41,'Технический лист'!$M:$N,2,1)-VLOOKUP($AO41,'Технический лист'!$M:$N,2,1)),1+(1-$AU41))</f>
        <v>1.0850000000000002</v>
      </c>
      <c r="EG41" s="15">
        <f>MIN(IF($AU41=100%,1,1+VLOOKUP(($AJ41-$AI41-$AH41-$AG41-$AF41-$AE41*(1+EG$3))/$AJ41,'Технический лист'!$M:$N,2,1)-VLOOKUP($AO41,'Технический лист'!$M:$N,2,1)),1+(1-$AU41))</f>
        <v>1.075</v>
      </c>
      <c r="EH41" s="15">
        <f>MIN(IF($AU41=100%,1,1+VLOOKUP(($AJ41-$AI41-$AH41-$AG41-$AF41-$AE41*(1+EH$3))/$AJ41,'Технический лист'!$M:$N,2,1)-VLOOKUP($AO41,'Технический лист'!$M:$N,2,1)),1+(1-$AU41))</f>
        <v>1.075</v>
      </c>
      <c r="EI41" s="15">
        <f>MIN(IF($AU41=100%,1,1+VLOOKUP(($AJ41-$AI41-$AH41-$AG41-$AF41-$AE41*(1+EI$3))/$AJ41,'Технический лист'!$M:$N,2,1)-VLOOKUP($AO41,'Технический лист'!$M:$N,2,1)),1+(1-$AU41))</f>
        <v>1.075</v>
      </c>
      <c r="EJ41" s="15">
        <f>MIN(IF($AU41=100%,1,1+VLOOKUP(($AJ41-$AI41-$AH41-$AG41-$AF41-$AE41*(1+EJ$3))/$AJ41,'Технический лист'!$M:$N,2,1)-VLOOKUP($AO41,'Технический лист'!$M:$N,2,1)),1+(1-$AU41))</f>
        <v>1.06</v>
      </c>
      <c r="EK41" s="15">
        <f>MIN(IF($AU41=100%,1,1+VLOOKUP(($AJ41-$AI41-$AH41-$AG41-$AF41-$AE41*(1+EK$3))/$AJ41,'Технический лист'!$M:$N,2,1)-VLOOKUP($AO41,'Технический лист'!$M:$N,2,1)),1+(1-$AU41))</f>
        <v>1.06</v>
      </c>
      <c r="EL41" s="15">
        <f>MIN(IF($AU41=100%,1,1+VLOOKUP(($AJ41-$AI41-$AH41-$AG41-$AF41-$AE41*(1+EL$3))/$AJ41,'Технический лист'!$M:$N,2,1)-VLOOKUP($AO41,'Технический лист'!$M:$N,2,1)),1+(1-$AU41))</f>
        <v>1.06</v>
      </c>
      <c r="EM41" s="15">
        <f>MIN(IF($AU41=100%,1,1+VLOOKUP(($AJ41-$AI41-$AH41-$AG41-$AF41-$AE41*(1+EM$3))/$AJ41,'Технический лист'!$M:$N,2,1)-VLOOKUP($AO41,'Технический лист'!$M:$N,2,1)),1+(1-$AU41))</f>
        <v>1.0450000000000002</v>
      </c>
      <c r="EN41" s="15">
        <f>MIN(IF($AU41=100%,1,1+VLOOKUP(($AJ41-$AI41-$AH41-$AG41-$AF41-$AE41*(1+EN$3))/$AJ41,'Технический лист'!$M:$N,2,1)-VLOOKUP($AO41,'Технический лист'!$M:$N,2,1)),1+(1-$AU41))</f>
        <v>1.0450000000000002</v>
      </c>
      <c r="EO41" s="15">
        <f>MIN(IF($AU41=100%,1,1+VLOOKUP(($AJ41-$AI41-$AH41-$AG41-$AF41-$AE41*(1+EO$3))/$AJ41,'Технический лист'!$M:$N,2,1)-VLOOKUP($AO41,'Технический лист'!$M:$N,2,1)),1+(1-$AU41))</f>
        <v>1.0450000000000002</v>
      </c>
      <c r="EP41" s="15">
        <f>MIN(IF($AU41=100%,1,1+VLOOKUP(($AJ41-$AI41-$AH41-$AG41-$AF41-$AE41*(1+EP$3))/$AJ41,'Технический лист'!$M:$N,2,1)-VLOOKUP($AO41,'Технический лист'!$M:$N,2,1)),1+(1-$AU41))</f>
        <v>1.03</v>
      </c>
      <c r="EQ41" s="15">
        <f>MIN(IF($AU41=100%,1,1+VLOOKUP(($AJ41-$AI41-$AH41-$AG41-$AF41-$AE41*(1+EQ$3))/$AJ41,'Технический лист'!$M:$N,2,1)-VLOOKUP($AO41,'Технический лист'!$M:$N,2,1)),1+(1-$AU41))</f>
        <v>1.03</v>
      </c>
      <c r="ER41" s="15">
        <f>MIN(IF($AU41=100%,1,1+VLOOKUP(($AJ41-$AI41-$AH41-$AG41-$AF41-$AE41*(1+ER$3))/$AJ41,'Технический лист'!$M:$N,2,1)-VLOOKUP($AO41,'Технический лист'!$M:$N,2,1)),1+(1-$AU41))</f>
        <v>1.0149999999999999</v>
      </c>
      <c r="ES41" s="15">
        <f>MIN(IF($AU41=100%,1,1+VLOOKUP(($AJ41-$AI41-$AH41-$AG41-$AF41-$AE41*(1+ES$3))/$AJ41,'Технический лист'!$M:$N,2,1)-VLOOKUP($AO41,'Технический лист'!$M:$N,2,1)),1+(1-$AU41))</f>
        <v>1.0149999999999999</v>
      </c>
      <c r="ET41" s="15">
        <f>MIN(IF($AU41=100%,1,1+VLOOKUP(($AJ41-$AI41-$AH41-$AG41-$AF41-$AE41*(1+ET$3))/$AJ41,'Технический лист'!$M:$N,2,1)-VLOOKUP($AO41,'Технический лист'!$M:$N,2,1)),1+(1-$AU41))</f>
        <v>1.0149999999999999</v>
      </c>
      <c r="EU41" s="15">
        <f>MIN(IF($AU41=100%,1,1+VLOOKUP(($AJ41-$AI41-$AH41-$AG41-$AF41-$AE41*(1+EU$3))/$AJ41,'Технический лист'!$M:$N,2,1)-VLOOKUP($AO41,'Технический лист'!$M:$N,2,1)),1+(1-$AU41))</f>
        <v>1</v>
      </c>
      <c r="EV41" s="111">
        <v>1</v>
      </c>
      <c r="EW41" s="15">
        <f>MIN(1,MAX(VLOOKUP(($AJ41-$AI41-$AH41-$AG41-$AF41-$AE41*(1+EW$3))/$AJ41,'Технический лист'!$M:$N,2,1),(EV41-0.05)))</f>
        <v>0.95</v>
      </c>
      <c r="EX41" s="15">
        <f>MIN(1,MAX(VLOOKUP(($AJ41-$AI41-$AH41-$AG41-$AF41-$AE41*(1+EX$3))/$AJ41,'Технический лист'!$M:$N,2,1),(EW41-0.05)))</f>
        <v>0.89999999999999991</v>
      </c>
      <c r="EY41" s="15">
        <f>MIN(1,MAX(VLOOKUP(($AJ41-$AI41-$AH41-$AG41-$AF41-$AE41*(1+EY$3))/$AJ41,'Технический лист'!$M:$N,2,1),(EX41-0.05)))</f>
        <v>0.84999999999999987</v>
      </c>
      <c r="EZ41" s="15">
        <f>MIN(1,MAX(VLOOKUP(($AJ41-$AI41-$AH41-$AG41-$AF41-$AE41*(1+EZ$3))/$AJ41,'Технический лист'!$M:$N,2,1),(EY41-0.05)))</f>
        <v>0.81</v>
      </c>
      <c r="FA41" s="15">
        <f>MIN(1,MAX(VLOOKUP(($AJ41-$AI41-$AH41-$AG41-$AF41-$AE41*(1+FA$3))/$AJ41,'Технический лист'!$M:$N,2,1),(EZ41-0.05)))</f>
        <v>0.79</v>
      </c>
      <c r="FB41" s="15">
        <f>MIN(1,MAX(VLOOKUP(($AJ41-$AI41-$AH41-$AG41-$AF41-$AE41*(1+FB$3))/$AJ41,'Технический лист'!$M:$N,2,1),(FA41-0.05)))</f>
        <v>0.79</v>
      </c>
      <c r="FC41" s="15">
        <f>MIN(1,MAX(VLOOKUP(($AJ41-$AI41-$AH41-$AG41-$AF41-$AE41*(1+FC$3))/$AJ41,'Технический лист'!$M:$N,2,1),(FB41-0.05)))</f>
        <v>0.79</v>
      </c>
      <c r="FD41" s="15">
        <f>MIN(1,MAX(VLOOKUP(($AJ41-$AI41-$AH41-$AG41-$AF41-$AE41*(1+FD$3))/$AJ41,'Технический лист'!$M:$N,2,1),(FC41-0.05)))</f>
        <v>0.77</v>
      </c>
      <c r="FE41" s="15">
        <f>MIN(1,MAX(VLOOKUP(($AJ41-$AI41-$AH41-$AG41-$AF41-$AE41*(1+FE$3))/$AJ41,'Технический лист'!$M:$N,2,1),(FD41-0.05)))</f>
        <v>0.77</v>
      </c>
      <c r="FF41" s="15">
        <f>MIN(1,MAX(VLOOKUP(($AJ41-$AI41-$AH41-$AG41-$AF41-$AE41*(1+FF$3))/$AJ41,'Технический лист'!$M:$N,2,1),(FE41-0.05)))</f>
        <v>0.77</v>
      </c>
      <c r="FG41" s="15">
        <f>MIN(1,MAX(VLOOKUP(($AJ41-$AI41-$AH41-$AG41-$AF41-$AE41*(1+FG$3))/$AJ41,'Технический лист'!$M:$N,2,1),(FF41-0.05)))</f>
        <v>0.75</v>
      </c>
      <c r="FH41" s="15">
        <f>MIN(1,MAX(VLOOKUP(($AJ41-$AI41-$AH41-$AG41-$AF41-$AE41*(1+FH$3))/$AJ41,'Технический лист'!$M:$N,2,1),(FG41-0.05)))</f>
        <v>0.75</v>
      </c>
      <c r="FI41" s="15">
        <f>MIN(1,MAX(VLOOKUP(($AJ41-$AI41-$AH41-$AG41-$AF41-$AE41*(1+FI$3))/$AJ41,'Технический лист'!$M:$N,2,1),(FH41-0.05)))</f>
        <v>0.75</v>
      </c>
      <c r="FJ41" s="15">
        <f>MIN(1,MAX(VLOOKUP(($AJ41-$AI41-$AH41-$AG41-$AF41-$AE41*(1+FJ$3))/$AJ41,'Технический лист'!$M:$N,2,1),(FI41-0.05)))</f>
        <v>0.73</v>
      </c>
      <c r="FK41" s="15">
        <f>MIN(1,MAX(VLOOKUP(($AJ41-$AI41-$AH41-$AG41-$AF41-$AE41*(1+FK$3))/$AJ41,'Технический лист'!$M:$N,2,1),(FJ41-0.05)))</f>
        <v>0.73</v>
      </c>
      <c r="FL41" s="15">
        <f>MIN(1,MAX(VLOOKUP(($AJ41-$AI41-$AH41-$AG41-$AF41-$AE41*(1+FL$3))/$AJ41,'Технический лист'!$M:$N,2,1),(FK41-0.05)))</f>
        <v>0.73</v>
      </c>
      <c r="FM41" s="15">
        <f>MIN(1,MAX(VLOOKUP(($AJ41-$AI41-$AH41-$AG41-$AF41-$AE41*(1+FM$3))/$AJ41,'Технический лист'!$M:$N,2,1),(FL41-0.05)))</f>
        <v>0.71</v>
      </c>
      <c r="FN41" s="15">
        <f>MIN(1,MAX(VLOOKUP(($AJ41-$AI41-$AH41-$AG41-$AF41-$AE41*(1+FN$3))/$AJ41,'Технический лист'!$M:$N,2,1),(FM41-0.05)))</f>
        <v>0.71</v>
      </c>
      <c r="FO41" s="15">
        <f>MIN(1,MAX(VLOOKUP(($AJ41-$AI41-$AH41-$AG41-$AF41-$AE41*(1+FO$3))/$AJ41,'Технический лист'!$M:$N,2,1),(FN41-0.05)))</f>
        <v>0.71</v>
      </c>
      <c r="FP41" s="15">
        <f>MIN(1,MAX(VLOOKUP(($AJ41-$AI41-$AH41-$AG41-$AF41-$AE41*(1+FP$3))/$AJ41,'Технический лист'!$M:$N,2,1),(FO41-0.05)))</f>
        <v>0.68500000000000005</v>
      </c>
      <c r="FQ41" s="15">
        <f>MIN(1,MAX(VLOOKUP(($AJ41-$AI41-$AH41-$AG41-$AF41-$AE41*(1+FQ$3))/$AJ41,'Технический лист'!$M:$N,2,1),(FP41-0.05)))</f>
        <v>0.68500000000000005</v>
      </c>
      <c r="FR41" s="15">
        <f>MIN(1,MAX(VLOOKUP(($AJ41-$AI41-$AH41-$AG41-$AF41-$AE41*(1+FR$3))/$AJ41,'Технический лист'!$M:$N,2,1),(FQ41-0.05)))</f>
        <v>0.68500000000000005</v>
      </c>
      <c r="FS41" s="15">
        <f>MIN(1,MAX(VLOOKUP(($AJ41-$AI41-$AH41-$AG41-$AF41-$AE41*(1+FS$3))/$AJ41,'Технический лист'!$M:$N,2,1),(FR41-0.05)))</f>
        <v>0.66</v>
      </c>
      <c r="FT41" s="15">
        <f>MIN(1,MAX(VLOOKUP(($AJ41-$AI41-$AH41-$AG41-$AF41-$AE41*(1+FT$3))/$AJ41,'Технический лист'!$M:$N,2,1),(FS41-0.05)))</f>
        <v>0.66</v>
      </c>
      <c r="FU41" s="15">
        <f>MIN(1,MAX(VLOOKUP(($AJ41-$AI41-$AH41-$AG41-$AF41-$AE41*(1+FU$3))/$AJ41,'Технический лист'!$M:$N,2,1),(FT41-0.05)))</f>
        <v>0.66</v>
      </c>
      <c r="FV41" s="15">
        <f>MIN(1,MAX(VLOOKUP(($AJ41-$AI41-$AH41-$AG41-$AF41-$AE41*(1+FV$3))/$AJ41,'Технический лист'!$M:$N,2,1),(FU41-0.05)))</f>
        <v>0.63500000000000001</v>
      </c>
      <c r="FW41" s="15">
        <f>MIN(1,MAX(VLOOKUP(($AJ41-$AI41-$AH41-$AG41-$AF41-$AE41*(1+FW$3))/$AJ41,'Технический лист'!$M:$N,2,1),(FV41-0.05)))</f>
        <v>0.63500000000000001</v>
      </c>
      <c r="FX41" s="15">
        <f>MIN(1,MAX(VLOOKUP(($AJ41-$AI41-$AH41-$AG41-$AF41-$AE41*(1+FX$3))/$AJ41,'Технический лист'!$M:$N,2,1),(FW41-0.05)))</f>
        <v>0.63500000000000001</v>
      </c>
      <c r="FY41" s="15">
        <f>MIN(1,MAX(VLOOKUP(($AJ41-$AI41-$AH41-$AG41-$AF41-$AE41*(1+FY$3))/$AJ41,'Технический лист'!$M:$N,2,1),(FX41-0.05)))</f>
        <v>0.61</v>
      </c>
      <c r="FZ41" s="15">
        <f>MIN(1,MAX(VLOOKUP(($AJ41-$AI41-$AH41-$AG41-$AF41-$AE41*(1+FZ$3))/$AJ41,'Технический лист'!$M:$N,2,1),(FY41-0.05)))</f>
        <v>0.61</v>
      </c>
      <c r="GA41" s="15">
        <f>MIN(1,MAX(VLOOKUP(($AJ41-$AI41-$AH41-$AG41-$AF41-$AE41*(1+GA$3))/$AJ41,'Технический лист'!$M:$N,2,1),(FZ41-0.05)))</f>
        <v>0.61</v>
      </c>
      <c r="GB41" s="15">
        <f>MIN(1,MAX(VLOOKUP(($AJ41-$AI41-$AH41-$AG41-$AF41-$AE41*(1+GB$3))/$AJ41,'Технический лист'!$M:$N,2,1),(GA41-0.05)))</f>
        <v>0.57999999999999996</v>
      </c>
      <c r="GC41" s="15">
        <f>MIN(1,MAX(VLOOKUP(($AJ41-$AI41-$AH41-$AG41-$AF41-$AE41*(1+GC$3))/$AJ41,'Технический лист'!$M:$N,2,1),(GB41-0.05)))</f>
        <v>0.57999999999999996</v>
      </c>
      <c r="GD41" s="15">
        <f>MIN(1,MAX(VLOOKUP(($AJ41-$AI41-$AH41-$AG41-$AF41-$AE41*(1+GD$3))/$AJ41,'Технический лист'!$M:$N,2,1),(GC41-0.05)))</f>
        <v>0.55000000000000004</v>
      </c>
      <c r="GE41" s="15">
        <f>MIN(1,MAX(VLOOKUP(($AJ41-$AI41-$AH41-$AG41-$AF41-$AE41*(1+GE$3))/$AJ41,'Технический лист'!$M:$N,2,1),(GD41-0.05)))</f>
        <v>0.55000000000000004</v>
      </c>
      <c r="GF41" s="15">
        <f>MIN(1,MAX(VLOOKUP(($AJ41-$AI41-$AH41-$AG41-$AF41-$AE41*(1+GF$3))/$AJ41,'Технический лист'!$M:$N,2,1),(GE41-0.05)))</f>
        <v>0.55000000000000004</v>
      </c>
      <c r="GG41" s="15">
        <f>MIN(1,MAX(VLOOKUP(($AJ41-$AI41-$AH41-$AG41-$AF41-$AE41*(1+GG$3))/$AJ41,'Технический лист'!$M:$N,2,1),(GF41-0.05)))</f>
        <v>0.52</v>
      </c>
      <c r="GH41" s="15">
        <f>MIN(1,MAX(VLOOKUP(($AJ41-$AI41-$AH41-$AG41-$AF41-$AE41*(1+GH$3))/$AJ41,'Технический лист'!$M:$N,2,1),(GG41-0.05)))</f>
        <v>0.52</v>
      </c>
      <c r="GI41" s="15">
        <f>MIN(1,MAX(VLOOKUP(($AJ41-$AI41-$AH41-$AG41-$AF41-$AE41*(1+GI$3))/$AJ41,'Технический лист'!$M:$N,2,1),(GH41-0.05)))</f>
        <v>0.52</v>
      </c>
      <c r="GJ41" s="15">
        <f>MIN(1,MAX(VLOOKUP(($AJ41-$AI41-$AH41-$AG41-$AF41-$AE41*(1+GJ$3))/$AJ41,'Технический лист'!$M:$N,2,1),(GI41-0.05)))</f>
        <v>0.49</v>
      </c>
      <c r="GK41" s="15">
        <f>MIN(1,MAX(VLOOKUP(($AJ41-$AI41-$AH41-$AG41-$AF41-$AE41*(1+GK$3))/$AJ41,'Технический лист'!$M:$N,2,1),(GJ41-0.05)))</f>
        <v>0.49</v>
      </c>
      <c r="GL41" s="15">
        <f>MIN(1,MAX(VLOOKUP(($AJ41-$AI41-$AH41-$AG41-$AF41-$AE41*(1+GL$3))/$AJ41,'Технический лист'!$M:$N,2,1),(GK41-0.05)))</f>
        <v>0.49</v>
      </c>
      <c r="GM41" s="15">
        <f>MIN(1,MAX(VLOOKUP(($AJ41-$AI41-$AH41-$AG41-$AF41-$AE41*(1+GM$3))/$AJ41,'Технический лист'!$M:$N,2,1),(GL41-0.05)))</f>
        <v>0.46</v>
      </c>
      <c r="GN41" s="15">
        <f>MIN(1,MAX(VLOOKUP(($AJ41-$AI41-$AH41-$AG41-$AF41-$AE41*(1+GN$3))/$AJ41,'Технический лист'!$M:$N,2,1),(GM41-0.05)))</f>
        <v>0.46</v>
      </c>
      <c r="GO41" s="15">
        <f>MIN(1,MAX(VLOOKUP(($AJ41-$AI41-$AH41-$AG41-$AF41-$AE41*(1+GO$3))/$AJ41,'Технический лист'!$M:$N,2,1),(GN41-0.05)))</f>
        <v>0.46</v>
      </c>
      <c r="GP41" s="15">
        <f>MIN(1,MAX(VLOOKUP(($AJ41-$AI41-$AH41-$AG41-$AF41-$AE41*(1+GP$3))/$AJ41,'Технический лист'!$M:$N,2,1),(GO41-0.05)))</f>
        <v>0.42499999999999999</v>
      </c>
      <c r="GQ41" s="15">
        <f>MIN(1,MAX(VLOOKUP(($AJ41-$AI41-$AH41-$AG41-$AF41-$AE41*(1+GQ$3))/$AJ41,'Технический лист'!$M:$N,2,1),(GP41-0.05)))</f>
        <v>0.42499999999999999</v>
      </c>
      <c r="GR41" s="15">
        <f>MIN(1,MAX(VLOOKUP(($AJ41-$AI41-$AH41-$AG41-$AF41-$AE41*(1+GR$3))/$AJ41,'Технический лист'!$M:$N,2,1),(GQ41-0.05)))</f>
        <v>0.42499999999999999</v>
      </c>
      <c r="GS41" s="15">
        <f>MIN(1,MAX(VLOOKUP(($AJ41-$AI41-$AH41-$AG41-$AF41-$AE41*(1+GS$3))/$AJ41,'Технический лист'!$M:$N,2,1),(GR41-0.05)))</f>
        <v>0.39</v>
      </c>
      <c r="GT41" s="15">
        <f>MIN(1,MAX(VLOOKUP(($AJ41-$AI41-$AH41-$AG41-$AF41-$AE41*(1+GT$3))/$AJ41,'Технический лист'!$M:$N,2,1),(GS41-0.05)))</f>
        <v>0.39</v>
      </c>
      <c r="GU41" s="15">
        <f>MIN(1,MAX(VLOOKUP(($AJ41-$AI41-$AH41-$AG41-$AF41-$AE41*(1+GU$3))/$AJ41,'Технический лист'!$M:$N,2,1),(GT41-0.05)))</f>
        <v>0.39</v>
      </c>
      <c r="GV41" s="15">
        <f>MIN(1,MAX(VLOOKUP(($AJ41-$AI41-$AH41-$AG41-$AF41-$AE41*(1+GV$3))/$AJ41,'Технический лист'!$M:$N,2,1),(GU41-0.05)))</f>
        <v>0.35499999999999998</v>
      </c>
      <c r="GW41" s="15">
        <f>MIN(1,MAX(VLOOKUP(($AJ41-$AI41-$AH41-$AG41-$AF41-$AE41*(1+GW$3))/$AJ41,'Технический лист'!$M:$N,2,1),(GV41-0.05)))</f>
        <v>0.35499999999999998</v>
      </c>
      <c r="GX41" s="15">
        <f>MIN(1,MAX(VLOOKUP(($AJ41-$AI41-$AH41-$AG41-$AF41-$AE41*(1+GX$3))/$AJ41,'Технический лист'!$M:$N,2,1),(GW41-0.05)))</f>
        <v>0.35499999999999998</v>
      </c>
      <c r="GY41" s="15">
        <f>MIN(1,MAX(VLOOKUP(($AJ41-$AI41-$AH41-$AG41-$AF41-$AE41*(1+GY$3))/$AJ41,'Технический лист'!$M:$N,2,1),(GX41-0.05)))</f>
        <v>0.32</v>
      </c>
      <c r="GZ41" s="15">
        <f>MIN(1,MAX(VLOOKUP(($AJ41-$AI41-$AH41-$AG41-$AF41-$AE41*(1+GZ$3))/$AJ41,'Технический лист'!$M:$N,2,1),(GY41-0.05)))</f>
        <v>0.32</v>
      </c>
      <c r="HA41" s="15">
        <f>MIN(1,MAX(VLOOKUP(($AJ41-$AI41-$AH41-$AG41-$AF41-$AE41*(1+HA$3))/$AJ41,'Технический лист'!$M:$N,2,1),(GZ41-0.05)))</f>
        <v>0.32</v>
      </c>
      <c r="HB41" s="15">
        <f>MIN(1,MAX(VLOOKUP(($AJ41-$AI41-$AH41-$AG41-$AF41-$AE41*(1+HB$3))/$AJ41,'Технический лист'!$M:$N,2,1),(HA41-0.05)))</f>
        <v>0.28000000000000003</v>
      </c>
      <c r="HC41" s="15">
        <f>MIN(1,MAX(VLOOKUP(($AJ41-$AI41-$AH41-$AG41-$AF41-$AE41*(1+HC$3))/$AJ41,'Технический лист'!$M:$N,2,1),(HB41-0.05)))</f>
        <v>0.28000000000000003</v>
      </c>
      <c r="HD41" s="15">
        <f>MIN(1,MAX(VLOOKUP(($AJ41-$AI41-$AH41-$AG41-$AF41-$AE41*(1+HD$3))/$AJ41,'Технический лист'!$M:$N,2,1),(HC41-0.05)))</f>
        <v>0.28000000000000003</v>
      </c>
      <c r="HE41" s="15">
        <f>MIN(1,MAX(VLOOKUP(($AJ41-$AI41-$AH41-$AG41-$AF41-$AE41*(1+HE$3))/$AJ41,'Технический лист'!$M:$N,2,1),(HD41-0.05)))</f>
        <v>0.24</v>
      </c>
      <c r="HF41" s="15">
        <f>MIN(1,MAX(VLOOKUP(($AJ41-$AI41-$AH41-$AG41-$AF41-$AE41*(1+HF$3))/$AJ41,'Технический лист'!$M:$N,2,1),(HE41-0.05)))</f>
        <v>0.24</v>
      </c>
      <c r="HG41" s="15">
        <f>MIN(1,MAX(VLOOKUP(($AJ41-$AI41-$AH41-$AG41-$AF41-$AE41*(1+HG$3))/$AJ41,'Технический лист'!$M:$N,2,1),(HF41-0.05)))</f>
        <v>0.24</v>
      </c>
      <c r="HH41" s="15">
        <f>MIN(1,MAX(VLOOKUP(($AJ41-$AI41-$AH41-$AG41-$AF41-$AE41*(1+HH$3))/$AJ41,'Технический лист'!$M:$N,2,1),(HG41-0.05)))</f>
        <v>0.2</v>
      </c>
      <c r="HI41" s="15">
        <f>MIN(1,MAX(VLOOKUP(($AJ41-$AI41-$AH41-$AG41-$AF41-$AE41*(1+HI$3))/$AJ41,'Технический лист'!$M:$N,2,1),(HH41-0.05)))</f>
        <v>0.2</v>
      </c>
      <c r="HJ41" s="15">
        <f>MIN(1,MAX(VLOOKUP(($AJ41-$AI41-$AH41-$AG41-$AF41-$AE41*(1+HJ$3))/$AJ41,'Технический лист'!$M:$N,2,1),(HI41-0.05)))</f>
        <v>0.2</v>
      </c>
      <c r="HK41" s="15">
        <f>MIN(1,MAX(VLOOKUP(($AJ41-$AI41-$AH41-$AG41-$AF41-$AE41*(1+HK$3))/$AJ41,'Технический лист'!$M:$N,2,1),(HJ41-0.05)))</f>
        <v>0.155</v>
      </c>
      <c r="HL41" s="15">
        <f>MIN(1,MAX(VLOOKUP(($AJ41-$AI41-$AH41-$AG41-$AF41-$AE41*(1+HL$3))/$AJ41,'Технический лист'!$M:$N,2,1),(HK41-0.05)))</f>
        <v>0.155</v>
      </c>
      <c r="HM41" s="15">
        <f>MIN(1,MAX(VLOOKUP(($AJ41-$AI41-$AH41-$AG41-$AF41-$AE41*(1+HM$3))/$AJ41,'Технический лист'!$M:$N,2,1),(HL41-0.05)))</f>
        <v>0.155</v>
      </c>
      <c r="HN41" s="15">
        <f>MIN(1,MAX(VLOOKUP(($AJ41-$AI41-$AH41-$AG41-$AF41-$AE41*(1+HN$3))/$AJ41,'Технический лист'!$M:$N,2,1),(HM41-0.05)))</f>
        <v>0.11</v>
      </c>
      <c r="HO41" s="15">
        <f>MIN(1,MAX(VLOOKUP(($AJ41-$AI41-$AH41-$AG41-$AF41-$AE41*(1+HO$3))/$AJ41,'Технический лист'!$M:$N,2,1),(HN41-0.05)))</f>
        <v>0.11</v>
      </c>
      <c r="HP41" s="15">
        <f>MIN(1,MAX(VLOOKUP(($AJ41-$AI41-$AH41-$AG41-$AF41-$AE41*(1+HP$3))/$AJ41,'Технический лист'!$M:$N,2,1),(HO41-0.05)))</f>
        <v>0.06</v>
      </c>
      <c r="HQ41" s="15">
        <f>MIN(1,MAX(VLOOKUP(($AJ41-$AI41-$AH41-$AG41-$AF41-$AE41*(1+HQ$3))/$AJ41,'Технический лист'!$M:$N,2,1),(HP41-0.05)))</f>
        <v>0.06</v>
      </c>
      <c r="HR41" s="15">
        <f>MIN(1,MAX(VLOOKUP(($AJ41-$AI41-$AH41-$AG41-$AF41-$AE41*(1+HR$3))/$AJ41,'Технический лист'!$M:$N,2,1),(HQ41-0.05)))</f>
        <v>0.06</v>
      </c>
      <c r="HS41" s="15">
        <f>MIN(1,MAX(VLOOKUP(($AJ41-$AI41-$AH41-$AG41-$AF41-$AE41*(1+HS$3))/$AJ41,'Технический лист'!$M:$N,2,1),(HR41-0.05)))</f>
        <v>9.999999999999995E-3</v>
      </c>
      <c r="HT41" s="15">
        <f>MIN(1,MAX(VLOOKUP(($AJ41-$AI41-$AH41-$AG41-$AF41-$AE41*(1+HT$3))/$AJ41,'Технический лист'!$M:$N,2,1),(HS41-0.05)))</f>
        <v>0</v>
      </c>
      <c r="HU41" s="15">
        <f>MIN(1,MAX(VLOOKUP(($AJ41-$AI41-$AH41-$AG41-$AF41-$AE41*(1+HU$3))/$AJ41,'Технический лист'!$M:$N,2,1),(HT41-0.05)))</f>
        <v>0</v>
      </c>
      <c r="HV41" s="15">
        <f>MIN(1,MAX(VLOOKUP(($AJ41-$AI41-$AH41-$AG41-$AF41-$AE41*(1+HV$3))/$AJ41,'Технический лист'!$M:$N,2,1),(HU41-0.05)))</f>
        <v>0</v>
      </c>
      <c r="HW41" s="15">
        <f>MIN(1,MAX(VLOOKUP(($AJ41-$AI41-$AH41-$AG41-$AF41-$AE41*(1+HW$3))/$AJ41,'Технический лист'!$M:$N,2,1),(HV41-0.05)))</f>
        <v>0</v>
      </c>
      <c r="HX41" s="15">
        <f>MIN(1,MAX(VLOOKUP(($AJ41-$AI41-$AH41-$AG41-$AF41-$AE41*(1+HX$3))/$AJ41,'Технический лист'!$M:$N,2,1),(HW41-0.05)))</f>
        <v>0</v>
      </c>
      <c r="HY41" s="15">
        <f>MIN(1,MAX(VLOOKUP(($AJ41-$AI41-$AH41-$AG41-$AF41-$AE41*(1+HY$3))/$AJ41,'Технический лист'!$M:$N,2,1),(HX41-0.05)))</f>
        <v>0</v>
      </c>
      <c r="HZ41" s="15">
        <f>MIN(1,MAX(VLOOKUP(($AJ41-$AI41-$AH41-$AG41-$AF41-$AE41*(1+HZ$3))/$AJ41,'Технический лист'!$M:$N,2,1),(HY41-0.05)))</f>
        <v>0</v>
      </c>
      <c r="IA41" s="15">
        <f>MIN(1,MAX(VLOOKUP(($AJ41-$AI41-$AH41-$AG41-$AF41-$AE41*(1+IA$3))/$AJ41,'Технический лист'!$M:$N,2,1),(HZ41-0.05)))</f>
        <v>0</v>
      </c>
      <c r="IB41" s="15">
        <f>MIN(1,MAX(VLOOKUP(($AJ41-$AI41-$AH41-$AG41-$AF41-$AE41*(1+IB$3))/$AJ41,'Технический лист'!$M:$N,2,1),(IA41-0.05)))</f>
        <v>0</v>
      </c>
      <c r="IC41" s="15">
        <f>MIN(1,MAX(VLOOKUP(($AJ41-$AI41-$AH41-$AG41-$AF41-$AE41*(1+IC$3))/$AJ41,'Технический лист'!$M:$N,2,1),(IB41-0.05)))</f>
        <v>0</v>
      </c>
      <c r="ID41" s="15">
        <f>MIN(1,MAX(VLOOKUP(($AJ41-$AI41-$AH41-$AG41-$AF41-$AE41*(1+ID$3))/$AJ41,'Технический лист'!$M:$N,2,1),(IC41-0.05)))</f>
        <v>0</v>
      </c>
      <c r="IE41" s="15">
        <f>MIN(1,MAX(VLOOKUP(($AJ41-$AI41-$AH41-$AG41-$AF41-$AE41*(1+IE$3))/$AJ41,'Технический лист'!$M:$N,2,1),(ID41-0.05)))</f>
        <v>0</v>
      </c>
      <c r="IF41" s="15">
        <f>MIN(1,MAX(VLOOKUP(($AJ41-$AI41-$AH41-$AG41-$AF41-$AE41*(1+IF$3))/$AJ41,'Технический лист'!$M:$N,2,1),(IE41-0.05)))</f>
        <v>0</v>
      </c>
      <c r="IG41" s="15">
        <f>MIN(1,MAX(VLOOKUP(($AJ41-$AI41-$AH41-$AG41-$AF41-$AE41*(1+IG$3))/$AJ41,'Технический лист'!$M:$N,2,1),(IF41-0.05)))</f>
        <v>0</v>
      </c>
      <c r="IH41" s="15">
        <f>MIN(1,MAX(VLOOKUP(($AJ41-$AI41-$AH41-$AG41-$AF41-$AE41*(1+IH$3))/$AJ41,'Технический лист'!$M:$N,2,1),(IG41-0.05)))</f>
        <v>0</v>
      </c>
      <c r="II41" s="15">
        <f>MIN(1,MAX(VLOOKUP(($AJ41-$AI41-$AH41-$AG41-$AF41-$AE41*(1+II$3))/$AJ41,'Технический лист'!$M:$N,2,1),(IH41-0.05)))</f>
        <v>0</v>
      </c>
      <c r="IJ41" s="15">
        <f>MIN(1,MAX(VLOOKUP(($AJ41-$AI41-$AH41-$AG41-$AF41-$AE41*(1+IJ$3))/$AJ41,'Технический лист'!$M:$N,2,1),(II41-0.05)))</f>
        <v>0</v>
      </c>
      <c r="IK41" s="15">
        <f>MIN(1,MAX(VLOOKUP(($AJ41-$AI41-$AH41-$AG41-$AF41-$AE41*(1+IK$3))/$AJ41,'Технический лист'!$M:$N,2,1),(IJ41-0.05)))</f>
        <v>0</v>
      </c>
      <c r="IL41" s="15">
        <f>MIN(1,MAX(VLOOKUP(($AJ41-$AI41-$AH41-$AG41-$AF41-$AE41*(1+IL$3))/$AJ41,'Технический лист'!$M:$N,2,1),(IK41-0.05)))</f>
        <v>0</v>
      </c>
      <c r="IM41" s="15">
        <f>MIN(1,MAX(VLOOKUP(($AJ41-$AI41-$AH41-$AG41-$AF41-$AE41*(1+IM$3))/$AJ41,'Технический лист'!$M:$N,2,1),(IL41-0.05)))</f>
        <v>0</v>
      </c>
      <c r="IN41" s="15">
        <f>MIN(1,MAX(VLOOKUP(($AJ41-$AI41-$AH41-$AG41-$AF41-$AE41*(1+IN$3))/$AJ41,'Технический лист'!$M:$N,2,1),(IM41-0.05)))</f>
        <v>0</v>
      </c>
      <c r="IO41" s="15">
        <f>MIN(1,MAX(VLOOKUP(($AJ41-$AI41-$AH41-$AG41-$AF41-$AE41*(1+IO$3))/$AJ41,'Технический лист'!$M:$N,2,1),(IN41-0.05)))</f>
        <v>0</v>
      </c>
      <c r="IP41" s="15">
        <f>MIN(1,MAX(VLOOKUP(($AJ41-$AI41-$AH41-$AG41-$AF41-$AE41*(1+IP$3))/$AJ41,'Технический лист'!$M:$N,2,1),(IO41-0.05)))</f>
        <v>0</v>
      </c>
      <c r="IQ41" s="15">
        <f>MIN(1,MAX(VLOOKUP(($AJ41-$AI41-$AH41-$AG41-$AF41-$AE41*(1+IQ$3))/$AJ41,'Технический лист'!$M:$N,2,1),(IP41-0.05)))</f>
        <v>0</v>
      </c>
      <c r="IR41" s="15">
        <f>MIN(1,MAX(VLOOKUP(($AJ41-$AI41-$AH41-$AG41-$AF41-$AE41*(1+IR$3))/$AJ41,'Технический лист'!$M:$N,2,1),(IQ41-0.05)))</f>
        <v>0</v>
      </c>
    </row>
    <row r="42" spans="1:252" ht="29.15">
      <c r="A42" s="89" t="s">
        <v>514</v>
      </c>
      <c r="B42" s="90">
        <v>4</v>
      </c>
      <c r="C42" s="5" t="s">
        <v>67</v>
      </c>
      <c r="D42" s="91">
        <v>14109</v>
      </c>
      <c r="E42" s="91" t="s">
        <v>335</v>
      </c>
      <c r="F42" s="92" t="s">
        <v>74</v>
      </c>
      <c r="G42" s="91" t="s">
        <v>16</v>
      </c>
      <c r="H42" s="91" t="s">
        <v>23</v>
      </c>
      <c r="I42" s="91" t="s">
        <v>142</v>
      </c>
      <c r="J42" s="91" t="s">
        <v>144</v>
      </c>
      <c r="K42" s="91">
        <v>4862</v>
      </c>
      <c r="L42" s="85" t="s">
        <v>64</v>
      </c>
      <c r="M42" s="91" t="s">
        <v>190</v>
      </c>
      <c r="N42" s="91" t="s">
        <v>191</v>
      </c>
      <c r="O42" s="91" t="s">
        <v>192</v>
      </c>
      <c r="P42" s="89" t="s">
        <v>231</v>
      </c>
      <c r="Q42" s="91" t="s">
        <v>305</v>
      </c>
      <c r="R42" s="91" t="s">
        <v>265</v>
      </c>
      <c r="S42" s="82">
        <v>14113</v>
      </c>
      <c r="T42" s="82">
        <v>68615954</v>
      </c>
      <c r="U42" s="81">
        <v>198</v>
      </c>
      <c r="V42" s="81">
        <v>0</v>
      </c>
      <c r="W42" s="82">
        <v>21496288</v>
      </c>
      <c r="X42" s="112">
        <v>72</v>
      </c>
      <c r="Y42" s="112" t="s">
        <v>418</v>
      </c>
      <c r="Z42" s="113">
        <v>11</v>
      </c>
      <c r="AA42" s="113">
        <v>11</v>
      </c>
      <c r="AB42" s="113">
        <v>4</v>
      </c>
      <c r="AC42" s="99">
        <v>1645.58</v>
      </c>
      <c r="AD42" s="99">
        <f t="shared" si="15"/>
        <v>981.75</v>
      </c>
      <c r="AE42" s="99">
        <v>2627.33</v>
      </c>
      <c r="AF42" s="98">
        <f>(Z42+AA42+AB42)*'Ставки аренды'!$B$2/X42</f>
        <v>361.11111111111109</v>
      </c>
      <c r="AG42" s="114">
        <v>0</v>
      </c>
      <c r="AH42" s="94">
        <v>0</v>
      </c>
      <c r="AI42" s="115">
        <f>14214890/21228111*AVERAGE(AJ40,AJ41)</f>
        <v>3851.8346995547549</v>
      </c>
      <c r="AJ42" s="117">
        <f>Цены!$D$14</f>
        <v>5400</v>
      </c>
      <c r="AK42" s="94">
        <f>AJ42/Цены!$B$1</f>
        <v>70.76816219014357</v>
      </c>
      <c r="AL42" s="95">
        <f t="shared" si="5"/>
        <v>2988.4411111111112</v>
      </c>
      <c r="AM42" s="95">
        <f t="shared" si="6"/>
        <v>2411.5588888888888</v>
      </c>
      <c r="AN42" s="94">
        <f t="shared" si="16"/>
        <v>6840.2758106658657</v>
      </c>
      <c r="AO42" s="118">
        <f t="shared" si="17"/>
        <v>-0.26671774271590104</v>
      </c>
      <c r="AP42" s="96">
        <f t="shared" si="7"/>
        <v>0.55341502057613168</v>
      </c>
      <c r="AQ42" s="96">
        <f t="shared" si="8"/>
        <v>0.48654259259259258</v>
      </c>
      <c r="AR42" s="96">
        <f t="shared" si="9"/>
        <v>0.8791640532020224</v>
      </c>
      <c r="AS42" s="122">
        <v>1</v>
      </c>
      <c r="AT42" s="121">
        <f t="shared" si="10"/>
        <v>14113</v>
      </c>
      <c r="AU42" s="83">
        <v>0.75</v>
      </c>
      <c r="AV42" s="119">
        <f t="shared" si="11"/>
        <v>-0.32510285382701215</v>
      </c>
      <c r="AW42" s="120">
        <f t="shared" si="12"/>
        <v>0.61180013168724279</v>
      </c>
      <c r="AX42" s="120">
        <f t="shared" si="13"/>
        <v>0.54492770370370369</v>
      </c>
      <c r="AY42" s="120">
        <f t="shared" si="14"/>
        <v>0.89069562996151042</v>
      </c>
      <c r="AZ42" s="15">
        <f>MIN(IF($AU42=100%,1,1+VLOOKUP(($AJ42-$AI42-$AH42-$AG42-$AF42-$AE42*(1+AZ$3))/$AJ42,'Технический лист'!$M:$N,2,1)-VLOOKUP($AO42,'Технический лист'!$M:$N,2,1)),1+(1-$AU42))</f>
        <v>1.25</v>
      </c>
      <c r="BA42" s="15">
        <f>MIN(IF($AU42=100%,1,1+VLOOKUP(($AJ42-$AI42-$AH42-$AG42-$AF42-$AE42*(1+BA$3))/$AJ42,'Технический лист'!$M:$N,2,1)-VLOOKUP($AO42,'Технический лист'!$M:$N,2,1)),1+(1-$AU42))</f>
        <v>1.25</v>
      </c>
      <c r="BB42" s="15">
        <f>MIN(IF($AU42=100%,1,1+VLOOKUP(($AJ42-$AI42-$AH42-$AG42-$AF42-$AE42*(1+BB$3))/$AJ42,'Технический лист'!$M:$N,2,1)-VLOOKUP($AO42,'Технический лист'!$M:$N,2,1)),1+(1-$AU42))</f>
        <v>1.25</v>
      </c>
      <c r="BC42" s="15">
        <f>MIN(IF($AU42=100%,1,1+VLOOKUP(($AJ42-$AI42-$AH42-$AG42-$AF42-$AE42*(1+BC$3))/$AJ42,'Технический лист'!$M:$N,2,1)-VLOOKUP($AO42,'Технический лист'!$M:$N,2,1)),1+(1-$AU42))</f>
        <v>1.25</v>
      </c>
      <c r="BD42" s="15">
        <f>MIN(IF($AU42=100%,1,1+VLOOKUP(($AJ42-$AI42-$AH42-$AG42-$AF42-$AE42*(1+BD$3))/$AJ42,'Технический лист'!$M:$N,2,1)-VLOOKUP($AO42,'Технический лист'!$M:$N,2,1)),1+(1-$AU42))</f>
        <v>1.25</v>
      </c>
      <c r="BE42" s="15">
        <f>MIN(IF($AU42=100%,1,1+VLOOKUP(($AJ42-$AI42-$AH42-$AG42-$AF42-$AE42*(1+BE$3))/$AJ42,'Технический лист'!$M:$N,2,1)-VLOOKUP($AO42,'Технический лист'!$M:$N,2,1)),1+(1-$AU42))</f>
        <v>1.25</v>
      </c>
      <c r="BF42" s="15">
        <f>MIN(IF($AU42=100%,1,1+VLOOKUP(($AJ42-$AI42-$AH42-$AG42-$AF42-$AE42*(1+BF$3))/$AJ42,'Технический лист'!$M:$N,2,1)-VLOOKUP($AO42,'Технический лист'!$M:$N,2,1)),1+(1-$AU42))</f>
        <v>1.25</v>
      </c>
      <c r="BG42" s="15">
        <f>MIN(IF($AU42=100%,1,1+VLOOKUP(($AJ42-$AI42-$AH42-$AG42-$AF42-$AE42*(1+BG$3))/$AJ42,'Технический лист'!$M:$N,2,1)-VLOOKUP($AO42,'Технический лист'!$M:$N,2,1)),1+(1-$AU42))</f>
        <v>1.25</v>
      </c>
      <c r="BH42" s="15">
        <f>MIN(IF($AU42=100%,1,1+VLOOKUP(($AJ42-$AI42-$AH42-$AG42-$AF42-$AE42*(1+BH$3))/$AJ42,'Технический лист'!$M:$N,2,1)-VLOOKUP($AO42,'Технический лист'!$M:$N,2,1)),1+(1-$AU42))</f>
        <v>1.25</v>
      </c>
      <c r="BI42" s="15">
        <f>MIN(IF($AU42=100%,1,1+VLOOKUP(($AJ42-$AI42-$AH42-$AG42-$AF42-$AE42*(1+BI$3))/$AJ42,'Технический лист'!$M:$N,2,1)-VLOOKUP($AO42,'Технический лист'!$M:$N,2,1)),1+(1-$AU42))</f>
        <v>1.25</v>
      </c>
      <c r="BJ42" s="15">
        <f>MIN(IF($AU42=100%,1,1+VLOOKUP(($AJ42-$AI42-$AH42-$AG42-$AF42-$AE42*(1+BJ$3))/$AJ42,'Технический лист'!$M:$N,2,1)-VLOOKUP($AO42,'Технический лист'!$M:$N,2,1)),1+(1-$AU42))</f>
        <v>1.25</v>
      </c>
      <c r="BK42" s="15">
        <f>MIN(IF($AU42=100%,1,1+VLOOKUP(($AJ42-$AI42-$AH42-$AG42-$AF42-$AE42*(1+BK$3))/$AJ42,'Технический лист'!$M:$N,2,1)-VLOOKUP($AO42,'Технический лист'!$M:$N,2,1)),1+(1-$AU42))</f>
        <v>1.25</v>
      </c>
      <c r="BL42" s="15">
        <f>MIN(IF($AU42=100%,1,1+VLOOKUP(($AJ42-$AI42-$AH42-$AG42-$AF42-$AE42*(1+BL$3))/$AJ42,'Технический лист'!$M:$N,2,1)-VLOOKUP($AO42,'Технический лист'!$M:$N,2,1)),1+(1-$AU42))</f>
        <v>1.25</v>
      </c>
      <c r="BM42" s="15">
        <f>MIN(IF($AU42=100%,1,1+VLOOKUP(($AJ42-$AI42-$AH42-$AG42-$AF42-$AE42*(1+BM$3))/$AJ42,'Технический лист'!$M:$N,2,1)-VLOOKUP($AO42,'Технический лист'!$M:$N,2,1)),1+(1-$AU42))</f>
        <v>1.25</v>
      </c>
      <c r="BN42" s="15">
        <f>MIN(IF($AU42=100%,1,1+VLOOKUP(($AJ42-$AI42-$AH42-$AG42-$AF42-$AE42*(1+BN$3))/$AJ42,'Технический лист'!$M:$N,2,1)-VLOOKUP($AO42,'Технический лист'!$M:$N,2,1)),1+(1-$AU42))</f>
        <v>1.25</v>
      </c>
      <c r="BO42" s="15">
        <f>MIN(IF($AU42=100%,1,1+VLOOKUP(($AJ42-$AI42-$AH42-$AG42-$AF42-$AE42*(1+BO$3))/$AJ42,'Технический лист'!$M:$N,2,1)-VLOOKUP($AO42,'Технический лист'!$M:$N,2,1)),1+(1-$AU42))</f>
        <v>1.25</v>
      </c>
      <c r="BP42" s="15">
        <f>MIN(IF($AU42=100%,1,1+VLOOKUP(($AJ42-$AI42-$AH42-$AG42-$AF42-$AE42*(1+BP$3))/$AJ42,'Технический лист'!$M:$N,2,1)-VLOOKUP($AO42,'Технический лист'!$M:$N,2,1)),1+(1-$AU42))</f>
        <v>1.25</v>
      </c>
      <c r="BQ42" s="15">
        <f>MIN(IF($AU42=100%,1,1+VLOOKUP(($AJ42-$AI42-$AH42-$AG42-$AF42-$AE42*(1+BQ$3))/$AJ42,'Технический лист'!$M:$N,2,1)-VLOOKUP($AO42,'Технический лист'!$M:$N,2,1)),1+(1-$AU42))</f>
        <v>1.25</v>
      </c>
      <c r="BR42" s="15">
        <f>MIN(IF($AU42=100%,1,1+VLOOKUP(($AJ42-$AI42-$AH42-$AG42-$AF42-$AE42*(1+BR$3))/$AJ42,'Технический лист'!$M:$N,2,1)-VLOOKUP($AO42,'Технический лист'!$M:$N,2,1)),1+(1-$AU42))</f>
        <v>1.25</v>
      </c>
      <c r="BS42" s="15">
        <f>MIN(IF($AU42=100%,1,1+VLOOKUP(($AJ42-$AI42-$AH42-$AG42-$AF42-$AE42*(1+BS$3))/$AJ42,'Технический лист'!$M:$N,2,1)-VLOOKUP($AO42,'Технический лист'!$M:$N,2,1)),1+(1-$AU42))</f>
        <v>1.25</v>
      </c>
      <c r="BT42" s="15">
        <f>MIN(IF($AU42=100%,1,1+VLOOKUP(($AJ42-$AI42-$AH42-$AG42-$AF42-$AE42*(1+BT$3))/$AJ42,'Технический лист'!$M:$N,2,1)-VLOOKUP($AO42,'Технический лист'!$M:$N,2,1)),1+(1-$AU42))</f>
        <v>1.25</v>
      </c>
      <c r="BU42" s="15">
        <f>MIN(IF($AU42=100%,1,1+VLOOKUP(($AJ42-$AI42-$AH42-$AG42-$AF42-$AE42*(1+BU$3))/$AJ42,'Технический лист'!$M:$N,2,1)-VLOOKUP($AO42,'Технический лист'!$M:$N,2,1)),1+(1-$AU42))</f>
        <v>1.25</v>
      </c>
      <c r="BV42" s="15">
        <f>MIN(IF($AU42=100%,1,1+VLOOKUP(($AJ42-$AI42-$AH42-$AG42-$AF42-$AE42*(1+BV$3))/$AJ42,'Технический лист'!$M:$N,2,1)-VLOOKUP($AO42,'Технический лист'!$M:$N,2,1)),1+(1-$AU42))</f>
        <v>1.25</v>
      </c>
      <c r="BW42" s="15">
        <f>MIN(IF($AU42=100%,1,1+VLOOKUP(($AJ42-$AI42-$AH42-$AG42-$AF42-$AE42*(1+BW$3))/$AJ42,'Технический лист'!$M:$N,2,1)-VLOOKUP($AO42,'Технический лист'!$M:$N,2,1)),1+(1-$AU42))</f>
        <v>1.25</v>
      </c>
      <c r="BX42" s="15">
        <f>MIN(IF($AU42=100%,1,1+VLOOKUP(($AJ42-$AI42-$AH42-$AG42-$AF42-$AE42*(1+BX$3))/$AJ42,'Технический лист'!$M:$N,2,1)-VLOOKUP($AO42,'Технический лист'!$M:$N,2,1)),1+(1-$AU42))</f>
        <v>1.25</v>
      </c>
      <c r="BY42" s="15">
        <f>MIN(IF($AU42=100%,1,1+VLOOKUP(($AJ42-$AI42-$AH42-$AG42-$AF42-$AE42*(1+BY$3))/$AJ42,'Технический лист'!$M:$N,2,1)-VLOOKUP($AO42,'Технический лист'!$M:$N,2,1)),1+(1-$AU42))</f>
        <v>1.25</v>
      </c>
      <c r="BZ42" s="15">
        <f>MIN(IF($AU42=100%,1,1+VLOOKUP(($AJ42-$AI42-$AH42-$AG42-$AF42-$AE42*(1+BZ$3))/$AJ42,'Технический лист'!$M:$N,2,1)-VLOOKUP($AO42,'Технический лист'!$M:$N,2,1)),1+(1-$AU42))</f>
        <v>1.25</v>
      </c>
      <c r="CA42" s="15">
        <f>MIN(IF($AU42=100%,1,1+VLOOKUP(($AJ42-$AI42-$AH42-$AG42-$AF42-$AE42*(1+CA$3))/$AJ42,'Технический лист'!$M:$N,2,1)-VLOOKUP($AO42,'Технический лист'!$M:$N,2,1)),1+(1-$AU42))</f>
        <v>1.25</v>
      </c>
      <c r="CB42" s="15">
        <f>MIN(IF($AU42=100%,1,1+VLOOKUP(($AJ42-$AI42-$AH42-$AG42-$AF42-$AE42*(1+CB$3))/$AJ42,'Технический лист'!$M:$N,2,1)-VLOOKUP($AO42,'Технический лист'!$M:$N,2,1)),1+(1-$AU42))</f>
        <v>1.25</v>
      </c>
      <c r="CC42" s="15">
        <f>MIN(IF($AU42=100%,1,1+VLOOKUP(($AJ42-$AI42-$AH42-$AG42-$AF42-$AE42*(1+CC$3))/$AJ42,'Технический лист'!$M:$N,2,1)-VLOOKUP($AO42,'Технический лист'!$M:$N,2,1)),1+(1-$AU42))</f>
        <v>1.25</v>
      </c>
      <c r="CD42" s="15">
        <f>MIN(IF($AU42=100%,1,1+VLOOKUP(($AJ42-$AI42-$AH42-$AG42-$AF42-$AE42*(1+CD$3))/$AJ42,'Технический лист'!$M:$N,2,1)-VLOOKUP($AO42,'Технический лист'!$M:$N,2,1)),1+(1-$AU42))</f>
        <v>1.25</v>
      </c>
      <c r="CE42" s="15">
        <f>MIN(IF($AU42=100%,1,1+VLOOKUP(($AJ42-$AI42-$AH42-$AG42-$AF42-$AE42*(1+CE$3))/$AJ42,'Технический лист'!$M:$N,2,1)-VLOOKUP($AO42,'Технический лист'!$M:$N,2,1)),1+(1-$AU42))</f>
        <v>1.25</v>
      </c>
      <c r="CF42" s="15">
        <f>MIN(IF($AU42=100%,1,1+VLOOKUP(($AJ42-$AI42-$AH42-$AG42-$AF42-$AE42*(1+CF$3))/$AJ42,'Технический лист'!$M:$N,2,1)-VLOOKUP($AO42,'Технический лист'!$M:$N,2,1)),1+(1-$AU42))</f>
        <v>1.25</v>
      </c>
      <c r="CG42" s="15">
        <f>MIN(IF($AU42=100%,1,1+VLOOKUP(($AJ42-$AI42-$AH42-$AG42-$AF42-$AE42*(1+CG$3))/$AJ42,'Технический лист'!$M:$N,2,1)-VLOOKUP($AO42,'Технический лист'!$M:$N,2,1)),1+(1-$AU42))</f>
        <v>1.25</v>
      </c>
      <c r="CH42" s="15">
        <f>MIN(IF($AU42=100%,1,1+VLOOKUP(($AJ42-$AI42-$AH42-$AG42-$AF42-$AE42*(1+CH$3))/$AJ42,'Технический лист'!$M:$N,2,1)-VLOOKUP($AO42,'Технический лист'!$M:$N,2,1)),1+(1-$AU42))</f>
        <v>1.25</v>
      </c>
      <c r="CI42" s="15">
        <f>MIN(IF($AU42=100%,1,1+VLOOKUP(($AJ42-$AI42-$AH42-$AG42-$AF42-$AE42*(1+CI$3))/$AJ42,'Технический лист'!$M:$N,2,1)-VLOOKUP($AO42,'Технический лист'!$M:$N,2,1)),1+(1-$AU42))</f>
        <v>1.25</v>
      </c>
      <c r="CJ42" s="15">
        <f>MIN(IF($AU42=100%,1,1+VLOOKUP(($AJ42-$AI42-$AH42-$AG42-$AF42-$AE42*(1+CJ$3))/$AJ42,'Технический лист'!$M:$N,2,1)-VLOOKUP($AO42,'Технический лист'!$M:$N,2,1)),1+(1-$AU42))</f>
        <v>1.25</v>
      </c>
      <c r="CK42" s="15">
        <f>MIN(IF($AU42=100%,1,1+VLOOKUP(($AJ42-$AI42-$AH42-$AG42-$AF42-$AE42*(1+CK$3))/$AJ42,'Технический лист'!$M:$N,2,1)-VLOOKUP($AO42,'Технический лист'!$M:$N,2,1)),1+(1-$AU42))</f>
        <v>1.25</v>
      </c>
      <c r="CL42" s="15">
        <f>MIN(IF($AU42=100%,1,1+VLOOKUP(($AJ42-$AI42-$AH42-$AG42-$AF42-$AE42*(1+CL$3))/$AJ42,'Технический лист'!$M:$N,2,1)-VLOOKUP($AO42,'Технический лист'!$M:$N,2,1)),1+(1-$AU42))</f>
        <v>1.25</v>
      </c>
      <c r="CM42" s="15">
        <f>MIN(IF($AU42=100%,1,1+VLOOKUP(($AJ42-$AI42-$AH42-$AG42-$AF42-$AE42*(1+CM$3))/$AJ42,'Технический лист'!$M:$N,2,1)-VLOOKUP($AO42,'Технический лист'!$M:$N,2,1)),1+(1-$AU42))</f>
        <v>1.25</v>
      </c>
      <c r="CN42" s="15">
        <f>MIN(IF($AU42=100%,1,1+VLOOKUP(($AJ42-$AI42-$AH42-$AG42-$AF42-$AE42*(1+CN$3))/$AJ42,'Технический лист'!$M:$N,2,1)-VLOOKUP($AO42,'Технический лист'!$M:$N,2,1)),1+(1-$AU42))</f>
        <v>1.25</v>
      </c>
      <c r="CO42" s="15">
        <f>MIN(IF($AU42=100%,1,1+VLOOKUP(($AJ42-$AI42-$AH42-$AG42-$AF42-$AE42*(1+CO$3))/$AJ42,'Технический лист'!$M:$N,2,1)-VLOOKUP($AO42,'Технический лист'!$M:$N,2,1)),1+(1-$AU42))</f>
        <v>1.25</v>
      </c>
      <c r="CP42" s="15">
        <f>MIN(IF($AU42=100%,1,1+VLOOKUP(($AJ42-$AI42-$AH42-$AG42-$AF42-$AE42*(1+CP$3))/$AJ42,'Технический лист'!$M:$N,2,1)-VLOOKUP($AO42,'Технический лист'!$M:$N,2,1)),1+(1-$AU42))</f>
        <v>1.25</v>
      </c>
      <c r="CQ42" s="15">
        <f>MIN(IF($AU42=100%,1,1+VLOOKUP(($AJ42-$AI42-$AH42-$AG42-$AF42-$AE42*(1+CQ$3))/$AJ42,'Технический лист'!$M:$N,2,1)-VLOOKUP($AO42,'Технический лист'!$M:$N,2,1)),1+(1-$AU42))</f>
        <v>1.25</v>
      </c>
      <c r="CR42" s="15">
        <f>MIN(IF($AU42=100%,1,1+VLOOKUP(($AJ42-$AI42-$AH42-$AG42-$AF42-$AE42*(1+CR$3))/$AJ42,'Технический лист'!$M:$N,2,1)-VLOOKUP($AO42,'Технический лист'!$M:$N,2,1)),1+(1-$AU42))</f>
        <v>1.25</v>
      </c>
      <c r="CS42" s="15">
        <f>MIN(IF($AU42=100%,1,1+VLOOKUP(($AJ42-$AI42-$AH42-$AG42-$AF42-$AE42*(1+CS$3))/$AJ42,'Технический лист'!$M:$N,2,1)-VLOOKUP($AO42,'Технический лист'!$M:$N,2,1)),1+(1-$AU42))</f>
        <v>1.25</v>
      </c>
      <c r="CT42" s="15">
        <f>MIN(IF($AU42=100%,1,1+VLOOKUP(($AJ42-$AI42-$AH42-$AG42-$AF42-$AE42*(1+CT$3))/$AJ42,'Технический лист'!$M:$N,2,1)-VLOOKUP($AO42,'Технический лист'!$M:$N,2,1)),1+(1-$AU42))</f>
        <v>1.25</v>
      </c>
      <c r="CU42" s="15">
        <f>MIN(IF($AU42=100%,1,1+VLOOKUP(($AJ42-$AI42-$AH42-$AG42-$AF42-$AE42*(1+CU$3))/$AJ42,'Технический лист'!$M:$N,2,1)-VLOOKUP($AO42,'Технический лист'!$M:$N,2,1)),1+(1-$AU42))</f>
        <v>1.25</v>
      </c>
      <c r="CV42" s="15">
        <f>MIN(IF($AU42=100%,1,1+VLOOKUP(($AJ42-$AI42-$AH42-$AG42-$AF42-$AE42*(1+CV$3))/$AJ42,'Технический лист'!$M:$N,2,1)-VLOOKUP($AO42,'Технический лист'!$M:$N,2,1)),1+(1-$AU42))</f>
        <v>1.25</v>
      </c>
      <c r="CW42" s="15">
        <f>MIN(IF($AU42=100%,1,1+VLOOKUP(($AJ42-$AI42-$AH42-$AG42-$AF42-$AE42*(1+CW$3))/$AJ42,'Технический лист'!$M:$N,2,1)-VLOOKUP($AO42,'Технический лист'!$M:$N,2,1)),1+(1-$AU42))</f>
        <v>1.25</v>
      </c>
      <c r="CX42" s="15">
        <f>MIN(IF($AU42=100%,1,1+VLOOKUP(($AJ42-$AI42-$AH42-$AG42-$AF42-$AE42*(1+CX$3))/$AJ42,'Технический лист'!$M:$N,2,1)-VLOOKUP($AO42,'Технический лист'!$M:$N,2,1)),1+(1-$AU42))</f>
        <v>1.25</v>
      </c>
      <c r="CY42" s="15">
        <f>MIN(IF($AU42=100%,1,1+VLOOKUP(($AJ42-$AI42-$AH42-$AG42-$AF42-$AE42*(1+CY$3))/$AJ42,'Технический лист'!$M:$N,2,1)-VLOOKUP($AO42,'Технический лист'!$M:$N,2,1)),1+(1-$AU42))</f>
        <v>1.25</v>
      </c>
      <c r="CZ42" s="15">
        <f>MIN(IF($AU42=100%,1,1+VLOOKUP(($AJ42-$AI42-$AH42-$AG42-$AF42-$AE42*(1+CZ$3))/$AJ42,'Технический лист'!$M:$N,2,1)-VLOOKUP($AO42,'Технический лист'!$M:$N,2,1)),1+(1-$AU42))</f>
        <v>1.25</v>
      </c>
      <c r="DA42" s="15">
        <f>MIN(IF($AU42=100%,1,1+VLOOKUP(($AJ42-$AI42-$AH42-$AG42-$AF42-$AE42*(1+DA$3))/$AJ42,'Технический лист'!$M:$N,2,1)-VLOOKUP($AO42,'Технический лист'!$M:$N,2,1)),1+(1-$AU42))</f>
        <v>1.25</v>
      </c>
      <c r="DB42" s="15">
        <f>MIN(IF($AU42=100%,1,1+VLOOKUP(($AJ42-$AI42-$AH42-$AG42-$AF42-$AE42*(1+DB$3))/$AJ42,'Технический лист'!$M:$N,2,1)-VLOOKUP($AO42,'Технический лист'!$M:$N,2,1)),1+(1-$AU42))</f>
        <v>1.25</v>
      </c>
      <c r="DC42" s="15">
        <f>MIN(IF($AU42=100%,1,1+VLOOKUP(($AJ42-$AI42-$AH42-$AG42-$AF42-$AE42*(1+DC$3))/$AJ42,'Технический лист'!$M:$N,2,1)-VLOOKUP($AO42,'Технический лист'!$M:$N,2,1)),1+(1-$AU42))</f>
        <v>1.25</v>
      </c>
      <c r="DD42" s="15">
        <f>MIN(IF($AU42=100%,1,1+VLOOKUP(($AJ42-$AI42-$AH42-$AG42-$AF42-$AE42*(1+DD$3))/$AJ42,'Технический лист'!$M:$N,2,1)-VLOOKUP($AO42,'Технический лист'!$M:$N,2,1)),1+(1-$AU42))</f>
        <v>1.25</v>
      </c>
      <c r="DE42" s="15">
        <f>MIN(IF($AU42=100%,1,1+VLOOKUP(($AJ42-$AI42-$AH42-$AG42-$AF42-$AE42*(1+DE$3))/$AJ42,'Технический лист'!$M:$N,2,1)-VLOOKUP($AO42,'Технический лист'!$M:$N,2,1)),1+(1-$AU42))</f>
        <v>1.25</v>
      </c>
      <c r="DF42" s="15">
        <f>MIN(IF($AU42=100%,1,1+VLOOKUP(($AJ42-$AI42-$AH42-$AG42-$AF42-$AE42*(1+DF$3))/$AJ42,'Технический лист'!$M:$N,2,1)-VLOOKUP($AO42,'Технический лист'!$M:$N,2,1)),1+(1-$AU42))</f>
        <v>1.25</v>
      </c>
      <c r="DG42" s="15">
        <f>MIN(IF($AU42=100%,1,1+VLOOKUP(($AJ42-$AI42-$AH42-$AG42-$AF42-$AE42*(1+DG$3))/$AJ42,'Технический лист'!$M:$N,2,1)-VLOOKUP($AO42,'Технический лист'!$M:$N,2,1)),1+(1-$AU42))</f>
        <v>1.25</v>
      </c>
      <c r="DH42" s="15">
        <f>MIN(IF($AU42=100%,1,1+VLOOKUP(($AJ42-$AI42-$AH42-$AG42-$AF42-$AE42*(1+DH$3))/$AJ42,'Технический лист'!$M:$N,2,1)-VLOOKUP($AO42,'Технический лист'!$M:$N,2,1)),1+(1-$AU42))</f>
        <v>1.25</v>
      </c>
      <c r="DI42" s="15">
        <f>MIN(IF($AU42=100%,1,1+VLOOKUP(($AJ42-$AI42-$AH42-$AG42-$AF42-$AE42*(1+DI$3))/$AJ42,'Технический лист'!$M:$N,2,1)-VLOOKUP($AO42,'Технический лист'!$M:$N,2,1)),1+(1-$AU42))</f>
        <v>1.25</v>
      </c>
      <c r="DJ42" s="15">
        <f>MIN(IF($AU42=100%,1,1+VLOOKUP(($AJ42-$AI42-$AH42-$AG42-$AF42-$AE42*(1+DJ$3))/$AJ42,'Технический лист'!$M:$N,2,1)-VLOOKUP($AO42,'Технический лист'!$M:$N,2,1)),1+(1-$AU42))</f>
        <v>1.25</v>
      </c>
      <c r="DK42" s="15">
        <f>MIN(IF($AU42=100%,1,1+VLOOKUP(($AJ42-$AI42-$AH42-$AG42-$AF42-$AE42*(1+DK$3))/$AJ42,'Технический лист'!$M:$N,2,1)-VLOOKUP($AO42,'Технический лист'!$M:$N,2,1)),1+(1-$AU42))</f>
        <v>1.25</v>
      </c>
      <c r="DL42" s="15">
        <f>MIN(IF($AU42=100%,1,1+VLOOKUP(($AJ42-$AI42-$AH42-$AG42-$AF42-$AE42*(1+DL$3))/$AJ42,'Технический лист'!$M:$N,2,1)-VLOOKUP($AO42,'Технический лист'!$M:$N,2,1)),1+(1-$AU42))</f>
        <v>1.25</v>
      </c>
      <c r="DM42" s="15">
        <f>MIN(IF($AU42=100%,1,1+VLOOKUP(($AJ42-$AI42-$AH42-$AG42-$AF42-$AE42*(1+DM$3))/$AJ42,'Технический лист'!$M:$N,2,1)-VLOOKUP($AO42,'Технический лист'!$M:$N,2,1)),1+(1-$AU42))</f>
        <v>1.25</v>
      </c>
      <c r="DN42" s="15">
        <f>MIN(IF($AU42=100%,1,1+VLOOKUP(($AJ42-$AI42-$AH42-$AG42-$AF42-$AE42*(1+DN$3))/$AJ42,'Технический лист'!$M:$N,2,1)-VLOOKUP($AO42,'Технический лист'!$M:$N,2,1)),1+(1-$AU42))</f>
        <v>1.25</v>
      </c>
      <c r="DO42" s="15">
        <f>MIN(IF($AU42=100%,1,1+VLOOKUP(($AJ42-$AI42-$AH42-$AG42-$AF42-$AE42*(1+DO$3))/$AJ42,'Технический лист'!$M:$N,2,1)-VLOOKUP($AO42,'Технический лист'!$M:$N,2,1)),1+(1-$AU42))</f>
        <v>1.25</v>
      </c>
      <c r="DP42" s="15">
        <f>MIN(IF($AU42=100%,1,1+VLOOKUP(($AJ42-$AI42-$AH42-$AG42-$AF42-$AE42*(1+DP$3))/$AJ42,'Технический лист'!$M:$N,2,1)-VLOOKUP($AO42,'Технический лист'!$M:$N,2,1)),1+(1-$AU42))</f>
        <v>1.25</v>
      </c>
      <c r="DQ42" s="15">
        <f>MIN(IF($AU42=100%,1,1+VLOOKUP(($AJ42-$AI42-$AH42-$AG42-$AF42-$AE42*(1+DQ$3))/$AJ42,'Технический лист'!$M:$N,2,1)-VLOOKUP($AO42,'Технический лист'!$M:$N,2,1)),1+(1-$AU42))</f>
        <v>1.25</v>
      </c>
      <c r="DR42" s="15">
        <f>MIN(IF($AU42=100%,1,1+VLOOKUP(($AJ42-$AI42-$AH42-$AG42-$AF42-$AE42*(1+DR$3))/$AJ42,'Технический лист'!$M:$N,2,1)-VLOOKUP($AO42,'Технический лист'!$M:$N,2,1)),1+(1-$AU42))</f>
        <v>1.25</v>
      </c>
      <c r="DS42" s="15">
        <f>MIN(IF($AU42=100%,1,1+VLOOKUP(($AJ42-$AI42-$AH42-$AG42-$AF42-$AE42*(1+DS$3))/$AJ42,'Технический лист'!$M:$N,2,1)-VLOOKUP($AO42,'Технический лист'!$M:$N,2,1)),1+(1-$AU42))</f>
        <v>1.25</v>
      </c>
      <c r="DT42" s="15">
        <f>MIN(IF($AU42=100%,1,1+VLOOKUP(($AJ42-$AI42-$AH42-$AG42-$AF42-$AE42*(1+DT$3))/$AJ42,'Технический лист'!$M:$N,2,1)-VLOOKUP($AO42,'Технический лист'!$M:$N,2,1)),1+(1-$AU42))</f>
        <v>1.25</v>
      </c>
      <c r="DU42" s="15">
        <f>MIN(IF($AU42=100%,1,1+VLOOKUP(($AJ42-$AI42-$AH42-$AG42-$AF42-$AE42*(1+DU$3))/$AJ42,'Технический лист'!$M:$N,2,1)-VLOOKUP($AO42,'Технический лист'!$M:$N,2,1)),1+(1-$AU42))</f>
        <v>1.25</v>
      </c>
      <c r="DV42" s="15">
        <f>MIN(IF($AU42=100%,1,1+VLOOKUP(($AJ42-$AI42-$AH42-$AG42-$AF42-$AE42*(1+DV$3))/$AJ42,'Технический лист'!$M:$N,2,1)-VLOOKUP($AO42,'Технический лист'!$M:$N,2,1)),1+(1-$AU42))</f>
        <v>1.25</v>
      </c>
      <c r="DW42" s="15">
        <f>MIN(IF($AU42=100%,1,1+VLOOKUP(($AJ42-$AI42-$AH42-$AG42-$AF42-$AE42*(1+DW$3))/$AJ42,'Технический лист'!$M:$N,2,1)-VLOOKUP($AO42,'Технический лист'!$M:$N,2,1)),1+(1-$AU42))</f>
        <v>1.24</v>
      </c>
      <c r="DX42" s="15">
        <f>MIN(IF($AU42=100%,1,1+VLOOKUP(($AJ42-$AI42-$AH42-$AG42-$AF42-$AE42*(1+DX$3))/$AJ42,'Технический лист'!$M:$N,2,1)-VLOOKUP($AO42,'Технический лист'!$M:$N,2,1)),1+(1-$AU42))</f>
        <v>1.24</v>
      </c>
      <c r="DY42" s="15">
        <f>MIN(IF($AU42=100%,1,1+VLOOKUP(($AJ42-$AI42-$AH42-$AG42-$AF42-$AE42*(1+DY$3))/$AJ42,'Технический лист'!$M:$N,2,1)-VLOOKUP($AO42,'Технический лист'!$M:$N,2,1)),1+(1-$AU42))</f>
        <v>1.2</v>
      </c>
      <c r="DZ42" s="15">
        <f>MIN(IF($AU42=100%,1,1+VLOOKUP(($AJ42-$AI42-$AH42-$AG42-$AF42-$AE42*(1+DZ$3))/$AJ42,'Технический лист'!$M:$N,2,1)-VLOOKUP($AO42,'Технический лист'!$M:$N,2,1)),1+(1-$AU42))</f>
        <v>1.2</v>
      </c>
      <c r="EA42" s="15">
        <f>MIN(IF($AU42=100%,1,1+VLOOKUP(($AJ42-$AI42-$AH42-$AG42-$AF42-$AE42*(1+EA$3))/$AJ42,'Технический лист'!$M:$N,2,1)-VLOOKUP($AO42,'Технический лист'!$M:$N,2,1)),1+(1-$AU42))</f>
        <v>1.155</v>
      </c>
      <c r="EB42" s="15">
        <f>MIN(IF($AU42=100%,1,1+VLOOKUP(($AJ42-$AI42-$AH42-$AG42-$AF42-$AE42*(1+EB$3))/$AJ42,'Технический лист'!$M:$N,2,1)-VLOOKUP($AO42,'Технический лист'!$M:$N,2,1)),1+(1-$AU42))</f>
        <v>1.155</v>
      </c>
      <c r="EC42" s="15">
        <f>MIN(IF($AU42=100%,1,1+VLOOKUP(($AJ42-$AI42-$AH42-$AG42-$AF42-$AE42*(1+EC$3))/$AJ42,'Технический лист'!$M:$N,2,1)-VLOOKUP($AO42,'Технический лист'!$M:$N,2,1)),1+(1-$AU42))</f>
        <v>1.1100000000000001</v>
      </c>
      <c r="ED42" s="15">
        <f>MIN(IF($AU42=100%,1,1+VLOOKUP(($AJ42-$AI42-$AH42-$AG42-$AF42-$AE42*(1+ED$3))/$AJ42,'Технический лист'!$M:$N,2,1)-VLOOKUP($AO42,'Технический лист'!$M:$N,2,1)),1+(1-$AU42))</f>
        <v>1.1100000000000001</v>
      </c>
      <c r="EE42" s="15">
        <f>MIN(IF($AU42=100%,1,1+VLOOKUP(($AJ42-$AI42-$AH42-$AG42-$AF42-$AE42*(1+EE$3))/$AJ42,'Технический лист'!$M:$N,2,1)-VLOOKUP($AO42,'Технический лист'!$M:$N,2,1)),1+(1-$AU42))</f>
        <v>1.06</v>
      </c>
      <c r="EF42" s="15">
        <f>MIN(IF($AU42=100%,1,1+VLOOKUP(($AJ42-$AI42-$AH42-$AG42-$AF42-$AE42*(1+EF$3))/$AJ42,'Технический лист'!$M:$N,2,1)-VLOOKUP($AO42,'Технический лист'!$M:$N,2,1)),1+(1-$AU42))</f>
        <v>1.06</v>
      </c>
      <c r="EG42" s="15">
        <f>MIN(IF($AU42=100%,1,1+VLOOKUP(($AJ42-$AI42-$AH42-$AG42-$AF42-$AE42*(1+EG$3))/$AJ42,'Технический лист'!$M:$N,2,1)-VLOOKUP($AO42,'Технический лист'!$M:$N,2,1)),1+(1-$AU42))</f>
        <v>1</v>
      </c>
      <c r="EH42" s="15">
        <f>MIN(IF($AU42=100%,1,1+VLOOKUP(($AJ42-$AI42-$AH42-$AG42-$AF42-$AE42*(1+EH$3))/$AJ42,'Технический лист'!$M:$N,2,1)-VLOOKUP($AO42,'Технический лист'!$M:$N,2,1)),1+(1-$AU42))</f>
        <v>1</v>
      </c>
      <c r="EI42" s="15">
        <f>MIN(IF($AU42=100%,1,1+VLOOKUP(($AJ42-$AI42-$AH42-$AG42-$AF42-$AE42*(1+EI$3))/$AJ42,'Технический лист'!$M:$N,2,1)-VLOOKUP($AO42,'Технический лист'!$M:$N,2,1)),1+(1-$AU42))</f>
        <v>1</v>
      </c>
      <c r="EJ42" s="15">
        <f>MIN(IF($AU42=100%,1,1+VLOOKUP(($AJ42-$AI42-$AH42-$AG42-$AF42-$AE42*(1+EJ$3))/$AJ42,'Технический лист'!$M:$N,2,1)-VLOOKUP($AO42,'Технический лист'!$M:$N,2,1)),1+(1-$AU42))</f>
        <v>1</v>
      </c>
      <c r="EK42" s="15">
        <f>MIN(IF($AU42=100%,1,1+VLOOKUP(($AJ42-$AI42-$AH42-$AG42-$AF42-$AE42*(1+EK$3))/$AJ42,'Технический лист'!$M:$N,2,1)-VLOOKUP($AO42,'Технический лист'!$M:$N,2,1)),1+(1-$AU42))</f>
        <v>1</v>
      </c>
      <c r="EL42" s="15">
        <f>MIN(IF($AU42=100%,1,1+VLOOKUP(($AJ42-$AI42-$AH42-$AG42-$AF42-$AE42*(1+EL$3))/$AJ42,'Технический лист'!$M:$N,2,1)-VLOOKUP($AO42,'Технический лист'!$M:$N,2,1)),1+(1-$AU42))</f>
        <v>1</v>
      </c>
      <c r="EM42" s="15">
        <f>MIN(IF($AU42=100%,1,1+VLOOKUP(($AJ42-$AI42-$AH42-$AG42-$AF42-$AE42*(1+EM$3))/$AJ42,'Технический лист'!$M:$N,2,1)-VLOOKUP($AO42,'Технический лист'!$M:$N,2,1)),1+(1-$AU42))</f>
        <v>1</v>
      </c>
      <c r="EN42" s="15">
        <f>MIN(IF($AU42=100%,1,1+VLOOKUP(($AJ42-$AI42-$AH42-$AG42-$AF42-$AE42*(1+EN$3))/$AJ42,'Технический лист'!$M:$N,2,1)-VLOOKUP($AO42,'Технический лист'!$M:$N,2,1)),1+(1-$AU42))</f>
        <v>1</v>
      </c>
      <c r="EO42" s="15">
        <f>MIN(IF($AU42=100%,1,1+VLOOKUP(($AJ42-$AI42-$AH42-$AG42-$AF42-$AE42*(1+EO$3))/$AJ42,'Технический лист'!$M:$N,2,1)-VLOOKUP($AO42,'Технический лист'!$M:$N,2,1)),1+(1-$AU42))</f>
        <v>1</v>
      </c>
      <c r="EP42" s="15">
        <f>MIN(IF($AU42=100%,1,1+VLOOKUP(($AJ42-$AI42-$AH42-$AG42-$AF42-$AE42*(1+EP$3))/$AJ42,'Технический лист'!$M:$N,2,1)-VLOOKUP($AO42,'Технический лист'!$M:$N,2,1)),1+(1-$AU42))</f>
        <v>1</v>
      </c>
      <c r="EQ42" s="15">
        <f>MIN(IF($AU42=100%,1,1+VLOOKUP(($AJ42-$AI42-$AH42-$AG42-$AF42-$AE42*(1+EQ$3))/$AJ42,'Технический лист'!$M:$N,2,1)-VLOOKUP($AO42,'Технический лист'!$M:$N,2,1)),1+(1-$AU42))</f>
        <v>1</v>
      </c>
      <c r="ER42" s="15">
        <f>MIN(IF($AU42=100%,1,1+VLOOKUP(($AJ42-$AI42-$AH42-$AG42-$AF42-$AE42*(1+ER$3))/$AJ42,'Технический лист'!$M:$N,2,1)-VLOOKUP($AO42,'Технический лист'!$M:$N,2,1)),1+(1-$AU42))</f>
        <v>1</v>
      </c>
      <c r="ES42" s="15">
        <f>MIN(IF($AU42=100%,1,1+VLOOKUP(($AJ42-$AI42-$AH42-$AG42-$AF42-$AE42*(1+ES$3))/$AJ42,'Технический лист'!$M:$N,2,1)-VLOOKUP($AO42,'Технический лист'!$M:$N,2,1)),1+(1-$AU42))</f>
        <v>1</v>
      </c>
      <c r="ET42" s="15">
        <f>MIN(IF($AU42=100%,1,1+VLOOKUP(($AJ42-$AI42-$AH42-$AG42-$AF42-$AE42*(1+ET$3))/$AJ42,'Технический лист'!$M:$N,2,1)-VLOOKUP($AO42,'Технический лист'!$M:$N,2,1)),1+(1-$AU42))</f>
        <v>1</v>
      </c>
      <c r="EU42" s="15">
        <f>MIN(IF($AU42=100%,1,1+VLOOKUP(($AJ42-$AI42-$AH42-$AG42-$AF42-$AE42*(1+EU$3))/$AJ42,'Технический лист'!$M:$N,2,1)-VLOOKUP($AO42,'Технический лист'!$M:$N,2,1)),1+(1-$AU42))</f>
        <v>1</v>
      </c>
      <c r="EV42" s="111">
        <v>1</v>
      </c>
      <c r="EW42" s="15">
        <f>MIN(1,MAX(VLOOKUP(($AJ42-$AI42-$AH42-$AG42-$AF42-$AE42*(1+EW$3))/$AJ42,'Технический лист'!$M:$N,2,1),(EV42-0.05)))</f>
        <v>0.95</v>
      </c>
      <c r="EX42" s="15">
        <f>MIN(1,MAX(VLOOKUP(($AJ42-$AI42-$AH42-$AG42-$AF42-$AE42*(1+EX$3))/$AJ42,'Технический лист'!$M:$N,2,1),(EW42-0.05)))</f>
        <v>0.89999999999999991</v>
      </c>
      <c r="EY42" s="15">
        <f>MIN(1,MAX(VLOOKUP(($AJ42-$AI42-$AH42-$AG42-$AF42-$AE42*(1+EY$3))/$AJ42,'Технический лист'!$M:$N,2,1),(EX42-0.05)))</f>
        <v>0.84999999999999987</v>
      </c>
      <c r="EZ42" s="15">
        <f>MIN(1,MAX(VLOOKUP(($AJ42-$AI42-$AH42-$AG42-$AF42-$AE42*(1+EZ$3))/$AJ42,'Технический лист'!$M:$N,2,1),(EY42-0.05)))</f>
        <v>0.79999999999999982</v>
      </c>
      <c r="FA42" s="15">
        <f>MIN(1,MAX(VLOOKUP(($AJ42-$AI42-$AH42-$AG42-$AF42-$AE42*(1+FA$3))/$AJ42,'Технический лист'!$M:$N,2,1),(EZ42-0.05)))</f>
        <v>0.74999999999999978</v>
      </c>
      <c r="FB42" s="15">
        <f>MIN(1,MAX(VLOOKUP(($AJ42-$AI42-$AH42-$AG42-$AF42-$AE42*(1+FB$3))/$AJ42,'Технический лист'!$M:$N,2,1),(FA42-0.05)))</f>
        <v>0.69999999999999973</v>
      </c>
      <c r="FC42" s="15">
        <f>MIN(1,MAX(VLOOKUP(($AJ42-$AI42-$AH42-$AG42-$AF42-$AE42*(1+FC$3))/$AJ42,'Технический лист'!$M:$N,2,1),(FB42-0.05)))</f>
        <v>0.64999999999999969</v>
      </c>
      <c r="FD42" s="15">
        <f>MIN(1,MAX(VLOOKUP(($AJ42-$AI42-$AH42-$AG42-$AF42-$AE42*(1+FD$3))/$AJ42,'Технический лист'!$M:$N,2,1),(FC42-0.05)))</f>
        <v>0.59999999999999964</v>
      </c>
      <c r="FE42" s="15">
        <f>MIN(1,MAX(VLOOKUP(($AJ42-$AI42-$AH42-$AG42-$AF42-$AE42*(1+FE$3))/$AJ42,'Технический лист'!$M:$N,2,1),(FD42-0.05)))</f>
        <v>0.5499999999999996</v>
      </c>
      <c r="FF42" s="15">
        <f>MIN(1,MAX(VLOOKUP(($AJ42-$AI42-$AH42-$AG42-$AF42-$AE42*(1+FF$3))/$AJ42,'Технический лист'!$M:$N,2,1),(FE42-0.05)))</f>
        <v>0.49999999999999961</v>
      </c>
      <c r="FG42" s="15">
        <f>MIN(1,MAX(VLOOKUP(($AJ42-$AI42-$AH42-$AG42-$AF42-$AE42*(1+FG$3))/$AJ42,'Технический лист'!$M:$N,2,1),(FF42-0.05)))</f>
        <v>0.44999999999999962</v>
      </c>
      <c r="FH42" s="15">
        <f>MIN(1,MAX(VLOOKUP(($AJ42-$AI42-$AH42-$AG42-$AF42-$AE42*(1+FH$3))/$AJ42,'Технический лист'!$M:$N,2,1),(FG42-0.05)))</f>
        <v>0.39999999999999963</v>
      </c>
      <c r="FI42" s="15">
        <f>MIN(1,MAX(VLOOKUP(($AJ42-$AI42-$AH42-$AG42-$AF42-$AE42*(1+FI$3))/$AJ42,'Технический лист'!$M:$N,2,1),(FH42-0.05)))</f>
        <v>0.34999999999999964</v>
      </c>
      <c r="FJ42" s="15">
        <f>MIN(1,MAX(VLOOKUP(($AJ42-$AI42-$AH42-$AG42-$AF42-$AE42*(1+FJ$3))/$AJ42,'Технический лист'!$M:$N,2,1),(FI42-0.05)))</f>
        <v>0.29999999999999966</v>
      </c>
      <c r="FK42" s="15">
        <f>MIN(1,MAX(VLOOKUP(($AJ42-$AI42-$AH42-$AG42-$AF42-$AE42*(1+FK$3))/$AJ42,'Технический лист'!$M:$N,2,1),(FJ42-0.05)))</f>
        <v>0.24999999999999967</v>
      </c>
      <c r="FL42" s="15">
        <f>MIN(1,MAX(VLOOKUP(($AJ42-$AI42-$AH42-$AG42-$AF42-$AE42*(1+FL$3))/$AJ42,'Технический лист'!$M:$N,2,1),(FK42-0.05)))</f>
        <v>0.19999999999999968</v>
      </c>
      <c r="FM42" s="15">
        <f>MIN(1,MAX(VLOOKUP(($AJ42-$AI42-$AH42-$AG42-$AF42-$AE42*(1+FM$3))/$AJ42,'Технический лист'!$M:$N,2,1),(FL42-0.05)))</f>
        <v>0.14999999999999969</v>
      </c>
      <c r="FN42" s="15">
        <f>MIN(1,MAX(VLOOKUP(($AJ42-$AI42-$AH42-$AG42-$AF42-$AE42*(1+FN$3))/$AJ42,'Технический лист'!$M:$N,2,1),(FM42-0.05)))</f>
        <v>9.9999999999999686E-2</v>
      </c>
      <c r="FO42" s="15">
        <f>MIN(1,MAX(VLOOKUP(($AJ42-$AI42-$AH42-$AG42-$AF42-$AE42*(1+FO$3))/$AJ42,'Технический лист'!$M:$N,2,1),(FN42-0.05)))</f>
        <v>4.9999999999999684E-2</v>
      </c>
      <c r="FP42" s="15">
        <f>MIN(1,MAX(VLOOKUP(($AJ42-$AI42-$AH42-$AG42-$AF42-$AE42*(1+FP$3))/$AJ42,'Технический лист'!$M:$N,2,1),(FO42-0.05)))</f>
        <v>0</v>
      </c>
      <c r="FQ42" s="15">
        <f>MIN(1,MAX(VLOOKUP(($AJ42-$AI42-$AH42-$AG42-$AF42-$AE42*(1+FQ$3))/$AJ42,'Технический лист'!$M:$N,2,1),(FP42-0.05)))</f>
        <v>0</v>
      </c>
      <c r="FR42" s="15">
        <f>MIN(1,MAX(VLOOKUP(($AJ42-$AI42-$AH42-$AG42-$AF42-$AE42*(1+FR$3))/$AJ42,'Технический лист'!$M:$N,2,1),(FQ42-0.05)))</f>
        <v>0</v>
      </c>
      <c r="FS42" s="15">
        <f>MIN(1,MAX(VLOOKUP(($AJ42-$AI42-$AH42-$AG42-$AF42-$AE42*(1+FS$3))/$AJ42,'Технический лист'!$M:$N,2,1),(FR42-0.05)))</f>
        <v>0</v>
      </c>
      <c r="FT42" s="15">
        <f>MIN(1,MAX(VLOOKUP(($AJ42-$AI42-$AH42-$AG42-$AF42-$AE42*(1+FT$3))/$AJ42,'Технический лист'!$M:$N,2,1),(FS42-0.05)))</f>
        <v>0</v>
      </c>
      <c r="FU42" s="15">
        <f>MIN(1,MAX(VLOOKUP(($AJ42-$AI42-$AH42-$AG42-$AF42-$AE42*(1+FU$3))/$AJ42,'Технический лист'!$M:$N,2,1),(FT42-0.05)))</f>
        <v>0</v>
      </c>
      <c r="FV42" s="15">
        <f>MIN(1,MAX(VLOOKUP(($AJ42-$AI42-$AH42-$AG42-$AF42-$AE42*(1+FV$3))/$AJ42,'Технический лист'!$M:$N,2,1),(FU42-0.05)))</f>
        <v>0</v>
      </c>
      <c r="FW42" s="15">
        <f>MIN(1,MAX(VLOOKUP(($AJ42-$AI42-$AH42-$AG42-$AF42-$AE42*(1+FW$3))/$AJ42,'Технический лист'!$M:$N,2,1),(FV42-0.05)))</f>
        <v>0</v>
      </c>
      <c r="FX42" s="15">
        <f>MIN(1,MAX(VLOOKUP(($AJ42-$AI42-$AH42-$AG42-$AF42-$AE42*(1+FX$3))/$AJ42,'Технический лист'!$M:$N,2,1),(FW42-0.05)))</f>
        <v>0</v>
      </c>
      <c r="FY42" s="15">
        <f>MIN(1,MAX(VLOOKUP(($AJ42-$AI42-$AH42-$AG42-$AF42-$AE42*(1+FY$3))/$AJ42,'Технический лист'!$M:$N,2,1),(FX42-0.05)))</f>
        <v>0</v>
      </c>
      <c r="FZ42" s="15">
        <f>MIN(1,MAX(VLOOKUP(($AJ42-$AI42-$AH42-$AG42-$AF42-$AE42*(1+FZ$3))/$AJ42,'Технический лист'!$M:$N,2,1),(FY42-0.05)))</f>
        <v>0</v>
      </c>
      <c r="GA42" s="15">
        <f>MIN(1,MAX(VLOOKUP(($AJ42-$AI42-$AH42-$AG42-$AF42-$AE42*(1+GA$3))/$AJ42,'Технический лист'!$M:$N,2,1),(FZ42-0.05)))</f>
        <v>0</v>
      </c>
      <c r="GB42" s="15">
        <f>MIN(1,MAX(VLOOKUP(($AJ42-$AI42-$AH42-$AG42-$AF42-$AE42*(1+GB$3))/$AJ42,'Технический лист'!$M:$N,2,1),(GA42-0.05)))</f>
        <v>0</v>
      </c>
      <c r="GC42" s="15">
        <f>MIN(1,MAX(VLOOKUP(($AJ42-$AI42-$AH42-$AG42-$AF42-$AE42*(1+GC$3))/$AJ42,'Технический лист'!$M:$N,2,1),(GB42-0.05)))</f>
        <v>0</v>
      </c>
      <c r="GD42" s="15">
        <f>MIN(1,MAX(VLOOKUP(($AJ42-$AI42-$AH42-$AG42-$AF42-$AE42*(1+GD$3))/$AJ42,'Технический лист'!$M:$N,2,1),(GC42-0.05)))</f>
        <v>0</v>
      </c>
      <c r="GE42" s="15">
        <f>MIN(1,MAX(VLOOKUP(($AJ42-$AI42-$AH42-$AG42-$AF42-$AE42*(1+GE$3))/$AJ42,'Технический лист'!$M:$N,2,1),(GD42-0.05)))</f>
        <v>0</v>
      </c>
      <c r="GF42" s="15">
        <f>MIN(1,MAX(VLOOKUP(($AJ42-$AI42-$AH42-$AG42-$AF42-$AE42*(1+GF$3))/$AJ42,'Технический лист'!$M:$N,2,1),(GE42-0.05)))</f>
        <v>0</v>
      </c>
      <c r="GG42" s="15">
        <f>MIN(1,MAX(VLOOKUP(($AJ42-$AI42-$AH42-$AG42-$AF42-$AE42*(1+GG$3))/$AJ42,'Технический лист'!$M:$N,2,1),(GF42-0.05)))</f>
        <v>0</v>
      </c>
      <c r="GH42" s="15">
        <f>MIN(1,MAX(VLOOKUP(($AJ42-$AI42-$AH42-$AG42-$AF42-$AE42*(1+GH$3))/$AJ42,'Технический лист'!$M:$N,2,1),(GG42-0.05)))</f>
        <v>0</v>
      </c>
      <c r="GI42" s="15">
        <f>MIN(1,MAX(VLOOKUP(($AJ42-$AI42-$AH42-$AG42-$AF42-$AE42*(1+GI$3))/$AJ42,'Технический лист'!$M:$N,2,1),(GH42-0.05)))</f>
        <v>0</v>
      </c>
      <c r="GJ42" s="15">
        <f>MIN(1,MAX(VLOOKUP(($AJ42-$AI42-$AH42-$AG42-$AF42-$AE42*(1+GJ$3))/$AJ42,'Технический лист'!$M:$N,2,1),(GI42-0.05)))</f>
        <v>0</v>
      </c>
      <c r="GK42" s="15">
        <f>MIN(1,MAX(VLOOKUP(($AJ42-$AI42-$AH42-$AG42-$AF42-$AE42*(1+GK$3))/$AJ42,'Технический лист'!$M:$N,2,1),(GJ42-0.05)))</f>
        <v>0</v>
      </c>
      <c r="GL42" s="15">
        <f>MIN(1,MAX(VLOOKUP(($AJ42-$AI42-$AH42-$AG42-$AF42-$AE42*(1+GL$3))/$AJ42,'Технический лист'!$M:$N,2,1),(GK42-0.05)))</f>
        <v>0</v>
      </c>
      <c r="GM42" s="15">
        <f>MIN(1,MAX(VLOOKUP(($AJ42-$AI42-$AH42-$AG42-$AF42-$AE42*(1+GM$3))/$AJ42,'Технический лист'!$M:$N,2,1),(GL42-0.05)))</f>
        <v>0</v>
      </c>
      <c r="GN42" s="15">
        <f>MIN(1,MAX(VLOOKUP(($AJ42-$AI42-$AH42-$AG42-$AF42-$AE42*(1+GN$3))/$AJ42,'Технический лист'!$M:$N,2,1),(GM42-0.05)))</f>
        <v>0</v>
      </c>
      <c r="GO42" s="15">
        <f>MIN(1,MAX(VLOOKUP(($AJ42-$AI42-$AH42-$AG42-$AF42-$AE42*(1+GO$3))/$AJ42,'Технический лист'!$M:$N,2,1),(GN42-0.05)))</f>
        <v>0</v>
      </c>
      <c r="GP42" s="15">
        <f>MIN(1,MAX(VLOOKUP(($AJ42-$AI42-$AH42-$AG42-$AF42-$AE42*(1+GP$3))/$AJ42,'Технический лист'!$M:$N,2,1),(GO42-0.05)))</f>
        <v>0</v>
      </c>
      <c r="GQ42" s="15">
        <f>MIN(1,MAX(VLOOKUP(($AJ42-$AI42-$AH42-$AG42-$AF42-$AE42*(1+GQ$3))/$AJ42,'Технический лист'!$M:$N,2,1),(GP42-0.05)))</f>
        <v>0</v>
      </c>
      <c r="GR42" s="15">
        <f>MIN(1,MAX(VLOOKUP(($AJ42-$AI42-$AH42-$AG42-$AF42-$AE42*(1+GR$3))/$AJ42,'Технический лист'!$M:$N,2,1),(GQ42-0.05)))</f>
        <v>0</v>
      </c>
      <c r="GS42" s="15">
        <f>MIN(1,MAX(VLOOKUP(($AJ42-$AI42-$AH42-$AG42-$AF42-$AE42*(1+GS$3))/$AJ42,'Технический лист'!$M:$N,2,1),(GR42-0.05)))</f>
        <v>0</v>
      </c>
      <c r="GT42" s="15">
        <f>MIN(1,MAX(VLOOKUP(($AJ42-$AI42-$AH42-$AG42-$AF42-$AE42*(1+GT$3))/$AJ42,'Технический лист'!$M:$N,2,1),(GS42-0.05)))</f>
        <v>0</v>
      </c>
      <c r="GU42" s="15">
        <f>MIN(1,MAX(VLOOKUP(($AJ42-$AI42-$AH42-$AG42-$AF42-$AE42*(1+GU$3))/$AJ42,'Технический лист'!$M:$N,2,1),(GT42-0.05)))</f>
        <v>0</v>
      </c>
      <c r="GV42" s="15">
        <f>MIN(1,MAX(VLOOKUP(($AJ42-$AI42-$AH42-$AG42-$AF42-$AE42*(1+GV$3))/$AJ42,'Технический лист'!$M:$N,2,1),(GU42-0.05)))</f>
        <v>0</v>
      </c>
      <c r="GW42" s="15">
        <f>MIN(1,MAX(VLOOKUP(($AJ42-$AI42-$AH42-$AG42-$AF42-$AE42*(1+GW$3))/$AJ42,'Технический лист'!$M:$N,2,1),(GV42-0.05)))</f>
        <v>0</v>
      </c>
      <c r="GX42" s="15">
        <f>MIN(1,MAX(VLOOKUP(($AJ42-$AI42-$AH42-$AG42-$AF42-$AE42*(1+GX$3))/$AJ42,'Технический лист'!$M:$N,2,1),(GW42-0.05)))</f>
        <v>0</v>
      </c>
      <c r="GY42" s="15">
        <f>MIN(1,MAX(VLOOKUP(($AJ42-$AI42-$AH42-$AG42-$AF42-$AE42*(1+GY$3))/$AJ42,'Технический лист'!$M:$N,2,1),(GX42-0.05)))</f>
        <v>0</v>
      </c>
      <c r="GZ42" s="15">
        <f>MIN(1,MAX(VLOOKUP(($AJ42-$AI42-$AH42-$AG42-$AF42-$AE42*(1+GZ$3))/$AJ42,'Технический лист'!$M:$N,2,1),(GY42-0.05)))</f>
        <v>0</v>
      </c>
      <c r="HA42" s="15">
        <f>MIN(1,MAX(VLOOKUP(($AJ42-$AI42-$AH42-$AG42-$AF42-$AE42*(1+HA$3))/$AJ42,'Технический лист'!$M:$N,2,1),(GZ42-0.05)))</f>
        <v>0</v>
      </c>
      <c r="HB42" s="15">
        <f>MIN(1,MAX(VLOOKUP(($AJ42-$AI42-$AH42-$AG42-$AF42-$AE42*(1+HB$3))/$AJ42,'Технический лист'!$M:$N,2,1),(HA42-0.05)))</f>
        <v>0</v>
      </c>
      <c r="HC42" s="15">
        <f>MIN(1,MAX(VLOOKUP(($AJ42-$AI42-$AH42-$AG42-$AF42-$AE42*(1+HC$3))/$AJ42,'Технический лист'!$M:$N,2,1),(HB42-0.05)))</f>
        <v>0</v>
      </c>
      <c r="HD42" s="15">
        <f>MIN(1,MAX(VLOOKUP(($AJ42-$AI42-$AH42-$AG42-$AF42-$AE42*(1+HD$3))/$AJ42,'Технический лист'!$M:$N,2,1),(HC42-0.05)))</f>
        <v>0</v>
      </c>
      <c r="HE42" s="15">
        <f>MIN(1,MAX(VLOOKUP(($AJ42-$AI42-$AH42-$AG42-$AF42-$AE42*(1+HE$3))/$AJ42,'Технический лист'!$M:$N,2,1),(HD42-0.05)))</f>
        <v>0</v>
      </c>
      <c r="HF42" s="15">
        <f>MIN(1,MAX(VLOOKUP(($AJ42-$AI42-$AH42-$AG42-$AF42-$AE42*(1+HF$3))/$AJ42,'Технический лист'!$M:$N,2,1),(HE42-0.05)))</f>
        <v>0</v>
      </c>
      <c r="HG42" s="15">
        <f>MIN(1,MAX(VLOOKUP(($AJ42-$AI42-$AH42-$AG42-$AF42-$AE42*(1+HG$3))/$AJ42,'Технический лист'!$M:$N,2,1),(HF42-0.05)))</f>
        <v>0</v>
      </c>
      <c r="HH42" s="15">
        <f>MIN(1,MAX(VLOOKUP(($AJ42-$AI42-$AH42-$AG42-$AF42-$AE42*(1+HH$3))/$AJ42,'Технический лист'!$M:$N,2,1),(HG42-0.05)))</f>
        <v>0</v>
      </c>
      <c r="HI42" s="15">
        <f>MIN(1,MAX(VLOOKUP(($AJ42-$AI42-$AH42-$AG42-$AF42-$AE42*(1+HI$3))/$AJ42,'Технический лист'!$M:$N,2,1),(HH42-0.05)))</f>
        <v>0</v>
      </c>
      <c r="HJ42" s="15">
        <f>MIN(1,MAX(VLOOKUP(($AJ42-$AI42-$AH42-$AG42-$AF42-$AE42*(1+HJ$3))/$AJ42,'Технический лист'!$M:$N,2,1),(HI42-0.05)))</f>
        <v>0</v>
      </c>
      <c r="HK42" s="15">
        <f>MIN(1,MAX(VLOOKUP(($AJ42-$AI42-$AH42-$AG42-$AF42-$AE42*(1+HK$3))/$AJ42,'Технический лист'!$M:$N,2,1),(HJ42-0.05)))</f>
        <v>0</v>
      </c>
      <c r="HL42" s="15">
        <f>MIN(1,MAX(VLOOKUP(($AJ42-$AI42-$AH42-$AG42-$AF42-$AE42*(1+HL$3))/$AJ42,'Технический лист'!$M:$N,2,1),(HK42-0.05)))</f>
        <v>0</v>
      </c>
      <c r="HM42" s="15">
        <f>MIN(1,MAX(VLOOKUP(($AJ42-$AI42-$AH42-$AG42-$AF42-$AE42*(1+HM$3))/$AJ42,'Технический лист'!$M:$N,2,1),(HL42-0.05)))</f>
        <v>0</v>
      </c>
      <c r="HN42" s="15">
        <f>MIN(1,MAX(VLOOKUP(($AJ42-$AI42-$AH42-$AG42-$AF42-$AE42*(1+HN$3))/$AJ42,'Технический лист'!$M:$N,2,1),(HM42-0.05)))</f>
        <v>0</v>
      </c>
      <c r="HO42" s="15">
        <f>MIN(1,MAX(VLOOKUP(($AJ42-$AI42-$AH42-$AG42-$AF42-$AE42*(1+HO$3))/$AJ42,'Технический лист'!$M:$N,2,1),(HN42-0.05)))</f>
        <v>0</v>
      </c>
      <c r="HP42" s="15">
        <f>MIN(1,MAX(VLOOKUP(($AJ42-$AI42-$AH42-$AG42-$AF42-$AE42*(1+HP$3))/$AJ42,'Технический лист'!$M:$N,2,1),(HO42-0.05)))</f>
        <v>0</v>
      </c>
      <c r="HQ42" s="15">
        <f>MIN(1,MAX(VLOOKUP(($AJ42-$AI42-$AH42-$AG42-$AF42-$AE42*(1+HQ$3))/$AJ42,'Технический лист'!$M:$N,2,1),(HP42-0.05)))</f>
        <v>0</v>
      </c>
      <c r="HR42" s="15">
        <f>MIN(1,MAX(VLOOKUP(($AJ42-$AI42-$AH42-$AG42-$AF42-$AE42*(1+HR$3))/$AJ42,'Технический лист'!$M:$N,2,1),(HQ42-0.05)))</f>
        <v>0</v>
      </c>
      <c r="HS42" s="15">
        <f>MIN(1,MAX(VLOOKUP(($AJ42-$AI42-$AH42-$AG42-$AF42-$AE42*(1+HS$3))/$AJ42,'Технический лист'!$M:$N,2,1),(HR42-0.05)))</f>
        <v>0</v>
      </c>
      <c r="HT42" s="15">
        <f>MIN(1,MAX(VLOOKUP(($AJ42-$AI42-$AH42-$AG42-$AF42-$AE42*(1+HT$3))/$AJ42,'Технический лист'!$M:$N,2,1),(HS42-0.05)))</f>
        <v>0</v>
      </c>
      <c r="HU42" s="15">
        <f>MIN(1,MAX(VLOOKUP(($AJ42-$AI42-$AH42-$AG42-$AF42-$AE42*(1+HU$3))/$AJ42,'Технический лист'!$M:$N,2,1),(HT42-0.05)))</f>
        <v>0</v>
      </c>
      <c r="HV42" s="15">
        <f>MIN(1,MAX(VLOOKUP(($AJ42-$AI42-$AH42-$AG42-$AF42-$AE42*(1+HV$3))/$AJ42,'Технический лист'!$M:$N,2,1),(HU42-0.05)))</f>
        <v>0</v>
      </c>
      <c r="HW42" s="15">
        <f>MIN(1,MAX(VLOOKUP(($AJ42-$AI42-$AH42-$AG42-$AF42-$AE42*(1+HW$3))/$AJ42,'Технический лист'!$M:$N,2,1),(HV42-0.05)))</f>
        <v>0</v>
      </c>
      <c r="HX42" s="15">
        <f>MIN(1,MAX(VLOOKUP(($AJ42-$AI42-$AH42-$AG42-$AF42-$AE42*(1+HX$3))/$AJ42,'Технический лист'!$M:$N,2,1),(HW42-0.05)))</f>
        <v>0</v>
      </c>
      <c r="HY42" s="15">
        <f>MIN(1,MAX(VLOOKUP(($AJ42-$AI42-$AH42-$AG42-$AF42-$AE42*(1+HY$3))/$AJ42,'Технический лист'!$M:$N,2,1),(HX42-0.05)))</f>
        <v>0</v>
      </c>
      <c r="HZ42" s="15">
        <f>MIN(1,MAX(VLOOKUP(($AJ42-$AI42-$AH42-$AG42-$AF42-$AE42*(1+HZ$3))/$AJ42,'Технический лист'!$M:$N,2,1),(HY42-0.05)))</f>
        <v>0</v>
      </c>
      <c r="IA42" s="15">
        <f>MIN(1,MAX(VLOOKUP(($AJ42-$AI42-$AH42-$AG42-$AF42-$AE42*(1+IA$3))/$AJ42,'Технический лист'!$M:$N,2,1),(HZ42-0.05)))</f>
        <v>0</v>
      </c>
      <c r="IB42" s="15">
        <f>MIN(1,MAX(VLOOKUP(($AJ42-$AI42-$AH42-$AG42-$AF42-$AE42*(1+IB$3))/$AJ42,'Технический лист'!$M:$N,2,1),(IA42-0.05)))</f>
        <v>0</v>
      </c>
      <c r="IC42" s="15">
        <f>MIN(1,MAX(VLOOKUP(($AJ42-$AI42-$AH42-$AG42-$AF42-$AE42*(1+IC$3))/$AJ42,'Технический лист'!$M:$N,2,1),(IB42-0.05)))</f>
        <v>0</v>
      </c>
      <c r="ID42" s="15">
        <f>MIN(1,MAX(VLOOKUP(($AJ42-$AI42-$AH42-$AG42-$AF42-$AE42*(1+ID$3))/$AJ42,'Технический лист'!$M:$N,2,1),(IC42-0.05)))</f>
        <v>0</v>
      </c>
      <c r="IE42" s="15">
        <f>MIN(1,MAX(VLOOKUP(($AJ42-$AI42-$AH42-$AG42-$AF42-$AE42*(1+IE$3))/$AJ42,'Технический лист'!$M:$N,2,1),(ID42-0.05)))</f>
        <v>0</v>
      </c>
      <c r="IF42" s="15">
        <f>MIN(1,MAX(VLOOKUP(($AJ42-$AI42-$AH42-$AG42-$AF42-$AE42*(1+IF$3))/$AJ42,'Технический лист'!$M:$N,2,1),(IE42-0.05)))</f>
        <v>0</v>
      </c>
      <c r="IG42" s="15">
        <f>MIN(1,MAX(VLOOKUP(($AJ42-$AI42-$AH42-$AG42-$AF42-$AE42*(1+IG$3))/$AJ42,'Технический лист'!$M:$N,2,1),(IF42-0.05)))</f>
        <v>0</v>
      </c>
      <c r="IH42" s="15">
        <f>MIN(1,MAX(VLOOKUP(($AJ42-$AI42-$AH42-$AG42-$AF42-$AE42*(1+IH$3))/$AJ42,'Технический лист'!$M:$N,2,1),(IG42-0.05)))</f>
        <v>0</v>
      </c>
      <c r="II42" s="15">
        <f>MIN(1,MAX(VLOOKUP(($AJ42-$AI42-$AH42-$AG42-$AF42-$AE42*(1+II$3))/$AJ42,'Технический лист'!$M:$N,2,1),(IH42-0.05)))</f>
        <v>0</v>
      </c>
      <c r="IJ42" s="15">
        <f>MIN(1,MAX(VLOOKUP(($AJ42-$AI42-$AH42-$AG42-$AF42-$AE42*(1+IJ$3))/$AJ42,'Технический лист'!$M:$N,2,1),(II42-0.05)))</f>
        <v>0</v>
      </c>
      <c r="IK42" s="15">
        <f>MIN(1,MAX(VLOOKUP(($AJ42-$AI42-$AH42-$AG42-$AF42-$AE42*(1+IK$3))/$AJ42,'Технический лист'!$M:$N,2,1),(IJ42-0.05)))</f>
        <v>0</v>
      </c>
      <c r="IL42" s="15">
        <f>MIN(1,MAX(VLOOKUP(($AJ42-$AI42-$AH42-$AG42-$AF42-$AE42*(1+IL$3))/$AJ42,'Технический лист'!$M:$N,2,1),(IK42-0.05)))</f>
        <v>0</v>
      </c>
      <c r="IM42" s="15">
        <f>MIN(1,MAX(VLOOKUP(($AJ42-$AI42-$AH42-$AG42-$AF42-$AE42*(1+IM$3))/$AJ42,'Технический лист'!$M:$N,2,1),(IL42-0.05)))</f>
        <v>0</v>
      </c>
      <c r="IN42" s="15">
        <f>MIN(1,MAX(VLOOKUP(($AJ42-$AI42-$AH42-$AG42-$AF42-$AE42*(1+IN$3))/$AJ42,'Технический лист'!$M:$N,2,1),(IM42-0.05)))</f>
        <v>0</v>
      </c>
      <c r="IO42" s="15">
        <f>MIN(1,MAX(VLOOKUP(($AJ42-$AI42-$AH42-$AG42-$AF42-$AE42*(1+IO$3))/$AJ42,'Технический лист'!$M:$N,2,1),(IN42-0.05)))</f>
        <v>0</v>
      </c>
      <c r="IP42" s="15">
        <f>MIN(1,MAX(VLOOKUP(($AJ42-$AI42-$AH42-$AG42-$AF42-$AE42*(1+IP$3))/$AJ42,'Технический лист'!$M:$N,2,1),(IO42-0.05)))</f>
        <v>0</v>
      </c>
      <c r="IQ42" s="15">
        <f>MIN(1,MAX(VLOOKUP(($AJ42-$AI42-$AH42-$AG42-$AF42-$AE42*(1+IQ$3))/$AJ42,'Технический лист'!$M:$N,2,1),(IP42-0.05)))</f>
        <v>0</v>
      </c>
      <c r="IR42" s="15">
        <f>MIN(1,MAX(VLOOKUP(($AJ42-$AI42-$AH42-$AG42-$AF42-$AE42*(1+IR$3))/$AJ42,'Технический лист'!$M:$N,2,1),(IQ42-0.05)))</f>
        <v>0</v>
      </c>
    </row>
    <row r="43" spans="1:252">
      <c r="A43" s="89" t="s">
        <v>514</v>
      </c>
      <c r="B43" s="90">
        <v>4</v>
      </c>
      <c r="C43" s="5" t="s">
        <v>67</v>
      </c>
      <c r="D43" s="91">
        <v>14111</v>
      </c>
      <c r="E43" s="91" t="s">
        <v>336</v>
      </c>
      <c r="F43" s="92" t="s">
        <v>74</v>
      </c>
      <c r="G43" s="91" t="s">
        <v>50</v>
      </c>
      <c r="H43" s="91" t="s">
        <v>50</v>
      </c>
      <c r="I43" s="91" t="s">
        <v>86</v>
      </c>
      <c r="J43" s="91" t="s">
        <v>83</v>
      </c>
      <c r="K43" s="91">
        <v>103</v>
      </c>
      <c r="L43" s="85" t="s">
        <v>64</v>
      </c>
      <c r="M43" s="91" t="s">
        <v>190</v>
      </c>
      <c r="N43" s="91" t="s">
        <v>191</v>
      </c>
      <c r="O43" s="91" t="s">
        <v>192</v>
      </c>
      <c r="P43" s="89" t="s">
        <v>217</v>
      </c>
      <c r="Q43" s="91" t="s">
        <v>284</v>
      </c>
      <c r="R43" s="91" t="s">
        <v>251</v>
      </c>
      <c r="S43" s="82">
        <v>4335263</v>
      </c>
      <c r="T43" s="82">
        <v>446525789</v>
      </c>
      <c r="U43" s="81">
        <v>57758</v>
      </c>
      <c r="V43" s="81">
        <v>0</v>
      </c>
      <c r="W43" s="82">
        <v>856392600</v>
      </c>
      <c r="X43" s="112">
        <v>75</v>
      </c>
      <c r="Y43" s="112" t="s">
        <v>418</v>
      </c>
      <c r="Z43" s="113">
        <v>3</v>
      </c>
      <c r="AA43" s="113">
        <v>3</v>
      </c>
      <c r="AB43" s="113">
        <v>4</v>
      </c>
      <c r="AC43" s="99">
        <v>203.69</v>
      </c>
      <c r="AD43" s="99">
        <f t="shared" si="15"/>
        <v>47.22999999999999</v>
      </c>
      <c r="AE43" s="99">
        <v>250.92</v>
      </c>
      <c r="AF43" s="98">
        <f>(Z43+AA43+AB43)*'Ставки аренды'!$B$2/X43</f>
        <v>133.33333333333334</v>
      </c>
      <c r="AG43" s="114">
        <v>0</v>
      </c>
      <c r="AH43" s="94">
        <v>0</v>
      </c>
      <c r="AI43" s="115">
        <f>0.71*AVERAGE(AJ43,AJ44)</f>
        <v>4920.1106074999989</v>
      </c>
      <c r="AJ43" s="117">
        <f>Цены!$D$12</f>
        <v>6000</v>
      </c>
      <c r="AK43" s="94">
        <f>AJ43/Цены!$B$1</f>
        <v>78.631291322381742</v>
      </c>
      <c r="AL43" s="95">
        <f t="shared" si="5"/>
        <v>384.25333333333333</v>
      </c>
      <c r="AM43" s="95">
        <f t="shared" si="6"/>
        <v>5615.7466666666669</v>
      </c>
      <c r="AN43" s="94">
        <f t="shared" si="16"/>
        <v>5304.363940833332</v>
      </c>
      <c r="AO43" s="118">
        <f t="shared" si="17"/>
        <v>0.11593934319444467</v>
      </c>
      <c r="AP43" s="96">
        <f t="shared" si="7"/>
        <v>6.4042222222222223E-2</v>
      </c>
      <c r="AQ43" s="96">
        <f t="shared" si="8"/>
        <v>4.1819999999999996E-2</v>
      </c>
      <c r="AR43" s="96">
        <f t="shared" si="9"/>
        <v>0.65300669697074842</v>
      </c>
      <c r="AS43" s="122">
        <v>1</v>
      </c>
      <c r="AT43" s="121">
        <f t="shared" si="10"/>
        <v>4335263</v>
      </c>
      <c r="AU43" s="83" t="s">
        <v>475</v>
      </c>
      <c r="AV43" s="119">
        <f t="shared" si="11"/>
        <v>0.11092094319444459</v>
      </c>
      <c r="AW43" s="120">
        <f t="shared" si="12"/>
        <v>6.9060622222222229E-2</v>
      </c>
      <c r="AX43" s="120">
        <f t="shared" si="13"/>
        <v>4.6838399999999995E-2</v>
      </c>
      <c r="AY43" s="120">
        <f t="shared" si="14"/>
        <v>0.67822151745583903</v>
      </c>
      <c r="AZ43" s="15">
        <v>1</v>
      </c>
      <c r="BA43" s="15">
        <v>1</v>
      </c>
      <c r="BB43" s="15">
        <v>1</v>
      </c>
      <c r="BC43" s="15">
        <v>1</v>
      </c>
      <c r="BD43" s="15">
        <v>1</v>
      </c>
      <c r="BE43" s="15">
        <v>1</v>
      </c>
      <c r="BF43" s="15">
        <v>1</v>
      </c>
      <c r="BG43" s="15">
        <v>1</v>
      </c>
      <c r="BH43" s="15">
        <v>1</v>
      </c>
      <c r="BI43" s="15">
        <v>1</v>
      </c>
      <c r="BJ43" s="15">
        <v>1</v>
      </c>
      <c r="BK43" s="15">
        <v>1</v>
      </c>
      <c r="BL43" s="15">
        <v>1</v>
      </c>
      <c r="BM43" s="15">
        <v>1</v>
      </c>
      <c r="BN43" s="15">
        <v>1</v>
      </c>
      <c r="BO43" s="15">
        <v>1</v>
      </c>
      <c r="BP43" s="15">
        <v>1</v>
      </c>
      <c r="BQ43" s="15">
        <v>1</v>
      </c>
      <c r="BR43" s="15">
        <v>1</v>
      </c>
      <c r="BS43" s="15">
        <v>1</v>
      </c>
      <c r="BT43" s="15">
        <v>1</v>
      </c>
      <c r="BU43" s="15">
        <v>1</v>
      </c>
      <c r="BV43" s="15">
        <v>1</v>
      </c>
      <c r="BW43" s="15">
        <v>1</v>
      </c>
      <c r="BX43" s="15">
        <v>1</v>
      </c>
      <c r="BY43" s="15">
        <v>1</v>
      </c>
      <c r="BZ43" s="15">
        <v>1</v>
      </c>
      <c r="CA43" s="15">
        <v>1</v>
      </c>
      <c r="CB43" s="15">
        <v>1</v>
      </c>
      <c r="CC43" s="15">
        <v>1</v>
      </c>
      <c r="CD43" s="15">
        <v>1</v>
      </c>
      <c r="CE43" s="15">
        <v>1</v>
      </c>
      <c r="CF43" s="15">
        <v>1</v>
      </c>
      <c r="CG43" s="15">
        <v>1</v>
      </c>
      <c r="CH43" s="15">
        <v>1</v>
      </c>
      <c r="CI43" s="15">
        <v>1</v>
      </c>
      <c r="CJ43" s="15">
        <v>1</v>
      </c>
      <c r="CK43" s="15">
        <v>1</v>
      </c>
      <c r="CL43" s="15">
        <v>1</v>
      </c>
      <c r="CM43" s="15">
        <v>1</v>
      </c>
      <c r="CN43" s="15">
        <v>1</v>
      </c>
      <c r="CO43" s="15">
        <v>1</v>
      </c>
      <c r="CP43" s="15">
        <v>1</v>
      </c>
      <c r="CQ43" s="15">
        <v>1</v>
      </c>
      <c r="CR43" s="15">
        <v>1</v>
      </c>
      <c r="CS43" s="15">
        <v>1</v>
      </c>
      <c r="CT43" s="15">
        <v>1</v>
      </c>
      <c r="CU43" s="15">
        <v>1</v>
      </c>
      <c r="CV43" s="15">
        <v>1</v>
      </c>
      <c r="CW43" s="15">
        <v>1</v>
      </c>
      <c r="CX43" s="15">
        <v>1</v>
      </c>
      <c r="CY43" s="15">
        <v>1</v>
      </c>
      <c r="CZ43" s="15">
        <v>1</v>
      </c>
      <c r="DA43" s="15">
        <v>1</v>
      </c>
      <c r="DB43" s="15">
        <v>1</v>
      </c>
      <c r="DC43" s="15">
        <v>1</v>
      </c>
      <c r="DD43" s="15">
        <v>1</v>
      </c>
      <c r="DE43" s="15">
        <v>1</v>
      </c>
      <c r="DF43" s="15">
        <v>1</v>
      </c>
      <c r="DG43" s="15">
        <v>1</v>
      </c>
      <c r="DH43" s="15">
        <v>1</v>
      </c>
      <c r="DI43" s="15">
        <v>1</v>
      </c>
      <c r="DJ43" s="15">
        <v>1</v>
      </c>
      <c r="DK43" s="15">
        <v>1</v>
      </c>
      <c r="DL43" s="15">
        <v>1</v>
      </c>
      <c r="DM43" s="15">
        <v>1</v>
      </c>
      <c r="DN43" s="15">
        <v>1</v>
      </c>
      <c r="DO43" s="15">
        <v>1</v>
      </c>
      <c r="DP43" s="15">
        <v>1</v>
      </c>
      <c r="DQ43" s="15">
        <v>1</v>
      </c>
      <c r="DR43" s="15">
        <v>1</v>
      </c>
      <c r="DS43" s="15">
        <v>1</v>
      </c>
      <c r="DT43" s="15">
        <v>1</v>
      </c>
      <c r="DU43" s="15">
        <v>1</v>
      </c>
      <c r="DV43" s="15">
        <v>1</v>
      </c>
      <c r="DW43" s="15">
        <v>1</v>
      </c>
      <c r="DX43" s="15">
        <v>1</v>
      </c>
      <c r="DY43" s="15">
        <v>1</v>
      </c>
      <c r="DZ43" s="15">
        <v>1</v>
      </c>
      <c r="EA43" s="15">
        <v>1</v>
      </c>
      <c r="EB43" s="15">
        <v>1</v>
      </c>
      <c r="EC43" s="15">
        <v>1</v>
      </c>
      <c r="ED43" s="15">
        <v>1</v>
      </c>
      <c r="EE43" s="15">
        <v>1</v>
      </c>
      <c r="EF43" s="15">
        <v>1</v>
      </c>
      <c r="EG43" s="15">
        <v>1</v>
      </c>
      <c r="EH43" s="15">
        <v>1</v>
      </c>
      <c r="EI43" s="15">
        <v>1</v>
      </c>
      <c r="EJ43" s="15">
        <v>1</v>
      </c>
      <c r="EK43" s="15">
        <v>1</v>
      </c>
      <c r="EL43" s="15">
        <v>1</v>
      </c>
      <c r="EM43" s="15">
        <v>1</v>
      </c>
      <c r="EN43" s="15">
        <v>1</v>
      </c>
      <c r="EO43" s="15">
        <v>1</v>
      </c>
      <c r="EP43" s="15">
        <v>1</v>
      </c>
      <c r="EQ43" s="15">
        <v>1</v>
      </c>
      <c r="ER43" s="15">
        <v>1</v>
      </c>
      <c r="ES43" s="15">
        <v>1</v>
      </c>
      <c r="ET43" s="15">
        <v>1</v>
      </c>
      <c r="EU43" s="15">
        <v>1</v>
      </c>
      <c r="EV43" s="111">
        <v>1</v>
      </c>
      <c r="EW43" s="15">
        <v>1</v>
      </c>
      <c r="EX43" s="15">
        <v>1</v>
      </c>
      <c r="EY43" s="15">
        <v>1</v>
      </c>
      <c r="EZ43" s="15">
        <v>1</v>
      </c>
      <c r="FA43" s="15">
        <v>1</v>
      </c>
      <c r="FB43" s="15">
        <v>1</v>
      </c>
      <c r="FC43" s="15">
        <v>1</v>
      </c>
      <c r="FD43" s="15">
        <v>1</v>
      </c>
      <c r="FE43" s="15">
        <v>1</v>
      </c>
      <c r="FF43" s="15">
        <v>1</v>
      </c>
      <c r="FG43" s="15">
        <v>1</v>
      </c>
      <c r="FH43" s="15">
        <v>1</v>
      </c>
      <c r="FI43" s="15">
        <v>1</v>
      </c>
      <c r="FJ43" s="15">
        <v>1</v>
      </c>
      <c r="FK43" s="15">
        <v>1</v>
      </c>
      <c r="FL43" s="15">
        <v>1</v>
      </c>
      <c r="FM43" s="15">
        <v>1</v>
      </c>
      <c r="FN43" s="15">
        <v>1</v>
      </c>
      <c r="FO43" s="15">
        <v>1</v>
      </c>
      <c r="FP43" s="15">
        <v>1</v>
      </c>
      <c r="FQ43" s="15">
        <v>1</v>
      </c>
      <c r="FR43" s="15">
        <v>1</v>
      </c>
      <c r="FS43" s="15">
        <v>1</v>
      </c>
      <c r="FT43" s="15">
        <v>1</v>
      </c>
      <c r="FU43" s="15">
        <v>1</v>
      </c>
      <c r="FV43" s="15">
        <v>1</v>
      </c>
      <c r="FW43" s="15">
        <v>1</v>
      </c>
      <c r="FX43" s="15">
        <v>1</v>
      </c>
      <c r="FY43" s="15">
        <v>1</v>
      </c>
      <c r="FZ43" s="15">
        <v>1</v>
      </c>
      <c r="GA43" s="15">
        <v>1</v>
      </c>
      <c r="GB43" s="15">
        <v>1</v>
      </c>
      <c r="GC43" s="15">
        <v>1</v>
      </c>
      <c r="GD43" s="15">
        <v>1</v>
      </c>
      <c r="GE43" s="15">
        <v>1</v>
      </c>
      <c r="GF43" s="15">
        <v>1</v>
      </c>
      <c r="GG43" s="15">
        <v>1</v>
      </c>
      <c r="GH43" s="15">
        <v>1</v>
      </c>
      <c r="GI43" s="15">
        <v>1</v>
      </c>
      <c r="GJ43" s="15">
        <v>1</v>
      </c>
      <c r="GK43" s="15">
        <v>1</v>
      </c>
      <c r="GL43" s="15">
        <v>1</v>
      </c>
      <c r="GM43" s="15">
        <v>1</v>
      </c>
      <c r="GN43" s="15">
        <v>1</v>
      </c>
      <c r="GO43" s="15">
        <v>1</v>
      </c>
      <c r="GP43" s="15">
        <v>1</v>
      </c>
      <c r="GQ43" s="15">
        <v>1</v>
      </c>
      <c r="GR43" s="15">
        <v>1</v>
      </c>
      <c r="GS43" s="15">
        <v>1</v>
      </c>
      <c r="GT43" s="15">
        <v>1</v>
      </c>
      <c r="GU43" s="15">
        <v>1</v>
      </c>
      <c r="GV43" s="15">
        <v>1</v>
      </c>
      <c r="GW43" s="15">
        <v>1</v>
      </c>
      <c r="GX43" s="15">
        <v>1</v>
      </c>
      <c r="GY43" s="15">
        <v>1</v>
      </c>
      <c r="GZ43" s="15">
        <v>1</v>
      </c>
      <c r="HA43" s="15">
        <v>1</v>
      </c>
      <c r="HB43" s="15">
        <v>1</v>
      </c>
      <c r="HC43" s="15">
        <v>1</v>
      </c>
      <c r="HD43" s="15">
        <v>1</v>
      </c>
      <c r="HE43" s="15">
        <v>1</v>
      </c>
      <c r="HF43" s="15">
        <v>1</v>
      </c>
      <c r="HG43" s="15">
        <v>1</v>
      </c>
      <c r="HH43" s="15">
        <v>1</v>
      </c>
      <c r="HI43" s="15">
        <v>1</v>
      </c>
      <c r="HJ43" s="15">
        <v>1</v>
      </c>
      <c r="HK43" s="15">
        <v>1</v>
      </c>
      <c r="HL43" s="15">
        <v>1</v>
      </c>
      <c r="HM43" s="15">
        <v>1</v>
      </c>
      <c r="HN43" s="15">
        <v>1</v>
      </c>
      <c r="HO43" s="15">
        <v>1</v>
      </c>
      <c r="HP43" s="15">
        <v>1</v>
      </c>
      <c r="HQ43" s="15">
        <v>1</v>
      </c>
      <c r="HR43" s="15">
        <v>1</v>
      </c>
      <c r="HS43" s="15">
        <v>1</v>
      </c>
      <c r="HT43" s="15">
        <v>1</v>
      </c>
      <c r="HU43" s="15">
        <v>1</v>
      </c>
      <c r="HV43" s="15">
        <v>1</v>
      </c>
      <c r="HW43" s="15">
        <v>1</v>
      </c>
      <c r="HX43" s="15">
        <v>1</v>
      </c>
      <c r="HY43" s="15">
        <v>1</v>
      </c>
      <c r="HZ43" s="15">
        <v>1</v>
      </c>
      <c r="IA43" s="15">
        <v>1</v>
      </c>
      <c r="IB43" s="15">
        <v>1</v>
      </c>
      <c r="IC43" s="15">
        <v>1</v>
      </c>
      <c r="ID43" s="15">
        <v>1</v>
      </c>
      <c r="IE43" s="15">
        <v>1</v>
      </c>
      <c r="IF43" s="15">
        <v>1</v>
      </c>
      <c r="IG43" s="15">
        <v>1</v>
      </c>
      <c r="IH43" s="15">
        <v>1</v>
      </c>
      <c r="II43" s="15">
        <v>1</v>
      </c>
      <c r="IJ43" s="15">
        <v>1</v>
      </c>
      <c r="IK43" s="15">
        <v>1</v>
      </c>
      <c r="IL43" s="15">
        <v>1</v>
      </c>
      <c r="IM43" s="15">
        <v>1</v>
      </c>
      <c r="IN43" s="15">
        <v>1</v>
      </c>
      <c r="IO43" s="15">
        <v>1</v>
      </c>
      <c r="IP43" s="15">
        <v>1</v>
      </c>
      <c r="IQ43" s="15">
        <v>1</v>
      </c>
      <c r="IR43" s="15">
        <v>1</v>
      </c>
    </row>
    <row r="44" spans="1:252">
      <c r="A44" s="89" t="s">
        <v>514</v>
      </c>
      <c r="B44" s="90">
        <v>4</v>
      </c>
      <c r="C44" s="5" t="s">
        <v>67</v>
      </c>
      <c r="D44" s="91">
        <v>14111</v>
      </c>
      <c r="E44" s="91" t="s">
        <v>336</v>
      </c>
      <c r="F44" s="92" t="s">
        <v>74</v>
      </c>
      <c r="G44" s="91" t="s">
        <v>50</v>
      </c>
      <c r="H44" s="91" t="s">
        <v>21</v>
      </c>
      <c r="I44" s="91" t="s">
        <v>86</v>
      </c>
      <c r="J44" s="91" t="s">
        <v>55</v>
      </c>
      <c r="K44" s="91">
        <v>3329</v>
      </c>
      <c r="L44" s="85" t="s">
        <v>64</v>
      </c>
      <c r="M44" s="91" t="s">
        <v>17</v>
      </c>
      <c r="N44" s="91" t="s">
        <v>191</v>
      </c>
      <c r="O44" s="91" t="s">
        <v>192</v>
      </c>
      <c r="P44" s="89" t="s">
        <v>217</v>
      </c>
      <c r="Q44" s="91" t="s">
        <v>284</v>
      </c>
      <c r="R44" s="91" t="s">
        <v>251</v>
      </c>
      <c r="S44" s="82">
        <v>113151</v>
      </c>
      <c r="T44" s="82">
        <v>376707164</v>
      </c>
      <c r="U44" s="81">
        <v>1575</v>
      </c>
      <c r="V44" s="81">
        <v>0</v>
      </c>
      <c r="W44" s="82">
        <v>148594135</v>
      </c>
      <c r="X44" s="112">
        <v>69</v>
      </c>
      <c r="Y44" s="112" t="s">
        <v>418</v>
      </c>
      <c r="Z44" s="113">
        <v>8</v>
      </c>
      <c r="AA44" s="113">
        <v>8</v>
      </c>
      <c r="AB44" s="113">
        <v>4</v>
      </c>
      <c r="AC44" s="99">
        <v>1458.97</v>
      </c>
      <c r="AD44" s="99">
        <f t="shared" si="15"/>
        <v>733.12999999999988</v>
      </c>
      <c r="AE44" s="99">
        <v>2192.1</v>
      </c>
      <c r="AF44" s="98">
        <f>(Z44+AA44+AB44)*'Ставки аренды'!$B$3/X44</f>
        <v>202.89855072463769</v>
      </c>
      <c r="AG44" s="114">
        <f>'Ставки перевалки'!$B$13</f>
        <v>1500</v>
      </c>
      <c r="AH44" s="94">
        <v>0</v>
      </c>
      <c r="AI44" s="115">
        <f>0.71*AVERAGE(AJ43,AJ44)</f>
        <v>4920.1106074999989</v>
      </c>
      <c r="AJ44" s="117">
        <f>Цены!D13</f>
        <v>7859.4664999999995</v>
      </c>
      <c r="AK44" s="94">
        <f>AJ44/Цены!$B$1</f>
        <v>103</v>
      </c>
      <c r="AL44" s="95">
        <f t="shared" si="5"/>
        <v>3894.9985507246374</v>
      </c>
      <c r="AM44" s="95">
        <f t="shared" si="6"/>
        <v>3964.4679492753621</v>
      </c>
      <c r="AN44" s="94">
        <f t="shared" si="16"/>
        <v>8815.1091582246372</v>
      </c>
      <c r="AO44" s="118">
        <f t="shared" si="17"/>
        <v>-0.12159128844491388</v>
      </c>
      <c r="AP44" s="96">
        <f t="shared" si="7"/>
        <v>0.49558052709107386</v>
      </c>
      <c r="AQ44" s="96">
        <f t="shared" si="8"/>
        <v>0.27891206101584631</v>
      </c>
      <c r="AR44" s="96">
        <f t="shared" si="9"/>
        <v>0.56279866897310526</v>
      </c>
      <c r="AS44" s="122">
        <v>1</v>
      </c>
      <c r="AT44" s="121">
        <f t="shared" si="10"/>
        <v>113151</v>
      </c>
      <c r="AU44" s="83">
        <v>0.85</v>
      </c>
      <c r="AV44" s="119">
        <f t="shared" si="11"/>
        <v>-0.15506073576681539</v>
      </c>
      <c r="AW44" s="120">
        <f t="shared" si="12"/>
        <v>0.52904997441297552</v>
      </c>
      <c r="AX44" s="120">
        <f t="shared" si="13"/>
        <v>0.31238150833774786</v>
      </c>
      <c r="AY44" s="120">
        <f t="shared" si="14"/>
        <v>0.5904574680007515</v>
      </c>
      <c r="AZ44" s="15">
        <f>MIN(IF($AU44=100%,1,1+VLOOKUP(($AJ44-$AI44-$AH44-$AG44-$AF44-$AE44*(1+AZ$3))/$AJ44,'Технический лист'!$M:$N,2,1)-VLOOKUP($AO44,'Технический лист'!$M:$N,2,1)),1+(1-$AU44))</f>
        <v>1.1499999999999999</v>
      </c>
      <c r="BA44" s="15">
        <f>MIN(IF($AU44=100%,1,1+VLOOKUP(($AJ44-$AI44-$AH44-$AG44-$AF44-$AE44*(1+BA$3))/$AJ44,'Технический лист'!$M:$N,2,1)-VLOOKUP($AO44,'Технический лист'!$M:$N,2,1)),1+(1-$AU44))</f>
        <v>1.1499999999999999</v>
      </c>
      <c r="BB44" s="15">
        <f>MIN(IF($AU44=100%,1,1+VLOOKUP(($AJ44-$AI44-$AH44-$AG44-$AF44-$AE44*(1+BB$3))/$AJ44,'Технический лист'!$M:$N,2,1)-VLOOKUP($AO44,'Технический лист'!$M:$N,2,1)),1+(1-$AU44))</f>
        <v>1.1499999999999999</v>
      </c>
      <c r="BC44" s="15">
        <f>MIN(IF($AU44=100%,1,1+VLOOKUP(($AJ44-$AI44-$AH44-$AG44-$AF44-$AE44*(1+BC$3))/$AJ44,'Технический лист'!$M:$N,2,1)-VLOOKUP($AO44,'Технический лист'!$M:$N,2,1)),1+(1-$AU44))</f>
        <v>1.1499999999999999</v>
      </c>
      <c r="BD44" s="15">
        <f>MIN(IF($AU44=100%,1,1+VLOOKUP(($AJ44-$AI44-$AH44-$AG44-$AF44-$AE44*(1+BD$3))/$AJ44,'Технический лист'!$M:$N,2,1)-VLOOKUP($AO44,'Технический лист'!$M:$N,2,1)),1+(1-$AU44))</f>
        <v>1.1499999999999999</v>
      </c>
      <c r="BE44" s="15">
        <f>MIN(IF($AU44=100%,1,1+VLOOKUP(($AJ44-$AI44-$AH44-$AG44-$AF44-$AE44*(1+BE$3))/$AJ44,'Технический лист'!$M:$N,2,1)-VLOOKUP($AO44,'Технический лист'!$M:$N,2,1)),1+(1-$AU44))</f>
        <v>1.1499999999999999</v>
      </c>
      <c r="BF44" s="15">
        <f>MIN(IF($AU44=100%,1,1+VLOOKUP(($AJ44-$AI44-$AH44-$AG44-$AF44-$AE44*(1+BF$3))/$AJ44,'Технический лист'!$M:$N,2,1)-VLOOKUP($AO44,'Технический лист'!$M:$N,2,1)),1+(1-$AU44))</f>
        <v>1.1499999999999999</v>
      </c>
      <c r="BG44" s="15">
        <f>MIN(IF($AU44=100%,1,1+VLOOKUP(($AJ44-$AI44-$AH44-$AG44-$AF44-$AE44*(1+BG$3))/$AJ44,'Технический лист'!$M:$N,2,1)-VLOOKUP($AO44,'Технический лист'!$M:$N,2,1)),1+(1-$AU44))</f>
        <v>1.1499999999999999</v>
      </c>
      <c r="BH44" s="15">
        <f>MIN(IF($AU44=100%,1,1+VLOOKUP(($AJ44-$AI44-$AH44-$AG44-$AF44-$AE44*(1+BH$3))/$AJ44,'Технический лист'!$M:$N,2,1)-VLOOKUP($AO44,'Технический лист'!$M:$N,2,1)),1+(1-$AU44))</f>
        <v>1.1499999999999999</v>
      </c>
      <c r="BI44" s="15">
        <f>MIN(IF($AU44=100%,1,1+VLOOKUP(($AJ44-$AI44-$AH44-$AG44-$AF44-$AE44*(1+BI$3))/$AJ44,'Технический лист'!$M:$N,2,1)-VLOOKUP($AO44,'Технический лист'!$M:$N,2,1)),1+(1-$AU44))</f>
        <v>1.1499999999999999</v>
      </c>
      <c r="BJ44" s="15">
        <f>MIN(IF($AU44=100%,1,1+VLOOKUP(($AJ44-$AI44-$AH44-$AG44-$AF44-$AE44*(1+BJ$3))/$AJ44,'Технический лист'!$M:$N,2,1)-VLOOKUP($AO44,'Технический лист'!$M:$N,2,1)),1+(1-$AU44))</f>
        <v>1.1499999999999999</v>
      </c>
      <c r="BK44" s="15">
        <f>MIN(IF($AU44=100%,1,1+VLOOKUP(($AJ44-$AI44-$AH44-$AG44-$AF44-$AE44*(1+BK$3))/$AJ44,'Технический лист'!$M:$N,2,1)-VLOOKUP($AO44,'Технический лист'!$M:$N,2,1)),1+(1-$AU44))</f>
        <v>1.1499999999999999</v>
      </c>
      <c r="BL44" s="15">
        <f>MIN(IF($AU44=100%,1,1+VLOOKUP(($AJ44-$AI44-$AH44-$AG44-$AF44-$AE44*(1+BL$3))/$AJ44,'Технический лист'!$M:$N,2,1)-VLOOKUP($AO44,'Технический лист'!$M:$N,2,1)),1+(1-$AU44))</f>
        <v>1.1499999999999999</v>
      </c>
      <c r="BM44" s="15">
        <f>MIN(IF($AU44=100%,1,1+VLOOKUP(($AJ44-$AI44-$AH44-$AG44-$AF44-$AE44*(1+BM$3))/$AJ44,'Технический лист'!$M:$N,2,1)-VLOOKUP($AO44,'Технический лист'!$M:$N,2,1)),1+(1-$AU44))</f>
        <v>1.1499999999999999</v>
      </c>
      <c r="BN44" s="15">
        <f>MIN(IF($AU44=100%,1,1+VLOOKUP(($AJ44-$AI44-$AH44-$AG44-$AF44-$AE44*(1+BN$3))/$AJ44,'Технический лист'!$M:$N,2,1)-VLOOKUP($AO44,'Технический лист'!$M:$N,2,1)),1+(1-$AU44))</f>
        <v>1.1499999999999999</v>
      </c>
      <c r="BO44" s="15">
        <f>MIN(IF($AU44=100%,1,1+VLOOKUP(($AJ44-$AI44-$AH44-$AG44-$AF44-$AE44*(1+BO$3))/$AJ44,'Технический лист'!$M:$N,2,1)-VLOOKUP($AO44,'Технический лист'!$M:$N,2,1)),1+(1-$AU44))</f>
        <v>1.1499999999999999</v>
      </c>
      <c r="BP44" s="15">
        <f>MIN(IF($AU44=100%,1,1+VLOOKUP(($AJ44-$AI44-$AH44-$AG44-$AF44-$AE44*(1+BP$3))/$AJ44,'Технический лист'!$M:$N,2,1)-VLOOKUP($AO44,'Технический лист'!$M:$N,2,1)),1+(1-$AU44))</f>
        <v>1.1499999999999999</v>
      </c>
      <c r="BQ44" s="15">
        <f>MIN(IF($AU44=100%,1,1+VLOOKUP(($AJ44-$AI44-$AH44-$AG44-$AF44-$AE44*(1+BQ$3))/$AJ44,'Технический лист'!$M:$N,2,1)-VLOOKUP($AO44,'Технический лист'!$M:$N,2,1)),1+(1-$AU44))</f>
        <v>1.1499999999999999</v>
      </c>
      <c r="BR44" s="15">
        <f>MIN(IF($AU44=100%,1,1+VLOOKUP(($AJ44-$AI44-$AH44-$AG44-$AF44-$AE44*(1+BR$3))/$AJ44,'Технический лист'!$M:$N,2,1)-VLOOKUP($AO44,'Технический лист'!$M:$N,2,1)),1+(1-$AU44))</f>
        <v>1.1499999999999999</v>
      </c>
      <c r="BS44" s="15">
        <f>MIN(IF($AU44=100%,1,1+VLOOKUP(($AJ44-$AI44-$AH44-$AG44-$AF44-$AE44*(1+BS$3))/$AJ44,'Технический лист'!$M:$N,2,1)-VLOOKUP($AO44,'Технический лист'!$M:$N,2,1)),1+(1-$AU44))</f>
        <v>1.1499999999999999</v>
      </c>
      <c r="BT44" s="15">
        <f>MIN(IF($AU44=100%,1,1+VLOOKUP(($AJ44-$AI44-$AH44-$AG44-$AF44-$AE44*(1+BT$3))/$AJ44,'Технический лист'!$M:$N,2,1)-VLOOKUP($AO44,'Технический лист'!$M:$N,2,1)),1+(1-$AU44))</f>
        <v>1.1499999999999999</v>
      </c>
      <c r="BU44" s="15">
        <f>MIN(IF($AU44=100%,1,1+VLOOKUP(($AJ44-$AI44-$AH44-$AG44-$AF44-$AE44*(1+BU$3))/$AJ44,'Технический лист'!$M:$N,2,1)-VLOOKUP($AO44,'Технический лист'!$M:$N,2,1)),1+(1-$AU44))</f>
        <v>1.1499999999999999</v>
      </c>
      <c r="BV44" s="15">
        <f>MIN(IF($AU44=100%,1,1+VLOOKUP(($AJ44-$AI44-$AH44-$AG44-$AF44-$AE44*(1+BV$3))/$AJ44,'Технический лист'!$M:$N,2,1)-VLOOKUP($AO44,'Технический лист'!$M:$N,2,1)),1+(1-$AU44))</f>
        <v>1.1499999999999999</v>
      </c>
      <c r="BW44" s="15">
        <f>MIN(IF($AU44=100%,1,1+VLOOKUP(($AJ44-$AI44-$AH44-$AG44-$AF44-$AE44*(1+BW$3))/$AJ44,'Технический лист'!$M:$N,2,1)-VLOOKUP($AO44,'Технический лист'!$M:$N,2,1)),1+(1-$AU44))</f>
        <v>1.1499999999999999</v>
      </c>
      <c r="BX44" s="15">
        <f>MIN(IF($AU44=100%,1,1+VLOOKUP(($AJ44-$AI44-$AH44-$AG44-$AF44-$AE44*(1+BX$3))/$AJ44,'Технический лист'!$M:$N,2,1)-VLOOKUP($AO44,'Технический лист'!$M:$N,2,1)),1+(1-$AU44))</f>
        <v>1.1499999999999999</v>
      </c>
      <c r="BY44" s="15">
        <f>MIN(IF($AU44=100%,1,1+VLOOKUP(($AJ44-$AI44-$AH44-$AG44-$AF44-$AE44*(1+BY$3))/$AJ44,'Технический лист'!$M:$N,2,1)-VLOOKUP($AO44,'Технический лист'!$M:$N,2,1)),1+(1-$AU44))</f>
        <v>1.1499999999999999</v>
      </c>
      <c r="BZ44" s="15">
        <f>MIN(IF($AU44=100%,1,1+VLOOKUP(($AJ44-$AI44-$AH44-$AG44-$AF44-$AE44*(1+BZ$3))/$AJ44,'Технический лист'!$M:$N,2,1)-VLOOKUP($AO44,'Технический лист'!$M:$N,2,1)),1+(1-$AU44))</f>
        <v>1.1499999999999999</v>
      </c>
      <c r="CA44" s="15">
        <f>MIN(IF($AU44=100%,1,1+VLOOKUP(($AJ44-$AI44-$AH44-$AG44-$AF44-$AE44*(1+CA$3))/$AJ44,'Технический лист'!$M:$N,2,1)-VLOOKUP($AO44,'Технический лист'!$M:$N,2,1)),1+(1-$AU44))</f>
        <v>1.1499999999999999</v>
      </c>
      <c r="CB44" s="15">
        <f>MIN(IF($AU44=100%,1,1+VLOOKUP(($AJ44-$AI44-$AH44-$AG44-$AF44-$AE44*(1+CB$3))/$AJ44,'Технический лист'!$M:$N,2,1)-VLOOKUP($AO44,'Технический лист'!$M:$N,2,1)),1+(1-$AU44))</f>
        <v>1.1499999999999999</v>
      </c>
      <c r="CC44" s="15">
        <f>MIN(IF($AU44=100%,1,1+VLOOKUP(($AJ44-$AI44-$AH44-$AG44-$AF44-$AE44*(1+CC$3))/$AJ44,'Технический лист'!$M:$N,2,1)-VLOOKUP($AO44,'Технический лист'!$M:$N,2,1)),1+(1-$AU44))</f>
        <v>1.1499999999999999</v>
      </c>
      <c r="CD44" s="15">
        <f>MIN(IF($AU44=100%,1,1+VLOOKUP(($AJ44-$AI44-$AH44-$AG44-$AF44-$AE44*(1+CD$3))/$AJ44,'Технический лист'!$M:$N,2,1)-VLOOKUP($AO44,'Технический лист'!$M:$N,2,1)),1+(1-$AU44))</f>
        <v>1.1499999999999999</v>
      </c>
      <c r="CE44" s="15">
        <f>MIN(IF($AU44=100%,1,1+VLOOKUP(($AJ44-$AI44-$AH44-$AG44-$AF44-$AE44*(1+CE$3))/$AJ44,'Технический лист'!$M:$N,2,1)-VLOOKUP($AO44,'Технический лист'!$M:$N,2,1)),1+(1-$AU44))</f>
        <v>1.1499999999999999</v>
      </c>
      <c r="CF44" s="15">
        <f>MIN(IF($AU44=100%,1,1+VLOOKUP(($AJ44-$AI44-$AH44-$AG44-$AF44-$AE44*(1+CF$3))/$AJ44,'Технический лист'!$M:$N,2,1)-VLOOKUP($AO44,'Технический лист'!$M:$N,2,1)),1+(1-$AU44))</f>
        <v>1.1499999999999999</v>
      </c>
      <c r="CG44" s="15">
        <f>MIN(IF($AU44=100%,1,1+VLOOKUP(($AJ44-$AI44-$AH44-$AG44-$AF44-$AE44*(1+CG$3))/$AJ44,'Технический лист'!$M:$N,2,1)-VLOOKUP($AO44,'Технический лист'!$M:$N,2,1)),1+(1-$AU44))</f>
        <v>1.1499999999999999</v>
      </c>
      <c r="CH44" s="15">
        <f>MIN(IF($AU44=100%,1,1+VLOOKUP(($AJ44-$AI44-$AH44-$AG44-$AF44-$AE44*(1+CH$3))/$AJ44,'Технический лист'!$M:$N,2,1)-VLOOKUP($AO44,'Технический лист'!$M:$N,2,1)),1+(1-$AU44))</f>
        <v>1.1499999999999999</v>
      </c>
      <c r="CI44" s="15">
        <f>MIN(IF($AU44=100%,1,1+VLOOKUP(($AJ44-$AI44-$AH44-$AG44-$AF44-$AE44*(1+CI$3))/$AJ44,'Технический лист'!$M:$N,2,1)-VLOOKUP($AO44,'Технический лист'!$M:$N,2,1)),1+(1-$AU44))</f>
        <v>1.1499999999999999</v>
      </c>
      <c r="CJ44" s="15">
        <f>MIN(IF($AU44=100%,1,1+VLOOKUP(($AJ44-$AI44-$AH44-$AG44-$AF44-$AE44*(1+CJ$3))/$AJ44,'Технический лист'!$M:$N,2,1)-VLOOKUP($AO44,'Технический лист'!$M:$N,2,1)),1+(1-$AU44))</f>
        <v>1.1499999999999999</v>
      </c>
      <c r="CK44" s="15">
        <f>MIN(IF($AU44=100%,1,1+VLOOKUP(($AJ44-$AI44-$AH44-$AG44-$AF44-$AE44*(1+CK$3))/$AJ44,'Технический лист'!$M:$N,2,1)-VLOOKUP($AO44,'Технический лист'!$M:$N,2,1)),1+(1-$AU44))</f>
        <v>1.1499999999999999</v>
      </c>
      <c r="CL44" s="15">
        <f>MIN(IF($AU44=100%,1,1+VLOOKUP(($AJ44-$AI44-$AH44-$AG44-$AF44-$AE44*(1+CL$3))/$AJ44,'Технический лист'!$M:$N,2,1)-VLOOKUP($AO44,'Технический лист'!$M:$N,2,1)),1+(1-$AU44))</f>
        <v>1.1499999999999999</v>
      </c>
      <c r="CM44" s="15">
        <f>MIN(IF($AU44=100%,1,1+VLOOKUP(($AJ44-$AI44-$AH44-$AG44-$AF44-$AE44*(1+CM$3))/$AJ44,'Технический лист'!$M:$N,2,1)-VLOOKUP($AO44,'Технический лист'!$M:$N,2,1)),1+(1-$AU44))</f>
        <v>1.1499999999999999</v>
      </c>
      <c r="CN44" s="15">
        <f>MIN(IF($AU44=100%,1,1+VLOOKUP(($AJ44-$AI44-$AH44-$AG44-$AF44-$AE44*(1+CN$3))/$AJ44,'Технический лист'!$M:$N,2,1)-VLOOKUP($AO44,'Технический лист'!$M:$N,2,1)),1+(1-$AU44))</f>
        <v>1.1499999999999999</v>
      </c>
      <c r="CO44" s="15">
        <f>MIN(IF($AU44=100%,1,1+VLOOKUP(($AJ44-$AI44-$AH44-$AG44-$AF44-$AE44*(1+CO$3))/$AJ44,'Технический лист'!$M:$N,2,1)-VLOOKUP($AO44,'Технический лист'!$M:$N,2,1)),1+(1-$AU44))</f>
        <v>1.1499999999999999</v>
      </c>
      <c r="CP44" s="15">
        <f>MIN(IF($AU44=100%,1,1+VLOOKUP(($AJ44-$AI44-$AH44-$AG44-$AF44-$AE44*(1+CP$3))/$AJ44,'Технический лист'!$M:$N,2,1)-VLOOKUP($AO44,'Технический лист'!$M:$N,2,1)),1+(1-$AU44))</f>
        <v>1.1499999999999999</v>
      </c>
      <c r="CQ44" s="15">
        <f>MIN(IF($AU44=100%,1,1+VLOOKUP(($AJ44-$AI44-$AH44-$AG44-$AF44-$AE44*(1+CQ$3))/$AJ44,'Технический лист'!$M:$N,2,1)-VLOOKUP($AO44,'Технический лист'!$M:$N,2,1)),1+(1-$AU44))</f>
        <v>1.1499999999999999</v>
      </c>
      <c r="CR44" s="15">
        <f>MIN(IF($AU44=100%,1,1+VLOOKUP(($AJ44-$AI44-$AH44-$AG44-$AF44-$AE44*(1+CR$3))/$AJ44,'Технический лист'!$M:$N,2,1)-VLOOKUP($AO44,'Технический лист'!$M:$N,2,1)),1+(1-$AU44))</f>
        <v>1.1499999999999999</v>
      </c>
      <c r="CS44" s="15">
        <f>MIN(IF($AU44=100%,1,1+VLOOKUP(($AJ44-$AI44-$AH44-$AG44-$AF44-$AE44*(1+CS$3))/$AJ44,'Технический лист'!$M:$N,2,1)-VLOOKUP($AO44,'Технический лист'!$M:$N,2,1)),1+(1-$AU44))</f>
        <v>1.1499999999999999</v>
      </c>
      <c r="CT44" s="15">
        <f>MIN(IF($AU44=100%,1,1+VLOOKUP(($AJ44-$AI44-$AH44-$AG44-$AF44-$AE44*(1+CT$3))/$AJ44,'Технический лист'!$M:$N,2,1)-VLOOKUP($AO44,'Технический лист'!$M:$N,2,1)),1+(1-$AU44))</f>
        <v>1.1499999999999999</v>
      </c>
      <c r="CU44" s="15">
        <f>MIN(IF($AU44=100%,1,1+VLOOKUP(($AJ44-$AI44-$AH44-$AG44-$AF44-$AE44*(1+CU$3))/$AJ44,'Технический лист'!$M:$N,2,1)-VLOOKUP($AO44,'Технический лист'!$M:$N,2,1)),1+(1-$AU44))</f>
        <v>1.1499999999999999</v>
      </c>
      <c r="CV44" s="15">
        <f>MIN(IF($AU44=100%,1,1+VLOOKUP(($AJ44-$AI44-$AH44-$AG44-$AF44-$AE44*(1+CV$3))/$AJ44,'Технический лист'!$M:$N,2,1)-VLOOKUP($AO44,'Технический лист'!$M:$N,2,1)),1+(1-$AU44))</f>
        <v>1.1499999999999999</v>
      </c>
      <c r="CW44" s="15">
        <f>MIN(IF($AU44=100%,1,1+VLOOKUP(($AJ44-$AI44-$AH44-$AG44-$AF44-$AE44*(1+CW$3))/$AJ44,'Технический лист'!$M:$N,2,1)-VLOOKUP($AO44,'Технический лист'!$M:$N,2,1)),1+(1-$AU44))</f>
        <v>1.1499999999999999</v>
      </c>
      <c r="CX44" s="15">
        <f>MIN(IF($AU44=100%,1,1+VLOOKUP(($AJ44-$AI44-$AH44-$AG44-$AF44-$AE44*(1+CX$3))/$AJ44,'Технический лист'!$M:$N,2,1)-VLOOKUP($AO44,'Технический лист'!$M:$N,2,1)),1+(1-$AU44))</f>
        <v>1.1499999999999999</v>
      </c>
      <c r="CY44" s="15">
        <f>MIN(IF($AU44=100%,1,1+VLOOKUP(($AJ44-$AI44-$AH44-$AG44-$AF44-$AE44*(1+CY$3))/$AJ44,'Технический лист'!$M:$N,2,1)-VLOOKUP($AO44,'Технический лист'!$M:$N,2,1)),1+(1-$AU44))</f>
        <v>1.1499999999999999</v>
      </c>
      <c r="CZ44" s="15">
        <f>MIN(IF($AU44=100%,1,1+VLOOKUP(($AJ44-$AI44-$AH44-$AG44-$AF44-$AE44*(1+CZ$3))/$AJ44,'Технический лист'!$M:$N,2,1)-VLOOKUP($AO44,'Технический лист'!$M:$N,2,1)),1+(1-$AU44))</f>
        <v>1.1499999999999999</v>
      </c>
      <c r="DA44" s="15">
        <f>MIN(IF($AU44=100%,1,1+VLOOKUP(($AJ44-$AI44-$AH44-$AG44-$AF44-$AE44*(1+DA$3))/$AJ44,'Технический лист'!$M:$N,2,1)-VLOOKUP($AO44,'Технический лист'!$M:$N,2,1)),1+(1-$AU44))</f>
        <v>1.1499999999999999</v>
      </c>
      <c r="DB44" s="15">
        <f>MIN(IF($AU44=100%,1,1+VLOOKUP(($AJ44-$AI44-$AH44-$AG44-$AF44-$AE44*(1+DB$3))/$AJ44,'Технический лист'!$M:$N,2,1)-VLOOKUP($AO44,'Технический лист'!$M:$N,2,1)),1+(1-$AU44))</f>
        <v>1.1499999999999999</v>
      </c>
      <c r="DC44" s="15">
        <f>MIN(IF($AU44=100%,1,1+VLOOKUP(($AJ44-$AI44-$AH44-$AG44-$AF44-$AE44*(1+DC$3))/$AJ44,'Технический лист'!$M:$N,2,1)-VLOOKUP($AO44,'Технический лист'!$M:$N,2,1)),1+(1-$AU44))</f>
        <v>1.1499999999999999</v>
      </c>
      <c r="DD44" s="15">
        <f>MIN(IF($AU44=100%,1,1+VLOOKUP(($AJ44-$AI44-$AH44-$AG44-$AF44-$AE44*(1+DD$3))/$AJ44,'Технический лист'!$M:$N,2,1)-VLOOKUP($AO44,'Технический лист'!$M:$N,2,1)),1+(1-$AU44))</f>
        <v>1.1499999999999999</v>
      </c>
      <c r="DE44" s="15">
        <f>MIN(IF($AU44=100%,1,1+VLOOKUP(($AJ44-$AI44-$AH44-$AG44-$AF44-$AE44*(1+DE$3))/$AJ44,'Технический лист'!$M:$N,2,1)-VLOOKUP($AO44,'Технический лист'!$M:$N,2,1)),1+(1-$AU44))</f>
        <v>1.1499999999999999</v>
      </c>
      <c r="DF44" s="15">
        <f>MIN(IF($AU44=100%,1,1+VLOOKUP(($AJ44-$AI44-$AH44-$AG44-$AF44-$AE44*(1+DF$3))/$AJ44,'Технический лист'!$M:$N,2,1)-VLOOKUP($AO44,'Технический лист'!$M:$N,2,1)),1+(1-$AU44))</f>
        <v>1.1499999999999999</v>
      </c>
      <c r="DG44" s="15">
        <f>MIN(IF($AU44=100%,1,1+VLOOKUP(($AJ44-$AI44-$AH44-$AG44-$AF44-$AE44*(1+DG$3))/$AJ44,'Технический лист'!$M:$N,2,1)-VLOOKUP($AO44,'Технический лист'!$M:$N,2,1)),1+(1-$AU44))</f>
        <v>1.1499999999999999</v>
      </c>
      <c r="DH44" s="15">
        <f>MIN(IF($AU44=100%,1,1+VLOOKUP(($AJ44-$AI44-$AH44-$AG44-$AF44-$AE44*(1+DH$3))/$AJ44,'Технический лист'!$M:$N,2,1)-VLOOKUP($AO44,'Технический лист'!$M:$N,2,1)),1+(1-$AU44))</f>
        <v>1.1499999999999999</v>
      </c>
      <c r="DI44" s="15">
        <f>MIN(IF($AU44=100%,1,1+VLOOKUP(($AJ44-$AI44-$AH44-$AG44-$AF44-$AE44*(1+DI$3))/$AJ44,'Технический лист'!$M:$N,2,1)-VLOOKUP($AO44,'Технический лист'!$M:$N,2,1)),1+(1-$AU44))</f>
        <v>1.1499999999999999</v>
      </c>
      <c r="DJ44" s="15">
        <f>MIN(IF($AU44=100%,1,1+VLOOKUP(($AJ44-$AI44-$AH44-$AG44-$AF44-$AE44*(1+DJ$3))/$AJ44,'Технический лист'!$M:$N,2,1)-VLOOKUP($AO44,'Технический лист'!$M:$N,2,1)),1+(1-$AU44))</f>
        <v>1.1499999999999999</v>
      </c>
      <c r="DK44" s="15">
        <f>MIN(IF($AU44=100%,1,1+VLOOKUP(($AJ44-$AI44-$AH44-$AG44-$AF44-$AE44*(1+DK$3))/$AJ44,'Технический лист'!$M:$N,2,1)-VLOOKUP($AO44,'Технический лист'!$M:$N,2,1)),1+(1-$AU44))</f>
        <v>1.1499999999999999</v>
      </c>
      <c r="DL44" s="15">
        <f>MIN(IF($AU44=100%,1,1+VLOOKUP(($AJ44-$AI44-$AH44-$AG44-$AF44-$AE44*(1+DL$3))/$AJ44,'Технический лист'!$M:$N,2,1)-VLOOKUP($AO44,'Технический лист'!$M:$N,2,1)),1+(1-$AU44))</f>
        <v>1.1499999999999999</v>
      </c>
      <c r="DM44" s="15">
        <f>MIN(IF($AU44=100%,1,1+VLOOKUP(($AJ44-$AI44-$AH44-$AG44-$AF44-$AE44*(1+DM$3))/$AJ44,'Технический лист'!$M:$N,2,1)-VLOOKUP($AO44,'Технический лист'!$M:$N,2,1)),1+(1-$AU44))</f>
        <v>1.1499999999999999</v>
      </c>
      <c r="DN44" s="15">
        <f>MIN(IF($AU44=100%,1,1+VLOOKUP(($AJ44-$AI44-$AH44-$AG44-$AF44-$AE44*(1+DN$3))/$AJ44,'Технический лист'!$M:$N,2,1)-VLOOKUP($AO44,'Технический лист'!$M:$N,2,1)),1+(1-$AU44))</f>
        <v>1.1499999999999999</v>
      </c>
      <c r="DO44" s="15">
        <f>MIN(IF($AU44=100%,1,1+VLOOKUP(($AJ44-$AI44-$AH44-$AG44-$AF44-$AE44*(1+DO$3))/$AJ44,'Технический лист'!$M:$N,2,1)-VLOOKUP($AO44,'Технический лист'!$M:$N,2,1)),1+(1-$AU44))</f>
        <v>1.1499999999999999</v>
      </c>
      <c r="DP44" s="15">
        <f>MIN(IF($AU44=100%,1,1+VLOOKUP(($AJ44-$AI44-$AH44-$AG44-$AF44-$AE44*(1+DP$3))/$AJ44,'Технический лист'!$M:$N,2,1)-VLOOKUP($AO44,'Технический лист'!$M:$N,2,1)),1+(1-$AU44))</f>
        <v>1.1499999999999999</v>
      </c>
      <c r="DQ44" s="15">
        <f>MIN(IF($AU44=100%,1,1+VLOOKUP(($AJ44-$AI44-$AH44-$AG44-$AF44-$AE44*(1+DQ$3))/$AJ44,'Технический лист'!$M:$N,2,1)-VLOOKUP($AO44,'Технический лист'!$M:$N,2,1)),1+(1-$AU44))</f>
        <v>1.1499999999999999</v>
      </c>
      <c r="DR44" s="15">
        <f>MIN(IF($AU44=100%,1,1+VLOOKUP(($AJ44-$AI44-$AH44-$AG44-$AF44-$AE44*(1+DR$3))/$AJ44,'Технический лист'!$M:$N,2,1)-VLOOKUP($AO44,'Технический лист'!$M:$N,2,1)),1+(1-$AU44))</f>
        <v>1.1499999999999999</v>
      </c>
      <c r="DS44" s="15">
        <f>MIN(IF($AU44=100%,1,1+VLOOKUP(($AJ44-$AI44-$AH44-$AG44-$AF44-$AE44*(1+DS$3))/$AJ44,'Технический лист'!$M:$N,2,1)-VLOOKUP($AO44,'Технический лист'!$M:$N,2,1)),1+(1-$AU44))</f>
        <v>1.135</v>
      </c>
      <c r="DT44" s="15">
        <f>MIN(IF($AU44=100%,1,1+VLOOKUP(($AJ44-$AI44-$AH44-$AG44-$AF44-$AE44*(1+DT$3))/$AJ44,'Технический лист'!$M:$N,2,1)-VLOOKUP($AO44,'Технический лист'!$M:$N,2,1)),1+(1-$AU44))</f>
        <v>1.135</v>
      </c>
      <c r="DU44" s="15">
        <f>MIN(IF($AU44=100%,1,1+VLOOKUP(($AJ44-$AI44-$AH44-$AG44-$AF44-$AE44*(1+DU$3))/$AJ44,'Технический лист'!$M:$N,2,1)-VLOOKUP($AO44,'Технический лист'!$M:$N,2,1)),1+(1-$AU44))</f>
        <v>1.135</v>
      </c>
      <c r="DV44" s="15">
        <f>MIN(IF($AU44=100%,1,1+VLOOKUP(($AJ44-$AI44-$AH44-$AG44-$AF44-$AE44*(1+DV$3))/$AJ44,'Технический лист'!$M:$N,2,1)-VLOOKUP($AO44,'Технический лист'!$M:$N,2,1)),1+(1-$AU44))</f>
        <v>1.1200000000000001</v>
      </c>
      <c r="DW44" s="15">
        <f>MIN(IF($AU44=100%,1,1+VLOOKUP(($AJ44-$AI44-$AH44-$AG44-$AF44-$AE44*(1+DW$3))/$AJ44,'Технический лист'!$M:$N,2,1)-VLOOKUP($AO44,'Технический лист'!$M:$N,2,1)),1+(1-$AU44))</f>
        <v>1.1200000000000001</v>
      </c>
      <c r="DX44" s="15">
        <f>MIN(IF($AU44=100%,1,1+VLOOKUP(($AJ44-$AI44-$AH44-$AG44-$AF44-$AE44*(1+DX$3))/$AJ44,'Технический лист'!$M:$N,2,1)-VLOOKUP($AO44,'Технический лист'!$M:$N,2,1)),1+(1-$AU44))</f>
        <v>1.1200000000000001</v>
      </c>
      <c r="DY44" s="15">
        <f>MIN(IF($AU44=100%,1,1+VLOOKUP(($AJ44-$AI44-$AH44-$AG44-$AF44-$AE44*(1+DY$3))/$AJ44,'Технический лист'!$M:$N,2,1)-VLOOKUP($AO44,'Технический лист'!$M:$N,2,1)),1+(1-$AU44))</f>
        <v>1.1200000000000001</v>
      </c>
      <c r="DZ44" s="15">
        <f>MIN(IF($AU44=100%,1,1+VLOOKUP(($AJ44-$AI44-$AH44-$AG44-$AF44-$AE44*(1+DZ$3))/$AJ44,'Технический лист'!$M:$N,2,1)-VLOOKUP($AO44,'Технический лист'!$M:$N,2,1)),1+(1-$AU44))</f>
        <v>1.105</v>
      </c>
      <c r="EA44" s="15">
        <f>MIN(IF($AU44=100%,1,1+VLOOKUP(($AJ44-$AI44-$AH44-$AG44-$AF44-$AE44*(1+EA$3))/$AJ44,'Технический лист'!$M:$N,2,1)-VLOOKUP($AO44,'Технический лист'!$M:$N,2,1)),1+(1-$AU44))</f>
        <v>1.105</v>
      </c>
      <c r="EB44" s="15">
        <f>MIN(IF($AU44=100%,1,1+VLOOKUP(($AJ44-$AI44-$AH44-$AG44-$AF44-$AE44*(1+EB$3))/$AJ44,'Технический лист'!$M:$N,2,1)-VLOOKUP($AO44,'Технический лист'!$M:$N,2,1)),1+(1-$AU44))</f>
        <v>1.105</v>
      </c>
      <c r="EC44" s="15">
        <f>MIN(IF($AU44=100%,1,1+VLOOKUP(($AJ44-$AI44-$AH44-$AG44-$AF44-$AE44*(1+EC$3))/$AJ44,'Технический лист'!$M:$N,2,1)-VLOOKUP($AO44,'Технический лист'!$M:$N,2,1)),1+(1-$AU44))</f>
        <v>1.0899999999999999</v>
      </c>
      <c r="ED44" s="15">
        <f>MIN(IF($AU44=100%,1,1+VLOOKUP(($AJ44-$AI44-$AH44-$AG44-$AF44-$AE44*(1+ED$3))/$AJ44,'Технический лист'!$M:$N,2,1)-VLOOKUP($AO44,'Технический лист'!$M:$N,2,1)),1+(1-$AU44))</f>
        <v>1.0899999999999999</v>
      </c>
      <c r="EE44" s="15">
        <f>MIN(IF($AU44=100%,1,1+VLOOKUP(($AJ44-$AI44-$AH44-$AG44-$AF44-$AE44*(1+EE$3))/$AJ44,'Технический лист'!$M:$N,2,1)-VLOOKUP($AO44,'Технический лист'!$M:$N,2,1)),1+(1-$AU44))</f>
        <v>1.0899999999999999</v>
      </c>
      <c r="EF44" s="15">
        <f>MIN(IF($AU44=100%,1,1+VLOOKUP(($AJ44-$AI44-$AH44-$AG44-$AF44-$AE44*(1+EF$3))/$AJ44,'Технический лист'!$M:$N,2,1)-VLOOKUP($AO44,'Технический лист'!$M:$N,2,1)),1+(1-$AU44))</f>
        <v>1.0899999999999999</v>
      </c>
      <c r="EG44" s="15">
        <f>MIN(IF($AU44=100%,1,1+VLOOKUP(($AJ44-$AI44-$AH44-$AG44-$AF44-$AE44*(1+EG$3))/$AJ44,'Технический лист'!$M:$N,2,1)-VLOOKUP($AO44,'Технический лист'!$M:$N,2,1)),1+(1-$AU44))</f>
        <v>1.075</v>
      </c>
      <c r="EH44" s="15">
        <f>MIN(IF($AU44=100%,1,1+VLOOKUP(($AJ44-$AI44-$AH44-$AG44-$AF44-$AE44*(1+EH$3))/$AJ44,'Технический лист'!$M:$N,2,1)-VLOOKUP($AO44,'Технический лист'!$M:$N,2,1)),1+(1-$AU44))</f>
        <v>1.075</v>
      </c>
      <c r="EI44" s="15">
        <f>MIN(IF($AU44=100%,1,1+VLOOKUP(($AJ44-$AI44-$AH44-$AG44-$AF44-$AE44*(1+EI$3))/$AJ44,'Технический лист'!$M:$N,2,1)-VLOOKUP($AO44,'Технический лист'!$M:$N,2,1)),1+(1-$AU44))</f>
        <v>1.075</v>
      </c>
      <c r="EJ44" s="15">
        <f>MIN(IF($AU44=100%,1,1+VLOOKUP(($AJ44-$AI44-$AH44-$AG44-$AF44-$AE44*(1+EJ$3))/$AJ44,'Технический лист'!$M:$N,2,1)-VLOOKUP($AO44,'Технический лист'!$M:$N,2,1)),1+(1-$AU44))</f>
        <v>1.075</v>
      </c>
      <c r="EK44" s="15">
        <f>MIN(IF($AU44=100%,1,1+VLOOKUP(($AJ44-$AI44-$AH44-$AG44-$AF44-$AE44*(1+EK$3))/$AJ44,'Технический лист'!$M:$N,2,1)-VLOOKUP($AO44,'Технический лист'!$M:$N,2,1)),1+(1-$AU44))</f>
        <v>1.06</v>
      </c>
      <c r="EL44" s="15">
        <f>MIN(IF($AU44=100%,1,1+VLOOKUP(($AJ44-$AI44-$AH44-$AG44-$AF44-$AE44*(1+EL$3))/$AJ44,'Технический лист'!$M:$N,2,1)-VLOOKUP($AO44,'Технический лист'!$M:$N,2,1)),1+(1-$AU44))</f>
        <v>1.06</v>
      </c>
      <c r="EM44" s="15">
        <f>MIN(IF($AU44=100%,1,1+VLOOKUP(($AJ44-$AI44-$AH44-$AG44-$AF44-$AE44*(1+EM$3))/$AJ44,'Технический лист'!$M:$N,2,1)-VLOOKUP($AO44,'Технический лист'!$M:$N,2,1)),1+(1-$AU44))</f>
        <v>1.06</v>
      </c>
      <c r="EN44" s="15">
        <f>MIN(IF($AU44=100%,1,1+VLOOKUP(($AJ44-$AI44-$AH44-$AG44-$AF44-$AE44*(1+EN$3))/$AJ44,'Технический лист'!$M:$N,2,1)-VLOOKUP($AO44,'Технический лист'!$M:$N,2,1)),1+(1-$AU44))</f>
        <v>1.04</v>
      </c>
      <c r="EO44" s="15">
        <f>MIN(IF($AU44=100%,1,1+VLOOKUP(($AJ44-$AI44-$AH44-$AG44-$AF44-$AE44*(1+EO$3))/$AJ44,'Технический лист'!$M:$N,2,1)-VLOOKUP($AO44,'Технический лист'!$M:$N,2,1)),1+(1-$AU44))</f>
        <v>1.04</v>
      </c>
      <c r="EP44" s="15">
        <f>MIN(IF($AU44=100%,1,1+VLOOKUP(($AJ44-$AI44-$AH44-$AG44-$AF44-$AE44*(1+EP$3))/$AJ44,'Технический лист'!$M:$N,2,1)-VLOOKUP($AO44,'Технический лист'!$M:$N,2,1)),1+(1-$AU44))</f>
        <v>1.04</v>
      </c>
      <c r="EQ44" s="15">
        <f>MIN(IF($AU44=100%,1,1+VLOOKUP(($AJ44-$AI44-$AH44-$AG44-$AF44-$AE44*(1+EQ$3))/$AJ44,'Технический лист'!$M:$N,2,1)-VLOOKUP($AO44,'Технический лист'!$M:$N,2,1)),1+(1-$AU44))</f>
        <v>1.04</v>
      </c>
      <c r="ER44" s="15">
        <f>MIN(IF($AU44=100%,1,1+VLOOKUP(($AJ44-$AI44-$AH44-$AG44-$AF44-$AE44*(1+ER$3))/$AJ44,'Технический лист'!$M:$N,2,1)-VLOOKUP($AO44,'Технический лист'!$M:$N,2,1)),1+(1-$AU44))</f>
        <v>1.02</v>
      </c>
      <c r="ES44" s="15">
        <f>MIN(IF($AU44=100%,1,1+VLOOKUP(($AJ44-$AI44-$AH44-$AG44-$AF44-$AE44*(1+ES$3))/$AJ44,'Технический лист'!$M:$N,2,1)-VLOOKUP($AO44,'Технический лист'!$M:$N,2,1)),1+(1-$AU44))</f>
        <v>1.02</v>
      </c>
      <c r="ET44" s="15">
        <f>MIN(IF($AU44=100%,1,1+VLOOKUP(($AJ44-$AI44-$AH44-$AG44-$AF44-$AE44*(1+ET$3))/$AJ44,'Технический лист'!$M:$N,2,1)-VLOOKUP($AO44,'Технический лист'!$M:$N,2,1)),1+(1-$AU44))</f>
        <v>1.02</v>
      </c>
      <c r="EU44" s="15">
        <f>MIN(IF($AU44=100%,1,1+VLOOKUP(($AJ44-$AI44-$AH44-$AG44-$AF44-$AE44*(1+EU$3))/$AJ44,'Технический лист'!$M:$N,2,1)-VLOOKUP($AO44,'Технический лист'!$M:$N,2,1)),1+(1-$AU44))</f>
        <v>1</v>
      </c>
      <c r="EV44" s="111">
        <v>1</v>
      </c>
      <c r="EW44" s="15">
        <f>MIN(1,MAX(VLOOKUP(($AJ44-$AI44-$AH44-$AG44-$AF44-$AE44*(1+EW$3))/$AJ44,'Технический лист'!$M:$N,2,1),(EV44-0.05)))</f>
        <v>0.95</v>
      </c>
      <c r="EX44" s="15">
        <f>MIN(1,MAX(VLOOKUP(($AJ44-$AI44-$AH44-$AG44-$AF44-$AE44*(1+EX$3))/$AJ44,'Технический лист'!$M:$N,2,1),(EW44-0.05)))</f>
        <v>0.89999999999999991</v>
      </c>
      <c r="EY44" s="15">
        <f>MIN(1,MAX(VLOOKUP(($AJ44-$AI44-$AH44-$AG44-$AF44-$AE44*(1+EY$3))/$AJ44,'Технический лист'!$M:$N,2,1),(EX44-0.05)))</f>
        <v>0.84999999999999987</v>
      </c>
      <c r="EZ44" s="15">
        <f>MIN(1,MAX(VLOOKUP(($AJ44-$AI44-$AH44-$AG44-$AF44-$AE44*(1+EZ$3))/$AJ44,'Технический лист'!$M:$N,2,1),(EY44-0.05)))</f>
        <v>0.79999999999999982</v>
      </c>
      <c r="FA44" s="15">
        <f>MIN(1,MAX(VLOOKUP(($AJ44-$AI44-$AH44-$AG44-$AF44-$AE44*(1+FA$3))/$AJ44,'Технический лист'!$M:$N,2,1),(EZ44-0.05)))</f>
        <v>0.74999999999999978</v>
      </c>
      <c r="FB44" s="15">
        <f>MIN(1,MAX(VLOOKUP(($AJ44-$AI44-$AH44-$AG44-$AF44-$AE44*(1+FB$3))/$AJ44,'Технический лист'!$M:$N,2,1),(FA44-0.05)))</f>
        <v>0.73</v>
      </c>
      <c r="FC44" s="15">
        <f>MIN(1,MAX(VLOOKUP(($AJ44-$AI44-$AH44-$AG44-$AF44-$AE44*(1+FC$3))/$AJ44,'Технический лист'!$M:$N,2,1),(FB44-0.05)))</f>
        <v>0.71</v>
      </c>
      <c r="FD44" s="15">
        <f>MIN(1,MAX(VLOOKUP(($AJ44-$AI44-$AH44-$AG44-$AF44-$AE44*(1+FD$3))/$AJ44,'Технический лист'!$M:$N,2,1),(FC44-0.05)))</f>
        <v>0.71</v>
      </c>
      <c r="FE44" s="15">
        <f>MIN(1,MAX(VLOOKUP(($AJ44-$AI44-$AH44-$AG44-$AF44-$AE44*(1+FE$3))/$AJ44,'Технический лист'!$M:$N,2,1),(FD44-0.05)))</f>
        <v>0.71</v>
      </c>
      <c r="FF44" s="15">
        <f>MIN(1,MAX(VLOOKUP(($AJ44-$AI44-$AH44-$AG44-$AF44-$AE44*(1+FF$3))/$AJ44,'Технический лист'!$M:$N,2,1),(FE44-0.05)))</f>
        <v>0.68500000000000005</v>
      </c>
      <c r="FG44" s="15">
        <f>MIN(1,MAX(VLOOKUP(($AJ44-$AI44-$AH44-$AG44-$AF44-$AE44*(1+FG$3))/$AJ44,'Технический лист'!$M:$N,2,1),(FF44-0.05)))</f>
        <v>0.68500000000000005</v>
      </c>
      <c r="FH44" s="15">
        <f>MIN(1,MAX(VLOOKUP(($AJ44-$AI44-$AH44-$AG44-$AF44-$AE44*(1+FH$3))/$AJ44,'Технический лист'!$M:$N,2,1),(FG44-0.05)))</f>
        <v>0.68500000000000005</v>
      </c>
      <c r="FI44" s="15">
        <f>MIN(1,MAX(VLOOKUP(($AJ44-$AI44-$AH44-$AG44-$AF44-$AE44*(1+FI$3))/$AJ44,'Технический лист'!$M:$N,2,1),(FH44-0.05)))</f>
        <v>0.68500000000000005</v>
      </c>
      <c r="FJ44" s="15">
        <f>MIN(1,MAX(VLOOKUP(($AJ44-$AI44-$AH44-$AG44-$AF44-$AE44*(1+FJ$3))/$AJ44,'Технический лист'!$M:$N,2,1),(FI44-0.05)))</f>
        <v>0.66</v>
      </c>
      <c r="FK44" s="15">
        <f>MIN(1,MAX(VLOOKUP(($AJ44-$AI44-$AH44-$AG44-$AF44-$AE44*(1+FK$3))/$AJ44,'Технический лист'!$M:$N,2,1),(FJ44-0.05)))</f>
        <v>0.66</v>
      </c>
      <c r="FL44" s="15">
        <f>MIN(1,MAX(VLOOKUP(($AJ44-$AI44-$AH44-$AG44-$AF44-$AE44*(1+FL$3))/$AJ44,'Технический лист'!$M:$N,2,1),(FK44-0.05)))</f>
        <v>0.66</v>
      </c>
      <c r="FM44" s="15">
        <f>MIN(1,MAX(VLOOKUP(($AJ44-$AI44-$AH44-$AG44-$AF44-$AE44*(1+FM$3))/$AJ44,'Технический лист'!$M:$N,2,1),(FL44-0.05)))</f>
        <v>0.63500000000000001</v>
      </c>
      <c r="FN44" s="15">
        <f>MIN(1,MAX(VLOOKUP(($AJ44-$AI44-$AH44-$AG44-$AF44-$AE44*(1+FN$3))/$AJ44,'Технический лист'!$M:$N,2,1),(FM44-0.05)))</f>
        <v>0.63500000000000001</v>
      </c>
      <c r="FO44" s="15">
        <f>MIN(1,MAX(VLOOKUP(($AJ44-$AI44-$AH44-$AG44-$AF44-$AE44*(1+FO$3))/$AJ44,'Технический лист'!$M:$N,2,1),(FN44-0.05)))</f>
        <v>0.63500000000000001</v>
      </c>
      <c r="FP44" s="15">
        <f>MIN(1,MAX(VLOOKUP(($AJ44-$AI44-$AH44-$AG44-$AF44-$AE44*(1+FP$3))/$AJ44,'Технический лист'!$M:$N,2,1),(FO44-0.05)))</f>
        <v>0.63500000000000001</v>
      </c>
      <c r="FQ44" s="15">
        <f>MIN(1,MAX(VLOOKUP(($AJ44-$AI44-$AH44-$AG44-$AF44-$AE44*(1+FQ$3))/$AJ44,'Технический лист'!$M:$N,2,1),(FP44-0.05)))</f>
        <v>0.61</v>
      </c>
      <c r="FR44" s="15">
        <f>MIN(1,MAX(VLOOKUP(($AJ44-$AI44-$AH44-$AG44-$AF44-$AE44*(1+FR$3))/$AJ44,'Технический лист'!$M:$N,2,1),(FQ44-0.05)))</f>
        <v>0.61</v>
      </c>
      <c r="FS44" s="15">
        <f>MIN(1,MAX(VLOOKUP(($AJ44-$AI44-$AH44-$AG44-$AF44-$AE44*(1+FS$3))/$AJ44,'Технический лист'!$M:$N,2,1),(FR44-0.05)))</f>
        <v>0.61</v>
      </c>
      <c r="FT44" s="15">
        <f>MIN(1,MAX(VLOOKUP(($AJ44-$AI44-$AH44-$AG44-$AF44-$AE44*(1+FT$3))/$AJ44,'Технический лист'!$M:$N,2,1),(FS44-0.05)))</f>
        <v>0.57999999999999996</v>
      </c>
      <c r="FU44" s="15">
        <f>MIN(1,MAX(VLOOKUP(($AJ44-$AI44-$AH44-$AG44-$AF44-$AE44*(1+FU$3))/$AJ44,'Технический лист'!$M:$N,2,1),(FT44-0.05)))</f>
        <v>0.57999999999999996</v>
      </c>
      <c r="FV44" s="15">
        <f>MIN(1,MAX(VLOOKUP(($AJ44-$AI44-$AH44-$AG44-$AF44-$AE44*(1+FV$3))/$AJ44,'Технический лист'!$M:$N,2,1),(FU44-0.05)))</f>
        <v>0.57999999999999996</v>
      </c>
      <c r="FW44" s="15">
        <f>MIN(1,MAX(VLOOKUP(($AJ44-$AI44-$AH44-$AG44-$AF44-$AE44*(1+FW$3))/$AJ44,'Технический лист'!$M:$N,2,1),(FV44-0.05)))</f>
        <v>0.57999999999999996</v>
      </c>
      <c r="FX44" s="15">
        <f>MIN(1,MAX(VLOOKUP(($AJ44-$AI44-$AH44-$AG44-$AF44-$AE44*(1+FX$3))/$AJ44,'Технический лист'!$M:$N,2,1),(FW44-0.05)))</f>
        <v>0.55000000000000004</v>
      </c>
      <c r="FY44" s="15">
        <f>MIN(1,MAX(VLOOKUP(($AJ44-$AI44-$AH44-$AG44-$AF44-$AE44*(1+FY$3))/$AJ44,'Технический лист'!$M:$N,2,1),(FX44-0.05)))</f>
        <v>0.55000000000000004</v>
      </c>
      <c r="FZ44" s="15">
        <f>MIN(1,MAX(VLOOKUP(($AJ44-$AI44-$AH44-$AG44-$AF44-$AE44*(1+FZ$3))/$AJ44,'Технический лист'!$M:$N,2,1),(FY44-0.05)))</f>
        <v>0.55000000000000004</v>
      </c>
      <c r="GA44" s="15">
        <f>MIN(1,MAX(VLOOKUP(($AJ44-$AI44-$AH44-$AG44-$AF44-$AE44*(1+GA$3))/$AJ44,'Технический лист'!$M:$N,2,1),(FZ44-0.05)))</f>
        <v>0.55000000000000004</v>
      </c>
      <c r="GB44" s="15">
        <f>MIN(1,MAX(VLOOKUP(($AJ44-$AI44-$AH44-$AG44-$AF44-$AE44*(1+GB$3))/$AJ44,'Технический лист'!$M:$N,2,1),(GA44-0.05)))</f>
        <v>0.52</v>
      </c>
      <c r="GC44" s="15">
        <f>MIN(1,MAX(VLOOKUP(($AJ44-$AI44-$AH44-$AG44-$AF44-$AE44*(1+GC$3))/$AJ44,'Технический лист'!$M:$N,2,1),(GB44-0.05)))</f>
        <v>0.52</v>
      </c>
      <c r="GD44" s="15">
        <f>MIN(1,MAX(VLOOKUP(($AJ44-$AI44-$AH44-$AG44-$AF44-$AE44*(1+GD$3))/$AJ44,'Технический лист'!$M:$N,2,1),(GC44-0.05)))</f>
        <v>0.52</v>
      </c>
      <c r="GE44" s="15">
        <f>MIN(1,MAX(VLOOKUP(($AJ44-$AI44-$AH44-$AG44-$AF44-$AE44*(1+GE$3))/$AJ44,'Технический лист'!$M:$N,2,1),(GD44-0.05)))</f>
        <v>0.49</v>
      </c>
      <c r="GF44" s="15">
        <f>MIN(1,MAX(VLOOKUP(($AJ44-$AI44-$AH44-$AG44-$AF44-$AE44*(1+GF$3))/$AJ44,'Технический лист'!$M:$N,2,1),(GE44-0.05)))</f>
        <v>0.49</v>
      </c>
      <c r="GG44" s="15">
        <f>MIN(1,MAX(VLOOKUP(($AJ44-$AI44-$AH44-$AG44-$AF44-$AE44*(1+GG$3))/$AJ44,'Технический лист'!$M:$N,2,1),(GF44-0.05)))</f>
        <v>0.49</v>
      </c>
      <c r="GH44" s="15">
        <f>MIN(1,MAX(VLOOKUP(($AJ44-$AI44-$AH44-$AG44-$AF44-$AE44*(1+GH$3))/$AJ44,'Технический лист'!$M:$N,2,1),(GG44-0.05)))</f>
        <v>0.49</v>
      </c>
      <c r="GI44" s="15">
        <f>MIN(1,MAX(VLOOKUP(($AJ44-$AI44-$AH44-$AG44-$AF44-$AE44*(1+GI$3))/$AJ44,'Технический лист'!$M:$N,2,1),(GH44-0.05)))</f>
        <v>0.46</v>
      </c>
      <c r="GJ44" s="15">
        <f>MIN(1,MAX(VLOOKUP(($AJ44-$AI44-$AH44-$AG44-$AF44-$AE44*(1+GJ$3))/$AJ44,'Технический лист'!$M:$N,2,1),(GI44-0.05)))</f>
        <v>0.46</v>
      </c>
      <c r="GK44" s="15">
        <f>MIN(1,MAX(VLOOKUP(($AJ44-$AI44-$AH44-$AG44-$AF44-$AE44*(1+GK$3))/$AJ44,'Технический лист'!$M:$N,2,1),(GJ44-0.05)))</f>
        <v>0.46</v>
      </c>
      <c r="GL44" s="15">
        <f>MIN(1,MAX(VLOOKUP(($AJ44-$AI44-$AH44-$AG44-$AF44-$AE44*(1+GL$3))/$AJ44,'Технический лист'!$M:$N,2,1),(GK44-0.05)))</f>
        <v>0.42499999999999999</v>
      </c>
      <c r="GM44" s="15">
        <f>MIN(1,MAX(VLOOKUP(($AJ44-$AI44-$AH44-$AG44-$AF44-$AE44*(1+GM$3))/$AJ44,'Технический лист'!$M:$N,2,1),(GL44-0.05)))</f>
        <v>0.42499999999999999</v>
      </c>
      <c r="GN44" s="15">
        <f>MIN(1,MAX(VLOOKUP(($AJ44-$AI44-$AH44-$AG44-$AF44-$AE44*(1+GN$3))/$AJ44,'Технический лист'!$M:$N,2,1),(GM44-0.05)))</f>
        <v>0.42499999999999999</v>
      </c>
      <c r="GO44" s="15">
        <f>MIN(1,MAX(VLOOKUP(($AJ44-$AI44-$AH44-$AG44-$AF44-$AE44*(1+GO$3))/$AJ44,'Технический лист'!$M:$N,2,1),(GN44-0.05)))</f>
        <v>0.42499999999999999</v>
      </c>
      <c r="GP44" s="15">
        <f>MIN(1,MAX(VLOOKUP(($AJ44-$AI44-$AH44-$AG44-$AF44-$AE44*(1+GP$3))/$AJ44,'Технический лист'!$M:$N,2,1),(GO44-0.05)))</f>
        <v>0.39</v>
      </c>
      <c r="GQ44" s="15">
        <f>MIN(1,MAX(VLOOKUP(($AJ44-$AI44-$AH44-$AG44-$AF44-$AE44*(1+GQ$3))/$AJ44,'Технический лист'!$M:$N,2,1),(GP44-0.05)))</f>
        <v>0.39</v>
      </c>
      <c r="GR44" s="15">
        <f>MIN(1,MAX(VLOOKUP(($AJ44-$AI44-$AH44-$AG44-$AF44-$AE44*(1+GR$3))/$AJ44,'Технический лист'!$M:$N,2,1),(GQ44-0.05)))</f>
        <v>0.39</v>
      </c>
      <c r="GS44" s="15">
        <f>MIN(1,MAX(VLOOKUP(($AJ44-$AI44-$AH44-$AG44-$AF44-$AE44*(1+GS$3))/$AJ44,'Технический лист'!$M:$N,2,1),(GR44-0.05)))</f>
        <v>0.39</v>
      </c>
      <c r="GT44" s="15">
        <f>MIN(1,MAX(VLOOKUP(($AJ44-$AI44-$AH44-$AG44-$AF44-$AE44*(1+GT$3))/$AJ44,'Технический лист'!$M:$N,2,1),(GS44-0.05)))</f>
        <v>0.35499999999999998</v>
      </c>
      <c r="GU44" s="15">
        <f>MIN(1,MAX(VLOOKUP(($AJ44-$AI44-$AH44-$AG44-$AF44-$AE44*(1+GU$3))/$AJ44,'Технический лист'!$M:$N,2,1),(GT44-0.05)))</f>
        <v>0.35499999999999998</v>
      </c>
      <c r="GV44" s="15">
        <f>MIN(1,MAX(VLOOKUP(($AJ44-$AI44-$AH44-$AG44-$AF44-$AE44*(1+GV$3))/$AJ44,'Технический лист'!$M:$N,2,1),(GU44-0.05)))</f>
        <v>0.35499999999999998</v>
      </c>
      <c r="GW44" s="15">
        <f>MIN(1,MAX(VLOOKUP(($AJ44-$AI44-$AH44-$AG44-$AF44-$AE44*(1+GW$3))/$AJ44,'Технический лист'!$M:$N,2,1),(GV44-0.05)))</f>
        <v>0.32</v>
      </c>
      <c r="GX44" s="15">
        <f>MIN(1,MAX(VLOOKUP(($AJ44-$AI44-$AH44-$AG44-$AF44-$AE44*(1+GX$3))/$AJ44,'Технический лист'!$M:$N,2,1),(GW44-0.05)))</f>
        <v>0.32</v>
      </c>
      <c r="GY44" s="15">
        <f>MIN(1,MAX(VLOOKUP(($AJ44-$AI44-$AH44-$AG44-$AF44-$AE44*(1+GY$3))/$AJ44,'Технический лист'!$M:$N,2,1),(GX44-0.05)))</f>
        <v>0.32</v>
      </c>
      <c r="GZ44" s="15">
        <f>MIN(1,MAX(VLOOKUP(($AJ44-$AI44-$AH44-$AG44-$AF44-$AE44*(1+GZ$3))/$AJ44,'Технический лист'!$M:$N,2,1),(GY44-0.05)))</f>
        <v>0.32</v>
      </c>
      <c r="HA44" s="15">
        <f>MIN(1,MAX(VLOOKUP(($AJ44-$AI44-$AH44-$AG44-$AF44-$AE44*(1+HA$3))/$AJ44,'Технический лист'!$M:$N,2,1),(GZ44-0.05)))</f>
        <v>0.28000000000000003</v>
      </c>
      <c r="HB44" s="15">
        <f>MIN(1,MAX(VLOOKUP(($AJ44-$AI44-$AH44-$AG44-$AF44-$AE44*(1+HB$3))/$AJ44,'Технический лист'!$M:$N,2,1),(HA44-0.05)))</f>
        <v>0.28000000000000003</v>
      </c>
      <c r="HC44" s="15">
        <f>MIN(1,MAX(VLOOKUP(($AJ44-$AI44-$AH44-$AG44-$AF44-$AE44*(1+HC$3))/$AJ44,'Технический лист'!$M:$N,2,1),(HB44-0.05)))</f>
        <v>0.28000000000000003</v>
      </c>
      <c r="HD44" s="15">
        <f>MIN(1,MAX(VLOOKUP(($AJ44-$AI44-$AH44-$AG44-$AF44-$AE44*(1+HD$3))/$AJ44,'Технический лист'!$M:$N,2,1),(HC44-0.05)))</f>
        <v>0.24</v>
      </c>
      <c r="HE44" s="15">
        <f>MIN(1,MAX(VLOOKUP(($AJ44-$AI44-$AH44-$AG44-$AF44-$AE44*(1+HE$3))/$AJ44,'Технический лист'!$M:$N,2,1),(HD44-0.05)))</f>
        <v>0.24</v>
      </c>
      <c r="HF44" s="15">
        <f>MIN(1,MAX(VLOOKUP(($AJ44-$AI44-$AH44-$AG44-$AF44-$AE44*(1+HF$3))/$AJ44,'Технический лист'!$M:$N,2,1),(HE44-0.05)))</f>
        <v>0.24</v>
      </c>
      <c r="HG44" s="15">
        <f>MIN(1,MAX(VLOOKUP(($AJ44-$AI44-$AH44-$AG44-$AF44-$AE44*(1+HG$3))/$AJ44,'Технический лист'!$M:$N,2,1),(HF44-0.05)))</f>
        <v>0.24</v>
      </c>
      <c r="HH44" s="15">
        <f>MIN(1,MAX(VLOOKUP(($AJ44-$AI44-$AH44-$AG44-$AF44-$AE44*(1+HH$3))/$AJ44,'Технический лист'!$M:$N,2,1),(HG44-0.05)))</f>
        <v>0.2</v>
      </c>
      <c r="HI44" s="15">
        <f>MIN(1,MAX(VLOOKUP(($AJ44-$AI44-$AH44-$AG44-$AF44-$AE44*(1+HI$3))/$AJ44,'Технический лист'!$M:$N,2,1),(HH44-0.05)))</f>
        <v>0.2</v>
      </c>
      <c r="HJ44" s="15">
        <f>MIN(1,MAX(VLOOKUP(($AJ44-$AI44-$AH44-$AG44-$AF44-$AE44*(1+HJ$3))/$AJ44,'Технический лист'!$M:$N,2,1),(HI44-0.05)))</f>
        <v>0.2</v>
      </c>
      <c r="HK44" s="15">
        <f>MIN(1,MAX(VLOOKUP(($AJ44-$AI44-$AH44-$AG44-$AF44-$AE44*(1+HK$3))/$AJ44,'Технический лист'!$M:$N,2,1),(HJ44-0.05)))</f>
        <v>0.155</v>
      </c>
      <c r="HL44" s="15">
        <f>MIN(1,MAX(VLOOKUP(($AJ44-$AI44-$AH44-$AG44-$AF44-$AE44*(1+HL$3))/$AJ44,'Технический лист'!$M:$N,2,1),(HK44-0.05)))</f>
        <v>0.155</v>
      </c>
      <c r="HM44" s="15">
        <f>MIN(1,MAX(VLOOKUP(($AJ44-$AI44-$AH44-$AG44-$AF44-$AE44*(1+HM$3))/$AJ44,'Технический лист'!$M:$N,2,1),(HL44-0.05)))</f>
        <v>0.155</v>
      </c>
      <c r="HN44" s="15">
        <f>MIN(1,MAX(VLOOKUP(($AJ44-$AI44-$AH44-$AG44-$AF44-$AE44*(1+HN$3))/$AJ44,'Технический лист'!$M:$N,2,1),(HM44-0.05)))</f>
        <v>0.155</v>
      </c>
      <c r="HO44" s="15">
        <f>MIN(1,MAX(VLOOKUP(($AJ44-$AI44-$AH44-$AG44-$AF44-$AE44*(1+HO$3))/$AJ44,'Технический лист'!$M:$N,2,1),(HN44-0.05)))</f>
        <v>0.11</v>
      </c>
      <c r="HP44" s="15">
        <f>MIN(1,MAX(VLOOKUP(($AJ44-$AI44-$AH44-$AG44-$AF44-$AE44*(1+HP$3))/$AJ44,'Технический лист'!$M:$N,2,1),(HO44-0.05)))</f>
        <v>0.11</v>
      </c>
      <c r="HQ44" s="15">
        <f>MIN(1,MAX(VLOOKUP(($AJ44-$AI44-$AH44-$AG44-$AF44-$AE44*(1+HQ$3))/$AJ44,'Технический лист'!$M:$N,2,1),(HP44-0.05)))</f>
        <v>0.11</v>
      </c>
      <c r="HR44" s="15">
        <f>MIN(1,MAX(VLOOKUP(($AJ44-$AI44-$AH44-$AG44-$AF44-$AE44*(1+HR$3))/$AJ44,'Технический лист'!$M:$N,2,1),(HQ44-0.05)))</f>
        <v>0.11</v>
      </c>
      <c r="HS44" s="15">
        <f>MIN(1,MAX(VLOOKUP(($AJ44-$AI44-$AH44-$AG44-$AF44-$AE44*(1+HS$3))/$AJ44,'Технический лист'!$M:$N,2,1),(HR44-0.05)))</f>
        <v>0.06</v>
      </c>
      <c r="HT44" s="15">
        <f>MIN(1,MAX(VLOOKUP(($AJ44-$AI44-$AH44-$AG44-$AF44-$AE44*(1+HT$3))/$AJ44,'Технический лист'!$M:$N,2,1),(HS44-0.05)))</f>
        <v>0.06</v>
      </c>
      <c r="HU44" s="15">
        <f>MIN(1,MAX(VLOOKUP(($AJ44-$AI44-$AH44-$AG44-$AF44-$AE44*(1+HU$3))/$AJ44,'Технический лист'!$M:$N,2,1),(HT44-0.05)))</f>
        <v>0.06</v>
      </c>
      <c r="HV44" s="15">
        <f>MIN(1,MAX(VLOOKUP(($AJ44-$AI44-$AH44-$AG44-$AF44-$AE44*(1+HV$3))/$AJ44,'Технический лист'!$M:$N,2,1),(HU44-0.05)))</f>
        <v>9.999999999999995E-3</v>
      </c>
      <c r="HW44" s="15">
        <f>MIN(1,MAX(VLOOKUP(($AJ44-$AI44-$AH44-$AG44-$AF44-$AE44*(1+HW$3))/$AJ44,'Технический лист'!$M:$N,2,1),(HV44-0.05)))</f>
        <v>0</v>
      </c>
      <c r="HX44" s="15">
        <f>MIN(1,MAX(VLOOKUP(($AJ44-$AI44-$AH44-$AG44-$AF44-$AE44*(1+HX$3))/$AJ44,'Технический лист'!$M:$N,2,1),(HW44-0.05)))</f>
        <v>0</v>
      </c>
      <c r="HY44" s="15">
        <f>MIN(1,MAX(VLOOKUP(($AJ44-$AI44-$AH44-$AG44-$AF44-$AE44*(1+HY$3))/$AJ44,'Технический лист'!$M:$N,2,1),(HX44-0.05)))</f>
        <v>0</v>
      </c>
      <c r="HZ44" s="15">
        <f>MIN(1,MAX(VLOOKUP(($AJ44-$AI44-$AH44-$AG44-$AF44-$AE44*(1+HZ$3))/$AJ44,'Технический лист'!$M:$N,2,1),(HY44-0.05)))</f>
        <v>0</v>
      </c>
      <c r="IA44" s="15">
        <f>MIN(1,MAX(VLOOKUP(($AJ44-$AI44-$AH44-$AG44-$AF44-$AE44*(1+IA$3))/$AJ44,'Технический лист'!$M:$N,2,1),(HZ44-0.05)))</f>
        <v>0</v>
      </c>
      <c r="IB44" s="15">
        <f>MIN(1,MAX(VLOOKUP(($AJ44-$AI44-$AH44-$AG44-$AF44-$AE44*(1+IB$3))/$AJ44,'Технический лист'!$M:$N,2,1),(IA44-0.05)))</f>
        <v>0</v>
      </c>
      <c r="IC44" s="15">
        <f>MIN(1,MAX(VLOOKUP(($AJ44-$AI44-$AH44-$AG44-$AF44-$AE44*(1+IC$3))/$AJ44,'Технический лист'!$M:$N,2,1),(IB44-0.05)))</f>
        <v>0</v>
      </c>
      <c r="ID44" s="15">
        <f>MIN(1,MAX(VLOOKUP(($AJ44-$AI44-$AH44-$AG44-$AF44-$AE44*(1+ID$3))/$AJ44,'Технический лист'!$M:$N,2,1),(IC44-0.05)))</f>
        <v>0</v>
      </c>
      <c r="IE44" s="15">
        <f>MIN(1,MAX(VLOOKUP(($AJ44-$AI44-$AH44-$AG44-$AF44-$AE44*(1+IE$3))/$AJ44,'Технический лист'!$M:$N,2,1),(ID44-0.05)))</f>
        <v>0</v>
      </c>
      <c r="IF44" s="15">
        <f>MIN(1,MAX(VLOOKUP(($AJ44-$AI44-$AH44-$AG44-$AF44-$AE44*(1+IF$3))/$AJ44,'Технический лист'!$M:$N,2,1),(IE44-0.05)))</f>
        <v>0</v>
      </c>
      <c r="IG44" s="15">
        <f>MIN(1,MAX(VLOOKUP(($AJ44-$AI44-$AH44-$AG44-$AF44-$AE44*(1+IG$3))/$AJ44,'Технический лист'!$M:$N,2,1),(IF44-0.05)))</f>
        <v>0</v>
      </c>
      <c r="IH44" s="15">
        <f>MIN(1,MAX(VLOOKUP(($AJ44-$AI44-$AH44-$AG44-$AF44-$AE44*(1+IH$3))/$AJ44,'Технический лист'!$M:$N,2,1),(IG44-0.05)))</f>
        <v>0</v>
      </c>
      <c r="II44" s="15">
        <f>MIN(1,MAX(VLOOKUP(($AJ44-$AI44-$AH44-$AG44-$AF44-$AE44*(1+II$3))/$AJ44,'Технический лист'!$M:$N,2,1),(IH44-0.05)))</f>
        <v>0</v>
      </c>
      <c r="IJ44" s="15">
        <f>MIN(1,MAX(VLOOKUP(($AJ44-$AI44-$AH44-$AG44-$AF44-$AE44*(1+IJ$3))/$AJ44,'Технический лист'!$M:$N,2,1),(II44-0.05)))</f>
        <v>0</v>
      </c>
      <c r="IK44" s="15">
        <f>MIN(1,MAX(VLOOKUP(($AJ44-$AI44-$AH44-$AG44-$AF44-$AE44*(1+IK$3))/$AJ44,'Технический лист'!$M:$N,2,1),(IJ44-0.05)))</f>
        <v>0</v>
      </c>
      <c r="IL44" s="15">
        <f>MIN(1,MAX(VLOOKUP(($AJ44-$AI44-$AH44-$AG44-$AF44-$AE44*(1+IL$3))/$AJ44,'Технический лист'!$M:$N,2,1),(IK44-0.05)))</f>
        <v>0</v>
      </c>
      <c r="IM44" s="15">
        <f>MIN(1,MAX(VLOOKUP(($AJ44-$AI44-$AH44-$AG44-$AF44-$AE44*(1+IM$3))/$AJ44,'Технический лист'!$M:$N,2,1),(IL44-0.05)))</f>
        <v>0</v>
      </c>
      <c r="IN44" s="15">
        <f>MIN(1,MAX(VLOOKUP(($AJ44-$AI44-$AH44-$AG44-$AF44-$AE44*(1+IN$3))/$AJ44,'Технический лист'!$M:$N,2,1),(IM44-0.05)))</f>
        <v>0</v>
      </c>
      <c r="IO44" s="15">
        <f>MIN(1,MAX(VLOOKUP(($AJ44-$AI44-$AH44-$AG44-$AF44-$AE44*(1+IO$3))/$AJ44,'Технический лист'!$M:$N,2,1),(IN44-0.05)))</f>
        <v>0</v>
      </c>
      <c r="IP44" s="15">
        <f>MIN(1,MAX(VLOOKUP(($AJ44-$AI44-$AH44-$AG44-$AF44-$AE44*(1+IP$3))/$AJ44,'Технический лист'!$M:$N,2,1),(IO44-0.05)))</f>
        <v>0</v>
      </c>
      <c r="IQ44" s="15">
        <f>MIN(1,MAX(VLOOKUP(($AJ44-$AI44-$AH44-$AG44-$AF44-$AE44*(1+IQ$3))/$AJ44,'Технический лист'!$M:$N,2,1),(IP44-0.05)))</f>
        <v>0</v>
      </c>
      <c r="IR44" s="15">
        <f>MIN(1,MAX(VLOOKUP(($AJ44-$AI44-$AH44-$AG44-$AF44-$AE44*(1+IR$3))/$AJ44,'Технический лист'!$M:$N,2,1),(IQ44-0.05)))</f>
        <v>0</v>
      </c>
    </row>
    <row r="45" spans="1:252">
      <c r="A45" s="89" t="s">
        <v>514</v>
      </c>
      <c r="B45" s="90">
        <v>4</v>
      </c>
      <c r="C45" s="5" t="s">
        <v>67</v>
      </c>
      <c r="D45" s="91">
        <v>14111</v>
      </c>
      <c r="E45" s="91" t="s">
        <v>336</v>
      </c>
      <c r="F45" s="92" t="s">
        <v>74</v>
      </c>
      <c r="G45" s="91" t="s">
        <v>50</v>
      </c>
      <c r="H45" s="91" t="s">
        <v>16</v>
      </c>
      <c r="I45" s="91" t="s">
        <v>83</v>
      </c>
      <c r="J45" s="91" t="s">
        <v>95</v>
      </c>
      <c r="K45" s="91">
        <v>7622</v>
      </c>
      <c r="L45" s="85" t="s">
        <v>64</v>
      </c>
      <c r="M45" s="91" t="s">
        <v>17</v>
      </c>
      <c r="N45" s="91" t="s">
        <v>191</v>
      </c>
      <c r="O45" s="91" t="s">
        <v>194</v>
      </c>
      <c r="P45" s="89" t="s">
        <v>197</v>
      </c>
      <c r="Q45" s="91" t="s">
        <v>251</v>
      </c>
      <c r="R45" s="91" t="s">
        <v>251</v>
      </c>
      <c r="S45" s="82">
        <v>8852</v>
      </c>
      <c r="T45" s="82">
        <v>67464773</v>
      </c>
      <c r="U45" s="81">
        <v>128</v>
      </c>
      <c r="V45" s="81">
        <v>0</v>
      </c>
      <c r="W45" s="82">
        <v>30131920</v>
      </c>
      <c r="X45" s="112">
        <v>69</v>
      </c>
      <c r="Y45" s="112" t="s">
        <v>417</v>
      </c>
      <c r="Z45" s="113">
        <v>21</v>
      </c>
      <c r="AA45" s="113">
        <v>15</v>
      </c>
      <c r="AB45" s="113">
        <v>4</v>
      </c>
      <c r="AC45" s="99">
        <v>3813.36</v>
      </c>
      <c r="AD45" s="99">
        <f t="shared" si="15"/>
        <v>1146.6799999999998</v>
      </c>
      <c r="AE45" s="99">
        <v>4960.04</v>
      </c>
      <c r="AF45" s="98">
        <f>(Z45+AA45+AB45)*'Ставки аренды'!$B$3/X45</f>
        <v>405.79710144927537</v>
      </c>
      <c r="AG45" s="114">
        <v>0</v>
      </c>
      <c r="AH45" s="94">
        <v>0</v>
      </c>
      <c r="AI45" s="115">
        <f>0.71*AVERAGE(AJ43,AJ44)</f>
        <v>4920.1106074999989</v>
      </c>
      <c r="AJ45" s="117">
        <f>Цены!D13</f>
        <v>7859.4664999999995</v>
      </c>
      <c r="AK45" s="94">
        <f>AJ45/Цены!$B$1</f>
        <v>103</v>
      </c>
      <c r="AL45" s="95">
        <f t="shared" si="5"/>
        <v>5365.837101449275</v>
      </c>
      <c r="AM45" s="95">
        <f t="shared" si="6"/>
        <v>2493.6293985507245</v>
      </c>
      <c r="AN45" s="94">
        <f t="shared" si="16"/>
        <v>10285.947708949274</v>
      </c>
      <c r="AO45" s="118">
        <f t="shared" si="17"/>
        <v>-0.30873357739348778</v>
      </c>
      <c r="AP45" s="96">
        <f t="shared" si="7"/>
        <v>0.68272281603964791</v>
      </c>
      <c r="AQ45" s="96">
        <f t="shared" si="8"/>
        <v>0.63109118157065758</v>
      </c>
      <c r="AR45" s="96">
        <f t="shared" si="9"/>
        <v>0.9243739431933794</v>
      </c>
      <c r="AS45" s="122">
        <v>1</v>
      </c>
      <c r="AT45" s="121">
        <f t="shared" si="10"/>
        <v>8852</v>
      </c>
      <c r="AU45" s="83">
        <v>0.85</v>
      </c>
      <c r="AV45" s="119">
        <f t="shared" si="11"/>
        <v>-0.38446451918196684</v>
      </c>
      <c r="AW45" s="120">
        <f t="shared" si="12"/>
        <v>0.75845375782812685</v>
      </c>
      <c r="AX45" s="120">
        <f t="shared" si="13"/>
        <v>0.70682212335913652</v>
      </c>
      <c r="AY45" s="120">
        <f t="shared" si="14"/>
        <v>0.93192513856501902</v>
      </c>
      <c r="AZ45" s="15">
        <f>MIN(IF($AU45=100%,1,1+VLOOKUP(($AJ45-$AI45-$AH45-$AG45-$AF45-$AE45*(1+AZ$3))/$AJ45,'Технический лист'!$M:$N,2,1)-VLOOKUP($AO45,'Технический лист'!$M:$N,2,1)),1+(1-$AU45))</f>
        <v>1.1499999999999999</v>
      </c>
      <c r="BA45" s="15">
        <f>MIN(IF($AU45=100%,1,1+VLOOKUP(($AJ45-$AI45-$AH45-$AG45-$AF45-$AE45*(1+BA$3))/$AJ45,'Технический лист'!$M:$N,2,1)-VLOOKUP($AO45,'Технический лист'!$M:$N,2,1)),1+(1-$AU45))</f>
        <v>1.1499999999999999</v>
      </c>
      <c r="BB45" s="15">
        <f>MIN(IF($AU45=100%,1,1+VLOOKUP(($AJ45-$AI45-$AH45-$AG45-$AF45-$AE45*(1+BB$3))/$AJ45,'Технический лист'!$M:$N,2,1)-VLOOKUP($AO45,'Технический лист'!$M:$N,2,1)),1+(1-$AU45))</f>
        <v>1.1499999999999999</v>
      </c>
      <c r="BC45" s="15">
        <f>MIN(IF($AU45=100%,1,1+VLOOKUP(($AJ45-$AI45-$AH45-$AG45-$AF45-$AE45*(1+BC$3))/$AJ45,'Технический лист'!$M:$N,2,1)-VLOOKUP($AO45,'Технический лист'!$M:$N,2,1)),1+(1-$AU45))</f>
        <v>1.1499999999999999</v>
      </c>
      <c r="BD45" s="15">
        <f>MIN(IF($AU45=100%,1,1+VLOOKUP(($AJ45-$AI45-$AH45-$AG45-$AF45-$AE45*(1+BD$3))/$AJ45,'Технический лист'!$M:$N,2,1)-VLOOKUP($AO45,'Технический лист'!$M:$N,2,1)),1+(1-$AU45))</f>
        <v>1.1499999999999999</v>
      </c>
      <c r="BE45" s="15">
        <f>MIN(IF($AU45=100%,1,1+VLOOKUP(($AJ45-$AI45-$AH45-$AG45-$AF45-$AE45*(1+BE$3))/$AJ45,'Технический лист'!$M:$N,2,1)-VLOOKUP($AO45,'Технический лист'!$M:$N,2,1)),1+(1-$AU45))</f>
        <v>1.1499999999999999</v>
      </c>
      <c r="BF45" s="15">
        <f>MIN(IF($AU45=100%,1,1+VLOOKUP(($AJ45-$AI45-$AH45-$AG45-$AF45-$AE45*(1+BF$3))/$AJ45,'Технический лист'!$M:$N,2,1)-VLOOKUP($AO45,'Технический лист'!$M:$N,2,1)),1+(1-$AU45))</f>
        <v>1.1499999999999999</v>
      </c>
      <c r="BG45" s="15">
        <f>MIN(IF($AU45=100%,1,1+VLOOKUP(($AJ45-$AI45-$AH45-$AG45-$AF45-$AE45*(1+BG$3))/$AJ45,'Технический лист'!$M:$N,2,1)-VLOOKUP($AO45,'Технический лист'!$M:$N,2,1)),1+(1-$AU45))</f>
        <v>1.1499999999999999</v>
      </c>
      <c r="BH45" s="15">
        <f>MIN(IF($AU45=100%,1,1+VLOOKUP(($AJ45-$AI45-$AH45-$AG45-$AF45-$AE45*(1+BH$3))/$AJ45,'Технический лист'!$M:$N,2,1)-VLOOKUP($AO45,'Технический лист'!$M:$N,2,1)),1+(1-$AU45))</f>
        <v>1.1499999999999999</v>
      </c>
      <c r="BI45" s="15">
        <f>MIN(IF($AU45=100%,1,1+VLOOKUP(($AJ45-$AI45-$AH45-$AG45-$AF45-$AE45*(1+BI$3))/$AJ45,'Технический лист'!$M:$N,2,1)-VLOOKUP($AO45,'Технический лист'!$M:$N,2,1)),1+(1-$AU45))</f>
        <v>1.1499999999999999</v>
      </c>
      <c r="BJ45" s="15">
        <f>MIN(IF($AU45=100%,1,1+VLOOKUP(($AJ45-$AI45-$AH45-$AG45-$AF45-$AE45*(1+BJ$3))/$AJ45,'Технический лист'!$M:$N,2,1)-VLOOKUP($AO45,'Технический лист'!$M:$N,2,1)),1+(1-$AU45))</f>
        <v>1.1499999999999999</v>
      </c>
      <c r="BK45" s="15">
        <f>MIN(IF($AU45=100%,1,1+VLOOKUP(($AJ45-$AI45-$AH45-$AG45-$AF45-$AE45*(1+BK$3))/$AJ45,'Технический лист'!$M:$N,2,1)-VLOOKUP($AO45,'Технический лист'!$M:$N,2,1)),1+(1-$AU45))</f>
        <v>1.1499999999999999</v>
      </c>
      <c r="BL45" s="15">
        <f>MIN(IF($AU45=100%,1,1+VLOOKUP(($AJ45-$AI45-$AH45-$AG45-$AF45-$AE45*(1+BL$3))/$AJ45,'Технический лист'!$M:$N,2,1)-VLOOKUP($AO45,'Технический лист'!$M:$N,2,1)),1+(1-$AU45))</f>
        <v>1.1499999999999999</v>
      </c>
      <c r="BM45" s="15">
        <f>MIN(IF($AU45=100%,1,1+VLOOKUP(($AJ45-$AI45-$AH45-$AG45-$AF45-$AE45*(1+BM$3))/$AJ45,'Технический лист'!$M:$N,2,1)-VLOOKUP($AO45,'Технический лист'!$M:$N,2,1)),1+(1-$AU45))</f>
        <v>1.1499999999999999</v>
      </c>
      <c r="BN45" s="15">
        <f>MIN(IF($AU45=100%,1,1+VLOOKUP(($AJ45-$AI45-$AH45-$AG45-$AF45-$AE45*(1+BN$3))/$AJ45,'Технический лист'!$M:$N,2,1)-VLOOKUP($AO45,'Технический лист'!$M:$N,2,1)),1+(1-$AU45))</f>
        <v>1.1499999999999999</v>
      </c>
      <c r="BO45" s="15">
        <f>MIN(IF($AU45=100%,1,1+VLOOKUP(($AJ45-$AI45-$AH45-$AG45-$AF45-$AE45*(1+BO$3))/$AJ45,'Технический лист'!$M:$N,2,1)-VLOOKUP($AO45,'Технический лист'!$M:$N,2,1)),1+(1-$AU45))</f>
        <v>1.1499999999999999</v>
      </c>
      <c r="BP45" s="15">
        <f>MIN(IF($AU45=100%,1,1+VLOOKUP(($AJ45-$AI45-$AH45-$AG45-$AF45-$AE45*(1+BP$3))/$AJ45,'Технический лист'!$M:$N,2,1)-VLOOKUP($AO45,'Технический лист'!$M:$N,2,1)),1+(1-$AU45))</f>
        <v>1.1499999999999999</v>
      </c>
      <c r="BQ45" s="15">
        <f>MIN(IF($AU45=100%,1,1+VLOOKUP(($AJ45-$AI45-$AH45-$AG45-$AF45-$AE45*(1+BQ$3))/$AJ45,'Технический лист'!$M:$N,2,1)-VLOOKUP($AO45,'Технический лист'!$M:$N,2,1)),1+(1-$AU45))</f>
        <v>1.1499999999999999</v>
      </c>
      <c r="BR45" s="15">
        <f>MIN(IF($AU45=100%,1,1+VLOOKUP(($AJ45-$AI45-$AH45-$AG45-$AF45-$AE45*(1+BR$3))/$AJ45,'Технический лист'!$M:$N,2,1)-VLOOKUP($AO45,'Технический лист'!$M:$N,2,1)),1+(1-$AU45))</f>
        <v>1.1499999999999999</v>
      </c>
      <c r="BS45" s="15">
        <f>MIN(IF($AU45=100%,1,1+VLOOKUP(($AJ45-$AI45-$AH45-$AG45-$AF45-$AE45*(1+BS$3))/$AJ45,'Технический лист'!$M:$N,2,1)-VLOOKUP($AO45,'Технический лист'!$M:$N,2,1)),1+(1-$AU45))</f>
        <v>1.1499999999999999</v>
      </c>
      <c r="BT45" s="15">
        <f>MIN(IF($AU45=100%,1,1+VLOOKUP(($AJ45-$AI45-$AH45-$AG45-$AF45-$AE45*(1+BT$3))/$AJ45,'Технический лист'!$M:$N,2,1)-VLOOKUP($AO45,'Технический лист'!$M:$N,2,1)),1+(1-$AU45))</f>
        <v>1.1499999999999999</v>
      </c>
      <c r="BU45" s="15">
        <f>MIN(IF($AU45=100%,1,1+VLOOKUP(($AJ45-$AI45-$AH45-$AG45-$AF45-$AE45*(1+BU$3))/$AJ45,'Технический лист'!$M:$N,2,1)-VLOOKUP($AO45,'Технический лист'!$M:$N,2,1)),1+(1-$AU45))</f>
        <v>1.1499999999999999</v>
      </c>
      <c r="BV45" s="15">
        <f>MIN(IF($AU45=100%,1,1+VLOOKUP(($AJ45-$AI45-$AH45-$AG45-$AF45-$AE45*(1+BV$3))/$AJ45,'Технический лист'!$M:$N,2,1)-VLOOKUP($AO45,'Технический лист'!$M:$N,2,1)),1+(1-$AU45))</f>
        <v>1.1499999999999999</v>
      </c>
      <c r="BW45" s="15">
        <f>MIN(IF($AU45=100%,1,1+VLOOKUP(($AJ45-$AI45-$AH45-$AG45-$AF45-$AE45*(1+BW$3))/$AJ45,'Технический лист'!$M:$N,2,1)-VLOOKUP($AO45,'Технический лист'!$M:$N,2,1)),1+(1-$AU45))</f>
        <v>1.1499999999999999</v>
      </c>
      <c r="BX45" s="15">
        <f>MIN(IF($AU45=100%,1,1+VLOOKUP(($AJ45-$AI45-$AH45-$AG45-$AF45-$AE45*(1+BX$3))/$AJ45,'Технический лист'!$M:$N,2,1)-VLOOKUP($AO45,'Технический лист'!$M:$N,2,1)),1+(1-$AU45))</f>
        <v>1.1499999999999999</v>
      </c>
      <c r="BY45" s="15">
        <f>MIN(IF($AU45=100%,1,1+VLOOKUP(($AJ45-$AI45-$AH45-$AG45-$AF45-$AE45*(1+BY$3))/$AJ45,'Технический лист'!$M:$N,2,1)-VLOOKUP($AO45,'Технический лист'!$M:$N,2,1)),1+(1-$AU45))</f>
        <v>1.1499999999999999</v>
      </c>
      <c r="BZ45" s="15">
        <f>MIN(IF($AU45=100%,1,1+VLOOKUP(($AJ45-$AI45-$AH45-$AG45-$AF45-$AE45*(1+BZ$3))/$AJ45,'Технический лист'!$M:$N,2,1)-VLOOKUP($AO45,'Технический лист'!$M:$N,2,1)),1+(1-$AU45))</f>
        <v>1.1499999999999999</v>
      </c>
      <c r="CA45" s="15">
        <f>MIN(IF($AU45=100%,1,1+VLOOKUP(($AJ45-$AI45-$AH45-$AG45-$AF45-$AE45*(1+CA$3))/$AJ45,'Технический лист'!$M:$N,2,1)-VLOOKUP($AO45,'Технический лист'!$M:$N,2,1)),1+(1-$AU45))</f>
        <v>1.1499999999999999</v>
      </c>
      <c r="CB45" s="15">
        <f>MIN(IF($AU45=100%,1,1+VLOOKUP(($AJ45-$AI45-$AH45-$AG45-$AF45-$AE45*(1+CB$3))/$AJ45,'Технический лист'!$M:$N,2,1)-VLOOKUP($AO45,'Технический лист'!$M:$N,2,1)),1+(1-$AU45))</f>
        <v>1.1499999999999999</v>
      </c>
      <c r="CC45" s="15">
        <f>MIN(IF($AU45=100%,1,1+VLOOKUP(($AJ45-$AI45-$AH45-$AG45-$AF45-$AE45*(1+CC$3))/$AJ45,'Технический лист'!$M:$N,2,1)-VLOOKUP($AO45,'Технический лист'!$M:$N,2,1)),1+(1-$AU45))</f>
        <v>1.1499999999999999</v>
      </c>
      <c r="CD45" s="15">
        <f>MIN(IF($AU45=100%,1,1+VLOOKUP(($AJ45-$AI45-$AH45-$AG45-$AF45-$AE45*(1+CD$3))/$AJ45,'Технический лист'!$M:$N,2,1)-VLOOKUP($AO45,'Технический лист'!$M:$N,2,1)),1+(1-$AU45))</f>
        <v>1.1499999999999999</v>
      </c>
      <c r="CE45" s="15">
        <f>MIN(IF($AU45=100%,1,1+VLOOKUP(($AJ45-$AI45-$AH45-$AG45-$AF45-$AE45*(1+CE$3))/$AJ45,'Технический лист'!$M:$N,2,1)-VLOOKUP($AO45,'Технический лист'!$M:$N,2,1)),1+(1-$AU45))</f>
        <v>1.1499999999999999</v>
      </c>
      <c r="CF45" s="15">
        <f>MIN(IF($AU45=100%,1,1+VLOOKUP(($AJ45-$AI45-$AH45-$AG45-$AF45-$AE45*(1+CF$3))/$AJ45,'Технический лист'!$M:$N,2,1)-VLOOKUP($AO45,'Технический лист'!$M:$N,2,1)),1+(1-$AU45))</f>
        <v>1.1499999999999999</v>
      </c>
      <c r="CG45" s="15">
        <f>MIN(IF($AU45=100%,1,1+VLOOKUP(($AJ45-$AI45-$AH45-$AG45-$AF45-$AE45*(1+CG$3))/$AJ45,'Технический лист'!$M:$N,2,1)-VLOOKUP($AO45,'Технический лист'!$M:$N,2,1)),1+(1-$AU45))</f>
        <v>1.1499999999999999</v>
      </c>
      <c r="CH45" s="15">
        <f>MIN(IF($AU45=100%,1,1+VLOOKUP(($AJ45-$AI45-$AH45-$AG45-$AF45-$AE45*(1+CH$3))/$AJ45,'Технический лист'!$M:$N,2,1)-VLOOKUP($AO45,'Технический лист'!$M:$N,2,1)),1+(1-$AU45))</f>
        <v>1.1499999999999999</v>
      </c>
      <c r="CI45" s="15">
        <f>MIN(IF($AU45=100%,1,1+VLOOKUP(($AJ45-$AI45-$AH45-$AG45-$AF45-$AE45*(1+CI$3))/$AJ45,'Технический лист'!$M:$N,2,1)-VLOOKUP($AO45,'Технический лист'!$M:$N,2,1)),1+(1-$AU45))</f>
        <v>1.1499999999999999</v>
      </c>
      <c r="CJ45" s="15">
        <f>MIN(IF($AU45=100%,1,1+VLOOKUP(($AJ45-$AI45-$AH45-$AG45-$AF45-$AE45*(1+CJ$3))/$AJ45,'Технический лист'!$M:$N,2,1)-VLOOKUP($AO45,'Технический лист'!$M:$N,2,1)),1+(1-$AU45))</f>
        <v>1.1499999999999999</v>
      </c>
      <c r="CK45" s="15">
        <f>MIN(IF($AU45=100%,1,1+VLOOKUP(($AJ45-$AI45-$AH45-$AG45-$AF45-$AE45*(1+CK$3))/$AJ45,'Технический лист'!$M:$N,2,1)-VLOOKUP($AO45,'Технический лист'!$M:$N,2,1)),1+(1-$AU45))</f>
        <v>1.1499999999999999</v>
      </c>
      <c r="CL45" s="15">
        <f>MIN(IF($AU45=100%,1,1+VLOOKUP(($AJ45-$AI45-$AH45-$AG45-$AF45-$AE45*(1+CL$3))/$AJ45,'Технический лист'!$M:$N,2,1)-VLOOKUP($AO45,'Технический лист'!$M:$N,2,1)),1+(1-$AU45))</f>
        <v>1.1499999999999999</v>
      </c>
      <c r="CM45" s="15">
        <f>MIN(IF($AU45=100%,1,1+VLOOKUP(($AJ45-$AI45-$AH45-$AG45-$AF45-$AE45*(1+CM$3))/$AJ45,'Технический лист'!$M:$N,2,1)-VLOOKUP($AO45,'Технический лист'!$M:$N,2,1)),1+(1-$AU45))</f>
        <v>1.1499999999999999</v>
      </c>
      <c r="CN45" s="15">
        <f>MIN(IF($AU45=100%,1,1+VLOOKUP(($AJ45-$AI45-$AH45-$AG45-$AF45-$AE45*(1+CN$3))/$AJ45,'Технический лист'!$M:$N,2,1)-VLOOKUP($AO45,'Технический лист'!$M:$N,2,1)),1+(1-$AU45))</f>
        <v>1.1499999999999999</v>
      </c>
      <c r="CO45" s="15">
        <f>MIN(IF($AU45=100%,1,1+VLOOKUP(($AJ45-$AI45-$AH45-$AG45-$AF45-$AE45*(1+CO$3))/$AJ45,'Технический лист'!$M:$N,2,1)-VLOOKUP($AO45,'Технический лист'!$M:$N,2,1)),1+(1-$AU45))</f>
        <v>1.1499999999999999</v>
      </c>
      <c r="CP45" s="15">
        <f>MIN(IF($AU45=100%,1,1+VLOOKUP(($AJ45-$AI45-$AH45-$AG45-$AF45-$AE45*(1+CP$3))/$AJ45,'Технический лист'!$M:$N,2,1)-VLOOKUP($AO45,'Технический лист'!$M:$N,2,1)),1+(1-$AU45))</f>
        <v>1.1499999999999999</v>
      </c>
      <c r="CQ45" s="15">
        <f>MIN(IF($AU45=100%,1,1+VLOOKUP(($AJ45-$AI45-$AH45-$AG45-$AF45-$AE45*(1+CQ$3))/$AJ45,'Технический лист'!$M:$N,2,1)-VLOOKUP($AO45,'Технический лист'!$M:$N,2,1)),1+(1-$AU45))</f>
        <v>1.1499999999999999</v>
      </c>
      <c r="CR45" s="15">
        <f>MIN(IF($AU45=100%,1,1+VLOOKUP(($AJ45-$AI45-$AH45-$AG45-$AF45-$AE45*(1+CR$3))/$AJ45,'Технический лист'!$M:$N,2,1)-VLOOKUP($AO45,'Технический лист'!$M:$N,2,1)),1+(1-$AU45))</f>
        <v>1.1499999999999999</v>
      </c>
      <c r="CS45" s="15">
        <f>MIN(IF($AU45=100%,1,1+VLOOKUP(($AJ45-$AI45-$AH45-$AG45-$AF45-$AE45*(1+CS$3))/$AJ45,'Технический лист'!$M:$N,2,1)-VLOOKUP($AO45,'Технический лист'!$M:$N,2,1)),1+(1-$AU45))</f>
        <v>1.1499999999999999</v>
      </c>
      <c r="CT45" s="15">
        <f>MIN(IF($AU45=100%,1,1+VLOOKUP(($AJ45-$AI45-$AH45-$AG45-$AF45-$AE45*(1+CT$3))/$AJ45,'Технический лист'!$M:$N,2,1)-VLOOKUP($AO45,'Технический лист'!$M:$N,2,1)),1+(1-$AU45))</f>
        <v>1.1499999999999999</v>
      </c>
      <c r="CU45" s="15">
        <f>MIN(IF($AU45=100%,1,1+VLOOKUP(($AJ45-$AI45-$AH45-$AG45-$AF45-$AE45*(1+CU$3))/$AJ45,'Технический лист'!$M:$N,2,1)-VLOOKUP($AO45,'Технический лист'!$M:$N,2,1)),1+(1-$AU45))</f>
        <v>1.1499999999999999</v>
      </c>
      <c r="CV45" s="15">
        <f>MIN(IF($AU45=100%,1,1+VLOOKUP(($AJ45-$AI45-$AH45-$AG45-$AF45-$AE45*(1+CV$3))/$AJ45,'Технический лист'!$M:$N,2,1)-VLOOKUP($AO45,'Технический лист'!$M:$N,2,1)),1+(1-$AU45))</f>
        <v>1.1499999999999999</v>
      </c>
      <c r="CW45" s="15">
        <f>MIN(IF($AU45=100%,1,1+VLOOKUP(($AJ45-$AI45-$AH45-$AG45-$AF45-$AE45*(1+CW$3))/$AJ45,'Технический лист'!$M:$N,2,1)-VLOOKUP($AO45,'Технический лист'!$M:$N,2,1)),1+(1-$AU45))</f>
        <v>1.1499999999999999</v>
      </c>
      <c r="CX45" s="15">
        <f>MIN(IF($AU45=100%,1,1+VLOOKUP(($AJ45-$AI45-$AH45-$AG45-$AF45-$AE45*(1+CX$3))/$AJ45,'Технический лист'!$M:$N,2,1)-VLOOKUP($AO45,'Технический лист'!$M:$N,2,1)),1+(1-$AU45))</f>
        <v>1.1499999999999999</v>
      </c>
      <c r="CY45" s="15">
        <f>MIN(IF($AU45=100%,1,1+VLOOKUP(($AJ45-$AI45-$AH45-$AG45-$AF45-$AE45*(1+CY$3))/$AJ45,'Технический лист'!$M:$N,2,1)-VLOOKUP($AO45,'Технический лист'!$M:$N,2,1)),1+(1-$AU45))</f>
        <v>1.1499999999999999</v>
      </c>
      <c r="CZ45" s="15">
        <f>MIN(IF($AU45=100%,1,1+VLOOKUP(($AJ45-$AI45-$AH45-$AG45-$AF45-$AE45*(1+CZ$3))/$AJ45,'Технический лист'!$M:$N,2,1)-VLOOKUP($AO45,'Технический лист'!$M:$N,2,1)),1+(1-$AU45))</f>
        <v>1.1499999999999999</v>
      </c>
      <c r="DA45" s="15">
        <f>MIN(IF($AU45=100%,1,1+VLOOKUP(($AJ45-$AI45-$AH45-$AG45-$AF45-$AE45*(1+DA$3))/$AJ45,'Технический лист'!$M:$N,2,1)-VLOOKUP($AO45,'Технический лист'!$M:$N,2,1)),1+(1-$AU45))</f>
        <v>1.1499999999999999</v>
      </c>
      <c r="DB45" s="15">
        <f>MIN(IF($AU45=100%,1,1+VLOOKUP(($AJ45-$AI45-$AH45-$AG45-$AF45-$AE45*(1+DB$3))/$AJ45,'Технический лист'!$M:$N,2,1)-VLOOKUP($AO45,'Технический лист'!$M:$N,2,1)),1+(1-$AU45))</f>
        <v>1.1499999999999999</v>
      </c>
      <c r="DC45" s="15">
        <f>MIN(IF($AU45=100%,1,1+VLOOKUP(($AJ45-$AI45-$AH45-$AG45-$AF45-$AE45*(1+DC$3))/$AJ45,'Технический лист'!$M:$N,2,1)-VLOOKUP($AO45,'Технический лист'!$M:$N,2,1)),1+(1-$AU45))</f>
        <v>1.1499999999999999</v>
      </c>
      <c r="DD45" s="15">
        <f>MIN(IF($AU45=100%,1,1+VLOOKUP(($AJ45-$AI45-$AH45-$AG45-$AF45-$AE45*(1+DD$3))/$AJ45,'Технический лист'!$M:$N,2,1)-VLOOKUP($AO45,'Технический лист'!$M:$N,2,1)),1+(1-$AU45))</f>
        <v>1.1499999999999999</v>
      </c>
      <c r="DE45" s="15">
        <f>MIN(IF($AU45=100%,1,1+VLOOKUP(($AJ45-$AI45-$AH45-$AG45-$AF45-$AE45*(1+DE$3))/$AJ45,'Технический лист'!$M:$N,2,1)-VLOOKUP($AO45,'Технический лист'!$M:$N,2,1)),1+(1-$AU45))</f>
        <v>1.1499999999999999</v>
      </c>
      <c r="DF45" s="15">
        <f>MIN(IF($AU45=100%,1,1+VLOOKUP(($AJ45-$AI45-$AH45-$AG45-$AF45-$AE45*(1+DF$3))/$AJ45,'Технический лист'!$M:$N,2,1)-VLOOKUP($AO45,'Технический лист'!$M:$N,2,1)),1+(1-$AU45))</f>
        <v>1.1499999999999999</v>
      </c>
      <c r="DG45" s="15">
        <f>MIN(IF($AU45=100%,1,1+VLOOKUP(($AJ45-$AI45-$AH45-$AG45-$AF45-$AE45*(1+DG$3))/$AJ45,'Технический лист'!$M:$N,2,1)-VLOOKUP($AO45,'Технический лист'!$M:$N,2,1)),1+(1-$AU45))</f>
        <v>1.1499999999999999</v>
      </c>
      <c r="DH45" s="15">
        <f>MIN(IF($AU45=100%,1,1+VLOOKUP(($AJ45-$AI45-$AH45-$AG45-$AF45-$AE45*(1+DH$3))/$AJ45,'Технический лист'!$M:$N,2,1)-VLOOKUP($AO45,'Технический лист'!$M:$N,2,1)),1+(1-$AU45))</f>
        <v>1.1499999999999999</v>
      </c>
      <c r="DI45" s="15">
        <f>MIN(IF($AU45=100%,1,1+VLOOKUP(($AJ45-$AI45-$AH45-$AG45-$AF45-$AE45*(1+DI$3))/$AJ45,'Технический лист'!$M:$N,2,1)-VLOOKUP($AO45,'Технический лист'!$M:$N,2,1)),1+(1-$AU45))</f>
        <v>1.1499999999999999</v>
      </c>
      <c r="DJ45" s="15">
        <f>MIN(IF($AU45=100%,1,1+VLOOKUP(($AJ45-$AI45-$AH45-$AG45-$AF45-$AE45*(1+DJ$3))/$AJ45,'Технический лист'!$M:$N,2,1)-VLOOKUP($AO45,'Технический лист'!$M:$N,2,1)),1+(1-$AU45))</f>
        <v>1.1499999999999999</v>
      </c>
      <c r="DK45" s="15">
        <f>MIN(IF($AU45=100%,1,1+VLOOKUP(($AJ45-$AI45-$AH45-$AG45-$AF45-$AE45*(1+DK$3))/$AJ45,'Технический лист'!$M:$N,2,1)-VLOOKUP($AO45,'Технический лист'!$M:$N,2,1)),1+(1-$AU45))</f>
        <v>1.1499999999999999</v>
      </c>
      <c r="DL45" s="15">
        <f>MIN(IF($AU45=100%,1,1+VLOOKUP(($AJ45-$AI45-$AH45-$AG45-$AF45-$AE45*(1+DL$3))/$AJ45,'Технический лист'!$M:$N,2,1)-VLOOKUP($AO45,'Технический лист'!$M:$N,2,1)),1+(1-$AU45))</f>
        <v>1.1499999999999999</v>
      </c>
      <c r="DM45" s="15">
        <f>MIN(IF($AU45=100%,1,1+VLOOKUP(($AJ45-$AI45-$AH45-$AG45-$AF45-$AE45*(1+DM$3))/$AJ45,'Технический лист'!$M:$N,2,1)-VLOOKUP($AO45,'Технический лист'!$M:$N,2,1)),1+(1-$AU45))</f>
        <v>1.1499999999999999</v>
      </c>
      <c r="DN45" s="15">
        <f>MIN(IF($AU45=100%,1,1+VLOOKUP(($AJ45-$AI45-$AH45-$AG45-$AF45-$AE45*(1+DN$3))/$AJ45,'Технический лист'!$M:$N,2,1)-VLOOKUP($AO45,'Технический лист'!$M:$N,2,1)),1+(1-$AU45))</f>
        <v>1.1499999999999999</v>
      </c>
      <c r="DO45" s="15">
        <f>MIN(IF($AU45=100%,1,1+VLOOKUP(($AJ45-$AI45-$AH45-$AG45-$AF45-$AE45*(1+DO$3))/$AJ45,'Технический лист'!$M:$N,2,1)-VLOOKUP($AO45,'Технический лист'!$M:$N,2,1)),1+(1-$AU45))</f>
        <v>1.1499999999999999</v>
      </c>
      <c r="DP45" s="15">
        <f>MIN(IF($AU45=100%,1,1+VLOOKUP(($AJ45-$AI45-$AH45-$AG45-$AF45-$AE45*(1+DP$3))/$AJ45,'Технический лист'!$M:$N,2,1)-VLOOKUP($AO45,'Технический лист'!$M:$N,2,1)),1+(1-$AU45))</f>
        <v>1.1499999999999999</v>
      </c>
      <c r="DQ45" s="15">
        <f>MIN(IF($AU45=100%,1,1+VLOOKUP(($AJ45-$AI45-$AH45-$AG45-$AF45-$AE45*(1+DQ$3))/$AJ45,'Технический лист'!$M:$N,2,1)-VLOOKUP($AO45,'Технический лист'!$M:$N,2,1)),1+(1-$AU45))</f>
        <v>1.1499999999999999</v>
      </c>
      <c r="DR45" s="15">
        <f>MIN(IF($AU45=100%,1,1+VLOOKUP(($AJ45-$AI45-$AH45-$AG45-$AF45-$AE45*(1+DR$3))/$AJ45,'Технический лист'!$M:$N,2,1)-VLOOKUP($AO45,'Технический лист'!$M:$N,2,1)),1+(1-$AU45))</f>
        <v>1.1499999999999999</v>
      </c>
      <c r="DS45" s="15">
        <f>MIN(IF($AU45=100%,1,1+VLOOKUP(($AJ45-$AI45-$AH45-$AG45-$AF45-$AE45*(1+DS$3))/$AJ45,'Технический лист'!$M:$N,2,1)-VLOOKUP($AO45,'Технический лист'!$M:$N,2,1)),1+(1-$AU45))</f>
        <v>1.1499999999999999</v>
      </c>
      <c r="DT45" s="15">
        <f>MIN(IF($AU45=100%,1,1+VLOOKUP(($AJ45-$AI45-$AH45-$AG45-$AF45-$AE45*(1+DT$3))/$AJ45,'Технический лист'!$M:$N,2,1)-VLOOKUP($AO45,'Технический лист'!$M:$N,2,1)),1+(1-$AU45))</f>
        <v>1.1100000000000001</v>
      </c>
      <c r="DU45" s="15">
        <f>MIN(IF($AU45=100%,1,1+VLOOKUP(($AJ45-$AI45-$AH45-$AG45-$AF45-$AE45*(1+DU$3))/$AJ45,'Технический лист'!$M:$N,2,1)-VLOOKUP($AO45,'Технический лист'!$M:$N,2,1)),1+(1-$AU45))</f>
        <v>1.1100000000000001</v>
      </c>
      <c r="DV45" s="15">
        <f>MIN(IF($AU45=100%,1,1+VLOOKUP(($AJ45-$AI45-$AH45-$AG45-$AF45-$AE45*(1+DV$3))/$AJ45,'Технический лист'!$M:$N,2,1)-VLOOKUP($AO45,'Технический лист'!$M:$N,2,1)),1+(1-$AU45))</f>
        <v>1.06</v>
      </c>
      <c r="DW45" s="15">
        <f>MIN(IF($AU45=100%,1,1+VLOOKUP(($AJ45-$AI45-$AH45-$AG45-$AF45-$AE45*(1+DW$3))/$AJ45,'Технический лист'!$M:$N,2,1)-VLOOKUP($AO45,'Технический лист'!$M:$N,2,1)),1+(1-$AU45))</f>
        <v>1.06</v>
      </c>
      <c r="DX45" s="15">
        <f>MIN(IF($AU45=100%,1,1+VLOOKUP(($AJ45-$AI45-$AH45-$AG45-$AF45-$AE45*(1+DX$3))/$AJ45,'Технический лист'!$M:$N,2,1)-VLOOKUP($AO45,'Технический лист'!$M:$N,2,1)),1+(1-$AU45))</f>
        <v>1</v>
      </c>
      <c r="DY45" s="15">
        <f>MIN(IF($AU45=100%,1,1+VLOOKUP(($AJ45-$AI45-$AH45-$AG45-$AF45-$AE45*(1+DY$3))/$AJ45,'Технический лист'!$M:$N,2,1)-VLOOKUP($AO45,'Технический лист'!$M:$N,2,1)),1+(1-$AU45))</f>
        <v>1</v>
      </c>
      <c r="DZ45" s="15">
        <f>MIN(IF($AU45=100%,1,1+VLOOKUP(($AJ45-$AI45-$AH45-$AG45-$AF45-$AE45*(1+DZ$3))/$AJ45,'Технический лист'!$M:$N,2,1)-VLOOKUP($AO45,'Технический лист'!$M:$N,2,1)),1+(1-$AU45))</f>
        <v>1</v>
      </c>
      <c r="EA45" s="15">
        <f>MIN(IF($AU45=100%,1,1+VLOOKUP(($AJ45-$AI45-$AH45-$AG45-$AF45-$AE45*(1+EA$3))/$AJ45,'Технический лист'!$M:$N,2,1)-VLOOKUP($AO45,'Технический лист'!$M:$N,2,1)),1+(1-$AU45))</f>
        <v>1</v>
      </c>
      <c r="EB45" s="15">
        <f>MIN(IF($AU45=100%,1,1+VLOOKUP(($AJ45-$AI45-$AH45-$AG45-$AF45-$AE45*(1+EB$3))/$AJ45,'Технический лист'!$M:$N,2,1)-VLOOKUP($AO45,'Технический лист'!$M:$N,2,1)),1+(1-$AU45))</f>
        <v>1</v>
      </c>
      <c r="EC45" s="15">
        <f>MIN(IF($AU45=100%,1,1+VLOOKUP(($AJ45-$AI45-$AH45-$AG45-$AF45-$AE45*(1+EC$3))/$AJ45,'Технический лист'!$M:$N,2,1)-VLOOKUP($AO45,'Технический лист'!$M:$N,2,1)),1+(1-$AU45))</f>
        <v>1</v>
      </c>
      <c r="ED45" s="15">
        <f>MIN(IF($AU45=100%,1,1+VLOOKUP(($AJ45-$AI45-$AH45-$AG45-$AF45-$AE45*(1+ED$3))/$AJ45,'Технический лист'!$M:$N,2,1)-VLOOKUP($AO45,'Технический лист'!$M:$N,2,1)),1+(1-$AU45))</f>
        <v>1</v>
      </c>
      <c r="EE45" s="15">
        <f>MIN(IF($AU45=100%,1,1+VLOOKUP(($AJ45-$AI45-$AH45-$AG45-$AF45-$AE45*(1+EE$3))/$AJ45,'Технический лист'!$M:$N,2,1)-VLOOKUP($AO45,'Технический лист'!$M:$N,2,1)),1+(1-$AU45))</f>
        <v>1</v>
      </c>
      <c r="EF45" s="15">
        <f>MIN(IF($AU45=100%,1,1+VLOOKUP(($AJ45-$AI45-$AH45-$AG45-$AF45-$AE45*(1+EF$3))/$AJ45,'Технический лист'!$M:$N,2,1)-VLOOKUP($AO45,'Технический лист'!$M:$N,2,1)),1+(1-$AU45))</f>
        <v>1</v>
      </c>
      <c r="EG45" s="15">
        <f>MIN(IF($AU45=100%,1,1+VLOOKUP(($AJ45-$AI45-$AH45-$AG45-$AF45-$AE45*(1+EG$3))/$AJ45,'Технический лист'!$M:$N,2,1)-VLOOKUP($AO45,'Технический лист'!$M:$N,2,1)),1+(1-$AU45))</f>
        <v>1</v>
      </c>
      <c r="EH45" s="15">
        <f>MIN(IF($AU45=100%,1,1+VLOOKUP(($AJ45-$AI45-$AH45-$AG45-$AF45-$AE45*(1+EH$3))/$AJ45,'Технический лист'!$M:$N,2,1)-VLOOKUP($AO45,'Технический лист'!$M:$N,2,1)),1+(1-$AU45))</f>
        <v>1</v>
      </c>
      <c r="EI45" s="15">
        <f>MIN(IF($AU45=100%,1,1+VLOOKUP(($AJ45-$AI45-$AH45-$AG45-$AF45-$AE45*(1+EI$3))/$AJ45,'Технический лист'!$M:$N,2,1)-VLOOKUP($AO45,'Технический лист'!$M:$N,2,1)),1+(1-$AU45))</f>
        <v>1</v>
      </c>
      <c r="EJ45" s="15">
        <f>MIN(IF($AU45=100%,1,1+VLOOKUP(($AJ45-$AI45-$AH45-$AG45-$AF45-$AE45*(1+EJ$3))/$AJ45,'Технический лист'!$M:$N,2,1)-VLOOKUP($AO45,'Технический лист'!$M:$N,2,1)),1+(1-$AU45))</f>
        <v>1</v>
      </c>
      <c r="EK45" s="15">
        <f>MIN(IF($AU45=100%,1,1+VLOOKUP(($AJ45-$AI45-$AH45-$AG45-$AF45-$AE45*(1+EK$3))/$AJ45,'Технический лист'!$M:$N,2,1)-VLOOKUP($AO45,'Технический лист'!$M:$N,2,1)),1+(1-$AU45))</f>
        <v>1</v>
      </c>
      <c r="EL45" s="15">
        <f>MIN(IF($AU45=100%,1,1+VLOOKUP(($AJ45-$AI45-$AH45-$AG45-$AF45-$AE45*(1+EL$3))/$AJ45,'Технический лист'!$M:$N,2,1)-VLOOKUP($AO45,'Технический лист'!$M:$N,2,1)),1+(1-$AU45))</f>
        <v>1</v>
      </c>
      <c r="EM45" s="15">
        <f>MIN(IF($AU45=100%,1,1+VLOOKUP(($AJ45-$AI45-$AH45-$AG45-$AF45-$AE45*(1+EM$3))/$AJ45,'Технический лист'!$M:$N,2,1)-VLOOKUP($AO45,'Технический лист'!$M:$N,2,1)),1+(1-$AU45))</f>
        <v>1</v>
      </c>
      <c r="EN45" s="15">
        <f>MIN(IF($AU45=100%,1,1+VLOOKUP(($AJ45-$AI45-$AH45-$AG45-$AF45-$AE45*(1+EN$3))/$AJ45,'Технический лист'!$M:$N,2,1)-VLOOKUP($AO45,'Технический лист'!$M:$N,2,1)),1+(1-$AU45))</f>
        <v>1</v>
      </c>
      <c r="EO45" s="15">
        <f>MIN(IF($AU45=100%,1,1+VLOOKUP(($AJ45-$AI45-$AH45-$AG45-$AF45-$AE45*(1+EO$3))/$AJ45,'Технический лист'!$M:$N,2,1)-VLOOKUP($AO45,'Технический лист'!$M:$N,2,1)),1+(1-$AU45))</f>
        <v>1</v>
      </c>
      <c r="EP45" s="15">
        <f>MIN(IF($AU45=100%,1,1+VLOOKUP(($AJ45-$AI45-$AH45-$AG45-$AF45-$AE45*(1+EP$3))/$AJ45,'Технический лист'!$M:$N,2,1)-VLOOKUP($AO45,'Технический лист'!$M:$N,2,1)),1+(1-$AU45))</f>
        <v>1</v>
      </c>
      <c r="EQ45" s="15">
        <f>MIN(IF($AU45=100%,1,1+VLOOKUP(($AJ45-$AI45-$AH45-$AG45-$AF45-$AE45*(1+EQ$3))/$AJ45,'Технический лист'!$M:$N,2,1)-VLOOKUP($AO45,'Технический лист'!$M:$N,2,1)),1+(1-$AU45))</f>
        <v>1</v>
      </c>
      <c r="ER45" s="15">
        <f>MIN(IF($AU45=100%,1,1+VLOOKUP(($AJ45-$AI45-$AH45-$AG45-$AF45-$AE45*(1+ER$3))/$AJ45,'Технический лист'!$M:$N,2,1)-VLOOKUP($AO45,'Технический лист'!$M:$N,2,1)),1+(1-$AU45))</f>
        <v>1</v>
      </c>
      <c r="ES45" s="15">
        <f>MIN(IF($AU45=100%,1,1+VLOOKUP(($AJ45-$AI45-$AH45-$AG45-$AF45-$AE45*(1+ES$3))/$AJ45,'Технический лист'!$M:$N,2,1)-VLOOKUP($AO45,'Технический лист'!$M:$N,2,1)),1+(1-$AU45))</f>
        <v>1</v>
      </c>
      <c r="ET45" s="15">
        <f>MIN(IF($AU45=100%,1,1+VLOOKUP(($AJ45-$AI45-$AH45-$AG45-$AF45-$AE45*(1+ET$3))/$AJ45,'Технический лист'!$M:$N,2,1)-VLOOKUP($AO45,'Технический лист'!$M:$N,2,1)),1+(1-$AU45))</f>
        <v>1</v>
      </c>
      <c r="EU45" s="15">
        <f>MIN(IF($AU45=100%,1,1+VLOOKUP(($AJ45-$AI45-$AH45-$AG45-$AF45-$AE45*(1+EU$3))/$AJ45,'Технический лист'!$M:$N,2,1)-VLOOKUP($AO45,'Технический лист'!$M:$N,2,1)),1+(1-$AU45))</f>
        <v>1</v>
      </c>
      <c r="EV45" s="111">
        <v>1</v>
      </c>
      <c r="EW45" s="15">
        <f>MIN(1,MAX(VLOOKUP(($AJ45-$AI45-$AH45-$AG45-$AF45-$AE45*(1+EW$3))/$AJ45,'Технический лист'!$M:$N,2,1),(EV45-0.05)))</f>
        <v>0.95</v>
      </c>
      <c r="EX45" s="15">
        <f>MIN(1,MAX(VLOOKUP(($AJ45-$AI45-$AH45-$AG45-$AF45-$AE45*(1+EX$3))/$AJ45,'Технический лист'!$M:$N,2,1),(EW45-0.05)))</f>
        <v>0.89999999999999991</v>
      </c>
      <c r="EY45" s="15">
        <f>MIN(1,MAX(VLOOKUP(($AJ45-$AI45-$AH45-$AG45-$AF45-$AE45*(1+EY$3))/$AJ45,'Технический лист'!$M:$N,2,1),(EX45-0.05)))</f>
        <v>0.84999999999999987</v>
      </c>
      <c r="EZ45" s="15">
        <f>MIN(1,MAX(VLOOKUP(($AJ45-$AI45-$AH45-$AG45-$AF45-$AE45*(1+EZ$3))/$AJ45,'Технический лист'!$M:$N,2,1),(EY45-0.05)))</f>
        <v>0.79999999999999982</v>
      </c>
      <c r="FA45" s="15">
        <f>MIN(1,MAX(VLOOKUP(($AJ45-$AI45-$AH45-$AG45-$AF45-$AE45*(1+FA$3))/$AJ45,'Технический лист'!$M:$N,2,1),(EZ45-0.05)))</f>
        <v>0.74999999999999978</v>
      </c>
      <c r="FB45" s="15">
        <f>MIN(1,MAX(VLOOKUP(($AJ45-$AI45-$AH45-$AG45-$AF45-$AE45*(1+FB$3))/$AJ45,'Технический лист'!$M:$N,2,1),(FA45-0.05)))</f>
        <v>0.69999999999999973</v>
      </c>
      <c r="FC45" s="15">
        <f>MIN(1,MAX(VLOOKUP(($AJ45-$AI45-$AH45-$AG45-$AF45-$AE45*(1+FC$3))/$AJ45,'Технический лист'!$M:$N,2,1),(FB45-0.05)))</f>
        <v>0.64999999999999969</v>
      </c>
      <c r="FD45" s="15">
        <f>MIN(1,MAX(VLOOKUP(($AJ45-$AI45-$AH45-$AG45-$AF45-$AE45*(1+FD$3))/$AJ45,'Технический лист'!$M:$N,2,1),(FC45-0.05)))</f>
        <v>0.59999999999999964</v>
      </c>
      <c r="FE45" s="15">
        <f>MIN(1,MAX(VLOOKUP(($AJ45-$AI45-$AH45-$AG45-$AF45-$AE45*(1+FE$3))/$AJ45,'Технический лист'!$M:$N,2,1),(FD45-0.05)))</f>
        <v>0.5499999999999996</v>
      </c>
      <c r="FF45" s="15">
        <f>MIN(1,MAX(VLOOKUP(($AJ45-$AI45-$AH45-$AG45-$AF45-$AE45*(1+FF$3))/$AJ45,'Технический лист'!$M:$N,2,1),(FE45-0.05)))</f>
        <v>0.49999999999999961</v>
      </c>
      <c r="FG45" s="15">
        <f>MIN(1,MAX(VLOOKUP(($AJ45-$AI45-$AH45-$AG45-$AF45-$AE45*(1+FG$3))/$AJ45,'Технический лист'!$M:$N,2,1),(FF45-0.05)))</f>
        <v>0.44999999999999962</v>
      </c>
      <c r="FH45" s="15">
        <f>MIN(1,MAX(VLOOKUP(($AJ45-$AI45-$AH45-$AG45-$AF45-$AE45*(1+FH$3))/$AJ45,'Технический лист'!$M:$N,2,1),(FG45-0.05)))</f>
        <v>0.39999999999999963</v>
      </c>
      <c r="FI45" s="15">
        <f>MIN(1,MAX(VLOOKUP(($AJ45-$AI45-$AH45-$AG45-$AF45-$AE45*(1+FI$3))/$AJ45,'Технический лист'!$M:$N,2,1),(FH45-0.05)))</f>
        <v>0.34999999999999964</v>
      </c>
      <c r="FJ45" s="15">
        <f>MIN(1,MAX(VLOOKUP(($AJ45-$AI45-$AH45-$AG45-$AF45-$AE45*(1+FJ$3))/$AJ45,'Технический лист'!$M:$N,2,1),(FI45-0.05)))</f>
        <v>0.29999999999999966</v>
      </c>
      <c r="FK45" s="15">
        <f>MIN(1,MAX(VLOOKUP(($AJ45-$AI45-$AH45-$AG45-$AF45-$AE45*(1+FK$3))/$AJ45,'Технический лист'!$M:$N,2,1),(FJ45-0.05)))</f>
        <v>0.24999999999999967</v>
      </c>
      <c r="FL45" s="15">
        <f>MIN(1,MAX(VLOOKUP(($AJ45-$AI45-$AH45-$AG45-$AF45-$AE45*(1+FL$3))/$AJ45,'Технический лист'!$M:$N,2,1),(FK45-0.05)))</f>
        <v>0.19999999999999968</v>
      </c>
      <c r="FM45" s="15">
        <f>MIN(1,MAX(VLOOKUP(($AJ45-$AI45-$AH45-$AG45-$AF45-$AE45*(1+FM$3))/$AJ45,'Технический лист'!$M:$N,2,1),(FL45-0.05)))</f>
        <v>0.14999999999999969</v>
      </c>
      <c r="FN45" s="15">
        <f>MIN(1,MAX(VLOOKUP(($AJ45-$AI45-$AH45-$AG45-$AF45-$AE45*(1+FN$3))/$AJ45,'Технический лист'!$M:$N,2,1),(FM45-0.05)))</f>
        <v>9.9999999999999686E-2</v>
      </c>
      <c r="FO45" s="15">
        <f>MIN(1,MAX(VLOOKUP(($AJ45-$AI45-$AH45-$AG45-$AF45-$AE45*(1+FO$3))/$AJ45,'Технический лист'!$M:$N,2,1),(FN45-0.05)))</f>
        <v>4.9999999999999684E-2</v>
      </c>
      <c r="FP45" s="15">
        <f>MIN(1,MAX(VLOOKUP(($AJ45-$AI45-$AH45-$AG45-$AF45-$AE45*(1+FP$3))/$AJ45,'Технический лист'!$M:$N,2,1),(FO45-0.05)))</f>
        <v>0</v>
      </c>
      <c r="FQ45" s="15">
        <f>MIN(1,MAX(VLOOKUP(($AJ45-$AI45-$AH45-$AG45-$AF45-$AE45*(1+FQ$3))/$AJ45,'Технический лист'!$M:$N,2,1),(FP45-0.05)))</f>
        <v>0</v>
      </c>
      <c r="FR45" s="15">
        <f>MIN(1,MAX(VLOOKUP(($AJ45-$AI45-$AH45-$AG45-$AF45-$AE45*(1+FR$3))/$AJ45,'Технический лист'!$M:$N,2,1),(FQ45-0.05)))</f>
        <v>0</v>
      </c>
      <c r="FS45" s="15">
        <f>MIN(1,MAX(VLOOKUP(($AJ45-$AI45-$AH45-$AG45-$AF45-$AE45*(1+FS$3))/$AJ45,'Технический лист'!$M:$N,2,1),(FR45-0.05)))</f>
        <v>0</v>
      </c>
      <c r="FT45" s="15">
        <f>MIN(1,MAX(VLOOKUP(($AJ45-$AI45-$AH45-$AG45-$AF45-$AE45*(1+FT$3))/$AJ45,'Технический лист'!$M:$N,2,1),(FS45-0.05)))</f>
        <v>0</v>
      </c>
      <c r="FU45" s="15">
        <f>MIN(1,MAX(VLOOKUP(($AJ45-$AI45-$AH45-$AG45-$AF45-$AE45*(1+FU$3))/$AJ45,'Технический лист'!$M:$N,2,1),(FT45-0.05)))</f>
        <v>0</v>
      </c>
      <c r="FV45" s="15">
        <f>MIN(1,MAX(VLOOKUP(($AJ45-$AI45-$AH45-$AG45-$AF45-$AE45*(1+FV$3))/$AJ45,'Технический лист'!$M:$N,2,1),(FU45-0.05)))</f>
        <v>0</v>
      </c>
      <c r="FW45" s="15">
        <f>MIN(1,MAX(VLOOKUP(($AJ45-$AI45-$AH45-$AG45-$AF45-$AE45*(1+FW$3))/$AJ45,'Технический лист'!$M:$N,2,1),(FV45-0.05)))</f>
        <v>0</v>
      </c>
      <c r="FX45" s="15">
        <f>MIN(1,MAX(VLOOKUP(($AJ45-$AI45-$AH45-$AG45-$AF45-$AE45*(1+FX$3))/$AJ45,'Технический лист'!$M:$N,2,1),(FW45-0.05)))</f>
        <v>0</v>
      </c>
      <c r="FY45" s="15">
        <f>MIN(1,MAX(VLOOKUP(($AJ45-$AI45-$AH45-$AG45-$AF45-$AE45*(1+FY$3))/$AJ45,'Технический лист'!$M:$N,2,1),(FX45-0.05)))</f>
        <v>0</v>
      </c>
      <c r="FZ45" s="15">
        <f>MIN(1,MAX(VLOOKUP(($AJ45-$AI45-$AH45-$AG45-$AF45-$AE45*(1+FZ$3))/$AJ45,'Технический лист'!$M:$N,2,1),(FY45-0.05)))</f>
        <v>0</v>
      </c>
      <c r="GA45" s="15">
        <f>MIN(1,MAX(VLOOKUP(($AJ45-$AI45-$AH45-$AG45-$AF45-$AE45*(1+GA$3))/$AJ45,'Технический лист'!$M:$N,2,1),(FZ45-0.05)))</f>
        <v>0</v>
      </c>
      <c r="GB45" s="15">
        <f>MIN(1,MAX(VLOOKUP(($AJ45-$AI45-$AH45-$AG45-$AF45-$AE45*(1+GB$3))/$AJ45,'Технический лист'!$M:$N,2,1),(GA45-0.05)))</f>
        <v>0</v>
      </c>
      <c r="GC45" s="15">
        <f>MIN(1,MAX(VLOOKUP(($AJ45-$AI45-$AH45-$AG45-$AF45-$AE45*(1+GC$3))/$AJ45,'Технический лист'!$M:$N,2,1),(GB45-0.05)))</f>
        <v>0</v>
      </c>
      <c r="GD45" s="15">
        <f>MIN(1,MAX(VLOOKUP(($AJ45-$AI45-$AH45-$AG45-$AF45-$AE45*(1+GD$3))/$AJ45,'Технический лист'!$M:$N,2,1),(GC45-0.05)))</f>
        <v>0</v>
      </c>
      <c r="GE45" s="15">
        <f>MIN(1,MAX(VLOOKUP(($AJ45-$AI45-$AH45-$AG45-$AF45-$AE45*(1+GE$3))/$AJ45,'Технический лист'!$M:$N,2,1),(GD45-0.05)))</f>
        <v>0</v>
      </c>
      <c r="GF45" s="15">
        <f>MIN(1,MAX(VLOOKUP(($AJ45-$AI45-$AH45-$AG45-$AF45-$AE45*(1+GF$3))/$AJ45,'Технический лист'!$M:$N,2,1),(GE45-0.05)))</f>
        <v>0</v>
      </c>
      <c r="GG45" s="15">
        <f>MIN(1,MAX(VLOOKUP(($AJ45-$AI45-$AH45-$AG45-$AF45-$AE45*(1+GG$3))/$AJ45,'Технический лист'!$M:$N,2,1),(GF45-0.05)))</f>
        <v>0</v>
      </c>
      <c r="GH45" s="15">
        <f>MIN(1,MAX(VLOOKUP(($AJ45-$AI45-$AH45-$AG45-$AF45-$AE45*(1+GH$3))/$AJ45,'Технический лист'!$M:$N,2,1),(GG45-0.05)))</f>
        <v>0</v>
      </c>
      <c r="GI45" s="15">
        <f>MIN(1,MAX(VLOOKUP(($AJ45-$AI45-$AH45-$AG45-$AF45-$AE45*(1+GI$3))/$AJ45,'Технический лист'!$M:$N,2,1),(GH45-0.05)))</f>
        <v>0</v>
      </c>
      <c r="GJ45" s="15">
        <f>MIN(1,MAX(VLOOKUP(($AJ45-$AI45-$AH45-$AG45-$AF45-$AE45*(1+GJ$3))/$AJ45,'Технический лист'!$M:$N,2,1),(GI45-0.05)))</f>
        <v>0</v>
      </c>
      <c r="GK45" s="15">
        <f>MIN(1,MAX(VLOOKUP(($AJ45-$AI45-$AH45-$AG45-$AF45-$AE45*(1+GK$3))/$AJ45,'Технический лист'!$M:$N,2,1),(GJ45-0.05)))</f>
        <v>0</v>
      </c>
      <c r="GL45" s="15">
        <f>MIN(1,MAX(VLOOKUP(($AJ45-$AI45-$AH45-$AG45-$AF45-$AE45*(1+GL$3))/$AJ45,'Технический лист'!$M:$N,2,1),(GK45-0.05)))</f>
        <v>0</v>
      </c>
      <c r="GM45" s="15">
        <f>MIN(1,MAX(VLOOKUP(($AJ45-$AI45-$AH45-$AG45-$AF45-$AE45*(1+GM$3))/$AJ45,'Технический лист'!$M:$N,2,1),(GL45-0.05)))</f>
        <v>0</v>
      </c>
      <c r="GN45" s="15">
        <f>MIN(1,MAX(VLOOKUP(($AJ45-$AI45-$AH45-$AG45-$AF45-$AE45*(1+GN$3))/$AJ45,'Технический лист'!$M:$N,2,1),(GM45-0.05)))</f>
        <v>0</v>
      </c>
      <c r="GO45" s="15">
        <f>MIN(1,MAX(VLOOKUP(($AJ45-$AI45-$AH45-$AG45-$AF45-$AE45*(1+GO$3))/$AJ45,'Технический лист'!$M:$N,2,1),(GN45-0.05)))</f>
        <v>0</v>
      </c>
      <c r="GP45" s="15">
        <f>MIN(1,MAX(VLOOKUP(($AJ45-$AI45-$AH45-$AG45-$AF45-$AE45*(1+GP$3))/$AJ45,'Технический лист'!$M:$N,2,1),(GO45-0.05)))</f>
        <v>0</v>
      </c>
      <c r="GQ45" s="15">
        <f>MIN(1,MAX(VLOOKUP(($AJ45-$AI45-$AH45-$AG45-$AF45-$AE45*(1+GQ$3))/$AJ45,'Технический лист'!$M:$N,2,1),(GP45-0.05)))</f>
        <v>0</v>
      </c>
      <c r="GR45" s="15">
        <f>MIN(1,MAX(VLOOKUP(($AJ45-$AI45-$AH45-$AG45-$AF45-$AE45*(1+GR$3))/$AJ45,'Технический лист'!$M:$N,2,1),(GQ45-0.05)))</f>
        <v>0</v>
      </c>
      <c r="GS45" s="15">
        <f>MIN(1,MAX(VLOOKUP(($AJ45-$AI45-$AH45-$AG45-$AF45-$AE45*(1+GS$3))/$AJ45,'Технический лист'!$M:$N,2,1),(GR45-0.05)))</f>
        <v>0</v>
      </c>
      <c r="GT45" s="15">
        <f>MIN(1,MAX(VLOOKUP(($AJ45-$AI45-$AH45-$AG45-$AF45-$AE45*(1+GT$3))/$AJ45,'Технический лист'!$M:$N,2,1),(GS45-0.05)))</f>
        <v>0</v>
      </c>
      <c r="GU45" s="15">
        <f>MIN(1,MAX(VLOOKUP(($AJ45-$AI45-$AH45-$AG45-$AF45-$AE45*(1+GU$3))/$AJ45,'Технический лист'!$M:$N,2,1),(GT45-0.05)))</f>
        <v>0</v>
      </c>
      <c r="GV45" s="15">
        <f>MIN(1,MAX(VLOOKUP(($AJ45-$AI45-$AH45-$AG45-$AF45-$AE45*(1+GV$3))/$AJ45,'Технический лист'!$M:$N,2,1),(GU45-0.05)))</f>
        <v>0</v>
      </c>
      <c r="GW45" s="15">
        <f>MIN(1,MAX(VLOOKUP(($AJ45-$AI45-$AH45-$AG45-$AF45-$AE45*(1+GW$3))/$AJ45,'Технический лист'!$M:$N,2,1),(GV45-0.05)))</f>
        <v>0</v>
      </c>
      <c r="GX45" s="15">
        <f>MIN(1,MAX(VLOOKUP(($AJ45-$AI45-$AH45-$AG45-$AF45-$AE45*(1+GX$3))/$AJ45,'Технический лист'!$M:$N,2,1),(GW45-0.05)))</f>
        <v>0</v>
      </c>
      <c r="GY45" s="15">
        <f>MIN(1,MAX(VLOOKUP(($AJ45-$AI45-$AH45-$AG45-$AF45-$AE45*(1+GY$3))/$AJ45,'Технический лист'!$M:$N,2,1),(GX45-0.05)))</f>
        <v>0</v>
      </c>
      <c r="GZ45" s="15">
        <f>MIN(1,MAX(VLOOKUP(($AJ45-$AI45-$AH45-$AG45-$AF45-$AE45*(1+GZ$3))/$AJ45,'Технический лист'!$M:$N,2,1),(GY45-0.05)))</f>
        <v>0</v>
      </c>
      <c r="HA45" s="15">
        <f>MIN(1,MAX(VLOOKUP(($AJ45-$AI45-$AH45-$AG45-$AF45-$AE45*(1+HA$3))/$AJ45,'Технический лист'!$M:$N,2,1),(GZ45-0.05)))</f>
        <v>0</v>
      </c>
      <c r="HB45" s="15">
        <f>MIN(1,MAX(VLOOKUP(($AJ45-$AI45-$AH45-$AG45-$AF45-$AE45*(1+HB$3))/$AJ45,'Технический лист'!$M:$N,2,1),(HA45-0.05)))</f>
        <v>0</v>
      </c>
      <c r="HC45" s="15">
        <f>MIN(1,MAX(VLOOKUP(($AJ45-$AI45-$AH45-$AG45-$AF45-$AE45*(1+HC$3))/$AJ45,'Технический лист'!$M:$N,2,1),(HB45-0.05)))</f>
        <v>0</v>
      </c>
      <c r="HD45" s="15">
        <f>MIN(1,MAX(VLOOKUP(($AJ45-$AI45-$AH45-$AG45-$AF45-$AE45*(1+HD$3))/$AJ45,'Технический лист'!$M:$N,2,1),(HC45-0.05)))</f>
        <v>0</v>
      </c>
      <c r="HE45" s="15">
        <f>MIN(1,MAX(VLOOKUP(($AJ45-$AI45-$AH45-$AG45-$AF45-$AE45*(1+HE$3))/$AJ45,'Технический лист'!$M:$N,2,1),(HD45-0.05)))</f>
        <v>0</v>
      </c>
      <c r="HF45" s="15">
        <f>MIN(1,MAX(VLOOKUP(($AJ45-$AI45-$AH45-$AG45-$AF45-$AE45*(1+HF$3))/$AJ45,'Технический лист'!$M:$N,2,1),(HE45-0.05)))</f>
        <v>0</v>
      </c>
      <c r="HG45" s="15">
        <f>MIN(1,MAX(VLOOKUP(($AJ45-$AI45-$AH45-$AG45-$AF45-$AE45*(1+HG$3))/$AJ45,'Технический лист'!$M:$N,2,1),(HF45-0.05)))</f>
        <v>0</v>
      </c>
      <c r="HH45" s="15">
        <f>MIN(1,MAX(VLOOKUP(($AJ45-$AI45-$AH45-$AG45-$AF45-$AE45*(1+HH$3))/$AJ45,'Технический лист'!$M:$N,2,1),(HG45-0.05)))</f>
        <v>0</v>
      </c>
      <c r="HI45" s="15">
        <f>MIN(1,MAX(VLOOKUP(($AJ45-$AI45-$AH45-$AG45-$AF45-$AE45*(1+HI$3))/$AJ45,'Технический лист'!$M:$N,2,1),(HH45-0.05)))</f>
        <v>0</v>
      </c>
      <c r="HJ45" s="15">
        <f>MIN(1,MAX(VLOOKUP(($AJ45-$AI45-$AH45-$AG45-$AF45-$AE45*(1+HJ$3))/$AJ45,'Технический лист'!$M:$N,2,1),(HI45-0.05)))</f>
        <v>0</v>
      </c>
      <c r="HK45" s="15">
        <f>MIN(1,MAX(VLOOKUP(($AJ45-$AI45-$AH45-$AG45-$AF45-$AE45*(1+HK$3))/$AJ45,'Технический лист'!$M:$N,2,1),(HJ45-0.05)))</f>
        <v>0</v>
      </c>
      <c r="HL45" s="15">
        <f>MIN(1,MAX(VLOOKUP(($AJ45-$AI45-$AH45-$AG45-$AF45-$AE45*(1+HL$3))/$AJ45,'Технический лист'!$M:$N,2,1),(HK45-0.05)))</f>
        <v>0</v>
      </c>
      <c r="HM45" s="15">
        <f>MIN(1,MAX(VLOOKUP(($AJ45-$AI45-$AH45-$AG45-$AF45-$AE45*(1+HM$3))/$AJ45,'Технический лист'!$M:$N,2,1),(HL45-0.05)))</f>
        <v>0</v>
      </c>
      <c r="HN45" s="15">
        <f>MIN(1,MAX(VLOOKUP(($AJ45-$AI45-$AH45-$AG45-$AF45-$AE45*(1+HN$3))/$AJ45,'Технический лист'!$M:$N,2,1),(HM45-0.05)))</f>
        <v>0</v>
      </c>
      <c r="HO45" s="15">
        <f>MIN(1,MAX(VLOOKUP(($AJ45-$AI45-$AH45-$AG45-$AF45-$AE45*(1+HO$3))/$AJ45,'Технический лист'!$M:$N,2,1),(HN45-0.05)))</f>
        <v>0</v>
      </c>
      <c r="HP45" s="15">
        <f>MIN(1,MAX(VLOOKUP(($AJ45-$AI45-$AH45-$AG45-$AF45-$AE45*(1+HP$3))/$AJ45,'Технический лист'!$M:$N,2,1),(HO45-0.05)))</f>
        <v>0</v>
      </c>
      <c r="HQ45" s="15">
        <f>MIN(1,MAX(VLOOKUP(($AJ45-$AI45-$AH45-$AG45-$AF45-$AE45*(1+HQ$3))/$AJ45,'Технический лист'!$M:$N,2,1),(HP45-0.05)))</f>
        <v>0</v>
      </c>
      <c r="HR45" s="15">
        <f>MIN(1,MAX(VLOOKUP(($AJ45-$AI45-$AH45-$AG45-$AF45-$AE45*(1+HR$3))/$AJ45,'Технический лист'!$M:$N,2,1),(HQ45-0.05)))</f>
        <v>0</v>
      </c>
      <c r="HS45" s="15">
        <f>MIN(1,MAX(VLOOKUP(($AJ45-$AI45-$AH45-$AG45-$AF45-$AE45*(1+HS$3))/$AJ45,'Технический лист'!$M:$N,2,1),(HR45-0.05)))</f>
        <v>0</v>
      </c>
      <c r="HT45" s="15">
        <f>MIN(1,MAX(VLOOKUP(($AJ45-$AI45-$AH45-$AG45-$AF45-$AE45*(1+HT$3))/$AJ45,'Технический лист'!$M:$N,2,1),(HS45-0.05)))</f>
        <v>0</v>
      </c>
      <c r="HU45" s="15">
        <f>MIN(1,MAX(VLOOKUP(($AJ45-$AI45-$AH45-$AG45-$AF45-$AE45*(1+HU$3))/$AJ45,'Технический лист'!$M:$N,2,1),(HT45-0.05)))</f>
        <v>0</v>
      </c>
      <c r="HV45" s="15">
        <f>MIN(1,MAX(VLOOKUP(($AJ45-$AI45-$AH45-$AG45-$AF45-$AE45*(1+HV$3))/$AJ45,'Технический лист'!$M:$N,2,1),(HU45-0.05)))</f>
        <v>0</v>
      </c>
      <c r="HW45" s="15">
        <f>MIN(1,MAX(VLOOKUP(($AJ45-$AI45-$AH45-$AG45-$AF45-$AE45*(1+HW$3))/$AJ45,'Технический лист'!$M:$N,2,1),(HV45-0.05)))</f>
        <v>0</v>
      </c>
      <c r="HX45" s="15">
        <f>MIN(1,MAX(VLOOKUP(($AJ45-$AI45-$AH45-$AG45-$AF45-$AE45*(1+HX$3))/$AJ45,'Технический лист'!$M:$N,2,1),(HW45-0.05)))</f>
        <v>0</v>
      </c>
      <c r="HY45" s="15">
        <f>MIN(1,MAX(VLOOKUP(($AJ45-$AI45-$AH45-$AG45-$AF45-$AE45*(1+HY$3))/$AJ45,'Технический лист'!$M:$N,2,1),(HX45-0.05)))</f>
        <v>0</v>
      </c>
      <c r="HZ45" s="15">
        <f>MIN(1,MAX(VLOOKUP(($AJ45-$AI45-$AH45-$AG45-$AF45-$AE45*(1+HZ$3))/$AJ45,'Технический лист'!$M:$N,2,1),(HY45-0.05)))</f>
        <v>0</v>
      </c>
      <c r="IA45" s="15">
        <f>MIN(1,MAX(VLOOKUP(($AJ45-$AI45-$AH45-$AG45-$AF45-$AE45*(1+IA$3))/$AJ45,'Технический лист'!$M:$N,2,1),(HZ45-0.05)))</f>
        <v>0</v>
      </c>
      <c r="IB45" s="15">
        <f>MIN(1,MAX(VLOOKUP(($AJ45-$AI45-$AH45-$AG45-$AF45-$AE45*(1+IB$3))/$AJ45,'Технический лист'!$M:$N,2,1),(IA45-0.05)))</f>
        <v>0</v>
      </c>
      <c r="IC45" s="15">
        <f>MIN(1,MAX(VLOOKUP(($AJ45-$AI45-$AH45-$AG45-$AF45-$AE45*(1+IC$3))/$AJ45,'Технический лист'!$M:$N,2,1),(IB45-0.05)))</f>
        <v>0</v>
      </c>
      <c r="ID45" s="15">
        <f>MIN(1,MAX(VLOOKUP(($AJ45-$AI45-$AH45-$AG45-$AF45-$AE45*(1+ID$3))/$AJ45,'Технический лист'!$M:$N,2,1),(IC45-0.05)))</f>
        <v>0</v>
      </c>
      <c r="IE45" s="15">
        <f>MIN(1,MAX(VLOOKUP(($AJ45-$AI45-$AH45-$AG45-$AF45-$AE45*(1+IE$3))/$AJ45,'Технический лист'!$M:$N,2,1),(ID45-0.05)))</f>
        <v>0</v>
      </c>
      <c r="IF45" s="15">
        <f>MIN(1,MAX(VLOOKUP(($AJ45-$AI45-$AH45-$AG45-$AF45-$AE45*(1+IF$3))/$AJ45,'Технический лист'!$M:$N,2,1),(IE45-0.05)))</f>
        <v>0</v>
      </c>
      <c r="IG45" s="15">
        <f>MIN(1,MAX(VLOOKUP(($AJ45-$AI45-$AH45-$AG45-$AF45-$AE45*(1+IG$3))/$AJ45,'Технический лист'!$M:$N,2,1),(IF45-0.05)))</f>
        <v>0</v>
      </c>
      <c r="IH45" s="15">
        <f>MIN(1,MAX(VLOOKUP(($AJ45-$AI45-$AH45-$AG45-$AF45-$AE45*(1+IH$3))/$AJ45,'Технический лист'!$M:$N,2,1),(IG45-0.05)))</f>
        <v>0</v>
      </c>
      <c r="II45" s="15">
        <f>MIN(1,MAX(VLOOKUP(($AJ45-$AI45-$AH45-$AG45-$AF45-$AE45*(1+II$3))/$AJ45,'Технический лист'!$M:$N,2,1),(IH45-0.05)))</f>
        <v>0</v>
      </c>
      <c r="IJ45" s="15">
        <f>MIN(1,MAX(VLOOKUP(($AJ45-$AI45-$AH45-$AG45-$AF45-$AE45*(1+IJ$3))/$AJ45,'Технический лист'!$M:$N,2,1),(II45-0.05)))</f>
        <v>0</v>
      </c>
      <c r="IK45" s="15">
        <f>MIN(1,MAX(VLOOKUP(($AJ45-$AI45-$AH45-$AG45-$AF45-$AE45*(1+IK$3))/$AJ45,'Технический лист'!$M:$N,2,1),(IJ45-0.05)))</f>
        <v>0</v>
      </c>
      <c r="IL45" s="15">
        <f>MIN(1,MAX(VLOOKUP(($AJ45-$AI45-$AH45-$AG45-$AF45-$AE45*(1+IL$3))/$AJ45,'Технический лист'!$M:$N,2,1),(IK45-0.05)))</f>
        <v>0</v>
      </c>
      <c r="IM45" s="15">
        <f>MIN(1,MAX(VLOOKUP(($AJ45-$AI45-$AH45-$AG45-$AF45-$AE45*(1+IM$3))/$AJ45,'Технический лист'!$M:$N,2,1),(IL45-0.05)))</f>
        <v>0</v>
      </c>
      <c r="IN45" s="15">
        <f>MIN(1,MAX(VLOOKUP(($AJ45-$AI45-$AH45-$AG45-$AF45-$AE45*(1+IN$3))/$AJ45,'Технический лист'!$M:$N,2,1),(IM45-0.05)))</f>
        <v>0</v>
      </c>
      <c r="IO45" s="15">
        <f>MIN(1,MAX(VLOOKUP(($AJ45-$AI45-$AH45-$AG45-$AF45-$AE45*(1+IO$3))/$AJ45,'Технический лист'!$M:$N,2,1),(IN45-0.05)))</f>
        <v>0</v>
      </c>
      <c r="IP45" s="15">
        <f>MIN(1,MAX(VLOOKUP(($AJ45-$AI45-$AH45-$AG45-$AF45-$AE45*(1+IP$3))/$AJ45,'Технический лист'!$M:$N,2,1),(IO45-0.05)))</f>
        <v>0</v>
      </c>
      <c r="IQ45" s="15">
        <f>MIN(1,MAX(VLOOKUP(($AJ45-$AI45-$AH45-$AG45-$AF45-$AE45*(1+IQ$3))/$AJ45,'Технический лист'!$M:$N,2,1),(IP45-0.05)))</f>
        <v>0</v>
      </c>
      <c r="IR45" s="15">
        <f>MIN(1,MAX(VLOOKUP(($AJ45-$AI45-$AH45-$AG45-$AF45-$AE45*(1+IR$3))/$AJ45,'Технический лист'!$M:$N,2,1),(IQ45-0.05)))</f>
        <v>0</v>
      </c>
    </row>
    <row r="46" spans="1:252">
      <c r="A46" s="89" t="s">
        <v>514</v>
      </c>
      <c r="B46" s="90">
        <v>4</v>
      </c>
      <c r="C46" s="5" t="s">
        <v>67</v>
      </c>
      <c r="D46" s="91">
        <v>14111</v>
      </c>
      <c r="E46" s="91" t="s">
        <v>336</v>
      </c>
      <c r="F46" s="92" t="s">
        <v>74</v>
      </c>
      <c r="G46" s="91" t="s">
        <v>50</v>
      </c>
      <c r="H46" s="91" t="s">
        <v>22</v>
      </c>
      <c r="I46" s="91" t="s">
        <v>86</v>
      </c>
      <c r="J46" s="91" t="s">
        <v>53</v>
      </c>
      <c r="K46" s="91">
        <v>2431</v>
      </c>
      <c r="L46" s="85" t="s">
        <v>64</v>
      </c>
      <c r="M46" s="91" t="s">
        <v>190</v>
      </c>
      <c r="N46" s="91" t="s">
        <v>191</v>
      </c>
      <c r="O46" s="91" t="s">
        <v>193</v>
      </c>
      <c r="P46" s="89" t="s">
        <v>217</v>
      </c>
      <c r="Q46" s="91" t="s">
        <v>284</v>
      </c>
      <c r="R46" s="91" t="s">
        <v>251</v>
      </c>
      <c r="S46" s="82">
        <v>4479</v>
      </c>
      <c r="T46" s="82">
        <v>10889078</v>
      </c>
      <c r="U46" s="81">
        <v>63</v>
      </c>
      <c r="V46" s="81">
        <v>0</v>
      </c>
      <c r="W46" s="82">
        <v>3850806</v>
      </c>
      <c r="X46" s="112">
        <v>75</v>
      </c>
      <c r="Y46" s="112" t="s">
        <v>418</v>
      </c>
      <c r="Z46" s="113">
        <v>5</v>
      </c>
      <c r="AA46" s="113">
        <v>5</v>
      </c>
      <c r="AB46" s="113">
        <v>4</v>
      </c>
      <c r="AC46" s="99">
        <v>889.52</v>
      </c>
      <c r="AD46" s="99">
        <f t="shared" si="15"/>
        <v>494.21000000000004</v>
      </c>
      <c r="AE46" s="99">
        <v>1383.73</v>
      </c>
      <c r="AF46" s="98">
        <f>(Z46+AA46+AB46)*'Ставки аренды'!$B$2/X46</f>
        <v>186.66666666666666</v>
      </c>
      <c r="AG46" s="114">
        <v>0</v>
      </c>
      <c r="AH46" s="94">
        <v>0</v>
      </c>
      <c r="AI46" s="115">
        <f>0.71*AVERAGE(AJ43,AJ44)</f>
        <v>4920.1106074999989</v>
      </c>
      <c r="AJ46" s="117">
        <f>Цены!$D$12</f>
        <v>6000</v>
      </c>
      <c r="AK46" s="94">
        <f>AJ46/Цены!$B$1</f>
        <v>78.631291322381742</v>
      </c>
      <c r="AL46" s="95">
        <f t="shared" si="5"/>
        <v>1570.3966666666668</v>
      </c>
      <c r="AM46" s="95">
        <f t="shared" si="6"/>
        <v>4429.6033333333335</v>
      </c>
      <c r="AN46" s="94">
        <f t="shared" si="16"/>
        <v>6490.5072741666663</v>
      </c>
      <c r="AO46" s="118">
        <f t="shared" si="17"/>
        <v>-8.1751212361111047E-2</v>
      </c>
      <c r="AP46" s="96">
        <f t="shared" si="7"/>
        <v>0.26173277777777781</v>
      </c>
      <c r="AQ46" s="96">
        <f t="shared" si="8"/>
        <v>0.23062166666666667</v>
      </c>
      <c r="AR46" s="96">
        <f t="shared" si="9"/>
        <v>0.88113406591540566</v>
      </c>
      <c r="AS46" s="122">
        <v>1</v>
      </c>
      <c r="AT46" s="121">
        <f t="shared" si="10"/>
        <v>4479</v>
      </c>
      <c r="AU46" s="83">
        <v>0.85</v>
      </c>
      <c r="AV46" s="119">
        <f t="shared" si="11"/>
        <v>-0.10942581236111103</v>
      </c>
      <c r="AW46" s="120">
        <f t="shared" si="12"/>
        <v>0.28940737777777781</v>
      </c>
      <c r="AX46" s="120">
        <f t="shared" si="13"/>
        <v>0.25829626666666666</v>
      </c>
      <c r="AY46" s="120">
        <f t="shared" si="14"/>
        <v>0.89250062887132109</v>
      </c>
      <c r="AZ46" s="15">
        <f>MIN(IF($AU46=100%,1,1+VLOOKUP(($AJ46-$AI46-$AH46-$AG46-$AF46-$AE46*(1+AZ$3))/$AJ46,'Технический лист'!$M:$N,2,1)-VLOOKUP($AO46,'Технический лист'!$M:$N,2,1)),1+(1-$AU46))</f>
        <v>1.1349999999999996</v>
      </c>
      <c r="BA46" s="15">
        <f>MIN(IF($AU46=100%,1,1+VLOOKUP(($AJ46-$AI46-$AH46-$AG46-$AF46-$AE46*(1+BA$3))/$AJ46,'Технический лист'!$M:$N,2,1)-VLOOKUP($AO46,'Технический лист'!$M:$N,2,1)),1+(1-$AU46))</f>
        <v>1.1349999999999996</v>
      </c>
      <c r="BB46" s="15">
        <f>MIN(IF($AU46=100%,1,1+VLOOKUP(($AJ46-$AI46-$AH46-$AG46-$AF46-$AE46*(1+BB$3))/$AJ46,'Технический лист'!$M:$N,2,1)-VLOOKUP($AO46,'Технический лист'!$M:$N,2,1)),1+(1-$AU46))</f>
        <v>1.1349999999999996</v>
      </c>
      <c r="BC46" s="15">
        <f>MIN(IF($AU46=100%,1,1+VLOOKUP(($AJ46-$AI46-$AH46-$AG46-$AF46-$AE46*(1+BC$3))/$AJ46,'Технический лист'!$M:$N,2,1)-VLOOKUP($AO46,'Технический лист'!$M:$N,2,1)),1+(1-$AU46))</f>
        <v>1.1349999999999996</v>
      </c>
      <c r="BD46" s="15">
        <f>MIN(IF($AU46=100%,1,1+VLOOKUP(($AJ46-$AI46-$AH46-$AG46-$AF46-$AE46*(1+BD$3))/$AJ46,'Технический лист'!$M:$N,2,1)-VLOOKUP($AO46,'Технический лист'!$M:$N,2,1)),1+(1-$AU46))</f>
        <v>1.1299999999999997</v>
      </c>
      <c r="BE46" s="15">
        <f>MIN(IF($AU46=100%,1,1+VLOOKUP(($AJ46-$AI46-$AH46-$AG46-$AF46-$AE46*(1+BE$3))/$AJ46,'Технический лист'!$M:$N,2,1)-VLOOKUP($AO46,'Технический лист'!$M:$N,2,1)),1+(1-$AU46))</f>
        <v>1.1299999999999997</v>
      </c>
      <c r="BF46" s="15">
        <f>MIN(IF($AU46=100%,1,1+VLOOKUP(($AJ46-$AI46-$AH46-$AG46-$AF46-$AE46*(1+BF$3))/$AJ46,'Технический лист'!$M:$N,2,1)-VLOOKUP($AO46,'Технический лист'!$M:$N,2,1)),1+(1-$AU46))</f>
        <v>1.1299999999999997</v>
      </c>
      <c r="BG46" s="15">
        <f>MIN(IF($AU46=100%,1,1+VLOOKUP(($AJ46-$AI46-$AH46-$AG46-$AF46-$AE46*(1+BG$3))/$AJ46,'Технический лист'!$M:$N,2,1)-VLOOKUP($AO46,'Технический лист'!$M:$N,2,1)),1+(1-$AU46))</f>
        <v>1.1299999999999997</v>
      </c>
      <c r="BH46" s="15">
        <f>MIN(IF($AU46=100%,1,1+VLOOKUP(($AJ46-$AI46-$AH46-$AG46-$AF46-$AE46*(1+BH$3))/$AJ46,'Технический лист'!$M:$N,2,1)-VLOOKUP($AO46,'Технический лист'!$M:$N,2,1)),1+(1-$AU46))</f>
        <v>1.1249999999999998</v>
      </c>
      <c r="BI46" s="15">
        <f>MIN(IF($AU46=100%,1,1+VLOOKUP(($AJ46-$AI46-$AH46-$AG46-$AF46-$AE46*(1+BI$3))/$AJ46,'Технический лист'!$M:$N,2,1)-VLOOKUP($AO46,'Технический лист'!$M:$N,2,1)),1+(1-$AU46))</f>
        <v>1.1249999999999998</v>
      </c>
      <c r="BJ46" s="15">
        <f>MIN(IF($AU46=100%,1,1+VLOOKUP(($AJ46-$AI46-$AH46-$AG46-$AF46-$AE46*(1+BJ$3))/$AJ46,'Технический лист'!$M:$N,2,1)-VLOOKUP($AO46,'Технический лист'!$M:$N,2,1)),1+(1-$AU46))</f>
        <v>1.1249999999999998</v>
      </c>
      <c r="BK46" s="15">
        <f>MIN(IF($AU46=100%,1,1+VLOOKUP(($AJ46-$AI46-$AH46-$AG46-$AF46-$AE46*(1+BK$3))/$AJ46,'Технический лист'!$M:$N,2,1)-VLOOKUP($AO46,'Технический лист'!$M:$N,2,1)),1+(1-$AU46))</f>
        <v>1.1249999999999998</v>
      </c>
      <c r="BL46" s="15">
        <f>MIN(IF($AU46=100%,1,1+VLOOKUP(($AJ46-$AI46-$AH46-$AG46-$AF46-$AE46*(1+BL$3))/$AJ46,'Технический лист'!$M:$N,2,1)-VLOOKUP($AO46,'Технический лист'!$M:$N,2,1)),1+(1-$AU46))</f>
        <v>1.1199999999999999</v>
      </c>
      <c r="BM46" s="15">
        <f>MIN(IF($AU46=100%,1,1+VLOOKUP(($AJ46-$AI46-$AH46-$AG46-$AF46-$AE46*(1+BM$3))/$AJ46,'Технический лист'!$M:$N,2,1)-VLOOKUP($AO46,'Технический лист'!$M:$N,2,1)),1+(1-$AU46))</f>
        <v>1.1199999999999999</v>
      </c>
      <c r="BN46" s="15">
        <f>MIN(IF($AU46=100%,1,1+VLOOKUP(($AJ46-$AI46-$AH46-$AG46-$AF46-$AE46*(1+BN$3))/$AJ46,'Технический лист'!$M:$N,2,1)-VLOOKUP($AO46,'Технический лист'!$M:$N,2,1)),1+(1-$AU46))</f>
        <v>1.1199999999999999</v>
      </c>
      <c r="BO46" s="15">
        <f>MIN(IF($AU46=100%,1,1+VLOOKUP(($AJ46-$AI46-$AH46-$AG46-$AF46-$AE46*(1+BO$3))/$AJ46,'Технический лист'!$M:$N,2,1)-VLOOKUP($AO46,'Технический лист'!$M:$N,2,1)),1+(1-$AU46))</f>
        <v>1.1199999999999999</v>
      </c>
      <c r="BP46" s="15">
        <f>MIN(IF($AU46=100%,1,1+VLOOKUP(($AJ46-$AI46-$AH46-$AG46-$AF46-$AE46*(1+BP$3))/$AJ46,'Технический лист'!$M:$N,2,1)-VLOOKUP($AO46,'Технический лист'!$M:$N,2,1)),1+(1-$AU46))</f>
        <v>1.1199999999999999</v>
      </c>
      <c r="BQ46" s="15">
        <f>MIN(IF($AU46=100%,1,1+VLOOKUP(($AJ46-$AI46-$AH46-$AG46-$AF46-$AE46*(1+BQ$3))/$AJ46,'Технический лист'!$M:$N,2,1)-VLOOKUP($AO46,'Технический лист'!$M:$N,2,1)),1+(1-$AU46))</f>
        <v>1.115</v>
      </c>
      <c r="BR46" s="15">
        <f>MIN(IF($AU46=100%,1,1+VLOOKUP(($AJ46-$AI46-$AH46-$AG46-$AF46-$AE46*(1+BR$3))/$AJ46,'Технический лист'!$M:$N,2,1)-VLOOKUP($AO46,'Технический лист'!$M:$N,2,1)),1+(1-$AU46))</f>
        <v>1.115</v>
      </c>
      <c r="BS46" s="15">
        <f>MIN(IF($AU46=100%,1,1+VLOOKUP(($AJ46-$AI46-$AH46-$AG46-$AF46-$AE46*(1+BS$3))/$AJ46,'Технический лист'!$M:$N,2,1)-VLOOKUP($AO46,'Технический лист'!$M:$N,2,1)),1+(1-$AU46))</f>
        <v>1.115</v>
      </c>
      <c r="BT46" s="15">
        <f>MIN(IF($AU46=100%,1,1+VLOOKUP(($AJ46-$AI46-$AH46-$AG46-$AF46-$AE46*(1+BT$3))/$AJ46,'Технический лист'!$M:$N,2,1)-VLOOKUP($AO46,'Технический лист'!$M:$N,2,1)),1+(1-$AU46))</f>
        <v>1.115</v>
      </c>
      <c r="BU46" s="15">
        <f>MIN(IF($AU46=100%,1,1+VLOOKUP(($AJ46-$AI46-$AH46-$AG46-$AF46-$AE46*(1+BU$3))/$AJ46,'Технический лист'!$M:$N,2,1)-VLOOKUP($AO46,'Технический лист'!$M:$N,2,1)),1+(1-$AU46))</f>
        <v>1.115</v>
      </c>
      <c r="BV46" s="15">
        <f>MIN(IF($AU46=100%,1,1+VLOOKUP(($AJ46-$AI46-$AH46-$AG46-$AF46-$AE46*(1+BV$3))/$AJ46,'Технический лист'!$M:$N,2,1)-VLOOKUP($AO46,'Технический лист'!$M:$N,2,1)),1+(1-$AU46))</f>
        <v>1.115</v>
      </c>
      <c r="BW46" s="15">
        <f>MIN(IF($AU46=100%,1,1+VLOOKUP(($AJ46-$AI46-$AH46-$AG46-$AF46-$AE46*(1+BW$3))/$AJ46,'Технический лист'!$M:$N,2,1)-VLOOKUP($AO46,'Технический лист'!$M:$N,2,1)),1+(1-$AU46))</f>
        <v>1.115</v>
      </c>
      <c r="BX46" s="15">
        <f>MIN(IF($AU46=100%,1,1+VLOOKUP(($AJ46-$AI46-$AH46-$AG46-$AF46-$AE46*(1+BX$3))/$AJ46,'Технический лист'!$M:$N,2,1)-VLOOKUP($AO46,'Технический лист'!$M:$N,2,1)),1+(1-$AU46))</f>
        <v>1.115</v>
      </c>
      <c r="BY46" s="15">
        <f>MIN(IF($AU46=100%,1,1+VLOOKUP(($AJ46-$AI46-$AH46-$AG46-$AF46-$AE46*(1+BY$3))/$AJ46,'Технический лист'!$M:$N,2,1)-VLOOKUP($AO46,'Технический лист'!$M:$N,2,1)),1+(1-$AU46))</f>
        <v>1.115</v>
      </c>
      <c r="BZ46" s="15">
        <f>MIN(IF($AU46=100%,1,1+VLOOKUP(($AJ46-$AI46-$AH46-$AG46-$AF46-$AE46*(1+BZ$3))/$AJ46,'Технический лист'!$M:$N,2,1)-VLOOKUP($AO46,'Технический лист'!$M:$N,2,1)),1+(1-$AU46))</f>
        <v>1.115</v>
      </c>
      <c r="CA46" s="15">
        <f>MIN(IF($AU46=100%,1,1+VLOOKUP(($AJ46-$AI46-$AH46-$AG46-$AF46-$AE46*(1+CA$3))/$AJ46,'Технический лист'!$M:$N,2,1)-VLOOKUP($AO46,'Технический лист'!$M:$N,2,1)),1+(1-$AU46))</f>
        <v>1.115</v>
      </c>
      <c r="CB46" s="15">
        <f>MIN(IF($AU46=100%,1,1+VLOOKUP(($AJ46-$AI46-$AH46-$AG46-$AF46-$AE46*(1+CB$3))/$AJ46,'Технический лист'!$M:$N,2,1)-VLOOKUP($AO46,'Технический лист'!$M:$N,2,1)),1+(1-$AU46))</f>
        <v>1.115</v>
      </c>
      <c r="CC46" s="15">
        <f>MIN(IF($AU46=100%,1,1+VLOOKUP(($AJ46-$AI46-$AH46-$AG46-$AF46-$AE46*(1+CC$3))/$AJ46,'Технический лист'!$M:$N,2,1)-VLOOKUP($AO46,'Технический лист'!$M:$N,2,1)),1+(1-$AU46))</f>
        <v>1.115</v>
      </c>
      <c r="CD46" s="15">
        <f>MIN(IF($AU46=100%,1,1+VLOOKUP(($AJ46-$AI46-$AH46-$AG46-$AF46-$AE46*(1+CD$3))/$AJ46,'Технический лист'!$M:$N,2,1)-VLOOKUP($AO46,'Технический лист'!$M:$N,2,1)),1+(1-$AU46))</f>
        <v>1.115</v>
      </c>
      <c r="CE46" s="15">
        <f>MIN(IF($AU46=100%,1,1+VLOOKUP(($AJ46-$AI46-$AH46-$AG46-$AF46-$AE46*(1+CE$3))/$AJ46,'Технический лист'!$M:$N,2,1)-VLOOKUP($AO46,'Технический лист'!$M:$N,2,1)),1+(1-$AU46))</f>
        <v>1.115</v>
      </c>
      <c r="CF46" s="15">
        <f>MIN(IF($AU46=100%,1,1+VLOOKUP(($AJ46-$AI46-$AH46-$AG46-$AF46-$AE46*(1+CF$3))/$AJ46,'Технический лист'!$M:$N,2,1)-VLOOKUP($AO46,'Технический лист'!$M:$N,2,1)),1+(1-$AU46))</f>
        <v>1.115</v>
      </c>
      <c r="CG46" s="15">
        <f>MIN(IF($AU46=100%,1,1+VLOOKUP(($AJ46-$AI46-$AH46-$AG46-$AF46-$AE46*(1+CG$3))/$AJ46,'Технический лист'!$M:$N,2,1)-VLOOKUP($AO46,'Технический лист'!$M:$N,2,1)),1+(1-$AU46))</f>
        <v>1.115</v>
      </c>
      <c r="CH46" s="15">
        <f>MIN(IF($AU46=100%,1,1+VLOOKUP(($AJ46-$AI46-$AH46-$AG46-$AF46-$AE46*(1+CH$3))/$AJ46,'Технический лист'!$M:$N,2,1)-VLOOKUP($AO46,'Технический лист'!$M:$N,2,1)),1+(1-$AU46))</f>
        <v>1.115</v>
      </c>
      <c r="CI46" s="15">
        <f>MIN(IF($AU46=100%,1,1+VLOOKUP(($AJ46-$AI46-$AH46-$AG46-$AF46-$AE46*(1+CI$3))/$AJ46,'Технический лист'!$M:$N,2,1)-VLOOKUP($AO46,'Технический лист'!$M:$N,2,1)),1+(1-$AU46))</f>
        <v>1.115</v>
      </c>
      <c r="CJ46" s="15">
        <f>MIN(IF($AU46=100%,1,1+VLOOKUP(($AJ46-$AI46-$AH46-$AG46-$AF46-$AE46*(1+CJ$3))/$AJ46,'Технический лист'!$M:$N,2,1)-VLOOKUP($AO46,'Технический лист'!$M:$N,2,1)),1+(1-$AU46))</f>
        <v>1.115</v>
      </c>
      <c r="CK46" s="15">
        <f>MIN(IF($AU46=100%,1,1+VLOOKUP(($AJ46-$AI46-$AH46-$AG46-$AF46-$AE46*(1+CK$3))/$AJ46,'Технический лист'!$M:$N,2,1)-VLOOKUP($AO46,'Технический лист'!$M:$N,2,1)),1+(1-$AU46))</f>
        <v>1.115</v>
      </c>
      <c r="CL46" s="15">
        <f>MIN(IF($AU46=100%,1,1+VLOOKUP(($AJ46-$AI46-$AH46-$AG46-$AF46-$AE46*(1+CL$3))/$AJ46,'Технический лист'!$M:$N,2,1)-VLOOKUP($AO46,'Технический лист'!$M:$N,2,1)),1+(1-$AU46))</f>
        <v>1.1100000000000001</v>
      </c>
      <c r="CM46" s="15">
        <f>MIN(IF($AU46=100%,1,1+VLOOKUP(($AJ46-$AI46-$AH46-$AG46-$AF46-$AE46*(1+CM$3))/$AJ46,'Технический лист'!$M:$N,2,1)-VLOOKUP($AO46,'Технический лист'!$M:$N,2,1)),1+(1-$AU46))</f>
        <v>1.1100000000000001</v>
      </c>
      <c r="CN46" s="15">
        <f>MIN(IF($AU46=100%,1,1+VLOOKUP(($AJ46-$AI46-$AH46-$AG46-$AF46-$AE46*(1+CN$3))/$AJ46,'Технический лист'!$M:$N,2,1)-VLOOKUP($AO46,'Технический лист'!$M:$N,2,1)),1+(1-$AU46))</f>
        <v>1.1100000000000001</v>
      </c>
      <c r="CO46" s="15">
        <f>MIN(IF($AU46=100%,1,1+VLOOKUP(($AJ46-$AI46-$AH46-$AG46-$AF46-$AE46*(1+CO$3))/$AJ46,'Технический лист'!$M:$N,2,1)-VLOOKUP($AO46,'Технический лист'!$M:$N,2,1)),1+(1-$AU46))</f>
        <v>1.1100000000000001</v>
      </c>
      <c r="CP46" s="15">
        <f>MIN(IF($AU46=100%,1,1+VLOOKUP(($AJ46-$AI46-$AH46-$AG46-$AF46-$AE46*(1+CP$3))/$AJ46,'Технический лист'!$M:$N,2,1)-VLOOKUP($AO46,'Технический лист'!$M:$N,2,1)),1+(1-$AU46))</f>
        <v>1.1100000000000001</v>
      </c>
      <c r="CQ46" s="15">
        <f>MIN(IF($AU46=100%,1,1+VLOOKUP(($AJ46-$AI46-$AH46-$AG46-$AF46-$AE46*(1+CQ$3))/$AJ46,'Технический лист'!$M:$N,2,1)-VLOOKUP($AO46,'Технический лист'!$M:$N,2,1)),1+(1-$AU46))</f>
        <v>1.105</v>
      </c>
      <c r="CR46" s="15">
        <f>MIN(IF($AU46=100%,1,1+VLOOKUP(($AJ46-$AI46-$AH46-$AG46-$AF46-$AE46*(1+CR$3))/$AJ46,'Технический лист'!$M:$N,2,1)-VLOOKUP($AO46,'Технический лист'!$M:$N,2,1)),1+(1-$AU46))</f>
        <v>1.105</v>
      </c>
      <c r="CS46" s="15">
        <f>MIN(IF($AU46=100%,1,1+VLOOKUP(($AJ46-$AI46-$AH46-$AG46-$AF46-$AE46*(1+CS$3))/$AJ46,'Технический лист'!$M:$N,2,1)-VLOOKUP($AO46,'Технический лист'!$M:$N,2,1)),1+(1-$AU46))</f>
        <v>1.105</v>
      </c>
      <c r="CT46" s="15">
        <f>MIN(IF($AU46=100%,1,1+VLOOKUP(($AJ46-$AI46-$AH46-$AG46-$AF46-$AE46*(1+CT$3))/$AJ46,'Технический лист'!$M:$N,2,1)-VLOOKUP($AO46,'Технический лист'!$M:$N,2,1)),1+(1-$AU46))</f>
        <v>1.105</v>
      </c>
      <c r="CU46" s="15">
        <f>MIN(IF($AU46=100%,1,1+VLOOKUP(($AJ46-$AI46-$AH46-$AG46-$AF46-$AE46*(1+CU$3))/$AJ46,'Технический лист'!$M:$N,2,1)-VLOOKUP($AO46,'Технический лист'!$M:$N,2,1)),1+(1-$AU46))</f>
        <v>1.0999999999999999</v>
      </c>
      <c r="CV46" s="15">
        <f>MIN(IF($AU46=100%,1,1+VLOOKUP(($AJ46-$AI46-$AH46-$AG46-$AF46-$AE46*(1+CV$3))/$AJ46,'Технический лист'!$M:$N,2,1)-VLOOKUP($AO46,'Технический лист'!$M:$N,2,1)),1+(1-$AU46))</f>
        <v>1.0999999999999999</v>
      </c>
      <c r="CW46" s="15">
        <f>MIN(IF($AU46=100%,1,1+VLOOKUP(($AJ46-$AI46-$AH46-$AG46-$AF46-$AE46*(1+CW$3))/$AJ46,'Технический лист'!$M:$N,2,1)-VLOOKUP($AO46,'Технический лист'!$M:$N,2,1)),1+(1-$AU46))</f>
        <v>1.0999999999999999</v>
      </c>
      <c r="CX46" s="15">
        <f>MIN(IF($AU46=100%,1,1+VLOOKUP(($AJ46-$AI46-$AH46-$AG46-$AF46-$AE46*(1+CX$3))/$AJ46,'Технический лист'!$M:$N,2,1)-VLOOKUP($AO46,'Технический лист'!$M:$N,2,1)),1+(1-$AU46))</f>
        <v>1.0999999999999999</v>
      </c>
      <c r="CY46" s="15">
        <f>MIN(IF($AU46=100%,1,1+VLOOKUP(($AJ46-$AI46-$AH46-$AG46-$AF46-$AE46*(1+CY$3))/$AJ46,'Технический лист'!$M:$N,2,1)-VLOOKUP($AO46,'Технический лист'!$M:$N,2,1)),1+(1-$AU46))</f>
        <v>1.095</v>
      </c>
      <c r="CZ46" s="15">
        <f>MIN(IF($AU46=100%,1,1+VLOOKUP(($AJ46-$AI46-$AH46-$AG46-$AF46-$AE46*(1+CZ$3))/$AJ46,'Технический лист'!$M:$N,2,1)-VLOOKUP($AO46,'Технический лист'!$M:$N,2,1)),1+(1-$AU46))</f>
        <v>1.095</v>
      </c>
      <c r="DA46" s="15">
        <f>MIN(IF($AU46=100%,1,1+VLOOKUP(($AJ46-$AI46-$AH46-$AG46-$AF46-$AE46*(1+DA$3))/$AJ46,'Технический лист'!$M:$N,2,1)-VLOOKUP($AO46,'Технический лист'!$M:$N,2,1)),1+(1-$AU46))</f>
        <v>1.095</v>
      </c>
      <c r="DB46" s="15">
        <f>MIN(IF($AU46=100%,1,1+VLOOKUP(($AJ46-$AI46-$AH46-$AG46-$AF46-$AE46*(1+DB$3))/$AJ46,'Технический лист'!$M:$N,2,1)-VLOOKUP($AO46,'Технический лист'!$M:$N,2,1)),1+(1-$AU46))</f>
        <v>1.095</v>
      </c>
      <c r="DC46" s="15">
        <f>MIN(IF($AU46=100%,1,1+VLOOKUP(($AJ46-$AI46-$AH46-$AG46-$AF46-$AE46*(1+DC$3))/$AJ46,'Технический лист'!$M:$N,2,1)-VLOOKUP($AO46,'Технический лист'!$M:$N,2,1)),1+(1-$AU46))</f>
        <v>1.095</v>
      </c>
      <c r="DD46" s="15">
        <f>MIN(IF($AU46=100%,1,1+VLOOKUP(($AJ46-$AI46-$AH46-$AG46-$AF46-$AE46*(1+DD$3))/$AJ46,'Технический лист'!$M:$N,2,1)-VLOOKUP($AO46,'Технический лист'!$M:$N,2,1)),1+(1-$AU46))</f>
        <v>1.0900000000000001</v>
      </c>
      <c r="DE46" s="15">
        <f>MIN(IF($AU46=100%,1,1+VLOOKUP(($AJ46-$AI46-$AH46-$AG46-$AF46-$AE46*(1+DE$3))/$AJ46,'Технический лист'!$M:$N,2,1)-VLOOKUP($AO46,'Технический лист'!$M:$N,2,1)),1+(1-$AU46))</f>
        <v>1.0900000000000001</v>
      </c>
      <c r="DF46" s="15">
        <f>MIN(IF($AU46=100%,1,1+VLOOKUP(($AJ46-$AI46-$AH46-$AG46-$AF46-$AE46*(1+DF$3))/$AJ46,'Технический лист'!$M:$N,2,1)-VLOOKUP($AO46,'Технический лист'!$M:$N,2,1)),1+(1-$AU46))</f>
        <v>1.0900000000000001</v>
      </c>
      <c r="DG46" s="15">
        <f>MIN(IF($AU46=100%,1,1+VLOOKUP(($AJ46-$AI46-$AH46-$AG46-$AF46-$AE46*(1+DG$3))/$AJ46,'Технический лист'!$M:$N,2,1)-VLOOKUP($AO46,'Технический лист'!$M:$N,2,1)),1+(1-$AU46))</f>
        <v>1.0900000000000001</v>
      </c>
      <c r="DH46" s="15">
        <f>MIN(IF($AU46=100%,1,1+VLOOKUP(($AJ46-$AI46-$AH46-$AG46-$AF46-$AE46*(1+DH$3))/$AJ46,'Технический лист'!$M:$N,2,1)-VLOOKUP($AO46,'Технический лист'!$M:$N,2,1)),1+(1-$AU46))</f>
        <v>1.085</v>
      </c>
      <c r="DI46" s="15">
        <f>MIN(IF($AU46=100%,1,1+VLOOKUP(($AJ46-$AI46-$AH46-$AG46-$AF46-$AE46*(1+DI$3))/$AJ46,'Технический лист'!$M:$N,2,1)-VLOOKUP($AO46,'Технический лист'!$M:$N,2,1)),1+(1-$AU46))</f>
        <v>1.085</v>
      </c>
      <c r="DJ46" s="15">
        <f>MIN(IF($AU46=100%,1,1+VLOOKUP(($AJ46-$AI46-$AH46-$AG46-$AF46-$AE46*(1+DJ$3))/$AJ46,'Технический лист'!$M:$N,2,1)-VLOOKUP($AO46,'Технический лист'!$M:$N,2,1)),1+(1-$AU46))</f>
        <v>1.085</v>
      </c>
      <c r="DK46" s="15">
        <f>MIN(IF($AU46=100%,1,1+VLOOKUP(($AJ46-$AI46-$AH46-$AG46-$AF46-$AE46*(1+DK$3))/$AJ46,'Технический лист'!$M:$N,2,1)-VLOOKUP($AO46,'Технический лист'!$M:$N,2,1)),1+(1-$AU46))</f>
        <v>1.085</v>
      </c>
      <c r="DL46" s="15">
        <f>MIN(IF($AU46=100%,1,1+VLOOKUP(($AJ46-$AI46-$AH46-$AG46-$AF46-$AE46*(1+DL$3))/$AJ46,'Технический лист'!$M:$N,2,1)-VLOOKUP($AO46,'Технический лист'!$M:$N,2,1)),1+(1-$AU46))</f>
        <v>1.0799999999999998</v>
      </c>
      <c r="DM46" s="15">
        <f>MIN(IF($AU46=100%,1,1+VLOOKUP(($AJ46-$AI46-$AH46-$AG46-$AF46-$AE46*(1+DM$3))/$AJ46,'Технический лист'!$M:$N,2,1)-VLOOKUP($AO46,'Технический лист'!$M:$N,2,1)),1+(1-$AU46))</f>
        <v>1.0799999999999998</v>
      </c>
      <c r="DN46" s="15">
        <f>MIN(IF($AU46=100%,1,1+VLOOKUP(($AJ46-$AI46-$AH46-$AG46-$AF46-$AE46*(1+DN$3))/$AJ46,'Технический лист'!$M:$N,2,1)-VLOOKUP($AO46,'Технический лист'!$M:$N,2,1)),1+(1-$AU46))</f>
        <v>1.0799999999999998</v>
      </c>
      <c r="DO46" s="15">
        <f>MIN(IF($AU46=100%,1,1+VLOOKUP(($AJ46-$AI46-$AH46-$AG46-$AF46-$AE46*(1+DO$3))/$AJ46,'Технический лист'!$M:$N,2,1)-VLOOKUP($AO46,'Технический лист'!$M:$N,2,1)),1+(1-$AU46))</f>
        <v>1.0799999999999998</v>
      </c>
      <c r="DP46" s="15">
        <f>MIN(IF($AU46=100%,1,1+VLOOKUP(($AJ46-$AI46-$AH46-$AG46-$AF46-$AE46*(1+DP$3))/$AJ46,'Технический лист'!$M:$N,2,1)-VLOOKUP($AO46,'Технический лист'!$M:$N,2,1)),1+(1-$AU46))</f>
        <v>1.0799999999999998</v>
      </c>
      <c r="DQ46" s="15">
        <f>MIN(IF($AU46=100%,1,1+VLOOKUP(($AJ46-$AI46-$AH46-$AG46-$AF46-$AE46*(1+DQ$3))/$AJ46,'Технический лист'!$M:$N,2,1)-VLOOKUP($AO46,'Технический лист'!$M:$N,2,1)),1+(1-$AU46))</f>
        <v>1.075</v>
      </c>
      <c r="DR46" s="15">
        <f>MIN(IF($AU46=100%,1,1+VLOOKUP(($AJ46-$AI46-$AH46-$AG46-$AF46-$AE46*(1+DR$3))/$AJ46,'Технический лист'!$M:$N,2,1)-VLOOKUP($AO46,'Технический лист'!$M:$N,2,1)),1+(1-$AU46))</f>
        <v>1.075</v>
      </c>
      <c r="DS46" s="15">
        <f>MIN(IF($AU46=100%,1,1+VLOOKUP(($AJ46-$AI46-$AH46-$AG46-$AF46-$AE46*(1+DS$3))/$AJ46,'Технический лист'!$M:$N,2,1)-VLOOKUP($AO46,'Технический лист'!$M:$N,2,1)),1+(1-$AU46))</f>
        <v>1.075</v>
      </c>
      <c r="DT46" s="15">
        <f>MIN(IF($AU46=100%,1,1+VLOOKUP(($AJ46-$AI46-$AH46-$AG46-$AF46-$AE46*(1+DT$3))/$AJ46,'Технический лист'!$M:$N,2,1)-VLOOKUP($AO46,'Технический лист'!$M:$N,2,1)),1+(1-$AU46))</f>
        <v>1.075</v>
      </c>
      <c r="DU46" s="15">
        <f>MIN(IF($AU46=100%,1,1+VLOOKUP(($AJ46-$AI46-$AH46-$AG46-$AF46-$AE46*(1+DU$3))/$AJ46,'Технический лист'!$M:$N,2,1)-VLOOKUP($AO46,'Технический лист'!$M:$N,2,1)),1+(1-$AU46))</f>
        <v>1.0649999999999999</v>
      </c>
      <c r="DV46" s="15">
        <f>MIN(IF($AU46=100%,1,1+VLOOKUP(($AJ46-$AI46-$AH46-$AG46-$AF46-$AE46*(1+DV$3))/$AJ46,'Технический лист'!$M:$N,2,1)-VLOOKUP($AO46,'Технический лист'!$M:$N,2,1)),1+(1-$AU46))</f>
        <v>1.0649999999999999</v>
      </c>
      <c r="DW46" s="15">
        <f>MIN(IF($AU46=100%,1,1+VLOOKUP(($AJ46-$AI46-$AH46-$AG46-$AF46-$AE46*(1+DW$3))/$AJ46,'Технический лист'!$M:$N,2,1)-VLOOKUP($AO46,'Технический лист'!$M:$N,2,1)),1+(1-$AU46))</f>
        <v>1.0649999999999999</v>
      </c>
      <c r="DX46" s="15">
        <f>MIN(IF($AU46=100%,1,1+VLOOKUP(($AJ46-$AI46-$AH46-$AG46-$AF46-$AE46*(1+DX$3))/$AJ46,'Технический лист'!$M:$N,2,1)-VLOOKUP($AO46,'Технический лист'!$M:$N,2,1)),1+(1-$AU46))</f>
        <v>1.0649999999999999</v>
      </c>
      <c r="DY46" s="15">
        <f>MIN(IF($AU46=100%,1,1+VLOOKUP(($AJ46-$AI46-$AH46-$AG46-$AF46-$AE46*(1+DY$3))/$AJ46,'Технический лист'!$M:$N,2,1)-VLOOKUP($AO46,'Технический лист'!$M:$N,2,1)),1+(1-$AU46))</f>
        <v>1.0549999999999999</v>
      </c>
      <c r="DZ46" s="15">
        <f>MIN(IF($AU46=100%,1,1+VLOOKUP(($AJ46-$AI46-$AH46-$AG46-$AF46-$AE46*(1+DZ$3))/$AJ46,'Технический лист'!$M:$N,2,1)-VLOOKUP($AO46,'Технический лист'!$M:$N,2,1)),1+(1-$AU46))</f>
        <v>1.0549999999999999</v>
      </c>
      <c r="EA46" s="15">
        <f>MIN(IF($AU46=100%,1,1+VLOOKUP(($AJ46-$AI46-$AH46-$AG46-$AF46-$AE46*(1+EA$3))/$AJ46,'Технический лист'!$M:$N,2,1)-VLOOKUP($AO46,'Технический лист'!$M:$N,2,1)),1+(1-$AU46))</f>
        <v>1.0549999999999999</v>
      </c>
      <c r="EB46" s="15">
        <f>MIN(IF($AU46=100%,1,1+VLOOKUP(($AJ46-$AI46-$AH46-$AG46-$AF46-$AE46*(1+EB$3))/$AJ46,'Технический лист'!$M:$N,2,1)-VLOOKUP($AO46,'Технический лист'!$M:$N,2,1)),1+(1-$AU46))</f>
        <v>1.0549999999999999</v>
      </c>
      <c r="EC46" s="15">
        <f>MIN(IF($AU46=100%,1,1+VLOOKUP(($AJ46-$AI46-$AH46-$AG46-$AF46-$AE46*(1+EC$3))/$AJ46,'Технический лист'!$M:$N,2,1)-VLOOKUP($AO46,'Технический лист'!$M:$N,2,1)),1+(1-$AU46))</f>
        <v>1.0549999999999999</v>
      </c>
      <c r="ED46" s="15">
        <f>MIN(IF($AU46=100%,1,1+VLOOKUP(($AJ46-$AI46-$AH46-$AG46-$AF46-$AE46*(1+ED$3))/$AJ46,'Технический лист'!$M:$N,2,1)-VLOOKUP($AO46,'Технический лист'!$M:$N,2,1)),1+(1-$AU46))</f>
        <v>1.0450000000000002</v>
      </c>
      <c r="EE46" s="15">
        <f>MIN(IF($AU46=100%,1,1+VLOOKUP(($AJ46-$AI46-$AH46-$AG46-$AF46-$AE46*(1+EE$3))/$AJ46,'Технический лист'!$M:$N,2,1)-VLOOKUP($AO46,'Технический лист'!$M:$N,2,1)),1+(1-$AU46))</f>
        <v>1.0450000000000002</v>
      </c>
      <c r="EF46" s="15">
        <f>MIN(IF($AU46=100%,1,1+VLOOKUP(($AJ46-$AI46-$AH46-$AG46-$AF46-$AE46*(1+EF$3))/$AJ46,'Технический лист'!$M:$N,2,1)-VLOOKUP($AO46,'Технический лист'!$M:$N,2,1)),1+(1-$AU46))</f>
        <v>1.0450000000000002</v>
      </c>
      <c r="EG46" s="15">
        <f>MIN(IF($AU46=100%,1,1+VLOOKUP(($AJ46-$AI46-$AH46-$AG46-$AF46-$AE46*(1+EG$3))/$AJ46,'Технический лист'!$M:$N,2,1)-VLOOKUP($AO46,'Технический лист'!$M:$N,2,1)),1+(1-$AU46))</f>
        <v>1.0450000000000002</v>
      </c>
      <c r="EH46" s="15">
        <f>MIN(IF($AU46=100%,1,1+VLOOKUP(($AJ46-$AI46-$AH46-$AG46-$AF46-$AE46*(1+EH$3))/$AJ46,'Технический лист'!$M:$N,2,1)-VLOOKUP($AO46,'Технический лист'!$M:$N,2,1)),1+(1-$AU46))</f>
        <v>1.0349999999999999</v>
      </c>
      <c r="EI46" s="15">
        <f>MIN(IF($AU46=100%,1,1+VLOOKUP(($AJ46-$AI46-$AH46-$AG46-$AF46-$AE46*(1+EI$3))/$AJ46,'Технический лист'!$M:$N,2,1)-VLOOKUP($AO46,'Технический лист'!$M:$N,2,1)),1+(1-$AU46))</f>
        <v>1.0349999999999999</v>
      </c>
      <c r="EJ46" s="15">
        <f>MIN(IF($AU46=100%,1,1+VLOOKUP(($AJ46-$AI46-$AH46-$AG46-$AF46-$AE46*(1+EJ$3))/$AJ46,'Технический лист'!$M:$N,2,1)-VLOOKUP($AO46,'Технический лист'!$M:$N,2,1)),1+(1-$AU46))</f>
        <v>1.0349999999999999</v>
      </c>
      <c r="EK46" s="15">
        <f>MIN(IF($AU46=100%,1,1+VLOOKUP(($AJ46-$AI46-$AH46-$AG46-$AF46-$AE46*(1+EK$3))/$AJ46,'Технический лист'!$M:$N,2,1)-VLOOKUP($AO46,'Технический лист'!$M:$N,2,1)),1+(1-$AU46))</f>
        <v>1.0349999999999999</v>
      </c>
      <c r="EL46" s="15">
        <f>MIN(IF($AU46=100%,1,1+VLOOKUP(($AJ46-$AI46-$AH46-$AG46-$AF46-$AE46*(1+EL$3))/$AJ46,'Технический лист'!$M:$N,2,1)-VLOOKUP($AO46,'Технический лист'!$M:$N,2,1)),1+(1-$AU46))</f>
        <v>1.0250000000000001</v>
      </c>
      <c r="EM46" s="15">
        <f>MIN(IF($AU46=100%,1,1+VLOOKUP(($AJ46-$AI46-$AH46-$AG46-$AF46-$AE46*(1+EM$3))/$AJ46,'Технический лист'!$M:$N,2,1)-VLOOKUP($AO46,'Технический лист'!$M:$N,2,1)),1+(1-$AU46))</f>
        <v>1.0250000000000001</v>
      </c>
      <c r="EN46" s="15">
        <f>MIN(IF($AU46=100%,1,1+VLOOKUP(($AJ46-$AI46-$AH46-$AG46-$AF46-$AE46*(1+EN$3))/$AJ46,'Технический лист'!$M:$N,2,1)-VLOOKUP($AO46,'Технический лист'!$M:$N,2,1)),1+(1-$AU46))</f>
        <v>1.0250000000000001</v>
      </c>
      <c r="EO46" s="15">
        <f>MIN(IF($AU46=100%,1,1+VLOOKUP(($AJ46-$AI46-$AH46-$AG46-$AF46-$AE46*(1+EO$3))/$AJ46,'Технический лист'!$M:$N,2,1)-VLOOKUP($AO46,'Технический лист'!$M:$N,2,1)),1+(1-$AU46))</f>
        <v>1.0250000000000001</v>
      </c>
      <c r="EP46" s="15">
        <f>MIN(IF($AU46=100%,1,1+VLOOKUP(($AJ46-$AI46-$AH46-$AG46-$AF46-$AE46*(1+EP$3))/$AJ46,'Технический лист'!$M:$N,2,1)-VLOOKUP($AO46,'Технический лист'!$M:$N,2,1)),1+(1-$AU46))</f>
        <v>1.0250000000000001</v>
      </c>
      <c r="EQ46" s="15">
        <f>MIN(IF($AU46=100%,1,1+VLOOKUP(($AJ46-$AI46-$AH46-$AG46-$AF46-$AE46*(1+EQ$3))/$AJ46,'Технический лист'!$M:$N,2,1)-VLOOKUP($AO46,'Технический лист'!$M:$N,2,1)),1+(1-$AU46))</f>
        <v>1.0149999999999999</v>
      </c>
      <c r="ER46" s="15">
        <f>MIN(IF($AU46=100%,1,1+VLOOKUP(($AJ46-$AI46-$AH46-$AG46-$AF46-$AE46*(1+ER$3))/$AJ46,'Технический лист'!$M:$N,2,1)-VLOOKUP($AO46,'Технический лист'!$M:$N,2,1)),1+(1-$AU46))</f>
        <v>1.0149999999999999</v>
      </c>
      <c r="ES46" s="15">
        <f>MIN(IF($AU46=100%,1,1+VLOOKUP(($AJ46-$AI46-$AH46-$AG46-$AF46-$AE46*(1+ES$3))/$AJ46,'Технический лист'!$M:$N,2,1)-VLOOKUP($AO46,'Технический лист'!$M:$N,2,1)),1+(1-$AU46))</f>
        <v>1.0149999999999999</v>
      </c>
      <c r="ET46" s="15">
        <f>MIN(IF($AU46=100%,1,1+VLOOKUP(($AJ46-$AI46-$AH46-$AG46-$AF46-$AE46*(1+ET$3))/$AJ46,'Технический лист'!$M:$N,2,1)-VLOOKUP($AO46,'Технический лист'!$M:$N,2,1)),1+(1-$AU46))</f>
        <v>1.0149999999999999</v>
      </c>
      <c r="EU46" s="15">
        <f>MIN(IF($AU46=100%,1,1+VLOOKUP(($AJ46-$AI46-$AH46-$AG46-$AF46-$AE46*(1+EU$3))/$AJ46,'Технический лист'!$M:$N,2,1)-VLOOKUP($AO46,'Технический лист'!$M:$N,2,1)),1+(1-$AU46))</f>
        <v>1</v>
      </c>
      <c r="EV46" s="111">
        <v>1</v>
      </c>
      <c r="EW46" s="15">
        <f>MIN(1,MAX(VLOOKUP(($AJ46-$AI46-$AH46-$AG46-$AF46-$AE46*(1+EW$3))/$AJ46,'Технический лист'!$M:$N,2,1),(EV46-0.05)))</f>
        <v>0.95</v>
      </c>
      <c r="EX46" s="15">
        <f>MIN(1,MAX(VLOOKUP(($AJ46-$AI46-$AH46-$AG46-$AF46-$AE46*(1+EX$3))/$AJ46,'Технический лист'!$M:$N,2,1),(EW46-0.05)))</f>
        <v>0.89999999999999991</v>
      </c>
      <c r="EY46" s="15">
        <f>MIN(1,MAX(VLOOKUP(($AJ46-$AI46-$AH46-$AG46-$AF46-$AE46*(1+EY$3))/$AJ46,'Технический лист'!$M:$N,2,1),(EX46-0.05)))</f>
        <v>0.87</v>
      </c>
      <c r="EZ46" s="15">
        <f>MIN(1,MAX(VLOOKUP(($AJ46-$AI46-$AH46-$AG46-$AF46-$AE46*(1+EZ$3))/$AJ46,'Технический лист'!$M:$N,2,1),(EY46-0.05)))</f>
        <v>0.87</v>
      </c>
      <c r="FA46" s="15">
        <f>MIN(1,MAX(VLOOKUP(($AJ46-$AI46-$AH46-$AG46-$AF46-$AE46*(1+FA$3))/$AJ46,'Технический лист'!$M:$N,2,1),(EZ46-0.05)))</f>
        <v>0.87</v>
      </c>
      <c r="FB46" s="15">
        <f>MIN(1,MAX(VLOOKUP(($AJ46-$AI46-$AH46-$AG46-$AF46-$AE46*(1+FB$3))/$AJ46,'Технический лист'!$M:$N,2,1),(FA46-0.05)))</f>
        <v>0.87</v>
      </c>
      <c r="FC46" s="15">
        <f>MIN(1,MAX(VLOOKUP(($AJ46-$AI46-$AH46-$AG46-$AF46-$AE46*(1+FC$3))/$AJ46,'Технический лист'!$M:$N,2,1),(FB46-0.05)))</f>
        <v>0.87</v>
      </c>
      <c r="FD46" s="15">
        <f>MIN(1,MAX(VLOOKUP(($AJ46-$AI46-$AH46-$AG46-$AF46-$AE46*(1+FD$3))/$AJ46,'Технический лист'!$M:$N,2,1),(FC46-0.05)))</f>
        <v>0.85499999999999998</v>
      </c>
      <c r="FE46" s="15">
        <f>MIN(1,MAX(VLOOKUP(($AJ46-$AI46-$AH46-$AG46-$AF46-$AE46*(1+FE$3))/$AJ46,'Технический лист'!$M:$N,2,1),(FD46-0.05)))</f>
        <v>0.85499999999999998</v>
      </c>
      <c r="FF46" s="15">
        <f>MIN(1,MAX(VLOOKUP(($AJ46-$AI46-$AH46-$AG46-$AF46-$AE46*(1+FF$3))/$AJ46,'Технический лист'!$M:$N,2,1),(FE46-0.05)))</f>
        <v>0.85499999999999998</v>
      </c>
      <c r="FG46" s="15">
        <f>MIN(1,MAX(VLOOKUP(($AJ46-$AI46-$AH46-$AG46-$AF46-$AE46*(1+FG$3))/$AJ46,'Технический лист'!$M:$N,2,1),(FF46-0.05)))</f>
        <v>0.85499999999999998</v>
      </c>
      <c r="FH46" s="15">
        <f>MIN(1,MAX(VLOOKUP(($AJ46-$AI46-$AH46-$AG46-$AF46-$AE46*(1+FH$3))/$AJ46,'Технический лист'!$M:$N,2,1),(FG46-0.05)))</f>
        <v>0.84</v>
      </c>
      <c r="FI46" s="15">
        <f>MIN(1,MAX(VLOOKUP(($AJ46-$AI46-$AH46-$AG46-$AF46-$AE46*(1+FI$3))/$AJ46,'Технический лист'!$M:$N,2,1),(FH46-0.05)))</f>
        <v>0.84</v>
      </c>
      <c r="FJ46" s="15">
        <f>MIN(1,MAX(VLOOKUP(($AJ46-$AI46-$AH46-$AG46-$AF46-$AE46*(1+FJ$3))/$AJ46,'Технический лист'!$M:$N,2,1),(FI46-0.05)))</f>
        <v>0.84</v>
      </c>
      <c r="FK46" s="15">
        <f>MIN(1,MAX(VLOOKUP(($AJ46-$AI46-$AH46-$AG46-$AF46-$AE46*(1+FK$3))/$AJ46,'Технический лист'!$M:$N,2,1),(FJ46-0.05)))</f>
        <v>0.84</v>
      </c>
      <c r="FL46" s="15">
        <f>MIN(1,MAX(VLOOKUP(($AJ46-$AI46-$AH46-$AG46-$AF46-$AE46*(1+FL$3))/$AJ46,'Технический лист'!$M:$N,2,1),(FK46-0.05)))</f>
        <v>0.82499999999999996</v>
      </c>
      <c r="FM46" s="15">
        <f>MIN(1,MAX(VLOOKUP(($AJ46-$AI46-$AH46-$AG46-$AF46-$AE46*(1+FM$3))/$AJ46,'Технический лист'!$M:$N,2,1),(FL46-0.05)))</f>
        <v>0.82499999999999996</v>
      </c>
      <c r="FN46" s="15">
        <f>MIN(1,MAX(VLOOKUP(($AJ46-$AI46-$AH46-$AG46-$AF46-$AE46*(1+FN$3))/$AJ46,'Технический лист'!$M:$N,2,1),(FM46-0.05)))</f>
        <v>0.82499999999999996</v>
      </c>
      <c r="FO46" s="15">
        <f>MIN(1,MAX(VLOOKUP(($AJ46-$AI46-$AH46-$AG46-$AF46-$AE46*(1+FO$3))/$AJ46,'Технический лист'!$M:$N,2,1),(FN46-0.05)))</f>
        <v>0.82499999999999996</v>
      </c>
      <c r="FP46" s="15">
        <f>MIN(1,MAX(VLOOKUP(($AJ46-$AI46-$AH46-$AG46-$AF46-$AE46*(1+FP$3))/$AJ46,'Технический лист'!$M:$N,2,1),(FO46-0.05)))</f>
        <v>0.82499999999999996</v>
      </c>
      <c r="FQ46" s="15">
        <f>MIN(1,MAX(VLOOKUP(($AJ46-$AI46-$AH46-$AG46-$AF46-$AE46*(1+FQ$3))/$AJ46,'Технический лист'!$M:$N,2,1),(FP46-0.05)))</f>
        <v>0.81</v>
      </c>
      <c r="FR46" s="15">
        <f>MIN(1,MAX(VLOOKUP(($AJ46-$AI46-$AH46-$AG46-$AF46-$AE46*(1+FR$3))/$AJ46,'Технический лист'!$M:$N,2,1),(FQ46-0.05)))</f>
        <v>0.81</v>
      </c>
      <c r="FS46" s="15">
        <f>MIN(1,MAX(VLOOKUP(($AJ46-$AI46-$AH46-$AG46-$AF46-$AE46*(1+FS$3))/$AJ46,'Технический лист'!$M:$N,2,1),(FR46-0.05)))</f>
        <v>0.81</v>
      </c>
      <c r="FT46" s="15">
        <f>MIN(1,MAX(VLOOKUP(($AJ46-$AI46-$AH46-$AG46-$AF46-$AE46*(1+FT$3))/$AJ46,'Технический лист'!$M:$N,2,1),(FS46-0.05)))</f>
        <v>0.81</v>
      </c>
      <c r="FU46" s="15">
        <f>MIN(1,MAX(VLOOKUP(($AJ46-$AI46-$AH46-$AG46-$AF46-$AE46*(1+FU$3))/$AJ46,'Технический лист'!$M:$N,2,1),(FT46-0.05)))</f>
        <v>0.79</v>
      </c>
      <c r="FV46" s="15">
        <f>MIN(1,MAX(VLOOKUP(($AJ46-$AI46-$AH46-$AG46-$AF46-$AE46*(1+FV$3))/$AJ46,'Технический лист'!$M:$N,2,1),(FU46-0.05)))</f>
        <v>0.79</v>
      </c>
      <c r="FW46" s="15">
        <f>MIN(1,MAX(VLOOKUP(($AJ46-$AI46-$AH46-$AG46-$AF46-$AE46*(1+FW$3))/$AJ46,'Технический лист'!$M:$N,2,1),(FV46-0.05)))</f>
        <v>0.79</v>
      </c>
      <c r="FX46" s="15">
        <f>MIN(1,MAX(VLOOKUP(($AJ46-$AI46-$AH46-$AG46-$AF46-$AE46*(1+FX$3))/$AJ46,'Технический лист'!$M:$N,2,1),(FW46-0.05)))</f>
        <v>0.79</v>
      </c>
      <c r="FY46" s="15">
        <f>MIN(1,MAX(VLOOKUP(($AJ46-$AI46-$AH46-$AG46-$AF46-$AE46*(1+FY$3))/$AJ46,'Технический лист'!$M:$N,2,1),(FX46-0.05)))</f>
        <v>0.77</v>
      </c>
      <c r="FZ46" s="15">
        <f>MIN(1,MAX(VLOOKUP(($AJ46-$AI46-$AH46-$AG46-$AF46-$AE46*(1+FZ$3))/$AJ46,'Технический лист'!$M:$N,2,1),(FY46-0.05)))</f>
        <v>0.77</v>
      </c>
      <c r="GA46" s="15">
        <f>MIN(1,MAX(VLOOKUP(($AJ46-$AI46-$AH46-$AG46-$AF46-$AE46*(1+GA$3))/$AJ46,'Технический лист'!$M:$N,2,1),(FZ46-0.05)))</f>
        <v>0.77</v>
      </c>
      <c r="GB46" s="15">
        <f>MIN(1,MAX(VLOOKUP(($AJ46-$AI46-$AH46-$AG46-$AF46-$AE46*(1+GB$3))/$AJ46,'Технический лист'!$M:$N,2,1),(GA46-0.05)))</f>
        <v>0.77</v>
      </c>
      <c r="GC46" s="15">
        <f>MIN(1,MAX(VLOOKUP(($AJ46-$AI46-$AH46-$AG46-$AF46-$AE46*(1+GC$3))/$AJ46,'Технический лист'!$M:$N,2,1),(GB46-0.05)))</f>
        <v>0.77</v>
      </c>
      <c r="GD46" s="15">
        <f>MIN(1,MAX(VLOOKUP(($AJ46-$AI46-$AH46-$AG46-$AF46-$AE46*(1+GD$3))/$AJ46,'Технический лист'!$M:$N,2,1),(GC46-0.05)))</f>
        <v>0.75</v>
      </c>
      <c r="GE46" s="15">
        <f>MIN(1,MAX(VLOOKUP(($AJ46-$AI46-$AH46-$AG46-$AF46-$AE46*(1+GE$3))/$AJ46,'Технический лист'!$M:$N,2,1),(GD46-0.05)))</f>
        <v>0.75</v>
      </c>
      <c r="GF46" s="15">
        <f>MIN(1,MAX(VLOOKUP(($AJ46-$AI46-$AH46-$AG46-$AF46-$AE46*(1+GF$3))/$AJ46,'Технический лист'!$M:$N,2,1),(GE46-0.05)))</f>
        <v>0.75</v>
      </c>
      <c r="GG46" s="15">
        <f>MIN(1,MAX(VLOOKUP(($AJ46-$AI46-$AH46-$AG46-$AF46-$AE46*(1+GG$3))/$AJ46,'Технический лист'!$M:$N,2,1),(GF46-0.05)))</f>
        <v>0.75</v>
      </c>
      <c r="GH46" s="15">
        <f>MIN(1,MAX(VLOOKUP(($AJ46-$AI46-$AH46-$AG46-$AF46-$AE46*(1+GH$3))/$AJ46,'Технический лист'!$M:$N,2,1),(GG46-0.05)))</f>
        <v>0.73</v>
      </c>
      <c r="GI46" s="15">
        <f>MIN(1,MAX(VLOOKUP(($AJ46-$AI46-$AH46-$AG46-$AF46-$AE46*(1+GI$3))/$AJ46,'Технический лист'!$M:$N,2,1),(GH46-0.05)))</f>
        <v>0.73</v>
      </c>
      <c r="GJ46" s="15">
        <f>MIN(1,MAX(VLOOKUP(($AJ46-$AI46-$AH46-$AG46-$AF46-$AE46*(1+GJ$3))/$AJ46,'Технический лист'!$M:$N,2,1),(GI46-0.05)))</f>
        <v>0.73</v>
      </c>
      <c r="GK46" s="15">
        <f>MIN(1,MAX(VLOOKUP(($AJ46-$AI46-$AH46-$AG46-$AF46-$AE46*(1+GK$3))/$AJ46,'Технический лист'!$M:$N,2,1),(GJ46-0.05)))</f>
        <v>0.73</v>
      </c>
      <c r="GL46" s="15">
        <f>MIN(1,MAX(VLOOKUP(($AJ46-$AI46-$AH46-$AG46-$AF46-$AE46*(1+GL$3))/$AJ46,'Технический лист'!$M:$N,2,1),(GK46-0.05)))</f>
        <v>0.71</v>
      </c>
      <c r="GM46" s="15">
        <f>MIN(1,MAX(VLOOKUP(($AJ46-$AI46-$AH46-$AG46-$AF46-$AE46*(1+GM$3))/$AJ46,'Технический лист'!$M:$N,2,1),(GL46-0.05)))</f>
        <v>0.71</v>
      </c>
      <c r="GN46" s="15">
        <f>MIN(1,MAX(VLOOKUP(($AJ46-$AI46-$AH46-$AG46-$AF46-$AE46*(1+GN$3))/$AJ46,'Технический лист'!$M:$N,2,1),(GM46-0.05)))</f>
        <v>0.71</v>
      </c>
      <c r="GO46" s="15">
        <f>MIN(1,MAX(VLOOKUP(($AJ46-$AI46-$AH46-$AG46-$AF46-$AE46*(1+GO$3))/$AJ46,'Технический лист'!$M:$N,2,1),(GN46-0.05)))</f>
        <v>0.71</v>
      </c>
      <c r="GP46" s="15">
        <f>MIN(1,MAX(VLOOKUP(($AJ46-$AI46-$AH46-$AG46-$AF46-$AE46*(1+GP$3))/$AJ46,'Технический лист'!$M:$N,2,1),(GO46-0.05)))</f>
        <v>0.71</v>
      </c>
      <c r="GQ46" s="15">
        <f>MIN(1,MAX(VLOOKUP(($AJ46-$AI46-$AH46-$AG46-$AF46-$AE46*(1+GQ$3))/$AJ46,'Технический лист'!$M:$N,2,1),(GP46-0.05)))</f>
        <v>0.68500000000000005</v>
      </c>
      <c r="GR46" s="15">
        <f>MIN(1,MAX(VLOOKUP(($AJ46-$AI46-$AH46-$AG46-$AF46-$AE46*(1+GR$3))/$AJ46,'Технический лист'!$M:$N,2,1),(GQ46-0.05)))</f>
        <v>0.68500000000000005</v>
      </c>
      <c r="GS46" s="15">
        <f>MIN(1,MAX(VLOOKUP(($AJ46-$AI46-$AH46-$AG46-$AF46-$AE46*(1+GS$3))/$AJ46,'Технический лист'!$M:$N,2,1),(GR46-0.05)))</f>
        <v>0.68500000000000005</v>
      </c>
      <c r="GT46" s="15">
        <f>MIN(1,MAX(VLOOKUP(($AJ46-$AI46-$AH46-$AG46-$AF46-$AE46*(1+GT$3))/$AJ46,'Технический лист'!$M:$N,2,1),(GS46-0.05)))</f>
        <v>0.68500000000000005</v>
      </c>
      <c r="GU46" s="15">
        <f>MIN(1,MAX(VLOOKUP(($AJ46-$AI46-$AH46-$AG46-$AF46-$AE46*(1+GU$3))/$AJ46,'Технический лист'!$M:$N,2,1),(GT46-0.05)))</f>
        <v>0.66</v>
      </c>
      <c r="GV46" s="15">
        <f>MIN(1,MAX(VLOOKUP(($AJ46-$AI46-$AH46-$AG46-$AF46-$AE46*(1+GV$3))/$AJ46,'Технический лист'!$M:$N,2,1),(GU46-0.05)))</f>
        <v>0.66</v>
      </c>
      <c r="GW46" s="15">
        <f>MIN(1,MAX(VLOOKUP(($AJ46-$AI46-$AH46-$AG46-$AF46-$AE46*(1+GW$3))/$AJ46,'Технический лист'!$M:$N,2,1),(GV46-0.05)))</f>
        <v>0.66</v>
      </c>
      <c r="GX46" s="15">
        <f>MIN(1,MAX(VLOOKUP(($AJ46-$AI46-$AH46-$AG46-$AF46-$AE46*(1+GX$3))/$AJ46,'Технический лист'!$M:$N,2,1),(GW46-0.05)))</f>
        <v>0.66</v>
      </c>
      <c r="GY46" s="15">
        <f>MIN(1,MAX(VLOOKUP(($AJ46-$AI46-$AH46-$AG46-$AF46-$AE46*(1+GY$3))/$AJ46,'Технический лист'!$M:$N,2,1),(GX46-0.05)))</f>
        <v>0.63500000000000001</v>
      </c>
      <c r="GZ46" s="15">
        <f>MIN(1,MAX(VLOOKUP(($AJ46-$AI46-$AH46-$AG46-$AF46-$AE46*(1+GZ$3))/$AJ46,'Технический лист'!$M:$N,2,1),(GY46-0.05)))</f>
        <v>0.63500000000000001</v>
      </c>
      <c r="HA46" s="15">
        <f>MIN(1,MAX(VLOOKUP(($AJ46-$AI46-$AH46-$AG46-$AF46-$AE46*(1+HA$3))/$AJ46,'Технический лист'!$M:$N,2,1),(GZ46-0.05)))</f>
        <v>0.63500000000000001</v>
      </c>
      <c r="HB46" s="15">
        <f>MIN(1,MAX(VLOOKUP(($AJ46-$AI46-$AH46-$AG46-$AF46-$AE46*(1+HB$3))/$AJ46,'Технический лист'!$M:$N,2,1),(HA46-0.05)))</f>
        <v>0.63500000000000001</v>
      </c>
      <c r="HC46" s="15">
        <f>MIN(1,MAX(VLOOKUP(($AJ46-$AI46-$AH46-$AG46-$AF46-$AE46*(1+HC$3))/$AJ46,'Технический лист'!$M:$N,2,1),(HB46-0.05)))</f>
        <v>0.63500000000000001</v>
      </c>
      <c r="HD46" s="15">
        <f>MIN(1,MAX(VLOOKUP(($AJ46-$AI46-$AH46-$AG46-$AF46-$AE46*(1+HD$3))/$AJ46,'Технический лист'!$M:$N,2,1),(HC46-0.05)))</f>
        <v>0.61</v>
      </c>
      <c r="HE46" s="15">
        <f>MIN(1,MAX(VLOOKUP(($AJ46-$AI46-$AH46-$AG46-$AF46-$AE46*(1+HE$3))/$AJ46,'Технический лист'!$M:$N,2,1),(HD46-0.05)))</f>
        <v>0.61</v>
      </c>
      <c r="HF46" s="15">
        <f>MIN(1,MAX(VLOOKUP(($AJ46-$AI46-$AH46-$AG46-$AF46-$AE46*(1+HF$3))/$AJ46,'Технический лист'!$M:$N,2,1),(HE46-0.05)))</f>
        <v>0.61</v>
      </c>
      <c r="HG46" s="15">
        <f>MIN(1,MAX(VLOOKUP(($AJ46-$AI46-$AH46-$AG46-$AF46-$AE46*(1+HG$3))/$AJ46,'Технический лист'!$M:$N,2,1),(HF46-0.05)))</f>
        <v>0.61</v>
      </c>
      <c r="HH46" s="15">
        <f>MIN(1,MAX(VLOOKUP(($AJ46-$AI46-$AH46-$AG46-$AF46-$AE46*(1+HH$3))/$AJ46,'Технический лист'!$M:$N,2,1),(HG46-0.05)))</f>
        <v>0.57999999999999996</v>
      </c>
      <c r="HI46" s="15">
        <f>MIN(1,MAX(VLOOKUP(($AJ46-$AI46-$AH46-$AG46-$AF46-$AE46*(1+HI$3))/$AJ46,'Технический лист'!$M:$N,2,1),(HH46-0.05)))</f>
        <v>0.57999999999999996</v>
      </c>
      <c r="HJ46" s="15">
        <f>MIN(1,MAX(VLOOKUP(($AJ46-$AI46-$AH46-$AG46-$AF46-$AE46*(1+HJ$3))/$AJ46,'Технический лист'!$M:$N,2,1),(HI46-0.05)))</f>
        <v>0.57999999999999996</v>
      </c>
      <c r="HK46" s="15">
        <f>MIN(1,MAX(VLOOKUP(($AJ46-$AI46-$AH46-$AG46-$AF46-$AE46*(1+HK$3))/$AJ46,'Технический лист'!$M:$N,2,1),(HJ46-0.05)))</f>
        <v>0.57999999999999996</v>
      </c>
      <c r="HL46" s="15">
        <f>MIN(1,MAX(VLOOKUP(($AJ46-$AI46-$AH46-$AG46-$AF46-$AE46*(1+HL$3))/$AJ46,'Технический лист'!$M:$N,2,1),(HK46-0.05)))</f>
        <v>0.55000000000000004</v>
      </c>
      <c r="HM46" s="15">
        <f>MIN(1,MAX(VLOOKUP(($AJ46-$AI46-$AH46-$AG46-$AF46-$AE46*(1+HM$3))/$AJ46,'Технический лист'!$M:$N,2,1),(HL46-0.05)))</f>
        <v>0.55000000000000004</v>
      </c>
      <c r="HN46" s="15">
        <f>MIN(1,MAX(VLOOKUP(($AJ46-$AI46-$AH46-$AG46-$AF46-$AE46*(1+HN$3))/$AJ46,'Технический лист'!$M:$N,2,1),(HM46-0.05)))</f>
        <v>0.55000000000000004</v>
      </c>
      <c r="HO46" s="15">
        <f>MIN(1,MAX(VLOOKUP(($AJ46-$AI46-$AH46-$AG46-$AF46-$AE46*(1+HO$3))/$AJ46,'Технический лист'!$M:$N,2,1),(HN46-0.05)))</f>
        <v>0.55000000000000004</v>
      </c>
      <c r="HP46" s="15">
        <f>MIN(1,MAX(VLOOKUP(($AJ46-$AI46-$AH46-$AG46-$AF46-$AE46*(1+HP$3))/$AJ46,'Технический лист'!$M:$N,2,1),(HO46-0.05)))</f>
        <v>0.55000000000000004</v>
      </c>
      <c r="HQ46" s="15">
        <f>MIN(1,MAX(VLOOKUP(($AJ46-$AI46-$AH46-$AG46-$AF46-$AE46*(1+HQ$3))/$AJ46,'Технический лист'!$M:$N,2,1),(HP46-0.05)))</f>
        <v>0.52</v>
      </c>
      <c r="HR46" s="15">
        <f>MIN(1,MAX(VLOOKUP(($AJ46-$AI46-$AH46-$AG46-$AF46-$AE46*(1+HR$3))/$AJ46,'Технический лист'!$M:$N,2,1),(HQ46-0.05)))</f>
        <v>0.52</v>
      </c>
      <c r="HS46" s="15">
        <f>MIN(1,MAX(VLOOKUP(($AJ46-$AI46-$AH46-$AG46-$AF46-$AE46*(1+HS$3))/$AJ46,'Технический лист'!$M:$N,2,1),(HR46-0.05)))</f>
        <v>0.52</v>
      </c>
      <c r="HT46" s="15">
        <f>MIN(1,MAX(VLOOKUP(($AJ46-$AI46-$AH46-$AG46-$AF46-$AE46*(1+HT$3))/$AJ46,'Технический лист'!$M:$N,2,1),(HS46-0.05)))</f>
        <v>0.52</v>
      </c>
      <c r="HU46" s="15">
        <f>MIN(1,MAX(VLOOKUP(($AJ46-$AI46-$AH46-$AG46-$AF46-$AE46*(1+HU$3))/$AJ46,'Технический лист'!$M:$N,2,1),(HT46-0.05)))</f>
        <v>0.49</v>
      </c>
      <c r="HV46" s="15">
        <f>MIN(1,MAX(VLOOKUP(($AJ46-$AI46-$AH46-$AG46-$AF46-$AE46*(1+HV$3))/$AJ46,'Технический лист'!$M:$N,2,1),(HU46-0.05)))</f>
        <v>0.49</v>
      </c>
      <c r="HW46" s="15">
        <f>MIN(1,MAX(VLOOKUP(($AJ46-$AI46-$AH46-$AG46-$AF46-$AE46*(1+HW$3))/$AJ46,'Технический лист'!$M:$N,2,1),(HV46-0.05)))</f>
        <v>0.49</v>
      </c>
      <c r="HX46" s="15">
        <f>MIN(1,MAX(VLOOKUP(($AJ46-$AI46-$AH46-$AG46-$AF46-$AE46*(1+HX$3))/$AJ46,'Технический лист'!$M:$N,2,1),(HW46-0.05)))</f>
        <v>0.49</v>
      </c>
      <c r="HY46" s="15">
        <f>MIN(1,MAX(VLOOKUP(($AJ46-$AI46-$AH46-$AG46-$AF46-$AE46*(1+HY$3))/$AJ46,'Технический лист'!$M:$N,2,1),(HX46-0.05)))</f>
        <v>0.46</v>
      </c>
      <c r="HZ46" s="15">
        <f>MIN(1,MAX(VLOOKUP(($AJ46-$AI46-$AH46-$AG46-$AF46-$AE46*(1+HZ$3))/$AJ46,'Технический лист'!$M:$N,2,1),(HY46-0.05)))</f>
        <v>0.46</v>
      </c>
      <c r="IA46" s="15">
        <f>MIN(1,MAX(VLOOKUP(($AJ46-$AI46-$AH46-$AG46-$AF46-$AE46*(1+IA$3))/$AJ46,'Технический лист'!$M:$N,2,1),(HZ46-0.05)))</f>
        <v>0.46</v>
      </c>
      <c r="IB46" s="15">
        <f>MIN(1,MAX(VLOOKUP(($AJ46-$AI46-$AH46-$AG46-$AF46-$AE46*(1+IB$3))/$AJ46,'Технический лист'!$M:$N,2,1),(IA46-0.05)))</f>
        <v>0.46</v>
      </c>
      <c r="IC46" s="15">
        <f>MIN(1,MAX(VLOOKUP(($AJ46-$AI46-$AH46-$AG46-$AF46-$AE46*(1+IC$3))/$AJ46,'Технический лист'!$M:$N,2,1),(IB46-0.05)))</f>
        <v>0.46</v>
      </c>
      <c r="ID46" s="15">
        <f>MIN(1,MAX(VLOOKUP(($AJ46-$AI46-$AH46-$AG46-$AF46-$AE46*(1+ID$3))/$AJ46,'Технический лист'!$M:$N,2,1),(IC46-0.05)))</f>
        <v>0.42499999999999999</v>
      </c>
      <c r="IE46" s="15">
        <f>MIN(1,MAX(VLOOKUP(($AJ46-$AI46-$AH46-$AG46-$AF46-$AE46*(1+IE$3))/$AJ46,'Технический лист'!$M:$N,2,1),(ID46-0.05)))</f>
        <v>0.42499999999999999</v>
      </c>
      <c r="IF46" s="15">
        <f>MIN(1,MAX(VLOOKUP(($AJ46-$AI46-$AH46-$AG46-$AF46-$AE46*(1+IF$3))/$AJ46,'Технический лист'!$M:$N,2,1),(IE46-0.05)))</f>
        <v>0.42499999999999999</v>
      </c>
      <c r="IG46" s="15">
        <f>MIN(1,MAX(VLOOKUP(($AJ46-$AI46-$AH46-$AG46-$AF46-$AE46*(1+IG$3))/$AJ46,'Технический лист'!$M:$N,2,1),(IF46-0.05)))</f>
        <v>0.42499999999999999</v>
      </c>
      <c r="IH46" s="15">
        <f>MIN(1,MAX(VLOOKUP(($AJ46-$AI46-$AH46-$AG46-$AF46-$AE46*(1+IH$3))/$AJ46,'Технический лист'!$M:$N,2,1),(IG46-0.05)))</f>
        <v>0.39</v>
      </c>
      <c r="II46" s="15">
        <f>MIN(1,MAX(VLOOKUP(($AJ46-$AI46-$AH46-$AG46-$AF46-$AE46*(1+II$3))/$AJ46,'Технический лист'!$M:$N,2,1),(IH46-0.05)))</f>
        <v>0.39</v>
      </c>
      <c r="IJ46" s="15">
        <f>MIN(1,MAX(VLOOKUP(($AJ46-$AI46-$AH46-$AG46-$AF46-$AE46*(1+IJ$3))/$AJ46,'Технический лист'!$M:$N,2,1),(II46-0.05)))</f>
        <v>0.39</v>
      </c>
      <c r="IK46" s="15">
        <f>MIN(1,MAX(VLOOKUP(($AJ46-$AI46-$AH46-$AG46-$AF46-$AE46*(1+IK$3))/$AJ46,'Технический лист'!$M:$N,2,1),(IJ46-0.05)))</f>
        <v>0.39</v>
      </c>
      <c r="IL46" s="15">
        <f>MIN(1,MAX(VLOOKUP(($AJ46-$AI46-$AH46-$AG46-$AF46-$AE46*(1+IL$3))/$AJ46,'Технический лист'!$M:$N,2,1),(IK46-0.05)))</f>
        <v>0.35499999999999998</v>
      </c>
      <c r="IM46" s="15">
        <f>MIN(1,MAX(VLOOKUP(($AJ46-$AI46-$AH46-$AG46-$AF46-$AE46*(1+IM$3))/$AJ46,'Технический лист'!$M:$N,2,1),(IL46-0.05)))</f>
        <v>0.35499999999999998</v>
      </c>
      <c r="IN46" s="15">
        <f>MIN(1,MAX(VLOOKUP(($AJ46-$AI46-$AH46-$AG46-$AF46-$AE46*(1+IN$3))/$AJ46,'Технический лист'!$M:$N,2,1),(IM46-0.05)))</f>
        <v>0.35499999999999998</v>
      </c>
      <c r="IO46" s="15">
        <f>MIN(1,MAX(VLOOKUP(($AJ46-$AI46-$AH46-$AG46-$AF46-$AE46*(1+IO$3))/$AJ46,'Технический лист'!$M:$N,2,1),(IN46-0.05)))</f>
        <v>0.35499999999999998</v>
      </c>
      <c r="IP46" s="15">
        <f>MIN(1,MAX(VLOOKUP(($AJ46-$AI46-$AH46-$AG46-$AF46-$AE46*(1+IP$3))/$AJ46,'Технический лист'!$M:$N,2,1),(IO46-0.05)))</f>
        <v>0.35499999999999998</v>
      </c>
      <c r="IQ46" s="15">
        <f>MIN(1,MAX(VLOOKUP(($AJ46-$AI46-$AH46-$AG46-$AF46-$AE46*(1+IQ$3))/$AJ46,'Технический лист'!$M:$N,2,1),(IP46-0.05)))</f>
        <v>0.32</v>
      </c>
      <c r="IR46" s="15">
        <f>MIN(1,MAX(VLOOKUP(($AJ46-$AI46-$AH46-$AG46-$AF46-$AE46*(1+IR$3))/$AJ46,'Технический лист'!$M:$N,2,1),(IQ46-0.05)))</f>
        <v>0.32</v>
      </c>
    </row>
    <row r="47" spans="1:252" ht="29.15">
      <c r="A47" s="89" t="s">
        <v>514</v>
      </c>
      <c r="B47" s="90">
        <v>4</v>
      </c>
      <c r="C47" s="5" t="s">
        <v>67</v>
      </c>
      <c r="D47" s="91">
        <v>14109</v>
      </c>
      <c r="E47" s="91" t="s">
        <v>335</v>
      </c>
      <c r="F47" s="92" t="s">
        <v>74</v>
      </c>
      <c r="G47" s="91" t="s">
        <v>19</v>
      </c>
      <c r="H47" s="91" t="s">
        <v>23</v>
      </c>
      <c r="I47" s="91" t="s">
        <v>145</v>
      </c>
      <c r="J47" s="91" t="s">
        <v>133</v>
      </c>
      <c r="K47" s="91">
        <v>351</v>
      </c>
      <c r="L47" s="85" t="s">
        <v>64</v>
      </c>
      <c r="M47" s="91" t="s">
        <v>190</v>
      </c>
      <c r="N47" s="91" t="s">
        <v>191</v>
      </c>
      <c r="O47" s="91" t="s">
        <v>192</v>
      </c>
      <c r="P47" s="89" t="s">
        <v>232</v>
      </c>
      <c r="Q47" s="91" t="s">
        <v>297</v>
      </c>
      <c r="R47" s="91" t="s">
        <v>266</v>
      </c>
      <c r="S47" s="82">
        <v>1010762</v>
      </c>
      <c r="T47" s="82">
        <v>354778428</v>
      </c>
      <c r="U47" s="81">
        <v>14102</v>
      </c>
      <c r="V47" s="81">
        <v>0</v>
      </c>
      <c r="W47" s="82">
        <v>365713490</v>
      </c>
      <c r="X47" s="112">
        <v>72</v>
      </c>
      <c r="Y47" s="112" t="s">
        <v>418</v>
      </c>
      <c r="Z47" s="113">
        <v>3</v>
      </c>
      <c r="AA47" s="113">
        <v>3</v>
      </c>
      <c r="AB47" s="113">
        <v>4</v>
      </c>
      <c r="AC47" s="99">
        <v>389.96</v>
      </c>
      <c r="AD47" s="99">
        <f t="shared" si="15"/>
        <v>139.18</v>
      </c>
      <c r="AE47" s="99">
        <v>529.14</v>
      </c>
      <c r="AF47" s="98">
        <f>(Z47+AA47+AB47)*'Ставки аренды'!$B$2/X47</f>
        <v>138.88888888888889</v>
      </c>
      <c r="AG47" s="114">
        <v>0</v>
      </c>
      <c r="AH47" s="94">
        <v>0</v>
      </c>
      <c r="AI47" s="115">
        <f>1399324/1056947*AJ47</f>
        <v>7149.222808712263</v>
      </c>
      <c r="AJ47" s="117">
        <f>Цены!$D$14</f>
        <v>5400</v>
      </c>
      <c r="AK47" s="94">
        <f>AJ47/Цены!$B$1</f>
        <v>70.76816219014357</v>
      </c>
      <c r="AL47" s="95">
        <f t="shared" si="5"/>
        <v>668.0288888888889</v>
      </c>
      <c r="AM47" s="95">
        <f t="shared" si="6"/>
        <v>4731.971111111111</v>
      </c>
      <c r="AN47" s="94">
        <f t="shared" si="16"/>
        <v>7817.251697601152</v>
      </c>
      <c r="AO47" s="118">
        <f t="shared" si="17"/>
        <v>-0.4476392032594726</v>
      </c>
      <c r="AP47" s="96">
        <f t="shared" si="7"/>
        <v>0.1237090534979424</v>
      </c>
      <c r="AQ47" s="96">
        <f t="shared" si="8"/>
        <v>9.7988888888888889E-2</v>
      </c>
      <c r="AR47" s="96">
        <f t="shared" si="9"/>
        <v>0.79209149304920279</v>
      </c>
      <c r="AS47" s="122">
        <v>1</v>
      </c>
      <c r="AT47" s="121">
        <f t="shared" si="10"/>
        <v>1010762</v>
      </c>
      <c r="AU47" s="83">
        <v>0.5</v>
      </c>
      <c r="AV47" s="119">
        <f t="shared" si="11"/>
        <v>-0.45939786992613924</v>
      </c>
      <c r="AW47" s="120">
        <f t="shared" si="12"/>
        <v>0.13546772016460906</v>
      </c>
      <c r="AX47" s="120">
        <f t="shared" si="13"/>
        <v>0.10974755555555556</v>
      </c>
      <c r="AY47" s="120">
        <f t="shared" si="14"/>
        <v>0.81013805666914218</v>
      </c>
      <c r="AZ47" s="15">
        <f>MIN(IF($AU47=100%,1,1+VLOOKUP(($AJ47-$AI47-$AH47-$AG47-$AF47-$AE47*(1+AZ$3))/$AJ47,'Технический лист'!$M:$N,2,1)-VLOOKUP($AO47,'Технический лист'!$M:$N,2,1)),1+(1-$AU47))</f>
        <v>1</v>
      </c>
      <c r="BA47" s="15">
        <f>MIN(IF($AU47=100%,1,1+VLOOKUP(($AJ47-$AI47-$AH47-$AG47-$AF47-$AE47*(1+BA$3))/$AJ47,'Технический лист'!$M:$N,2,1)-VLOOKUP($AO47,'Технический лист'!$M:$N,2,1)),1+(1-$AU47))</f>
        <v>1</v>
      </c>
      <c r="BB47" s="15">
        <f>MIN(IF($AU47=100%,1,1+VLOOKUP(($AJ47-$AI47-$AH47-$AG47-$AF47-$AE47*(1+BB$3))/$AJ47,'Технический лист'!$M:$N,2,1)-VLOOKUP($AO47,'Технический лист'!$M:$N,2,1)),1+(1-$AU47))</f>
        <v>1</v>
      </c>
      <c r="BC47" s="15">
        <f>MIN(IF($AU47=100%,1,1+VLOOKUP(($AJ47-$AI47-$AH47-$AG47-$AF47-$AE47*(1+BC$3))/$AJ47,'Технический лист'!$M:$N,2,1)-VLOOKUP($AO47,'Технический лист'!$M:$N,2,1)),1+(1-$AU47))</f>
        <v>1</v>
      </c>
      <c r="BD47" s="15">
        <f>MIN(IF($AU47=100%,1,1+VLOOKUP(($AJ47-$AI47-$AH47-$AG47-$AF47-$AE47*(1+BD$3))/$AJ47,'Технический лист'!$M:$N,2,1)-VLOOKUP($AO47,'Технический лист'!$M:$N,2,1)),1+(1-$AU47))</f>
        <v>1</v>
      </c>
      <c r="BE47" s="15">
        <f>MIN(IF($AU47=100%,1,1+VLOOKUP(($AJ47-$AI47-$AH47-$AG47-$AF47-$AE47*(1+BE$3))/$AJ47,'Технический лист'!$M:$N,2,1)-VLOOKUP($AO47,'Технический лист'!$M:$N,2,1)),1+(1-$AU47))</f>
        <v>1</v>
      </c>
      <c r="BF47" s="15">
        <f>MIN(IF($AU47=100%,1,1+VLOOKUP(($AJ47-$AI47-$AH47-$AG47-$AF47-$AE47*(1+BF$3))/$AJ47,'Технический лист'!$M:$N,2,1)-VLOOKUP($AO47,'Технический лист'!$M:$N,2,1)),1+(1-$AU47))</f>
        <v>1</v>
      </c>
      <c r="BG47" s="15">
        <f>MIN(IF($AU47=100%,1,1+VLOOKUP(($AJ47-$AI47-$AH47-$AG47-$AF47-$AE47*(1+BG$3))/$AJ47,'Технический лист'!$M:$N,2,1)-VLOOKUP($AO47,'Технический лист'!$M:$N,2,1)),1+(1-$AU47))</f>
        <v>1</v>
      </c>
      <c r="BH47" s="15">
        <f>MIN(IF($AU47=100%,1,1+VLOOKUP(($AJ47-$AI47-$AH47-$AG47-$AF47-$AE47*(1+BH$3))/$AJ47,'Технический лист'!$M:$N,2,1)-VLOOKUP($AO47,'Технический лист'!$M:$N,2,1)),1+(1-$AU47))</f>
        <v>1</v>
      </c>
      <c r="BI47" s="15">
        <f>MIN(IF($AU47=100%,1,1+VLOOKUP(($AJ47-$AI47-$AH47-$AG47-$AF47-$AE47*(1+BI$3))/$AJ47,'Технический лист'!$M:$N,2,1)-VLOOKUP($AO47,'Технический лист'!$M:$N,2,1)),1+(1-$AU47))</f>
        <v>1</v>
      </c>
      <c r="BJ47" s="15">
        <f>MIN(IF($AU47=100%,1,1+VLOOKUP(($AJ47-$AI47-$AH47-$AG47-$AF47-$AE47*(1+BJ$3))/$AJ47,'Технический лист'!$M:$N,2,1)-VLOOKUP($AO47,'Технический лист'!$M:$N,2,1)),1+(1-$AU47))</f>
        <v>1</v>
      </c>
      <c r="BK47" s="15">
        <f>MIN(IF($AU47=100%,1,1+VLOOKUP(($AJ47-$AI47-$AH47-$AG47-$AF47-$AE47*(1+BK$3))/$AJ47,'Технический лист'!$M:$N,2,1)-VLOOKUP($AO47,'Технический лист'!$M:$N,2,1)),1+(1-$AU47))</f>
        <v>1</v>
      </c>
      <c r="BL47" s="15">
        <f>MIN(IF($AU47=100%,1,1+VLOOKUP(($AJ47-$AI47-$AH47-$AG47-$AF47-$AE47*(1+BL$3))/$AJ47,'Технический лист'!$M:$N,2,1)-VLOOKUP($AO47,'Технический лист'!$M:$N,2,1)),1+(1-$AU47))</f>
        <v>1</v>
      </c>
      <c r="BM47" s="15">
        <f>MIN(IF($AU47=100%,1,1+VLOOKUP(($AJ47-$AI47-$AH47-$AG47-$AF47-$AE47*(1+BM$3))/$AJ47,'Технический лист'!$M:$N,2,1)-VLOOKUP($AO47,'Технический лист'!$M:$N,2,1)),1+(1-$AU47))</f>
        <v>1</v>
      </c>
      <c r="BN47" s="15">
        <f>MIN(IF($AU47=100%,1,1+VLOOKUP(($AJ47-$AI47-$AH47-$AG47-$AF47-$AE47*(1+BN$3))/$AJ47,'Технический лист'!$M:$N,2,1)-VLOOKUP($AO47,'Технический лист'!$M:$N,2,1)),1+(1-$AU47))</f>
        <v>1</v>
      </c>
      <c r="BO47" s="15">
        <f>MIN(IF($AU47=100%,1,1+VLOOKUP(($AJ47-$AI47-$AH47-$AG47-$AF47-$AE47*(1+BO$3))/$AJ47,'Технический лист'!$M:$N,2,1)-VLOOKUP($AO47,'Технический лист'!$M:$N,2,1)),1+(1-$AU47))</f>
        <v>1</v>
      </c>
      <c r="BP47" s="15">
        <f>MIN(IF($AU47=100%,1,1+VLOOKUP(($AJ47-$AI47-$AH47-$AG47-$AF47-$AE47*(1+BP$3))/$AJ47,'Технический лист'!$M:$N,2,1)-VLOOKUP($AO47,'Технический лист'!$M:$N,2,1)),1+(1-$AU47))</f>
        <v>1</v>
      </c>
      <c r="BQ47" s="15">
        <f>MIN(IF($AU47=100%,1,1+VLOOKUP(($AJ47-$AI47-$AH47-$AG47-$AF47-$AE47*(1+BQ$3))/$AJ47,'Технический лист'!$M:$N,2,1)-VLOOKUP($AO47,'Технический лист'!$M:$N,2,1)),1+(1-$AU47))</f>
        <v>1</v>
      </c>
      <c r="BR47" s="15">
        <f>MIN(IF($AU47=100%,1,1+VLOOKUP(($AJ47-$AI47-$AH47-$AG47-$AF47-$AE47*(1+BR$3))/$AJ47,'Технический лист'!$M:$N,2,1)-VLOOKUP($AO47,'Технический лист'!$M:$N,2,1)),1+(1-$AU47))</f>
        <v>1</v>
      </c>
      <c r="BS47" s="15">
        <f>MIN(IF($AU47=100%,1,1+VLOOKUP(($AJ47-$AI47-$AH47-$AG47-$AF47-$AE47*(1+BS$3))/$AJ47,'Технический лист'!$M:$N,2,1)-VLOOKUP($AO47,'Технический лист'!$M:$N,2,1)),1+(1-$AU47))</f>
        <v>1</v>
      </c>
      <c r="BT47" s="15">
        <f>MIN(IF($AU47=100%,1,1+VLOOKUP(($AJ47-$AI47-$AH47-$AG47-$AF47-$AE47*(1+BT$3))/$AJ47,'Технический лист'!$M:$N,2,1)-VLOOKUP($AO47,'Технический лист'!$M:$N,2,1)),1+(1-$AU47))</f>
        <v>1</v>
      </c>
      <c r="BU47" s="15">
        <f>MIN(IF($AU47=100%,1,1+VLOOKUP(($AJ47-$AI47-$AH47-$AG47-$AF47-$AE47*(1+BU$3))/$AJ47,'Технический лист'!$M:$N,2,1)-VLOOKUP($AO47,'Технический лист'!$M:$N,2,1)),1+(1-$AU47))</f>
        <v>1</v>
      </c>
      <c r="BV47" s="15">
        <f>MIN(IF($AU47=100%,1,1+VLOOKUP(($AJ47-$AI47-$AH47-$AG47-$AF47-$AE47*(1+BV$3))/$AJ47,'Технический лист'!$M:$N,2,1)-VLOOKUP($AO47,'Технический лист'!$M:$N,2,1)),1+(1-$AU47))</f>
        <v>1</v>
      </c>
      <c r="BW47" s="15">
        <f>MIN(IF($AU47=100%,1,1+VLOOKUP(($AJ47-$AI47-$AH47-$AG47-$AF47-$AE47*(1+BW$3))/$AJ47,'Технический лист'!$M:$N,2,1)-VLOOKUP($AO47,'Технический лист'!$M:$N,2,1)),1+(1-$AU47))</f>
        <v>1</v>
      </c>
      <c r="BX47" s="15">
        <f>MIN(IF($AU47=100%,1,1+VLOOKUP(($AJ47-$AI47-$AH47-$AG47-$AF47-$AE47*(1+BX$3))/$AJ47,'Технический лист'!$M:$N,2,1)-VLOOKUP($AO47,'Технический лист'!$M:$N,2,1)),1+(1-$AU47))</f>
        <v>1</v>
      </c>
      <c r="BY47" s="15">
        <f>MIN(IF($AU47=100%,1,1+VLOOKUP(($AJ47-$AI47-$AH47-$AG47-$AF47-$AE47*(1+BY$3))/$AJ47,'Технический лист'!$M:$N,2,1)-VLOOKUP($AO47,'Технический лист'!$M:$N,2,1)),1+(1-$AU47))</f>
        <v>1</v>
      </c>
      <c r="BZ47" s="15">
        <f>MIN(IF($AU47=100%,1,1+VLOOKUP(($AJ47-$AI47-$AH47-$AG47-$AF47-$AE47*(1+BZ$3))/$AJ47,'Технический лист'!$M:$N,2,1)-VLOOKUP($AO47,'Технический лист'!$M:$N,2,1)),1+(1-$AU47))</f>
        <v>1</v>
      </c>
      <c r="CA47" s="15">
        <f>MIN(IF($AU47=100%,1,1+VLOOKUP(($AJ47-$AI47-$AH47-$AG47-$AF47-$AE47*(1+CA$3))/$AJ47,'Технический лист'!$M:$N,2,1)-VLOOKUP($AO47,'Технический лист'!$M:$N,2,1)),1+(1-$AU47))</f>
        <v>1</v>
      </c>
      <c r="CB47" s="15">
        <f>MIN(IF($AU47=100%,1,1+VLOOKUP(($AJ47-$AI47-$AH47-$AG47-$AF47-$AE47*(1+CB$3))/$AJ47,'Технический лист'!$M:$N,2,1)-VLOOKUP($AO47,'Технический лист'!$M:$N,2,1)),1+(1-$AU47))</f>
        <v>1</v>
      </c>
      <c r="CC47" s="15">
        <f>MIN(IF($AU47=100%,1,1+VLOOKUP(($AJ47-$AI47-$AH47-$AG47-$AF47-$AE47*(1+CC$3))/$AJ47,'Технический лист'!$M:$N,2,1)-VLOOKUP($AO47,'Технический лист'!$M:$N,2,1)),1+(1-$AU47))</f>
        <v>1</v>
      </c>
      <c r="CD47" s="15">
        <f>MIN(IF($AU47=100%,1,1+VLOOKUP(($AJ47-$AI47-$AH47-$AG47-$AF47-$AE47*(1+CD$3))/$AJ47,'Технический лист'!$M:$N,2,1)-VLOOKUP($AO47,'Технический лист'!$M:$N,2,1)),1+(1-$AU47))</f>
        <v>1</v>
      </c>
      <c r="CE47" s="15">
        <f>MIN(IF($AU47=100%,1,1+VLOOKUP(($AJ47-$AI47-$AH47-$AG47-$AF47-$AE47*(1+CE$3))/$AJ47,'Технический лист'!$M:$N,2,1)-VLOOKUP($AO47,'Технический лист'!$M:$N,2,1)),1+(1-$AU47))</f>
        <v>1</v>
      </c>
      <c r="CF47" s="15">
        <f>MIN(IF($AU47=100%,1,1+VLOOKUP(($AJ47-$AI47-$AH47-$AG47-$AF47-$AE47*(1+CF$3))/$AJ47,'Технический лист'!$M:$N,2,1)-VLOOKUP($AO47,'Технический лист'!$M:$N,2,1)),1+(1-$AU47))</f>
        <v>1</v>
      </c>
      <c r="CG47" s="15">
        <f>MIN(IF($AU47=100%,1,1+VLOOKUP(($AJ47-$AI47-$AH47-$AG47-$AF47-$AE47*(1+CG$3))/$AJ47,'Технический лист'!$M:$N,2,1)-VLOOKUP($AO47,'Технический лист'!$M:$N,2,1)),1+(1-$AU47))</f>
        <v>1</v>
      </c>
      <c r="CH47" s="15">
        <f>MIN(IF($AU47=100%,1,1+VLOOKUP(($AJ47-$AI47-$AH47-$AG47-$AF47-$AE47*(1+CH$3))/$AJ47,'Технический лист'!$M:$N,2,1)-VLOOKUP($AO47,'Технический лист'!$M:$N,2,1)),1+(1-$AU47))</f>
        <v>1</v>
      </c>
      <c r="CI47" s="15">
        <f>MIN(IF($AU47=100%,1,1+VLOOKUP(($AJ47-$AI47-$AH47-$AG47-$AF47-$AE47*(1+CI$3))/$AJ47,'Технический лист'!$M:$N,2,1)-VLOOKUP($AO47,'Технический лист'!$M:$N,2,1)),1+(1-$AU47))</f>
        <v>1</v>
      </c>
      <c r="CJ47" s="15">
        <f>MIN(IF($AU47=100%,1,1+VLOOKUP(($AJ47-$AI47-$AH47-$AG47-$AF47-$AE47*(1+CJ$3))/$AJ47,'Технический лист'!$M:$N,2,1)-VLOOKUP($AO47,'Технический лист'!$M:$N,2,1)),1+(1-$AU47))</f>
        <v>1</v>
      </c>
      <c r="CK47" s="15">
        <f>MIN(IF($AU47=100%,1,1+VLOOKUP(($AJ47-$AI47-$AH47-$AG47-$AF47-$AE47*(1+CK$3))/$AJ47,'Технический лист'!$M:$N,2,1)-VLOOKUP($AO47,'Технический лист'!$M:$N,2,1)),1+(1-$AU47))</f>
        <v>1</v>
      </c>
      <c r="CL47" s="15">
        <f>MIN(IF($AU47=100%,1,1+VLOOKUP(($AJ47-$AI47-$AH47-$AG47-$AF47-$AE47*(1+CL$3))/$AJ47,'Технический лист'!$M:$N,2,1)-VLOOKUP($AO47,'Технический лист'!$M:$N,2,1)),1+(1-$AU47))</f>
        <v>1</v>
      </c>
      <c r="CM47" s="15">
        <f>MIN(IF($AU47=100%,1,1+VLOOKUP(($AJ47-$AI47-$AH47-$AG47-$AF47-$AE47*(1+CM$3))/$AJ47,'Технический лист'!$M:$N,2,1)-VLOOKUP($AO47,'Технический лист'!$M:$N,2,1)),1+(1-$AU47))</f>
        <v>1</v>
      </c>
      <c r="CN47" s="15">
        <f>MIN(IF($AU47=100%,1,1+VLOOKUP(($AJ47-$AI47-$AH47-$AG47-$AF47-$AE47*(1+CN$3))/$AJ47,'Технический лист'!$M:$N,2,1)-VLOOKUP($AO47,'Технический лист'!$M:$N,2,1)),1+(1-$AU47))</f>
        <v>1</v>
      </c>
      <c r="CO47" s="15">
        <f>MIN(IF($AU47=100%,1,1+VLOOKUP(($AJ47-$AI47-$AH47-$AG47-$AF47-$AE47*(1+CO$3))/$AJ47,'Технический лист'!$M:$N,2,1)-VLOOKUP($AO47,'Технический лист'!$M:$N,2,1)),1+(1-$AU47))</f>
        <v>1</v>
      </c>
      <c r="CP47" s="15">
        <f>MIN(IF($AU47=100%,1,1+VLOOKUP(($AJ47-$AI47-$AH47-$AG47-$AF47-$AE47*(1+CP$3))/$AJ47,'Технический лист'!$M:$N,2,1)-VLOOKUP($AO47,'Технический лист'!$M:$N,2,1)),1+(1-$AU47))</f>
        <v>1</v>
      </c>
      <c r="CQ47" s="15">
        <f>MIN(IF($AU47=100%,1,1+VLOOKUP(($AJ47-$AI47-$AH47-$AG47-$AF47-$AE47*(1+CQ$3))/$AJ47,'Технический лист'!$M:$N,2,1)-VLOOKUP($AO47,'Технический лист'!$M:$N,2,1)),1+(1-$AU47))</f>
        <v>1</v>
      </c>
      <c r="CR47" s="15">
        <f>MIN(IF($AU47=100%,1,1+VLOOKUP(($AJ47-$AI47-$AH47-$AG47-$AF47-$AE47*(1+CR$3))/$AJ47,'Технический лист'!$M:$N,2,1)-VLOOKUP($AO47,'Технический лист'!$M:$N,2,1)),1+(1-$AU47))</f>
        <v>1</v>
      </c>
      <c r="CS47" s="15">
        <f>MIN(IF($AU47=100%,1,1+VLOOKUP(($AJ47-$AI47-$AH47-$AG47-$AF47-$AE47*(1+CS$3))/$AJ47,'Технический лист'!$M:$N,2,1)-VLOOKUP($AO47,'Технический лист'!$M:$N,2,1)),1+(1-$AU47))</f>
        <v>1</v>
      </c>
      <c r="CT47" s="15">
        <f>MIN(IF($AU47=100%,1,1+VLOOKUP(($AJ47-$AI47-$AH47-$AG47-$AF47-$AE47*(1+CT$3))/$AJ47,'Технический лист'!$M:$N,2,1)-VLOOKUP($AO47,'Технический лист'!$M:$N,2,1)),1+(1-$AU47))</f>
        <v>1</v>
      </c>
      <c r="CU47" s="15">
        <f>MIN(IF($AU47=100%,1,1+VLOOKUP(($AJ47-$AI47-$AH47-$AG47-$AF47-$AE47*(1+CU$3))/$AJ47,'Технический лист'!$M:$N,2,1)-VLOOKUP($AO47,'Технический лист'!$M:$N,2,1)),1+(1-$AU47))</f>
        <v>1</v>
      </c>
      <c r="CV47" s="15">
        <f>MIN(IF($AU47=100%,1,1+VLOOKUP(($AJ47-$AI47-$AH47-$AG47-$AF47-$AE47*(1+CV$3))/$AJ47,'Технический лист'!$M:$N,2,1)-VLOOKUP($AO47,'Технический лист'!$M:$N,2,1)),1+(1-$AU47))</f>
        <v>1</v>
      </c>
      <c r="CW47" s="15">
        <f>MIN(IF($AU47=100%,1,1+VLOOKUP(($AJ47-$AI47-$AH47-$AG47-$AF47-$AE47*(1+CW$3))/$AJ47,'Технический лист'!$M:$N,2,1)-VLOOKUP($AO47,'Технический лист'!$M:$N,2,1)),1+(1-$AU47))</f>
        <v>1</v>
      </c>
      <c r="CX47" s="15">
        <f>MIN(IF($AU47=100%,1,1+VLOOKUP(($AJ47-$AI47-$AH47-$AG47-$AF47-$AE47*(1+CX$3))/$AJ47,'Технический лист'!$M:$N,2,1)-VLOOKUP($AO47,'Технический лист'!$M:$N,2,1)),1+(1-$AU47))</f>
        <v>1</v>
      </c>
      <c r="CY47" s="15">
        <f>MIN(IF($AU47=100%,1,1+VLOOKUP(($AJ47-$AI47-$AH47-$AG47-$AF47-$AE47*(1+CY$3))/$AJ47,'Технический лист'!$M:$N,2,1)-VLOOKUP($AO47,'Технический лист'!$M:$N,2,1)),1+(1-$AU47))</f>
        <v>1</v>
      </c>
      <c r="CZ47" s="15">
        <f>MIN(IF($AU47=100%,1,1+VLOOKUP(($AJ47-$AI47-$AH47-$AG47-$AF47-$AE47*(1+CZ$3))/$AJ47,'Технический лист'!$M:$N,2,1)-VLOOKUP($AO47,'Технический лист'!$M:$N,2,1)),1+(1-$AU47))</f>
        <v>1</v>
      </c>
      <c r="DA47" s="15">
        <f>MIN(IF($AU47=100%,1,1+VLOOKUP(($AJ47-$AI47-$AH47-$AG47-$AF47-$AE47*(1+DA$3))/$AJ47,'Технический лист'!$M:$N,2,1)-VLOOKUP($AO47,'Технический лист'!$M:$N,2,1)),1+(1-$AU47))</f>
        <v>1</v>
      </c>
      <c r="DB47" s="15">
        <f>MIN(IF($AU47=100%,1,1+VLOOKUP(($AJ47-$AI47-$AH47-$AG47-$AF47-$AE47*(1+DB$3))/$AJ47,'Технический лист'!$M:$N,2,1)-VLOOKUP($AO47,'Технический лист'!$M:$N,2,1)),1+(1-$AU47))</f>
        <v>1</v>
      </c>
      <c r="DC47" s="15">
        <f>MIN(IF($AU47=100%,1,1+VLOOKUP(($AJ47-$AI47-$AH47-$AG47-$AF47-$AE47*(1+DC$3))/$AJ47,'Технический лист'!$M:$N,2,1)-VLOOKUP($AO47,'Технический лист'!$M:$N,2,1)),1+(1-$AU47))</f>
        <v>1</v>
      </c>
      <c r="DD47" s="15">
        <f>MIN(IF($AU47=100%,1,1+VLOOKUP(($AJ47-$AI47-$AH47-$AG47-$AF47-$AE47*(1+DD$3))/$AJ47,'Технический лист'!$M:$N,2,1)-VLOOKUP($AO47,'Технический лист'!$M:$N,2,1)),1+(1-$AU47))</f>
        <v>1</v>
      </c>
      <c r="DE47" s="15">
        <f>MIN(IF($AU47=100%,1,1+VLOOKUP(($AJ47-$AI47-$AH47-$AG47-$AF47-$AE47*(1+DE$3))/$AJ47,'Технический лист'!$M:$N,2,1)-VLOOKUP($AO47,'Технический лист'!$M:$N,2,1)),1+(1-$AU47))</f>
        <v>1</v>
      </c>
      <c r="DF47" s="15">
        <f>MIN(IF($AU47=100%,1,1+VLOOKUP(($AJ47-$AI47-$AH47-$AG47-$AF47-$AE47*(1+DF$3))/$AJ47,'Технический лист'!$M:$N,2,1)-VLOOKUP($AO47,'Технический лист'!$M:$N,2,1)),1+(1-$AU47))</f>
        <v>1</v>
      </c>
      <c r="DG47" s="15">
        <f>MIN(IF($AU47=100%,1,1+VLOOKUP(($AJ47-$AI47-$AH47-$AG47-$AF47-$AE47*(1+DG$3))/$AJ47,'Технический лист'!$M:$N,2,1)-VLOOKUP($AO47,'Технический лист'!$M:$N,2,1)),1+(1-$AU47))</f>
        <v>1</v>
      </c>
      <c r="DH47" s="15">
        <f>MIN(IF($AU47=100%,1,1+VLOOKUP(($AJ47-$AI47-$AH47-$AG47-$AF47-$AE47*(1+DH$3))/$AJ47,'Технический лист'!$M:$N,2,1)-VLOOKUP($AO47,'Технический лист'!$M:$N,2,1)),1+(1-$AU47))</f>
        <v>1</v>
      </c>
      <c r="DI47" s="15">
        <f>MIN(IF($AU47=100%,1,1+VLOOKUP(($AJ47-$AI47-$AH47-$AG47-$AF47-$AE47*(1+DI$3))/$AJ47,'Технический лист'!$M:$N,2,1)-VLOOKUP($AO47,'Технический лист'!$M:$N,2,1)),1+(1-$AU47))</f>
        <v>1</v>
      </c>
      <c r="DJ47" s="15">
        <f>MIN(IF($AU47=100%,1,1+VLOOKUP(($AJ47-$AI47-$AH47-$AG47-$AF47-$AE47*(1+DJ$3))/$AJ47,'Технический лист'!$M:$N,2,1)-VLOOKUP($AO47,'Технический лист'!$M:$N,2,1)),1+(1-$AU47))</f>
        <v>1</v>
      </c>
      <c r="DK47" s="15">
        <f>MIN(IF($AU47=100%,1,1+VLOOKUP(($AJ47-$AI47-$AH47-$AG47-$AF47-$AE47*(1+DK$3))/$AJ47,'Технический лист'!$M:$N,2,1)-VLOOKUP($AO47,'Технический лист'!$M:$N,2,1)),1+(1-$AU47))</f>
        <v>1</v>
      </c>
      <c r="DL47" s="15">
        <f>MIN(IF($AU47=100%,1,1+VLOOKUP(($AJ47-$AI47-$AH47-$AG47-$AF47-$AE47*(1+DL$3))/$AJ47,'Технический лист'!$M:$N,2,1)-VLOOKUP($AO47,'Технический лист'!$M:$N,2,1)),1+(1-$AU47))</f>
        <v>1</v>
      </c>
      <c r="DM47" s="15">
        <f>MIN(IF($AU47=100%,1,1+VLOOKUP(($AJ47-$AI47-$AH47-$AG47-$AF47-$AE47*(1+DM$3))/$AJ47,'Технический лист'!$M:$N,2,1)-VLOOKUP($AO47,'Технический лист'!$M:$N,2,1)),1+(1-$AU47))</f>
        <v>1</v>
      </c>
      <c r="DN47" s="15">
        <f>MIN(IF($AU47=100%,1,1+VLOOKUP(($AJ47-$AI47-$AH47-$AG47-$AF47-$AE47*(1+DN$3))/$AJ47,'Технический лист'!$M:$N,2,1)-VLOOKUP($AO47,'Технический лист'!$M:$N,2,1)),1+(1-$AU47))</f>
        <v>1</v>
      </c>
      <c r="DO47" s="15">
        <f>MIN(IF($AU47=100%,1,1+VLOOKUP(($AJ47-$AI47-$AH47-$AG47-$AF47-$AE47*(1+DO$3))/$AJ47,'Технический лист'!$M:$N,2,1)-VLOOKUP($AO47,'Технический лист'!$M:$N,2,1)),1+(1-$AU47))</f>
        <v>1</v>
      </c>
      <c r="DP47" s="15">
        <f>MIN(IF($AU47=100%,1,1+VLOOKUP(($AJ47-$AI47-$AH47-$AG47-$AF47-$AE47*(1+DP$3))/$AJ47,'Технический лист'!$M:$N,2,1)-VLOOKUP($AO47,'Технический лист'!$M:$N,2,1)),1+(1-$AU47))</f>
        <v>1</v>
      </c>
      <c r="DQ47" s="15">
        <f>MIN(IF($AU47=100%,1,1+VLOOKUP(($AJ47-$AI47-$AH47-$AG47-$AF47-$AE47*(1+DQ$3))/$AJ47,'Технический лист'!$M:$N,2,1)-VLOOKUP($AO47,'Технический лист'!$M:$N,2,1)),1+(1-$AU47))</f>
        <v>1</v>
      </c>
      <c r="DR47" s="15">
        <f>MIN(IF($AU47=100%,1,1+VLOOKUP(($AJ47-$AI47-$AH47-$AG47-$AF47-$AE47*(1+DR$3))/$AJ47,'Технический лист'!$M:$N,2,1)-VLOOKUP($AO47,'Технический лист'!$M:$N,2,1)),1+(1-$AU47))</f>
        <v>1</v>
      </c>
      <c r="DS47" s="15">
        <f>MIN(IF($AU47=100%,1,1+VLOOKUP(($AJ47-$AI47-$AH47-$AG47-$AF47-$AE47*(1+DS$3))/$AJ47,'Технический лист'!$M:$N,2,1)-VLOOKUP($AO47,'Технический лист'!$M:$N,2,1)),1+(1-$AU47))</f>
        <v>1</v>
      </c>
      <c r="DT47" s="15">
        <f>MIN(IF($AU47=100%,1,1+VLOOKUP(($AJ47-$AI47-$AH47-$AG47-$AF47-$AE47*(1+DT$3))/$AJ47,'Технический лист'!$M:$N,2,1)-VLOOKUP($AO47,'Технический лист'!$M:$N,2,1)),1+(1-$AU47))</f>
        <v>1</v>
      </c>
      <c r="DU47" s="15">
        <f>MIN(IF($AU47=100%,1,1+VLOOKUP(($AJ47-$AI47-$AH47-$AG47-$AF47-$AE47*(1+DU$3))/$AJ47,'Технический лист'!$M:$N,2,1)-VLOOKUP($AO47,'Технический лист'!$M:$N,2,1)),1+(1-$AU47))</f>
        <v>1</v>
      </c>
      <c r="DV47" s="15">
        <f>MIN(IF($AU47=100%,1,1+VLOOKUP(($AJ47-$AI47-$AH47-$AG47-$AF47-$AE47*(1+DV$3))/$AJ47,'Технический лист'!$M:$N,2,1)-VLOOKUP($AO47,'Технический лист'!$M:$N,2,1)),1+(1-$AU47))</f>
        <v>1</v>
      </c>
      <c r="DW47" s="15">
        <f>MIN(IF($AU47=100%,1,1+VLOOKUP(($AJ47-$AI47-$AH47-$AG47-$AF47-$AE47*(1+DW$3))/$AJ47,'Технический лист'!$M:$N,2,1)-VLOOKUP($AO47,'Технический лист'!$M:$N,2,1)),1+(1-$AU47))</f>
        <v>1</v>
      </c>
      <c r="DX47" s="15">
        <f>MIN(IF($AU47=100%,1,1+VLOOKUP(($AJ47-$AI47-$AH47-$AG47-$AF47-$AE47*(1+DX$3))/$AJ47,'Технический лист'!$M:$N,2,1)-VLOOKUP($AO47,'Технический лист'!$M:$N,2,1)),1+(1-$AU47))</f>
        <v>1</v>
      </c>
      <c r="DY47" s="15">
        <f>MIN(IF($AU47=100%,1,1+VLOOKUP(($AJ47-$AI47-$AH47-$AG47-$AF47-$AE47*(1+DY$3))/$AJ47,'Технический лист'!$M:$N,2,1)-VLOOKUP($AO47,'Технический лист'!$M:$N,2,1)),1+(1-$AU47))</f>
        <v>1</v>
      </c>
      <c r="DZ47" s="15">
        <f>MIN(IF($AU47=100%,1,1+VLOOKUP(($AJ47-$AI47-$AH47-$AG47-$AF47-$AE47*(1+DZ$3))/$AJ47,'Технический лист'!$M:$N,2,1)-VLOOKUP($AO47,'Технический лист'!$M:$N,2,1)),1+(1-$AU47))</f>
        <v>1</v>
      </c>
      <c r="EA47" s="15">
        <f>MIN(IF($AU47=100%,1,1+VLOOKUP(($AJ47-$AI47-$AH47-$AG47-$AF47-$AE47*(1+EA$3))/$AJ47,'Технический лист'!$M:$N,2,1)-VLOOKUP($AO47,'Технический лист'!$M:$N,2,1)),1+(1-$AU47))</f>
        <v>1</v>
      </c>
      <c r="EB47" s="15">
        <f>MIN(IF($AU47=100%,1,1+VLOOKUP(($AJ47-$AI47-$AH47-$AG47-$AF47-$AE47*(1+EB$3))/$AJ47,'Технический лист'!$M:$N,2,1)-VLOOKUP($AO47,'Технический лист'!$M:$N,2,1)),1+(1-$AU47))</f>
        <v>1</v>
      </c>
      <c r="EC47" s="15">
        <f>MIN(IF($AU47=100%,1,1+VLOOKUP(($AJ47-$AI47-$AH47-$AG47-$AF47-$AE47*(1+EC$3))/$AJ47,'Технический лист'!$M:$N,2,1)-VLOOKUP($AO47,'Технический лист'!$M:$N,2,1)),1+(1-$AU47))</f>
        <v>1</v>
      </c>
      <c r="ED47" s="15">
        <f>MIN(IF($AU47=100%,1,1+VLOOKUP(($AJ47-$AI47-$AH47-$AG47-$AF47-$AE47*(1+ED$3))/$AJ47,'Технический лист'!$M:$N,2,1)-VLOOKUP($AO47,'Технический лист'!$M:$N,2,1)),1+(1-$AU47))</f>
        <v>1</v>
      </c>
      <c r="EE47" s="15">
        <f>MIN(IF($AU47=100%,1,1+VLOOKUP(($AJ47-$AI47-$AH47-$AG47-$AF47-$AE47*(1+EE$3))/$AJ47,'Технический лист'!$M:$N,2,1)-VLOOKUP($AO47,'Технический лист'!$M:$N,2,1)),1+(1-$AU47))</f>
        <v>1</v>
      </c>
      <c r="EF47" s="15">
        <f>MIN(IF($AU47=100%,1,1+VLOOKUP(($AJ47-$AI47-$AH47-$AG47-$AF47-$AE47*(1+EF$3))/$AJ47,'Технический лист'!$M:$N,2,1)-VLOOKUP($AO47,'Технический лист'!$M:$N,2,1)),1+(1-$AU47))</f>
        <v>1</v>
      </c>
      <c r="EG47" s="15">
        <f>MIN(IF($AU47=100%,1,1+VLOOKUP(($AJ47-$AI47-$AH47-$AG47-$AF47-$AE47*(1+EG$3))/$AJ47,'Технический лист'!$M:$N,2,1)-VLOOKUP($AO47,'Технический лист'!$M:$N,2,1)),1+(1-$AU47))</f>
        <v>1</v>
      </c>
      <c r="EH47" s="15">
        <f>MIN(IF($AU47=100%,1,1+VLOOKUP(($AJ47-$AI47-$AH47-$AG47-$AF47-$AE47*(1+EH$3))/$AJ47,'Технический лист'!$M:$N,2,1)-VLOOKUP($AO47,'Технический лист'!$M:$N,2,1)),1+(1-$AU47))</f>
        <v>1</v>
      </c>
      <c r="EI47" s="15">
        <f>MIN(IF($AU47=100%,1,1+VLOOKUP(($AJ47-$AI47-$AH47-$AG47-$AF47-$AE47*(1+EI$3))/$AJ47,'Технический лист'!$M:$N,2,1)-VLOOKUP($AO47,'Технический лист'!$M:$N,2,1)),1+(1-$AU47))</f>
        <v>1</v>
      </c>
      <c r="EJ47" s="15">
        <f>MIN(IF($AU47=100%,1,1+VLOOKUP(($AJ47-$AI47-$AH47-$AG47-$AF47-$AE47*(1+EJ$3))/$AJ47,'Технический лист'!$M:$N,2,1)-VLOOKUP($AO47,'Технический лист'!$M:$N,2,1)),1+(1-$AU47))</f>
        <v>1</v>
      </c>
      <c r="EK47" s="15">
        <f>MIN(IF($AU47=100%,1,1+VLOOKUP(($AJ47-$AI47-$AH47-$AG47-$AF47-$AE47*(1+EK$3))/$AJ47,'Технический лист'!$M:$N,2,1)-VLOOKUP($AO47,'Технический лист'!$M:$N,2,1)),1+(1-$AU47))</f>
        <v>1</v>
      </c>
      <c r="EL47" s="15">
        <f>MIN(IF($AU47=100%,1,1+VLOOKUP(($AJ47-$AI47-$AH47-$AG47-$AF47-$AE47*(1+EL$3))/$AJ47,'Технический лист'!$M:$N,2,1)-VLOOKUP($AO47,'Технический лист'!$M:$N,2,1)),1+(1-$AU47))</f>
        <v>1</v>
      </c>
      <c r="EM47" s="15">
        <f>MIN(IF($AU47=100%,1,1+VLOOKUP(($AJ47-$AI47-$AH47-$AG47-$AF47-$AE47*(1+EM$3))/$AJ47,'Технический лист'!$M:$N,2,1)-VLOOKUP($AO47,'Технический лист'!$M:$N,2,1)),1+(1-$AU47))</f>
        <v>1</v>
      </c>
      <c r="EN47" s="15">
        <f>MIN(IF($AU47=100%,1,1+VLOOKUP(($AJ47-$AI47-$AH47-$AG47-$AF47-$AE47*(1+EN$3))/$AJ47,'Технический лист'!$M:$N,2,1)-VLOOKUP($AO47,'Технический лист'!$M:$N,2,1)),1+(1-$AU47))</f>
        <v>1</v>
      </c>
      <c r="EO47" s="15">
        <f>MIN(IF($AU47=100%,1,1+VLOOKUP(($AJ47-$AI47-$AH47-$AG47-$AF47-$AE47*(1+EO$3))/$AJ47,'Технический лист'!$M:$N,2,1)-VLOOKUP($AO47,'Технический лист'!$M:$N,2,1)),1+(1-$AU47))</f>
        <v>1</v>
      </c>
      <c r="EP47" s="15">
        <f>MIN(IF($AU47=100%,1,1+VLOOKUP(($AJ47-$AI47-$AH47-$AG47-$AF47-$AE47*(1+EP$3))/$AJ47,'Технический лист'!$M:$N,2,1)-VLOOKUP($AO47,'Технический лист'!$M:$N,2,1)),1+(1-$AU47))</f>
        <v>1</v>
      </c>
      <c r="EQ47" s="15">
        <f>MIN(IF($AU47=100%,1,1+VLOOKUP(($AJ47-$AI47-$AH47-$AG47-$AF47-$AE47*(1+EQ$3))/$AJ47,'Технический лист'!$M:$N,2,1)-VLOOKUP($AO47,'Технический лист'!$M:$N,2,1)),1+(1-$AU47))</f>
        <v>1</v>
      </c>
      <c r="ER47" s="15">
        <f>MIN(IF($AU47=100%,1,1+VLOOKUP(($AJ47-$AI47-$AH47-$AG47-$AF47-$AE47*(1+ER$3))/$AJ47,'Технический лист'!$M:$N,2,1)-VLOOKUP($AO47,'Технический лист'!$M:$N,2,1)),1+(1-$AU47))</f>
        <v>1</v>
      </c>
      <c r="ES47" s="15">
        <f>MIN(IF($AU47=100%,1,1+VLOOKUP(($AJ47-$AI47-$AH47-$AG47-$AF47-$AE47*(1+ES$3))/$AJ47,'Технический лист'!$M:$N,2,1)-VLOOKUP($AO47,'Технический лист'!$M:$N,2,1)),1+(1-$AU47))</f>
        <v>1</v>
      </c>
      <c r="ET47" s="15">
        <f>MIN(IF($AU47=100%,1,1+VLOOKUP(($AJ47-$AI47-$AH47-$AG47-$AF47-$AE47*(1+ET$3))/$AJ47,'Технический лист'!$M:$N,2,1)-VLOOKUP($AO47,'Технический лист'!$M:$N,2,1)),1+(1-$AU47))</f>
        <v>1</v>
      </c>
      <c r="EU47" s="15">
        <f>MIN(IF($AU47=100%,1,1+VLOOKUP(($AJ47-$AI47-$AH47-$AG47-$AF47-$AE47*(1+EU$3))/$AJ47,'Технический лист'!$M:$N,2,1)-VLOOKUP($AO47,'Технический лист'!$M:$N,2,1)),1+(1-$AU47))</f>
        <v>1</v>
      </c>
      <c r="EV47" s="111">
        <v>1</v>
      </c>
      <c r="EW47" s="15">
        <f>MIN(1,MAX(VLOOKUP(($AJ47-$AI47-$AH47-$AG47-$AF47-$AE47*(1+EW$3))/$AJ47,'Технический лист'!$M:$N,2,1),(EV47-0.05)))</f>
        <v>0.95</v>
      </c>
      <c r="EX47" s="15">
        <f>MIN(1,MAX(VLOOKUP(($AJ47-$AI47-$AH47-$AG47-$AF47-$AE47*(1+EX$3))/$AJ47,'Технический лист'!$M:$N,2,1),(EW47-0.05)))</f>
        <v>0.89999999999999991</v>
      </c>
      <c r="EY47" s="15">
        <f>MIN(1,MAX(VLOOKUP(($AJ47-$AI47-$AH47-$AG47-$AF47-$AE47*(1+EY$3))/$AJ47,'Технический лист'!$M:$N,2,1),(EX47-0.05)))</f>
        <v>0.84999999999999987</v>
      </c>
      <c r="EZ47" s="15">
        <f>MIN(1,MAX(VLOOKUP(($AJ47-$AI47-$AH47-$AG47-$AF47-$AE47*(1+EZ$3))/$AJ47,'Технический лист'!$M:$N,2,1),(EY47-0.05)))</f>
        <v>0.79999999999999982</v>
      </c>
      <c r="FA47" s="15">
        <f>MIN(1,MAX(VLOOKUP(($AJ47-$AI47-$AH47-$AG47-$AF47-$AE47*(1+FA$3))/$AJ47,'Технический лист'!$M:$N,2,1),(EZ47-0.05)))</f>
        <v>0.74999999999999978</v>
      </c>
      <c r="FB47" s="15">
        <f>MIN(1,MAX(VLOOKUP(($AJ47-$AI47-$AH47-$AG47-$AF47-$AE47*(1+FB$3))/$AJ47,'Технический лист'!$M:$N,2,1),(FA47-0.05)))</f>
        <v>0.69999999999999973</v>
      </c>
      <c r="FC47" s="15">
        <f>MIN(1,MAX(VLOOKUP(($AJ47-$AI47-$AH47-$AG47-$AF47-$AE47*(1+FC$3))/$AJ47,'Технический лист'!$M:$N,2,1),(FB47-0.05)))</f>
        <v>0.64999999999999969</v>
      </c>
      <c r="FD47" s="15">
        <f>MIN(1,MAX(VLOOKUP(($AJ47-$AI47-$AH47-$AG47-$AF47-$AE47*(1+FD$3))/$AJ47,'Технический лист'!$M:$N,2,1),(FC47-0.05)))</f>
        <v>0.59999999999999964</v>
      </c>
      <c r="FE47" s="15">
        <f>MIN(1,MAX(VLOOKUP(($AJ47-$AI47-$AH47-$AG47-$AF47-$AE47*(1+FE$3))/$AJ47,'Технический лист'!$M:$N,2,1),(FD47-0.05)))</f>
        <v>0.5499999999999996</v>
      </c>
      <c r="FF47" s="15">
        <f>MIN(1,MAX(VLOOKUP(($AJ47-$AI47-$AH47-$AG47-$AF47-$AE47*(1+FF$3))/$AJ47,'Технический лист'!$M:$N,2,1),(FE47-0.05)))</f>
        <v>0.49999999999999961</v>
      </c>
      <c r="FG47" s="15">
        <f>MIN(1,MAX(VLOOKUP(($AJ47-$AI47-$AH47-$AG47-$AF47-$AE47*(1+FG$3))/$AJ47,'Технический лист'!$M:$N,2,1),(FF47-0.05)))</f>
        <v>0.44999999999999962</v>
      </c>
      <c r="FH47" s="15">
        <f>MIN(1,MAX(VLOOKUP(($AJ47-$AI47-$AH47-$AG47-$AF47-$AE47*(1+FH$3))/$AJ47,'Технический лист'!$M:$N,2,1),(FG47-0.05)))</f>
        <v>0.39999999999999963</v>
      </c>
      <c r="FI47" s="15">
        <f>MIN(1,MAX(VLOOKUP(($AJ47-$AI47-$AH47-$AG47-$AF47-$AE47*(1+FI$3))/$AJ47,'Технический лист'!$M:$N,2,1),(FH47-0.05)))</f>
        <v>0.34999999999999964</v>
      </c>
      <c r="FJ47" s="15">
        <f>MIN(1,MAX(VLOOKUP(($AJ47-$AI47-$AH47-$AG47-$AF47-$AE47*(1+FJ$3))/$AJ47,'Технический лист'!$M:$N,2,1),(FI47-0.05)))</f>
        <v>0.29999999999999966</v>
      </c>
      <c r="FK47" s="15">
        <f>MIN(1,MAX(VLOOKUP(($AJ47-$AI47-$AH47-$AG47-$AF47-$AE47*(1+FK$3))/$AJ47,'Технический лист'!$M:$N,2,1),(FJ47-0.05)))</f>
        <v>0.24999999999999967</v>
      </c>
      <c r="FL47" s="15">
        <f>MIN(1,MAX(VLOOKUP(($AJ47-$AI47-$AH47-$AG47-$AF47-$AE47*(1+FL$3))/$AJ47,'Технический лист'!$M:$N,2,1),(FK47-0.05)))</f>
        <v>0.19999999999999968</v>
      </c>
      <c r="FM47" s="15">
        <f>MIN(1,MAX(VLOOKUP(($AJ47-$AI47-$AH47-$AG47-$AF47-$AE47*(1+FM$3))/$AJ47,'Технический лист'!$M:$N,2,1),(FL47-0.05)))</f>
        <v>0.14999999999999969</v>
      </c>
      <c r="FN47" s="15">
        <f>MIN(1,MAX(VLOOKUP(($AJ47-$AI47-$AH47-$AG47-$AF47-$AE47*(1+FN$3))/$AJ47,'Технический лист'!$M:$N,2,1),(FM47-0.05)))</f>
        <v>9.9999999999999686E-2</v>
      </c>
      <c r="FO47" s="15">
        <f>MIN(1,MAX(VLOOKUP(($AJ47-$AI47-$AH47-$AG47-$AF47-$AE47*(1+FO$3))/$AJ47,'Технический лист'!$M:$N,2,1),(FN47-0.05)))</f>
        <v>4.9999999999999684E-2</v>
      </c>
      <c r="FP47" s="15">
        <f>MIN(1,MAX(VLOOKUP(($AJ47-$AI47-$AH47-$AG47-$AF47-$AE47*(1+FP$3))/$AJ47,'Технический лист'!$M:$N,2,1),(FO47-0.05)))</f>
        <v>0</v>
      </c>
      <c r="FQ47" s="15">
        <f>MIN(1,MAX(VLOOKUP(($AJ47-$AI47-$AH47-$AG47-$AF47-$AE47*(1+FQ$3))/$AJ47,'Технический лист'!$M:$N,2,1),(FP47-0.05)))</f>
        <v>0</v>
      </c>
      <c r="FR47" s="15">
        <f>MIN(1,MAX(VLOOKUP(($AJ47-$AI47-$AH47-$AG47-$AF47-$AE47*(1+FR$3))/$AJ47,'Технический лист'!$M:$N,2,1),(FQ47-0.05)))</f>
        <v>0</v>
      </c>
      <c r="FS47" s="15">
        <f>MIN(1,MAX(VLOOKUP(($AJ47-$AI47-$AH47-$AG47-$AF47-$AE47*(1+FS$3))/$AJ47,'Технический лист'!$M:$N,2,1),(FR47-0.05)))</f>
        <v>0</v>
      </c>
      <c r="FT47" s="15">
        <f>MIN(1,MAX(VLOOKUP(($AJ47-$AI47-$AH47-$AG47-$AF47-$AE47*(1+FT$3))/$AJ47,'Технический лист'!$M:$N,2,1),(FS47-0.05)))</f>
        <v>0</v>
      </c>
      <c r="FU47" s="15">
        <f>MIN(1,MAX(VLOOKUP(($AJ47-$AI47-$AH47-$AG47-$AF47-$AE47*(1+FU$3))/$AJ47,'Технический лист'!$M:$N,2,1),(FT47-0.05)))</f>
        <v>0</v>
      </c>
      <c r="FV47" s="15">
        <f>MIN(1,MAX(VLOOKUP(($AJ47-$AI47-$AH47-$AG47-$AF47-$AE47*(1+FV$3))/$AJ47,'Технический лист'!$M:$N,2,1),(FU47-0.05)))</f>
        <v>0</v>
      </c>
      <c r="FW47" s="15">
        <f>MIN(1,MAX(VLOOKUP(($AJ47-$AI47-$AH47-$AG47-$AF47-$AE47*(1+FW$3))/$AJ47,'Технический лист'!$M:$N,2,1),(FV47-0.05)))</f>
        <v>0</v>
      </c>
      <c r="FX47" s="15">
        <f>MIN(1,MAX(VLOOKUP(($AJ47-$AI47-$AH47-$AG47-$AF47-$AE47*(1+FX$3))/$AJ47,'Технический лист'!$M:$N,2,1),(FW47-0.05)))</f>
        <v>0</v>
      </c>
      <c r="FY47" s="15">
        <f>MIN(1,MAX(VLOOKUP(($AJ47-$AI47-$AH47-$AG47-$AF47-$AE47*(1+FY$3))/$AJ47,'Технический лист'!$M:$N,2,1),(FX47-0.05)))</f>
        <v>0</v>
      </c>
      <c r="FZ47" s="15">
        <f>MIN(1,MAX(VLOOKUP(($AJ47-$AI47-$AH47-$AG47-$AF47-$AE47*(1+FZ$3))/$AJ47,'Технический лист'!$M:$N,2,1),(FY47-0.05)))</f>
        <v>0</v>
      </c>
      <c r="GA47" s="15">
        <f>MIN(1,MAX(VLOOKUP(($AJ47-$AI47-$AH47-$AG47-$AF47-$AE47*(1+GA$3))/$AJ47,'Технический лист'!$M:$N,2,1),(FZ47-0.05)))</f>
        <v>0</v>
      </c>
      <c r="GB47" s="15">
        <f>MIN(1,MAX(VLOOKUP(($AJ47-$AI47-$AH47-$AG47-$AF47-$AE47*(1+GB$3))/$AJ47,'Технический лист'!$M:$N,2,1),(GA47-0.05)))</f>
        <v>0</v>
      </c>
      <c r="GC47" s="15">
        <f>MIN(1,MAX(VLOOKUP(($AJ47-$AI47-$AH47-$AG47-$AF47-$AE47*(1+GC$3))/$AJ47,'Технический лист'!$M:$N,2,1),(GB47-0.05)))</f>
        <v>0</v>
      </c>
      <c r="GD47" s="15">
        <f>MIN(1,MAX(VLOOKUP(($AJ47-$AI47-$AH47-$AG47-$AF47-$AE47*(1+GD$3))/$AJ47,'Технический лист'!$M:$N,2,1),(GC47-0.05)))</f>
        <v>0</v>
      </c>
      <c r="GE47" s="15">
        <f>MIN(1,MAX(VLOOKUP(($AJ47-$AI47-$AH47-$AG47-$AF47-$AE47*(1+GE$3))/$AJ47,'Технический лист'!$M:$N,2,1),(GD47-0.05)))</f>
        <v>0</v>
      </c>
      <c r="GF47" s="15">
        <f>MIN(1,MAX(VLOOKUP(($AJ47-$AI47-$AH47-$AG47-$AF47-$AE47*(1+GF$3))/$AJ47,'Технический лист'!$M:$N,2,1),(GE47-0.05)))</f>
        <v>0</v>
      </c>
      <c r="GG47" s="15">
        <f>MIN(1,MAX(VLOOKUP(($AJ47-$AI47-$AH47-$AG47-$AF47-$AE47*(1+GG$3))/$AJ47,'Технический лист'!$M:$N,2,1),(GF47-0.05)))</f>
        <v>0</v>
      </c>
      <c r="GH47" s="15">
        <f>MIN(1,MAX(VLOOKUP(($AJ47-$AI47-$AH47-$AG47-$AF47-$AE47*(1+GH$3))/$AJ47,'Технический лист'!$M:$N,2,1),(GG47-0.05)))</f>
        <v>0</v>
      </c>
      <c r="GI47" s="15">
        <f>MIN(1,MAX(VLOOKUP(($AJ47-$AI47-$AH47-$AG47-$AF47-$AE47*(1+GI$3))/$AJ47,'Технический лист'!$M:$N,2,1),(GH47-0.05)))</f>
        <v>0</v>
      </c>
      <c r="GJ47" s="15">
        <f>MIN(1,MAX(VLOOKUP(($AJ47-$AI47-$AH47-$AG47-$AF47-$AE47*(1+GJ$3))/$AJ47,'Технический лист'!$M:$N,2,1),(GI47-0.05)))</f>
        <v>0</v>
      </c>
      <c r="GK47" s="15">
        <f>MIN(1,MAX(VLOOKUP(($AJ47-$AI47-$AH47-$AG47-$AF47-$AE47*(1+GK$3))/$AJ47,'Технический лист'!$M:$N,2,1),(GJ47-0.05)))</f>
        <v>0</v>
      </c>
      <c r="GL47" s="15">
        <f>MIN(1,MAX(VLOOKUP(($AJ47-$AI47-$AH47-$AG47-$AF47-$AE47*(1+GL$3))/$AJ47,'Технический лист'!$M:$N,2,1),(GK47-0.05)))</f>
        <v>0</v>
      </c>
      <c r="GM47" s="15">
        <f>MIN(1,MAX(VLOOKUP(($AJ47-$AI47-$AH47-$AG47-$AF47-$AE47*(1+GM$3))/$AJ47,'Технический лист'!$M:$N,2,1),(GL47-0.05)))</f>
        <v>0</v>
      </c>
      <c r="GN47" s="15">
        <f>MIN(1,MAX(VLOOKUP(($AJ47-$AI47-$AH47-$AG47-$AF47-$AE47*(1+GN$3))/$AJ47,'Технический лист'!$M:$N,2,1),(GM47-0.05)))</f>
        <v>0</v>
      </c>
      <c r="GO47" s="15">
        <f>MIN(1,MAX(VLOOKUP(($AJ47-$AI47-$AH47-$AG47-$AF47-$AE47*(1+GO$3))/$AJ47,'Технический лист'!$M:$N,2,1),(GN47-0.05)))</f>
        <v>0</v>
      </c>
      <c r="GP47" s="15">
        <f>MIN(1,MAX(VLOOKUP(($AJ47-$AI47-$AH47-$AG47-$AF47-$AE47*(1+GP$3))/$AJ47,'Технический лист'!$M:$N,2,1),(GO47-0.05)))</f>
        <v>0</v>
      </c>
      <c r="GQ47" s="15">
        <f>MIN(1,MAX(VLOOKUP(($AJ47-$AI47-$AH47-$AG47-$AF47-$AE47*(1+GQ$3))/$AJ47,'Технический лист'!$M:$N,2,1),(GP47-0.05)))</f>
        <v>0</v>
      </c>
      <c r="GR47" s="15">
        <f>MIN(1,MAX(VLOOKUP(($AJ47-$AI47-$AH47-$AG47-$AF47-$AE47*(1+GR$3))/$AJ47,'Технический лист'!$M:$N,2,1),(GQ47-0.05)))</f>
        <v>0</v>
      </c>
      <c r="GS47" s="15">
        <f>MIN(1,MAX(VLOOKUP(($AJ47-$AI47-$AH47-$AG47-$AF47-$AE47*(1+GS$3))/$AJ47,'Технический лист'!$M:$N,2,1),(GR47-0.05)))</f>
        <v>0</v>
      </c>
      <c r="GT47" s="15">
        <f>MIN(1,MAX(VLOOKUP(($AJ47-$AI47-$AH47-$AG47-$AF47-$AE47*(1+GT$3))/$AJ47,'Технический лист'!$M:$N,2,1),(GS47-0.05)))</f>
        <v>0</v>
      </c>
      <c r="GU47" s="15">
        <f>MIN(1,MAX(VLOOKUP(($AJ47-$AI47-$AH47-$AG47-$AF47-$AE47*(1+GU$3))/$AJ47,'Технический лист'!$M:$N,2,1),(GT47-0.05)))</f>
        <v>0</v>
      </c>
      <c r="GV47" s="15">
        <f>MIN(1,MAX(VLOOKUP(($AJ47-$AI47-$AH47-$AG47-$AF47-$AE47*(1+GV$3))/$AJ47,'Технический лист'!$M:$N,2,1),(GU47-0.05)))</f>
        <v>0</v>
      </c>
      <c r="GW47" s="15">
        <f>MIN(1,MAX(VLOOKUP(($AJ47-$AI47-$AH47-$AG47-$AF47-$AE47*(1+GW$3))/$AJ47,'Технический лист'!$M:$N,2,1),(GV47-0.05)))</f>
        <v>0</v>
      </c>
      <c r="GX47" s="15">
        <f>MIN(1,MAX(VLOOKUP(($AJ47-$AI47-$AH47-$AG47-$AF47-$AE47*(1+GX$3))/$AJ47,'Технический лист'!$M:$N,2,1),(GW47-0.05)))</f>
        <v>0</v>
      </c>
      <c r="GY47" s="15">
        <f>MIN(1,MAX(VLOOKUP(($AJ47-$AI47-$AH47-$AG47-$AF47-$AE47*(1+GY$3))/$AJ47,'Технический лист'!$M:$N,2,1),(GX47-0.05)))</f>
        <v>0</v>
      </c>
      <c r="GZ47" s="15">
        <f>MIN(1,MAX(VLOOKUP(($AJ47-$AI47-$AH47-$AG47-$AF47-$AE47*(1+GZ$3))/$AJ47,'Технический лист'!$M:$N,2,1),(GY47-0.05)))</f>
        <v>0</v>
      </c>
      <c r="HA47" s="15">
        <f>MIN(1,MAX(VLOOKUP(($AJ47-$AI47-$AH47-$AG47-$AF47-$AE47*(1+HA$3))/$AJ47,'Технический лист'!$M:$N,2,1),(GZ47-0.05)))</f>
        <v>0</v>
      </c>
      <c r="HB47" s="15">
        <f>MIN(1,MAX(VLOOKUP(($AJ47-$AI47-$AH47-$AG47-$AF47-$AE47*(1+HB$3))/$AJ47,'Технический лист'!$M:$N,2,1),(HA47-0.05)))</f>
        <v>0</v>
      </c>
      <c r="HC47" s="15">
        <f>MIN(1,MAX(VLOOKUP(($AJ47-$AI47-$AH47-$AG47-$AF47-$AE47*(1+HC$3))/$AJ47,'Технический лист'!$M:$N,2,1),(HB47-0.05)))</f>
        <v>0</v>
      </c>
      <c r="HD47" s="15">
        <f>MIN(1,MAX(VLOOKUP(($AJ47-$AI47-$AH47-$AG47-$AF47-$AE47*(1+HD$3))/$AJ47,'Технический лист'!$M:$N,2,1),(HC47-0.05)))</f>
        <v>0</v>
      </c>
      <c r="HE47" s="15">
        <f>MIN(1,MAX(VLOOKUP(($AJ47-$AI47-$AH47-$AG47-$AF47-$AE47*(1+HE$3))/$AJ47,'Технический лист'!$M:$N,2,1),(HD47-0.05)))</f>
        <v>0</v>
      </c>
      <c r="HF47" s="15">
        <f>MIN(1,MAX(VLOOKUP(($AJ47-$AI47-$AH47-$AG47-$AF47-$AE47*(1+HF$3))/$AJ47,'Технический лист'!$M:$N,2,1),(HE47-0.05)))</f>
        <v>0</v>
      </c>
      <c r="HG47" s="15">
        <f>MIN(1,MAX(VLOOKUP(($AJ47-$AI47-$AH47-$AG47-$AF47-$AE47*(1+HG$3))/$AJ47,'Технический лист'!$M:$N,2,1),(HF47-0.05)))</f>
        <v>0</v>
      </c>
      <c r="HH47" s="15">
        <f>MIN(1,MAX(VLOOKUP(($AJ47-$AI47-$AH47-$AG47-$AF47-$AE47*(1+HH$3))/$AJ47,'Технический лист'!$M:$N,2,1),(HG47-0.05)))</f>
        <v>0</v>
      </c>
      <c r="HI47" s="15">
        <f>MIN(1,MAX(VLOOKUP(($AJ47-$AI47-$AH47-$AG47-$AF47-$AE47*(1+HI$3))/$AJ47,'Технический лист'!$M:$N,2,1),(HH47-0.05)))</f>
        <v>0</v>
      </c>
      <c r="HJ47" s="15">
        <f>MIN(1,MAX(VLOOKUP(($AJ47-$AI47-$AH47-$AG47-$AF47-$AE47*(1+HJ$3))/$AJ47,'Технический лист'!$M:$N,2,1),(HI47-0.05)))</f>
        <v>0</v>
      </c>
      <c r="HK47" s="15">
        <f>MIN(1,MAX(VLOOKUP(($AJ47-$AI47-$AH47-$AG47-$AF47-$AE47*(1+HK$3))/$AJ47,'Технический лист'!$M:$N,2,1),(HJ47-0.05)))</f>
        <v>0</v>
      </c>
      <c r="HL47" s="15">
        <f>MIN(1,MAX(VLOOKUP(($AJ47-$AI47-$AH47-$AG47-$AF47-$AE47*(1+HL$3))/$AJ47,'Технический лист'!$M:$N,2,1),(HK47-0.05)))</f>
        <v>0</v>
      </c>
      <c r="HM47" s="15">
        <f>MIN(1,MAX(VLOOKUP(($AJ47-$AI47-$AH47-$AG47-$AF47-$AE47*(1+HM$3))/$AJ47,'Технический лист'!$M:$N,2,1),(HL47-0.05)))</f>
        <v>0</v>
      </c>
      <c r="HN47" s="15">
        <f>MIN(1,MAX(VLOOKUP(($AJ47-$AI47-$AH47-$AG47-$AF47-$AE47*(1+HN$3))/$AJ47,'Технический лист'!$M:$N,2,1),(HM47-0.05)))</f>
        <v>0</v>
      </c>
      <c r="HO47" s="15">
        <f>MIN(1,MAX(VLOOKUP(($AJ47-$AI47-$AH47-$AG47-$AF47-$AE47*(1+HO$3))/$AJ47,'Технический лист'!$M:$N,2,1),(HN47-0.05)))</f>
        <v>0</v>
      </c>
      <c r="HP47" s="15">
        <f>MIN(1,MAX(VLOOKUP(($AJ47-$AI47-$AH47-$AG47-$AF47-$AE47*(1+HP$3))/$AJ47,'Технический лист'!$M:$N,2,1),(HO47-0.05)))</f>
        <v>0</v>
      </c>
      <c r="HQ47" s="15">
        <f>MIN(1,MAX(VLOOKUP(($AJ47-$AI47-$AH47-$AG47-$AF47-$AE47*(1+HQ$3))/$AJ47,'Технический лист'!$M:$N,2,1),(HP47-0.05)))</f>
        <v>0</v>
      </c>
      <c r="HR47" s="15">
        <f>MIN(1,MAX(VLOOKUP(($AJ47-$AI47-$AH47-$AG47-$AF47-$AE47*(1+HR$3))/$AJ47,'Технический лист'!$M:$N,2,1),(HQ47-0.05)))</f>
        <v>0</v>
      </c>
      <c r="HS47" s="15">
        <f>MIN(1,MAX(VLOOKUP(($AJ47-$AI47-$AH47-$AG47-$AF47-$AE47*(1+HS$3))/$AJ47,'Технический лист'!$M:$N,2,1),(HR47-0.05)))</f>
        <v>0</v>
      </c>
      <c r="HT47" s="15">
        <f>MIN(1,MAX(VLOOKUP(($AJ47-$AI47-$AH47-$AG47-$AF47-$AE47*(1+HT$3))/$AJ47,'Технический лист'!$M:$N,2,1),(HS47-0.05)))</f>
        <v>0</v>
      </c>
      <c r="HU47" s="15">
        <f>MIN(1,MAX(VLOOKUP(($AJ47-$AI47-$AH47-$AG47-$AF47-$AE47*(1+HU$3))/$AJ47,'Технический лист'!$M:$N,2,1),(HT47-0.05)))</f>
        <v>0</v>
      </c>
      <c r="HV47" s="15">
        <f>MIN(1,MAX(VLOOKUP(($AJ47-$AI47-$AH47-$AG47-$AF47-$AE47*(1+HV$3))/$AJ47,'Технический лист'!$M:$N,2,1),(HU47-0.05)))</f>
        <v>0</v>
      </c>
      <c r="HW47" s="15">
        <f>MIN(1,MAX(VLOOKUP(($AJ47-$AI47-$AH47-$AG47-$AF47-$AE47*(1+HW$3))/$AJ47,'Технический лист'!$M:$N,2,1),(HV47-0.05)))</f>
        <v>0</v>
      </c>
      <c r="HX47" s="15">
        <f>MIN(1,MAX(VLOOKUP(($AJ47-$AI47-$AH47-$AG47-$AF47-$AE47*(1+HX$3))/$AJ47,'Технический лист'!$M:$N,2,1),(HW47-0.05)))</f>
        <v>0</v>
      </c>
      <c r="HY47" s="15">
        <f>MIN(1,MAX(VLOOKUP(($AJ47-$AI47-$AH47-$AG47-$AF47-$AE47*(1+HY$3))/$AJ47,'Технический лист'!$M:$N,2,1),(HX47-0.05)))</f>
        <v>0</v>
      </c>
      <c r="HZ47" s="15">
        <f>MIN(1,MAX(VLOOKUP(($AJ47-$AI47-$AH47-$AG47-$AF47-$AE47*(1+HZ$3))/$AJ47,'Технический лист'!$M:$N,2,1),(HY47-0.05)))</f>
        <v>0</v>
      </c>
      <c r="IA47" s="15">
        <f>MIN(1,MAX(VLOOKUP(($AJ47-$AI47-$AH47-$AG47-$AF47-$AE47*(1+IA$3))/$AJ47,'Технический лист'!$M:$N,2,1),(HZ47-0.05)))</f>
        <v>0</v>
      </c>
      <c r="IB47" s="15">
        <f>MIN(1,MAX(VLOOKUP(($AJ47-$AI47-$AH47-$AG47-$AF47-$AE47*(1+IB$3))/$AJ47,'Технический лист'!$M:$N,2,1),(IA47-0.05)))</f>
        <v>0</v>
      </c>
      <c r="IC47" s="15">
        <f>MIN(1,MAX(VLOOKUP(($AJ47-$AI47-$AH47-$AG47-$AF47-$AE47*(1+IC$3))/$AJ47,'Технический лист'!$M:$N,2,1),(IB47-0.05)))</f>
        <v>0</v>
      </c>
      <c r="ID47" s="15">
        <f>MIN(1,MAX(VLOOKUP(($AJ47-$AI47-$AH47-$AG47-$AF47-$AE47*(1+ID$3))/$AJ47,'Технический лист'!$M:$N,2,1),(IC47-0.05)))</f>
        <v>0</v>
      </c>
      <c r="IE47" s="15">
        <f>MIN(1,MAX(VLOOKUP(($AJ47-$AI47-$AH47-$AG47-$AF47-$AE47*(1+IE$3))/$AJ47,'Технический лист'!$M:$N,2,1),(ID47-0.05)))</f>
        <v>0</v>
      </c>
      <c r="IF47" s="15">
        <f>MIN(1,MAX(VLOOKUP(($AJ47-$AI47-$AH47-$AG47-$AF47-$AE47*(1+IF$3))/$AJ47,'Технический лист'!$M:$N,2,1),(IE47-0.05)))</f>
        <v>0</v>
      </c>
      <c r="IG47" s="15">
        <f>MIN(1,MAX(VLOOKUP(($AJ47-$AI47-$AH47-$AG47-$AF47-$AE47*(1+IG$3))/$AJ47,'Технический лист'!$M:$N,2,1),(IF47-0.05)))</f>
        <v>0</v>
      </c>
      <c r="IH47" s="15">
        <f>MIN(1,MAX(VLOOKUP(($AJ47-$AI47-$AH47-$AG47-$AF47-$AE47*(1+IH$3))/$AJ47,'Технический лист'!$M:$N,2,1),(IG47-0.05)))</f>
        <v>0</v>
      </c>
      <c r="II47" s="15">
        <f>MIN(1,MAX(VLOOKUP(($AJ47-$AI47-$AH47-$AG47-$AF47-$AE47*(1+II$3))/$AJ47,'Технический лист'!$M:$N,2,1),(IH47-0.05)))</f>
        <v>0</v>
      </c>
      <c r="IJ47" s="15">
        <f>MIN(1,MAX(VLOOKUP(($AJ47-$AI47-$AH47-$AG47-$AF47-$AE47*(1+IJ$3))/$AJ47,'Технический лист'!$M:$N,2,1),(II47-0.05)))</f>
        <v>0</v>
      </c>
      <c r="IK47" s="15">
        <f>MIN(1,MAX(VLOOKUP(($AJ47-$AI47-$AH47-$AG47-$AF47-$AE47*(1+IK$3))/$AJ47,'Технический лист'!$M:$N,2,1),(IJ47-0.05)))</f>
        <v>0</v>
      </c>
      <c r="IL47" s="15">
        <f>MIN(1,MAX(VLOOKUP(($AJ47-$AI47-$AH47-$AG47-$AF47-$AE47*(1+IL$3))/$AJ47,'Технический лист'!$M:$N,2,1),(IK47-0.05)))</f>
        <v>0</v>
      </c>
      <c r="IM47" s="15">
        <f>MIN(1,MAX(VLOOKUP(($AJ47-$AI47-$AH47-$AG47-$AF47-$AE47*(1+IM$3))/$AJ47,'Технический лист'!$M:$N,2,1),(IL47-0.05)))</f>
        <v>0</v>
      </c>
      <c r="IN47" s="15">
        <f>MIN(1,MAX(VLOOKUP(($AJ47-$AI47-$AH47-$AG47-$AF47-$AE47*(1+IN$3))/$AJ47,'Технический лист'!$M:$N,2,1),(IM47-0.05)))</f>
        <v>0</v>
      </c>
      <c r="IO47" s="15">
        <f>MIN(1,MAX(VLOOKUP(($AJ47-$AI47-$AH47-$AG47-$AF47-$AE47*(1+IO$3))/$AJ47,'Технический лист'!$M:$N,2,1),(IN47-0.05)))</f>
        <v>0</v>
      </c>
      <c r="IP47" s="15">
        <f>MIN(1,MAX(VLOOKUP(($AJ47-$AI47-$AH47-$AG47-$AF47-$AE47*(1+IP$3))/$AJ47,'Технический лист'!$M:$N,2,1),(IO47-0.05)))</f>
        <v>0</v>
      </c>
      <c r="IQ47" s="15">
        <f>MIN(1,MAX(VLOOKUP(($AJ47-$AI47-$AH47-$AG47-$AF47-$AE47*(1+IQ$3))/$AJ47,'Технический лист'!$M:$N,2,1),(IP47-0.05)))</f>
        <v>0</v>
      </c>
      <c r="IR47" s="15">
        <f>MIN(1,MAX(VLOOKUP(($AJ47-$AI47-$AH47-$AG47-$AF47-$AE47*(1+IR$3))/$AJ47,'Технический лист'!$M:$N,2,1),(IQ47-0.05)))</f>
        <v>0</v>
      </c>
    </row>
    <row r="48" spans="1:252">
      <c r="A48" s="89" t="s">
        <v>514</v>
      </c>
      <c r="B48" s="90">
        <v>4</v>
      </c>
      <c r="C48" s="5" t="s">
        <v>67</v>
      </c>
      <c r="D48" s="91">
        <v>14111</v>
      </c>
      <c r="E48" s="91" t="s">
        <v>336</v>
      </c>
      <c r="F48" s="92" t="s">
        <v>74</v>
      </c>
      <c r="G48" s="91" t="s">
        <v>26</v>
      </c>
      <c r="H48" s="91" t="s">
        <v>31</v>
      </c>
      <c r="I48" s="91" t="s">
        <v>146</v>
      </c>
      <c r="J48" s="91" t="s">
        <v>141</v>
      </c>
      <c r="K48" s="91">
        <v>2425</v>
      </c>
      <c r="L48" s="85" t="s">
        <v>64</v>
      </c>
      <c r="M48" s="91" t="s">
        <v>190</v>
      </c>
      <c r="N48" s="91" t="s">
        <v>191</v>
      </c>
      <c r="O48" s="91" t="s">
        <v>192</v>
      </c>
      <c r="P48" s="89" t="s">
        <v>233</v>
      </c>
      <c r="Q48" s="91" t="s">
        <v>283</v>
      </c>
      <c r="R48" s="91" t="s">
        <v>267</v>
      </c>
      <c r="S48" s="82">
        <v>3861980</v>
      </c>
      <c r="T48" s="82">
        <v>9365943330</v>
      </c>
      <c r="U48" s="81">
        <v>55344</v>
      </c>
      <c r="V48" s="81">
        <v>0</v>
      </c>
      <c r="W48" s="82">
        <v>4059658250</v>
      </c>
      <c r="X48" s="112">
        <v>69</v>
      </c>
      <c r="Y48" s="112" t="s">
        <v>418</v>
      </c>
      <c r="Z48" s="113">
        <v>6</v>
      </c>
      <c r="AA48" s="113">
        <v>6</v>
      </c>
      <c r="AB48" s="113">
        <v>4</v>
      </c>
      <c r="AC48" s="99">
        <v>1168.6400000000001</v>
      </c>
      <c r="AD48" s="99">
        <f t="shared" si="15"/>
        <v>626.86999999999989</v>
      </c>
      <c r="AE48" s="99">
        <v>1795.51</v>
      </c>
      <c r="AF48" s="98">
        <f>(Z48+AA48+AB48)*'Ставки аренды'!$B$3/X48</f>
        <v>162.31884057971016</v>
      </c>
      <c r="AG48" s="114">
        <v>0</v>
      </c>
      <c r="AH48" s="94">
        <v>0</v>
      </c>
      <c r="AI48" s="115">
        <f>240828/411356*AVERAGE(AJ48,AJ49)</f>
        <v>4057.0060947962343</v>
      </c>
      <c r="AJ48" s="117">
        <f>Цены!$D$12</f>
        <v>6000</v>
      </c>
      <c r="AK48" s="94">
        <f>AJ48/Цены!$B$1</f>
        <v>78.631291322381742</v>
      </c>
      <c r="AL48" s="95">
        <f t="shared" si="5"/>
        <v>1957.8288405797102</v>
      </c>
      <c r="AM48" s="95">
        <f t="shared" si="6"/>
        <v>4042.1711594202898</v>
      </c>
      <c r="AN48" s="94">
        <f t="shared" si="16"/>
        <v>6014.834935375945</v>
      </c>
      <c r="AO48" s="118">
        <f t="shared" si="17"/>
        <v>-2.4724892293241586E-3</v>
      </c>
      <c r="AP48" s="96">
        <f t="shared" si="7"/>
        <v>0.32630480676328505</v>
      </c>
      <c r="AQ48" s="96">
        <f t="shared" si="8"/>
        <v>0.29925166666666664</v>
      </c>
      <c r="AR48" s="96">
        <f t="shared" si="9"/>
        <v>0.91709242543814617</v>
      </c>
      <c r="AS48" s="122">
        <v>1</v>
      </c>
      <c r="AT48" s="121">
        <f t="shared" si="10"/>
        <v>3861980</v>
      </c>
      <c r="AU48" s="83">
        <v>0.9</v>
      </c>
      <c r="AV48" s="119">
        <f t="shared" si="11"/>
        <v>-3.8382689229324113E-2</v>
      </c>
      <c r="AW48" s="120">
        <f t="shared" si="12"/>
        <v>0.36221500676328505</v>
      </c>
      <c r="AX48" s="120">
        <f t="shared" si="13"/>
        <v>0.3351618666666667</v>
      </c>
      <c r="AY48" s="120">
        <f t="shared" si="14"/>
        <v>0.92531192912639826</v>
      </c>
      <c r="AZ48" s="15">
        <f>MIN(IF($AU48=100%,1,1+VLOOKUP(($AJ48-$AI48-$AH48-$AG48-$AF48-$AE48*(1+AZ$3))/$AJ48,'Технический лист'!$M:$N,2,1)-VLOOKUP($AO48,'Технический лист'!$M:$N,2,1)),1+(1-$AU48))</f>
        <v>1.1000000000000001</v>
      </c>
      <c r="BA48" s="15">
        <f>MIN(IF($AU48=100%,1,1+VLOOKUP(($AJ48-$AI48-$AH48-$AG48-$AF48-$AE48*(1+BA$3))/$AJ48,'Технический лист'!$M:$N,2,1)-VLOOKUP($AO48,'Технический лист'!$M:$N,2,1)),1+(1-$AU48))</f>
        <v>1.1000000000000001</v>
      </c>
      <c r="BB48" s="15">
        <f>MIN(IF($AU48=100%,1,1+VLOOKUP(($AJ48-$AI48-$AH48-$AG48-$AF48-$AE48*(1+BB$3))/$AJ48,'Технический лист'!$M:$N,2,1)-VLOOKUP($AO48,'Технический лист'!$M:$N,2,1)),1+(1-$AU48))</f>
        <v>1.1000000000000001</v>
      </c>
      <c r="BC48" s="15">
        <f>MIN(IF($AU48=100%,1,1+VLOOKUP(($AJ48-$AI48-$AH48-$AG48-$AF48-$AE48*(1+BC$3))/$AJ48,'Технический лист'!$M:$N,2,1)-VLOOKUP($AO48,'Технический лист'!$M:$N,2,1)),1+(1-$AU48))</f>
        <v>1.1000000000000001</v>
      </c>
      <c r="BD48" s="15">
        <f>MIN(IF($AU48=100%,1,1+VLOOKUP(($AJ48-$AI48-$AH48-$AG48-$AF48-$AE48*(1+BD$3))/$AJ48,'Технический лист'!$M:$N,2,1)-VLOOKUP($AO48,'Технический лист'!$M:$N,2,1)),1+(1-$AU48))</f>
        <v>1.1000000000000001</v>
      </c>
      <c r="BE48" s="15">
        <f>MIN(IF($AU48=100%,1,1+VLOOKUP(($AJ48-$AI48-$AH48-$AG48-$AF48-$AE48*(1+BE$3))/$AJ48,'Технический лист'!$M:$N,2,1)-VLOOKUP($AO48,'Технический лист'!$M:$N,2,1)),1+(1-$AU48))</f>
        <v>1.1000000000000001</v>
      </c>
      <c r="BF48" s="15">
        <f>MIN(IF($AU48=100%,1,1+VLOOKUP(($AJ48-$AI48-$AH48-$AG48-$AF48-$AE48*(1+BF$3))/$AJ48,'Технический лист'!$M:$N,2,1)-VLOOKUP($AO48,'Технический лист'!$M:$N,2,1)),1+(1-$AU48))</f>
        <v>1.1000000000000001</v>
      </c>
      <c r="BG48" s="15">
        <f>MIN(IF($AU48=100%,1,1+VLOOKUP(($AJ48-$AI48-$AH48-$AG48-$AF48-$AE48*(1+BG$3))/$AJ48,'Технический лист'!$M:$N,2,1)-VLOOKUP($AO48,'Технический лист'!$M:$N,2,1)),1+(1-$AU48))</f>
        <v>1.1000000000000001</v>
      </c>
      <c r="BH48" s="15">
        <f>MIN(IF($AU48=100%,1,1+VLOOKUP(($AJ48-$AI48-$AH48-$AG48-$AF48-$AE48*(1+BH$3))/$AJ48,'Технический лист'!$M:$N,2,1)-VLOOKUP($AO48,'Технический лист'!$M:$N,2,1)),1+(1-$AU48))</f>
        <v>1.1000000000000001</v>
      </c>
      <c r="BI48" s="15">
        <f>MIN(IF($AU48=100%,1,1+VLOOKUP(($AJ48-$AI48-$AH48-$AG48-$AF48-$AE48*(1+BI$3))/$AJ48,'Технический лист'!$M:$N,2,1)-VLOOKUP($AO48,'Технический лист'!$M:$N,2,1)),1+(1-$AU48))</f>
        <v>1.1000000000000001</v>
      </c>
      <c r="BJ48" s="15">
        <f>MIN(IF($AU48=100%,1,1+VLOOKUP(($AJ48-$AI48-$AH48-$AG48-$AF48-$AE48*(1+BJ$3))/$AJ48,'Технический лист'!$M:$N,2,1)-VLOOKUP($AO48,'Технический лист'!$M:$N,2,1)),1+(1-$AU48))</f>
        <v>1.1000000000000001</v>
      </c>
      <c r="BK48" s="15">
        <f>MIN(IF($AU48=100%,1,1+VLOOKUP(($AJ48-$AI48-$AH48-$AG48-$AF48-$AE48*(1+BK$3))/$AJ48,'Технический лист'!$M:$N,2,1)-VLOOKUP($AO48,'Технический лист'!$M:$N,2,1)),1+(1-$AU48))</f>
        <v>1.1000000000000001</v>
      </c>
      <c r="BL48" s="15">
        <f>MIN(IF($AU48=100%,1,1+VLOOKUP(($AJ48-$AI48-$AH48-$AG48-$AF48-$AE48*(1+BL$3))/$AJ48,'Технический лист'!$M:$N,2,1)-VLOOKUP($AO48,'Технический лист'!$M:$N,2,1)),1+(1-$AU48))</f>
        <v>1.1000000000000001</v>
      </c>
      <c r="BM48" s="15">
        <f>MIN(IF($AU48=100%,1,1+VLOOKUP(($AJ48-$AI48-$AH48-$AG48-$AF48-$AE48*(1+BM$3))/$AJ48,'Технический лист'!$M:$N,2,1)-VLOOKUP($AO48,'Технический лист'!$M:$N,2,1)),1+(1-$AU48))</f>
        <v>1.1000000000000001</v>
      </c>
      <c r="BN48" s="15">
        <f>MIN(IF($AU48=100%,1,1+VLOOKUP(($AJ48-$AI48-$AH48-$AG48-$AF48-$AE48*(1+BN$3))/$AJ48,'Технический лист'!$M:$N,2,1)-VLOOKUP($AO48,'Технический лист'!$M:$N,2,1)),1+(1-$AU48))</f>
        <v>1.1000000000000001</v>
      </c>
      <c r="BO48" s="15">
        <f>MIN(IF($AU48=100%,1,1+VLOOKUP(($AJ48-$AI48-$AH48-$AG48-$AF48-$AE48*(1+BO$3))/$AJ48,'Технический лист'!$M:$N,2,1)-VLOOKUP($AO48,'Технический лист'!$M:$N,2,1)),1+(1-$AU48))</f>
        <v>1.1000000000000001</v>
      </c>
      <c r="BP48" s="15">
        <f>MIN(IF($AU48=100%,1,1+VLOOKUP(($AJ48-$AI48-$AH48-$AG48-$AF48-$AE48*(1+BP$3))/$AJ48,'Технический лист'!$M:$N,2,1)-VLOOKUP($AO48,'Технический лист'!$M:$N,2,1)),1+(1-$AU48))</f>
        <v>1.1000000000000001</v>
      </c>
      <c r="BQ48" s="15">
        <f>MIN(IF($AU48=100%,1,1+VLOOKUP(($AJ48-$AI48-$AH48-$AG48-$AF48-$AE48*(1+BQ$3))/$AJ48,'Технический лист'!$M:$N,2,1)-VLOOKUP($AO48,'Технический лист'!$M:$N,2,1)),1+(1-$AU48))</f>
        <v>1.1000000000000001</v>
      </c>
      <c r="BR48" s="15">
        <f>MIN(IF($AU48=100%,1,1+VLOOKUP(($AJ48-$AI48-$AH48-$AG48-$AF48-$AE48*(1+BR$3))/$AJ48,'Технический лист'!$M:$N,2,1)-VLOOKUP($AO48,'Технический лист'!$M:$N,2,1)),1+(1-$AU48))</f>
        <v>1.1000000000000001</v>
      </c>
      <c r="BS48" s="15">
        <f>MIN(IF($AU48=100%,1,1+VLOOKUP(($AJ48-$AI48-$AH48-$AG48-$AF48-$AE48*(1+BS$3))/$AJ48,'Технический лист'!$M:$N,2,1)-VLOOKUP($AO48,'Технический лист'!$M:$N,2,1)),1+(1-$AU48))</f>
        <v>1.1000000000000001</v>
      </c>
      <c r="BT48" s="15">
        <f>MIN(IF($AU48=100%,1,1+VLOOKUP(($AJ48-$AI48-$AH48-$AG48-$AF48-$AE48*(1+BT$3))/$AJ48,'Технический лист'!$M:$N,2,1)-VLOOKUP($AO48,'Технический лист'!$M:$N,2,1)),1+(1-$AU48))</f>
        <v>1.1000000000000001</v>
      </c>
      <c r="BU48" s="15">
        <f>MIN(IF($AU48=100%,1,1+VLOOKUP(($AJ48-$AI48-$AH48-$AG48-$AF48-$AE48*(1+BU$3))/$AJ48,'Технический лист'!$M:$N,2,1)-VLOOKUP($AO48,'Технический лист'!$M:$N,2,1)),1+(1-$AU48))</f>
        <v>1.1000000000000001</v>
      </c>
      <c r="BV48" s="15">
        <f>MIN(IF($AU48=100%,1,1+VLOOKUP(($AJ48-$AI48-$AH48-$AG48-$AF48-$AE48*(1+BV$3))/$AJ48,'Технический лист'!$M:$N,2,1)-VLOOKUP($AO48,'Технический лист'!$M:$N,2,1)),1+(1-$AU48))</f>
        <v>1.1000000000000001</v>
      </c>
      <c r="BW48" s="15">
        <f>MIN(IF($AU48=100%,1,1+VLOOKUP(($AJ48-$AI48-$AH48-$AG48-$AF48-$AE48*(1+BW$3))/$AJ48,'Технический лист'!$M:$N,2,1)-VLOOKUP($AO48,'Технический лист'!$M:$N,2,1)),1+(1-$AU48))</f>
        <v>1.1000000000000001</v>
      </c>
      <c r="BX48" s="15">
        <f>MIN(IF($AU48=100%,1,1+VLOOKUP(($AJ48-$AI48-$AH48-$AG48-$AF48-$AE48*(1+BX$3))/$AJ48,'Технический лист'!$M:$N,2,1)-VLOOKUP($AO48,'Технический лист'!$M:$N,2,1)),1+(1-$AU48))</f>
        <v>1.1000000000000001</v>
      </c>
      <c r="BY48" s="15">
        <f>MIN(IF($AU48=100%,1,1+VLOOKUP(($AJ48-$AI48-$AH48-$AG48-$AF48-$AE48*(1+BY$3))/$AJ48,'Технический лист'!$M:$N,2,1)-VLOOKUP($AO48,'Технический лист'!$M:$N,2,1)),1+(1-$AU48))</f>
        <v>1.1000000000000001</v>
      </c>
      <c r="BZ48" s="15">
        <f>MIN(IF($AU48=100%,1,1+VLOOKUP(($AJ48-$AI48-$AH48-$AG48-$AF48-$AE48*(1+BZ$3))/$AJ48,'Технический лист'!$M:$N,2,1)-VLOOKUP($AO48,'Технический лист'!$M:$N,2,1)),1+(1-$AU48))</f>
        <v>1.1000000000000001</v>
      </c>
      <c r="CA48" s="15">
        <f>MIN(IF($AU48=100%,1,1+VLOOKUP(($AJ48-$AI48-$AH48-$AG48-$AF48-$AE48*(1+CA$3))/$AJ48,'Технический лист'!$M:$N,2,1)-VLOOKUP($AO48,'Технический лист'!$M:$N,2,1)),1+(1-$AU48))</f>
        <v>1.1000000000000001</v>
      </c>
      <c r="CB48" s="15">
        <f>MIN(IF($AU48=100%,1,1+VLOOKUP(($AJ48-$AI48-$AH48-$AG48-$AF48-$AE48*(1+CB$3))/$AJ48,'Технический лист'!$M:$N,2,1)-VLOOKUP($AO48,'Технический лист'!$M:$N,2,1)),1+(1-$AU48))</f>
        <v>1.1000000000000001</v>
      </c>
      <c r="CC48" s="15">
        <f>MIN(IF($AU48=100%,1,1+VLOOKUP(($AJ48-$AI48-$AH48-$AG48-$AF48-$AE48*(1+CC$3))/$AJ48,'Технический лист'!$M:$N,2,1)-VLOOKUP($AO48,'Технический лист'!$M:$N,2,1)),1+(1-$AU48))</f>
        <v>1.1000000000000001</v>
      </c>
      <c r="CD48" s="15">
        <f>MIN(IF($AU48=100%,1,1+VLOOKUP(($AJ48-$AI48-$AH48-$AG48-$AF48-$AE48*(1+CD$3))/$AJ48,'Технический лист'!$M:$N,2,1)-VLOOKUP($AO48,'Технический лист'!$M:$N,2,1)),1+(1-$AU48))</f>
        <v>1.1000000000000001</v>
      </c>
      <c r="CE48" s="15">
        <f>MIN(IF($AU48=100%,1,1+VLOOKUP(($AJ48-$AI48-$AH48-$AG48-$AF48-$AE48*(1+CE$3))/$AJ48,'Технический лист'!$M:$N,2,1)-VLOOKUP($AO48,'Технический лист'!$M:$N,2,1)),1+(1-$AU48))</f>
        <v>1.1000000000000001</v>
      </c>
      <c r="CF48" s="15">
        <f>MIN(IF($AU48=100%,1,1+VLOOKUP(($AJ48-$AI48-$AH48-$AG48-$AF48-$AE48*(1+CF$3))/$AJ48,'Технический лист'!$M:$N,2,1)-VLOOKUP($AO48,'Технический лист'!$M:$N,2,1)),1+(1-$AU48))</f>
        <v>1.1000000000000001</v>
      </c>
      <c r="CG48" s="15">
        <f>MIN(IF($AU48=100%,1,1+VLOOKUP(($AJ48-$AI48-$AH48-$AG48-$AF48-$AE48*(1+CG$3))/$AJ48,'Технический лист'!$M:$N,2,1)-VLOOKUP($AO48,'Технический лист'!$M:$N,2,1)),1+(1-$AU48))</f>
        <v>1.1000000000000001</v>
      </c>
      <c r="CH48" s="15">
        <f>MIN(IF($AU48=100%,1,1+VLOOKUP(($AJ48-$AI48-$AH48-$AG48-$AF48-$AE48*(1+CH$3))/$AJ48,'Технический лист'!$M:$N,2,1)-VLOOKUP($AO48,'Технический лист'!$M:$N,2,1)),1+(1-$AU48))</f>
        <v>1.1000000000000001</v>
      </c>
      <c r="CI48" s="15">
        <f>MIN(IF($AU48=100%,1,1+VLOOKUP(($AJ48-$AI48-$AH48-$AG48-$AF48-$AE48*(1+CI$3))/$AJ48,'Технический лист'!$M:$N,2,1)-VLOOKUP($AO48,'Технический лист'!$M:$N,2,1)),1+(1-$AU48))</f>
        <v>1.1000000000000001</v>
      </c>
      <c r="CJ48" s="15">
        <f>MIN(IF($AU48=100%,1,1+VLOOKUP(($AJ48-$AI48-$AH48-$AG48-$AF48-$AE48*(1+CJ$3))/$AJ48,'Технический лист'!$M:$N,2,1)-VLOOKUP($AO48,'Технический лист'!$M:$N,2,1)),1+(1-$AU48))</f>
        <v>1.1000000000000001</v>
      </c>
      <c r="CK48" s="15">
        <f>MIN(IF($AU48=100%,1,1+VLOOKUP(($AJ48-$AI48-$AH48-$AG48-$AF48-$AE48*(1+CK$3))/$AJ48,'Технический лист'!$M:$N,2,1)-VLOOKUP($AO48,'Технический лист'!$M:$N,2,1)),1+(1-$AU48))</f>
        <v>1.1000000000000001</v>
      </c>
      <c r="CL48" s="15">
        <f>MIN(IF($AU48=100%,1,1+VLOOKUP(($AJ48-$AI48-$AH48-$AG48-$AF48-$AE48*(1+CL$3))/$AJ48,'Технический лист'!$M:$N,2,1)-VLOOKUP($AO48,'Технический лист'!$M:$N,2,1)),1+(1-$AU48))</f>
        <v>1.1000000000000001</v>
      </c>
      <c r="CM48" s="15">
        <f>MIN(IF($AU48=100%,1,1+VLOOKUP(($AJ48-$AI48-$AH48-$AG48-$AF48-$AE48*(1+CM$3))/$AJ48,'Технический лист'!$M:$N,2,1)-VLOOKUP($AO48,'Технический лист'!$M:$N,2,1)),1+(1-$AU48))</f>
        <v>1.1000000000000001</v>
      </c>
      <c r="CN48" s="15">
        <f>MIN(IF($AU48=100%,1,1+VLOOKUP(($AJ48-$AI48-$AH48-$AG48-$AF48-$AE48*(1+CN$3))/$AJ48,'Технический лист'!$M:$N,2,1)-VLOOKUP($AO48,'Технический лист'!$M:$N,2,1)),1+(1-$AU48))</f>
        <v>1.1000000000000001</v>
      </c>
      <c r="CO48" s="15">
        <f>MIN(IF($AU48=100%,1,1+VLOOKUP(($AJ48-$AI48-$AH48-$AG48-$AF48-$AE48*(1+CO$3))/$AJ48,'Технический лист'!$M:$N,2,1)-VLOOKUP($AO48,'Технический лист'!$M:$N,2,1)),1+(1-$AU48))</f>
        <v>1.1000000000000001</v>
      </c>
      <c r="CP48" s="15">
        <f>MIN(IF($AU48=100%,1,1+VLOOKUP(($AJ48-$AI48-$AH48-$AG48-$AF48-$AE48*(1+CP$3))/$AJ48,'Технический лист'!$M:$N,2,1)-VLOOKUP($AO48,'Технический лист'!$M:$N,2,1)),1+(1-$AU48))</f>
        <v>1.0999999999999992</v>
      </c>
      <c r="CQ48" s="15">
        <f>MIN(IF($AU48=100%,1,1+VLOOKUP(($AJ48-$AI48-$AH48-$AG48-$AF48-$AE48*(1+CQ$3))/$AJ48,'Технический лист'!$M:$N,2,1)-VLOOKUP($AO48,'Технический лист'!$M:$N,2,1)),1+(1-$AU48))</f>
        <v>1.0999999999999992</v>
      </c>
      <c r="CR48" s="15">
        <f>MIN(IF($AU48=100%,1,1+VLOOKUP(($AJ48-$AI48-$AH48-$AG48-$AF48-$AE48*(1+CR$3))/$AJ48,'Технический лист'!$M:$N,2,1)-VLOOKUP($AO48,'Технический лист'!$M:$N,2,1)),1+(1-$AU48))</f>
        <v>1.0999999999999992</v>
      </c>
      <c r="CS48" s="15">
        <f>MIN(IF($AU48=100%,1,1+VLOOKUP(($AJ48-$AI48-$AH48-$AG48-$AF48-$AE48*(1+CS$3))/$AJ48,'Технический лист'!$M:$N,2,1)-VLOOKUP($AO48,'Технический лист'!$M:$N,2,1)),1+(1-$AU48))</f>
        <v>1.089999999999999</v>
      </c>
      <c r="CT48" s="15">
        <f>MIN(IF($AU48=100%,1,1+VLOOKUP(($AJ48-$AI48-$AH48-$AG48-$AF48-$AE48*(1+CT$3))/$AJ48,'Технический лист'!$M:$N,2,1)-VLOOKUP($AO48,'Технический лист'!$M:$N,2,1)),1+(1-$AU48))</f>
        <v>1.089999999999999</v>
      </c>
      <c r="CU48" s="15">
        <f>MIN(IF($AU48=100%,1,1+VLOOKUP(($AJ48-$AI48-$AH48-$AG48-$AF48-$AE48*(1+CU$3))/$AJ48,'Технический лист'!$M:$N,2,1)-VLOOKUP($AO48,'Технический лист'!$M:$N,2,1)),1+(1-$AU48))</f>
        <v>1.089999999999999</v>
      </c>
      <c r="CV48" s="15">
        <f>MIN(IF($AU48=100%,1,1+VLOOKUP(($AJ48-$AI48-$AH48-$AG48-$AF48-$AE48*(1+CV$3))/$AJ48,'Технический лист'!$M:$N,2,1)-VLOOKUP($AO48,'Технический лист'!$M:$N,2,1)),1+(1-$AU48))</f>
        <v>1.089999999999999</v>
      </c>
      <c r="CW48" s="15">
        <f>MIN(IF($AU48=100%,1,1+VLOOKUP(($AJ48-$AI48-$AH48-$AG48-$AF48-$AE48*(1+CW$3))/$AJ48,'Технический лист'!$M:$N,2,1)-VLOOKUP($AO48,'Технический лист'!$M:$N,2,1)),1+(1-$AU48))</f>
        <v>1.0799999999999992</v>
      </c>
      <c r="CX48" s="15">
        <f>MIN(IF($AU48=100%,1,1+VLOOKUP(($AJ48-$AI48-$AH48-$AG48-$AF48-$AE48*(1+CX$3))/$AJ48,'Технический лист'!$M:$N,2,1)-VLOOKUP($AO48,'Технический лист'!$M:$N,2,1)),1+(1-$AU48))</f>
        <v>1.0799999999999992</v>
      </c>
      <c r="CY48" s="15">
        <f>MIN(IF($AU48=100%,1,1+VLOOKUP(($AJ48-$AI48-$AH48-$AG48-$AF48-$AE48*(1+CY$3))/$AJ48,'Технический лист'!$M:$N,2,1)-VLOOKUP($AO48,'Технический лист'!$M:$N,2,1)),1+(1-$AU48))</f>
        <v>1.0799999999999992</v>
      </c>
      <c r="CZ48" s="15">
        <f>MIN(IF($AU48=100%,1,1+VLOOKUP(($AJ48-$AI48-$AH48-$AG48-$AF48-$AE48*(1+CZ$3))/$AJ48,'Технический лист'!$M:$N,2,1)-VLOOKUP($AO48,'Технический лист'!$M:$N,2,1)),1+(1-$AU48))</f>
        <v>1.0699999999999994</v>
      </c>
      <c r="DA48" s="15">
        <f>MIN(IF($AU48=100%,1,1+VLOOKUP(($AJ48-$AI48-$AH48-$AG48-$AF48-$AE48*(1+DA$3))/$AJ48,'Технический лист'!$M:$N,2,1)-VLOOKUP($AO48,'Технический лист'!$M:$N,2,1)),1+(1-$AU48))</f>
        <v>1.0699999999999994</v>
      </c>
      <c r="DB48" s="15">
        <f>MIN(IF($AU48=100%,1,1+VLOOKUP(($AJ48-$AI48-$AH48-$AG48-$AF48-$AE48*(1+DB$3))/$AJ48,'Технический лист'!$M:$N,2,1)-VLOOKUP($AO48,'Технический лист'!$M:$N,2,1)),1+(1-$AU48))</f>
        <v>1.0699999999999994</v>
      </c>
      <c r="DC48" s="15">
        <f>MIN(IF($AU48=100%,1,1+VLOOKUP(($AJ48-$AI48-$AH48-$AG48-$AF48-$AE48*(1+DC$3))/$AJ48,'Технический лист'!$M:$N,2,1)-VLOOKUP($AO48,'Технический лист'!$M:$N,2,1)),1+(1-$AU48))</f>
        <v>1.0599999999999992</v>
      </c>
      <c r="DD48" s="15">
        <f>MIN(IF($AU48=100%,1,1+VLOOKUP(($AJ48-$AI48-$AH48-$AG48-$AF48-$AE48*(1+DD$3))/$AJ48,'Технический лист'!$M:$N,2,1)-VLOOKUP($AO48,'Технический лист'!$M:$N,2,1)),1+(1-$AU48))</f>
        <v>1.0599999999999992</v>
      </c>
      <c r="DE48" s="15">
        <f>MIN(IF($AU48=100%,1,1+VLOOKUP(($AJ48-$AI48-$AH48-$AG48-$AF48-$AE48*(1+DE$3))/$AJ48,'Технический лист'!$M:$N,2,1)-VLOOKUP($AO48,'Технический лист'!$M:$N,2,1)),1+(1-$AU48))</f>
        <v>1.0599999999999992</v>
      </c>
      <c r="DF48" s="15">
        <f>MIN(IF($AU48=100%,1,1+VLOOKUP(($AJ48-$AI48-$AH48-$AG48-$AF48-$AE48*(1+DF$3))/$AJ48,'Технический лист'!$M:$N,2,1)-VLOOKUP($AO48,'Технический лист'!$M:$N,2,1)),1+(1-$AU48))</f>
        <v>1.0599999999999992</v>
      </c>
      <c r="DG48" s="15">
        <f>MIN(IF($AU48=100%,1,1+VLOOKUP(($AJ48-$AI48-$AH48-$AG48-$AF48-$AE48*(1+DG$3))/$AJ48,'Технический лист'!$M:$N,2,1)-VLOOKUP($AO48,'Технический лист'!$M:$N,2,1)),1+(1-$AU48))</f>
        <v>1.0499999999999989</v>
      </c>
      <c r="DH48" s="15">
        <f>MIN(IF($AU48=100%,1,1+VLOOKUP(($AJ48-$AI48-$AH48-$AG48-$AF48-$AE48*(1+DH$3))/$AJ48,'Технический лист'!$M:$N,2,1)-VLOOKUP($AO48,'Технический лист'!$M:$N,2,1)),1+(1-$AU48))</f>
        <v>1.0499999999999989</v>
      </c>
      <c r="DI48" s="15">
        <f>MIN(IF($AU48=100%,1,1+VLOOKUP(($AJ48-$AI48-$AH48-$AG48-$AF48-$AE48*(1+DI$3))/$AJ48,'Технический лист'!$M:$N,2,1)-VLOOKUP($AO48,'Технический лист'!$M:$N,2,1)),1+(1-$AU48))</f>
        <v>1.0499999999999989</v>
      </c>
      <c r="DJ48" s="15">
        <f>MIN(IF($AU48=100%,1,1+VLOOKUP(($AJ48-$AI48-$AH48-$AG48-$AF48-$AE48*(1+DJ$3))/$AJ48,'Технический лист'!$M:$N,2,1)-VLOOKUP($AO48,'Технический лист'!$M:$N,2,1)),1+(1-$AU48))</f>
        <v>1.0399999999999991</v>
      </c>
      <c r="DK48" s="15">
        <f>MIN(IF($AU48=100%,1,1+VLOOKUP(($AJ48-$AI48-$AH48-$AG48-$AF48-$AE48*(1+DK$3))/$AJ48,'Технический лист'!$M:$N,2,1)-VLOOKUP($AO48,'Технический лист'!$M:$N,2,1)),1+(1-$AU48))</f>
        <v>1.0399999999999991</v>
      </c>
      <c r="DL48" s="15">
        <f>MIN(IF($AU48=100%,1,1+VLOOKUP(($AJ48-$AI48-$AH48-$AG48-$AF48-$AE48*(1+DL$3))/$AJ48,'Технический лист'!$M:$N,2,1)-VLOOKUP($AO48,'Технический лист'!$M:$N,2,1)),1+(1-$AU48))</f>
        <v>1.0399999999999991</v>
      </c>
      <c r="DM48" s="15">
        <f>MIN(IF($AU48=100%,1,1+VLOOKUP(($AJ48-$AI48-$AH48-$AG48-$AF48-$AE48*(1+DM$3))/$AJ48,'Технический лист'!$M:$N,2,1)-VLOOKUP($AO48,'Технический лист'!$M:$N,2,1)),1+(1-$AU48))</f>
        <v>1.0349999999999993</v>
      </c>
      <c r="DN48" s="15">
        <f>MIN(IF($AU48=100%,1,1+VLOOKUP(($AJ48-$AI48-$AH48-$AG48-$AF48-$AE48*(1+DN$3))/$AJ48,'Технический лист'!$M:$N,2,1)-VLOOKUP($AO48,'Технический лист'!$M:$N,2,1)),1+(1-$AU48))</f>
        <v>1.0349999999999993</v>
      </c>
      <c r="DO48" s="15">
        <f>MIN(IF($AU48=100%,1,1+VLOOKUP(($AJ48-$AI48-$AH48-$AG48-$AF48-$AE48*(1+DO$3))/$AJ48,'Технический лист'!$M:$N,2,1)-VLOOKUP($AO48,'Технический лист'!$M:$N,2,1)),1+(1-$AU48))</f>
        <v>1.0349999999999993</v>
      </c>
      <c r="DP48" s="15">
        <f>MIN(IF($AU48=100%,1,1+VLOOKUP(($AJ48-$AI48-$AH48-$AG48-$AF48-$AE48*(1+DP$3))/$AJ48,'Технический лист'!$M:$N,2,1)-VLOOKUP($AO48,'Технический лист'!$M:$N,2,1)),1+(1-$AU48))</f>
        <v>1.0349999999999993</v>
      </c>
      <c r="DQ48" s="15">
        <f>MIN(IF($AU48=100%,1,1+VLOOKUP(($AJ48-$AI48-$AH48-$AG48-$AF48-$AE48*(1+DQ$3))/$AJ48,'Технический лист'!$M:$N,2,1)-VLOOKUP($AO48,'Технический лист'!$M:$N,2,1)),1+(1-$AU48))</f>
        <v>1.0299999999999994</v>
      </c>
      <c r="DR48" s="15">
        <f>MIN(IF($AU48=100%,1,1+VLOOKUP(($AJ48-$AI48-$AH48-$AG48-$AF48-$AE48*(1+DR$3))/$AJ48,'Технический лист'!$M:$N,2,1)-VLOOKUP($AO48,'Технический лист'!$M:$N,2,1)),1+(1-$AU48))</f>
        <v>1.0299999999999994</v>
      </c>
      <c r="DS48" s="15">
        <f>MIN(IF($AU48=100%,1,1+VLOOKUP(($AJ48-$AI48-$AH48-$AG48-$AF48-$AE48*(1+DS$3))/$AJ48,'Технический лист'!$M:$N,2,1)-VLOOKUP($AO48,'Технический лист'!$M:$N,2,1)),1+(1-$AU48))</f>
        <v>1.0299999999999994</v>
      </c>
      <c r="DT48" s="15">
        <f>MIN(IF($AU48=100%,1,1+VLOOKUP(($AJ48-$AI48-$AH48-$AG48-$AF48-$AE48*(1+DT$3))/$AJ48,'Технический лист'!$M:$N,2,1)-VLOOKUP($AO48,'Технический лист'!$M:$N,2,1)),1+(1-$AU48))</f>
        <v>1.0249999999999995</v>
      </c>
      <c r="DU48" s="15">
        <f>MIN(IF($AU48=100%,1,1+VLOOKUP(($AJ48-$AI48-$AH48-$AG48-$AF48-$AE48*(1+DU$3))/$AJ48,'Технический лист'!$M:$N,2,1)-VLOOKUP($AO48,'Технический лист'!$M:$N,2,1)),1+(1-$AU48))</f>
        <v>1.0249999999999995</v>
      </c>
      <c r="DV48" s="15">
        <f>MIN(IF($AU48=100%,1,1+VLOOKUP(($AJ48-$AI48-$AH48-$AG48-$AF48-$AE48*(1+DV$3))/$AJ48,'Технический лист'!$M:$N,2,1)-VLOOKUP($AO48,'Технический лист'!$M:$N,2,1)),1+(1-$AU48))</f>
        <v>1.0249999999999995</v>
      </c>
      <c r="DW48" s="15">
        <f>MIN(IF($AU48=100%,1,1+VLOOKUP(($AJ48-$AI48-$AH48-$AG48-$AF48-$AE48*(1+DW$3))/$AJ48,'Технический лист'!$M:$N,2,1)-VLOOKUP($AO48,'Технический лист'!$M:$N,2,1)),1+(1-$AU48))</f>
        <v>1.0199999999999996</v>
      </c>
      <c r="DX48" s="15">
        <f>MIN(IF($AU48=100%,1,1+VLOOKUP(($AJ48-$AI48-$AH48-$AG48-$AF48-$AE48*(1+DX$3))/$AJ48,'Технический лист'!$M:$N,2,1)-VLOOKUP($AO48,'Технический лист'!$M:$N,2,1)),1+(1-$AU48))</f>
        <v>1.0199999999999996</v>
      </c>
      <c r="DY48" s="15">
        <f>MIN(IF($AU48=100%,1,1+VLOOKUP(($AJ48-$AI48-$AH48-$AG48-$AF48-$AE48*(1+DY$3))/$AJ48,'Технический лист'!$M:$N,2,1)-VLOOKUP($AO48,'Технический лист'!$M:$N,2,1)),1+(1-$AU48))</f>
        <v>1.0199999999999996</v>
      </c>
      <c r="DZ48" s="15">
        <f>MIN(IF($AU48=100%,1,1+VLOOKUP(($AJ48-$AI48-$AH48-$AG48-$AF48-$AE48*(1+DZ$3))/$AJ48,'Технический лист'!$M:$N,2,1)-VLOOKUP($AO48,'Технический лист'!$M:$N,2,1)),1+(1-$AU48))</f>
        <v>1.0199999999999996</v>
      </c>
      <c r="EA48" s="15">
        <f>MIN(IF($AU48=100%,1,1+VLOOKUP(($AJ48-$AI48-$AH48-$AG48-$AF48-$AE48*(1+EA$3))/$AJ48,'Технический лист'!$M:$N,2,1)-VLOOKUP($AO48,'Технический лист'!$M:$N,2,1)),1+(1-$AU48))</f>
        <v>1.0149999999999997</v>
      </c>
      <c r="EB48" s="15">
        <f>MIN(IF($AU48=100%,1,1+VLOOKUP(($AJ48-$AI48-$AH48-$AG48-$AF48-$AE48*(1+EB$3))/$AJ48,'Технический лист'!$M:$N,2,1)-VLOOKUP($AO48,'Технический лист'!$M:$N,2,1)),1+(1-$AU48))</f>
        <v>1.0149999999999997</v>
      </c>
      <c r="EC48" s="15">
        <f>MIN(IF($AU48=100%,1,1+VLOOKUP(($AJ48-$AI48-$AH48-$AG48-$AF48-$AE48*(1+EC$3))/$AJ48,'Технический лист'!$M:$N,2,1)-VLOOKUP($AO48,'Технический лист'!$M:$N,2,1)),1+(1-$AU48))</f>
        <v>1.0149999999999997</v>
      </c>
      <c r="ED48" s="15">
        <f>MIN(IF($AU48=100%,1,1+VLOOKUP(($AJ48-$AI48-$AH48-$AG48-$AF48-$AE48*(1+ED$3))/$AJ48,'Технический лист'!$M:$N,2,1)-VLOOKUP($AO48,'Технический лист'!$M:$N,2,1)),1+(1-$AU48))</f>
        <v>1.0099999999999998</v>
      </c>
      <c r="EE48" s="15">
        <f>MIN(IF($AU48=100%,1,1+VLOOKUP(($AJ48-$AI48-$AH48-$AG48-$AF48-$AE48*(1+EE$3))/$AJ48,'Технический лист'!$M:$N,2,1)-VLOOKUP($AO48,'Технический лист'!$M:$N,2,1)),1+(1-$AU48))</f>
        <v>1.0099999999999998</v>
      </c>
      <c r="EF48" s="15">
        <f>MIN(IF($AU48=100%,1,1+VLOOKUP(($AJ48-$AI48-$AH48-$AG48-$AF48-$AE48*(1+EF$3))/$AJ48,'Технический лист'!$M:$N,2,1)-VLOOKUP($AO48,'Технический лист'!$M:$N,2,1)),1+(1-$AU48))</f>
        <v>1.0099999999999998</v>
      </c>
      <c r="EG48" s="15">
        <f>MIN(IF($AU48=100%,1,1+VLOOKUP(($AJ48-$AI48-$AH48-$AG48-$AF48-$AE48*(1+EG$3))/$AJ48,'Технический лист'!$M:$N,2,1)-VLOOKUP($AO48,'Технический лист'!$M:$N,2,1)),1+(1-$AU48))</f>
        <v>1.0049999999999999</v>
      </c>
      <c r="EH48" s="15">
        <f>MIN(IF($AU48=100%,1,1+VLOOKUP(($AJ48-$AI48-$AH48-$AG48-$AF48-$AE48*(1+EH$3))/$AJ48,'Технический лист'!$M:$N,2,1)-VLOOKUP($AO48,'Технический лист'!$M:$N,2,1)),1+(1-$AU48))</f>
        <v>1.0049999999999999</v>
      </c>
      <c r="EI48" s="15">
        <f>MIN(IF($AU48=100%,1,1+VLOOKUP(($AJ48-$AI48-$AH48-$AG48-$AF48-$AE48*(1+EI$3))/$AJ48,'Технический лист'!$M:$N,2,1)-VLOOKUP($AO48,'Технический лист'!$M:$N,2,1)),1+(1-$AU48))</f>
        <v>1.0049999999999999</v>
      </c>
      <c r="EJ48" s="15">
        <f>MIN(IF($AU48=100%,1,1+VLOOKUP(($AJ48-$AI48-$AH48-$AG48-$AF48-$AE48*(1+EJ$3))/$AJ48,'Технический лист'!$M:$N,2,1)-VLOOKUP($AO48,'Технический лист'!$M:$N,2,1)),1+(1-$AU48))</f>
        <v>1.0049999999999999</v>
      </c>
      <c r="EK48" s="15">
        <f>MIN(IF($AU48=100%,1,1+VLOOKUP(($AJ48-$AI48-$AH48-$AG48-$AF48-$AE48*(1+EK$3))/$AJ48,'Технический лист'!$M:$N,2,1)-VLOOKUP($AO48,'Технический лист'!$M:$N,2,1)),1+(1-$AU48))</f>
        <v>1</v>
      </c>
      <c r="EL48" s="15">
        <f>MIN(IF($AU48=100%,1,1+VLOOKUP(($AJ48-$AI48-$AH48-$AG48-$AF48-$AE48*(1+EL$3))/$AJ48,'Технический лист'!$M:$N,2,1)-VLOOKUP($AO48,'Технический лист'!$M:$N,2,1)),1+(1-$AU48))</f>
        <v>1</v>
      </c>
      <c r="EM48" s="15">
        <f>MIN(IF($AU48=100%,1,1+VLOOKUP(($AJ48-$AI48-$AH48-$AG48-$AF48-$AE48*(1+EM$3))/$AJ48,'Технический лист'!$M:$N,2,1)-VLOOKUP($AO48,'Технический лист'!$M:$N,2,1)),1+(1-$AU48))</f>
        <v>1</v>
      </c>
      <c r="EN48" s="15">
        <f>MIN(IF($AU48=100%,1,1+VLOOKUP(($AJ48-$AI48-$AH48-$AG48-$AF48-$AE48*(1+EN$3))/$AJ48,'Технический лист'!$M:$N,2,1)-VLOOKUP($AO48,'Технический лист'!$M:$N,2,1)),1+(1-$AU48))</f>
        <v>1</v>
      </c>
      <c r="EO48" s="15">
        <f>MIN(IF($AU48=100%,1,1+VLOOKUP(($AJ48-$AI48-$AH48-$AG48-$AF48-$AE48*(1+EO$3))/$AJ48,'Технический лист'!$M:$N,2,1)-VLOOKUP($AO48,'Технический лист'!$M:$N,2,1)),1+(1-$AU48))</f>
        <v>1</v>
      </c>
      <c r="EP48" s="15">
        <f>MIN(IF($AU48=100%,1,1+VLOOKUP(($AJ48-$AI48-$AH48-$AG48-$AF48-$AE48*(1+EP$3))/$AJ48,'Технический лист'!$M:$N,2,1)-VLOOKUP($AO48,'Технический лист'!$M:$N,2,1)),1+(1-$AU48))</f>
        <v>1</v>
      </c>
      <c r="EQ48" s="15">
        <f>MIN(IF($AU48=100%,1,1+VLOOKUP(($AJ48-$AI48-$AH48-$AG48-$AF48-$AE48*(1+EQ$3))/$AJ48,'Технический лист'!$M:$N,2,1)-VLOOKUP($AO48,'Технический лист'!$M:$N,2,1)),1+(1-$AU48))</f>
        <v>1</v>
      </c>
      <c r="ER48" s="15">
        <f>MIN(IF($AU48=100%,1,1+VLOOKUP(($AJ48-$AI48-$AH48-$AG48-$AF48-$AE48*(1+ER$3))/$AJ48,'Технический лист'!$M:$N,2,1)-VLOOKUP($AO48,'Технический лист'!$M:$N,2,1)),1+(1-$AU48))</f>
        <v>1</v>
      </c>
      <c r="ES48" s="15">
        <f>MIN(IF($AU48=100%,1,1+VLOOKUP(($AJ48-$AI48-$AH48-$AG48-$AF48-$AE48*(1+ES$3))/$AJ48,'Технический лист'!$M:$N,2,1)-VLOOKUP($AO48,'Технический лист'!$M:$N,2,1)),1+(1-$AU48))</f>
        <v>1</v>
      </c>
      <c r="ET48" s="15">
        <f>MIN(IF($AU48=100%,1,1+VLOOKUP(($AJ48-$AI48-$AH48-$AG48-$AF48-$AE48*(1+ET$3))/$AJ48,'Технический лист'!$M:$N,2,1)-VLOOKUP($AO48,'Технический лист'!$M:$N,2,1)),1+(1-$AU48))</f>
        <v>1</v>
      </c>
      <c r="EU48" s="15">
        <f>MIN(IF($AU48=100%,1,1+VLOOKUP(($AJ48-$AI48-$AH48-$AG48-$AF48-$AE48*(1+EU$3))/$AJ48,'Технический лист'!$M:$N,2,1)-VLOOKUP($AO48,'Технический лист'!$M:$N,2,1)),1+(1-$AU48))</f>
        <v>1</v>
      </c>
      <c r="EV48" s="111">
        <v>1</v>
      </c>
      <c r="EW48" s="15">
        <f>MIN(1,MAX(VLOOKUP(($AJ48-$AI48-$AH48-$AG48-$AF48-$AE48*(1+EW$3))/$AJ48,'Технический лист'!$M:$N,2,1),(EV48-0.05)))</f>
        <v>1</v>
      </c>
      <c r="EX48" s="15">
        <f>MIN(1,MAX(VLOOKUP(($AJ48-$AI48-$AH48-$AG48-$AF48-$AE48*(1+EX$3))/$AJ48,'Технический лист'!$M:$N,2,1),(EW48-0.05)))</f>
        <v>1</v>
      </c>
      <c r="EY48" s="15">
        <f>MIN(1,MAX(VLOOKUP(($AJ48-$AI48-$AH48-$AG48-$AF48-$AE48*(1+EY$3))/$AJ48,'Технический лист'!$M:$N,2,1),(EX48-0.05)))</f>
        <v>1</v>
      </c>
      <c r="EZ48" s="15">
        <f>MIN(1,MAX(VLOOKUP(($AJ48-$AI48-$AH48-$AG48-$AF48-$AE48*(1+EZ$3))/$AJ48,'Технический лист'!$M:$N,2,1),(EY48-0.05)))</f>
        <v>1</v>
      </c>
      <c r="FA48" s="15">
        <f>MIN(1,MAX(VLOOKUP(($AJ48-$AI48-$AH48-$AG48-$AF48-$AE48*(1+FA$3))/$AJ48,'Технический лист'!$M:$N,2,1),(EZ48-0.05)))</f>
        <v>1</v>
      </c>
      <c r="FB48" s="15">
        <f>MIN(1,MAX(VLOOKUP(($AJ48-$AI48-$AH48-$AG48-$AF48-$AE48*(1+FB$3))/$AJ48,'Технический лист'!$M:$N,2,1),(FA48-0.05)))</f>
        <v>0.995</v>
      </c>
      <c r="FC48" s="15">
        <f>MIN(1,MAX(VLOOKUP(($AJ48-$AI48-$AH48-$AG48-$AF48-$AE48*(1+FC$3))/$AJ48,'Технический лист'!$M:$N,2,1),(FB48-0.05)))</f>
        <v>0.995</v>
      </c>
      <c r="FD48" s="15">
        <f>MIN(1,MAX(VLOOKUP(($AJ48-$AI48-$AH48-$AG48-$AF48-$AE48*(1+FD$3))/$AJ48,'Технический лист'!$M:$N,2,1),(FC48-0.05)))</f>
        <v>0.995</v>
      </c>
      <c r="FE48" s="15">
        <f>MIN(1,MAX(VLOOKUP(($AJ48-$AI48-$AH48-$AG48-$AF48-$AE48*(1+FE$3))/$AJ48,'Технический лист'!$M:$N,2,1),(FD48-0.05)))</f>
        <v>0.99</v>
      </c>
      <c r="FF48" s="15">
        <f>MIN(1,MAX(VLOOKUP(($AJ48-$AI48-$AH48-$AG48-$AF48-$AE48*(1+FF$3))/$AJ48,'Технический лист'!$M:$N,2,1),(FE48-0.05)))</f>
        <v>0.99</v>
      </c>
      <c r="FG48" s="15">
        <f>MIN(1,MAX(VLOOKUP(($AJ48-$AI48-$AH48-$AG48-$AF48-$AE48*(1+FG$3))/$AJ48,'Технический лист'!$M:$N,2,1),(FF48-0.05)))</f>
        <v>0.99</v>
      </c>
      <c r="FH48" s="15">
        <f>MIN(1,MAX(VLOOKUP(($AJ48-$AI48-$AH48-$AG48-$AF48-$AE48*(1+FH$3))/$AJ48,'Технический лист'!$M:$N,2,1),(FG48-0.05)))</f>
        <v>0.98499999999999999</v>
      </c>
      <c r="FI48" s="15">
        <f>MIN(1,MAX(VLOOKUP(($AJ48-$AI48-$AH48-$AG48-$AF48-$AE48*(1+FI$3))/$AJ48,'Технический лист'!$M:$N,2,1),(FH48-0.05)))</f>
        <v>0.98499999999999999</v>
      </c>
      <c r="FJ48" s="15">
        <f>MIN(1,MAX(VLOOKUP(($AJ48-$AI48-$AH48-$AG48-$AF48-$AE48*(1+FJ$3))/$AJ48,'Технический лист'!$M:$N,2,1),(FI48-0.05)))</f>
        <v>0.98499999999999999</v>
      </c>
      <c r="FK48" s="15">
        <f>MIN(1,MAX(VLOOKUP(($AJ48-$AI48-$AH48-$AG48-$AF48-$AE48*(1+FK$3))/$AJ48,'Технический лист'!$M:$N,2,1),(FJ48-0.05)))</f>
        <v>0.98499999999999999</v>
      </c>
      <c r="FL48" s="15">
        <f>MIN(1,MAX(VLOOKUP(($AJ48-$AI48-$AH48-$AG48-$AF48-$AE48*(1+FL$3))/$AJ48,'Технический лист'!$M:$N,2,1),(FK48-0.05)))</f>
        <v>0.98</v>
      </c>
      <c r="FM48" s="15">
        <f>MIN(1,MAX(VLOOKUP(($AJ48-$AI48-$AH48-$AG48-$AF48-$AE48*(1+FM$3))/$AJ48,'Технический лист'!$M:$N,2,1),(FL48-0.05)))</f>
        <v>0.98</v>
      </c>
      <c r="FN48" s="15">
        <f>MIN(1,MAX(VLOOKUP(($AJ48-$AI48-$AH48-$AG48-$AF48-$AE48*(1+FN$3))/$AJ48,'Технический лист'!$M:$N,2,1),(FM48-0.05)))</f>
        <v>0.98</v>
      </c>
      <c r="FO48" s="15">
        <f>MIN(1,MAX(VLOOKUP(($AJ48-$AI48-$AH48-$AG48-$AF48-$AE48*(1+FO$3))/$AJ48,'Технический лист'!$M:$N,2,1),(FN48-0.05)))</f>
        <v>0.97499999999999998</v>
      </c>
      <c r="FP48" s="15">
        <f>MIN(1,MAX(VLOOKUP(($AJ48-$AI48-$AH48-$AG48-$AF48-$AE48*(1+FP$3))/$AJ48,'Технический лист'!$M:$N,2,1),(FO48-0.05)))</f>
        <v>0.97499999999999998</v>
      </c>
      <c r="FQ48" s="15">
        <f>MIN(1,MAX(VLOOKUP(($AJ48-$AI48-$AH48-$AG48-$AF48-$AE48*(1+FQ$3))/$AJ48,'Технический лист'!$M:$N,2,1),(FP48-0.05)))</f>
        <v>0.97499999999999998</v>
      </c>
      <c r="FR48" s="15">
        <f>MIN(1,MAX(VLOOKUP(($AJ48-$AI48-$AH48-$AG48-$AF48-$AE48*(1+FR$3))/$AJ48,'Технический лист'!$M:$N,2,1),(FQ48-0.05)))</f>
        <v>0.97</v>
      </c>
      <c r="FS48" s="15">
        <f>MIN(1,MAX(VLOOKUP(($AJ48-$AI48-$AH48-$AG48-$AF48-$AE48*(1+FS$3))/$AJ48,'Технический лист'!$M:$N,2,1),(FR48-0.05)))</f>
        <v>0.97</v>
      </c>
      <c r="FT48" s="15">
        <f>MIN(1,MAX(VLOOKUP(($AJ48-$AI48-$AH48-$AG48-$AF48-$AE48*(1+FT$3))/$AJ48,'Технический лист'!$M:$N,2,1),(FS48-0.05)))</f>
        <v>0.97</v>
      </c>
      <c r="FU48" s="15">
        <f>MIN(1,MAX(VLOOKUP(($AJ48-$AI48-$AH48-$AG48-$AF48-$AE48*(1+FU$3))/$AJ48,'Технический лист'!$M:$N,2,1),(FT48-0.05)))</f>
        <v>0.97</v>
      </c>
      <c r="FV48" s="15">
        <f>MIN(1,MAX(VLOOKUP(($AJ48-$AI48-$AH48-$AG48-$AF48-$AE48*(1+FV$3))/$AJ48,'Технический лист'!$M:$N,2,1),(FU48-0.05)))</f>
        <v>0.96499999999999997</v>
      </c>
      <c r="FW48" s="15">
        <f>MIN(1,MAX(VLOOKUP(($AJ48-$AI48-$AH48-$AG48-$AF48-$AE48*(1+FW$3))/$AJ48,'Технический лист'!$M:$N,2,1),(FV48-0.05)))</f>
        <v>0.96499999999999997</v>
      </c>
      <c r="FX48" s="15">
        <f>MIN(1,MAX(VLOOKUP(($AJ48-$AI48-$AH48-$AG48-$AF48-$AE48*(1+FX$3))/$AJ48,'Технический лист'!$M:$N,2,1),(FW48-0.05)))</f>
        <v>0.96499999999999997</v>
      </c>
      <c r="FY48" s="15">
        <f>MIN(1,MAX(VLOOKUP(($AJ48-$AI48-$AH48-$AG48-$AF48-$AE48*(1+FY$3))/$AJ48,'Технический лист'!$M:$N,2,1),(FX48-0.05)))</f>
        <v>0.96</v>
      </c>
      <c r="FZ48" s="15">
        <f>MIN(1,MAX(VLOOKUP(($AJ48-$AI48-$AH48-$AG48-$AF48-$AE48*(1+FZ$3))/$AJ48,'Технический лист'!$M:$N,2,1),(FY48-0.05)))</f>
        <v>0.96</v>
      </c>
      <c r="GA48" s="15">
        <f>MIN(1,MAX(VLOOKUP(($AJ48-$AI48-$AH48-$AG48-$AF48-$AE48*(1+GA$3))/$AJ48,'Технический лист'!$M:$N,2,1),(FZ48-0.05)))</f>
        <v>0.96</v>
      </c>
      <c r="GB48" s="15">
        <f>MIN(1,MAX(VLOOKUP(($AJ48-$AI48-$AH48-$AG48-$AF48-$AE48*(1+GB$3))/$AJ48,'Технический лист'!$M:$N,2,1),(GA48-0.05)))</f>
        <v>0.95</v>
      </c>
      <c r="GC48" s="15">
        <f>MIN(1,MAX(VLOOKUP(($AJ48-$AI48-$AH48-$AG48-$AF48-$AE48*(1+GC$3))/$AJ48,'Технический лист'!$M:$N,2,1),(GB48-0.05)))</f>
        <v>0.95</v>
      </c>
      <c r="GD48" s="15">
        <f>MIN(1,MAX(VLOOKUP(($AJ48-$AI48-$AH48-$AG48-$AF48-$AE48*(1+GD$3))/$AJ48,'Технический лист'!$M:$N,2,1),(GC48-0.05)))</f>
        <v>0.95</v>
      </c>
      <c r="GE48" s="15">
        <f>MIN(1,MAX(VLOOKUP(($AJ48-$AI48-$AH48-$AG48-$AF48-$AE48*(1+GE$3))/$AJ48,'Технический лист'!$M:$N,2,1),(GD48-0.05)))</f>
        <v>0.95</v>
      </c>
      <c r="GF48" s="15">
        <f>MIN(1,MAX(VLOOKUP(($AJ48-$AI48-$AH48-$AG48-$AF48-$AE48*(1+GF$3))/$AJ48,'Технический лист'!$M:$N,2,1),(GE48-0.05)))</f>
        <v>0.94</v>
      </c>
      <c r="GG48" s="15">
        <f>MIN(1,MAX(VLOOKUP(($AJ48-$AI48-$AH48-$AG48-$AF48-$AE48*(1+GG$3))/$AJ48,'Технический лист'!$M:$N,2,1),(GF48-0.05)))</f>
        <v>0.94</v>
      </c>
      <c r="GH48" s="15">
        <f>MIN(1,MAX(VLOOKUP(($AJ48-$AI48-$AH48-$AG48-$AF48-$AE48*(1+GH$3))/$AJ48,'Технический лист'!$M:$N,2,1),(GG48-0.05)))</f>
        <v>0.94</v>
      </c>
      <c r="GI48" s="15">
        <f>MIN(1,MAX(VLOOKUP(($AJ48-$AI48-$AH48-$AG48-$AF48-$AE48*(1+GI$3))/$AJ48,'Технический лист'!$M:$N,2,1),(GH48-0.05)))</f>
        <v>0.93</v>
      </c>
      <c r="GJ48" s="15">
        <f>MIN(1,MAX(VLOOKUP(($AJ48-$AI48-$AH48-$AG48-$AF48-$AE48*(1+GJ$3))/$AJ48,'Технический лист'!$M:$N,2,1),(GI48-0.05)))</f>
        <v>0.93</v>
      </c>
      <c r="GK48" s="15">
        <f>MIN(1,MAX(VLOOKUP(($AJ48-$AI48-$AH48-$AG48-$AF48-$AE48*(1+GK$3))/$AJ48,'Технический лист'!$M:$N,2,1),(GJ48-0.05)))</f>
        <v>0.93</v>
      </c>
      <c r="GL48" s="15">
        <f>MIN(1,MAX(VLOOKUP(($AJ48-$AI48-$AH48-$AG48-$AF48-$AE48*(1+GL$3))/$AJ48,'Технический лист'!$M:$N,2,1),(GK48-0.05)))</f>
        <v>0.92</v>
      </c>
      <c r="GM48" s="15">
        <f>MIN(1,MAX(VLOOKUP(($AJ48-$AI48-$AH48-$AG48-$AF48-$AE48*(1+GM$3))/$AJ48,'Технический лист'!$M:$N,2,1),(GL48-0.05)))</f>
        <v>0.92</v>
      </c>
      <c r="GN48" s="15">
        <f>MIN(1,MAX(VLOOKUP(($AJ48-$AI48-$AH48-$AG48-$AF48-$AE48*(1+GN$3))/$AJ48,'Технический лист'!$M:$N,2,1),(GM48-0.05)))</f>
        <v>0.92</v>
      </c>
      <c r="GO48" s="15">
        <f>MIN(1,MAX(VLOOKUP(($AJ48-$AI48-$AH48-$AG48-$AF48-$AE48*(1+GO$3))/$AJ48,'Технический лист'!$M:$N,2,1),(GN48-0.05)))</f>
        <v>0.92</v>
      </c>
      <c r="GP48" s="15">
        <f>MIN(1,MAX(VLOOKUP(($AJ48-$AI48-$AH48-$AG48-$AF48-$AE48*(1+GP$3))/$AJ48,'Технический лист'!$M:$N,2,1),(GO48-0.05)))</f>
        <v>0.91</v>
      </c>
      <c r="GQ48" s="15">
        <f>MIN(1,MAX(VLOOKUP(($AJ48-$AI48-$AH48-$AG48-$AF48-$AE48*(1+GQ$3))/$AJ48,'Технический лист'!$M:$N,2,1),(GP48-0.05)))</f>
        <v>0.91</v>
      </c>
      <c r="GR48" s="15">
        <f>MIN(1,MAX(VLOOKUP(($AJ48-$AI48-$AH48-$AG48-$AF48-$AE48*(1+GR$3))/$AJ48,'Технический лист'!$M:$N,2,1),(GQ48-0.05)))</f>
        <v>0.91</v>
      </c>
      <c r="GS48" s="15">
        <f>MIN(1,MAX(VLOOKUP(($AJ48-$AI48-$AH48-$AG48-$AF48-$AE48*(1+GS$3))/$AJ48,'Технический лист'!$M:$N,2,1),(GR48-0.05)))</f>
        <v>0.9</v>
      </c>
      <c r="GT48" s="15">
        <f>MIN(1,MAX(VLOOKUP(($AJ48-$AI48-$AH48-$AG48-$AF48-$AE48*(1+GT$3))/$AJ48,'Технический лист'!$M:$N,2,1),(GS48-0.05)))</f>
        <v>0.9</v>
      </c>
      <c r="GU48" s="15">
        <f>MIN(1,MAX(VLOOKUP(($AJ48-$AI48-$AH48-$AG48-$AF48-$AE48*(1+GU$3))/$AJ48,'Технический лист'!$M:$N,2,1),(GT48-0.05)))</f>
        <v>0.9</v>
      </c>
      <c r="GV48" s="15">
        <f>MIN(1,MAX(VLOOKUP(($AJ48-$AI48-$AH48-$AG48-$AF48-$AE48*(1+GV$3))/$AJ48,'Технический лист'!$M:$N,2,1),(GU48-0.05)))</f>
        <v>0.88500000000000001</v>
      </c>
      <c r="GW48" s="15">
        <f>MIN(1,MAX(VLOOKUP(($AJ48-$AI48-$AH48-$AG48-$AF48-$AE48*(1+GW$3))/$AJ48,'Технический лист'!$M:$N,2,1),(GV48-0.05)))</f>
        <v>0.88500000000000001</v>
      </c>
      <c r="GX48" s="15">
        <f>MIN(1,MAX(VLOOKUP(($AJ48-$AI48-$AH48-$AG48-$AF48-$AE48*(1+GX$3))/$AJ48,'Технический лист'!$M:$N,2,1),(GW48-0.05)))</f>
        <v>0.88500000000000001</v>
      </c>
      <c r="GY48" s="15">
        <f>MIN(1,MAX(VLOOKUP(($AJ48-$AI48-$AH48-$AG48-$AF48-$AE48*(1+GY$3))/$AJ48,'Технический лист'!$M:$N,2,1),(GX48-0.05)))</f>
        <v>0.88500000000000001</v>
      </c>
      <c r="GZ48" s="15">
        <f>MIN(1,MAX(VLOOKUP(($AJ48-$AI48-$AH48-$AG48-$AF48-$AE48*(1+GZ$3))/$AJ48,'Технический лист'!$M:$N,2,1),(GY48-0.05)))</f>
        <v>0.87</v>
      </c>
      <c r="HA48" s="15">
        <f>MIN(1,MAX(VLOOKUP(($AJ48-$AI48-$AH48-$AG48-$AF48-$AE48*(1+HA$3))/$AJ48,'Технический лист'!$M:$N,2,1),(GZ48-0.05)))</f>
        <v>0.87</v>
      </c>
      <c r="HB48" s="15">
        <f>MIN(1,MAX(VLOOKUP(($AJ48-$AI48-$AH48-$AG48-$AF48-$AE48*(1+HB$3))/$AJ48,'Технический лист'!$M:$N,2,1),(HA48-0.05)))</f>
        <v>0.87</v>
      </c>
      <c r="HC48" s="15">
        <f>MIN(1,MAX(VLOOKUP(($AJ48-$AI48-$AH48-$AG48-$AF48-$AE48*(1+HC$3))/$AJ48,'Технический лист'!$M:$N,2,1),(HB48-0.05)))</f>
        <v>0.85499999999999998</v>
      </c>
      <c r="HD48" s="15">
        <f>MIN(1,MAX(VLOOKUP(($AJ48-$AI48-$AH48-$AG48-$AF48-$AE48*(1+HD$3))/$AJ48,'Технический лист'!$M:$N,2,1),(HC48-0.05)))</f>
        <v>0.85499999999999998</v>
      </c>
      <c r="HE48" s="15">
        <f>MIN(1,MAX(VLOOKUP(($AJ48-$AI48-$AH48-$AG48-$AF48-$AE48*(1+HE$3))/$AJ48,'Технический лист'!$M:$N,2,1),(HD48-0.05)))</f>
        <v>0.85499999999999998</v>
      </c>
      <c r="HF48" s="15">
        <f>MIN(1,MAX(VLOOKUP(($AJ48-$AI48-$AH48-$AG48-$AF48-$AE48*(1+HF$3))/$AJ48,'Технический лист'!$M:$N,2,1),(HE48-0.05)))</f>
        <v>0.84</v>
      </c>
      <c r="HG48" s="15">
        <f>MIN(1,MAX(VLOOKUP(($AJ48-$AI48-$AH48-$AG48-$AF48-$AE48*(1+HG$3))/$AJ48,'Технический лист'!$M:$N,2,1),(HF48-0.05)))</f>
        <v>0.84</v>
      </c>
      <c r="HH48" s="15">
        <f>MIN(1,MAX(VLOOKUP(($AJ48-$AI48-$AH48-$AG48-$AF48-$AE48*(1+HH$3))/$AJ48,'Технический лист'!$M:$N,2,1),(HG48-0.05)))</f>
        <v>0.84</v>
      </c>
      <c r="HI48" s="15">
        <f>MIN(1,MAX(VLOOKUP(($AJ48-$AI48-$AH48-$AG48-$AF48-$AE48*(1+HI$3))/$AJ48,'Технический лист'!$M:$N,2,1),(HH48-0.05)))</f>
        <v>0.84</v>
      </c>
      <c r="HJ48" s="15">
        <f>MIN(1,MAX(VLOOKUP(($AJ48-$AI48-$AH48-$AG48-$AF48-$AE48*(1+HJ$3))/$AJ48,'Технический лист'!$M:$N,2,1),(HI48-0.05)))</f>
        <v>0.82499999999999996</v>
      </c>
      <c r="HK48" s="15">
        <f>MIN(1,MAX(VLOOKUP(($AJ48-$AI48-$AH48-$AG48-$AF48-$AE48*(1+HK$3))/$AJ48,'Технический лист'!$M:$N,2,1),(HJ48-0.05)))</f>
        <v>0.82499999999999996</v>
      </c>
      <c r="HL48" s="15">
        <f>MIN(1,MAX(VLOOKUP(($AJ48-$AI48-$AH48-$AG48-$AF48-$AE48*(1+HL$3))/$AJ48,'Технический лист'!$M:$N,2,1),(HK48-0.05)))</f>
        <v>0.82499999999999996</v>
      </c>
      <c r="HM48" s="15">
        <f>MIN(1,MAX(VLOOKUP(($AJ48-$AI48-$AH48-$AG48-$AF48-$AE48*(1+HM$3))/$AJ48,'Технический лист'!$M:$N,2,1),(HL48-0.05)))</f>
        <v>0.81</v>
      </c>
      <c r="HN48" s="15">
        <f>MIN(1,MAX(VLOOKUP(($AJ48-$AI48-$AH48-$AG48-$AF48-$AE48*(1+HN$3))/$AJ48,'Технический лист'!$M:$N,2,1),(HM48-0.05)))</f>
        <v>0.81</v>
      </c>
      <c r="HO48" s="15">
        <f>MIN(1,MAX(VLOOKUP(($AJ48-$AI48-$AH48-$AG48-$AF48-$AE48*(1+HO$3))/$AJ48,'Технический лист'!$M:$N,2,1),(HN48-0.05)))</f>
        <v>0.81</v>
      </c>
      <c r="HP48" s="15">
        <f>MIN(1,MAX(VLOOKUP(($AJ48-$AI48-$AH48-$AG48-$AF48-$AE48*(1+HP$3))/$AJ48,'Технический лист'!$M:$N,2,1),(HO48-0.05)))</f>
        <v>0.79</v>
      </c>
      <c r="HQ48" s="15">
        <f>MIN(1,MAX(VLOOKUP(($AJ48-$AI48-$AH48-$AG48-$AF48-$AE48*(1+HQ$3))/$AJ48,'Технический лист'!$M:$N,2,1),(HP48-0.05)))</f>
        <v>0.79</v>
      </c>
      <c r="HR48" s="15">
        <f>MIN(1,MAX(VLOOKUP(($AJ48-$AI48-$AH48-$AG48-$AF48-$AE48*(1+HR$3))/$AJ48,'Технический лист'!$M:$N,2,1),(HQ48-0.05)))</f>
        <v>0.79</v>
      </c>
      <c r="HS48" s="15">
        <f>MIN(1,MAX(VLOOKUP(($AJ48-$AI48-$AH48-$AG48-$AF48-$AE48*(1+HS$3))/$AJ48,'Технический лист'!$M:$N,2,1),(HR48-0.05)))</f>
        <v>0.79</v>
      </c>
      <c r="HT48" s="15">
        <f>MIN(1,MAX(VLOOKUP(($AJ48-$AI48-$AH48-$AG48-$AF48-$AE48*(1+HT$3))/$AJ48,'Технический лист'!$M:$N,2,1),(HS48-0.05)))</f>
        <v>0.77</v>
      </c>
      <c r="HU48" s="15">
        <f>MIN(1,MAX(VLOOKUP(($AJ48-$AI48-$AH48-$AG48-$AF48-$AE48*(1+HU$3))/$AJ48,'Технический лист'!$M:$N,2,1),(HT48-0.05)))</f>
        <v>0.77</v>
      </c>
      <c r="HV48" s="15">
        <f>MIN(1,MAX(VLOOKUP(($AJ48-$AI48-$AH48-$AG48-$AF48-$AE48*(1+HV$3))/$AJ48,'Технический лист'!$M:$N,2,1),(HU48-0.05)))</f>
        <v>0.77</v>
      </c>
      <c r="HW48" s="15">
        <f>MIN(1,MAX(VLOOKUP(($AJ48-$AI48-$AH48-$AG48-$AF48-$AE48*(1+HW$3))/$AJ48,'Технический лист'!$M:$N,2,1),(HV48-0.05)))</f>
        <v>0.75</v>
      </c>
      <c r="HX48" s="15">
        <f>MIN(1,MAX(VLOOKUP(($AJ48-$AI48-$AH48-$AG48-$AF48-$AE48*(1+HX$3))/$AJ48,'Технический лист'!$M:$N,2,1),(HW48-0.05)))</f>
        <v>0.75</v>
      </c>
      <c r="HY48" s="15">
        <f>MIN(1,MAX(VLOOKUP(($AJ48-$AI48-$AH48-$AG48-$AF48-$AE48*(1+HY$3))/$AJ48,'Технический лист'!$M:$N,2,1),(HX48-0.05)))</f>
        <v>0.75</v>
      </c>
      <c r="HZ48" s="15">
        <f>MIN(1,MAX(VLOOKUP(($AJ48-$AI48-$AH48-$AG48-$AF48-$AE48*(1+HZ$3))/$AJ48,'Технический лист'!$M:$N,2,1),(HY48-0.05)))</f>
        <v>0.73</v>
      </c>
      <c r="IA48" s="15">
        <f>MIN(1,MAX(VLOOKUP(($AJ48-$AI48-$AH48-$AG48-$AF48-$AE48*(1+IA$3))/$AJ48,'Технический лист'!$M:$N,2,1),(HZ48-0.05)))</f>
        <v>0.73</v>
      </c>
      <c r="IB48" s="15">
        <f>MIN(1,MAX(VLOOKUP(($AJ48-$AI48-$AH48-$AG48-$AF48-$AE48*(1+IB$3))/$AJ48,'Технический лист'!$M:$N,2,1),(IA48-0.05)))</f>
        <v>0.73</v>
      </c>
      <c r="IC48" s="15">
        <f>MIN(1,MAX(VLOOKUP(($AJ48-$AI48-$AH48-$AG48-$AF48-$AE48*(1+IC$3))/$AJ48,'Технический лист'!$M:$N,2,1),(IB48-0.05)))</f>
        <v>0.73</v>
      </c>
      <c r="ID48" s="15">
        <f>MIN(1,MAX(VLOOKUP(($AJ48-$AI48-$AH48-$AG48-$AF48-$AE48*(1+ID$3))/$AJ48,'Технический лист'!$M:$N,2,1),(IC48-0.05)))</f>
        <v>0.71</v>
      </c>
      <c r="IE48" s="15">
        <f>MIN(1,MAX(VLOOKUP(($AJ48-$AI48-$AH48-$AG48-$AF48-$AE48*(1+IE$3))/$AJ48,'Технический лист'!$M:$N,2,1),(ID48-0.05)))</f>
        <v>0.71</v>
      </c>
      <c r="IF48" s="15">
        <f>MIN(1,MAX(VLOOKUP(($AJ48-$AI48-$AH48-$AG48-$AF48-$AE48*(1+IF$3))/$AJ48,'Технический лист'!$M:$N,2,1),(IE48-0.05)))</f>
        <v>0.71</v>
      </c>
      <c r="IG48" s="15">
        <f>MIN(1,MAX(VLOOKUP(($AJ48-$AI48-$AH48-$AG48-$AF48-$AE48*(1+IG$3))/$AJ48,'Технический лист'!$M:$N,2,1),(IF48-0.05)))</f>
        <v>0.68500000000000005</v>
      </c>
      <c r="IH48" s="15">
        <f>MIN(1,MAX(VLOOKUP(($AJ48-$AI48-$AH48-$AG48-$AF48-$AE48*(1+IH$3))/$AJ48,'Технический лист'!$M:$N,2,1),(IG48-0.05)))</f>
        <v>0.68500000000000005</v>
      </c>
      <c r="II48" s="15">
        <f>MIN(1,MAX(VLOOKUP(($AJ48-$AI48-$AH48-$AG48-$AF48-$AE48*(1+II$3))/$AJ48,'Технический лист'!$M:$N,2,1),(IH48-0.05)))</f>
        <v>0.68500000000000005</v>
      </c>
      <c r="IJ48" s="15">
        <f>MIN(1,MAX(VLOOKUP(($AJ48-$AI48-$AH48-$AG48-$AF48-$AE48*(1+IJ$3))/$AJ48,'Технический лист'!$M:$N,2,1),(II48-0.05)))</f>
        <v>0.66</v>
      </c>
      <c r="IK48" s="15">
        <f>MIN(1,MAX(VLOOKUP(($AJ48-$AI48-$AH48-$AG48-$AF48-$AE48*(1+IK$3))/$AJ48,'Технический лист'!$M:$N,2,1),(IJ48-0.05)))</f>
        <v>0.66</v>
      </c>
      <c r="IL48" s="15">
        <f>MIN(1,MAX(VLOOKUP(($AJ48-$AI48-$AH48-$AG48-$AF48-$AE48*(1+IL$3))/$AJ48,'Технический лист'!$M:$N,2,1),(IK48-0.05)))</f>
        <v>0.66</v>
      </c>
      <c r="IM48" s="15">
        <f>MIN(1,MAX(VLOOKUP(($AJ48-$AI48-$AH48-$AG48-$AF48-$AE48*(1+IM$3))/$AJ48,'Технический лист'!$M:$N,2,1),(IL48-0.05)))</f>
        <v>0.66</v>
      </c>
      <c r="IN48" s="15">
        <f>MIN(1,MAX(VLOOKUP(($AJ48-$AI48-$AH48-$AG48-$AF48-$AE48*(1+IN$3))/$AJ48,'Технический лист'!$M:$N,2,1),(IM48-0.05)))</f>
        <v>0.63500000000000001</v>
      </c>
      <c r="IO48" s="15">
        <f>MIN(1,MAX(VLOOKUP(($AJ48-$AI48-$AH48-$AG48-$AF48-$AE48*(1+IO$3))/$AJ48,'Технический лист'!$M:$N,2,1),(IN48-0.05)))</f>
        <v>0.63500000000000001</v>
      </c>
      <c r="IP48" s="15">
        <f>MIN(1,MAX(VLOOKUP(($AJ48-$AI48-$AH48-$AG48-$AF48-$AE48*(1+IP$3))/$AJ48,'Технический лист'!$M:$N,2,1),(IO48-0.05)))</f>
        <v>0.63500000000000001</v>
      </c>
      <c r="IQ48" s="15">
        <f>MIN(1,MAX(VLOOKUP(($AJ48-$AI48-$AH48-$AG48-$AF48-$AE48*(1+IQ$3))/$AJ48,'Технический лист'!$M:$N,2,1),(IP48-0.05)))</f>
        <v>0.61</v>
      </c>
      <c r="IR48" s="15">
        <f>MIN(1,MAX(VLOOKUP(($AJ48-$AI48-$AH48-$AG48-$AF48-$AE48*(1+IR$3))/$AJ48,'Технический лист'!$M:$N,2,1),(IQ48-0.05)))</f>
        <v>0.61</v>
      </c>
    </row>
    <row r="49" spans="1:252">
      <c r="A49" s="89" t="s">
        <v>514</v>
      </c>
      <c r="B49" s="90">
        <v>4</v>
      </c>
      <c r="C49" s="5" t="s">
        <v>67</v>
      </c>
      <c r="D49" s="91">
        <v>14103</v>
      </c>
      <c r="E49" s="91" t="s">
        <v>337</v>
      </c>
      <c r="F49" s="92" t="s">
        <v>74</v>
      </c>
      <c r="G49" s="91" t="s">
        <v>28</v>
      </c>
      <c r="H49" s="91" t="s">
        <v>21</v>
      </c>
      <c r="I49" s="91" t="s">
        <v>147</v>
      </c>
      <c r="J49" s="91" t="s">
        <v>55</v>
      </c>
      <c r="K49" s="91">
        <v>1250</v>
      </c>
      <c r="L49" s="85" t="s">
        <v>64</v>
      </c>
      <c r="M49" s="91" t="s">
        <v>17</v>
      </c>
      <c r="N49" s="91" t="s">
        <v>191</v>
      </c>
      <c r="O49" s="91" t="s">
        <v>192</v>
      </c>
      <c r="P49" s="89" t="s">
        <v>234</v>
      </c>
      <c r="Q49" s="91" t="s">
        <v>267</v>
      </c>
      <c r="R49" s="91" t="s">
        <v>267</v>
      </c>
      <c r="S49" s="82">
        <v>2398601</v>
      </c>
      <c r="T49" s="82">
        <v>2998452829</v>
      </c>
      <c r="U49" s="81">
        <v>34364</v>
      </c>
      <c r="V49" s="81">
        <v>0</v>
      </c>
      <c r="W49" s="82">
        <v>2010159452</v>
      </c>
      <c r="X49" s="112">
        <v>69</v>
      </c>
      <c r="Y49" s="112" t="s">
        <v>418</v>
      </c>
      <c r="Z49" s="113">
        <v>5</v>
      </c>
      <c r="AA49" s="113">
        <v>5</v>
      </c>
      <c r="AB49" s="113">
        <v>4</v>
      </c>
      <c r="AC49" s="99">
        <v>924.55</v>
      </c>
      <c r="AD49" s="99">
        <f t="shared" si="15"/>
        <v>482.70000000000005</v>
      </c>
      <c r="AE49" s="99">
        <v>1407.25</v>
      </c>
      <c r="AF49" s="98">
        <f>(Z49+AA49+AB49)*'Ставки аренды'!$B$3/X49</f>
        <v>142.02898550724638</v>
      </c>
      <c r="AG49" s="114">
        <f>'Ставки перевалки'!$B$13</f>
        <v>1500</v>
      </c>
      <c r="AH49" s="94">
        <v>0</v>
      </c>
      <c r="AI49" s="115">
        <f>240828/411356*AVERAGE(AJ48,AJ49)</f>
        <v>4057.0060947962343</v>
      </c>
      <c r="AJ49" s="117">
        <f>Цены!D13</f>
        <v>7859.4664999999995</v>
      </c>
      <c r="AK49" s="94">
        <f>AJ49/Цены!$B$1</f>
        <v>103</v>
      </c>
      <c r="AL49" s="95">
        <f t="shared" si="5"/>
        <v>3049.2789855072465</v>
      </c>
      <c r="AM49" s="95">
        <f t="shared" si="6"/>
        <v>4810.1875144927526</v>
      </c>
      <c r="AN49" s="94">
        <f t="shared" si="16"/>
        <v>7106.2850803034798</v>
      </c>
      <c r="AO49" s="118">
        <f t="shared" si="17"/>
        <v>9.5831112671136101E-2</v>
      </c>
      <c r="AP49" s="96">
        <f t="shared" si="7"/>
        <v>0.38797531429229282</v>
      </c>
      <c r="AQ49" s="96">
        <f t="shared" si="8"/>
        <v>0.17905159338741378</v>
      </c>
      <c r="AR49" s="96">
        <f t="shared" si="9"/>
        <v>0.46150254099032673</v>
      </c>
      <c r="AS49" s="122">
        <v>1</v>
      </c>
      <c r="AT49" s="121">
        <f t="shared" si="10"/>
        <v>2398601</v>
      </c>
      <c r="AU49" s="83">
        <v>0.9</v>
      </c>
      <c r="AV49" s="119">
        <f t="shared" si="11"/>
        <v>7.4344921464646357E-2</v>
      </c>
      <c r="AW49" s="120">
        <f t="shared" si="12"/>
        <v>0.40946150549878246</v>
      </c>
      <c r="AX49" s="120">
        <f t="shared" si="13"/>
        <v>0.20053778459390345</v>
      </c>
      <c r="AY49" s="120">
        <f t="shared" si="14"/>
        <v>0.48975979890861743</v>
      </c>
      <c r="AZ49" s="15">
        <f>MIN(IF($AU49=100%,1,1+VLOOKUP(($AJ49-$AI49-$AH49-$AG49-$AF49-$AE49*(1+AZ$3))/$AJ49,'Технический лист'!$M:$N,2,1)-VLOOKUP($AO49,'Технический лист'!$M:$N,2,1)),1+(1-$AU49))</f>
        <v>1.1000000000000001</v>
      </c>
      <c r="BA49" s="15">
        <f>MIN(IF($AU49=100%,1,1+VLOOKUP(($AJ49-$AI49-$AH49-$AG49-$AF49-$AE49*(1+BA$3))/$AJ49,'Технический лист'!$M:$N,2,1)-VLOOKUP($AO49,'Технический лист'!$M:$N,2,1)),1+(1-$AU49))</f>
        <v>1.1000000000000001</v>
      </c>
      <c r="BB49" s="15">
        <f>MIN(IF($AU49=100%,1,1+VLOOKUP(($AJ49-$AI49-$AH49-$AG49-$AF49-$AE49*(1+BB$3))/$AJ49,'Технический лист'!$M:$N,2,1)-VLOOKUP($AO49,'Технический лист'!$M:$N,2,1)),1+(1-$AU49))</f>
        <v>1.1000000000000001</v>
      </c>
      <c r="BC49" s="15">
        <f>MIN(IF($AU49=100%,1,1+VLOOKUP(($AJ49-$AI49-$AH49-$AG49-$AF49-$AE49*(1+BC$3))/$AJ49,'Технический лист'!$M:$N,2,1)-VLOOKUP($AO49,'Технический лист'!$M:$N,2,1)),1+(1-$AU49))</f>
        <v>1.1000000000000001</v>
      </c>
      <c r="BD49" s="15">
        <f>MIN(IF($AU49=100%,1,1+VLOOKUP(($AJ49-$AI49-$AH49-$AG49-$AF49-$AE49*(1+BD$3))/$AJ49,'Технический лист'!$M:$N,2,1)-VLOOKUP($AO49,'Технический лист'!$M:$N,2,1)),1+(1-$AU49))</f>
        <v>1.1000000000000001</v>
      </c>
      <c r="BE49" s="15">
        <f>MIN(IF($AU49=100%,1,1+VLOOKUP(($AJ49-$AI49-$AH49-$AG49-$AF49-$AE49*(1+BE$3))/$AJ49,'Технический лист'!$M:$N,2,1)-VLOOKUP($AO49,'Технический лист'!$M:$N,2,1)),1+(1-$AU49))</f>
        <v>1.1000000000000001</v>
      </c>
      <c r="BF49" s="15">
        <f>MIN(IF($AU49=100%,1,1+VLOOKUP(($AJ49-$AI49-$AH49-$AG49-$AF49-$AE49*(1+BF$3))/$AJ49,'Технический лист'!$M:$N,2,1)-VLOOKUP($AO49,'Технический лист'!$M:$N,2,1)),1+(1-$AU49))</f>
        <v>1.1000000000000001</v>
      </c>
      <c r="BG49" s="15">
        <f>MIN(IF($AU49=100%,1,1+VLOOKUP(($AJ49-$AI49-$AH49-$AG49-$AF49-$AE49*(1+BG$3))/$AJ49,'Технический лист'!$M:$N,2,1)-VLOOKUP($AO49,'Технический лист'!$M:$N,2,1)),1+(1-$AU49))</f>
        <v>1.1000000000000001</v>
      </c>
      <c r="BH49" s="15">
        <f>MIN(IF($AU49=100%,1,1+VLOOKUP(($AJ49-$AI49-$AH49-$AG49-$AF49-$AE49*(1+BH$3))/$AJ49,'Технический лист'!$M:$N,2,1)-VLOOKUP($AO49,'Технический лист'!$M:$N,2,1)),1+(1-$AU49))</f>
        <v>1.1000000000000001</v>
      </c>
      <c r="BI49" s="15">
        <f>MIN(IF($AU49=100%,1,1+VLOOKUP(($AJ49-$AI49-$AH49-$AG49-$AF49-$AE49*(1+BI$3))/$AJ49,'Технический лист'!$M:$N,2,1)-VLOOKUP($AO49,'Технический лист'!$M:$N,2,1)),1+(1-$AU49))</f>
        <v>1.1000000000000001</v>
      </c>
      <c r="BJ49" s="15">
        <f>MIN(IF($AU49=100%,1,1+VLOOKUP(($AJ49-$AI49-$AH49-$AG49-$AF49-$AE49*(1+BJ$3))/$AJ49,'Технический лист'!$M:$N,2,1)-VLOOKUP($AO49,'Технический лист'!$M:$N,2,1)),1+(1-$AU49))</f>
        <v>1.1000000000000001</v>
      </c>
      <c r="BK49" s="15">
        <f>MIN(IF($AU49=100%,1,1+VLOOKUP(($AJ49-$AI49-$AH49-$AG49-$AF49-$AE49*(1+BK$3))/$AJ49,'Технический лист'!$M:$N,2,1)-VLOOKUP($AO49,'Технический лист'!$M:$N,2,1)),1+(1-$AU49))</f>
        <v>1.1000000000000001</v>
      </c>
      <c r="BL49" s="15">
        <f>MIN(IF($AU49=100%,1,1+VLOOKUP(($AJ49-$AI49-$AH49-$AG49-$AF49-$AE49*(1+BL$3))/$AJ49,'Технический лист'!$M:$N,2,1)-VLOOKUP($AO49,'Технический лист'!$M:$N,2,1)),1+(1-$AU49))</f>
        <v>1.1000000000000001</v>
      </c>
      <c r="BM49" s="15">
        <f>MIN(IF($AU49=100%,1,1+VLOOKUP(($AJ49-$AI49-$AH49-$AG49-$AF49-$AE49*(1+BM$3))/$AJ49,'Технический лист'!$M:$N,2,1)-VLOOKUP($AO49,'Технический лист'!$M:$N,2,1)),1+(1-$AU49))</f>
        <v>1.1000000000000001</v>
      </c>
      <c r="BN49" s="15">
        <f>MIN(IF($AU49=100%,1,1+VLOOKUP(($AJ49-$AI49-$AH49-$AG49-$AF49-$AE49*(1+BN$3))/$AJ49,'Технический лист'!$M:$N,2,1)-VLOOKUP($AO49,'Технический лист'!$M:$N,2,1)),1+(1-$AU49))</f>
        <v>1.1000000000000001</v>
      </c>
      <c r="BO49" s="15">
        <f>MIN(IF($AU49=100%,1,1+VLOOKUP(($AJ49-$AI49-$AH49-$AG49-$AF49-$AE49*(1+BO$3))/$AJ49,'Технический лист'!$M:$N,2,1)-VLOOKUP($AO49,'Технический лист'!$M:$N,2,1)),1+(1-$AU49))</f>
        <v>1.1000000000000001</v>
      </c>
      <c r="BP49" s="15">
        <f>MIN(IF($AU49=100%,1,1+VLOOKUP(($AJ49-$AI49-$AH49-$AG49-$AF49-$AE49*(1+BP$3))/$AJ49,'Технический лист'!$M:$N,2,1)-VLOOKUP($AO49,'Технический лист'!$M:$N,2,1)),1+(1-$AU49))</f>
        <v>1.1000000000000001</v>
      </c>
      <c r="BQ49" s="15">
        <f>MIN(IF($AU49=100%,1,1+VLOOKUP(($AJ49-$AI49-$AH49-$AG49-$AF49-$AE49*(1+BQ$3))/$AJ49,'Технический лист'!$M:$N,2,1)-VLOOKUP($AO49,'Технический лист'!$M:$N,2,1)),1+(1-$AU49))</f>
        <v>1.1000000000000001</v>
      </c>
      <c r="BR49" s="15">
        <f>MIN(IF($AU49=100%,1,1+VLOOKUP(($AJ49-$AI49-$AH49-$AG49-$AF49-$AE49*(1+BR$3))/$AJ49,'Технический лист'!$M:$N,2,1)-VLOOKUP($AO49,'Технический лист'!$M:$N,2,1)),1+(1-$AU49))</f>
        <v>1.1000000000000001</v>
      </c>
      <c r="BS49" s="15">
        <f>MIN(IF($AU49=100%,1,1+VLOOKUP(($AJ49-$AI49-$AH49-$AG49-$AF49-$AE49*(1+BS$3))/$AJ49,'Технический лист'!$M:$N,2,1)-VLOOKUP($AO49,'Технический лист'!$M:$N,2,1)),1+(1-$AU49))</f>
        <v>1.1000000000000001</v>
      </c>
      <c r="BT49" s="15">
        <f>MIN(IF($AU49=100%,1,1+VLOOKUP(($AJ49-$AI49-$AH49-$AG49-$AF49-$AE49*(1+BT$3))/$AJ49,'Технический лист'!$M:$N,2,1)-VLOOKUP($AO49,'Технический лист'!$M:$N,2,1)),1+(1-$AU49))</f>
        <v>1.1000000000000001</v>
      </c>
      <c r="BU49" s="15">
        <f>MIN(IF($AU49=100%,1,1+VLOOKUP(($AJ49-$AI49-$AH49-$AG49-$AF49-$AE49*(1+BU$3))/$AJ49,'Технический лист'!$M:$N,2,1)-VLOOKUP($AO49,'Технический лист'!$M:$N,2,1)),1+(1-$AU49))</f>
        <v>1.1000000000000001</v>
      </c>
      <c r="BV49" s="15">
        <f>MIN(IF($AU49=100%,1,1+VLOOKUP(($AJ49-$AI49-$AH49-$AG49-$AF49-$AE49*(1+BV$3))/$AJ49,'Технический лист'!$M:$N,2,1)-VLOOKUP($AO49,'Технический лист'!$M:$N,2,1)),1+(1-$AU49))</f>
        <v>1.1000000000000001</v>
      </c>
      <c r="BW49" s="15">
        <f>MIN(IF($AU49=100%,1,1+VLOOKUP(($AJ49-$AI49-$AH49-$AG49-$AF49-$AE49*(1+BW$3))/$AJ49,'Технический лист'!$M:$N,2,1)-VLOOKUP($AO49,'Технический лист'!$M:$N,2,1)),1+(1-$AU49))</f>
        <v>1.1000000000000001</v>
      </c>
      <c r="BX49" s="15">
        <f>MIN(IF($AU49=100%,1,1+VLOOKUP(($AJ49-$AI49-$AH49-$AG49-$AF49-$AE49*(1+BX$3))/$AJ49,'Технический лист'!$M:$N,2,1)-VLOOKUP($AO49,'Технический лист'!$M:$N,2,1)),1+(1-$AU49))</f>
        <v>1.1000000000000001</v>
      </c>
      <c r="BY49" s="15">
        <f>MIN(IF($AU49=100%,1,1+VLOOKUP(($AJ49-$AI49-$AH49-$AG49-$AF49-$AE49*(1+BY$3))/$AJ49,'Технический лист'!$M:$N,2,1)-VLOOKUP($AO49,'Технический лист'!$M:$N,2,1)),1+(1-$AU49))</f>
        <v>1.1000000000000001</v>
      </c>
      <c r="BZ49" s="15">
        <f>MIN(IF($AU49=100%,1,1+VLOOKUP(($AJ49-$AI49-$AH49-$AG49-$AF49-$AE49*(1+BZ$3))/$AJ49,'Технический лист'!$M:$N,2,1)-VLOOKUP($AO49,'Технический лист'!$M:$N,2,1)),1+(1-$AU49))</f>
        <v>1.1000000000000001</v>
      </c>
      <c r="CA49" s="15">
        <f>MIN(IF($AU49=100%,1,1+VLOOKUP(($AJ49-$AI49-$AH49-$AG49-$AF49-$AE49*(1+CA$3))/$AJ49,'Технический лист'!$M:$N,2,1)-VLOOKUP($AO49,'Технический лист'!$M:$N,2,1)),1+(1-$AU49))</f>
        <v>1.1000000000000001</v>
      </c>
      <c r="CB49" s="15">
        <f>MIN(IF($AU49=100%,1,1+VLOOKUP(($AJ49-$AI49-$AH49-$AG49-$AF49-$AE49*(1+CB$3))/$AJ49,'Технический лист'!$M:$N,2,1)-VLOOKUP($AO49,'Технический лист'!$M:$N,2,1)),1+(1-$AU49))</f>
        <v>1.1000000000000001</v>
      </c>
      <c r="CC49" s="15">
        <f>MIN(IF($AU49=100%,1,1+VLOOKUP(($AJ49-$AI49-$AH49-$AG49-$AF49-$AE49*(1+CC$3))/$AJ49,'Технический лист'!$M:$N,2,1)-VLOOKUP($AO49,'Технический лист'!$M:$N,2,1)),1+(1-$AU49))</f>
        <v>1.1000000000000001</v>
      </c>
      <c r="CD49" s="15">
        <f>MIN(IF($AU49=100%,1,1+VLOOKUP(($AJ49-$AI49-$AH49-$AG49-$AF49-$AE49*(1+CD$3))/$AJ49,'Технический лист'!$M:$N,2,1)-VLOOKUP($AO49,'Технический лист'!$M:$N,2,1)),1+(1-$AU49))</f>
        <v>1.1000000000000001</v>
      </c>
      <c r="CE49" s="15">
        <f>MIN(IF($AU49=100%,1,1+VLOOKUP(($AJ49-$AI49-$AH49-$AG49-$AF49-$AE49*(1+CE$3))/$AJ49,'Технический лист'!$M:$N,2,1)-VLOOKUP($AO49,'Технический лист'!$M:$N,2,1)),1+(1-$AU49))</f>
        <v>1.1000000000000001</v>
      </c>
      <c r="CF49" s="15">
        <f>MIN(IF($AU49=100%,1,1+VLOOKUP(($AJ49-$AI49-$AH49-$AG49-$AF49-$AE49*(1+CF$3))/$AJ49,'Технический лист'!$M:$N,2,1)-VLOOKUP($AO49,'Технический лист'!$M:$N,2,1)),1+(1-$AU49))</f>
        <v>1.1000000000000001</v>
      </c>
      <c r="CG49" s="15">
        <f>MIN(IF($AU49=100%,1,1+VLOOKUP(($AJ49-$AI49-$AH49-$AG49-$AF49-$AE49*(1+CG$3))/$AJ49,'Технический лист'!$M:$N,2,1)-VLOOKUP($AO49,'Технический лист'!$M:$N,2,1)),1+(1-$AU49))</f>
        <v>1.1000000000000001</v>
      </c>
      <c r="CH49" s="15">
        <f>MIN(IF($AU49=100%,1,1+VLOOKUP(($AJ49-$AI49-$AH49-$AG49-$AF49-$AE49*(1+CH$3))/$AJ49,'Технический лист'!$M:$N,2,1)-VLOOKUP($AO49,'Технический лист'!$M:$N,2,1)),1+(1-$AU49))</f>
        <v>1.1000000000000001</v>
      </c>
      <c r="CI49" s="15">
        <f>MIN(IF($AU49=100%,1,1+VLOOKUP(($AJ49-$AI49-$AH49-$AG49-$AF49-$AE49*(1+CI$3))/$AJ49,'Технический лист'!$M:$N,2,1)-VLOOKUP($AO49,'Технический лист'!$M:$N,2,1)),1+(1-$AU49))</f>
        <v>1.1000000000000001</v>
      </c>
      <c r="CJ49" s="15">
        <f>MIN(IF($AU49=100%,1,1+VLOOKUP(($AJ49-$AI49-$AH49-$AG49-$AF49-$AE49*(1+CJ$3))/$AJ49,'Технический лист'!$M:$N,2,1)-VLOOKUP($AO49,'Технический лист'!$M:$N,2,1)),1+(1-$AU49))</f>
        <v>1.1000000000000001</v>
      </c>
      <c r="CK49" s="15">
        <f>MIN(IF($AU49=100%,1,1+VLOOKUP(($AJ49-$AI49-$AH49-$AG49-$AF49-$AE49*(1+CK$3))/$AJ49,'Технический лист'!$M:$N,2,1)-VLOOKUP($AO49,'Технический лист'!$M:$N,2,1)),1+(1-$AU49))</f>
        <v>1.1000000000000001</v>
      </c>
      <c r="CL49" s="15">
        <f>MIN(IF($AU49=100%,1,1+VLOOKUP(($AJ49-$AI49-$AH49-$AG49-$AF49-$AE49*(1+CL$3))/$AJ49,'Технический лист'!$M:$N,2,1)-VLOOKUP($AO49,'Технический лист'!$M:$N,2,1)),1+(1-$AU49))</f>
        <v>1.1000000000000001</v>
      </c>
      <c r="CM49" s="15">
        <f>MIN(IF($AU49=100%,1,1+VLOOKUP(($AJ49-$AI49-$AH49-$AG49-$AF49-$AE49*(1+CM$3))/$AJ49,'Технический лист'!$M:$N,2,1)-VLOOKUP($AO49,'Технический лист'!$M:$N,2,1)),1+(1-$AU49))</f>
        <v>1.1000000000000001</v>
      </c>
      <c r="CN49" s="15">
        <f>MIN(IF($AU49=100%,1,1+VLOOKUP(($AJ49-$AI49-$AH49-$AG49-$AF49-$AE49*(1+CN$3))/$AJ49,'Технический лист'!$M:$N,2,1)-VLOOKUP($AO49,'Технический лист'!$M:$N,2,1)),1+(1-$AU49))</f>
        <v>1.1000000000000001</v>
      </c>
      <c r="CO49" s="15">
        <f>MIN(IF($AU49=100%,1,1+VLOOKUP(($AJ49-$AI49-$AH49-$AG49-$AF49-$AE49*(1+CO$3))/$AJ49,'Технический лист'!$M:$N,2,1)-VLOOKUP($AO49,'Технический лист'!$M:$N,2,1)),1+(1-$AU49))</f>
        <v>1.1000000000000001</v>
      </c>
      <c r="CP49" s="15">
        <f>MIN(IF($AU49=100%,1,1+VLOOKUP(($AJ49-$AI49-$AH49-$AG49-$AF49-$AE49*(1+CP$3))/$AJ49,'Технический лист'!$M:$N,2,1)-VLOOKUP($AO49,'Технический лист'!$M:$N,2,1)),1+(1-$AU49))</f>
        <v>1.1000000000000001</v>
      </c>
      <c r="CQ49" s="15">
        <f>MIN(IF($AU49=100%,1,1+VLOOKUP(($AJ49-$AI49-$AH49-$AG49-$AF49-$AE49*(1+CQ$3))/$AJ49,'Технический лист'!$M:$N,2,1)-VLOOKUP($AO49,'Технический лист'!$M:$N,2,1)),1+(1-$AU49))</f>
        <v>1.1000000000000001</v>
      </c>
      <c r="CR49" s="15">
        <f>MIN(IF($AU49=100%,1,1+VLOOKUP(($AJ49-$AI49-$AH49-$AG49-$AF49-$AE49*(1+CR$3))/$AJ49,'Технический лист'!$M:$N,2,1)-VLOOKUP($AO49,'Технический лист'!$M:$N,2,1)),1+(1-$AU49))</f>
        <v>1.1000000000000001</v>
      </c>
      <c r="CS49" s="15">
        <f>MIN(IF($AU49=100%,1,1+VLOOKUP(($AJ49-$AI49-$AH49-$AG49-$AF49-$AE49*(1+CS$3))/$AJ49,'Технический лист'!$M:$N,2,1)-VLOOKUP($AO49,'Технический лист'!$M:$N,2,1)),1+(1-$AU49))</f>
        <v>1.1000000000000001</v>
      </c>
      <c r="CT49" s="15">
        <f>MIN(IF($AU49=100%,1,1+VLOOKUP(($AJ49-$AI49-$AH49-$AG49-$AF49-$AE49*(1+CT$3))/$AJ49,'Технический лист'!$M:$N,2,1)-VLOOKUP($AO49,'Технический лист'!$M:$N,2,1)),1+(1-$AU49))</f>
        <v>1.1000000000000001</v>
      </c>
      <c r="CU49" s="15">
        <f>MIN(IF($AU49=100%,1,1+VLOOKUP(($AJ49-$AI49-$AH49-$AG49-$AF49-$AE49*(1+CU$3))/$AJ49,'Технический лист'!$M:$N,2,1)-VLOOKUP($AO49,'Технический лист'!$M:$N,2,1)),1+(1-$AU49))</f>
        <v>1.1000000000000001</v>
      </c>
      <c r="CV49" s="15">
        <f>MIN(IF($AU49=100%,1,1+VLOOKUP(($AJ49-$AI49-$AH49-$AG49-$AF49-$AE49*(1+CV$3))/$AJ49,'Технический лист'!$M:$N,2,1)-VLOOKUP($AO49,'Технический лист'!$M:$N,2,1)),1+(1-$AU49))</f>
        <v>1.1000000000000001</v>
      </c>
      <c r="CW49" s="15">
        <f>MIN(IF($AU49=100%,1,1+VLOOKUP(($AJ49-$AI49-$AH49-$AG49-$AF49-$AE49*(1+CW$3))/$AJ49,'Технический лист'!$M:$N,2,1)-VLOOKUP($AO49,'Технический лист'!$M:$N,2,1)),1+(1-$AU49))</f>
        <v>1.1000000000000001</v>
      </c>
      <c r="CX49" s="15">
        <f>MIN(IF($AU49=100%,1,1+VLOOKUP(($AJ49-$AI49-$AH49-$AG49-$AF49-$AE49*(1+CX$3))/$AJ49,'Технический лист'!$M:$N,2,1)-VLOOKUP($AO49,'Технический лист'!$M:$N,2,1)),1+(1-$AU49))</f>
        <v>1.1000000000000001</v>
      </c>
      <c r="CY49" s="15">
        <f>MIN(IF($AU49=100%,1,1+VLOOKUP(($AJ49-$AI49-$AH49-$AG49-$AF49-$AE49*(1+CY$3))/$AJ49,'Технический лист'!$M:$N,2,1)-VLOOKUP($AO49,'Технический лист'!$M:$N,2,1)),1+(1-$AU49))</f>
        <v>1.1000000000000001</v>
      </c>
      <c r="CZ49" s="15">
        <f>MIN(IF($AU49=100%,1,1+VLOOKUP(($AJ49-$AI49-$AH49-$AG49-$AF49-$AE49*(1+CZ$3))/$AJ49,'Технический лист'!$M:$N,2,1)-VLOOKUP($AO49,'Технический лист'!$M:$N,2,1)),1+(1-$AU49))</f>
        <v>1.1000000000000001</v>
      </c>
      <c r="DA49" s="15">
        <f>MIN(IF($AU49=100%,1,1+VLOOKUP(($AJ49-$AI49-$AH49-$AG49-$AF49-$AE49*(1+DA$3))/$AJ49,'Технический лист'!$M:$N,2,1)-VLOOKUP($AO49,'Технический лист'!$M:$N,2,1)),1+(1-$AU49))</f>
        <v>1.1000000000000001</v>
      </c>
      <c r="DB49" s="15">
        <f>MIN(IF($AU49=100%,1,1+VLOOKUP(($AJ49-$AI49-$AH49-$AG49-$AF49-$AE49*(1+DB$3))/$AJ49,'Технический лист'!$M:$N,2,1)-VLOOKUP($AO49,'Технический лист'!$M:$N,2,1)),1+(1-$AU49))</f>
        <v>1.1000000000000001</v>
      </c>
      <c r="DC49" s="15">
        <f>MIN(IF($AU49=100%,1,1+VLOOKUP(($AJ49-$AI49-$AH49-$AG49-$AF49-$AE49*(1+DC$3))/$AJ49,'Технический лист'!$M:$N,2,1)-VLOOKUP($AO49,'Технический лист'!$M:$N,2,1)),1+(1-$AU49))</f>
        <v>1.1000000000000001</v>
      </c>
      <c r="DD49" s="15">
        <f>MIN(IF($AU49=100%,1,1+VLOOKUP(($AJ49-$AI49-$AH49-$AG49-$AF49-$AE49*(1+DD$3))/$AJ49,'Технический лист'!$M:$N,2,1)-VLOOKUP($AO49,'Технический лист'!$M:$N,2,1)),1+(1-$AU49))</f>
        <v>1.1000000000000001</v>
      </c>
      <c r="DE49" s="15">
        <f>MIN(IF($AU49=100%,1,1+VLOOKUP(($AJ49-$AI49-$AH49-$AG49-$AF49-$AE49*(1+DE$3))/$AJ49,'Технический лист'!$M:$N,2,1)-VLOOKUP($AO49,'Технический лист'!$M:$N,2,1)),1+(1-$AU49))</f>
        <v>1.1000000000000001</v>
      </c>
      <c r="DF49" s="15">
        <f>MIN(IF($AU49=100%,1,1+VLOOKUP(($AJ49-$AI49-$AH49-$AG49-$AF49-$AE49*(1+DF$3))/$AJ49,'Технический лист'!$M:$N,2,1)-VLOOKUP($AO49,'Технический лист'!$M:$N,2,1)),1+(1-$AU49))</f>
        <v>1.1000000000000001</v>
      </c>
      <c r="DG49" s="15">
        <f>MIN(IF($AU49=100%,1,1+VLOOKUP(($AJ49-$AI49-$AH49-$AG49-$AF49-$AE49*(1+DG$3))/$AJ49,'Технический лист'!$M:$N,2,1)-VLOOKUP($AO49,'Технический лист'!$M:$N,2,1)),1+(1-$AU49))</f>
        <v>1.1000000000000001</v>
      </c>
      <c r="DH49" s="15">
        <f>MIN(IF($AU49=100%,1,1+VLOOKUP(($AJ49-$AI49-$AH49-$AG49-$AF49-$AE49*(1+DH$3))/$AJ49,'Технический лист'!$M:$N,2,1)-VLOOKUP($AO49,'Технический лист'!$M:$N,2,1)),1+(1-$AU49))</f>
        <v>1.1000000000000001</v>
      </c>
      <c r="DI49" s="15">
        <f>MIN(IF($AU49=100%,1,1+VLOOKUP(($AJ49-$AI49-$AH49-$AG49-$AF49-$AE49*(1+DI$3))/$AJ49,'Технический лист'!$M:$N,2,1)-VLOOKUP($AO49,'Технический лист'!$M:$N,2,1)),1+(1-$AU49))</f>
        <v>1.1000000000000001</v>
      </c>
      <c r="DJ49" s="15">
        <f>MIN(IF($AU49=100%,1,1+VLOOKUP(($AJ49-$AI49-$AH49-$AG49-$AF49-$AE49*(1+DJ$3))/$AJ49,'Технический лист'!$M:$N,2,1)-VLOOKUP($AO49,'Технический лист'!$M:$N,2,1)),1+(1-$AU49))</f>
        <v>1.1000000000000001</v>
      </c>
      <c r="DK49" s="15">
        <f>MIN(IF($AU49=100%,1,1+VLOOKUP(($AJ49-$AI49-$AH49-$AG49-$AF49-$AE49*(1+DK$3))/$AJ49,'Технический лист'!$M:$N,2,1)-VLOOKUP($AO49,'Технический лист'!$M:$N,2,1)),1+(1-$AU49))</f>
        <v>1.1000000000000001</v>
      </c>
      <c r="DL49" s="15">
        <f>MIN(IF($AU49=100%,1,1+VLOOKUP(($AJ49-$AI49-$AH49-$AG49-$AF49-$AE49*(1+DL$3))/$AJ49,'Технический лист'!$M:$N,2,1)-VLOOKUP($AO49,'Технический лист'!$M:$N,2,1)),1+(1-$AU49))</f>
        <v>1.1000000000000001</v>
      </c>
      <c r="DM49" s="15">
        <f>MIN(IF($AU49=100%,1,1+VLOOKUP(($AJ49-$AI49-$AH49-$AG49-$AF49-$AE49*(1+DM$3))/$AJ49,'Технический лист'!$M:$N,2,1)-VLOOKUP($AO49,'Технический лист'!$M:$N,2,1)),1+(1-$AU49))</f>
        <v>1.1000000000000001</v>
      </c>
      <c r="DN49" s="15">
        <f>MIN(IF($AU49=100%,1,1+VLOOKUP(($AJ49-$AI49-$AH49-$AG49-$AF49-$AE49*(1+DN$3))/$AJ49,'Технический лист'!$M:$N,2,1)-VLOOKUP($AO49,'Технический лист'!$M:$N,2,1)),1+(1-$AU49))</f>
        <v>1.1000000000000001</v>
      </c>
      <c r="DO49" s="15">
        <f>MIN(IF($AU49=100%,1,1+VLOOKUP(($AJ49-$AI49-$AH49-$AG49-$AF49-$AE49*(1+DO$3))/$AJ49,'Технический лист'!$M:$N,2,1)-VLOOKUP($AO49,'Технический лист'!$M:$N,2,1)),1+(1-$AU49))</f>
        <v>1.1000000000000001</v>
      </c>
      <c r="DP49" s="15">
        <f>MIN(IF($AU49=100%,1,1+VLOOKUP(($AJ49-$AI49-$AH49-$AG49-$AF49-$AE49*(1+DP$3))/$AJ49,'Технический лист'!$M:$N,2,1)-VLOOKUP($AO49,'Технический лист'!$M:$N,2,1)),1+(1-$AU49))</f>
        <v>1.0850000000000004</v>
      </c>
      <c r="DQ49" s="15">
        <f>MIN(IF($AU49=100%,1,1+VLOOKUP(($AJ49-$AI49-$AH49-$AG49-$AF49-$AE49*(1+DQ$3))/$AJ49,'Технический лист'!$M:$N,2,1)-VLOOKUP($AO49,'Технический лист'!$M:$N,2,1)),1+(1-$AU49))</f>
        <v>1.0850000000000004</v>
      </c>
      <c r="DR49" s="15">
        <f>MIN(IF($AU49=100%,1,1+VLOOKUP(($AJ49-$AI49-$AH49-$AG49-$AF49-$AE49*(1+DR$3))/$AJ49,'Технический лист'!$M:$N,2,1)-VLOOKUP($AO49,'Технический лист'!$M:$N,2,1)),1+(1-$AU49))</f>
        <v>1.0850000000000004</v>
      </c>
      <c r="DS49" s="15">
        <f>MIN(IF($AU49=100%,1,1+VLOOKUP(($AJ49-$AI49-$AH49-$AG49-$AF49-$AE49*(1+DS$3))/$AJ49,'Технический лист'!$M:$N,2,1)-VLOOKUP($AO49,'Технический лист'!$M:$N,2,1)),1+(1-$AU49))</f>
        <v>1.0850000000000004</v>
      </c>
      <c r="DT49" s="15">
        <f>MIN(IF($AU49=100%,1,1+VLOOKUP(($AJ49-$AI49-$AH49-$AG49-$AF49-$AE49*(1+DT$3))/$AJ49,'Технический лист'!$M:$N,2,1)-VLOOKUP($AO49,'Технический лист'!$M:$N,2,1)),1+(1-$AU49))</f>
        <v>1.0850000000000004</v>
      </c>
      <c r="DU49" s="15">
        <f>MIN(IF($AU49=100%,1,1+VLOOKUP(($AJ49-$AI49-$AH49-$AG49-$AF49-$AE49*(1+DU$3))/$AJ49,'Технический лист'!$M:$N,2,1)-VLOOKUP($AO49,'Технический лист'!$M:$N,2,1)),1+(1-$AU49))</f>
        <v>1.0850000000000004</v>
      </c>
      <c r="DV49" s="15">
        <f>MIN(IF($AU49=100%,1,1+VLOOKUP(($AJ49-$AI49-$AH49-$AG49-$AF49-$AE49*(1+DV$3))/$AJ49,'Технический лист'!$M:$N,2,1)-VLOOKUP($AO49,'Технический лист'!$M:$N,2,1)),1+(1-$AU49))</f>
        <v>1.0650000000000004</v>
      </c>
      <c r="DW49" s="15">
        <f>MIN(IF($AU49=100%,1,1+VLOOKUP(($AJ49-$AI49-$AH49-$AG49-$AF49-$AE49*(1+DW$3))/$AJ49,'Технический лист'!$M:$N,2,1)-VLOOKUP($AO49,'Технический лист'!$M:$N,2,1)),1+(1-$AU49))</f>
        <v>1.0650000000000004</v>
      </c>
      <c r="DX49" s="15">
        <f>MIN(IF($AU49=100%,1,1+VLOOKUP(($AJ49-$AI49-$AH49-$AG49-$AF49-$AE49*(1+DX$3))/$AJ49,'Технический лист'!$M:$N,2,1)-VLOOKUP($AO49,'Технический лист'!$M:$N,2,1)),1+(1-$AU49))</f>
        <v>1.0650000000000004</v>
      </c>
      <c r="DY49" s="15">
        <f>MIN(IF($AU49=100%,1,1+VLOOKUP(($AJ49-$AI49-$AH49-$AG49-$AF49-$AE49*(1+DY$3))/$AJ49,'Технический лист'!$M:$N,2,1)-VLOOKUP($AO49,'Технический лист'!$M:$N,2,1)),1+(1-$AU49))</f>
        <v>1.0650000000000004</v>
      </c>
      <c r="DZ49" s="15">
        <f>MIN(IF($AU49=100%,1,1+VLOOKUP(($AJ49-$AI49-$AH49-$AG49-$AF49-$AE49*(1+DZ$3))/$AJ49,'Технический лист'!$M:$N,2,1)-VLOOKUP($AO49,'Технический лист'!$M:$N,2,1)),1+(1-$AU49))</f>
        <v>1.0650000000000004</v>
      </c>
      <c r="EA49" s="15">
        <f>MIN(IF($AU49=100%,1,1+VLOOKUP(($AJ49-$AI49-$AH49-$AG49-$AF49-$AE49*(1+EA$3))/$AJ49,'Технический лист'!$M:$N,2,1)-VLOOKUP($AO49,'Технический лист'!$M:$N,2,1)),1+(1-$AU49))</f>
        <v>1.0450000000000004</v>
      </c>
      <c r="EB49" s="15">
        <f>MIN(IF($AU49=100%,1,1+VLOOKUP(($AJ49-$AI49-$AH49-$AG49-$AF49-$AE49*(1+EB$3))/$AJ49,'Технический лист'!$M:$N,2,1)-VLOOKUP($AO49,'Технический лист'!$M:$N,2,1)),1+(1-$AU49))</f>
        <v>1.0450000000000004</v>
      </c>
      <c r="EC49" s="15">
        <f>MIN(IF($AU49=100%,1,1+VLOOKUP(($AJ49-$AI49-$AH49-$AG49-$AF49-$AE49*(1+EC$3))/$AJ49,'Технический лист'!$M:$N,2,1)-VLOOKUP($AO49,'Технический лист'!$M:$N,2,1)),1+(1-$AU49))</f>
        <v>1.0450000000000004</v>
      </c>
      <c r="ED49" s="15">
        <f>MIN(IF($AU49=100%,1,1+VLOOKUP(($AJ49-$AI49-$AH49-$AG49-$AF49-$AE49*(1+ED$3))/$AJ49,'Технический лист'!$M:$N,2,1)-VLOOKUP($AO49,'Технический лист'!$M:$N,2,1)),1+(1-$AU49))</f>
        <v>1.0450000000000004</v>
      </c>
      <c r="EE49" s="15">
        <f>MIN(IF($AU49=100%,1,1+VLOOKUP(($AJ49-$AI49-$AH49-$AG49-$AF49-$AE49*(1+EE$3))/$AJ49,'Технический лист'!$M:$N,2,1)-VLOOKUP($AO49,'Технический лист'!$M:$N,2,1)),1+(1-$AU49))</f>
        <v>1.0450000000000004</v>
      </c>
      <c r="EF49" s="15">
        <f>MIN(IF($AU49=100%,1,1+VLOOKUP(($AJ49-$AI49-$AH49-$AG49-$AF49-$AE49*(1+EF$3))/$AJ49,'Технический лист'!$M:$N,2,1)-VLOOKUP($AO49,'Технический лист'!$M:$N,2,1)),1+(1-$AU49))</f>
        <v>1.0450000000000004</v>
      </c>
      <c r="EG49" s="15">
        <f>MIN(IF($AU49=100%,1,1+VLOOKUP(($AJ49-$AI49-$AH49-$AG49-$AF49-$AE49*(1+EG$3))/$AJ49,'Технический лист'!$M:$N,2,1)-VLOOKUP($AO49,'Технический лист'!$M:$N,2,1)),1+(1-$AU49))</f>
        <v>1.0300000000000002</v>
      </c>
      <c r="EH49" s="15">
        <f>MIN(IF($AU49=100%,1,1+VLOOKUP(($AJ49-$AI49-$AH49-$AG49-$AF49-$AE49*(1+EH$3))/$AJ49,'Технический лист'!$M:$N,2,1)-VLOOKUP($AO49,'Технический лист'!$M:$N,2,1)),1+(1-$AU49))</f>
        <v>1.0300000000000002</v>
      </c>
      <c r="EI49" s="15">
        <f>MIN(IF($AU49=100%,1,1+VLOOKUP(($AJ49-$AI49-$AH49-$AG49-$AF49-$AE49*(1+EI$3))/$AJ49,'Технический лист'!$M:$N,2,1)-VLOOKUP($AO49,'Технический лист'!$M:$N,2,1)),1+(1-$AU49))</f>
        <v>1.0300000000000002</v>
      </c>
      <c r="EJ49" s="15">
        <f>MIN(IF($AU49=100%,1,1+VLOOKUP(($AJ49-$AI49-$AH49-$AG49-$AF49-$AE49*(1+EJ$3))/$AJ49,'Технический лист'!$M:$N,2,1)-VLOOKUP($AO49,'Технический лист'!$M:$N,2,1)),1+(1-$AU49))</f>
        <v>1.0300000000000002</v>
      </c>
      <c r="EK49" s="15">
        <f>MIN(IF($AU49=100%,1,1+VLOOKUP(($AJ49-$AI49-$AH49-$AG49-$AF49-$AE49*(1+EK$3))/$AJ49,'Технический лист'!$M:$N,2,1)-VLOOKUP($AO49,'Технический лист'!$M:$N,2,1)),1+(1-$AU49))</f>
        <v>1.0300000000000002</v>
      </c>
      <c r="EL49" s="15">
        <f>MIN(IF($AU49=100%,1,1+VLOOKUP(($AJ49-$AI49-$AH49-$AG49-$AF49-$AE49*(1+EL$3))/$AJ49,'Технический лист'!$M:$N,2,1)-VLOOKUP($AO49,'Технический лист'!$M:$N,2,1)),1+(1-$AU49))</f>
        <v>1.0150000000000001</v>
      </c>
      <c r="EM49" s="15">
        <f>MIN(IF($AU49=100%,1,1+VLOOKUP(($AJ49-$AI49-$AH49-$AG49-$AF49-$AE49*(1+EM$3))/$AJ49,'Технический лист'!$M:$N,2,1)-VLOOKUP($AO49,'Технический лист'!$M:$N,2,1)),1+(1-$AU49))</f>
        <v>1.0150000000000001</v>
      </c>
      <c r="EN49" s="15">
        <f>MIN(IF($AU49=100%,1,1+VLOOKUP(($AJ49-$AI49-$AH49-$AG49-$AF49-$AE49*(1+EN$3))/$AJ49,'Технический лист'!$M:$N,2,1)-VLOOKUP($AO49,'Технический лист'!$M:$N,2,1)),1+(1-$AU49))</f>
        <v>1.0150000000000001</v>
      </c>
      <c r="EO49" s="15">
        <f>MIN(IF($AU49=100%,1,1+VLOOKUP(($AJ49-$AI49-$AH49-$AG49-$AF49-$AE49*(1+EO$3))/$AJ49,'Технический лист'!$M:$N,2,1)-VLOOKUP($AO49,'Технический лист'!$M:$N,2,1)),1+(1-$AU49))</f>
        <v>1.0150000000000001</v>
      </c>
      <c r="EP49" s="15">
        <f>MIN(IF($AU49=100%,1,1+VLOOKUP(($AJ49-$AI49-$AH49-$AG49-$AF49-$AE49*(1+EP$3))/$AJ49,'Технический лист'!$M:$N,2,1)-VLOOKUP($AO49,'Технический лист'!$M:$N,2,1)),1+(1-$AU49))</f>
        <v>1.0150000000000001</v>
      </c>
      <c r="EQ49" s="15">
        <f>MIN(IF($AU49=100%,1,1+VLOOKUP(($AJ49-$AI49-$AH49-$AG49-$AF49-$AE49*(1+EQ$3))/$AJ49,'Технический лист'!$M:$N,2,1)-VLOOKUP($AO49,'Технический лист'!$M:$N,2,1)),1+(1-$AU49))</f>
        <v>1.0150000000000001</v>
      </c>
      <c r="ER49" s="15">
        <f>MIN(IF($AU49=100%,1,1+VLOOKUP(($AJ49-$AI49-$AH49-$AG49-$AF49-$AE49*(1+ER$3))/$AJ49,'Технический лист'!$M:$N,2,1)-VLOOKUP($AO49,'Технический лист'!$M:$N,2,1)),1+(1-$AU49))</f>
        <v>1</v>
      </c>
      <c r="ES49" s="15">
        <f>MIN(IF($AU49=100%,1,1+VLOOKUP(($AJ49-$AI49-$AH49-$AG49-$AF49-$AE49*(1+ES$3))/$AJ49,'Технический лист'!$M:$N,2,1)-VLOOKUP($AO49,'Технический лист'!$M:$N,2,1)),1+(1-$AU49))</f>
        <v>1</v>
      </c>
      <c r="ET49" s="15">
        <f>MIN(IF($AU49=100%,1,1+VLOOKUP(($AJ49-$AI49-$AH49-$AG49-$AF49-$AE49*(1+ET$3))/$AJ49,'Технический лист'!$M:$N,2,1)-VLOOKUP($AO49,'Технический лист'!$M:$N,2,1)),1+(1-$AU49))</f>
        <v>1</v>
      </c>
      <c r="EU49" s="15">
        <f>MIN(IF($AU49=100%,1,1+VLOOKUP(($AJ49-$AI49-$AH49-$AG49-$AF49-$AE49*(1+EU$3))/$AJ49,'Технический лист'!$M:$N,2,1)-VLOOKUP($AO49,'Технический лист'!$M:$N,2,1)),1+(1-$AU49))</f>
        <v>1</v>
      </c>
      <c r="EV49" s="111">
        <v>1</v>
      </c>
      <c r="EW49" s="15">
        <f>MIN(1,MAX(VLOOKUP(($AJ49-$AI49-$AH49-$AG49-$AF49-$AE49*(1+EW$3))/$AJ49,'Технический лист'!$M:$N,2,1),(EV49-0.05)))</f>
        <v>1</v>
      </c>
      <c r="EX49" s="15">
        <f>MIN(1,MAX(VLOOKUP(($AJ49-$AI49-$AH49-$AG49-$AF49-$AE49*(1+EX$3))/$AJ49,'Технический лист'!$M:$N,2,1),(EW49-0.05)))</f>
        <v>1</v>
      </c>
      <c r="EY49" s="15">
        <f>MIN(1,MAX(VLOOKUP(($AJ49-$AI49-$AH49-$AG49-$AF49-$AE49*(1+EY$3))/$AJ49,'Технический лист'!$M:$N,2,1),(EX49-0.05)))</f>
        <v>1</v>
      </c>
      <c r="EZ49" s="15">
        <f>MIN(1,MAX(VLOOKUP(($AJ49-$AI49-$AH49-$AG49-$AF49-$AE49*(1+EZ$3))/$AJ49,'Технический лист'!$M:$N,2,1),(EY49-0.05)))</f>
        <v>1</v>
      </c>
      <c r="FA49" s="15">
        <f>MIN(1,MAX(VLOOKUP(($AJ49-$AI49-$AH49-$AG49-$AF49-$AE49*(1+FA$3))/$AJ49,'Технический лист'!$M:$N,2,1),(EZ49-0.05)))</f>
        <v>1</v>
      </c>
      <c r="FB49" s="15">
        <f>MIN(1,MAX(VLOOKUP(($AJ49-$AI49-$AH49-$AG49-$AF49-$AE49*(1+FB$3))/$AJ49,'Технический лист'!$M:$N,2,1),(FA49-0.05)))</f>
        <v>1</v>
      </c>
      <c r="FC49" s="15">
        <f>MIN(1,MAX(VLOOKUP(($AJ49-$AI49-$AH49-$AG49-$AF49-$AE49*(1+FC$3))/$AJ49,'Технический лист'!$M:$N,2,1),(FB49-0.05)))</f>
        <v>1</v>
      </c>
      <c r="FD49" s="15">
        <f>MIN(1,MAX(VLOOKUP(($AJ49-$AI49-$AH49-$AG49-$AF49-$AE49*(1+FD$3))/$AJ49,'Технический лист'!$M:$N,2,1),(FC49-0.05)))</f>
        <v>1</v>
      </c>
      <c r="FE49" s="15">
        <f>MIN(1,MAX(VLOOKUP(($AJ49-$AI49-$AH49-$AG49-$AF49-$AE49*(1+FE$3))/$AJ49,'Технический лист'!$M:$N,2,1),(FD49-0.05)))</f>
        <v>1</v>
      </c>
      <c r="FF49" s="15">
        <f>MIN(1,MAX(VLOOKUP(($AJ49-$AI49-$AH49-$AG49-$AF49-$AE49*(1+FF$3))/$AJ49,'Технический лист'!$M:$N,2,1),(FE49-0.05)))</f>
        <v>1</v>
      </c>
      <c r="FG49" s="15">
        <f>MIN(1,MAX(VLOOKUP(($AJ49-$AI49-$AH49-$AG49-$AF49-$AE49*(1+FG$3))/$AJ49,'Технический лист'!$M:$N,2,1),(FF49-0.05)))</f>
        <v>1</v>
      </c>
      <c r="FH49" s="15">
        <f>MIN(1,MAX(VLOOKUP(($AJ49-$AI49-$AH49-$AG49-$AF49-$AE49*(1+FH$3))/$AJ49,'Технический лист'!$M:$N,2,1),(FG49-0.05)))</f>
        <v>1</v>
      </c>
      <c r="FI49" s="15">
        <f>MIN(1,MAX(VLOOKUP(($AJ49-$AI49-$AH49-$AG49-$AF49-$AE49*(1+FI$3))/$AJ49,'Технический лист'!$M:$N,2,1),(FH49-0.05)))</f>
        <v>1</v>
      </c>
      <c r="FJ49" s="15">
        <f>MIN(1,MAX(VLOOKUP(($AJ49-$AI49-$AH49-$AG49-$AF49-$AE49*(1+FJ$3))/$AJ49,'Технический лист'!$M:$N,2,1),(FI49-0.05)))</f>
        <v>1</v>
      </c>
      <c r="FK49" s="15">
        <f>MIN(1,MAX(VLOOKUP(($AJ49-$AI49-$AH49-$AG49-$AF49-$AE49*(1+FK$3))/$AJ49,'Технический лист'!$M:$N,2,1),(FJ49-0.05)))</f>
        <v>1</v>
      </c>
      <c r="FL49" s="15">
        <f>MIN(1,MAX(VLOOKUP(($AJ49-$AI49-$AH49-$AG49-$AF49-$AE49*(1+FL$3))/$AJ49,'Технический лист'!$M:$N,2,1),(FK49-0.05)))</f>
        <v>1</v>
      </c>
      <c r="FM49" s="15">
        <f>MIN(1,MAX(VLOOKUP(($AJ49-$AI49-$AH49-$AG49-$AF49-$AE49*(1+FM$3))/$AJ49,'Технический лист'!$M:$N,2,1),(FL49-0.05)))</f>
        <v>1</v>
      </c>
      <c r="FN49" s="15">
        <f>MIN(1,MAX(VLOOKUP(($AJ49-$AI49-$AH49-$AG49-$AF49-$AE49*(1+FN$3))/$AJ49,'Технический лист'!$M:$N,2,1),(FM49-0.05)))</f>
        <v>1</v>
      </c>
      <c r="FO49" s="15">
        <f>MIN(1,MAX(VLOOKUP(($AJ49-$AI49-$AH49-$AG49-$AF49-$AE49*(1+FO$3))/$AJ49,'Технический лист'!$M:$N,2,1),(FN49-0.05)))</f>
        <v>1</v>
      </c>
      <c r="FP49" s="15">
        <f>MIN(1,MAX(VLOOKUP(($AJ49-$AI49-$AH49-$AG49-$AF49-$AE49*(1+FP$3))/$AJ49,'Технический лист'!$M:$N,2,1),(FO49-0.05)))</f>
        <v>1</v>
      </c>
      <c r="FQ49" s="15">
        <f>MIN(1,MAX(VLOOKUP(($AJ49-$AI49-$AH49-$AG49-$AF49-$AE49*(1+FQ$3))/$AJ49,'Технический лист'!$M:$N,2,1),(FP49-0.05)))</f>
        <v>1</v>
      </c>
      <c r="FR49" s="15">
        <f>MIN(1,MAX(VLOOKUP(($AJ49-$AI49-$AH49-$AG49-$AF49-$AE49*(1+FR$3))/$AJ49,'Технический лист'!$M:$N,2,1),(FQ49-0.05)))</f>
        <v>1</v>
      </c>
      <c r="FS49" s="15">
        <f>MIN(1,MAX(VLOOKUP(($AJ49-$AI49-$AH49-$AG49-$AF49-$AE49*(1+FS$3))/$AJ49,'Технический лист'!$M:$N,2,1),(FR49-0.05)))</f>
        <v>1</v>
      </c>
      <c r="FT49" s="15">
        <f>MIN(1,MAX(VLOOKUP(($AJ49-$AI49-$AH49-$AG49-$AF49-$AE49*(1+FT$3))/$AJ49,'Технический лист'!$M:$N,2,1),(FS49-0.05)))</f>
        <v>1</v>
      </c>
      <c r="FU49" s="15">
        <f>MIN(1,MAX(VLOOKUP(($AJ49-$AI49-$AH49-$AG49-$AF49-$AE49*(1+FU$3))/$AJ49,'Технический лист'!$M:$N,2,1),(FT49-0.05)))</f>
        <v>1</v>
      </c>
      <c r="FV49" s="15">
        <f>MIN(1,MAX(VLOOKUP(($AJ49-$AI49-$AH49-$AG49-$AF49-$AE49*(1+FV$3))/$AJ49,'Технический лист'!$M:$N,2,1),(FU49-0.05)))</f>
        <v>1</v>
      </c>
      <c r="FW49" s="15">
        <f>MIN(1,MAX(VLOOKUP(($AJ49-$AI49-$AH49-$AG49-$AF49-$AE49*(1+FW$3))/$AJ49,'Технический лист'!$M:$N,2,1),(FV49-0.05)))</f>
        <v>1</v>
      </c>
      <c r="FX49" s="15">
        <f>MIN(1,MAX(VLOOKUP(($AJ49-$AI49-$AH49-$AG49-$AF49-$AE49*(1+FX$3))/$AJ49,'Технический лист'!$M:$N,2,1),(FW49-0.05)))</f>
        <v>1</v>
      </c>
      <c r="FY49" s="15">
        <f>MIN(1,MAX(VLOOKUP(($AJ49-$AI49-$AH49-$AG49-$AF49-$AE49*(1+FY$3))/$AJ49,'Технический лист'!$M:$N,2,1),(FX49-0.05)))</f>
        <v>1</v>
      </c>
      <c r="FZ49" s="15">
        <f>MIN(1,MAX(VLOOKUP(($AJ49-$AI49-$AH49-$AG49-$AF49-$AE49*(1+FZ$3))/$AJ49,'Технический лист'!$M:$N,2,1),(FY49-0.05)))</f>
        <v>1</v>
      </c>
      <c r="GA49" s="15">
        <f>MIN(1,MAX(VLOOKUP(($AJ49-$AI49-$AH49-$AG49-$AF49-$AE49*(1+GA$3))/$AJ49,'Технический лист'!$M:$N,2,1),(FZ49-0.05)))</f>
        <v>1</v>
      </c>
      <c r="GB49" s="15">
        <f>MIN(1,MAX(VLOOKUP(($AJ49-$AI49-$AH49-$AG49-$AF49-$AE49*(1+GB$3))/$AJ49,'Технический лист'!$M:$N,2,1),(GA49-0.05)))</f>
        <v>1</v>
      </c>
      <c r="GC49" s="15">
        <f>MIN(1,MAX(VLOOKUP(($AJ49-$AI49-$AH49-$AG49-$AF49-$AE49*(1+GC$3))/$AJ49,'Технический лист'!$M:$N,2,1),(GB49-0.05)))</f>
        <v>1</v>
      </c>
      <c r="GD49" s="15">
        <f>MIN(1,MAX(VLOOKUP(($AJ49-$AI49-$AH49-$AG49-$AF49-$AE49*(1+GD$3))/$AJ49,'Технический лист'!$M:$N,2,1),(GC49-0.05)))</f>
        <v>1</v>
      </c>
      <c r="GE49" s="15">
        <f>MIN(1,MAX(VLOOKUP(($AJ49-$AI49-$AH49-$AG49-$AF49-$AE49*(1+GE$3))/$AJ49,'Технический лист'!$M:$N,2,1),(GD49-0.05)))</f>
        <v>1</v>
      </c>
      <c r="GF49" s="15">
        <f>MIN(1,MAX(VLOOKUP(($AJ49-$AI49-$AH49-$AG49-$AF49-$AE49*(1+GF$3))/$AJ49,'Технический лист'!$M:$N,2,1),(GE49-0.05)))</f>
        <v>1</v>
      </c>
      <c r="GG49" s="15">
        <f>MIN(1,MAX(VLOOKUP(($AJ49-$AI49-$AH49-$AG49-$AF49-$AE49*(1+GG$3))/$AJ49,'Технический лист'!$M:$N,2,1),(GF49-0.05)))</f>
        <v>1</v>
      </c>
      <c r="GH49" s="15">
        <f>MIN(1,MAX(VLOOKUP(($AJ49-$AI49-$AH49-$AG49-$AF49-$AE49*(1+GH$3))/$AJ49,'Технический лист'!$M:$N,2,1),(GG49-0.05)))</f>
        <v>1</v>
      </c>
      <c r="GI49" s="15">
        <f>MIN(1,MAX(VLOOKUP(($AJ49-$AI49-$AH49-$AG49-$AF49-$AE49*(1+GI$3))/$AJ49,'Технический лист'!$M:$N,2,1),(GH49-0.05)))</f>
        <v>1</v>
      </c>
      <c r="GJ49" s="15">
        <f>MIN(1,MAX(VLOOKUP(($AJ49-$AI49-$AH49-$AG49-$AF49-$AE49*(1+GJ$3))/$AJ49,'Технический лист'!$M:$N,2,1),(GI49-0.05)))</f>
        <v>1</v>
      </c>
      <c r="GK49" s="15">
        <f>MIN(1,MAX(VLOOKUP(($AJ49-$AI49-$AH49-$AG49-$AF49-$AE49*(1+GK$3))/$AJ49,'Технический лист'!$M:$N,2,1),(GJ49-0.05)))</f>
        <v>1</v>
      </c>
      <c r="GL49" s="15">
        <f>MIN(1,MAX(VLOOKUP(($AJ49-$AI49-$AH49-$AG49-$AF49-$AE49*(1+GL$3))/$AJ49,'Технический лист'!$M:$N,2,1),(GK49-0.05)))</f>
        <v>1</v>
      </c>
      <c r="GM49" s="15">
        <f>MIN(1,MAX(VLOOKUP(($AJ49-$AI49-$AH49-$AG49-$AF49-$AE49*(1+GM$3))/$AJ49,'Технический лист'!$M:$N,2,1),(GL49-0.05)))</f>
        <v>1</v>
      </c>
      <c r="GN49" s="15">
        <f>MIN(1,MAX(VLOOKUP(($AJ49-$AI49-$AH49-$AG49-$AF49-$AE49*(1+GN$3))/$AJ49,'Технический лист'!$M:$N,2,1),(GM49-0.05)))</f>
        <v>1</v>
      </c>
      <c r="GO49" s="15">
        <f>MIN(1,MAX(VLOOKUP(($AJ49-$AI49-$AH49-$AG49-$AF49-$AE49*(1+GO$3))/$AJ49,'Технический лист'!$M:$N,2,1),(GN49-0.05)))</f>
        <v>1</v>
      </c>
      <c r="GP49" s="15">
        <f>MIN(1,MAX(VLOOKUP(($AJ49-$AI49-$AH49-$AG49-$AF49-$AE49*(1+GP$3))/$AJ49,'Технический лист'!$M:$N,2,1),(GO49-0.05)))</f>
        <v>1</v>
      </c>
      <c r="GQ49" s="15">
        <f>MIN(1,MAX(VLOOKUP(($AJ49-$AI49-$AH49-$AG49-$AF49-$AE49*(1+GQ$3))/$AJ49,'Технический лист'!$M:$N,2,1),(GP49-0.05)))</f>
        <v>1</v>
      </c>
      <c r="GR49" s="15">
        <f>MIN(1,MAX(VLOOKUP(($AJ49-$AI49-$AH49-$AG49-$AF49-$AE49*(1+GR$3))/$AJ49,'Технический лист'!$M:$N,2,1),(GQ49-0.05)))</f>
        <v>1</v>
      </c>
      <c r="GS49" s="15">
        <f>MIN(1,MAX(VLOOKUP(($AJ49-$AI49-$AH49-$AG49-$AF49-$AE49*(1+GS$3))/$AJ49,'Технический лист'!$M:$N,2,1),(GR49-0.05)))</f>
        <v>1</v>
      </c>
      <c r="GT49" s="15">
        <f>MIN(1,MAX(VLOOKUP(($AJ49-$AI49-$AH49-$AG49-$AF49-$AE49*(1+GT$3))/$AJ49,'Технический лист'!$M:$N,2,1),(GS49-0.05)))</f>
        <v>1</v>
      </c>
      <c r="GU49" s="15">
        <f>MIN(1,MAX(VLOOKUP(($AJ49-$AI49-$AH49-$AG49-$AF49-$AE49*(1+GU$3))/$AJ49,'Технический лист'!$M:$N,2,1),(GT49-0.05)))</f>
        <v>1</v>
      </c>
      <c r="GV49" s="15">
        <f>MIN(1,MAX(VLOOKUP(($AJ49-$AI49-$AH49-$AG49-$AF49-$AE49*(1+GV$3))/$AJ49,'Технический лист'!$M:$N,2,1),(GU49-0.05)))</f>
        <v>1</v>
      </c>
      <c r="GW49" s="15">
        <f>MIN(1,MAX(VLOOKUP(($AJ49-$AI49-$AH49-$AG49-$AF49-$AE49*(1+GW$3))/$AJ49,'Технический лист'!$M:$N,2,1),(GV49-0.05)))</f>
        <v>1</v>
      </c>
      <c r="GX49" s="15">
        <f>MIN(1,MAX(VLOOKUP(($AJ49-$AI49-$AH49-$AG49-$AF49-$AE49*(1+GX$3))/$AJ49,'Технический лист'!$M:$N,2,1),(GW49-0.05)))</f>
        <v>1</v>
      </c>
      <c r="GY49" s="15">
        <f>MIN(1,MAX(VLOOKUP(($AJ49-$AI49-$AH49-$AG49-$AF49-$AE49*(1+GY$3))/$AJ49,'Технический лист'!$M:$N,2,1),(GX49-0.05)))</f>
        <v>1</v>
      </c>
      <c r="GZ49" s="15">
        <f>MIN(1,MAX(VLOOKUP(($AJ49-$AI49-$AH49-$AG49-$AF49-$AE49*(1+GZ$3))/$AJ49,'Технический лист'!$M:$N,2,1),(GY49-0.05)))</f>
        <v>1</v>
      </c>
      <c r="HA49" s="15">
        <f>MIN(1,MAX(VLOOKUP(($AJ49-$AI49-$AH49-$AG49-$AF49-$AE49*(1+HA$3))/$AJ49,'Технический лист'!$M:$N,2,1),(GZ49-0.05)))</f>
        <v>1</v>
      </c>
      <c r="HB49" s="15">
        <f>MIN(1,MAX(VLOOKUP(($AJ49-$AI49-$AH49-$AG49-$AF49-$AE49*(1+HB$3))/$AJ49,'Технический лист'!$M:$N,2,1),(HA49-0.05)))</f>
        <v>1</v>
      </c>
      <c r="HC49" s="15">
        <f>MIN(1,MAX(VLOOKUP(($AJ49-$AI49-$AH49-$AG49-$AF49-$AE49*(1+HC$3))/$AJ49,'Технический лист'!$M:$N,2,1),(HB49-0.05)))</f>
        <v>1</v>
      </c>
      <c r="HD49" s="15">
        <f>MIN(1,MAX(VLOOKUP(($AJ49-$AI49-$AH49-$AG49-$AF49-$AE49*(1+HD$3))/$AJ49,'Технический лист'!$M:$N,2,1),(HC49-0.05)))</f>
        <v>1</v>
      </c>
      <c r="HE49" s="15">
        <f>MIN(1,MAX(VLOOKUP(($AJ49-$AI49-$AH49-$AG49-$AF49-$AE49*(1+HE$3))/$AJ49,'Технический лист'!$M:$N,2,1),(HD49-0.05)))</f>
        <v>1</v>
      </c>
      <c r="HF49" s="15">
        <f>MIN(1,MAX(VLOOKUP(($AJ49-$AI49-$AH49-$AG49-$AF49-$AE49*(1+HF$3))/$AJ49,'Технический лист'!$M:$N,2,1),(HE49-0.05)))</f>
        <v>1</v>
      </c>
      <c r="HG49" s="15">
        <f>MIN(1,MAX(VLOOKUP(($AJ49-$AI49-$AH49-$AG49-$AF49-$AE49*(1+HG$3))/$AJ49,'Технический лист'!$M:$N,2,1),(HF49-0.05)))</f>
        <v>1</v>
      </c>
      <c r="HH49" s="15">
        <f>MIN(1,MAX(VLOOKUP(($AJ49-$AI49-$AH49-$AG49-$AF49-$AE49*(1+HH$3))/$AJ49,'Технический лист'!$M:$N,2,1),(HG49-0.05)))</f>
        <v>1</v>
      </c>
      <c r="HI49" s="15">
        <f>MIN(1,MAX(VLOOKUP(($AJ49-$AI49-$AH49-$AG49-$AF49-$AE49*(1+HI$3))/$AJ49,'Технический лист'!$M:$N,2,1),(HH49-0.05)))</f>
        <v>1</v>
      </c>
      <c r="HJ49" s="15">
        <f>MIN(1,MAX(VLOOKUP(($AJ49-$AI49-$AH49-$AG49-$AF49-$AE49*(1+HJ$3))/$AJ49,'Технический лист'!$M:$N,2,1),(HI49-0.05)))</f>
        <v>1</v>
      </c>
      <c r="HK49" s="15">
        <f>MIN(1,MAX(VLOOKUP(($AJ49-$AI49-$AH49-$AG49-$AF49-$AE49*(1+HK$3))/$AJ49,'Технический лист'!$M:$N,2,1),(HJ49-0.05)))</f>
        <v>1</v>
      </c>
      <c r="HL49" s="15">
        <f>MIN(1,MAX(VLOOKUP(($AJ49-$AI49-$AH49-$AG49-$AF49-$AE49*(1+HL$3))/$AJ49,'Технический лист'!$M:$N,2,1),(HK49-0.05)))</f>
        <v>1</v>
      </c>
      <c r="HM49" s="15">
        <f>MIN(1,MAX(VLOOKUP(($AJ49-$AI49-$AH49-$AG49-$AF49-$AE49*(1+HM$3))/$AJ49,'Технический лист'!$M:$N,2,1),(HL49-0.05)))</f>
        <v>1</v>
      </c>
      <c r="HN49" s="15">
        <f>MIN(1,MAX(VLOOKUP(($AJ49-$AI49-$AH49-$AG49-$AF49-$AE49*(1+HN$3))/$AJ49,'Технический лист'!$M:$N,2,1),(HM49-0.05)))</f>
        <v>1</v>
      </c>
      <c r="HO49" s="15">
        <f>MIN(1,MAX(VLOOKUP(($AJ49-$AI49-$AH49-$AG49-$AF49-$AE49*(1+HO$3))/$AJ49,'Технический лист'!$M:$N,2,1),(HN49-0.05)))</f>
        <v>1</v>
      </c>
      <c r="HP49" s="15">
        <f>MIN(1,MAX(VLOOKUP(($AJ49-$AI49-$AH49-$AG49-$AF49-$AE49*(1+HP$3))/$AJ49,'Технический лист'!$M:$N,2,1),(HO49-0.05)))</f>
        <v>1</v>
      </c>
      <c r="HQ49" s="15">
        <f>MIN(1,MAX(VLOOKUP(($AJ49-$AI49-$AH49-$AG49-$AF49-$AE49*(1+HQ$3))/$AJ49,'Технический лист'!$M:$N,2,1),(HP49-0.05)))</f>
        <v>1</v>
      </c>
      <c r="HR49" s="15">
        <f>MIN(1,MAX(VLOOKUP(($AJ49-$AI49-$AH49-$AG49-$AF49-$AE49*(1+HR$3))/$AJ49,'Технический лист'!$M:$N,2,1),(HQ49-0.05)))</f>
        <v>1</v>
      </c>
      <c r="HS49" s="15">
        <f>MIN(1,MAX(VLOOKUP(($AJ49-$AI49-$AH49-$AG49-$AF49-$AE49*(1+HS$3))/$AJ49,'Технический лист'!$M:$N,2,1),(HR49-0.05)))</f>
        <v>1</v>
      </c>
      <c r="HT49" s="15">
        <f>MIN(1,MAX(VLOOKUP(($AJ49-$AI49-$AH49-$AG49-$AF49-$AE49*(1+HT$3))/$AJ49,'Технический лист'!$M:$N,2,1),(HS49-0.05)))</f>
        <v>1</v>
      </c>
      <c r="HU49" s="15">
        <f>MIN(1,MAX(VLOOKUP(($AJ49-$AI49-$AH49-$AG49-$AF49-$AE49*(1+HU$3))/$AJ49,'Технический лист'!$M:$N,2,1),(HT49-0.05)))</f>
        <v>1</v>
      </c>
      <c r="HV49" s="15">
        <f>MIN(1,MAX(VLOOKUP(($AJ49-$AI49-$AH49-$AG49-$AF49-$AE49*(1+HV$3))/$AJ49,'Технический лист'!$M:$N,2,1),(HU49-0.05)))</f>
        <v>1</v>
      </c>
      <c r="HW49" s="15">
        <f>MIN(1,MAX(VLOOKUP(($AJ49-$AI49-$AH49-$AG49-$AF49-$AE49*(1+HW$3))/$AJ49,'Технический лист'!$M:$N,2,1),(HV49-0.05)))</f>
        <v>1</v>
      </c>
      <c r="HX49" s="15">
        <f>MIN(1,MAX(VLOOKUP(($AJ49-$AI49-$AH49-$AG49-$AF49-$AE49*(1+HX$3))/$AJ49,'Технический лист'!$M:$N,2,1),(HW49-0.05)))</f>
        <v>1</v>
      </c>
      <c r="HY49" s="15">
        <f>MIN(1,MAX(VLOOKUP(($AJ49-$AI49-$AH49-$AG49-$AF49-$AE49*(1+HY$3))/$AJ49,'Технический лист'!$M:$N,2,1),(HX49-0.05)))</f>
        <v>1</v>
      </c>
      <c r="HZ49" s="15">
        <f>MIN(1,MAX(VLOOKUP(($AJ49-$AI49-$AH49-$AG49-$AF49-$AE49*(1+HZ$3))/$AJ49,'Технический лист'!$M:$N,2,1),(HY49-0.05)))</f>
        <v>1</v>
      </c>
      <c r="IA49" s="15">
        <f>MIN(1,MAX(VLOOKUP(($AJ49-$AI49-$AH49-$AG49-$AF49-$AE49*(1+IA$3))/$AJ49,'Технический лист'!$M:$N,2,1),(HZ49-0.05)))</f>
        <v>1</v>
      </c>
      <c r="IB49" s="15">
        <f>MIN(1,MAX(VLOOKUP(($AJ49-$AI49-$AH49-$AG49-$AF49-$AE49*(1+IB$3))/$AJ49,'Технический лист'!$M:$N,2,1),(IA49-0.05)))</f>
        <v>1</v>
      </c>
      <c r="IC49" s="15">
        <f>MIN(1,MAX(VLOOKUP(($AJ49-$AI49-$AH49-$AG49-$AF49-$AE49*(1+IC$3))/$AJ49,'Технический лист'!$M:$N,2,1),(IB49-0.05)))</f>
        <v>1</v>
      </c>
      <c r="ID49" s="15">
        <f>MIN(1,MAX(VLOOKUP(($AJ49-$AI49-$AH49-$AG49-$AF49-$AE49*(1+ID$3))/$AJ49,'Технический лист'!$M:$N,2,1),(IC49-0.05)))</f>
        <v>1</v>
      </c>
      <c r="IE49" s="15">
        <f>MIN(1,MAX(VLOOKUP(($AJ49-$AI49-$AH49-$AG49-$AF49-$AE49*(1+IE$3))/$AJ49,'Технический лист'!$M:$N,2,1),(ID49-0.05)))</f>
        <v>1</v>
      </c>
      <c r="IF49" s="15">
        <f>MIN(1,MAX(VLOOKUP(($AJ49-$AI49-$AH49-$AG49-$AF49-$AE49*(1+IF$3))/$AJ49,'Технический лист'!$M:$N,2,1),(IE49-0.05)))</f>
        <v>1</v>
      </c>
      <c r="IG49" s="15">
        <f>MIN(1,MAX(VLOOKUP(($AJ49-$AI49-$AH49-$AG49-$AF49-$AE49*(1+IG$3))/$AJ49,'Технический лист'!$M:$N,2,1),(IF49-0.05)))</f>
        <v>1</v>
      </c>
      <c r="IH49" s="15">
        <f>MIN(1,MAX(VLOOKUP(($AJ49-$AI49-$AH49-$AG49-$AF49-$AE49*(1+IH$3))/$AJ49,'Технический лист'!$M:$N,2,1),(IG49-0.05)))</f>
        <v>1</v>
      </c>
      <c r="II49" s="15">
        <f>MIN(1,MAX(VLOOKUP(($AJ49-$AI49-$AH49-$AG49-$AF49-$AE49*(1+II$3))/$AJ49,'Технический лист'!$M:$N,2,1),(IH49-0.05)))</f>
        <v>1</v>
      </c>
      <c r="IJ49" s="15">
        <f>MIN(1,MAX(VLOOKUP(($AJ49-$AI49-$AH49-$AG49-$AF49-$AE49*(1+IJ$3))/$AJ49,'Технический лист'!$M:$N,2,1),(II49-0.05)))</f>
        <v>1</v>
      </c>
      <c r="IK49" s="15">
        <f>MIN(1,MAX(VLOOKUP(($AJ49-$AI49-$AH49-$AG49-$AF49-$AE49*(1+IK$3))/$AJ49,'Технический лист'!$M:$N,2,1),(IJ49-0.05)))</f>
        <v>1</v>
      </c>
      <c r="IL49" s="15">
        <f>MIN(1,MAX(VLOOKUP(($AJ49-$AI49-$AH49-$AG49-$AF49-$AE49*(1+IL$3))/$AJ49,'Технический лист'!$M:$N,2,1),(IK49-0.05)))</f>
        <v>1</v>
      </c>
      <c r="IM49" s="15">
        <f>MIN(1,MAX(VLOOKUP(($AJ49-$AI49-$AH49-$AG49-$AF49-$AE49*(1+IM$3))/$AJ49,'Технический лист'!$M:$N,2,1),(IL49-0.05)))</f>
        <v>1</v>
      </c>
      <c r="IN49" s="15">
        <f>MIN(1,MAX(VLOOKUP(($AJ49-$AI49-$AH49-$AG49-$AF49-$AE49*(1+IN$3))/$AJ49,'Технический лист'!$M:$N,2,1),(IM49-0.05)))</f>
        <v>1</v>
      </c>
      <c r="IO49" s="15">
        <f>MIN(1,MAX(VLOOKUP(($AJ49-$AI49-$AH49-$AG49-$AF49-$AE49*(1+IO$3))/$AJ49,'Технический лист'!$M:$N,2,1),(IN49-0.05)))</f>
        <v>1</v>
      </c>
      <c r="IP49" s="15">
        <f>MIN(1,MAX(VLOOKUP(($AJ49-$AI49-$AH49-$AG49-$AF49-$AE49*(1+IP$3))/$AJ49,'Технический лист'!$M:$N,2,1),(IO49-0.05)))</f>
        <v>1</v>
      </c>
      <c r="IQ49" s="15">
        <f>MIN(1,MAX(VLOOKUP(($AJ49-$AI49-$AH49-$AG49-$AF49-$AE49*(1+IQ$3))/$AJ49,'Технический лист'!$M:$N,2,1),(IP49-0.05)))</f>
        <v>1</v>
      </c>
      <c r="IR49" s="15">
        <f>MIN(1,MAX(VLOOKUP(($AJ49-$AI49-$AH49-$AG49-$AF49-$AE49*(1+IR$3))/$AJ49,'Технический лист'!$M:$N,2,1),(IQ49-0.05)))</f>
        <v>1</v>
      </c>
    </row>
    <row r="50" spans="1:252">
      <c r="A50" s="89" t="s">
        <v>514</v>
      </c>
      <c r="B50" s="90">
        <v>4</v>
      </c>
      <c r="C50" s="5" t="s">
        <v>67</v>
      </c>
      <c r="D50" s="91">
        <v>14111</v>
      </c>
      <c r="E50" s="91" t="s">
        <v>336</v>
      </c>
      <c r="F50" s="92" t="s">
        <v>74</v>
      </c>
      <c r="G50" s="91" t="s">
        <v>26</v>
      </c>
      <c r="H50" s="91" t="s">
        <v>25</v>
      </c>
      <c r="I50" s="91" t="s">
        <v>146</v>
      </c>
      <c r="J50" s="91" t="s">
        <v>62</v>
      </c>
      <c r="K50" s="91">
        <v>6990</v>
      </c>
      <c r="L50" s="85" t="s">
        <v>64</v>
      </c>
      <c r="M50" s="91" t="s">
        <v>17</v>
      </c>
      <c r="N50" s="91" t="s">
        <v>191</v>
      </c>
      <c r="O50" s="91" t="s">
        <v>194</v>
      </c>
      <c r="P50" s="89" t="s">
        <v>234</v>
      </c>
      <c r="Q50" s="91" t="s">
        <v>267</v>
      </c>
      <c r="R50" s="91" t="s">
        <v>267</v>
      </c>
      <c r="S50" s="82">
        <v>917674</v>
      </c>
      <c r="T50" s="82">
        <v>6414426751</v>
      </c>
      <c r="U50" s="81">
        <v>13269</v>
      </c>
      <c r="V50" s="81">
        <v>0</v>
      </c>
      <c r="W50" s="82">
        <v>2845887037</v>
      </c>
      <c r="X50" s="112">
        <v>69</v>
      </c>
      <c r="Y50" s="112" t="s">
        <v>418</v>
      </c>
      <c r="Z50" s="113">
        <v>15</v>
      </c>
      <c r="AA50" s="113">
        <v>15</v>
      </c>
      <c r="AB50" s="113">
        <v>4</v>
      </c>
      <c r="AC50" s="99">
        <v>3423.88</v>
      </c>
      <c r="AD50" s="99">
        <f t="shared" si="15"/>
        <v>1372.8400000000001</v>
      </c>
      <c r="AE50" s="99">
        <v>4796.72</v>
      </c>
      <c r="AF50" s="98">
        <f>(Z50+AA50+AB50)*'Ставки аренды'!$B$3/X50</f>
        <v>344.92753623188406</v>
      </c>
      <c r="AG50" s="114">
        <v>0</v>
      </c>
      <c r="AH50" s="94">
        <v>0</v>
      </c>
      <c r="AI50" s="115">
        <f>240828/411356*AVERAGE(AJ48,AJ49)</f>
        <v>4057.0060947962343</v>
      </c>
      <c r="AJ50" s="117">
        <f>Цены!D13</f>
        <v>7859.4664999999995</v>
      </c>
      <c r="AK50" s="94">
        <f>AJ50/Цены!$B$1</f>
        <v>103</v>
      </c>
      <c r="AL50" s="95">
        <f t="shared" si="5"/>
        <v>5141.6475362318843</v>
      </c>
      <c r="AM50" s="95">
        <f t="shared" si="6"/>
        <v>2717.8189637681153</v>
      </c>
      <c r="AN50" s="94">
        <f t="shared" si="16"/>
        <v>9198.653631028119</v>
      </c>
      <c r="AO50" s="118">
        <f t="shared" si="17"/>
        <v>-0.17039160750009172</v>
      </c>
      <c r="AP50" s="96">
        <f t="shared" si="7"/>
        <v>0.65419803446352043</v>
      </c>
      <c r="AQ50" s="96">
        <f t="shared" si="8"/>
        <v>0.61031114516487861</v>
      </c>
      <c r="AR50" s="96">
        <f t="shared" si="9"/>
        <v>0.93291497836028869</v>
      </c>
      <c r="AS50" s="122">
        <v>1</v>
      </c>
      <c r="AT50" s="121">
        <f t="shared" si="10"/>
        <v>917674</v>
      </c>
      <c r="AU50" s="83">
        <v>0.9</v>
      </c>
      <c r="AV50" s="119">
        <f t="shared" si="11"/>
        <v>-0.24362894491987722</v>
      </c>
      <c r="AW50" s="120">
        <f t="shared" si="12"/>
        <v>0.72743537188330598</v>
      </c>
      <c r="AX50" s="120">
        <f t="shared" si="13"/>
        <v>0.68354848258466416</v>
      </c>
      <c r="AY50" s="120">
        <f t="shared" si="14"/>
        <v>0.93966901941402692</v>
      </c>
      <c r="AZ50" s="15">
        <f>MIN(IF($AU50=100%,1,1+VLOOKUP(($AJ50-$AI50-$AH50-$AG50-$AF50-$AE50*(1+AZ$3))/$AJ50,'Технический лист'!$M:$N,2,1)-VLOOKUP($AO50,'Технический лист'!$M:$N,2,1)),1+(1-$AU50))</f>
        <v>1.1000000000000001</v>
      </c>
      <c r="BA50" s="15">
        <f>MIN(IF($AU50=100%,1,1+VLOOKUP(($AJ50-$AI50-$AH50-$AG50-$AF50-$AE50*(1+BA$3))/$AJ50,'Технический лист'!$M:$N,2,1)-VLOOKUP($AO50,'Технический лист'!$M:$N,2,1)),1+(1-$AU50))</f>
        <v>1.1000000000000001</v>
      </c>
      <c r="BB50" s="15">
        <f>MIN(IF($AU50=100%,1,1+VLOOKUP(($AJ50-$AI50-$AH50-$AG50-$AF50-$AE50*(1+BB$3))/$AJ50,'Технический лист'!$M:$N,2,1)-VLOOKUP($AO50,'Технический лист'!$M:$N,2,1)),1+(1-$AU50))</f>
        <v>1.1000000000000001</v>
      </c>
      <c r="BC50" s="15">
        <f>MIN(IF($AU50=100%,1,1+VLOOKUP(($AJ50-$AI50-$AH50-$AG50-$AF50-$AE50*(1+BC$3))/$AJ50,'Технический лист'!$M:$N,2,1)-VLOOKUP($AO50,'Технический лист'!$M:$N,2,1)),1+(1-$AU50))</f>
        <v>1.1000000000000001</v>
      </c>
      <c r="BD50" s="15">
        <f>MIN(IF($AU50=100%,1,1+VLOOKUP(($AJ50-$AI50-$AH50-$AG50-$AF50-$AE50*(1+BD$3))/$AJ50,'Технический лист'!$M:$N,2,1)-VLOOKUP($AO50,'Технический лист'!$M:$N,2,1)),1+(1-$AU50))</f>
        <v>1.1000000000000001</v>
      </c>
      <c r="BE50" s="15">
        <f>MIN(IF($AU50=100%,1,1+VLOOKUP(($AJ50-$AI50-$AH50-$AG50-$AF50-$AE50*(1+BE$3))/$AJ50,'Технический лист'!$M:$N,2,1)-VLOOKUP($AO50,'Технический лист'!$M:$N,2,1)),1+(1-$AU50))</f>
        <v>1.1000000000000001</v>
      </c>
      <c r="BF50" s="15">
        <f>MIN(IF($AU50=100%,1,1+VLOOKUP(($AJ50-$AI50-$AH50-$AG50-$AF50-$AE50*(1+BF$3))/$AJ50,'Технический лист'!$M:$N,2,1)-VLOOKUP($AO50,'Технический лист'!$M:$N,2,1)),1+(1-$AU50))</f>
        <v>1.1000000000000001</v>
      </c>
      <c r="BG50" s="15">
        <f>MIN(IF($AU50=100%,1,1+VLOOKUP(($AJ50-$AI50-$AH50-$AG50-$AF50-$AE50*(1+BG$3))/$AJ50,'Технический лист'!$M:$N,2,1)-VLOOKUP($AO50,'Технический лист'!$M:$N,2,1)),1+(1-$AU50))</f>
        <v>1.1000000000000001</v>
      </c>
      <c r="BH50" s="15">
        <f>MIN(IF($AU50=100%,1,1+VLOOKUP(($AJ50-$AI50-$AH50-$AG50-$AF50-$AE50*(1+BH$3))/$AJ50,'Технический лист'!$M:$N,2,1)-VLOOKUP($AO50,'Технический лист'!$M:$N,2,1)),1+(1-$AU50))</f>
        <v>1.1000000000000001</v>
      </c>
      <c r="BI50" s="15">
        <f>MIN(IF($AU50=100%,1,1+VLOOKUP(($AJ50-$AI50-$AH50-$AG50-$AF50-$AE50*(1+BI$3))/$AJ50,'Технический лист'!$M:$N,2,1)-VLOOKUP($AO50,'Технический лист'!$M:$N,2,1)),1+(1-$AU50))</f>
        <v>1.1000000000000001</v>
      </c>
      <c r="BJ50" s="15">
        <f>MIN(IF($AU50=100%,1,1+VLOOKUP(($AJ50-$AI50-$AH50-$AG50-$AF50-$AE50*(1+BJ$3))/$AJ50,'Технический лист'!$M:$N,2,1)-VLOOKUP($AO50,'Технический лист'!$M:$N,2,1)),1+(1-$AU50))</f>
        <v>1.1000000000000001</v>
      </c>
      <c r="BK50" s="15">
        <f>MIN(IF($AU50=100%,1,1+VLOOKUP(($AJ50-$AI50-$AH50-$AG50-$AF50-$AE50*(1+BK$3))/$AJ50,'Технический лист'!$M:$N,2,1)-VLOOKUP($AO50,'Технический лист'!$M:$N,2,1)),1+(1-$AU50))</f>
        <v>1.1000000000000001</v>
      </c>
      <c r="BL50" s="15">
        <f>MIN(IF($AU50=100%,1,1+VLOOKUP(($AJ50-$AI50-$AH50-$AG50-$AF50-$AE50*(1+BL$3))/$AJ50,'Технический лист'!$M:$N,2,1)-VLOOKUP($AO50,'Технический лист'!$M:$N,2,1)),1+(1-$AU50))</f>
        <v>1.1000000000000001</v>
      </c>
      <c r="BM50" s="15">
        <f>MIN(IF($AU50=100%,1,1+VLOOKUP(($AJ50-$AI50-$AH50-$AG50-$AF50-$AE50*(1+BM$3))/$AJ50,'Технический лист'!$M:$N,2,1)-VLOOKUP($AO50,'Технический лист'!$M:$N,2,1)),1+(1-$AU50))</f>
        <v>1.1000000000000001</v>
      </c>
      <c r="BN50" s="15">
        <f>MIN(IF($AU50=100%,1,1+VLOOKUP(($AJ50-$AI50-$AH50-$AG50-$AF50-$AE50*(1+BN$3))/$AJ50,'Технический лист'!$M:$N,2,1)-VLOOKUP($AO50,'Технический лист'!$M:$N,2,1)),1+(1-$AU50))</f>
        <v>1.1000000000000001</v>
      </c>
      <c r="BO50" s="15">
        <f>MIN(IF($AU50=100%,1,1+VLOOKUP(($AJ50-$AI50-$AH50-$AG50-$AF50-$AE50*(1+BO$3))/$AJ50,'Технический лист'!$M:$N,2,1)-VLOOKUP($AO50,'Технический лист'!$M:$N,2,1)),1+(1-$AU50))</f>
        <v>1.1000000000000001</v>
      </c>
      <c r="BP50" s="15">
        <f>MIN(IF($AU50=100%,1,1+VLOOKUP(($AJ50-$AI50-$AH50-$AG50-$AF50-$AE50*(1+BP$3))/$AJ50,'Технический лист'!$M:$N,2,1)-VLOOKUP($AO50,'Технический лист'!$M:$N,2,1)),1+(1-$AU50))</f>
        <v>1.1000000000000001</v>
      </c>
      <c r="BQ50" s="15">
        <f>MIN(IF($AU50=100%,1,1+VLOOKUP(($AJ50-$AI50-$AH50-$AG50-$AF50-$AE50*(1+BQ$3))/$AJ50,'Технический лист'!$M:$N,2,1)-VLOOKUP($AO50,'Технический лист'!$M:$N,2,1)),1+(1-$AU50))</f>
        <v>1.1000000000000001</v>
      </c>
      <c r="BR50" s="15">
        <f>MIN(IF($AU50=100%,1,1+VLOOKUP(($AJ50-$AI50-$AH50-$AG50-$AF50-$AE50*(1+BR$3))/$AJ50,'Технический лист'!$M:$N,2,1)-VLOOKUP($AO50,'Технический лист'!$M:$N,2,1)),1+(1-$AU50))</f>
        <v>1.1000000000000001</v>
      </c>
      <c r="BS50" s="15">
        <f>MIN(IF($AU50=100%,1,1+VLOOKUP(($AJ50-$AI50-$AH50-$AG50-$AF50-$AE50*(1+BS$3))/$AJ50,'Технический лист'!$M:$N,2,1)-VLOOKUP($AO50,'Технический лист'!$M:$N,2,1)),1+(1-$AU50))</f>
        <v>1.1000000000000001</v>
      </c>
      <c r="BT50" s="15">
        <f>MIN(IF($AU50=100%,1,1+VLOOKUP(($AJ50-$AI50-$AH50-$AG50-$AF50-$AE50*(1+BT$3))/$AJ50,'Технический лист'!$M:$N,2,1)-VLOOKUP($AO50,'Технический лист'!$M:$N,2,1)),1+(1-$AU50))</f>
        <v>1.1000000000000001</v>
      </c>
      <c r="BU50" s="15">
        <f>MIN(IF($AU50=100%,1,1+VLOOKUP(($AJ50-$AI50-$AH50-$AG50-$AF50-$AE50*(1+BU$3))/$AJ50,'Технический лист'!$M:$N,2,1)-VLOOKUP($AO50,'Технический лист'!$M:$N,2,1)),1+(1-$AU50))</f>
        <v>1.1000000000000001</v>
      </c>
      <c r="BV50" s="15">
        <f>MIN(IF($AU50=100%,1,1+VLOOKUP(($AJ50-$AI50-$AH50-$AG50-$AF50-$AE50*(1+BV$3))/$AJ50,'Технический лист'!$M:$N,2,1)-VLOOKUP($AO50,'Технический лист'!$M:$N,2,1)),1+(1-$AU50))</f>
        <v>1.1000000000000001</v>
      </c>
      <c r="BW50" s="15">
        <f>MIN(IF($AU50=100%,1,1+VLOOKUP(($AJ50-$AI50-$AH50-$AG50-$AF50-$AE50*(1+BW$3))/$AJ50,'Технический лист'!$M:$N,2,1)-VLOOKUP($AO50,'Технический лист'!$M:$N,2,1)),1+(1-$AU50))</f>
        <v>1.1000000000000001</v>
      </c>
      <c r="BX50" s="15">
        <f>MIN(IF($AU50=100%,1,1+VLOOKUP(($AJ50-$AI50-$AH50-$AG50-$AF50-$AE50*(1+BX$3))/$AJ50,'Технический лист'!$M:$N,2,1)-VLOOKUP($AO50,'Технический лист'!$M:$N,2,1)),1+(1-$AU50))</f>
        <v>1.1000000000000001</v>
      </c>
      <c r="BY50" s="15">
        <f>MIN(IF($AU50=100%,1,1+VLOOKUP(($AJ50-$AI50-$AH50-$AG50-$AF50-$AE50*(1+BY$3))/$AJ50,'Технический лист'!$M:$N,2,1)-VLOOKUP($AO50,'Технический лист'!$M:$N,2,1)),1+(1-$AU50))</f>
        <v>1.1000000000000001</v>
      </c>
      <c r="BZ50" s="15">
        <f>MIN(IF($AU50=100%,1,1+VLOOKUP(($AJ50-$AI50-$AH50-$AG50-$AF50-$AE50*(1+BZ$3))/$AJ50,'Технический лист'!$M:$N,2,1)-VLOOKUP($AO50,'Технический лист'!$M:$N,2,1)),1+(1-$AU50))</f>
        <v>1.1000000000000001</v>
      </c>
      <c r="CA50" s="15">
        <f>MIN(IF($AU50=100%,1,1+VLOOKUP(($AJ50-$AI50-$AH50-$AG50-$AF50-$AE50*(1+CA$3))/$AJ50,'Технический лист'!$M:$N,2,1)-VLOOKUP($AO50,'Технический лист'!$M:$N,2,1)),1+(1-$AU50))</f>
        <v>1.1000000000000001</v>
      </c>
      <c r="CB50" s="15">
        <f>MIN(IF($AU50=100%,1,1+VLOOKUP(($AJ50-$AI50-$AH50-$AG50-$AF50-$AE50*(1+CB$3))/$AJ50,'Технический лист'!$M:$N,2,1)-VLOOKUP($AO50,'Технический лист'!$M:$N,2,1)),1+(1-$AU50))</f>
        <v>1.1000000000000001</v>
      </c>
      <c r="CC50" s="15">
        <f>MIN(IF($AU50=100%,1,1+VLOOKUP(($AJ50-$AI50-$AH50-$AG50-$AF50-$AE50*(1+CC$3))/$AJ50,'Технический лист'!$M:$N,2,1)-VLOOKUP($AO50,'Технический лист'!$M:$N,2,1)),1+(1-$AU50))</f>
        <v>1.1000000000000001</v>
      </c>
      <c r="CD50" s="15">
        <f>MIN(IF($AU50=100%,1,1+VLOOKUP(($AJ50-$AI50-$AH50-$AG50-$AF50-$AE50*(1+CD$3))/$AJ50,'Технический лист'!$M:$N,2,1)-VLOOKUP($AO50,'Технический лист'!$M:$N,2,1)),1+(1-$AU50))</f>
        <v>1.1000000000000001</v>
      </c>
      <c r="CE50" s="15">
        <f>MIN(IF($AU50=100%,1,1+VLOOKUP(($AJ50-$AI50-$AH50-$AG50-$AF50-$AE50*(1+CE$3))/$AJ50,'Технический лист'!$M:$N,2,1)-VLOOKUP($AO50,'Технический лист'!$M:$N,2,1)),1+(1-$AU50))</f>
        <v>1.1000000000000001</v>
      </c>
      <c r="CF50" s="15">
        <f>MIN(IF($AU50=100%,1,1+VLOOKUP(($AJ50-$AI50-$AH50-$AG50-$AF50-$AE50*(1+CF$3))/$AJ50,'Технический лист'!$M:$N,2,1)-VLOOKUP($AO50,'Технический лист'!$M:$N,2,1)),1+(1-$AU50))</f>
        <v>1.1000000000000001</v>
      </c>
      <c r="CG50" s="15">
        <f>MIN(IF($AU50=100%,1,1+VLOOKUP(($AJ50-$AI50-$AH50-$AG50-$AF50-$AE50*(1+CG$3))/$AJ50,'Технический лист'!$M:$N,2,1)-VLOOKUP($AO50,'Технический лист'!$M:$N,2,1)),1+(1-$AU50))</f>
        <v>1.1000000000000001</v>
      </c>
      <c r="CH50" s="15">
        <f>MIN(IF($AU50=100%,1,1+VLOOKUP(($AJ50-$AI50-$AH50-$AG50-$AF50-$AE50*(1+CH$3))/$AJ50,'Технический лист'!$M:$N,2,1)-VLOOKUP($AO50,'Технический лист'!$M:$N,2,1)),1+(1-$AU50))</f>
        <v>1.1000000000000001</v>
      </c>
      <c r="CI50" s="15">
        <f>MIN(IF($AU50=100%,1,1+VLOOKUP(($AJ50-$AI50-$AH50-$AG50-$AF50-$AE50*(1+CI$3))/$AJ50,'Технический лист'!$M:$N,2,1)-VLOOKUP($AO50,'Технический лист'!$M:$N,2,1)),1+(1-$AU50))</f>
        <v>1.1000000000000001</v>
      </c>
      <c r="CJ50" s="15">
        <f>MIN(IF($AU50=100%,1,1+VLOOKUP(($AJ50-$AI50-$AH50-$AG50-$AF50-$AE50*(1+CJ$3))/$AJ50,'Технический лист'!$M:$N,2,1)-VLOOKUP($AO50,'Технический лист'!$M:$N,2,1)),1+(1-$AU50))</f>
        <v>1.1000000000000001</v>
      </c>
      <c r="CK50" s="15">
        <f>MIN(IF($AU50=100%,1,1+VLOOKUP(($AJ50-$AI50-$AH50-$AG50-$AF50-$AE50*(1+CK$3))/$AJ50,'Технический лист'!$M:$N,2,1)-VLOOKUP($AO50,'Технический лист'!$M:$N,2,1)),1+(1-$AU50))</f>
        <v>1.1000000000000001</v>
      </c>
      <c r="CL50" s="15">
        <f>MIN(IF($AU50=100%,1,1+VLOOKUP(($AJ50-$AI50-$AH50-$AG50-$AF50-$AE50*(1+CL$3))/$AJ50,'Технический лист'!$M:$N,2,1)-VLOOKUP($AO50,'Технический лист'!$M:$N,2,1)),1+(1-$AU50))</f>
        <v>1.1000000000000001</v>
      </c>
      <c r="CM50" s="15">
        <f>MIN(IF($AU50=100%,1,1+VLOOKUP(($AJ50-$AI50-$AH50-$AG50-$AF50-$AE50*(1+CM$3))/$AJ50,'Технический лист'!$M:$N,2,1)-VLOOKUP($AO50,'Технический лист'!$M:$N,2,1)),1+(1-$AU50))</f>
        <v>1.1000000000000001</v>
      </c>
      <c r="CN50" s="15">
        <f>MIN(IF($AU50=100%,1,1+VLOOKUP(($AJ50-$AI50-$AH50-$AG50-$AF50-$AE50*(1+CN$3))/$AJ50,'Технический лист'!$M:$N,2,1)-VLOOKUP($AO50,'Технический лист'!$M:$N,2,1)),1+(1-$AU50))</f>
        <v>1.1000000000000001</v>
      </c>
      <c r="CO50" s="15">
        <f>MIN(IF($AU50=100%,1,1+VLOOKUP(($AJ50-$AI50-$AH50-$AG50-$AF50-$AE50*(1+CO$3))/$AJ50,'Технический лист'!$M:$N,2,1)-VLOOKUP($AO50,'Технический лист'!$M:$N,2,1)),1+(1-$AU50))</f>
        <v>1.1000000000000001</v>
      </c>
      <c r="CP50" s="15">
        <f>MIN(IF($AU50=100%,1,1+VLOOKUP(($AJ50-$AI50-$AH50-$AG50-$AF50-$AE50*(1+CP$3))/$AJ50,'Технический лист'!$M:$N,2,1)-VLOOKUP($AO50,'Технический лист'!$M:$N,2,1)),1+(1-$AU50))</f>
        <v>1.1000000000000001</v>
      </c>
      <c r="CQ50" s="15">
        <f>MIN(IF($AU50=100%,1,1+VLOOKUP(($AJ50-$AI50-$AH50-$AG50-$AF50-$AE50*(1+CQ$3))/$AJ50,'Технический лист'!$M:$N,2,1)-VLOOKUP($AO50,'Технический лист'!$M:$N,2,1)),1+(1-$AU50))</f>
        <v>1.1000000000000001</v>
      </c>
      <c r="CR50" s="15">
        <f>MIN(IF($AU50=100%,1,1+VLOOKUP(($AJ50-$AI50-$AH50-$AG50-$AF50-$AE50*(1+CR$3))/$AJ50,'Технический лист'!$M:$N,2,1)-VLOOKUP($AO50,'Технический лист'!$M:$N,2,1)),1+(1-$AU50))</f>
        <v>1.1000000000000001</v>
      </c>
      <c r="CS50" s="15">
        <f>MIN(IF($AU50=100%,1,1+VLOOKUP(($AJ50-$AI50-$AH50-$AG50-$AF50-$AE50*(1+CS$3))/$AJ50,'Технический лист'!$M:$N,2,1)-VLOOKUP($AO50,'Технический лист'!$M:$N,2,1)),1+(1-$AU50))</f>
        <v>1.1000000000000001</v>
      </c>
      <c r="CT50" s="15">
        <f>MIN(IF($AU50=100%,1,1+VLOOKUP(($AJ50-$AI50-$AH50-$AG50-$AF50-$AE50*(1+CT$3))/$AJ50,'Технический лист'!$M:$N,2,1)-VLOOKUP($AO50,'Технический лист'!$M:$N,2,1)),1+(1-$AU50))</f>
        <v>1.1000000000000001</v>
      </c>
      <c r="CU50" s="15">
        <f>MIN(IF($AU50=100%,1,1+VLOOKUP(($AJ50-$AI50-$AH50-$AG50-$AF50-$AE50*(1+CU$3))/$AJ50,'Технический лист'!$M:$N,2,1)-VLOOKUP($AO50,'Технический лист'!$M:$N,2,1)),1+(1-$AU50))</f>
        <v>1.1000000000000001</v>
      </c>
      <c r="CV50" s="15">
        <f>MIN(IF($AU50=100%,1,1+VLOOKUP(($AJ50-$AI50-$AH50-$AG50-$AF50-$AE50*(1+CV$3))/$AJ50,'Технический лист'!$M:$N,2,1)-VLOOKUP($AO50,'Технический лист'!$M:$N,2,1)),1+(1-$AU50))</f>
        <v>1.1000000000000001</v>
      </c>
      <c r="CW50" s="15">
        <f>MIN(IF($AU50=100%,1,1+VLOOKUP(($AJ50-$AI50-$AH50-$AG50-$AF50-$AE50*(1+CW$3))/$AJ50,'Технический лист'!$M:$N,2,1)-VLOOKUP($AO50,'Технический лист'!$M:$N,2,1)),1+(1-$AU50))</f>
        <v>1.1000000000000001</v>
      </c>
      <c r="CX50" s="15">
        <f>MIN(IF($AU50=100%,1,1+VLOOKUP(($AJ50-$AI50-$AH50-$AG50-$AF50-$AE50*(1+CX$3))/$AJ50,'Технический лист'!$M:$N,2,1)-VLOOKUP($AO50,'Технический лист'!$M:$N,2,1)),1+(1-$AU50))</f>
        <v>1.1000000000000001</v>
      </c>
      <c r="CY50" s="15">
        <f>MIN(IF($AU50=100%,1,1+VLOOKUP(($AJ50-$AI50-$AH50-$AG50-$AF50-$AE50*(1+CY$3))/$AJ50,'Технический лист'!$M:$N,2,1)-VLOOKUP($AO50,'Технический лист'!$M:$N,2,1)),1+(1-$AU50))</f>
        <v>1.1000000000000001</v>
      </c>
      <c r="CZ50" s="15">
        <f>MIN(IF($AU50=100%,1,1+VLOOKUP(($AJ50-$AI50-$AH50-$AG50-$AF50-$AE50*(1+CZ$3))/$AJ50,'Технический лист'!$M:$N,2,1)-VLOOKUP($AO50,'Технический лист'!$M:$N,2,1)),1+(1-$AU50))</f>
        <v>1.1000000000000001</v>
      </c>
      <c r="DA50" s="15">
        <f>MIN(IF($AU50=100%,1,1+VLOOKUP(($AJ50-$AI50-$AH50-$AG50-$AF50-$AE50*(1+DA$3))/$AJ50,'Технический лист'!$M:$N,2,1)-VLOOKUP($AO50,'Технический лист'!$M:$N,2,1)),1+(1-$AU50))</f>
        <v>1.1000000000000001</v>
      </c>
      <c r="DB50" s="15">
        <f>MIN(IF($AU50=100%,1,1+VLOOKUP(($AJ50-$AI50-$AH50-$AG50-$AF50-$AE50*(1+DB$3))/$AJ50,'Технический лист'!$M:$N,2,1)-VLOOKUP($AO50,'Технический лист'!$M:$N,2,1)),1+(1-$AU50))</f>
        <v>1.1000000000000001</v>
      </c>
      <c r="DC50" s="15">
        <f>MIN(IF($AU50=100%,1,1+VLOOKUP(($AJ50-$AI50-$AH50-$AG50-$AF50-$AE50*(1+DC$3))/$AJ50,'Технический лист'!$M:$N,2,1)-VLOOKUP($AO50,'Технический лист'!$M:$N,2,1)),1+(1-$AU50))</f>
        <v>1.1000000000000001</v>
      </c>
      <c r="DD50" s="15">
        <f>MIN(IF($AU50=100%,1,1+VLOOKUP(($AJ50-$AI50-$AH50-$AG50-$AF50-$AE50*(1+DD$3))/$AJ50,'Технический лист'!$M:$N,2,1)-VLOOKUP($AO50,'Технический лист'!$M:$N,2,1)),1+(1-$AU50))</f>
        <v>1.1000000000000001</v>
      </c>
      <c r="DE50" s="15">
        <f>MIN(IF($AU50=100%,1,1+VLOOKUP(($AJ50-$AI50-$AH50-$AG50-$AF50-$AE50*(1+DE$3))/$AJ50,'Технический лист'!$M:$N,2,1)-VLOOKUP($AO50,'Технический лист'!$M:$N,2,1)),1+(1-$AU50))</f>
        <v>1.1000000000000001</v>
      </c>
      <c r="DF50" s="15">
        <f>MIN(IF($AU50=100%,1,1+VLOOKUP(($AJ50-$AI50-$AH50-$AG50-$AF50-$AE50*(1+DF$3))/$AJ50,'Технический лист'!$M:$N,2,1)-VLOOKUP($AO50,'Технический лист'!$M:$N,2,1)),1+(1-$AU50))</f>
        <v>1.1000000000000001</v>
      </c>
      <c r="DG50" s="15">
        <f>MIN(IF($AU50=100%,1,1+VLOOKUP(($AJ50-$AI50-$AH50-$AG50-$AF50-$AE50*(1+DG$3))/$AJ50,'Технический лист'!$M:$N,2,1)-VLOOKUP($AO50,'Технический лист'!$M:$N,2,1)),1+(1-$AU50))</f>
        <v>1.1000000000000001</v>
      </c>
      <c r="DH50" s="15">
        <f>MIN(IF($AU50=100%,1,1+VLOOKUP(($AJ50-$AI50-$AH50-$AG50-$AF50-$AE50*(1+DH$3))/$AJ50,'Технический лист'!$M:$N,2,1)-VLOOKUP($AO50,'Технический лист'!$M:$N,2,1)),1+(1-$AU50))</f>
        <v>1.1000000000000001</v>
      </c>
      <c r="DI50" s="15">
        <f>MIN(IF($AU50=100%,1,1+VLOOKUP(($AJ50-$AI50-$AH50-$AG50-$AF50-$AE50*(1+DI$3))/$AJ50,'Технический лист'!$M:$N,2,1)-VLOOKUP($AO50,'Технический лист'!$M:$N,2,1)),1+(1-$AU50))</f>
        <v>1.1000000000000001</v>
      </c>
      <c r="DJ50" s="15">
        <f>MIN(IF($AU50=100%,1,1+VLOOKUP(($AJ50-$AI50-$AH50-$AG50-$AF50-$AE50*(1+DJ$3))/$AJ50,'Технический лист'!$M:$N,2,1)-VLOOKUP($AO50,'Технический лист'!$M:$N,2,1)),1+(1-$AU50))</f>
        <v>1.1000000000000001</v>
      </c>
      <c r="DK50" s="15">
        <f>MIN(IF($AU50=100%,1,1+VLOOKUP(($AJ50-$AI50-$AH50-$AG50-$AF50-$AE50*(1+DK$3))/$AJ50,'Технический лист'!$M:$N,2,1)-VLOOKUP($AO50,'Технический лист'!$M:$N,2,1)),1+(1-$AU50))</f>
        <v>1.1000000000000001</v>
      </c>
      <c r="DL50" s="15">
        <f>MIN(IF($AU50=100%,1,1+VLOOKUP(($AJ50-$AI50-$AH50-$AG50-$AF50-$AE50*(1+DL$3))/$AJ50,'Технический лист'!$M:$N,2,1)-VLOOKUP($AO50,'Технический лист'!$M:$N,2,1)),1+(1-$AU50))</f>
        <v>1.1000000000000001</v>
      </c>
      <c r="DM50" s="15">
        <f>MIN(IF($AU50=100%,1,1+VLOOKUP(($AJ50-$AI50-$AH50-$AG50-$AF50-$AE50*(1+DM$3))/$AJ50,'Технический лист'!$M:$N,2,1)-VLOOKUP($AO50,'Технический лист'!$M:$N,2,1)),1+(1-$AU50))</f>
        <v>1.1000000000000001</v>
      </c>
      <c r="DN50" s="15">
        <f>MIN(IF($AU50=100%,1,1+VLOOKUP(($AJ50-$AI50-$AH50-$AG50-$AF50-$AE50*(1+DN$3))/$AJ50,'Технический лист'!$M:$N,2,1)-VLOOKUP($AO50,'Технический лист'!$M:$N,2,1)),1+(1-$AU50))</f>
        <v>1.1000000000000001</v>
      </c>
      <c r="DO50" s="15">
        <f>MIN(IF($AU50=100%,1,1+VLOOKUP(($AJ50-$AI50-$AH50-$AG50-$AF50-$AE50*(1+DO$3))/$AJ50,'Технический лист'!$M:$N,2,1)-VLOOKUP($AO50,'Технический лист'!$M:$N,2,1)),1+(1-$AU50))</f>
        <v>1.1000000000000001</v>
      </c>
      <c r="DP50" s="15">
        <f>MIN(IF($AU50=100%,1,1+VLOOKUP(($AJ50-$AI50-$AH50-$AG50-$AF50-$AE50*(1+DP$3))/$AJ50,'Технический лист'!$M:$N,2,1)-VLOOKUP($AO50,'Технический лист'!$M:$N,2,1)),1+(1-$AU50))</f>
        <v>1.1000000000000001</v>
      </c>
      <c r="DQ50" s="15">
        <f>MIN(IF($AU50=100%,1,1+VLOOKUP(($AJ50-$AI50-$AH50-$AG50-$AF50-$AE50*(1+DQ$3))/$AJ50,'Технический лист'!$M:$N,2,1)-VLOOKUP($AO50,'Технический лист'!$M:$N,2,1)),1+(1-$AU50))</f>
        <v>1.1000000000000001</v>
      </c>
      <c r="DR50" s="15">
        <f>MIN(IF($AU50=100%,1,1+VLOOKUP(($AJ50-$AI50-$AH50-$AG50-$AF50-$AE50*(1+DR$3))/$AJ50,'Технический лист'!$M:$N,2,1)-VLOOKUP($AO50,'Технический лист'!$M:$N,2,1)),1+(1-$AU50))</f>
        <v>1.1000000000000001</v>
      </c>
      <c r="DS50" s="15">
        <f>MIN(IF($AU50=100%,1,1+VLOOKUP(($AJ50-$AI50-$AH50-$AG50-$AF50-$AE50*(1+DS$3))/$AJ50,'Технический лист'!$M:$N,2,1)-VLOOKUP($AO50,'Технический лист'!$M:$N,2,1)),1+(1-$AU50))</f>
        <v>1.1000000000000001</v>
      </c>
      <c r="DT50" s="15">
        <f>MIN(IF($AU50=100%,1,1+VLOOKUP(($AJ50-$AI50-$AH50-$AG50-$AF50-$AE50*(1+DT$3))/$AJ50,'Технический лист'!$M:$N,2,1)-VLOOKUP($AO50,'Технический лист'!$M:$N,2,1)),1+(1-$AU50))</f>
        <v>1.1000000000000001</v>
      </c>
      <c r="DU50" s="15">
        <f>MIN(IF($AU50=100%,1,1+VLOOKUP(($AJ50-$AI50-$AH50-$AG50-$AF50-$AE50*(1+DU$3))/$AJ50,'Технический лист'!$M:$N,2,1)-VLOOKUP($AO50,'Технический лист'!$M:$N,2,1)),1+(1-$AU50))</f>
        <v>1.1000000000000001</v>
      </c>
      <c r="DV50" s="15">
        <f>MIN(IF($AU50=100%,1,1+VLOOKUP(($AJ50-$AI50-$AH50-$AG50-$AF50-$AE50*(1+DV$3))/$AJ50,'Технический лист'!$M:$N,2,1)-VLOOKUP($AO50,'Технический лист'!$M:$N,2,1)),1+(1-$AU50))</f>
        <v>1.1000000000000001</v>
      </c>
      <c r="DW50" s="15">
        <f>MIN(IF($AU50=100%,1,1+VLOOKUP(($AJ50-$AI50-$AH50-$AG50-$AF50-$AE50*(1+DW$3))/$AJ50,'Технический лист'!$M:$N,2,1)-VLOOKUP($AO50,'Технический лист'!$M:$N,2,1)),1+(1-$AU50))</f>
        <v>1.1000000000000001</v>
      </c>
      <c r="DX50" s="15">
        <f>MIN(IF($AU50=100%,1,1+VLOOKUP(($AJ50-$AI50-$AH50-$AG50-$AF50-$AE50*(1+DX$3))/$AJ50,'Технический лист'!$M:$N,2,1)-VLOOKUP($AO50,'Технический лист'!$M:$N,2,1)),1+(1-$AU50))</f>
        <v>1.1000000000000001</v>
      </c>
      <c r="DY50" s="15">
        <f>MIN(IF($AU50=100%,1,1+VLOOKUP(($AJ50-$AI50-$AH50-$AG50-$AF50-$AE50*(1+DY$3))/$AJ50,'Технический лист'!$M:$N,2,1)-VLOOKUP($AO50,'Технический лист'!$M:$N,2,1)),1+(1-$AU50))</f>
        <v>1.1000000000000001</v>
      </c>
      <c r="DZ50" s="15">
        <f>MIN(IF($AU50=100%,1,1+VLOOKUP(($AJ50-$AI50-$AH50-$AG50-$AF50-$AE50*(1+DZ$3))/$AJ50,'Технический лист'!$M:$N,2,1)-VLOOKUP($AO50,'Технический лист'!$M:$N,2,1)),1+(1-$AU50))</f>
        <v>1.1000000000000001</v>
      </c>
      <c r="EA50" s="15">
        <f>MIN(IF($AU50=100%,1,1+VLOOKUP(($AJ50-$AI50-$AH50-$AG50-$AF50-$AE50*(1+EA$3))/$AJ50,'Технический лист'!$M:$N,2,1)-VLOOKUP($AO50,'Технический лист'!$M:$N,2,1)),1+(1-$AU50))</f>
        <v>1.1000000000000001</v>
      </c>
      <c r="EB50" s="15">
        <f>MIN(IF($AU50=100%,1,1+VLOOKUP(($AJ50-$AI50-$AH50-$AG50-$AF50-$AE50*(1+EB$3))/$AJ50,'Технический лист'!$M:$N,2,1)-VLOOKUP($AO50,'Технический лист'!$M:$N,2,1)),1+(1-$AU50))</f>
        <v>1.1000000000000001</v>
      </c>
      <c r="EC50" s="15">
        <f>MIN(IF($AU50=100%,1,1+VLOOKUP(($AJ50-$AI50-$AH50-$AG50-$AF50-$AE50*(1+EC$3))/$AJ50,'Технический лист'!$M:$N,2,1)-VLOOKUP($AO50,'Технический лист'!$M:$N,2,1)),1+(1-$AU50))</f>
        <v>1.1000000000000001</v>
      </c>
      <c r="ED50" s="15">
        <f>MIN(IF($AU50=100%,1,1+VLOOKUP(($AJ50-$AI50-$AH50-$AG50-$AF50-$AE50*(1+ED$3))/$AJ50,'Технический лист'!$M:$N,2,1)-VLOOKUP($AO50,'Технический лист'!$M:$N,2,1)),1+(1-$AU50))</f>
        <v>1.1000000000000001</v>
      </c>
      <c r="EE50" s="15">
        <f>MIN(IF($AU50=100%,1,1+VLOOKUP(($AJ50-$AI50-$AH50-$AG50-$AF50-$AE50*(1+EE$3))/$AJ50,'Технический лист'!$M:$N,2,1)-VLOOKUP($AO50,'Технический лист'!$M:$N,2,1)),1+(1-$AU50))</f>
        <v>1.1000000000000001</v>
      </c>
      <c r="EF50" s="15">
        <f>MIN(IF($AU50=100%,1,1+VLOOKUP(($AJ50-$AI50-$AH50-$AG50-$AF50-$AE50*(1+EF$3))/$AJ50,'Технический лист'!$M:$N,2,1)-VLOOKUP($AO50,'Технический лист'!$M:$N,2,1)),1+(1-$AU50))</f>
        <v>1.1000000000000001</v>
      </c>
      <c r="EG50" s="15">
        <f>MIN(IF($AU50=100%,1,1+VLOOKUP(($AJ50-$AI50-$AH50-$AG50-$AF50-$AE50*(1+EG$3))/$AJ50,'Технический лист'!$M:$N,2,1)-VLOOKUP($AO50,'Технический лист'!$M:$N,2,1)),1+(1-$AU50))</f>
        <v>1.1000000000000001</v>
      </c>
      <c r="EH50" s="15">
        <f>MIN(IF($AU50=100%,1,1+VLOOKUP(($AJ50-$AI50-$AH50-$AG50-$AF50-$AE50*(1+EH$3))/$AJ50,'Технический лист'!$M:$N,2,1)-VLOOKUP($AO50,'Технический лист'!$M:$N,2,1)),1+(1-$AU50))</f>
        <v>1.1000000000000001</v>
      </c>
      <c r="EI50" s="15">
        <f>MIN(IF($AU50=100%,1,1+VLOOKUP(($AJ50-$AI50-$AH50-$AG50-$AF50-$AE50*(1+EI$3))/$AJ50,'Технический лист'!$M:$N,2,1)-VLOOKUP($AO50,'Технический лист'!$M:$N,2,1)),1+(1-$AU50))</f>
        <v>1.1000000000000001</v>
      </c>
      <c r="EJ50" s="15">
        <f>MIN(IF($AU50=100%,1,1+VLOOKUP(($AJ50-$AI50-$AH50-$AG50-$AF50-$AE50*(1+EJ$3))/$AJ50,'Технический лист'!$M:$N,2,1)-VLOOKUP($AO50,'Технический лист'!$M:$N,2,1)),1+(1-$AU50))</f>
        <v>1.1000000000000001</v>
      </c>
      <c r="EK50" s="15">
        <f>MIN(IF($AU50=100%,1,1+VLOOKUP(($AJ50-$AI50-$AH50-$AG50-$AF50-$AE50*(1+EK$3))/$AJ50,'Технический лист'!$M:$N,2,1)-VLOOKUP($AO50,'Технический лист'!$M:$N,2,1)),1+(1-$AU50))</f>
        <v>1.1000000000000001</v>
      </c>
      <c r="EL50" s="15">
        <f>MIN(IF($AU50=100%,1,1+VLOOKUP(($AJ50-$AI50-$AH50-$AG50-$AF50-$AE50*(1+EL$3))/$AJ50,'Технический лист'!$M:$N,2,1)-VLOOKUP($AO50,'Технический лист'!$M:$N,2,1)),1+(1-$AU50))</f>
        <v>1.1000000000000001</v>
      </c>
      <c r="EM50" s="15">
        <f>MIN(IF($AU50=100%,1,1+VLOOKUP(($AJ50-$AI50-$AH50-$AG50-$AF50-$AE50*(1+EM$3))/$AJ50,'Технический лист'!$M:$N,2,1)-VLOOKUP($AO50,'Технический лист'!$M:$N,2,1)),1+(1-$AU50))</f>
        <v>1.1000000000000001</v>
      </c>
      <c r="EN50" s="15">
        <f>MIN(IF($AU50=100%,1,1+VLOOKUP(($AJ50-$AI50-$AH50-$AG50-$AF50-$AE50*(1+EN$3))/$AJ50,'Технический лист'!$M:$N,2,1)-VLOOKUP($AO50,'Технический лист'!$M:$N,2,1)),1+(1-$AU50))</f>
        <v>1.1000000000000001</v>
      </c>
      <c r="EO50" s="15">
        <f>MIN(IF($AU50=100%,1,1+VLOOKUP(($AJ50-$AI50-$AH50-$AG50-$AF50-$AE50*(1+EO$3))/$AJ50,'Технический лист'!$M:$N,2,1)-VLOOKUP($AO50,'Технический лист'!$M:$N,2,1)),1+(1-$AU50))</f>
        <v>1.1000000000000001</v>
      </c>
      <c r="EP50" s="15">
        <f>MIN(IF($AU50=100%,1,1+VLOOKUP(($AJ50-$AI50-$AH50-$AG50-$AF50-$AE50*(1+EP$3))/$AJ50,'Технический лист'!$M:$N,2,1)-VLOOKUP($AO50,'Технический лист'!$M:$N,2,1)),1+(1-$AU50))</f>
        <v>1.1000000000000001</v>
      </c>
      <c r="EQ50" s="15">
        <f>MIN(IF($AU50=100%,1,1+VLOOKUP(($AJ50-$AI50-$AH50-$AG50-$AF50-$AE50*(1+EQ$3))/$AJ50,'Технический лист'!$M:$N,2,1)-VLOOKUP($AO50,'Технический лист'!$M:$N,2,1)),1+(1-$AU50))</f>
        <v>1.0900000000000001</v>
      </c>
      <c r="ER50" s="15">
        <f>MIN(IF($AU50=100%,1,1+VLOOKUP(($AJ50-$AI50-$AH50-$AG50-$AF50-$AE50*(1+ER$3))/$AJ50,'Технический лист'!$M:$N,2,1)-VLOOKUP($AO50,'Технический лист'!$M:$N,2,1)),1+(1-$AU50))</f>
        <v>1.0900000000000001</v>
      </c>
      <c r="ES50" s="15">
        <f>MIN(IF($AU50=100%,1,1+VLOOKUP(($AJ50-$AI50-$AH50-$AG50-$AF50-$AE50*(1+ES$3))/$AJ50,'Технический лист'!$M:$N,2,1)-VLOOKUP($AO50,'Технический лист'!$M:$N,2,1)),1+(1-$AU50))</f>
        <v>1.06</v>
      </c>
      <c r="ET50" s="15">
        <f>MIN(IF($AU50=100%,1,1+VLOOKUP(($AJ50-$AI50-$AH50-$AG50-$AF50-$AE50*(1+ET$3))/$AJ50,'Технический лист'!$M:$N,2,1)-VLOOKUP($AO50,'Технический лист'!$M:$N,2,1)),1+(1-$AU50))</f>
        <v>1.06</v>
      </c>
      <c r="EU50" s="15">
        <f>MIN(IF($AU50=100%,1,1+VLOOKUP(($AJ50-$AI50-$AH50-$AG50-$AF50-$AE50*(1+EU$3))/$AJ50,'Технический лист'!$M:$N,2,1)-VLOOKUP($AO50,'Технический лист'!$M:$N,2,1)),1+(1-$AU50))</f>
        <v>1.03</v>
      </c>
      <c r="EV50" s="111">
        <v>1</v>
      </c>
      <c r="EW50" s="15">
        <f>MIN(1,MAX(VLOOKUP(($AJ50-$AI50-$AH50-$AG50-$AF50-$AE50*(1+EW$3))/$AJ50,'Технический лист'!$M:$N,2,1),(EV50-0.05)))</f>
        <v>0.95</v>
      </c>
      <c r="EX50" s="15">
        <f>MIN(1,MAX(VLOOKUP(($AJ50-$AI50-$AH50-$AG50-$AF50-$AE50*(1+EX$3))/$AJ50,'Технический лист'!$M:$N,2,1),(EW50-0.05)))</f>
        <v>0.89999999999999991</v>
      </c>
      <c r="EY50" s="15">
        <f>MIN(1,MAX(VLOOKUP(($AJ50-$AI50-$AH50-$AG50-$AF50-$AE50*(1+EY$3))/$AJ50,'Технический лист'!$M:$N,2,1),(EX50-0.05)))</f>
        <v>0.84999999999999987</v>
      </c>
      <c r="EZ50" s="15">
        <f>MIN(1,MAX(VLOOKUP(($AJ50-$AI50-$AH50-$AG50-$AF50-$AE50*(1+EZ$3))/$AJ50,'Технический лист'!$M:$N,2,1),(EY50-0.05)))</f>
        <v>0.79999999999999982</v>
      </c>
      <c r="FA50" s="15">
        <f>MIN(1,MAX(VLOOKUP(($AJ50-$AI50-$AH50-$AG50-$AF50-$AE50*(1+FA$3))/$AJ50,'Технический лист'!$M:$N,2,1),(EZ50-0.05)))</f>
        <v>0.74999999999999978</v>
      </c>
      <c r="FB50" s="15">
        <f>MIN(1,MAX(VLOOKUP(($AJ50-$AI50-$AH50-$AG50-$AF50-$AE50*(1+FB$3))/$AJ50,'Технический лист'!$M:$N,2,1),(FA50-0.05)))</f>
        <v>0.69999999999999973</v>
      </c>
      <c r="FC50" s="15">
        <f>MIN(1,MAX(VLOOKUP(($AJ50-$AI50-$AH50-$AG50-$AF50-$AE50*(1+FC$3))/$AJ50,'Технический лист'!$M:$N,2,1),(FB50-0.05)))</f>
        <v>0.64999999999999969</v>
      </c>
      <c r="FD50" s="15">
        <f>MIN(1,MAX(VLOOKUP(($AJ50-$AI50-$AH50-$AG50-$AF50-$AE50*(1+FD$3))/$AJ50,'Технический лист'!$M:$N,2,1),(FC50-0.05)))</f>
        <v>0.59999999999999964</v>
      </c>
      <c r="FE50" s="15">
        <f>MIN(1,MAX(VLOOKUP(($AJ50-$AI50-$AH50-$AG50-$AF50-$AE50*(1+FE$3))/$AJ50,'Технический лист'!$M:$N,2,1),(FD50-0.05)))</f>
        <v>0.5499999999999996</v>
      </c>
      <c r="FF50" s="15">
        <f>MIN(1,MAX(VLOOKUP(($AJ50-$AI50-$AH50-$AG50-$AF50-$AE50*(1+FF$3))/$AJ50,'Технический лист'!$M:$N,2,1),(FE50-0.05)))</f>
        <v>0.49999999999999961</v>
      </c>
      <c r="FG50" s="15">
        <f>MIN(1,MAX(VLOOKUP(($AJ50-$AI50-$AH50-$AG50-$AF50-$AE50*(1+FG$3))/$AJ50,'Технический лист'!$M:$N,2,1),(FF50-0.05)))</f>
        <v>0.44999999999999962</v>
      </c>
      <c r="FH50" s="15">
        <f>MIN(1,MAX(VLOOKUP(($AJ50-$AI50-$AH50-$AG50-$AF50-$AE50*(1+FH$3))/$AJ50,'Технический лист'!$M:$N,2,1),(FG50-0.05)))</f>
        <v>0.39999999999999963</v>
      </c>
      <c r="FI50" s="15">
        <f>MIN(1,MAX(VLOOKUP(($AJ50-$AI50-$AH50-$AG50-$AF50-$AE50*(1+FI$3))/$AJ50,'Технический лист'!$M:$N,2,1),(FH50-0.05)))</f>
        <v>0.34999999999999964</v>
      </c>
      <c r="FJ50" s="15">
        <f>MIN(1,MAX(VLOOKUP(($AJ50-$AI50-$AH50-$AG50-$AF50-$AE50*(1+FJ$3))/$AJ50,'Технический лист'!$M:$N,2,1),(FI50-0.05)))</f>
        <v>0.29999999999999966</v>
      </c>
      <c r="FK50" s="15">
        <f>MIN(1,MAX(VLOOKUP(($AJ50-$AI50-$AH50-$AG50-$AF50-$AE50*(1+FK$3))/$AJ50,'Технический лист'!$M:$N,2,1),(FJ50-0.05)))</f>
        <v>0.24999999999999967</v>
      </c>
      <c r="FL50" s="15">
        <f>MIN(1,MAX(VLOOKUP(($AJ50-$AI50-$AH50-$AG50-$AF50-$AE50*(1+FL$3))/$AJ50,'Технический лист'!$M:$N,2,1),(FK50-0.05)))</f>
        <v>0.19999999999999968</v>
      </c>
      <c r="FM50" s="15">
        <f>MIN(1,MAX(VLOOKUP(($AJ50-$AI50-$AH50-$AG50-$AF50-$AE50*(1+FM$3))/$AJ50,'Технический лист'!$M:$N,2,1),(FL50-0.05)))</f>
        <v>0.14999999999999969</v>
      </c>
      <c r="FN50" s="15">
        <f>MIN(1,MAX(VLOOKUP(($AJ50-$AI50-$AH50-$AG50-$AF50-$AE50*(1+FN$3))/$AJ50,'Технический лист'!$M:$N,2,1),(FM50-0.05)))</f>
        <v>9.9999999999999686E-2</v>
      </c>
      <c r="FO50" s="15">
        <f>MIN(1,MAX(VLOOKUP(($AJ50-$AI50-$AH50-$AG50-$AF50-$AE50*(1+FO$3))/$AJ50,'Технический лист'!$M:$N,2,1),(FN50-0.05)))</f>
        <v>0.06</v>
      </c>
      <c r="FP50" s="15">
        <f>MIN(1,MAX(VLOOKUP(($AJ50-$AI50-$AH50-$AG50-$AF50-$AE50*(1+FP$3))/$AJ50,'Технический лист'!$M:$N,2,1),(FO50-0.05)))</f>
        <v>9.999999999999995E-3</v>
      </c>
      <c r="FQ50" s="15">
        <f>MIN(1,MAX(VLOOKUP(($AJ50-$AI50-$AH50-$AG50-$AF50-$AE50*(1+FQ$3))/$AJ50,'Технический лист'!$M:$N,2,1),(FP50-0.05)))</f>
        <v>0</v>
      </c>
      <c r="FR50" s="15">
        <f>MIN(1,MAX(VLOOKUP(($AJ50-$AI50-$AH50-$AG50-$AF50-$AE50*(1+FR$3))/$AJ50,'Технический лист'!$M:$N,2,1),(FQ50-0.05)))</f>
        <v>0</v>
      </c>
      <c r="FS50" s="15">
        <f>MIN(1,MAX(VLOOKUP(($AJ50-$AI50-$AH50-$AG50-$AF50-$AE50*(1+FS$3))/$AJ50,'Технический лист'!$M:$N,2,1),(FR50-0.05)))</f>
        <v>0</v>
      </c>
      <c r="FT50" s="15">
        <f>MIN(1,MAX(VLOOKUP(($AJ50-$AI50-$AH50-$AG50-$AF50-$AE50*(1+FT$3))/$AJ50,'Технический лист'!$M:$N,2,1),(FS50-0.05)))</f>
        <v>0</v>
      </c>
      <c r="FU50" s="15">
        <f>MIN(1,MAX(VLOOKUP(($AJ50-$AI50-$AH50-$AG50-$AF50-$AE50*(1+FU$3))/$AJ50,'Технический лист'!$M:$N,2,1),(FT50-0.05)))</f>
        <v>0</v>
      </c>
      <c r="FV50" s="15">
        <f>MIN(1,MAX(VLOOKUP(($AJ50-$AI50-$AH50-$AG50-$AF50-$AE50*(1+FV$3))/$AJ50,'Технический лист'!$M:$N,2,1),(FU50-0.05)))</f>
        <v>0</v>
      </c>
      <c r="FW50" s="15">
        <f>MIN(1,MAX(VLOOKUP(($AJ50-$AI50-$AH50-$AG50-$AF50-$AE50*(1+FW$3))/$AJ50,'Технический лист'!$M:$N,2,1),(FV50-0.05)))</f>
        <v>0</v>
      </c>
      <c r="FX50" s="15">
        <f>MIN(1,MAX(VLOOKUP(($AJ50-$AI50-$AH50-$AG50-$AF50-$AE50*(1+FX$3))/$AJ50,'Технический лист'!$M:$N,2,1),(FW50-0.05)))</f>
        <v>0</v>
      </c>
      <c r="FY50" s="15">
        <f>MIN(1,MAX(VLOOKUP(($AJ50-$AI50-$AH50-$AG50-$AF50-$AE50*(1+FY$3))/$AJ50,'Технический лист'!$M:$N,2,1),(FX50-0.05)))</f>
        <v>0</v>
      </c>
      <c r="FZ50" s="15">
        <f>MIN(1,MAX(VLOOKUP(($AJ50-$AI50-$AH50-$AG50-$AF50-$AE50*(1+FZ$3))/$AJ50,'Технический лист'!$M:$N,2,1),(FY50-0.05)))</f>
        <v>0</v>
      </c>
      <c r="GA50" s="15">
        <f>MIN(1,MAX(VLOOKUP(($AJ50-$AI50-$AH50-$AG50-$AF50-$AE50*(1+GA$3))/$AJ50,'Технический лист'!$M:$N,2,1),(FZ50-0.05)))</f>
        <v>0</v>
      </c>
      <c r="GB50" s="15">
        <f>MIN(1,MAX(VLOOKUP(($AJ50-$AI50-$AH50-$AG50-$AF50-$AE50*(1+GB$3))/$AJ50,'Технический лист'!$M:$N,2,1),(GA50-0.05)))</f>
        <v>0</v>
      </c>
      <c r="GC50" s="15">
        <f>MIN(1,MAX(VLOOKUP(($AJ50-$AI50-$AH50-$AG50-$AF50-$AE50*(1+GC$3))/$AJ50,'Технический лист'!$M:$N,2,1),(GB50-0.05)))</f>
        <v>0</v>
      </c>
      <c r="GD50" s="15">
        <f>MIN(1,MAX(VLOOKUP(($AJ50-$AI50-$AH50-$AG50-$AF50-$AE50*(1+GD$3))/$AJ50,'Технический лист'!$M:$N,2,1),(GC50-0.05)))</f>
        <v>0</v>
      </c>
      <c r="GE50" s="15">
        <f>MIN(1,MAX(VLOOKUP(($AJ50-$AI50-$AH50-$AG50-$AF50-$AE50*(1+GE$3))/$AJ50,'Технический лист'!$M:$N,2,1),(GD50-0.05)))</f>
        <v>0</v>
      </c>
      <c r="GF50" s="15">
        <f>MIN(1,MAX(VLOOKUP(($AJ50-$AI50-$AH50-$AG50-$AF50-$AE50*(1+GF$3))/$AJ50,'Технический лист'!$M:$N,2,1),(GE50-0.05)))</f>
        <v>0</v>
      </c>
      <c r="GG50" s="15">
        <f>MIN(1,MAX(VLOOKUP(($AJ50-$AI50-$AH50-$AG50-$AF50-$AE50*(1+GG$3))/$AJ50,'Технический лист'!$M:$N,2,1),(GF50-0.05)))</f>
        <v>0</v>
      </c>
      <c r="GH50" s="15">
        <f>MIN(1,MAX(VLOOKUP(($AJ50-$AI50-$AH50-$AG50-$AF50-$AE50*(1+GH$3))/$AJ50,'Технический лист'!$M:$N,2,1),(GG50-0.05)))</f>
        <v>0</v>
      </c>
      <c r="GI50" s="15">
        <f>MIN(1,MAX(VLOOKUP(($AJ50-$AI50-$AH50-$AG50-$AF50-$AE50*(1+GI$3))/$AJ50,'Технический лист'!$M:$N,2,1),(GH50-0.05)))</f>
        <v>0</v>
      </c>
      <c r="GJ50" s="15">
        <f>MIN(1,MAX(VLOOKUP(($AJ50-$AI50-$AH50-$AG50-$AF50-$AE50*(1+GJ$3))/$AJ50,'Технический лист'!$M:$N,2,1),(GI50-0.05)))</f>
        <v>0</v>
      </c>
      <c r="GK50" s="15">
        <f>MIN(1,MAX(VLOOKUP(($AJ50-$AI50-$AH50-$AG50-$AF50-$AE50*(1+GK$3))/$AJ50,'Технический лист'!$M:$N,2,1),(GJ50-0.05)))</f>
        <v>0</v>
      </c>
      <c r="GL50" s="15">
        <f>MIN(1,MAX(VLOOKUP(($AJ50-$AI50-$AH50-$AG50-$AF50-$AE50*(1+GL$3))/$AJ50,'Технический лист'!$M:$N,2,1),(GK50-0.05)))</f>
        <v>0</v>
      </c>
      <c r="GM50" s="15">
        <f>MIN(1,MAX(VLOOKUP(($AJ50-$AI50-$AH50-$AG50-$AF50-$AE50*(1+GM$3))/$AJ50,'Технический лист'!$M:$N,2,1),(GL50-0.05)))</f>
        <v>0</v>
      </c>
      <c r="GN50" s="15">
        <f>MIN(1,MAX(VLOOKUP(($AJ50-$AI50-$AH50-$AG50-$AF50-$AE50*(1+GN$3))/$AJ50,'Технический лист'!$M:$N,2,1),(GM50-0.05)))</f>
        <v>0</v>
      </c>
      <c r="GO50" s="15">
        <f>MIN(1,MAX(VLOOKUP(($AJ50-$AI50-$AH50-$AG50-$AF50-$AE50*(1+GO$3))/$AJ50,'Технический лист'!$M:$N,2,1),(GN50-0.05)))</f>
        <v>0</v>
      </c>
      <c r="GP50" s="15">
        <f>MIN(1,MAX(VLOOKUP(($AJ50-$AI50-$AH50-$AG50-$AF50-$AE50*(1+GP$3))/$AJ50,'Технический лист'!$M:$N,2,1),(GO50-0.05)))</f>
        <v>0</v>
      </c>
      <c r="GQ50" s="15">
        <f>MIN(1,MAX(VLOOKUP(($AJ50-$AI50-$AH50-$AG50-$AF50-$AE50*(1+GQ$3))/$AJ50,'Технический лист'!$M:$N,2,1),(GP50-0.05)))</f>
        <v>0</v>
      </c>
      <c r="GR50" s="15">
        <f>MIN(1,MAX(VLOOKUP(($AJ50-$AI50-$AH50-$AG50-$AF50-$AE50*(1+GR$3))/$AJ50,'Технический лист'!$M:$N,2,1),(GQ50-0.05)))</f>
        <v>0</v>
      </c>
      <c r="GS50" s="15">
        <f>MIN(1,MAX(VLOOKUP(($AJ50-$AI50-$AH50-$AG50-$AF50-$AE50*(1+GS$3))/$AJ50,'Технический лист'!$M:$N,2,1),(GR50-0.05)))</f>
        <v>0</v>
      </c>
      <c r="GT50" s="15">
        <f>MIN(1,MAX(VLOOKUP(($AJ50-$AI50-$AH50-$AG50-$AF50-$AE50*(1+GT$3))/$AJ50,'Технический лист'!$M:$N,2,1),(GS50-0.05)))</f>
        <v>0</v>
      </c>
      <c r="GU50" s="15">
        <f>MIN(1,MAX(VLOOKUP(($AJ50-$AI50-$AH50-$AG50-$AF50-$AE50*(1+GU$3))/$AJ50,'Технический лист'!$M:$N,2,1),(GT50-0.05)))</f>
        <v>0</v>
      </c>
      <c r="GV50" s="15">
        <f>MIN(1,MAX(VLOOKUP(($AJ50-$AI50-$AH50-$AG50-$AF50-$AE50*(1+GV$3))/$AJ50,'Технический лист'!$M:$N,2,1),(GU50-0.05)))</f>
        <v>0</v>
      </c>
      <c r="GW50" s="15">
        <f>MIN(1,MAX(VLOOKUP(($AJ50-$AI50-$AH50-$AG50-$AF50-$AE50*(1+GW$3))/$AJ50,'Технический лист'!$M:$N,2,1),(GV50-0.05)))</f>
        <v>0</v>
      </c>
      <c r="GX50" s="15">
        <f>MIN(1,MAX(VLOOKUP(($AJ50-$AI50-$AH50-$AG50-$AF50-$AE50*(1+GX$3))/$AJ50,'Технический лист'!$M:$N,2,1),(GW50-0.05)))</f>
        <v>0</v>
      </c>
      <c r="GY50" s="15">
        <f>MIN(1,MAX(VLOOKUP(($AJ50-$AI50-$AH50-$AG50-$AF50-$AE50*(1+GY$3))/$AJ50,'Технический лист'!$M:$N,2,1),(GX50-0.05)))</f>
        <v>0</v>
      </c>
      <c r="GZ50" s="15">
        <f>MIN(1,MAX(VLOOKUP(($AJ50-$AI50-$AH50-$AG50-$AF50-$AE50*(1+GZ$3))/$AJ50,'Технический лист'!$M:$N,2,1),(GY50-0.05)))</f>
        <v>0</v>
      </c>
      <c r="HA50" s="15">
        <f>MIN(1,MAX(VLOOKUP(($AJ50-$AI50-$AH50-$AG50-$AF50-$AE50*(1+HA$3))/$AJ50,'Технический лист'!$M:$N,2,1),(GZ50-0.05)))</f>
        <v>0</v>
      </c>
      <c r="HB50" s="15">
        <f>MIN(1,MAX(VLOOKUP(($AJ50-$AI50-$AH50-$AG50-$AF50-$AE50*(1+HB$3))/$AJ50,'Технический лист'!$M:$N,2,1),(HA50-0.05)))</f>
        <v>0</v>
      </c>
      <c r="HC50" s="15">
        <f>MIN(1,MAX(VLOOKUP(($AJ50-$AI50-$AH50-$AG50-$AF50-$AE50*(1+HC$3))/$AJ50,'Технический лист'!$M:$N,2,1),(HB50-0.05)))</f>
        <v>0</v>
      </c>
      <c r="HD50" s="15">
        <f>MIN(1,MAX(VLOOKUP(($AJ50-$AI50-$AH50-$AG50-$AF50-$AE50*(1+HD$3))/$AJ50,'Технический лист'!$M:$N,2,1),(HC50-0.05)))</f>
        <v>0</v>
      </c>
      <c r="HE50" s="15">
        <f>MIN(1,MAX(VLOOKUP(($AJ50-$AI50-$AH50-$AG50-$AF50-$AE50*(1+HE$3))/$AJ50,'Технический лист'!$M:$N,2,1),(HD50-0.05)))</f>
        <v>0</v>
      </c>
      <c r="HF50" s="15">
        <f>MIN(1,MAX(VLOOKUP(($AJ50-$AI50-$AH50-$AG50-$AF50-$AE50*(1+HF$3))/$AJ50,'Технический лист'!$M:$N,2,1),(HE50-0.05)))</f>
        <v>0</v>
      </c>
      <c r="HG50" s="15">
        <f>MIN(1,MAX(VLOOKUP(($AJ50-$AI50-$AH50-$AG50-$AF50-$AE50*(1+HG$3))/$AJ50,'Технический лист'!$M:$N,2,1),(HF50-0.05)))</f>
        <v>0</v>
      </c>
      <c r="HH50" s="15">
        <f>MIN(1,MAX(VLOOKUP(($AJ50-$AI50-$AH50-$AG50-$AF50-$AE50*(1+HH$3))/$AJ50,'Технический лист'!$M:$N,2,1),(HG50-0.05)))</f>
        <v>0</v>
      </c>
      <c r="HI50" s="15">
        <f>MIN(1,MAX(VLOOKUP(($AJ50-$AI50-$AH50-$AG50-$AF50-$AE50*(1+HI$3))/$AJ50,'Технический лист'!$M:$N,2,1),(HH50-0.05)))</f>
        <v>0</v>
      </c>
      <c r="HJ50" s="15">
        <f>MIN(1,MAX(VLOOKUP(($AJ50-$AI50-$AH50-$AG50-$AF50-$AE50*(1+HJ$3))/$AJ50,'Технический лист'!$M:$N,2,1),(HI50-0.05)))</f>
        <v>0</v>
      </c>
      <c r="HK50" s="15">
        <f>MIN(1,MAX(VLOOKUP(($AJ50-$AI50-$AH50-$AG50-$AF50-$AE50*(1+HK$3))/$AJ50,'Технический лист'!$M:$N,2,1),(HJ50-0.05)))</f>
        <v>0</v>
      </c>
      <c r="HL50" s="15">
        <f>MIN(1,MAX(VLOOKUP(($AJ50-$AI50-$AH50-$AG50-$AF50-$AE50*(1+HL$3))/$AJ50,'Технический лист'!$M:$N,2,1),(HK50-0.05)))</f>
        <v>0</v>
      </c>
      <c r="HM50" s="15">
        <f>MIN(1,MAX(VLOOKUP(($AJ50-$AI50-$AH50-$AG50-$AF50-$AE50*(1+HM$3))/$AJ50,'Технический лист'!$M:$N,2,1),(HL50-0.05)))</f>
        <v>0</v>
      </c>
      <c r="HN50" s="15">
        <f>MIN(1,MAX(VLOOKUP(($AJ50-$AI50-$AH50-$AG50-$AF50-$AE50*(1+HN$3))/$AJ50,'Технический лист'!$M:$N,2,1),(HM50-0.05)))</f>
        <v>0</v>
      </c>
      <c r="HO50" s="15">
        <f>MIN(1,MAX(VLOOKUP(($AJ50-$AI50-$AH50-$AG50-$AF50-$AE50*(1+HO$3))/$AJ50,'Технический лист'!$M:$N,2,1),(HN50-0.05)))</f>
        <v>0</v>
      </c>
      <c r="HP50" s="15">
        <f>MIN(1,MAX(VLOOKUP(($AJ50-$AI50-$AH50-$AG50-$AF50-$AE50*(1+HP$3))/$AJ50,'Технический лист'!$M:$N,2,1),(HO50-0.05)))</f>
        <v>0</v>
      </c>
      <c r="HQ50" s="15">
        <f>MIN(1,MAX(VLOOKUP(($AJ50-$AI50-$AH50-$AG50-$AF50-$AE50*(1+HQ$3))/$AJ50,'Технический лист'!$M:$N,2,1),(HP50-0.05)))</f>
        <v>0</v>
      </c>
      <c r="HR50" s="15">
        <f>MIN(1,MAX(VLOOKUP(($AJ50-$AI50-$AH50-$AG50-$AF50-$AE50*(1+HR$3))/$AJ50,'Технический лист'!$M:$N,2,1),(HQ50-0.05)))</f>
        <v>0</v>
      </c>
      <c r="HS50" s="15">
        <f>MIN(1,MAX(VLOOKUP(($AJ50-$AI50-$AH50-$AG50-$AF50-$AE50*(1+HS$3))/$AJ50,'Технический лист'!$M:$N,2,1),(HR50-0.05)))</f>
        <v>0</v>
      </c>
      <c r="HT50" s="15">
        <f>MIN(1,MAX(VLOOKUP(($AJ50-$AI50-$AH50-$AG50-$AF50-$AE50*(1+HT$3))/$AJ50,'Технический лист'!$M:$N,2,1),(HS50-0.05)))</f>
        <v>0</v>
      </c>
      <c r="HU50" s="15">
        <f>MIN(1,MAX(VLOOKUP(($AJ50-$AI50-$AH50-$AG50-$AF50-$AE50*(1+HU$3))/$AJ50,'Технический лист'!$M:$N,2,1),(HT50-0.05)))</f>
        <v>0</v>
      </c>
      <c r="HV50" s="15">
        <f>MIN(1,MAX(VLOOKUP(($AJ50-$AI50-$AH50-$AG50-$AF50-$AE50*(1+HV$3))/$AJ50,'Технический лист'!$M:$N,2,1),(HU50-0.05)))</f>
        <v>0</v>
      </c>
      <c r="HW50" s="15">
        <f>MIN(1,MAX(VLOOKUP(($AJ50-$AI50-$AH50-$AG50-$AF50-$AE50*(1+HW$3))/$AJ50,'Технический лист'!$M:$N,2,1),(HV50-0.05)))</f>
        <v>0</v>
      </c>
      <c r="HX50" s="15">
        <f>MIN(1,MAX(VLOOKUP(($AJ50-$AI50-$AH50-$AG50-$AF50-$AE50*(1+HX$3))/$AJ50,'Технический лист'!$M:$N,2,1),(HW50-0.05)))</f>
        <v>0</v>
      </c>
      <c r="HY50" s="15">
        <f>MIN(1,MAX(VLOOKUP(($AJ50-$AI50-$AH50-$AG50-$AF50-$AE50*(1+HY$3))/$AJ50,'Технический лист'!$M:$N,2,1),(HX50-0.05)))</f>
        <v>0</v>
      </c>
      <c r="HZ50" s="15">
        <f>MIN(1,MAX(VLOOKUP(($AJ50-$AI50-$AH50-$AG50-$AF50-$AE50*(1+HZ$3))/$AJ50,'Технический лист'!$M:$N,2,1),(HY50-0.05)))</f>
        <v>0</v>
      </c>
      <c r="IA50" s="15">
        <f>MIN(1,MAX(VLOOKUP(($AJ50-$AI50-$AH50-$AG50-$AF50-$AE50*(1+IA$3))/$AJ50,'Технический лист'!$M:$N,2,1),(HZ50-0.05)))</f>
        <v>0</v>
      </c>
      <c r="IB50" s="15">
        <f>MIN(1,MAX(VLOOKUP(($AJ50-$AI50-$AH50-$AG50-$AF50-$AE50*(1+IB$3))/$AJ50,'Технический лист'!$M:$N,2,1),(IA50-0.05)))</f>
        <v>0</v>
      </c>
      <c r="IC50" s="15">
        <f>MIN(1,MAX(VLOOKUP(($AJ50-$AI50-$AH50-$AG50-$AF50-$AE50*(1+IC$3))/$AJ50,'Технический лист'!$M:$N,2,1),(IB50-0.05)))</f>
        <v>0</v>
      </c>
      <c r="ID50" s="15">
        <f>MIN(1,MAX(VLOOKUP(($AJ50-$AI50-$AH50-$AG50-$AF50-$AE50*(1+ID$3))/$AJ50,'Технический лист'!$M:$N,2,1),(IC50-0.05)))</f>
        <v>0</v>
      </c>
      <c r="IE50" s="15">
        <f>MIN(1,MAX(VLOOKUP(($AJ50-$AI50-$AH50-$AG50-$AF50-$AE50*(1+IE$3))/$AJ50,'Технический лист'!$M:$N,2,1),(ID50-0.05)))</f>
        <v>0</v>
      </c>
      <c r="IF50" s="15">
        <f>MIN(1,MAX(VLOOKUP(($AJ50-$AI50-$AH50-$AG50-$AF50-$AE50*(1+IF$3))/$AJ50,'Технический лист'!$M:$N,2,1),(IE50-0.05)))</f>
        <v>0</v>
      </c>
      <c r="IG50" s="15">
        <f>MIN(1,MAX(VLOOKUP(($AJ50-$AI50-$AH50-$AG50-$AF50-$AE50*(1+IG$3))/$AJ50,'Технический лист'!$M:$N,2,1),(IF50-0.05)))</f>
        <v>0</v>
      </c>
      <c r="IH50" s="15">
        <f>MIN(1,MAX(VLOOKUP(($AJ50-$AI50-$AH50-$AG50-$AF50-$AE50*(1+IH$3))/$AJ50,'Технический лист'!$M:$N,2,1),(IG50-0.05)))</f>
        <v>0</v>
      </c>
      <c r="II50" s="15">
        <f>MIN(1,MAX(VLOOKUP(($AJ50-$AI50-$AH50-$AG50-$AF50-$AE50*(1+II$3))/$AJ50,'Технический лист'!$M:$N,2,1),(IH50-0.05)))</f>
        <v>0</v>
      </c>
      <c r="IJ50" s="15">
        <f>MIN(1,MAX(VLOOKUP(($AJ50-$AI50-$AH50-$AG50-$AF50-$AE50*(1+IJ$3))/$AJ50,'Технический лист'!$M:$N,2,1),(II50-0.05)))</f>
        <v>0</v>
      </c>
      <c r="IK50" s="15">
        <f>MIN(1,MAX(VLOOKUP(($AJ50-$AI50-$AH50-$AG50-$AF50-$AE50*(1+IK$3))/$AJ50,'Технический лист'!$M:$N,2,1),(IJ50-0.05)))</f>
        <v>0</v>
      </c>
      <c r="IL50" s="15">
        <f>MIN(1,MAX(VLOOKUP(($AJ50-$AI50-$AH50-$AG50-$AF50-$AE50*(1+IL$3))/$AJ50,'Технический лист'!$M:$N,2,1),(IK50-0.05)))</f>
        <v>0</v>
      </c>
      <c r="IM50" s="15">
        <f>MIN(1,MAX(VLOOKUP(($AJ50-$AI50-$AH50-$AG50-$AF50-$AE50*(1+IM$3))/$AJ50,'Технический лист'!$M:$N,2,1),(IL50-0.05)))</f>
        <v>0</v>
      </c>
      <c r="IN50" s="15">
        <f>MIN(1,MAX(VLOOKUP(($AJ50-$AI50-$AH50-$AG50-$AF50-$AE50*(1+IN$3))/$AJ50,'Технический лист'!$M:$N,2,1),(IM50-0.05)))</f>
        <v>0</v>
      </c>
      <c r="IO50" s="15">
        <f>MIN(1,MAX(VLOOKUP(($AJ50-$AI50-$AH50-$AG50-$AF50-$AE50*(1+IO$3))/$AJ50,'Технический лист'!$M:$N,2,1),(IN50-0.05)))</f>
        <v>0</v>
      </c>
      <c r="IP50" s="15">
        <f>MIN(1,MAX(VLOOKUP(($AJ50-$AI50-$AH50-$AG50-$AF50-$AE50*(1+IP$3))/$AJ50,'Технический лист'!$M:$N,2,1),(IO50-0.05)))</f>
        <v>0</v>
      </c>
      <c r="IQ50" s="15">
        <f>MIN(1,MAX(VLOOKUP(($AJ50-$AI50-$AH50-$AG50-$AF50-$AE50*(1+IQ$3))/$AJ50,'Технический лист'!$M:$N,2,1),(IP50-0.05)))</f>
        <v>0</v>
      </c>
      <c r="IR50" s="15">
        <f>MIN(1,MAX(VLOOKUP(($AJ50-$AI50-$AH50-$AG50-$AF50-$AE50*(1+IR$3))/$AJ50,'Технический лист'!$M:$N,2,1),(IQ50-0.05)))</f>
        <v>0</v>
      </c>
    </row>
    <row r="51" spans="1:252">
      <c r="A51" s="89" t="s">
        <v>514</v>
      </c>
      <c r="B51" s="90">
        <v>4</v>
      </c>
      <c r="C51" s="5" t="s">
        <v>67</v>
      </c>
      <c r="D51" s="91">
        <v>14111</v>
      </c>
      <c r="E51" s="91" t="s">
        <v>336</v>
      </c>
      <c r="F51" s="92" t="s">
        <v>74</v>
      </c>
      <c r="G51" s="91" t="s">
        <v>26</v>
      </c>
      <c r="H51" s="91" t="s">
        <v>20</v>
      </c>
      <c r="I51" s="91" t="s">
        <v>146</v>
      </c>
      <c r="J51" s="91" t="s">
        <v>24</v>
      </c>
      <c r="K51" s="91">
        <v>1687</v>
      </c>
      <c r="L51" s="85" t="s">
        <v>64</v>
      </c>
      <c r="M51" s="91" t="s">
        <v>17</v>
      </c>
      <c r="N51" s="91" t="s">
        <v>191</v>
      </c>
      <c r="O51" s="91" t="s">
        <v>193</v>
      </c>
      <c r="P51" s="89" t="s">
        <v>234</v>
      </c>
      <c r="Q51" s="91" t="s">
        <v>267</v>
      </c>
      <c r="R51" s="91" t="s">
        <v>267</v>
      </c>
      <c r="S51" s="82">
        <v>544697</v>
      </c>
      <c r="T51" s="82">
        <v>919025137</v>
      </c>
      <c r="U51" s="81">
        <v>7808</v>
      </c>
      <c r="V51" s="81">
        <v>0</v>
      </c>
      <c r="W51" s="82">
        <v>536421896</v>
      </c>
      <c r="X51" s="112">
        <v>69</v>
      </c>
      <c r="Y51" s="112" t="s">
        <v>418</v>
      </c>
      <c r="Z51" s="113">
        <v>5</v>
      </c>
      <c r="AA51" s="113">
        <v>5</v>
      </c>
      <c r="AB51" s="113">
        <v>4</v>
      </c>
      <c r="AC51" s="99">
        <v>1091.67</v>
      </c>
      <c r="AD51" s="99">
        <f t="shared" si="15"/>
        <v>552.26</v>
      </c>
      <c r="AE51" s="99">
        <v>1643.93</v>
      </c>
      <c r="AF51" s="98">
        <f>(Z51+AA51+AB51)*'Ставки аренды'!$B$3/X51</f>
        <v>142.02898550724638</v>
      </c>
      <c r="AG51" s="114">
        <f>'Ставки перевалки'!$B$13</f>
        <v>1500</v>
      </c>
      <c r="AH51" s="94">
        <v>0</v>
      </c>
      <c r="AI51" s="115">
        <f>240828/411356*AVERAGE(AJ48,AJ49)</f>
        <v>4057.0060947962343</v>
      </c>
      <c r="AJ51" s="117">
        <f>Цены!D13</f>
        <v>7859.4664999999995</v>
      </c>
      <c r="AK51" s="94">
        <f>AJ51/Цены!$B$1</f>
        <v>103</v>
      </c>
      <c r="AL51" s="95">
        <f t="shared" si="5"/>
        <v>3285.9589855072463</v>
      </c>
      <c r="AM51" s="95">
        <f t="shared" si="6"/>
        <v>4573.5075144927532</v>
      </c>
      <c r="AN51" s="94">
        <f t="shared" si="16"/>
        <v>7342.9650803034801</v>
      </c>
      <c r="AO51" s="118">
        <f t="shared" si="17"/>
        <v>6.5717109386053046E-2</v>
      </c>
      <c r="AP51" s="96">
        <f t="shared" si="7"/>
        <v>0.41808931757737583</v>
      </c>
      <c r="AQ51" s="96">
        <f t="shared" si="8"/>
        <v>0.20916559667249682</v>
      </c>
      <c r="AR51" s="96">
        <f t="shared" si="9"/>
        <v>0.5002892632715652</v>
      </c>
      <c r="AS51" s="122">
        <v>1</v>
      </c>
      <c r="AT51" s="121">
        <f t="shared" si="10"/>
        <v>544697</v>
      </c>
      <c r="AU51" s="83">
        <v>0.9</v>
      </c>
      <c r="AV51" s="119">
        <f t="shared" si="11"/>
        <v>4.0617237785353304E-2</v>
      </c>
      <c r="AW51" s="120">
        <f t="shared" si="12"/>
        <v>0.44318918917807554</v>
      </c>
      <c r="AX51" s="120">
        <f t="shared" si="13"/>
        <v>0.23426546827319647</v>
      </c>
      <c r="AY51" s="120">
        <f t="shared" si="14"/>
        <v>0.52859021382641957</v>
      </c>
      <c r="AZ51" s="15">
        <f>MIN(IF($AU51=100%,1,1+VLOOKUP(($AJ51-$AI51-$AH51-$AG51-$AF51-$AE51*(1+AZ$3))/$AJ51,'Технический лист'!$M:$N,2,1)-VLOOKUP($AO51,'Технический лист'!$M:$N,2,1)),1+(1-$AU51))</f>
        <v>1.1000000000000001</v>
      </c>
      <c r="BA51" s="15">
        <f>MIN(IF($AU51=100%,1,1+VLOOKUP(($AJ51-$AI51-$AH51-$AG51-$AF51-$AE51*(1+BA$3))/$AJ51,'Технический лист'!$M:$N,2,1)-VLOOKUP($AO51,'Технический лист'!$M:$N,2,1)),1+(1-$AU51))</f>
        <v>1.1000000000000001</v>
      </c>
      <c r="BB51" s="15">
        <f>MIN(IF($AU51=100%,1,1+VLOOKUP(($AJ51-$AI51-$AH51-$AG51-$AF51-$AE51*(1+BB$3))/$AJ51,'Технический лист'!$M:$N,2,1)-VLOOKUP($AO51,'Технический лист'!$M:$N,2,1)),1+(1-$AU51))</f>
        <v>1.1000000000000001</v>
      </c>
      <c r="BC51" s="15">
        <f>MIN(IF($AU51=100%,1,1+VLOOKUP(($AJ51-$AI51-$AH51-$AG51-$AF51-$AE51*(1+BC$3))/$AJ51,'Технический лист'!$M:$N,2,1)-VLOOKUP($AO51,'Технический лист'!$M:$N,2,1)),1+(1-$AU51))</f>
        <v>1.1000000000000001</v>
      </c>
      <c r="BD51" s="15">
        <f>MIN(IF($AU51=100%,1,1+VLOOKUP(($AJ51-$AI51-$AH51-$AG51-$AF51-$AE51*(1+BD$3))/$AJ51,'Технический лист'!$M:$N,2,1)-VLOOKUP($AO51,'Технический лист'!$M:$N,2,1)),1+(1-$AU51))</f>
        <v>1.1000000000000001</v>
      </c>
      <c r="BE51" s="15">
        <f>MIN(IF($AU51=100%,1,1+VLOOKUP(($AJ51-$AI51-$AH51-$AG51-$AF51-$AE51*(1+BE$3))/$AJ51,'Технический лист'!$M:$N,2,1)-VLOOKUP($AO51,'Технический лист'!$M:$N,2,1)),1+(1-$AU51))</f>
        <v>1.1000000000000001</v>
      </c>
      <c r="BF51" s="15">
        <f>MIN(IF($AU51=100%,1,1+VLOOKUP(($AJ51-$AI51-$AH51-$AG51-$AF51-$AE51*(1+BF$3))/$AJ51,'Технический лист'!$M:$N,2,1)-VLOOKUP($AO51,'Технический лист'!$M:$N,2,1)),1+(1-$AU51))</f>
        <v>1.1000000000000001</v>
      </c>
      <c r="BG51" s="15">
        <f>MIN(IF($AU51=100%,1,1+VLOOKUP(($AJ51-$AI51-$AH51-$AG51-$AF51-$AE51*(1+BG$3))/$AJ51,'Технический лист'!$M:$N,2,1)-VLOOKUP($AO51,'Технический лист'!$M:$N,2,1)),1+(1-$AU51))</f>
        <v>1.1000000000000001</v>
      </c>
      <c r="BH51" s="15">
        <f>MIN(IF($AU51=100%,1,1+VLOOKUP(($AJ51-$AI51-$AH51-$AG51-$AF51-$AE51*(1+BH$3))/$AJ51,'Технический лист'!$M:$N,2,1)-VLOOKUP($AO51,'Технический лист'!$M:$N,2,1)),1+(1-$AU51))</f>
        <v>1.1000000000000001</v>
      </c>
      <c r="BI51" s="15">
        <f>MIN(IF($AU51=100%,1,1+VLOOKUP(($AJ51-$AI51-$AH51-$AG51-$AF51-$AE51*(1+BI$3))/$AJ51,'Технический лист'!$M:$N,2,1)-VLOOKUP($AO51,'Технический лист'!$M:$N,2,1)),1+(1-$AU51))</f>
        <v>1.1000000000000001</v>
      </c>
      <c r="BJ51" s="15">
        <f>MIN(IF($AU51=100%,1,1+VLOOKUP(($AJ51-$AI51-$AH51-$AG51-$AF51-$AE51*(1+BJ$3))/$AJ51,'Технический лист'!$M:$N,2,1)-VLOOKUP($AO51,'Технический лист'!$M:$N,2,1)),1+(1-$AU51))</f>
        <v>1.1000000000000001</v>
      </c>
      <c r="BK51" s="15">
        <f>MIN(IF($AU51=100%,1,1+VLOOKUP(($AJ51-$AI51-$AH51-$AG51-$AF51-$AE51*(1+BK$3))/$AJ51,'Технический лист'!$M:$N,2,1)-VLOOKUP($AO51,'Технический лист'!$M:$N,2,1)),1+(1-$AU51))</f>
        <v>1.1000000000000001</v>
      </c>
      <c r="BL51" s="15">
        <f>MIN(IF($AU51=100%,1,1+VLOOKUP(($AJ51-$AI51-$AH51-$AG51-$AF51-$AE51*(1+BL$3))/$AJ51,'Технический лист'!$M:$N,2,1)-VLOOKUP($AO51,'Технический лист'!$M:$N,2,1)),1+(1-$AU51))</f>
        <v>1.1000000000000001</v>
      </c>
      <c r="BM51" s="15">
        <f>MIN(IF($AU51=100%,1,1+VLOOKUP(($AJ51-$AI51-$AH51-$AG51-$AF51-$AE51*(1+BM$3))/$AJ51,'Технический лист'!$M:$N,2,1)-VLOOKUP($AO51,'Технический лист'!$M:$N,2,1)),1+(1-$AU51))</f>
        <v>1.1000000000000001</v>
      </c>
      <c r="BN51" s="15">
        <f>MIN(IF($AU51=100%,1,1+VLOOKUP(($AJ51-$AI51-$AH51-$AG51-$AF51-$AE51*(1+BN$3))/$AJ51,'Технический лист'!$M:$N,2,1)-VLOOKUP($AO51,'Технический лист'!$M:$N,2,1)),1+(1-$AU51))</f>
        <v>1.1000000000000001</v>
      </c>
      <c r="BO51" s="15">
        <f>MIN(IF($AU51=100%,1,1+VLOOKUP(($AJ51-$AI51-$AH51-$AG51-$AF51-$AE51*(1+BO$3))/$AJ51,'Технический лист'!$M:$N,2,1)-VLOOKUP($AO51,'Технический лист'!$M:$N,2,1)),1+(1-$AU51))</f>
        <v>1.1000000000000001</v>
      </c>
      <c r="BP51" s="15">
        <f>MIN(IF($AU51=100%,1,1+VLOOKUP(($AJ51-$AI51-$AH51-$AG51-$AF51-$AE51*(1+BP$3))/$AJ51,'Технический лист'!$M:$N,2,1)-VLOOKUP($AO51,'Технический лист'!$M:$N,2,1)),1+(1-$AU51))</f>
        <v>1.1000000000000001</v>
      </c>
      <c r="BQ51" s="15">
        <f>MIN(IF($AU51=100%,1,1+VLOOKUP(($AJ51-$AI51-$AH51-$AG51-$AF51-$AE51*(1+BQ$3))/$AJ51,'Технический лист'!$M:$N,2,1)-VLOOKUP($AO51,'Технический лист'!$M:$N,2,1)),1+(1-$AU51))</f>
        <v>1.1000000000000001</v>
      </c>
      <c r="BR51" s="15">
        <f>MIN(IF($AU51=100%,1,1+VLOOKUP(($AJ51-$AI51-$AH51-$AG51-$AF51-$AE51*(1+BR$3))/$AJ51,'Технический лист'!$M:$N,2,1)-VLOOKUP($AO51,'Технический лист'!$M:$N,2,1)),1+(1-$AU51))</f>
        <v>1.1000000000000001</v>
      </c>
      <c r="BS51" s="15">
        <f>MIN(IF($AU51=100%,1,1+VLOOKUP(($AJ51-$AI51-$AH51-$AG51-$AF51-$AE51*(1+BS$3))/$AJ51,'Технический лист'!$M:$N,2,1)-VLOOKUP($AO51,'Технический лист'!$M:$N,2,1)),1+(1-$AU51))</f>
        <v>1.1000000000000001</v>
      </c>
      <c r="BT51" s="15">
        <f>MIN(IF($AU51=100%,1,1+VLOOKUP(($AJ51-$AI51-$AH51-$AG51-$AF51-$AE51*(1+BT$3))/$AJ51,'Технический лист'!$M:$N,2,1)-VLOOKUP($AO51,'Технический лист'!$M:$N,2,1)),1+(1-$AU51))</f>
        <v>1.1000000000000001</v>
      </c>
      <c r="BU51" s="15">
        <f>MIN(IF($AU51=100%,1,1+VLOOKUP(($AJ51-$AI51-$AH51-$AG51-$AF51-$AE51*(1+BU$3))/$AJ51,'Технический лист'!$M:$N,2,1)-VLOOKUP($AO51,'Технический лист'!$M:$N,2,1)),1+(1-$AU51))</f>
        <v>1.1000000000000001</v>
      </c>
      <c r="BV51" s="15">
        <f>MIN(IF($AU51=100%,1,1+VLOOKUP(($AJ51-$AI51-$AH51-$AG51-$AF51-$AE51*(1+BV$3))/$AJ51,'Технический лист'!$M:$N,2,1)-VLOOKUP($AO51,'Технический лист'!$M:$N,2,1)),1+(1-$AU51))</f>
        <v>1.1000000000000001</v>
      </c>
      <c r="BW51" s="15">
        <f>MIN(IF($AU51=100%,1,1+VLOOKUP(($AJ51-$AI51-$AH51-$AG51-$AF51-$AE51*(1+BW$3))/$AJ51,'Технический лист'!$M:$N,2,1)-VLOOKUP($AO51,'Технический лист'!$M:$N,2,1)),1+(1-$AU51))</f>
        <v>1.1000000000000001</v>
      </c>
      <c r="BX51" s="15">
        <f>MIN(IF($AU51=100%,1,1+VLOOKUP(($AJ51-$AI51-$AH51-$AG51-$AF51-$AE51*(1+BX$3))/$AJ51,'Технический лист'!$M:$N,2,1)-VLOOKUP($AO51,'Технический лист'!$M:$N,2,1)),1+(1-$AU51))</f>
        <v>1.1000000000000001</v>
      </c>
      <c r="BY51" s="15">
        <f>MIN(IF($AU51=100%,1,1+VLOOKUP(($AJ51-$AI51-$AH51-$AG51-$AF51-$AE51*(1+BY$3))/$AJ51,'Технический лист'!$M:$N,2,1)-VLOOKUP($AO51,'Технический лист'!$M:$N,2,1)),1+(1-$AU51))</f>
        <v>1.1000000000000001</v>
      </c>
      <c r="BZ51" s="15">
        <f>MIN(IF($AU51=100%,1,1+VLOOKUP(($AJ51-$AI51-$AH51-$AG51-$AF51-$AE51*(1+BZ$3))/$AJ51,'Технический лист'!$M:$N,2,1)-VLOOKUP($AO51,'Технический лист'!$M:$N,2,1)),1+(1-$AU51))</f>
        <v>1.1000000000000001</v>
      </c>
      <c r="CA51" s="15">
        <f>MIN(IF($AU51=100%,1,1+VLOOKUP(($AJ51-$AI51-$AH51-$AG51-$AF51-$AE51*(1+CA$3))/$AJ51,'Технический лист'!$M:$N,2,1)-VLOOKUP($AO51,'Технический лист'!$M:$N,2,1)),1+(1-$AU51))</f>
        <v>1.1000000000000001</v>
      </c>
      <c r="CB51" s="15">
        <f>MIN(IF($AU51=100%,1,1+VLOOKUP(($AJ51-$AI51-$AH51-$AG51-$AF51-$AE51*(1+CB$3))/$AJ51,'Технический лист'!$M:$N,2,1)-VLOOKUP($AO51,'Технический лист'!$M:$N,2,1)),1+(1-$AU51))</f>
        <v>1.1000000000000001</v>
      </c>
      <c r="CC51" s="15">
        <f>MIN(IF($AU51=100%,1,1+VLOOKUP(($AJ51-$AI51-$AH51-$AG51-$AF51-$AE51*(1+CC$3))/$AJ51,'Технический лист'!$M:$N,2,1)-VLOOKUP($AO51,'Технический лист'!$M:$N,2,1)),1+(1-$AU51))</f>
        <v>1.1000000000000001</v>
      </c>
      <c r="CD51" s="15">
        <f>MIN(IF($AU51=100%,1,1+VLOOKUP(($AJ51-$AI51-$AH51-$AG51-$AF51-$AE51*(1+CD$3))/$AJ51,'Технический лист'!$M:$N,2,1)-VLOOKUP($AO51,'Технический лист'!$M:$N,2,1)),1+(1-$AU51))</f>
        <v>1.1000000000000001</v>
      </c>
      <c r="CE51" s="15">
        <f>MIN(IF($AU51=100%,1,1+VLOOKUP(($AJ51-$AI51-$AH51-$AG51-$AF51-$AE51*(1+CE$3))/$AJ51,'Технический лист'!$M:$N,2,1)-VLOOKUP($AO51,'Технический лист'!$M:$N,2,1)),1+(1-$AU51))</f>
        <v>1.1000000000000001</v>
      </c>
      <c r="CF51" s="15">
        <f>MIN(IF($AU51=100%,1,1+VLOOKUP(($AJ51-$AI51-$AH51-$AG51-$AF51-$AE51*(1+CF$3))/$AJ51,'Технический лист'!$M:$N,2,1)-VLOOKUP($AO51,'Технический лист'!$M:$N,2,1)),1+(1-$AU51))</f>
        <v>1.1000000000000001</v>
      </c>
      <c r="CG51" s="15">
        <f>MIN(IF($AU51=100%,1,1+VLOOKUP(($AJ51-$AI51-$AH51-$AG51-$AF51-$AE51*(1+CG$3))/$AJ51,'Технический лист'!$M:$N,2,1)-VLOOKUP($AO51,'Технический лист'!$M:$N,2,1)),1+(1-$AU51))</f>
        <v>1.1000000000000001</v>
      </c>
      <c r="CH51" s="15">
        <f>MIN(IF($AU51=100%,1,1+VLOOKUP(($AJ51-$AI51-$AH51-$AG51-$AF51-$AE51*(1+CH$3))/$AJ51,'Технический лист'!$M:$N,2,1)-VLOOKUP($AO51,'Технический лист'!$M:$N,2,1)),1+(1-$AU51))</f>
        <v>1.1000000000000001</v>
      </c>
      <c r="CI51" s="15">
        <f>MIN(IF($AU51=100%,1,1+VLOOKUP(($AJ51-$AI51-$AH51-$AG51-$AF51-$AE51*(1+CI$3))/$AJ51,'Технический лист'!$M:$N,2,1)-VLOOKUP($AO51,'Технический лист'!$M:$N,2,1)),1+(1-$AU51))</f>
        <v>1.1000000000000001</v>
      </c>
      <c r="CJ51" s="15">
        <f>MIN(IF($AU51=100%,1,1+VLOOKUP(($AJ51-$AI51-$AH51-$AG51-$AF51-$AE51*(1+CJ$3))/$AJ51,'Технический лист'!$M:$N,2,1)-VLOOKUP($AO51,'Технический лист'!$M:$N,2,1)),1+(1-$AU51))</f>
        <v>1.1000000000000001</v>
      </c>
      <c r="CK51" s="15">
        <f>MIN(IF($AU51=100%,1,1+VLOOKUP(($AJ51-$AI51-$AH51-$AG51-$AF51-$AE51*(1+CK$3))/$AJ51,'Технический лист'!$M:$N,2,1)-VLOOKUP($AO51,'Технический лист'!$M:$N,2,1)),1+(1-$AU51))</f>
        <v>1.1000000000000001</v>
      </c>
      <c r="CL51" s="15">
        <f>MIN(IF($AU51=100%,1,1+VLOOKUP(($AJ51-$AI51-$AH51-$AG51-$AF51-$AE51*(1+CL$3))/$AJ51,'Технический лист'!$M:$N,2,1)-VLOOKUP($AO51,'Технический лист'!$M:$N,2,1)),1+(1-$AU51))</f>
        <v>1.1000000000000001</v>
      </c>
      <c r="CM51" s="15">
        <f>MIN(IF($AU51=100%,1,1+VLOOKUP(($AJ51-$AI51-$AH51-$AG51-$AF51-$AE51*(1+CM$3))/$AJ51,'Технический лист'!$M:$N,2,1)-VLOOKUP($AO51,'Технический лист'!$M:$N,2,1)),1+(1-$AU51))</f>
        <v>1.1000000000000001</v>
      </c>
      <c r="CN51" s="15">
        <f>MIN(IF($AU51=100%,1,1+VLOOKUP(($AJ51-$AI51-$AH51-$AG51-$AF51-$AE51*(1+CN$3))/$AJ51,'Технический лист'!$M:$N,2,1)-VLOOKUP($AO51,'Технический лист'!$M:$N,2,1)),1+(1-$AU51))</f>
        <v>1.1000000000000001</v>
      </c>
      <c r="CO51" s="15">
        <f>MIN(IF($AU51=100%,1,1+VLOOKUP(($AJ51-$AI51-$AH51-$AG51-$AF51-$AE51*(1+CO$3))/$AJ51,'Технический лист'!$M:$N,2,1)-VLOOKUP($AO51,'Технический лист'!$M:$N,2,1)),1+(1-$AU51))</f>
        <v>1.1000000000000001</v>
      </c>
      <c r="CP51" s="15">
        <f>MIN(IF($AU51=100%,1,1+VLOOKUP(($AJ51-$AI51-$AH51-$AG51-$AF51-$AE51*(1+CP$3))/$AJ51,'Технический лист'!$M:$N,2,1)-VLOOKUP($AO51,'Технический лист'!$M:$N,2,1)),1+(1-$AU51))</f>
        <v>1.1000000000000001</v>
      </c>
      <c r="CQ51" s="15">
        <f>MIN(IF($AU51=100%,1,1+VLOOKUP(($AJ51-$AI51-$AH51-$AG51-$AF51-$AE51*(1+CQ$3))/$AJ51,'Технический лист'!$M:$N,2,1)-VLOOKUP($AO51,'Технический лист'!$M:$N,2,1)),1+(1-$AU51))</f>
        <v>1.1000000000000001</v>
      </c>
      <c r="CR51" s="15">
        <f>MIN(IF($AU51=100%,1,1+VLOOKUP(($AJ51-$AI51-$AH51-$AG51-$AF51-$AE51*(1+CR$3))/$AJ51,'Технический лист'!$M:$N,2,1)-VLOOKUP($AO51,'Технический лист'!$M:$N,2,1)),1+(1-$AU51))</f>
        <v>1.1000000000000001</v>
      </c>
      <c r="CS51" s="15">
        <f>MIN(IF($AU51=100%,1,1+VLOOKUP(($AJ51-$AI51-$AH51-$AG51-$AF51-$AE51*(1+CS$3))/$AJ51,'Технический лист'!$M:$N,2,1)-VLOOKUP($AO51,'Технический лист'!$M:$N,2,1)),1+(1-$AU51))</f>
        <v>1.1000000000000001</v>
      </c>
      <c r="CT51" s="15">
        <f>MIN(IF($AU51=100%,1,1+VLOOKUP(($AJ51-$AI51-$AH51-$AG51-$AF51-$AE51*(1+CT$3))/$AJ51,'Технический лист'!$M:$N,2,1)-VLOOKUP($AO51,'Технический лист'!$M:$N,2,1)),1+(1-$AU51))</f>
        <v>1.1000000000000001</v>
      </c>
      <c r="CU51" s="15">
        <f>MIN(IF($AU51=100%,1,1+VLOOKUP(($AJ51-$AI51-$AH51-$AG51-$AF51-$AE51*(1+CU$3))/$AJ51,'Технический лист'!$M:$N,2,1)-VLOOKUP($AO51,'Технический лист'!$M:$N,2,1)),1+(1-$AU51))</f>
        <v>1.1000000000000001</v>
      </c>
      <c r="CV51" s="15">
        <f>MIN(IF($AU51=100%,1,1+VLOOKUP(($AJ51-$AI51-$AH51-$AG51-$AF51-$AE51*(1+CV$3))/$AJ51,'Технический лист'!$M:$N,2,1)-VLOOKUP($AO51,'Технический лист'!$M:$N,2,1)),1+(1-$AU51))</f>
        <v>1.1000000000000001</v>
      </c>
      <c r="CW51" s="15">
        <f>MIN(IF($AU51=100%,1,1+VLOOKUP(($AJ51-$AI51-$AH51-$AG51-$AF51-$AE51*(1+CW$3))/$AJ51,'Технический лист'!$M:$N,2,1)-VLOOKUP($AO51,'Технический лист'!$M:$N,2,1)),1+(1-$AU51))</f>
        <v>1.1000000000000001</v>
      </c>
      <c r="CX51" s="15">
        <f>MIN(IF($AU51=100%,1,1+VLOOKUP(($AJ51-$AI51-$AH51-$AG51-$AF51-$AE51*(1+CX$3))/$AJ51,'Технический лист'!$M:$N,2,1)-VLOOKUP($AO51,'Технический лист'!$M:$N,2,1)),1+(1-$AU51))</f>
        <v>1.1000000000000001</v>
      </c>
      <c r="CY51" s="15">
        <f>MIN(IF($AU51=100%,1,1+VLOOKUP(($AJ51-$AI51-$AH51-$AG51-$AF51-$AE51*(1+CY$3))/$AJ51,'Технический лист'!$M:$N,2,1)-VLOOKUP($AO51,'Технический лист'!$M:$N,2,1)),1+(1-$AU51))</f>
        <v>1.1000000000000001</v>
      </c>
      <c r="CZ51" s="15">
        <f>MIN(IF($AU51=100%,1,1+VLOOKUP(($AJ51-$AI51-$AH51-$AG51-$AF51-$AE51*(1+CZ$3))/$AJ51,'Технический лист'!$M:$N,2,1)-VLOOKUP($AO51,'Технический лист'!$M:$N,2,1)),1+(1-$AU51))</f>
        <v>1.1000000000000001</v>
      </c>
      <c r="DA51" s="15">
        <f>MIN(IF($AU51=100%,1,1+VLOOKUP(($AJ51-$AI51-$AH51-$AG51-$AF51-$AE51*(1+DA$3))/$AJ51,'Технический лист'!$M:$N,2,1)-VLOOKUP($AO51,'Технический лист'!$M:$N,2,1)),1+(1-$AU51))</f>
        <v>1.1000000000000001</v>
      </c>
      <c r="DB51" s="15">
        <f>MIN(IF($AU51=100%,1,1+VLOOKUP(($AJ51-$AI51-$AH51-$AG51-$AF51-$AE51*(1+DB$3))/$AJ51,'Технический лист'!$M:$N,2,1)-VLOOKUP($AO51,'Технический лист'!$M:$N,2,1)),1+(1-$AU51))</f>
        <v>1.1000000000000001</v>
      </c>
      <c r="DC51" s="15">
        <f>MIN(IF($AU51=100%,1,1+VLOOKUP(($AJ51-$AI51-$AH51-$AG51-$AF51-$AE51*(1+DC$3))/$AJ51,'Технический лист'!$M:$N,2,1)-VLOOKUP($AO51,'Технический лист'!$M:$N,2,1)),1+(1-$AU51))</f>
        <v>1.1000000000000001</v>
      </c>
      <c r="DD51" s="15">
        <f>MIN(IF($AU51=100%,1,1+VLOOKUP(($AJ51-$AI51-$AH51-$AG51-$AF51-$AE51*(1+DD$3))/$AJ51,'Технический лист'!$M:$N,2,1)-VLOOKUP($AO51,'Технический лист'!$M:$N,2,1)),1+(1-$AU51))</f>
        <v>1.1000000000000001</v>
      </c>
      <c r="DE51" s="15">
        <f>MIN(IF($AU51=100%,1,1+VLOOKUP(($AJ51-$AI51-$AH51-$AG51-$AF51-$AE51*(1+DE$3))/$AJ51,'Технический лист'!$M:$N,2,1)-VLOOKUP($AO51,'Технический лист'!$M:$N,2,1)),1+(1-$AU51))</f>
        <v>1.1000000000000001</v>
      </c>
      <c r="DF51" s="15">
        <f>MIN(IF($AU51=100%,1,1+VLOOKUP(($AJ51-$AI51-$AH51-$AG51-$AF51-$AE51*(1+DF$3))/$AJ51,'Технический лист'!$M:$N,2,1)-VLOOKUP($AO51,'Технический лист'!$M:$N,2,1)),1+(1-$AU51))</f>
        <v>1.1000000000000001</v>
      </c>
      <c r="DG51" s="15">
        <f>MIN(IF($AU51=100%,1,1+VLOOKUP(($AJ51-$AI51-$AH51-$AG51-$AF51-$AE51*(1+DG$3))/$AJ51,'Технический лист'!$M:$N,2,1)-VLOOKUP($AO51,'Технический лист'!$M:$N,2,1)),1+(1-$AU51))</f>
        <v>1.1000000000000001</v>
      </c>
      <c r="DH51" s="15">
        <f>MIN(IF($AU51=100%,1,1+VLOOKUP(($AJ51-$AI51-$AH51-$AG51-$AF51-$AE51*(1+DH$3))/$AJ51,'Технический лист'!$M:$N,2,1)-VLOOKUP($AO51,'Технический лист'!$M:$N,2,1)),1+(1-$AU51))</f>
        <v>1.1000000000000001</v>
      </c>
      <c r="DI51" s="15">
        <f>MIN(IF($AU51=100%,1,1+VLOOKUP(($AJ51-$AI51-$AH51-$AG51-$AF51-$AE51*(1+DI$3))/$AJ51,'Технический лист'!$M:$N,2,1)-VLOOKUP($AO51,'Технический лист'!$M:$N,2,1)),1+(1-$AU51))</f>
        <v>1.1000000000000001</v>
      </c>
      <c r="DJ51" s="15">
        <f>MIN(IF($AU51=100%,1,1+VLOOKUP(($AJ51-$AI51-$AH51-$AG51-$AF51-$AE51*(1+DJ$3))/$AJ51,'Технический лист'!$M:$N,2,1)-VLOOKUP($AO51,'Технический лист'!$M:$N,2,1)),1+(1-$AU51))</f>
        <v>1.1000000000000001</v>
      </c>
      <c r="DK51" s="15">
        <f>MIN(IF($AU51=100%,1,1+VLOOKUP(($AJ51-$AI51-$AH51-$AG51-$AF51-$AE51*(1+DK$3))/$AJ51,'Технический лист'!$M:$N,2,1)-VLOOKUP($AO51,'Технический лист'!$M:$N,2,1)),1+(1-$AU51))</f>
        <v>1.0900000000000001</v>
      </c>
      <c r="DL51" s="15">
        <f>MIN(IF($AU51=100%,1,1+VLOOKUP(($AJ51-$AI51-$AH51-$AG51-$AF51-$AE51*(1+DL$3))/$AJ51,'Технический лист'!$M:$N,2,1)-VLOOKUP($AO51,'Технический лист'!$M:$N,2,1)),1+(1-$AU51))</f>
        <v>1.0900000000000001</v>
      </c>
      <c r="DM51" s="15">
        <f>MIN(IF($AU51=100%,1,1+VLOOKUP(($AJ51-$AI51-$AH51-$AG51-$AF51-$AE51*(1+DM$3))/$AJ51,'Технический лист'!$M:$N,2,1)-VLOOKUP($AO51,'Технический лист'!$M:$N,2,1)),1+(1-$AU51))</f>
        <v>1.0900000000000001</v>
      </c>
      <c r="DN51" s="15">
        <f>MIN(IF($AU51=100%,1,1+VLOOKUP(($AJ51-$AI51-$AH51-$AG51-$AF51-$AE51*(1+DN$3))/$AJ51,'Технический лист'!$M:$N,2,1)-VLOOKUP($AO51,'Технический лист'!$M:$N,2,1)),1+(1-$AU51))</f>
        <v>1.0900000000000001</v>
      </c>
      <c r="DO51" s="15">
        <f>MIN(IF($AU51=100%,1,1+VLOOKUP(($AJ51-$AI51-$AH51-$AG51-$AF51-$AE51*(1+DO$3))/$AJ51,'Технический лист'!$M:$N,2,1)-VLOOKUP($AO51,'Технический лист'!$M:$N,2,1)),1+(1-$AU51))</f>
        <v>1.0900000000000001</v>
      </c>
      <c r="DP51" s="15">
        <f>MIN(IF($AU51=100%,1,1+VLOOKUP(($AJ51-$AI51-$AH51-$AG51-$AF51-$AE51*(1+DP$3))/$AJ51,'Технический лист'!$M:$N,2,1)-VLOOKUP($AO51,'Технический лист'!$M:$N,2,1)),1+(1-$AU51))</f>
        <v>1.075</v>
      </c>
      <c r="DQ51" s="15">
        <f>MIN(IF($AU51=100%,1,1+VLOOKUP(($AJ51-$AI51-$AH51-$AG51-$AF51-$AE51*(1+DQ$3))/$AJ51,'Технический лист'!$M:$N,2,1)-VLOOKUP($AO51,'Технический лист'!$M:$N,2,1)),1+(1-$AU51))</f>
        <v>1.075</v>
      </c>
      <c r="DR51" s="15">
        <f>MIN(IF($AU51=100%,1,1+VLOOKUP(($AJ51-$AI51-$AH51-$AG51-$AF51-$AE51*(1+DR$3))/$AJ51,'Технический лист'!$M:$N,2,1)-VLOOKUP($AO51,'Технический лист'!$M:$N,2,1)),1+(1-$AU51))</f>
        <v>1.075</v>
      </c>
      <c r="DS51" s="15">
        <f>MIN(IF($AU51=100%,1,1+VLOOKUP(($AJ51-$AI51-$AH51-$AG51-$AF51-$AE51*(1+DS$3))/$AJ51,'Технический лист'!$M:$N,2,1)-VLOOKUP($AO51,'Технический лист'!$M:$N,2,1)),1+(1-$AU51))</f>
        <v>1.075</v>
      </c>
      <c r="DT51" s="15">
        <f>MIN(IF($AU51=100%,1,1+VLOOKUP(($AJ51-$AI51-$AH51-$AG51-$AF51-$AE51*(1+DT$3))/$AJ51,'Технический лист'!$M:$N,2,1)-VLOOKUP($AO51,'Технический лист'!$M:$N,2,1)),1+(1-$AU51))</f>
        <v>1.075</v>
      </c>
      <c r="DU51" s="15">
        <f>MIN(IF($AU51=100%,1,1+VLOOKUP(($AJ51-$AI51-$AH51-$AG51-$AF51-$AE51*(1+DU$3))/$AJ51,'Технический лист'!$M:$N,2,1)-VLOOKUP($AO51,'Технический лист'!$M:$N,2,1)),1+(1-$AU51))</f>
        <v>1.0599999999999998</v>
      </c>
      <c r="DV51" s="15">
        <f>MIN(IF($AU51=100%,1,1+VLOOKUP(($AJ51-$AI51-$AH51-$AG51-$AF51-$AE51*(1+DV$3))/$AJ51,'Технический лист'!$M:$N,2,1)-VLOOKUP($AO51,'Технический лист'!$M:$N,2,1)),1+(1-$AU51))</f>
        <v>1.0599999999999998</v>
      </c>
      <c r="DW51" s="15">
        <f>MIN(IF($AU51=100%,1,1+VLOOKUP(($AJ51-$AI51-$AH51-$AG51-$AF51-$AE51*(1+DW$3))/$AJ51,'Технический лист'!$M:$N,2,1)-VLOOKUP($AO51,'Технический лист'!$M:$N,2,1)),1+(1-$AU51))</f>
        <v>1.0599999999999998</v>
      </c>
      <c r="DX51" s="15">
        <f>MIN(IF($AU51=100%,1,1+VLOOKUP(($AJ51-$AI51-$AH51-$AG51-$AF51-$AE51*(1+DX$3))/$AJ51,'Технический лист'!$M:$N,2,1)-VLOOKUP($AO51,'Технический лист'!$M:$N,2,1)),1+(1-$AU51))</f>
        <v>1.0599999999999998</v>
      </c>
      <c r="DY51" s="15">
        <f>MIN(IF($AU51=100%,1,1+VLOOKUP(($AJ51-$AI51-$AH51-$AG51-$AF51-$AE51*(1+DY$3))/$AJ51,'Технический лист'!$M:$N,2,1)-VLOOKUP($AO51,'Технический лист'!$M:$N,2,1)),1+(1-$AU51))</f>
        <v>1.0450000000000002</v>
      </c>
      <c r="DZ51" s="15">
        <f>MIN(IF($AU51=100%,1,1+VLOOKUP(($AJ51-$AI51-$AH51-$AG51-$AF51-$AE51*(1+DZ$3))/$AJ51,'Технический лист'!$M:$N,2,1)-VLOOKUP($AO51,'Технический лист'!$M:$N,2,1)),1+(1-$AU51))</f>
        <v>1.0450000000000002</v>
      </c>
      <c r="EA51" s="15">
        <f>MIN(IF($AU51=100%,1,1+VLOOKUP(($AJ51-$AI51-$AH51-$AG51-$AF51-$AE51*(1+EA$3))/$AJ51,'Технический лист'!$M:$N,2,1)-VLOOKUP($AO51,'Технический лист'!$M:$N,2,1)),1+(1-$AU51))</f>
        <v>1.0450000000000002</v>
      </c>
      <c r="EB51" s="15">
        <f>MIN(IF($AU51=100%,1,1+VLOOKUP(($AJ51-$AI51-$AH51-$AG51-$AF51-$AE51*(1+EB$3))/$AJ51,'Технический лист'!$M:$N,2,1)-VLOOKUP($AO51,'Технический лист'!$M:$N,2,1)),1+(1-$AU51))</f>
        <v>1.0450000000000002</v>
      </c>
      <c r="EC51" s="15">
        <f>MIN(IF($AU51=100%,1,1+VLOOKUP(($AJ51-$AI51-$AH51-$AG51-$AF51-$AE51*(1+EC$3))/$AJ51,'Технический лист'!$M:$N,2,1)-VLOOKUP($AO51,'Технический лист'!$M:$N,2,1)),1+(1-$AU51))</f>
        <v>1.0450000000000002</v>
      </c>
      <c r="ED51" s="15">
        <f>MIN(IF($AU51=100%,1,1+VLOOKUP(($AJ51-$AI51-$AH51-$AG51-$AF51-$AE51*(1+ED$3))/$AJ51,'Технический лист'!$M:$N,2,1)-VLOOKUP($AO51,'Технический лист'!$M:$N,2,1)),1+(1-$AU51))</f>
        <v>1.03</v>
      </c>
      <c r="EE51" s="15">
        <f>MIN(IF($AU51=100%,1,1+VLOOKUP(($AJ51-$AI51-$AH51-$AG51-$AF51-$AE51*(1+EE$3))/$AJ51,'Технический лист'!$M:$N,2,1)-VLOOKUP($AO51,'Технический лист'!$M:$N,2,1)),1+(1-$AU51))</f>
        <v>1.03</v>
      </c>
      <c r="EF51" s="15">
        <f>MIN(IF($AU51=100%,1,1+VLOOKUP(($AJ51-$AI51-$AH51-$AG51-$AF51-$AE51*(1+EF$3))/$AJ51,'Технический лист'!$M:$N,2,1)-VLOOKUP($AO51,'Технический лист'!$M:$N,2,1)),1+(1-$AU51))</f>
        <v>1.03</v>
      </c>
      <c r="EG51" s="15">
        <f>MIN(IF($AU51=100%,1,1+VLOOKUP(($AJ51-$AI51-$AH51-$AG51-$AF51-$AE51*(1+EG$3))/$AJ51,'Технический лист'!$M:$N,2,1)-VLOOKUP($AO51,'Технический лист'!$M:$N,2,1)),1+(1-$AU51))</f>
        <v>1.03</v>
      </c>
      <c r="EH51" s="15">
        <f>MIN(IF($AU51=100%,1,1+VLOOKUP(($AJ51-$AI51-$AH51-$AG51-$AF51-$AE51*(1+EH$3))/$AJ51,'Технический лист'!$M:$N,2,1)-VLOOKUP($AO51,'Технический лист'!$M:$N,2,1)),1+(1-$AU51))</f>
        <v>1.03</v>
      </c>
      <c r="EI51" s="15">
        <f>MIN(IF($AU51=100%,1,1+VLOOKUP(($AJ51-$AI51-$AH51-$AG51-$AF51-$AE51*(1+EI$3))/$AJ51,'Технический лист'!$M:$N,2,1)-VLOOKUP($AO51,'Технический лист'!$M:$N,2,1)),1+(1-$AU51))</f>
        <v>1.0199999999999998</v>
      </c>
      <c r="EJ51" s="15">
        <f>MIN(IF($AU51=100%,1,1+VLOOKUP(($AJ51-$AI51-$AH51-$AG51-$AF51-$AE51*(1+EJ$3))/$AJ51,'Технический лист'!$M:$N,2,1)-VLOOKUP($AO51,'Технический лист'!$M:$N,2,1)),1+(1-$AU51))</f>
        <v>1.0199999999999998</v>
      </c>
      <c r="EK51" s="15">
        <f>MIN(IF($AU51=100%,1,1+VLOOKUP(($AJ51-$AI51-$AH51-$AG51-$AF51-$AE51*(1+EK$3))/$AJ51,'Технический лист'!$M:$N,2,1)-VLOOKUP($AO51,'Технический лист'!$M:$N,2,1)),1+(1-$AU51))</f>
        <v>1.0199999999999998</v>
      </c>
      <c r="EL51" s="15">
        <f>MIN(IF($AU51=100%,1,1+VLOOKUP(($AJ51-$AI51-$AH51-$AG51-$AF51-$AE51*(1+EL$3))/$AJ51,'Технический лист'!$M:$N,2,1)-VLOOKUP($AO51,'Технический лист'!$M:$N,2,1)),1+(1-$AU51))</f>
        <v>1.0199999999999998</v>
      </c>
      <c r="EM51" s="15">
        <f>MIN(IF($AU51=100%,1,1+VLOOKUP(($AJ51-$AI51-$AH51-$AG51-$AF51-$AE51*(1+EM$3))/$AJ51,'Технический лист'!$M:$N,2,1)-VLOOKUP($AO51,'Технический лист'!$M:$N,2,1)),1+(1-$AU51))</f>
        <v>1.0199999999999998</v>
      </c>
      <c r="EN51" s="15">
        <f>MIN(IF($AU51=100%,1,1+VLOOKUP(($AJ51-$AI51-$AH51-$AG51-$AF51-$AE51*(1+EN$3))/$AJ51,'Технический лист'!$M:$N,2,1)-VLOOKUP($AO51,'Технический лист'!$M:$N,2,1)),1+(1-$AU51))</f>
        <v>1.01</v>
      </c>
      <c r="EO51" s="15">
        <f>MIN(IF($AU51=100%,1,1+VLOOKUP(($AJ51-$AI51-$AH51-$AG51-$AF51-$AE51*(1+EO$3))/$AJ51,'Технический лист'!$M:$N,2,1)-VLOOKUP($AO51,'Технический лист'!$M:$N,2,1)),1+(1-$AU51))</f>
        <v>1.01</v>
      </c>
      <c r="EP51" s="15">
        <f>MIN(IF($AU51=100%,1,1+VLOOKUP(($AJ51-$AI51-$AH51-$AG51-$AF51-$AE51*(1+EP$3))/$AJ51,'Технический лист'!$M:$N,2,1)-VLOOKUP($AO51,'Технический лист'!$M:$N,2,1)),1+(1-$AU51))</f>
        <v>1.01</v>
      </c>
      <c r="EQ51" s="15">
        <f>MIN(IF($AU51=100%,1,1+VLOOKUP(($AJ51-$AI51-$AH51-$AG51-$AF51-$AE51*(1+EQ$3))/$AJ51,'Технический лист'!$M:$N,2,1)-VLOOKUP($AO51,'Технический лист'!$M:$N,2,1)),1+(1-$AU51))</f>
        <v>1.01</v>
      </c>
      <c r="ER51" s="15">
        <f>MIN(IF($AU51=100%,1,1+VLOOKUP(($AJ51-$AI51-$AH51-$AG51-$AF51-$AE51*(1+ER$3))/$AJ51,'Технический лист'!$M:$N,2,1)-VLOOKUP($AO51,'Технический лист'!$M:$N,2,1)),1+(1-$AU51))</f>
        <v>1.0000000000000002</v>
      </c>
      <c r="ES51" s="15">
        <f>MIN(IF($AU51=100%,1,1+VLOOKUP(($AJ51-$AI51-$AH51-$AG51-$AF51-$AE51*(1+ES$3))/$AJ51,'Технический лист'!$M:$N,2,1)-VLOOKUP($AO51,'Технический лист'!$M:$N,2,1)),1+(1-$AU51))</f>
        <v>1.0000000000000002</v>
      </c>
      <c r="ET51" s="15">
        <f>MIN(IF($AU51=100%,1,1+VLOOKUP(($AJ51-$AI51-$AH51-$AG51-$AF51-$AE51*(1+ET$3))/$AJ51,'Технический лист'!$M:$N,2,1)-VLOOKUP($AO51,'Технический лист'!$M:$N,2,1)),1+(1-$AU51))</f>
        <v>1.0000000000000002</v>
      </c>
      <c r="EU51" s="15">
        <f>MIN(IF($AU51=100%,1,1+VLOOKUP(($AJ51-$AI51-$AH51-$AG51-$AF51-$AE51*(1+EU$3))/$AJ51,'Технический лист'!$M:$N,2,1)-VLOOKUP($AO51,'Технический лист'!$M:$N,2,1)),1+(1-$AU51))</f>
        <v>1.0000000000000002</v>
      </c>
      <c r="EV51" s="111">
        <v>1</v>
      </c>
      <c r="EW51" s="15">
        <f>MIN(1,MAX(VLOOKUP(($AJ51-$AI51-$AH51-$AG51-$AF51-$AE51*(1+EW$3))/$AJ51,'Технический лист'!$M:$N,2,1),(EV51-0.05)))</f>
        <v>1</v>
      </c>
      <c r="EX51" s="15">
        <f>MIN(1,MAX(VLOOKUP(($AJ51-$AI51-$AH51-$AG51-$AF51-$AE51*(1+EX$3))/$AJ51,'Технический лист'!$M:$N,2,1),(EW51-0.05)))</f>
        <v>1</v>
      </c>
      <c r="EY51" s="15">
        <f>MIN(1,MAX(VLOOKUP(($AJ51-$AI51-$AH51-$AG51-$AF51-$AE51*(1+EY$3))/$AJ51,'Технический лист'!$M:$N,2,1),(EX51-0.05)))</f>
        <v>1</v>
      </c>
      <c r="EZ51" s="15">
        <f>MIN(1,MAX(VLOOKUP(($AJ51-$AI51-$AH51-$AG51-$AF51-$AE51*(1+EZ$3))/$AJ51,'Технический лист'!$M:$N,2,1),(EY51-0.05)))</f>
        <v>1</v>
      </c>
      <c r="FA51" s="15">
        <f>MIN(1,MAX(VLOOKUP(($AJ51-$AI51-$AH51-$AG51-$AF51-$AE51*(1+FA$3))/$AJ51,'Технический лист'!$M:$N,2,1),(EZ51-0.05)))</f>
        <v>1</v>
      </c>
      <c r="FB51" s="15">
        <f>MIN(1,MAX(VLOOKUP(($AJ51-$AI51-$AH51-$AG51-$AF51-$AE51*(1+FB$3))/$AJ51,'Технический лист'!$M:$N,2,1),(FA51-0.05)))</f>
        <v>1</v>
      </c>
      <c r="FC51" s="15">
        <f>MIN(1,MAX(VLOOKUP(($AJ51-$AI51-$AH51-$AG51-$AF51-$AE51*(1+FC$3))/$AJ51,'Технический лист'!$M:$N,2,1),(FB51-0.05)))</f>
        <v>1</v>
      </c>
      <c r="FD51" s="15">
        <f>MIN(1,MAX(VLOOKUP(($AJ51-$AI51-$AH51-$AG51-$AF51-$AE51*(1+FD$3))/$AJ51,'Технический лист'!$M:$N,2,1),(FC51-0.05)))</f>
        <v>1</v>
      </c>
      <c r="FE51" s="15">
        <f>MIN(1,MAX(VLOOKUP(($AJ51-$AI51-$AH51-$AG51-$AF51-$AE51*(1+FE$3))/$AJ51,'Технический лист'!$M:$N,2,1),(FD51-0.05)))</f>
        <v>1</v>
      </c>
      <c r="FF51" s="15">
        <f>MIN(1,MAX(VLOOKUP(($AJ51-$AI51-$AH51-$AG51-$AF51-$AE51*(1+FF$3))/$AJ51,'Технический лист'!$M:$N,2,1),(FE51-0.05)))</f>
        <v>1</v>
      </c>
      <c r="FG51" s="15">
        <f>MIN(1,MAX(VLOOKUP(($AJ51-$AI51-$AH51-$AG51-$AF51-$AE51*(1+FG$3))/$AJ51,'Технический лист'!$M:$N,2,1),(FF51-0.05)))</f>
        <v>1</v>
      </c>
      <c r="FH51" s="15">
        <f>MIN(1,MAX(VLOOKUP(($AJ51-$AI51-$AH51-$AG51-$AF51-$AE51*(1+FH$3))/$AJ51,'Технический лист'!$M:$N,2,1),(FG51-0.05)))</f>
        <v>1</v>
      </c>
      <c r="FI51" s="15">
        <f>MIN(1,MAX(VLOOKUP(($AJ51-$AI51-$AH51-$AG51-$AF51-$AE51*(1+FI$3))/$AJ51,'Технический лист'!$M:$N,2,1),(FH51-0.05)))</f>
        <v>1</v>
      </c>
      <c r="FJ51" s="15">
        <f>MIN(1,MAX(VLOOKUP(($AJ51-$AI51-$AH51-$AG51-$AF51-$AE51*(1+FJ$3))/$AJ51,'Технический лист'!$M:$N,2,1),(FI51-0.05)))</f>
        <v>1</v>
      </c>
      <c r="FK51" s="15">
        <f>MIN(1,MAX(VLOOKUP(($AJ51-$AI51-$AH51-$AG51-$AF51-$AE51*(1+FK$3))/$AJ51,'Технический лист'!$M:$N,2,1),(FJ51-0.05)))</f>
        <v>1</v>
      </c>
      <c r="FL51" s="15">
        <f>MIN(1,MAX(VLOOKUP(($AJ51-$AI51-$AH51-$AG51-$AF51-$AE51*(1+FL$3))/$AJ51,'Технический лист'!$M:$N,2,1),(FK51-0.05)))</f>
        <v>1</v>
      </c>
      <c r="FM51" s="15">
        <f>MIN(1,MAX(VLOOKUP(($AJ51-$AI51-$AH51-$AG51-$AF51-$AE51*(1+FM$3))/$AJ51,'Технический лист'!$M:$N,2,1),(FL51-0.05)))</f>
        <v>1</v>
      </c>
      <c r="FN51" s="15">
        <f>MIN(1,MAX(VLOOKUP(($AJ51-$AI51-$AH51-$AG51-$AF51-$AE51*(1+FN$3))/$AJ51,'Технический лист'!$M:$N,2,1),(FM51-0.05)))</f>
        <v>1</v>
      </c>
      <c r="FO51" s="15">
        <f>MIN(1,MAX(VLOOKUP(($AJ51-$AI51-$AH51-$AG51-$AF51-$AE51*(1+FO$3))/$AJ51,'Технический лист'!$M:$N,2,1),(FN51-0.05)))</f>
        <v>1</v>
      </c>
      <c r="FP51" s="15">
        <f>MIN(1,MAX(VLOOKUP(($AJ51-$AI51-$AH51-$AG51-$AF51-$AE51*(1+FP$3))/$AJ51,'Технический лист'!$M:$N,2,1),(FO51-0.05)))</f>
        <v>1</v>
      </c>
      <c r="FQ51" s="15">
        <f>MIN(1,MAX(VLOOKUP(($AJ51-$AI51-$AH51-$AG51-$AF51-$AE51*(1+FQ$3))/$AJ51,'Технический лист'!$M:$N,2,1),(FP51-0.05)))</f>
        <v>1</v>
      </c>
      <c r="FR51" s="15">
        <f>MIN(1,MAX(VLOOKUP(($AJ51-$AI51-$AH51-$AG51-$AF51-$AE51*(1+FR$3))/$AJ51,'Технический лист'!$M:$N,2,1),(FQ51-0.05)))</f>
        <v>1</v>
      </c>
      <c r="FS51" s="15">
        <f>MIN(1,MAX(VLOOKUP(($AJ51-$AI51-$AH51-$AG51-$AF51-$AE51*(1+FS$3))/$AJ51,'Технический лист'!$M:$N,2,1),(FR51-0.05)))</f>
        <v>1</v>
      </c>
      <c r="FT51" s="15">
        <f>MIN(1,MAX(VLOOKUP(($AJ51-$AI51-$AH51-$AG51-$AF51-$AE51*(1+FT$3))/$AJ51,'Технический лист'!$M:$N,2,1),(FS51-0.05)))</f>
        <v>1</v>
      </c>
      <c r="FU51" s="15">
        <f>MIN(1,MAX(VLOOKUP(($AJ51-$AI51-$AH51-$AG51-$AF51-$AE51*(1+FU$3))/$AJ51,'Технический лист'!$M:$N,2,1),(FT51-0.05)))</f>
        <v>1</v>
      </c>
      <c r="FV51" s="15">
        <f>MIN(1,MAX(VLOOKUP(($AJ51-$AI51-$AH51-$AG51-$AF51-$AE51*(1+FV$3))/$AJ51,'Технический лист'!$M:$N,2,1),(FU51-0.05)))</f>
        <v>1</v>
      </c>
      <c r="FW51" s="15">
        <f>MIN(1,MAX(VLOOKUP(($AJ51-$AI51-$AH51-$AG51-$AF51-$AE51*(1+FW$3))/$AJ51,'Технический лист'!$M:$N,2,1),(FV51-0.05)))</f>
        <v>1</v>
      </c>
      <c r="FX51" s="15">
        <f>MIN(1,MAX(VLOOKUP(($AJ51-$AI51-$AH51-$AG51-$AF51-$AE51*(1+FX$3))/$AJ51,'Технический лист'!$M:$N,2,1),(FW51-0.05)))</f>
        <v>1</v>
      </c>
      <c r="FY51" s="15">
        <f>MIN(1,MAX(VLOOKUP(($AJ51-$AI51-$AH51-$AG51-$AF51-$AE51*(1+FY$3))/$AJ51,'Технический лист'!$M:$N,2,1),(FX51-0.05)))</f>
        <v>1</v>
      </c>
      <c r="FZ51" s="15">
        <f>MIN(1,MAX(VLOOKUP(($AJ51-$AI51-$AH51-$AG51-$AF51-$AE51*(1+FZ$3))/$AJ51,'Технический лист'!$M:$N,2,1),(FY51-0.05)))</f>
        <v>1</v>
      </c>
      <c r="GA51" s="15">
        <f>MIN(1,MAX(VLOOKUP(($AJ51-$AI51-$AH51-$AG51-$AF51-$AE51*(1+GA$3))/$AJ51,'Технический лист'!$M:$N,2,1),(FZ51-0.05)))</f>
        <v>1</v>
      </c>
      <c r="GB51" s="15">
        <f>MIN(1,MAX(VLOOKUP(($AJ51-$AI51-$AH51-$AG51-$AF51-$AE51*(1+GB$3))/$AJ51,'Технический лист'!$M:$N,2,1),(GA51-0.05)))</f>
        <v>1</v>
      </c>
      <c r="GC51" s="15">
        <f>MIN(1,MAX(VLOOKUP(($AJ51-$AI51-$AH51-$AG51-$AF51-$AE51*(1+GC$3))/$AJ51,'Технический лист'!$M:$N,2,1),(GB51-0.05)))</f>
        <v>1</v>
      </c>
      <c r="GD51" s="15">
        <f>MIN(1,MAX(VLOOKUP(($AJ51-$AI51-$AH51-$AG51-$AF51-$AE51*(1+GD$3))/$AJ51,'Технический лист'!$M:$N,2,1),(GC51-0.05)))</f>
        <v>1</v>
      </c>
      <c r="GE51" s="15">
        <f>MIN(1,MAX(VLOOKUP(($AJ51-$AI51-$AH51-$AG51-$AF51-$AE51*(1+GE$3))/$AJ51,'Технический лист'!$M:$N,2,1),(GD51-0.05)))</f>
        <v>1</v>
      </c>
      <c r="GF51" s="15">
        <f>MIN(1,MAX(VLOOKUP(($AJ51-$AI51-$AH51-$AG51-$AF51-$AE51*(1+GF$3))/$AJ51,'Технический лист'!$M:$N,2,1),(GE51-0.05)))</f>
        <v>1</v>
      </c>
      <c r="GG51" s="15">
        <f>MIN(1,MAX(VLOOKUP(($AJ51-$AI51-$AH51-$AG51-$AF51-$AE51*(1+GG$3))/$AJ51,'Технический лист'!$M:$N,2,1),(GF51-0.05)))</f>
        <v>1</v>
      </c>
      <c r="GH51" s="15">
        <f>MIN(1,MAX(VLOOKUP(($AJ51-$AI51-$AH51-$AG51-$AF51-$AE51*(1+GH$3))/$AJ51,'Технический лист'!$M:$N,2,1),(GG51-0.05)))</f>
        <v>1</v>
      </c>
      <c r="GI51" s="15">
        <f>MIN(1,MAX(VLOOKUP(($AJ51-$AI51-$AH51-$AG51-$AF51-$AE51*(1+GI$3))/$AJ51,'Технический лист'!$M:$N,2,1),(GH51-0.05)))</f>
        <v>1</v>
      </c>
      <c r="GJ51" s="15">
        <f>MIN(1,MAX(VLOOKUP(($AJ51-$AI51-$AH51-$AG51-$AF51-$AE51*(1+GJ$3))/$AJ51,'Технический лист'!$M:$N,2,1),(GI51-0.05)))</f>
        <v>1</v>
      </c>
      <c r="GK51" s="15">
        <f>MIN(1,MAX(VLOOKUP(($AJ51-$AI51-$AH51-$AG51-$AF51-$AE51*(1+GK$3))/$AJ51,'Технический лист'!$M:$N,2,1),(GJ51-0.05)))</f>
        <v>1</v>
      </c>
      <c r="GL51" s="15">
        <f>MIN(1,MAX(VLOOKUP(($AJ51-$AI51-$AH51-$AG51-$AF51-$AE51*(1+GL$3))/$AJ51,'Технический лист'!$M:$N,2,1),(GK51-0.05)))</f>
        <v>1</v>
      </c>
      <c r="GM51" s="15">
        <f>MIN(1,MAX(VLOOKUP(($AJ51-$AI51-$AH51-$AG51-$AF51-$AE51*(1+GM$3))/$AJ51,'Технический лист'!$M:$N,2,1),(GL51-0.05)))</f>
        <v>1</v>
      </c>
      <c r="GN51" s="15">
        <f>MIN(1,MAX(VLOOKUP(($AJ51-$AI51-$AH51-$AG51-$AF51-$AE51*(1+GN$3))/$AJ51,'Технический лист'!$M:$N,2,1),(GM51-0.05)))</f>
        <v>1</v>
      </c>
      <c r="GO51" s="15">
        <f>MIN(1,MAX(VLOOKUP(($AJ51-$AI51-$AH51-$AG51-$AF51-$AE51*(1+GO$3))/$AJ51,'Технический лист'!$M:$N,2,1),(GN51-0.05)))</f>
        <v>1</v>
      </c>
      <c r="GP51" s="15">
        <f>MIN(1,MAX(VLOOKUP(($AJ51-$AI51-$AH51-$AG51-$AF51-$AE51*(1+GP$3))/$AJ51,'Технический лист'!$M:$N,2,1),(GO51-0.05)))</f>
        <v>1</v>
      </c>
      <c r="GQ51" s="15">
        <f>MIN(1,MAX(VLOOKUP(($AJ51-$AI51-$AH51-$AG51-$AF51-$AE51*(1+GQ$3))/$AJ51,'Технический лист'!$M:$N,2,1),(GP51-0.05)))</f>
        <v>1</v>
      </c>
      <c r="GR51" s="15">
        <f>MIN(1,MAX(VLOOKUP(($AJ51-$AI51-$AH51-$AG51-$AF51-$AE51*(1+GR$3))/$AJ51,'Технический лист'!$M:$N,2,1),(GQ51-0.05)))</f>
        <v>1</v>
      </c>
      <c r="GS51" s="15">
        <f>MIN(1,MAX(VLOOKUP(($AJ51-$AI51-$AH51-$AG51-$AF51-$AE51*(1+GS$3))/$AJ51,'Технический лист'!$M:$N,2,1),(GR51-0.05)))</f>
        <v>1</v>
      </c>
      <c r="GT51" s="15">
        <f>MIN(1,MAX(VLOOKUP(($AJ51-$AI51-$AH51-$AG51-$AF51-$AE51*(1+GT$3))/$AJ51,'Технический лист'!$M:$N,2,1),(GS51-0.05)))</f>
        <v>1</v>
      </c>
      <c r="GU51" s="15">
        <f>MIN(1,MAX(VLOOKUP(($AJ51-$AI51-$AH51-$AG51-$AF51-$AE51*(1+GU$3))/$AJ51,'Технический лист'!$M:$N,2,1),(GT51-0.05)))</f>
        <v>1</v>
      </c>
      <c r="GV51" s="15">
        <f>MIN(1,MAX(VLOOKUP(($AJ51-$AI51-$AH51-$AG51-$AF51-$AE51*(1+GV$3))/$AJ51,'Технический лист'!$M:$N,2,1),(GU51-0.05)))</f>
        <v>1</v>
      </c>
      <c r="GW51" s="15">
        <f>MIN(1,MAX(VLOOKUP(($AJ51-$AI51-$AH51-$AG51-$AF51-$AE51*(1+GW$3))/$AJ51,'Технический лист'!$M:$N,2,1),(GV51-0.05)))</f>
        <v>1</v>
      </c>
      <c r="GX51" s="15">
        <f>MIN(1,MAX(VLOOKUP(($AJ51-$AI51-$AH51-$AG51-$AF51-$AE51*(1+GX$3))/$AJ51,'Технический лист'!$M:$N,2,1),(GW51-0.05)))</f>
        <v>1</v>
      </c>
      <c r="GY51" s="15">
        <f>MIN(1,MAX(VLOOKUP(($AJ51-$AI51-$AH51-$AG51-$AF51-$AE51*(1+GY$3))/$AJ51,'Технический лист'!$M:$N,2,1),(GX51-0.05)))</f>
        <v>1</v>
      </c>
      <c r="GZ51" s="15">
        <f>MIN(1,MAX(VLOOKUP(($AJ51-$AI51-$AH51-$AG51-$AF51-$AE51*(1+GZ$3))/$AJ51,'Технический лист'!$M:$N,2,1),(GY51-0.05)))</f>
        <v>1</v>
      </c>
      <c r="HA51" s="15">
        <f>MIN(1,MAX(VLOOKUP(($AJ51-$AI51-$AH51-$AG51-$AF51-$AE51*(1+HA$3))/$AJ51,'Технический лист'!$M:$N,2,1),(GZ51-0.05)))</f>
        <v>1</v>
      </c>
      <c r="HB51" s="15">
        <f>MIN(1,MAX(VLOOKUP(($AJ51-$AI51-$AH51-$AG51-$AF51-$AE51*(1+HB$3))/$AJ51,'Технический лист'!$M:$N,2,1),(HA51-0.05)))</f>
        <v>1</v>
      </c>
      <c r="HC51" s="15">
        <f>MIN(1,MAX(VLOOKUP(($AJ51-$AI51-$AH51-$AG51-$AF51-$AE51*(1+HC$3))/$AJ51,'Технический лист'!$M:$N,2,1),(HB51-0.05)))</f>
        <v>1</v>
      </c>
      <c r="HD51" s="15">
        <f>MIN(1,MAX(VLOOKUP(($AJ51-$AI51-$AH51-$AG51-$AF51-$AE51*(1+HD$3))/$AJ51,'Технический лист'!$M:$N,2,1),(HC51-0.05)))</f>
        <v>1</v>
      </c>
      <c r="HE51" s="15">
        <f>MIN(1,MAX(VLOOKUP(($AJ51-$AI51-$AH51-$AG51-$AF51-$AE51*(1+HE$3))/$AJ51,'Технический лист'!$M:$N,2,1),(HD51-0.05)))</f>
        <v>1</v>
      </c>
      <c r="HF51" s="15">
        <f>MIN(1,MAX(VLOOKUP(($AJ51-$AI51-$AH51-$AG51-$AF51-$AE51*(1+HF$3))/$AJ51,'Технический лист'!$M:$N,2,1),(HE51-0.05)))</f>
        <v>1</v>
      </c>
      <c r="HG51" s="15">
        <f>MIN(1,MAX(VLOOKUP(($AJ51-$AI51-$AH51-$AG51-$AF51-$AE51*(1+HG$3))/$AJ51,'Технический лист'!$M:$N,2,1),(HF51-0.05)))</f>
        <v>1</v>
      </c>
      <c r="HH51" s="15">
        <f>MIN(1,MAX(VLOOKUP(($AJ51-$AI51-$AH51-$AG51-$AF51-$AE51*(1+HH$3))/$AJ51,'Технический лист'!$M:$N,2,1),(HG51-0.05)))</f>
        <v>1</v>
      </c>
      <c r="HI51" s="15">
        <f>MIN(1,MAX(VLOOKUP(($AJ51-$AI51-$AH51-$AG51-$AF51-$AE51*(1+HI$3))/$AJ51,'Технический лист'!$M:$N,2,1),(HH51-0.05)))</f>
        <v>1</v>
      </c>
      <c r="HJ51" s="15">
        <f>MIN(1,MAX(VLOOKUP(($AJ51-$AI51-$AH51-$AG51-$AF51-$AE51*(1+HJ$3))/$AJ51,'Технический лист'!$M:$N,2,1),(HI51-0.05)))</f>
        <v>1</v>
      </c>
      <c r="HK51" s="15">
        <f>MIN(1,MAX(VLOOKUP(($AJ51-$AI51-$AH51-$AG51-$AF51-$AE51*(1+HK$3))/$AJ51,'Технический лист'!$M:$N,2,1),(HJ51-0.05)))</f>
        <v>1</v>
      </c>
      <c r="HL51" s="15">
        <f>MIN(1,MAX(VLOOKUP(($AJ51-$AI51-$AH51-$AG51-$AF51-$AE51*(1+HL$3))/$AJ51,'Технический лист'!$M:$N,2,1),(HK51-0.05)))</f>
        <v>1</v>
      </c>
      <c r="HM51" s="15">
        <f>MIN(1,MAX(VLOOKUP(($AJ51-$AI51-$AH51-$AG51-$AF51-$AE51*(1+HM$3))/$AJ51,'Технический лист'!$M:$N,2,1),(HL51-0.05)))</f>
        <v>1</v>
      </c>
      <c r="HN51" s="15">
        <f>MIN(1,MAX(VLOOKUP(($AJ51-$AI51-$AH51-$AG51-$AF51-$AE51*(1+HN$3))/$AJ51,'Технический лист'!$M:$N,2,1),(HM51-0.05)))</f>
        <v>1</v>
      </c>
      <c r="HO51" s="15">
        <f>MIN(1,MAX(VLOOKUP(($AJ51-$AI51-$AH51-$AG51-$AF51-$AE51*(1+HO$3))/$AJ51,'Технический лист'!$M:$N,2,1),(HN51-0.05)))</f>
        <v>1</v>
      </c>
      <c r="HP51" s="15">
        <f>MIN(1,MAX(VLOOKUP(($AJ51-$AI51-$AH51-$AG51-$AF51-$AE51*(1+HP$3))/$AJ51,'Технический лист'!$M:$N,2,1),(HO51-0.05)))</f>
        <v>1</v>
      </c>
      <c r="HQ51" s="15">
        <f>MIN(1,MAX(VLOOKUP(($AJ51-$AI51-$AH51-$AG51-$AF51-$AE51*(1+HQ$3))/$AJ51,'Технический лист'!$M:$N,2,1),(HP51-0.05)))</f>
        <v>0.995</v>
      </c>
      <c r="HR51" s="15">
        <f>MIN(1,MAX(VLOOKUP(($AJ51-$AI51-$AH51-$AG51-$AF51-$AE51*(1+HR$3))/$AJ51,'Технический лист'!$M:$N,2,1),(HQ51-0.05)))</f>
        <v>0.995</v>
      </c>
      <c r="HS51" s="15">
        <f>MIN(1,MAX(VLOOKUP(($AJ51-$AI51-$AH51-$AG51-$AF51-$AE51*(1+HS$3))/$AJ51,'Технический лист'!$M:$N,2,1),(HR51-0.05)))</f>
        <v>0.995</v>
      </c>
      <c r="HT51" s="15">
        <f>MIN(1,MAX(VLOOKUP(($AJ51-$AI51-$AH51-$AG51-$AF51-$AE51*(1+HT$3))/$AJ51,'Технический лист'!$M:$N,2,1),(HS51-0.05)))</f>
        <v>0.995</v>
      </c>
      <c r="HU51" s="15">
        <f>MIN(1,MAX(VLOOKUP(($AJ51-$AI51-$AH51-$AG51-$AF51-$AE51*(1+HU$3))/$AJ51,'Технический лист'!$M:$N,2,1),(HT51-0.05)))</f>
        <v>0.995</v>
      </c>
      <c r="HV51" s="15">
        <f>MIN(1,MAX(VLOOKUP(($AJ51-$AI51-$AH51-$AG51-$AF51-$AE51*(1+HV$3))/$AJ51,'Технический лист'!$M:$N,2,1),(HU51-0.05)))</f>
        <v>0.99</v>
      </c>
      <c r="HW51" s="15">
        <f>MIN(1,MAX(VLOOKUP(($AJ51-$AI51-$AH51-$AG51-$AF51-$AE51*(1+HW$3))/$AJ51,'Технический лист'!$M:$N,2,1),(HV51-0.05)))</f>
        <v>0.99</v>
      </c>
      <c r="HX51" s="15">
        <f>MIN(1,MAX(VLOOKUP(($AJ51-$AI51-$AH51-$AG51-$AF51-$AE51*(1+HX$3))/$AJ51,'Технический лист'!$M:$N,2,1),(HW51-0.05)))</f>
        <v>0.99</v>
      </c>
      <c r="HY51" s="15">
        <f>MIN(1,MAX(VLOOKUP(($AJ51-$AI51-$AH51-$AG51-$AF51-$AE51*(1+HY$3))/$AJ51,'Технический лист'!$M:$N,2,1),(HX51-0.05)))</f>
        <v>0.99</v>
      </c>
      <c r="HZ51" s="15">
        <f>MIN(1,MAX(VLOOKUP(($AJ51-$AI51-$AH51-$AG51-$AF51-$AE51*(1+HZ$3))/$AJ51,'Технический лист'!$M:$N,2,1),(HY51-0.05)))</f>
        <v>0.98499999999999999</v>
      </c>
      <c r="IA51" s="15">
        <f>MIN(1,MAX(VLOOKUP(($AJ51-$AI51-$AH51-$AG51-$AF51-$AE51*(1+IA$3))/$AJ51,'Технический лист'!$M:$N,2,1),(HZ51-0.05)))</f>
        <v>0.98499999999999999</v>
      </c>
      <c r="IB51" s="15">
        <f>MIN(1,MAX(VLOOKUP(($AJ51-$AI51-$AH51-$AG51-$AF51-$AE51*(1+IB$3))/$AJ51,'Технический лист'!$M:$N,2,1),(IA51-0.05)))</f>
        <v>0.98499999999999999</v>
      </c>
      <c r="IC51" s="15">
        <f>MIN(1,MAX(VLOOKUP(($AJ51-$AI51-$AH51-$AG51-$AF51-$AE51*(1+IC$3))/$AJ51,'Технический лист'!$M:$N,2,1),(IB51-0.05)))</f>
        <v>0.98499999999999999</v>
      </c>
      <c r="ID51" s="15">
        <f>MIN(1,MAX(VLOOKUP(($AJ51-$AI51-$AH51-$AG51-$AF51-$AE51*(1+ID$3))/$AJ51,'Технический лист'!$M:$N,2,1),(IC51-0.05)))</f>
        <v>0.98499999999999999</v>
      </c>
      <c r="IE51" s="15">
        <f>MIN(1,MAX(VLOOKUP(($AJ51-$AI51-$AH51-$AG51-$AF51-$AE51*(1+IE$3))/$AJ51,'Технический лист'!$M:$N,2,1),(ID51-0.05)))</f>
        <v>0.98</v>
      </c>
      <c r="IF51" s="15">
        <f>MIN(1,MAX(VLOOKUP(($AJ51-$AI51-$AH51-$AG51-$AF51-$AE51*(1+IF$3))/$AJ51,'Технический лист'!$M:$N,2,1),(IE51-0.05)))</f>
        <v>0.98</v>
      </c>
      <c r="IG51" s="15">
        <f>MIN(1,MAX(VLOOKUP(($AJ51-$AI51-$AH51-$AG51-$AF51-$AE51*(1+IG$3))/$AJ51,'Технический лист'!$M:$N,2,1),(IF51-0.05)))</f>
        <v>0.98</v>
      </c>
      <c r="IH51" s="15">
        <f>MIN(1,MAX(VLOOKUP(($AJ51-$AI51-$AH51-$AG51-$AF51-$AE51*(1+IH$3))/$AJ51,'Технический лист'!$M:$N,2,1),(IG51-0.05)))</f>
        <v>0.98</v>
      </c>
      <c r="II51" s="15">
        <f>MIN(1,MAX(VLOOKUP(($AJ51-$AI51-$AH51-$AG51-$AF51-$AE51*(1+II$3))/$AJ51,'Технический лист'!$M:$N,2,1),(IH51-0.05)))</f>
        <v>0.98</v>
      </c>
      <c r="IJ51" s="15">
        <f>MIN(1,MAX(VLOOKUP(($AJ51-$AI51-$AH51-$AG51-$AF51-$AE51*(1+IJ$3))/$AJ51,'Технический лист'!$M:$N,2,1),(II51-0.05)))</f>
        <v>0.97499999999999998</v>
      </c>
      <c r="IK51" s="15">
        <f>MIN(1,MAX(VLOOKUP(($AJ51-$AI51-$AH51-$AG51-$AF51-$AE51*(1+IK$3))/$AJ51,'Технический лист'!$M:$N,2,1),(IJ51-0.05)))</f>
        <v>0.97499999999999998</v>
      </c>
      <c r="IL51" s="15">
        <f>MIN(1,MAX(VLOOKUP(($AJ51-$AI51-$AH51-$AG51-$AF51-$AE51*(1+IL$3))/$AJ51,'Технический лист'!$M:$N,2,1),(IK51-0.05)))</f>
        <v>0.97499999999999998</v>
      </c>
      <c r="IM51" s="15">
        <f>MIN(1,MAX(VLOOKUP(($AJ51-$AI51-$AH51-$AG51-$AF51-$AE51*(1+IM$3))/$AJ51,'Технический лист'!$M:$N,2,1),(IL51-0.05)))</f>
        <v>0.97499999999999998</v>
      </c>
      <c r="IN51" s="15">
        <f>MIN(1,MAX(VLOOKUP(($AJ51-$AI51-$AH51-$AG51-$AF51-$AE51*(1+IN$3))/$AJ51,'Технический лист'!$M:$N,2,1),(IM51-0.05)))</f>
        <v>0.97499999999999998</v>
      </c>
      <c r="IO51" s="15">
        <f>MIN(1,MAX(VLOOKUP(($AJ51-$AI51-$AH51-$AG51-$AF51-$AE51*(1+IO$3))/$AJ51,'Технический лист'!$M:$N,2,1),(IN51-0.05)))</f>
        <v>0.97</v>
      </c>
      <c r="IP51" s="15">
        <f>MIN(1,MAX(VLOOKUP(($AJ51-$AI51-$AH51-$AG51-$AF51-$AE51*(1+IP$3))/$AJ51,'Технический лист'!$M:$N,2,1),(IO51-0.05)))</f>
        <v>0.97</v>
      </c>
      <c r="IQ51" s="15">
        <f>MIN(1,MAX(VLOOKUP(($AJ51-$AI51-$AH51-$AG51-$AF51-$AE51*(1+IQ$3))/$AJ51,'Технический лист'!$M:$N,2,1),(IP51-0.05)))</f>
        <v>0.97</v>
      </c>
      <c r="IR51" s="15">
        <f>MIN(1,MAX(VLOOKUP(($AJ51-$AI51-$AH51-$AG51-$AF51-$AE51*(1+IR$3))/$AJ51,'Технический лист'!$M:$N,2,1),(IQ51-0.05)))</f>
        <v>0.97</v>
      </c>
    </row>
    <row r="52" spans="1:252">
      <c r="A52" s="89" t="s">
        <v>514</v>
      </c>
      <c r="B52" s="90">
        <v>4</v>
      </c>
      <c r="C52" s="5" t="s">
        <v>67</v>
      </c>
      <c r="D52" s="91">
        <v>14111</v>
      </c>
      <c r="E52" s="91" t="s">
        <v>336</v>
      </c>
      <c r="F52" s="92" t="s">
        <v>74</v>
      </c>
      <c r="G52" s="91" t="s">
        <v>26</v>
      </c>
      <c r="H52" s="91" t="s">
        <v>26</v>
      </c>
      <c r="I52" s="91" t="s">
        <v>146</v>
      </c>
      <c r="J52" s="91" t="s">
        <v>84</v>
      </c>
      <c r="K52" s="91">
        <v>257</v>
      </c>
      <c r="L52" s="85" t="s">
        <v>64</v>
      </c>
      <c r="M52" s="91" t="s">
        <v>190</v>
      </c>
      <c r="N52" s="91" t="s">
        <v>191</v>
      </c>
      <c r="O52" s="91" t="s">
        <v>193</v>
      </c>
      <c r="P52" s="89" t="s">
        <v>233</v>
      </c>
      <c r="Q52" s="91" t="s">
        <v>283</v>
      </c>
      <c r="R52" s="91" t="s">
        <v>267</v>
      </c>
      <c r="S52" s="82">
        <v>423415</v>
      </c>
      <c r="T52" s="82">
        <v>108819046</v>
      </c>
      <c r="U52" s="81">
        <v>6072</v>
      </c>
      <c r="V52" s="81">
        <v>0</v>
      </c>
      <c r="W52" s="82">
        <v>136468943</v>
      </c>
      <c r="X52" s="112">
        <v>69</v>
      </c>
      <c r="Y52" s="112" t="s">
        <v>418</v>
      </c>
      <c r="Z52" s="113">
        <v>3</v>
      </c>
      <c r="AA52" s="113">
        <v>3</v>
      </c>
      <c r="AB52" s="113">
        <v>4</v>
      </c>
      <c r="AC52" s="99">
        <v>358.01</v>
      </c>
      <c r="AD52" s="99">
        <f t="shared" si="15"/>
        <v>109.05000000000001</v>
      </c>
      <c r="AE52" s="99">
        <v>467.06</v>
      </c>
      <c r="AF52" s="98">
        <f>(Z52+AA52+AB52)*'Ставки аренды'!$B$3/X52</f>
        <v>101.44927536231884</v>
      </c>
      <c r="AG52" s="114">
        <v>0</v>
      </c>
      <c r="AH52" s="94">
        <v>0</v>
      </c>
      <c r="AI52" s="115">
        <f>240828/411356*AVERAGE(AJ48,AJ49)</f>
        <v>4057.0060947962343</v>
      </c>
      <c r="AJ52" s="117">
        <f>Цены!$D$12</f>
        <v>6000</v>
      </c>
      <c r="AK52" s="94">
        <f>AJ52/Цены!$B$1</f>
        <v>78.631291322381742</v>
      </c>
      <c r="AL52" s="95">
        <f t="shared" si="5"/>
        <v>568.50927536231882</v>
      </c>
      <c r="AM52" s="95">
        <f t="shared" si="6"/>
        <v>5431.4907246376815</v>
      </c>
      <c r="AN52" s="94">
        <f t="shared" si="16"/>
        <v>4625.5153701585532</v>
      </c>
      <c r="AO52" s="118">
        <f t="shared" si="17"/>
        <v>0.22908077164024113</v>
      </c>
      <c r="AP52" s="96">
        <f t="shared" si="7"/>
        <v>9.4751545893719799E-2</v>
      </c>
      <c r="AQ52" s="96">
        <f t="shared" si="8"/>
        <v>7.7843333333333334E-2</v>
      </c>
      <c r="AR52" s="96">
        <f t="shared" si="9"/>
        <v>0.82155211927252414</v>
      </c>
      <c r="AS52" s="122">
        <v>1</v>
      </c>
      <c r="AT52" s="121">
        <f t="shared" si="10"/>
        <v>423415</v>
      </c>
      <c r="AU52" s="83">
        <v>0.9</v>
      </c>
      <c r="AV52" s="119">
        <f t="shared" si="11"/>
        <v>0.21973957164024113</v>
      </c>
      <c r="AW52" s="120">
        <f t="shared" si="12"/>
        <v>0.10409274589371982</v>
      </c>
      <c r="AX52" s="120">
        <f t="shared" si="13"/>
        <v>8.7184533333333342E-2</v>
      </c>
      <c r="AY52" s="120">
        <f t="shared" si="14"/>
        <v>0.8375658897724727</v>
      </c>
      <c r="AZ52" s="15">
        <f>MIN(IF($AU52=100%,1,1+VLOOKUP(($AJ52-$AI52-$AH52-$AG52-$AF52-$AE52*(1+AZ$3))/$AJ52,'Технический лист'!$M:$N,2,1)-VLOOKUP($AO52,'Технический лист'!$M:$N,2,1)),1+(1-$AU52))</f>
        <v>1.1000000000000001</v>
      </c>
      <c r="BA52" s="15">
        <f>MIN(IF($AU52=100%,1,1+VLOOKUP(($AJ52-$AI52-$AH52-$AG52-$AF52-$AE52*(1+BA$3))/$AJ52,'Технический лист'!$M:$N,2,1)-VLOOKUP($AO52,'Технический лист'!$M:$N,2,1)),1+(1-$AU52))</f>
        <v>1.1000000000000001</v>
      </c>
      <c r="BB52" s="15">
        <f>MIN(IF($AU52=100%,1,1+VLOOKUP(($AJ52-$AI52-$AH52-$AG52-$AF52-$AE52*(1+BB$3))/$AJ52,'Технический лист'!$M:$N,2,1)-VLOOKUP($AO52,'Технический лист'!$M:$N,2,1)),1+(1-$AU52))</f>
        <v>1.1000000000000001</v>
      </c>
      <c r="BC52" s="15">
        <f>MIN(IF($AU52=100%,1,1+VLOOKUP(($AJ52-$AI52-$AH52-$AG52-$AF52-$AE52*(1+BC$3))/$AJ52,'Технический лист'!$M:$N,2,1)-VLOOKUP($AO52,'Технический лист'!$M:$N,2,1)),1+(1-$AU52))</f>
        <v>1.1000000000000001</v>
      </c>
      <c r="BD52" s="15">
        <f>MIN(IF($AU52=100%,1,1+VLOOKUP(($AJ52-$AI52-$AH52-$AG52-$AF52-$AE52*(1+BD$3))/$AJ52,'Технический лист'!$M:$N,2,1)-VLOOKUP($AO52,'Технический лист'!$M:$N,2,1)),1+(1-$AU52))</f>
        <v>1.1000000000000001</v>
      </c>
      <c r="BE52" s="15">
        <f>MIN(IF($AU52=100%,1,1+VLOOKUP(($AJ52-$AI52-$AH52-$AG52-$AF52-$AE52*(1+BE$3))/$AJ52,'Технический лист'!$M:$N,2,1)-VLOOKUP($AO52,'Технический лист'!$M:$N,2,1)),1+(1-$AU52))</f>
        <v>1.1000000000000001</v>
      </c>
      <c r="BF52" s="15">
        <f>MIN(IF($AU52=100%,1,1+VLOOKUP(($AJ52-$AI52-$AH52-$AG52-$AF52-$AE52*(1+BF$3))/$AJ52,'Технический лист'!$M:$N,2,1)-VLOOKUP($AO52,'Технический лист'!$M:$N,2,1)),1+(1-$AU52))</f>
        <v>1.1000000000000001</v>
      </c>
      <c r="BG52" s="15">
        <f>MIN(IF($AU52=100%,1,1+VLOOKUP(($AJ52-$AI52-$AH52-$AG52-$AF52-$AE52*(1+BG$3))/$AJ52,'Технический лист'!$M:$N,2,1)-VLOOKUP($AO52,'Технический лист'!$M:$N,2,1)),1+(1-$AU52))</f>
        <v>1.1000000000000001</v>
      </c>
      <c r="BH52" s="15">
        <f>MIN(IF($AU52=100%,1,1+VLOOKUP(($AJ52-$AI52-$AH52-$AG52-$AF52-$AE52*(1+BH$3))/$AJ52,'Технический лист'!$M:$N,2,1)-VLOOKUP($AO52,'Технический лист'!$M:$N,2,1)),1+(1-$AU52))</f>
        <v>1.1000000000000001</v>
      </c>
      <c r="BI52" s="15">
        <f>MIN(IF($AU52=100%,1,1+VLOOKUP(($AJ52-$AI52-$AH52-$AG52-$AF52-$AE52*(1+BI$3))/$AJ52,'Технический лист'!$M:$N,2,1)-VLOOKUP($AO52,'Технический лист'!$M:$N,2,1)),1+(1-$AU52))</f>
        <v>1.1000000000000001</v>
      </c>
      <c r="BJ52" s="15">
        <f>MIN(IF($AU52=100%,1,1+VLOOKUP(($AJ52-$AI52-$AH52-$AG52-$AF52-$AE52*(1+BJ$3))/$AJ52,'Технический лист'!$M:$N,2,1)-VLOOKUP($AO52,'Технический лист'!$M:$N,2,1)),1+(1-$AU52))</f>
        <v>1.1000000000000001</v>
      </c>
      <c r="BK52" s="15">
        <f>MIN(IF($AU52=100%,1,1+VLOOKUP(($AJ52-$AI52-$AH52-$AG52-$AF52-$AE52*(1+BK$3))/$AJ52,'Технический лист'!$M:$N,2,1)-VLOOKUP($AO52,'Технический лист'!$M:$N,2,1)),1+(1-$AU52))</f>
        <v>1.1000000000000001</v>
      </c>
      <c r="BL52" s="15">
        <f>MIN(IF($AU52=100%,1,1+VLOOKUP(($AJ52-$AI52-$AH52-$AG52-$AF52-$AE52*(1+BL$3))/$AJ52,'Технический лист'!$M:$N,2,1)-VLOOKUP($AO52,'Технический лист'!$M:$N,2,1)),1+(1-$AU52))</f>
        <v>1.1000000000000001</v>
      </c>
      <c r="BM52" s="15">
        <f>MIN(IF($AU52=100%,1,1+VLOOKUP(($AJ52-$AI52-$AH52-$AG52-$AF52-$AE52*(1+BM$3))/$AJ52,'Технический лист'!$M:$N,2,1)-VLOOKUP($AO52,'Технический лист'!$M:$N,2,1)),1+(1-$AU52))</f>
        <v>1.1000000000000001</v>
      </c>
      <c r="BN52" s="15">
        <f>MIN(IF($AU52=100%,1,1+VLOOKUP(($AJ52-$AI52-$AH52-$AG52-$AF52-$AE52*(1+BN$3))/$AJ52,'Технический лист'!$M:$N,2,1)-VLOOKUP($AO52,'Технический лист'!$M:$N,2,1)),1+(1-$AU52))</f>
        <v>1.1000000000000001</v>
      </c>
      <c r="BO52" s="15">
        <f>MIN(IF($AU52=100%,1,1+VLOOKUP(($AJ52-$AI52-$AH52-$AG52-$AF52-$AE52*(1+BO$3))/$AJ52,'Технический лист'!$M:$N,2,1)-VLOOKUP($AO52,'Технический лист'!$M:$N,2,1)),1+(1-$AU52))</f>
        <v>1.1000000000000001</v>
      </c>
      <c r="BP52" s="15">
        <f>MIN(IF($AU52=100%,1,1+VLOOKUP(($AJ52-$AI52-$AH52-$AG52-$AF52-$AE52*(1+BP$3))/$AJ52,'Технический лист'!$M:$N,2,1)-VLOOKUP($AO52,'Технический лист'!$M:$N,2,1)),1+(1-$AU52))</f>
        <v>1.1000000000000001</v>
      </c>
      <c r="BQ52" s="15">
        <f>MIN(IF($AU52=100%,1,1+VLOOKUP(($AJ52-$AI52-$AH52-$AG52-$AF52-$AE52*(1+BQ$3))/$AJ52,'Технический лист'!$M:$N,2,1)-VLOOKUP($AO52,'Технический лист'!$M:$N,2,1)),1+(1-$AU52))</f>
        <v>1.1000000000000001</v>
      </c>
      <c r="BR52" s="15">
        <f>MIN(IF($AU52=100%,1,1+VLOOKUP(($AJ52-$AI52-$AH52-$AG52-$AF52-$AE52*(1+BR$3))/$AJ52,'Технический лист'!$M:$N,2,1)-VLOOKUP($AO52,'Технический лист'!$M:$N,2,1)),1+(1-$AU52))</f>
        <v>1.1000000000000001</v>
      </c>
      <c r="BS52" s="15">
        <f>MIN(IF($AU52=100%,1,1+VLOOKUP(($AJ52-$AI52-$AH52-$AG52-$AF52-$AE52*(1+BS$3))/$AJ52,'Технический лист'!$M:$N,2,1)-VLOOKUP($AO52,'Технический лист'!$M:$N,2,1)),1+(1-$AU52))</f>
        <v>1.1000000000000001</v>
      </c>
      <c r="BT52" s="15">
        <f>MIN(IF($AU52=100%,1,1+VLOOKUP(($AJ52-$AI52-$AH52-$AG52-$AF52-$AE52*(1+BT$3))/$AJ52,'Технический лист'!$M:$N,2,1)-VLOOKUP($AO52,'Технический лист'!$M:$N,2,1)),1+(1-$AU52))</f>
        <v>1.1000000000000001</v>
      </c>
      <c r="BU52" s="15">
        <f>MIN(IF($AU52=100%,1,1+VLOOKUP(($AJ52-$AI52-$AH52-$AG52-$AF52-$AE52*(1+BU$3))/$AJ52,'Технический лист'!$M:$N,2,1)-VLOOKUP($AO52,'Технический лист'!$M:$N,2,1)),1+(1-$AU52))</f>
        <v>1.1000000000000001</v>
      </c>
      <c r="BV52" s="15">
        <f>MIN(IF($AU52=100%,1,1+VLOOKUP(($AJ52-$AI52-$AH52-$AG52-$AF52-$AE52*(1+BV$3))/$AJ52,'Технический лист'!$M:$N,2,1)-VLOOKUP($AO52,'Технический лист'!$M:$N,2,1)),1+(1-$AU52))</f>
        <v>1.1000000000000001</v>
      </c>
      <c r="BW52" s="15">
        <f>MIN(IF($AU52=100%,1,1+VLOOKUP(($AJ52-$AI52-$AH52-$AG52-$AF52-$AE52*(1+BW$3))/$AJ52,'Технический лист'!$M:$N,2,1)-VLOOKUP($AO52,'Технический лист'!$M:$N,2,1)),1+(1-$AU52))</f>
        <v>1.1000000000000001</v>
      </c>
      <c r="BX52" s="15">
        <f>MIN(IF($AU52=100%,1,1+VLOOKUP(($AJ52-$AI52-$AH52-$AG52-$AF52-$AE52*(1+BX$3))/$AJ52,'Технический лист'!$M:$N,2,1)-VLOOKUP($AO52,'Технический лист'!$M:$N,2,1)),1+(1-$AU52))</f>
        <v>1.1000000000000001</v>
      </c>
      <c r="BY52" s="15">
        <f>MIN(IF($AU52=100%,1,1+VLOOKUP(($AJ52-$AI52-$AH52-$AG52-$AF52-$AE52*(1+BY$3))/$AJ52,'Технический лист'!$M:$N,2,1)-VLOOKUP($AO52,'Технический лист'!$M:$N,2,1)),1+(1-$AU52))</f>
        <v>1.1000000000000001</v>
      </c>
      <c r="BZ52" s="15">
        <f>MIN(IF($AU52=100%,1,1+VLOOKUP(($AJ52-$AI52-$AH52-$AG52-$AF52-$AE52*(1+BZ$3))/$AJ52,'Технический лист'!$M:$N,2,1)-VLOOKUP($AO52,'Технический лист'!$M:$N,2,1)),1+(1-$AU52))</f>
        <v>1.1000000000000001</v>
      </c>
      <c r="CA52" s="15">
        <f>MIN(IF($AU52=100%,1,1+VLOOKUP(($AJ52-$AI52-$AH52-$AG52-$AF52-$AE52*(1+CA$3))/$AJ52,'Технический лист'!$M:$N,2,1)-VLOOKUP($AO52,'Технический лист'!$M:$N,2,1)),1+(1-$AU52))</f>
        <v>1.1000000000000001</v>
      </c>
      <c r="CB52" s="15">
        <f>MIN(IF($AU52=100%,1,1+VLOOKUP(($AJ52-$AI52-$AH52-$AG52-$AF52-$AE52*(1+CB$3))/$AJ52,'Технический лист'!$M:$N,2,1)-VLOOKUP($AO52,'Технический лист'!$M:$N,2,1)),1+(1-$AU52))</f>
        <v>1.1000000000000001</v>
      </c>
      <c r="CC52" s="15">
        <f>MIN(IF($AU52=100%,1,1+VLOOKUP(($AJ52-$AI52-$AH52-$AG52-$AF52-$AE52*(1+CC$3))/$AJ52,'Технический лист'!$M:$N,2,1)-VLOOKUP($AO52,'Технический лист'!$M:$N,2,1)),1+(1-$AU52))</f>
        <v>1.1000000000000001</v>
      </c>
      <c r="CD52" s="15">
        <f>MIN(IF($AU52=100%,1,1+VLOOKUP(($AJ52-$AI52-$AH52-$AG52-$AF52-$AE52*(1+CD$3))/$AJ52,'Технический лист'!$M:$N,2,1)-VLOOKUP($AO52,'Технический лист'!$M:$N,2,1)),1+(1-$AU52))</f>
        <v>1.1000000000000001</v>
      </c>
      <c r="CE52" s="15">
        <f>MIN(IF($AU52=100%,1,1+VLOOKUP(($AJ52-$AI52-$AH52-$AG52-$AF52-$AE52*(1+CE$3))/$AJ52,'Технический лист'!$M:$N,2,1)-VLOOKUP($AO52,'Технический лист'!$M:$N,2,1)),1+(1-$AU52))</f>
        <v>1.1000000000000001</v>
      </c>
      <c r="CF52" s="15">
        <f>MIN(IF($AU52=100%,1,1+VLOOKUP(($AJ52-$AI52-$AH52-$AG52-$AF52-$AE52*(1+CF$3))/$AJ52,'Технический лист'!$M:$N,2,1)-VLOOKUP($AO52,'Технический лист'!$M:$N,2,1)),1+(1-$AU52))</f>
        <v>1.1000000000000001</v>
      </c>
      <c r="CG52" s="15">
        <f>MIN(IF($AU52=100%,1,1+VLOOKUP(($AJ52-$AI52-$AH52-$AG52-$AF52-$AE52*(1+CG$3))/$AJ52,'Технический лист'!$M:$N,2,1)-VLOOKUP($AO52,'Технический лист'!$M:$N,2,1)),1+(1-$AU52))</f>
        <v>1.1000000000000001</v>
      </c>
      <c r="CH52" s="15">
        <f>MIN(IF($AU52=100%,1,1+VLOOKUP(($AJ52-$AI52-$AH52-$AG52-$AF52-$AE52*(1+CH$3))/$AJ52,'Технический лист'!$M:$N,2,1)-VLOOKUP($AO52,'Технический лист'!$M:$N,2,1)),1+(1-$AU52))</f>
        <v>1.1000000000000001</v>
      </c>
      <c r="CI52" s="15">
        <f>MIN(IF($AU52=100%,1,1+VLOOKUP(($AJ52-$AI52-$AH52-$AG52-$AF52-$AE52*(1+CI$3))/$AJ52,'Технический лист'!$M:$N,2,1)-VLOOKUP($AO52,'Технический лист'!$M:$N,2,1)),1+(1-$AU52))</f>
        <v>1.1000000000000001</v>
      </c>
      <c r="CJ52" s="15">
        <f>MIN(IF($AU52=100%,1,1+VLOOKUP(($AJ52-$AI52-$AH52-$AG52-$AF52-$AE52*(1+CJ$3))/$AJ52,'Технический лист'!$M:$N,2,1)-VLOOKUP($AO52,'Технический лист'!$M:$N,2,1)),1+(1-$AU52))</f>
        <v>1.1000000000000001</v>
      </c>
      <c r="CK52" s="15">
        <f>MIN(IF($AU52=100%,1,1+VLOOKUP(($AJ52-$AI52-$AH52-$AG52-$AF52-$AE52*(1+CK$3))/$AJ52,'Технический лист'!$M:$N,2,1)-VLOOKUP($AO52,'Технический лист'!$M:$N,2,1)),1+(1-$AU52))</f>
        <v>1.1000000000000001</v>
      </c>
      <c r="CL52" s="15">
        <f>MIN(IF($AU52=100%,1,1+VLOOKUP(($AJ52-$AI52-$AH52-$AG52-$AF52-$AE52*(1+CL$3))/$AJ52,'Технический лист'!$M:$N,2,1)-VLOOKUP($AO52,'Технический лист'!$M:$N,2,1)),1+(1-$AU52))</f>
        <v>1.1000000000000001</v>
      </c>
      <c r="CM52" s="15">
        <f>MIN(IF($AU52=100%,1,1+VLOOKUP(($AJ52-$AI52-$AH52-$AG52-$AF52-$AE52*(1+CM$3))/$AJ52,'Технический лист'!$M:$N,2,1)-VLOOKUP($AO52,'Технический лист'!$M:$N,2,1)),1+(1-$AU52))</f>
        <v>1.1000000000000001</v>
      </c>
      <c r="CN52" s="15">
        <f>MIN(IF($AU52=100%,1,1+VLOOKUP(($AJ52-$AI52-$AH52-$AG52-$AF52-$AE52*(1+CN$3))/$AJ52,'Технический лист'!$M:$N,2,1)-VLOOKUP($AO52,'Технический лист'!$M:$N,2,1)),1+(1-$AU52))</f>
        <v>1.1000000000000001</v>
      </c>
      <c r="CO52" s="15">
        <f>MIN(IF($AU52=100%,1,1+VLOOKUP(($AJ52-$AI52-$AH52-$AG52-$AF52-$AE52*(1+CO$3))/$AJ52,'Технический лист'!$M:$N,2,1)-VLOOKUP($AO52,'Технический лист'!$M:$N,2,1)),1+(1-$AU52))</f>
        <v>1.1000000000000001</v>
      </c>
      <c r="CP52" s="15">
        <f>MIN(IF($AU52=100%,1,1+VLOOKUP(($AJ52-$AI52-$AH52-$AG52-$AF52-$AE52*(1+CP$3))/$AJ52,'Технический лист'!$M:$N,2,1)-VLOOKUP($AO52,'Технический лист'!$M:$N,2,1)),1+(1-$AU52))</f>
        <v>1.1000000000000001</v>
      </c>
      <c r="CQ52" s="15">
        <f>MIN(IF($AU52=100%,1,1+VLOOKUP(($AJ52-$AI52-$AH52-$AG52-$AF52-$AE52*(1+CQ$3))/$AJ52,'Технический лист'!$M:$N,2,1)-VLOOKUP($AO52,'Технический лист'!$M:$N,2,1)),1+(1-$AU52))</f>
        <v>1.1000000000000001</v>
      </c>
      <c r="CR52" s="15">
        <f>MIN(IF($AU52=100%,1,1+VLOOKUP(($AJ52-$AI52-$AH52-$AG52-$AF52-$AE52*(1+CR$3))/$AJ52,'Технический лист'!$M:$N,2,1)-VLOOKUP($AO52,'Технический лист'!$M:$N,2,1)),1+(1-$AU52))</f>
        <v>1.1000000000000001</v>
      </c>
      <c r="CS52" s="15">
        <f>MIN(IF($AU52=100%,1,1+VLOOKUP(($AJ52-$AI52-$AH52-$AG52-$AF52-$AE52*(1+CS$3))/$AJ52,'Технический лист'!$M:$N,2,1)-VLOOKUP($AO52,'Технический лист'!$M:$N,2,1)),1+(1-$AU52))</f>
        <v>1.1000000000000001</v>
      </c>
      <c r="CT52" s="15">
        <f>MIN(IF($AU52=100%,1,1+VLOOKUP(($AJ52-$AI52-$AH52-$AG52-$AF52-$AE52*(1+CT$3))/$AJ52,'Технический лист'!$M:$N,2,1)-VLOOKUP($AO52,'Технический лист'!$M:$N,2,1)),1+(1-$AU52))</f>
        <v>1.1000000000000001</v>
      </c>
      <c r="CU52" s="15">
        <f>MIN(IF($AU52=100%,1,1+VLOOKUP(($AJ52-$AI52-$AH52-$AG52-$AF52-$AE52*(1+CU$3))/$AJ52,'Технический лист'!$M:$N,2,1)-VLOOKUP($AO52,'Технический лист'!$M:$N,2,1)),1+(1-$AU52))</f>
        <v>1.1000000000000001</v>
      </c>
      <c r="CV52" s="15">
        <f>MIN(IF($AU52=100%,1,1+VLOOKUP(($AJ52-$AI52-$AH52-$AG52-$AF52-$AE52*(1+CV$3))/$AJ52,'Технический лист'!$M:$N,2,1)-VLOOKUP($AO52,'Технический лист'!$M:$N,2,1)),1+(1-$AU52))</f>
        <v>1.1000000000000001</v>
      </c>
      <c r="CW52" s="15">
        <f>MIN(IF($AU52=100%,1,1+VLOOKUP(($AJ52-$AI52-$AH52-$AG52-$AF52-$AE52*(1+CW$3))/$AJ52,'Технический лист'!$M:$N,2,1)-VLOOKUP($AO52,'Технический лист'!$M:$N,2,1)),1+(1-$AU52))</f>
        <v>1.1000000000000001</v>
      </c>
      <c r="CX52" s="15">
        <f>MIN(IF($AU52=100%,1,1+VLOOKUP(($AJ52-$AI52-$AH52-$AG52-$AF52-$AE52*(1+CX$3))/$AJ52,'Технический лист'!$M:$N,2,1)-VLOOKUP($AO52,'Технический лист'!$M:$N,2,1)),1+(1-$AU52))</f>
        <v>1.1000000000000001</v>
      </c>
      <c r="CY52" s="15">
        <f>MIN(IF($AU52=100%,1,1+VLOOKUP(($AJ52-$AI52-$AH52-$AG52-$AF52-$AE52*(1+CY$3))/$AJ52,'Технический лист'!$M:$N,2,1)-VLOOKUP($AO52,'Технический лист'!$M:$N,2,1)),1+(1-$AU52))</f>
        <v>1.1000000000000001</v>
      </c>
      <c r="CZ52" s="15">
        <f>MIN(IF($AU52=100%,1,1+VLOOKUP(($AJ52-$AI52-$AH52-$AG52-$AF52-$AE52*(1+CZ$3))/$AJ52,'Технический лист'!$M:$N,2,1)-VLOOKUP($AO52,'Технический лист'!$M:$N,2,1)),1+(1-$AU52))</f>
        <v>1.1000000000000001</v>
      </c>
      <c r="DA52" s="15">
        <f>MIN(IF($AU52=100%,1,1+VLOOKUP(($AJ52-$AI52-$AH52-$AG52-$AF52-$AE52*(1+DA$3))/$AJ52,'Технический лист'!$M:$N,2,1)-VLOOKUP($AO52,'Технический лист'!$M:$N,2,1)),1+(1-$AU52))</f>
        <v>1.1000000000000001</v>
      </c>
      <c r="DB52" s="15">
        <f>MIN(IF($AU52=100%,1,1+VLOOKUP(($AJ52-$AI52-$AH52-$AG52-$AF52-$AE52*(1+DB$3))/$AJ52,'Технический лист'!$M:$N,2,1)-VLOOKUP($AO52,'Технический лист'!$M:$N,2,1)),1+(1-$AU52))</f>
        <v>1.1000000000000001</v>
      </c>
      <c r="DC52" s="15">
        <f>MIN(IF($AU52=100%,1,1+VLOOKUP(($AJ52-$AI52-$AH52-$AG52-$AF52-$AE52*(1+DC$3))/$AJ52,'Технический лист'!$M:$N,2,1)-VLOOKUP($AO52,'Технический лист'!$M:$N,2,1)),1+(1-$AU52))</f>
        <v>1.1000000000000001</v>
      </c>
      <c r="DD52" s="15">
        <f>MIN(IF($AU52=100%,1,1+VLOOKUP(($AJ52-$AI52-$AH52-$AG52-$AF52-$AE52*(1+DD$3))/$AJ52,'Технический лист'!$M:$N,2,1)-VLOOKUP($AO52,'Технический лист'!$M:$N,2,1)),1+(1-$AU52))</f>
        <v>1.1000000000000001</v>
      </c>
      <c r="DE52" s="15">
        <f>MIN(IF($AU52=100%,1,1+VLOOKUP(($AJ52-$AI52-$AH52-$AG52-$AF52-$AE52*(1+DE$3))/$AJ52,'Технический лист'!$M:$N,2,1)-VLOOKUP($AO52,'Технический лист'!$M:$N,2,1)),1+(1-$AU52))</f>
        <v>1.1000000000000001</v>
      </c>
      <c r="DF52" s="15">
        <f>MIN(IF($AU52=100%,1,1+VLOOKUP(($AJ52-$AI52-$AH52-$AG52-$AF52-$AE52*(1+DF$3))/$AJ52,'Технический лист'!$M:$N,2,1)-VLOOKUP($AO52,'Технический лист'!$M:$N,2,1)),1+(1-$AU52))</f>
        <v>1.1000000000000001</v>
      </c>
      <c r="DG52" s="15">
        <f>MIN(IF($AU52=100%,1,1+VLOOKUP(($AJ52-$AI52-$AH52-$AG52-$AF52-$AE52*(1+DG$3))/$AJ52,'Технический лист'!$M:$N,2,1)-VLOOKUP($AO52,'Технический лист'!$M:$N,2,1)),1+(1-$AU52))</f>
        <v>1.1000000000000001</v>
      </c>
      <c r="DH52" s="15">
        <f>MIN(IF($AU52=100%,1,1+VLOOKUP(($AJ52-$AI52-$AH52-$AG52-$AF52-$AE52*(1+DH$3))/$AJ52,'Технический лист'!$M:$N,2,1)-VLOOKUP($AO52,'Технический лист'!$M:$N,2,1)),1+(1-$AU52))</f>
        <v>1.1000000000000001</v>
      </c>
      <c r="DI52" s="15">
        <f>MIN(IF($AU52=100%,1,1+VLOOKUP(($AJ52-$AI52-$AH52-$AG52-$AF52-$AE52*(1+DI$3))/$AJ52,'Технический лист'!$M:$N,2,1)-VLOOKUP($AO52,'Технический лист'!$M:$N,2,1)),1+(1-$AU52))</f>
        <v>1.1000000000000001</v>
      </c>
      <c r="DJ52" s="15">
        <f>MIN(IF($AU52=100%,1,1+VLOOKUP(($AJ52-$AI52-$AH52-$AG52-$AF52-$AE52*(1+DJ$3))/$AJ52,'Технический лист'!$M:$N,2,1)-VLOOKUP($AO52,'Технический лист'!$M:$N,2,1)),1+(1-$AU52))</f>
        <v>1.1000000000000001</v>
      </c>
      <c r="DK52" s="15">
        <f>MIN(IF($AU52=100%,1,1+VLOOKUP(($AJ52-$AI52-$AH52-$AG52-$AF52-$AE52*(1+DK$3))/$AJ52,'Технический лист'!$M:$N,2,1)-VLOOKUP($AO52,'Технический лист'!$M:$N,2,1)),1+(1-$AU52))</f>
        <v>1.1000000000000001</v>
      </c>
      <c r="DL52" s="15">
        <f>MIN(IF($AU52=100%,1,1+VLOOKUP(($AJ52-$AI52-$AH52-$AG52-$AF52-$AE52*(1+DL$3))/$AJ52,'Технический лист'!$M:$N,2,1)-VLOOKUP($AO52,'Технический лист'!$M:$N,2,1)),1+(1-$AU52))</f>
        <v>1.1000000000000001</v>
      </c>
      <c r="DM52" s="15">
        <f>MIN(IF($AU52=100%,1,1+VLOOKUP(($AJ52-$AI52-$AH52-$AG52-$AF52-$AE52*(1+DM$3))/$AJ52,'Технический лист'!$M:$N,2,1)-VLOOKUP($AO52,'Технический лист'!$M:$N,2,1)),1+(1-$AU52))</f>
        <v>1.1000000000000001</v>
      </c>
      <c r="DN52" s="15">
        <f>MIN(IF($AU52=100%,1,1+VLOOKUP(($AJ52-$AI52-$AH52-$AG52-$AF52-$AE52*(1+DN$3))/$AJ52,'Технический лист'!$M:$N,2,1)-VLOOKUP($AO52,'Технический лист'!$M:$N,2,1)),1+(1-$AU52))</f>
        <v>1.1000000000000001</v>
      </c>
      <c r="DO52" s="15">
        <f>MIN(IF($AU52=100%,1,1+VLOOKUP(($AJ52-$AI52-$AH52-$AG52-$AF52-$AE52*(1+DO$3))/$AJ52,'Технический лист'!$M:$N,2,1)-VLOOKUP($AO52,'Технический лист'!$M:$N,2,1)),1+(1-$AU52))</f>
        <v>1.1000000000000001</v>
      </c>
      <c r="DP52" s="15">
        <f>MIN(IF($AU52=100%,1,1+VLOOKUP(($AJ52-$AI52-$AH52-$AG52-$AF52-$AE52*(1+DP$3))/$AJ52,'Технический лист'!$M:$N,2,1)-VLOOKUP($AO52,'Технический лист'!$M:$N,2,1)),1+(1-$AU52))</f>
        <v>1.1000000000000001</v>
      </c>
      <c r="DQ52" s="15">
        <f>MIN(IF($AU52=100%,1,1+VLOOKUP(($AJ52-$AI52-$AH52-$AG52-$AF52-$AE52*(1+DQ$3))/$AJ52,'Технический лист'!$M:$N,2,1)-VLOOKUP($AO52,'Технический лист'!$M:$N,2,1)),1+(1-$AU52))</f>
        <v>1.1000000000000001</v>
      </c>
      <c r="DR52" s="15">
        <f>MIN(IF($AU52=100%,1,1+VLOOKUP(($AJ52-$AI52-$AH52-$AG52-$AF52-$AE52*(1+DR$3))/$AJ52,'Технический лист'!$M:$N,2,1)-VLOOKUP($AO52,'Технический лист'!$M:$N,2,1)),1+(1-$AU52))</f>
        <v>1.1000000000000001</v>
      </c>
      <c r="DS52" s="15">
        <f>MIN(IF($AU52=100%,1,1+VLOOKUP(($AJ52-$AI52-$AH52-$AG52-$AF52-$AE52*(1+DS$3))/$AJ52,'Технический лист'!$M:$N,2,1)-VLOOKUP($AO52,'Технический лист'!$M:$N,2,1)),1+(1-$AU52))</f>
        <v>1.1000000000000001</v>
      </c>
      <c r="DT52" s="15">
        <f>MIN(IF($AU52=100%,1,1+VLOOKUP(($AJ52-$AI52-$AH52-$AG52-$AF52-$AE52*(1+DT$3))/$AJ52,'Технический лист'!$M:$N,2,1)-VLOOKUP($AO52,'Технический лист'!$M:$N,2,1)),1+(1-$AU52))</f>
        <v>1.1000000000000001</v>
      </c>
      <c r="DU52" s="15">
        <f>MIN(IF($AU52=100%,1,1+VLOOKUP(($AJ52-$AI52-$AH52-$AG52-$AF52-$AE52*(1+DU$3))/$AJ52,'Технический лист'!$M:$N,2,1)-VLOOKUP($AO52,'Технический лист'!$M:$N,2,1)),1+(1-$AU52))</f>
        <v>1.1000000000000001</v>
      </c>
      <c r="DV52" s="15">
        <f>MIN(IF($AU52=100%,1,1+VLOOKUP(($AJ52-$AI52-$AH52-$AG52-$AF52-$AE52*(1+DV$3))/$AJ52,'Технический лист'!$M:$N,2,1)-VLOOKUP($AO52,'Технический лист'!$M:$N,2,1)),1+(1-$AU52))</f>
        <v>1.1000000000000001</v>
      </c>
      <c r="DW52" s="15">
        <f>MIN(IF($AU52=100%,1,1+VLOOKUP(($AJ52-$AI52-$AH52-$AG52-$AF52-$AE52*(1+DW$3))/$AJ52,'Технический лист'!$M:$N,2,1)-VLOOKUP($AO52,'Технический лист'!$M:$N,2,1)),1+(1-$AU52))</f>
        <v>1.1000000000000001</v>
      </c>
      <c r="DX52" s="15">
        <f>MIN(IF($AU52=100%,1,1+VLOOKUP(($AJ52-$AI52-$AH52-$AG52-$AF52-$AE52*(1+DX$3))/$AJ52,'Технический лист'!$M:$N,2,1)-VLOOKUP($AO52,'Технический лист'!$M:$N,2,1)),1+(1-$AU52))</f>
        <v>1.1000000000000001</v>
      </c>
      <c r="DY52" s="15">
        <f>MIN(IF($AU52=100%,1,1+VLOOKUP(($AJ52-$AI52-$AH52-$AG52-$AF52-$AE52*(1+DY$3))/$AJ52,'Технический лист'!$M:$N,2,1)-VLOOKUP($AO52,'Технический лист'!$M:$N,2,1)),1+(1-$AU52))</f>
        <v>1.1000000000000001</v>
      </c>
      <c r="DZ52" s="15">
        <f>MIN(IF($AU52=100%,1,1+VLOOKUP(($AJ52-$AI52-$AH52-$AG52-$AF52-$AE52*(1+DZ$3))/$AJ52,'Технический лист'!$M:$N,2,1)-VLOOKUP($AO52,'Технический лист'!$M:$N,2,1)),1+(1-$AU52))</f>
        <v>1.1000000000000001</v>
      </c>
      <c r="EA52" s="15">
        <f>MIN(IF($AU52=100%,1,1+VLOOKUP(($AJ52-$AI52-$AH52-$AG52-$AF52-$AE52*(1+EA$3))/$AJ52,'Технический лист'!$M:$N,2,1)-VLOOKUP($AO52,'Технический лист'!$M:$N,2,1)),1+(1-$AU52))</f>
        <v>1.1000000000000001</v>
      </c>
      <c r="EB52" s="15">
        <f>MIN(IF($AU52=100%,1,1+VLOOKUP(($AJ52-$AI52-$AH52-$AG52-$AF52-$AE52*(1+EB$3))/$AJ52,'Технический лист'!$M:$N,2,1)-VLOOKUP($AO52,'Технический лист'!$M:$N,2,1)),1+(1-$AU52))</f>
        <v>1.1000000000000001</v>
      </c>
      <c r="EC52" s="15">
        <f>MIN(IF($AU52=100%,1,1+VLOOKUP(($AJ52-$AI52-$AH52-$AG52-$AF52-$AE52*(1+EC$3))/$AJ52,'Технический лист'!$M:$N,2,1)-VLOOKUP($AO52,'Технический лист'!$M:$N,2,1)),1+(1-$AU52))</f>
        <v>1.1000000000000001</v>
      </c>
      <c r="ED52" s="15">
        <f>MIN(IF($AU52=100%,1,1+VLOOKUP(($AJ52-$AI52-$AH52-$AG52-$AF52-$AE52*(1+ED$3))/$AJ52,'Технический лист'!$M:$N,2,1)-VLOOKUP($AO52,'Технический лист'!$M:$N,2,1)),1+(1-$AU52))</f>
        <v>1.1000000000000001</v>
      </c>
      <c r="EE52" s="15">
        <f>MIN(IF($AU52=100%,1,1+VLOOKUP(($AJ52-$AI52-$AH52-$AG52-$AF52-$AE52*(1+EE$3))/$AJ52,'Технический лист'!$M:$N,2,1)-VLOOKUP($AO52,'Технический лист'!$M:$N,2,1)),1+(1-$AU52))</f>
        <v>1.1000000000000001</v>
      </c>
      <c r="EF52" s="15">
        <f>MIN(IF($AU52=100%,1,1+VLOOKUP(($AJ52-$AI52-$AH52-$AG52-$AF52-$AE52*(1+EF$3))/$AJ52,'Технический лист'!$M:$N,2,1)-VLOOKUP($AO52,'Технический лист'!$M:$N,2,1)),1+(1-$AU52))</f>
        <v>1.1000000000000001</v>
      </c>
      <c r="EG52" s="15">
        <f>MIN(IF($AU52=100%,1,1+VLOOKUP(($AJ52-$AI52-$AH52-$AG52-$AF52-$AE52*(1+EG$3))/$AJ52,'Технический лист'!$M:$N,2,1)-VLOOKUP($AO52,'Технический лист'!$M:$N,2,1)),1+(1-$AU52))</f>
        <v>1.06</v>
      </c>
      <c r="EH52" s="15">
        <f>MIN(IF($AU52=100%,1,1+VLOOKUP(($AJ52-$AI52-$AH52-$AG52-$AF52-$AE52*(1+EH$3))/$AJ52,'Технический лист'!$M:$N,2,1)-VLOOKUP($AO52,'Технический лист'!$M:$N,2,1)),1+(1-$AU52))</f>
        <v>1.06</v>
      </c>
      <c r="EI52" s="15">
        <f>MIN(IF($AU52=100%,1,1+VLOOKUP(($AJ52-$AI52-$AH52-$AG52-$AF52-$AE52*(1+EI$3))/$AJ52,'Технический лист'!$M:$N,2,1)-VLOOKUP($AO52,'Технический лист'!$M:$N,2,1)),1+(1-$AU52))</f>
        <v>1.06</v>
      </c>
      <c r="EJ52" s="15">
        <f>MIN(IF($AU52=100%,1,1+VLOOKUP(($AJ52-$AI52-$AH52-$AG52-$AF52-$AE52*(1+EJ$3))/$AJ52,'Технический лист'!$M:$N,2,1)-VLOOKUP($AO52,'Технический лист'!$M:$N,2,1)),1+(1-$AU52))</f>
        <v>1.06</v>
      </c>
      <c r="EK52" s="15">
        <f>MIN(IF($AU52=100%,1,1+VLOOKUP(($AJ52-$AI52-$AH52-$AG52-$AF52-$AE52*(1+EK$3))/$AJ52,'Технический лист'!$M:$N,2,1)-VLOOKUP($AO52,'Технический лист'!$M:$N,2,1)),1+(1-$AU52))</f>
        <v>1.06</v>
      </c>
      <c r="EL52" s="15">
        <f>MIN(IF($AU52=100%,1,1+VLOOKUP(($AJ52-$AI52-$AH52-$AG52-$AF52-$AE52*(1+EL$3))/$AJ52,'Технический лист'!$M:$N,2,1)-VLOOKUP($AO52,'Технический лист'!$M:$N,2,1)),1+(1-$AU52))</f>
        <v>1.06</v>
      </c>
      <c r="EM52" s="15">
        <f>MIN(IF($AU52=100%,1,1+VLOOKUP(($AJ52-$AI52-$AH52-$AG52-$AF52-$AE52*(1+EM$3))/$AJ52,'Технический лист'!$M:$N,2,1)-VLOOKUP($AO52,'Технический лист'!$M:$N,2,1)),1+(1-$AU52))</f>
        <v>1.06</v>
      </c>
      <c r="EN52" s="15">
        <f>MIN(IF($AU52=100%,1,1+VLOOKUP(($AJ52-$AI52-$AH52-$AG52-$AF52-$AE52*(1+EN$3))/$AJ52,'Технический лист'!$M:$N,2,1)-VLOOKUP($AO52,'Технический лист'!$M:$N,2,1)),1+(1-$AU52))</f>
        <v>1.06</v>
      </c>
      <c r="EO52" s="15">
        <f>MIN(IF($AU52=100%,1,1+VLOOKUP(($AJ52-$AI52-$AH52-$AG52-$AF52-$AE52*(1+EO$3))/$AJ52,'Технический лист'!$M:$N,2,1)-VLOOKUP($AO52,'Технический лист'!$M:$N,2,1)),1+(1-$AU52))</f>
        <v>1.06</v>
      </c>
      <c r="EP52" s="15">
        <f>MIN(IF($AU52=100%,1,1+VLOOKUP(($AJ52-$AI52-$AH52-$AG52-$AF52-$AE52*(1+EP$3))/$AJ52,'Технический лист'!$M:$N,2,1)-VLOOKUP($AO52,'Технический лист'!$M:$N,2,1)),1+(1-$AU52))</f>
        <v>1.06</v>
      </c>
      <c r="EQ52" s="15">
        <f>MIN(IF($AU52=100%,1,1+VLOOKUP(($AJ52-$AI52-$AH52-$AG52-$AF52-$AE52*(1+EQ$3))/$AJ52,'Технический лист'!$M:$N,2,1)-VLOOKUP($AO52,'Технический лист'!$M:$N,2,1)),1+(1-$AU52))</f>
        <v>1.06</v>
      </c>
      <c r="ER52" s="15">
        <f>MIN(IF($AU52=100%,1,1+VLOOKUP(($AJ52-$AI52-$AH52-$AG52-$AF52-$AE52*(1+ER$3))/$AJ52,'Технический лист'!$M:$N,2,1)-VLOOKUP($AO52,'Технический лист'!$M:$N,2,1)),1+(1-$AU52))</f>
        <v>1.06</v>
      </c>
      <c r="ES52" s="15">
        <f>MIN(IF($AU52=100%,1,1+VLOOKUP(($AJ52-$AI52-$AH52-$AG52-$AF52-$AE52*(1+ES$3))/$AJ52,'Технический лист'!$M:$N,2,1)-VLOOKUP($AO52,'Технический лист'!$M:$N,2,1)),1+(1-$AU52))</f>
        <v>1.06</v>
      </c>
      <c r="ET52" s="15">
        <f>MIN(IF($AU52=100%,1,1+VLOOKUP(($AJ52-$AI52-$AH52-$AG52-$AF52-$AE52*(1+ET$3))/$AJ52,'Технический лист'!$M:$N,2,1)-VLOOKUP($AO52,'Технический лист'!$M:$N,2,1)),1+(1-$AU52))</f>
        <v>1</v>
      </c>
      <c r="EU52" s="15">
        <f>MIN(IF($AU52=100%,1,1+VLOOKUP(($AJ52-$AI52-$AH52-$AG52-$AF52-$AE52*(1+EU$3))/$AJ52,'Технический лист'!$M:$N,2,1)-VLOOKUP($AO52,'Технический лист'!$M:$N,2,1)),1+(1-$AU52))</f>
        <v>1</v>
      </c>
      <c r="EV52" s="111">
        <v>1</v>
      </c>
      <c r="EW52" s="15">
        <f>MIN(1,MAX(VLOOKUP(($AJ52-$AI52-$AH52-$AG52-$AF52-$AE52*(1+EW$3))/$AJ52,'Технический лист'!$M:$N,2,1),(EV52-0.05)))</f>
        <v>1</v>
      </c>
      <c r="EX52" s="15">
        <f>MIN(1,MAX(VLOOKUP(($AJ52-$AI52-$AH52-$AG52-$AF52-$AE52*(1+EX$3))/$AJ52,'Технический лист'!$M:$N,2,1),(EW52-0.05)))</f>
        <v>1</v>
      </c>
      <c r="EY52" s="15">
        <f>MIN(1,MAX(VLOOKUP(($AJ52-$AI52-$AH52-$AG52-$AF52-$AE52*(1+EY$3))/$AJ52,'Технический лист'!$M:$N,2,1),(EX52-0.05)))</f>
        <v>1</v>
      </c>
      <c r="EZ52" s="15">
        <f>MIN(1,MAX(VLOOKUP(($AJ52-$AI52-$AH52-$AG52-$AF52-$AE52*(1+EZ$3))/$AJ52,'Технический лист'!$M:$N,2,1),(EY52-0.05)))</f>
        <v>1</v>
      </c>
      <c r="FA52" s="15">
        <f>MIN(1,MAX(VLOOKUP(($AJ52-$AI52-$AH52-$AG52-$AF52-$AE52*(1+FA$3))/$AJ52,'Технический лист'!$M:$N,2,1),(EZ52-0.05)))</f>
        <v>1</v>
      </c>
      <c r="FB52" s="15">
        <f>MIN(1,MAX(VLOOKUP(($AJ52-$AI52-$AH52-$AG52-$AF52-$AE52*(1+FB$3))/$AJ52,'Технический лист'!$M:$N,2,1),(FA52-0.05)))</f>
        <v>1</v>
      </c>
      <c r="FC52" s="15">
        <f>MIN(1,MAX(VLOOKUP(($AJ52-$AI52-$AH52-$AG52-$AF52-$AE52*(1+FC$3))/$AJ52,'Технический лист'!$M:$N,2,1),(FB52-0.05)))</f>
        <v>1</v>
      </c>
      <c r="FD52" s="15">
        <f>MIN(1,MAX(VLOOKUP(($AJ52-$AI52-$AH52-$AG52-$AF52-$AE52*(1+FD$3))/$AJ52,'Технический лист'!$M:$N,2,1),(FC52-0.05)))</f>
        <v>1</v>
      </c>
      <c r="FE52" s="15">
        <f>MIN(1,MAX(VLOOKUP(($AJ52-$AI52-$AH52-$AG52-$AF52-$AE52*(1+FE$3))/$AJ52,'Технический лист'!$M:$N,2,1),(FD52-0.05)))</f>
        <v>1</v>
      </c>
      <c r="FF52" s="15">
        <f>MIN(1,MAX(VLOOKUP(($AJ52-$AI52-$AH52-$AG52-$AF52-$AE52*(1+FF$3))/$AJ52,'Технический лист'!$M:$N,2,1),(FE52-0.05)))</f>
        <v>1</v>
      </c>
      <c r="FG52" s="15">
        <f>MIN(1,MAX(VLOOKUP(($AJ52-$AI52-$AH52-$AG52-$AF52-$AE52*(1+FG$3))/$AJ52,'Технический лист'!$M:$N,2,1),(FF52-0.05)))</f>
        <v>1</v>
      </c>
      <c r="FH52" s="15">
        <f>MIN(1,MAX(VLOOKUP(($AJ52-$AI52-$AH52-$AG52-$AF52-$AE52*(1+FH$3))/$AJ52,'Технический лист'!$M:$N,2,1),(FG52-0.05)))</f>
        <v>1</v>
      </c>
      <c r="FI52" s="15">
        <f>MIN(1,MAX(VLOOKUP(($AJ52-$AI52-$AH52-$AG52-$AF52-$AE52*(1+FI$3))/$AJ52,'Технический лист'!$M:$N,2,1),(FH52-0.05)))</f>
        <v>1</v>
      </c>
      <c r="FJ52" s="15">
        <f>MIN(1,MAX(VLOOKUP(($AJ52-$AI52-$AH52-$AG52-$AF52-$AE52*(1+FJ$3))/$AJ52,'Технический лист'!$M:$N,2,1),(FI52-0.05)))</f>
        <v>1</v>
      </c>
      <c r="FK52" s="15">
        <f>MIN(1,MAX(VLOOKUP(($AJ52-$AI52-$AH52-$AG52-$AF52-$AE52*(1+FK$3))/$AJ52,'Технический лист'!$M:$N,2,1),(FJ52-0.05)))</f>
        <v>1</v>
      </c>
      <c r="FL52" s="15">
        <f>MIN(1,MAX(VLOOKUP(($AJ52-$AI52-$AH52-$AG52-$AF52-$AE52*(1+FL$3))/$AJ52,'Технический лист'!$M:$N,2,1),(FK52-0.05)))</f>
        <v>1</v>
      </c>
      <c r="FM52" s="15">
        <f>MIN(1,MAX(VLOOKUP(($AJ52-$AI52-$AH52-$AG52-$AF52-$AE52*(1+FM$3))/$AJ52,'Технический лист'!$M:$N,2,1),(FL52-0.05)))</f>
        <v>1</v>
      </c>
      <c r="FN52" s="15">
        <f>MIN(1,MAX(VLOOKUP(($AJ52-$AI52-$AH52-$AG52-$AF52-$AE52*(1+FN$3))/$AJ52,'Технический лист'!$M:$N,2,1),(FM52-0.05)))</f>
        <v>1</v>
      </c>
      <c r="FO52" s="15">
        <f>MIN(1,MAX(VLOOKUP(($AJ52-$AI52-$AH52-$AG52-$AF52-$AE52*(1+FO$3))/$AJ52,'Технический лист'!$M:$N,2,1),(FN52-0.05)))</f>
        <v>1</v>
      </c>
      <c r="FP52" s="15">
        <f>MIN(1,MAX(VLOOKUP(($AJ52-$AI52-$AH52-$AG52-$AF52-$AE52*(1+FP$3))/$AJ52,'Технический лист'!$M:$N,2,1),(FO52-0.05)))</f>
        <v>1</v>
      </c>
      <c r="FQ52" s="15">
        <f>MIN(1,MAX(VLOOKUP(($AJ52-$AI52-$AH52-$AG52-$AF52-$AE52*(1+FQ$3))/$AJ52,'Технический лист'!$M:$N,2,1),(FP52-0.05)))</f>
        <v>1</v>
      </c>
      <c r="FR52" s="15">
        <f>MIN(1,MAX(VLOOKUP(($AJ52-$AI52-$AH52-$AG52-$AF52-$AE52*(1+FR$3))/$AJ52,'Технический лист'!$M:$N,2,1),(FQ52-0.05)))</f>
        <v>1</v>
      </c>
      <c r="FS52" s="15">
        <f>MIN(1,MAX(VLOOKUP(($AJ52-$AI52-$AH52-$AG52-$AF52-$AE52*(1+FS$3))/$AJ52,'Технический лист'!$M:$N,2,1),(FR52-0.05)))</f>
        <v>1</v>
      </c>
      <c r="FT52" s="15">
        <f>MIN(1,MAX(VLOOKUP(($AJ52-$AI52-$AH52-$AG52-$AF52-$AE52*(1+FT$3))/$AJ52,'Технический лист'!$M:$N,2,1),(FS52-0.05)))</f>
        <v>1</v>
      </c>
      <c r="FU52" s="15">
        <f>MIN(1,MAX(VLOOKUP(($AJ52-$AI52-$AH52-$AG52-$AF52-$AE52*(1+FU$3))/$AJ52,'Технический лист'!$M:$N,2,1),(FT52-0.05)))</f>
        <v>1</v>
      </c>
      <c r="FV52" s="15">
        <f>MIN(1,MAX(VLOOKUP(($AJ52-$AI52-$AH52-$AG52-$AF52-$AE52*(1+FV$3))/$AJ52,'Технический лист'!$M:$N,2,1),(FU52-0.05)))</f>
        <v>1</v>
      </c>
      <c r="FW52" s="15">
        <f>MIN(1,MAX(VLOOKUP(($AJ52-$AI52-$AH52-$AG52-$AF52-$AE52*(1+FW$3))/$AJ52,'Технический лист'!$M:$N,2,1),(FV52-0.05)))</f>
        <v>1</v>
      </c>
      <c r="FX52" s="15">
        <f>MIN(1,MAX(VLOOKUP(($AJ52-$AI52-$AH52-$AG52-$AF52-$AE52*(1+FX$3))/$AJ52,'Технический лист'!$M:$N,2,1),(FW52-0.05)))</f>
        <v>1</v>
      </c>
      <c r="FY52" s="15">
        <f>MIN(1,MAX(VLOOKUP(($AJ52-$AI52-$AH52-$AG52-$AF52-$AE52*(1+FY$3))/$AJ52,'Технический лист'!$M:$N,2,1),(FX52-0.05)))</f>
        <v>1</v>
      </c>
      <c r="FZ52" s="15">
        <f>MIN(1,MAX(VLOOKUP(($AJ52-$AI52-$AH52-$AG52-$AF52-$AE52*(1+FZ$3))/$AJ52,'Технический лист'!$M:$N,2,1),(FY52-0.05)))</f>
        <v>1</v>
      </c>
      <c r="GA52" s="15">
        <f>MIN(1,MAX(VLOOKUP(($AJ52-$AI52-$AH52-$AG52-$AF52-$AE52*(1+GA$3))/$AJ52,'Технический лист'!$M:$N,2,1),(FZ52-0.05)))</f>
        <v>1</v>
      </c>
      <c r="GB52" s="15">
        <f>MIN(1,MAX(VLOOKUP(($AJ52-$AI52-$AH52-$AG52-$AF52-$AE52*(1+GB$3))/$AJ52,'Технический лист'!$M:$N,2,1),(GA52-0.05)))</f>
        <v>1</v>
      </c>
      <c r="GC52" s="15">
        <f>MIN(1,MAX(VLOOKUP(($AJ52-$AI52-$AH52-$AG52-$AF52-$AE52*(1+GC$3))/$AJ52,'Технический лист'!$M:$N,2,1),(GB52-0.05)))</f>
        <v>1</v>
      </c>
      <c r="GD52" s="15">
        <f>MIN(1,MAX(VLOOKUP(($AJ52-$AI52-$AH52-$AG52-$AF52-$AE52*(1+GD$3))/$AJ52,'Технический лист'!$M:$N,2,1),(GC52-0.05)))</f>
        <v>1</v>
      </c>
      <c r="GE52" s="15">
        <f>MIN(1,MAX(VLOOKUP(($AJ52-$AI52-$AH52-$AG52-$AF52-$AE52*(1+GE$3))/$AJ52,'Технический лист'!$M:$N,2,1),(GD52-0.05)))</f>
        <v>1</v>
      </c>
      <c r="GF52" s="15">
        <f>MIN(1,MAX(VLOOKUP(($AJ52-$AI52-$AH52-$AG52-$AF52-$AE52*(1+GF$3))/$AJ52,'Технический лист'!$M:$N,2,1),(GE52-0.05)))</f>
        <v>1</v>
      </c>
      <c r="GG52" s="15">
        <f>MIN(1,MAX(VLOOKUP(($AJ52-$AI52-$AH52-$AG52-$AF52-$AE52*(1+GG$3))/$AJ52,'Технический лист'!$M:$N,2,1),(GF52-0.05)))</f>
        <v>1</v>
      </c>
      <c r="GH52" s="15">
        <f>MIN(1,MAX(VLOOKUP(($AJ52-$AI52-$AH52-$AG52-$AF52-$AE52*(1+GH$3))/$AJ52,'Технический лист'!$M:$N,2,1),(GG52-0.05)))</f>
        <v>1</v>
      </c>
      <c r="GI52" s="15">
        <f>MIN(1,MAX(VLOOKUP(($AJ52-$AI52-$AH52-$AG52-$AF52-$AE52*(1+GI$3))/$AJ52,'Технический лист'!$M:$N,2,1),(GH52-0.05)))</f>
        <v>1</v>
      </c>
      <c r="GJ52" s="15">
        <f>MIN(1,MAX(VLOOKUP(($AJ52-$AI52-$AH52-$AG52-$AF52-$AE52*(1+GJ$3))/$AJ52,'Технический лист'!$M:$N,2,1),(GI52-0.05)))</f>
        <v>1</v>
      </c>
      <c r="GK52" s="15">
        <f>MIN(1,MAX(VLOOKUP(($AJ52-$AI52-$AH52-$AG52-$AF52-$AE52*(1+GK$3))/$AJ52,'Технический лист'!$M:$N,2,1),(GJ52-0.05)))</f>
        <v>1</v>
      </c>
      <c r="GL52" s="15">
        <f>MIN(1,MAX(VLOOKUP(($AJ52-$AI52-$AH52-$AG52-$AF52-$AE52*(1+GL$3))/$AJ52,'Технический лист'!$M:$N,2,1),(GK52-0.05)))</f>
        <v>1</v>
      </c>
      <c r="GM52" s="15">
        <f>MIN(1,MAX(VLOOKUP(($AJ52-$AI52-$AH52-$AG52-$AF52-$AE52*(1+GM$3))/$AJ52,'Технический лист'!$M:$N,2,1),(GL52-0.05)))</f>
        <v>1</v>
      </c>
      <c r="GN52" s="15">
        <f>MIN(1,MAX(VLOOKUP(($AJ52-$AI52-$AH52-$AG52-$AF52-$AE52*(1+GN$3))/$AJ52,'Технический лист'!$M:$N,2,1),(GM52-0.05)))</f>
        <v>1</v>
      </c>
      <c r="GO52" s="15">
        <f>MIN(1,MAX(VLOOKUP(($AJ52-$AI52-$AH52-$AG52-$AF52-$AE52*(1+GO$3))/$AJ52,'Технический лист'!$M:$N,2,1),(GN52-0.05)))</f>
        <v>1</v>
      </c>
      <c r="GP52" s="15">
        <f>MIN(1,MAX(VLOOKUP(($AJ52-$AI52-$AH52-$AG52-$AF52-$AE52*(1+GP$3))/$AJ52,'Технический лист'!$M:$N,2,1),(GO52-0.05)))</f>
        <v>1</v>
      </c>
      <c r="GQ52" s="15">
        <f>MIN(1,MAX(VLOOKUP(($AJ52-$AI52-$AH52-$AG52-$AF52-$AE52*(1+GQ$3))/$AJ52,'Технический лист'!$M:$N,2,1),(GP52-0.05)))</f>
        <v>1</v>
      </c>
      <c r="GR52" s="15">
        <f>MIN(1,MAX(VLOOKUP(($AJ52-$AI52-$AH52-$AG52-$AF52-$AE52*(1+GR$3))/$AJ52,'Технический лист'!$M:$N,2,1),(GQ52-0.05)))</f>
        <v>1</v>
      </c>
      <c r="GS52" s="15">
        <f>MIN(1,MAX(VLOOKUP(($AJ52-$AI52-$AH52-$AG52-$AF52-$AE52*(1+GS$3))/$AJ52,'Технический лист'!$M:$N,2,1),(GR52-0.05)))</f>
        <v>1</v>
      </c>
      <c r="GT52" s="15">
        <f>MIN(1,MAX(VLOOKUP(($AJ52-$AI52-$AH52-$AG52-$AF52-$AE52*(1+GT$3))/$AJ52,'Технический лист'!$M:$N,2,1),(GS52-0.05)))</f>
        <v>1</v>
      </c>
      <c r="GU52" s="15">
        <f>MIN(1,MAX(VLOOKUP(($AJ52-$AI52-$AH52-$AG52-$AF52-$AE52*(1+GU$3))/$AJ52,'Технический лист'!$M:$N,2,1),(GT52-0.05)))</f>
        <v>1</v>
      </c>
      <c r="GV52" s="15">
        <f>MIN(1,MAX(VLOOKUP(($AJ52-$AI52-$AH52-$AG52-$AF52-$AE52*(1+GV$3))/$AJ52,'Технический лист'!$M:$N,2,1),(GU52-0.05)))</f>
        <v>1</v>
      </c>
      <c r="GW52" s="15">
        <f>MIN(1,MAX(VLOOKUP(($AJ52-$AI52-$AH52-$AG52-$AF52-$AE52*(1+GW$3))/$AJ52,'Технический лист'!$M:$N,2,1),(GV52-0.05)))</f>
        <v>1</v>
      </c>
      <c r="GX52" s="15">
        <f>MIN(1,MAX(VLOOKUP(($AJ52-$AI52-$AH52-$AG52-$AF52-$AE52*(1+GX$3))/$AJ52,'Технический лист'!$M:$N,2,1),(GW52-0.05)))</f>
        <v>1</v>
      </c>
      <c r="GY52" s="15">
        <f>MIN(1,MAX(VLOOKUP(($AJ52-$AI52-$AH52-$AG52-$AF52-$AE52*(1+GY$3))/$AJ52,'Технический лист'!$M:$N,2,1),(GX52-0.05)))</f>
        <v>1</v>
      </c>
      <c r="GZ52" s="15">
        <f>MIN(1,MAX(VLOOKUP(($AJ52-$AI52-$AH52-$AG52-$AF52-$AE52*(1+GZ$3))/$AJ52,'Технический лист'!$M:$N,2,1),(GY52-0.05)))</f>
        <v>1</v>
      </c>
      <c r="HA52" s="15">
        <f>MIN(1,MAX(VLOOKUP(($AJ52-$AI52-$AH52-$AG52-$AF52-$AE52*(1+HA$3))/$AJ52,'Технический лист'!$M:$N,2,1),(GZ52-0.05)))</f>
        <v>1</v>
      </c>
      <c r="HB52" s="15">
        <f>MIN(1,MAX(VLOOKUP(($AJ52-$AI52-$AH52-$AG52-$AF52-$AE52*(1+HB$3))/$AJ52,'Технический лист'!$M:$N,2,1),(HA52-0.05)))</f>
        <v>1</v>
      </c>
      <c r="HC52" s="15">
        <f>MIN(1,MAX(VLOOKUP(($AJ52-$AI52-$AH52-$AG52-$AF52-$AE52*(1+HC$3))/$AJ52,'Технический лист'!$M:$N,2,1),(HB52-0.05)))</f>
        <v>1</v>
      </c>
      <c r="HD52" s="15">
        <f>MIN(1,MAX(VLOOKUP(($AJ52-$AI52-$AH52-$AG52-$AF52-$AE52*(1+HD$3))/$AJ52,'Технический лист'!$M:$N,2,1),(HC52-0.05)))</f>
        <v>1</v>
      </c>
      <c r="HE52" s="15">
        <f>MIN(1,MAX(VLOOKUP(($AJ52-$AI52-$AH52-$AG52-$AF52-$AE52*(1+HE$3))/$AJ52,'Технический лист'!$M:$N,2,1),(HD52-0.05)))</f>
        <v>1</v>
      </c>
      <c r="HF52" s="15">
        <f>MIN(1,MAX(VLOOKUP(($AJ52-$AI52-$AH52-$AG52-$AF52-$AE52*(1+HF$3))/$AJ52,'Технический лист'!$M:$N,2,1),(HE52-0.05)))</f>
        <v>1</v>
      </c>
      <c r="HG52" s="15">
        <f>MIN(1,MAX(VLOOKUP(($AJ52-$AI52-$AH52-$AG52-$AF52-$AE52*(1+HG$3))/$AJ52,'Технический лист'!$M:$N,2,1),(HF52-0.05)))</f>
        <v>1</v>
      </c>
      <c r="HH52" s="15">
        <f>MIN(1,MAX(VLOOKUP(($AJ52-$AI52-$AH52-$AG52-$AF52-$AE52*(1+HH$3))/$AJ52,'Технический лист'!$M:$N,2,1),(HG52-0.05)))</f>
        <v>1</v>
      </c>
      <c r="HI52" s="15">
        <f>MIN(1,MAX(VLOOKUP(($AJ52-$AI52-$AH52-$AG52-$AF52-$AE52*(1+HI$3))/$AJ52,'Технический лист'!$M:$N,2,1),(HH52-0.05)))</f>
        <v>1</v>
      </c>
      <c r="HJ52" s="15">
        <f>MIN(1,MAX(VLOOKUP(($AJ52-$AI52-$AH52-$AG52-$AF52-$AE52*(1+HJ$3))/$AJ52,'Технический лист'!$M:$N,2,1),(HI52-0.05)))</f>
        <v>1</v>
      </c>
      <c r="HK52" s="15">
        <f>MIN(1,MAX(VLOOKUP(($AJ52-$AI52-$AH52-$AG52-$AF52-$AE52*(1+HK$3))/$AJ52,'Технический лист'!$M:$N,2,1),(HJ52-0.05)))</f>
        <v>1</v>
      </c>
      <c r="HL52" s="15">
        <f>MIN(1,MAX(VLOOKUP(($AJ52-$AI52-$AH52-$AG52-$AF52-$AE52*(1+HL$3))/$AJ52,'Технический лист'!$M:$N,2,1),(HK52-0.05)))</f>
        <v>1</v>
      </c>
      <c r="HM52" s="15">
        <f>MIN(1,MAX(VLOOKUP(($AJ52-$AI52-$AH52-$AG52-$AF52-$AE52*(1+HM$3))/$AJ52,'Технический лист'!$M:$N,2,1),(HL52-0.05)))</f>
        <v>1</v>
      </c>
      <c r="HN52" s="15">
        <f>MIN(1,MAX(VLOOKUP(($AJ52-$AI52-$AH52-$AG52-$AF52-$AE52*(1+HN$3))/$AJ52,'Технический лист'!$M:$N,2,1),(HM52-0.05)))</f>
        <v>1</v>
      </c>
      <c r="HO52" s="15">
        <f>MIN(1,MAX(VLOOKUP(($AJ52-$AI52-$AH52-$AG52-$AF52-$AE52*(1+HO$3))/$AJ52,'Технический лист'!$M:$N,2,1),(HN52-0.05)))</f>
        <v>1</v>
      </c>
      <c r="HP52" s="15">
        <f>MIN(1,MAX(VLOOKUP(($AJ52-$AI52-$AH52-$AG52-$AF52-$AE52*(1+HP$3))/$AJ52,'Технический лист'!$M:$N,2,1),(HO52-0.05)))</f>
        <v>1</v>
      </c>
      <c r="HQ52" s="15">
        <f>MIN(1,MAX(VLOOKUP(($AJ52-$AI52-$AH52-$AG52-$AF52-$AE52*(1+HQ$3))/$AJ52,'Технический лист'!$M:$N,2,1),(HP52-0.05)))</f>
        <v>1</v>
      </c>
      <c r="HR52" s="15">
        <f>MIN(1,MAX(VLOOKUP(($AJ52-$AI52-$AH52-$AG52-$AF52-$AE52*(1+HR$3))/$AJ52,'Технический лист'!$M:$N,2,1),(HQ52-0.05)))</f>
        <v>1</v>
      </c>
      <c r="HS52" s="15">
        <f>MIN(1,MAX(VLOOKUP(($AJ52-$AI52-$AH52-$AG52-$AF52-$AE52*(1+HS$3))/$AJ52,'Технический лист'!$M:$N,2,1),(HR52-0.05)))</f>
        <v>1</v>
      </c>
      <c r="HT52" s="15">
        <f>MIN(1,MAX(VLOOKUP(($AJ52-$AI52-$AH52-$AG52-$AF52-$AE52*(1+HT$3))/$AJ52,'Технический лист'!$M:$N,2,1),(HS52-0.05)))</f>
        <v>1</v>
      </c>
      <c r="HU52" s="15">
        <f>MIN(1,MAX(VLOOKUP(($AJ52-$AI52-$AH52-$AG52-$AF52-$AE52*(1+HU$3))/$AJ52,'Технический лист'!$M:$N,2,1),(HT52-0.05)))</f>
        <v>1</v>
      </c>
      <c r="HV52" s="15">
        <f>MIN(1,MAX(VLOOKUP(($AJ52-$AI52-$AH52-$AG52-$AF52-$AE52*(1+HV$3))/$AJ52,'Технический лист'!$M:$N,2,1),(HU52-0.05)))</f>
        <v>1</v>
      </c>
      <c r="HW52" s="15">
        <f>MIN(1,MAX(VLOOKUP(($AJ52-$AI52-$AH52-$AG52-$AF52-$AE52*(1+HW$3))/$AJ52,'Технический лист'!$M:$N,2,1),(HV52-0.05)))</f>
        <v>1</v>
      </c>
      <c r="HX52" s="15">
        <f>MIN(1,MAX(VLOOKUP(($AJ52-$AI52-$AH52-$AG52-$AF52-$AE52*(1+HX$3))/$AJ52,'Технический лист'!$M:$N,2,1),(HW52-0.05)))</f>
        <v>1</v>
      </c>
      <c r="HY52" s="15">
        <f>MIN(1,MAX(VLOOKUP(($AJ52-$AI52-$AH52-$AG52-$AF52-$AE52*(1+HY$3))/$AJ52,'Технический лист'!$M:$N,2,1),(HX52-0.05)))</f>
        <v>1</v>
      </c>
      <c r="HZ52" s="15">
        <f>MIN(1,MAX(VLOOKUP(($AJ52-$AI52-$AH52-$AG52-$AF52-$AE52*(1+HZ$3))/$AJ52,'Технический лист'!$M:$N,2,1),(HY52-0.05)))</f>
        <v>1</v>
      </c>
      <c r="IA52" s="15">
        <f>MIN(1,MAX(VLOOKUP(($AJ52-$AI52-$AH52-$AG52-$AF52-$AE52*(1+IA$3))/$AJ52,'Технический лист'!$M:$N,2,1),(HZ52-0.05)))</f>
        <v>1</v>
      </c>
      <c r="IB52" s="15">
        <f>MIN(1,MAX(VLOOKUP(($AJ52-$AI52-$AH52-$AG52-$AF52-$AE52*(1+IB$3))/$AJ52,'Технический лист'!$M:$N,2,1),(IA52-0.05)))</f>
        <v>1</v>
      </c>
      <c r="IC52" s="15">
        <f>MIN(1,MAX(VLOOKUP(($AJ52-$AI52-$AH52-$AG52-$AF52-$AE52*(1+IC$3))/$AJ52,'Технический лист'!$M:$N,2,1),(IB52-0.05)))</f>
        <v>1</v>
      </c>
      <c r="ID52" s="15">
        <f>MIN(1,MAX(VLOOKUP(($AJ52-$AI52-$AH52-$AG52-$AF52-$AE52*(1+ID$3))/$AJ52,'Технический лист'!$M:$N,2,1),(IC52-0.05)))</f>
        <v>1</v>
      </c>
      <c r="IE52" s="15">
        <f>MIN(1,MAX(VLOOKUP(($AJ52-$AI52-$AH52-$AG52-$AF52-$AE52*(1+IE$3))/$AJ52,'Технический лист'!$M:$N,2,1),(ID52-0.05)))</f>
        <v>1</v>
      </c>
      <c r="IF52" s="15">
        <f>MIN(1,MAX(VLOOKUP(($AJ52-$AI52-$AH52-$AG52-$AF52-$AE52*(1+IF$3))/$AJ52,'Технический лист'!$M:$N,2,1),(IE52-0.05)))</f>
        <v>1</v>
      </c>
      <c r="IG52" s="15">
        <f>MIN(1,MAX(VLOOKUP(($AJ52-$AI52-$AH52-$AG52-$AF52-$AE52*(1+IG$3))/$AJ52,'Технический лист'!$M:$N,2,1),(IF52-0.05)))</f>
        <v>1</v>
      </c>
      <c r="IH52" s="15">
        <f>MIN(1,MAX(VLOOKUP(($AJ52-$AI52-$AH52-$AG52-$AF52-$AE52*(1+IH$3))/$AJ52,'Технический лист'!$M:$N,2,1),(IG52-0.05)))</f>
        <v>1</v>
      </c>
      <c r="II52" s="15">
        <f>MIN(1,MAX(VLOOKUP(($AJ52-$AI52-$AH52-$AG52-$AF52-$AE52*(1+II$3))/$AJ52,'Технический лист'!$M:$N,2,1),(IH52-0.05)))</f>
        <v>1</v>
      </c>
      <c r="IJ52" s="15">
        <f>MIN(1,MAX(VLOOKUP(($AJ52-$AI52-$AH52-$AG52-$AF52-$AE52*(1+IJ$3))/$AJ52,'Технический лист'!$M:$N,2,1),(II52-0.05)))</f>
        <v>1</v>
      </c>
      <c r="IK52" s="15">
        <f>MIN(1,MAX(VLOOKUP(($AJ52-$AI52-$AH52-$AG52-$AF52-$AE52*(1+IK$3))/$AJ52,'Технический лист'!$M:$N,2,1),(IJ52-0.05)))</f>
        <v>1</v>
      </c>
      <c r="IL52" s="15">
        <f>MIN(1,MAX(VLOOKUP(($AJ52-$AI52-$AH52-$AG52-$AF52-$AE52*(1+IL$3))/$AJ52,'Технический лист'!$M:$N,2,1),(IK52-0.05)))</f>
        <v>1</v>
      </c>
      <c r="IM52" s="15">
        <f>MIN(1,MAX(VLOOKUP(($AJ52-$AI52-$AH52-$AG52-$AF52-$AE52*(1+IM$3))/$AJ52,'Технический лист'!$M:$N,2,1),(IL52-0.05)))</f>
        <v>1</v>
      </c>
      <c r="IN52" s="15">
        <f>MIN(1,MAX(VLOOKUP(($AJ52-$AI52-$AH52-$AG52-$AF52-$AE52*(1+IN$3))/$AJ52,'Технический лист'!$M:$N,2,1),(IM52-0.05)))</f>
        <v>1</v>
      </c>
      <c r="IO52" s="15">
        <f>MIN(1,MAX(VLOOKUP(($AJ52-$AI52-$AH52-$AG52-$AF52-$AE52*(1+IO$3))/$AJ52,'Технический лист'!$M:$N,2,1),(IN52-0.05)))</f>
        <v>1</v>
      </c>
      <c r="IP52" s="15">
        <f>MIN(1,MAX(VLOOKUP(($AJ52-$AI52-$AH52-$AG52-$AF52-$AE52*(1+IP$3))/$AJ52,'Технический лист'!$M:$N,2,1),(IO52-0.05)))</f>
        <v>1</v>
      </c>
      <c r="IQ52" s="15">
        <f>MIN(1,MAX(VLOOKUP(($AJ52-$AI52-$AH52-$AG52-$AF52-$AE52*(1+IQ$3))/$AJ52,'Технический лист'!$M:$N,2,1),(IP52-0.05)))</f>
        <v>1</v>
      </c>
      <c r="IR52" s="15">
        <f>MIN(1,MAX(VLOOKUP(($AJ52-$AI52-$AH52-$AG52-$AF52-$AE52*(1+IR$3))/$AJ52,'Технический лист'!$M:$N,2,1),(IQ52-0.05)))</f>
        <v>1</v>
      </c>
    </row>
    <row r="53" spans="1:252" ht="29.15">
      <c r="A53" s="89" t="s">
        <v>514</v>
      </c>
      <c r="B53" s="90">
        <v>4</v>
      </c>
      <c r="C53" s="5" t="s">
        <v>67</v>
      </c>
      <c r="D53" s="91">
        <v>14109</v>
      </c>
      <c r="E53" s="91" t="s">
        <v>335</v>
      </c>
      <c r="F53" s="92" t="s">
        <v>74</v>
      </c>
      <c r="G53" s="91" t="s">
        <v>28</v>
      </c>
      <c r="H53" s="91" t="s">
        <v>16</v>
      </c>
      <c r="I53" s="91" t="s">
        <v>147</v>
      </c>
      <c r="J53" s="91" t="s">
        <v>148</v>
      </c>
      <c r="K53" s="91">
        <v>8116</v>
      </c>
      <c r="L53" s="85" t="s">
        <v>64</v>
      </c>
      <c r="M53" s="91" t="s">
        <v>190</v>
      </c>
      <c r="N53" s="91" t="s">
        <v>191</v>
      </c>
      <c r="O53" s="91" t="s">
        <v>194</v>
      </c>
      <c r="P53" s="89" t="s">
        <v>235</v>
      </c>
      <c r="Q53" s="91" t="s">
        <v>279</v>
      </c>
      <c r="R53" s="91" t="s">
        <v>267</v>
      </c>
      <c r="S53" s="82">
        <v>26178</v>
      </c>
      <c r="T53" s="82">
        <v>212463085</v>
      </c>
      <c r="U53" s="81">
        <v>355</v>
      </c>
      <c r="V53" s="81">
        <v>0</v>
      </c>
      <c r="W53" s="82">
        <v>53168604</v>
      </c>
      <c r="X53" s="112">
        <v>73</v>
      </c>
      <c r="Y53" s="112" t="s">
        <v>417</v>
      </c>
      <c r="Z53" s="113">
        <v>22</v>
      </c>
      <c r="AA53" s="113">
        <v>16</v>
      </c>
      <c r="AB53" s="113">
        <v>4</v>
      </c>
      <c r="AC53" s="99">
        <v>2262.84</v>
      </c>
      <c r="AD53" s="99">
        <f t="shared" si="15"/>
        <v>1111.7199999999998</v>
      </c>
      <c r="AE53" s="99">
        <v>3374.56</v>
      </c>
      <c r="AF53" s="98">
        <f>(Z53+AA53+AB53)*'Ставки аренды'!$B$2/X53</f>
        <v>575.34246575342468</v>
      </c>
      <c r="AG53" s="114">
        <v>0</v>
      </c>
      <c r="AH53" s="94">
        <v>0</v>
      </c>
      <c r="AI53" s="115">
        <f t="shared" ref="AI53" si="18">240828/411356*AJ53</f>
        <v>3161.4251402677969</v>
      </c>
      <c r="AJ53" s="117">
        <f>Цены!$D$14</f>
        <v>5400</v>
      </c>
      <c r="AK53" s="94">
        <f>AJ53/Цены!$B$1</f>
        <v>70.76816219014357</v>
      </c>
      <c r="AL53" s="95">
        <f t="shared" si="5"/>
        <v>3949.9024657534246</v>
      </c>
      <c r="AM53" s="95">
        <f t="shared" si="6"/>
        <v>1450.0975342465754</v>
      </c>
      <c r="AN53" s="94">
        <f t="shared" si="16"/>
        <v>7111.3276060212211</v>
      </c>
      <c r="AO53" s="118">
        <f t="shared" si="17"/>
        <v>-0.31691251963355943</v>
      </c>
      <c r="AP53" s="96">
        <f t="shared" si="7"/>
        <v>0.73146341958396754</v>
      </c>
      <c r="AQ53" s="96">
        <f t="shared" si="8"/>
        <v>0.62491851851851854</v>
      </c>
      <c r="AR53" s="96">
        <f t="shared" si="9"/>
        <v>0.85434008289020347</v>
      </c>
      <c r="AS53" s="122">
        <v>1</v>
      </c>
      <c r="AT53" s="121">
        <f t="shared" si="10"/>
        <v>26178</v>
      </c>
      <c r="AU53" s="83">
        <v>0.9</v>
      </c>
      <c r="AV53" s="119">
        <f t="shared" si="11"/>
        <v>-0.39190274185578178</v>
      </c>
      <c r="AW53" s="120">
        <f t="shared" si="12"/>
        <v>0.80645364180618984</v>
      </c>
      <c r="AX53" s="120">
        <f t="shared" si="13"/>
        <v>0.69990874074074083</v>
      </c>
      <c r="AY53" s="120">
        <f t="shared" si="14"/>
        <v>0.86788465505986978</v>
      </c>
      <c r="AZ53" s="15">
        <f>MIN(IF($AU53=100%,1,1+VLOOKUP(($AJ53-$AI53-$AH53-$AG53-$AF53-$AE53*(1+AZ$3))/$AJ53,'Технический лист'!$M:$N,2,1)-VLOOKUP($AO53,'Технический лист'!$M:$N,2,1)),1+(1-$AU53))</f>
        <v>1.1000000000000001</v>
      </c>
      <c r="BA53" s="15">
        <f>MIN(IF($AU53=100%,1,1+VLOOKUP(($AJ53-$AI53-$AH53-$AG53-$AF53-$AE53*(1+BA$3))/$AJ53,'Технический лист'!$M:$N,2,1)-VLOOKUP($AO53,'Технический лист'!$M:$N,2,1)),1+(1-$AU53))</f>
        <v>1.1000000000000001</v>
      </c>
      <c r="BB53" s="15">
        <f>MIN(IF($AU53=100%,1,1+VLOOKUP(($AJ53-$AI53-$AH53-$AG53-$AF53-$AE53*(1+BB$3))/$AJ53,'Технический лист'!$M:$N,2,1)-VLOOKUP($AO53,'Технический лист'!$M:$N,2,1)),1+(1-$AU53))</f>
        <v>1.1000000000000001</v>
      </c>
      <c r="BC53" s="15">
        <f>MIN(IF($AU53=100%,1,1+VLOOKUP(($AJ53-$AI53-$AH53-$AG53-$AF53-$AE53*(1+BC$3))/$AJ53,'Технический лист'!$M:$N,2,1)-VLOOKUP($AO53,'Технический лист'!$M:$N,2,1)),1+(1-$AU53))</f>
        <v>1.1000000000000001</v>
      </c>
      <c r="BD53" s="15">
        <f>MIN(IF($AU53=100%,1,1+VLOOKUP(($AJ53-$AI53-$AH53-$AG53-$AF53-$AE53*(1+BD$3))/$AJ53,'Технический лист'!$M:$N,2,1)-VLOOKUP($AO53,'Технический лист'!$M:$N,2,1)),1+(1-$AU53))</f>
        <v>1.1000000000000001</v>
      </c>
      <c r="BE53" s="15">
        <f>MIN(IF($AU53=100%,1,1+VLOOKUP(($AJ53-$AI53-$AH53-$AG53-$AF53-$AE53*(1+BE$3))/$AJ53,'Технический лист'!$M:$N,2,1)-VLOOKUP($AO53,'Технический лист'!$M:$N,2,1)),1+(1-$AU53))</f>
        <v>1.1000000000000001</v>
      </c>
      <c r="BF53" s="15">
        <f>MIN(IF($AU53=100%,1,1+VLOOKUP(($AJ53-$AI53-$AH53-$AG53-$AF53-$AE53*(1+BF$3))/$AJ53,'Технический лист'!$M:$N,2,1)-VLOOKUP($AO53,'Технический лист'!$M:$N,2,1)),1+(1-$AU53))</f>
        <v>1.1000000000000001</v>
      </c>
      <c r="BG53" s="15">
        <f>MIN(IF($AU53=100%,1,1+VLOOKUP(($AJ53-$AI53-$AH53-$AG53-$AF53-$AE53*(1+BG$3))/$AJ53,'Технический лист'!$M:$N,2,1)-VLOOKUP($AO53,'Технический лист'!$M:$N,2,1)),1+(1-$AU53))</f>
        <v>1.1000000000000001</v>
      </c>
      <c r="BH53" s="15">
        <f>MIN(IF($AU53=100%,1,1+VLOOKUP(($AJ53-$AI53-$AH53-$AG53-$AF53-$AE53*(1+BH$3))/$AJ53,'Технический лист'!$M:$N,2,1)-VLOOKUP($AO53,'Технический лист'!$M:$N,2,1)),1+(1-$AU53))</f>
        <v>1.1000000000000001</v>
      </c>
      <c r="BI53" s="15">
        <f>MIN(IF($AU53=100%,1,1+VLOOKUP(($AJ53-$AI53-$AH53-$AG53-$AF53-$AE53*(1+BI$3))/$AJ53,'Технический лист'!$M:$N,2,1)-VLOOKUP($AO53,'Технический лист'!$M:$N,2,1)),1+(1-$AU53))</f>
        <v>1.1000000000000001</v>
      </c>
      <c r="BJ53" s="15">
        <f>MIN(IF($AU53=100%,1,1+VLOOKUP(($AJ53-$AI53-$AH53-$AG53-$AF53-$AE53*(1+BJ$3))/$AJ53,'Технический лист'!$M:$N,2,1)-VLOOKUP($AO53,'Технический лист'!$M:$N,2,1)),1+(1-$AU53))</f>
        <v>1.1000000000000001</v>
      </c>
      <c r="BK53" s="15">
        <f>MIN(IF($AU53=100%,1,1+VLOOKUP(($AJ53-$AI53-$AH53-$AG53-$AF53-$AE53*(1+BK$3))/$AJ53,'Технический лист'!$M:$N,2,1)-VLOOKUP($AO53,'Технический лист'!$M:$N,2,1)),1+(1-$AU53))</f>
        <v>1.1000000000000001</v>
      </c>
      <c r="BL53" s="15">
        <f>MIN(IF($AU53=100%,1,1+VLOOKUP(($AJ53-$AI53-$AH53-$AG53-$AF53-$AE53*(1+BL$3))/$AJ53,'Технический лист'!$M:$N,2,1)-VLOOKUP($AO53,'Технический лист'!$M:$N,2,1)),1+(1-$AU53))</f>
        <v>1.1000000000000001</v>
      </c>
      <c r="BM53" s="15">
        <f>MIN(IF($AU53=100%,1,1+VLOOKUP(($AJ53-$AI53-$AH53-$AG53-$AF53-$AE53*(1+BM$3))/$AJ53,'Технический лист'!$M:$N,2,1)-VLOOKUP($AO53,'Технический лист'!$M:$N,2,1)),1+(1-$AU53))</f>
        <v>1.1000000000000001</v>
      </c>
      <c r="BN53" s="15">
        <f>MIN(IF($AU53=100%,1,1+VLOOKUP(($AJ53-$AI53-$AH53-$AG53-$AF53-$AE53*(1+BN$3))/$AJ53,'Технический лист'!$M:$N,2,1)-VLOOKUP($AO53,'Технический лист'!$M:$N,2,1)),1+(1-$AU53))</f>
        <v>1.1000000000000001</v>
      </c>
      <c r="BO53" s="15">
        <f>MIN(IF($AU53=100%,1,1+VLOOKUP(($AJ53-$AI53-$AH53-$AG53-$AF53-$AE53*(1+BO$3))/$AJ53,'Технический лист'!$M:$N,2,1)-VLOOKUP($AO53,'Технический лист'!$M:$N,2,1)),1+(1-$AU53))</f>
        <v>1.1000000000000001</v>
      </c>
      <c r="BP53" s="15">
        <f>MIN(IF($AU53=100%,1,1+VLOOKUP(($AJ53-$AI53-$AH53-$AG53-$AF53-$AE53*(1+BP$3))/$AJ53,'Технический лист'!$M:$N,2,1)-VLOOKUP($AO53,'Технический лист'!$M:$N,2,1)),1+(1-$AU53))</f>
        <v>1.1000000000000001</v>
      </c>
      <c r="BQ53" s="15">
        <f>MIN(IF($AU53=100%,1,1+VLOOKUP(($AJ53-$AI53-$AH53-$AG53-$AF53-$AE53*(1+BQ$3))/$AJ53,'Технический лист'!$M:$N,2,1)-VLOOKUP($AO53,'Технический лист'!$M:$N,2,1)),1+(1-$AU53))</f>
        <v>1.1000000000000001</v>
      </c>
      <c r="BR53" s="15">
        <f>MIN(IF($AU53=100%,1,1+VLOOKUP(($AJ53-$AI53-$AH53-$AG53-$AF53-$AE53*(1+BR$3))/$AJ53,'Технический лист'!$M:$N,2,1)-VLOOKUP($AO53,'Технический лист'!$M:$N,2,1)),1+(1-$AU53))</f>
        <v>1.1000000000000001</v>
      </c>
      <c r="BS53" s="15">
        <f>MIN(IF($AU53=100%,1,1+VLOOKUP(($AJ53-$AI53-$AH53-$AG53-$AF53-$AE53*(1+BS$3))/$AJ53,'Технический лист'!$M:$N,2,1)-VLOOKUP($AO53,'Технический лист'!$M:$N,2,1)),1+(1-$AU53))</f>
        <v>1.1000000000000001</v>
      </c>
      <c r="BT53" s="15">
        <f>MIN(IF($AU53=100%,1,1+VLOOKUP(($AJ53-$AI53-$AH53-$AG53-$AF53-$AE53*(1+BT$3))/$AJ53,'Технический лист'!$M:$N,2,1)-VLOOKUP($AO53,'Технический лист'!$M:$N,2,1)),1+(1-$AU53))</f>
        <v>1.1000000000000001</v>
      </c>
      <c r="BU53" s="15">
        <f>MIN(IF($AU53=100%,1,1+VLOOKUP(($AJ53-$AI53-$AH53-$AG53-$AF53-$AE53*(1+BU$3))/$AJ53,'Технический лист'!$M:$N,2,1)-VLOOKUP($AO53,'Технический лист'!$M:$N,2,1)),1+(1-$AU53))</f>
        <v>1.1000000000000001</v>
      </c>
      <c r="BV53" s="15">
        <f>MIN(IF($AU53=100%,1,1+VLOOKUP(($AJ53-$AI53-$AH53-$AG53-$AF53-$AE53*(1+BV$3))/$AJ53,'Технический лист'!$M:$N,2,1)-VLOOKUP($AO53,'Технический лист'!$M:$N,2,1)),1+(1-$AU53))</f>
        <v>1.1000000000000001</v>
      </c>
      <c r="BW53" s="15">
        <f>MIN(IF($AU53=100%,1,1+VLOOKUP(($AJ53-$AI53-$AH53-$AG53-$AF53-$AE53*(1+BW$3))/$AJ53,'Технический лист'!$M:$N,2,1)-VLOOKUP($AO53,'Технический лист'!$M:$N,2,1)),1+(1-$AU53))</f>
        <v>1.1000000000000001</v>
      </c>
      <c r="BX53" s="15">
        <f>MIN(IF($AU53=100%,1,1+VLOOKUP(($AJ53-$AI53-$AH53-$AG53-$AF53-$AE53*(1+BX$3))/$AJ53,'Технический лист'!$M:$N,2,1)-VLOOKUP($AO53,'Технический лист'!$M:$N,2,1)),1+(1-$AU53))</f>
        <v>1.1000000000000001</v>
      </c>
      <c r="BY53" s="15">
        <f>MIN(IF($AU53=100%,1,1+VLOOKUP(($AJ53-$AI53-$AH53-$AG53-$AF53-$AE53*(1+BY$3))/$AJ53,'Технический лист'!$M:$N,2,1)-VLOOKUP($AO53,'Технический лист'!$M:$N,2,1)),1+(1-$AU53))</f>
        <v>1.1000000000000001</v>
      </c>
      <c r="BZ53" s="15">
        <f>MIN(IF($AU53=100%,1,1+VLOOKUP(($AJ53-$AI53-$AH53-$AG53-$AF53-$AE53*(1+BZ$3))/$AJ53,'Технический лист'!$M:$N,2,1)-VLOOKUP($AO53,'Технический лист'!$M:$N,2,1)),1+(1-$AU53))</f>
        <v>1.1000000000000001</v>
      </c>
      <c r="CA53" s="15">
        <f>MIN(IF($AU53=100%,1,1+VLOOKUP(($AJ53-$AI53-$AH53-$AG53-$AF53-$AE53*(1+CA$3))/$AJ53,'Технический лист'!$M:$N,2,1)-VLOOKUP($AO53,'Технический лист'!$M:$N,2,1)),1+(1-$AU53))</f>
        <v>1.1000000000000001</v>
      </c>
      <c r="CB53" s="15">
        <f>MIN(IF($AU53=100%,1,1+VLOOKUP(($AJ53-$AI53-$AH53-$AG53-$AF53-$AE53*(1+CB$3))/$AJ53,'Технический лист'!$M:$N,2,1)-VLOOKUP($AO53,'Технический лист'!$M:$N,2,1)),1+(1-$AU53))</f>
        <v>1.1000000000000001</v>
      </c>
      <c r="CC53" s="15">
        <f>MIN(IF($AU53=100%,1,1+VLOOKUP(($AJ53-$AI53-$AH53-$AG53-$AF53-$AE53*(1+CC$3))/$AJ53,'Технический лист'!$M:$N,2,1)-VLOOKUP($AO53,'Технический лист'!$M:$N,2,1)),1+(1-$AU53))</f>
        <v>1.1000000000000001</v>
      </c>
      <c r="CD53" s="15">
        <f>MIN(IF($AU53=100%,1,1+VLOOKUP(($AJ53-$AI53-$AH53-$AG53-$AF53-$AE53*(1+CD$3))/$AJ53,'Технический лист'!$M:$N,2,1)-VLOOKUP($AO53,'Технический лист'!$M:$N,2,1)),1+(1-$AU53))</f>
        <v>1.1000000000000001</v>
      </c>
      <c r="CE53" s="15">
        <f>MIN(IF($AU53=100%,1,1+VLOOKUP(($AJ53-$AI53-$AH53-$AG53-$AF53-$AE53*(1+CE$3))/$AJ53,'Технический лист'!$M:$N,2,1)-VLOOKUP($AO53,'Технический лист'!$M:$N,2,1)),1+(1-$AU53))</f>
        <v>1.1000000000000001</v>
      </c>
      <c r="CF53" s="15">
        <f>MIN(IF($AU53=100%,1,1+VLOOKUP(($AJ53-$AI53-$AH53-$AG53-$AF53-$AE53*(1+CF$3))/$AJ53,'Технический лист'!$M:$N,2,1)-VLOOKUP($AO53,'Технический лист'!$M:$N,2,1)),1+(1-$AU53))</f>
        <v>1.1000000000000001</v>
      </c>
      <c r="CG53" s="15">
        <f>MIN(IF($AU53=100%,1,1+VLOOKUP(($AJ53-$AI53-$AH53-$AG53-$AF53-$AE53*(1+CG$3))/$AJ53,'Технический лист'!$M:$N,2,1)-VLOOKUP($AO53,'Технический лист'!$M:$N,2,1)),1+(1-$AU53))</f>
        <v>1.1000000000000001</v>
      </c>
      <c r="CH53" s="15">
        <f>MIN(IF($AU53=100%,1,1+VLOOKUP(($AJ53-$AI53-$AH53-$AG53-$AF53-$AE53*(1+CH$3))/$AJ53,'Технический лист'!$M:$N,2,1)-VLOOKUP($AO53,'Технический лист'!$M:$N,2,1)),1+(1-$AU53))</f>
        <v>1.1000000000000001</v>
      </c>
      <c r="CI53" s="15">
        <f>MIN(IF($AU53=100%,1,1+VLOOKUP(($AJ53-$AI53-$AH53-$AG53-$AF53-$AE53*(1+CI$3))/$AJ53,'Технический лист'!$M:$N,2,1)-VLOOKUP($AO53,'Технический лист'!$M:$N,2,1)),1+(1-$AU53))</f>
        <v>1.1000000000000001</v>
      </c>
      <c r="CJ53" s="15">
        <f>MIN(IF($AU53=100%,1,1+VLOOKUP(($AJ53-$AI53-$AH53-$AG53-$AF53-$AE53*(1+CJ$3))/$AJ53,'Технический лист'!$M:$N,2,1)-VLOOKUP($AO53,'Технический лист'!$M:$N,2,1)),1+(1-$AU53))</f>
        <v>1.1000000000000001</v>
      </c>
      <c r="CK53" s="15">
        <f>MIN(IF($AU53=100%,1,1+VLOOKUP(($AJ53-$AI53-$AH53-$AG53-$AF53-$AE53*(1+CK$3))/$AJ53,'Технический лист'!$M:$N,2,1)-VLOOKUP($AO53,'Технический лист'!$M:$N,2,1)),1+(1-$AU53))</f>
        <v>1.1000000000000001</v>
      </c>
      <c r="CL53" s="15">
        <f>MIN(IF($AU53=100%,1,1+VLOOKUP(($AJ53-$AI53-$AH53-$AG53-$AF53-$AE53*(1+CL$3))/$AJ53,'Технический лист'!$M:$N,2,1)-VLOOKUP($AO53,'Технический лист'!$M:$N,2,1)),1+(1-$AU53))</f>
        <v>1.1000000000000001</v>
      </c>
      <c r="CM53" s="15">
        <f>MIN(IF($AU53=100%,1,1+VLOOKUP(($AJ53-$AI53-$AH53-$AG53-$AF53-$AE53*(1+CM$3))/$AJ53,'Технический лист'!$M:$N,2,1)-VLOOKUP($AO53,'Технический лист'!$M:$N,2,1)),1+(1-$AU53))</f>
        <v>1.1000000000000001</v>
      </c>
      <c r="CN53" s="15">
        <f>MIN(IF($AU53=100%,1,1+VLOOKUP(($AJ53-$AI53-$AH53-$AG53-$AF53-$AE53*(1+CN$3))/$AJ53,'Технический лист'!$M:$N,2,1)-VLOOKUP($AO53,'Технический лист'!$M:$N,2,1)),1+(1-$AU53))</f>
        <v>1.1000000000000001</v>
      </c>
      <c r="CO53" s="15">
        <f>MIN(IF($AU53=100%,1,1+VLOOKUP(($AJ53-$AI53-$AH53-$AG53-$AF53-$AE53*(1+CO$3))/$AJ53,'Технический лист'!$M:$N,2,1)-VLOOKUP($AO53,'Технический лист'!$M:$N,2,1)),1+(1-$AU53))</f>
        <v>1.1000000000000001</v>
      </c>
      <c r="CP53" s="15">
        <f>MIN(IF($AU53=100%,1,1+VLOOKUP(($AJ53-$AI53-$AH53-$AG53-$AF53-$AE53*(1+CP$3))/$AJ53,'Технический лист'!$M:$N,2,1)-VLOOKUP($AO53,'Технический лист'!$M:$N,2,1)),1+(1-$AU53))</f>
        <v>1.1000000000000001</v>
      </c>
      <c r="CQ53" s="15">
        <f>MIN(IF($AU53=100%,1,1+VLOOKUP(($AJ53-$AI53-$AH53-$AG53-$AF53-$AE53*(1+CQ$3))/$AJ53,'Технический лист'!$M:$N,2,1)-VLOOKUP($AO53,'Технический лист'!$M:$N,2,1)),1+(1-$AU53))</f>
        <v>1.1000000000000001</v>
      </c>
      <c r="CR53" s="15">
        <f>MIN(IF($AU53=100%,1,1+VLOOKUP(($AJ53-$AI53-$AH53-$AG53-$AF53-$AE53*(1+CR$3))/$AJ53,'Технический лист'!$M:$N,2,1)-VLOOKUP($AO53,'Технический лист'!$M:$N,2,1)),1+(1-$AU53))</f>
        <v>1.1000000000000001</v>
      </c>
      <c r="CS53" s="15">
        <f>MIN(IF($AU53=100%,1,1+VLOOKUP(($AJ53-$AI53-$AH53-$AG53-$AF53-$AE53*(1+CS$3))/$AJ53,'Технический лист'!$M:$N,2,1)-VLOOKUP($AO53,'Технический лист'!$M:$N,2,1)),1+(1-$AU53))</f>
        <v>1.1000000000000001</v>
      </c>
      <c r="CT53" s="15">
        <f>MIN(IF($AU53=100%,1,1+VLOOKUP(($AJ53-$AI53-$AH53-$AG53-$AF53-$AE53*(1+CT$3))/$AJ53,'Технический лист'!$M:$N,2,1)-VLOOKUP($AO53,'Технический лист'!$M:$N,2,1)),1+(1-$AU53))</f>
        <v>1.1000000000000001</v>
      </c>
      <c r="CU53" s="15">
        <f>MIN(IF($AU53=100%,1,1+VLOOKUP(($AJ53-$AI53-$AH53-$AG53-$AF53-$AE53*(1+CU$3))/$AJ53,'Технический лист'!$M:$N,2,1)-VLOOKUP($AO53,'Технический лист'!$M:$N,2,1)),1+(1-$AU53))</f>
        <v>1.1000000000000001</v>
      </c>
      <c r="CV53" s="15">
        <f>MIN(IF($AU53=100%,1,1+VLOOKUP(($AJ53-$AI53-$AH53-$AG53-$AF53-$AE53*(1+CV$3))/$AJ53,'Технический лист'!$M:$N,2,1)-VLOOKUP($AO53,'Технический лист'!$M:$N,2,1)),1+(1-$AU53))</f>
        <v>1.1000000000000001</v>
      </c>
      <c r="CW53" s="15">
        <f>MIN(IF($AU53=100%,1,1+VLOOKUP(($AJ53-$AI53-$AH53-$AG53-$AF53-$AE53*(1+CW$3))/$AJ53,'Технический лист'!$M:$N,2,1)-VLOOKUP($AO53,'Технический лист'!$M:$N,2,1)),1+(1-$AU53))</f>
        <v>1.1000000000000001</v>
      </c>
      <c r="CX53" s="15">
        <f>MIN(IF($AU53=100%,1,1+VLOOKUP(($AJ53-$AI53-$AH53-$AG53-$AF53-$AE53*(1+CX$3))/$AJ53,'Технический лист'!$M:$N,2,1)-VLOOKUP($AO53,'Технический лист'!$M:$N,2,1)),1+(1-$AU53))</f>
        <v>1.1000000000000001</v>
      </c>
      <c r="CY53" s="15">
        <f>MIN(IF($AU53=100%,1,1+VLOOKUP(($AJ53-$AI53-$AH53-$AG53-$AF53-$AE53*(1+CY$3))/$AJ53,'Технический лист'!$M:$N,2,1)-VLOOKUP($AO53,'Технический лист'!$M:$N,2,1)),1+(1-$AU53))</f>
        <v>1.1000000000000001</v>
      </c>
      <c r="CZ53" s="15">
        <f>MIN(IF($AU53=100%,1,1+VLOOKUP(($AJ53-$AI53-$AH53-$AG53-$AF53-$AE53*(1+CZ$3))/$AJ53,'Технический лист'!$M:$N,2,1)-VLOOKUP($AO53,'Технический лист'!$M:$N,2,1)),1+(1-$AU53))</f>
        <v>1.1000000000000001</v>
      </c>
      <c r="DA53" s="15">
        <f>MIN(IF($AU53=100%,1,1+VLOOKUP(($AJ53-$AI53-$AH53-$AG53-$AF53-$AE53*(1+DA$3))/$AJ53,'Технический лист'!$M:$N,2,1)-VLOOKUP($AO53,'Технический лист'!$M:$N,2,1)),1+(1-$AU53))</f>
        <v>1.1000000000000001</v>
      </c>
      <c r="DB53" s="15">
        <f>MIN(IF($AU53=100%,1,1+VLOOKUP(($AJ53-$AI53-$AH53-$AG53-$AF53-$AE53*(1+DB$3))/$AJ53,'Технический лист'!$M:$N,2,1)-VLOOKUP($AO53,'Технический лист'!$M:$N,2,1)),1+(1-$AU53))</f>
        <v>1.1000000000000001</v>
      </c>
      <c r="DC53" s="15">
        <f>MIN(IF($AU53=100%,1,1+VLOOKUP(($AJ53-$AI53-$AH53-$AG53-$AF53-$AE53*(1+DC$3))/$AJ53,'Технический лист'!$M:$N,2,1)-VLOOKUP($AO53,'Технический лист'!$M:$N,2,1)),1+(1-$AU53))</f>
        <v>1.1000000000000001</v>
      </c>
      <c r="DD53" s="15">
        <f>MIN(IF($AU53=100%,1,1+VLOOKUP(($AJ53-$AI53-$AH53-$AG53-$AF53-$AE53*(1+DD$3))/$AJ53,'Технический лист'!$M:$N,2,1)-VLOOKUP($AO53,'Технический лист'!$M:$N,2,1)),1+(1-$AU53))</f>
        <v>1.1000000000000001</v>
      </c>
      <c r="DE53" s="15">
        <f>MIN(IF($AU53=100%,1,1+VLOOKUP(($AJ53-$AI53-$AH53-$AG53-$AF53-$AE53*(1+DE$3))/$AJ53,'Технический лист'!$M:$N,2,1)-VLOOKUP($AO53,'Технический лист'!$M:$N,2,1)),1+(1-$AU53))</f>
        <v>1.1000000000000001</v>
      </c>
      <c r="DF53" s="15">
        <f>MIN(IF($AU53=100%,1,1+VLOOKUP(($AJ53-$AI53-$AH53-$AG53-$AF53-$AE53*(1+DF$3))/$AJ53,'Технический лист'!$M:$N,2,1)-VLOOKUP($AO53,'Технический лист'!$M:$N,2,1)),1+(1-$AU53))</f>
        <v>1.1000000000000001</v>
      </c>
      <c r="DG53" s="15">
        <f>MIN(IF($AU53=100%,1,1+VLOOKUP(($AJ53-$AI53-$AH53-$AG53-$AF53-$AE53*(1+DG$3))/$AJ53,'Технический лист'!$M:$N,2,1)-VLOOKUP($AO53,'Технический лист'!$M:$N,2,1)),1+(1-$AU53))</f>
        <v>1.1000000000000001</v>
      </c>
      <c r="DH53" s="15">
        <f>MIN(IF($AU53=100%,1,1+VLOOKUP(($AJ53-$AI53-$AH53-$AG53-$AF53-$AE53*(1+DH$3))/$AJ53,'Технический лист'!$M:$N,2,1)-VLOOKUP($AO53,'Технический лист'!$M:$N,2,1)),1+(1-$AU53))</f>
        <v>1.1000000000000001</v>
      </c>
      <c r="DI53" s="15">
        <f>MIN(IF($AU53=100%,1,1+VLOOKUP(($AJ53-$AI53-$AH53-$AG53-$AF53-$AE53*(1+DI$3))/$AJ53,'Технический лист'!$M:$N,2,1)-VLOOKUP($AO53,'Технический лист'!$M:$N,2,1)),1+(1-$AU53))</f>
        <v>1.1000000000000001</v>
      </c>
      <c r="DJ53" s="15">
        <f>MIN(IF($AU53=100%,1,1+VLOOKUP(($AJ53-$AI53-$AH53-$AG53-$AF53-$AE53*(1+DJ$3))/$AJ53,'Технический лист'!$M:$N,2,1)-VLOOKUP($AO53,'Технический лист'!$M:$N,2,1)),1+(1-$AU53))</f>
        <v>1.1000000000000001</v>
      </c>
      <c r="DK53" s="15">
        <f>MIN(IF($AU53=100%,1,1+VLOOKUP(($AJ53-$AI53-$AH53-$AG53-$AF53-$AE53*(1+DK$3))/$AJ53,'Технический лист'!$M:$N,2,1)-VLOOKUP($AO53,'Технический лист'!$M:$N,2,1)),1+(1-$AU53))</f>
        <v>1.1000000000000001</v>
      </c>
      <c r="DL53" s="15">
        <f>MIN(IF($AU53=100%,1,1+VLOOKUP(($AJ53-$AI53-$AH53-$AG53-$AF53-$AE53*(1+DL$3))/$AJ53,'Технический лист'!$M:$N,2,1)-VLOOKUP($AO53,'Технический лист'!$M:$N,2,1)),1+(1-$AU53))</f>
        <v>1.1000000000000001</v>
      </c>
      <c r="DM53" s="15">
        <f>MIN(IF($AU53=100%,1,1+VLOOKUP(($AJ53-$AI53-$AH53-$AG53-$AF53-$AE53*(1+DM$3))/$AJ53,'Технический лист'!$M:$N,2,1)-VLOOKUP($AO53,'Технический лист'!$M:$N,2,1)),1+(1-$AU53))</f>
        <v>1.1000000000000001</v>
      </c>
      <c r="DN53" s="15">
        <f>MIN(IF($AU53=100%,1,1+VLOOKUP(($AJ53-$AI53-$AH53-$AG53-$AF53-$AE53*(1+DN$3))/$AJ53,'Технический лист'!$M:$N,2,1)-VLOOKUP($AO53,'Технический лист'!$M:$N,2,1)),1+(1-$AU53))</f>
        <v>1.1000000000000001</v>
      </c>
      <c r="DO53" s="15">
        <f>MIN(IF($AU53=100%,1,1+VLOOKUP(($AJ53-$AI53-$AH53-$AG53-$AF53-$AE53*(1+DO$3))/$AJ53,'Технический лист'!$M:$N,2,1)-VLOOKUP($AO53,'Технический лист'!$M:$N,2,1)),1+(1-$AU53))</f>
        <v>1.1000000000000001</v>
      </c>
      <c r="DP53" s="15">
        <f>MIN(IF($AU53=100%,1,1+VLOOKUP(($AJ53-$AI53-$AH53-$AG53-$AF53-$AE53*(1+DP$3))/$AJ53,'Технический лист'!$M:$N,2,1)-VLOOKUP($AO53,'Технический лист'!$M:$N,2,1)),1+(1-$AU53))</f>
        <v>1.1000000000000001</v>
      </c>
      <c r="DQ53" s="15">
        <f>MIN(IF($AU53=100%,1,1+VLOOKUP(($AJ53-$AI53-$AH53-$AG53-$AF53-$AE53*(1+DQ$3))/$AJ53,'Технический лист'!$M:$N,2,1)-VLOOKUP($AO53,'Технический лист'!$M:$N,2,1)),1+(1-$AU53))</f>
        <v>1.1000000000000001</v>
      </c>
      <c r="DR53" s="15">
        <f>MIN(IF($AU53=100%,1,1+VLOOKUP(($AJ53-$AI53-$AH53-$AG53-$AF53-$AE53*(1+DR$3))/$AJ53,'Технический лист'!$M:$N,2,1)-VLOOKUP($AO53,'Технический лист'!$M:$N,2,1)),1+(1-$AU53))</f>
        <v>1.1000000000000001</v>
      </c>
      <c r="DS53" s="15">
        <f>MIN(IF($AU53=100%,1,1+VLOOKUP(($AJ53-$AI53-$AH53-$AG53-$AF53-$AE53*(1+DS$3))/$AJ53,'Технический лист'!$M:$N,2,1)-VLOOKUP($AO53,'Технический лист'!$M:$N,2,1)),1+(1-$AU53))</f>
        <v>1.06</v>
      </c>
      <c r="DT53" s="15">
        <f>MIN(IF($AU53=100%,1,1+VLOOKUP(($AJ53-$AI53-$AH53-$AG53-$AF53-$AE53*(1+DT$3))/$AJ53,'Технический лист'!$M:$N,2,1)-VLOOKUP($AO53,'Технический лист'!$M:$N,2,1)),1+(1-$AU53))</f>
        <v>1.06</v>
      </c>
      <c r="DU53" s="15">
        <f>MIN(IF($AU53=100%,1,1+VLOOKUP(($AJ53-$AI53-$AH53-$AG53-$AF53-$AE53*(1+DU$3))/$AJ53,'Технический лист'!$M:$N,2,1)-VLOOKUP($AO53,'Технический лист'!$M:$N,2,1)),1+(1-$AU53))</f>
        <v>1</v>
      </c>
      <c r="DV53" s="15">
        <f>MIN(IF($AU53=100%,1,1+VLOOKUP(($AJ53-$AI53-$AH53-$AG53-$AF53-$AE53*(1+DV$3))/$AJ53,'Технический лист'!$M:$N,2,1)-VLOOKUP($AO53,'Технический лист'!$M:$N,2,1)),1+(1-$AU53))</f>
        <v>1</v>
      </c>
      <c r="DW53" s="15">
        <f>MIN(IF($AU53=100%,1,1+VLOOKUP(($AJ53-$AI53-$AH53-$AG53-$AF53-$AE53*(1+DW$3))/$AJ53,'Технический лист'!$M:$N,2,1)-VLOOKUP($AO53,'Технический лист'!$M:$N,2,1)),1+(1-$AU53))</f>
        <v>1</v>
      </c>
      <c r="DX53" s="15">
        <f>MIN(IF($AU53=100%,1,1+VLOOKUP(($AJ53-$AI53-$AH53-$AG53-$AF53-$AE53*(1+DX$3))/$AJ53,'Технический лист'!$M:$N,2,1)-VLOOKUP($AO53,'Технический лист'!$M:$N,2,1)),1+(1-$AU53))</f>
        <v>1</v>
      </c>
      <c r="DY53" s="15">
        <f>MIN(IF($AU53=100%,1,1+VLOOKUP(($AJ53-$AI53-$AH53-$AG53-$AF53-$AE53*(1+DY$3))/$AJ53,'Технический лист'!$M:$N,2,1)-VLOOKUP($AO53,'Технический лист'!$M:$N,2,1)),1+(1-$AU53))</f>
        <v>1</v>
      </c>
      <c r="DZ53" s="15">
        <f>MIN(IF($AU53=100%,1,1+VLOOKUP(($AJ53-$AI53-$AH53-$AG53-$AF53-$AE53*(1+DZ$3))/$AJ53,'Технический лист'!$M:$N,2,1)-VLOOKUP($AO53,'Технический лист'!$M:$N,2,1)),1+(1-$AU53))</f>
        <v>1</v>
      </c>
      <c r="EA53" s="15">
        <f>MIN(IF($AU53=100%,1,1+VLOOKUP(($AJ53-$AI53-$AH53-$AG53-$AF53-$AE53*(1+EA$3))/$AJ53,'Технический лист'!$M:$N,2,1)-VLOOKUP($AO53,'Технический лист'!$M:$N,2,1)),1+(1-$AU53))</f>
        <v>1</v>
      </c>
      <c r="EB53" s="15">
        <f>MIN(IF($AU53=100%,1,1+VLOOKUP(($AJ53-$AI53-$AH53-$AG53-$AF53-$AE53*(1+EB$3))/$AJ53,'Технический лист'!$M:$N,2,1)-VLOOKUP($AO53,'Технический лист'!$M:$N,2,1)),1+(1-$AU53))</f>
        <v>1</v>
      </c>
      <c r="EC53" s="15">
        <f>MIN(IF($AU53=100%,1,1+VLOOKUP(($AJ53-$AI53-$AH53-$AG53-$AF53-$AE53*(1+EC$3))/$AJ53,'Технический лист'!$M:$N,2,1)-VLOOKUP($AO53,'Технический лист'!$M:$N,2,1)),1+(1-$AU53))</f>
        <v>1</v>
      </c>
      <c r="ED53" s="15">
        <f>MIN(IF($AU53=100%,1,1+VLOOKUP(($AJ53-$AI53-$AH53-$AG53-$AF53-$AE53*(1+ED$3))/$AJ53,'Технический лист'!$M:$N,2,1)-VLOOKUP($AO53,'Технический лист'!$M:$N,2,1)),1+(1-$AU53))</f>
        <v>1</v>
      </c>
      <c r="EE53" s="15">
        <f>MIN(IF($AU53=100%,1,1+VLOOKUP(($AJ53-$AI53-$AH53-$AG53-$AF53-$AE53*(1+EE$3))/$AJ53,'Технический лист'!$M:$N,2,1)-VLOOKUP($AO53,'Технический лист'!$M:$N,2,1)),1+(1-$AU53))</f>
        <v>1</v>
      </c>
      <c r="EF53" s="15">
        <f>MIN(IF($AU53=100%,1,1+VLOOKUP(($AJ53-$AI53-$AH53-$AG53-$AF53-$AE53*(1+EF$3))/$AJ53,'Технический лист'!$M:$N,2,1)-VLOOKUP($AO53,'Технический лист'!$M:$N,2,1)),1+(1-$AU53))</f>
        <v>1</v>
      </c>
      <c r="EG53" s="15">
        <f>MIN(IF($AU53=100%,1,1+VLOOKUP(($AJ53-$AI53-$AH53-$AG53-$AF53-$AE53*(1+EG$3))/$AJ53,'Технический лист'!$M:$N,2,1)-VLOOKUP($AO53,'Технический лист'!$M:$N,2,1)),1+(1-$AU53))</f>
        <v>1</v>
      </c>
      <c r="EH53" s="15">
        <f>MIN(IF($AU53=100%,1,1+VLOOKUP(($AJ53-$AI53-$AH53-$AG53-$AF53-$AE53*(1+EH$3))/$AJ53,'Технический лист'!$M:$N,2,1)-VLOOKUP($AO53,'Технический лист'!$M:$N,2,1)),1+(1-$AU53))</f>
        <v>1</v>
      </c>
      <c r="EI53" s="15">
        <f>MIN(IF($AU53=100%,1,1+VLOOKUP(($AJ53-$AI53-$AH53-$AG53-$AF53-$AE53*(1+EI$3))/$AJ53,'Технический лист'!$M:$N,2,1)-VLOOKUP($AO53,'Технический лист'!$M:$N,2,1)),1+(1-$AU53))</f>
        <v>1</v>
      </c>
      <c r="EJ53" s="15">
        <f>MIN(IF($AU53=100%,1,1+VLOOKUP(($AJ53-$AI53-$AH53-$AG53-$AF53-$AE53*(1+EJ$3))/$AJ53,'Технический лист'!$M:$N,2,1)-VLOOKUP($AO53,'Технический лист'!$M:$N,2,1)),1+(1-$AU53))</f>
        <v>1</v>
      </c>
      <c r="EK53" s="15">
        <f>MIN(IF($AU53=100%,1,1+VLOOKUP(($AJ53-$AI53-$AH53-$AG53-$AF53-$AE53*(1+EK$3))/$AJ53,'Технический лист'!$M:$N,2,1)-VLOOKUP($AO53,'Технический лист'!$M:$N,2,1)),1+(1-$AU53))</f>
        <v>1</v>
      </c>
      <c r="EL53" s="15">
        <f>MIN(IF($AU53=100%,1,1+VLOOKUP(($AJ53-$AI53-$AH53-$AG53-$AF53-$AE53*(1+EL$3))/$AJ53,'Технический лист'!$M:$N,2,1)-VLOOKUP($AO53,'Технический лист'!$M:$N,2,1)),1+(1-$AU53))</f>
        <v>1</v>
      </c>
      <c r="EM53" s="15">
        <f>MIN(IF($AU53=100%,1,1+VLOOKUP(($AJ53-$AI53-$AH53-$AG53-$AF53-$AE53*(1+EM$3))/$AJ53,'Технический лист'!$M:$N,2,1)-VLOOKUP($AO53,'Технический лист'!$M:$N,2,1)),1+(1-$AU53))</f>
        <v>1</v>
      </c>
      <c r="EN53" s="15">
        <f>MIN(IF($AU53=100%,1,1+VLOOKUP(($AJ53-$AI53-$AH53-$AG53-$AF53-$AE53*(1+EN$3))/$AJ53,'Технический лист'!$M:$N,2,1)-VLOOKUP($AO53,'Технический лист'!$M:$N,2,1)),1+(1-$AU53))</f>
        <v>1</v>
      </c>
      <c r="EO53" s="15">
        <f>MIN(IF($AU53=100%,1,1+VLOOKUP(($AJ53-$AI53-$AH53-$AG53-$AF53-$AE53*(1+EO$3))/$AJ53,'Технический лист'!$M:$N,2,1)-VLOOKUP($AO53,'Технический лист'!$M:$N,2,1)),1+(1-$AU53))</f>
        <v>1</v>
      </c>
      <c r="EP53" s="15">
        <f>MIN(IF($AU53=100%,1,1+VLOOKUP(($AJ53-$AI53-$AH53-$AG53-$AF53-$AE53*(1+EP$3))/$AJ53,'Технический лист'!$M:$N,2,1)-VLOOKUP($AO53,'Технический лист'!$M:$N,2,1)),1+(1-$AU53))</f>
        <v>1</v>
      </c>
      <c r="EQ53" s="15">
        <f>MIN(IF($AU53=100%,1,1+VLOOKUP(($AJ53-$AI53-$AH53-$AG53-$AF53-$AE53*(1+EQ$3))/$AJ53,'Технический лист'!$M:$N,2,1)-VLOOKUP($AO53,'Технический лист'!$M:$N,2,1)),1+(1-$AU53))</f>
        <v>1</v>
      </c>
      <c r="ER53" s="15">
        <f>MIN(IF($AU53=100%,1,1+VLOOKUP(($AJ53-$AI53-$AH53-$AG53-$AF53-$AE53*(1+ER$3))/$AJ53,'Технический лист'!$M:$N,2,1)-VLOOKUP($AO53,'Технический лист'!$M:$N,2,1)),1+(1-$AU53))</f>
        <v>1</v>
      </c>
      <c r="ES53" s="15">
        <f>MIN(IF($AU53=100%,1,1+VLOOKUP(($AJ53-$AI53-$AH53-$AG53-$AF53-$AE53*(1+ES$3))/$AJ53,'Технический лист'!$M:$N,2,1)-VLOOKUP($AO53,'Технический лист'!$M:$N,2,1)),1+(1-$AU53))</f>
        <v>1</v>
      </c>
      <c r="ET53" s="15">
        <f>MIN(IF($AU53=100%,1,1+VLOOKUP(($AJ53-$AI53-$AH53-$AG53-$AF53-$AE53*(1+ET$3))/$AJ53,'Технический лист'!$M:$N,2,1)-VLOOKUP($AO53,'Технический лист'!$M:$N,2,1)),1+(1-$AU53))</f>
        <v>1</v>
      </c>
      <c r="EU53" s="15">
        <f>MIN(IF($AU53=100%,1,1+VLOOKUP(($AJ53-$AI53-$AH53-$AG53-$AF53-$AE53*(1+EU$3))/$AJ53,'Технический лист'!$M:$N,2,1)-VLOOKUP($AO53,'Технический лист'!$M:$N,2,1)),1+(1-$AU53))</f>
        <v>1</v>
      </c>
      <c r="EV53" s="111">
        <v>1</v>
      </c>
      <c r="EW53" s="15">
        <f>MIN(1,MAX(VLOOKUP(($AJ53-$AI53-$AH53-$AG53-$AF53-$AE53*(1+EW$3))/$AJ53,'Технический лист'!$M:$N,2,1),(EV53-0.05)))</f>
        <v>0.95</v>
      </c>
      <c r="EX53" s="15">
        <f>MIN(1,MAX(VLOOKUP(($AJ53-$AI53-$AH53-$AG53-$AF53-$AE53*(1+EX$3))/$AJ53,'Технический лист'!$M:$N,2,1),(EW53-0.05)))</f>
        <v>0.89999999999999991</v>
      </c>
      <c r="EY53" s="15">
        <f>MIN(1,MAX(VLOOKUP(($AJ53-$AI53-$AH53-$AG53-$AF53-$AE53*(1+EY$3))/$AJ53,'Технический лист'!$M:$N,2,1),(EX53-0.05)))</f>
        <v>0.84999999999999987</v>
      </c>
      <c r="EZ53" s="15">
        <f>MIN(1,MAX(VLOOKUP(($AJ53-$AI53-$AH53-$AG53-$AF53-$AE53*(1+EZ$3))/$AJ53,'Технический лист'!$M:$N,2,1),(EY53-0.05)))</f>
        <v>0.79999999999999982</v>
      </c>
      <c r="FA53" s="15">
        <f>MIN(1,MAX(VLOOKUP(($AJ53-$AI53-$AH53-$AG53-$AF53-$AE53*(1+FA$3))/$AJ53,'Технический лист'!$M:$N,2,1),(EZ53-0.05)))</f>
        <v>0.74999999999999978</v>
      </c>
      <c r="FB53" s="15">
        <f>MIN(1,MAX(VLOOKUP(($AJ53-$AI53-$AH53-$AG53-$AF53-$AE53*(1+FB$3))/$AJ53,'Технический лист'!$M:$N,2,1),(FA53-0.05)))</f>
        <v>0.69999999999999973</v>
      </c>
      <c r="FC53" s="15">
        <f>MIN(1,MAX(VLOOKUP(($AJ53-$AI53-$AH53-$AG53-$AF53-$AE53*(1+FC$3))/$AJ53,'Технический лист'!$M:$N,2,1),(FB53-0.05)))</f>
        <v>0.64999999999999969</v>
      </c>
      <c r="FD53" s="15">
        <f>MIN(1,MAX(VLOOKUP(($AJ53-$AI53-$AH53-$AG53-$AF53-$AE53*(1+FD$3))/$AJ53,'Технический лист'!$M:$N,2,1),(FC53-0.05)))</f>
        <v>0.59999999999999964</v>
      </c>
      <c r="FE53" s="15">
        <f>MIN(1,MAX(VLOOKUP(($AJ53-$AI53-$AH53-$AG53-$AF53-$AE53*(1+FE$3))/$AJ53,'Технический лист'!$M:$N,2,1),(FD53-0.05)))</f>
        <v>0.5499999999999996</v>
      </c>
      <c r="FF53" s="15">
        <f>MIN(1,MAX(VLOOKUP(($AJ53-$AI53-$AH53-$AG53-$AF53-$AE53*(1+FF$3))/$AJ53,'Технический лист'!$M:$N,2,1),(FE53-0.05)))</f>
        <v>0.49999999999999961</v>
      </c>
      <c r="FG53" s="15">
        <f>MIN(1,MAX(VLOOKUP(($AJ53-$AI53-$AH53-$AG53-$AF53-$AE53*(1+FG$3))/$AJ53,'Технический лист'!$M:$N,2,1),(FF53-0.05)))</f>
        <v>0.44999999999999962</v>
      </c>
      <c r="FH53" s="15">
        <f>MIN(1,MAX(VLOOKUP(($AJ53-$AI53-$AH53-$AG53-$AF53-$AE53*(1+FH$3))/$AJ53,'Технический лист'!$M:$N,2,1),(FG53-0.05)))</f>
        <v>0.39999999999999963</v>
      </c>
      <c r="FI53" s="15">
        <f>MIN(1,MAX(VLOOKUP(($AJ53-$AI53-$AH53-$AG53-$AF53-$AE53*(1+FI$3))/$AJ53,'Технический лист'!$M:$N,2,1),(FH53-0.05)))</f>
        <v>0.34999999999999964</v>
      </c>
      <c r="FJ53" s="15">
        <f>MIN(1,MAX(VLOOKUP(($AJ53-$AI53-$AH53-$AG53-$AF53-$AE53*(1+FJ$3))/$AJ53,'Технический лист'!$M:$N,2,1),(FI53-0.05)))</f>
        <v>0.29999999999999966</v>
      </c>
      <c r="FK53" s="15">
        <f>MIN(1,MAX(VLOOKUP(($AJ53-$AI53-$AH53-$AG53-$AF53-$AE53*(1+FK$3))/$AJ53,'Технический лист'!$M:$N,2,1),(FJ53-0.05)))</f>
        <v>0.24999999999999967</v>
      </c>
      <c r="FL53" s="15">
        <f>MIN(1,MAX(VLOOKUP(($AJ53-$AI53-$AH53-$AG53-$AF53-$AE53*(1+FL$3))/$AJ53,'Технический лист'!$M:$N,2,1),(FK53-0.05)))</f>
        <v>0.19999999999999968</v>
      </c>
      <c r="FM53" s="15">
        <f>MIN(1,MAX(VLOOKUP(($AJ53-$AI53-$AH53-$AG53-$AF53-$AE53*(1+FM$3))/$AJ53,'Технический лист'!$M:$N,2,1),(FL53-0.05)))</f>
        <v>0.14999999999999969</v>
      </c>
      <c r="FN53" s="15">
        <f>MIN(1,MAX(VLOOKUP(($AJ53-$AI53-$AH53-$AG53-$AF53-$AE53*(1+FN$3))/$AJ53,'Технический лист'!$M:$N,2,1),(FM53-0.05)))</f>
        <v>9.9999999999999686E-2</v>
      </c>
      <c r="FO53" s="15">
        <f>MIN(1,MAX(VLOOKUP(($AJ53-$AI53-$AH53-$AG53-$AF53-$AE53*(1+FO$3))/$AJ53,'Технический лист'!$M:$N,2,1),(FN53-0.05)))</f>
        <v>4.9999999999999684E-2</v>
      </c>
      <c r="FP53" s="15">
        <f>MIN(1,MAX(VLOOKUP(($AJ53-$AI53-$AH53-$AG53-$AF53-$AE53*(1+FP$3))/$AJ53,'Технический лист'!$M:$N,2,1),(FO53-0.05)))</f>
        <v>0</v>
      </c>
      <c r="FQ53" s="15">
        <f>MIN(1,MAX(VLOOKUP(($AJ53-$AI53-$AH53-$AG53-$AF53-$AE53*(1+FQ$3))/$AJ53,'Технический лист'!$M:$N,2,1),(FP53-0.05)))</f>
        <v>0</v>
      </c>
      <c r="FR53" s="15">
        <f>MIN(1,MAX(VLOOKUP(($AJ53-$AI53-$AH53-$AG53-$AF53-$AE53*(1+FR$3))/$AJ53,'Технический лист'!$M:$N,2,1),(FQ53-0.05)))</f>
        <v>0</v>
      </c>
      <c r="FS53" s="15">
        <f>MIN(1,MAX(VLOOKUP(($AJ53-$AI53-$AH53-$AG53-$AF53-$AE53*(1+FS$3))/$AJ53,'Технический лист'!$M:$N,2,1),(FR53-0.05)))</f>
        <v>0</v>
      </c>
      <c r="FT53" s="15">
        <f>MIN(1,MAX(VLOOKUP(($AJ53-$AI53-$AH53-$AG53-$AF53-$AE53*(1+FT$3))/$AJ53,'Технический лист'!$M:$N,2,1),(FS53-0.05)))</f>
        <v>0</v>
      </c>
      <c r="FU53" s="15">
        <f>MIN(1,MAX(VLOOKUP(($AJ53-$AI53-$AH53-$AG53-$AF53-$AE53*(1+FU$3))/$AJ53,'Технический лист'!$M:$N,2,1),(FT53-0.05)))</f>
        <v>0</v>
      </c>
      <c r="FV53" s="15">
        <f>MIN(1,MAX(VLOOKUP(($AJ53-$AI53-$AH53-$AG53-$AF53-$AE53*(1+FV$3))/$AJ53,'Технический лист'!$M:$N,2,1),(FU53-0.05)))</f>
        <v>0</v>
      </c>
      <c r="FW53" s="15">
        <f>MIN(1,MAX(VLOOKUP(($AJ53-$AI53-$AH53-$AG53-$AF53-$AE53*(1+FW$3))/$AJ53,'Технический лист'!$M:$N,2,1),(FV53-0.05)))</f>
        <v>0</v>
      </c>
      <c r="FX53" s="15">
        <f>MIN(1,MAX(VLOOKUP(($AJ53-$AI53-$AH53-$AG53-$AF53-$AE53*(1+FX$3))/$AJ53,'Технический лист'!$M:$N,2,1),(FW53-0.05)))</f>
        <v>0</v>
      </c>
      <c r="FY53" s="15">
        <f>MIN(1,MAX(VLOOKUP(($AJ53-$AI53-$AH53-$AG53-$AF53-$AE53*(1+FY$3))/$AJ53,'Технический лист'!$M:$N,2,1),(FX53-0.05)))</f>
        <v>0</v>
      </c>
      <c r="FZ53" s="15">
        <f>MIN(1,MAX(VLOOKUP(($AJ53-$AI53-$AH53-$AG53-$AF53-$AE53*(1+FZ$3))/$AJ53,'Технический лист'!$M:$N,2,1),(FY53-0.05)))</f>
        <v>0</v>
      </c>
      <c r="GA53" s="15">
        <f>MIN(1,MAX(VLOOKUP(($AJ53-$AI53-$AH53-$AG53-$AF53-$AE53*(1+GA$3))/$AJ53,'Технический лист'!$M:$N,2,1),(FZ53-0.05)))</f>
        <v>0</v>
      </c>
      <c r="GB53" s="15">
        <f>MIN(1,MAX(VLOOKUP(($AJ53-$AI53-$AH53-$AG53-$AF53-$AE53*(1+GB$3))/$AJ53,'Технический лист'!$M:$N,2,1),(GA53-0.05)))</f>
        <v>0</v>
      </c>
      <c r="GC53" s="15">
        <f>MIN(1,MAX(VLOOKUP(($AJ53-$AI53-$AH53-$AG53-$AF53-$AE53*(1+GC$3))/$AJ53,'Технический лист'!$M:$N,2,1),(GB53-0.05)))</f>
        <v>0</v>
      </c>
      <c r="GD53" s="15">
        <f>MIN(1,MAX(VLOOKUP(($AJ53-$AI53-$AH53-$AG53-$AF53-$AE53*(1+GD$3))/$AJ53,'Технический лист'!$M:$N,2,1),(GC53-0.05)))</f>
        <v>0</v>
      </c>
      <c r="GE53" s="15">
        <f>MIN(1,MAX(VLOOKUP(($AJ53-$AI53-$AH53-$AG53-$AF53-$AE53*(1+GE$3))/$AJ53,'Технический лист'!$M:$N,2,1),(GD53-0.05)))</f>
        <v>0</v>
      </c>
      <c r="GF53" s="15">
        <f>MIN(1,MAX(VLOOKUP(($AJ53-$AI53-$AH53-$AG53-$AF53-$AE53*(1+GF$3))/$AJ53,'Технический лист'!$M:$N,2,1),(GE53-0.05)))</f>
        <v>0</v>
      </c>
      <c r="GG53" s="15">
        <f>MIN(1,MAX(VLOOKUP(($AJ53-$AI53-$AH53-$AG53-$AF53-$AE53*(1+GG$3))/$AJ53,'Технический лист'!$M:$N,2,1),(GF53-0.05)))</f>
        <v>0</v>
      </c>
      <c r="GH53" s="15">
        <f>MIN(1,MAX(VLOOKUP(($AJ53-$AI53-$AH53-$AG53-$AF53-$AE53*(1+GH$3))/$AJ53,'Технический лист'!$M:$N,2,1),(GG53-0.05)))</f>
        <v>0</v>
      </c>
      <c r="GI53" s="15">
        <f>MIN(1,MAX(VLOOKUP(($AJ53-$AI53-$AH53-$AG53-$AF53-$AE53*(1+GI$3))/$AJ53,'Технический лист'!$M:$N,2,1),(GH53-0.05)))</f>
        <v>0</v>
      </c>
      <c r="GJ53" s="15">
        <f>MIN(1,MAX(VLOOKUP(($AJ53-$AI53-$AH53-$AG53-$AF53-$AE53*(1+GJ$3))/$AJ53,'Технический лист'!$M:$N,2,1),(GI53-0.05)))</f>
        <v>0</v>
      </c>
      <c r="GK53" s="15">
        <f>MIN(1,MAX(VLOOKUP(($AJ53-$AI53-$AH53-$AG53-$AF53-$AE53*(1+GK$3))/$AJ53,'Технический лист'!$M:$N,2,1),(GJ53-0.05)))</f>
        <v>0</v>
      </c>
      <c r="GL53" s="15">
        <f>MIN(1,MAX(VLOOKUP(($AJ53-$AI53-$AH53-$AG53-$AF53-$AE53*(1+GL$3))/$AJ53,'Технический лист'!$M:$N,2,1),(GK53-0.05)))</f>
        <v>0</v>
      </c>
      <c r="GM53" s="15">
        <f>MIN(1,MAX(VLOOKUP(($AJ53-$AI53-$AH53-$AG53-$AF53-$AE53*(1+GM$3))/$AJ53,'Технический лист'!$M:$N,2,1),(GL53-0.05)))</f>
        <v>0</v>
      </c>
      <c r="GN53" s="15">
        <f>MIN(1,MAX(VLOOKUP(($AJ53-$AI53-$AH53-$AG53-$AF53-$AE53*(1+GN$3))/$AJ53,'Технический лист'!$M:$N,2,1),(GM53-0.05)))</f>
        <v>0</v>
      </c>
      <c r="GO53" s="15">
        <f>MIN(1,MAX(VLOOKUP(($AJ53-$AI53-$AH53-$AG53-$AF53-$AE53*(1+GO$3))/$AJ53,'Технический лист'!$M:$N,2,1),(GN53-0.05)))</f>
        <v>0</v>
      </c>
      <c r="GP53" s="15">
        <f>MIN(1,MAX(VLOOKUP(($AJ53-$AI53-$AH53-$AG53-$AF53-$AE53*(1+GP$3))/$AJ53,'Технический лист'!$M:$N,2,1),(GO53-0.05)))</f>
        <v>0</v>
      </c>
      <c r="GQ53" s="15">
        <f>MIN(1,MAX(VLOOKUP(($AJ53-$AI53-$AH53-$AG53-$AF53-$AE53*(1+GQ$3))/$AJ53,'Технический лист'!$M:$N,2,1),(GP53-0.05)))</f>
        <v>0</v>
      </c>
      <c r="GR53" s="15">
        <f>MIN(1,MAX(VLOOKUP(($AJ53-$AI53-$AH53-$AG53-$AF53-$AE53*(1+GR$3))/$AJ53,'Технический лист'!$M:$N,2,1),(GQ53-0.05)))</f>
        <v>0</v>
      </c>
      <c r="GS53" s="15">
        <f>MIN(1,MAX(VLOOKUP(($AJ53-$AI53-$AH53-$AG53-$AF53-$AE53*(1+GS$3))/$AJ53,'Технический лист'!$M:$N,2,1),(GR53-0.05)))</f>
        <v>0</v>
      </c>
      <c r="GT53" s="15">
        <f>MIN(1,MAX(VLOOKUP(($AJ53-$AI53-$AH53-$AG53-$AF53-$AE53*(1+GT$3))/$AJ53,'Технический лист'!$M:$N,2,1),(GS53-0.05)))</f>
        <v>0</v>
      </c>
      <c r="GU53" s="15">
        <f>MIN(1,MAX(VLOOKUP(($AJ53-$AI53-$AH53-$AG53-$AF53-$AE53*(1+GU$3))/$AJ53,'Технический лист'!$M:$N,2,1),(GT53-0.05)))</f>
        <v>0</v>
      </c>
      <c r="GV53" s="15">
        <f>MIN(1,MAX(VLOOKUP(($AJ53-$AI53-$AH53-$AG53-$AF53-$AE53*(1+GV$3))/$AJ53,'Технический лист'!$M:$N,2,1),(GU53-0.05)))</f>
        <v>0</v>
      </c>
      <c r="GW53" s="15">
        <f>MIN(1,MAX(VLOOKUP(($AJ53-$AI53-$AH53-$AG53-$AF53-$AE53*(1+GW$3))/$AJ53,'Технический лист'!$M:$N,2,1),(GV53-0.05)))</f>
        <v>0</v>
      </c>
      <c r="GX53" s="15">
        <f>MIN(1,MAX(VLOOKUP(($AJ53-$AI53-$AH53-$AG53-$AF53-$AE53*(1+GX$3))/$AJ53,'Технический лист'!$M:$N,2,1),(GW53-0.05)))</f>
        <v>0</v>
      </c>
      <c r="GY53" s="15">
        <f>MIN(1,MAX(VLOOKUP(($AJ53-$AI53-$AH53-$AG53-$AF53-$AE53*(1+GY$3))/$AJ53,'Технический лист'!$M:$N,2,1),(GX53-0.05)))</f>
        <v>0</v>
      </c>
      <c r="GZ53" s="15">
        <f>MIN(1,MAX(VLOOKUP(($AJ53-$AI53-$AH53-$AG53-$AF53-$AE53*(1+GZ$3))/$AJ53,'Технический лист'!$M:$N,2,1),(GY53-0.05)))</f>
        <v>0</v>
      </c>
      <c r="HA53" s="15">
        <f>MIN(1,MAX(VLOOKUP(($AJ53-$AI53-$AH53-$AG53-$AF53-$AE53*(1+HA$3))/$AJ53,'Технический лист'!$M:$N,2,1),(GZ53-0.05)))</f>
        <v>0</v>
      </c>
      <c r="HB53" s="15">
        <f>MIN(1,MAX(VLOOKUP(($AJ53-$AI53-$AH53-$AG53-$AF53-$AE53*(1+HB$3))/$AJ53,'Технический лист'!$M:$N,2,1),(HA53-0.05)))</f>
        <v>0</v>
      </c>
      <c r="HC53" s="15">
        <f>MIN(1,MAX(VLOOKUP(($AJ53-$AI53-$AH53-$AG53-$AF53-$AE53*(1+HC$3))/$AJ53,'Технический лист'!$M:$N,2,1),(HB53-0.05)))</f>
        <v>0</v>
      </c>
      <c r="HD53" s="15">
        <f>MIN(1,MAX(VLOOKUP(($AJ53-$AI53-$AH53-$AG53-$AF53-$AE53*(1+HD$3))/$AJ53,'Технический лист'!$M:$N,2,1),(HC53-0.05)))</f>
        <v>0</v>
      </c>
      <c r="HE53" s="15">
        <f>MIN(1,MAX(VLOOKUP(($AJ53-$AI53-$AH53-$AG53-$AF53-$AE53*(1+HE$3))/$AJ53,'Технический лист'!$M:$N,2,1),(HD53-0.05)))</f>
        <v>0</v>
      </c>
      <c r="HF53" s="15">
        <f>MIN(1,MAX(VLOOKUP(($AJ53-$AI53-$AH53-$AG53-$AF53-$AE53*(1+HF$3))/$AJ53,'Технический лист'!$M:$N,2,1),(HE53-0.05)))</f>
        <v>0</v>
      </c>
      <c r="HG53" s="15">
        <f>MIN(1,MAX(VLOOKUP(($AJ53-$AI53-$AH53-$AG53-$AF53-$AE53*(1+HG$3))/$AJ53,'Технический лист'!$M:$N,2,1),(HF53-0.05)))</f>
        <v>0</v>
      </c>
      <c r="HH53" s="15">
        <f>MIN(1,MAX(VLOOKUP(($AJ53-$AI53-$AH53-$AG53-$AF53-$AE53*(1+HH$3))/$AJ53,'Технический лист'!$M:$N,2,1),(HG53-0.05)))</f>
        <v>0</v>
      </c>
      <c r="HI53" s="15">
        <f>MIN(1,MAX(VLOOKUP(($AJ53-$AI53-$AH53-$AG53-$AF53-$AE53*(1+HI$3))/$AJ53,'Технический лист'!$M:$N,2,1),(HH53-0.05)))</f>
        <v>0</v>
      </c>
      <c r="HJ53" s="15">
        <f>MIN(1,MAX(VLOOKUP(($AJ53-$AI53-$AH53-$AG53-$AF53-$AE53*(1+HJ$3))/$AJ53,'Технический лист'!$M:$N,2,1),(HI53-0.05)))</f>
        <v>0</v>
      </c>
      <c r="HK53" s="15">
        <f>MIN(1,MAX(VLOOKUP(($AJ53-$AI53-$AH53-$AG53-$AF53-$AE53*(1+HK$3))/$AJ53,'Технический лист'!$M:$N,2,1),(HJ53-0.05)))</f>
        <v>0</v>
      </c>
      <c r="HL53" s="15">
        <f>MIN(1,MAX(VLOOKUP(($AJ53-$AI53-$AH53-$AG53-$AF53-$AE53*(1+HL$3))/$AJ53,'Технический лист'!$M:$N,2,1),(HK53-0.05)))</f>
        <v>0</v>
      </c>
      <c r="HM53" s="15">
        <f>MIN(1,MAX(VLOOKUP(($AJ53-$AI53-$AH53-$AG53-$AF53-$AE53*(1+HM$3))/$AJ53,'Технический лист'!$M:$N,2,1),(HL53-0.05)))</f>
        <v>0</v>
      </c>
      <c r="HN53" s="15">
        <f>MIN(1,MAX(VLOOKUP(($AJ53-$AI53-$AH53-$AG53-$AF53-$AE53*(1+HN$3))/$AJ53,'Технический лист'!$M:$N,2,1),(HM53-0.05)))</f>
        <v>0</v>
      </c>
      <c r="HO53" s="15">
        <f>MIN(1,MAX(VLOOKUP(($AJ53-$AI53-$AH53-$AG53-$AF53-$AE53*(1+HO$3))/$AJ53,'Технический лист'!$M:$N,2,1),(HN53-0.05)))</f>
        <v>0</v>
      </c>
      <c r="HP53" s="15">
        <f>MIN(1,MAX(VLOOKUP(($AJ53-$AI53-$AH53-$AG53-$AF53-$AE53*(1+HP$3))/$AJ53,'Технический лист'!$M:$N,2,1),(HO53-0.05)))</f>
        <v>0</v>
      </c>
      <c r="HQ53" s="15">
        <f>MIN(1,MAX(VLOOKUP(($AJ53-$AI53-$AH53-$AG53-$AF53-$AE53*(1+HQ$3))/$AJ53,'Технический лист'!$M:$N,2,1),(HP53-0.05)))</f>
        <v>0</v>
      </c>
      <c r="HR53" s="15">
        <f>MIN(1,MAX(VLOOKUP(($AJ53-$AI53-$AH53-$AG53-$AF53-$AE53*(1+HR$3))/$AJ53,'Технический лист'!$M:$N,2,1),(HQ53-0.05)))</f>
        <v>0</v>
      </c>
      <c r="HS53" s="15">
        <f>MIN(1,MAX(VLOOKUP(($AJ53-$AI53-$AH53-$AG53-$AF53-$AE53*(1+HS$3))/$AJ53,'Технический лист'!$M:$N,2,1),(HR53-0.05)))</f>
        <v>0</v>
      </c>
      <c r="HT53" s="15">
        <f>MIN(1,MAX(VLOOKUP(($AJ53-$AI53-$AH53-$AG53-$AF53-$AE53*(1+HT$3))/$AJ53,'Технический лист'!$M:$N,2,1),(HS53-0.05)))</f>
        <v>0</v>
      </c>
      <c r="HU53" s="15">
        <f>MIN(1,MAX(VLOOKUP(($AJ53-$AI53-$AH53-$AG53-$AF53-$AE53*(1+HU$3))/$AJ53,'Технический лист'!$M:$N,2,1),(HT53-0.05)))</f>
        <v>0</v>
      </c>
      <c r="HV53" s="15">
        <f>MIN(1,MAX(VLOOKUP(($AJ53-$AI53-$AH53-$AG53-$AF53-$AE53*(1+HV$3))/$AJ53,'Технический лист'!$M:$N,2,1),(HU53-0.05)))</f>
        <v>0</v>
      </c>
      <c r="HW53" s="15">
        <f>MIN(1,MAX(VLOOKUP(($AJ53-$AI53-$AH53-$AG53-$AF53-$AE53*(1+HW$3))/$AJ53,'Технический лист'!$M:$N,2,1),(HV53-0.05)))</f>
        <v>0</v>
      </c>
      <c r="HX53" s="15">
        <f>MIN(1,MAX(VLOOKUP(($AJ53-$AI53-$AH53-$AG53-$AF53-$AE53*(1+HX$3))/$AJ53,'Технический лист'!$M:$N,2,1),(HW53-0.05)))</f>
        <v>0</v>
      </c>
      <c r="HY53" s="15">
        <f>MIN(1,MAX(VLOOKUP(($AJ53-$AI53-$AH53-$AG53-$AF53-$AE53*(1+HY$3))/$AJ53,'Технический лист'!$M:$N,2,1),(HX53-0.05)))</f>
        <v>0</v>
      </c>
      <c r="HZ53" s="15">
        <f>MIN(1,MAX(VLOOKUP(($AJ53-$AI53-$AH53-$AG53-$AF53-$AE53*(1+HZ$3))/$AJ53,'Технический лист'!$M:$N,2,1),(HY53-0.05)))</f>
        <v>0</v>
      </c>
      <c r="IA53" s="15">
        <f>MIN(1,MAX(VLOOKUP(($AJ53-$AI53-$AH53-$AG53-$AF53-$AE53*(1+IA$3))/$AJ53,'Технический лист'!$M:$N,2,1),(HZ53-0.05)))</f>
        <v>0</v>
      </c>
      <c r="IB53" s="15">
        <f>MIN(1,MAX(VLOOKUP(($AJ53-$AI53-$AH53-$AG53-$AF53-$AE53*(1+IB$3))/$AJ53,'Технический лист'!$M:$N,2,1),(IA53-0.05)))</f>
        <v>0</v>
      </c>
      <c r="IC53" s="15">
        <f>MIN(1,MAX(VLOOKUP(($AJ53-$AI53-$AH53-$AG53-$AF53-$AE53*(1+IC$3))/$AJ53,'Технический лист'!$M:$N,2,1),(IB53-0.05)))</f>
        <v>0</v>
      </c>
      <c r="ID53" s="15">
        <f>MIN(1,MAX(VLOOKUP(($AJ53-$AI53-$AH53-$AG53-$AF53-$AE53*(1+ID$3))/$AJ53,'Технический лист'!$M:$N,2,1),(IC53-0.05)))</f>
        <v>0</v>
      </c>
      <c r="IE53" s="15">
        <f>MIN(1,MAX(VLOOKUP(($AJ53-$AI53-$AH53-$AG53-$AF53-$AE53*(1+IE$3))/$AJ53,'Технический лист'!$M:$N,2,1),(ID53-0.05)))</f>
        <v>0</v>
      </c>
      <c r="IF53" s="15">
        <f>MIN(1,MAX(VLOOKUP(($AJ53-$AI53-$AH53-$AG53-$AF53-$AE53*(1+IF$3))/$AJ53,'Технический лист'!$M:$N,2,1),(IE53-0.05)))</f>
        <v>0</v>
      </c>
      <c r="IG53" s="15">
        <f>MIN(1,MAX(VLOOKUP(($AJ53-$AI53-$AH53-$AG53-$AF53-$AE53*(1+IG$3))/$AJ53,'Технический лист'!$M:$N,2,1),(IF53-0.05)))</f>
        <v>0</v>
      </c>
      <c r="IH53" s="15">
        <f>MIN(1,MAX(VLOOKUP(($AJ53-$AI53-$AH53-$AG53-$AF53-$AE53*(1+IH$3))/$AJ53,'Технический лист'!$M:$N,2,1),(IG53-0.05)))</f>
        <v>0</v>
      </c>
      <c r="II53" s="15">
        <f>MIN(1,MAX(VLOOKUP(($AJ53-$AI53-$AH53-$AG53-$AF53-$AE53*(1+II$3))/$AJ53,'Технический лист'!$M:$N,2,1),(IH53-0.05)))</f>
        <v>0</v>
      </c>
      <c r="IJ53" s="15">
        <f>MIN(1,MAX(VLOOKUP(($AJ53-$AI53-$AH53-$AG53-$AF53-$AE53*(1+IJ$3))/$AJ53,'Технический лист'!$M:$N,2,1),(II53-0.05)))</f>
        <v>0</v>
      </c>
      <c r="IK53" s="15">
        <f>MIN(1,MAX(VLOOKUP(($AJ53-$AI53-$AH53-$AG53-$AF53-$AE53*(1+IK$3))/$AJ53,'Технический лист'!$M:$N,2,1),(IJ53-0.05)))</f>
        <v>0</v>
      </c>
      <c r="IL53" s="15">
        <f>MIN(1,MAX(VLOOKUP(($AJ53-$AI53-$AH53-$AG53-$AF53-$AE53*(1+IL$3))/$AJ53,'Технический лист'!$M:$N,2,1),(IK53-0.05)))</f>
        <v>0</v>
      </c>
      <c r="IM53" s="15">
        <f>MIN(1,MAX(VLOOKUP(($AJ53-$AI53-$AH53-$AG53-$AF53-$AE53*(1+IM$3))/$AJ53,'Технический лист'!$M:$N,2,1),(IL53-0.05)))</f>
        <v>0</v>
      </c>
      <c r="IN53" s="15">
        <f>MIN(1,MAX(VLOOKUP(($AJ53-$AI53-$AH53-$AG53-$AF53-$AE53*(1+IN$3))/$AJ53,'Технический лист'!$M:$N,2,1),(IM53-0.05)))</f>
        <v>0</v>
      </c>
      <c r="IO53" s="15">
        <f>MIN(1,MAX(VLOOKUP(($AJ53-$AI53-$AH53-$AG53-$AF53-$AE53*(1+IO$3))/$AJ53,'Технический лист'!$M:$N,2,1),(IN53-0.05)))</f>
        <v>0</v>
      </c>
      <c r="IP53" s="15">
        <f>MIN(1,MAX(VLOOKUP(($AJ53-$AI53-$AH53-$AG53-$AF53-$AE53*(1+IP$3))/$AJ53,'Технический лист'!$M:$N,2,1),(IO53-0.05)))</f>
        <v>0</v>
      </c>
      <c r="IQ53" s="15">
        <f>MIN(1,MAX(VLOOKUP(($AJ53-$AI53-$AH53-$AG53-$AF53-$AE53*(1+IQ$3))/$AJ53,'Технический лист'!$M:$N,2,1),(IP53-0.05)))</f>
        <v>0</v>
      </c>
      <c r="IR53" s="15">
        <f>MIN(1,MAX(VLOOKUP(($AJ53-$AI53-$AH53-$AG53-$AF53-$AE53*(1+IR$3))/$AJ53,'Технический лист'!$M:$N,2,1),(IQ53-0.05)))</f>
        <v>0</v>
      </c>
    </row>
    <row r="54" spans="1:252" ht="29.15">
      <c r="A54" s="89" t="s">
        <v>514</v>
      </c>
      <c r="B54" s="90">
        <v>4</v>
      </c>
      <c r="C54" s="5" t="s">
        <v>67</v>
      </c>
      <c r="D54" s="91">
        <v>14109</v>
      </c>
      <c r="E54" s="91" t="s">
        <v>335</v>
      </c>
      <c r="F54" s="92" t="s">
        <v>74</v>
      </c>
      <c r="G54" s="91" t="s">
        <v>28</v>
      </c>
      <c r="H54" s="91" t="s">
        <v>26</v>
      </c>
      <c r="I54" s="91" t="s">
        <v>149</v>
      </c>
      <c r="J54" s="91" t="s">
        <v>92</v>
      </c>
      <c r="K54" s="91">
        <v>482</v>
      </c>
      <c r="L54" s="85" t="s">
        <v>64</v>
      </c>
      <c r="M54" s="91" t="s">
        <v>190</v>
      </c>
      <c r="N54" s="91" t="s">
        <v>191</v>
      </c>
      <c r="O54" s="91" t="s">
        <v>193</v>
      </c>
      <c r="P54" s="89" t="s">
        <v>236</v>
      </c>
      <c r="Q54" s="91" t="s">
        <v>280</v>
      </c>
      <c r="R54" s="91" t="s">
        <v>253</v>
      </c>
      <c r="S54" s="82">
        <v>2461888</v>
      </c>
      <c r="T54" s="82">
        <v>1185978169</v>
      </c>
      <c r="U54" s="81">
        <v>34380</v>
      </c>
      <c r="V54" s="81">
        <v>0</v>
      </c>
      <c r="W54" s="82">
        <v>1015595636</v>
      </c>
      <c r="X54" s="112">
        <v>69</v>
      </c>
      <c r="Y54" s="112" t="s">
        <v>418</v>
      </c>
      <c r="Z54" s="113">
        <v>3</v>
      </c>
      <c r="AA54" s="113">
        <v>3</v>
      </c>
      <c r="AB54" s="113">
        <v>4</v>
      </c>
      <c r="AC54" s="99">
        <v>482.55</v>
      </c>
      <c r="AD54" s="99">
        <f t="shared" si="15"/>
        <v>179.78000000000003</v>
      </c>
      <c r="AE54" s="99">
        <v>662.33</v>
      </c>
      <c r="AF54" s="98">
        <f>(Z54+AA54+AB54)*'Ставки аренды'!$B$3/X54</f>
        <v>101.44927536231884</v>
      </c>
      <c r="AG54" s="114">
        <v>0</v>
      </c>
      <c r="AH54" s="94">
        <v>0</v>
      </c>
      <c r="AI54" s="115">
        <f>0.8*AJ54</f>
        <v>4320</v>
      </c>
      <c r="AJ54" s="117">
        <f>Цены!$D$14</f>
        <v>5400</v>
      </c>
      <c r="AK54" s="94">
        <f>AJ54/Цены!$B$1</f>
        <v>70.76816219014357</v>
      </c>
      <c r="AL54" s="95">
        <f t="shared" si="5"/>
        <v>763.77927536231891</v>
      </c>
      <c r="AM54" s="95">
        <f t="shared" si="6"/>
        <v>4636.2207246376811</v>
      </c>
      <c r="AN54" s="94">
        <f t="shared" si="16"/>
        <v>5083.7792753623189</v>
      </c>
      <c r="AO54" s="118">
        <f t="shared" si="17"/>
        <v>5.8559393451422422E-2</v>
      </c>
      <c r="AP54" s="96">
        <f t="shared" si="7"/>
        <v>0.14144060654857757</v>
      </c>
      <c r="AQ54" s="96">
        <f t="shared" si="8"/>
        <v>0.12265370370370371</v>
      </c>
      <c r="AR54" s="96">
        <f t="shared" si="9"/>
        <v>0.86717461623425995</v>
      </c>
      <c r="AS54" s="122">
        <v>1</v>
      </c>
      <c r="AT54" s="121">
        <f t="shared" si="10"/>
        <v>2461888</v>
      </c>
      <c r="AU54" s="7" t="s">
        <v>475</v>
      </c>
      <c r="AV54" s="119">
        <f t="shared" si="11"/>
        <v>4.384094900697804E-2</v>
      </c>
      <c r="AW54" s="120">
        <f t="shared" si="12"/>
        <v>0.15615905099302205</v>
      </c>
      <c r="AX54" s="120">
        <f t="shared" si="13"/>
        <v>0.13737214814814819</v>
      </c>
      <c r="AY54" s="120">
        <f t="shared" si="14"/>
        <v>0.87969379472142573</v>
      </c>
      <c r="AZ54" s="15">
        <v>1</v>
      </c>
      <c r="BA54" s="15">
        <v>1</v>
      </c>
      <c r="BB54" s="15">
        <v>1</v>
      </c>
      <c r="BC54" s="15">
        <v>1</v>
      </c>
      <c r="BD54" s="15">
        <v>1</v>
      </c>
      <c r="BE54" s="15">
        <v>1</v>
      </c>
      <c r="BF54" s="15">
        <v>1</v>
      </c>
      <c r="BG54" s="15">
        <v>1</v>
      </c>
      <c r="BH54" s="15">
        <v>1</v>
      </c>
      <c r="BI54" s="15">
        <v>1</v>
      </c>
      <c r="BJ54" s="15">
        <v>1</v>
      </c>
      <c r="BK54" s="15">
        <v>1</v>
      </c>
      <c r="BL54" s="15">
        <v>1</v>
      </c>
      <c r="BM54" s="15">
        <v>1</v>
      </c>
      <c r="BN54" s="15">
        <v>1</v>
      </c>
      <c r="BO54" s="15">
        <v>1</v>
      </c>
      <c r="BP54" s="15">
        <v>1</v>
      </c>
      <c r="BQ54" s="15">
        <v>1</v>
      </c>
      <c r="BR54" s="15">
        <v>1</v>
      </c>
      <c r="BS54" s="15">
        <v>1</v>
      </c>
      <c r="BT54" s="15">
        <v>1</v>
      </c>
      <c r="BU54" s="15">
        <v>1</v>
      </c>
      <c r="BV54" s="15">
        <v>1</v>
      </c>
      <c r="BW54" s="15">
        <v>1</v>
      </c>
      <c r="BX54" s="15">
        <v>1</v>
      </c>
      <c r="BY54" s="15">
        <v>1</v>
      </c>
      <c r="BZ54" s="15">
        <v>1</v>
      </c>
      <c r="CA54" s="15">
        <v>1</v>
      </c>
      <c r="CB54" s="15">
        <v>1</v>
      </c>
      <c r="CC54" s="15">
        <v>1</v>
      </c>
      <c r="CD54" s="15">
        <v>1</v>
      </c>
      <c r="CE54" s="15">
        <v>1</v>
      </c>
      <c r="CF54" s="15">
        <v>1</v>
      </c>
      <c r="CG54" s="15">
        <v>1</v>
      </c>
      <c r="CH54" s="15">
        <v>1</v>
      </c>
      <c r="CI54" s="15">
        <v>1</v>
      </c>
      <c r="CJ54" s="15">
        <v>1</v>
      </c>
      <c r="CK54" s="15">
        <v>1</v>
      </c>
      <c r="CL54" s="15">
        <v>1</v>
      </c>
      <c r="CM54" s="15">
        <v>1</v>
      </c>
      <c r="CN54" s="15">
        <v>1</v>
      </c>
      <c r="CO54" s="15">
        <v>1</v>
      </c>
      <c r="CP54" s="15">
        <v>1</v>
      </c>
      <c r="CQ54" s="15">
        <v>1</v>
      </c>
      <c r="CR54" s="15">
        <v>1</v>
      </c>
      <c r="CS54" s="15">
        <v>1</v>
      </c>
      <c r="CT54" s="15">
        <v>1</v>
      </c>
      <c r="CU54" s="15">
        <v>1</v>
      </c>
      <c r="CV54" s="15">
        <v>1</v>
      </c>
      <c r="CW54" s="15">
        <v>1</v>
      </c>
      <c r="CX54" s="15">
        <v>1</v>
      </c>
      <c r="CY54" s="15">
        <v>1</v>
      </c>
      <c r="CZ54" s="15">
        <v>1</v>
      </c>
      <c r="DA54" s="15">
        <v>1</v>
      </c>
      <c r="DB54" s="15">
        <v>1</v>
      </c>
      <c r="DC54" s="15">
        <v>1</v>
      </c>
      <c r="DD54" s="15">
        <v>1</v>
      </c>
      <c r="DE54" s="15">
        <v>1</v>
      </c>
      <c r="DF54" s="15">
        <v>1</v>
      </c>
      <c r="DG54" s="15">
        <v>1</v>
      </c>
      <c r="DH54" s="15">
        <v>1</v>
      </c>
      <c r="DI54" s="15">
        <v>1</v>
      </c>
      <c r="DJ54" s="15">
        <v>1</v>
      </c>
      <c r="DK54" s="15">
        <v>1</v>
      </c>
      <c r="DL54" s="15">
        <v>1</v>
      </c>
      <c r="DM54" s="15">
        <v>1</v>
      </c>
      <c r="DN54" s="15">
        <v>1</v>
      </c>
      <c r="DO54" s="15">
        <v>1</v>
      </c>
      <c r="DP54" s="15">
        <v>1</v>
      </c>
      <c r="DQ54" s="15">
        <v>1</v>
      </c>
      <c r="DR54" s="15">
        <v>1</v>
      </c>
      <c r="DS54" s="15">
        <v>1</v>
      </c>
      <c r="DT54" s="15">
        <v>1</v>
      </c>
      <c r="DU54" s="15">
        <v>1</v>
      </c>
      <c r="DV54" s="15">
        <v>1</v>
      </c>
      <c r="DW54" s="15">
        <v>1</v>
      </c>
      <c r="DX54" s="15">
        <v>1</v>
      </c>
      <c r="DY54" s="15">
        <v>1</v>
      </c>
      <c r="DZ54" s="15">
        <v>1</v>
      </c>
      <c r="EA54" s="15">
        <v>1</v>
      </c>
      <c r="EB54" s="15">
        <v>1</v>
      </c>
      <c r="EC54" s="15">
        <v>1</v>
      </c>
      <c r="ED54" s="15">
        <v>1</v>
      </c>
      <c r="EE54" s="15">
        <v>1</v>
      </c>
      <c r="EF54" s="15">
        <v>1</v>
      </c>
      <c r="EG54" s="15">
        <v>1</v>
      </c>
      <c r="EH54" s="15">
        <v>1</v>
      </c>
      <c r="EI54" s="15">
        <v>1</v>
      </c>
      <c r="EJ54" s="15">
        <v>1</v>
      </c>
      <c r="EK54" s="15">
        <v>1</v>
      </c>
      <c r="EL54" s="15">
        <v>1</v>
      </c>
      <c r="EM54" s="15">
        <v>1</v>
      </c>
      <c r="EN54" s="15">
        <v>1</v>
      </c>
      <c r="EO54" s="15">
        <v>1</v>
      </c>
      <c r="EP54" s="15">
        <v>1</v>
      </c>
      <c r="EQ54" s="15">
        <v>1</v>
      </c>
      <c r="ER54" s="15">
        <v>1</v>
      </c>
      <c r="ES54" s="15">
        <v>1</v>
      </c>
      <c r="ET54" s="15">
        <v>1</v>
      </c>
      <c r="EU54" s="15">
        <v>1</v>
      </c>
      <c r="EV54" s="111">
        <v>1</v>
      </c>
      <c r="EW54" s="15">
        <v>1</v>
      </c>
      <c r="EX54" s="15">
        <v>1</v>
      </c>
      <c r="EY54" s="15">
        <v>1</v>
      </c>
      <c r="EZ54" s="15">
        <v>1</v>
      </c>
      <c r="FA54" s="15">
        <v>1</v>
      </c>
      <c r="FB54" s="15">
        <v>1</v>
      </c>
      <c r="FC54" s="15">
        <v>1</v>
      </c>
      <c r="FD54" s="15">
        <v>1</v>
      </c>
      <c r="FE54" s="15">
        <v>1</v>
      </c>
      <c r="FF54" s="15">
        <v>1</v>
      </c>
      <c r="FG54" s="15">
        <v>1</v>
      </c>
      <c r="FH54" s="15">
        <v>1</v>
      </c>
      <c r="FI54" s="15">
        <v>1</v>
      </c>
      <c r="FJ54" s="15">
        <v>1</v>
      </c>
      <c r="FK54" s="15">
        <v>1</v>
      </c>
      <c r="FL54" s="15">
        <v>1</v>
      </c>
      <c r="FM54" s="15">
        <v>1</v>
      </c>
      <c r="FN54" s="15">
        <v>1</v>
      </c>
      <c r="FO54" s="15">
        <v>1</v>
      </c>
      <c r="FP54" s="15">
        <v>1</v>
      </c>
      <c r="FQ54" s="15">
        <v>1</v>
      </c>
      <c r="FR54" s="15">
        <v>1</v>
      </c>
      <c r="FS54" s="15">
        <v>1</v>
      </c>
      <c r="FT54" s="15">
        <v>1</v>
      </c>
      <c r="FU54" s="15">
        <v>1</v>
      </c>
      <c r="FV54" s="15">
        <v>1</v>
      </c>
      <c r="FW54" s="15">
        <v>1</v>
      </c>
      <c r="FX54" s="15">
        <v>1</v>
      </c>
      <c r="FY54" s="15">
        <v>1</v>
      </c>
      <c r="FZ54" s="15">
        <v>1</v>
      </c>
      <c r="GA54" s="15">
        <v>1</v>
      </c>
      <c r="GB54" s="15">
        <v>1</v>
      </c>
      <c r="GC54" s="15">
        <v>1</v>
      </c>
      <c r="GD54" s="15">
        <v>1</v>
      </c>
      <c r="GE54" s="15">
        <v>1</v>
      </c>
      <c r="GF54" s="15">
        <v>1</v>
      </c>
      <c r="GG54" s="15">
        <v>1</v>
      </c>
      <c r="GH54" s="15">
        <v>1</v>
      </c>
      <c r="GI54" s="15">
        <v>1</v>
      </c>
      <c r="GJ54" s="15">
        <v>1</v>
      </c>
      <c r="GK54" s="15">
        <v>1</v>
      </c>
      <c r="GL54" s="15">
        <v>1</v>
      </c>
      <c r="GM54" s="15">
        <v>1</v>
      </c>
      <c r="GN54" s="15">
        <v>1</v>
      </c>
      <c r="GO54" s="15">
        <v>1</v>
      </c>
      <c r="GP54" s="15">
        <v>1</v>
      </c>
      <c r="GQ54" s="15">
        <v>1</v>
      </c>
      <c r="GR54" s="15">
        <v>1</v>
      </c>
      <c r="GS54" s="15">
        <v>1</v>
      </c>
      <c r="GT54" s="15">
        <v>1</v>
      </c>
      <c r="GU54" s="15">
        <v>1</v>
      </c>
      <c r="GV54" s="15">
        <v>1</v>
      </c>
      <c r="GW54" s="15">
        <v>1</v>
      </c>
      <c r="GX54" s="15">
        <v>1</v>
      </c>
      <c r="GY54" s="15">
        <v>1</v>
      </c>
      <c r="GZ54" s="15">
        <v>1</v>
      </c>
      <c r="HA54" s="15">
        <v>1</v>
      </c>
      <c r="HB54" s="15">
        <v>1</v>
      </c>
      <c r="HC54" s="15">
        <v>1</v>
      </c>
      <c r="HD54" s="15">
        <v>1</v>
      </c>
      <c r="HE54" s="15">
        <v>1</v>
      </c>
      <c r="HF54" s="15">
        <v>1</v>
      </c>
      <c r="HG54" s="15">
        <v>1</v>
      </c>
      <c r="HH54" s="15">
        <v>1</v>
      </c>
      <c r="HI54" s="15">
        <v>1</v>
      </c>
      <c r="HJ54" s="15">
        <v>1</v>
      </c>
      <c r="HK54" s="15">
        <v>1</v>
      </c>
      <c r="HL54" s="15">
        <v>1</v>
      </c>
      <c r="HM54" s="15">
        <v>1</v>
      </c>
      <c r="HN54" s="15">
        <v>1</v>
      </c>
      <c r="HO54" s="15">
        <v>1</v>
      </c>
      <c r="HP54" s="15">
        <v>1</v>
      </c>
      <c r="HQ54" s="15">
        <v>1</v>
      </c>
      <c r="HR54" s="15">
        <v>1</v>
      </c>
      <c r="HS54" s="15">
        <v>1</v>
      </c>
      <c r="HT54" s="15">
        <v>1</v>
      </c>
      <c r="HU54" s="15">
        <v>1</v>
      </c>
      <c r="HV54" s="15">
        <v>1</v>
      </c>
      <c r="HW54" s="15">
        <v>1</v>
      </c>
      <c r="HX54" s="15">
        <v>1</v>
      </c>
      <c r="HY54" s="15">
        <v>1</v>
      </c>
      <c r="HZ54" s="15">
        <v>1</v>
      </c>
      <c r="IA54" s="15">
        <v>1</v>
      </c>
      <c r="IB54" s="15">
        <v>1</v>
      </c>
      <c r="IC54" s="15">
        <v>1</v>
      </c>
      <c r="ID54" s="15">
        <v>1</v>
      </c>
      <c r="IE54" s="15">
        <v>1</v>
      </c>
      <c r="IF54" s="15">
        <v>1</v>
      </c>
      <c r="IG54" s="15">
        <v>1</v>
      </c>
      <c r="IH54" s="15">
        <v>1</v>
      </c>
      <c r="II54" s="15">
        <v>1</v>
      </c>
      <c r="IJ54" s="15">
        <v>1</v>
      </c>
      <c r="IK54" s="15">
        <v>1</v>
      </c>
      <c r="IL54" s="15">
        <v>1</v>
      </c>
      <c r="IM54" s="15">
        <v>1</v>
      </c>
      <c r="IN54" s="15">
        <v>1</v>
      </c>
      <c r="IO54" s="15">
        <v>1</v>
      </c>
      <c r="IP54" s="15">
        <v>1</v>
      </c>
      <c r="IQ54" s="15">
        <v>1</v>
      </c>
      <c r="IR54" s="15">
        <v>1</v>
      </c>
    </row>
    <row r="55" spans="1:252" ht="29.15">
      <c r="A55" s="89" t="s">
        <v>514</v>
      </c>
      <c r="B55" s="90">
        <v>4</v>
      </c>
      <c r="C55" s="5" t="s">
        <v>67</v>
      </c>
      <c r="D55" s="91">
        <v>14109</v>
      </c>
      <c r="E55" s="91" t="s">
        <v>335</v>
      </c>
      <c r="F55" s="92" t="s">
        <v>74</v>
      </c>
      <c r="G55" s="91" t="s">
        <v>25</v>
      </c>
      <c r="H55" s="91" t="s">
        <v>25</v>
      </c>
      <c r="I55" s="91" t="s">
        <v>150</v>
      </c>
      <c r="J55" s="91" t="s">
        <v>62</v>
      </c>
      <c r="K55" s="91">
        <v>119</v>
      </c>
      <c r="L55" s="85" t="s">
        <v>64</v>
      </c>
      <c r="M55" s="91" t="s">
        <v>17</v>
      </c>
      <c r="N55" s="91" t="s">
        <v>191</v>
      </c>
      <c r="O55" s="91" t="s">
        <v>194</v>
      </c>
      <c r="P55" s="89" t="s">
        <v>224</v>
      </c>
      <c r="Q55" s="91" t="s">
        <v>263</v>
      </c>
      <c r="R55" s="91" t="s">
        <v>263</v>
      </c>
      <c r="S55" s="82">
        <v>869797</v>
      </c>
      <c r="T55" s="82">
        <v>103507397</v>
      </c>
      <c r="U55" s="81">
        <v>12538</v>
      </c>
      <c r="V55" s="81">
        <v>0</v>
      </c>
      <c r="W55" s="82">
        <v>192628336</v>
      </c>
      <c r="X55" s="112">
        <v>69</v>
      </c>
      <c r="Y55" s="112" t="s">
        <v>418</v>
      </c>
      <c r="Z55" s="113">
        <v>2</v>
      </c>
      <c r="AA55" s="113">
        <v>1</v>
      </c>
      <c r="AB55" s="113">
        <v>4</v>
      </c>
      <c r="AC55" s="99">
        <v>247.06</v>
      </c>
      <c r="AD55" s="99">
        <f t="shared" si="15"/>
        <v>51.329999999999984</v>
      </c>
      <c r="AE55" s="99">
        <v>298.39</v>
      </c>
      <c r="AF55" s="98">
        <f>(Z55+AA55+AB55)*'Ставки аренды'!$B$3/X55</f>
        <v>71.014492753623188</v>
      </c>
      <c r="AG55" s="114">
        <v>0</v>
      </c>
      <c r="AH55" s="94">
        <v>0</v>
      </c>
      <c r="AI55" s="115">
        <f>575152/1082467*AJ55</f>
        <v>3243.4992243458687</v>
      </c>
      <c r="AJ55" s="117">
        <f>Цены!C15*'Курсы валют'!B2</f>
        <v>6104.44</v>
      </c>
      <c r="AK55" s="94">
        <f>AJ55/Цены!$B$1</f>
        <v>80</v>
      </c>
      <c r="AL55" s="95">
        <f t="shared" si="5"/>
        <v>369.40449275362317</v>
      </c>
      <c r="AM55" s="95">
        <f t="shared" si="6"/>
        <v>5735.0355072463763</v>
      </c>
      <c r="AN55" s="94">
        <f t="shared" si="16"/>
        <v>3612.9037170994916</v>
      </c>
      <c r="AO55" s="118">
        <f t="shared" si="17"/>
        <v>0.40815149021048747</v>
      </c>
      <c r="AP55" s="96">
        <f t="shared" si="7"/>
        <v>6.0514067261472501E-2</v>
      </c>
      <c r="AQ55" s="96">
        <f t="shared" si="8"/>
        <v>4.8880814620178098E-2</v>
      </c>
      <c r="AR55" s="96">
        <f t="shared" si="9"/>
        <v>0.80775953149820845</v>
      </c>
      <c r="AS55" s="122">
        <v>1</v>
      </c>
      <c r="AT55" s="121">
        <f t="shared" si="10"/>
        <v>869797</v>
      </c>
      <c r="AU55" s="83">
        <v>0.9</v>
      </c>
      <c r="AV55" s="119">
        <f t="shared" si="11"/>
        <v>0.40228579245606605</v>
      </c>
      <c r="AW55" s="120">
        <f t="shared" si="12"/>
        <v>6.6379765015893877E-2</v>
      </c>
      <c r="AX55" s="120">
        <f t="shared" si="13"/>
        <v>5.4746512374599474E-2</v>
      </c>
      <c r="AY55" s="120">
        <f t="shared" si="14"/>
        <v>0.82474700477609475</v>
      </c>
      <c r="AZ55" s="15">
        <f>MIN(IF($AU55=100%,1,1+VLOOKUP(($AJ55-$AI55-$AH55-$AG55-$AF55-$AE55*(1+AZ$3))/$AJ55,'Технический лист'!$M:$N,2,1)-VLOOKUP($AO55,'Технический лист'!$M:$N,2,1)),1+(1-$AU55))</f>
        <v>0.99999999999999978</v>
      </c>
      <c r="BA55" s="15">
        <f>MIN(IF($AU55=100%,1,1+VLOOKUP(($AJ55-$AI55-$AH55-$AG55-$AF55-$AE55*(1+BA$3))/$AJ55,'Технический лист'!$M:$N,2,1)-VLOOKUP($AO55,'Технический лист'!$M:$N,2,1)),1+(1-$AU55))</f>
        <v>0.99999999999999978</v>
      </c>
      <c r="BB55" s="15">
        <f>MIN(IF($AU55=100%,1,1+VLOOKUP(($AJ55-$AI55-$AH55-$AG55-$AF55-$AE55*(1+BB$3))/$AJ55,'Технический лист'!$M:$N,2,1)-VLOOKUP($AO55,'Технический лист'!$M:$N,2,1)),1+(1-$AU55))</f>
        <v>0.99999999999999978</v>
      </c>
      <c r="BC55" s="15">
        <f>MIN(IF($AU55=100%,1,1+VLOOKUP(($AJ55-$AI55-$AH55-$AG55-$AF55-$AE55*(1+BC$3))/$AJ55,'Технический лист'!$M:$N,2,1)-VLOOKUP($AO55,'Технический лист'!$M:$N,2,1)),1+(1-$AU55))</f>
        <v>0.99999999999999978</v>
      </c>
      <c r="BD55" s="15">
        <f>MIN(IF($AU55=100%,1,1+VLOOKUP(($AJ55-$AI55-$AH55-$AG55-$AF55-$AE55*(1+BD$3))/$AJ55,'Технический лист'!$M:$N,2,1)-VLOOKUP($AO55,'Технический лист'!$M:$N,2,1)),1+(1-$AU55))</f>
        <v>0.99999999999999978</v>
      </c>
      <c r="BE55" s="15">
        <f>MIN(IF($AU55=100%,1,1+VLOOKUP(($AJ55-$AI55-$AH55-$AG55-$AF55-$AE55*(1+BE$3))/$AJ55,'Технический лист'!$M:$N,2,1)-VLOOKUP($AO55,'Технический лист'!$M:$N,2,1)),1+(1-$AU55))</f>
        <v>0.99999999999999978</v>
      </c>
      <c r="BF55" s="15">
        <f>MIN(IF($AU55=100%,1,1+VLOOKUP(($AJ55-$AI55-$AH55-$AG55-$AF55-$AE55*(1+BF$3))/$AJ55,'Технический лист'!$M:$N,2,1)-VLOOKUP($AO55,'Технический лист'!$M:$N,2,1)),1+(1-$AU55))</f>
        <v>0.99999999999999978</v>
      </c>
      <c r="BG55" s="15">
        <f>MIN(IF($AU55=100%,1,1+VLOOKUP(($AJ55-$AI55-$AH55-$AG55-$AF55-$AE55*(1+BG$3))/$AJ55,'Технический лист'!$M:$N,2,1)-VLOOKUP($AO55,'Технический лист'!$M:$N,2,1)),1+(1-$AU55))</f>
        <v>0.99999999999999978</v>
      </c>
      <c r="BH55" s="15">
        <f>MIN(IF($AU55=100%,1,1+VLOOKUP(($AJ55-$AI55-$AH55-$AG55-$AF55-$AE55*(1+BH$3))/$AJ55,'Технический лист'!$M:$N,2,1)-VLOOKUP($AO55,'Технический лист'!$M:$N,2,1)),1+(1-$AU55))</f>
        <v>0.99999999999999978</v>
      </c>
      <c r="BI55" s="15">
        <f>MIN(IF($AU55=100%,1,1+VLOOKUP(($AJ55-$AI55-$AH55-$AG55-$AF55-$AE55*(1+BI$3))/$AJ55,'Технический лист'!$M:$N,2,1)-VLOOKUP($AO55,'Технический лист'!$M:$N,2,1)),1+(1-$AU55))</f>
        <v>0.99999999999999978</v>
      </c>
      <c r="BJ55" s="15">
        <f>MIN(IF($AU55=100%,1,1+VLOOKUP(($AJ55-$AI55-$AH55-$AG55-$AF55-$AE55*(1+BJ$3))/$AJ55,'Технический лист'!$M:$N,2,1)-VLOOKUP($AO55,'Технический лист'!$M:$N,2,1)),1+(1-$AU55))</f>
        <v>0.99999999999999978</v>
      </c>
      <c r="BK55" s="15">
        <f>MIN(IF($AU55=100%,1,1+VLOOKUP(($AJ55-$AI55-$AH55-$AG55-$AF55-$AE55*(1+BK$3))/$AJ55,'Технический лист'!$M:$N,2,1)-VLOOKUP($AO55,'Технический лист'!$M:$N,2,1)),1+(1-$AU55))</f>
        <v>0.99999999999999978</v>
      </c>
      <c r="BL55" s="15">
        <f>MIN(IF($AU55=100%,1,1+VLOOKUP(($AJ55-$AI55-$AH55-$AG55-$AF55-$AE55*(1+BL$3))/$AJ55,'Технический лист'!$M:$N,2,1)-VLOOKUP($AO55,'Технический лист'!$M:$N,2,1)),1+(1-$AU55))</f>
        <v>0.99999999999999978</v>
      </c>
      <c r="BM55" s="15">
        <f>MIN(IF($AU55=100%,1,1+VLOOKUP(($AJ55-$AI55-$AH55-$AG55-$AF55-$AE55*(1+BM$3))/$AJ55,'Технический лист'!$M:$N,2,1)-VLOOKUP($AO55,'Технический лист'!$M:$N,2,1)),1+(1-$AU55))</f>
        <v>0.99999999999999978</v>
      </c>
      <c r="BN55" s="15">
        <f>MIN(IF($AU55=100%,1,1+VLOOKUP(($AJ55-$AI55-$AH55-$AG55-$AF55-$AE55*(1+BN$3))/$AJ55,'Технический лист'!$M:$N,2,1)-VLOOKUP($AO55,'Технический лист'!$M:$N,2,1)),1+(1-$AU55))</f>
        <v>0.99999999999999978</v>
      </c>
      <c r="BO55" s="15">
        <f>MIN(IF($AU55=100%,1,1+VLOOKUP(($AJ55-$AI55-$AH55-$AG55-$AF55-$AE55*(1+BO$3))/$AJ55,'Технический лист'!$M:$N,2,1)-VLOOKUP($AO55,'Технический лист'!$M:$N,2,1)),1+(1-$AU55))</f>
        <v>0.99999999999999978</v>
      </c>
      <c r="BP55" s="15">
        <f>MIN(IF($AU55=100%,1,1+VLOOKUP(($AJ55-$AI55-$AH55-$AG55-$AF55-$AE55*(1+BP$3))/$AJ55,'Технический лист'!$M:$N,2,1)-VLOOKUP($AO55,'Технический лист'!$M:$N,2,1)),1+(1-$AU55))</f>
        <v>0.99999999999999978</v>
      </c>
      <c r="BQ55" s="15">
        <f>MIN(IF($AU55=100%,1,1+VLOOKUP(($AJ55-$AI55-$AH55-$AG55-$AF55-$AE55*(1+BQ$3))/$AJ55,'Технический лист'!$M:$N,2,1)-VLOOKUP($AO55,'Технический лист'!$M:$N,2,1)),1+(1-$AU55))</f>
        <v>0.99999999999999978</v>
      </c>
      <c r="BR55" s="15">
        <f>MIN(IF($AU55=100%,1,1+VLOOKUP(($AJ55-$AI55-$AH55-$AG55-$AF55-$AE55*(1+BR$3))/$AJ55,'Технический лист'!$M:$N,2,1)-VLOOKUP($AO55,'Технический лист'!$M:$N,2,1)),1+(1-$AU55))</f>
        <v>0.99999999999999978</v>
      </c>
      <c r="BS55" s="15">
        <f>MIN(IF($AU55=100%,1,1+VLOOKUP(($AJ55-$AI55-$AH55-$AG55-$AF55-$AE55*(1+BS$3))/$AJ55,'Технический лист'!$M:$N,2,1)-VLOOKUP($AO55,'Технический лист'!$M:$N,2,1)),1+(1-$AU55))</f>
        <v>0.99999999999999978</v>
      </c>
      <c r="BT55" s="15">
        <f>MIN(IF($AU55=100%,1,1+VLOOKUP(($AJ55-$AI55-$AH55-$AG55-$AF55-$AE55*(1+BT$3))/$AJ55,'Технический лист'!$M:$N,2,1)-VLOOKUP($AO55,'Технический лист'!$M:$N,2,1)),1+(1-$AU55))</f>
        <v>0.99999999999999978</v>
      </c>
      <c r="BU55" s="15">
        <f>MIN(IF($AU55=100%,1,1+VLOOKUP(($AJ55-$AI55-$AH55-$AG55-$AF55-$AE55*(1+BU$3))/$AJ55,'Технический лист'!$M:$N,2,1)-VLOOKUP($AO55,'Технический лист'!$M:$N,2,1)),1+(1-$AU55))</f>
        <v>0.99999999999999978</v>
      </c>
      <c r="BV55" s="15">
        <f>MIN(IF($AU55=100%,1,1+VLOOKUP(($AJ55-$AI55-$AH55-$AG55-$AF55-$AE55*(1+BV$3))/$AJ55,'Технический лист'!$M:$N,2,1)-VLOOKUP($AO55,'Технический лист'!$M:$N,2,1)),1+(1-$AU55))</f>
        <v>0.99999999999999978</v>
      </c>
      <c r="BW55" s="15">
        <f>MIN(IF($AU55=100%,1,1+VLOOKUP(($AJ55-$AI55-$AH55-$AG55-$AF55-$AE55*(1+BW$3))/$AJ55,'Технический лист'!$M:$N,2,1)-VLOOKUP($AO55,'Технический лист'!$M:$N,2,1)),1+(1-$AU55))</f>
        <v>0.99999999999999978</v>
      </c>
      <c r="BX55" s="15">
        <f>MIN(IF($AU55=100%,1,1+VLOOKUP(($AJ55-$AI55-$AH55-$AG55-$AF55-$AE55*(1+BX$3))/$AJ55,'Технический лист'!$M:$N,2,1)-VLOOKUP($AO55,'Технический лист'!$M:$N,2,1)),1+(1-$AU55))</f>
        <v>0.99999999999999978</v>
      </c>
      <c r="BY55" s="15">
        <f>MIN(IF($AU55=100%,1,1+VLOOKUP(($AJ55-$AI55-$AH55-$AG55-$AF55-$AE55*(1+BY$3))/$AJ55,'Технический лист'!$M:$N,2,1)-VLOOKUP($AO55,'Технический лист'!$M:$N,2,1)),1+(1-$AU55))</f>
        <v>0.99999999999999978</v>
      </c>
      <c r="BZ55" s="15">
        <f>MIN(IF($AU55=100%,1,1+VLOOKUP(($AJ55-$AI55-$AH55-$AG55-$AF55-$AE55*(1+BZ$3))/$AJ55,'Технический лист'!$M:$N,2,1)-VLOOKUP($AO55,'Технический лист'!$M:$N,2,1)),1+(1-$AU55))</f>
        <v>0.99999999999999978</v>
      </c>
      <c r="CA55" s="15">
        <f>MIN(IF($AU55=100%,1,1+VLOOKUP(($AJ55-$AI55-$AH55-$AG55-$AF55-$AE55*(1+CA$3))/$AJ55,'Технический лист'!$M:$N,2,1)-VLOOKUP($AO55,'Технический лист'!$M:$N,2,1)),1+(1-$AU55))</f>
        <v>0.99999999999999978</v>
      </c>
      <c r="CB55" s="15">
        <f>MIN(IF($AU55=100%,1,1+VLOOKUP(($AJ55-$AI55-$AH55-$AG55-$AF55-$AE55*(1+CB$3))/$AJ55,'Технический лист'!$M:$N,2,1)-VLOOKUP($AO55,'Технический лист'!$M:$N,2,1)),1+(1-$AU55))</f>
        <v>0.99999999999999978</v>
      </c>
      <c r="CC55" s="15">
        <f>MIN(IF($AU55=100%,1,1+VLOOKUP(($AJ55-$AI55-$AH55-$AG55-$AF55-$AE55*(1+CC$3))/$AJ55,'Технический лист'!$M:$N,2,1)-VLOOKUP($AO55,'Технический лист'!$M:$N,2,1)),1+(1-$AU55))</f>
        <v>0.99999999999999978</v>
      </c>
      <c r="CD55" s="15">
        <f>MIN(IF($AU55=100%,1,1+VLOOKUP(($AJ55-$AI55-$AH55-$AG55-$AF55-$AE55*(1+CD$3))/$AJ55,'Технический лист'!$M:$N,2,1)-VLOOKUP($AO55,'Технический лист'!$M:$N,2,1)),1+(1-$AU55))</f>
        <v>0.99999999999999978</v>
      </c>
      <c r="CE55" s="15">
        <f>MIN(IF($AU55=100%,1,1+VLOOKUP(($AJ55-$AI55-$AH55-$AG55-$AF55-$AE55*(1+CE$3))/$AJ55,'Технический лист'!$M:$N,2,1)-VLOOKUP($AO55,'Технический лист'!$M:$N,2,1)),1+(1-$AU55))</f>
        <v>0.99999999999999978</v>
      </c>
      <c r="CF55" s="15">
        <f>MIN(IF($AU55=100%,1,1+VLOOKUP(($AJ55-$AI55-$AH55-$AG55-$AF55-$AE55*(1+CF$3))/$AJ55,'Технический лист'!$M:$N,2,1)-VLOOKUP($AO55,'Технический лист'!$M:$N,2,1)),1+(1-$AU55))</f>
        <v>0.99999999999999978</v>
      </c>
      <c r="CG55" s="15">
        <f>MIN(IF($AU55=100%,1,1+VLOOKUP(($AJ55-$AI55-$AH55-$AG55-$AF55-$AE55*(1+CG$3))/$AJ55,'Технический лист'!$M:$N,2,1)-VLOOKUP($AO55,'Технический лист'!$M:$N,2,1)),1+(1-$AU55))</f>
        <v>0.99999999999999978</v>
      </c>
      <c r="CH55" s="15">
        <f>MIN(IF($AU55=100%,1,1+VLOOKUP(($AJ55-$AI55-$AH55-$AG55-$AF55-$AE55*(1+CH$3))/$AJ55,'Технический лист'!$M:$N,2,1)-VLOOKUP($AO55,'Технический лист'!$M:$N,2,1)),1+(1-$AU55))</f>
        <v>0.99999999999999978</v>
      </c>
      <c r="CI55" s="15">
        <f>MIN(IF($AU55=100%,1,1+VLOOKUP(($AJ55-$AI55-$AH55-$AG55-$AF55-$AE55*(1+CI$3))/$AJ55,'Технический лист'!$M:$N,2,1)-VLOOKUP($AO55,'Технический лист'!$M:$N,2,1)),1+(1-$AU55))</f>
        <v>0.99999999999999978</v>
      </c>
      <c r="CJ55" s="15">
        <f>MIN(IF($AU55=100%,1,1+VLOOKUP(($AJ55-$AI55-$AH55-$AG55-$AF55-$AE55*(1+CJ$3))/$AJ55,'Технический лист'!$M:$N,2,1)-VLOOKUP($AO55,'Технический лист'!$M:$N,2,1)),1+(1-$AU55))</f>
        <v>0.99999999999999978</v>
      </c>
      <c r="CK55" s="15">
        <f>MIN(IF($AU55=100%,1,1+VLOOKUP(($AJ55-$AI55-$AH55-$AG55-$AF55-$AE55*(1+CK$3))/$AJ55,'Технический лист'!$M:$N,2,1)-VLOOKUP($AO55,'Технический лист'!$M:$N,2,1)),1+(1-$AU55))</f>
        <v>0.99999999999999978</v>
      </c>
      <c r="CL55" s="15">
        <f>MIN(IF($AU55=100%,1,1+VLOOKUP(($AJ55-$AI55-$AH55-$AG55-$AF55-$AE55*(1+CL$3))/$AJ55,'Технический лист'!$M:$N,2,1)-VLOOKUP($AO55,'Технический лист'!$M:$N,2,1)),1+(1-$AU55))</f>
        <v>0.99999999999999978</v>
      </c>
      <c r="CM55" s="15">
        <f>MIN(IF($AU55=100%,1,1+VLOOKUP(($AJ55-$AI55-$AH55-$AG55-$AF55-$AE55*(1+CM$3))/$AJ55,'Технический лист'!$M:$N,2,1)-VLOOKUP($AO55,'Технический лист'!$M:$N,2,1)),1+(1-$AU55))</f>
        <v>0.99999999999999978</v>
      </c>
      <c r="CN55" s="15">
        <f>MIN(IF($AU55=100%,1,1+VLOOKUP(($AJ55-$AI55-$AH55-$AG55-$AF55-$AE55*(1+CN$3))/$AJ55,'Технический лист'!$M:$N,2,1)-VLOOKUP($AO55,'Технический лист'!$M:$N,2,1)),1+(1-$AU55))</f>
        <v>0.99999999999999978</v>
      </c>
      <c r="CO55" s="15">
        <f>MIN(IF($AU55=100%,1,1+VLOOKUP(($AJ55-$AI55-$AH55-$AG55-$AF55-$AE55*(1+CO$3))/$AJ55,'Технический лист'!$M:$N,2,1)-VLOOKUP($AO55,'Технический лист'!$M:$N,2,1)),1+(1-$AU55))</f>
        <v>0.99999999999999978</v>
      </c>
      <c r="CP55" s="15">
        <f>MIN(IF($AU55=100%,1,1+VLOOKUP(($AJ55-$AI55-$AH55-$AG55-$AF55-$AE55*(1+CP$3))/$AJ55,'Технический лист'!$M:$N,2,1)-VLOOKUP($AO55,'Технический лист'!$M:$N,2,1)),1+(1-$AU55))</f>
        <v>0.99999999999999978</v>
      </c>
      <c r="CQ55" s="15">
        <f>MIN(IF($AU55=100%,1,1+VLOOKUP(($AJ55-$AI55-$AH55-$AG55-$AF55-$AE55*(1+CQ$3))/$AJ55,'Технический лист'!$M:$N,2,1)-VLOOKUP($AO55,'Технический лист'!$M:$N,2,1)),1+(1-$AU55))</f>
        <v>0.99999999999999978</v>
      </c>
      <c r="CR55" s="15">
        <f>MIN(IF($AU55=100%,1,1+VLOOKUP(($AJ55-$AI55-$AH55-$AG55-$AF55-$AE55*(1+CR$3))/$AJ55,'Технический лист'!$M:$N,2,1)-VLOOKUP($AO55,'Технический лист'!$M:$N,2,1)),1+(1-$AU55))</f>
        <v>0.99999999999999978</v>
      </c>
      <c r="CS55" s="15">
        <f>MIN(IF($AU55=100%,1,1+VLOOKUP(($AJ55-$AI55-$AH55-$AG55-$AF55-$AE55*(1+CS$3))/$AJ55,'Технический лист'!$M:$N,2,1)-VLOOKUP($AO55,'Технический лист'!$M:$N,2,1)),1+(1-$AU55))</f>
        <v>0.99999999999999978</v>
      </c>
      <c r="CT55" s="15">
        <f>MIN(IF($AU55=100%,1,1+VLOOKUP(($AJ55-$AI55-$AH55-$AG55-$AF55-$AE55*(1+CT$3))/$AJ55,'Технический лист'!$M:$N,2,1)-VLOOKUP($AO55,'Технический лист'!$M:$N,2,1)),1+(1-$AU55))</f>
        <v>0.99999999999999978</v>
      </c>
      <c r="CU55" s="15">
        <f>MIN(IF($AU55=100%,1,1+VLOOKUP(($AJ55-$AI55-$AH55-$AG55-$AF55-$AE55*(1+CU$3))/$AJ55,'Технический лист'!$M:$N,2,1)-VLOOKUP($AO55,'Технический лист'!$M:$N,2,1)),1+(1-$AU55))</f>
        <v>0.99999999999999978</v>
      </c>
      <c r="CV55" s="15">
        <f>MIN(IF($AU55=100%,1,1+VLOOKUP(($AJ55-$AI55-$AH55-$AG55-$AF55-$AE55*(1+CV$3))/$AJ55,'Технический лист'!$M:$N,2,1)-VLOOKUP($AO55,'Технический лист'!$M:$N,2,1)),1+(1-$AU55))</f>
        <v>0.99999999999999978</v>
      </c>
      <c r="CW55" s="15">
        <f>MIN(IF($AU55=100%,1,1+VLOOKUP(($AJ55-$AI55-$AH55-$AG55-$AF55-$AE55*(1+CW$3))/$AJ55,'Технический лист'!$M:$N,2,1)-VLOOKUP($AO55,'Технический лист'!$M:$N,2,1)),1+(1-$AU55))</f>
        <v>0.99999999999999978</v>
      </c>
      <c r="CX55" s="15">
        <f>MIN(IF($AU55=100%,1,1+VLOOKUP(($AJ55-$AI55-$AH55-$AG55-$AF55-$AE55*(1+CX$3))/$AJ55,'Технический лист'!$M:$N,2,1)-VLOOKUP($AO55,'Технический лист'!$M:$N,2,1)),1+(1-$AU55))</f>
        <v>0.99999999999999978</v>
      </c>
      <c r="CY55" s="15">
        <f>MIN(IF($AU55=100%,1,1+VLOOKUP(($AJ55-$AI55-$AH55-$AG55-$AF55-$AE55*(1+CY$3))/$AJ55,'Технический лист'!$M:$N,2,1)-VLOOKUP($AO55,'Технический лист'!$M:$N,2,1)),1+(1-$AU55))</f>
        <v>0.99999999999999978</v>
      </c>
      <c r="CZ55" s="15">
        <f>MIN(IF($AU55=100%,1,1+VLOOKUP(($AJ55-$AI55-$AH55-$AG55-$AF55-$AE55*(1+CZ$3))/$AJ55,'Технический лист'!$M:$N,2,1)-VLOOKUP($AO55,'Технический лист'!$M:$N,2,1)),1+(1-$AU55))</f>
        <v>0.99999999999999978</v>
      </c>
      <c r="DA55" s="15">
        <f>MIN(IF($AU55=100%,1,1+VLOOKUP(($AJ55-$AI55-$AH55-$AG55-$AF55-$AE55*(1+DA$3))/$AJ55,'Технический лист'!$M:$N,2,1)-VLOOKUP($AO55,'Технический лист'!$M:$N,2,1)),1+(1-$AU55))</f>
        <v>0.99999999999999978</v>
      </c>
      <c r="DB55" s="15">
        <f>MIN(IF($AU55=100%,1,1+VLOOKUP(($AJ55-$AI55-$AH55-$AG55-$AF55-$AE55*(1+DB$3))/$AJ55,'Технический лист'!$M:$N,2,1)-VLOOKUP($AO55,'Технический лист'!$M:$N,2,1)),1+(1-$AU55))</f>
        <v>0.99999999999999978</v>
      </c>
      <c r="DC55" s="15">
        <f>MIN(IF($AU55=100%,1,1+VLOOKUP(($AJ55-$AI55-$AH55-$AG55-$AF55-$AE55*(1+DC$3))/$AJ55,'Технический лист'!$M:$N,2,1)-VLOOKUP($AO55,'Технический лист'!$M:$N,2,1)),1+(1-$AU55))</f>
        <v>0.99999999999999978</v>
      </c>
      <c r="DD55" s="15">
        <f>MIN(IF($AU55=100%,1,1+VLOOKUP(($AJ55-$AI55-$AH55-$AG55-$AF55-$AE55*(1+DD$3))/$AJ55,'Технический лист'!$M:$N,2,1)-VLOOKUP($AO55,'Технический лист'!$M:$N,2,1)),1+(1-$AU55))</f>
        <v>0.99999999999999978</v>
      </c>
      <c r="DE55" s="15">
        <f>MIN(IF($AU55=100%,1,1+VLOOKUP(($AJ55-$AI55-$AH55-$AG55-$AF55-$AE55*(1+DE$3))/$AJ55,'Технический лист'!$M:$N,2,1)-VLOOKUP($AO55,'Технический лист'!$M:$N,2,1)),1+(1-$AU55))</f>
        <v>0.99999999999999978</v>
      </c>
      <c r="DF55" s="15">
        <f>MIN(IF($AU55=100%,1,1+VLOOKUP(($AJ55-$AI55-$AH55-$AG55-$AF55-$AE55*(1+DF$3))/$AJ55,'Технический лист'!$M:$N,2,1)-VLOOKUP($AO55,'Технический лист'!$M:$N,2,1)),1+(1-$AU55))</f>
        <v>0.99999999999999978</v>
      </c>
      <c r="DG55" s="15">
        <f>MIN(IF($AU55=100%,1,1+VLOOKUP(($AJ55-$AI55-$AH55-$AG55-$AF55-$AE55*(1+DG$3))/$AJ55,'Технический лист'!$M:$N,2,1)-VLOOKUP($AO55,'Технический лист'!$M:$N,2,1)),1+(1-$AU55))</f>
        <v>0.99999999999999978</v>
      </c>
      <c r="DH55" s="15">
        <f>MIN(IF($AU55=100%,1,1+VLOOKUP(($AJ55-$AI55-$AH55-$AG55-$AF55-$AE55*(1+DH$3))/$AJ55,'Технический лист'!$M:$N,2,1)-VLOOKUP($AO55,'Технический лист'!$M:$N,2,1)),1+(1-$AU55))</f>
        <v>0.99999999999999978</v>
      </c>
      <c r="DI55" s="15">
        <f>MIN(IF($AU55=100%,1,1+VLOOKUP(($AJ55-$AI55-$AH55-$AG55-$AF55-$AE55*(1+DI$3))/$AJ55,'Технический лист'!$M:$N,2,1)-VLOOKUP($AO55,'Технический лист'!$M:$N,2,1)),1+(1-$AU55))</f>
        <v>0.99999999999999978</v>
      </c>
      <c r="DJ55" s="15">
        <f>MIN(IF($AU55=100%,1,1+VLOOKUP(($AJ55-$AI55-$AH55-$AG55-$AF55-$AE55*(1+DJ$3))/$AJ55,'Технический лист'!$M:$N,2,1)-VLOOKUP($AO55,'Технический лист'!$M:$N,2,1)),1+(1-$AU55))</f>
        <v>0.99999999999999978</v>
      </c>
      <c r="DK55" s="15">
        <f>MIN(IF($AU55=100%,1,1+VLOOKUP(($AJ55-$AI55-$AH55-$AG55-$AF55-$AE55*(1+DK$3))/$AJ55,'Технический лист'!$M:$N,2,1)-VLOOKUP($AO55,'Технический лист'!$M:$N,2,1)),1+(1-$AU55))</f>
        <v>0.99999999999999978</v>
      </c>
      <c r="DL55" s="15">
        <f>MIN(IF($AU55=100%,1,1+VLOOKUP(($AJ55-$AI55-$AH55-$AG55-$AF55-$AE55*(1+DL$3))/$AJ55,'Технический лист'!$M:$N,2,1)-VLOOKUP($AO55,'Технический лист'!$M:$N,2,1)),1+(1-$AU55))</f>
        <v>0.99999999999999978</v>
      </c>
      <c r="DM55" s="15">
        <f>MIN(IF($AU55=100%,1,1+VLOOKUP(($AJ55-$AI55-$AH55-$AG55-$AF55-$AE55*(1+DM$3))/$AJ55,'Технический лист'!$M:$N,2,1)-VLOOKUP($AO55,'Технический лист'!$M:$N,2,1)),1+(1-$AU55))</f>
        <v>0.99999999999999978</v>
      </c>
      <c r="DN55" s="15">
        <f>MIN(IF($AU55=100%,1,1+VLOOKUP(($AJ55-$AI55-$AH55-$AG55-$AF55-$AE55*(1+DN$3))/$AJ55,'Технический лист'!$M:$N,2,1)-VLOOKUP($AO55,'Технический лист'!$M:$N,2,1)),1+(1-$AU55))</f>
        <v>0.99999999999999978</v>
      </c>
      <c r="DO55" s="15">
        <f>MIN(IF($AU55=100%,1,1+VLOOKUP(($AJ55-$AI55-$AH55-$AG55-$AF55-$AE55*(1+DO$3))/$AJ55,'Технический лист'!$M:$N,2,1)-VLOOKUP($AO55,'Технический лист'!$M:$N,2,1)),1+(1-$AU55))</f>
        <v>0.99999999999999978</v>
      </c>
      <c r="DP55" s="15">
        <f>MIN(IF($AU55=100%,1,1+VLOOKUP(($AJ55-$AI55-$AH55-$AG55-$AF55-$AE55*(1+DP$3))/$AJ55,'Технический лист'!$M:$N,2,1)-VLOOKUP($AO55,'Технический лист'!$M:$N,2,1)),1+(1-$AU55))</f>
        <v>0.99999999999999978</v>
      </c>
      <c r="DQ55" s="15">
        <f>MIN(IF($AU55=100%,1,1+VLOOKUP(($AJ55-$AI55-$AH55-$AG55-$AF55-$AE55*(1+DQ$3))/$AJ55,'Технический лист'!$M:$N,2,1)-VLOOKUP($AO55,'Технический лист'!$M:$N,2,1)),1+(1-$AU55))</f>
        <v>0.99999999999999978</v>
      </c>
      <c r="DR55" s="15">
        <f>MIN(IF($AU55=100%,1,1+VLOOKUP(($AJ55-$AI55-$AH55-$AG55-$AF55-$AE55*(1+DR$3))/$AJ55,'Технический лист'!$M:$N,2,1)-VLOOKUP($AO55,'Технический лист'!$M:$N,2,1)),1+(1-$AU55))</f>
        <v>0.99999999999999978</v>
      </c>
      <c r="DS55" s="15">
        <f>MIN(IF($AU55=100%,1,1+VLOOKUP(($AJ55-$AI55-$AH55-$AG55-$AF55-$AE55*(1+DS$3))/$AJ55,'Технический лист'!$M:$N,2,1)-VLOOKUP($AO55,'Технический лист'!$M:$N,2,1)),1+(1-$AU55))</f>
        <v>0.99999999999999978</v>
      </c>
      <c r="DT55" s="15">
        <f>MIN(IF($AU55=100%,1,1+VLOOKUP(($AJ55-$AI55-$AH55-$AG55-$AF55-$AE55*(1+DT$3))/$AJ55,'Технический лист'!$M:$N,2,1)-VLOOKUP($AO55,'Технический лист'!$M:$N,2,1)),1+(1-$AU55))</f>
        <v>0.99999999999999978</v>
      </c>
      <c r="DU55" s="15">
        <f>MIN(IF($AU55=100%,1,1+VLOOKUP(($AJ55-$AI55-$AH55-$AG55-$AF55-$AE55*(1+DU$3))/$AJ55,'Технический лист'!$M:$N,2,1)-VLOOKUP($AO55,'Технический лист'!$M:$N,2,1)),1+(1-$AU55))</f>
        <v>0.99999999999999978</v>
      </c>
      <c r="DV55" s="15">
        <f>MIN(IF($AU55=100%,1,1+VLOOKUP(($AJ55-$AI55-$AH55-$AG55-$AF55-$AE55*(1+DV$3))/$AJ55,'Технический лист'!$M:$N,2,1)-VLOOKUP($AO55,'Технический лист'!$M:$N,2,1)),1+(1-$AU55))</f>
        <v>0.99999999999999978</v>
      </c>
      <c r="DW55" s="15">
        <f>MIN(IF($AU55=100%,1,1+VLOOKUP(($AJ55-$AI55-$AH55-$AG55-$AF55-$AE55*(1+DW$3))/$AJ55,'Технический лист'!$M:$N,2,1)-VLOOKUP($AO55,'Технический лист'!$M:$N,2,1)),1+(1-$AU55))</f>
        <v>0.99999999999999978</v>
      </c>
      <c r="DX55" s="15">
        <f>MIN(IF($AU55=100%,1,1+VLOOKUP(($AJ55-$AI55-$AH55-$AG55-$AF55-$AE55*(1+DX$3))/$AJ55,'Технический лист'!$M:$N,2,1)-VLOOKUP($AO55,'Технический лист'!$M:$N,2,1)),1+(1-$AU55))</f>
        <v>0.99999999999999978</v>
      </c>
      <c r="DY55" s="15">
        <f>MIN(IF($AU55=100%,1,1+VLOOKUP(($AJ55-$AI55-$AH55-$AG55-$AF55-$AE55*(1+DY$3))/$AJ55,'Технический лист'!$M:$N,2,1)-VLOOKUP($AO55,'Технический лист'!$M:$N,2,1)),1+(1-$AU55))</f>
        <v>0.99999999999999978</v>
      </c>
      <c r="DZ55" s="15">
        <f>MIN(IF($AU55=100%,1,1+VLOOKUP(($AJ55-$AI55-$AH55-$AG55-$AF55-$AE55*(1+DZ$3))/$AJ55,'Технический лист'!$M:$N,2,1)-VLOOKUP($AO55,'Технический лист'!$M:$N,2,1)),1+(1-$AU55))</f>
        <v>0.99999999999999978</v>
      </c>
      <c r="EA55" s="15">
        <f>MIN(IF($AU55=100%,1,1+VLOOKUP(($AJ55-$AI55-$AH55-$AG55-$AF55-$AE55*(1+EA$3))/$AJ55,'Технический лист'!$M:$N,2,1)-VLOOKUP($AO55,'Технический лист'!$M:$N,2,1)),1+(1-$AU55))</f>
        <v>0.99999999999999978</v>
      </c>
      <c r="EB55" s="15">
        <f>MIN(IF($AU55=100%,1,1+VLOOKUP(($AJ55-$AI55-$AH55-$AG55-$AF55-$AE55*(1+EB$3))/$AJ55,'Технический лист'!$M:$N,2,1)-VLOOKUP($AO55,'Технический лист'!$M:$N,2,1)),1+(1-$AU55))</f>
        <v>0.99999999999999978</v>
      </c>
      <c r="EC55" s="15">
        <f>MIN(IF($AU55=100%,1,1+VLOOKUP(($AJ55-$AI55-$AH55-$AG55-$AF55-$AE55*(1+EC$3))/$AJ55,'Технический лист'!$M:$N,2,1)-VLOOKUP($AO55,'Технический лист'!$M:$N,2,1)),1+(1-$AU55))</f>
        <v>0.99999999999999978</v>
      </c>
      <c r="ED55" s="15">
        <f>MIN(IF($AU55=100%,1,1+VLOOKUP(($AJ55-$AI55-$AH55-$AG55-$AF55-$AE55*(1+ED$3))/$AJ55,'Технический лист'!$M:$N,2,1)-VLOOKUP($AO55,'Технический лист'!$M:$N,2,1)),1+(1-$AU55))</f>
        <v>0.99999999999999978</v>
      </c>
      <c r="EE55" s="15">
        <f>MIN(IF($AU55=100%,1,1+VLOOKUP(($AJ55-$AI55-$AH55-$AG55-$AF55-$AE55*(1+EE$3))/$AJ55,'Технический лист'!$M:$N,2,1)-VLOOKUP($AO55,'Технический лист'!$M:$N,2,1)),1+(1-$AU55))</f>
        <v>0.99999999999999978</v>
      </c>
      <c r="EF55" s="15">
        <f>MIN(IF($AU55=100%,1,1+VLOOKUP(($AJ55-$AI55-$AH55-$AG55-$AF55-$AE55*(1+EF$3))/$AJ55,'Технический лист'!$M:$N,2,1)-VLOOKUP($AO55,'Технический лист'!$M:$N,2,1)),1+(1-$AU55))</f>
        <v>0.99999999999999978</v>
      </c>
      <c r="EG55" s="15">
        <f>MIN(IF($AU55=100%,1,1+VLOOKUP(($AJ55-$AI55-$AH55-$AG55-$AF55-$AE55*(1+EG$3))/$AJ55,'Технический лист'!$M:$N,2,1)-VLOOKUP($AO55,'Технический лист'!$M:$N,2,1)),1+(1-$AU55))</f>
        <v>0.99999999999999978</v>
      </c>
      <c r="EH55" s="15">
        <f>MIN(IF($AU55=100%,1,1+VLOOKUP(($AJ55-$AI55-$AH55-$AG55-$AF55-$AE55*(1+EH$3))/$AJ55,'Технический лист'!$M:$N,2,1)-VLOOKUP($AO55,'Технический лист'!$M:$N,2,1)),1+(1-$AU55))</f>
        <v>0.99999999999999978</v>
      </c>
      <c r="EI55" s="15">
        <f>MIN(IF($AU55=100%,1,1+VLOOKUP(($AJ55-$AI55-$AH55-$AG55-$AF55-$AE55*(1+EI$3))/$AJ55,'Технический лист'!$M:$N,2,1)-VLOOKUP($AO55,'Технический лист'!$M:$N,2,1)),1+(1-$AU55))</f>
        <v>0.99999999999999978</v>
      </c>
      <c r="EJ55" s="15">
        <f>MIN(IF($AU55=100%,1,1+VLOOKUP(($AJ55-$AI55-$AH55-$AG55-$AF55-$AE55*(1+EJ$3))/$AJ55,'Технический лист'!$M:$N,2,1)-VLOOKUP($AO55,'Технический лист'!$M:$N,2,1)),1+(1-$AU55))</f>
        <v>0.99999999999999978</v>
      </c>
      <c r="EK55" s="15">
        <f>MIN(IF($AU55=100%,1,1+VLOOKUP(($AJ55-$AI55-$AH55-$AG55-$AF55-$AE55*(1+EK$3))/$AJ55,'Технический лист'!$M:$N,2,1)-VLOOKUP($AO55,'Технический лист'!$M:$N,2,1)),1+(1-$AU55))</f>
        <v>0.99999999999999978</v>
      </c>
      <c r="EL55" s="15">
        <f>MIN(IF($AU55=100%,1,1+VLOOKUP(($AJ55-$AI55-$AH55-$AG55-$AF55-$AE55*(1+EL$3))/$AJ55,'Технический лист'!$M:$N,2,1)-VLOOKUP($AO55,'Технический лист'!$M:$N,2,1)),1+(1-$AU55))</f>
        <v>0.99999999999999978</v>
      </c>
      <c r="EM55" s="15">
        <f>MIN(IF($AU55=100%,1,1+VLOOKUP(($AJ55-$AI55-$AH55-$AG55-$AF55-$AE55*(1+EM$3))/$AJ55,'Технический лист'!$M:$N,2,1)-VLOOKUP($AO55,'Технический лист'!$M:$N,2,1)),1+(1-$AU55))</f>
        <v>0.99999999999999978</v>
      </c>
      <c r="EN55" s="15">
        <f>MIN(IF($AU55=100%,1,1+VLOOKUP(($AJ55-$AI55-$AH55-$AG55-$AF55-$AE55*(1+EN$3))/$AJ55,'Технический лист'!$M:$N,2,1)-VLOOKUP($AO55,'Технический лист'!$M:$N,2,1)),1+(1-$AU55))</f>
        <v>0.99999999999999978</v>
      </c>
      <c r="EO55" s="15">
        <f>MIN(IF($AU55=100%,1,1+VLOOKUP(($AJ55-$AI55-$AH55-$AG55-$AF55-$AE55*(1+EO$3))/$AJ55,'Технический лист'!$M:$N,2,1)-VLOOKUP($AO55,'Технический лист'!$M:$N,2,1)),1+(1-$AU55))</f>
        <v>0.99999999999999978</v>
      </c>
      <c r="EP55" s="15">
        <f>MIN(IF($AU55=100%,1,1+VLOOKUP(($AJ55-$AI55-$AH55-$AG55-$AF55-$AE55*(1+EP$3))/$AJ55,'Технический лист'!$M:$N,2,1)-VLOOKUP($AO55,'Технический лист'!$M:$N,2,1)),1+(1-$AU55))</f>
        <v>0.99999999999999978</v>
      </c>
      <c r="EQ55" s="15">
        <f>MIN(IF($AU55=100%,1,1+VLOOKUP(($AJ55-$AI55-$AH55-$AG55-$AF55-$AE55*(1+EQ$3))/$AJ55,'Технический лист'!$M:$N,2,1)-VLOOKUP($AO55,'Технический лист'!$M:$N,2,1)),1+(1-$AU55))</f>
        <v>0.99999999999999978</v>
      </c>
      <c r="ER55" s="15">
        <f>MIN(IF($AU55=100%,1,1+VLOOKUP(($AJ55-$AI55-$AH55-$AG55-$AF55-$AE55*(1+ER$3))/$AJ55,'Технический лист'!$M:$N,2,1)-VLOOKUP($AO55,'Технический лист'!$M:$N,2,1)),1+(1-$AU55))</f>
        <v>0.99999999999999978</v>
      </c>
      <c r="ES55" s="15">
        <f>MIN(IF($AU55=100%,1,1+VLOOKUP(($AJ55-$AI55-$AH55-$AG55-$AF55-$AE55*(1+ES$3))/$AJ55,'Технический лист'!$M:$N,2,1)-VLOOKUP($AO55,'Технический лист'!$M:$N,2,1)),1+(1-$AU55))</f>
        <v>0.99999999999999978</v>
      </c>
      <c r="ET55" s="15">
        <f>MIN(IF($AU55=100%,1,1+VLOOKUP(($AJ55-$AI55-$AH55-$AG55-$AF55-$AE55*(1+ET$3))/$AJ55,'Технический лист'!$M:$N,2,1)-VLOOKUP($AO55,'Технический лист'!$M:$N,2,1)),1+(1-$AU55))</f>
        <v>0.99999999999999978</v>
      </c>
      <c r="EU55" s="15">
        <f>MIN(IF($AU55=100%,1,1+VLOOKUP(($AJ55-$AI55-$AH55-$AG55-$AF55-$AE55*(1+EU$3))/$AJ55,'Технический лист'!$M:$N,2,1)-VLOOKUP($AO55,'Технический лист'!$M:$N,2,1)),1+(1-$AU55))</f>
        <v>0.99999999999999978</v>
      </c>
      <c r="EV55" s="111">
        <v>1</v>
      </c>
      <c r="EW55" s="15">
        <f>MIN(1,MAX(VLOOKUP(($AJ55-$AI55-$AH55-$AG55-$AF55-$AE55*(1+EW$3))/$AJ55,'Технический лист'!$M:$N,2,1),(EV55-0.05)))</f>
        <v>1</v>
      </c>
      <c r="EX55" s="15">
        <f>MIN(1,MAX(VLOOKUP(($AJ55-$AI55-$AH55-$AG55-$AF55-$AE55*(1+EX$3))/$AJ55,'Технический лист'!$M:$N,2,1),(EW55-0.05)))</f>
        <v>1</v>
      </c>
      <c r="EY55" s="15">
        <f>MIN(1,MAX(VLOOKUP(($AJ55-$AI55-$AH55-$AG55-$AF55-$AE55*(1+EY$3))/$AJ55,'Технический лист'!$M:$N,2,1),(EX55-0.05)))</f>
        <v>1</v>
      </c>
      <c r="EZ55" s="15">
        <f>MIN(1,MAX(VLOOKUP(($AJ55-$AI55-$AH55-$AG55-$AF55-$AE55*(1+EZ$3))/$AJ55,'Технический лист'!$M:$N,2,1),(EY55-0.05)))</f>
        <v>1</v>
      </c>
      <c r="FA55" s="15">
        <f>MIN(1,MAX(VLOOKUP(($AJ55-$AI55-$AH55-$AG55-$AF55-$AE55*(1+FA$3))/$AJ55,'Технический лист'!$M:$N,2,1),(EZ55-0.05)))</f>
        <v>1</v>
      </c>
      <c r="FB55" s="15">
        <f>MIN(1,MAX(VLOOKUP(($AJ55-$AI55-$AH55-$AG55-$AF55-$AE55*(1+FB$3))/$AJ55,'Технический лист'!$M:$N,2,1),(FA55-0.05)))</f>
        <v>1</v>
      </c>
      <c r="FC55" s="15">
        <f>MIN(1,MAX(VLOOKUP(($AJ55-$AI55-$AH55-$AG55-$AF55-$AE55*(1+FC$3))/$AJ55,'Технический лист'!$M:$N,2,1),(FB55-0.05)))</f>
        <v>1</v>
      </c>
      <c r="FD55" s="15">
        <f>MIN(1,MAX(VLOOKUP(($AJ55-$AI55-$AH55-$AG55-$AF55-$AE55*(1+FD$3))/$AJ55,'Технический лист'!$M:$N,2,1),(FC55-0.05)))</f>
        <v>1</v>
      </c>
      <c r="FE55" s="15">
        <f>MIN(1,MAX(VLOOKUP(($AJ55-$AI55-$AH55-$AG55-$AF55-$AE55*(1+FE$3))/$AJ55,'Технический лист'!$M:$N,2,1),(FD55-0.05)))</f>
        <v>1</v>
      </c>
      <c r="FF55" s="15">
        <f>MIN(1,MAX(VLOOKUP(($AJ55-$AI55-$AH55-$AG55-$AF55-$AE55*(1+FF$3))/$AJ55,'Технический лист'!$M:$N,2,1),(FE55-0.05)))</f>
        <v>1</v>
      </c>
      <c r="FG55" s="15">
        <f>MIN(1,MAX(VLOOKUP(($AJ55-$AI55-$AH55-$AG55-$AF55-$AE55*(1+FG$3))/$AJ55,'Технический лист'!$M:$N,2,1),(FF55-0.05)))</f>
        <v>1</v>
      </c>
      <c r="FH55" s="15">
        <f>MIN(1,MAX(VLOOKUP(($AJ55-$AI55-$AH55-$AG55-$AF55-$AE55*(1+FH$3))/$AJ55,'Технический лист'!$M:$N,2,1),(FG55-0.05)))</f>
        <v>1</v>
      </c>
      <c r="FI55" s="15">
        <f>MIN(1,MAX(VLOOKUP(($AJ55-$AI55-$AH55-$AG55-$AF55-$AE55*(1+FI$3))/$AJ55,'Технический лист'!$M:$N,2,1),(FH55-0.05)))</f>
        <v>1</v>
      </c>
      <c r="FJ55" s="15">
        <f>MIN(1,MAX(VLOOKUP(($AJ55-$AI55-$AH55-$AG55-$AF55-$AE55*(1+FJ$3))/$AJ55,'Технический лист'!$M:$N,2,1),(FI55-0.05)))</f>
        <v>1</v>
      </c>
      <c r="FK55" s="15">
        <f>MIN(1,MAX(VLOOKUP(($AJ55-$AI55-$AH55-$AG55-$AF55-$AE55*(1+FK$3))/$AJ55,'Технический лист'!$M:$N,2,1),(FJ55-0.05)))</f>
        <v>1</v>
      </c>
      <c r="FL55" s="15">
        <f>MIN(1,MAX(VLOOKUP(($AJ55-$AI55-$AH55-$AG55-$AF55-$AE55*(1+FL$3))/$AJ55,'Технический лист'!$M:$N,2,1),(FK55-0.05)))</f>
        <v>1</v>
      </c>
      <c r="FM55" s="15">
        <f>MIN(1,MAX(VLOOKUP(($AJ55-$AI55-$AH55-$AG55-$AF55-$AE55*(1+FM$3))/$AJ55,'Технический лист'!$M:$N,2,1),(FL55-0.05)))</f>
        <v>1</v>
      </c>
      <c r="FN55" s="15">
        <f>MIN(1,MAX(VLOOKUP(($AJ55-$AI55-$AH55-$AG55-$AF55-$AE55*(1+FN$3))/$AJ55,'Технический лист'!$M:$N,2,1),(FM55-0.05)))</f>
        <v>1</v>
      </c>
      <c r="FO55" s="15">
        <f>MIN(1,MAX(VLOOKUP(($AJ55-$AI55-$AH55-$AG55-$AF55-$AE55*(1+FO$3))/$AJ55,'Технический лист'!$M:$N,2,1),(FN55-0.05)))</f>
        <v>1</v>
      </c>
      <c r="FP55" s="15">
        <f>MIN(1,MAX(VLOOKUP(($AJ55-$AI55-$AH55-$AG55-$AF55-$AE55*(1+FP$3))/$AJ55,'Технический лист'!$M:$N,2,1),(FO55-0.05)))</f>
        <v>1</v>
      </c>
      <c r="FQ55" s="15">
        <f>MIN(1,MAX(VLOOKUP(($AJ55-$AI55-$AH55-$AG55-$AF55-$AE55*(1+FQ$3))/$AJ55,'Технический лист'!$M:$N,2,1),(FP55-0.05)))</f>
        <v>1</v>
      </c>
      <c r="FR55" s="15">
        <f>MIN(1,MAX(VLOOKUP(($AJ55-$AI55-$AH55-$AG55-$AF55-$AE55*(1+FR$3))/$AJ55,'Технический лист'!$M:$N,2,1),(FQ55-0.05)))</f>
        <v>1</v>
      </c>
      <c r="FS55" s="15">
        <f>MIN(1,MAX(VLOOKUP(($AJ55-$AI55-$AH55-$AG55-$AF55-$AE55*(1+FS$3))/$AJ55,'Технический лист'!$M:$N,2,1),(FR55-0.05)))</f>
        <v>1</v>
      </c>
      <c r="FT55" s="15">
        <f>MIN(1,MAX(VLOOKUP(($AJ55-$AI55-$AH55-$AG55-$AF55-$AE55*(1+FT$3))/$AJ55,'Технический лист'!$M:$N,2,1),(FS55-0.05)))</f>
        <v>1</v>
      </c>
      <c r="FU55" s="15">
        <f>MIN(1,MAX(VLOOKUP(($AJ55-$AI55-$AH55-$AG55-$AF55-$AE55*(1+FU$3))/$AJ55,'Технический лист'!$M:$N,2,1),(FT55-0.05)))</f>
        <v>1</v>
      </c>
      <c r="FV55" s="15">
        <f>MIN(1,MAX(VLOOKUP(($AJ55-$AI55-$AH55-$AG55-$AF55-$AE55*(1+FV$3))/$AJ55,'Технический лист'!$M:$N,2,1),(FU55-0.05)))</f>
        <v>1</v>
      </c>
      <c r="FW55" s="15">
        <f>MIN(1,MAX(VLOOKUP(($AJ55-$AI55-$AH55-$AG55-$AF55-$AE55*(1+FW$3))/$AJ55,'Технический лист'!$M:$N,2,1),(FV55-0.05)))</f>
        <v>1</v>
      </c>
      <c r="FX55" s="15">
        <f>MIN(1,MAX(VLOOKUP(($AJ55-$AI55-$AH55-$AG55-$AF55-$AE55*(1+FX$3))/$AJ55,'Технический лист'!$M:$N,2,1),(FW55-0.05)))</f>
        <v>1</v>
      </c>
      <c r="FY55" s="15">
        <f>MIN(1,MAX(VLOOKUP(($AJ55-$AI55-$AH55-$AG55-$AF55-$AE55*(1+FY$3))/$AJ55,'Технический лист'!$M:$N,2,1),(FX55-0.05)))</f>
        <v>1</v>
      </c>
      <c r="FZ55" s="15">
        <f>MIN(1,MAX(VLOOKUP(($AJ55-$AI55-$AH55-$AG55-$AF55-$AE55*(1+FZ$3))/$AJ55,'Технический лист'!$M:$N,2,1),(FY55-0.05)))</f>
        <v>1</v>
      </c>
      <c r="GA55" s="15">
        <f>MIN(1,MAX(VLOOKUP(($AJ55-$AI55-$AH55-$AG55-$AF55-$AE55*(1+GA$3))/$AJ55,'Технический лист'!$M:$N,2,1),(FZ55-0.05)))</f>
        <v>1</v>
      </c>
      <c r="GB55" s="15">
        <f>MIN(1,MAX(VLOOKUP(($AJ55-$AI55-$AH55-$AG55-$AF55-$AE55*(1+GB$3))/$AJ55,'Технический лист'!$M:$N,2,1),(GA55-0.05)))</f>
        <v>1</v>
      </c>
      <c r="GC55" s="15">
        <f>MIN(1,MAX(VLOOKUP(($AJ55-$AI55-$AH55-$AG55-$AF55-$AE55*(1+GC$3))/$AJ55,'Технический лист'!$M:$N,2,1),(GB55-0.05)))</f>
        <v>1</v>
      </c>
      <c r="GD55" s="15">
        <f>MIN(1,MAX(VLOOKUP(($AJ55-$AI55-$AH55-$AG55-$AF55-$AE55*(1+GD$3))/$AJ55,'Технический лист'!$M:$N,2,1),(GC55-0.05)))</f>
        <v>1</v>
      </c>
      <c r="GE55" s="15">
        <f>MIN(1,MAX(VLOOKUP(($AJ55-$AI55-$AH55-$AG55-$AF55-$AE55*(1+GE$3))/$AJ55,'Технический лист'!$M:$N,2,1),(GD55-0.05)))</f>
        <v>1</v>
      </c>
      <c r="GF55" s="15">
        <f>MIN(1,MAX(VLOOKUP(($AJ55-$AI55-$AH55-$AG55-$AF55-$AE55*(1+GF$3))/$AJ55,'Технический лист'!$M:$N,2,1),(GE55-0.05)))</f>
        <v>1</v>
      </c>
      <c r="GG55" s="15">
        <f>MIN(1,MAX(VLOOKUP(($AJ55-$AI55-$AH55-$AG55-$AF55-$AE55*(1+GG$3))/$AJ55,'Технический лист'!$M:$N,2,1),(GF55-0.05)))</f>
        <v>1</v>
      </c>
      <c r="GH55" s="15">
        <f>MIN(1,MAX(VLOOKUP(($AJ55-$AI55-$AH55-$AG55-$AF55-$AE55*(1+GH$3))/$AJ55,'Технический лист'!$M:$N,2,1),(GG55-0.05)))</f>
        <v>1</v>
      </c>
      <c r="GI55" s="15">
        <f>MIN(1,MAX(VLOOKUP(($AJ55-$AI55-$AH55-$AG55-$AF55-$AE55*(1+GI$3))/$AJ55,'Технический лист'!$M:$N,2,1),(GH55-0.05)))</f>
        <v>1</v>
      </c>
      <c r="GJ55" s="15">
        <f>MIN(1,MAX(VLOOKUP(($AJ55-$AI55-$AH55-$AG55-$AF55-$AE55*(1+GJ$3))/$AJ55,'Технический лист'!$M:$N,2,1),(GI55-0.05)))</f>
        <v>1</v>
      </c>
      <c r="GK55" s="15">
        <f>MIN(1,MAX(VLOOKUP(($AJ55-$AI55-$AH55-$AG55-$AF55-$AE55*(1+GK$3))/$AJ55,'Технический лист'!$M:$N,2,1),(GJ55-0.05)))</f>
        <v>1</v>
      </c>
      <c r="GL55" s="15">
        <f>MIN(1,MAX(VLOOKUP(($AJ55-$AI55-$AH55-$AG55-$AF55-$AE55*(1+GL$3))/$AJ55,'Технический лист'!$M:$N,2,1),(GK55-0.05)))</f>
        <v>1</v>
      </c>
      <c r="GM55" s="15">
        <f>MIN(1,MAX(VLOOKUP(($AJ55-$AI55-$AH55-$AG55-$AF55-$AE55*(1+GM$3))/$AJ55,'Технический лист'!$M:$N,2,1),(GL55-0.05)))</f>
        <v>1</v>
      </c>
      <c r="GN55" s="15">
        <f>MIN(1,MAX(VLOOKUP(($AJ55-$AI55-$AH55-$AG55-$AF55-$AE55*(1+GN$3))/$AJ55,'Технический лист'!$M:$N,2,1),(GM55-0.05)))</f>
        <v>1</v>
      </c>
      <c r="GO55" s="15">
        <f>MIN(1,MAX(VLOOKUP(($AJ55-$AI55-$AH55-$AG55-$AF55-$AE55*(1+GO$3))/$AJ55,'Технический лист'!$M:$N,2,1),(GN55-0.05)))</f>
        <v>1</v>
      </c>
      <c r="GP55" s="15">
        <f>MIN(1,MAX(VLOOKUP(($AJ55-$AI55-$AH55-$AG55-$AF55-$AE55*(1+GP$3))/$AJ55,'Технический лист'!$M:$N,2,1),(GO55-0.05)))</f>
        <v>1</v>
      </c>
      <c r="GQ55" s="15">
        <f>MIN(1,MAX(VLOOKUP(($AJ55-$AI55-$AH55-$AG55-$AF55-$AE55*(1+GQ$3))/$AJ55,'Технический лист'!$M:$N,2,1),(GP55-0.05)))</f>
        <v>1</v>
      </c>
      <c r="GR55" s="15">
        <f>MIN(1,MAX(VLOOKUP(($AJ55-$AI55-$AH55-$AG55-$AF55-$AE55*(1+GR$3))/$AJ55,'Технический лист'!$M:$N,2,1),(GQ55-0.05)))</f>
        <v>1</v>
      </c>
      <c r="GS55" s="15">
        <f>MIN(1,MAX(VLOOKUP(($AJ55-$AI55-$AH55-$AG55-$AF55-$AE55*(1+GS$3))/$AJ55,'Технический лист'!$M:$N,2,1),(GR55-0.05)))</f>
        <v>1</v>
      </c>
      <c r="GT55" s="15">
        <f>MIN(1,MAX(VLOOKUP(($AJ55-$AI55-$AH55-$AG55-$AF55-$AE55*(1+GT$3))/$AJ55,'Технический лист'!$M:$N,2,1),(GS55-0.05)))</f>
        <v>1</v>
      </c>
      <c r="GU55" s="15">
        <f>MIN(1,MAX(VLOOKUP(($AJ55-$AI55-$AH55-$AG55-$AF55-$AE55*(1+GU$3))/$AJ55,'Технический лист'!$M:$N,2,1),(GT55-0.05)))</f>
        <v>1</v>
      </c>
      <c r="GV55" s="15">
        <f>MIN(1,MAX(VLOOKUP(($AJ55-$AI55-$AH55-$AG55-$AF55-$AE55*(1+GV$3))/$AJ55,'Технический лист'!$M:$N,2,1),(GU55-0.05)))</f>
        <v>1</v>
      </c>
      <c r="GW55" s="15">
        <f>MIN(1,MAX(VLOOKUP(($AJ55-$AI55-$AH55-$AG55-$AF55-$AE55*(1+GW$3))/$AJ55,'Технический лист'!$M:$N,2,1),(GV55-0.05)))</f>
        <v>1</v>
      </c>
      <c r="GX55" s="15">
        <f>MIN(1,MAX(VLOOKUP(($AJ55-$AI55-$AH55-$AG55-$AF55-$AE55*(1+GX$3))/$AJ55,'Технический лист'!$M:$N,2,1),(GW55-0.05)))</f>
        <v>1</v>
      </c>
      <c r="GY55" s="15">
        <f>MIN(1,MAX(VLOOKUP(($AJ55-$AI55-$AH55-$AG55-$AF55-$AE55*(1+GY$3))/$AJ55,'Технический лист'!$M:$N,2,1),(GX55-0.05)))</f>
        <v>1</v>
      </c>
      <c r="GZ55" s="15">
        <f>MIN(1,MAX(VLOOKUP(($AJ55-$AI55-$AH55-$AG55-$AF55-$AE55*(1+GZ$3))/$AJ55,'Технический лист'!$M:$N,2,1),(GY55-0.05)))</f>
        <v>1</v>
      </c>
      <c r="HA55" s="15">
        <f>MIN(1,MAX(VLOOKUP(($AJ55-$AI55-$AH55-$AG55-$AF55-$AE55*(1+HA$3))/$AJ55,'Технический лист'!$M:$N,2,1),(GZ55-0.05)))</f>
        <v>1</v>
      </c>
      <c r="HB55" s="15">
        <f>MIN(1,MAX(VLOOKUP(($AJ55-$AI55-$AH55-$AG55-$AF55-$AE55*(1+HB$3))/$AJ55,'Технический лист'!$M:$N,2,1),(HA55-0.05)))</f>
        <v>1</v>
      </c>
      <c r="HC55" s="15">
        <f>MIN(1,MAX(VLOOKUP(($AJ55-$AI55-$AH55-$AG55-$AF55-$AE55*(1+HC$3))/$AJ55,'Технический лист'!$M:$N,2,1),(HB55-0.05)))</f>
        <v>1</v>
      </c>
      <c r="HD55" s="15">
        <f>MIN(1,MAX(VLOOKUP(($AJ55-$AI55-$AH55-$AG55-$AF55-$AE55*(1+HD$3))/$AJ55,'Технический лист'!$M:$N,2,1),(HC55-0.05)))</f>
        <v>1</v>
      </c>
      <c r="HE55" s="15">
        <f>MIN(1,MAX(VLOOKUP(($AJ55-$AI55-$AH55-$AG55-$AF55-$AE55*(1+HE$3))/$AJ55,'Технический лист'!$M:$N,2,1),(HD55-0.05)))</f>
        <v>1</v>
      </c>
      <c r="HF55" s="15">
        <f>MIN(1,MAX(VLOOKUP(($AJ55-$AI55-$AH55-$AG55-$AF55-$AE55*(1+HF$3))/$AJ55,'Технический лист'!$M:$N,2,1),(HE55-0.05)))</f>
        <v>1</v>
      </c>
      <c r="HG55" s="15">
        <f>MIN(1,MAX(VLOOKUP(($AJ55-$AI55-$AH55-$AG55-$AF55-$AE55*(1+HG$3))/$AJ55,'Технический лист'!$M:$N,2,1),(HF55-0.05)))</f>
        <v>1</v>
      </c>
      <c r="HH55" s="15">
        <f>MIN(1,MAX(VLOOKUP(($AJ55-$AI55-$AH55-$AG55-$AF55-$AE55*(1+HH$3))/$AJ55,'Технический лист'!$M:$N,2,1),(HG55-0.05)))</f>
        <v>1</v>
      </c>
      <c r="HI55" s="15">
        <f>MIN(1,MAX(VLOOKUP(($AJ55-$AI55-$AH55-$AG55-$AF55-$AE55*(1+HI$3))/$AJ55,'Технический лист'!$M:$N,2,1),(HH55-0.05)))</f>
        <v>1</v>
      </c>
      <c r="HJ55" s="15">
        <f>MIN(1,MAX(VLOOKUP(($AJ55-$AI55-$AH55-$AG55-$AF55-$AE55*(1+HJ$3))/$AJ55,'Технический лист'!$M:$N,2,1),(HI55-0.05)))</f>
        <v>1</v>
      </c>
      <c r="HK55" s="15">
        <f>MIN(1,MAX(VLOOKUP(($AJ55-$AI55-$AH55-$AG55-$AF55-$AE55*(1+HK$3))/$AJ55,'Технический лист'!$M:$N,2,1),(HJ55-0.05)))</f>
        <v>1</v>
      </c>
      <c r="HL55" s="15">
        <f>MIN(1,MAX(VLOOKUP(($AJ55-$AI55-$AH55-$AG55-$AF55-$AE55*(1+HL$3))/$AJ55,'Технический лист'!$M:$N,2,1),(HK55-0.05)))</f>
        <v>1</v>
      </c>
      <c r="HM55" s="15">
        <f>MIN(1,MAX(VLOOKUP(($AJ55-$AI55-$AH55-$AG55-$AF55-$AE55*(1+HM$3))/$AJ55,'Технический лист'!$M:$N,2,1),(HL55-0.05)))</f>
        <v>1</v>
      </c>
      <c r="HN55" s="15">
        <f>MIN(1,MAX(VLOOKUP(($AJ55-$AI55-$AH55-$AG55-$AF55-$AE55*(1+HN$3))/$AJ55,'Технический лист'!$M:$N,2,1),(HM55-0.05)))</f>
        <v>1</v>
      </c>
      <c r="HO55" s="15">
        <f>MIN(1,MAX(VLOOKUP(($AJ55-$AI55-$AH55-$AG55-$AF55-$AE55*(1+HO$3))/$AJ55,'Технический лист'!$M:$N,2,1),(HN55-0.05)))</f>
        <v>1</v>
      </c>
      <c r="HP55" s="15">
        <f>MIN(1,MAX(VLOOKUP(($AJ55-$AI55-$AH55-$AG55-$AF55-$AE55*(1+HP$3))/$AJ55,'Технический лист'!$M:$N,2,1),(HO55-0.05)))</f>
        <v>1</v>
      </c>
      <c r="HQ55" s="15">
        <f>MIN(1,MAX(VLOOKUP(($AJ55-$AI55-$AH55-$AG55-$AF55-$AE55*(1+HQ$3))/$AJ55,'Технический лист'!$M:$N,2,1),(HP55-0.05)))</f>
        <v>1</v>
      </c>
      <c r="HR55" s="15">
        <f>MIN(1,MAX(VLOOKUP(($AJ55-$AI55-$AH55-$AG55-$AF55-$AE55*(1+HR$3))/$AJ55,'Технический лист'!$M:$N,2,1),(HQ55-0.05)))</f>
        <v>1</v>
      </c>
      <c r="HS55" s="15">
        <f>MIN(1,MAX(VLOOKUP(($AJ55-$AI55-$AH55-$AG55-$AF55-$AE55*(1+HS$3))/$AJ55,'Технический лист'!$M:$N,2,1),(HR55-0.05)))</f>
        <v>1</v>
      </c>
      <c r="HT55" s="15">
        <f>MIN(1,MAX(VLOOKUP(($AJ55-$AI55-$AH55-$AG55-$AF55-$AE55*(1+HT$3))/$AJ55,'Технический лист'!$M:$N,2,1),(HS55-0.05)))</f>
        <v>1</v>
      </c>
      <c r="HU55" s="15">
        <f>MIN(1,MAX(VLOOKUP(($AJ55-$AI55-$AH55-$AG55-$AF55-$AE55*(1+HU$3))/$AJ55,'Технический лист'!$M:$N,2,1),(HT55-0.05)))</f>
        <v>1</v>
      </c>
      <c r="HV55" s="15">
        <f>MIN(1,MAX(VLOOKUP(($AJ55-$AI55-$AH55-$AG55-$AF55-$AE55*(1+HV$3))/$AJ55,'Технический лист'!$M:$N,2,1),(HU55-0.05)))</f>
        <v>1</v>
      </c>
      <c r="HW55" s="15">
        <f>MIN(1,MAX(VLOOKUP(($AJ55-$AI55-$AH55-$AG55-$AF55-$AE55*(1+HW$3))/$AJ55,'Технический лист'!$M:$N,2,1),(HV55-0.05)))</f>
        <v>1</v>
      </c>
      <c r="HX55" s="15">
        <f>MIN(1,MAX(VLOOKUP(($AJ55-$AI55-$AH55-$AG55-$AF55-$AE55*(1+HX$3))/$AJ55,'Технический лист'!$M:$N,2,1),(HW55-0.05)))</f>
        <v>1</v>
      </c>
      <c r="HY55" s="15">
        <f>MIN(1,MAX(VLOOKUP(($AJ55-$AI55-$AH55-$AG55-$AF55-$AE55*(1+HY$3))/$AJ55,'Технический лист'!$M:$N,2,1),(HX55-0.05)))</f>
        <v>1</v>
      </c>
      <c r="HZ55" s="15">
        <f>MIN(1,MAX(VLOOKUP(($AJ55-$AI55-$AH55-$AG55-$AF55-$AE55*(1+HZ$3))/$AJ55,'Технический лист'!$M:$N,2,1),(HY55-0.05)))</f>
        <v>1</v>
      </c>
      <c r="IA55" s="15">
        <f>MIN(1,MAX(VLOOKUP(($AJ55-$AI55-$AH55-$AG55-$AF55-$AE55*(1+IA$3))/$AJ55,'Технический лист'!$M:$N,2,1),(HZ55-0.05)))</f>
        <v>1</v>
      </c>
      <c r="IB55" s="15">
        <f>MIN(1,MAX(VLOOKUP(($AJ55-$AI55-$AH55-$AG55-$AF55-$AE55*(1+IB$3))/$AJ55,'Технический лист'!$M:$N,2,1),(IA55-0.05)))</f>
        <v>1</v>
      </c>
      <c r="IC55" s="15">
        <f>MIN(1,MAX(VLOOKUP(($AJ55-$AI55-$AH55-$AG55-$AF55-$AE55*(1+IC$3))/$AJ55,'Технический лист'!$M:$N,2,1),(IB55-0.05)))</f>
        <v>1</v>
      </c>
      <c r="ID55" s="15">
        <f>MIN(1,MAX(VLOOKUP(($AJ55-$AI55-$AH55-$AG55-$AF55-$AE55*(1+ID$3))/$AJ55,'Технический лист'!$M:$N,2,1),(IC55-0.05)))</f>
        <v>1</v>
      </c>
      <c r="IE55" s="15">
        <f>MIN(1,MAX(VLOOKUP(($AJ55-$AI55-$AH55-$AG55-$AF55-$AE55*(1+IE$3))/$AJ55,'Технический лист'!$M:$N,2,1),(ID55-0.05)))</f>
        <v>1</v>
      </c>
      <c r="IF55" s="15">
        <f>MIN(1,MAX(VLOOKUP(($AJ55-$AI55-$AH55-$AG55-$AF55-$AE55*(1+IF$3))/$AJ55,'Технический лист'!$M:$N,2,1),(IE55-0.05)))</f>
        <v>1</v>
      </c>
      <c r="IG55" s="15">
        <f>MIN(1,MAX(VLOOKUP(($AJ55-$AI55-$AH55-$AG55-$AF55-$AE55*(1+IG$3))/$AJ55,'Технический лист'!$M:$N,2,1),(IF55-0.05)))</f>
        <v>1</v>
      </c>
      <c r="IH55" s="15">
        <f>MIN(1,MAX(VLOOKUP(($AJ55-$AI55-$AH55-$AG55-$AF55-$AE55*(1+IH$3))/$AJ55,'Технический лист'!$M:$N,2,1),(IG55-0.05)))</f>
        <v>1</v>
      </c>
      <c r="II55" s="15">
        <f>MIN(1,MAX(VLOOKUP(($AJ55-$AI55-$AH55-$AG55-$AF55-$AE55*(1+II$3))/$AJ55,'Технический лист'!$M:$N,2,1),(IH55-0.05)))</f>
        <v>1</v>
      </c>
      <c r="IJ55" s="15">
        <f>MIN(1,MAX(VLOOKUP(($AJ55-$AI55-$AH55-$AG55-$AF55-$AE55*(1+IJ$3))/$AJ55,'Технический лист'!$M:$N,2,1),(II55-0.05)))</f>
        <v>1</v>
      </c>
      <c r="IK55" s="15">
        <f>MIN(1,MAX(VLOOKUP(($AJ55-$AI55-$AH55-$AG55-$AF55-$AE55*(1+IK$3))/$AJ55,'Технический лист'!$M:$N,2,1),(IJ55-0.05)))</f>
        <v>1</v>
      </c>
      <c r="IL55" s="15">
        <f>MIN(1,MAX(VLOOKUP(($AJ55-$AI55-$AH55-$AG55-$AF55-$AE55*(1+IL$3))/$AJ55,'Технический лист'!$M:$N,2,1),(IK55-0.05)))</f>
        <v>1</v>
      </c>
      <c r="IM55" s="15">
        <f>MIN(1,MAX(VLOOKUP(($AJ55-$AI55-$AH55-$AG55-$AF55-$AE55*(1+IM$3))/$AJ55,'Технический лист'!$M:$N,2,1),(IL55-0.05)))</f>
        <v>1</v>
      </c>
      <c r="IN55" s="15">
        <f>MIN(1,MAX(VLOOKUP(($AJ55-$AI55-$AH55-$AG55-$AF55-$AE55*(1+IN$3))/$AJ55,'Технический лист'!$M:$N,2,1),(IM55-0.05)))</f>
        <v>1</v>
      </c>
      <c r="IO55" s="15">
        <f>MIN(1,MAX(VLOOKUP(($AJ55-$AI55-$AH55-$AG55-$AF55-$AE55*(1+IO$3))/$AJ55,'Технический лист'!$M:$N,2,1),(IN55-0.05)))</f>
        <v>1</v>
      </c>
      <c r="IP55" s="15">
        <f>MIN(1,MAX(VLOOKUP(($AJ55-$AI55-$AH55-$AG55-$AF55-$AE55*(1+IP$3))/$AJ55,'Технический лист'!$M:$N,2,1),(IO55-0.05)))</f>
        <v>1</v>
      </c>
      <c r="IQ55" s="15">
        <f>MIN(1,MAX(VLOOKUP(($AJ55-$AI55-$AH55-$AG55-$AF55-$AE55*(1+IQ$3))/$AJ55,'Технический лист'!$M:$N,2,1),(IP55-0.05)))</f>
        <v>1</v>
      </c>
      <c r="IR55" s="15">
        <f>MIN(1,MAX(VLOOKUP(($AJ55-$AI55-$AH55-$AG55-$AF55-$AE55*(1+IR$3))/$AJ55,'Технический лист'!$M:$N,2,1),(IQ55-0.05)))</f>
        <v>1</v>
      </c>
    </row>
    <row r="56" spans="1:252" ht="43.75">
      <c r="A56" s="89" t="s">
        <v>514</v>
      </c>
      <c r="B56" s="90">
        <v>4</v>
      </c>
      <c r="C56" s="5" t="s">
        <v>67</v>
      </c>
      <c r="D56" s="91">
        <v>14116</v>
      </c>
      <c r="E56" s="91" t="s">
        <v>338</v>
      </c>
      <c r="F56" s="92" t="s">
        <v>74</v>
      </c>
      <c r="G56" s="91" t="s">
        <v>30</v>
      </c>
      <c r="H56" s="91" t="s">
        <v>30</v>
      </c>
      <c r="I56" s="91" t="s">
        <v>151</v>
      </c>
      <c r="J56" s="91" t="s">
        <v>152</v>
      </c>
      <c r="K56" s="91">
        <v>114</v>
      </c>
      <c r="L56" s="85" t="s">
        <v>401</v>
      </c>
      <c r="M56" s="91" t="s">
        <v>190</v>
      </c>
      <c r="N56" s="91" t="s">
        <v>191</v>
      </c>
      <c r="O56" s="91" t="s">
        <v>194</v>
      </c>
      <c r="P56" s="89" t="s">
        <v>237</v>
      </c>
      <c r="Q56" s="91" t="s">
        <v>277</v>
      </c>
      <c r="R56" s="91" t="s">
        <v>255</v>
      </c>
      <c r="S56" s="82">
        <v>2929269</v>
      </c>
      <c r="T56" s="82">
        <v>333936666</v>
      </c>
      <c r="U56" s="81">
        <v>48769</v>
      </c>
      <c r="V56" s="81">
        <v>0</v>
      </c>
      <c r="W56" s="82">
        <v>810364518</v>
      </c>
      <c r="X56" s="112">
        <v>59</v>
      </c>
      <c r="Y56" s="112" t="s">
        <v>417</v>
      </c>
      <c r="Z56" s="113">
        <v>4</v>
      </c>
      <c r="AA56" s="113">
        <v>4</v>
      </c>
      <c r="AB56" s="113">
        <v>4</v>
      </c>
      <c r="AC56" s="99">
        <v>315.92</v>
      </c>
      <c r="AD56" s="99">
        <f>AE56-AC56</f>
        <v>69.759999999999991</v>
      </c>
      <c r="AE56" s="99">
        <v>385.68</v>
      </c>
      <c r="AF56" s="98">
        <f>(AB56+AA56+Z56)*'Ставки аренды'!B9/X56</f>
        <v>508.47457627118644</v>
      </c>
      <c r="AG56" s="114">
        <v>0</v>
      </c>
      <c r="AH56" s="94">
        <v>0</v>
      </c>
      <c r="AI56" s="115">
        <f>11375575/13225688*AJ56</f>
        <v>4472.5832032329818</v>
      </c>
      <c r="AJ56" s="117">
        <f>Цены!D22</f>
        <v>5200</v>
      </c>
      <c r="AK56" s="94">
        <f>AJ56/Цены!$B$1</f>
        <v>68.147119146064185</v>
      </c>
      <c r="AL56" s="95">
        <f t="shared" si="5"/>
        <v>894.15457627118644</v>
      </c>
      <c r="AM56" s="95">
        <f t="shared" si="6"/>
        <v>4305.8454237288133</v>
      </c>
      <c r="AN56" s="94">
        <f t="shared" si="16"/>
        <v>5366.7377795041684</v>
      </c>
      <c r="AO56" s="118">
        <f t="shared" si="17"/>
        <v>-3.2064957596955469E-2</v>
      </c>
      <c r="AP56" s="96">
        <f t="shared" si="7"/>
        <v>0.17195280312907432</v>
      </c>
      <c r="AQ56" s="96">
        <f t="shared" si="8"/>
        <v>7.4169230769230765E-2</v>
      </c>
      <c r="AR56" s="96">
        <f t="shared" si="9"/>
        <v>0.43133481641213212</v>
      </c>
      <c r="AS56" s="122">
        <v>1</v>
      </c>
      <c r="AT56" s="121">
        <f t="shared" si="10"/>
        <v>2929269</v>
      </c>
      <c r="AU56" s="7" t="s">
        <v>475</v>
      </c>
      <c r="AV56" s="119">
        <f t="shared" si="11"/>
        <v>-4.0965265289263211E-2</v>
      </c>
      <c r="AW56" s="120">
        <f t="shared" si="12"/>
        <v>0.180853110821382</v>
      </c>
      <c r="AX56" s="120">
        <f t="shared" si="13"/>
        <v>8.3069538461538472E-2</v>
      </c>
      <c r="AY56" s="120">
        <f t="shared" si="14"/>
        <v>0.45932048436579764</v>
      </c>
      <c r="AZ56" s="15">
        <v>1</v>
      </c>
      <c r="BA56" s="15">
        <v>1</v>
      </c>
      <c r="BB56" s="15">
        <v>1</v>
      </c>
      <c r="BC56" s="15">
        <v>1</v>
      </c>
      <c r="BD56" s="15">
        <v>1</v>
      </c>
      <c r="BE56" s="15">
        <v>1</v>
      </c>
      <c r="BF56" s="15">
        <v>1</v>
      </c>
      <c r="BG56" s="15">
        <v>1</v>
      </c>
      <c r="BH56" s="15">
        <v>1</v>
      </c>
      <c r="BI56" s="15">
        <v>1</v>
      </c>
      <c r="BJ56" s="15">
        <v>1</v>
      </c>
      <c r="BK56" s="15">
        <v>1</v>
      </c>
      <c r="BL56" s="15">
        <v>1</v>
      </c>
      <c r="BM56" s="15">
        <v>1</v>
      </c>
      <c r="BN56" s="15">
        <v>1</v>
      </c>
      <c r="BO56" s="15">
        <v>1</v>
      </c>
      <c r="BP56" s="15">
        <v>1</v>
      </c>
      <c r="BQ56" s="15">
        <v>1</v>
      </c>
      <c r="BR56" s="15">
        <v>1</v>
      </c>
      <c r="BS56" s="15">
        <v>1</v>
      </c>
      <c r="BT56" s="15">
        <v>1</v>
      </c>
      <c r="BU56" s="15">
        <v>1</v>
      </c>
      <c r="BV56" s="15">
        <v>1</v>
      </c>
      <c r="BW56" s="15">
        <v>1</v>
      </c>
      <c r="BX56" s="15">
        <v>1</v>
      </c>
      <c r="BY56" s="15">
        <v>1</v>
      </c>
      <c r="BZ56" s="15">
        <v>1</v>
      </c>
      <c r="CA56" s="15">
        <v>1</v>
      </c>
      <c r="CB56" s="15">
        <v>1</v>
      </c>
      <c r="CC56" s="15">
        <v>1</v>
      </c>
      <c r="CD56" s="15">
        <v>1</v>
      </c>
      <c r="CE56" s="15">
        <v>1</v>
      </c>
      <c r="CF56" s="15">
        <v>1</v>
      </c>
      <c r="CG56" s="15">
        <v>1</v>
      </c>
      <c r="CH56" s="15">
        <v>1</v>
      </c>
      <c r="CI56" s="15">
        <v>1</v>
      </c>
      <c r="CJ56" s="15">
        <v>1</v>
      </c>
      <c r="CK56" s="15">
        <v>1</v>
      </c>
      <c r="CL56" s="15">
        <v>1</v>
      </c>
      <c r="CM56" s="15">
        <v>1</v>
      </c>
      <c r="CN56" s="15">
        <v>1</v>
      </c>
      <c r="CO56" s="15">
        <v>1</v>
      </c>
      <c r="CP56" s="15">
        <v>1</v>
      </c>
      <c r="CQ56" s="15">
        <v>1</v>
      </c>
      <c r="CR56" s="15">
        <v>1</v>
      </c>
      <c r="CS56" s="15">
        <v>1</v>
      </c>
      <c r="CT56" s="15">
        <v>1</v>
      </c>
      <c r="CU56" s="15">
        <v>1</v>
      </c>
      <c r="CV56" s="15">
        <v>1</v>
      </c>
      <c r="CW56" s="15">
        <v>1</v>
      </c>
      <c r="CX56" s="15">
        <v>1</v>
      </c>
      <c r="CY56" s="15">
        <v>1</v>
      </c>
      <c r="CZ56" s="15">
        <v>1</v>
      </c>
      <c r="DA56" s="15">
        <v>1</v>
      </c>
      <c r="DB56" s="15">
        <v>1</v>
      </c>
      <c r="DC56" s="15">
        <v>1</v>
      </c>
      <c r="DD56" s="15">
        <v>1</v>
      </c>
      <c r="DE56" s="15">
        <v>1</v>
      </c>
      <c r="DF56" s="15">
        <v>1</v>
      </c>
      <c r="DG56" s="15">
        <v>1</v>
      </c>
      <c r="DH56" s="15">
        <v>1</v>
      </c>
      <c r="DI56" s="15">
        <v>1</v>
      </c>
      <c r="DJ56" s="15">
        <v>1</v>
      </c>
      <c r="DK56" s="15">
        <v>1</v>
      </c>
      <c r="DL56" s="15">
        <v>1</v>
      </c>
      <c r="DM56" s="15">
        <v>1</v>
      </c>
      <c r="DN56" s="15">
        <v>1</v>
      </c>
      <c r="DO56" s="15">
        <v>1</v>
      </c>
      <c r="DP56" s="15">
        <v>1</v>
      </c>
      <c r="DQ56" s="15">
        <v>1</v>
      </c>
      <c r="DR56" s="15">
        <v>1</v>
      </c>
      <c r="DS56" s="15">
        <v>1</v>
      </c>
      <c r="DT56" s="15">
        <v>1</v>
      </c>
      <c r="DU56" s="15">
        <v>1</v>
      </c>
      <c r="DV56" s="15">
        <v>1</v>
      </c>
      <c r="DW56" s="15">
        <v>1</v>
      </c>
      <c r="DX56" s="15">
        <v>1</v>
      </c>
      <c r="DY56" s="15">
        <v>1</v>
      </c>
      <c r="DZ56" s="15">
        <v>1</v>
      </c>
      <c r="EA56" s="15">
        <v>1</v>
      </c>
      <c r="EB56" s="15">
        <v>1</v>
      </c>
      <c r="EC56" s="15">
        <v>1</v>
      </c>
      <c r="ED56" s="15">
        <v>1</v>
      </c>
      <c r="EE56" s="15">
        <v>1</v>
      </c>
      <c r="EF56" s="15">
        <v>1</v>
      </c>
      <c r="EG56" s="15">
        <v>1</v>
      </c>
      <c r="EH56" s="15">
        <v>1</v>
      </c>
      <c r="EI56" s="15">
        <v>1</v>
      </c>
      <c r="EJ56" s="15">
        <v>1</v>
      </c>
      <c r="EK56" s="15">
        <v>1</v>
      </c>
      <c r="EL56" s="15">
        <v>1</v>
      </c>
      <c r="EM56" s="15">
        <v>1</v>
      </c>
      <c r="EN56" s="15">
        <v>1</v>
      </c>
      <c r="EO56" s="15">
        <v>1</v>
      </c>
      <c r="EP56" s="15">
        <v>1</v>
      </c>
      <c r="EQ56" s="15">
        <v>1</v>
      </c>
      <c r="ER56" s="15">
        <v>1</v>
      </c>
      <c r="ES56" s="15">
        <v>1</v>
      </c>
      <c r="ET56" s="15">
        <v>1</v>
      </c>
      <c r="EU56" s="15">
        <v>1</v>
      </c>
      <c r="EV56" s="111">
        <v>1</v>
      </c>
      <c r="EW56" s="15">
        <v>1</v>
      </c>
      <c r="EX56" s="15">
        <v>1</v>
      </c>
      <c r="EY56" s="15">
        <v>1</v>
      </c>
      <c r="EZ56" s="15">
        <v>1</v>
      </c>
      <c r="FA56" s="15">
        <v>1</v>
      </c>
      <c r="FB56" s="15">
        <v>1</v>
      </c>
      <c r="FC56" s="15">
        <v>1</v>
      </c>
      <c r="FD56" s="15">
        <v>1</v>
      </c>
      <c r="FE56" s="15">
        <v>1</v>
      </c>
      <c r="FF56" s="15">
        <v>1</v>
      </c>
      <c r="FG56" s="15">
        <v>1</v>
      </c>
      <c r="FH56" s="15">
        <v>1</v>
      </c>
      <c r="FI56" s="15">
        <v>1</v>
      </c>
      <c r="FJ56" s="15">
        <v>1</v>
      </c>
      <c r="FK56" s="15">
        <v>1</v>
      </c>
      <c r="FL56" s="15">
        <v>1</v>
      </c>
      <c r="FM56" s="15">
        <v>1</v>
      </c>
      <c r="FN56" s="15">
        <v>1</v>
      </c>
      <c r="FO56" s="15">
        <v>1</v>
      </c>
      <c r="FP56" s="15">
        <v>1</v>
      </c>
      <c r="FQ56" s="15">
        <v>1</v>
      </c>
      <c r="FR56" s="15">
        <v>1</v>
      </c>
      <c r="FS56" s="15">
        <v>1</v>
      </c>
      <c r="FT56" s="15">
        <v>1</v>
      </c>
      <c r="FU56" s="15">
        <v>1</v>
      </c>
      <c r="FV56" s="15">
        <v>1</v>
      </c>
      <c r="FW56" s="15">
        <v>1</v>
      </c>
      <c r="FX56" s="15">
        <v>1</v>
      </c>
      <c r="FY56" s="15">
        <v>1</v>
      </c>
      <c r="FZ56" s="15">
        <v>1</v>
      </c>
      <c r="GA56" s="15">
        <v>1</v>
      </c>
      <c r="GB56" s="15">
        <v>1</v>
      </c>
      <c r="GC56" s="15">
        <v>1</v>
      </c>
      <c r="GD56" s="15">
        <v>1</v>
      </c>
      <c r="GE56" s="15">
        <v>1</v>
      </c>
      <c r="GF56" s="15">
        <v>1</v>
      </c>
      <c r="GG56" s="15">
        <v>1</v>
      </c>
      <c r="GH56" s="15">
        <v>1</v>
      </c>
      <c r="GI56" s="15">
        <v>1</v>
      </c>
      <c r="GJ56" s="15">
        <v>1</v>
      </c>
      <c r="GK56" s="15">
        <v>1</v>
      </c>
      <c r="GL56" s="15">
        <v>1</v>
      </c>
      <c r="GM56" s="15">
        <v>1</v>
      </c>
      <c r="GN56" s="15">
        <v>1</v>
      </c>
      <c r="GO56" s="15">
        <v>1</v>
      </c>
      <c r="GP56" s="15">
        <v>1</v>
      </c>
      <c r="GQ56" s="15">
        <v>1</v>
      </c>
      <c r="GR56" s="15">
        <v>1</v>
      </c>
      <c r="GS56" s="15">
        <v>1</v>
      </c>
      <c r="GT56" s="15">
        <v>1</v>
      </c>
      <c r="GU56" s="15">
        <v>1</v>
      </c>
      <c r="GV56" s="15">
        <v>1</v>
      </c>
      <c r="GW56" s="15">
        <v>1</v>
      </c>
      <c r="GX56" s="15">
        <v>1</v>
      </c>
      <c r="GY56" s="15">
        <v>1</v>
      </c>
      <c r="GZ56" s="15">
        <v>1</v>
      </c>
      <c r="HA56" s="15">
        <v>1</v>
      </c>
      <c r="HB56" s="15">
        <v>1</v>
      </c>
      <c r="HC56" s="15">
        <v>1</v>
      </c>
      <c r="HD56" s="15">
        <v>1</v>
      </c>
      <c r="HE56" s="15">
        <v>1</v>
      </c>
      <c r="HF56" s="15">
        <v>1</v>
      </c>
      <c r="HG56" s="15">
        <v>1</v>
      </c>
      <c r="HH56" s="15">
        <v>1</v>
      </c>
      <c r="HI56" s="15">
        <v>1</v>
      </c>
      <c r="HJ56" s="15">
        <v>1</v>
      </c>
      <c r="HK56" s="15">
        <v>1</v>
      </c>
      <c r="HL56" s="15">
        <v>1</v>
      </c>
      <c r="HM56" s="15">
        <v>1</v>
      </c>
      <c r="HN56" s="15">
        <v>1</v>
      </c>
      <c r="HO56" s="15">
        <v>1</v>
      </c>
      <c r="HP56" s="15">
        <v>1</v>
      </c>
      <c r="HQ56" s="15">
        <v>1</v>
      </c>
      <c r="HR56" s="15">
        <v>1</v>
      </c>
      <c r="HS56" s="15">
        <v>1</v>
      </c>
      <c r="HT56" s="15">
        <v>1</v>
      </c>
      <c r="HU56" s="15">
        <v>1</v>
      </c>
      <c r="HV56" s="15">
        <v>1</v>
      </c>
      <c r="HW56" s="15">
        <v>1</v>
      </c>
      <c r="HX56" s="15">
        <v>1</v>
      </c>
      <c r="HY56" s="15">
        <v>1</v>
      </c>
      <c r="HZ56" s="15">
        <v>1</v>
      </c>
      <c r="IA56" s="15">
        <v>1</v>
      </c>
      <c r="IB56" s="15">
        <v>1</v>
      </c>
      <c r="IC56" s="15">
        <v>1</v>
      </c>
      <c r="ID56" s="15">
        <v>1</v>
      </c>
      <c r="IE56" s="15">
        <v>1</v>
      </c>
      <c r="IF56" s="15">
        <v>1</v>
      </c>
      <c r="IG56" s="15">
        <v>1</v>
      </c>
      <c r="IH56" s="15">
        <v>1</v>
      </c>
      <c r="II56" s="15">
        <v>1</v>
      </c>
      <c r="IJ56" s="15">
        <v>1</v>
      </c>
      <c r="IK56" s="15">
        <v>1</v>
      </c>
      <c r="IL56" s="15">
        <v>1</v>
      </c>
      <c r="IM56" s="15">
        <v>1</v>
      </c>
      <c r="IN56" s="15">
        <v>1</v>
      </c>
      <c r="IO56" s="15">
        <v>1</v>
      </c>
      <c r="IP56" s="15">
        <v>1</v>
      </c>
      <c r="IQ56" s="15">
        <v>1</v>
      </c>
      <c r="IR56" s="15">
        <v>1</v>
      </c>
    </row>
    <row r="57" spans="1:252" ht="29.15">
      <c r="A57" s="89" t="s">
        <v>514</v>
      </c>
      <c r="B57" s="90">
        <v>4</v>
      </c>
      <c r="C57" s="5" t="s">
        <v>67</v>
      </c>
      <c r="D57" s="91">
        <v>14109</v>
      </c>
      <c r="E57" s="91" t="s">
        <v>335</v>
      </c>
      <c r="F57" s="92" t="s">
        <v>74</v>
      </c>
      <c r="G57" s="91" t="s">
        <v>30</v>
      </c>
      <c r="H57" s="91" t="s">
        <v>31</v>
      </c>
      <c r="I57" s="91" t="s">
        <v>152</v>
      </c>
      <c r="J57" s="91" t="s">
        <v>100</v>
      </c>
      <c r="K57" s="91">
        <v>3192</v>
      </c>
      <c r="L57" s="85" t="s">
        <v>64</v>
      </c>
      <c r="M57" s="91" t="s">
        <v>190</v>
      </c>
      <c r="N57" s="91" t="s">
        <v>191</v>
      </c>
      <c r="O57" s="91" t="s">
        <v>192</v>
      </c>
      <c r="P57" s="89" t="s">
        <v>237</v>
      </c>
      <c r="Q57" s="91" t="s">
        <v>277</v>
      </c>
      <c r="R57" s="91" t="s">
        <v>255</v>
      </c>
      <c r="S57" s="82">
        <v>1622604</v>
      </c>
      <c r="T57" s="82">
        <v>5180008704</v>
      </c>
      <c r="U57" s="81">
        <v>22758</v>
      </c>
      <c r="V57" s="81">
        <v>0</v>
      </c>
      <c r="W57" s="82">
        <v>1989123358</v>
      </c>
      <c r="X57" s="112">
        <v>72</v>
      </c>
      <c r="Y57" s="112" t="s">
        <v>418</v>
      </c>
      <c r="Z57" s="113">
        <v>8</v>
      </c>
      <c r="AA57" s="113">
        <v>8</v>
      </c>
      <c r="AB57" s="113">
        <v>4</v>
      </c>
      <c r="AC57" s="99">
        <v>1323.67</v>
      </c>
      <c r="AD57" s="99">
        <f t="shared" ref="AD57:AD67" si="19">AE57-AC57</f>
        <v>733.79999999999973</v>
      </c>
      <c r="AE57" s="99">
        <v>2057.4699999999998</v>
      </c>
      <c r="AF57" s="98">
        <f>(Z57+AA57+AB57)*'Ставки аренды'!$B$2/X57</f>
        <v>277.77777777777777</v>
      </c>
      <c r="AG57" s="114">
        <v>0</v>
      </c>
      <c r="AH57" s="94">
        <v>0</v>
      </c>
      <c r="AI57" s="115">
        <f>11375575/13225688*AJ57</f>
        <v>4644.6056341265576</v>
      </c>
      <c r="AJ57" s="117">
        <f>Цены!$D$14</f>
        <v>5400</v>
      </c>
      <c r="AK57" s="94">
        <f>AJ57/Цены!$B$1</f>
        <v>70.76816219014357</v>
      </c>
      <c r="AL57" s="95">
        <f t="shared" si="5"/>
        <v>2335.2477777777776</v>
      </c>
      <c r="AM57" s="95">
        <f t="shared" si="6"/>
        <v>3064.7522222222224</v>
      </c>
      <c r="AN57" s="94">
        <f t="shared" si="16"/>
        <v>6979.8534119043343</v>
      </c>
      <c r="AO57" s="118">
        <f t="shared" si="17"/>
        <v>-0.29256544664895079</v>
      </c>
      <c r="AP57" s="96">
        <f t="shared" si="7"/>
        <v>0.43245329218106993</v>
      </c>
      <c r="AQ57" s="96">
        <f t="shared" si="8"/>
        <v>0.38101296296296294</v>
      </c>
      <c r="AR57" s="96">
        <f t="shared" si="9"/>
        <v>0.88104997661442541</v>
      </c>
      <c r="AS57" s="122">
        <v>1</v>
      </c>
      <c r="AT57" s="121">
        <f t="shared" si="10"/>
        <v>1622604</v>
      </c>
      <c r="AU57" s="7" t="s">
        <v>475</v>
      </c>
      <c r="AV57" s="119">
        <f t="shared" si="11"/>
        <v>-0.33828700220450664</v>
      </c>
      <c r="AW57" s="120">
        <f t="shared" si="12"/>
        <v>0.4781748477366255</v>
      </c>
      <c r="AX57" s="120">
        <f t="shared" si="13"/>
        <v>0.42673451851851851</v>
      </c>
      <c r="AY57" s="120">
        <f t="shared" si="14"/>
        <v>0.89242359889569123</v>
      </c>
      <c r="AZ57" s="15">
        <v>1</v>
      </c>
      <c r="BA57" s="15">
        <v>1</v>
      </c>
      <c r="BB57" s="15">
        <v>1</v>
      </c>
      <c r="BC57" s="15">
        <v>1</v>
      </c>
      <c r="BD57" s="15">
        <v>1</v>
      </c>
      <c r="BE57" s="15">
        <v>1</v>
      </c>
      <c r="BF57" s="15">
        <v>1</v>
      </c>
      <c r="BG57" s="15">
        <v>1</v>
      </c>
      <c r="BH57" s="15">
        <v>1</v>
      </c>
      <c r="BI57" s="15">
        <v>1</v>
      </c>
      <c r="BJ57" s="15">
        <v>1</v>
      </c>
      <c r="BK57" s="15">
        <v>1</v>
      </c>
      <c r="BL57" s="15">
        <v>1</v>
      </c>
      <c r="BM57" s="15">
        <v>1</v>
      </c>
      <c r="BN57" s="15">
        <v>1</v>
      </c>
      <c r="BO57" s="15">
        <v>1</v>
      </c>
      <c r="BP57" s="15">
        <v>1</v>
      </c>
      <c r="BQ57" s="15">
        <v>1</v>
      </c>
      <c r="BR57" s="15">
        <v>1</v>
      </c>
      <c r="BS57" s="15">
        <v>1</v>
      </c>
      <c r="BT57" s="15">
        <v>1</v>
      </c>
      <c r="BU57" s="15">
        <v>1</v>
      </c>
      <c r="BV57" s="15">
        <v>1</v>
      </c>
      <c r="BW57" s="15">
        <v>1</v>
      </c>
      <c r="BX57" s="15">
        <v>1</v>
      </c>
      <c r="BY57" s="15">
        <v>1</v>
      </c>
      <c r="BZ57" s="15">
        <v>1</v>
      </c>
      <c r="CA57" s="15">
        <v>1</v>
      </c>
      <c r="CB57" s="15">
        <v>1</v>
      </c>
      <c r="CC57" s="15">
        <v>1</v>
      </c>
      <c r="CD57" s="15">
        <v>1</v>
      </c>
      <c r="CE57" s="15">
        <v>1</v>
      </c>
      <c r="CF57" s="15">
        <v>1</v>
      </c>
      <c r="CG57" s="15">
        <v>1</v>
      </c>
      <c r="CH57" s="15">
        <v>1</v>
      </c>
      <c r="CI57" s="15">
        <v>1</v>
      </c>
      <c r="CJ57" s="15">
        <v>1</v>
      </c>
      <c r="CK57" s="15">
        <v>1</v>
      </c>
      <c r="CL57" s="15">
        <v>1</v>
      </c>
      <c r="CM57" s="15">
        <v>1</v>
      </c>
      <c r="CN57" s="15">
        <v>1</v>
      </c>
      <c r="CO57" s="15">
        <v>1</v>
      </c>
      <c r="CP57" s="15">
        <v>1</v>
      </c>
      <c r="CQ57" s="15">
        <v>1</v>
      </c>
      <c r="CR57" s="15">
        <v>1</v>
      </c>
      <c r="CS57" s="15">
        <v>1</v>
      </c>
      <c r="CT57" s="15">
        <v>1</v>
      </c>
      <c r="CU57" s="15">
        <v>1</v>
      </c>
      <c r="CV57" s="15">
        <v>1</v>
      </c>
      <c r="CW57" s="15">
        <v>1</v>
      </c>
      <c r="CX57" s="15">
        <v>1</v>
      </c>
      <c r="CY57" s="15">
        <v>1</v>
      </c>
      <c r="CZ57" s="15">
        <v>1</v>
      </c>
      <c r="DA57" s="15">
        <v>1</v>
      </c>
      <c r="DB57" s="15">
        <v>1</v>
      </c>
      <c r="DC57" s="15">
        <v>1</v>
      </c>
      <c r="DD57" s="15">
        <v>1</v>
      </c>
      <c r="DE57" s="15">
        <v>1</v>
      </c>
      <c r="DF57" s="15">
        <v>1</v>
      </c>
      <c r="DG57" s="15">
        <v>1</v>
      </c>
      <c r="DH57" s="15">
        <v>1</v>
      </c>
      <c r="DI57" s="15">
        <v>1</v>
      </c>
      <c r="DJ57" s="15">
        <v>1</v>
      </c>
      <c r="DK57" s="15">
        <v>1</v>
      </c>
      <c r="DL57" s="15">
        <v>1</v>
      </c>
      <c r="DM57" s="15">
        <v>1</v>
      </c>
      <c r="DN57" s="15">
        <v>1</v>
      </c>
      <c r="DO57" s="15">
        <v>1</v>
      </c>
      <c r="DP57" s="15">
        <v>1</v>
      </c>
      <c r="DQ57" s="15">
        <v>1</v>
      </c>
      <c r="DR57" s="15">
        <v>1</v>
      </c>
      <c r="DS57" s="15">
        <v>1</v>
      </c>
      <c r="DT57" s="15">
        <v>1</v>
      </c>
      <c r="DU57" s="15">
        <v>1</v>
      </c>
      <c r="DV57" s="15">
        <v>1</v>
      </c>
      <c r="DW57" s="15">
        <v>1</v>
      </c>
      <c r="DX57" s="15">
        <v>1</v>
      </c>
      <c r="DY57" s="15">
        <v>1</v>
      </c>
      <c r="DZ57" s="15">
        <v>1</v>
      </c>
      <c r="EA57" s="15">
        <v>1</v>
      </c>
      <c r="EB57" s="15">
        <v>1</v>
      </c>
      <c r="EC57" s="15">
        <v>1</v>
      </c>
      <c r="ED57" s="15">
        <v>1</v>
      </c>
      <c r="EE57" s="15">
        <v>1</v>
      </c>
      <c r="EF57" s="15">
        <v>1</v>
      </c>
      <c r="EG57" s="15">
        <v>1</v>
      </c>
      <c r="EH57" s="15">
        <v>1</v>
      </c>
      <c r="EI57" s="15">
        <v>1</v>
      </c>
      <c r="EJ57" s="15">
        <v>1</v>
      </c>
      <c r="EK57" s="15">
        <v>1</v>
      </c>
      <c r="EL57" s="15">
        <v>1</v>
      </c>
      <c r="EM57" s="15">
        <v>1</v>
      </c>
      <c r="EN57" s="15">
        <v>1</v>
      </c>
      <c r="EO57" s="15">
        <v>1</v>
      </c>
      <c r="EP57" s="15">
        <v>1</v>
      </c>
      <c r="EQ57" s="15">
        <v>1</v>
      </c>
      <c r="ER57" s="15">
        <v>1</v>
      </c>
      <c r="ES57" s="15">
        <v>1</v>
      </c>
      <c r="ET57" s="15">
        <v>1</v>
      </c>
      <c r="EU57" s="15">
        <v>1</v>
      </c>
      <c r="EV57" s="111">
        <v>1</v>
      </c>
      <c r="EW57" s="15">
        <v>1</v>
      </c>
      <c r="EX57" s="15">
        <v>1</v>
      </c>
      <c r="EY57" s="15">
        <v>1</v>
      </c>
      <c r="EZ57" s="15">
        <v>1</v>
      </c>
      <c r="FA57" s="15">
        <v>1</v>
      </c>
      <c r="FB57" s="15">
        <v>1</v>
      </c>
      <c r="FC57" s="15">
        <v>1</v>
      </c>
      <c r="FD57" s="15">
        <v>1</v>
      </c>
      <c r="FE57" s="15">
        <v>1</v>
      </c>
      <c r="FF57" s="15">
        <v>1</v>
      </c>
      <c r="FG57" s="15">
        <v>1</v>
      </c>
      <c r="FH57" s="15">
        <v>1</v>
      </c>
      <c r="FI57" s="15">
        <v>1</v>
      </c>
      <c r="FJ57" s="15">
        <v>1</v>
      </c>
      <c r="FK57" s="15">
        <v>1</v>
      </c>
      <c r="FL57" s="15">
        <v>1</v>
      </c>
      <c r="FM57" s="15">
        <v>1</v>
      </c>
      <c r="FN57" s="15">
        <v>1</v>
      </c>
      <c r="FO57" s="15">
        <v>1</v>
      </c>
      <c r="FP57" s="15">
        <v>1</v>
      </c>
      <c r="FQ57" s="15">
        <v>1</v>
      </c>
      <c r="FR57" s="15">
        <v>1</v>
      </c>
      <c r="FS57" s="15">
        <v>1</v>
      </c>
      <c r="FT57" s="15">
        <v>1</v>
      </c>
      <c r="FU57" s="15">
        <v>1</v>
      </c>
      <c r="FV57" s="15">
        <v>1</v>
      </c>
      <c r="FW57" s="15">
        <v>1</v>
      </c>
      <c r="FX57" s="15">
        <v>1</v>
      </c>
      <c r="FY57" s="15">
        <v>1</v>
      </c>
      <c r="FZ57" s="15">
        <v>1</v>
      </c>
      <c r="GA57" s="15">
        <v>1</v>
      </c>
      <c r="GB57" s="15">
        <v>1</v>
      </c>
      <c r="GC57" s="15">
        <v>1</v>
      </c>
      <c r="GD57" s="15">
        <v>1</v>
      </c>
      <c r="GE57" s="15">
        <v>1</v>
      </c>
      <c r="GF57" s="15">
        <v>1</v>
      </c>
      <c r="GG57" s="15">
        <v>1</v>
      </c>
      <c r="GH57" s="15">
        <v>1</v>
      </c>
      <c r="GI57" s="15">
        <v>1</v>
      </c>
      <c r="GJ57" s="15">
        <v>1</v>
      </c>
      <c r="GK57" s="15">
        <v>1</v>
      </c>
      <c r="GL57" s="15">
        <v>1</v>
      </c>
      <c r="GM57" s="15">
        <v>1</v>
      </c>
      <c r="GN57" s="15">
        <v>1</v>
      </c>
      <c r="GO57" s="15">
        <v>1</v>
      </c>
      <c r="GP57" s="15">
        <v>1</v>
      </c>
      <c r="GQ57" s="15">
        <v>1</v>
      </c>
      <c r="GR57" s="15">
        <v>1</v>
      </c>
      <c r="GS57" s="15">
        <v>1</v>
      </c>
      <c r="GT57" s="15">
        <v>1</v>
      </c>
      <c r="GU57" s="15">
        <v>1</v>
      </c>
      <c r="GV57" s="15">
        <v>1</v>
      </c>
      <c r="GW57" s="15">
        <v>1</v>
      </c>
      <c r="GX57" s="15">
        <v>1</v>
      </c>
      <c r="GY57" s="15">
        <v>1</v>
      </c>
      <c r="GZ57" s="15">
        <v>1</v>
      </c>
      <c r="HA57" s="15">
        <v>1</v>
      </c>
      <c r="HB57" s="15">
        <v>1</v>
      </c>
      <c r="HC57" s="15">
        <v>1</v>
      </c>
      <c r="HD57" s="15">
        <v>1</v>
      </c>
      <c r="HE57" s="15">
        <v>1</v>
      </c>
      <c r="HF57" s="15">
        <v>1</v>
      </c>
      <c r="HG57" s="15">
        <v>1</v>
      </c>
      <c r="HH57" s="15">
        <v>1</v>
      </c>
      <c r="HI57" s="15">
        <v>1</v>
      </c>
      <c r="HJ57" s="15">
        <v>1</v>
      </c>
      <c r="HK57" s="15">
        <v>1</v>
      </c>
      <c r="HL57" s="15">
        <v>1</v>
      </c>
      <c r="HM57" s="15">
        <v>1</v>
      </c>
      <c r="HN57" s="15">
        <v>1</v>
      </c>
      <c r="HO57" s="15">
        <v>1</v>
      </c>
      <c r="HP57" s="15">
        <v>1</v>
      </c>
      <c r="HQ57" s="15">
        <v>1</v>
      </c>
      <c r="HR57" s="15">
        <v>1</v>
      </c>
      <c r="HS57" s="15">
        <v>1</v>
      </c>
      <c r="HT57" s="15">
        <v>1</v>
      </c>
      <c r="HU57" s="15">
        <v>1</v>
      </c>
      <c r="HV57" s="15">
        <v>1</v>
      </c>
      <c r="HW57" s="15">
        <v>1</v>
      </c>
      <c r="HX57" s="15">
        <v>1</v>
      </c>
      <c r="HY57" s="15">
        <v>1</v>
      </c>
      <c r="HZ57" s="15">
        <v>1</v>
      </c>
      <c r="IA57" s="15">
        <v>1</v>
      </c>
      <c r="IB57" s="15">
        <v>1</v>
      </c>
      <c r="IC57" s="15">
        <v>1</v>
      </c>
      <c r="ID57" s="15">
        <v>1</v>
      </c>
      <c r="IE57" s="15">
        <v>1</v>
      </c>
      <c r="IF57" s="15">
        <v>1</v>
      </c>
      <c r="IG57" s="15">
        <v>1</v>
      </c>
      <c r="IH57" s="15">
        <v>1</v>
      </c>
      <c r="II57" s="15">
        <v>1</v>
      </c>
      <c r="IJ57" s="15">
        <v>1</v>
      </c>
      <c r="IK57" s="15">
        <v>1</v>
      </c>
      <c r="IL57" s="15">
        <v>1</v>
      </c>
      <c r="IM57" s="15">
        <v>1</v>
      </c>
      <c r="IN57" s="15">
        <v>1</v>
      </c>
      <c r="IO57" s="15">
        <v>1</v>
      </c>
      <c r="IP57" s="15">
        <v>1</v>
      </c>
      <c r="IQ57" s="15">
        <v>1</v>
      </c>
      <c r="IR57" s="15">
        <v>1</v>
      </c>
    </row>
    <row r="58" spans="1:252" ht="29.15">
      <c r="A58" s="89" t="s">
        <v>514</v>
      </c>
      <c r="B58" s="90">
        <v>4</v>
      </c>
      <c r="C58" s="5" t="s">
        <v>67</v>
      </c>
      <c r="D58" s="91">
        <v>14109</v>
      </c>
      <c r="E58" s="91" t="s">
        <v>335</v>
      </c>
      <c r="F58" s="92" t="s">
        <v>74</v>
      </c>
      <c r="G58" s="91" t="s">
        <v>28</v>
      </c>
      <c r="H58" s="91" t="s">
        <v>28</v>
      </c>
      <c r="I58" s="91" t="s">
        <v>147</v>
      </c>
      <c r="J58" s="91" t="s">
        <v>108</v>
      </c>
      <c r="K58" s="91">
        <v>284</v>
      </c>
      <c r="L58" s="85" t="s">
        <v>64</v>
      </c>
      <c r="M58" s="91" t="s">
        <v>190</v>
      </c>
      <c r="N58" s="91" t="s">
        <v>191</v>
      </c>
      <c r="O58" s="91" t="s">
        <v>192</v>
      </c>
      <c r="P58" s="89" t="s">
        <v>238</v>
      </c>
      <c r="Q58" s="91" t="s">
        <v>281</v>
      </c>
      <c r="R58" s="91" t="s">
        <v>257</v>
      </c>
      <c r="S58" s="82">
        <v>10323377</v>
      </c>
      <c r="T58" s="82">
        <v>2932807082</v>
      </c>
      <c r="U58" s="81">
        <v>145590</v>
      </c>
      <c r="V58" s="81">
        <v>0</v>
      </c>
      <c r="W58" s="82">
        <v>3363460983</v>
      </c>
      <c r="X58" s="112">
        <v>71</v>
      </c>
      <c r="Y58" s="112" t="s">
        <v>418</v>
      </c>
      <c r="Z58" s="113">
        <v>3</v>
      </c>
      <c r="AA58" s="113">
        <v>3</v>
      </c>
      <c r="AB58" s="113">
        <v>4</v>
      </c>
      <c r="AC58" s="99">
        <v>350.55</v>
      </c>
      <c r="AD58" s="99">
        <f t="shared" si="19"/>
        <v>113.40999999999997</v>
      </c>
      <c r="AE58" s="99">
        <v>463.96</v>
      </c>
      <c r="AF58" s="98">
        <f>(Z58+AA58+AB58)*'Ставки аренды'!$B$2/X58</f>
        <v>140.8450704225352</v>
      </c>
      <c r="AG58" s="114">
        <v>0</v>
      </c>
      <c r="AH58" s="94">
        <v>0</v>
      </c>
      <c r="AI58" s="115">
        <f>61867494/140470743*AJ58</f>
        <v>2378.3206414733636</v>
      </c>
      <c r="AJ58" s="117">
        <f>Цены!$D$14</f>
        <v>5400</v>
      </c>
      <c r="AK58" s="94">
        <f>AJ58/Цены!$B$1</f>
        <v>70.76816219014357</v>
      </c>
      <c r="AL58" s="95">
        <f t="shared" si="5"/>
        <v>604.80507042253521</v>
      </c>
      <c r="AM58" s="95">
        <f t="shared" si="6"/>
        <v>4795.1949295774648</v>
      </c>
      <c r="AN58" s="94">
        <f t="shared" si="16"/>
        <v>2983.1257118958988</v>
      </c>
      <c r="AO58" s="118">
        <f t="shared" si="17"/>
        <v>0.44756931261187061</v>
      </c>
      <c r="AP58" s="96">
        <f t="shared" si="7"/>
        <v>0.11200093896713614</v>
      </c>
      <c r="AQ58" s="96">
        <f t="shared" si="8"/>
        <v>8.5918518518518519E-2</v>
      </c>
      <c r="AR58" s="96">
        <f t="shared" si="9"/>
        <v>0.76712319834862397</v>
      </c>
      <c r="AS58" s="122">
        <v>1</v>
      </c>
      <c r="AT58" s="121">
        <f t="shared" si="10"/>
        <v>10323377</v>
      </c>
      <c r="AU58" s="7" t="s">
        <v>475</v>
      </c>
      <c r="AV58" s="119">
        <f t="shared" si="11"/>
        <v>0.43725909038964833</v>
      </c>
      <c r="AW58" s="120">
        <f t="shared" si="12"/>
        <v>0.12231116118935838</v>
      </c>
      <c r="AX58" s="120">
        <f t="shared" si="13"/>
        <v>9.6228740740740754E-2</v>
      </c>
      <c r="AY58" s="120">
        <f t="shared" si="14"/>
        <v>0.78675355384585366</v>
      </c>
      <c r="AZ58" s="15">
        <v>1</v>
      </c>
      <c r="BA58" s="15">
        <v>1</v>
      </c>
      <c r="BB58" s="15">
        <v>1</v>
      </c>
      <c r="BC58" s="15">
        <v>1</v>
      </c>
      <c r="BD58" s="15">
        <v>1</v>
      </c>
      <c r="BE58" s="15">
        <v>1</v>
      </c>
      <c r="BF58" s="15">
        <v>1</v>
      </c>
      <c r="BG58" s="15">
        <v>1</v>
      </c>
      <c r="BH58" s="15">
        <v>1</v>
      </c>
      <c r="BI58" s="15">
        <v>1</v>
      </c>
      <c r="BJ58" s="15">
        <v>1</v>
      </c>
      <c r="BK58" s="15">
        <v>1</v>
      </c>
      <c r="BL58" s="15">
        <v>1</v>
      </c>
      <c r="BM58" s="15">
        <v>1</v>
      </c>
      <c r="BN58" s="15">
        <v>1</v>
      </c>
      <c r="BO58" s="15">
        <v>1</v>
      </c>
      <c r="BP58" s="15">
        <v>1</v>
      </c>
      <c r="BQ58" s="15">
        <v>1</v>
      </c>
      <c r="BR58" s="15">
        <v>1</v>
      </c>
      <c r="BS58" s="15">
        <v>1</v>
      </c>
      <c r="BT58" s="15">
        <v>1</v>
      </c>
      <c r="BU58" s="15">
        <v>1</v>
      </c>
      <c r="BV58" s="15">
        <v>1</v>
      </c>
      <c r="BW58" s="15">
        <v>1</v>
      </c>
      <c r="BX58" s="15">
        <v>1</v>
      </c>
      <c r="BY58" s="15">
        <v>1</v>
      </c>
      <c r="BZ58" s="15">
        <v>1</v>
      </c>
      <c r="CA58" s="15">
        <v>1</v>
      </c>
      <c r="CB58" s="15">
        <v>1</v>
      </c>
      <c r="CC58" s="15">
        <v>1</v>
      </c>
      <c r="CD58" s="15">
        <v>1</v>
      </c>
      <c r="CE58" s="15">
        <v>1</v>
      </c>
      <c r="CF58" s="15">
        <v>1</v>
      </c>
      <c r="CG58" s="15">
        <v>1</v>
      </c>
      <c r="CH58" s="15">
        <v>1</v>
      </c>
      <c r="CI58" s="15">
        <v>1</v>
      </c>
      <c r="CJ58" s="15">
        <v>1</v>
      </c>
      <c r="CK58" s="15">
        <v>1</v>
      </c>
      <c r="CL58" s="15">
        <v>1</v>
      </c>
      <c r="CM58" s="15">
        <v>1</v>
      </c>
      <c r="CN58" s="15">
        <v>1</v>
      </c>
      <c r="CO58" s="15">
        <v>1</v>
      </c>
      <c r="CP58" s="15">
        <v>1</v>
      </c>
      <c r="CQ58" s="15">
        <v>1</v>
      </c>
      <c r="CR58" s="15">
        <v>1</v>
      </c>
      <c r="CS58" s="15">
        <v>1</v>
      </c>
      <c r="CT58" s="15">
        <v>1</v>
      </c>
      <c r="CU58" s="15">
        <v>1</v>
      </c>
      <c r="CV58" s="15">
        <v>1</v>
      </c>
      <c r="CW58" s="15">
        <v>1</v>
      </c>
      <c r="CX58" s="15">
        <v>1</v>
      </c>
      <c r="CY58" s="15">
        <v>1</v>
      </c>
      <c r="CZ58" s="15">
        <v>1</v>
      </c>
      <c r="DA58" s="15">
        <v>1</v>
      </c>
      <c r="DB58" s="15">
        <v>1</v>
      </c>
      <c r="DC58" s="15">
        <v>1</v>
      </c>
      <c r="DD58" s="15">
        <v>1</v>
      </c>
      <c r="DE58" s="15">
        <v>1</v>
      </c>
      <c r="DF58" s="15">
        <v>1</v>
      </c>
      <c r="DG58" s="15">
        <v>1</v>
      </c>
      <c r="DH58" s="15">
        <v>1</v>
      </c>
      <c r="DI58" s="15">
        <v>1</v>
      </c>
      <c r="DJ58" s="15">
        <v>1</v>
      </c>
      <c r="DK58" s="15">
        <v>1</v>
      </c>
      <c r="DL58" s="15">
        <v>1</v>
      </c>
      <c r="DM58" s="15">
        <v>1</v>
      </c>
      <c r="DN58" s="15">
        <v>1</v>
      </c>
      <c r="DO58" s="15">
        <v>1</v>
      </c>
      <c r="DP58" s="15">
        <v>1</v>
      </c>
      <c r="DQ58" s="15">
        <v>1</v>
      </c>
      <c r="DR58" s="15">
        <v>1</v>
      </c>
      <c r="DS58" s="15">
        <v>1</v>
      </c>
      <c r="DT58" s="15">
        <v>1</v>
      </c>
      <c r="DU58" s="15">
        <v>1</v>
      </c>
      <c r="DV58" s="15">
        <v>1</v>
      </c>
      <c r="DW58" s="15">
        <v>1</v>
      </c>
      <c r="DX58" s="15">
        <v>1</v>
      </c>
      <c r="DY58" s="15">
        <v>1</v>
      </c>
      <c r="DZ58" s="15">
        <v>1</v>
      </c>
      <c r="EA58" s="15">
        <v>1</v>
      </c>
      <c r="EB58" s="15">
        <v>1</v>
      </c>
      <c r="EC58" s="15">
        <v>1</v>
      </c>
      <c r="ED58" s="15">
        <v>1</v>
      </c>
      <c r="EE58" s="15">
        <v>1</v>
      </c>
      <c r="EF58" s="15">
        <v>1</v>
      </c>
      <c r="EG58" s="15">
        <v>1</v>
      </c>
      <c r="EH58" s="15">
        <v>1</v>
      </c>
      <c r="EI58" s="15">
        <v>1</v>
      </c>
      <c r="EJ58" s="15">
        <v>1</v>
      </c>
      <c r="EK58" s="15">
        <v>1</v>
      </c>
      <c r="EL58" s="15">
        <v>1</v>
      </c>
      <c r="EM58" s="15">
        <v>1</v>
      </c>
      <c r="EN58" s="15">
        <v>1</v>
      </c>
      <c r="EO58" s="15">
        <v>1</v>
      </c>
      <c r="EP58" s="15">
        <v>1</v>
      </c>
      <c r="EQ58" s="15">
        <v>1</v>
      </c>
      <c r="ER58" s="15">
        <v>1</v>
      </c>
      <c r="ES58" s="15">
        <v>1</v>
      </c>
      <c r="ET58" s="15">
        <v>1</v>
      </c>
      <c r="EU58" s="15">
        <v>1</v>
      </c>
      <c r="EV58" s="111">
        <v>1</v>
      </c>
      <c r="EW58" s="15">
        <v>1</v>
      </c>
      <c r="EX58" s="15">
        <v>1</v>
      </c>
      <c r="EY58" s="15">
        <v>1</v>
      </c>
      <c r="EZ58" s="15">
        <v>1</v>
      </c>
      <c r="FA58" s="15">
        <v>1</v>
      </c>
      <c r="FB58" s="15">
        <v>1</v>
      </c>
      <c r="FC58" s="15">
        <v>1</v>
      </c>
      <c r="FD58" s="15">
        <v>1</v>
      </c>
      <c r="FE58" s="15">
        <v>1</v>
      </c>
      <c r="FF58" s="15">
        <v>1</v>
      </c>
      <c r="FG58" s="15">
        <v>1</v>
      </c>
      <c r="FH58" s="15">
        <v>1</v>
      </c>
      <c r="FI58" s="15">
        <v>1</v>
      </c>
      <c r="FJ58" s="15">
        <v>1</v>
      </c>
      <c r="FK58" s="15">
        <v>1</v>
      </c>
      <c r="FL58" s="15">
        <v>1</v>
      </c>
      <c r="FM58" s="15">
        <v>1</v>
      </c>
      <c r="FN58" s="15">
        <v>1</v>
      </c>
      <c r="FO58" s="15">
        <v>1</v>
      </c>
      <c r="FP58" s="15">
        <v>1</v>
      </c>
      <c r="FQ58" s="15">
        <v>1</v>
      </c>
      <c r="FR58" s="15">
        <v>1</v>
      </c>
      <c r="FS58" s="15">
        <v>1</v>
      </c>
      <c r="FT58" s="15">
        <v>1</v>
      </c>
      <c r="FU58" s="15">
        <v>1</v>
      </c>
      <c r="FV58" s="15">
        <v>1</v>
      </c>
      <c r="FW58" s="15">
        <v>1</v>
      </c>
      <c r="FX58" s="15">
        <v>1</v>
      </c>
      <c r="FY58" s="15">
        <v>1</v>
      </c>
      <c r="FZ58" s="15">
        <v>1</v>
      </c>
      <c r="GA58" s="15">
        <v>1</v>
      </c>
      <c r="GB58" s="15">
        <v>1</v>
      </c>
      <c r="GC58" s="15">
        <v>1</v>
      </c>
      <c r="GD58" s="15">
        <v>1</v>
      </c>
      <c r="GE58" s="15">
        <v>1</v>
      </c>
      <c r="GF58" s="15">
        <v>1</v>
      </c>
      <c r="GG58" s="15">
        <v>1</v>
      </c>
      <c r="GH58" s="15">
        <v>1</v>
      </c>
      <c r="GI58" s="15">
        <v>1</v>
      </c>
      <c r="GJ58" s="15">
        <v>1</v>
      </c>
      <c r="GK58" s="15">
        <v>1</v>
      </c>
      <c r="GL58" s="15">
        <v>1</v>
      </c>
      <c r="GM58" s="15">
        <v>1</v>
      </c>
      <c r="GN58" s="15">
        <v>1</v>
      </c>
      <c r="GO58" s="15">
        <v>1</v>
      </c>
      <c r="GP58" s="15">
        <v>1</v>
      </c>
      <c r="GQ58" s="15">
        <v>1</v>
      </c>
      <c r="GR58" s="15">
        <v>1</v>
      </c>
      <c r="GS58" s="15">
        <v>1</v>
      </c>
      <c r="GT58" s="15">
        <v>1</v>
      </c>
      <c r="GU58" s="15">
        <v>1</v>
      </c>
      <c r="GV58" s="15">
        <v>1</v>
      </c>
      <c r="GW58" s="15">
        <v>1</v>
      </c>
      <c r="GX58" s="15">
        <v>1</v>
      </c>
      <c r="GY58" s="15">
        <v>1</v>
      </c>
      <c r="GZ58" s="15">
        <v>1</v>
      </c>
      <c r="HA58" s="15">
        <v>1</v>
      </c>
      <c r="HB58" s="15">
        <v>1</v>
      </c>
      <c r="HC58" s="15">
        <v>1</v>
      </c>
      <c r="HD58" s="15">
        <v>1</v>
      </c>
      <c r="HE58" s="15">
        <v>1</v>
      </c>
      <c r="HF58" s="15">
        <v>1</v>
      </c>
      <c r="HG58" s="15">
        <v>1</v>
      </c>
      <c r="HH58" s="15">
        <v>1</v>
      </c>
      <c r="HI58" s="15">
        <v>1</v>
      </c>
      <c r="HJ58" s="15">
        <v>1</v>
      </c>
      <c r="HK58" s="15">
        <v>1</v>
      </c>
      <c r="HL58" s="15">
        <v>1</v>
      </c>
      <c r="HM58" s="15">
        <v>1</v>
      </c>
      <c r="HN58" s="15">
        <v>1</v>
      </c>
      <c r="HO58" s="15">
        <v>1</v>
      </c>
      <c r="HP58" s="15">
        <v>1</v>
      </c>
      <c r="HQ58" s="15">
        <v>1</v>
      </c>
      <c r="HR58" s="15">
        <v>1</v>
      </c>
      <c r="HS58" s="15">
        <v>1</v>
      </c>
      <c r="HT58" s="15">
        <v>1</v>
      </c>
      <c r="HU58" s="15">
        <v>1</v>
      </c>
      <c r="HV58" s="15">
        <v>1</v>
      </c>
      <c r="HW58" s="15">
        <v>1</v>
      </c>
      <c r="HX58" s="15">
        <v>1</v>
      </c>
      <c r="HY58" s="15">
        <v>1</v>
      </c>
      <c r="HZ58" s="15">
        <v>1</v>
      </c>
      <c r="IA58" s="15">
        <v>1</v>
      </c>
      <c r="IB58" s="15">
        <v>1</v>
      </c>
      <c r="IC58" s="15">
        <v>1</v>
      </c>
      <c r="ID58" s="15">
        <v>1</v>
      </c>
      <c r="IE58" s="15">
        <v>1</v>
      </c>
      <c r="IF58" s="15">
        <v>1</v>
      </c>
      <c r="IG58" s="15">
        <v>1</v>
      </c>
      <c r="IH58" s="15">
        <v>1</v>
      </c>
      <c r="II58" s="15">
        <v>1</v>
      </c>
      <c r="IJ58" s="15">
        <v>1</v>
      </c>
      <c r="IK58" s="15">
        <v>1</v>
      </c>
      <c r="IL58" s="15">
        <v>1</v>
      </c>
      <c r="IM58" s="15">
        <v>1</v>
      </c>
      <c r="IN58" s="15">
        <v>1</v>
      </c>
      <c r="IO58" s="15">
        <v>1</v>
      </c>
      <c r="IP58" s="15">
        <v>1</v>
      </c>
      <c r="IQ58" s="15">
        <v>1</v>
      </c>
      <c r="IR58" s="15">
        <v>1</v>
      </c>
    </row>
    <row r="59" spans="1:252">
      <c r="A59" s="89" t="s">
        <v>514</v>
      </c>
      <c r="B59" s="90">
        <v>4</v>
      </c>
      <c r="C59" s="5" t="s">
        <v>67</v>
      </c>
      <c r="D59" s="91">
        <v>14111</v>
      </c>
      <c r="E59" s="91" t="s">
        <v>336</v>
      </c>
      <c r="F59" s="92" t="s">
        <v>74</v>
      </c>
      <c r="G59" s="91" t="s">
        <v>20</v>
      </c>
      <c r="H59" s="91" t="s">
        <v>22</v>
      </c>
      <c r="I59" s="91" t="s">
        <v>59</v>
      </c>
      <c r="J59" s="91" t="s">
        <v>53</v>
      </c>
      <c r="K59" s="91">
        <v>1350</v>
      </c>
      <c r="L59" s="85" t="s">
        <v>64</v>
      </c>
      <c r="M59" s="91" t="s">
        <v>190</v>
      </c>
      <c r="N59" s="91" t="s">
        <v>191</v>
      </c>
      <c r="O59" s="91" t="s">
        <v>193</v>
      </c>
      <c r="P59" s="89" t="s">
        <v>239</v>
      </c>
      <c r="Q59" s="91" t="s">
        <v>295</v>
      </c>
      <c r="R59" s="91" t="s">
        <v>258</v>
      </c>
      <c r="S59" s="82">
        <v>6683811</v>
      </c>
      <c r="T59" s="82">
        <v>9025915022</v>
      </c>
      <c r="U59" s="81">
        <v>94362</v>
      </c>
      <c r="V59" s="81">
        <v>0</v>
      </c>
      <c r="W59" s="82">
        <v>4877827694</v>
      </c>
      <c r="X59" s="112">
        <v>69</v>
      </c>
      <c r="Y59" s="112" t="s">
        <v>418</v>
      </c>
      <c r="Z59" s="113">
        <v>5</v>
      </c>
      <c r="AA59" s="113">
        <v>5</v>
      </c>
      <c r="AB59" s="113">
        <v>4</v>
      </c>
      <c r="AC59" s="99">
        <v>823.83</v>
      </c>
      <c r="AD59" s="99">
        <f t="shared" si="19"/>
        <v>453.33000000000004</v>
      </c>
      <c r="AE59" s="99">
        <v>1277.1600000000001</v>
      </c>
      <c r="AF59" s="98">
        <f>(Z59+AA59+AB59)*'Ставки аренды'!$B$3/X59</f>
        <v>142.02898550724638</v>
      </c>
      <c r="AG59" s="114">
        <v>0</v>
      </c>
      <c r="AH59" s="94">
        <v>0</v>
      </c>
      <c r="AI59" s="116">
        <f t="shared" ref="AI59:AI60" si="20">507353/712157*AJ59</f>
        <v>4274.5040770504256</v>
      </c>
      <c r="AJ59" s="117">
        <f>Цены!$D$12</f>
        <v>6000</v>
      </c>
      <c r="AK59" s="94">
        <f>AJ59/Цены!$B$1</f>
        <v>78.631291322381742</v>
      </c>
      <c r="AL59" s="95">
        <f t="shared" si="5"/>
        <v>1419.1889855072463</v>
      </c>
      <c r="AM59" s="95">
        <f t="shared" si="6"/>
        <v>4580.8110144927541</v>
      </c>
      <c r="AN59" s="94">
        <f t="shared" si="16"/>
        <v>5693.6930625576715</v>
      </c>
      <c r="AO59" s="118">
        <f t="shared" si="17"/>
        <v>5.1051156240388085E-2</v>
      </c>
      <c r="AP59" s="96">
        <f t="shared" si="7"/>
        <v>0.23653149758454106</v>
      </c>
      <c r="AQ59" s="96">
        <f t="shared" si="8"/>
        <v>0.21286000000000002</v>
      </c>
      <c r="AR59" s="96">
        <f t="shared" si="9"/>
        <v>0.89992242967099811</v>
      </c>
      <c r="AS59" s="122">
        <v>1</v>
      </c>
      <c r="AT59" s="121">
        <f t="shared" si="10"/>
        <v>6683811</v>
      </c>
      <c r="AU59" s="7" t="s">
        <v>475</v>
      </c>
      <c r="AV59" s="119">
        <f t="shared" si="11"/>
        <v>2.5507956240388013E-2</v>
      </c>
      <c r="AW59" s="120">
        <f t="shared" si="12"/>
        <v>0.26207469758454111</v>
      </c>
      <c r="AX59" s="120">
        <f t="shared" si="13"/>
        <v>0.23840320000000004</v>
      </c>
      <c r="AY59" s="120">
        <f t="shared" si="14"/>
        <v>0.9096765242783309</v>
      </c>
      <c r="AZ59" s="15">
        <v>1</v>
      </c>
      <c r="BA59" s="15">
        <v>1</v>
      </c>
      <c r="BB59" s="15">
        <v>1</v>
      </c>
      <c r="BC59" s="15">
        <v>1</v>
      </c>
      <c r="BD59" s="15">
        <v>1</v>
      </c>
      <c r="BE59" s="15">
        <v>1</v>
      </c>
      <c r="BF59" s="15">
        <v>1</v>
      </c>
      <c r="BG59" s="15">
        <v>1</v>
      </c>
      <c r="BH59" s="15">
        <v>1</v>
      </c>
      <c r="BI59" s="15">
        <v>1</v>
      </c>
      <c r="BJ59" s="15">
        <v>1</v>
      </c>
      <c r="BK59" s="15">
        <v>1</v>
      </c>
      <c r="BL59" s="15">
        <v>1</v>
      </c>
      <c r="BM59" s="15">
        <v>1</v>
      </c>
      <c r="BN59" s="15">
        <v>1</v>
      </c>
      <c r="BO59" s="15">
        <v>1</v>
      </c>
      <c r="BP59" s="15">
        <v>1</v>
      </c>
      <c r="BQ59" s="15">
        <v>1</v>
      </c>
      <c r="BR59" s="15">
        <v>1</v>
      </c>
      <c r="BS59" s="15">
        <v>1</v>
      </c>
      <c r="BT59" s="15">
        <v>1</v>
      </c>
      <c r="BU59" s="15">
        <v>1</v>
      </c>
      <c r="BV59" s="15">
        <v>1</v>
      </c>
      <c r="BW59" s="15">
        <v>1</v>
      </c>
      <c r="BX59" s="15">
        <v>1</v>
      </c>
      <c r="BY59" s="15">
        <v>1</v>
      </c>
      <c r="BZ59" s="15">
        <v>1</v>
      </c>
      <c r="CA59" s="15">
        <v>1</v>
      </c>
      <c r="CB59" s="15">
        <v>1</v>
      </c>
      <c r="CC59" s="15">
        <v>1</v>
      </c>
      <c r="CD59" s="15">
        <v>1</v>
      </c>
      <c r="CE59" s="15">
        <v>1</v>
      </c>
      <c r="CF59" s="15">
        <v>1</v>
      </c>
      <c r="CG59" s="15">
        <v>1</v>
      </c>
      <c r="CH59" s="15">
        <v>1</v>
      </c>
      <c r="CI59" s="15">
        <v>1</v>
      </c>
      <c r="CJ59" s="15">
        <v>1</v>
      </c>
      <c r="CK59" s="15">
        <v>1</v>
      </c>
      <c r="CL59" s="15">
        <v>1</v>
      </c>
      <c r="CM59" s="15">
        <v>1</v>
      </c>
      <c r="CN59" s="15">
        <v>1</v>
      </c>
      <c r="CO59" s="15">
        <v>1</v>
      </c>
      <c r="CP59" s="15">
        <v>1</v>
      </c>
      <c r="CQ59" s="15">
        <v>1</v>
      </c>
      <c r="CR59" s="15">
        <v>1</v>
      </c>
      <c r="CS59" s="15">
        <v>1</v>
      </c>
      <c r="CT59" s="15">
        <v>1</v>
      </c>
      <c r="CU59" s="15">
        <v>1</v>
      </c>
      <c r="CV59" s="15">
        <v>1</v>
      </c>
      <c r="CW59" s="15">
        <v>1</v>
      </c>
      <c r="CX59" s="15">
        <v>1</v>
      </c>
      <c r="CY59" s="15">
        <v>1</v>
      </c>
      <c r="CZ59" s="15">
        <v>1</v>
      </c>
      <c r="DA59" s="15">
        <v>1</v>
      </c>
      <c r="DB59" s="15">
        <v>1</v>
      </c>
      <c r="DC59" s="15">
        <v>1</v>
      </c>
      <c r="DD59" s="15">
        <v>1</v>
      </c>
      <c r="DE59" s="15">
        <v>1</v>
      </c>
      <c r="DF59" s="15">
        <v>1</v>
      </c>
      <c r="DG59" s="15">
        <v>1</v>
      </c>
      <c r="DH59" s="15">
        <v>1</v>
      </c>
      <c r="DI59" s="15">
        <v>1</v>
      </c>
      <c r="DJ59" s="15">
        <v>1</v>
      </c>
      <c r="DK59" s="15">
        <v>1</v>
      </c>
      <c r="DL59" s="15">
        <v>1</v>
      </c>
      <c r="DM59" s="15">
        <v>1</v>
      </c>
      <c r="DN59" s="15">
        <v>1</v>
      </c>
      <c r="DO59" s="15">
        <v>1</v>
      </c>
      <c r="DP59" s="15">
        <v>1</v>
      </c>
      <c r="DQ59" s="15">
        <v>1</v>
      </c>
      <c r="DR59" s="15">
        <v>1</v>
      </c>
      <c r="DS59" s="15">
        <v>1</v>
      </c>
      <c r="DT59" s="15">
        <v>1</v>
      </c>
      <c r="DU59" s="15">
        <v>1</v>
      </c>
      <c r="DV59" s="15">
        <v>1</v>
      </c>
      <c r="DW59" s="15">
        <v>1</v>
      </c>
      <c r="DX59" s="15">
        <v>1</v>
      </c>
      <c r="DY59" s="15">
        <v>1</v>
      </c>
      <c r="DZ59" s="15">
        <v>1</v>
      </c>
      <c r="EA59" s="15">
        <v>1</v>
      </c>
      <c r="EB59" s="15">
        <v>1</v>
      </c>
      <c r="EC59" s="15">
        <v>1</v>
      </c>
      <c r="ED59" s="15">
        <v>1</v>
      </c>
      <c r="EE59" s="15">
        <v>1</v>
      </c>
      <c r="EF59" s="15">
        <v>1</v>
      </c>
      <c r="EG59" s="15">
        <v>1</v>
      </c>
      <c r="EH59" s="15">
        <v>1</v>
      </c>
      <c r="EI59" s="15">
        <v>1</v>
      </c>
      <c r="EJ59" s="15">
        <v>1</v>
      </c>
      <c r="EK59" s="15">
        <v>1</v>
      </c>
      <c r="EL59" s="15">
        <v>1</v>
      </c>
      <c r="EM59" s="15">
        <v>1</v>
      </c>
      <c r="EN59" s="15">
        <v>1</v>
      </c>
      <c r="EO59" s="15">
        <v>1</v>
      </c>
      <c r="EP59" s="15">
        <v>1</v>
      </c>
      <c r="EQ59" s="15">
        <v>1</v>
      </c>
      <c r="ER59" s="15">
        <v>1</v>
      </c>
      <c r="ES59" s="15">
        <v>1</v>
      </c>
      <c r="ET59" s="15">
        <v>1</v>
      </c>
      <c r="EU59" s="15">
        <v>1</v>
      </c>
      <c r="EV59" s="111">
        <v>1</v>
      </c>
      <c r="EW59" s="15">
        <v>1</v>
      </c>
      <c r="EX59" s="15">
        <v>1</v>
      </c>
      <c r="EY59" s="15">
        <v>1</v>
      </c>
      <c r="EZ59" s="15">
        <v>1</v>
      </c>
      <c r="FA59" s="15">
        <v>1</v>
      </c>
      <c r="FB59" s="15">
        <v>1</v>
      </c>
      <c r="FC59" s="15">
        <v>1</v>
      </c>
      <c r="FD59" s="15">
        <v>1</v>
      </c>
      <c r="FE59" s="15">
        <v>1</v>
      </c>
      <c r="FF59" s="15">
        <v>1</v>
      </c>
      <c r="FG59" s="15">
        <v>1</v>
      </c>
      <c r="FH59" s="15">
        <v>1</v>
      </c>
      <c r="FI59" s="15">
        <v>1</v>
      </c>
      <c r="FJ59" s="15">
        <v>1</v>
      </c>
      <c r="FK59" s="15">
        <v>1</v>
      </c>
      <c r="FL59" s="15">
        <v>1</v>
      </c>
      <c r="FM59" s="15">
        <v>1</v>
      </c>
      <c r="FN59" s="15">
        <v>1</v>
      </c>
      <c r="FO59" s="15">
        <v>1</v>
      </c>
      <c r="FP59" s="15">
        <v>1</v>
      </c>
      <c r="FQ59" s="15">
        <v>1</v>
      </c>
      <c r="FR59" s="15">
        <v>1</v>
      </c>
      <c r="FS59" s="15">
        <v>1</v>
      </c>
      <c r="FT59" s="15">
        <v>1</v>
      </c>
      <c r="FU59" s="15">
        <v>1</v>
      </c>
      <c r="FV59" s="15">
        <v>1</v>
      </c>
      <c r="FW59" s="15">
        <v>1</v>
      </c>
      <c r="FX59" s="15">
        <v>1</v>
      </c>
      <c r="FY59" s="15">
        <v>1</v>
      </c>
      <c r="FZ59" s="15">
        <v>1</v>
      </c>
      <c r="GA59" s="15">
        <v>1</v>
      </c>
      <c r="GB59" s="15">
        <v>1</v>
      </c>
      <c r="GC59" s="15">
        <v>1</v>
      </c>
      <c r="GD59" s="15">
        <v>1</v>
      </c>
      <c r="GE59" s="15">
        <v>1</v>
      </c>
      <c r="GF59" s="15">
        <v>1</v>
      </c>
      <c r="GG59" s="15">
        <v>1</v>
      </c>
      <c r="GH59" s="15">
        <v>1</v>
      </c>
      <c r="GI59" s="15">
        <v>1</v>
      </c>
      <c r="GJ59" s="15">
        <v>1</v>
      </c>
      <c r="GK59" s="15">
        <v>1</v>
      </c>
      <c r="GL59" s="15">
        <v>1</v>
      </c>
      <c r="GM59" s="15">
        <v>1</v>
      </c>
      <c r="GN59" s="15">
        <v>1</v>
      </c>
      <c r="GO59" s="15">
        <v>1</v>
      </c>
      <c r="GP59" s="15">
        <v>1</v>
      </c>
      <c r="GQ59" s="15">
        <v>1</v>
      </c>
      <c r="GR59" s="15">
        <v>1</v>
      </c>
      <c r="GS59" s="15">
        <v>1</v>
      </c>
      <c r="GT59" s="15">
        <v>1</v>
      </c>
      <c r="GU59" s="15">
        <v>1</v>
      </c>
      <c r="GV59" s="15">
        <v>1</v>
      </c>
      <c r="GW59" s="15">
        <v>1</v>
      </c>
      <c r="GX59" s="15">
        <v>1</v>
      </c>
      <c r="GY59" s="15">
        <v>1</v>
      </c>
      <c r="GZ59" s="15">
        <v>1</v>
      </c>
      <c r="HA59" s="15">
        <v>1</v>
      </c>
      <c r="HB59" s="15">
        <v>1</v>
      </c>
      <c r="HC59" s="15">
        <v>1</v>
      </c>
      <c r="HD59" s="15">
        <v>1</v>
      </c>
      <c r="HE59" s="15">
        <v>1</v>
      </c>
      <c r="HF59" s="15">
        <v>1</v>
      </c>
      <c r="HG59" s="15">
        <v>1</v>
      </c>
      <c r="HH59" s="15">
        <v>1</v>
      </c>
      <c r="HI59" s="15">
        <v>1</v>
      </c>
      <c r="HJ59" s="15">
        <v>1</v>
      </c>
      <c r="HK59" s="15">
        <v>1</v>
      </c>
      <c r="HL59" s="15">
        <v>1</v>
      </c>
      <c r="HM59" s="15">
        <v>1</v>
      </c>
      <c r="HN59" s="15">
        <v>1</v>
      </c>
      <c r="HO59" s="15">
        <v>1</v>
      </c>
      <c r="HP59" s="15">
        <v>1</v>
      </c>
      <c r="HQ59" s="15">
        <v>1</v>
      </c>
      <c r="HR59" s="15">
        <v>1</v>
      </c>
      <c r="HS59" s="15">
        <v>1</v>
      </c>
      <c r="HT59" s="15">
        <v>1</v>
      </c>
      <c r="HU59" s="15">
        <v>1</v>
      </c>
      <c r="HV59" s="15">
        <v>1</v>
      </c>
      <c r="HW59" s="15">
        <v>1</v>
      </c>
      <c r="HX59" s="15">
        <v>1</v>
      </c>
      <c r="HY59" s="15">
        <v>1</v>
      </c>
      <c r="HZ59" s="15">
        <v>1</v>
      </c>
      <c r="IA59" s="15">
        <v>1</v>
      </c>
      <c r="IB59" s="15">
        <v>1</v>
      </c>
      <c r="IC59" s="15">
        <v>1</v>
      </c>
      <c r="ID59" s="15">
        <v>1</v>
      </c>
      <c r="IE59" s="15">
        <v>1</v>
      </c>
      <c r="IF59" s="15">
        <v>1</v>
      </c>
      <c r="IG59" s="15">
        <v>1</v>
      </c>
      <c r="IH59" s="15">
        <v>1</v>
      </c>
      <c r="II59" s="15">
        <v>1</v>
      </c>
      <c r="IJ59" s="15">
        <v>1</v>
      </c>
      <c r="IK59" s="15">
        <v>1</v>
      </c>
      <c r="IL59" s="15">
        <v>1</v>
      </c>
      <c r="IM59" s="15">
        <v>1</v>
      </c>
      <c r="IN59" s="15">
        <v>1</v>
      </c>
      <c r="IO59" s="15">
        <v>1</v>
      </c>
      <c r="IP59" s="15">
        <v>1</v>
      </c>
      <c r="IQ59" s="15">
        <v>1</v>
      </c>
      <c r="IR59" s="15">
        <v>1</v>
      </c>
    </row>
    <row r="60" spans="1:252" ht="43.75">
      <c r="A60" s="89" t="s">
        <v>514</v>
      </c>
      <c r="B60" s="90">
        <v>4</v>
      </c>
      <c r="C60" s="5" t="s">
        <v>67</v>
      </c>
      <c r="D60" s="91">
        <v>14113</v>
      </c>
      <c r="E60" s="91" t="s">
        <v>339</v>
      </c>
      <c r="F60" s="92" t="s">
        <v>74</v>
      </c>
      <c r="G60" s="91" t="s">
        <v>28</v>
      </c>
      <c r="H60" s="91" t="s">
        <v>31</v>
      </c>
      <c r="I60" s="91" t="s">
        <v>153</v>
      </c>
      <c r="J60" s="91" t="s">
        <v>141</v>
      </c>
      <c r="K60" s="91">
        <v>2458</v>
      </c>
      <c r="L60" s="85" t="s">
        <v>64</v>
      </c>
      <c r="M60" s="91" t="s">
        <v>190</v>
      </c>
      <c r="N60" s="91" t="s">
        <v>191</v>
      </c>
      <c r="O60" s="91" t="s">
        <v>192</v>
      </c>
      <c r="P60" s="89" t="s">
        <v>210</v>
      </c>
      <c r="Q60" s="91" t="s">
        <v>309</v>
      </c>
      <c r="R60" s="91" t="s">
        <v>258</v>
      </c>
      <c r="S60" s="82">
        <v>1080878</v>
      </c>
      <c r="T60" s="82">
        <v>2656526979</v>
      </c>
      <c r="U60" s="81">
        <v>15226</v>
      </c>
      <c r="V60" s="81">
        <v>0</v>
      </c>
      <c r="W60" s="82">
        <v>1109434759</v>
      </c>
      <c r="X60" s="112">
        <v>69</v>
      </c>
      <c r="Y60" s="112" t="s">
        <v>418</v>
      </c>
      <c r="Z60" s="113">
        <v>6</v>
      </c>
      <c r="AA60" s="113">
        <v>6</v>
      </c>
      <c r="AB60" s="113">
        <v>4</v>
      </c>
      <c r="AC60" s="99">
        <v>1168.6400000000001</v>
      </c>
      <c r="AD60" s="99">
        <f t="shared" si="19"/>
        <v>626.86999999999989</v>
      </c>
      <c r="AE60" s="99">
        <v>1795.51</v>
      </c>
      <c r="AF60" s="98">
        <f>(Z60+AA60+AB60)*'Ставки аренды'!$B$3/X60</f>
        <v>162.31884057971016</v>
      </c>
      <c r="AG60" s="114">
        <v>0</v>
      </c>
      <c r="AH60" s="94">
        <v>0</v>
      </c>
      <c r="AI60" s="116">
        <f t="shared" si="20"/>
        <v>3704.5702001103687</v>
      </c>
      <c r="AJ60" s="117">
        <f>Цены!D22</f>
        <v>5200</v>
      </c>
      <c r="AK60" s="94">
        <f>AJ60/Цены!$B$1</f>
        <v>68.147119146064185</v>
      </c>
      <c r="AL60" s="95">
        <f t="shared" si="5"/>
        <v>1957.8288405797102</v>
      </c>
      <c r="AM60" s="95">
        <f t="shared" si="6"/>
        <v>3242.1711594202898</v>
      </c>
      <c r="AN60" s="94">
        <f t="shared" si="16"/>
        <v>5662.3990406900784</v>
      </c>
      <c r="AO60" s="118">
        <f t="shared" si="17"/>
        <v>-8.8922892440399706E-2</v>
      </c>
      <c r="AP60" s="96">
        <f t="shared" si="7"/>
        <v>0.37650554626532889</v>
      </c>
      <c r="AQ60" s="96">
        <f t="shared" si="8"/>
        <v>0.34529038461538464</v>
      </c>
      <c r="AR60" s="96">
        <f t="shared" si="9"/>
        <v>0.91709242543814617</v>
      </c>
      <c r="AS60" s="122">
        <v>1</v>
      </c>
      <c r="AT60" s="121">
        <f t="shared" si="10"/>
        <v>1080878</v>
      </c>
      <c r="AU60" s="83">
        <v>0.95</v>
      </c>
      <c r="AV60" s="119">
        <f t="shared" si="11"/>
        <v>-0.13035773859424599</v>
      </c>
      <c r="AW60" s="120">
        <f t="shared" si="12"/>
        <v>0.41794039241917508</v>
      </c>
      <c r="AX60" s="120">
        <f t="shared" si="13"/>
        <v>0.38672523076923082</v>
      </c>
      <c r="AY60" s="120">
        <f t="shared" si="14"/>
        <v>0.92531192912639826</v>
      </c>
      <c r="AZ60" s="15">
        <f>MIN(IF($AU60=100%,1,1+VLOOKUP(($AJ60-$AI60-$AH60-$AG60-$AF60-$AE60*(1+AZ$3))/$AJ60,'Технический лист'!$M:$N,2,1)-VLOOKUP($AO60,'Технический лист'!$M:$N,2,1)),1+(1-$AU60))</f>
        <v>1.05</v>
      </c>
      <c r="BA60" s="15">
        <f>MIN(IF($AU60=100%,1,1+VLOOKUP(($AJ60-$AI60-$AH60-$AG60-$AF60-$AE60*(1+BA$3))/$AJ60,'Технический лист'!$M:$N,2,1)-VLOOKUP($AO60,'Технический лист'!$M:$N,2,1)),1+(1-$AU60))</f>
        <v>1.05</v>
      </c>
      <c r="BB60" s="15">
        <f>MIN(IF($AU60=100%,1,1+VLOOKUP(($AJ60-$AI60-$AH60-$AG60-$AF60-$AE60*(1+BB$3))/$AJ60,'Технический лист'!$M:$N,2,1)-VLOOKUP($AO60,'Технический лист'!$M:$N,2,1)),1+(1-$AU60))</f>
        <v>1.05</v>
      </c>
      <c r="BC60" s="15">
        <f>MIN(IF($AU60=100%,1,1+VLOOKUP(($AJ60-$AI60-$AH60-$AG60-$AF60-$AE60*(1+BC$3))/$AJ60,'Технический лист'!$M:$N,2,1)-VLOOKUP($AO60,'Технический лист'!$M:$N,2,1)),1+(1-$AU60))</f>
        <v>1.05</v>
      </c>
      <c r="BD60" s="15">
        <f>MIN(IF($AU60=100%,1,1+VLOOKUP(($AJ60-$AI60-$AH60-$AG60-$AF60-$AE60*(1+BD$3))/$AJ60,'Технический лист'!$M:$N,2,1)-VLOOKUP($AO60,'Технический лист'!$M:$N,2,1)),1+(1-$AU60))</f>
        <v>1.05</v>
      </c>
      <c r="BE60" s="15">
        <f>MIN(IF($AU60=100%,1,1+VLOOKUP(($AJ60-$AI60-$AH60-$AG60-$AF60-$AE60*(1+BE$3))/$AJ60,'Технический лист'!$M:$N,2,1)-VLOOKUP($AO60,'Технический лист'!$M:$N,2,1)),1+(1-$AU60))</f>
        <v>1.05</v>
      </c>
      <c r="BF60" s="15">
        <f>MIN(IF($AU60=100%,1,1+VLOOKUP(($AJ60-$AI60-$AH60-$AG60-$AF60-$AE60*(1+BF$3))/$AJ60,'Технический лист'!$M:$N,2,1)-VLOOKUP($AO60,'Технический лист'!$M:$N,2,1)),1+(1-$AU60))</f>
        <v>1.05</v>
      </c>
      <c r="BG60" s="15">
        <f>MIN(IF($AU60=100%,1,1+VLOOKUP(($AJ60-$AI60-$AH60-$AG60-$AF60-$AE60*(1+BG$3))/$AJ60,'Технический лист'!$M:$N,2,1)-VLOOKUP($AO60,'Технический лист'!$M:$N,2,1)),1+(1-$AU60))</f>
        <v>1.05</v>
      </c>
      <c r="BH60" s="15">
        <f>MIN(IF($AU60=100%,1,1+VLOOKUP(($AJ60-$AI60-$AH60-$AG60-$AF60-$AE60*(1+BH$3))/$AJ60,'Технический лист'!$M:$N,2,1)-VLOOKUP($AO60,'Технический лист'!$M:$N,2,1)),1+(1-$AU60))</f>
        <v>1.05</v>
      </c>
      <c r="BI60" s="15">
        <f>MIN(IF($AU60=100%,1,1+VLOOKUP(($AJ60-$AI60-$AH60-$AG60-$AF60-$AE60*(1+BI$3))/$AJ60,'Технический лист'!$M:$N,2,1)-VLOOKUP($AO60,'Технический лист'!$M:$N,2,1)),1+(1-$AU60))</f>
        <v>1.05</v>
      </c>
      <c r="BJ60" s="15">
        <f>MIN(IF($AU60=100%,1,1+VLOOKUP(($AJ60-$AI60-$AH60-$AG60-$AF60-$AE60*(1+BJ$3))/$AJ60,'Технический лист'!$M:$N,2,1)-VLOOKUP($AO60,'Технический лист'!$M:$N,2,1)),1+(1-$AU60))</f>
        <v>1.05</v>
      </c>
      <c r="BK60" s="15">
        <f>MIN(IF($AU60=100%,1,1+VLOOKUP(($AJ60-$AI60-$AH60-$AG60-$AF60-$AE60*(1+BK$3))/$AJ60,'Технический лист'!$M:$N,2,1)-VLOOKUP($AO60,'Технический лист'!$M:$N,2,1)),1+(1-$AU60))</f>
        <v>1.05</v>
      </c>
      <c r="BL60" s="15">
        <f>MIN(IF($AU60=100%,1,1+VLOOKUP(($AJ60-$AI60-$AH60-$AG60-$AF60-$AE60*(1+BL$3))/$AJ60,'Технический лист'!$M:$N,2,1)-VLOOKUP($AO60,'Технический лист'!$M:$N,2,1)),1+(1-$AU60))</f>
        <v>1.05</v>
      </c>
      <c r="BM60" s="15">
        <f>MIN(IF($AU60=100%,1,1+VLOOKUP(($AJ60-$AI60-$AH60-$AG60-$AF60-$AE60*(1+BM$3))/$AJ60,'Технический лист'!$M:$N,2,1)-VLOOKUP($AO60,'Технический лист'!$M:$N,2,1)),1+(1-$AU60))</f>
        <v>1.05</v>
      </c>
      <c r="BN60" s="15">
        <f>MIN(IF($AU60=100%,1,1+VLOOKUP(($AJ60-$AI60-$AH60-$AG60-$AF60-$AE60*(1+BN$3))/$AJ60,'Технический лист'!$M:$N,2,1)-VLOOKUP($AO60,'Технический лист'!$M:$N,2,1)),1+(1-$AU60))</f>
        <v>1.05</v>
      </c>
      <c r="BO60" s="15">
        <f>MIN(IF($AU60=100%,1,1+VLOOKUP(($AJ60-$AI60-$AH60-$AG60-$AF60-$AE60*(1+BO$3))/$AJ60,'Технический лист'!$M:$N,2,1)-VLOOKUP($AO60,'Технический лист'!$M:$N,2,1)),1+(1-$AU60))</f>
        <v>1.05</v>
      </c>
      <c r="BP60" s="15">
        <f>MIN(IF($AU60=100%,1,1+VLOOKUP(($AJ60-$AI60-$AH60-$AG60-$AF60-$AE60*(1+BP$3))/$AJ60,'Технический лист'!$M:$N,2,1)-VLOOKUP($AO60,'Технический лист'!$M:$N,2,1)),1+(1-$AU60))</f>
        <v>1.05</v>
      </c>
      <c r="BQ60" s="15">
        <f>MIN(IF($AU60=100%,1,1+VLOOKUP(($AJ60-$AI60-$AH60-$AG60-$AF60-$AE60*(1+BQ$3))/$AJ60,'Технический лист'!$M:$N,2,1)-VLOOKUP($AO60,'Технический лист'!$M:$N,2,1)),1+(1-$AU60))</f>
        <v>1.05</v>
      </c>
      <c r="BR60" s="15">
        <f>MIN(IF($AU60=100%,1,1+VLOOKUP(($AJ60-$AI60-$AH60-$AG60-$AF60-$AE60*(1+BR$3))/$AJ60,'Технический лист'!$M:$N,2,1)-VLOOKUP($AO60,'Технический лист'!$M:$N,2,1)),1+(1-$AU60))</f>
        <v>1.05</v>
      </c>
      <c r="BS60" s="15">
        <f>MIN(IF($AU60=100%,1,1+VLOOKUP(($AJ60-$AI60-$AH60-$AG60-$AF60-$AE60*(1+BS$3))/$AJ60,'Технический лист'!$M:$N,2,1)-VLOOKUP($AO60,'Технический лист'!$M:$N,2,1)),1+(1-$AU60))</f>
        <v>1.05</v>
      </c>
      <c r="BT60" s="15">
        <f>MIN(IF($AU60=100%,1,1+VLOOKUP(($AJ60-$AI60-$AH60-$AG60-$AF60-$AE60*(1+BT$3))/$AJ60,'Технический лист'!$M:$N,2,1)-VLOOKUP($AO60,'Технический лист'!$M:$N,2,1)),1+(1-$AU60))</f>
        <v>1.05</v>
      </c>
      <c r="BU60" s="15">
        <f>MIN(IF($AU60=100%,1,1+VLOOKUP(($AJ60-$AI60-$AH60-$AG60-$AF60-$AE60*(1+BU$3))/$AJ60,'Технический лист'!$M:$N,2,1)-VLOOKUP($AO60,'Технический лист'!$M:$N,2,1)),1+(1-$AU60))</f>
        <v>1.05</v>
      </c>
      <c r="BV60" s="15">
        <f>MIN(IF($AU60=100%,1,1+VLOOKUP(($AJ60-$AI60-$AH60-$AG60-$AF60-$AE60*(1+BV$3))/$AJ60,'Технический лист'!$M:$N,2,1)-VLOOKUP($AO60,'Технический лист'!$M:$N,2,1)),1+(1-$AU60))</f>
        <v>1.05</v>
      </c>
      <c r="BW60" s="15">
        <f>MIN(IF($AU60=100%,1,1+VLOOKUP(($AJ60-$AI60-$AH60-$AG60-$AF60-$AE60*(1+BW$3))/$AJ60,'Технический лист'!$M:$N,2,1)-VLOOKUP($AO60,'Технический лист'!$M:$N,2,1)),1+(1-$AU60))</f>
        <v>1.05</v>
      </c>
      <c r="BX60" s="15">
        <f>MIN(IF($AU60=100%,1,1+VLOOKUP(($AJ60-$AI60-$AH60-$AG60-$AF60-$AE60*(1+BX$3))/$AJ60,'Технический лист'!$M:$N,2,1)-VLOOKUP($AO60,'Технический лист'!$M:$N,2,1)),1+(1-$AU60))</f>
        <v>1.05</v>
      </c>
      <c r="BY60" s="15">
        <f>MIN(IF($AU60=100%,1,1+VLOOKUP(($AJ60-$AI60-$AH60-$AG60-$AF60-$AE60*(1+BY$3))/$AJ60,'Технический лист'!$M:$N,2,1)-VLOOKUP($AO60,'Технический лист'!$M:$N,2,1)),1+(1-$AU60))</f>
        <v>1.05</v>
      </c>
      <c r="BZ60" s="15">
        <f>MIN(IF($AU60=100%,1,1+VLOOKUP(($AJ60-$AI60-$AH60-$AG60-$AF60-$AE60*(1+BZ$3))/$AJ60,'Технический лист'!$M:$N,2,1)-VLOOKUP($AO60,'Технический лист'!$M:$N,2,1)),1+(1-$AU60))</f>
        <v>1.05</v>
      </c>
      <c r="CA60" s="15">
        <f>MIN(IF($AU60=100%,1,1+VLOOKUP(($AJ60-$AI60-$AH60-$AG60-$AF60-$AE60*(1+CA$3))/$AJ60,'Технический лист'!$M:$N,2,1)-VLOOKUP($AO60,'Технический лист'!$M:$N,2,1)),1+(1-$AU60))</f>
        <v>1.05</v>
      </c>
      <c r="CB60" s="15">
        <f>MIN(IF($AU60=100%,1,1+VLOOKUP(($AJ60-$AI60-$AH60-$AG60-$AF60-$AE60*(1+CB$3))/$AJ60,'Технический лист'!$M:$N,2,1)-VLOOKUP($AO60,'Технический лист'!$M:$N,2,1)),1+(1-$AU60))</f>
        <v>1.05</v>
      </c>
      <c r="CC60" s="15">
        <f>MIN(IF($AU60=100%,1,1+VLOOKUP(($AJ60-$AI60-$AH60-$AG60-$AF60-$AE60*(1+CC$3))/$AJ60,'Технический лист'!$M:$N,2,1)-VLOOKUP($AO60,'Технический лист'!$M:$N,2,1)),1+(1-$AU60))</f>
        <v>1.05</v>
      </c>
      <c r="CD60" s="15">
        <f>MIN(IF($AU60=100%,1,1+VLOOKUP(($AJ60-$AI60-$AH60-$AG60-$AF60-$AE60*(1+CD$3))/$AJ60,'Технический лист'!$M:$N,2,1)-VLOOKUP($AO60,'Технический лист'!$M:$N,2,1)),1+(1-$AU60))</f>
        <v>1.05</v>
      </c>
      <c r="CE60" s="15">
        <f>MIN(IF($AU60=100%,1,1+VLOOKUP(($AJ60-$AI60-$AH60-$AG60-$AF60-$AE60*(1+CE$3))/$AJ60,'Технический лист'!$M:$N,2,1)-VLOOKUP($AO60,'Технический лист'!$M:$N,2,1)),1+(1-$AU60))</f>
        <v>1.05</v>
      </c>
      <c r="CF60" s="15">
        <f>MIN(IF($AU60=100%,1,1+VLOOKUP(($AJ60-$AI60-$AH60-$AG60-$AF60-$AE60*(1+CF$3))/$AJ60,'Технический лист'!$M:$N,2,1)-VLOOKUP($AO60,'Технический лист'!$M:$N,2,1)),1+(1-$AU60))</f>
        <v>1.05</v>
      </c>
      <c r="CG60" s="15">
        <f>MIN(IF($AU60=100%,1,1+VLOOKUP(($AJ60-$AI60-$AH60-$AG60-$AF60-$AE60*(1+CG$3))/$AJ60,'Технический лист'!$M:$N,2,1)-VLOOKUP($AO60,'Технический лист'!$M:$N,2,1)),1+(1-$AU60))</f>
        <v>1.05</v>
      </c>
      <c r="CH60" s="15">
        <f>MIN(IF($AU60=100%,1,1+VLOOKUP(($AJ60-$AI60-$AH60-$AG60-$AF60-$AE60*(1+CH$3))/$AJ60,'Технический лист'!$M:$N,2,1)-VLOOKUP($AO60,'Технический лист'!$M:$N,2,1)),1+(1-$AU60))</f>
        <v>1.05</v>
      </c>
      <c r="CI60" s="15">
        <f>MIN(IF($AU60=100%,1,1+VLOOKUP(($AJ60-$AI60-$AH60-$AG60-$AF60-$AE60*(1+CI$3))/$AJ60,'Технический лист'!$M:$N,2,1)-VLOOKUP($AO60,'Технический лист'!$M:$N,2,1)),1+(1-$AU60))</f>
        <v>1.05</v>
      </c>
      <c r="CJ60" s="15">
        <f>MIN(IF($AU60=100%,1,1+VLOOKUP(($AJ60-$AI60-$AH60-$AG60-$AF60-$AE60*(1+CJ$3))/$AJ60,'Технический лист'!$M:$N,2,1)-VLOOKUP($AO60,'Технический лист'!$M:$N,2,1)),1+(1-$AU60))</f>
        <v>1.05</v>
      </c>
      <c r="CK60" s="15">
        <f>MIN(IF($AU60=100%,1,1+VLOOKUP(($AJ60-$AI60-$AH60-$AG60-$AF60-$AE60*(1+CK$3))/$AJ60,'Технический лист'!$M:$N,2,1)-VLOOKUP($AO60,'Технический лист'!$M:$N,2,1)),1+(1-$AU60))</f>
        <v>1.05</v>
      </c>
      <c r="CL60" s="15">
        <f>MIN(IF($AU60=100%,1,1+VLOOKUP(($AJ60-$AI60-$AH60-$AG60-$AF60-$AE60*(1+CL$3))/$AJ60,'Технический лист'!$M:$N,2,1)-VLOOKUP($AO60,'Технический лист'!$M:$N,2,1)),1+(1-$AU60))</f>
        <v>1.05</v>
      </c>
      <c r="CM60" s="15">
        <f>MIN(IF($AU60=100%,1,1+VLOOKUP(($AJ60-$AI60-$AH60-$AG60-$AF60-$AE60*(1+CM$3))/$AJ60,'Технический лист'!$M:$N,2,1)-VLOOKUP($AO60,'Технический лист'!$M:$N,2,1)),1+(1-$AU60))</f>
        <v>1.05</v>
      </c>
      <c r="CN60" s="15">
        <f>MIN(IF($AU60=100%,1,1+VLOOKUP(($AJ60-$AI60-$AH60-$AG60-$AF60-$AE60*(1+CN$3))/$AJ60,'Технический лист'!$M:$N,2,1)-VLOOKUP($AO60,'Технический лист'!$M:$N,2,1)),1+(1-$AU60))</f>
        <v>1.05</v>
      </c>
      <c r="CO60" s="15">
        <f>MIN(IF($AU60=100%,1,1+VLOOKUP(($AJ60-$AI60-$AH60-$AG60-$AF60-$AE60*(1+CO$3))/$AJ60,'Технический лист'!$M:$N,2,1)-VLOOKUP($AO60,'Технический лист'!$M:$N,2,1)),1+(1-$AU60))</f>
        <v>1.05</v>
      </c>
      <c r="CP60" s="15">
        <f>MIN(IF($AU60=100%,1,1+VLOOKUP(($AJ60-$AI60-$AH60-$AG60-$AF60-$AE60*(1+CP$3))/$AJ60,'Технический лист'!$M:$N,2,1)-VLOOKUP($AO60,'Технический лист'!$M:$N,2,1)),1+(1-$AU60))</f>
        <v>1.05</v>
      </c>
      <c r="CQ60" s="15">
        <f>MIN(IF($AU60=100%,1,1+VLOOKUP(($AJ60-$AI60-$AH60-$AG60-$AF60-$AE60*(1+CQ$3))/$AJ60,'Технический лист'!$M:$N,2,1)-VLOOKUP($AO60,'Технический лист'!$M:$N,2,1)),1+(1-$AU60))</f>
        <v>1.05</v>
      </c>
      <c r="CR60" s="15">
        <f>MIN(IF($AU60=100%,1,1+VLOOKUP(($AJ60-$AI60-$AH60-$AG60-$AF60-$AE60*(1+CR$3))/$AJ60,'Технический лист'!$M:$N,2,1)-VLOOKUP($AO60,'Технический лист'!$M:$N,2,1)),1+(1-$AU60))</f>
        <v>1.05</v>
      </c>
      <c r="CS60" s="15">
        <f>MIN(IF($AU60=100%,1,1+VLOOKUP(($AJ60-$AI60-$AH60-$AG60-$AF60-$AE60*(1+CS$3))/$AJ60,'Технический лист'!$M:$N,2,1)-VLOOKUP($AO60,'Технический лист'!$M:$N,2,1)),1+(1-$AU60))</f>
        <v>1.05</v>
      </c>
      <c r="CT60" s="15">
        <f>MIN(IF($AU60=100%,1,1+VLOOKUP(($AJ60-$AI60-$AH60-$AG60-$AF60-$AE60*(1+CT$3))/$AJ60,'Технический лист'!$M:$N,2,1)-VLOOKUP($AO60,'Технический лист'!$M:$N,2,1)),1+(1-$AU60))</f>
        <v>1.05</v>
      </c>
      <c r="CU60" s="15">
        <f>MIN(IF($AU60=100%,1,1+VLOOKUP(($AJ60-$AI60-$AH60-$AG60-$AF60-$AE60*(1+CU$3))/$AJ60,'Технический лист'!$M:$N,2,1)-VLOOKUP($AO60,'Технический лист'!$M:$N,2,1)),1+(1-$AU60))</f>
        <v>1.05</v>
      </c>
      <c r="CV60" s="15">
        <f>MIN(IF($AU60=100%,1,1+VLOOKUP(($AJ60-$AI60-$AH60-$AG60-$AF60-$AE60*(1+CV$3))/$AJ60,'Технический лист'!$M:$N,2,1)-VLOOKUP($AO60,'Технический лист'!$M:$N,2,1)),1+(1-$AU60))</f>
        <v>1.05</v>
      </c>
      <c r="CW60" s="15">
        <f>MIN(IF($AU60=100%,1,1+VLOOKUP(($AJ60-$AI60-$AH60-$AG60-$AF60-$AE60*(1+CW$3))/$AJ60,'Технический лист'!$M:$N,2,1)-VLOOKUP($AO60,'Технический лист'!$M:$N,2,1)),1+(1-$AU60))</f>
        <v>1.05</v>
      </c>
      <c r="CX60" s="15">
        <f>MIN(IF($AU60=100%,1,1+VLOOKUP(($AJ60-$AI60-$AH60-$AG60-$AF60-$AE60*(1+CX$3))/$AJ60,'Технический лист'!$M:$N,2,1)-VLOOKUP($AO60,'Технический лист'!$M:$N,2,1)),1+(1-$AU60))</f>
        <v>1.05</v>
      </c>
      <c r="CY60" s="15">
        <f>MIN(IF($AU60=100%,1,1+VLOOKUP(($AJ60-$AI60-$AH60-$AG60-$AF60-$AE60*(1+CY$3))/$AJ60,'Технический лист'!$M:$N,2,1)-VLOOKUP($AO60,'Технический лист'!$M:$N,2,1)),1+(1-$AU60))</f>
        <v>1.05</v>
      </c>
      <c r="CZ60" s="15">
        <f>MIN(IF($AU60=100%,1,1+VLOOKUP(($AJ60-$AI60-$AH60-$AG60-$AF60-$AE60*(1+CZ$3))/$AJ60,'Технический лист'!$M:$N,2,1)-VLOOKUP($AO60,'Технический лист'!$M:$N,2,1)),1+(1-$AU60))</f>
        <v>1.05</v>
      </c>
      <c r="DA60" s="15">
        <f>MIN(IF($AU60=100%,1,1+VLOOKUP(($AJ60-$AI60-$AH60-$AG60-$AF60-$AE60*(1+DA$3))/$AJ60,'Технический лист'!$M:$N,2,1)-VLOOKUP($AO60,'Технический лист'!$M:$N,2,1)),1+(1-$AU60))</f>
        <v>1.05</v>
      </c>
      <c r="DB60" s="15">
        <f>MIN(IF($AU60=100%,1,1+VLOOKUP(($AJ60-$AI60-$AH60-$AG60-$AF60-$AE60*(1+DB$3))/$AJ60,'Технический лист'!$M:$N,2,1)-VLOOKUP($AO60,'Технический лист'!$M:$N,2,1)),1+(1-$AU60))</f>
        <v>1.05</v>
      </c>
      <c r="DC60" s="15">
        <f>MIN(IF($AU60=100%,1,1+VLOOKUP(($AJ60-$AI60-$AH60-$AG60-$AF60-$AE60*(1+DC$3))/$AJ60,'Технический лист'!$M:$N,2,1)-VLOOKUP($AO60,'Технический лист'!$M:$N,2,1)),1+(1-$AU60))</f>
        <v>1.05</v>
      </c>
      <c r="DD60" s="15">
        <f>MIN(IF($AU60=100%,1,1+VLOOKUP(($AJ60-$AI60-$AH60-$AG60-$AF60-$AE60*(1+DD$3))/$AJ60,'Технический лист'!$M:$N,2,1)-VLOOKUP($AO60,'Технический лист'!$M:$N,2,1)),1+(1-$AU60))</f>
        <v>1.05</v>
      </c>
      <c r="DE60" s="15">
        <f>MIN(IF($AU60=100%,1,1+VLOOKUP(($AJ60-$AI60-$AH60-$AG60-$AF60-$AE60*(1+DE$3))/$AJ60,'Технический лист'!$M:$N,2,1)-VLOOKUP($AO60,'Технический лист'!$M:$N,2,1)),1+(1-$AU60))</f>
        <v>1.05</v>
      </c>
      <c r="DF60" s="15">
        <f>MIN(IF($AU60=100%,1,1+VLOOKUP(($AJ60-$AI60-$AH60-$AG60-$AF60-$AE60*(1+DF$3))/$AJ60,'Технический лист'!$M:$N,2,1)-VLOOKUP($AO60,'Технический лист'!$M:$N,2,1)),1+(1-$AU60))</f>
        <v>1.05</v>
      </c>
      <c r="DG60" s="15">
        <f>MIN(IF($AU60=100%,1,1+VLOOKUP(($AJ60-$AI60-$AH60-$AG60-$AF60-$AE60*(1+DG$3))/$AJ60,'Технический лист'!$M:$N,2,1)-VLOOKUP($AO60,'Технический лист'!$M:$N,2,1)),1+(1-$AU60))</f>
        <v>1.05</v>
      </c>
      <c r="DH60" s="15">
        <f>MIN(IF($AU60=100%,1,1+VLOOKUP(($AJ60-$AI60-$AH60-$AG60-$AF60-$AE60*(1+DH$3))/$AJ60,'Технический лист'!$M:$N,2,1)-VLOOKUP($AO60,'Технический лист'!$M:$N,2,1)),1+(1-$AU60))</f>
        <v>1.05</v>
      </c>
      <c r="DI60" s="15">
        <f>MIN(IF($AU60=100%,1,1+VLOOKUP(($AJ60-$AI60-$AH60-$AG60-$AF60-$AE60*(1+DI$3))/$AJ60,'Технический лист'!$M:$N,2,1)-VLOOKUP($AO60,'Технический лист'!$M:$N,2,1)),1+(1-$AU60))</f>
        <v>1.05</v>
      </c>
      <c r="DJ60" s="15">
        <f>MIN(IF($AU60=100%,1,1+VLOOKUP(($AJ60-$AI60-$AH60-$AG60-$AF60-$AE60*(1+DJ$3))/$AJ60,'Технический лист'!$M:$N,2,1)-VLOOKUP($AO60,'Технический лист'!$M:$N,2,1)),1+(1-$AU60))</f>
        <v>1.05</v>
      </c>
      <c r="DK60" s="15">
        <f>MIN(IF($AU60=100%,1,1+VLOOKUP(($AJ60-$AI60-$AH60-$AG60-$AF60-$AE60*(1+DK$3))/$AJ60,'Технический лист'!$M:$N,2,1)-VLOOKUP($AO60,'Технический лист'!$M:$N,2,1)),1+(1-$AU60))</f>
        <v>1.05</v>
      </c>
      <c r="DL60" s="15">
        <f>MIN(IF($AU60=100%,1,1+VLOOKUP(($AJ60-$AI60-$AH60-$AG60-$AF60-$AE60*(1+DL$3))/$AJ60,'Технический лист'!$M:$N,2,1)-VLOOKUP($AO60,'Технический лист'!$M:$N,2,1)),1+(1-$AU60))</f>
        <v>1.05</v>
      </c>
      <c r="DM60" s="15">
        <f>MIN(IF($AU60=100%,1,1+VLOOKUP(($AJ60-$AI60-$AH60-$AG60-$AF60-$AE60*(1+DM$3))/$AJ60,'Технический лист'!$M:$N,2,1)-VLOOKUP($AO60,'Технический лист'!$M:$N,2,1)),1+(1-$AU60))</f>
        <v>1.05</v>
      </c>
      <c r="DN60" s="15">
        <f>MIN(IF($AU60=100%,1,1+VLOOKUP(($AJ60-$AI60-$AH60-$AG60-$AF60-$AE60*(1+DN$3))/$AJ60,'Технический лист'!$M:$N,2,1)-VLOOKUP($AO60,'Технический лист'!$M:$N,2,1)),1+(1-$AU60))</f>
        <v>1.05</v>
      </c>
      <c r="DO60" s="15">
        <f>MIN(IF($AU60=100%,1,1+VLOOKUP(($AJ60-$AI60-$AH60-$AG60-$AF60-$AE60*(1+DO$3))/$AJ60,'Технический лист'!$M:$N,2,1)-VLOOKUP($AO60,'Технический лист'!$M:$N,2,1)),1+(1-$AU60))</f>
        <v>1.05</v>
      </c>
      <c r="DP60" s="15">
        <f>MIN(IF($AU60=100%,1,1+VLOOKUP(($AJ60-$AI60-$AH60-$AG60-$AF60-$AE60*(1+DP$3))/$AJ60,'Технический лист'!$M:$N,2,1)-VLOOKUP($AO60,'Технический лист'!$M:$N,2,1)),1+(1-$AU60))</f>
        <v>1.05</v>
      </c>
      <c r="DQ60" s="15">
        <f>MIN(IF($AU60=100%,1,1+VLOOKUP(($AJ60-$AI60-$AH60-$AG60-$AF60-$AE60*(1+DQ$3))/$AJ60,'Технический лист'!$M:$N,2,1)-VLOOKUP($AO60,'Технический лист'!$M:$N,2,1)),1+(1-$AU60))</f>
        <v>1.05</v>
      </c>
      <c r="DR60" s="15">
        <f>MIN(IF($AU60=100%,1,1+VLOOKUP(($AJ60-$AI60-$AH60-$AG60-$AF60-$AE60*(1+DR$3))/$AJ60,'Технический лист'!$M:$N,2,1)-VLOOKUP($AO60,'Технический лист'!$M:$N,2,1)),1+(1-$AU60))</f>
        <v>1.05</v>
      </c>
      <c r="DS60" s="15">
        <f>MIN(IF($AU60=100%,1,1+VLOOKUP(($AJ60-$AI60-$AH60-$AG60-$AF60-$AE60*(1+DS$3))/$AJ60,'Технический лист'!$M:$N,2,1)-VLOOKUP($AO60,'Технический лист'!$M:$N,2,1)),1+(1-$AU60))</f>
        <v>1.05</v>
      </c>
      <c r="DT60" s="15">
        <f>MIN(IF($AU60=100%,1,1+VLOOKUP(($AJ60-$AI60-$AH60-$AG60-$AF60-$AE60*(1+DT$3))/$AJ60,'Технический лист'!$M:$N,2,1)-VLOOKUP($AO60,'Технический лист'!$M:$N,2,1)),1+(1-$AU60))</f>
        <v>1.05</v>
      </c>
      <c r="DU60" s="15">
        <f>MIN(IF($AU60=100%,1,1+VLOOKUP(($AJ60-$AI60-$AH60-$AG60-$AF60-$AE60*(1+DU$3))/$AJ60,'Технический лист'!$M:$N,2,1)-VLOOKUP($AO60,'Технический лист'!$M:$N,2,1)),1+(1-$AU60))</f>
        <v>1.05</v>
      </c>
      <c r="DV60" s="15">
        <f>MIN(IF($AU60=100%,1,1+VLOOKUP(($AJ60-$AI60-$AH60-$AG60-$AF60-$AE60*(1+DV$3))/$AJ60,'Технический лист'!$M:$N,2,1)-VLOOKUP($AO60,'Технический лист'!$M:$N,2,1)),1+(1-$AU60))</f>
        <v>1.05</v>
      </c>
      <c r="DW60" s="15">
        <f>MIN(IF($AU60=100%,1,1+VLOOKUP(($AJ60-$AI60-$AH60-$AG60-$AF60-$AE60*(1+DW$3))/$AJ60,'Технический лист'!$M:$N,2,1)-VLOOKUP($AO60,'Технический лист'!$M:$N,2,1)),1+(1-$AU60))</f>
        <v>1.05</v>
      </c>
      <c r="DX60" s="15">
        <f>MIN(IF($AU60=100%,1,1+VLOOKUP(($AJ60-$AI60-$AH60-$AG60-$AF60-$AE60*(1+DX$3))/$AJ60,'Технический лист'!$M:$N,2,1)-VLOOKUP($AO60,'Технический лист'!$M:$N,2,1)),1+(1-$AU60))</f>
        <v>1.05</v>
      </c>
      <c r="DY60" s="15">
        <f>MIN(IF($AU60=100%,1,1+VLOOKUP(($AJ60-$AI60-$AH60-$AG60-$AF60-$AE60*(1+DY$3))/$AJ60,'Технический лист'!$M:$N,2,1)-VLOOKUP($AO60,'Технический лист'!$M:$N,2,1)),1+(1-$AU60))</f>
        <v>1.05</v>
      </c>
      <c r="DZ60" s="15">
        <f>MIN(IF($AU60=100%,1,1+VLOOKUP(($AJ60-$AI60-$AH60-$AG60-$AF60-$AE60*(1+DZ$3))/$AJ60,'Технический лист'!$M:$N,2,1)-VLOOKUP($AO60,'Технический лист'!$M:$N,2,1)),1+(1-$AU60))</f>
        <v>1.05</v>
      </c>
      <c r="EA60" s="15">
        <f>MIN(IF($AU60=100%,1,1+VLOOKUP(($AJ60-$AI60-$AH60-$AG60-$AF60-$AE60*(1+EA$3))/$AJ60,'Технический лист'!$M:$N,2,1)-VLOOKUP($AO60,'Технический лист'!$M:$N,2,1)),1+(1-$AU60))</f>
        <v>1.05</v>
      </c>
      <c r="EB60" s="15">
        <f>MIN(IF($AU60=100%,1,1+VLOOKUP(($AJ60-$AI60-$AH60-$AG60-$AF60-$AE60*(1+EB$3))/$AJ60,'Технический лист'!$M:$N,2,1)-VLOOKUP($AO60,'Технический лист'!$M:$N,2,1)),1+(1-$AU60))</f>
        <v>1.05</v>
      </c>
      <c r="EC60" s="15">
        <f>MIN(IF($AU60=100%,1,1+VLOOKUP(($AJ60-$AI60-$AH60-$AG60-$AF60-$AE60*(1+EC$3))/$AJ60,'Технический лист'!$M:$N,2,1)-VLOOKUP($AO60,'Технический лист'!$M:$N,2,1)),1+(1-$AU60))</f>
        <v>1.05</v>
      </c>
      <c r="ED60" s="15">
        <f>MIN(IF($AU60=100%,1,1+VLOOKUP(($AJ60-$AI60-$AH60-$AG60-$AF60-$AE60*(1+ED$3))/$AJ60,'Технический лист'!$M:$N,2,1)-VLOOKUP($AO60,'Технический лист'!$M:$N,2,1)),1+(1-$AU60))</f>
        <v>1.05</v>
      </c>
      <c r="EE60" s="15">
        <f>MIN(IF($AU60=100%,1,1+VLOOKUP(($AJ60-$AI60-$AH60-$AG60-$AF60-$AE60*(1+EE$3))/$AJ60,'Технический лист'!$M:$N,2,1)-VLOOKUP($AO60,'Технический лист'!$M:$N,2,1)),1+(1-$AU60))</f>
        <v>1.05</v>
      </c>
      <c r="EF60" s="15">
        <f>MIN(IF($AU60=100%,1,1+VLOOKUP(($AJ60-$AI60-$AH60-$AG60-$AF60-$AE60*(1+EF$3))/$AJ60,'Технический лист'!$M:$N,2,1)-VLOOKUP($AO60,'Технический лист'!$M:$N,2,1)),1+(1-$AU60))</f>
        <v>1.05</v>
      </c>
      <c r="EG60" s="15">
        <f>MIN(IF($AU60=100%,1,1+VLOOKUP(($AJ60-$AI60-$AH60-$AG60-$AF60-$AE60*(1+EG$3))/$AJ60,'Технический лист'!$M:$N,2,1)-VLOOKUP($AO60,'Технический лист'!$M:$N,2,1)),1+(1-$AU60))</f>
        <v>1.05</v>
      </c>
      <c r="EH60" s="15">
        <f>MIN(IF($AU60=100%,1,1+VLOOKUP(($AJ60-$AI60-$AH60-$AG60-$AF60-$AE60*(1+EH$3))/$AJ60,'Технический лист'!$M:$N,2,1)-VLOOKUP($AO60,'Технический лист'!$M:$N,2,1)),1+(1-$AU60))</f>
        <v>1.05</v>
      </c>
      <c r="EI60" s="15">
        <f>MIN(IF($AU60=100%,1,1+VLOOKUP(($AJ60-$AI60-$AH60-$AG60-$AF60-$AE60*(1+EI$3))/$AJ60,'Технический лист'!$M:$N,2,1)-VLOOKUP($AO60,'Технический лист'!$M:$N,2,1)),1+(1-$AU60))</f>
        <v>1.0499999999999998</v>
      </c>
      <c r="EJ60" s="15">
        <f>MIN(IF($AU60=100%,1,1+VLOOKUP(($AJ60-$AI60-$AH60-$AG60-$AF60-$AE60*(1+EJ$3))/$AJ60,'Технический лист'!$M:$N,2,1)-VLOOKUP($AO60,'Технический лист'!$M:$N,2,1)),1+(1-$AU60))</f>
        <v>1.0499999999999998</v>
      </c>
      <c r="EK60" s="15">
        <f>MIN(IF($AU60=100%,1,1+VLOOKUP(($AJ60-$AI60-$AH60-$AG60-$AF60-$AE60*(1+EK$3))/$AJ60,'Технический лист'!$M:$N,2,1)-VLOOKUP($AO60,'Технический лист'!$M:$N,2,1)),1+(1-$AU60))</f>
        <v>1.0499999999999998</v>
      </c>
      <c r="EL60" s="15">
        <f>MIN(IF($AU60=100%,1,1+VLOOKUP(($AJ60-$AI60-$AH60-$AG60-$AF60-$AE60*(1+EL$3))/$AJ60,'Технический лист'!$M:$N,2,1)-VLOOKUP($AO60,'Технический лист'!$M:$N,2,1)),1+(1-$AU60))</f>
        <v>1.04</v>
      </c>
      <c r="EM60" s="15">
        <f>MIN(IF($AU60=100%,1,1+VLOOKUP(($AJ60-$AI60-$AH60-$AG60-$AF60-$AE60*(1+EM$3))/$AJ60,'Технический лист'!$M:$N,2,1)-VLOOKUP($AO60,'Технический лист'!$M:$N,2,1)),1+(1-$AU60))</f>
        <v>1.04</v>
      </c>
      <c r="EN60" s="15">
        <f>MIN(IF($AU60=100%,1,1+VLOOKUP(($AJ60-$AI60-$AH60-$AG60-$AF60-$AE60*(1+EN$3))/$AJ60,'Технический лист'!$M:$N,2,1)-VLOOKUP($AO60,'Технический лист'!$M:$N,2,1)),1+(1-$AU60))</f>
        <v>1.0299999999999998</v>
      </c>
      <c r="EO60" s="15">
        <f>MIN(IF($AU60=100%,1,1+VLOOKUP(($AJ60-$AI60-$AH60-$AG60-$AF60-$AE60*(1+EO$3))/$AJ60,'Технический лист'!$M:$N,2,1)-VLOOKUP($AO60,'Технический лист'!$M:$N,2,1)),1+(1-$AU60))</f>
        <v>1.0299999999999998</v>
      </c>
      <c r="EP60" s="15">
        <f>MIN(IF($AU60=100%,1,1+VLOOKUP(($AJ60-$AI60-$AH60-$AG60-$AF60-$AE60*(1+EP$3))/$AJ60,'Технический лист'!$M:$N,2,1)-VLOOKUP($AO60,'Технический лист'!$M:$N,2,1)),1+(1-$AU60))</f>
        <v>1.0299999999999998</v>
      </c>
      <c r="EQ60" s="15">
        <f>MIN(IF($AU60=100%,1,1+VLOOKUP(($AJ60-$AI60-$AH60-$AG60-$AF60-$AE60*(1+EQ$3))/$AJ60,'Технический лист'!$M:$N,2,1)-VLOOKUP($AO60,'Технический лист'!$M:$N,2,1)),1+(1-$AU60))</f>
        <v>1.0150000000000001</v>
      </c>
      <c r="ER60" s="15">
        <f>MIN(IF($AU60=100%,1,1+VLOOKUP(($AJ60-$AI60-$AH60-$AG60-$AF60-$AE60*(1+ER$3))/$AJ60,'Технический лист'!$M:$N,2,1)-VLOOKUP($AO60,'Технический лист'!$M:$N,2,1)),1+(1-$AU60))</f>
        <v>1.0150000000000001</v>
      </c>
      <c r="ES60" s="15">
        <f>MIN(IF($AU60=100%,1,1+VLOOKUP(($AJ60-$AI60-$AH60-$AG60-$AF60-$AE60*(1+ES$3))/$AJ60,'Технический лист'!$M:$N,2,1)-VLOOKUP($AO60,'Технический лист'!$M:$N,2,1)),1+(1-$AU60))</f>
        <v>1.0150000000000001</v>
      </c>
      <c r="ET60" s="15">
        <f>MIN(IF($AU60=100%,1,1+VLOOKUP(($AJ60-$AI60-$AH60-$AG60-$AF60-$AE60*(1+ET$3))/$AJ60,'Технический лист'!$M:$N,2,1)-VLOOKUP($AO60,'Технический лист'!$M:$N,2,1)),1+(1-$AU60))</f>
        <v>1</v>
      </c>
      <c r="EU60" s="15">
        <f>MIN(IF($AU60=100%,1,1+VLOOKUP(($AJ60-$AI60-$AH60-$AG60-$AF60-$AE60*(1+EU$3))/$AJ60,'Технический лист'!$M:$N,2,1)-VLOOKUP($AO60,'Технический лист'!$M:$N,2,1)),1+(1-$AU60))</f>
        <v>1</v>
      </c>
      <c r="EV60" s="111">
        <v>1</v>
      </c>
      <c r="EW60" s="15">
        <f>MIN(1,MAX(VLOOKUP(($AJ60-$AI60-$AH60-$AG60-$AF60-$AE60*(1+EW$3))/$AJ60,'Технический лист'!$M:$N,2,1),(EV60-0.05)))</f>
        <v>0.95</v>
      </c>
      <c r="EX60" s="15">
        <f>MIN(1,MAX(VLOOKUP(($AJ60-$AI60-$AH60-$AG60-$AF60-$AE60*(1+EX$3))/$AJ60,'Технический лист'!$M:$N,2,1),(EW60-0.05)))</f>
        <v>0.89999999999999991</v>
      </c>
      <c r="EY60" s="15">
        <f>MIN(1,MAX(VLOOKUP(($AJ60-$AI60-$AH60-$AG60-$AF60-$AE60*(1+EY$3))/$AJ60,'Технический лист'!$M:$N,2,1),(EX60-0.05)))</f>
        <v>0.85499999999999998</v>
      </c>
      <c r="EZ60" s="15">
        <f>MIN(1,MAX(VLOOKUP(($AJ60-$AI60-$AH60-$AG60-$AF60-$AE60*(1+EZ$3))/$AJ60,'Технический лист'!$M:$N,2,1),(EY60-0.05)))</f>
        <v>0.84</v>
      </c>
      <c r="FA60" s="15">
        <f>MIN(1,MAX(VLOOKUP(($AJ60-$AI60-$AH60-$AG60-$AF60-$AE60*(1+FA$3))/$AJ60,'Технический лист'!$M:$N,2,1),(EZ60-0.05)))</f>
        <v>0.84</v>
      </c>
      <c r="FB60" s="15">
        <f>MIN(1,MAX(VLOOKUP(($AJ60-$AI60-$AH60-$AG60-$AF60-$AE60*(1+FB$3))/$AJ60,'Технический лист'!$M:$N,2,1),(FA60-0.05)))</f>
        <v>0.84</v>
      </c>
      <c r="FC60" s="15">
        <f>MIN(1,MAX(VLOOKUP(($AJ60-$AI60-$AH60-$AG60-$AF60-$AE60*(1+FC$3))/$AJ60,'Технический лист'!$M:$N,2,1),(FB60-0.05)))</f>
        <v>0.82499999999999996</v>
      </c>
      <c r="FD60" s="15">
        <f>MIN(1,MAX(VLOOKUP(($AJ60-$AI60-$AH60-$AG60-$AF60-$AE60*(1+FD$3))/$AJ60,'Технический лист'!$M:$N,2,1),(FC60-0.05)))</f>
        <v>0.82499999999999996</v>
      </c>
      <c r="FE60" s="15">
        <f>MIN(1,MAX(VLOOKUP(($AJ60-$AI60-$AH60-$AG60-$AF60-$AE60*(1+FE$3))/$AJ60,'Технический лист'!$M:$N,2,1),(FD60-0.05)))</f>
        <v>0.82499999999999996</v>
      </c>
      <c r="FF60" s="15">
        <f>MIN(1,MAX(VLOOKUP(($AJ60-$AI60-$AH60-$AG60-$AF60-$AE60*(1+FF$3))/$AJ60,'Технический лист'!$M:$N,2,1),(FE60-0.05)))</f>
        <v>0.81</v>
      </c>
      <c r="FG60" s="15">
        <f>MIN(1,MAX(VLOOKUP(($AJ60-$AI60-$AH60-$AG60-$AF60-$AE60*(1+FG$3))/$AJ60,'Технический лист'!$M:$N,2,1),(FF60-0.05)))</f>
        <v>0.81</v>
      </c>
      <c r="FH60" s="15">
        <f>MIN(1,MAX(VLOOKUP(($AJ60-$AI60-$AH60-$AG60-$AF60-$AE60*(1+FH$3))/$AJ60,'Технический лист'!$M:$N,2,1),(FG60-0.05)))</f>
        <v>0.81</v>
      </c>
      <c r="FI60" s="15">
        <f>MIN(1,MAX(VLOOKUP(($AJ60-$AI60-$AH60-$AG60-$AF60-$AE60*(1+FI$3))/$AJ60,'Технический лист'!$M:$N,2,1),(FH60-0.05)))</f>
        <v>0.79</v>
      </c>
      <c r="FJ60" s="15">
        <f>MIN(1,MAX(VLOOKUP(($AJ60-$AI60-$AH60-$AG60-$AF60-$AE60*(1+FJ$3))/$AJ60,'Технический лист'!$M:$N,2,1),(FI60-0.05)))</f>
        <v>0.79</v>
      </c>
      <c r="FK60" s="15">
        <f>MIN(1,MAX(VLOOKUP(($AJ60-$AI60-$AH60-$AG60-$AF60-$AE60*(1+FK$3))/$AJ60,'Технический лист'!$M:$N,2,1),(FJ60-0.05)))</f>
        <v>0.79</v>
      </c>
      <c r="FL60" s="15">
        <f>MIN(1,MAX(VLOOKUP(($AJ60-$AI60-$AH60-$AG60-$AF60-$AE60*(1+FL$3))/$AJ60,'Технический лист'!$M:$N,2,1),(FK60-0.05)))</f>
        <v>0.77</v>
      </c>
      <c r="FM60" s="15">
        <f>MIN(1,MAX(VLOOKUP(($AJ60-$AI60-$AH60-$AG60-$AF60-$AE60*(1+FM$3))/$AJ60,'Технический лист'!$M:$N,2,1),(FL60-0.05)))</f>
        <v>0.77</v>
      </c>
      <c r="FN60" s="15">
        <f>MIN(1,MAX(VLOOKUP(($AJ60-$AI60-$AH60-$AG60-$AF60-$AE60*(1+FN$3))/$AJ60,'Технический лист'!$M:$N,2,1),(FM60-0.05)))</f>
        <v>0.77</v>
      </c>
      <c r="FO60" s="15">
        <f>MIN(1,MAX(VLOOKUP(($AJ60-$AI60-$AH60-$AG60-$AF60-$AE60*(1+FO$3))/$AJ60,'Технический лист'!$M:$N,2,1),(FN60-0.05)))</f>
        <v>0.75</v>
      </c>
      <c r="FP60" s="15">
        <f>MIN(1,MAX(VLOOKUP(($AJ60-$AI60-$AH60-$AG60-$AF60-$AE60*(1+FP$3))/$AJ60,'Технический лист'!$M:$N,2,1),(FO60-0.05)))</f>
        <v>0.75</v>
      </c>
      <c r="FQ60" s="15">
        <f>MIN(1,MAX(VLOOKUP(($AJ60-$AI60-$AH60-$AG60-$AF60-$AE60*(1+FQ$3))/$AJ60,'Технический лист'!$M:$N,2,1),(FP60-0.05)))</f>
        <v>0.73</v>
      </c>
      <c r="FR60" s="15">
        <f>MIN(1,MAX(VLOOKUP(($AJ60-$AI60-$AH60-$AG60-$AF60-$AE60*(1+FR$3))/$AJ60,'Технический лист'!$M:$N,2,1),(FQ60-0.05)))</f>
        <v>0.73</v>
      </c>
      <c r="FS60" s="15">
        <f>MIN(1,MAX(VLOOKUP(($AJ60-$AI60-$AH60-$AG60-$AF60-$AE60*(1+FS$3))/$AJ60,'Технический лист'!$M:$N,2,1),(FR60-0.05)))</f>
        <v>0.73</v>
      </c>
      <c r="FT60" s="15">
        <f>MIN(1,MAX(VLOOKUP(($AJ60-$AI60-$AH60-$AG60-$AF60-$AE60*(1+FT$3))/$AJ60,'Технический лист'!$M:$N,2,1),(FS60-0.05)))</f>
        <v>0.71</v>
      </c>
      <c r="FU60" s="15">
        <f>MIN(1,MAX(VLOOKUP(($AJ60-$AI60-$AH60-$AG60-$AF60-$AE60*(1+FU$3))/$AJ60,'Технический лист'!$M:$N,2,1),(FT60-0.05)))</f>
        <v>0.71</v>
      </c>
      <c r="FV60" s="15">
        <f>MIN(1,MAX(VLOOKUP(($AJ60-$AI60-$AH60-$AG60-$AF60-$AE60*(1+FV$3))/$AJ60,'Технический лист'!$M:$N,2,1),(FU60-0.05)))</f>
        <v>0.71</v>
      </c>
      <c r="FW60" s="15">
        <f>MIN(1,MAX(VLOOKUP(($AJ60-$AI60-$AH60-$AG60-$AF60-$AE60*(1+FW$3))/$AJ60,'Технический лист'!$M:$N,2,1),(FV60-0.05)))</f>
        <v>0.68500000000000005</v>
      </c>
      <c r="FX60" s="15">
        <f>MIN(1,MAX(VLOOKUP(($AJ60-$AI60-$AH60-$AG60-$AF60-$AE60*(1+FX$3))/$AJ60,'Технический лист'!$M:$N,2,1),(FW60-0.05)))</f>
        <v>0.68500000000000005</v>
      </c>
      <c r="FY60" s="15">
        <f>MIN(1,MAX(VLOOKUP(($AJ60-$AI60-$AH60-$AG60-$AF60-$AE60*(1+FY$3))/$AJ60,'Технический лист'!$M:$N,2,1),(FX60-0.05)))</f>
        <v>0.68500000000000005</v>
      </c>
      <c r="FZ60" s="15">
        <f>MIN(1,MAX(VLOOKUP(($AJ60-$AI60-$AH60-$AG60-$AF60-$AE60*(1+FZ$3))/$AJ60,'Технический лист'!$M:$N,2,1),(FY60-0.05)))</f>
        <v>0.66</v>
      </c>
      <c r="GA60" s="15">
        <f>MIN(1,MAX(VLOOKUP(($AJ60-$AI60-$AH60-$AG60-$AF60-$AE60*(1+GA$3))/$AJ60,'Технический лист'!$M:$N,2,1),(FZ60-0.05)))</f>
        <v>0.66</v>
      </c>
      <c r="GB60" s="15">
        <f>MIN(1,MAX(VLOOKUP(($AJ60-$AI60-$AH60-$AG60-$AF60-$AE60*(1+GB$3))/$AJ60,'Технический лист'!$M:$N,2,1),(GA60-0.05)))</f>
        <v>0.66</v>
      </c>
      <c r="GC60" s="15">
        <f>MIN(1,MAX(VLOOKUP(($AJ60-$AI60-$AH60-$AG60-$AF60-$AE60*(1+GC$3))/$AJ60,'Технический лист'!$M:$N,2,1),(GB60-0.05)))</f>
        <v>0.63500000000000001</v>
      </c>
      <c r="GD60" s="15">
        <f>MIN(1,MAX(VLOOKUP(($AJ60-$AI60-$AH60-$AG60-$AF60-$AE60*(1+GD$3))/$AJ60,'Технический лист'!$M:$N,2,1),(GC60-0.05)))</f>
        <v>0.63500000000000001</v>
      </c>
      <c r="GE60" s="15">
        <f>MIN(1,MAX(VLOOKUP(($AJ60-$AI60-$AH60-$AG60-$AF60-$AE60*(1+GE$3))/$AJ60,'Технический лист'!$M:$N,2,1),(GD60-0.05)))</f>
        <v>0.63500000000000001</v>
      </c>
      <c r="GF60" s="15">
        <f>MIN(1,MAX(VLOOKUP(($AJ60-$AI60-$AH60-$AG60-$AF60-$AE60*(1+GF$3))/$AJ60,'Технический лист'!$M:$N,2,1),(GE60-0.05)))</f>
        <v>0.61</v>
      </c>
      <c r="GG60" s="15">
        <f>MIN(1,MAX(VLOOKUP(($AJ60-$AI60-$AH60-$AG60-$AF60-$AE60*(1+GG$3))/$AJ60,'Технический лист'!$M:$N,2,1),(GF60-0.05)))</f>
        <v>0.61</v>
      </c>
      <c r="GH60" s="15">
        <f>MIN(1,MAX(VLOOKUP(($AJ60-$AI60-$AH60-$AG60-$AF60-$AE60*(1+GH$3))/$AJ60,'Технический лист'!$M:$N,2,1),(GG60-0.05)))</f>
        <v>0.61</v>
      </c>
      <c r="GI60" s="15">
        <f>MIN(1,MAX(VLOOKUP(($AJ60-$AI60-$AH60-$AG60-$AF60-$AE60*(1+GI$3))/$AJ60,'Технический лист'!$M:$N,2,1),(GH60-0.05)))</f>
        <v>0.57999999999999996</v>
      </c>
      <c r="GJ60" s="15">
        <f>MIN(1,MAX(VLOOKUP(($AJ60-$AI60-$AH60-$AG60-$AF60-$AE60*(1+GJ$3))/$AJ60,'Технический лист'!$M:$N,2,1),(GI60-0.05)))</f>
        <v>0.57999999999999996</v>
      </c>
      <c r="GK60" s="15">
        <f>MIN(1,MAX(VLOOKUP(($AJ60-$AI60-$AH60-$AG60-$AF60-$AE60*(1+GK$3))/$AJ60,'Технический лист'!$M:$N,2,1),(GJ60-0.05)))</f>
        <v>0.57999999999999996</v>
      </c>
      <c r="GL60" s="15">
        <f>MIN(1,MAX(VLOOKUP(($AJ60-$AI60-$AH60-$AG60-$AF60-$AE60*(1+GL$3))/$AJ60,'Технический лист'!$M:$N,2,1),(GK60-0.05)))</f>
        <v>0.55000000000000004</v>
      </c>
      <c r="GM60" s="15">
        <f>MIN(1,MAX(VLOOKUP(($AJ60-$AI60-$AH60-$AG60-$AF60-$AE60*(1+GM$3))/$AJ60,'Технический лист'!$M:$N,2,1),(GL60-0.05)))</f>
        <v>0.55000000000000004</v>
      </c>
      <c r="GN60" s="15">
        <f>MIN(1,MAX(VLOOKUP(($AJ60-$AI60-$AH60-$AG60-$AF60-$AE60*(1+GN$3))/$AJ60,'Технический лист'!$M:$N,2,1),(GM60-0.05)))</f>
        <v>0.55000000000000004</v>
      </c>
      <c r="GO60" s="15">
        <f>MIN(1,MAX(VLOOKUP(($AJ60-$AI60-$AH60-$AG60-$AF60-$AE60*(1+GO$3))/$AJ60,'Технический лист'!$M:$N,2,1),(GN60-0.05)))</f>
        <v>0.52</v>
      </c>
      <c r="GP60" s="15">
        <f>MIN(1,MAX(VLOOKUP(($AJ60-$AI60-$AH60-$AG60-$AF60-$AE60*(1+GP$3))/$AJ60,'Технический лист'!$M:$N,2,1),(GO60-0.05)))</f>
        <v>0.52</v>
      </c>
      <c r="GQ60" s="15">
        <f>MIN(1,MAX(VLOOKUP(($AJ60-$AI60-$AH60-$AG60-$AF60-$AE60*(1+GQ$3))/$AJ60,'Технический лист'!$M:$N,2,1),(GP60-0.05)))</f>
        <v>0.49</v>
      </c>
      <c r="GR60" s="15">
        <f>MIN(1,MAX(VLOOKUP(($AJ60-$AI60-$AH60-$AG60-$AF60-$AE60*(1+GR$3))/$AJ60,'Технический лист'!$M:$N,2,1),(GQ60-0.05)))</f>
        <v>0.49</v>
      </c>
      <c r="GS60" s="15">
        <f>MIN(1,MAX(VLOOKUP(($AJ60-$AI60-$AH60-$AG60-$AF60-$AE60*(1+GS$3))/$AJ60,'Технический лист'!$M:$N,2,1),(GR60-0.05)))</f>
        <v>0.49</v>
      </c>
      <c r="GT60" s="15">
        <f>MIN(1,MAX(VLOOKUP(($AJ60-$AI60-$AH60-$AG60-$AF60-$AE60*(1+GT$3))/$AJ60,'Технический лист'!$M:$N,2,1),(GS60-0.05)))</f>
        <v>0.46</v>
      </c>
      <c r="GU60" s="15">
        <f>MIN(1,MAX(VLOOKUP(($AJ60-$AI60-$AH60-$AG60-$AF60-$AE60*(1+GU$3))/$AJ60,'Технический лист'!$M:$N,2,1),(GT60-0.05)))</f>
        <v>0.46</v>
      </c>
      <c r="GV60" s="15">
        <f>MIN(1,MAX(VLOOKUP(($AJ60-$AI60-$AH60-$AG60-$AF60-$AE60*(1+GV$3))/$AJ60,'Технический лист'!$M:$N,2,1),(GU60-0.05)))</f>
        <v>0.46</v>
      </c>
      <c r="GW60" s="15">
        <f>MIN(1,MAX(VLOOKUP(($AJ60-$AI60-$AH60-$AG60-$AF60-$AE60*(1+GW$3))/$AJ60,'Технический лист'!$M:$N,2,1),(GV60-0.05)))</f>
        <v>0.42499999999999999</v>
      </c>
      <c r="GX60" s="15">
        <f>MIN(1,MAX(VLOOKUP(($AJ60-$AI60-$AH60-$AG60-$AF60-$AE60*(1+GX$3))/$AJ60,'Технический лист'!$M:$N,2,1),(GW60-0.05)))</f>
        <v>0.42499999999999999</v>
      </c>
      <c r="GY60" s="15">
        <f>MIN(1,MAX(VLOOKUP(($AJ60-$AI60-$AH60-$AG60-$AF60-$AE60*(1+GY$3))/$AJ60,'Технический лист'!$M:$N,2,1),(GX60-0.05)))</f>
        <v>0.42499999999999999</v>
      </c>
      <c r="GZ60" s="15">
        <f>MIN(1,MAX(VLOOKUP(($AJ60-$AI60-$AH60-$AG60-$AF60-$AE60*(1+GZ$3))/$AJ60,'Технический лист'!$M:$N,2,1),(GY60-0.05)))</f>
        <v>0.39</v>
      </c>
      <c r="HA60" s="15">
        <f>MIN(1,MAX(VLOOKUP(($AJ60-$AI60-$AH60-$AG60-$AF60-$AE60*(1+HA$3))/$AJ60,'Технический лист'!$M:$N,2,1),(GZ60-0.05)))</f>
        <v>0.39</v>
      </c>
      <c r="HB60" s="15">
        <f>MIN(1,MAX(VLOOKUP(($AJ60-$AI60-$AH60-$AG60-$AF60-$AE60*(1+HB$3))/$AJ60,'Технический лист'!$M:$N,2,1),(HA60-0.05)))</f>
        <v>0.39</v>
      </c>
      <c r="HC60" s="15">
        <f>MIN(1,MAX(VLOOKUP(($AJ60-$AI60-$AH60-$AG60-$AF60-$AE60*(1+HC$3))/$AJ60,'Технический лист'!$M:$N,2,1),(HB60-0.05)))</f>
        <v>0.35499999999999998</v>
      </c>
      <c r="HD60" s="15">
        <f>MIN(1,MAX(VLOOKUP(($AJ60-$AI60-$AH60-$AG60-$AF60-$AE60*(1+HD$3))/$AJ60,'Технический лист'!$M:$N,2,1),(HC60-0.05)))</f>
        <v>0.35499999999999998</v>
      </c>
      <c r="HE60" s="15">
        <f>MIN(1,MAX(VLOOKUP(($AJ60-$AI60-$AH60-$AG60-$AF60-$AE60*(1+HE$3))/$AJ60,'Технический лист'!$M:$N,2,1),(HD60-0.05)))</f>
        <v>0.35499999999999998</v>
      </c>
      <c r="HF60" s="15">
        <f>MIN(1,MAX(VLOOKUP(($AJ60-$AI60-$AH60-$AG60-$AF60-$AE60*(1+HF$3))/$AJ60,'Технический лист'!$M:$N,2,1),(HE60-0.05)))</f>
        <v>0.32</v>
      </c>
      <c r="HG60" s="15">
        <f>MIN(1,MAX(VLOOKUP(($AJ60-$AI60-$AH60-$AG60-$AF60-$AE60*(1+HG$3))/$AJ60,'Технический лист'!$M:$N,2,1),(HF60-0.05)))</f>
        <v>0.32</v>
      </c>
      <c r="HH60" s="15">
        <f>MIN(1,MAX(VLOOKUP(($AJ60-$AI60-$AH60-$AG60-$AF60-$AE60*(1+HH$3))/$AJ60,'Технический лист'!$M:$N,2,1),(HG60-0.05)))</f>
        <v>0.32</v>
      </c>
      <c r="HI60" s="15">
        <f>MIN(1,MAX(VLOOKUP(($AJ60-$AI60-$AH60-$AG60-$AF60-$AE60*(1+HI$3))/$AJ60,'Технический лист'!$M:$N,2,1),(HH60-0.05)))</f>
        <v>0.28000000000000003</v>
      </c>
      <c r="HJ60" s="15">
        <f>MIN(1,MAX(VLOOKUP(($AJ60-$AI60-$AH60-$AG60-$AF60-$AE60*(1+HJ$3))/$AJ60,'Технический лист'!$M:$N,2,1),(HI60-0.05)))</f>
        <v>0.28000000000000003</v>
      </c>
      <c r="HK60" s="15">
        <f>MIN(1,MAX(VLOOKUP(($AJ60-$AI60-$AH60-$AG60-$AF60-$AE60*(1+HK$3))/$AJ60,'Технический лист'!$M:$N,2,1),(HJ60-0.05)))</f>
        <v>0.28000000000000003</v>
      </c>
      <c r="HL60" s="15">
        <f>MIN(1,MAX(VLOOKUP(($AJ60-$AI60-$AH60-$AG60-$AF60-$AE60*(1+HL$3))/$AJ60,'Технический лист'!$M:$N,2,1),(HK60-0.05)))</f>
        <v>0.24</v>
      </c>
      <c r="HM60" s="15">
        <f>MIN(1,MAX(VLOOKUP(($AJ60-$AI60-$AH60-$AG60-$AF60-$AE60*(1+HM$3))/$AJ60,'Технический лист'!$M:$N,2,1),(HL60-0.05)))</f>
        <v>0.24</v>
      </c>
      <c r="HN60" s="15">
        <f>MIN(1,MAX(VLOOKUP(($AJ60-$AI60-$AH60-$AG60-$AF60-$AE60*(1+HN$3))/$AJ60,'Технический лист'!$M:$N,2,1),(HM60-0.05)))</f>
        <v>0.24</v>
      </c>
      <c r="HO60" s="15">
        <f>MIN(1,MAX(VLOOKUP(($AJ60-$AI60-$AH60-$AG60-$AF60-$AE60*(1+HO$3))/$AJ60,'Технический лист'!$M:$N,2,1),(HN60-0.05)))</f>
        <v>0.2</v>
      </c>
      <c r="HP60" s="15">
        <f>MIN(1,MAX(VLOOKUP(($AJ60-$AI60-$AH60-$AG60-$AF60-$AE60*(1+HP$3))/$AJ60,'Технический лист'!$M:$N,2,1),(HO60-0.05)))</f>
        <v>0.2</v>
      </c>
      <c r="HQ60" s="15">
        <f>MIN(1,MAX(VLOOKUP(($AJ60-$AI60-$AH60-$AG60-$AF60-$AE60*(1+HQ$3))/$AJ60,'Технический лист'!$M:$N,2,1),(HP60-0.05)))</f>
        <v>0.2</v>
      </c>
      <c r="HR60" s="15">
        <f>MIN(1,MAX(VLOOKUP(($AJ60-$AI60-$AH60-$AG60-$AF60-$AE60*(1+HR$3))/$AJ60,'Технический лист'!$M:$N,2,1),(HQ60-0.05)))</f>
        <v>0.155</v>
      </c>
      <c r="HS60" s="15">
        <f>MIN(1,MAX(VLOOKUP(($AJ60-$AI60-$AH60-$AG60-$AF60-$AE60*(1+HS$3))/$AJ60,'Технический лист'!$M:$N,2,1),(HR60-0.05)))</f>
        <v>0.155</v>
      </c>
      <c r="HT60" s="15">
        <f>MIN(1,MAX(VLOOKUP(($AJ60-$AI60-$AH60-$AG60-$AF60-$AE60*(1+HT$3))/$AJ60,'Технический лист'!$M:$N,2,1),(HS60-0.05)))</f>
        <v>0.11</v>
      </c>
      <c r="HU60" s="15">
        <f>MIN(1,MAX(VLOOKUP(($AJ60-$AI60-$AH60-$AG60-$AF60-$AE60*(1+HU$3))/$AJ60,'Технический лист'!$M:$N,2,1),(HT60-0.05)))</f>
        <v>0.11</v>
      </c>
      <c r="HV60" s="15">
        <f>MIN(1,MAX(VLOOKUP(($AJ60-$AI60-$AH60-$AG60-$AF60-$AE60*(1+HV$3))/$AJ60,'Технический лист'!$M:$N,2,1),(HU60-0.05)))</f>
        <v>0.11</v>
      </c>
      <c r="HW60" s="15">
        <f>MIN(1,MAX(VLOOKUP(($AJ60-$AI60-$AH60-$AG60-$AF60-$AE60*(1+HW$3))/$AJ60,'Технический лист'!$M:$N,2,1),(HV60-0.05)))</f>
        <v>0.06</v>
      </c>
      <c r="HX60" s="15">
        <f>MIN(1,MAX(VLOOKUP(($AJ60-$AI60-$AH60-$AG60-$AF60-$AE60*(1+HX$3))/$AJ60,'Технический лист'!$M:$N,2,1),(HW60-0.05)))</f>
        <v>0.06</v>
      </c>
      <c r="HY60" s="15">
        <f>MIN(1,MAX(VLOOKUP(($AJ60-$AI60-$AH60-$AG60-$AF60-$AE60*(1+HY$3))/$AJ60,'Технический лист'!$M:$N,2,1),(HX60-0.05)))</f>
        <v>0.06</v>
      </c>
      <c r="HZ60" s="15">
        <f>MIN(1,MAX(VLOOKUP(($AJ60-$AI60-$AH60-$AG60-$AF60-$AE60*(1+HZ$3))/$AJ60,'Технический лист'!$M:$N,2,1),(HY60-0.05)))</f>
        <v>9.999999999999995E-3</v>
      </c>
      <c r="IA60" s="15">
        <f>MIN(1,MAX(VLOOKUP(($AJ60-$AI60-$AH60-$AG60-$AF60-$AE60*(1+IA$3))/$AJ60,'Технический лист'!$M:$N,2,1),(HZ60-0.05)))</f>
        <v>0</v>
      </c>
      <c r="IB60" s="15">
        <f>MIN(1,MAX(VLOOKUP(($AJ60-$AI60-$AH60-$AG60-$AF60-$AE60*(1+IB$3))/$AJ60,'Технический лист'!$M:$N,2,1),(IA60-0.05)))</f>
        <v>0</v>
      </c>
      <c r="IC60" s="15">
        <f>MIN(1,MAX(VLOOKUP(($AJ60-$AI60-$AH60-$AG60-$AF60-$AE60*(1+IC$3))/$AJ60,'Технический лист'!$M:$N,2,1),(IB60-0.05)))</f>
        <v>0</v>
      </c>
      <c r="ID60" s="15">
        <f>MIN(1,MAX(VLOOKUP(($AJ60-$AI60-$AH60-$AG60-$AF60-$AE60*(1+ID$3))/$AJ60,'Технический лист'!$M:$N,2,1),(IC60-0.05)))</f>
        <v>0</v>
      </c>
      <c r="IE60" s="15">
        <f>MIN(1,MAX(VLOOKUP(($AJ60-$AI60-$AH60-$AG60-$AF60-$AE60*(1+IE$3))/$AJ60,'Технический лист'!$M:$N,2,1),(ID60-0.05)))</f>
        <v>0</v>
      </c>
      <c r="IF60" s="15">
        <f>MIN(1,MAX(VLOOKUP(($AJ60-$AI60-$AH60-$AG60-$AF60-$AE60*(1+IF$3))/$AJ60,'Технический лист'!$M:$N,2,1),(IE60-0.05)))</f>
        <v>0</v>
      </c>
      <c r="IG60" s="15">
        <f>MIN(1,MAX(VLOOKUP(($AJ60-$AI60-$AH60-$AG60-$AF60-$AE60*(1+IG$3))/$AJ60,'Технический лист'!$M:$N,2,1),(IF60-0.05)))</f>
        <v>0</v>
      </c>
      <c r="IH60" s="15">
        <f>MIN(1,MAX(VLOOKUP(($AJ60-$AI60-$AH60-$AG60-$AF60-$AE60*(1+IH$3))/$AJ60,'Технический лист'!$M:$N,2,1),(IG60-0.05)))</f>
        <v>0</v>
      </c>
      <c r="II60" s="15">
        <f>MIN(1,MAX(VLOOKUP(($AJ60-$AI60-$AH60-$AG60-$AF60-$AE60*(1+II$3))/$AJ60,'Технический лист'!$M:$N,2,1),(IH60-0.05)))</f>
        <v>0</v>
      </c>
      <c r="IJ60" s="15">
        <f>MIN(1,MAX(VLOOKUP(($AJ60-$AI60-$AH60-$AG60-$AF60-$AE60*(1+IJ$3))/$AJ60,'Технический лист'!$M:$N,2,1),(II60-0.05)))</f>
        <v>0</v>
      </c>
      <c r="IK60" s="15">
        <f>MIN(1,MAX(VLOOKUP(($AJ60-$AI60-$AH60-$AG60-$AF60-$AE60*(1+IK$3))/$AJ60,'Технический лист'!$M:$N,2,1),(IJ60-0.05)))</f>
        <v>0</v>
      </c>
      <c r="IL60" s="15">
        <f>MIN(1,MAX(VLOOKUP(($AJ60-$AI60-$AH60-$AG60-$AF60-$AE60*(1+IL$3))/$AJ60,'Технический лист'!$M:$N,2,1),(IK60-0.05)))</f>
        <v>0</v>
      </c>
      <c r="IM60" s="15">
        <f>MIN(1,MAX(VLOOKUP(($AJ60-$AI60-$AH60-$AG60-$AF60-$AE60*(1+IM$3))/$AJ60,'Технический лист'!$M:$N,2,1),(IL60-0.05)))</f>
        <v>0</v>
      </c>
      <c r="IN60" s="15">
        <f>MIN(1,MAX(VLOOKUP(($AJ60-$AI60-$AH60-$AG60-$AF60-$AE60*(1+IN$3))/$AJ60,'Технический лист'!$M:$N,2,1),(IM60-0.05)))</f>
        <v>0</v>
      </c>
      <c r="IO60" s="15">
        <f>MIN(1,MAX(VLOOKUP(($AJ60-$AI60-$AH60-$AG60-$AF60-$AE60*(1+IO$3))/$AJ60,'Технический лист'!$M:$N,2,1),(IN60-0.05)))</f>
        <v>0</v>
      </c>
      <c r="IP60" s="15">
        <f>MIN(1,MAX(VLOOKUP(($AJ60-$AI60-$AH60-$AG60-$AF60-$AE60*(1+IP$3))/$AJ60,'Технический лист'!$M:$N,2,1),(IO60-0.05)))</f>
        <v>0</v>
      </c>
      <c r="IQ60" s="15">
        <f>MIN(1,MAX(VLOOKUP(($AJ60-$AI60-$AH60-$AG60-$AF60-$AE60*(1+IQ$3))/$AJ60,'Технический лист'!$M:$N,2,1),(IP60-0.05)))</f>
        <v>0</v>
      </c>
      <c r="IR60" s="15">
        <f>MIN(1,MAX(VLOOKUP(($AJ60-$AI60-$AH60-$AG60-$AF60-$AE60*(1+IR$3))/$AJ60,'Технический лист'!$M:$N,2,1),(IQ60-0.05)))</f>
        <v>0</v>
      </c>
    </row>
    <row r="61" spans="1:252" s="4" customFormat="1" ht="29.15">
      <c r="A61" s="89" t="s">
        <v>514</v>
      </c>
      <c r="B61" s="76">
        <v>4</v>
      </c>
      <c r="C61" s="3" t="s">
        <v>67</v>
      </c>
      <c r="D61" s="77">
        <v>14109</v>
      </c>
      <c r="E61" s="77" t="s">
        <v>335</v>
      </c>
      <c r="F61" s="78" t="s">
        <v>74</v>
      </c>
      <c r="G61" s="77" t="s">
        <v>25</v>
      </c>
      <c r="H61" s="77" t="s">
        <v>25</v>
      </c>
      <c r="I61" s="77" t="s">
        <v>150</v>
      </c>
      <c r="J61" s="77" t="s">
        <v>62</v>
      </c>
      <c r="K61" s="77">
        <v>119</v>
      </c>
      <c r="L61" s="77" t="s">
        <v>64</v>
      </c>
      <c r="M61" s="77" t="s">
        <v>17</v>
      </c>
      <c r="N61" s="77" t="s">
        <v>191</v>
      </c>
      <c r="O61" s="77" t="s">
        <v>194</v>
      </c>
      <c r="P61" s="79" t="s">
        <v>357</v>
      </c>
      <c r="Q61" s="77" t="s">
        <v>358</v>
      </c>
      <c r="R61" s="77" t="s">
        <v>263</v>
      </c>
      <c r="S61" s="80">
        <v>1644135</v>
      </c>
      <c r="T61" s="80">
        <v>195652743</v>
      </c>
      <c r="U61" s="81">
        <v>23694</v>
      </c>
      <c r="V61" s="81">
        <v>0</v>
      </c>
      <c r="W61" s="82">
        <v>366863978</v>
      </c>
      <c r="X61" s="112">
        <v>69</v>
      </c>
      <c r="Y61" s="112" t="s">
        <v>418</v>
      </c>
      <c r="Z61" s="113">
        <v>2</v>
      </c>
      <c r="AA61" s="113">
        <v>1</v>
      </c>
      <c r="AB61" s="113">
        <v>4</v>
      </c>
      <c r="AC61" s="99">
        <v>247.06</v>
      </c>
      <c r="AD61" s="99">
        <f t="shared" si="19"/>
        <v>51.329999999999984</v>
      </c>
      <c r="AE61" s="99">
        <v>298.39</v>
      </c>
      <c r="AF61" s="98">
        <f>(Z61+AA61+AB61)*'Ставки аренды'!$B$3/X61</f>
        <v>71.014492753623188</v>
      </c>
      <c r="AG61" s="114">
        <v>0</v>
      </c>
      <c r="AH61" s="94">
        <v>0</v>
      </c>
      <c r="AI61" s="115">
        <f>575152/1082467*AJ61</f>
        <v>3243.4992243458687</v>
      </c>
      <c r="AJ61" s="117">
        <f>Цены!C15*'Курсы валют'!B2</f>
        <v>6104.44</v>
      </c>
      <c r="AK61" s="94">
        <f>AJ61/Цены!$B$1</f>
        <v>80</v>
      </c>
      <c r="AL61" s="95">
        <f t="shared" si="5"/>
        <v>369.40449275362317</v>
      </c>
      <c r="AM61" s="95">
        <f t="shared" si="6"/>
        <v>5735.0355072463763</v>
      </c>
      <c r="AN61" s="94">
        <f t="shared" si="16"/>
        <v>3612.9037170994916</v>
      </c>
      <c r="AO61" s="118">
        <f t="shared" si="17"/>
        <v>0.40815149021048747</v>
      </c>
      <c r="AP61" s="96">
        <f t="shared" si="7"/>
        <v>6.0514067261472501E-2</v>
      </c>
      <c r="AQ61" s="96">
        <f t="shared" si="8"/>
        <v>4.8880814620178098E-2</v>
      </c>
      <c r="AR61" s="96">
        <f t="shared" si="9"/>
        <v>0.80775953149820845</v>
      </c>
      <c r="AS61" s="122">
        <v>1</v>
      </c>
      <c r="AT61" s="121">
        <f t="shared" si="10"/>
        <v>1644135</v>
      </c>
      <c r="AU61" s="83">
        <v>0.9</v>
      </c>
      <c r="AV61" s="119">
        <f t="shared" si="11"/>
        <v>0.40228579245606605</v>
      </c>
      <c r="AW61" s="120">
        <f t="shared" si="12"/>
        <v>6.6379765015893877E-2</v>
      </c>
      <c r="AX61" s="120">
        <f t="shared" si="13"/>
        <v>5.4746512374599474E-2</v>
      </c>
      <c r="AY61" s="120">
        <f t="shared" si="14"/>
        <v>0.82474700477609475</v>
      </c>
      <c r="AZ61" s="15">
        <f>MIN(IF($AU61=100%,1,1+VLOOKUP(($AJ61-$AI61-$AH61-$AG61-$AF61-$AE61*(1+AZ$3))/$AJ61,'Технический лист'!$M:$N,2,1)-VLOOKUP($AO61,'Технический лист'!$M:$N,2,1)),1+(1-$AU61))</f>
        <v>0.99999999999999978</v>
      </c>
      <c r="BA61" s="15">
        <f>MIN(IF($AU61=100%,1,1+VLOOKUP(($AJ61-$AI61-$AH61-$AG61-$AF61-$AE61*(1+BA$3))/$AJ61,'Технический лист'!$M:$N,2,1)-VLOOKUP($AO61,'Технический лист'!$M:$N,2,1)),1+(1-$AU61))</f>
        <v>0.99999999999999978</v>
      </c>
      <c r="BB61" s="15">
        <f>MIN(IF($AU61=100%,1,1+VLOOKUP(($AJ61-$AI61-$AH61-$AG61-$AF61-$AE61*(1+BB$3))/$AJ61,'Технический лист'!$M:$N,2,1)-VLOOKUP($AO61,'Технический лист'!$M:$N,2,1)),1+(1-$AU61))</f>
        <v>0.99999999999999978</v>
      </c>
      <c r="BC61" s="15">
        <f>MIN(IF($AU61=100%,1,1+VLOOKUP(($AJ61-$AI61-$AH61-$AG61-$AF61-$AE61*(1+BC$3))/$AJ61,'Технический лист'!$M:$N,2,1)-VLOOKUP($AO61,'Технический лист'!$M:$N,2,1)),1+(1-$AU61))</f>
        <v>0.99999999999999978</v>
      </c>
      <c r="BD61" s="15">
        <f>MIN(IF($AU61=100%,1,1+VLOOKUP(($AJ61-$AI61-$AH61-$AG61-$AF61-$AE61*(1+BD$3))/$AJ61,'Технический лист'!$M:$N,2,1)-VLOOKUP($AO61,'Технический лист'!$M:$N,2,1)),1+(1-$AU61))</f>
        <v>0.99999999999999978</v>
      </c>
      <c r="BE61" s="15">
        <f>MIN(IF($AU61=100%,1,1+VLOOKUP(($AJ61-$AI61-$AH61-$AG61-$AF61-$AE61*(1+BE$3))/$AJ61,'Технический лист'!$M:$N,2,1)-VLOOKUP($AO61,'Технический лист'!$M:$N,2,1)),1+(1-$AU61))</f>
        <v>0.99999999999999978</v>
      </c>
      <c r="BF61" s="15">
        <f>MIN(IF($AU61=100%,1,1+VLOOKUP(($AJ61-$AI61-$AH61-$AG61-$AF61-$AE61*(1+BF$3))/$AJ61,'Технический лист'!$M:$N,2,1)-VLOOKUP($AO61,'Технический лист'!$M:$N,2,1)),1+(1-$AU61))</f>
        <v>0.99999999999999978</v>
      </c>
      <c r="BG61" s="15">
        <f>MIN(IF($AU61=100%,1,1+VLOOKUP(($AJ61-$AI61-$AH61-$AG61-$AF61-$AE61*(1+BG$3))/$AJ61,'Технический лист'!$M:$N,2,1)-VLOOKUP($AO61,'Технический лист'!$M:$N,2,1)),1+(1-$AU61))</f>
        <v>0.99999999999999978</v>
      </c>
      <c r="BH61" s="15">
        <f>MIN(IF($AU61=100%,1,1+VLOOKUP(($AJ61-$AI61-$AH61-$AG61-$AF61-$AE61*(1+BH$3))/$AJ61,'Технический лист'!$M:$N,2,1)-VLOOKUP($AO61,'Технический лист'!$M:$N,2,1)),1+(1-$AU61))</f>
        <v>0.99999999999999978</v>
      </c>
      <c r="BI61" s="15">
        <f>MIN(IF($AU61=100%,1,1+VLOOKUP(($AJ61-$AI61-$AH61-$AG61-$AF61-$AE61*(1+BI$3))/$AJ61,'Технический лист'!$M:$N,2,1)-VLOOKUP($AO61,'Технический лист'!$M:$N,2,1)),1+(1-$AU61))</f>
        <v>0.99999999999999978</v>
      </c>
      <c r="BJ61" s="15">
        <f>MIN(IF($AU61=100%,1,1+VLOOKUP(($AJ61-$AI61-$AH61-$AG61-$AF61-$AE61*(1+BJ$3))/$AJ61,'Технический лист'!$M:$N,2,1)-VLOOKUP($AO61,'Технический лист'!$M:$N,2,1)),1+(1-$AU61))</f>
        <v>0.99999999999999978</v>
      </c>
      <c r="BK61" s="15">
        <f>MIN(IF($AU61=100%,1,1+VLOOKUP(($AJ61-$AI61-$AH61-$AG61-$AF61-$AE61*(1+BK$3))/$AJ61,'Технический лист'!$M:$N,2,1)-VLOOKUP($AO61,'Технический лист'!$M:$N,2,1)),1+(1-$AU61))</f>
        <v>0.99999999999999978</v>
      </c>
      <c r="BL61" s="15">
        <f>MIN(IF($AU61=100%,1,1+VLOOKUP(($AJ61-$AI61-$AH61-$AG61-$AF61-$AE61*(1+BL$3))/$AJ61,'Технический лист'!$M:$N,2,1)-VLOOKUP($AO61,'Технический лист'!$M:$N,2,1)),1+(1-$AU61))</f>
        <v>0.99999999999999978</v>
      </c>
      <c r="BM61" s="15">
        <f>MIN(IF($AU61=100%,1,1+VLOOKUP(($AJ61-$AI61-$AH61-$AG61-$AF61-$AE61*(1+BM$3))/$AJ61,'Технический лист'!$M:$N,2,1)-VLOOKUP($AO61,'Технический лист'!$M:$N,2,1)),1+(1-$AU61))</f>
        <v>0.99999999999999978</v>
      </c>
      <c r="BN61" s="15">
        <f>MIN(IF($AU61=100%,1,1+VLOOKUP(($AJ61-$AI61-$AH61-$AG61-$AF61-$AE61*(1+BN$3))/$AJ61,'Технический лист'!$M:$N,2,1)-VLOOKUP($AO61,'Технический лист'!$M:$N,2,1)),1+(1-$AU61))</f>
        <v>0.99999999999999978</v>
      </c>
      <c r="BO61" s="15">
        <f>MIN(IF($AU61=100%,1,1+VLOOKUP(($AJ61-$AI61-$AH61-$AG61-$AF61-$AE61*(1+BO$3))/$AJ61,'Технический лист'!$M:$N,2,1)-VLOOKUP($AO61,'Технический лист'!$M:$N,2,1)),1+(1-$AU61))</f>
        <v>0.99999999999999978</v>
      </c>
      <c r="BP61" s="15">
        <f>MIN(IF($AU61=100%,1,1+VLOOKUP(($AJ61-$AI61-$AH61-$AG61-$AF61-$AE61*(1+BP$3))/$AJ61,'Технический лист'!$M:$N,2,1)-VLOOKUP($AO61,'Технический лист'!$M:$N,2,1)),1+(1-$AU61))</f>
        <v>0.99999999999999978</v>
      </c>
      <c r="BQ61" s="15">
        <f>MIN(IF($AU61=100%,1,1+VLOOKUP(($AJ61-$AI61-$AH61-$AG61-$AF61-$AE61*(1+BQ$3))/$AJ61,'Технический лист'!$M:$N,2,1)-VLOOKUP($AO61,'Технический лист'!$M:$N,2,1)),1+(1-$AU61))</f>
        <v>0.99999999999999978</v>
      </c>
      <c r="BR61" s="15">
        <f>MIN(IF($AU61=100%,1,1+VLOOKUP(($AJ61-$AI61-$AH61-$AG61-$AF61-$AE61*(1+BR$3))/$AJ61,'Технический лист'!$M:$N,2,1)-VLOOKUP($AO61,'Технический лист'!$M:$N,2,1)),1+(1-$AU61))</f>
        <v>0.99999999999999978</v>
      </c>
      <c r="BS61" s="15">
        <f>MIN(IF($AU61=100%,1,1+VLOOKUP(($AJ61-$AI61-$AH61-$AG61-$AF61-$AE61*(1+BS$3))/$AJ61,'Технический лист'!$M:$N,2,1)-VLOOKUP($AO61,'Технический лист'!$M:$N,2,1)),1+(1-$AU61))</f>
        <v>0.99999999999999978</v>
      </c>
      <c r="BT61" s="15">
        <f>MIN(IF($AU61=100%,1,1+VLOOKUP(($AJ61-$AI61-$AH61-$AG61-$AF61-$AE61*(1+BT$3))/$AJ61,'Технический лист'!$M:$N,2,1)-VLOOKUP($AO61,'Технический лист'!$M:$N,2,1)),1+(1-$AU61))</f>
        <v>0.99999999999999978</v>
      </c>
      <c r="BU61" s="15">
        <f>MIN(IF($AU61=100%,1,1+VLOOKUP(($AJ61-$AI61-$AH61-$AG61-$AF61-$AE61*(1+BU$3))/$AJ61,'Технический лист'!$M:$N,2,1)-VLOOKUP($AO61,'Технический лист'!$M:$N,2,1)),1+(1-$AU61))</f>
        <v>0.99999999999999978</v>
      </c>
      <c r="BV61" s="15">
        <f>MIN(IF($AU61=100%,1,1+VLOOKUP(($AJ61-$AI61-$AH61-$AG61-$AF61-$AE61*(1+BV$3))/$AJ61,'Технический лист'!$M:$N,2,1)-VLOOKUP($AO61,'Технический лист'!$M:$N,2,1)),1+(1-$AU61))</f>
        <v>0.99999999999999978</v>
      </c>
      <c r="BW61" s="15">
        <f>MIN(IF($AU61=100%,1,1+VLOOKUP(($AJ61-$AI61-$AH61-$AG61-$AF61-$AE61*(1+BW$3))/$AJ61,'Технический лист'!$M:$N,2,1)-VLOOKUP($AO61,'Технический лист'!$M:$N,2,1)),1+(1-$AU61))</f>
        <v>0.99999999999999978</v>
      </c>
      <c r="BX61" s="15">
        <f>MIN(IF($AU61=100%,1,1+VLOOKUP(($AJ61-$AI61-$AH61-$AG61-$AF61-$AE61*(1+BX$3))/$AJ61,'Технический лист'!$M:$N,2,1)-VLOOKUP($AO61,'Технический лист'!$M:$N,2,1)),1+(1-$AU61))</f>
        <v>0.99999999999999978</v>
      </c>
      <c r="BY61" s="15">
        <f>MIN(IF($AU61=100%,1,1+VLOOKUP(($AJ61-$AI61-$AH61-$AG61-$AF61-$AE61*(1+BY$3))/$AJ61,'Технический лист'!$M:$N,2,1)-VLOOKUP($AO61,'Технический лист'!$M:$N,2,1)),1+(1-$AU61))</f>
        <v>0.99999999999999978</v>
      </c>
      <c r="BZ61" s="15">
        <f>MIN(IF($AU61=100%,1,1+VLOOKUP(($AJ61-$AI61-$AH61-$AG61-$AF61-$AE61*(1+BZ$3))/$AJ61,'Технический лист'!$M:$N,2,1)-VLOOKUP($AO61,'Технический лист'!$M:$N,2,1)),1+(1-$AU61))</f>
        <v>0.99999999999999978</v>
      </c>
      <c r="CA61" s="15">
        <f>MIN(IF($AU61=100%,1,1+VLOOKUP(($AJ61-$AI61-$AH61-$AG61-$AF61-$AE61*(1+CA$3))/$AJ61,'Технический лист'!$M:$N,2,1)-VLOOKUP($AO61,'Технический лист'!$M:$N,2,1)),1+(1-$AU61))</f>
        <v>0.99999999999999978</v>
      </c>
      <c r="CB61" s="15">
        <f>MIN(IF($AU61=100%,1,1+VLOOKUP(($AJ61-$AI61-$AH61-$AG61-$AF61-$AE61*(1+CB$3))/$AJ61,'Технический лист'!$M:$N,2,1)-VLOOKUP($AO61,'Технический лист'!$M:$N,2,1)),1+(1-$AU61))</f>
        <v>0.99999999999999978</v>
      </c>
      <c r="CC61" s="15">
        <f>MIN(IF($AU61=100%,1,1+VLOOKUP(($AJ61-$AI61-$AH61-$AG61-$AF61-$AE61*(1+CC$3))/$AJ61,'Технический лист'!$M:$N,2,1)-VLOOKUP($AO61,'Технический лист'!$M:$N,2,1)),1+(1-$AU61))</f>
        <v>0.99999999999999978</v>
      </c>
      <c r="CD61" s="15">
        <f>MIN(IF($AU61=100%,1,1+VLOOKUP(($AJ61-$AI61-$AH61-$AG61-$AF61-$AE61*(1+CD$3))/$AJ61,'Технический лист'!$M:$N,2,1)-VLOOKUP($AO61,'Технический лист'!$M:$N,2,1)),1+(1-$AU61))</f>
        <v>0.99999999999999978</v>
      </c>
      <c r="CE61" s="15">
        <f>MIN(IF($AU61=100%,1,1+VLOOKUP(($AJ61-$AI61-$AH61-$AG61-$AF61-$AE61*(1+CE$3))/$AJ61,'Технический лист'!$M:$N,2,1)-VLOOKUP($AO61,'Технический лист'!$M:$N,2,1)),1+(1-$AU61))</f>
        <v>0.99999999999999978</v>
      </c>
      <c r="CF61" s="15">
        <f>MIN(IF($AU61=100%,1,1+VLOOKUP(($AJ61-$AI61-$AH61-$AG61-$AF61-$AE61*(1+CF$3))/$AJ61,'Технический лист'!$M:$N,2,1)-VLOOKUP($AO61,'Технический лист'!$M:$N,2,1)),1+(1-$AU61))</f>
        <v>0.99999999999999978</v>
      </c>
      <c r="CG61" s="15">
        <f>MIN(IF($AU61=100%,1,1+VLOOKUP(($AJ61-$AI61-$AH61-$AG61-$AF61-$AE61*(1+CG$3))/$AJ61,'Технический лист'!$M:$N,2,1)-VLOOKUP($AO61,'Технический лист'!$M:$N,2,1)),1+(1-$AU61))</f>
        <v>0.99999999999999978</v>
      </c>
      <c r="CH61" s="15">
        <f>MIN(IF($AU61=100%,1,1+VLOOKUP(($AJ61-$AI61-$AH61-$AG61-$AF61-$AE61*(1+CH$3))/$AJ61,'Технический лист'!$M:$N,2,1)-VLOOKUP($AO61,'Технический лист'!$M:$N,2,1)),1+(1-$AU61))</f>
        <v>0.99999999999999978</v>
      </c>
      <c r="CI61" s="15">
        <f>MIN(IF($AU61=100%,1,1+VLOOKUP(($AJ61-$AI61-$AH61-$AG61-$AF61-$AE61*(1+CI$3))/$AJ61,'Технический лист'!$M:$N,2,1)-VLOOKUP($AO61,'Технический лист'!$M:$N,2,1)),1+(1-$AU61))</f>
        <v>0.99999999999999978</v>
      </c>
      <c r="CJ61" s="15">
        <f>MIN(IF($AU61=100%,1,1+VLOOKUP(($AJ61-$AI61-$AH61-$AG61-$AF61-$AE61*(1+CJ$3))/$AJ61,'Технический лист'!$M:$N,2,1)-VLOOKUP($AO61,'Технический лист'!$M:$N,2,1)),1+(1-$AU61))</f>
        <v>0.99999999999999978</v>
      </c>
      <c r="CK61" s="15">
        <f>MIN(IF($AU61=100%,1,1+VLOOKUP(($AJ61-$AI61-$AH61-$AG61-$AF61-$AE61*(1+CK$3))/$AJ61,'Технический лист'!$M:$N,2,1)-VLOOKUP($AO61,'Технический лист'!$M:$N,2,1)),1+(1-$AU61))</f>
        <v>0.99999999999999978</v>
      </c>
      <c r="CL61" s="15">
        <f>MIN(IF($AU61=100%,1,1+VLOOKUP(($AJ61-$AI61-$AH61-$AG61-$AF61-$AE61*(1+CL$3))/$AJ61,'Технический лист'!$M:$N,2,1)-VLOOKUP($AO61,'Технический лист'!$M:$N,2,1)),1+(1-$AU61))</f>
        <v>0.99999999999999978</v>
      </c>
      <c r="CM61" s="15">
        <f>MIN(IF($AU61=100%,1,1+VLOOKUP(($AJ61-$AI61-$AH61-$AG61-$AF61-$AE61*(1+CM$3))/$AJ61,'Технический лист'!$M:$N,2,1)-VLOOKUP($AO61,'Технический лист'!$M:$N,2,1)),1+(1-$AU61))</f>
        <v>0.99999999999999978</v>
      </c>
      <c r="CN61" s="15">
        <f>MIN(IF($AU61=100%,1,1+VLOOKUP(($AJ61-$AI61-$AH61-$AG61-$AF61-$AE61*(1+CN$3))/$AJ61,'Технический лист'!$M:$N,2,1)-VLOOKUP($AO61,'Технический лист'!$M:$N,2,1)),1+(1-$AU61))</f>
        <v>0.99999999999999978</v>
      </c>
      <c r="CO61" s="15">
        <f>MIN(IF($AU61=100%,1,1+VLOOKUP(($AJ61-$AI61-$AH61-$AG61-$AF61-$AE61*(1+CO$3))/$AJ61,'Технический лист'!$M:$N,2,1)-VLOOKUP($AO61,'Технический лист'!$M:$N,2,1)),1+(1-$AU61))</f>
        <v>0.99999999999999978</v>
      </c>
      <c r="CP61" s="15">
        <f>MIN(IF($AU61=100%,1,1+VLOOKUP(($AJ61-$AI61-$AH61-$AG61-$AF61-$AE61*(1+CP$3))/$AJ61,'Технический лист'!$M:$N,2,1)-VLOOKUP($AO61,'Технический лист'!$M:$N,2,1)),1+(1-$AU61))</f>
        <v>0.99999999999999978</v>
      </c>
      <c r="CQ61" s="15">
        <f>MIN(IF($AU61=100%,1,1+VLOOKUP(($AJ61-$AI61-$AH61-$AG61-$AF61-$AE61*(1+CQ$3))/$AJ61,'Технический лист'!$M:$N,2,1)-VLOOKUP($AO61,'Технический лист'!$M:$N,2,1)),1+(1-$AU61))</f>
        <v>0.99999999999999978</v>
      </c>
      <c r="CR61" s="15">
        <f>MIN(IF($AU61=100%,1,1+VLOOKUP(($AJ61-$AI61-$AH61-$AG61-$AF61-$AE61*(1+CR$3))/$AJ61,'Технический лист'!$M:$N,2,1)-VLOOKUP($AO61,'Технический лист'!$M:$N,2,1)),1+(1-$AU61))</f>
        <v>0.99999999999999978</v>
      </c>
      <c r="CS61" s="15">
        <f>MIN(IF($AU61=100%,1,1+VLOOKUP(($AJ61-$AI61-$AH61-$AG61-$AF61-$AE61*(1+CS$3))/$AJ61,'Технический лист'!$M:$N,2,1)-VLOOKUP($AO61,'Технический лист'!$M:$N,2,1)),1+(1-$AU61))</f>
        <v>0.99999999999999978</v>
      </c>
      <c r="CT61" s="15">
        <f>MIN(IF($AU61=100%,1,1+VLOOKUP(($AJ61-$AI61-$AH61-$AG61-$AF61-$AE61*(1+CT$3))/$AJ61,'Технический лист'!$M:$N,2,1)-VLOOKUP($AO61,'Технический лист'!$M:$N,2,1)),1+(1-$AU61))</f>
        <v>0.99999999999999978</v>
      </c>
      <c r="CU61" s="15">
        <f>MIN(IF($AU61=100%,1,1+VLOOKUP(($AJ61-$AI61-$AH61-$AG61-$AF61-$AE61*(1+CU$3))/$AJ61,'Технический лист'!$M:$N,2,1)-VLOOKUP($AO61,'Технический лист'!$M:$N,2,1)),1+(1-$AU61))</f>
        <v>0.99999999999999978</v>
      </c>
      <c r="CV61" s="15">
        <f>MIN(IF($AU61=100%,1,1+VLOOKUP(($AJ61-$AI61-$AH61-$AG61-$AF61-$AE61*(1+CV$3))/$AJ61,'Технический лист'!$M:$N,2,1)-VLOOKUP($AO61,'Технический лист'!$M:$N,2,1)),1+(1-$AU61))</f>
        <v>0.99999999999999978</v>
      </c>
      <c r="CW61" s="15">
        <f>MIN(IF($AU61=100%,1,1+VLOOKUP(($AJ61-$AI61-$AH61-$AG61-$AF61-$AE61*(1+CW$3))/$AJ61,'Технический лист'!$M:$N,2,1)-VLOOKUP($AO61,'Технический лист'!$M:$N,2,1)),1+(1-$AU61))</f>
        <v>0.99999999999999978</v>
      </c>
      <c r="CX61" s="15">
        <f>MIN(IF($AU61=100%,1,1+VLOOKUP(($AJ61-$AI61-$AH61-$AG61-$AF61-$AE61*(1+CX$3))/$AJ61,'Технический лист'!$M:$N,2,1)-VLOOKUP($AO61,'Технический лист'!$M:$N,2,1)),1+(1-$AU61))</f>
        <v>0.99999999999999978</v>
      </c>
      <c r="CY61" s="15">
        <f>MIN(IF($AU61=100%,1,1+VLOOKUP(($AJ61-$AI61-$AH61-$AG61-$AF61-$AE61*(1+CY$3))/$AJ61,'Технический лист'!$M:$N,2,1)-VLOOKUP($AO61,'Технический лист'!$M:$N,2,1)),1+(1-$AU61))</f>
        <v>0.99999999999999978</v>
      </c>
      <c r="CZ61" s="15">
        <f>MIN(IF($AU61=100%,1,1+VLOOKUP(($AJ61-$AI61-$AH61-$AG61-$AF61-$AE61*(1+CZ$3))/$AJ61,'Технический лист'!$M:$N,2,1)-VLOOKUP($AO61,'Технический лист'!$M:$N,2,1)),1+(1-$AU61))</f>
        <v>0.99999999999999978</v>
      </c>
      <c r="DA61" s="15">
        <f>MIN(IF($AU61=100%,1,1+VLOOKUP(($AJ61-$AI61-$AH61-$AG61-$AF61-$AE61*(1+DA$3))/$AJ61,'Технический лист'!$M:$N,2,1)-VLOOKUP($AO61,'Технический лист'!$M:$N,2,1)),1+(1-$AU61))</f>
        <v>0.99999999999999978</v>
      </c>
      <c r="DB61" s="15">
        <f>MIN(IF($AU61=100%,1,1+VLOOKUP(($AJ61-$AI61-$AH61-$AG61-$AF61-$AE61*(1+DB$3))/$AJ61,'Технический лист'!$M:$N,2,1)-VLOOKUP($AO61,'Технический лист'!$M:$N,2,1)),1+(1-$AU61))</f>
        <v>0.99999999999999978</v>
      </c>
      <c r="DC61" s="15">
        <f>MIN(IF($AU61=100%,1,1+VLOOKUP(($AJ61-$AI61-$AH61-$AG61-$AF61-$AE61*(1+DC$3))/$AJ61,'Технический лист'!$M:$N,2,1)-VLOOKUP($AO61,'Технический лист'!$M:$N,2,1)),1+(1-$AU61))</f>
        <v>0.99999999999999978</v>
      </c>
      <c r="DD61" s="15">
        <f>MIN(IF($AU61=100%,1,1+VLOOKUP(($AJ61-$AI61-$AH61-$AG61-$AF61-$AE61*(1+DD$3))/$AJ61,'Технический лист'!$M:$N,2,1)-VLOOKUP($AO61,'Технический лист'!$M:$N,2,1)),1+(1-$AU61))</f>
        <v>0.99999999999999978</v>
      </c>
      <c r="DE61" s="15">
        <f>MIN(IF($AU61=100%,1,1+VLOOKUP(($AJ61-$AI61-$AH61-$AG61-$AF61-$AE61*(1+DE$3))/$AJ61,'Технический лист'!$M:$N,2,1)-VLOOKUP($AO61,'Технический лист'!$M:$N,2,1)),1+(1-$AU61))</f>
        <v>0.99999999999999978</v>
      </c>
      <c r="DF61" s="15">
        <f>MIN(IF($AU61=100%,1,1+VLOOKUP(($AJ61-$AI61-$AH61-$AG61-$AF61-$AE61*(1+DF$3))/$AJ61,'Технический лист'!$M:$N,2,1)-VLOOKUP($AO61,'Технический лист'!$M:$N,2,1)),1+(1-$AU61))</f>
        <v>0.99999999999999978</v>
      </c>
      <c r="DG61" s="15">
        <f>MIN(IF($AU61=100%,1,1+VLOOKUP(($AJ61-$AI61-$AH61-$AG61-$AF61-$AE61*(1+DG$3))/$AJ61,'Технический лист'!$M:$N,2,1)-VLOOKUP($AO61,'Технический лист'!$M:$N,2,1)),1+(1-$AU61))</f>
        <v>0.99999999999999978</v>
      </c>
      <c r="DH61" s="15">
        <f>MIN(IF($AU61=100%,1,1+VLOOKUP(($AJ61-$AI61-$AH61-$AG61-$AF61-$AE61*(1+DH$3))/$AJ61,'Технический лист'!$M:$N,2,1)-VLOOKUP($AO61,'Технический лист'!$M:$N,2,1)),1+(1-$AU61))</f>
        <v>0.99999999999999978</v>
      </c>
      <c r="DI61" s="15">
        <f>MIN(IF($AU61=100%,1,1+VLOOKUP(($AJ61-$AI61-$AH61-$AG61-$AF61-$AE61*(1+DI$3))/$AJ61,'Технический лист'!$M:$N,2,1)-VLOOKUP($AO61,'Технический лист'!$M:$N,2,1)),1+(1-$AU61))</f>
        <v>0.99999999999999978</v>
      </c>
      <c r="DJ61" s="15">
        <f>MIN(IF($AU61=100%,1,1+VLOOKUP(($AJ61-$AI61-$AH61-$AG61-$AF61-$AE61*(1+DJ$3))/$AJ61,'Технический лист'!$M:$N,2,1)-VLOOKUP($AO61,'Технический лист'!$M:$N,2,1)),1+(1-$AU61))</f>
        <v>0.99999999999999978</v>
      </c>
      <c r="DK61" s="15">
        <f>MIN(IF($AU61=100%,1,1+VLOOKUP(($AJ61-$AI61-$AH61-$AG61-$AF61-$AE61*(1+DK$3))/$AJ61,'Технический лист'!$M:$N,2,1)-VLOOKUP($AO61,'Технический лист'!$M:$N,2,1)),1+(1-$AU61))</f>
        <v>0.99999999999999978</v>
      </c>
      <c r="DL61" s="15">
        <f>MIN(IF($AU61=100%,1,1+VLOOKUP(($AJ61-$AI61-$AH61-$AG61-$AF61-$AE61*(1+DL$3))/$AJ61,'Технический лист'!$M:$N,2,1)-VLOOKUP($AO61,'Технический лист'!$M:$N,2,1)),1+(1-$AU61))</f>
        <v>0.99999999999999978</v>
      </c>
      <c r="DM61" s="15">
        <f>MIN(IF($AU61=100%,1,1+VLOOKUP(($AJ61-$AI61-$AH61-$AG61-$AF61-$AE61*(1+DM$3))/$AJ61,'Технический лист'!$M:$N,2,1)-VLOOKUP($AO61,'Технический лист'!$M:$N,2,1)),1+(1-$AU61))</f>
        <v>0.99999999999999978</v>
      </c>
      <c r="DN61" s="15">
        <f>MIN(IF($AU61=100%,1,1+VLOOKUP(($AJ61-$AI61-$AH61-$AG61-$AF61-$AE61*(1+DN$3))/$AJ61,'Технический лист'!$M:$N,2,1)-VLOOKUP($AO61,'Технический лист'!$M:$N,2,1)),1+(1-$AU61))</f>
        <v>0.99999999999999978</v>
      </c>
      <c r="DO61" s="15">
        <f>MIN(IF($AU61=100%,1,1+VLOOKUP(($AJ61-$AI61-$AH61-$AG61-$AF61-$AE61*(1+DO$3))/$AJ61,'Технический лист'!$M:$N,2,1)-VLOOKUP($AO61,'Технический лист'!$M:$N,2,1)),1+(1-$AU61))</f>
        <v>0.99999999999999978</v>
      </c>
      <c r="DP61" s="15">
        <f>MIN(IF($AU61=100%,1,1+VLOOKUP(($AJ61-$AI61-$AH61-$AG61-$AF61-$AE61*(1+DP$3))/$AJ61,'Технический лист'!$M:$N,2,1)-VLOOKUP($AO61,'Технический лист'!$M:$N,2,1)),1+(1-$AU61))</f>
        <v>0.99999999999999978</v>
      </c>
      <c r="DQ61" s="15">
        <f>MIN(IF($AU61=100%,1,1+VLOOKUP(($AJ61-$AI61-$AH61-$AG61-$AF61-$AE61*(1+DQ$3))/$AJ61,'Технический лист'!$M:$N,2,1)-VLOOKUP($AO61,'Технический лист'!$M:$N,2,1)),1+(1-$AU61))</f>
        <v>0.99999999999999978</v>
      </c>
      <c r="DR61" s="15">
        <f>MIN(IF($AU61=100%,1,1+VLOOKUP(($AJ61-$AI61-$AH61-$AG61-$AF61-$AE61*(1+DR$3))/$AJ61,'Технический лист'!$M:$N,2,1)-VLOOKUP($AO61,'Технический лист'!$M:$N,2,1)),1+(1-$AU61))</f>
        <v>0.99999999999999978</v>
      </c>
      <c r="DS61" s="15">
        <f>MIN(IF($AU61=100%,1,1+VLOOKUP(($AJ61-$AI61-$AH61-$AG61-$AF61-$AE61*(1+DS$3))/$AJ61,'Технический лист'!$M:$N,2,1)-VLOOKUP($AO61,'Технический лист'!$M:$N,2,1)),1+(1-$AU61))</f>
        <v>0.99999999999999978</v>
      </c>
      <c r="DT61" s="15">
        <f>MIN(IF($AU61=100%,1,1+VLOOKUP(($AJ61-$AI61-$AH61-$AG61-$AF61-$AE61*(1+DT$3))/$AJ61,'Технический лист'!$M:$N,2,1)-VLOOKUP($AO61,'Технический лист'!$M:$N,2,1)),1+(1-$AU61))</f>
        <v>0.99999999999999978</v>
      </c>
      <c r="DU61" s="15">
        <f>MIN(IF($AU61=100%,1,1+VLOOKUP(($AJ61-$AI61-$AH61-$AG61-$AF61-$AE61*(1+DU$3))/$AJ61,'Технический лист'!$M:$N,2,1)-VLOOKUP($AO61,'Технический лист'!$M:$N,2,1)),1+(1-$AU61))</f>
        <v>0.99999999999999978</v>
      </c>
      <c r="DV61" s="15">
        <f>MIN(IF($AU61=100%,1,1+VLOOKUP(($AJ61-$AI61-$AH61-$AG61-$AF61-$AE61*(1+DV$3))/$AJ61,'Технический лист'!$M:$N,2,1)-VLOOKUP($AO61,'Технический лист'!$M:$N,2,1)),1+(1-$AU61))</f>
        <v>0.99999999999999978</v>
      </c>
      <c r="DW61" s="15">
        <f>MIN(IF($AU61=100%,1,1+VLOOKUP(($AJ61-$AI61-$AH61-$AG61-$AF61-$AE61*(1+DW$3))/$AJ61,'Технический лист'!$M:$N,2,1)-VLOOKUP($AO61,'Технический лист'!$M:$N,2,1)),1+(1-$AU61))</f>
        <v>0.99999999999999978</v>
      </c>
      <c r="DX61" s="15">
        <f>MIN(IF($AU61=100%,1,1+VLOOKUP(($AJ61-$AI61-$AH61-$AG61-$AF61-$AE61*(1+DX$3))/$AJ61,'Технический лист'!$M:$N,2,1)-VLOOKUP($AO61,'Технический лист'!$M:$N,2,1)),1+(1-$AU61))</f>
        <v>0.99999999999999978</v>
      </c>
      <c r="DY61" s="15">
        <f>MIN(IF($AU61=100%,1,1+VLOOKUP(($AJ61-$AI61-$AH61-$AG61-$AF61-$AE61*(1+DY$3))/$AJ61,'Технический лист'!$M:$N,2,1)-VLOOKUP($AO61,'Технический лист'!$M:$N,2,1)),1+(1-$AU61))</f>
        <v>0.99999999999999978</v>
      </c>
      <c r="DZ61" s="15">
        <f>MIN(IF($AU61=100%,1,1+VLOOKUP(($AJ61-$AI61-$AH61-$AG61-$AF61-$AE61*(1+DZ$3))/$AJ61,'Технический лист'!$M:$N,2,1)-VLOOKUP($AO61,'Технический лист'!$M:$N,2,1)),1+(1-$AU61))</f>
        <v>0.99999999999999978</v>
      </c>
      <c r="EA61" s="15">
        <f>MIN(IF($AU61=100%,1,1+VLOOKUP(($AJ61-$AI61-$AH61-$AG61-$AF61-$AE61*(1+EA$3))/$AJ61,'Технический лист'!$M:$N,2,1)-VLOOKUP($AO61,'Технический лист'!$M:$N,2,1)),1+(1-$AU61))</f>
        <v>0.99999999999999978</v>
      </c>
      <c r="EB61" s="15">
        <f>MIN(IF($AU61=100%,1,1+VLOOKUP(($AJ61-$AI61-$AH61-$AG61-$AF61-$AE61*(1+EB$3))/$AJ61,'Технический лист'!$M:$N,2,1)-VLOOKUP($AO61,'Технический лист'!$M:$N,2,1)),1+(1-$AU61))</f>
        <v>0.99999999999999978</v>
      </c>
      <c r="EC61" s="15">
        <f>MIN(IF($AU61=100%,1,1+VLOOKUP(($AJ61-$AI61-$AH61-$AG61-$AF61-$AE61*(1+EC$3))/$AJ61,'Технический лист'!$M:$N,2,1)-VLOOKUP($AO61,'Технический лист'!$M:$N,2,1)),1+(1-$AU61))</f>
        <v>0.99999999999999978</v>
      </c>
      <c r="ED61" s="15">
        <f>MIN(IF($AU61=100%,1,1+VLOOKUP(($AJ61-$AI61-$AH61-$AG61-$AF61-$AE61*(1+ED$3))/$AJ61,'Технический лист'!$M:$N,2,1)-VLOOKUP($AO61,'Технический лист'!$M:$N,2,1)),1+(1-$AU61))</f>
        <v>0.99999999999999978</v>
      </c>
      <c r="EE61" s="15">
        <f>MIN(IF($AU61=100%,1,1+VLOOKUP(($AJ61-$AI61-$AH61-$AG61-$AF61-$AE61*(1+EE$3))/$AJ61,'Технический лист'!$M:$N,2,1)-VLOOKUP($AO61,'Технический лист'!$M:$N,2,1)),1+(1-$AU61))</f>
        <v>0.99999999999999978</v>
      </c>
      <c r="EF61" s="15">
        <f>MIN(IF($AU61=100%,1,1+VLOOKUP(($AJ61-$AI61-$AH61-$AG61-$AF61-$AE61*(1+EF$3))/$AJ61,'Технический лист'!$M:$N,2,1)-VLOOKUP($AO61,'Технический лист'!$M:$N,2,1)),1+(1-$AU61))</f>
        <v>0.99999999999999978</v>
      </c>
      <c r="EG61" s="15">
        <f>MIN(IF($AU61=100%,1,1+VLOOKUP(($AJ61-$AI61-$AH61-$AG61-$AF61-$AE61*(1+EG$3))/$AJ61,'Технический лист'!$M:$N,2,1)-VLOOKUP($AO61,'Технический лист'!$M:$N,2,1)),1+(1-$AU61))</f>
        <v>0.99999999999999978</v>
      </c>
      <c r="EH61" s="15">
        <f>MIN(IF($AU61=100%,1,1+VLOOKUP(($AJ61-$AI61-$AH61-$AG61-$AF61-$AE61*(1+EH$3))/$AJ61,'Технический лист'!$M:$N,2,1)-VLOOKUP($AO61,'Технический лист'!$M:$N,2,1)),1+(1-$AU61))</f>
        <v>0.99999999999999978</v>
      </c>
      <c r="EI61" s="15">
        <f>MIN(IF($AU61=100%,1,1+VLOOKUP(($AJ61-$AI61-$AH61-$AG61-$AF61-$AE61*(1+EI$3))/$AJ61,'Технический лист'!$M:$N,2,1)-VLOOKUP($AO61,'Технический лист'!$M:$N,2,1)),1+(1-$AU61))</f>
        <v>0.99999999999999978</v>
      </c>
      <c r="EJ61" s="15">
        <f>MIN(IF($AU61=100%,1,1+VLOOKUP(($AJ61-$AI61-$AH61-$AG61-$AF61-$AE61*(1+EJ$3))/$AJ61,'Технический лист'!$M:$N,2,1)-VLOOKUP($AO61,'Технический лист'!$M:$N,2,1)),1+(1-$AU61))</f>
        <v>0.99999999999999978</v>
      </c>
      <c r="EK61" s="15">
        <f>MIN(IF($AU61=100%,1,1+VLOOKUP(($AJ61-$AI61-$AH61-$AG61-$AF61-$AE61*(1+EK$3))/$AJ61,'Технический лист'!$M:$N,2,1)-VLOOKUP($AO61,'Технический лист'!$M:$N,2,1)),1+(1-$AU61))</f>
        <v>0.99999999999999978</v>
      </c>
      <c r="EL61" s="15">
        <f>MIN(IF($AU61=100%,1,1+VLOOKUP(($AJ61-$AI61-$AH61-$AG61-$AF61-$AE61*(1+EL$3))/$AJ61,'Технический лист'!$M:$N,2,1)-VLOOKUP($AO61,'Технический лист'!$M:$N,2,1)),1+(1-$AU61))</f>
        <v>0.99999999999999978</v>
      </c>
      <c r="EM61" s="15">
        <f>MIN(IF($AU61=100%,1,1+VLOOKUP(($AJ61-$AI61-$AH61-$AG61-$AF61-$AE61*(1+EM$3))/$AJ61,'Технический лист'!$M:$N,2,1)-VLOOKUP($AO61,'Технический лист'!$M:$N,2,1)),1+(1-$AU61))</f>
        <v>0.99999999999999978</v>
      </c>
      <c r="EN61" s="15">
        <f>MIN(IF($AU61=100%,1,1+VLOOKUP(($AJ61-$AI61-$AH61-$AG61-$AF61-$AE61*(1+EN$3))/$AJ61,'Технический лист'!$M:$N,2,1)-VLOOKUP($AO61,'Технический лист'!$M:$N,2,1)),1+(1-$AU61))</f>
        <v>0.99999999999999978</v>
      </c>
      <c r="EO61" s="15">
        <f>MIN(IF($AU61=100%,1,1+VLOOKUP(($AJ61-$AI61-$AH61-$AG61-$AF61-$AE61*(1+EO$3))/$AJ61,'Технический лист'!$M:$N,2,1)-VLOOKUP($AO61,'Технический лист'!$M:$N,2,1)),1+(1-$AU61))</f>
        <v>0.99999999999999978</v>
      </c>
      <c r="EP61" s="15">
        <f>MIN(IF($AU61=100%,1,1+VLOOKUP(($AJ61-$AI61-$AH61-$AG61-$AF61-$AE61*(1+EP$3))/$AJ61,'Технический лист'!$M:$N,2,1)-VLOOKUP($AO61,'Технический лист'!$M:$N,2,1)),1+(1-$AU61))</f>
        <v>0.99999999999999978</v>
      </c>
      <c r="EQ61" s="15">
        <f>MIN(IF($AU61=100%,1,1+VLOOKUP(($AJ61-$AI61-$AH61-$AG61-$AF61-$AE61*(1+EQ$3))/$AJ61,'Технический лист'!$M:$N,2,1)-VLOOKUP($AO61,'Технический лист'!$M:$N,2,1)),1+(1-$AU61))</f>
        <v>0.99999999999999978</v>
      </c>
      <c r="ER61" s="15">
        <f>MIN(IF($AU61=100%,1,1+VLOOKUP(($AJ61-$AI61-$AH61-$AG61-$AF61-$AE61*(1+ER$3))/$AJ61,'Технический лист'!$M:$N,2,1)-VLOOKUP($AO61,'Технический лист'!$M:$N,2,1)),1+(1-$AU61))</f>
        <v>0.99999999999999978</v>
      </c>
      <c r="ES61" s="15">
        <f>MIN(IF($AU61=100%,1,1+VLOOKUP(($AJ61-$AI61-$AH61-$AG61-$AF61-$AE61*(1+ES$3))/$AJ61,'Технический лист'!$M:$N,2,1)-VLOOKUP($AO61,'Технический лист'!$M:$N,2,1)),1+(1-$AU61))</f>
        <v>0.99999999999999978</v>
      </c>
      <c r="ET61" s="15">
        <f>MIN(IF($AU61=100%,1,1+VLOOKUP(($AJ61-$AI61-$AH61-$AG61-$AF61-$AE61*(1+ET$3))/$AJ61,'Технический лист'!$M:$N,2,1)-VLOOKUP($AO61,'Технический лист'!$M:$N,2,1)),1+(1-$AU61))</f>
        <v>0.99999999999999978</v>
      </c>
      <c r="EU61" s="15">
        <f>MIN(IF($AU61=100%,1,1+VLOOKUP(($AJ61-$AI61-$AH61-$AG61-$AF61-$AE61*(1+EU$3))/$AJ61,'Технический лист'!$M:$N,2,1)-VLOOKUP($AO61,'Технический лист'!$M:$N,2,1)),1+(1-$AU61))</f>
        <v>0.99999999999999978</v>
      </c>
      <c r="EV61" s="111">
        <v>1</v>
      </c>
      <c r="EW61" s="15">
        <f>MIN(1,MAX(VLOOKUP(($AJ61-$AI61-$AH61-$AG61-$AF61-$AE61*(1+EW$3))/$AJ61,'Технический лист'!$M:$N,2,1),(EV61-0.05)))</f>
        <v>1</v>
      </c>
      <c r="EX61" s="15">
        <f>MIN(1,MAX(VLOOKUP(($AJ61-$AI61-$AH61-$AG61-$AF61-$AE61*(1+EX$3))/$AJ61,'Технический лист'!$M:$N,2,1),(EW61-0.05)))</f>
        <v>1</v>
      </c>
      <c r="EY61" s="15">
        <f>MIN(1,MAX(VLOOKUP(($AJ61-$AI61-$AH61-$AG61-$AF61-$AE61*(1+EY$3))/$AJ61,'Технический лист'!$M:$N,2,1),(EX61-0.05)))</f>
        <v>1</v>
      </c>
      <c r="EZ61" s="15">
        <f>MIN(1,MAX(VLOOKUP(($AJ61-$AI61-$AH61-$AG61-$AF61-$AE61*(1+EZ$3))/$AJ61,'Технический лист'!$M:$N,2,1),(EY61-0.05)))</f>
        <v>1</v>
      </c>
      <c r="FA61" s="15">
        <f>MIN(1,MAX(VLOOKUP(($AJ61-$AI61-$AH61-$AG61-$AF61-$AE61*(1+FA$3))/$AJ61,'Технический лист'!$M:$N,2,1),(EZ61-0.05)))</f>
        <v>1</v>
      </c>
      <c r="FB61" s="15">
        <f>MIN(1,MAX(VLOOKUP(($AJ61-$AI61-$AH61-$AG61-$AF61-$AE61*(1+FB$3))/$AJ61,'Технический лист'!$M:$N,2,1),(FA61-0.05)))</f>
        <v>1</v>
      </c>
      <c r="FC61" s="15">
        <f>MIN(1,MAX(VLOOKUP(($AJ61-$AI61-$AH61-$AG61-$AF61-$AE61*(1+FC$3))/$AJ61,'Технический лист'!$M:$N,2,1),(FB61-0.05)))</f>
        <v>1</v>
      </c>
      <c r="FD61" s="15">
        <f>MIN(1,MAX(VLOOKUP(($AJ61-$AI61-$AH61-$AG61-$AF61-$AE61*(1+FD$3))/$AJ61,'Технический лист'!$M:$N,2,1),(FC61-0.05)))</f>
        <v>1</v>
      </c>
      <c r="FE61" s="15">
        <f>MIN(1,MAX(VLOOKUP(($AJ61-$AI61-$AH61-$AG61-$AF61-$AE61*(1+FE$3))/$AJ61,'Технический лист'!$M:$N,2,1),(FD61-0.05)))</f>
        <v>1</v>
      </c>
      <c r="FF61" s="15">
        <f>MIN(1,MAX(VLOOKUP(($AJ61-$AI61-$AH61-$AG61-$AF61-$AE61*(1+FF$3))/$AJ61,'Технический лист'!$M:$N,2,1),(FE61-0.05)))</f>
        <v>1</v>
      </c>
      <c r="FG61" s="15">
        <f>MIN(1,MAX(VLOOKUP(($AJ61-$AI61-$AH61-$AG61-$AF61-$AE61*(1+FG$3))/$AJ61,'Технический лист'!$M:$N,2,1),(FF61-0.05)))</f>
        <v>1</v>
      </c>
      <c r="FH61" s="15">
        <f>MIN(1,MAX(VLOOKUP(($AJ61-$AI61-$AH61-$AG61-$AF61-$AE61*(1+FH$3))/$AJ61,'Технический лист'!$M:$N,2,1),(FG61-0.05)))</f>
        <v>1</v>
      </c>
      <c r="FI61" s="15">
        <f>MIN(1,MAX(VLOOKUP(($AJ61-$AI61-$AH61-$AG61-$AF61-$AE61*(1+FI$3))/$AJ61,'Технический лист'!$M:$N,2,1),(FH61-0.05)))</f>
        <v>1</v>
      </c>
      <c r="FJ61" s="15">
        <f>MIN(1,MAX(VLOOKUP(($AJ61-$AI61-$AH61-$AG61-$AF61-$AE61*(1+FJ$3))/$AJ61,'Технический лист'!$M:$N,2,1),(FI61-0.05)))</f>
        <v>1</v>
      </c>
      <c r="FK61" s="15">
        <f>MIN(1,MAX(VLOOKUP(($AJ61-$AI61-$AH61-$AG61-$AF61-$AE61*(1+FK$3))/$AJ61,'Технический лист'!$M:$N,2,1),(FJ61-0.05)))</f>
        <v>1</v>
      </c>
      <c r="FL61" s="15">
        <f>MIN(1,MAX(VLOOKUP(($AJ61-$AI61-$AH61-$AG61-$AF61-$AE61*(1+FL$3))/$AJ61,'Технический лист'!$M:$N,2,1),(FK61-0.05)))</f>
        <v>1</v>
      </c>
      <c r="FM61" s="15">
        <f>MIN(1,MAX(VLOOKUP(($AJ61-$AI61-$AH61-$AG61-$AF61-$AE61*(1+FM$3))/$AJ61,'Технический лист'!$M:$N,2,1),(FL61-0.05)))</f>
        <v>1</v>
      </c>
      <c r="FN61" s="15">
        <f>MIN(1,MAX(VLOOKUP(($AJ61-$AI61-$AH61-$AG61-$AF61-$AE61*(1+FN$3))/$AJ61,'Технический лист'!$M:$N,2,1),(FM61-0.05)))</f>
        <v>1</v>
      </c>
      <c r="FO61" s="15">
        <f>MIN(1,MAX(VLOOKUP(($AJ61-$AI61-$AH61-$AG61-$AF61-$AE61*(1+FO$3))/$AJ61,'Технический лист'!$M:$N,2,1),(FN61-0.05)))</f>
        <v>1</v>
      </c>
      <c r="FP61" s="15">
        <f>MIN(1,MAX(VLOOKUP(($AJ61-$AI61-$AH61-$AG61-$AF61-$AE61*(1+FP$3))/$AJ61,'Технический лист'!$M:$N,2,1),(FO61-0.05)))</f>
        <v>1</v>
      </c>
      <c r="FQ61" s="15">
        <f>MIN(1,MAX(VLOOKUP(($AJ61-$AI61-$AH61-$AG61-$AF61-$AE61*(1+FQ$3))/$AJ61,'Технический лист'!$M:$N,2,1),(FP61-0.05)))</f>
        <v>1</v>
      </c>
      <c r="FR61" s="15">
        <f>MIN(1,MAX(VLOOKUP(($AJ61-$AI61-$AH61-$AG61-$AF61-$AE61*(1+FR$3))/$AJ61,'Технический лист'!$M:$N,2,1),(FQ61-0.05)))</f>
        <v>1</v>
      </c>
      <c r="FS61" s="15">
        <f>MIN(1,MAX(VLOOKUP(($AJ61-$AI61-$AH61-$AG61-$AF61-$AE61*(1+FS$3))/$AJ61,'Технический лист'!$M:$N,2,1),(FR61-0.05)))</f>
        <v>1</v>
      </c>
      <c r="FT61" s="15">
        <f>MIN(1,MAX(VLOOKUP(($AJ61-$AI61-$AH61-$AG61-$AF61-$AE61*(1+FT$3))/$AJ61,'Технический лист'!$M:$N,2,1),(FS61-0.05)))</f>
        <v>1</v>
      </c>
      <c r="FU61" s="15">
        <f>MIN(1,MAX(VLOOKUP(($AJ61-$AI61-$AH61-$AG61-$AF61-$AE61*(1+FU$3))/$AJ61,'Технический лист'!$M:$N,2,1),(FT61-0.05)))</f>
        <v>1</v>
      </c>
      <c r="FV61" s="15">
        <f>MIN(1,MAX(VLOOKUP(($AJ61-$AI61-$AH61-$AG61-$AF61-$AE61*(1+FV$3))/$AJ61,'Технический лист'!$M:$N,2,1),(FU61-0.05)))</f>
        <v>1</v>
      </c>
      <c r="FW61" s="15">
        <f>MIN(1,MAX(VLOOKUP(($AJ61-$AI61-$AH61-$AG61-$AF61-$AE61*(1+FW$3))/$AJ61,'Технический лист'!$M:$N,2,1),(FV61-0.05)))</f>
        <v>1</v>
      </c>
      <c r="FX61" s="15">
        <f>MIN(1,MAX(VLOOKUP(($AJ61-$AI61-$AH61-$AG61-$AF61-$AE61*(1+FX$3))/$AJ61,'Технический лист'!$M:$N,2,1),(FW61-0.05)))</f>
        <v>1</v>
      </c>
      <c r="FY61" s="15">
        <f>MIN(1,MAX(VLOOKUP(($AJ61-$AI61-$AH61-$AG61-$AF61-$AE61*(1+FY$3))/$AJ61,'Технический лист'!$M:$N,2,1),(FX61-0.05)))</f>
        <v>1</v>
      </c>
      <c r="FZ61" s="15">
        <f>MIN(1,MAX(VLOOKUP(($AJ61-$AI61-$AH61-$AG61-$AF61-$AE61*(1+FZ$3))/$AJ61,'Технический лист'!$M:$N,2,1),(FY61-0.05)))</f>
        <v>1</v>
      </c>
      <c r="GA61" s="15">
        <f>MIN(1,MAX(VLOOKUP(($AJ61-$AI61-$AH61-$AG61-$AF61-$AE61*(1+GA$3))/$AJ61,'Технический лист'!$M:$N,2,1),(FZ61-0.05)))</f>
        <v>1</v>
      </c>
      <c r="GB61" s="15">
        <f>MIN(1,MAX(VLOOKUP(($AJ61-$AI61-$AH61-$AG61-$AF61-$AE61*(1+GB$3))/$AJ61,'Технический лист'!$M:$N,2,1),(GA61-0.05)))</f>
        <v>1</v>
      </c>
      <c r="GC61" s="15">
        <f>MIN(1,MAX(VLOOKUP(($AJ61-$AI61-$AH61-$AG61-$AF61-$AE61*(1+GC$3))/$AJ61,'Технический лист'!$M:$N,2,1),(GB61-0.05)))</f>
        <v>1</v>
      </c>
      <c r="GD61" s="15">
        <f>MIN(1,MAX(VLOOKUP(($AJ61-$AI61-$AH61-$AG61-$AF61-$AE61*(1+GD$3))/$AJ61,'Технический лист'!$M:$N,2,1),(GC61-0.05)))</f>
        <v>1</v>
      </c>
      <c r="GE61" s="15">
        <f>MIN(1,MAX(VLOOKUP(($AJ61-$AI61-$AH61-$AG61-$AF61-$AE61*(1+GE$3))/$AJ61,'Технический лист'!$M:$N,2,1),(GD61-0.05)))</f>
        <v>1</v>
      </c>
      <c r="GF61" s="15">
        <f>MIN(1,MAX(VLOOKUP(($AJ61-$AI61-$AH61-$AG61-$AF61-$AE61*(1+GF$3))/$AJ61,'Технический лист'!$M:$N,2,1),(GE61-0.05)))</f>
        <v>1</v>
      </c>
      <c r="GG61" s="15">
        <f>MIN(1,MAX(VLOOKUP(($AJ61-$AI61-$AH61-$AG61-$AF61-$AE61*(1+GG$3))/$AJ61,'Технический лист'!$M:$N,2,1),(GF61-0.05)))</f>
        <v>1</v>
      </c>
      <c r="GH61" s="15">
        <f>MIN(1,MAX(VLOOKUP(($AJ61-$AI61-$AH61-$AG61-$AF61-$AE61*(1+GH$3))/$AJ61,'Технический лист'!$M:$N,2,1),(GG61-0.05)))</f>
        <v>1</v>
      </c>
      <c r="GI61" s="15">
        <f>MIN(1,MAX(VLOOKUP(($AJ61-$AI61-$AH61-$AG61-$AF61-$AE61*(1+GI$3))/$AJ61,'Технический лист'!$M:$N,2,1),(GH61-0.05)))</f>
        <v>1</v>
      </c>
      <c r="GJ61" s="15">
        <f>MIN(1,MAX(VLOOKUP(($AJ61-$AI61-$AH61-$AG61-$AF61-$AE61*(1+GJ$3))/$AJ61,'Технический лист'!$M:$N,2,1),(GI61-0.05)))</f>
        <v>1</v>
      </c>
      <c r="GK61" s="15">
        <f>MIN(1,MAX(VLOOKUP(($AJ61-$AI61-$AH61-$AG61-$AF61-$AE61*(1+GK$3))/$AJ61,'Технический лист'!$M:$N,2,1),(GJ61-0.05)))</f>
        <v>1</v>
      </c>
      <c r="GL61" s="15">
        <f>MIN(1,MAX(VLOOKUP(($AJ61-$AI61-$AH61-$AG61-$AF61-$AE61*(1+GL$3))/$AJ61,'Технический лист'!$M:$N,2,1),(GK61-0.05)))</f>
        <v>1</v>
      </c>
      <c r="GM61" s="15">
        <f>MIN(1,MAX(VLOOKUP(($AJ61-$AI61-$AH61-$AG61-$AF61-$AE61*(1+GM$3))/$AJ61,'Технический лист'!$M:$N,2,1),(GL61-0.05)))</f>
        <v>1</v>
      </c>
      <c r="GN61" s="15">
        <f>MIN(1,MAX(VLOOKUP(($AJ61-$AI61-$AH61-$AG61-$AF61-$AE61*(1+GN$3))/$AJ61,'Технический лист'!$M:$N,2,1),(GM61-0.05)))</f>
        <v>1</v>
      </c>
      <c r="GO61" s="15">
        <f>MIN(1,MAX(VLOOKUP(($AJ61-$AI61-$AH61-$AG61-$AF61-$AE61*(1+GO$3))/$AJ61,'Технический лист'!$M:$N,2,1),(GN61-0.05)))</f>
        <v>1</v>
      </c>
      <c r="GP61" s="15">
        <f>MIN(1,MAX(VLOOKUP(($AJ61-$AI61-$AH61-$AG61-$AF61-$AE61*(1+GP$3))/$AJ61,'Технический лист'!$M:$N,2,1),(GO61-0.05)))</f>
        <v>1</v>
      </c>
      <c r="GQ61" s="15">
        <f>MIN(1,MAX(VLOOKUP(($AJ61-$AI61-$AH61-$AG61-$AF61-$AE61*(1+GQ$3))/$AJ61,'Технический лист'!$M:$N,2,1),(GP61-0.05)))</f>
        <v>1</v>
      </c>
      <c r="GR61" s="15">
        <f>MIN(1,MAX(VLOOKUP(($AJ61-$AI61-$AH61-$AG61-$AF61-$AE61*(1+GR$3))/$AJ61,'Технический лист'!$M:$N,2,1),(GQ61-0.05)))</f>
        <v>1</v>
      </c>
      <c r="GS61" s="15">
        <f>MIN(1,MAX(VLOOKUP(($AJ61-$AI61-$AH61-$AG61-$AF61-$AE61*(1+GS$3))/$AJ61,'Технический лист'!$M:$N,2,1),(GR61-0.05)))</f>
        <v>1</v>
      </c>
      <c r="GT61" s="15">
        <f>MIN(1,MAX(VLOOKUP(($AJ61-$AI61-$AH61-$AG61-$AF61-$AE61*(1+GT$3))/$AJ61,'Технический лист'!$M:$N,2,1),(GS61-0.05)))</f>
        <v>1</v>
      </c>
      <c r="GU61" s="15">
        <f>MIN(1,MAX(VLOOKUP(($AJ61-$AI61-$AH61-$AG61-$AF61-$AE61*(1+GU$3))/$AJ61,'Технический лист'!$M:$N,2,1),(GT61-0.05)))</f>
        <v>1</v>
      </c>
      <c r="GV61" s="15">
        <f>MIN(1,MAX(VLOOKUP(($AJ61-$AI61-$AH61-$AG61-$AF61-$AE61*(1+GV$3))/$AJ61,'Технический лист'!$M:$N,2,1),(GU61-0.05)))</f>
        <v>1</v>
      </c>
      <c r="GW61" s="15">
        <f>MIN(1,MAX(VLOOKUP(($AJ61-$AI61-$AH61-$AG61-$AF61-$AE61*(1+GW$3))/$AJ61,'Технический лист'!$M:$N,2,1),(GV61-0.05)))</f>
        <v>1</v>
      </c>
      <c r="GX61" s="15">
        <f>MIN(1,MAX(VLOOKUP(($AJ61-$AI61-$AH61-$AG61-$AF61-$AE61*(1+GX$3))/$AJ61,'Технический лист'!$M:$N,2,1),(GW61-0.05)))</f>
        <v>1</v>
      </c>
      <c r="GY61" s="15">
        <f>MIN(1,MAX(VLOOKUP(($AJ61-$AI61-$AH61-$AG61-$AF61-$AE61*(1+GY$3))/$AJ61,'Технический лист'!$M:$N,2,1),(GX61-0.05)))</f>
        <v>1</v>
      </c>
      <c r="GZ61" s="15">
        <f>MIN(1,MAX(VLOOKUP(($AJ61-$AI61-$AH61-$AG61-$AF61-$AE61*(1+GZ$3))/$AJ61,'Технический лист'!$M:$N,2,1),(GY61-0.05)))</f>
        <v>1</v>
      </c>
      <c r="HA61" s="15">
        <f>MIN(1,MAX(VLOOKUP(($AJ61-$AI61-$AH61-$AG61-$AF61-$AE61*(1+HA$3))/$AJ61,'Технический лист'!$M:$N,2,1),(GZ61-0.05)))</f>
        <v>1</v>
      </c>
      <c r="HB61" s="15">
        <f>MIN(1,MAX(VLOOKUP(($AJ61-$AI61-$AH61-$AG61-$AF61-$AE61*(1+HB$3))/$AJ61,'Технический лист'!$M:$N,2,1),(HA61-0.05)))</f>
        <v>1</v>
      </c>
      <c r="HC61" s="15">
        <f>MIN(1,MAX(VLOOKUP(($AJ61-$AI61-$AH61-$AG61-$AF61-$AE61*(1+HC$3))/$AJ61,'Технический лист'!$M:$N,2,1),(HB61-0.05)))</f>
        <v>1</v>
      </c>
      <c r="HD61" s="15">
        <f>MIN(1,MAX(VLOOKUP(($AJ61-$AI61-$AH61-$AG61-$AF61-$AE61*(1+HD$3))/$AJ61,'Технический лист'!$M:$N,2,1),(HC61-0.05)))</f>
        <v>1</v>
      </c>
      <c r="HE61" s="15">
        <f>MIN(1,MAX(VLOOKUP(($AJ61-$AI61-$AH61-$AG61-$AF61-$AE61*(1+HE$3))/$AJ61,'Технический лист'!$M:$N,2,1),(HD61-0.05)))</f>
        <v>1</v>
      </c>
      <c r="HF61" s="15">
        <f>MIN(1,MAX(VLOOKUP(($AJ61-$AI61-$AH61-$AG61-$AF61-$AE61*(1+HF$3))/$AJ61,'Технический лист'!$M:$N,2,1),(HE61-0.05)))</f>
        <v>1</v>
      </c>
      <c r="HG61" s="15">
        <f>MIN(1,MAX(VLOOKUP(($AJ61-$AI61-$AH61-$AG61-$AF61-$AE61*(1+HG$3))/$AJ61,'Технический лист'!$M:$N,2,1),(HF61-0.05)))</f>
        <v>1</v>
      </c>
      <c r="HH61" s="15">
        <f>MIN(1,MAX(VLOOKUP(($AJ61-$AI61-$AH61-$AG61-$AF61-$AE61*(1+HH$3))/$AJ61,'Технический лист'!$M:$N,2,1),(HG61-0.05)))</f>
        <v>1</v>
      </c>
      <c r="HI61" s="15">
        <f>MIN(1,MAX(VLOOKUP(($AJ61-$AI61-$AH61-$AG61-$AF61-$AE61*(1+HI$3))/$AJ61,'Технический лист'!$M:$N,2,1),(HH61-0.05)))</f>
        <v>1</v>
      </c>
      <c r="HJ61" s="15">
        <f>MIN(1,MAX(VLOOKUP(($AJ61-$AI61-$AH61-$AG61-$AF61-$AE61*(1+HJ$3))/$AJ61,'Технический лист'!$M:$N,2,1),(HI61-0.05)))</f>
        <v>1</v>
      </c>
      <c r="HK61" s="15">
        <f>MIN(1,MAX(VLOOKUP(($AJ61-$AI61-$AH61-$AG61-$AF61-$AE61*(1+HK$3))/$AJ61,'Технический лист'!$M:$N,2,1),(HJ61-0.05)))</f>
        <v>1</v>
      </c>
      <c r="HL61" s="15">
        <f>MIN(1,MAX(VLOOKUP(($AJ61-$AI61-$AH61-$AG61-$AF61-$AE61*(1+HL$3))/$AJ61,'Технический лист'!$M:$N,2,1),(HK61-0.05)))</f>
        <v>1</v>
      </c>
      <c r="HM61" s="15">
        <f>MIN(1,MAX(VLOOKUP(($AJ61-$AI61-$AH61-$AG61-$AF61-$AE61*(1+HM$3))/$AJ61,'Технический лист'!$M:$N,2,1),(HL61-0.05)))</f>
        <v>1</v>
      </c>
      <c r="HN61" s="15">
        <f>MIN(1,MAX(VLOOKUP(($AJ61-$AI61-$AH61-$AG61-$AF61-$AE61*(1+HN$3))/$AJ61,'Технический лист'!$M:$N,2,1),(HM61-0.05)))</f>
        <v>1</v>
      </c>
      <c r="HO61" s="15">
        <f>MIN(1,MAX(VLOOKUP(($AJ61-$AI61-$AH61-$AG61-$AF61-$AE61*(1+HO$3))/$AJ61,'Технический лист'!$M:$N,2,1),(HN61-0.05)))</f>
        <v>1</v>
      </c>
      <c r="HP61" s="15">
        <f>MIN(1,MAX(VLOOKUP(($AJ61-$AI61-$AH61-$AG61-$AF61-$AE61*(1+HP$3))/$AJ61,'Технический лист'!$M:$N,2,1),(HO61-0.05)))</f>
        <v>1</v>
      </c>
      <c r="HQ61" s="15">
        <f>MIN(1,MAX(VLOOKUP(($AJ61-$AI61-$AH61-$AG61-$AF61-$AE61*(1+HQ$3))/$AJ61,'Технический лист'!$M:$N,2,1),(HP61-0.05)))</f>
        <v>1</v>
      </c>
      <c r="HR61" s="15">
        <f>MIN(1,MAX(VLOOKUP(($AJ61-$AI61-$AH61-$AG61-$AF61-$AE61*(1+HR$3))/$AJ61,'Технический лист'!$M:$N,2,1),(HQ61-0.05)))</f>
        <v>1</v>
      </c>
      <c r="HS61" s="15">
        <f>MIN(1,MAX(VLOOKUP(($AJ61-$AI61-$AH61-$AG61-$AF61-$AE61*(1+HS$3))/$AJ61,'Технический лист'!$M:$N,2,1),(HR61-0.05)))</f>
        <v>1</v>
      </c>
      <c r="HT61" s="15">
        <f>MIN(1,MAX(VLOOKUP(($AJ61-$AI61-$AH61-$AG61-$AF61-$AE61*(1+HT$3))/$AJ61,'Технический лист'!$M:$N,2,1),(HS61-0.05)))</f>
        <v>1</v>
      </c>
      <c r="HU61" s="15">
        <f>MIN(1,MAX(VLOOKUP(($AJ61-$AI61-$AH61-$AG61-$AF61-$AE61*(1+HU$3))/$AJ61,'Технический лист'!$M:$N,2,1),(HT61-0.05)))</f>
        <v>1</v>
      </c>
      <c r="HV61" s="15">
        <f>MIN(1,MAX(VLOOKUP(($AJ61-$AI61-$AH61-$AG61-$AF61-$AE61*(1+HV$3))/$AJ61,'Технический лист'!$M:$N,2,1),(HU61-0.05)))</f>
        <v>1</v>
      </c>
      <c r="HW61" s="15">
        <f>MIN(1,MAX(VLOOKUP(($AJ61-$AI61-$AH61-$AG61-$AF61-$AE61*(1+HW$3))/$AJ61,'Технический лист'!$M:$N,2,1),(HV61-0.05)))</f>
        <v>1</v>
      </c>
      <c r="HX61" s="15">
        <f>MIN(1,MAX(VLOOKUP(($AJ61-$AI61-$AH61-$AG61-$AF61-$AE61*(1+HX$3))/$AJ61,'Технический лист'!$M:$N,2,1),(HW61-0.05)))</f>
        <v>1</v>
      </c>
      <c r="HY61" s="15">
        <f>MIN(1,MAX(VLOOKUP(($AJ61-$AI61-$AH61-$AG61-$AF61-$AE61*(1+HY$3))/$AJ61,'Технический лист'!$M:$N,2,1),(HX61-0.05)))</f>
        <v>1</v>
      </c>
      <c r="HZ61" s="15">
        <f>MIN(1,MAX(VLOOKUP(($AJ61-$AI61-$AH61-$AG61-$AF61-$AE61*(1+HZ$3))/$AJ61,'Технический лист'!$M:$N,2,1),(HY61-0.05)))</f>
        <v>1</v>
      </c>
      <c r="IA61" s="15">
        <f>MIN(1,MAX(VLOOKUP(($AJ61-$AI61-$AH61-$AG61-$AF61-$AE61*(1+IA$3))/$AJ61,'Технический лист'!$M:$N,2,1),(HZ61-0.05)))</f>
        <v>1</v>
      </c>
      <c r="IB61" s="15">
        <f>MIN(1,MAX(VLOOKUP(($AJ61-$AI61-$AH61-$AG61-$AF61-$AE61*(1+IB$3))/$AJ61,'Технический лист'!$M:$N,2,1),(IA61-0.05)))</f>
        <v>1</v>
      </c>
      <c r="IC61" s="15">
        <f>MIN(1,MAX(VLOOKUP(($AJ61-$AI61-$AH61-$AG61-$AF61-$AE61*(1+IC$3))/$AJ61,'Технический лист'!$M:$N,2,1),(IB61-0.05)))</f>
        <v>1</v>
      </c>
      <c r="ID61" s="15">
        <f>MIN(1,MAX(VLOOKUP(($AJ61-$AI61-$AH61-$AG61-$AF61-$AE61*(1+ID$3))/$AJ61,'Технический лист'!$M:$N,2,1),(IC61-0.05)))</f>
        <v>1</v>
      </c>
      <c r="IE61" s="15">
        <f>MIN(1,MAX(VLOOKUP(($AJ61-$AI61-$AH61-$AG61-$AF61-$AE61*(1+IE$3))/$AJ61,'Технический лист'!$M:$N,2,1),(ID61-0.05)))</f>
        <v>1</v>
      </c>
      <c r="IF61" s="15">
        <f>MIN(1,MAX(VLOOKUP(($AJ61-$AI61-$AH61-$AG61-$AF61-$AE61*(1+IF$3))/$AJ61,'Технический лист'!$M:$N,2,1),(IE61-0.05)))</f>
        <v>1</v>
      </c>
      <c r="IG61" s="15">
        <f>MIN(1,MAX(VLOOKUP(($AJ61-$AI61-$AH61-$AG61-$AF61-$AE61*(1+IG$3))/$AJ61,'Технический лист'!$M:$N,2,1),(IF61-0.05)))</f>
        <v>1</v>
      </c>
      <c r="IH61" s="15">
        <f>MIN(1,MAX(VLOOKUP(($AJ61-$AI61-$AH61-$AG61-$AF61-$AE61*(1+IH$3))/$AJ61,'Технический лист'!$M:$N,2,1),(IG61-0.05)))</f>
        <v>1</v>
      </c>
      <c r="II61" s="15">
        <f>MIN(1,MAX(VLOOKUP(($AJ61-$AI61-$AH61-$AG61-$AF61-$AE61*(1+II$3))/$AJ61,'Технический лист'!$M:$N,2,1),(IH61-0.05)))</f>
        <v>1</v>
      </c>
      <c r="IJ61" s="15">
        <f>MIN(1,MAX(VLOOKUP(($AJ61-$AI61-$AH61-$AG61-$AF61-$AE61*(1+IJ$3))/$AJ61,'Технический лист'!$M:$N,2,1),(II61-0.05)))</f>
        <v>1</v>
      </c>
      <c r="IK61" s="15">
        <f>MIN(1,MAX(VLOOKUP(($AJ61-$AI61-$AH61-$AG61-$AF61-$AE61*(1+IK$3))/$AJ61,'Технический лист'!$M:$N,2,1),(IJ61-0.05)))</f>
        <v>1</v>
      </c>
      <c r="IL61" s="15">
        <f>MIN(1,MAX(VLOOKUP(($AJ61-$AI61-$AH61-$AG61-$AF61-$AE61*(1+IL$3))/$AJ61,'Технический лист'!$M:$N,2,1),(IK61-0.05)))</f>
        <v>1</v>
      </c>
      <c r="IM61" s="15">
        <f>MIN(1,MAX(VLOOKUP(($AJ61-$AI61-$AH61-$AG61-$AF61-$AE61*(1+IM$3))/$AJ61,'Технический лист'!$M:$N,2,1),(IL61-0.05)))</f>
        <v>1</v>
      </c>
      <c r="IN61" s="15">
        <f>MIN(1,MAX(VLOOKUP(($AJ61-$AI61-$AH61-$AG61-$AF61-$AE61*(1+IN$3))/$AJ61,'Технический лист'!$M:$N,2,1),(IM61-0.05)))</f>
        <v>1</v>
      </c>
      <c r="IO61" s="15">
        <f>MIN(1,MAX(VLOOKUP(($AJ61-$AI61-$AH61-$AG61-$AF61-$AE61*(1+IO$3))/$AJ61,'Технический лист'!$M:$N,2,1),(IN61-0.05)))</f>
        <v>1</v>
      </c>
      <c r="IP61" s="15">
        <f>MIN(1,MAX(VLOOKUP(($AJ61-$AI61-$AH61-$AG61-$AF61-$AE61*(1+IP$3))/$AJ61,'Технический лист'!$M:$N,2,1),(IO61-0.05)))</f>
        <v>1</v>
      </c>
      <c r="IQ61" s="15">
        <f>MIN(1,MAX(VLOOKUP(($AJ61-$AI61-$AH61-$AG61-$AF61-$AE61*(1+IQ$3))/$AJ61,'Технический лист'!$M:$N,2,1),(IP61-0.05)))</f>
        <v>1</v>
      </c>
      <c r="IR61" s="15">
        <f>MIN(1,MAX(VLOOKUP(($AJ61-$AI61-$AH61-$AG61-$AF61-$AE61*(1+IR$3))/$AJ61,'Технический лист'!$M:$N,2,1),(IQ61-0.05)))</f>
        <v>1</v>
      </c>
    </row>
    <row r="62" spans="1:252" s="4" customFormat="1" ht="44.15" customHeight="1">
      <c r="A62" s="89" t="s">
        <v>512</v>
      </c>
      <c r="B62" s="76">
        <v>4</v>
      </c>
      <c r="C62" s="3" t="s">
        <v>67</v>
      </c>
      <c r="D62" s="77">
        <v>15144</v>
      </c>
      <c r="E62" s="77" t="s">
        <v>389</v>
      </c>
      <c r="F62" s="78" t="s">
        <v>390</v>
      </c>
      <c r="G62" s="77" t="s">
        <v>19</v>
      </c>
      <c r="H62" s="77" t="s">
        <v>19</v>
      </c>
      <c r="I62" s="77" t="s">
        <v>361</v>
      </c>
      <c r="J62" s="77" t="s">
        <v>364</v>
      </c>
      <c r="K62" s="77">
        <v>258</v>
      </c>
      <c r="L62" s="77" t="s">
        <v>64</v>
      </c>
      <c r="M62" s="91" t="s">
        <v>190</v>
      </c>
      <c r="N62" s="77" t="s">
        <v>191</v>
      </c>
      <c r="O62" s="77" t="s">
        <v>194</v>
      </c>
      <c r="P62" s="79" t="s">
        <v>377</v>
      </c>
      <c r="Q62" s="77" t="s">
        <v>261</v>
      </c>
      <c r="R62" s="77" t="s">
        <v>261</v>
      </c>
      <c r="S62" s="80">
        <v>3657292</v>
      </c>
      <c r="T62" s="80">
        <v>943583935</v>
      </c>
      <c r="U62" s="81">
        <v>52156</v>
      </c>
      <c r="V62" s="81">
        <v>0</v>
      </c>
      <c r="W62" s="82">
        <v>976556844</v>
      </c>
      <c r="X62" s="112">
        <v>69</v>
      </c>
      <c r="Y62" s="112" t="s">
        <v>418</v>
      </c>
      <c r="Z62" s="113">
        <v>3</v>
      </c>
      <c r="AA62" s="113">
        <v>3</v>
      </c>
      <c r="AB62" s="113">
        <v>4</v>
      </c>
      <c r="AC62" s="99">
        <v>297.86</v>
      </c>
      <c r="AD62" s="99">
        <f t="shared" si="19"/>
        <v>109.03999999999996</v>
      </c>
      <c r="AE62" s="99">
        <v>406.9</v>
      </c>
      <c r="AF62" s="98">
        <f>(Z62+AA62+AB62)*'Ставки аренды'!$B$3/X62</f>
        <v>101.44927536231884</v>
      </c>
      <c r="AG62" s="114">
        <v>0</v>
      </c>
      <c r="AH62" s="94">
        <v>0</v>
      </c>
      <c r="AI62" s="115">
        <f>12254/14812*AJ62</f>
        <v>13236.834998649745</v>
      </c>
      <c r="AJ62" s="117">
        <f>Цены!D27</f>
        <v>16000</v>
      </c>
      <c r="AK62" s="94">
        <f>AJ62/Цены!$B$1</f>
        <v>209.68344352635131</v>
      </c>
      <c r="AL62" s="95">
        <f t="shared" si="5"/>
        <v>508.34927536231885</v>
      </c>
      <c r="AM62" s="95">
        <f t="shared" si="6"/>
        <v>15491.65072463768</v>
      </c>
      <c r="AN62" s="94">
        <f t="shared" si="16"/>
        <v>13745.184274012063</v>
      </c>
      <c r="AO62" s="118">
        <f t="shared" si="17"/>
        <v>0.14092598287424607</v>
      </c>
      <c r="AP62" s="96">
        <f t="shared" si="7"/>
        <v>3.177182971014493E-2</v>
      </c>
      <c r="AQ62" s="96">
        <f t="shared" si="8"/>
        <v>2.5431249999999999E-2</v>
      </c>
      <c r="AR62" s="96">
        <f t="shared" si="9"/>
        <v>0.80043391369051853</v>
      </c>
      <c r="AS62" s="122">
        <v>1</v>
      </c>
      <c r="AT62" s="121">
        <f t="shared" si="10"/>
        <v>3657292</v>
      </c>
      <c r="AU62" s="7" t="s">
        <v>475</v>
      </c>
      <c r="AV62" s="119">
        <f t="shared" si="11"/>
        <v>0.13787423287424599</v>
      </c>
      <c r="AW62" s="120">
        <f t="shared" si="12"/>
        <v>3.4823579710144929E-2</v>
      </c>
      <c r="AX62" s="120">
        <f t="shared" si="13"/>
        <v>2.8483000000000001E-2</v>
      </c>
      <c r="AY62" s="120">
        <f t="shared" si="14"/>
        <v>0.81792280509583093</v>
      </c>
      <c r="AZ62" s="15">
        <v>1</v>
      </c>
      <c r="BA62" s="15">
        <v>1</v>
      </c>
      <c r="BB62" s="15">
        <v>1</v>
      </c>
      <c r="BC62" s="15">
        <v>1</v>
      </c>
      <c r="BD62" s="15">
        <v>1</v>
      </c>
      <c r="BE62" s="15">
        <v>1</v>
      </c>
      <c r="BF62" s="15">
        <v>1</v>
      </c>
      <c r="BG62" s="15">
        <v>1</v>
      </c>
      <c r="BH62" s="15">
        <v>1</v>
      </c>
      <c r="BI62" s="15">
        <v>1</v>
      </c>
      <c r="BJ62" s="15">
        <v>1</v>
      </c>
      <c r="BK62" s="15">
        <v>1</v>
      </c>
      <c r="BL62" s="15">
        <v>1</v>
      </c>
      <c r="BM62" s="15">
        <v>1</v>
      </c>
      <c r="BN62" s="15">
        <v>1</v>
      </c>
      <c r="BO62" s="15">
        <v>1</v>
      </c>
      <c r="BP62" s="15">
        <v>1</v>
      </c>
      <c r="BQ62" s="15">
        <v>1</v>
      </c>
      <c r="BR62" s="15">
        <v>1</v>
      </c>
      <c r="BS62" s="15">
        <v>1</v>
      </c>
      <c r="BT62" s="15">
        <v>1</v>
      </c>
      <c r="BU62" s="15">
        <v>1</v>
      </c>
      <c r="BV62" s="15">
        <v>1</v>
      </c>
      <c r="BW62" s="15">
        <v>1</v>
      </c>
      <c r="BX62" s="15">
        <v>1</v>
      </c>
      <c r="BY62" s="15">
        <v>1</v>
      </c>
      <c r="BZ62" s="15">
        <v>1</v>
      </c>
      <c r="CA62" s="15">
        <v>1</v>
      </c>
      <c r="CB62" s="15">
        <v>1</v>
      </c>
      <c r="CC62" s="15">
        <v>1</v>
      </c>
      <c r="CD62" s="15">
        <v>1</v>
      </c>
      <c r="CE62" s="15">
        <v>1</v>
      </c>
      <c r="CF62" s="15">
        <v>1</v>
      </c>
      <c r="CG62" s="15">
        <v>1</v>
      </c>
      <c r="CH62" s="15">
        <v>1</v>
      </c>
      <c r="CI62" s="15">
        <v>1</v>
      </c>
      <c r="CJ62" s="15">
        <v>1</v>
      </c>
      <c r="CK62" s="15">
        <v>1</v>
      </c>
      <c r="CL62" s="15">
        <v>1</v>
      </c>
      <c r="CM62" s="15">
        <v>1</v>
      </c>
      <c r="CN62" s="15">
        <v>1</v>
      </c>
      <c r="CO62" s="15">
        <v>1</v>
      </c>
      <c r="CP62" s="15">
        <v>1</v>
      </c>
      <c r="CQ62" s="15">
        <v>1</v>
      </c>
      <c r="CR62" s="15">
        <v>1</v>
      </c>
      <c r="CS62" s="15">
        <v>1</v>
      </c>
      <c r="CT62" s="15">
        <v>1</v>
      </c>
      <c r="CU62" s="15">
        <v>1</v>
      </c>
      <c r="CV62" s="15">
        <v>1</v>
      </c>
      <c r="CW62" s="15">
        <v>1</v>
      </c>
      <c r="CX62" s="15">
        <v>1</v>
      </c>
      <c r="CY62" s="15">
        <v>1</v>
      </c>
      <c r="CZ62" s="15">
        <v>1</v>
      </c>
      <c r="DA62" s="15">
        <v>1</v>
      </c>
      <c r="DB62" s="15">
        <v>1</v>
      </c>
      <c r="DC62" s="15">
        <v>1</v>
      </c>
      <c r="DD62" s="15">
        <v>1</v>
      </c>
      <c r="DE62" s="15">
        <v>1</v>
      </c>
      <c r="DF62" s="15">
        <v>1</v>
      </c>
      <c r="DG62" s="15">
        <v>1</v>
      </c>
      <c r="DH62" s="15">
        <v>1</v>
      </c>
      <c r="DI62" s="15">
        <v>1</v>
      </c>
      <c r="DJ62" s="15">
        <v>1</v>
      </c>
      <c r="DK62" s="15">
        <v>1</v>
      </c>
      <c r="DL62" s="15">
        <v>1</v>
      </c>
      <c r="DM62" s="15">
        <v>1</v>
      </c>
      <c r="DN62" s="15">
        <v>1</v>
      </c>
      <c r="DO62" s="15">
        <v>1</v>
      </c>
      <c r="DP62" s="15">
        <v>1</v>
      </c>
      <c r="DQ62" s="15">
        <v>1</v>
      </c>
      <c r="DR62" s="15">
        <v>1</v>
      </c>
      <c r="DS62" s="15">
        <v>1</v>
      </c>
      <c r="DT62" s="15">
        <v>1</v>
      </c>
      <c r="DU62" s="15">
        <v>1</v>
      </c>
      <c r="DV62" s="15">
        <v>1</v>
      </c>
      <c r="DW62" s="15">
        <v>1</v>
      </c>
      <c r="DX62" s="15">
        <v>1</v>
      </c>
      <c r="DY62" s="15">
        <v>1</v>
      </c>
      <c r="DZ62" s="15">
        <v>1</v>
      </c>
      <c r="EA62" s="15">
        <v>1</v>
      </c>
      <c r="EB62" s="15">
        <v>1</v>
      </c>
      <c r="EC62" s="15">
        <v>1</v>
      </c>
      <c r="ED62" s="15">
        <v>1</v>
      </c>
      <c r="EE62" s="15">
        <v>1</v>
      </c>
      <c r="EF62" s="15">
        <v>1</v>
      </c>
      <c r="EG62" s="15">
        <v>1</v>
      </c>
      <c r="EH62" s="15">
        <v>1</v>
      </c>
      <c r="EI62" s="15">
        <v>1</v>
      </c>
      <c r="EJ62" s="15">
        <v>1</v>
      </c>
      <c r="EK62" s="15">
        <v>1</v>
      </c>
      <c r="EL62" s="15">
        <v>1</v>
      </c>
      <c r="EM62" s="15">
        <v>1</v>
      </c>
      <c r="EN62" s="15">
        <v>1</v>
      </c>
      <c r="EO62" s="15">
        <v>1</v>
      </c>
      <c r="EP62" s="15">
        <v>1</v>
      </c>
      <c r="EQ62" s="15">
        <v>1</v>
      </c>
      <c r="ER62" s="15">
        <v>1</v>
      </c>
      <c r="ES62" s="15">
        <v>1</v>
      </c>
      <c r="ET62" s="15">
        <v>1</v>
      </c>
      <c r="EU62" s="15">
        <v>1</v>
      </c>
      <c r="EV62" s="111">
        <v>1</v>
      </c>
      <c r="EW62" s="15">
        <v>1</v>
      </c>
      <c r="EX62" s="15">
        <v>1</v>
      </c>
      <c r="EY62" s="15">
        <v>1</v>
      </c>
      <c r="EZ62" s="15">
        <v>1</v>
      </c>
      <c r="FA62" s="15">
        <v>1</v>
      </c>
      <c r="FB62" s="15">
        <v>1</v>
      </c>
      <c r="FC62" s="15">
        <v>1</v>
      </c>
      <c r="FD62" s="15">
        <v>1</v>
      </c>
      <c r="FE62" s="15">
        <v>1</v>
      </c>
      <c r="FF62" s="15">
        <v>1</v>
      </c>
      <c r="FG62" s="15">
        <v>1</v>
      </c>
      <c r="FH62" s="15">
        <v>1</v>
      </c>
      <c r="FI62" s="15">
        <v>1</v>
      </c>
      <c r="FJ62" s="15">
        <v>1</v>
      </c>
      <c r="FK62" s="15">
        <v>1</v>
      </c>
      <c r="FL62" s="15">
        <v>1</v>
      </c>
      <c r="FM62" s="15">
        <v>1</v>
      </c>
      <c r="FN62" s="15">
        <v>1</v>
      </c>
      <c r="FO62" s="15">
        <v>1</v>
      </c>
      <c r="FP62" s="15">
        <v>1</v>
      </c>
      <c r="FQ62" s="15">
        <v>1</v>
      </c>
      <c r="FR62" s="15">
        <v>1</v>
      </c>
      <c r="FS62" s="15">
        <v>1</v>
      </c>
      <c r="FT62" s="15">
        <v>1</v>
      </c>
      <c r="FU62" s="15">
        <v>1</v>
      </c>
      <c r="FV62" s="15">
        <v>1</v>
      </c>
      <c r="FW62" s="15">
        <v>1</v>
      </c>
      <c r="FX62" s="15">
        <v>1</v>
      </c>
      <c r="FY62" s="15">
        <v>1</v>
      </c>
      <c r="FZ62" s="15">
        <v>1</v>
      </c>
      <c r="GA62" s="15">
        <v>1</v>
      </c>
      <c r="GB62" s="15">
        <v>1</v>
      </c>
      <c r="GC62" s="15">
        <v>1</v>
      </c>
      <c r="GD62" s="15">
        <v>1</v>
      </c>
      <c r="GE62" s="15">
        <v>1</v>
      </c>
      <c r="GF62" s="15">
        <v>1</v>
      </c>
      <c r="GG62" s="15">
        <v>1</v>
      </c>
      <c r="GH62" s="15">
        <v>1</v>
      </c>
      <c r="GI62" s="15">
        <v>1</v>
      </c>
      <c r="GJ62" s="15">
        <v>1</v>
      </c>
      <c r="GK62" s="15">
        <v>1</v>
      </c>
      <c r="GL62" s="15">
        <v>1</v>
      </c>
      <c r="GM62" s="15">
        <v>1</v>
      </c>
      <c r="GN62" s="15">
        <v>1</v>
      </c>
      <c r="GO62" s="15">
        <v>1</v>
      </c>
      <c r="GP62" s="15">
        <v>1</v>
      </c>
      <c r="GQ62" s="15">
        <v>1</v>
      </c>
      <c r="GR62" s="15">
        <v>1</v>
      </c>
      <c r="GS62" s="15">
        <v>1</v>
      </c>
      <c r="GT62" s="15">
        <v>1</v>
      </c>
      <c r="GU62" s="15">
        <v>1</v>
      </c>
      <c r="GV62" s="15">
        <v>1</v>
      </c>
      <c r="GW62" s="15">
        <v>1</v>
      </c>
      <c r="GX62" s="15">
        <v>1</v>
      </c>
      <c r="GY62" s="15">
        <v>1</v>
      </c>
      <c r="GZ62" s="15">
        <v>1</v>
      </c>
      <c r="HA62" s="15">
        <v>1</v>
      </c>
      <c r="HB62" s="15">
        <v>1</v>
      </c>
      <c r="HC62" s="15">
        <v>1</v>
      </c>
      <c r="HD62" s="15">
        <v>1</v>
      </c>
      <c r="HE62" s="15">
        <v>1</v>
      </c>
      <c r="HF62" s="15">
        <v>1</v>
      </c>
      <c r="HG62" s="15">
        <v>1</v>
      </c>
      <c r="HH62" s="15">
        <v>1</v>
      </c>
      <c r="HI62" s="15">
        <v>1</v>
      </c>
      <c r="HJ62" s="15">
        <v>1</v>
      </c>
      <c r="HK62" s="15">
        <v>1</v>
      </c>
      <c r="HL62" s="15">
        <v>1</v>
      </c>
      <c r="HM62" s="15">
        <v>1</v>
      </c>
      <c r="HN62" s="15">
        <v>1</v>
      </c>
      <c r="HO62" s="15">
        <v>1</v>
      </c>
      <c r="HP62" s="15">
        <v>1</v>
      </c>
      <c r="HQ62" s="15">
        <v>1</v>
      </c>
      <c r="HR62" s="15">
        <v>1</v>
      </c>
      <c r="HS62" s="15">
        <v>1</v>
      </c>
      <c r="HT62" s="15">
        <v>1</v>
      </c>
      <c r="HU62" s="15">
        <v>1</v>
      </c>
      <c r="HV62" s="15">
        <v>1</v>
      </c>
      <c r="HW62" s="15">
        <v>1</v>
      </c>
      <c r="HX62" s="15">
        <v>1</v>
      </c>
      <c r="HY62" s="15">
        <v>1</v>
      </c>
      <c r="HZ62" s="15">
        <v>1</v>
      </c>
      <c r="IA62" s="15">
        <v>1</v>
      </c>
      <c r="IB62" s="15">
        <v>1</v>
      </c>
      <c r="IC62" s="15">
        <v>1</v>
      </c>
      <c r="ID62" s="15">
        <v>1</v>
      </c>
      <c r="IE62" s="15">
        <v>1</v>
      </c>
      <c r="IF62" s="15">
        <v>1</v>
      </c>
      <c r="IG62" s="15">
        <v>1</v>
      </c>
      <c r="IH62" s="15">
        <v>1</v>
      </c>
      <c r="II62" s="15">
        <v>1</v>
      </c>
      <c r="IJ62" s="15">
        <v>1</v>
      </c>
      <c r="IK62" s="15">
        <v>1</v>
      </c>
      <c r="IL62" s="15">
        <v>1</v>
      </c>
      <c r="IM62" s="15">
        <v>1</v>
      </c>
      <c r="IN62" s="15">
        <v>1</v>
      </c>
      <c r="IO62" s="15">
        <v>1</v>
      </c>
      <c r="IP62" s="15">
        <v>1</v>
      </c>
      <c r="IQ62" s="15">
        <v>1</v>
      </c>
      <c r="IR62" s="15">
        <v>1</v>
      </c>
    </row>
    <row r="63" spans="1:252" s="4" customFormat="1" ht="29.15">
      <c r="A63" s="89" t="s">
        <v>512</v>
      </c>
      <c r="B63" s="76">
        <v>4</v>
      </c>
      <c r="C63" s="3" t="s">
        <v>67</v>
      </c>
      <c r="D63" s="77">
        <v>15103</v>
      </c>
      <c r="E63" s="77" t="s">
        <v>391</v>
      </c>
      <c r="F63" s="77" t="s">
        <v>390</v>
      </c>
      <c r="G63" s="77" t="s">
        <v>22</v>
      </c>
      <c r="H63" s="77" t="s">
        <v>50</v>
      </c>
      <c r="I63" s="77" t="s">
        <v>362</v>
      </c>
      <c r="J63" s="77" t="s">
        <v>89</v>
      </c>
      <c r="K63" s="77">
        <v>1920</v>
      </c>
      <c r="L63" s="77" t="s">
        <v>64</v>
      </c>
      <c r="M63" s="91" t="s">
        <v>190</v>
      </c>
      <c r="N63" s="77" t="s">
        <v>191</v>
      </c>
      <c r="O63" s="77" t="s">
        <v>192</v>
      </c>
      <c r="P63" s="79" t="s">
        <v>378</v>
      </c>
      <c r="Q63" s="77" t="s">
        <v>261</v>
      </c>
      <c r="R63" s="77" t="s">
        <v>261</v>
      </c>
      <c r="S63" s="80">
        <v>2919995</v>
      </c>
      <c r="T63" s="80">
        <v>5605197268</v>
      </c>
      <c r="U63" s="81">
        <v>41746</v>
      </c>
      <c r="V63" s="81">
        <v>0</v>
      </c>
      <c r="W63" s="82">
        <v>2736697552</v>
      </c>
      <c r="X63" s="112">
        <v>69</v>
      </c>
      <c r="Y63" s="112" t="s">
        <v>418</v>
      </c>
      <c r="Z63" s="113">
        <v>6</v>
      </c>
      <c r="AA63" s="113">
        <v>6</v>
      </c>
      <c r="AB63" s="113">
        <v>4</v>
      </c>
      <c r="AC63" s="99">
        <v>1051.04</v>
      </c>
      <c r="AD63" s="99">
        <f t="shared" si="19"/>
        <v>566.30999999999995</v>
      </c>
      <c r="AE63" s="99">
        <v>1617.35</v>
      </c>
      <c r="AF63" s="98">
        <f>(Z63+AA63+AB63)*'Ставки аренды'!$B$3/X63</f>
        <v>162.31884057971016</v>
      </c>
      <c r="AG63" s="114">
        <v>0</v>
      </c>
      <c r="AH63" s="94">
        <v>0</v>
      </c>
      <c r="AI63" s="115">
        <f t="shared" ref="AI63:AI66" si="21">12254/14812*AJ63</f>
        <v>13236.834998649745</v>
      </c>
      <c r="AJ63" s="117">
        <f>Цены!D27</f>
        <v>16000</v>
      </c>
      <c r="AK63" s="94">
        <f>AJ63/Цены!$B$1</f>
        <v>209.68344352635131</v>
      </c>
      <c r="AL63" s="95">
        <f t="shared" si="5"/>
        <v>1779.6688405797101</v>
      </c>
      <c r="AM63" s="95">
        <f t="shared" si="6"/>
        <v>14220.33115942029</v>
      </c>
      <c r="AN63" s="94">
        <f t="shared" si="16"/>
        <v>15016.503839229455</v>
      </c>
      <c r="AO63" s="118">
        <f t="shared" si="17"/>
        <v>6.1468510048159029E-2</v>
      </c>
      <c r="AP63" s="96">
        <f t="shared" si="7"/>
        <v>0.11122930253623188</v>
      </c>
      <c r="AQ63" s="96">
        <f t="shared" si="8"/>
        <v>0.10108437499999999</v>
      </c>
      <c r="AR63" s="96">
        <f t="shared" si="9"/>
        <v>0.90879267149115428</v>
      </c>
      <c r="AS63" s="122">
        <v>1</v>
      </c>
      <c r="AT63" s="121">
        <f t="shared" si="10"/>
        <v>2919995</v>
      </c>
      <c r="AU63" s="7" t="s">
        <v>475</v>
      </c>
      <c r="AV63" s="119">
        <f t="shared" si="11"/>
        <v>4.933838504815901E-2</v>
      </c>
      <c r="AW63" s="120">
        <f t="shared" si="12"/>
        <v>0.12335942753623189</v>
      </c>
      <c r="AX63" s="120">
        <f t="shared" si="13"/>
        <v>0.1132145</v>
      </c>
      <c r="AY63" s="120">
        <f t="shared" si="14"/>
        <v>0.91776123042357483</v>
      </c>
      <c r="AZ63" s="15">
        <v>1</v>
      </c>
      <c r="BA63" s="15">
        <v>1</v>
      </c>
      <c r="BB63" s="15">
        <v>1</v>
      </c>
      <c r="BC63" s="15">
        <v>1</v>
      </c>
      <c r="BD63" s="15">
        <v>1</v>
      </c>
      <c r="BE63" s="15">
        <v>1</v>
      </c>
      <c r="BF63" s="15">
        <v>1</v>
      </c>
      <c r="BG63" s="15">
        <v>1</v>
      </c>
      <c r="BH63" s="15">
        <v>1</v>
      </c>
      <c r="BI63" s="15">
        <v>1</v>
      </c>
      <c r="BJ63" s="15">
        <v>1</v>
      </c>
      <c r="BK63" s="15">
        <v>1</v>
      </c>
      <c r="BL63" s="15">
        <v>1</v>
      </c>
      <c r="BM63" s="15">
        <v>1</v>
      </c>
      <c r="BN63" s="15">
        <v>1</v>
      </c>
      <c r="BO63" s="15">
        <v>1</v>
      </c>
      <c r="BP63" s="15">
        <v>1</v>
      </c>
      <c r="BQ63" s="15">
        <v>1</v>
      </c>
      <c r="BR63" s="15">
        <v>1</v>
      </c>
      <c r="BS63" s="15">
        <v>1</v>
      </c>
      <c r="BT63" s="15">
        <v>1</v>
      </c>
      <c r="BU63" s="15">
        <v>1</v>
      </c>
      <c r="BV63" s="15">
        <v>1</v>
      </c>
      <c r="BW63" s="15">
        <v>1</v>
      </c>
      <c r="BX63" s="15">
        <v>1</v>
      </c>
      <c r="BY63" s="15">
        <v>1</v>
      </c>
      <c r="BZ63" s="15">
        <v>1</v>
      </c>
      <c r="CA63" s="15">
        <v>1</v>
      </c>
      <c r="CB63" s="15">
        <v>1</v>
      </c>
      <c r="CC63" s="15">
        <v>1</v>
      </c>
      <c r="CD63" s="15">
        <v>1</v>
      </c>
      <c r="CE63" s="15">
        <v>1</v>
      </c>
      <c r="CF63" s="15">
        <v>1</v>
      </c>
      <c r="CG63" s="15">
        <v>1</v>
      </c>
      <c r="CH63" s="15">
        <v>1</v>
      </c>
      <c r="CI63" s="15">
        <v>1</v>
      </c>
      <c r="CJ63" s="15">
        <v>1</v>
      </c>
      <c r="CK63" s="15">
        <v>1</v>
      </c>
      <c r="CL63" s="15">
        <v>1</v>
      </c>
      <c r="CM63" s="15">
        <v>1</v>
      </c>
      <c r="CN63" s="15">
        <v>1</v>
      </c>
      <c r="CO63" s="15">
        <v>1</v>
      </c>
      <c r="CP63" s="15">
        <v>1</v>
      </c>
      <c r="CQ63" s="15">
        <v>1</v>
      </c>
      <c r="CR63" s="15">
        <v>1</v>
      </c>
      <c r="CS63" s="15">
        <v>1</v>
      </c>
      <c r="CT63" s="15">
        <v>1</v>
      </c>
      <c r="CU63" s="15">
        <v>1</v>
      </c>
      <c r="CV63" s="15">
        <v>1</v>
      </c>
      <c r="CW63" s="15">
        <v>1</v>
      </c>
      <c r="CX63" s="15">
        <v>1</v>
      </c>
      <c r="CY63" s="15">
        <v>1</v>
      </c>
      <c r="CZ63" s="15">
        <v>1</v>
      </c>
      <c r="DA63" s="15">
        <v>1</v>
      </c>
      <c r="DB63" s="15">
        <v>1</v>
      </c>
      <c r="DC63" s="15">
        <v>1</v>
      </c>
      <c r="DD63" s="15">
        <v>1</v>
      </c>
      <c r="DE63" s="15">
        <v>1</v>
      </c>
      <c r="DF63" s="15">
        <v>1</v>
      </c>
      <c r="DG63" s="15">
        <v>1</v>
      </c>
      <c r="DH63" s="15">
        <v>1</v>
      </c>
      <c r="DI63" s="15">
        <v>1</v>
      </c>
      <c r="DJ63" s="15">
        <v>1</v>
      </c>
      <c r="DK63" s="15">
        <v>1</v>
      </c>
      <c r="DL63" s="15">
        <v>1</v>
      </c>
      <c r="DM63" s="15">
        <v>1</v>
      </c>
      <c r="DN63" s="15">
        <v>1</v>
      </c>
      <c r="DO63" s="15">
        <v>1</v>
      </c>
      <c r="DP63" s="15">
        <v>1</v>
      </c>
      <c r="DQ63" s="15">
        <v>1</v>
      </c>
      <c r="DR63" s="15">
        <v>1</v>
      </c>
      <c r="DS63" s="15">
        <v>1</v>
      </c>
      <c r="DT63" s="15">
        <v>1</v>
      </c>
      <c r="DU63" s="15">
        <v>1</v>
      </c>
      <c r="DV63" s="15">
        <v>1</v>
      </c>
      <c r="DW63" s="15">
        <v>1</v>
      </c>
      <c r="DX63" s="15">
        <v>1</v>
      </c>
      <c r="DY63" s="15">
        <v>1</v>
      </c>
      <c r="DZ63" s="15">
        <v>1</v>
      </c>
      <c r="EA63" s="15">
        <v>1</v>
      </c>
      <c r="EB63" s="15">
        <v>1</v>
      </c>
      <c r="EC63" s="15">
        <v>1</v>
      </c>
      <c r="ED63" s="15">
        <v>1</v>
      </c>
      <c r="EE63" s="15">
        <v>1</v>
      </c>
      <c r="EF63" s="15">
        <v>1</v>
      </c>
      <c r="EG63" s="15">
        <v>1</v>
      </c>
      <c r="EH63" s="15">
        <v>1</v>
      </c>
      <c r="EI63" s="15">
        <v>1</v>
      </c>
      <c r="EJ63" s="15">
        <v>1</v>
      </c>
      <c r="EK63" s="15">
        <v>1</v>
      </c>
      <c r="EL63" s="15">
        <v>1</v>
      </c>
      <c r="EM63" s="15">
        <v>1</v>
      </c>
      <c r="EN63" s="15">
        <v>1</v>
      </c>
      <c r="EO63" s="15">
        <v>1</v>
      </c>
      <c r="EP63" s="15">
        <v>1</v>
      </c>
      <c r="EQ63" s="15">
        <v>1</v>
      </c>
      <c r="ER63" s="15">
        <v>1</v>
      </c>
      <c r="ES63" s="15">
        <v>1</v>
      </c>
      <c r="ET63" s="15">
        <v>1</v>
      </c>
      <c r="EU63" s="15">
        <v>1</v>
      </c>
      <c r="EV63" s="111">
        <v>1</v>
      </c>
      <c r="EW63" s="15">
        <v>1</v>
      </c>
      <c r="EX63" s="15">
        <v>1</v>
      </c>
      <c r="EY63" s="15">
        <v>1</v>
      </c>
      <c r="EZ63" s="15">
        <v>1</v>
      </c>
      <c r="FA63" s="15">
        <v>1</v>
      </c>
      <c r="FB63" s="15">
        <v>1</v>
      </c>
      <c r="FC63" s="15">
        <v>1</v>
      </c>
      <c r="FD63" s="15">
        <v>1</v>
      </c>
      <c r="FE63" s="15">
        <v>1</v>
      </c>
      <c r="FF63" s="15">
        <v>1</v>
      </c>
      <c r="FG63" s="15">
        <v>1</v>
      </c>
      <c r="FH63" s="15">
        <v>1</v>
      </c>
      <c r="FI63" s="15">
        <v>1</v>
      </c>
      <c r="FJ63" s="15">
        <v>1</v>
      </c>
      <c r="FK63" s="15">
        <v>1</v>
      </c>
      <c r="FL63" s="15">
        <v>1</v>
      </c>
      <c r="FM63" s="15">
        <v>1</v>
      </c>
      <c r="FN63" s="15">
        <v>1</v>
      </c>
      <c r="FO63" s="15">
        <v>1</v>
      </c>
      <c r="FP63" s="15">
        <v>1</v>
      </c>
      <c r="FQ63" s="15">
        <v>1</v>
      </c>
      <c r="FR63" s="15">
        <v>1</v>
      </c>
      <c r="FS63" s="15">
        <v>1</v>
      </c>
      <c r="FT63" s="15">
        <v>1</v>
      </c>
      <c r="FU63" s="15">
        <v>1</v>
      </c>
      <c r="FV63" s="15">
        <v>1</v>
      </c>
      <c r="FW63" s="15">
        <v>1</v>
      </c>
      <c r="FX63" s="15">
        <v>1</v>
      </c>
      <c r="FY63" s="15">
        <v>1</v>
      </c>
      <c r="FZ63" s="15">
        <v>1</v>
      </c>
      <c r="GA63" s="15">
        <v>1</v>
      </c>
      <c r="GB63" s="15">
        <v>1</v>
      </c>
      <c r="GC63" s="15">
        <v>1</v>
      </c>
      <c r="GD63" s="15">
        <v>1</v>
      </c>
      <c r="GE63" s="15">
        <v>1</v>
      </c>
      <c r="GF63" s="15">
        <v>1</v>
      </c>
      <c r="GG63" s="15">
        <v>1</v>
      </c>
      <c r="GH63" s="15">
        <v>1</v>
      </c>
      <c r="GI63" s="15">
        <v>1</v>
      </c>
      <c r="GJ63" s="15">
        <v>1</v>
      </c>
      <c r="GK63" s="15">
        <v>1</v>
      </c>
      <c r="GL63" s="15">
        <v>1</v>
      </c>
      <c r="GM63" s="15">
        <v>1</v>
      </c>
      <c r="GN63" s="15">
        <v>1</v>
      </c>
      <c r="GO63" s="15">
        <v>1</v>
      </c>
      <c r="GP63" s="15">
        <v>1</v>
      </c>
      <c r="GQ63" s="15">
        <v>1</v>
      </c>
      <c r="GR63" s="15">
        <v>1</v>
      </c>
      <c r="GS63" s="15">
        <v>1</v>
      </c>
      <c r="GT63" s="15">
        <v>1</v>
      </c>
      <c r="GU63" s="15">
        <v>1</v>
      </c>
      <c r="GV63" s="15">
        <v>1</v>
      </c>
      <c r="GW63" s="15">
        <v>1</v>
      </c>
      <c r="GX63" s="15">
        <v>1</v>
      </c>
      <c r="GY63" s="15">
        <v>1</v>
      </c>
      <c r="GZ63" s="15">
        <v>1</v>
      </c>
      <c r="HA63" s="15">
        <v>1</v>
      </c>
      <c r="HB63" s="15">
        <v>1</v>
      </c>
      <c r="HC63" s="15">
        <v>1</v>
      </c>
      <c r="HD63" s="15">
        <v>1</v>
      </c>
      <c r="HE63" s="15">
        <v>1</v>
      </c>
      <c r="HF63" s="15">
        <v>1</v>
      </c>
      <c r="HG63" s="15">
        <v>1</v>
      </c>
      <c r="HH63" s="15">
        <v>1</v>
      </c>
      <c r="HI63" s="15">
        <v>1</v>
      </c>
      <c r="HJ63" s="15">
        <v>1</v>
      </c>
      <c r="HK63" s="15">
        <v>1</v>
      </c>
      <c r="HL63" s="15">
        <v>1</v>
      </c>
      <c r="HM63" s="15">
        <v>1</v>
      </c>
      <c r="HN63" s="15">
        <v>1</v>
      </c>
      <c r="HO63" s="15">
        <v>1</v>
      </c>
      <c r="HP63" s="15">
        <v>1</v>
      </c>
      <c r="HQ63" s="15">
        <v>1</v>
      </c>
      <c r="HR63" s="15">
        <v>1</v>
      </c>
      <c r="HS63" s="15">
        <v>1</v>
      </c>
      <c r="HT63" s="15">
        <v>1</v>
      </c>
      <c r="HU63" s="15">
        <v>1</v>
      </c>
      <c r="HV63" s="15">
        <v>1</v>
      </c>
      <c r="HW63" s="15">
        <v>1</v>
      </c>
      <c r="HX63" s="15">
        <v>1</v>
      </c>
      <c r="HY63" s="15">
        <v>1</v>
      </c>
      <c r="HZ63" s="15">
        <v>1</v>
      </c>
      <c r="IA63" s="15">
        <v>1</v>
      </c>
      <c r="IB63" s="15">
        <v>1</v>
      </c>
      <c r="IC63" s="15">
        <v>1</v>
      </c>
      <c r="ID63" s="15">
        <v>1</v>
      </c>
      <c r="IE63" s="15">
        <v>1</v>
      </c>
      <c r="IF63" s="15">
        <v>1</v>
      </c>
      <c r="IG63" s="15">
        <v>1</v>
      </c>
      <c r="IH63" s="15">
        <v>1</v>
      </c>
      <c r="II63" s="15">
        <v>1</v>
      </c>
      <c r="IJ63" s="15">
        <v>1</v>
      </c>
      <c r="IK63" s="15">
        <v>1</v>
      </c>
      <c r="IL63" s="15">
        <v>1</v>
      </c>
      <c r="IM63" s="15">
        <v>1</v>
      </c>
      <c r="IN63" s="15">
        <v>1</v>
      </c>
      <c r="IO63" s="15">
        <v>1</v>
      </c>
      <c r="IP63" s="15">
        <v>1</v>
      </c>
      <c r="IQ63" s="15">
        <v>1</v>
      </c>
      <c r="IR63" s="15">
        <v>1</v>
      </c>
    </row>
    <row r="64" spans="1:252" s="4" customFormat="1" ht="29.15">
      <c r="A64" s="89" t="s">
        <v>512</v>
      </c>
      <c r="B64" s="76">
        <v>4</v>
      </c>
      <c r="C64" s="3" t="s">
        <v>67</v>
      </c>
      <c r="D64" s="77">
        <v>15103</v>
      </c>
      <c r="E64" s="77" t="s">
        <v>391</v>
      </c>
      <c r="F64" s="77" t="s">
        <v>390</v>
      </c>
      <c r="G64" s="77" t="s">
        <v>50</v>
      </c>
      <c r="H64" s="77" t="s">
        <v>50</v>
      </c>
      <c r="I64" s="77" t="s">
        <v>363</v>
      </c>
      <c r="J64" s="77" t="s">
        <v>367</v>
      </c>
      <c r="K64" s="77">
        <v>39</v>
      </c>
      <c r="L64" s="91" t="s">
        <v>64</v>
      </c>
      <c r="M64" s="91" t="s">
        <v>190</v>
      </c>
      <c r="N64" s="77" t="s">
        <v>191</v>
      </c>
      <c r="O64" s="77" t="s">
        <v>192</v>
      </c>
      <c r="P64" s="79" t="s">
        <v>379</v>
      </c>
      <c r="Q64" s="77" t="s">
        <v>261</v>
      </c>
      <c r="R64" s="77" t="s">
        <v>261</v>
      </c>
      <c r="S64" s="80">
        <v>1839866</v>
      </c>
      <c r="T64" s="80">
        <v>71754115</v>
      </c>
      <c r="U64" s="81">
        <v>28047</v>
      </c>
      <c r="V64" s="81">
        <v>0</v>
      </c>
      <c r="W64" s="82">
        <v>363376688</v>
      </c>
      <c r="X64" s="112">
        <v>66</v>
      </c>
      <c r="Y64" s="112" t="s">
        <v>417</v>
      </c>
      <c r="Z64" s="113">
        <v>3</v>
      </c>
      <c r="AA64" s="113">
        <v>3</v>
      </c>
      <c r="AB64" s="113">
        <v>4</v>
      </c>
      <c r="AC64" s="99">
        <v>206.27</v>
      </c>
      <c r="AD64" s="99">
        <f t="shared" si="19"/>
        <v>21.149999999999977</v>
      </c>
      <c r="AE64" s="99">
        <v>227.42</v>
      </c>
      <c r="AF64" s="98">
        <f>(Z64+AA64+AB64)*'Ставки аренды'!$B$3/X64</f>
        <v>106.06060606060606</v>
      </c>
      <c r="AG64" s="114">
        <v>0</v>
      </c>
      <c r="AH64" s="94">
        <v>0</v>
      </c>
      <c r="AI64" s="115">
        <f t="shared" si="21"/>
        <v>13236.834998649745</v>
      </c>
      <c r="AJ64" s="117">
        <f>Цены!D27</f>
        <v>16000</v>
      </c>
      <c r="AK64" s="94">
        <f>AJ64/Цены!$B$1</f>
        <v>209.68344352635131</v>
      </c>
      <c r="AL64" s="95">
        <f t="shared" si="5"/>
        <v>333.48060606060608</v>
      </c>
      <c r="AM64" s="95">
        <f t="shared" si="6"/>
        <v>15666.519393939394</v>
      </c>
      <c r="AN64" s="94">
        <f t="shared" si="16"/>
        <v>13570.315604710351</v>
      </c>
      <c r="AO64" s="118">
        <f t="shared" si="17"/>
        <v>0.15185527470560306</v>
      </c>
      <c r="AP64" s="96">
        <f t="shared" si="7"/>
        <v>2.0842537878787881E-2</v>
      </c>
      <c r="AQ64" s="96">
        <f t="shared" si="8"/>
        <v>1.4213749999999999E-2</v>
      </c>
      <c r="AR64" s="96">
        <f t="shared" si="9"/>
        <v>0.68195869824786493</v>
      </c>
      <c r="AS64" s="122">
        <v>1</v>
      </c>
      <c r="AT64" s="121">
        <f t="shared" si="10"/>
        <v>1839866</v>
      </c>
      <c r="AU64" s="7" t="s">
        <v>475</v>
      </c>
      <c r="AV64" s="119">
        <f t="shared" si="11"/>
        <v>0.15014962470560306</v>
      </c>
      <c r="AW64" s="120">
        <f t="shared" si="12"/>
        <v>2.254818787878788E-2</v>
      </c>
      <c r="AX64" s="120">
        <f t="shared" si="13"/>
        <v>1.59194E-2</v>
      </c>
      <c r="AY64" s="120">
        <f t="shared" si="14"/>
        <v>0.7060168243043653</v>
      </c>
      <c r="AZ64" s="15">
        <v>1</v>
      </c>
      <c r="BA64" s="15">
        <v>1</v>
      </c>
      <c r="BB64" s="15">
        <v>1</v>
      </c>
      <c r="BC64" s="15">
        <v>1</v>
      </c>
      <c r="BD64" s="15">
        <v>1</v>
      </c>
      <c r="BE64" s="15">
        <v>1</v>
      </c>
      <c r="BF64" s="15">
        <v>1</v>
      </c>
      <c r="BG64" s="15">
        <v>1</v>
      </c>
      <c r="BH64" s="15">
        <v>1</v>
      </c>
      <c r="BI64" s="15">
        <v>1</v>
      </c>
      <c r="BJ64" s="15">
        <v>1</v>
      </c>
      <c r="BK64" s="15">
        <v>1</v>
      </c>
      <c r="BL64" s="15">
        <v>1</v>
      </c>
      <c r="BM64" s="15">
        <v>1</v>
      </c>
      <c r="BN64" s="15">
        <v>1</v>
      </c>
      <c r="BO64" s="15">
        <v>1</v>
      </c>
      <c r="BP64" s="15">
        <v>1</v>
      </c>
      <c r="BQ64" s="15">
        <v>1</v>
      </c>
      <c r="BR64" s="15">
        <v>1</v>
      </c>
      <c r="BS64" s="15">
        <v>1</v>
      </c>
      <c r="BT64" s="15">
        <v>1</v>
      </c>
      <c r="BU64" s="15">
        <v>1</v>
      </c>
      <c r="BV64" s="15">
        <v>1</v>
      </c>
      <c r="BW64" s="15">
        <v>1</v>
      </c>
      <c r="BX64" s="15">
        <v>1</v>
      </c>
      <c r="BY64" s="15">
        <v>1</v>
      </c>
      <c r="BZ64" s="15">
        <v>1</v>
      </c>
      <c r="CA64" s="15">
        <v>1</v>
      </c>
      <c r="CB64" s="15">
        <v>1</v>
      </c>
      <c r="CC64" s="15">
        <v>1</v>
      </c>
      <c r="CD64" s="15">
        <v>1</v>
      </c>
      <c r="CE64" s="15">
        <v>1</v>
      </c>
      <c r="CF64" s="15">
        <v>1</v>
      </c>
      <c r="CG64" s="15">
        <v>1</v>
      </c>
      <c r="CH64" s="15">
        <v>1</v>
      </c>
      <c r="CI64" s="15">
        <v>1</v>
      </c>
      <c r="CJ64" s="15">
        <v>1</v>
      </c>
      <c r="CK64" s="15">
        <v>1</v>
      </c>
      <c r="CL64" s="15">
        <v>1</v>
      </c>
      <c r="CM64" s="15">
        <v>1</v>
      </c>
      <c r="CN64" s="15">
        <v>1</v>
      </c>
      <c r="CO64" s="15">
        <v>1</v>
      </c>
      <c r="CP64" s="15">
        <v>1</v>
      </c>
      <c r="CQ64" s="15">
        <v>1</v>
      </c>
      <c r="CR64" s="15">
        <v>1</v>
      </c>
      <c r="CS64" s="15">
        <v>1</v>
      </c>
      <c r="CT64" s="15">
        <v>1</v>
      </c>
      <c r="CU64" s="15">
        <v>1</v>
      </c>
      <c r="CV64" s="15">
        <v>1</v>
      </c>
      <c r="CW64" s="15">
        <v>1</v>
      </c>
      <c r="CX64" s="15">
        <v>1</v>
      </c>
      <c r="CY64" s="15">
        <v>1</v>
      </c>
      <c r="CZ64" s="15">
        <v>1</v>
      </c>
      <c r="DA64" s="15">
        <v>1</v>
      </c>
      <c r="DB64" s="15">
        <v>1</v>
      </c>
      <c r="DC64" s="15">
        <v>1</v>
      </c>
      <c r="DD64" s="15">
        <v>1</v>
      </c>
      <c r="DE64" s="15">
        <v>1</v>
      </c>
      <c r="DF64" s="15">
        <v>1</v>
      </c>
      <c r="DG64" s="15">
        <v>1</v>
      </c>
      <c r="DH64" s="15">
        <v>1</v>
      </c>
      <c r="DI64" s="15">
        <v>1</v>
      </c>
      <c r="DJ64" s="15">
        <v>1</v>
      </c>
      <c r="DK64" s="15">
        <v>1</v>
      </c>
      <c r="DL64" s="15">
        <v>1</v>
      </c>
      <c r="DM64" s="15">
        <v>1</v>
      </c>
      <c r="DN64" s="15">
        <v>1</v>
      </c>
      <c r="DO64" s="15">
        <v>1</v>
      </c>
      <c r="DP64" s="15">
        <v>1</v>
      </c>
      <c r="DQ64" s="15">
        <v>1</v>
      </c>
      <c r="DR64" s="15">
        <v>1</v>
      </c>
      <c r="DS64" s="15">
        <v>1</v>
      </c>
      <c r="DT64" s="15">
        <v>1</v>
      </c>
      <c r="DU64" s="15">
        <v>1</v>
      </c>
      <c r="DV64" s="15">
        <v>1</v>
      </c>
      <c r="DW64" s="15">
        <v>1</v>
      </c>
      <c r="DX64" s="15">
        <v>1</v>
      </c>
      <c r="DY64" s="15">
        <v>1</v>
      </c>
      <c r="DZ64" s="15">
        <v>1</v>
      </c>
      <c r="EA64" s="15">
        <v>1</v>
      </c>
      <c r="EB64" s="15">
        <v>1</v>
      </c>
      <c r="EC64" s="15">
        <v>1</v>
      </c>
      <c r="ED64" s="15">
        <v>1</v>
      </c>
      <c r="EE64" s="15">
        <v>1</v>
      </c>
      <c r="EF64" s="15">
        <v>1</v>
      </c>
      <c r="EG64" s="15">
        <v>1</v>
      </c>
      <c r="EH64" s="15">
        <v>1</v>
      </c>
      <c r="EI64" s="15">
        <v>1</v>
      </c>
      <c r="EJ64" s="15">
        <v>1</v>
      </c>
      <c r="EK64" s="15">
        <v>1</v>
      </c>
      <c r="EL64" s="15">
        <v>1</v>
      </c>
      <c r="EM64" s="15">
        <v>1</v>
      </c>
      <c r="EN64" s="15">
        <v>1</v>
      </c>
      <c r="EO64" s="15">
        <v>1</v>
      </c>
      <c r="EP64" s="15">
        <v>1</v>
      </c>
      <c r="EQ64" s="15">
        <v>1</v>
      </c>
      <c r="ER64" s="15">
        <v>1</v>
      </c>
      <c r="ES64" s="15">
        <v>1</v>
      </c>
      <c r="ET64" s="15">
        <v>1</v>
      </c>
      <c r="EU64" s="15">
        <v>1</v>
      </c>
      <c r="EV64" s="111">
        <v>1</v>
      </c>
      <c r="EW64" s="15">
        <v>1</v>
      </c>
      <c r="EX64" s="15">
        <v>1</v>
      </c>
      <c r="EY64" s="15">
        <v>1</v>
      </c>
      <c r="EZ64" s="15">
        <v>1</v>
      </c>
      <c r="FA64" s="15">
        <v>1</v>
      </c>
      <c r="FB64" s="15">
        <v>1</v>
      </c>
      <c r="FC64" s="15">
        <v>1</v>
      </c>
      <c r="FD64" s="15">
        <v>1</v>
      </c>
      <c r="FE64" s="15">
        <v>1</v>
      </c>
      <c r="FF64" s="15">
        <v>1</v>
      </c>
      <c r="FG64" s="15">
        <v>1</v>
      </c>
      <c r="FH64" s="15">
        <v>1</v>
      </c>
      <c r="FI64" s="15">
        <v>1</v>
      </c>
      <c r="FJ64" s="15">
        <v>1</v>
      </c>
      <c r="FK64" s="15">
        <v>1</v>
      </c>
      <c r="FL64" s="15">
        <v>1</v>
      </c>
      <c r="FM64" s="15">
        <v>1</v>
      </c>
      <c r="FN64" s="15">
        <v>1</v>
      </c>
      <c r="FO64" s="15">
        <v>1</v>
      </c>
      <c r="FP64" s="15">
        <v>1</v>
      </c>
      <c r="FQ64" s="15">
        <v>1</v>
      </c>
      <c r="FR64" s="15">
        <v>1</v>
      </c>
      <c r="FS64" s="15">
        <v>1</v>
      </c>
      <c r="FT64" s="15">
        <v>1</v>
      </c>
      <c r="FU64" s="15">
        <v>1</v>
      </c>
      <c r="FV64" s="15">
        <v>1</v>
      </c>
      <c r="FW64" s="15">
        <v>1</v>
      </c>
      <c r="FX64" s="15">
        <v>1</v>
      </c>
      <c r="FY64" s="15">
        <v>1</v>
      </c>
      <c r="FZ64" s="15">
        <v>1</v>
      </c>
      <c r="GA64" s="15">
        <v>1</v>
      </c>
      <c r="GB64" s="15">
        <v>1</v>
      </c>
      <c r="GC64" s="15">
        <v>1</v>
      </c>
      <c r="GD64" s="15">
        <v>1</v>
      </c>
      <c r="GE64" s="15">
        <v>1</v>
      </c>
      <c r="GF64" s="15">
        <v>1</v>
      </c>
      <c r="GG64" s="15">
        <v>1</v>
      </c>
      <c r="GH64" s="15">
        <v>1</v>
      </c>
      <c r="GI64" s="15">
        <v>1</v>
      </c>
      <c r="GJ64" s="15">
        <v>1</v>
      </c>
      <c r="GK64" s="15">
        <v>1</v>
      </c>
      <c r="GL64" s="15">
        <v>1</v>
      </c>
      <c r="GM64" s="15">
        <v>1</v>
      </c>
      <c r="GN64" s="15">
        <v>1</v>
      </c>
      <c r="GO64" s="15">
        <v>1</v>
      </c>
      <c r="GP64" s="15">
        <v>1</v>
      </c>
      <c r="GQ64" s="15">
        <v>1</v>
      </c>
      <c r="GR64" s="15">
        <v>1</v>
      </c>
      <c r="GS64" s="15">
        <v>1</v>
      </c>
      <c r="GT64" s="15">
        <v>1</v>
      </c>
      <c r="GU64" s="15">
        <v>1</v>
      </c>
      <c r="GV64" s="15">
        <v>1</v>
      </c>
      <c r="GW64" s="15">
        <v>1</v>
      </c>
      <c r="GX64" s="15">
        <v>1</v>
      </c>
      <c r="GY64" s="15">
        <v>1</v>
      </c>
      <c r="GZ64" s="15">
        <v>1</v>
      </c>
      <c r="HA64" s="15">
        <v>1</v>
      </c>
      <c r="HB64" s="15">
        <v>1</v>
      </c>
      <c r="HC64" s="15">
        <v>1</v>
      </c>
      <c r="HD64" s="15">
        <v>1</v>
      </c>
      <c r="HE64" s="15">
        <v>1</v>
      </c>
      <c r="HF64" s="15">
        <v>1</v>
      </c>
      <c r="HG64" s="15">
        <v>1</v>
      </c>
      <c r="HH64" s="15">
        <v>1</v>
      </c>
      <c r="HI64" s="15">
        <v>1</v>
      </c>
      <c r="HJ64" s="15">
        <v>1</v>
      </c>
      <c r="HK64" s="15">
        <v>1</v>
      </c>
      <c r="HL64" s="15">
        <v>1</v>
      </c>
      <c r="HM64" s="15">
        <v>1</v>
      </c>
      <c r="HN64" s="15">
        <v>1</v>
      </c>
      <c r="HO64" s="15">
        <v>1</v>
      </c>
      <c r="HP64" s="15">
        <v>1</v>
      </c>
      <c r="HQ64" s="15">
        <v>1</v>
      </c>
      <c r="HR64" s="15">
        <v>1</v>
      </c>
      <c r="HS64" s="15">
        <v>1</v>
      </c>
      <c r="HT64" s="15">
        <v>1</v>
      </c>
      <c r="HU64" s="15">
        <v>1</v>
      </c>
      <c r="HV64" s="15">
        <v>1</v>
      </c>
      <c r="HW64" s="15">
        <v>1</v>
      </c>
      <c r="HX64" s="15">
        <v>1</v>
      </c>
      <c r="HY64" s="15">
        <v>1</v>
      </c>
      <c r="HZ64" s="15">
        <v>1</v>
      </c>
      <c r="IA64" s="15">
        <v>1</v>
      </c>
      <c r="IB64" s="15">
        <v>1</v>
      </c>
      <c r="IC64" s="15">
        <v>1</v>
      </c>
      <c r="ID64" s="15">
        <v>1</v>
      </c>
      <c r="IE64" s="15">
        <v>1</v>
      </c>
      <c r="IF64" s="15">
        <v>1</v>
      </c>
      <c r="IG64" s="15">
        <v>1</v>
      </c>
      <c r="IH64" s="15">
        <v>1</v>
      </c>
      <c r="II64" s="15">
        <v>1</v>
      </c>
      <c r="IJ64" s="15">
        <v>1</v>
      </c>
      <c r="IK64" s="15">
        <v>1</v>
      </c>
      <c r="IL64" s="15">
        <v>1</v>
      </c>
      <c r="IM64" s="15">
        <v>1</v>
      </c>
      <c r="IN64" s="15">
        <v>1</v>
      </c>
      <c r="IO64" s="15">
        <v>1</v>
      </c>
      <c r="IP64" s="15">
        <v>1</v>
      </c>
      <c r="IQ64" s="15">
        <v>1</v>
      </c>
      <c r="IR64" s="15">
        <v>1</v>
      </c>
    </row>
    <row r="65" spans="1:252" s="4" customFormat="1" ht="29.15">
      <c r="A65" s="89" t="s">
        <v>512</v>
      </c>
      <c r="B65" s="76">
        <v>4</v>
      </c>
      <c r="C65" s="3" t="s">
        <v>67</v>
      </c>
      <c r="D65" s="77">
        <v>15103</v>
      </c>
      <c r="E65" s="77" t="s">
        <v>391</v>
      </c>
      <c r="F65" s="77" t="s">
        <v>390</v>
      </c>
      <c r="G65" s="77" t="s">
        <v>22</v>
      </c>
      <c r="H65" s="77" t="s">
        <v>50</v>
      </c>
      <c r="I65" s="77" t="s">
        <v>362</v>
      </c>
      <c r="J65" s="77" t="s">
        <v>367</v>
      </c>
      <c r="K65" s="77">
        <v>1985</v>
      </c>
      <c r="L65" s="77" t="s">
        <v>64</v>
      </c>
      <c r="M65" s="91" t="s">
        <v>190</v>
      </c>
      <c r="N65" s="77" t="s">
        <v>191</v>
      </c>
      <c r="O65" s="77" t="s">
        <v>192</v>
      </c>
      <c r="P65" s="79" t="s">
        <v>378</v>
      </c>
      <c r="Q65" s="77" t="s">
        <v>261</v>
      </c>
      <c r="R65" s="77" t="s">
        <v>261</v>
      </c>
      <c r="S65" s="80">
        <v>735313</v>
      </c>
      <c r="T65" s="80">
        <v>1459232387</v>
      </c>
      <c r="U65" s="81">
        <v>10514</v>
      </c>
      <c r="V65" s="81">
        <v>0</v>
      </c>
      <c r="W65" s="82">
        <v>714949528</v>
      </c>
      <c r="X65" s="112">
        <v>69</v>
      </c>
      <c r="Y65" s="112" t="s">
        <v>418</v>
      </c>
      <c r="Z65" s="113">
        <v>6</v>
      </c>
      <c r="AA65" s="113">
        <v>6</v>
      </c>
      <c r="AB65" s="113">
        <v>4</v>
      </c>
      <c r="AC65" s="99">
        <v>1086.97</v>
      </c>
      <c r="AD65" s="99">
        <f t="shared" si="19"/>
        <v>582.70000000000005</v>
      </c>
      <c r="AE65" s="99">
        <v>1669.67</v>
      </c>
      <c r="AF65" s="98">
        <f>(Z65+AA65+AB65)*'Ставки аренды'!$B$3/X65</f>
        <v>162.31884057971016</v>
      </c>
      <c r="AG65" s="114">
        <v>0</v>
      </c>
      <c r="AH65" s="94">
        <v>0</v>
      </c>
      <c r="AI65" s="115">
        <f t="shared" si="21"/>
        <v>13236.834998649745</v>
      </c>
      <c r="AJ65" s="117">
        <f>Цены!D27</f>
        <v>16000</v>
      </c>
      <c r="AK65" s="94">
        <f>AJ65/Цены!$B$1</f>
        <v>209.68344352635131</v>
      </c>
      <c r="AL65" s="95">
        <f t="shared" si="5"/>
        <v>1831.9888405797103</v>
      </c>
      <c r="AM65" s="95">
        <f t="shared" si="6"/>
        <v>14168.01115942029</v>
      </c>
      <c r="AN65" s="94">
        <f t="shared" si="16"/>
        <v>15068.823839229455</v>
      </c>
      <c r="AO65" s="118">
        <f t="shared" si="17"/>
        <v>5.8198510048159048E-2</v>
      </c>
      <c r="AP65" s="96">
        <f t="shared" si="7"/>
        <v>0.11449930253623189</v>
      </c>
      <c r="AQ65" s="96">
        <f t="shared" si="8"/>
        <v>0.104354375</v>
      </c>
      <c r="AR65" s="96">
        <f t="shared" si="9"/>
        <v>0.91139747307175389</v>
      </c>
      <c r="AS65" s="122">
        <v>1</v>
      </c>
      <c r="AT65" s="121">
        <f t="shared" si="10"/>
        <v>735313</v>
      </c>
      <c r="AU65" s="7" t="s">
        <v>475</v>
      </c>
      <c r="AV65" s="119">
        <f t="shared" si="11"/>
        <v>4.5675985048158965E-2</v>
      </c>
      <c r="AW65" s="120">
        <f t="shared" si="12"/>
        <v>0.12702182753623192</v>
      </c>
      <c r="AX65" s="120">
        <f t="shared" si="13"/>
        <v>0.11687690000000002</v>
      </c>
      <c r="AY65" s="120">
        <f t="shared" si="14"/>
        <v>0.92013240768923643</v>
      </c>
      <c r="AZ65" s="15">
        <v>1</v>
      </c>
      <c r="BA65" s="15">
        <v>1</v>
      </c>
      <c r="BB65" s="15">
        <v>1</v>
      </c>
      <c r="BC65" s="15">
        <v>1</v>
      </c>
      <c r="BD65" s="15">
        <v>1</v>
      </c>
      <c r="BE65" s="15">
        <v>1</v>
      </c>
      <c r="BF65" s="15">
        <v>1</v>
      </c>
      <c r="BG65" s="15">
        <v>1</v>
      </c>
      <c r="BH65" s="15">
        <v>1</v>
      </c>
      <c r="BI65" s="15">
        <v>1</v>
      </c>
      <c r="BJ65" s="15">
        <v>1</v>
      </c>
      <c r="BK65" s="15">
        <v>1</v>
      </c>
      <c r="BL65" s="15">
        <v>1</v>
      </c>
      <c r="BM65" s="15">
        <v>1</v>
      </c>
      <c r="BN65" s="15">
        <v>1</v>
      </c>
      <c r="BO65" s="15">
        <v>1</v>
      </c>
      <c r="BP65" s="15">
        <v>1</v>
      </c>
      <c r="BQ65" s="15">
        <v>1</v>
      </c>
      <c r="BR65" s="15">
        <v>1</v>
      </c>
      <c r="BS65" s="15">
        <v>1</v>
      </c>
      <c r="BT65" s="15">
        <v>1</v>
      </c>
      <c r="BU65" s="15">
        <v>1</v>
      </c>
      <c r="BV65" s="15">
        <v>1</v>
      </c>
      <c r="BW65" s="15">
        <v>1</v>
      </c>
      <c r="BX65" s="15">
        <v>1</v>
      </c>
      <c r="BY65" s="15">
        <v>1</v>
      </c>
      <c r="BZ65" s="15">
        <v>1</v>
      </c>
      <c r="CA65" s="15">
        <v>1</v>
      </c>
      <c r="CB65" s="15">
        <v>1</v>
      </c>
      <c r="CC65" s="15">
        <v>1</v>
      </c>
      <c r="CD65" s="15">
        <v>1</v>
      </c>
      <c r="CE65" s="15">
        <v>1</v>
      </c>
      <c r="CF65" s="15">
        <v>1</v>
      </c>
      <c r="CG65" s="15">
        <v>1</v>
      </c>
      <c r="CH65" s="15">
        <v>1</v>
      </c>
      <c r="CI65" s="15">
        <v>1</v>
      </c>
      <c r="CJ65" s="15">
        <v>1</v>
      </c>
      <c r="CK65" s="15">
        <v>1</v>
      </c>
      <c r="CL65" s="15">
        <v>1</v>
      </c>
      <c r="CM65" s="15">
        <v>1</v>
      </c>
      <c r="CN65" s="15">
        <v>1</v>
      </c>
      <c r="CO65" s="15">
        <v>1</v>
      </c>
      <c r="CP65" s="15">
        <v>1</v>
      </c>
      <c r="CQ65" s="15">
        <v>1</v>
      </c>
      <c r="CR65" s="15">
        <v>1</v>
      </c>
      <c r="CS65" s="15">
        <v>1</v>
      </c>
      <c r="CT65" s="15">
        <v>1</v>
      </c>
      <c r="CU65" s="15">
        <v>1</v>
      </c>
      <c r="CV65" s="15">
        <v>1</v>
      </c>
      <c r="CW65" s="15">
        <v>1</v>
      </c>
      <c r="CX65" s="15">
        <v>1</v>
      </c>
      <c r="CY65" s="15">
        <v>1</v>
      </c>
      <c r="CZ65" s="15">
        <v>1</v>
      </c>
      <c r="DA65" s="15">
        <v>1</v>
      </c>
      <c r="DB65" s="15">
        <v>1</v>
      </c>
      <c r="DC65" s="15">
        <v>1</v>
      </c>
      <c r="DD65" s="15">
        <v>1</v>
      </c>
      <c r="DE65" s="15">
        <v>1</v>
      </c>
      <c r="DF65" s="15">
        <v>1</v>
      </c>
      <c r="DG65" s="15">
        <v>1</v>
      </c>
      <c r="DH65" s="15">
        <v>1</v>
      </c>
      <c r="DI65" s="15">
        <v>1</v>
      </c>
      <c r="DJ65" s="15">
        <v>1</v>
      </c>
      <c r="DK65" s="15">
        <v>1</v>
      </c>
      <c r="DL65" s="15">
        <v>1</v>
      </c>
      <c r="DM65" s="15">
        <v>1</v>
      </c>
      <c r="DN65" s="15">
        <v>1</v>
      </c>
      <c r="DO65" s="15">
        <v>1</v>
      </c>
      <c r="DP65" s="15">
        <v>1</v>
      </c>
      <c r="DQ65" s="15">
        <v>1</v>
      </c>
      <c r="DR65" s="15">
        <v>1</v>
      </c>
      <c r="DS65" s="15">
        <v>1</v>
      </c>
      <c r="DT65" s="15">
        <v>1</v>
      </c>
      <c r="DU65" s="15">
        <v>1</v>
      </c>
      <c r="DV65" s="15">
        <v>1</v>
      </c>
      <c r="DW65" s="15">
        <v>1</v>
      </c>
      <c r="DX65" s="15">
        <v>1</v>
      </c>
      <c r="DY65" s="15">
        <v>1</v>
      </c>
      <c r="DZ65" s="15">
        <v>1</v>
      </c>
      <c r="EA65" s="15">
        <v>1</v>
      </c>
      <c r="EB65" s="15">
        <v>1</v>
      </c>
      <c r="EC65" s="15">
        <v>1</v>
      </c>
      <c r="ED65" s="15">
        <v>1</v>
      </c>
      <c r="EE65" s="15">
        <v>1</v>
      </c>
      <c r="EF65" s="15">
        <v>1</v>
      </c>
      <c r="EG65" s="15">
        <v>1</v>
      </c>
      <c r="EH65" s="15">
        <v>1</v>
      </c>
      <c r="EI65" s="15">
        <v>1</v>
      </c>
      <c r="EJ65" s="15">
        <v>1</v>
      </c>
      <c r="EK65" s="15">
        <v>1</v>
      </c>
      <c r="EL65" s="15">
        <v>1</v>
      </c>
      <c r="EM65" s="15">
        <v>1</v>
      </c>
      <c r="EN65" s="15">
        <v>1</v>
      </c>
      <c r="EO65" s="15">
        <v>1</v>
      </c>
      <c r="EP65" s="15">
        <v>1</v>
      </c>
      <c r="EQ65" s="15">
        <v>1</v>
      </c>
      <c r="ER65" s="15">
        <v>1</v>
      </c>
      <c r="ES65" s="15">
        <v>1</v>
      </c>
      <c r="ET65" s="15">
        <v>1</v>
      </c>
      <c r="EU65" s="15">
        <v>1</v>
      </c>
      <c r="EV65" s="111">
        <v>1</v>
      </c>
      <c r="EW65" s="15">
        <v>1</v>
      </c>
      <c r="EX65" s="15">
        <v>1</v>
      </c>
      <c r="EY65" s="15">
        <v>1</v>
      </c>
      <c r="EZ65" s="15">
        <v>1</v>
      </c>
      <c r="FA65" s="15">
        <v>1</v>
      </c>
      <c r="FB65" s="15">
        <v>1</v>
      </c>
      <c r="FC65" s="15">
        <v>1</v>
      </c>
      <c r="FD65" s="15">
        <v>1</v>
      </c>
      <c r="FE65" s="15">
        <v>1</v>
      </c>
      <c r="FF65" s="15">
        <v>1</v>
      </c>
      <c r="FG65" s="15">
        <v>1</v>
      </c>
      <c r="FH65" s="15">
        <v>1</v>
      </c>
      <c r="FI65" s="15">
        <v>1</v>
      </c>
      <c r="FJ65" s="15">
        <v>1</v>
      </c>
      <c r="FK65" s="15">
        <v>1</v>
      </c>
      <c r="FL65" s="15">
        <v>1</v>
      </c>
      <c r="FM65" s="15">
        <v>1</v>
      </c>
      <c r="FN65" s="15">
        <v>1</v>
      </c>
      <c r="FO65" s="15">
        <v>1</v>
      </c>
      <c r="FP65" s="15">
        <v>1</v>
      </c>
      <c r="FQ65" s="15">
        <v>1</v>
      </c>
      <c r="FR65" s="15">
        <v>1</v>
      </c>
      <c r="FS65" s="15">
        <v>1</v>
      </c>
      <c r="FT65" s="15">
        <v>1</v>
      </c>
      <c r="FU65" s="15">
        <v>1</v>
      </c>
      <c r="FV65" s="15">
        <v>1</v>
      </c>
      <c r="FW65" s="15">
        <v>1</v>
      </c>
      <c r="FX65" s="15">
        <v>1</v>
      </c>
      <c r="FY65" s="15">
        <v>1</v>
      </c>
      <c r="FZ65" s="15">
        <v>1</v>
      </c>
      <c r="GA65" s="15">
        <v>1</v>
      </c>
      <c r="GB65" s="15">
        <v>1</v>
      </c>
      <c r="GC65" s="15">
        <v>1</v>
      </c>
      <c r="GD65" s="15">
        <v>1</v>
      </c>
      <c r="GE65" s="15">
        <v>1</v>
      </c>
      <c r="GF65" s="15">
        <v>1</v>
      </c>
      <c r="GG65" s="15">
        <v>1</v>
      </c>
      <c r="GH65" s="15">
        <v>1</v>
      </c>
      <c r="GI65" s="15">
        <v>1</v>
      </c>
      <c r="GJ65" s="15">
        <v>1</v>
      </c>
      <c r="GK65" s="15">
        <v>1</v>
      </c>
      <c r="GL65" s="15">
        <v>1</v>
      </c>
      <c r="GM65" s="15">
        <v>1</v>
      </c>
      <c r="GN65" s="15">
        <v>1</v>
      </c>
      <c r="GO65" s="15">
        <v>1</v>
      </c>
      <c r="GP65" s="15">
        <v>1</v>
      </c>
      <c r="GQ65" s="15">
        <v>1</v>
      </c>
      <c r="GR65" s="15">
        <v>1</v>
      </c>
      <c r="GS65" s="15">
        <v>1</v>
      </c>
      <c r="GT65" s="15">
        <v>1</v>
      </c>
      <c r="GU65" s="15">
        <v>1</v>
      </c>
      <c r="GV65" s="15">
        <v>1</v>
      </c>
      <c r="GW65" s="15">
        <v>1</v>
      </c>
      <c r="GX65" s="15">
        <v>1</v>
      </c>
      <c r="GY65" s="15">
        <v>1</v>
      </c>
      <c r="GZ65" s="15">
        <v>1</v>
      </c>
      <c r="HA65" s="15">
        <v>1</v>
      </c>
      <c r="HB65" s="15">
        <v>1</v>
      </c>
      <c r="HC65" s="15">
        <v>1</v>
      </c>
      <c r="HD65" s="15">
        <v>1</v>
      </c>
      <c r="HE65" s="15">
        <v>1</v>
      </c>
      <c r="HF65" s="15">
        <v>1</v>
      </c>
      <c r="HG65" s="15">
        <v>1</v>
      </c>
      <c r="HH65" s="15">
        <v>1</v>
      </c>
      <c r="HI65" s="15">
        <v>1</v>
      </c>
      <c r="HJ65" s="15">
        <v>1</v>
      </c>
      <c r="HK65" s="15">
        <v>1</v>
      </c>
      <c r="HL65" s="15">
        <v>1</v>
      </c>
      <c r="HM65" s="15">
        <v>1</v>
      </c>
      <c r="HN65" s="15">
        <v>1</v>
      </c>
      <c r="HO65" s="15">
        <v>1</v>
      </c>
      <c r="HP65" s="15">
        <v>1</v>
      </c>
      <c r="HQ65" s="15">
        <v>1</v>
      </c>
      <c r="HR65" s="15">
        <v>1</v>
      </c>
      <c r="HS65" s="15">
        <v>1</v>
      </c>
      <c r="HT65" s="15">
        <v>1</v>
      </c>
      <c r="HU65" s="15">
        <v>1</v>
      </c>
      <c r="HV65" s="15">
        <v>1</v>
      </c>
      <c r="HW65" s="15">
        <v>1</v>
      </c>
      <c r="HX65" s="15">
        <v>1</v>
      </c>
      <c r="HY65" s="15">
        <v>1</v>
      </c>
      <c r="HZ65" s="15">
        <v>1</v>
      </c>
      <c r="IA65" s="15">
        <v>1</v>
      </c>
      <c r="IB65" s="15">
        <v>1</v>
      </c>
      <c r="IC65" s="15">
        <v>1</v>
      </c>
      <c r="ID65" s="15">
        <v>1</v>
      </c>
      <c r="IE65" s="15">
        <v>1</v>
      </c>
      <c r="IF65" s="15">
        <v>1</v>
      </c>
      <c r="IG65" s="15">
        <v>1</v>
      </c>
      <c r="IH65" s="15">
        <v>1</v>
      </c>
      <c r="II65" s="15">
        <v>1</v>
      </c>
      <c r="IJ65" s="15">
        <v>1</v>
      </c>
      <c r="IK65" s="15">
        <v>1</v>
      </c>
      <c r="IL65" s="15">
        <v>1</v>
      </c>
      <c r="IM65" s="15">
        <v>1</v>
      </c>
      <c r="IN65" s="15">
        <v>1</v>
      </c>
      <c r="IO65" s="15">
        <v>1</v>
      </c>
      <c r="IP65" s="15">
        <v>1</v>
      </c>
      <c r="IQ65" s="15">
        <v>1</v>
      </c>
      <c r="IR65" s="15">
        <v>1</v>
      </c>
    </row>
    <row r="66" spans="1:252" s="4" customFormat="1" ht="29.15">
      <c r="A66" s="89" t="s">
        <v>512</v>
      </c>
      <c r="B66" s="76">
        <v>4</v>
      </c>
      <c r="C66" s="3" t="s">
        <v>67</v>
      </c>
      <c r="D66" s="77">
        <v>15106</v>
      </c>
      <c r="E66" s="77" t="s">
        <v>392</v>
      </c>
      <c r="F66" s="77" t="s">
        <v>390</v>
      </c>
      <c r="G66" s="77" t="s">
        <v>19</v>
      </c>
      <c r="H66" s="77" t="s">
        <v>19</v>
      </c>
      <c r="I66" s="77" t="s">
        <v>364</v>
      </c>
      <c r="J66" s="77" t="s">
        <v>114</v>
      </c>
      <c r="K66" s="77">
        <v>197</v>
      </c>
      <c r="L66" s="77" t="s">
        <v>402</v>
      </c>
      <c r="M66" s="91" t="s">
        <v>190</v>
      </c>
      <c r="N66" s="77" t="s">
        <v>191</v>
      </c>
      <c r="O66" s="77" t="s">
        <v>194</v>
      </c>
      <c r="P66" s="79" t="s">
        <v>377</v>
      </c>
      <c r="Q66" s="77" t="s">
        <v>261</v>
      </c>
      <c r="R66" s="77" t="s">
        <v>261</v>
      </c>
      <c r="S66" s="80">
        <v>698187</v>
      </c>
      <c r="T66" s="80">
        <v>137543224</v>
      </c>
      <c r="U66" s="81">
        <v>10140</v>
      </c>
      <c r="V66" s="81">
        <v>0</v>
      </c>
      <c r="W66" s="82">
        <v>315562898</v>
      </c>
      <c r="X66" s="112">
        <v>75</v>
      </c>
      <c r="Y66" s="112" t="s">
        <v>418</v>
      </c>
      <c r="Z66" s="113">
        <v>3</v>
      </c>
      <c r="AA66" s="113">
        <v>3</v>
      </c>
      <c r="AB66" s="113">
        <v>4</v>
      </c>
      <c r="AC66" s="99">
        <v>456.57</v>
      </c>
      <c r="AD66" s="99">
        <f>AE66-AC66</f>
        <v>98.06</v>
      </c>
      <c r="AE66" s="99">
        <v>554.63</v>
      </c>
      <c r="AF66" s="98">
        <f>(AB66+AA66+Z66)*'Ставки аренды'!$B$4/X66</f>
        <v>360</v>
      </c>
      <c r="AG66" s="114">
        <v>0</v>
      </c>
      <c r="AH66" s="94">
        <v>0</v>
      </c>
      <c r="AI66" s="115">
        <f t="shared" si="21"/>
        <v>47983.526870105321</v>
      </c>
      <c r="AJ66" s="117">
        <f>Цены!D21</f>
        <v>58000</v>
      </c>
      <c r="AK66" s="94">
        <f>AJ66/Цены!$B$1</f>
        <v>760.10248278302356</v>
      </c>
      <c r="AL66" s="95">
        <f t="shared" si="5"/>
        <v>914.63</v>
      </c>
      <c r="AM66" s="95">
        <f t="shared" si="6"/>
        <v>57085.37</v>
      </c>
      <c r="AN66" s="94">
        <f t="shared" si="16"/>
        <v>48898.156870105318</v>
      </c>
      <c r="AO66" s="118">
        <f t="shared" si="17"/>
        <v>0.15692832982577037</v>
      </c>
      <c r="AP66" s="96">
        <f t="shared" si="7"/>
        <v>1.5769482758620688E-2</v>
      </c>
      <c r="AQ66" s="96">
        <f t="shared" si="8"/>
        <v>9.5625862068965516E-3</v>
      </c>
      <c r="AR66" s="96">
        <f t="shared" si="9"/>
        <v>0.60639821567191099</v>
      </c>
      <c r="AS66" s="122">
        <v>1</v>
      </c>
      <c r="AT66" s="121">
        <f t="shared" si="10"/>
        <v>698187</v>
      </c>
      <c r="AU66" s="7" t="s">
        <v>475</v>
      </c>
      <c r="AV66" s="119">
        <f t="shared" si="11"/>
        <v>0.1557808194809428</v>
      </c>
      <c r="AW66" s="120">
        <f t="shared" si="12"/>
        <v>1.6916993103448276E-2</v>
      </c>
      <c r="AX66" s="120">
        <f t="shared" si="13"/>
        <v>1.0710096551724139E-2</v>
      </c>
      <c r="AY66" s="120">
        <f t="shared" si="14"/>
        <v>0.63309693905006348</v>
      </c>
      <c r="AZ66" s="15">
        <v>1</v>
      </c>
      <c r="BA66" s="15">
        <v>1</v>
      </c>
      <c r="BB66" s="15">
        <v>1</v>
      </c>
      <c r="BC66" s="15">
        <v>1</v>
      </c>
      <c r="BD66" s="15">
        <v>1</v>
      </c>
      <c r="BE66" s="15">
        <v>1</v>
      </c>
      <c r="BF66" s="15">
        <v>1</v>
      </c>
      <c r="BG66" s="15">
        <v>1</v>
      </c>
      <c r="BH66" s="15">
        <v>1</v>
      </c>
      <c r="BI66" s="15">
        <v>1</v>
      </c>
      <c r="BJ66" s="15">
        <v>1</v>
      </c>
      <c r="BK66" s="15">
        <v>1</v>
      </c>
      <c r="BL66" s="15">
        <v>1</v>
      </c>
      <c r="BM66" s="15">
        <v>1</v>
      </c>
      <c r="BN66" s="15">
        <v>1</v>
      </c>
      <c r="BO66" s="15">
        <v>1</v>
      </c>
      <c r="BP66" s="15">
        <v>1</v>
      </c>
      <c r="BQ66" s="15">
        <v>1</v>
      </c>
      <c r="BR66" s="15">
        <v>1</v>
      </c>
      <c r="BS66" s="15">
        <v>1</v>
      </c>
      <c r="BT66" s="15">
        <v>1</v>
      </c>
      <c r="BU66" s="15">
        <v>1</v>
      </c>
      <c r="BV66" s="15">
        <v>1</v>
      </c>
      <c r="BW66" s="15">
        <v>1</v>
      </c>
      <c r="BX66" s="15">
        <v>1</v>
      </c>
      <c r="BY66" s="15">
        <v>1</v>
      </c>
      <c r="BZ66" s="15">
        <v>1</v>
      </c>
      <c r="CA66" s="15">
        <v>1</v>
      </c>
      <c r="CB66" s="15">
        <v>1</v>
      </c>
      <c r="CC66" s="15">
        <v>1</v>
      </c>
      <c r="CD66" s="15">
        <v>1</v>
      </c>
      <c r="CE66" s="15">
        <v>1</v>
      </c>
      <c r="CF66" s="15">
        <v>1</v>
      </c>
      <c r="CG66" s="15">
        <v>1</v>
      </c>
      <c r="CH66" s="15">
        <v>1</v>
      </c>
      <c r="CI66" s="15">
        <v>1</v>
      </c>
      <c r="CJ66" s="15">
        <v>1</v>
      </c>
      <c r="CK66" s="15">
        <v>1</v>
      </c>
      <c r="CL66" s="15">
        <v>1</v>
      </c>
      <c r="CM66" s="15">
        <v>1</v>
      </c>
      <c r="CN66" s="15">
        <v>1</v>
      </c>
      <c r="CO66" s="15">
        <v>1</v>
      </c>
      <c r="CP66" s="15">
        <v>1</v>
      </c>
      <c r="CQ66" s="15">
        <v>1</v>
      </c>
      <c r="CR66" s="15">
        <v>1</v>
      </c>
      <c r="CS66" s="15">
        <v>1</v>
      </c>
      <c r="CT66" s="15">
        <v>1</v>
      </c>
      <c r="CU66" s="15">
        <v>1</v>
      </c>
      <c r="CV66" s="15">
        <v>1</v>
      </c>
      <c r="CW66" s="15">
        <v>1</v>
      </c>
      <c r="CX66" s="15">
        <v>1</v>
      </c>
      <c r="CY66" s="15">
        <v>1</v>
      </c>
      <c r="CZ66" s="15">
        <v>1</v>
      </c>
      <c r="DA66" s="15">
        <v>1</v>
      </c>
      <c r="DB66" s="15">
        <v>1</v>
      </c>
      <c r="DC66" s="15">
        <v>1</v>
      </c>
      <c r="DD66" s="15">
        <v>1</v>
      </c>
      <c r="DE66" s="15">
        <v>1</v>
      </c>
      <c r="DF66" s="15">
        <v>1</v>
      </c>
      <c r="DG66" s="15">
        <v>1</v>
      </c>
      <c r="DH66" s="15">
        <v>1</v>
      </c>
      <c r="DI66" s="15">
        <v>1</v>
      </c>
      <c r="DJ66" s="15">
        <v>1</v>
      </c>
      <c r="DK66" s="15">
        <v>1</v>
      </c>
      <c r="DL66" s="15">
        <v>1</v>
      </c>
      <c r="DM66" s="15">
        <v>1</v>
      </c>
      <c r="DN66" s="15">
        <v>1</v>
      </c>
      <c r="DO66" s="15">
        <v>1</v>
      </c>
      <c r="DP66" s="15">
        <v>1</v>
      </c>
      <c r="DQ66" s="15">
        <v>1</v>
      </c>
      <c r="DR66" s="15">
        <v>1</v>
      </c>
      <c r="DS66" s="15">
        <v>1</v>
      </c>
      <c r="DT66" s="15">
        <v>1</v>
      </c>
      <c r="DU66" s="15">
        <v>1</v>
      </c>
      <c r="DV66" s="15">
        <v>1</v>
      </c>
      <c r="DW66" s="15">
        <v>1</v>
      </c>
      <c r="DX66" s="15">
        <v>1</v>
      </c>
      <c r="DY66" s="15">
        <v>1</v>
      </c>
      <c r="DZ66" s="15">
        <v>1</v>
      </c>
      <c r="EA66" s="15">
        <v>1</v>
      </c>
      <c r="EB66" s="15">
        <v>1</v>
      </c>
      <c r="EC66" s="15">
        <v>1</v>
      </c>
      <c r="ED66" s="15">
        <v>1</v>
      </c>
      <c r="EE66" s="15">
        <v>1</v>
      </c>
      <c r="EF66" s="15">
        <v>1</v>
      </c>
      <c r="EG66" s="15">
        <v>1</v>
      </c>
      <c r="EH66" s="15">
        <v>1</v>
      </c>
      <c r="EI66" s="15">
        <v>1</v>
      </c>
      <c r="EJ66" s="15">
        <v>1</v>
      </c>
      <c r="EK66" s="15">
        <v>1</v>
      </c>
      <c r="EL66" s="15">
        <v>1</v>
      </c>
      <c r="EM66" s="15">
        <v>1</v>
      </c>
      <c r="EN66" s="15">
        <v>1</v>
      </c>
      <c r="EO66" s="15">
        <v>1</v>
      </c>
      <c r="EP66" s="15">
        <v>1</v>
      </c>
      <c r="EQ66" s="15">
        <v>1</v>
      </c>
      <c r="ER66" s="15">
        <v>1</v>
      </c>
      <c r="ES66" s="15">
        <v>1</v>
      </c>
      <c r="ET66" s="15">
        <v>1</v>
      </c>
      <c r="EU66" s="15">
        <v>1</v>
      </c>
      <c r="EV66" s="111">
        <v>1</v>
      </c>
      <c r="EW66" s="15">
        <v>1</v>
      </c>
      <c r="EX66" s="15">
        <v>1</v>
      </c>
      <c r="EY66" s="15">
        <v>1</v>
      </c>
      <c r="EZ66" s="15">
        <v>1</v>
      </c>
      <c r="FA66" s="15">
        <v>1</v>
      </c>
      <c r="FB66" s="15">
        <v>1</v>
      </c>
      <c r="FC66" s="15">
        <v>1</v>
      </c>
      <c r="FD66" s="15">
        <v>1</v>
      </c>
      <c r="FE66" s="15">
        <v>1</v>
      </c>
      <c r="FF66" s="15">
        <v>1</v>
      </c>
      <c r="FG66" s="15">
        <v>1</v>
      </c>
      <c r="FH66" s="15">
        <v>1</v>
      </c>
      <c r="FI66" s="15">
        <v>1</v>
      </c>
      <c r="FJ66" s="15">
        <v>1</v>
      </c>
      <c r="FK66" s="15">
        <v>1</v>
      </c>
      <c r="FL66" s="15">
        <v>1</v>
      </c>
      <c r="FM66" s="15">
        <v>1</v>
      </c>
      <c r="FN66" s="15">
        <v>1</v>
      </c>
      <c r="FO66" s="15">
        <v>1</v>
      </c>
      <c r="FP66" s="15">
        <v>1</v>
      </c>
      <c r="FQ66" s="15">
        <v>1</v>
      </c>
      <c r="FR66" s="15">
        <v>1</v>
      </c>
      <c r="FS66" s="15">
        <v>1</v>
      </c>
      <c r="FT66" s="15">
        <v>1</v>
      </c>
      <c r="FU66" s="15">
        <v>1</v>
      </c>
      <c r="FV66" s="15">
        <v>1</v>
      </c>
      <c r="FW66" s="15">
        <v>1</v>
      </c>
      <c r="FX66" s="15">
        <v>1</v>
      </c>
      <c r="FY66" s="15">
        <v>1</v>
      </c>
      <c r="FZ66" s="15">
        <v>1</v>
      </c>
      <c r="GA66" s="15">
        <v>1</v>
      </c>
      <c r="GB66" s="15">
        <v>1</v>
      </c>
      <c r="GC66" s="15">
        <v>1</v>
      </c>
      <c r="GD66" s="15">
        <v>1</v>
      </c>
      <c r="GE66" s="15">
        <v>1</v>
      </c>
      <c r="GF66" s="15">
        <v>1</v>
      </c>
      <c r="GG66" s="15">
        <v>1</v>
      </c>
      <c r="GH66" s="15">
        <v>1</v>
      </c>
      <c r="GI66" s="15">
        <v>1</v>
      </c>
      <c r="GJ66" s="15">
        <v>1</v>
      </c>
      <c r="GK66" s="15">
        <v>1</v>
      </c>
      <c r="GL66" s="15">
        <v>1</v>
      </c>
      <c r="GM66" s="15">
        <v>1</v>
      </c>
      <c r="GN66" s="15">
        <v>1</v>
      </c>
      <c r="GO66" s="15">
        <v>1</v>
      </c>
      <c r="GP66" s="15">
        <v>1</v>
      </c>
      <c r="GQ66" s="15">
        <v>1</v>
      </c>
      <c r="GR66" s="15">
        <v>1</v>
      </c>
      <c r="GS66" s="15">
        <v>1</v>
      </c>
      <c r="GT66" s="15">
        <v>1</v>
      </c>
      <c r="GU66" s="15">
        <v>1</v>
      </c>
      <c r="GV66" s="15">
        <v>1</v>
      </c>
      <c r="GW66" s="15">
        <v>1</v>
      </c>
      <c r="GX66" s="15">
        <v>1</v>
      </c>
      <c r="GY66" s="15">
        <v>1</v>
      </c>
      <c r="GZ66" s="15">
        <v>1</v>
      </c>
      <c r="HA66" s="15">
        <v>1</v>
      </c>
      <c r="HB66" s="15">
        <v>1</v>
      </c>
      <c r="HC66" s="15">
        <v>1</v>
      </c>
      <c r="HD66" s="15">
        <v>1</v>
      </c>
      <c r="HE66" s="15">
        <v>1</v>
      </c>
      <c r="HF66" s="15">
        <v>1</v>
      </c>
      <c r="HG66" s="15">
        <v>1</v>
      </c>
      <c r="HH66" s="15">
        <v>1</v>
      </c>
      <c r="HI66" s="15">
        <v>1</v>
      </c>
      <c r="HJ66" s="15">
        <v>1</v>
      </c>
      <c r="HK66" s="15">
        <v>1</v>
      </c>
      <c r="HL66" s="15">
        <v>1</v>
      </c>
      <c r="HM66" s="15">
        <v>1</v>
      </c>
      <c r="HN66" s="15">
        <v>1</v>
      </c>
      <c r="HO66" s="15">
        <v>1</v>
      </c>
      <c r="HP66" s="15">
        <v>1</v>
      </c>
      <c r="HQ66" s="15">
        <v>1</v>
      </c>
      <c r="HR66" s="15">
        <v>1</v>
      </c>
      <c r="HS66" s="15">
        <v>1</v>
      </c>
      <c r="HT66" s="15">
        <v>1</v>
      </c>
      <c r="HU66" s="15">
        <v>1</v>
      </c>
      <c r="HV66" s="15">
        <v>1</v>
      </c>
      <c r="HW66" s="15">
        <v>1</v>
      </c>
      <c r="HX66" s="15">
        <v>1</v>
      </c>
      <c r="HY66" s="15">
        <v>1</v>
      </c>
      <c r="HZ66" s="15">
        <v>1</v>
      </c>
      <c r="IA66" s="15">
        <v>1</v>
      </c>
      <c r="IB66" s="15">
        <v>1</v>
      </c>
      <c r="IC66" s="15">
        <v>1</v>
      </c>
      <c r="ID66" s="15">
        <v>1</v>
      </c>
      <c r="IE66" s="15">
        <v>1</v>
      </c>
      <c r="IF66" s="15">
        <v>1</v>
      </c>
      <c r="IG66" s="15">
        <v>1</v>
      </c>
      <c r="IH66" s="15">
        <v>1</v>
      </c>
      <c r="II66" s="15">
        <v>1</v>
      </c>
      <c r="IJ66" s="15">
        <v>1</v>
      </c>
      <c r="IK66" s="15">
        <v>1</v>
      </c>
      <c r="IL66" s="15">
        <v>1</v>
      </c>
      <c r="IM66" s="15">
        <v>1</v>
      </c>
      <c r="IN66" s="15">
        <v>1</v>
      </c>
      <c r="IO66" s="15">
        <v>1</v>
      </c>
      <c r="IP66" s="15">
        <v>1</v>
      </c>
      <c r="IQ66" s="15">
        <v>1</v>
      </c>
      <c r="IR66" s="15">
        <v>1</v>
      </c>
    </row>
    <row r="67" spans="1:252" s="4" customFormat="1" ht="29.15">
      <c r="A67" s="89" t="s">
        <v>512</v>
      </c>
      <c r="B67" s="76">
        <v>4</v>
      </c>
      <c r="C67" s="3" t="s">
        <v>67</v>
      </c>
      <c r="D67" s="77">
        <v>15139</v>
      </c>
      <c r="E67" s="77" t="s">
        <v>393</v>
      </c>
      <c r="F67" s="77" t="s">
        <v>390</v>
      </c>
      <c r="G67" s="77" t="s">
        <v>50</v>
      </c>
      <c r="H67" s="77" t="s">
        <v>31</v>
      </c>
      <c r="I67" s="77" t="s">
        <v>365</v>
      </c>
      <c r="J67" s="77" t="s">
        <v>374</v>
      </c>
      <c r="K67" s="77">
        <v>497</v>
      </c>
      <c r="L67" s="77" t="s">
        <v>64</v>
      </c>
      <c r="M67" s="91" t="s">
        <v>190</v>
      </c>
      <c r="N67" s="77" t="s">
        <v>191</v>
      </c>
      <c r="O67" s="77" t="s">
        <v>192</v>
      </c>
      <c r="P67" s="79" t="s">
        <v>380</v>
      </c>
      <c r="Q67" s="77" t="s">
        <v>262</v>
      </c>
      <c r="R67" s="77" t="s">
        <v>262</v>
      </c>
      <c r="S67" s="80">
        <v>494752</v>
      </c>
      <c r="T67" s="80">
        <v>245802758</v>
      </c>
      <c r="U67" s="81">
        <v>7030</v>
      </c>
      <c r="V67" s="81">
        <v>0</v>
      </c>
      <c r="W67" s="82">
        <v>495641820</v>
      </c>
      <c r="X67" s="112">
        <v>69</v>
      </c>
      <c r="Y67" s="112" t="s">
        <v>418</v>
      </c>
      <c r="Z67" s="113">
        <v>3</v>
      </c>
      <c r="AA67" s="113">
        <v>3</v>
      </c>
      <c r="AB67" s="113">
        <v>4</v>
      </c>
      <c r="AC67" s="99">
        <v>1129.26</v>
      </c>
      <c r="AD67" s="99">
        <f t="shared" si="19"/>
        <v>200.83999999999992</v>
      </c>
      <c r="AE67" s="99">
        <v>1330.1</v>
      </c>
      <c r="AF67" s="98">
        <f>(Z67+AA67+AB67)*'Ставки аренды'!$B$3/X67</f>
        <v>101.44927536231884</v>
      </c>
      <c r="AG67" s="114">
        <v>0</v>
      </c>
      <c r="AH67" s="94">
        <v>0</v>
      </c>
      <c r="AI67" s="115">
        <f>0.85*AJ67</f>
        <v>129719.34999999999</v>
      </c>
      <c r="AJ67" s="117">
        <f>Цены!C30*'Курсы валют'!B2</f>
        <v>152611</v>
      </c>
      <c r="AK67" s="94">
        <f>AJ67/Цены!$B$1</f>
        <v>2000.0000000000002</v>
      </c>
      <c r="AL67" s="95">
        <f t="shared" si="5"/>
        <v>1431.5492753623187</v>
      </c>
      <c r="AM67" s="95">
        <f t="shared" si="6"/>
        <v>151179.45072463769</v>
      </c>
      <c r="AN67" s="94">
        <f t="shared" si="16"/>
        <v>131150.89927536232</v>
      </c>
      <c r="AO67" s="118">
        <f t="shared" si="17"/>
        <v>0.14061961932388675</v>
      </c>
      <c r="AP67" s="96">
        <f t="shared" si="7"/>
        <v>9.3803806761132459E-3</v>
      </c>
      <c r="AQ67" s="96">
        <f t="shared" si="8"/>
        <v>8.715623382324995E-3</v>
      </c>
      <c r="AR67" s="96">
        <f t="shared" si="9"/>
        <v>0.92913322851800373</v>
      </c>
      <c r="AS67" s="122">
        <v>1</v>
      </c>
      <c r="AT67" s="121">
        <f t="shared" si="10"/>
        <v>494752</v>
      </c>
      <c r="AU67" s="7" t="s">
        <v>475</v>
      </c>
      <c r="AV67" s="119">
        <f t="shared" si="11"/>
        <v>0.1395737445180078</v>
      </c>
      <c r="AW67" s="120">
        <f t="shared" si="12"/>
        <v>1.0426255481992247E-2</v>
      </c>
      <c r="AX67" s="120">
        <f t="shared" si="13"/>
        <v>9.7614981882039962E-3</v>
      </c>
      <c r="AY67" s="120">
        <f t="shared" si="14"/>
        <v>0.93624199071887415</v>
      </c>
      <c r="AZ67" s="15">
        <v>1</v>
      </c>
      <c r="BA67" s="15">
        <v>1</v>
      </c>
      <c r="BB67" s="15">
        <v>1</v>
      </c>
      <c r="BC67" s="15">
        <v>1</v>
      </c>
      <c r="BD67" s="15">
        <v>1</v>
      </c>
      <c r="BE67" s="15">
        <v>1</v>
      </c>
      <c r="BF67" s="15">
        <v>1</v>
      </c>
      <c r="BG67" s="15">
        <v>1</v>
      </c>
      <c r="BH67" s="15">
        <v>1</v>
      </c>
      <c r="BI67" s="15">
        <v>1</v>
      </c>
      <c r="BJ67" s="15">
        <v>1</v>
      </c>
      <c r="BK67" s="15">
        <v>1</v>
      </c>
      <c r="BL67" s="15">
        <v>1</v>
      </c>
      <c r="BM67" s="15">
        <v>1</v>
      </c>
      <c r="BN67" s="15">
        <v>1</v>
      </c>
      <c r="BO67" s="15">
        <v>1</v>
      </c>
      <c r="BP67" s="15">
        <v>1</v>
      </c>
      <c r="BQ67" s="15">
        <v>1</v>
      </c>
      <c r="BR67" s="15">
        <v>1</v>
      </c>
      <c r="BS67" s="15">
        <v>1</v>
      </c>
      <c r="BT67" s="15">
        <v>1</v>
      </c>
      <c r="BU67" s="15">
        <v>1</v>
      </c>
      <c r="BV67" s="15">
        <v>1</v>
      </c>
      <c r="BW67" s="15">
        <v>1</v>
      </c>
      <c r="BX67" s="15">
        <v>1</v>
      </c>
      <c r="BY67" s="15">
        <v>1</v>
      </c>
      <c r="BZ67" s="15">
        <v>1</v>
      </c>
      <c r="CA67" s="15">
        <v>1</v>
      </c>
      <c r="CB67" s="15">
        <v>1</v>
      </c>
      <c r="CC67" s="15">
        <v>1</v>
      </c>
      <c r="CD67" s="15">
        <v>1</v>
      </c>
      <c r="CE67" s="15">
        <v>1</v>
      </c>
      <c r="CF67" s="15">
        <v>1</v>
      </c>
      <c r="CG67" s="15">
        <v>1</v>
      </c>
      <c r="CH67" s="15">
        <v>1</v>
      </c>
      <c r="CI67" s="15">
        <v>1</v>
      </c>
      <c r="CJ67" s="15">
        <v>1</v>
      </c>
      <c r="CK67" s="15">
        <v>1</v>
      </c>
      <c r="CL67" s="15">
        <v>1</v>
      </c>
      <c r="CM67" s="15">
        <v>1</v>
      </c>
      <c r="CN67" s="15">
        <v>1</v>
      </c>
      <c r="CO67" s="15">
        <v>1</v>
      </c>
      <c r="CP67" s="15">
        <v>1</v>
      </c>
      <c r="CQ67" s="15">
        <v>1</v>
      </c>
      <c r="CR67" s="15">
        <v>1</v>
      </c>
      <c r="CS67" s="15">
        <v>1</v>
      </c>
      <c r="CT67" s="15">
        <v>1</v>
      </c>
      <c r="CU67" s="15">
        <v>1</v>
      </c>
      <c r="CV67" s="15">
        <v>1</v>
      </c>
      <c r="CW67" s="15">
        <v>1</v>
      </c>
      <c r="CX67" s="15">
        <v>1</v>
      </c>
      <c r="CY67" s="15">
        <v>1</v>
      </c>
      <c r="CZ67" s="15">
        <v>1</v>
      </c>
      <c r="DA67" s="15">
        <v>1</v>
      </c>
      <c r="DB67" s="15">
        <v>1</v>
      </c>
      <c r="DC67" s="15">
        <v>1</v>
      </c>
      <c r="DD67" s="15">
        <v>1</v>
      </c>
      <c r="DE67" s="15">
        <v>1</v>
      </c>
      <c r="DF67" s="15">
        <v>1</v>
      </c>
      <c r="DG67" s="15">
        <v>1</v>
      </c>
      <c r="DH67" s="15">
        <v>1</v>
      </c>
      <c r="DI67" s="15">
        <v>1</v>
      </c>
      <c r="DJ67" s="15">
        <v>1</v>
      </c>
      <c r="DK67" s="15">
        <v>1</v>
      </c>
      <c r="DL67" s="15">
        <v>1</v>
      </c>
      <c r="DM67" s="15">
        <v>1</v>
      </c>
      <c r="DN67" s="15">
        <v>1</v>
      </c>
      <c r="DO67" s="15">
        <v>1</v>
      </c>
      <c r="DP67" s="15">
        <v>1</v>
      </c>
      <c r="DQ67" s="15">
        <v>1</v>
      </c>
      <c r="DR67" s="15">
        <v>1</v>
      </c>
      <c r="DS67" s="15">
        <v>1</v>
      </c>
      <c r="DT67" s="15">
        <v>1</v>
      </c>
      <c r="DU67" s="15">
        <v>1</v>
      </c>
      <c r="DV67" s="15">
        <v>1</v>
      </c>
      <c r="DW67" s="15">
        <v>1</v>
      </c>
      <c r="DX67" s="15">
        <v>1</v>
      </c>
      <c r="DY67" s="15">
        <v>1</v>
      </c>
      <c r="DZ67" s="15">
        <v>1</v>
      </c>
      <c r="EA67" s="15">
        <v>1</v>
      </c>
      <c r="EB67" s="15">
        <v>1</v>
      </c>
      <c r="EC67" s="15">
        <v>1</v>
      </c>
      <c r="ED67" s="15">
        <v>1</v>
      </c>
      <c r="EE67" s="15">
        <v>1</v>
      </c>
      <c r="EF67" s="15">
        <v>1</v>
      </c>
      <c r="EG67" s="15">
        <v>1</v>
      </c>
      <c r="EH67" s="15">
        <v>1</v>
      </c>
      <c r="EI67" s="15">
        <v>1</v>
      </c>
      <c r="EJ67" s="15">
        <v>1</v>
      </c>
      <c r="EK67" s="15">
        <v>1</v>
      </c>
      <c r="EL67" s="15">
        <v>1</v>
      </c>
      <c r="EM67" s="15">
        <v>1</v>
      </c>
      <c r="EN67" s="15">
        <v>1</v>
      </c>
      <c r="EO67" s="15">
        <v>1</v>
      </c>
      <c r="EP67" s="15">
        <v>1</v>
      </c>
      <c r="EQ67" s="15">
        <v>1</v>
      </c>
      <c r="ER67" s="15">
        <v>1</v>
      </c>
      <c r="ES67" s="15">
        <v>1</v>
      </c>
      <c r="ET67" s="15">
        <v>1</v>
      </c>
      <c r="EU67" s="15">
        <v>1</v>
      </c>
      <c r="EV67" s="111">
        <v>1</v>
      </c>
      <c r="EW67" s="15">
        <v>1</v>
      </c>
      <c r="EX67" s="15">
        <v>1</v>
      </c>
      <c r="EY67" s="15">
        <v>1</v>
      </c>
      <c r="EZ67" s="15">
        <v>1</v>
      </c>
      <c r="FA67" s="15">
        <v>1</v>
      </c>
      <c r="FB67" s="15">
        <v>1</v>
      </c>
      <c r="FC67" s="15">
        <v>1</v>
      </c>
      <c r="FD67" s="15">
        <v>1</v>
      </c>
      <c r="FE67" s="15">
        <v>1</v>
      </c>
      <c r="FF67" s="15">
        <v>1</v>
      </c>
      <c r="FG67" s="15">
        <v>1</v>
      </c>
      <c r="FH67" s="15">
        <v>1</v>
      </c>
      <c r="FI67" s="15">
        <v>1</v>
      </c>
      <c r="FJ67" s="15">
        <v>1</v>
      </c>
      <c r="FK67" s="15">
        <v>1</v>
      </c>
      <c r="FL67" s="15">
        <v>1</v>
      </c>
      <c r="FM67" s="15">
        <v>1</v>
      </c>
      <c r="FN67" s="15">
        <v>1</v>
      </c>
      <c r="FO67" s="15">
        <v>1</v>
      </c>
      <c r="FP67" s="15">
        <v>1</v>
      </c>
      <c r="FQ67" s="15">
        <v>1</v>
      </c>
      <c r="FR67" s="15">
        <v>1</v>
      </c>
      <c r="FS67" s="15">
        <v>1</v>
      </c>
      <c r="FT67" s="15">
        <v>1</v>
      </c>
      <c r="FU67" s="15">
        <v>1</v>
      </c>
      <c r="FV67" s="15">
        <v>1</v>
      </c>
      <c r="FW67" s="15">
        <v>1</v>
      </c>
      <c r="FX67" s="15">
        <v>1</v>
      </c>
      <c r="FY67" s="15">
        <v>1</v>
      </c>
      <c r="FZ67" s="15">
        <v>1</v>
      </c>
      <c r="GA67" s="15">
        <v>1</v>
      </c>
      <c r="GB67" s="15">
        <v>1</v>
      </c>
      <c r="GC67" s="15">
        <v>1</v>
      </c>
      <c r="GD67" s="15">
        <v>1</v>
      </c>
      <c r="GE67" s="15">
        <v>1</v>
      </c>
      <c r="GF67" s="15">
        <v>1</v>
      </c>
      <c r="GG67" s="15">
        <v>1</v>
      </c>
      <c r="GH67" s="15">
        <v>1</v>
      </c>
      <c r="GI67" s="15">
        <v>1</v>
      </c>
      <c r="GJ67" s="15">
        <v>1</v>
      </c>
      <c r="GK67" s="15">
        <v>1</v>
      </c>
      <c r="GL67" s="15">
        <v>1</v>
      </c>
      <c r="GM67" s="15">
        <v>1</v>
      </c>
      <c r="GN67" s="15">
        <v>1</v>
      </c>
      <c r="GO67" s="15">
        <v>1</v>
      </c>
      <c r="GP67" s="15">
        <v>1</v>
      </c>
      <c r="GQ67" s="15">
        <v>1</v>
      </c>
      <c r="GR67" s="15">
        <v>1</v>
      </c>
      <c r="GS67" s="15">
        <v>1</v>
      </c>
      <c r="GT67" s="15">
        <v>1</v>
      </c>
      <c r="GU67" s="15">
        <v>1</v>
      </c>
      <c r="GV67" s="15">
        <v>1</v>
      </c>
      <c r="GW67" s="15">
        <v>1</v>
      </c>
      <c r="GX67" s="15">
        <v>1</v>
      </c>
      <c r="GY67" s="15">
        <v>1</v>
      </c>
      <c r="GZ67" s="15">
        <v>1</v>
      </c>
      <c r="HA67" s="15">
        <v>1</v>
      </c>
      <c r="HB67" s="15">
        <v>1</v>
      </c>
      <c r="HC67" s="15">
        <v>1</v>
      </c>
      <c r="HD67" s="15">
        <v>1</v>
      </c>
      <c r="HE67" s="15">
        <v>1</v>
      </c>
      <c r="HF67" s="15">
        <v>1</v>
      </c>
      <c r="HG67" s="15">
        <v>1</v>
      </c>
      <c r="HH67" s="15">
        <v>1</v>
      </c>
      <c r="HI67" s="15">
        <v>1</v>
      </c>
      <c r="HJ67" s="15">
        <v>1</v>
      </c>
      <c r="HK67" s="15">
        <v>1</v>
      </c>
      <c r="HL67" s="15">
        <v>1</v>
      </c>
      <c r="HM67" s="15">
        <v>1</v>
      </c>
      <c r="HN67" s="15">
        <v>1</v>
      </c>
      <c r="HO67" s="15">
        <v>1</v>
      </c>
      <c r="HP67" s="15">
        <v>1</v>
      </c>
      <c r="HQ67" s="15">
        <v>1</v>
      </c>
      <c r="HR67" s="15">
        <v>1</v>
      </c>
      <c r="HS67" s="15">
        <v>1</v>
      </c>
      <c r="HT67" s="15">
        <v>1</v>
      </c>
      <c r="HU67" s="15">
        <v>1</v>
      </c>
      <c r="HV67" s="15">
        <v>1</v>
      </c>
      <c r="HW67" s="15">
        <v>1</v>
      </c>
      <c r="HX67" s="15">
        <v>1</v>
      </c>
      <c r="HY67" s="15">
        <v>1</v>
      </c>
      <c r="HZ67" s="15">
        <v>1</v>
      </c>
      <c r="IA67" s="15">
        <v>1</v>
      </c>
      <c r="IB67" s="15">
        <v>1</v>
      </c>
      <c r="IC67" s="15">
        <v>1</v>
      </c>
      <c r="ID67" s="15">
        <v>1</v>
      </c>
      <c r="IE67" s="15">
        <v>1</v>
      </c>
      <c r="IF67" s="15">
        <v>1</v>
      </c>
      <c r="IG67" s="15">
        <v>1</v>
      </c>
      <c r="IH67" s="15">
        <v>1</v>
      </c>
      <c r="II67" s="15">
        <v>1</v>
      </c>
      <c r="IJ67" s="15">
        <v>1</v>
      </c>
      <c r="IK67" s="15">
        <v>1</v>
      </c>
      <c r="IL67" s="15">
        <v>1</v>
      </c>
      <c r="IM67" s="15">
        <v>1</v>
      </c>
      <c r="IN67" s="15">
        <v>1</v>
      </c>
      <c r="IO67" s="15">
        <v>1</v>
      </c>
      <c r="IP67" s="15">
        <v>1</v>
      </c>
      <c r="IQ67" s="15">
        <v>1</v>
      </c>
      <c r="IR67" s="15">
        <v>1</v>
      </c>
    </row>
    <row r="68" spans="1:252" s="4" customFormat="1" ht="29.15">
      <c r="A68" s="89" t="s">
        <v>512</v>
      </c>
      <c r="B68" s="76">
        <v>4</v>
      </c>
      <c r="C68" s="3" t="s">
        <v>67</v>
      </c>
      <c r="D68" s="77">
        <v>15165</v>
      </c>
      <c r="E68" s="77" t="s">
        <v>394</v>
      </c>
      <c r="F68" s="77" t="s">
        <v>390</v>
      </c>
      <c r="G68" s="77" t="s">
        <v>20</v>
      </c>
      <c r="H68" s="77" t="s">
        <v>20</v>
      </c>
      <c r="I68" s="77" t="s">
        <v>366</v>
      </c>
      <c r="J68" s="77" t="s">
        <v>130</v>
      </c>
      <c r="K68" s="77">
        <v>143</v>
      </c>
      <c r="L68" s="77" t="s">
        <v>189</v>
      </c>
      <c r="M68" s="91" t="s">
        <v>190</v>
      </c>
      <c r="N68" s="77" t="s">
        <v>48</v>
      </c>
      <c r="O68" s="77" t="s">
        <v>193</v>
      </c>
      <c r="P68" s="79" t="s">
        <v>381</v>
      </c>
      <c r="Q68" s="77" t="s">
        <v>263</v>
      </c>
      <c r="R68" s="77" t="s">
        <v>263</v>
      </c>
      <c r="S68" s="80">
        <v>395083</v>
      </c>
      <c r="T68" s="80">
        <v>56496891</v>
      </c>
      <c r="U68" s="81">
        <v>6853</v>
      </c>
      <c r="V68" s="81">
        <v>0</v>
      </c>
      <c r="W68" s="82">
        <v>185153173</v>
      </c>
      <c r="X68" s="112">
        <v>58</v>
      </c>
      <c r="Y68" s="112" t="s">
        <v>449</v>
      </c>
      <c r="Z68" s="113">
        <v>3</v>
      </c>
      <c r="AA68" s="113">
        <v>0</v>
      </c>
      <c r="AB68" s="113">
        <v>4</v>
      </c>
      <c r="AC68" s="99">
        <f>22582/X68</f>
        <v>389.34482758620692</v>
      </c>
      <c r="AD68" s="99">
        <v>0</v>
      </c>
      <c r="AE68" s="99">
        <f>AC68</f>
        <v>389.34482758620692</v>
      </c>
      <c r="AF68" s="98">
        <f>(AB68+AA68+Z68)*'Ставки аренды'!$B$6/X68</f>
        <v>193.10344827586206</v>
      </c>
      <c r="AG68" s="114">
        <v>0</v>
      </c>
      <c r="AH68" s="94">
        <v>0</v>
      </c>
      <c r="AI68" s="115">
        <f>575152/1082467*AJ68</f>
        <v>729787.32547782047</v>
      </c>
      <c r="AJ68" s="117">
        <f>Цены!C34*'Курсы валют'!B2</f>
        <v>1373499</v>
      </c>
      <c r="AK68" s="94">
        <f>AJ68/Цены!$B$1</f>
        <v>18000</v>
      </c>
      <c r="AL68" s="95">
        <f t="shared" si="5"/>
        <v>582.44827586206895</v>
      </c>
      <c r="AM68" s="95">
        <f t="shared" si="6"/>
        <v>1372916.551724138</v>
      </c>
      <c r="AN68" s="94">
        <f t="shared" ref="AN68:AN99" si="22">AI68+AH68+AG68+AF68+AE68</f>
        <v>730369.7737536825</v>
      </c>
      <c r="AO68" s="118">
        <f t="shared" ref="AO68:AO99" si="23">(AJ68-AN68)/AJ68</f>
        <v>0.46824149580474211</v>
      </c>
      <c r="AP68" s="96">
        <f t="shared" si="7"/>
        <v>4.2406166721786396E-4</v>
      </c>
      <c r="AQ68" s="96">
        <f t="shared" si="8"/>
        <v>2.83469320025866E-4</v>
      </c>
      <c r="AR68" s="96">
        <f t="shared" si="9"/>
        <v>0.66846249481972653</v>
      </c>
      <c r="AS68" s="122">
        <v>1</v>
      </c>
      <c r="AT68" s="121">
        <f t="shared" si="10"/>
        <v>395083</v>
      </c>
      <c r="AU68" s="83">
        <v>0.9</v>
      </c>
      <c r="AV68" s="119">
        <f t="shared" si="11"/>
        <v>0.46820747948633901</v>
      </c>
      <c r="AW68" s="120">
        <f t="shared" si="12"/>
        <v>4.5807798562096796E-4</v>
      </c>
      <c r="AX68" s="120">
        <f t="shared" si="13"/>
        <v>3.174856384289699E-4</v>
      </c>
      <c r="AY68" s="120">
        <f t="shared" si="14"/>
        <v>0.69308206985452092</v>
      </c>
      <c r="AZ68" s="15">
        <f>MIN(IF($AU68=100%,1,1+VLOOKUP(($AJ68-$AI68-$AH68-$AG68-$AF68-$AE68*(1+AZ$3))/$AJ68,'Технический лист'!$M:$N,2,1)-VLOOKUP($AO68,'Технический лист'!$M:$N,2,1)),1+(1-$AU68))</f>
        <v>0.99999999999999978</v>
      </c>
      <c r="BA68" s="15">
        <f>MIN(IF($AU68=100%,1,1+VLOOKUP(($AJ68-$AI68-$AH68-$AG68-$AF68-$AE68*(1+BA$3))/$AJ68,'Технический лист'!$M:$N,2,1)-VLOOKUP($AO68,'Технический лист'!$M:$N,2,1)),1+(1-$AU68))</f>
        <v>0.99999999999999978</v>
      </c>
      <c r="BB68" s="15">
        <f>MIN(IF($AU68=100%,1,1+VLOOKUP(($AJ68-$AI68-$AH68-$AG68-$AF68-$AE68*(1+BB$3))/$AJ68,'Технический лист'!$M:$N,2,1)-VLOOKUP($AO68,'Технический лист'!$M:$N,2,1)),1+(1-$AU68))</f>
        <v>0.99999999999999978</v>
      </c>
      <c r="BC68" s="15">
        <f>MIN(IF($AU68=100%,1,1+VLOOKUP(($AJ68-$AI68-$AH68-$AG68-$AF68-$AE68*(1+BC$3))/$AJ68,'Технический лист'!$M:$N,2,1)-VLOOKUP($AO68,'Технический лист'!$M:$N,2,1)),1+(1-$AU68))</f>
        <v>0.99999999999999978</v>
      </c>
      <c r="BD68" s="15">
        <f>MIN(IF($AU68=100%,1,1+VLOOKUP(($AJ68-$AI68-$AH68-$AG68-$AF68-$AE68*(1+BD$3))/$AJ68,'Технический лист'!$M:$N,2,1)-VLOOKUP($AO68,'Технический лист'!$M:$N,2,1)),1+(1-$AU68))</f>
        <v>0.99999999999999978</v>
      </c>
      <c r="BE68" s="15">
        <f>MIN(IF($AU68=100%,1,1+VLOOKUP(($AJ68-$AI68-$AH68-$AG68-$AF68-$AE68*(1+BE$3))/$AJ68,'Технический лист'!$M:$N,2,1)-VLOOKUP($AO68,'Технический лист'!$M:$N,2,1)),1+(1-$AU68))</f>
        <v>0.99999999999999978</v>
      </c>
      <c r="BF68" s="15">
        <f>MIN(IF($AU68=100%,1,1+VLOOKUP(($AJ68-$AI68-$AH68-$AG68-$AF68-$AE68*(1+BF$3))/$AJ68,'Технический лист'!$M:$N,2,1)-VLOOKUP($AO68,'Технический лист'!$M:$N,2,1)),1+(1-$AU68))</f>
        <v>0.99999999999999978</v>
      </c>
      <c r="BG68" s="15">
        <f>MIN(IF($AU68=100%,1,1+VLOOKUP(($AJ68-$AI68-$AH68-$AG68-$AF68-$AE68*(1+BG$3))/$AJ68,'Технический лист'!$M:$N,2,1)-VLOOKUP($AO68,'Технический лист'!$M:$N,2,1)),1+(1-$AU68))</f>
        <v>0.99999999999999978</v>
      </c>
      <c r="BH68" s="15">
        <f>MIN(IF($AU68=100%,1,1+VLOOKUP(($AJ68-$AI68-$AH68-$AG68-$AF68-$AE68*(1+BH$3))/$AJ68,'Технический лист'!$M:$N,2,1)-VLOOKUP($AO68,'Технический лист'!$M:$N,2,1)),1+(1-$AU68))</f>
        <v>0.99999999999999978</v>
      </c>
      <c r="BI68" s="15">
        <f>MIN(IF($AU68=100%,1,1+VLOOKUP(($AJ68-$AI68-$AH68-$AG68-$AF68-$AE68*(1+BI$3))/$AJ68,'Технический лист'!$M:$N,2,1)-VLOOKUP($AO68,'Технический лист'!$M:$N,2,1)),1+(1-$AU68))</f>
        <v>0.99999999999999978</v>
      </c>
      <c r="BJ68" s="15">
        <f>MIN(IF($AU68=100%,1,1+VLOOKUP(($AJ68-$AI68-$AH68-$AG68-$AF68-$AE68*(1+BJ$3))/$AJ68,'Технический лист'!$M:$N,2,1)-VLOOKUP($AO68,'Технический лист'!$M:$N,2,1)),1+(1-$AU68))</f>
        <v>0.99999999999999978</v>
      </c>
      <c r="BK68" s="15">
        <f>MIN(IF($AU68=100%,1,1+VLOOKUP(($AJ68-$AI68-$AH68-$AG68-$AF68-$AE68*(1+BK$3))/$AJ68,'Технический лист'!$M:$N,2,1)-VLOOKUP($AO68,'Технический лист'!$M:$N,2,1)),1+(1-$AU68))</f>
        <v>0.99999999999999978</v>
      </c>
      <c r="BL68" s="15">
        <f>MIN(IF($AU68=100%,1,1+VLOOKUP(($AJ68-$AI68-$AH68-$AG68-$AF68-$AE68*(1+BL$3))/$AJ68,'Технический лист'!$M:$N,2,1)-VLOOKUP($AO68,'Технический лист'!$M:$N,2,1)),1+(1-$AU68))</f>
        <v>0.99999999999999978</v>
      </c>
      <c r="BM68" s="15">
        <f>MIN(IF($AU68=100%,1,1+VLOOKUP(($AJ68-$AI68-$AH68-$AG68-$AF68-$AE68*(1+BM$3))/$AJ68,'Технический лист'!$M:$N,2,1)-VLOOKUP($AO68,'Технический лист'!$M:$N,2,1)),1+(1-$AU68))</f>
        <v>0.99999999999999978</v>
      </c>
      <c r="BN68" s="15">
        <f>MIN(IF($AU68=100%,1,1+VLOOKUP(($AJ68-$AI68-$AH68-$AG68-$AF68-$AE68*(1+BN$3))/$AJ68,'Технический лист'!$M:$N,2,1)-VLOOKUP($AO68,'Технический лист'!$M:$N,2,1)),1+(1-$AU68))</f>
        <v>0.99999999999999978</v>
      </c>
      <c r="BO68" s="15">
        <f>MIN(IF($AU68=100%,1,1+VLOOKUP(($AJ68-$AI68-$AH68-$AG68-$AF68-$AE68*(1+BO$3))/$AJ68,'Технический лист'!$M:$N,2,1)-VLOOKUP($AO68,'Технический лист'!$M:$N,2,1)),1+(1-$AU68))</f>
        <v>0.99999999999999978</v>
      </c>
      <c r="BP68" s="15">
        <f>MIN(IF($AU68=100%,1,1+VLOOKUP(($AJ68-$AI68-$AH68-$AG68-$AF68-$AE68*(1+BP$3))/$AJ68,'Технический лист'!$M:$N,2,1)-VLOOKUP($AO68,'Технический лист'!$M:$N,2,1)),1+(1-$AU68))</f>
        <v>0.99999999999999978</v>
      </c>
      <c r="BQ68" s="15">
        <f>MIN(IF($AU68=100%,1,1+VLOOKUP(($AJ68-$AI68-$AH68-$AG68-$AF68-$AE68*(1+BQ$3))/$AJ68,'Технический лист'!$M:$N,2,1)-VLOOKUP($AO68,'Технический лист'!$M:$N,2,1)),1+(1-$AU68))</f>
        <v>0.99999999999999978</v>
      </c>
      <c r="BR68" s="15">
        <f>MIN(IF($AU68=100%,1,1+VLOOKUP(($AJ68-$AI68-$AH68-$AG68-$AF68-$AE68*(1+BR$3))/$AJ68,'Технический лист'!$M:$N,2,1)-VLOOKUP($AO68,'Технический лист'!$M:$N,2,1)),1+(1-$AU68))</f>
        <v>0.99999999999999978</v>
      </c>
      <c r="BS68" s="15">
        <f>MIN(IF($AU68=100%,1,1+VLOOKUP(($AJ68-$AI68-$AH68-$AG68-$AF68-$AE68*(1+BS$3))/$AJ68,'Технический лист'!$M:$N,2,1)-VLOOKUP($AO68,'Технический лист'!$M:$N,2,1)),1+(1-$AU68))</f>
        <v>0.99999999999999978</v>
      </c>
      <c r="BT68" s="15">
        <f>MIN(IF($AU68=100%,1,1+VLOOKUP(($AJ68-$AI68-$AH68-$AG68-$AF68-$AE68*(1+BT$3))/$AJ68,'Технический лист'!$M:$N,2,1)-VLOOKUP($AO68,'Технический лист'!$M:$N,2,1)),1+(1-$AU68))</f>
        <v>0.99999999999999978</v>
      </c>
      <c r="BU68" s="15">
        <f>MIN(IF($AU68=100%,1,1+VLOOKUP(($AJ68-$AI68-$AH68-$AG68-$AF68-$AE68*(1+BU$3))/$AJ68,'Технический лист'!$M:$N,2,1)-VLOOKUP($AO68,'Технический лист'!$M:$N,2,1)),1+(1-$AU68))</f>
        <v>0.99999999999999978</v>
      </c>
      <c r="BV68" s="15">
        <f>MIN(IF($AU68=100%,1,1+VLOOKUP(($AJ68-$AI68-$AH68-$AG68-$AF68-$AE68*(1+BV$3))/$AJ68,'Технический лист'!$M:$N,2,1)-VLOOKUP($AO68,'Технический лист'!$M:$N,2,1)),1+(1-$AU68))</f>
        <v>0.99999999999999978</v>
      </c>
      <c r="BW68" s="15">
        <f>MIN(IF($AU68=100%,1,1+VLOOKUP(($AJ68-$AI68-$AH68-$AG68-$AF68-$AE68*(1+BW$3))/$AJ68,'Технический лист'!$M:$N,2,1)-VLOOKUP($AO68,'Технический лист'!$M:$N,2,1)),1+(1-$AU68))</f>
        <v>0.99999999999999978</v>
      </c>
      <c r="BX68" s="15">
        <f>MIN(IF($AU68=100%,1,1+VLOOKUP(($AJ68-$AI68-$AH68-$AG68-$AF68-$AE68*(1+BX$3))/$AJ68,'Технический лист'!$M:$N,2,1)-VLOOKUP($AO68,'Технический лист'!$M:$N,2,1)),1+(1-$AU68))</f>
        <v>0.99999999999999978</v>
      </c>
      <c r="BY68" s="15">
        <f>MIN(IF($AU68=100%,1,1+VLOOKUP(($AJ68-$AI68-$AH68-$AG68-$AF68-$AE68*(1+BY$3))/$AJ68,'Технический лист'!$M:$N,2,1)-VLOOKUP($AO68,'Технический лист'!$M:$N,2,1)),1+(1-$AU68))</f>
        <v>0.99999999999999978</v>
      </c>
      <c r="BZ68" s="15">
        <f>MIN(IF($AU68=100%,1,1+VLOOKUP(($AJ68-$AI68-$AH68-$AG68-$AF68-$AE68*(1+BZ$3))/$AJ68,'Технический лист'!$M:$N,2,1)-VLOOKUP($AO68,'Технический лист'!$M:$N,2,1)),1+(1-$AU68))</f>
        <v>0.99999999999999978</v>
      </c>
      <c r="CA68" s="15">
        <f>MIN(IF($AU68=100%,1,1+VLOOKUP(($AJ68-$AI68-$AH68-$AG68-$AF68-$AE68*(1+CA$3))/$AJ68,'Технический лист'!$M:$N,2,1)-VLOOKUP($AO68,'Технический лист'!$M:$N,2,1)),1+(1-$AU68))</f>
        <v>0.99999999999999978</v>
      </c>
      <c r="CB68" s="15">
        <f>MIN(IF($AU68=100%,1,1+VLOOKUP(($AJ68-$AI68-$AH68-$AG68-$AF68-$AE68*(1+CB$3))/$AJ68,'Технический лист'!$M:$N,2,1)-VLOOKUP($AO68,'Технический лист'!$M:$N,2,1)),1+(1-$AU68))</f>
        <v>0.99999999999999978</v>
      </c>
      <c r="CC68" s="15">
        <f>MIN(IF($AU68=100%,1,1+VLOOKUP(($AJ68-$AI68-$AH68-$AG68-$AF68-$AE68*(1+CC$3))/$AJ68,'Технический лист'!$M:$N,2,1)-VLOOKUP($AO68,'Технический лист'!$M:$N,2,1)),1+(1-$AU68))</f>
        <v>0.99999999999999978</v>
      </c>
      <c r="CD68" s="15">
        <f>MIN(IF($AU68=100%,1,1+VLOOKUP(($AJ68-$AI68-$AH68-$AG68-$AF68-$AE68*(1+CD$3))/$AJ68,'Технический лист'!$M:$N,2,1)-VLOOKUP($AO68,'Технический лист'!$M:$N,2,1)),1+(1-$AU68))</f>
        <v>0.99999999999999978</v>
      </c>
      <c r="CE68" s="15">
        <f>MIN(IF($AU68=100%,1,1+VLOOKUP(($AJ68-$AI68-$AH68-$AG68-$AF68-$AE68*(1+CE$3))/$AJ68,'Технический лист'!$M:$N,2,1)-VLOOKUP($AO68,'Технический лист'!$M:$N,2,1)),1+(1-$AU68))</f>
        <v>0.99999999999999978</v>
      </c>
      <c r="CF68" s="15">
        <f>MIN(IF($AU68=100%,1,1+VLOOKUP(($AJ68-$AI68-$AH68-$AG68-$AF68-$AE68*(1+CF$3))/$AJ68,'Технический лист'!$M:$N,2,1)-VLOOKUP($AO68,'Технический лист'!$M:$N,2,1)),1+(1-$AU68))</f>
        <v>0.99999999999999978</v>
      </c>
      <c r="CG68" s="15">
        <f>MIN(IF($AU68=100%,1,1+VLOOKUP(($AJ68-$AI68-$AH68-$AG68-$AF68-$AE68*(1+CG$3))/$AJ68,'Технический лист'!$M:$N,2,1)-VLOOKUP($AO68,'Технический лист'!$M:$N,2,1)),1+(1-$AU68))</f>
        <v>0.99999999999999978</v>
      </c>
      <c r="CH68" s="15">
        <f>MIN(IF($AU68=100%,1,1+VLOOKUP(($AJ68-$AI68-$AH68-$AG68-$AF68-$AE68*(1+CH$3))/$AJ68,'Технический лист'!$M:$N,2,1)-VLOOKUP($AO68,'Технический лист'!$M:$N,2,1)),1+(1-$AU68))</f>
        <v>0.99999999999999978</v>
      </c>
      <c r="CI68" s="15">
        <f>MIN(IF($AU68=100%,1,1+VLOOKUP(($AJ68-$AI68-$AH68-$AG68-$AF68-$AE68*(1+CI$3))/$AJ68,'Технический лист'!$M:$N,2,1)-VLOOKUP($AO68,'Технический лист'!$M:$N,2,1)),1+(1-$AU68))</f>
        <v>0.99999999999999978</v>
      </c>
      <c r="CJ68" s="15">
        <f>MIN(IF($AU68=100%,1,1+VLOOKUP(($AJ68-$AI68-$AH68-$AG68-$AF68-$AE68*(1+CJ$3))/$AJ68,'Технический лист'!$M:$N,2,1)-VLOOKUP($AO68,'Технический лист'!$M:$N,2,1)),1+(1-$AU68))</f>
        <v>0.99999999999999978</v>
      </c>
      <c r="CK68" s="15">
        <f>MIN(IF($AU68=100%,1,1+VLOOKUP(($AJ68-$AI68-$AH68-$AG68-$AF68-$AE68*(1+CK$3))/$AJ68,'Технический лист'!$M:$N,2,1)-VLOOKUP($AO68,'Технический лист'!$M:$N,2,1)),1+(1-$AU68))</f>
        <v>0.99999999999999978</v>
      </c>
      <c r="CL68" s="15">
        <f>MIN(IF($AU68=100%,1,1+VLOOKUP(($AJ68-$AI68-$AH68-$AG68-$AF68-$AE68*(1+CL$3))/$AJ68,'Технический лист'!$M:$N,2,1)-VLOOKUP($AO68,'Технический лист'!$M:$N,2,1)),1+(1-$AU68))</f>
        <v>0.99999999999999978</v>
      </c>
      <c r="CM68" s="15">
        <f>MIN(IF($AU68=100%,1,1+VLOOKUP(($AJ68-$AI68-$AH68-$AG68-$AF68-$AE68*(1+CM$3))/$AJ68,'Технический лист'!$M:$N,2,1)-VLOOKUP($AO68,'Технический лист'!$M:$N,2,1)),1+(1-$AU68))</f>
        <v>0.99999999999999978</v>
      </c>
      <c r="CN68" s="15">
        <f>MIN(IF($AU68=100%,1,1+VLOOKUP(($AJ68-$AI68-$AH68-$AG68-$AF68-$AE68*(1+CN$3))/$AJ68,'Технический лист'!$M:$N,2,1)-VLOOKUP($AO68,'Технический лист'!$M:$N,2,1)),1+(1-$AU68))</f>
        <v>0.99999999999999978</v>
      </c>
      <c r="CO68" s="15">
        <f>MIN(IF($AU68=100%,1,1+VLOOKUP(($AJ68-$AI68-$AH68-$AG68-$AF68-$AE68*(1+CO$3))/$AJ68,'Технический лист'!$M:$N,2,1)-VLOOKUP($AO68,'Технический лист'!$M:$N,2,1)),1+(1-$AU68))</f>
        <v>0.99999999999999978</v>
      </c>
      <c r="CP68" s="15">
        <f>MIN(IF($AU68=100%,1,1+VLOOKUP(($AJ68-$AI68-$AH68-$AG68-$AF68-$AE68*(1+CP$3))/$AJ68,'Технический лист'!$M:$N,2,1)-VLOOKUP($AO68,'Технический лист'!$M:$N,2,1)),1+(1-$AU68))</f>
        <v>0.99999999999999978</v>
      </c>
      <c r="CQ68" s="15">
        <f>MIN(IF($AU68=100%,1,1+VLOOKUP(($AJ68-$AI68-$AH68-$AG68-$AF68-$AE68*(1+CQ$3))/$AJ68,'Технический лист'!$M:$N,2,1)-VLOOKUP($AO68,'Технический лист'!$M:$N,2,1)),1+(1-$AU68))</f>
        <v>0.99999999999999978</v>
      </c>
      <c r="CR68" s="15">
        <f>MIN(IF($AU68=100%,1,1+VLOOKUP(($AJ68-$AI68-$AH68-$AG68-$AF68-$AE68*(1+CR$3))/$AJ68,'Технический лист'!$M:$N,2,1)-VLOOKUP($AO68,'Технический лист'!$M:$N,2,1)),1+(1-$AU68))</f>
        <v>0.99999999999999978</v>
      </c>
      <c r="CS68" s="15">
        <f>MIN(IF($AU68=100%,1,1+VLOOKUP(($AJ68-$AI68-$AH68-$AG68-$AF68-$AE68*(1+CS$3))/$AJ68,'Технический лист'!$M:$N,2,1)-VLOOKUP($AO68,'Технический лист'!$M:$N,2,1)),1+(1-$AU68))</f>
        <v>0.99999999999999978</v>
      </c>
      <c r="CT68" s="15">
        <f>MIN(IF($AU68=100%,1,1+VLOOKUP(($AJ68-$AI68-$AH68-$AG68-$AF68-$AE68*(1+CT$3))/$AJ68,'Технический лист'!$M:$N,2,1)-VLOOKUP($AO68,'Технический лист'!$M:$N,2,1)),1+(1-$AU68))</f>
        <v>0.99999999999999978</v>
      </c>
      <c r="CU68" s="15">
        <f>MIN(IF($AU68=100%,1,1+VLOOKUP(($AJ68-$AI68-$AH68-$AG68-$AF68-$AE68*(1+CU$3))/$AJ68,'Технический лист'!$M:$N,2,1)-VLOOKUP($AO68,'Технический лист'!$M:$N,2,1)),1+(1-$AU68))</f>
        <v>0.99999999999999978</v>
      </c>
      <c r="CV68" s="15">
        <f>MIN(IF($AU68=100%,1,1+VLOOKUP(($AJ68-$AI68-$AH68-$AG68-$AF68-$AE68*(1+CV$3))/$AJ68,'Технический лист'!$M:$N,2,1)-VLOOKUP($AO68,'Технический лист'!$M:$N,2,1)),1+(1-$AU68))</f>
        <v>0.99999999999999978</v>
      </c>
      <c r="CW68" s="15">
        <f>MIN(IF($AU68=100%,1,1+VLOOKUP(($AJ68-$AI68-$AH68-$AG68-$AF68-$AE68*(1+CW$3))/$AJ68,'Технический лист'!$M:$N,2,1)-VLOOKUP($AO68,'Технический лист'!$M:$N,2,1)),1+(1-$AU68))</f>
        <v>0.99999999999999978</v>
      </c>
      <c r="CX68" s="15">
        <f>MIN(IF($AU68=100%,1,1+VLOOKUP(($AJ68-$AI68-$AH68-$AG68-$AF68-$AE68*(1+CX$3))/$AJ68,'Технический лист'!$M:$N,2,1)-VLOOKUP($AO68,'Технический лист'!$M:$N,2,1)),1+(1-$AU68))</f>
        <v>0.99999999999999978</v>
      </c>
      <c r="CY68" s="15">
        <f>MIN(IF($AU68=100%,1,1+VLOOKUP(($AJ68-$AI68-$AH68-$AG68-$AF68-$AE68*(1+CY$3))/$AJ68,'Технический лист'!$M:$N,2,1)-VLOOKUP($AO68,'Технический лист'!$M:$N,2,1)),1+(1-$AU68))</f>
        <v>0.99999999999999978</v>
      </c>
      <c r="CZ68" s="15">
        <f>MIN(IF($AU68=100%,1,1+VLOOKUP(($AJ68-$AI68-$AH68-$AG68-$AF68-$AE68*(1+CZ$3))/$AJ68,'Технический лист'!$M:$N,2,1)-VLOOKUP($AO68,'Технический лист'!$M:$N,2,1)),1+(1-$AU68))</f>
        <v>0.99999999999999978</v>
      </c>
      <c r="DA68" s="15">
        <f>MIN(IF($AU68=100%,1,1+VLOOKUP(($AJ68-$AI68-$AH68-$AG68-$AF68-$AE68*(1+DA$3))/$AJ68,'Технический лист'!$M:$N,2,1)-VLOOKUP($AO68,'Технический лист'!$M:$N,2,1)),1+(1-$AU68))</f>
        <v>0.99999999999999978</v>
      </c>
      <c r="DB68" s="15">
        <f>MIN(IF($AU68=100%,1,1+VLOOKUP(($AJ68-$AI68-$AH68-$AG68-$AF68-$AE68*(1+DB$3))/$AJ68,'Технический лист'!$M:$N,2,1)-VLOOKUP($AO68,'Технический лист'!$M:$N,2,1)),1+(1-$AU68))</f>
        <v>0.99999999999999978</v>
      </c>
      <c r="DC68" s="15">
        <f>MIN(IF($AU68=100%,1,1+VLOOKUP(($AJ68-$AI68-$AH68-$AG68-$AF68-$AE68*(1+DC$3))/$AJ68,'Технический лист'!$M:$N,2,1)-VLOOKUP($AO68,'Технический лист'!$M:$N,2,1)),1+(1-$AU68))</f>
        <v>0.99999999999999978</v>
      </c>
      <c r="DD68" s="15">
        <f>MIN(IF($AU68=100%,1,1+VLOOKUP(($AJ68-$AI68-$AH68-$AG68-$AF68-$AE68*(1+DD$3))/$AJ68,'Технический лист'!$M:$N,2,1)-VLOOKUP($AO68,'Технический лист'!$M:$N,2,1)),1+(1-$AU68))</f>
        <v>0.99999999999999978</v>
      </c>
      <c r="DE68" s="15">
        <f>MIN(IF($AU68=100%,1,1+VLOOKUP(($AJ68-$AI68-$AH68-$AG68-$AF68-$AE68*(1+DE$3))/$AJ68,'Технический лист'!$M:$N,2,1)-VLOOKUP($AO68,'Технический лист'!$M:$N,2,1)),1+(1-$AU68))</f>
        <v>0.99999999999999978</v>
      </c>
      <c r="DF68" s="15">
        <f>MIN(IF($AU68=100%,1,1+VLOOKUP(($AJ68-$AI68-$AH68-$AG68-$AF68-$AE68*(1+DF$3))/$AJ68,'Технический лист'!$M:$N,2,1)-VLOOKUP($AO68,'Технический лист'!$M:$N,2,1)),1+(1-$AU68))</f>
        <v>0.99999999999999978</v>
      </c>
      <c r="DG68" s="15">
        <f>MIN(IF($AU68=100%,1,1+VLOOKUP(($AJ68-$AI68-$AH68-$AG68-$AF68-$AE68*(1+DG$3))/$AJ68,'Технический лист'!$M:$N,2,1)-VLOOKUP($AO68,'Технический лист'!$M:$N,2,1)),1+(1-$AU68))</f>
        <v>0.99999999999999978</v>
      </c>
      <c r="DH68" s="15">
        <f>MIN(IF($AU68=100%,1,1+VLOOKUP(($AJ68-$AI68-$AH68-$AG68-$AF68-$AE68*(1+DH$3))/$AJ68,'Технический лист'!$M:$N,2,1)-VLOOKUP($AO68,'Технический лист'!$M:$N,2,1)),1+(1-$AU68))</f>
        <v>0.99999999999999978</v>
      </c>
      <c r="DI68" s="15">
        <f>MIN(IF($AU68=100%,1,1+VLOOKUP(($AJ68-$AI68-$AH68-$AG68-$AF68-$AE68*(1+DI$3))/$AJ68,'Технический лист'!$M:$N,2,1)-VLOOKUP($AO68,'Технический лист'!$M:$N,2,1)),1+(1-$AU68))</f>
        <v>0.99999999999999978</v>
      </c>
      <c r="DJ68" s="15">
        <f>MIN(IF($AU68=100%,1,1+VLOOKUP(($AJ68-$AI68-$AH68-$AG68-$AF68-$AE68*(1+DJ$3))/$AJ68,'Технический лист'!$M:$N,2,1)-VLOOKUP($AO68,'Технический лист'!$M:$N,2,1)),1+(1-$AU68))</f>
        <v>0.99999999999999978</v>
      </c>
      <c r="DK68" s="15">
        <f>MIN(IF($AU68=100%,1,1+VLOOKUP(($AJ68-$AI68-$AH68-$AG68-$AF68-$AE68*(1+DK$3))/$AJ68,'Технический лист'!$M:$N,2,1)-VLOOKUP($AO68,'Технический лист'!$M:$N,2,1)),1+(1-$AU68))</f>
        <v>0.99999999999999978</v>
      </c>
      <c r="DL68" s="15">
        <f>MIN(IF($AU68=100%,1,1+VLOOKUP(($AJ68-$AI68-$AH68-$AG68-$AF68-$AE68*(1+DL$3))/$AJ68,'Технический лист'!$M:$N,2,1)-VLOOKUP($AO68,'Технический лист'!$M:$N,2,1)),1+(1-$AU68))</f>
        <v>0.99999999999999978</v>
      </c>
      <c r="DM68" s="15">
        <f>MIN(IF($AU68=100%,1,1+VLOOKUP(($AJ68-$AI68-$AH68-$AG68-$AF68-$AE68*(1+DM$3))/$AJ68,'Технический лист'!$M:$N,2,1)-VLOOKUP($AO68,'Технический лист'!$M:$N,2,1)),1+(1-$AU68))</f>
        <v>0.99999999999999978</v>
      </c>
      <c r="DN68" s="15">
        <f>MIN(IF($AU68=100%,1,1+VLOOKUP(($AJ68-$AI68-$AH68-$AG68-$AF68-$AE68*(1+DN$3))/$AJ68,'Технический лист'!$M:$N,2,1)-VLOOKUP($AO68,'Технический лист'!$M:$N,2,1)),1+(1-$AU68))</f>
        <v>0.99999999999999978</v>
      </c>
      <c r="DO68" s="15">
        <f>MIN(IF($AU68=100%,1,1+VLOOKUP(($AJ68-$AI68-$AH68-$AG68-$AF68-$AE68*(1+DO$3))/$AJ68,'Технический лист'!$M:$N,2,1)-VLOOKUP($AO68,'Технический лист'!$M:$N,2,1)),1+(1-$AU68))</f>
        <v>0.99999999999999978</v>
      </c>
      <c r="DP68" s="15">
        <f>MIN(IF($AU68=100%,1,1+VLOOKUP(($AJ68-$AI68-$AH68-$AG68-$AF68-$AE68*(1+DP$3))/$AJ68,'Технический лист'!$M:$N,2,1)-VLOOKUP($AO68,'Технический лист'!$M:$N,2,1)),1+(1-$AU68))</f>
        <v>0.99999999999999978</v>
      </c>
      <c r="DQ68" s="15">
        <f>MIN(IF($AU68=100%,1,1+VLOOKUP(($AJ68-$AI68-$AH68-$AG68-$AF68-$AE68*(1+DQ$3))/$AJ68,'Технический лист'!$M:$N,2,1)-VLOOKUP($AO68,'Технический лист'!$M:$N,2,1)),1+(1-$AU68))</f>
        <v>0.99999999999999978</v>
      </c>
      <c r="DR68" s="15">
        <f>MIN(IF($AU68=100%,1,1+VLOOKUP(($AJ68-$AI68-$AH68-$AG68-$AF68-$AE68*(1+DR$3))/$AJ68,'Технический лист'!$M:$N,2,1)-VLOOKUP($AO68,'Технический лист'!$M:$N,2,1)),1+(1-$AU68))</f>
        <v>0.99999999999999978</v>
      </c>
      <c r="DS68" s="15">
        <f>MIN(IF($AU68=100%,1,1+VLOOKUP(($AJ68-$AI68-$AH68-$AG68-$AF68-$AE68*(1+DS$3))/$AJ68,'Технический лист'!$M:$N,2,1)-VLOOKUP($AO68,'Технический лист'!$M:$N,2,1)),1+(1-$AU68))</f>
        <v>0.99999999999999978</v>
      </c>
      <c r="DT68" s="15">
        <f>MIN(IF($AU68=100%,1,1+VLOOKUP(($AJ68-$AI68-$AH68-$AG68-$AF68-$AE68*(1+DT$3))/$AJ68,'Технический лист'!$M:$N,2,1)-VLOOKUP($AO68,'Технический лист'!$M:$N,2,1)),1+(1-$AU68))</f>
        <v>0.99999999999999978</v>
      </c>
      <c r="DU68" s="15">
        <f>MIN(IF($AU68=100%,1,1+VLOOKUP(($AJ68-$AI68-$AH68-$AG68-$AF68-$AE68*(1+DU$3))/$AJ68,'Технический лист'!$M:$N,2,1)-VLOOKUP($AO68,'Технический лист'!$M:$N,2,1)),1+(1-$AU68))</f>
        <v>0.99999999999999978</v>
      </c>
      <c r="DV68" s="15">
        <f>MIN(IF($AU68=100%,1,1+VLOOKUP(($AJ68-$AI68-$AH68-$AG68-$AF68-$AE68*(1+DV$3))/$AJ68,'Технический лист'!$M:$N,2,1)-VLOOKUP($AO68,'Технический лист'!$M:$N,2,1)),1+(1-$AU68))</f>
        <v>0.99999999999999978</v>
      </c>
      <c r="DW68" s="15">
        <f>MIN(IF($AU68=100%,1,1+VLOOKUP(($AJ68-$AI68-$AH68-$AG68-$AF68-$AE68*(1+DW$3))/$AJ68,'Технический лист'!$M:$N,2,1)-VLOOKUP($AO68,'Технический лист'!$M:$N,2,1)),1+(1-$AU68))</f>
        <v>0.99999999999999978</v>
      </c>
      <c r="DX68" s="15">
        <f>MIN(IF($AU68=100%,1,1+VLOOKUP(($AJ68-$AI68-$AH68-$AG68-$AF68-$AE68*(1+DX$3))/$AJ68,'Технический лист'!$M:$N,2,1)-VLOOKUP($AO68,'Технический лист'!$M:$N,2,1)),1+(1-$AU68))</f>
        <v>0.99999999999999978</v>
      </c>
      <c r="DY68" s="15">
        <f>MIN(IF($AU68=100%,1,1+VLOOKUP(($AJ68-$AI68-$AH68-$AG68-$AF68-$AE68*(1+DY$3))/$AJ68,'Технический лист'!$M:$N,2,1)-VLOOKUP($AO68,'Технический лист'!$M:$N,2,1)),1+(1-$AU68))</f>
        <v>0.99999999999999978</v>
      </c>
      <c r="DZ68" s="15">
        <f>MIN(IF($AU68=100%,1,1+VLOOKUP(($AJ68-$AI68-$AH68-$AG68-$AF68-$AE68*(1+DZ$3))/$AJ68,'Технический лист'!$M:$N,2,1)-VLOOKUP($AO68,'Технический лист'!$M:$N,2,1)),1+(1-$AU68))</f>
        <v>0.99999999999999978</v>
      </c>
      <c r="EA68" s="15">
        <f>MIN(IF($AU68=100%,1,1+VLOOKUP(($AJ68-$AI68-$AH68-$AG68-$AF68-$AE68*(1+EA$3))/$AJ68,'Технический лист'!$M:$N,2,1)-VLOOKUP($AO68,'Технический лист'!$M:$N,2,1)),1+(1-$AU68))</f>
        <v>0.99999999999999978</v>
      </c>
      <c r="EB68" s="15">
        <f>MIN(IF($AU68=100%,1,1+VLOOKUP(($AJ68-$AI68-$AH68-$AG68-$AF68-$AE68*(1+EB$3))/$AJ68,'Технический лист'!$M:$N,2,1)-VLOOKUP($AO68,'Технический лист'!$M:$N,2,1)),1+(1-$AU68))</f>
        <v>0.99999999999999978</v>
      </c>
      <c r="EC68" s="15">
        <f>MIN(IF($AU68=100%,1,1+VLOOKUP(($AJ68-$AI68-$AH68-$AG68-$AF68-$AE68*(1+EC$3))/$AJ68,'Технический лист'!$M:$N,2,1)-VLOOKUP($AO68,'Технический лист'!$M:$N,2,1)),1+(1-$AU68))</f>
        <v>0.99999999999999978</v>
      </c>
      <c r="ED68" s="15">
        <f>MIN(IF($AU68=100%,1,1+VLOOKUP(($AJ68-$AI68-$AH68-$AG68-$AF68-$AE68*(1+ED$3))/$AJ68,'Технический лист'!$M:$N,2,1)-VLOOKUP($AO68,'Технический лист'!$M:$N,2,1)),1+(1-$AU68))</f>
        <v>0.99999999999999978</v>
      </c>
      <c r="EE68" s="15">
        <f>MIN(IF($AU68=100%,1,1+VLOOKUP(($AJ68-$AI68-$AH68-$AG68-$AF68-$AE68*(1+EE$3))/$AJ68,'Технический лист'!$M:$N,2,1)-VLOOKUP($AO68,'Технический лист'!$M:$N,2,1)),1+(1-$AU68))</f>
        <v>0.99999999999999978</v>
      </c>
      <c r="EF68" s="15">
        <f>MIN(IF($AU68=100%,1,1+VLOOKUP(($AJ68-$AI68-$AH68-$AG68-$AF68-$AE68*(1+EF$3))/$AJ68,'Технический лист'!$M:$N,2,1)-VLOOKUP($AO68,'Технический лист'!$M:$N,2,1)),1+(1-$AU68))</f>
        <v>0.99999999999999978</v>
      </c>
      <c r="EG68" s="15">
        <f>MIN(IF($AU68=100%,1,1+VLOOKUP(($AJ68-$AI68-$AH68-$AG68-$AF68-$AE68*(1+EG$3))/$AJ68,'Технический лист'!$M:$N,2,1)-VLOOKUP($AO68,'Технический лист'!$M:$N,2,1)),1+(1-$AU68))</f>
        <v>0.99999999999999978</v>
      </c>
      <c r="EH68" s="15">
        <f>MIN(IF($AU68=100%,1,1+VLOOKUP(($AJ68-$AI68-$AH68-$AG68-$AF68-$AE68*(1+EH$3))/$AJ68,'Технический лист'!$M:$N,2,1)-VLOOKUP($AO68,'Технический лист'!$M:$N,2,1)),1+(1-$AU68))</f>
        <v>0.99999999999999978</v>
      </c>
      <c r="EI68" s="15">
        <f>MIN(IF($AU68=100%,1,1+VLOOKUP(($AJ68-$AI68-$AH68-$AG68-$AF68-$AE68*(1+EI$3))/$AJ68,'Технический лист'!$M:$N,2,1)-VLOOKUP($AO68,'Технический лист'!$M:$N,2,1)),1+(1-$AU68))</f>
        <v>0.99999999999999978</v>
      </c>
      <c r="EJ68" s="15">
        <f>MIN(IF($AU68=100%,1,1+VLOOKUP(($AJ68-$AI68-$AH68-$AG68-$AF68-$AE68*(1+EJ$3))/$AJ68,'Технический лист'!$M:$N,2,1)-VLOOKUP($AO68,'Технический лист'!$M:$N,2,1)),1+(1-$AU68))</f>
        <v>0.99999999999999978</v>
      </c>
      <c r="EK68" s="15">
        <f>MIN(IF($AU68=100%,1,1+VLOOKUP(($AJ68-$AI68-$AH68-$AG68-$AF68-$AE68*(1+EK$3))/$AJ68,'Технический лист'!$M:$N,2,1)-VLOOKUP($AO68,'Технический лист'!$M:$N,2,1)),1+(1-$AU68))</f>
        <v>0.99999999999999978</v>
      </c>
      <c r="EL68" s="15">
        <f>MIN(IF($AU68=100%,1,1+VLOOKUP(($AJ68-$AI68-$AH68-$AG68-$AF68-$AE68*(1+EL$3))/$AJ68,'Технический лист'!$M:$N,2,1)-VLOOKUP($AO68,'Технический лист'!$M:$N,2,1)),1+(1-$AU68))</f>
        <v>0.99999999999999978</v>
      </c>
      <c r="EM68" s="15">
        <f>MIN(IF($AU68=100%,1,1+VLOOKUP(($AJ68-$AI68-$AH68-$AG68-$AF68-$AE68*(1+EM$3))/$AJ68,'Технический лист'!$M:$N,2,1)-VLOOKUP($AO68,'Технический лист'!$M:$N,2,1)),1+(1-$AU68))</f>
        <v>0.99999999999999978</v>
      </c>
      <c r="EN68" s="15">
        <f>MIN(IF($AU68=100%,1,1+VLOOKUP(($AJ68-$AI68-$AH68-$AG68-$AF68-$AE68*(1+EN$3))/$AJ68,'Технический лист'!$M:$N,2,1)-VLOOKUP($AO68,'Технический лист'!$M:$N,2,1)),1+(1-$AU68))</f>
        <v>0.99999999999999978</v>
      </c>
      <c r="EO68" s="15">
        <f>MIN(IF($AU68=100%,1,1+VLOOKUP(($AJ68-$AI68-$AH68-$AG68-$AF68-$AE68*(1+EO$3))/$AJ68,'Технический лист'!$M:$N,2,1)-VLOOKUP($AO68,'Технический лист'!$M:$N,2,1)),1+(1-$AU68))</f>
        <v>0.99999999999999978</v>
      </c>
      <c r="EP68" s="15">
        <f>MIN(IF($AU68=100%,1,1+VLOOKUP(($AJ68-$AI68-$AH68-$AG68-$AF68-$AE68*(1+EP$3))/$AJ68,'Технический лист'!$M:$N,2,1)-VLOOKUP($AO68,'Технический лист'!$M:$N,2,1)),1+(1-$AU68))</f>
        <v>0.99999999999999978</v>
      </c>
      <c r="EQ68" s="15">
        <f>MIN(IF($AU68=100%,1,1+VLOOKUP(($AJ68-$AI68-$AH68-$AG68-$AF68-$AE68*(1+EQ$3))/$AJ68,'Технический лист'!$M:$N,2,1)-VLOOKUP($AO68,'Технический лист'!$M:$N,2,1)),1+(1-$AU68))</f>
        <v>0.99999999999999978</v>
      </c>
      <c r="ER68" s="15">
        <f>MIN(IF($AU68=100%,1,1+VLOOKUP(($AJ68-$AI68-$AH68-$AG68-$AF68-$AE68*(1+ER$3))/$AJ68,'Технический лист'!$M:$N,2,1)-VLOOKUP($AO68,'Технический лист'!$M:$N,2,1)),1+(1-$AU68))</f>
        <v>0.99999999999999978</v>
      </c>
      <c r="ES68" s="15">
        <f>MIN(IF($AU68=100%,1,1+VLOOKUP(($AJ68-$AI68-$AH68-$AG68-$AF68-$AE68*(1+ES$3))/$AJ68,'Технический лист'!$M:$N,2,1)-VLOOKUP($AO68,'Технический лист'!$M:$N,2,1)),1+(1-$AU68))</f>
        <v>0.99999999999999978</v>
      </c>
      <c r="ET68" s="15">
        <f>MIN(IF($AU68=100%,1,1+VLOOKUP(($AJ68-$AI68-$AH68-$AG68-$AF68-$AE68*(1+ET$3))/$AJ68,'Технический лист'!$M:$N,2,1)-VLOOKUP($AO68,'Технический лист'!$M:$N,2,1)),1+(1-$AU68))</f>
        <v>0.99999999999999978</v>
      </c>
      <c r="EU68" s="15">
        <f>MIN(IF($AU68=100%,1,1+VLOOKUP(($AJ68-$AI68-$AH68-$AG68-$AF68-$AE68*(1+EU$3))/$AJ68,'Технический лист'!$M:$N,2,1)-VLOOKUP($AO68,'Технический лист'!$M:$N,2,1)),1+(1-$AU68))</f>
        <v>0.99999999999999978</v>
      </c>
      <c r="EV68" s="111">
        <v>1</v>
      </c>
      <c r="EW68" s="15">
        <f>MIN(1,MAX(VLOOKUP(($AJ68-$AI68-$AH68-$AG68-$AF68-$AE68*(1+EW$3))/$AJ68,'Технический лист'!$M:$N,2,1),(EV68-0.05)))</f>
        <v>1</v>
      </c>
      <c r="EX68" s="15">
        <f>MIN(1,MAX(VLOOKUP(($AJ68-$AI68-$AH68-$AG68-$AF68-$AE68*(1+EX$3))/$AJ68,'Технический лист'!$M:$N,2,1),(EW68-0.05)))</f>
        <v>1</v>
      </c>
      <c r="EY68" s="15">
        <f>MIN(1,MAX(VLOOKUP(($AJ68-$AI68-$AH68-$AG68-$AF68-$AE68*(1+EY$3))/$AJ68,'Технический лист'!$M:$N,2,1),(EX68-0.05)))</f>
        <v>1</v>
      </c>
      <c r="EZ68" s="15">
        <f>MIN(1,MAX(VLOOKUP(($AJ68-$AI68-$AH68-$AG68-$AF68-$AE68*(1+EZ$3))/$AJ68,'Технический лист'!$M:$N,2,1),(EY68-0.05)))</f>
        <v>1</v>
      </c>
      <c r="FA68" s="15">
        <f>MIN(1,MAX(VLOOKUP(($AJ68-$AI68-$AH68-$AG68-$AF68-$AE68*(1+FA$3))/$AJ68,'Технический лист'!$M:$N,2,1),(EZ68-0.05)))</f>
        <v>1</v>
      </c>
      <c r="FB68" s="15">
        <f>MIN(1,MAX(VLOOKUP(($AJ68-$AI68-$AH68-$AG68-$AF68-$AE68*(1+FB$3))/$AJ68,'Технический лист'!$M:$N,2,1),(FA68-0.05)))</f>
        <v>1</v>
      </c>
      <c r="FC68" s="15">
        <f>MIN(1,MAX(VLOOKUP(($AJ68-$AI68-$AH68-$AG68-$AF68-$AE68*(1+FC$3))/$AJ68,'Технический лист'!$M:$N,2,1),(FB68-0.05)))</f>
        <v>1</v>
      </c>
      <c r="FD68" s="15">
        <f>MIN(1,MAX(VLOOKUP(($AJ68-$AI68-$AH68-$AG68-$AF68-$AE68*(1+FD$3))/$AJ68,'Технический лист'!$M:$N,2,1),(FC68-0.05)))</f>
        <v>1</v>
      </c>
      <c r="FE68" s="15">
        <f>MIN(1,MAX(VLOOKUP(($AJ68-$AI68-$AH68-$AG68-$AF68-$AE68*(1+FE$3))/$AJ68,'Технический лист'!$M:$N,2,1),(FD68-0.05)))</f>
        <v>1</v>
      </c>
      <c r="FF68" s="15">
        <f>MIN(1,MAX(VLOOKUP(($AJ68-$AI68-$AH68-$AG68-$AF68-$AE68*(1+FF$3))/$AJ68,'Технический лист'!$M:$N,2,1),(FE68-0.05)))</f>
        <v>1</v>
      </c>
      <c r="FG68" s="15">
        <f>MIN(1,MAX(VLOOKUP(($AJ68-$AI68-$AH68-$AG68-$AF68-$AE68*(1+FG$3))/$AJ68,'Технический лист'!$M:$N,2,1),(FF68-0.05)))</f>
        <v>1</v>
      </c>
      <c r="FH68" s="15">
        <f>MIN(1,MAX(VLOOKUP(($AJ68-$AI68-$AH68-$AG68-$AF68-$AE68*(1+FH$3))/$AJ68,'Технический лист'!$M:$N,2,1),(FG68-0.05)))</f>
        <v>1</v>
      </c>
      <c r="FI68" s="15">
        <f>MIN(1,MAX(VLOOKUP(($AJ68-$AI68-$AH68-$AG68-$AF68-$AE68*(1+FI$3))/$AJ68,'Технический лист'!$M:$N,2,1),(FH68-0.05)))</f>
        <v>1</v>
      </c>
      <c r="FJ68" s="15">
        <f>MIN(1,MAX(VLOOKUP(($AJ68-$AI68-$AH68-$AG68-$AF68-$AE68*(1+FJ$3))/$AJ68,'Технический лист'!$M:$N,2,1),(FI68-0.05)))</f>
        <v>1</v>
      </c>
      <c r="FK68" s="15">
        <f>MIN(1,MAX(VLOOKUP(($AJ68-$AI68-$AH68-$AG68-$AF68-$AE68*(1+FK$3))/$AJ68,'Технический лист'!$M:$N,2,1),(FJ68-0.05)))</f>
        <v>1</v>
      </c>
      <c r="FL68" s="15">
        <f>MIN(1,MAX(VLOOKUP(($AJ68-$AI68-$AH68-$AG68-$AF68-$AE68*(1+FL$3))/$AJ68,'Технический лист'!$M:$N,2,1),(FK68-0.05)))</f>
        <v>1</v>
      </c>
      <c r="FM68" s="15">
        <f>MIN(1,MAX(VLOOKUP(($AJ68-$AI68-$AH68-$AG68-$AF68-$AE68*(1+FM$3))/$AJ68,'Технический лист'!$M:$N,2,1),(FL68-0.05)))</f>
        <v>1</v>
      </c>
      <c r="FN68" s="15">
        <f>MIN(1,MAX(VLOOKUP(($AJ68-$AI68-$AH68-$AG68-$AF68-$AE68*(1+FN$3))/$AJ68,'Технический лист'!$M:$N,2,1),(FM68-0.05)))</f>
        <v>1</v>
      </c>
      <c r="FO68" s="15">
        <f>MIN(1,MAX(VLOOKUP(($AJ68-$AI68-$AH68-$AG68-$AF68-$AE68*(1+FO$3))/$AJ68,'Технический лист'!$M:$N,2,1),(FN68-0.05)))</f>
        <v>1</v>
      </c>
      <c r="FP68" s="15">
        <f>MIN(1,MAX(VLOOKUP(($AJ68-$AI68-$AH68-$AG68-$AF68-$AE68*(1+FP$3))/$AJ68,'Технический лист'!$M:$N,2,1),(FO68-0.05)))</f>
        <v>1</v>
      </c>
      <c r="FQ68" s="15">
        <f>MIN(1,MAX(VLOOKUP(($AJ68-$AI68-$AH68-$AG68-$AF68-$AE68*(1+FQ$3))/$AJ68,'Технический лист'!$M:$N,2,1),(FP68-0.05)))</f>
        <v>1</v>
      </c>
      <c r="FR68" s="15">
        <f>MIN(1,MAX(VLOOKUP(($AJ68-$AI68-$AH68-$AG68-$AF68-$AE68*(1+FR$3))/$AJ68,'Технический лист'!$M:$N,2,1),(FQ68-0.05)))</f>
        <v>1</v>
      </c>
      <c r="FS68" s="15">
        <f>MIN(1,MAX(VLOOKUP(($AJ68-$AI68-$AH68-$AG68-$AF68-$AE68*(1+FS$3))/$AJ68,'Технический лист'!$M:$N,2,1),(FR68-0.05)))</f>
        <v>1</v>
      </c>
      <c r="FT68" s="15">
        <f>MIN(1,MAX(VLOOKUP(($AJ68-$AI68-$AH68-$AG68-$AF68-$AE68*(1+FT$3))/$AJ68,'Технический лист'!$M:$N,2,1),(FS68-0.05)))</f>
        <v>1</v>
      </c>
      <c r="FU68" s="15">
        <f>MIN(1,MAX(VLOOKUP(($AJ68-$AI68-$AH68-$AG68-$AF68-$AE68*(1+FU$3))/$AJ68,'Технический лист'!$M:$N,2,1),(FT68-0.05)))</f>
        <v>1</v>
      </c>
      <c r="FV68" s="15">
        <f>MIN(1,MAX(VLOOKUP(($AJ68-$AI68-$AH68-$AG68-$AF68-$AE68*(1+FV$3))/$AJ68,'Технический лист'!$M:$N,2,1),(FU68-0.05)))</f>
        <v>1</v>
      </c>
      <c r="FW68" s="15">
        <f>MIN(1,MAX(VLOOKUP(($AJ68-$AI68-$AH68-$AG68-$AF68-$AE68*(1+FW$3))/$AJ68,'Технический лист'!$M:$N,2,1),(FV68-0.05)))</f>
        <v>1</v>
      </c>
      <c r="FX68" s="15">
        <f>MIN(1,MAX(VLOOKUP(($AJ68-$AI68-$AH68-$AG68-$AF68-$AE68*(1+FX$3))/$AJ68,'Технический лист'!$M:$N,2,1),(FW68-0.05)))</f>
        <v>1</v>
      </c>
      <c r="FY68" s="15">
        <f>MIN(1,MAX(VLOOKUP(($AJ68-$AI68-$AH68-$AG68-$AF68-$AE68*(1+FY$3))/$AJ68,'Технический лист'!$M:$N,2,1),(FX68-0.05)))</f>
        <v>1</v>
      </c>
      <c r="FZ68" s="15">
        <f>MIN(1,MAX(VLOOKUP(($AJ68-$AI68-$AH68-$AG68-$AF68-$AE68*(1+FZ$3))/$AJ68,'Технический лист'!$M:$N,2,1),(FY68-0.05)))</f>
        <v>1</v>
      </c>
      <c r="GA68" s="15">
        <f>MIN(1,MAX(VLOOKUP(($AJ68-$AI68-$AH68-$AG68-$AF68-$AE68*(1+GA$3))/$AJ68,'Технический лист'!$M:$N,2,1),(FZ68-0.05)))</f>
        <v>1</v>
      </c>
      <c r="GB68" s="15">
        <f>MIN(1,MAX(VLOOKUP(($AJ68-$AI68-$AH68-$AG68-$AF68-$AE68*(1+GB$3))/$AJ68,'Технический лист'!$M:$N,2,1),(GA68-0.05)))</f>
        <v>1</v>
      </c>
      <c r="GC68" s="15">
        <f>MIN(1,MAX(VLOOKUP(($AJ68-$AI68-$AH68-$AG68-$AF68-$AE68*(1+GC$3))/$AJ68,'Технический лист'!$M:$N,2,1),(GB68-0.05)))</f>
        <v>1</v>
      </c>
      <c r="GD68" s="15">
        <f>MIN(1,MAX(VLOOKUP(($AJ68-$AI68-$AH68-$AG68-$AF68-$AE68*(1+GD$3))/$AJ68,'Технический лист'!$M:$N,2,1),(GC68-0.05)))</f>
        <v>1</v>
      </c>
      <c r="GE68" s="15">
        <f>MIN(1,MAX(VLOOKUP(($AJ68-$AI68-$AH68-$AG68-$AF68-$AE68*(1+GE$3))/$AJ68,'Технический лист'!$M:$N,2,1),(GD68-0.05)))</f>
        <v>1</v>
      </c>
      <c r="GF68" s="15">
        <f>MIN(1,MAX(VLOOKUP(($AJ68-$AI68-$AH68-$AG68-$AF68-$AE68*(1+GF$3))/$AJ68,'Технический лист'!$M:$N,2,1),(GE68-0.05)))</f>
        <v>1</v>
      </c>
      <c r="GG68" s="15">
        <f>MIN(1,MAX(VLOOKUP(($AJ68-$AI68-$AH68-$AG68-$AF68-$AE68*(1+GG$3))/$AJ68,'Технический лист'!$M:$N,2,1),(GF68-0.05)))</f>
        <v>1</v>
      </c>
      <c r="GH68" s="15">
        <f>MIN(1,MAX(VLOOKUP(($AJ68-$AI68-$AH68-$AG68-$AF68-$AE68*(1+GH$3))/$AJ68,'Технический лист'!$M:$N,2,1),(GG68-0.05)))</f>
        <v>1</v>
      </c>
      <c r="GI68" s="15">
        <f>MIN(1,MAX(VLOOKUP(($AJ68-$AI68-$AH68-$AG68-$AF68-$AE68*(1+GI$3))/$AJ68,'Технический лист'!$M:$N,2,1),(GH68-0.05)))</f>
        <v>1</v>
      </c>
      <c r="GJ68" s="15">
        <f>MIN(1,MAX(VLOOKUP(($AJ68-$AI68-$AH68-$AG68-$AF68-$AE68*(1+GJ$3))/$AJ68,'Технический лист'!$M:$N,2,1),(GI68-0.05)))</f>
        <v>1</v>
      </c>
      <c r="GK68" s="15">
        <f>MIN(1,MAX(VLOOKUP(($AJ68-$AI68-$AH68-$AG68-$AF68-$AE68*(1+GK$3))/$AJ68,'Технический лист'!$M:$N,2,1),(GJ68-0.05)))</f>
        <v>1</v>
      </c>
      <c r="GL68" s="15">
        <f>MIN(1,MAX(VLOOKUP(($AJ68-$AI68-$AH68-$AG68-$AF68-$AE68*(1+GL$3))/$AJ68,'Технический лист'!$M:$N,2,1),(GK68-0.05)))</f>
        <v>1</v>
      </c>
      <c r="GM68" s="15">
        <f>MIN(1,MAX(VLOOKUP(($AJ68-$AI68-$AH68-$AG68-$AF68-$AE68*(1+GM$3))/$AJ68,'Технический лист'!$M:$N,2,1),(GL68-0.05)))</f>
        <v>1</v>
      </c>
      <c r="GN68" s="15">
        <f>MIN(1,MAX(VLOOKUP(($AJ68-$AI68-$AH68-$AG68-$AF68-$AE68*(1+GN$3))/$AJ68,'Технический лист'!$M:$N,2,1),(GM68-0.05)))</f>
        <v>1</v>
      </c>
      <c r="GO68" s="15">
        <f>MIN(1,MAX(VLOOKUP(($AJ68-$AI68-$AH68-$AG68-$AF68-$AE68*(1+GO$3))/$AJ68,'Технический лист'!$M:$N,2,1),(GN68-0.05)))</f>
        <v>1</v>
      </c>
      <c r="GP68" s="15">
        <f>MIN(1,MAX(VLOOKUP(($AJ68-$AI68-$AH68-$AG68-$AF68-$AE68*(1+GP$3))/$AJ68,'Технический лист'!$M:$N,2,1),(GO68-0.05)))</f>
        <v>1</v>
      </c>
      <c r="GQ68" s="15">
        <f>MIN(1,MAX(VLOOKUP(($AJ68-$AI68-$AH68-$AG68-$AF68-$AE68*(1+GQ$3))/$AJ68,'Технический лист'!$M:$N,2,1),(GP68-0.05)))</f>
        <v>1</v>
      </c>
      <c r="GR68" s="15">
        <f>MIN(1,MAX(VLOOKUP(($AJ68-$AI68-$AH68-$AG68-$AF68-$AE68*(1+GR$3))/$AJ68,'Технический лист'!$M:$N,2,1),(GQ68-0.05)))</f>
        <v>1</v>
      </c>
      <c r="GS68" s="15">
        <f>MIN(1,MAX(VLOOKUP(($AJ68-$AI68-$AH68-$AG68-$AF68-$AE68*(1+GS$3))/$AJ68,'Технический лист'!$M:$N,2,1),(GR68-0.05)))</f>
        <v>1</v>
      </c>
      <c r="GT68" s="15">
        <f>MIN(1,MAX(VLOOKUP(($AJ68-$AI68-$AH68-$AG68-$AF68-$AE68*(1+GT$3))/$AJ68,'Технический лист'!$M:$N,2,1),(GS68-0.05)))</f>
        <v>1</v>
      </c>
      <c r="GU68" s="15">
        <f>MIN(1,MAX(VLOOKUP(($AJ68-$AI68-$AH68-$AG68-$AF68-$AE68*(1+GU$3))/$AJ68,'Технический лист'!$M:$N,2,1),(GT68-0.05)))</f>
        <v>1</v>
      </c>
      <c r="GV68" s="15">
        <f>MIN(1,MAX(VLOOKUP(($AJ68-$AI68-$AH68-$AG68-$AF68-$AE68*(1+GV$3))/$AJ68,'Технический лист'!$M:$N,2,1),(GU68-0.05)))</f>
        <v>1</v>
      </c>
      <c r="GW68" s="15">
        <f>MIN(1,MAX(VLOOKUP(($AJ68-$AI68-$AH68-$AG68-$AF68-$AE68*(1+GW$3))/$AJ68,'Технический лист'!$M:$N,2,1),(GV68-0.05)))</f>
        <v>1</v>
      </c>
      <c r="GX68" s="15">
        <f>MIN(1,MAX(VLOOKUP(($AJ68-$AI68-$AH68-$AG68-$AF68-$AE68*(1+GX$3))/$AJ68,'Технический лист'!$M:$N,2,1),(GW68-0.05)))</f>
        <v>1</v>
      </c>
      <c r="GY68" s="15">
        <f>MIN(1,MAX(VLOOKUP(($AJ68-$AI68-$AH68-$AG68-$AF68-$AE68*(1+GY$3))/$AJ68,'Технический лист'!$M:$N,2,1),(GX68-0.05)))</f>
        <v>1</v>
      </c>
      <c r="GZ68" s="15">
        <f>MIN(1,MAX(VLOOKUP(($AJ68-$AI68-$AH68-$AG68-$AF68-$AE68*(1+GZ$3))/$AJ68,'Технический лист'!$M:$N,2,1),(GY68-0.05)))</f>
        <v>1</v>
      </c>
      <c r="HA68" s="15">
        <f>MIN(1,MAX(VLOOKUP(($AJ68-$AI68-$AH68-$AG68-$AF68-$AE68*(1+HA$3))/$AJ68,'Технический лист'!$M:$N,2,1),(GZ68-0.05)))</f>
        <v>1</v>
      </c>
      <c r="HB68" s="15">
        <f>MIN(1,MAX(VLOOKUP(($AJ68-$AI68-$AH68-$AG68-$AF68-$AE68*(1+HB$3))/$AJ68,'Технический лист'!$M:$N,2,1),(HA68-0.05)))</f>
        <v>1</v>
      </c>
      <c r="HC68" s="15">
        <f>MIN(1,MAX(VLOOKUP(($AJ68-$AI68-$AH68-$AG68-$AF68-$AE68*(1+HC$3))/$AJ68,'Технический лист'!$M:$N,2,1),(HB68-0.05)))</f>
        <v>1</v>
      </c>
      <c r="HD68" s="15">
        <f>MIN(1,MAX(VLOOKUP(($AJ68-$AI68-$AH68-$AG68-$AF68-$AE68*(1+HD$3))/$AJ68,'Технический лист'!$M:$N,2,1),(HC68-0.05)))</f>
        <v>1</v>
      </c>
      <c r="HE68" s="15">
        <f>MIN(1,MAX(VLOOKUP(($AJ68-$AI68-$AH68-$AG68-$AF68-$AE68*(1+HE$3))/$AJ68,'Технический лист'!$M:$N,2,1),(HD68-0.05)))</f>
        <v>1</v>
      </c>
      <c r="HF68" s="15">
        <f>MIN(1,MAX(VLOOKUP(($AJ68-$AI68-$AH68-$AG68-$AF68-$AE68*(1+HF$3))/$AJ68,'Технический лист'!$M:$N,2,1),(HE68-0.05)))</f>
        <v>1</v>
      </c>
      <c r="HG68" s="15">
        <f>MIN(1,MAX(VLOOKUP(($AJ68-$AI68-$AH68-$AG68-$AF68-$AE68*(1+HG$3))/$AJ68,'Технический лист'!$M:$N,2,1),(HF68-0.05)))</f>
        <v>1</v>
      </c>
      <c r="HH68" s="15">
        <f>MIN(1,MAX(VLOOKUP(($AJ68-$AI68-$AH68-$AG68-$AF68-$AE68*(1+HH$3))/$AJ68,'Технический лист'!$M:$N,2,1),(HG68-0.05)))</f>
        <v>1</v>
      </c>
      <c r="HI68" s="15">
        <f>MIN(1,MAX(VLOOKUP(($AJ68-$AI68-$AH68-$AG68-$AF68-$AE68*(1+HI$3))/$AJ68,'Технический лист'!$M:$N,2,1),(HH68-0.05)))</f>
        <v>1</v>
      </c>
      <c r="HJ68" s="15">
        <f>MIN(1,MAX(VLOOKUP(($AJ68-$AI68-$AH68-$AG68-$AF68-$AE68*(1+HJ$3))/$AJ68,'Технический лист'!$M:$N,2,1),(HI68-0.05)))</f>
        <v>1</v>
      </c>
      <c r="HK68" s="15">
        <f>MIN(1,MAX(VLOOKUP(($AJ68-$AI68-$AH68-$AG68-$AF68-$AE68*(1+HK$3))/$AJ68,'Технический лист'!$M:$N,2,1),(HJ68-0.05)))</f>
        <v>1</v>
      </c>
      <c r="HL68" s="15">
        <f>MIN(1,MAX(VLOOKUP(($AJ68-$AI68-$AH68-$AG68-$AF68-$AE68*(1+HL$3))/$AJ68,'Технический лист'!$M:$N,2,1),(HK68-0.05)))</f>
        <v>1</v>
      </c>
      <c r="HM68" s="15">
        <f>MIN(1,MAX(VLOOKUP(($AJ68-$AI68-$AH68-$AG68-$AF68-$AE68*(1+HM$3))/$AJ68,'Технический лист'!$M:$N,2,1),(HL68-0.05)))</f>
        <v>1</v>
      </c>
      <c r="HN68" s="15">
        <f>MIN(1,MAX(VLOOKUP(($AJ68-$AI68-$AH68-$AG68-$AF68-$AE68*(1+HN$3))/$AJ68,'Технический лист'!$M:$N,2,1),(HM68-0.05)))</f>
        <v>1</v>
      </c>
      <c r="HO68" s="15">
        <f>MIN(1,MAX(VLOOKUP(($AJ68-$AI68-$AH68-$AG68-$AF68-$AE68*(1+HO$3))/$AJ68,'Технический лист'!$M:$N,2,1),(HN68-0.05)))</f>
        <v>1</v>
      </c>
      <c r="HP68" s="15">
        <f>MIN(1,MAX(VLOOKUP(($AJ68-$AI68-$AH68-$AG68-$AF68-$AE68*(1+HP$3))/$AJ68,'Технический лист'!$M:$N,2,1),(HO68-0.05)))</f>
        <v>1</v>
      </c>
      <c r="HQ68" s="15">
        <f>MIN(1,MAX(VLOOKUP(($AJ68-$AI68-$AH68-$AG68-$AF68-$AE68*(1+HQ$3))/$AJ68,'Технический лист'!$M:$N,2,1),(HP68-0.05)))</f>
        <v>1</v>
      </c>
      <c r="HR68" s="15">
        <f>MIN(1,MAX(VLOOKUP(($AJ68-$AI68-$AH68-$AG68-$AF68-$AE68*(1+HR$3))/$AJ68,'Технический лист'!$M:$N,2,1),(HQ68-0.05)))</f>
        <v>1</v>
      </c>
      <c r="HS68" s="15">
        <f>MIN(1,MAX(VLOOKUP(($AJ68-$AI68-$AH68-$AG68-$AF68-$AE68*(1+HS$3))/$AJ68,'Технический лист'!$M:$N,2,1),(HR68-0.05)))</f>
        <v>1</v>
      </c>
      <c r="HT68" s="15">
        <f>MIN(1,MAX(VLOOKUP(($AJ68-$AI68-$AH68-$AG68-$AF68-$AE68*(1+HT$3))/$AJ68,'Технический лист'!$M:$N,2,1),(HS68-0.05)))</f>
        <v>1</v>
      </c>
      <c r="HU68" s="15">
        <f>MIN(1,MAX(VLOOKUP(($AJ68-$AI68-$AH68-$AG68-$AF68-$AE68*(1+HU$3))/$AJ68,'Технический лист'!$M:$N,2,1),(HT68-0.05)))</f>
        <v>1</v>
      </c>
      <c r="HV68" s="15">
        <f>MIN(1,MAX(VLOOKUP(($AJ68-$AI68-$AH68-$AG68-$AF68-$AE68*(1+HV$3))/$AJ68,'Технический лист'!$M:$N,2,1),(HU68-0.05)))</f>
        <v>1</v>
      </c>
      <c r="HW68" s="15">
        <f>MIN(1,MAX(VLOOKUP(($AJ68-$AI68-$AH68-$AG68-$AF68-$AE68*(1+HW$3))/$AJ68,'Технический лист'!$M:$N,2,1),(HV68-0.05)))</f>
        <v>1</v>
      </c>
      <c r="HX68" s="15">
        <f>MIN(1,MAX(VLOOKUP(($AJ68-$AI68-$AH68-$AG68-$AF68-$AE68*(1+HX$3))/$AJ68,'Технический лист'!$M:$N,2,1),(HW68-0.05)))</f>
        <v>1</v>
      </c>
      <c r="HY68" s="15">
        <f>MIN(1,MAX(VLOOKUP(($AJ68-$AI68-$AH68-$AG68-$AF68-$AE68*(1+HY$3))/$AJ68,'Технический лист'!$M:$N,2,1),(HX68-0.05)))</f>
        <v>1</v>
      </c>
      <c r="HZ68" s="15">
        <f>MIN(1,MAX(VLOOKUP(($AJ68-$AI68-$AH68-$AG68-$AF68-$AE68*(1+HZ$3))/$AJ68,'Технический лист'!$M:$N,2,1),(HY68-0.05)))</f>
        <v>1</v>
      </c>
      <c r="IA68" s="15">
        <f>MIN(1,MAX(VLOOKUP(($AJ68-$AI68-$AH68-$AG68-$AF68-$AE68*(1+IA$3))/$AJ68,'Технический лист'!$M:$N,2,1),(HZ68-0.05)))</f>
        <v>1</v>
      </c>
      <c r="IB68" s="15">
        <f>MIN(1,MAX(VLOOKUP(($AJ68-$AI68-$AH68-$AG68-$AF68-$AE68*(1+IB$3))/$AJ68,'Технический лист'!$M:$N,2,1),(IA68-0.05)))</f>
        <v>1</v>
      </c>
      <c r="IC68" s="15">
        <f>MIN(1,MAX(VLOOKUP(($AJ68-$AI68-$AH68-$AG68-$AF68-$AE68*(1+IC$3))/$AJ68,'Технический лист'!$M:$N,2,1),(IB68-0.05)))</f>
        <v>1</v>
      </c>
      <c r="ID68" s="15">
        <f>MIN(1,MAX(VLOOKUP(($AJ68-$AI68-$AH68-$AG68-$AF68-$AE68*(1+ID$3))/$AJ68,'Технический лист'!$M:$N,2,1),(IC68-0.05)))</f>
        <v>1</v>
      </c>
      <c r="IE68" s="15">
        <f>MIN(1,MAX(VLOOKUP(($AJ68-$AI68-$AH68-$AG68-$AF68-$AE68*(1+IE$3))/$AJ68,'Технический лист'!$M:$N,2,1),(ID68-0.05)))</f>
        <v>1</v>
      </c>
      <c r="IF68" s="15">
        <f>MIN(1,MAX(VLOOKUP(($AJ68-$AI68-$AH68-$AG68-$AF68-$AE68*(1+IF$3))/$AJ68,'Технический лист'!$M:$N,2,1),(IE68-0.05)))</f>
        <v>1</v>
      </c>
      <c r="IG68" s="15">
        <f>MIN(1,MAX(VLOOKUP(($AJ68-$AI68-$AH68-$AG68-$AF68-$AE68*(1+IG$3))/$AJ68,'Технический лист'!$M:$N,2,1),(IF68-0.05)))</f>
        <v>1</v>
      </c>
      <c r="IH68" s="15">
        <f>MIN(1,MAX(VLOOKUP(($AJ68-$AI68-$AH68-$AG68-$AF68-$AE68*(1+IH$3))/$AJ68,'Технический лист'!$M:$N,2,1),(IG68-0.05)))</f>
        <v>1</v>
      </c>
      <c r="II68" s="15">
        <f>MIN(1,MAX(VLOOKUP(($AJ68-$AI68-$AH68-$AG68-$AF68-$AE68*(1+II$3))/$AJ68,'Технический лист'!$M:$N,2,1),(IH68-0.05)))</f>
        <v>1</v>
      </c>
      <c r="IJ68" s="15">
        <f>MIN(1,MAX(VLOOKUP(($AJ68-$AI68-$AH68-$AG68-$AF68-$AE68*(1+IJ$3))/$AJ68,'Технический лист'!$M:$N,2,1),(II68-0.05)))</f>
        <v>1</v>
      </c>
      <c r="IK68" s="15">
        <f>MIN(1,MAX(VLOOKUP(($AJ68-$AI68-$AH68-$AG68-$AF68-$AE68*(1+IK$3))/$AJ68,'Технический лист'!$M:$N,2,1),(IJ68-0.05)))</f>
        <v>1</v>
      </c>
      <c r="IL68" s="15">
        <f>MIN(1,MAX(VLOOKUP(($AJ68-$AI68-$AH68-$AG68-$AF68-$AE68*(1+IL$3))/$AJ68,'Технический лист'!$M:$N,2,1),(IK68-0.05)))</f>
        <v>1</v>
      </c>
      <c r="IM68" s="15">
        <f>MIN(1,MAX(VLOOKUP(($AJ68-$AI68-$AH68-$AG68-$AF68-$AE68*(1+IM$3))/$AJ68,'Технический лист'!$M:$N,2,1),(IL68-0.05)))</f>
        <v>1</v>
      </c>
      <c r="IN68" s="15">
        <f>MIN(1,MAX(VLOOKUP(($AJ68-$AI68-$AH68-$AG68-$AF68-$AE68*(1+IN$3))/$AJ68,'Технический лист'!$M:$N,2,1),(IM68-0.05)))</f>
        <v>1</v>
      </c>
      <c r="IO68" s="15">
        <f>MIN(1,MAX(VLOOKUP(($AJ68-$AI68-$AH68-$AG68-$AF68-$AE68*(1+IO$3))/$AJ68,'Технический лист'!$M:$N,2,1),(IN68-0.05)))</f>
        <v>1</v>
      </c>
      <c r="IP68" s="15">
        <f>MIN(1,MAX(VLOOKUP(($AJ68-$AI68-$AH68-$AG68-$AF68-$AE68*(1+IP$3))/$AJ68,'Технический лист'!$M:$N,2,1),(IO68-0.05)))</f>
        <v>1</v>
      </c>
      <c r="IQ68" s="15">
        <f>MIN(1,MAX(VLOOKUP(($AJ68-$AI68-$AH68-$AG68-$AF68-$AE68*(1+IQ$3))/$AJ68,'Технический лист'!$M:$N,2,1),(IP68-0.05)))</f>
        <v>1</v>
      </c>
      <c r="IR68" s="15">
        <f>MIN(1,MAX(VLOOKUP(($AJ68-$AI68-$AH68-$AG68-$AF68-$AE68*(1+IR$3))/$AJ68,'Технический лист'!$M:$N,2,1),(IQ68-0.05)))</f>
        <v>1</v>
      </c>
    </row>
    <row r="69" spans="1:252" s="4" customFormat="1" ht="29.15">
      <c r="A69" s="89" t="s">
        <v>512</v>
      </c>
      <c r="B69" s="76">
        <v>4</v>
      </c>
      <c r="C69" s="3" t="s">
        <v>67</v>
      </c>
      <c r="D69" s="77">
        <v>15106</v>
      </c>
      <c r="E69" s="77" t="s">
        <v>392</v>
      </c>
      <c r="F69" s="77" t="s">
        <v>390</v>
      </c>
      <c r="G69" s="77" t="s">
        <v>50</v>
      </c>
      <c r="H69" s="77" t="s">
        <v>19</v>
      </c>
      <c r="I69" s="77" t="s">
        <v>367</v>
      </c>
      <c r="J69" s="77" t="s">
        <v>110</v>
      </c>
      <c r="K69" s="77">
        <v>2717</v>
      </c>
      <c r="L69" s="77" t="s">
        <v>64</v>
      </c>
      <c r="M69" s="91" t="s">
        <v>190</v>
      </c>
      <c r="N69" s="77" t="s">
        <v>191</v>
      </c>
      <c r="O69" s="77" t="s">
        <v>194</v>
      </c>
      <c r="P69" s="79" t="s">
        <v>382</v>
      </c>
      <c r="Q69" s="77" t="s">
        <v>261</v>
      </c>
      <c r="R69" s="77" t="s">
        <v>261</v>
      </c>
      <c r="S69" s="80">
        <v>374805</v>
      </c>
      <c r="T69" s="80">
        <v>1018407289</v>
      </c>
      <c r="U69" s="81">
        <v>5327</v>
      </c>
      <c r="V69" s="81">
        <v>13742</v>
      </c>
      <c r="W69" s="82">
        <v>712666588</v>
      </c>
      <c r="X69" s="112">
        <v>69</v>
      </c>
      <c r="Y69" s="112" t="s">
        <v>417</v>
      </c>
      <c r="Z69" s="113">
        <v>11</v>
      </c>
      <c r="AA69" s="113">
        <v>8</v>
      </c>
      <c r="AB69" s="113">
        <v>4</v>
      </c>
      <c r="AC69" s="99">
        <v>2180.7399999999998</v>
      </c>
      <c r="AD69" s="99">
        <f>AE69-AC69</f>
        <v>624.54000000000042</v>
      </c>
      <c r="AE69" s="99">
        <v>2805.28</v>
      </c>
      <c r="AF69" s="98">
        <f>(Z69+AA69+AB69)*'Ставки аренды'!$B$3/X69</f>
        <v>233.33333333333334</v>
      </c>
      <c r="AG69" s="114">
        <v>0</v>
      </c>
      <c r="AH69" s="94">
        <v>0</v>
      </c>
      <c r="AI69" s="115">
        <f>12254/14812*AJ69</f>
        <v>47983.526870105321</v>
      </c>
      <c r="AJ69" s="117">
        <f>Цены!D21</f>
        <v>58000</v>
      </c>
      <c r="AK69" s="94">
        <f>AJ69/Цены!$B$1</f>
        <v>760.10248278302356</v>
      </c>
      <c r="AL69" s="95">
        <f t="shared" ref="AL69:AL132" si="24">AE69+AF69+AG69</f>
        <v>3038.6133333333337</v>
      </c>
      <c r="AM69" s="95">
        <f t="shared" ref="AM69:AM132" si="25">AJ69-AL69</f>
        <v>54961.386666666665</v>
      </c>
      <c r="AN69" s="94">
        <f t="shared" si="22"/>
        <v>51022.140203438656</v>
      </c>
      <c r="AO69" s="118">
        <f t="shared" si="23"/>
        <v>0.12030792752691973</v>
      </c>
      <c r="AP69" s="96">
        <f t="shared" ref="AP69:AP132" si="26">AL69/AJ69</f>
        <v>5.2389885057471268E-2</v>
      </c>
      <c r="AQ69" s="96">
        <f t="shared" ref="AQ69:AQ132" si="27">AE69/AJ69</f>
        <v>4.8366896551724138E-2</v>
      </c>
      <c r="AR69" s="96">
        <f t="shared" ref="AR69:AR132" si="28">AE69/AL69</f>
        <v>0.92321058728542837</v>
      </c>
      <c r="AS69" s="122">
        <v>1</v>
      </c>
      <c r="AT69" s="121">
        <f t="shared" ref="AT69:AT104" si="29">S69*AS69</f>
        <v>374805</v>
      </c>
      <c r="AU69" s="7" t="s">
        <v>475</v>
      </c>
      <c r="AV69" s="119">
        <f t="shared" ref="AV69:AV104" si="30">(AJ69-(AE69*(1+$IS$2)+AF69+AG69+AH69+AI69))/AJ69</f>
        <v>0.11450389994071282</v>
      </c>
      <c r="AW69" s="120">
        <f t="shared" ref="AW69:AW104" si="31">(AE69*(1+$IS$2)+AF69+AG69)/AJ69</f>
        <v>5.8193912643678167E-2</v>
      </c>
      <c r="AX69" s="120">
        <f t="shared" ref="AX69:AX104" si="32">(AE69*(1+$IS$2))/AJ69</f>
        <v>5.4170924137931037E-2</v>
      </c>
      <c r="AY69" s="120">
        <f t="shared" ref="AY69:AY104" si="33">(AE69*(1+$IS$2))/(AE69*(1+$IS$2)+AF69+AG69)</f>
        <v>0.930869255511656</v>
      </c>
      <c r="AZ69" s="15">
        <v>1</v>
      </c>
      <c r="BA69" s="15">
        <v>1</v>
      </c>
      <c r="BB69" s="15">
        <v>1</v>
      </c>
      <c r="BC69" s="15">
        <v>1</v>
      </c>
      <c r="BD69" s="15">
        <v>1</v>
      </c>
      <c r="BE69" s="15">
        <v>1</v>
      </c>
      <c r="BF69" s="15">
        <v>1</v>
      </c>
      <c r="BG69" s="15">
        <v>1</v>
      </c>
      <c r="BH69" s="15">
        <v>1</v>
      </c>
      <c r="BI69" s="15">
        <v>1</v>
      </c>
      <c r="BJ69" s="15">
        <v>1</v>
      </c>
      <c r="BK69" s="15">
        <v>1</v>
      </c>
      <c r="BL69" s="15">
        <v>1</v>
      </c>
      <c r="BM69" s="15">
        <v>1</v>
      </c>
      <c r="BN69" s="15">
        <v>1</v>
      </c>
      <c r="BO69" s="15">
        <v>1</v>
      </c>
      <c r="BP69" s="15">
        <v>1</v>
      </c>
      <c r="BQ69" s="15">
        <v>1</v>
      </c>
      <c r="BR69" s="15">
        <v>1</v>
      </c>
      <c r="BS69" s="15">
        <v>1</v>
      </c>
      <c r="BT69" s="15">
        <v>1</v>
      </c>
      <c r="BU69" s="15">
        <v>1</v>
      </c>
      <c r="BV69" s="15">
        <v>1</v>
      </c>
      <c r="BW69" s="15">
        <v>1</v>
      </c>
      <c r="BX69" s="15">
        <v>1</v>
      </c>
      <c r="BY69" s="15">
        <v>1</v>
      </c>
      <c r="BZ69" s="15">
        <v>1</v>
      </c>
      <c r="CA69" s="15">
        <v>1</v>
      </c>
      <c r="CB69" s="15">
        <v>1</v>
      </c>
      <c r="CC69" s="15">
        <v>1</v>
      </c>
      <c r="CD69" s="15">
        <v>1</v>
      </c>
      <c r="CE69" s="15">
        <v>1</v>
      </c>
      <c r="CF69" s="15">
        <v>1</v>
      </c>
      <c r="CG69" s="15">
        <v>1</v>
      </c>
      <c r="CH69" s="15">
        <v>1</v>
      </c>
      <c r="CI69" s="15">
        <v>1</v>
      </c>
      <c r="CJ69" s="15">
        <v>1</v>
      </c>
      <c r="CK69" s="15">
        <v>1</v>
      </c>
      <c r="CL69" s="15">
        <v>1</v>
      </c>
      <c r="CM69" s="15">
        <v>1</v>
      </c>
      <c r="CN69" s="15">
        <v>1</v>
      </c>
      <c r="CO69" s="15">
        <v>1</v>
      </c>
      <c r="CP69" s="15">
        <v>1</v>
      </c>
      <c r="CQ69" s="15">
        <v>1</v>
      </c>
      <c r="CR69" s="15">
        <v>1</v>
      </c>
      <c r="CS69" s="15">
        <v>1</v>
      </c>
      <c r="CT69" s="15">
        <v>1</v>
      </c>
      <c r="CU69" s="15">
        <v>1</v>
      </c>
      <c r="CV69" s="15">
        <v>1</v>
      </c>
      <c r="CW69" s="15">
        <v>1</v>
      </c>
      <c r="CX69" s="15">
        <v>1</v>
      </c>
      <c r="CY69" s="15">
        <v>1</v>
      </c>
      <c r="CZ69" s="15">
        <v>1</v>
      </c>
      <c r="DA69" s="15">
        <v>1</v>
      </c>
      <c r="DB69" s="15">
        <v>1</v>
      </c>
      <c r="DC69" s="15">
        <v>1</v>
      </c>
      <c r="DD69" s="15">
        <v>1</v>
      </c>
      <c r="DE69" s="15">
        <v>1</v>
      </c>
      <c r="DF69" s="15">
        <v>1</v>
      </c>
      <c r="DG69" s="15">
        <v>1</v>
      </c>
      <c r="DH69" s="15">
        <v>1</v>
      </c>
      <c r="DI69" s="15">
        <v>1</v>
      </c>
      <c r="DJ69" s="15">
        <v>1</v>
      </c>
      <c r="DK69" s="15">
        <v>1</v>
      </c>
      <c r="DL69" s="15">
        <v>1</v>
      </c>
      <c r="DM69" s="15">
        <v>1</v>
      </c>
      <c r="DN69" s="15">
        <v>1</v>
      </c>
      <c r="DO69" s="15">
        <v>1</v>
      </c>
      <c r="DP69" s="15">
        <v>1</v>
      </c>
      <c r="DQ69" s="15">
        <v>1</v>
      </c>
      <c r="DR69" s="15">
        <v>1</v>
      </c>
      <c r="DS69" s="15">
        <v>1</v>
      </c>
      <c r="DT69" s="15">
        <v>1</v>
      </c>
      <c r="DU69" s="15">
        <v>1</v>
      </c>
      <c r="DV69" s="15">
        <v>1</v>
      </c>
      <c r="DW69" s="15">
        <v>1</v>
      </c>
      <c r="DX69" s="15">
        <v>1</v>
      </c>
      <c r="DY69" s="15">
        <v>1</v>
      </c>
      <c r="DZ69" s="15">
        <v>1</v>
      </c>
      <c r="EA69" s="15">
        <v>1</v>
      </c>
      <c r="EB69" s="15">
        <v>1</v>
      </c>
      <c r="EC69" s="15">
        <v>1</v>
      </c>
      <c r="ED69" s="15">
        <v>1</v>
      </c>
      <c r="EE69" s="15">
        <v>1</v>
      </c>
      <c r="EF69" s="15">
        <v>1</v>
      </c>
      <c r="EG69" s="15">
        <v>1</v>
      </c>
      <c r="EH69" s="15">
        <v>1</v>
      </c>
      <c r="EI69" s="15">
        <v>1</v>
      </c>
      <c r="EJ69" s="15">
        <v>1</v>
      </c>
      <c r="EK69" s="15">
        <v>1</v>
      </c>
      <c r="EL69" s="15">
        <v>1</v>
      </c>
      <c r="EM69" s="15">
        <v>1</v>
      </c>
      <c r="EN69" s="15">
        <v>1</v>
      </c>
      <c r="EO69" s="15">
        <v>1</v>
      </c>
      <c r="EP69" s="15">
        <v>1</v>
      </c>
      <c r="EQ69" s="15">
        <v>1</v>
      </c>
      <c r="ER69" s="15">
        <v>1</v>
      </c>
      <c r="ES69" s="15">
        <v>1</v>
      </c>
      <c r="ET69" s="15">
        <v>1</v>
      </c>
      <c r="EU69" s="15">
        <v>1</v>
      </c>
      <c r="EV69" s="111">
        <v>1</v>
      </c>
      <c r="EW69" s="15">
        <v>1</v>
      </c>
      <c r="EX69" s="15">
        <v>1</v>
      </c>
      <c r="EY69" s="15">
        <v>1</v>
      </c>
      <c r="EZ69" s="15">
        <v>1</v>
      </c>
      <c r="FA69" s="15">
        <v>1</v>
      </c>
      <c r="FB69" s="15">
        <v>1</v>
      </c>
      <c r="FC69" s="15">
        <v>1</v>
      </c>
      <c r="FD69" s="15">
        <v>1</v>
      </c>
      <c r="FE69" s="15">
        <v>1</v>
      </c>
      <c r="FF69" s="15">
        <v>1</v>
      </c>
      <c r="FG69" s="15">
        <v>1</v>
      </c>
      <c r="FH69" s="15">
        <v>1</v>
      </c>
      <c r="FI69" s="15">
        <v>1</v>
      </c>
      <c r="FJ69" s="15">
        <v>1</v>
      </c>
      <c r="FK69" s="15">
        <v>1</v>
      </c>
      <c r="FL69" s="15">
        <v>1</v>
      </c>
      <c r="FM69" s="15">
        <v>1</v>
      </c>
      <c r="FN69" s="15">
        <v>1</v>
      </c>
      <c r="FO69" s="15">
        <v>1</v>
      </c>
      <c r="FP69" s="15">
        <v>1</v>
      </c>
      <c r="FQ69" s="15">
        <v>1</v>
      </c>
      <c r="FR69" s="15">
        <v>1</v>
      </c>
      <c r="FS69" s="15">
        <v>1</v>
      </c>
      <c r="FT69" s="15">
        <v>1</v>
      </c>
      <c r="FU69" s="15">
        <v>1</v>
      </c>
      <c r="FV69" s="15">
        <v>1</v>
      </c>
      <c r="FW69" s="15">
        <v>1</v>
      </c>
      <c r="FX69" s="15">
        <v>1</v>
      </c>
      <c r="FY69" s="15">
        <v>1</v>
      </c>
      <c r="FZ69" s="15">
        <v>1</v>
      </c>
      <c r="GA69" s="15">
        <v>1</v>
      </c>
      <c r="GB69" s="15">
        <v>1</v>
      </c>
      <c r="GC69" s="15">
        <v>1</v>
      </c>
      <c r="GD69" s="15">
        <v>1</v>
      </c>
      <c r="GE69" s="15">
        <v>1</v>
      </c>
      <c r="GF69" s="15">
        <v>1</v>
      </c>
      <c r="GG69" s="15">
        <v>1</v>
      </c>
      <c r="GH69" s="15">
        <v>1</v>
      </c>
      <c r="GI69" s="15">
        <v>1</v>
      </c>
      <c r="GJ69" s="15">
        <v>1</v>
      </c>
      <c r="GK69" s="15">
        <v>1</v>
      </c>
      <c r="GL69" s="15">
        <v>1</v>
      </c>
      <c r="GM69" s="15">
        <v>1</v>
      </c>
      <c r="GN69" s="15">
        <v>1</v>
      </c>
      <c r="GO69" s="15">
        <v>1</v>
      </c>
      <c r="GP69" s="15">
        <v>1</v>
      </c>
      <c r="GQ69" s="15">
        <v>1</v>
      </c>
      <c r="GR69" s="15">
        <v>1</v>
      </c>
      <c r="GS69" s="15">
        <v>1</v>
      </c>
      <c r="GT69" s="15">
        <v>1</v>
      </c>
      <c r="GU69" s="15">
        <v>1</v>
      </c>
      <c r="GV69" s="15">
        <v>1</v>
      </c>
      <c r="GW69" s="15">
        <v>1</v>
      </c>
      <c r="GX69" s="15">
        <v>1</v>
      </c>
      <c r="GY69" s="15">
        <v>1</v>
      </c>
      <c r="GZ69" s="15">
        <v>1</v>
      </c>
      <c r="HA69" s="15">
        <v>1</v>
      </c>
      <c r="HB69" s="15">
        <v>1</v>
      </c>
      <c r="HC69" s="15">
        <v>1</v>
      </c>
      <c r="HD69" s="15">
        <v>1</v>
      </c>
      <c r="HE69" s="15">
        <v>1</v>
      </c>
      <c r="HF69" s="15">
        <v>1</v>
      </c>
      <c r="HG69" s="15">
        <v>1</v>
      </c>
      <c r="HH69" s="15">
        <v>1</v>
      </c>
      <c r="HI69" s="15">
        <v>1</v>
      </c>
      <c r="HJ69" s="15">
        <v>1</v>
      </c>
      <c r="HK69" s="15">
        <v>1</v>
      </c>
      <c r="HL69" s="15">
        <v>1</v>
      </c>
      <c r="HM69" s="15">
        <v>1</v>
      </c>
      <c r="HN69" s="15">
        <v>1</v>
      </c>
      <c r="HO69" s="15">
        <v>1</v>
      </c>
      <c r="HP69" s="15">
        <v>1</v>
      </c>
      <c r="HQ69" s="15">
        <v>1</v>
      </c>
      <c r="HR69" s="15">
        <v>1</v>
      </c>
      <c r="HS69" s="15">
        <v>1</v>
      </c>
      <c r="HT69" s="15">
        <v>1</v>
      </c>
      <c r="HU69" s="15">
        <v>1</v>
      </c>
      <c r="HV69" s="15">
        <v>1</v>
      </c>
      <c r="HW69" s="15">
        <v>1</v>
      </c>
      <c r="HX69" s="15">
        <v>1</v>
      </c>
      <c r="HY69" s="15">
        <v>1</v>
      </c>
      <c r="HZ69" s="15">
        <v>1</v>
      </c>
      <c r="IA69" s="15">
        <v>1</v>
      </c>
      <c r="IB69" s="15">
        <v>1</v>
      </c>
      <c r="IC69" s="15">
        <v>1</v>
      </c>
      <c r="ID69" s="15">
        <v>1</v>
      </c>
      <c r="IE69" s="15">
        <v>1</v>
      </c>
      <c r="IF69" s="15">
        <v>1</v>
      </c>
      <c r="IG69" s="15">
        <v>1</v>
      </c>
      <c r="IH69" s="15">
        <v>1</v>
      </c>
      <c r="II69" s="15">
        <v>1</v>
      </c>
      <c r="IJ69" s="15">
        <v>1</v>
      </c>
      <c r="IK69" s="15">
        <v>1</v>
      </c>
      <c r="IL69" s="15">
        <v>1</v>
      </c>
      <c r="IM69" s="15">
        <v>1</v>
      </c>
      <c r="IN69" s="15">
        <v>1</v>
      </c>
      <c r="IO69" s="15">
        <v>1</v>
      </c>
      <c r="IP69" s="15">
        <v>1</v>
      </c>
      <c r="IQ69" s="15">
        <v>1</v>
      </c>
      <c r="IR69" s="15">
        <v>1</v>
      </c>
    </row>
    <row r="70" spans="1:252" s="4" customFormat="1" ht="29.15">
      <c r="A70" s="89" t="s">
        <v>512</v>
      </c>
      <c r="B70" s="76">
        <v>4</v>
      </c>
      <c r="C70" s="3" t="s">
        <v>67</v>
      </c>
      <c r="D70" s="77">
        <v>15116</v>
      </c>
      <c r="E70" s="77" t="s">
        <v>395</v>
      </c>
      <c r="F70" s="77" t="s">
        <v>390</v>
      </c>
      <c r="G70" s="77" t="s">
        <v>16</v>
      </c>
      <c r="H70" s="77" t="s">
        <v>50</v>
      </c>
      <c r="I70" s="77" t="s">
        <v>368</v>
      </c>
      <c r="J70" s="77" t="s">
        <v>126</v>
      </c>
      <c r="K70" s="77">
        <v>7120</v>
      </c>
      <c r="L70" s="77" t="s">
        <v>64</v>
      </c>
      <c r="M70" s="91" t="s">
        <v>190</v>
      </c>
      <c r="N70" s="77" t="s">
        <v>191</v>
      </c>
      <c r="O70" s="77" t="s">
        <v>192</v>
      </c>
      <c r="P70" s="79" t="s">
        <v>383</v>
      </c>
      <c r="Q70" s="77" t="s">
        <v>388</v>
      </c>
      <c r="R70" s="77" t="s">
        <v>260</v>
      </c>
      <c r="S70" s="80">
        <v>369636</v>
      </c>
      <c r="T70" s="80">
        <v>2631670227</v>
      </c>
      <c r="U70" s="81">
        <v>5260</v>
      </c>
      <c r="V70" s="81">
        <v>0</v>
      </c>
      <c r="W70" s="82">
        <v>2354140578</v>
      </c>
      <c r="X70" s="112">
        <v>69</v>
      </c>
      <c r="Y70" s="112" t="s">
        <v>447</v>
      </c>
      <c r="Z70" s="113">
        <v>19</v>
      </c>
      <c r="AA70" s="113">
        <v>14</v>
      </c>
      <c r="AB70" s="113">
        <v>4</v>
      </c>
      <c r="AC70" s="99">
        <v>7197.57</v>
      </c>
      <c r="AD70" s="99">
        <f>AE70-AC70</f>
        <v>1013.130000000001</v>
      </c>
      <c r="AE70" s="99">
        <v>8210.7000000000007</v>
      </c>
      <c r="AF70" s="98">
        <f>(Z70+AA70+AB70)*'Ставки аренды'!$B$3/X70</f>
        <v>375.36231884057969</v>
      </c>
      <c r="AG70" s="114">
        <v>0</v>
      </c>
      <c r="AH70" s="94">
        <v>0</v>
      </c>
      <c r="AI70" s="115">
        <f>AJ70*0.35</f>
        <v>53413.85</v>
      </c>
      <c r="AJ70" s="117">
        <f>Цены!C30*'Курсы валют'!B2</f>
        <v>152611</v>
      </c>
      <c r="AK70" s="94">
        <f>AJ70/Цены!$B$1</f>
        <v>2000.0000000000002</v>
      </c>
      <c r="AL70" s="95">
        <f t="shared" si="24"/>
        <v>8586.0623188405807</v>
      </c>
      <c r="AM70" s="95">
        <f t="shared" si="25"/>
        <v>144024.93768115941</v>
      </c>
      <c r="AN70" s="94">
        <f t="shared" si="22"/>
        <v>61999.912318840579</v>
      </c>
      <c r="AO70" s="118">
        <f t="shared" si="23"/>
        <v>0.59373890270792684</v>
      </c>
      <c r="AP70" s="96">
        <f t="shared" si="26"/>
        <v>5.6261097292073181E-2</v>
      </c>
      <c r="AQ70" s="96">
        <f t="shared" si="27"/>
        <v>5.3801495305056651E-2</v>
      </c>
      <c r="AR70" s="96">
        <f t="shared" si="28"/>
        <v>0.95628236729461946</v>
      </c>
      <c r="AS70" s="122">
        <v>1</v>
      </c>
      <c r="AT70" s="121">
        <f t="shared" si="29"/>
        <v>369636</v>
      </c>
      <c r="AU70" s="83">
        <v>1</v>
      </c>
      <c r="AV70" s="119">
        <f t="shared" si="30"/>
        <v>0.58728272327132003</v>
      </c>
      <c r="AW70" s="120">
        <f t="shared" si="31"/>
        <v>6.2717276728679994E-2</v>
      </c>
      <c r="AX70" s="120">
        <f t="shared" si="32"/>
        <v>6.0257674741663457E-2</v>
      </c>
      <c r="AY70" s="120">
        <f t="shared" si="33"/>
        <v>0.96078270429921619</v>
      </c>
      <c r="AZ70" s="15">
        <f>MIN(IF($AU70=100%,1,1+VLOOKUP(($AJ70-$AI70-$AH70-$AG70-$AF70-$AE70*(1+AZ$3))/$AJ70,'Технический лист'!$M:$N,2,1)-VLOOKUP($AO70,'Технический лист'!$M:$N,2,1)),1+(1-$AU70))</f>
        <v>1</v>
      </c>
      <c r="BA70" s="15">
        <f>MIN(IF($AU70=100%,1,1+VLOOKUP(($AJ70-$AI70-$AH70-$AG70-$AF70-$AE70*(1+BA$3))/$AJ70,'Технический лист'!$M:$N,2,1)-VLOOKUP($AO70,'Технический лист'!$M:$N,2,1)),1+(1-$AU70))</f>
        <v>1</v>
      </c>
      <c r="BB70" s="15">
        <f>MIN(IF($AU70=100%,1,1+VLOOKUP(($AJ70-$AI70-$AH70-$AG70-$AF70-$AE70*(1+BB$3))/$AJ70,'Технический лист'!$M:$N,2,1)-VLOOKUP($AO70,'Технический лист'!$M:$N,2,1)),1+(1-$AU70))</f>
        <v>1</v>
      </c>
      <c r="BC70" s="15">
        <f>MIN(IF($AU70=100%,1,1+VLOOKUP(($AJ70-$AI70-$AH70-$AG70-$AF70-$AE70*(1+BC$3))/$AJ70,'Технический лист'!$M:$N,2,1)-VLOOKUP($AO70,'Технический лист'!$M:$N,2,1)),1+(1-$AU70))</f>
        <v>1</v>
      </c>
      <c r="BD70" s="15">
        <f>MIN(IF($AU70=100%,1,1+VLOOKUP(($AJ70-$AI70-$AH70-$AG70-$AF70-$AE70*(1+BD$3))/$AJ70,'Технический лист'!$M:$N,2,1)-VLOOKUP($AO70,'Технический лист'!$M:$N,2,1)),1+(1-$AU70))</f>
        <v>1</v>
      </c>
      <c r="BE70" s="15">
        <f>MIN(IF($AU70=100%,1,1+VLOOKUP(($AJ70-$AI70-$AH70-$AG70-$AF70-$AE70*(1+BE$3))/$AJ70,'Технический лист'!$M:$N,2,1)-VLOOKUP($AO70,'Технический лист'!$M:$N,2,1)),1+(1-$AU70))</f>
        <v>1</v>
      </c>
      <c r="BF70" s="15">
        <f>MIN(IF($AU70=100%,1,1+VLOOKUP(($AJ70-$AI70-$AH70-$AG70-$AF70-$AE70*(1+BF$3))/$AJ70,'Технический лист'!$M:$N,2,1)-VLOOKUP($AO70,'Технический лист'!$M:$N,2,1)),1+(1-$AU70))</f>
        <v>1</v>
      </c>
      <c r="BG70" s="15">
        <f>MIN(IF($AU70=100%,1,1+VLOOKUP(($AJ70-$AI70-$AH70-$AG70-$AF70-$AE70*(1+BG$3))/$AJ70,'Технический лист'!$M:$N,2,1)-VLOOKUP($AO70,'Технический лист'!$M:$N,2,1)),1+(1-$AU70))</f>
        <v>1</v>
      </c>
      <c r="BH70" s="15">
        <f>MIN(IF($AU70=100%,1,1+VLOOKUP(($AJ70-$AI70-$AH70-$AG70-$AF70-$AE70*(1+BH$3))/$AJ70,'Технический лист'!$M:$N,2,1)-VLOOKUP($AO70,'Технический лист'!$M:$N,2,1)),1+(1-$AU70))</f>
        <v>1</v>
      </c>
      <c r="BI70" s="15">
        <f>MIN(IF($AU70=100%,1,1+VLOOKUP(($AJ70-$AI70-$AH70-$AG70-$AF70-$AE70*(1+BI$3))/$AJ70,'Технический лист'!$M:$N,2,1)-VLOOKUP($AO70,'Технический лист'!$M:$N,2,1)),1+(1-$AU70))</f>
        <v>1</v>
      </c>
      <c r="BJ70" s="15">
        <f>MIN(IF($AU70=100%,1,1+VLOOKUP(($AJ70-$AI70-$AH70-$AG70-$AF70-$AE70*(1+BJ$3))/$AJ70,'Технический лист'!$M:$N,2,1)-VLOOKUP($AO70,'Технический лист'!$M:$N,2,1)),1+(1-$AU70))</f>
        <v>1</v>
      </c>
      <c r="BK70" s="15">
        <f>MIN(IF($AU70=100%,1,1+VLOOKUP(($AJ70-$AI70-$AH70-$AG70-$AF70-$AE70*(1+BK$3))/$AJ70,'Технический лист'!$M:$N,2,1)-VLOOKUP($AO70,'Технический лист'!$M:$N,2,1)),1+(1-$AU70))</f>
        <v>1</v>
      </c>
      <c r="BL70" s="15">
        <f>MIN(IF($AU70=100%,1,1+VLOOKUP(($AJ70-$AI70-$AH70-$AG70-$AF70-$AE70*(1+BL$3))/$AJ70,'Технический лист'!$M:$N,2,1)-VLOOKUP($AO70,'Технический лист'!$M:$N,2,1)),1+(1-$AU70))</f>
        <v>1</v>
      </c>
      <c r="BM70" s="15">
        <f>MIN(IF($AU70=100%,1,1+VLOOKUP(($AJ70-$AI70-$AH70-$AG70-$AF70-$AE70*(1+BM$3))/$AJ70,'Технический лист'!$M:$N,2,1)-VLOOKUP($AO70,'Технический лист'!$M:$N,2,1)),1+(1-$AU70))</f>
        <v>1</v>
      </c>
      <c r="BN70" s="15">
        <f>MIN(IF($AU70=100%,1,1+VLOOKUP(($AJ70-$AI70-$AH70-$AG70-$AF70-$AE70*(1+BN$3))/$AJ70,'Технический лист'!$M:$N,2,1)-VLOOKUP($AO70,'Технический лист'!$M:$N,2,1)),1+(1-$AU70))</f>
        <v>1</v>
      </c>
      <c r="BO70" s="15">
        <f>MIN(IF($AU70=100%,1,1+VLOOKUP(($AJ70-$AI70-$AH70-$AG70-$AF70-$AE70*(1+BO$3))/$AJ70,'Технический лист'!$M:$N,2,1)-VLOOKUP($AO70,'Технический лист'!$M:$N,2,1)),1+(1-$AU70))</f>
        <v>1</v>
      </c>
      <c r="BP70" s="15">
        <f>MIN(IF($AU70=100%,1,1+VLOOKUP(($AJ70-$AI70-$AH70-$AG70-$AF70-$AE70*(1+BP$3))/$AJ70,'Технический лист'!$M:$N,2,1)-VLOOKUP($AO70,'Технический лист'!$M:$N,2,1)),1+(1-$AU70))</f>
        <v>1</v>
      </c>
      <c r="BQ70" s="15">
        <f>MIN(IF($AU70=100%,1,1+VLOOKUP(($AJ70-$AI70-$AH70-$AG70-$AF70-$AE70*(1+BQ$3))/$AJ70,'Технический лист'!$M:$N,2,1)-VLOOKUP($AO70,'Технический лист'!$M:$N,2,1)),1+(1-$AU70))</f>
        <v>1</v>
      </c>
      <c r="BR70" s="15">
        <f>MIN(IF($AU70=100%,1,1+VLOOKUP(($AJ70-$AI70-$AH70-$AG70-$AF70-$AE70*(1+BR$3))/$AJ70,'Технический лист'!$M:$N,2,1)-VLOOKUP($AO70,'Технический лист'!$M:$N,2,1)),1+(1-$AU70))</f>
        <v>1</v>
      </c>
      <c r="BS70" s="15">
        <f>MIN(IF($AU70=100%,1,1+VLOOKUP(($AJ70-$AI70-$AH70-$AG70-$AF70-$AE70*(1+BS$3))/$AJ70,'Технический лист'!$M:$N,2,1)-VLOOKUP($AO70,'Технический лист'!$M:$N,2,1)),1+(1-$AU70))</f>
        <v>1</v>
      </c>
      <c r="BT70" s="15">
        <f>MIN(IF($AU70=100%,1,1+VLOOKUP(($AJ70-$AI70-$AH70-$AG70-$AF70-$AE70*(1+BT$3))/$AJ70,'Технический лист'!$M:$N,2,1)-VLOOKUP($AO70,'Технический лист'!$M:$N,2,1)),1+(1-$AU70))</f>
        <v>1</v>
      </c>
      <c r="BU70" s="15">
        <f>MIN(IF($AU70=100%,1,1+VLOOKUP(($AJ70-$AI70-$AH70-$AG70-$AF70-$AE70*(1+BU$3))/$AJ70,'Технический лист'!$M:$N,2,1)-VLOOKUP($AO70,'Технический лист'!$M:$N,2,1)),1+(1-$AU70))</f>
        <v>1</v>
      </c>
      <c r="BV70" s="15">
        <f>MIN(IF($AU70=100%,1,1+VLOOKUP(($AJ70-$AI70-$AH70-$AG70-$AF70-$AE70*(1+BV$3))/$AJ70,'Технический лист'!$M:$N,2,1)-VLOOKUP($AO70,'Технический лист'!$M:$N,2,1)),1+(1-$AU70))</f>
        <v>1</v>
      </c>
      <c r="BW70" s="15">
        <f>MIN(IF($AU70=100%,1,1+VLOOKUP(($AJ70-$AI70-$AH70-$AG70-$AF70-$AE70*(1+BW$3))/$AJ70,'Технический лист'!$M:$N,2,1)-VLOOKUP($AO70,'Технический лист'!$M:$N,2,1)),1+(1-$AU70))</f>
        <v>1</v>
      </c>
      <c r="BX70" s="15">
        <f>MIN(IF($AU70=100%,1,1+VLOOKUP(($AJ70-$AI70-$AH70-$AG70-$AF70-$AE70*(1+BX$3))/$AJ70,'Технический лист'!$M:$N,2,1)-VLOOKUP($AO70,'Технический лист'!$M:$N,2,1)),1+(1-$AU70))</f>
        <v>1</v>
      </c>
      <c r="BY70" s="15">
        <f>MIN(IF($AU70=100%,1,1+VLOOKUP(($AJ70-$AI70-$AH70-$AG70-$AF70-$AE70*(1+BY$3))/$AJ70,'Технический лист'!$M:$N,2,1)-VLOOKUP($AO70,'Технический лист'!$M:$N,2,1)),1+(1-$AU70))</f>
        <v>1</v>
      </c>
      <c r="BZ70" s="15">
        <f>MIN(IF($AU70=100%,1,1+VLOOKUP(($AJ70-$AI70-$AH70-$AG70-$AF70-$AE70*(1+BZ$3))/$AJ70,'Технический лист'!$M:$N,2,1)-VLOOKUP($AO70,'Технический лист'!$M:$N,2,1)),1+(1-$AU70))</f>
        <v>1</v>
      </c>
      <c r="CA70" s="15">
        <f>MIN(IF($AU70=100%,1,1+VLOOKUP(($AJ70-$AI70-$AH70-$AG70-$AF70-$AE70*(1+CA$3))/$AJ70,'Технический лист'!$M:$N,2,1)-VLOOKUP($AO70,'Технический лист'!$M:$N,2,1)),1+(1-$AU70))</f>
        <v>1</v>
      </c>
      <c r="CB70" s="15">
        <f>MIN(IF($AU70=100%,1,1+VLOOKUP(($AJ70-$AI70-$AH70-$AG70-$AF70-$AE70*(1+CB$3))/$AJ70,'Технический лист'!$M:$N,2,1)-VLOOKUP($AO70,'Технический лист'!$M:$N,2,1)),1+(1-$AU70))</f>
        <v>1</v>
      </c>
      <c r="CC70" s="15">
        <f>MIN(IF($AU70=100%,1,1+VLOOKUP(($AJ70-$AI70-$AH70-$AG70-$AF70-$AE70*(1+CC$3))/$AJ70,'Технический лист'!$M:$N,2,1)-VLOOKUP($AO70,'Технический лист'!$M:$N,2,1)),1+(1-$AU70))</f>
        <v>1</v>
      </c>
      <c r="CD70" s="15">
        <f>MIN(IF($AU70=100%,1,1+VLOOKUP(($AJ70-$AI70-$AH70-$AG70-$AF70-$AE70*(1+CD$3))/$AJ70,'Технический лист'!$M:$N,2,1)-VLOOKUP($AO70,'Технический лист'!$M:$N,2,1)),1+(1-$AU70))</f>
        <v>1</v>
      </c>
      <c r="CE70" s="15">
        <f>MIN(IF($AU70=100%,1,1+VLOOKUP(($AJ70-$AI70-$AH70-$AG70-$AF70-$AE70*(1+CE$3))/$AJ70,'Технический лист'!$M:$N,2,1)-VLOOKUP($AO70,'Технический лист'!$M:$N,2,1)),1+(1-$AU70))</f>
        <v>1</v>
      </c>
      <c r="CF70" s="15">
        <f>MIN(IF($AU70=100%,1,1+VLOOKUP(($AJ70-$AI70-$AH70-$AG70-$AF70-$AE70*(1+CF$3))/$AJ70,'Технический лист'!$M:$N,2,1)-VLOOKUP($AO70,'Технический лист'!$M:$N,2,1)),1+(1-$AU70))</f>
        <v>1</v>
      </c>
      <c r="CG70" s="15">
        <f>MIN(IF($AU70=100%,1,1+VLOOKUP(($AJ70-$AI70-$AH70-$AG70-$AF70-$AE70*(1+CG$3))/$AJ70,'Технический лист'!$M:$N,2,1)-VLOOKUP($AO70,'Технический лист'!$M:$N,2,1)),1+(1-$AU70))</f>
        <v>1</v>
      </c>
      <c r="CH70" s="15">
        <f>MIN(IF($AU70=100%,1,1+VLOOKUP(($AJ70-$AI70-$AH70-$AG70-$AF70-$AE70*(1+CH$3))/$AJ70,'Технический лист'!$M:$N,2,1)-VLOOKUP($AO70,'Технический лист'!$M:$N,2,1)),1+(1-$AU70))</f>
        <v>1</v>
      </c>
      <c r="CI70" s="15">
        <f>MIN(IF($AU70=100%,1,1+VLOOKUP(($AJ70-$AI70-$AH70-$AG70-$AF70-$AE70*(1+CI$3))/$AJ70,'Технический лист'!$M:$N,2,1)-VLOOKUP($AO70,'Технический лист'!$M:$N,2,1)),1+(1-$AU70))</f>
        <v>1</v>
      </c>
      <c r="CJ70" s="15">
        <f>MIN(IF($AU70=100%,1,1+VLOOKUP(($AJ70-$AI70-$AH70-$AG70-$AF70-$AE70*(1+CJ$3))/$AJ70,'Технический лист'!$M:$N,2,1)-VLOOKUP($AO70,'Технический лист'!$M:$N,2,1)),1+(1-$AU70))</f>
        <v>1</v>
      </c>
      <c r="CK70" s="15">
        <f>MIN(IF($AU70=100%,1,1+VLOOKUP(($AJ70-$AI70-$AH70-$AG70-$AF70-$AE70*(1+CK$3))/$AJ70,'Технический лист'!$M:$N,2,1)-VLOOKUP($AO70,'Технический лист'!$M:$N,2,1)),1+(1-$AU70))</f>
        <v>1</v>
      </c>
      <c r="CL70" s="15">
        <f>MIN(IF($AU70=100%,1,1+VLOOKUP(($AJ70-$AI70-$AH70-$AG70-$AF70-$AE70*(1+CL$3))/$AJ70,'Технический лист'!$M:$N,2,1)-VLOOKUP($AO70,'Технический лист'!$M:$N,2,1)),1+(1-$AU70))</f>
        <v>1</v>
      </c>
      <c r="CM70" s="15">
        <f>MIN(IF($AU70=100%,1,1+VLOOKUP(($AJ70-$AI70-$AH70-$AG70-$AF70-$AE70*(1+CM$3))/$AJ70,'Технический лист'!$M:$N,2,1)-VLOOKUP($AO70,'Технический лист'!$M:$N,2,1)),1+(1-$AU70))</f>
        <v>1</v>
      </c>
      <c r="CN70" s="15">
        <f>MIN(IF($AU70=100%,1,1+VLOOKUP(($AJ70-$AI70-$AH70-$AG70-$AF70-$AE70*(1+CN$3))/$AJ70,'Технический лист'!$M:$N,2,1)-VLOOKUP($AO70,'Технический лист'!$M:$N,2,1)),1+(1-$AU70))</f>
        <v>1</v>
      </c>
      <c r="CO70" s="15">
        <f>MIN(IF($AU70=100%,1,1+VLOOKUP(($AJ70-$AI70-$AH70-$AG70-$AF70-$AE70*(1+CO$3))/$AJ70,'Технический лист'!$M:$N,2,1)-VLOOKUP($AO70,'Технический лист'!$M:$N,2,1)),1+(1-$AU70))</f>
        <v>1</v>
      </c>
      <c r="CP70" s="15">
        <f>MIN(IF($AU70=100%,1,1+VLOOKUP(($AJ70-$AI70-$AH70-$AG70-$AF70-$AE70*(1+CP$3))/$AJ70,'Технический лист'!$M:$N,2,1)-VLOOKUP($AO70,'Технический лист'!$M:$N,2,1)),1+(1-$AU70))</f>
        <v>1</v>
      </c>
      <c r="CQ70" s="15">
        <f>MIN(IF($AU70=100%,1,1+VLOOKUP(($AJ70-$AI70-$AH70-$AG70-$AF70-$AE70*(1+CQ$3))/$AJ70,'Технический лист'!$M:$N,2,1)-VLOOKUP($AO70,'Технический лист'!$M:$N,2,1)),1+(1-$AU70))</f>
        <v>1</v>
      </c>
      <c r="CR70" s="15">
        <f>MIN(IF($AU70=100%,1,1+VLOOKUP(($AJ70-$AI70-$AH70-$AG70-$AF70-$AE70*(1+CR$3))/$AJ70,'Технический лист'!$M:$N,2,1)-VLOOKUP($AO70,'Технический лист'!$M:$N,2,1)),1+(1-$AU70))</f>
        <v>1</v>
      </c>
      <c r="CS70" s="15">
        <f>MIN(IF($AU70=100%,1,1+VLOOKUP(($AJ70-$AI70-$AH70-$AG70-$AF70-$AE70*(1+CS$3))/$AJ70,'Технический лист'!$M:$N,2,1)-VLOOKUP($AO70,'Технический лист'!$M:$N,2,1)),1+(1-$AU70))</f>
        <v>1</v>
      </c>
      <c r="CT70" s="15">
        <f>MIN(IF($AU70=100%,1,1+VLOOKUP(($AJ70-$AI70-$AH70-$AG70-$AF70-$AE70*(1+CT$3))/$AJ70,'Технический лист'!$M:$N,2,1)-VLOOKUP($AO70,'Технический лист'!$M:$N,2,1)),1+(1-$AU70))</f>
        <v>1</v>
      </c>
      <c r="CU70" s="15">
        <f>MIN(IF($AU70=100%,1,1+VLOOKUP(($AJ70-$AI70-$AH70-$AG70-$AF70-$AE70*(1+CU$3))/$AJ70,'Технический лист'!$M:$N,2,1)-VLOOKUP($AO70,'Технический лист'!$M:$N,2,1)),1+(1-$AU70))</f>
        <v>1</v>
      </c>
      <c r="CV70" s="15">
        <f>MIN(IF($AU70=100%,1,1+VLOOKUP(($AJ70-$AI70-$AH70-$AG70-$AF70-$AE70*(1+CV$3))/$AJ70,'Технический лист'!$M:$N,2,1)-VLOOKUP($AO70,'Технический лист'!$M:$N,2,1)),1+(1-$AU70))</f>
        <v>1</v>
      </c>
      <c r="CW70" s="15">
        <f>MIN(IF($AU70=100%,1,1+VLOOKUP(($AJ70-$AI70-$AH70-$AG70-$AF70-$AE70*(1+CW$3))/$AJ70,'Технический лист'!$M:$N,2,1)-VLOOKUP($AO70,'Технический лист'!$M:$N,2,1)),1+(1-$AU70))</f>
        <v>1</v>
      </c>
      <c r="CX70" s="15">
        <f>MIN(IF($AU70=100%,1,1+VLOOKUP(($AJ70-$AI70-$AH70-$AG70-$AF70-$AE70*(1+CX$3))/$AJ70,'Технический лист'!$M:$N,2,1)-VLOOKUP($AO70,'Технический лист'!$M:$N,2,1)),1+(1-$AU70))</f>
        <v>1</v>
      </c>
      <c r="CY70" s="15">
        <f>MIN(IF($AU70=100%,1,1+VLOOKUP(($AJ70-$AI70-$AH70-$AG70-$AF70-$AE70*(1+CY$3))/$AJ70,'Технический лист'!$M:$N,2,1)-VLOOKUP($AO70,'Технический лист'!$M:$N,2,1)),1+(1-$AU70))</f>
        <v>1</v>
      </c>
      <c r="CZ70" s="15">
        <f>MIN(IF($AU70=100%,1,1+VLOOKUP(($AJ70-$AI70-$AH70-$AG70-$AF70-$AE70*(1+CZ$3))/$AJ70,'Технический лист'!$M:$N,2,1)-VLOOKUP($AO70,'Технический лист'!$M:$N,2,1)),1+(1-$AU70))</f>
        <v>1</v>
      </c>
      <c r="DA70" s="15">
        <f>MIN(IF($AU70=100%,1,1+VLOOKUP(($AJ70-$AI70-$AH70-$AG70-$AF70-$AE70*(1+DA$3))/$AJ70,'Технический лист'!$M:$N,2,1)-VLOOKUP($AO70,'Технический лист'!$M:$N,2,1)),1+(1-$AU70))</f>
        <v>1</v>
      </c>
      <c r="DB70" s="15">
        <f>MIN(IF($AU70=100%,1,1+VLOOKUP(($AJ70-$AI70-$AH70-$AG70-$AF70-$AE70*(1+DB$3))/$AJ70,'Технический лист'!$M:$N,2,1)-VLOOKUP($AO70,'Технический лист'!$M:$N,2,1)),1+(1-$AU70))</f>
        <v>1</v>
      </c>
      <c r="DC70" s="15">
        <f>MIN(IF($AU70=100%,1,1+VLOOKUP(($AJ70-$AI70-$AH70-$AG70-$AF70-$AE70*(1+DC$3))/$AJ70,'Технический лист'!$M:$N,2,1)-VLOOKUP($AO70,'Технический лист'!$M:$N,2,1)),1+(1-$AU70))</f>
        <v>1</v>
      </c>
      <c r="DD70" s="15">
        <f>MIN(IF($AU70=100%,1,1+VLOOKUP(($AJ70-$AI70-$AH70-$AG70-$AF70-$AE70*(1+DD$3))/$AJ70,'Технический лист'!$M:$N,2,1)-VLOOKUP($AO70,'Технический лист'!$M:$N,2,1)),1+(1-$AU70))</f>
        <v>1</v>
      </c>
      <c r="DE70" s="15">
        <f>MIN(IF($AU70=100%,1,1+VLOOKUP(($AJ70-$AI70-$AH70-$AG70-$AF70-$AE70*(1+DE$3))/$AJ70,'Технический лист'!$M:$N,2,1)-VLOOKUP($AO70,'Технический лист'!$M:$N,2,1)),1+(1-$AU70))</f>
        <v>1</v>
      </c>
      <c r="DF70" s="15">
        <f>MIN(IF($AU70=100%,1,1+VLOOKUP(($AJ70-$AI70-$AH70-$AG70-$AF70-$AE70*(1+DF$3))/$AJ70,'Технический лист'!$M:$N,2,1)-VLOOKUP($AO70,'Технический лист'!$M:$N,2,1)),1+(1-$AU70))</f>
        <v>1</v>
      </c>
      <c r="DG70" s="15">
        <f>MIN(IF($AU70=100%,1,1+VLOOKUP(($AJ70-$AI70-$AH70-$AG70-$AF70-$AE70*(1+DG$3))/$AJ70,'Технический лист'!$M:$N,2,1)-VLOOKUP($AO70,'Технический лист'!$M:$N,2,1)),1+(1-$AU70))</f>
        <v>1</v>
      </c>
      <c r="DH70" s="15">
        <f>MIN(IF($AU70=100%,1,1+VLOOKUP(($AJ70-$AI70-$AH70-$AG70-$AF70-$AE70*(1+DH$3))/$AJ70,'Технический лист'!$M:$N,2,1)-VLOOKUP($AO70,'Технический лист'!$M:$N,2,1)),1+(1-$AU70))</f>
        <v>1</v>
      </c>
      <c r="DI70" s="15">
        <f>MIN(IF($AU70=100%,1,1+VLOOKUP(($AJ70-$AI70-$AH70-$AG70-$AF70-$AE70*(1+DI$3))/$AJ70,'Технический лист'!$M:$N,2,1)-VLOOKUP($AO70,'Технический лист'!$M:$N,2,1)),1+(1-$AU70))</f>
        <v>1</v>
      </c>
      <c r="DJ70" s="15">
        <f>MIN(IF($AU70=100%,1,1+VLOOKUP(($AJ70-$AI70-$AH70-$AG70-$AF70-$AE70*(1+DJ$3))/$AJ70,'Технический лист'!$M:$N,2,1)-VLOOKUP($AO70,'Технический лист'!$M:$N,2,1)),1+(1-$AU70))</f>
        <v>1</v>
      </c>
      <c r="DK70" s="15">
        <f>MIN(IF($AU70=100%,1,1+VLOOKUP(($AJ70-$AI70-$AH70-$AG70-$AF70-$AE70*(1+DK$3))/$AJ70,'Технический лист'!$M:$N,2,1)-VLOOKUP($AO70,'Технический лист'!$M:$N,2,1)),1+(1-$AU70))</f>
        <v>1</v>
      </c>
      <c r="DL70" s="15">
        <f>MIN(IF($AU70=100%,1,1+VLOOKUP(($AJ70-$AI70-$AH70-$AG70-$AF70-$AE70*(1+DL$3))/$AJ70,'Технический лист'!$M:$N,2,1)-VLOOKUP($AO70,'Технический лист'!$M:$N,2,1)),1+(1-$AU70))</f>
        <v>1</v>
      </c>
      <c r="DM70" s="15">
        <f>MIN(IF($AU70=100%,1,1+VLOOKUP(($AJ70-$AI70-$AH70-$AG70-$AF70-$AE70*(1+DM$3))/$AJ70,'Технический лист'!$M:$N,2,1)-VLOOKUP($AO70,'Технический лист'!$M:$N,2,1)),1+(1-$AU70))</f>
        <v>1</v>
      </c>
      <c r="DN70" s="15">
        <f>MIN(IF($AU70=100%,1,1+VLOOKUP(($AJ70-$AI70-$AH70-$AG70-$AF70-$AE70*(1+DN$3))/$AJ70,'Технический лист'!$M:$N,2,1)-VLOOKUP($AO70,'Технический лист'!$M:$N,2,1)),1+(1-$AU70))</f>
        <v>1</v>
      </c>
      <c r="DO70" s="15">
        <f>MIN(IF($AU70=100%,1,1+VLOOKUP(($AJ70-$AI70-$AH70-$AG70-$AF70-$AE70*(1+DO$3))/$AJ70,'Технический лист'!$M:$N,2,1)-VLOOKUP($AO70,'Технический лист'!$M:$N,2,1)),1+(1-$AU70))</f>
        <v>1</v>
      </c>
      <c r="DP70" s="15">
        <f>MIN(IF($AU70=100%,1,1+VLOOKUP(($AJ70-$AI70-$AH70-$AG70-$AF70-$AE70*(1+DP$3))/$AJ70,'Технический лист'!$M:$N,2,1)-VLOOKUP($AO70,'Технический лист'!$M:$N,2,1)),1+(1-$AU70))</f>
        <v>1</v>
      </c>
      <c r="DQ70" s="15">
        <f>MIN(IF($AU70=100%,1,1+VLOOKUP(($AJ70-$AI70-$AH70-$AG70-$AF70-$AE70*(1+DQ$3))/$AJ70,'Технический лист'!$M:$N,2,1)-VLOOKUP($AO70,'Технический лист'!$M:$N,2,1)),1+(1-$AU70))</f>
        <v>1</v>
      </c>
      <c r="DR70" s="15">
        <f>MIN(IF($AU70=100%,1,1+VLOOKUP(($AJ70-$AI70-$AH70-$AG70-$AF70-$AE70*(1+DR$3))/$AJ70,'Технический лист'!$M:$N,2,1)-VLOOKUP($AO70,'Технический лист'!$M:$N,2,1)),1+(1-$AU70))</f>
        <v>1</v>
      </c>
      <c r="DS70" s="15">
        <f>MIN(IF($AU70=100%,1,1+VLOOKUP(($AJ70-$AI70-$AH70-$AG70-$AF70-$AE70*(1+DS$3))/$AJ70,'Технический лист'!$M:$N,2,1)-VLOOKUP($AO70,'Технический лист'!$M:$N,2,1)),1+(1-$AU70))</f>
        <v>1</v>
      </c>
      <c r="DT70" s="15">
        <f>MIN(IF($AU70=100%,1,1+VLOOKUP(($AJ70-$AI70-$AH70-$AG70-$AF70-$AE70*(1+DT$3))/$AJ70,'Технический лист'!$M:$N,2,1)-VLOOKUP($AO70,'Технический лист'!$M:$N,2,1)),1+(1-$AU70))</f>
        <v>1</v>
      </c>
      <c r="DU70" s="15">
        <f>MIN(IF($AU70=100%,1,1+VLOOKUP(($AJ70-$AI70-$AH70-$AG70-$AF70-$AE70*(1+DU$3))/$AJ70,'Технический лист'!$M:$N,2,1)-VLOOKUP($AO70,'Технический лист'!$M:$N,2,1)),1+(1-$AU70))</f>
        <v>1</v>
      </c>
      <c r="DV70" s="15">
        <f>MIN(IF($AU70=100%,1,1+VLOOKUP(($AJ70-$AI70-$AH70-$AG70-$AF70-$AE70*(1+DV$3))/$AJ70,'Технический лист'!$M:$N,2,1)-VLOOKUP($AO70,'Технический лист'!$M:$N,2,1)),1+(1-$AU70))</f>
        <v>1</v>
      </c>
      <c r="DW70" s="15">
        <f>MIN(IF($AU70=100%,1,1+VLOOKUP(($AJ70-$AI70-$AH70-$AG70-$AF70-$AE70*(1+DW$3))/$AJ70,'Технический лист'!$M:$N,2,1)-VLOOKUP($AO70,'Технический лист'!$M:$N,2,1)),1+(1-$AU70))</f>
        <v>1</v>
      </c>
      <c r="DX70" s="15">
        <f>MIN(IF($AU70=100%,1,1+VLOOKUP(($AJ70-$AI70-$AH70-$AG70-$AF70-$AE70*(1+DX$3))/$AJ70,'Технический лист'!$M:$N,2,1)-VLOOKUP($AO70,'Технический лист'!$M:$N,2,1)),1+(1-$AU70))</f>
        <v>1</v>
      </c>
      <c r="DY70" s="15">
        <f>MIN(IF($AU70=100%,1,1+VLOOKUP(($AJ70-$AI70-$AH70-$AG70-$AF70-$AE70*(1+DY$3))/$AJ70,'Технический лист'!$M:$N,2,1)-VLOOKUP($AO70,'Технический лист'!$M:$N,2,1)),1+(1-$AU70))</f>
        <v>1</v>
      </c>
      <c r="DZ70" s="15">
        <f>MIN(IF($AU70=100%,1,1+VLOOKUP(($AJ70-$AI70-$AH70-$AG70-$AF70-$AE70*(1+DZ$3))/$AJ70,'Технический лист'!$M:$N,2,1)-VLOOKUP($AO70,'Технический лист'!$M:$N,2,1)),1+(1-$AU70))</f>
        <v>1</v>
      </c>
      <c r="EA70" s="15">
        <f>MIN(IF($AU70=100%,1,1+VLOOKUP(($AJ70-$AI70-$AH70-$AG70-$AF70-$AE70*(1+EA$3))/$AJ70,'Технический лист'!$M:$N,2,1)-VLOOKUP($AO70,'Технический лист'!$M:$N,2,1)),1+(1-$AU70))</f>
        <v>1</v>
      </c>
      <c r="EB70" s="15">
        <f>MIN(IF($AU70=100%,1,1+VLOOKUP(($AJ70-$AI70-$AH70-$AG70-$AF70-$AE70*(1+EB$3))/$AJ70,'Технический лист'!$M:$N,2,1)-VLOOKUP($AO70,'Технический лист'!$M:$N,2,1)),1+(1-$AU70))</f>
        <v>1</v>
      </c>
      <c r="EC70" s="15">
        <f>MIN(IF($AU70=100%,1,1+VLOOKUP(($AJ70-$AI70-$AH70-$AG70-$AF70-$AE70*(1+EC$3))/$AJ70,'Технический лист'!$M:$N,2,1)-VLOOKUP($AO70,'Технический лист'!$M:$N,2,1)),1+(1-$AU70))</f>
        <v>1</v>
      </c>
      <c r="ED70" s="15">
        <f>MIN(IF($AU70=100%,1,1+VLOOKUP(($AJ70-$AI70-$AH70-$AG70-$AF70-$AE70*(1+ED$3))/$AJ70,'Технический лист'!$M:$N,2,1)-VLOOKUP($AO70,'Технический лист'!$M:$N,2,1)),1+(1-$AU70))</f>
        <v>1</v>
      </c>
      <c r="EE70" s="15">
        <f>MIN(IF($AU70=100%,1,1+VLOOKUP(($AJ70-$AI70-$AH70-$AG70-$AF70-$AE70*(1+EE$3))/$AJ70,'Технический лист'!$M:$N,2,1)-VLOOKUP($AO70,'Технический лист'!$M:$N,2,1)),1+(1-$AU70))</f>
        <v>1</v>
      </c>
      <c r="EF70" s="15">
        <f>MIN(IF($AU70=100%,1,1+VLOOKUP(($AJ70-$AI70-$AH70-$AG70-$AF70-$AE70*(1+EF$3))/$AJ70,'Технический лист'!$M:$N,2,1)-VLOOKUP($AO70,'Технический лист'!$M:$N,2,1)),1+(1-$AU70))</f>
        <v>1</v>
      </c>
      <c r="EG70" s="15">
        <f>MIN(IF($AU70=100%,1,1+VLOOKUP(($AJ70-$AI70-$AH70-$AG70-$AF70-$AE70*(1+EG$3))/$AJ70,'Технический лист'!$M:$N,2,1)-VLOOKUP($AO70,'Технический лист'!$M:$N,2,1)),1+(1-$AU70))</f>
        <v>1</v>
      </c>
      <c r="EH70" s="15">
        <f>MIN(IF($AU70=100%,1,1+VLOOKUP(($AJ70-$AI70-$AH70-$AG70-$AF70-$AE70*(1+EH$3))/$AJ70,'Технический лист'!$M:$N,2,1)-VLOOKUP($AO70,'Технический лист'!$M:$N,2,1)),1+(1-$AU70))</f>
        <v>1</v>
      </c>
      <c r="EI70" s="15">
        <f>MIN(IF($AU70=100%,1,1+VLOOKUP(($AJ70-$AI70-$AH70-$AG70-$AF70-$AE70*(1+EI$3))/$AJ70,'Технический лист'!$M:$N,2,1)-VLOOKUP($AO70,'Технический лист'!$M:$N,2,1)),1+(1-$AU70))</f>
        <v>1</v>
      </c>
      <c r="EJ70" s="15">
        <f>MIN(IF($AU70=100%,1,1+VLOOKUP(($AJ70-$AI70-$AH70-$AG70-$AF70-$AE70*(1+EJ$3))/$AJ70,'Технический лист'!$M:$N,2,1)-VLOOKUP($AO70,'Технический лист'!$M:$N,2,1)),1+(1-$AU70))</f>
        <v>1</v>
      </c>
      <c r="EK70" s="15">
        <f>MIN(IF($AU70=100%,1,1+VLOOKUP(($AJ70-$AI70-$AH70-$AG70-$AF70-$AE70*(1+EK$3))/$AJ70,'Технический лист'!$M:$N,2,1)-VLOOKUP($AO70,'Технический лист'!$M:$N,2,1)),1+(1-$AU70))</f>
        <v>1</v>
      </c>
      <c r="EL70" s="15">
        <f>MIN(IF($AU70=100%,1,1+VLOOKUP(($AJ70-$AI70-$AH70-$AG70-$AF70-$AE70*(1+EL$3))/$AJ70,'Технический лист'!$M:$N,2,1)-VLOOKUP($AO70,'Технический лист'!$M:$N,2,1)),1+(1-$AU70))</f>
        <v>1</v>
      </c>
      <c r="EM70" s="15">
        <f>MIN(IF($AU70=100%,1,1+VLOOKUP(($AJ70-$AI70-$AH70-$AG70-$AF70-$AE70*(1+EM$3))/$AJ70,'Технический лист'!$M:$N,2,1)-VLOOKUP($AO70,'Технический лист'!$M:$N,2,1)),1+(1-$AU70))</f>
        <v>1</v>
      </c>
      <c r="EN70" s="15">
        <f>MIN(IF($AU70=100%,1,1+VLOOKUP(($AJ70-$AI70-$AH70-$AG70-$AF70-$AE70*(1+EN$3))/$AJ70,'Технический лист'!$M:$N,2,1)-VLOOKUP($AO70,'Технический лист'!$M:$N,2,1)),1+(1-$AU70))</f>
        <v>1</v>
      </c>
      <c r="EO70" s="15">
        <f>MIN(IF($AU70=100%,1,1+VLOOKUP(($AJ70-$AI70-$AH70-$AG70-$AF70-$AE70*(1+EO$3))/$AJ70,'Технический лист'!$M:$N,2,1)-VLOOKUP($AO70,'Технический лист'!$M:$N,2,1)),1+(1-$AU70))</f>
        <v>1</v>
      </c>
      <c r="EP70" s="15">
        <f>MIN(IF($AU70=100%,1,1+VLOOKUP(($AJ70-$AI70-$AH70-$AG70-$AF70-$AE70*(1+EP$3))/$AJ70,'Технический лист'!$M:$N,2,1)-VLOOKUP($AO70,'Технический лист'!$M:$N,2,1)),1+(1-$AU70))</f>
        <v>1</v>
      </c>
      <c r="EQ70" s="15">
        <f>MIN(IF($AU70=100%,1,1+VLOOKUP(($AJ70-$AI70-$AH70-$AG70-$AF70-$AE70*(1+EQ$3))/$AJ70,'Технический лист'!$M:$N,2,1)-VLOOKUP($AO70,'Технический лист'!$M:$N,2,1)),1+(1-$AU70))</f>
        <v>1</v>
      </c>
      <c r="ER70" s="15">
        <f>MIN(IF($AU70=100%,1,1+VLOOKUP(($AJ70-$AI70-$AH70-$AG70-$AF70-$AE70*(1+ER$3))/$AJ70,'Технический лист'!$M:$N,2,1)-VLOOKUP($AO70,'Технический лист'!$M:$N,2,1)),1+(1-$AU70))</f>
        <v>1</v>
      </c>
      <c r="ES70" s="15">
        <f>MIN(IF($AU70=100%,1,1+VLOOKUP(($AJ70-$AI70-$AH70-$AG70-$AF70-$AE70*(1+ES$3))/$AJ70,'Технический лист'!$M:$N,2,1)-VLOOKUP($AO70,'Технический лист'!$M:$N,2,1)),1+(1-$AU70))</f>
        <v>1</v>
      </c>
      <c r="ET70" s="15">
        <f>MIN(IF($AU70=100%,1,1+VLOOKUP(($AJ70-$AI70-$AH70-$AG70-$AF70-$AE70*(1+ET$3))/$AJ70,'Технический лист'!$M:$N,2,1)-VLOOKUP($AO70,'Технический лист'!$M:$N,2,1)),1+(1-$AU70))</f>
        <v>1</v>
      </c>
      <c r="EU70" s="15">
        <f>MIN(IF($AU70=100%,1,1+VLOOKUP(($AJ70-$AI70-$AH70-$AG70-$AF70-$AE70*(1+EU$3))/$AJ70,'Технический лист'!$M:$N,2,1)-VLOOKUP($AO70,'Технический лист'!$M:$N,2,1)),1+(1-$AU70))</f>
        <v>1</v>
      </c>
      <c r="EV70" s="111">
        <v>1</v>
      </c>
      <c r="EW70" s="15">
        <f>MIN(1,MAX(VLOOKUP(($AJ70-$AI70-$AH70-$AG70-$AF70-$AE70*(1+EW$3))/$AJ70,'Технический лист'!$M:$N,2,1),(EV70-0.05)))</f>
        <v>1</v>
      </c>
      <c r="EX70" s="15">
        <f>MIN(1,MAX(VLOOKUP(($AJ70-$AI70-$AH70-$AG70-$AF70-$AE70*(1+EX$3))/$AJ70,'Технический лист'!$M:$N,2,1),(EW70-0.05)))</f>
        <v>1</v>
      </c>
      <c r="EY70" s="15">
        <f>MIN(1,MAX(VLOOKUP(($AJ70-$AI70-$AH70-$AG70-$AF70-$AE70*(1+EY$3))/$AJ70,'Технический лист'!$M:$N,2,1),(EX70-0.05)))</f>
        <v>1</v>
      </c>
      <c r="EZ70" s="15">
        <f>MIN(1,MAX(VLOOKUP(($AJ70-$AI70-$AH70-$AG70-$AF70-$AE70*(1+EZ$3))/$AJ70,'Технический лист'!$M:$N,2,1),(EY70-0.05)))</f>
        <v>1</v>
      </c>
      <c r="FA70" s="15">
        <f>MIN(1,MAX(VLOOKUP(($AJ70-$AI70-$AH70-$AG70-$AF70-$AE70*(1+FA$3))/$AJ70,'Технический лист'!$M:$N,2,1),(EZ70-0.05)))</f>
        <v>1</v>
      </c>
      <c r="FB70" s="15">
        <f>MIN(1,MAX(VLOOKUP(($AJ70-$AI70-$AH70-$AG70-$AF70-$AE70*(1+FB$3))/$AJ70,'Технический лист'!$M:$N,2,1),(FA70-0.05)))</f>
        <v>1</v>
      </c>
      <c r="FC70" s="15">
        <f>MIN(1,MAX(VLOOKUP(($AJ70-$AI70-$AH70-$AG70-$AF70-$AE70*(1+FC$3))/$AJ70,'Технический лист'!$M:$N,2,1),(FB70-0.05)))</f>
        <v>1</v>
      </c>
      <c r="FD70" s="15">
        <f>MIN(1,MAX(VLOOKUP(($AJ70-$AI70-$AH70-$AG70-$AF70-$AE70*(1+FD$3))/$AJ70,'Технический лист'!$M:$N,2,1),(FC70-0.05)))</f>
        <v>1</v>
      </c>
      <c r="FE70" s="15">
        <f>MIN(1,MAX(VLOOKUP(($AJ70-$AI70-$AH70-$AG70-$AF70-$AE70*(1+FE$3))/$AJ70,'Технический лист'!$M:$N,2,1),(FD70-0.05)))</f>
        <v>1</v>
      </c>
      <c r="FF70" s="15">
        <f>MIN(1,MAX(VLOOKUP(($AJ70-$AI70-$AH70-$AG70-$AF70-$AE70*(1+FF$3))/$AJ70,'Технический лист'!$M:$N,2,1),(FE70-0.05)))</f>
        <v>1</v>
      </c>
      <c r="FG70" s="15">
        <f>MIN(1,MAX(VLOOKUP(($AJ70-$AI70-$AH70-$AG70-$AF70-$AE70*(1+FG$3))/$AJ70,'Технический лист'!$M:$N,2,1),(FF70-0.05)))</f>
        <v>1</v>
      </c>
      <c r="FH70" s="15">
        <f>MIN(1,MAX(VLOOKUP(($AJ70-$AI70-$AH70-$AG70-$AF70-$AE70*(1+FH$3))/$AJ70,'Технический лист'!$M:$N,2,1),(FG70-0.05)))</f>
        <v>1</v>
      </c>
      <c r="FI70" s="15">
        <f>MIN(1,MAX(VLOOKUP(($AJ70-$AI70-$AH70-$AG70-$AF70-$AE70*(1+FI$3))/$AJ70,'Технический лист'!$M:$N,2,1),(FH70-0.05)))</f>
        <v>1</v>
      </c>
      <c r="FJ70" s="15">
        <f>MIN(1,MAX(VLOOKUP(($AJ70-$AI70-$AH70-$AG70-$AF70-$AE70*(1+FJ$3))/$AJ70,'Технический лист'!$M:$N,2,1),(FI70-0.05)))</f>
        <v>1</v>
      </c>
      <c r="FK70" s="15">
        <f>MIN(1,MAX(VLOOKUP(($AJ70-$AI70-$AH70-$AG70-$AF70-$AE70*(1+FK$3))/$AJ70,'Технический лист'!$M:$N,2,1),(FJ70-0.05)))</f>
        <v>1</v>
      </c>
      <c r="FL70" s="15">
        <f>MIN(1,MAX(VLOOKUP(($AJ70-$AI70-$AH70-$AG70-$AF70-$AE70*(1+FL$3))/$AJ70,'Технический лист'!$M:$N,2,1),(FK70-0.05)))</f>
        <v>1</v>
      </c>
      <c r="FM70" s="15">
        <f>MIN(1,MAX(VLOOKUP(($AJ70-$AI70-$AH70-$AG70-$AF70-$AE70*(1+FM$3))/$AJ70,'Технический лист'!$M:$N,2,1),(FL70-0.05)))</f>
        <v>1</v>
      </c>
      <c r="FN70" s="15">
        <f>MIN(1,MAX(VLOOKUP(($AJ70-$AI70-$AH70-$AG70-$AF70-$AE70*(1+FN$3))/$AJ70,'Технический лист'!$M:$N,2,1),(FM70-0.05)))</f>
        <v>1</v>
      </c>
      <c r="FO70" s="15">
        <f>MIN(1,MAX(VLOOKUP(($AJ70-$AI70-$AH70-$AG70-$AF70-$AE70*(1+FO$3))/$AJ70,'Технический лист'!$M:$N,2,1),(FN70-0.05)))</f>
        <v>1</v>
      </c>
      <c r="FP70" s="15">
        <f>MIN(1,MAX(VLOOKUP(($AJ70-$AI70-$AH70-$AG70-$AF70-$AE70*(1+FP$3))/$AJ70,'Технический лист'!$M:$N,2,1),(FO70-0.05)))</f>
        <v>1</v>
      </c>
      <c r="FQ70" s="15">
        <f>MIN(1,MAX(VLOOKUP(($AJ70-$AI70-$AH70-$AG70-$AF70-$AE70*(1+FQ$3))/$AJ70,'Технический лист'!$M:$N,2,1),(FP70-0.05)))</f>
        <v>1</v>
      </c>
      <c r="FR70" s="15">
        <f>MIN(1,MAX(VLOOKUP(($AJ70-$AI70-$AH70-$AG70-$AF70-$AE70*(1+FR$3))/$AJ70,'Технический лист'!$M:$N,2,1),(FQ70-0.05)))</f>
        <v>1</v>
      </c>
      <c r="FS70" s="15">
        <f>MIN(1,MAX(VLOOKUP(($AJ70-$AI70-$AH70-$AG70-$AF70-$AE70*(1+FS$3))/$AJ70,'Технический лист'!$M:$N,2,1),(FR70-0.05)))</f>
        <v>1</v>
      </c>
      <c r="FT70" s="15">
        <f>MIN(1,MAX(VLOOKUP(($AJ70-$AI70-$AH70-$AG70-$AF70-$AE70*(1+FT$3))/$AJ70,'Технический лист'!$M:$N,2,1),(FS70-0.05)))</f>
        <v>1</v>
      </c>
      <c r="FU70" s="15">
        <f>MIN(1,MAX(VLOOKUP(($AJ70-$AI70-$AH70-$AG70-$AF70-$AE70*(1+FU$3))/$AJ70,'Технический лист'!$M:$N,2,1),(FT70-0.05)))</f>
        <v>1</v>
      </c>
      <c r="FV70" s="15">
        <f>MIN(1,MAX(VLOOKUP(($AJ70-$AI70-$AH70-$AG70-$AF70-$AE70*(1+FV$3))/$AJ70,'Технический лист'!$M:$N,2,1),(FU70-0.05)))</f>
        <v>1</v>
      </c>
      <c r="FW70" s="15">
        <f>MIN(1,MAX(VLOOKUP(($AJ70-$AI70-$AH70-$AG70-$AF70-$AE70*(1+FW$3))/$AJ70,'Технический лист'!$M:$N,2,1),(FV70-0.05)))</f>
        <v>1</v>
      </c>
      <c r="FX70" s="15">
        <f>MIN(1,MAX(VLOOKUP(($AJ70-$AI70-$AH70-$AG70-$AF70-$AE70*(1+FX$3))/$AJ70,'Технический лист'!$M:$N,2,1),(FW70-0.05)))</f>
        <v>1</v>
      </c>
      <c r="FY70" s="15">
        <f>MIN(1,MAX(VLOOKUP(($AJ70-$AI70-$AH70-$AG70-$AF70-$AE70*(1+FY$3))/$AJ70,'Технический лист'!$M:$N,2,1),(FX70-0.05)))</f>
        <v>1</v>
      </c>
      <c r="FZ70" s="15">
        <f>MIN(1,MAX(VLOOKUP(($AJ70-$AI70-$AH70-$AG70-$AF70-$AE70*(1+FZ$3))/$AJ70,'Технический лист'!$M:$N,2,1),(FY70-0.05)))</f>
        <v>1</v>
      </c>
      <c r="GA70" s="15">
        <f>MIN(1,MAX(VLOOKUP(($AJ70-$AI70-$AH70-$AG70-$AF70-$AE70*(1+GA$3))/$AJ70,'Технический лист'!$M:$N,2,1),(FZ70-0.05)))</f>
        <v>1</v>
      </c>
      <c r="GB70" s="15">
        <f>MIN(1,MAX(VLOOKUP(($AJ70-$AI70-$AH70-$AG70-$AF70-$AE70*(1+GB$3))/$AJ70,'Технический лист'!$M:$N,2,1),(GA70-0.05)))</f>
        <v>1</v>
      </c>
      <c r="GC70" s="15">
        <f>MIN(1,MAX(VLOOKUP(($AJ70-$AI70-$AH70-$AG70-$AF70-$AE70*(1+GC$3))/$AJ70,'Технический лист'!$M:$N,2,1),(GB70-0.05)))</f>
        <v>1</v>
      </c>
      <c r="GD70" s="15">
        <f>MIN(1,MAX(VLOOKUP(($AJ70-$AI70-$AH70-$AG70-$AF70-$AE70*(1+GD$3))/$AJ70,'Технический лист'!$M:$N,2,1),(GC70-0.05)))</f>
        <v>1</v>
      </c>
      <c r="GE70" s="15">
        <f>MIN(1,MAX(VLOOKUP(($AJ70-$AI70-$AH70-$AG70-$AF70-$AE70*(1+GE$3))/$AJ70,'Технический лист'!$M:$N,2,1),(GD70-0.05)))</f>
        <v>1</v>
      </c>
      <c r="GF70" s="15">
        <f>MIN(1,MAX(VLOOKUP(($AJ70-$AI70-$AH70-$AG70-$AF70-$AE70*(1+GF$3))/$AJ70,'Технический лист'!$M:$N,2,1),(GE70-0.05)))</f>
        <v>1</v>
      </c>
      <c r="GG70" s="15">
        <f>MIN(1,MAX(VLOOKUP(($AJ70-$AI70-$AH70-$AG70-$AF70-$AE70*(1+GG$3))/$AJ70,'Технический лист'!$M:$N,2,1),(GF70-0.05)))</f>
        <v>1</v>
      </c>
      <c r="GH70" s="15">
        <f>MIN(1,MAX(VLOOKUP(($AJ70-$AI70-$AH70-$AG70-$AF70-$AE70*(1+GH$3))/$AJ70,'Технический лист'!$M:$N,2,1),(GG70-0.05)))</f>
        <v>1</v>
      </c>
      <c r="GI70" s="15">
        <f>MIN(1,MAX(VLOOKUP(($AJ70-$AI70-$AH70-$AG70-$AF70-$AE70*(1+GI$3))/$AJ70,'Технический лист'!$M:$N,2,1),(GH70-0.05)))</f>
        <v>1</v>
      </c>
      <c r="GJ70" s="15">
        <f>MIN(1,MAX(VLOOKUP(($AJ70-$AI70-$AH70-$AG70-$AF70-$AE70*(1+GJ$3))/$AJ70,'Технический лист'!$M:$N,2,1),(GI70-0.05)))</f>
        <v>1</v>
      </c>
      <c r="GK70" s="15">
        <f>MIN(1,MAX(VLOOKUP(($AJ70-$AI70-$AH70-$AG70-$AF70-$AE70*(1+GK$3))/$AJ70,'Технический лист'!$M:$N,2,1),(GJ70-0.05)))</f>
        <v>1</v>
      </c>
      <c r="GL70" s="15">
        <f>MIN(1,MAX(VLOOKUP(($AJ70-$AI70-$AH70-$AG70-$AF70-$AE70*(1+GL$3))/$AJ70,'Технический лист'!$M:$N,2,1),(GK70-0.05)))</f>
        <v>1</v>
      </c>
      <c r="GM70" s="15">
        <f>MIN(1,MAX(VLOOKUP(($AJ70-$AI70-$AH70-$AG70-$AF70-$AE70*(1+GM$3))/$AJ70,'Технический лист'!$M:$N,2,1),(GL70-0.05)))</f>
        <v>1</v>
      </c>
      <c r="GN70" s="15">
        <f>MIN(1,MAX(VLOOKUP(($AJ70-$AI70-$AH70-$AG70-$AF70-$AE70*(1+GN$3))/$AJ70,'Технический лист'!$M:$N,2,1),(GM70-0.05)))</f>
        <v>1</v>
      </c>
      <c r="GO70" s="15">
        <f>MIN(1,MAX(VLOOKUP(($AJ70-$AI70-$AH70-$AG70-$AF70-$AE70*(1+GO$3))/$AJ70,'Технический лист'!$M:$N,2,1),(GN70-0.05)))</f>
        <v>1</v>
      </c>
      <c r="GP70" s="15">
        <f>MIN(1,MAX(VLOOKUP(($AJ70-$AI70-$AH70-$AG70-$AF70-$AE70*(1+GP$3))/$AJ70,'Технический лист'!$M:$N,2,1),(GO70-0.05)))</f>
        <v>1</v>
      </c>
      <c r="GQ70" s="15">
        <f>MIN(1,MAX(VLOOKUP(($AJ70-$AI70-$AH70-$AG70-$AF70-$AE70*(1+GQ$3))/$AJ70,'Технический лист'!$M:$N,2,1),(GP70-0.05)))</f>
        <v>1</v>
      </c>
      <c r="GR70" s="15">
        <f>MIN(1,MAX(VLOOKUP(($AJ70-$AI70-$AH70-$AG70-$AF70-$AE70*(1+GR$3))/$AJ70,'Технический лист'!$M:$N,2,1),(GQ70-0.05)))</f>
        <v>1</v>
      </c>
      <c r="GS70" s="15">
        <f>MIN(1,MAX(VLOOKUP(($AJ70-$AI70-$AH70-$AG70-$AF70-$AE70*(1+GS$3))/$AJ70,'Технический лист'!$M:$N,2,1),(GR70-0.05)))</f>
        <v>1</v>
      </c>
      <c r="GT70" s="15">
        <f>MIN(1,MAX(VLOOKUP(($AJ70-$AI70-$AH70-$AG70-$AF70-$AE70*(1+GT$3))/$AJ70,'Технический лист'!$M:$N,2,1),(GS70-0.05)))</f>
        <v>1</v>
      </c>
      <c r="GU70" s="15">
        <f>MIN(1,MAX(VLOOKUP(($AJ70-$AI70-$AH70-$AG70-$AF70-$AE70*(1+GU$3))/$AJ70,'Технический лист'!$M:$N,2,1),(GT70-0.05)))</f>
        <v>1</v>
      </c>
      <c r="GV70" s="15">
        <f>MIN(1,MAX(VLOOKUP(($AJ70-$AI70-$AH70-$AG70-$AF70-$AE70*(1+GV$3))/$AJ70,'Технический лист'!$M:$N,2,1),(GU70-0.05)))</f>
        <v>1</v>
      </c>
      <c r="GW70" s="15">
        <f>MIN(1,MAX(VLOOKUP(($AJ70-$AI70-$AH70-$AG70-$AF70-$AE70*(1+GW$3))/$AJ70,'Технический лист'!$M:$N,2,1),(GV70-0.05)))</f>
        <v>1</v>
      </c>
      <c r="GX70" s="15">
        <f>MIN(1,MAX(VLOOKUP(($AJ70-$AI70-$AH70-$AG70-$AF70-$AE70*(1+GX$3))/$AJ70,'Технический лист'!$M:$N,2,1),(GW70-0.05)))</f>
        <v>1</v>
      </c>
      <c r="GY70" s="15">
        <f>MIN(1,MAX(VLOOKUP(($AJ70-$AI70-$AH70-$AG70-$AF70-$AE70*(1+GY$3))/$AJ70,'Технический лист'!$M:$N,2,1),(GX70-0.05)))</f>
        <v>1</v>
      </c>
      <c r="GZ70" s="15">
        <f>MIN(1,MAX(VLOOKUP(($AJ70-$AI70-$AH70-$AG70-$AF70-$AE70*(1+GZ$3))/$AJ70,'Технический лист'!$M:$N,2,1),(GY70-0.05)))</f>
        <v>1</v>
      </c>
      <c r="HA70" s="15">
        <f>MIN(1,MAX(VLOOKUP(($AJ70-$AI70-$AH70-$AG70-$AF70-$AE70*(1+HA$3))/$AJ70,'Технический лист'!$M:$N,2,1),(GZ70-0.05)))</f>
        <v>1</v>
      </c>
      <c r="HB70" s="15">
        <f>MIN(1,MAX(VLOOKUP(($AJ70-$AI70-$AH70-$AG70-$AF70-$AE70*(1+HB$3))/$AJ70,'Технический лист'!$M:$N,2,1),(HA70-0.05)))</f>
        <v>1</v>
      </c>
      <c r="HC70" s="15">
        <f>MIN(1,MAX(VLOOKUP(($AJ70-$AI70-$AH70-$AG70-$AF70-$AE70*(1+HC$3))/$AJ70,'Технический лист'!$M:$N,2,1),(HB70-0.05)))</f>
        <v>1</v>
      </c>
      <c r="HD70" s="15">
        <f>MIN(1,MAX(VLOOKUP(($AJ70-$AI70-$AH70-$AG70-$AF70-$AE70*(1+HD$3))/$AJ70,'Технический лист'!$M:$N,2,1),(HC70-0.05)))</f>
        <v>1</v>
      </c>
      <c r="HE70" s="15">
        <f>MIN(1,MAX(VLOOKUP(($AJ70-$AI70-$AH70-$AG70-$AF70-$AE70*(1+HE$3))/$AJ70,'Технический лист'!$M:$N,2,1),(HD70-0.05)))</f>
        <v>1</v>
      </c>
      <c r="HF70" s="15">
        <f>MIN(1,MAX(VLOOKUP(($AJ70-$AI70-$AH70-$AG70-$AF70-$AE70*(1+HF$3))/$AJ70,'Технический лист'!$M:$N,2,1),(HE70-0.05)))</f>
        <v>1</v>
      </c>
      <c r="HG70" s="15">
        <f>MIN(1,MAX(VLOOKUP(($AJ70-$AI70-$AH70-$AG70-$AF70-$AE70*(1+HG$3))/$AJ70,'Технический лист'!$M:$N,2,1),(HF70-0.05)))</f>
        <v>1</v>
      </c>
      <c r="HH70" s="15">
        <f>MIN(1,MAX(VLOOKUP(($AJ70-$AI70-$AH70-$AG70-$AF70-$AE70*(1+HH$3))/$AJ70,'Технический лист'!$M:$N,2,1),(HG70-0.05)))</f>
        <v>1</v>
      </c>
      <c r="HI70" s="15">
        <f>MIN(1,MAX(VLOOKUP(($AJ70-$AI70-$AH70-$AG70-$AF70-$AE70*(1+HI$3))/$AJ70,'Технический лист'!$M:$N,2,1),(HH70-0.05)))</f>
        <v>1</v>
      </c>
      <c r="HJ70" s="15">
        <f>MIN(1,MAX(VLOOKUP(($AJ70-$AI70-$AH70-$AG70-$AF70-$AE70*(1+HJ$3))/$AJ70,'Технический лист'!$M:$N,2,1),(HI70-0.05)))</f>
        <v>1</v>
      </c>
      <c r="HK70" s="15">
        <f>MIN(1,MAX(VLOOKUP(($AJ70-$AI70-$AH70-$AG70-$AF70-$AE70*(1+HK$3))/$AJ70,'Технический лист'!$M:$N,2,1),(HJ70-0.05)))</f>
        <v>1</v>
      </c>
      <c r="HL70" s="15">
        <f>MIN(1,MAX(VLOOKUP(($AJ70-$AI70-$AH70-$AG70-$AF70-$AE70*(1+HL$3))/$AJ70,'Технический лист'!$M:$N,2,1),(HK70-0.05)))</f>
        <v>1</v>
      </c>
      <c r="HM70" s="15">
        <f>MIN(1,MAX(VLOOKUP(($AJ70-$AI70-$AH70-$AG70-$AF70-$AE70*(1+HM$3))/$AJ70,'Технический лист'!$M:$N,2,1),(HL70-0.05)))</f>
        <v>1</v>
      </c>
      <c r="HN70" s="15">
        <f>MIN(1,MAX(VLOOKUP(($AJ70-$AI70-$AH70-$AG70-$AF70-$AE70*(1+HN$3))/$AJ70,'Технический лист'!$M:$N,2,1),(HM70-0.05)))</f>
        <v>1</v>
      </c>
      <c r="HO70" s="15">
        <f>MIN(1,MAX(VLOOKUP(($AJ70-$AI70-$AH70-$AG70-$AF70-$AE70*(1+HO$3))/$AJ70,'Технический лист'!$M:$N,2,1),(HN70-0.05)))</f>
        <v>1</v>
      </c>
      <c r="HP70" s="15">
        <f>MIN(1,MAX(VLOOKUP(($AJ70-$AI70-$AH70-$AG70-$AF70-$AE70*(1+HP$3))/$AJ70,'Технический лист'!$M:$N,2,1),(HO70-0.05)))</f>
        <v>1</v>
      </c>
      <c r="HQ70" s="15">
        <f>MIN(1,MAX(VLOOKUP(($AJ70-$AI70-$AH70-$AG70-$AF70-$AE70*(1+HQ$3))/$AJ70,'Технический лист'!$M:$N,2,1),(HP70-0.05)))</f>
        <v>1</v>
      </c>
      <c r="HR70" s="15">
        <f>MIN(1,MAX(VLOOKUP(($AJ70-$AI70-$AH70-$AG70-$AF70-$AE70*(1+HR$3))/$AJ70,'Технический лист'!$M:$N,2,1),(HQ70-0.05)))</f>
        <v>1</v>
      </c>
      <c r="HS70" s="15">
        <f>MIN(1,MAX(VLOOKUP(($AJ70-$AI70-$AH70-$AG70-$AF70-$AE70*(1+HS$3))/$AJ70,'Технический лист'!$M:$N,2,1),(HR70-0.05)))</f>
        <v>1</v>
      </c>
      <c r="HT70" s="15">
        <f>MIN(1,MAX(VLOOKUP(($AJ70-$AI70-$AH70-$AG70-$AF70-$AE70*(1+HT$3))/$AJ70,'Технический лист'!$M:$N,2,1),(HS70-0.05)))</f>
        <v>1</v>
      </c>
      <c r="HU70" s="15">
        <f>MIN(1,MAX(VLOOKUP(($AJ70-$AI70-$AH70-$AG70-$AF70-$AE70*(1+HU$3))/$AJ70,'Технический лист'!$M:$N,2,1),(HT70-0.05)))</f>
        <v>1</v>
      </c>
      <c r="HV70" s="15">
        <f>MIN(1,MAX(VLOOKUP(($AJ70-$AI70-$AH70-$AG70-$AF70-$AE70*(1+HV$3))/$AJ70,'Технический лист'!$M:$N,2,1),(HU70-0.05)))</f>
        <v>1</v>
      </c>
      <c r="HW70" s="15">
        <f>MIN(1,MAX(VLOOKUP(($AJ70-$AI70-$AH70-$AG70-$AF70-$AE70*(1+HW$3))/$AJ70,'Технический лист'!$M:$N,2,1),(HV70-0.05)))</f>
        <v>1</v>
      </c>
      <c r="HX70" s="15">
        <f>MIN(1,MAX(VLOOKUP(($AJ70-$AI70-$AH70-$AG70-$AF70-$AE70*(1+HX$3))/$AJ70,'Технический лист'!$M:$N,2,1),(HW70-0.05)))</f>
        <v>1</v>
      </c>
      <c r="HY70" s="15">
        <f>MIN(1,MAX(VLOOKUP(($AJ70-$AI70-$AH70-$AG70-$AF70-$AE70*(1+HY$3))/$AJ70,'Технический лист'!$M:$N,2,1),(HX70-0.05)))</f>
        <v>1</v>
      </c>
      <c r="HZ70" s="15">
        <f>MIN(1,MAX(VLOOKUP(($AJ70-$AI70-$AH70-$AG70-$AF70-$AE70*(1+HZ$3))/$AJ70,'Технический лист'!$M:$N,2,1),(HY70-0.05)))</f>
        <v>1</v>
      </c>
      <c r="IA70" s="15">
        <f>MIN(1,MAX(VLOOKUP(($AJ70-$AI70-$AH70-$AG70-$AF70-$AE70*(1+IA$3))/$AJ70,'Технический лист'!$M:$N,2,1),(HZ70-0.05)))</f>
        <v>1</v>
      </c>
      <c r="IB70" s="15">
        <f>MIN(1,MAX(VLOOKUP(($AJ70-$AI70-$AH70-$AG70-$AF70-$AE70*(1+IB$3))/$AJ70,'Технический лист'!$M:$N,2,1),(IA70-0.05)))</f>
        <v>1</v>
      </c>
      <c r="IC70" s="15">
        <f>MIN(1,MAX(VLOOKUP(($AJ70-$AI70-$AH70-$AG70-$AF70-$AE70*(1+IC$3))/$AJ70,'Технический лист'!$M:$N,2,1),(IB70-0.05)))</f>
        <v>1</v>
      </c>
      <c r="ID70" s="15">
        <f>MIN(1,MAX(VLOOKUP(($AJ70-$AI70-$AH70-$AG70-$AF70-$AE70*(1+ID$3))/$AJ70,'Технический лист'!$M:$N,2,1),(IC70-0.05)))</f>
        <v>1</v>
      </c>
      <c r="IE70" s="15">
        <f>MIN(1,MAX(VLOOKUP(($AJ70-$AI70-$AH70-$AG70-$AF70-$AE70*(1+IE$3))/$AJ70,'Технический лист'!$M:$N,2,1),(ID70-0.05)))</f>
        <v>1</v>
      </c>
      <c r="IF70" s="15">
        <f>MIN(1,MAX(VLOOKUP(($AJ70-$AI70-$AH70-$AG70-$AF70-$AE70*(1+IF$3))/$AJ70,'Технический лист'!$M:$N,2,1),(IE70-0.05)))</f>
        <v>1</v>
      </c>
      <c r="IG70" s="15">
        <f>MIN(1,MAX(VLOOKUP(($AJ70-$AI70-$AH70-$AG70-$AF70-$AE70*(1+IG$3))/$AJ70,'Технический лист'!$M:$N,2,1),(IF70-0.05)))</f>
        <v>1</v>
      </c>
      <c r="IH70" s="15">
        <f>MIN(1,MAX(VLOOKUP(($AJ70-$AI70-$AH70-$AG70-$AF70-$AE70*(1+IH$3))/$AJ70,'Технический лист'!$M:$N,2,1),(IG70-0.05)))</f>
        <v>1</v>
      </c>
      <c r="II70" s="15">
        <f>MIN(1,MAX(VLOOKUP(($AJ70-$AI70-$AH70-$AG70-$AF70-$AE70*(1+II$3))/$AJ70,'Технический лист'!$M:$N,2,1),(IH70-0.05)))</f>
        <v>1</v>
      </c>
      <c r="IJ70" s="15">
        <f>MIN(1,MAX(VLOOKUP(($AJ70-$AI70-$AH70-$AG70-$AF70-$AE70*(1+IJ$3))/$AJ70,'Технический лист'!$M:$N,2,1),(II70-0.05)))</f>
        <v>1</v>
      </c>
      <c r="IK70" s="15">
        <f>MIN(1,MAX(VLOOKUP(($AJ70-$AI70-$AH70-$AG70-$AF70-$AE70*(1+IK$3))/$AJ70,'Технический лист'!$M:$N,2,1),(IJ70-0.05)))</f>
        <v>1</v>
      </c>
      <c r="IL70" s="15">
        <f>MIN(1,MAX(VLOOKUP(($AJ70-$AI70-$AH70-$AG70-$AF70-$AE70*(1+IL$3))/$AJ70,'Технический лист'!$M:$N,2,1),(IK70-0.05)))</f>
        <v>1</v>
      </c>
      <c r="IM70" s="15">
        <f>MIN(1,MAX(VLOOKUP(($AJ70-$AI70-$AH70-$AG70-$AF70-$AE70*(1+IM$3))/$AJ70,'Технический лист'!$M:$N,2,1),(IL70-0.05)))</f>
        <v>1</v>
      </c>
      <c r="IN70" s="15">
        <f>MIN(1,MAX(VLOOKUP(($AJ70-$AI70-$AH70-$AG70-$AF70-$AE70*(1+IN$3))/$AJ70,'Технический лист'!$M:$N,2,1),(IM70-0.05)))</f>
        <v>1</v>
      </c>
      <c r="IO70" s="15">
        <f>MIN(1,MAX(VLOOKUP(($AJ70-$AI70-$AH70-$AG70-$AF70-$AE70*(1+IO$3))/$AJ70,'Технический лист'!$M:$N,2,1),(IN70-0.05)))</f>
        <v>1</v>
      </c>
      <c r="IP70" s="15">
        <f>MIN(1,MAX(VLOOKUP(($AJ70-$AI70-$AH70-$AG70-$AF70-$AE70*(1+IP$3))/$AJ70,'Технический лист'!$M:$N,2,1),(IO70-0.05)))</f>
        <v>1</v>
      </c>
      <c r="IQ70" s="15">
        <f>MIN(1,MAX(VLOOKUP(($AJ70-$AI70-$AH70-$AG70-$AF70-$AE70*(1+IQ$3))/$AJ70,'Технический лист'!$M:$N,2,1),(IP70-0.05)))</f>
        <v>1</v>
      </c>
      <c r="IR70" s="15">
        <f>MIN(1,MAX(VLOOKUP(($AJ70-$AI70-$AH70-$AG70-$AF70-$AE70*(1+IR$3))/$AJ70,'Технический лист'!$M:$N,2,1),(IQ70-0.05)))</f>
        <v>1</v>
      </c>
    </row>
    <row r="71" spans="1:252" s="4" customFormat="1" ht="29.15">
      <c r="A71" s="89" t="s">
        <v>512</v>
      </c>
      <c r="B71" s="76">
        <v>4</v>
      </c>
      <c r="C71" s="3" t="s">
        <v>67</v>
      </c>
      <c r="D71" s="77">
        <v>15116</v>
      </c>
      <c r="E71" s="77" t="s">
        <v>395</v>
      </c>
      <c r="F71" s="77" t="s">
        <v>390</v>
      </c>
      <c r="G71" s="77" t="s">
        <v>31</v>
      </c>
      <c r="H71" s="77" t="s">
        <v>31</v>
      </c>
      <c r="I71" s="77" t="s">
        <v>369</v>
      </c>
      <c r="J71" s="77" t="s">
        <v>375</v>
      </c>
      <c r="K71" s="77">
        <v>352</v>
      </c>
      <c r="L71" s="77" t="s">
        <v>64</v>
      </c>
      <c r="M71" s="91" t="s">
        <v>190</v>
      </c>
      <c r="N71" s="77" t="s">
        <v>191</v>
      </c>
      <c r="O71" s="77" t="s">
        <v>192</v>
      </c>
      <c r="P71" s="79" t="s">
        <v>384</v>
      </c>
      <c r="Q71" s="77" t="s">
        <v>260</v>
      </c>
      <c r="R71" s="77" t="s">
        <v>260</v>
      </c>
      <c r="S71" s="80">
        <v>285328</v>
      </c>
      <c r="T71" s="80">
        <v>100435883</v>
      </c>
      <c r="U71" s="81">
        <v>4148</v>
      </c>
      <c r="V71" s="81">
        <v>0</v>
      </c>
      <c r="W71" s="82">
        <v>275485045</v>
      </c>
      <c r="X71" s="112">
        <v>69</v>
      </c>
      <c r="Y71" s="112" t="s">
        <v>417</v>
      </c>
      <c r="Z71" s="113">
        <v>5</v>
      </c>
      <c r="AA71" s="113">
        <v>4</v>
      </c>
      <c r="AB71" s="113">
        <v>4</v>
      </c>
      <c r="AC71" s="99">
        <v>1057.01</v>
      </c>
      <c r="AD71" s="99">
        <f>AE71-AC71</f>
        <v>115.47000000000003</v>
      </c>
      <c r="AE71" s="99">
        <v>1172.48</v>
      </c>
      <c r="AF71" s="98">
        <f>(Z71+AA71+AB71)*'Ставки аренды'!$B$3/X71</f>
        <v>131.8840579710145</v>
      </c>
      <c r="AG71" s="114">
        <v>0</v>
      </c>
      <c r="AH71" s="94">
        <v>0</v>
      </c>
      <c r="AI71" s="115">
        <f>AJ71*0.35</f>
        <v>53413.85</v>
      </c>
      <c r="AJ71" s="117">
        <f>Цены!C30*'Курсы валют'!B2</f>
        <v>152611</v>
      </c>
      <c r="AK71" s="94">
        <f>AJ71/Цены!$B$1</f>
        <v>2000.0000000000002</v>
      </c>
      <c r="AL71" s="95">
        <f t="shared" si="24"/>
        <v>1304.3640579710145</v>
      </c>
      <c r="AM71" s="95">
        <f t="shared" si="25"/>
        <v>151306.63594202898</v>
      </c>
      <c r="AN71" s="94">
        <f t="shared" si="22"/>
        <v>54718.214057971018</v>
      </c>
      <c r="AO71" s="118">
        <f t="shared" si="23"/>
        <v>0.64145301414726974</v>
      </c>
      <c r="AP71" s="96">
        <f t="shared" si="26"/>
        <v>8.5469858527302389E-3</v>
      </c>
      <c r="AQ71" s="96">
        <f t="shared" si="27"/>
        <v>7.6828013708055126E-3</v>
      </c>
      <c r="AR71" s="96">
        <f t="shared" si="28"/>
        <v>0.89889014714483551</v>
      </c>
      <c r="AS71" s="122">
        <v>1</v>
      </c>
      <c r="AT71" s="121">
        <f t="shared" si="29"/>
        <v>285328</v>
      </c>
      <c r="AU71" s="83">
        <v>1</v>
      </c>
      <c r="AV71" s="119">
        <f t="shared" si="30"/>
        <v>0.64053107798277309</v>
      </c>
      <c r="AW71" s="120">
        <f t="shared" si="31"/>
        <v>9.4689220172269016E-3</v>
      </c>
      <c r="AX71" s="120">
        <f t="shared" si="32"/>
        <v>8.6047375353021753E-3</v>
      </c>
      <c r="AY71" s="120">
        <f t="shared" si="33"/>
        <v>0.90873465001058118</v>
      </c>
      <c r="AZ71" s="15">
        <f>MIN(IF($AU71=100%,1,1+VLOOKUP(($AJ71-$AI71-$AH71-$AG71-$AF71-$AE71*(1+AZ$3))/$AJ71,'Технический лист'!$M:$N,2,1)-VLOOKUP($AO71,'Технический лист'!$M:$N,2,1)),1+(1-$AU71))</f>
        <v>1</v>
      </c>
      <c r="BA71" s="15">
        <f>MIN(IF($AU71=100%,1,1+VLOOKUP(($AJ71-$AI71-$AH71-$AG71-$AF71-$AE71*(1+BA$3))/$AJ71,'Технический лист'!$M:$N,2,1)-VLOOKUP($AO71,'Технический лист'!$M:$N,2,1)),1+(1-$AU71))</f>
        <v>1</v>
      </c>
      <c r="BB71" s="15">
        <f>MIN(IF($AU71=100%,1,1+VLOOKUP(($AJ71-$AI71-$AH71-$AG71-$AF71-$AE71*(1+BB$3))/$AJ71,'Технический лист'!$M:$N,2,1)-VLOOKUP($AO71,'Технический лист'!$M:$N,2,1)),1+(1-$AU71))</f>
        <v>1</v>
      </c>
      <c r="BC71" s="15">
        <f>MIN(IF($AU71=100%,1,1+VLOOKUP(($AJ71-$AI71-$AH71-$AG71-$AF71-$AE71*(1+BC$3))/$AJ71,'Технический лист'!$M:$N,2,1)-VLOOKUP($AO71,'Технический лист'!$M:$N,2,1)),1+(1-$AU71))</f>
        <v>1</v>
      </c>
      <c r="BD71" s="15">
        <f>MIN(IF($AU71=100%,1,1+VLOOKUP(($AJ71-$AI71-$AH71-$AG71-$AF71-$AE71*(1+BD$3))/$AJ71,'Технический лист'!$M:$N,2,1)-VLOOKUP($AO71,'Технический лист'!$M:$N,2,1)),1+(1-$AU71))</f>
        <v>1</v>
      </c>
      <c r="BE71" s="15">
        <f>MIN(IF($AU71=100%,1,1+VLOOKUP(($AJ71-$AI71-$AH71-$AG71-$AF71-$AE71*(1+BE$3))/$AJ71,'Технический лист'!$M:$N,2,1)-VLOOKUP($AO71,'Технический лист'!$M:$N,2,1)),1+(1-$AU71))</f>
        <v>1</v>
      </c>
      <c r="BF71" s="15">
        <f>MIN(IF($AU71=100%,1,1+VLOOKUP(($AJ71-$AI71-$AH71-$AG71-$AF71-$AE71*(1+BF$3))/$AJ71,'Технический лист'!$M:$N,2,1)-VLOOKUP($AO71,'Технический лист'!$M:$N,2,1)),1+(1-$AU71))</f>
        <v>1</v>
      </c>
      <c r="BG71" s="15">
        <f>MIN(IF($AU71=100%,1,1+VLOOKUP(($AJ71-$AI71-$AH71-$AG71-$AF71-$AE71*(1+BG$3))/$AJ71,'Технический лист'!$M:$N,2,1)-VLOOKUP($AO71,'Технический лист'!$M:$N,2,1)),1+(1-$AU71))</f>
        <v>1</v>
      </c>
      <c r="BH71" s="15">
        <f>MIN(IF($AU71=100%,1,1+VLOOKUP(($AJ71-$AI71-$AH71-$AG71-$AF71-$AE71*(1+BH$3))/$AJ71,'Технический лист'!$M:$N,2,1)-VLOOKUP($AO71,'Технический лист'!$M:$N,2,1)),1+(1-$AU71))</f>
        <v>1</v>
      </c>
      <c r="BI71" s="15">
        <f>MIN(IF($AU71=100%,1,1+VLOOKUP(($AJ71-$AI71-$AH71-$AG71-$AF71-$AE71*(1+BI$3))/$AJ71,'Технический лист'!$M:$N,2,1)-VLOOKUP($AO71,'Технический лист'!$M:$N,2,1)),1+(1-$AU71))</f>
        <v>1</v>
      </c>
      <c r="BJ71" s="15">
        <f>MIN(IF($AU71=100%,1,1+VLOOKUP(($AJ71-$AI71-$AH71-$AG71-$AF71-$AE71*(1+BJ$3))/$AJ71,'Технический лист'!$M:$N,2,1)-VLOOKUP($AO71,'Технический лист'!$M:$N,2,1)),1+(1-$AU71))</f>
        <v>1</v>
      </c>
      <c r="BK71" s="15">
        <f>MIN(IF($AU71=100%,1,1+VLOOKUP(($AJ71-$AI71-$AH71-$AG71-$AF71-$AE71*(1+BK$3))/$AJ71,'Технический лист'!$M:$N,2,1)-VLOOKUP($AO71,'Технический лист'!$M:$N,2,1)),1+(1-$AU71))</f>
        <v>1</v>
      </c>
      <c r="BL71" s="15">
        <f>MIN(IF($AU71=100%,1,1+VLOOKUP(($AJ71-$AI71-$AH71-$AG71-$AF71-$AE71*(1+BL$3))/$AJ71,'Технический лист'!$M:$N,2,1)-VLOOKUP($AO71,'Технический лист'!$M:$N,2,1)),1+(1-$AU71))</f>
        <v>1</v>
      </c>
      <c r="BM71" s="15">
        <f>MIN(IF($AU71=100%,1,1+VLOOKUP(($AJ71-$AI71-$AH71-$AG71-$AF71-$AE71*(1+BM$3))/$AJ71,'Технический лист'!$M:$N,2,1)-VLOOKUP($AO71,'Технический лист'!$M:$N,2,1)),1+(1-$AU71))</f>
        <v>1</v>
      </c>
      <c r="BN71" s="15">
        <f>MIN(IF($AU71=100%,1,1+VLOOKUP(($AJ71-$AI71-$AH71-$AG71-$AF71-$AE71*(1+BN$3))/$AJ71,'Технический лист'!$M:$N,2,1)-VLOOKUP($AO71,'Технический лист'!$M:$N,2,1)),1+(1-$AU71))</f>
        <v>1</v>
      </c>
      <c r="BO71" s="15">
        <f>MIN(IF($AU71=100%,1,1+VLOOKUP(($AJ71-$AI71-$AH71-$AG71-$AF71-$AE71*(1+BO$3))/$AJ71,'Технический лист'!$M:$N,2,1)-VLOOKUP($AO71,'Технический лист'!$M:$N,2,1)),1+(1-$AU71))</f>
        <v>1</v>
      </c>
      <c r="BP71" s="15">
        <f>MIN(IF($AU71=100%,1,1+VLOOKUP(($AJ71-$AI71-$AH71-$AG71-$AF71-$AE71*(1+BP$3))/$AJ71,'Технический лист'!$M:$N,2,1)-VLOOKUP($AO71,'Технический лист'!$M:$N,2,1)),1+(1-$AU71))</f>
        <v>1</v>
      </c>
      <c r="BQ71" s="15">
        <f>MIN(IF($AU71=100%,1,1+VLOOKUP(($AJ71-$AI71-$AH71-$AG71-$AF71-$AE71*(1+BQ$3))/$AJ71,'Технический лист'!$M:$N,2,1)-VLOOKUP($AO71,'Технический лист'!$M:$N,2,1)),1+(1-$AU71))</f>
        <v>1</v>
      </c>
      <c r="BR71" s="15">
        <f>MIN(IF($AU71=100%,1,1+VLOOKUP(($AJ71-$AI71-$AH71-$AG71-$AF71-$AE71*(1+BR$3))/$AJ71,'Технический лист'!$M:$N,2,1)-VLOOKUP($AO71,'Технический лист'!$M:$N,2,1)),1+(1-$AU71))</f>
        <v>1</v>
      </c>
      <c r="BS71" s="15">
        <f>MIN(IF($AU71=100%,1,1+VLOOKUP(($AJ71-$AI71-$AH71-$AG71-$AF71-$AE71*(1+BS$3))/$AJ71,'Технический лист'!$M:$N,2,1)-VLOOKUP($AO71,'Технический лист'!$M:$N,2,1)),1+(1-$AU71))</f>
        <v>1</v>
      </c>
      <c r="BT71" s="15">
        <f>MIN(IF($AU71=100%,1,1+VLOOKUP(($AJ71-$AI71-$AH71-$AG71-$AF71-$AE71*(1+BT$3))/$AJ71,'Технический лист'!$M:$N,2,1)-VLOOKUP($AO71,'Технический лист'!$M:$N,2,1)),1+(1-$AU71))</f>
        <v>1</v>
      </c>
      <c r="BU71" s="15">
        <f>MIN(IF($AU71=100%,1,1+VLOOKUP(($AJ71-$AI71-$AH71-$AG71-$AF71-$AE71*(1+BU$3))/$AJ71,'Технический лист'!$M:$N,2,1)-VLOOKUP($AO71,'Технический лист'!$M:$N,2,1)),1+(1-$AU71))</f>
        <v>1</v>
      </c>
      <c r="BV71" s="15">
        <f>MIN(IF($AU71=100%,1,1+VLOOKUP(($AJ71-$AI71-$AH71-$AG71-$AF71-$AE71*(1+BV$3))/$AJ71,'Технический лист'!$M:$N,2,1)-VLOOKUP($AO71,'Технический лист'!$M:$N,2,1)),1+(1-$AU71))</f>
        <v>1</v>
      </c>
      <c r="BW71" s="15">
        <f>MIN(IF($AU71=100%,1,1+VLOOKUP(($AJ71-$AI71-$AH71-$AG71-$AF71-$AE71*(1+BW$3))/$AJ71,'Технический лист'!$M:$N,2,1)-VLOOKUP($AO71,'Технический лист'!$M:$N,2,1)),1+(1-$AU71))</f>
        <v>1</v>
      </c>
      <c r="BX71" s="15">
        <f>MIN(IF($AU71=100%,1,1+VLOOKUP(($AJ71-$AI71-$AH71-$AG71-$AF71-$AE71*(1+BX$3))/$AJ71,'Технический лист'!$M:$N,2,1)-VLOOKUP($AO71,'Технический лист'!$M:$N,2,1)),1+(1-$AU71))</f>
        <v>1</v>
      </c>
      <c r="BY71" s="15">
        <f>MIN(IF($AU71=100%,1,1+VLOOKUP(($AJ71-$AI71-$AH71-$AG71-$AF71-$AE71*(1+BY$3))/$AJ71,'Технический лист'!$M:$N,2,1)-VLOOKUP($AO71,'Технический лист'!$M:$N,2,1)),1+(1-$AU71))</f>
        <v>1</v>
      </c>
      <c r="BZ71" s="15">
        <f>MIN(IF($AU71=100%,1,1+VLOOKUP(($AJ71-$AI71-$AH71-$AG71-$AF71-$AE71*(1+BZ$3))/$AJ71,'Технический лист'!$M:$N,2,1)-VLOOKUP($AO71,'Технический лист'!$M:$N,2,1)),1+(1-$AU71))</f>
        <v>1</v>
      </c>
      <c r="CA71" s="15">
        <f>MIN(IF($AU71=100%,1,1+VLOOKUP(($AJ71-$AI71-$AH71-$AG71-$AF71-$AE71*(1+CA$3))/$AJ71,'Технический лист'!$M:$N,2,1)-VLOOKUP($AO71,'Технический лист'!$M:$N,2,1)),1+(1-$AU71))</f>
        <v>1</v>
      </c>
      <c r="CB71" s="15">
        <f>MIN(IF($AU71=100%,1,1+VLOOKUP(($AJ71-$AI71-$AH71-$AG71-$AF71-$AE71*(1+CB$3))/$AJ71,'Технический лист'!$M:$N,2,1)-VLOOKUP($AO71,'Технический лист'!$M:$N,2,1)),1+(1-$AU71))</f>
        <v>1</v>
      </c>
      <c r="CC71" s="15">
        <f>MIN(IF($AU71=100%,1,1+VLOOKUP(($AJ71-$AI71-$AH71-$AG71-$AF71-$AE71*(1+CC$3))/$AJ71,'Технический лист'!$M:$N,2,1)-VLOOKUP($AO71,'Технический лист'!$M:$N,2,1)),1+(1-$AU71))</f>
        <v>1</v>
      </c>
      <c r="CD71" s="15">
        <f>MIN(IF($AU71=100%,1,1+VLOOKUP(($AJ71-$AI71-$AH71-$AG71-$AF71-$AE71*(1+CD$3))/$AJ71,'Технический лист'!$M:$N,2,1)-VLOOKUP($AO71,'Технический лист'!$M:$N,2,1)),1+(1-$AU71))</f>
        <v>1</v>
      </c>
      <c r="CE71" s="15">
        <f>MIN(IF($AU71=100%,1,1+VLOOKUP(($AJ71-$AI71-$AH71-$AG71-$AF71-$AE71*(1+CE$3))/$AJ71,'Технический лист'!$M:$N,2,1)-VLOOKUP($AO71,'Технический лист'!$M:$N,2,1)),1+(1-$AU71))</f>
        <v>1</v>
      </c>
      <c r="CF71" s="15">
        <f>MIN(IF($AU71=100%,1,1+VLOOKUP(($AJ71-$AI71-$AH71-$AG71-$AF71-$AE71*(1+CF$3))/$AJ71,'Технический лист'!$M:$N,2,1)-VLOOKUP($AO71,'Технический лист'!$M:$N,2,1)),1+(1-$AU71))</f>
        <v>1</v>
      </c>
      <c r="CG71" s="15">
        <f>MIN(IF($AU71=100%,1,1+VLOOKUP(($AJ71-$AI71-$AH71-$AG71-$AF71-$AE71*(1+CG$3))/$AJ71,'Технический лист'!$M:$N,2,1)-VLOOKUP($AO71,'Технический лист'!$M:$N,2,1)),1+(1-$AU71))</f>
        <v>1</v>
      </c>
      <c r="CH71" s="15">
        <f>MIN(IF($AU71=100%,1,1+VLOOKUP(($AJ71-$AI71-$AH71-$AG71-$AF71-$AE71*(1+CH$3))/$AJ71,'Технический лист'!$M:$N,2,1)-VLOOKUP($AO71,'Технический лист'!$M:$N,2,1)),1+(1-$AU71))</f>
        <v>1</v>
      </c>
      <c r="CI71" s="15">
        <f>MIN(IF($AU71=100%,1,1+VLOOKUP(($AJ71-$AI71-$AH71-$AG71-$AF71-$AE71*(1+CI$3))/$AJ71,'Технический лист'!$M:$N,2,1)-VLOOKUP($AO71,'Технический лист'!$M:$N,2,1)),1+(1-$AU71))</f>
        <v>1</v>
      </c>
      <c r="CJ71" s="15">
        <f>MIN(IF($AU71=100%,1,1+VLOOKUP(($AJ71-$AI71-$AH71-$AG71-$AF71-$AE71*(1+CJ$3))/$AJ71,'Технический лист'!$M:$N,2,1)-VLOOKUP($AO71,'Технический лист'!$M:$N,2,1)),1+(1-$AU71))</f>
        <v>1</v>
      </c>
      <c r="CK71" s="15">
        <f>MIN(IF($AU71=100%,1,1+VLOOKUP(($AJ71-$AI71-$AH71-$AG71-$AF71-$AE71*(1+CK$3))/$AJ71,'Технический лист'!$M:$N,2,1)-VLOOKUP($AO71,'Технический лист'!$M:$N,2,1)),1+(1-$AU71))</f>
        <v>1</v>
      </c>
      <c r="CL71" s="15">
        <f>MIN(IF($AU71=100%,1,1+VLOOKUP(($AJ71-$AI71-$AH71-$AG71-$AF71-$AE71*(1+CL$3))/$AJ71,'Технический лист'!$M:$N,2,1)-VLOOKUP($AO71,'Технический лист'!$M:$N,2,1)),1+(1-$AU71))</f>
        <v>1</v>
      </c>
      <c r="CM71" s="15">
        <f>MIN(IF($AU71=100%,1,1+VLOOKUP(($AJ71-$AI71-$AH71-$AG71-$AF71-$AE71*(1+CM$3))/$AJ71,'Технический лист'!$M:$N,2,1)-VLOOKUP($AO71,'Технический лист'!$M:$N,2,1)),1+(1-$AU71))</f>
        <v>1</v>
      </c>
      <c r="CN71" s="15">
        <f>MIN(IF($AU71=100%,1,1+VLOOKUP(($AJ71-$AI71-$AH71-$AG71-$AF71-$AE71*(1+CN$3))/$AJ71,'Технический лист'!$M:$N,2,1)-VLOOKUP($AO71,'Технический лист'!$M:$N,2,1)),1+(1-$AU71))</f>
        <v>1</v>
      </c>
      <c r="CO71" s="15">
        <f>MIN(IF($AU71=100%,1,1+VLOOKUP(($AJ71-$AI71-$AH71-$AG71-$AF71-$AE71*(1+CO$3))/$AJ71,'Технический лист'!$M:$N,2,1)-VLOOKUP($AO71,'Технический лист'!$M:$N,2,1)),1+(1-$AU71))</f>
        <v>1</v>
      </c>
      <c r="CP71" s="15">
        <f>MIN(IF($AU71=100%,1,1+VLOOKUP(($AJ71-$AI71-$AH71-$AG71-$AF71-$AE71*(1+CP$3))/$AJ71,'Технический лист'!$M:$N,2,1)-VLOOKUP($AO71,'Технический лист'!$M:$N,2,1)),1+(1-$AU71))</f>
        <v>1</v>
      </c>
      <c r="CQ71" s="15">
        <f>MIN(IF($AU71=100%,1,1+VLOOKUP(($AJ71-$AI71-$AH71-$AG71-$AF71-$AE71*(1+CQ$3))/$AJ71,'Технический лист'!$M:$N,2,1)-VLOOKUP($AO71,'Технический лист'!$M:$N,2,1)),1+(1-$AU71))</f>
        <v>1</v>
      </c>
      <c r="CR71" s="15">
        <f>MIN(IF($AU71=100%,1,1+VLOOKUP(($AJ71-$AI71-$AH71-$AG71-$AF71-$AE71*(1+CR$3))/$AJ71,'Технический лист'!$M:$N,2,1)-VLOOKUP($AO71,'Технический лист'!$M:$N,2,1)),1+(1-$AU71))</f>
        <v>1</v>
      </c>
      <c r="CS71" s="15">
        <f>MIN(IF($AU71=100%,1,1+VLOOKUP(($AJ71-$AI71-$AH71-$AG71-$AF71-$AE71*(1+CS$3))/$AJ71,'Технический лист'!$M:$N,2,1)-VLOOKUP($AO71,'Технический лист'!$M:$N,2,1)),1+(1-$AU71))</f>
        <v>1</v>
      </c>
      <c r="CT71" s="15">
        <f>MIN(IF($AU71=100%,1,1+VLOOKUP(($AJ71-$AI71-$AH71-$AG71-$AF71-$AE71*(1+CT$3))/$AJ71,'Технический лист'!$M:$N,2,1)-VLOOKUP($AO71,'Технический лист'!$M:$N,2,1)),1+(1-$AU71))</f>
        <v>1</v>
      </c>
      <c r="CU71" s="15">
        <f>MIN(IF($AU71=100%,1,1+VLOOKUP(($AJ71-$AI71-$AH71-$AG71-$AF71-$AE71*(1+CU$3))/$AJ71,'Технический лист'!$M:$N,2,1)-VLOOKUP($AO71,'Технический лист'!$M:$N,2,1)),1+(1-$AU71))</f>
        <v>1</v>
      </c>
      <c r="CV71" s="15">
        <f>MIN(IF($AU71=100%,1,1+VLOOKUP(($AJ71-$AI71-$AH71-$AG71-$AF71-$AE71*(1+CV$3))/$AJ71,'Технический лист'!$M:$N,2,1)-VLOOKUP($AO71,'Технический лист'!$M:$N,2,1)),1+(1-$AU71))</f>
        <v>1</v>
      </c>
      <c r="CW71" s="15">
        <f>MIN(IF($AU71=100%,1,1+VLOOKUP(($AJ71-$AI71-$AH71-$AG71-$AF71-$AE71*(1+CW$3))/$AJ71,'Технический лист'!$M:$N,2,1)-VLOOKUP($AO71,'Технический лист'!$M:$N,2,1)),1+(1-$AU71))</f>
        <v>1</v>
      </c>
      <c r="CX71" s="15">
        <f>MIN(IF($AU71=100%,1,1+VLOOKUP(($AJ71-$AI71-$AH71-$AG71-$AF71-$AE71*(1+CX$3))/$AJ71,'Технический лист'!$M:$N,2,1)-VLOOKUP($AO71,'Технический лист'!$M:$N,2,1)),1+(1-$AU71))</f>
        <v>1</v>
      </c>
      <c r="CY71" s="15">
        <f>MIN(IF($AU71=100%,1,1+VLOOKUP(($AJ71-$AI71-$AH71-$AG71-$AF71-$AE71*(1+CY$3))/$AJ71,'Технический лист'!$M:$N,2,1)-VLOOKUP($AO71,'Технический лист'!$M:$N,2,1)),1+(1-$AU71))</f>
        <v>1</v>
      </c>
      <c r="CZ71" s="15">
        <f>MIN(IF($AU71=100%,1,1+VLOOKUP(($AJ71-$AI71-$AH71-$AG71-$AF71-$AE71*(1+CZ$3))/$AJ71,'Технический лист'!$M:$N,2,1)-VLOOKUP($AO71,'Технический лист'!$M:$N,2,1)),1+(1-$AU71))</f>
        <v>1</v>
      </c>
      <c r="DA71" s="15">
        <f>MIN(IF($AU71=100%,1,1+VLOOKUP(($AJ71-$AI71-$AH71-$AG71-$AF71-$AE71*(1+DA$3))/$AJ71,'Технический лист'!$M:$N,2,1)-VLOOKUP($AO71,'Технический лист'!$M:$N,2,1)),1+(1-$AU71))</f>
        <v>1</v>
      </c>
      <c r="DB71" s="15">
        <f>MIN(IF($AU71=100%,1,1+VLOOKUP(($AJ71-$AI71-$AH71-$AG71-$AF71-$AE71*(1+DB$3))/$AJ71,'Технический лист'!$M:$N,2,1)-VLOOKUP($AO71,'Технический лист'!$M:$N,2,1)),1+(1-$AU71))</f>
        <v>1</v>
      </c>
      <c r="DC71" s="15">
        <f>MIN(IF($AU71=100%,1,1+VLOOKUP(($AJ71-$AI71-$AH71-$AG71-$AF71-$AE71*(1+DC$3))/$AJ71,'Технический лист'!$M:$N,2,1)-VLOOKUP($AO71,'Технический лист'!$M:$N,2,1)),1+(1-$AU71))</f>
        <v>1</v>
      </c>
      <c r="DD71" s="15">
        <f>MIN(IF($AU71=100%,1,1+VLOOKUP(($AJ71-$AI71-$AH71-$AG71-$AF71-$AE71*(1+DD$3))/$AJ71,'Технический лист'!$M:$N,2,1)-VLOOKUP($AO71,'Технический лист'!$M:$N,2,1)),1+(1-$AU71))</f>
        <v>1</v>
      </c>
      <c r="DE71" s="15">
        <f>MIN(IF($AU71=100%,1,1+VLOOKUP(($AJ71-$AI71-$AH71-$AG71-$AF71-$AE71*(1+DE$3))/$AJ71,'Технический лист'!$M:$N,2,1)-VLOOKUP($AO71,'Технический лист'!$M:$N,2,1)),1+(1-$AU71))</f>
        <v>1</v>
      </c>
      <c r="DF71" s="15">
        <f>MIN(IF($AU71=100%,1,1+VLOOKUP(($AJ71-$AI71-$AH71-$AG71-$AF71-$AE71*(1+DF$3))/$AJ71,'Технический лист'!$M:$N,2,1)-VLOOKUP($AO71,'Технический лист'!$M:$N,2,1)),1+(1-$AU71))</f>
        <v>1</v>
      </c>
      <c r="DG71" s="15">
        <f>MIN(IF($AU71=100%,1,1+VLOOKUP(($AJ71-$AI71-$AH71-$AG71-$AF71-$AE71*(1+DG$3))/$AJ71,'Технический лист'!$M:$N,2,1)-VLOOKUP($AO71,'Технический лист'!$M:$N,2,1)),1+(1-$AU71))</f>
        <v>1</v>
      </c>
      <c r="DH71" s="15">
        <f>MIN(IF($AU71=100%,1,1+VLOOKUP(($AJ71-$AI71-$AH71-$AG71-$AF71-$AE71*(1+DH$3))/$AJ71,'Технический лист'!$M:$N,2,1)-VLOOKUP($AO71,'Технический лист'!$M:$N,2,1)),1+(1-$AU71))</f>
        <v>1</v>
      </c>
      <c r="DI71" s="15">
        <f>MIN(IF($AU71=100%,1,1+VLOOKUP(($AJ71-$AI71-$AH71-$AG71-$AF71-$AE71*(1+DI$3))/$AJ71,'Технический лист'!$M:$N,2,1)-VLOOKUP($AO71,'Технический лист'!$M:$N,2,1)),1+(1-$AU71))</f>
        <v>1</v>
      </c>
      <c r="DJ71" s="15">
        <f>MIN(IF($AU71=100%,1,1+VLOOKUP(($AJ71-$AI71-$AH71-$AG71-$AF71-$AE71*(1+DJ$3))/$AJ71,'Технический лист'!$M:$N,2,1)-VLOOKUP($AO71,'Технический лист'!$M:$N,2,1)),1+(1-$AU71))</f>
        <v>1</v>
      </c>
      <c r="DK71" s="15">
        <f>MIN(IF($AU71=100%,1,1+VLOOKUP(($AJ71-$AI71-$AH71-$AG71-$AF71-$AE71*(1+DK$3))/$AJ71,'Технический лист'!$M:$N,2,1)-VLOOKUP($AO71,'Технический лист'!$M:$N,2,1)),1+(1-$AU71))</f>
        <v>1</v>
      </c>
      <c r="DL71" s="15">
        <f>MIN(IF($AU71=100%,1,1+VLOOKUP(($AJ71-$AI71-$AH71-$AG71-$AF71-$AE71*(1+DL$3))/$AJ71,'Технический лист'!$M:$N,2,1)-VLOOKUP($AO71,'Технический лист'!$M:$N,2,1)),1+(1-$AU71))</f>
        <v>1</v>
      </c>
      <c r="DM71" s="15">
        <f>MIN(IF($AU71=100%,1,1+VLOOKUP(($AJ71-$AI71-$AH71-$AG71-$AF71-$AE71*(1+DM$3))/$AJ71,'Технический лист'!$M:$N,2,1)-VLOOKUP($AO71,'Технический лист'!$M:$N,2,1)),1+(1-$AU71))</f>
        <v>1</v>
      </c>
      <c r="DN71" s="15">
        <f>MIN(IF($AU71=100%,1,1+VLOOKUP(($AJ71-$AI71-$AH71-$AG71-$AF71-$AE71*(1+DN$3))/$AJ71,'Технический лист'!$M:$N,2,1)-VLOOKUP($AO71,'Технический лист'!$M:$N,2,1)),1+(1-$AU71))</f>
        <v>1</v>
      </c>
      <c r="DO71" s="15">
        <f>MIN(IF($AU71=100%,1,1+VLOOKUP(($AJ71-$AI71-$AH71-$AG71-$AF71-$AE71*(1+DO$3))/$AJ71,'Технический лист'!$M:$N,2,1)-VLOOKUP($AO71,'Технический лист'!$M:$N,2,1)),1+(1-$AU71))</f>
        <v>1</v>
      </c>
      <c r="DP71" s="15">
        <f>MIN(IF($AU71=100%,1,1+VLOOKUP(($AJ71-$AI71-$AH71-$AG71-$AF71-$AE71*(1+DP$3))/$AJ71,'Технический лист'!$M:$N,2,1)-VLOOKUP($AO71,'Технический лист'!$M:$N,2,1)),1+(1-$AU71))</f>
        <v>1</v>
      </c>
      <c r="DQ71" s="15">
        <f>MIN(IF($AU71=100%,1,1+VLOOKUP(($AJ71-$AI71-$AH71-$AG71-$AF71-$AE71*(1+DQ$3))/$AJ71,'Технический лист'!$M:$N,2,1)-VLOOKUP($AO71,'Технический лист'!$M:$N,2,1)),1+(1-$AU71))</f>
        <v>1</v>
      </c>
      <c r="DR71" s="15">
        <f>MIN(IF($AU71=100%,1,1+VLOOKUP(($AJ71-$AI71-$AH71-$AG71-$AF71-$AE71*(1+DR$3))/$AJ71,'Технический лист'!$M:$N,2,1)-VLOOKUP($AO71,'Технический лист'!$M:$N,2,1)),1+(1-$AU71))</f>
        <v>1</v>
      </c>
      <c r="DS71" s="15">
        <f>MIN(IF($AU71=100%,1,1+VLOOKUP(($AJ71-$AI71-$AH71-$AG71-$AF71-$AE71*(1+DS$3))/$AJ71,'Технический лист'!$M:$N,2,1)-VLOOKUP($AO71,'Технический лист'!$M:$N,2,1)),1+(1-$AU71))</f>
        <v>1</v>
      </c>
      <c r="DT71" s="15">
        <f>MIN(IF($AU71=100%,1,1+VLOOKUP(($AJ71-$AI71-$AH71-$AG71-$AF71-$AE71*(1+DT$3))/$AJ71,'Технический лист'!$M:$N,2,1)-VLOOKUP($AO71,'Технический лист'!$M:$N,2,1)),1+(1-$AU71))</f>
        <v>1</v>
      </c>
      <c r="DU71" s="15">
        <f>MIN(IF($AU71=100%,1,1+VLOOKUP(($AJ71-$AI71-$AH71-$AG71-$AF71-$AE71*(1+DU$3))/$AJ71,'Технический лист'!$M:$N,2,1)-VLOOKUP($AO71,'Технический лист'!$M:$N,2,1)),1+(1-$AU71))</f>
        <v>1</v>
      </c>
      <c r="DV71" s="15">
        <f>MIN(IF($AU71=100%,1,1+VLOOKUP(($AJ71-$AI71-$AH71-$AG71-$AF71-$AE71*(1+DV$3))/$AJ71,'Технический лист'!$M:$N,2,1)-VLOOKUP($AO71,'Технический лист'!$M:$N,2,1)),1+(1-$AU71))</f>
        <v>1</v>
      </c>
      <c r="DW71" s="15">
        <f>MIN(IF($AU71=100%,1,1+VLOOKUP(($AJ71-$AI71-$AH71-$AG71-$AF71-$AE71*(1+DW$3))/$AJ71,'Технический лист'!$M:$N,2,1)-VLOOKUP($AO71,'Технический лист'!$M:$N,2,1)),1+(1-$AU71))</f>
        <v>1</v>
      </c>
      <c r="DX71" s="15">
        <f>MIN(IF($AU71=100%,1,1+VLOOKUP(($AJ71-$AI71-$AH71-$AG71-$AF71-$AE71*(1+DX$3))/$AJ71,'Технический лист'!$M:$N,2,1)-VLOOKUP($AO71,'Технический лист'!$M:$N,2,1)),1+(1-$AU71))</f>
        <v>1</v>
      </c>
      <c r="DY71" s="15">
        <f>MIN(IF($AU71=100%,1,1+VLOOKUP(($AJ71-$AI71-$AH71-$AG71-$AF71-$AE71*(1+DY$3))/$AJ71,'Технический лист'!$M:$N,2,1)-VLOOKUP($AO71,'Технический лист'!$M:$N,2,1)),1+(1-$AU71))</f>
        <v>1</v>
      </c>
      <c r="DZ71" s="15">
        <f>MIN(IF($AU71=100%,1,1+VLOOKUP(($AJ71-$AI71-$AH71-$AG71-$AF71-$AE71*(1+DZ$3))/$AJ71,'Технический лист'!$M:$N,2,1)-VLOOKUP($AO71,'Технический лист'!$M:$N,2,1)),1+(1-$AU71))</f>
        <v>1</v>
      </c>
      <c r="EA71" s="15">
        <f>MIN(IF($AU71=100%,1,1+VLOOKUP(($AJ71-$AI71-$AH71-$AG71-$AF71-$AE71*(1+EA$3))/$AJ71,'Технический лист'!$M:$N,2,1)-VLOOKUP($AO71,'Технический лист'!$M:$N,2,1)),1+(1-$AU71))</f>
        <v>1</v>
      </c>
      <c r="EB71" s="15">
        <f>MIN(IF($AU71=100%,1,1+VLOOKUP(($AJ71-$AI71-$AH71-$AG71-$AF71-$AE71*(1+EB$3))/$AJ71,'Технический лист'!$M:$N,2,1)-VLOOKUP($AO71,'Технический лист'!$M:$N,2,1)),1+(1-$AU71))</f>
        <v>1</v>
      </c>
      <c r="EC71" s="15">
        <f>MIN(IF($AU71=100%,1,1+VLOOKUP(($AJ71-$AI71-$AH71-$AG71-$AF71-$AE71*(1+EC$3))/$AJ71,'Технический лист'!$M:$N,2,1)-VLOOKUP($AO71,'Технический лист'!$M:$N,2,1)),1+(1-$AU71))</f>
        <v>1</v>
      </c>
      <c r="ED71" s="15">
        <f>MIN(IF($AU71=100%,1,1+VLOOKUP(($AJ71-$AI71-$AH71-$AG71-$AF71-$AE71*(1+ED$3))/$AJ71,'Технический лист'!$M:$N,2,1)-VLOOKUP($AO71,'Технический лист'!$M:$N,2,1)),1+(1-$AU71))</f>
        <v>1</v>
      </c>
      <c r="EE71" s="15">
        <f>MIN(IF($AU71=100%,1,1+VLOOKUP(($AJ71-$AI71-$AH71-$AG71-$AF71-$AE71*(1+EE$3))/$AJ71,'Технический лист'!$M:$N,2,1)-VLOOKUP($AO71,'Технический лист'!$M:$N,2,1)),1+(1-$AU71))</f>
        <v>1</v>
      </c>
      <c r="EF71" s="15">
        <f>MIN(IF($AU71=100%,1,1+VLOOKUP(($AJ71-$AI71-$AH71-$AG71-$AF71-$AE71*(1+EF$3))/$AJ71,'Технический лист'!$M:$N,2,1)-VLOOKUP($AO71,'Технический лист'!$M:$N,2,1)),1+(1-$AU71))</f>
        <v>1</v>
      </c>
      <c r="EG71" s="15">
        <f>MIN(IF($AU71=100%,1,1+VLOOKUP(($AJ71-$AI71-$AH71-$AG71-$AF71-$AE71*(1+EG$3))/$AJ71,'Технический лист'!$M:$N,2,1)-VLOOKUP($AO71,'Технический лист'!$M:$N,2,1)),1+(1-$AU71))</f>
        <v>1</v>
      </c>
      <c r="EH71" s="15">
        <f>MIN(IF($AU71=100%,1,1+VLOOKUP(($AJ71-$AI71-$AH71-$AG71-$AF71-$AE71*(1+EH$3))/$AJ71,'Технический лист'!$M:$N,2,1)-VLOOKUP($AO71,'Технический лист'!$M:$N,2,1)),1+(1-$AU71))</f>
        <v>1</v>
      </c>
      <c r="EI71" s="15">
        <f>MIN(IF($AU71=100%,1,1+VLOOKUP(($AJ71-$AI71-$AH71-$AG71-$AF71-$AE71*(1+EI$3))/$AJ71,'Технический лист'!$M:$N,2,1)-VLOOKUP($AO71,'Технический лист'!$M:$N,2,1)),1+(1-$AU71))</f>
        <v>1</v>
      </c>
      <c r="EJ71" s="15">
        <f>MIN(IF($AU71=100%,1,1+VLOOKUP(($AJ71-$AI71-$AH71-$AG71-$AF71-$AE71*(1+EJ$3))/$AJ71,'Технический лист'!$M:$N,2,1)-VLOOKUP($AO71,'Технический лист'!$M:$N,2,1)),1+(1-$AU71))</f>
        <v>1</v>
      </c>
      <c r="EK71" s="15">
        <f>MIN(IF($AU71=100%,1,1+VLOOKUP(($AJ71-$AI71-$AH71-$AG71-$AF71-$AE71*(1+EK$3))/$AJ71,'Технический лист'!$M:$N,2,1)-VLOOKUP($AO71,'Технический лист'!$M:$N,2,1)),1+(1-$AU71))</f>
        <v>1</v>
      </c>
      <c r="EL71" s="15">
        <f>MIN(IF($AU71=100%,1,1+VLOOKUP(($AJ71-$AI71-$AH71-$AG71-$AF71-$AE71*(1+EL$3))/$AJ71,'Технический лист'!$M:$N,2,1)-VLOOKUP($AO71,'Технический лист'!$M:$N,2,1)),1+(1-$AU71))</f>
        <v>1</v>
      </c>
      <c r="EM71" s="15">
        <f>MIN(IF($AU71=100%,1,1+VLOOKUP(($AJ71-$AI71-$AH71-$AG71-$AF71-$AE71*(1+EM$3))/$AJ71,'Технический лист'!$M:$N,2,1)-VLOOKUP($AO71,'Технический лист'!$M:$N,2,1)),1+(1-$AU71))</f>
        <v>1</v>
      </c>
      <c r="EN71" s="15">
        <f>MIN(IF($AU71=100%,1,1+VLOOKUP(($AJ71-$AI71-$AH71-$AG71-$AF71-$AE71*(1+EN$3))/$AJ71,'Технический лист'!$M:$N,2,1)-VLOOKUP($AO71,'Технический лист'!$M:$N,2,1)),1+(1-$AU71))</f>
        <v>1</v>
      </c>
      <c r="EO71" s="15">
        <f>MIN(IF($AU71=100%,1,1+VLOOKUP(($AJ71-$AI71-$AH71-$AG71-$AF71-$AE71*(1+EO$3))/$AJ71,'Технический лист'!$M:$N,2,1)-VLOOKUP($AO71,'Технический лист'!$M:$N,2,1)),1+(1-$AU71))</f>
        <v>1</v>
      </c>
      <c r="EP71" s="15">
        <f>MIN(IF($AU71=100%,1,1+VLOOKUP(($AJ71-$AI71-$AH71-$AG71-$AF71-$AE71*(1+EP$3))/$AJ71,'Технический лист'!$M:$N,2,1)-VLOOKUP($AO71,'Технический лист'!$M:$N,2,1)),1+(1-$AU71))</f>
        <v>1</v>
      </c>
      <c r="EQ71" s="15">
        <f>MIN(IF($AU71=100%,1,1+VLOOKUP(($AJ71-$AI71-$AH71-$AG71-$AF71-$AE71*(1+EQ$3))/$AJ71,'Технический лист'!$M:$N,2,1)-VLOOKUP($AO71,'Технический лист'!$M:$N,2,1)),1+(1-$AU71))</f>
        <v>1</v>
      </c>
      <c r="ER71" s="15">
        <f>MIN(IF($AU71=100%,1,1+VLOOKUP(($AJ71-$AI71-$AH71-$AG71-$AF71-$AE71*(1+ER$3))/$AJ71,'Технический лист'!$M:$N,2,1)-VLOOKUP($AO71,'Технический лист'!$M:$N,2,1)),1+(1-$AU71))</f>
        <v>1</v>
      </c>
      <c r="ES71" s="15">
        <f>MIN(IF($AU71=100%,1,1+VLOOKUP(($AJ71-$AI71-$AH71-$AG71-$AF71-$AE71*(1+ES$3))/$AJ71,'Технический лист'!$M:$N,2,1)-VLOOKUP($AO71,'Технический лист'!$M:$N,2,1)),1+(1-$AU71))</f>
        <v>1</v>
      </c>
      <c r="ET71" s="15">
        <f>MIN(IF($AU71=100%,1,1+VLOOKUP(($AJ71-$AI71-$AH71-$AG71-$AF71-$AE71*(1+ET$3))/$AJ71,'Технический лист'!$M:$N,2,1)-VLOOKUP($AO71,'Технический лист'!$M:$N,2,1)),1+(1-$AU71))</f>
        <v>1</v>
      </c>
      <c r="EU71" s="15">
        <f>MIN(IF($AU71=100%,1,1+VLOOKUP(($AJ71-$AI71-$AH71-$AG71-$AF71-$AE71*(1+EU$3))/$AJ71,'Технический лист'!$M:$N,2,1)-VLOOKUP($AO71,'Технический лист'!$M:$N,2,1)),1+(1-$AU71))</f>
        <v>1</v>
      </c>
      <c r="EV71" s="111">
        <v>1</v>
      </c>
      <c r="EW71" s="15">
        <f>MIN(1,MAX(VLOOKUP(($AJ71-$AI71-$AH71-$AG71-$AF71-$AE71*(1+EW$3))/$AJ71,'Технический лист'!$M:$N,2,1),(EV71-0.05)))</f>
        <v>1</v>
      </c>
      <c r="EX71" s="15">
        <f>MIN(1,MAX(VLOOKUP(($AJ71-$AI71-$AH71-$AG71-$AF71-$AE71*(1+EX$3))/$AJ71,'Технический лист'!$M:$N,2,1),(EW71-0.05)))</f>
        <v>1</v>
      </c>
      <c r="EY71" s="15">
        <f>MIN(1,MAX(VLOOKUP(($AJ71-$AI71-$AH71-$AG71-$AF71-$AE71*(1+EY$3))/$AJ71,'Технический лист'!$M:$N,2,1),(EX71-0.05)))</f>
        <v>1</v>
      </c>
      <c r="EZ71" s="15">
        <f>MIN(1,MAX(VLOOKUP(($AJ71-$AI71-$AH71-$AG71-$AF71-$AE71*(1+EZ$3))/$AJ71,'Технический лист'!$M:$N,2,1),(EY71-0.05)))</f>
        <v>1</v>
      </c>
      <c r="FA71" s="15">
        <f>MIN(1,MAX(VLOOKUP(($AJ71-$AI71-$AH71-$AG71-$AF71-$AE71*(1+FA$3))/$AJ71,'Технический лист'!$M:$N,2,1),(EZ71-0.05)))</f>
        <v>1</v>
      </c>
      <c r="FB71" s="15">
        <f>MIN(1,MAX(VLOOKUP(($AJ71-$AI71-$AH71-$AG71-$AF71-$AE71*(1+FB$3))/$AJ71,'Технический лист'!$M:$N,2,1),(FA71-0.05)))</f>
        <v>1</v>
      </c>
      <c r="FC71" s="15">
        <f>MIN(1,MAX(VLOOKUP(($AJ71-$AI71-$AH71-$AG71-$AF71-$AE71*(1+FC$3))/$AJ71,'Технический лист'!$M:$N,2,1),(FB71-0.05)))</f>
        <v>1</v>
      </c>
      <c r="FD71" s="15">
        <f>MIN(1,MAX(VLOOKUP(($AJ71-$AI71-$AH71-$AG71-$AF71-$AE71*(1+FD$3))/$AJ71,'Технический лист'!$M:$N,2,1),(FC71-0.05)))</f>
        <v>1</v>
      </c>
      <c r="FE71" s="15">
        <f>MIN(1,MAX(VLOOKUP(($AJ71-$AI71-$AH71-$AG71-$AF71-$AE71*(1+FE$3))/$AJ71,'Технический лист'!$M:$N,2,1),(FD71-0.05)))</f>
        <v>1</v>
      </c>
      <c r="FF71" s="15">
        <f>MIN(1,MAX(VLOOKUP(($AJ71-$AI71-$AH71-$AG71-$AF71-$AE71*(1+FF$3))/$AJ71,'Технический лист'!$M:$N,2,1),(FE71-0.05)))</f>
        <v>1</v>
      </c>
      <c r="FG71" s="15">
        <f>MIN(1,MAX(VLOOKUP(($AJ71-$AI71-$AH71-$AG71-$AF71-$AE71*(1+FG$3))/$AJ71,'Технический лист'!$M:$N,2,1),(FF71-0.05)))</f>
        <v>1</v>
      </c>
      <c r="FH71" s="15">
        <f>MIN(1,MAX(VLOOKUP(($AJ71-$AI71-$AH71-$AG71-$AF71-$AE71*(1+FH$3))/$AJ71,'Технический лист'!$M:$N,2,1),(FG71-0.05)))</f>
        <v>1</v>
      </c>
      <c r="FI71" s="15">
        <f>MIN(1,MAX(VLOOKUP(($AJ71-$AI71-$AH71-$AG71-$AF71-$AE71*(1+FI$3))/$AJ71,'Технический лист'!$M:$N,2,1),(FH71-0.05)))</f>
        <v>1</v>
      </c>
      <c r="FJ71" s="15">
        <f>MIN(1,MAX(VLOOKUP(($AJ71-$AI71-$AH71-$AG71-$AF71-$AE71*(1+FJ$3))/$AJ71,'Технический лист'!$M:$N,2,1),(FI71-0.05)))</f>
        <v>1</v>
      </c>
      <c r="FK71" s="15">
        <f>MIN(1,MAX(VLOOKUP(($AJ71-$AI71-$AH71-$AG71-$AF71-$AE71*(1+FK$3))/$AJ71,'Технический лист'!$M:$N,2,1),(FJ71-0.05)))</f>
        <v>1</v>
      </c>
      <c r="FL71" s="15">
        <f>MIN(1,MAX(VLOOKUP(($AJ71-$AI71-$AH71-$AG71-$AF71-$AE71*(1+FL$3))/$AJ71,'Технический лист'!$M:$N,2,1),(FK71-0.05)))</f>
        <v>1</v>
      </c>
      <c r="FM71" s="15">
        <f>MIN(1,MAX(VLOOKUP(($AJ71-$AI71-$AH71-$AG71-$AF71-$AE71*(1+FM$3))/$AJ71,'Технический лист'!$M:$N,2,1),(FL71-0.05)))</f>
        <v>1</v>
      </c>
      <c r="FN71" s="15">
        <f>MIN(1,MAX(VLOOKUP(($AJ71-$AI71-$AH71-$AG71-$AF71-$AE71*(1+FN$3))/$AJ71,'Технический лист'!$M:$N,2,1),(FM71-0.05)))</f>
        <v>1</v>
      </c>
      <c r="FO71" s="15">
        <f>MIN(1,MAX(VLOOKUP(($AJ71-$AI71-$AH71-$AG71-$AF71-$AE71*(1+FO$3))/$AJ71,'Технический лист'!$M:$N,2,1),(FN71-0.05)))</f>
        <v>1</v>
      </c>
      <c r="FP71" s="15">
        <f>MIN(1,MAX(VLOOKUP(($AJ71-$AI71-$AH71-$AG71-$AF71-$AE71*(1+FP$3))/$AJ71,'Технический лист'!$M:$N,2,1),(FO71-0.05)))</f>
        <v>1</v>
      </c>
      <c r="FQ71" s="15">
        <f>MIN(1,MAX(VLOOKUP(($AJ71-$AI71-$AH71-$AG71-$AF71-$AE71*(1+FQ$3))/$AJ71,'Технический лист'!$M:$N,2,1),(FP71-0.05)))</f>
        <v>1</v>
      </c>
      <c r="FR71" s="15">
        <f>MIN(1,MAX(VLOOKUP(($AJ71-$AI71-$AH71-$AG71-$AF71-$AE71*(1+FR$3))/$AJ71,'Технический лист'!$M:$N,2,1),(FQ71-0.05)))</f>
        <v>1</v>
      </c>
      <c r="FS71" s="15">
        <f>MIN(1,MAX(VLOOKUP(($AJ71-$AI71-$AH71-$AG71-$AF71-$AE71*(1+FS$3))/$AJ71,'Технический лист'!$M:$N,2,1),(FR71-0.05)))</f>
        <v>1</v>
      </c>
      <c r="FT71" s="15">
        <f>MIN(1,MAX(VLOOKUP(($AJ71-$AI71-$AH71-$AG71-$AF71-$AE71*(1+FT$3))/$AJ71,'Технический лист'!$M:$N,2,1),(FS71-0.05)))</f>
        <v>1</v>
      </c>
      <c r="FU71" s="15">
        <f>MIN(1,MAX(VLOOKUP(($AJ71-$AI71-$AH71-$AG71-$AF71-$AE71*(1+FU$3))/$AJ71,'Технический лист'!$M:$N,2,1),(FT71-0.05)))</f>
        <v>1</v>
      </c>
      <c r="FV71" s="15">
        <f>MIN(1,MAX(VLOOKUP(($AJ71-$AI71-$AH71-$AG71-$AF71-$AE71*(1+FV$3))/$AJ71,'Технический лист'!$M:$N,2,1),(FU71-0.05)))</f>
        <v>1</v>
      </c>
      <c r="FW71" s="15">
        <f>MIN(1,MAX(VLOOKUP(($AJ71-$AI71-$AH71-$AG71-$AF71-$AE71*(1+FW$3))/$AJ71,'Технический лист'!$M:$N,2,1),(FV71-0.05)))</f>
        <v>1</v>
      </c>
      <c r="FX71" s="15">
        <f>MIN(1,MAX(VLOOKUP(($AJ71-$AI71-$AH71-$AG71-$AF71-$AE71*(1+FX$3))/$AJ71,'Технический лист'!$M:$N,2,1),(FW71-0.05)))</f>
        <v>1</v>
      </c>
      <c r="FY71" s="15">
        <f>MIN(1,MAX(VLOOKUP(($AJ71-$AI71-$AH71-$AG71-$AF71-$AE71*(1+FY$3))/$AJ71,'Технический лист'!$M:$N,2,1),(FX71-0.05)))</f>
        <v>1</v>
      </c>
      <c r="FZ71" s="15">
        <f>MIN(1,MAX(VLOOKUP(($AJ71-$AI71-$AH71-$AG71-$AF71-$AE71*(1+FZ$3))/$AJ71,'Технический лист'!$M:$N,2,1),(FY71-0.05)))</f>
        <v>1</v>
      </c>
      <c r="GA71" s="15">
        <f>MIN(1,MAX(VLOOKUP(($AJ71-$AI71-$AH71-$AG71-$AF71-$AE71*(1+GA$3))/$AJ71,'Технический лист'!$M:$N,2,1),(FZ71-0.05)))</f>
        <v>1</v>
      </c>
      <c r="GB71" s="15">
        <f>MIN(1,MAX(VLOOKUP(($AJ71-$AI71-$AH71-$AG71-$AF71-$AE71*(1+GB$3))/$AJ71,'Технический лист'!$M:$N,2,1),(GA71-0.05)))</f>
        <v>1</v>
      </c>
      <c r="GC71" s="15">
        <f>MIN(1,MAX(VLOOKUP(($AJ71-$AI71-$AH71-$AG71-$AF71-$AE71*(1+GC$3))/$AJ71,'Технический лист'!$M:$N,2,1),(GB71-0.05)))</f>
        <v>1</v>
      </c>
      <c r="GD71" s="15">
        <f>MIN(1,MAX(VLOOKUP(($AJ71-$AI71-$AH71-$AG71-$AF71-$AE71*(1+GD$3))/$AJ71,'Технический лист'!$M:$N,2,1),(GC71-0.05)))</f>
        <v>1</v>
      </c>
      <c r="GE71" s="15">
        <f>MIN(1,MAX(VLOOKUP(($AJ71-$AI71-$AH71-$AG71-$AF71-$AE71*(1+GE$3))/$AJ71,'Технический лист'!$M:$N,2,1),(GD71-0.05)))</f>
        <v>1</v>
      </c>
      <c r="GF71" s="15">
        <f>MIN(1,MAX(VLOOKUP(($AJ71-$AI71-$AH71-$AG71-$AF71-$AE71*(1+GF$3))/$AJ71,'Технический лист'!$M:$N,2,1),(GE71-0.05)))</f>
        <v>1</v>
      </c>
      <c r="GG71" s="15">
        <f>MIN(1,MAX(VLOOKUP(($AJ71-$AI71-$AH71-$AG71-$AF71-$AE71*(1+GG$3))/$AJ71,'Технический лист'!$M:$N,2,1),(GF71-0.05)))</f>
        <v>1</v>
      </c>
      <c r="GH71" s="15">
        <f>MIN(1,MAX(VLOOKUP(($AJ71-$AI71-$AH71-$AG71-$AF71-$AE71*(1+GH$3))/$AJ71,'Технический лист'!$M:$N,2,1),(GG71-0.05)))</f>
        <v>1</v>
      </c>
      <c r="GI71" s="15">
        <f>MIN(1,MAX(VLOOKUP(($AJ71-$AI71-$AH71-$AG71-$AF71-$AE71*(1+GI$3))/$AJ71,'Технический лист'!$M:$N,2,1),(GH71-0.05)))</f>
        <v>1</v>
      </c>
      <c r="GJ71" s="15">
        <f>MIN(1,MAX(VLOOKUP(($AJ71-$AI71-$AH71-$AG71-$AF71-$AE71*(1+GJ$3))/$AJ71,'Технический лист'!$M:$N,2,1),(GI71-0.05)))</f>
        <v>1</v>
      </c>
      <c r="GK71" s="15">
        <f>MIN(1,MAX(VLOOKUP(($AJ71-$AI71-$AH71-$AG71-$AF71-$AE71*(1+GK$3))/$AJ71,'Технический лист'!$M:$N,2,1),(GJ71-0.05)))</f>
        <v>1</v>
      </c>
      <c r="GL71" s="15">
        <f>MIN(1,MAX(VLOOKUP(($AJ71-$AI71-$AH71-$AG71-$AF71-$AE71*(1+GL$3))/$AJ71,'Технический лист'!$M:$N,2,1),(GK71-0.05)))</f>
        <v>1</v>
      </c>
      <c r="GM71" s="15">
        <f>MIN(1,MAX(VLOOKUP(($AJ71-$AI71-$AH71-$AG71-$AF71-$AE71*(1+GM$3))/$AJ71,'Технический лист'!$M:$N,2,1),(GL71-0.05)))</f>
        <v>1</v>
      </c>
      <c r="GN71" s="15">
        <f>MIN(1,MAX(VLOOKUP(($AJ71-$AI71-$AH71-$AG71-$AF71-$AE71*(1+GN$3))/$AJ71,'Технический лист'!$M:$N,2,1),(GM71-0.05)))</f>
        <v>1</v>
      </c>
      <c r="GO71" s="15">
        <f>MIN(1,MAX(VLOOKUP(($AJ71-$AI71-$AH71-$AG71-$AF71-$AE71*(1+GO$3))/$AJ71,'Технический лист'!$M:$N,2,1),(GN71-0.05)))</f>
        <v>1</v>
      </c>
      <c r="GP71" s="15">
        <f>MIN(1,MAX(VLOOKUP(($AJ71-$AI71-$AH71-$AG71-$AF71-$AE71*(1+GP$3))/$AJ71,'Технический лист'!$M:$N,2,1),(GO71-0.05)))</f>
        <v>1</v>
      </c>
      <c r="GQ71" s="15">
        <f>MIN(1,MAX(VLOOKUP(($AJ71-$AI71-$AH71-$AG71-$AF71-$AE71*(1+GQ$3))/$AJ71,'Технический лист'!$M:$N,2,1),(GP71-0.05)))</f>
        <v>1</v>
      </c>
      <c r="GR71" s="15">
        <f>MIN(1,MAX(VLOOKUP(($AJ71-$AI71-$AH71-$AG71-$AF71-$AE71*(1+GR$3))/$AJ71,'Технический лист'!$M:$N,2,1),(GQ71-0.05)))</f>
        <v>1</v>
      </c>
      <c r="GS71" s="15">
        <f>MIN(1,MAX(VLOOKUP(($AJ71-$AI71-$AH71-$AG71-$AF71-$AE71*(1+GS$3))/$AJ71,'Технический лист'!$M:$N,2,1),(GR71-0.05)))</f>
        <v>1</v>
      </c>
      <c r="GT71" s="15">
        <f>MIN(1,MAX(VLOOKUP(($AJ71-$AI71-$AH71-$AG71-$AF71-$AE71*(1+GT$3))/$AJ71,'Технический лист'!$M:$N,2,1),(GS71-0.05)))</f>
        <v>1</v>
      </c>
      <c r="GU71" s="15">
        <f>MIN(1,MAX(VLOOKUP(($AJ71-$AI71-$AH71-$AG71-$AF71-$AE71*(1+GU$3))/$AJ71,'Технический лист'!$M:$N,2,1),(GT71-0.05)))</f>
        <v>1</v>
      </c>
      <c r="GV71" s="15">
        <f>MIN(1,MAX(VLOOKUP(($AJ71-$AI71-$AH71-$AG71-$AF71-$AE71*(1+GV$3))/$AJ71,'Технический лист'!$M:$N,2,1),(GU71-0.05)))</f>
        <v>1</v>
      </c>
      <c r="GW71" s="15">
        <f>MIN(1,MAX(VLOOKUP(($AJ71-$AI71-$AH71-$AG71-$AF71-$AE71*(1+GW$3))/$AJ71,'Технический лист'!$M:$N,2,1),(GV71-0.05)))</f>
        <v>1</v>
      </c>
      <c r="GX71" s="15">
        <f>MIN(1,MAX(VLOOKUP(($AJ71-$AI71-$AH71-$AG71-$AF71-$AE71*(1+GX$3))/$AJ71,'Технический лист'!$M:$N,2,1),(GW71-0.05)))</f>
        <v>1</v>
      </c>
      <c r="GY71" s="15">
        <f>MIN(1,MAX(VLOOKUP(($AJ71-$AI71-$AH71-$AG71-$AF71-$AE71*(1+GY$3))/$AJ71,'Технический лист'!$M:$N,2,1),(GX71-0.05)))</f>
        <v>1</v>
      </c>
      <c r="GZ71" s="15">
        <f>MIN(1,MAX(VLOOKUP(($AJ71-$AI71-$AH71-$AG71-$AF71-$AE71*(1+GZ$3))/$AJ71,'Технический лист'!$M:$N,2,1),(GY71-0.05)))</f>
        <v>1</v>
      </c>
      <c r="HA71" s="15">
        <f>MIN(1,MAX(VLOOKUP(($AJ71-$AI71-$AH71-$AG71-$AF71-$AE71*(1+HA$3))/$AJ71,'Технический лист'!$M:$N,2,1),(GZ71-0.05)))</f>
        <v>1</v>
      </c>
      <c r="HB71" s="15">
        <f>MIN(1,MAX(VLOOKUP(($AJ71-$AI71-$AH71-$AG71-$AF71-$AE71*(1+HB$3))/$AJ71,'Технический лист'!$M:$N,2,1),(HA71-0.05)))</f>
        <v>1</v>
      </c>
      <c r="HC71" s="15">
        <f>MIN(1,MAX(VLOOKUP(($AJ71-$AI71-$AH71-$AG71-$AF71-$AE71*(1+HC$3))/$AJ71,'Технический лист'!$M:$N,2,1),(HB71-0.05)))</f>
        <v>1</v>
      </c>
      <c r="HD71" s="15">
        <f>MIN(1,MAX(VLOOKUP(($AJ71-$AI71-$AH71-$AG71-$AF71-$AE71*(1+HD$3))/$AJ71,'Технический лист'!$M:$N,2,1),(HC71-0.05)))</f>
        <v>1</v>
      </c>
      <c r="HE71" s="15">
        <f>MIN(1,MAX(VLOOKUP(($AJ71-$AI71-$AH71-$AG71-$AF71-$AE71*(1+HE$3))/$AJ71,'Технический лист'!$M:$N,2,1),(HD71-0.05)))</f>
        <v>1</v>
      </c>
      <c r="HF71" s="15">
        <f>MIN(1,MAX(VLOOKUP(($AJ71-$AI71-$AH71-$AG71-$AF71-$AE71*(1+HF$3))/$AJ71,'Технический лист'!$M:$N,2,1),(HE71-0.05)))</f>
        <v>1</v>
      </c>
      <c r="HG71" s="15">
        <f>MIN(1,MAX(VLOOKUP(($AJ71-$AI71-$AH71-$AG71-$AF71-$AE71*(1+HG$3))/$AJ71,'Технический лист'!$M:$N,2,1),(HF71-0.05)))</f>
        <v>1</v>
      </c>
      <c r="HH71" s="15">
        <f>MIN(1,MAX(VLOOKUP(($AJ71-$AI71-$AH71-$AG71-$AF71-$AE71*(1+HH$3))/$AJ71,'Технический лист'!$M:$N,2,1),(HG71-0.05)))</f>
        <v>1</v>
      </c>
      <c r="HI71" s="15">
        <f>MIN(1,MAX(VLOOKUP(($AJ71-$AI71-$AH71-$AG71-$AF71-$AE71*(1+HI$3))/$AJ71,'Технический лист'!$M:$N,2,1),(HH71-0.05)))</f>
        <v>1</v>
      </c>
      <c r="HJ71" s="15">
        <f>MIN(1,MAX(VLOOKUP(($AJ71-$AI71-$AH71-$AG71-$AF71-$AE71*(1+HJ$3))/$AJ71,'Технический лист'!$M:$N,2,1),(HI71-0.05)))</f>
        <v>1</v>
      </c>
      <c r="HK71" s="15">
        <f>MIN(1,MAX(VLOOKUP(($AJ71-$AI71-$AH71-$AG71-$AF71-$AE71*(1+HK$3))/$AJ71,'Технический лист'!$M:$N,2,1),(HJ71-0.05)))</f>
        <v>1</v>
      </c>
      <c r="HL71" s="15">
        <f>MIN(1,MAX(VLOOKUP(($AJ71-$AI71-$AH71-$AG71-$AF71-$AE71*(1+HL$3))/$AJ71,'Технический лист'!$M:$N,2,1),(HK71-0.05)))</f>
        <v>1</v>
      </c>
      <c r="HM71" s="15">
        <f>MIN(1,MAX(VLOOKUP(($AJ71-$AI71-$AH71-$AG71-$AF71-$AE71*(1+HM$3))/$AJ71,'Технический лист'!$M:$N,2,1),(HL71-0.05)))</f>
        <v>1</v>
      </c>
      <c r="HN71" s="15">
        <f>MIN(1,MAX(VLOOKUP(($AJ71-$AI71-$AH71-$AG71-$AF71-$AE71*(1+HN$3))/$AJ71,'Технический лист'!$M:$N,2,1),(HM71-0.05)))</f>
        <v>1</v>
      </c>
      <c r="HO71" s="15">
        <f>MIN(1,MAX(VLOOKUP(($AJ71-$AI71-$AH71-$AG71-$AF71-$AE71*(1+HO$3))/$AJ71,'Технический лист'!$M:$N,2,1),(HN71-0.05)))</f>
        <v>1</v>
      </c>
      <c r="HP71" s="15">
        <f>MIN(1,MAX(VLOOKUP(($AJ71-$AI71-$AH71-$AG71-$AF71-$AE71*(1+HP$3))/$AJ71,'Технический лист'!$M:$N,2,1),(HO71-0.05)))</f>
        <v>1</v>
      </c>
      <c r="HQ71" s="15">
        <f>MIN(1,MAX(VLOOKUP(($AJ71-$AI71-$AH71-$AG71-$AF71-$AE71*(1+HQ$3))/$AJ71,'Технический лист'!$M:$N,2,1),(HP71-0.05)))</f>
        <v>1</v>
      </c>
      <c r="HR71" s="15">
        <f>MIN(1,MAX(VLOOKUP(($AJ71-$AI71-$AH71-$AG71-$AF71-$AE71*(1+HR$3))/$AJ71,'Технический лист'!$M:$N,2,1),(HQ71-0.05)))</f>
        <v>1</v>
      </c>
      <c r="HS71" s="15">
        <f>MIN(1,MAX(VLOOKUP(($AJ71-$AI71-$AH71-$AG71-$AF71-$AE71*(1+HS$3))/$AJ71,'Технический лист'!$M:$N,2,1),(HR71-0.05)))</f>
        <v>1</v>
      </c>
      <c r="HT71" s="15">
        <f>MIN(1,MAX(VLOOKUP(($AJ71-$AI71-$AH71-$AG71-$AF71-$AE71*(1+HT$3))/$AJ71,'Технический лист'!$M:$N,2,1),(HS71-0.05)))</f>
        <v>1</v>
      </c>
      <c r="HU71" s="15">
        <f>MIN(1,MAX(VLOOKUP(($AJ71-$AI71-$AH71-$AG71-$AF71-$AE71*(1+HU$3))/$AJ71,'Технический лист'!$M:$N,2,1),(HT71-0.05)))</f>
        <v>1</v>
      </c>
      <c r="HV71" s="15">
        <f>MIN(1,MAX(VLOOKUP(($AJ71-$AI71-$AH71-$AG71-$AF71-$AE71*(1+HV$3))/$AJ71,'Технический лист'!$M:$N,2,1),(HU71-0.05)))</f>
        <v>1</v>
      </c>
      <c r="HW71" s="15">
        <f>MIN(1,MAX(VLOOKUP(($AJ71-$AI71-$AH71-$AG71-$AF71-$AE71*(1+HW$3))/$AJ71,'Технический лист'!$M:$N,2,1),(HV71-0.05)))</f>
        <v>1</v>
      </c>
      <c r="HX71" s="15">
        <f>MIN(1,MAX(VLOOKUP(($AJ71-$AI71-$AH71-$AG71-$AF71-$AE71*(1+HX$3))/$AJ71,'Технический лист'!$M:$N,2,1),(HW71-0.05)))</f>
        <v>1</v>
      </c>
      <c r="HY71" s="15">
        <f>MIN(1,MAX(VLOOKUP(($AJ71-$AI71-$AH71-$AG71-$AF71-$AE71*(1+HY$3))/$AJ71,'Технический лист'!$M:$N,2,1),(HX71-0.05)))</f>
        <v>1</v>
      </c>
      <c r="HZ71" s="15">
        <f>MIN(1,MAX(VLOOKUP(($AJ71-$AI71-$AH71-$AG71-$AF71-$AE71*(1+HZ$3))/$AJ71,'Технический лист'!$M:$N,2,1),(HY71-0.05)))</f>
        <v>1</v>
      </c>
      <c r="IA71" s="15">
        <f>MIN(1,MAX(VLOOKUP(($AJ71-$AI71-$AH71-$AG71-$AF71-$AE71*(1+IA$3))/$AJ71,'Технический лист'!$M:$N,2,1),(HZ71-0.05)))</f>
        <v>1</v>
      </c>
      <c r="IB71" s="15">
        <f>MIN(1,MAX(VLOOKUP(($AJ71-$AI71-$AH71-$AG71-$AF71-$AE71*(1+IB$3))/$AJ71,'Технический лист'!$M:$N,2,1),(IA71-0.05)))</f>
        <v>1</v>
      </c>
      <c r="IC71" s="15">
        <f>MIN(1,MAX(VLOOKUP(($AJ71-$AI71-$AH71-$AG71-$AF71-$AE71*(1+IC$3))/$AJ71,'Технический лист'!$M:$N,2,1),(IB71-0.05)))</f>
        <v>1</v>
      </c>
      <c r="ID71" s="15">
        <f>MIN(1,MAX(VLOOKUP(($AJ71-$AI71-$AH71-$AG71-$AF71-$AE71*(1+ID$3))/$AJ71,'Технический лист'!$M:$N,2,1),(IC71-0.05)))</f>
        <v>1</v>
      </c>
      <c r="IE71" s="15">
        <f>MIN(1,MAX(VLOOKUP(($AJ71-$AI71-$AH71-$AG71-$AF71-$AE71*(1+IE$3))/$AJ71,'Технический лист'!$M:$N,2,1),(ID71-0.05)))</f>
        <v>1</v>
      </c>
      <c r="IF71" s="15">
        <f>MIN(1,MAX(VLOOKUP(($AJ71-$AI71-$AH71-$AG71-$AF71-$AE71*(1+IF$3))/$AJ71,'Технический лист'!$M:$N,2,1),(IE71-0.05)))</f>
        <v>1</v>
      </c>
      <c r="IG71" s="15">
        <f>MIN(1,MAX(VLOOKUP(($AJ71-$AI71-$AH71-$AG71-$AF71-$AE71*(1+IG$3))/$AJ71,'Технический лист'!$M:$N,2,1),(IF71-0.05)))</f>
        <v>1</v>
      </c>
      <c r="IH71" s="15">
        <f>MIN(1,MAX(VLOOKUP(($AJ71-$AI71-$AH71-$AG71-$AF71-$AE71*(1+IH$3))/$AJ71,'Технический лист'!$M:$N,2,1),(IG71-0.05)))</f>
        <v>1</v>
      </c>
      <c r="II71" s="15">
        <f>MIN(1,MAX(VLOOKUP(($AJ71-$AI71-$AH71-$AG71-$AF71-$AE71*(1+II$3))/$AJ71,'Технический лист'!$M:$N,2,1),(IH71-0.05)))</f>
        <v>1</v>
      </c>
      <c r="IJ71" s="15">
        <f>MIN(1,MAX(VLOOKUP(($AJ71-$AI71-$AH71-$AG71-$AF71-$AE71*(1+IJ$3))/$AJ71,'Технический лист'!$M:$N,2,1),(II71-0.05)))</f>
        <v>1</v>
      </c>
      <c r="IK71" s="15">
        <f>MIN(1,MAX(VLOOKUP(($AJ71-$AI71-$AH71-$AG71-$AF71-$AE71*(1+IK$3))/$AJ71,'Технический лист'!$M:$N,2,1),(IJ71-0.05)))</f>
        <v>1</v>
      </c>
      <c r="IL71" s="15">
        <f>MIN(1,MAX(VLOOKUP(($AJ71-$AI71-$AH71-$AG71-$AF71-$AE71*(1+IL$3))/$AJ71,'Технический лист'!$M:$N,2,1),(IK71-0.05)))</f>
        <v>1</v>
      </c>
      <c r="IM71" s="15">
        <f>MIN(1,MAX(VLOOKUP(($AJ71-$AI71-$AH71-$AG71-$AF71-$AE71*(1+IM$3))/$AJ71,'Технический лист'!$M:$N,2,1),(IL71-0.05)))</f>
        <v>1</v>
      </c>
      <c r="IN71" s="15">
        <f>MIN(1,MAX(VLOOKUP(($AJ71-$AI71-$AH71-$AG71-$AF71-$AE71*(1+IN$3))/$AJ71,'Технический лист'!$M:$N,2,1),(IM71-0.05)))</f>
        <v>1</v>
      </c>
      <c r="IO71" s="15">
        <f>MIN(1,MAX(VLOOKUP(($AJ71-$AI71-$AH71-$AG71-$AF71-$AE71*(1+IO$3))/$AJ71,'Технический лист'!$M:$N,2,1),(IN71-0.05)))</f>
        <v>1</v>
      </c>
      <c r="IP71" s="15">
        <f>MIN(1,MAX(VLOOKUP(($AJ71-$AI71-$AH71-$AG71-$AF71-$AE71*(1+IP$3))/$AJ71,'Технический лист'!$M:$N,2,1),(IO71-0.05)))</f>
        <v>1</v>
      </c>
      <c r="IQ71" s="15">
        <f>MIN(1,MAX(VLOOKUP(($AJ71-$AI71-$AH71-$AG71-$AF71-$AE71*(1+IQ$3))/$AJ71,'Технический лист'!$M:$N,2,1),(IP71-0.05)))</f>
        <v>1</v>
      </c>
      <c r="IR71" s="15">
        <f>MIN(1,MAX(VLOOKUP(($AJ71-$AI71-$AH71-$AG71-$AF71-$AE71*(1+IR$3))/$AJ71,'Технический лист'!$M:$N,2,1),(IQ71-0.05)))</f>
        <v>1</v>
      </c>
    </row>
    <row r="72" spans="1:252" s="4" customFormat="1" ht="29.15">
      <c r="A72" s="89" t="s">
        <v>512</v>
      </c>
      <c r="B72" s="76">
        <v>4</v>
      </c>
      <c r="C72" s="3" t="s">
        <v>67</v>
      </c>
      <c r="D72" s="77">
        <v>15119</v>
      </c>
      <c r="E72" s="77" t="s">
        <v>396</v>
      </c>
      <c r="F72" s="77" t="s">
        <v>390</v>
      </c>
      <c r="G72" s="77" t="s">
        <v>20</v>
      </c>
      <c r="H72" s="77" t="s">
        <v>20</v>
      </c>
      <c r="I72" s="77" t="s">
        <v>370</v>
      </c>
      <c r="J72" s="77" t="s">
        <v>61</v>
      </c>
      <c r="K72" s="77">
        <v>1593</v>
      </c>
      <c r="L72" s="77" t="s">
        <v>189</v>
      </c>
      <c r="M72" s="77" t="s">
        <v>17</v>
      </c>
      <c r="N72" s="77" t="s">
        <v>48</v>
      </c>
      <c r="O72" s="77" t="s">
        <v>193</v>
      </c>
      <c r="P72" s="79" t="s">
        <v>223</v>
      </c>
      <c r="Q72" s="77" t="s">
        <v>263</v>
      </c>
      <c r="R72" s="77" t="s">
        <v>263</v>
      </c>
      <c r="S72" s="80">
        <v>157358</v>
      </c>
      <c r="T72" s="80">
        <v>250670843</v>
      </c>
      <c r="U72" s="81">
        <v>3061</v>
      </c>
      <c r="V72" s="81">
        <v>0</v>
      </c>
      <c r="W72" s="82">
        <v>146386403</v>
      </c>
      <c r="X72" s="112">
        <v>52</v>
      </c>
      <c r="Y72" s="112" t="s">
        <v>449</v>
      </c>
      <c r="Z72" s="113">
        <v>6</v>
      </c>
      <c r="AA72" s="113">
        <v>0</v>
      </c>
      <c r="AB72" s="113">
        <v>4</v>
      </c>
      <c r="AC72" s="99">
        <f>74412/X72</f>
        <v>1431</v>
      </c>
      <c r="AD72" s="99">
        <v>0</v>
      </c>
      <c r="AE72" s="99">
        <f>AC72</f>
        <v>1431</v>
      </c>
      <c r="AF72" s="98">
        <f>(AB72+AA72+Z72)*'Ставки аренды'!$B$6/X72</f>
        <v>307.69230769230768</v>
      </c>
      <c r="AG72" s="114">
        <f>'Ставки перевалки'!$B$16*2/X72</f>
        <v>865.38461538461536</v>
      </c>
      <c r="AH72" s="94">
        <v>0</v>
      </c>
      <c r="AI72" s="115">
        <f>575152/1082467*AJ72</f>
        <v>729787.32547782047</v>
      </c>
      <c r="AJ72" s="117">
        <f>Цены!C34*'Курсы валют'!B2</f>
        <v>1373499</v>
      </c>
      <c r="AK72" s="94">
        <f>AJ72/Цены!$B$1</f>
        <v>18000</v>
      </c>
      <c r="AL72" s="95">
        <f t="shared" si="24"/>
        <v>2604.0769230769229</v>
      </c>
      <c r="AM72" s="95">
        <f t="shared" si="25"/>
        <v>1370894.923076923</v>
      </c>
      <c r="AN72" s="94">
        <f t="shared" si="22"/>
        <v>732391.40240089735</v>
      </c>
      <c r="AO72" s="118">
        <f t="shared" si="23"/>
        <v>0.46676961366488262</v>
      </c>
      <c r="AP72" s="96">
        <f t="shared" si="26"/>
        <v>1.8959438070773424E-3</v>
      </c>
      <c r="AQ72" s="96">
        <f t="shared" si="27"/>
        <v>1.041864610021558E-3</v>
      </c>
      <c r="AR72" s="96">
        <f t="shared" si="28"/>
        <v>0.5495229374058429</v>
      </c>
      <c r="AS72" s="122">
        <v>1</v>
      </c>
      <c r="AT72" s="121">
        <f t="shared" si="29"/>
        <v>157358</v>
      </c>
      <c r="AU72" s="83">
        <v>0.9</v>
      </c>
      <c r="AV72" s="119">
        <f t="shared" si="30"/>
        <v>0.46664458991168001</v>
      </c>
      <c r="AW72" s="120">
        <f t="shared" si="31"/>
        <v>2.0209675602799295E-3</v>
      </c>
      <c r="AX72" s="120">
        <f t="shared" si="32"/>
        <v>1.1668883632241452E-3</v>
      </c>
      <c r="AY72" s="120">
        <f t="shared" si="33"/>
        <v>0.57739094192215357</v>
      </c>
      <c r="AZ72" s="15">
        <f>MIN(IF($AU72=100%,1,1+VLOOKUP(($AJ72-$AI72-$AH72-$AG72-$AF72-$AE72*(1+AZ$3))/$AJ72,'Технический лист'!$M:$N,2,1)-VLOOKUP($AO72,'Технический лист'!$M:$N,2,1)),1+(1-$AU72))</f>
        <v>0.99999999999999978</v>
      </c>
      <c r="BA72" s="15">
        <f>MIN(IF($AU72=100%,1,1+VLOOKUP(($AJ72-$AI72-$AH72-$AG72-$AF72-$AE72*(1+BA$3))/$AJ72,'Технический лист'!$M:$N,2,1)-VLOOKUP($AO72,'Технический лист'!$M:$N,2,1)),1+(1-$AU72))</f>
        <v>0.99999999999999978</v>
      </c>
      <c r="BB72" s="15">
        <f>MIN(IF($AU72=100%,1,1+VLOOKUP(($AJ72-$AI72-$AH72-$AG72-$AF72-$AE72*(1+BB$3))/$AJ72,'Технический лист'!$M:$N,2,1)-VLOOKUP($AO72,'Технический лист'!$M:$N,2,1)),1+(1-$AU72))</f>
        <v>0.99999999999999978</v>
      </c>
      <c r="BC72" s="15">
        <f>MIN(IF($AU72=100%,1,1+VLOOKUP(($AJ72-$AI72-$AH72-$AG72-$AF72-$AE72*(1+BC$3))/$AJ72,'Технический лист'!$M:$N,2,1)-VLOOKUP($AO72,'Технический лист'!$M:$N,2,1)),1+(1-$AU72))</f>
        <v>0.99999999999999978</v>
      </c>
      <c r="BD72" s="15">
        <f>MIN(IF($AU72=100%,1,1+VLOOKUP(($AJ72-$AI72-$AH72-$AG72-$AF72-$AE72*(1+BD$3))/$AJ72,'Технический лист'!$M:$N,2,1)-VLOOKUP($AO72,'Технический лист'!$M:$N,2,1)),1+(1-$AU72))</f>
        <v>0.99999999999999978</v>
      </c>
      <c r="BE72" s="15">
        <f>MIN(IF($AU72=100%,1,1+VLOOKUP(($AJ72-$AI72-$AH72-$AG72-$AF72-$AE72*(1+BE$3))/$AJ72,'Технический лист'!$M:$N,2,1)-VLOOKUP($AO72,'Технический лист'!$M:$N,2,1)),1+(1-$AU72))</f>
        <v>0.99999999999999978</v>
      </c>
      <c r="BF72" s="15">
        <f>MIN(IF($AU72=100%,1,1+VLOOKUP(($AJ72-$AI72-$AH72-$AG72-$AF72-$AE72*(1+BF$3))/$AJ72,'Технический лист'!$M:$N,2,1)-VLOOKUP($AO72,'Технический лист'!$M:$N,2,1)),1+(1-$AU72))</f>
        <v>0.99999999999999978</v>
      </c>
      <c r="BG72" s="15">
        <f>MIN(IF($AU72=100%,1,1+VLOOKUP(($AJ72-$AI72-$AH72-$AG72-$AF72-$AE72*(1+BG$3))/$AJ72,'Технический лист'!$M:$N,2,1)-VLOOKUP($AO72,'Технический лист'!$M:$N,2,1)),1+(1-$AU72))</f>
        <v>0.99999999999999978</v>
      </c>
      <c r="BH72" s="15">
        <f>MIN(IF($AU72=100%,1,1+VLOOKUP(($AJ72-$AI72-$AH72-$AG72-$AF72-$AE72*(1+BH$3))/$AJ72,'Технический лист'!$M:$N,2,1)-VLOOKUP($AO72,'Технический лист'!$M:$N,2,1)),1+(1-$AU72))</f>
        <v>0.99999999999999978</v>
      </c>
      <c r="BI72" s="15">
        <f>MIN(IF($AU72=100%,1,1+VLOOKUP(($AJ72-$AI72-$AH72-$AG72-$AF72-$AE72*(1+BI$3))/$AJ72,'Технический лист'!$M:$N,2,1)-VLOOKUP($AO72,'Технический лист'!$M:$N,2,1)),1+(1-$AU72))</f>
        <v>0.99999999999999978</v>
      </c>
      <c r="BJ72" s="15">
        <f>MIN(IF($AU72=100%,1,1+VLOOKUP(($AJ72-$AI72-$AH72-$AG72-$AF72-$AE72*(1+BJ$3))/$AJ72,'Технический лист'!$M:$N,2,1)-VLOOKUP($AO72,'Технический лист'!$M:$N,2,1)),1+(1-$AU72))</f>
        <v>0.99999999999999978</v>
      </c>
      <c r="BK72" s="15">
        <f>MIN(IF($AU72=100%,1,1+VLOOKUP(($AJ72-$AI72-$AH72-$AG72-$AF72-$AE72*(1+BK$3))/$AJ72,'Технический лист'!$M:$N,2,1)-VLOOKUP($AO72,'Технический лист'!$M:$N,2,1)),1+(1-$AU72))</f>
        <v>0.99999999999999978</v>
      </c>
      <c r="BL72" s="15">
        <f>MIN(IF($AU72=100%,1,1+VLOOKUP(($AJ72-$AI72-$AH72-$AG72-$AF72-$AE72*(1+BL$3))/$AJ72,'Технический лист'!$M:$N,2,1)-VLOOKUP($AO72,'Технический лист'!$M:$N,2,1)),1+(1-$AU72))</f>
        <v>0.99999999999999978</v>
      </c>
      <c r="BM72" s="15">
        <f>MIN(IF($AU72=100%,1,1+VLOOKUP(($AJ72-$AI72-$AH72-$AG72-$AF72-$AE72*(1+BM$3))/$AJ72,'Технический лист'!$M:$N,2,1)-VLOOKUP($AO72,'Технический лист'!$M:$N,2,1)),1+(1-$AU72))</f>
        <v>0.99999999999999978</v>
      </c>
      <c r="BN72" s="15">
        <f>MIN(IF($AU72=100%,1,1+VLOOKUP(($AJ72-$AI72-$AH72-$AG72-$AF72-$AE72*(1+BN$3))/$AJ72,'Технический лист'!$M:$N,2,1)-VLOOKUP($AO72,'Технический лист'!$M:$N,2,1)),1+(1-$AU72))</f>
        <v>0.99999999999999978</v>
      </c>
      <c r="BO72" s="15">
        <f>MIN(IF($AU72=100%,1,1+VLOOKUP(($AJ72-$AI72-$AH72-$AG72-$AF72-$AE72*(1+BO$3))/$AJ72,'Технический лист'!$M:$N,2,1)-VLOOKUP($AO72,'Технический лист'!$M:$N,2,1)),1+(1-$AU72))</f>
        <v>0.99999999999999978</v>
      </c>
      <c r="BP72" s="15">
        <f>MIN(IF($AU72=100%,1,1+VLOOKUP(($AJ72-$AI72-$AH72-$AG72-$AF72-$AE72*(1+BP$3))/$AJ72,'Технический лист'!$M:$N,2,1)-VLOOKUP($AO72,'Технический лист'!$M:$N,2,1)),1+(1-$AU72))</f>
        <v>0.99999999999999978</v>
      </c>
      <c r="BQ72" s="15">
        <f>MIN(IF($AU72=100%,1,1+VLOOKUP(($AJ72-$AI72-$AH72-$AG72-$AF72-$AE72*(1+BQ$3))/$AJ72,'Технический лист'!$M:$N,2,1)-VLOOKUP($AO72,'Технический лист'!$M:$N,2,1)),1+(1-$AU72))</f>
        <v>0.99999999999999978</v>
      </c>
      <c r="BR72" s="15">
        <f>MIN(IF($AU72=100%,1,1+VLOOKUP(($AJ72-$AI72-$AH72-$AG72-$AF72-$AE72*(1+BR$3))/$AJ72,'Технический лист'!$M:$N,2,1)-VLOOKUP($AO72,'Технический лист'!$M:$N,2,1)),1+(1-$AU72))</f>
        <v>0.99999999999999978</v>
      </c>
      <c r="BS72" s="15">
        <f>MIN(IF($AU72=100%,1,1+VLOOKUP(($AJ72-$AI72-$AH72-$AG72-$AF72-$AE72*(1+BS$3))/$AJ72,'Технический лист'!$M:$N,2,1)-VLOOKUP($AO72,'Технический лист'!$M:$N,2,1)),1+(1-$AU72))</f>
        <v>0.99999999999999978</v>
      </c>
      <c r="BT72" s="15">
        <f>MIN(IF($AU72=100%,1,1+VLOOKUP(($AJ72-$AI72-$AH72-$AG72-$AF72-$AE72*(1+BT$3))/$AJ72,'Технический лист'!$M:$N,2,1)-VLOOKUP($AO72,'Технический лист'!$M:$N,2,1)),1+(1-$AU72))</f>
        <v>0.99999999999999978</v>
      </c>
      <c r="BU72" s="15">
        <f>MIN(IF($AU72=100%,1,1+VLOOKUP(($AJ72-$AI72-$AH72-$AG72-$AF72-$AE72*(1+BU$3))/$AJ72,'Технический лист'!$M:$N,2,1)-VLOOKUP($AO72,'Технический лист'!$M:$N,2,1)),1+(1-$AU72))</f>
        <v>0.99999999999999978</v>
      </c>
      <c r="BV72" s="15">
        <f>MIN(IF($AU72=100%,1,1+VLOOKUP(($AJ72-$AI72-$AH72-$AG72-$AF72-$AE72*(1+BV$3))/$AJ72,'Технический лист'!$M:$N,2,1)-VLOOKUP($AO72,'Технический лист'!$M:$N,2,1)),1+(1-$AU72))</f>
        <v>0.99999999999999978</v>
      </c>
      <c r="BW72" s="15">
        <f>MIN(IF($AU72=100%,1,1+VLOOKUP(($AJ72-$AI72-$AH72-$AG72-$AF72-$AE72*(1+BW$3))/$AJ72,'Технический лист'!$M:$N,2,1)-VLOOKUP($AO72,'Технический лист'!$M:$N,2,1)),1+(1-$AU72))</f>
        <v>0.99999999999999978</v>
      </c>
      <c r="BX72" s="15">
        <f>MIN(IF($AU72=100%,1,1+VLOOKUP(($AJ72-$AI72-$AH72-$AG72-$AF72-$AE72*(1+BX$3))/$AJ72,'Технический лист'!$M:$N,2,1)-VLOOKUP($AO72,'Технический лист'!$M:$N,2,1)),1+(1-$AU72))</f>
        <v>0.99999999999999978</v>
      </c>
      <c r="BY72" s="15">
        <f>MIN(IF($AU72=100%,1,1+VLOOKUP(($AJ72-$AI72-$AH72-$AG72-$AF72-$AE72*(1+BY$3))/$AJ72,'Технический лист'!$M:$N,2,1)-VLOOKUP($AO72,'Технический лист'!$M:$N,2,1)),1+(1-$AU72))</f>
        <v>0.99999999999999978</v>
      </c>
      <c r="BZ72" s="15">
        <f>MIN(IF($AU72=100%,1,1+VLOOKUP(($AJ72-$AI72-$AH72-$AG72-$AF72-$AE72*(1+BZ$3))/$AJ72,'Технический лист'!$M:$N,2,1)-VLOOKUP($AO72,'Технический лист'!$M:$N,2,1)),1+(1-$AU72))</f>
        <v>0.99999999999999978</v>
      </c>
      <c r="CA72" s="15">
        <f>MIN(IF($AU72=100%,1,1+VLOOKUP(($AJ72-$AI72-$AH72-$AG72-$AF72-$AE72*(1+CA$3))/$AJ72,'Технический лист'!$M:$N,2,1)-VLOOKUP($AO72,'Технический лист'!$M:$N,2,1)),1+(1-$AU72))</f>
        <v>0.99999999999999978</v>
      </c>
      <c r="CB72" s="15">
        <f>MIN(IF($AU72=100%,1,1+VLOOKUP(($AJ72-$AI72-$AH72-$AG72-$AF72-$AE72*(1+CB$3))/$AJ72,'Технический лист'!$M:$N,2,1)-VLOOKUP($AO72,'Технический лист'!$M:$N,2,1)),1+(1-$AU72))</f>
        <v>0.99999999999999978</v>
      </c>
      <c r="CC72" s="15">
        <f>MIN(IF($AU72=100%,1,1+VLOOKUP(($AJ72-$AI72-$AH72-$AG72-$AF72-$AE72*(1+CC$3))/$AJ72,'Технический лист'!$M:$N,2,1)-VLOOKUP($AO72,'Технический лист'!$M:$N,2,1)),1+(1-$AU72))</f>
        <v>0.99999999999999978</v>
      </c>
      <c r="CD72" s="15">
        <f>MIN(IF($AU72=100%,1,1+VLOOKUP(($AJ72-$AI72-$AH72-$AG72-$AF72-$AE72*(1+CD$3))/$AJ72,'Технический лист'!$M:$N,2,1)-VLOOKUP($AO72,'Технический лист'!$M:$N,2,1)),1+(1-$AU72))</f>
        <v>0.99999999999999978</v>
      </c>
      <c r="CE72" s="15">
        <f>MIN(IF($AU72=100%,1,1+VLOOKUP(($AJ72-$AI72-$AH72-$AG72-$AF72-$AE72*(1+CE$3))/$AJ72,'Технический лист'!$M:$N,2,1)-VLOOKUP($AO72,'Технический лист'!$M:$N,2,1)),1+(1-$AU72))</f>
        <v>0.99999999999999978</v>
      </c>
      <c r="CF72" s="15">
        <f>MIN(IF($AU72=100%,1,1+VLOOKUP(($AJ72-$AI72-$AH72-$AG72-$AF72-$AE72*(1+CF$3))/$AJ72,'Технический лист'!$M:$N,2,1)-VLOOKUP($AO72,'Технический лист'!$M:$N,2,1)),1+(1-$AU72))</f>
        <v>0.99999999999999978</v>
      </c>
      <c r="CG72" s="15">
        <f>MIN(IF($AU72=100%,1,1+VLOOKUP(($AJ72-$AI72-$AH72-$AG72-$AF72-$AE72*(1+CG$3))/$AJ72,'Технический лист'!$M:$N,2,1)-VLOOKUP($AO72,'Технический лист'!$M:$N,2,1)),1+(1-$AU72))</f>
        <v>0.99999999999999978</v>
      </c>
      <c r="CH72" s="15">
        <f>MIN(IF($AU72=100%,1,1+VLOOKUP(($AJ72-$AI72-$AH72-$AG72-$AF72-$AE72*(1+CH$3))/$AJ72,'Технический лист'!$M:$N,2,1)-VLOOKUP($AO72,'Технический лист'!$M:$N,2,1)),1+(1-$AU72))</f>
        <v>0.99999999999999978</v>
      </c>
      <c r="CI72" s="15">
        <f>MIN(IF($AU72=100%,1,1+VLOOKUP(($AJ72-$AI72-$AH72-$AG72-$AF72-$AE72*(1+CI$3))/$AJ72,'Технический лист'!$M:$N,2,1)-VLOOKUP($AO72,'Технический лист'!$M:$N,2,1)),1+(1-$AU72))</f>
        <v>0.99999999999999978</v>
      </c>
      <c r="CJ72" s="15">
        <f>MIN(IF($AU72=100%,1,1+VLOOKUP(($AJ72-$AI72-$AH72-$AG72-$AF72-$AE72*(1+CJ$3))/$AJ72,'Технический лист'!$M:$N,2,1)-VLOOKUP($AO72,'Технический лист'!$M:$N,2,1)),1+(1-$AU72))</f>
        <v>0.99999999999999978</v>
      </c>
      <c r="CK72" s="15">
        <f>MIN(IF($AU72=100%,1,1+VLOOKUP(($AJ72-$AI72-$AH72-$AG72-$AF72-$AE72*(1+CK$3))/$AJ72,'Технический лист'!$M:$N,2,1)-VLOOKUP($AO72,'Технический лист'!$M:$N,2,1)),1+(1-$AU72))</f>
        <v>0.99999999999999978</v>
      </c>
      <c r="CL72" s="15">
        <f>MIN(IF($AU72=100%,1,1+VLOOKUP(($AJ72-$AI72-$AH72-$AG72-$AF72-$AE72*(1+CL$3))/$AJ72,'Технический лист'!$M:$N,2,1)-VLOOKUP($AO72,'Технический лист'!$M:$N,2,1)),1+(1-$AU72))</f>
        <v>0.99999999999999978</v>
      </c>
      <c r="CM72" s="15">
        <f>MIN(IF($AU72=100%,1,1+VLOOKUP(($AJ72-$AI72-$AH72-$AG72-$AF72-$AE72*(1+CM$3))/$AJ72,'Технический лист'!$M:$N,2,1)-VLOOKUP($AO72,'Технический лист'!$M:$N,2,1)),1+(1-$AU72))</f>
        <v>0.99999999999999978</v>
      </c>
      <c r="CN72" s="15">
        <f>MIN(IF($AU72=100%,1,1+VLOOKUP(($AJ72-$AI72-$AH72-$AG72-$AF72-$AE72*(1+CN$3))/$AJ72,'Технический лист'!$M:$N,2,1)-VLOOKUP($AO72,'Технический лист'!$M:$N,2,1)),1+(1-$AU72))</f>
        <v>0.99999999999999978</v>
      </c>
      <c r="CO72" s="15">
        <f>MIN(IF($AU72=100%,1,1+VLOOKUP(($AJ72-$AI72-$AH72-$AG72-$AF72-$AE72*(1+CO$3))/$AJ72,'Технический лист'!$M:$N,2,1)-VLOOKUP($AO72,'Технический лист'!$M:$N,2,1)),1+(1-$AU72))</f>
        <v>0.99999999999999978</v>
      </c>
      <c r="CP72" s="15">
        <f>MIN(IF($AU72=100%,1,1+VLOOKUP(($AJ72-$AI72-$AH72-$AG72-$AF72-$AE72*(1+CP$3))/$AJ72,'Технический лист'!$M:$N,2,1)-VLOOKUP($AO72,'Технический лист'!$M:$N,2,1)),1+(1-$AU72))</f>
        <v>0.99999999999999978</v>
      </c>
      <c r="CQ72" s="15">
        <f>MIN(IF($AU72=100%,1,1+VLOOKUP(($AJ72-$AI72-$AH72-$AG72-$AF72-$AE72*(1+CQ$3))/$AJ72,'Технический лист'!$M:$N,2,1)-VLOOKUP($AO72,'Технический лист'!$M:$N,2,1)),1+(1-$AU72))</f>
        <v>0.99999999999999978</v>
      </c>
      <c r="CR72" s="15">
        <f>MIN(IF($AU72=100%,1,1+VLOOKUP(($AJ72-$AI72-$AH72-$AG72-$AF72-$AE72*(1+CR$3))/$AJ72,'Технический лист'!$M:$N,2,1)-VLOOKUP($AO72,'Технический лист'!$M:$N,2,1)),1+(1-$AU72))</f>
        <v>0.99999999999999978</v>
      </c>
      <c r="CS72" s="15">
        <f>MIN(IF($AU72=100%,1,1+VLOOKUP(($AJ72-$AI72-$AH72-$AG72-$AF72-$AE72*(1+CS$3))/$AJ72,'Технический лист'!$M:$N,2,1)-VLOOKUP($AO72,'Технический лист'!$M:$N,2,1)),1+(1-$AU72))</f>
        <v>0.99999999999999978</v>
      </c>
      <c r="CT72" s="15">
        <f>MIN(IF($AU72=100%,1,1+VLOOKUP(($AJ72-$AI72-$AH72-$AG72-$AF72-$AE72*(1+CT$3))/$AJ72,'Технический лист'!$M:$N,2,1)-VLOOKUP($AO72,'Технический лист'!$M:$N,2,1)),1+(1-$AU72))</f>
        <v>0.99999999999999978</v>
      </c>
      <c r="CU72" s="15">
        <f>MIN(IF($AU72=100%,1,1+VLOOKUP(($AJ72-$AI72-$AH72-$AG72-$AF72-$AE72*(1+CU$3))/$AJ72,'Технический лист'!$M:$N,2,1)-VLOOKUP($AO72,'Технический лист'!$M:$N,2,1)),1+(1-$AU72))</f>
        <v>0.99999999999999978</v>
      </c>
      <c r="CV72" s="15">
        <f>MIN(IF($AU72=100%,1,1+VLOOKUP(($AJ72-$AI72-$AH72-$AG72-$AF72-$AE72*(1+CV$3))/$AJ72,'Технический лист'!$M:$N,2,1)-VLOOKUP($AO72,'Технический лист'!$M:$N,2,1)),1+(1-$AU72))</f>
        <v>0.99999999999999978</v>
      </c>
      <c r="CW72" s="15">
        <f>MIN(IF($AU72=100%,1,1+VLOOKUP(($AJ72-$AI72-$AH72-$AG72-$AF72-$AE72*(1+CW$3))/$AJ72,'Технический лист'!$M:$N,2,1)-VLOOKUP($AO72,'Технический лист'!$M:$N,2,1)),1+(1-$AU72))</f>
        <v>0.99999999999999978</v>
      </c>
      <c r="CX72" s="15">
        <f>MIN(IF($AU72=100%,1,1+VLOOKUP(($AJ72-$AI72-$AH72-$AG72-$AF72-$AE72*(1+CX$3))/$AJ72,'Технический лист'!$M:$N,2,1)-VLOOKUP($AO72,'Технический лист'!$M:$N,2,1)),1+(1-$AU72))</f>
        <v>0.99999999999999978</v>
      </c>
      <c r="CY72" s="15">
        <f>MIN(IF($AU72=100%,1,1+VLOOKUP(($AJ72-$AI72-$AH72-$AG72-$AF72-$AE72*(1+CY$3))/$AJ72,'Технический лист'!$M:$N,2,1)-VLOOKUP($AO72,'Технический лист'!$M:$N,2,1)),1+(1-$AU72))</f>
        <v>0.99999999999999978</v>
      </c>
      <c r="CZ72" s="15">
        <f>MIN(IF($AU72=100%,1,1+VLOOKUP(($AJ72-$AI72-$AH72-$AG72-$AF72-$AE72*(1+CZ$3))/$AJ72,'Технический лист'!$M:$N,2,1)-VLOOKUP($AO72,'Технический лист'!$M:$N,2,1)),1+(1-$AU72))</f>
        <v>0.99999999999999978</v>
      </c>
      <c r="DA72" s="15">
        <f>MIN(IF($AU72=100%,1,1+VLOOKUP(($AJ72-$AI72-$AH72-$AG72-$AF72-$AE72*(1+DA$3))/$AJ72,'Технический лист'!$M:$N,2,1)-VLOOKUP($AO72,'Технический лист'!$M:$N,2,1)),1+(1-$AU72))</f>
        <v>0.99999999999999978</v>
      </c>
      <c r="DB72" s="15">
        <f>MIN(IF($AU72=100%,1,1+VLOOKUP(($AJ72-$AI72-$AH72-$AG72-$AF72-$AE72*(1+DB$3))/$AJ72,'Технический лист'!$M:$N,2,1)-VLOOKUP($AO72,'Технический лист'!$M:$N,2,1)),1+(1-$AU72))</f>
        <v>0.99999999999999978</v>
      </c>
      <c r="DC72" s="15">
        <f>MIN(IF($AU72=100%,1,1+VLOOKUP(($AJ72-$AI72-$AH72-$AG72-$AF72-$AE72*(1+DC$3))/$AJ72,'Технический лист'!$M:$N,2,1)-VLOOKUP($AO72,'Технический лист'!$M:$N,2,1)),1+(1-$AU72))</f>
        <v>0.99999999999999978</v>
      </c>
      <c r="DD72" s="15">
        <f>MIN(IF($AU72=100%,1,1+VLOOKUP(($AJ72-$AI72-$AH72-$AG72-$AF72-$AE72*(1+DD$3))/$AJ72,'Технический лист'!$M:$N,2,1)-VLOOKUP($AO72,'Технический лист'!$M:$N,2,1)),1+(1-$AU72))</f>
        <v>0.99999999999999978</v>
      </c>
      <c r="DE72" s="15">
        <f>MIN(IF($AU72=100%,1,1+VLOOKUP(($AJ72-$AI72-$AH72-$AG72-$AF72-$AE72*(1+DE$3))/$AJ72,'Технический лист'!$M:$N,2,1)-VLOOKUP($AO72,'Технический лист'!$M:$N,2,1)),1+(1-$AU72))</f>
        <v>0.99999999999999978</v>
      </c>
      <c r="DF72" s="15">
        <f>MIN(IF($AU72=100%,1,1+VLOOKUP(($AJ72-$AI72-$AH72-$AG72-$AF72-$AE72*(1+DF$3))/$AJ72,'Технический лист'!$M:$N,2,1)-VLOOKUP($AO72,'Технический лист'!$M:$N,2,1)),1+(1-$AU72))</f>
        <v>0.99999999999999978</v>
      </c>
      <c r="DG72" s="15">
        <f>MIN(IF($AU72=100%,1,1+VLOOKUP(($AJ72-$AI72-$AH72-$AG72-$AF72-$AE72*(1+DG$3))/$AJ72,'Технический лист'!$M:$N,2,1)-VLOOKUP($AO72,'Технический лист'!$M:$N,2,1)),1+(1-$AU72))</f>
        <v>0.99999999999999978</v>
      </c>
      <c r="DH72" s="15">
        <f>MIN(IF($AU72=100%,1,1+VLOOKUP(($AJ72-$AI72-$AH72-$AG72-$AF72-$AE72*(1+DH$3))/$AJ72,'Технический лист'!$M:$N,2,1)-VLOOKUP($AO72,'Технический лист'!$M:$N,2,1)),1+(1-$AU72))</f>
        <v>0.99999999999999978</v>
      </c>
      <c r="DI72" s="15">
        <f>MIN(IF($AU72=100%,1,1+VLOOKUP(($AJ72-$AI72-$AH72-$AG72-$AF72-$AE72*(1+DI$3))/$AJ72,'Технический лист'!$M:$N,2,1)-VLOOKUP($AO72,'Технический лист'!$M:$N,2,1)),1+(1-$AU72))</f>
        <v>0.99999999999999978</v>
      </c>
      <c r="DJ72" s="15">
        <f>MIN(IF($AU72=100%,1,1+VLOOKUP(($AJ72-$AI72-$AH72-$AG72-$AF72-$AE72*(1+DJ$3))/$AJ72,'Технический лист'!$M:$N,2,1)-VLOOKUP($AO72,'Технический лист'!$M:$N,2,1)),1+(1-$AU72))</f>
        <v>0.99999999999999978</v>
      </c>
      <c r="DK72" s="15">
        <f>MIN(IF($AU72=100%,1,1+VLOOKUP(($AJ72-$AI72-$AH72-$AG72-$AF72-$AE72*(1+DK$3))/$AJ72,'Технический лист'!$M:$N,2,1)-VLOOKUP($AO72,'Технический лист'!$M:$N,2,1)),1+(1-$AU72))</f>
        <v>0.99999999999999978</v>
      </c>
      <c r="DL72" s="15">
        <f>MIN(IF($AU72=100%,1,1+VLOOKUP(($AJ72-$AI72-$AH72-$AG72-$AF72-$AE72*(1+DL$3))/$AJ72,'Технический лист'!$M:$N,2,1)-VLOOKUP($AO72,'Технический лист'!$M:$N,2,1)),1+(1-$AU72))</f>
        <v>0.99999999999999978</v>
      </c>
      <c r="DM72" s="15">
        <f>MIN(IF($AU72=100%,1,1+VLOOKUP(($AJ72-$AI72-$AH72-$AG72-$AF72-$AE72*(1+DM$3))/$AJ72,'Технический лист'!$M:$N,2,1)-VLOOKUP($AO72,'Технический лист'!$M:$N,2,1)),1+(1-$AU72))</f>
        <v>0.99999999999999978</v>
      </c>
      <c r="DN72" s="15">
        <f>MIN(IF($AU72=100%,1,1+VLOOKUP(($AJ72-$AI72-$AH72-$AG72-$AF72-$AE72*(1+DN$3))/$AJ72,'Технический лист'!$M:$N,2,1)-VLOOKUP($AO72,'Технический лист'!$M:$N,2,1)),1+(1-$AU72))</f>
        <v>0.99999999999999978</v>
      </c>
      <c r="DO72" s="15">
        <f>MIN(IF($AU72=100%,1,1+VLOOKUP(($AJ72-$AI72-$AH72-$AG72-$AF72-$AE72*(1+DO$3))/$AJ72,'Технический лист'!$M:$N,2,1)-VLOOKUP($AO72,'Технический лист'!$M:$N,2,1)),1+(1-$AU72))</f>
        <v>0.99999999999999978</v>
      </c>
      <c r="DP72" s="15">
        <f>MIN(IF($AU72=100%,1,1+VLOOKUP(($AJ72-$AI72-$AH72-$AG72-$AF72-$AE72*(1+DP$3))/$AJ72,'Технический лист'!$M:$N,2,1)-VLOOKUP($AO72,'Технический лист'!$M:$N,2,1)),1+(1-$AU72))</f>
        <v>0.99999999999999978</v>
      </c>
      <c r="DQ72" s="15">
        <f>MIN(IF($AU72=100%,1,1+VLOOKUP(($AJ72-$AI72-$AH72-$AG72-$AF72-$AE72*(1+DQ$3))/$AJ72,'Технический лист'!$M:$N,2,1)-VLOOKUP($AO72,'Технический лист'!$M:$N,2,1)),1+(1-$AU72))</f>
        <v>0.99999999999999978</v>
      </c>
      <c r="DR72" s="15">
        <f>MIN(IF($AU72=100%,1,1+VLOOKUP(($AJ72-$AI72-$AH72-$AG72-$AF72-$AE72*(1+DR$3))/$AJ72,'Технический лист'!$M:$N,2,1)-VLOOKUP($AO72,'Технический лист'!$M:$N,2,1)),1+(1-$AU72))</f>
        <v>0.99999999999999978</v>
      </c>
      <c r="DS72" s="15">
        <f>MIN(IF($AU72=100%,1,1+VLOOKUP(($AJ72-$AI72-$AH72-$AG72-$AF72-$AE72*(1+DS$3))/$AJ72,'Технический лист'!$M:$N,2,1)-VLOOKUP($AO72,'Технический лист'!$M:$N,2,1)),1+(1-$AU72))</f>
        <v>0.99999999999999978</v>
      </c>
      <c r="DT72" s="15">
        <f>MIN(IF($AU72=100%,1,1+VLOOKUP(($AJ72-$AI72-$AH72-$AG72-$AF72-$AE72*(1+DT$3))/$AJ72,'Технический лист'!$M:$N,2,1)-VLOOKUP($AO72,'Технический лист'!$M:$N,2,1)),1+(1-$AU72))</f>
        <v>0.99999999999999978</v>
      </c>
      <c r="DU72" s="15">
        <f>MIN(IF($AU72=100%,1,1+VLOOKUP(($AJ72-$AI72-$AH72-$AG72-$AF72-$AE72*(1+DU$3))/$AJ72,'Технический лист'!$M:$N,2,1)-VLOOKUP($AO72,'Технический лист'!$M:$N,2,1)),1+(1-$AU72))</f>
        <v>0.99999999999999978</v>
      </c>
      <c r="DV72" s="15">
        <f>MIN(IF($AU72=100%,1,1+VLOOKUP(($AJ72-$AI72-$AH72-$AG72-$AF72-$AE72*(1+DV$3))/$AJ72,'Технический лист'!$M:$N,2,1)-VLOOKUP($AO72,'Технический лист'!$M:$N,2,1)),1+(1-$AU72))</f>
        <v>0.99999999999999978</v>
      </c>
      <c r="DW72" s="15">
        <f>MIN(IF($AU72=100%,1,1+VLOOKUP(($AJ72-$AI72-$AH72-$AG72-$AF72-$AE72*(1+DW$3))/$AJ72,'Технический лист'!$M:$N,2,1)-VLOOKUP($AO72,'Технический лист'!$M:$N,2,1)),1+(1-$AU72))</f>
        <v>0.99999999999999978</v>
      </c>
      <c r="DX72" s="15">
        <f>MIN(IF($AU72=100%,1,1+VLOOKUP(($AJ72-$AI72-$AH72-$AG72-$AF72-$AE72*(1+DX$3))/$AJ72,'Технический лист'!$M:$N,2,1)-VLOOKUP($AO72,'Технический лист'!$M:$N,2,1)),1+(1-$AU72))</f>
        <v>0.99999999999999978</v>
      </c>
      <c r="DY72" s="15">
        <f>MIN(IF($AU72=100%,1,1+VLOOKUP(($AJ72-$AI72-$AH72-$AG72-$AF72-$AE72*(1+DY$3))/$AJ72,'Технический лист'!$M:$N,2,1)-VLOOKUP($AO72,'Технический лист'!$M:$N,2,1)),1+(1-$AU72))</f>
        <v>0.99999999999999978</v>
      </c>
      <c r="DZ72" s="15">
        <f>MIN(IF($AU72=100%,1,1+VLOOKUP(($AJ72-$AI72-$AH72-$AG72-$AF72-$AE72*(1+DZ$3))/$AJ72,'Технический лист'!$M:$N,2,1)-VLOOKUP($AO72,'Технический лист'!$M:$N,2,1)),1+(1-$AU72))</f>
        <v>0.99999999999999978</v>
      </c>
      <c r="EA72" s="15">
        <f>MIN(IF($AU72=100%,1,1+VLOOKUP(($AJ72-$AI72-$AH72-$AG72-$AF72-$AE72*(1+EA$3))/$AJ72,'Технический лист'!$M:$N,2,1)-VLOOKUP($AO72,'Технический лист'!$M:$N,2,1)),1+(1-$AU72))</f>
        <v>0.99999999999999978</v>
      </c>
      <c r="EB72" s="15">
        <f>MIN(IF($AU72=100%,1,1+VLOOKUP(($AJ72-$AI72-$AH72-$AG72-$AF72-$AE72*(1+EB$3))/$AJ72,'Технический лист'!$M:$N,2,1)-VLOOKUP($AO72,'Технический лист'!$M:$N,2,1)),1+(1-$AU72))</f>
        <v>0.99999999999999978</v>
      </c>
      <c r="EC72" s="15">
        <f>MIN(IF($AU72=100%,1,1+VLOOKUP(($AJ72-$AI72-$AH72-$AG72-$AF72-$AE72*(1+EC$3))/$AJ72,'Технический лист'!$M:$N,2,1)-VLOOKUP($AO72,'Технический лист'!$M:$N,2,1)),1+(1-$AU72))</f>
        <v>0.99999999999999978</v>
      </c>
      <c r="ED72" s="15">
        <f>MIN(IF($AU72=100%,1,1+VLOOKUP(($AJ72-$AI72-$AH72-$AG72-$AF72-$AE72*(1+ED$3))/$AJ72,'Технический лист'!$M:$N,2,1)-VLOOKUP($AO72,'Технический лист'!$M:$N,2,1)),1+(1-$AU72))</f>
        <v>0.99999999999999978</v>
      </c>
      <c r="EE72" s="15">
        <f>MIN(IF($AU72=100%,1,1+VLOOKUP(($AJ72-$AI72-$AH72-$AG72-$AF72-$AE72*(1+EE$3))/$AJ72,'Технический лист'!$M:$N,2,1)-VLOOKUP($AO72,'Технический лист'!$M:$N,2,1)),1+(1-$AU72))</f>
        <v>0.99999999999999978</v>
      </c>
      <c r="EF72" s="15">
        <f>MIN(IF($AU72=100%,1,1+VLOOKUP(($AJ72-$AI72-$AH72-$AG72-$AF72-$AE72*(1+EF$3))/$AJ72,'Технический лист'!$M:$N,2,1)-VLOOKUP($AO72,'Технический лист'!$M:$N,2,1)),1+(1-$AU72))</f>
        <v>0.99999999999999978</v>
      </c>
      <c r="EG72" s="15">
        <f>MIN(IF($AU72=100%,1,1+VLOOKUP(($AJ72-$AI72-$AH72-$AG72-$AF72-$AE72*(1+EG$3))/$AJ72,'Технический лист'!$M:$N,2,1)-VLOOKUP($AO72,'Технический лист'!$M:$N,2,1)),1+(1-$AU72))</f>
        <v>0.99999999999999978</v>
      </c>
      <c r="EH72" s="15">
        <f>MIN(IF($AU72=100%,1,1+VLOOKUP(($AJ72-$AI72-$AH72-$AG72-$AF72-$AE72*(1+EH$3))/$AJ72,'Технический лист'!$M:$N,2,1)-VLOOKUP($AO72,'Технический лист'!$M:$N,2,1)),1+(1-$AU72))</f>
        <v>0.99999999999999978</v>
      </c>
      <c r="EI72" s="15">
        <f>MIN(IF($AU72=100%,1,1+VLOOKUP(($AJ72-$AI72-$AH72-$AG72-$AF72-$AE72*(1+EI$3))/$AJ72,'Технический лист'!$M:$N,2,1)-VLOOKUP($AO72,'Технический лист'!$M:$N,2,1)),1+(1-$AU72))</f>
        <v>0.99999999999999978</v>
      </c>
      <c r="EJ72" s="15">
        <f>MIN(IF($AU72=100%,1,1+VLOOKUP(($AJ72-$AI72-$AH72-$AG72-$AF72-$AE72*(1+EJ$3))/$AJ72,'Технический лист'!$M:$N,2,1)-VLOOKUP($AO72,'Технический лист'!$M:$N,2,1)),1+(1-$AU72))</f>
        <v>0.99999999999999978</v>
      </c>
      <c r="EK72" s="15">
        <f>MIN(IF($AU72=100%,1,1+VLOOKUP(($AJ72-$AI72-$AH72-$AG72-$AF72-$AE72*(1+EK$3))/$AJ72,'Технический лист'!$M:$N,2,1)-VLOOKUP($AO72,'Технический лист'!$M:$N,2,1)),1+(1-$AU72))</f>
        <v>0.99999999999999978</v>
      </c>
      <c r="EL72" s="15">
        <f>MIN(IF($AU72=100%,1,1+VLOOKUP(($AJ72-$AI72-$AH72-$AG72-$AF72-$AE72*(1+EL$3))/$AJ72,'Технический лист'!$M:$N,2,1)-VLOOKUP($AO72,'Технический лист'!$M:$N,2,1)),1+(1-$AU72))</f>
        <v>0.99999999999999978</v>
      </c>
      <c r="EM72" s="15">
        <f>MIN(IF($AU72=100%,1,1+VLOOKUP(($AJ72-$AI72-$AH72-$AG72-$AF72-$AE72*(1+EM$3))/$AJ72,'Технический лист'!$M:$N,2,1)-VLOOKUP($AO72,'Технический лист'!$M:$N,2,1)),1+(1-$AU72))</f>
        <v>0.99999999999999978</v>
      </c>
      <c r="EN72" s="15">
        <f>MIN(IF($AU72=100%,1,1+VLOOKUP(($AJ72-$AI72-$AH72-$AG72-$AF72-$AE72*(1+EN$3))/$AJ72,'Технический лист'!$M:$N,2,1)-VLOOKUP($AO72,'Технический лист'!$M:$N,2,1)),1+(1-$AU72))</f>
        <v>0.99999999999999978</v>
      </c>
      <c r="EO72" s="15">
        <f>MIN(IF($AU72=100%,1,1+VLOOKUP(($AJ72-$AI72-$AH72-$AG72-$AF72-$AE72*(1+EO$3))/$AJ72,'Технический лист'!$M:$N,2,1)-VLOOKUP($AO72,'Технический лист'!$M:$N,2,1)),1+(1-$AU72))</f>
        <v>0.99999999999999978</v>
      </c>
      <c r="EP72" s="15">
        <f>MIN(IF($AU72=100%,1,1+VLOOKUP(($AJ72-$AI72-$AH72-$AG72-$AF72-$AE72*(1+EP$3))/$AJ72,'Технический лист'!$M:$N,2,1)-VLOOKUP($AO72,'Технический лист'!$M:$N,2,1)),1+(1-$AU72))</f>
        <v>0.99999999999999978</v>
      </c>
      <c r="EQ72" s="15">
        <f>MIN(IF($AU72=100%,1,1+VLOOKUP(($AJ72-$AI72-$AH72-$AG72-$AF72-$AE72*(1+EQ$3))/$AJ72,'Технический лист'!$M:$N,2,1)-VLOOKUP($AO72,'Технический лист'!$M:$N,2,1)),1+(1-$AU72))</f>
        <v>0.99999999999999978</v>
      </c>
      <c r="ER72" s="15">
        <f>MIN(IF($AU72=100%,1,1+VLOOKUP(($AJ72-$AI72-$AH72-$AG72-$AF72-$AE72*(1+ER$3))/$AJ72,'Технический лист'!$M:$N,2,1)-VLOOKUP($AO72,'Технический лист'!$M:$N,2,1)),1+(1-$AU72))</f>
        <v>0.99999999999999978</v>
      </c>
      <c r="ES72" s="15">
        <f>MIN(IF($AU72=100%,1,1+VLOOKUP(($AJ72-$AI72-$AH72-$AG72-$AF72-$AE72*(1+ES$3))/$AJ72,'Технический лист'!$M:$N,2,1)-VLOOKUP($AO72,'Технический лист'!$M:$N,2,1)),1+(1-$AU72))</f>
        <v>0.99999999999999978</v>
      </c>
      <c r="ET72" s="15">
        <f>MIN(IF($AU72=100%,1,1+VLOOKUP(($AJ72-$AI72-$AH72-$AG72-$AF72-$AE72*(1+ET$3))/$AJ72,'Технический лист'!$M:$N,2,1)-VLOOKUP($AO72,'Технический лист'!$M:$N,2,1)),1+(1-$AU72))</f>
        <v>0.99999999999999978</v>
      </c>
      <c r="EU72" s="15">
        <f>MIN(IF($AU72=100%,1,1+VLOOKUP(($AJ72-$AI72-$AH72-$AG72-$AF72-$AE72*(1+EU$3))/$AJ72,'Технический лист'!$M:$N,2,1)-VLOOKUP($AO72,'Технический лист'!$M:$N,2,1)),1+(1-$AU72))</f>
        <v>0.99999999999999978</v>
      </c>
      <c r="EV72" s="111">
        <v>1</v>
      </c>
      <c r="EW72" s="15">
        <f>MIN(1,MAX(VLOOKUP(($AJ72-$AI72-$AH72-$AG72-$AF72-$AE72*(1+EW$3))/$AJ72,'Технический лист'!$M:$N,2,1),(EV72-0.05)))</f>
        <v>1</v>
      </c>
      <c r="EX72" s="15">
        <f>MIN(1,MAX(VLOOKUP(($AJ72-$AI72-$AH72-$AG72-$AF72-$AE72*(1+EX$3))/$AJ72,'Технический лист'!$M:$N,2,1),(EW72-0.05)))</f>
        <v>1</v>
      </c>
      <c r="EY72" s="15">
        <f>MIN(1,MAX(VLOOKUP(($AJ72-$AI72-$AH72-$AG72-$AF72-$AE72*(1+EY$3))/$AJ72,'Технический лист'!$M:$N,2,1),(EX72-0.05)))</f>
        <v>1</v>
      </c>
      <c r="EZ72" s="15">
        <f>MIN(1,MAX(VLOOKUP(($AJ72-$AI72-$AH72-$AG72-$AF72-$AE72*(1+EZ$3))/$AJ72,'Технический лист'!$M:$N,2,1),(EY72-0.05)))</f>
        <v>1</v>
      </c>
      <c r="FA72" s="15">
        <f>MIN(1,MAX(VLOOKUP(($AJ72-$AI72-$AH72-$AG72-$AF72-$AE72*(1+FA$3))/$AJ72,'Технический лист'!$M:$N,2,1),(EZ72-0.05)))</f>
        <v>1</v>
      </c>
      <c r="FB72" s="15">
        <f>MIN(1,MAX(VLOOKUP(($AJ72-$AI72-$AH72-$AG72-$AF72-$AE72*(1+FB$3))/$AJ72,'Технический лист'!$M:$N,2,1),(FA72-0.05)))</f>
        <v>1</v>
      </c>
      <c r="FC72" s="15">
        <f>MIN(1,MAX(VLOOKUP(($AJ72-$AI72-$AH72-$AG72-$AF72-$AE72*(1+FC$3))/$AJ72,'Технический лист'!$M:$N,2,1),(FB72-0.05)))</f>
        <v>1</v>
      </c>
      <c r="FD72" s="15">
        <f>MIN(1,MAX(VLOOKUP(($AJ72-$AI72-$AH72-$AG72-$AF72-$AE72*(1+FD$3))/$AJ72,'Технический лист'!$M:$N,2,1),(FC72-0.05)))</f>
        <v>1</v>
      </c>
      <c r="FE72" s="15">
        <f>MIN(1,MAX(VLOOKUP(($AJ72-$AI72-$AH72-$AG72-$AF72-$AE72*(1+FE$3))/$AJ72,'Технический лист'!$M:$N,2,1),(FD72-0.05)))</f>
        <v>1</v>
      </c>
      <c r="FF72" s="15">
        <f>MIN(1,MAX(VLOOKUP(($AJ72-$AI72-$AH72-$AG72-$AF72-$AE72*(1+FF$3))/$AJ72,'Технический лист'!$M:$N,2,1),(FE72-0.05)))</f>
        <v>1</v>
      </c>
      <c r="FG72" s="15">
        <f>MIN(1,MAX(VLOOKUP(($AJ72-$AI72-$AH72-$AG72-$AF72-$AE72*(1+FG$3))/$AJ72,'Технический лист'!$M:$N,2,1),(FF72-0.05)))</f>
        <v>1</v>
      </c>
      <c r="FH72" s="15">
        <f>MIN(1,MAX(VLOOKUP(($AJ72-$AI72-$AH72-$AG72-$AF72-$AE72*(1+FH$3))/$AJ72,'Технический лист'!$M:$N,2,1),(FG72-0.05)))</f>
        <v>1</v>
      </c>
      <c r="FI72" s="15">
        <f>MIN(1,MAX(VLOOKUP(($AJ72-$AI72-$AH72-$AG72-$AF72-$AE72*(1+FI$3))/$AJ72,'Технический лист'!$M:$N,2,1),(FH72-0.05)))</f>
        <v>1</v>
      </c>
      <c r="FJ72" s="15">
        <f>MIN(1,MAX(VLOOKUP(($AJ72-$AI72-$AH72-$AG72-$AF72-$AE72*(1+FJ$3))/$AJ72,'Технический лист'!$M:$N,2,1),(FI72-0.05)))</f>
        <v>1</v>
      </c>
      <c r="FK72" s="15">
        <f>MIN(1,MAX(VLOOKUP(($AJ72-$AI72-$AH72-$AG72-$AF72-$AE72*(1+FK$3))/$AJ72,'Технический лист'!$M:$N,2,1),(FJ72-0.05)))</f>
        <v>1</v>
      </c>
      <c r="FL72" s="15">
        <f>MIN(1,MAX(VLOOKUP(($AJ72-$AI72-$AH72-$AG72-$AF72-$AE72*(1+FL$3))/$AJ72,'Технический лист'!$M:$N,2,1),(FK72-0.05)))</f>
        <v>1</v>
      </c>
      <c r="FM72" s="15">
        <f>MIN(1,MAX(VLOOKUP(($AJ72-$AI72-$AH72-$AG72-$AF72-$AE72*(1+FM$3))/$AJ72,'Технический лист'!$M:$N,2,1),(FL72-0.05)))</f>
        <v>1</v>
      </c>
      <c r="FN72" s="15">
        <f>MIN(1,MAX(VLOOKUP(($AJ72-$AI72-$AH72-$AG72-$AF72-$AE72*(1+FN$3))/$AJ72,'Технический лист'!$M:$N,2,1),(FM72-0.05)))</f>
        <v>1</v>
      </c>
      <c r="FO72" s="15">
        <f>MIN(1,MAX(VLOOKUP(($AJ72-$AI72-$AH72-$AG72-$AF72-$AE72*(1+FO$3))/$AJ72,'Технический лист'!$M:$N,2,1),(FN72-0.05)))</f>
        <v>1</v>
      </c>
      <c r="FP72" s="15">
        <f>MIN(1,MAX(VLOOKUP(($AJ72-$AI72-$AH72-$AG72-$AF72-$AE72*(1+FP$3))/$AJ72,'Технический лист'!$M:$N,2,1),(FO72-0.05)))</f>
        <v>1</v>
      </c>
      <c r="FQ72" s="15">
        <f>MIN(1,MAX(VLOOKUP(($AJ72-$AI72-$AH72-$AG72-$AF72-$AE72*(1+FQ$3))/$AJ72,'Технический лист'!$M:$N,2,1),(FP72-0.05)))</f>
        <v>1</v>
      </c>
      <c r="FR72" s="15">
        <f>MIN(1,MAX(VLOOKUP(($AJ72-$AI72-$AH72-$AG72-$AF72-$AE72*(1+FR$3))/$AJ72,'Технический лист'!$M:$N,2,1),(FQ72-0.05)))</f>
        <v>1</v>
      </c>
      <c r="FS72" s="15">
        <f>MIN(1,MAX(VLOOKUP(($AJ72-$AI72-$AH72-$AG72-$AF72-$AE72*(1+FS$3))/$AJ72,'Технический лист'!$M:$N,2,1),(FR72-0.05)))</f>
        <v>1</v>
      </c>
      <c r="FT72" s="15">
        <f>MIN(1,MAX(VLOOKUP(($AJ72-$AI72-$AH72-$AG72-$AF72-$AE72*(1+FT$3))/$AJ72,'Технический лист'!$M:$N,2,1),(FS72-0.05)))</f>
        <v>1</v>
      </c>
      <c r="FU72" s="15">
        <f>MIN(1,MAX(VLOOKUP(($AJ72-$AI72-$AH72-$AG72-$AF72-$AE72*(1+FU$3))/$AJ72,'Технический лист'!$M:$N,2,1),(FT72-0.05)))</f>
        <v>1</v>
      </c>
      <c r="FV72" s="15">
        <f>MIN(1,MAX(VLOOKUP(($AJ72-$AI72-$AH72-$AG72-$AF72-$AE72*(1+FV$3))/$AJ72,'Технический лист'!$M:$N,2,1),(FU72-0.05)))</f>
        <v>1</v>
      </c>
      <c r="FW72" s="15">
        <f>MIN(1,MAX(VLOOKUP(($AJ72-$AI72-$AH72-$AG72-$AF72-$AE72*(1+FW$3))/$AJ72,'Технический лист'!$M:$N,2,1),(FV72-0.05)))</f>
        <v>1</v>
      </c>
      <c r="FX72" s="15">
        <f>MIN(1,MAX(VLOOKUP(($AJ72-$AI72-$AH72-$AG72-$AF72-$AE72*(1+FX$3))/$AJ72,'Технический лист'!$M:$N,2,1),(FW72-0.05)))</f>
        <v>1</v>
      </c>
      <c r="FY72" s="15">
        <f>MIN(1,MAX(VLOOKUP(($AJ72-$AI72-$AH72-$AG72-$AF72-$AE72*(1+FY$3))/$AJ72,'Технический лист'!$M:$N,2,1),(FX72-0.05)))</f>
        <v>1</v>
      </c>
      <c r="FZ72" s="15">
        <f>MIN(1,MAX(VLOOKUP(($AJ72-$AI72-$AH72-$AG72-$AF72-$AE72*(1+FZ$3))/$AJ72,'Технический лист'!$M:$N,2,1),(FY72-0.05)))</f>
        <v>1</v>
      </c>
      <c r="GA72" s="15">
        <f>MIN(1,MAX(VLOOKUP(($AJ72-$AI72-$AH72-$AG72-$AF72-$AE72*(1+GA$3))/$AJ72,'Технический лист'!$M:$N,2,1),(FZ72-0.05)))</f>
        <v>1</v>
      </c>
      <c r="GB72" s="15">
        <f>MIN(1,MAX(VLOOKUP(($AJ72-$AI72-$AH72-$AG72-$AF72-$AE72*(1+GB$3))/$AJ72,'Технический лист'!$M:$N,2,1),(GA72-0.05)))</f>
        <v>1</v>
      </c>
      <c r="GC72" s="15">
        <f>MIN(1,MAX(VLOOKUP(($AJ72-$AI72-$AH72-$AG72-$AF72-$AE72*(1+GC$3))/$AJ72,'Технический лист'!$M:$N,2,1),(GB72-0.05)))</f>
        <v>1</v>
      </c>
      <c r="GD72" s="15">
        <f>MIN(1,MAX(VLOOKUP(($AJ72-$AI72-$AH72-$AG72-$AF72-$AE72*(1+GD$3))/$AJ72,'Технический лист'!$M:$N,2,1),(GC72-0.05)))</f>
        <v>1</v>
      </c>
      <c r="GE72" s="15">
        <f>MIN(1,MAX(VLOOKUP(($AJ72-$AI72-$AH72-$AG72-$AF72-$AE72*(1+GE$3))/$AJ72,'Технический лист'!$M:$N,2,1),(GD72-0.05)))</f>
        <v>1</v>
      </c>
      <c r="GF72" s="15">
        <f>MIN(1,MAX(VLOOKUP(($AJ72-$AI72-$AH72-$AG72-$AF72-$AE72*(1+GF$3))/$AJ72,'Технический лист'!$M:$N,2,1),(GE72-0.05)))</f>
        <v>1</v>
      </c>
      <c r="GG72" s="15">
        <f>MIN(1,MAX(VLOOKUP(($AJ72-$AI72-$AH72-$AG72-$AF72-$AE72*(1+GG$3))/$AJ72,'Технический лист'!$M:$N,2,1),(GF72-0.05)))</f>
        <v>1</v>
      </c>
      <c r="GH72" s="15">
        <f>MIN(1,MAX(VLOOKUP(($AJ72-$AI72-$AH72-$AG72-$AF72-$AE72*(1+GH$3))/$AJ72,'Технический лист'!$M:$N,2,1),(GG72-0.05)))</f>
        <v>1</v>
      </c>
      <c r="GI72" s="15">
        <f>MIN(1,MAX(VLOOKUP(($AJ72-$AI72-$AH72-$AG72-$AF72-$AE72*(1+GI$3))/$AJ72,'Технический лист'!$M:$N,2,1),(GH72-0.05)))</f>
        <v>1</v>
      </c>
      <c r="GJ72" s="15">
        <f>MIN(1,MAX(VLOOKUP(($AJ72-$AI72-$AH72-$AG72-$AF72-$AE72*(1+GJ$3))/$AJ72,'Технический лист'!$M:$N,2,1),(GI72-0.05)))</f>
        <v>1</v>
      </c>
      <c r="GK72" s="15">
        <f>MIN(1,MAX(VLOOKUP(($AJ72-$AI72-$AH72-$AG72-$AF72-$AE72*(1+GK$3))/$AJ72,'Технический лист'!$M:$N,2,1),(GJ72-0.05)))</f>
        <v>1</v>
      </c>
      <c r="GL72" s="15">
        <f>MIN(1,MAX(VLOOKUP(($AJ72-$AI72-$AH72-$AG72-$AF72-$AE72*(1+GL$3))/$AJ72,'Технический лист'!$M:$N,2,1),(GK72-0.05)))</f>
        <v>1</v>
      </c>
      <c r="GM72" s="15">
        <f>MIN(1,MAX(VLOOKUP(($AJ72-$AI72-$AH72-$AG72-$AF72-$AE72*(1+GM$3))/$AJ72,'Технический лист'!$M:$N,2,1),(GL72-0.05)))</f>
        <v>1</v>
      </c>
      <c r="GN72" s="15">
        <f>MIN(1,MAX(VLOOKUP(($AJ72-$AI72-$AH72-$AG72-$AF72-$AE72*(1+GN$3))/$AJ72,'Технический лист'!$M:$N,2,1),(GM72-0.05)))</f>
        <v>1</v>
      </c>
      <c r="GO72" s="15">
        <f>MIN(1,MAX(VLOOKUP(($AJ72-$AI72-$AH72-$AG72-$AF72-$AE72*(1+GO$3))/$AJ72,'Технический лист'!$M:$N,2,1),(GN72-0.05)))</f>
        <v>1</v>
      </c>
      <c r="GP72" s="15">
        <f>MIN(1,MAX(VLOOKUP(($AJ72-$AI72-$AH72-$AG72-$AF72-$AE72*(1+GP$3))/$AJ72,'Технический лист'!$M:$N,2,1),(GO72-0.05)))</f>
        <v>1</v>
      </c>
      <c r="GQ72" s="15">
        <f>MIN(1,MAX(VLOOKUP(($AJ72-$AI72-$AH72-$AG72-$AF72-$AE72*(1+GQ$3))/$AJ72,'Технический лист'!$M:$N,2,1),(GP72-0.05)))</f>
        <v>1</v>
      </c>
      <c r="GR72" s="15">
        <f>MIN(1,MAX(VLOOKUP(($AJ72-$AI72-$AH72-$AG72-$AF72-$AE72*(1+GR$3))/$AJ72,'Технический лист'!$M:$N,2,1),(GQ72-0.05)))</f>
        <v>1</v>
      </c>
      <c r="GS72" s="15">
        <f>MIN(1,MAX(VLOOKUP(($AJ72-$AI72-$AH72-$AG72-$AF72-$AE72*(1+GS$3))/$AJ72,'Технический лист'!$M:$N,2,1),(GR72-0.05)))</f>
        <v>1</v>
      </c>
      <c r="GT72" s="15">
        <f>MIN(1,MAX(VLOOKUP(($AJ72-$AI72-$AH72-$AG72-$AF72-$AE72*(1+GT$3))/$AJ72,'Технический лист'!$M:$N,2,1),(GS72-0.05)))</f>
        <v>1</v>
      </c>
      <c r="GU72" s="15">
        <f>MIN(1,MAX(VLOOKUP(($AJ72-$AI72-$AH72-$AG72-$AF72-$AE72*(1+GU$3))/$AJ72,'Технический лист'!$M:$N,2,1),(GT72-0.05)))</f>
        <v>1</v>
      </c>
      <c r="GV72" s="15">
        <f>MIN(1,MAX(VLOOKUP(($AJ72-$AI72-$AH72-$AG72-$AF72-$AE72*(1+GV$3))/$AJ72,'Технический лист'!$M:$N,2,1),(GU72-0.05)))</f>
        <v>1</v>
      </c>
      <c r="GW72" s="15">
        <f>MIN(1,MAX(VLOOKUP(($AJ72-$AI72-$AH72-$AG72-$AF72-$AE72*(1+GW$3))/$AJ72,'Технический лист'!$M:$N,2,1),(GV72-0.05)))</f>
        <v>1</v>
      </c>
      <c r="GX72" s="15">
        <f>MIN(1,MAX(VLOOKUP(($AJ72-$AI72-$AH72-$AG72-$AF72-$AE72*(1+GX$3))/$AJ72,'Технический лист'!$M:$N,2,1),(GW72-0.05)))</f>
        <v>1</v>
      </c>
      <c r="GY72" s="15">
        <f>MIN(1,MAX(VLOOKUP(($AJ72-$AI72-$AH72-$AG72-$AF72-$AE72*(1+GY$3))/$AJ72,'Технический лист'!$M:$N,2,1),(GX72-0.05)))</f>
        <v>1</v>
      </c>
      <c r="GZ72" s="15">
        <f>MIN(1,MAX(VLOOKUP(($AJ72-$AI72-$AH72-$AG72-$AF72-$AE72*(1+GZ$3))/$AJ72,'Технический лист'!$M:$N,2,1),(GY72-0.05)))</f>
        <v>1</v>
      </c>
      <c r="HA72" s="15">
        <f>MIN(1,MAX(VLOOKUP(($AJ72-$AI72-$AH72-$AG72-$AF72-$AE72*(1+HA$3))/$AJ72,'Технический лист'!$M:$N,2,1),(GZ72-0.05)))</f>
        <v>1</v>
      </c>
      <c r="HB72" s="15">
        <f>MIN(1,MAX(VLOOKUP(($AJ72-$AI72-$AH72-$AG72-$AF72-$AE72*(1+HB$3))/$AJ72,'Технический лист'!$M:$N,2,1),(HA72-0.05)))</f>
        <v>1</v>
      </c>
      <c r="HC72" s="15">
        <f>MIN(1,MAX(VLOOKUP(($AJ72-$AI72-$AH72-$AG72-$AF72-$AE72*(1+HC$3))/$AJ72,'Технический лист'!$M:$N,2,1),(HB72-0.05)))</f>
        <v>1</v>
      </c>
      <c r="HD72" s="15">
        <f>MIN(1,MAX(VLOOKUP(($AJ72-$AI72-$AH72-$AG72-$AF72-$AE72*(1+HD$3))/$AJ72,'Технический лист'!$M:$N,2,1),(HC72-0.05)))</f>
        <v>1</v>
      </c>
      <c r="HE72" s="15">
        <f>MIN(1,MAX(VLOOKUP(($AJ72-$AI72-$AH72-$AG72-$AF72-$AE72*(1+HE$3))/$AJ72,'Технический лист'!$M:$N,2,1),(HD72-0.05)))</f>
        <v>1</v>
      </c>
      <c r="HF72" s="15">
        <f>MIN(1,MAX(VLOOKUP(($AJ72-$AI72-$AH72-$AG72-$AF72-$AE72*(1+HF$3))/$AJ72,'Технический лист'!$M:$N,2,1),(HE72-0.05)))</f>
        <v>1</v>
      </c>
      <c r="HG72" s="15">
        <f>MIN(1,MAX(VLOOKUP(($AJ72-$AI72-$AH72-$AG72-$AF72-$AE72*(1+HG$3))/$AJ72,'Технический лист'!$M:$N,2,1),(HF72-0.05)))</f>
        <v>1</v>
      </c>
      <c r="HH72" s="15">
        <f>MIN(1,MAX(VLOOKUP(($AJ72-$AI72-$AH72-$AG72-$AF72-$AE72*(1+HH$3))/$AJ72,'Технический лист'!$M:$N,2,1),(HG72-0.05)))</f>
        <v>1</v>
      </c>
      <c r="HI72" s="15">
        <f>MIN(1,MAX(VLOOKUP(($AJ72-$AI72-$AH72-$AG72-$AF72-$AE72*(1+HI$3))/$AJ72,'Технический лист'!$M:$N,2,1),(HH72-0.05)))</f>
        <v>1</v>
      </c>
      <c r="HJ72" s="15">
        <f>MIN(1,MAX(VLOOKUP(($AJ72-$AI72-$AH72-$AG72-$AF72-$AE72*(1+HJ$3))/$AJ72,'Технический лист'!$M:$N,2,1),(HI72-0.05)))</f>
        <v>1</v>
      </c>
      <c r="HK72" s="15">
        <f>MIN(1,MAX(VLOOKUP(($AJ72-$AI72-$AH72-$AG72-$AF72-$AE72*(1+HK$3))/$AJ72,'Технический лист'!$M:$N,2,1),(HJ72-0.05)))</f>
        <v>1</v>
      </c>
      <c r="HL72" s="15">
        <f>MIN(1,MAX(VLOOKUP(($AJ72-$AI72-$AH72-$AG72-$AF72-$AE72*(1+HL$3))/$AJ72,'Технический лист'!$M:$N,2,1),(HK72-0.05)))</f>
        <v>1</v>
      </c>
      <c r="HM72" s="15">
        <f>MIN(1,MAX(VLOOKUP(($AJ72-$AI72-$AH72-$AG72-$AF72-$AE72*(1+HM$3))/$AJ72,'Технический лист'!$M:$N,2,1),(HL72-0.05)))</f>
        <v>1</v>
      </c>
      <c r="HN72" s="15">
        <f>MIN(1,MAX(VLOOKUP(($AJ72-$AI72-$AH72-$AG72-$AF72-$AE72*(1+HN$3))/$AJ72,'Технический лист'!$M:$N,2,1),(HM72-0.05)))</f>
        <v>1</v>
      </c>
      <c r="HO72" s="15">
        <f>MIN(1,MAX(VLOOKUP(($AJ72-$AI72-$AH72-$AG72-$AF72-$AE72*(1+HO$3))/$AJ72,'Технический лист'!$M:$N,2,1),(HN72-0.05)))</f>
        <v>1</v>
      </c>
      <c r="HP72" s="15">
        <f>MIN(1,MAX(VLOOKUP(($AJ72-$AI72-$AH72-$AG72-$AF72-$AE72*(1+HP$3))/$AJ72,'Технический лист'!$M:$N,2,1),(HO72-0.05)))</f>
        <v>1</v>
      </c>
      <c r="HQ72" s="15">
        <f>MIN(1,MAX(VLOOKUP(($AJ72-$AI72-$AH72-$AG72-$AF72-$AE72*(1+HQ$3))/$AJ72,'Технический лист'!$M:$N,2,1),(HP72-0.05)))</f>
        <v>1</v>
      </c>
      <c r="HR72" s="15">
        <f>MIN(1,MAX(VLOOKUP(($AJ72-$AI72-$AH72-$AG72-$AF72-$AE72*(1+HR$3))/$AJ72,'Технический лист'!$M:$N,2,1),(HQ72-0.05)))</f>
        <v>1</v>
      </c>
      <c r="HS72" s="15">
        <f>MIN(1,MAX(VLOOKUP(($AJ72-$AI72-$AH72-$AG72-$AF72-$AE72*(1+HS$3))/$AJ72,'Технический лист'!$M:$N,2,1),(HR72-0.05)))</f>
        <v>1</v>
      </c>
      <c r="HT72" s="15">
        <f>MIN(1,MAX(VLOOKUP(($AJ72-$AI72-$AH72-$AG72-$AF72-$AE72*(1+HT$3))/$AJ72,'Технический лист'!$M:$N,2,1),(HS72-0.05)))</f>
        <v>1</v>
      </c>
      <c r="HU72" s="15">
        <f>MIN(1,MAX(VLOOKUP(($AJ72-$AI72-$AH72-$AG72-$AF72-$AE72*(1+HU$3))/$AJ72,'Технический лист'!$M:$N,2,1),(HT72-0.05)))</f>
        <v>1</v>
      </c>
      <c r="HV72" s="15">
        <f>MIN(1,MAX(VLOOKUP(($AJ72-$AI72-$AH72-$AG72-$AF72-$AE72*(1+HV$3))/$AJ72,'Технический лист'!$M:$N,2,1),(HU72-0.05)))</f>
        <v>1</v>
      </c>
      <c r="HW72" s="15">
        <f>MIN(1,MAX(VLOOKUP(($AJ72-$AI72-$AH72-$AG72-$AF72-$AE72*(1+HW$3))/$AJ72,'Технический лист'!$M:$N,2,1),(HV72-0.05)))</f>
        <v>1</v>
      </c>
      <c r="HX72" s="15">
        <f>MIN(1,MAX(VLOOKUP(($AJ72-$AI72-$AH72-$AG72-$AF72-$AE72*(1+HX$3))/$AJ72,'Технический лист'!$M:$N,2,1),(HW72-0.05)))</f>
        <v>1</v>
      </c>
      <c r="HY72" s="15">
        <f>MIN(1,MAX(VLOOKUP(($AJ72-$AI72-$AH72-$AG72-$AF72-$AE72*(1+HY$3))/$AJ72,'Технический лист'!$M:$N,2,1),(HX72-0.05)))</f>
        <v>1</v>
      </c>
      <c r="HZ72" s="15">
        <f>MIN(1,MAX(VLOOKUP(($AJ72-$AI72-$AH72-$AG72-$AF72-$AE72*(1+HZ$3))/$AJ72,'Технический лист'!$M:$N,2,1),(HY72-0.05)))</f>
        <v>1</v>
      </c>
      <c r="IA72" s="15">
        <f>MIN(1,MAX(VLOOKUP(($AJ72-$AI72-$AH72-$AG72-$AF72-$AE72*(1+IA$3))/$AJ72,'Технический лист'!$M:$N,2,1),(HZ72-0.05)))</f>
        <v>1</v>
      </c>
      <c r="IB72" s="15">
        <f>MIN(1,MAX(VLOOKUP(($AJ72-$AI72-$AH72-$AG72-$AF72-$AE72*(1+IB$3))/$AJ72,'Технический лист'!$M:$N,2,1),(IA72-0.05)))</f>
        <v>1</v>
      </c>
      <c r="IC72" s="15">
        <f>MIN(1,MAX(VLOOKUP(($AJ72-$AI72-$AH72-$AG72-$AF72-$AE72*(1+IC$3))/$AJ72,'Технический лист'!$M:$N,2,1),(IB72-0.05)))</f>
        <v>1</v>
      </c>
      <c r="ID72" s="15">
        <f>MIN(1,MAX(VLOOKUP(($AJ72-$AI72-$AH72-$AG72-$AF72-$AE72*(1+ID$3))/$AJ72,'Технический лист'!$M:$N,2,1),(IC72-0.05)))</f>
        <v>1</v>
      </c>
      <c r="IE72" s="15">
        <f>MIN(1,MAX(VLOOKUP(($AJ72-$AI72-$AH72-$AG72-$AF72-$AE72*(1+IE$3))/$AJ72,'Технический лист'!$M:$N,2,1),(ID72-0.05)))</f>
        <v>1</v>
      </c>
      <c r="IF72" s="15">
        <f>MIN(1,MAX(VLOOKUP(($AJ72-$AI72-$AH72-$AG72-$AF72-$AE72*(1+IF$3))/$AJ72,'Технический лист'!$M:$N,2,1),(IE72-0.05)))</f>
        <v>1</v>
      </c>
      <c r="IG72" s="15">
        <f>MIN(1,MAX(VLOOKUP(($AJ72-$AI72-$AH72-$AG72-$AF72-$AE72*(1+IG$3))/$AJ72,'Технический лист'!$M:$N,2,1),(IF72-0.05)))</f>
        <v>1</v>
      </c>
      <c r="IH72" s="15">
        <f>MIN(1,MAX(VLOOKUP(($AJ72-$AI72-$AH72-$AG72-$AF72-$AE72*(1+IH$3))/$AJ72,'Технический лист'!$M:$N,2,1),(IG72-0.05)))</f>
        <v>1</v>
      </c>
      <c r="II72" s="15">
        <f>MIN(1,MAX(VLOOKUP(($AJ72-$AI72-$AH72-$AG72-$AF72-$AE72*(1+II$3))/$AJ72,'Технический лист'!$M:$N,2,1),(IH72-0.05)))</f>
        <v>1</v>
      </c>
      <c r="IJ72" s="15">
        <f>MIN(1,MAX(VLOOKUP(($AJ72-$AI72-$AH72-$AG72-$AF72-$AE72*(1+IJ$3))/$AJ72,'Технический лист'!$M:$N,2,1),(II72-0.05)))</f>
        <v>1</v>
      </c>
      <c r="IK72" s="15">
        <f>MIN(1,MAX(VLOOKUP(($AJ72-$AI72-$AH72-$AG72-$AF72-$AE72*(1+IK$3))/$AJ72,'Технический лист'!$M:$N,2,1),(IJ72-0.05)))</f>
        <v>1</v>
      </c>
      <c r="IL72" s="15">
        <f>MIN(1,MAX(VLOOKUP(($AJ72-$AI72-$AH72-$AG72-$AF72-$AE72*(1+IL$3))/$AJ72,'Технический лист'!$M:$N,2,1),(IK72-0.05)))</f>
        <v>1</v>
      </c>
      <c r="IM72" s="15">
        <f>MIN(1,MAX(VLOOKUP(($AJ72-$AI72-$AH72-$AG72-$AF72-$AE72*(1+IM$3))/$AJ72,'Технический лист'!$M:$N,2,1),(IL72-0.05)))</f>
        <v>1</v>
      </c>
      <c r="IN72" s="15">
        <f>MIN(1,MAX(VLOOKUP(($AJ72-$AI72-$AH72-$AG72-$AF72-$AE72*(1+IN$3))/$AJ72,'Технический лист'!$M:$N,2,1),(IM72-0.05)))</f>
        <v>1</v>
      </c>
      <c r="IO72" s="15">
        <f>MIN(1,MAX(VLOOKUP(($AJ72-$AI72-$AH72-$AG72-$AF72-$AE72*(1+IO$3))/$AJ72,'Технический лист'!$M:$N,2,1),(IN72-0.05)))</f>
        <v>1</v>
      </c>
      <c r="IP72" s="15">
        <f>MIN(1,MAX(VLOOKUP(($AJ72-$AI72-$AH72-$AG72-$AF72-$AE72*(1+IP$3))/$AJ72,'Технический лист'!$M:$N,2,1),(IO72-0.05)))</f>
        <v>1</v>
      </c>
      <c r="IQ72" s="15">
        <f>MIN(1,MAX(VLOOKUP(($AJ72-$AI72-$AH72-$AG72-$AF72-$AE72*(1+IQ$3))/$AJ72,'Технический лист'!$M:$N,2,1),(IP72-0.05)))</f>
        <v>1</v>
      </c>
      <c r="IR72" s="15">
        <f>MIN(1,MAX(VLOOKUP(($AJ72-$AI72-$AH72-$AG72-$AF72-$AE72*(1+IR$3))/$AJ72,'Технический лист'!$M:$N,2,1),(IQ72-0.05)))</f>
        <v>1</v>
      </c>
    </row>
    <row r="73" spans="1:252" s="4" customFormat="1" ht="29.15">
      <c r="A73" s="89" t="s">
        <v>512</v>
      </c>
      <c r="B73" s="76">
        <v>4</v>
      </c>
      <c r="C73" s="3" t="s">
        <v>67</v>
      </c>
      <c r="D73" s="77">
        <v>15123</v>
      </c>
      <c r="E73" s="77" t="s">
        <v>397</v>
      </c>
      <c r="F73" s="77" t="s">
        <v>390</v>
      </c>
      <c r="G73" s="77" t="s">
        <v>19</v>
      </c>
      <c r="H73" s="77" t="s">
        <v>25</v>
      </c>
      <c r="I73" s="77" t="s">
        <v>371</v>
      </c>
      <c r="J73" s="77" t="s">
        <v>62</v>
      </c>
      <c r="K73" s="77">
        <v>3023</v>
      </c>
      <c r="L73" s="77" t="s">
        <v>64</v>
      </c>
      <c r="M73" s="77" t="s">
        <v>17</v>
      </c>
      <c r="N73" s="77" t="s">
        <v>191</v>
      </c>
      <c r="O73" s="77" t="s">
        <v>194</v>
      </c>
      <c r="P73" s="79" t="s">
        <v>385</v>
      </c>
      <c r="Q73" s="85" t="s">
        <v>261</v>
      </c>
      <c r="R73" s="85" t="s">
        <v>261</v>
      </c>
      <c r="S73" s="80">
        <v>148952</v>
      </c>
      <c r="T73" s="80">
        <v>450280970</v>
      </c>
      <c r="U73" s="81">
        <v>2189</v>
      </c>
      <c r="V73" s="81">
        <v>0</v>
      </c>
      <c r="W73" s="82">
        <v>610684665</v>
      </c>
      <c r="X73" s="112">
        <v>67</v>
      </c>
      <c r="Y73" s="112" t="s">
        <v>417</v>
      </c>
      <c r="Z73" s="113">
        <v>8</v>
      </c>
      <c r="AA73" s="113">
        <v>6</v>
      </c>
      <c r="AB73" s="113">
        <v>4</v>
      </c>
      <c r="AC73" s="99">
        <v>4613.84</v>
      </c>
      <c r="AD73" s="99">
        <f>AE73-AC73</f>
        <v>657.68000000000029</v>
      </c>
      <c r="AE73" s="99">
        <v>5271.52</v>
      </c>
      <c r="AF73" s="98">
        <f>(Z73+AA73+AB73)*'Ставки аренды'!$B$3/X73</f>
        <v>188.0597014925373</v>
      </c>
      <c r="AG73" s="114">
        <v>0</v>
      </c>
      <c r="AH73" s="94">
        <v>0</v>
      </c>
      <c r="AI73" s="115">
        <f>12254/14812*AJ73</f>
        <v>126255.41412368351</v>
      </c>
      <c r="AJ73" s="117">
        <f>Цены!C35*'Курсы валют'!B2</f>
        <v>152611</v>
      </c>
      <c r="AK73" s="94">
        <f>AJ73/Цены!$B$1</f>
        <v>2000.0000000000002</v>
      </c>
      <c r="AL73" s="95">
        <f t="shared" si="24"/>
        <v>5459.5797014925374</v>
      </c>
      <c r="AM73" s="95">
        <f t="shared" si="25"/>
        <v>147151.42029850747</v>
      </c>
      <c r="AN73" s="94">
        <f t="shared" si="22"/>
        <v>131714.99382517606</v>
      </c>
      <c r="AO73" s="118">
        <f t="shared" si="23"/>
        <v>0.13692332908390573</v>
      </c>
      <c r="AP73" s="96">
        <f t="shared" si="26"/>
        <v>3.5774483500485135E-2</v>
      </c>
      <c r="AQ73" s="96">
        <f t="shared" si="27"/>
        <v>3.4542202069313487E-2</v>
      </c>
      <c r="AR73" s="96">
        <f t="shared" si="28"/>
        <v>0.96555417966677448</v>
      </c>
      <c r="AS73" s="122">
        <v>1</v>
      </c>
      <c r="AT73" s="121">
        <f t="shared" si="29"/>
        <v>148952</v>
      </c>
      <c r="AU73" s="83">
        <v>1</v>
      </c>
      <c r="AV73" s="119">
        <f t="shared" si="30"/>
        <v>0.13277826483558822</v>
      </c>
      <c r="AW73" s="120">
        <f t="shared" si="31"/>
        <v>3.9919547748802756E-2</v>
      </c>
      <c r="AX73" s="120">
        <f t="shared" si="32"/>
        <v>3.8687266317631107E-2</v>
      </c>
      <c r="AY73" s="120">
        <f t="shared" si="33"/>
        <v>0.9691308769596817</v>
      </c>
      <c r="AZ73" s="15">
        <f>MIN(IF($AU73=100%,1,1+VLOOKUP(($AJ73-$AI73-$AH73-$AG73-$AF73-$AE73*(1+AZ$3))/$AJ73,'Технический лист'!$M:$N,2,1)-VLOOKUP($AO73,'Технический лист'!$M:$N,2,1)),1+(1-$AU73))</f>
        <v>1</v>
      </c>
      <c r="BA73" s="15">
        <f>MIN(IF($AU73=100%,1,1+VLOOKUP(($AJ73-$AI73-$AH73-$AG73-$AF73-$AE73*(1+BA$3))/$AJ73,'Технический лист'!$M:$N,2,1)-VLOOKUP($AO73,'Технический лист'!$M:$N,2,1)),1+(1-$AU73))</f>
        <v>1</v>
      </c>
      <c r="BB73" s="15">
        <f>MIN(IF($AU73=100%,1,1+VLOOKUP(($AJ73-$AI73-$AH73-$AG73-$AF73-$AE73*(1+BB$3))/$AJ73,'Технический лист'!$M:$N,2,1)-VLOOKUP($AO73,'Технический лист'!$M:$N,2,1)),1+(1-$AU73))</f>
        <v>1</v>
      </c>
      <c r="BC73" s="15">
        <f>MIN(IF($AU73=100%,1,1+VLOOKUP(($AJ73-$AI73-$AH73-$AG73-$AF73-$AE73*(1+BC$3))/$AJ73,'Технический лист'!$M:$N,2,1)-VLOOKUP($AO73,'Технический лист'!$M:$N,2,1)),1+(1-$AU73))</f>
        <v>1</v>
      </c>
      <c r="BD73" s="15">
        <f>MIN(IF($AU73=100%,1,1+VLOOKUP(($AJ73-$AI73-$AH73-$AG73-$AF73-$AE73*(1+BD$3))/$AJ73,'Технический лист'!$M:$N,2,1)-VLOOKUP($AO73,'Технический лист'!$M:$N,2,1)),1+(1-$AU73))</f>
        <v>1</v>
      </c>
      <c r="BE73" s="15">
        <f>MIN(IF($AU73=100%,1,1+VLOOKUP(($AJ73-$AI73-$AH73-$AG73-$AF73-$AE73*(1+BE$3))/$AJ73,'Технический лист'!$M:$N,2,1)-VLOOKUP($AO73,'Технический лист'!$M:$N,2,1)),1+(1-$AU73))</f>
        <v>1</v>
      </c>
      <c r="BF73" s="15">
        <f>MIN(IF($AU73=100%,1,1+VLOOKUP(($AJ73-$AI73-$AH73-$AG73-$AF73-$AE73*(1+BF$3))/$AJ73,'Технический лист'!$M:$N,2,1)-VLOOKUP($AO73,'Технический лист'!$M:$N,2,1)),1+(1-$AU73))</f>
        <v>1</v>
      </c>
      <c r="BG73" s="15">
        <f>MIN(IF($AU73=100%,1,1+VLOOKUP(($AJ73-$AI73-$AH73-$AG73-$AF73-$AE73*(1+BG$3))/$AJ73,'Технический лист'!$M:$N,2,1)-VLOOKUP($AO73,'Технический лист'!$M:$N,2,1)),1+(1-$AU73))</f>
        <v>1</v>
      </c>
      <c r="BH73" s="15">
        <f>MIN(IF($AU73=100%,1,1+VLOOKUP(($AJ73-$AI73-$AH73-$AG73-$AF73-$AE73*(1+BH$3))/$AJ73,'Технический лист'!$M:$N,2,1)-VLOOKUP($AO73,'Технический лист'!$M:$N,2,1)),1+(1-$AU73))</f>
        <v>1</v>
      </c>
      <c r="BI73" s="15">
        <f>MIN(IF($AU73=100%,1,1+VLOOKUP(($AJ73-$AI73-$AH73-$AG73-$AF73-$AE73*(1+BI$3))/$AJ73,'Технический лист'!$M:$N,2,1)-VLOOKUP($AO73,'Технический лист'!$M:$N,2,1)),1+(1-$AU73))</f>
        <v>1</v>
      </c>
      <c r="BJ73" s="15">
        <f>MIN(IF($AU73=100%,1,1+VLOOKUP(($AJ73-$AI73-$AH73-$AG73-$AF73-$AE73*(1+BJ$3))/$AJ73,'Технический лист'!$M:$N,2,1)-VLOOKUP($AO73,'Технический лист'!$M:$N,2,1)),1+(1-$AU73))</f>
        <v>1</v>
      </c>
      <c r="BK73" s="15">
        <f>MIN(IF($AU73=100%,1,1+VLOOKUP(($AJ73-$AI73-$AH73-$AG73-$AF73-$AE73*(1+BK$3))/$AJ73,'Технический лист'!$M:$N,2,1)-VLOOKUP($AO73,'Технический лист'!$M:$N,2,1)),1+(1-$AU73))</f>
        <v>1</v>
      </c>
      <c r="BL73" s="15">
        <f>MIN(IF($AU73=100%,1,1+VLOOKUP(($AJ73-$AI73-$AH73-$AG73-$AF73-$AE73*(1+BL$3))/$AJ73,'Технический лист'!$M:$N,2,1)-VLOOKUP($AO73,'Технический лист'!$M:$N,2,1)),1+(1-$AU73))</f>
        <v>1</v>
      </c>
      <c r="BM73" s="15">
        <f>MIN(IF($AU73=100%,1,1+VLOOKUP(($AJ73-$AI73-$AH73-$AG73-$AF73-$AE73*(1+BM$3))/$AJ73,'Технический лист'!$M:$N,2,1)-VLOOKUP($AO73,'Технический лист'!$M:$N,2,1)),1+(1-$AU73))</f>
        <v>1</v>
      </c>
      <c r="BN73" s="15">
        <f>MIN(IF($AU73=100%,1,1+VLOOKUP(($AJ73-$AI73-$AH73-$AG73-$AF73-$AE73*(1+BN$3))/$AJ73,'Технический лист'!$M:$N,2,1)-VLOOKUP($AO73,'Технический лист'!$M:$N,2,1)),1+(1-$AU73))</f>
        <v>1</v>
      </c>
      <c r="BO73" s="15">
        <f>MIN(IF($AU73=100%,1,1+VLOOKUP(($AJ73-$AI73-$AH73-$AG73-$AF73-$AE73*(1+BO$3))/$AJ73,'Технический лист'!$M:$N,2,1)-VLOOKUP($AO73,'Технический лист'!$M:$N,2,1)),1+(1-$AU73))</f>
        <v>1</v>
      </c>
      <c r="BP73" s="15">
        <f>MIN(IF($AU73=100%,1,1+VLOOKUP(($AJ73-$AI73-$AH73-$AG73-$AF73-$AE73*(1+BP$3))/$AJ73,'Технический лист'!$M:$N,2,1)-VLOOKUP($AO73,'Технический лист'!$M:$N,2,1)),1+(1-$AU73))</f>
        <v>1</v>
      </c>
      <c r="BQ73" s="15">
        <f>MIN(IF($AU73=100%,1,1+VLOOKUP(($AJ73-$AI73-$AH73-$AG73-$AF73-$AE73*(1+BQ$3))/$AJ73,'Технический лист'!$M:$N,2,1)-VLOOKUP($AO73,'Технический лист'!$M:$N,2,1)),1+(1-$AU73))</f>
        <v>1</v>
      </c>
      <c r="BR73" s="15">
        <f>MIN(IF($AU73=100%,1,1+VLOOKUP(($AJ73-$AI73-$AH73-$AG73-$AF73-$AE73*(1+BR$3))/$AJ73,'Технический лист'!$M:$N,2,1)-VLOOKUP($AO73,'Технический лист'!$M:$N,2,1)),1+(1-$AU73))</f>
        <v>1</v>
      </c>
      <c r="BS73" s="15">
        <f>MIN(IF($AU73=100%,1,1+VLOOKUP(($AJ73-$AI73-$AH73-$AG73-$AF73-$AE73*(1+BS$3))/$AJ73,'Технический лист'!$M:$N,2,1)-VLOOKUP($AO73,'Технический лист'!$M:$N,2,1)),1+(1-$AU73))</f>
        <v>1</v>
      </c>
      <c r="BT73" s="15">
        <f>MIN(IF($AU73=100%,1,1+VLOOKUP(($AJ73-$AI73-$AH73-$AG73-$AF73-$AE73*(1+BT$3))/$AJ73,'Технический лист'!$M:$N,2,1)-VLOOKUP($AO73,'Технический лист'!$M:$N,2,1)),1+(1-$AU73))</f>
        <v>1</v>
      </c>
      <c r="BU73" s="15">
        <f>MIN(IF($AU73=100%,1,1+VLOOKUP(($AJ73-$AI73-$AH73-$AG73-$AF73-$AE73*(1+BU$3))/$AJ73,'Технический лист'!$M:$N,2,1)-VLOOKUP($AO73,'Технический лист'!$M:$N,2,1)),1+(1-$AU73))</f>
        <v>1</v>
      </c>
      <c r="BV73" s="15">
        <f>MIN(IF($AU73=100%,1,1+VLOOKUP(($AJ73-$AI73-$AH73-$AG73-$AF73-$AE73*(1+BV$3))/$AJ73,'Технический лист'!$M:$N,2,1)-VLOOKUP($AO73,'Технический лист'!$M:$N,2,1)),1+(1-$AU73))</f>
        <v>1</v>
      </c>
      <c r="BW73" s="15">
        <f>MIN(IF($AU73=100%,1,1+VLOOKUP(($AJ73-$AI73-$AH73-$AG73-$AF73-$AE73*(1+BW$3))/$AJ73,'Технический лист'!$M:$N,2,1)-VLOOKUP($AO73,'Технический лист'!$M:$N,2,1)),1+(1-$AU73))</f>
        <v>1</v>
      </c>
      <c r="BX73" s="15">
        <f>MIN(IF($AU73=100%,1,1+VLOOKUP(($AJ73-$AI73-$AH73-$AG73-$AF73-$AE73*(1+BX$3))/$AJ73,'Технический лист'!$M:$N,2,1)-VLOOKUP($AO73,'Технический лист'!$M:$N,2,1)),1+(1-$AU73))</f>
        <v>1</v>
      </c>
      <c r="BY73" s="15">
        <f>MIN(IF($AU73=100%,1,1+VLOOKUP(($AJ73-$AI73-$AH73-$AG73-$AF73-$AE73*(1+BY$3))/$AJ73,'Технический лист'!$M:$N,2,1)-VLOOKUP($AO73,'Технический лист'!$M:$N,2,1)),1+(1-$AU73))</f>
        <v>1</v>
      </c>
      <c r="BZ73" s="15">
        <f>MIN(IF($AU73=100%,1,1+VLOOKUP(($AJ73-$AI73-$AH73-$AG73-$AF73-$AE73*(1+BZ$3))/$AJ73,'Технический лист'!$M:$N,2,1)-VLOOKUP($AO73,'Технический лист'!$M:$N,2,1)),1+(1-$AU73))</f>
        <v>1</v>
      </c>
      <c r="CA73" s="15">
        <f>MIN(IF($AU73=100%,1,1+VLOOKUP(($AJ73-$AI73-$AH73-$AG73-$AF73-$AE73*(1+CA$3))/$AJ73,'Технический лист'!$M:$N,2,1)-VLOOKUP($AO73,'Технический лист'!$M:$N,2,1)),1+(1-$AU73))</f>
        <v>1</v>
      </c>
      <c r="CB73" s="15">
        <f>MIN(IF($AU73=100%,1,1+VLOOKUP(($AJ73-$AI73-$AH73-$AG73-$AF73-$AE73*(1+CB$3))/$AJ73,'Технический лист'!$M:$N,2,1)-VLOOKUP($AO73,'Технический лист'!$M:$N,2,1)),1+(1-$AU73))</f>
        <v>1</v>
      </c>
      <c r="CC73" s="15">
        <f>MIN(IF($AU73=100%,1,1+VLOOKUP(($AJ73-$AI73-$AH73-$AG73-$AF73-$AE73*(1+CC$3))/$AJ73,'Технический лист'!$M:$N,2,1)-VLOOKUP($AO73,'Технический лист'!$M:$N,2,1)),1+(1-$AU73))</f>
        <v>1</v>
      </c>
      <c r="CD73" s="15">
        <f>MIN(IF($AU73=100%,1,1+VLOOKUP(($AJ73-$AI73-$AH73-$AG73-$AF73-$AE73*(1+CD$3))/$AJ73,'Технический лист'!$M:$N,2,1)-VLOOKUP($AO73,'Технический лист'!$M:$N,2,1)),1+(1-$AU73))</f>
        <v>1</v>
      </c>
      <c r="CE73" s="15">
        <f>MIN(IF($AU73=100%,1,1+VLOOKUP(($AJ73-$AI73-$AH73-$AG73-$AF73-$AE73*(1+CE$3))/$AJ73,'Технический лист'!$M:$N,2,1)-VLOOKUP($AO73,'Технический лист'!$M:$N,2,1)),1+(1-$AU73))</f>
        <v>1</v>
      </c>
      <c r="CF73" s="15">
        <f>MIN(IF($AU73=100%,1,1+VLOOKUP(($AJ73-$AI73-$AH73-$AG73-$AF73-$AE73*(1+CF$3))/$AJ73,'Технический лист'!$M:$N,2,1)-VLOOKUP($AO73,'Технический лист'!$M:$N,2,1)),1+(1-$AU73))</f>
        <v>1</v>
      </c>
      <c r="CG73" s="15">
        <f>MIN(IF($AU73=100%,1,1+VLOOKUP(($AJ73-$AI73-$AH73-$AG73-$AF73-$AE73*(1+CG$3))/$AJ73,'Технический лист'!$M:$N,2,1)-VLOOKUP($AO73,'Технический лист'!$M:$N,2,1)),1+(1-$AU73))</f>
        <v>1</v>
      </c>
      <c r="CH73" s="15">
        <f>MIN(IF($AU73=100%,1,1+VLOOKUP(($AJ73-$AI73-$AH73-$AG73-$AF73-$AE73*(1+CH$3))/$AJ73,'Технический лист'!$M:$N,2,1)-VLOOKUP($AO73,'Технический лист'!$M:$N,2,1)),1+(1-$AU73))</f>
        <v>1</v>
      </c>
      <c r="CI73" s="15">
        <f>MIN(IF($AU73=100%,1,1+VLOOKUP(($AJ73-$AI73-$AH73-$AG73-$AF73-$AE73*(1+CI$3))/$AJ73,'Технический лист'!$M:$N,2,1)-VLOOKUP($AO73,'Технический лист'!$M:$N,2,1)),1+(1-$AU73))</f>
        <v>1</v>
      </c>
      <c r="CJ73" s="15">
        <f>MIN(IF($AU73=100%,1,1+VLOOKUP(($AJ73-$AI73-$AH73-$AG73-$AF73-$AE73*(1+CJ$3))/$AJ73,'Технический лист'!$M:$N,2,1)-VLOOKUP($AO73,'Технический лист'!$M:$N,2,1)),1+(1-$AU73))</f>
        <v>1</v>
      </c>
      <c r="CK73" s="15">
        <f>MIN(IF($AU73=100%,1,1+VLOOKUP(($AJ73-$AI73-$AH73-$AG73-$AF73-$AE73*(1+CK$3))/$AJ73,'Технический лист'!$M:$N,2,1)-VLOOKUP($AO73,'Технический лист'!$M:$N,2,1)),1+(1-$AU73))</f>
        <v>1</v>
      </c>
      <c r="CL73" s="15">
        <f>MIN(IF($AU73=100%,1,1+VLOOKUP(($AJ73-$AI73-$AH73-$AG73-$AF73-$AE73*(1+CL$3))/$AJ73,'Технический лист'!$M:$N,2,1)-VLOOKUP($AO73,'Технический лист'!$M:$N,2,1)),1+(1-$AU73))</f>
        <v>1</v>
      </c>
      <c r="CM73" s="15">
        <f>MIN(IF($AU73=100%,1,1+VLOOKUP(($AJ73-$AI73-$AH73-$AG73-$AF73-$AE73*(1+CM$3))/$AJ73,'Технический лист'!$M:$N,2,1)-VLOOKUP($AO73,'Технический лист'!$M:$N,2,1)),1+(1-$AU73))</f>
        <v>1</v>
      </c>
      <c r="CN73" s="15">
        <f>MIN(IF($AU73=100%,1,1+VLOOKUP(($AJ73-$AI73-$AH73-$AG73-$AF73-$AE73*(1+CN$3))/$AJ73,'Технический лист'!$M:$N,2,1)-VLOOKUP($AO73,'Технический лист'!$M:$N,2,1)),1+(1-$AU73))</f>
        <v>1</v>
      </c>
      <c r="CO73" s="15">
        <f>MIN(IF($AU73=100%,1,1+VLOOKUP(($AJ73-$AI73-$AH73-$AG73-$AF73-$AE73*(1+CO$3))/$AJ73,'Технический лист'!$M:$N,2,1)-VLOOKUP($AO73,'Технический лист'!$M:$N,2,1)),1+(1-$AU73))</f>
        <v>1</v>
      </c>
      <c r="CP73" s="15">
        <f>MIN(IF($AU73=100%,1,1+VLOOKUP(($AJ73-$AI73-$AH73-$AG73-$AF73-$AE73*(1+CP$3))/$AJ73,'Технический лист'!$M:$N,2,1)-VLOOKUP($AO73,'Технический лист'!$M:$N,2,1)),1+(1-$AU73))</f>
        <v>1</v>
      </c>
      <c r="CQ73" s="15">
        <f>MIN(IF($AU73=100%,1,1+VLOOKUP(($AJ73-$AI73-$AH73-$AG73-$AF73-$AE73*(1+CQ$3))/$AJ73,'Технический лист'!$M:$N,2,1)-VLOOKUP($AO73,'Технический лист'!$M:$N,2,1)),1+(1-$AU73))</f>
        <v>1</v>
      </c>
      <c r="CR73" s="15">
        <f>MIN(IF($AU73=100%,1,1+VLOOKUP(($AJ73-$AI73-$AH73-$AG73-$AF73-$AE73*(1+CR$3))/$AJ73,'Технический лист'!$M:$N,2,1)-VLOOKUP($AO73,'Технический лист'!$M:$N,2,1)),1+(1-$AU73))</f>
        <v>1</v>
      </c>
      <c r="CS73" s="15">
        <f>MIN(IF($AU73=100%,1,1+VLOOKUP(($AJ73-$AI73-$AH73-$AG73-$AF73-$AE73*(1+CS$3))/$AJ73,'Технический лист'!$M:$N,2,1)-VLOOKUP($AO73,'Технический лист'!$M:$N,2,1)),1+(1-$AU73))</f>
        <v>1</v>
      </c>
      <c r="CT73" s="15">
        <f>MIN(IF($AU73=100%,1,1+VLOOKUP(($AJ73-$AI73-$AH73-$AG73-$AF73-$AE73*(1+CT$3))/$AJ73,'Технический лист'!$M:$N,2,1)-VLOOKUP($AO73,'Технический лист'!$M:$N,2,1)),1+(1-$AU73))</f>
        <v>1</v>
      </c>
      <c r="CU73" s="15">
        <f>MIN(IF($AU73=100%,1,1+VLOOKUP(($AJ73-$AI73-$AH73-$AG73-$AF73-$AE73*(1+CU$3))/$AJ73,'Технический лист'!$M:$N,2,1)-VLOOKUP($AO73,'Технический лист'!$M:$N,2,1)),1+(1-$AU73))</f>
        <v>1</v>
      </c>
      <c r="CV73" s="15">
        <f>MIN(IF($AU73=100%,1,1+VLOOKUP(($AJ73-$AI73-$AH73-$AG73-$AF73-$AE73*(1+CV$3))/$AJ73,'Технический лист'!$M:$N,2,1)-VLOOKUP($AO73,'Технический лист'!$M:$N,2,1)),1+(1-$AU73))</f>
        <v>1</v>
      </c>
      <c r="CW73" s="15">
        <f>MIN(IF($AU73=100%,1,1+VLOOKUP(($AJ73-$AI73-$AH73-$AG73-$AF73-$AE73*(1+CW$3))/$AJ73,'Технический лист'!$M:$N,2,1)-VLOOKUP($AO73,'Технический лист'!$M:$N,2,1)),1+(1-$AU73))</f>
        <v>1</v>
      </c>
      <c r="CX73" s="15">
        <f>MIN(IF($AU73=100%,1,1+VLOOKUP(($AJ73-$AI73-$AH73-$AG73-$AF73-$AE73*(1+CX$3))/$AJ73,'Технический лист'!$M:$N,2,1)-VLOOKUP($AO73,'Технический лист'!$M:$N,2,1)),1+(1-$AU73))</f>
        <v>1</v>
      </c>
      <c r="CY73" s="15">
        <f>MIN(IF($AU73=100%,1,1+VLOOKUP(($AJ73-$AI73-$AH73-$AG73-$AF73-$AE73*(1+CY$3))/$AJ73,'Технический лист'!$M:$N,2,1)-VLOOKUP($AO73,'Технический лист'!$M:$N,2,1)),1+(1-$AU73))</f>
        <v>1</v>
      </c>
      <c r="CZ73" s="15">
        <f>MIN(IF($AU73=100%,1,1+VLOOKUP(($AJ73-$AI73-$AH73-$AG73-$AF73-$AE73*(1+CZ$3))/$AJ73,'Технический лист'!$M:$N,2,1)-VLOOKUP($AO73,'Технический лист'!$M:$N,2,1)),1+(1-$AU73))</f>
        <v>1</v>
      </c>
      <c r="DA73" s="15">
        <f>MIN(IF($AU73=100%,1,1+VLOOKUP(($AJ73-$AI73-$AH73-$AG73-$AF73-$AE73*(1+DA$3))/$AJ73,'Технический лист'!$M:$N,2,1)-VLOOKUP($AO73,'Технический лист'!$M:$N,2,1)),1+(1-$AU73))</f>
        <v>1</v>
      </c>
      <c r="DB73" s="15">
        <f>MIN(IF($AU73=100%,1,1+VLOOKUP(($AJ73-$AI73-$AH73-$AG73-$AF73-$AE73*(1+DB$3))/$AJ73,'Технический лист'!$M:$N,2,1)-VLOOKUP($AO73,'Технический лист'!$M:$N,2,1)),1+(1-$AU73))</f>
        <v>1</v>
      </c>
      <c r="DC73" s="15">
        <f>MIN(IF($AU73=100%,1,1+VLOOKUP(($AJ73-$AI73-$AH73-$AG73-$AF73-$AE73*(1+DC$3))/$AJ73,'Технический лист'!$M:$N,2,1)-VLOOKUP($AO73,'Технический лист'!$M:$N,2,1)),1+(1-$AU73))</f>
        <v>1</v>
      </c>
      <c r="DD73" s="15">
        <f>MIN(IF($AU73=100%,1,1+VLOOKUP(($AJ73-$AI73-$AH73-$AG73-$AF73-$AE73*(1+DD$3))/$AJ73,'Технический лист'!$M:$N,2,1)-VLOOKUP($AO73,'Технический лист'!$M:$N,2,1)),1+(1-$AU73))</f>
        <v>1</v>
      </c>
      <c r="DE73" s="15">
        <f>MIN(IF($AU73=100%,1,1+VLOOKUP(($AJ73-$AI73-$AH73-$AG73-$AF73-$AE73*(1+DE$3))/$AJ73,'Технический лист'!$M:$N,2,1)-VLOOKUP($AO73,'Технический лист'!$M:$N,2,1)),1+(1-$AU73))</f>
        <v>1</v>
      </c>
      <c r="DF73" s="15">
        <f>MIN(IF($AU73=100%,1,1+VLOOKUP(($AJ73-$AI73-$AH73-$AG73-$AF73-$AE73*(1+DF$3))/$AJ73,'Технический лист'!$M:$N,2,1)-VLOOKUP($AO73,'Технический лист'!$M:$N,2,1)),1+(1-$AU73))</f>
        <v>1</v>
      </c>
      <c r="DG73" s="15">
        <f>MIN(IF($AU73=100%,1,1+VLOOKUP(($AJ73-$AI73-$AH73-$AG73-$AF73-$AE73*(1+DG$3))/$AJ73,'Технический лист'!$M:$N,2,1)-VLOOKUP($AO73,'Технический лист'!$M:$N,2,1)),1+(1-$AU73))</f>
        <v>1</v>
      </c>
      <c r="DH73" s="15">
        <f>MIN(IF($AU73=100%,1,1+VLOOKUP(($AJ73-$AI73-$AH73-$AG73-$AF73-$AE73*(1+DH$3))/$AJ73,'Технический лист'!$M:$N,2,1)-VLOOKUP($AO73,'Технический лист'!$M:$N,2,1)),1+(1-$AU73))</f>
        <v>1</v>
      </c>
      <c r="DI73" s="15">
        <f>MIN(IF($AU73=100%,1,1+VLOOKUP(($AJ73-$AI73-$AH73-$AG73-$AF73-$AE73*(1+DI$3))/$AJ73,'Технический лист'!$M:$N,2,1)-VLOOKUP($AO73,'Технический лист'!$M:$N,2,1)),1+(1-$AU73))</f>
        <v>1</v>
      </c>
      <c r="DJ73" s="15">
        <f>MIN(IF($AU73=100%,1,1+VLOOKUP(($AJ73-$AI73-$AH73-$AG73-$AF73-$AE73*(1+DJ$3))/$AJ73,'Технический лист'!$M:$N,2,1)-VLOOKUP($AO73,'Технический лист'!$M:$N,2,1)),1+(1-$AU73))</f>
        <v>1</v>
      </c>
      <c r="DK73" s="15">
        <f>MIN(IF($AU73=100%,1,1+VLOOKUP(($AJ73-$AI73-$AH73-$AG73-$AF73-$AE73*(1+DK$3))/$AJ73,'Технический лист'!$M:$N,2,1)-VLOOKUP($AO73,'Технический лист'!$M:$N,2,1)),1+(1-$AU73))</f>
        <v>1</v>
      </c>
      <c r="DL73" s="15">
        <f>MIN(IF($AU73=100%,1,1+VLOOKUP(($AJ73-$AI73-$AH73-$AG73-$AF73-$AE73*(1+DL$3))/$AJ73,'Технический лист'!$M:$N,2,1)-VLOOKUP($AO73,'Технический лист'!$M:$N,2,1)),1+(1-$AU73))</f>
        <v>1</v>
      </c>
      <c r="DM73" s="15">
        <f>MIN(IF($AU73=100%,1,1+VLOOKUP(($AJ73-$AI73-$AH73-$AG73-$AF73-$AE73*(1+DM$3))/$AJ73,'Технический лист'!$M:$N,2,1)-VLOOKUP($AO73,'Технический лист'!$M:$N,2,1)),1+(1-$AU73))</f>
        <v>1</v>
      </c>
      <c r="DN73" s="15">
        <f>MIN(IF($AU73=100%,1,1+VLOOKUP(($AJ73-$AI73-$AH73-$AG73-$AF73-$AE73*(1+DN$3))/$AJ73,'Технический лист'!$M:$N,2,1)-VLOOKUP($AO73,'Технический лист'!$M:$N,2,1)),1+(1-$AU73))</f>
        <v>1</v>
      </c>
      <c r="DO73" s="15">
        <f>MIN(IF($AU73=100%,1,1+VLOOKUP(($AJ73-$AI73-$AH73-$AG73-$AF73-$AE73*(1+DO$3))/$AJ73,'Технический лист'!$M:$N,2,1)-VLOOKUP($AO73,'Технический лист'!$M:$N,2,1)),1+(1-$AU73))</f>
        <v>1</v>
      </c>
      <c r="DP73" s="15">
        <f>MIN(IF($AU73=100%,1,1+VLOOKUP(($AJ73-$AI73-$AH73-$AG73-$AF73-$AE73*(1+DP$3))/$AJ73,'Технический лист'!$M:$N,2,1)-VLOOKUP($AO73,'Технический лист'!$M:$N,2,1)),1+(1-$AU73))</f>
        <v>1</v>
      </c>
      <c r="DQ73" s="15">
        <f>MIN(IF($AU73=100%,1,1+VLOOKUP(($AJ73-$AI73-$AH73-$AG73-$AF73-$AE73*(1+DQ$3))/$AJ73,'Технический лист'!$M:$N,2,1)-VLOOKUP($AO73,'Технический лист'!$M:$N,2,1)),1+(1-$AU73))</f>
        <v>1</v>
      </c>
      <c r="DR73" s="15">
        <f>MIN(IF($AU73=100%,1,1+VLOOKUP(($AJ73-$AI73-$AH73-$AG73-$AF73-$AE73*(1+DR$3))/$AJ73,'Технический лист'!$M:$N,2,1)-VLOOKUP($AO73,'Технический лист'!$M:$N,2,1)),1+(1-$AU73))</f>
        <v>1</v>
      </c>
      <c r="DS73" s="15">
        <f>MIN(IF($AU73=100%,1,1+VLOOKUP(($AJ73-$AI73-$AH73-$AG73-$AF73-$AE73*(1+DS$3))/$AJ73,'Технический лист'!$M:$N,2,1)-VLOOKUP($AO73,'Технический лист'!$M:$N,2,1)),1+(1-$AU73))</f>
        <v>1</v>
      </c>
      <c r="DT73" s="15">
        <f>MIN(IF($AU73=100%,1,1+VLOOKUP(($AJ73-$AI73-$AH73-$AG73-$AF73-$AE73*(1+DT$3))/$AJ73,'Технический лист'!$M:$N,2,1)-VLOOKUP($AO73,'Технический лист'!$M:$N,2,1)),1+(1-$AU73))</f>
        <v>1</v>
      </c>
      <c r="DU73" s="15">
        <f>MIN(IF($AU73=100%,1,1+VLOOKUP(($AJ73-$AI73-$AH73-$AG73-$AF73-$AE73*(1+DU$3))/$AJ73,'Технический лист'!$M:$N,2,1)-VLOOKUP($AO73,'Технический лист'!$M:$N,2,1)),1+(1-$AU73))</f>
        <v>1</v>
      </c>
      <c r="DV73" s="15">
        <f>MIN(IF($AU73=100%,1,1+VLOOKUP(($AJ73-$AI73-$AH73-$AG73-$AF73-$AE73*(1+DV$3))/$AJ73,'Технический лист'!$M:$N,2,1)-VLOOKUP($AO73,'Технический лист'!$M:$N,2,1)),1+(1-$AU73))</f>
        <v>1</v>
      </c>
      <c r="DW73" s="15">
        <f>MIN(IF($AU73=100%,1,1+VLOOKUP(($AJ73-$AI73-$AH73-$AG73-$AF73-$AE73*(1+DW$3))/$AJ73,'Технический лист'!$M:$N,2,1)-VLOOKUP($AO73,'Технический лист'!$M:$N,2,1)),1+(1-$AU73))</f>
        <v>1</v>
      </c>
      <c r="DX73" s="15">
        <f>MIN(IF($AU73=100%,1,1+VLOOKUP(($AJ73-$AI73-$AH73-$AG73-$AF73-$AE73*(1+DX$3))/$AJ73,'Технический лист'!$M:$N,2,1)-VLOOKUP($AO73,'Технический лист'!$M:$N,2,1)),1+(1-$AU73))</f>
        <v>1</v>
      </c>
      <c r="DY73" s="15">
        <f>MIN(IF($AU73=100%,1,1+VLOOKUP(($AJ73-$AI73-$AH73-$AG73-$AF73-$AE73*(1+DY$3))/$AJ73,'Технический лист'!$M:$N,2,1)-VLOOKUP($AO73,'Технический лист'!$M:$N,2,1)),1+(1-$AU73))</f>
        <v>1</v>
      </c>
      <c r="DZ73" s="15">
        <f>MIN(IF($AU73=100%,1,1+VLOOKUP(($AJ73-$AI73-$AH73-$AG73-$AF73-$AE73*(1+DZ$3))/$AJ73,'Технический лист'!$M:$N,2,1)-VLOOKUP($AO73,'Технический лист'!$M:$N,2,1)),1+(1-$AU73))</f>
        <v>1</v>
      </c>
      <c r="EA73" s="15">
        <f>MIN(IF($AU73=100%,1,1+VLOOKUP(($AJ73-$AI73-$AH73-$AG73-$AF73-$AE73*(1+EA$3))/$AJ73,'Технический лист'!$M:$N,2,1)-VLOOKUP($AO73,'Технический лист'!$M:$N,2,1)),1+(1-$AU73))</f>
        <v>1</v>
      </c>
      <c r="EB73" s="15">
        <f>MIN(IF($AU73=100%,1,1+VLOOKUP(($AJ73-$AI73-$AH73-$AG73-$AF73-$AE73*(1+EB$3))/$AJ73,'Технический лист'!$M:$N,2,1)-VLOOKUP($AO73,'Технический лист'!$M:$N,2,1)),1+(1-$AU73))</f>
        <v>1</v>
      </c>
      <c r="EC73" s="15">
        <f>MIN(IF($AU73=100%,1,1+VLOOKUP(($AJ73-$AI73-$AH73-$AG73-$AF73-$AE73*(1+EC$3))/$AJ73,'Технический лист'!$M:$N,2,1)-VLOOKUP($AO73,'Технический лист'!$M:$N,2,1)),1+(1-$AU73))</f>
        <v>1</v>
      </c>
      <c r="ED73" s="15">
        <f>MIN(IF($AU73=100%,1,1+VLOOKUP(($AJ73-$AI73-$AH73-$AG73-$AF73-$AE73*(1+ED$3))/$AJ73,'Технический лист'!$M:$N,2,1)-VLOOKUP($AO73,'Технический лист'!$M:$N,2,1)),1+(1-$AU73))</f>
        <v>1</v>
      </c>
      <c r="EE73" s="15">
        <f>MIN(IF($AU73=100%,1,1+VLOOKUP(($AJ73-$AI73-$AH73-$AG73-$AF73-$AE73*(1+EE$3))/$AJ73,'Технический лист'!$M:$N,2,1)-VLOOKUP($AO73,'Технический лист'!$M:$N,2,1)),1+(1-$AU73))</f>
        <v>1</v>
      </c>
      <c r="EF73" s="15">
        <f>MIN(IF($AU73=100%,1,1+VLOOKUP(($AJ73-$AI73-$AH73-$AG73-$AF73-$AE73*(1+EF$3))/$AJ73,'Технический лист'!$M:$N,2,1)-VLOOKUP($AO73,'Технический лист'!$M:$N,2,1)),1+(1-$AU73))</f>
        <v>1</v>
      </c>
      <c r="EG73" s="15">
        <f>MIN(IF($AU73=100%,1,1+VLOOKUP(($AJ73-$AI73-$AH73-$AG73-$AF73-$AE73*(1+EG$3))/$AJ73,'Технический лист'!$M:$N,2,1)-VLOOKUP($AO73,'Технический лист'!$M:$N,2,1)),1+(1-$AU73))</f>
        <v>1</v>
      </c>
      <c r="EH73" s="15">
        <f>MIN(IF($AU73=100%,1,1+VLOOKUP(($AJ73-$AI73-$AH73-$AG73-$AF73-$AE73*(1+EH$3))/$AJ73,'Технический лист'!$M:$N,2,1)-VLOOKUP($AO73,'Технический лист'!$M:$N,2,1)),1+(1-$AU73))</f>
        <v>1</v>
      </c>
      <c r="EI73" s="15">
        <f>MIN(IF($AU73=100%,1,1+VLOOKUP(($AJ73-$AI73-$AH73-$AG73-$AF73-$AE73*(1+EI$3))/$AJ73,'Технический лист'!$M:$N,2,1)-VLOOKUP($AO73,'Технический лист'!$M:$N,2,1)),1+(1-$AU73))</f>
        <v>1</v>
      </c>
      <c r="EJ73" s="15">
        <f>MIN(IF($AU73=100%,1,1+VLOOKUP(($AJ73-$AI73-$AH73-$AG73-$AF73-$AE73*(1+EJ$3))/$AJ73,'Технический лист'!$M:$N,2,1)-VLOOKUP($AO73,'Технический лист'!$M:$N,2,1)),1+(1-$AU73))</f>
        <v>1</v>
      </c>
      <c r="EK73" s="15">
        <f>MIN(IF($AU73=100%,1,1+VLOOKUP(($AJ73-$AI73-$AH73-$AG73-$AF73-$AE73*(1+EK$3))/$AJ73,'Технический лист'!$M:$N,2,1)-VLOOKUP($AO73,'Технический лист'!$M:$N,2,1)),1+(1-$AU73))</f>
        <v>1</v>
      </c>
      <c r="EL73" s="15">
        <f>MIN(IF($AU73=100%,1,1+VLOOKUP(($AJ73-$AI73-$AH73-$AG73-$AF73-$AE73*(1+EL$3))/$AJ73,'Технический лист'!$M:$N,2,1)-VLOOKUP($AO73,'Технический лист'!$M:$N,2,1)),1+(1-$AU73))</f>
        <v>1</v>
      </c>
      <c r="EM73" s="15">
        <f>MIN(IF($AU73=100%,1,1+VLOOKUP(($AJ73-$AI73-$AH73-$AG73-$AF73-$AE73*(1+EM$3))/$AJ73,'Технический лист'!$M:$N,2,1)-VLOOKUP($AO73,'Технический лист'!$M:$N,2,1)),1+(1-$AU73))</f>
        <v>1</v>
      </c>
      <c r="EN73" s="15">
        <f>MIN(IF($AU73=100%,1,1+VLOOKUP(($AJ73-$AI73-$AH73-$AG73-$AF73-$AE73*(1+EN$3))/$AJ73,'Технический лист'!$M:$N,2,1)-VLOOKUP($AO73,'Технический лист'!$M:$N,2,1)),1+(1-$AU73))</f>
        <v>1</v>
      </c>
      <c r="EO73" s="15">
        <f>MIN(IF($AU73=100%,1,1+VLOOKUP(($AJ73-$AI73-$AH73-$AG73-$AF73-$AE73*(1+EO$3))/$AJ73,'Технический лист'!$M:$N,2,1)-VLOOKUP($AO73,'Технический лист'!$M:$N,2,1)),1+(1-$AU73))</f>
        <v>1</v>
      </c>
      <c r="EP73" s="15">
        <f>MIN(IF($AU73=100%,1,1+VLOOKUP(($AJ73-$AI73-$AH73-$AG73-$AF73-$AE73*(1+EP$3))/$AJ73,'Технический лист'!$M:$N,2,1)-VLOOKUP($AO73,'Технический лист'!$M:$N,2,1)),1+(1-$AU73))</f>
        <v>1</v>
      </c>
      <c r="EQ73" s="15">
        <f>MIN(IF($AU73=100%,1,1+VLOOKUP(($AJ73-$AI73-$AH73-$AG73-$AF73-$AE73*(1+EQ$3))/$AJ73,'Технический лист'!$M:$N,2,1)-VLOOKUP($AO73,'Технический лист'!$M:$N,2,1)),1+(1-$AU73))</f>
        <v>1</v>
      </c>
      <c r="ER73" s="15">
        <f>MIN(IF($AU73=100%,1,1+VLOOKUP(($AJ73-$AI73-$AH73-$AG73-$AF73-$AE73*(1+ER$3))/$AJ73,'Технический лист'!$M:$N,2,1)-VLOOKUP($AO73,'Технический лист'!$M:$N,2,1)),1+(1-$AU73))</f>
        <v>1</v>
      </c>
      <c r="ES73" s="15">
        <f>MIN(IF($AU73=100%,1,1+VLOOKUP(($AJ73-$AI73-$AH73-$AG73-$AF73-$AE73*(1+ES$3))/$AJ73,'Технический лист'!$M:$N,2,1)-VLOOKUP($AO73,'Технический лист'!$M:$N,2,1)),1+(1-$AU73))</f>
        <v>1</v>
      </c>
      <c r="ET73" s="15">
        <f>MIN(IF($AU73=100%,1,1+VLOOKUP(($AJ73-$AI73-$AH73-$AG73-$AF73-$AE73*(1+ET$3))/$AJ73,'Технический лист'!$M:$N,2,1)-VLOOKUP($AO73,'Технический лист'!$M:$N,2,1)),1+(1-$AU73))</f>
        <v>1</v>
      </c>
      <c r="EU73" s="15">
        <f>MIN(IF($AU73=100%,1,1+VLOOKUP(($AJ73-$AI73-$AH73-$AG73-$AF73-$AE73*(1+EU$3))/$AJ73,'Технический лист'!$M:$N,2,1)-VLOOKUP($AO73,'Технический лист'!$M:$N,2,1)),1+(1-$AU73))</f>
        <v>1</v>
      </c>
      <c r="EV73" s="111">
        <v>1</v>
      </c>
      <c r="EW73" s="15">
        <f>MIN(1,MAX(VLOOKUP(($AJ73-$AI73-$AH73-$AG73-$AF73-$AE73*(1+EW$3))/$AJ73,'Технический лист'!$M:$N,2,1),(EV73-0.05)))</f>
        <v>1</v>
      </c>
      <c r="EX73" s="15">
        <f>MIN(1,MAX(VLOOKUP(($AJ73-$AI73-$AH73-$AG73-$AF73-$AE73*(1+EX$3))/$AJ73,'Технический лист'!$M:$N,2,1),(EW73-0.05)))</f>
        <v>1</v>
      </c>
      <c r="EY73" s="15">
        <f>MIN(1,MAX(VLOOKUP(($AJ73-$AI73-$AH73-$AG73-$AF73-$AE73*(1+EY$3))/$AJ73,'Технический лист'!$M:$N,2,1),(EX73-0.05)))</f>
        <v>1</v>
      </c>
      <c r="EZ73" s="15">
        <f>MIN(1,MAX(VLOOKUP(($AJ73-$AI73-$AH73-$AG73-$AF73-$AE73*(1+EZ$3))/$AJ73,'Технический лист'!$M:$N,2,1),(EY73-0.05)))</f>
        <v>1</v>
      </c>
      <c r="FA73" s="15">
        <f>MIN(1,MAX(VLOOKUP(($AJ73-$AI73-$AH73-$AG73-$AF73-$AE73*(1+FA$3))/$AJ73,'Технический лист'!$M:$N,2,1),(EZ73-0.05)))</f>
        <v>1</v>
      </c>
      <c r="FB73" s="15">
        <f>MIN(1,MAX(VLOOKUP(($AJ73-$AI73-$AH73-$AG73-$AF73-$AE73*(1+FB$3))/$AJ73,'Технический лист'!$M:$N,2,1),(FA73-0.05)))</f>
        <v>1</v>
      </c>
      <c r="FC73" s="15">
        <f>MIN(1,MAX(VLOOKUP(($AJ73-$AI73-$AH73-$AG73-$AF73-$AE73*(1+FC$3))/$AJ73,'Технический лист'!$M:$N,2,1),(FB73-0.05)))</f>
        <v>1</v>
      </c>
      <c r="FD73" s="15">
        <f>MIN(1,MAX(VLOOKUP(($AJ73-$AI73-$AH73-$AG73-$AF73-$AE73*(1+FD$3))/$AJ73,'Технический лист'!$M:$N,2,1),(FC73-0.05)))</f>
        <v>1</v>
      </c>
      <c r="FE73" s="15">
        <f>MIN(1,MAX(VLOOKUP(($AJ73-$AI73-$AH73-$AG73-$AF73-$AE73*(1+FE$3))/$AJ73,'Технический лист'!$M:$N,2,1),(FD73-0.05)))</f>
        <v>1</v>
      </c>
      <c r="FF73" s="15">
        <f>MIN(1,MAX(VLOOKUP(($AJ73-$AI73-$AH73-$AG73-$AF73-$AE73*(1+FF$3))/$AJ73,'Технический лист'!$M:$N,2,1),(FE73-0.05)))</f>
        <v>1</v>
      </c>
      <c r="FG73" s="15">
        <f>MIN(1,MAX(VLOOKUP(($AJ73-$AI73-$AH73-$AG73-$AF73-$AE73*(1+FG$3))/$AJ73,'Технический лист'!$M:$N,2,1),(FF73-0.05)))</f>
        <v>1</v>
      </c>
      <c r="FH73" s="15">
        <f>MIN(1,MAX(VLOOKUP(($AJ73-$AI73-$AH73-$AG73-$AF73-$AE73*(1+FH$3))/$AJ73,'Технический лист'!$M:$N,2,1),(FG73-0.05)))</f>
        <v>1</v>
      </c>
      <c r="FI73" s="15">
        <f>MIN(1,MAX(VLOOKUP(($AJ73-$AI73-$AH73-$AG73-$AF73-$AE73*(1+FI$3))/$AJ73,'Технический лист'!$M:$N,2,1),(FH73-0.05)))</f>
        <v>1</v>
      </c>
      <c r="FJ73" s="15">
        <f>MIN(1,MAX(VLOOKUP(($AJ73-$AI73-$AH73-$AG73-$AF73-$AE73*(1+FJ$3))/$AJ73,'Технический лист'!$M:$N,2,1),(FI73-0.05)))</f>
        <v>1</v>
      </c>
      <c r="FK73" s="15">
        <f>MIN(1,MAX(VLOOKUP(($AJ73-$AI73-$AH73-$AG73-$AF73-$AE73*(1+FK$3))/$AJ73,'Технический лист'!$M:$N,2,1),(FJ73-0.05)))</f>
        <v>1</v>
      </c>
      <c r="FL73" s="15">
        <f>MIN(1,MAX(VLOOKUP(($AJ73-$AI73-$AH73-$AG73-$AF73-$AE73*(1+FL$3))/$AJ73,'Технический лист'!$M:$N,2,1),(FK73-0.05)))</f>
        <v>1</v>
      </c>
      <c r="FM73" s="15">
        <f>MIN(1,MAX(VLOOKUP(($AJ73-$AI73-$AH73-$AG73-$AF73-$AE73*(1+FM$3))/$AJ73,'Технический лист'!$M:$N,2,1),(FL73-0.05)))</f>
        <v>1</v>
      </c>
      <c r="FN73" s="15">
        <f>MIN(1,MAX(VLOOKUP(($AJ73-$AI73-$AH73-$AG73-$AF73-$AE73*(1+FN$3))/$AJ73,'Технический лист'!$M:$N,2,1),(FM73-0.05)))</f>
        <v>1</v>
      </c>
      <c r="FO73" s="15">
        <f>MIN(1,MAX(VLOOKUP(($AJ73-$AI73-$AH73-$AG73-$AF73-$AE73*(1+FO$3))/$AJ73,'Технический лист'!$M:$N,2,1),(FN73-0.05)))</f>
        <v>1</v>
      </c>
      <c r="FP73" s="15">
        <f>MIN(1,MAX(VLOOKUP(($AJ73-$AI73-$AH73-$AG73-$AF73-$AE73*(1+FP$3))/$AJ73,'Технический лист'!$M:$N,2,1),(FO73-0.05)))</f>
        <v>1</v>
      </c>
      <c r="FQ73" s="15">
        <f>MIN(1,MAX(VLOOKUP(($AJ73-$AI73-$AH73-$AG73-$AF73-$AE73*(1+FQ$3))/$AJ73,'Технический лист'!$M:$N,2,1),(FP73-0.05)))</f>
        <v>1</v>
      </c>
      <c r="FR73" s="15">
        <f>MIN(1,MAX(VLOOKUP(($AJ73-$AI73-$AH73-$AG73-$AF73-$AE73*(1+FR$3))/$AJ73,'Технический лист'!$M:$N,2,1),(FQ73-0.05)))</f>
        <v>1</v>
      </c>
      <c r="FS73" s="15">
        <f>MIN(1,MAX(VLOOKUP(($AJ73-$AI73-$AH73-$AG73-$AF73-$AE73*(1+FS$3))/$AJ73,'Технический лист'!$M:$N,2,1),(FR73-0.05)))</f>
        <v>1</v>
      </c>
      <c r="FT73" s="15">
        <f>MIN(1,MAX(VLOOKUP(($AJ73-$AI73-$AH73-$AG73-$AF73-$AE73*(1+FT$3))/$AJ73,'Технический лист'!$M:$N,2,1),(FS73-0.05)))</f>
        <v>1</v>
      </c>
      <c r="FU73" s="15">
        <f>MIN(1,MAX(VLOOKUP(($AJ73-$AI73-$AH73-$AG73-$AF73-$AE73*(1+FU$3))/$AJ73,'Технический лист'!$M:$N,2,1),(FT73-0.05)))</f>
        <v>1</v>
      </c>
      <c r="FV73" s="15">
        <f>MIN(1,MAX(VLOOKUP(($AJ73-$AI73-$AH73-$AG73-$AF73-$AE73*(1+FV$3))/$AJ73,'Технический лист'!$M:$N,2,1),(FU73-0.05)))</f>
        <v>1</v>
      </c>
      <c r="FW73" s="15">
        <f>MIN(1,MAX(VLOOKUP(($AJ73-$AI73-$AH73-$AG73-$AF73-$AE73*(1+FW$3))/$AJ73,'Технический лист'!$M:$N,2,1),(FV73-0.05)))</f>
        <v>1</v>
      </c>
      <c r="FX73" s="15">
        <f>MIN(1,MAX(VLOOKUP(($AJ73-$AI73-$AH73-$AG73-$AF73-$AE73*(1+FX$3))/$AJ73,'Технический лист'!$M:$N,2,1),(FW73-0.05)))</f>
        <v>1</v>
      </c>
      <c r="FY73" s="15">
        <f>MIN(1,MAX(VLOOKUP(($AJ73-$AI73-$AH73-$AG73-$AF73-$AE73*(1+FY$3))/$AJ73,'Технический лист'!$M:$N,2,1),(FX73-0.05)))</f>
        <v>1</v>
      </c>
      <c r="FZ73" s="15">
        <f>MIN(1,MAX(VLOOKUP(($AJ73-$AI73-$AH73-$AG73-$AF73-$AE73*(1+FZ$3))/$AJ73,'Технический лист'!$M:$N,2,1),(FY73-0.05)))</f>
        <v>1</v>
      </c>
      <c r="GA73" s="15">
        <f>MIN(1,MAX(VLOOKUP(($AJ73-$AI73-$AH73-$AG73-$AF73-$AE73*(1+GA$3))/$AJ73,'Технический лист'!$M:$N,2,1),(FZ73-0.05)))</f>
        <v>1</v>
      </c>
      <c r="GB73" s="15">
        <f>MIN(1,MAX(VLOOKUP(($AJ73-$AI73-$AH73-$AG73-$AF73-$AE73*(1+GB$3))/$AJ73,'Технический лист'!$M:$N,2,1),(GA73-0.05)))</f>
        <v>1</v>
      </c>
      <c r="GC73" s="15">
        <f>MIN(1,MAX(VLOOKUP(($AJ73-$AI73-$AH73-$AG73-$AF73-$AE73*(1+GC$3))/$AJ73,'Технический лист'!$M:$N,2,1),(GB73-0.05)))</f>
        <v>1</v>
      </c>
      <c r="GD73" s="15">
        <f>MIN(1,MAX(VLOOKUP(($AJ73-$AI73-$AH73-$AG73-$AF73-$AE73*(1+GD$3))/$AJ73,'Технический лист'!$M:$N,2,1),(GC73-0.05)))</f>
        <v>1</v>
      </c>
      <c r="GE73" s="15">
        <f>MIN(1,MAX(VLOOKUP(($AJ73-$AI73-$AH73-$AG73-$AF73-$AE73*(1+GE$3))/$AJ73,'Технический лист'!$M:$N,2,1),(GD73-0.05)))</f>
        <v>1</v>
      </c>
      <c r="GF73" s="15">
        <f>MIN(1,MAX(VLOOKUP(($AJ73-$AI73-$AH73-$AG73-$AF73-$AE73*(1+GF$3))/$AJ73,'Технический лист'!$M:$N,2,1),(GE73-0.05)))</f>
        <v>1</v>
      </c>
      <c r="GG73" s="15">
        <f>MIN(1,MAX(VLOOKUP(($AJ73-$AI73-$AH73-$AG73-$AF73-$AE73*(1+GG$3))/$AJ73,'Технический лист'!$M:$N,2,1),(GF73-0.05)))</f>
        <v>1</v>
      </c>
      <c r="GH73" s="15">
        <f>MIN(1,MAX(VLOOKUP(($AJ73-$AI73-$AH73-$AG73-$AF73-$AE73*(1+GH$3))/$AJ73,'Технический лист'!$M:$N,2,1),(GG73-0.05)))</f>
        <v>1</v>
      </c>
      <c r="GI73" s="15">
        <f>MIN(1,MAX(VLOOKUP(($AJ73-$AI73-$AH73-$AG73-$AF73-$AE73*(1+GI$3))/$AJ73,'Технический лист'!$M:$N,2,1),(GH73-0.05)))</f>
        <v>1</v>
      </c>
      <c r="GJ73" s="15">
        <f>MIN(1,MAX(VLOOKUP(($AJ73-$AI73-$AH73-$AG73-$AF73-$AE73*(1+GJ$3))/$AJ73,'Технический лист'!$M:$N,2,1),(GI73-0.05)))</f>
        <v>1</v>
      </c>
      <c r="GK73" s="15">
        <f>MIN(1,MAX(VLOOKUP(($AJ73-$AI73-$AH73-$AG73-$AF73-$AE73*(1+GK$3))/$AJ73,'Технический лист'!$M:$N,2,1),(GJ73-0.05)))</f>
        <v>1</v>
      </c>
      <c r="GL73" s="15">
        <f>MIN(1,MAX(VLOOKUP(($AJ73-$AI73-$AH73-$AG73-$AF73-$AE73*(1+GL$3))/$AJ73,'Технический лист'!$M:$N,2,1),(GK73-0.05)))</f>
        <v>1</v>
      </c>
      <c r="GM73" s="15">
        <f>MIN(1,MAX(VLOOKUP(($AJ73-$AI73-$AH73-$AG73-$AF73-$AE73*(1+GM$3))/$AJ73,'Технический лист'!$M:$N,2,1),(GL73-0.05)))</f>
        <v>1</v>
      </c>
      <c r="GN73" s="15">
        <f>MIN(1,MAX(VLOOKUP(($AJ73-$AI73-$AH73-$AG73-$AF73-$AE73*(1+GN$3))/$AJ73,'Технический лист'!$M:$N,2,1),(GM73-0.05)))</f>
        <v>1</v>
      </c>
      <c r="GO73" s="15">
        <f>MIN(1,MAX(VLOOKUP(($AJ73-$AI73-$AH73-$AG73-$AF73-$AE73*(1+GO$3))/$AJ73,'Технический лист'!$M:$N,2,1),(GN73-0.05)))</f>
        <v>1</v>
      </c>
      <c r="GP73" s="15">
        <f>MIN(1,MAX(VLOOKUP(($AJ73-$AI73-$AH73-$AG73-$AF73-$AE73*(1+GP$3))/$AJ73,'Технический лист'!$M:$N,2,1),(GO73-0.05)))</f>
        <v>1</v>
      </c>
      <c r="GQ73" s="15">
        <f>MIN(1,MAX(VLOOKUP(($AJ73-$AI73-$AH73-$AG73-$AF73-$AE73*(1+GQ$3))/$AJ73,'Технический лист'!$M:$N,2,1),(GP73-0.05)))</f>
        <v>1</v>
      </c>
      <c r="GR73" s="15">
        <f>MIN(1,MAX(VLOOKUP(($AJ73-$AI73-$AH73-$AG73-$AF73-$AE73*(1+GR$3))/$AJ73,'Технический лист'!$M:$N,2,1),(GQ73-0.05)))</f>
        <v>1</v>
      </c>
      <c r="GS73" s="15">
        <f>MIN(1,MAX(VLOOKUP(($AJ73-$AI73-$AH73-$AG73-$AF73-$AE73*(1+GS$3))/$AJ73,'Технический лист'!$M:$N,2,1),(GR73-0.05)))</f>
        <v>1</v>
      </c>
      <c r="GT73" s="15">
        <f>MIN(1,MAX(VLOOKUP(($AJ73-$AI73-$AH73-$AG73-$AF73-$AE73*(1+GT$3))/$AJ73,'Технический лист'!$M:$N,2,1),(GS73-0.05)))</f>
        <v>1</v>
      </c>
      <c r="GU73" s="15">
        <f>MIN(1,MAX(VLOOKUP(($AJ73-$AI73-$AH73-$AG73-$AF73-$AE73*(1+GU$3))/$AJ73,'Технический лист'!$M:$N,2,1),(GT73-0.05)))</f>
        <v>1</v>
      </c>
      <c r="GV73" s="15">
        <f>MIN(1,MAX(VLOOKUP(($AJ73-$AI73-$AH73-$AG73-$AF73-$AE73*(1+GV$3))/$AJ73,'Технический лист'!$M:$N,2,1),(GU73-0.05)))</f>
        <v>1</v>
      </c>
      <c r="GW73" s="15">
        <f>MIN(1,MAX(VLOOKUP(($AJ73-$AI73-$AH73-$AG73-$AF73-$AE73*(1+GW$3))/$AJ73,'Технический лист'!$M:$N,2,1),(GV73-0.05)))</f>
        <v>1</v>
      </c>
      <c r="GX73" s="15">
        <f>MIN(1,MAX(VLOOKUP(($AJ73-$AI73-$AH73-$AG73-$AF73-$AE73*(1+GX$3))/$AJ73,'Технический лист'!$M:$N,2,1),(GW73-0.05)))</f>
        <v>1</v>
      </c>
      <c r="GY73" s="15">
        <f>MIN(1,MAX(VLOOKUP(($AJ73-$AI73-$AH73-$AG73-$AF73-$AE73*(1+GY$3))/$AJ73,'Технический лист'!$M:$N,2,1),(GX73-0.05)))</f>
        <v>1</v>
      </c>
      <c r="GZ73" s="15">
        <f>MIN(1,MAX(VLOOKUP(($AJ73-$AI73-$AH73-$AG73-$AF73-$AE73*(1+GZ$3))/$AJ73,'Технический лист'!$M:$N,2,1),(GY73-0.05)))</f>
        <v>1</v>
      </c>
      <c r="HA73" s="15">
        <f>MIN(1,MAX(VLOOKUP(($AJ73-$AI73-$AH73-$AG73-$AF73-$AE73*(1+HA$3))/$AJ73,'Технический лист'!$M:$N,2,1),(GZ73-0.05)))</f>
        <v>1</v>
      </c>
      <c r="HB73" s="15">
        <f>MIN(1,MAX(VLOOKUP(($AJ73-$AI73-$AH73-$AG73-$AF73-$AE73*(1+HB$3))/$AJ73,'Технический лист'!$M:$N,2,1),(HA73-0.05)))</f>
        <v>1</v>
      </c>
      <c r="HC73" s="15">
        <f>MIN(1,MAX(VLOOKUP(($AJ73-$AI73-$AH73-$AG73-$AF73-$AE73*(1+HC$3))/$AJ73,'Технический лист'!$M:$N,2,1),(HB73-0.05)))</f>
        <v>1</v>
      </c>
      <c r="HD73" s="15">
        <f>MIN(1,MAX(VLOOKUP(($AJ73-$AI73-$AH73-$AG73-$AF73-$AE73*(1+HD$3))/$AJ73,'Технический лист'!$M:$N,2,1),(HC73-0.05)))</f>
        <v>1</v>
      </c>
      <c r="HE73" s="15">
        <f>MIN(1,MAX(VLOOKUP(($AJ73-$AI73-$AH73-$AG73-$AF73-$AE73*(1+HE$3))/$AJ73,'Технический лист'!$M:$N,2,1),(HD73-0.05)))</f>
        <v>1</v>
      </c>
      <c r="HF73" s="15">
        <f>MIN(1,MAX(VLOOKUP(($AJ73-$AI73-$AH73-$AG73-$AF73-$AE73*(1+HF$3))/$AJ73,'Технический лист'!$M:$N,2,1),(HE73-0.05)))</f>
        <v>1</v>
      </c>
      <c r="HG73" s="15">
        <f>MIN(1,MAX(VLOOKUP(($AJ73-$AI73-$AH73-$AG73-$AF73-$AE73*(1+HG$3))/$AJ73,'Технический лист'!$M:$N,2,1),(HF73-0.05)))</f>
        <v>1</v>
      </c>
      <c r="HH73" s="15">
        <f>MIN(1,MAX(VLOOKUP(($AJ73-$AI73-$AH73-$AG73-$AF73-$AE73*(1+HH$3))/$AJ73,'Технический лист'!$M:$N,2,1),(HG73-0.05)))</f>
        <v>1</v>
      </c>
      <c r="HI73" s="15">
        <f>MIN(1,MAX(VLOOKUP(($AJ73-$AI73-$AH73-$AG73-$AF73-$AE73*(1+HI$3))/$AJ73,'Технический лист'!$M:$N,2,1),(HH73-0.05)))</f>
        <v>1</v>
      </c>
      <c r="HJ73" s="15">
        <f>MIN(1,MAX(VLOOKUP(($AJ73-$AI73-$AH73-$AG73-$AF73-$AE73*(1+HJ$3))/$AJ73,'Технический лист'!$M:$N,2,1),(HI73-0.05)))</f>
        <v>1</v>
      </c>
      <c r="HK73" s="15">
        <f>MIN(1,MAX(VLOOKUP(($AJ73-$AI73-$AH73-$AG73-$AF73-$AE73*(1+HK$3))/$AJ73,'Технический лист'!$M:$N,2,1),(HJ73-0.05)))</f>
        <v>1</v>
      </c>
      <c r="HL73" s="15">
        <f>MIN(1,MAX(VLOOKUP(($AJ73-$AI73-$AH73-$AG73-$AF73-$AE73*(1+HL$3))/$AJ73,'Технический лист'!$M:$N,2,1),(HK73-0.05)))</f>
        <v>1</v>
      </c>
      <c r="HM73" s="15">
        <f>MIN(1,MAX(VLOOKUP(($AJ73-$AI73-$AH73-$AG73-$AF73-$AE73*(1+HM$3))/$AJ73,'Технический лист'!$M:$N,2,1),(HL73-0.05)))</f>
        <v>1</v>
      </c>
      <c r="HN73" s="15">
        <f>MIN(1,MAX(VLOOKUP(($AJ73-$AI73-$AH73-$AG73-$AF73-$AE73*(1+HN$3))/$AJ73,'Технический лист'!$M:$N,2,1),(HM73-0.05)))</f>
        <v>1</v>
      </c>
      <c r="HO73" s="15">
        <f>MIN(1,MAX(VLOOKUP(($AJ73-$AI73-$AH73-$AG73-$AF73-$AE73*(1+HO$3))/$AJ73,'Технический лист'!$M:$N,2,1),(HN73-0.05)))</f>
        <v>1</v>
      </c>
      <c r="HP73" s="15">
        <f>MIN(1,MAX(VLOOKUP(($AJ73-$AI73-$AH73-$AG73-$AF73-$AE73*(1+HP$3))/$AJ73,'Технический лист'!$M:$N,2,1),(HO73-0.05)))</f>
        <v>1</v>
      </c>
      <c r="HQ73" s="15">
        <f>MIN(1,MAX(VLOOKUP(($AJ73-$AI73-$AH73-$AG73-$AF73-$AE73*(1+HQ$3))/$AJ73,'Технический лист'!$M:$N,2,1),(HP73-0.05)))</f>
        <v>1</v>
      </c>
      <c r="HR73" s="15">
        <f>MIN(1,MAX(VLOOKUP(($AJ73-$AI73-$AH73-$AG73-$AF73-$AE73*(1+HR$3))/$AJ73,'Технический лист'!$M:$N,2,1),(HQ73-0.05)))</f>
        <v>1</v>
      </c>
      <c r="HS73" s="15">
        <f>MIN(1,MAX(VLOOKUP(($AJ73-$AI73-$AH73-$AG73-$AF73-$AE73*(1+HS$3))/$AJ73,'Технический лист'!$M:$N,2,1),(HR73-0.05)))</f>
        <v>1</v>
      </c>
      <c r="HT73" s="15">
        <f>MIN(1,MAX(VLOOKUP(($AJ73-$AI73-$AH73-$AG73-$AF73-$AE73*(1+HT$3))/$AJ73,'Технический лист'!$M:$N,2,1),(HS73-0.05)))</f>
        <v>1</v>
      </c>
      <c r="HU73" s="15">
        <f>MIN(1,MAX(VLOOKUP(($AJ73-$AI73-$AH73-$AG73-$AF73-$AE73*(1+HU$3))/$AJ73,'Технический лист'!$M:$N,2,1),(HT73-0.05)))</f>
        <v>1</v>
      </c>
      <c r="HV73" s="15">
        <f>MIN(1,MAX(VLOOKUP(($AJ73-$AI73-$AH73-$AG73-$AF73-$AE73*(1+HV$3))/$AJ73,'Технический лист'!$M:$N,2,1),(HU73-0.05)))</f>
        <v>1</v>
      </c>
      <c r="HW73" s="15">
        <f>MIN(1,MAX(VLOOKUP(($AJ73-$AI73-$AH73-$AG73-$AF73-$AE73*(1+HW$3))/$AJ73,'Технический лист'!$M:$N,2,1),(HV73-0.05)))</f>
        <v>1</v>
      </c>
      <c r="HX73" s="15">
        <f>MIN(1,MAX(VLOOKUP(($AJ73-$AI73-$AH73-$AG73-$AF73-$AE73*(1+HX$3))/$AJ73,'Технический лист'!$M:$N,2,1),(HW73-0.05)))</f>
        <v>1</v>
      </c>
      <c r="HY73" s="15">
        <f>MIN(1,MAX(VLOOKUP(($AJ73-$AI73-$AH73-$AG73-$AF73-$AE73*(1+HY$3))/$AJ73,'Технический лист'!$M:$N,2,1),(HX73-0.05)))</f>
        <v>1</v>
      </c>
      <c r="HZ73" s="15">
        <f>MIN(1,MAX(VLOOKUP(($AJ73-$AI73-$AH73-$AG73-$AF73-$AE73*(1+HZ$3))/$AJ73,'Технический лист'!$M:$N,2,1),(HY73-0.05)))</f>
        <v>1</v>
      </c>
      <c r="IA73" s="15">
        <f>MIN(1,MAX(VLOOKUP(($AJ73-$AI73-$AH73-$AG73-$AF73-$AE73*(1+IA$3))/$AJ73,'Технический лист'!$M:$N,2,1),(HZ73-0.05)))</f>
        <v>1</v>
      </c>
      <c r="IB73" s="15">
        <f>MIN(1,MAX(VLOOKUP(($AJ73-$AI73-$AH73-$AG73-$AF73-$AE73*(1+IB$3))/$AJ73,'Технический лист'!$M:$N,2,1),(IA73-0.05)))</f>
        <v>1</v>
      </c>
      <c r="IC73" s="15">
        <f>MIN(1,MAX(VLOOKUP(($AJ73-$AI73-$AH73-$AG73-$AF73-$AE73*(1+IC$3))/$AJ73,'Технический лист'!$M:$N,2,1),(IB73-0.05)))</f>
        <v>1</v>
      </c>
      <c r="ID73" s="15">
        <f>MIN(1,MAX(VLOOKUP(($AJ73-$AI73-$AH73-$AG73-$AF73-$AE73*(1+ID$3))/$AJ73,'Технический лист'!$M:$N,2,1),(IC73-0.05)))</f>
        <v>1</v>
      </c>
      <c r="IE73" s="15">
        <f>MIN(1,MAX(VLOOKUP(($AJ73-$AI73-$AH73-$AG73-$AF73-$AE73*(1+IE$3))/$AJ73,'Технический лист'!$M:$N,2,1),(ID73-0.05)))</f>
        <v>1</v>
      </c>
      <c r="IF73" s="15">
        <f>MIN(1,MAX(VLOOKUP(($AJ73-$AI73-$AH73-$AG73-$AF73-$AE73*(1+IF$3))/$AJ73,'Технический лист'!$M:$N,2,1),(IE73-0.05)))</f>
        <v>1</v>
      </c>
      <c r="IG73" s="15">
        <f>MIN(1,MAX(VLOOKUP(($AJ73-$AI73-$AH73-$AG73-$AF73-$AE73*(1+IG$3))/$AJ73,'Технический лист'!$M:$N,2,1),(IF73-0.05)))</f>
        <v>1</v>
      </c>
      <c r="IH73" s="15">
        <f>MIN(1,MAX(VLOOKUP(($AJ73-$AI73-$AH73-$AG73-$AF73-$AE73*(1+IH$3))/$AJ73,'Технический лист'!$M:$N,2,1),(IG73-0.05)))</f>
        <v>1</v>
      </c>
      <c r="II73" s="15">
        <f>MIN(1,MAX(VLOOKUP(($AJ73-$AI73-$AH73-$AG73-$AF73-$AE73*(1+II$3))/$AJ73,'Технический лист'!$M:$N,2,1),(IH73-0.05)))</f>
        <v>1</v>
      </c>
      <c r="IJ73" s="15">
        <f>MIN(1,MAX(VLOOKUP(($AJ73-$AI73-$AH73-$AG73-$AF73-$AE73*(1+IJ$3))/$AJ73,'Технический лист'!$M:$N,2,1),(II73-0.05)))</f>
        <v>1</v>
      </c>
      <c r="IK73" s="15">
        <f>MIN(1,MAX(VLOOKUP(($AJ73-$AI73-$AH73-$AG73-$AF73-$AE73*(1+IK$3))/$AJ73,'Технический лист'!$M:$N,2,1),(IJ73-0.05)))</f>
        <v>1</v>
      </c>
      <c r="IL73" s="15">
        <f>MIN(1,MAX(VLOOKUP(($AJ73-$AI73-$AH73-$AG73-$AF73-$AE73*(1+IL$3))/$AJ73,'Технический лист'!$M:$N,2,1),(IK73-0.05)))</f>
        <v>1</v>
      </c>
      <c r="IM73" s="15">
        <f>MIN(1,MAX(VLOOKUP(($AJ73-$AI73-$AH73-$AG73-$AF73-$AE73*(1+IM$3))/$AJ73,'Технический лист'!$M:$N,2,1),(IL73-0.05)))</f>
        <v>1</v>
      </c>
      <c r="IN73" s="15">
        <f>MIN(1,MAX(VLOOKUP(($AJ73-$AI73-$AH73-$AG73-$AF73-$AE73*(1+IN$3))/$AJ73,'Технический лист'!$M:$N,2,1),(IM73-0.05)))</f>
        <v>1</v>
      </c>
      <c r="IO73" s="15">
        <f>MIN(1,MAX(VLOOKUP(($AJ73-$AI73-$AH73-$AG73-$AF73-$AE73*(1+IO$3))/$AJ73,'Технический лист'!$M:$N,2,1),(IN73-0.05)))</f>
        <v>1</v>
      </c>
      <c r="IP73" s="15">
        <f>MIN(1,MAX(VLOOKUP(($AJ73-$AI73-$AH73-$AG73-$AF73-$AE73*(1+IP$3))/$AJ73,'Технический лист'!$M:$N,2,1),(IO73-0.05)))</f>
        <v>1</v>
      </c>
      <c r="IQ73" s="15">
        <f>MIN(1,MAX(VLOOKUP(($AJ73-$AI73-$AH73-$AG73-$AF73-$AE73*(1+IQ$3))/$AJ73,'Технический лист'!$M:$N,2,1),(IP73-0.05)))</f>
        <v>1</v>
      </c>
      <c r="IR73" s="15">
        <f>MIN(1,MAX(VLOOKUP(($AJ73-$AI73-$AH73-$AG73-$AF73-$AE73*(1+IR$3))/$AJ73,'Технический лист'!$M:$N,2,1),(IQ73-0.05)))</f>
        <v>1</v>
      </c>
    </row>
    <row r="74" spans="1:252" s="4" customFormat="1" ht="29.15">
      <c r="A74" s="89" t="s">
        <v>512</v>
      </c>
      <c r="B74" s="76">
        <v>4</v>
      </c>
      <c r="C74" s="3" t="s">
        <v>67</v>
      </c>
      <c r="D74" s="77">
        <v>15116</v>
      </c>
      <c r="E74" s="77" t="s">
        <v>395</v>
      </c>
      <c r="F74" s="77" t="s">
        <v>390</v>
      </c>
      <c r="G74" s="77" t="s">
        <v>25</v>
      </c>
      <c r="H74" s="77" t="s">
        <v>25</v>
      </c>
      <c r="I74" s="77" t="s">
        <v>150</v>
      </c>
      <c r="J74" s="77" t="s">
        <v>62</v>
      </c>
      <c r="K74" s="77">
        <v>119</v>
      </c>
      <c r="L74" s="77" t="s">
        <v>64</v>
      </c>
      <c r="M74" s="77" t="s">
        <v>17</v>
      </c>
      <c r="N74" s="77" t="s">
        <v>191</v>
      </c>
      <c r="O74" s="77" t="s">
        <v>194</v>
      </c>
      <c r="P74" s="79" t="s">
        <v>224</v>
      </c>
      <c r="Q74" s="77" t="s">
        <v>263</v>
      </c>
      <c r="R74" s="77" t="s">
        <v>263</v>
      </c>
      <c r="S74" s="80">
        <v>95325</v>
      </c>
      <c r="T74" s="80">
        <v>11343649</v>
      </c>
      <c r="U74" s="81">
        <v>1386</v>
      </c>
      <c r="V74" s="81">
        <v>0</v>
      </c>
      <c r="W74" s="82">
        <v>54320072</v>
      </c>
      <c r="X74" s="112">
        <v>69</v>
      </c>
      <c r="Y74" s="112" t="s">
        <v>418</v>
      </c>
      <c r="Z74" s="113">
        <v>2</v>
      </c>
      <c r="AA74" s="113">
        <v>1</v>
      </c>
      <c r="AB74" s="113">
        <v>4</v>
      </c>
      <c r="AC74" s="99">
        <v>630.23</v>
      </c>
      <c r="AD74" s="99">
        <f>AE74-AC74</f>
        <v>51.340000000000032</v>
      </c>
      <c r="AE74" s="99">
        <v>681.57</v>
      </c>
      <c r="AF74" s="98">
        <f>(Z74+AA74+AB74)*'Ставки аренды'!$B$3/X74</f>
        <v>71.014492753623188</v>
      </c>
      <c r="AG74" s="114">
        <v>0</v>
      </c>
      <c r="AH74" s="94">
        <v>0</v>
      </c>
      <c r="AI74" s="115">
        <f>575152/1082467*AJ74</f>
        <v>81087.480608646729</v>
      </c>
      <c r="AJ74" s="117">
        <f>Цены!C30*'Курсы валют'!B2</f>
        <v>152611</v>
      </c>
      <c r="AK74" s="94">
        <f>AJ74/Цены!$B$1</f>
        <v>2000.0000000000002</v>
      </c>
      <c r="AL74" s="95">
        <f t="shared" si="24"/>
        <v>752.58449275362318</v>
      </c>
      <c r="AM74" s="95">
        <f t="shared" si="25"/>
        <v>151858.41550724639</v>
      </c>
      <c r="AN74" s="94">
        <f t="shared" si="22"/>
        <v>81840.065101400352</v>
      </c>
      <c r="AO74" s="118">
        <f t="shared" si="23"/>
        <v>0.46373416659742511</v>
      </c>
      <c r="AP74" s="96">
        <f t="shared" si="26"/>
        <v>4.9313908745347527E-3</v>
      </c>
      <c r="AQ74" s="96">
        <f t="shared" si="27"/>
        <v>4.4660607688829772E-3</v>
      </c>
      <c r="AR74" s="96">
        <f t="shared" si="28"/>
        <v>0.90563917614912715</v>
      </c>
      <c r="AS74" s="122">
        <v>1</v>
      </c>
      <c r="AT74" s="121">
        <f t="shared" si="29"/>
        <v>95325</v>
      </c>
      <c r="AU74" s="83">
        <v>0.9</v>
      </c>
      <c r="AV74" s="119">
        <f t="shared" si="30"/>
        <v>0.46319823930515913</v>
      </c>
      <c r="AW74" s="120">
        <f t="shared" si="31"/>
        <v>5.4673181668007109E-3</v>
      </c>
      <c r="AX74" s="120">
        <f t="shared" si="32"/>
        <v>5.0019880611489346E-3</v>
      </c>
      <c r="AY74" s="120">
        <f t="shared" si="33"/>
        <v>0.91488878249716499</v>
      </c>
      <c r="AZ74" s="15">
        <f>MIN(IF($AU74=100%,1,1+VLOOKUP(($AJ74-$AI74-$AH74-$AG74-$AF74-$AE74*(1+AZ$3))/$AJ74,'Технический лист'!$M:$N,2,1)-VLOOKUP($AO74,'Технический лист'!$M:$N,2,1)),1+(1-$AU74))</f>
        <v>0.99999999999999978</v>
      </c>
      <c r="BA74" s="15">
        <f>MIN(IF($AU74=100%,1,1+VLOOKUP(($AJ74-$AI74-$AH74-$AG74-$AF74-$AE74*(1+BA$3))/$AJ74,'Технический лист'!$M:$N,2,1)-VLOOKUP($AO74,'Технический лист'!$M:$N,2,1)),1+(1-$AU74))</f>
        <v>0.99999999999999978</v>
      </c>
      <c r="BB74" s="15">
        <f>MIN(IF($AU74=100%,1,1+VLOOKUP(($AJ74-$AI74-$AH74-$AG74-$AF74-$AE74*(1+BB$3))/$AJ74,'Технический лист'!$M:$N,2,1)-VLOOKUP($AO74,'Технический лист'!$M:$N,2,1)),1+(1-$AU74))</f>
        <v>0.99999999999999978</v>
      </c>
      <c r="BC74" s="15">
        <f>MIN(IF($AU74=100%,1,1+VLOOKUP(($AJ74-$AI74-$AH74-$AG74-$AF74-$AE74*(1+BC$3))/$AJ74,'Технический лист'!$M:$N,2,1)-VLOOKUP($AO74,'Технический лист'!$M:$N,2,1)),1+(1-$AU74))</f>
        <v>0.99999999999999978</v>
      </c>
      <c r="BD74" s="15">
        <f>MIN(IF($AU74=100%,1,1+VLOOKUP(($AJ74-$AI74-$AH74-$AG74-$AF74-$AE74*(1+BD$3))/$AJ74,'Технический лист'!$M:$N,2,1)-VLOOKUP($AO74,'Технический лист'!$M:$N,2,1)),1+(1-$AU74))</f>
        <v>0.99999999999999978</v>
      </c>
      <c r="BE74" s="15">
        <f>MIN(IF($AU74=100%,1,1+VLOOKUP(($AJ74-$AI74-$AH74-$AG74-$AF74-$AE74*(1+BE$3))/$AJ74,'Технический лист'!$M:$N,2,1)-VLOOKUP($AO74,'Технический лист'!$M:$N,2,1)),1+(1-$AU74))</f>
        <v>0.99999999999999978</v>
      </c>
      <c r="BF74" s="15">
        <f>MIN(IF($AU74=100%,1,1+VLOOKUP(($AJ74-$AI74-$AH74-$AG74-$AF74-$AE74*(1+BF$3))/$AJ74,'Технический лист'!$M:$N,2,1)-VLOOKUP($AO74,'Технический лист'!$M:$N,2,1)),1+(1-$AU74))</f>
        <v>0.99999999999999978</v>
      </c>
      <c r="BG74" s="15">
        <f>MIN(IF($AU74=100%,1,1+VLOOKUP(($AJ74-$AI74-$AH74-$AG74-$AF74-$AE74*(1+BG$3))/$AJ74,'Технический лист'!$M:$N,2,1)-VLOOKUP($AO74,'Технический лист'!$M:$N,2,1)),1+(1-$AU74))</f>
        <v>0.99999999999999978</v>
      </c>
      <c r="BH74" s="15">
        <f>MIN(IF($AU74=100%,1,1+VLOOKUP(($AJ74-$AI74-$AH74-$AG74-$AF74-$AE74*(1+BH$3))/$AJ74,'Технический лист'!$M:$N,2,1)-VLOOKUP($AO74,'Технический лист'!$M:$N,2,1)),1+(1-$AU74))</f>
        <v>0.99999999999999978</v>
      </c>
      <c r="BI74" s="15">
        <f>MIN(IF($AU74=100%,1,1+VLOOKUP(($AJ74-$AI74-$AH74-$AG74-$AF74-$AE74*(1+BI$3))/$AJ74,'Технический лист'!$M:$N,2,1)-VLOOKUP($AO74,'Технический лист'!$M:$N,2,1)),1+(1-$AU74))</f>
        <v>0.99999999999999978</v>
      </c>
      <c r="BJ74" s="15">
        <f>MIN(IF($AU74=100%,1,1+VLOOKUP(($AJ74-$AI74-$AH74-$AG74-$AF74-$AE74*(1+BJ$3))/$AJ74,'Технический лист'!$M:$N,2,1)-VLOOKUP($AO74,'Технический лист'!$M:$N,2,1)),1+(1-$AU74))</f>
        <v>0.99999999999999978</v>
      </c>
      <c r="BK74" s="15">
        <f>MIN(IF($AU74=100%,1,1+VLOOKUP(($AJ74-$AI74-$AH74-$AG74-$AF74-$AE74*(1+BK$3))/$AJ74,'Технический лист'!$M:$N,2,1)-VLOOKUP($AO74,'Технический лист'!$M:$N,2,1)),1+(1-$AU74))</f>
        <v>0.99999999999999978</v>
      </c>
      <c r="BL74" s="15">
        <f>MIN(IF($AU74=100%,1,1+VLOOKUP(($AJ74-$AI74-$AH74-$AG74-$AF74-$AE74*(1+BL$3))/$AJ74,'Технический лист'!$M:$N,2,1)-VLOOKUP($AO74,'Технический лист'!$M:$N,2,1)),1+(1-$AU74))</f>
        <v>0.99999999999999978</v>
      </c>
      <c r="BM74" s="15">
        <f>MIN(IF($AU74=100%,1,1+VLOOKUP(($AJ74-$AI74-$AH74-$AG74-$AF74-$AE74*(1+BM$3))/$AJ74,'Технический лист'!$M:$N,2,1)-VLOOKUP($AO74,'Технический лист'!$M:$N,2,1)),1+(1-$AU74))</f>
        <v>0.99999999999999978</v>
      </c>
      <c r="BN74" s="15">
        <f>MIN(IF($AU74=100%,1,1+VLOOKUP(($AJ74-$AI74-$AH74-$AG74-$AF74-$AE74*(1+BN$3))/$AJ74,'Технический лист'!$M:$N,2,1)-VLOOKUP($AO74,'Технический лист'!$M:$N,2,1)),1+(1-$AU74))</f>
        <v>0.99999999999999978</v>
      </c>
      <c r="BO74" s="15">
        <f>MIN(IF($AU74=100%,1,1+VLOOKUP(($AJ74-$AI74-$AH74-$AG74-$AF74-$AE74*(1+BO$3))/$AJ74,'Технический лист'!$M:$N,2,1)-VLOOKUP($AO74,'Технический лист'!$M:$N,2,1)),1+(1-$AU74))</f>
        <v>0.99999999999999978</v>
      </c>
      <c r="BP74" s="15">
        <f>MIN(IF($AU74=100%,1,1+VLOOKUP(($AJ74-$AI74-$AH74-$AG74-$AF74-$AE74*(1+BP$3))/$AJ74,'Технический лист'!$M:$N,2,1)-VLOOKUP($AO74,'Технический лист'!$M:$N,2,1)),1+(1-$AU74))</f>
        <v>0.99999999999999978</v>
      </c>
      <c r="BQ74" s="15">
        <f>MIN(IF($AU74=100%,1,1+VLOOKUP(($AJ74-$AI74-$AH74-$AG74-$AF74-$AE74*(1+BQ$3))/$AJ74,'Технический лист'!$M:$N,2,1)-VLOOKUP($AO74,'Технический лист'!$M:$N,2,1)),1+(1-$AU74))</f>
        <v>0.99999999999999978</v>
      </c>
      <c r="BR74" s="15">
        <f>MIN(IF($AU74=100%,1,1+VLOOKUP(($AJ74-$AI74-$AH74-$AG74-$AF74-$AE74*(1+BR$3))/$AJ74,'Технический лист'!$M:$N,2,1)-VLOOKUP($AO74,'Технический лист'!$M:$N,2,1)),1+(1-$AU74))</f>
        <v>0.99999999999999978</v>
      </c>
      <c r="BS74" s="15">
        <f>MIN(IF($AU74=100%,1,1+VLOOKUP(($AJ74-$AI74-$AH74-$AG74-$AF74-$AE74*(1+BS$3))/$AJ74,'Технический лист'!$M:$N,2,1)-VLOOKUP($AO74,'Технический лист'!$M:$N,2,1)),1+(1-$AU74))</f>
        <v>0.99999999999999978</v>
      </c>
      <c r="BT74" s="15">
        <f>MIN(IF($AU74=100%,1,1+VLOOKUP(($AJ74-$AI74-$AH74-$AG74-$AF74-$AE74*(1+BT$3))/$AJ74,'Технический лист'!$M:$N,2,1)-VLOOKUP($AO74,'Технический лист'!$M:$N,2,1)),1+(1-$AU74))</f>
        <v>0.99999999999999978</v>
      </c>
      <c r="BU74" s="15">
        <f>MIN(IF($AU74=100%,1,1+VLOOKUP(($AJ74-$AI74-$AH74-$AG74-$AF74-$AE74*(1+BU$3))/$AJ74,'Технический лист'!$M:$N,2,1)-VLOOKUP($AO74,'Технический лист'!$M:$N,2,1)),1+(1-$AU74))</f>
        <v>0.99999999999999978</v>
      </c>
      <c r="BV74" s="15">
        <f>MIN(IF($AU74=100%,1,1+VLOOKUP(($AJ74-$AI74-$AH74-$AG74-$AF74-$AE74*(1+BV$3))/$AJ74,'Технический лист'!$M:$N,2,1)-VLOOKUP($AO74,'Технический лист'!$M:$N,2,1)),1+(1-$AU74))</f>
        <v>0.99999999999999978</v>
      </c>
      <c r="BW74" s="15">
        <f>MIN(IF($AU74=100%,1,1+VLOOKUP(($AJ74-$AI74-$AH74-$AG74-$AF74-$AE74*(1+BW$3))/$AJ74,'Технический лист'!$M:$N,2,1)-VLOOKUP($AO74,'Технический лист'!$M:$N,2,1)),1+(1-$AU74))</f>
        <v>0.99999999999999978</v>
      </c>
      <c r="BX74" s="15">
        <f>MIN(IF($AU74=100%,1,1+VLOOKUP(($AJ74-$AI74-$AH74-$AG74-$AF74-$AE74*(1+BX$3))/$AJ74,'Технический лист'!$M:$N,2,1)-VLOOKUP($AO74,'Технический лист'!$M:$N,2,1)),1+(1-$AU74))</f>
        <v>0.99999999999999978</v>
      </c>
      <c r="BY74" s="15">
        <f>MIN(IF($AU74=100%,1,1+VLOOKUP(($AJ74-$AI74-$AH74-$AG74-$AF74-$AE74*(1+BY$3))/$AJ74,'Технический лист'!$M:$N,2,1)-VLOOKUP($AO74,'Технический лист'!$M:$N,2,1)),1+(1-$AU74))</f>
        <v>0.99999999999999978</v>
      </c>
      <c r="BZ74" s="15">
        <f>MIN(IF($AU74=100%,1,1+VLOOKUP(($AJ74-$AI74-$AH74-$AG74-$AF74-$AE74*(1+BZ$3))/$AJ74,'Технический лист'!$M:$N,2,1)-VLOOKUP($AO74,'Технический лист'!$M:$N,2,1)),1+(1-$AU74))</f>
        <v>0.99999999999999978</v>
      </c>
      <c r="CA74" s="15">
        <f>MIN(IF($AU74=100%,1,1+VLOOKUP(($AJ74-$AI74-$AH74-$AG74-$AF74-$AE74*(1+CA$3))/$AJ74,'Технический лист'!$M:$N,2,1)-VLOOKUP($AO74,'Технический лист'!$M:$N,2,1)),1+(1-$AU74))</f>
        <v>0.99999999999999978</v>
      </c>
      <c r="CB74" s="15">
        <f>MIN(IF($AU74=100%,1,1+VLOOKUP(($AJ74-$AI74-$AH74-$AG74-$AF74-$AE74*(1+CB$3))/$AJ74,'Технический лист'!$M:$N,2,1)-VLOOKUP($AO74,'Технический лист'!$M:$N,2,1)),1+(1-$AU74))</f>
        <v>0.99999999999999978</v>
      </c>
      <c r="CC74" s="15">
        <f>MIN(IF($AU74=100%,1,1+VLOOKUP(($AJ74-$AI74-$AH74-$AG74-$AF74-$AE74*(1+CC$3))/$AJ74,'Технический лист'!$M:$N,2,1)-VLOOKUP($AO74,'Технический лист'!$M:$N,2,1)),1+(1-$AU74))</f>
        <v>0.99999999999999978</v>
      </c>
      <c r="CD74" s="15">
        <f>MIN(IF($AU74=100%,1,1+VLOOKUP(($AJ74-$AI74-$AH74-$AG74-$AF74-$AE74*(1+CD$3))/$AJ74,'Технический лист'!$M:$N,2,1)-VLOOKUP($AO74,'Технический лист'!$M:$N,2,1)),1+(1-$AU74))</f>
        <v>0.99999999999999978</v>
      </c>
      <c r="CE74" s="15">
        <f>MIN(IF($AU74=100%,1,1+VLOOKUP(($AJ74-$AI74-$AH74-$AG74-$AF74-$AE74*(1+CE$3))/$AJ74,'Технический лист'!$M:$N,2,1)-VLOOKUP($AO74,'Технический лист'!$M:$N,2,1)),1+(1-$AU74))</f>
        <v>0.99999999999999978</v>
      </c>
      <c r="CF74" s="15">
        <f>MIN(IF($AU74=100%,1,1+VLOOKUP(($AJ74-$AI74-$AH74-$AG74-$AF74-$AE74*(1+CF$3))/$AJ74,'Технический лист'!$M:$N,2,1)-VLOOKUP($AO74,'Технический лист'!$M:$N,2,1)),1+(1-$AU74))</f>
        <v>0.99999999999999978</v>
      </c>
      <c r="CG74" s="15">
        <f>MIN(IF($AU74=100%,1,1+VLOOKUP(($AJ74-$AI74-$AH74-$AG74-$AF74-$AE74*(1+CG$3))/$AJ74,'Технический лист'!$M:$N,2,1)-VLOOKUP($AO74,'Технический лист'!$M:$N,2,1)),1+(1-$AU74))</f>
        <v>0.99999999999999978</v>
      </c>
      <c r="CH74" s="15">
        <f>MIN(IF($AU74=100%,1,1+VLOOKUP(($AJ74-$AI74-$AH74-$AG74-$AF74-$AE74*(1+CH$3))/$AJ74,'Технический лист'!$M:$N,2,1)-VLOOKUP($AO74,'Технический лист'!$M:$N,2,1)),1+(1-$AU74))</f>
        <v>0.99999999999999978</v>
      </c>
      <c r="CI74" s="15">
        <f>MIN(IF($AU74=100%,1,1+VLOOKUP(($AJ74-$AI74-$AH74-$AG74-$AF74-$AE74*(1+CI$3))/$AJ74,'Технический лист'!$M:$N,2,1)-VLOOKUP($AO74,'Технический лист'!$M:$N,2,1)),1+(1-$AU74))</f>
        <v>0.99999999999999978</v>
      </c>
      <c r="CJ74" s="15">
        <f>MIN(IF($AU74=100%,1,1+VLOOKUP(($AJ74-$AI74-$AH74-$AG74-$AF74-$AE74*(1+CJ$3))/$AJ74,'Технический лист'!$M:$N,2,1)-VLOOKUP($AO74,'Технический лист'!$M:$N,2,1)),1+(1-$AU74))</f>
        <v>0.99999999999999978</v>
      </c>
      <c r="CK74" s="15">
        <f>MIN(IF($AU74=100%,1,1+VLOOKUP(($AJ74-$AI74-$AH74-$AG74-$AF74-$AE74*(1+CK$3))/$AJ74,'Технический лист'!$M:$N,2,1)-VLOOKUP($AO74,'Технический лист'!$M:$N,2,1)),1+(1-$AU74))</f>
        <v>0.99999999999999978</v>
      </c>
      <c r="CL74" s="15">
        <f>MIN(IF($AU74=100%,1,1+VLOOKUP(($AJ74-$AI74-$AH74-$AG74-$AF74-$AE74*(1+CL$3))/$AJ74,'Технический лист'!$M:$N,2,1)-VLOOKUP($AO74,'Технический лист'!$M:$N,2,1)),1+(1-$AU74))</f>
        <v>0.99999999999999978</v>
      </c>
      <c r="CM74" s="15">
        <f>MIN(IF($AU74=100%,1,1+VLOOKUP(($AJ74-$AI74-$AH74-$AG74-$AF74-$AE74*(1+CM$3))/$AJ74,'Технический лист'!$M:$N,2,1)-VLOOKUP($AO74,'Технический лист'!$M:$N,2,1)),1+(1-$AU74))</f>
        <v>0.99999999999999978</v>
      </c>
      <c r="CN74" s="15">
        <f>MIN(IF($AU74=100%,1,1+VLOOKUP(($AJ74-$AI74-$AH74-$AG74-$AF74-$AE74*(1+CN$3))/$AJ74,'Технический лист'!$M:$N,2,1)-VLOOKUP($AO74,'Технический лист'!$M:$N,2,1)),1+(1-$AU74))</f>
        <v>0.99999999999999978</v>
      </c>
      <c r="CO74" s="15">
        <f>MIN(IF($AU74=100%,1,1+VLOOKUP(($AJ74-$AI74-$AH74-$AG74-$AF74-$AE74*(1+CO$3))/$AJ74,'Технический лист'!$M:$N,2,1)-VLOOKUP($AO74,'Технический лист'!$M:$N,2,1)),1+(1-$AU74))</f>
        <v>0.99999999999999978</v>
      </c>
      <c r="CP74" s="15">
        <f>MIN(IF($AU74=100%,1,1+VLOOKUP(($AJ74-$AI74-$AH74-$AG74-$AF74-$AE74*(1+CP$3))/$AJ74,'Технический лист'!$M:$N,2,1)-VLOOKUP($AO74,'Технический лист'!$M:$N,2,1)),1+(1-$AU74))</f>
        <v>0.99999999999999978</v>
      </c>
      <c r="CQ74" s="15">
        <f>MIN(IF($AU74=100%,1,1+VLOOKUP(($AJ74-$AI74-$AH74-$AG74-$AF74-$AE74*(1+CQ$3))/$AJ74,'Технический лист'!$M:$N,2,1)-VLOOKUP($AO74,'Технический лист'!$M:$N,2,1)),1+(1-$AU74))</f>
        <v>0.99999999999999978</v>
      </c>
      <c r="CR74" s="15">
        <f>MIN(IF($AU74=100%,1,1+VLOOKUP(($AJ74-$AI74-$AH74-$AG74-$AF74-$AE74*(1+CR$3))/$AJ74,'Технический лист'!$M:$N,2,1)-VLOOKUP($AO74,'Технический лист'!$M:$N,2,1)),1+(1-$AU74))</f>
        <v>0.99999999999999978</v>
      </c>
      <c r="CS74" s="15">
        <f>MIN(IF($AU74=100%,1,1+VLOOKUP(($AJ74-$AI74-$AH74-$AG74-$AF74-$AE74*(1+CS$3))/$AJ74,'Технический лист'!$M:$N,2,1)-VLOOKUP($AO74,'Технический лист'!$M:$N,2,1)),1+(1-$AU74))</f>
        <v>0.99999999999999978</v>
      </c>
      <c r="CT74" s="15">
        <f>MIN(IF($AU74=100%,1,1+VLOOKUP(($AJ74-$AI74-$AH74-$AG74-$AF74-$AE74*(1+CT$3))/$AJ74,'Технический лист'!$M:$N,2,1)-VLOOKUP($AO74,'Технический лист'!$M:$N,2,1)),1+(1-$AU74))</f>
        <v>0.99999999999999978</v>
      </c>
      <c r="CU74" s="15">
        <f>MIN(IF($AU74=100%,1,1+VLOOKUP(($AJ74-$AI74-$AH74-$AG74-$AF74-$AE74*(1+CU$3))/$AJ74,'Технический лист'!$M:$N,2,1)-VLOOKUP($AO74,'Технический лист'!$M:$N,2,1)),1+(1-$AU74))</f>
        <v>0.99999999999999978</v>
      </c>
      <c r="CV74" s="15">
        <f>MIN(IF($AU74=100%,1,1+VLOOKUP(($AJ74-$AI74-$AH74-$AG74-$AF74-$AE74*(1+CV$3))/$AJ74,'Технический лист'!$M:$N,2,1)-VLOOKUP($AO74,'Технический лист'!$M:$N,2,1)),1+(1-$AU74))</f>
        <v>0.99999999999999978</v>
      </c>
      <c r="CW74" s="15">
        <f>MIN(IF($AU74=100%,1,1+VLOOKUP(($AJ74-$AI74-$AH74-$AG74-$AF74-$AE74*(1+CW$3))/$AJ74,'Технический лист'!$M:$N,2,1)-VLOOKUP($AO74,'Технический лист'!$M:$N,2,1)),1+(1-$AU74))</f>
        <v>0.99999999999999978</v>
      </c>
      <c r="CX74" s="15">
        <f>MIN(IF($AU74=100%,1,1+VLOOKUP(($AJ74-$AI74-$AH74-$AG74-$AF74-$AE74*(1+CX$3))/$AJ74,'Технический лист'!$M:$N,2,1)-VLOOKUP($AO74,'Технический лист'!$M:$N,2,1)),1+(1-$AU74))</f>
        <v>0.99999999999999978</v>
      </c>
      <c r="CY74" s="15">
        <f>MIN(IF($AU74=100%,1,1+VLOOKUP(($AJ74-$AI74-$AH74-$AG74-$AF74-$AE74*(1+CY$3))/$AJ74,'Технический лист'!$M:$N,2,1)-VLOOKUP($AO74,'Технический лист'!$M:$N,2,1)),1+(1-$AU74))</f>
        <v>0.99999999999999978</v>
      </c>
      <c r="CZ74" s="15">
        <f>MIN(IF($AU74=100%,1,1+VLOOKUP(($AJ74-$AI74-$AH74-$AG74-$AF74-$AE74*(1+CZ$3))/$AJ74,'Технический лист'!$M:$N,2,1)-VLOOKUP($AO74,'Технический лист'!$M:$N,2,1)),1+(1-$AU74))</f>
        <v>0.99999999999999978</v>
      </c>
      <c r="DA74" s="15">
        <f>MIN(IF($AU74=100%,1,1+VLOOKUP(($AJ74-$AI74-$AH74-$AG74-$AF74-$AE74*(1+DA$3))/$AJ74,'Технический лист'!$M:$N,2,1)-VLOOKUP($AO74,'Технический лист'!$M:$N,2,1)),1+(1-$AU74))</f>
        <v>0.99999999999999978</v>
      </c>
      <c r="DB74" s="15">
        <f>MIN(IF($AU74=100%,1,1+VLOOKUP(($AJ74-$AI74-$AH74-$AG74-$AF74-$AE74*(1+DB$3))/$AJ74,'Технический лист'!$M:$N,2,1)-VLOOKUP($AO74,'Технический лист'!$M:$N,2,1)),1+(1-$AU74))</f>
        <v>0.99999999999999978</v>
      </c>
      <c r="DC74" s="15">
        <f>MIN(IF($AU74=100%,1,1+VLOOKUP(($AJ74-$AI74-$AH74-$AG74-$AF74-$AE74*(1+DC$3))/$AJ74,'Технический лист'!$M:$N,2,1)-VLOOKUP($AO74,'Технический лист'!$M:$N,2,1)),1+(1-$AU74))</f>
        <v>0.99999999999999978</v>
      </c>
      <c r="DD74" s="15">
        <f>MIN(IF($AU74=100%,1,1+VLOOKUP(($AJ74-$AI74-$AH74-$AG74-$AF74-$AE74*(1+DD$3))/$AJ74,'Технический лист'!$M:$N,2,1)-VLOOKUP($AO74,'Технический лист'!$M:$N,2,1)),1+(1-$AU74))</f>
        <v>0.99999999999999978</v>
      </c>
      <c r="DE74" s="15">
        <f>MIN(IF($AU74=100%,1,1+VLOOKUP(($AJ74-$AI74-$AH74-$AG74-$AF74-$AE74*(1+DE$3))/$AJ74,'Технический лист'!$M:$N,2,1)-VLOOKUP($AO74,'Технический лист'!$M:$N,2,1)),1+(1-$AU74))</f>
        <v>0.99999999999999978</v>
      </c>
      <c r="DF74" s="15">
        <f>MIN(IF($AU74=100%,1,1+VLOOKUP(($AJ74-$AI74-$AH74-$AG74-$AF74-$AE74*(1+DF$3))/$AJ74,'Технический лист'!$M:$N,2,1)-VLOOKUP($AO74,'Технический лист'!$M:$N,2,1)),1+(1-$AU74))</f>
        <v>0.99999999999999978</v>
      </c>
      <c r="DG74" s="15">
        <f>MIN(IF($AU74=100%,1,1+VLOOKUP(($AJ74-$AI74-$AH74-$AG74-$AF74-$AE74*(1+DG$3))/$AJ74,'Технический лист'!$M:$N,2,1)-VLOOKUP($AO74,'Технический лист'!$M:$N,2,1)),1+(1-$AU74))</f>
        <v>0.99999999999999978</v>
      </c>
      <c r="DH74" s="15">
        <f>MIN(IF($AU74=100%,1,1+VLOOKUP(($AJ74-$AI74-$AH74-$AG74-$AF74-$AE74*(1+DH$3))/$AJ74,'Технический лист'!$M:$N,2,1)-VLOOKUP($AO74,'Технический лист'!$M:$N,2,1)),1+(1-$AU74))</f>
        <v>0.99999999999999978</v>
      </c>
      <c r="DI74" s="15">
        <f>MIN(IF($AU74=100%,1,1+VLOOKUP(($AJ74-$AI74-$AH74-$AG74-$AF74-$AE74*(1+DI$3))/$AJ74,'Технический лист'!$M:$N,2,1)-VLOOKUP($AO74,'Технический лист'!$M:$N,2,1)),1+(1-$AU74))</f>
        <v>0.99999999999999978</v>
      </c>
      <c r="DJ74" s="15">
        <f>MIN(IF($AU74=100%,1,1+VLOOKUP(($AJ74-$AI74-$AH74-$AG74-$AF74-$AE74*(1+DJ$3))/$AJ74,'Технический лист'!$M:$N,2,1)-VLOOKUP($AO74,'Технический лист'!$M:$N,2,1)),1+(1-$AU74))</f>
        <v>0.99999999999999978</v>
      </c>
      <c r="DK74" s="15">
        <f>MIN(IF($AU74=100%,1,1+VLOOKUP(($AJ74-$AI74-$AH74-$AG74-$AF74-$AE74*(1+DK$3))/$AJ74,'Технический лист'!$M:$N,2,1)-VLOOKUP($AO74,'Технический лист'!$M:$N,2,1)),1+(1-$AU74))</f>
        <v>0.99999999999999978</v>
      </c>
      <c r="DL74" s="15">
        <f>MIN(IF($AU74=100%,1,1+VLOOKUP(($AJ74-$AI74-$AH74-$AG74-$AF74-$AE74*(1+DL$3))/$AJ74,'Технический лист'!$M:$N,2,1)-VLOOKUP($AO74,'Технический лист'!$M:$N,2,1)),1+(1-$AU74))</f>
        <v>0.99999999999999978</v>
      </c>
      <c r="DM74" s="15">
        <f>MIN(IF($AU74=100%,1,1+VLOOKUP(($AJ74-$AI74-$AH74-$AG74-$AF74-$AE74*(1+DM$3))/$AJ74,'Технический лист'!$M:$N,2,1)-VLOOKUP($AO74,'Технический лист'!$M:$N,2,1)),1+(1-$AU74))</f>
        <v>0.99999999999999978</v>
      </c>
      <c r="DN74" s="15">
        <f>MIN(IF($AU74=100%,1,1+VLOOKUP(($AJ74-$AI74-$AH74-$AG74-$AF74-$AE74*(1+DN$3))/$AJ74,'Технический лист'!$M:$N,2,1)-VLOOKUP($AO74,'Технический лист'!$M:$N,2,1)),1+(1-$AU74))</f>
        <v>0.99999999999999978</v>
      </c>
      <c r="DO74" s="15">
        <f>MIN(IF($AU74=100%,1,1+VLOOKUP(($AJ74-$AI74-$AH74-$AG74-$AF74-$AE74*(1+DO$3))/$AJ74,'Технический лист'!$M:$N,2,1)-VLOOKUP($AO74,'Технический лист'!$M:$N,2,1)),1+(1-$AU74))</f>
        <v>0.99999999999999978</v>
      </c>
      <c r="DP74" s="15">
        <f>MIN(IF($AU74=100%,1,1+VLOOKUP(($AJ74-$AI74-$AH74-$AG74-$AF74-$AE74*(1+DP$3))/$AJ74,'Технический лист'!$M:$N,2,1)-VLOOKUP($AO74,'Технический лист'!$M:$N,2,1)),1+(1-$AU74))</f>
        <v>0.99999999999999978</v>
      </c>
      <c r="DQ74" s="15">
        <f>MIN(IF($AU74=100%,1,1+VLOOKUP(($AJ74-$AI74-$AH74-$AG74-$AF74-$AE74*(1+DQ$3))/$AJ74,'Технический лист'!$M:$N,2,1)-VLOOKUP($AO74,'Технический лист'!$M:$N,2,1)),1+(1-$AU74))</f>
        <v>0.99999999999999978</v>
      </c>
      <c r="DR74" s="15">
        <f>MIN(IF($AU74=100%,1,1+VLOOKUP(($AJ74-$AI74-$AH74-$AG74-$AF74-$AE74*(1+DR$3))/$AJ74,'Технический лист'!$M:$N,2,1)-VLOOKUP($AO74,'Технический лист'!$M:$N,2,1)),1+(1-$AU74))</f>
        <v>0.99999999999999978</v>
      </c>
      <c r="DS74" s="15">
        <f>MIN(IF($AU74=100%,1,1+VLOOKUP(($AJ74-$AI74-$AH74-$AG74-$AF74-$AE74*(1+DS$3))/$AJ74,'Технический лист'!$M:$N,2,1)-VLOOKUP($AO74,'Технический лист'!$M:$N,2,1)),1+(1-$AU74))</f>
        <v>0.99999999999999978</v>
      </c>
      <c r="DT74" s="15">
        <f>MIN(IF($AU74=100%,1,1+VLOOKUP(($AJ74-$AI74-$AH74-$AG74-$AF74-$AE74*(1+DT$3))/$AJ74,'Технический лист'!$M:$N,2,1)-VLOOKUP($AO74,'Технический лист'!$M:$N,2,1)),1+(1-$AU74))</f>
        <v>0.99999999999999978</v>
      </c>
      <c r="DU74" s="15">
        <f>MIN(IF($AU74=100%,1,1+VLOOKUP(($AJ74-$AI74-$AH74-$AG74-$AF74-$AE74*(1+DU$3))/$AJ74,'Технический лист'!$M:$N,2,1)-VLOOKUP($AO74,'Технический лист'!$M:$N,2,1)),1+(1-$AU74))</f>
        <v>0.99999999999999978</v>
      </c>
      <c r="DV74" s="15">
        <f>MIN(IF($AU74=100%,1,1+VLOOKUP(($AJ74-$AI74-$AH74-$AG74-$AF74-$AE74*(1+DV$3))/$AJ74,'Технический лист'!$M:$N,2,1)-VLOOKUP($AO74,'Технический лист'!$M:$N,2,1)),1+(1-$AU74))</f>
        <v>0.99999999999999978</v>
      </c>
      <c r="DW74" s="15">
        <f>MIN(IF($AU74=100%,1,1+VLOOKUP(($AJ74-$AI74-$AH74-$AG74-$AF74-$AE74*(1+DW$3))/$AJ74,'Технический лист'!$M:$N,2,1)-VLOOKUP($AO74,'Технический лист'!$M:$N,2,1)),1+(1-$AU74))</f>
        <v>0.99999999999999978</v>
      </c>
      <c r="DX74" s="15">
        <f>MIN(IF($AU74=100%,1,1+VLOOKUP(($AJ74-$AI74-$AH74-$AG74-$AF74-$AE74*(1+DX$3))/$AJ74,'Технический лист'!$M:$N,2,1)-VLOOKUP($AO74,'Технический лист'!$M:$N,2,1)),1+(1-$AU74))</f>
        <v>0.99999999999999978</v>
      </c>
      <c r="DY74" s="15">
        <f>MIN(IF($AU74=100%,1,1+VLOOKUP(($AJ74-$AI74-$AH74-$AG74-$AF74-$AE74*(1+DY$3))/$AJ74,'Технический лист'!$M:$N,2,1)-VLOOKUP($AO74,'Технический лист'!$M:$N,2,1)),1+(1-$AU74))</f>
        <v>0.99999999999999978</v>
      </c>
      <c r="DZ74" s="15">
        <f>MIN(IF($AU74=100%,1,1+VLOOKUP(($AJ74-$AI74-$AH74-$AG74-$AF74-$AE74*(1+DZ$3))/$AJ74,'Технический лист'!$M:$N,2,1)-VLOOKUP($AO74,'Технический лист'!$M:$N,2,1)),1+(1-$AU74))</f>
        <v>0.99999999999999978</v>
      </c>
      <c r="EA74" s="15">
        <f>MIN(IF($AU74=100%,1,1+VLOOKUP(($AJ74-$AI74-$AH74-$AG74-$AF74-$AE74*(1+EA$3))/$AJ74,'Технический лист'!$M:$N,2,1)-VLOOKUP($AO74,'Технический лист'!$M:$N,2,1)),1+(1-$AU74))</f>
        <v>0.99999999999999978</v>
      </c>
      <c r="EB74" s="15">
        <f>MIN(IF($AU74=100%,1,1+VLOOKUP(($AJ74-$AI74-$AH74-$AG74-$AF74-$AE74*(1+EB$3))/$AJ74,'Технический лист'!$M:$N,2,1)-VLOOKUP($AO74,'Технический лист'!$M:$N,2,1)),1+(1-$AU74))</f>
        <v>0.99999999999999978</v>
      </c>
      <c r="EC74" s="15">
        <f>MIN(IF($AU74=100%,1,1+VLOOKUP(($AJ74-$AI74-$AH74-$AG74-$AF74-$AE74*(1+EC$3))/$AJ74,'Технический лист'!$M:$N,2,1)-VLOOKUP($AO74,'Технический лист'!$M:$N,2,1)),1+(1-$AU74))</f>
        <v>0.99999999999999978</v>
      </c>
      <c r="ED74" s="15">
        <f>MIN(IF($AU74=100%,1,1+VLOOKUP(($AJ74-$AI74-$AH74-$AG74-$AF74-$AE74*(1+ED$3))/$AJ74,'Технический лист'!$M:$N,2,1)-VLOOKUP($AO74,'Технический лист'!$M:$N,2,1)),1+(1-$AU74))</f>
        <v>0.99999999999999978</v>
      </c>
      <c r="EE74" s="15">
        <f>MIN(IF($AU74=100%,1,1+VLOOKUP(($AJ74-$AI74-$AH74-$AG74-$AF74-$AE74*(1+EE$3))/$AJ74,'Технический лист'!$M:$N,2,1)-VLOOKUP($AO74,'Технический лист'!$M:$N,2,1)),1+(1-$AU74))</f>
        <v>0.99999999999999978</v>
      </c>
      <c r="EF74" s="15">
        <f>MIN(IF($AU74=100%,1,1+VLOOKUP(($AJ74-$AI74-$AH74-$AG74-$AF74-$AE74*(1+EF$3))/$AJ74,'Технический лист'!$M:$N,2,1)-VLOOKUP($AO74,'Технический лист'!$M:$N,2,1)),1+(1-$AU74))</f>
        <v>0.99999999999999978</v>
      </c>
      <c r="EG74" s="15">
        <f>MIN(IF($AU74=100%,1,1+VLOOKUP(($AJ74-$AI74-$AH74-$AG74-$AF74-$AE74*(1+EG$3))/$AJ74,'Технический лист'!$M:$N,2,1)-VLOOKUP($AO74,'Технический лист'!$M:$N,2,1)),1+(1-$AU74))</f>
        <v>0.99999999999999978</v>
      </c>
      <c r="EH74" s="15">
        <f>MIN(IF($AU74=100%,1,1+VLOOKUP(($AJ74-$AI74-$AH74-$AG74-$AF74-$AE74*(1+EH$3))/$AJ74,'Технический лист'!$M:$N,2,1)-VLOOKUP($AO74,'Технический лист'!$M:$N,2,1)),1+(1-$AU74))</f>
        <v>0.99999999999999978</v>
      </c>
      <c r="EI74" s="15">
        <f>MIN(IF($AU74=100%,1,1+VLOOKUP(($AJ74-$AI74-$AH74-$AG74-$AF74-$AE74*(1+EI$3))/$AJ74,'Технический лист'!$M:$N,2,1)-VLOOKUP($AO74,'Технический лист'!$M:$N,2,1)),1+(1-$AU74))</f>
        <v>0.99999999999999978</v>
      </c>
      <c r="EJ74" s="15">
        <f>MIN(IF($AU74=100%,1,1+VLOOKUP(($AJ74-$AI74-$AH74-$AG74-$AF74-$AE74*(1+EJ$3))/$AJ74,'Технический лист'!$M:$N,2,1)-VLOOKUP($AO74,'Технический лист'!$M:$N,2,1)),1+(1-$AU74))</f>
        <v>0.99999999999999978</v>
      </c>
      <c r="EK74" s="15">
        <f>MIN(IF($AU74=100%,1,1+VLOOKUP(($AJ74-$AI74-$AH74-$AG74-$AF74-$AE74*(1+EK$3))/$AJ74,'Технический лист'!$M:$N,2,1)-VLOOKUP($AO74,'Технический лист'!$M:$N,2,1)),1+(1-$AU74))</f>
        <v>0.99999999999999978</v>
      </c>
      <c r="EL74" s="15">
        <f>MIN(IF($AU74=100%,1,1+VLOOKUP(($AJ74-$AI74-$AH74-$AG74-$AF74-$AE74*(1+EL$3))/$AJ74,'Технический лист'!$M:$N,2,1)-VLOOKUP($AO74,'Технический лист'!$M:$N,2,1)),1+(1-$AU74))</f>
        <v>0.99999999999999978</v>
      </c>
      <c r="EM74" s="15">
        <f>MIN(IF($AU74=100%,1,1+VLOOKUP(($AJ74-$AI74-$AH74-$AG74-$AF74-$AE74*(1+EM$3))/$AJ74,'Технический лист'!$M:$N,2,1)-VLOOKUP($AO74,'Технический лист'!$M:$N,2,1)),1+(1-$AU74))</f>
        <v>0.99999999999999978</v>
      </c>
      <c r="EN74" s="15">
        <f>MIN(IF($AU74=100%,1,1+VLOOKUP(($AJ74-$AI74-$AH74-$AG74-$AF74-$AE74*(1+EN$3))/$AJ74,'Технический лист'!$M:$N,2,1)-VLOOKUP($AO74,'Технический лист'!$M:$N,2,1)),1+(1-$AU74))</f>
        <v>0.99999999999999978</v>
      </c>
      <c r="EO74" s="15">
        <f>MIN(IF($AU74=100%,1,1+VLOOKUP(($AJ74-$AI74-$AH74-$AG74-$AF74-$AE74*(1+EO$3))/$AJ74,'Технический лист'!$M:$N,2,1)-VLOOKUP($AO74,'Технический лист'!$M:$N,2,1)),1+(1-$AU74))</f>
        <v>0.99999999999999978</v>
      </c>
      <c r="EP74" s="15">
        <f>MIN(IF($AU74=100%,1,1+VLOOKUP(($AJ74-$AI74-$AH74-$AG74-$AF74-$AE74*(1+EP$3))/$AJ74,'Технический лист'!$M:$N,2,1)-VLOOKUP($AO74,'Технический лист'!$M:$N,2,1)),1+(1-$AU74))</f>
        <v>0.99999999999999978</v>
      </c>
      <c r="EQ74" s="15">
        <f>MIN(IF($AU74=100%,1,1+VLOOKUP(($AJ74-$AI74-$AH74-$AG74-$AF74-$AE74*(1+EQ$3))/$AJ74,'Технический лист'!$M:$N,2,1)-VLOOKUP($AO74,'Технический лист'!$M:$N,2,1)),1+(1-$AU74))</f>
        <v>0.99999999999999978</v>
      </c>
      <c r="ER74" s="15">
        <f>MIN(IF($AU74=100%,1,1+VLOOKUP(($AJ74-$AI74-$AH74-$AG74-$AF74-$AE74*(1+ER$3))/$AJ74,'Технический лист'!$M:$N,2,1)-VLOOKUP($AO74,'Технический лист'!$M:$N,2,1)),1+(1-$AU74))</f>
        <v>0.99999999999999978</v>
      </c>
      <c r="ES74" s="15">
        <f>MIN(IF($AU74=100%,1,1+VLOOKUP(($AJ74-$AI74-$AH74-$AG74-$AF74-$AE74*(1+ES$3))/$AJ74,'Технический лист'!$M:$N,2,1)-VLOOKUP($AO74,'Технический лист'!$M:$N,2,1)),1+(1-$AU74))</f>
        <v>0.99999999999999978</v>
      </c>
      <c r="ET74" s="15">
        <f>MIN(IF($AU74=100%,1,1+VLOOKUP(($AJ74-$AI74-$AH74-$AG74-$AF74-$AE74*(1+ET$3))/$AJ74,'Технический лист'!$M:$N,2,1)-VLOOKUP($AO74,'Технический лист'!$M:$N,2,1)),1+(1-$AU74))</f>
        <v>0.99999999999999978</v>
      </c>
      <c r="EU74" s="15">
        <f>MIN(IF($AU74=100%,1,1+VLOOKUP(($AJ74-$AI74-$AH74-$AG74-$AF74-$AE74*(1+EU$3))/$AJ74,'Технический лист'!$M:$N,2,1)-VLOOKUP($AO74,'Технический лист'!$M:$N,2,1)),1+(1-$AU74))</f>
        <v>0.99999999999999978</v>
      </c>
      <c r="EV74" s="111">
        <v>1</v>
      </c>
      <c r="EW74" s="15">
        <f>MIN(1,MAX(VLOOKUP(($AJ74-$AI74-$AH74-$AG74-$AF74-$AE74*(1+EW$3))/$AJ74,'Технический лист'!$M:$N,2,1),(EV74-0.05)))</f>
        <v>1</v>
      </c>
      <c r="EX74" s="15">
        <f>MIN(1,MAX(VLOOKUP(($AJ74-$AI74-$AH74-$AG74-$AF74-$AE74*(1+EX$3))/$AJ74,'Технический лист'!$M:$N,2,1),(EW74-0.05)))</f>
        <v>1</v>
      </c>
      <c r="EY74" s="15">
        <f>MIN(1,MAX(VLOOKUP(($AJ74-$AI74-$AH74-$AG74-$AF74-$AE74*(1+EY$3))/$AJ74,'Технический лист'!$M:$N,2,1),(EX74-0.05)))</f>
        <v>1</v>
      </c>
      <c r="EZ74" s="15">
        <f>MIN(1,MAX(VLOOKUP(($AJ74-$AI74-$AH74-$AG74-$AF74-$AE74*(1+EZ$3))/$AJ74,'Технический лист'!$M:$N,2,1),(EY74-0.05)))</f>
        <v>1</v>
      </c>
      <c r="FA74" s="15">
        <f>MIN(1,MAX(VLOOKUP(($AJ74-$AI74-$AH74-$AG74-$AF74-$AE74*(1+FA$3))/$AJ74,'Технический лист'!$M:$N,2,1),(EZ74-0.05)))</f>
        <v>1</v>
      </c>
      <c r="FB74" s="15">
        <f>MIN(1,MAX(VLOOKUP(($AJ74-$AI74-$AH74-$AG74-$AF74-$AE74*(1+FB$3))/$AJ74,'Технический лист'!$M:$N,2,1),(FA74-0.05)))</f>
        <v>1</v>
      </c>
      <c r="FC74" s="15">
        <f>MIN(1,MAX(VLOOKUP(($AJ74-$AI74-$AH74-$AG74-$AF74-$AE74*(1+FC$3))/$AJ74,'Технический лист'!$M:$N,2,1),(FB74-0.05)))</f>
        <v>1</v>
      </c>
      <c r="FD74" s="15">
        <f>MIN(1,MAX(VLOOKUP(($AJ74-$AI74-$AH74-$AG74-$AF74-$AE74*(1+FD$3))/$AJ74,'Технический лист'!$M:$N,2,1),(FC74-0.05)))</f>
        <v>1</v>
      </c>
      <c r="FE74" s="15">
        <f>MIN(1,MAX(VLOOKUP(($AJ74-$AI74-$AH74-$AG74-$AF74-$AE74*(1+FE$3))/$AJ74,'Технический лист'!$M:$N,2,1),(FD74-0.05)))</f>
        <v>1</v>
      </c>
      <c r="FF74" s="15">
        <f>MIN(1,MAX(VLOOKUP(($AJ74-$AI74-$AH74-$AG74-$AF74-$AE74*(1+FF$3))/$AJ74,'Технический лист'!$M:$N,2,1),(FE74-0.05)))</f>
        <v>1</v>
      </c>
      <c r="FG74" s="15">
        <f>MIN(1,MAX(VLOOKUP(($AJ74-$AI74-$AH74-$AG74-$AF74-$AE74*(1+FG$3))/$AJ74,'Технический лист'!$M:$N,2,1),(FF74-0.05)))</f>
        <v>1</v>
      </c>
      <c r="FH74" s="15">
        <f>MIN(1,MAX(VLOOKUP(($AJ74-$AI74-$AH74-$AG74-$AF74-$AE74*(1+FH$3))/$AJ74,'Технический лист'!$M:$N,2,1),(FG74-0.05)))</f>
        <v>1</v>
      </c>
      <c r="FI74" s="15">
        <f>MIN(1,MAX(VLOOKUP(($AJ74-$AI74-$AH74-$AG74-$AF74-$AE74*(1+FI$3))/$AJ74,'Технический лист'!$M:$N,2,1),(FH74-0.05)))</f>
        <v>1</v>
      </c>
      <c r="FJ74" s="15">
        <f>MIN(1,MAX(VLOOKUP(($AJ74-$AI74-$AH74-$AG74-$AF74-$AE74*(1+FJ$3))/$AJ74,'Технический лист'!$M:$N,2,1),(FI74-0.05)))</f>
        <v>1</v>
      </c>
      <c r="FK74" s="15">
        <f>MIN(1,MAX(VLOOKUP(($AJ74-$AI74-$AH74-$AG74-$AF74-$AE74*(1+FK$3))/$AJ74,'Технический лист'!$M:$N,2,1),(FJ74-0.05)))</f>
        <v>1</v>
      </c>
      <c r="FL74" s="15">
        <f>MIN(1,MAX(VLOOKUP(($AJ74-$AI74-$AH74-$AG74-$AF74-$AE74*(1+FL$3))/$AJ74,'Технический лист'!$M:$N,2,1),(FK74-0.05)))</f>
        <v>1</v>
      </c>
      <c r="FM74" s="15">
        <f>MIN(1,MAX(VLOOKUP(($AJ74-$AI74-$AH74-$AG74-$AF74-$AE74*(1+FM$3))/$AJ74,'Технический лист'!$M:$N,2,1),(FL74-0.05)))</f>
        <v>1</v>
      </c>
      <c r="FN74" s="15">
        <f>MIN(1,MAX(VLOOKUP(($AJ74-$AI74-$AH74-$AG74-$AF74-$AE74*(1+FN$3))/$AJ74,'Технический лист'!$M:$N,2,1),(FM74-0.05)))</f>
        <v>1</v>
      </c>
      <c r="FO74" s="15">
        <f>MIN(1,MAX(VLOOKUP(($AJ74-$AI74-$AH74-$AG74-$AF74-$AE74*(1+FO$3))/$AJ74,'Технический лист'!$M:$N,2,1),(FN74-0.05)))</f>
        <v>1</v>
      </c>
      <c r="FP74" s="15">
        <f>MIN(1,MAX(VLOOKUP(($AJ74-$AI74-$AH74-$AG74-$AF74-$AE74*(1+FP$3))/$AJ74,'Технический лист'!$M:$N,2,1),(FO74-0.05)))</f>
        <v>1</v>
      </c>
      <c r="FQ74" s="15">
        <f>MIN(1,MAX(VLOOKUP(($AJ74-$AI74-$AH74-$AG74-$AF74-$AE74*(1+FQ$3))/$AJ74,'Технический лист'!$M:$N,2,1),(FP74-0.05)))</f>
        <v>1</v>
      </c>
      <c r="FR74" s="15">
        <f>MIN(1,MAX(VLOOKUP(($AJ74-$AI74-$AH74-$AG74-$AF74-$AE74*(1+FR$3))/$AJ74,'Технический лист'!$M:$N,2,1),(FQ74-0.05)))</f>
        <v>1</v>
      </c>
      <c r="FS74" s="15">
        <f>MIN(1,MAX(VLOOKUP(($AJ74-$AI74-$AH74-$AG74-$AF74-$AE74*(1+FS$3))/$AJ74,'Технический лист'!$M:$N,2,1),(FR74-0.05)))</f>
        <v>1</v>
      </c>
      <c r="FT74" s="15">
        <f>MIN(1,MAX(VLOOKUP(($AJ74-$AI74-$AH74-$AG74-$AF74-$AE74*(1+FT$3))/$AJ74,'Технический лист'!$M:$N,2,1),(FS74-0.05)))</f>
        <v>1</v>
      </c>
      <c r="FU74" s="15">
        <f>MIN(1,MAX(VLOOKUP(($AJ74-$AI74-$AH74-$AG74-$AF74-$AE74*(1+FU$3))/$AJ74,'Технический лист'!$M:$N,2,1),(FT74-0.05)))</f>
        <v>1</v>
      </c>
      <c r="FV74" s="15">
        <f>MIN(1,MAX(VLOOKUP(($AJ74-$AI74-$AH74-$AG74-$AF74-$AE74*(1+FV$3))/$AJ74,'Технический лист'!$M:$N,2,1),(FU74-0.05)))</f>
        <v>1</v>
      </c>
      <c r="FW74" s="15">
        <f>MIN(1,MAX(VLOOKUP(($AJ74-$AI74-$AH74-$AG74-$AF74-$AE74*(1+FW$3))/$AJ74,'Технический лист'!$M:$N,2,1),(FV74-0.05)))</f>
        <v>1</v>
      </c>
      <c r="FX74" s="15">
        <f>MIN(1,MAX(VLOOKUP(($AJ74-$AI74-$AH74-$AG74-$AF74-$AE74*(1+FX$3))/$AJ74,'Технический лист'!$M:$N,2,1),(FW74-0.05)))</f>
        <v>1</v>
      </c>
      <c r="FY74" s="15">
        <f>MIN(1,MAX(VLOOKUP(($AJ74-$AI74-$AH74-$AG74-$AF74-$AE74*(1+FY$3))/$AJ74,'Технический лист'!$M:$N,2,1),(FX74-0.05)))</f>
        <v>1</v>
      </c>
      <c r="FZ74" s="15">
        <f>MIN(1,MAX(VLOOKUP(($AJ74-$AI74-$AH74-$AG74-$AF74-$AE74*(1+FZ$3))/$AJ74,'Технический лист'!$M:$N,2,1),(FY74-0.05)))</f>
        <v>1</v>
      </c>
      <c r="GA74" s="15">
        <f>MIN(1,MAX(VLOOKUP(($AJ74-$AI74-$AH74-$AG74-$AF74-$AE74*(1+GA$3))/$AJ74,'Технический лист'!$M:$N,2,1),(FZ74-0.05)))</f>
        <v>1</v>
      </c>
      <c r="GB74" s="15">
        <f>MIN(1,MAX(VLOOKUP(($AJ74-$AI74-$AH74-$AG74-$AF74-$AE74*(1+GB$3))/$AJ74,'Технический лист'!$M:$N,2,1),(GA74-0.05)))</f>
        <v>1</v>
      </c>
      <c r="GC74" s="15">
        <f>MIN(1,MAX(VLOOKUP(($AJ74-$AI74-$AH74-$AG74-$AF74-$AE74*(1+GC$3))/$AJ74,'Технический лист'!$M:$N,2,1),(GB74-0.05)))</f>
        <v>1</v>
      </c>
      <c r="GD74" s="15">
        <f>MIN(1,MAX(VLOOKUP(($AJ74-$AI74-$AH74-$AG74-$AF74-$AE74*(1+GD$3))/$AJ74,'Технический лист'!$M:$N,2,1),(GC74-0.05)))</f>
        <v>1</v>
      </c>
      <c r="GE74" s="15">
        <f>MIN(1,MAX(VLOOKUP(($AJ74-$AI74-$AH74-$AG74-$AF74-$AE74*(1+GE$3))/$AJ74,'Технический лист'!$M:$N,2,1),(GD74-0.05)))</f>
        <v>1</v>
      </c>
      <c r="GF74" s="15">
        <f>MIN(1,MAX(VLOOKUP(($AJ74-$AI74-$AH74-$AG74-$AF74-$AE74*(1+GF$3))/$AJ74,'Технический лист'!$M:$N,2,1),(GE74-0.05)))</f>
        <v>1</v>
      </c>
      <c r="GG74" s="15">
        <f>MIN(1,MAX(VLOOKUP(($AJ74-$AI74-$AH74-$AG74-$AF74-$AE74*(1+GG$3))/$AJ74,'Технический лист'!$M:$N,2,1),(GF74-0.05)))</f>
        <v>1</v>
      </c>
      <c r="GH74" s="15">
        <f>MIN(1,MAX(VLOOKUP(($AJ74-$AI74-$AH74-$AG74-$AF74-$AE74*(1+GH$3))/$AJ74,'Технический лист'!$M:$N,2,1),(GG74-0.05)))</f>
        <v>1</v>
      </c>
      <c r="GI74" s="15">
        <f>MIN(1,MAX(VLOOKUP(($AJ74-$AI74-$AH74-$AG74-$AF74-$AE74*(1+GI$3))/$AJ74,'Технический лист'!$M:$N,2,1),(GH74-0.05)))</f>
        <v>1</v>
      </c>
      <c r="GJ74" s="15">
        <f>MIN(1,MAX(VLOOKUP(($AJ74-$AI74-$AH74-$AG74-$AF74-$AE74*(1+GJ$3))/$AJ74,'Технический лист'!$M:$N,2,1),(GI74-0.05)))</f>
        <v>1</v>
      </c>
      <c r="GK74" s="15">
        <f>MIN(1,MAX(VLOOKUP(($AJ74-$AI74-$AH74-$AG74-$AF74-$AE74*(1+GK$3))/$AJ74,'Технический лист'!$M:$N,2,1),(GJ74-0.05)))</f>
        <v>1</v>
      </c>
      <c r="GL74" s="15">
        <f>MIN(1,MAX(VLOOKUP(($AJ74-$AI74-$AH74-$AG74-$AF74-$AE74*(1+GL$3))/$AJ74,'Технический лист'!$M:$N,2,1),(GK74-0.05)))</f>
        <v>1</v>
      </c>
      <c r="GM74" s="15">
        <f>MIN(1,MAX(VLOOKUP(($AJ74-$AI74-$AH74-$AG74-$AF74-$AE74*(1+GM$3))/$AJ74,'Технический лист'!$M:$N,2,1),(GL74-0.05)))</f>
        <v>1</v>
      </c>
      <c r="GN74" s="15">
        <f>MIN(1,MAX(VLOOKUP(($AJ74-$AI74-$AH74-$AG74-$AF74-$AE74*(1+GN$3))/$AJ74,'Технический лист'!$M:$N,2,1),(GM74-0.05)))</f>
        <v>1</v>
      </c>
      <c r="GO74" s="15">
        <f>MIN(1,MAX(VLOOKUP(($AJ74-$AI74-$AH74-$AG74-$AF74-$AE74*(1+GO$3))/$AJ74,'Технический лист'!$M:$N,2,1),(GN74-0.05)))</f>
        <v>1</v>
      </c>
      <c r="GP74" s="15">
        <f>MIN(1,MAX(VLOOKUP(($AJ74-$AI74-$AH74-$AG74-$AF74-$AE74*(1+GP$3))/$AJ74,'Технический лист'!$M:$N,2,1),(GO74-0.05)))</f>
        <v>1</v>
      </c>
      <c r="GQ74" s="15">
        <f>MIN(1,MAX(VLOOKUP(($AJ74-$AI74-$AH74-$AG74-$AF74-$AE74*(1+GQ$3))/$AJ74,'Технический лист'!$M:$N,2,1),(GP74-0.05)))</f>
        <v>1</v>
      </c>
      <c r="GR74" s="15">
        <f>MIN(1,MAX(VLOOKUP(($AJ74-$AI74-$AH74-$AG74-$AF74-$AE74*(1+GR$3))/$AJ74,'Технический лист'!$M:$N,2,1),(GQ74-0.05)))</f>
        <v>1</v>
      </c>
      <c r="GS74" s="15">
        <f>MIN(1,MAX(VLOOKUP(($AJ74-$AI74-$AH74-$AG74-$AF74-$AE74*(1+GS$3))/$AJ74,'Технический лист'!$M:$N,2,1),(GR74-0.05)))</f>
        <v>1</v>
      </c>
      <c r="GT74" s="15">
        <f>MIN(1,MAX(VLOOKUP(($AJ74-$AI74-$AH74-$AG74-$AF74-$AE74*(1+GT$3))/$AJ74,'Технический лист'!$M:$N,2,1),(GS74-0.05)))</f>
        <v>1</v>
      </c>
      <c r="GU74" s="15">
        <f>MIN(1,MAX(VLOOKUP(($AJ74-$AI74-$AH74-$AG74-$AF74-$AE74*(1+GU$3))/$AJ74,'Технический лист'!$M:$N,2,1),(GT74-0.05)))</f>
        <v>1</v>
      </c>
      <c r="GV74" s="15">
        <f>MIN(1,MAX(VLOOKUP(($AJ74-$AI74-$AH74-$AG74-$AF74-$AE74*(1+GV$3))/$AJ74,'Технический лист'!$M:$N,2,1),(GU74-0.05)))</f>
        <v>1</v>
      </c>
      <c r="GW74" s="15">
        <f>MIN(1,MAX(VLOOKUP(($AJ74-$AI74-$AH74-$AG74-$AF74-$AE74*(1+GW$3))/$AJ74,'Технический лист'!$M:$N,2,1),(GV74-0.05)))</f>
        <v>1</v>
      </c>
      <c r="GX74" s="15">
        <f>MIN(1,MAX(VLOOKUP(($AJ74-$AI74-$AH74-$AG74-$AF74-$AE74*(1+GX$3))/$AJ74,'Технический лист'!$M:$N,2,1),(GW74-0.05)))</f>
        <v>1</v>
      </c>
      <c r="GY74" s="15">
        <f>MIN(1,MAX(VLOOKUP(($AJ74-$AI74-$AH74-$AG74-$AF74-$AE74*(1+GY$3))/$AJ74,'Технический лист'!$M:$N,2,1),(GX74-0.05)))</f>
        <v>1</v>
      </c>
      <c r="GZ74" s="15">
        <f>MIN(1,MAX(VLOOKUP(($AJ74-$AI74-$AH74-$AG74-$AF74-$AE74*(1+GZ$3))/$AJ74,'Технический лист'!$M:$N,2,1),(GY74-0.05)))</f>
        <v>1</v>
      </c>
      <c r="HA74" s="15">
        <f>MIN(1,MAX(VLOOKUP(($AJ74-$AI74-$AH74-$AG74-$AF74-$AE74*(1+HA$3))/$AJ74,'Технический лист'!$M:$N,2,1),(GZ74-0.05)))</f>
        <v>1</v>
      </c>
      <c r="HB74" s="15">
        <f>MIN(1,MAX(VLOOKUP(($AJ74-$AI74-$AH74-$AG74-$AF74-$AE74*(1+HB$3))/$AJ74,'Технический лист'!$M:$N,2,1),(HA74-0.05)))</f>
        <v>1</v>
      </c>
      <c r="HC74" s="15">
        <f>MIN(1,MAX(VLOOKUP(($AJ74-$AI74-$AH74-$AG74-$AF74-$AE74*(1+HC$3))/$AJ74,'Технический лист'!$M:$N,2,1),(HB74-0.05)))</f>
        <v>1</v>
      </c>
      <c r="HD74" s="15">
        <f>MIN(1,MAX(VLOOKUP(($AJ74-$AI74-$AH74-$AG74-$AF74-$AE74*(1+HD$3))/$AJ74,'Технический лист'!$M:$N,2,1),(HC74-0.05)))</f>
        <v>1</v>
      </c>
      <c r="HE74" s="15">
        <f>MIN(1,MAX(VLOOKUP(($AJ74-$AI74-$AH74-$AG74-$AF74-$AE74*(1+HE$3))/$AJ74,'Технический лист'!$M:$N,2,1),(HD74-0.05)))</f>
        <v>1</v>
      </c>
      <c r="HF74" s="15">
        <f>MIN(1,MAX(VLOOKUP(($AJ74-$AI74-$AH74-$AG74-$AF74-$AE74*(1+HF$3))/$AJ74,'Технический лист'!$M:$N,2,1),(HE74-0.05)))</f>
        <v>1</v>
      </c>
      <c r="HG74" s="15">
        <f>MIN(1,MAX(VLOOKUP(($AJ74-$AI74-$AH74-$AG74-$AF74-$AE74*(1+HG$3))/$AJ74,'Технический лист'!$M:$N,2,1),(HF74-0.05)))</f>
        <v>1</v>
      </c>
      <c r="HH74" s="15">
        <f>MIN(1,MAX(VLOOKUP(($AJ74-$AI74-$AH74-$AG74-$AF74-$AE74*(1+HH$3))/$AJ74,'Технический лист'!$M:$N,2,1),(HG74-0.05)))</f>
        <v>1</v>
      </c>
      <c r="HI74" s="15">
        <f>MIN(1,MAX(VLOOKUP(($AJ74-$AI74-$AH74-$AG74-$AF74-$AE74*(1+HI$3))/$AJ74,'Технический лист'!$M:$N,2,1),(HH74-0.05)))</f>
        <v>1</v>
      </c>
      <c r="HJ74" s="15">
        <f>MIN(1,MAX(VLOOKUP(($AJ74-$AI74-$AH74-$AG74-$AF74-$AE74*(1+HJ$3))/$AJ74,'Технический лист'!$M:$N,2,1),(HI74-0.05)))</f>
        <v>1</v>
      </c>
      <c r="HK74" s="15">
        <f>MIN(1,MAX(VLOOKUP(($AJ74-$AI74-$AH74-$AG74-$AF74-$AE74*(1+HK$3))/$AJ74,'Технический лист'!$M:$N,2,1),(HJ74-0.05)))</f>
        <v>1</v>
      </c>
      <c r="HL74" s="15">
        <f>MIN(1,MAX(VLOOKUP(($AJ74-$AI74-$AH74-$AG74-$AF74-$AE74*(1+HL$3))/$AJ74,'Технический лист'!$M:$N,2,1),(HK74-0.05)))</f>
        <v>1</v>
      </c>
      <c r="HM74" s="15">
        <f>MIN(1,MAX(VLOOKUP(($AJ74-$AI74-$AH74-$AG74-$AF74-$AE74*(1+HM$3))/$AJ74,'Технический лист'!$M:$N,2,1),(HL74-0.05)))</f>
        <v>1</v>
      </c>
      <c r="HN74" s="15">
        <f>MIN(1,MAX(VLOOKUP(($AJ74-$AI74-$AH74-$AG74-$AF74-$AE74*(1+HN$3))/$AJ74,'Технический лист'!$M:$N,2,1),(HM74-0.05)))</f>
        <v>1</v>
      </c>
      <c r="HO74" s="15">
        <f>MIN(1,MAX(VLOOKUP(($AJ74-$AI74-$AH74-$AG74-$AF74-$AE74*(1+HO$3))/$AJ74,'Технический лист'!$M:$N,2,1),(HN74-0.05)))</f>
        <v>1</v>
      </c>
      <c r="HP74" s="15">
        <f>MIN(1,MAX(VLOOKUP(($AJ74-$AI74-$AH74-$AG74-$AF74-$AE74*(1+HP$3))/$AJ74,'Технический лист'!$M:$N,2,1),(HO74-0.05)))</f>
        <v>1</v>
      </c>
      <c r="HQ74" s="15">
        <f>MIN(1,MAX(VLOOKUP(($AJ74-$AI74-$AH74-$AG74-$AF74-$AE74*(1+HQ$3))/$AJ74,'Технический лист'!$M:$N,2,1),(HP74-0.05)))</f>
        <v>1</v>
      </c>
      <c r="HR74" s="15">
        <f>MIN(1,MAX(VLOOKUP(($AJ74-$AI74-$AH74-$AG74-$AF74-$AE74*(1+HR$3))/$AJ74,'Технический лист'!$M:$N,2,1),(HQ74-0.05)))</f>
        <v>1</v>
      </c>
      <c r="HS74" s="15">
        <f>MIN(1,MAX(VLOOKUP(($AJ74-$AI74-$AH74-$AG74-$AF74-$AE74*(1+HS$3))/$AJ74,'Технический лист'!$M:$N,2,1),(HR74-0.05)))</f>
        <v>1</v>
      </c>
      <c r="HT74" s="15">
        <f>MIN(1,MAX(VLOOKUP(($AJ74-$AI74-$AH74-$AG74-$AF74-$AE74*(1+HT$3))/$AJ74,'Технический лист'!$M:$N,2,1),(HS74-0.05)))</f>
        <v>1</v>
      </c>
      <c r="HU74" s="15">
        <f>MIN(1,MAX(VLOOKUP(($AJ74-$AI74-$AH74-$AG74-$AF74-$AE74*(1+HU$3))/$AJ74,'Технический лист'!$M:$N,2,1),(HT74-0.05)))</f>
        <v>1</v>
      </c>
      <c r="HV74" s="15">
        <f>MIN(1,MAX(VLOOKUP(($AJ74-$AI74-$AH74-$AG74-$AF74-$AE74*(1+HV$3))/$AJ74,'Технический лист'!$M:$N,2,1),(HU74-0.05)))</f>
        <v>1</v>
      </c>
      <c r="HW74" s="15">
        <f>MIN(1,MAX(VLOOKUP(($AJ74-$AI74-$AH74-$AG74-$AF74-$AE74*(1+HW$3))/$AJ74,'Технический лист'!$M:$N,2,1),(HV74-0.05)))</f>
        <v>1</v>
      </c>
      <c r="HX74" s="15">
        <f>MIN(1,MAX(VLOOKUP(($AJ74-$AI74-$AH74-$AG74-$AF74-$AE74*(1+HX$3))/$AJ74,'Технический лист'!$M:$N,2,1),(HW74-0.05)))</f>
        <v>1</v>
      </c>
      <c r="HY74" s="15">
        <f>MIN(1,MAX(VLOOKUP(($AJ74-$AI74-$AH74-$AG74-$AF74-$AE74*(1+HY$3))/$AJ74,'Технический лист'!$M:$N,2,1),(HX74-0.05)))</f>
        <v>1</v>
      </c>
      <c r="HZ74" s="15">
        <f>MIN(1,MAX(VLOOKUP(($AJ74-$AI74-$AH74-$AG74-$AF74-$AE74*(1+HZ$3))/$AJ74,'Технический лист'!$M:$N,2,1),(HY74-0.05)))</f>
        <v>1</v>
      </c>
      <c r="IA74" s="15">
        <f>MIN(1,MAX(VLOOKUP(($AJ74-$AI74-$AH74-$AG74-$AF74-$AE74*(1+IA$3))/$AJ74,'Технический лист'!$M:$N,2,1),(HZ74-0.05)))</f>
        <v>1</v>
      </c>
      <c r="IB74" s="15">
        <f>MIN(1,MAX(VLOOKUP(($AJ74-$AI74-$AH74-$AG74-$AF74-$AE74*(1+IB$3))/$AJ74,'Технический лист'!$M:$N,2,1),(IA74-0.05)))</f>
        <v>1</v>
      </c>
      <c r="IC74" s="15">
        <f>MIN(1,MAX(VLOOKUP(($AJ74-$AI74-$AH74-$AG74-$AF74-$AE74*(1+IC$3))/$AJ74,'Технический лист'!$M:$N,2,1),(IB74-0.05)))</f>
        <v>1</v>
      </c>
      <c r="ID74" s="15">
        <f>MIN(1,MAX(VLOOKUP(($AJ74-$AI74-$AH74-$AG74-$AF74-$AE74*(1+ID$3))/$AJ74,'Технический лист'!$M:$N,2,1),(IC74-0.05)))</f>
        <v>1</v>
      </c>
      <c r="IE74" s="15">
        <f>MIN(1,MAX(VLOOKUP(($AJ74-$AI74-$AH74-$AG74-$AF74-$AE74*(1+IE$3))/$AJ74,'Технический лист'!$M:$N,2,1),(ID74-0.05)))</f>
        <v>1</v>
      </c>
      <c r="IF74" s="15">
        <f>MIN(1,MAX(VLOOKUP(($AJ74-$AI74-$AH74-$AG74-$AF74-$AE74*(1+IF$3))/$AJ74,'Технический лист'!$M:$N,2,1),(IE74-0.05)))</f>
        <v>1</v>
      </c>
      <c r="IG74" s="15">
        <f>MIN(1,MAX(VLOOKUP(($AJ74-$AI74-$AH74-$AG74-$AF74-$AE74*(1+IG$3))/$AJ74,'Технический лист'!$M:$N,2,1),(IF74-0.05)))</f>
        <v>1</v>
      </c>
      <c r="IH74" s="15">
        <f>MIN(1,MAX(VLOOKUP(($AJ74-$AI74-$AH74-$AG74-$AF74-$AE74*(1+IH$3))/$AJ74,'Технический лист'!$M:$N,2,1),(IG74-0.05)))</f>
        <v>1</v>
      </c>
      <c r="II74" s="15">
        <f>MIN(1,MAX(VLOOKUP(($AJ74-$AI74-$AH74-$AG74-$AF74-$AE74*(1+II$3))/$AJ74,'Технический лист'!$M:$N,2,1),(IH74-0.05)))</f>
        <v>1</v>
      </c>
      <c r="IJ74" s="15">
        <f>MIN(1,MAX(VLOOKUP(($AJ74-$AI74-$AH74-$AG74-$AF74-$AE74*(1+IJ$3))/$AJ74,'Технический лист'!$M:$N,2,1),(II74-0.05)))</f>
        <v>1</v>
      </c>
      <c r="IK74" s="15">
        <f>MIN(1,MAX(VLOOKUP(($AJ74-$AI74-$AH74-$AG74-$AF74-$AE74*(1+IK$3))/$AJ74,'Технический лист'!$M:$N,2,1),(IJ74-0.05)))</f>
        <v>1</v>
      </c>
      <c r="IL74" s="15">
        <f>MIN(1,MAX(VLOOKUP(($AJ74-$AI74-$AH74-$AG74-$AF74-$AE74*(1+IL$3))/$AJ74,'Технический лист'!$M:$N,2,1),(IK74-0.05)))</f>
        <v>1</v>
      </c>
      <c r="IM74" s="15">
        <f>MIN(1,MAX(VLOOKUP(($AJ74-$AI74-$AH74-$AG74-$AF74-$AE74*(1+IM$3))/$AJ74,'Технический лист'!$M:$N,2,1),(IL74-0.05)))</f>
        <v>1</v>
      </c>
      <c r="IN74" s="15">
        <f>MIN(1,MAX(VLOOKUP(($AJ74-$AI74-$AH74-$AG74-$AF74-$AE74*(1+IN$3))/$AJ74,'Технический лист'!$M:$N,2,1),(IM74-0.05)))</f>
        <v>1</v>
      </c>
      <c r="IO74" s="15">
        <f>MIN(1,MAX(VLOOKUP(($AJ74-$AI74-$AH74-$AG74-$AF74-$AE74*(1+IO$3))/$AJ74,'Технический лист'!$M:$N,2,1),(IN74-0.05)))</f>
        <v>1</v>
      </c>
      <c r="IP74" s="15">
        <f>MIN(1,MAX(VLOOKUP(($AJ74-$AI74-$AH74-$AG74-$AF74-$AE74*(1+IP$3))/$AJ74,'Технический лист'!$M:$N,2,1),(IO74-0.05)))</f>
        <v>1</v>
      </c>
      <c r="IQ74" s="15">
        <f>MIN(1,MAX(VLOOKUP(($AJ74-$AI74-$AH74-$AG74-$AF74-$AE74*(1+IQ$3))/$AJ74,'Технический лист'!$M:$N,2,1),(IP74-0.05)))</f>
        <v>1</v>
      </c>
      <c r="IR74" s="15">
        <f>MIN(1,MAX(VLOOKUP(($AJ74-$AI74-$AH74-$AG74-$AF74-$AE74*(1+IR$3))/$AJ74,'Технический лист'!$M:$N,2,1),(IQ74-0.05)))</f>
        <v>1</v>
      </c>
    </row>
    <row r="75" spans="1:252" s="4" customFormat="1" ht="29.15">
      <c r="A75" s="89" t="s">
        <v>512</v>
      </c>
      <c r="B75" s="76">
        <v>4</v>
      </c>
      <c r="C75" s="3" t="s">
        <v>67</v>
      </c>
      <c r="D75" s="77">
        <v>14203</v>
      </c>
      <c r="E75" s="77" t="s">
        <v>398</v>
      </c>
      <c r="F75" s="77" t="s">
        <v>399</v>
      </c>
      <c r="G75" s="77" t="s">
        <v>20</v>
      </c>
      <c r="H75" s="77" t="s">
        <v>23</v>
      </c>
      <c r="I75" s="77" t="s">
        <v>372</v>
      </c>
      <c r="J75" s="77" t="s">
        <v>160</v>
      </c>
      <c r="K75" s="77">
        <v>4232</v>
      </c>
      <c r="L75" s="77" t="s">
        <v>64</v>
      </c>
      <c r="M75" s="91" t="s">
        <v>190</v>
      </c>
      <c r="N75" s="77" t="s">
        <v>191</v>
      </c>
      <c r="O75" s="77" t="s">
        <v>192</v>
      </c>
      <c r="P75" s="79" t="s">
        <v>386</v>
      </c>
      <c r="Q75" s="77" t="s">
        <v>261</v>
      </c>
      <c r="R75" s="77" t="s">
        <v>261</v>
      </c>
      <c r="S75" s="80">
        <v>92945</v>
      </c>
      <c r="T75" s="80">
        <v>393307755</v>
      </c>
      <c r="U75" s="81">
        <v>1340</v>
      </c>
      <c r="V75" s="81">
        <v>0</v>
      </c>
      <c r="W75" s="82">
        <v>158796526</v>
      </c>
      <c r="X75" s="112">
        <v>68</v>
      </c>
      <c r="Y75" s="112" t="s">
        <v>417</v>
      </c>
      <c r="Z75" s="113">
        <v>15</v>
      </c>
      <c r="AA75" s="113">
        <v>12</v>
      </c>
      <c r="AB75" s="113">
        <v>4</v>
      </c>
      <c r="AC75" s="99">
        <v>5177.49</v>
      </c>
      <c r="AD75" s="99">
        <f>AE75-AC75</f>
        <v>773.85000000000036</v>
      </c>
      <c r="AE75" s="99">
        <v>5951.34</v>
      </c>
      <c r="AF75" s="98">
        <f>(Z75+AA75+AB75)*'Ставки аренды'!$B$3/X75</f>
        <v>319.11764705882354</v>
      </c>
      <c r="AG75" s="114">
        <v>0</v>
      </c>
      <c r="AH75" s="94">
        <v>0</v>
      </c>
      <c r="AI75" s="115">
        <f>12254/14812*AJ75</f>
        <v>12625.541412368349</v>
      </c>
      <c r="AJ75" s="117">
        <f>Цены!C33*'Курсы валют'!B2</f>
        <v>15261.099999999999</v>
      </c>
      <c r="AK75" s="94">
        <f>AJ75/Цены!$B$1</f>
        <v>200</v>
      </c>
      <c r="AL75" s="95">
        <f t="shared" si="24"/>
        <v>6270.4576470588236</v>
      </c>
      <c r="AM75" s="95">
        <f t="shared" si="25"/>
        <v>8990.642352941175</v>
      </c>
      <c r="AN75" s="94">
        <f t="shared" si="22"/>
        <v>18895.999059427173</v>
      </c>
      <c r="AO75" s="118">
        <f t="shared" si="23"/>
        <v>-0.23818067239105797</v>
      </c>
      <c r="AP75" s="96">
        <f t="shared" si="26"/>
        <v>0.41087848497544899</v>
      </c>
      <c r="AQ75" s="96">
        <f t="shared" si="27"/>
        <v>0.38996795774878618</v>
      </c>
      <c r="AR75" s="96">
        <f t="shared" si="28"/>
        <v>0.9491077581540629</v>
      </c>
      <c r="AS75" s="122">
        <v>1</v>
      </c>
      <c r="AT75" s="121">
        <f t="shared" si="29"/>
        <v>92945</v>
      </c>
      <c r="AU75" s="83">
        <v>1</v>
      </c>
      <c r="AV75" s="119">
        <f t="shared" si="30"/>
        <v>-0.2849768273209124</v>
      </c>
      <c r="AW75" s="120">
        <f t="shared" si="31"/>
        <v>0.45767463990530333</v>
      </c>
      <c r="AX75" s="120">
        <f t="shared" si="32"/>
        <v>0.43676411267864057</v>
      </c>
      <c r="AY75" s="120">
        <f t="shared" si="33"/>
        <v>0.95431137012313083</v>
      </c>
      <c r="AZ75" s="15">
        <f>MIN(IF($AU75=100%,1,1+VLOOKUP(($AJ75-$AI75-$AH75-$AG75-$AF75-$AE75*(1+AZ$3))/$AJ75,'Технический лист'!$M:$N,2,1)-VLOOKUP($AO75,'Технический лист'!$M:$N,2,1)),1+(1-$AU75))</f>
        <v>1</v>
      </c>
      <c r="BA75" s="15">
        <f>MIN(IF($AU75=100%,1,1+VLOOKUP(($AJ75-$AI75-$AH75-$AG75-$AF75-$AE75*(1+BA$3))/$AJ75,'Технический лист'!$M:$N,2,1)-VLOOKUP($AO75,'Технический лист'!$M:$N,2,1)),1+(1-$AU75))</f>
        <v>1</v>
      </c>
      <c r="BB75" s="15">
        <f>MIN(IF($AU75=100%,1,1+VLOOKUP(($AJ75-$AI75-$AH75-$AG75-$AF75-$AE75*(1+BB$3))/$AJ75,'Технический лист'!$M:$N,2,1)-VLOOKUP($AO75,'Технический лист'!$M:$N,2,1)),1+(1-$AU75))</f>
        <v>1</v>
      </c>
      <c r="BC75" s="15">
        <f>MIN(IF($AU75=100%,1,1+VLOOKUP(($AJ75-$AI75-$AH75-$AG75-$AF75-$AE75*(1+BC$3))/$AJ75,'Технический лист'!$M:$N,2,1)-VLOOKUP($AO75,'Технический лист'!$M:$N,2,1)),1+(1-$AU75))</f>
        <v>1</v>
      </c>
      <c r="BD75" s="15">
        <f>MIN(IF($AU75=100%,1,1+VLOOKUP(($AJ75-$AI75-$AH75-$AG75-$AF75-$AE75*(1+BD$3))/$AJ75,'Технический лист'!$M:$N,2,1)-VLOOKUP($AO75,'Технический лист'!$M:$N,2,1)),1+(1-$AU75))</f>
        <v>1</v>
      </c>
      <c r="BE75" s="15">
        <f>MIN(IF($AU75=100%,1,1+VLOOKUP(($AJ75-$AI75-$AH75-$AG75-$AF75-$AE75*(1+BE$3))/$AJ75,'Технический лист'!$M:$N,2,1)-VLOOKUP($AO75,'Технический лист'!$M:$N,2,1)),1+(1-$AU75))</f>
        <v>1</v>
      </c>
      <c r="BF75" s="15">
        <f>MIN(IF($AU75=100%,1,1+VLOOKUP(($AJ75-$AI75-$AH75-$AG75-$AF75-$AE75*(1+BF$3))/$AJ75,'Технический лист'!$M:$N,2,1)-VLOOKUP($AO75,'Технический лист'!$M:$N,2,1)),1+(1-$AU75))</f>
        <v>1</v>
      </c>
      <c r="BG75" s="15">
        <f>MIN(IF($AU75=100%,1,1+VLOOKUP(($AJ75-$AI75-$AH75-$AG75-$AF75-$AE75*(1+BG$3))/$AJ75,'Технический лист'!$M:$N,2,1)-VLOOKUP($AO75,'Технический лист'!$M:$N,2,1)),1+(1-$AU75))</f>
        <v>1</v>
      </c>
      <c r="BH75" s="15">
        <f>MIN(IF($AU75=100%,1,1+VLOOKUP(($AJ75-$AI75-$AH75-$AG75-$AF75-$AE75*(1+BH$3))/$AJ75,'Технический лист'!$M:$N,2,1)-VLOOKUP($AO75,'Технический лист'!$M:$N,2,1)),1+(1-$AU75))</f>
        <v>1</v>
      </c>
      <c r="BI75" s="15">
        <f>MIN(IF($AU75=100%,1,1+VLOOKUP(($AJ75-$AI75-$AH75-$AG75-$AF75-$AE75*(1+BI$3))/$AJ75,'Технический лист'!$M:$N,2,1)-VLOOKUP($AO75,'Технический лист'!$M:$N,2,1)),1+(1-$AU75))</f>
        <v>1</v>
      </c>
      <c r="BJ75" s="15">
        <f>MIN(IF($AU75=100%,1,1+VLOOKUP(($AJ75-$AI75-$AH75-$AG75-$AF75-$AE75*(1+BJ$3))/$AJ75,'Технический лист'!$M:$N,2,1)-VLOOKUP($AO75,'Технический лист'!$M:$N,2,1)),1+(1-$AU75))</f>
        <v>1</v>
      </c>
      <c r="BK75" s="15">
        <f>MIN(IF($AU75=100%,1,1+VLOOKUP(($AJ75-$AI75-$AH75-$AG75-$AF75-$AE75*(1+BK$3))/$AJ75,'Технический лист'!$M:$N,2,1)-VLOOKUP($AO75,'Технический лист'!$M:$N,2,1)),1+(1-$AU75))</f>
        <v>1</v>
      </c>
      <c r="BL75" s="15">
        <f>MIN(IF($AU75=100%,1,1+VLOOKUP(($AJ75-$AI75-$AH75-$AG75-$AF75-$AE75*(1+BL$3))/$AJ75,'Технический лист'!$M:$N,2,1)-VLOOKUP($AO75,'Технический лист'!$M:$N,2,1)),1+(1-$AU75))</f>
        <v>1</v>
      </c>
      <c r="BM75" s="15">
        <f>MIN(IF($AU75=100%,1,1+VLOOKUP(($AJ75-$AI75-$AH75-$AG75-$AF75-$AE75*(1+BM$3))/$AJ75,'Технический лист'!$M:$N,2,1)-VLOOKUP($AO75,'Технический лист'!$M:$N,2,1)),1+(1-$AU75))</f>
        <v>1</v>
      </c>
      <c r="BN75" s="15">
        <f>MIN(IF($AU75=100%,1,1+VLOOKUP(($AJ75-$AI75-$AH75-$AG75-$AF75-$AE75*(1+BN$3))/$AJ75,'Технический лист'!$M:$N,2,1)-VLOOKUP($AO75,'Технический лист'!$M:$N,2,1)),1+(1-$AU75))</f>
        <v>1</v>
      </c>
      <c r="BO75" s="15">
        <f>MIN(IF($AU75=100%,1,1+VLOOKUP(($AJ75-$AI75-$AH75-$AG75-$AF75-$AE75*(1+BO$3))/$AJ75,'Технический лист'!$M:$N,2,1)-VLOOKUP($AO75,'Технический лист'!$M:$N,2,1)),1+(1-$AU75))</f>
        <v>1</v>
      </c>
      <c r="BP75" s="15">
        <f>MIN(IF($AU75=100%,1,1+VLOOKUP(($AJ75-$AI75-$AH75-$AG75-$AF75-$AE75*(1+BP$3))/$AJ75,'Технический лист'!$M:$N,2,1)-VLOOKUP($AO75,'Технический лист'!$M:$N,2,1)),1+(1-$AU75))</f>
        <v>1</v>
      </c>
      <c r="BQ75" s="15">
        <f>MIN(IF($AU75=100%,1,1+VLOOKUP(($AJ75-$AI75-$AH75-$AG75-$AF75-$AE75*(1+BQ$3))/$AJ75,'Технический лист'!$M:$N,2,1)-VLOOKUP($AO75,'Технический лист'!$M:$N,2,1)),1+(1-$AU75))</f>
        <v>1</v>
      </c>
      <c r="BR75" s="15">
        <f>MIN(IF($AU75=100%,1,1+VLOOKUP(($AJ75-$AI75-$AH75-$AG75-$AF75-$AE75*(1+BR$3))/$AJ75,'Технический лист'!$M:$N,2,1)-VLOOKUP($AO75,'Технический лист'!$M:$N,2,1)),1+(1-$AU75))</f>
        <v>1</v>
      </c>
      <c r="BS75" s="15">
        <f>MIN(IF($AU75=100%,1,1+VLOOKUP(($AJ75-$AI75-$AH75-$AG75-$AF75-$AE75*(1+BS$3))/$AJ75,'Технический лист'!$M:$N,2,1)-VLOOKUP($AO75,'Технический лист'!$M:$N,2,1)),1+(1-$AU75))</f>
        <v>1</v>
      </c>
      <c r="BT75" s="15">
        <f>MIN(IF($AU75=100%,1,1+VLOOKUP(($AJ75-$AI75-$AH75-$AG75-$AF75-$AE75*(1+BT$3))/$AJ75,'Технический лист'!$M:$N,2,1)-VLOOKUP($AO75,'Технический лист'!$M:$N,2,1)),1+(1-$AU75))</f>
        <v>1</v>
      </c>
      <c r="BU75" s="15">
        <f>MIN(IF($AU75=100%,1,1+VLOOKUP(($AJ75-$AI75-$AH75-$AG75-$AF75-$AE75*(1+BU$3))/$AJ75,'Технический лист'!$M:$N,2,1)-VLOOKUP($AO75,'Технический лист'!$M:$N,2,1)),1+(1-$AU75))</f>
        <v>1</v>
      </c>
      <c r="BV75" s="15">
        <f>MIN(IF($AU75=100%,1,1+VLOOKUP(($AJ75-$AI75-$AH75-$AG75-$AF75-$AE75*(1+BV$3))/$AJ75,'Технический лист'!$M:$N,2,1)-VLOOKUP($AO75,'Технический лист'!$M:$N,2,1)),1+(1-$AU75))</f>
        <v>1</v>
      </c>
      <c r="BW75" s="15">
        <f>MIN(IF($AU75=100%,1,1+VLOOKUP(($AJ75-$AI75-$AH75-$AG75-$AF75-$AE75*(1+BW$3))/$AJ75,'Технический лист'!$M:$N,2,1)-VLOOKUP($AO75,'Технический лист'!$M:$N,2,1)),1+(1-$AU75))</f>
        <v>1</v>
      </c>
      <c r="BX75" s="15">
        <f>MIN(IF($AU75=100%,1,1+VLOOKUP(($AJ75-$AI75-$AH75-$AG75-$AF75-$AE75*(1+BX$3))/$AJ75,'Технический лист'!$M:$N,2,1)-VLOOKUP($AO75,'Технический лист'!$M:$N,2,1)),1+(1-$AU75))</f>
        <v>1</v>
      </c>
      <c r="BY75" s="15">
        <f>MIN(IF($AU75=100%,1,1+VLOOKUP(($AJ75-$AI75-$AH75-$AG75-$AF75-$AE75*(1+BY$3))/$AJ75,'Технический лист'!$M:$N,2,1)-VLOOKUP($AO75,'Технический лист'!$M:$N,2,1)),1+(1-$AU75))</f>
        <v>1</v>
      </c>
      <c r="BZ75" s="15">
        <f>MIN(IF($AU75=100%,1,1+VLOOKUP(($AJ75-$AI75-$AH75-$AG75-$AF75-$AE75*(1+BZ$3))/$AJ75,'Технический лист'!$M:$N,2,1)-VLOOKUP($AO75,'Технический лист'!$M:$N,2,1)),1+(1-$AU75))</f>
        <v>1</v>
      </c>
      <c r="CA75" s="15">
        <f>MIN(IF($AU75=100%,1,1+VLOOKUP(($AJ75-$AI75-$AH75-$AG75-$AF75-$AE75*(1+CA$3))/$AJ75,'Технический лист'!$M:$N,2,1)-VLOOKUP($AO75,'Технический лист'!$M:$N,2,1)),1+(1-$AU75))</f>
        <v>1</v>
      </c>
      <c r="CB75" s="15">
        <f>MIN(IF($AU75=100%,1,1+VLOOKUP(($AJ75-$AI75-$AH75-$AG75-$AF75-$AE75*(1+CB$3))/$AJ75,'Технический лист'!$M:$N,2,1)-VLOOKUP($AO75,'Технический лист'!$M:$N,2,1)),1+(1-$AU75))</f>
        <v>1</v>
      </c>
      <c r="CC75" s="15">
        <f>MIN(IF($AU75=100%,1,1+VLOOKUP(($AJ75-$AI75-$AH75-$AG75-$AF75-$AE75*(1+CC$3))/$AJ75,'Технический лист'!$M:$N,2,1)-VLOOKUP($AO75,'Технический лист'!$M:$N,2,1)),1+(1-$AU75))</f>
        <v>1</v>
      </c>
      <c r="CD75" s="15">
        <f>MIN(IF($AU75=100%,1,1+VLOOKUP(($AJ75-$AI75-$AH75-$AG75-$AF75-$AE75*(1+CD$3))/$AJ75,'Технический лист'!$M:$N,2,1)-VLOOKUP($AO75,'Технический лист'!$M:$N,2,1)),1+(1-$AU75))</f>
        <v>1</v>
      </c>
      <c r="CE75" s="15">
        <f>MIN(IF($AU75=100%,1,1+VLOOKUP(($AJ75-$AI75-$AH75-$AG75-$AF75-$AE75*(1+CE$3))/$AJ75,'Технический лист'!$M:$N,2,1)-VLOOKUP($AO75,'Технический лист'!$M:$N,2,1)),1+(1-$AU75))</f>
        <v>1</v>
      </c>
      <c r="CF75" s="15">
        <f>MIN(IF($AU75=100%,1,1+VLOOKUP(($AJ75-$AI75-$AH75-$AG75-$AF75-$AE75*(1+CF$3))/$AJ75,'Технический лист'!$M:$N,2,1)-VLOOKUP($AO75,'Технический лист'!$M:$N,2,1)),1+(1-$AU75))</f>
        <v>1</v>
      </c>
      <c r="CG75" s="15">
        <f>MIN(IF($AU75=100%,1,1+VLOOKUP(($AJ75-$AI75-$AH75-$AG75-$AF75-$AE75*(1+CG$3))/$AJ75,'Технический лист'!$M:$N,2,1)-VLOOKUP($AO75,'Технический лист'!$M:$N,2,1)),1+(1-$AU75))</f>
        <v>1</v>
      </c>
      <c r="CH75" s="15">
        <f>MIN(IF($AU75=100%,1,1+VLOOKUP(($AJ75-$AI75-$AH75-$AG75-$AF75-$AE75*(1+CH$3))/$AJ75,'Технический лист'!$M:$N,2,1)-VLOOKUP($AO75,'Технический лист'!$M:$N,2,1)),1+(1-$AU75))</f>
        <v>1</v>
      </c>
      <c r="CI75" s="15">
        <f>MIN(IF($AU75=100%,1,1+VLOOKUP(($AJ75-$AI75-$AH75-$AG75-$AF75-$AE75*(1+CI$3))/$AJ75,'Технический лист'!$M:$N,2,1)-VLOOKUP($AO75,'Технический лист'!$M:$N,2,1)),1+(1-$AU75))</f>
        <v>1</v>
      </c>
      <c r="CJ75" s="15">
        <f>MIN(IF($AU75=100%,1,1+VLOOKUP(($AJ75-$AI75-$AH75-$AG75-$AF75-$AE75*(1+CJ$3))/$AJ75,'Технический лист'!$M:$N,2,1)-VLOOKUP($AO75,'Технический лист'!$M:$N,2,1)),1+(1-$AU75))</f>
        <v>1</v>
      </c>
      <c r="CK75" s="15">
        <f>MIN(IF($AU75=100%,1,1+VLOOKUP(($AJ75-$AI75-$AH75-$AG75-$AF75-$AE75*(1+CK$3))/$AJ75,'Технический лист'!$M:$N,2,1)-VLOOKUP($AO75,'Технический лист'!$M:$N,2,1)),1+(1-$AU75))</f>
        <v>1</v>
      </c>
      <c r="CL75" s="15">
        <f>MIN(IF($AU75=100%,1,1+VLOOKUP(($AJ75-$AI75-$AH75-$AG75-$AF75-$AE75*(1+CL$3))/$AJ75,'Технический лист'!$M:$N,2,1)-VLOOKUP($AO75,'Технический лист'!$M:$N,2,1)),1+(1-$AU75))</f>
        <v>1</v>
      </c>
      <c r="CM75" s="15">
        <f>MIN(IF($AU75=100%,1,1+VLOOKUP(($AJ75-$AI75-$AH75-$AG75-$AF75-$AE75*(1+CM$3))/$AJ75,'Технический лист'!$M:$N,2,1)-VLOOKUP($AO75,'Технический лист'!$M:$N,2,1)),1+(1-$AU75))</f>
        <v>1</v>
      </c>
      <c r="CN75" s="15">
        <f>MIN(IF($AU75=100%,1,1+VLOOKUP(($AJ75-$AI75-$AH75-$AG75-$AF75-$AE75*(1+CN$3))/$AJ75,'Технический лист'!$M:$N,2,1)-VLOOKUP($AO75,'Технический лист'!$M:$N,2,1)),1+(1-$AU75))</f>
        <v>1</v>
      </c>
      <c r="CO75" s="15">
        <f>MIN(IF($AU75=100%,1,1+VLOOKUP(($AJ75-$AI75-$AH75-$AG75-$AF75-$AE75*(1+CO$3))/$AJ75,'Технический лист'!$M:$N,2,1)-VLOOKUP($AO75,'Технический лист'!$M:$N,2,1)),1+(1-$AU75))</f>
        <v>1</v>
      </c>
      <c r="CP75" s="15">
        <f>MIN(IF($AU75=100%,1,1+VLOOKUP(($AJ75-$AI75-$AH75-$AG75-$AF75-$AE75*(1+CP$3))/$AJ75,'Технический лист'!$M:$N,2,1)-VLOOKUP($AO75,'Технический лист'!$M:$N,2,1)),1+(1-$AU75))</f>
        <v>1</v>
      </c>
      <c r="CQ75" s="15">
        <f>MIN(IF($AU75=100%,1,1+VLOOKUP(($AJ75-$AI75-$AH75-$AG75-$AF75-$AE75*(1+CQ$3))/$AJ75,'Технический лист'!$M:$N,2,1)-VLOOKUP($AO75,'Технический лист'!$M:$N,2,1)),1+(1-$AU75))</f>
        <v>1</v>
      </c>
      <c r="CR75" s="15">
        <f>MIN(IF($AU75=100%,1,1+VLOOKUP(($AJ75-$AI75-$AH75-$AG75-$AF75-$AE75*(1+CR$3))/$AJ75,'Технический лист'!$M:$N,2,1)-VLOOKUP($AO75,'Технический лист'!$M:$N,2,1)),1+(1-$AU75))</f>
        <v>1</v>
      </c>
      <c r="CS75" s="15">
        <f>MIN(IF($AU75=100%,1,1+VLOOKUP(($AJ75-$AI75-$AH75-$AG75-$AF75-$AE75*(1+CS$3))/$AJ75,'Технический лист'!$M:$N,2,1)-VLOOKUP($AO75,'Технический лист'!$M:$N,2,1)),1+(1-$AU75))</f>
        <v>1</v>
      </c>
      <c r="CT75" s="15">
        <f>MIN(IF($AU75=100%,1,1+VLOOKUP(($AJ75-$AI75-$AH75-$AG75-$AF75-$AE75*(1+CT$3))/$AJ75,'Технический лист'!$M:$N,2,1)-VLOOKUP($AO75,'Технический лист'!$M:$N,2,1)),1+(1-$AU75))</f>
        <v>1</v>
      </c>
      <c r="CU75" s="15">
        <f>MIN(IF($AU75=100%,1,1+VLOOKUP(($AJ75-$AI75-$AH75-$AG75-$AF75-$AE75*(1+CU$3))/$AJ75,'Технический лист'!$M:$N,2,1)-VLOOKUP($AO75,'Технический лист'!$M:$N,2,1)),1+(1-$AU75))</f>
        <v>1</v>
      </c>
      <c r="CV75" s="15">
        <f>MIN(IF($AU75=100%,1,1+VLOOKUP(($AJ75-$AI75-$AH75-$AG75-$AF75-$AE75*(1+CV$3))/$AJ75,'Технический лист'!$M:$N,2,1)-VLOOKUP($AO75,'Технический лист'!$M:$N,2,1)),1+(1-$AU75))</f>
        <v>1</v>
      </c>
      <c r="CW75" s="15">
        <f>MIN(IF($AU75=100%,1,1+VLOOKUP(($AJ75-$AI75-$AH75-$AG75-$AF75-$AE75*(1+CW$3))/$AJ75,'Технический лист'!$M:$N,2,1)-VLOOKUP($AO75,'Технический лист'!$M:$N,2,1)),1+(1-$AU75))</f>
        <v>1</v>
      </c>
      <c r="CX75" s="15">
        <f>MIN(IF($AU75=100%,1,1+VLOOKUP(($AJ75-$AI75-$AH75-$AG75-$AF75-$AE75*(1+CX$3))/$AJ75,'Технический лист'!$M:$N,2,1)-VLOOKUP($AO75,'Технический лист'!$M:$N,2,1)),1+(1-$AU75))</f>
        <v>1</v>
      </c>
      <c r="CY75" s="15">
        <f>MIN(IF($AU75=100%,1,1+VLOOKUP(($AJ75-$AI75-$AH75-$AG75-$AF75-$AE75*(1+CY$3))/$AJ75,'Технический лист'!$M:$N,2,1)-VLOOKUP($AO75,'Технический лист'!$M:$N,2,1)),1+(1-$AU75))</f>
        <v>1</v>
      </c>
      <c r="CZ75" s="15">
        <f>MIN(IF($AU75=100%,1,1+VLOOKUP(($AJ75-$AI75-$AH75-$AG75-$AF75-$AE75*(1+CZ$3))/$AJ75,'Технический лист'!$M:$N,2,1)-VLOOKUP($AO75,'Технический лист'!$M:$N,2,1)),1+(1-$AU75))</f>
        <v>1</v>
      </c>
      <c r="DA75" s="15">
        <f>MIN(IF($AU75=100%,1,1+VLOOKUP(($AJ75-$AI75-$AH75-$AG75-$AF75-$AE75*(1+DA$3))/$AJ75,'Технический лист'!$M:$N,2,1)-VLOOKUP($AO75,'Технический лист'!$M:$N,2,1)),1+(1-$AU75))</f>
        <v>1</v>
      </c>
      <c r="DB75" s="15">
        <f>MIN(IF($AU75=100%,1,1+VLOOKUP(($AJ75-$AI75-$AH75-$AG75-$AF75-$AE75*(1+DB$3))/$AJ75,'Технический лист'!$M:$N,2,1)-VLOOKUP($AO75,'Технический лист'!$M:$N,2,1)),1+(1-$AU75))</f>
        <v>1</v>
      </c>
      <c r="DC75" s="15">
        <f>MIN(IF($AU75=100%,1,1+VLOOKUP(($AJ75-$AI75-$AH75-$AG75-$AF75-$AE75*(1+DC$3))/$AJ75,'Технический лист'!$M:$N,2,1)-VLOOKUP($AO75,'Технический лист'!$M:$N,2,1)),1+(1-$AU75))</f>
        <v>1</v>
      </c>
      <c r="DD75" s="15">
        <f>MIN(IF($AU75=100%,1,1+VLOOKUP(($AJ75-$AI75-$AH75-$AG75-$AF75-$AE75*(1+DD$3))/$AJ75,'Технический лист'!$M:$N,2,1)-VLOOKUP($AO75,'Технический лист'!$M:$N,2,1)),1+(1-$AU75))</f>
        <v>1</v>
      </c>
      <c r="DE75" s="15">
        <f>MIN(IF($AU75=100%,1,1+VLOOKUP(($AJ75-$AI75-$AH75-$AG75-$AF75-$AE75*(1+DE$3))/$AJ75,'Технический лист'!$M:$N,2,1)-VLOOKUP($AO75,'Технический лист'!$M:$N,2,1)),1+(1-$AU75))</f>
        <v>1</v>
      </c>
      <c r="DF75" s="15">
        <f>MIN(IF($AU75=100%,1,1+VLOOKUP(($AJ75-$AI75-$AH75-$AG75-$AF75-$AE75*(1+DF$3))/$AJ75,'Технический лист'!$M:$N,2,1)-VLOOKUP($AO75,'Технический лист'!$M:$N,2,1)),1+(1-$AU75))</f>
        <v>1</v>
      </c>
      <c r="DG75" s="15">
        <f>MIN(IF($AU75=100%,1,1+VLOOKUP(($AJ75-$AI75-$AH75-$AG75-$AF75-$AE75*(1+DG$3))/$AJ75,'Технический лист'!$M:$N,2,1)-VLOOKUP($AO75,'Технический лист'!$M:$N,2,1)),1+(1-$AU75))</f>
        <v>1</v>
      </c>
      <c r="DH75" s="15">
        <f>MIN(IF($AU75=100%,1,1+VLOOKUP(($AJ75-$AI75-$AH75-$AG75-$AF75-$AE75*(1+DH$3))/$AJ75,'Технический лист'!$M:$N,2,1)-VLOOKUP($AO75,'Технический лист'!$M:$N,2,1)),1+(1-$AU75))</f>
        <v>1</v>
      </c>
      <c r="DI75" s="15">
        <f>MIN(IF($AU75=100%,1,1+VLOOKUP(($AJ75-$AI75-$AH75-$AG75-$AF75-$AE75*(1+DI$3))/$AJ75,'Технический лист'!$M:$N,2,1)-VLOOKUP($AO75,'Технический лист'!$M:$N,2,1)),1+(1-$AU75))</f>
        <v>1</v>
      </c>
      <c r="DJ75" s="15">
        <f>MIN(IF($AU75=100%,1,1+VLOOKUP(($AJ75-$AI75-$AH75-$AG75-$AF75-$AE75*(1+DJ$3))/$AJ75,'Технический лист'!$M:$N,2,1)-VLOOKUP($AO75,'Технический лист'!$M:$N,2,1)),1+(1-$AU75))</f>
        <v>1</v>
      </c>
      <c r="DK75" s="15">
        <f>MIN(IF($AU75=100%,1,1+VLOOKUP(($AJ75-$AI75-$AH75-$AG75-$AF75-$AE75*(1+DK$3))/$AJ75,'Технический лист'!$M:$N,2,1)-VLOOKUP($AO75,'Технический лист'!$M:$N,2,1)),1+(1-$AU75))</f>
        <v>1</v>
      </c>
      <c r="DL75" s="15">
        <f>MIN(IF($AU75=100%,1,1+VLOOKUP(($AJ75-$AI75-$AH75-$AG75-$AF75-$AE75*(1+DL$3))/$AJ75,'Технический лист'!$M:$N,2,1)-VLOOKUP($AO75,'Технический лист'!$M:$N,2,1)),1+(1-$AU75))</f>
        <v>1</v>
      </c>
      <c r="DM75" s="15">
        <f>MIN(IF($AU75=100%,1,1+VLOOKUP(($AJ75-$AI75-$AH75-$AG75-$AF75-$AE75*(1+DM$3))/$AJ75,'Технический лист'!$M:$N,2,1)-VLOOKUP($AO75,'Технический лист'!$M:$N,2,1)),1+(1-$AU75))</f>
        <v>1</v>
      </c>
      <c r="DN75" s="15">
        <f>MIN(IF($AU75=100%,1,1+VLOOKUP(($AJ75-$AI75-$AH75-$AG75-$AF75-$AE75*(1+DN$3))/$AJ75,'Технический лист'!$M:$N,2,1)-VLOOKUP($AO75,'Технический лист'!$M:$N,2,1)),1+(1-$AU75))</f>
        <v>1</v>
      </c>
      <c r="DO75" s="15">
        <f>MIN(IF($AU75=100%,1,1+VLOOKUP(($AJ75-$AI75-$AH75-$AG75-$AF75-$AE75*(1+DO$3))/$AJ75,'Технический лист'!$M:$N,2,1)-VLOOKUP($AO75,'Технический лист'!$M:$N,2,1)),1+(1-$AU75))</f>
        <v>1</v>
      </c>
      <c r="DP75" s="15">
        <f>MIN(IF($AU75=100%,1,1+VLOOKUP(($AJ75-$AI75-$AH75-$AG75-$AF75-$AE75*(1+DP$3))/$AJ75,'Технический лист'!$M:$N,2,1)-VLOOKUP($AO75,'Технический лист'!$M:$N,2,1)),1+(1-$AU75))</f>
        <v>1</v>
      </c>
      <c r="DQ75" s="15">
        <f>MIN(IF($AU75=100%,1,1+VLOOKUP(($AJ75-$AI75-$AH75-$AG75-$AF75-$AE75*(1+DQ$3))/$AJ75,'Технический лист'!$M:$N,2,1)-VLOOKUP($AO75,'Технический лист'!$M:$N,2,1)),1+(1-$AU75))</f>
        <v>1</v>
      </c>
      <c r="DR75" s="15">
        <f>MIN(IF($AU75=100%,1,1+VLOOKUP(($AJ75-$AI75-$AH75-$AG75-$AF75-$AE75*(1+DR$3))/$AJ75,'Технический лист'!$M:$N,2,1)-VLOOKUP($AO75,'Технический лист'!$M:$N,2,1)),1+(1-$AU75))</f>
        <v>1</v>
      </c>
      <c r="DS75" s="15">
        <f>MIN(IF($AU75=100%,1,1+VLOOKUP(($AJ75-$AI75-$AH75-$AG75-$AF75-$AE75*(1+DS$3))/$AJ75,'Технический лист'!$M:$N,2,1)-VLOOKUP($AO75,'Технический лист'!$M:$N,2,1)),1+(1-$AU75))</f>
        <v>1</v>
      </c>
      <c r="DT75" s="15">
        <f>MIN(IF($AU75=100%,1,1+VLOOKUP(($AJ75-$AI75-$AH75-$AG75-$AF75-$AE75*(1+DT$3))/$AJ75,'Технический лист'!$M:$N,2,1)-VLOOKUP($AO75,'Технический лист'!$M:$N,2,1)),1+(1-$AU75))</f>
        <v>1</v>
      </c>
      <c r="DU75" s="15">
        <f>MIN(IF($AU75=100%,1,1+VLOOKUP(($AJ75-$AI75-$AH75-$AG75-$AF75-$AE75*(1+DU$3))/$AJ75,'Технический лист'!$M:$N,2,1)-VLOOKUP($AO75,'Технический лист'!$M:$N,2,1)),1+(1-$AU75))</f>
        <v>1</v>
      </c>
      <c r="DV75" s="15">
        <f>MIN(IF($AU75=100%,1,1+VLOOKUP(($AJ75-$AI75-$AH75-$AG75-$AF75-$AE75*(1+DV$3))/$AJ75,'Технический лист'!$M:$N,2,1)-VLOOKUP($AO75,'Технический лист'!$M:$N,2,1)),1+(1-$AU75))</f>
        <v>1</v>
      </c>
      <c r="DW75" s="15">
        <f>MIN(IF($AU75=100%,1,1+VLOOKUP(($AJ75-$AI75-$AH75-$AG75-$AF75-$AE75*(1+DW$3))/$AJ75,'Технический лист'!$M:$N,2,1)-VLOOKUP($AO75,'Технический лист'!$M:$N,2,1)),1+(1-$AU75))</f>
        <v>1</v>
      </c>
      <c r="DX75" s="15">
        <f>MIN(IF($AU75=100%,1,1+VLOOKUP(($AJ75-$AI75-$AH75-$AG75-$AF75-$AE75*(1+DX$3))/$AJ75,'Технический лист'!$M:$N,2,1)-VLOOKUP($AO75,'Технический лист'!$M:$N,2,1)),1+(1-$AU75))</f>
        <v>1</v>
      </c>
      <c r="DY75" s="15">
        <f>MIN(IF($AU75=100%,1,1+VLOOKUP(($AJ75-$AI75-$AH75-$AG75-$AF75-$AE75*(1+DY$3))/$AJ75,'Технический лист'!$M:$N,2,1)-VLOOKUP($AO75,'Технический лист'!$M:$N,2,1)),1+(1-$AU75))</f>
        <v>1</v>
      </c>
      <c r="DZ75" s="15">
        <f>MIN(IF($AU75=100%,1,1+VLOOKUP(($AJ75-$AI75-$AH75-$AG75-$AF75-$AE75*(1+DZ$3))/$AJ75,'Технический лист'!$M:$N,2,1)-VLOOKUP($AO75,'Технический лист'!$M:$N,2,1)),1+(1-$AU75))</f>
        <v>1</v>
      </c>
      <c r="EA75" s="15">
        <f>MIN(IF($AU75=100%,1,1+VLOOKUP(($AJ75-$AI75-$AH75-$AG75-$AF75-$AE75*(1+EA$3))/$AJ75,'Технический лист'!$M:$N,2,1)-VLOOKUP($AO75,'Технический лист'!$M:$N,2,1)),1+(1-$AU75))</f>
        <v>1</v>
      </c>
      <c r="EB75" s="15">
        <f>MIN(IF($AU75=100%,1,1+VLOOKUP(($AJ75-$AI75-$AH75-$AG75-$AF75-$AE75*(1+EB$3))/$AJ75,'Технический лист'!$M:$N,2,1)-VLOOKUP($AO75,'Технический лист'!$M:$N,2,1)),1+(1-$AU75))</f>
        <v>1</v>
      </c>
      <c r="EC75" s="15">
        <f>MIN(IF($AU75=100%,1,1+VLOOKUP(($AJ75-$AI75-$AH75-$AG75-$AF75-$AE75*(1+EC$3))/$AJ75,'Технический лист'!$M:$N,2,1)-VLOOKUP($AO75,'Технический лист'!$M:$N,2,1)),1+(1-$AU75))</f>
        <v>1</v>
      </c>
      <c r="ED75" s="15">
        <f>MIN(IF($AU75=100%,1,1+VLOOKUP(($AJ75-$AI75-$AH75-$AG75-$AF75-$AE75*(1+ED$3))/$AJ75,'Технический лист'!$M:$N,2,1)-VLOOKUP($AO75,'Технический лист'!$M:$N,2,1)),1+(1-$AU75))</f>
        <v>1</v>
      </c>
      <c r="EE75" s="15">
        <f>MIN(IF($AU75=100%,1,1+VLOOKUP(($AJ75-$AI75-$AH75-$AG75-$AF75-$AE75*(1+EE$3))/$AJ75,'Технический лист'!$M:$N,2,1)-VLOOKUP($AO75,'Технический лист'!$M:$N,2,1)),1+(1-$AU75))</f>
        <v>1</v>
      </c>
      <c r="EF75" s="15">
        <f>MIN(IF($AU75=100%,1,1+VLOOKUP(($AJ75-$AI75-$AH75-$AG75-$AF75-$AE75*(1+EF$3))/$AJ75,'Технический лист'!$M:$N,2,1)-VLOOKUP($AO75,'Технический лист'!$M:$N,2,1)),1+(1-$AU75))</f>
        <v>1</v>
      </c>
      <c r="EG75" s="15">
        <f>MIN(IF($AU75=100%,1,1+VLOOKUP(($AJ75-$AI75-$AH75-$AG75-$AF75-$AE75*(1+EG$3))/$AJ75,'Технический лист'!$M:$N,2,1)-VLOOKUP($AO75,'Технический лист'!$M:$N,2,1)),1+(1-$AU75))</f>
        <v>1</v>
      </c>
      <c r="EH75" s="15">
        <f>MIN(IF($AU75=100%,1,1+VLOOKUP(($AJ75-$AI75-$AH75-$AG75-$AF75-$AE75*(1+EH$3))/$AJ75,'Технический лист'!$M:$N,2,1)-VLOOKUP($AO75,'Технический лист'!$M:$N,2,1)),1+(1-$AU75))</f>
        <v>1</v>
      </c>
      <c r="EI75" s="15">
        <f>MIN(IF($AU75=100%,1,1+VLOOKUP(($AJ75-$AI75-$AH75-$AG75-$AF75-$AE75*(1+EI$3))/$AJ75,'Технический лист'!$M:$N,2,1)-VLOOKUP($AO75,'Технический лист'!$M:$N,2,1)),1+(1-$AU75))</f>
        <v>1</v>
      </c>
      <c r="EJ75" s="15">
        <f>MIN(IF($AU75=100%,1,1+VLOOKUP(($AJ75-$AI75-$AH75-$AG75-$AF75-$AE75*(1+EJ$3))/$AJ75,'Технический лист'!$M:$N,2,1)-VLOOKUP($AO75,'Технический лист'!$M:$N,2,1)),1+(1-$AU75))</f>
        <v>1</v>
      </c>
      <c r="EK75" s="15">
        <f>MIN(IF($AU75=100%,1,1+VLOOKUP(($AJ75-$AI75-$AH75-$AG75-$AF75-$AE75*(1+EK$3))/$AJ75,'Технический лист'!$M:$N,2,1)-VLOOKUP($AO75,'Технический лист'!$M:$N,2,1)),1+(1-$AU75))</f>
        <v>1</v>
      </c>
      <c r="EL75" s="15">
        <f>MIN(IF($AU75=100%,1,1+VLOOKUP(($AJ75-$AI75-$AH75-$AG75-$AF75-$AE75*(1+EL$3))/$AJ75,'Технический лист'!$M:$N,2,1)-VLOOKUP($AO75,'Технический лист'!$M:$N,2,1)),1+(1-$AU75))</f>
        <v>1</v>
      </c>
      <c r="EM75" s="15">
        <f>MIN(IF($AU75=100%,1,1+VLOOKUP(($AJ75-$AI75-$AH75-$AG75-$AF75-$AE75*(1+EM$3))/$AJ75,'Технический лист'!$M:$N,2,1)-VLOOKUP($AO75,'Технический лист'!$M:$N,2,1)),1+(1-$AU75))</f>
        <v>1</v>
      </c>
      <c r="EN75" s="15">
        <f>MIN(IF($AU75=100%,1,1+VLOOKUP(($AJ75-$AI75-$AH75-$AG75-$AF75-$AE75*(1+EN$3))/$AJ75,'Технический лист'!$M:$N,2,1)-VLOOKUP($AO75,'Технический лист'!$M:$N,2,1)),1+(1-$AU75))</f>
        <v>1</v>
      </c>
      <c r="EO75" s="15">
        <f>MIN(IF($AU75=100%,1,1+VLOOKUP(($AJ75-$AI75-$AH75-$AG75-$AF75-$AE75*(1+EO$3))/$AJ75,'Технический лист'!$M:$N,2,1)-VLOOKUP($AO75,'Технический лист'!$M:$N,2,1)),1+(1-$AU75))</f>
        <v>1</v>
      </c>
      <c r="EP75" s="15">
        <f>MIN(IF($AU75=100%,1,1+VLOOKUP(($AJ75-$AI75-$AH75-$AG75-$AF75-$AE75*(1+EP$3))/$AJ75,'Технический лист'!$M:$N,2,1)-VLOOKUP($AO75,'Технический лист'!$M:$N,2,1)),1+(1-$AU75))</f>
        <v>1</v>
      </c>
      <c r="EQ75" s="15">
        <f>MIN(IF($AU75=100%,1,1+VLOOKUP(($AJ75-$AI75-$AH75-$AG75-$AF75-$AE75*(1+EQ$3))/$AJ75,'Технический лист'!$M:$N,2,1)-VLOOKUP($AO75,'Технический лист'!$M:$N,2,1)),1+(1-$AU75))</f>
        <v>1</v>
      </c>
      <c r="ER75" s="15">
        <f>MIN(IF($AU75=100%,1,1+VLOOKUP(($AJ75-$AI75-$AH75-$AG75-$AF75-$AE75*(1+ER$3))/$AJ75,'Технический лист'!$M:$N,2,1)-VLOOKUP($AO75,'Технический лист'!$M:$N,2,1)),1+(1-$AU75))</f>
        <v>1</v>
      </c>
      <c r="ES75" s="15">
        <f>MIN(IF($AU75=100%,1,1+VLOOKUP(($AJ75-$AI75-$AH75-$AG75-$AF75-$AE75*(1+ES$3))/$AJ75,'Технический лист'!$M:$N,2,1)-VLOOKUP($AO75,'Технический лист'!$M:$N,2,1)),1+(1-$AU75))</f>
        <v>1</v>
      </c>
      <c r="ET75" s="15">
        <f>MIN(IF($AU75=100%,1,1+VLOOKUP(($AJ75-$AI75-$AH75-$AG75-$AF75-$AE75*(1+ET$3))/$AJ75,'Технический лист'!$M:$N,2,1)-VLOOKUP($AO75,'Технический лист'!$M:$N,2,1)),1+(1-$AU75))</f>
        <v>1</v>
      </c>
      <c r="EU75" s="15">
        <f>MIN(IF($AU75=100%,1,1+VLOOKUP(($AJ75-$AI75-$AH75-$AG75-$AF75-$AE75*(1+EU$3))/$AJ75,'Технический лист'!$M:$N,2,1)-VLOOKUP($AO75,'Технический лист'!$M:$N,2,1)),1+(1-$AU75))</f>
        <v>1</v>
      </c>
      <c r="EV75" s="111">
        <v>1</v>
      </c>
      <c r="EW75" s="15">
        <f>MIN(1,MAX(VLOOKUP(($AJ75-$AI75-$AH75-$AG75-$AF75-$AE75*(1+EW$3))/$AJ75,'Технический лист'!$M:$N,2,1),(EV75-0.05)))</f>
        <v>0.95</v>
      </c>
      <c r="EX75" s="15">
        <f>MIN(1,MAX(VLOOKUP(($AJ75-$AI75-$AH75-$AG75-$AF75-$AE75*(1+EX$3))/$AJ75,'Технический лист'!$M:$N,2,1),(EW75-0.05)))</f>
        <v>0.89999999999999991</v>
      </c>
      <c r="EY75" s="15">
        <f>MIN(1,MAX(VLOOKUP(($AJ75-$AI75-$AH75-$AG75-$AF75-$AE75*(1+EY$3))/$AJ75,'Технический лист'!$M:$N,2,1),(EX75-0.05)))</f>
        <v>0.84999999999999987</v>
      </c>
      <c r="EZ75" s="15">
        <f>MIN(1,MAX(VLOOKUP(($AJ75-$AI75-$AH75-$AG75-$AF75-$AE75*(1+EZ$3))/$AJ75,'Технический лист'!$M:$N,2,1),(EY75-0.05)))</f>
        <v>0.79999999999999982</v>
      </c>
      <c r="FA75" s="15">
        <f>MIN(1,MAX(VLOOKUP(($AJ75-$AI75-$AH75-$AG75-$AF75-$AE75*(1+FA$3))/$AJ75,'Технический лист'!$M:$N,2,1),(EZ75-0.05)))</f>
        <v>0.74999999999999978</v>
      </c>
      <c r="FB75" s="15">
        <f>MIN(1,MAX(VLOOKUP(($AJ75-$AI75-$AH75-$AG75-$AF75-$AE75*(1+FB$3))/$AJ75,'Технический лист'!$M:$N,2,1),(FA75-0.05)))</f>
        <v>0.69999999999999973</v>
      </c>
      <c r="FC75" s="15">
        <f>MIN(1,MAX(VLOOKUP(($AJ75-$AI75-$AH75-$AG75-$AF75-$AE75*(1+FC$3))/$AJ75,'Технический лист'!$M:$N,2,1),(FB75-0.05)))</f>
        <v>0.64999999999999969</v>
      </c>
      <c r="FD75" s="15">
        <f>MIN(1,MAX(VLOOKUP(($AJ75-$AI75-$AH75-$AG75-$AF75-$AE75*(1+FD$3))/$AJ75,'Технический лист'!$M:$N,2,1),(FC75-0.05)))</f>
        <v>0.59999999999999964</v>
      </c>
      <c r="FE75" s="15">
        <f>MIN(1,MAX(VLOOKUP(($AJ75-$AI75-$AH75-$AG75-$AF75-$AE75*(1+FE$3))/$AJ75,'Технический лист'!$M:$N,2,1),(FD75-0.05)))</f>
        <v>0.5499999999999996</v>
      </c>
      <c r="FF75" s="15">
        <f>MIN(1,MAX(VLOOKUP(($AJ75-$AI75-$AH75-$AG75-$AF75-$AE75*(1+FF$3))/$AJ75,'Технический лист'!$M:$N,2,1),(FE75-0.05)))</f>
        <v>0.49999999999999961</v>
      </c>
      <c r="FG75" s="15">
        <f>MIN(1,MAX(VLOOKUP(($AJ75-$AI75-$AH75-$AG75-$AF75-$AE75*(1+FG$3))/$AJ75,'Технический лист'!$M:$N,2,1),(FF75-0.05)))</f>
        <v>0.44999999999999962</v>
      </c>
      <c r="FH75" s="15">
        <f>MIN(1,MAX(VLOOKUP(($AJ75-$AI75-$AH75-$AG75-$AF75-$AE75*(1+FH$3))/$AJ75,'Технический лист'!$M:$N,2,1),(FG75-0.05)))</f>
        <v>0.39999999999999963</v>
      </c>
      <c r="FI75" s="15">
        <f>MIN(1,MAX(VLOOKUP(($AJ75-$AI75-$AH75-$AG75-$AF75-$AE75*(1+FI$3))/$AJ75,'Технический лист'!$M:$N,2,1),(FH75-0.05)))</f>
        <v>0.34999999999999964</v>
      </c>
      <c r="FJ75" s="15">
        <f>MIN(1,MAX(VLOOKUP(($AJ75-$AI75-$AH75-$AG75-$AF75-$AE75*(1+FJ$3))/$AJ75,'Технический лист'!$M:$N,2,1),(FI75-0.05)))</f>
        <v>0.29999999999999966</v>
      </c>
      <c r="FK75" s="15">
        <f>MIN(1,MAX(VLOOKUP(($AJ75-$AI75-$AH75-$AG75-$AF75-$AE75*(1+FK$3))/$AJ75,'Технический лист'!$M:$N,2,1),(FJ75-0.05)))</f>
        <v>0.24999999999999967</v>
      </c>
      <c r="FL75" s="15">
        <f>MIN(1,MAX(VLOOKUP(($AJ75-$AI75-$AH75-$AG75-$AF75-$AE75*(1+FL$3))/$AJ75,'Технический лист'!$M:$N,2,1),(FK75-0.05)))</f>
        <v>0.19999999999999968</v>
      </c>
      <c r="FM75" s="15">
        <f>MIN(1,MAX(VLOOKUP(($AJ75-$AI75-$AH75-$AG75-$AF75-$AE75*(1+FM$3))/$AJ75,'Технический лист'!$M:$N,2,1),(FL75-0.05)))</f>
        <v>0.14999999999999969</v>
      </c>
      <c r="FN75" s="15">
        <f>MIN(1,MAX(VLOOKUP(($AJ75-$AI75-$AH75-$AG75-$AF75-$AE75*(1+FN$3))/$AJ75,'Технический лист'!$M:$N,2,1),(FM75-0.05)))</f>
        <v>9.9999999999999686E-2</v>
      </c>
      <c r="FO75" s="15">
        <f>MIN(1,MAX(VLOOKUP(($AJ75-$AI75-$AH75-$AG75-$AF75-$AE75*(1+FO$3))/$AJ75,'Технический лист'!$M:$N,2,1),(FN75-0.05)))</f>
        <v>4.9999999999999684E-2</v>
      </c>
      <c r="FP75" s="15">
        <f>MIN(1,MAX(VLOOKUP(($AJ75-$AI75-$AH75-$AG75-$AF75-$AE75*(1+FP$3))/$AJ75,'Технический лист'!$M:$N,2,1),(FO75-0.05)))</f>
        <v>0</v>
      </c>
      <c r="FQ75" s="15">
        <f>MIN(1,MAX(VLOOKUP(($AJ75-$AI75-$AH75-$AG75-$AF75-$AE75*(1+FQ$3))/$AJ75,'Технический лист'!$M:$N,2,1),(FP75-0.05)))</f>
        <v>0</v>
      </c>
      <c r="FR75" s="15">
        <f>MIN(1,MAX(VLOOKUP(($AJ75-$AI75-$AH75-$AG75-$AF75-$AE75*(1+FR$3))/$AJ75,'Технический лист'!$M:$N,2,1),(FQ75-0.05)))</f>
        <v>0</v>
      </c>
      <c r="FS75" s="15">
        <f>MIN(1,MAX(VLOOKUP(($AJ75-$AI75-$AH75-$AG75-$AF75-$AE75*(1+FS$3))/$AJ75,'Технический лист'!$M:$N,2,1),(FR75-0.05)))</f>
        <v>0</v>
      </c>
      <c r="FT75" s="15">
        <f>MIN(1,MAX(VLOOKUP(($AJ75-$AI75-$AH75-$AG75-$AF75-$AE75*(1+FT$3))/$AJ75,'Технический лист'!$M:$N,2,1),(FS75-0.05)))</f>
        <v>0</v>
      </c>
      <c r="FU75" s="15">
        <f>MIN(1,MAX(VLOOKUP(($AJ75-$AI75-$AH75-$AG75-$AF75-$AE75*(1+FU$3))/$AJ75,'Технический лист'!$M:$N,2,1),(FT75-0.05)))</f>
        <v>0</v>
      </c>
      <c r="FV75" s="15">
        <f>MIN(1,MAX(VLOOKUP(($AJ75-$AI75-$AH75-$AG75-$AF75-$AE75*(1+FV$3))/$AJ75,'Технический лист'!$M:$N,2,1),(FU75-0.05)))</f>
        <v>0</v>
      </c>
      <c r="FW75" s="15">
        <f>MIN(1,MAX(VLOOKUP(($AJ75-$AI75-$AH75-$AG75-$AF75-$AE75*(1+FW$3))/$AJ75,'Технический лист'!$M:$N,2,1),(FV75-0.05)))</f>
        <v>0</v>
      </c>
      <c r="FX75" s="15">
        <f>MIN(1,MAX(VLOOKUP(($AJ75-$AI75-$AH75-$AG75-$AF75-$AE75*(1+FX$3))/$AJ75,'Технический лист'!$M:$N,2,1),(FW75-0.05)))</f>
        <v>0</v>
      </c>
      <c r="FY75" s="15">
        <f>MIN(1,MAX(VLOOKUP(($AJ75-$AI75-$AH75-$AG75-$AF75-$AE75*(1+FY$3))/$AJ75,'Технический лист'!$M:$N,2,1),(FX75-0.05)))</f>
        <v>0</v>
      </c>
      <c r="FZ75" s="15">
        <f>MIN(1,MAX(VLOOKUP(($AJ75-$AI75-$AH75-$AG75-$AF75-$AE75*(1+FZ$3))/$AJ75,'Технический лист'!$M:$N,2,1),(FY75-0.05)))</f>
        <v>0</v>
      </c>
      <c r="GA75" s="15">
        <f>MIN(1,MAX(VLOOKUP(($AJ75-$AI75-$AH75-$AG75-$AF75-$AE75*(1+GA$3))/$AJ75,'Технический лист'!$M:$N,2,1),(FZ75-0.05)))</f>
        <v>0</v>
      </c>
      <c r="GB75" s="15">
        <f>MIN(1,MAX(VLOOKUP(($AJ75-$AI75-$AH75-$AG75-$AF75-$AE75*(1+GB$3))/$AJ75,'Технический лист'!$M:$N,2,1),(GA75-0.05)))</f>
        <v>0</v>
      </c>
      <c r="GC75" s="15">
        <f>MIN(1,MAX(VLOOKUP(($AJ75-$AI75-$AH75-$AG75-$AF75-$AE75*(1+GC$3))/$AJ75,'Технический лист'!$M:$N,2,1),(GB75-0.05)))</f>
        <v>0</v>
      </c>
      <c r="GD75" s="15">
        <f>MIN(1,MAX(VLOOKUP(($AJ75-$AI75-$AH75-$AG75-$AF75-$AE75*(1+GD$3))/$AJ75,'Технический лист'!$M:$N,2,1),(GC75-0.05)))</f>
        <v>0</v>
      </c>
      <c r="GE75" s="15">
        <f>MIN(1,MAX(VLOOKUP(($AJ75-$AI75-$AH75-$AG75-$AF75-$AE75*(1+GE$3))/$AJ75,'Технический лист'!$M:$N,2,1),(GD75-0.05)))</f>
        <v>0</v>
      </c>
      <c r="GF75" s="15">
        <f>MIN(1,MAX(VLOOKUP(($AJ75-$AI75-$AH75-$AG75-$AF75-$AE75*(1+GF$3))/$AJ75,'Технический лист'!$M:$N,2,1),(GE75-0.05)))</f>
        <v>0</v>
      </c>
      <c r="GG75" s="15">
        <f>MIN(1,MAX(VLOOKUP(($AJ75-$AI75-$AH75-$AG75-$AF75-$AE75*(1+GG$3))/$AJ75,'Технический лист'!$M:$N,2,1),(GF75-0.05)))</f>
        <v>0</v>
      </c>
      <c r="GH75" s="15">
        <f>MIN(1,MAX(VLOOKUP(($AJ75-$AI75-$AH75-$AG75-$AF75-$AE75*(1+GH$3))/$AJ75,'Технический лист'!$M:$N,2,1),(GG75-0.05)))</f>
        <v>0</v>
      </c>
      <c r="GI75" s="15">
        <f>MIN(1,MAX(VLOOKUP(($AJ75-$AI75-$AH75-$AG75-$AF75-$AE75*(1+GI$3))/$AJ75,'Технический лист'!$M:$N,2,1),(GH75-0.05)))</f>
        <v>0</v>
      </c>
      <c r="GJ75" s="15">
        <f>MIN(1,MAX(VLOOKUP(($AJ75-$AI75-$AH75-$AG75-$AF75-$AE75*(1+GJ$3))/$AJ75,'Технический лист'!$M:$N,2,1),(GI75-0.05)))</f>
        <v>0</v>
      </c>
      <c r="GK75" s="15">
        <f>MIN(1,MAX(VLOOKUP(($AJ75-$AI75-$AH75-$AG75-$AF75-$AE75*(1+GK$3))/$AJ75,'Технический лист'!$M:$N,2,1),(GJ75-0.05)))</f>
        <v>0</v>
      </c>
      <c r="GL75" s="15">
        <f>MIN(1,MAX(VLOOKUP(($AJ75-$AI75-$AH75-$AG75-$AF75-$AE75*(1+GL$3))/$AJ75,'Технический лист'!$M:$N,2,1),(GK75-0.05)))</f>
        <v>0</v>
      </c>
      <c r="GM75" s="15">
        <f>MIN(1,MAX(VLOOKUP(($AJ75-$AI75-$AH75-$AG75-$AF75-$AE75*(1+GM$3))/$AJ75,'Технический лист'!$M:$N,2,1),(GL75-0.05)))</f>
        <v>0</v>
      </c>
      <c r="GN75" s="15">
        <f>MIN(1,MAX(VLOOKUP(($AJ75-$AI75-$AH75-$AG75-$AF75-$AE75*(1+GN$3))/$AJ75,'Технический лист'!$M:$N,2,1),(GM75-0.05)))</f>
        <v>0</v>
      </c>
      <c r="GO75" s="15">
        <f>MIN(1,MAX(VLOOKUP(($AJ75-$AI75-$AH75-$AG75-$AF75-$AE75*(1+GO$3))/$AJ75,'Технический лист'!$M:$N,2,1),(GN75-0.05)))</f>
        <v>0</v>
      </c>
      <c r="GP75" s="15">
        <f>MIN(1,MAX(VLOOKUP(($AJ75-$AI75-$AH75-$AG75-$AF75-$AE75*(1+GP$3))/$AJ75,'Технический лист'!$M:$N,2,1),(GO75-0.05)))</f>
        <v>0</v>
      </c>
      <c r="GQ75" s="15">
        <f>MIN(1,MAX(VLOOKUP(($AJ75-$AI75-$AH75-$AG75-$AF75-$AE75*(1+GQ$3))/$AJ75,'Технический лист'!$M:$N,2,1),(GP75-0.05)))</f>
        <v>0</v>
      </c>
      <c r="GR75" s="15">
        <f>MIN(1,MAX(VLOOKUP(($AJ75-$AI75-$AH75-$AG75-$AF75-$AE75*(1+GR$3))/$AJ75,'Технический лист'!$M:$N,2,1),(GQ75-0.05)))</f>
        <v>0</v>
      </c>
      <c r="GS75" s="15">
        <f>MIN(1,MAX(VLOOKUP(($AJ75-$AI75-$AH75-$AG75-$AF75-$AE75*(1+GS$3))/$AJ75,'Технический лист'!$M:$N,2,1),(GR75-0.05)))</f>
        <v>0</v>
      </c>
      <c r="GT75" s="15">
        <f>MIN(1,MAX(VLOOKUP(($AJ75-$AI75-$AH75-$AG75-$AF75-$AE75*(1+GT$3))/$AJ75,'Технический лист'!$M:$N,2,1),(GS75-0.05)))</f>
        <v>0</v>
      </c>
      <c r="GU75" s="15">
        <f>MIN(1,MAX(VLOOKUP(($AJ75-$AI75-$AH75-$AG75-$AF75-$AE75*(1+GU$3))/$AJ75,'Технический лист'!$M:$N,2,1),(GT75-0.05)))</f>
        <v>0</v>
      </c>
      <c r="GV75" s="15">
        <f>MIN(1,MAX(VLOOKUP(($AJ75-$AI75-$AH75-$AG75-$AF75-$AE75*(1+GV$3))/$AJ75,'Технический лист'!$M:$N,2,1),(GU75-0.05)))</f>
        <v>0</v>
      </c>
      <c r="GW75" s="15">
        <f>MIN(1,MAX(VLOOKUP(($AJ75-$AI75-$AH75-$AG75-$AF75-$AE75*(1+GW$3))/$AJ75,'Технический лист'!$M:$N,2,1),(GV75-0.05)))</f>
        <v>0</v>
      </c>
      <c r="GX75" s="15">
        <f>MIN(1,MAX(VLOOKUP(($AJ75-$AI75-$AH75-$AG75-$AF75-$AE75*(1+GX$3))/$AJ75,'Технический лист'!$M:$N,2,1),(GW75-0.05)))</f>
        <v>0</v>
      </c>
      <c r="GY75" s="15">
        <f>MIN(1,MAX(VLOOKUP(($AJ75-$AI75-$AH75-$AG75-$AF75-$AE75*(1+GY$3))/$AJ75,'Технический лист'!$M:$N,2,1),(GX75-0.05)))</f>
        <v>0</v>
      </c>
      <c r="GZ75" s="15">
        <f>MIN(1,MAX(VLOOKUP(($AJ75-$AI75-$AH75-$AG75-$AF75-$AE75*(1+GZ$3))/$AJ75,'Технический лист'!$M:$N,2,1),(GY75-0.05)))</f>
        <v>0</v>
      </c>
      <c r="HA75" s="15">
        <f>MIN(1,MAX(VLOOKUP(($AJ75-$AI75-$AH75-$AG75-$AF75-$AE75*(1+HA$3))/$AJ75,'Технический лист'!$M:$N,2,1),(GZ75-0.05)))</f>
        <v>0</v>
      </c>
      <c r="HB75" s="15">
        <f>MIN(1,MAX(VLOOKUP(($AJ75-$AI75-$AH75-$AG75-$AF75-$AE75*(1+HB$3))/$AJ75,'Технический лист'!$M:$N,2,1),(HA75-0.05)))</f>
        <v>0</v>
      </c>
      <c r="HC75" s="15">
        <f>MIN(1,MAX(VLOOKUP(($AJ75-$AI75-$AH75-$AG75-$AF75-$AE75*(1+HC$3))/$AJ75,'Технический лист'!$M:$N,2,1),(HB75-0.05)))</f>
        <v>0</v>
      </c>
      <c r="HD75" s="15">
        <f>MIN(1,MAX(VLOOKUP(($AJ75-$AI75-$AH75-$AG75-$AF75-$AE75*(1+HD$3))/$AJ75,'Технический лист'!$M:$N,2,1),(HC75-0.05)))</f>
        <v>0</v>
      </c>
      <c r="HE75" s="15">
        <f>MIN(1,MAX(VLOOKUP(($AJ75-$AI75-$AH75-$AG75-$AF75-$AE75*(1+HE$3))/$AJ75,'Технический лист'!$M:$N,2,1),(HD75-0.05)))</f>
        <v>0</v>
      </c>
      <c r="HF75" s="15">
        <f>MIN(1,MAX(VLOOKUP(($AJ75-$AI75-$AH75-$AG75-$AF75-$AE75*(1+HF$3))/$AJ75,'Технический лист'!$M:$N,2,1),(HE75-0.05)))</f>
        <v>0</v>
      </c>
      <c r="HG75" s="15">
        <f>MIN(1,MAX(VLOOKUP(($AJ75-$AI75-$AH75-$AG75-$AF75-$AE75*(1+HG$3))/$AJ75,'Технический лист'!$M:$N,2,1),(HF75-0.05)))</f>
        <v>0</v>
      </c>
      <c r="HH75" s="15">
        <f>MIN(1,MAX(VLOOKUP(($AJ75-$AI75-$AH75-$AG75-$AF75-$AE75*(1+HH$3))/$AJ75,'Технический лист'!$M:$N,2,1),(HG75-0.05)))</f>
        <v>0</v>
      </c>
      <c r="HI75" s="15">
        <f>MIN(1,MAX(VLOOKUP(($AJ75-$AI75-$AH75-$AG75-$AF75-$AE75*(1+HI$3))/$AJ75,'Технический лист'!$M:$N,2,1),(HH75-0.05)))</f>
        <v>0</v>
      </c>
      <c r="HJ75" s="15">
        <f>MIN(1,MAX(VLOOKUP(($AJ75-$AI75-$AH75-$AG75-$AF75-$AE75*(1+HJ$3))/$AJ75,'Технический лист'!$M:$N,2,1),(HI75-0.05)))</f>
        <v>0</v>
      </c>
      <c r="HK75" s="15">
        <f>MIN(1,MAX(VLOOKUP(($AJ75-$AI75-$AH75-$AG75-$AF75-$AE75*(1+HK$3))/$AJ75,'Технический лист'!$M:$N,2,1),(HJ75-0.05)))</f>
        <v>0</v>
      </c>
      <c r="HL75" s="15">
        <f>MIN(1,MAX(VLOOKUP(($AJ75-$AI75-$AH75-$AG75-$AF75-$AE75*(1+HL$3))/$AJ75,'Технический лист'!$M:$N,2,1),(HK75-0.05)))</f>
        <v>0</v>
      </c>
      <c r="HM75" s="15">
        <f>MIN(1,MAX(VLOOKUP(($AJ75-$AI75-$AH75-$AG75-$AF75-$AE75*(1+HM$3))/$AJ75,'Технический лист'!$M:$N,2,1),(HL75-0.05)))</f>
        <v>0</v>
      </c>
      <c r="HN75" s="15">
        <f>MIN(1,MAX(VLOOKUP(($AJ75-$AI75-$AH75-$AG75-$AF75-$AE75*(1+HN$3))/$AJ75,'Технический лист'!$M:$N,2,1),(HM75-0.05)))</f>
        <v>0</v>
      </c>
      <c r="HO75" s="15">
        <f>MIN(1,MAX(VLOOKUP(($AJ75-$AI75-$AH75-$AG75-$AF75-$AE75*(1+HO$3))/$AJ75,'Технический лист'!$M:$N,2,1),(HN75-0.05)))</f>
        <v>0</v>
      </c>
      <c r="HP75" s="15">
        <f>MIN(1,MAX(VLOOKUP(($AJ75-$AI75-$AH75-$AG75-$AF75-$AE75*(1+HP$3))/$AJ75,'Технический лист'!$M:$N,2,1),(HO75-0.05)))</f>
        <v>0</v>
      </c>
      <c r="HQ75" s="15">
        <f>MIN(1,MAX(VLOOKUP(($AJ75-$AI75-$AH75-$AG75-$AF75-$AE75*(1+HQ$3))/$AJ75,'Технический лист'!$M:$N,2,1),(HP75-0.05)))</f>
        <v>0</v>
      </c>
      <c r="HR75" s="15">
        <f>MIN(1,MAX(VLOOKUP(($AJ75-$AI75-$AH75-$AG75-$AF75-$AE75*(1+HR$3))/$AJ75,'Технический лист'!$M:$N,2,1),(HQ75-0.05)))</f>
        <v>0</v>
      </c>
      <c r="HS75" s="15">
        <f>MIN(1,MAX(VLOOKUP(($AJ75-$AI75-$AH75-$AG75-$AF75-$AE75*(1+HS$3))/$AJ75,'Технический лист'!$M:$N,2,1),(HR75-0.05)))</f>
        <v>0</v>
      </c>
      <c r="HT75" s="15">
        <f>MIN(1,MAX(VLOOKUP(($AJ75-$AI75-$AH75-$AG75-$AF75-$AE75*(1+HT$3))/$AJ75,'Технический лист'!$M:$N,2,1),(HS75-0.05)))</f>
        <v>0</v>
      </c>
      <c r="HU75" s="15">
        <f>MIN(1,MAX(VLOOKUP(($AJ75-$AI75-$AH75-$AG75-$AF75-$AE75*(1+HU$3))/$AJ75,'Технический лист'!$M:$N,2,1),(HT75-0.05)))</f>
        <v>0</v>
      </c>
      <c r="HV75" s="15">
        <f>MIN(1,MAX(VLOOKUP(($AJ75-$AI75-$AH75-$AG75-$AF75-$AE75*(1+HV$3))/$AJ75,'Технический лист'!$M:$N,2,1),(HU75-0.05)))</f>
        <v>0</v>
      </c>
      <c r="HW75" s="15">
        <f>MIN(1,MAX(VLOOKUP(($AJ75-$AI75-$AH75-$AG75-$AF75-$AE75*(1+HW$3))/$AJ75,'Технический лист'!$M:$N,2,1),(HV75-0.05)))</f>
        <v>0</v>
      </c>
      <c r="HX75" s="15">
        <f>MIN(1,MAX(VLOOKUP(($AJ75-$AI75-$AH75-$AG75-$AF75-$AE75*(1+HX$3))/$AJ75,'Технический лист'!$M:$N,2,1),(HW75-0.05)))</f>
        <v>0</v>
      </c>
      <c r="HY75" s="15">
        <f>MIN(1,MAX(VLOOKUP(($AJ75-$AI75-$AH75-$AG75-$AF75-$AE75*(1+HY$3))/$AJ75,'Технический лист'!$M:$N,2,1),(HX75-0.05)))</f>
        <v>0</v>
      </c>
      <c r="HZ75" s="15">
        <f>MIN(1,MAX(VLOOKUP(($AJ75-$AI75-$AH75-$AG75-$AF75-$AE75*(1+HZ$3))/$AJ75,'Технический лист'!$M:$N,2,1),(HY75-0.05)))</f>
        <v>0</v>
      </c>
      <c r="IA75" s="15">
        <f>MIN(1,MAX(VLOOKUP(($AJ75-$AI75-$AH75-$AG75-$AF75-$AE75*(1+IA$3))/$AJ75,'Технический лист'!$M:$N,2,1),(HZ75-0.05)))</f>
        <v>0</v>
      </c>
      <c r="IB75" s="15">
        <f>MIN(1,MAX(VLOOKUP(($AJ75-$AI75-$AH75-$AG75-$AF75-$AE75*(1+IB$3))/$AJ75,'Технический лист'!$M:$N,2,1),(IA75-0.05)))</f>
        <v>0</v>
      </c>
      <c r="IC75" s="15">
        <f>MIN(1,MAX(VLOOKUP(($AJ75-$AI75-$AH75-$AG75-$AF75-$AE75*(1+IC$3))/$AJ75,'Технический лист'!$M:$N,2,1),(IB75-0.05)))</f>
        <v>0</v>
      </c>
      <c r="ID75" s="15">
        <f>MIN(1,MAX(VLOOKUP(($AJ75-$AI75-$AH75-$AG75-$AF75-$AE75*(1+ID$3))/$AJ75,'Технический лист'!$M:$N,2,1),(IC75-0.05)))</f>
        <v>0</v>
      </c>
      <c r="IE75" s="15">
        <f>MIN(1,MAX(VLOOKUP(($AJ75-$AI75-$AH75-$AG75-$AF75-$AE75*(1+IE$3))/$AJ75,'Технический лист'!$M:$N,2,1),(ID75-0.05)))</f>
        <v>0</v>
      </c>
      <c r="IF75" s="15">
        <f>MIN(1,MAX(VLOOKUP(($AJ75-$AI75-$AH75-$AG75-$AF75-$AE75*(1+IF$3))/$AJ75,'Технический лист'!$M:$N,2,1),(IE75-0.05)))</f>
        <v>0</v>
      </c>
      <c r="IG75" s="15">
        <f>MIN(1,MAX(VLOOKUP(($AJ75-$AI75-$AH75-$AG75-$AF75-$AE75*(1+IG$3))/$AJ75,'Технический лист'!$M:$N,2,1),(IF75-0.05)))</f>
        <v>0</v>
      </c>
      <c r="IH75" s="15">
        <f>MIN(1,MAX(VLOOKUP(($AJ75-$AI75-$AH75-$AG75-$AF75-$AE75*(1+IH$3))/$AJ75,'Технический лист'!$M:$N,2,1),(IG75-0.05)))</f>
        <v>0</v>
      </c>
      <c r="II75" s="15">
        <f>MIN(1,MAX(VLOOKUP(($AJ75-$AI75-$AH75-$AG75-$AF75-$AE75*(1+II$3))/$AJ75,'Технический лист'!$M:$N,2,1),(IH75-0.05)))</f>
        <v>0</v>
      </c>
      <c r="IJ75" s="15">
        <f>MIN(1,MAX(VLOOKUP(($AJ75-$AI75-$AH75-$AG75-$AF75-$AE75*(1+IJ$3))/$AJ75,'Технический лист'!$M:$N,2,1),(II75-0.05)))</f>
        <v>0</v>
      </c>
      <c r="IK75" s="15">
        <f>MIN(1,MAX(VLOOKUP(($AJ75-$AI75-$AH75-$AG75-$AF75-$AE75*(1+IK$3))/$AJ75,'Технический лист'!$M:$N,2,1),(IJ75-0.05)))</f>
        <v>0</v>
      </c>
      <c r="IL75" s="15">
        <f>MIN(1,MAX(VLOOKUP(($AJ75-$AI75-$AH75-$AG75-$AF75-$AE75*(1+IL$3))/$AJ75,'Технический лист'!$M:$N,2,1),(IK75-0.05)))</f>
        <v>0</v>
      </c>
      <c r="IM75" s="15">
        <f>MIN(1,MAX(VLOOKUP(($AJ75-$AI75-$AH75-$AG75-$AF75-$AE75*(1+IM$3))/$AJ75,'Технический лист'!$M:$N,2,1),(IL75-0.05)))</f>
        <v>0</v>
      </c>
      <c r="IN75" s="15">
        <f>MIN(1,MAX(VLOOKUP(($AJ75-$AI75-$AH75-$AG75-$AF75-$AE75*(1+IN$3))/$AJ75,'Технический лист'!$M:$N,2,1),(IM75-0.05)))</f>
        <v>0</v>
      </c>
      <c r="IO75" s="15">
        <f>MIN(1,MAX(VLOOKUP(($AJ75-$AI75-$AH75-$AG75-$AF75-$AE75*(1+IO$3))/$AJ75,'Технический лист'!$M:$N,2,1),(IN75-0.05)))</f>
        <v>0</v>
      </c>
      <c r="IP75" s="15">
        <f>MIN(1,MAX(VLOOKUP(($AJ75-$AI75-$AH75-$AG75-$AF75-$AE75*(1+IP$3))/$AJ75,'Технический лист'!$M:$N,2,1),(IO75-0.05)))</f>
        <v>0</v>
      </c>
      <c r="IQ75" s="15">
        <f>MIN(1,MAX(VLOOKUP(($AJ75-$AI75-$AH75-$AG75-$AF75-$AE75*(1+IQ$3))/$AJ75,'Технический лист'!$M:$N,2,1),(IP75-0.05)))</f>
        <v>0</v>
      </c>
      <c r="IR75" s="15">
        <f>MIN(1,MAX(VLOOKUP(($AJ75-$AI75-$AH75-$AG75-$AF75-$AE75*(1+IR$3))/$AJ75,'Технический лист'!$M:$N,2,1),(IQ75-0.05)))</f>
        <v>0</v>
      </c>
    </row>
    <row r="76" spans="1:252" s="4" customFormat="1" ht="29.15">
      <c r="A76" s="89" t="s">
        <v>512</v>
      </c>
      <c r="B76" s="76">
        <v>4</v>
      </c>
      <c r="C76" s="3" t="s">
        <v>67</v>
      </c>
      <c r="D76" s="77">
        <v>15119</v>
      </c>
      <c r="E76" s="77" t="s">
        <v>396</v>
      </c>
      <c r="F76" s="77" t="s">
        <v>390</v>
      </c>
      <c r="G76" s="77" t="s">
        <v>20</v>
      </c>
      <c r="H76" s="77" t="s">
        <v>20</v>
      </c>
      <c r="I76" s="77" t="s">
        <v>370</v>
      </c>
      <c r="J76" s="77" t="s">
        <v>158</v>
      </c>
      <c r="K76" s="77">
        <v>1593</v>
      </c>
      <c r="L76" s="77" t="s">
        <v>189</v>
      </c>
      <c r="M76" s="77" t="s">
        <v>17</v>
      </c>
      <c r="N76" s="77" t="s">
        <v>48</v>
      </c>
      <c r="O76" s="77" t="s">
        <v>193</v>
      </c>
      <c r="P76" s="79" t="s">
        <v>223</v>
      </c>
      <c r="Q76" s="77" t="s">
        <v>263</v>
      </c>
      <c r="R76" s="77" t="s">
        <v>263</v>
      </c>
      <c r="S76" s="80">
        <v>51179</v>
      </c>
      <c r="T76" s="80">
        <v>81527965</v>
      </c>
      <c r="U76" s="81">
        <v>1000</v>
      </c>
      <c r="V76" s="81">
        <v>0</v>
      </c>
      <c r="W76" s="82">
        <v>47167864</v>
      </c>
      <c r="X76" s="112">
        <v>52</v>
      </c>
      <c r="Y76" s="112" t="s">
        <v>449</v>
      </c>
      <c r="Z76" s="113">
        <v>6</v>
      </c>
      <c r="AA76" s="113">
        <v>0</v>
      </c>
      <c r="AB76" s="113">
        <v>4</v>
      </c>
      <c r="AC76" s="99">
        <f>74412/X76</f>
        <v>1431</v>
      </c>
      <c r="AD76" s="99">
        <v>0</v>
      </c>
      <c r="AE76" s="99">
        <f>AC76</f>
        <v>1431</v>
      </c>
      <c r="AF76" s="98">
        <f>(AB76+AA76+Z76)*'Ставки аренды'!$B$6/X76</f>
        <v>307.69230769230768</v>
      </c>
      <c r="AG76" s="114">
        <f>'Ставки перевалки'!$B$16*2/X76</f>
        <v>865.38461538461536</v>
      </c>
      <c r="AH76" s="94">
        <v>0</v>
      </c>
      <c r="AI76" s="115">
        <f>575152/1082467*AJ76</f>
        <v>729787.32547782047</v>
      </c>
      <c r="AJ76" s="117">
        <f>Цены!C34*'Курсы валют'!B2</f>
        <v>1373499</v>
      </c>
      <c r="AK76" s="94">
        <f>AJ76/Цены!$B$1</f>
        <v>18000</v>
      </c>
      <c r="AL76" s="95">
        <f t="shared" si="24"/>
        <v>2604.0769230769229</v>
      </c>
      <c r="AM76" s="95">
        <f t="shared" si="25"/>
        <v>1370894.923076923</v>
      </c>
      <c r="AN76" s="94">
        <f t="shared" si="22"/>
        <v>732391.40240089735</v>
      </c>
      <c r="AO76" s="118">
        <f t="shared" si="23"/>
        <v>0.46676961366488262</v>
      </c>
      <c r="AP76" s="96">
        <f t="shared" si="26"/>
        <v>1.8959438070773424E-3</v>
      </c>
      <c r="AQ76" s="96">
        <f t="shared" si="27"/>
        <v>1.041864610021558E-3</v>
      </c>
      <c r="AR76" s="96">
        <f t="shared" si="28"/>
        <v>0.5495229374058429</v>
      </c>
      <c r="AS76" s="122">
        <v>1</v>
      </c>
      <c r="AT76" s="121">
        <f t="shared" si="29"/>
        <v>51179</v>
      </c>
      <c r="AU76" s="83">
        <v>0.9</v>
      </c>
      <c r="AV76" s="119">
        <f t="shared" si="30"/>
        <v>0.46664458991168001</v>
      </c>
      <c r="AW76" s="120">
        <f t="shared" si="31"/>
        <v>2.0209675602799295E-3</v>
      </c>
      <c r="AX76" s="120">
        <f t="shared" si="32"/>
        <v>1.1668883632241452E-3</v>
      </c>
      <c r="AY76" s="120">
        <f t="shared" si="33"/>
        <v>0.57739094192215357</v>
      </c>
      <c r="AZ76" s="15">
        <f>MIN(IF($AU76=100%,1,1+VLOOKUP(($AJ76-$AI76-$AH76-$AG76-$AF76-$AE76*(1+AZ$3))/$AJ76,'Технический лист'!$M:$N,2,1)-VLOOKUP($AO76,'Технический лист'!$M:$N,2,1)),1+(1-$AU76))</f>
        <v>0.99999999999999978</v>
      </c>
      <c r="BA76" s="15">
        <f>MIN(IF($AU76=100%,1,1+VLOOKUP(($AJ76-$AI76-$AH76-$AG76-$AF76-$AE76*(1+BA$3))/$AJ76,'Технический лист'!$M:$N,2,1)-VLOOKUP($AO76,'Технический лист'!$M:$N,2,1)),1+(1-$AU76))</f>
        <v>0.99999999999999978</v>
      </c>
      <c r="BB76" s="15">
        <f>MIN(IF($AU76=100%,1,1+VLOOKUP(($AJ76-$AI76-$AH76-$AG76-$AF76-$AE76*(1+BB$3))/$AJ76,'Технический лист'!$M:$N,2,1)-VLOOKUP($AO76,'Технический лист'!$M:$N,2,1)),1+(1-$AU76))</f>
        <v>0.99999999999999978</v>
      </c>
      <c r="BC76" s="15">
        <f>MIN(IF($AU76=100%,1,1+VLOOKUP(($AJ76-$AI76-$AH76-$AG76-$AF76-$AE76*(1+BC$3))/$AJ76,'Технический лист'!$M:$N,2,1)-VLOOKUP($AO76,'Технический лист'!$M:$N,2,1)),1+(1-$AU76))</f>
        <v>0.99999999999999978</v>
      </c>
      <c r="BD76" s="15">
        <f>MIN(IF($AU76=100%,1,1+VLOOKUP(($AJ76-$AI76-$AH76-$AG76-$AF76-$AE76*(1+BD$3))/$AJ76,'Технический лист'!$M:$N,2,1)-VLOOKUP($AO76,'Технический лист'!$M:$N,2,1)),1+(1-$AU76))</f>
        <v>0.99999999999999978</v>
      </c>
      <c r="BE76" s="15">
        <f>MIN(IF($AU76=100%,1,1+VLOOKUP(($AJ76-$AI76-$AH76-$AG76-$AF76-$AE76*(1+BE$3))/$AJ76,'Технический лист'!$M:$N,2,1)-VLOOKUP($AO76,'Технический лист'!$M:$N,2,1)),1+(1-$AU76))</f>
        <v>0.99999999999999978</v>
      </c>
      <c r="BF76" s="15">
        <f>MIN(IF($AU76=100%,1,1+VLOOKUP(($AJ76-$AI76-$AH76-$AG76-$AF76-$AE76*(1+BF$3))/$AJ76,'Технический лист'!$M:$N,2,1)-VLOOKUP($AO76,'Технический лист'!$M:$N,2,1)),1+(1-$AU76))</f>
        <v>0.99999999999999978</v>
      </c>
      <c r="BG76" s="15">
        <f>MIN(IF($AU76=100%,1,1+VLOOKUP(($AJ76-$AI76-$AH76-$AG76-$AF76-$AE76*(1+BG$3))/$AJ76,'Технический лист'!$M:$N,2,1)-VLOOKUP($AO76,'Технический лист'!$M:$N,2,1)),1+(1-$AU76))</f>
        <v>0.99999999999999978</v>
      </c>
      <c r="BH76" s="15">
        <f>MIN(IF($AU76=100%,1,1+VLOOKUP(($AJ76-$AI76-$AH76-$AG76-$AF76-$AE76*(1+BH$3))/$AJ76,'Технический лист'!$M:$N,2,1)-VLOOKUP($AO76,'Технический лист'!$M:$N,2,1)),1+(1-$AU76))</f>
        <v>0.99999999999999978</v>
      </c>
      <c r="BI76" s="15">
        <f>MIN(IF($AU76=100%,1,1+VLOOKUP(($AJ76-$AI76-$AH76-$AG76-$AF76-$AE76*(1+BI$3))/$AJ76,'Технический лист'!$M:$N,2,1)-VLOOKUP($AO76,'Технический лист'!$M:$N,2,1)),1+(1-$AU76))</f>
        <v>0.99999999999999978</v>
      </c>
      <c r="BJ76" s="15">
        <f>MIN(IF($AU76=100%,1,1+VLOOKUP(($AJ76-$AI76-$AH76-$AG76-$AF76-$AE76*(1+BJ$3))/$AJ76,'Технический лист'!$M:$N,2,1)-VLOOKUP($AO76,'Технический лист'!$M:$N,2,1)),1+(1-$AU76))</f>
        <v>0.99999999999999978</v>
      </c>
      <c r="BK76" s="15">
        <f>MIN(IF($AU76=100%,1,1+VLOOKUP(($AJ76-$AI76-$AH76-$AG76-$AF76-$AE76*(1+BK$3))/$AJ76,'Технический лист'!$M:$N,2,1)-VLOOKUP($AO76,'Технический лист'!$M:$N,2,1)),1+(1-$AU76))</f>
        <v>0.99999999999999978</v>
      </c>
      <c r="BL76" s="15">
        <f>MIN(IF($AU76=100%,1,1+VLOOKUP(($AJ76-$AI76-$AH76-$AG76-$AF76-$AE76*(1+BL$3))/$AJ76,'Технический лист'!$M:$N,2,1)-VLOOKUP($AO76,'Технический лист'!$M:$N,2,1)),1+(1-$AU76))</f>
        <v>0.99999999999999978</v>
      </c>
      <c r="BM76" s="15">
        <f>MIN(IF($AU76=100%,1,1+VLOOKUP(($AJ76-$AI76-$AH76-$AG76-$AF76-$AE76*(1+BM$3))/$AJ76,'Технический лист'!$M:$N,2,1)-VLOOKUP($AO76,'Технический лист'!$M:$N,2,1)),1+(1-$AU76))</f>
        <v>0.99999999999999978</v>
      </c>
      <c r="BN76" s="15">
        <f>MIN(IF($AU76=100%,1,1+VLOOKUP(($AJ76-$AI76-$AH76-$AG76-$AF76-$AE76*(1+BN$3))/$AJ76,'Технический лист'!$M:$N,2,1)-VLOOKUP($AO76,'Технический лист'!$M:$N,2,1)),1+(1-$AU76))</f>
        <v>0.99999999999999978</v>
      </c>
      <c r="BO76" s="15">
        <f>MIN(IF($AU76=100%,1,1+VLOOKUP(($AJ76-$AI76-$AH76-$AG76-$AF76-$AE76*(1+BO$3))/$AJ76,'Технический лист'!$M:$N,2,1)-VLOOKUP($AO76,'Технический лист'!$M:$N,2,1)),1+(1-$AU76))</f>
        <v>0.99999999999999978</v>
      </c>
      <c r="BP76" s="15">
        <f>MIN(IF($AU76=100%,1,1+VLOOKUP(($AJ76-$AI76-$AH76-$AG76-$AF76-$AE76*(1+BP$3))/$AJ76,'Технический лист'!$M:$N,2,1)-VLOOKUP($AO76,'Технический лист'!$M:$N,2,1)),1+(1-$AU76))</f>
        <v>0.99999999999999978</v>
      </c>
      <c r="BQ76" s="15">
        <f>MIN(IF($AU76=100%,1,1+VLOOKUP(($AJ76-$AI76-$AH76-$AG76-$AF76-$AE76*(1+BQ$3))/$AJ76,'Технический лист'!$M:$N,2,1)-VLOOKUP($AO76,'Технический лист'!$M:$N,2,1)),1+(1-$AU76))</f>
        <v>0.99999999999999978</v>
      </c>
      <c r="BR76" s="15">
        <f>MIN(IF($AU76=100%,1,1+VLOOKUP(($AJ76-$AI76-$AH76-$AG76-$AF76-$AE76*(1+BR$3))/$AJ76,'Технический лист'!$M:$N,2,1)-VLOOKUP($AO76,'Технический лист'!$M:$N,2,1)),1+(1-$AU76))</f>
        <v>0.99999999999999978</v>
      </c>
      <c r="BS76" s="15">
        <f>MIN(IF($AU76=100%,1,1+VLOOKUP(($AJ76-$AI76-$AH76-$AG76-$AF76-$AE76*(1+BS$3))/$AJ76,'Технический лист'!$M:$N,2,1)-VLOOKUP($AO76,'Технический лист'!$M:$N,2,1)),1+(1-$AU76))</f>
        <v>0.99999999999999978</v>
      </c>
      <c r="BT76" s="15">
        <f>MIN(IF($AU76=100%,1,1+VLOOKUP(($AJ76-$AI76-$AH76-$AG76-$AF76-$AE76*(1+BT$3))/$AJ76,'Технический лист'!$M:$N,2,1)-VLOOKUP($AO76,'Технический лист'!$M:$N,2,1)),1+(1-$AU76))</f>
        <v>0.99999999999999978</v>
      </c>
      <c r="BU76" s="15">
        <f>MIN(IF($AU76=100%,1,1+VLOOKUP(($AJ76-$AI76-$AH76-$AG76-$AF76-$AE76*(1+BU$3))/$AJ76,'Технический лист'!$M:$N,2,1)-VLOOKUP($AO76,'Технический лист'!$M:$N,2,1)),1+(1-$AU76))</f>
        <v>0.99999999999999978</v>
      </c>
      <c r="BV76" s="15">
        <f>MIN(IF($AU76=100%,1,1+VLOOKUP(($AJ76-$AI76-$AH76-$AG76-$AF76-$AE76*(1+BV$3))/$AJ76,'Технический лист'!$M:$N,2,1)-VLOOKUP($AO76,'Технический лист'!$M:$N,2,1)),1+(1-$AU76))</f>
        <v>0.99999999999999978</v>
      </c>
      <c r="BW76" s="15">
        <f>MIN(IF($AU76=100%,1,1+VLOOKUP(($AJ76-$AI76-$AH76-$AG76-$AF76-$AE76*(1+BW$3))/$AJ76,'Технический лист'!$M:$N,2,1)-VLOOKUP($AO76,'Технический лист'!$M:$N,2,1)),1+(1-$AU76))</f>
        <v>0.99999999999999978</v>
      </c>
      <c r="BX76" s="15">
        <f>MIN(IF($AU76=100%,1,1+VLOOKUP(($AJ76-$AI76-$AH76-$AG76-$AF76-$AE76*(1+BX$3))/$AJ76,'Технический лист'!$M:$N,2,1)-VLOOKUP($AO76,'Технический лист'!$M:$N,2,1)),1+(1-$AU76))</f>
        <v>0.99999999999999978</v>
      </c>
      <c r="BY76" s="15">
        <f>MIN(IF($AU76=100%,1,1+VLOOKUP(($AJ76-$AI76-$AH76-$AG76-$AF76-$AE76*(1+BY$3))/$AJ76,'Технический лист'!$M:$N,2,1)-VLOOKUP($AO76,'Технический лист'!$M:$N,2,1)),1+(1-$AU76))</f>
        <v>0.99999999999999978</v>
      </c>
      <c r="BZ76" s="15">
        <f>MIN(IF($AU76=100%,1,1+VLOOKUP(($AJ76-$AI76-$AH76-$AG76-$AF76-$AE76*(1+BZ$3))/$AJ76,'Технический лист'!$M:$N,2,1)-VLOOKUP($AO76,'Технический лист'!$M:$N,2,1)),1+(1-$AU76))</f>
        <v>0.99999999999999978</v>
      </c>
      <c r="CA76" s="15">
        <f>MIN(IF($AU76=100%,1,1+VLOOKUP(($AJ76-$AI76-$AH76-$AG76-$AF76-$AE76*(1+CA$3))/$AJ76,'Технический лист'!$M:$N,2,1)-VLOOKUP($AO76,'Технический лист'!$M:$N,2,1)),1+(1-$AU76))</f>
        <v>0.99999999999999978</v>
      </c>
      <c r="CB76" s="15">
        <f>MIN(IF($AU76=100%,1,1+VLOOKUP(($AJ76-$AI76-$AH76-$AG76-$AF76-$AE76*(1+CB$3))/$AJ76,'Технический лист'!$M:$N,2,1)-VLOOKUP($AO76,'Технический лист'!$M:$N,2,1)),1+(1-$AU76))</f>
        <v>0.99999999999999978</v>
      </c>
      <c r="CC76" s="15">
        <f>MIN(IF($AU76=100%,1,1+VLOOKUP(($AJ76-$AI76-$AH76-$AG76-$AF76-$AE76*(1+CC$3))/$AJ76,'Технический лист'!$M:$N,2,1)-VLOOKUP($AO76,'Технический лист'!$M:$N,2,1)),1+(1-$AU76))</f>
        <v>0.99999999999999978</v>
      </c>
      <c r="CD76" s="15">
        <f>MIN(IF($AU76=100%,1,1+VLOOKUP(($AJ76-$AI76-$AH76-$AG76-$AF76-$AE76*(1+CD$3))/$AJ76,'Технический лист'!$M:$N,2,1)-VLOOKUP($AO76,'Технический лист'!$M:$N,2,1)),1+(1-$AU76))</f>
        <v>0.99999999999999978</v>
      </c>
      <c r="CE76" s="15">
        <f>MIN(IF($AU76=100%,1,1+VLOOKUP(($AJ76-$AI76-$AH76-$AG76-$AF76-$AE76*(1+CE$3))/$AJ76,'Технический лист'!$M:$N,2,1)-VLOOKUP($AO76,'Технический лист'!$M:$N,2,1)),1+(1-$AU76))</f>
        <v>0.99999999999999978</v>
      </c>
      <c r="CF76" s="15">
        <f>MIN(IF($AU76=100%,1,1+VLOOKUP(($AJ76-$AI76-$AH76-$AG76-$AF76-$AE76*(1+CF$3))/$AJ76,'Технический лист'!$M:$N,2,1)-VLOOKUP($AO76,'Технический лист'!$M:$N,2,1)),1+(1-$AU76))</f>
        <v>0.99999999999999978</v>
      </c>
      <c r="CG76" s="15">
        <f>MIN(IF($AU76=100%,1,1+VLOOKUP(($AJ76-$AI76-$AH76-$AG76-$AF76-$AE76*(1+CG$3))/$AJ76,'Технический лист'!$M:$N,2,1)-VLOOKUP($AO76,'Технический лист'!$M:$N,2,1)),1+(1-$AU76))</f>
        <v>0.99999999999999978</v>
      </c>
      <c r="CH76" s="15">
        <f>MIN(IF($AU76=100%,1,1+VLOOKUP(($AJ76-$AI76-$AH76-$AG76-$AF76-$AE76*(1+CH$3))/$AJ76,'Технический лист'!$M:$N,2,1)-VLOOKUP($AO76,'Технический лист'!$M:$N,2,1)),1+(1-$AU76))</f>
        <v>0.99999999999999978</v>
      </c>
      <c r="CI76" s="15">
        <f>MIN(IF($AU76=100%,1,1+VLOOKUP(($AJ76-$AI76-$AH76-$AG76-$AF76-$AE76*(1+CI$3))/$AJ76,'Технический лист'!$M:$N,2,1)-VLOOKUP($AO76,'Технический лист'!$M:$N,2,1)),1+(1-$AU76))</f>
        <v>0.99999999999999978</v>
      </c>
      <c r="CJ76" s="15">
        <f>MIN(IF($AU76=100%,1,1+VLOOKUP(($AJ76-$AI76-$AH76-$AG76-$AF76-$AE76*(1+CJ$3))/$AJ76,'Технический лист'!$M:$N,2,1)-VLOOKUP($AO76,'Технический лист'!$M:$N,2,1)),1+(1-$AU76))</f>
        <v>0.99999999999999978</v>
      </c>
      <c r="CK76" s="15">
        <f>MIN(IF($AU76=100%,1,1+VLOOKUP(($AJ76-$AI76-$AH76-$AG76-$AF76-$AE76*(1+CK$3))/$AJ76,'Технический лист'!$M:$N,2,1)-VLOOKUP($AO76,'Технический лист'!$M:$N,2,1)),1+(1-$AU76))</f>
        <v>0.99999999999999978</v>
      </c>
      <c r="CL76" s="15">
        <f>MIN(IF($AU76=100%,1,1+VLOOKUP(($AJ76-$AI76-$AH76-$AG76-$AF76-$AE76*(1+CL$3))/$AJ76,'Технический лист'!$M:$N,2,1)-VLOOKUP($AO76,'Технический лист'!$M:$N,2,1)),1+(1-$AU76))</f>
        <v>0.99999999999999978</v>
      </c>
      <c r="CM76" s="15">
        <f>MIN(IF($AU76=100%,1,1+VLOOKUP(($AJ76-$AI76-$AH76-$AG76-$AF76-$AE76*(1+CM$3))/$AJ76,'Технический лист'!$M:$N,2,1)-VLOOKUP($AO76,'Технический лист'!$M:$N,2,1)),1+(1-$AU76))</f>
        <v>0.99999999999999978</v>
      </c>
      <c r="CN76" s="15">
        <f>MIN(IF($AU76=100%,1,1+VLOOKUP(($AJ76-$AI76-$AH76-$AG76-$AF76-$AE76*(1+CN$3))/$AJ76,'Технический лист'!$M:$N,2,1)-VLOOKUP($AO76,'Технический лист'!$M:$N,2,1)),1+(1-$AU76))</f>
        <v>0.99999999999999978</v>
      </c>
      <c r="CO76" s="15">
        <f>MIN(IF($AU76=100%,1,1+VLOOKUP(($AJ76-$AI76-$AH76-$AG76-$AF76-$AE76*(1+CO$3))/$AJ76,'Технический лист'!$M:$N,2,1)-VLOOKUP($AO76,'Технический лист'!$M:$N,2,1)),1+(1-$AU76))</f>
        <v>0.99999999999999978</v>
      </c>
      <c r="CP76" s="15">
        <f>MIN(IF($AU76=100%,1,1+VLOOKUP(($AJ76-$AI76-$AH76-$AG76-$AF76-$AE76*(1+CP$3))/$AJ76,'Технический лист'!$M:$N,2,1)-VLOOKUP($AO76,'Технический лист'!$M:$N,2,1)),1+(1-$AU76))</f>
        <v>0.99999999999999978</v>
      </c>
      <c r="CQ76" s="15">
        <f>MIN(IF($AU76=100%,1,1+VLOOKUP(($AJ76-$AI76-$AH76-$AG76-$AF76-$AE76*(1+CQ$3))/$AJ76,'Технический лист'!$M:$N,2,1)-VLOOKUP($AO76,'Технический лист'!$M:$N,2,1)),1+(1-$AU76))</f>
        <v>0.99999999999999978</v>
      </c>
      <c r="CR76" s="15">
        <f>MIN(IF($AU76=100%,1,1+VLOOKUP(($AJ76-$AI76-$AH76-$AG76-$AF76-$AE76*(1+CR$3))/$AJ76,'Технический лист'!$M:$N,2,1)-VLOOKUP($AO76,'Технический лист'!$M:$N,2,1)),1+(1-$AU76))</f>
        <v>0.99999999999999978</v>
      </c>
      <c r="CS76" s="15">
        <f>MIN(IF($AU76=100%,1,1+VLOOKUP(($AJ76-$AI76-$AH76-$AG76-$AF76-$AE76*(1+CS$3))/$AJ76,'Технический лист'!$M:$N,2,1)-VLOOKUP($AO76,'Технический лист'!$M:$N,2,1)),1+(1-$AU76))</f>
        <v>0.99999999999999978</v>
      </c>
      <c r="CT76" s="15">
        <f>MIN(IF($AU76=100%,1,1+VLOOKUP(($AJ76-$AI76-$AH76-$AG76-$AF76-$AE76*(1+CT$3))/$AJ76,'Технический лист'!$M:$N,2,1)-VLOOKUP($AO76,'Технический лист'!$M:$N,2,1)),1+(1-$AU76))</f>
        <v>0.99999999999999978</v>
      </c>
      <c r="CU76" s="15">
        <f>MIN(IF($AU76=100%,1,1+VLOOKUP(($AJ76-$AI76-$AH76-$AG76-$AF76-$AE76*(1+CU$3))/$AJ76,'Технический лист'!$M:$N,2,1)-VLOOKUP($AO76,'Технический лист'!$M:$N,2,1)),1+(1-$AU76))</f>
        <v>0.99999999999999978</v>
      </c>
      <c r="CV76" s="15">
        <f>MIN(IF($AU76=100%,1,1+VLOOKUP(($AJ76-$AI76-$AH76-$AG76-$AF76-$AE76*(1+CV$3))/$AJ76,'Технический лист'!$M:$N,2,1)-VLOOKUP($AO76,'Технический лист'!$M:$N,2,1)),1+(1-$AU76))</f>
        <v>0.99999999999999978</v>
      </c>
      <c r="CW76" s="15">
        <f>MIN(IF($AU76=100%,1,1+VLOOKUP(($AJ76-$AI76-$AH76-$AG76-$AF76-$AE76*(1+CW$3))/$AJ76,'Технический лист'!$M:$N,2,1)-VLOOKUP($AO76,'Технический лист'!$M:$N,2,1)),1+(1-$AU76))</f>
        <v>0.99999999999999978</v>
      </c>
      <c r="CX76" s="15">
        <f>MIN(IF($AU76=100%,1,1+VLOOKUP(($AJ76-$AI76-$AH76-$AG76-$AF76-$AE76*(1+CX$3))/$AJ76,'Технический лист'!$M:$N,2,1)-VLOOKUP($AO76,'Технический лист'!$M:$N,2,1)),1+(1-$AU76))</f>
        <v>0.99999999999999978</v>
      </c>
      <c r="CY76" s="15">
        <f>MIN(IF($AU76=100%,1,1+VLOOKUP(($AJ76-$AI76-$AH76-$AG76-$AF76-$AE76*(1+CY$3))/$AJ76,'Технический лист'!$M:$N,2,1)-VLOOKUP($AO76,'Технический лист'!$M:$N,2,1)),1+(1-$AU76))</f>
        <v>0.99999999999999978</v>
      </c>
      <c r="CZ76" s="15">
        <f>MIN(IF($AU76=100%,1,1+VLOOKUP(($AJ76-$AI76-$AH76-$AG76-$AF76-$AE76*(1+CZ$3))/$AJ76,'Технический лист'!$M:$N,2,1)-VLOOKUP($AO76,'Технический лист'!$M:$N,2,1)),1+(1-$AU76))</f>
        <v>0.99999999999999978</v>
      </c>
      <c r="DA76" s="15">
        <f>MIN(IF($AU76=100%,1,1+VLOOKUP(($AJ76-$AI76-$AH76-$AG76-$AF76-$AE76*(1+DA$3))/$AJ76,'Технический лист'!$M:$N,2,1)-VLOOKUP($AO76,'Технический лист'!$M:$N,2,1)),1+(1-$AU76))</f>
        <v>0.99999999999999978</v>
      </c>
      <c r="DB76" s="15">
        <f>MIN(IF($AU76=100%,1,1+VLOOKUP(($AJ76-$AI76-$AH76-$AG76-$AF76-$AE76*(1+DB$3))/$AJ76,'Технический лист'!$M:$N,2,1)-VLOOKUP($AO76,'Технический лист'!$M:$N,2,1)),1+(1-$AU76))</f>
        <v>0.99999999999999978</v>
      </c>
      <c r="DC76" s="15">
        <f>MIN(IF($AU76=100%,1,1+VLOOKUP(($AJ76-$AI76-$AH76-$AG76-$AF76-$AE76*(1+DC$3))/$AJ76,'Технический лист'!$M:$N,2,1)-VLOOKUP($AO76,'Технический лист'!$M:$N,2,1)),1+(1-$AU76))</f>
        <v>0.99999999999999978</v>
      </c>
      <c r="DD76" s="15">
        <f>MIN(IF($AU76=100%,1,1+VLOOKUP(($AJ76-$AI76-$AH76-$AG76-$AF76-$AE76*(1+DD$3))/$AJ76,'Технический лист'!$M:$N,2,1)-VLOOKUP($AO76,'Технический лист'!$M:$N,2,1)),1+(1-$AU76))</f>
        <v>0.99999999999999978</v>
      </c>
      <c r="DE76" s="15">
        <f>MIN(IF($AU76=100%,1,1+VLOOKUP(($AJ76-$AI76-$AH76-$AG76-$AF76-$AE76*(1+DE$3))/$AJ76,'Технический лист'!$M:$N,2,1)-VLOOKUP($AO76,'Технический лист'!$M:$N,2,1)),1+(1-$AU76))</f>
        <v>0.99999999999999978</v>
      </c>
      <c r="DF76" s="15">
        <f>MIN(IF($AU76=100%,1,1+VLOOKUP(($AJ76-$AI76-$AH76-$AG76-$AF76-$AE76*(1+DF$3))/$AJ76,'Технический лист'!$M:$N,2,1)-VLOOKUP($AO76,'Технический лист'!$M:$N,2,1)),1+(1-$AU76))</f>
        <v>0.99999999999999978</v>
      </c>
      <c r="DG76" s="15">
        <f>MIN(IF($AU76=100%,1,1+VLOOKUP(($AJ76-$AI76-$AH76-$AG76-$AF76-$AE76*(1+DG$3))/$AJ76,'Технический лист'!$M:$N,2,1)-VLOOKUP($AO76,'Технический лист'!$M:$N,2,1)),1+(1-$AU76))</f>
        <v>0.99999999999999978</v>
      </c>
      <c r="DH76" s="15">
        <f>MIN(IF($AU76=100%,1,1+VLOOKUP(($AJ76-$AI76-$AH76-$AG76-$AF76-$AE76*(1+DH$3))/$AJ76,'Технический лист'!$M:$N,2,1)-VLOOKUP($AO76,'Технический лист'!$M:$N,2,1)),1+(1-$AU76))</f>
        <v>0.99999999999999978</v>
      </c>
      <c r="DI76" s="15">
        <f>MIN(IF($AU76=100%,1,1+VLOOKUP(($AJ76-$AI76-$AH76-$AG76-$AF76-$AE76*(1+DI$3))/$AJ76,'Технический лист'!$M:$N,2,1)-VLOOKUP($AO76,'Технический лист'!$M:$N,2,1)),1+(1-$AU76))</f>
        <v>0.99999999999999978</v>
      </c>
      <c r="DJ76" s="15">
        <f>MIN(IF($AU76=100%,1,1+VLOOKUP(($AJ76-$AI76-$AH76-$AG76-$AF76-$AE76*(1+DJ$3))/$AJ76,'Технический лист'!$M:$N,2,1)-VLOOKUP($AO76,'Технический лист'!$M:$N,2,1)),1+(1-$AU76))</f>
        <v>0.99999999999999978</v>
      </c>
      <c r="DK76" s="15">
        <f>MIN(IF($AU76=100%,1,1+VLOOKUP(($AJ76-$AI76-$AH76-$AG76-$AF76-$AE76*(1+DK$3))/$AJ76,'Технический лист'!$M:$N,2,1)-VLOOKUP($AO76,'Технический лист'!$M:$N,2,1)),1+(1-$AU76))</f>
        <v>0.99999999999999978</v>
      </c>
      <c r="DL76" s="15">
        <f>MIN(IF($AU76=100%,1,1+VLOOKUP(($AJ76-$AI76-$AH76-$AG76-$AF76-$AE76*(1+DL$3))/$AJ76,'Технический лист'!$M:$N,2,1)-VLOOKUP($AO76,'Технический лист'!$M:$N,2,1)),1+(1-$AU76))</f>
        <v>0.99999999999999978</v>
      </c>
      <c r="DM76" s="15">
        <f>MIN(IF($AU76=100%,1,1+VLOOKUP(($AJ76-$AI76-$AH76-$AG76-$AF76-$AE76*(1+DM$3))/$AJ76,'Технический лист'!$M:$N,2,1)-VLOOKUP($AO76,'Технический лист'!$M:$N,2,1)),1+(1-$AU76))</f>
        <v>0.99999999999999978</v>
      </c>
      <c r="DN76" s="15">
        <f>MIN(IF($AU76=100%,1,1+VLOOKUP(($AJ76-$AI76-$AH76-$AG76-$AF76-$AE76*(1+DN$3))/$AJ76,'Технический лист'!$M:$N,2,1)-VLOOKUP($AO76,'Технический лист'!$M:$N,2,1)),1+(1-$AU76))</f>
        <v>0.99999999999999978</v>
      </c>
      <c r="DO76" s="15">
        <f>MIN(IF($AU76=100%,1,1+VLOOKUP(($AJ76-$AI76-$AH76-$AG76-$AF76-$AE76*(1+DO$3))/$AJ76,'Технический лист'!$M:$N,2,1)-VLOOKUP($AO76,'Технический лист'!$M:$N,2,1)),1+(1-$AU76))</f>
        <v>0.99999999999999978</v>
      </c>
      <c r="DP76" s="15">
        <f>MIN(IF($AU76=100%,1,1+VLOOKUP(($AJ76-$AI76-$AH76-$AG76-$AF76-$AE76*(1+DP$3))/$AJ76,'Технический лист'!$M:$N,2,1)-VLOOKUP($AO76,'Технический лист'!$M:$N,2,1)),1+(1-$AU76))</f>
        <v>0.99999999999999978</v>
      </c>
      <c r="DQ76" s="15">
        <f>MIN(IF($AU76=100%,1,1+VLOOKUP(($AJ76-$AI76-$AH76-$AG76-$AF76-$AE76*(1+DQ$3))/$AJ76,'Технический лист'!$M:$N,2,1)-VLOOKUP($AO76,'Технический лист'!$M:$N,2,1)),1+(1-$AU76))</f>
        <v>0.99999999999999978</v>
      </c>
      <c r="DR76" s="15">
        <f>MIN(IF($AU76=100%,1,1+VLOOKUP(($AJ76-$AI76-$AH76-$AG76-$AF76-$AE76*(1+DR$3))/$AJ76,'Технический лист'!$M:$N,2,1)-VLOOKUP($AO76,'Технический лист'!$M:$N,2,1)),1+(1-$AU76))</f>
        <v>0.99999999999999978</v>
      </c>
      <c r="DS76" s="15">
        <f>MIN(IF($AU76=100%,1,1+VLOOKUP(($AJ76-$AI76-$AH76-$AG76-$AF76-$AE76*(1+DS$3))/$AJ76,'Технический лист'!$M:$N,2,1)-VLOOKUP($AO76,'Технический лист'!$M:$N,2,1)),1+(1-$AU76))</f>
        <v>0.99999999999999978</v>
      </c>
      <c r="DT76" s="15">
        <f>MIN(IF($AU76=100%,1,1+VLOOKUP(($AJ76-$AI76-$AH76-$AG76-$AF76-$AE76*(1+DT$3))/$AJ76,'Технический лист'!$M:$N,2,1)-VLOOKUP($AO76,'Технический лист'!$M:$N,2,1)),1+(1-$AU76))</f>
        <v>0.99999999999999978</v>
      </c>
      <c r="DU76" s="15">
        <f>MIN(IF($AU76=100%,1,1+VLOOKUP(($AJ76-$AI76-$AH76-$AG76-$AF76-$AE76*(1+DU$3))/$AJ76,'Технический лист'!$M:$N,2,1)-VLOOKUP($AO76,'Технический лист'!$M:$N,2,1)),1+(1-$AU76))</f>
        <v>0.99999999999999978</v>
      </c>
      <c r="DV76" s="15">
        <f>MIN(IF($AU76=100%,1,1+VLOOKUP(($AJ76-$AI76-$AH76-$AG76-$AF76-$AE76*(1+DV$3))/$AJ76,'Технический лист'!$M:$N,2,1)-VLOOKUP($AO76,'Технический лист'!$M:$N,2,1)),1+(1-$AU76))</f>
        <v>0.99999999999999978</v>
      </c>
      <c r="DW76" s="15">
        <f>MIN(IF($AU76=100%,1,1+VLOOKUP(($AJ76-$AI76-$AH76-$AG76-$AF76-$AE76*(1+DW$3))/$AJ76,'Технический лист'!$M:$N,2,1)-VLOOKUP($AO76,'Технический лист'!$M:$N,2,1)),1+(1-$AU76))</f>
        <v>0.99999999999999978</v>
      </c>
      <c r="DX76" s="15">
        <f>MIN(IF($AU76=100%,1,1+VLOOKUP(($AJ76-$AI76-$AH76-$AG76-$AF76-$AE76*(1+DX$3))/$AJ76,'Технический лист'!$M:$N,2,1)-VLOOKUP($AO76,'Технический лист'!$M:$N,2,1)),1+(1-$AU76))</f>
        <v>0.99999999999999978</v>
      </c>
      <c r="DY76" s="15">
        <f>MIN(IF($AU76=100%,1,1+VLOOKUP(($AJ76-$AI76-$AH76-$AG76-$AF76-$AE76*(1+DY$3))/$AJ76,'Технический лист'!$M:$N,2,1)-VLOOKUP($AO76,'Технический лист'!$M:$N,2,1)),1+(1-$AU76))</f>
        <v>0.99999999999999978</v>
      </c>
      <c r="DZ76" s="15">
        <f>MIN(IF($AU76=100%,1,1+VLOOKUP(($AJ76-$AI76-$AH76-$AG76-$AF76-$AE76*(1+DZ$3))/$AJ76,'Технический лист'!$M:$N,2,1)-VLOOKUP($AO76,'Технический лист'!$M:$N,2,1)),1+(1-$AU76))</f>
        <v>0.99999999999999978</v>
      </c>
      <c r="EA76" s="15">
        <f>MIN(IF($AU76=100%,1,1+VLOOKUP(($AJ76-$AI76-$AH76-$AG76-$AF76-$AE76*(1+EA$3))/$AJ76,'Технический лист'!$M:$N,2,1)-VLOOKUP($AO76,'Технический лист'!$M:$N,2,1)),1+(1-$AU76))</f>
        <v>0.99999999999999978</v>
      </c>
      <c r="EB76" s="15">
        <f>MIN(IF($AU76=100%,1,1+VLOOKUP(($AJ76-$AI76-$AH76-$AG76-$AF76-$AE76*(1+EB$3))/$AJ76,'Технический лист'!$M:$N,2,1)-VLOOKUP($AO76,'Технический лист'!$M:$N,2,1)),1+(1-$AU76))</f>
        <v>0.99999999999999978</v>
      </c>
      <c r="EC76" s="15">
        <f>MIN(IF($AU76=100%,1,1+VLOOKUP(($AJ76-$AI76-$AH76-$AG76-$AF76-$AE76*(1+EC$3))/$AJ76,'Технический лист'!$M:$N,2,1)-VLOOKUP($AO76,'Технический лист'!$M:$N,2,1)),1+(1-$AU76))</f>
        <v>0.99999999999999978</v>
      </c>
      <c r="ED76" s="15">
        <f>MIN(IF($AU76=100%,1,1+VLOOKUP(($AJ76-$AI76-$AH76-$AG76-$AF76-$AE76*(1+ED$3))/$AJ76,'Технический лист'!$M:$N,2,1)-VLOOKUP($AO76,'Технический лист'!$M:$N,2,1)),1+(1-$AU76))</f>
        <v>0.99999999999999978</v>
      </c>
      <c r="EE76" s="15">
        <f>MIN(IF($AU76=100%,1,1+VLOOKUP(($AJ76-$AI76-$AH76-$AG76-$AF76-$AE76*(1+EE$3))/$AJ76,'Технический лист'!$M:$N,2,1)-VLOOKUP($AO76,'Технический лист'!$M:$N,2,1)),1+(1-$AU76))</f>
        <v>0.99999999999999978</v>
      </c>
      <c r="EF76" s="15">
        <f>MIN(IF($AU76=100%,1,1+VLOOKUP(($AJ76-$AI76-$AH76-$AG76-$AF76-$AE76*(1+EF$3))/$AJ76,'Технический лист'!$M:$N,2,1)-VLOOKUP($AO76,'Технический лист'!$M:$N,2,1)),1+(1-$AU76))</f>
        <v>0.99999999999999978</v>
      </c>
      <c r="EG76" s="15">
        <f>MIN(IF($AU76=100%,1,1+VLOOKUP(($AJ76-$AI76-$AH76-$AG76-$AF76-$AE76*(1+EG$3))/$AJ76,'Технический лист'!$M:$N,2,1)-VLOOKUP($AO76,'Технический лист'!$M:$N,2,1)),1+(1-$AU76))</f>
        <v>0.99999999999999978</v>
      </c>
      <c r="EH76" s="15">
        <f>MIN(IF($AU76=100%,1,1+VLOOKUP(($AJ76-$AI76-$AH76-$AG76-$AF76-$AE76*(1+EH$3))/$AJ76,'Технический лист'!$M:$N,2,1)-VLOOKUP($AO76,'Технический лист'!$M:$N,2,1)),1+(1-$AU76))</f>
        <v>0.99999999999999978</v>
      </c>
      <c r="EI76" s="15">
        <f>MIN(IF($AU76=100%,1,1+VLOOKUP(($AJ76-$AI76-$AH76-$AG76-$AF76-$AE76*(1+EI$3))/$AJ76,'Технический лист'!$M:$N,2,1)-VLOOKUP($AO76,'Технический лист'!$M:$N,2,1)),1+(1-$AU76))</f>
        <v>0.99999999999999978</v>
      </c>
      <c r="EJ76" s="15">
        <f>MIN(IF($AU76=100%,1,1+VLOOKUP(($AJ76-$AI76-$AH76-$AG76-$AF76-$AE76*(1+EJ$3))/$AJ76,'Технический лист'!$M:$N,2,1)-VLOOKUP($AO76,'Технический лист'!$M:$N,2,1)),1+(1-$AU76))</f>
        <v>0.99999999999999978</v>
      </c>
      <c r="EK76" s="15">
        <f>MIN(IF($AU76=100%,1,1+VLOOKUP(($AJ76-$AI76-$AH76-$AG76-$AF76-$AE76*(1+EK$3))/$AJ76,'Технический лист'!$M:$N,2,1)-VLOOKUP($AO76,'Технический лист'!$M:$N,2,1)),1+(1-$AU76))</f>
        <v>0.99999999999999978</v>
      </c>
      <c r="EL76" s="15">
        <f>MIN(IF($AU76=100%,1,1+VLOOKUP(($AJ76-$AI76-$AH76-$AG76-$AF76-$AE76*(1+EL$3))/$AJ76,'Технический лист'!$M:$N,2,1)-VLOOKUP($AO76,'Технический лист'!$M:$N,2,1)),1+(1-$AU76))</f>
        <v>0.99999999999999978</v>
      </c>
      <c r="EM76" s="15">
        <f>MIN(IF($AU76=100%,1,1+VLOOKUP(($AJ76-$AI76-$AH76-$AG76-$AF76-$AE76*(1+EM$3))/$AJ76,'Технический лист'!$M:$N,2,1)-VLOOKUP($AO76,'Технический лист'!$M:$N,2,1)),1+(1-$AU76))</f>
        <v>0.99999999999999978</v>
      </c>
      <c r="EN76" s="15">
        <f>MIN(IF($AU76=100%,1,1+VLOOKUP(($AJ76-$AI76-$AH76-$AG76-$AF76-$AE76*(1+EN$3))/$AJ76,'Технический лист'!$M:$N,2,1)-VLOOKUP($AO76,'Технический лист'!$M:$N,2,1)),1+(1-$AU76))</f>
        <v>0.99999999999999978</v>
      </c>
      <c r="EO76" s="15">
        <f>MIN(IF($AU76=100%,1,1+VLOOKUP(($AJ76-$AI76-$AH76-$AG76-$AF76-$AE76*(1+EO$3))/$AJ76,'Технический лист'!$M:$N,2,1)-VLOOKUP($AO76,'Технический лист'!$M:$N,2,1)),1+(1-$AU76))</f>
        <v>0.99999999999999978</v>
      </c>
      <c r="EP76" s="15">
        <f>MIN(IF($AU76=100%,1,1+VLOOKUP(($AJ76-$AI76-$AH76-$AG76-$AF76-$AE76*(1+EP$3))/$AJ76,'Технический лист'!$M:$N,2,1)-VLOOKUP($AO76,'Технический лист'!$M:$N,2,1)),1+(1-$AU76))</f>
        <v>0.99999999999999978</v>
      </c>
      <c r="EQ76" s="15">
        <f>MIN(IF($AU76=100%,1,1+VLOOKUP(($AJ76-$AI76-$AH76-$AG76-$AF76-$AE76*(1+EQ$3))/$AJ76,'Технический лист'!$M:$N,2,1)-VLOOKUP($AO76,'Технический лист'!$M:$N,2,1)),1+(1-$AU76))</f>
        <v>0.99999999999999978</v>
      </c>
      <c r="ER76" s="15">
        <f>MIN(IF($AU76=100%,1,1+VLOOKUP(($AJ76-$AI76-$AH76-$AG76-$AF76-$AE76*(1+ER$3))/$AJ76,'Технический лист'!$M:$N,2,1)-VLOOKUP($AO76,'Технический лист'!$M:$N,2,1)),1+(1-$AU76))</f>
        <v>0.99999999999999978</v>
      </c>
      <c r="ES76" s="15">
        <f>MIN(IF($AU76=100%,1,1+VLOOKUP(($AJ76-$AI76-$AH76-$AG76-$AF76-$AE76*(1+ES$3))/$AJ76,'Технический лист'!$M:$N,2,1)-VLOOKUP($AO76,'Технический лист'!$M:$N,2,1)),1+(1-$AU76))</f>
        <v>0.99999999999999978</v>
      </c>
      <c r="ET76" s="15">
        <f>MIN(IF($AU76=100%,1,1+VLOOKUP(($AJ76-$AI76-$AH76-$AG76-$AF76-$AE76*(1+ET$3))/$AJ76,'Технический лист'!$M:$N,2,1)-VLOOKUP($AO76,'Технический лист'!$M:$N,2,1)),1+(1-$AU76))</f>
        <v>0.99999999999999978</v>
      </c>
      <c r="EU76" s="15">
        <f>MIN(IF($AU76=100%,1,1+VLOOKUP(($AJ76-$AI76-$AH76-$AG76-$AF76-$AE76*(1+EU$3))/$AJ76,'Технический лист'!$M:$N,2,1)-VLOOKUP($AO76,'Технический лист'!$M:$N,2,1)),1+(1-$AU76))</f>
        <v>0.99999999999999978</v>
      </c>
      <c r="EV76" s="111">
        <v>1</v>
      </c>
      <c r="EW76" s="15">
        <f>MIN(1,MAX(VLOOKUP(($AJ76-$AI76-$AH76-$AG76-$AF76-$AE76*(1+EW$3))/$AJ76,'Технический лист'!$M:$N,2,1),(EV76-0.05)))</f>
        <v>1</v>
      </c>
      <c r="EX76" s="15">
        <f>MIN(1,MAX(VLOOKUP(($AJ76-$AI76-$AH76-$AG76-$AF76-$AE76*(1+EX$3))/$AJ76,'Технический лист'!$M:$N,2,1),(EW76-0.05)))</f>
        <v>1</v>
      </c>
      <c r="EY76" s="15">
        <f>MIN(1,MAX(VLOOKUP(($AJ76-$AI76-$AH76-$AG76-$AF76-$AE76*(1+EY$3))/$AJ76,'Технический лист'!$M:$N,2,1),(EX76-0.05)))</f>
        <v>1</v>
      </c>
      <c r="EZ76" s="15">
        <f>MIN(1,MAX(VLOOKUP(($AJ76-$AI76-$AH76-$AG76-$AF76-$AE76*(1+EZ$3))/$AJ76,'Технический лист'!$M:$N,2,1),(EY76-0.05)))</f>
        <v>1</v>
      </c>
      <c r="FA76" s="15">
        <f>MIN(1,MAX(VLOOKUP(($AJ76-$AI76-$AH76-$AG76-$AF76-$AE76*(1+FA$3))/$AJ76,'Технический лист'!$M:$N,2,1),(EZ76-0.05)))</f>
        <v>1</v>
      </c>
      <c r="FB76" s="15">
        <f>MIN(1,MAX(VLOOKUP(($AJ76-$AI76-$AH76-$AG76-$AF76-$AE76*(1+FB$3))/$AJ76,'Технический лист'!$M:$N,2,1),(FA76-0.05)))</f>
        <v>1</v>
      </c>
      <c r="FC76" s="15">
        <f>MIN(1,MAX(VLOOKUP(($AJ76-$AI76-$AH76-$AG76-$AF76-$AE76*(1+FC$3))/$AJ76,'Технический лист'!$M:$N,2,1),(FB76-0.05)))</f>
        <v>1</v>
      </c>
      <c r="FD76" s="15">
        <f>MIN(1,MAX(VLOOKUP(($AJ76-$AI76-$AH76-$AG76-$AF76-$AE76*(1+FD$3))/$AJ76,'Технический лист'!$M:$N,2,1),(FC76-0.05)))</f>
        <v>1</v>
      </c>
      <c r="FE76" s="15">
        <f>MIN(1,MAX(VLOOKUP(($AJ76-$AI76-$AH76-$AG76-$AF76-$AE76*(1+FE$3))/$AJ76,'Технический лист'!$M:$N,2,1),(FD76-0.05)))</f>
        <v>1</v>
      </c>
      <c r="FF76" s="15">
        <f>MIN(1,MAX(VLOOKUP(($AJ76-$AI76-$AH76-$AG76-$AF76-$AE76*(1+FF$3))/$AJ76,'Технический лист'!$M:$N,2,1),(FE76-0.05)))</f>
        <v>1</v>
      </c>
      <c r="FG76" s="15">
        <f>MIN(1,MAX(VLOOKUP(($AJ76-$AI76-$AH76-$AG76-$AF76-$AE76*(1+FG$3))/$AJ76,'Технический лист'!$M:$N,2,1),(FF76-0.05)))</f>
        <v>1</v>
      </c>
      <c r="FH76" s="15">
        <f>MIN(1,MAX(VLOOKUP(($AJ76-$AI76-$AH76-$AG76-$AF76-$AE76*(1+FH$3))/$AJ76,'Технический лист'!$M:$N,2,1),(FG76-0.05)))</f>
        <v>1</v>
      </c>
      <c r="FI76" s="15">
        <f>MIN(1,MAX(VLOOKUP(($AJ76-$AI76-$AH76-$AG76-$AF76-$AE76*(1+FI$3))/$AJ76,'Технический лист'!$M:$N,2,1),(FH76-0.05)))</f>
        <v>1</v>
      </c>
      <c r="FJ76" s="15">
        <f>MIN(1,MAX(VLOOKUP(($AJ76-$AI76-$AH76-$AG76-$AF76-$AE76*(1+FJ$3))/$AJ76,'Технический лист'!$M:$N,2,1),(FI76-0.05)))</f>
        <v>1</v>
      </c>
      <c r="FK76" s="15">
        <f>MIN(1,MAX(VLOOKUP(($AJ76-$AI76-$AH76-$AG76-$AF76-$AE76*(1+FK$3))/$AJ76,'Технический лист'!$M:$N,2,1),(FJ76-0.05)))</f>
        <v>1</v>
      </c>
      <c r="FL76" s="15">
        <f>MIN(1,MAX(VLOOKUP(($AJ76-$AI76-$AH76-$AG76-$AF76-$AE76*(1+FL$3))/$AJ76,'Технический лист'!$M:$N,2,1),(FK76-0.05)))</f>
        <v>1</v>
      </c>
      <c r="FM76" s="15">
        <f>MIN(1,MAX(VLOOKUP(($AJ76-$AI76-$AH76-$AG76-$AF76-$AE76*(1+FM$3))/$AJ76,'Технический лист'!$M:$N,2,1),(FL76-0.05)))</f>
        <v>1</v>
      </c>
      <c r="FN76" s="15">
        <f>MIN(1,MAX(VLOOKUP(($AJ76-$AI76-$AH76-$AG76-$AF76-$AE76*(1+FN$3))/$AJ76,'Технический лист'!$M:$N,2,1),(FM76-0.05)))</f>
        <v>1</v>
      </c>
      <c r="FO76" s="15">
        <f>MIN(1,MAX(VLOOKUP(($AJ76-$AI76-$AH76-$AG76-$AF76-$AE76*(1+FO$3))/$AJ76,'Технический лист'!$M:$N,2,1),(FN76-0.05)))</f>
        <v>1</v>
      </c>
      <c r="FP76" s="15">
        <f>MIN(1,MAX(VLOOKUP(($AJ76-$AI76-$AH76-$AG76-$AF76-$AE76*(1+FP$3))/$AJ76,'Технический лист'!$M:$N,2,1),(FO76-0.05)))</f>
        <v>1</v>
      </c>
      <c r="FQ76" s="15">
        <f>MIN(1,MAX(VLOOKUP(($AJ76-$AI76-$AH76-$AG76-$AF76-$AE76*(1+FQ$3))/$AJ76,'Технический лист'!$M:$N,2,1),(FP76-0.05)))</f>
        <v>1</v>
      </c>
      <c r="FR76" s="15">
        <f>MIN(1,MAX(VLOOKUP(($AJ76-$AI76-$AH76-$AG76-$AF76-$AE76*(1+FR$3))/$AJ76,'Технический лист'!$M:$N,2,1),(FQ76-0.05)))</f>
        <v>1</v>
      </c>
      <c r="FS76" s="15">
        <f>MIN(1,MAX(VLOOKUP(($AJ76-$AI76-$AH76-$AG76-$AF76-$AE76*(1+FS$3))/$AJ76,'Технический лист'!$M:$N,2,1),(FR76-0.05)))</f>
        <v>1</v>
      </c>
      <c r="FT76" s="15">
        <f>MIN(1,MAX(VLOOKUP(($AJ76-$AI76-$AH76-$AG76-$AF76-$AE76*(1+FT$3))/$AJ76,'Технический лист'!$M:$N,2,1),(FS76-0.05)))</f>
        <v>1</v>
      </c>
      <c r="FU76" s="15">
        <f>MIN(1,MAX(VLOOKUP(($AJ76-$AI76-$AH76-$AG76-$AF76-$AE76*(1+FU$3))/$AJ76,'Технический лист'!$M:$N,2,1),(FT76-0.05)))</f>
        <v>1</v>
      </c>
      <c r="FV76" s="15">
        <f>MIN(1,MAX(VLOOKUP(($AJ76-$AI76-$AH76-$AG76-$AF76-$AE76*(1+FV$3))/$AJ76,'Технический лист'!$M:$N,2,1),(FU76-0.05)))</f>
        <v>1</v>
      </c>
      <c r="FW76" s="15">
        <f>MIN(1,MAX(VLOOKUP(($AJ76-$AI76-$AH76-$AG76-$AF76-$AE76*(1+FW$3))/$AJ76,'Технический лист'!$M:$N,2,1),(FV76-0.05)))</f>
        <v>1</v>
      </c>
      <c r="FX76" s="15">
        <f>MIN(1,MAX(VLOOKUP(($AJ76-$AI76-$AH76-$AG76-$AF76-$AE76*(1+FX$3))/$AJ76,'Технический лист'!$M:$N,2,1),(FW76-0.05)))</f>
        <v>1</v>
      </c>
      <c r="FY76" s="15">
        <f>MIN(1,MAX(VLOOKUP(($AJ76-$AI76-$AH76-$AG76-$AF76-$AE76*(1+FY$3))/$AJ76,'Технический лист'!$M:$N,2,1),(FX76-0.05)))</f>
        <v>1</v>
      </c>
      <c r="FZ76" s="15">
        <f>MIN(1,MAX(VLOOKUP(($AJ76-$AI76-$AH76-$AG76-$AF76-$AE76*(1+FZ$3))/$AJ76,'Технический лист'!$M:$N,2,1),(FY76-0.05)))</f>
        <v>1</v>
      </c>
      <c r="GA76" s="15">
        <f>MIN(1,MAX(VLOOKUP(($AJ76-$AI76-$AH76-$AG76-$AF76-$AE76*(1+GA$3))/$AJ76,'Технический лист'!$M:$N,2,1),(FZ76-0.05)))</f>
        <v>1</v>
      </c>
      <c r="GB76" s="15">
        <f>MIN(1,MAX(VLOOKUP(($AJ76-$AI76-$AH76-$AG76-$AF76-$AE76*(1+GB$3))/$AJ76,'Технический лист'!$M:$N,2,1),(GA76-0.05)))</f>
        <v>1</v>
      </c>
      <c r="GC76" s="15">
        <f>MIN(1,MAX(VLOOKUP(($AJ76-$AI76-$AH76-$AG76-$AF76-$AE76*(1+GC$3))/$AJ76,'Технический лист'!$M:$N,2,1),(GB76-0.05)))</f>
        <v>1</v>
      </c>
      <c r="GD76" s="15">
        <f>MIN(1,MAX(VLOOKUP(($AJ76-$AI76-$AH76-$AG76-$AF76-$AE76*(1+GD$3))/$AJ76,'Технический лист'!$M:$N,2,1),(GC76-0.05)))</f>
        <v>1</v>
      </c>
      <c r="GE76" s="15">
        <f>MIN(1,MAX(VLOOKUP(($AJ76-$AI76-$AH76-$AG76-$AF76-$AE76*(1+GE$3))/$AJ76,'Технический лист'!$M:$N,2,1),(GD76-0.05)))</f>
        <v>1</v>
      </c>
      <c r="GF76" s="15">
        <f>MIN(1,MAX(VLOOKUP(($AJ76-$AI76-$AH76-$AG76-$AF76-$AE76*(1+GF$3))/$AJ76,'Технический лист'!$M:$N,2,1),(GE76-0.05)))</f>
        <v>1</v>
      </c>
      <c r="GG76" s="15">
        <f>MIN(1,MAX(VLOOKUP(($AJ76-$AI76-$AH76-$AG76-$AF76-$AE76*(1+GG$3))/$AJ76,'Технический лист'!$M:$N,2,1),(GF76-0.05)))</f>
        <v>1</v>
      </c>
      <c r="GH76" s="15">
        <f>MIN(1,MAX(VLOOKUP(($AJ76-$AI76-$AH76-$AG76-$AF76-$AE76*(1+GH$3))/$AJ76,'Технический лист'!$M:$N,2,1),(GG76-0.05)))</f>
        <v>1</v>
      </c>
      <c r="GI76" s="15">
        <f>MIN(1,MAX(VLOOKUP(($AJ76-$AI76-$AH76-$AG76-$AF76-$AE76*(1+GI$3))/$AJ76,'Технический лист'!$M:$N,2,1),(GH76-0.05)))</f>
        <v>1</v>
      </c>
      <c r="GJ76" s="15">
        <f>MIN(1,MAX(VLOOKUP(($AJ76-$AI76-$AH76-$AG76-$AF76-$AE76*(1+GJ$3))/$AJ76,'Технический лист'!$M:$N,2,1),(GI76-0.05)))</f>
        <v>1</v>
      </c>
      <c r="GK76" s="15">
        <f>MIN(1,MAX(VLOOKUP(($AJ76-$AI76-$AH76-$AG76-$AF76-$AE76*(1+GK$3))/$AJ76,'Технический лист'!$M:$N,2,1),(GJ76-0.05)))</f>
        <v>1</v>
      </c>
      <c r="GL76" s="15">
        <f>MIN(1,MAX(VLOOKUP(($AJ76-$AI76-$AH76-$AG76-$AF76-$AE76*(1+GL$3))/$AJ76,'Технический лист'!$M:$N,2,1),(GK76-0.05)))</f>
        <v>1</v>
      </c>
      <c r="GM76" s="15">
        <f>MIN(1,MAX(VLOOKUP(($AJ76-$AI76-$AH76-$AG76-$AF76-$AE76*(1+GM$3))/$AJ76,'Технический лист'!$M:$N,2,1),(GL76-0.05)))</f>
        <v>1</v>
      </c>
      <c r="GN76" s="15">
        <f>MIN(1,MAX(VLOOKUP(($AJ76-$AI76-$AH76-$AG76-$AF76-$AE76*(1+GN$3))/$AJ76,'Технический лист'!$M:$N,2,1),(GM76-0.05)))</f>
        <v>1</v>
      </c>
      <c r="GO76" s="15">
        <f>MIN(1,MAX(VLOOKUP(($AJ76-$AI76-$AH76-$AG76-$AF76-$AE76*(1+GO$3))/$AJ76,'Технический лист'!$M:$N,2,1),(GN76-0.05)))</f>
        <v>1</v>
      </c>
      <c r="GP76" s="15">
        <f>MIN(1,MAX(VLOOKUP(($AJ76-$AI76-$AH76-$AG76-$AF76-$AE76*(1+GP$3))/$AJ76,'Технический лист'!$M:$N,2,1),(GO76-0.05)))</f>
        <v>1</v>
      </c>
      <c r="GQ76" s="15">
        <f>MIN(1,MAX(VLOOKUP(($AJ76-$AI76-$AH76-$AG76-$AF76-$AE76*(1+GQ$3))/$AJ76,'Технический лист'!$M:$N,2,1),(GP76-0.05)))</f>
        <v>1</v>
      </c>
      <c r="GR76" s="15">
        <f>MIN(1,MAX(VLOOKUP(($AJ76-$AI76-$AH76-$AG76-$AF76-$AE76*(1+GR$3))/$AJ76,'Технический лист'!$M:$N,2,1),(GQ76-0.05)))</f>
        <v>1</v>
      </c>
      <c r="GS76" s="15">
        <f>MIN(1,MAX(VLOOKUP(($AJ76-$AI76-$AH76-$AG76-$AF76-$AE76*(1+GS$3))/$AJ76,'Технический лист'!$M:$N,2,1),(GR76-0.05)))</f>
        <v>1</v>
      </c>
      <c r="GT76" s="15">
        <f>MIN(1,MAX(VLOOKUP(($AJ76-$AI76-$AH76-$AG76-$AF76-$AE76*(1+GT$3))/$AJ76,'Технический лист'!$M:$N,2,1),(GS76-0.05)))</f>
        <v>1</v>
      </c>
      <c r="GU76" s="15">
        <f>MIN(1,MAX(VLOOKUP(($AJ76-$AI76-$AH76-$AG76-$AF76-$AE76*(1+GU$3))/$AJ76,'Технический лист'!$M:$N,2,1),(GT76-0.05)))</f>
        <v>1</v>
      </c>
      <c r="GV76" s="15">
        <f>MIN(1,MAX(VLOOKUP(($AJ76-$AI76-$AH76-$AG76-$AF76-$AE76*(1+GV$3))/$AJ76,'Технический лист'!$M:$N,2,1),(GU76-0.05)))</f>
        <v>1</v>
      </c>
      <c r="GW76" s="15">
        <f>MIN(1,MAX(VLOOKUP(($AJ76-$AI76-$AH76-$AG76-$AF76-$AE76*(1+GW$3))/$AJ76,'Технический лист'!$M:$N,2,1),(GV76-0.05)))</f>
        <v>1</v>
      </c>
      <c r="GX76" s="15">
        <f>MIN(1,MAX(VLOOKUP(($AJ76-$AI76-$AH76-$AG76-$AF76-$AE76*(1+GX$3))/$AJ76,'Технический лист'!$M:$N,2,1),(GW76-0.05)))</f>
        <v>1</v>
      </c>
      <c r="GY76" s="15">
        <f>MIN(1,MAX(VLOOKUP(($AJ76-$AI76-$AH76-$AG76-$AF76-$AE76*(1+GY$3))/$AJ76,'Технический лист'!$M:$N,2,1),(GX76-0.05)))</f>
        <v>1</v>
      </c>
      <c r="GZ76" s="15">
        <f>MIN(1,MAX(VLOOKUP(($AJ76-$AI76-$AH76-$AG76-$AF76-$AE76*(1+GZ$3))/$AJ76,'Технический лист'!$M:$N,2,1),(GY76-0.05)))</f>
        <v>1</v>
      </c>
      <c r="HA76" s="15">
        <f>MIN(1,MAX(VLOOKUP(($AJ76-$AI76-$AH76-$AG76-$AF76-$AE76*(1+HA$3))/$AJ76,'Технический лист'!$M:$N,2,1),(GZ76-0.05)))</f>
        <v>1</v>
      </c>
      <c r="HB76" s="15">
        <f>MIN(1,MAX(VLOOKUP(($AJ76-$AI76-$AH76-$AG76-$AF76-$AE76*(1+HB$3))/$AJ76,'Технический лист'!$M:$N,2,1),(HA76-0.05)))</f>
        <v>1</v>
      </c>
      <c r="HC76" s="15">
        <f>MIN(1,MAX(VLOOKUP(($AJ76-$AI76-$AH76-$AG76-$AF76-$AE76*(1+HC$3))/$AJ76,'Технический лист'!$M:$N,2,1),(HB76-0.05)))</f>
        <v>1</v>
      </c>
      <c r="HD76" s="15">
        <f>MIN(1,MAX(VLOOKUP(($AJ76-$AI76-$AH76-$AG76-$AF76-$AE76*(1+HD$3))/$AJ76,'Технический лист'!$M:$N,2,1),(HC76-0.05)))</f>
        <v>1</v>
      </c>
      <c r="HE76" s="15">
        <f>MIN(1,MAX(VLOOKUP(($AJ76-$AI76-$AH76-$AG76-$AF76-$AE76*(1+HE$3))/$AJ76,'Технический лист'!$M:$N,2,1),(HD76-0.05)))</f>
        <v>1</v>
      </c>
      <c r="HF76" s="15">
        <f>MIN(1,MAX(VLOOKUP(($AJ76-$AI76-$AH76-$AG76-$AF76-$AE76*(1+HF$3))/$AJ76,'Технический лист'!$M:$N,2,1),(HE76-0.05)))</f>
        <v>1</v>
      </c>
      <c r="HG76" s="15">
        <f>MIN(1,MAX(VLOOKUP(($AJ76-$AI76-$AH76-$AG76-$AF76-$AE76*(1+HG$3))/$AJ76,'Технический лист'!$M:$N,2,1),(HF76-0.05)))</f>
        <v>1</v>
      </c>
      <c r="HH76" s="15">
        <f>MIN(1,MAX(VLOOKUP(($AJ76-$AI76-$AH76-$AG76-$AF76-$AE76*(1+HH$3))/$AJ76,'Технический лист'!$M:$N,2,1),(HG76-0.05)))</f>
        <v>1</v>
      </c>
      <c r="HI76" s="15">
        <f>MIN(1,MAX(VLOOKUP(($AJ76-$AI76-$AH76-$AG76-$AF76-$AE76*(1+HI$3))/$AJ76,'Технический лист'!$M:$N,2,1),(HH76-0.05)))</f>
        <v>1</v>
      </c>
      <c r="HJ76" s="15">
        <f>MIN(1,MAX(VLOOKUP(($AJ76-$AI76-$AH76-$AG76-$AF76-$AE76*(1+HJ$3))/$AJ76,'Технический лист'!$M:$N,2,1),(HI76-0.05)))</f>
        <v>1</v>
      </c>
      <c r="HK76" s="15">
        <f>MIN(1,MAX(VLOOKUP(($AJ76-$AI76-$AH76-$AG76-$AF76-$AE76*(1+HK$3))/$AJ76,'Технический лист'!$M:$N,2,1),(HJ76-0.05)))</f>
        <v>1</v>
      </c>
      <c r="HL76" s="15">
        <f>MIN(1,MAX(VLOOKUP(($AJ76-$AI76-$AH76-$AG76-$AF76-$AE76*(1+HL$3))/$AJ76,'Технический лист'!$M:$N,2,1),(HK76-0.05)))</f>
        <v>1</v>
      </c>
      <c r="HM76" s="15">
        <f>MIN(1,MAX(VLOOKUP(($AJ76-$AI76-$AH76-$AG76-$AF76-$AE76*(1+HM$3))/$AJ76,'Технический лист'!$M:$N,2,1),(HL76-0.05)))</f>
        <v>1</v>
      </c>
      <c r="HN76" s="15">
        <f>MIN(1,MAX(VLOOKUP(($AJ76-$AI76-$AH76-$AG76-$AF76-$AE76*(1+HN$3))/$AJ76,'Технический лист'!$M:$N,2,1),(HM76-0.05)))</f>
        <v>1</v>
      </c>
      <c r="HO76" s="15">
        <f>MIN(1,MAX(VLOOKUP(($AJ76-$AI76-$AH76-$AG76-$AF76-$AE76*(1+HO$3))/$AJ76,'Технический лист'!$M:$N,2,1),(HN76-0.05)))</f>
        <v>1</v>
      </c>
      <c r="HP76" s="15">
        <f>MIN(1,MAX(VLOOKUP(($AJ76-$AI76-$AH76-$AG76-$AF76-$AE76*(1+HP$3))/$AJ76,'Технический лист'!$M:$N,2,1),(HO76-0.05)))</f>
        <v>1</v>
      </c>
      <c r="HQ76" s="15">
        <f>MIN(1,MAX(VLOOKUP(($AJ76-$AI76-$AH76-$AG76-$AF76-$AE76*(1+HQ$3))/$AJ76,'Технический лист'!$M:$N,2,1),(HP76-0.05)))</f>
        <v>1</v>
      </c>
      <c r="HR76" s="15">
        <f>MIN(1,MAX(VLOOKUP(($AJ76-$AI76-$AH76-$AG76-$AF76-$AE76*(1+HR$3))/$AJ76,'Технический лист'!$M:$N,2,1),(HQ76-0.05)))</f>
        <v>1</v>
      </c>
      <c r="HS76" s="15">
        <f>MIN(1,MAX(VLOOKUP(($AJ76-$AI76-$AH76-$AG76-$AF76-$AE76*(1+HS$3))/$AJ76,'Технический лист'!$M:$N,2,1),(HR76-0.05)))</f>
        <v>1</v>
      </c>
      <c r="HT76" s="15">
        <f>MIN(1,MAX(VLOOKUP(($AJ76-$AI76-$AH76-$AG76-$AF76-$AE76*(1+HT$3))/$AJ76,'Технический лист'!$M:$N,2,1),(HS76-0.05)))</f>
        <v>1</v>
      </c>
      <c r="HU76" s="15">
        <f>MIN(1,MAX(VLOOKUP(($AJ76-$AI76-$AH76-$AG76-$AF76-$AE76*(1+HU$3))/$AJ76,'Технический лист'!$M:$N,2,1),(HT76-0.05)))</f>
        <v>1</v>
      </c>
      <c r="HV76" s="15">
        <f>MIN(1,MAX(VLOOKUP(($AJ76-$AI76-$AH76-$AG76-$AF76-$AE76*(1+HV$3))/$AJ76,'Технический лист'!$M:$N,2,1),(HU76-0.05)))</f>
        <v>1</v>
      </c>
      <c r="HW76" s="15">
        <f>MIN(1,MAX(VLOOKUP(($AJ76-$AI76-$AH76-$AG76-$AF76-$AE76*(1+HW$3))/$AJ76,'Технический лист'!$M:$N,2,1),(HV76-0.05)))</f>
        <v>1</v>
      </c>
      <c r="HX76" s="15">
        <f>MIN(1,MAX(VLOOKUP(($AJ76-$AI76-$AH76-$AG76-$AF76-$AE76*(1+HX$3))/$AJ76,'Технический лист'!$M:$N,2,1),(HW76-0.05)))</f>
        <v>1</v>
      </c>
      <c r="HY76" s="15">
        <f>MIN(1,MAX(VLOOKUP(($AJ76-$AI76-$AH76-$AG76-$AF76-$AE76*(1+HY$3))/$AJ76,'Технический лист'!$M:$N,2,1),(HX76-0.05)))</f>
        <v>1</v>
      </c>
      <c r="HZ76" s="15">
        <f>MIN(1,MAX(VLOOKUP(($AJ76-$AI76-$AH76-$AG76-$AF76-$AE76*(1+HZ$3))/$AJ76,'Технический лист'!$M:$N,2,1),(HY76-0.05)))</f>
        <v>1</v>
      </c>
      <c r="IA76" s="15">
        <f>MIN(1,MAX(VLOOKUP(($AJ76-$AI76-$AH76-$AG76-$AF76-$AE76*(1+IA$3))/$AJ76,'Технический лист'!$M:$N,2,1),(HZ76-0.05)))</f>
        <v>1</v>
      </c>
      <c r="IB76" s="15">
        <f>MIN(1,MAX(VLOOKUP(($AJ76-$AI76-$AH76-$AG76-$AF76-$AE76*(1+IB$3))/$AJ76,'Технический лист'!$M:$N,2,1),(IA76-0.05)))</f>
        <v>1</v>
      </c>
      <c r="IC76" s="15">
        <f>MIN(1,MAX(VLOOKUP(($AJ76-$AI76-$AH76-$AG76-$AF76-$AE76*(1+IC$3))/$AJ76,'Технический лист'!$M:$N,2,1),(IB76-0.05)))</f>
        <v>1</v>
      </c>
      <c r="ID76" s="15">
        <f>MIN(1,MAX(VLOOKUP(($AJ76-$AI76-$AH76-$AG76-$AF76-$AE76*(1+ID$3))/$AJ76,'Технический лист'!$M:$N,2,1),(IC76-0.05)))</f>
        <v>1</v>
      </c>
      <c r="IE76" s="15">
        <f>MIN(1,MAX(VLOOKUP(($AJ76-$AI76-$AH76-$AG76-$AF76-$AE76*(1+IE$3))/$AJ76,'Технический лист'!$M:$N,2,1),(ID76-0.05)))</f>
        <v>1</v>
      </c>
      <c r="IF76" s="15">
        <f>MIN(1,MAX(VLOOKUP(($AJ76-$AI76-$AH76-$AG76-$AF76-$AE76*(1+IF$3))/$AJ76,'Технический лист'!$M:$N,2,1),(IE76-0.05)))</f>
        <v>1</v>
      </c>
      <c r="IG76" s="15">
        <f>MIN(1,MAX(VLOOKUP(($AJ76-$AI76-$AH76-$AG76-$AF76-$AE76*(1+IG$3))/$AJ76,'Технический лист'!$M:$N,2,1),(IF76-0.05)))</f>
        <v>1</v>
      </c>
      <c r="IH76" s="15">
        <f>MIN(1,MAX(VLOOKUP(($AJ76-$AI76-$AH76-$AG76-$AF76-$AE76*(1+IH$3))/$AJ76,'Технический лист'!$M:$N,2,1),(IG76-0.05)))</f>
        <v>1</v>
      </c>
      <c r="II76" s="15">
        <f>MIN(1,MAX(VLOOKUP(($AJ76-$AI76-$AH76-$AG76-$AF76-$AE76*(1+II$3))/$AJ76,'Технический лист'!$M:$N,2,1),(IH76-0.05)))</f>
        <v>1</v>
      </c>
      <c r="IJ76" s="15">
        <f>MIN(1,MAX(VLOOKUP(($AJ76-$AI76-$AH76-$AG76-$AF76-$AE76*(1+IJ$3))/$AJ76,'Технический лист'!$M:$N,2,1),(II76-0.05)))</f>
        <v>1</v>
      </c>
      <c r="IK76" s="15">
        <f>MIN(1,MAX(VLOOKUP(($AJ76-$AI76-$AH76-$AG76-$AF76-$AE76*(1+IK$3))/$AJ76,'Технический лист'!$M:$N,2,1),(IJ76-0.05)))</f>
        <v>1</v>
      </c>
      <c r="IL76" s="15">
        <f>MIN(1,MAX(VLOOKUP(($AJ76-$AI76-$AH76-$AG76-$AF76-$AE76*(1+IL$3))/$AJ76,'Технический лист'!$M:$N,2,1),(IK76-0.05)))</f>
        <v>1</v>
      </c>
      <c r="IM76" s="15">
        <f>MIN(1,MAX(VLOOKUP(($AJ76-$AI76-$AH76-$AG76-$AF76-$AE76*(1+IM$3))/$AJ76,'Технический лист'!$M:$N,2,1),(IL76-0.05)))</f>
        <v>1</v>
      </c>
      <c r="IN76" s="15">
        <f>MIN(1,MAX(VLOOKUP(($AJ76-$AI76-$AH76-$AG76-$AF76-$AE76*(1+IN$3))/$AJ76,'Технический лист'!$M:$N,2,1),(IM76-0.05)))</f>
        <v>1</v>
      </c>
      <c r="IO76" s="15">
        <f>MIN(1,MAX(VLOOKUP(($AJ76-$AI76-$AH76-$AG76-$AF76-$AE76*(1+IO$3))/$AJ76,'Технический лист'!$M:$N,2,1),(IN76-0.05)))</f>
        <v>1</v>
      </c>
      <c r="IP76" s="15">
        <f>MIN(1,MAX(VLOOKUP(($AJ76-$AI76-$AH76-$AG76-$AF76-$AE76*(1+IP$3))/$AJ76,'Технический лист'!$M:$N,2,1),(IO76-0.05)))</f>
        <v>1</v>
      </c>
      <c r="IQ76" s="15">
        <f>MIN(1,MAX(VLOOKUP(($AJ76-$AI76-$AH76-$AG76-$AF76-$AE76*(1+IQ$3))/$AJ76,'Технический лист'!$M:$N,2,1),(IP76-0.05)))</f>
        <v>1</v>
      </c>
      <c r="IR76" s="15">
        <f>MIN(1,MAX(VLOOKUP(($AJ76-$AI76-$AH76-$AG76-$AF76-$AE76*(1+IR$3))/$AJ76,'Технический лист'!$M:$N,2,1),(IQ76-0.05)))</f>
        <v>1</v>
      </c>
    </row>
    <row r="77" spans="1:252" s="6" customFormat="1" ht="29.15">
      <c r="A77" s="89" t="s">
        <v>512</v>
      </c>
      <c r="B77" s="84">
        <v>4</v>
      </c>
      <c r="C77" s="5" t="s">
        <v>67</v>
      </c>
      <c r="D77" s="85">
        <v>15106</v>
      </c>
      <c r="E77" s="85" t="s">
        <v>392</v>
      </c>
      <c r="F77" s="85" t="s">
        <v>390</v>
      </c>
      <c r="G77" s="85" t="s">
        <v>50</v>
      </c>
      <c r="H77" s="85" t="s">
        <v>19</v>
      </c>
      <c r="I77" s="85" t="s">
        <v>367</v>
      </c>
      <c r="J77" s="85" t="s">
        <v>110</v>
      </c>
      <c r="K77" s="85">
        <v>2717</v>
      </c>
      <c r="L77" s="85" t="s">
        <v>403</v>
      </c>
      <c r="M77" s="91" t="s">
        <v>190</v>
      </c>
      <c r="N77" s="85" t="s">
        <v>191</v>
      </c>
      <c r="O77" s="85" t="s">
        <v>194</v>
      </c>
      <c r="P77" s="86" t="s">
        <v>382</v>
      </c>
      <c r="Q77" s="85" t="s">
        <v>261</v>
      </c>
      <c r="R77" s="85" t="s">
        <v>261</v>
      </c>
      <c r="S77" s="87">
        <v>40749</v>
      </c>
      <c r="T77" s="87">
        <v>110715496</v>
      </c>
      <c r="U77" s="88">
        <v>678</v>
      </c>
      <c r="V77" s="88">
        <v>0</v>
      </c>
      <c r="W77" s="87">
        <v>97150876</v>
      </c>
      <c r="X77" s="112">
        <v>54</v>
      </c>
      <c r="Y77" s="112" t="s">
        <v>417</v>
      </c>
      <c r="Z77" s="113">
        <v>11</v>
      </c>
      <c r="AA77" s="113">
        <v>11</v>
      </c>
      <c r="AB77" s="113">
        <v>4</v>
      </c>
      <c r="AC77" s="99">
        <v>2965.7</v>
      </c>
      <c r="AD77" s="99">
        <f>AE77-AC77</f>
        <v>1790.7399999999998</v>
      </c>
      <c r="AE77" s="99">
        <v>4756.4399999999996</v>
      </c>
      <c r="AF77" s="98">
        <f>(AB77+AA77+Z77)*'Ставки аренды'!$B$4/X77</f>
        <v>1300</v>
      </c>
      <c r="AG77" s="114">
        <v>0</v>
      </c>
      <c r="AH77" s="94">
        <v>0</v>
      </c>
      <c r="AI77" s="115">
        <f>12254/14812*AJ77</f>
        <v>47983.526870105321</v>
      </c>
      <c r="AJ77" s="117">
        <f>Цены!D21</f>
        <v>58000</v>
      </c>
      <c r="AK77" s="94">
        <f>AJ77/Цены!$B$1</f>
        <v>760.10248278302356</v>
      </c>
      <c r="AL77" s="95">
        <f t="shared" si="24"/>
        <v>6056.44</v>
      </c>
      <c r="AM77" s="95">
        <f t="shared" si="25"/>
        <v>51943.56</v>
      </c>
      <c r="AN77" s="94">
        <f t="shared" si="22"/>
        <v>54039.966870105323</v>
      </c>
      <c r="AO77" s="118">
        <f t="shared" si="23"/>
        <v>6.8276433274046144E-2</v>
      </c>
      <c r="AP77" s="96">
        <f t="shared" si="26"/>
        <v>0.10442137931034481</v>
      </c>
      <c r="AQ77" s="96">
        <f t="shared" si="27"/>
        <v>8.2007586206896549E-2</v>
      </c>
      <c r="AR77" s="96">
        <f t="shared" si="28"/>
        <v>0.78535245127500641</v>
      </c>
      <c r="AS77" s="122">
        <v>1</v>
      </c>
      <c r="AT77" s="121">
        <f t="shared" si="29"/>
        <v>40749</v>
      </c>
      <c r="AU77" s="7" t="s">
        <v>475</v>
      </c>
      <c r="AV77" s="119">
        <f t="shared" si="30"/>
        <v>5.8435522929218581E-2</v>
      </c>
      <c r="AW77" s="120">
        <f t="shared" si="31"/>
        <v>0.11426228965517242</v>
      </c>
      <c r="AX77" s="120">
        <f t="shared" si="32"/>
        <v>9.184849655172414E-2</v>
      </c>
      <c r="AY77" s="120">
        <f t="shared" si="33"/>
        <v>0.8038391041253421</v>
      </c>
      <c r="AZ77" s="15">
        <v>1</v>
      </c>
      <c r="BA77" s="15">
        <v>1</v>
      </c>
      <c r="BB77" s="15">
        <v>1</v>
      </c>
      <c r="BC77" s="15">
        <v>1</v>
      </c>
      <c r="BD77" s="15">
        <v>1</v>
      </c>
      <c r="BE77" s="15">
        <v>1</v>
      </c>
      <c r="BF77" s="15">
        <v>1</v>
      </c>
      <c r="BG77" s="15">
        <v>1</v>
      </c>
      <c r="BH77" s="15">
        <v>1</v>
      </c>
      <c r="BI77" s="15">
        <v>1</v>
      </c>
      <c r="BJ77" s="15">
        <v>1</v>
      </c>
      <c r="BK77" s="15">
        <v>1</v>
      </c>
      <c r="BL77" s="15">
        <v>1</v>
      </c>
      <c r="BM77" s="15">
        <v>1</v>
      </c>
      <c r="BN77" s="15">
        <v>1</v>
      </c>
      <c r="BO77" s="15">
        <v>1</v>
      </c>
      <c r="BP77" s="15">
        <v>1</v>
      </c>
      <c r="BQ77" s="15">
        <v>1</v>
      </c>
      <c r="BR77" s="15">
        <v>1</v>
      </c>
      <c r="BS77" s="15">
        <v>1</v>
      </c>
      <c r="BT77" s="15">
        <v>1</v>
      </c>
      <c r="BU77" s="15">
        <v>1</v>
      </c>
      <c r="BV77" s="15">
        <v>1</v>
      </c>
      <c r="BW77" s="15">
        <v>1</v>
      </c>
      <c r="BX77" s="15">
        <v>1</v>
      </c>
      <c r="BY77" s="15">
        <v>1</v>
      </c>
      <c r="BZ77" s="15">
        <v>1</v>
      </c>
      <c r="CA77" s="15">
        <v>1</v>
      </c>
      <c r="CB77" s="15">
        <v>1</v>
      </c>
      <c r="CC77" s="15">
        <v>1</v>
      </c>
      <c r="CD77" s="15">
        <v>1</v>
      </c>
      <c r="CE77" s="15">
        <v>1</v>
      </c>
      <c r="CF77" s="15">
        <v>1</v>
      </c>
      <c r="CG77" s="15">
        <v>1</v>
      </c>
      <c r="CH77" s="15">
        <v>1</v>
      </c>
      <c r="CI77" s="15">
        <v>1</v>
      </c>
      <c r="CJ77" s="15">
        <v>1</v>
      </c>
      <c r="CK77" s="15">
        <v>1</v>
      </c>
      <c r="CL77" s="15">
        <v>1</v>
      </c>
      <c r="CM77" s="15">
        <v>1</v>
      </c>
      <c r="CN77" s="15">
        <v>1</v>
      </c>
      <c r="CO77" s="15">
        <v>1</v>
      </c>
      <c r="CP77" s="15">
        <v>1</v>
      </c>
      <c r="CQ77" s="15">
        <v>1</v>
      </c>
      <c r="CR77" s="15">
        <v>1</v>
      </c>
      <c r="CS77" s="15">
        <v>1</v>
      </c>
      <c r="CT77" s="15">
        <v>1</v>
      </c>
      <c r="CU77" s="15">
        <v>1</v>
      </c>
      <c r="CV77" s="15">
        <v>1</v>
      </c>
      <c r="CW77" s="15">
        <v>1</v>
      </c>
      <c r="CX77" s="15">
        <v>1</v>
      </c>
      <c r="CY77" s="15">
        <v>1</v>
      </c>
      <c r="CZ77" s="15">
        <v>1</v>
      </c>
      <c r="DA77" s="15">
        <v>1</v>
      </c>
      <c r="DB77" s="15">
        <v>1</v>
      </c>
      <c r="DC77" s="15">
        <v>1</v>
      </c>
      <c r="DD77" s="15">
        <v>1</v>
      </c>
      <c r="DE77" s="15">
        <v>1</v>
      </c>
      <c r="DF77" s="15">
        <v>1</v>
      </c>
      <c r="DG77" s="15">
        <v>1</v>
      </c>
      <c r="DH77" s="15">
        <v>1</v>
      </c>
      <c r="DI77" s="15">
        <v>1</v>
      </c>
      <c r="DJ77" s="15">
        <v>1</v>
      </c>
      <c r="DK77" s="15">
        <v>1</v>
      </c>
      <c r="DL77" s="15">
        <v>1</v>
      </c>
      <c r="DM77" s="15">
        <v>1</v>
      </c>
      <c r="DN77" s="15">
        <v>1</v>
      </c>
      <c r="DO77" s="15">
        <v>1</v>
      </c>
      <c r="DP77" s="15">
        <v>1</v>
      </c>
      <c r="DQ77" s="15">
        <v>1</v>
      </c>
      <c r="DR77" s="15">
        <v>1</v>
      </c>
      <c r="DS77" s="15">
        <v>1</v>
      </c>
      <c r="DT77" s="15">
        <v>1</v>
      </c>
      <c r="DU77" s="15">
        <v>1</v>
      </c>
      <c r="DV77" s="15">
        <v>1</v>
      </c>
      <c r="DW77" s="15">
        <v>1</v>
      </c>
      <c r="DX77" s="15">
        <v>1</v>
      </c>
      <c r="DY77" s="15">
        <v>1</v>
      </c>
      <c r="DZ77" s="15">
        <v>1</v>
      </c>
      <c r="EA77" s="15">
        <v>1</v>
      </c>
      <c r="EB77" s="15">
        <v>1</v>
      </c>
      <c r="EC77" s="15">
        <v>1</v>
      </c>
      <c r="ED77" s="15">
        <v>1</v>
      </c>
      <c r="EE77" s="15">
        <v>1</v>
      </c>
      <c r="EF77" s="15">
        <v>1</v>
      </c>
      <c r="EG77" s="15">
        <v>1</v>
      </c>
      <c r="EH77" s="15">
        <v>1</v>
      </c>
      <c r="EI77" s="15">
        <v>1</v>
      </c>
      <c r="EJ77" s="15">
        <v>1</v>
      </c>
      <c r="EK77" s="15">
        <v>1</v>
      </c>
      <c r="EL77" s="15">
        <v>1</v>
      </c>
      <c r="EM77" s="15">
        <v>1</v>
      </c>
      <c r="EN77" s="15">
        <v>1</v>
      </c>
      <c r="EO77" s="15">
        <v>1</v>
      </c>
      <c r="EP77" s="15">
        <v>1</v>
      </c>
      <c r="EQ77" s="15">
        <v>1</v>
      </c>
      <c r="ER77" s="15">
        <v>1</v>
      </c>
      <c r="ES77" s="15">
        <v>1</v>
      </c>
      <c r="ET77" s="15">
        <v>1</v>
      </c>
      <c r="EU77" s="15">
        <v>1</v>
      </c>
      <c r="EV77" s="111">
        <v>1</v>
      </c>
      <c r="EW77" s="15">
        <v>1</v>
      </c>
      <c r="EX77" s="15">
        <v>1</v>
      </c>
      <c r="EY77" s="15">
        <v>1</v>
      </c>
      <c r="EZ77" s="15">
        <v>1</v>
      </c>
      <c r="FA77" s="15">
        <v>1</v>
      </c>
      <c r="FB77" s="15">
        <v>1</v>
      </c>
      <c r="FC77" s="15">
        <v>1</v>
      </c>
      <c r="FD77" s="15">
        <v>1</v>
      </c>
      <c r="FE77" s="15">
        <v>1</v>
      </c>
      <c r="FF77" s="15">
        <v>1</v>
      </c>
      <c r="FG77" s="15">
        <v>1</v>
      </c>
      <c r="FH77" s="15">
        <v>1</v>
      </c>
      <c r="FI77" s="15">
        <v>1</v>
      </c>
      <c r="FJ77" s="15">
        <v>1</v>
      </c>
      <c r="FK77" s="15">
        <v>1</v>
      </c>
      <c r="FL77" s="15">
        <v>1</v>
      </c>
      <c r="FM77" s="15">
        <v>1</v>
      </c>
      <c r="FN77" s="15">
        <v>1</v>
      </c>
      <c r="FO77" s="15">
        <v>1</v>
      </c>
      <c r="FP77" s="15">
        <v>1</v>
      </c>
      <c r="FQ77" s="15">
        <v>1</v>
      </c>
      <c r="FR77" s="15">
        <v>1</v>
      </c>
      <c r="FS77" s="15">
        <v>1</v>
      </c>
      <c r="FT77" s="15">
        <v>1</v>
      </c>
      <c r="FU77" s="15">
        <v>1</v>
      </c>
      <c r="FV77" s="15">
        <v>1</v>
      </c>
      <c r="FW77" s="15">
        <v>1</v>
      </c>
      <c r="FX77" s="15">
        <v>1</v>
      </c>
      <c r="FY77" s="15">
        <v>1</v>
      </c>
      <c r="FZ77" s="15">
        <v>1</v>
      </c>
      <c r="GA77" s="15">
        <v>1</v>
      </c>
      <c r="GB77" s="15">
        <v>1</v>
      </c>
      <c r="GC77" s="15">
        <v>1</v>
      </c>
      <c r="GD77" s="15">
        <v>1</v>
      </c>
      <c r="GE77" s="15">
        <v>1</v>
      </c>
      <c r="GF77" s="15">
        <v>1</v>
      </c>
      <c r="GG77" s="15">
        <v>1</v>
      </c>
      <c r="GH77" s="15">
        <v>1</v>
      </c>
      <c r="GI77" s="15">
        <v>1</v>
      </c>
      <c r="GJ77" s="15">
        <v>1</v>
      </c>
      <c r="GK77" s="15">
        <v>1</v>
      </c>
      <c r="GL77" s="15">
        <v>1</v>
      </c>
      <c r="GM77" s="15">
        <v>1</v>
      </c>
      <c r="GN77" s="15">
        <v>1</v>
      </c>
      <c r="GO77" s="15">
        <v>1</v>
      </c>
      <c r="GP77" s="15">
        <v>1</v>
      </c>
      <c r="GQ77" s="15">
        <v>1</v>
      </c>
      <c r="GR77" s="15">
        <v>1</v>
      </c>
      <c r="GS77" s="15">
        <v>1</v>
      </c>
      <c r="GT77" s="15">
        <v>1</v>
      </c>
      <c r="GU77" s="15">
        <v>1</v>
      </c>
      <c r="GV77" s="15">
        <v>1</v>
      </c>
      <c r="GW77" s="15">
        <v>1</v>
      </c>
      <c r="GX77" s="15">
        <v>1</v>
      </c>
      <c r="GY77" s="15">
        <v>1</v>
      </c>
      <c r="GZ77" s="15">
        <v>1</v>
      </c>
      <c r="HA77" s="15">
        <v>1</v>
      </c>
      <c r="HB77" s="15">
        <v>1</v>
      </c>
      <c r="HC77" s="15">
        <v>1</v>
      </c>
      <c r="HD77" s="15">
        <v>1</v>
      </c>
      <c r="HE77" s="15">
        <v>1</v>
      </c>
      <c r="HF77" s="15">
        <v>1</v>
      </c>
      <c r="HG77" s="15">
        <v>1</v>
      </c>
      <c r="HH77" s="15">
        <v>1</v>
      </c>
      <c r="HI77" s="15">
        <v>1</v>
      </c>
      <c r="HJ77" s="15">
        <v>1</v>
      </c>
      <c r="HK77" s="15">
        <v>1</v>
      </c>
      <c r="HL77" s="15">
        <v>1</v>
      </c>
      <c r="HM77" s="15">
        <v>1</v>
      </c>
      <c r="HN77" s="15">
        <v>1</v>
      </c>
      <c r="HO77" s="15">
        <v>1</v>
      </c>
      <c r="HP77" s="15">
        <v>1</v>
      </c>
      <c r="HQ77" s="15">
        <v>1</v>
      </c>
      <c r="HR77" s="15">
        <v>1</v>
      </c>
      <c r="HS77" s="15">
        <v>1</v>
      </c>
      <c r="HT77" s="15">
        <v>1</v>
      </c>
      <c r="HU77" s="15">
        <v>1</v>
      </c>
      <c r="HV77" s="15">
        <v>1</v>
      </c>
      <c r="HW77" s="15">
        <v>1</v>
      </c>
      <c r="HX77" s="15">
        <v>1</v>
      </c>
      <c r="HY77" s="15">
        <v>1</v>
      </c>
      <c r="HZ77" s="15">
        <v>1</v>
      </c>
      <c r="IA77" s="15">
        <v>1</v>
      </c>
      <c r="IB77" s="15">
        <v>1</v>
      </c>
      <c r="IC77" s="15">
        <v>1</v>
      </c>
      <c r="ID77" s="15">
        <v>1</v>
      </c>
      <c r="IE77" s="15">
        <v>1</v>
      </c>
      <c r="IF77" s="15">
        <v>1</v>
      </c>
      <c r="IG77" s="15">
        <v>1</v>
      </c>
      <c r="IH77" s="15">
        <v>1</v>
      </c>
      <c r="II77" s="15">
        <v>1</v>
      </c>
      <c r="IJ77" s="15">
        <v>1</v>
      </c>
      <c r="IK77" s="15">
        <v>1</v>
      </c>
      <c r="IL77" s="15">
        <v>1</v>
      </c>
      <c r="IM77" s="15">
        <v>1</v>
      </c>
      <c r="IN77" s="15">
        <v>1</v>
      </c>
      <c r="IO77" s="15">
        <v>1</v>
      </c>
      <c r="IP77" s="15">
        <v>1</v>
      </c>
      <c r="IQ77" s="15">
        <v>1</v>
      </c>
      <c r="IR77" s="15">
        <v>1</v>
      </c>
    </row>
    <row r="78" spans="1:252" s="4" customFormat="1" ht="29.15">
      <c r="A78" s="89" t="s">
        <v>512</v>
      </c>
      <c r="B78" s="76">
        <v>4</v>
      </c>
      <c r="C78" s="3" t="s">
        <v>67</v>
      </c>
      <c r="D78" s="77">
        <v>15125</v>
      </c>
      <c r="E78" s="77" t="s">
        <v>400</v>
      </c>
      <c r="F78" s="77" t="s">
        <v>390</v>
      </c>
      <c r="G78" s="77" t="s">
        <v>19</v>
      </c>
      <c r="H78" s="77" t="s">
        <v>23</v>
      </c>
      <c r="I78" s="77" t="s">
        <v>373</v>
      </c>
      <c r="J78" s="77" t="s">
        <v>376</v>
      </c>
      <c r="K78" s="77">
        <v>1048</v>
      </c>
      <c r="L78" s="77" t="s">
        <v>64</v>
      </c>
      <c r="M78" s="77" t="s">
        <v>17</v>
      </c>
      <c r="N78" s="77" t="s">
        <v>191</v>
      </c>
      <c r="O78" s="77" t="s">
        <v>192</v>
      </c>
      <c r="P78" s="79" t="s">
        <v>387</v>
      </c>
      <c r="Q78" s="77" t="s">
        <v>262</v>
      </c>
      <c r="R78" s="77" t="s">
        <v>262</v>
      </c>
      <c r="S78" s="80">
        <v>29690</v>
      </c>
      <c r="T78" s="80">
        <v>31126831</v>
      </c>
      <c r="U78" s="81">
        <v>437</v>
      </c>
      <c r="V78" s="81">
        <v>0</v>
      </c>
      <c r="W78" s="82">
        <v>63952201</v>
      </c>
      <c r="X78" s="112">
        <v>68</v>
      </c>
      <c r="Y78" s="112" t="s">
        <v>417</v>
      </c>
      <c r="Z78" s="113">
        <v>7</v>
      </c>
      <c r="AA78" s="113">
        <v>4</v>
      </c>
      <c r="AB78" s="113">
        <v>4</v>
      </c>
      <c r="AC78" s="99">
        <v>2312.5100000000002</v>
      </c>
      <c r="AD78" s="99">
        <f>AE78-AC78</f>
        <v>306.5</v>
      </c>
      <c r="AE78" s="99">
        <v>2619.0100000000002</v>
      </c>
      <c r="AF78" s="98">
        <f>(Z78+AA78+AB78)*'Ставки аренды'!$B$3/X78</f>
        <v>154.41176470588235</v>
      </c>
      <c r="AG78" s="114">
        <v>0</v>
      </c>
      <c r="AH78" s="94">
        <v>0</v>
      </c>
      <c r="AI78" s="115">
        <f>0.85*AJ78</f>
        <v>227008.86249999999</v>
      </c>
      <c r="AJ78" s="117">
        <f>Цены!C36*'Курсы валют'!B2</f>
        <v>267069.25</v>
      </c>
      <c r="AK78" s="94">
        <f>AJ78/Цены!$B$1</f>
        <v>3500.0000000000005</v>
      </c>
      <c r="AL78" s="95">
        <f t="shared" si="24"/>
        <v>2773.4217647058827</v>
      </c>
      <c r="AM78" s="95">
        <f t="shared" si="25"/>
        <v>264295.82823529415</v>
      </c>
      <c r="AN78" s="94">
        <f t="shared" si="22"/>
        <v>229782.28426470587</v>
      </c>
      <c r="AO78" s="118">
        <f t="shared" si="23"/>
        <v>0.13961534596474184</v>
      </c>
      <c r="AP78" s="96">
        <f t="shared" si="26"/>
        <v>1.0384654035258206E-2</v>
      </c>
      <c r="AQ78" s="96">
        <f t="shared" si="27"/>
        <v>9.80648277553481E-3</v>
      </c>
      <c r="AR78" s="96">
        <f t="shared" si="28"/>
        <v>0.94432445628324491</v>
      </c>
      <c r="AS78" s="122">
        <v>1</v>
      </c>
      <c r="AT78" s="121">
        <f t="shared" si="29"/>
        <v>29690</v>
      </c>
      <c r="AU78" s="83">
        <v>1</v>
      </c>
      <c r="AV78" s="119">
        <f t="shared" si="30"/>
        <v>0.13843856803167767</v>
      </c>
      <c r="AW78" s="120">
        <f t="shared" si="31"/>
        <v>1.1561431968322385E-2</v>
      </c>
      <c r="AX78" s="120">
        <f t="shared" si="32"/>
        <v>1.0983260708598988E-2</v>
      </c>
      <c r="AY78" s="120">
        <f t="shared" si="33"/>
        <v>0.94999137984744886</v>
      </c>
      <c r="AZ78" s="15">
        <f>MIN(IF($AU78=100%,1,1+VLOOKUP(($AJ78-$AI78-$AH78-$AG78-$AF78-$AE78*(1+AZ$3))/$AJ78,'Технический лист'!$M:$N,2,1)-VLOOKUP($AO78,'Технический лист'!$M:$N,2,1)),1+(1-$AU78))</f>
        <v>1</v>
      </c>
      <c r="BA78" s="15">
        <f>MIN(IF($AU78=100%,1,1+VLOOKUP(($AJ78-$AI78-$AH78-$AG78-$AF78-$AE78*(1+BA$3))/$AJ78,'Технический лист'!$M:$N,2,1)-VLOOKUP($AO78,'Технический лист'!$M:$N,2,1)),1+(1-$AU78))</f>
        <v>1</v>
      </c>
      <c r="BB78" s="15">
        <f>MIN(IF($AU78=100%,1,1+VLOOKUP(($AJ78-$AI78-$AH78-$AG78-$AF78-$AE78*(1+BB$3))/$AJ78,'Технический лист'!$M:$N,2,1)-VLOOKUP($AO78,'Технический лист'!$M:$N,2,1)),1+(1-$AU78))</f>
        <v>1</v>
      </c>
      <c r="BC78" s="15">
        <f>MIN(IF($AU78=100%,1,1+VLOOKUP(($AJ78-$AI78-$AH78-$AG78-$AF78-$AE78*(1+BC$3))/$AJ78,'Технический лист'!$M:$N,2,1)-VLOOKUP($AO78,'Технический лист'!$M:$N,2,1)),1+(1-$AU78))</f>
        <v>1</v>
      </c>
      <c r="BD78" s="15">
        <f>MIN(IF($AU78=100%,1,1+VLOOKUP(($AJ78-$AI78-$AH78-$AG78-$AF78-$AE78*(1+BD$3))/$AJ78,'Технический лист'!$M:$N,2,1)-VLOOKUP($AO78,'Технический лист'!$M:$N,2,1)),1+(1-$AU78))</f>
        <v>1</v>
      </c>
      <c r="BE78" s="15">
        <f>MIN(IF($AU78=100%,1,1+VLOOKUP(($AJ78-$AI78-$AH78-$AG78-$AF78-$AE78*(1+BE$3))/$AJ78,'Технический лист'!$M:$N,2,1)-VLOOKUP($AO78,'Технический лист'!$M:$N,2,1)),1+(1-$AU78))</f>
        <v>1</v>
      </c>
      <c r="BF78" s="15">
        <f>MIN(IF($AU78=100%,1,1+VLOOKUP(($AJ78-$AI78-$AH78-$AG78-$AF78-$AE78*(1+BF$3))/$AJ78,'Технический лист'!$M:$N,2,1)-VLOOKUP($AO78,'Технический лист'!$M:$N,2,1)),1+(1-$AU78))</f>
        <v>1</v>
      </c>
      <c r="BG78" s="15">
        <f>MIN(IF($AU78=100%,1,1+VLOOKUP(($AJ78-$AI78-$AH78-$AG78-$AF78-$AE78*(1+BG$3))/$AJ78,'Технический лист'!$M:$N,2,1)-VLOOKUP($AO78,'Технический лист'!$M:$N,2,1)),1+(1-$AU78))</f>
        <v>1</v>
      </c>
      <c r="BH78" s="15">
        <f>MIN(IF($AU78=100%,1,1+VLOOKUP(($AJ78-$AI78-$AH78-$AG78-$AF78-$AE78*(1+BH$3))/$AJ78,'Технический лист'!$M:$N,2,1)-VLOOKUP($AO78,'Технический лист'!$M:$N,2,1)),1+(1-$AU78))</f>
        <v>1</v>
      </c>
      <c r="BI78" s="15">
        <f>MIN(IF($AU78=100%,1,1+VLOOKUP(($AJ78-$AI78-$AH78-$AG78-$AF78-$AE78*(1+BI$3))/$AJ78,'Технический лист'!$M:$N,2,1)-VLOOKUP($AO78,'Технический лист'!$M:$N,2,1)),1+(1-$AU78))</f>
        <v>1</v>
      </c>
      <c r="BJ78" s="15">
        <f>MIN(IF($AU78=100%,1,1+VLOOKUP(($AJ78-$AI78-$AH78-$AG78-$AF78-$AE78*(1+BJ$3))/$AJ78,'Технический лист'!$M:$N,2,1)-VLOOKUP($AO78,'Технический лист'!$M:$N,2,1)),1+(1-$AU78))</f>
        <v>1</v>
      </c>
      <c r="BK78" s="15">
        <f>MIN(IF($AU78=100%,1,1+VLOOKUP(($AJ78-$AI78-$AH78-$AG78-$AF78-$AE78*(1+BK$3))/$AJ78,'Технический лист'!$M:$N,2,1)-VLOOKUP($AO78,'Технический лист'!$M:$N,2,1)),1+(1-$AU78))</f>
        <v>1</v>
      </c>
      <c r="BL78" s="15">
        <f>MIN(IF($AU78=100%,1,1+VLOOKUP(($AJ78-$AI78-$AH78-$AG78-$AF78-$AE78*(1+BL$3))/$AJ78,'Технический лист'!$M:$N,2,1)-VLOOKUP($AO78,'Технический лист'!$M:$N,2,1)),1+(1-$AU78))</f>
        <v>1</v>
      </c>
      <c r="BM78" s="15">
        <f>MIN(IF($AU78=100%,1,1+VLOOKUP(($AJ78-$AI78-$AH78-$AG78-$AF78-$AE78*(1+BM$3))/$AJ78,'Технический лист'!$M:$N,2,1)-VLOOKUP($AO78,'Технический лист'!$M:$N,2,1)),1+(1-$AU78))</f>
        <v>1</v>
      </c>
      <c r="BN78" s="15">
        <f>MIN(IF($AU78=100%,1,1+VLOOKUP(($AJ78-$AI78-$AH78-$AG78-$AF78-$AE78*(1+BN$3))/$AJ78,'Технический лист'!$M:$N,2,1)-VLOOKUP($AO78,'Технический лист'!$M:$N,2,1)),1+(1-$AU78))</f>
        <v>1</v>
      </c>
      <c r="BO78" s="15">
        <f>MIN(IF($AU78=100%,1,1+VLOOKUP(($AJ78-$AI78-$AH78-$AG78-$AF78-$AE78*(1+BO$3))/$AJ78,'Технический лист'!$M:$N,2,1)-VLOOKUP($AO78,'Технический лист'!$M:$N,2,1)),1+(1-$AU78))</f>
        <v>1</v>
      </c>
      <c r="BP78" s="15">
        <f>MIN(IF($AU78=100%,1,1+VLOOKUP(($AJ78-$AI78-$AH78-$AG78-$AF78-$AE78*(1+BP$3))/$AJ78,'Технический лист'!$M:$N,2,1)-VLOOKUP($AO78,'Технический лист'!$M:$N,2,1)),1+(1-$AU78))</f>
        <v>1</v>
      </c>
      <c r="BQ78" s="15">
        <f>MIN(IF($AU78=100%,1,1+VLOOKUP(($AJ78-$AI78-$AH78-$AG78-$AF78-$AE78*(1+BQ$3))/$AJ78,'Технический лист'!$M:$N,2,1)-VLOOKUP($AO78,'Технический лист'!$M:$N,2,1)),1+(1-$AU78))</f>
        <v>1</v>
      </c>
      <c r="BR78" s="15">
        <f>MIN(IF($AU78=100%,1,1+VLOOKUP(($AJ78-$AI78-$AH78-$AG78-$AF78-$AE78*(1+BR$3))/$AJ78,'Технический лист'!$M:$N,2,1)-VLOOKUP($AO78,'Технический лист'!$M:$N,2,1)),1+(1-$AU78))</f>
        <v>1</v>
      </c>
      <c r="BS78" s="15">
        <f>MIN(IF($AU78=100%,1,1+VLOOKUP(($AJ78-$AI78-$AH78-$AG78-$AF78-$AE78*(1+BS$3))/$AJ78,'Технический лист'!$M:$N,2,1)-VLOOKUP($AO78,'Технический лист'!$M:$N,2,1)),1+(1-$AU78))</f>
        <v>1</v>
      </c>
      <c r="BT78" s="15">
        <f>MIN(IF($AU78=100%,1,1+VLOOKUP(($AJ78-$AI78-$AH78-$AG78-$AF78-$AE78*(1+BT$3))/$AJ78,'Технический лист'!$M:$N,2,1)-VLOOKUP($AO78,'Технический лист'!$M:$N,2,1)),1+(1-$AU78))</f>
        <v>1</v>
      </c>
      <c r="BU78" s="15">
        <f>MIN(IF($AU78=100%,1,1+VLOOKUP(($AJ78-$AI78-$AH78-$AG78-$AF78-$AE78*(1+BU$3))/$AJ78,'Технический лист'!$M:$N,2,1)-VLOOKUP($AO78,'Технический лист'!$M:$N,2,1)),1+(1-$AU78))</f>
        <v>1</v>
      </c>
      <c r="BV78" s="15">
        <f>MIN(IF($AU78=100%,1,1+VLOOKUP(($AJ78-$AI78-$AH78-$AG78-$AF78-$AE78*(1+BV$3))/$AJ78,'Технический лист'!$M:$N,2,1)-VLOOKUP($AO78,'Технический лист'!$M:$N,2,1)),1+(1-$AU78))</f>
        <v>1</v>
      </c>
      <c r="BW78" s="15">
        <f>MIN(IF($AU78=100%,1,1+VLOOKUP(($AJ78-$AI78-$AH78-$AG78-$AF78-$AE78*(1+BW$3))/$AJ78,'Технический лист'!$M:$N,2,1)-VLOOKUP($AO78,'Технический лист'!$M:$N,2,1)),1+(1-$AU78))</f>
        <v>1</v>
      </c>
      <c r="BX78" s="15">
        <f>MIN(IF($AU78=100%,1,1+VLOOKUP(($AJ78-$AI78-$AH78-$AG78-$AF78-$AE78*(1+BX$3))/$AJ78,'Технический лист'!$M:$N,2,1)-VLOOKUP($AO78,'Технический лист'!$M:$N,2,1)),1+(1-$AU78))</f>
        <v>1</v>
      </c>
      <c r="BY78" s="15">
        <f>MIN(IF($AU78=100%,1,1+VLOOKUP(($AJ78-$AI78-$AH78-$AG78-$AF78-$AE78*(1+BY$3))/$AJ78,'Технический лист'!$M:$N,2,1)-VLOOKUP($AO78,'Технический лист'!$M:$N,2,1)),1+(1-$AU78))</f>
        <v>1</v>
      </c>
      <c r="BZ78" s="15">
        <f>MIN(IF($AU78=100%,1,1+VLOOKUP(($AJ78-$AI78-$AH78-$AG78-$AF78-$AE78*(1+BZ$3))/$AJ78,'Технический лист'!$M:$N,2,1)-VLOOKUP($AO78,'Технический лист'!$M:$N,2,1)),1+(1-$AU78))</f>
        <v>1</v>
      </c>
      <c r="CA78" s="15">
        <f>MIN(IF($AU78=100%,1,1+VLOOKUP(($AJ78-$AI78-$AH78-$AG78-$AF78-$AE78*(1+CA$3))/$AJ78,'Технический лист'!$M:$N,2,1)-VLOOKUP($AO78,'Технический лист'!$M:$N,2,1)),1+(1-$AU78))</f>
        <v>1</v>
      </c>
      <c r="CB78" s="15">
        <f>MIN(IF($AU78=100%,1,1+VLOOKUP(($AJ78-$AI78-$AH78-$AG78-$AF78-$AE78*(1+CB$3))/$AJ78,'Технический лист'!$M:$N,2,1)-VLOOKUP($AO78,'Технический лист'!$M:$N,2,1)),1+(1-$AU78))</f>
        <v>1</v>
      </c>
      <c r="CC78" s="15">
        <f>MIN(IF($AU78=100%,1,1+VLOOKUP(($AJ78-$AI78-$AH78-$AG78-$AF78-$AE78*(1+CC$3))/$AJ78,'Технический лист'!$M:$N,2,1)-VLOOKUP($AO78,'Технический лист'!$M:$N,2,1)),1+(1-$AU78))</f>
        <v>1</v>
      </c>
      <c r="CD78" s="15">
        <f>MIN(IF($AU78=100%,1,1+VLOOKUP(($AJ78-$AI78-$AH78-$AG78-$AF78-$AE78*(1+CD$3))/$AJ78,'Технический лист'!$M:$N,2,1)-VLOOKUP($AO78,'Технический лист'!$M:$N,2,1)),1+(1-$AU78))</f>
        <v>1</v>
      </c>
      <c r="CE78" s="15">
        <f>MIN(IF($AU78=100%,1,1+VLOOKUP(($AJ78-$AI78-$AH78-$AG78-$AF78-$AE78*(1+CE$3))/$AJ78,'Технический лист'!$M:$N,2,1)-VLOOKUP($AO78,'Технический лист'!$M:$N,2,1)),1+(1-$AU78))</f>
        <v>1</v>
      </c>
      <c r="CF78" s="15">
        <f>MIN(IF($AU78=100%,1,1+VLOOKUP(($AJ78-$AI78-$AH78-$AG78-$AF78-$AE78*(1+CF$3))/$AJ78,'Технический лист'!$M:$N,2,1)-VLOOKUP($AO78,'Технический лист'!$M:$N,2,1)),1+(1-$AU78))</f>
        <v>1</v>
      </c>
      <c r="CG78" s="15">
        <f>MIN(IF($AU78=100%,1,1+VLOOKUP(($AJ78-$AI78-$AH78-$AG78-$AF78-$AE78*(1+CG$3))/$AJ78,'Технический лист'!$M:$N,2,1)-VLOOKUP($AO78,'Технический лист'!$M:$N,2,1)),1+(1-$AU78))</f>
        <v>1</v>
      </c>
      <c r="CH78" s="15">
        <f>MIN(IF($AU78=100%,1,1+VLOOKUP(($AJ78-$AI78-$AH78-$AG78-$AF78-$AE78*(1+CH$3))/$AJ78,'Технический лист'!$M:$N,2,1)-VLOOKUP($AO78,'Технический лист'!$M:$N,2,1)),1+(1-$AU78))</f>
        <v>1</v>
      </c>
      <c r="CI78" s="15">
        <f>MIN(IF($AU78=100%,1,1+VLOOKUP(($AJ78-$AI78-$AH78-$AG78-$AF78-$AE78*(1+CI$3))/$AJ78,'Технический лист'!$M:$N,2,1)-VLOOKUP($AO78,'Технический лист'!$M:$N,2,1)),1+(1-$AU78))</f>
        <v>1</v>
      </c>
      <c r="CJ78" s="15">
        <f>MIN(IF($AU78=100%,1,1+VLOOKUP(($AJ78-$AI78-$AH78-$AG78-$AF78-$AE78*(1+CJ$3))/$AJ78,'Технический лист'!$M:$N,2,1)-VLOOKUP($AO78,'Технический лист'!$M:$N,2,1)),1+(1-$AU78))</f>
        <v>1</v>
      </c>
      <c r="CK78" s="15">
        <f>MIN(IF($AU78=100%,1,1+VLOOKUP(($AJ78-$AI78-$AH78-$AG78-$AF78-$AE78*(1+CK$3))/$AJ78,'Технический лист'!$M:$N,2,1)-VLOOKUP($AO78,'Технический лист'!$M:$N,2,1)),1+(1-$AU78))</f>
        <v>1</v>
      </c>
      <c r="CL78" s="15">
        <f>MIN(IF($AU78=100%,1,1+VLOOKUP(($AJ78-$AI78-$AH78-$AG78-$AF78-$AE78*(1+CL$3))/$AJ78,'Технический лист'!$M:$N,2,1)-VLOOKUP($AO78,'Технический лист'!$M:$N,2,1)),1+(1-$AU78))</f>
        <v>1</v>
      </c>
      <c r="CM78" s="15">
        <f>MIN(IF($AU78=100%,1,1+VLOOKUP(($AJ78-$AI78-$AH78-$AG78-$AF78-$AE78*(1+CM$3))/$AJ78,'Технический лист'!$M:$N,2,1)-VLOOKUP($AO78,'Технический лист'!$M:$N,2,1)),1+(1-$AU78))</f>
        <v>1</v>
      </c>
      <c r="CN78" s="15">
        <f>MIN(IF($AU78=100%,1,1+VLOOKUP(($AJ78-$AI78-$AH78-$AG78-$AF78-$AE78*(1+CN$3))/$AJ78,'Технический лист'!$M:$N,2,1)-VLOOKUP($AO78,'Технический лист'!$M:$N,2,1)),1+(1-$AU78))</f>
        <v>1</v>
      </c>
      <c r="CO78" s="15">
        <f>MIN(IF($AU78=100%,1,1+VLOOKUP(($AJ78-$AI78-$AH78-$AG78-$AF78-$AE78*(1+CO$3))/$AJ78,'Технический лист'!$M:$N,2,1)-VLOOKUP($AO78,'Технический лист'!$M:$N,2,1)),1+(1-$AU78))</f>
        <v>1</v>
      </c>
      <c r="CP78" s="15">
        <f>MIN(IF($AU78=100%,1,1+VLOOKUP(($AJ78-$AI78-$AH78-$AG78-$AF78-$AE78*(1+CP$3))/$AJ78,'Технический лист'!$M:$N,2,1)-VLOOKUP($AO78,'Технический лист'!$M:$N,2,1)),1+(1-$AU78))</f>
        <v>1</v>
      </c>
      <c r="CQ78" s="15">
        <f>MIN(IF($AU78=100%,1,1+VLOOKUP(($AJ78-$AI78-$AH78-$AG78-$AF78-$AE78*(1+CQ$3))/$AJ78,'Технический лист'!$M:$N,2,1)-VLOOKUP($AO78,'Технический лист'!$M:$N,2,1)),1+(1-$AU78))</f>
        <v>1</v>
      </c>
      <c r="CR78" s="15">
        <f>MIN(IF($AU78=100%,1,1+VLOOKUP(($AJ78-$AI78-$AH78-$AG78-$AF78-$AE78*(1+CR$3))/$AJ78,'Технический лист'!$M:$N,2,1)-VLOOKUP($AO78,'Технический лист'!$M:$N,2,1)),1+(1-$AU78))</f>
        <v>1</v>
      </c>
      <c r="CS78" s="15">
        <f>MIN(IF($AU78=100%,1,1+VLOOKUP(($AJ78-$AI78-$AH78-$AG78-$AF78-$AE78*(1+CS$3))/$AJ78,'Технический лист'!$M:$N,2,1)-VLOOKUP($AO78,'Технический лист'!$M:$N,2,1)),1+(1-$AU78))</f>
        <v>1</v>
      </c>
      <c r="CT78" s="15">
        <f>MIN(IF($AU78=100%,1,1+VLOOKUP(($AJ78-$AI78-$AH78-$AG78-$AF78-$AE78*(1+CT$3))/$AJ78,'Технический лист'!$M:$N,2,1)-VLOOKUP($AO78,'Технический лист'!$M:$N,2,1)),1+(1-$AU78))</f>
        <v>1</v>
      </c>
      <c r="CU78" s="15">
        <f>MIN(IF($AU78=100%,1,1+VLOOKUP(($AJ78-$AI78-$AH78-$AG78-$AF78-$AE78*(1+CU$3))/$AJ78,'Технический лист'!$M:$N,2,1)-VLOOKUP($AO78,'Технический лист'!$M:$N,2,1)),1+(1-$AU78))</f>
        <v>1</v>
      </c>
      <c r="CV78" s="15">
        <f>MIN(IF($AU78=100%,1,1+VLOOKUP(($AJ78-$AI78-$AH78-$AG78-$AF78-$AE78*(1+CV$3))/$AJ78,'Технический лист'!$M:$N,2,1)-VLOOKUP($AO78,'Технический лист'!$M:$N,2,1)),1+(1-$AU78))</f>
        <v>1</v>
      </c>
      <c r="CW78" s="15">
        <f>MIN(IF($AU78=100%,1,1+VLOOKUP(($AJ78-$AI78-$AH78-$AG78-$AF78-$AE78*(1+CW$3))/$AJ78,'Технический лист'!$M:$N,2,1)-VLOOKUP($AO78,'Технический лист'!$M:$N,2,1)),1+(1-$AU78))</f>
        <v>1</v>
      </c>
      <c r="CX78" s="15">
        <f>MIN(IF($AU78=100%,1,1+VLOOKUP(($AJ78-$AI78-$AH78-$AG78-$AF78-$AE78*(1+CX$3))/$AJ78,'Технический лист'!$M:$N,2,1)-VLOOKUP($AO78,'Технический лист'!$M:$N,2,1)),1+(1-$AU78))</f>
        <v>1</v>
      </c>
      <c r="CY78" s="15">
        <f>MIN(IF($AU78=100%,1,1+VLOOKUP(($AJ78-$AI78-$AH78-$AG78-$AF78-$AE78*(1+CY$3))/$AJ78,'Технический лист'!$M:$N,2,1)-VLOOKUP($AO78,'Технический лист'!$M:$N,2,1)),1+(1-$AU78))</f>
        <v>1</v>
      </c>
      <c r="CZ78" s="15">
        <f>MIN(IF($AU78=100%,1,1+VLOOKUP(($AJ78-$AI78-$AH78-$AG78-$AF78-$AE78*(1+CZ$3))/$AJ78,'Технический лист'!$M:$N,2,1)-VLOOKUP($AO78,'Технический лист'!$M:$N,2,1)),1+(1-$AU78))</f>
        <v>1</v>
      </c>
      <c r="DA78" s="15">
        <f>MIN(IF($AU78=100%,1,1+VLOOKUP(($AJ78-$AI78-$AH78-$AG78-$AF78-$AE78*(1+DA$3))/$AJ78,'Технический лист'!$M:$N,2,1)-VLOOKUP($AO78,'Технический лист'!$M:$N,2,1)),1+(1-$AU78))</f>
        <v>1</v>
      </c>
      <c r="DB78" s="15">
        <f>MIN(IF($AU78=100%,1,1+VLOOKUP(($AJ78-$AI78-$AH78-$AG78-$AF78-$AE78*(1+DB$3))/$AJ78,'Технический лист'!$M:$N,2,1)-VLOOKUP($AO78,'Технический лист'!$M:$N,2,1)),1+(1-$AU78))</f>
        <v>1</v>
      </c>
      <c r="DC78" s="15">
        <f>MIN(IF($AU78=100%,1,1+VLOOKUP(($AJ78-$AI78-$AH78-$AG78-$AF78-$AE78*(1+DC$3))/$AJ78,'Технический лист'!$M:$N,2,1)-VLOOKUP($AO78,'Технический лист'!$M:$N,2,1)),1+(1-$AU78))</f>
        <v>1</v>
      </c>
      <c r="DD78" s="15">
        <f>MIN(IF($AU78=100%,1,1+VLOOKUP(($AJ78-$AI78-$AH78-$AG78-$AF78-$AE78*(1+DD$3))/$AJ78,'Технический лист'!$M:$N,2,1)-VLOOKUP($AO78,'Технический лист'!$M:$N,2,1)),1+(1-$AU78))</f>
        <v>1</v>
      </c>
      <c r="DE78" s="15">
        <f>MIN(IF($AU78=100%,1,1+VLOOKUP(($AJ78-$AI78-$AH78-$AG78-$AF78-$AE78*(1+DE$3))/$AJ78,'Технический лист'!$M:$N,2,1)-VLOOKUP($AO78,'Технический лист'!$M:$N,2,1)),1+(1-$AU78))</f>
        <v>1</v>
      </c>
      <c r="DF78" s="15">
        <f>MIN(IF($AU78=100%,1,1+VLOOKUP(($AJ78-$AI78-$AH78-$AG78-$AF78-$AE78*(1+DF$3))/$AJ78,'Технический лист'!$M:$N,2,1)-VLOOKUP($AO78,'Технический лист'!$M:$N,2,1)),1+(1-$AU78))</f>
        <v>1</v>
      </c>
      <c r="DG78" s="15">
        <f>MIN(IF($AU78=100%,1,1+VLOOKUP(($AJ78-$AI78-$AH78-$AG78-$AF78-$AE78*(1+DG$3))/$AJ78,'Технический лист'!$M:$N,2,1)-VLOOKUP($AO78,'Технический лист'!$M:$N,2,1)),1+(1-$AU78))</f>
        <v>1</v>
      </c>
      <c r="DH78" s="15">
        <f>MIN(IF($AU78=100%,1,1+VLOOKUP(($AJ78-$AI78-$AH78-$AG78-$AF78-$AE78*(1+DH$3))/$AJ78,'Технический лист'!$M:$N,2,1)-VLOOKUP($AO78,'Технический лист'!$M:$N,2,1)),1+(1-$AU78))</f>
        <v>1</v>
      </c>
      <c r="DI78" s="15">
        <f>MIN(IF($AU78=100%,1,1+VLOOKUP(($AJ78-$AI78-$AH78-$AG78-$AF78-$AE78*(1+DI$3))/$AJ78,'Технический лист'!$M:$N,2,1)-VLOOKUP($AO78,'Технический лист'!$M:$N,2,1)),1+(1-$AU78))</f>
        <v>1</v>
      </c>
      <c r="DJ78" s="15">
        <f>MIN(IF($AU78=100%,1,1+VLOOKUP(($AJ78-$AI78-$AH78-$AG78-$AF78-$AE78*(1+DJ$3))/$AJ78,'Технический лист'!$M:$N,2,1)-VLOOKUP($AO78,'Технический лист'!$M:$N,2,1)),1+(1-$AU78))</f>
        <v>1</v>
      </c>
      <c r="DK78" s="15">
        <f>MIN(IF($AU78=100%,1,1+VLOOKUP(($AJ78-$AI78-$AH78-$AG78-$AF78-$AE78*(1+DK$3))/$AJ78,'Технический лист'!$M:$N,2,1)-VLOOKUP($AO78,'Технический лист'!$M:$N,2,1)),1+(1-$AU78))</f>
        <v>1</v>
      </c>
      <c r="DL78" s="15">
        <f>MIN(IF($AU78=100%,1,1+VLOOKUP(($AJ78-$AI78-$AH78-$AG78-$AF78-$AE78*(1+DL$3))/$AJ78,'Технический лист'!$M:$N,2,1)-VLOOKUP($AO78,'Технический лист'!$M:$N,2,1)),1+(1-$AU78))</f>
        <v>1</v>
      </c>
      <c r="DM78" s="15">
        <f>MIN(IF($AU78=100%,1,1+VLOOKUP(($AJ78-$AI78-$AH78-$AG78-$AF78-$AE78*(1+DM$3))/$AJ78,'Технический лист'!$M:$N,2,1)-VLOOKUP($AO78,'Технический лист'!$M:$N,2,1)),1+(1-$AU78))</f>
        <v>1</v>
      </c>
      <c r="DN78" s="15">
        <f>MIN(IF($AU78=100%,1,1+VLOOKUP(($AJ78-$AI78-$AH78-$AG78-$AF78-$AE78*(1+DN$3))/$AJ78,'Технический лист'!$M:$N,2,1)-VLOOKUP($AO78,'Технический лист'!$M:$N,2,1)),1+(1-$AU78))</f>
        <v>1</v>
      </c>
      <c r="DO78" s="15">
        <f>MIN(IF($AU78=100%,1,1+VLOOKUP(($AJ78-$AI78-$AH78-$AG78-$AF78-$AE78*(1+DO$3))/$AJ78,'Технический лист'!$M:$N,2,1)-VLOOKUP($AO78,'Технический лист'!$M:$N,2,1)),1+(1-$AU78))</f>
        <v>1</v>
      </c>
      <c r="DP78" s="15">
        <f>MIN(IF($AU78=100%,1,1+VLOOKUP(($AJ78-$AI78-$AH78-$AG78-$AF78-$AE78*(1+DP$3))/$AJ78,'Технический лист'!$M:$N,2,1)-VLOOKUP($AO78,'Технический лист'!$M:$N,2,1)),1+(1-$AU78))</f>
        <v>1</v>
      </c>
      <c r="DQ78" s="15">
        <f>MIN(IF($AU78=100%,1,1+VLOOKUP(($AJ78-$AI78-$AH78-$AG78-$AF78-$AE78*(1+DQ$3))/$AJ78,'Технический лист'!$M:$N,2,1)-VLOOKUP($AO78,'Технический лист'!$M:$N,2,1)),1+(1-$AU78))</f>
        <v>1</v>
      </c>
      <c r="DR78" s="15">
        <f>MIN(IF($AU78=100%,1,1+VLOOKUP(($AJ78-$AI78-$AH78-$AG78-$AF78-$AE78*(1+DR$3))/$AJ78,'Технический лист'!$M:$N,2,1)-VLOOKUP($AO78,'Технический лист'!$M:$N,2,1)),1+(1-$AU78))</f>
        <v>1</v>
      </c>
      <c r="DS78" s="15">
        <f>MIN(IF($AU78=100%,1,1+VLOOKUP(($AJ78-$AI78-$AH78-$AG78-$AF78-$AE78*(1+DS$3))/$AJ78,'Технический лист'!$M:$N,2,1)-VLOOKUP($AO78,'Технический лист'!$M:$N,2,1)),1+(1-$AU78))</f>
        <v>1</v>
      </c>
      <c r="DT78" s="15">
        <f>MIN(IF($AU78=100%,1,1+VLOOKUP(($AJ78-$AI78-$AH78-$AG78-$AF78-$AE78*(1+DT$3))/$AJ78,'Технический лист'!$M:$N,2,1)-VLOOKUP($AO78,'Технический лист'!$M:$N,2,1)),1+(1-$AU78))</f>
        <v>1</v>
      </c>
      <c r="DU78" s="15">
        <f>MIN(IF($AU78=100%,1,1+VLOOKUP(($AJ78-$AI78-$AH78-$AG78-$AF78-$AE78*(1+DU$3))/$AJ78,'Технический лист'!$M:$N,2,1)-VLOOKUP($AO78,'Технический лист'!$M:$N,2,1)),1+(1-$AU78))</f>
        <v>1</v>
      </c>
      <c r="DV78" s="15">
        <f>MIN(IF($AU78=100%,1,1+VLOOKUP(($AJ78-$AI78-$AH78-$AG78-$AF78-$AE78*(1+DV$3))/$AJ78,'Технический лист'!$M:$N,2,1)-VLOOKUP($AO78,'Технический лист'!$M:$N,2,1)),1+(1-$AU78))</f>
        <v>1</v>
      </c>
      <c r="DW78" s="15">
        <f>MIN(IF($AU78=100%,1,1+VLOOKUP(($AJ78-$AI78-$AH78-$AG78-$AF78-$AE78*(1+DW$3))/$AJ78,'Технический лист'!$M:$N,2,1)-VLOOKUP($AO78,'Технический лист'!$M:$N,2,1)),1+(1-$AU78))</f>
        <v>1</v>
      </c>
      <c r="DX78" s="15">
        <f>MIN(IF($AU78=100%,1,1+VLOOKUP(($AJ78-$AI78-$AH78-$AG78-$AF78-$AE78*(1+DX$3))/$AJ78,'Технический лист'!$M:$N,2,1)-VLOOKUP($AO78,'Технический лист'!$M:$N,2,1)),1+(1-$AU78))</f>
        <v>1</v>
      </c>
      <c r="DY78" s="15">
        <f>MIN(IF($AU78=100%,1,1+VLOOKUP(($AJ78-$AI78-$AH78-$AG78-$AF78-$AE78*(1+DY$3))/$AJ78,'Технический лист'!$M:$N,2,1)-VLOOKUP($AO78,'Технический лист'!$M:$N,2,1)),1+(1-$AU78))</f>
        <v>1</v>
      </c>
      <c r="DZ78" s="15">
        <f>MIN(IF($AU78=100%,1,1+VLOOKUP(($AJ78-$AI78-$AH78-$AG78-$AF78-$AE78*(1+DZ$3))/$AJ78,'Технический лист'!$M:$N,2,1)-VLOOKUP($AO78,'Технический лист'!$M:$N,2,1)),1+(1-$AU78))</f>
        <v>1</v>
      </c>
      <c r="EA78" s="15">
        <f>MIN(IF($AU78=100%,1,1+VLOOKUP(($AJ78-$AI78-$AH78-$AG78-$AF78-$AE78*(1+EA$3))/$AJ78,'Технический лист'!$M:$N,2,1)-VLOOKUP($AO78,'Технический лист'!$M:$N,2,1)),1+(1-$AU78))</f>
        <v>1</v>
      </c>
      <c r="EB78" s="15">
        <f>MIN(IF($AU78=100%,1,1+VLOOKUP(($AJ78-$AI78-$AH78-$AG78-$AF78-$AE78*(1+EB$3))/$AJ78,'Технический лист'!$M:$N,2,1)-VLOOKUP($AO78,'Технический лист'!$M:$N,2,1)),1+(1-$AU78))</f>
        <v>1</v>
      </c>
      <c r="EC78" s="15">
        <f>MIN(IF($AU78=100%,1,1+VLOOKUP(($AJ78-$AI78-$AH78-$AG78-$AF78-$AE78*(1+EC$3))/$AJ78,'Технический лист'!$M:$N,2,1)-VLOOKUP($AO78,'Технический лист'!$M:$N,2,1)),1+(1-$AU78))</f>
        <v>1</v>
      </c>
      <c r="ED78" s="15">
        <f>MIN(IF($AU78=100%,1,1+VLOOKUP(($AJ78-$AI78-$AH78-$AG78-$AF78-$AE78*(1+ED$3))/$AJ78,'Технический лист'!$M:$N,2,1)-VLOOKUP($AO78,'Технический лист'!$M:$N,2,1)),1+(1-$AU78))</f>
        <v>1</v>
      </c>
      <c r="EE78" s="15">
        <f>MIN(IF($AU78=100%,1,1+VLOOKUP(($AJ78-$AI78-$AH78-$AG78-$AF78-$AE78*(1+EE$3))/$AJ78,'Технический лист'!$M:$N,2,1)-VLOOKUP($AO78,'Технический лист'!$M:$N,2,1)),1+(1-$AU78))</f>
        <v>1</v>
      </c>
      <c r="EF78" s="15">
        <f>MIN(IF($AU78=100%,1,1+VLOOKUP(($AJ78-$AI78-$AH78-$AG78-$AF78-$AE78*(1+EF$3))/$AJ78,'Технический лист'!$M:$N,2,1)-VLOOKUP($AO78,'Технический лист'!$M:$N,2,1)),1+(1-$AU78))</f>
        <v>1</v>
      </c>
      <c r="EG78" s="15">
        <f>MIN(IF($AU78=100%,1,1+VLOOKUP(($AJ78-$AI78-$AH78-$AG78-$AF78-$AE78*(1+EG$3))/$AJ78,'Технический лист'!$M:$N,2,1)-VLOOKUP($AO78,'Технический лист'!$M:$N,2,1)),1+(1-$AU78))</f>
        <v>1</v>
      </c>
      <c r="EH78" s="15">
        <f>MIN(IF($AU78=100%,1,1+VLOOKUP(($AJ78-$AI78-$AH78-$AG78-$AF78-$AE78*(1+EH$3))/$AJ78,'Технический лист'!$M:$N,2,1)-VLOOKUP($AO78,'Технический лист'!$M:$N,2,1)),1+(1-$AU78))</f>
        <v>1</v>
      </c>
      <c r="EI78" s="15">
        <f>MIN(IF($AU78=100%,1,1+VLOOKUP(($AJ78-$AI78-$AH78-$AG78-$AF78-$AE78*(1+EI$3))/$AJ78,'Технический лист'!$M:$N,2,1)-VLOOKUP($AO78,'Технический лист'!$M:$N,2,1)),1+(1-$AU78))</f>
        <v>1</v>
      </c>
      <c r="EJ78" s="15">
        <f>MIN(IF($AU78=100%,1,1+VLOOKUP(($AJ78-$AI78-$AH78-$AG78-$AF78-$AE78*(1+EJ$3))/$AJ78,'Технический лист'!$M:$N,2,1)-VLOOKUP($AO78,'Технический лист'!$M:$N,2,1)),1+(1-$AU78))</f>
        <v>1</v>
      </c>
      <c r="EK78" s="15">
        <f>MIN(IF($AU78=100%,1,1+VLOOKUP(($AJ78-$AI78-$AH78-$AG78-$AF78-$AE78*(1+EK$3))/$AJ78,'Технический лист'!$M:$N,2,1)-VLOOKUP($AO78,'Технический лист'!$M:$N,2,1)),1+(1-$AU78))</f>
        <v>1</v>
      </c>
      <c r="EL78" s="15">
        <f>MIN(IF($AU78=100%,1,1+VLOOKUP(($AJ78-$AI78-$AH78-$AG78-$AF78-$AE78*(1+EL$3))/$AJ78,'Технический лист'!$M:$N,2,1)-VLOOKUP($AO78,'Технический лист'!$M:$N,2,1)),1+(1-$AU78))</f>
        <v>1</v>
      </c>
      <c r="EM78" s="15">
        <f>MIN(IF($AU78=100%,1,1+VLOOKUP(($AJ78-$AI78-$AH78-$AG78-$AF78-$AE78*(1+EM$3))/$AJ78,'Технический лист'!$M:$N,2,1)-VLOOKUP($AO78,'Технический лист'!$M:$N,2,1)),1+(1-$AU78))</f>
        <v>1</v>
      </c>
      <c r="EN78" s="15">
        <f>MIN(IF($AU78=100%,1,1+VLOOKUP(($AJ78-$AI78-$AH78-$AG78-$AF78-$AE78*(1+EN$3))/$AJ78,'Технический лист'!$M:$N,2,1)-VLOOKUP($AO78,'Технический лист'!$M:$N,2,1)),1+(1-$AU78))</f>
        <v>1</v>
      </c>
      <c r="EO78" s="15">
        <f>MIN(IF($AU78=100%,1,1+VLOOKUP(($AJ78-$AI78-$AH78-$AG78-$AF78-$AE78*(1+EO$3))/$AJ78,'Технический лист'!$M:$N,2,1)-VLOOKUP($AO78,'Технический лист'!$M:$N,2,1)),1+(1-$AU78))</f>
        <v>1</v>
      </c>
      <c r="EP78" s="15">
        <f>MIN(IF($AU78=100%,1,1+VLOOKUP(($AJ78-$AI78-$AH78-$AG78-$AF78-$AE78*(1+EP$3))/$AJ78,'Технический лист'!$M:$N,2,1)-VLOOKUP($AO78,'Технический лист'!$M:$N,2,1)),1+(1-$AU78))</f>
        <v>1</v>
      </c>
      <c r="EQ78" s="15">
        <f>MIN(IF($AU78=100%,1,1+VLOOKUP(($AJ78-$AI78-$AH78-$AG78-$AF78-$AE78*(1+EQ$3))/$AJ78,'Технический лист'!$M:$N,2,1)-VLOOKUP($AO78,'Технический лист'!$M:$N,2,1)),1+(1-$AU78))</f>
        <v>1</v>
      </c>
      <c r="ER78" s="15">
        <f>MIN(IF($AU78=100%,1,1+VLOOKUP(($AJ78-$AI78-$AH78-$AG78-$AF78-$AE78*(1+ER$3))/$AJ78,'Технический лист'!$M:$N,2,1)-VLOOKUP($AO78,'Технический лист'!$M:$N,2,1)),1+(1-$AU78))</f>
        <v>1</v>
      </c>
      <c r="ES78" s="15">
        <f>MIN(IF($AU78=100%,1,1+VLOOKUP(($AJ78-$AI78-$AH78-$AG78-$AF78-$AE78*(1+ES$3))/$AJ78,'Технический лист'!$M:$N,2,1)-VLOOKUP($AO78,'Технический лист'!$M:$N,2,1)),1+(1-$AU78))</f>
        <v>1</v>
      </c>
      <c r="ET78" s="15">
        <f>MIN(IF($AU78=100%,1,1+VLOOKUP(($AJ78-$AI78-$AH78-$AG78-$AF78-$AE78*(1+ET$3))/$AJ78,'Технический лист'!$M:$N,2,1)-VLOOKUP($AO78,'Технический лист'!$M:$N,2,1)),1+(1-$AU78))</f>
        <v>1</v>
      </c>
      <c r="EU78" s="15">
        <f>MIN(IF($AU78=100%,1,1+VLOOKUP(($AJ78-$AI78-$AH78-$AG78-$AF78-$AE78*(1+EU$3))/$AJ78,'Технический лист'!$M:$N,2,1)-VLOOKUP($AO78,'Технический лист'!$M:$N,2,1)),1+(1-$AU78))</f>
        <v>1</v>
      </c>
      <c r="EV78" s="111">
        <v>1</v>
      </c>
      <c r="EW78" s="15">
        <f>MIN(1,MAX(VLOOKUP(($AJ78-$AI78-$AH78-$AG78-$AF78-$AE78*(1+EW$3))/$AJ78,'Технический лист'!$M:$N,2,1),(EV78-0.05)))</f>
        <v>1</v>
      </c>
      <c r="EX78" s="15">
        <f>MIN(1,MAX(VLOOKUP(($AJ78-$AI78-$AH78-$AG78-$AF78-$AE78*(1+EX$3))/$AJ78,'Технический лист'!$M:$N,2,1),(EW78-0.05)))</f>
        <v>1</v>
      </c>
      <c r="EY78" s="15">
        <f>MIN(1,MAX(VLOOKUP(($AJ78-$AI78-$AH78-$AG78-$AF78-$AE78*(1+EY$3))/$AJ78,'Технический лист'!$M:$N,2,1),(EX78-0.05)))</f>
        <v>1</v>
      </c>
      <c r="EZ78" s="15">
        <f>MIN(1,MAX(VLOOKUP(($AJ78-$AI78-$AH78-$AG78-$AF78-$AE78*(1+EZ$3))/$AJ78,'Технический лист'!$M:$N,2,1),(EY78-0.05)))</f>
        <v>1</v>
      </c>
      <c r="FA78" s="15">
        <f>MIN(1,MAX(VLOOKUP(($AJ78-$AI78-$AH78-$AG78-$AF78-$AE78*(1+FA$3))/$AJ78,'Технический лист'!$M:$N,2,1),(EZ78-0.05)))</f>
        <v>1</v>
      </c>
      <c r="FB78" s="15">
        <f>MIN(1,MAX(VLOOKUP(($AJ78-$AI78-$AH78-$AG78-$AF78-$AE78*(1+FB$3))/$AJ78,'Технический лист'!$M:$N,2,1),(FA78-0.05)))</f>
        <v>1</v>
      </c>
      <c r="FC78" s="15">
        <f>MIN(1,MAX(VLOOKUP(($AJ78-$AI78-$AH78-$AG78-$AF78-$AE78*(1+FC$3))/$AJ78,'Технический лист'!$M:$N,2,1),(FB78-0.05)))</f>
        <v>1</v>
      </c>
      <c r="FD78" s="15">
        <f>MIN(1,MAX(VLOOKUP(($AJ78-$AI78-$AH78-$AG78-$AF78-$AE78*(1+FD$3))/$AJ78,'Технический лист'!$M:$N,2,1),(FC78-0.05)))</f>
        <v>1</v>
      </c>
      <c r="FE78" s="15">
        <f>MIN(1,MAX(VLOOKUP(($AJ78-$AI78-$AH78-$AG78-$AF78-$AE78*(1+FE$3))/$AJ78,'Технический лист'!$M:$N,2,1),(FD78-0.05)))</f>
        <v>1</v>
      </c>
      <c r="FF78" s="15">
        <f>MIN(1,MAX(VLOOKUP(($AJ78-$AI78-$AH78-$AG78-$AF78-$AE78*(1+FF$3))/$AJ78,'Технический лист'!$M:$N,2,1),(FE78-0.05)))</f>
        <v>1</v>
      </c>
      <c r="FG78" s="15">
        <f>MIN(1,MAX(VLOOKUP(($AJ78-$AI78-$AH78-$AG78-$AF78-$AE78*(1+FG$3))/$AJ78,'Технический лист'!$M:$N,2,1),(FF78-0.05)))</f>
        <v>1</v>
      </c>
      <c r="FH78" s="15">
        <f>MIN(1,MAX(VLOOKUP(($AJ78-$AI78-$AH78-$AG78-$AF78-$AE78*(1+FH$3))/$AJ78,'Технический лист'!$M:$N,2,1),(FG78-0.05)))</f>
        <v>1</v>
      </c>
      <c r="FI78" s="15">
        <f>MIN(1,MAX(VLOOKUP(($AJ78-$AI78-$AH78-$AG78-$AF78-$AE78*(1+FI$3))/$AJ78,'Технический лист'!$M:$N,2,1),(FH78-0.05)))</f>
        <v>1</v>
      </c>
      <c r="FJ78" s="15">
        <f>MIN(1,MAX(VLOOKUP(($AJ78-$AI78-$AH78-$AG78-$AF78-$AE78*(1+FJ$3))/$AJ78,'Технический лист'!$M:$N,2,1),(FI78-0.05)))</f>
        <v>1</v>
      </c>
      <c r="FK78" s="15">
        <f>MIN(1,MAX(VLOOKUP(($AJ78-$AI78-$AH78-$AG78-$AF78-$AE78*(1+FK$3))/$AJ78,'Технический лист'!$M:$N,2,1),(FJ78-0.05)))</f>
        <v>1</v>
      </c>
      <c r="FL78" s="15">
        <f>MIN(1,MAX(VLOOKUP(($AJ78-$AI78-$AH78-$AG78-$AF78-$AE78*(1+FL$3))/$AJ78,'Технический лист'!$M:$N,2,1),(FK78-0.05)))</f>
        <v>1</v>
      </c>
      <c r="FM78" s="15">
        <f>MIN(1,MAX(VLOOKUP(($AJ78-$AI78-$AH78-$AG78-$AF78-$AE78*(1+FM$3))/$AJ78,'Технический лист'!$M:$N,2,1),(FL78-0.05)))</f>
        <v>1</v>
      </c>
      <c r="FN78" s="15">
        <f>MIN(1,MAX(VLOOKUP(($AJ78-$AI78-$AH78-$AG78-$AF78-$AE78*(1+FN$3))/$AJ78,'Технический лист'!$M:$N,2,1),(FM78-0.05)))</f>
        <v>1</v>
      </c>
      <c r="FO78" s="15">
        <f>MIN(1,MAX(VLOOKUP(($AJ78-$AI78-$AH78-$AG78-$AF78-$AE78*(1+FO$3))/$AJ78,'Технический лист'!$M:$N,2,1),(FN78-0.05)))</f>
        <v>1</v>
      </c>
      <c r="FP78" s="15">
        <f>MIN(1,MAX(VLOOKUP(($AJ78-$AI78-$AH78-$AG78-$AF78-$AE78*(1+FP$3))/$AJ78,'Технический лист'!$M:$N,2,1),(FO78-0.05)))</f>
        <v>1</v>
      </c>
      <c r="FQ78" s="15">
        <f>MIN(1,MAX(VLOOKUP(($AJ78-$AI78-$AH78-$AG78-$AF78-$AE78*(1+FQ$3))/$AJ78,'Технический лист'!$M:$N,2,1),(FP78-0.05)))</f>
        <v>1</v>
      </c>
      <c r="FR78" s="15">
        <f>MIN(1,MAX(VLOOKUP(($AJ78-$AI78-$AH78-$AG78-$AF78-$AE78*(1+FR$3))/$AJ78,'Технический лист'!$M:$N,2,1),(FQ78-0.05)))</f>
        <v>1</v>
      </c>
      <c r="FS78" s="15">
        <f>MIN(1,MAX(VLOOKUP(($AJ78-$AI78-$AH78-$AG78-$AF78-$AE78*(1+FS$3))/$AJ78,'Технический лист'!$M:$N,2,1),(FR78-0.05)))</f>
        <v>1</v>
      </c>
      <c r="FT78" s="15">
        <f>MIN(1,MAX(VLOOKUP(($AJ78-$AI78-$AH78-$AG78-$AF78-$AE78*(1+FT$3))/$AJ78,'Технический лист'!$M:$N,2,1),(FS78-0.05)))</f>
        <v>1</v>
      </c>
      <c r="FU78" s="15">
        <f>MIN(1,MAX(VLOOKUP(($AJ78-$AI78-$AH78-$AG78-$AF78-$AE78*(1+FU$3))/$AJ78,'Технический лист'!$M:$N,2,1),(FT78-0.05)))</f>
        <v>1</v>
      </c>
      <c r="FV78" s="15">
        <f>MIN(1,MAX(VLOOKUP(($AJ78-$AI78-$AH78-$AG78-$AF78-$AE78*(1+FV$3))/$AJ78,'Технический лист'!$M:$N,2,1),(FU78-0.05)))</f>
        <v>1</v>
      </c>
      <c r="FW78" s="15">
        <f>MIN(1,MAX(VLOOKUP(($AJ78-$AI78-$AH78-$AG78-$AF78-$AE78*(1+FW$3))/$AJ78,'Технический лист'!$M:$N,2,1),(FV78-0.05)))</f>
        <v>1</v>
      </c>
      <c r="FX78" s="15">
        <f>MIN(1,MAX(VLOOKUP(($AJ78-$AI78-$AH78-$AG78-$AF78-$AE78*(1+FX$3))/$AJ78,'Технический лист'!$M:$N,2,1),(FW78-0.05)))</f>
        <v>1</v>
      </c>
      <c r="FY78" s="15">
        <f>MIN(1,MAX(VLOOKUP(($AJ78-$AI78-$AH78-$AG78-$AF78-$AE78*(1+FY$3))/$AJ78,'Технический лист'!$M:$N,2,1),(FX78-0.05)))</f>
        <v>1</v>
      </c>
      <c r="FZ78" s="15">
        <f>MIN(1,MAX(VLOOKUP(($AJ78-$AI78-$AH78-$AG78-$AF78-$AE78*(1+FZ$3))/$AJ78,'Технический лист'!$M:$N,2,1),(FY78-0.05)))</f>
        <v>1</v>
      </c>
      <c r="GA78" s="15">
        <f>MIN(1,MAX(VLOOKUP(($AJ78-$AI78-$AH78-$AG78-$AF78-$AE78*(1+GA$3))/$AJ78,'Технический лист'!$M:$N,2,1),(FZ78-0.05)))</f>
        <v>1</v>
      </c>
      <c r="GB78" s="15">
        <f>MIN(1,MAX(VLOOKUP(($AJ78-$AI78-$AH78-$AG78-$AF78-$AE78*(1+GB$3))/$AJ78,'Технический лист'!$M:$N,2,1),(GA78-0.05)))</f>
        <v>1</v>
      </c>
      <c r="GC78" s="15">
        <f>MIN(1,MAX(VLOOKUP(($AJ78-$AI78-$AH78-$AG78-$AF78-$AE78*(1+GC$3))/$AJ78,'Технический лист'!$M:$N,2,1),(GB78-0.05)))</f>
        <v>1</v>
      </c>
      <c r="GD78" s="15">
        <f>MIN(1,MAX(VLOOKUP(($AJ78-$AI78-$AH78-$AG78-$AF78-$AE78*(1+GD$3))/$AJ78,'Технический лист'!$M:$N,2,1),(GC78-0.05)))</f>
        <v>1</v>
      </c>
      <c r="GE78" s="15">
        <f>MIN(1,MAX(VLOOKUP(($AJ78-$AI78-$AH78-$AG78-$AF78-$AE78*(1+GE$3))/$AJ78,'Технический лист'!$M:$N,2,1),(GD78-0.05)))</f>
        <v>1</v>
      </c>
      <c r="GF78" s="15">
        <f>MIN(1,MAX(VLOOKUP(($AJ78-$AI78-$AH78-$AG78-$AF78-$AE78*(1+GF$3))/$AJ78,'Технический лист'!$M:$N,2,1),(GE78-0.05)))</f>
        <v>1</v>
      </c>
      <c r="GG78" s="15">
        <f>MIN(1,MAX(VLOOKUP(($AJ78-$AI78-$AH78-$AG78-$AF78-$AE78*(1+GG$3))/$AJ78,'Технический лист'!$M:$N,2,1),(GF78-0.05)))</f>
        <v>1</v>
      </c>
      <c r="GH78" s="15">
        <f>MIN(1,MAX(VLOOKUP(($AJ78-$AI78-$AH78-$AG78-$AF78-$AE78*(1+GH$3))/$AJ78,'Технический лист'!$M:$N,2,1),(GG78-0.05)))</f>
        <v>1</v>
      </c>
      <c r="GI78" s="15">
        <f>MIN(1,MAX(VLOOKUP(($AJ78-$AI78-$AH78-$AG78-$AF78-$AE78*(1+GI$3))/$AJ78,'Технический лист'!$M:$N,2,1),(GH78-0.05)))</f>
        <v>1</v>
      </c>
      <c r="GJ78" s="15">
        <f>MIN(1,MAX(VLOOKUP(($AJ78-$AI78-$AH78-$AG78-$AF78-$AE78*(1+GJ$3))/$AJ78,'Технический лист'!$M:$N,2,1),(GI78-0.05)))</f>
        <v>1</v>
      </c>
      <c r="GK78" s="15">
        <f>MIN(1,MAX(VLOOKUP(($AJ78-$AI78-$AH78-$AG78-$AF78-$AE78*(1+GK$3))/$AJ78,'Технический лист'!$M:$N,2,1),(GJ78-0.05)))</f>
        <v>1</v>
      </c>
      <c r="GL78" s="15">
        <f>MIN(1,MAX(VLOOKUP(($AJ78-$AI78-$AH78-$AG78-$AF78-$AE78*(1+GL$3))/$AJ78,'Технический лист'!$M:$N,2,1),(GK78-0.05)))</f>
        <v>1</v>
      </c>
      <c r="GM78" s="15">
        <f>MIN(1,MAX(VLOOKUP(($AJ78-$AI78-$AH78-$AG78-$AF78-$AE78*(1+GM$3))/$AJ78,'Технический лист'!$M:$N,2,1),(GL78-0.05)))</f>
        <v>1</v>
      </c>
      <c r="GN78" s="15">
        <f>MIN(1,MAX(VLOOKUP(($AJ78-$AI78-$AH78-$AG78-$AF78-$AE78*(1+GN$3))/$AJ78,'Технический лист'!$M:$N,2,1),(GM78-0.05)))</f>
        <v>1</v>
      </c>
      <c r="GO78" s="15">
        <f>MIN(1,MAX(VLOOKUP(($AJ78-$AI78-$AH78-$AG78-$AF78-$AE78*(1+GO$3))/$AJ78,'Технический лист'!$M:$N,2,1),(GN78-0.05)))</f>
        <v>1</v>
      </c>
      <c r="GP78" s="15">
        <f>MIN(1,MAX(VLOOKUP(($AJ78-$AI78-$AH78-$AG78-$AF78-$AE78*(1+GP$3))/$AJ78,'Технический лист'!$M:$N,2,1),(GO78-0.05)))</f>
        <v>1</v>
      </c>
      <c r="GQ78" s="15">
        <f>MIN(1,MAX(VLOOKUP(($AJ78-$AI78-$AH78-$AG78-$AF78-$AE78*(1+GQ$3))/$AJ78,'Технический лист'!$M:$N,2,1),(GP78-0.05)))</f>
        <v>1</v>
      </c>
      <c r="GR78" s="15">
        <f>MIN(1,MAX(VLOOKUP(($AJ78-$AI78-$AH78-$AG78-$AF78-$AE78*(1+GR$3))/$AJ78,'Технический лист'!$M:$N,2,1),(GQ78-0.05)))</f>
        <v>1</v>
      </c>
      <c r="GS78" s="15">
        <f>MIN(1,MAX(VLOOKUP(($AJ78-$AI78-$AH78-$AG78-$AF78-$AE78*(1+GS$3))/$AJ78,'Технический лист'!$M:$N,2,1),(GR78-0.05)))</f>
        <v>1</v>
      </c>
      <c r="GT78" s="15">
        <f>MIN(1,MAX(VLOOKUP(($AJ78-$AI78-$AH78-$AG78-$AF78-$AE78*(1+GT$3))/$AJ78,'Технический лист'!$M:$N,2,1),(GS78-0.05)))</f>
        <v>1</v>
      </c>
      <c r="GU78" s="15">
        <f>MIN(1,MAX(VLOOKUP(($AJ78-$AI78-$AH78-$AG78-$AF78-$AE78*(1+GU$3))/$AJ78,'Технический лист'!$M:$N,2,1),(GT78-0.05)))</f>
        <v>1</v>
      </c>
      <c r="GV78" s="15">
        <f>MIN(1,MAX(VLOOKUP(($AJ78-$AI78-$AH78-$AG78-$AF78-$AE78*(1+GV$3))/$AJ78,'Технический лист'!$M:$N,2,1),(GU78-0.05)))</f>
        <v>1</v>
      </c>
      <c r="GW78" s="15">
        <f>MIN(1,MAX(VLOOKUP(($AJ78-$AI78-$AH78-$AG78-$AF78-$AE78*(1+GW$3))/$AJ78,'Технический лист'!$M:$N,2,1),(GV78-0.05)))</f>
        <v>1</v>
      </c>
      <c r="GX78" s="15">
        <f>MIN(1,MAX(VLOOKUP(($AJ78-$AI78-$AH78-$AG78-$AF78-$AE78*(1+GX$3))/$AJ78,'Технический лист'!$M:$N,2,1),(GW78-0.05)))</f>
        <v>1</v>
      </c>
      <c r="GY78" s="15">
        <f>MIN(1,MAX(VLOOKUP(($AJ78-$AI78-$AH78-$AG78-$AF78-$AE78*(1+GY$3))/$AJ78,'Технический лист'!$M:$N,2,1),(GX78-0.05)))</f>
        <v>1</v>
      </c>
      <c r="GZ78" s="15">
        <f>MIN(1,MAX(VLOOKUP(($AJ78-$AI78-$AH78-$AG78-$AF78-$AE78*(1+GZ$3))/$AJ78,'Технический лист'!$M:$N,2,1),(GY78-0.05)))</f>
        <v>1</v>
      </c>
      <c r="HA78" s="15">
        <f>MIN(1,MAX(VLOOKUP(($AJ78-$AI78-$AH78-$AG78-$AF78-$AE78*(1+HA$3))/$AJ78,'Технический лист'!$M:$N,2,1),(GZ78-0.05)))</f>
        <v>1</v>
      </c>
      <c r="HB78" s="15">
        <f>MIN(1,MAX(VLOOKUP(($AJ78-$AI78-$AH78-$AG78-$AF78-$AE78*(1+HB$3))/$AJ78,'Технический лист'!$M:$N,2,1),(HA78-0.05)))</f>
        <v>1</v>
      </c>
      <c r="HC78" s="15">
        <f>MIN(1,MAX(VLOOKUP(($AJ78-$AI78-$AH78-$AG78-$AF78-$AE78*(1+HC$3))/$AJ78,'Технический лист'!$M:$N,2,1),(HB78-0.05)))</f>
        <v>1</v>
      </c>
      <c r="HD78" s="15">
        <f>MIN(1,MAX(VLOOKUP(($AJ78-$AI78-$AH78-$AG78-$AF78-$AE78*(1+HD$3))/$AJ78,'Технический лист'!$M:$N,2,1),(HC78-0.05)))</f>
        <v>1</v>
      </c>
      <c r="HE78" s="15">
        <f>MIN(1,MAX(VLOOKUP(($AJ78-$AI78-$AH78-$AG78-$AF78-$AE78*(1+HE$3))/$AJ78,'Технический лист'!$M:$N,2,1),(HD78-0.05)))</f>
        <v>1</v>
      </c>
      <c r="HF78" s="15">
        <f>MIN(1,MAX(VLOOKUP(($AJ78-$AI78-$AH78-$AG78-$AF78-$AE78*(1+HF$3))/$AJ78,'Технический лист'!$M:$N,2,1),(HE78-0.05)))</f>
        <v>1</v>
      </c>
      <c r="HG78" s="15">
        <f>MIN(1,MAX(VLOOKUP(($AJ78-$AI78-$AH78-$AG78-$AF78-$AE78*(1+HG$3))/$AJ78,'Технический лист'!$M:$N,2,1),(HF78-0.05)))</f>
        <v>1</v>
      </c>
      <c r="HH78" s="15">
        <f>MIN(1,MAX(VLOOKUP(($AJ78-$AI78-$AH78-$AG78-$AF78-$AE78*(1+HH$3))/$AJ78,'Технический лист'!$M:$N,2,1),(HG78-0.05)))</f>
        <v>1</v>
      </c>
      <c r="HI78" s="15">
        <f>MIN(1,MAX(VLOOKUP(($AJ78-$AI78-$AH78-$AG78-$AF78-$AE78*(1+HI$3))/$AJ78,'Технический лист'!$M:$N,2,1),(HH78-0.05)))</f>
        <v>1</v>
      </c>
      <c r="HJ78" s="15">
        <f>MIN(1,MAX(VLOOKUP(($AJ78-$AI78-$AH78-$AG78-$AF78-$AE78*(1+HJ$3))/$AJ78,'Технический лист'!$M:$N,2,1),(HI78-0.05)))</f>
        <v>1</v>
      </c>
      <c r="HK78" s="15">
        <f>MIN(1,MAX(VLOOKUP(($AJ78-$AI78-$AH78-$AG78-$AF78-$AE78*(1+HK$3))/$AJ78,'Технический лист'!$M:$N,2,1),(HJ78-0.05)))</f>
        <v>1</v>
      </c>
      <c r="HL78" s="15">
        <f>MIN(1,MAX(VLOOKUP(($AJ78-$AI78-$AH78-$AG78-$AF78-$AE78*(1+HL$3))/$AJ78,'Технический лист'!$M:$N,2,1),(HK78-0.05)))</f>
        <v>1</v>
      </c>
      <c r="HM78" s="15">
        <f>MIN(1,MAX(VLOOKUP(($AJ78-$AI78-$AH78-$AG78-$AF78-$AE78*(1+HM$3))/$AJ78,'Технический лист'!$M:$N,2,1),(HL78-0.05)))</f>
        <v>1</v>
      </c>
      <c r="HN78" s="15">
        <f>MIN(1,MAX(VLOOKUP(($AJ78-$AI78-$AH78-$AG78-$AF78-$AE78*(1+HN$3))/$AJ78,'Технический лист'!$M:$N,2,1),(HM78-0.05)))</f>
        <v>1</v>
      </c>
      <c r="HO78" s="15">
        <f>MIN(1,MAX(VLOOKUP(($AJ78-$AI78-$AH78-$AG78-$AF78-$AE78*(1+HO$3))/$AJ78,'Технический лист'!$M:$N,2,1),(HN78-0.05)))</f>
        <v>1</v>
      </c>
      <c r="HP78" s="15">
        <f>MIN(1,MAX(VLOOKUP(($AJ78-$AI78-$AH78-$AG78-$AF78-$AE78*(1+HP$3))/$AJ78,'Технический лист'!$M:$N,2,1),(HO78-0.05)))</f>
        <v>1</v>
      </c>
      <c r="HQ78" s="15">
        <f>MIN(1,MAX(VLOOKUP(($AJ78-$AI78-$AH78-$AG78-$AF78-$AE78*(1+HQ$3))/$AJ78,'Технический лист'!$M:$N,2,1),(HP78-0.05)))</f>
        <v>1</v>
      </c>
      <c r="HR78" s="15">
        <f>MIN(1,MAX(VLOOKUP(($AJ78-$AI78-$AH78-$AG78-$AF78-$AE78*(1+HR$3))/$AJ78,'Технический лист'!$M:$N,2,1),(HQ78-0.05)))</f>
        <v>1</v>
      </c>
      <c r="HS78" s="15">
        <f>MIN(1,MAX(VLOOKUP(($AJ78-$AI78-$AH78-$AG78-$AF78-$AE78*(1+HS$3))/$AJ78,'Технический лист'!$M:$N,2,1),(HR78-0.05)))</f>
        <v>1</v>
      </c>
      <c r="HT78" s="15">
        <f>MIN(1,MAX(VLOOKUP(($AJ78-$AI78-$AH78-$AG78-$AF78-$AE78*(1+HT$3))/$AJ78,'Технический лист'!$M:$N,2,1),(HS78-0.05)))</f>
        <v>1</v>
      </c>
      <c r="HU78" s="15">
        <f>MIN(1,MAX(VLOOKUP(($AJ78-$AI78-$AH78-$AG78-$AF78-$AE78*(1+HU$3))/$AJ78,'Технический лист'!$M:$N,2,1),(HT78-0.05)))</f>
        <v>1</v>
      </c>
      <c r="HV78" s="15">
        <f>MIN(1,MAX(VLOOKUP(($AJ78-$AI78-$AH78-$AG78-$AF78-$AE78*(1+HV$3))/$AJ78,'Технический лист'!$M:$N,2,1),(HU78-0.05)))</f>
        <v>1</v>
      </c>
      <c r="HW78" s="15">
        <f>MIN(1,MAX(VLOOKUP(($AJ78-$AI78-$AH78-$AG78-$AF78-$AE78*(1+HW$3))/$AJ78,'Технический лист'!$M:$N,2,1),(HV78-0.05)))</f>
        <v>1</v>
      </c>
      <c r="HX78" s="15">
        <f>MIN(1,MAX(VLOOKUP(($AJ78-$AI78-$AH78-$AG78-$AF78-$AE78*(1+HX$3))/$AJ78,'Технический лист'!$M:$N,2,1),(HW78-0.05)))</f>
        <v>1</v>
      </c>
      <c r="HY78" s="15">
        <f>MIN(1,MAX(VLOOKUP(($AJ78-$AI78-$AH78-$AG78-$AF78-$AE78*(1+HY$3))/$AJ78,'Технический лист'!$M:$N,2,1),(HX78-0.05)))</f>
        <v>1</v>
      </c>
      <c r="HZ78" s="15">
        <f>MIN(1,MAX(VLOOKUP(($AJ78-$AI78-$AH78-$AG78-$AF78-$AE78*(1+HZ$3))/$AJ78,'Технический лист'!$M:$N,2,1),(HY78-0.05)))</f>
        <v>1</v>
      </c>
      <c r="IA78" s="15">
        <f>MIN(1,MAX(VLOOKUP(($AJ78-$AI78-$AH78-$AG78-$AF78-$AE78*(1+IA$3))/$AJ78,'Технический лист'!$M:$N,2,1),(HZ78-0.05)))</f>
        <v>1</v>
      </c>
      <c r="IB78" s="15">
        <f>MIN(1,MAX(VLOOKUP(($AJ78-$AI78-$AH78-$AG78-$AF78-$AE78*(1+IB$3))/$AJ78,'Технический лист'!$M:$N,2,1),(IA78-0.05)))</f>
        <v>1</v>
      </c>
      <c r="IC78" s="15">
        <f>MIN(1,MAX(VLOOKUP(($AJ78-$AI78-$AH78-$AG78-$AF78-$AE78*(1+IC$3))/$AJ78,'Технический лист'!$M:$N,2,1),(IB78-0.05)))</f>
        <v>1</v>
      </c>
      <c r="ID78" s="15">
        <f>MIN(1,MAX(VLOOKUP(($AJ78-$AI78-$AH78-$AG78-$AF78-$AE78*(1+ID$3))/$AJ78,'Технический лист'!$M:$N,2,1),(IC78-0.05)))</f>
        <v>1</v>
      </c>
      <c r="IE78" s="15">
        <f>MIN(1,MAX(VLOOKUP(($AJ78-$AI78-$AH78-$AG78-$AF78-$AE78*(1+IE$3))/$AJ78,'Технический лист'!$M:$N,2,1),(ID78-0.05)))</f>
        <v>1</v>
      </c>
      <c r="IF78" s="15">
        <f>MIN(1,MAX(VLOOKUP(($AJ78-$AI78-$AH78-$AG78-$AF78-$AE78*(1+IF$3))/$AJ78,'Технический лист'!$M:$N,2,1),(IE78-0.05)))</f>
        <v>1</v>
      </c>
      <c r="IG78" s="15">
        <f>MIN(1,MAX(VLOOKUP(($AJ78-$AI78-$AH78-$AG78-$AF78-$AE78*(1+IG$3))/$AJ78,'Технический лист'!$M:$N,2,1),(IF78-0.05)))</f>
        <v>1</v>
      </c>
      <c r="IH78" s="15">
        <f>MIN(1,MAX(VLOOKUP(($AJ78-$AI78-$AH78-$AG78-$AF78-$AE78*(1+IH$3))/$AJ78,'Технический лист'!$M:$N,2,1),(IG78-0.05)))</f>
        <v>1</v>
      </c>
      <c r="II78" s="15">
        <f>MIN(1,MAX(VLOOKUP(($AJ78-$AI78-$AH78-$AG78-$AF78-$AE78*(1+II$3))/$AJ78,'Технический лист'!$M:$N,2,1),(IH78-0.05)))</f>
        <v>1</v>
      </c>
      <c r="IJ78" s="15">
        <f>MIN(1,MAX(VLOOKUP(($AJ78-$AI78-$AH78-$AG78-$AF78-$AE78*(1+IJ$3))/$AJ78,'Технический лист'!$M:$N,2,1),(II78-0.05)))</f>
        <v>1</v>
      </c>
      <c r="IK78" s="15">
        <f>MIN(1,MAX(VLOOKUP(($AJ78-$AI78-$AH78-$AG78-$AF78-$AE78*(1+IK$3))/$AJ78,'Технический лист'!$M:$N,2,1),(IJ78-0.05)))</f>
        <v>1</v>
      </c>
      <c r="IL78" s="15">
        <f>MIN(1,MAX(VLOOKUP(($AJ78-$AI78-$AH78-$AG78-$AF78-$AE78*(1+IL$3))/$AJ78,'Технический лист'!$M:$N,2,1),(IK78-0.05)))</f>
        <v>1</v>
      </c>
      <c r="IM78" s="15">
        <f>MIN(1,MAX(VLOOKUP(($AJ78-$AI78-$AH78-$AG78-$AF78-$AE78*(1+IM$3))/$AJ78,'Технический лист'!$M:$N,2,1),(IL78-0.05)))</f>
        <v>1</v>
      </c>
      <c r="IN78" s="15">
        <f>MIN(1,MAX(VLOOKUP(($AJ78-$AI78-$AH78-$AG78-$AF78-$AE78*(1+IN$3))/$AJ78,'Технический лист'!$M:$N,2,1),(IM78-0.05)))</f>
        <v>1</v>
      </c>
      <c r="IO78" s="15">
        <f>MIN(1,MAX(VLOOKUP(($AJ78-$AI78-$AH78-$AG78-$AF78-$AE78*(1+IO$3))/$AJ78,'Технический лист'!$M:$N,2,1),(IN78-0.05)))</f>
        <v>1</v>
      </c>
      <c r="IP78" s="15">
        <f>MIN(1,MAX(VLOOKUP(($AJ78-$AI78-$AH78-$AG78-$AF78-$AE78*(1+IP$3))/$AJ78,'Технический лист'!$M:$N,2,1),(IO78-0.05)))</f>
        <v>1</v>
      </c>
      <c r="IQ78" s="15">
        <f>MIN(1,MAX(VLOOKUP(($AJ78-$AI78-$AH78-$AG78-$AF78-$AE78*(1+IQ$3))/$AJ78,'Технический лист'!$M:$N,2,1),(IP78-0.05)))</f>
        <v>1</v>
      </c>
      <c r="IR78" s="15">
        <f>MIN(1,MAX(VLOOKUP(($AJ78-$AI78-$AH78-$AG78-$AF78-$AE78*(1+IR$3))/$AJ78,'Технический лист'!$M:$N,2,1),(IQ78-0.05)))</f>
        <v>1</v>
      </c>
    </row>
    <row r="79" spans="1:252" s="4" customFormat="1" ht="58.3">
      <c r="A79" s="89" t="s">
        <v>515</v>
      </c>
      <c r="B79" s="76">
        <v>5</v>
      </c>
      <c r="C79" s="3" t="s">
        <v>68</v>
      </c>
      <c r="D79" s="77">
        <v>32411</v>
      </c>
      <c r="E79" s="77" t="s">
        <v>340</v>
      </c>
      <c r="F79" s="78" t="s">
        <v>75</v>
      </c>
      <c r="G79" s="77" t="s">
        <v>52</v>
      </c>
      <c r="H79" s="77" t="s">
        <v>49</v>
      </c>
      <c r="I79" s="77" t="s">
        <v>111</v>
      </c>
      <c r="J79" s="77" t="s">
        <v>154</v>
      </c>
      <c r="K79" s="77">
        <v>1029</v>
      </c>
      <c r="L79" s="77" t="s">
        <v>64</v>
      </c>
      <c r="M79" s="77" t="s">
        <v>190</v>
      </c>
      <c r="N79" s="77" t="s">
        <v>191</v>
      </c>
      <c r="O79" s="77" t="s">
        <v>192</v>
      </c>
      <c r="P79" s="79" t="s">
        <v>211</v>
      </c>
      <c r="Q79" s="77" t="s">
        <v>291</v>
      </c>
      <c r="R79" s="77" t="s">
        <v>259</v>
      </c>
      <c r="S79" s="80">
        <v>67663</v>
      </c>
      <c r="T79" s="80">
        <v>69638037</v>
      </c>
      <c r="U79" s="81">
        <v>1089</v>
      </c>
      <c r="V79" s="81">
        <v>0</v>
      </c>
      <c r="W79" s="82">
        <v>152416447</v>
      </c>
      <c r="X79" s="112">
        <v>67</v>
      </c>
      <c r="Y79" s="112" t="s">
        <v>417</v>
      </c>
      <c r="Z79" s="113">
        <v>6</v>
      </c>
      <c r="AA79" s="113">
        <v>5</v>
      </c>
      <c r="AB79" s="113">
        <v>4</v>
      </c>
      <c r="AC79" s="99">
        <v>2302.21</v>
      </c>
      <c r="AD79" s="99">
        <f>AE79-AC79</f>
        <v>311.07000000000016</v>
      </c>
      <c r="AE79" s="99">
        <v>2613.2800000000002</v>
      </c>
      <c r="AF79" s="98">
        <f>(Z79+AA79+AB79)*'Ставки аренды'!$B$3/X79</f>
        <v>156.71641791044777</v>
      </c>
      <c r="AG79" s="114">
        <v>0</v>
      </c>
      <c r="AH79" s="94">
        <v>0</v>
      </c>
      <c r="AI79" s="115">
        <f>333374/554614*AJ79</f>
        <v>21038.217571139568</v>
      </c>
      <c r="AJ79" s="117">
        <f>Цены!D23</f>
        <v>35000</v>
      </c>
      <c r="AK79" s="94">
        <f>AJ79/Цены!$B$1</f>
        <v>458.68253271389352</v>
      </c>
      <c r="AL79" s="95">
        <f t="shared" si="24"/>
        <v>2769.9964179104481</v>
      </c>
      <c r="AM79" s="95">
        <f t="shared" si="25"/>
        <v>32230.00358208955</v>
      </c>
      <c r="AN79" s="95">
        <f t="shared" si="22"/>
        <v>23808.213989050015</v>
      </c>
      <c r="AO79" s="118">
        <f t="shared" si="23"/>
        <v>0.31976531459857099</v>
      </c>
      <c r="AP79" s="96">
        <f t="shared" si="26"/>
        <v>7.9142754797441373E-2</v>
      </c>
      <c r="AQ79" s="96">
        <f t="shared" si="27"/>
        <v>7.466514285714286E-2</v>
      </c>
      <c r="AR79" s="96">
        <f t="shared" si="28"/>
        <v>0.94342360268152725</v>
      </c>
      <c r="AS79" s="122">
        <v>1</v>
      </c>
      <c r="AT79" s="121">
        <f t="shared" si="29"/>
        <v>67663</v>
      </c>
      <c r="AU79" s="83">
        <v>1</v>
      </c>
      <c r="AV79" s="119">
        <f t="shared" si="30"/>
        <v>0.31080549745571373</v>
      </c>
      <c r="AW79" s="120">
        <f t="shared" si="31"/>
        <v>8.8102571940298524E-2</v>
      </c>
      <c r="AX79" s="120">
        <f t="shared" si="32"/>
        <v>8.3624960000000012E-2</v>
      </c>
      <c r="AY79" s="120">
        <f t="shared" si="33"/>
        <v>0.94917728459354511</v>
      </c>
      <c r="AZ79" s="15">
        <f>MIN(IF($AU79=100%,1,1+VLOOKUP(($AJ79-$AI79-$AH79-$AG79-$AF79-$AE79*(1+AZ$3))/$AJ79,'Технический лист'!$I:$J,2,1)-VLOOKUP($AO79,'Технический лист'!$I:$J,2,1)),1+(1-$AU79))</f>
        <v>1</v>
      </c>
      <c r="BA79" s="15">
        <f>MIN(IF($AU79=100%,1,1+VLOOKUP(($AJ79-$AI79-$AH79-$AG79-$AF79-$AE79*(1+BA$3))/$AJ79,'Технический лист'!$I:$J,2,1)-VLOOKUP($AO79,'Технический лист'!$I:$J,2,1)),1+(1-$AU79))</f>
        <v>1</v>
      </c>
      <c r="BB79" s="15">
        <f>MIN(IF($AU79=100%,1,1+VLOOKUP(($AJ79-$AI79-$AH79-$AG79-$AF79-$AE79*(1+BB$3))/$AJ79,'Технический лист'!$I:$J,2,1)-VLOOKUP($AO79,'Технический лист'!$I:$J,2,1)),1+(1-$AU79))</f>
        <v>1</v>
      </c>
      <c r="BC79" s="15">
        <f>MIN(IF($AU79=100%,1,1+VLOOKUP(($AJ79-$AI79-$AH79-$AG79-$AF79-$AE79*(1+BC$3))/$AJ79,'Технический лист'!$I:$J,2,1)-VLOOKUP($AO79,'Технический лист'!$I:$J,2,1)),1+(1-$AU79))</f>
        <v>1</v>
      </c>
      <c r="BD79" s="15">
        <f>MIN(IF($AU79=100%,1,1+VLOOKUP(($AJ79-$AI79-$AH79-$AG79-$AF79-$AE79*(1+BD$3))/$AJ79,'Технический лист'!$I:$J,2,1)-VLOOKUP($AO79,'Технический лист'!$I:$J,2,1)),1+(1-$AU79))</f>
        <v>1</v>
      </c>
      <c r="BE79" s="15">
        <f>MIN(IF($AU79=100%,1,1+VLOOKUP(($AJ79-$AI79-$AH79-$AG79-$AF79-$AE79*(1+BE$3))/$AJ79,'Технический лист'!$I:$J,2,1)-VLOOKUP($AO79,'Технический лист'!$I:$J,2,1)),1+(1-$AU79))</f>
        <v>1</v>
      </c>
      <c r="BF79" s="15">
        <f>MIN(IF($AU79=100%,1,1+VLOOKUP(($AJ79-$AI79-$AH79-$AG79-$AF79-$AE79*(1+BF$3))/$AJ79,'Технический лист'!$I:$J,2,1)-VLOOKUP($AO79,'Технический лист'!$I:$J,2,1)),1+(1-$AU79))</f>
        <v>1</v>
      </c>
      <c r="BG79" s="15">
        <f>MIN(IF($AU79=100%,1,1+VLOOKUP(($AJ79-$AI79-$AH79-$AG79-$AF79-$AE79*(1+BG$3))/$AJ79,'Технический лист'!$I:$J,2,1)-VLOOKUP($AO79,'Технический лист'!$I:$J,2,1)),1+(1-$AU79))</f>
        <v>1</v>
      </c>
      <c r="BH79" s="15">
        <f>MIN(IF($AU79=100%,1,1+VLOOKUP(($AJ79-$AI79-$AH79-$AG79-$AF79-$AE79*(1+BH$3))/$AJ79,'Технический лист'!$I:$J,2,1)-VLOOKUP($AO79,'Технический лист'!$I:$J,2,1)),1+(1-$AU79))</f>
        <v>1</v>
      </c>
      <c r="BI79" s="15">
        <f>MIN(IF($AU79=100%,1,1+VLOOKUP(($AJ79-$AI79-$AH79-$AG79-$AF79-$AE79*(1+BI$3))/$AJ79,'Технический лист'!$I:$J,2,1)-VLOOKUP($AO79,'Технический лист'!$I:$J,2,1)),1+(1-$AU79))</f>
        <v>1</v>
      </c>
      <c r="BJ79" s="15">
        <f>MIN(IF($AU79=100%,1,1+VLOOKUP(($AJ79-$AI79-$AH79-$AG79-$AF79-$AE79*(1+BJ$3))/$AJ79,'Технический лист'!$I:$J,2,1)-VLOOKUP($AO79,'Технический лист'!$I:$J,2,1)),1+(1-$AU79))</f>
        <v>1</v>
      </c>
      <c r="BK79" s="15">
        <f>MIN(IF($AU79=100%,1,1+VLOOKUP(($AJ79-$AI79-$AH79-$AG79-$AF79-$AE79*(1+BK$3))/$AJ79,'Технический лист'!$I:$J,2,1)-VLOOKUP($AO79,'Технический лист'!$I:$J,2,1)),1+(1-$AU79))</f>
        <v>1</v>
      </c>
      <c r="BL79" s="15">
        <f>MIN(IF($AU79=100%,1,1+VLOOKUP(($AJ79-$AI79-$AH79-$AG79-$AF79-$AE79*(1+BL$3))/$AJ79,'Технический лист'!$I:$J,2,1)-VLOOKUP($AO79,'Технический лист'!$I:$J,2,1)),1+(1-$AU79))</f>
        <v>1</v>
      </c>
      <c r="BM79" s="15">
        <f>MIN(IF($AU79=100%,1,1+VLOOKUP(($AJ79-$AI79-$AH79-$AG79-$AF79-$AE79*(1+BM$3))/$AJ79,'Технический лист'!$I:$J,2,1)-VLOOKUP($AO79,'Технический лист'!$I:$J,2,1)),1+(1-$AU79))</f>
        <v>1</v>
      </c>
      <c r="BN79" s="15">
        <f>MIN(IF($AU79=100%,1,1+VLOOKUP(($AJ79-$AI79-$AH79-$AG79-$AF79-$AE79*(1+BN$3))/$AJ79,'Технический лист'!$I:$J,2,1)-VLOOKUP($AO79,'Технический лист'!$I:$J,2,1)),1+(1-$AU79))</f>
        <v>1</v>
      </c>
      <c r="BO79" s="15">
        <f>MIN(IF($AU79=100%,1,1+VLOOKUP(($AJ79-$AI79-$AH79-$AG79-$AF79-$AE79*(1+BO$3))/$AJ79,'Технический лист'!$I:$J,2,1)-VLOOKUP($AO79,'Технический лист'!$I:$J,2,1)),1+(1-$AU79))</f>
        <v>1</v>
      </c>
      <c r="BP79" s="15">
        <f>MIN(IF($AU79=100%,1,1+VLOOKUP(($AJ79-$AI79-$AH79-$AG79-$AF79-$AE79*(1+BP$3))/$AJ79,'Технический лист'!$I:$J,2,1)-VLOOKUP($AO79,'Технический лист'!$I:$J,2,1)),1+(1-$AU79))</f>
        <v>1</v>
      </c>
      <c r="BQ79" s="15">
        <f>MIN(IF($AU79=100%,1,1+VLOOKUP(($AJ79-$AI79-$AH79-$AG79-$AF79-$AE79*(1+BQ$3))/$AJ79,'Технический лист'!$I:$J,2,1)-VLOOKUP($AO79,'Технический лист'!$I:$J,2,1)),1+(1-$AU79))</f>
        <v>1</v>
      </c>
      <c r="BR79" s="15">
        <f>MIN(IF($AU79=100%,1,1+VLOOKUP(($AJ79-$AI79-$AH79-$AG79-$AF79-$AE79*(1+BR$3))/$AJ79,'Технический лист'!$I:$J,2,1)-VLOOKUP($AO79,'Технический лист'!$I:$J,2,1)),1+(1-$AU79))</f>
        <v>1</v>
      </c>
      <c r="BS79" s="15">
        <f>MIN(IF($AU79=100%,1,1+VLOOKUP(($AJ79-$AI79-$AH79-$AG79-$AF79-$AE79*(1+BS$3))/$AJ79,'Технический лист'!$I:$J,2,1)-VLOOKUP($AO79,'Технический лист'!$I:$J,2,1)),1+(1-$AU79))</f>
        <v>1</v>
      </c>
      <c r="BT79" s="15">
        <f>MIN(IF($AU79=100%,1,1+VLOOKUP(($AJ79-$AI79-$AH79-$AG79-$AF79-$AE79*(1+BT$3))/$AJ79,'Технический лист'!$I:$J,2,1)-VLOOKUP($AO79,'Технический лист'!$I:$J,2,1)),1+(1-$AU79))</f>
        <v>1</v>
      </c>
      <c r="BU79" s="15">
        <f>MIN(IF($AU79=100%,1,1+VLOOKUP(($AJ79-$AI79-$AH79-$AG79-$AF79-$AE79*(1+BU$3))/$AJ79,'Технический лист'!$I:$J,2,1)-VLOOKUP($AO79,'Технический лист'!$I:$J,2,1)),1+(1-$AU79))</f>
        <v>1</v>
      </c>
      <c r="BV79" s="15">
        <f>MIN(IF($AU79=100%,1,1+VLOOKUP(($AJ79-$AI79-$AH79-$AG79-$AF79-$AE79*(1+BV$3))/$AJ79,'Технический лист'!$I:$J,2,1)-VLOOKUP($AO79,'Технический лист'!$I:$J,2,1)),1+(1-$AU79))</f>
        <v>1</v>
      </c>
      <c r="BW79" s="15">
        <f>MIN(IF($AU79=100%,1,1+VLOOKUP(($AJ79-$AI79-$AH79-$AG79-$AF79-$AE79*(1+BW$3))/$AJ79,'Технический лист'!$I:$J,2,1)-VLOOKUP($AO79,'Технический лист'!$I:$J,2,1)),1+(1-$AU79))</f>
        <v>1</v>
      </c>
      <c r="BX79" s="15">
        <f>MIN(IF($AU79=100%,1,1+VLOOKUP(($AJ79-$AI79-$AH79-$AG79-$AF79-$AE79*(1+BX$3))/$AJ79,'Технический лист'!$I:$J,2,1)-VLOOKUP($AO79,'Технический лист'!$I:$J,2,1)),1+(1-$AU79))</f>
        <v>1</v>
      </c>
      <c r="BY79" s="15">
        <f>MIN(IF($AU79=100%,1,1+VLOOKUP(($AJ79-$AI79-$AH79-$AG79-$AF79-$AE79*(1+BY$3))/$AJ79,'Технический лист'!$I:$J,2,1)-VLOOKUP($AO79,'Технический лист'!$I:$J,2,1)),1+(1-$AU79))</f>
        <v>1</v>
      </c>
      <c r="BZ79" s="15">
        <f>MIN(IF($AU79=100%,1,1+VLOOKUP(($AJ79-$AI79-$AH79-$AG79-$AF79-$AE79*(1+BZ$3))/$AJ79,'Технический лист'!$I:$J,2,1)-VLOOKUP($AO79,'Технический лист'!$I:$J,2,1)),1+(1-$AU79))</f>
        <v>1</v>
      </c>
      <c r="CA79" s="15">
        <f>MIN(IF($AU79=100%,1,1+VLOOKUP(($AJ79-$AI79-$AH79-$AG79-$AF79-$AE79*(1+CA$3))/$AJ79,'Технический лист'!$I:$J,2,1)-VLOOKUP($AO79,'Технический лист'!$I:$J,2,1)),1+(1-$AU79))</f>
        <v>1</v>
      </c>
      <c r="CB79" s="15">
        <f>MIN(IF($AU79=100%,1,1+VLOOKUP(($AJ79-$AI79-$AH79-$AG79-$AF79-$AE79*(1+CB$3))/$AJ79,'Технический лист'!$I:$J,2,1)-VLOOKUP($AO79,'Технический лист'!$I:$J,2,1)),1+(1-$AU79))</f>
        <v>1</v>
      </c>
      <c r="CC79" s="15">
        <f>MIN(IF($AU79=100%,1,1+VLOOKUP(($AJ79-$AI79-$AH79-$AG79-$AF79-$AE79*(1+CC$3))/$AJ79,'Технический лист'!$I:$J,2,1)-VLOOKUP($AO79,'Технический лист'!$I:$J,2,1)),1+(1-$AU79))</f>
        <v>1</v>
      </c>
      <c r="CD79" s="15">
        <f>MIN(IF($AU79=100%,1,1+VLOOKUP(($AJ79-$AI79-$AH79-$AG79-$AF79-$AE79*(1+CD$3))/$AJ79,'Технический лист'!$I:$J,2,1)-VLOOKUP($AO79,'Технический лист'!$I:$J,2,1)),1+(1-$AU79))</f>
        <v>1</v>
      </c>
      <c r="CE79" s="15">
        <f>MIN(IF($AU79=100%,1,1+VLOOKUP(($AJ79-$AI79-$AH79-$AG79-$AF79-$AE79*(1+CE$3))/$AJ79,'Технический лист'!$I:$J,2,1)-VLOOKUP($AO79,'Технический лист'!$I:$J,2,1)),1+(1-$AU79))</f>
        <v>1</v>
      </c>
      <c r="CF79" s="15">
        <f>MIN(IF($AU79=100%,1,1+VLOOKUP(($AJ79-$AI79-$AH79-$AG79-$AF79-$AE79*(1+CF$3))/$AJ79,'Технический лист'!$I:$J,2,1)-VLOOKUP($AO79,'Технический лист'!$I:$J,2,1)),1+(1-$AU79))</f>
        <v>1</v>
      </c>
      <c r="CG79" s="15">
        <f>MIN(IF($AU79=100%,1,1+VLOOKUP(($AJ79-$AI79-$AH79-$AG79-$AF79-$AE79*(1+CG$3))/$AJ79,'Технический лист'!$I:$J,2,1)-VLOOKUP($AO79,'Технический лист'!$I:$J,2,1)),1+(1-$AU79))</f>
        <v>1</v>
      </c>
      <c r="CH79" s="15">
        <f>MIN(IF($AU79=100%,1,1+VLOOKUP(($AJ79-$AI79-$AH79-$AG79-$AF79-$AE79*(1+CH$3))/$AJ79,'Технический лист'!$I:$J,2,1)-VLOOKUP($AO79,'Технический лист'!$I:$J,2,1)),1+(1-$AU79))</f>
        <v>1</v>
      </c>
      <c r="CI79" s="15">
        <f>MIN(IF($AU79=100%,1,1+VLOOKUP(($AJ79-$AI79-$AH79-$AG79-$AF79-$AE79*(1+CI$3))/$AJ79,'Технический лист'!$I:$J,2,1)-VLOOKUP($AO79,'Технический лист'!$I:$J,2,1)),1+(1-$AU79))</f>
        <v>1</v>
      </c>
      <c r="CJ79" s="15">
        <f>MIN(IF($AU79=100%,1,1+VLOOKUP(($AJ79-$AI79-$AH79-$AG79-$AF79-$AE79*(1+CJ$3))/$AJ79,'Технический лист'!$I:$J,2,1)-VLOOKUP($AO79,'Технический лист'!$I:$J,2,1)),1+(1-$AU79))</f>
        <v>1</v>
      </c>
      <c r="CK79" s="15">
        <f>MIN(IF($AU79=100%,1,1+VLOOKUP(($AJ79-$AI79-$AH79-$AG79-$AF79-$AE79*(1+CK$3))/$AJ79,'Технический лист'!$I:$J,2,1)-VLOOKUP($AO79,'Технический лист'!$I:$J,2,1)),1+(1-$AU79))</f>
        <v>1</v>
      </c>
      <c r="CL79" s="15">
        <f>MIN(IF($AU79=100%,1,1+VLOOKUP(($AJ79-$AI79-$AH79-$AG79-$AF79-$AE79*(1+CL$3))/$AJ79,'Технический лист'!$I:$J,2,1)-VLOOKUP($AO79,'Технический лист'!$I:$J,2,1)),1+(1-$AU79))</f>
        <v>1</v>
      </c>
      <c r="CM79" s="15">
        <f>MIN(IF($AU79=100%,1,1+VLOOKUP(($AJ79-$AI79-$AH79-$AG79-$AF79-$AE79*(1+CM$3))/$AJ79,'Технический лист'!$I:$J,2,1)-VLOOKUP($AO79,'Технический лист'!$I:$J,2,1)),1+(1-$AU79))</f>
        <v>1</v>
      </c>
      <c r="CN79" s="15">
        <f>MIN(IF($AU79=100%,1,1+VLOOKUP(($AJ79-$AI79-$AH79-$AG79-$AF79-$AE79*(1+CN$3))/$AJ79,'Технический лист'!$I:$J,2,1)-VLOOKUP($AO79,'Технический лист'!$I:$J,2,1)),1+(1-$AU79))</f>
        <v>1</v>
      </c>
      <c r="CO79" s="15">
        <f>MIN(IF($AU79=100%,1,1+VLOOKUP(($AJ79-$AI79-$AH79-$AG79-$AF79-$AE79*(1+CO$3))/$AJ79,'Технический лист'!$I:$J,2,1)-VLOOKUP($AO79,'Технический лист'!$I:$J,2,1)),1+(1-$AU79))</f>
        <v>1</v>
      </c>
      <c r="CP79" s="15">
        <f>MIN(IF($AU79=100%,1,1+VLOOKUP(($AJ79-$AI79-$AH79-$AG79-$AF79-$AE79*(1+CP$3))/$AJ79,'Технический лист'!$I:$J,2,1)-VLOOKUP($AO79,'Технический лист'!$I:$J,2,1)),1+(1-$AU79))</f>
        <v>1</v>
      </c>
      <c r="CQ79" s="15">
        <f>MIN(IF($AU79=100%,1,1+VLOOKUP(($AJ79-$AI79-$AH79-$AG79-$AF79-$AE79*(1+CQ$3))/$AJ79,'Технический лист'!$I:$J,2,1)-VLOOKUP($AO79,'Технический лист'!$I:$J,2,1)),1+(1-$AU79))</f>
        <v>1</v>
      </c>
      <c r="CR79" s="15">
        <f>MIN(IF($AU79=100%,1,1+VLOOKUP(($AJ79-$AI79-$AH79-$AG79-$AF79-$AE79*(1+CR$3))/$AJ79,'Технический лист'!$I:$J,2,1)-VLOOKUP($AO79,'Технический лист'!$I:$J,2,1)),1+(1-$AU79))</f>
        <v>1</v>
      </c>
      <c r="CS79" s="15">
        <f>MIN(IF($AU79=100%,1,1+VLOOKUP(($AJ79-$AI79-$AH79-$AG79-$AF79-$AE79*(1+CS$3))/$AJ79,'Технический лист'!$I:$J,2,1)-VLOOKUP($AO79,'Технический лист'!$I:$J,2,1)),1+(1-$AU79))</f>
        <v>1</v>
      </c>
      <c r="CT79" s="15">
        <f>MIN(IF($AU79=100%,1,1+VLOOKUP(($AJ79-$AI79-$AH79-$AG79-$AF79-$AE79*(1+CT$3))/$AJ79,'Технический лист'!$I:$J,2,1)-VLOOKUP($AO79,'Технический лист'!$I:$J,2,1)),1+(1-$AU79))</f>
        <v>1</v>
      </c>
      <c r="CU79" s="15">
        <f>MIN(IF($AU79=100%,1,1+VLOOKUP(($AJ79-$AI79-$AH79-$AG79-$AF79-$AE79*(1+CU$3))/$AJ79,'Технический лист'!$I:$J,2,1)-VLOOKUP($AO79,'Технический лист'!$I:$J,2,1)),1+(1-$AU79))</f>
        <v>1</v>
      </c>
      <c r="CV79" s="15">
        <f>MIN(IF($AU79=100%,1,1+VLOOKUP(($AJ79-$AI79-$AH79-$AG79-$AF79-$AE79*(1+CV$3))/$AJ79,'Технический лист'!$I:$J,2,1)-VLOOKUP($AO79,'Технический лист'!$I:$J,2,1)),1+(1-$AU79))</f>
        <v>1</v>
      </c>
      <c r="CW79" s="15">
        <f>MIN(IF($AU79=100%,1,1+VLOOKUP(($AJ79-$AI79-$AH79-$AG79-$AF79-$AE79*(1+CW$3))/$AJ79,'Технический лист'!$I:$J,2,1)-VLOOKUP($AO79,'Технический лист'!$I:$J,2,1)),1+(1-$AU79))</f>
        <v>1</v>
      </c>
      <c r="CX79" s="15">
        <f>MIN(IF($AU79=100%,1,1+VLOOKUP(($AJ79-$AI79-$AH79-$AG79-$AF79-$AE79*(1+CX$3))/$AJ79,'Технический лист'!$I:$J,2,1)-VLOOKUP($AO79,'Технический лист'!$I:$J,2,1)),1+(1-$AU79))</f>
        <v>1</v>
      </c>
      <c r="CY79" s="15">
        <f>MIN(IF($AU79=100%,1,1+VLOOKUP(($AJ79-$AI79-$AH79-$AG79-$AF79-$AE79*(1+CY$3))/$AJ79,'Технический лист'!$I:$J,2,1)-VLOOKUP($AO79,'Технический лист'!$I:$J,2,1)),1+(1-$AU79))</f>
        <v>1</v>
      </c>
      <c r="CZ79" s="15">
        <f>MIN(IF($AU79=100%,1,1+VLOOKUP(($AJ79-$AI79-$AH79-$AG79-$AF79-$AE79*(1+CZ$3))/$AJ79,'Технический лист'!$I:$J,2,1)-VLOOKUP($AO79,'Технический лист'!$I:$J,2,1)),1+(1-$AU79))</f>
        <v>1</v>
      </c>
      <c r="DA79" s="15">
        <f>MIN(IF($AU79=100%,1,1+VLOOKUP(($AJ79-$AI79-$AH79-$AG79-$AF79-$AE79*(1+DA$3))/$AJ79,'Технический лист'!$I:$J,2,1)-VLOOKUP($AO79,'Технический лист'!$I:$J,2,1)),1+(1-$AU79))</f>
        <v>1</v>
      </c>
      <c r="DB79" s="15">
        <f>MIN(IF($AU79=100%,1,1+VLOOKUP(($AJ79-$AI79-$AH79-$AG79-$AF79-$AE79*(1+DB$3))/$AJ79,'Технический лист'!$I:$J,2,1)-VLOOKUP($AO79,'Технический лист'!$I:$J,2,1)),1+(1-$AU79))</f>
        <v>1</v>
      </c>
      <c r="DC79" s="15">
        <f>MIN(IF($AU79=100%,1,1+VLOOKUP(($AJ79-$AI79-$AH79-$AG79-$AF79-$AE79*(1+DC$3))/$AJ79,'Технический лист'!$I:$J,2,1)-VLOOKUP($AO79,'Технический лист'!$I:$J,2,1)),1+(1-$AU79))</f>
        <v>1</v>
      </c>
      <c r="DD79" s="15">
        <f>MIN(IF($AU79=100%,1,1+VLOOKUP(($AJ79-$AI79-$AH79-$AG79-$AF79-$AE79*(1+DD$3))/$AJ79,'Технический лист'!$I:$J,2,1)-VLOOKUP($AO79,'Технический лист'!$I:$J,2,1)),1+(1-$AU79))</f>
        <v>1</v>
      </c>
      <c r="DE79" s="15">
        <f>MIN(IF($AU79=100%,1,1+VLOOKUP(($AJ79-$AI79-$AH79-$AG79-$AF79-$AE79*(1+DE$3))/$AJ79,'Технический лист'!$I:$J,2,1)-VLOOKUP($AO79,'Технический лист'!$I:$J,2,1)),1+(1-$AU79))</f>
        <v>1</v>
      </c>
      <c r="DF79" s="15">
        <f>MIN(IF($AU79=100%,1,1+VLOOKUP(($AJ79-$AI79-$AH79-$AG79-$AF79-$AE79*(1+DF$3))/$AJ79,'Технический лист'!$I:$J,2,1)-VLOOKUP($AO79,'Технический лист'!$I:$J,2,1)),1+(1-$AU79))</f>
        <v>1</v>
      </c>
      <c r="DG79" s="15">
        <f>MIN(IF($AU79=100%,1,1+VLOOKUP(($AJ79-$AI79-$AH79-$AG79-$AF79-$AE79*(1+DG$3))/$AJ79,'Технический лист'!$I:$J,2,1)-VLOOKUP($AO79,'Технический лист'!$I:$J,2,1)),1+(1-$AU79))</f>
        <v>1</v>
      </c>
      <c r="DH79" s="15">
        <f>MIN(IF($AU79=100%,1,1+VLOOKUP(($AJ79-$AI79-$AH79-$AG79-$AF79-$AE79*(1+DH$3))/$AJ79,'Технический лист'!$I:$J,2,1)-VLOOKUP($AO79,'Технический лист'!$I:$J,2,1)),1+(1-$AU79))</f>
        <v>1</v>
      </c>
      <c r="DI79" s="15">
        <f>MIN(IF($AU79=100%,1,1+VLOOKUP(($AJ79-$AI79-$AH79-$AG79-$AF79-$AE79*(1+DI$3))/$AJ79,'Технический лист'!$I:$J,2,1)-VLOOKUP($AO79,'Технический лист'!$I:$J,2,1)),1+(1-$AU79))</f>
        <v>1</v>
      </c>
      <c r="DJ79" s="15">
        <f>MIN(IF($AU79=100%,1,1+VLOOKUP(($AJ79-$AI79-$AH79-$AG79-$AF79-$AE79*(1+DJ$3))/$AJ79,'Технический лист'!$I:$J,2,1)-VLOOKUP($AO79,'Технический лист'!$I:$J,2,1)),1+(1-$AU79))</f>
        <v>1</v>
      </c>
      <c r="DK79" s="15">
        <f>MIN(IF($AU79=100%,1,1+VLOOKUP(($AJ79-$AI79-$AH79-$AG79-$AF79-$AE79*(1+DK$3))/$AJ79,'Технический лист'!$I:$J,2,1)-VLOOKUP($AO79,'Технический лист'!$I:$J,2,1)),1+(1-$AU79))</f>
        <v>1</v>
      </c>
      <c r="DL79" s="15">
        <f>MIN(IF($AU79=100%,1,1+VLOOKUP(($AJ79-$AI79-$AH79-$AG79-$AF79-$AE79*(1+DL$3))/$AJ79,'Технический лист'!$I:$J,2,1)-VLOOKUP($AO79,'Технический лист'!$I:$J,2,1)),1+(1-$AU79))</f>
        <v>1</v>
      </c>
      <c r="DM79" s="15">
        <f>MIN(IF($AU79=100%,1,1+VLOOKUP(($AJ79-$AI79-$AH79-$AG79-$AF79-$AE79*(1+DM$3))/$AJ79,'Технический лист'!$I:$J,2,1)-VLOOKUP($AO79,'Технический лист'!$I:$J,2,1)),1+(1-$AU79))</f>
        <v>1</v>
      </c>
      <c r="DN79" s="15">
        <f>MIN(IF($AU79=100%,1,1+VLOOKUP(($AJ79-$AI79-$AH79-$AG79-$AF79-$AE79*(1+DN$3))/$AJ79,'Технический лист'!$I:$J,2,1)-VLOOKUP($AO79,'Технический лист'!$I:$J,2,1)),1+(1-$AU79))</f>
        <v>1</v>
      </c>
      <c r="DO79" s="15">
        <f>MIN(IF($AU79=100%,1,1+VLOOKUP(($AJ79-$AI79-$AH79-$AG79-$AF79-$AE79*(1+DO$3))/$AJ79,'Технический лист'!$I:$J,2,1)-VLOOKUP($AO79,'Технический лист'!$I:$J,2,1)),1+(1-$AU79))</f>
        <v>1</v>
      </c>
      <c r="DP79" s="15">
        <f>MIN(IF($AU79=100%,1,1+VLOOKUP(($AJ79-$AI79-$AH79-$AG79-$AF79-$AE79*(1+DP$3))/$AJ79,'Технический лист'!$I:$J,2,1)-VLOOKUP($AO79,'Технический лист'!$I:$J,2,1)),1+(1-$AU79))</f>
        <v>1</v>
      </c>
      <c r="DQ79" s="15">
        <f>MIN(IF($AU79=100%,1,1+VLOOKUP(($AJ79-$AI79-$AH79-$AG79-$AF79-$AE79*(1+DQ$3))/$AJ79,'Технический лист'!$I:$J,2,1)-VLOOKUP($AO79,'Технический лист'!$I:$J,2,1)),1+(1-$AU79))</f>
        <v>1</v>
      </c>
      <c r="DR79" s="15">
        <f>MIN(IF($AU79=100%,1,1+VLOOKUP(($AJ79-$AI79-$AH79-$AG79-$AF79-$AE79*(1+DR$3))/$AJ79,'Технический лист'!$I:$J,2,1)-VLOOKUP($AO79,'Технический лист'!$I:$J,2,1)),1+(1-$AU79))</f>
        <v>1</v>
      </c>
      <c r="DS79" s="15">
        <f>MIN(IF($AU79=100%,1,1+VLOOKUP(($AJ79-$AI79-$AH79-$AG79-$AF79-$AE79*(1+DS$3))/$AJ79,'Технический лист'!$I:$J,2,1)-VLOOKUP($AO79,'Технический лист'!$I:$J,2,1)),1+(1-$AU79))</f>
        <v>1</v>
      </c>
      <c r="DT79" s="15">
        <f>MIN(IF($AU79=100%,1,1+VLOOKUP(($AJ79-$AI79-$AH79-$AG79-$AF79-$AE79*(1+DT$3))/$AJ79,'Технический лист'!$I:$J,2,1)-VLOOKUP($AO79,'Технический лист'!$I:$J,2,1)),1+(1-$AU79))</f>
        <v>1</v>
      </c>
      <c r="DU79" s="15">
        <f>MIN(IF($AU79=100%,1,1+VLOOKUP(($AJ79-$AI79-$AH79-$AG79-$AF79-$AE79*(1+DU$3))/$AJ79,'Технический лист'!$I:$J,2,1)-VLOOKUP($AO79,'Технический лист'!$I:$J,2,1)),1+(1-$AU79))</f>
        <v>1</v>
      </c>
      <c r="DV79" s="15">
        <f>MIN(IF($AU79=100%,1,1+VLOOKUP(($AJ79-$AI79-$AH79-$AG79-$AF79-$AE79*(1+DV$3))/$AJ79,'Технический лист'!$I:$J,2,1)-VLOOKUP($AO79,'Технический лист'!$I:$J,2,1)),1+(1-$AU79))</f>
        <v>1</v>
      </c>
      <c r="DW79" s="15">
        <f>MIN(IF($AU79=100%,1,1+VLOOKUP(($AJ79-$AI79-$AH79-$AG79-$AF79-$AE79*(1+DW$3))/$AJ79,'Технический лист'!$I:$J,2,1)-VLOOKUP($AO79,'Технический лист'!$I:$J,2,1)),1+(1-$AU79))</f>
        <v>1</v>
      </c>
      <c r="DX79" s="15">
        <f>MIN(IF($AU79=100%,1,1+VLOOKUP(($AJ79-$AI79-$AH79-$AG79-$AF79-$AE79*(1+DX$3))/$AJ79,'Технический лист'!$I:$J,2,1)-VLOOKUP($AO79,'Технический лист'!$I:$J,2,1)),1+(1-$AU79))</f>
        <v>1</v>
      </c>
      <c r="DY79" s="15">
        <f>MIN(IF($AU79=100%,1,1+VLOOKUP(($AJ79-$AI79-$AH79-$AG79-$AF79-$AE79*(1+DY$3))/$AJ79,'Технический лист'!$I:$J,2,1)-VLOOKUP($AO79,'Технический лист'!$I:$J,2,1)),1+(1-$AU79))</f>
        <v>1</v>
      </c>
      <c r="DZ79" s="15">
        <f>MIN(IF($AU79=100%,1,1+VLOOKUP(($AJ79-$AI79-$AH79-$AG79-$AF79-$AE79*(1+DZ$3))/$AJ79,'Технический лист'!$I:$J,2,1)-VLOOKUP($AO79,'Технический лист'!$I:$J,2,1)),1+(1-$AU79))</f>
        <v>1</v>
      </c>
      <c r="EA79" s="15">
        <f>MIN(IF($AU79=100%,1,1+VLOOKUP(($AJ79-$AI79-$AH79-$AG79-$AF79-$AE79*(1+EA$3))/$AJ79,'Технический лист'!$I:$J,2,1)-VLOOKUP($AO79,'Технический лист'!$I:$J,2,1)),1+(1-$AU79))</f>
        <v>1</v>
      </c>
      <c r="EB79" s="15">
        <f>MIN(IF($AU79=100%,1,1+VLOOKUP(($AJ79-$AI79-$AH79-$AG79-$AF79-$AE79*(1+EB$3))/$AJ79,'Технический лист'!$I:$J,2,1)-VLOOKUP($AO79,'Технический лист'!$I:$J,2,1)),1+(1-$AU79))</f>
        <v>1</v>
      </c>
      <c r="EC79" s="15">
        <f>MIN(IF($AU79=100%,1,1+VLOOKUP(($AJ79-$AI79-$AH79-$AG79-$AF79-$AE79*(1+EC$3))/$AJ79,'Технический лист'!$I:$J,2,1)-VLOOKUP($AO79,'Технический лист'!$I:$J,2,1)),1+(1-$AU79))</f>
        <v>1</v>
      </c>
      <c r="ED79" s="12">
        <f>MIN(IF($AU79=100%,1,1+VLOOKUP(($AJ79-$AI79-$AH79-$AG79-$AF79-$AE79*(1+ED$3))/$AJ79,'Технический лист'!$I:$J,2,1)-VLOOKUP($AO79,'Технический лист'!$I:$J,2,1)),1+(1-$AU79))</f>
        <v>1</v>
      </c>
      <c r="EE79" s="15">
        <f>MIN(IF($AU79=100%,1,1+VLOOKUP(($AJ79-$AI79-$AH79-$AG79-$AF79-$AE79*(1+EE$3))/$AJ79,'Технический лист'!$I:$J,2,1)-VLOOKUP($AO79,'Технический лист'!$I:$J,2,1)),1+(1-$AU79))</f>
        <v>1</v>
      </c>
      <c r="EF79" s="15">
        <f>MIN(IF($AU79=100%,1,1+VLOOKUP(($AJ79-$AI79-$AH79-$AG79-$AF79-$AE79*(1+EF$3))/$AJ79,'Технический лист'!$I:$J,2,1)-VLOOKUP($AO79,'Технический лист'!$I:$J,2,1)),1+(1-$AU79))</f>
        <v>1</v>
      </c>
      <c r="EG79" s="15">
        <f>MIN(IF($AU79=100%,1,1+VLOOKUP(($AJ79-$AI79-$AH79-$AG79-$AF79-$AE79*(1+EG$3))/$AJ79,'Технический лист'!$I:$J,2,1)-VLOOKUP($AO79,'Технический лист'!$I:$J,2,1)),1+(1-$AU79))</f>
        <v>1</v>
      </c>
      <c r="EH79" s="15">
        <f>MIN(IF($AU79=100%,1,1+VLOOKUP(($AJ79-$AI79-$AH79-$AG79-$AF79-$AE79*(1+EH$3))/$AJ79,'Технический лист'!$I:$J,2,1)-VLOOKUP($AO79,'Технический лист'!$I:$J,2,1)),1+(1-$AU79))</f>
        <v>1</v>
      </c>
      <c r="EI79" s="15">
        <f>MIN(IF($AU79=100%,1,1+VLOOKUP(($AJ79-$AI79-$AH79-$AG79-$AF79-$AE79*(1+EI$3))/$AJ79,'Технический лист'!$I:$J,2,1)-VLOOKUP($AO79,'Технический лист'!$I:$J,2,1)),1+(1-$AU79))</f>
        <v>1</v>
      </c>
      <c r="EJ79" s="15">
        <f>MIN(IF($AU79=100%,1,1+VLOOKUP(($AJ79-$AI79-$AH79-$AG79-$AF79-$AE79*(1+EJ$3))/$AJ79,'Технический лист'!$I:$J,2,1)-VLOOKUP($AO79,'Технический лист'!$I:$J,2,1)),1+(1-$AU79))</f>
        <v>1</v>
      </c>
      <c r="EK79" s="15">
        <f>MIN(IF($AU79=100%,1,1+VLOOKUP(($AJ79-$AI79-$AH79-$AG79-$AF79-$AE79*(1+EK$3))/$AJ79,'Технический лист'!$I:$J,2,1)-VLOOKUP($AO79,'Технический лист'!$I:$J,2,1)),1+(1-$AU79))</f>
        <v>1</v>
      </c>
      <c r="EL79" s="15">
        <f>MIN(IF($AU79=100%,1,1+VLOOKUP(($AJ79-$AI79-$AH79-$AG79-$AF79-$AE79*(1+EL$3))/$AJ79,'Технический лист'!$I:$J,2,1)-VLOOKUP($AO79,'Технический лист'!$I:$J,2,1)),1+(1-$AU79))</f>
        <v>1</v>
      </c>
      <c r="EM79" s="15">
        <f>MIN(IF($AU79=100%,1,1+VLOOKUP(($AJ79-$AI79-$AH79-$AG79-$AF79-$AE79*(1+EM$3))/$AJ79,'Технический лист'!$I:$J,2,1)-VLOOKUP($AO79,'Технический лист'!$I:$J,2,1)),1+(1-$AU79))</f>
        <v>1</v>
      </c>
      <c r="EN79" s="15">
        <f>MIN(IF($AU79=100%,1,1+VLOOKUP(($AJ79-$AI79-$AH79-$AG79-$AF79-$AE79*(1+EN$3))/$AJ79,'Технический лист'!$I:$J,2,1)-VLOOKUP($AO79,'Технический лист'!$I:$J,2,1)),1+(1-$AU79))</f>
        <v>1</v>
      </c>
      <c r="EO79" s="15">
        <f>MIN(IF($AU79=100%,1,1+VLOOKUP(($AJ79-$AI79-$AH79-$AG79-$AF79-$AE79*(1+EO$3))/$AJ79,'Технический лист'!$I:$J,2,1)-VLOOKUP($AO79,'Технический лист'!$I:$J,2,1)),1+(1-$AU79))</f>
        <v>1</v>
      </c>
      <c r="EP79" s="15">
        <f>MIN(IF($AU79=100%,1,1+VLOOKUP(($AJ79-$AI79-$AH79-$AG79-$AF79-$AE79*(1+EP$3))/$AJ79,'Технический лист'!$I:$J,2,1)-VLOOKUP($AO79,'Технический лист'!$I:$J,2,1)),1+(1-$AU79))</f>
        <v>1</v>
      </c>
      <c r="EQ79" s="15">
        <f>MIN(IF($AU79=100%,1,1+VLOOKUP(($AJ79-$AI79-$AH79-$AG79-$AF79-$AE79*(1+EQ$3))/$AJ79,'Технический лист'!$I:$J,2,1)-VLOOKUP($AO79,'Технический лист'!$I:$J,2,1)),1+(1-$AU79))</f>
        <v>1</v>
      </c>
      <c r="ER79" s="15">
        <f>MIN(IF($AU79=100%,1,1+VLOOKUP(($AJ79-$AI79-$AH79-$AG79-$AF79-$AE79*(1+ER$3))/$AJ79,'Технический лист'!$I:$J,2,1)-VLOOKUP($AO79,'Технический лист'!$I:$J,2,1)),1+(1-$AU79))</f>
        <v>1</v>
      </c>
      <c r="ES79" s="15">
        <f>MIN(IF($AU79=100%,1,1+VLOOKUP(($AJ79-$AI79-$AH79-$AG79-$AF79-$AE79*(1+ES$3))/$AJ79,'Технический лист'!$I:$J,2,1)-VLOOKUP($AO79,'Технический лист'!$I:$J,2,1)),1+(1-$AU79))</f>
        <v>1</v>
      </c>
      <c r="ET79" s="15">
        <f>MIN(IF($AU79=100%,1,1+VLOOKUP(($AJ79-$AI79-$AH79-$AG79-$AF79-$AE79*(1+ET$3))/$AJ79,'Технический лист'!$I:$J,2,1)-VLOOKUP($AO79,'Технический лист'!$I:$J,2,1)),1+(1-$AU79))</f>
        <v>1</v>
      </c>
      <c r="EU79" s="15">
        <f>MIN(IF($AU79=100%,1,1+VLOOKUP(($AJ79-$AI79-$AH79-$AG79-$AF79-$AE79*(1+EU$3))/$AJ79,'Технический лист'!$I:$J,2,1)-VLOOKUP($AO79,'Технический лист'!$I:$J,2,1)),1+(1-$AU79))</f>
        <v>1</v>
      </c>
      <c r="EV79" s="111">
        <v>1</v>
      </c>
      <c r="EW79" s="15">
        <f>MIN(1,MAX(VLOOKUP(($AJ79-$AI79-$AH79-$AG79-$AF79-$AE79*(1+EW$3))/$AJ79,'Технический лист'!$A:$B,2,1),(EV79-0.05)))</f>
        <v>1</v>
      </c>
      <c r="EX79" s="15">
        <f>MIN(1,MAX(VLOOKUP(($AJ79-$AI79-$AH79-$AG79-$AF79-$AE79*(1+EX$3))/$AJ79,'Технический лист'!$A:$B,2,1),(EW79-0.05)))</f>
        <v>1</v>
      </c>
      <c r="EY79" s="15">
        <f>MIN(1,MAX(VLOOKUP(($AJ79-$AI79-$AH79-$AG79-$AF79-$AE79*(1+EY$3))/$AJ79,'Технический лист'!$A:$B,2,1),(EX79-0.05)))</f>
        <v>1</v>
      </c>
      <c r="EZ79" s="15">
        <f>MIN(1,MAX(VLOOKUP(($AJ79-$AI79-$AH79-$AG79-$AF79-$AE79*(1+EZ$3))/$AJ79,'Технический лист'!$A:$B,2,1),(EY79-0.05)))</f>
        <v>1</v>
      </c>
      <c r="FA79" s="15">
        <f>MIN(1,MAX(VLOOKUP(($AJ79-$AI79-$AH79-$AG79-$AF79-$AE79*(1+FA$3))/$AJ79,'Технический лист'!$A:$B,2,1),(EZ79-0.05)))</f>
        <v>1</v>
      </c>
      <c r="FB79" s="15">
        <f>MIN(1,MAX(VLOOKUP(($AJ79-$AI79-$AH79-$AG79-$AF79-$AE79*(1+FB$3))/$AJ79,'Технический лист'!$A:$B,2,1),(FA79-0.05)))</f>
        <v>1</v>
      </c>
      <c r="FC79" s="15">
        <f>MIN(1,MAX(VLOOKUP(($AJ79-$AI79-$AH79-$AG79-$AF79-$AE79*(1+FC$3))/$AJ79,'Технический лист'!$A:$B,2,1),(FB79-0.05)))</f>
        <v>1</v>
      </c>
      <c r="FD79" s="15">
        <f>MIN(1,MAX(VLOOKUP(($AJ79-$AI79-$AH79-$AG79-$AF79-$AE79*(1+FD$3))/$AJ79,'Технический лист'!$A:$B,2,1),(FC79-0.05)))</f>
        <v>1</v>
      </c>
      <c r="FE79" s="15">
        <f>MIN(1,MAX(VLOOKUP(($AJ79-$AI79-$AH79-$AG79-$AF79-$AE79*(1+FE$3))/$AJ79,'Технический лист'!$A:$B,2,1),(FD79-0.05)))</f>
        <v>1</v>
      </c>
      <c r="FF79" s="15">
        <f>MIN(1,MAX(VLOOKUP(($AJ79-$AI79-$AH79-$AG79-$AF79-$AE79*(1+FF$3))/$AJ79,'Технический лист'!$A:$B,2,1),(FE79-0.05)))</f>
        <v>1</v>
      </c>
      <c r="FG79" s="15">
        <f>MIN(1,MAX(VLOOKUP(($AJ79-$AI79-$AH79-$AG79-$AF79-$AE79*(1+FG$3))/$AJ79,'Технический лист'!$A:$B,2,1),(FF79-0.05)))</f>
        <v>1</v>
      </c>
      <c r="FH79" s="15">
        <f>MIN(1,MAX(VLOOKUP(($AJ79-$AI79-$AH79-$AG79-$AF79-$AE79*(1+FH$3))/$AJ79,'Технический лист'!$A:$B,2,1),(FG79-0.05)))</f>
        <v>1</v>
      </c>
      <c r="FI79" s="15">
        <f>MIN(1,MAX(VLOOKUP(($AJ79-$AI79-$AH79-$AG79-$AF79-$AE79*(1+FI$3))/$AJ79,'Технический лист'!$A:$B,2,1),(FH79-0.05)))</f>
        <v>1</v>
      </c>
      <c r="FJ79" s="15">
        <f>MIN(1,MAX(VLOOKUP(($AJ79-$AI79-$AH79-$AG79-$AF79-$AE79*(1+FJ$3))/$AJ79,'Технический лист'!$A:$B,2,1),(FI79-0.05)))</f>
        <v>1</v>
      </c>
      <c r="FK79" s="15">
        <f>MIN(1,MAX(VLOOKUP(($AJ79-$AI79-$AH79-$AG79-$AF79-$AE79*(1+FK$3))/$AJ79,'Технический лист'!$A:$B,2,1),(FJ79-0.05)))</f>
        <v>1</v>
      </c>
      <c r="FL79" s="15">
        <f>MIN(1,MAX(VLOOKUP(($AJ79-$AI79-$AH79-$AG79-$AF79-$AE79*(1+FL$3))/$AJ79,'Технический лист'!$A:$B,2,1),(FK79-0.05)))</f>
        <v>1</v>
      </c>
      <c r="FM79" s="15">
        <f>MIN(1,MAX(VLOOKUP(($AJ79-$AI79-$AH79-$AG79-$AF79-$AE79*(1+FM$3))/$AJ79,'Технический лист'!$A:$B,2,1),(FL79-0.05)))</f>
        <v>1</v>
      </c>
      <c r="FN79" s="15">
        <f>MIN(1,MAX(VLOOKUP(($AJ79-$AI79-$AH79-$AG79-$AF79-$AE79*(1+FN$3))/$AJ79,'Технический лист'!$A:$B,2,1),(FM79-0.05)))</f>
        <v>1</v>
      </c>
      <c r="FO79" s="15">
        <f>MIN(1,MAX(VLOOKUP(($AJ79-$AI79-$AH79-$AG79-$AF79-$AE79*(1+FO$3))/$AJ79,'Технический лист'!$A:$B,2,1),(FN79-0.05)))</f>
        <v>1</v>
      </c>
      <c r="FP79" s="15">
        <f>MIN(1,MAX(VLOOKUP(($AJ79-$AI79-$AH79-$AG79-$AF79-$AE79*(1+FP$3))/$AJ79,'Технический лист'!$A:$B,2,1),(FO79-0.05)))</f>
        <v>1</v>
      </c>
      <c r="FQ79" s="15">
        <f>MIN(1,MAX(VLOOKUP(($AJ79-$AI79-$AH79-$AG79-$AF79-$AE79*(1+FQ$3))/$AJ79,'Технический лист'!$A:$B,2,1),(FP79-0.05)))</f>
        <v>1</v>
      </c>
      <c r="FR79" s="15">
        <f>MIN(1,MAX(VLOOKUP(($AJ79-$AI79-$AH79-$AG79-$AF79-$AE79*(1+FR$3))/$AJ79,'Технический лист'!$A:$B,2,1),(FQ79-0.05)))</f>
        <v>1</v>
      </c>
      <c r="FS79" s="15">
        <f>MIN(1,MAX(VLOOKUP(($AJ79-$AI79-$AH79-$AG79-$AF79-$AE79*(1+FS$3))/$AJ79,'Технический лист'!$A:$B,2,1),(FR79-0.05)))</f>
        <v>1</v>
      </c>
      <c r="FT79" s="15">
        <f>MIN(1,MAX(VLOOKUP(($AJ79-$AI79-$AH79-$AG79-$AF79-$AE79*(1+FT$3))/$AJ79,'Технический лист'!$A:$B,2,1),(FS79-0.05)))</f>
        <v>1</v>
      </c>
      <c r="FU79" s="15">
        <f>MIN(1,MAX(VLOOKUP(($AJ79-$AI79-$AH79-$AG79-$AF79-$AE79*(1+FU$3))/$AJ79,'Технический лист'!$A:$B,2,1),(FT79-0.05)))</f>
        <v>1</v>
      </c>
      <c r="FV79" s="15">
        <f>MIN(1,MAX(VLOOKUP(($AJ79-$AI79-$AH79-$AG79-$AF79-$AE79*(1+FV$3))/$AJ79,'Технический лист'!$A:$B,2,1),(FU79-0.05)))</f>
        <v>1</v>
      </c>
      <c r="FW79" s="15">
        <f>MIN(1,MAX(VLOOKUP(($AJ79-$AI79-$AH79-$AG79-$AF79-$AE79*(1+FW$3))/$AJ79,'Технический лист'!$A:$B,2,1),(FV79-0.05)))</f>
        <v>1</v>
      </c>
      <c r="FX79" s="15">
        <f>MIN(1,MAX(VLOOKUP(($AJ79-$AI79-$AH79-$AG79-$AF79-$AE79*(1+FX$3))/$AJ79,'Технический лист'!$A:$B,2,1),(FW79-0.05)))</f>
        <v>1</v>
      </c>
      <c r="FY79" s="15">
        <f>MIN(1,MAX(VLOOKUP(($AJ79-$AI79-$AH79-$AG79-$AF79-$AE79*(1+FY$3))/$AJ79,'Технический лист'!$A:$B,2,1),(FX79-0.05)))</f>
        <v>1</v>
      </c>
      <c r="FZ79" s="15">
        <f>MIN(1,MAX(VLOOKUP(($AJ79-$AI79-$AH79-$AG79-$AF79-$AE79*(1+FZ$3))/$AJ79,'Технический лист'!$A:$B,2,1),(FY79-0.05)))</f>
        <v>1</v>
      </c>
      <c r="GA79" s="15">
        <f>MIN(1,MAX(VLOOKUP(($AJ79-$AI79-$AH79-$AG79-$AF79-$AE79*(1+GA$3))/$AJ79,'Технический лист'!$A:$B,2,1),(FZ79-0.05)))</f>
        <v>1</v>
      </c>
      <c r="GB79" s="15">
        <f>MIN(1,MAX(VLOOKUP(($AJ79-$AI79-$AH79-$AG79-$AF79-$AE79*(1+GB$3))/$AJ79,'Технический лист'!$A:$B,2,1),(GA79-0.05)))</f>
        <v>1</v>
      </c>
      <c r="GC79" s="15">
        <f>MIN(1,MAX(VLOOKUP(($AJ79-$AI79-$AH79-$AG79-$AF79-$AE79*(1+GC$3))/$AJ79,'Технический лист'!$A:$B,2,1),(GB79-0.05)))</f>
        <v>1</v>
      </c>
      <c r="GD79" s="15">
        <f>MIN(1,MAX(VLOOKUP(($AJ79-$AI79-$AH79-$AG79-$AF79-$AE79*(1+GD$3))/$AJ79,'Технический лист'!$A:$B,2,1),(GC79-0.05)))</f>
        <v>1</v>
      </c>
      <c r="GE79" s="15">
        <f>MIN(1,MAX(VLOOKUP(($AJ79-$AI79-$AH79-$AG79-$AF79-$AE79*(1+GE$3))/$AJ79,'Технический лист'!$A:$B,2,1),(GD79-0.05)))</f>
        <v>1</v>
      </c>
      <c r="GF79" s="15">
        <f>MIN(1,MAX(VLOOKUP(($AJ79-$AI79-$AH79-$AG79-$AF79-$AE79*(1+GF$3))/$AJ79,'Технический лист'!$A:$B,2,1),(GE79-0.05)))</f>
        <v>1</v>
      </c>
      <c r="GG79" s="15">
        <f>MIN(1,MAX(VLOOKUP(($AJ79-$AI79-$AH79-$AG79-$AF79-$AE79*(1+GG$3))/$AJ79,'Технический лист'!$A:$B,2,1),(GF79-0.05)))</f>
        <v>1</v>
      </c>
      <c r="GH79" s="15">
        <f>MIN(1,MAX(VLOOKUP(($AJ79-$AI79-$AH79-$AG79-$AF79-$AE79*(1+GH$3))/$AJ79,'Технический лист'!$A:$B,2,1),(GG79-0.05)))</f>
        <v>1</v>
      </c>
      <c r="GI79" s="15">
        <f>MIN(1,MAX(VLOOKUP(($AJ79-$AI79-$AH79-$AG79-$AF79-$AE79*(1+GI$3))/$AJ79,'Технический лист'!$A:$B,2,1),(GH79-0.05)))</f>
        <v>1</v>
      </c>
      <c r="GJ79" s="15">
        <f>MIN(1,MAX(VLOOKUP(($AJ79-$AI79-$AH79-$AG79-$AF79-$AE79*(1+GJ$3))/$AJ79,'Технический лист'!$A:$B,2,1),(GI79-0.05)))</f>
        <v>1</v>
      </c>
      <c r="GK79" s="15">
        <f>MIN(1,MAX(VLOOKUP(($AJ79-$AI79-$AH79-$AG79-$AF79-$AE79*(1+GK$3))/$AJ79,'Технический лист'!$A:$B,2,1),(GJ79-0.05)))</f>
        <v>1</v>
      </c>
      <c r="GL79" s="15">
        <f>MIN(1,MAX(VLOOKUP(($AJ79-$AI79-$AH79-$AG79-$AF79-$AE79*(1+GL$3))/$AJ79,'Технический лист'!$A:$B,2,1),(GK79-0.05)))</f>
        <v>1</v>
      </c>
      <c r="GM79" s="15">
        <f>MIN(1,MAX(VLOOKUP(($AJ79-$AI79-$AH79-$AG79-$AF79-$AE79*(1+GM$3))/$AJ79,'Технический лист'!$A:$B,2,1),(GL79-0.05)))</f>
        <v>1</v>
      </c>
      <c r="GN79" s="15">
        <f>MIN(1,MAX(VLOOKUP(($AJ79-$AI79-$AH79-$AG79-$AF79-$AE79*(1+GN$3))/$AJ79,'Технический лист'!$A:$B,2,1),(GM79-0.05)))</f>
        <v>1</v>
      </c>
      <c r="GO79" s="15">
        <f>MIN(1,MAX(VLOOKUP(($AJ79-$AI79-$AH79-$AG79-$AF79-$AE79*(1+GO$3))/$AJ79,'Технический лист'!$A:$B,2,1),(GN79-0.05)))</f>
        <v>1</v>
      </c>
      <c r="GP79" s="15">
        <f>MIN(1,MAX(VLOOKUP(($AJ79-$AI79-$AH79-$AG79-$AF79-$AE79*(1+GP$3))/$AJ79,'Технический лист'!$A:$B,2,1),(GO79-0.05)))</f>
        <v>1</v>
      </c>
      <c r="GQ79" s="15">
        <f>MIN(1,MAX(VLOOKUP(($AJ79-$AI79-$AH79-$AG79-$AF79-$AE79*(1+GQ$3))/$AJ79,'Технический лист'!$A:$B,2,1),(GP79-0.05)))</f>
        <v>1</v>
      </c>
      <c r="GR79" s="15">
        <f>MIN(1,MAX(VLOOKUP(($AJ79-$AI79-$AH79-$AG79-$AF79-$AE79*(1+GR$3))/$AJ79,'Технический лист'!$A:$B,2,1),(GQ79-0.05)))</f>
        <v>1</v>
      </c>
      <c r="GS79" s="15">
        <f>MIN(1,MAX(VLOOKUP(($AJ79-$AI79-$AH79-$AG79-$AF79-$AE79*(1+GS$3))/$AJ79,'Технический лист'!$A:$B,2,1),(GR79-0.05)))</f>
        <v>1</v>
      </c>
      <c r="GT79" s="15">
        <f>MIN(1,MAX(VLOOKUP(($AJ79-$AI79-$AH79-$AG79-$AF79-$AE79*(1+GT$3))/$AJ79,'Технический лист'!$A:$B,2,1),(GS79-0.05)))</f>
        <v>1</v>
      </c>
      <c r="GU79" s="15">
        <f>MIN(1,MAX(VLOOKUP(($AJ79-$AI79-$AH79-$AG79-$AF79-$AE79*(1+GU$3))/$AJ79,'Технический лист'!$A:$B,2,1),(GT79-0.05)))</f>
        <v>1</v>
      </c>
      <c r="GV79" s="15">
        <f>MIN(1,MAX(VLOOKUP(($AJ79-$AI79-$AH79-$AG79-$AF79-$AE79*(1+GV$3))/$AJ79,'Технический лист'!$A:$B,2,1),(GU79-0.05)))</f>
        <v>1</v>
      </c>
      <c r="GW79" s="15">
        <f>MIN(1,MAX(VLOOKUP(($AJ79-$AI79-$AH79-$AG79-$AF79-$AE79*(1+GW$3))/$AJ79,'Технический лист'!$A:$B,2,1),(GV79-0.05)))</f>
        <v>1</v>
      </c>
      <c r="GX79" s="15">
        <f>MIN(1,MAX(VLOOKUP(($AJ79-$AI79-$AH79-$AG79-$AF79-$AE79*(1+GX$3))/$AJ79,'Технический лист'!$A:$B,2,1),(GW79-0.05)))</f>
        <v>1</v>
      </c>
      <c r="GY79" s="15">
        <f>MIN(1,MAX(VLOOKUP(($AJ79-$AI79-$AH79-$AG79-$AF79-$AE79*(1+GY$3))/$AJ79,'Технический лист'!$A:$B,2,1),(GX79-0.05)))</f>
        <v>1</v>
      </c>
      <c r="GZ79" s="15">
        <f>MIN(1,MAX(VLOOKUP(($AJ79-$AI79-$AH79-$AG79-$AF79-$AE79*(1+GZ$3))/$AJ79,'Технический лист'!$A:$B,2,1),(GY79-0.05)))</f>
        <v>1</v>
      </c>
      <c r="HA79" s="15">
        <f>MIN(1,MAX(VLOOKUP(($AJ79-$AI79-$AH79-$AG79-$AF79-$AE79*(1+HA$3))/$AJ79,'Технический лист'!$A:$B,2,1),(GZ79-0.05)))</f>
        <v>1</v>
      </c>
      <c r="HB79" s="15">
        <f>MIN(1,MAX(VLOOKUP(($AJ79-$AI79-$AH79-$AG79-$AF79-$AE79*(1+HB$3))/$AJ79,'Технический лист'!$A:$B,2,1),(HA79-0.05)))</f>
        <v>1</v>
      </c>
      <c r="HC79" s="15">
        <f>MIN(1,MAX(VLOOKUP(($AJ79-$AI79-$AH79-$AG79-$AF79-$AE79*(1+HC$3))/$AJ79,'Технический лист'!$A:$B,2,1),(HB79-0.05)))</f>
        <v>1</v>
      </c>
      <c r="HD79" s="15">
        <f>MIN(1,MAX(VLOOKUP(($AJ79-$AI79-$AH79-$AG79-$AF79-$AE79*(1+HD$3))/$AJ79,'Технический лист'!$A:$B,2,1),(HC79-0.05)))</f>
        <v>1</v>
      </c>
      <c r="HE79" s="15">
        <f>MIN(1,MAX(VLOOKUP(($AJ79-$AI79-$AH79-$AG79-$AF79-$AE79*(1+HE$3))/$AJ79,'Технический лист'!$A:$B,2,1),(HD79-0.05)))</f>
        <v>1</v>
      </c>
      <c r="HF79" s="15">
        <f>MIN(1,MAX(VLOOKUP(($AJ79-$AI79-$AH79-$AG79-$AF79-$AE79*(1+HF$3))/$AJ79,'Технический лист'!$A:$B,2,1),(HE79-0.05)))</f>
        <v>1</v>
      </c>
      <c r="HG79" s="15">
        <f>MIN(1,MAX(VLOOKUP(($AJ79-$AI79-$AH79-$AG79-$AF79-$AE79*(1+HG$3))/$AJ79,'Технический лист'!$A:$B,2,1),(HF79-0.05)))</f>
        <v>1</v>
      </c>
      <c r="HH79" s="15">
        <f>MIN(1,MAX(VLOOKUP(($AJ79-$AI79-$AH79-$AG79-$AF79-$AE79*(1+HH$3))/$AJ79,'Технический лист'!$A:$B,2,1),(HG79-0.05)))</f>
        <v>1</v>
      </c>
      <c r="HI79" s="15">
        <f>MIN(1,MAX(VLOOKUP(($AJ79-$AI79-$AH79-$AG79-$AF79-$AE79*(1+HI$3))/$AJ79,'Технический лист'!$A:$B,2,1),(HH79-0.05)))</f>
        <v>1</v>
      </c>
      <c r="HJ79" s="15">
        <f>MIN(1,MAX(VLOOKUP(($AJ79-$AI79-$AH79-$AG79-$AF79-$AE79*(1+HJ$3))/$AJ79,'Технический лист'!$A:$B,2,1),(HI79-0.05)))</f>
        <v>1</v>
      </c>
      <c r="HK79" s="15">
        <f>MIN(1,MAX(VLOOKUP(($AJ79-$AI79-$AH79-$AG79-$AF79-$AE79*(1+HK$3))/$AJ79,'Технический лист'!$A:$B,2,1),(HJ79-0.05)))</f>
        <v>1</v>
      </c>
      <c r="HL79" s="15">
        <f>MIN(1,MAX(VLOOKUP(($AJ79-$AI79-$AH79-$AG79-$AF79-$AE79*(1+HL$3))/$AJ79,'Технический лист'!$A:$B,2,1),(HK79-0.05)))</f>
        <v>1</v>
      </c>
      <c r="HM79" s="15">
        <f>MIN(1,MAX(VLOOKUP(($AJ79-$AI79-$AH79-$AG79-$AF79-$AE79*(1+HM$3))/$AJ79,'Технический лист'!$A:$B,2,1),(HL79-0.05)))</f>
        <v>1</v>
      </c>
      <c r="HN79" s="15">
        <f>MIN(1,MAX(VLOOKUP(($AJ79-$AI79-$AH79-$AG79-$AF79-$AE79*(1+HN$3))/$AJ79,'Технический лист'!$A:$B,2,1),(HM79-0.05)))</f>
        <v>1</v>
      </c>
      <c r="HO79" s="15">
        <f>MIN(1,MAX(VLOOKUP(($AJ79-$AI79-$AH79-$AG79-$AF79-$AE79*(1+HO$3))/$AJ79,'Технический лист'!$A:$B,2,1),(HN79-0.05)))</f>
        <v>1</v>
      </c>
      <c r="HP79" s="15">
        <f>MIN(1,MAX(VLOOKUP(($AJ79-$AI79-$AH79-$AG79-$AF79-$AE79*(1+HP$3))/$AJ79,'Технический лист'!$A:$B,2,1),(HO79-0.05)))</f>
        <v>1</v>
      </c>
      <c r="HQ79" s="15">
        <f>MIN(1,MAX(VLOOKUP(($AJ79-$AI79-$AH79-$AG79-$AF79-$AE79*(1+HQ$3))/$AJ79,'Технический лист'!$A:$B,2,1),(HP79-0.05)))</f>
        <v>1</v>
      </c>
      <c r="HR79" s="15">
        <f>MIN(1,MAX(VLOOKUP(($AJ79-$AI79-$AH79-$AG79-$AF79-$AE79*(1+HR$3))/$AJ79,'Технический лист'!$A:$B,2,1),(HQ79-0.05)))</f>
        <v>1</v>
      </c>
      <c r="HS79" s="15">
        <f>MIN(1,MAX(VLOOKUP(($AJ79-$AI79-$AH79-$AG79-$AF79-$AE79*(1+HS$3))/$AJ79,'Технический лист'!$A:$B,2,1),(HR79-0.05)))</f>
        <v>1</v>
      </c>
      <c r="HT79" s="15">
        <f>MIN(1,MAX(VLOOKUP(($AJ79-$AI79-$AH79-$AG79-$AF79-$AE79*(1+HT$3))/$AJ79,'Технический лист'!$A:$B,2,1),(HS79-0.05)))</f>
        <v>1</v>
      </c>
      <c r="HU79" s="15">
        <f>MIN(1,MAX(VLOOKUP(($AJ79-$AI79-$AH79-$AG79-$AF79-$AE79*(1+HU$3))/$AJ79,'Технический лист'!$A:$B,2,1),(HT79-0.05)))</f>
        <v>1</v>
      </c>
      <c r="HV79" s="15">
        <f>MIN(1,MAX(VLOOKUP(($AJ79-$AI79-$AH79-$AG79-$AF79-$AE79*(1+HV$3))/$AJ79,'Технический лист'!$A:$B,2,1),(HU79-0.05)))</f>
        <v>1</v>
      </c>
      <c r="HW79" s="15">
        <f>MIN(1,MAX(VLOOKUP(($AJ79-$AI79-$AH79-$AG79-$AF79-$AE79*(1+HW$3))/$AJ79,'Технический лист'!$A:$B,2,1),(HV79-0.05)))</f>
        <v>1</v>
      </c>
      <c r="HX79" s="15">
        <f>MIN(1,MAX(VLOOKUP(($AJ79-$AI79-$AH79-$AG79-$AF79-$AE79*(1+HX$3))/$AJ79,'Технический лист'!$A:$B,2,1),(HW79-0.05)))</f>
        <v>1</v>
      </c>
      <c r="HY79" s="15">
        <f>MIN(1,MAX(VLOOKUP(($AJ79-$AI79-$AH79-$AG79-$AF79-$AE79*(1+HY$3))/$AJ79,'Технический лист'!$A:$B,2,1),(HX79-0.05)))</f>
        <v>1</v>
      </c>
      <c r="HZ79" s="15">
        <f>MIN(1,MAX(VLOOKUP(($AJ79-$AI79-$AH79-$AG79-$AF79-$AE79*(1+HZ$3))/$AJ79,'Технический лист'!$A:$B,2,1),(HY79-0.05)))</f>
        <v>1</v>
      </c>
      <c r="IA79" s="4">
        <f>MIN(1,MAX(VLOOKUP(($AJ79-$AI79-$AH79-$AG79-$AF79-$AE79*(1+IA$3))/$AJ79,'Технический лист'!$A:$B,2,1),(HZ79-0.05)))</f>
        <v>1</v>
      </c>
      <c r="IB79" s="4">
        <f>MIN(1,MAX(VLOOKUP(($AJ79-$AI79-$AH79-$AG79-$AF79-$AE79*(1+IB$3))/$AJ79,'Технический лист'!$A:$B,2,1),(IA79-0.05)))</f>
        <v>1</v>
      </c>
      <c r="IC79" s="4">
        <f>MIN(1,MAX(VLOOKUP(($AJ79-$AI79-$AH79-$AG79-$AF79-$AE79*(1+IC$3))/$AJ79,'Технический лист'!$A:$B,2,1),(IB79-0.05)))</f>
        <v>1</v>
      </c>
      <c r="ID79" s="4">
        <f>MIN(1,MAX(VLOOKUP(($AJ79-$AI79-$AH79-$AG79-$AF79-$AE79*(1+ID$3))/$AJ79,'Технический лист'!$A:$B,2,1),(IC79-0.05)))</f>
        <v>1</v>
      </c>
      <c r="IE79" s="4">
        <f>MIN(1,MAX(VLOOKUP(($AJ79-$AI79-$AH79-$AG79-$AF79-$AE79*(1+IE$3))/$AJ79,'Технический лист'!$A:$B,2,1),(ID79-0.05)))</f>
        <v>1</v>
      </c>
      <c r="IF79" s="4">
        <f>MIN(1,MAX(VLOOKUP(($AJ79-$AI79-$AH79-$AG79-$AF79-$AE79*(1+IF$3))/$AJ79,'Технический лист'!$A:$B,2,1),(IE79-0.05)))</f>
        <v>1</v>
      </c>
      <c r="IG79" s="4">
        <f>MIN(1,MAX(VLOOKUP(($AJ79-$AI79-$AH79-$AG79-$AF79-$AE79*(1+IG$3))/$AJ79,'Технический лист'!$A:$B,2,1),(IF79-0.05)))</f>
        <v>1</v>
      </c>
      <c r="IH79" s="4">
        <f>MIN(1,MAX(VLOOKUP(($AJ79-$AI79-$AH79-$AG79-$AF79-$AE79*(1+IH$3))/$AJ79,'Технический лист'!$A:$B,2,1),(IG79-0.05)))</f>
        <v>1</v>
      </c>
      <c r="II79" s="4">
        <f>MIN(1,MAX(VLOOKUP(($AJ79-$AI79-$AH79-$AG79-$AF79-$AE79*(1+II$3))/$AJ79,'Технический лист'!$A:$B,2,1),(IH79-0.05)))</f>
        <v>1</v>
      </c>
      <c r="IJ79" s="4">
        <f>MIN(1,MAX(VLOOKUP(($AJ79-$AI79-$AH79-$AG79-$AF79-$AE79*(1+IJ$3))/$AJ79,'Технический лист'!$A:$B,2,1),(II79-0.05)))</f>
        <v>1</v>
      </c>
      <c r="IK79" s="4">
        <f>MIN(1,MAX(VLOOKUP(($AJ79-$AI79-$AH79-$AG79-$AF79-$AE79*(1+IK$3))/$AJ79,'Технический лист'!$A:$B,2,1),(IJ79-0.05)))</f>
        <v>1</v>
      </c>
      <c r="IL79" s="4">
        <f>MIN(1,MAX(VLOOKUP(($AJ79-$AI79-$AH79-$AG79-$AF79-$AE79*(1+IL$3))/$AJ79,'Технический лист'!$A:$B,2,1),(IK79-0.05)))</f>
        <v>1</v>
      </c>
      <c r="IM79" s="4">
        <f>MIN(1,MAX(VLOOKUP(($AJ79-$AI79-$AH79-$AG79-$AF79-$AE79*(1+IM$3))/$AJ79,'Технический лист'!$A:$B,2,1),(IL79-0.05)))</f>
        <v>1</v>
      </c>
      <c r="IN79" s="4">
        <f>MIN(1,MAX(VLOOKUP(($AJ79-$AI79-$AH79-$AG79-$AF79-$AE79*(1+IN$3))/$AJ79,'Технический лист'!$A:$B,2,1),(IM79-0.05)))</f>
        <v>1</v>
      </c>
      <c r="IO79" s="4">
        <f>MIN(1,MAX(VLOOKUP(($AJ79-$AI79-$AH79-$AG79-$AF79-$AE79*(1+IO$3))/$AJ79,'Технический лист'!$A:$B,2,1),(IN79-0.05)))</f>
        <v>1</v>
      </c>
      <c r="IP79" s="4">
        <f>MIN(1,MAX(VLOOKUP(($AJ79-$AI79-$AH79-$AG79-$AF79-$AE79*(1+IP$3))/$AJ79,'Технический лист'!$A:$B,2,1),(IO79-0.05)))</f>
        <v>1</v>
      </c>
      <c r="IQ79" s="4">
        <f>MIN(1,MAX(VLOOKUP(($AJ79-$AI79-$AH79-$AG79-$AF79-$AE79*(1+IQ$3))/$AJ79,'Технический лист'!$A:$B,2,1),(IP79-0.05)))</f>
        <v>1</v>
      </c>
      <c r="IR79" s="4">
        <f>MIN(1,MAX(VLOOKUP(($AJ79-$AI79-$AH79-$AG79-$AF79-$AE79*(1+IR$3))/$AJ79,'Технический лист'!$A:$B,2,1),(IQ79-0.05)))</f>
        <v>1</v>
      </c>
    </row>
    <row r="80" spans="1:252" ht="43.75">
      <c r="A80" s="89" t="s">
        <v>515</v>
      </c>
      <c r="B80" s="90">
        <v>5</v>
      </c>
      <c r="C80" s="5" t="s">
        <v>68</v>
      </c>
      <c r="D80" s="91">
        <v>32305</v>
      </c>
      <c r="E80" s="91" t="s">
        <v>341</v>
      </c>
      <c r="F80" s="92" t="s">
        <v>76</v>
      </c>
      <c r="G80" s="91" t="s">
        <v>52</v>
      </c>
      <c r="H80" s="91" t="s">
        <v>30</v>
      </c>
      <c r="I80" s="91" t="s">
        <v>111</v>
      </c>
      <c r="J80" s="91" t="s">
        <v>155</v>
      </c>
      <c r="K80" s="91">
        <v>4785</v>
      </c>
      <c r="L80" s="85" t="s">
        <v>64</v>
      </c>
      <c r="M80" s="91" t="s">
        <v>190</v>
      </c>
      <c r="N80" s="91" t="s">
        <v>191</v>
      </c>
      <c r="O80" s="91" t="s">
        <v>194</v>
      </c>
      <c r="P80" s="89" t="s">
        <v>211</v>
      </c>
      <c r="Q80" s="91" t="s">
        <v>291</v>
      </c>
      <c r="R80" s="91" t="s">
        <v>259</v>
      </c>
      <c r="S80" s="82">
        <v>36135</v>
      </c>
      <c r="T80" s="82">
        <v>172914853</v>
      </c>
      <c r="U80" s="81">
        <v>643</v>
      </c>
      <c r="V80" s="81">
        <v>0</v>
      </c>
      <c r="W80" s="82">
        <v>293239590</v>
      </c>
      <c r="X80" s="112">
        <v>54</v>
      </c>
      <c r="Y80" s="112" t="s">
        <v>416</v>
      </c>
      <c r="Z80" s="113">
        <v>15</v>
      </c>
      <c r="AA80" s="113">
        <v>11</v>
      </c>
      <c r="AB80" s="113">
        <v>4</v>
      </c>
      <c r="AC80" s="99">
        <v>9248.5</v>
      </c>
      <c r="AD80" s="99">
        <f>AE80-AC80</f>
        <v>1069.4099999999999</v>
      </c>
      <c r="AE80" s="99">
        <v>10317.91</v>
      </c>
      <c r="AF80" s="98">
        <f>(Z80+AA80+AB80)*'Ставки аренды'!$B$3/X80</f>
        <v>388.88888888888891</v>
      </c>
      <c r="AG80" s="114">
        <v>0</v>
      </c>
      <c r="AH80" s="94">
        <v>0</v>
      </c>
      <c r="AI80" s="115">
        <f t="shared" ref="AI80:AI82" si="34">333374/554614*AJ80</f>
        <v>43278.619003487111</v>
      </c>
      <c r="AJ80" s="117">
        <f>Цены!D28</f>
        <v>72000</v>
      </c>
      <c r="AK80" s="94">
        <f>AJ80/Цены!$B$1</f>
        <v>943.57549586858102</v>
      </c>
      <c r="AL80" s="95">
        <f t="shared" si="24"/>
        <v>10706.798888888889</v>
      </c>
      <c r="AM80" s="95">
        <f t="shared" si="25"/>
        <v>61293.201111111113</v>
      </c>
      <c r="AN80" s="94">
        <f t="shared" si="22"/>
        <v>53985.417892376005</v>
      </c>
      <c r="AO80" s="118">
        <f t="shared" si="23"/>
        <v>0.25020252927255549</v>
      </c>
      <c r="AP80" s="96">
        <f t="shared" si="26"/>
        <v>0.1487055401234568</v>
      </c>
      <c r="AQ80" s="96">
        <f t="shared" si="27"/>
        <v>0.14330430555555557</v>
      </c>
      <c r="AR80" s="96">
        <f t="shared" si="28"/>
        <v>0.96367832319214819</v>
      </c>
      <c r="AS80" s="122">
        <v>1</v>
      </c>
      <c r="AT80" s="121">
        <f t="shared" si="29"/>
        <v>36135</v>
      </c>
      <c r="AU80" s="83">
        <v>1</v>
      </c>
      <c r="AV80" s="119">
        <f t="shared" si="30"/>
        <v>0.23300601260588882</v>
      </c>
      <c r="AW80" s="120">
        <f t="shared" si="31"/>
        <v>0.16590205679012349</v>
      </c>
      <c r="AX80" s="120">
        <f t="shared" si="32"/>
        <v>0.16050082222222226</v>
      </c>
      <c r="AY80" s="120">
        <f t="shared" si="33"/>
        <v>0.96744323324011505</v>
      </c>
      <c r="AZ80" s="15">
        <f>MIN(IF($AU80=100%,1,1+VLOOKUP(($AJ80-$AI80-$AH80-$AG80-$AF80-$AE80*(1+AZ$3))/$AJ80,'Технический лист'!$I:$J,2,1)-VLOOKUP($AO80,'Технический лист'!$I:$J,2,1)),1+(1-$AU80))</f>
        <v>1</v>
      </c>
      <c r="BA80" s="15">
        <f>MIN(IF($AU80=100%,1,1+VLOOKUP(($AJ80-$AI80-$AH80-$AG80-$AF80-$AE80*(1+BA$3))/$AJ80,'Технический лист'!$I:$J,2,1)-VLOOKUP($AO80,'Технический лист'!$I:$J,2,1)),1+(1-$AU80))</f>
        <v>1</v>
      </c>
      <c r="BB80" s="15">
        <f>MIN(IF($AU80=100%,1,1+VLOOKUP(($AJ80-$AI80-$AH80-$AG80-$AF80-$AE80*(1+BB$3))/$AJ80,'Технический лист'!$I:$J,2,1)-VLOOKUP($AO80,'Технический лист'!$I:$J,2,1)),1+(1-$AU80))</f>
        <v>1</v>
      </c>
      <c r="BC80" s="15">
        <f>MIN(IF($AU80=100%,1,1+VLOOKUP(($AJ80-$AI80-$AH80-$AG80-$AF80-$AE80*(1+BC$3))/$AJ80,'Технический лист'!$I:$J,2,1)-VLOOKUP($AO80,'Технический лист'!$I:$J,2,1)),1+(1-$AU80))</f>
        <v>1</v>
      </c>
      <c r="BD80" s="15">
        <f>MIN(IF($AU80=100%,1,1+VLOOKUP(($AJ80-$AI80-$AH80-$AG80-$AF80-$AE80*(1+BD$3))/$AJ80,'Технический лист'!$I:$J,2,1)-VLOOKUP($AO80,'Технический лист'!$I:$J,2,1)),1+(1-$AU80))</f>
        <v>1</v>
      </c>
      <c r="BE80" s="15">
        <f>MIN(IF($AU80=100%,1,1+VLOOKUP(($AJ80-$AI80-$AH80-$AG80-$AF80-$AE80*(1+BE$3))/$AJ80,'Технический лист'!$I:$J,2,1)-VLOOKUP($AO80,'Технический лист'!$I:$J,2,1)),1+(1-$AU80))</f>
        <v>1</v>
      </c>
      <c r="BF80" s="15">
        <f>MIN(IF($AU80=100%,1,1+VLOOKUP(($AJ80-$AI80-$AH80-$AG80-$AF80-$AE80*(1+BF$3))/$AJ80,'Технический лист'!$I:$J,2,1)-VLOOKUP($AO80,'Технический лист'!$I:$J,2,1)),1+(1-$AU80))</f>
        <v>1</v>
      </c>
      <c r="BG80" s="15">
        <f>MIN(IF($AU80=100%,1,1+VLOOKUP(($AJ80-$AI80-$AH80-$AG80-$AF80-$AE80*(1+BG$3))/$AJ80,'Технический лист'!$I:$J,2,1)-VLOOKUP($AO80,'Технический лист'!$I:$J,2,1)),1+(1-$AU80))</f>
        <v>1</v>
      </c>
      <c r="BH80" s="15">
        <f>MIN(IF($AU80=100%,1,1+VLOOKUP(($AJ80-$AI80-$AH80-$AG80-$AF80-$AE80*(1+BH$3))/$AJ80,'Технический лист'!$I:$J,2,1)-VLOOKUP($AO80,'Технический лист'!$I:$J,2,1)),1+(1-$AU80))</f>
        <v>1</v>
      </c>
      <c r="BI80" s="15">
        <f>MIN(IF($AU80=100%,1,1+VLOOKUP(($AJ80-$AI80-$AH80-$AG80-$AF80-$AE80*(1+BI$3))/$AJ80,'Технический лист'!$I:$J,2,1)-VLOOKUP($AO80,'Технический лист'!$I:$J,2,1)),1+(1-$AU80))</f>
        <v>1</v>
      </c>
      <c r="BJ80" s="15">
        <f>MIN(IF($AU80=100%,1,1+VLOOKUP(($AJ80-$AI80-$AH80-$AG80-$AF80-$AE80*(1+BJ$3))/$AJ80,'Технический лист'!$I:$J,2,1)-VLOOKUP($AO80,'Технический лист'!$I:$J,2,1)),1+(1-$AU80))</f>
        <v>1</v>
      </c>
      <c r="BK80" s="15">
        <f>MIN(IF($AU80=100%,1,1+VLOOKUP(($AJ80-$AI80-$AH80-$AG80-$AF80-$AE80*(1+BK$3))/$AJ80,'Технический лист'!$I:$J,2,1)-VLOOKUP($AO80,'Технический лист'!$I:$J,2,1)),1+(1-$AU80))</f>
        <v>1</v>
      </c>
      <c r="BL80" s="15">
        <f>MIN(IF($AU80=100%,1,1+VLOOKUP(($AJ80-$AI80-$AH80-$AG80-$AF80-$AE80*(1+BL$3))/$AJ80,'Технический лист'!$I:$J,2,1)-VLOOKUP($AO80,'Технический лист'!$I:$J,2,1)),1+(1-$AU80))</f>
        <v>1</v>
      </c>
      <c r="BM80" s="15">
        <f>MIN(IF($AU80=100%,1,1+VLOOKUP(($AJ80-$AI80-$AH80-$AG80-$AF80-$AE80*(1+BM$3))/$AJ80,'Технический лист'!$I:$J,2,1)-VLOOKUP($AO80,'Технический лист'!$I:$J,2,1)),1+(1-$AU80))</f>
        <v>1</v>
      </c>
      <c r="BN80" s="15">
        <f>MIN(IF($AU80=100%,1,1+VLOOKUP(($AJ80-$AI80-$AH80-$AG80-$AF80-$AE80*(1+BN$3))/$AJ80,'Технический лист'!$I:$J,2,1)-VLOOKUP($AO80,'Технический лист'!$I:$J,2,1)),1+(1-$AU80))</f>
        <v>1</v>
      </c>
      <c r="BO80" s="15">
        <f>MIN(IF($AU80=100%,1,1+VLOOKUP(($AJ80-$AI80-$AH80-$AG80-$AF80-$AE80*(1+BO$3))/$AJ80,'Технический лист'!$I:$J,2,1)-VLOOKUP($AO80,'Технический лист'!$I:$J,2,1)),1+(1-$AU80))</f>
        <v>1</v>
      </c>
      <c r="BP80" s="15">
        <f>MIN(IF($AU80=100%,1,1+VLOOKUP(($AJ80-$AI80-$AH80-$AG80-$AF80-$AE80*(1+BP$3))/$AJ80,'Технический лист'!$I:$J,2,1)-VLOOKUP($AO80,'Технический лист'!$I:$J,2,1)),1+(1-$AU80))</f>
        <v>1</v>
      </c>
      <c r="BQ80" s="15">
        <f>MIN(IF($AU80=100%,1,1+VLOOKUP(($AJ80-$AI80-$AH80-$AG80-$AF80-$AE80*(1+BQ$3))/$AJ80,'Технический лист'!$I:$J,2,1)-VLOOKUP($AO80,'Технический лист'!$I:$J,2,1)),1+(1-$AU80))</f>
        <v>1</v>
      </c>
      <c r="BR80" s="15">
        <f>MIN(IF($AU80=100%,1,1+VLOOKUP(($AJ80-$AI80-$AH80-$AG80-$AF80-$AE80*(1+BR$3))/$AJ80,'Технический лист'!$I:$J,2,1)-VLOOKUP($AO80,'Технический лист'!$I:$J,2,1)),1+(1-$AU80))</f>
        <v>1</v>
      </c>
      <c r="BS80" s="15">
        <f>MIN(IF($AU80=100%,1,1+VLOOKUP(($AJ80-$AI80-$AH80-$AG80-$AF80-$AE80*(1+BS$3))/$AJ80,'Технический лист'!$I:$J,2,1)-VLOOKUP($AO80,'Технический лист'!$I:$J,2,1)),1+(1-$AU80))</f>
        <v>1</v>
      </c>
      <c r="BT80" s="15">
        <f>MIN(IF($AU80=100%,1,1+VLOOKUP(($AJ80-$AI80-$AH80-$AG80-$AF80-$AE80*(1+BT$3))/$AJ80,'Технический лист'!$I:$J,2,1)-VLOOKUP($AO80,'Технический лист'!$I:$J,2,1)),1+(1-$AU80))</f>
        <v>1</v>
      </c>
      <c r="BU80" s="15">
        <f>MIN(IF($AU80=100%,1,1+VLOOKUP(($AJ80-$AI80-$AH80-$AG80-$AF80-$AE80*(1+BU$3))/$AJ80,'Технический лист'!$I:$J,2,1)-VLOOKUP($AO80,'Технический лист'!$I:$J,2,1)),1+(1-$AU80))</f>
        <v>1</v>
      </c>
      <c r="BV80" s="15">
        <f>MIN(IF($AU80=100%,1,1+VLOOKUP(($AJ80-$AI80-$AH80-$AG80-$AF80-$AE80*(1+BV$3))/$AJ80,'Технический лист'!$I:$J,2,1)-VLOOKUP($AO80,'Технический лист'!$I:$J,2,1)),1+(1-$AU80))</f>
        <v>1</v>
      </c>
      <c r="BW80" s="15">
        <f>MIN(IF($AU80=100%,1,1+VLOOKUP(($AJ80-$AI80-$AH80-$AG80-$AF80-$AE80*(1+BW$3))/$AJ80,'Технический лист'!$I:$J,2,1)-VLOOKUP($AO80,'Технический лист'!$I:$J,2,1)),1+(1-$AU80))</f>
        <v>1</v>
      </c>
      <c r="BX80" s="15">
        <f>MIN(IF($AU80=100%,1,1+VLOOKUP(($AJ80-$AI80-$AH80-$AG80-$AF80-$AE80*(1+BX$3))/$AJ80,'Технический лист'!$I:$J,2,1)-VLOOKUP($AO80,'Технический лист'!$I:$J,2,1)),1+(1-$AU80))</f>
        <v>1</v>
      </c>
      <c r="BY80" s="15">
        <f>MIN(IF($AU80=100%,1,1+VLOOKUP(($AJ80-$AI80-$AH80-$AG80-$AF80-$AE80*(1+BY$3))/$AJ80,'Технический лист'!$I:$J,2,1)-VLOOKUP($AO80,'Технический лист'!$I:$J,2,1)),1+(1-$AU80))</f>
        <v>1</v>
      </c>
      <c r="BZ80" s="15">
        <f>MIN(IF($AU80=100%,1,1+VLOOKUP(($AJ80-$AI80-$AH80-$AG80-$AF80-$AE80*(1+BZ$3))/$AJ80,'Технический лист'!$I:$J,2,1)-VLOOKUP($AO80,'Технический лист'!$I:$J,2,1)),1+(1-$AU80))</f>
        <v>1</v>
      </c>
      <c r="CA80" s="15">
        <f>MIN(IF($AU80=100%,1,1+VLOOKUP(($AJ80-$AI80-$AH80-$AG80-$AF80-$AE80*(1+CA$3))/$AJ80,'Технический лист'!$I:$J,2,1)-VLOOKUP($AO80,'Технический лист'!$I:$J,2,1)),1+(1-$AU80))</f>
        <v>1</v>
      </c>
      <c r="CB80" s="15">
        <f>MIN(IF($AU80=100%,1,1+VLOOKUP(($AJ80-$AI80-$AH80-$AG80-$AF80-$AE80*(1+CB$3))/$AJ80,'Технический лист'!$I:$J,2,1)-VLOOKUP($AO80,'Технический лист'!$I:$J,2,1)),1+(1-$AU80))</f>
        <v>1</v>
      </c>
      <c r="CC80" s="15">
        <f>MIN(IF($AU80=100%,1,1+VLOOKUP(($AJ80-$AI80-$AH80-$AG80-$AF80-$AE80*(1+CC$3))/$AJ80,'Технический лист'!$I:$J,2,1)-VLOOKUP($AO80,'Технический лист'!$I:$J,2,1)),1+(1-$AU80))</f>
        <v>1</v>
      </c>
      <c r="CD80" s="15">
        <f>MIN(IF($AU80=100%,1,1+VLOOKUP(($AJ80-$AI80-$AH80-$AG80-$AF80-$AE80*(1+CD$3))/$AJ80,'Технический лист'!$I:$J,2,1)-VLOOKUP($AO80,'Технический лист'!$I:$J,2,1)),1+(1-$AU80))</f>
        <v>1</v>
      </c>
      <c r="CE80" s="15">
        <f>MIN(IF($AU80=100%,1,1+VLOOKUP(($AJ80-$AI80-$AH80-$AG80-$AF80-$AE80*(1+CE$3))/$AJ80,'Технический лист'!$I:$J,2,1)-VLOOKUP($AO80,'Технический лист'!$I:$J,2,1)),1+(1-$AU80))</f>
        <v>1</v>
      </c>
      <c r="CF80" s="15">
        <f>MIN(IF($AU80=100%,1,1+VLOOKUP(($AJ80-$AI80-$AH80-$AG80-$AF80-$AE80*(1+CF$3))/$AJ80,'Технический лист'!$I:$J,2,1)-VLOOKUP($AO80,'Технический лист'!$I:$J,2,1)),1+(1-$AU80))</f>
        <v>1</v>
      </c>
      <c r="CG80" s="15">
        <f>MIN(IF($AU80=100%,1,1+VLOOKUP(($AJ80-$AI80-$AH80-$AG80-$AF80-$AE80*(1+CG$3))/$AJ80,'Технический лист'!$I:$J,2,1)-VLOOKUP($AO80,'Технический лист'!$I:$J,2,1)),1+(1-$AU80))</f>
        <v>1</v>
      </c>
      <c r="CH80" s="15">
        <f>MIN(IF($AU80=100%,1,1+VLOOKUP(($AJ80-$AI80-$AH80-$AG80-$AF80-$AE80*(1+CH$3))/$AJ80,'Технический лист'!$I:$J,2,1)-VLOOKUP($AO80,'Технический лист'!$I:$J,2,1)),1+(1-$AU80))</f>
        <v>1</v>
      </c>
      <c r="CI80" s="15">
        <f>MIN(IF($AU80=100%,1,1+VLOOKUP(($AJ80-$AI80-$AH80-$AG80-$AF80-$AE80*(1+CI$3))/$AJ80,'Технический лист'!$I:$J,2,1)-VLOOKUP($AO80,'Технический лист'!$I:$J,2,1)),1+(1-$AU80))</f>
        <v>1</v>
      </c>
      <c r="CJ80" s="15">
        <f>MIN(IF($AU80=100%,1,1+VLOOKUP(($AJ80-$AI80-$AH80-$AG80-$AF80-$AE80*(1+CJ$3))/$AJ80,'Технический лист'!$I:$J,2,1)-VLOOKUP($AO80,'Технический лист'!$I:$J,2,1)),1+(1-$AU80))</f>
        <v>1</v>
      </c>
      <c r="CK80" s="15">
        <f>MIN(IF($AU80=100%,1,1+VLOOKUP(($AJ80-$AI80-$AH80-$AG80-$AF80-$AE80*(1+CK$3))/$AJ80,'Технический лист'!$I:$J,2,1)-VLOOKUP($AO80,'Технический лист'!$I:$J,2,1)),1+(1-$AU80))</f>
        <v>1</v>
      </c>
      <c r="CL80" s="15">
        <f>MIN(IF($AU80=100%,1,1+VLOOKUP(($AJ80-$AI80-$AH80-$AG80-$AF80-$AE80*(1+CL$3))/$AJ80,'Технический лист'!$I:$J,2,1)-VLOOKUP($AO80,'Технический лист'!$I:$J,2,1)),1+(1-$AU80))</f>
        <v>1</v>
      </c>
      <c r="CM80" s="15">
        <f>MIN(IF($AU80=100%,1,1+VLOOKUP(($AJ80-$AI80-$AH80-$AG80-$AF80-$AE80*(1+CM$3))/$AJ80,'Технический лист'!$I:$J,2,1)-VLOOKUP($AO80,'Технический лист'!$I:$J,2,1)),1+(1-$AU80))</f>
        <v>1</v>
      </c>
      <c r="CN80" s="15">
        <f>MIN(IF($AU80=100%,1,1+VLOOKUP(($AJ80-$AI80-$AH80-$AG80-$AF80-$AE80*(1+CN$3))/$AJ80,'Технический лист'!$I:$J,2,1)-VLOOKUP($AO80,'Технический лист'!$I:$J,2,1)),1+(1-$AU80))</f>
        <v>1</v>
      </c>
      <c r="CO80" s="15">
        <f>MIN(IF($AU80=100%,1,1+VLOOKUP(($AJ80-$AI80-$AH80-$AG80-$AF80-$AE80*(1+CO$3))/$AJ80,'Технический лист'!$I:$J,2,1)-VLOOKUP($AO80,'Технический лист'!$I:$J,2,1)),1+(1-$AU80))</f>
        <v>1</v>
      </c>
      <c r="CP80" s="15">
        <f>MIN(IF($AU80=100%,1,1+VLOOKUP(($AJ80-$AI80-$AH80-$AG80-$AF80-$AE80*(1+CP$3))/$AJ80,'Технический лист'!$I:$J,2,1)-VLOOKUP($AO80,'Технический лист'!$I:$J,2,1)),1+(1-$AU80))</f>
        <v>1</v>
      </c>
      <c r="CQ80" s="15">
        <f>MIN(IF($AU80=100%,1,1+VLOOKUP(($AJ80-$AI80-$AH80-$AG80-$AF80-$AE80*(1+CQ$3))/$AJ80,'Технический лист'!$I:$J,2,1)-VLOOKUP($AO80,'Технический лист'!$I:$J,2,1)),1+(1-$AU80))</f>
        <v>1</v>
      </c>
      <c r="CR80" s="15">
        <f>MIN(IF($AU80=100%,1,1+VLOOKUP(($AJ80-$AI80-$AH80-$AG80-$AF80-$AE80*(1+CR$3))/$AJ80,'Технический лист'!$I:$J,2,1)-VLOOKUP($AO80,'Технический лист'!$I:$J,2,1)),1+(1-$AU80))</f>
        <v>1</v>
      </c>
      <c r="CS80" s="15">
        <f>MIN(IF($AU80=100%,1,1+VLOOKUP(($AJ80-$AI80-$AH80-$AG80-$AF80-$AE80*(1+CS$3))/$AJ80,'Технический лист'!$I:$J,2,1)-VLOOKUP($AO80,'Технический лист'!$I:$J,2,1)),1+(1-$AU80))</f>
        <v>1</v>
      </c>
      <c r="CT80" s="15">
        <f>MIN(IF($AU80=100%,1,1+VLOOKUP(($AJ80-$AI80-$AH80-$AG80-$AF80-$AE80*(1+CT$3))/$AJ80,'Технический лист'!$I:$J,2,1)-VLOOKUP($AO80,'Технический лист'!$I:$J,2,1)),1+(1-$AU80))</f>
        <v>1</v>
      </c>
      <c r="CU80" s="15">
        <f>MIN(IF($AU80=100%,1,1+VLOOKUP(($AJ80-$AI80-$AH80-$AG80-$AF80-$AE80*(1+CU$3))/$AJ80,'Технический лист'!$I:$J,2,1)-VLOOKUP($AO80,'Технический лист'!$I:$J,2,1)),1+(1-$AU80))</f>
        <v>1</v>
      </c>
      <c r="CV80" s="15">
        <f>MIN(IF($AU80=100%,1,1+VLOOKUP(($AJ80-$AI80-$AH80-$AG80-$AF80-$AE80*(1+CV$3))/$AJ80,'Технический лист'!$I:$J,2,1)-VLOOKUP($AO80,'Технический лист'!$I:$J,2,1)),1+(1-$AU80))</f>
        <v>1</v>
      </c>
      <c r="CW80" s="15">
        <f>MIN(IF($AU80=100%,1,1+VLOOKUP(($AJ80-$AI80-$AH80-$AG80-$AF80-$AE80*(1+CW$3))/$AJ80,'Технический лист'!$I:$J,2,1)-VLOOKUP($AO80,'Технический лист'!$I:$J,2,1)),1+(1-$AU80))</f>
        <v>1</v>
      </c>
      <c r="CX80" s="15">
        <f>MIN(IF($AU80=100%,1,1+VLOOKUP(($AJ80-$AI80-$AH80-$AG80-$AF80-$AE80*(1+CX$3))/$AJ80,'Технический лист'!$I:$J,2,1)-VLOOKUP($AO80,'Технический лист'!$I:$J,2,1)),1+(1-$AU80))</f>
        <v>1</v>
      </c>
      <c r="CY80" s="15">
        <f>MIN(IF($AU80=100%,1,1+VLOOKUP(($AJ80-$AI80-$AH80-$AG80-$AF80-$AE80*(1+CY$3))/$AJ80,'Технический лист'!$I:$J,2,1)-VLOOKUP($AO80,'Технический лист'!$I:$J,2,1)),1+(1-$AU80))</f>
        <v>1</v>
      </c>
      <c r="CZ80" s="15">
        <f>MIN(IF($AU80=100%,1,1+VLOOKUP(($AJ80-$AI80-$AH80-$AG80-$AF80-$AE80*(1+CZ$3))/$AJ80,'Технический лист'!$I:$J,2,1)-VLOOKUP($AO80,'Технический лист'!$I:$J,2,1)),1+(1-$AU80))</f>
        <v>1</v>
      </c>
      <c r="DA80" s="15">
        <f>MIN(IF($AU80=100%,1,1+VLOOKUP(($AJ80-$AI80-$AH80-$AG80-$AF80-$AE80*(1+DA$3))/$AJ80,'Технический лист'!$I:$J,2,1)-VLOOKUP($AO80,'Технический лист'!$I:$J,2,1)),1+(1-$AU80))</f>
        <v>1</v>
      </c>
      <c r="DB80" s="15">
        <f>MIN(IF($AU80=100%,1,1+VLOOKUP(($AJ80-$AI80-$AH80-$AG80-$AF80-$AE80*(1+DB$3))/$AJ80,'Технический лист'!$I:$J,2,1)-VLOOKUP($AO80,'Технический лист'!$I:$J,2,1)),1+(1-$AU80))</f>
        <v>1</v>
      </c>
      <c r="DC80" s="15">
        <f>MIN(IF($AU80=100%,1,1+VLOOKUP(($AJ80-$AI80-$AH80-$AG80-$AF80-$AE80*(1+DC$3))/$AJ80,'Технический лист'!$I:$J,2,1)-VLOOKUP($AO80,'Технический лист'!$I:$J,2,1)),1+(1-$AU80))</f>
        <v>1</v>
      </c>
      <c r="DD80" s="15">
        <f>MIN(IF($AU80=100%,1,1+VLOOKUP(($AJ80-$AI80-$AH80-$AG80-$AF80-$AE80*(1+DD$3))/$AJ80,'Технический лист'!$I:$J,2,1)-VLOOKUP($AO80,'Технический лист'!$I:$J,2,1)),1+(1-$AU80))</f>
        <v>1</v>
      </c>
      <c r="DE80" s="15">
        <f>MIN(IF($AU80=100%,1,1+VLOOKUP(($AJ80-$AI80-$AH80-$AG80-$AF80-$AE80*(1+DE$3))/$AJ80,'Технический лист'!$I:$J,2,1)-VLOOKUP($AO80,'Технический лист'!$I:$J,2,1)),1+(1-$AU80))</f>
        <v>1</v>
      </c>
      <c r="DF80" s="15">
        <f>MIN(IF($AU80=100%,1,1+VLOOKUP(($AJ80-$AI80-$AH80-$AG80-$AF80-$AE80*(1+DF$3))/$AJ80,'Технический лист'!$I:$J,2,1)-VLOOKUP($AO80,'Технический лист'!$I:$J,2,1)),1+(1-$AU80))</f>
        <v>1</v>
      </c>
      <c r="DG80" s="15">
        <f>MIN(IF($AU80=100%,1,1+VLOOKUP(($AJ80-$AI80-$AH80-$AG80-$AF80-$AE80*(1+DG$3))/$AJ80,'Технический лист'!$I:$J,2,1)-VLOOKUP($AO80,'Технический лист'!$I:$J,2,1)),1+(1-$AU80))</f>
        <v>1</v>
      </c>
      <c r="DH80" s="15">
        <f>MIN(IF($AU80=100%,1,1+VLOOKUP(($AJ80-$AI80-$AH80-$AG80-$AF80-$AE80*(1+DH$3))/$AJ80,'Технический лист'!$I:$J,2,1)-VLOOKUP($AO80,'Технический лист'!$I:$J,2,1)),1+(1-$AU80))</f>
        <v>1</v>
      </c>
      <c r="DI80" s="15">
        <f>MIN(IF($AU80=100%,1,1+VLOOKUP(($AJ80-$AI80-$AH80-$AG80-$AF80-$AE80*(1+DI$3))/$AJ80,'Технический лист'!$I:$J,2,1)-VLOOKUP($AO80,'Технический лист'!$I:$J,2,1)),1+(1-$AU80))</f>
        <v>1</v>
      </c>
      <c r="DJ80" s="15">
        <f>MIN(IF($AU80=100%,1,1+VLOOKUP(($AJ80-$AI80-$AH80-$AG80-$AF80-$AE80*(1+DJ$3))/$AJ80,'Технический лист'!$I:$J,2,1)-VLOOKUP($AO80,'Технический лист'!$I:$J,2,1)),1+(1-$AU80))</f>
        <v>1</v>
      </c>
      <c r="DK80" s="15">
        <f>MIN(IF($AU80=100%,1,1+VLOOKUP(($AJ80-$AI80-$AH80-$AG80-$AF80-$AE80*(1+DK$3))/$AJ80,'Технический лист'!$I:$J,2,1)-VLOOKUP($AO80,'Технический лист'!$I:$J,2,1)),1+(1-$AU80))</f>
        <v>1</v>
      </c>
      <c r="DL80" s="15">
        <f>MIN(IF($AU80=100%,1,1+VLOOKUP(($AJ80-$AI80-$AH80-$AG80-$AF80-$AE80*(1+DL$3))/$AJ80,'Технический лист'!$I:$J,2,1)-VLOOKUP($AO80,'Технический лист'!$I:$J,2,1)),1+(1-$AU80))</f>
        <v>1</v>
      </c>
      <c r="DM80" s="15">
        <f>MIN(IF($AU80=100%,1,1+VLOOKUP(($AJ80-$AI80-$AH80-$AG80-$AF80-$AE80*(1+DM$3))/$AJ80,'Технический лист'!$I:$J,2,1)-VLOOKUP($AO80,'Технический лист'!$I:$J,2,1)),1+(1-$AU80))</f>
        <v>1</v>
      </c>
      <c r="DN80" s="15">
        <f>MIN(IF($AU80=100%,1,1+VLOOKUP(($AJ80-$AI80-$AH80-$AG80-$AF80-$AE80*(1+DN$3))/$AJ80,'Технический лист'!$I:$J,2,1)-VLOOKUP($AO80,'Технический лист'!$I:$J,2,1)),1+(1-$AU80))</f>
        <v>1</v>
      </c>
      <c r="DO80" s="15">
        <f>MIN(IF($AU80=100%,1,1+VLOOKUP(($AJ80-$AI80-$AH80-$AG80-$AF80-$AE80*(1+DO$3))/$AJ80,'Технический лист'!$I:$J,2,1)-VLOOKUP($AO80,'Технический лист'!$I:$J,2,1)),1+(1-$AU80))</f>
        <v>1</v>
      </c>
      <c r="DP80" s="15">
        <f>MIN(IF($AU80=100%,1,1+VLOOKUP(($AJ80-$AI80-$AH80-$AG80-$AF80-$AE80*(1+DP$3))/$AJ80,'Технический лист'!$I:$J,2,1)-VLOOKUP($AO80,'Технический лист'!$I:$J,2,1)),1+(1-$AU80))</f>
        <v>1</v>
      </c>
      <c r="DQ80" s="15">
        <f>MIN(IF($AU80=100%,1,1+VLOOKUP(($AJ80-$AI80-$AH80-$AG80-$AF80-$AE80*(1+DQ$3))/$AJ80,'Технический лист'!$I:$J,2,1)-VLOOKUP($AO80,'Технический лист'!$I:$J,2,1)),1+(1-$AU80))</f>
        <v>1</v>
      </c>
      <c r="DR80" s="15">
        <f>MIN(IF($AU80=100%,1,1+VLOOKUP(($AJ80-$AI80-$AH80-$AG80-$AF80-$AE80*(1+DR$3))/$AJ80,'Технический лист'!$I:$J,2,1)-VLOOKUP($AO80,'Технический лист'!$I:$J,2,1)),1+(1-$AU80))</f>
        <v>1</v>
      </c>
      <c r="DS80" s="15">
        <f>MIN(IF($AU80=100%,1,1+VLOOKUP(($AJ80-$AI80-$AH80-$AG80-$AF80-$AE80*(1+DS$3))/$AJ80,'Технический лист'!$I:$J,2,1)-VLOOKUP($AO80,'Технический лист'!$I:$J,2,1)),1+(1-$AU80))</f>
        <v>1</v>
      </c>
      <c r="DT80" s="15">
        <f>MIN(IF($AU80=100%,1,1+VLOOKUP(($AJ80-$AI80-$AH80-$AG80-$AF80-$AE80*(1+DT$3))/$AJ80,'Технический лист'!$I:$J,2,1)-VLOOKUP($AO80,'Технический лист'!$I:$J,2,1)),1+(1-$AU80))</f>
        <v>1</v>
      </c>
      <c r="DU80" s="15">
        <f>MIN(IF($AU80=100%,1,1+VLOOKUP(($AJ80-$AI80-$AH80-$AG80-$AF80-$AE80*(1+DU$3))/$AJ80,'Технический лист'!$I:$J,2,1)-VLOOKUP($AO80,'Технический лист'!$I:$J,2,1)),1+(1-$AU80))</f>
        <v>1</v>
      </c>
      <c r="DV80" s="15">
        <f>MIN(IF($AU80=100%,1,1+VLOOKUP(($AJ80-$AI80-$AH80-$AG80-$AF80-$AE80*(1+DV$3))/$AJ80,'Технический лист'!$I:$J,2,1)-VLOOKUP($AO80,'Технический лист'!$I:$J,2,1)),1+(1-$AU80))</f>
        <v>1</v>
      </c>
      <c r="DW80" s="15">
        <f>MIN(IF($AU80=100%,1,1+VLOOKUP(($AJ80-$AI80-$AH80-$AG80-$AF80-$AE80*(1+DW$3))/$AJ80,'Технический лист'!$I:$J,2,1)-VLOOKUP($AO80,'Технический лист'!$I:$J,2,1)),1+(1-$AU80))</f>
        <v>1</v>
      </c>
      <c r="DX80" s="15">
        <f>MIN(IF($AU80=100%,1,1+VLOOKUP(($AJ80-$AI80-$AH80-$AG80-$AF80-$AE80*(1+DX$3))/$AJ80,'Технический лист'!$I:$J,2,1)-VLOOKUP($AO80,'Технический лист'!$I:$J,2,1)),1+(1-$AU80))</f>
        <v>1</v>
      </c>
      <c r="DY80" s="15">
        <f>MIN(IF($AU80=100%,1,1+VLOOKUP(($AJ80-$AI80-$AH80-$AG80-$AF80-$AE80*(1+DY$3))/$AJ80,'Технический лист'!$I:$J,2,1)-VLOOKUP($AO80,'Технический лист'!$I:$J,2,1)),1+(1-$AU80))</f>
        <v>1</v>
      </c>
      <c r="DZ80" s="15">
        <f>MIN(IF($AU80=100%,1,1+VLOOKUP(($AJ80-$AI80-$AH80-$AG80-$AF80-$AE80*(1+DZ$3))/$AJ80,'Технический лист'!$I:$J,2,1)-VLOOKUP($AO80,'Технический лист'!$I:$J,2,1)),1+(1-$AU80))</f>
        <v>1</v>
      </c>
      <c r="EA80" s="15">
        <f>MIN(IF($AU80=100%,1,1+VLOOKUP(($AJ80-$AI80-$AH80-$AG80-$AF80-$AE80*(1+EA$3))/$AJ80,'Технический лист'!$I:$J,2,1)-VLOOKUP($AO80,'Технический лист'!$I:$J,2,1)),1+(1-$AU80))</f>
        <v>1</v>
      </c>
      <c r="EB80" s="15">
        <f>MIN(IF($AU80=100%,1,1+VLOOKUP(($AJ80-$AI80-$AH80-$AG80-$AF80-$AE80*(1+EB$3))/$AJ80,'Технический лист'!$I:$J,2,1)-VLOOKUP($AO80,'Технический лист'!$I:$J,2,1)),1+(1-$AU80))</f>
        <v>1</v>
      </c>
      <c r="EC80" s="15">
        <f>MIN(IF($AU80=100%,1,1+VLOOKUP(($AJ80-$AI80-$AH80-$AG80-$AF80-$AE80*(1+EC$3))/$AJ80,'Технический лист'!$I:$J,2,1)-VLOOKUP($AO80,'Технический лист'!$I:$J,2,1)),1+(1-$AU80))</f>
        <v>1</v>
      </c>
      <c r="ED80" s="15">
        <f>MIN(IF($AU80=100%,1,1+VLOOKUP(($AJ80-$AI80-$AH80-$AG80-$AF80-$AE80*(1+ED$3))/$AJ80,'Технический лист'!$I:$J,2,1)-VLOOKUP($AO80,'Технический лист'!$I:$J,2,1)),1+(1-$AU80))</f>
        <v>1</v>
      </c>
      <c r="EE80" s="15">
        <f>MIN(IF($AU80=100%,1,1+VLOOKUP(($AJ80-$AI80-$AH80-$AG80-$AF80-$AE80*(1+EE$3))/$AJ80,'Технический лист'!$I:$J,2,1)-VLOOKUP($AO80,'Технический лист'!$I:$J,2,1)),1+(1-$AU80))</f>
        <v>1</v>
      </c>
      <c r="EF80" s="15">
        <f>MIN(IF($AU80=100%,1,1+VLOOKUP(($AJ80-$AI80-$AH80-$AG80-$AF80-$AE80*(1+EF$3))/$AJ80,'Технический лист'!$I:$J,2,1)-VLOOKUP($AO80,'Технический лист'!$I:$J,2,1)),1+(1-$AU80))</f>
        <v>1</v>
      </c>
      <c r="EG80" s="15">
        <f>MIN(IF($AU80=100%,1,1+VLOOKUP(($AJ80-$AI80-$AH80-$AG80-$AF80-$AE80*(1+EG$3))/$AJ80,'Технический лист'!$I:$J,2,1)-VLOOKUP($AO80,'Технический лист'!$I:$J,2,1)),1+(1-$AU80))</f>
        <v>1</v>
      </c>
      <c r="EH80" s="15">
        <f>MIN(IF($AU80=100%,1,1+VLOOKUP(($AJ80-$AI80-$AH80-$AG80-$AF80-$AE80*(1+EH$3))/$AJ80,'Технический лист'!$I:$J,2,1)-VLOOKUP($AO80,'Технический лист'!$I:$J,2,1)),1+(1-$AU80))</f>
        <v>1</v>
      </c>
      <c r="EI80" s="15">
        <f>MIN(IF($AU80=100%,1,1+VLOOKUP(($AJ80-$AI80-$AH80-$AG80-$AF80-$AE80*(1+EI$3))/$AJ80,'Технический лист'!$I:$J,2,1)-VLOOKUP($AO80,'Технический лист'!$I:$J,2,1)),1+(1-$AU80))</f>
        <v>1</v>
      </c>
      <c r="EJ80" s="15">
        <f>MIN(IF($AU80=100%,1,1+VLOOKUP(($AJ80-$AI80-$AH80-$AG80-$AF80-$AE80*(1+EJ$3))/$AJ80,'Технический лист'!$I:$J,2,1)-VLOOKUP($AO80,'Технический лист'!$I:$J,2,1)),1+(1-$AU80))</f>
        <v>1</v>
      </c>
      <c r="EK80" s="15">
        <f>MIN(IF($AU80=100%,1,1+VLOOKUP(($AJ80-$AI80-$AH80-$AG80-$AF80-$AE80*(1+EK$3))/$AJ80,'Технический лист'!$I:$J,2,1)-VLOOKUP($AO80,'Технический лист'!$I:$J,2,1)),1+(1-$AU80))</f>
        <v>1</v>
      </c>
      <c r="EL80" s="15">
        <f>MIN(IF($AU80=100%,1,1+VLOOKUP(($AJ80-$AI80-$AH80-$AG80-$AF80-$AE80*(1+EL$3))/$AJ80,'Технический лист'!$I:$J,2,1)-VLOOKUP($AO80,'Технический лист'!$I:$J,2,1)),1+(1-$AU80))</f>
        <v>1</v>
      </c>
      <c r="EM80" s="15">
        <f>MIN(IF($AU80=100%,1,1+VLOOKUP(($AJ80-$AI80-$AH80-$AG80-$AF80-$AE80*(1+EM$3))/$AJ80,'Технический лист'!$I:$J,2,1)-VLOOKUP($AO80,'Технический лист'!$I:$J,2,1)),1+(1-$AU80))</f>
        <v>1</v>
      </c>
      <c r="EN80" s="15">
        <f>MIN(IF($AU80=100%,1,1+VLOOKUP(($AJ80-$AI80-$AH80-$AG80-$AF80-$AE80*(1+EN$3))/$AJ80,'Технический лист'!$I:$J,2,1)-VLOOKUP($AO80,'Технический лист'!$I:$J,2,1)),1+(1-$AU80))</f>
        <v>1</v>
      </c>
      <c r="EO80" s="15">
        <f>MIN(IF($AU80=100%,1,1+VLOOKUP(($AJ80-$AI80-$AH80-$AG80-$AF80-$AE80*(1+EO$3))/$AJ80,'Технический лист'!$I:$J,2,1)-VLOOKUP($AO80,'Технический лист'!$I:$J,2,1)),1+(1-$AU80))</f>
        <v>1</v>
      </c>
      <c r="EP80" s="15">
        <f>MIN(IF($AU80=100%,1,1+VLOOKUP(($AJ80-$AI80-$AH80-$AG80-$AF80-$AE80*(1+EP$3))/$AJ80,'Технический лист'!$I:$J,2,1)-VLOOKUP($AO80,'Технический лист'!$I:$J,2,1)),1+(1-$AU80))</f>
        <v>1</v>
      </c>
      <c r="EQ80" s="15">
        <f>MIN(IF($AU80=100%,1,1+VLOOKUP(($AJ80-$AI80-$AH80-$AG80-$AF80-$AE80*(1+EQ$3))/$AJ80,'Технический лист'!$I:$J,2,1)-VLOOKUP($AO80,'Технический лист'!$I:$J,2,1)),1+(1-$AU80))</f>
        <v>1</v>
      </c>
      <c r="ER80" s="15">
        <f>MIN(IF($AU80=100%,1,1+VLOOKUP(($AJ80-$AI80-$AH80-$AG80-$AF80-$AE80*(1+ER$3))/$AJ80,'Технический лист'!$I:$J,2,1)-VLOOKUP($AO80,'Технический лист'!$I:$J,2,1)),1+(1-$AU80))</f>
        <v>1</v>
      </c>
      <c r="ES80" s="15">
        <f>MIN(IF($AU80=100%,1,1+VLOOKUP(($AJ80-$AI80-$AH80-$AG80-$AF80-$AE80*(1+ES$3))/$AJ80,'Технический лист'!$I:$J,2,1)-VLOOKUP($AO80,'Технический лист'!$I:$J,2,1)),1+(1-$AU80))</f>
        <v>1</v>
      </c>
      <c r="ET80" s="15">
        <f>MIN(IF($AU80=100%,1,1+VLOOKUP(($AJ80-$AI80-$AH80-$AG80-$AF80-$AE80*(1+ET$3))/$AJ80,'Технический лист'!$I:$J,2,1)-VLOOKUP($AO80,'Технический лист'!$I:$J,2,1)),1+(1-$AU80))</f>
        <v>1</v>
      </c>
      <c r="EU80" s="15">
        <f>MIN(IF($AU80=100%,1,1+VLOOKUP(($AJ80-$AI80-$AH80-$AG80-$AF80-$AE80*(1+EU$3))/$AJ80,'Технический лист'!$I:$J,2,1)-VLOOKUP($AO80,'Технический лист'!$I:$J,2,1)),1+(1-$AU80))</f>
        <v>1</v>
      </c>
      <c r="EV80" s="111">
        <v>1</v>
      </c>
      <c r="EW80" s="15">
        <f>MIN(1,MAX(VLOOKUP(($AJ80-$AI80-$AH80-$AG80-$AF80-$AE80*(1+EW$3))/$AJ80,'Технический лист'!$A:$B,2,1),(EV80-0.05)))</f>
        <v>1</v>
      </c>
      <c r="EX80" s="15">
        <f>MIN(1,MAX(VLOOKUP(($AJ80-$AI80-$AH80-$AG80-$AF80-$AE80*(1+EX$3))/$AJ80,'Технический лист'!$A:$B,2,1),(EW80-0.05)))</f>
        <v>1</v>
      </c>
      <c r="EY80" s="15">
        <f>MIN(1,MAX(VLOOKUP(($AJ80-$AI80-$AH80-$AG80-$AF80-$AE80*(1+EY$3))/$AJ80,'Технический лист'!$A:$B,2,1),(EX80-0.05)))</f>
        <v>1</v>
      </c>
      <c r="EZ80" s="15">
        <f>MIN(1,MAX(VLOOKUP(($AJ80-$AI80-$AH80-$AG80-$AF80-$AE80*(1+EZ$3))/$AJ80,'Технический лист'!$A:$B,2,1),(EY80-0.05)))</f>
        <v>1</v>
      </c>
      <c r="FA80" s="15">
        <f>MIN(1,MAX(VLOOKUP(($AJ80-$AI80-$AH80-$AG80-$AF80-$AE80*(1+FA$3))/$AJ80,'Технический лист'!$A:$B,2,1),(EZ80-0.05)))</f>
        <v>1</v>
      </c>
      <c r="FB80" s="15">
        <f>MIN(1,MAX(VLOOKUP(($AJ80-$AI80-$AH80-$AG80-$AF80-$AE80*(1+FB$3))/$AJ80,'Технический лист'!$A:$B,2,1),(FA80-0.05)))</f>
        <v>1</v>
      </c>
      <c r="FC80" s="15">
        <f>MIN(1,MAX(VLOOKUP(($AJ80-$AI80-$AH80-$AG80-$AF80-$AE80*(1+FC$3))/$AJ80,'Технический лист'!$A:$B,2,1),(FB80-0.05)))</f>
        <v>1</v>
      </c>
      <c r="FD80" s="15">
        <f>MIN(1,MAX(VLOOKUP(($AJ80-$AI80-$AH80-$AG80-$AF80-$AE80*(1+FD$3))/$AJ80,'Технический лист'!$A:$B,2,1),(FC80-0.05)))</f>
        <v>1</v>
      </c>
      <c r="FE80" s="15">
        <f>MIN(1,MAX(VLOOKUP(($AJ80-$AI80-$AH80-$AG80-$AF80-$AE80*(1+FE$3))/$AJ80,'Технический лист'!$A:$B,2,1),(FD80-0.05)))</f>
        <v>1</v>
      </c>
      <c r="FF80" s="15">
        <f>MIN(1,MAX(VLOOKUP(($AJ80-$AI80-$AH80-$AG80-$AF80-$AE80*(1+FF$3))/$AJ80,'Технический лист'!$A:$B,2,1),(FE80-0.05)))</f>
        <v>1</v>
      </c>
      <c r="FG80" s="15">
        <f>MIN(1,MAX(VLOOKUP(($AJ80-$AI80-$AH80-$AG80-$AF80-$AE80*(1+FG$3))/$AJ80,'Технический лист'!$A:$B,2,1),(FF80-0.05)))</f>
        <v>1</v>
      </c>
      <c r="FH80" s="15">
        <f>MIN(1,MAX(VLOOKUP(($AJ80-$AI80-$AH80-$AG80-$AF80-$AE80*(1+FH$3))/$AJ80,'Технический лист'!$A:$B,2,1),(FG80-0.05)))</f>
        <v>1</v>
      </c>
      <c r="FI80" s="15">
        <f>MIN(1,MAX(VLOOKUP(($AJ80-$AI80-$AH80-$AG80-$AF80-$AE80*(1+FI$3))/$AJ80,'Технический лист'!$A:$B,2,1),(FH80-0.05)))</f>
        <v>1</v>
      </c>
      <c r="FJ80" s="15">
        <f>MIN(1,MAX(VLOOKUP(($AJ80-$AI80-$AH80-$AG80-$AF80-$AE80*(1+FJ$3))/$AJ80,'Технический лист'!$A:$B,2,1),(FI80-0.05)))</f>
        <v>1</v>
      </c>
      <c r="FK80" s="15">
        <f>MIN(1,MAX(VLOOKUP(($AJ80-$AI80-$AH80-$AG80-$AF80-$AE80*(1+FK$3))/$AJ80,'Технический лист'!$A:$B,2,1),(FJ80-0.05)))</f>
        <v>1</v>
      </c>
      <c r="FL80" s="15">
        <f>MIN(1,MAX(VLOOKUP(($AJ80-$AI80-$AH80-$AG80-$AF80-$AE80*(1+FL$3))/$AJ80,'Технический лист'!$A:$B,2,1),(FK80-0.05)))</f>
        <v>1</v>
      </c>
      <c r="FM80" s="15">
        <f>MIN(1,MAX(VLOOKUP(($AJ80-$AI80-$AH80-$AG80-$AF80-$AE80*(1+FM$3))/$AJ80,'Технический лист'!$A:$B,2,1),(FL80-0.05)))</f>
        <v>1</v>
      </c>
      <c r="FN80" s="15">
        <f>MIN(1,MAX(VLOOKUP(($AJ80-$AI80-$AH80-$AG80-$AF80-$AE80*(1+FN$3))/$AJ80,'Технический лист'!$A:$B,2,1),(FM80-0.05)))</f>
        <v>1</v>
      </c>
      <c r="FO80" s="15">
        <f>MIN(1,MAX(VLOOKUP(($AJ80-$AI80-$AH80-$AG80-$AF80-$AE80*(1+FO$3))/$AJ80,'Технический лист'!$A:$B,2,1),(FN80-0.05)))</f>
        <v>1</v>
      </c>
      <c r="FP80" s="15">
        <f>MIN(1,MAX(VLOOKUP(($AJ80-$AI80-$AH80-$AG80-$AF80-$AE80*(1+FP$3))/$AJ80,'Технический лист'!$A:$B,2,1),(FO80-0.05)))</f>
        <v>1</v>
      </c>
      <c r="FQ80" s="15">
        <f>MIN(1,MAX(VLOOKUP(($AJ80-$AI80-$AH80-$AG80-$AF80-$AE80*(1+FQ$3))/$AJ80,'Технический лист'!$A:$B,2,1),(FP80-0.05)))</f>
        <v>1</v>
      </c>
      <c r="FR80" s="15">
        <f>MIN(1,MAX(VLOOKUP(($AJ80-$AI80-$AH80-$AG80-$AF80-$AE80*(1+FR$3))/$AJ80,'Технический лист'!$A:$B,2,1),(FQ80-0.05)))</f>
        <v>1</v>
      </c>
      <c r="FS80" s="15">
        <f>MIN(1,MAX(VLOOKUP(($AJ80-$AI80-$AH80-$AG80-$AF80-$AE80*(1+FS$3))/$AJ80,'Технический лист'!$A:$B,2,1),(FR80-0.05)))</f>
        <v>1</v>
      </c>
      <c r="FT80" s="15">
        <f>MIN(1,MAX(VLOOKUP(($AJ80-$AI80-$AH80-$AG80-$AF80-$AE80*(1+FT$3))/$AJ80,'Технический лист'!$A:$B,2,1),(FS80-0.05)))</f>
        <v>1</v>
      </c>
      <c r="FU80" s="15">
        <f>MIN(1,MAX(VLOOKUP(($AJ80-$AI80-$AH80-$AG80-$AF80-$AE80*(1+FU$3))/$AJ80,'Технический лист'!$A:$B,2,1),(FT80-0.05)))</f>
        <v>1</v>
      </c>
      <c r="FV80" s="15">
        <f>MIN(1,MAX(VLOOKUP(($AJ80-$AI80-$AH80-$AG80-$AF80-$AE80*(1+FV$3))/$AJ80,'Технический лист'!$A:$B,2,1),(FU80-0.05)))</f>
        <v>1</v>
      </c>
      <c r="FW80" s="15">
        <f>MIN(1,MAX(VLOOKUP(($AJ80-$AI80-$AH80-$AG80-$AF80-$AE80*(1+FW$3))/$AJ80,'Технический лист'!$A:$B,2,1),(FV80-0.05)))</f>
        <v>1</v>
      </c>
      <c r="FX80" s="15">
        <f>MIN(1,MAX(VLOOKUP(($AJ80-$AI80-$AH80-$AG80-$AF80-$AE80*(1+FX$3))/$AJ80,'Технический лист'!$A:$B,2,1),(FW80-0.05)))</f>
        <v>1</v>
      </c>
      <c r="FY80" s="15">
        <f>MIN(1,MAX(VLOOKUP(($AJ80-$AI80-$AH80-$AG80-$AF80-$AE80*(1+FY$3))/$AJ80,'Технический лист'!$A:$B,2,1),(FX80-0.05)))</f>
        <v>1</v>
      </c>
      <c r="FZ80" s="15">
        <f>MIN(1,MAX(VLOOKUP(($AJ80-$AI80-$AH80-$AG80-$AF80-$AE80*(1+FZ$3))/$AJ80,'Технический лист'!$A:$B,2,1),(FY80-0.05)))</f>
        <v>1</v>
      </c>
      <c r="GA80" s="15">
        <f>MIN(1,MAX(VLOOKUP(($AJ80-$AI80-$AH80-$AG80-$AF80-$AE80*(1+GA$3))/$AJ80,'Технический лист'!$A:$B,2,1),(FZ80-0.05)))</f>
        <v>1</v>
      </c>
      <c r="GB80" s="15">
        <f>MIN(1,MAX(VLOOKUP(($AJ80-$AI80-$AH80-$AG80-$AF80-$AE80*(1+GB$3))/$AJ80,'Технический лист'!$A:$B,2,1),(GA80-0.05)))</f>
        <v>1</v>
      </c>
      <c r="GC80" s="15">
        <f>MIN(1,MAX(VLOOKUP(($AJ80-$AI80-$AH80-$AG80-$AF80-$AE80*(1+GC$3))/$AJ80,'Технический лист'!$A:$B,2,1),(GB80-0.05)))</f>
        <v>1</v>
      </c>
      <c r="GD80" s="15">
        <f>MIN(1,MAX(VLOOKUP(($AJ80-$AI80-$AH80-$AG80-$AF80-$AE80*(1+GD$3))/$AJ80,'Технический лист'!$A:$B,2,1),(GC80-0.05)))</f>
        <v>1</v>
      </c>
      <c r="GE80" s="15">
        <f>MIN(1,MAX(VLOOKUP(($AJ80-$AI80-$AH80-$AG80-$AF80-$AE80*(1+GE$3))/$AJ80,'Технический лист'!$A:$B,2,1),(GD80-0.05)))</f>
        <v>1</v>
      </c>
      <c r="GF80" s="15">
        <f>MIN(1,MAX(VLOOKUP(($AJ80-$AI80-$AH80-$AG80-$AF80-$AE80*(1+GF$3))/$AJ80,'Технический лист'!$A:$B,2,1),(GE80-0.05)))</f>
        <v>1</v>
      </c>
      <c r="GG80" s="15">
        <f>MIN(1,MAX(VLOOKUP(($AJ80-$AI80-$AH80-$AG80-$AF80-$AE80*(1+GG$3))/$AJ80,'Технический лист'!$A:$B,2,1),(GF80-0.05)))</f>
        <v>1</v>
      </c>
      <c r="GH80" s="15">
        <f>MIN(1,MAX(VLOOKUP(($AJ80-$AI80-$AH80-$AG80-$AF80-$AE80*(1+GH$3))/$AJ80,'Технический лист'!$A:$B,2,1),(GG80-0.05)))</f>
        <v>1</v>
      </c>
      <c r="GI80" s="15">
        <f>MIN(1,MAX(VLOOKUP(($AJ80-$AI80-$AH80-$AG80-$AF80-$AE80*(1+GI$3))/$AJ80,'Технический лист'!$A:$B,2,1),(GH80-0.05)))</f>
        <v>1</v>
      </c>
      <c r="GJ80" s="15">
        <f>MIN(1,MAX(VLOOKUP(($AJ80-$AI80-$AH80-$AG80-$AF80-$AE80*(1+GJ$3))/$AJ80,'Технический лист'!$A:$B,2,1),(GI80-0.05)))</f>
        <v>1</v>
      </c>
      <c r="GK80" s="15">
        <f>MIN(1,MAX(VLOOKUP(($AJ80-$AI80-$AH80-$AG80-$AF80-$AE80*(1+GK$3))/$AJ80,'Технический лист'!$A:$B,2,1),(GJ80-0.05)))</f>
        <v>1</v>
      </c>
      <c r="GL80" s="15">
        <f>MIN(1,MAX(VLOOKUP(($AJ80-$AI80-$AH80-$AG80-$AF80-$AE80*(1+GL$3))/$AJ80,'Технический лист'!$A:$B,2,1),(GK80-0.05)))</f>
        <v>1</v>
      </c>
      <c r="GM80" s="15">
        <f>MIN(1,MAX(VLOOKUP(($AJ80-$AI80-$AH80-$AG80-$AF80-$AE80*(1+GM$3))/$AJ80,'Технический лист'!$A:$B,2,1),(GL80-0.05)))</f>
        <v>1</v>
      </c>
      <c r="GN80" s="15">
        <f>MIN(1,MAX(VLOOKUP(($AJ80-$AI80-$AH80-$AG80-$AF80-$AE80*(1+GN$3))/$AJ80,'Технический лист'!$A:$B,2,1),(GM80-0.05)))</f>
        <v>1</v>
      </c>
      <c r="GO80" s="15">
        <f>MIN(1,MAX(VLOOKUP(($AJ80-$AI80-$AH80-$AG80-$AF80-$AE80*(1+GO$3))/$AJ80,'Технический лист'!$A:$B,2,1),(GN80-0.05)))</f>
        <v>1</v>
      </c>
      <c r="GP80" s="15">
        <f>MIN(1,MAX(VLOOKUP(($AJ80-$AI80-$AH80-$AG80-$AF80-$AE80*(1+GP$3))/$AJ80,'Технический лист'!$A:$B,2,1),(GO80-0.05)))</f>
        <v>1</v>
      </c>
      <c r="GQ80" s="15">
        <f>MIN(1,MAX(VLOOKUP(($AJ80-$AI80-$AH80-$AG80-$AF80-$AE80*(1+GQ$3))/$AJ80,'Технический лист'!$A:$B,2,1),(GP80-0.05)))</f>
        <v>1</v>
      </c>
      <c r="GR80" s="15">
        <f>MIN(1,MAX(VLOOKUP(($AJ80-$AI80-$AH80-$AG80-$AF80-$AE80*(1+GR$3))/$AJ80,'Технический лист'!$A:$B,2,1),(GQ80-0.05)))</f>
        <v>1</v>
      </c>
      <c r="GS80" s="15">
        <f>MIN(1,MAX(VLOOKUP(($AJ80-$AI80-$AH80-$AG80-$AF80-$AE80*(1+GS$3))/$AJ80,'Технический лист'!$A:$B,2,1),(GR80-0.05)))</f>
        <v>1</v>
      </c>
      <c r="GT80" s="15">
        <f>MIN(1,MAX(VLOOKUP(($AJ80-$AI80-$AH80-$AG80-$AF80-$AE80*(1+GT$3))/$AJ80,'Технический лист'!$A:$B,2,1),(GS80-0.05)))</f>
        <v>1</v>
      </c>
      <c r="GU80" s="15">
        <f>MIN(1,MAX(VLOOKUP(($AJ80-$AI80-$AH80-$AG80-$AF80-$AE80*(1+GU$3))/$AJ80,'Технический лист'!$A:$B,2,1),(GT80-0.05)))</f>
        <v>1</v>
      </c>
      <c r="GV80" s="15">
        <f>MIN(1,MAX(VLOOKUP(($AJ80-$AI80-$AH80-$AG80-$AF80-$AE80*(1+GV$3))/$AJ80,'Технический лист'!$A:$B,2,1),(GU80-0.05)))</f>
        <v>1</v>
      </c>
      <c r="GW80" s="15">
        <f>MIN(1,MAX(VLOOKUP(($AJ80-$AI80-$AH80-$AG80-$AF80-$AE80*(1+GW$3))/$AJ80,'Технический лист'!$A:$B,2,1),(GV80-0.05)))</f>
        <v>1</v>
      </c>
      <c r="GX80" s="15">
        <f>MIN(1,MAX(VLOOKUP(($AJ80-$AI80-$AH80-$AG80-$AF80-$AE80*(1+GX$3))/$AJ80,'Технический лист'!$A:$B,2,1),(GW80-0.05)))</f>
        <v>1</v>
      </c>
      <c r="GY80" s="15">
        <f>MIN(1,MAX(VLOOKUP(($AJ80-$AI80-$AH80-$AG80-$AF80-$AE80*(1+GY$3))/$AJ80,'Технический лист'!$A:$B,2,1),(GX80-0.05)))</f>
        <v>1</v>
      </c>
      <c r="GZ80" s="15">
        <f>MIN(1,MAX(VLOOKUP(($AJ80-$AI80-$AH80-$AG80-$AF80-$AE80*(1+GZ$3))/$AJ80,'Технический лист'!$A:$B,2,1),(GY80-0.05)))</f>
        <v>1</v>
      </c>
      <c r="HA80" s="15">
        <f>MIN(1,MAX(VLOOKUP(($AJ80-$AI80-$AH80-$AG80-$AF80-$AE80*(1+HA$3))/$AJ80,'Технический лист'!$A:$B,2,1),(GZ80-0.05)))</f>
        <v>1</v>
      </c>
      <c r="HB80" s="15">
        <f>MIN(1,MAX(VLOOKUP(($AJ80-$AI80-$AH80-$AG80-$AF80-$AE80*(1+HB$3))/$AJ80,'Технический лист'!$A:$B,2,1),(HA80-0.05)))</f>
        <v>1</v>
      </c>
      <c r="HC80" s="15">
        <f>MIN(1,MAX(VLOOKUP(($AJ80-$AI80-$AH80-$AG80-$AF80-$AE80*(1+HC$3))/$AJ80,'Технический лист'!$A:$B,2,1),(HB80-0.05)))</f>
        <v>1</v>
      </c>
      <c r="HD80" s="15">
        <f>MIN(1,MAX(VLOOKUP(($AJ80-$AI80-$AH80-$AG80-$AF80-$AE80*(1+HD$3))/$AJ80,'Технический лист'!$A:$B,2,1),(HC80-0.05)))</f>
        <v>1</v>
      </c>
      <c r="HE80" s="15">
        <f>MIN(1,MAX(VLOOKUP(($AJ80-$AI80-$AH80-$AG80-$AF80-$AE80*(1+HE$3))/$AJ80,'Технический лист'!$A:$B,2,1),(HD80-0.05)))</f>
        <v>1</v>
      </c>
      <c r="HF80" s="15">
        <f>MIN(1,MAX(VLOOKUP(($AJ80-$AI80-$AH80-$AG80-$AF80-$AE80*(1+HF$3))/$AJ80,'Технический лист'!$A:$B,2,1),(HE80-0.05)))</f>
        <v>1</v>
      </c>
      <c r="HG80" s="15">
        <f>MIN(1,MAX(VLOOKUP(($AJ80-$AI80-$AH80-$AG80-$AF80-$AE80*(1+HG$3))/$AJ80,'Технический лист'!$A:$B,2,1),(HF80-0.05)))</f>
        <v>1</v>
      </c>
      <c r="HH80" s="15">
        <f>MIN(1,MAX(VLOOKUP(($AJ80-$AI80-$AH80-$AG80-$AF80-$AE80*(1+HH$3))/$AJ80,'Технический лист'!$A:$B,2,1),(HG80-0.05)))</f>
        <v>1</v>
      </c>
      <c r="HI80" s="15">
        <f>MIN(1,MAX(VLOOKUP(($AJ80-$AI80-$AH80-$AG80-$AF80-$AE80*(1+HI$3))/$AJ80,'Технический лист'!$A:$B,2,1),(HH80-0.05)))</f>
        <v>1</v>
      </c>
      <c r="HJ80" s="15">
        <f>MIN(1,MAX(VLOOKUP(($AJ80-$AI80-$AH80-$AG80-$AF80-$AE80*(1+HJ$3))/$AJ80,'Технический лист'!$A:$B,2,1),(HI80-0.05)))</f>
        <v>1</v>
      </c>
      <c r="HK80" s="15">
        <f>MIN(1,MAX(VLOOKUP(($AJ80-$AI80-$AH80-$AG80-$AF80-$AE80*(1+HK$3))/$AJ80,'Технический лист'!$A:$B,2,1),(HJ80-0.05)))</f>
        <v>1</v>
      </c>
      <c r="HL80" s="15">
        <f>MIN(1,MAX(VLOOKUP(($AJ80-$AI80-$AH80-$AG80-$AF80-$AE80*(1+HL$3))/$AJ80,'Технический лист'!$A:$B,2,1),(HK80-0.05)))</f>
        <v>1</v>
      </c>
      <c r="HM80" s="15">
        <f>MIN(1,MAX(VLOOKUP(($AJ80-$AI80-$AH80-$AG80-$AF80-$AE80*(1+HM$3))/$AJ80,'Технический лист'!$A:$B,2,1),(HL80-0.05)))</f>
        <v>1</v>
      </c>
      <c r="HN80" s="15">
        <f>MIN(1,MAX(VLOOKUP(($AJ80-$AI80-$AH80-$AG80-$AF80-$AE80*(1+HN$3))/$AJ80,'Технический лист'!$A:$B,2,1),(HM80-0.05)))</f>
        <v>1</v>
      </c>
      <c r="HO80" s="15">
        <f>MIN(1,MAX(VLOOKUP(($AJ80-$AI80-$AH80-$AG80-$AF80-$AE80*(1+HO$3))/$AJ80,'Технический лист'!$A:$B,2,1),(HN80-0.05)))</f>
        <v>1</v>
      </c>
      <c r="HP80" s="15">
        <f>MIN(1,MAX(VLOOKUP(($AJ80-$AI80-$AH80-$AG80-$AF80-$AE80*(1+HP$3))/$AJ80,'Технический лист'!$A:$B,2,1),(HO80-0.05)))</f>
        <v>1</v>
      </c>
      <c r="HQ80" s="15">
        <f>MIN(1,MAX(VLOOKUP(($AJ80-$AI80-$AH80-$AG80-$AF80-$AE80*(1+HQ$3))/$AJ80,'Технический лист'!$A:$B,2,1),(HP80-0.05)))</f>
        <v>1</v>
      </c>
      <c r="HR80" s="15">
        <f>MIN(1,MAX(VLOOKUP(($AJ80-$AI80-$AH80-$AG80-$AF80-$AE80*(1+HR$3))/$AJ80,'Технический лист'!$A:$B,2,1),(HQ80-0.05)))</f>
        <v>1</v>
      </c>
      <c r="HS80" s="15">
        <f>MIN(1,MAX(VLOOKUP(($AJ80-$AI80-$AH80-$AG80-$AF80-$AE80*(1+HS$3))/$AJ80,'Технический лист'!$A:$B,2,1),(HR80-0.05)))</f>
        <v>1</v>
      </c>
      <c r="HT80" s="15">
        <f>MIN(1,MAX(VLOOKUP(($AJ80-$AI80-$AH80-$AG80-$AF80-$AE80*(1+HT$3))/$AJ80,'Технический лист'!$A:$B,2,1),(HS80-0.05)))</f>
        <v>1</v>
      </c>
      <c r="HU80" s="15">
        <f>MIN(1,MAX(VLOOKUP(($AJ80-$AI80-$AH80-$AG80-$AF80-$AE80*(1+HU$3))/$AJ80,'Технический лист'!$A:$B,2,1),(HT80-0.05)))</f>
        <v>1</v>
      </c>
      <c r="HV80" s="15">
        <f>MIN(1,MAX(VLOOKUP(($AJ80-$AI80-$AH80-$AG80-$AF80-$AE80*(1+HV$3))/$AJ80,'Технический лист'!$A:$B,2,1),(HU80-0.05)))</f>
        <v>1</v>
      </c>
      <c r="HW80" s="15">
        <f>MIN(1,MAX(VLOOKUP(($AJ80-$AI80-$AH80-$AG80-$AF80-$AE80*(1+HW$3))/$AJ80,'Технический лист'!$A:$B,2,1),(HV80-0.05)))</f>
        <v>1</v>
      </c>
      <c r="HX80" s="15">
        <f>MIN(1,MAX(VLOOKUP(($AJ80-$AI80-$AH80-$AG80-$AF80-$AE80*(1+HX$3))/$AJ80,'Технический лист'!$A:$B,2,1),(HW80-0.05)))</f>
        <v>1</v>
      </c>
      <c r="HY80" s="15">
        <f>MIN(1,MAX(VLOOKUP(($AJ80-$AI80-$AH80-$AG80-$AF80-$AE80*(1+HY$3))/$AJ80,'Технический лист'!$A:$B,2,1),(HX80-0.05)))</f>
        <v>1</v>
      </c>
      <c r="HZ80" s="15">
        <f>MIN(1,MAX(VLOOKUP(($AJ80-$AI80-$AH80-$AG80-$AF80-$AE80*(1+HZ$3))/$AJ80,'Технический лист'!$A:$B,2,1),(HY80-0.05)))</f>
        <v>1</v>
      </c>
      <c r="IA80" s="15">
        <f>MIN(1,MAX(VLOOKUP(($AJ80-$AI80-$AH80-$AG80-$AF80-$AE80*(1+IA$3))/$AJ80,'Технический лист'!$A:$B,2,1),(HZ80-0.05)))</f>
        <v>1</v>
      </c>
      <c r="IB80" s="15">
        <f>MIN(1,MAX(VLOOKUP(($AJ80-$AI80-$AH80-$AG80-$AF80-$AE80*(1+IB$3))/$AJ80,'Технический лист'!$A:$B,2,1),(IA80-0.05)))</f>
        <v>1</v>
      </c>
      <c r="IC80" s="15">
        <f>MIN(1,MAX(VLOOKUP(($AJ80-$AI80-$AH80-$AG80-$AF80-$AE80*(1+IC$3))/$AJ80,'Технический лист'!$A:$B,2,1),(IB80-0.05)))</f>
        <v>1</v>
      </c>
      <c r="ID80" s="15">
        <f>MIN(1,MAX(VLOOKUP(($AJ80-$AI80-$AH80-$AG80-$AF80-$AE80*(1+ID$3))/$AJ80,'Технический лист'!$A:$B,2,1),(IC80-0.05)))</f>
        <v>1</v>
      </c>
      <c r="IE80" s="15">
        <f>MIN(1,MAX(VLOOKUP(($AJ80-$AI80-$AH80-$AG80-$AF80-$AE80*(1+IE$3))/$AJ80,'Технический лист'!$A:$B,2,1),(ID80-0.05)))</f>
        <v>1</v>
      </c>
      <c r="IF80" s="15">
        <f>MIN(1,MAX(VLOOKUP(($AJ80-$AI80-$AH80-$AG80-$AF80-$AE80*(1+IF$3))/$AJ80,'Технический лист'!$A:$B,2,1),(IE80-0.05)))</f>
        <v>1</v>
      </c>
      <c r="IG80" s="15">
        <f>MIN(1,MAX(VLOOKUP(($AJ80-$AI80-$AH80-$AG80-$AF80-$AE80*(1+IG$3))/$AJ80,'Технический лист'!$A:$B,2,1),(IF80-0.05)))</f>
        <v>1</v>
      </c>
      <c r="IH80" s="15">
        <f>MIN(1,MAX(VLOOKUP(($AJ80-$AI80-$AH80-$AG80-$AF80-$AE80*(1+IH$3))/$AJ80,'Технический лист'!$A:$B,2,1),(IG80-0.05)))</f>
        <v>1</v>
      </c>
      <c r="II80" s="15">
        <f>MIN(1,MAX(VLOOKUP(($AJ80-$AI80-$AH80-$AG80-$AF80-$AE80*(1+II$3))/$AJ80,'Технический лист'!$A:$B,2,1),(IH80-0.05)))</f>
        <v>1</v>
      </c>
      <c r="IJ80" s="15">
        <f>MIN(1,MAX(VLOOKUP(($AJ80-$AI80-$AH80-$AG80-$AF80-$AE80*(1+IJ$3))/$AJ80,'Технический лист'!$A:$B,2,1),(II80-0.05)))</f>
        <v>1</v>
      </c>
      <c r="IK80" s="15">
        <f>MIN(1,MAX(VLOOKUP(($AJ80-$AI80-$AH80-$AG80-$AF80-$AE80*(1+IK$3))/$AJ80,'Технический лист'!$A:$B,2,1),(IJ80-0.05)))</f>
        <v>1</v>
      </c>
      <c r="IL80" s="15">
        <f>MIN(1,MAX(VLOOKUP(($AJ80-$AI80-$AH80-$AG80-$AF80-$AE80*(1+IL$3))/$AJ80,'Технический лист'!$A:$B,2,1),(IK80-0.05)))</f>
        <v>1</v>
      </c>
      <c r="IM80" s="15">
        <f>MIN(1,MAX(VLOOKUP(($AJ80-$AI80-$AH80-$AG80-$AF80-$AE80*(1+IM$3))/$AJ80,'Технический лист'!$A:$B,2,1),(IL80-0.05)))</f>
        <v>1</v>
      </c>
      <c r="IN80" s="15">
        <f>MIN(1,MAX(VLOOKUP(($AJ80-$AI80-$AH80-$AG80-$AF80-$AE80*(1+IN$3))/$AJ80,'Технический лист'!$A:$B,2,1),(IM80-0.05)))</f>
        <v>1</v>
      </c>
      <c r="IO80" s="15">
        <f>MIN(1,MAX(VLOOKUP(($AJ80-$AI80-$AH80-$AG80-$AF80-$AE80*(1+IO$3))/$AJ80,'Технический лист'!$A:$B,2,1),(IN80-0.05)))</f>
        <v>1</v>
      </c>
      <c r="IP80" s="15">
        <f>MIN(1,MAX(VLOOKUP(($AJ80-$AI80-$AH80-$AG80-$AF80-$AE80*(1+IP$3))/$AJ80,'Технический лист'!$A:$B,2,1),(IO80-0.05)))</f>
        <v>1</v>
      </c>
      <c r="IQ80" s="15">
        <f>MIN(1,MAX(VLOOKUP(($AJ80-$AI80-$AH80-$AG80-$AF80-$AE80*(1+IQ$3))/$AJ80,'Технический лист'!$A:$B,2,1),(IP80-0.05)))</f>
        <v>1</v>
      </c>
      <c r="IR80" s="15">
        <f>MIN(1,MAX(VLOOKUP(($AJ80-$AI80-$AH80-$AG80-$AF80-$AE80*(1+IR$3))/$AJ80,'Технический лист'!$A:$B,2,1),(IQ80-0.05)))</f>
        <v>1</v>
      </c>
    </row>
    <row r="81" spans="1:252" ht="43.75">
      <c r="A81" s="89" t="s">
        <v>515</v>
      </c>
      <c r="B81" s="90">
        <v>5</v>
      </c>
      <c r="C81" s="5" t="s">
        <v>68</v>
      </c>
      <c r="D81" s="91">
        <v>32404</v>
      </c>
      <c r="E81" s="91" t="s">
        <v>342</v>
      </c>
      <c r="F81" s="92" t="s">
        <v>75</v>
      </c>
      <c r="G81" s="91" t="s">
        <v>52</v>
      </c>
      <c r="H81" s="91" t="s">
        <v>20</v>
      </c>
      <c r="I81" s="91" t="s">
        <v>111</v>
      </c>
      <c r="J81" s="91" t="s">
        <v>156</v>
      </c>
      <c r="K81" s="91">
        <v>1103</v>
      </c>
      <c r="L81" s="85" t="s">
        <v>64</v>
      </c>
      <c r="M81" s="91" t="s">
        <v>190</v>
      </c>
      <c r="N81" s="91" t="s">
        <v>191</v>
      </c>
      <c r="O81" s="91" t="s">
        <v>193</v>
      </c>
      <c r="P81" s="89" t="s">
        <v>211</v>
      </c>
      <c r="Q81" s="91" t="s">
        <v>291</v>
      </c>
      <c r="R81" s="91" t="s">
        <v>259</v>
      </c>
      <c r="S81" s="82">
        <v>25421</v>
      </c>
      <c r="T81" s="82">
        <v>28039489</v>
      </c>
      <c r="U81" s="81">
        <v>381</v>
      </c>
      <c r="V81" s="81">
        <v>0</v>
      </c>
      <c r="W81" s="82">
        <v>58419844</v>
      </c>
      <c r="X81" s="112">
        <v>64</v>
      </c>
      <c r="Y81" s="112" t="s">
        <v>416</v>
      </c>
      <c r="Z81" s="113">
        <v>6</v>
      </c>
      <c r="AA81" s="113">
        <v>6</v>
      </c>
      <c r="AB81" s="113">
        <v>4</v>
      </c>
      <c r="AC81" s="99">
        <v>2719.39</v>
      </c>
      <c r="AD81" s="99">
        <f>AE81-AC81</f>
        <v>390.5300000000002</v>
      </c>
      <c r="AE81" s="99">
        <v>3109.92</v>
      </c>
      <c r="AF81" s="98">
        <f>(Z81+AA81+AB81)*'Ставки аренды'!$B$3/X81</f>
        <v>175</v>
      </c>
      <c r="AG81" s="114">
        <v>0</v>
      </c>
      <c r="AH81" s="94">
        <v>0</v>
      </c>
      <c r="AI81" s="115">
        <f t="shared" si="34"/>
        <v>108196.54750871779</v>
      </c>
      <c r="AJ81" s="117">
        <f>Цены!D25</f>
        <v>180000</v>
      </c>
      <c r="AK81" s="94">
        <f>AJ81/Цены!$B$1</f>
        <v>2358.9387396714524</v>
      </c>
      <c r="AL81" s="95">
        <f t="shared" si="24"/>
        <v>3284.92</v>
      </c>
      <c r="AM81" s="95">
        <f t="shared" si="25"/>
        <v>176715.08</v>
      </c>
      <c r="AN81" s="94">
        <f t="shared" si="22"/>
        <v>111481.46750871779</v>
      </c>
      <c r="AO81" s="118">
        <f t="shared" si="23"/>
        <v>0.38065851384045674</v>
      </c>
      <c r="AP81" s="96">
        <f t="shared" si="26"/>
        <v>1.8249555555555557E-2</v>
      </c>
      <c r="AQ81" s="96">
        <f t="shared" si="27"/>
        <v>1.7277333333333332E-2</v>
      </c>
      <c r="AR81" s="96">
        <f t="shared" si="28"/>
        <v>0.94672625208528671</v>
      </c>
      <c r="AS81" s="122">
        <v>1</v>
      </c>
      <c r="AT81" s="121">
        <f t="shared" si="29"/>
        <v>25421</v>
      </c>
      <c r="AU81" s="83">
        <v>1</v>
      </c>
      <c r="AV81" s="119">
        <f t="shared" si="30"/>
        <v>0.37858523384045667</v>
      </c>
      <c r="AW81" s="120">
        <f t="shared" si="31"/>
        <v>2.0322835555555557E-2</v>
      </c>
      <c r="AX81" s="120">
        <f t="shared" si="32"/>
        <v>1.9350613333333336E-2</v>
      </c>
      <c r="AY81" s="120">
        <f t="shared" si="33"/>
        <v>0.95216109388060022</v>
      </c>
      <c r="AZ81" s="15">
        <f>MIN(IF($AU81=100%,1,1+VLOOKUP(($AJ81-$AI81-$AH81-$AG81-$AF81-$AE81*(1+AZ$3))/$AJ81,'Технический лист'!$I:$J,2,1)-VLOOKUP($AO81,'Технический лист'!$I:$J,2,1)),1+(1-$AU81))</f>
        <v>1</v>
      </c>
      <c r="BA81" s="15">
        <f>MIN(IF($AU81=100%,1,1+VLOOKUP(($AJ81-$AI81-$AH81-$AG81-$AF81-$AE81*(1+BA$3))/$AJ81,'Технический лист'!$I:$J,2,1)-VLOOKUP($AO81,'Технический лист'!$I:$J,2,1)),1+(1-$AU81))</f>
        <v>1</v>
      </c>
      <c r="BB81" s="15">
        <f>MIN(IF($AU81=100%,1,1+VLOOKUP(($AJ81-$AI81-$AH81-$AG81-$AF81-$AE81*(1+BB$3))/$AJ81,'Технический лист'!$I:$J,2,1)-VLOOKUP($AO81,'Технический лист'!$I:$J,2,1)),1+(1-$AU81))</f>
        <v>1</v>
      </c>
      <c r="BC81" s="15">
        <f>MIN(IF($AU81=100%,1,1+VLOOKUP(($AJ81-$AI81-$AH81-$AG81-$AF81-$AE81*(1+BC$3))/$AJ81,'Технический лист'!$I:$J,2,1)-VLOOKUP($AO81,'Технический лист'!$I:$J,2,1)),1+(1-$AU81))</f>
        <v>1</v>
      </c>
      <c r="BD81" s="15">
        <f>MIN(IF($AU81=100%,1,1+VLOOKUP(($AJ81-$AI81-$AH81-$AG81-$AF81-$AE81*(1+BD$3))/$AJ81,'Технический лист'!$I:$J,2,1)-VLOOKUP($AO81,'Технический лист'!$I:$J,2,1)),1+(1-$AU81))</f>
        <v>1</v>
      </c>
      <c r="BE81" s="15">
        <f>MIN(IF($AU81=100%,1,1+VLOOKUP(($AJ81-$AI81-$AH81-$AG81-$AF81-$AE81*(1+BE$3))/$AJ81,'Технический лист'!$I:$J,2,1)-VLOOKUP($AO81,'Технический лист'!$I:$J,2,1)),1+(1-$AU81))</f>
        <v>1</v>
      </c>
      <c r="BF81" s="15">
        <f>MIN(IF($AU81=100%,1,1+VLOOKUP(($AJ81-$AI81-$AH81-$AG81-$AF81-$AE81*(1+BF$3))/$AJ81,'Технический лист'!$I:$J,2,1)-VLOOKUP($AO81,'Технический лист'!$I:$J,2,1)),1+(1-$AU81))</f>
        <v>1</v>
      </c>
      <c r="BG81" s="15">
        <f>MIN(IF($AU81=100%,1,1+VLOOKUP(($AJ81-$AI81-$AH81-$AG81-$AF81-$AE81*(1+BG$3))/$AJ81,'Технический лист'!$I:$J,2,1)-VLOOKUP($AO81,'Технический лист'!$I:$J,2,1)),1+(1-$AU81))</f>
        <v>1</v>
      </c>
      <c r="BH81" s="15">
        <f>MIN(IF($AU81=100%,1,1+VLOOKUP(($AJ81-$AI81-$AH81-$AG81-$AF81-$AE81*(1+BH$3))/$AJ81,'Технический лист'!$I:$J,2,1)-VLOOKUP($AO81,'Технический лист'!$I:$J,2,1)),1+(1-$AU81))</f>
        <v>1</v>
      </c>
      <c r="BI81" s="15">
        <f>MIN(IF($AU81=100%,1,1+VLOOKUP(($AJ81-$AI81-$AH81-$AG81-$AF81-$AE81*(1+BI$3))/$AJ81,'Технический лист'!$I:$J,2,1)-VLOOKUP($AO81,'Технический лист'!$I:$J,2,1)),1+(1-$AU81))</f>
        <v>1</v>
      </c>
      <c r="BJ81" s="15">
        <f>MIN(IF($AU81=100%,1,1+VLOOKUP(($AJ81-$AI81-$AH81-$AG81-$AF81-$AE81*(1+BJ$3))/$AJ81,'Технический лист'!$I:$J,2,1)-VLOOKUP($AO81,'Технический лист'!$I:$J,2,1)),1+(1-$AU81))</f>
        <v>1</v>
      </c>
      <c r="BK81" s="15">
        <f>MIN(IF($AU81=100%,1,1+VLOOKUP(($AJ81-$AI81-$AH81-$AG81-$AF81-$AE81*(1+BK$3))/$AJ81,'Технический лист'!$I:$J,2,1)-VLOOKUP($AO81,'Технический лист'!$I:$J,2,1)),1+(1-$AU81))</f>
        <v>1</v>
      </c>
      <c r="BL81" s="15">
        <f>MIN(IF($AU81=100%,1,1+VLOOKUP(($AJ81-$AI81-$AH81-$AG81-$AF81-$AE81*(1+BL$3))/$AJ81,'Технический лист'!$I:$J,2,1)-VLOOKUP($AO81,'Технический лист'!$I:$J,2,1)),1+(1-$AU81))</f>
        <v>1</v>
      </c>
      <c r="BM81" s="15">
        <f>MIN(IF($AU81=100%,1,1+VLOOKUP(($AJ81-$AI81-$AH81-$AG81-$AF81-$AE81*(1+BM$3))/$AJ81,'Технический лист'!$I:$J,2,1)-VLOOKUP($AO81,'Технический лист'!$I:$J,2,1)),1+(1-$AU81))</f>
        <v>1</v>
      </c>
      <c r="BN81" s="15">
        <f>MIN(IF($AU81=100%,1,1+VLOOKUP(($AJ81-$AI81-$AH81-$AG81-$AF81-$AE81*(1+BN$3))/$AJ81,'Технический лист'!$I:$J,2,1)-VLOOKUP($AO81,'Технический лист'!$I:$J,2,1)),1+(1-$AU81))</f>
        <v>1</v>
      </c>
      <c r="BO81" s="15">
        <f>MIN(IF($AU81=100%,1,1+VLOOKUP(($AJ81-$AI81-$AH81-$AG81-$AF81-$AE81*(1+BO$3))/$AJ81,'Технический лист'!$I:$J,2,1)-VLOOKUP($AO81,'Технический лист'!$I:$J,2,1)),1+(1-$AU81))</f>
        <v>1</v>
      </c>
      <c r="BP81" s="15">
        <f>MIN(IF($AU81=100%,1,1+VLOOKUP(($AJ81-$AI81-$AH81-$AG81-$AF81-$AE81*(1+BP$3))/$AJ81,'Технический лист'!$I:$J,2,1)-VLOOKUP($AO81,'Технический лист'!$I:$J,2,1)),1+(1-$AU81))</f>
        <v>1</v>
      </c>
      <c r="BQ81" s="15">
        <f>MIN(IF($AU81=100%,1,1+VLOOKUP(($AJ81-$AI81-$AH81-$AG81-$AF81-$AE81*(1+BQ$3))/$AJ81,'Технический лист'!$I:$J,2,1)-VLOOKUP($AO81,'Технический лист'!$I:$J,2,1)),1+(1-$AU81))</f>
        <v>1</v>
      </c>
      <c r="BR81" s="15">
        <f>MIN(IF($AU81=100%,1,1+VLOOKUP(($AJ81-$AI81-$AH81-$AG81-$AF81-$AE81*(1+BR$3))/$AJ81,'Технический лист'!$I:$J,2,1)-VLOOKUP($AO81,'Технический лист'!$I:$J,2,1)),1+(1-$AU81))</f>
        <v>1</v>
      </c>
      <c r="BS81" s="15">
        <f>MIN(IF($AU81=100%,1,1+VLOOKUP(($AJ81-$AI81-$AH81-$AG81-$AF81-$AE81*(1+BS$3))/$AJ81,'Технический лист'!$I:$J,2,1)-VLOOKUP($AO81,'Технический лист'!$I:$J,2,1)),1+(1-$AU81))</f>
        <v>1</v>
      </c>
      <c r="BT81" s="15">
        <f>MIN(IF($AU81=100%,1,1+VLOOKUP(($AJ81-$AI81-$AH81-$AG81-$AF81-$AE81*(1+BT$3))/$AJ81,'Технический лист'!$I:$J,2,1)-VLOOKUP($AO81,'Технический лист'!$I:$J,2,1)),1+(1-$AU81))</f>
        <v>1</v>
      </c>
      <c r="BU81" s="15">
        <f>MIN(IF($AU81=100%,1,1+VLOOKUP(($AJ81-$AI81-$AH81-$AG81-$AF81-$AE81*(1+BU$3))/$AJ81,'Технический лист'!$I:$J,2,1)-VLOOKUP($AO81,'Технический лист'!$I:$J,2,1)),1+(1-$AU81))</f>
        <v>1</v>
      </c>
      <c r="BV81" s="15">
        <f>MIN(IF($AU81=100%,1,1+VLOOKUP(($AJ81-$AI81-$AH81-$AG81-$AF81-$AE81*(1+BV$3))/$AJ81,'Технический лист'!$I:$J,2,1)-VLOOKUP($AO81,'Технический лист'!$I:$J,2,1)),1+(1-$AU81))</f>
        <v>1</v>
      </c>
      <c r="BW81" s="15">
        <f>MIN(IF($AU81=100%,1,1+VLOOKUP(($AJ81-$AI81-$AH81-$AG81-$AF81-$AE81*(1+BW$3))/$AJ81,'Технический лист'!$I:$J,2,1)-VLOOKUP($AO81,'Технический лист'!$I:$J,2,1)),1+(1-$AU81))</f>
        <v>1</v>
      </c>
      <c r="BX81" s="15">
        <f>MIN(IF($AU81=100%,1,1+VLOOKUP(($AJ81-$AI81-$AH81-$AG81-$AF81-$AE81*(1+BX$3))/$AJ81,'Технический лист'!$I:$J,2,1)-VLOOKUP($AO81,'Технический лист'!$I:$J,2,1)),1+(1-$AU81))</f>
        <v>1</v>
      </c>
      <c r="BY81" s="15">
        <f>MIN(IF($AU81=100%,1,1+VLOOKUP(($AJ81-$AI81-$AH81-$AG81-$AF81-$AE81*(1+BY$3))/$AJ81,'Технический лист'!$I:$J,2,1)-VLOOKUP($AO81,'Технический лист'!$I:$J,2,1)),1+(1-$AU81))</f>
        <v>1</v>
      </c>
      <c r="BZ81" s="15">
        <f>MIN(IF($AU81=100%,1,1+VLOOKUP(($AJ81-$AI81-$AH81-$AG81-$AF81-$AE81*(1+BZ$3))/$AJ81,'Технический лист'!$I:$J,2,1)-VLOOKUP($AO81,'Технический лист'!$I:$J,2,1)),1+(1-$AU81))</f>
        <v>1</v>
      </c>
      <c r="CA81" s="15">
        <f>MIN(IF($AU81=100%,1,1+VLOOKUP(($AJ81-$AI81-$AH81-$AG81-$AF81-$AE81*(1+CA$3))/$AJ81,'Технический лист'!$I:$J,2,1)-VLOOKUP($AO81,'Технический лист'!$I:$J,2,1)),1+(1-$AU81))</f>
        <v>1</v>
      </c>
      <c r="CB81" s="15">
        <f>MIN(IF($AU81=100%,1,1+VLOOKUP(($AJ81-$AI81-$AH81-$AG81-$AF81-$AE81*(1+CB$3))/$AJ81,'Технический лист'!$I:$J,2,1)-VLOOKUP($AO81,'Технический лист'!$I:$J,2,1)),1+(1-$AU81))</f>
        <v>1</v>
      </c>
      <c r="CC81" s="15">
        <f>MIN(IF($AU81=100%,1,1+VLOOKUP(($AJ81-$AI81-$AH81-$AG81-$AF81-$AE81*(1+CC$3))/$AJ81,'Технический лист'!$I:$J,2,1)-VLOOKUP($AO81,'Технический лист'!$I:$J,2,1)),1+(1-$AU81))</f>
        <v>1</v>
      </c>
      <c r="CD81" s="15">
        <f>MIN(IF($AU81=100%,1,1+VLOOKUP(($AJ81-$AI81-$AH81-$AG81-$AF81-$AE81*(1+CD$3))/$AJ81,'Технический лист'!$I:$J,2,1)-VLOOKUP($AO81,'Технический лист'!$I:$J,2,1)),1+(1-$AU81))</f>
        <v>1</v>
      </c>
      <c r="CE81" s="15">
        <f>MIN(IF($AU81=100%,1,1+VLOOKUP(($AJ81-$AI81-$AH81-$AG81-$AF81-$AE81*(1+CE$3))/$AJ81,'Технический лист'!$I:$J,2,1)-VLOOKUP($AO81,'Технический лист'!$I:$J,2,1)),1+(1-$AU81))</f>
        <v>1</v>
      </c>
      <c r="CF81" s="15">
        <f>MIN(IF($AU81=100%,1,1+VLOOKUP(($AJ81-$AI81-$AH81-$AG81-$AF81-$AE81*(1+CF$3))/$AJ81,'Технический лист'!$I:$J,2,1)-VLOOKUP($AO81,'Технический лист'!$I:$J,2,1)),1+(1-$AU81))</f>
        <v>1</v>
      </c>
      <c r="CG81" s="15">
        <f>MIN(IF($AU81=100%,1,1+VLOOKUP(($AJ81-$AI81-$AH81-$AG81-$AF81-$AE81*(1+CG$3))/$AJ81,'Технический лист'!$I:$J,2,1)-VLOOKUP($AO81,'Технический лист'!$I:$J,2,1)),1+(1-$AU81))</f>
        <v>1</v>
      </c>
      <c r="CH81" s="15">
        <f>MIN(IF($AU81=100%,1,1+VLOOKUP(($AJ81-$AI81-$AH81-$AG81-$AF81-$AE81*(1+CH$3))/$AJ81,'Технический лист'!$I:$J,2,1)-VLOOKUP($AO81,'Технический лист'!$I:$J,2,1)),1+(1-$AU81))</f>
        <v>1</v>
      </c>
      <c r="CI81" s="15">
        <f>MIN(IF($AU81=100%,1,1+VLOOKUP(($AJ81-$AI81-$AH81-$AG81-$AF81-$AE81*(1+CI$3))/$AJ81,'Технический лист'!$I:$J,2,1)-VLOOKUP($AO81,'Технический лист'!$I:$J,2,1)),1+(1-$AU81))</f>
        <v>1</v>
      </c>
      <c r="CJ81" s="15">
        <f>MIN(IF($AU81=100%,1,1+VLOOKUP(($AJ81-$AI81-$AH81-$AG81-$AF81-$AE81*(1+CJ$3))/$AJ81,'Технический лист'!$I:$J,2,1)-VLOOKUP($AO81,'Технический лист'!$I:$J,2,1)),1+(1-$AU81))</f>
        <v>1</v>
      </c>
      <c r="CK81" s="15">
        <f>MIN(IF($AU81=100%,1,1+VLOOKUP(($AJ81-$AI81-$AH81-$AG81-$AF81-$AE81*(1+CK$3))/$AJ81,'Технический лист'!$I:$J,2,1)-VLOOKUP($AO81,'Технический лист'!$I:$J,2,1)),1+(1-$AU81))</f>
        <v>1</v>
      </c>
      <c r="CL81" s="15">
        <f>MIN(IF($AU81=100%,1,1+VLOOKUP(($AJ81-$AI81-$AH81-$AG81-$AF81-$AE81*(1+CL$3))/$AJ81,'Технический лист'!$I:$J,2,1)-VLOOKUP($AO81,'Технический лист'!$I:$J,2,1)),1+(1-$AU81))</f>
        <v>1</v>
      </c>
      <c r="CM81" s="15">
        <f>MIN(IF($AU81=100%,1,1+VLOOKUP(($AJ81-$AI81-$AH81-$AG81-$AF81-$AE81*(1+CM$3))/$AJ81,'Технический лист'!$I:$J,2,1)-VLOOKUP($AO81,'Технический лист'!$I:$J,2,1)),1+(1-$AU81))</f>
        <v>1</v>
      </c>
      <c r="CN81" s="15">
        <f>MIN(IF($AU81=100%,1,1+VLOOKUP(($AJ81-$AI81-$AH81-$AG81-$AF81-$AE81*(1+CN$3))/$AJ81,'Технический лист'!$I:$J,2,1)-VLOOKUP($AO81,'Технический лист'!$I:$J,2,1)),1+(1-$AU81))</f>
        <v>1</v>
      </c>
      <c r="CO81" s="15">
        <f>MIN(IF($AU81=100%,1,1+VLOOKUP(($AJ81-$AI81-$AH81-$AG81-$AF81-$AE81*(1+CO$3))/$AJ81,'Технический лист'!$I:$J,2,1)-VLOOKUP($AO81,'Технический лист'!$I:$J,2,1)),1+(1-$AU81))</f>
        <v>1</v>
      </c>
      <c r="CP81" s="15">
        <f>MIN(IF($AU81=100%,1,1+VLOOKUP(($AJ81-$AI81-$AH81-$AG81-$AF81-$AE81*(1+CP$3))/$AJ81,'Технический лист'!$I:$J,2,1)-VLOOKUP($AO81,'Технический лист'!$I:$J,2,1)),1+(1-$AU81))</f>
        <v>1</v>
      </c>
      <c r="CQ81" s="15">
        <f>MIN(IF($AU81=100%,1,1+VLOOKUP(($AJ81-$AI81-$AH81-$AG81-$AF81-$AE81*(1+CQ$3))/$AJ81,'Технический лист'!$I:$J,2,1)-VLOOKUP($AO81,'Технический лист'!$I:$J,2,1)),1+(1-$AU81))</f>
        <v>1</v>
      </c>
      <c r="CR81" s="15">
        <f>MIN(IF($AU81=100%,1,1+VLOOKUP(($AJ81-$AI81-$AH81-$AG81-$AF81-$AE81*(1+CR$3))/$AJ81,'Технический лист'!$I:$J,2,1)-VLOOKUP($AO81,'Технический лист'!$I:$J,2,1)),1+(1-$AU81))</f>
        <v>1</v>
      </c>
      <c r="CS81" s="15">
        <f>MIN(IF($AU81=100%,1,1+VLOOKUP(($AJ81-$AI81-$AH81-$AG81-$AF81-$AE81*(1+CS$3))/$AJ81,'Технический лист'!$I:$J,2,1)-VLOOKUP($AO81,'Технический лист'!$I:$J,2,1)),1+(1-$AU81))</f>
        <v>1</v>
      </c>
      <c r="CT81" s="15">
        <f>MIN(IF($AU81=100%,1,1+VLOOKUP(($AJ81-$AI81-$AH81-$AG81-$AF81-$AE81*(1+CT$3))/$AJ81,'Технический лист'!$I:$J,2,1)-VLOOKUP($AO81,'Технический лист'!$I:$J,2,1)),1+(1-$AU81))</f>
        <v>1</v>
      </c>
      <c r="CU81" s="15">
        <f>MIN(IF($AU81=100%,1,1+VLOOKUP(($AJ81-$AI81-$AH81-$AG81-$AF81-$AE81*(1+CU$3))/$AJ81,'Технический лист'!$I:$J,2,1)-VLOOKUP($AO81,'Технический лист'!$I:$J,2,1)),1+(1-$AU81))</f>
        <v>1</v>
      </c>
      <c r="CV81" s="15">
        <f>MIN(IF($AU81=100%,1,1+VLOOKUP(($AJ81-$AI81-$AH81-$AG81-$AF81-$AE81*(1+CV$3))/$AJ81,'Технический лист'!$I:$J,2,1)-VLOOKUP($AO81,'Технический лист'!$I:$J,2,1)),1+(1-$AU81))</f>
        <v>1</v>
      </c>
      <c r="CW81" s="15">
        <f>MIN(IF($AU81=100%,1,1+VLOOKUP(($AJ81-$AI81-$AH81-$AG81-$AF81-$AE81*(1+CW$3))/$AJ81,'Технический лист'!$I:$J,2,1)-VLOOKUP($AO81,'Технический лист'!$I:$J,2,1)),1+(1-$AU81))</f>
        <v>1</v>
      </c>
      <c r="CX81" s="15">
        <f>MIN(IF($AU81=100%,1,1+VLOOKUP(($AJ81-$AI81-$AH81-$AG81-$AF81-$AE81*(1+CX$3))/$AJ81,'Технический лист'!$I:$J,2,1)-VLOOKUP($AO81,'Технический лист'!$I:$J,2,1)),1+(1-$AU81))</f>
        <v>1</v>
      </c>
      <c r="CY81" s="15">
        <f>MIN(IF($AU81=100%,1,1+VLOOKUP(($AJ81-$AI81-$AH81-$AG81-$AF81-$AE81*(1+CY$3))/$AJ81,'Технический лист'!$I:$J,2,1)-VLOOKUP($AO81,'Технический лист'!$I:$J,2,1)),1+(1-$AU81))</f>
        <v>1</v>
      </c>
      <c r="CZ81" s="15">
        <f>MIN(IF($AU81=100%,1,1+VLOOKUP(($AJ81-$AI81-$AH81-$AG81-$AF81-$AE81*(1+CZ$3))/$AJ81,'Технический лист'!$I:$J,2,1)-VLOOKUP($AO81,'Технический лист'!$I:$J,2,1)),1+(1-$AU81))</f>
        <v>1</v>
      </c>
      <c r="DA81" s="15">
        <f>MIN(IF($AU81=100%,1,1+VLOOKUP(($AJ81-$AI81-$AH81-$AG81-$AF81-$AE81*(1+DA$3))/$AJ81,'Технический лист'!$I:$J,2,1)-VLOOKUP($AO81,'Технический лист'!$I:$J,2,1)),1+(1-$AU81))</f>
        <v>1</v>
      </c>
      <c r="DB81" s="15">
        <f>MIN(IF($AU81=100%,1,1+VLOOKUP(($AJ81-$AI81-$AH81-$AG81-$AF81-$AE81*(1+DB$3))/$AJ81,'Технический лист'!$I:$J,2,1)-VLOOKUP($AO81,'Технический лист'!$I:$J,2,1)),1+(1-$AU81))</f>
        <v>1</v>
      </c>
      <c r="DC81" s="15">
        <f>MIN(IF($AU81=100%,1,1+VLOOKUP(($AJ81-$AI81-$AH81-$AG81-$AF81-$AE81*(1+DC$3))/$AJ81,'Технический лист'!$I:$J,2,1)-VLOOKUP($AO81,'Технический лист'!$I:$J,2,1)),1+(1-$AU81))</f>
        <v>1</v>
      </c>
      <c r="DD81" s="15">
        <f>MIN(IF($AU81=100%,1,1+VLOOKUP(($AJ81-$AI81-$AH81-$AG81-$AF81-$AE81*(1+DD$3))/$AJ81,'Технический лист'!$I:$J,2,1)-VLOOKUP($AO81,'Технический лист'!$I:$J,2,1)),1+(1-$AU81))</f>
        <v>1</v>
      </c>
      <c r="DE81" s="15">
        <f>MIN(IF($AU81=100%,1,1+VLOOKUP(($AJ81-$AI81-$AH81-$AG81-$AF81-$AE81*(1+DE$3))/$AJ81,'Технический лист'!$I:$J,2,1)-VLOOKUP($AO81,'Технический лист'!$I:$J,2,1)),1+(1-$AU81))</f>
        <v>1</v>
      </c>
      <c r="DF81" s="15">
        <f>MIN(IF($AU81=100%,1,1+VLOOKUP(($AJ81-$AI81-$AH81-$AG81-$AF81-$AE81*(1+DF$3))/$AJ81,'Технический лист'!$I:$J,2,1)-VLOOKUP($AO81,'Технический лист'!$I:$J,2,1)),1+(1-$AU81))</f>
        <v>1</v>
      </c>
      <c r="DG81" s="15">
        <f>MIN(IF($AU81=100%,1,1+VLOOKUP(($AJ81-$AI81-$AH81-$AG81-$AF81-$AE81*(1+DG$3))/$AJ81,'Технический лист'!$I:$J,2,1)-VLOOKUP($AO81,'Технический лист'!$I:$J,2,1)),1+(1-$AU81))</f>
        <v>1</v>
      </c>
      <c r="DH81" s="15">
        <f>MIN(IF($AU81=100%,1,1+VLOOKUP(($AJ81-$AI81-$AH81-$AG81-$AF81-$AE81*(1+DH$3))/$AJ81,'Технический лист'!$I:$J,2,1)-VLOOKUP($AO81,'Технический лист'!$I:$J,2,1)),1+(1-$AU81))</f>
        <v>1</v>
      </c>
      <c r="DI81" s="15">
        <f>MIN(IF($AU81=100%,1,1+VLOOKUP(($AJ81-$AI81-$AH81-$AG81-$AF81-$AE81*(1+DI$3))/$AJ81,'Технический лист'!$I:$J,2,1)-VLOOKUP($AO81,'Технический лист'!$I:$J,2,1)),1+(1-$AU81))</f>
        <v>1</v>
      </c>
      <c r="DJ81" s="15">
        <f>MIN(IF($AU81=100%,1,1+VLOOKUP(($AJ81-$AI81-$AH81-$AG81-$AF81-$AE81*(1+DJ$3))/$AJ81,'Технический лист'!$I:$J,2,1)-VLOOKUP($AO81,'Технический лист'!$I:$J,2,1)),1+(1-$AU81))</f>
        <v>1</v>
      </c>
      <c r="DK81" s="15">
        <f>MIN(IF($AU81=100%,1,1+VLOOKUP(($AJ81-$AI81-$AH81-$AG81-$AF81-$AE81*(1+DK$3))/$AJ81,'Технический лист'!$I:$J,2,1)-VLOOKUP($AO81,'Технический лист'!$I:$J,2,1)),1+(1-$AU81))</f>
        <v>1</v>
      </c>
      <c r="DL81" s="15">
        <f>MIN(IF($AU81=100%,1,1+VLOOKUP(($AJ81-$AI81-$AH81-$AG81-$AF81-$AE81*(1+DL$3))/$AJ81,'Технический лист'!$I:$J,2,1)-VLOOKUP($AO81,'Технический лист'!$I:$J,2,1)),1+(1-$AU81))</f>
        <v>1</v>
      </c>
      <c r="DM81" s="15">
        <f>MIN(IF($AU81=100%,1,1+VLOOKUP(($AJ81-$AI81-$AH81-$AG81-$AF81-$AE81*(1+DM$3))/$AJ81,'Технический лист'!$I:$J,2,1)-VLOOKUP($AO81,'Технический лист'!$I:$J,2,1)),1+(1-$AU81))</f>
        <v>1</v>
      </c>
      <c r="DN81" s="15">
        <f>MIN(IF($AU81=100%,1,1+VLOOKUP(($AJ81-$AI81-$AH81-$AG81-$AF81-$AE81*(1+DN$3))/$AJ81,'Технический лист'!$I:$J,2,1)-VLOOKUP($AO81,'Технический лист'!$I:$J,2,1)),1+(1-$AU81))</f>
        <v>1</v>
      </c>
      <c r="DO81" s="15">
        <f>MIN(IF($AU81=100%,1,1+VLOOKUP(($AJ81-$AI81-$AH81-$AG81-$AF81-$AE81*(1+DO$3))/$AJ81,'Технический лист'!$I:$J,2,1)-VLOOKUP($AO81,'Технический лист'!$I:$J,2,1)),1+(1-$AU81))</f>
        <v>1</v>
      </c>
      <c r="DP81" s="15">
        <f>MIN(IF($AU81=100%,1,1+VLOOKUP(($AJ81-$AI81-$AH81-$AG81-$AF81-$AE81*(1+DP$3))/$AJ81,'Технический лист'!$I:$J,2,1)-VLOOKUP($AO81,'Технический лист'!$I:$J,2,1)),1+(1-$AU81))</f>
        <v>1</v>
      </c>
      <c r="DQ81" s="15">
        <f>MIN(IF($AU81=100%,1,1+VLOOKUP(($AJ81-$AI81-$AH81-$AG81-$AF81-$AE81*(1+DQ$3))/$AJ81,'Технический лист'!$I:$J,2,1)-VLOOKUP($AO81,'Технический лист'!$I:$J,2,1)),1+(1-$AU81))</f>
        <v>1</v>
      </c>
      <c r="DR81" s="15">
        <f>MIN(IF($AU81=100%,1,1+VLOOKUP(($AJ81-$AI81-$AH81-$AG81-$AF81-$AE81*(1+DR$3))/$AJ81,'Технический лист'!$I:$J,2,1)-VLOOKUP($AO81,'Технический лист'!$I:$J,2,1)),1+(1-$AU81))</f>
        <v>1</v>
      </c>
      <c r="DS81" s="15">
        <f>MIN(IF($AU81=100%,1,1+VLOOKUP(($AJ81-$AI81-$AH81-$AG81-$AF81-$AE81*(1+DS$3))/$AJ81,'Технический лист'!$I:$J,2,1)-VLOOKUP($AO81,'Технический лист'!$I:$J,2,1)),1+(1-$AU81))</f>
        <v>1</v>
      </c>
      <c r="DT81" s="15">
        <f>MIN(IF($AU81=100%,1,1+VLOOKUP(($AJ81-$AI81-$AH81-$AG81-$AF81-$AE81*(1+DT$3))/$AJ81,'Технический лист'!$I:$J,2,1)-VLOOKUP($AO81,'Технический лист'!$I:$J,2,1)),1+(1-$AU81))</f>
        <v>1</v>
      </c>
      <c r="DU81" s="15">
        <f>MIN(IF($AU81=100%,1,1+VLOOKUP(($AJ81-$AI81-$AH81-$AG81-$AF81-$AE81*(1+DU$3))/$AJ81,'Технический лист'!$I:$J,2,1)-VLOOKUP($AO81,'Технический лист'!$I:$J,2,1)),1+(1-$AU81))</f>
        <v>1</v>
      </c>
      <c r="DV81" s="15">
        <f>MIN(IF($AU81=100%,1,1+VLOOKUP(($AJ81-$AI81-$AH81-$AG81-$AF81-$AE81*(1+DV$3))/$AJ81,'Технический лист'!$I:$J,2,1)-VLOOKUP($AO81,'Технический лист'!$I:$J,2,1)),1+(1-$AU81))</f>
        <v>1</v>
      </c>
      <c r="DW81" s="15">
        <f>MIN(IF($AU81=100%,1,1+VLOOKUP(($AJ81-$AI81-$AH81-$AG81-$AF81-$AE81*(1+DW$3))/$AJ81,'Технический лист'!$I:$J,2,1)-VLOOKUP($AO81,'Технический лист'!$I:$J,2,1)),1+(1-$AU81))</f>
        <v>1</v>
      </c>
      <c r="DX81" s="15">
        <f>MIN(IF($AU81=100%,1,1+VLOOKUP(($AJ81-$AI81-$AH81-$AG81-$AF81-$AE81*(1+DX$3))/$AJ81,'Технический лист'!$I:$J,2,1)-VLOOKUP($AO81,'Технический лист'!$I:$J,2,1)),1+(1-$AU81))</f>
        <v>1</v>
      </c>
      <c r="DY81" s="15">
        <f>MIN(IF($AU81=100%,1,1+VLOOKUP(($AJ81-$AI81-$AH81-$AG81-$AF81-$AE81*(1+DY$3))/$AJ81,'Технический лист'!$I:$J,2,1)-VLOOKUP($AO81,'Технический лист'!$I:$J,2,1)),1+(1-$AU81))</f>
        <v>1</v>
      </c>
      <c r="DZ81" s="15">
        <f>MIN(IF($AU81=100%,1,1+VLOOKUP(($AJ81-$AI81-$AH81-$AG81-$AF81-$AE81*(1+DZ$3))/$AJ81,'Технический лист'!$I:$J,2,1)-VLOOKUP($AO81,'Технический лист'!$I:$J,2,1)),1+(1-$AU81))</f>
        <v>1</v>
      </c>
      <c r="EA81" s="15">
        <f>MIN(IF($AU81=100%,1,1+VLOOKUP(($AJ81-$AI81-$AH81-$AG81-$AF81-$AE81*(1+EA$3))/$AJ81,'Технический лист'!$I:$J,2,1)-VLOOKUP($AO81,'Технический лист'!$I:$J,2,1)),1+(1-$AU81))</f>
        <v>1</v>
      </c>
      <c r="EB81" s="15">
        <f>MIN(IF($AU81=100%,1,1+VLOOKUP(($AJ81-$AI81-$AH81-$AG81-$AF81-$AE81*(1+EB$3))/$AJ81,'Технический лист'!$I:$J,2,1)-VLOOKUP($AO81,'Технический лист'!$I:$J,2,1)),1+(1-$AU81))</f>
        <v>1</v>
      </c>
      <c r="EC81" s="15">
        <f>MIN(IF($AU81=100%,1,1+VLOOKUP(($AJ81-$AI81-$AH81-$AG81-$AF81-$AE81*(1+EC$3))/$AJ81,'Технический лист'!$I:$J,2,1)-VLOOKUP($AO81,'Технический лист'!$I:$J,2,1)),1+(1-$AU81))</f>
        <v>1</v>
      </c>
      <c r="ED81" s="15">
        <f>MIN(IF($AU81=100%,1,1+VLOOKUP(($AJ81-$AI81-$AH81-$AG81-$AF81-$AE81*(1+ED$3))/$AJ81,'Технический лист'!$I:$J,2,1)-VLOOKUP($AO81,'Технический лист'!$I:$J,2,1)),1+(1-$AU81))</f>
        <v>1</v>
      </c>
      <c r="EE81" s="15">
        <f>MIN(IF($AU81=100%,1,1+VLOOKUP(($AJ81-$AI81-$AH81-$AG81-$AF81-$AE81*(1+EE$3))/$AJ81,'Технический лист'!$I:$J,2,1)-VLOOKUP($AO81,'Технический лист'!$I:$J,2,1)),1+(1-$AU81))</f>
        <v>1</v>
      </c>
      <c r="EF81" s="15">
        <f>MIN(IF($AU81=100%,1,1+VLOOKUP(($AJ81-$AI81-$AH81-$AG81-$AF81-$AE81*(1+EF$3))/$AJ81,'Технический лист'!$I:$J,2,1)-VLOOKUP($AO81,'Технический лист'!$I:$J,2,1)),1+(1-$AU81))</f>
        <v>1</v>
      </c>
      <c r="EG81" s="15">
        <f>MIN(IF($AU81=100%,1,1+VLOOKUP(($AJ81-$AI81-$AH81-$AG81-$AF81-$AE81*(1+EG$3))/$AJ81,'Технический лист'!$I:$J,2,1)-VLOOKUP($AO81,'Технический лист'!$I:$J,2,1)),1+(1-$AU81))</f>
        <v>1</v>
      </c>
      <c r="EH81" s="15">
        <f>MIN(IF($AU81=100%,1,1+VLOOKUP(($AJ81-$AI81-$AH81-$AG81-$AF81-$AE81*(1+EH$3))/$AJ81,'Технический лист'!$I:$J,2,1)-VLOOKUP($AO81,'Технический лист'!$I:$J,2,1)),1+(1-$AU81))</f>
        <v>1</v>
      </c>
      <c r="EI81" s="15">
        <f>MIN(IF($AU81=100%,1,1+VLOOKUP(($AJ81-$AI81-$AH81-$AG81-$AF81-$AE81*(1+EI$3))/$AJ81,'Технический лист'!$I:$J,2,1)-VLOOKUP($AO81,'Технический лист'!$I:$J,2,1)),1+(1-$AU81))</f>
        <v>1</v>
      </c>
      <c r="EJ81" s="15">
        <f>MIN(IF($AU81=100%,1,1+VLOOKUP(($AJ81-$AI81-$AH81-$AG81-$AF81-$AE81*(1+EJ$3))/$AJ81,'Технический лист'!$I:$J,2,1)-VLOOKUP($AO81,'Технический лист'!$I:$J,2,1)),1+(1-$AU81))</f>
        <v>1</v>
      </c>
      <c r="EK81" s="15">
        <f>MIN(IF($AU81=100%,1,1+VLOOKUP(($AJ81-$AI81-$AH81-$AG81-$AF81-$AE81*(1+EK$3))/$AJ81,'Технический лист'!$I:$J,2,1)-VLOOKUP($AO81,'Технический лист'!$I:$J,2,1)),1+(1-$AU81))</f>
        <v>1</v>
      </c>
      <c r="EL81" s="15">
        <f>MIN(IF($AU81=100%,1,1+VLOOKUP(($AJ81-$AI81-$AH81-$AG81-$AF81-$AE81*(1+EL$3))/$AJ81,'Технический лист'!$I:$J,2,1)-VLOOKUP($AO81,'Технический лист'!$I:$J,2,1)),1+(1-$AU81))</f>
        <v>1</v>
      </c>
      <c r="EM81" s="15">
        <f>MIN(IF($AU81=100%,1,1+VLOOKUP(($AJ81-$AI81-$AH81-$AG81-$AF81-$AE81*(1+EM$3))/$AJ81,'Технический лист'!$I:$J,2,1)-VLOOKUP($AO81,'Технический лист'!$I:$J,2,1)),1+(1-$AU81))</f>
        <v>1</v>
      </c>
      <c r="EN81" s="15">
        <f>MIN(IF($AU81=100%,1,1+VLOOKUP(($AJ81-$AI81-$AH81-$AG81-$AF81-$AE81*(1+EN$3))/$AJ81,'Технический лист'!$I:$J,2,1)-VLOOKUP($AO81,'Технический лист'!$I:$J,2,1)),1+(1-$AU81))</f>
        <v>1</v>
      </c>
      <c r="EO81" s="15">
        <f>MIN(IF($AU81=100%,1,1+VLOOKUP(($AJ81-$AI81-$AH81-$AG81-$AF81-$AE81*(1+EO$3))/$AJ81,'Технический лист'!$I:$J,2,1)-VLOOKUP($AO81,'Технический лист'!$I:$J,2,1)),1+(1-$AU81))</f>
        <v>1</v>
      </c>
      <c r="EP81" s="15">
        <f>MIN(IF($AU81=100%,1,1+VLOOKUP(($AJ81-$AI81-$AH81-$AG81-$AF81-$AE81*(1+EP$3))/$AJ81,'Технический лист'!$I:$J,2,1)-VLOOKUP($AO81,'Технический лист'!$I:$J,2,1)),1+(1-$AU81))</f>
        <v>1</v>
      </c>
      <c r="EQ81" s="15">
        <f>MIN(IF($AU81=100%,1,1+VLOOKUP(($AJ81-$AI81-$AH81-$AG81-$AF81-$AE81*(1+EQ$3))/$AJ81,'Технический лист'!$I:$J,2,1)-VLOOKUP($AO81,'Технический лист'!$I:$J,2,1)),1+(1-$AU81))</f>
        <v>1</v>
      </c>
      <c r="ER81" s="15">
        <f>MIN(IF($AU81=100%,1,1+VLOOKUP(($AJ81-$AI81-$AH81-$AG81-$AF81-$AE81*(1+ER$3))/$AJ81,'Технический лист'!$I:$J,2,1)-VLOOKUP($AO81,'Технический лист'!$I:$J,2,1)),1+(1-$AU81))</f>
        <v>1</v>
      </c>
      <c r="ES81" s="15">
        <f>MIN(IF($AU81=100%,1,1+VLOOKUP(($AJ81-$AI81-$AH81-$AG81-$AF81-$AE81*(1+ES$3))/$AJ81,'Технический лист'!$I:$J,2,1)-VLOOKUP($AO81,'Технический лист'!$I:$J,2,1)),1+(1-$AU81))</f>
        <v>1</v>
      </c>
      <c r="ET81" s="15">
        <f>MIN(IF($AU81=100%,1,1+VLOOKUP(($AJ81-$AI81-$AH81-$AG81-$AF81-$AE81*(1+ET$3))/$AJ81,'Технический лист'!$I:$J,2,1)-VLOOKUP($AO81,'Технический лист'!$I:$J,2,1)),1+(1-$AU81))</f>
        <v>1</v>
      </c>
      <c r="EU81" s="15">
        <f>MIN(IF($AU81=100%,1,1+VLOOKUP(($AJ81-$AI81-$AH81-$AG81-$AF81-$AE81*(1+EU$3))/$AJ81,'Технический лист'!$I:$J,2,1)-VLOOKUP($AO81,'Технический лист'!$I:$J,2,1)),1+(1-$AU81))</f>
        <v>1</v>
      </c>
      <c r="EV81" s="111">
        <v>1</v>
      </c>
      <c r="EW81" s="15">
        <f>MIN(1,MAX(VLOOKUP(($AJ81-$AI81-$AH81-$AG81-$AF81-$AE81*(1+EW$3))/$AJ81,'Технический лист'!$A:$B,2,1),(EV81-0.05)))</f>
        <v>1</v>
      </c>
      <c r="EX81" s="15">
        <f>MIN(1,MAX(VLOOKUP(($AJ81-$AI81-$AH81-$AG81-$AF81-$AE81*(1+EX$3))/$AJ81,'Технический лист'!$A:$B,2,1),(EW81-0.05)))</f>
        <v>1</v>
      </c>
      <c r="EY81" s="15">
        <f>MIN(1,MAX(VLOOKUP(($AJ81-$AI81-$AH81-$AG81-$AF81-$AE81*(1+EY$3))/$AJ81,'Технический лист'!$A:$B,2,1),(EX81-0.05)))</f>
        <v>1</v>
      </c>
      <c r="EZ81" s="15">
        <f>MIN(1,MAX(VLOOKUP(($AJ81-$AI81-$AH81-$AG81-$AF81-$AE81*(1+EZ$3))/$AJ81,'Технический лист'!$A:$B,2,1),(EY81-0.05)))</f>
        <v>1</v>
      </c>
      <c r="FA81" s="15">
        <f>MIN(1,MAX(VLOOKUP(($AJ81-$AI81-$AH81-$AG81-$AF81-$AE81*(1+FA$3))/$AJ81,'Технический лист'!$A:$B,2,1),(EZ81-0.05)))</f>
        <v>1</v>
      </c>
      <c r="FB81" s="15">
        <f>MIN(1,MAX(VLOOKUP(($AJ81-$AI81-$AH81-$AG81-$AF81-$AE81*(1+FB$3))/$AJ81,'Технический лист'!$A:$B,2,1),(FA81-0.05)))</f>
        <v>1</v>
      </c>
      <c r="FC81" s="15">
        <f>MIN(1,MAX(VLOOKUP(($AJ81-$AI81-$AH81-$AG81-$AF81-$AE81*(1+FC$3))/$AJ81,'Технический лист'!$A:$B,2,1),(FB81-0.05)))</f>
        <v>1</v>
      </c>
      <c r="FD81" s="15">
        <f>MIN(1,MAX(VLOOKUP(($AJ81-$AI81-$AH81-$AG81-$AF81-$AE81*(1+FD$3))/$AJ81,'Технический лист'!$A:$B,2,1),(FC81-0.05)))</f>
        <v>1</v>
      </c>
      <c r="FE81" s="15">
        <f>MIN(1,MAX(VLOOKUP(($AJ81-$AI81-$AH81-$AG81-$AF81-$AE81*(1+FE$3))/$AJ81,'Технический лист'!$A:$B,2,1),(FD81-0.05)))</f>
        <v>1</v>
      </c>
      <c r="FF81" s="15">
        <f>MIN(1,MAX(VLOOKUP(($AJ81-$AI81-$AH81-$AG81-$AF81-$AE81*(1+FF$3))/$AJ81,'Технический лист'!$A:$B,2,1),(FE81-0.05)))</f>
        <v>1</v>
      </c>
      <c r="FG81" s="15">
        <f>MIN(1,MAX(VLOOKUP(($AJ81-$AI81-$AH81-$AG81-$AF81-$AE81*(1+FG$3))/$AJ81,'Технический лист'!$A:$B,2,1),(FF81-0.05)))</f>
        <v>1</v>
      </c>
      <c r="FH81" s="15">
        <f>MIN(1,MAX(VLOOKUP(($AJ81-$AI81-$AH81-$AG81-$AF81-$AE81*(1+FH$3))/$AJ81,'Технический лист'!$A:$B,2,1),(FG81-0.05)))</f>
        <v>1</v>
      </c>
      <c r="FI81" s="15">
        <f>MIN(1,MAX(VLOOKUP(($AJ81-$AI81-$AH81-$AG81-$AF81-$AE81*(1+FI$3))/$AJ81,'Технический лист'!$A:$B,2,1),(FH81-0.05)))</f>
        <v>1</v>
      </c>
      <c r="FJ81" s="15">
        <f>MIN(1,MAX(VLOOKUP(($AJ81-$AI81-$AH81-$AG81-$AF81-$AE81*(1+FJ$3))/$AJ81,'Технический лист'!$A:$B,2,1),(FI81-0.05)))</f>
        <v>1</v>
      </c>
      <c r="FK81" s="15">
        <f>MIN(1,MAX(VLOOKUP(($AJ81-$AI81-$AH81-$AG81-$AF81-$AE81*(1+FK$3))/$AJ81,'Технический лист'!$A:$B,2,1),(FJ81-0.05)))</f>
        <v>1</v>
      </c>
      <c r="FL81" s="15">
        <f>MIN(1,MAX(VLOOKUP(($AJ81-$AI81-$AH81-$AG81-$AF81-$AE81*(1+FL$3))/$AJ81,'Технический лист'!$A:$B,2,1),(FK81-0.05)))</f>
        <v>1</v>
      </c>
      <c r="FM81" s="15">
        <f>MIN(1,MAX(VLOOKUP(($AJ81-$AI81-$AH81-$AG81-$AF81-$AE81*(1+FM$3))/$AJ81,'Технический лист'!$A:$B,2,1),(FL81-0.05)))</f>
        <v>1</v>
      </c>
      <c r="FN81" s="15">
        <f>MIN(1,MAX(VLOOKUP(($AJ81-$AI81-$AH81-$AG81-$AF81-$AE81*(1+FN$3))/$AJ81,'Технический лист'!$A:$B,2,1),(FM81-0.05)))</f>
        <v>1</v>
      </c>
      <c r="FO81" s="15">
        <f>MIN(1,MAX(VLOOKUP(($AJ81-$AI81-$AH81-$AG81-$AF81-$AE81*(1+FO$3))/$AJ81,'Технический лист'!$A:$B,2,1),(FN81-0.05)))</f>
        <v>1</v>
      </c>
      <c r="FP81" s="15">
        <f>MIN(1,MAX(VLOOKUP(($AJ81-$AI81-$AH81-$AG81-$AF81-$AE81*(1+FP$3))/$AJ81,'Технический лист'!$A:$B,2,1),(FO81-0.05)))</f>
        <v>1</v>
      </c>
      <c r="FQ81" s="15">
        <f>MIN(1,MAX(VLOOKUP(($AJ81-$AI81-$AH81-$AG81-$AF81-$AE81*(1+FQ$3))/$AJ81,'Технический лист'!$A:$B,2,1),(FP81-0.05)))</f>
        <v>1</v>
      </c>
      <c r="FR81" s="15">
        <f>MIN(1,MAX(VLOOKUP(($AJ81-$AI81-$AH81-$AG81-$AF81-$AE81*(1+FR$3))/$AJ81,'Технический лист'!$A:$B,2,1),(FQ81-0.05)))</f>
        <v>1</v>
      </c>
      <c r="FS81" s="15">
        <f>MIN(1,MAX(VLOOKUP(($AJ81-$AI81-$AH81-$AG81-$AF81-$AE81*(1+FS$3))/$AJ81,'Технический лист'!$A:$B,2,1),(FR81-0.05)))</f>
        <v>1</v>
      </c>
      <c r="FT81" s="15">
        <f>MIN(1,MAX(VLOOKUP(($AJ81-$AI81-$AH81-$AG81-$AF81-$AE81*(1+FT$3))/$AJ81,'Технический лист'!$A:$B,2,1),(FS81-0.05)))</f>
        <v>1</v>
      </c>
      <c r="FU81" s="15">
        <f>MIN(1,MAX(VLOOKUP(($AJ81-$AI81-$AH81-$AG81-$AF81-$AE81*(1+FU$3))/$AJ81,'Технический лист'!$A:$B,2,1),(FT81-0.05)))</f>
        <v>1</v>
      </c>
      <c r="FV81" s="15">
        <f>MIN(1,MAX(VLOOKUP(($AJ81-$AI81-$AH81-$AG81-$AF81-$AE81*(1+FV$3))/$AJ81,'Технический лист'!$A:$B,2,1),(FU81-0.05)))</f>
        <v>1</v>
      </c>
      <c r="FW81" s="15">
        <f>MIN(1,MAX(VLOOKUP(($AJ81-$AI81-$AH81-$AG81-$AF81-$AE81*(1+FW$3))/$AJ81,'Технический лист'!$A:$B,2,1),(FV81-0.05)))</f>
        <v>1</v>
      </c>
      <c r="FX81" s="15">
        <f>MIN(1,MAX(VLOOKUP(($AJ81-$AI81-$AH81-$AG81-$AF81-$AE81*(1+FX$3))/$AJ81,'Технический лист'!$A:$B,2,1),(FW81-0.05)))</f>
        <v>1</v>
      </c>
      <c r="FY81" s="15">
        <f>MIN(1,MAX(VLOOKUP(($AJ81-$AI81-$AH81-$AG81-$AF81-$AE81*(1+FY$3))/$AJ81,'Технический лист'!$A:$B,2,1),(FX81-0.05)))</f>
        <v>1</v>
      </c>
      <c r="FZ81" s="15">
        <f>MIN(1,MAX(VLOOKUP(($AJ81-$AI81-$AH81-$AG81-$AF81-$AE81*(1+FZ$3))/$AJ81,'Технический лист'!$A:$B,2,1),(FY81-0.05)))</f>
        <v>1</v>
      </c>
      <c r="GA81" s="15">
        <f>MIN(1,MAX(VLOOKUP(($AJ81-$AI81-$AH81-$AG81-$AF81-$AE81*(1+GA$3))/$AJ81,'Технический лист'!$A:$B,2,1),(FZ81-0.05)))</f>
        <v>1</v>
      </c>
      <c r="GB81" s="15">
        <f>MIN(1,MAX(VLOOKUP(($AJ81-$AI81-$AH81-$AG81-$AF81-$AE81*(1+GB$3))/$AJ81,'Технический лист'!$A:$B,2,1),(GA81-0.05)))</f>
        <v>1</v>
      </c>
      <c r="GC81" s="15">
        <f>MIN(1,MAX(VLOOKUP(($AJ81-$AI81-$AH81-$AG81-$AF81-$AE81*(1+GC$3))/$AJ81,'Технический лист'!$A:$B,2,1),(GB81-0.05)))</f>
        <v>1</v>
      </c>
      <c r="GD81" s="15">
        <f>MIN(1,MAX(VLOOKUP(($AJ81-$AI81-$AH81-$AG81-$AF81-$AE81*(1+GD$3))/$AJ81,'Технический лист'!$A:$B,2,1),(GC81-0.05)))</f>
        <v>1</v>
      </c>
      <c r="GE81" s="15">
        <f>MIN(1,MAX(VLOOKUP(($AJ81-$AI81-$AH81-$AG81-$AF81-$AE81*(1+GE$3))/$AJ81,'Технический лист'!$A:$B,2,1),(GD81-0.05)))</f>
        <v>1</v>
      </c>
      <c r="GF81" s="15">
        <f>MIN(1,MAX(VLOOKUP(($AJ81-$AI81-$AH81-$AG81-$AF81-$AE81*(1+GF$3))/$AJ81,'Технический лист'!$A:$B,2,1),(GE81-0.05)))</f>
        <v>1</v>
      </c>
      <c r="GG81" s="15">
        <f>MIN(1,MAX(VLOOKUP(($AJ81-$AI81-$AH81-$AG81-$AF81-$AE81*(1+GG$3))/$AJ81,'Технический лист'!$A:$B,2,1),(GF81-0.05)))</f>
        <v>1</v>
      </c>
      <c r="GH81" s="15">
        <f>MIN(1,MAX(VLOOKUP(($AJ81-$AI81-$AH81-$AG81-$AF81-$AE81*(1+GH$3))/$AJ81,'Технический лист'!$A:$B,2,1),(GG81-0.05)))</f>
        <v>1</v>
      </c>
      <c r="GI81" s="15">
        <f>MIN(1,MAX(VLOOKUP(($AJ81-$AI81-$AH81-$AG81-$AF81-$AE81*(1+GI$3))/$AJ81,'Технический лист'!$A:$B,2,1),(GH81-0.05)))</f>
        <v>1</v>
      </c>
      <c r="GJ81" s="15">
        <f>MIN(1,MAX(VLOOKUP(($AJ81-$AI81-$AH81-$AG81-$AF81-$AE81*(1+GJ$3))/$AJ81,'Технический лист'!$A:$B,2,1),(GI81-0.05)))</f>
        <v>1</v>
      </c>
      <c r="GK81" s="15">
        <f>MIN(1,MAX(VLOOKUP(($AJ81-$AI81-$AH81-$AG81-$AF81-$AE81*(1+GK$3))/$AJ81,'Технический лист'!$A:$B,2,1),(GJ81-0.05)))</f>
        <v>1</v>
      </c>
      <c r="GL81" s="15">
        <f>MIN(1,MAX(VLOOKUP(($AJ81-$AI81-$AH81-$AG81-$AF81-$AE81*(1+GL$3))/$AJ81,'Технический лист'!$A:$B,2,1),(GK81-0.05)))</f>
        <v>1</v>
      </c>
      <c r="GM81" s="15">
        <f>MIN(1,MAX(VLOOKUP(($AJ81-$AI81-$AH81-$AG81-$AF81-$AE81*(1+GM$3))/$AJ81,'Технический лист'!$A:$B,2,1),(GL81-0.05)))</f>
        <v>1</v>
      </c>
      <c r="GN81" s="15">
        <f>MIN(1,MAX(VLOOKUP(($AJ81-$AI81-$AH81-$AG81-$AF81-$AE81*(1+GN$3))/$AJ81,'Технический лист'!$A:$B,2,1),(GM81-0.05)))</f>
        <v>1</v>
      </c>
      <c r="GO81" s="15">
        <f>MIN(1,MAX(VLOOKUP(($AJ81-$AI81-$AH81-$AG81-$AF81-$AE81*(1+GO$3))/$AJ81,'Технический лист'!$A:$B,2,1),(GN81-0.05)))</f>
        <v>1</v>
      </c>
      <c r="GP81" s="15">
        <f>MIN(1,MAX(VLOOKUP(($AJ81-$AI81-$AH81-$AG81-$AF81-$AE81*(1+GP$3))/$AJ81,'Технический лист'!$A:$B,2,1),(GO81-0.05)))</f>
        <v>1</v>
      </c>
      <c r="GQ81" s="15">
        <f>MIN(1,MAX(VLOOKUP(($AJ81-$AI81-$AH81-$AG81-$AF81-$AE81*(1+GQ$3))/$AJ81,'Технический лист'!$A:$B,2,1),(GP81-0.05)))</f>
        <v>1</v>
      </c>
      <c r="GR81" s="15">
        <f>MIN(1,MAX(VLOOKUP(($AJ81-$AI81-$AH81-$AG81-$AF81-$AE81*(1+GR$3))/$AJ81,'Технический лист'!$A:$B,2,1),(GQ81-0.05)))</f>
        <v>1</v>
      </c>
      <c r="GS81" s="15">
        <f>MIN(1,MAX(VLOOKUP(($AJ81-$AI81-$AH81-$AG81-$AF81-$AE81*(1+GS$3))/$AJ81,'Технический лист'!$A:$B,2,1),(GR81-0.05)))</f>
        <v>1</v>
      </c>
      <c r="GT81" s="15">
        <f>MIN(1,MAX(VLOOKUP(($AJ81-$AI81-$AH81-$AG81-$AF81-$AE81*(1+GT$3))/$AJ81,'Технический лист'!$A:$B,2,1),(GS81-0.05)))</f>
        <v>1</v>
      </c>
      <c r="GU81" s="15">
        <f>MIN(1,MAX(VLOOKUP(($AJ81-$AI81-$AH81-$AG81-$AF81-$AE81*(1+GU$3))/$AJ81,'Технический лист'!$A:$B,2,1),(GT81-0.05)))</f>
        <v>1</v>
      </c>
      <c r="GV81" s="15">
        <f>MIN(1,MAX(VLOOKUP(($AJ81-$AI81-$AH81-$AG81-$AF81-$AE81*(1+GV$3))/$AJ81,'Технический лист'!$A:$B,2,1),(GU81-0.05)))</f>
        <v>1</v>
      </c>
      <c r="GW81" s="15">
        <f>MIN(1,MAX(VLOOKUP(($AJ81-$AI81-$AH81-$AG81-$AF81-$AE81*(1+GW$3))/$AJ81,'Технический лист'!$A:$B,2,1),(GV81-0.05)))</f>
        <v>1</v>
      </c>
      <c r="GX81" s="15">
        <f>MIN(1,MAX(VLOOKUP(($AJ81-$AI81-$AH81-$AG81-$AF81-$AE81*(1+GX$3))/$AJ81,'Технический лист'!$A:$B,2,1),(GW81-0.05)))</f>
        <v>1</v>
      </c>
      <c r="GY81" s="15">
        <f>MIN(1,MAX(VLOOKUP(($AJ81-$AI81-$AH81-$AG81-$AF81-$AE81*(1+GY$3))/$AJ81,'Технический лист'!$A:$B,2,1),(GX81-0.05)))</f>
        <v>1</v>
      </c>
      <c r="GZ81" s="15">
        <f>MIN(1,MAX(VLOOKUP(($AJ81-$AI81-$AH81-$AG81-$AF81-$AE81*(1+GZ$3))/$AJ81,'Технический лист'!$A:$B,2,1),(GY81-0.05)))</f>
        <v>1</v>
      </c>
      <c r="HA81" s="15">
        <f>MIN(1,MAX(VLOOKUP(($AJ81-$AI81-$AH81-$AG81-$AF81-$AE81*(1+HA$3))/$AJ81,'Технический лист'!$A:$B,2,1),(GZ81-0.05)))</f>
        <v>1</v>
      </c>
      <c r="HB81" s="15">
        <f>MIN(1,MAX(VLOOKUP(($AJ81-$AI81-$AH81-$AG81-$AF81-$AE81*(1+HB$3))/$AJ81,'Технический лист'!$A:$B,2,1),(HA81-0.05)))</f>
        <v>1</v>
      </c>
      <c r="HC81" s="15">
        <f>MIN(1,MAX(VLOOKUP(($AJ81-$AI81-$AH81-$AG81-$AF81-$AE81*(1+HC$3))/$AJ81,'Технический лист'!$A:$B,2,1),(HB81-0.05)))</f>
        <v>1</v>
      </c>
      <c r="HD81" s="15">
        <f>MIN(1,MAX(VLOOKUP(($AJ81-$AI81-$AH81-$AG81-$AF81-$AE81*(1+HD$3))/$AJ81,'Технический лист'!$A:$B,2,1),(HC81-0.05)))</f>
        <v>1</v>
      </c>
      <c r="HE81" s="15">
        <f>MIN(1,MAX(VLOOKUP(($AJ81-$AI81-$AH81-$AG81-$AF81-$AE81*(1+HE$3))/$AJ81,'Технический лист'!$A:$B,2,1),(HD81-0.05)))</f>
        <v>1</v>
      </c>
      <c r="HF81" s="15">
        <f>MIN(1,MAX(VLOOKUP(($AJ81-$AI81-$AH81-$AG81-$AF81-$AE81*(1+HF$3))/$AJ81,'Технический лист'!$A:$B,2,1),(HE81-0.05)))</f>
        <v>1</v>
      </c>
      <c r="HG81" s="15">
        <f>MIN(1,MAX(VLOOKUP(($AJ81-$AI81-$AH81-$AG81-$AF81-$AE81*(1+HG$3))/$AJ81,'Технический лист'!$A:$B,2,1),(HF81-0.05)))</f>
        <v>1</v>
      </c>
      <c r="HH81" s="15">
        <f>MIN(1,MAX(VLOOKUP(($AJ81-$AI81-$AH81-$AG81-$AF81-$AE81*(1+HH$3))/$AJ81,'Технический лист'!$A:$B,2,1),(HG81-0.05)))</f>
        <v>1</v>
      </c>
      <c r="HI81" s="15">
        <f>MIN(1,MAX(VLOOKUP(($AJ81-$AI81-$AH81-$AG81-$AF81-$AE81*(1+HI$3))/$AJ81,'Технический лист'!$A:$B,2,1),(HH81-0.05)))</f>
        <v>1</v>
      </c>
      <c r="HJ81" s="15">
        <f>MIN(1,MAX(VLOOKUP(($AJ81-$AI81-$AH81-$AG81-$AF81-$AE81*(1+HJ$3))/$AJ81,'Технический лист'!$A:$B,2,1),(HI81-0.05)))</f>
        <v>1</v>
      </c>
      <c r="HK81" s="15">
        <f>MIN(1,MAX(VLOOKUP(($AJ81-$AI81-$AH81-$AG81-$AF81-$AE81*(1+HK$3))/$AJ81,'Технический лист'!$A:$B,2,1),(HJ81-0.05)))</f>
        <v>1</v>
      </c>
      <c r="HL81" s="15">
        <f>MIN(1,MAX(VLOOKUP(($AJ81-$AI81-$AH81-$AG81-$AF81-$AE81*(1+HL$3))/$AJ81,'Технический лист'!$A:$B,2,1),(HK81-0.05)))</f>
        <v>1</v>
      </c>
      <c r="HM81" s="15">
        <f>MIN(1,MAX(VLOOKUP(($AJ81-$AI81-$AH81-$AG81-$AF81-$AE81*(1+HM$3))/$AJ81,'Технический лист'!$A:$B,2,1),(HL81-0.05)))</f>
        <v>1</v>
      </c>
      <c r="HN81" s="15">
        <f>MIN(1,MAX(VLOOKUP(($AJ81-$AI81-$AH81-$AG81-$AF81-$AE81*(1+HN$3))/$AJ81,'Технический лист'!$A:$B,2,1),(HM81-0.05)))</f>
        <v>1</v>
      </c>
      <c r="HO81" s="15">
        <f>MIN(1,MAX(VLOOKUP(($AJ81-$AI81-$AH81-$AG81-$AF81-$AE81*(1+HO$3))/$AJ81,'Технический лист'!$A:$B,2,1),(HN81-0.05)))</f>
        <v>1</v>
      </c>
      <c r="HP81" s="15">
        <f>MIN(1,MAX(VLOOKUP(($AJ81-$AI81-$AH81-$AG81-$AF81-$AE81*(1+HP$3))/$AJ81,'Технический лист'!$A:$B,2,1),(HO81-0.05)))</f>
        <v>1</v>
      </c>
      <c r="HQ81" s="15">
        <f>MIN(1,MAX(VLOOKUP(($AJ81-$AI81-$AH81-$AG81-$AF81-$AE81*(1+HQ$3))/$AJ81,'Технический лист'!$A:$B,2,1),(HP81-0.05)))</f>
        <v>1</v>
      </c>
      <c r="HR81" s="15">
        <f>MIN(1,MAX(VLOOKUP(($AJ81-$AI81-$AH81-$AG81-$AF81-$AE81*(1+HR$3))/$AJ81,'Технический лист'!$A:$B,2,1),(HQ81-0.05)))</f>
        <v>1</v>
      </c>
      <c r="HS81" s="15">
        <f>MIN(1,MAX(VLOOKUP(($AJ81-$AI81-$AH81-$AG81-$AF81-$AE81*(1+HS$3))/$AJ81,'Технический лист'!$A:$B,2,1),(HR81-0.05)))</f>
        <v>1</v>
      </c>
      <c r="HT81" s="15">
        <f>MIN(1,MAX(VLOOKUP(($AJ81-$AI81-$AH81-$AG81-$AF81-$AE81*(1+HT$3))/$AJ81,'Технический лист'!$A:$B,2,1),(HS81-0.05)))</f>
        <v>1</v>
      </c>
      <c r="HU81" s="15">
        <f>MIN(1,MAX(VLOOKUP(($AJ81-$AI81-$AH81-$AG81-$AF81-$AE81*(1+HU$3))/$AJ81,'Технический лист'!$A:$B,2,1),(HT81-0.05)))</f>
        <v>1</v>
      </c>
      <c r="HV81" s="15">
        <f>MIN(1,MAX(VLOOKUP(($AJ81-$AI81-$AH81-$AG81-$AF81-$AE81*(1+HV$3))/$AJ81,'Технический лист'!$A:$B,2,1),(HU81-0.05)))</f>
        <v>1</v>
      </c>
      <c r="HW81" s="15">
        <f>MIN(1,MAX(VLOOKUP(($AJ81-$AI81-$AH81-$AG81-$AF81-$AE81*(1+HW$3))/$AJ81,'Технический лист'!$A:$B,2,1),(HV81-0.05)))</f>
        <v>1</v>
      </c>
      <c r="HX81" s="15">
        <f>MIN(1,MAX(VLOOKUP(($AJ81-$AI81-$AH81-$AG81-$AF81-$AE81*(1+HX$3))/$AJ81,'Технический лист'!$A:$B,2,1),(HW81-0.05)))</f>
        <v>1</v>
      </c>
      <c r="HY81" s="15">
        <f>MIN(1,MAX(VLOOKUP(($AJ81-$AI81-$AH81-$AG81-$AF81-$AE81*(1+HY$3))/$AJ81,'Технический лист'!$A:$B,2,1),(HX81-0.05)))</f>
        <v>1</v>
      </c>
      <c r="HZ81" s="15">
        <f>MIN(1,MAX(VLOOKUP(($AJ81-$AI81-$AH81-$AG81-$AF81-$AE81*(1+HZ$3))/$AJ81,'Технический лист'!$A:$B,2,1),(HY81-0.05)))</f>
        <v>1</v>
      </c>
      <c r="IA81" s="15">
        <f>MIN(1,MAX(VLOOKUP(($AJ81-$AI81-$AH81-$AG81-$AF81-$AE81*(1+IA$3))/$AJ81,'Технический лист'!$A:$B,2,1),(HZ81-0.05)))</f>
        <v>1</v>
      </c>
      <c r="IB81" s="15">
        <f>MIN(1,MAX(VLOOKUP(($AJ81-$AI81-$AH81-$AG81-$AF81-$AE81*(1+IB$3))/$AJ81,'Технический лист'!$A:$B,2,1),(IA81-0.05)))</f>
        <v>1</v>
      </c>
      <c r="IC81" s="15">
        <f>MIN(1,MAX(VLOOKUP(($AJ81-$AI81-$AH81-$AG81-$AF81-$AE81*(1+IC$3))/$AJ81,'Технический лист'!$A:$B,2,1),(IB81-0.05)))</f>
        <v>1</v>
      </c>
      <c r="ID81" s="15">
        <f>MIN(1,MAX(VLOOKUP(($AJ81-$AI81-$AH81-$AG81-$AF81-$AE81*(1+ID$3))/$AJ81,'Технический лист'!$A:$B,2,1),(IC81-0.05)))</f>
        <v>1</v>
      </c>
      <c r="IE81" s="15">
        <f>MIN(1,MAX(VLOOKUP(($AJ81-$AI81-$AH81-$AG81-$AF81-$AE81*(1+IE$3))/$AJ81,'Технический лист'!$A:$B,2,1),(ID81-0.05)))</f>
        <v>1</v>
      </c>
      <c r="IF81" s="15">
        <f>MIN(1,MAX(VLOOKUP(($AJ81-$AI81-$AH81-$AG81-$AF81-$AE81*(1+IF$3))/$AJ81,'Технический лист'!$A:$B,2,1),(IE81-0.05)))</f>
        <v>1</v>
      </c>
      <c r="IG81" s="15">
        <f>MIN(1,MAX(VLOOKUP(($AJ81-$AI81-$AH81-$AG81-$AF81-$AE81*(1+IG$3))/$AJ81,'Технический лист'!$A:$B,2,1),(IF81-0.05)))</f>
        <v>1</v>
      </c>
      <c r="IH81" s="15">
        <f>MIN(1,MAX(VLOOKUP(($AJ81-$AI81-$AH81-$AG81-$AF81-$AE81*(1+IH$3))/$AJ81,'Технический лист'!$A:$B,2,1),(IG81-0.05)))</f>
        <v>1</v>
      </c>
      <c r="II81" s="15">
        <f>MIN(1,MAX(VLOOKUP(($AJ81-$AI81-$AH81-$AG81-$AF81-$AE81*(1+II$3))/$AJ81,'Технический лист'!$A:$B,2,1),(IH81-0.05)))</f>
        <v>1</v>
      </c>
      <c r="IJ81" s="15">
        <f>MIN(1,MAX(VLOOKUP(($AJ81-$AI81-$AH81-$AG81-$AF81-$AE81*(1+IJ$3))/$AJ81,'Технический лист'!$A:$B,2,1),(II81-0.05)))</f>
        <v>1</v>
      </c>
      <c r="IK81" s="15">
        <f>MIN(1,MAX(VLOOKUP(($AJ81-$AI81-$AH81-$AG81-$AF81-$AE81*(1+IK$3))/$AJ81,'Технический лист'!$A:$B,2,1),(IJ81-0.05)))</f>
        <v>1</v>
      </c>
      <c r="IL81" s="15">
        <f>MIN(1,MAX(VLOOKUP(($AJ81-$AI81-$AH81-$AG81-$AF81-$AE81*(1+IL$3))/$AJ81,'Технический лист'!$A:$B,2,1),(IK81-0.05)))</f>
        <v>1</v>
      </c>
      <c r="IM81" s="15">
        <f>MIN(1,MAX(VLOOKUP(($AJ81-$AI81-$AH81-$AG81-$AF81-$AE81*(1+IM$3))/$AJ81,'Технический лист'!$A:$B,2,1),(IL81-0.05)))</f>
        <v>1</v>
      </c>
      <c r="IN81" s="15">
        <f>MIN(1,MAX(VLOOKUP(($AJ81-$AI81-$AH81-$AG81-$AF81-$AE81*(1+IN$3))/$AJ81,'Технический лист'!$A:$B,2,1),(IM81-0.05)))</f>
        <v>1</v>
      </c>
      <c r="IO81" s="15">
        <f>MIN(1,MAX(VLOOKUP(($AJ81-$AI81-$AH81-$AG81-$AF81-$AE81*(1+IO$3))/$AJ81,'Технический лист'!$A:$B,2,1),(IN81-0.05)))</f>
        <v>1</v>
      </c>
      <c r="IP81" s="15">
        <f>MIN(1,MAX(VLOOKUP(($AJ81-$AI81-$AH81-$AG81-$AF81-$AE81*(1+IP$3))/$AJ81,'Технический лист'!$A:$B,2,1),(IO81-0.05)))</f>
        <v>1</v>
      </c>
      <c r="IQ81" s="15">
        <f>MIN(1,MAX(VLOOKUP(($AJ81-$AI81-$AH81-$AG81-$AF81-$AE81*(1+IQ$3))/$AJ81,'Технический лист'!$A:$B,2,1),(IP81-0.05)))</f>
        <v>1</v>
      </c>
      <c r="IR81" s="15">
        <f>MIN(1,MAX(VLOOKUP(($AJ81-$AI81-$AH81-$AG81-$AF81-$AE81*(1+IR$3))/$AJ81,'Технический лист'!$A:$B,2,1),(IQ81-0.05)))</f>
        <v>1</v>
      </c>
    </row>
    <row r="82" spans="1:252" ht="43.75">
      <c r="A82" s="89" t="s">
        <v>515</v>
      </c>
      <c r="B82" s="90">
        <v>5</v>
      </c>
      <c r="C82" s="5" t="s">
        <v>68</v>
      </c>
      <c r="D82" s="91">
        <v>32305</v>
      </c>
      <c r="E82" s="91" t="s">
        <v>341</v>
      </c>
      <c r="F82" s="92" t="s">
        <v>76</v>
      </c>
      <c r="G82" s="91" t="s">
        <v>52</v>
      </c>
      <c r="H82" s="91" t="s">
        <v>51</v>
      </c>
      <c r="I82" s="91" t="s">
        <v>111</v>
      </c>
      <c r="J82" s="91" t="s">
        <v>157</v>
      </c>
      <c r="K82" s="91">
        <v>1719</v>
      </c>
      <c r="L82" s="85" t="s">
        <v>64</v>
      </c>
      <c r="M82" s="91" t="s">
        <v>17</v>
      </c>
      <c r="N82" s="91" t="s">
        <v>191</v>
      </c>
      <c r="O82" s="91" t="s">
        <v>192</v>
      </c>
      <c r="P82" s="89" t="s">
        <v>211</v>
      </c>
      <c r="Q82" s="91" t="s">
        <v>291</v>
      </c>
      <c r="R82" s="91" t="s">
        <v>259</v>
      </c>
      <c r="S82" s="82">
        <v>9053</v>
      </c>
      <c r="T82" s="82">
        <v>15565174</v>
      </c>
      <c r="U82" s="81">
        <v>166</v>
      </c>
      <c r="V82" s="81">
        <v>0</v>
      </c>
      <c r="W82" s="82">
        <v>32464632</v>
      </c>
      <c r="X82" s="112">
        <v>54</v>
      </c>
      <c r="Y82" s="112" t="s">
        <v>416</v>
      </c>
      <c r="Z82" s="113">
        <v>7</v>
      </c>
      <c r="AA82" s="113">
        <v>6</v>
      </c>
      <c r="AB82" s="113">
        <v>4</v>
      </c>
      <c r="AC82" s="99">
        <v>4136.3</v>
      </c>
      <c r="AD82" s="99">
        <f t="shared" ref="AD82:AD87" si="35">AE82-AC82</f>
        <v>612.65999999999985</v>
      </c>
      <c r="AE82" s="99">
        <v>4748.96</v>
      </c>
      <c r="AF82" s="98">
        <f>(Z82+AA82+AB82)*'Ставки аренды'!$B$3/X82</f>
        <v>220.37037037037038</v>
      </c>
      <c r="AG82" s="114">
        <f>'Ставки перевалки'!$B$9*'Курсы валют'!$B$2</f>
        <v>1220.8879999999999</v>
      </c>
      <c r="AH82" s="94">
        <v>0</v>
      </c>
      <c r="AI82" s="115">
        <f t="shared" si="34"/>
        <v>43278.619003487111</v>
      </c>
      <c r="AJ82" s="117">
        <f>Цены!D28</f>
        <v>72000</v>
      </c>
      <c r="AK82" s="94">
        <f>AJ82/Цены!$B$1</f>
        <v>943.57549586858102</v>
      </c>
      <c r="AL82" s="95">
        <f t="shared" si="24"/>
        <v>6190.2183703703704</v>
      </c>
      <c r="AM82" s="95">
        <f t="shared" si="25"/>
        <v>65809.781629629637</v>
      </c>
      <c r="AN82" s="94">
        <f t="shared" si="22"/>
        <v>49468.837373857481</v>
      </c>
      <c r="AO82" s="118">
        <f t="shared" si="23"/>
        <v>0.31293281425197944</v>
      </c>
      <c r="AP82" s="96">
        <f t="shared" si="26"/>
        <v>8.5975255144032925E-2</v>
      </c>
      <c r="AQ82" s="96">
        <f t="shared" si="27"/>
        <v>6.5957777777777782E-2</v>
      </c>
      <c r="AR82" s="96">
        <f t="shared" si="28"/>
        <v>0.76717164336738286</v>
      </c>
      <c r="AS82" s="122">
        <v>1</v>
      </c>
      <c r="AT82" s="121">
        <f t="shared" si="29"/>
        <v>9053</v>
      </c>
      <c r="AU82" s="83">
        <v>1</v>
      </c>
      <c r="AV82" s="119">
        <f t="shared" si="30"/>
        <v>0.30501788091864607</v>
      </c>
      <c r="AW82" s="120">
        <f t="shared" si="31"/>
        <v>9.3890188477366257E-2</v>
      </c>
      <c r="AX82" s="120">
        <f t="shared" si="32"/>
        <v>7.3872711111111114E-2</v>
      </c>
      <c r="AY82" s="120">
        <f t="shared" si="33"/>
        <v>0.78679905013631235</v>
      </c>
      <c r="AZ82" s="15">
        <f>MIN(IF($AU82=100%,1,1+VLOOKUP(($AJ82-$AI82-$AH82-$AG82-$AF82-$AE82*(1+AZ$3))/$AJ82,'Технический лист'!$I:$J,2,1)-VLOOKUP($AO82,'Технический лист'!$I:$J,2,1)),1+(1-$AU82))</f>
        <v>1</v>
      </c>
      <c r="BA82" s="15">
        <f>MIN(IF($AU82=100%,1,1+VLOOKUP(($AJ82-$AI82-$AH82-$AG82-$AF82-$AE82*(1+BA$3))/$AJ82,'Технический лист'!$I:$J,2,1)-VLOOKUP($AO82,'Технический лист'!$I:$J,2,1)),1+(1-$AU82))</f>
        <v>1</v>
      </c>
      <c r="BB82" s="15">
        <f>MIN(IF($AU82=100%,1,1+VLOOKUP(($AJ82-$AI82-$AH82-$AG82-$AF82-$AE82*(1+BB$3))/$AJ82,'Технический лист'!$I:$J,2,1)-VLOOKUP($AO82,'Технический лист'!$I:$J,2,1)),1+(1-$AU82))</f>
        <v>1</v>
      </c>
      <c r="BC82" s="15">
        <f>MIN(IF($AU82=100%,1,1+VLOOKUP(($AJ82-$AI82-$AH82-$AG82-$AF82-$AE82*(1+BC$3))/$AJ82,'Технический лист'!$I:$J,2,1)-VLOOKUP($AO82,'Технический лист'!$I:$J,2,1)),1+(1-$AU82))</f>
        <v>1</v>
      </c>
      <c r="BD82" s="15">
        <f>MIN(IF($AU82=100%,1,1+VLOOKUP(($AJ82-$AI82-$AH82-$AG82-$AF82-$AE82*(1+BD$3))/$AJ82,'Технический лист'!$I:$J,2,1)-VLOOKUP($AO82,'Технический лист'!$I:$J,2,1)),1+(1-$AU82))</f>
        <v>1</v>
      </c>
      <c r="BE82" s="15">
        <f>MIN(IF($AU82=100%,1,1+VLOOKUP(($AJ82-$AI82-$AH82-$AG82-$AF82-$AE82*(1+BE$3))/$AJ82,'Технический лист'!$I:$J,2,1)-VLOOKUP($AO82,'Технический лист'!$I:$J,2,1)),1+(1-$AU82))</f>
        <v>1</v>
      </c>
      <c r="BF82" s="15">
        <f>MIN(IF($AU82=100%,1,1+VLOOKUP(($AJ82-$AI82-$AH82-$AG82-$AF82-$AE82*(1+BF$3))/$AJ82,'Технический лист'!$I:$J,2,1)-VLOOKUP($AO82,'Технический лист'!$I:$J,2,1)),1+(1-$AU82))</f>
        <v>1</v>
      </c>
      <c r="BG82" s="15">
        <f>MIN(IF($AU82=100%,1,1+VLOOKUP(($AJ82-$AI82-$AH82-$AG82-$AF82-$AE82*(1+BG$3))/$AJ82,'Технический лист'!$I:$J,2,1)-VLOOKUP($AO82,'Технический лист'!$I:$J,2,1)),1+(1-$AU82))</f>
        <v>1</v>
      </c>
      <c r="BH82" s="15">
        <f>MIN(IF($AU82=100%,1,1+VLOOKUP(($AJ82-$AI82-$AH82-$AG82-$AF82-$AE82*(1+BH$3))/$AJ82,'Технический лист'!$I:$J,2,1)-VLOOKUP($AO82,'Технический лист'!$I:$J,2,1)),1+(1-$AU82))</f>
        <v>1</v>
      </c>
      <c r="BI82" s="15">
        <f>MIN(IF($AU82=100%,1,1+VLOOKUP(($AJ82-$AI82-$AH82-$AG82-$AF82-$AE82*(1+BI$3))/$AJ82,'Технический лист'!$I:$J,2,1)-VLOOKUP($AO82,'Технический лист'!$I:$J,2,1)),1+(1-$AU82))</f>
        <v>1</v>
      </c>
      <c r="BJ82" s="15">
        <f>MIN(IF($AU82=100%,1,1+VLOOKUP(($AJ82-$AI82-$AH82-$AG82-$AF82-$AE82*(1+BJ$3))/$AJ82,'Технический лист'!$I:$J,2,1)-VLOOKUP($AO82,'Технический лист'!$I:$J,2,1)),1+(1-$AU82))</f>
        <v>1</v>
      </c>
      <c r="BK82" s="15">
        <f>MIN(IF($AU82=100%,1,1+VLOOKUP(($AJ82-$AI82-$AH82-$AG82-$AF82-$AE82*(1+BK$3))/$AJ82,'Технический лист'!$I:$J,2,1)-VLOOKUP($AO82,'Технический лист'!$I:$J,2,1)),1+(1-$AU82))</f>
        <v>1</v>
      </c>
      <c r="BL82" s="15">
        <f>MIN(IF($AU82=100%,1,1+VLOOKUP(($AJ82-$AI82-$AH82-$AG82-$AF82-$AE82*(1+BL$3))/$AJ82,'Технический лист'!$I:$J,2,1)-VLOOKUP($AO82,'Технический лист'!$I:$J,2,1)),1+(1-$AU82))</f>
        <v>1</v>
      </c>
      <c r="BM82" s="15">
        <f>MIN(IF($AU82=100%,1,1+VLOOKUP(($AJ82-$AI82-$AH82-$AG82-$AF82-$AE82*(1+BM$3))/$AJ82,'Технический лист'!$I:$J,2,1)-VLOOKUP($AO82,'Технический лист'!$I:$J,2,1)),1+(1-$AU82))</f>
        <v>1</v>
      </c>
      <c r="BN82" s="15">
        <f>MIN(IF($AU82=100%,1,1+VLOOKUP(($AJ82-$AI82-$AH82-$AG82-$AF82-$AE82*(1+BN$3))/$AJ82,'Технический лист'!$I:$J,2,1)-VLOOKUP($AO82,'Технический лист'!$I:$J,2,1)),1+(1-$AU82))</f>
        <v>1</v>
      </c>
      <c r="BO82" s="15">
        <f>MIN(IF($AU82=100%,1,1+VLOOKUP(($AJ82-$AI82-$AH82-$AG82-$AF82-$AE82*(1+BO$3))/$AJ82,'Технический лист'!$I:$J,2,1)-VLOOKUP($AO82,'Технический лист'!$I:$J,2,1)),1+(1-$AU82))</f>
        <v>1</v>
      </c>
      <c r="BP82" s="15">
        <f>MIN(IF($AU82=100%,1,1+VLOOKUP(($AJ82-$AI82-$AH82-$AG82-$AF82-$AE82*(1+BP$3))/$AJ82,'Технический лист'!$I:$J,2,1)-VLOOKUP($AO82,'Технический лист'!$I:$J,2,1)),1+(1-$AU82))</f>
        <v>1</v>
      </c>
      <c r="BQ82" s="15">
        <f>MIN(IF($AU82=100%,1,1+VLOOKUP(($AJ82-$AI82-$AH82-$AG82-$AF82-$AE82*(1+BQ$3))/$AJ82,'Технический лист'!$I:$J,2,1)-VLOOKUP($AO82,'Технический лист'!$I:$J,2,1)),1+(1-$AU82))</f>
        <v>1</v>
      </c>
      <c r="BR82" s="15">
        <f>MIN(IF($AU82=100%,1,1+VLOOKUP(($AJ82-$AI82-$AH82-$AG82-$AF82-$AE82*(1+BR$3))/$AJ82,'Технический лист'!$I:$J,2,1)-VLOOKUP($AO82,'Технический лист'!$I:$J,2,1)),1+(1-$AU82))</f>
        <v>1</v>
      </c>
      <c r="BS82" s="15">
        <f>MIN(IF($AU82=100%,1,1+VLOOKUP(($AJ82-$AI82-$AH82-$AG82-$AF82-$AE82*(1+BS$3))/$AJ82,'Технический лист'!$I:$J,2,1)-VLOOKUP($AO82,'Технический лист'!$I:$J,2,1)),1+(1-$AU82))</f>
        <v>1</v>
      </c>
      <c r="BT82" s="15">
        <f>MIN(IF($AU82=100%,1,1+VLOOKUP(($AJ82-$AI82-$AH82-$AG82-$AF82-$AE82*(1+BT$3))/$AJ82,'Технический лист'!$I:$J,2,1)-VLOOKUP($AO82,'Технический лист'!$I:$J,2,1)),1+(1-$AU82))</f>
        <v>1</v>
      </c>
      <c r="BU82" s="15">
        <f>MIN(IF($AU82=100%,1,1+VLOOKUP(($AJ82-$AI82-$AH82-$AG82-$AF82-$AE82*(1+BU$3))/$AJ82,'Технический лист'!$I:$J,2,1)-VLOOKUP($AO82,'Технический лист'!$I:$J,2,1)),1+(1-$AU82))</f>
        <v>1</v>
      </c>
      <c r="BV82" s="15">
        <f>MIN(IF($AU82=100%,1,1+VLOOKUP(($AJ82-$AI82-$AH82-$AG82-$AF82-$AE82*(1+BV$3))/$AJ82,'Технический лист'!$I:$J,2,1)-VLOOKUP($AO82,'Технический лист'!$I:$J,2,1)),1+(1-$AU82))</f>
        <v>1</v>
      </c>
      <c r="BW82" s="15">
        <f>MIN(IF($AU82=100%,1,1+VLOOKUP(($AJ82-$AI82-$AH82-$AG82-$AF82-$AE82*(1+BW$3))/$AJ82,'Технический лист'!$I:$J,2,1)-VLOOKUP($AO82,'Технический лист'!$I:$J,2,1)),1+(1-$AU82))</f>
        <v>1</v>
      </c>
      <c r="BX82" s="15">
        <f>MIN(IF($AU82=100%,1,1+VLOOKUP(($AJ82-$AI82-$AH82-$AG82-$AF82-$AE82*(1+BX$3))/$AJ82,'Технический лист'!$I:$J,2,1)-VLOOKUP($AO82,'Технический лист'!$I:$J,2,1)),1+(1-$AU82))</f>
        <v>1</v>
      </c>
      <c r="BY82" s="15">
        <f>MIN(IF($AU82=100%,1,1+VLOOKUP(($AJ82-$AI82-$AH82-$AG82-$AF82-$AE82*(1+BY$3))/$AJ82,'Технический лист'!$I:$J,2,1)-VLOOKUP($AO82,'Технический лист'!$I:$J,2,1)),1+(1-$AU82))</f>
        <v>1</v>
      </c>
      <c r="BZ82" s="15">
        <f>MIN(IF($AU82=100%,1,1+VLOOKUP(($AJ82-$AI82-$AH82-$AG82-$AF82-$AE82*(1+BZ$3))/$AJ82,'Технический лист'!$I:$J,2,1)-VLOOKUP($AO82,'Технический лист'!$I:$J,2,1)),1+(1-$AU82))</f>
        <v>1</v>
      </c>
      <c r="CA82" s="15">
        <f>MIN(IF($AU82=100%,1,1+VLOOKUP(($AJ82-$AI82-$AH82-$AG82-$AF82-$AE82*(1+CA$3))/$AJ82,'Технический лист'!$I:$J,2,1)-VLOOKUP($AO82,'Технический лист'!$I:$J,2,1)),1+(1-$AU82))</f>
        <v>1</v>
      </c>
      <c r="CB82" s="15">
        <f>MIN(IF($AU82=100%,1,1+VLOOKUP(($AJ82-$AI82-$AH82-$AG82-$AF82-$AE82*(1+CB$3))/$AJ82,'Технический лист'!$I:$J,2,1)-VLOOKUP($AO82,'Технический лист'!$I:$J,2,1)),1+(1-$AU82))</f>
        <v>1</v>
      </c>
      <c r="CC82" s="15">
        <f>MIN(IF($AU82=100%,1,1+VLOOKUP(($AJ82-$AI82-$AH82-$AG82-$AF82-$AE82*(1+CC$3))/$AJ82,'Технический лист'!$I:$J,2,1)-VLOOKUP($AO82,'Технический лист'!$I:$J,2,1)),1+(1-$AU82))</f>
        <v>1</v>
      </c>
      <c r="CD82" s="15">
        <f>MIN(IF($AU82=100%,1,1+VLOOKUP(($AJ82-$AI82-$AH82-$AG82-$AF82-$AE82*(1+CD$3))/$AJ82,'Технический лист'!$I:$J,2,1)-VLOOKUP($AO82,'Технический лист'!$I:$J,2,1)),1+(1-$AU82))</f>
        <v>1</v>
      </c>
      <c r="CE82" s="15">
        <f>MIN(IF($AU82=100%,1,1+VLOOKUP(($AJ82-$AI82-$AH82-$AG82-$AF82-$AE82*(1+CE$3))/$AJ82,'Технический лист'!$I:$J,2,1)-VLOOKUP($AO82,'Технический лист'!$I:$J,2,1)),1+(1-$AU82))</f>
        <v>1</v>
      </c>
      <c r="CF82" s="15">
        <f>MIN(IF($AU82=100%,1,1+VLOOKUP(($AJ82-$AI82-$AH82-$AG82-$AF82-$AE82*(1+CF$3))/$AJ82,'Технический лист'!$I:$J,2,1)-VLOOKUP($AO82,'Технический лист'!$I:$J,2,1)),1+(1-$AU82))</f>
        <v>1</v>
      </c>
      <c r="CG82" s="15">
        <f>MIN(IF($AU82=100%,1,1+VLOOKUP(($AJ82-$AI82-$AH82-$AG82-$AF82-$AE82*(1+CG$3))/$AJ82,'Технический лист'!$I:$J,2,1)-VLOOKUP($AO82,'Технический лист'!$I:$J,2,1)),1+(1-$AU82))</f>
        <v>1</v>
      </c>
      <c r="CH82" s="15">
        <f>MIN(IF($AU82=100%,1,1+VLOOKUP(($AJ82-$AI82-$AH82-$AG82-$AF82-$AE82*(1+CH$3))/$AJ82,'Технический лист'!$I:$J,2,1)-VLOOKUP($AO82,'Технический лист'!$I:$J,2,1)),1+(1-$AU82))</f>
        <v>1</v>
      </c>
      <c r="CI82" s="15">
        <f>MIN(IF($AU82=100%,1,1+VLOOKUP(($AJ82-$AI82-$AH82-$AG82-$AF82-$AE82*(1+CI$3))/$AJ82,'Технический лист'!$I:$J,2,1)-VLOOKUP($AO82,'Технический лист'!$I:$J,2,1)),1+(1-$AU82))</f>
        <v>1</v>
      </c>
      <c r="CJ82" s="15">
        <f>MIN(IF($AU82=100%,1,1+VLOOKUP(($AJ82-$AI82-$AH82-$AG82-$AF82-$AE82*(1+CJ$3))/$AJ82,'Технический лист'!$I:$J,2,1)-VLOOKUP($AO82,'Технический лист'!$I:$J,2,1)),1+(1-$AU82))</f>
        <v>1</v>
      </c>
      <c r="CK82" s="15">
        <f>MIN(IF($AU82=100%,1,1+VLOOKUP(($AJ82-$AI82-$AH82-$AG82-$AF82-$AE82*(1+CK$3))/$AJ82,'Технический лист'!$I:$J,2,1)-VLOOKUP($AO82,'Технический лист'!$I:$J,2,1)),1+(1-$AU82))</f>
        <v>1</v>
      </c>
      <c r="CL82" s="15">
        <f>MIN(IF($AU82=100%,1,1+VLOOKUP(($AJ82-$AI82-$AH82-$AG82-$AF82-$AE82*(1+CL$3))/$AJ82,'Технический лист'!$I:$J,2,1)-VLOOKUP($AO82,'Технический лист'!$I:$J,2,1)),1+(1-$AU82))</f>
        <v>1</v>
      </c>
      <c r="CM82" s="15">
        <f>MIN(IF($AU82=100%,1,1+VLOOKUP(($AJ82-$AI82-$AH82-$AG82-$AF82-$AE82*(1+CM$3))/$AJ82,'Технический лист'!$I:$J,2,1)-VLOOKUP($AO82,'Технический лист'!$I:$J,2,1)),1+(1-$AU82))</f>
        <v>1</v>
      </c>
      <c r="CN82" s="15">
        <f>MIN(IF($AU82=100%,1,1+VLOOKUP(($AJ82-$AI82-$AH82-$AG82-$AF82-$AE82*(1+CN$3))/$AJ82,'Технический лист'!$I:$J,2,1)-VLOOKUP($AO82,'Технический лист'!$I:$J,2,1)),1+(1-$AU82))</f>
        <v>1</v>
      </c>
      <c r="CO82" s="15">
        <f>MIN(IF($AU82=100%,1,1+VLOOKUP(($AJ82-$AI82-$AH82-$AG82-$AF82-$AE82*(1+CO$3))/$AJ82,'Технический лист'!$I:$J,2,1)-VLOOKUP($AO82,'Технический лист'!$I:$J,2,1)),1+(1-$AU82))</f>
        <v>1</v>
      </c>
      <c r="CP82" s="15">
        <f>MIN(IF($AU82=100%,1,1+VLOOKUP(($AJ82-$AI82-$AH82-$AG82-$AF82-$AE82*(1+CP$3))/$AJ82,'Технический лист'!$I:$J,2,1)-VLOOKUP($AO82,'Технический лист'!$I:$J,2,1)),1+(1-$AU82))</f>
        <v>1</v>
      </c>
      <c r="CQ82" s="15">
        <f>MIN(IF($AU82=100%,1,1+VLOOKUP(($AJ82-$AI82-$AH82-$AG82-$AF82-$AE82*(1+CQ$3))/$AJ82,'Технический лист'!$I:$J,2,1)-VLOOKUP($AO82,'Технический лист'!$I:$J,2,1)),1+(1-$AU82))</f>
        <v>1</v>
      </c>
      <c r="CR82" s="15">
        <f>MIN(IF($AU82=100%,1,1+VLOOKUP(($AJ82-$AI82-$AH82-$AG82-$AF82-$AE82*(1+CR$3))/$AJ82,'Технический лист'!$I:$J,2,1)-VLOOKUP($AO82,'Технический лист'!$I:$J,2,1)),1+(1-$AU82))</f>
        <v>1</v>
      </c>
      <c r="CS82" s="15">
        <f>MIN(IF($AU82=100%,1,1+VLOOKUP(($AJ82-$AI82-$AH82-$AG82-$AF82-$AE82*(1+CS$3))/$AJ82,'Технический лист'!$I:$J,2,1)-VLOOKUP($AO82,'Технический лист'!$I:$J,2,1)),1+(1-$AU82))</f>
        <v>1</v>
      </c>
      <c r="CT82" s="15">
        <f>MIN(IF($AU82=100%,1,1+VLOOKUP(($AJ82-$AI82-$AH82-$AG82-$AF82-$AE82*(1+CT$3))/$AJ82,'Технический лист'!$I:$J,2,1)-VLOOKUP($AO82,'Технический лист'!$I:$J,2,1)),1+(1-$AU82))</f>
        <v>1</v>
      </c>
      <c r="CU82" s="15">
        <f>MIN(IF($AU82=100%,1,1+VLOOKUP(($AJ82-$AI82-$AH82-$AG82-$AF82-$AE82*(1+CU$3))/$AJ82,'Технический лист'!$I:$J,2,1)-VLOOKUP($AO82,'Технический лист'!$I:$J,2,1)),1+(1-$AU82))</f>
        <v>1</v>
      </c>
      <c r="CV82" s="15">
        <f>MIN(IF($AU82=100%,1,1+VLOOKUP(($AJ82-$AI82-$AH82-$AG82-$AF82-$AE82*(1+CV$3))/$AJ82,'Технический лист'!$I:$J,2,1)-VLOOKUP($AO82,'Технический лист'!$I:$J,2,1)),1+(1-$AU82))</f>
        <v>1</v>
      </c>
      <c r="CW82" s="15">
        <f>MIN(IF($AU82=100%,1,1+VLOOKUP(($AJ82-$AI82-$AH82-$AG82-$AF82-$AE82*(1+CW$3))/$AJ82,'Технический лист'!$I:$J,2,1)-VLOOKUP($AO82,'Технический лист'!$I:$J,2,1)),1+(1-$AU82))</f>
        <v>1</v>
      </c>
      <c r="CX82" s="15">
        <f>MIN(IF($AU82=100%,1,1+VLOOKUP(($AJ82-$AI82-$AH82-$AG82-$AF82-$AE82*(1+CX$3))/$AJ82,'Технический лист'!$I:$J,2,1)-VLOOKUP($AO82,'Технический лист'!$I:$J,2,1)),1+(1-$AU82))</f>
        <v>1</v>
      </c>
      <c r="CY82" s="15">
        <f>MIN(IF($AU82=100%,1,1+VLOOKUP(($AJ82-$AI82-$AH82-$AG82-$AF82-$AE82*(1+CY$3))/$AJ82,'Технический лист'!$I:$J,2,1)-VLOOKUP($AO82,'Технический лист'!$I:$J,2,1)),1+(1-$AU82))</f>
        <v>1</v>
      </c>
      <c r="CZ82" s="15">
        <f>MIN(IF($AU82=100%,1,1+VLOOKUP(($AJ82-$AI82-$AH82-$AG82-$AF82-$AE82*(1+CZ$3))/$AJ82,'Технический лист'!$I:$J,2,1)-VLOOKUP($AO82,'Технический лист'!$I:$J,2,1)),1+(1-$AU82))</f>
        <v>1</v>
      </c>
      <c r="DA82" s="15">
        <f>MIN(IF($AU82=100%,1,1+VLOOKUP(($AJ82-$AI82-$AH82-$AG82-$AF82-$AE82*(1+DA$3))/$AJ82,'Технический лист'!$I:$J,2,1)-VLOOKUP($AO82,'Технический лист'!$I:$J,2,1)),1+(1-$AU82))</f>
        <v>1</v>
      </c>
      <c r="DB82" s="15">
        <f>MIN(IF($AU82=100%,1,1+VLOOKUP(($AJ82-$AI82-$AH82-$AG82-$AF82-$AE82*(1+DB$3))/$AJ82,'Технический лист'!$I:$J,2,1)-VLOOKUP($AO82,'Технический лист'!$I:$J,2,1)),1+(1-$AU82))</f>
        <v>1</v>
      </c>
      <c r="DC82" s="15">
        <f>MIN(IF($AU82=100%,1,1+VLOOKUP(($AJ82-$AI82-$AH82-$AG82-$AF82-$AE82*(1+DC$3))/$AJ82,'Технический лист'!$I:$J,2,1)-VLOOKUP($AO82,'Технический лист'!$I:$J,2,1)),1+(1-$AU82))</f>
        <v>1</v>
      </c>
      <c r="DD82" s="15">
        <f>MIN(IF($AU82=100%,1,1+VLOOKUP(($AJ82-$AI82-$AH82-$AG82-$AF82-$AE82*(1+DD$3))/$AJ82,'Технический лист'!$I:$J,2,1)-VLOOKUP($AO82,'Технический лист'!$I:$J,2,1)),1+(1-$AU82))</f>
        <v>1</v>
      </c>
      <c r="DE82" s="15">
        <f>MIN(IF($AU82=100%,1,1+VLOOKUP(($AJ82-$AI82-$AH82-$AG82-$AF82-$AE82*(1+DE$3))/$AJ82,'Технический лист'!$I:$J,2,1)-VLOOKUP($AO82,'Технический лист'!$I:$J,2,1)),1+(1-$AU82))</f>
        <v>1</v>
      </c>
      <c r="DF82" s="15">
        <f>MIN(IF($AU82=100%,1,1+VLOOKUP(($AJ82-$AI82-$AH82-$AG82-$AF82-$AE82*(1+DF$3))/$AJ82,'Технический лист'!$I:$J,2,1)-VLOOKUP($AO82,'Технический лист'!$I:$J,2,1)),1+(1-$AU82))</f>
        <v>1</v>
      </c>
      <c r="DG82" s="15">
        <f>MIN(IF($AU82=100%,1,1+VLOOKUP(($AJ82-$AI82-$AH82-$AG82-$AF82-$AE82*(1+DG$3))/$AJ82,'Технический лист'!$I:$J,2,1)-VLOOKUP($AO82,'Технический лист'!$I:$J,2,1)),1+(1-$AU82))</f>
        <v>1</v>
      </c>
      <c r="DH82" s="15">
        <f>MIN(IF($AU82=100%,1,1+VLOOKUP(($AJ82-$AI82-$AH82-$AG82-$AF82-$AE82*(1+DH$3))/$AJ82,'Технический лист'!$I:$J,2,1)-VLOOKUP($AO82,'Технический лист'!$I:$J,2,1)),1+(1-$AU82))</f>
        <v>1</v>
      </c>
      <c r="DI82" s="15">
        <f>MIN(IF($AU82=100%,1,1+VLOOKUP(($AJ82-$AI82-$AH82-$AG82-$AF82-$AE82*(1+DI$3))/$AJ82,'Технический лист'!$I:$J,2,1)-VLOOKUP($AO82,'Технический лист'!$I:$J,2,1)),1+(1-$AU82))</f>
        <v>1</v>
      </c>
      <c r="DJ82" s="15">
        <f>MIN(IF($AU82=100%,1,1+VLOOKUP(($AJ82-$AI82-$AH82-$AG82-$AF82-$AE82*(1+DJ$3))/$AJ82,'Технический лист'!$I:$J,2,1)-VLOOKUP($AO82,'Технический лист'!$I:$J,2,1)),1+(1-$AU82))</f>
        <v>1</v>
      </c>
      <c r="DK82" s="15">
        <f>MIN(IF($AU82=100%,1,1+VLOOKUP(($AJ82-$AI82-$AH82-$AG82-$AF82-$AE82*(1+DK$3))/$AJ82,'Технический лист'!$I:$J,2,1)-VLOOKUP($AO82,'Технический лист'!$I:$J,2,1)),1+(1-$AU82))</f>
        <v>1</v>
      </c>
      <c r="DL82" s="15">
        <f>MIN(IF($AU82=100%,1,1+VLOOKUP(($AJ82-$AI82-$AH82-$AG82-$AF82-$AE82*(1+DL$3))/$AJ82,'Технический лист'!$I:$J,2,1)-VLOOKUP($AO82,'Технический лист'!$I:$J,2,1)),1+(1-$AU82))</f>
        <v>1</v>
      </c>
      <c r="DM82" s="15">
        <f>MIN(IF($AU82=100%,1,1+VLOOKUP(($AJ82-$AI82-$AH82-$AG82-$AF82-$AE82*(1+DM$3))/$AJ82,'Технический лист'!$I:$J,2,1)-VLOOKUP($AO82,'Технический лист'!$I:$J,2,1)),1+(1-$AU82))</f>
        <v>1</v>
      </c>
      <c r="DN82" s="15">
        <f>MIN(IF($AU82=100%,1,1+VLOOKUP(($AJ82-$AI82-$AH82-$AG82-$AF82-$AE82*(1+DN$3))/$AJ82,'Технический лист'!$I:$J,2,1)-VLOOKUP($AO82,'Технический лист'!$I:$J,2,1)),1+(1-$AU82))</f>
        <v>1</v>
      </c>
      <c r="DO82" s="15">
        <f>MIN(IF($AU82=100%,1,1+VLOOKUP(($AJ82-$AI82-$AH82-$AG82-$AF82-$AE82*(1+DO$3))/$AJ82,'Технический лист'!$I:$J,2,1)-VLOOKUP($AO82,'Технический лист'!$I:$J,2,1)),1+(1-$AU82))</f>
        <v>1</v>
      </c>
      <c r="DP82" s="15">
        <f>MIN(IF($AU82=100%,1,1+VLOOKUP(($AJ82-$AI82-$AH82-$AG82-$AF82-$AE82*(1+DP$3))/$AJ82,'Технический лист'!$I:$J,2,1)-VLOOKUP($AO82,'Технический лист'!$I:$J,2,1)),1+(1-$AU82))</f>
        <v>1</v>
      </c>
      <c r="DQ82" s="15">
        <f>MIN(IF($AU82=100%,1,1+VLOOKUP(($AJ82-$AI82-$AH82-$AG82-$AF82-$AE82*(1+DQ$3))/$AJ82,'Технический лист'!$I:$J,2,1)-VLOOKUP($AO82,'Технический лист'!$I:$J,2,1)),1+(1-$AU82))</f>
        <v>1</v>
      </c>
      <c r="DR82" s="15">
        <f>MIN(IF($AU82=100%,1,1+VLOOKUP(($AJ82-$AI82-$AH82-$AG82-$AF82-$AE82*(1+DR$3))/$AJ82,'Технический лист'!$I:$J,2,1)-VLOOKUP($AO82,'Технический лист'!$I:$J,2,1)),1+(1-$AU82))</f>
        <v>1</v>
      </c>
      <c r="DS82" s="15">
        <f>MIN(IF($AU82=100%,1,1+VLOOKUP(($AJ82-$AI82-$AH82-$AG82-$AF82-$AE82*(1+DS$3))/$AJ82,'Технический лист'!$I:$J,2,1)-VLOOKUP($AO82,'Технический лист'!$I:$J,2,1)),1+(1-$AU82))</f>
        <v>1</v>
      </c>
      <c r="DT82" s="15">
        <f>MIN(IF($AU82=100%,1,1+VLOOKUP(($AJ82-$AI82-$AH82-$AG82-$AF82-$AE82*(1+DT$3))/$AJ82,'Технический лист'!$I:$J,2,1)-VLOOKUP($AO82,'Технический лист'!$I:$J,2,1)),1+(1-$AU82))</f>
        <v>1</v>
      </c>
      <c r="DU82" s="15">
        <f>MIN(IF($AU82=100%,1,1+VLOOKUP(($AJ82-$AI82-$AH82-$AG82-$AF82-$AE82*(1+DU$3))/$AJ82,'Технический лист'!$I:$J,2,1)-VLOOKUP($AO82,'Технический лист'!$I:$J,2,1)),1+(1-$AU82))</f>
        <v>1</v>
      </c>
      <c r="DV82" s="15">
        <f>MIN(IF($AU82=100%,1,1+VLOOKUP(($AJ82-$AI82-$AH82-$AG82-$AF82-$AE82*(1+DV$3))/$AJ82,'Технический лист'!$I:$J,2,1)-VLOOKUP($AO82,'Технический лист'!$I:$J,2,1)),1+(1-$AU82))</f>
        <v>1</v>
      </c>
      <c r="DW82" s="15">
        <f>MIN(IF($AU82=100%,1,1+VLOOKUP(($AJ82-$AI82-$AH82-$AG82-$AF82-$AE82*(1+DW$3))/$AJ82,'Технический лист'!$I:$J,2,1)-VLOOKUP($AO82,'Технический лист'!$I:$J,2,1)),1+(1-$AU82))</f>
        <v>1</v>
      </c>
      <c r="DX82" s="15">
        <f>MIN(IF($AU82=100%,1,1+VLOOKUP(($AJ82-$AI82-$AH82-$AG82-$AF82-$AE82*(1+DX$3))/$AJ82,'Технический лист'!$I:$J,2,1)-VLOOKUP($AO82,'Технический лист'!$I:$J,2,1)),1+(1-$AU82))</f>
        <v>1</v>
      </c>
      <c r="DY82" s="15">
        <f>MIN(IF($AU82=100%,1,1+VLOOKUP(($AJ82-$AI82-$AH82-$AG82-$AF82-$AE82*(1+DY$3))/$AJ82,'Технический лист'!$I:$J,2,1)-VLOOKUP($AO82,'Технический лист'!$I:$J,2,1)),1+(1-$AU82))</f>
        <v>1</v>
      </c>
      <c r="DZ82" s="15">
        <f>MIN(IF($AU82=100%,1,1+VLOOKUP(($AJ82-$AI82-$AH82-$AG82-$AF82-$AE82*(1+DZ$3))/$AJ82,'Технический лист'!$I:$J,2,1)-VLOOKUP($AO82,'Технический лист'!$I:$J,2,1)),1+(1-$AU82))</f>
        <v>1</v>
      </c>
      <c r="EA82" s="15">
        <f>MIN(IF($AU82=100%,1,1+VLOOKUP(($AJ82-$AI82-$AH82-$AG82-$AF82-$AE82*(1+EA$3))/$AJ82,'Технический лист'!$I:$J,2,1)-VLOOKUP($AO82,'Технический лист'!$I:$J,2,1)),1+(1-$AU82))</f>
        <v>1</v>
      </c>
      <c r="EB82" s="15">
        <f>MIN(IF($AU82=100%,1,1+VLOOKUP(($AJ82-$AI82-$AH82-$AG82-$AF82-$AE82*(1+EB$3))/$AJ82,'Технический лист'!$I:$J,2,1)-VLOOKUP($AO82,'Технический лист'!$I:$J,2,1)),1+(1-$AU82))</f>
        <v>1</v>
      </c>
      <c r="EC82" s="15">
        <f>MIN(IF($AU82=100%,1,1+VLOOKUP(($AJ82-$AI82-$AH82-$AG82-$AF82-$AE82*(1+EC$3))/$AJ82,'Технический лист'!$I:$J,2,1)-VLOOKUP($AO82,'Технический лист'!$I:$J,2,1)),1+(1-$AU82))</f>
        <v>1</v>
      </c>
      <c r="ED82" s="15">
        <f>MIN(IF($AU82=100%,1,1+VLOOKUP(($AJ82-$AI82-$AH82-$AG82-$AF82-$AE82*(1+ED$3))/$AJ82,'Технический лист'!$I:$J,2,1)-VLOOKUP($AO82,'Технический лист'!$I:$J,2,1)),1+(1-$AU82))</f>
        <v>1</v>
      </c>
      <c r="EE82" s="15">
        <f>MIN(IF($AU82=100%,1,1+VLOOKUP(($AJ82-$AI82-$AH82-$AG82-$AF82-$AE82*(1+EE$3))/$AJ82,'Технический лист'!$I:$J,2,1)-VLOOKUP($AO82,'Технический лист'!$I:$J,2,1)),1+(1-$AU82))</f>
        <v>1</v>
      </c>
      <c r="EF82" s="15">
        <f>MIN(IF($AU82=100%,1,1+VLOOKUP(($AJ82-$AI82-$AH82-$AG82-$AF82-$AE82*(1+EF$3))/$AJ82,'Технический лист'!$I:$J,2,1)-VLOOKUP($AO82,'Технический лист'!$I:$J,2,1)),1+(1-$AU82))</f>
        <v>1</v>
      </c>
      <c r="EG82" s="15">
        <f>MIN(IF($AU82=100%,1,1+VLOOKUP(($AJ82-$AI82-$AH82-$AG82-$AF82-$AE82*(1+EG$3))/$AJ82,'Технический лист'!$I:$J,2,1)-VLOOKUP($AO82,'Технический лист'!$I:$J,2,1)),1+(1-$AU82))</f>
        <v>1</v>
      </c>
      <c r="EH82" s="15">
        <f>MIN(IF($AU82=100%,1,1+VLOOKUP(($AJ82-$AI82-$AH82-$AG82-$AF82-$AE82*(1+EH$3))/$AJ82,'Технический лист'!$I:$J,2,1)-VLOOKUP($AO82,'Технический лист'!$I:$J,2,1)),1+(1-$AU82))</f>
        <v>1</v>
      </c>
      <c r="EI82" s="15">
        <f>MIN(IF($AU82=100%,1,1+VLOOKUP(($AJ82-$AI82-$AH82-$AG82-$AF82-$AE82*(1+EI$3))/$AJ82,'Технический лист'!$I:$J,2,1)-VLOOKUP($AO82,'Технический лист'!$I:$J,2,1)),1+(1-$AU82))</f>
        <v>1</v>
      </c>
      <c r="EJ82" s="15">
        <f>MIN(IF($AU82=100%,1,1+VLOOKUP(($AJ82-$AI82-$AH82-$AG82-$AF82-$AE82*(1+EJ$3))/$AJ82,'Технический лист'!$I:$J,2,1)-VLOOKUP($AO82,'Технический лист'!$I:$J,2,1)),1+(1-$AU82))</f>
        <v>1</v>
      </c>
      <c r="EK82" s="15">
        <f>MIN(IF($AU82=100%,1,1+VLOOKUP(($AJ82-$AI82-$AH82-$AG82-$AF82-$AE82*(1+EK$3))/$AJ82,'Технический лист'!$I:$J,2,1)-VLOOKUP($AO82,'Технический лист'!$I:$J,2,1)),1+(1-$AU82))</f>
        <v>1</v>
      </c>
      <c r="EL82" s="15">
        <f>MIN(IF($AU82=100%,1,1+VLOOKUP(($AJ82-$AI82-$AH82-$AG82-$AF82-$AE82*(1+EL$3))/$AJ82,'Технический лист'!$I:$J,2,1)-VLOOKUP($AO82,'Технический лист'!$I:$J,2,1)),1+(1-$AU82))</f>
        <v>1</v>
      </c>
      <c r="EM82" s="15">
        <f>MIN(IF($AU82=100%,1,1+VLOOKUP(($AJ82-$AI82-$AH82-$AG82-$AF82-$AE82*(1+EM$3))/$AJ82,'Технический лист'!$I:$J,2,1)-VLOOKUP($AO82,'Технический лист'!$I:$J,2,1)),1+(1-$AU82))</f>
        <v>1</v>
      </c>
      <c r="EN82" s="15">
        <f>MIN(IF($AU82=100%,1,1+VLOOKUP(($AJ82-$AI82-$AH82-$AG82-$AF82-$AE82*(1+EN$3))/$AJ82,'Технический лист'!$I:$J,2,1)-VLOOKUP($AO82,'Технический лист'!$I:$J,2,1)),1+(1-$AU82))</f>
        <v>1</v>
      </c>
      <c r="EO82" s="15">
        <f>MIN(IF($AU82=100%,1,1+VLOOKUP(($AJ82-$AI82-$AH82-$AG82-$AF82-$AE82*(1+EO$3))/$AJ82,'Технический лист'!$I:$J,2,1)-VLOOKUP($AO82,'Технический лист'!$I:$J,2,1)),1+(1-$AU82))</f>
        <v>1</v>
      </c>
      <c r="EP82" s="15">
        <f>MIN(IF($AU82=100%,1,1+VLOOKUP(($AJ82-$AI82-$AH82-$AG82-$AF82-$AE82*(1+EP$3))/$AJ82,'Технический лист'!$I:$J,2,1)-VLOOKUP($AO82,'Технический лист'!$I:$J,2,1)),1+(1-$AU82))</f>
        <v>1</v>
      </c>
      <c r="EQ82" s="15">
        <f>MIN(IF($AU82=100%,1,1+VLOOKUP(($AJ82-$AI82-$AH82-$AG82-$AF82-$AE82*(1+EQ$3))/$AJ82,'Технический лист'!$I:$J,2,1)-VLOOKUP($AO82,'Технический лист'!$I:$J,2,1)),1+(1-$AU82))</f>
        <v>1</v>
      </c>
      <c r="ER82" s="15">
        <f>MIN(IF($AU82=100%,1,1+VLOOKUP(($AJ82-$AI82-$AH82-$AG82-$AF82-$AE82*(1+ER$3))/$AJ82,'Технический лист'!$I:$J,2,1)-VLOOKUP($AO82,'Технический лист'!$I:$J,2,1)),1+(1-$AU82))</f>
        <v>1</v>
      </c>
      <c r="ES82" s="15">
        <f>MIN(IF($AU82=100%,1,1+VLOOKUP(($AJ82-$AI82-$AH82-$AG82-$AF82-$AE82*(1+ES$3))/$AJ82,'Технический лист'!$I:$J,2,1)-VLOOKUP($AO82,'Технический лист'!$I:$J,2,1)),1+(1-$AU82))</f>
        <v>1</v>
      </c>
      <c r="ET82" s="15">
        <f>MIN(IF($AU82=100%,1,1+VLOOKUP(($AJ82-$AI82-$AH82-$AG82-$AF82-$AE82*(1+ET$3))/$AJ82,'Технический лист'!$I:$J,2,1)-VLOOKUP($AO82,'Технический лист'!$I:$J,2,1)),1+(1-$AU82))</f>
        <v>1</v>
      </c>
      <c r="EU82" s="15">
        <f>MIN(IF($AU82=100%,1,1+VLOOKUP(($AJ82-$AI82-$AH82-$AG82-$AF82-$AE82*(1+EU$3))/$AJ82,'Технический лист'!$I:$J,2,1)-VLOOKUP($AO82,'Технический лист'!$I:$J,2,1)),1+(1-$AU82))</f>
        <v>1</v>
      </c>
      <c r="EV82" s="111">
        <v>1</v>
      </c>
      <c r="EW82" s="15">
        <f>MIN(1,MAX(VLOOKUP(($AJ82-$AI82-$AH82-$AG82-$AF82-$AE82*(1+EW$3))/$AJ82,'Технический лист'!$A:$B,2,1),(EV82-0.05)))</f>
        <v>1</v>
      </c>
      <c r="EX82" s="15">
        <f>MIN(1,MAX(VLOOKUP(($AJ82-$AI82-$AH82-$AG82-$AF82-$AE82*(1+EX$3))/$AJ82,'Технический лист'!$A:$B,2,1),(EW82-0.05)))</f>
        <v>1</v>
      </c>
      <c r="EY82" s="15">
        <f>MIN(1,MAX(VLOOKUP(($AJ82-$AI82-$AH82-$AG82-$AF82-$AE82*(1+EY$3))/$AJ82,'Технический лист'!$A:$B,2,1),(EX82-0.05)))</f>
        <v>1</v>
      </c>
      <c r="EZ82" s="15">
        <f>MIN(1,MAX(VLOOKUP(($AJ82-$AI82-$AH82-$AG82-$AF82-$AE82*(1+EZ$3))/$AJ82,'Технический лист'!$A:$B,2,1),(EY82-0.05)))</f>
        <v>1</v>
      </c>
      <c r="FA82" s="15">
        <f>MIN(1,MAX(VLOOKUP(($AJ82-$AI82-$AH82-$AG82-$AF82-$AE82*(1+FA$3))/$AJ82,'Технический лист'!$A:$B,2,1),(EZ82-0.05)))</f>
        <v>1</v>
      </c>
      <c r="FB82" s="15">
        <f>MIN(1,MAX(VLOOKUP(($AJ82-$AI82-$AH82-$AG82-$AF82-$AE82*(1+FB$3))/$AJ82,'Технический лист'!$A:$B,2,1),(FA82-0.05)))</f>
        <v>1</v>
      </c>
      <c r="FC82" s="15">
        <f>MIN(1,MAX(VLOOKUP(($AJ82-$AI82-$AH82-$AG82-$AF82-$AE82*(1+FC$3))/$AJ82,'Технический лист'!$A:$B,2,1),(FB82-0.05)))</f>
        <v>1</v>
      </c>
      <c r="FD82" s="15">
        <f>MIN(1,MAX(VLOOKUP(($AJ82-$AI82-$AH82-$AG82-$AF82-$AE82*(1+FD$3))/$AJ82,'Технический лист'!$A:$B,2,1),(FC82-0.05)))</f>
        <v>1</v>
      </c>
      <c r="FE82" s="15">
        <f>MIN(1,MAX(VLOOKUP(($AJ82-$AI82-$AH82-$AG82-$AF82-$AE82*(1+FE$3))/$AJ82,'Технический лист'!$A:$B,2,1),(FD82-0.05)))</f>
        <v>1</v>
      </c>
      <c r="FF82" s="15">
        <f>MIN(1,MAX(VLOOKUP(($AJ82-$AI82-$AH82-$AG82-$AF82-$AE82*(1+FF$3))/$AJ82,'Технический лист'!$A:$B,2,1),(FE82-0.05)))</f>
        <v>1</v>
      </c>
      <c r="FG82" s="15">
        <f>MIN(1,MAX(VLOOKUP(($AJ82-$AI82-$AH82-$AG82-$AF82-$AE82*(1+FG$3))/$AJ82,'Технический лист'!$A:$B,2,1),(FF82-0.05)))</f>
        <v>1</v>
      </c>
      <c r="FH82" s="15">
        <f>MIN(1,MAX(VLOOKUP(($AJ82-$AI82-$AH82-$AG82-$AF82-$AE82*(1+FH$3))/$AJ82,'Технический лист'!$A:$B,2,1),(FG82-0.05)))</f>
        <v>1</v>
      </c>
      <c r="FI82" s="15">
        <f>MIN(1,MAX(VLOOKUP(($AJ82-$AI82-$AH82-$AG82-$AF82-$AE82*(1+FI$3))/$AJ82,'Технический лист'!$A:$B,2,1),(FH82-0.05)))</f>
        <v>1</v>
      </c>
      <c r="FJ82" s="15">
        <f>MIN(1,MAX(VLOOKUP(($AJ82-$AI82-$AH82-$AG82-$AF82-$AE82*(1+FJ$3))/$AJ82,'Технический лист'!$A:$B,2,1),(FI82-0.05)))</f>
        <v>1</v>
      </c>
      <c r="FK82" s="15">
        <f>MIN(1,MAX(VLOOKUP(($AJ82-$AI82-$AH82-$AG82-$AF82-$AE82*(1+FK$3))/$AJ82,'Технический лист'!$A:$B,2,1),(FJ82-0.05)))</f>
        <v>1</v>
      </c>
      <c r="FL82" s="15">
        <f>MIN(1,MAX(VLOOKUP(($AJ82-$AI82-$AH82-$AG82-$AF82-$AE82*(1+FL$3))/$AJ82,'Технический лист'!$A:$B,2,1),(FK82-0.05)))</f>
        <v>1</v>
      </c>
      <c r="FM82" s="15">
        <f>MIN(1,MAX(VLOOKUP(($AJ82-$AI82-$AH82-$AG82-$AF82-$AE82*(1+FM$3))/$AJ82,'Технический лист'!$A:$B,2,1),(FL82-0.05)))</f>
        <v>1</v>
      </c>
      <c r="FN82" s="15">
        <f>MIN(1,MAX(VLOOKUP(($AJ82-$AI82-$AH82-$AG82-$AF82-$AE82*(1+FN$3))/$AJ82,'Технический лист'!$A:$B,2,1),(FM82-0.05)))</f>
        <v>1</v>
      </c>
      <c r="FO82" s="15">
        <f>MIN(1,MAX(VLOOKUP(($AJ82-$AI82-$AH82-$AG82-$AF82-$AE82*(1+FO$3))/$AJ82,'Технический лист'!$A:$B,2,1),(FN82-0.05)))</f>
        <v>1</v>
      </c>
      <c r="FP82" s="15">
        <f>MIN(1,MAX(VLOOKUP(($AJ82-$AI82-$AH82-$AG82-$AF82-$AE82*(1+FP$3))/$AJ82,'Технический лист'!$A:$B,2,1),(FO82-0.05)))</f>
        <v>1</v>
      </c>
      <c r="FQ82" s="15">
        <f>MIN(1,MAX(VLOOKUP(($AJ82-$AI82-$AH82-$AG82-$AF82-$AE82*(1+FQ$3))/$AJ82,'Технический лист'!$A:$B,2,1),(FP82-0.05)))</f>
        <v>1</v>
      </c>
      <c r="FR82" s="15">
        <f>MIN(1,MAX(VLOOKUP(($AJ82-$AI82-$AH82-$AG82-$AF82-$AE82*(1+FR$3))/$AJ82,'Технический лист'!$A:$B,2,1),(FQ82-0.05)))</f>
        <v>1</v>
      </c>
      <c r="FS82" s="15">
        <f>MIN(1,MAX(VLOOKUP(($AJ82-$AI82-$AH82-$AG82-$AF82-$AE82*(1+FS$3))/$AJ82,'Технический лист'!$A:$B,2,1),(FR82-0.05)))</f>
        <v>1</v>
      </c>
      <c r="FT82" s="15">
        <f>MIN(1,MAX(VLOOKUP(($AJ82-$AI82-$AH82-$AG82-$AF82-$AE82*(1+FT$3))/$AJ82,'Технический лист'!$A:$B,2,1),(FS82-0.05)))</f>
        <v>1</v>
      </c>
      <c r="FU82" s="15">
        <f>MIN(1,MAX(VLOOKUP(($AJ82-$AI82-$AH82-$AG82-$AF82-$AE82*(1+FU$3))/$AJ82,'Технический лист'!$A:$B,2,1),(FT82-0.05)))</f>
        <v>1</v>
      </c>
      <c r="FV82" s="15">
        <f>MIN(1,MAX(VLOOKUP(($AJ82-$AI82-$AH82-$AG82-$AF82-$AE82*(1+FV$3))/$AJ82,'Технический лист'!$A:$B,2,1),(FU82-0.05)))</f>
        <v>1</v>
      </c>
      <c r="FW82" s="15">
        <f>MIN(1,MAX(VLOOKUP(($AJ82-$AI82-$AH82-$AG82-$AF82-$AE82*(1+FW$3))/$AJ82,'Технический лист'!$A:$B,2,1),(FV82-0.05)))</f>
        <v>1</v>
      </c>
      <c r="FX82" s="15">
        <f>MIN(1,MAX(VLOOKUP(($AJ82-$AI82-$AH82-$AG82-$AF82-$AE82*(1+FX$3))/$AJ82,'Технический лист'!$A:$B,2,1),(FW82-0.05)))</f>
        <v>1</v>
      </c>
      <c r="FY82" s="15">
        <f>MIN(1,MAX(VLOOKUP(($AJ82-$AI82-$AH82-$AG82-$AF82-$AE82*(1+FY$3))/$AJ82,'Технический лист'!$A:$B,2,1),(FX82-0.05)))</f>
        <v>1</v>
      </c>
      <c r="FZ82" s="15">
        <f>MIN(1,MAX(VLOOKUP(($AJ82-$AI82-$AH82-$AG82-$AF82-$AE82*(1+FZ$3))/$AJ82,'Технический лист'!$A:$B,2,1),(FY82-0.05)))</f>
        <v>1</v>
      </c>
      <c r="GA82" s="15">
        <f>MIN(1,MAX(VLOOKUP(($AJ82-$AI82-$AH82-$AG82-$AF82-$AE82*(1+GA$3))/$AJ82,'Технический лист'!$A:$B,2,1),(FZ82-0.05)))</f>
        <v>1</v>
      </c>
      <c r="GB82" s="15">
        <f>MIN(1,MAX(VLOOKUP(($AJ82-$AI82-$AH82-$AG82-$AF82-$AE82*(1+GB$3))/$AJ82,'Технический лист'!$A:$B,2,1),(GA82-0.05)))</f>
        <v>1</v>
      </c>
      <c r="GC82" s="15">
        <f>MIN(1,MAX(VLOOKUP(($AJ82-$AI82-$AH82-$AG82-$AF82-$AE82*(1+GC$3))/$AJ82,'Технический лист'!$A:$B,2,1),(GB82-0.05)))</f>
        <v>1</v>
      </c>
      <c r="GD82" s="15">
        <f>MIN(1,MAX(VLOOKUP(($AJ82-$AI82-$AH82-$AG82-$AF82-$AE82*(1+GD$3))/$AJ82,'Технический лист'!$A:$B,2,1),(GC82-0.05)))</f>
        <v>1</v>
      </c>
      <c r="GE82" s="15">
        <f>MIN(1,MAX(VLOOKUP(($AJ82-$AI82-$AH82-$AG82-$AF82-$AE82*(1+GE$3))/$AJ82,'Технический лист'!$A:$B,2,1),(GD82-0.05)))</f>
        <v>1</v>
      </c>
      <c r="GF82" s="15">
        <f>MIN(1,MAX(VLOOKUP(($AJ82-$AI82-$AH82-$AG82-$AF82-$AE82*(1+GF$3))/$AJ82,'Технический лист'!$A:$B,2,1),(GE82-0.05)))</f>
        <v>1</v>
      </c>
      <c r="GG82" s="15">
        <f>MIN(1,MAX(VLOOKUP(($AJ82-$AI82-$AH82-$AG82-$AF82-$AE82*(1+GG$3))/$AJ82,'Технический лист'!$A:$B,2,1),(GF82-0.05)))</f>
        <v>1</v>
      </c>
      <c r="GH82" s="15">
        <f>MIN(1,MAX(VLOOKUP(($AJ82-$AI82-$AH82-$AG82-$AF82-$AE82*(1+GH$3))/$AJ82,'Технический лист'!$A:$B,2,1),(GG82-0.05)))</f>
        <v>1</v>
      </c>
      <c r="GI82" s="15">
        <f>MIN(1,MAX(VLOOKUP(($AJ82-$AI82-$AH82-$AG82-$AF82-$AE82*(1+GI$3))/$AJ82,'Технический лист'!$A:$B,2,1),(GH82-0.05)))</f>
        <v>1</v>
      </c>
      <c r="GJ82" s="15">
        <f>MIN(1,MAX(VLOOKUP(($AJ82-$AI82-$AH82-$AG82-$AF82-$AE82*(1+GJ$3))/$AJ82,'Технический лист'!$A:$B,2,1),(GI82-0.05)))</f>
        <v>1</v>
      </c>
      <c r="GK82" s="15">
        <f>MIN(1,MAX(VLOOKUP(($AJ82-$AI82-$AH82-$AG82-$AF82-$AE82*(1+GK$3))/$AJ82,'Технический лист'!$A:$B,2,1),(GJ82-0.05)))</f>
        <v>1</v>
      </c>
      <c r="GL82" s="15">
        <f>MIN(1,MAX(VLOOKUP(($AJ82-$AI82-$AH82-$AG82-$AF82-$AE82*(1+GL$3))/$AJ82,'Технический лист'!$A:$B,2,1),(GK82-0.05)))</f>
        <v>1</v>
      </c>
      <c r="GM82" s="15">
        <f>MIN(1,MAX(VLOOKUP(($AJ82-$AI82-$AH82-$AG82-$AF82-$AE82*(1+GM$3))/$AJ82,'Технический лист'!$A:$B,2,1),(GL82-0.05)))</f>
        <v>1</v>
      </c>
      <c r="GN82" s="15">
        <f>MIN(1,MAX(VLOOKUP(($AJ82-$AI82-$AH82-$AG82-$AF82-$AE82*(1+GN$3))/$AJ82,'Технический лист'!$A:$B,2,1),(GM82-0.05)))</f>
        <v>1</v>
      </c>
      <c r="GO82" s="15">
        <f>MIN(1,MAX(VLOOKUP(($AJ82-$AI82-$AH82-$AG82-$AF82-$AE82*(1+GO$3))/$AJ82,'Технический лист'!$A:$B,2,1),(GN82-0.05)))</f>
        <v>1</v>
      </c>
      <c r="GP82" s="15">
        <f>MIN(1,MAX(VLOOKUP(($AJ82-$AI82-$AH82-$AG82-$AF82-$AE82*(1+GP$3))/$AJ82,'Технический лист'!$A:$B,2,1),(GO82-0.05)))</f>
        <v>1</v>
      </c>
      <c r="GQ82" s="15">
        <f>MIN(1,MAX(VLOOKUP(($AJ82-$AI82-$AH82-$AG82-$AF82-$AE82*(1+GQ$3))/$AJ82,'Технический лист'!$A:$B,2,1),(GP82-0.05)))</f>
        <v>1</v>
      </c>
      <c r="GR82" s="15">
        <f>MIN(1,MAX(VLOOKUP(($AJ82-$AI82-$AH82-$AG82-$AF82-$AE82*(1+GR$3))/$AJ82,'Технический лист'!$A:$B,2,1),(GQ82-0.05)))</f>
        <v>1</v>
      </c>
      <c r="GS82" s="15">
        <f>MIN(1,MAX(VLOOKUP(($AJ82-$AI82-$AH82-$AG82-$AF82-$AE82*(1+GS$3))/$AJ82,'Технический лист'!$A:$B,2,1),(GR82-0.05)))</f>
        <v>1</v>
      </c>
      <c r="GT82" s="15">
        <f>MIN(1,MAX(VLOOKUP(($AJ82-$AI82-$AH82-$AG82-$AF82-$AE82*(1+GT$3))/$AJ82,'Технический лист'!$A:$B,2,1),(GS82-0.05)))</f>
        <v>1</v>
      </c>
      <c r="GU82" s="15">
        <f>MIN(1,MAX(VLOOKUP(($AJ82-$AI82-$AH82-$AG82-$AF82-$AE82*(1+GU$3))/$AJ82,'Технический лист'!$A:$B,2,1),(GT82-0.05)))</f>
        <v>1</v>
      </c>
      <c r="GV82" s="15">
        <f>MIN(1,MAX(VLOOKUP(($AJ82-$AI82-$AH82-$AG82-$AF82-$AE82*(1+GV$3))/$AJ82,'Технический лист'!$A:$B,2,1),(GU82-0.05)))</f>
        <v>1</v>
      </c>
      <c r="GW82" s="15">
        <f>MIN(1,MAX(VLOOKUP(($AJ82-$AI82-$AH82-$AG82-$AF82-$AE82*(1+GW$3))/$AJ82,'Технический лист'!$A:$B,2,1),(GV82-0.05)))</f>
        <v>1</v>
      </c>
      <c r="GX82" s="15">
        <f>MIN(1,MAX(VLOOKUP(($AJ82-$AI82-$AH82-$AG82-$AF82-$AE82*(1+GX$3))/$AJ82,'Технический лист'!$A:$B,2,1),(GW82-0.05)))</f>
        <v>1</v>
      </c>
      <c r="GY82" s="15">
        <f>MIN(1,MAX(VLOOKUP(($AJ82-$AI82-$AH82-$AG82-$AF82-$AE82*(1+GY$3))/$AJ82,'Технический лист'!$A:$B,2,1),(GX82-0.05)))</f>
        <v>1</v>
      </c>
      <c r="GZ82" s="15">
        <f>MIN(1,MAX(VLOOKUP(($AJ82-$AI82-$AH82-$AG82-$AF82-$AE82*(1+GZ$3))/$AJ82,'Технический лист'!$A:$B,2,1),(GY82-0.05)))</f>
        <v>1</v>
      </c>
      <c r="HA82" s="15">
        <f>MIN(1,MAX(VLOOKUP(($AJ82-$AI82-$AH82-$AG82-$AF82-$AE82*(1+HA$3))/$AJ82,'Технический лист'!$A:$B,2,1),(GZ82-0.05)))</f>
        <v>1</v>
      </c>
      <c r="HB82" s="15">
        <f>MIN(1,MAX(VLOOKUP(($AJ82-$AI82-$AH82-$AG82-$AF82-$AE82*(1+HB$3))/$AJ82,'Технический лист'!$A:$B,2,1),(HA82-0.05)))</f>
        <v>1</v>
      </c>
      <c r="HC82" s="15">
        <f>MIN(1,MAX(VLOOKUP(($AJ82-$AI82-$AH82-$AG82-$AF82-$AE82*(1+HC$3))/$AJ82,'Технический лист'!$A:$B,2,1),(HB82-0.05)))</f>
        <v>1</v>
      </c>
      <c r="HD82" s="15">
        <f>MIN(1,MAX(VLOOKUP(($AJ82-$AI82-$AH82-$AG82-$AF82-$AE82*(1+HD$3))/$AJ82,'Технический лист'!$A:$B,2,1),(HC82-0.05)))</f>
        <v>1</v>
      </c>
      <c r="HE82" s="15">
        <f>MIN(1,MAX(VLOOKUP(($AJ82-$AI82-$AH82-$AG82-$AF82-$AE82*(1+HE$3))/$AJ82,'Технический лист'!$A:$B,2,1),(HD82-0.05)))</f>
        <v>1</v>
      </c>
      <c r="HF82" s="15">
        <f>MIN(1,MAX(VLOOKUP(($AJ82-$AI82-$AH82-$AG82-$AF82-$AE82*(1+HF$3))/$AJ82,'Технический лист'!$A:$B,2,1),(HE82-0.05)))</f>
        <v>1</v>
      </c>
      <c r="HG82" s="15">
        <f>MIN(1,MAX(VLOOKUP(($AJ82-$AI82-$AH82-$AG82-$AF82-$AE82*(1+HG$3))/$AJ82,'Технический лист'!$A:$B,2,1),(HF82-0.05)))</f>
        <v>1</v>
      </c>
      <c r="HH82" s="15">
        <f>MIN(1,MAX(VLOOKUP(($AJ82-$AI82-$AH82-$AG82-$AF82-$AE82*(1+HH$3))/$AJ82,'Технический лист'!$A:$B,2,1),(HG82-0.05)))</f>
        <v>1</v>
      </c>
      <c r="HI82" s="15">
        <f>MIN(1,MAX(VLOOKUP(($AJ82-$AI82-$AH82-$AG82-$AF82-$AE82*(1+HI$3))/$AJ82,'Технический лист'!$A:$B,2,1),(HH82-0.05)))</f>
        <v>1</v>
      </c>
      <c r="HJ82" s="15">
        <f>MIN(1,MAX(VLOOKUP(($AJ82-$AI82-$AH82-$AG82-$AF82-$AE82*(1+HJ$3))/$AJ82,'Технический лист'!$A:$B,2,1),(HI82-0.05)))</f>
        <v>1</v>
      </c>
      <c r="HK82" s="15">
        <f>MIN(1,MAX(VLOOKUP(($AJ82-$AI82-$AH82-$AG82-$AF82-$AE82*(1+HK$3))/$AJ82,'Технический лист'!$A:$B,2,1),(HJ82-0.05)))</f>
        <v>1</v>
      </c>
      <c r="HL82" s="15">
        <f>MIN(1,MAX(VLOOKUP(($AJ82-$AI82-$AH82-$AG82-$AF82-$AE82*(1+HL$3))/$AJ82,'Технический лист'!$A:$B,2,1),(HK82-0.05)))</f>
        <v>1</v>
      </c>
      <c r="HM82" s="15">
        <f>MIN(1,MAX(VLOOKUP(($AJ82-$AI82-$AH82-$AG82-$AF82-$AE82*(1+HM$3))/$AJ82,'Технический лист'!$A:$B,2,1),(HL82-0.05)))</f>
        <v>1</v>
      </c>
      <c r="HN82" s="15">
        <f>MIN(1,MAX(VLOOKUP(($AJ82-$AI82-$AH82-$AG82-$AF82-$AE82*(1+HN$3))/$AJ82,'Технический лист'!$A:$B,2,1),(HM82-0.05)))</f>
        <v>1</v>
      </c>
      <c r="HO82" s="15">
        <f>MIN(1,MAX(VLOOKUP(($AJ82-$AI82-$AH82-$AG82-$AF82-$AE82*(1+HO$3))/$AJ82,'Технический лист'!$A:$B,2,1),(HN82-0.05)))</f>
        <v>1</v>
      </c>
      <c r="HP82" s="15">
        <f>MIN(1,MAX(VLOOKUP(($AJ82-$AI82-$AH82-$AG82-$AF82-$AE82*(1+HP$3))/$AJ82,'Технический лист'!$A:$B,2,1),(HO82-0.05)))</f>
        <v>1</v>
      </c>
      <c r="HQ82" s="15">
        <f>MIN(1,MAX(VLOOKUP(($AJ82-$AI82-$AH82-$AG82-$AF82-$AE82*(1+HQ$3))/$AJ82,'Технический лист'!$A:$B,2,1),(HP82-0.05)))</f>
        <v>1</v>
      </c>
      <c r="HR82" s="15">
        <f>MIN(1,MAX(VLOOKUP(($AJ82-$AI82-$AH82-$AG82-$AF82-$AE82*(1+HR$3))/$AJ82,'Технический лист'!$A:$B,2,1),(HQ82-0.05)))</f>
        <v>1</v>
      </c>
      <c r="HS82" s="15">
        <f>MIN(1,MAX(VLOOKUP(($AJ82-$AI82-$AH82-$AG82-$AF82-$AE82*(1+HS$3))/$AJ82,'Технический лист'!$A:$B,2,1),(HR82-0.05)))</f>
        <v>1</v>
      </c>
      <c r="HT82" s="15">
        <f>MIN(1,MAX(VLOOKUP(($AJ82-$AI82-$AH82-$AG82-$AF82-$AE82*(1+HT$3))/$AJ82,'Технический лист'!$A:$B,2,1),(HS82-0.05)))</f>
        <v>1</v>
      </c>
      <c r="HU82" s="15">
        <f>MIN(1,MAX(VLOOKUP(($AJ82-$AI82-$AH82-$AG82-$AF82-$AE82*(1+HU$3))/$AJ82,'Технический лист'!$A:$B,2,1),(HT82-0.05)))</f>
        <v>1</v>
      </c>
      <c r="HV82" s="15">
        <f>MIN(1,MAX(VLOOKUP(($AJ82-$AI82-$AH82-$AG82-$AF82-$AE82*(1+HV$3))/$AJ82,'Технический лист'!$A:$B,2,1),(HU82-0.05)))</f>
        <v>1</v>
      </c>
      <c r="HW82" s="15">
        <f>MIN(1,MAX(VLOOKUP(($AJ82-$AI82-$AH82-$AG82-$AF82-$AE82*(1+HW$3))/$AJ82,'Технический лист'!$A:$B,2,1),(HV82-0.05)))</f>
        <v>1</v>
      </c>
      <c r="HX82" s="15">
        <f>MIN(1,MAX(VLOOKUP(($AJ82-$AI82-$AH82-$AG82-$AF82-$AE82*(1+HX$3))/$AJ82,'Технический лист'!$A:$B,2,1),(HW82-0.05)))</f>
        <v>1</v>
      </c>
      <c r="HY82" s="15">
        <f>MIN(1,MAX(VLOOKUP(($AJ82-$AI82-$AH82-$AG82-$AF82-$AE82*(1+HY$3))/$AJ82,'Технический лист'!$A:$B,2,1),(HX82-0.05)))</f>
        <v>1</v>
      </c>
      <c r="HZ82" s="15">
        <f>MIN(1,MAX(VLOOKUP(($AJ82-$AI82-$AH82-$AG82-$AF82-$AE82*(1+HZ$3))/$AJ82,'Технический лист'!$A:$B,2,1),(HY82-0.05)))</f>
        <v>1</v>
      </c>
      <c r="IA82" s="15">
        <f>MIN(1,MAX(VLOOKUP(($AJ82-$AI82-$AH82-$AG82-$AF82-$AE82*(1+IA$3))/$AJ82,'Технический лист'!$A:$B,2,1),(HZ82-0.05)))</f>
        <v>1</v>
      </c>
      <c r="IB82" s="15">
        <f>MIN(1,MAX(VLOOKUP(($AJ82-$AI82-$AH82-$AG82-$AF82-$AE82*(1+IB$3))/$AJ82,'Технический лист'!$A:$B,2,1),(IA82-0.05)))</f>
        <v>1</v>
      </c>
      <c r="IC82" s="15">
        <f>MIN(1,MAX(VLOOKUP(($AJ82-$AI82-$AH82-$AG82-$AF82-$AE82*(1+IC$3))/$AJ82,'Технический лист'!$A:$B,2,1),(IB82-0.05)))</f>
        <v>1</v>
      </c>
      <c r="ID82" s="15">
        <f>MIN(1,MAX(VLOOKUP(($AJ82-$AI82-$AH82-$AG82-$AF82-$AE82*(1+ID$3))/$AJ82,'Технический лист'!$A:$B,2,1),(IC82-0.05)))</f>
        <v>1</v>
      </c>
      <c r="IE82" s="15">
        <f>MIN(1,MAX(VLOOKUP(($AJ82-$AI82-$AH82-$AG82-$AF82-$AE82*(1+IE$3))/$AJ82,'Технический лист'!$A:$B,2,1),(ID82-0.05)))</f>
        <v>1</v>
      </c>
      <c r="IF82" s="15">
        <f>MIN(1,MAX(VLOOKUP(($AJ82-$AI82-$AH82-$AG82-$AF82-$AE82*(1+IF$3))/$AJ82,'Технический лист'!$A:$B,2,1),(IE82-0.05)))</f>
        <v>1</v>
      </c>
      <c r="IG82" s="15">
        <f>MIN(1,MAX(VLOOKUP(($AJ82-$AI82-$AH82-$AG82-$AF82-$AE82*(1+IG$3))/$AJ82,'Технический лист'!$A:$B,2,1),(IF82-0.05)))</f>
        <v>1</v>
      </c>
      <c r="IH82" s="15">
        <f>MIN(1,MAX(VLOOKUP(($AJ82-$AI82-$AH82-$AG82-$AF82-$AE82*(1+IH$3))/$AJ82,'Технический лист'!$A:$B,2,1),(IG82-0.05)))</f>
        <v>1</v>
      </c>
      <c r="II82" s="15">
        <f>MIN(1,MAX(VLOOKUP(($AJ82-$AI82-$AH82-$AG82-$AF82-$AE82*(1+II$3))/$AJ82,'Технический лист'!$A:$B,2,1),(IH82-0.05)))</f>
        <v>1</v>
      </c>
      <c r="IJ82" s="15">
        <f>MIN(1,MAX(VLOOKUP(($AJ82-$AI82-$AH82-$AG82-$AF82-$AE82*(1+IJ$3))/$AJ82,'Технический лист'!$A:$B,2,1),(II82-0.05)))</f>
        <v>1</v>
      </c>
      <c r="IK82" s="15">
        <f>MIN(1,MAX(VLOOKUP(($AJ82-$AI82-$AH82-$AG82-$AF82-$AE82*(1+IK$3))/$AJ82,'Технический лист'!$A:$B,2,1),(IJ82-0.05)))</f>
        <v>1</v>
      </c>
      <c r="IL82" s="15">
        <f>MIN(1,MAX(VLOOKUP(($AJ82-$AI82-$AH82-$AG82-$AF82-$AE82*(1+IL$3))/$AJ82,'Технический лист'!$A:$B,2,1),(IK82-0.05)))</f>
        <v>1</v>
      </c>
      <c r="IM82" s="15">
        <f>MIN(1,MAX(VLOOKUP(($AJ82-$AI82-$AH82-$AG82-$AF82-$AE82*(1+IM$3))/$AJ82,'Технический лист'!$A:$B,2,1),(IL82-0.05)))</f>
        <v>1</v>
      </c>
      <c r="IN82" s="15">
        <f>MIN(1,MAX(VLOOKUP(($AJ82-$AI82-$AH82-$AG82-$AF82-$AE82*(1+IN$3))/$AJ82,'Технический лист'!$A:$B,2,1),(IM82-0.05)))</f>
        <v>1</v>
      </c>
      <c r="IO82" s="15">
        <f>MIN(1,MAX(VLOOKUP(($AJ82-$AI82-$AH82-$AG82-$AF82-$AE82*(1+IO$3))/$AJ82,'Технический лист'!$A:$B,2,1),(IN82-0.05)))</f>
        <v>1</v>
      </c>
      <c r="IP82" s="15">
        <f>MIN(1,MAX(VLOOKUP(($AJ82-$AI82-$AH82-$AG82-$AF82-$AE82*(1+IP$3))/$AJ82,'Технический лист'!$A:$B,2,1),(IO82-0.05)))</f>
        <v>1</v>
      </c>
      <c r="IQ82" s="15">
        <f>MIN(1,MAX(VLOOKUP(($AJ82-$AI82-$AH82-$AG82-$AF82-$AE82*(1+IQ$3))/$AJ82,'Технический лист'!$A:$B,2,1),(IP82-0.05)))</f>
        <v>1</v>
      </c>
      <c r="IR82" s="15">
        <f>MIN(1,MAX(VLOOKUP(($AJ82-$AI82-$AH82-$AG82-$AF82-$AE82*(1+IR$3))/$AJ82,'Технический лист'!$A:$B,2,1),(IQ82-0.05)))</f>
        <v>1</v>
      </c>
    </row>
    <row r="83" spans="1:252" ht="29.15">
      <c r="A83" s="89" t="s">
        <v>515</v>
      </c>
      <c r="B83" s="90">
        <v>5</v>
      </c>
      <c r="C83" s="5" t="s">
        <v>68</v>
      </c>
      <c r="D83" s="91">
        <v>31407</v>
      </c>
      <c r="E83" s="91" t="s">
        <v>343</v>
      </c>
      <c r="F83" s="92" t="s">
        <v>77</v>
      </c>
      <c r="G83" s="91" t="s">
        <v>50</v>
      </c>
      <c r="H83" s="91" t="s">
        <v>20</v>
      </c>
      <c r="I83" s="91" t="s">
        <v>83</v>
      </c>
      <c r="J83" s="91" t="s">
        <v>158</v>
      </c>
      <c r="K83" s="91">
        <v>2200</v>
      </c>
      <c r="L83" s="85" t="s">
        <v>64</v>
      </c>
      <c r="M83" s="91" t="s">
        <v>17</v>
      </c>
      <c r="N83" s="91" t="s">
        <v>191</v>
      </c>
      <c r="O83" s="91" t="s">
        <v>193</v>
      </c>
      <c r="P83" s="89" t="s">
        <v>197</v>
      </c>
      <c r="Q83" s="91" t="s">
        <v>251</v>
      </c>
      <c r="R83" s="91" t="s">
        <v>251</v>
      </c>
      <c r="S83" s="82">
        <v>890346</v>
      </c>
      <c r="T83" s="82">
        <v>1958871902</v>
      </c>
      <c r="U83" s="81">
        <v>13011</v>
      </c>
      <c r="V83" s="81">
        <v>0</v>
      </c>
      <c r="W83" s="82">
        <v>3066267829</v>
      </c>
      <c r="X83" s="112">
        <v>67</v>
      </c>
      <c r="Y83" s="112" t="s">
        <v>418</v>
      </c>
      <c r="Z83" s="113">
        <v>7</v>
      </c>
      <c r="AA83" s="113">
        <v>7</v>
      </c>
      <c r="AB83" s="113">
        <v>4</v>
      </c>
      <c r="AC83" s="99">
        <v>3881.48</v>
      </c>
      <c r="AD83" s="99">
        <f t="shared" si="35"/>
        <v>627.62000000000035</v>
      </c>
      <c r="AE83" s="99">
        <v>4509.1000000000004</v>
      </c>
      <c r="AF83" s="98">
        <f>(Z83+AA83+AB83)*'Ставки аренды'!$B$3/X83</f>
        <v>188.0597014925373</v>
      </c>
      <c r="AG83" s="114">
        <f>'Ставки перевалки'!$B$10*'Курсы валют'!$B$2</f>
        <v>763.05499999999995</v>
      </c>
      <c r="AH83" s="94">
        <v>0</v>
      </c>
      <c r="AI83" s="115">
        <f t="shared" ref="AI83:AI88" si="36">0.71*AJ83</f>
        <v>23837.838199999998</v>
      </c>
      <c r="AJ83" s="117">
        <f>Цены!$C$6*'Курсы валют'!$B$2</f>
        <v>33574.42</v>
      </c>
      <c r="AK83" s="94">
        <f>AJ83/Цены!$B$1</f>
        <v>440</v>
      </c>
      <c r="AL83" s="95">
        <f t="shared" si="24"/>
        <v>5460.2147014925376</v>
      </c>
      <c r="AM83" s="95">
        <f t="shared" si="25"/>
        <v>28114.205298507462</v>
      </c>
      <c r="AN83" s="94">
        <f t="shared" si="22"/>
        <v>29298.052901492534</v>
      </c>
      <c r="AO83" s="118">
        <f t="shared" si="23"/>
        <v>0.12736979815310182</v>
      </c>
      <c r="AP83" s="96">
        <f t="shared" si="26"/>
        <v>0.16263020184689825</v>
      </c>
      <c r="AQ83" s="96">
        <f t="shared" si="27"/>
        <v>0.13430164988702711</v>
      </c>
      <c r="AR83" s="96">
        <f t="shared" si="28"/>
        <v>0.8258100178308827</v>
      </c>
      <c r="AS83" s="122">
        <v>1</v>
      </c>
      <c r="AT83" s="121">
        <f t="shared" si="29"/>
        <v>890346</v>
      </c>
      <c r="AU83" s="83">
        <v>0.75</v>
      </c>
      <c r="AV83" s="119">
        <f t="shared" si="30"/>
        <v>0.11125360016665843</v>
      </c>
      <c r="AW83" s="120">
        <f t="shared" si="31"/>
        <v>0.17874639983334153</v>
      </c>
      <c r="AX83" s="120">
        <f t="shared" si="32"/>
        <v>0.15041784787347037</v>
      </c>
      <c r="AY83" s="120">
        <f t="shared" si="33"/>
        <v>0.8415153984288134</v>
      </c>
      <c r="AZ83" s="15">
        <f>MIN(IF($AU83=100%,1,1+VLOOKUP(($AJ83-$AI83-$AH83-$AG83-$AF83-$AE83*(1+AZ$3))/$AJ83,'Технический лист'!$I:$J,2,1)-VLOOKUP($AO83,'Технический лист'!$I:$J,2,1)),1+(1-$AU83))</f>
        <v>1.25</v>
      </c>
      <c r="BA83" s="15">
        <f>MIN(IF($AU83=100%,1,1+VLOOKUP(($AJ83-$AI83-$AH83-$AG83-$AF83-$AE83*(1+BA$3))/$AJ83,'Технический лист'!$I:$J,2,1)-VLOOKUP($AO83,'Технический лист'!$I:$J,2,1)),1+(1-$AU83))</f>
        <v>1.25</v>
      </c>
      <c r="BB83" s="15">
        <f>MIN(IF($AU83=100%,1,1+VLOOKUP(($AJ83-$AI83-$AH83-$AG83-$AF83-$AE83*(1+BB$3))/$AJ83,'Технический лист'!$I:$J,2,1)-VLOOKUP($AO83,'Технический лист'!$I:$J,2,1)),1+(1-$AU83))</f>
        <v>1.25</v>
      </c>
      <c r="BC83" s="15">
        <f>MIN(IF($AU83=100%,1,1+VLOOKUP(($AJ83-$AI83-$AH83-$AG83-$AF83-$AE83*(1+BC$3))/$AJ83,'Технический лист'!$I:$J,2,1)-VLOOKUP($AO83,'Технический лист'!$I:$J,2,1)),1+(1-$AU83))</f>
        <v>1.25</v>
      </c>
      <c r="BD83" s="15">
        <f>MIN(IF($AU83=100%,1,1+VLOOKUP(($AJ83-$AI83-$AH83-$AG83-$AF83-$AE83*(1+BD$3))/$AJ83,'Технический лист'!$I:$J,2,1)-VLOOKUP($AO83,'Технический лист'!$I:$J,2,1)),1+(1-$AU83))</f>
        <v>1.25</v>
      </c>
      <c r="BE83" s="15">
        <f>MIN(IF($AU83=100%,1,1+VLOOKUP(($AJ83-$AI83-$AH83-$AG83-$AF83-$AE83*(1+BE$3))/$AJ83,'Технический лист'!$I:$J,2,1)-VLOOKUP($AO83,'Технический лист'!$I:$J,2,1)),1+(1-$AU83))</f>
        <v>1.25</v>
      </c>
      <c r="BF83" s="15">
        <f>MIN(IF($AU83=100%,1,1+VLOOKUP(($AJ83-$AI83-$AH83-$AG83-$AF83-$AE83*(1+BF$3))/$AJ83,'Технический лист'!$I:$J,2,1)-VLOOKUP($AO83,'Технический лист'!$I:$J,2,1)),1+(1-$AU83))</f>
        <v>1.25</v>
      </c>
      <c r="BG83" s="15">
        <f>MIN(IF($AU83=100%,1,1+VLOOKUP(($AJ83-$AI83-$AH83-$AG83-$AF83-$AE83*(1+BG$3))/$AJ83,'Технический лист'!$I:$J,2,1)-VLOOKUP($AO83,'Технический лист'!$I:$J,2,1)),1+(1-$AU83))</f>
        <v>1.25</v>
      </c>
      <c r="BH83" s="15">
        <f>MIN(IF($AU83=100%,1,1+VLOOKUP(($AJ83-$AI83-$AH83-$AG83-$AF83-$AE83*(1+BH$3))/$AJ83,'Технический лист'!$I:$J,2,1)-VLOOKUP($AO83,'Технический лист'!$I:$J,2,1)),1+(1-$AU83))</f>
        <v>1.25</v>
      </c>
      <c r="BI83" s="15">
        <f>MIN(IF($AU83=100%,1,1+VLOOKUP(($AJ83-$AI83-$AH83-$AG83-$AF83-$AE83*(1+BI$3))/$AJ83,'Технический лист'!$I:$J,2,1)-VLOOKUP($AO83,'Технический лист'!$I:$J,2,1)),1+(1-$AU83))</f>
        <v>1.25</v>
      </c>
      <c r="BJ83" s="15">
        <f>MIN(IF($AU83=100%,1,1+VLOOKUP(($AJ83-$AI83-$AH83-$AG83-$AF83-$AE83*(1+BJ$3))/$AJ83,'Технический лист'!$I:$J,2,1)-VLOOKUP($AO83,'Технический лист'!$I:$J,2,1)),1+(1-$AU83))</f>
        <v>1.25</v>
      </c>
      <c r="BK83" s="15">
        <f>MIN(IF($AU83=100%,1,1+VLOOKUP(($AJ83-$AI83-$AH83-$AG83-$AF83-$AE83*(1+BK$3))/$AJ83,'Технический лист'!$I:$J,2,1)-VLOOKUP($AO83,'Технический лист'!$I:$J,2,1)),1+(1-$AU83))</f>
        <v>1.25</v>
      </c>
      <c r="BL83" s="15">
        <f>MIN(IF($AU83=100%,1,1+VLOOKUP(($AJ83-$AI83-$AH83-$AG83-$AF83-$AE83*(1+BL$3))/$AJ83,'Технический лист'!$I:$J,2,1)-VLOOKUP($AO83,'Технический лист'!$I:$J,2,1)),1+(1-$AU83))</f>
        <v>1.25</v>
      </c>
      <c r="BM83" s="15">
        <f>MIN(IF($AU83=100%,1,1+VLOOKUP(($AJ83-$AI83-$AH83-$AG83-$AF83-$AE83*(1+BM$3))/$AJ83,'Технический лист'!$I:$J,2,1)-VLOOKUP($AO83,'Технический лист'!$I:$J,2,1)),1+(1-$AU83))</f>
        <v>1.25</v>
      </c>
      <c r="BN83" s="15">
        <f>MIN(IF($AU83=100%,1,1+VLOOKUP(($AJ83-$AI83-$AH83-$AG83-$AF83-$AE83*(1+BN$3))/$AJ83,'Технический лист'!$I:$J,2,1)-VLOOKUP($AO83,'Технический лист'!$I:$J,2,1)),1+(1-$AU83))</f>
        <v>1.25</v>
      </c>
      <c r="BO83" s="15">
        <f>MIN(IF($AU83=100%,1,1+VLOOKUP(($AJ83-$AI83-$AH83-$AG83-$AF83-$AE83*(1+BO$3))/$AJ83,'Технический лист'!$I:$J,2,1)-VLOOKUP($AO83,'Технический лист'!$I:$J,2,1)),1+(1-$AU83))</f>
        <v>1.25</v>
      </c>
      <c r="BP83" s="15">
        <f>MIN(IF($AU83=100%,1,1+VLOOKUP(($AJ83-$AI83-$AH83-$AG83-$AF83-$AE83*(1+BP$3))/$AJ83,'Технический лист'!$I:$J,2,1)-VLOOKUP($AO83,'Технический лист'!$I:$J,2,1)),1+(1-$AU83))</f>
        <v>1.25</v>
      </c>
      <c r="BQ83" s="15">
        <f>MIN(IF($AU83=100%,1,1+VLOOKUP(($AJ83-$AI83-$AH83-$AG83-$AF83-$AE83*(1+BQ$3))/$AJ83,'Технический лист'!$I:$J,2,1)-VLOOKUP($AO83,'Технический лист'!$I:$J,2,1)),1+(1-$AU83))</f>
        <v>1.25</v>
      </c>
      <c r="BR83" s="15">
        <f>MIN(IF($AU83=100%,1,1+VLOOKUP(($AJ83-$AI83-$AH83-$AG83-$AF83-$AE83*(1+BR$3))/$AJ83,'Технический лист'!$I:$J,2,1)-VLOOKUP($AO83,'Технический лист'!$I:$J,2,1)),1+(1-$AU83))</f>
        <v>1.25</v>
      </c>
      <c r="BS83" s="15">
        <f>MIN(IF($AU83=100%,1,1+VLOOKUP(($AJ83-$AI83-$AH83-$AG83-$AF83-$AE83*(1+BS$3))/$AJ83,'Технический лист'!$I:$J,2,1)-VLOOKUP($AO83,'Технический лист'!$I:$J,2,1)),1+(1-$AU83))</f>
        <v>1.25</v>
      </c>
      <c r="BT83" s="15">
        <f>MIN(IF($AU83=100%,1,1+VLOOKUP(($AJ83-$AI83-$AH83-$AG83-$AF83-$AE83*(1+BT$3))/$AJ83,'Технический лист'!$I:$J,2,1)-VLOOKUP($AO83,'Технический лист'!$I:$J,2,1)),1+(1-$AU83))</f>
        <v>1.25</v>
      </c>
      <c r="BU83" s="15">
        <f>MIN(IF($AU83=100%,1,1+VLOOKUP(($AJ83-$AI83-$AH83-$AG83-$AF83-$AE83*(1+BU$3))/$AJ83,'Технический лист'!$I:$J,2,1)-VLOOKUP($AO83,'Технический лист'!$I:$J,2,1)),1+(1-$AU83))</f>
        <v>1.25</v>
      </c>
      <c r="BV83" s="15">
        <f>MIN(IF($AU83=100%,1,1+VLOOKUP(($AJ83-$AI83-$AH83-$AG83-$AF83-$AE83*(1+BV$3))/$AJ83,'Технический лист'!$I:$J,2,1)-VLOOKUP($AO83,'Технический лист'!$I:$J,2,1)),1+(1-$AU83))</f>
        <v>1.25</v>
      </c>
      <c r="BW83" s="15">
        <f>MIN(IF($AU83=100%,1,1+VLOOKUP(($AJ83-$AI83-$AH83-$AG83-$AF83-$AE83*(1+BW$3))/$AJ83,'Технический лист'!$I:$J,2,1)-VLOOKUP($AO83,'Технический лист'!$I:$J,2,1)),1+(1-$AU83))</f>
        <v>1.25</v>
      </c>
      <c r="BX83" s="15">
        <f>MIN(IF($AU83=100%,1,1+VLOOKUP(($AJ83-$AI83-$AH83-$AG83-$AF83-$AE83*(1+BX$3))/$AJ83,'Технический лист'!$I:$J,2,1)-VLOOKUP($AO83,'Технический лист'!$I:$J,2,1)),1+(1-$AU83))</f>
        <v>1.25</v>
      </c>
      <c r="BY83" s="15">
        <f>MIN(IF($AU83=100%,1,1+VLOOKUP(($AJ83-$AI83-$AH83-$AG83-$AF83-$AE83*(1+BY$3))/$AJ83,'Технический лист'!$I:$J,2,1)-VLOOKUP($AO83,'Технический лист'!$I:$J,2,1)),1+(1-$AU83))</f>
        <v>1.25</v>
      </c>
      <c r="BZ83" s="15">
        <f>MIN(IF($AU83=100%,1,1+VLOOKUP(($AJ83-$AI83-$AH83-$AG83-$AF83-$AE83*(1+BZ$3))/$AJ83,'Технический лист'!$I:$J,2,1)-VLOOKUP($AO83,'Технический лист'!$I:$J,2,1)),1+(1-$AU83))</f>
        <v>1.25</v>
      </c>
      <c r="CA83" s="15">
        <f>MIN(IF($AU83=100%,1,1+VLOOKUP(($AJ83-$AI83-$AH83-$AG83-$AF83-$AE83*(1+CA$3))/$AJ83,'Технический лист'!$I:$J,2,1)-VLOOKUP($AO83,'Технический лист'!$I:$J,2,1)),1+(1-$AU83))</f>
        <v>1.25</v>
      </c>
      <c r="CB83" s="15">
        <f>MIN(IF($AU83=100%,1,1+VLOOKUP(($AJ83-$AI83-$AH83-$AG83-$AF83-$AE83*(1+CB$3))/$AJ83,'Технический лист'!$I:$J,2,1)-VLOOKUP($AO83,'Технический лист'!$I:$J,2,1)),1+(1-$AU83))</f>
        <v>1.25</v>
      </c>
      <c r="CC83" s="15">
        <f>MIN(IF($AU83=100%,1,1+VLOOKUP(($AJ83-$AI83-$AH83-$AG83-$AF83-$AE83*(1+CC$3))/$AJ83,'Технический лист'!$I:$J,2,1)-VLOOKUP($AO83,'Технический лист'!$I:$J,2,1)),1+(1-$AU83))</f>
        <v>1.25</v>
      </c>
      <c r="CD83" s="15">
        <f>MIN(IF($AU83=100%,1,1+VLOOKUP(($AJ83-$AI83-$AH83-$AG83-$AF83-$AE83*(1+CD$3))/$AJ83,'Технический лист'!$I:$J,2,1)-VLOOKUP($AO83,'Технический лист'!$I:$J,2,1)),1+(1-$AU83))</f>
        <v>1.25</v>
      </c>
      <c r="CE83" s="15">
        <f>MIN(IF($AU83=100%,1,1+VLOOKUP(($AJ83-$AI83-$AH83-$AG83-$AF83-$AE83*(1+CE$3))/$AJ83,'Технический лист'!$I:$J,2,1)-VLOOKUP($AO83,'Технический лист'!$I:$J,2,1)),1+(1-$AU83))</f>
        <v>1.25</v>
      </c>
      <c r="CF83" s="15">
        <f>MIN(IF($AU83=100%,1,1+VLOOKUP(($AJ83-$AI83-$AH83-$AG83-$AF83-$AE83*(1+CF$3))/$AJ83,'Технический лист'!$I:$J,2,1)-VLOOKUP($AO83,'Технический лист'!$I:$J,2,1)),1+(1-$AU83))</f>
        <v>1.25</v>
      </c>
      <c r="CG83" s="15">
        <f>MIN(IF($AU83=100%,1,1+VLOOKUP(($AJ83-$AI83-$AH83-$AG83-$AF83-$AE83*(1+CG$3))/$AJ83,'Технический лист'!$I:$J,2,1)-VLOOKUP($AO83,'Технический лист'!$I:$J,2,1)),1+(1-$AU83))</f>
        <v>1.25</v>
      </c>
      <c r="CH83" s="15">
        <f>MIN(IF($AU83=100%,1,1+VLOOKUP(($AJ83-$AI83-$AH83-$AG83-$AF83-$AE83*(1+CH$3))/$AJ83,'Технический лист'!$I:$J,2,1)-VLOOKUP($AO83,'Технический лист'!$I:$J,2,1)),1+(1-$AU83))</f>
        <v>1.25</v>
      </c>
      <c r="CI83" s="15">
        <f>MIN(IF($AU83=100%,1,1+VLOOKUP(($AJ83-$AI83-$AH83-$AG83-$AF83-$AE83*(1+CI$3))/$AJ83,'Технический лист'!$I:$J,2,1)-VLOOKUP($AO83,'Технический лист'!$I:$J,2,1)),1+(1-$AU83))</f>
        <v>1.25</v>
      </c>
      <c r="CJ83" s="15">
        <f>MIN(IF($AU83=100%,1,1+VLOOKUP(($AJ83-$AI83-$AH83-$AG83-$AF83-$AE83*(1+CJ$3))/$AJ83,'Технический лист'!$I:$J,2,1)-VLOOKUP($AO83,'Технический лист'!$I:$J,2,1)),1+(1-$AU83))</f>
        <v>1.25</v>
      </c>
      <c r="CK83" s="15">
        <f>MIN(IF($AU83=100%,1,1+VLOOKUP(($AJ83-$AI83-$AH83-$AG83-$AF83-$AE83*(1+CK$3))/$AJ83,'Технический лист'!$I:$J,2,1)-VLOOKUP($AO83,'Технический лист'!$I:$J,2,1)),1+(1-$AU83))</f>
        <v>1.25</v>
      </c>
      <c r="CL83" s="15">
        <f>MIN(IF($AU83=100%,1,1+VLOOKUP(($AJ83-$AI83-$AH83-$AG83-$AF83-$AE83*(1+CL$3))/$AJ83,'Технический лист'!$I:$J,2,1)-VLOOKUP($AO83,'Технический лист'!$I:$J,2,1)),1+(1-$AU83))</f>
        <v>1.25</v>
      </c>
      <c r="CM83" s="15">
        <f>MIN(IF($AU83=100%,1,1+VLOOKUP(($AJ83-$AI83-$AH83-$AG83-$AF83-$AE83*(1+CM$3))/$AJ83,'Технический лист'!$I:$J,2,1)-VLOOKUP($AO83,'Технический лист'!$I:$J,2,1)),1+(1-$AU83))</f>
        <v>1.25</v>
      </c>
      <c r="CN83" s="15">
        <f>MIN(IF($AU83=100%,1,1+VLOOKUP(($AJ83-$AI83-$AH83-$AG83-$AF83-$AE83*(1+CN$3))/$AJ83,'Технический лист'!$I:$J,2,1)-VLOOKUP($AO83,'Технический лист'!$I:$J,2,1)),1+(1-$AU83))</f>
        <v>1.25</v>
      </c>
      <c r="CO83" s="15">
        <f>MIN(IF($AU83=100%,1,1+VLOOKUP(($AJ83-$AI83-$AH83-$AG83-$AF83-$AE83*(1+CO$3))/$AJ83,'Технический лист'!$I:$J,2,1)-VLOOKUP($AO83,'Технический лист'!$I:$J,2,1)),1+(1-$AU83))</f>
        <v>1.25</v>
      </c>
      <c r="CP83" s="15">
        <f>MIN(IF($AU83=100%,1,1+VLOOKUP(($AJ83-$AI83-$AH83-$AG83-$AF83-$AE83*(1+CP$3))/$AJ83,'Технический лист'!$I:$J,2,1)-VLOOKUP($AO83,'Технический лист'!$I:$J,2,1)),1+(1-$AU83))</f>
        <v>1.25</v>
      </c>
      <c r="CQ83" s="15">
        <f>MIN(IF($AU83=100%,1,1+VLOOKUP(($AJ83-$AI83-$AH83-$AG83-$AF83-$AE83*(1+CQ$3))/$AJ83,'Технический лист'!$I:$J,2,1)-VLOOKUP($AO83,'Технический лист'!$I:$J,2,1)),1+(1-$AU83))</f>
        <v>1.25</v>
      </c>
      <c r="CR83" s="15">
        <f>MIN(IF($AU83=100%,1,1+VLOOKUP(($AJ83-$AI83-$AH83-$AG83-$AF83-$AE83*(1+CR$3))/$AJ83,'Технический лист'!$I:$J,2,1)-VLOOKUP($AO83,'Технический лист'!$I:$J,2,1)),1+(1-$AU83))</f>
        <v>1.25</v>
      </c>
      <c r="CS83" s="15">
        <f>MIN(IF($AU83=100%,1,1+VLOOKUP(($AJ83-$AI83-$AH83-$AG83-$AF83-$AE83*(1+CS$3))/$AJ83,'Технический лист'!$I:$J,2,1)-VLOOKUP($AO83,'Технический лист'!$I:$J,2,1)),1+(1-$AU83))</f>
        <v>1.25</v>
      </c>
      <c r="CT83" s="15">
        <f>MIN(IF($AU83=100%,1,1+VLOOKUP(($AJ83-$AI83-$AH83-$AG83-$AF83-$AE83*(1+CT$3))/$AJ83,'Технический лист'!$I:$J,2,1)-VLOOKUP($AO83,'Технический лист'!$I:$J,2,1)),1+(1-$AU83))</f>
        <v>1.25</v>
      </c>
      <c r="CU83" s="15">
        <f>MIN(IF($AU83=100%,1,1+VLOOKUP(($AJ83-$AI83-$AH83-$AG83-$AF83-$AE83*(1+CU$3))/$AJ83,'Технический лист'!$I:$J,2,1)-VLOOKUP($AO83,'Технический лист'!$I:$J,2,1)),1+(1-$AU83))</f>
        <v>1.25</v>
      </c>
      <c r="CV83" s="15">
        <f>MIN(IF($AU83=100%,1,1+VLOOKUP(($AJ83-$AI83-$AH83-$AG83-$AF83-$AE83*(1+CV$3))/$AJ83,'Технический лист'!$I:$J,2,1)-VLOOKUP($AO83,'Технический лист'!$I:$J,2,1)),1+(1-$AU83))</f>
        <v>1.25</v>
      </c>
      <c r="CW83" s="15">
        <f>MIN(IF($AU83=100%,1,1+VLOOKUP(($AJ83-$AI83-$AH83-$AG83-$AF83-$AE83*(1+CW$3))/$AJ83,'Технический лист'!$I:$J,2,1)-VLOOKUP($AO83,'Технический лист'!$I:$J,2,1)),1+(1-$AU83))</f>
        <v>1.25</v>
      </c>
      <c r="CX83" s="15">
        <f>MIN(IF($AU83=100%,1,1+VLOOKUP(($AJ83-$AI83-$AH83-$AG83-$AF83-$AE83*(1+CX$3))/$AJ83,'Технический лист'!$I:$J,2,1)-VLOOKUP($AO83,'Технический лист'!$I:$J,2,1)),1+(1-$AU83))</f>
        <v>1.25</v>
      </c>
      <c r="CY83" s="15">
        <f>MIN(IF($AU83=100%,1,1+VLOOKUP(($AJ83-$AI83-$AH83-$AG83-$AF83-$AE83*(1+CY$3))/$AJ83,'Технический лист'!$I:$J,2,1)-VLOOKUP($AO83,'Технический лист'!$I:$J,2,1)),1+(1-$AU83))</f>
        <v>1.25</v>
      </c>
      <c r="CZ83" s="15">
        <f>MIN(IF($AU83=100%,1,1+VLOOKUP(($AJ83-$AI83-$AH83-$AG83-$AF83-$AE83*(1+CZ$3))/$AJ83,'Технический лист'!$I:$J,2,1)-VLOOKUP($AO83,'Технический лист'!$I:$J,2,1)),1+(1-$AU83))</f>
        <v>1.25</v>
      </c>
      <c r="DA83" s="15">
        <f>MIN(IF($AU83=100%,1,1+VLOOKUP(($AJ83-$AI83-$AH83-$AG83-$AF83-$AE83*(1+DA$3))/$AJ83,'Технический лист'!$I:$J,2,1)-VLOOKUP($AO83,'Технический лист'!$I:$J,2,1)),1+(1-$AU83))</f>
        <v>1.25</v>
      </c>
      <c r="DB83" s="15">
        <f>MIN(IF($AU83=100%,1,1+VLOOKUP(($AJ83-$AI83-$AH83-$AG83-$AF83-$AE83*(1+DB$3))/$AJ83,'Технический лист'!$I:$J,2,1)-VLOOKUP($AO83,'Технический лист'!$I:$J,2,1)),1+(1-$AU83))</f>
        <v>1.25</v>
      </c>
      <c r="DC83" s="15">
        <f>MIN(IF($AU83=100%,1,1+VLOOKUP(($AJ83-$AI83-$AH83-$AG83-$AF83-$AE83*(1+DC$3))/$AJ83,'Технический лист'!$I:$J,2,1)-VLOOKUP($AO83,'Технический лист'!$I:$J,2,1)),1+(1-$AU83))</f>
        <v>1.25</v>
      </c>
      <c r="DD83" s="15">
        <f>MIN(IF($AU83=100%,1,1+VLOOKUP(($AJ83-$AI83-$AH83-$AG83-$AF83-$AE83*(1+DD$3))/$AJ83,'Технический лист'!$I:$J,2,1)-VLOOKUP($AO83,'Технический лист'!$I:$J,2,1)),1+(1-$AU83))</f>
        <v>1.25</v>
      </c>
      <c r="DE83" s="15">
        <f>MIN(IF($AU83=100%,1,1+VLOOKUP(($AJ83-$AI83-$AH83-$AG83-$AF83-$AE83*(1+DE$3))/$AJ83,'Технический лист'!$I:$J,2,1)-VLOOKUP($AO83,'Технический лист'!$I:$J,2,1)),1+(1-$AU83))</f>
        <v>1.25</v>
      </c>
      <c r="DF83" s="15">
        <f>MIN(IF($AU83=100%,1,1+VLOOKUP(($AJ83-$AI83-$AH83-$AG83-$AF83-$AE83*(1+DF$3))/$AJ83,'Технический лист'!$I:$J,2,1)-VLOOKUP($AO83,'Технический лист'!$I:$J,2,1)),1+(1-$AU83))</f>
        <v>1.25</v>
      </c>
      <c r="DG83" s="15">
        <f>MIN(IF($AU83=100%,1,1+VLOOKUP(($AJ83-$AI83-$AH83-$AG83-$AF83-$AE83*(1+DG$3))/$AJ83,'Технический лист'!$I:$J,2,1)-VLOOKUP($AO83,'Технический лист'!$I:$J,2,1)),1+(1-$AU83))</f>
        <v>1.2099999999999997</v>
      </c>
      <c r="DH83" s="15">
        <f>MIN(IF($AU83=100%,1,1+VLOOKUP(($AJ83-$AI83-$AH83-$AG83-$AF83-$AE83*(1+DH$3))/$AJ83,'Технический лист'!$I:$J,2,1)-VLOOKUP($AO83,'Технический лист'!$I:$J,2,1)),1+(1-$AU83))</f>
        <v>1.2099999999999997</v>
      </c>
      <c r="DI83" s="15">
        <f>MIN(IF($AU83=100%,1,1+VLOOKUP(($AJ83-$AI83-$AH83-$AG83-$AF83-$AE83*(1+DI$3))/$AJ83,'Технический лист'!$I:$J,2,1)-VLOOKUP($AO83,'Технический лист'!$I:$J,2,1)),1+(1-$AU83))</f>
        <v>1.2099999999999997</v>
      </c>
      <c r="DJ83" s="15">
        <f>MIN(IF($AU83=100%,1,1+VLOOKUP(($AJ83-$AI83-$AH83-$AG83-$AF83-$AE83*(1+DJ$3))/$AJ83,'Технический лист'!$I:$J,2,1)-VLOOKUP($AO83,'Технический лист'!$I:$J,2,1)),1+(1-$AU83))</f>
        <v>1.2099999999999997</v>
      </c>
      <c r="DK83" s="15">
        <f>MIN(IF($AU83=100%,1,1+VLOOKUP(($AJ83-$AI83-$AH83-$AG83-$AF83-$AE83*(1+DK$3))/$AJ83,'Технический лист'!$I:$J,2,1)-VLOOKUP($AO83,'Технический лист'!$I:$J,2,1)),1+(1-$AU83))</f>
        <v>1.2099999999999997</v>
      </c>
      <c r="DL83" s="15">
        <f>MIN(IF($AU83=100%,1,1+VLOOKUP(($AJ83-$AI83-$AH83-$AG83-$AF83-$AE83*(1+DL$3))/$AJ83,'Технический лист'!$I:$J,2,1)-VLOOKUP($AO83,'Технический лист'!$I:$J,2,1)),1+(1-$AU83))</f>
        <v>1.2099999999999997</v>
      </c>
      <c r="DM83" s="15">
        <f>MIN(IF($AU83=100%,1,1+VLOOKUP(($AJ83-$AI83-$AH83-$AG83-$AF83-$AE83*(1+DM$3))/$AJ83,'Технический лист'!$I:$J,2,1)-VLOOKUP($AO83,'Технический лист'!$I:$J,2,1)),1+(1-$AU83))</f>
        <v>1.2099999999999997</v>
      </c>
      <c r="DN83" s="15">
        <f>MIN(IF($AU83=100%,1,1+VLOOKUP(($AJ83-$AI83-$AH83-$AG83-$AF83-$AE83*(1+DN$3))/$AJ83,'Технический лист'!$I:$J,2,1)-VLOOKUP($AO83,'Технический лист'!$I:$J,2,1)),1+(1-$AU83))</f>
        <v>1.2099999999999997</v>
      </c>
      <c r="DO83" s="15">
        <f>MIN(IF($AU83=100%,1,1+VLOOKUP(($AJ83-$AI83-$AH83-$AG83-$AF83-$AE83*(1+DO$3))/$AJ83,'Технический лист'!$I:$J,2,1)-VLOOKUP($AO83,'Технический лист'!$I:$J,2,1)),1+(1-$AU83))</f>
        <v>1.1649999999999998</v>
      </c>
      <c r="DP83" s="15">
        <f>MIN(IF($AU83=100%,1,1+VLOOKUP(($AJ83-$AI83-$AH83-$AG83-$AF83-$AE83*(1+DP$3))/$AJ83,'Технический лист'!$I:$J,2,1)-VLOOKUP($AO83,'Технический лист'!$I:$J,2,1)),1+(1-$AU83))</f>
        <v>1.1649999999999998</v>
      </c>
      <c r="DQ83" s="15">
        <f>MIN(IF($AU83=100%,1,1+VLOOKUP(($AJ83-$AI83-$AH83-$AG83-$AF83-$AE83*(1+DQ$3))/$AJ83,'Технический лист'!$I:$J,2,1)-VLOOKUP($AO83,'Технический лист'!$I:$J,2,1)),1+(1-$AU83))</f>
        <v>1.1649999999999998</v>
      </c>
      <c r="DR83" s="15">
        <f>MIN(IF($AU83=100%,1,1+VLOOKUP(($AJ83-$AI83-$AH83-$AG83-$AF83-$AE83*(1+DR$3))/$AJ83,'Технический лист'!$I:$J,2,1)-VLOOKUP($AO83,'Технический лист'!$I:$J,2,1)),1+(1-$AU83))</f>
        <v>1.1649999999999998</v>
      </c>
      <c r="DS83" s="15">
        <f>MIN(IF($AU83=100%,1,1+VLOOKUP(($AJ83-$AI83-$AH83-$AG83-$AF83-$AE83*(1+DS$3))/$AJ83,'Технический лист'!$I:$J,2,1)-VLOOKUP($AO83,'Технический лист'!$I:$J,2,1)),1+(1-$AU83))</f>
        <v>1.1649999999999998</v>
      </c>
      <c r="DT83" s="15">
        <f>MIN(IF($AU83=100%,1,1+VLOOKUP(($AJ83-$AI83-$AH83-$AG83-$AF83-$AE83*(1+DT$3))/$AJ83,'Технический лист'!$I:$J,2,1)-VLOOKUP($AO83,'Технический лист'!$I:$J,2,1)),1+(1-$AU83))</f>
        <v>1.1649999999999998</v>
      </c>
      <c r="DU83" s="15">
        <f>MIN(IF($AU83=100%,1,1+VLOOKUP(($AJ83-$AI83-$AH83-$AG83-$AF83-$AE83*(1+DU$3))/$AJ83,'Технический лист'!$I:$J,2,1)-VLOOKUP($AO83,'Технический лист'!$I:$J,2,1)),1+(1-$AU83))</f>
        <v>1.1649999999999998</v>
      </c>
      <c r="DV83" s="15">
        <f>MIN(IF($AU83=100%,1,1+VLOOKUP(($AJ83-$AI83-$AH83-$AG83-$AF83-$AE83*(1+DV$3))/$AJ83,'Технический лист'!$I:$J,2,1)-VLOOKUP($AO83,'Технический лист'!$I:$J,2,1)),1+(1-$AU83))</f>
        <v>1.1199999999999999</v>
      </c>
      <c r="DW83" s="15">
        <f>MIN(IF($AU83=100%,1,1+VLOOKUP(($AJ83-$AI83-$AH83-$AG83-$AF83-$AE83*(1+DW$3))/$AJ83,'Технический лист'!$I:$J,2,1)-VLOOKUP($AO83,'Технический лист'!$I:$J,2,1)),1+(1-$AU83))</f>
        <v>1.1199999999999999</v>
      </c>
      <c r="DX83" s="15">
        <f>MIN(IF($AU83=100%,1,1+VLOOKUP(($AJ83-$AI83-$AH83-$AG83-$AF83-$AE83*(1+DX$3))/$AJ83,'Технический лист'!$I:$J,2,1)-VLOOKUP($AO83,'Технический лист'!$I:$J,2,1)),1+(1-$AU83))</f>
        <v>1.1199999999999999</v>
      </c>
      <c r="DY83" s="15">
        <f>MIN(IF($AU83=100%,1,1+VLOOKUP(($AJ83-$AI83-$AH83-$AG83-$AF83-$AE83*(1+DY$3))/$AJ83,'Технический лист'!$I:$J,2,1)-VLOOKUP($AO83,'Технический лист'!$I:$J,2,1)),1+(1-$AU83))</f>
        <v>1.1199999999999999</v>
      </c>
      <c r="DZ83" s="15">
        <f>MIN(IF($AU83=100%,1,1+VLOOKUP(($AJ83-$AI83-$AH83-$AG83-$AF83-$AE83*(1+DZ$3))/$AJ83,'Технический лист'!$I:$J,2,1)-VLOOKUP($AO83,'Технический лист'!$I:$J,2,1)),1+(1-$AU83))</f>
        <v>1.1199999999999999</v>
      </c>
      <c r="EA83" s="15">
        <f>MIN(IF($AU83=100%,1,1+VLOOKUP(($AJ83-$AI83-$AH83-$AG83-$AF83-$AE83*(1+EA$3))/$AJ83,'Технический лист'!$I:$J,2,1)-VLOOKUP($AO83,'Технический лист'!$I:$J,2,1)),1+(1-$AU83))</f>
        <v>1.1199999999999999</v>
      </c>
      <c r="EB83" s="15">
        <f>MIN(IF($AU83=100%,1,1+VLOOKUP(($AJ83-$AI83-$AH83-$AG83-$AF83-$AE83*(1+EB$3))/$AJ83,'Технический лист'!$I:$J,2,1)-VLOOKUP($AO83,'Технический лист'!$I:$J,2,1)),1+(1-$AU83))</f>
        <v>1.1199999999999999</v>
      </c>
      <c r="EC83" s="15">
        <f>MIN(IF($AU83=100%,1,1+VLOOKUP(($AJ83-$AI83-$AH83-$AG83-$AF83-$AE83*(1+EC$3))/$AJ83,'Технический лист'!$I:$J,2,1)-VLOOKUP($AO83,'Технический лист'!$I:$J,2,1)),1+(1-$AU83))</f>
        <v>1.1199999999999999</v>
      </c>
      <c r="ED83" s="15">
        <f>MIN(IF($AU83=100%,1,1+VLOOKUP(($AJ83-$AI83-$AH83-$AG83-$AF83-$AE83*(1+ED$3))/$AJ83,'Технический лист'!$I:$J,2,1)-VLOOKUP($AO83,'Технический лист'!$I:$J,2,1)),1+(1-$AU83))</f>
        <v>1.0799999999999998</v>
      </c>
      <c r="EE83" s="15">
        <f>MIN(IF($AU83=100%,1,1+VLOOKUP(($AJ83-$AI83-$AH83-$AG83-$AF83-$AE83*(1+EE$3))/$AJ83,'Технический лист'!$I:$J,2,1)-VLOOKUP($AO83,'Технический лист'!$I:$J,2,1)),1+(1-$AU83))</f>
        <v>1.0799999999999998</v>
      </c>
      <c r="EF83" s="15">
        <f>MIN(IF($AU83=100%,1,1+VLOOKUP(($AJ83-$AI83-$AH83-$AG83-$AF83-$AE83*(1+EF$3))/$AJ83,'Технический лист'!$I:$J,2,1)-VLOOKUP($AO83,'Технический лист'!$I:$J,2,1)),1+(1-$AU83))</f>
        <v>1.0799999999999998</v>
      </c>
      <c r="EG83" s="15">
        <f>MIN(IF($AU83=100%,1,1+VLOOKUP(($AJ83-$AI83-$AH83-$AG83-$AF83-$AE83*(1+EG$3))/$AJ83,'Технический лист'!$I:$J,2,1)-VLOOKUP($AO83,'Технический лист'!$I:$J,2,1)),1+(1-$AU83))</f>
        <v>1.0799999999999998</v>
      </c>
      <c r="EH83" s="15">
        <f>MIN(IF($AU83=100%,1,1+VLOOKUP(($AJ83-$AI83-$AH83-$AG83-$AF83-$AE83*(1+EH$3))/$AJ83,'Технический лист'!$I:$J,2,1)-VLOOKUP($AO83,'Технический лист'!$I:$J,2,1)),1+(1-$AU83))</f>
        <v>1.0799999999999998</v>
      </c>
      <c r="EI83" s="15">
        <f>MIN(IF($AU83=100%,1,1+VLOOKUP(($AJ83-$AI83-$AH83-$AG83-$AF83-$AE83*(1+EI$3))/$AJ83,'Технический лист'!$I:$J,2,1)-VLOOKUP($AO83,'Технический лист'!$I:$J,2,1)),1+(1-$AU83))</f>
        <v>1.0799999999999998</v>
      </c>
      <c r="EJ83" s="15">
        <f>MIN(IF($AU83=100%,1,1+VLOOKUP(($AJ83-$AI83-$AH83-$AG83-$AF83-$AE83*(1+EJ$3))/$AJ83,'Технический лист'!$I:$J,2,1)-VLOOKUP($AO83,'Технический лист'!$I:$J,2,1)),1+(1-$AU83))</f>
        <v>1.0799999999999998</v>
      </c>
      <c r="EK83" s="15">
        <f>MIN(IF($AU83=100%,1,1+VLOOKUP(($AJ83-$AI83-$AH83-$AG83-$AF83-$AE83*(1+EK$3))/$AJ83,'Технический лист'!$I:$J,2,1)-VLOOKUP($AO83,'Технический лист'!$I:$J,2,1)),1+(1-$AU83))</f>
        <v>1.0399999999999998</v>
      </c>
      <c r="EL83" s="15">
        <f>MIN(IF($AU83=100%,1,1+VLOOKUP(($AJ83-$AI83-$AH83-$AG83-$AF83-$AE83*(1+EL$3))/$AJ83,'Технический лист'!$I:$J,2,1)-VLOOKUP($AO83,'Технический лист'!$I:$J,2,1)),1+(1-$AU83))</f>
        <v>1.0399999999999998</v>
      </c>
      <c r="EM83" s="15">
        <f>MIN(IF($AU83=100%,1,1+VLOOKUP(($AJ83-$AI83-$AH83-$AG83-$AF83-$AE83*(1+EM$3))/$AJ83,'Технический лист'!$I:$J,2,1)-VLOOKUP($AO83,'Технический лист'!$I:$J,2,1)),1+(1-$AU83))</f>
        <v>1.0399999999999998</v>
      </c>
      <c r="EN83" s="15">
        <f>MIN(IF($AU83=100%,1,1+VLOOKUP(($AJ83-$AI83-$AH83-$AG83-$AF83-$AE83*(1+EN$3))/$AJ83,'Технический лист'!$I:$J,2,1)-VLOOKUP($AO83,'Технический лист'!$I:$J,2,1)),1+(1-$AU83))</f>
        <v>1.0399999999999998</v>
      </c>
      <c r="EO83" s="15">
        <f>MIN(IF($AU83=100%,1,1+VLOOKUP(($AJ83-$AI83-$AH83-$AG83-$AF83-$AE83*(1+EO$3))/$AJ83,'Технический лист'!$I:$J,2,1)-VLOOKUP($AO83,'Технический лист'!$I:$J,2,1)),1+(1-$AU83))</f>
        <v>1.0399999999999998</v>
      </c>
      <c r="EP83" s="15">
        <f>MIN(IF($AU83=100%,1,1+VLOOKUP(($AJ83-$AI83-$AH83-$AG83-$AF83-$AE83*(1+EP$3))/$AJ83,'Технический лист'!$I:$J,2,1)-VLOOKUP($AO83,'Технический лист'!$I:$J,2,1)),1+(1-$AU83))</f>
        <v>1.0399999999999998</v>
      </c>
      <c r="EQ83" s="15">
        <f>MIN(IF($AU83=100%,1,1+VLOOKUP(($AJ83-$AI83-$AH83-$AG83-$AF83-$AE83*(1+EQ$3))/$AJ83,'Технический лист'!$I:$J,2,1)-VLOOKUP($AO83,'Технический лист'!$I:$J,2,1)),1+(1-$AU83))</f>
        <v>1.0399999999999998</v>
      </c>
      <c r="ER83" s="15">
        <f>MIN(IF($AU83=100%,1,1+VLOOKUP(($AJ83-$AI83-$AH83-$AG83-$AF83-$AE83*(1+ER$3))/$AJ83,'Технический лист'!$I:$J,2,1)-VLOOKUP($AO83,'Технический лист'!$I:$J,2,1)),1+(1-$AU83))</f>
        <v>1.0399999999999998</v>
      </c>
      <c r="ES83" s="15">
        <f>MIN(IF($AU83=100%,1,1+VLOOKUP(($AJ83-$AI83-$AH83-$AG83-$AF83-$AE83*(1+ES$3))/$AJ83,'Технический лист'!$I:$J,2,1)-VLOOKUP($AO83,'Технический лист'!$I:$J,2,1)),1+(1-$AU83))</f>
        <v>0.99999999999999978</v>
      </c>
      <c r="ET83" s="15">
        <f>MIN(IF($AU83=100%,1,1+VLOOKUP(($AJ83-$AI83-$AH83-$AG83-$AF83-$AE83*(1+ET$3))/$AJ83,'Технический лист'!$I:$J,2,1)-VLOOKUP($AO83,'Технический лист'!$I:$J,2,1)),1+(1-$AU83))</f>
        <v>0.99999999999999978</v>
      </c>
      <c r="EU83" s="15">
        <f>MIN(IF($AU83=100%,1,1+VLOOKUP(($AJ83-$AI83-$AH83-$AG83-$AF83-$AE83*(1+EU$3))/$AJ83,'Технический лист'!$I:$J,2,1)-VLOOKUP($AO83,'Технический лист'!$I:$J,2,1)),1+(1-$AU83))</f>
        <v>0.99999999999999978</v>
      </c>
      <c r="EV83" s="111">
        <v>1</v>
      </c>
      <c r="EW83" s="15">
        <f>MIN(1,MAX(VLOOKUP(($AJ83-$AI83-$AH83-$AG83-$AF83-$AE83*(1+EW$3))/$AJ83,'Технический лист'!$A:$B,2,1),(EV83-0.05)))</f>
        <v>1</v>
      </c>
      <c r="EX83" s="15">
        <f>MIN(1,MAX(VLOOKUP(($AJ83-$AI83-$AH83-$AG83-$AF83-$AE83*(1+EX$3))/$AJ83,'Технический лист'!$A:$B,2,1),(EW83-0.05)))</f>
        <v>1</v>
      </c>
      <c r="EY83" s="15">
        <f>MIN(1,MAX(VLOOKUP(($AJ83-$AI83-$AH83-$AG83-$AF83-$AE83*(1+EY$3))/$AJ83,'Технический лист'!$A:$B,2,1),(EX83-0.05)))</f>
        <v>1</v>
      </c>
      <c r="EZ83" s="15">
        <f>MIN(1,MAX(VLOOKUP(($AJ83-$AI83-$AH83-$AG83-$AF83-$AE83*(1+EZ$3))/$AJ83,'Технический лист'!$A:$B,2,1),(EY83-0.05)))</f>
        <v>1</v>
      </c>
      <c r="FA83" s="15">
        <f>MIN(1,MAX(VLOOKUP(($AJ83-$AI83-$AH83-$AG83-$AF83-$AE83*(1+FA$3))/$AJ83,'Технический лист'!$A:$B,2,1),(EZ83-0.05)))</f>
        <v>1</v>
      </c>
      <c r="FB83" s="15">
        <f>MIN(1,MAX(VLOOKUP(($AJ83-$AI83-$AH83-$AG83-$AF83-$AE83*(1+FB$3))/$AJ83,'Технический лист'!$A:$B,2,1),(FA83-0.05)))</f>
        <v>1</v>
      </c>
      <c r="FC83" s="15">
        <f>MIN(1,MAX(VLOOKUP(($AJ83-$AI83-$AH83-$AG83-$AF83-$AE83*(1+FC$3))/$AJ83,'Технический лист'!$A:$B,2,1),(FB83-0.05)))</f>
        <v>1</v>
      </c>
      <c r="FD83" s="15">
        <f>MIN(1,MAX(VLOOKUP(($AJ83-$AI83-$AH83-$AG83-$AF83-$AE83*(1+FD$3))/$AJ83,'Технический лист'!$A:$B,2,1),(FC83-0.05)))</f>
        <v>1</v>
      </c>
      <c r="FE83" s="15">
        <f>MIN(1,MAX(VLOOKUP(($AJ83-$AI83-$AH83-$AG83-$AF83-$AE83*(1+FE$3))/$AJ83,'Технический лист'!$A:$B,2,1),(FD83-0.05)))</f>
        <v>1</v>
      </c>
      <c r="FF83" s="15">
        <f>MIN(1,MAX(VLOOKUP(($AJ83-$AI83-$AH83-$AG83-$AF83-$AE83*(1+FF$3))/$AJ83,'Технический лист'!$A:$B,2,1),(FE83-0.05)))</f>
        <v>1</v>
      </c>
      <c r="FG83" s="15">
        <f>MIN(1,MAX(VLOOKUP(($AJ83-$AI83-$AH83-$AG83-$AF83-$AE83*(1+FG$3))/$AJ83,'Технический лист'!$A:$B,2,1),(FF83-0.05)))</f>
        <v>1</v>
      </c>
      <c r="FH83" s="15">
        <f>MIN(1,MAX(VLOOKUP(($AJ83-$AI83-$AH83-$AG83-$AF83-$AE83*(1+FH$3))/$AJ83,'Технический лист'!$A:$B,2,1),(FG83-0.05)))</f>
        <v>1</v>
      </c>
      <c r="FI83" s="15">
        <f>MIN(1,MAX(VLOOKUP(($AJ83-$AI83-$AH83-$AG83-$AF83-$AE83*(1+FI$3))/$AJ83,'Технический лист'!$A:$B,2,1),(FH83-0.05)))</f>
        <v>1</v>
      </c>
      <c r="FJ83" s="15">
        <f>MIN(1,MAX(VLOOKUP(($AJ83-$AI83-$AH83-$AG83-$AF83-$AE83*(1+FJ$3))/$AJ83,'Технический лист'!$A:$B,2,1),(FI83-0.05)))</f>
        <v>1</v>
      </c>
      <c r="FK83" s="15">
        <f>MIN(1,MAX(VLOOKUP(($AJ83-$AI83-$AH83-$AG83-$AF83-$AE83*(1+FK$3))/$AJ83,'Технический лист'!$A:$B,2,1),(FJ83-0.05)))</f>
        <v>1</v>
      </c>
      <c r="FL83" s="15">
        <f>MIN(1,MAX(VLOOKUP(($AJ83-$AI83-$AH83-$AG83-$AF83-$AE83*(1+FL$3))/$AJ83,'Технический лист'!$A:$B,2,1),(FK83-0.05)))</f>
        <v>1</v>
      </c>
      <c r="FM83" s="15">
        <f>MIN(1,MAX(VLOOKUP(($AJ83-$AI83-$AH83-$AG83-$AF83-$AE83*(1+FM$3))/$AJ83,'Технический лист'!$A:$B,2,1),(FL83-0.05)))</f>
        <v>1</v>
      </c>
      <c r="FN83" s="15">
        <f>MIN(1,MAX(VLOOKUP(($AJ83-$AI83-$AH83-$AG83-$AF83-$AE83*(1+FN$3))/$AJ83,'Технический лист'!$A:$B,2,1),(FM83-0.05)))</f>
        <v>1</v>
      </c>
      <c r="FO83" s="15">
        <f>MIN(1,MAX(VLOOKUP(($AJ83-$AI83-$AH83-$AG83-$AF83-$AE83*(1+FO$3))/$AJ83,'Технический лист'!$A:$B,2,1),(FN83-0.05)))</f>
        <v>1</v>
      </c>
      <c r="FP83" s="15">
        <f>MIN(1,MAX(VLOOKUP(($AJ83-$AI83-$AH83-$AG83-$AF83-$AE83*(1+FP$3))/$AJ83,'Технический лист'!$A:$B,2,1),(FO83-0.05)))</f>
        <v>1</v>
      </c>
      <c r="FQ83" s="15">
        <f>MIN(1,MAX(VLOOKUP(($AJ83-$AI83-$AH83-$AG83-$AF83-$AE83*(1+FQ$3))/$AJ83,'Технический лист'!$A:$B,2,1),(FP83-0.05)))</f>
        <v>1</v>
      </c>
      <c r="FR83" s="15">
        <f>MIN(1,MAX(VLOOKUP(($AJ83-$AI83-$AH83-$AG83-$AF83-$AE83*(1+FR$3))/$AJ83,'Технический лист'!$A:$B,2,1),(FQ83-0.05)))</f>
        <v>1</v>
      </c>
      <c r="FS83" s="15">
        <f>MIN(1,MAX(VLOOKUP(($AJ83-$AI83-$AH83-$AG83-$AF83-$AE83*(1+FS$3))/$AJ83,'Технический лист'!$A:$B,2,1),(FR83-0.05)))</f>
        <v>1</v>
      </c>
      <c r="FT83" s="15">
        <f>MIN(1,MAX(VLOOKUP(($AJ83-$AI83-$AH83-$AG83-$AF83-$AE83*(1+FT$3))/$AJ83,'Технический лист'!$A:$B,2,1),(FS83-0.05)))</f>
        <v>1</v>
      </c>
      <c r="FU83" s="15">
        <f>MIN(1,MAX(VLOOKUP(($AJ83-$AI83-$AH83-$AG83-$AF83-$AE83*(1+FU$3))/$AJ83,'Технический лист'!$A:$B,2,1),(FT83-0.05)))</f>
        <v>1</v>
      </c>
      <c r="FV83" s="15">
        <f>MIN(1,MAX(VLOOKUP(($AJ83-$AI83-$AH83-$AG83-$AF83-$AE83*(1+FV$3))/$AJ83,'Технический лист'!$A:$B,2,1),(FU83-0.05)))</f>
        <v>1</v>
      </c>
      <c r="FW83" s="15">
        <f>MIN(1,MAX(VLOOKUP(($AJ83-$AI83-$AH83-$AG83-$AF83-$AE83*(1+FW$3))/$AJ83,'Технический лист'!$A:$B,2,1),(FV83-0.05)))</f>
        <v>1</v>
      </c>
      <c r="FX83" s="15">
        <f>MIN(1,MAX(VLOOKUP(($AJ83-$AI83-$AH83-$AG83-$AF83-$AE83*(1+FX$3))/$AJ83,'Технический лист'!$A:$B,2,1),(FW83-0.05)))</f>
        <v>1</v>
      </c>
      <c r="FY83" s="15">
        <f>MIN(1,MAX(VLOOKUP(($AJ83-$AI83-$AH83-$AG83-$AF83-$AE83*(1+FY$3))/$AJ83,'Технический лист'!$A:$B,2,1),(FX83-0.05)))</f>
        <v>1</v>
      </c>
      <c r="FZ83" s="15">
        <f>MIN(1,MAX(VLOOKUP(($AJ83-$AI83-$AH83-$AG83-$AF83-$AE83*(1+FZ$3))/$AJ83,'Технический лист'!$A:$B,2,1),(FY83-0.05)))</f>
        <v>1</v>
      </c>
      <c r="GA83" s="15">
        <f>MIN(1,MAX(VLOOKUP(($AJ83-$AI83-$AH83-$AG83-$AF83-$AE83*(1+GA$3))/$AJ83,'Технический лист'!$A:$B,2,1),(FZ83-0.05)))</f>
        <v>1</v>
      </c>
      <c r="GB83" s="15">
        <f>MIN(1,MAX(VLOOKUP(($AJ83-$AI83-$AH83-$AG83-$AF83-$AE83*(1+GB$3))/$AJ83,'Технический лист'!$A:$B,2,1),(GA83-0.05)))</f>
        <v>1</v>
      </c>
      <c r="GC83" s="15">
        <f>MIN(1,MAX(VLOOKUP(($AJ83-$AI83-$AH83-$AG83-$AF83-$AE83*(1+GC$3))/$AJ83,'Технический лист'!$A:$B,2,1),(GB83-0.05)))</f>
        <v>1</v>
      </c>
      <c r="GD83" s="15">
        <f>MIN(1,MAX(VLOOKUP(($AJ83-$AI83-$AH83-$AG83-$AF83-$AE83*(1+GD$3))/$AJ83,'Технический лист'!$A:$B,2,1),(GC83-0.05)))</f>
        <v>1</v>
      </c>
      <c r="GE83" s="15">
        <f>MIN(1,MAX(VLOOKUP(($AJ83-$AI83-$AH83-$AG83-$AF83-$AE83*(1+GE$3))/$AJ83,'Технический лист'!$A:$B,2,1),(GD83-0.05)))</f>
        <v>1</v>
      </c>
      <c r="GF83" s="15">
        <f>MIN(1,MAX(VLOOKUP(($AJ83-$AI83-$AH83-$AG83-$AF83-$AE83*(1+GF$3))/$AJ83,'Технический лист'!$A:$B,2,1),(GE83-0.05)))</f>
        <v>1</v>
      </c>
      <c r="GG83" s="15">
        <f>MIN(1,MAX(VLOOKUP(($AJ83-$AI83-$AH83-$AG83-$AF83-$AE83*(1+GG$3))/$AJ83,'Технический лист'!$A:$B,2,1),(GF83-0.05)))</f>
        <v>1</v>
      </c>
      <c r="GH83" s="15">
        <f>MIN(1,MAX(VLOOKUP(($AJ83-$AI83-$AH83-$AG83-$AF83-$AE83*(1+GH$3))/$AJ83,'Технический лист'!$A:$B,2,1),(GG83-0.05)))</f>
        <v>1</v>
      </c>
      <c r="GI83" s="15">
        <f>MIN(1,MAX(VLOOKUP(($AJ83-$AI83-$AH83-$AG83-$AF83-$AE83*(1+GI$3))/$AJ83,'Технический лист'!$A:$B,2,1),(GH83-0.05)))</f>
        <v>1</v>
      </c>
      <c r="GJ83" s="15">
        <f>MIN(1,MAX(VLOOKUP(($AJ83-$AI83-$AH83-$AG83-$AF83-$AE83*(1+GJ$3))/$AJ83,'Технический лист'!$A:$B,2,1),(GI83-0.05)))</f>
        <v>1</v>
      </c>
      <c r="GK83" s="15">
        <f>MIN(1,MAX(VLOOKUP(($AJ83-$AI83-$AH83-$AG83-$AF83-$AE83*(1+GK$3))/$AJ83,'Технический лист'!$A:$B,2,1),(GJ83-0.05)))</f>
        <v>1</v>
      </c>
      <c r="GL83" s="15">
        <f>MIN(1,MAX(VLOOKUP(($AJ83-$AI83-$AH83-$AG83-$AF83-$AE83*(1+GL$3))/$AJ83,'Технический лист'!$A:$B,2,1),(GK83-0.05)))</f>
        <v>1</v>
      </c>
      <c r="GM83" s="15">
        <f>MIN(1,MAX(VLOOKUP(($AJ83-$AI83-$AH83-$AG83-$AF83-$AE83*(1+GM$3))/$AJ83,'Технический лист'!$A:$B,2,1),(GL83-0.05)))</f>
        <v>1</v>
      </c>
      <c r="GN83" s="15">
        <f>MIN(1,MAX(VLOOKUP(($AJ83-$AI83-$AH83-$AG83-$AF83-$AE83*(1+GN$3))/$AJ83,'Технический лист'!$A:$B,2,1),(GM83-0.05)))</f>
        <v>1</v>
      </c>
      <c r="GO83" s="15">
        <f>MIN(1,MAX(VLOOKUP(($AJ83-$AI83-$AH83-$AG83-$AF83-$AE83*(1+GO$3))/$AJ83,'Технический лист'!$A:$B,2,1),(GN83-0.05)))</f>
        <v>1</v>
      </c>
      <c r="GP83" s="15">
        <f>MIN(1,MAX(VLOOKUP(($AJ83-$AI83-$AH83-$AG83-$AF83-$AE83*(1+GP$3))/$AJ83,'Технический лист'!$A:$B,2,1),(GO83-0.05)))</f>
        <v>1</v>
      </c>
      <c r="GQ83" s="15">
        <f>MIN(1,MAX(VLOOKUP(($AJ83-$AI83-$AH83-$AG83-$AF83-$AE83*(1+GQ$3))/$AJ83,'Технический лист'!$A:$B,2,1),(GP83-0.05)))</f>
        <v>1</v>
      </c>
      <c r="GR83" s="15">
        <f>MIN(1,MAX(VLOOKUP(($AJ83-$AI83-$AH83-$AG83-$AF83-$AE83*(1+GR$3))/$AJ83,'Технический лист'!$A:$B,2,1),(GQ83-0.05)))</f>
        <v>1</v>
      </c>
      <c r="GS83" s="15">
        <f>MIN(1,MAX(VLOOKUP(($AJ83-$AI83-$AH83-$AG83-$AF83-$AE83*(1+GS$3))/$AJ83,'Технический лист'!$A:$B,2,1),(GR83-0.05)))</f>
        <v>1</v>
      </c>
      <c r="GT83" s="15">
        <f>MIN(1,MAX(VLOOKUP(($AJ83-$AI83-$AH83-$AG83-$AF83-$AE83*(1+GT$3))/$AJ83,'Технический лист'!$A:$B,2,1),(GS83-0.05)))</f>
        <v>1</v>
      </c>
      <c r="GU83" s="15">
        <f>MIN(1,MAX(VLOOKUP(($AJ83-$AI83-$AH83-$AG83-$AF83-$AE83*(1+GU$3))/$AJ83,'Технический лист'!$A:$B,2,1),(GT83-0.05)))</f>
        <v>1</v>
      </c>
      <c r="GV83" s="15">
        <f>MIN(1,MAX(VLOOKUP(($AJ83-$AI83-$AH83-$AG83-$AF83-$AE83*(1+GV$3))/$AJ83,'Технический лист'!$A:$B,2,1),(GU83-0.05)))</f>
        <v>1</v>
      </c>
      <c r="GW83" s="15">
        <f>MIN(1,MAX(VLOOKUP(($AJ83-$AI83-$AH83-$AG83-$AF83-$AE83*(1+GW$3))/$AJ83,'Технический лист'!$A:$B,2,1),(GV83-0.05)))</f>
        <v>1</v>
      </c>
      <c r="GX83" s="15">
        <f>MIN(1,MAX(VLOOKUP(($AJ83-$AI83-$AH83-$AG83-$AF83-$AE83*(1+GX$3))/$AJ83,'Технический лист'!$A:$B,2,1),(GW83-0.05)))</f>
        <v>1</v>
      </c>
      <c r="GY83" s="15">
        <f>MIN(1,MAX(VLOOKUP(($AJ83-$AI83-$AH83-$AG83-$AF83-$AE83*(1+GY$3))/$AJ83,'Технический лист'!$A:$B,2,1),(GX83-0.05)))</f>
        <v>1</v>
      </c>
      <c r="GZ83" s="15">
        <f>MIN(1,MAX(VLOOKUP(($AJ83-$AI83-$AH83-$AG83-$AF83-$AE83*(1+GZ$3))/$AJ83,'Технический лист'!$A:$B,2,1),(GY83-0.05)))</f>
        <v>1</v>
      </c>
      <c r="HA83" s="15">
        <f>MIN(1,MAX(VLOOKUP(($AJ83-$AI83-$AH83-$AG83-$AF83-$AE83*(1+HA$3))/$AJ83,'Технический лист'!$A:$B,2,1),(GZ83-0.05)))</f>
        <v>1</v>
      </c>
      <c r="HB83" s="15">
        <f>MIN(1,MAX(VLOOKUP(($AJ83-$AI83-$AH83-$AG83-$AF83-$AE83*(1+HB$3))/$AJ83,'Технический лист'!$A:$B,2,1),(HA83-0.05)))</f>
        <v>1</v>
      </c>
      <c r="HC83" s="15">
        <f>MIN(1,MAX(VLOOKUP(($AJ83-$AI83-$AH83-$AG83-$AF83-$AE83*(1+HC$3))/$AJ83,'Технический лист'!$A:$B,2,1),(HB83-0.05)))</f>
        <v>1</v>
      </c>
      <c r="HD83" s="15">
        <f>MIN(1,MAX(VLOOKUP(($AJ83-$AI83-$AH83-$AG83-$AF83-$AE83*(1+HD$3))/$AJ83,'Технический лист'!$A:$B,2,1),(HC83-0.05)))</f>
        <v>1</v>
      </c>
      <c r="HE83" s="15">
        <f>MIN(1,MAX(VLOOKUP(($AJ83-$AI83-$AH83-$AG83-$AF83-$AE83*(1+HE$3))/$AJ83,'Технический лист'!$A:$B,2,1),(HD83-0.05)))</f>
        <v>1</v>
      </c>
      <c r="HF83" s="15">
        <f>MIN(1,MAX(VLOOKUP(($AJ83-$AI83-$AH83-$AG83-$AF83-$AE83*(1+HF$3))/$AJ83,'Технический лист'!$A:$B,2,1),(HE83-0.05)))</f>
        <v>1</v>
      </c>
      <c r="HG83" s="15">
        <f>MIN(1,MAX(VLOOKUP(($AJ83-$AI83-$AH83-$AG83-$AF83-$AE83*(1+HG$3))/$AJ83,'Технический лист'!$A:$B,2,1),(HF83-0.05)))</f>
        <v>1</v>
      </c>
      <c r="HH83" s="15">
        <f>MIN(1,MAX(VLOOKUP(($AJ83-$AI83-$AH83-$AG83-$AF83-$AE83*(1+HH$3))/$AJ83,'Технический лист'!$A:$B,2,1),(HG83-0.05)))</f>
        <v>1</v>
      </c>
      <c r="HI83" s="15">
        <f>MIN(1,MAX(VLOOKUP(($AJ83-$AI83-$AH83-$AG83-$AF83-$AE83*(1+HI$3))/$AJ83,'Технический лист'!$A:$B,2,1),(HH83-0.05)))</f>
        <v>1</v>
      </c>
      <c r="HJ83" s="15">
        <f>MIN(1,MAX(VLOOKUP(($AJ83-$AI83-$AH83-$AG83-$AF83-$AE83*(1+HJ$3))/$AJ83,'Технический лист'!$A:$B,2,1),(HI83-0.05)))</f>
        <v>1</v>
      </c>
      <c r="HK83" s="15">
        <f>MIN(1,MAX(VLOOKUP(($AJ83-$AI83-$AH83-$AG83-$AF83-$AE83*(1+HK$3))/$AJ83,'Технический лист'!$A:$B,2,1),(HJ83-0.05)))</f>
        <v>1</v>
      </c>
      <c r="HL83" s="15">
        <f>MIN(1,MAX(VLOOKUP(($AJ83-$AI83-$AH83-$AG83-$AF83-$AE83*(1+HL$3))/$AJ83,'Технический лист'!$A:$B,2,1),(HK83-0.05)))</f>
        <v>1</v>
      </c>
      <c r="HM83" s="15">
        <f>MIN(1,MAX(VLOOKUP(($AJ83-$AI83-$AH83-$AG83-$AF83-$AE83*(1+HM$3))/$AJ83,'Технический лист'!$A:$B,2,1),(HL83-0.05)))</f>
        <v>1</v>
      </c>
      <c r="HN83" s="15">
        <f>MIN(1,MAX(VLOOKUP(($AJ83-$AI83-$AH83-$AG83-$AF83-$AE83*(1+HN$3))/$AJ83,'Технический лист'!$A:$B,2,1),(HM83-0.05)))</f>
        <v>1</v>
      </c>
      <c r="HO83" s="15">
        <f>MIN(1,MAX(VLOOKUP(($AJ83-$AI83-$AH83-$AG83-$AF83-$AE83*(1+HO$3))/$AJ83,'Технический лист'!$A:$B,2,1),(HN83-0.05)))</f>
        <v>1</v>
      </c>
      <c r="HP83" s="15">
        <f>MIN(1,MAX(VLOOKUP(($AJ83-$AI83-$AH83-$AG83-$AF83-$AE83*(1+HP$3))/$AJ83,'Технический лист'!$A:$B,2,1),(HO83-0.05)))</f>
        <v>1</v>
      </c>
      <c r="HQ83" s="15">
        <f>MIN(1,MAX(VLOOKUP(($AJ83-$AI83-$AH83-$AG83-$AF83-$AE83*(1+HQ$3))/$AJ83,'Технический лист'!$A:$B,2,1),(HP83-0.05)))</f>
        <v>1</v>
      </c>
      <c r="HR83" s="15">
        <f>MIN(1,MAX(VLOOKUP(($AJ83-$AI83-$AH83-$AG83-$AF83-$AE83*(1+HR$3))/$AJ83,'Технический лист'!$A:$B,2,1),(HQ83-0.05)))</f>
        <v>1</v>
      </c>
      <c r="HS83" s="15">
        <f>MIN(1,MAX(VLOOKUP(($AJ83-$AI83-$AH83-$AG83-$AF83-$AE83*(1+HS$3))/$AJ83,'Технический лист'!$A:$B,2,1),(HR83-0.05)))</f>
        <v>1</v>
      </c>
      <c r="HT83" s="15">
        <f>MIN(1,MAX(VLOOKUP(($AJ83-$AI83-$AH83-$AG83-$AF83-$AE83*(1+HT$3))/$AJ83,'Технический лист'!$A:$B,2,1),(HS83-0.05)))</f>
        <v>1</v>
      </c>
      <c r="HU83" s="15">
        <f>MIN(1,MAX(VLOOKUP(($AJ83-$AI83-$AH83-$AG83-$AF83-$AE83*(1+HU$3))/$AJ83,'Технический лист'!$A:$B,2,1),(HT83-0.05)))</f>
        <v>1</v>
      </c>
      <c r="HV83" s="15">
        <f>MIN(1,MAX(VLOOKUP(($AJ83-$AI83-$AH83-$AG83-$AF83-$AE83*(1+HV$3))/$AJ83,'Технический лист'!$A:$B,2,1),(HU83-0.05)))</f>
        <v>1</v>
      </c>
      <c r="HW83" s="15">
        <f>MIN(1,MAX(VLOOKUP(($AJ83-$AI83-$AH83-$AG83-$AF83-$AE83*(1+HW$3))/$AJ83,'Технический лист'!$A:$B,2,1),(HV83-0.05)))</f>
        <v>1</v>
      </c>
      <c r="HX83" s="15">
        <f>MIN(1,MAX(VLOOKUP(($AJ83-$AI83-$AH83-$AG83-$AF83-$AE83*(1+HX$3))/$AJ83,'Технический лист'!$A:$B,2,1),(HW83-0.05)))</f>
        <v>1</v>
      </c>
      <c r="HY83" s="15">
        <f>MIN(1,MAX(VLOOKUP(($AJ83-$AI83-$AH83-$AG83-$AF83-$AE83*(1+HY$3))/$AJ83,'Технический лист'!$A:$B,2,1),(HX83-0.05)))</f>
        <v>1</v>
      </c>
      <c r="HZ83" s="15">
        <f>MIN(1,MAX(VLOOKUP(($AJ83-$AI83-$AH83-$AG83-$AF83-$AE83*(1+HZ$3))/$AJ83,'Технический лист'!$A:$B,2,1),(HY83-0.05)))</f>
        <v>1</v>
      </c>
      <c r="IA83" s="15">
        <f>MIN(1,MAX(VLOOKUP(($AJ83-$AI83-$AH83-$AG83-$AF83-$AE83*(1+IA$3))/$AJ83,'Технический лист'!$A:$B,2,1),(HZ83-0.05)))</f>
        <v>1</v>
      </c>
      <c r="IB83" s="15">
        <f>MIN(1,MAX(VLOOKUP(($AJ83-$AI83-$AH83-$AG83-$AF83-$AE83*(1+IB$3))/$AJ83,'Технический лист'!$A:$B,2,1),(IA83-0.05)))</f>
        <v>1</v>
      </c>
      <c r="IC83" s="15">
        <f>MIN(1,MAX(VLOOKUP(($AJ83-$AI83-$AH83-$AG83-$AF83-$AE83*(1+IC$3))/$AJ83,'Технический лист'!$A:$B,2,1),(IB83-0.05)))</f>
        <v>1</v>
      </c>
      <c r="ID83" s="15">
        <f>MIN(1,MAX(VLOOKUP(($AJ83-$AI83-$AH83-$AG83-$AF83-$AE83*(1+ID$3))/$AJ83,'Технический лист'!$A:$B,2,1),(IC83-0.05)))</f>
        <v>1</v>
      </c>
      <c r="IE83" s="15">
        <f>MIN(1,MAX(VLOOKUP(($AJ83-$AI83-$AH83-$AG83-$AF83-$AE83*(1+IE$3))/$AJ83,'Технический лист'!$A:$B,2,1),(ID83-0.05)))</f>
        <v>1</v>
      </c>
      <c r="IF83" s="15">
        <f>MIN(1,MAX(VLOOKUP(($AJ83-$AI83-$AH83-$AG83-$AF83-$AE83*(1+IF$3))/$AJ83,'Технический лист'!$A:$B,2,1),(IE83-0.05)))</f>
        <v>1</v>
      </c>
      <c r="IG83" s="15">
        <f>MIN(1,MAX(VLOOKUP(($AJ83-$AI83-$AH83-$AG83-$AF83-$AE83*(1+IG$3))/$AJ83,'Технический лист'!$A:$B,2,1),(IF83-0.05)))</f>
        <v>1</v>
      </c>
      <c r="IH83" s="15">
        <f>MIN(1,MAX(VLOOKUP(($AJ83-$AI83-$AH83-$AG83-$AF83-$AE83*(1+IH$3))/$AJ83,'Технический лист'!$A:$B,2,1),(IG83-0.05)))</f>
        <v>1</v>
      </c>
      <c r="II83" s="15">
        <f>MIN(1,MAX(VLOOKUP(($AJ83-$AI83-$AH83-$AG83-$AF83-$AE83*(1+II$3))/$AJ83,'Технический лист'!$A:$B,2,1),(IH83-0.05)))</f>
        <v>1</v>
      </c>
      <c r="IJ83" s="15">
        <f>MIN(1,MAX(VLOOKUP(($AJ83-$AI83-$AH83-$AG83-$AF83-$AE83*(1+IJ$3))/$AJ83,'Технический лист'!$A:$B,2,1),(II83-0.05)))</f>
        <v>1</v>
      </c>
      <c r="IK83" s="15">
        <f>MIN(1,MAX(VLOOKUP(($AJ83-$AI83-$AH83-$AG83-$AF83-$AE83*(1+IK$3))/$AJ83,'Технический лист'!$A:$B,2,1),(IJ83-0.05)))</f>
        <v>1</v>
      </c>
      <c r="IL83" s="15">
        <f>MIN(1,MAX(VLOOKUP(($AJ83-$AI83-$AH83-$AG83-$AF83-$AE83*(1+IL$3))/$AJ83,'Технический лист'!$A:$B,2,1),(IK83-0.05)))</f>
        <v>1</v>
      </c>
      <c r="IM83" s="15">
        <f>MIN(1,MAX(VLOOKUP(($AJ83-$AI83-$AH83-$AG83-$AF83-$AE83*(1+IM$3))/$AJ83,'Технический лист'!$A:$B,2,1),(IL83-0.05)))</f>
        <v>1</v>
      </c>
      <c r="IN83" s="15">
        <f>MIN(1,MAX(VLOOKUP(($AJ83-$AI83-$AH83-$AG83-$AF83-$AE83*(1+IN$3))/$AJ83,'Технический лист'!$A:$B,2,1),(IM83-0.05)))</f>
        <v>1</v>
      </c>
      <c r="IO83" s="15">
        <f>MIN(1,MAX(VLOOKUP(($AJ83-$AI83-$AH83-$AG83-$AF83-$AE83*(1+IO$3))/$AJ83,'Технический лист'!$A:$B,2,1),(IN83-0.05)))</f>
        <v>1</v>
      </c>
      <c r="IP83" s="15">
        <f>MIN(1,MAX(VLOOKUP(($AJ83-$AI83-$AH83-$AG83-$AF83-$AE83*(1+IP$3))/$AJ83,'Технический лист'!$A:$B,2,1),(IO83-0.05)))</f>
        <v>1</v>
      </c>
      <c r="IQ83" s="15">
        <f>MIN(1,MAX(VLOOKUP(($AJ83-$AI83-$AH83-$AG83-$AF83-$AE83*(1+IQ$3))/$AJ83,'Технический лист'!$A:$B,2,1),(IP83-0.05)))</f>
        <v>1</v>
      </c>
      <c r="IR83" s="15">
        <f>MIN(1,MAX(VLOOKUP(($AJ83-$AI83-$AH83-$AG83-$AF83-$AE83*(1+IR$3))/$AJ83,'Технический лист'!$A:$B,2,1),(IQ83-0.05)))</f>
        <v>1</v>
      </c>
    </row>
    <row r="84" spans="1:252" ht="43.75">
      <c r="A84" s="89" t="s">
        <v>515</v>
      </c>
      <c r="B84" s="90">
        <v>5</v>
      </c>
      <c r="C84" s="5" t="s">
        <v>68</v>
      </c>
      <c r="D84" s="91">
        <v>31405</v>
      </c>
      <c r="E84" s="91" t="s">
        <v>344</v>
      </c>
      <c r="F84" s="92" t="s">
        <v>77</v>
      </c>
      <c r="G84" s="91" t="s">
        <v>23</v>
      </c>
      <c r="H84" s="91" t="s">
        <v>16</v>
      </c>
      <c r="I84" s="91" t="s">
        <v>144</v>
      </c>
      <c r="J84" s="91" t="s">
        <v>159</v>
      </c>
      <c r="K84" s="91">
        <v>5988</v>
      </c>
      <c r="L84" s="85" t="s">
        <v>64</v>
      </c>
      <c r="M84" s="91" t="s">
        <v>17</v>
      </c>
      <c r="N84" s="91" t="s">
        <v>191</v>
      </c>
      <c r="O84" s="91" t="s">
        <v>194</v>
      </c>
      <c r="P84" s="89" t="s">
        <v>240</v>
      </c>
      <c r="Q84" s="91" t="s">
        <v>315</v>
      </c>
      <c r="R84" s="91" t="s">
        <v>251</v>
      </c>
      <c r="S84" s="82">
        <v>745619</v>
      </c>
      <c r="T84" s="82">
        <v>4464918671</v>
      </c>
      <c r="U84" s="81">
        <v>10829</v>
      </c>
      <c r="V84" s="81">
        <v>0</v>
      </c>
      <c r="W84" s="82">
        <v>2921904137</v>
      </c>
      <c r="X84" s="112">
        <v>69</v>
      </c>
      <c r="Y84" s="112" t="s">
        <v>418</v>
      </c>
      <c r="Z84" s="113">
        <v>13</v>
      </c>
      <c r="AA84" s="113">
        <v>14</v>
      </c>
      <c r="AB84" s="113">
        <v>4</v>
      </c>
      <c r="AC84" s="99">
        <v>4339</v>
      </c>
      <c r="AD84" s="99">
        <f t="shared" si="35"/>
        <v>1218.0100000000002</v>
      </c>
      <c r="AE84" s="99">
        <v>5557.01</v>
      </c>
      <c r="AF84" s="98">
        <f>(Z84+AA84+AB84)*'Ставки аренды'!$B$3/X84</f>
        <v>314.49275362318838</v>
      </c>
      <c r="AG84" s="114">
        <f>'Ставки перевалки'!$B$8*'Курсы валют'!$B$2</f>
        <v>1449.8045</v>
      </c>
      <c r="AH84" s="94">
        <v>0</v>
      </c>
      <c r="AI84" s="115">
        <f t="shared" si="36"/>
        <v>25463.145349999999</v>
      </c>
      <c r="AJ84" s="117">
        <f>Цены!$C$5*'Курсы валют'!$B$2</f>
        <v>35863.584999999999</v>
      </c>
      <c r="AK84" s="94">
        <f>AJ84/Цены!$B$1</f>
        <v>470</v>
      </c>
      <c r="AL84" s="95">
        <f t="shared" si="24"/>
        <v>7321.3072536231884</v>
      </c>
      <c r="AM84" s="95">
        <f t="shared" si="25"/>
        <v>28542.277746376811</v>
      </c>
      <c r="AN84" s="94">
        <f t="shared" si="22"/>
        <v>32784.452603623184</v>
      </c>
      <c r="AO84" s="118">
        <f t="shared" si="23"/>
        <v>8.5856793077903823E-2</v>
      </c>
      <c r="AP84" s="96">
        <f t="shared" si="26"/>
        <v>0.20414320692209628</v>
      </c>
      <c r="AQ84" s="96">
        <f t="shared" si="27"/>
        <v>0.15494853623808105</v>
      </c>
      <c r="AR84" s="96">
        <f t="shared" si="28"/>
        <v>0.75901882102406393</v>
      </c>
      <c r="AS84" s="122">
        <v>1</v>
      </c>
      <c r="AT84" s="121">
        <f t="shared" si="29"/>
        <v>745619</v>
      </c>
      <c r="AU84" s="83">
        <v>0.75</v>
      </c>
      <c r="AV84" s="119">
        <f t="shared" si="30"/>
        <v>6.726296872933403E-2</v>
      </c>
      <c r="AW84" s="120">
        <f t="shared" si="31"/>
        <v>0.22273703127066605</v>
      </c>
      <c r="AX84" s="120">
        <f t="shared" si="32"/>
        <v>0.17354236058665082</v>
      </c>
      <c r="AY84" s="120">
        <f t="shared" si="33"/>
        <v>0.77913564527923174</v>
      </c>
      <c r="AZ84" s="15">
        <f>MIN(IF($AU84=100%,1,1+VLOOKUP(($AJ84-$AI84-$AH84-$AG84-$AF84-$AE84*(1+AZ$3))/$AJ84,'Технический лист'!$I:$J,2,1)-VLOOKUP($AO84,'Технический лист'!$I:$J,2,1)),1+(1-$AU84))</f>
        <v>1.25</v>
      </c>
      <c r="BA84" s="15">
        <f>MIN(IF($AU84=100%,1,1+VLOOKUP(($AJ84-$AI84-$AH84-$AG84-$AF84-$AE84*(1+BA$3))/$AJ84,'Технический лист'!$I:$J,2,1)-VLOOKUP($AO84,'Технический лист'!$I:$J,2,1)),1+(1-$AU84))</f>
        <v>1.25</v>
      </c>
      <c r="BB84" s="15">
        <f>MIN(IF($AU84=100%,1,1+VLOOKUP(($AJ84-$AI84-$AH84-$AG84-$AF84-$AE84*(1+BB$3))/$AJ84,'Технический лист'!$I:$J,2,1)-VLOOKUP($AO84,'Технический лист'!$I:$J,2,1)),1+(1-$AU84))</f>
        <v>1.25</v>
      </c>
      <c r="BC84" s="15">
        <f>MIN(IF($AU84=100%,1,1+VLOOKUP(($AJ84-$AI84-$AH84-$AG84-$AF84-$AE84*(1+BC$3))/$AJ84,'Технический лист'!$I:$J,2,1)-VLOOKUP($AO84,'Технический лист'!$I:$J,2,1)),1+(1-$AU84))</f>
        <v>1.25</v>
      </c>
      <c r="BD84" s="15">
        <f>MIN(IF($AU84=100%,1,1+VLOOKUP(($AJ84-$AI84-$AH84-$AG84-$AF84-$AE84*(1+BD$3))/$AJ84,'Технический лист'!$I:$J,2,1)-VLOOKUP($AO84,'Технический лист'!$I:$J,2,1)),1+(1-$AU84))</f>
        <v>1.25</v>
      </c>
      <c r="BE84" s="15">
        <f>MIN(IF($AU84=100%,1,1+VLOOKUP(($AJ84-$AI84-$AH84-$AG84-$AF84-$AE84*(1+BE$3))/$AJ84,'Технический лист'!$I:$J,2,1)-VLOOKUP($AO84,'Технический лист'!$I:$J,2,1)),1+(1-$AU84))</f>
        <v>1.25</v>
      </c>
      <c r="BF84" s="15">
        <f>MIN(IF($AU84=100%,1,1+VLOOKUP(($AJ84-$AI84-$AH84-$AG84-$AF84-$AE84*(1+BF$3))/$AJ84,'Технический лист'!$I:$J,2,1)-VLOOKUP($AO84,'Технический лист'!$I:$J,2,1)),1+(1-$AU84))</f>
        <v>1.25</v>
      </c>
      <c r="BG84" s="15">
        <f>MIN(IF($AU84=100%,1,1+VLOOKUP(($AJ84-$AI84-$AH84-$AG84-$AF84-$AE84*(1+BG$3))/$AJ84,'Технический лист'!$I:$J,2,1)-VLOOKUP($AO84,'Технический лист'!$I:$J,2,1)),1+(1-$AU84))</f>
        <v>1.25</v>
      </c>
      <c r="BH84" s="15">
        <f>MIN(IF($AU84=100%,1,1+VLOOKUP(($AJ84-$AI84-$AH84-$AG84-$AF84-$AE84*(1+BH$3))/$AJ84,'Технический лист'!$I:$J,2,1)-VLOOKUP($AO84,'Технический лист'!$I:$J,2,1)),1+(1-$AU84))</f>
        <v>1.25</v>
      </c>
      <c r="BI84" s="15">
        <f>MIN(IF($AU84=100%,1,1+VLOOKUP(($AJ84-$AI84-$AH84-$AG84-$AF84-$AE84*(1+BI$3))/$AJ84,'Технический лист'!$I:$J,2,1)-VLOOKUP($AO84,'Технический лист'!$I:$J,2,1)),1+(1-$AU84))</f>
        <v>1.25</v>
      </c>
      <c r="BJ84" s="15">
        <f>MIN(IF($AU84=100%,1,1+VLOOKUP(($AJ84-$AI84-$AH84-$AG84-$AF84-$AE84*(1+BJ$3))/$AJ84,'Технический лист'!$I:$J,2,1)-VLOOKUP($AO84,'Технический лист'!$I:$J,2,1)),1+(1-$AU84))</f>
        <v>1.25</v>
      </c>
      <c r="BK84" s="15">
        <f>MIN(IF($AU84=100%,1,1+VLOOKUP(($AJ84-$AI84-$AH84-$AG84-$AF84-$AE84*(1+BK$3))/$AJ84,'Технический лист'!$I:$J,2,1)-VLOOKUP($AO84,'Технический лист'!$I:$J,2,1)),1+(1-$AU84))</f>
        <v>1.25</v>
      </c>
      <c r="BL84" s="15">
        <f>MIN(IF($AU84=100%,1,1+VLOOKUP(($AJ84-$AI84-$AH84-$AG84-$AF84-$AE84*(1+BL$3))/$AJ84,'Технический лист'!$I:$J,2,1)-VLOOKUP($AO84,'Технический лист'!$I:$J,2,1)),1+(1-$AU84))</f>
        <v>1.25</v>
      </c>
      <c r="BM84" s="15">
        <f>MIN(IF($AU84=100%,1,1+VLOOKUP(($AJ84-$AI84-$AH84-$AG84-$AF84-$AE84*(1+BM$3))/$AJ84,'Технический лист'!$I:$J,2,1)-VLOOKUP($AO84,'Технический лист'!$I:$J,2,1)),1+(1-$AU84))</f>
        <v>1.25</v>
      </c>
      <c r="BN84" s="15">
        <f>MIN(IF($AU84=100%,1,1+VLOOKUP(($AJ84-$AI84-$AH84-$AG84-$AF84-$AE84*(1+BN$3))/$AJ84,'Технический лист'!$I:$J,2,1)-VLOOKUP($AO84,'Технический лист'!$I:$J,2,1)),1+(1-$AU84))</f>
        <v>1.25</v>
      </c>
      <c r="BO84" s="15">
        <f>MIN(IF($AU84=100%,1,1+VLOOKUP(($AJ84-$AI84-$AH84-$AG84-$AF84-$AE84*(1+BO$3))/$AJ84,'Технический лист'!$I:$J,2,1)-VLOOKUP($AO84,'Технический лист'!$I:$J,2,1)),1+(1-$AU84))</f>
        <v>1.25</v>
      </c>
      <c r="BP84" s="15">
        <f>MIN(IF($AU84=100%,1,1+VLOOKUP(($AJ84-$AI84-$AH84-$AG84-$AF84-$AE84*(1+BP$3))/$AJ84,'Технический лист'!$I:$J,2,1)-VLOOKUP($AO84,'Технический лист'!$I:$J,2,1)),1+(1-$AU84))</f>
        <v>1.25</v>
      </c>
      <c r="BQ84" s="15">
        <f>MIN(IF($AU84=100%,1,1+VLOOKUP(($AJ84-$AI84-$AH84-$AG84-$AF84-$AE84*(1+BQ$3))/$AJ84,'Технический лист'!$I:$J,2,1)-VLOOKUP($AO84,'Технический лист'!$I:$J,2,1)),1+(1-$AU84))</f>
        <v>1.25</v>
      </c>
      <c r="BR84" s="15">
        <f>MIN(IF($AU84=100%,1,1+VLOOKUP(($AJ84-$AI84-$AH84-$AG84-$AF84-$AE84*(1+BR$3))/$AJ84,'Технический лист'!$I:$J,2,1)-VLOOKUP($AO84,'Технический лист'!$I:$J,2,1)),1+(1-$AU84))</f>
        <v>1.25</v>
      </c>
      <c r="BS84" s="15">
        <f>MIN(IF($AU84=100%,1,1+VLOOKUP(($AJ84-$AI84-$AH84-$AG84-$AF84-$AE84*(1+BS$3))/$AJ84,'Технический лист'!$I:$J,2,1)-VLOOKUP($AO84,'Технический лист'!$I:$J,2,1)),1+(1-$AU84))</f>
        <v>1.25</v>
      </c>
      <c r="BT84" s="15">
        <f>MIN(IF($AU84=100%,1,1+VLOOKUP(($AJ84-$AI84-$AH84-$AG84-$AF84-$AE84*(1+BT$3))/$AJ84,'Технический лист'!$I:$J,2,1)-VLOOKUP($AO84,'Технический лист'!$I:$J,2,1)),1+(1-$AU84))</f>
        <v>1.25</v>
      </c>
      <c r="BU84" s="15">
        <f>MIN(IF($AU84=100%,1,1+VLOOKUP(($AJ84-$AI84-$AH84-$AG84-$AF84-$AE84*(1+BU$3))/$AJ84,'Технический лист'!$I:$J,2,1)-VLOOKUP($AO84,'Технический лист'!$I:$J,2,1)),1+(1-$AU84))</f>
        <v>1.25</v>
      </c>
      <c r="BV84" s="15">
        <f>MIN(IF($AU84=100%,1,1+VLOOKUP(($AJ84-$AI84-$AH84-$AG84-$AF84-$AE84*(1+BV$3))/$AJ84,'Технический лист'!$I:$J,2,1)-VLOOKUP($AO84,'Технический лист'!$I:$J,2,1)),1+(1-$AU84))</f>
        <v>1.25</v>
      </c>
      <c r="BW84" s="15">
        <f>MIN(IF($AU84=100%,1,1+VLOOKUP(($AJ84-$AI84-$AH84-$AG84-$AF84-$AE84*(1+BW$3))/$AJ84,'Технический лист'!$I:$J,2,1)-VLOOKUP($AO84,'Технический лист'!$I:$J,2,1)),1+(1-$AU84))</f>
        <v>1.25</v>
      </c>
      <c r="BX84" s="15">
        <f>MIN(IF($AU84=100%,1,1+VLOOKUP(($AJ84-$AI84-$AH84-$AG84-$AF84-$AE84*(1+BX$3))/$AJ84,'Технический лист'!$I:$J,2,1)-VLOOKUP($AO84,'Технический лист'!$I:$J,2,1)),1+(1-$AU84))</f>
        <v>1.25</v>
      </c>
      <c r="BY84" s="15">
        <f>MIN(IF($AU84=100%,1,1+VLOOKUP(($AJ84-$AI84-$AH84-$AG84-$AF84-$AE84*(1+BY$3))/$AJ84,'Технический лист'!$I:$J,2,1)-VLOOKUP($AO84,'Технический лист'!$I:$J,2,1)),1+(1-$AU84))</f>
        <v>1.25</v>
      </c>
      <c r="BZ84" s="15">
        <f>MIN(IF($AU84=100%,1,1+VLOOKUP(($AJ84-$AI84-$AH84-$AG84-$AF84-$AE84*(1+BZ$3))/$AJ84,'Технический лист'!$I:$J,2,1)-VLOOKUP($AO84,'Технический лист'!$I:$J,2,1)),1+(1-$AU84))</f>
        <v>1.25</v>
      </c>
      <c r="CA84" s="15">
        <f>MIN(IF($AU84=100%,1,1+VLOOKUP(($AJ84-$AI84-$AH84-$AG84-$AF84-$AE84*(1+CA$3))/$AJ84,'Технический лист'!$I:$J,2,1)-VLOOKUP($AO84,'Технический лист'!$I:$J,2,1)),1+(1-$AU84))</f>
        <v>1.25</v>
      </c>
      <c r="CB84" s="15">
        <f>MIN(IF($AU84=100%,1,1+VLOOKUP(($AJ84-$AI84-$AH84-$AG84-$AF84-$AE84*(1+CB$3))/$AJ84,'Технический лист'!$I:$J,2,1)-VLOOKUP($AO84,'Технический лист'!$I:$J,2,1)),1+(1-$AU84))</f>
        <v>1.25</v>
      </c>
      <c r="CC84" s="15">
        <f>MIN(IF($AU84=100%,1,1+VLOOKUP(($AJ84-$AI84-$AH84-$AG84-$AF84-$AE84*(1+CC$3))/$AJ84,'Технический лист'!$I:$J,2,1)-VLOOKUP($AO84,'Технический лист'!$I:$J,2,1)),1+(1-$AU84))</f>
        <v>1.25</v>
      </c>
      <c r="CD84" s="15">
        <f>MIN(IF($AU84=100%,1,1+VLOOKUP(($AJ84-$AI84-$AH84-$AG84-$AF84-$AE84*(1+CD$3))/$AJ84,'Технический лист'!$I:$J,2,1)-VLOOKUP($AO84,'Технический лист'!$I:$J,2,1)),1+(1-$AU84))</f>
        <v>1.25</v>
      </c>
      <c r="CE84" s="15">
        <f>MIN(IF($AU84=100%,1,1+VLOOKUP(($AJ84-$AI84-$AH84-$AG84-$AF84-$AE84*(1+CE$3))/$AJ84,'Технический лист'!$I:$J,2,1)-VLOOKUP($AO84,'Технический лист'!$I:$J,2,1)),1+(1-$AU84))</f>
        <v>1.25</v>
      </c>
      <c r="CF84" s="15">
        <f>MIN(IF($AU84=100%,1,1+VLOOKUP(($AJ84-$AI84-$AH84-$AG84-$AF84-$AE84*(1+CF$3))/$AJ84,'Технический лист'!$I:$J,2,1)-VLOOKUP($AO84,'Технический лист'!$I:$J,2,1)),1+(1-$AU84))</f>
        <v>1.25</v>
      </c>
      <c r="CG84" s="15">
        <f>MIN(IF($AU84=100%,1,1+VLOOKUP(($AJ84-$AI84-$AH84-$AG84-$AF84-$AE84*(1+CG$3))/$AJ84,'Технический лист'!$I:$J,2,1)-VLOOKUP($AO84,'Технический лист'!$I:$J,2,1)),1+(1-$AU84))</f>
        <v>1.25</v>
      </c>
      <c r="CH84" s="15">
        <f>MIN(IF($AU84=100%,1,1+VLOOKUP(($AJ84-$AI84-$AH84-$AG84-$AF84-$AE84*(1+CH$3))/$AJ84,'Технический лист'!$I:$J,2,1)-VLOOKUP($AO84,'Технический лист'!$I:$J,2,1)),1+(1-$AU84))</f>
        <v>1.25</v>
      </c>
      <c r="CI84" s="15">
        <f>MIN(IF($AU84=100%,1,1+VLOOKUP(($AJ84-$AI84-$AH84-$AG84-$AF84-$AE84*(1+CI$3))/$AJ84,'Технический лист'!$I:$J,2,1)-VLOOKUP($AO84,'Технический лист'!$I:$J,2,1)),1+(1-$AU84))</f>
        <v>1.25</v>
      </c>
      <c r="CJ84" s="15">
        <f>MIN(IF($AU84=100%,1,1+VLOOKUP(($AJ84-$AI84-$AH84-$AG84-$AF84-$AE84*(1+CJ$3))/$AJ84,'Технический лист'!$I:$J,2,1)-VLOOKUP($AO84,'Технический лист'!$I:$J,2,1)),1+(1-$AU84))</f>
        <v>1.25</v>
      </c>
      <c r="CK84" s="15">
        <f>MIN(IF($AU84=100%,1,1+VLOOKUP(($AJ84-$AI84-$AH84-$AG84-$AF84-$AE84*(1+CK$3))/$AJ84,'Технический лист'!$I:$J,2,1)-VLOOKUP($AO84,'Технический лист'!$I:$J,2,1)),1+(1-$AU84))</f>
        <v>1.25</v>
      </c>
      <c r="CL84" s="15">
        <f>MIN(IF($AU84=100%,1,1+VLOOKUP(($AJ84-$AI84-$AH84-$AG84-$AF84-$AE84*(1+CL$3))/$AJ84,'Технический лист'!$I:$J,2,1)-VLOOKUP($AO84,'Технический лист'!$I:$J,2,1)),1+(1-$AU84))</f>
        <v>1.25</v>
      </c>
      <c r="CM84" s="15">
        <f>MIN(IF($AU84=100%,1,1+VLOOKUP(($AJ84-$AI84-$AH84-$AG84-$AF84-$AE84*(1+CM$3))/$AJ84,'Технический лист'!$I:$J,2,1)-VLOOKUP($AO84,'Технический лист'!$I:$J,2,1)),1+(1-$AU84))</f>
        <v>1.25</v>
      </c>
      <c r="CN84" s="15">
        <f>MIN(IF($AU84=100%,1,1+VLOOKUP(($AJ84-$AI84-$AH84-$AG84-$AF84-$AE84*(1+CN$3))/$AJ84,'Технический лист'!$I:$J,2,1)-VLOOKUP($AO84,'Технический лист'!$I:$J,2,1)),1+(1-$AU84))</f>
        <v>1.25</v>
      </c>
      <c r="CO84" s="15">
        <f>MIN(IF($AU84=100%,1,1+VLOOKUP(($AJ84-$AI84-$AH84-$AG84-$AF84-$AE84*(1+CO$3))/$AJ84,'Технический лист'!$I:$J,2,1)-VLOOKUP($AO84,'Технический лист'!$I:$J,2,1)),1+(1-$AU84))</f>
        <v>1.25</v>
      </c>
      <c r="CP84" s="15">
        <f>MIN(IF($AU84=100%,1,1+VLOOKUP(($AJ84-$AI84-$AH84-$AG84-$AF84-$AE84*(1+CP$3))/$AJ84,'Технический лист'!$I:$J,2,1)-VLOOKUP($AO84,'Технический лист'!$I:$J,2,1)),1+(1-$AU84))</f>
        <v>1.25</v>
      </c>
      <c r="CQ84" s="15">
        <f>MIN(IF($AU84=100%,1,1+VLOOKUP(($AJ84-$AI84-$AH84-$AG84-$AF84-$AE84*(1+CQ$3))/$AJ84,'Технический лист'!$I:$J,2,1)-VLOOKUP($AO84,'Технический лист'!$I:$J,2,1)),1+(1-$AU84))</f>
        <v>1.25</v>
      </c>
      <c r="CR84" s="15">
        <f>MIN(IF($AU84=100%,1,1+VLOOKUP(($AJ84-$AI84-$AH84-$AG84-$AF84-$AE84*(1+CR$3))/$AJ84,'Технический лист'!$I:$J,2,1)-VLOOKUP($AO84,'Технический лист'!$I:$J,2,1)),1+(1-$AU84))</f>
        <v>1.25</v>
      </c>
      <c r="CS84" s="15">
        <f>MIN(IF($AU84=100%,1,1+VLOOKUP(($AJ84-$AI84-$AH84-$AG84-$AF84-$AE84*(1+CS$3))/$AJ84,'Технический лист'!$I:$J,2,1)-VLOOKUP($AO84,'Технический лист'!$I:$J,2,1)),1+(1-$AU84))</f>
        <v>1.25</v>
      </c>
      <c r="CT84" s="15">
        <f>MIN(IF($AU84=100%,1,1+VLOOKUP(($AJ84-$AI84-$AH84-$AG84-$AF84-$AE84*(1+CT$3))/$AJ84,'Технический лист'!$I:$J,2,1)-VLOOKUP($AO84,'Технический лист'!$I:$J,2,1)),1+(1-$AU84))</f>
        <v>1.25</v>
      </c>
      <c r="CU84" s="15">
        <f>MIN(IF($AU84=100%,1,1+VLOOKUP(($AJ84-$AI84-$AH84-$AG84-$AF84-$AE84*(1+CU$3))/$AJ84,'Технический лист'!$I:$J,2,1)-VLOOKUP($AO84,'Технический лист'!$I:$J,2,1)),1+(1-$AU84))</f>
        <v>1.25</v>
      </c>
      <c r="CV84" s="15">
        <f>MIN(IF($AU84=100%,1,1+VLOOKUP(($AJ84-$AI84-$AH84-$AG84-$AF84-$AE84*(1+CV$3))/$AJ84,'Технический лист'!$I:$J,2,1)-VLOOKUP($AO84,'Технический лист'!$I:$J,2,1)),1+(1-$AU84))</f>
        <v>1.25</v>
      </c>
      <c r="CW84" s="15">
        <f>MIN(IF($AU84=100%,1,1+VLOOKUP(($AJ84-$AI84-$AH84-$AG84-$AF84-$AE84*(1+CW$3))/$AJ84,'Технический лист'!$I:$J,2,1)-VLOOKUP($AO84,'Технический лист'!$I:$J,2,1)),1+(1-$AU84))</f>
        <v>1.25</v>
      </c>
      <c r="CX84" s="15">
        <f>MIN(IF($AU84=100%,1,1+VLOOKUP(($AJ84-$AI84-$AH84-$AG84-$AF84-$AE84*(1+CX$3))/$AJ84,'Технический лист'!$I:$J,2,1)-VLOOKUP($AO84,'Технический лист'!$I:$J,2,1)),1+(1-$AU84))</f>
        <v>1.2299999999999998</v>
      </c>
      <c r="CY84" s="15">
        <f>MIN(IF($AU84=100%,1,1+VLOOKUP(($AJ84-$AI84-$AH84-$AG84-$AF84-$AE84*(1+CY$3))/$AJ84,'Технический лист'!$I:$J,2,1)-VLOOKUP($AO84,'Технический лист'!$I:$J,2,1)),1+(1-$AU84))</f>
        <v>1.2299999999999998</v>
      </c>
      <c r="CZ84" s="15">
        <f>MIN(IF($AU84=100%,1,1+VLOOKUP(($AJ84-$AI84-$AH84-$AG84-$AF84-$AE84*(1+CZ$3))/$AJ84,'Технический лист'!$I:$J,2,1)-VLOOKUP($AO84,'Технический лист'!$I:$J,2,1)),1+(1-$AU84))</f>
        <v>1.2299999999999998</v>
      </c>
      <c r="DA84" s="15">
        <f>MIN(IF($AU84=100%,1,1+VLOOKUP(($AJ84-$AI84-$AH84-$AG84-$AF84-$AE84*(1+DA$3))/$AJ84,'Технический лист'!$I:$J,2,1)-VLOOKUP($AO84,'Технический лист'!$I:$J,2,1)),1+(1-$AU84))</f>
        <v>1.2299999999999998</v>
      </c>
      <c r="DB84" s="15">
        <f>MIN(IF($AU84=100%,1,1+VLOOKUP(($AJ84-$AI84-$AH84-$AG84-$AF84-$AE84*(1+DB$3))/$AJ84,'Технический лист'!$I:$J,2,1)-VLOOKUP($AO84,'Технический лист'!$I:$J,2,1)),1+(1-$AU84))</f>
        <v>1.2299999999999998</v>
      </c>
      <c r="DC84" s="15">
        <f>MIN(IF($AU84=100%,1,1+VLOOKUP(($AJ84-$AI84-$AH84-$AG84-$AF84-$AE84*(1+DC$3))/$AJ84,'Технический лист'!$I:$J,2,1)-VLOOKUP($AO84,'Технический лист'!$I:$J,2,1)),1+(1-$AU84))</f>
        <v>1.2299999999999998</v>
      </c>
      <c r="DD84" s="15">
        <f>MIN(IF($AU84=100%,1,1+VLOOKUP(($AJ84-$AI84-$AH84-$AG84-$AF84-$AE84*(1+DD$3))/$AJ84,'Технический лист'!$I:$J,2,1)-VLOOKUP($AO84,'Технический лист'!$I:$J,2,1)),1+(1-$AU84))</f>
        <v>1.1950000000000001</v>
      </c>
      <c r="DE84" s="15">
        <f>MIN(IF($AU84=100%,1,1+VLOOKUP(($AJ84-$AI84-$AH84-$AG84-$AF84-$AE84*(1+DE$3))/$AJ84,'Технический лист'!$I:$J,2,1)-VLOOKUP($AO84,'Технический лист'!$I:$J,2,1)),1+(1-$AU84))</f>
        <v>1.1950000000000001</v>
      </c>
      <c r="DF84" s="15">
        <f>MIN(IF($AU84=100%,1,1+VLOOKUP(($AJ84-$AI84-$AH84-$AG84-$AF84-$AE84*(1+DF$3))/$AJ84,'Технический лист'!$I:$J,2,1)-VLOOKUP($AO84,'Технический лист'!$I:$J,2,1)),1+(1-$AU84))</f>
        <v>1.1950000000000001</v>
      </c>
      <c r="DG84" s="15">
        <f>MIN(IF($AU84=100%,1,1+VLOOKUP(($AJ84-$AI84-$AH84-$AG84-$AF84-$AE84*(1+DG$3))/$AJ84,'Технический лист'!$I:$J,2,1)-VLOOKUP($AO84,'Технический лист'!$I:$J,2,1)),1+(1-$AU84))</f>
        <v>1.1950000000000001</v>
      </c>
      <c r="DH84" s="15">
        <f>MIN(IF($AU84=100%,1,1+VLOOKUP(($AJ84-$AI84-$AH84-$AG84-$AF84-$AE84*(1+DH$3))/$AJ84,'Технический лист'!$I:$J,2,1)-VLOOKUP($AO84,'Технический лист'!$I:$J,2,1)),1+(1-$AU84))</f>
        <v>1.1950000000000001</v>
      </c>
      <c r="DI84" s="15">
        <f>MIN(IF($AU84=100%,1,1+VLOOKUP(($AJ84-$AI84-$AH84-$AG84-$AF84-$AE84*(1+DI$3))/$AJ84,'Технический лист'!$I:$J,2,1)-VLOOKUP($AO84,'Технический лист'!$I:$J,2,1)),1+(1-$AU84))</f>
        <v>1.1950000000000001</v>
      </c>
      <c r="DJ84" s="15">
        <f>MIN(IF($AU84=100%,1,1+VLOOKUP(($AJ84-$AI84-$AH84-$AG84-$AF84-$AE84*(1+DJ$3))/$AJ84,'Технический лист'!$I:$J,2,1)-VLOOKUP($AO84,'Технический лист'!$I:$J,2,1)),1+(1-$AU84))</f>
        <v>1.1950000000000001</v>
      </c>
      <c r="DK84" s="15">
        <f>MIN(IF($AU84=100%,1,1+VLOOKUP(($AJ84-$AI84-$AH84-$AG84-$AF84-$AE84*(1+DK$3))/$AJ84,'Технический лист'!$I:$J,2,1)-VLOOKUP($AO84,'Технический лист'!$I:$J,2,1)),1+(1-$AU84))</f>
        <v>1.1599999999999999</v>
      </c>
      <c r="DL84" s="15">
        <f>MIN(IF($AU84=100%,1,1+VLOOKUP(($AJ84-$AI84-$AH84-$AG84-$AF84-$AE84*(1+DL$3))/$AJ84,'Технический лист'!$I:$J,2,1)-VLOOKUP($AO84,'Технический лист'!$I:$J,2,1)),1+(1-$AU84))</f>
        <v>1.1599999999999999</v>
      </c>
      <c r="DM84" s="15">
        <f>MIN(IF($AU84=100%,1,1+VLOOKUP(($AJ84-$AI84-$AH84-$AG84-$AF84-$AE84*(1+DM$3))/$AJ84,'Технический лист'!$I:$J,2,1)-VLOOKUP($AO84,'Технический лист'!$I:$J,2,1)),1+(1-$AU84))</f>
        <v>1.1599999999999999</v>
      </c>
      <c r="DN84" s="15">
        <f>MIN(IF($AU84=100%,1,1+VLOOKUP(($AJ84-$AI84-$AH84-$AG84-$AF84-$AE84*(1+DN$3))/$AJ84,'Технический лист'!$I:$J,2,1)-VLOOKUP($AO84,'Технический лист'!$I:$J,2,1)),1+(1-$AU84))</f>
        <v>1.1599999999999999</v>
      </c>
      <c r="DO84" s="15">
        <f>MIN(IF($AU84=100%,1,1+VLOOKUP(($AJ84-$AI84-$AH84-$AG84-$AF84-$AE84*(1+DO$3))/$AJ84,'Технический лист'!$I:$J,2,1)-VLOOKUP($AO84,'Технический лист'!$I:$J,2,1)),1+(1-$AU84))</f>
        <v>1.1599999999999999</v>
      </c>
      <c r="DP84" s="15">
        <f>MIN(IF($AU84=100%,1,1+VLOOKUP(($AJ84-$AI84-$AH84-$AG84-$AF84-$AE84*(1+DP$3))/$AJ84,'Технический лист'!$I:$J,2,1)-VLOOKUP($AO84,'Технический лист'!$I:$J,2,1)),1+(1-$AU84))</f>
        <v>1.1599999999999999</v>
      </c>
      <c r="DQ84" s="15">
        <f>MIN(IF($AU84=100%,1,1+VLOOKUP(($AJ84-$AI84-$AH84-$AG84-$AF84-$AE84*(1+DQ$3))/$AJ84,'Технический лист'!$I:$J,2,1)-VLOOKUP($AO84,'Технический лист'!$I:$J,2,1)),1+(1-$AU84))</f>
        <v>1.1250000000000002</v>
      </c>
      <c r="DR84" s="15">
        <f>MIN(IF($AU84=100%,1,1+VLOOKUP(($AJ84-$AI84-$AH84-$AG84-$AF84-$AE84*(1+DR$3))/$AJ84,'Технический лист'!$I:$J,2,1)-VLOOKUP($AO84,'Технический лист'!$I:$J,2,1)),1+(1-$AU84))</f>
        <v>1.1250000000000002</v>
      </c>
      <c r="DS84" s="15">
        <f>MIN(IF($AU84=100%,1,1+VLOOKUP(($AJ84-$AI84-$AH84-$AG84-$AF84-$AE84*(1+DS$3))/$AJ84,'Технический лист'!$I:$J,2,1)-VLOOKUP($AO84,'Технический лист'!$I:$J,2,1)),1+(1-$AU84))</f>
        <v>1.1250000000000002</v>
      </c>
      <c r="DT84" s="15">
        <f>MIN(IF($AU84=100%,1,1+VLOOKUP(($AJ84-$AI84-$AH84-$AG84-$AF84-$AE84*(1+DT$3))/$AJ84,'Технический лист'!$I:$J,2,1)-VLOOKUP($AO84,'Технический лист'!$I:$J,2,1)),1+(1-$AU84))</f>
        <v>1.1250000000000002</v>
      </c>
      <c r="DU84" s="15">
        <f>MIN(IF($AU84=100%,1,1+VLOOKUP(($AJ84-$AI84-$AH84-$AG84-$AF84-$AE84*(1+DU$3))/$AJ84,'Технический лист'!$I:$J,2,1)-VLOOKUP($AO84,'Технический лист'!$I:$J,2,1)),1+(1-$AU84))</f>
        <v>1.1250000000000002</v>
      </c>
      <c r="DV84" s="15">
        <f>MIN(IF($AU84=100%,1,1+VLOOKUP(($AJ84-$AI84-$AH84-$AG84-$AF84-$AE84*(1+DV$3))/$AJ84,'Технический лист'!$I:$J,2,1)-VLOOKUP($AO84,'Технический лист'!$I:$J,2,1)),1+(1-$AU84))</f>
        <v>1.1250000000000002</v>
      </c>
      <c r="DW84" s="15">
        <f>MIN(IF($AU84=100%,1,1+VLOOKUP(($AJ84-$AI84-$AH84-$AG84-$AF84-$AE84*(1+DW$3))/$AJ84,'Технический лист'!$I:$J,2,1)-VLOOKUP($AO84,'Технический лист'!$I:$J,2,1)),1+(1-$AU84))</f>
        <v>1.1250000000000002</v>
      </c>
      <c r="DX84" s="15">
        <f>MIN(IF($AU84=100%,1,1+VLOOKUP(($AJ84-$AI84-$AH84-$AG84-$AF84-$AE84*(1+DX$3))/$AJ84,'Технический лист'!$I:$J,2,1)-VLOOKUP($AO84,'Технический лист'!$I:$J,2,1)),1+(1-$AU84))</f>
        <v>1.0900000000000001</v>
      </c>
      <c r="DY84" s="15">
        <f>MIN(IF($AU84=100%,1,1+VLOOKUP(($AJ84-$AI84-$AH84-$AG84-$AF84-$AE84*(1+DY$3))/$AJ84,'Технический лист'!$I:$J,2,1)-VLOOKUP($AO84,'Технический лист'!$I:$J,2,1)),1+(1-$AU84))</f>
        <v>1.0900000000000001</v>
      </c>
      <c r="DZ84" s="15">
        <f>MIN(IF($AU84=100%,1,1+VLOOKUP(($AJ84-$AI84-$AH84-$AG84-$AF84-$AE84*(1+DZ$3))/$AJ84,'Технический лист'!$I:$J,2,1)-VLOOKUP($AO84,'Технический лист'!$I:$J,2,1)),1+(1-$AU84))</f>
        <v>1.0900000000000001</v>
      </c>
      <c r="EA84" s="15">
        <f>MIN(IF($AU84=100%,1,1+VLOOKUP(($AJ84-$AI84-$AH84-$AG84-$AF84-$AE84*(1+EA$3))/$AJ84,'Технический лист'!$I:$J,2,1)-VLOOKUP($AO84,'Технический лист'!$I:$J,2,1)),1+(1-$AU84))</f>
        <v>1.0900000000000001</v>
      </c>
      <c r="EB84" s="15">
        <f>MIN(IF($AU84=100%,1,1+VLOOKUP(($AJ84-$AI84-$AH84-$AG84-$AF84-$AE84*(1+EB$3))/$AJ84,'Технический лист'!$I:$J,2,1)-VLOOKUP($AO84,'Технический лист'!$I:$J,2,1)),1+(1-$AU84))</f>
        <v>1.0900000000000001</v>
      </c>
      <c r="EC84" s="15">
        <f>MIN(IF($AU84=100%,1,1+VLOOKUP(($AJ84-$AI84-$AH84-$AG84-$AF84-$AE84*(1+EC$3))/$AJ84,'Технический лист'!$I:$J,2,1)-VLOOKUP($AO84,'Технический лист'!$I:$J,2,1)),1+(1-$AU84))</f>
        <v>1.0900000000000001</v>
      </c>
      <c r="ED84" s="15">
        <f>MIN(IF($AU84=100%,1,1+VLOOKUP(($AJ84-$AI84-$AH84-$AG84-$AF84-$AE84*(1+ED$3))/$AJ84,'Технический лист'!$I:$J,2,1)-VLOOKUP($AO84,'Технический лист'!$I:$J,2,1)),1+(1-$AU84))</f>
        <v>1.0599999999999998</v>
      </c>
      <c r="EE84" s="15">
        <f>MIN(IF($AU84=100%,1,1+VLOOKUP(($AJ84-$AI84-$AH84-$AG84-$AF84-$AE84*(1+EE$3))/$AJ84,'Технический лист'!$I:$J,2,1)-VLOOKUP($AO84,'Технический лист'!$I:$J,2,1)),1+(1-$AU84))</f>
        <v>1.0599999999999998</v>
      </c>
      <c r="EF84" s="15">
        <f>MIN(IF($AU84=100%,1,1+VLOOKUP(($AJ84-$AI84-$AH84-$AG84-$AF84-$AE84*(1+EF$3))/$AJ84,'Технический лист'!$I:$J,2,1)-VLOOKUP($AO84,'Технический лист'!$I:$J,2,1)),1+(1-$AU84))</f>
        <v>1.0599999999999998</v>
      </c>
      <c r="EG84" s="15">
        <f>MIN(IF($AU84=100%,1,1+VLOOKUP(($AJ84-$AI84-$AH84-$AG84-$AF84-$AE84*(1+EG$3))/$AJ84,'Технический лист'!$I:$J,2,1)-VLOOKUP($AO84,'Технический лист'!$I:$J,2,1)),1+(1-$AU84))</f>
        <v>1.0599999999999998</v>
      </c>
      <c r="EH84" s="15">
        <f>MIN(IF($AU84=100%,1,1+VLOOKUP(($AJ84-$AI84-$AH84-$AG84-$AF84-$AE84*(1+EH$3))/$AJ84,'Технический лист'!$I:$J,2,1)-VLOOKUP($AO84,'Технический лист'!$I:$J,2,1)),1+(1-$AU84))</f>
        <v>1.0599999999999998</v>
      </c>
      <c r="EI84" s="15">
        <f>MIN(IF($AU84=100%,1,1+VLOOKUP(($AJ84-$AI84-$AH84-$AG84-$AF84-$AE84*(1+EI$3))/$AJ84,'Технический лист'!$I:$J,2,1)-VLOOKUP($AO84,'Технический лист'!$I:$J,2,1)),1+(1-$AU84))</f>
        <v>1.0599999999999998</v>
      </c>
      <c r="EJ84" s="15">
        <f>MIN(IF($AU84=100%,1,1+VLOOKUP(($AJ84-$AI84-$AH84-$AG84-$AF84-$AE84*(1+EJ$3))/$AJ84,'Технический лист'!$I:$J,2,1)-VLOOKUP($AO84,'Технический лист'!$I:$J,2,1)),1+(1-$AU84))</f>
        <v>1.0599999999999998</v>
      </c>
      <c r="EK84" s="15">
        <f>MIN(IF($AU84=100%,1,1+VLOOKUP(($AJ84-$AI84-$AH84-$AG84-$AF84-$AE84*(1+EK$3))/$AJ84,'Технический лист'!$I:$J,2,1)-VLOOKUP($AO84,'Технический лист'!$I:$J,2,1)),1+(1-$AU84))</f>
        <v>1.03</v>
      </c>
      <c r="EL84" s="15">
        <f>MIN(IF($AU84=100%,1,1+VLOOKUP(($AJ84-$AI84-$AH84-$AG84-$AF84-$AE84*(1+EL$3))/$AJ84,'Технический лист'!$I:$J,2,1)-VLOOKUP($AO84,'Технический лист'!$I:$J,2,1)),1+(1-$AU84))</f>
        <v>1.03</v>
      </c>
      <c r="EM84" s="15">
        <f>MIN(IF($AU84=100%,1,1+VLOOKUP(($AJ84-$AI84-$AH84-$AG84-$AF84-$AE84*(1+EM$3))/$AJ84,'Технический лист'!$I:$J,2,1)-VLOOKUP($AO84,'Технический лист'!$I:$J,2,1)),1+(1-$AU84))</f>
        <v>1.03</v>
      </c>
      <c r="EN84" s="15">
        <f>MIN(IF($AU84=100%,1,1+VLOOKUP(($AJ84-$AI84-$AH84-$AG84-$AF84-$AE84*(1+EN$3))/$AJ84,'Технический лист'!$I:$J,2,1)-VLOOKUP($AO84,'Технический лист'!$I:$J,2,1)),1+(1-$AU84))</f>
        <v>1.03</v>
      </c>
      <c r="EO84" s="15">
        <f>MIN(IF($AU84=100%,1,1+VLOOKUP(($AJ84-$AI84-$AH84-$AG84-$AF84-$AE84*(1+EO$3))/$AJ84,'Технический лист'!$I:$J,2,1)-VLOOKUP($AO84,'Технический лист'!$I:$J,2,1)),1+(1-$AU84))</f>
        <v>1.03</v>
      </c>
      <c r="EP84" s="15">
        <f>MIN(IF($AU84=100%,1,1+VLOOKUP(($AJ84-$AI84-$AH84-$AG84-$AF84-$AE84*(1+EP$3))/$AJ84,'Технический лист'!$I:$J,2,1)-VLOOKUP($AO84,'Технический лист'!$I:$J,2,1)),1+(1-$AU84))</f>
        <v>1.03</v>
      </c>
      <c r="EQ84" s="15">
        <f>MIN(IF($AU84=100%,1,1+VLOOKUP(($AJ84-$AI84-$AH84-$AG84-$AF84-$AE84*(1+EQ$3))/$AJ84,'Технический лист'!$I:$J,2,1)-VLOOKUP($AO84,'Технический лист'!$I:$J,2,1)),1+(1-$AU84))</f>
        <v>1.0000000000000002</v>
      </c>
      <c r="ER84" s="15">
        <f>MIN(IF($AU84=100%,1,1+VLOOKUP(($AJ84-$AI84-$AH84-$AG84-$AF84-$AE84*(1+ER$3))/$AJ84,'Технический лист'!$I:$J,2,1)-VLOOKUP($AO84,'Технический лист'!$I:$J,2,1)),1+(1-$AU84))</f>
        <v>1.0000000000000002</v>
      </c>
      <c r="ES84" s="15">
        <f>MIN(IF($AU84=100%,1,1+VLOOKUP(($AJ84-$AI84-$AH84-$AG84-$AF84-$AE84*(1+ES$3))/$AJ84,'Технический лист'!$I:$J,2,1)-VLOOKUP($AO84,'Технический лист'!$I:$J,2,1)),1+(1-$AU84))</f>
        <v>1.0000000000000002</v>
      </c>
      <c r="ET84" s="15">
        <f>MIN(IF($AU84=100%,1,1+VLOOKUP(($AJ84-$AI84-$AH84-$AG84-$AF84-$AE84*(1+ET$3))/$AJ84,'Технический лист'!$I:$J,2,1)-VLOOKUP($AO84,'Технический лист'!$I:$J,2,1)),1+(1-$AU84))</f>
        <v>1.0000000000000002</v>
      </c>
      <c r="EU84" s="15">
        <f>MIN(IF($AU84=100%,1,1+VLOOKUP(($AJ84-$AI84-$AH84-$AG84-$AF84-$AE84*(1+EU$3))/$AJ84,'Технический лист'!$I:$J,2,1)-VLOOKUP($AO84,'Технический лист'!$I:$J,2,1)),1+(1-$AU84))</f>
        <v>1.0000000000000002</v>
      </c>
      <c r="EV84" s="111">
        <v>1</v>
      </c>
      <c r="EW84" s="15">
        <f>MIN(1,MAX(VLOOKUP(($AJ84-$AI84-$AH84-$AG84-$AF84-$AE84*(1+EW$3))/$AJ84,'Технический лист'!$A:$B,2,1),(EV84-0.05)))</f>
        <v>1</v>
      </c>
      <c r="EX84" s="15">
        <f>MIN(1,MAX(VLOOKUP(($AJ84-$AI84-$AH84-$AG84-$AF84-$AE84*(1+EX$3))/$AJ84,'Технический лист'!$A:$B,2,1),(EW84-0.05)))</f>
        <v>1</v>
      </c>
      <c r="EY84" s="15">
        <f>MIN(1,MAX(VLOOKUP(($AJ84-$AI84-$AH84-$AG84-$AF84-$AE84*(1+EY$3))/$AJ84,'Технический лист'!$A:$B,2,1),(EX84-0.05)))</f>
        <v>1</v>
      </c>
      <c r="EZ84" s="15">
        <f>MIN(1,MAX(VLOOKUP(($AJ84-$AI84-$AH84-$AG84-$AF84-$AE84*(1+EZ$3))/$AJ84,'Технический лист'!$A:$B,2,1),(EY84-0.05)))</f>
        <v>1</v>
      </c>
      <c r="FA84" s="15">
        <f>MIN(1,MAX(VLOOKUP(($AJ84-$AI84-$AH84-$AG84-$AF84-$AE84*(1+FA$3))/$AJ84,'Технический лист'!$A:$B,2,1),(EZ84-0.05)))</f>
        <v>1</v>
      </c>
      <c r="FB84" s="15">
        <f>MIN(1,MAX(VLOOKUP(($AJ84-$AI84-$AH84-$AG84-$AF84-$AE84*(1+FB$3))/$AJ84,'Технический лист'!$A:$B,2,1),(FA84-0.05)))</f>
        <v>1</v>
      </c>
      <c r="FC84" s="15">
        <f>MIN(1,MAX(VLOOKUP(($AJ84-$AI84-$AH84-$AG84-$AF84-$AE84*(1+FC$3))/$AJ84,'Технический лист'!$A:$B,2,1),(FB84-0.05)))</f>
        <v>1</v>
      </c>
      <c r="FD84" s="15">
        <f>MIN(1,MAX(VLOOKUP(($AJ84-$AI84-$AH84-$AG84-$AF84-$AE84*(1+FD$3))/$AJ84,'Технический лист'!$A:$B,2,1),(FC84-0.05)))</f>
        <v>1</v>
      </c>
      <c r="FE84" s="15">
        <f>MIN(1,MAX(VLOOKUP(($AJ84-$AI84-$AH84-$AG84-$AF84-$AE84*(1+FE$3))/$AJ84,'Технический лист'!$A:$B,2,1),(FD84-0.05)))</f>
        <v>1</v>
      </c>
      <c r="FF84" s="15">
        <f>MIN(1,MAX(VLOOKUP(($AJ84-$AI84-$AH84-$AG84-$AF84-$AE84*(1+FF$3))/$AJ84,'Технический лист'!$A:$B,2,1),(FE84-0.05)))</f>
        <v>1</v>
      </c>
      <c r="FG84" s="15">
        <f>MIN(1,MAX(VLOOKUP(($AJ84-$AI84-$AH84-$AG84-$AF84-$AE84*(1+FG$3))/$AJ84,'Технический лист'!$A:$B,2,1),(FF84-0.05)))</f>
        <v>1</v>
      </c>
      <c r="FH84" s="15">
        <f>MIN(1,MAX(VLOOKUP(($AJ84-$AI84-$AH84-$AG84-$AF84-$AE84*(1+FH$3))/$AJ84,'Технический лист'!$A:$B,2,1),(FG84-0.05)))</f>
        <v>1</v>
      </c>
      <c r="FI84" s="15">
        <f>MIN(1,MAX(VLOOKUP(($AJ84-$AI84-$AH84-$AG84-$AF84-$AE84*(1+FI$3))/$AJ84,'Технический лист'!$A:$B,2,1),(FH84-0.05)))</f>
        <v>1</v>
      </c>
      <c r="FJ84" s="15">
        <f>MIN(1,MAX(VLOOKUP(($AJ84-$AI84-$AH84-$AG84-$AF84-$AE84*(1+FJ$3))/$AJ84,'Технический лист'!$A:$B,2,1),(FI84-0.05)))</f>
        <v>1</v>
      </c>
      <c r="FK84" s="15">
        <f>MIN(1,MAX(VLOOKUP(($AJ84-$AI84-$AH84-$AG84-$AF84-$AE84*(1+FK$3))/$AJ84,'Технический лист'!$A:$B,2,1),(FJ84-0.05)))</f>
        <v>1</v>
      </c>
      <c r="FL84" s="15">
        <f>MIN(1,MAX(VLOOKUP(($AJ84-$AI84-$AH84-$AG84-$AF84-$AE84*(1+FL$3))/$AJ84,'Технический лист'!$A:$B,2,1),(FK84-0.05)))</f>
        <v>1</v>
      </c>
      <c r="FM84" s="15">
        <f>MIN(1,MAX(VLOOKUP(($AJ84-$AI84-$AH84-$AG84-$AF84-$AE84*(1+FM$3))/$AJ84,'Технический лист'!$A:$B,2,1),(FL84-0.05)))</f>
        <v>1</v>
      </c>
      <c r="FN84" s="15">
        <f>MIN(1,MAX(VLOOKUP(($AJ84-$AI84-$AH84-$AG84-$AF84-$AE84*(1+FN$3))/$AJ84,'Технический лист'!$A:$B,2,1),(FM84-0.05)))</f>
        <v>1</v>
      </c>
      <c r="FO84" s="15">
        <f>MIN(1,MAX(VLOOKUP(($AJ84-$AI84-$AH84-$AG84-$AF84-$AE84*(1+FO$3))/$AJ84,'Технический лист'!$A:$B,2,1),(FN84-0.05)))</f>
        <v>1</v>
      </c>
      <c r="FP84" s="15">
        <f>MIN(1,MAX(VLOOKUP(($AJ84-$AI84-$AH84-$AG84-$AF84-$AE84*(1+FP$3))/$AJ84,'Технический лист'!$A:$B,2,1),(FO84-0.05)))</f>
        <v>1</v>
      </c>
      <c r="FQ84" s="15">
        <f>MIN(1,MAX(VLOOKUP(($AJ84-$AI84-$AH84-$AG84-$AF84-$AE84*(1+FQ$3))/$AJ84,'Технический лист'!$A:$B,2,1),(FP84-0.05)))</f>
        <v>1</v>
      </c>
      <c r="FR84" s="15">
        <f>MIN(1,MAX(VLOOKUP(($AJ84-$AI84-$AH84-$AG84-$AF84-$AE84*(1+FR$3))/$AJ84,'Технический лист'!$A:$B,2,1),(FQ84-0.05)))</f>
        <v>1</v>
      </c>
      <c r="FS84" s="15">
        <f>MIN(1,MAX(VLOOKUP(($AJ84-$AI84-$AH84-$AG84-$AF84-$AE84*(1+FS$3))/$AJ84,'Технический лист'!$A:$B,2,1),(FR84-0.05)))</f>
        <v>1</v>
      </c>
      <c r="FT84" s="15">
        <f>MIN(1,MAX(VLOOKUP(($AJ84-$AI84-$AH84-$AG84-$AF84-$AE84*(1+FT$3))/$AJ84,'Технический лист'!$A:$B,2,1),(FS84-0.05)))</f>
        <v>1</v>
      </c>
      <c r="FU84" s="15">
        <f>MIN(1,MAX(VLOOKUP(($AJ84-$AI84-$AH84-$AG84-$AF84-$AE84*(1+FU$3))/$AJ84,'Технический лист'!$A:$B,2,1),(FT84-0.05)))</f>
        <v>1</v>
      </c>
      <c r="FV84" s="15">
        <f>MIN(1,MAX(VLOOKUP(($AJ84-$AI84-$AH84-$AG84-$AF84-$AE84*(1+FV$3))/$AJ84,'Технический лист'!$A:$B,2,1),(FU84-0.05)))</f>
        <v>1</v>
      </c>
      <c r="FW84" s="15">
        <f>MIN(1,MAX(VLOOKUP(($AJ84-$AI84-$AH84-$AG84-$AF84-$AE84*(1+FW$3))/$AJ84,'Технический лист'!$A:$B,2,1),(FV84-0.05)))</f>
        <v>1</v>
      </c>
      <c r="FX84" s="15">
        <f>MIN(1,MAX(VLOOKUP(($AJ84-$AI84-$AH84-$AG84-$AF84-$AE84*(1+FX$3))/$AJ84,'Технический лист'!$A:$B,2,1),(FW84-0.05)))</f>
        <v>1</v>
      </c>
      <c r="FY84" s="15">
        <f>MIN(1,MAX(VLOOKUP(($AJ84-$AI84-$AH84-$AG84-$AF84-$AE84*(1+FY$3))/$AJ84,'Технический лист'!$A:$B,2,1),(FX84-0.05)))</f>
        <v>1</v>
      </c>
      <c r="FZ84" s="15">
        <f>MIN(1,MAX(VLOOKUP(($AJ84-$AI84-$AH84-$AG84-$AF84-$AE84*(1+FZ$3))/$AJ84,'Технический лист'!$A:$B,2,1),(FY84-0.05)))</f>
        <v>1</v>
      </c>
      <c r="GA84" s="15">
        <f>MIN(1,MAX(VLOOKUP(($AJ84-$AI84-$AH84-$AG84-$AF84-$AE84*(1+GA$3))/$AJ84,'Технический лист'!$A:$B,2,1),(FZ84-0.05)))</f>
        <v>1</v>
      </c>
      <c r="GB84" s="15">
        <f>MIN(1,MAX(VLOOKUP(($AJ84-$AI84-$AH84-$AG84-$AF84-$AE84*(1+GB$3))/$AJ84,'Технический лист'!$A:$B,2,1),(GA84-0.05)))</f>
        <v>1</v>
      </c>
      <c r="GC84" s="15">
        <f>MIN(1,MAX(VLOOKUP(($AJ84-$AI84-$AH84-$AG84-$AF84-$AE84*(1+GC$3))/$AJ84,'Технический лист'!$A:$B,2,1),(GB84-0.05)))</f>
        <v>1</v>
      </c>
      <c r="GD84" s="15">
        <f>MIN(1,MAX(VLOOKUP(($AJ84-$AI84-$AH84-$AG84-$AF84-$AE84*(1+GD$3))/$AJ84,'Технический лист'!$A:$B,2,1),(GC84-0.05)))</f>
        <v>1</v>
      </c>
      <c r="GE84" s="15">
        <f>MIN(1,MAX(VLOOKUP(($AJ84-$AI84-$AH84-$AG84-$AF84-$AE84*(1+GE$3))/$AJ84,'Технический лист'!$A:$B,2,1),(GD84-0.05)))</f>
        <v>1</v>
      </c>
      <c r="GF84" s="15">
        <f>MIN(1,MAX(VLOOKUP(($AJ84-$AI84-$AH84-$AG84-$AF84-$AE84*(1+GF$3))/$AJ84,'Технический лист'!$A:$B,2,1),(GE84-0.05)))</f>
        <v>1</v>
      </c>
      <c r="GG84" s="15">
        <f>MIN(1,MAX(VLOOKUP(($AJ84-$AI84-$AH84-$AG84-$AF84-$AE84*(1+GG$3))/$AJ84,'Технический лист'!$A:$B,2,1),(GF84-0.05)))</f>
        <v>1</v>
      </c>
      <c r="GH84" s="15">
        <f>MIN(1,MAX(VLOOKUP(($AJ84-$AI84-$AH84-$AG84-$AF84-$AE84*(1+GH$3))/$AJ84,'Технический лист'!$A:$B,2,1),(GG84-0.05)))</f>
        <v>1</v>
      </c>
      <c r="GI84" s="15">
        <f>MIN(1,MAX(VLOOKUP(($AJ84-$AI84-$AH84-$AG84-$AF84-$AE84*(1+GI$3))/$AJ84,'Технический лист'!$A:$B,2,1),(GH84-0.05)))</f>
        <v>1</v>
      </c>
      <c r="GJ84" s="15">
        <f>MIN(1,MAX(VLOOKUP(($AJ84-$AI84-$AH84-$AG84-$AF84-$AE84*(1+GJ$3))/$AJ84,'Технический лист'!$A:$B,2,1),(GI84-0.05)))</f>
        <v>1</v>
      </c>
      <c r="GK84" s="15">
        <f>MIN(1,MAX(VLOOKUP(($AJ84-$AI84-$AH84-$AG84-$AF84-$AE84*(1+GK$3))/$AJ84,'Технический лист'!$A:$B,2,1),(GJ84-0.05)))</f>
        <v>1</v>
      </c>
      <c r="GL84" s="15">
        <f>MIN(1,MAX(VLOOKUP(($AJ84-$AI84-$AH84-$AG84-$AF84-$AE84*(1+GL$3))/$AJ84,'Технический лист'!$A:$B,2,1),(GK84-0.05)))</f>
        <v>1</v>
      </c>
      <c r="GM84" s="15">
        <f>MIN(1,MAX(VLOOKUP(($AJ84-$AI84-$AH84-$AG84-$AF84-$AE84*(1+GM$3))/$AJ84,'Технический лист'!$A:$B,2,1),(GL84-0.05)))</f>
        <v>1</v>
      </c>
      <c r="GN84" s="15">
        <f>MIN(1,MAX(VLOOKUP(($AJ84-$AI84-$AH84-$AG84-$AF84-$AE84*(1+GN$3))/$AJ84,'Технический лист'!$A:$B,2,1),(GM84-0.05)))</f>
        <v>1</v>
      </c>
      <c r="GO84" s="15">
        <f>MIN(1,MAX(VLOOKUP(($AJ84-$AI84-$AH84-$AG84-$AF84-$AE84*(1+GO$3))/$AJ84,'Технический лист'!$A:$B,2,1),(GN84-0.05)))</f>
        <v>1</v>
      </c>
      <c r="GP84" s="15">
        <f>MIN(1,MAX(VLOOKUP(($AJ84-$AI84-$AH84-$AG84-$AF84-$AE84*(1+GP$3))/$AJ84,'Технический лист'!$A:$B,2,1),(GO84-0.05)))</f>
        <v>1</v>
      </c>
      <c r="GQ84" s="15">
        <f>MIN(1,MAX(VLOOKUP(($AJ84-$AI84-$AH84-$AG84-$AF84-$AE84*(1+GQ$3))/$AJ84,'Технический лист'!$A:$B,2,1),(GP84-0.05)))</f>
        <v>1</v>
      </c>
      <c r="GR84" s="15">
        <f>MIN(1,MAX(VLOOKUP(($AJ84-$AI84-$AH84-$AG84-$AF84-$AE84*(1+GR$3))/$AJ84,'Технический лист'!$A:$B,2,1),(GQ84-0.05)))</f>
        <v>1</v>
      </c>
      <c r="GS84" s="15">
        <f>MIN(1,MAX(VLOOKUP(($AJ84-$AI84-$AH84-$AG84-$AF84-$AE84*(1+GS$3))/$AJ84,'Технический лист'!$A:$B,2,1),(GR84-0.05)))</f>
        <v>1</v>
      </c>
      <c r="GT84" s="15">
        <f>MIN(1,MAX(VLOOKUP(($AJ84-$AI84-$AH84-$AG84-$AF84-$AE84*(1+GT$3))/$AJ84,'Технический лист'!$A:$B,2,1),(GS84-0.05)))</f>
        <v>1</v>
      </c>
      <c r="GU84" s="15">
        <f>MIN(1,MAX(VLOOKUP(($AJ84-$AI84-$AH84-$AG84-$AF84-$AE84*(1+GU$3))/$AJ84,'Технический лист'!$A:$B,2,1),(GT84-0.05)))</f>
        <v>1</v>
      </c>
      <c r="GV84" s="15">
        <f>MIN(1,MAX(VLOOKUP(($AJ84-$AI84-$AH84-$AG84-$AF84-$AE84*(1+GV$3))/$AJ84,'Технический лист'!$A:$B,2,1),(GU84-0.05)))</f>
        <v>1</v>
      </c>
      <c r="GW84" s="15">
        <f>MIN(1,MAX(VLOOKUP(($AJ84-$AI84-$AH84-$AG84-$AF84-$AE84*(1+GW$3))/$AJ84,'Технический лист'!$A:$B,2,1),(GV84-0.05)))</f>
        <v>1</v>
      </c>
      <c r="GX84" s="15">
        <f>MIN(1,MAX(VLOOKUP(($AJ84-$AI84-$AH84-$AG84-$AF84-$AE84*(1+GX$3))/$AJ84,'Технический лист'!$A:$B,2,1),(GW84-0.05)))</f>
        <v>1</v>
      </c>
      <c r="GY84" s="15">
        <f>MIN(1,MAX(VLOOKUP(($AJ84-$AI84-$AH84-$AG84-$AF84-$AE84*(1+GY$3))/$AJ84,'Технический лист'!$A:$B,2,1),(GX84-0.05)))</f>
        <v>1</v>
      </c>
      <c r="GZ84" s="15">
        <f>MIN(1,MAX(VLOOKUP(($AJ84-$AI84-$AH84-$AG84-$AF84-$AE84*(1+GZ$3))/$AJ84,'Технический лист'!$A:$B,2,1),(GY84-0.05)))</f>
        <v>1</v>
      </c>
      <c r="HA84" s="15">
        <f>MIN(1,MAX(VLOOKUP(($AJ84-$AI84-$AH84-$AG84-$AF84-$AE84*(1+HA$3))/$AJ84,'Технический лист'!$A:$B,2,1),(GZ84-0.05)))</f>
        <v>1</v>
      </c>
      <c r="HB84" s="15">
        <f>MIN(1,MAX(VLOOKUP(($AJ84-$AI84-$AH84-$AG84-$AF84-$AE84*(1+HB$3))/$AJ84,'Технический лист'!$A:$B,2,1),(HA84-0.05)))</f>
        <v>1</v>
      </c>
      <c r="HC84" s="15">
        <f>MIN(1,MAX(VLOOKUP(($AJ84-$AI84-$AH84-$AG84-$AF84-$AE84*(1+HC$3))/$AJ84,'Технический лист'!$A:$B,2,1),(HB84-0.05)))</f>
        <v>1</v>
      </c>
      <c r="HD84" s="15">
        <f>MIN(1,MAX(VLOOKUP(($AJ84-$AI84-$AH84-$AG84-$AF84-$AE84*(1+HD$3))/$AJ84,'Технический лист'!$A:$B,2,1),(HC84-0.05)))</f>
        <v>1</v>
      </c>
      <c r="HE84" s="15">
        <f>MIN(1,MAX(VLOOKUP(($AJ84-$AI84-$AH84-$AG84-$AF84-$AE84*(1+HE$3))/$AJ84,'Технический лист'!$A:$B,2,1),(HD84-0.05)))</f>
        <v>1</v>
      </c>
      <c r="HF84" s="15">
        <f>MIN(1,MAX(VLOOKUP(($AJ84-$AI84-$AH84-$AG84-$AF84-$AE84*(1+HF$3))/$AJ84,'Технический лист'!$A:$B,2,1),(HE84-0.05)))</f>
        <v>1</v>
      </c>
      <c r="HG84" s="15">
        <f>MIN(1,MAX(VLOOKUP(($AJ84-$AI84-$AH84-$AG84-$AF84-$AE84*(1+HG$3))/$AJ84,'Технический лист'!$A:$B,2,1),(HF84-0.05)))</f>
        <v>1</v>
      </c>
      <c r="HH84" s="15">
        <f>MIN(1,MAX(VLOOKUP(($AJ84-$AI84-$AH84-$AG84-$AF84-$AE84*(1+HH$3))/$AJ84,'Технический лист'!$A:$B,2,1),(HG84-0.05)))</f>
        <v>1</v>
      </c>
      <c r="HI84" s="15">
        <f>MIN(1,MAX(VLOOKUP(($AJ84-$AI84-$AH84-$AG84-$AF84-$AE84*(1+HI$3))/$AJ84,'Технический лист'!$A:$B,2,1),(HH84-0.05)))</f>
        <v>1</v>
      </c>
      <c r="HJ84" s="15">
        <f>MIN(1,MAX(VLOOKUP(($AJ84-$AI84-$AH84-$AG84-$AF84-$AE84*(1+HJ$3))/$AJ84,'Технический лист'!$A:$B,2,1),(HI84-0.05)))</f>
        <v>1</v>
      </c>
      <c r="HK84" s="15">
        <f>MIN(1,MAX(VLOOKUP(($AJ84-$AI84-$AH84-$AG84-$AF84-$AE84*(1+HK$3))/$AJ84,'Технический лист'!$A:$B,2,1),(HJ84-0.05)))</f>
        <v>1</v>
      </c>
      <c r="HL84" s="15">
        <f>MIN(1,MAX(VLOOKUP(($AJ84-$AI84-$AH84-$AG84-$AF84-$AE84*(1+HL$3))/$AJ84,'Технический лист'!$A:$B,2,1),(HK84-0.05)))</f>
        <v>1</v>
      </c>
      <c r="HM84" s="15">
        <f>MIN(1,MAX(VLOOKUP(($AJ84-$AI84-$AH84-$AG84-$AF84-$AE84*(1+HM$3))/$AJ84,'Технический лист'!$A:$B,2,1),(HL84-0.05)))</f>
        <v>1</v>
      </c>
      <c r="HN84" s="15">
        <f>MIN(1,MAX(VLOOKUP(($AJ84-$AI84-$AH84-$AG84-$AF84-$AE84*(1+HN$3))/$AJ84,'Технический лист'!$A:$B,2,1),(HM84-0.05)))</f>
        <v>1</v>
      </c>
      <c r="HO84" s="15">
        <f>MIN(1,MAX(VLOOKUP(($AJ84-$AI84-$AH84-$AG84-$AF84-$AE84*(1+HO$3))/$AJ84,'Технический лист'!$A:$B,2,1),(HN84-0.05)))</f>
        <v>1</v>
      </c>
      <c r="HP84" s="15">
        <f>MIN(1,MAX(VLOOKUP(($AJ84-$AI84-$AH84-$AG84-$AF84-$AE84*(1+HP$3))/$AJ84,'Технический лист'!$A:$B,2,1),(HO84-0.05)))</f>
        <v>1</v>
      </c>
      <c r="HQ84" s="15">
        <f>MIN(1,MAX(VLOOKUP(($AJ84-$AI84-$AH84-$AG84-$AF84-$AE84*(1+HQ$3))/$AJ84,'Технический лист'!$A:$B,2,1),(HP84-0.05)))</f>
        <v>1</v>
      </c>
      <c r="HR84" s="15">
        <f>MIN(1,MAX(VLOOKUP(($AJ84-$AI84-$AH84-$AG84-$AF84-$AE84*(1+HR$3))/$AJ84,'Технический лист'!$A:$B,2,1),(HQ84-0.05)))</f>
        <v>1</v>
      </c>
      <c r="HS84" s="15">
        <f>MIN(1,MAX(VLOOKUP(($AJ84-$AI84-$AH84-$AG84-$AF84-$AE84*(1+HS$3))/$AJ84,'Технический лист'!$A:$B,2,1),(HR84-0.05)))</f>
        <v>1</v>
      </c>
      <c r="HT84" s="15">
        <f>MIN(1,MAX(VLOOKUP(($AJ84-$AI84-$AH84-$AG84-$AF84-$AE84*(1+HT$3))/$AJ84,'Технический лист'!$A:$B,2,1),(HS84-0.05)))</f>
        <v>1</v>
      </c>
      <c r="HU84" s="15">
        <f>MIN(1,MAX(VLOOKUP(($AJ84-$AI84-$AH84-$AG84-$AF84-$AE84*(1+HU$3))/$AJ84,'Технический лист'!$A:$B,2,1),(HT84-0.05)))</f>
        <v>1</v>
      </c>
      <c r="HV84" s="15">
        <f>MIN(1,MAX(VLOOKUP(($AJ84-$AI84-$AH84-$AG84-$AF84-$AE84*(1+HV$3))/$AJ84,'Технический лист'!$A:$B,2,1),(HU84-0.05)))</f>
        <v>1</v>
      </c>
      <c r="HW84" s="15">
        <f>MIN(1,MAX(VLOOKUP(($AJ84-$AI84-$AH84-$AG84-$AF84-$AE84*(1+HW$3))/$AJ84,'Технический лист'!$A:$B,2,1),(HV84-0.05)))</f>
        <v>1</v>
      </c>
      <c r="HX84" s="15">
        <f>MIN(1,MAX(VLOOKUP(($AJ84-$AI84-$AH84-$AG84-$AF84-$AE84*(1+HX$3))/$AJ84,'Технический лист'!$A:$B,2,1),(HW84-0.05)))</f>
        <v>1</v>
      </c>
      <c r="HY84" s="15">
        <f>MIN(1,MAX(VLOOKUP(($AJ84-$AI84-$AH84-$AG84-$AF84-$AE84*(1+HY$3))/$AJ84,'Технический лист'!$A:$B,2,1),(HX84-0.05)))</f>
        <v>1</v>
      </c>
      <c r="HZ84" s="15">
        <f>MIN(1,MAX(VLOOKUP(($AJ84-$AI84-$AH84-$AG84-$AF84-$AE84*(1+HZ$3))/$AJ84,'Технический лист'!$A:$B,2,1),(HY84-0.05)))</f>
        <v>1</v>
      </c>
      <c r="IA84" s="15">
        <f>MIN(1,MAX(VLOOKUP(($AJ84-$AI84-$AH84-$AG84-$AF84-$AE84*(1+IA$3))/$AJ84,'Технический лист'!$A:$B,2,1),(HZ84-0.05)))</f>
        <v>1</v>
      </c>
      <c r="IB84" s="15">
        <f>MIN(1,MAX(VLOOKUP(($AJ84-$AI84-$AH84-$AG84-$AF84-$AE84*(1+IB$3))/$AJ84,'Технический лист'!$A:$B,2,1),(IA84-0.05)))</f>
        <v>1</v>
      </c>
      <c r="IC84" s="15">
        <f>MIN(1,MAX(VLOOKUP(($AJ84-$AI84-$AH84-$AG84-$AF84-$AE84*(1+IC$3))/$AJ84,'Технический лист'!$A:$B,2,1),(IB84-0.05)))</f>
        <v>1</v>
      </c>
      <c r="ID84" s="15">
        <f>MIN(1,MAX(VLOOKUP(($AJ84-$AI84-$AH84-$AG84-$AF84-$AE84*(1+ID$3))/$AJ84,'Технический лист'!$A:$B,2,1),(IC84-0.05)))</f>
        <v>1</v>
      </c>
      <c r="IE84" s="15">
        <f>MIN(1,MAX(VLOOKUP(($AJ84-$AI84-$AH84-$AG84-$AF84-$AE84*(1+IE$3))/$AJ84,'Технический лист'!$A:$B,2,1),(ID84-0.05)))</f>
        <v>1</v>
      </c>
      <c r="IF84" s="15">
        <f>MIN(1,MAX(VLOOKUP(($AJ84-$AI84-$AH84-$AG84-$AF84-$AE84*(1+IF$3))/$AJ84,'Технический лист'!$A:$B,2,1),(IE84-0.05)))</f>
        <v>1</v>
      </c>
      <c r="IG84" s="15">
        <f>MIN(1,MAX(VLOOKUP(($AJ84-$AI84-$AH84-$AG84-$AF84-$AE84*(1+IG$3))/$AJ84,'Технический лист'!$A:$B,2,1),(IF84-0.05)))</f>
        <v>1</v>
      </c>
      <c r="IH84" s="15">
        <f>MIN(1,MAX(VLOOKUP(($AJ84-$AI84-$AH84-$AG84-$AF84-$AE84*(1+IH$3))/$AJ84,'Технический лист'!$A:$B,2,1),(IG84-0.05)))</f>
        <v>1</v>
      </c>
      <c r="II84" s="15">
        <f>MIN(1,MAX(VLOOKUP(($AJ84-$AI84-$AH84-$AG84-$AF84-$AE84*(1+II$3))/$AJ84,'Технический лист'!$A:$B,2,1),(IH84-0.05)))</f>
        <v>1</v>
      </c>
      <c r="IJ84" s="15">
        <f>MIN(1,MAX(VLOOKUP(($AJ84-$AI84-$AH84-$AG84-$AF84-$AE84*(1+IJ$3))/$AJ84,'Технический лист'!$A:$B,2,1),(II84-0.05)))</f>
        <v>1</v>
      </c>
      <c r="IK84" s="15">
        <f>MIN(1,MAX(VLOOKUP(($AJ84-$AI84-$AH84-$AG84-$AF84-$AE84*(1+IK$3))/$AJ84,'Технический лист'!$A:$B,2,1),(IJ84-0.05)))</f>
        <v>1</v>
      </c>
      <c r="IL84" s="15">
        <f>MIN(1,MAX(VLOOKUP(($AJ84-$AI84-$AH84-$AG84-$AF84-$AE84*(1+IL$3))/$AJ84,'Технический лист'!$A:$B,2,1),(IK84-0.05)))</f>
        <v>1</v>
      </c>
      <c r="IM84" s="15">
        <f>MIN(1,MAX(VLOOKUP(($AJ84-$AI84-$AH84-$AG84-$AF84-$AE84*(1+IM$3))/$AJ84,'Технический лист'!$A:$B,2,1),(IL84-0.05)))</f>
        <v>1</v>
      </c>
      <c r="IN84" s="15">
        <f>MIN(1,MAX(VLOOKUP(($AJ84-$AI84-$AH84-$AG84-$AF84-$AE84*(1+IN$3))/$AJ84,'Технический лист'!$A:$B,2,1),(IM84-0.05)))</f>
        <v>1</v>
      </c>
      <c r="IO84" s="15">
        <f>MIN(1,MAX(VLOOKUP(($AJ84-$AI84-$AH84-$AG84-$AF84-$AE84*(1+IO$3))/$AJ84,'Технический лист'!$A:$B,2,1),(IN84-0.05)))</f>
        <v>1</v>
      </c>
      <c r="IP84" s="15">
        <f>MIN(1,MAX(VLOOKUP(($AJ84-$AI84-$AH84-$AG84-$AF84-$AE84*(1+IP$3))/$AJ84,'Технический лист'!$A:$B,2,1),(IO84-0.05)))</f>
        <v>1</v>
      </c>
      <c r="IQ84" s="15">
        <f>MIN(1,MAX(VLOOKUP(($AJ84-$AI84-$AH84-$AG84-$AF84-$AE84*(1+IQ$3))/$AJ84,'Технический лист'!$A:$B,2,1),(IP84-0.05)))</f>
        <v>1</v>
      </c>
      <c r="IR84" s="15">
        <f>MIN(1,MAX(VLOOKUP(($AJ84-$AI84-$AH84-$AG84-$AF84-$AE84*(1+IR$3))/$AJ84,'Технический лист'!$A:$B,2,1),(IQ84-0.05)))</f>
        <v>1</v>
      </c>
    </row>
    <row r="85" spans="1:252" ht="29.15">
      <c r="A85" s="89" t="s">
        <v>515</v>
      </c>
      <c r="B85" s="90">
        <v>5</v>
      </c>
      <c r="C85" s="5" t="s">
        <v>68</v>
      </c>
      <c r="D85" s="91">
        <v>32102</v>
      </c>
      <c r="E85" s="91" t="s">
        <v>345</v>
      </c>
      <c r="F85" s="92" t="s">
        <v>78</v>
      </c>
      <c r="G85" s="91" t="s">
        <v>23</v>
      </c>
      <c r="H85" s="91" t="s">
        <v>23</v>
      </c>
      <c r="I85" s="91" t="s">
        <v>160</v>
      </c>
      <c r="J85" s="91" t="s">
        <v>161</v>
      </c>
      <c r="K85" s="91">
        <v>226</v>
      </c>
      <c r="L85" s="91" t="s">
        <v>189</v>
      </c>
      <c r="M85" s="91" t="s">
        <v>190</v>
      </c>
      <c r="N85" s="91" t="s">
        <v>191</v>
      </c>
      <c r="O85" s="91" t="s">
        <v>192</v>
      </c>
      <c r="P85" s="89" t="s">
        <v>240</v>
      </c>
      <c r="Q85" s="91" t="s">
        <v>315</v>
      </c>
      <c r="R85" s="91" t="s">
        <v>251</v>
      </c>
      <c r="S85" s="82">
        <v>164441</v>
      </c>
      <c r="T85" s="82">
        <v>37164426</v>
      </c>
      <c r="U85" s="81">
        <v>2858</v>
      </c>
      <c r="V85" s="81">
        <v>0</v>
      </c>
      <c r="W85" s="82">
        <v>289045238</v>
      </c>
      <c r="X85" s="112">
        <v>61</v>
      </c>
      <c r="Y85" s="112" t="s">
        <v>448</v>
      </c>
      <c r="Z85" s="113">
        <v>4</v>
      </c>
      <c r="AA85" s="113">
        <v>5</v>
      </c>
      <c r="AB85" s="113">
        <v>4</v>
      </c>
      <c r="AC85" s="99">
        <v>1171.54</v>
      </c>
      <c r="AD85" s="99">
        <f t="shared" si="35"/>
        <v>137.20000000000005</v>
      </c>
      <c r="AE85" s="99">
        <v>1308.74</v>
      </c>
      <c r="AF85" s="98">
        <f>(AB85+AA85+Z85)*'Ставки аренды'!$B$7/X85</f>
        <v>319.67213114754099</v>
      </c>
      <c r="AG85" s="114">
        <v>0</v>
      </c>
      <c r="AH85" s="94">
        <v>0</v>
      </c>
      <c r="AI85" s="115">
        <f t="shared" si="36"/>
        <v>58575</v>
      </c>
      <c r="AJ85" s="117">
        <f>Цены!$D$18</f>
        <v>82500</v>
      </c>
      <c r="AK85" s="94">
        <f>AJ85/Цены!$B$1</f>
        <v>1081.180255682749</v>
      </c>
      <c r="AL85" s="95">
        <f t="shared" si="24"/>
        <v>1628.412131147541</v>
      </c>
      <c r="AM85" s="95">
        <f t="shared" si="25"/>
        <v>80871.587868852454</v>
      </c>
      <c r="AN85" s="94">
        <f t="shared" si="22"/>
        <v>60203.412131147539</v>
      </c>
      <c r="AO85" s="118">
        <f t="shared" si="23"/>
        <v>0.27026167113760557</v>
      </c>
      <c r="AP85" s="96">
        <f t="shared" si="26"/>
        <v>1.9738328862394437E-2</v>
      </c>
      <c r="AQ85" s="96">
        <f t="shared" si="27"/>
        <v>1.5863515151515153E-2</v>
      </c>
      <c r="AR85" s="96">
        <f t="shared" si="28"/>
        <v>0.80369089308965769</v>
      </c>
      <c r="AS85" s="122">
        <v>1</v>
      </c>
      <c r="AT85" s="121">
        <f t="shared" si="29"/>
        <v>164441</v>
      </c>
      <c r="AU85" s="83">
        <v>0.75</v>
      </c>
      <c r="AV85" s="119">
        <f t="shared" si="30"/>
        <v>0.2683580493194237</v>
      </c>
      <c r="AW85" s="120">
        <f t="shared" si="31"/>
        <v>2.1641950680576255E-2</v>
      </c>
      <c r="AX85" s="120">
        <f t="shared" si="32"/>
        <v>1.7767136969696971E-2</v>
      </c>
      <c r="AY85" s="120">
        <f t="shared" si="33"/>
        <v>0.82095820436570222</v>
      </c>
      <c r="AZ85" s="15">
        <f>MIN(IF($AU85=100%,1,1+VLOOKUP(($AJ85-$AI85-$AH85-$AG85-$AF85-$AE85*(1+AZ$3))/$AJ85,'Технический лист'!$I:$J,2,1)-VLOOKUP($AO85,'Технический лист'!$I:$J,2,1)),1+(1-$AU85))</f>
        <v>1</v>
      </c>
      <c r="BA85" s="15">
        <f>MIN(IF($AU85=100%,1,1+VLOOKUP(($AJ85-$AI85-$AH85-$AG85-$AF85-$AE85*(1+BA$3))/$AJ85,'Технический лист'!$I:$J,2,1)-VLOOKUP($AO85,'Технический лист'!$I:$J,2,1)),1+(1-$AU85))</f>
        <v>1</v>
      </c>
      <c r="BB85" s="15">
        <f>MIN(IF($AU85=100%,1,1+VLOOKUP(($AJ85-$AI85-$AH85-$AG85-$AF85-$AE85*(1+BB$3))/$AJ85,'Технический лист'!$I:$J,2,1)-VLOOKUP($AO85,'Технический лист'!$I:$J,2,1)),1+(1-$AU85))</f>
        <v>1</v>
      </c>
      <c r="BC85" s="15">
        <f>MIN(IF($AU85=100%,1,1+VLOOKUP(($AJ85-$AI85-$AH85-$AG85-$AF85-$AE85*(1+BC$3))/$AJ85,'Технический лист'!$I:$J,2,1)-VLOOKUP($AO85,'Технический лист'!$I:$J,2,1)),1+(1-$AU85))</f>
        <v>1</v>
      </c>
      <c r="BD85" s="15">
        <f>MIN(IF($AU85=100%,1,1+VLOOKUP(($AJ85-$AI85-$AH85-$AG85-$AF85-$AE85*(1+BD$3))/$AJ85,'Технический лист'!$I:$J,2,1)-VLOOKUP($AO85,'Технический лист'!$I:$J,2,1)),1+(1-$AU85))</f>
        <v>1</v>
      </c>
      <c r="BE85" s="15">
        <f>MIN(IF($AU85=100%,1,1+VLOOKUP(($AJ85-$AI85-$AH85-$AG85-$AF85-$AE85*(1+BE$3))/$AJ85,'Технический лист'!$I:$J,2,1)-VLOOKUP($AO85,'Технический лист'!$I:$J,2,1)),1+(1-$AU85))</f>
        <v>1</v>
      </c>
      <c r="BF85" s="15">
        <f>MIN(IF($AU85=100%,1,1+VLOOKUP(($AJ85-$AI85-$AH85-$AG85-$AF85-$AE85*(1+BF$3))/$AJ85,'Технический лист'!$I:$J,2,1)-VLOOKUP($AO85,'Технический лист'!$I:$J,2,1)),1+(1-$AU85))</f>
        <v>1</v>
      </c>
      <c r="BG85" s="15">
        <f>MIN(IF($AU85=100%,1,1+VLOOKUP(($AJ85-$AI85-$AH85-$AG85-$AF85-$AE85*(1+BG$3))/$AJ85,'Технический лист'!$I:$J,2,1)-VLOOKUP($AO85,'Технический лист'!$I:$J,2,1)),1+(1-$AU85))</f>
        <v>1</v>
      </c>
      <c r="BH85" s="15">
        <f>MIN(IF($AU85=100%,1,1+VLOOKUP(($AJ85-$AI85-$AH85-$AG85-$AF85-$AE85*(1+BH$3))/$AJ85,'Технический лист'!$I:$J,2,1)-VLOOKUP($AO85,'Технический лист'!$I:$J,2,1)),1+(1-$AU85))</f>
        <v>1</v>
      </c>
      <c r="BI85" s="15">
        <f>MIN(IF($AU85=100%,1,1+VLOOKUP(($AJ85-$AI85-$AH85-$AG85-$AF85-$AE85*(1+BI$3))/$AJ85,'Технический лист'!$I:$J,2,1)-VLOOKUP($AO85,'Технический лист'!$I:$J,2,1)),1+(1-$AU85))</f>
        <v>1</v>
      </c>
      <c r="BJ85" s="15">
        <f>MIN(IF($AU85=100%,1,1+VLOOKUP(($AJ85-$AI85-$AH85-$AG85-$AF85-$AE85*(1+BJ$3))/$AJ85,'Технический лист'!$I:$J,2,1)-VLOOKUP($AO85,'Технический лист'!$I:$J,2,1)),1+(1-$AU85))</f>
        <v>1</v>
      </c>
      <c r="BK85" s="15">
        <f>MIN(IF($AU85=100%,1,1+VLOOKUP(($AJ85-$AI85-$AH85-$AG85-$AF85-$AE85*(1+BK$3))/$AJ85,'Технический лист'!$I:$J,2,1)-VLOOKUP($AO85,'Технический лист'!$I:$J,2,1)),1+(1-$AU85))</f>
        <v>1</v>
      </c>
      <c r="BL85" s="15">
        <f>MIN(IF($AU85=100%,1,1+VLOOKUP(($AJ85-$AI85-$AH85-$AG85-$AF85-$AE85*(1+BL$3))/$AJ85,'Технический лист'!$I:$J,2,1)-VLOOKUP($AO85,'Технический лист'!$I:$J,2,1)),1+(1-$AU85))</f>
        <v>1</v>
      </c>
      <c r="BM85" s="15">
        <f>MIN(IF($AU85=100%,1,1+VLOOKUP(($AJ85-$AI85-$AH85-$AG85-$AF85-$AE85*(1+BM$3))/$AJ85,'Технический лист'!$I:$J,2,1)-VLOOKUP($AO85,'Технический лист'!$I:$J,2,1)),1+(1-$AU85))</f>
        <v>1</v>
      </c>
      <c r="BN85" s="15">
        <f>MIN(IF($AU85=100%,1,1+VLOOKUP(($AJ85-$AI85-$AH85-$AG85-$AF85-$AE85*(1+BN$3))/$AJ85,'Технический лист'!$I:$J,2,1)-VLOOKUP($AO85,'Технический лист'!$I:$J,2,1)),1+(1-$AU85))</f>
        <v>1</v>
      </c>
      <c r="BO85" s="15">
        <f>MIN(IF($AU85=100%,1,1+VLOOKUP(($AJ85-$AI85-$AH85-$AG85-$AF85-$AE85*(1+BO$3))/$AJ85,'Технический лист'!$I:$J,2,1)-VLOOKUP($AO85,'Технический лист'!$I:$J,2,1)),1+(1-$AU85))</f>
        <v>1</v>
      </c>
      <c r="BP85" s="15">
        <f>MIN(IF($AU85=100%,1,1+VLOOKUP(($AJ85-$AI85-$AH85-$AG85-$AF85-$AE85*(1+BP$3))/$AJ85,'Технический лист'!$I:$J,2,1)-VLOOKUP($AO85,'Технический лист'!$I:$J,2,1)),1+(1-$AU85))</f>
        <v>1</v>
      </c>
      <c r="BQ85" s="15">
        <f>MIN(IF($AU85=100%,1,1+VLOOKUP(($AJ85-$AI85-$AH85-$AG85-$AF85-$AE85*(1+BQ$3))/$AJ85,'Технический лист'!$I:$J,2,1)-VLOOKUP($AO85,'Технический лист'!$I:$J,2,1)),1+(1-$AU85))</f>
        <v>1</v>
      </c>
      <c r="BR85" s="15">
        <f>MIN(IF($AU85=100%,1,1+VLOOKUP(($AJ85-$AI85-$AH85-$AG85-$AF85-$AE85*(1+BR$3))/$AJ85,'Технический лист'!$I:$J,2,1)-VLOOKUP($AO85,'Технический лист'!$I:$J,2,1)),1+(1-$AU85))</f>
        <v>1</v>
      </c>
      <c r="BS85" s="15">
        <f>MIN(IF($AU85=100%,1,1+VLOOKUP(($AJ85-$AI85-$AH85-$AG85-$AF85-$AE85*(1+BS$3))/$AJ85,'Технический лист'!$I:$J,2,1)-VLOOKUP($AO85,'Технический лист'!$I:$J,2,1)),1+(1-$AU85))</f>
        <v>1</v>
      </c>
      <c r="BT85" s="15">
        <f>MIN(IF($AU85=100%,1,1+VLOOKUP(($AJ85-$AI85-$AH85-$AG85-$AF85-$AE85*(1+BT$3))/$AJ85,'Технический лист'!$I:$J,2,1)-VLOOKUP($AO85,'Технический лист'!$I:$J,2,1)),1+(1-$AU85))</f>
        <v>1</v>
      </c>
      <c r="BU85" s="15">
        <f>MIN(IF($AU85=100%,1,1+VLOOKUP(($AJ85-$AI85-$AH85-$AG85-$AF85-$AE85*(1+BU$3))/$AJ85,'Технический лист'!$I:$J,2,1)-VLOOKUP($AO85,'Технический лист'!$I:$J,2,1)),1+(1-$AU85))</f>
        <v>1</v>
      </c>
      <c r="BV85" s="15">
        <f>MIN(IF($AU85=100%,1,1+VLOOKUP(($AJ85-$AI85-$AH85-$AG85-$AF85-$AE85*(1+BV$3))/$AJ85,'Технический лист'!$I:$J,2,1)-VLOOKUP($AO85,'Технический лист'!$I:$J,2,1)),1+(1-$AU85))</f>
        <v>1</v>
      </c>
      <c r="BW85" s="15">
        <f>MIN(IF($AU85=100%,1,1+VLOOKUP(($AJ85-$AI85-$AH85-$AG85-$AF85-$AE85*(1+BW$3))/$AJ85,'Технический лист'!$I:$J,2,1)-VLOOKUP($AO85,'Технический лист'!$I:$J,2,1)),1+(1-$AU85))</f>
        <v>1</v>
      </c>
      <c r="BX85" s="15">
        <f>MIN(IF($AU85=100%,1,1+VLOOKUP(($AJ85-$AI85-$AH85-$AG85-$AF85-$AE85*(1+BX$3))/$AJ85,'Технический лист'!$I:$J,2,1)-VLOOKUP($AO85,'Технический лист'!$I:$J,2,1)),1+(1-$AU85))</f>
        <v>1</v>
      </c>
      <c r="BY85" s="15">
        <f>MIN(IF($AU85=100%,1,1+VLOOKUP(($AJ85-$AI85-$AH85-$AG85-$AF85-$AE85*(1+BY$3))/$AJ85,'Технический лист'!$I:$J,2,1)-VLOOKUP($AO85,'Технический лист'!$I:$J,2,1)),1+(1-$AU85))</f>
        <v>1</v>
      </c>
      <c r="BZ85" s="15">
        <f>MIN(IF($AU85=100%,1,1+VLOOKUP(($AJ85-$AI85-$AH85-$AG85-$AF85-$AE85*(1+BZ$3))/$AJ85,'Технический лист'!$I:$J,2,1)-VLOOKUP($AO85,'Технический лист'!$I:$J,2,1)),1+(1-$AU85))</f>
        <v>1</v>
      </c>
      <c r="CA85" s="15">
        <f>MIN(IF($AU85=100%,1,1+VLOOKUP(($AJ85-$AI85-$AH85-$AG85-$AF85-$AE85*(1+CA$3))/$AJ85,'Технический лист'!$I:$J,2,1)-VLOOKUP($AO85,'Технический лист'!$I:$J,2,1)),1+(1-$AU85))</f>
        <v>1</v>
      </c>
      <c r="CB85" s="15">
        <f>MIN(IF($AU85=100%,1,1+VLOOKUP(($AJ85-$AI85-$AH85-$AG85-$AF85-$AE85*(1+CB$3))/$AJ85,'Технический лист'!$I:$J,2,1)-VLOOKUP($AO85,'Технический лист'!$I:$J,2,1)),1+(1-$AU85))</f>
        <v>1</v>
      </c>
      <c r="CC85" s="15">
        <f>MIN(IF($AU85=100%,1,1+VLOOKUP(($AJ85-$AI85-$AH85-$AG85-$AF85-$AE85*(1+CC$3))/$AJ85,'Технический лист'!$I:$J,2,1)-VLOOKUP($AO85,'Технический лист'!$I:$J,2,1)),1+(1-$AU85))</f>
        <v>1</v>
      </c>
      <c r="CD85" s="15">
        <f>MIN(IF($AU85=100%,1,1+VLOOKUP(($AJ85-$AI85-$AH85-$AG85-$AF85-$AE85*(1+CD$3))/$AJ85,'Технический лист'!$I:$J,2,1)-VLOOKUP($AO85,'Технический лист'!$I:$J,2,1)),1+(1-$AU85))</f>
        <v>1</v>
      </c>
      <c r="CE85" s="15">
        <f>MIN(IF($AU85=100%,1,1+VLOOKUP(($AJ85-$AI85-$AH85-$AG85-$AF85-$AE85*(1+CE$3))/$AJ85,'Технический лист'!$I:$J,2,1)-VLOOKUP($AO85,'Технический лист'!$I:$J,2,1)),1+(1-$AU85))</f>
        <v>1</v>
      </c>
      <c r="CF85" s="15">
        <f>MIN(IF($AU85=100%,1,1+VLOOKUP(($AJ85-$AI85-$AH85-$AG85-$AF85-$AE85*(1+CF$3))/$AJ85,'Технический лист'!$I:$J,2,1)-VLOOKUP($AO85,'Технический лист'!$I:$J,2,1)),1+(1-$AU85))</f>
        <v>1</v>
      </c>
      <c r="CG85" s="15">
        <f>MIN(IF($AU85=100%,1,1+VLOOKUP(($AJ85-$AI85-$AH85-$AG85-$AF85-$AE85*(1+CG$3))/$AJ85,'Технический лист'!$I:$J,2,1)-VLOOKUP($AO85,'Технический лист'!$I:$J,2,1)),1+(1-$AU85))</f>
        <v>1</v>
      </c>
      <c r="CH85" s="15">
        <f>MIN(IF($AU85=100%,1,1+VLOOKUP(($AJ85-$AI85-$AH85-$AG85-$AF85-$AE85*(1+CH$3))/$AJ85,'Технический лист'!$I:$J,2,1)-VLOOKUP($AO85,'Технический лист'!$I:$J,2,1)),1+(1-$AU85))</f>
        <v>1</v>
      </c>
      <c r="CI85" s="15">
        <f>MIN(IF($AU85=100%,1,1+VLOOKUP(($AJ85-$AI85-$AH85-$AG85-$AF85-$AE85*(1+CI$3))/$AJ85,'Технический лист'!$I:$J,2,1)-VLOOKUP($AO85,'Технический лист'!$I:$J,2,1)),1+(1-$AU85))</f>
        <v>1</v>
      </c>
      <c r="CJ85" s="15">
        <f>MIN(IF($AU85=100%,1,1+VLOOKUP(($AJ85-$AI85-$AH85-$AG85-$AF85-$AE85*(1+CJ$3))/$AJ85,'Технический лист'!$I:$J,2,1)-VLOOKUP($AO85,'Технический лист'!$I:$J,2,1)),1+(1-$AU85))</f>
        <v>1</v>
      </c>
      <c r="CK85" s="15">
        <f>MIN(IF($AU85=100%,1,1+VLOOKUP(($AJ85-$AI85-$AH85-$AG85-$AF85-$AE85*(1+CK$3))/$AJ85,'Технический лист'!$I:$J,2,1)-VLOOKUP($AO85,'Технический лист'!$I:$J,2,1)),1+(1-$AU85))</f>
        <v>1</v>
      </c>
      <c r="CL85" s="15">
        <f>MIN(IF($AU85=100%,1,1+VLOOKUP(($AJ85-$AI85-$AH85-$AG85-$AF85-$AE85*(1+CL$3))/$AJ85,'Технический лист'!$I:$J,2,1)-VLOOKUP($AO85,'Технический лист'!$I:$J,2,1)),1+(1-$AU85))</f>
        <v>1</v>
      </c>
      <c r="CM85" s="15">
        <f>MIN(IF($AU85=100%,1,1+VLOOKUP(($AJ85-$AI85-$AH85-$AG85-$AF85-$AE85*(1+CM$3))/$AJ85,'Технический лист'!$I:$J,2,1)-VLOOKUP($AO85,'Технический лист'!$I:$J,2,1)),1+(1-$AU85))</f>
        <v>1</v>
      </c>
      <c r="CN85" s="15">
        <f>MIN(IF($AU85=100%,1,1+VLOOKUP(($AJ85-$AI85-$AH85-$AG85-$AF85-$AE85*(1+CN$3))/$AJ85,'Технический лист'!$I:$J,2,1)-VLOOKUP($AO85,'Технический лист'!$I:$J,2,1)),1+(1-$AU85))</f>
        <v>1</v>
      </c>
      <c r="CO85" s="15">
        <f>MIN(IF($AU85=100%,1,1+VLOOKUP(($AJ85-$AI85-$AH85-$AG85-$AF85-$AE85*(1+CO$3))/$AJ85,'Технический лист'!$I:$J,2,1)-VLOOKUP($AO85,'Технический лист'!$I:$J,2,1)),1+(1-$AU85))</f>
        <v>1</v>
      </c>
      <c r="CP85" s="15">
        <f>MIN(IF($AU85=100%,1,1+VLOOKUP(($AJ85-$AI85-$AH85-$AG85-$AF85-$AE85*(1+CP$3))/$AJ85,'Технический лист'!$I:$J,2,1)-VLOOKUP($AO85,'Технический лист'!$I:$J,2,1)),1+(1-$AU85))</f>
        <v>1</v>
      </c>
      <c r="CQ85" s="15">
        <f>MIN(IF($AU85=100%,1,1+VLOOKUP(($AJ85-$AI85-$AH85-$AG85-$AF85-$AE85*(1+CQ$3))/$AJ85,'Технический лист'!$I:$J,2,1)-VLOOKUP($AO85,'Технический лист'!$I:$J,2,1)),1+(1-$AU85))</f>
        <v>1</v>
      </c>
      <c r="CR85" s="15">
        <f>MIN(IF($AU85=100%,1,1+VLOOKUP(($AJ85-$AI85-$AH85-$AG85-$AF85-$AE85*(1+CR$3))/$AJ85,'Технический лист'!$I:$J,2,1)-VLOOKUP($AO85,'Технический лист'!$I:$J,2,1)),1+(1-$AU85))</f>
        <v>1</v>
      </c>
      <c r="CS85" s="15">
        <f>MIN(IF($AU85=100%,1,1+VLOOKUP(($AJ85-$AI85-$AH85-$AG85-$AF85-$AE85*(1+CS$3))/$AJ85,'Технический лист'!$I:$J,2,1)-VLOOKUP($AO85,'Технический лист'!$I:$J,2,1)),1+(1-$AU85))</f>
        <v>1</v>
      </c>
      <c r="CT85" s="15">
        <f>MIN(IF($AU85=100%,1,1+VLOOKUP(($AJ85-$AI85-$AH85-$AG85-$AF85-$AE85*(1+CT$3))/$AJ85,'Технический лист'!$I:$J,2,1)-VLOOKUP($AO85,'Технический лист'!$I:$J,2,1)),1+(1-$AU85))</f>
        <v>1</v>
      </c>
      <c r="CU85" s="15">
        <f>MIN(IF($AU85=100%,1,1+VLOOKUP(($AJ85-$AI85-$AH85-$AG85-$AF85-$AE85*(1+CU$3))/$AJ85,'Технический лист'!$I:$J,2,1)-VLOOKUP($AO85,'Технический лист'!$I:$J,2,1)),1+(1-$AU85))</f>
        <v>1</v>
      </c>
      <c r="CV85" s="15">
        <f>MIN(IF($AU85=100%,1,1+VLOOKUP(($AJ85-$AI85-$AH85-$AG85-$AF85-$AE85*(1+CV$3))/$AJ85,'Технический лист'!$I:$J,2,1)-VLOOKUP($AO85,'Технический лист'!$I:$J,2,1)),1+(1-$AU85))</f>
        <v>1</v>
      </c>
      <c r="CW85" s="15">
        <f>MIN(IF($AU85=100%,1,1+VLOOKUP(($AJ85-$AI85-$AH85-$AG85-$AF85-$AE85*(1+CW$3))/$AJ85,'Технический лист'!$I:$J,2,1)-VLOOKUP($AO85,'Технический лист'!$I:$J,2,1)),1+(1-$AU85))</f>
        <v>1</v>
      </c>
      <c r="CX85" s="15">
        <f>MIN(IF($AU85=100%,1,1+VLOOKUP(($AJ85-$AI85-$AH85-$AG85-$AF85-$AE85*(1+CX$3))/$AJ85,'Технический лист'!$I:$J,2,1)-VLOOKUP($AO85,'Технический лист'!$I:$J,2,1)),1+(1-$AU85))</f>
        <v>1</v>
      </c>
      <c r="CY85" s="15">
        <f>MIN(IF($AU85=100%,1,1+VLOOKUP(($AJ85-$AI85-$AH85-$AG85-$AF85-$AE85*(1+CY$3))/$AJ85,'Технический лист'!$I:$J,2,1)-VLOOKUP($AO85,'Технический лист'!$I:$J,2,1)),1+(1-$AU85))</f>
        <v>1</v>
      </c>
      <c r="CZ85" s="15">
        <f>MIN(IF($AU85=100%,1,1+VLOOKUP(($AJ85-$AI85-$AH85-$AG85-$AF85-$AE85*(1+CZ$3))/$AJ85,'Технический лист'!$I:$J,2,1)-VLOOKUP($AO85,'Технический лист'!$I:$J,2,1)),1+(1-$AU85))</f>
        <v>1</v>
      </c>
      <c r="DA85" s="15">
        <f>MIN(IF($AU85=100%,1,1+VLOOKUP(($AJ85-$AI85-$AH85-$AG85-$AF85-$AE85*(1+DA$3))/$AJ85,'Технический лист'!$I:$J,2,1)-VLOOKUP($AO85,'Технический лист'!$I:$J,2,1)),1+(1-$AU85))</f>
        <v>1</v>
      </c>
      <c r="DB85" s="15">
        <f>MIN(IF($AU85=100%,1,1+VLOOKUP(($AJ85-$AI85-$AH85-$AG85-$AF85-$AE85*(1+DB$3))/$AJ85,'Технический лист'!$I:$J,2,1)-VLOOKUP($AO85,'Технический лист'!$I:$J,2,1)),1+(1-$AU85))</f>
        <v>1</v>
      </c>
      <c r="DC85" s="15">
        <f>MIN(IF($AU85=100%,1,1+VLOOKUP(($AJ85-$AI85-$AH85-$AG85-$AF85-$AE85*(1+DC$3))/$AJ85,'Технический лист'!$I:$J,2,1)-VLOOKUP($AO85,'Технический лист'!$I:$J,2,1)),1+(1-$AU85))</f>
        <v>1</v>
      </c>
      <c r="DD85" s="15">
        <f>MIN(IF($AU85=100%,1,1+VLOOKUP(($AJ85-$AI85-$AH85-$AG85-$AF85-$AE85*(1+DD$3))/$AJ85,'Технический лист'!$I:$J,2,1)-VLOOKUP($AO85,'Технический лист'!$I:$J,2,1)),1+(1-$AU85))</f>
        <v>1</v>
      </c>
      <c r="DE85" s="15">
        <f>MIN(IF($AU85=100%,1,1+VLOOKUP(($AJ85-$AI85-$AH85-$AG85-$AF85-$AE85*(1+DE$3))/$AJ85,'Технический лист'!$I:$J,2,1)-VLOOKUP($AO85,'Технический лист'!$I:$J,2,1)),1+(1-$AU85))</f>
        <v>1</v>
      </c>
      <c r="DF85" s="15">
        <f>MIN(IF($AU85=100%,1,1+VLOOKUP(($AJ85-$AI85-$AH85-$AG85-$AF85-$AE85*(1+DF$3))/$AJ85,'Технический лист'!$I:$J,2,1)-VLOOKUP($AO85,'Технический лист'!$I:$J,2,1)),1+(1-$AU85))</f>
        <v>1</v>
      </c>
      <c r="DG85" s="15">
        <f>MIN(IF($AU85=100%,1,1+VLOOKUP(($AJ85-$AI85-$AH85-$AG85-$AF85-$AE85*(1+DG$3))/$AJ85,'Технический лист'!$I:$J,2,1)-VLOOKUP($AO85,'Технический лист'!$I:$J,2,1)),1+(1-$AU85))</f>
        <v>1</v>
      </c>
      <c r="DH85" s="15">
        <f>MIN(IF($AU85=100%,1,1+VLOOKUP(($AJ85-$AI85-$AH85-$AG85-$AF85-$AE85*(1+DH$3))/$AJ85,'Технический лист'!$I:$J,2,1)-VLOOKUP($AO85,'Технический лист'!$I:$J,2,1)),1+(1-$AU85))</f>
        <v>1</v>
      </c>
      <c r="DI85" s="15">
        <f>MIN(IF($AU85=100%,1,1+VLOOKUP(($AJ85-$AI85-$AH85-$AG85-$AF85-$AE85*(1+DI$3))/$AJ85,'Технический лист'!$I:$J,2,1)-VLOOKUP($AO85,'Технический лист'!$I:$J,2,1)),1+(1-$AU85))</f>
        <v>1</v>
      </c>
      <c r="DJ85" s="15">
        <f>MIN(IF($AU85=100%,1,1+VLOOKUP(($AJ85-$AI85-$AH85-$AG85-$AF85-$AE85*(1+DJ$3))/$AJ85,'Технический лист'!$I:$J,2,1)-VLOOKUP($AO85,'Технический лист'!$I:$J,2,1)),1+(1-$AU85))</f>
        <v>1</v>
      </c>
      <c r="DK85" s="15">
        <f>MIN(IF($AU85=100%,1,1+VLOOKUP(($AJ85-$AI85-$AH85-$AG85-$AF85-$AE85*(1+DK$3))/$AJ85,'Технический лист'!$I:$J,2,1)-VLOOKUP($AO85,'Технический лист'!$I:$J,2,1)),1+(1-$AU85))</f>
        <v>1</v>
      </c>
      <c r="DL85" s="15">
        <f>MIN(IF($AU85=100%,1,1+VLOOKUP(($AJ85-$AI85-$AH85-$AG85-$AF85-$AE85*(1+DL$3))/$AJ85,'Технический лист'!$I:$J,2,1)-VLOOKUP($AO85,'Технический лист'!$I:$J,2,1)),1+(1-$AU85))</f>
        <v>1</v>
      </c>
      <c r="DM85" s="15">
        <f>MIN(IF($AU85=100%,1,1+VLOOKUP(($AJ85-$AI85-$AH85-$AG85-$AF85-$AE85*(1+DM$3))/$AJ85,'Технический лист'!$I:$J,2,1)-VLOOKUP($AO85,'Технический лист'!$I:$J,2,1)),1+(1-$AU85))</f>
        <v>1</v>
      </c>
      <c r="DN85" s="15">
        <f>MIN(IF($AU85=100%,1,1+VLOOKUP(($AJ85-$AI85-$AH85-$AG85-$AF85-$AE85*(1+DN$3))/$AJ85,'Технический лист'!$I:$J,2,1)-VLOOKUP($AO85,'Технический лист'!$I:$J,2,1)),1+(1-$AU85))</f>
        <v>1</v>
      </c>
      <c r="DO85" s="15">
        <f>MIN(IF($AU85=100%,1,1+VLOOKUP(($AJ85-$AI85-$AH85-$AG85-$AF85-$AE85*(1+DO$3))/$AJ85,'Технический лист'!$I:$J,2,1)-VLOOKUP($AO85,'Технический лист'!$I:$J,2,1)),1+(1-$AU85))</f>
        <v>1</v>
      </c>
      <c r="DP85" s="15">
        <f>MIN(IF($AU85=100%,1,1+VLOOKUP(($AJ85-$AI85-$AH85-$AG85-$AF85-$AE85*(1+DP$3))/$AJ85,'Технический лист'!$I:$J,2,1)-VLOOKUP($AO85,'Технический лист'!$I:$J,2,1)),1+(1-$AU85))</f>
        <v>1</v>
      </c>
      <c r="DQ85" s="15">
        <f>MIN(IF($AU85=100%,1,1+VLOOKUP(($AJ85-$AI85-$AH85-$AG85-$AF85-$AE85*(1+DQ$3))/$AJ85,'Технический лист'!$I:$J,2,1)-VLOOKUP($AO85,'Технический лист'!$I:$J,2,1)),1+(1-$AU85))</f>
        <v>1</v>
      </c>
      <c r="DR85" s="15">
        <f>MIN(IF($AU85=100%,1,1+VLOOKUP(($AJ85-$AI85-$AH85-$AG85-$AF85-$AE85*(1+DR$3))/$AJ85,'Технический лист'!$I:$J,2,1)-VLOOKUP($AO85,'Технический лист'!$I:$J,2,1)),1+(1-$AU85))</f>
        <v>1</v>
      </c>
      <c r="DS85" s="15">
        <f>MIN(IF($AU85=100%,1,1+VLOOKUP(($AJ85-$AI85-$AH85-$AG85-$AF85-$AE85*(1+DS$3))/$AJ85,'Технический лист'!$I:$J,2,1)-VLOOKUP($AO85,'Технический лист'!$I:$J,2,1)),1+(1-$AU85))</f>
        <v>1</v>
      </c>
      <c r="DT85" s="15">
        <f>MIN(IF($AU85=100%,1,1+VLOOKUP(($AJ85-$AI85-$AH85-$AG85-$AF85-$AE85*(1+DT$3))/$AJ85,'Технический лист'!$I:$J,2,1)-VLOOKUP($AO85,'Технический лист'!$I:$J,2,1)),1+(1-$AU85))</f>
        <v>1</v>
      </c>
      <c r="DU85" s="15">
        <f>MIN(IF($AU85=100%,1,1+VLOOKUP(($AJ85-$AI85-$AH85-$AG85-$AF85-$AE85*(1+DU$3))/$AJ85,'Технический лист'!$I:$J,2,1)-VLOOKUP($AO85,'Технический лист'!$I:$J,2,1)),1+(1-$AU85))</f>
        <v>1</v>
      </c>
      <c r="DV85" s="15">
        <f>MIN(IF($AU85=100%,1,1+VLOOKUP(($AJ85-$AI85-$AH85-$AG85-$AF85-$AE85*(1+DV$3))/$AJ85,'Технический лист'!$I:$J,2,1)-VLOOKUP($AO85,'Технический лист'!$I:$J,2,1)),1+(1-$AU85))</f>
        <v>1</v>
      </c>
      <c r="DW85" s="15">
        <f>MIN(IF($AU85=100%,1,1+VLOOKUP(($AJ85-$AI85-$AH85-$AG85-$AF85-$AE85*(1+DW$3))/$AJ85,'Технический лист'!$I:$J,2,1)-VLOOKUP($AO85,'Технический лист'!$I:$J,2,1)),1+(1-$AU85))</f>
        <v>1</v>
      </c>
      <c r="DX85" s="15">
        <f>MIN(IF($AU85=100%,1,1+VLOOKUP(($AJ85-$AI85-$AH85-$AG85-$AF85-$AE85*(1+DX$3))/$AJ85,'Технический лист'!$I:$J,2,1)-VLOOKUP($AO85,'Технический лист'!$I:$J,2,1)),1+(1-$AU85))</f>
        <v>1</v>
      </c>
      <c r="DY85" s="15">
        <f>MIN(IF($AU85=100%,1,1+VLOOKUP(($AJ85-$AI85-$AH85-$AG85-$AF85-$AE85*(1+DY$3))/$AJ85,'Технический лист'!$I:$J,2,1)-VLOOKUP($AO85,'Технический лист'!$I:$J,2,1)),1+(1-$AU85))</f>
        <v>1</v>
      </c>
      <c r="DZ85" s="15">
        <f>MIN(IF($AU85=100%,1,1+VLOOKUP(($AJ85-$AI85-$AH85-$AG85-$AF85-$AE85*(1+DZ$3))/$AJ85,'Технический лист'!$I:$J,2,1)-VLOOKUP($AO85,'Технический лист'!$I:$J,2,1)),1+(1-$AU85))</f>
        <v>1</v>
      </c>
      <c r="EA85" s="15">
        <f>MIN(IF($AU85=100%,1,1+VLOOKUP(($AJ85-$AI85-$AH85-$AG85-$AF85-$AE85*(1+EA$3))/$AJ85,'Технический лист'!$I:$J,2,1)-VLOOKUP($AO85,'Технический лист'!$I:$J,2,1)),1+(1-$AU85))</f>
        <v>1</v>
      </c>
      <c r="EB85" s="15">
        <f>MIN(IF($AU85=100%,1,1+VLOOKUP(($AJ85-$AI85-$AH85-$AG85-$AF85-$AE85*(1+EB$3))/$AJ85,'Технический лист'!$I:$J,2,1)-VLOOKUP($AO85,'Технический лист'!$I:$J,2,1)),1+(1-$AU85))</f>
        <v>1</v>
      </c>
      <c r="EC85" s="15">
        <f>MIN(IF($AU85=100%,1,1+VLOOKUP(($AJ85-$AI85-$AH85-$AG85-$AF85-$AE85*(1+EC$3))/$AJ85,'Технический лист'!$I:$J,2,1)-VLOOKUP($AO85,'Технический лист'!$I:$J,2,1)),1+(1-$AU85))</f>
        <v>1</v>
      </c>
      <c r="ED85" s="15">
        <f>MIN(IF($AU85=100%,1,1+VLOOKUP(($AJ85-$AI85-$AH85-$AG85-$AF85-$AE85*(1+ED$3))/$AJ85,'Технический лист'!$I:$J,2,1)-VLOOKUP($AO85,'Технический лист'!$I:$J,2,1)),1+(1-$AU85))</f>
        <v>1</v>
      </c>
      <c r="EE85" s="15">
        <f>MIN(IF($AU85=100%,1,1+VLOOKUP(($AJ85-$AI85-$AH85-$AG85-$AF85-$AE85*(1+EE$3))/$AJ85,'Технический лист'!$I:$J,2,1)-VLOOKUP($AO85,'Технический лист'!$I:$J,2,1)),1+(1-$AU85))</f>
        <v>1</v>
      </c>
      <c r="EF85" s="15">
        <f>MIN(IF($AU85=100%,1,1+VLOOKUP(($AJ85-$AI85-$AH85-$AG85-$AF85-$AE85*(1+EF$3))/$AJ85,'Технический лист'!$I:$J,2,1)-VLOOKUP($AO85,'Технический лист'!$I:$J,2,1)),1+(1-$AU85))</f>
        <v>1</v>
      </c>
      <c r="EG85" s="15">
        <f>MIN(IF($AU85=100%,1,1+VLOOKUP(($AJ85-$AI85-$AH85-$AG85-$AF85-$AE85*(1+EG$3))/$AJ85,'Технический лист'!$I:$J,2,1)-VLOOKUP($AO85,'Технический лист'!$I:$J,2,1)),1+(1-$AU85))</f>
        <v>1</v>
      </c>
      <c r="EH85" s="15">
        <f>MIN(IF($AU85=100%,1,1+VLOOKUP(($AJ85-$AI85-$AH85-$AG85-$AF85-$AE85*(1+EH$3))/$AJ85,'Технический лист'!$I:$J,2,1)-VLOOKUP($AO85,'Технический лист'!$I:$J,2,1)),1+(1-$AU85))</f>
        <v>1</v>
      </c>
      <c r="EI85" s="15">
        <f>MIN(IF($AU85=100%,1,1+VLOOKUP(($AJ85-$AI85-$AH85-$AG85-$AF85-$AE85*(1+EI$3))/$AJ85,'Технический лист'!$I:$J,2,1)-VLOOKUP($AO85,'Технический лист'!$I:$J,2,1)),1+(1-$AU85))</f>
        <v>1</v>
      </c>
      <c r="EJ85" s="15">
        <f>MIN(IF($AU85=100%,1,1+VLOOKUP(($AJ85-$AI85-$AH85-$AG85-$AF85-$AE85*(1+EJ$3))/$AJ85,'Технический лист'!$I:$J,2,1)-VLOOKUP($AO85,'Технический лист'!$I:$J,2,1)),1+(1-$AU85))</f>
        <v>1</v>
      </c>
      <c r="EK85" s="15">
        <f>MIN(IF($AU85=100%,1,1+VLOOKUP(($AJ85-$AI85-$AH85-$AG85-$AF85-$AE85*(1+EK$3))/$AJ85,'Технический лист'!$I:$J,2,1)-VLOOKUP($AO85,'Технический лист'!$I:$J,2,1)),1+(1-$AU85))</f>
        <v>1</v>
      </c>
      <c r="EL85" s="15">
        <f>MIN(IF($AU85=100%,1,1+VLOOKUP(($AJ85-$AI85-$AH85-$AG85-$AF85-$AE85*(1+EL$3))/$AJ85,'Технический лист'!$I:$J,2,1)-VLOOKUP($AO85,'Технический лист'!$I:$J,2,1)),1+(1-$AU85))</f>
        <v>1</v>
      </c>
      <c r="EM85" s="15">
        <f>MIN(IF($AU85=100%,1,1+VLOOKUP(($AJ85-$AI85-$AH85-$AG85-$AF85-$AE85*(1+EM$3))/$AJ85,'Технический лист'!$I:$J,2,1)-VLOOKUP($AO85,'Технический лист'!$I:$J,2,1)),1+(1-$AU85))</f>
        <v>1</v>
      </c>
      <c r="EN85" s="15">
        <f>MIN(IF($AU85=100%,1,1+VLOOKUP(($AJ85-$AI85-$AH85-$AG85-$AF85-$AE85*(1+EN$3))/$AJ85,'Технический лист'!$I:$J,2,1)-VLOOKUP($AO85,'Технический лист'!$I:$J,2,1)),1+(1-$AU85))</f>
        <v>1</v>
      </c>
      <c r="EO85" s="15">
        <f>MIN(IF($AU85=100%,1,1+VLOOKUP(($AJ85-$AI85-$AH85-$AG85-$AF85-$AE85*(1+EO$3))/$AJ85,'Технический лист'!$I:$J,2,1)-VLOOKUP($AO85,'Технический лист'!$I:$J,2,1)),1+(1-$AU85))</f>
        <v>1</v>
      </c>
      <c r="EP85" s="15">
        <f>MIN(IF($AU85=100%,1,1+VLOOKUP(($AJ85-$AI85-$AH85-$AG85-$AF85-$AE85*(1+EP$3))/$AJ85,'Технический лист'!$I:$J,2,1)-VLOOKUP($AO85,'Технический лист'!$I:$J,2,1)),1+(1-$AU85))</f>
        <v>1</v>
      </c>
      <c r="EQ85" s="15">
        <f>MIN(IF($AU85=100%,1,1+VLOOKUP(($AJ85-$AI85-$AH85-$AG85-$AF85-$AE85*(1+EQ$3))/$AJ85,'Технический лист'!$I:$J,2,1)-VLOOKUP($AO85,'Технический лист'!$I:$J,2,1)),1+(1-$AU85))</f>
        <v>1</v>
      </c>
      <c r="ER85" s="15">
        <f>MIN(IF($AU85=100%,1,1+VLOOKUP(($AJ85-$AI85-$AH85-$AG85-$AF85-$AE85*(1+ER$3))/$AJ85,'Технический лист'!$I:$J,2,1)-VLOOKUP($AO85,'Технический лист'!$I:$J,2,1)),1+(1-$AU85))</f>
        <v>1</v>
      </c>
      <c r="ES85" s="15">
        <f>MIN(IF($AU85=100%,1,1+VLOOKUP(($AJ85-$AI85-$AH85-$AG85-$AF85-$AE85*(1+ES$3))/$AJ85,'Технический лист'!$I:$J,2,1)-VLOOKUP($AO85,'Технический лист'!$I:$J,2,1)),1+(1-$AU85))</f>
        <v>1</v>
      </c>
      <c r="ET85" s="15">
        <f>MIN(IF($AU85=100%,1,1+VLOOKUP(($AJ85-$AI85-$AH85-$AG85-$AF85-$AE85*(1+ET$3))/$AJ85,'Технический лист'!$I:$J,2,1)-VLOOKUP($AO85,'Технический лист'!$I:$J,2,1)),1+(1-$AU85))</f>
        <v>1</v>
      </c>
      <c r="EU85" s="15">
        <f>MIN(IF($AU85=100%,1,1+VLOOKUP(($AJ85-$AI85-$AH85-$AG85-$AF85-$AE85*(1+EU$3))/$AJ85,'Технический лист'!$I:$J,2,1)-VLOOKUP($AO85,'Технический лист'!$I:$J,2,1)),1+(1-$AU85))</f>
        <v>1</v>
      </c>
      <c r="EV85" s="111">
        <v>1</v>
      </c>
      <c r="EW85" s="15">
        <f>MIN(1,MAX(VLOOKUP(($AJ85-$AI85-$AH85-$AG85-$AF85-$AE85*(1+EW$3))/$AJ85,'Технический лист'!$A:$B,2,1),(EV85-0.05)))</f>
        <v>1</v>
      </c>
      <c r="EX85" s="15">
        <f>MIN(1,MAX(VLOOKUP(($AJ85-$AI85-$AH85-$AG85-$AF85-$AE85*(1+EX$3))/$AJ85,'Технический лист'!$A:$B,2,1),(EW85-0.05)))</f>
        <v>1</v>
      </c>
      <c r="EY85" s="15">
        <f>MIN(1,MAX(VLOOKUP(($AJ85-$AI85-$AH85-$AG85-$AF85-$AE85*(1+EY$3))/$AJ85,'Технический лист'!$A:$B,2,1),(EX85-0.05)))</f>
        <v>1</v>
      </c>
      <c r="EZ85" s="15">
        <f>MIN(1,MAX(VLOOKUP(($AJ85-$AI85-$AH85-$AG85-$AF85-$AE85*(1+EZ$3))/$AJ85,'Технический лист'!$A:$B,2,1),(EY85-0.05)))</f>
        <v>1</v>
      </c>
      <c r="FA85" s="15">
        <f>MIN(1,MAX(VLOOKUP(($AJ85-$AI85-$AH85-$AG85-$AF85-$AE85*(1+FA$3))/$AJ85,'Технический лист'!$A:$B,2,1),(EZ85-0.05)))</f>
        <v>1</v>
      </c>
      <c r="FB85" s="15">
        <f>MIN(1,MAX(VLOOKUP(($AJ85-$AI85-$AH85-$AG85-$AF85-$AE85*(1+FB$3))/$AJ85,'Технический лист'!$A:$B,2,1),(FA85-0.05)))</f>
        <v>1</v>
      </c>
      <c r="FC85" s="15">
        <f>MIN(1,MAX(VLOOKUP(($AJ85-$AI85-$AH85-$AG85-$AF85-$AE85*(1+FC$3))/$AJ85,'Технический лист'!$A:$B,2,1),(FB85-0.05)))</f>
        <v>1</v>
      </c>
      <c r="FD85" s="15">
        <f>MIN(1,MAX(VLOOKUP(($AJ85-$AI85-$AH85-$AG85-$AF85-$AE85*(1+FD$3))/$AJ85,'Технический лист'!$A:$B,2,1),(FC85-0.05)))</f>
        <v>1</v>
      </c>
      <c r="FE85" s="15">
        <f>MIN(1,MAX(VLOOKUP(($AJ85-$AI85-$AH85-$AG85-$AF85-$AE85*(1+FE$3))/$AJ85,'Технический лист'!$A:$B,2,1),(FD85-0.05)))</f>
        <v>1</v>
      </c>
      <c r="FF85" s="15">
        <f>MIN(1,MAX(VLOOKUP(($AJ85-$AI85-$AH85-$AG85-$AF85-$AE85*(1+FF$3))/$AJ85,'Технический лист'!$A:$B,2,1),(FE85-0.05)))</f>
        <v>1</v>
      </c>
      <c r="FG85" s="15">
        <f>MIN(1,MAX(VLOOKUP(($AJ85-$AI85-$AH85-$AG85-$AF85-$AE85*(1+FG$3))/$AJ85,'Технический лист'!$A:$B,2,1),(FF85-0.05)))</f>
        <v>1</v>
      </c>
      <c r="FH85" s="15">
        <f>MIN(1,MAX(VLOOKUP(($AJ85-$AI85-$AH85-$AG85-$AF85-$AE85*(1+FH$3))/$AJ85,'Технический лист'!$A:$B,2,1),(FG85-0.05)))</f>
        <v>1</v>
      </c>
      <c r="FI85" s="15">
        <f>MIN(1,MAX(VLOOKUP(($AJ85-$AI85-$AH85-$AG85-$AF85-$AE85*(1+FI$3))/$AJ85,'Технический лист'!$A:$B,2,1),(FH85-0.05)))</f>
        <v>1</v>
      </c>
      <c r="FJ85" s="15">
        <f>MIN(1,MAX(VLOOKUP(($AJ85-$AI85-$AH85-$AG85-$AF85-$AE85*(1+FJ$3))/$AJ85,'Технический лист'!$A:$B,2,1),(FI85-0.05)))</f>
        <v>1</v>
      </c>
      <c r="FK85" s="15">
        <f>MIN(1,MAX(VLOOKUP(($AJ85-$AI85-$AH85-$AG85-$AF85-$AE85*(1+FK$3))/$AJ85,'Технический лист'!$A:$B,2,1),(FJ85-0.05)))</f>
        <v>1</v>
      </c>
      <c r="FL85" s="15">
        <f>MIN(1,MAX(VLOOKUP(($AJ85-$AI85-$AH85-$AG85-$AF85-$AE85*(1+FL$3))/$AJ85,'Технический лист'!$A:$B,2,1),(FK85-0.05)))</f>
        <v>1</v>
      </c>
      <c r="FM85" s="15">
        <f>MIN(1,MAX(VLOOKUP(($AJ85-$AI85-$AH85-$AG85-$AF85-$AE85*(1+FM$3))/$AJ85,'Технический лист'!$A:$B,2,1),(FL85-0.05)))</f>
        <v>1</v>
      </c>
      <c r="FN85" s="15">
        <f>MIN(1,MAX(VLOOKUP(($AJ85-$AI85-$AH85-$AG85-$AF85-$AE85*(1+FN$3))/$AJ85,'Технический лист'!$A:$B,2,1),(FM85-0.05)))</f>
        <v>1</v>
      </c>
      <c r="FO85" s="15">
        <f>MIN(1,MAX(VLOOKUP(($AJ85-$AI85-$AH85-$AG85-$AF85-$AE85*(1+FO$3))/$AJ85,'Технический лист'!$A:$B,2,1),(FN85-0.05)))</f>
        <v>1</v>
      </c>
      <c r="FP85" s="15">
        <f>MIN(1,MAX(VLOOKUP(($AJ85-$AI85-$AH85-$AG85-$AF85-$AE85*(1+FP$3))/$AJ85,'Технический лист'!$A:$B,2,1),(FO85-0.05)))</f>
        <v>1</v>
      </c>
      <c r="FQ85" s="15">
        <f>MIN(1,MAX(VLOOKUP(($AJ85-$AI85-$AH85-$AG85-$AF85-$AE85*(1+FQ$3))/$AJ85,'Технический лист'!$A:$B,2,1),(FP85-0.05)))</f>
        <v>1</v>
      </c>
      <c r="FR85" s="15">
        <f>MIN(1,MAX(VLOOKUP(($AJ85-$AI85-$AH85-$AG85-$AF85-$AE85*(1+FR$3))/$AJ85,'Технический лист'!$A:$B,2,1),(FQ85-0.05)))</f>
        <v>1</v>
      </c>
      <c r="FS85" s="15">
        <f>MIN(1,MAX(VLOOKUP(($AJ85-$AI85-$AH85-$AG85-$AF85-$AE85*(1+FS$3))/$AJ85,'Технический лист'!$A:$B,2,1),(FR85-0.05)))</f>
        <v>1</v>
      </c>
      <c r="FT85" s="15">
        <f>MIN(1,MAX(VLOOKUP(($AJ85-$AI85-$AH85-$AG85-$AF85-$AE85*(1+FT$3))/$AJ85,'Технический лист'!$A:$B,2,1),(FS85-0.05)))</f>
        <v>1</v>
      </c>
      <c r="FU85" s="15">
        <f>MIN(1,MAX(VLOOKUP(($AJ85-$AI85-$AH85-$AG85-$AF85-$AE85*(1+FU$3))/$AJ85,'Технический лист'!$A:$B,2,1),(FT85-0.05)))</f>
        <v>1</v>
      </c>
      <c r="FV85" s="15">
        <f>MIN(1,MAX(VLOOKUP(($AJ85-$AI85-$AH85-$AG85-$AF85-$AE85*(1+FV$3))/$AJ85,'Технический лист'!$A:$B,2,1),(FU85-0.05)))</f>
        <v>1</v>
      </c>
      <c r="FW85" s="15">
        <f>MIN(1,MAX(VLOOKUP(($AJ85-$AI85-$AH85-$AG85-$AF85-$AE85*(1+FW$3))/$AJ85,'Технический лист'!$A:$B,2,1),(FV85-0.05)))</f>
        <v>1</v>
      </c>
      <c r="FX85" s="15">
        <f>MIN(1,MAX(VLOOKUP(($AJ85-$AI85-$AH85-$AG85-$AF85-$AE85*(1+FX$3))/$AJ85,'Технический лист'!$A:$B,2,1),(FW85-0.05)))</f>
        <v>1</v>
      </c>
      <c r="FY85" s="15">
        <f>MIN(1,MAX(VLOOKUP(($AJ85-$AI85-$AH85-$AG85-$AF85-$AE85*(1+FY$3))/$AJ85,'Технический лист'!$A:$B,2,1),(FX85-0.05)))</f>
        <v>1</v>
      </c>
      <c r="FZ85" s="15">
        <f>MIN(1,MAX(VLOOKUP(($AJ85-$AI85-$AH85-$AG85-$AF85-$AE85*(1+FZ$3))/$AJ85,'Технический лист'!$A:$B,2,1),(FY85-0.05)))</f>
        <v>1</v>
      </c>
      <c r="GA85" s="15">
        <f>MIN(1,MAX(VLOOKUP(($AJ85-$AI85-$AH85-$AG85-$AF85-$AE85*(1+GA$3))/$AJ85,'Технический лист'!$A:$B,2,1),(FZ85-0.05)))</f>
        <v>1</v>
      </c>
      <c r="GB85" s="15">
        <f>MIN(1,MAX(VLOOKUP(($AJ85-$AI85-$AH85-$AG85-$AF85-$AE85*(1+GB$3))/$AJ85,'Технический лист'!$A:$B,2,1),(GA85-0.05)))</f>
        <v>1</v>
      </c>
      <c r="GC85" s="15">
        <f>MIN(1,MAX(VLOOKUP(($AJ85-$AI85-$AH85-$AG85-$AF85-$AE85*(1+GC$3))/$AJ85,'Технический лист'!$A:$B,2,1),(GB85-0.05)))</f>
        <v>1</v>
      </c>
      <c r="GD85" s="15">
        <f>MIN(1,MAX(VLOOKUP(($AJ85-$AI85-$AH85-$AG85-$AF85-$AE85*(1+GD$3))/$AJ85,'Технический лист'!$A:$B,2,1),(GC85-0.05)))</f>
        <v>1</v>
      </c>
      <c r="GE85" s="15">
        <f>MIN(1,MAX(VLOOKUP(($AJ85-$AI85-$AH85-$AG85-$AF85-$AE85*(1+GE$3))/$AJ85,'Технический лист'!$A:$B,2,1),(GD85-0.05)))</f>
        <v>1</v>
      </c>
      <c r="GF85" s="15">
        <f>MIN(1,MAX(VLOOKUP(($AJ85-$AI85-$AH85-$AG85-$AF85-$AE85*(1+GF$3))/$AJ85,'Технический лист'!$A:$B,2,1),(GE85-0.05)))</f>
        <v>1</v>
      </c>
      <c r="GG85" s="15">
        <f>MIN(1,MAX(VLOOKUP(($AJ85-$AI85-$AH85-$AG85-$AF85-$AE85*(1+GG$3))/$AJ85,'Технический лист'!$A:$B,2,1),(GF85-0.05)))</f>
        <v>1</v>
      </c>
      <c r="GH85" s="15">
        <f>MIN(1,MAX(VLOOKUP(($AJ85-$AI85-$AH85-$AG85-$AF85-$AE85*(1+GH$3))/$AJ85,'Технический лист'!$A:$B,2,1),(GG85-0.05)))</f>
        <v>1</v>
      </c>
      <c r="GI85" s="15">
        <f>MIN(1,MAX(VLOOKUP(($AJ85-$AI85-$AH85-$AG85-$AF85-$AE85*(1+GI$3))/$AJ85,'Технический лист'!$A:$B,2,1),(GH85-0.05)))</f>
        <v>1</v>
      </c>
      <c r="GJ85" s="15">
        <f>MIN(1,MAX(VLOOKUP(($AJ85-$AI85-$AH85-$AG85-$AF85-$AE85*(1+GJ$3))/$AJ85,'Технический лист'!$A:$B,2,1),(GI85-0.05)))</f>
        <v>1</v>
      </c>
      <c r="GK85" s="15">
        <f>MIN(1,MAX(VLOOKUP(($AJ85-$AI85-$AH85-$AG85-$AF85-$AE85*(1+GK$3))/$AJ85,'Технический лист'!$A:$B,2,1),(GJ85-0.05)))</f>
        <v>1</v>
      </c>
      <c r="GL85" s="15">
        <f>MIN(1,MAX(VLOOKUP(($AJ85-$AI85-$AH85-$AG85-$AF85-$AE85*(1+GL$3))/$AJ85,'Технический лист'!$A:$B,2,1),(GK85-0.05)))</f>
        <v>1</v>
      </c>
      <c r="GM85" s="15">
        <f>MIN(1,MAX(VLOOKUP(($AJ85-$AI85-$AH85-$AG85-$AF85-$AE85*(1+GM$3))/$AJ85,'Технический лист'!$A:$B,2,1),(GL85-0.05)))</f>
        <v>1</v>
      </c>
      <c r="GN85" s="15">
        <f>MIN(1,MAX(VLOOKUP(($AJ85-$AI85-$AH85-$AG85-$AF85-$AE85*(1+GN$3))/$AJ85,'Технический лист'!$A:$B,2,1),(GM85-0.05)))</f>
        <v>1</v>
      </c>
      <c r="GO85" s="15">
        <f>MIN(1,MAX(VLOOKUP(($AJ85-$AI85-$AH85-$AG85-$AF85-$AE85*(1+GO$3))/$AJ85,'Технический лист'!$A:$B,2,1),(GN85-0.05)))</f>
        <v>1</v>
      </c>
      <c r="GP85" s="15">
        <f>MIN(1,MAX(VLOOKUP(($AJ85-$AI85-$AH85-$AG85-$AF85-$AE85*(1+GP$3))/$AJ85,'Технический лист'!$A:$B,2,1),(GO85-0.05)))</f>
        <v>1</v>
      </c>
      <c r="GQ85" s="15">
        <f>MIN(1,MAX(VLOOKUP(($AJ85-$AI85-$AH85-$AG85-$AF85-$AE85*(1+GQ$3))/$AJ85,'Технический лист'!$A:$B,2,1),(GP85-0.05)))</f>
        <v>1</v>
      </c>
      <c r="GR85" s="15">
        <f>MIN(1,MAX(VLOOKUP(($AJ85-$AI85-$AH85-$AG85-$AF85-$AE85*(1+GR$3))/$AJ85,'Технический лист'!$A:$B,2,1),(GQ85-0.05)))</f>
        <v>1</v>
      </c>
      <c r="GS85" s="15">
        <f>MIN(1,MAX(VLOOKUP(($AJ85-$AI85-$AH85-$AG85-$AF85-$AE85*(1+GS$3))/$AJ85,'Технический лист'!$A:$B,2,1),(GR85-0.05)))</f>
        <v>1</v>
      </c>
      <c r="GT85" s="15">
        <f>MIN(1,MAX(VLOOKUP(($AJ85-$AI85-$AH85-$AG85-$AF85-$AE85*(1+GT$3))/$AJ85,'Технический лист'!$A:$B,2,1),(GS85-0.05)))</f>
        <v>1</v>
      </c>
      <c r="GU85" s="15">
        <f>MIN(1,MAX(VLOOKUP(($AJ85-$AI85-$AH85-$AG85-$AF85-$AE85*(1+GU$3))/$AJ85,'Технический лист'!$A:$B,2,1),(GT85-0.05)))</f>
        <v>1</v>
      </c>
      <c r="GV85" s="15">
        <f>MIN(1,MAX(VLOOKUP(($AJ85-$AI85-$AH85-$AG85-$AF85-$AE85*(1+GV$3))/$AJ85,'Технический лист'!$A:$B,2,1),(GU85-0.05)))</f>
        <v>1</v>
      </c>
      <c r="GW85" s="15">
        <f>MIN(1,MAX(VLOOKUP(($AJ85-$AI85-$AH85-$AG85-$AF85-$AE85*(1+GW$3))/$AJ85,'Технический лист'!$A:$B,2,1),(GV85-0.05)))</f>
        <v>1</v>
      </c>
      <c r="GX85" s="15">
        <f>MIN(1,MAX(VLOOKUP(($AJ85-$AI85-$AH85-$AG85-$AF85-$AE85*(1+GX$3))/$AJ85,'Технический лист'!$A:$B,2,1),(GW85-0.05)))</f>
        <v>1</v>
      </c>
      <c r="GY85" s="15">
        <f>MIN(1,MAX(VLOOKUP(($AJ85-$AI85-$AH85-$AG85-$AF85-$AE85*(1+GY$3))/$AJ85,'Технический лист'!$A:$B,2,1),(GX85-0.05)))</f>
        <v>1</v>
      </c>
      <c r="GZ85" s="15">
        <f>MIN(1,MAX(VLOOKUP(($AJ85-$AI85-$AH85-$AG85-$AF85-$AE85*(1+GZ$3))/$AJ85,'Технический лист'!$A:$B,2,1),(GY85-0.05)))</f>
        <v>1</v>
      </c>
      <c r="HA85" s="15">
        <f>MIN(1,MAX(VLOOKUP(($AJ85-$AI85-$AH85-$AG85-$AF85-$AE85*(1+HA$3))/$AJ85,'Технический лист'!$A:$B,2,1),(GZ85-0.05)))</f>
        <v>1</v>
      </c>
      <c r="HB85" s="15">
        <f>MIN(1,MAX(VLOOKUP(($AJ85-$AI85-$AH85-$AG85-$AF85-$AE85*(1+HB$3))/$AJ85,'Технический лист'!$A:$B,2,1),(HA85-0.05)))</f>
        <v>1</v>
      </c>
      <c r="HC85" s="15">
        <f>MIN(1,MAX(VLOOKUP(($AJ85-$AI85-$AH85-$AG85-$AF85-$AE85*(1+HC$3))/$AJ85,'Технический лист'!$A:$B,2,1),(HB85-0.05)))</f>
        <v>1</v>
      </c>
      <c r="HD85" s="15">
        <f>MIN(1,MAX(VLOOKUP(($AJ85-$AI85-$AH85-$AG85-$AF85-$AE85*(1+HD$3))/$AJ85,'Технический лист'!$A:$B,2,1),(HC85-0.05)))</f>
        <v>1</v>
      </c>
      <c r="HE85" s="15">
        <f>MIN(1,MAX(VLOOKUP(($AJ85-$AI85-$AH85-$AG85-$AF85-$AE85*(1+HE$3))/$AJ85,'Технический лист'!$A:$B,2,1),(HD85-0.05)))</f>
        <v>1</v>
      </c>
      <c r="HF85" s="15">
        <f>MIN(1,MAX(VLOOKUP(($AJ85-$AI85-$AH85-$AG85-$AF85-$AE85*(1+HF$3))/$AJ85,'Технический лист'!$A:$B,2,1),(HE85-0.05)))</f>
        <v>1</v>
      </c>
      <c r="HG85" s="15">
        <f>MIN(1,MAX(VLOOKUP(($AJ85-$AI85-$AH85-$AG85-$AF85-$AE85*(1+HG$3))/$AJ85,'Технический лист'!$A:$B,2,1),(HF85-0.05)))</f>
        <v>1</v>
      </c>
      <c r="HH85" s="15">
        <f>MIN(1,MAX(VLOOKUP(($AJ85-$AI85-$AH85-$AG85-$AF85-$AE85*(1+HH$3))/$AJ85,'Технический лист'!$A:$B,2,1),(HG85-0.05)))</f>
        <v>1</v>
      </c>
      <c r="HI85" s="15">
        <f>MIN(1,MAX(VLOOKUP(($AJ85-$AI85-$AH85-$AG85-$AF85-$AE85*(1+HI$3))/$AJ85,'Технический лист'!$A:$B,2,1),(HH85-0.05)))</f>
        <v>1</v>
      </c>
      <c r="HJ85" s="15">
        <f>MIN(1,MAX(VLOOKUP(($AJ85-$AI85-$AH85-$AG85-$AF85-$AE85*(1+HJ$3))/$AJ85,'Технический лист'!$A:$B,2,1),(HI85-0.05)))</f>
        <v>1</v>
      </c>
      <c r="HK85" s="15">
        <f>MIN(1,MAX(VLOOKUP(($AJ85-$AI85-$AH85-$AG85-$AF85-$AE85*(1+HK$3))/$AJ85,'Технический лист'!$A:$B,2,1),(HJ85-0.05)))</f>
        <v>1</v>
      </c>
      <c r="HL85" s="15">
        <f>MIN(1,MAX(VLOOKUP(($AJ85-$AI85-$AH85-$AG85-$AF85-$AE85*(1+HL$3))/$AJ85,'Технический лист'!$A:$B,2,1),(HK85-0.05)))</f>
        <v>1</v>
      </c>
      <c r="HM85" s="15">
        <f>MIN(1,MAX(VLOOKUP(($AJ85-$AI85-$AH85-$AG85-$AF85-$AE85*(1+HM$3))/$AJ85,'Технический лист'!$A:$B,2,1),(HL85-0.05)))</f>
        <v>1</v>
      </c>
      <c r="HN85" s="15">
        <f>MIN(1,MAX(VLOOKUP(($AJ85-$AI85-$AH85-$AG85-$AF85-$AE85*(1+HN$3))/$AJ85,'Технический лист'!$A:$B,2,1),(HM85-0.05)))</f>
        <v>1</v>
      </c>
      <c r="HO85" s="15">
        <f>MIN(1,MAX(VLOOKUP(($AJ85-$AI85-$AH85-$AG85-$AF85-$AE85*(1+HO$3))/$AJ85,'Технический лист'!$A:$B,2,1),(HN85-0.05)))</f>
        <v>1</v>
      </c>
      <c r="HP85" s="15">
        <f>MIN(1,MAX(VLOOKUP(($AJ85-$AI85-$AH85-$AG85-$AF85-$AE85*(1+HP$3))/$AJ85,'Технический лист'!$A:$B,2,1),(HO85-0.05)))</f>
        <v>1</v>
      </c>
      <c r="HQ85" s="15">
        <f>MIN(1,MAX(VLOOKUP(($AJ85-$AI85-$AH85-$AG85-$AF85-$AE85*(1+HQ$3))/$AJ85,'Технический лист'!$A:$B,2,1),(HP85-0.05)))</f>
        <v>1</v>
      </c>
      <c r="HR85" s="15">
        <f>MIN(1,MAX(VLOOKUP(($AJ85-$AI85-$AH85-$AG85-$AF85-$AE85*(1+HR$3))/$AJ85,'Технический лист'!$A:$B,2,1),(HQ85-0.05)))</f>
        <v>1</v>
      </c>
      <c r="HS85" s="15">
        <f>MIN(1,MAX(VLOOKUP(($AJ85-$AI85-$AH85-$AG85-$AF85-$AE85*(1+HS$3))/$AJ85,'Технический лист'!$A:$B,2,1),(HR85-0.05)))</f>
        <v>1</v>
      </c>
      <c r="HT85" s="15">
        <f>MIN(1,MAX(VLOOKUP(($AJ85-$AI85-$AH85-$AG85-$AF85-$AE85*(1+HT$3))/$AJ85,'Технический лист'!$A:$B,2,1),(HS85-0.05)))</f>
        <v>1</v>
      </c>
      <c r="HU85" s="15">
        <f>MIN(1,MAX(VLOOKUP(($AJ85-$AI85-$AH85-$AG85-$AF85-$AE85*(1+HU$3))/$AJ85,'Технический лист'!$A:$B,2,1),(HT85-0.05)))</f>
        <v>1</v>
      </c>
      <c r="HV85" s="15">
        <f>MIN(1,MAX(VLOOKUP(($AJ85-$AI85-$AH85-$AG85-$AF85-$AE85*(1+HV$3))/$AJ85,'Технический лист'!$A:$B,2,1),(HU85-0.05)))</f>
        <v>1</v>
      </c>
      <c r="HW85" s="15">
        <f>MIN(1,MAX(VLOOKUP(($AJ85-$AI85-$AH85-$AG85-$AF85-$AE85*(1+HW$3))/$AJ85,'Технический лист'!$A:$B,2,1),(HV85-0.05)))</f>
        <v>1</v>
      </c>
      <c r="HX85" s="15">
        <f>MIN(1,MAX(VLOOKUP(($AJ85-$AI85-$AH85-$AG85-$AF85-$AE85*(1+HX$3))/$AJ85,'Технический лист'!$A:$B,2,1),(HW85-0.05)))</f>
        <v>1</v>
      </c>
      <c r="HY85" s="15">
        <f>MIN(1,MAX(VLOOKUP(($AJ85-$AI85-$AH85-$AG85-$AF85-$AE85*(1+HY$3))/$AJ85,'Технический лист'!$A:$B,2,1),(HX85-0.05)))</f>
        <v>1</v>
      </c>
      <c r="HZ85" s="15">
        <f>MIN(1,MAX(VLOOKUP(($AJ85-$AI85-$AH85-$AG85-$AF85-$AE85*(1+HZ$3))/$AJ85,'Технический лист'!$A:$B,2,1),(HY85-0.05)))</f>
        <v>1</v>
      </c>
      <c r="IA85" s="15">
        <f>MIN(1,MAX(VLOOKUP(($AJ85-$AI85-$AH85-$AG85-$AF85-$AE85*(1+IA$3))/$AJ85,'Технический лист'!$A:$B,2,1),(HZ85-0.05)))</f>
        <v>1</v>
      </c>
      <c r="IB85" s="15">
        <f>MIN(1,MAX(VLOOKUP(($AJ85-$AI85-$AH85-$AG85-$AF85-$AE85*(1+IB$3))/$AJ85,'Технический лист'!$A:$B,2,1),(IA85-0.05)))</f>
        <v>1</v>
      </c>
      <c r="IC85" s="15">
        <f>MIN(1,MAX(VLOOKUP(($AJ85-$AI85-$AH85-$AG85-$AF85-$AE85*(1+IC$3))/$AJ85,'Технический лист'!$A:$B,2,1),(IB85-0.05)))</f>
        <v>1</v>
      </c>
      <c r="ID85" s="15">
        <f>MIN(1,MAX(VLOOKUP(($AJ85-$AI85-$AH85-$AG85-$AF85-$AE85*(1+ID$3))/$AJ85,'Технический лист'!$A:$B,2,1),(IC85-0.05)))</f>
        <v>1</v>
      </c>
      <c r="IE85" s="15">
        <f>MIN(1,MAX(VLOOKUP(($AJ85-$AI85-$AH85-$AG85-$AF85-$AE85*(1+IE$3))/$AJ85,'Технический лист'!$A:$B,2,1),(ID85-0.05)))</f>
        <v>1</v>
      </c>
      <c r="IF85" s="15">
        <f>MIN(1,MAX(VLOOKUP(($AJ85-$AI85-$AH85-$AG85-$AF85-$AE85*(1+IF$3))/$AJ85,'Технический лист'!$A:$B,2,1),(IE85-0.05)))</f>
        <v>1</v>
      </c>
      <c r="IG85" s="15">
        <f>MIN(1,MAX(VLOOKUP(($AJ85-$AI85-$AH85-$AG85-$AF85-$AE85*(1+IG$3))/$AJ85,'Технический лист'!$A:$B,2,1),(IF85-0.05)))</f>
        <v>1</v>
      </c>
      <c r="IH85" s="15">
        <f>MIN(1,MAX(VLOOKUP(($AJ85-$AI85-$AH85-$AG85-$AF85-$AE85*(1+IH$3))/$AJ85,'Технический лист'!$A:$B,2,1),(IG85-0.05)))</f>
        <v>1</v>
      </c>
      <c r="II85" s="15">
        <f>MIN(1,MAX(VLOOKUP(($AJ85-$AI85-$AH85-$AG85-$AF85-$AE85*(1+II$3))/$AJ85,'Технический лист'!$A:$B,2,1),(IH85-0.05)))</f>
        <v>1</v>
      </c>
      <c r="IJ85" s="15">
        <f>MIN(1,MAX(VLOOKUP(($AJ85-$AI85-$AH85-$AG85-$AF85-$AE85*(1+IJ$3))/$AJ85,'Технический лист'!$A:$B,2,1),(II85-0.05)))</f>
        <v>1</v>
      </c>
      <c r="IK85" s="15">
        <f>MIN(1,MAX(VLOOKUP(($AJ85-$AI85-$AH85-$AG85-$AF85-$AE85*(1+IK$3))/$AJ85,'Технический лист'!$A:$B,2,1),(IJ85-0.05)))</f>
        <v>1</v>
      </c>
      <c r="IL85" s="15">
        <f>MIN(1,MAX(VLOOKUP(($AJ85-$AI85-$AH85-$AG85-$AF85-$AE85*(1+IL$3))/$AJ85,'Технический лист'!$A:$B,2,1),(IK85-0.05)))</f>
        <v>1</v>
      </c>
      <c r="IM85" s="15">
        <f>MIN(1,MAX(VLOOKUP(($AJ85-$AI85-$AH85-$AG85-$AF85-$AE85*(1+IM$3))/$AJ85,'Технический лист'!$A:$B,2,1),(IL85-0.05)))</f>
        <v>1</v>
      </c>
      <c r="IN85" s="15">
        <f>MIN(1,MAX(VLOOKUP(($AJ85-$AI85-$AH85-$AG85-$AF85-$AE85*(1+IN$3))/$AJ85,'Технический лист'!$A:$B,2,1),(IM85-0.05)))</f>
        <v>1</v>
      </c>
      <c r="IO85" s="15">
        <f>MIN(1,MAX(VLOOKUP(($AJ85-$AI85-$AH85-$AG85-$AF85-$AE85*(1+IO$3))/$AJ85,'Технический лист'!$A:$B,2,1),(IN85-0.05)))</f>
        <v>1</v>
      </c>
      <c r="IP85" s="15">
        <f>MIN(1,MAX(VLOOKUP(($AJ85-$AI85-$AH85-$AG85-$AF85-$AE85*(1+IP$3))/$AJ85,'Технический лист'!$A:$B,2,1),(IO85-0.05)))</f>
        <v>1</v>
      </c>
      <c r="IQ85" s="15">
        <f>MIN(1,MAX(VLOOKUP(($AJ85-$AI85-$AH85-$AG85-$AF85-$AE85*(1+IQ$3))/$AJ85,'Технический лист'!$A:$B,2,1),(IP85-0.05)))</f>
        <v>1</v>
      </c>
      <c r="IR85" s="15">
        <f>MIN(1,MAX(VLOOKUP(($AJ85-$AI85-$AH85-$AG85-$AF85-$AE85*(1+IR$3))/$AJ85,'Технический лист'!$A:$B,2,1),(IQ85-0.05)))</f>
        <v>1</v>
      </c>
    </row>
    <row r="86" spans="1:252" ht="43.75">
      <c r="A86" s="89" t="s">
        <v>515</v>
      </c>
      <c r="B86" s="90">
        <v>5</v>
      </c>
      <c r="C86" s="5" t="s">
        <v>68</v>
      </c>
      <c r="D86" s="91">
        <v>31405</v>
      </c>
      <c r="E86" s="91" t="s">
        <v>344</v>
      </c>
      <c r="F86" s="92" t="s">
        <v>77</v>
      </c>
      <c r="G86" s="91" t="s">
        <v>50</v>
      </c>
      <c r="H86" s="91" t="s">
        <v>21</v>
      </c>
      <c r="I86" s="91" t="s">
        <v>83</v>
      </c>
      <c r="J86" s="91" t="s">
        <v>27</v>
      </c>
      <c r="K86" s="91">
        <v>3220</v>
      </c>
      <c r="L86" s="85" t="s">
        <v>64</v>
      </c>
      <c r="M86" s="91" t="s">
        <v>17</v>
      </c>
      <c r="N86" s="91" t="s">
        <v>191</v>
      </c>
      <c r="O86" s="91" t="s">
        <v>192</v>
      </c>
      <c r="P86" s="89" t="s">
        <v>197</v>
      </c>
      <c r="Q86" s="91" t="s">
        <v>251</v>
      </c>
      <c r="R86" s="91" t="s">
        <v>251</v>
      </c>
      <c r="S86" s="82">
        <v>154692</v>
      </c>
      <c r="T86" s="82">
        <v>498065807</v>
      </c>
      <c r="U86" s="81">
        <v>2225</v>
      </c>
      <c r="V86" s="81">
        <v>0</v>
      </c>
      <c r="W86" s="82">
        <v>721376516</v>
      </c>
      <c r="X86" s="112">
        <v>69</v>
      </c>
      <c r="Y86" s="112" t="s">
        <v>418</v>
      </c>
      <c r="Z86" s="113">
        <v>8</v>
      </c>
      <c r="AA86" s="113">
        <v>8</v>
      </c>
      <c r="AB86" s="113">
        <v>4</v>
      </c>
      <c r="AC86" s="99">
        <v>5160.46</v>
      </c>
      <c r="AD86" s="99">
        <f t="shared" si="35"/>
        <v>749.44999999999982</v>
      </c>
      <c r="AE86" s="99">
        <v>5909.91</v>
      </c>
      <c r="AF86" s="98">
        <f>(Z86+AA86+AB86)*'Ставки аренды'!$B$3/X86</f>
        <v>202.89855072463769</v>
      </c>
      <c r="AG86" s="114">
        <f>'Ставки перевалки'!$B$9*'Курсы валют'!$B$2</f>
        <v>1220.8879999999999</v>
      </c>
      <c r="AH86" s="94">
        <v>0</v>
      </c>
      <c r="AI86" s="115">
        <f t="shared" si="36"/>
        <v>25463.145349999999</v>
      </c>
      <c r="AJ86" s="117">
        <f>Цены!$C$5*'Курсы валют'!$B$2</f>
        <v>35863.584999999999</v>
      </c>
      <c r="AK86" s="94">
        <f>AJ86/Цены!$B$1</f>
        <v>470</v>
      </c>
      <c r="AL86" s="95">
        <f t="shared" si="24"/>
        <v>7333.6965507246377</v>
      </c>
      <c r="AM86" s="95">
        <f t="shared" si="25"/>
        <v>28529.88844927536</v>
      </c>
      <c r="AN86" s="94">
        <f t="shared" si="22"/>
        <v>32796.841900724634</v>
      </c>
      <c r="AO86" s="118">
        <f t="shared" si="23"/>
        <v>8.5511336897172024E-2</v>
      </c>
      <c r="AP86" s="96">
        <f t="shared" si="26"/>
        <v>0.20448866310282807</v>
      </c>
      <c r="AQ86" s="96">
        <f t="shared" si="27"/>
        <v>0.16478860102803441</v>
      </c>
      <c r="AR86" s="96">
        <f t="shared" si="28"/>
        <v>0.80585690437601287</v>
      </c>
      <c r="AS86" s="122">
        <v>1</v>
      </c>
      <c r="AT86" s="121">
        <f t="shared" si="29"/>
        <v>154692</v>
      </c>
      <c r="AU86" s="83">
        <v>0.75</v>
      </c>
      <c r="AV86" s="119">
        <f t="shared" si="30"/>
        <v>6.5736704773807872E-2</v>
      </c>
      <c r="AW86" s="120">
        <f t="shared" si="31"/>
        <v>0.22426329522619221</v>
      </c>
      <c r="AX86" s="120">
        <f t="shared" si="32"/>
        <v>0.18456323315139858</v>
      </c>
      <c r="AY86" s="120">
        <f t="shared" si="33"/>
        <v>0.82297565888010293</v>
      </c>
      <c r="AZ86" s="15">
        <f>MIN(IF($AU86=100%,1,1+VLOOKUP(($AJ86-$AI86-$AH86-$AG86-$AF86-$AE86*(1+AZ$3))/$AJ86,'Технический лист'!$I:$J,2,1)-VLOOKUP($AO86,'Технический лист'!$I:$J,2,1)),1+(1-$AU86))</f>
        <v>1.25</v>
      </c>
      <c r="BA86" s="15">
        <f>MIN(IF($AU86=100%,1,1+VLOOKUP(($AJ86-$AI86-$AH86-$AG86-$AF86-$AE86*(1+BA$3))/$AJ86,'Технический лист'!$I:$J,2,1)-VLOOKUP($AO86,'Технический лист'!$I:$J,2,1)),1+(1-$AU86))</f>
        <v>1.25</v>
      </c>
      <c r="BB86" s="15">
        <f>MIN(IF($AU86=100%,1,1+VLOOKUP(($AJ86-$AI86-$AH86-$AG86-$AF86-$AE86*(1+BB$3))/$AJ86,'Технический лист'!$I:$J,2,1)-VLOOKUP($AO86,'Технический лист'!$I:$J,2,1)),1+(1-$AU86))</f>
        <v>1.25</v>
      </c>
      <c r="BC86" s="15">
        <f>MIN(IF($AU86=100%,1,1+VLOOKUP(($AJ86-$AI86-$AH86-$AG86-$AF86-$AE86*(1+BC$3))/$AJ86,'Технический лист'!$I:$J,2,1)-VLOOKUP($AO86,'Технический лист'!$I:$J,2,1)),1+(1-$AU86))</f>
        <v>1.25</v>
      </c>
      <c r="BD86" s="15">
        <f>MIN(IF($AU86=100%,1,1+VLOOKUP(($AJ86-$AI86-$AH86-$AG86-$AF86-$AE86*(1+BD$3))/$AJ86,'Технический лист'!$I:$J,2,1)-VLOOKUP($AO86,'Технический лист'!$I:$J,2,1)),1+(1-$AU86))</f>
        <v>1.25</v>
      </c>
      <c r="BE86" s="15">
        <f>MIN(IF($AU86=100%,1,1+VLOOKUP(($AJ86-$AI86-$AH86-$AG86-$AF86-$AE86*(1+BE$3))/$AJ86,'Технический лист'!$I:$J,2,1)-VLOOKUP($AO86,'Технический лист'!$I:$J,2,1)),1+(1-$AU86))</f>
        <v>1.25</v>
      </c>
      <c r="BF86" s="15">
        <f>MIN(IF($AU86=100%,1,1+VLOOKUP(($AJ86-$AI86-$AH86-$AG86-$AF86-$AE86*(1+BF$3))/$AJ86,'Технический лист'!$I:$J,2,1)-VLOOKUP($AO86,'Технический лист'!$I:$J,2,1)),1+(1-$AU86))</f>
        <v>1.25</v>
      </c>
      <c r="BG86" s="15">
        <f>MIN(IF($AU86=100%,1,1+VLOOKUP(($AJ86-$AI86-$AH86-$AG86-$AF86-$AE86*(1+BG$3))/$AJ86,'Технический лист'!$I:$J,2,1)-VLOOKUP($AO86,'Технический лист'!$I:$J,2,1)),1+(1-$AU86))</f>
        <v>1.25</v>
      </c>
      <c r="BH86" s="15">
        <f>MIN(IF($AU86=100%,1,1+VLOOKUP(($AJ86-$AI86-$AH86-$AG86-$AF86-$AE86*(1+BH$3))/$AJ86,'Технический лист'!$I:$J,2,1)-VLOOKUP($AO86,'Технический лист'!$I:$J,2,1)),1+(1-$AU86))</f>
        <v>1.25</v>
      </c>
      <c r="BI86" s="15">
        <f>MIN(IF($AU86=100%,1,1+VLOOKUP(($AJ86-$AI86-$AH86-$AG86-$AF86-$AE86*(1+BI$3))/$AJ86,'Технический лист'!$I:$J,2,1)-VLOOKUP($AO86,'Технический лист'!$I:$J,2,1)),1+(1-$AU86))</f>
        <v>1.25</v>
      </c>
      <c r="BJ86" s="15">
        <f>MIN(IF($AU86=100%,1,1+VLOOKUP(($AJ86-$AI86-$AH86-$AG86-$AF86-$AE86*(1+BJ$3))/$AJ86,'Технический лист'!$I:$J,2,1)-VLOOKUP($AO86,'Технический лист'!$I:$J,2,1)),1+(1-$AU86))</f>
        <v>1.25</v>
      </c>
      <c r="BK86" s="15">
        <f>MIN(IF($AU86=100%,1,1+VLOOKUP(($AJ86-$AI86-$AH86-$AG86-$AF86-$AE86*(1+BK$3))/$AJ86,'Технический лист'!$I:$J,2,1)-VLOOKUP($AO86,'Технический лист'!$I:$J,2,1)),1+(1-$AU86))</f>
        <v>1.25</v>
      </c>
      <c r="BL86" s="15">
        <f>MIN(IF($AU86=100%,1,1+VLOOKUP(($AJ86-$AI86-$AH86-$AG86-$AF86-$AE86*(1+BL$3))/$AJ86,'Технический лист'!$I:$J,2,1)-VLOOKUP($AO86,'Технический лист'!$I:$J,2,1)),1+(1-$AU86))</f>
        <v>1.25</v>
      </c>
      <c r="BM86" s="15">
        <f>MIN(IF($AU86=100%,1,1+VLOOKUP(($AJ86-$AI86-$AH86-$AG86-$AF86-$AE86*(1+BM$3))/$AJ86,'Технический лист'!$I:$J,2,1)-VLOOKUP($AO86,'Технический лист'!$I:$J,2,1)),1+(1-$AU86))</f>
        <v>1.25</v>
      </c>
      <c r="BN86" s="15">
        <f>MIN(IF($AU86=100%,1,1+VLOOKUP(($AJ86-$AI86-$AH86-$AG86-$AF86-$AE86*(1+BN$3))/$AJ86,'Технический лист'!$I:$J,2,1)-VLOOKUP($AO86,'Технический лист'!$I:$J,2,1)),1+(1-$AU86))</f>
        <v>1.25</v>
      </c>
      <c r="BO86" s="15">
        <f>MIN(IF($AU86=100%,1,1+VLOOKUP(($AJ86-$AI86-$AH86-$AG86-$AF86-$AE86*(1+BO$3))/$AJ86,'Технический лист'!$I:$J,2,1)-VLOOKUP($AO86,'Технический лист'!$I:$J,2,1)),1+(1-$AU86))</f>
        <v>1.25</v>
      </c>
      <c r="BP86" s="15">
        <f>MIN(IF($AU86=100%,1,1+VLOOKUP(($AJ86-$AI86-$AH86-$AG86-$AF86-$AE86*(1+BP$3))/$AJ86,'Технический лист'!$I:$J,2,1)-VLOOKUP($AO86,'Технический лист'!$I:$J,2,1)),1+(1-$AU86))</f>
        <v>1.25</v>
      </c>
      <c r="BQ86" s="15">
        <f>MIN(IF($AU86=100%,1,1+VLOOKUP(($AJ86-$AI86-$AH86-$AG86-$AF86-$AE86*(1+BQ$3))/$AJ86,'Технический лист'!$I:$J,2,1)-VLOOKUP($AO86,'Технический лист'!$I:$J,2,1)),1+(1-$AU86))</f>
        <v>1.25</v>
      </c>
      <c r="BR86" s="15">
        <f>MIN(IF($AU86=100%,1,1+VLOOKUP(($AJ86-$AI86-$AH86-$AG86-$AF86-$AE86*(1+BR$3))/$AJ86,'Технический лист'!$I:$J,2,1)-VLOOKUP($AO86,'Технический лист'!$I:$J,2,1)),1+(1-$AU86))</f>
        <v>1.25</v>
      </c>
      <c r="BS86" s="15">
        <f>MIN(IF($AU86=100%,1,1+VLOOKUP(($AJ86-$AI86-$AH86-$AG86-$AF86-$AE86*(1+BS$3))/$AJ86,'Технический лист'!$I:$J,2,1)-VLOOKUP($AO86,'Технический лист'!$I:$J,2,1)),1+(1-$AU86))</f>
        <v>1.25</v>
      </c>
      <c r="BT86" s="15">
        <f>MIN(IF($AU86=100%,1,1+VLOOKUP(($AJ86-$AI86-$AH86-$AG86-$AF86-$AE86*(1+BT$3))/$AJ86,'Технический лист'!$I:$J,2,1)-VLOOKUP($AO86,'Технический лист'!$I:$J,2,1)),1+(1-$AU86))</f>
        <v>1.25</v>
      </c>
      <c r="BU86" s="15">
        <f>MIN(IF($AU86=100%,1,1+VLOOKUP(($AJ86-$AI86-$AH86-$AG86-$AF86-$AE86*(1+BU$3))/$AJ86,'Технический лист'!$I:$J,2,1)-VLOOKUP($AO86,'Технический лист'!$I:$J,2,1)),1+(1-$AU86))</f>
        <v>1.25</v>
      </c>
      <c r="BV86" s="15">
        <f>MIN(IF($AU86=100%,1,1+VLOOKUP(($AJ86-$AI86-$AH86-$AG86-$AF86-$AE86*(1+BV$3))/$AJ86,'Технический лист'!$I:$J,2,1)-VLOOKUP($AO86,'Технический лист'!$I:$J,2,1)),1+(1-$AU86))</f>
        <v>1.25</v>
      </c>
      <c r="BW86" s="15">
        <f>MIN(IF($AU86=100%,1,1+VLOOKUP(($AJ86-$AI86-$AH86-$AG86-$AF86-$AE86*(1+BW$3))/$AJ86,'Технический лист'!$I:$J,2,1)-VLOOKUP($AO86,'Технический лист'!$I:$J,2,1)),1+(1-$AU86))</f>
        <v>1.25</v>
      </c>
      <c r="BX86" s="15">
        <f>MIN(IF($AU86=100%,1,1+VLOOKUP(($AJ86-$AI86-$AH86-$AG86-$AF86-$AE86*(1+BX$3))/$AJ86,'Технический лист'!$I:$J,2,1)-VLOOKUP($AO86,'Технический лист'!$I:$J,2,1)),1+(1-$AU86))</f>
        <v>1.25</v>
      </c>
      <c r="BY86" s="15">
        <f>MIN(IF($AU86=100%,1,1+VLOOKUP(($AJ86-$AI86-$AH86-$AG86-$AF86-$AE86*(1+BY$3))/$AJ86,'Технический лист'!$I:$J,2,1)-VLOOKUP($AO86,'Технический лист'!$I:$J,2,1)),1+(1-$AU86))</f>
        <v>1.25</v>
      </c>
      <c r="BZ86" s="15">
        <f>MIN(IF($AU86=100%,1,1+VLOOKUP(($AJ86-$AI86-$AH86-$AG86-$AF86-$AE86*(1+BZ$3))/$AJ86,'Технический лист'!$I:$J,2,1)-VLOOKUP($AO86,'Технический лист'!$I:$J,2,1)),1+(1-$AU86))</f>
        <v>1.25</v>
      </c>
      <c r="CA86" s="15">
        <f>MIN(IF($AU86=100%,1,1+VLOOKUP(($AJ86-$AI86-$AH86-$AG86-$AF86-$AE86*(1+CA$3))/$AJ86,'Технический лист'!$I:$J,2,1)-VLOOKUP($AO86,'Технический лист'!$I:$J,2,1)),1+(1-$AU86))</f>
        <v>1.25</v>
      </c>
      <c r="CB86" s="15">
        <f>MIN(IF($AU86=100%,1,1+VLOOKUP(($AJ86-$AI86-$AH86-$AG86-$AF86-$AE86*(1+CB$3))/$AJ86,'Технический лист'!$I:$J,2,1)-VLOOKUP($AO86,'Технический лист'!$I:$J,2,1)),1+(1-$AU86))</f>
        <v>1.25</v>
      </c>
      <c r="CC86" s="15">
        <f>MIN(IF($AU86=100%,1,1+VLOOKUP(($AJ86-$AI86-$AH86-$AG86-$AF86-$AE86*(1+CC$3))/$AJ86,'Технический лист'!$I:$J,2,1)-VLOOKUP($AO86,'Технический лист'!$I:$J,2,1)),1+(1-$AU86))</f>
        <v>1.25</v>
      </c>
      <c r="CD86" s="15">
        <f>MIN(IF($AU86=100%,1,1+VLOOKUP(($AJ86-$AI86-$AH86-$AG86-$AF86-$AE86*(1+CD$3))/$AJ86,'Технический лист'!$I:$J,2,1)-VLOOKUP($AO86,'Технический лист'!$I:$J,2,1)),1+(1-$AU86))</f>
        <v>1.25</v>
      </c>
      <c r="CE86" s="15">
        <f>MIN(IF($AU86=100%,1,1+VLOOKUP(($AJ86-$AI86-$AH86-$AG86-$AF86-$AE86*(1+CE$3))/$AJ86,'Технический лист'!$I:$J,2,1)-VLOOKUP($AO86,'Технический лист'!$I:$J,2,1)),1+(1-$AU86))</f>
        <v>1.25</v>
      </c>
      <c r="CF86" s="15">
        <f>MIN(IF($AU86=100%,1,1+VLOOKUP(($AJ86-$AI86-$AH86-$AG86-$AF86-$AE86*(1+CF$3))/$AJ86,'Технический лист'!$I:$J,2,1)-VLOOKUP($AO86,'Технический лист'!$I:$J,2,1)),1+(1-$AU86))</f>
        <v>1.25</v>
      </c>
      <c r="CG86" s="15">
        <f>MIN(IF($AU86=100%,1,1+VLOOKUP(($AJ86-$AI86-$AH86-$AG86-$AF86-$AE86*(1+CG$3))/$AJ86,'Технический лист'!$I:$J,2,1)-VLOOKUP($AO86,'Технический лист'!$I:$J,2,1)),1+(1-$AU86))</f>
        <v>1.25</v>
      </c>
      <c r="CH86" s="15">
        <f>MIN(IF($AU86=100%,1,1+VLOOKUP(($AJ86-$AI86-$AH86-$AG86-$AF86-$AE86*(1+CH$3))/$AJ86,'Технический лист'!$I:$J,2,1)-VLOOKUP($AO86,'Технический лист'!$I:$J,2,1)),1+(1-$AU86))</f>
        <v>1.25</v>
      </c>
      <c r="CI86" s="15">
        <f>MIN(IF($AU86=100%,1,1+VLOOKUP(($AJ86-$AI86-$AH86-$AG86-$AF86-$AE86*(1+CI$3))/$AJ86,'Технический лист'!$I:$J,2,1)-VLOOKUP($AO86,'Технический лист'!$I:$J,2,1)),1+(1-$AU86))</f>
        <v>1.25</v>
      </c>
      <c r="CJ86" s="15">
        <f>MIN(IF($AU86=100%,1,1+VLOOKUP(($AJ86-$AI86-$AH86-$AG86-$AF86-$AE86*(1+CJ$3))/$AJ86,'Технический лист'!$I:$J,2,1)-VLOOKUP($AO86,'Технический лист'!$I:$J,2,1)),1+(1-$AU86))</f>
        <v>1.25</v>
      </c>
      <c r="CK86" s="15">
        <f>MIN(IF($AU86=100%,1,1+VLOOKUP(($AJ86-$AI86-$AH86-$AG86-$AF86-$AE86*(1+CK$3))/$AJ86,'Технический лист'!$I:$J,2,1)-VLOOKUP($AO86,'Технический лист'!$I:$J,2,1)),1+(1-$AU86))</f>
        <v>1.25</v>
      </c>
      <c r="CL86" s="15">
        <f>MIN(IF($AU86=100%,1,1+VLOOKUP(($AJ86-$AI86-$AH86-$AG86-$AF86-$AE86*(1+CL$3))/$AJ86,'Технический лист'!$I:$J,2,1)-VLOOKUP($AO86,'Технический лист'!$I:$J,2,1)),1+(1-$AU86))</f>
        <v>1.25</v>
      </c>
      <c r="CM86" s="15">
        <f>MIN(IF($AU86=100%,1,1+VLOOKUP(($AJ86-$AI86-$AH86-$AG86-$AF86-$AE86*(1+CM$3))/$AJ86,'Технический лист'!$I:$J,2,1)-VLOOKUP($AO86,'Технический лист'!$I:$J,2,1)),1+(1-$AU86))</f>
        <v>1.25</v>
      </c>
      <c r="CN86" s="15">
        <f>MIN(IF($AU86=100%,1,1+VLOOKUP(($AJ86-$AI86-$AH86-$AG86-$AF86-$AE86*(1+CN$3))/$AJ86,'Технический лист'!$I:$J,2,1)-VLOOKUP($AO86,'Технический лист'!$I:$J,2,1)),1+(1-$AU86))</f>
        <v>1.25</v>
      </c>
      <c r="CO86" s="15">
        <f>MIN(IF($AU86=100%,1,1+VLOOKUP(($AJ86-$AI86-$AH86-$AG86-$AF86-$AE86*(1+CO$3))/$AJ86,'Технический лист'!$I:$J,2,1)-VLOOKUP($AO86,'Технический лист'!$I:$J,2,1)),1+(1-$AU86))</f>
        <v>1.25</v>
      </c>
      <c r="CP86" s="15">
        <f>MIN(IF($AU86=100%,1,1+VLOOKUP(($AJ86-$AI86-$AH86-$AG86-$AF86-$AE86*(1+CP$3))/$AJ86,'Технический лист'!$I:$J,2,1)-VLOOKUP($AO86,'Технический лист'!$I:$J,2,1)),1+(1-$AU86))</f>
        <v>1.25</v>
      </c>
      <c r="CQ86" s="15">
        <f>MIN(IF($AU86=100%,1,1+VLOOKUP(($AJ86-$AI86-$AH86-$AG86-$AF86-$AE86*(1+CQ$3))/$AJ86,'Технический лист'!$I:$J,2,1)-VLOOKUP($AO86,'Технический лист'!$I:$J,2,1)),1+(1-$AU86))</f>
        <v>1.25</v>
      </c>
      <c r="CR86" s="15">
        <f>MIN(IF($AU86=100%,1,1+VLOOKUP(($AJ86-$AI86-$AH86-$AG86-$AF86-$AE86*(1+CR$3))/$AJ86,'Технический лист'!$I:$J,2,1)-VLOOKUP($AO86,'Технический лист'!$I:$J,2,1)),1+(1-$AU86))</f>
        <v>1.25</v>
      </c>
      <c r="CS86" s="15">
        <f>MIN(IF($AU86=100%,1,1+VLOOKUP(($AJ86-$AI86-$AH86-$AG86-$AF86-$AE86*(1+CS$3))/$AJ86,'Технический лист'!$I:$J,2,1)-VLOOKUP($AO86,'Технический лист'!$I:$J,2,1)),1+(1-$AU86))</f>
        <v>1.25</v>
      </c>
      <c r="CT86" s="15">
        <f>MIN(IF($AU86=100%,1,1+VLOOKUP(($AJ86-$AI86-$AH86-$AG86-$AF86-$AE86*(1+CT$3))/$AJ86,'Технический лист'!$I:$J,2,1)-VLOOKUP($AO86,'Технический лист'!$I:$J,2,1)),1+(1-$AU86))</f>
        <v>1.25</v>
      </c>
      <c r="CU86" s="15">
        <f>MIN(IF($AU86=100%,1,1+VLOOKUP(($AJ86-$AI86-$AH86-$AG86-$AF86-$AE86*(1+CU$3))/$AJ86,'Технический лист'!$I:$J,2,1)-VLOOKUP($AO86,'Технический лист'!$I:$J,2,1)),1+(1-$AU86))</f>
        <v>1.25</v>
      </c>
      <c r="CV86" s="15">
        <f>MIN(IF($AU86=100%,1,1+VLOOKUP(($AJ86-$AI86-$AH86-$AG86-$AF86-$AE86*(1+CV$3))/$AJ86,'Технический лист'!$I:$J,2,1)-VLOOKUP($AO86,'Технический лист'!$I:$J,2,1)),1+(1-$AU86))</f>
        <v>1.25</v>
      </c>
      <c r="CW86" s="15">
        <f>MIN(IF($AU86=100%,1,1+VLOOKUP(($AJ86-$AI86-$AH86-$AG86-$AF86-$AE86*(1+CW$3))/$AJ86,'Технический лист'!$I:$J,2,1)-VLOOKUP($AO86,'Технический лист'!$I:$J,2,1)),1+(1-$AU86))</f>
        <v>1.25</v>
      </c>
      <c r="CX86" s="15">
        <f>MIN(IF($AU86=100%,1,1+VLOOKUP(($AJ86-$AI86-$AH86-$AG86-$AF86-$AE86*(1+CX$3))/$AJ86,'Технический лист'!$I:$J,2,1)-VLOOKUP($AO86,'Технический лист'!$I:$J,2,1)),1+(1-$AU86))</f>
        <v>1.25</v>
      </c>
      <c r="CY86" s="15">
        <f>MIN(IF($AU86=100%,1,1+VLOOKUP(($AJ86-$AI86-$AH86-$AG86-$AF86-$AE86*(1+CY$3))/$AJ86,'Технический лист'!$I:$J,2,1)-VLOOKUP($AO86,'Технический лист'!$I:$J,2,1)),1+(1-$AU86))</f>
        <v>1.25</v>
      </c>
      <c r="CZ86" s="15">
        <f>MIN(IF($AU86=100%,1,1+VLOOKUP(($AJ86-$AI86-$AH86-$AG86-$AF86-$AE86*(1+CZ$3))/$AJ86,'Технический лист'!$I:$J,2,1)-VLOOKUP($AO86,'Технический лист'!$I:$J,2,1)),1+(1-$AU86))</f>
        <v>1.25</v>
      </c>
      <c r="DA86" s="15">
        <f>MIN(IF($AU86=100%,1,1+VLOOKUP(($AJ86-$AI86-$AH86-$AG86-$AF86-$AE86*(1+DA$3))/$AJ86,'Технический лист'!$I:$J,2,1)-VLOOKUP($AO86,'Технический лист'!$I:$J,2,1)),1+(1-$AU86))</f>
        <v>1.2299999999999998</v>
      </c>
      <c r="DB86" s="15">
        <f>MIN(IF($AU86=100%,1,1+VLOOKUP(($AJ86-$AI86-$AH86-$AG86-$AF86-$AE86*(1+DB$3))/$AJ86,'Технический лист'!$I:$J,2,1)-VLOOKUP($AO86,'Технический лист'!$I:$J,2,1)),1+(1-$AU86))</f>
        <v>1.2299999999999998</v>
      </c>
      <c r="DC86" s="15">
        <f>MIN(IF($AU86=100%,1,1+VLOOKUP(($AJ86-$AI86-$AH86-$AG86-$AF86-$AE86*(1+DC$3))/$AJ86,'Технический лист'!$I:$J,2,1)-VLOOKUP($AO86,'Технический лист'!$I:$J,2,1)),1+(1-$AU86))</f>
        <v>1.2299999999999998</v>
      </c>
      <c r="DD86" s="15">
        <f>MIN(IF($AU86=100%,1,1+VLOOKUP(($AJ86-$AI86-$AH86-$AG86-$AF86-$AE86*(1+DD$3))/$AJ86,'Технический лист'!$I:$J,2,1)-VLOOKUP($AO86,'Технический лист'!$I:$J,2,1)),1+(1-$AU86))</f>
        <v>1.2299999999999998</v>
      </c>
      <c r="DE86" s="15">
        <f>MIN(IF($AU86=100%,1,1+VLOOKUP(($AJ86-$AI86-$AH86-$AG86-$AF86-$AE86*(1+DE$3))/$AJ86,'Технический лист'!$I:$J,2,1)-VLOOKUP($AO86,'Технический лист'!$I:$J,2,1)),1+(1-$AU86))</f>
        <v>1.2299999999999998</v>
      </c>
      <c r="DF86" s="15">
        <f>MIN(IF($AU86=100%,1,1+VLOOKUP(($AJ86-$AI86-$AH86-$AG86-$AF86-$AE86*(1+DF$3))/$AJ86,'Технический лист'!$I:$J,2,1)-VLOOKUP($AO86,'Технический лист'!$I:$J,2,1)),1+(1-$AU86))</f>
        <v>1.2299999999999998</v>
      </c>
      <c r="DG86" s="15">
        <f>MIN(IF($AU86=100%,1,1+VLOOKUP(($AJ86-$AI86-$AH86-$AG86-$AF86-$AE86*(1+DG$3))/$AJ86,'Технический лист'!$I:$J,2,1)-VLOOKUP($AO86,'Технический лист'!$I:$J,2,1)),1+(1-$AU86))</f>
        <v>1.1950000000000001</v>
      </c>
      <c r="DH86" s="15">
        <f>MIN(IF($AU86=100%,1,1+VLOOKUP(($AJ86-$AI86-$AH86-$AG86-$AF86-$AE86*(1+DH$3))/$AJ86,'Технический лист'!$I:$J,2,1)-VLOOKUP($AO86,'Технический лист'!$I:$J,2,1)),1+(1-$AU86))</f>
        <v>1.1950000000000001</v>
      </c>
      <c r="DI86" s="15">
        <f>MIN(IF($AU86=100%,1,1+VLOOKUP(($AJ86-$AI86-$AH86-$AG86-$AF86-$AE86*(1+DI$3))/$AJ86,'Технический лист'!$I:$J,2,1)-VLOOKUP($AO86,'Технический лист'!$I:$J,2,1)),1+(1-$AU86))</f>
        <v>1.1950000000000001</v>
      </c>
      <c r="DJ86" s="15">
        <f>MIN(IF($AU86=100%,1,1+VLOOKUP(($AJ86-$AI86-$AH86-$AG86-$AF86-$AE86*(1+DJ$3))/$AJ86,'Технический лист'!$I:$J,2,1)-VLOOKUP($AO86,'Технический лист'!$I:$J,2,1)),1+(1-$AU86))</f>
        <v>1.1950000000000001</v>
      </c>
      <c r="DK86" s="15">
        <f>MIN(IF($AU86=100%,1,1+VLOOKUP(($AJ86-$AI86-$AH86-$AG86-$AF86-$AE86*(1+DK$3))/$AJ86,'Технический лист'!$I:$J,2,1)-VLOOKUP($AO86,'Технический лист'!$I:$J,2,1)),1+(1-$AU86))</f>
        <v>1.1950000000000001</v>
      </c>
      <c r="DL86" s="15">
        <f>MIN(IF($AU86=100%,1,1+VLOOKUP(($AJ86-$AI86-$AH86-$AG86-$AF86-$AE86*(1+DL$3))/$AJ86,'Технический лист'!$I:$J,2,1)-VLOOKUP($AO86,'Технический лист'!$I:$J,2,1)),1+(1-$AU86))</f>
        <v>1.1950000000000001</v>
      </c>
      <c r="DM86" s="15">
        <f>MIN(IF($AU86=100%,1,1+VLOOKUP(($AJ86-$AI86-$AH86-$AG86-$AF86-$AE86*(1+DM$3))/$AJ86,'Технический лист'!$I:$J,2,1)-VLOOKUP($AO86,'Технический лист'!$I:$J,2,1)),1+(1-$AU86))</f>
        <v>1.1599999999999999</v>
      </c>
      <c r="DN86" s="15">
        <f>MIN(IF($AU86=100%,1,1+VLOOKUP(($AJ86-$AI86-$AH86-$AG86-$AF86-$AE86*(1+DN$3))/$AJ86,'Технический лист'!$I:$J,2,1)-VLOOKUP($AO86,'Технический лист'!$I:$J,2,1)),1+(1-$AU86))</f>
        <v>1.1599999999999999</v>
      </c>
      <c r="DO86" s="15">
        <f>MIN(IF($AU86=100%,1,1+VLOOKUP(($AJ86-$AI86-$AH86-$AG86-$AF86-$AE86*(1+DO$3))/$AJ86,'Технический лист'!$I:$J,2,1)-VLOOKUP($AO86,'Технический лист'!$I:$J,2,1)),1+(1-$AU86))</f>
        <v>1.1599999999999999</v>
      </c>
      <c r="DP86" s="15">
        <f>MIN(IF($AU86=100%,1,1+VLOOKUP(($AJ86-$AI86-$AH86-$AG86-$AF86-$AE86*(1+DP$3))/$AJ86,'Технический лист'!$I:$J,2,1)-VLOOKUP($AO86,'Технический лист'!$I:$J,2,1)),1+(1-$AU86))</f>
        <v>1.1599999999999999</v>
      </c>
      <c r="DQ86" s="15">
        <f>MIN(IF($AU86=100%,1,1+VLOOKUP(($AJ86-$AI86-$AH86-$AG86-$AF86-$AE86*(1+DQ$3))/$AJ86,'Технический лист'!$I:$J,2,1)-VLOOKUP($AO86,'Технический лист'!$I:$J,2,1)),1+(1-$AU86))</f>
        <v>1.1599999999999999</v>
      </c>
      <c r="DR86" s="15">
        <f>MIN(IF($AU86=100%,1,1+VLOOKUP(($AJ86-$AI86-$AH86-$AG86-$AF86-$AE86*(1+DR$3))/$AJ86,'Технический лист'!$I:$J,2,1)-VLOOKUP($AO86,'Технический лист'!$I:$J,2,1)),1+(1-$AU86))</f>
        <v>1.1599999999999999</v>
      </c>
      <c r="DS86" s="15">
        <f>MIN(IF($AU86=100%,1,1+VLOOKUP(($AJ86-$AI86-$AH86-$AG86-$AF86-$AE86*(1+DS$3))/$AJ86,'Технический лист'!$I:$J,2,1)-VLOOKUP($AO86,'Технический лист'!$I:$J,2,1)),1+(1-$AU86))</f>
        <v>1.1250000000000002</v>
      </c>
      <c r="DT86" s="15">
        <f>MIN(IF($AU86=100%,1,1+VLOOKUP(($AJ86-$AI86-$AH86-$AG86-$AF86-$AE86*(1+DT$3))/$AJ86,'Технический лист'!$I:$J,2,1)-VLOOKUP($AO86,'Технический лист'!$I:$J,2,1)),1+(1-$AU86))</f>
        <v>1.1250000000000002</v>
      </c>
      <c r="DU86" s="15">
        <f>MIN(IF($AU86=100%,1,1+VLOOKUP(($AJ86-$AI86-$AH86-$AG86-$AF86-$AE86*(1+DU$3))/$AJ86,'Технический лист'!$I:$J,2,1)-VLOOKUP($AO86,'Технический лист'!$I:$J,2,1)),1+(1-$AU86))</f>
        <v>1.1250000000000002</v>
      </c>
      <c r="DV86" s="15">
        <f>MIN(IF($AU86=100%,1,1+VLOOKUP(($AJ86-$AI86-$AH86-$AG86-$AF86-$AE86*(1+DV$3))/$AJ86,'Технический лист'!$I:$J,2,1)-VLOOKUP($AO86,'Технический лист'!$I:$J,2,1)),1+(1-$AU86))</f>
        <v>1.1250000000000002</v>
      </c>
      <c r="DW86" s="15">
        <f>MIN(IF($AU86=100%,1,1+VLOOKUP(($AJ86-$AI86-$AH86-$AG86-$AF86-$AE86*(1+DW$3))/$AJ86,'Технический лист'!$I:$J,2,1)-VLOOKUP($AO86,'Технический лист'!$I:$J,2,1)),1+(1-$AU86))</f>
        <v>1.1250000000000002</v>
      </c>
      <c r="DX86" s="15">
        <f>MIN(IF($AU86=100%,1,1+VLOOKUP(($AJ86-$AI86-$AH86-$AG86-$AF86-$AE86*(1+DX$3))/$AJ86,'Технический лист'!$I:$J,2,1)-VLOOKUP($AO86,'Технический лист'!$I:$J,2,1)),1+(1-$AU86))</f>
        <v>1.1250000000000002</v>
      </c>
      <c r="DY86" s="15">
        <f>MIN(IF($AU86=100%,1,1+VLOOKUP(($AJ86-$AI86-$AH86-$AG86-$AF86-$AE86*(1+DY$3))/$AJ86,'Технический лист'!$I:$J,2,1)-VLOOKUP($AO86,'Технический лист'!$I:$J,2,1)),1+(1-$AU86))</f>
        <v>1.0900000000000001</v>
      </c>
      <c r="DZ86" s="15">
        <f>MIN(IF($AU86=100%,1,1+VLOOKUP(($AJ86-$AI86-$AH86-$AG86-$AF86-$AE86*(1+DZ$3))/$AJ86,'Технический лист'!$I:$J,2,1)-VLOOKUP($AO86,'Технический лист'!$I:$J,2,1)),1+(1-$AU86))</f>
        <v>1.0900000000000001</v>
      </c>
      <c r="EA86" s="15">
        <f>MIN(IF($AU86=100%,1,1+VLOOKUP(($AJ86-$AI86-$AH86-$AG86-$AF86-$AE86*(1+EA$3))/$AJ86,'Технический лист'!$I:$J,2,1)-VLOOKUP($AO86,'Технический лист'!$I:$J,2,1)),1+(1-$AU86))</f>
        <v>1.0900000000000001</v>
      </c>
      <c r="EB86" s="15">
        <f>MIN(IF($AU86=100%,1,1+VLOOKUP(($AJ86-$AI86-$AH86-$AG86-$AF86-$AE86*(1+EB$3))/$AJ86,'Технический лист'!$I:$J,2,1)-VLOOKUP($AO86,'Технический лист'!$I:$J,2,1)),1+(1-$AU86))</f>
        <v>1.0900000000000001</v>
      </c>
      <c r="EC86" s="15">
        <f>MIN(IF($AU86=100%,1,1+VLOOKUP(($AJ86-$AI86-$AH86-$AG86-$AF86-$AE86*(1+EC$3))/$AJ86,'Технический лист'!$I:$J,2,1)-VLOOKUP($AO86,'Технический лист'!$I:$J,2,1)),1+(1-$AU86))</f>
        <v>1.0900000000000001</v>
      </c>
      <c r="ED86" s="15">
        <f>MIN(IF($AU86=100%,1,1+VLOOKUP(($AJ86-$AI86-$AH86-$AG86-$AF86-$AE86*(1+ED$3))/$AJ86,'Технический лист'!$I:$J,2,1)-VLOOKUP($AO86,'Технический лист'!$I:$J,2,1)),1+(1-$AU86))</f>
        <v>1.0900000000000001</v>
      </c>
      <c r="EE86" s="15">
        <f>MIN(IF($AU86=100%,1,1+VLOOKUP(($AJ86-$AI86-$AH86-$AG86-$AF86-$AE86*(1+EE$3))/$AJ86,'Технический лист'!$I:$J,2,1)-VLOOKUP($AO86,'Технический лист'!$I:$J,2,1)),1+(1-$AU86))</f>
        <v>1.0599999999999998</v>
      </c>
      <c r="EF86" s="15">
        <f>MIN(IF($AU86=100%,1,1+VLOOKUP(($AJ86-$AI86-$AH86-$AG86-$AF86-$AE86*(1+EF$3))/$AJ86,'Технический лист'!$I:$J,2,1)-VLOOKUP($AO86,'Технический лист'!$I:$J,2,1)),1+(1-$AU86))</f>
        <v>1.0599999999999998</v>
      </c>
      <c r="EG86" s="15">
        <f>MIN(IF($AU86=100%,1,1+VLOOKUP(($AJ86-$AI86-$AH86-$AG86-$AF86-$AE86*(1+EG$3))/$AJ86,'Технический лист'!$I:$J,2,1)-VLOOKUP($AO86,'Технический лист'!$I:$J,2,1)),1+(1-$AU86))</f>
        <v>1.0599999999999998</v>
      </c>
      <c r="EH86" s="15">
        <f>MIN(IF($AU86=100%,1,1+VLOOKUP(($AJ86-$AI86-$AH86-$AG86-$AF86-$AE86*(1+EH$3))/$AJ86,'Технический лист'!$I:$J,2,1)-VLOOKUP($AO86,'Технический лист'!$I:$J,2,1)),1+(1-$AU86))</f>
        <v>1.0599999999999998</v>
      </c>
      <c r="EI86" s="15">
        <f>MIN(IF($AU86=100%,1,1+VLOOKUP(($AJ86-$AI86-$AH86-$AG86-$AF86-$AE86*(1+EI$3))/$AJ86,'Технический лист'!$I:$J,2,1)-VLOOKUP($AO86,'Технический лист'!$I:$J,2,1)),1+(1-$AU86))</f>
        <v>1.0599999999999998</v>
      </c>
      <c r="EJ86" s="15">
        <f>MIN(IF($AU86=100%,1,1+VLOOKUP(($AJ86-$AI86-$AH86-$AG86-$AF86-$AE86*(1+EJ$3))/$AJ86,'Технический лист'!$I:$J,2,1)-VLOOKUP($AO86,'Технический лист'!$I:$J,2,1)),1+(1-$AU86))</f>
        <v>1.0599999999999998</v>
      </c>
      <c r="EK86" s="15">
        <f>MIN(IF($AU86=100%,1,1+VLOOKUP(($AJ86-$AI86-$AH86-$AG86-$AF86-$AE86*(1+EK$3))/$AJ86,'Технический лист'!$I:$J,2,1)-VLOOKUP($AO86,'Технический лист'!$I:$J,2,1)),1+(1-$AU86))</f>
        <v>1.03</v>
      </c>
      <c r="EL86" s="15">
        <f>MIN(IF($AU86=100%,1,1+VLOOKUP(($AJ86-$AI86-$AH86-$AG86-$AF86-$AE86*(1+EL$3))/$AJ86,'Технический лист'!$I:$J,2,1)-VLOOKUP($AO86,'Технический лист'!$I:$J,2,1)),1+(1-$AU86))</f>
        <v>1.03</v>
      </c>
      <c r="EM86" s="15">
        <f>MIN(IF($AU86=100%,1,1+VLOOKUP(($AJ86-$AI86-$AH86-$AG86-$AF86-$AE86*(1+EM$3))/$AJ86,'Технический лист'!$I:$J,2,1)-VLOOKUP($AO86,'Технический лист'!$I:$J,2,1)),1+(1-$AU86))</f>
        <v>1.03</v>
      </c>
      <c r="EN86" s="15">
        <f>MIN(IF($AU86=100%,1,1+VLOOKUP(($AJ86-$AI86-$AH86-$AG86-$AF86-$AE86*(1+EN$3))/$AJ86,'Технический лист'!$I:$J,2,1)-VLOOKUP($AO86,'Технический лист'!$I:$J,2,1)),1+(1-$AU86))</f>
        <v>1.03</v>
      </c>
      <c r="EO86" s="15">
        <f>MIN(IF($AU86=100%,1,1+VLOOKUP(($AJ86-$AI86-$AH86-$AG86-$AF86-$AE86*(1+EO$3))/$AJ86,'Технический лист'!$I:$J,2,1)-VLOOKUP($AO86,'Технический лист'!$I:$J,2,1)),1+(1-$AU86))</f>
        <v>1.03</v>
      </c>
      <c r="EP86" s="15">
        <f>MIN(IF($AU86=100%,1,1+VLOOKUP(($AJ86-$AI86-$AH86-$AG86-$AF86-$AE86*(1+EP$3))/$AJ86,'Технический лист'!$I:$J,2,1)-VLOOKUP($AO86,'Технический лист'!$I:$J,2,1)),1+(1-$AU86))</f>
        <v>1.03</v>
      </c>
      <c r="EQ86" s="15">
        <f>MIN(IF($AU86=100%,1,1+VLOOKUP(($AJ86-$AI86-$AH86-$AG86-$AF86-$AE86*(1+EQ$3))/$AJ86,'Технический лист'!$I:$J,2,1)-VLOOKUP($AO86,'Технический лист'!$I:$J,2,1)),1+(1-$AU86))</f>
        <v>1.0000000000000002</v>
      </c>
      <c r="ER86" s="15">
        <f>MIN(IF($AU86=100%,1,1+VLOOKUP(($AJ86-$AI86-$AH86-$AG86-$AF86-$AE86*(1+ER$3))/$AJ86,'Технический лист'!$I:$J,2,1)-VLOOKUP($AO86,'Технический лист'!$I:$J,2,1)),1+(1-$AU86))</f>
        <v>1.0000000000000002</v>
      </c>
      <c r="ES86" s="15">
        <f>MIN(IF($AU86=100%,1,1+VLOOKUP(($AJ86-$AI86-$AH86-$AG86-$AF86-$AE86*(1+ES$3))/$AJ86,'Технический лист'!$I:$J,2,1)-VLOOKUP($AO86,'Технический лист'!$I:$J,2,1)),1+(1-$AU86))</f>
        <v>1.0000000000000002</v>
      </c>
      <c r="ET86" s="15">
        <f>MIN(IF($AU86=100%,1,1+VLOOKUP(($AJ86-$AI86-$AH86-$AG86-$AF86-$AE86*(1+ET$3))/$AJ86,'Технический лист'!$I:$J,2,1)-VLOOKUP($AO86,'Технический лист'!$I:$J,2,1)),1+(1-$AU86))</f>
        <v>1.0000000000000002</v>
      </c>
      <c r="EU86" s="15">
        <f>MIN(IF($AU86=100%,1,1+VLOOKUP(($AJ86-$AI86-$AH86-$AG86-$AF86-$AE86*(1+EU$3))/$AJ86,'Технический лист'!$I:$J,2,1)-VLOOKUP($AO86,'Технический лист'!$I:$J,2,1)),1+(1-$AU86))</f>
        <v>1.0000000000000002</v>
      </c>
      <c r="EV86" s="111">
        <v>1</v>
      </c>
      <c r="EW86" s="15">
        <f>MIN(1,MAX(VLOOKUP(($AJ86-$AI86-$AH86-$AG86-$AF86-$AE86*(1+EW$3))/$AJ86,'Технический лист'!$A:$B,2,1),(EV86-0.05)))</f>
        <v>1</v>
      </c>
      <c r="EX86" s="15">
        <f>MIN(1,MAX(VLOOKUP(($AJ86-$AI86-$AH86-$AG86-$AF86-$AE86*(1+EX$3))/$AJ86,'Технический лист'!$A:$B,2,1),(EW86-0.05)))</f>
        <v>1</v>
      </c>
      <c r="EY86" s="15">
        <f>MIN(1,MAX(VLOOKUP(($AJ86-$AI86-$AH86-$AG86-$AF86-$AE86*(1+EY$3))/$AJ86,'Технический лист'!$A:$B,2,1),(EX86-0.05)))</f>
        <v>1</v>
      </c>
      <c r="EZ86" s="15">
        <f>MIN(1,MAX(VLOOKUP(($AJ86-$AI86-$AH86-$AG86-$AF86-$AE86*(1+EZ$3))/$AJ86,'Технический лист'!$A:$B,2,1),(EY86-0.05)))</f>
        <v>1</v>
      </c>
      <c r="FA86" s="15">
        <f>MIN(1,MAX(VLOOKUP(($AJ86-$AI86-$AH86-$AG86-$AF86-$AE86*(1+FA$3))/$AJ86,'Технический лист'!$A:$B,2,1),(EZ86-0.05)))</f>
        <v>1</v>
      </c>
      <c r="FB86" s="15">
        <f>MIN(1,MAX(VLOOKUP(($AJ86-$AI86-$AH86-$AG86-$AF86-$AE86*(1+FB$3))/$AJ86,'Технический лист'!$A:$B,2,1),(FA86-0.05)))</f>
        <v>1</v>
      </c>
      <c r="FC86" s="15">
        <f>MIN(1,MAX(VLOOKUP(($AJ86-$AI86-$AH86-$AG86-$AF86-$AE86*(1+FC$3))/$AJ86,'Технический лист'!$A:$B,2,1),(FB86-0.05)))</f>
        <v>1</v>
      </c>
      <c r="FD86" s="15">
        <f>MIN(1,MAX(VLOOKUP(($AJ86-$AI86-$AH86-$AG86-$AF86-$AE86*(1+FD$3))/$AJ86,'Технический лист'!$A:$B,2,1),(FC86-0.05)))</f>
        <v>1</v>
      </c>
      <c r="FE86" s="15">
        <f>MIN(1,MAX(VLOOKUP(($AJ86-$AI86-$AH86-$AG86-$AF86-$AE86*(1+FE$3))/$AJ86,'Технический лист'!$A:$B,2,1),(FD86-0.05)))</f>
        <v>1</v>
      </c>
      <c r="FF86" s="15">
        <f>MIN(1,MAX(VLOOKUP(($AJ86-$AI86-$AH86-$AG86-$AF86-$AE86*(1+FF$3))/$AJ86,'Технический лист'!$A:$B,2,1),(FE86-0.05)))</f>
        <v>1</v>
      </c>
      <c r="FG86" s="15">
        <f>MIN(1,MAX(VLOOKUP(($AJ86-$AI86-$AH86-$AG86-$AF86-$AE86*(1+FG$3))/$AJ86,'Технический лист'!$A:$B,2,1),(FF86-0.05)))</f>
        <v>1</v>
      </c>
      <c r="FH86" s="15">
        <f>MIN(1,MAX(VLOOKUP(($AJ86-$AI86-$AH86-$AG86-$AF86-$AE86*(1+FH$3))/$AJ86,'Технический лист'!$A:$B,2,1),(FG86-0.05)))</f>
        <v>1</v>
      </c>
      <c r="FI86" s="15">
        <f>MIN(1,MAX(VLOOKUP(($AJ86-$AI86-$AH86-$AG86-$AF86-$AE86*(1+FI$3))/$AJ86,'Технический лист'!$A:$B,2,1),(FH86-0.05)))</f>
        <v>1</v>
      </c>
      <c r="FJ86" s="15">
        <f>MIN(1,MAX(VLOOKUP(($AJ86-$AI86-$AH86-$AG86-$AF86-$AE86*(1+FJ$3))/$AJ86,'Технический лист'!$A:$B,2,1),(FI86-0.05)))</f>
        <v>1</v>
      </c>
      <c r="FK86" s="15">
        <f>MIN(1,MAX(VLOOKUP(($AJ86-$AI86-$AH86-$AG86-$AF86-$AE86*(1+FK$3))/$AJ86,'Технический лист'!$A:$B,2,1),(FJ86-0.05)))</f>
        <v>1</v>
      </c>
      <c r="FL86" s="15">
        <f>MIN(1,MAX(VLOOKUP(($AJ86-$AI86-$AH86-$AG86-$AF86-$AE86*(1+FL$3))/$AJ86,'Технический лист'!$A:$B,2,1),(FK86-0.05)))</f>
        <v>1</v>
      </c>
      <c r="FM86" s="15">
        <f>MIN(1,MAX(VLOOKUP(($AJ86-$AI86-$AH86-$AG86-$AF86-$AE86*(1+FM$3))/$AJ86,'Технический лист'!$A:$B,2,1),(FL86-0.05)))</f>
        <v>1</v>
      </c>
      <c r="FN86" s="15">
        <f>MIN(1,MAX(VLOOKUP(($AJ86-$AI86-$AH86-$AG86-$AF86-$AE86*(1+FN$3))/$AJ86,'Технический лист'!$A:$B,2,1),(FM86-0.05)))</f>
        <v>1</v>
      </c>
      <c r="FO86" s="15">
        <f>MIN(1,MAX(VLOOKUP(($AJ86-$AI86-$AH86-$AG86-$AF86-$AE86*(1+FO$3))/$AJ86,'Технический лист'!$A:$B,2,1),(FN86-0.05)))</f>
        <v>1</v>
      </c>
      <c r="FP86" s="15">
        <f>MIN(1,MAX(VLOOKUP(($AJ86-$AI86-$AH86-$AG86-$AF86-$AE86*(1+FP$3))/$AJ86,'Технический лист'!$A:$B,2,1),(FO86-0.05)))</f>
        <v>1</v>
      </c>
      <c r="FQ86" s="15">
        <f>MIN(1,MAX(VLOOKUP(($AJ86-$AI86-$AH86-$AG86-$AF86-$AE86*(1+FQ$3))/$AJ86,'Технический лист'!$A:$B,2,1),(FP86-0.05)))</f>
        <v>1</v>
      </c>
      <c r="FR86" s="15">
        <f>MIN(1,MAX(VLOOKUP(($AJ86-$AI86-$AH86-$AG86-$AF86-$AE86*(1+FR$3))/$AJ86,'Технический лист'!$A:$B,2,1),(FQ86-0.05)))</f>
        <v>1</v>
      </c>
      <c r="FS86" s="15">
        <f>MIN(1,MAX(VLOOKUP(($AJ86-$AI86-$AH86-$AG86-$AF86-$AE86*(1+FS$3))/$AJ86,'Технический лист'!$A:$B,2,1),(FR86-0.05)))</f>
        <v>1</v>
      </c>
      <c r="FT86" s="15">
        <f>MIN(1,MAX(VLOOKUP(($AJ86-$AI86-$AH86-$AG86-$AF86-$AE86*(1+FT$3))/$AJ86,'Технический лист'!$A:$B,2,1),(FS86-0.05)))</f>
        <v>1</v>
      </c>
      <c r="FU86" s="15">
        <f>MIN(1,MAX(VLOOKUP(($AJ86-$AI86-$AH86-$AG86-$AF86-$AE86*(1+FU$3))/$AJ86,'Технический лист'!$A:$B,2,1),(FT86-0.05)))</f>
        <v>1</v>
      </c>
      <c r="FV86" s="15">
        <f>MIN(1,MAX(VLOOKUP(($AJ86-$AI86-$AH86-$AG86-$AF86-$AE86*(1+FV$3))/$AJ86,'Технический лист'!$A:$B,2,1),(FU86-0.05)))</f>
        <v>1</v>
      </c>
      <c r="FW86" s="15">
        <f>MIN(1,MAX(VLOOKUP(($AJ86-$AI86-$AH86-$AG86-$AF86-$AE86*(1+FW$3))/$AJ86,'Технический лист'!$A:$B,2,1),(FV86-0.05)))</f>
        <v>1</v>
      </c>
      <c r="FX86" s="15">
        <f>MIN(1,MAX(VLOOKUP(($AJ86-$AI86-$AH86-$AG86-$AF86-$AE86*(1+FX$3))/$AJ86,'Технический лист'!$A:$B,2,1),(FW86-0.05)))</f>
        <v>1</v>
      </c>
      <c r="FY86" s="15">
        <f>MIN(1,MAX(VLOOKUP(($AJ86-$AI86-$AH86-$AG86-$AF86-$AE86*(1+FY$3))/$AJ86,'Технический лист'!$A:$B,2,1),(FX86-0.05)))</f>
        <v>1</v>
      </c>
      <c r="FZ86" s="15">
        <f>MIN(1,MAX(VLOOKUP(($AJ86-$AI86-$AH86-$AG86-$AF86-$AE86*(1+FZ$3))/$AJ86,'Технический лист'!$A:$B,2,1),(FY86-0.05)))</f>
        <v>1</v>
      </c>
      <c r="GA86" s="15">
        <f>MIN(1,MAX(VLOOKUP(($AJ86-$AI86-$AH86-$AG86-$AF86-$AE86*(1+GA$3))/$AJ86,'Технический лист'!$A:$B,2,1),(FZ86-0.05)))</f>
        <v>1</v>
      </c>
      <c r="GB86" s="15">
        <f>MIN(1,MAX(VLOOKUP(($AJ86-$AI86-$AH86-$AG86-$AF86-$AE86*(1+GB$3))/$AJ86,'Технический лист'!$A:$B,2,1),(GA86-0.05)))</f>
        <v>1</v>
      </c>
      <c r="GC86" s="15">
        <f>MIN(1,MAX(VLOOKUP(($AJ86-$AI86-$AH86-$AG86-$AF86-$AE86*(1+GC$3))/$AJ86,'Технический лист'!$A:$B,2,1),(GB86-0.05)))</f>
        <v>1</v>
      </c>
      <c r="GD86" s="15">
        <f>MIN(1,MAX(VLOOKUP(($AJ86-$AI86-$AH86-$AG86-$AF86-$AE86*(1+GD$3))/$AJ86,'Технический лист'!$A:$B,2,1),(GC86-0.05)))</f>
        <v>1</v>
      </c>
      <c r="GE86" s="15">
        <f>MIN(1,MAX(VLOOKUP(($AJ86-$AI86-$AH86-$AG86-$AF86-$AE86*(1+GE$3))/$AJ86,'Технический лист'!$A:$B,2,1),(GD86-0.05)))</f>
        <v>1</v>
      </c>
      <c r="GF86" s="15">
        <f>MIN(1,MAX(VLOOKUP(($AJ86-$AI86-$AH86-$AG86-$AF86-$AE86*(1+GF$3))/$AJ86,'Технический лист'!$A:$B,2,1),(GE86-0.05)))</f>
        <v>1</v>
      </c>
      <c r="GG86" s="15">
        <f>MIN(1,MAX(VLOOKUP(($AJ86-$AI86-$AH86-$AG86-$AF86-$AE86*(1+GG$3))/$AJ86,'Технический лист'!$A:$B,2,1),(GF86-0.05)))</f>
        <v>1</v>
      </c>
      <c r="GH86" s="15">
        <f>MIN(1,MAX(VLOOKUP(($AJ86-$AI86-$AH86-$AG86-$AF86-$AE86*(1+GH$3))/$AJ86,'Технический лист'!$A:$B,2,1),(GG86-0.05)))</f>
        <v>1</v>
      </c>
      <c r="GI86" s="15">
        <f>MIN(1,MAX(VLOOKUP(($AJ86-$AI86-$AH86-$AG86-$AF86-$AE86*(1+GI$3))/$AJ86,'Технический лист'!$A:$B,2,1),(GH86-0.05)))</f>
        <v>1</v>
      </c>
      <c r="GJ86" s="15">
        <f>MIN(1,MAX(VLOOKUP(($AJ86-$AI86-$AH86-$AG86-$AF86-$AE86*(1+GJ$3))/$AJ86,'Технический лист'!$A:$B,2,1),(GI86-0.05)))</f>
        <v>1</v>
      </c>
      <c r="GK86" s="15">
        <f>MIN(1,MAX(VLOOKUP(($AJ86-$AI86-$AH86-$AG86-$AF86-$AE86*(1+GK$3))/$AJ86,'Технический лист'!$A:$B,2,1),(GJ86-0.05)))</f>
        <v>1</v>
      </c>
      <c r="GL86" s="15">
        <f>MIN(1,MAX(VLOOKUP(($AJ86-$AI86-$AH86-$AG86-$AF86-$AE86*(1+GL$3))/$AJ86,'Технический лист'!$A:$B,2,1),(GK86-0.05)))</f>
        <v>1</v>
      </c>
      <c r="GM86" s="15">
        <f>MIN(1,MAX(VLOOKUP(($AJ86-$AI86-$AH86-$AG86-$AF86-$AE86*(1+GM$3))/$AJ86,'Технический лист'!$A:$B,2,1),(GL86-0.05)))</f>
        <v>1</v>
      </c>
      <c r="GN86" s="15">
        <f>MIN(1,MAX(VLOOKUP(($AJ86-$AI86-$AH86-$AG86-$AF86-$AE86*(1+GN$3))/$AJ86,'Технический лист'!$A:$B,2,1),(GM86-0.05)))</f>
        <v>1</v>
      </c>
      <c r="GO86" s="15">
        <f>MIN(1,MAX(VLOOKUP(($AJ86-$AI86-$AH86-$AG86-$AF86-$AE86*(1+GO$3))/$AJ86,'Технический лист'!$A:$B,2,1),(GN86-0.05)))</f>
        <v>1</v>
      </c>
      <c r="GP86" s="15">
        <f>MIN(1,MAX(VLOOKUP(($AJ86-$AI86-$AH86-$AG86-$AF86-$AE86*(1+GP$3))/$AJ86,'Технический лист'!$A:$B,2,1),(GO86-0.05)))</f>
        <v>1</v>
      </c>
      <c r="GQ86" s="15">
        <f>MIN(1,MAX(VLOOKUP(($AJ86-$AI86-$AH86-$AG86-$AF86-$AE86*(1+GQ$3))/$AJ86,'Технический лист'!$A:$B,2,1),(GP86-0.05)))</f>
        <v>1</v>
      </c>
      <c r="GR86" s="15">
        <f>MIN(1,MAX(VLOOKUP(($AJ86-$AI86-$AH86-$AG86-$AF86-$AE86*(1+GR$3))/$AJ86,'Технический лист'!$A:$B,2,1),(GQ86-0.05)))</f>
        <v>1</v>
      </c>
      <c r="GS86" s="15">
        <f>MIN(1,MAX(VLOOKUP(($AJ86-$AI86-$AH86-$AG86-$AF86-$AE86*(1+GS$3))/$AJ86,'Технический лист'!$A:$B,2,1),(GR86-0.05)))</f>
        <v>1</v>
      </c>
      <c r="GT86" s="15">
        <f>MIN(1,MAX(VLOOKUP(($AJ86-$AI86-$AH86-$AG86-$AF86-$AE86*(1+GT$3))/$AJ86,'Технический лист'!$A:$B,2,1),(GS86-0.05)))</f>
        <v>1</v>
      </c>
      <c r="GU86" s="15">
        <f>MIN(1,MAX(VLOOKUP(($AJ86-$AI86-$AH86-$AG86-$AF86-$AE86*(1+GU$3))/$AJ86,'Технический лист'!$A:$B,2,1),(GT86-0.05)))</f>
        <v>1</v>
      </c>
      <c r="GV86" s="15">
        <f>MIN(1,MAX(VLOOKUP(($AJ86-$AI86-$AH86-$AG86-$AF86-$AE86*(1+GV$3))/$AJ86,'Технический лист'!$A:$B,2,1),(GU86-0.05)))</f>
        <v>1</v>
      </c>
      <c r="GW86" s="15">
        <f>MIN(1,MAX(VLOOKUP(($AJ86-$AI86-$AH86-$AG86-$AF86-$AE86*(1+GW$3))/$AJ86,'Технический лист'!$A:$B,2,1),(GV86-0.05)))</f>
        <v>1</v>
      </c>
      <c r="GX86" s="15">
        <f>MIN(1,MAX(VLOOKUP(($AJ86-$AI86-$AH86-$AG86-$AF86-$AE86*(1+GX$3))/$AJ86,'Технический лист'!$A:$B,2,1),(GW86-0.05)))</f>
        <v>1</v>
      </c>
      <c r="GY86" s="15">
        <f>MIN(1,MAX(VLOOKUP(($AJ86-$AI86-$AH86-$AG86-$AF86-$AE86*(1+GY$3))/$AJ86,'Технический лист'!$A:$B,2,1),(GX86-0.05)))</f>
        <v>1</v>
      </c>
      <c r="GZ86" s="15">
        <f>MIN(1,MAX(VLOOKUP(($AJ86-$AI86-$AH86-$AG86-$AF86-$AE86*(1+GZ$3))/$AJ86,'Технический лист'!$A:$B,2,1),(GY86-0.05)))</f>
        <v>1</v>
      </c>
      <c r="HA86" s="15">
        <f>MIN(1,MAX(VLOOKUP(($AJ86-$AI86-$AH86-$AG86-$AF86-$AE86*(1+HA$3))/$AJ86,'Технический лист'!$A:$B,2,1),(GZ86-0.05)))</f>
        <v>1</v>
      </c>
      <c r="HB86" s="15">
        <f>MIN(1,MAX(VLOOKUP(($AJ86-$AI86-$AH86-$AG86-$AF86-$AE86*(1+HB$3))/$AJ86,'Технический лист'!$A:$B,2,1),(HA86-0.05)))</f>
        <v>1</v>
      </c>
      <c r="HC86" s="15">
        <f>MIN(1,MAX(VLOOKUP(($AJ86-$AI86-$AH86-$AG86-$AF86-$AE86*(1+HC$3))/$AJ86,'Технический лист'!$A:$B,2,1),(HB86-0.05)))</f>
        <v>1</v>
      </c>
      <c r="HD86" s="15">
        <f>MIN(1,MAX(VLOOKUP(($AJ86-$AI86-$AH86-$AG86-$AF86-$AE86*(1+HD$3))/$AJ86,'Технический лист'!$A:$B,2,1),(HC86-0.05)))</f>
        <v>1</v>
      </c>
      <c r="HE86" s="15">
        <f>MIN(1,MAX(VLOOKUP(($AJ86-$AI86-$AH86-$AG86-$AF86-$AE86*(1+HE$3))/$AJ86,'Технический лист'!$A:$B,2,1),(HD86-0.05)))</f>
        <v>1</v>
      </c>
      <c r="HF86" s="15">
        <f>MIN(1,MAX(VLOOKUP(($AJ86-$AI86-$AH86-$AG86-$AF86-$AE86*(1+HF$3))/$AJ86,'Технический лист'!$A:$B,2,1),(HE86-0.05)))</f>
        <v>1</v>
      </c>
      <c r="HG86" s="15">
        <f>MIN(1,MAX(VLOOKUP(($AJ86-$AI86-$AH86-$AG86-$AF86-$AE86*(1+HG$3))/$AJ86,'Технический лист'!$A:$B,2,1),(HF86-0.05)))</f>
        <v>1</v>
      </c>
      <c r="HH86" s="15">
        <f>MIN(1,MAX(VLOOKUP(($AJ86-$AI86-$AH86-$AG86-$AF86-$AE86*(1+HH$3))/$AJ86,'Технический лист'!$A:$B,2,1),(HG86-0.05)))</f>
        <v>1</v>
      </c>
      <c r="HI86" s="15">
        <f>MIN(1,MAX(VLOOKUP(($AJ86-$AI86-$AH86-$AG86-$AF86-$AE86*(1+HI$3))/$AJ86,'Технический лист'!$A:$B,2,1),(HH86-0.05)))</f>
        <v>1</v>
      </c>
      <c r="HJ86" s="15">
        <f>MIN(1,MAX(VLOOKUP(($AJ86-$AI86-$AH86-$AG86-$AF86-$AE86*(1+HJ$3))/$AJ86,'Технический лист'!$A:$B,2,1),(HI86-0.05)))</f>
        <v>1</v>
      </c>
      <c r="HK86" s="15">
        <f>MIN(1,MAX(VLOOKUP(($AJ86-$AI86-$AH86-$AG86-$AF86-$AE86*(1+HK$3))/$AJ86,'Технический лист'!$A:$B,2,1),(HJ86-0.05)))</f>
        <v>1</v>
      </c>
      <c r="HL86" s="15">
        <f>MIN(1,MAX(VLOOKUP(($AJ86-$AI86-$AH86-$AG86-$AF86-$AE86*(1+HL$3))/$AJ86,'Технический лист'!$A:$B,2,1),(HK86-0.05)))</f>
        <v>1</v>
      </c>
      <c r="HM86" s="15">
        <f>MIN(1,MAX(VLOOKUP(($AJ86-$AI86-$AH86-$AG86-$AF86-$AE86*(1+HM$3))/$AJ86,'Технический лист'!$A:$B,2,1),(HL86-0.05)))</f>
        <v>1</v>
      </c>
      <c r="HN86" s="15">
        <f>MIN(1,MAX(VLOOKUP(($AJ86-$AI86-$AH86-$AG86-$AF86-$AE86*(1+HN$3))/$AJ86,'Технический лист'!$A:$B,2,1),(HM86-0.05)))</f>
        <v>1</v>
      </c>
      <c r="HO86" s="15">
        <f>MIN(1,MAX(VLOOKUP(($AJ86-$AI86-$AH86-$AG86-$AF86-$AE86*(1+HO$3))/$AJ86,'Технический лист'!$A:$B,2,1),(HN86-0.05)))</f>
        <v>1</v>
      </c>
      <c r="HP86" s="15">
        <f>MIN(1,MAX(VLOOKUP(($AJ86-$AI86-$AH86-$AG86-$AF86-$AE86*(1+HP$3))/$AJ86,'Технический лист'!$A:$B,2,1),(HO86-0.05)))</f>
        <v>1</v>
      </c>
      <c r="HQ86" s="15">
        <f>MIN(1,MAX(VLOOKUP(($AJ86-$AI86-$AH86-$AG86-$AF86-$AE86*(1+HQ$3))/$AJ86,'Технический лист'!$A:$B,2,1),(HP86-0.05)))</f>
        <v>1</v>
      </c>
      <c r="HR86" s="15">
        <f>MIN(1,MAX(VLOOKUP(($AJ86-$AI86-$AH86-$AG86-$AF86-$AE86*(1+HR$3))/$AJ86,'Технический лист'!$A:$B,2,1),(HQ86-0.05)))</f>
        <v>1</v>
      </c>
      <c r="HS86" s="15">
        <f>MIN(1,MAX(VLOOKUP(($AJ86-$AI86-$AH86-$AG86-$AF86-$AE86*(1+HS$3))/$AJ86,'Технический лист'!$A:$B,2,1),(HR86-0.05)))</f>
        <v>1</v>
      </c>
      <c r="HT86" s="15">
        <f>MIN(1,MAX(VLOOKUP(($AJ86-$AI86-$AH86-$AG86-$AF86-$AE86*(1+HT$3))/$AJ86,'Технический лист'!$A:$B,2,1),(HS86-0.05)))</f>
        <v>1</v>
      </c>
      <c r="HU86" s="15">
        <f>MIN(1,MAX(VLOOKUP(($AJ86-$AI86-$AH86-$AG86-$AF86-$AE86*(1+HU$3))/$AJ86,'Технический лист'!$A:$B,2,1),(HT86-0.05)))</f>
        <v>1</v>
      </c>
      <c r="HV86" s="15">
        <f>MIN(1,MAX(VLOOKUP(($AJ86-$AI86-$AH86-$AG86-$AF86-$AE86*(1+HV$3))/$AJ86,'Технический лист'!$A:$B,2,1),(HU86-0.05)))</f>
        <v>1</v>
      </c>
      <c r="HW86" s="15">
        <f>MIN(1,MAX(VLOOKUP(($AJ86-$AI86-$AH86-$AG86-$AF86-$AE86*(1+HW$3))/$AJ86,'Технический лист'!$A:$B,2,1),(HV86-0.05)))</f>
        <v>1</v>
      </c>
      <c r="HX86" s="15">
        <f>MIN(1,MAX(VLOOKUP(($AJ86-$AI86-$AH86-$AG86-$AF86-$AE86*(1+HX$3))/$AJ86,'Технический лист'!$A:$B,2,1),(HW86-0.05)))</f>
        <v>1</v>
      </c>
      <c r="HY86" s="15">
        <f>MIN(1,MAX(VLOOKUP(($AJ86-$AI86-$AH86-$AG86-$AF86-$AE86*(1+HY$3))/$AJ86,'Технический лист'!$A:$B,2,1),(HX86-0.05)))</f>
        <v>1</v>
      </c>
      <c r="HZ86" s="15">
        <f>MIN(1,MAX(VLOOKUP(($AJ86-$AI86-$AH86-$AG86-$AF86-$AE86*(1+HZ$3))/$AJ86,'Технический лист'!$A:$B,2,1),(HY86-0.05)))</f>
        <v>1</v>
      </c>
      <c r="IA86" s="15">
        <f>MIN(1,MAX(VLOOKUP(($AJ86-$AI86-$AH86-$AG86-$AF86-$AE86*(1+IA$3))/$AJ86,'Технический лист'!$A:$B,2,1),(HZ86-0.05)))</f>
        <v>1</v>
      </c>
      <c r="IB86" s="15">
        <f>MIN(1,MAX(VLOOKUP(($AJ86-$AI86-$AH86-$AG86-$AF86-$AE86*(1+IB$3))/$AJ86,'Технический лист'!$A:$B,2,1),(IA86-0.05)))</f>
        <v>1</v>
      </c>
      <c r="IC86" s="15">
        <f>MIN(1,MAX(VLOOKUP(($AJ86-$AI86-$AH86-$AG86-$AF86-$AE86*(1+IC$3))/$AJ86,'Технический лист'!$A:$B,2,1),(IB86-0.05)))</f>
        <v>1</v>
      </c>
      <c r="ID86" s="15">
        <f>MIN(1,MAX(VLOOKUP(($AJ86-$AI86-$AH86-$AG86-$AF86-$AE86*(1+ID$3))/$AJ86,'Технический лист'!$A:$B,2,1),(IC86-0.05)))</f>
        <v>1</v>
      </c>
      <c r="IE86" s="15">
        <f>MIN(1,MAX(VLOOKUP(($AJ86-$AI86-$AH86-$AG86-$AF86-$AE86*(1+IE$3))/$AJ86,'Технический лист'!$A:$B,2,1),(ID86-0.05)))</f>
        <v>1</v>
      </c>
      <c r="IF86" s="15">
        <f>MIN(1,MAX(VLOOKUP(($AJ86-$AI86-$AH86-$AG86-$AF86-$AE86*(1+IF$3))/$AJ86,'Технический лист'!$A:$B,2,1),(IE86-0.05)))</f>
        <v>1</v>
      </c>
      <c r="IG86" s="15">
        <f>MIN(1,MAX(VLOOKUP(($AJ86-$AI86-$AH86-$AG86-$AF86-$AE86*(1+IG$3))/$AJ86,'Технический лист'!$A:$B,2,1),(IF86-0.05)))</f>
        <v>1</v>
      </c>
      <c r="IH86" s="15">
        <f>MIN(1,MAX(VLOOKUP(($AJ86-$AI86-$AH86-$AG86-$AF86-$AE86*(1+IH$3))/$AJ86,'Технический лист'!$A:$B,2,1),(IG86-0.05)))</f>
        <v>1</v>
      </c>
      <c r="II86" s="15">
        <f>MIN(1,MAX(VLOOKUP(($AJ86-$AI86-$AH86-$AG86-$AF86-$AE86*(1+II$3))/$AJ86,'Технический лист'!$A:$B,2,1),(IH86-0.05)))</f>
        <v>1</v>
      </c>
      <c r="IJ86" s="15">
        <f>MIN(1,MAX(VLOOKUP(($AJ86-$AI86-$AH86-$AG86-$AF86-$AE86*(1+IJ$3))/$AJ86,'Технический лист'!$A:$B,2,1),(II86-0.05)))</f>
        <v>1</v>
      </c>
      <c r="IK86" s="15">
        <f>MIN(1,MAX(VLOOKUP(($AJ86-$AI86-$AH86-$AG86-$AF86-$AE86*(1+IK$3))/$AJ86,'Технический лист'!$A:$B,2,1),(IJ86-0.05)))</f>
        <v>1</v>
      </c>
      <c r="IL86" s="15">
        <f>MIN(1,MAX(VLOOKUP(($AJ86-$AI86-$AH86-$AG86-$AF86-$AE86*(1+IL$3))/$AJ86,'Технический лист'!$A:$B,2,1),(IK86-0.05)))</f>
        <v>1</v>
      </c>
      <c r="IM86" s="15">
        <f>MIN(1,MAX(VLOOKUP(($AJ86-$AI86-$AH86-$AG86-$AF86-$AE86*(1+IM$3))/$AJ86,'Технический лист'!$A:$B,2,1),(IL86-0.05)))</f>
        <v>1</v>
      </c>
      <c r="IN86" s="15">
        <f>MIN(1,MAX(VLOOKUP(($AJ86-$AI86-$AH86-$AG86-$AF86-$AE86*(1+IN$3))/$AJ86,'Технический лист'!$A:$B,2,1),(IM86-0.05)))</f>
        <v>1</v>
      </c>
      <c r="IO86" s="15">
        <f>MIN(1,MAX(VLOOKUP(($AJ86-$AI86-$AH86-$AG86-$AF86-$AE86*(1+IO$3))/$AJ86,'Технический лист'!$A:$B,2,1),(IN86-0.05)))</f>
        <v>1</v>
      </c>
      <c r="IP86" s="15">
        <f>MIN(1,MAX(VLOOKUP(($AJ86-$AI86-$AH86-$AG86-$AF86-$AE86*(1+IP$3))/$AJ86,'Технический лист'!$A:$B,2,1),(IO86-0.05)))</f>
        <v>1</v>
      </c>
      <c r="IQ86" s="15">
        <f>MIN(1,MAX(VLOOKUP(($AJ86-$AI86-$AH86-$AG86-$AF86-$AE86*(1+IQ$3))/$AJ86,'Технический лист'!$A:$B,2,1),(IP86-0.05)))</f>
        <v>1</v>
      </c>
      <c r="IR86" s="15">
        <f>MIN(1,MAX(VLOOKUP(($AJ86-$AI86-$AH86-$AG86-$AF86-$AE86*(1+IR$3))/$AJ86,'Технический лист'!$A:$B,2,1),(IQ86-0.05)))</f>
        <v>1</v>
      </c>
    </row>
    <row r="87" spans="1:252" ht="29.15">
      <c r="A87" s="89" t="s">
        <v>515</v>
      </c>
      <c r="B87" s="90">
        <v>5</v>
      </c>
      <c r="C87" s="5" t="s">
        <v>68</v>
      </c>
      <c r="D87" s="91">
        <v>32102</v>
      </c>
      <c r="E87" s="91" t="s">
        <v>345</v>
      </c>
      <c r="F87" s="92" t="s">
        <v>78</v>
      </c>
      <c r="G87" s="91" t="s">
        <v>23</v>
      </c>
      <c r="H87" s="91" t="s">
        <v>30</v>
      </c>
      <c r="I87" s="91" t="s">
        <v>160</v>
      </c>
      <c r="J87" s="91" t="s">
        <v>162</v>
      </c>
      <c r="K87" s="91">
        <v>2062</v>
      </c>
      <c r="L87" s="85" t="s">
        <v>189</v>
      </c>
      <c r="M87" s="91" t="s">
        <v>190</v>
      </c>
      <c r="N87" s="91" t="s">
        <v>191</v>
      </c>
      <c r="O87" s="91" t="s">
        <v>194</v>
      </c>
      <c r="P87" s="89" t="s">
        <v>240</v>
      </c>
      <c r="Q87" s="91" t="s">
        <v>315</v>
      </c>
      <c r="R87" s="91" t="s">
        <v>251</v>
      </c>
      <c r="S87" s="82">
        <v>115227</v>
      </c>
      <c r="T87" s="82">
        <v>237566824</v>
      </c>
      <c r="U87" s="81">
        <v>2072</v>
      </c>
      <c r="V87" s="81">
        <v>0</v>
      </c>
      <c r="W87" s="82">
        <v>549065104</v>
      </c>
      <c r="X87" s="112">
        <v>61</v>
      </c>
      <c r="Y87" s="112" t="s">
        <v>448</v>
      </c>
      <c r="Z87" s="113">
        <v>9</v>
      </c>
      <c r="AA87" s="113">
        <v>10</v>
      </c>
      <c r="AB87" s="113">
        <v>4</v>
      </c>
      <c r="AC87" s="99">
        <v>4220.08</v>
      </c>
      <c r="AD87" s="99">
        <f t="shared" si="35"/>
        <v>711.64000000000033</v>
      </c>
      <c r="AE87" s="99">
        <v>4931.72</v>
      </c>
      <c r="AF87" s="98">
        <f>(AB87+AA87+Z87)*'Ставки аренды'!$B$7/X87</f>
        <v>565.57377049180332</v>
      </c>
      <c r="AG87" s="114">
        <v>0</v>
      </c>
      <c r="AH87" s="94">
        <v>0</v>
      </c>
      <c r="AI87" s="115">
        <f t="shared" si="36"/>
        <v>58575</v>
      </c>
      <c r="AJ87" s="117">
        <f>Цены!$D$18</f>
        <v>82500</v>
      </c>
      <c r="AK87" s="94">
        <f>AJ87/Цены!$B$1</f>
        <v>1081.180255682749</v>
      </c>
      <c r="AL87" s="95">
        <f t="shared" si="24"/>
        <v>5497.293770491804</v>
      </c>
      <c r="AM87" s="95">
        <f t="shared" si="25"/>
        <v>77002.7062295082</v>
      </c>
      <c r="AN87" s="94">
        <f t="shared" si="22"/>
        <v>64072.293770491808</v>
      </c>
      <c r="AO87" s="118">
        <f t="shared" si="23"/>
        <v>0.22336613611525083</v>
      </c>
      <c r="AP87" s="96">
        <f t="shared" si="26"/>
        <v>6.6633863884749137E-2</v>
      </c>
      <c r="AQ87" s="96">
        <f t="shared" si="27"/>
        <v>5.9778424242424244E-2</v>
      </c>
      <c r="AR87" s="96">
        <f t="shared" si="28"/>
        <v>0.89711778302122536</v>
      </c>
      <c r="AS87" s="122">
        <v>1</v>
      </c>
      <c r="AT87" s="121">
        <f t="shared" si="29"/>
        <v>115227</v>
      </c>
      <c r="AU87" s="83">
        <v>0.75</v>
      </c>
      <c r="AV87" s="119">
        <f t="shared" si="30"/>
        <v>0.21619272520615998</v>
      </c>
      <c r="AW87" s="120">
        <f t="shared" si="31"/>
        <v>7.3807274793840041E-2</v>
      </c>
      <c r="AX87" s="120">
        <f t="shared" si="32"/>
        <v>6.6951835151515163E-2</v>
      </c>
      <c r="AY87" s="120">
        <f t="shared" si="33"/>
        <v>0.907117019813106</v>
      </c>
      <c r="AZ87" s="15">
        <f>MIN(IF($AU87=100%,1,1+VLOOKUP(($AJ87-$AI87-$AH87-$AG87-$AF87-$AE87*(1+AZ$3))/$AJ87,'Технический лист'!$I:$J,2,1)-VLOOKUP($AO87,'Технический лист'!$I:$J,2,1)),1+(1-$AU87))</f>
        <v>1</v>
      </c>
      <c r="BA87" s="15">
        <f>MIN(IF($AU87=100%,1,1+VLOOKUP(($AJ87-$AI87-$AH87-$AG87-$AF87-$AE87*(1+BA$3))/$AJ87,'Технический лист'!$I:$J,2,1)-VLOOKUP($AO87,'Технический лист'!$I:$J,2,1)),1+(1-$AU87))</f>
        <v>1</v>
      </c>
      <c r="BB87" s="15">
        <f>MIN(IF($AU87=100%,1,1+VLOOKUP(($AJ87-$AI87-$AH87-$AG87-$AF87-$AE87*(1+BB$3))/$AJ87,'Технический лист'!$I:$J,2,1)-VLOOKUP($AO87,'Технический лист'!$I:$J,2,1)),1+(1-$AU87))</f>
        <v>1</v>
      </c>
      <c r="BC87" s="15">
        <f>MIN(IF($AU87=100%,1,1+VLOOKUP(($AJ87-$AI87-$AH87-$AG87-$AF87-$AE87*(1+BC$3))/$AJ87,'Технический лист'!$I:$J,2,1)-VLOOKUP($AO87,'Технический лист'!$I:$J,2,1)),1+(1-$AU87))</f>
        <v>1</v>
      </c>
      <c r="BD87" s="15">
        <f>MIN(IF($AU87=100%,1,1+VLOOKUP(($AJ87-$AI87-$AH87-$AG87-$AF87-$AE87*(1+BD$3))/$AJ87,'Технический лист'!$I:$J,2,1)-VLOOKUP($AO87,'Технический лист'!$I:$J,2,1)),1+(1-$AU87))</f>
        <v>1</v>
      </c>
      <c r="BE87" s="15">
        <f>MIN(IF($AU87=100%,1,1+VLOOKUP(($AJ87-$AI87-$AH87-$AG87-$AF87-$AE87*(1+BE$3))/$AJ87,'Технический лист'!$I:$J,2,1)-VLOOKUP($AO87,'Технический лист'!$I:$J,2,1)),1+(1-$AU87))</f>
        <v>1</v>
      </c>
      <c r="BF87" s="15">
        <f>MIN(IF($AU87=100%,1,1+VLOOKUP(($AJ87-$AI87-$AH87-$AG87-$AF87-$AE87*(1+BF$3))/$AJ87,'Технический лист'!$I:$J,2,1)-VLOOKUP($AO87,'Технический лист'!$I:$J,2,1)),1+(1-$AU87))</f>
        <v>1</v>
      </c>
      <c r="BG87" s="15">
        <f>MIN(IF($AU87=100%,1,1+VLOOKUP(($AJ87-$AI87-$AH87-$AG87-$AF87-$AE87*(1+BG$3))/$AJ87,'Технический лист'!$I:$J,2,1)-VLOOKUP($AO87,'Технический лист'!$I:$J,2,1)),1+(1-$AU87))</f>
        <v>1</v>
      </c>
      <c r="BH87" s="15">
        <f>MIN(IF($AU87=100%,1,1+VLOOKUP(($AJ87-$AI87-$AH87-$AG87-$AF87-$AE87*(1+BH$3))/$AJ87,'Технический лист'!$I:$J,2,1)-VLOOKUP($AO87,'Технический лист'!$I:$J,2,1)),1+(1-$AU87))</f>
        <v>1</v>
      </c>
      <c r="BI87" s="15">
        <f>MIN(IF($AU87=100%,1,1+VLOOKUP(($AJ87-$AI87-$AH87-$AG87-$AF87-$AE87*(1+BI$3))/$AJ87,'Технический лист'!$I:$J,2,1)-VLOOKUP($AO87,'Технический лист'!$I:$J,2,1)),1+(1-$AU87))</f>
        <v>1</v>
      </c>
      <c r="BJ87" s="15">
        <f>MIN(IF($AU87=100%,1,1+VLOOKUP(($AJ87-$AI87-$AH87-$AG87-$AF87-$AE87*(1+BJ$3))/$AJ87,'Технический лист'!$I:$J,2,1)-VLOOKUP($AO87,'Технический лист'!$I:$J,2,1)),1+(1-$AU87))</f>
        <v>1</v>
      </c>
      <c r="BK87" s="15">
        <f>MIN(IF($AU87=100%,1,1+VLOOKUP(($AJ87-$AI87-$AH87-$AG87-$AF87-$AE87*(1+BK$3))/$AJ87,'Технический лист'!$I:$J,2,1)-VLOOKUP($AO87,'Технический лист'!$I:$J,2,1)),1+(1-$AU87))</f>
        <v>1</v>
      </c>
      <c r="BL87" s="15">
        <f>MIN(IF($AU87=100%,1,1+VLOOKUP(($AJ87-$AI87-$AH87-$AG87-$AF87-$AE87*(1+BL$3))/$AJ87,'Технический лист'!$I:$J,2,1)-VLOOKUP($AO87,'Технический лист'!$I:$J,2,1)),1+(1-$AU87))</f>
        <v>1</v>
      </c>
      <c r="BM87" s="15">
        <f>MIN(IF($AU87=100%,1,1+VLOOKUP(($AJ87-$AI87-$AH87-$AG87-$AF87-$AE87*(1+BM$3))/$AJ87,'Технический лист'!$I:$J,2,1)-VLOOKUP($AO87,'Технический лист'!$I:$J,2,1)),1+(1-$AU87))</f>
        <v>1</v>
      </c>
      <c r="BN87" s="15">
        <f>MIN(IF($AU87=100%,1,1+VLOOKUP(($AJ87-$AI87-$AH87-$AG87-$AF87-$AE87*(1+BN$3))/$AJ87,'Технический лист'!$I:$J,2,1)-VLOOKUP($AO87,'Технический лист'!$I:$J,2,1)),1+(1-$AU87))</f>
        <v>1</v>
      </c>
      <c r="BO87" s="15">
        <f>MIN(IF($AU87=100%,1,1+VLOOKUP(($AJ87-$AI87-$AH87-$AG87-$AF87-$AE87*(1+BO$3))/$AJ87,'Технический лист'!$I:$J,2,1)-VLOOKUP($AO87,'Технический лист'!$I:$J,2,1)),1+(1-$AU87))</f>
        <v>1</v>
      </c>
      <c r="BP87" s="15">
        <f>MIN(IF($AU87=100%,1,1+VLOOKUP(($AJ87-$AI87-$AH87-$AG87-$AF87-$AE87*(1+BP$3))/$AJ87,'Технический лист'!$I:$J,2,1)-VLOOKUP($AO87,'Технический лист'!$I:$J,2,1)),1+(1-$AU87))</f>
        <v>1</v>
      </c>
      <c r="BQ87" s="15">
        <f>MIN(IF($AU87=100%,1,1+VLOOKUP(($AJ87-$AI87-$AH87-$AG87-$AF87-$AE87*(1+BQ$3))/$AJ87,'Технический лист'!$I:$J,2,1)-VLOOKUP($AO87,'Технический лист'!$I:$J,2,1)),1+(1-$AU87))</f>
        <v>1</v>
      </c>
      <c r="BR87" s="15">
        <f>MIN(IF($AU87=100%,1,1+VLOOKUP(($AJ87-$AI87-$AH87-$AG87-$AF87-$AE87*(1+BR$3))/$AJ87,'Технический лист'!$I:$J,2,1)-VLOOKUP($AO87,'Технический лист'!$I:$J,2,1)),1+(1-$AU87))</f>
        <v>1</v>
      </c>
      <c r="BS87" s="15">
        <f>MIN(IF($AU87=100%,1,1+VLOOKUP(($AJ87-$AI87-$AH87-$AG87-$AF87-$AE87*(1+BS$3))/$AJ87,'Технический лист'!$I:$J,2,1)-VLOOKUP($AO87,'Технический лист'!$I:$J,2,1)),1+(1-$AU87))</f>
        <v>1</v>
      </c>
      <c r="BT87" s="15">
        <f>MIN(IF($AU87=100%,1,1+VLOOKUP(($AJ87-$AI87-$AH87-$AG87-$AF87-$AE87*(1+BT$3))/$AJ87,'Технический лист'!$I:$J,2,1)-VLOOKUP($AO87,'Технический лист'!$I:$J,2,1)),1+(1-$AU87))</f>
        <v>1</v>
      </c>
      <c r="BU87" s="15">
        <f>MIN(IF($AU87=100%,1,1+VLOOKUP(($AJ87-$AI87-$AH87-$AG87-$AF87-$AE87*(1+BU$3))/$AJ87,'Технический лист'!$I:$J,2,1)-VLOOKUP($AO87,'Технический лист'!$I:$J,2,1)),1+(1-$AU87))</f>
        <v>1</v>
      </c>
      <c r="BV87" s="15">
        <f>MIN(IF($AU87=100%,1,1+VLOOKUP(($AJ87-$AI87-$AH87-$AG87-$AF87-$AE87*(1+BV$3))/$AJ87,'Технический лист'!$I:$J,2,1)-VLOOKUP($AO87,'Технический лист'!$I:$J,2,1)),1+(1-$AU87))</f>
        <v>1</v>
      </c>
      <c r="BW87" s="15">
        <f>MIN(IF($AU87=100%,1,1+VLOOKUP(($AJ87-$AI87-$AH87-$AG87-$AF87-$AE87*(1+BW$3))/$AJ87,'Технический лист'!$I:$J,2,1)-VLOOKUP($AO87,'Технический лист'!$I:$J,2,1)),1+(1-$AU87))</f>
        <v>1</v>
      </c>
      <c r="BX87" s="15">
        <f>MIN(IF($AU87=100%,1,1+VLOOKUP(($AJ87-$AI87-$AH87-$AG87-$AF87-$AE87*(1+BX$3))/$AJ87,'Технический лист'!$I:$J,2,1)-VLOOKUP($AO87,'Технический лист'!$I:$J,2,1)),1+(1-$AU87))</f>
        <v>1</v>
      </c>
      <c r="BY87" s="15">
        <f>MIN(IF($AU87=100%,1,1+VLOOKUP(($AJ87-$AI87-$AH87-$AG87-$AF87-$AE87*(1+BY$3))/$AJ87,'Технический лист'!$I:$J,2,1)-VLOOKUP($AO87,'Технический лист'!$I:$J,2,1)),1+(1-$AU87))</f>
        <v>1</v>
      </c>
      <c r="BZ87" s="15">
        <f>MIN(IF($AU87=100%,1,1+VLOOKUP(($AJ87-$AI87-$AH87-$AG87-$AF87-$AE87*(1+BZ$3))/$AJ87,'Технический лист'!$I:$J,2,1)-VLOOKUP($AO87,'Технический лист'!$I:$J,2,1)),1+(1-$AU87))</f>
        <v>1</v>
      </c>
      <c r="CA87" s="15">
        <f>MIN(IF($AU87=100%,1,1+VLOOKUP(($AJ87-$AI87-$AH87-$AG87-$AF87-$AE87*(1+CA$3))/$AJ87,'Технический лист'!$I:$J,2,1)-VLOOKUP($AO87,'Технический лист'!$I:$J,2,1)),1+(1-$AU87))</f>
        <v>1</v>
      </c>
      <c r="CB87" s="15">
        <f>MIN(IF($AU87=100%,1,1+VLOOKUP(($AJ87-$AI87-$AH87-$AG87-$AF87-$AE87*(1+CB$3))/$AJ87,'Технический лист'!$I:$J,2,1)-VLOOKUP($AO87,'Технический лист'!$I:$J,2,1)),1+(1-$AU87))</f>
        <v>1</v>
      </c>
      <c r="CC87" s="15">
        <f>MIN(IF($AU87=100%,1,1+VLOOKUP(($AJ87-$AI87-$AH87-$AG87-$AF87-$AE87*(1+CC$3))/$AJ87,'Технический лист'!$I:$J,2,1)-VLOOKUP($AO87,'Технический лист'!$I:$J,2,1)),1+(1-$AU87))</f>
        <v>1</v>
      </c>
      <c r="CD87" s="15">
        <f>MIN(IF($AU87=100%,1,1+VLOOKUP(($AJ87-$AI87-$AH87-$AG87-$AF87-$AE87*(1+CD$3))/$AJ87,'Технический лист'!$I:$J,2,1)-VLOOKUP($AO87,'Технический лист'!$I:$J,2,1)),1+(1-$AU87))</f>
        <v>1</v>
      </c>
      <c r="CE87" s="15">
        <f>MIN(IF($AU87=100%,1,1+VLOOKUP(($AJ87-$AI87-$AH87-$AG87-$AF87-$AE87*(1+CE$3))/$AJ87,'Технический лист'!$I:$J,2,1)-VLOOKUP($AO87,'Технический лист'!$I:$J,2,1)),1+(1-$AU87))</f>
        <v>1</v>
      </c>
      <c r="CF87" s="15">
        <f>MIN(IF($AU87=100%,1,1+VLOOKUP(($AJ87-$AI87-$AH87-$AG87-$AF87-$AE87*(1+CF$3))/$AJ87,'Технический лист'!$I:$J,2,1)-VLOOKUP($AO87,'Технический лист'!$I:$J,2,1)),1+(1-$AU87))</f>
        <v>1</v>
      </c>
      <c r="CG87" s="15">
        <f>MIN(IF($AU87=100%,1,1+VLOOKUP(($AJ87-$AI87-$AH87-$AG87-$AF87-$AE87*(1+CG$3))/$AJ87,'Технический лист'!$I:$J,2,1)-VLOOKUP($AO87,'Технический лист'!$I:$J,2,1)),1+(1-$AU87))</f>
        <v>1</v>
      </c>
      <c r="CH87" s="15">
        <f>MIN(IF($AU87=100%,1,1+VLOOKUP(($AJ87-$AI87-$AH87-$AG87-$AF87-$AE87*(1+CH$3))/$AJ87,'Технический лист'!$I:$J,2,1)-VLOOKUP($AO87,'Технический лист'!$I:$J,2,1)),1+(1-$AU87))</f>
        <v>1</v>
      </c>
      <c r="CI87" s="15">
        <f>MIN(IF($AU87=100%,1,1+VLOOKUP(($AJ87-$AI87-$AH87-$AG87-$AF87-$AE87*(1+CI$3))/$AJ87,'Технический лист'!$I:$J,2,1)-VLOOKUP($AO87,'Технический лист'!$I:$J,2,1)),1+(1-$AU87))</f>
        <v>1</v>
      </c>
      <c r="CJ87" s="15">
        <f>MIN(IF($AU87=100%,1,1+VLOOKUP(($AJ87-$AI87-$AH87-$AG87-$AF87-$AE87*(1+CJ$3))/$AJ87,'Технический лист'!$I:$J,2,1)-VLOOKUP($AO87,'Технический лист'!$I:$J,2,1)),1+(1-$AU87))</f>
        <v>1</v>
      </c>
      <c r="CK87" s="15">
        <f>MIN(IF($AU87=100%,1,1+VLOOKUP(($AJ87-$AI87-$AH87-$AG87-$AF87-$AE87*(1+CK$3))/$AJ87,'Технический лист'!$I:$J,2,1)-VLOOKUP($AO87,'Технический лист'!$I:$J,2,1)),1+(1-$AU87))</f>
        <v>1</v>
      </c>
      <c r="CL87" s="15">
        <f>MIN(IF($AU87=100%,1,1+VLOOKUP(($AJ87-$AI87-$AH87-$AG87-$AF87-$AE87*(1+CL$3))/$AJ87,'Технический лист'!$I:$J,2,1)-VLOOKUP($AO87,'Технический лист'!$I:$J,2,1)),1+(1-$AU87))</f>
        <v>1</v>
      </c>
      <c r="CM87" s="15">
        <f>MIN(IF($AU87=100%,1,1+VLOOKUP(($AJ87-$AI87-$AH87-$AG87-$AF87-$AE87*(1+CM$3))/$AJ87,'Технический лист'!$I:$J,2,1)-VLOOKUP($AO87,'Технический лист'!$I:$J,2,1)),1+(1-$AU87))</f>
        <v>1</v>
      </c>
      <c r="CN87" s="15">
        <f>MIN(IF($AU87=100%,1,1+VLOOKUP(($AJ87-$AI87-$AH87-$AG87-$AF87-$AE87*(1+CN$3))/$AJ87,'Технический лист'!$I:$J,2,1)-VLOOKUP($AO87,'Технический лист'!$I:$J,2,1)),1+(1-$AU87))</f>
        <v>1</v>
      </c>
      <c r="CO87" s="15">
        <f>MIN(IF($AU87=100%,1,1+VLOOKUP(($AJ87-$AI87-$AH87-$AG87-$AF87-$AE87*(1+CO$3))/$AJ87,'Технический лист'!$I:$J,2,1)-VLOOKUP($AO87,'Технический лист'!$I:$J,2,1)),1+(1-$AU87))</f>
        <v>1</v>
      </c>
      <c r="CP87" s="15">
        <f>MIN(IF($AU87=100%,1,1+VLOOKUP(($AJ87-$AI87-$AH87-$AG87-$AF87-$AE87*(1+CP$3))/$AJ87,'Технический лист'!$I:$J,2,1)-VLOOKUP($AO87,'Технический лист'!$I:$J,2,1)),1+(1-$AU87))</f>
        <v>1</v>
      </c>
      <c r="CQ87" s="15">
        <f>MIN(IF($AU87=100%,1,1+VLOOKUP(($AJ87-$AI87-$AH87-$AG87-$AF87-$AE87*(1+CQ$3))/$AJ87,'Технический лист'!$I:$J,2,1)-VLOOKUP($AO87,'Технический лист'!$I:$J,2,1)),1+(1-$AU87))</f>
        <v>1</v>
      </c>
      <c r="CR87" s="15">
        <f>MIN(IF($AU87=100%,1,1+VLOOKUP(($AJ87-$AI87-$AH87-$AG87-$AF87-$AE87*(1+CR$3))/$AJ87,'Технический лист'!$I:$J,2,1)-VLOOKUP($AO87,'Технический лист'!$I:$J,2,1)),1+(1-$AU87))</f>
        <v>1</v>
      </c>
      <c r="CS87" s="15">
        <f>MIN(IF($AU87=100%,1,1+VLOOKUP(($AJ87-$AI87-$AH87-$AG87-$AF87-$AE87*(1+CS$3))/$AJ87,'Технический лист'!$I:$J,2,1)-VLOOKUP($AO87,'Технический лист'!$I:$J,2,1)),1+(1-$AU87))</f>
        <v>1</v>
      </c>
      <c r="CT87" s="15">
        <f>MIN(IF($AU87=100%,1,1+VLOOKUP(($AJ87-$AI87-$AH87-$AG87-$AF87-$AE87*(1+CT$3))/$AJ87,'Технический лист'!$I:$J,2,1)-VLOOKUP($AO87,'Технический лист'!$I:$J,2,1)),1+(1-$AU87))</f>
        <v>1</v>
      </c>
      <c r="CU87" s="15">
        <f>MIN(IF($AU87=100%,1,1+VLOOKUP(($AJ87-$AI87-$AH87-$AG87-$AF87-$AE87*(1+CU$3))/$AJ87,'Технический лист'!$I:$J,2,1)-VLOOKUP($AO87,'Технический лист'!$I:$J,2,1)),1+(1-$AU87))</f>
        <v>1</v>
      </c>
      <c r="CV87" s="15">
        <f>MIN(IF($AU87=100%,1,1+VLOOKUP(($AJ87-$AI87-$AH87-$AG87-$AF87-$AE87*(1+CV$3))/$AJ87,'Технический лист'!$I:$J,2,1)-VLOOKUP($AO87,'Технический лист'!$I:$J,2,1)),1+(1-$AU87))</f>
        <v>1</v>
      </c>
      <c r="CW87" s="15">
        <f>MIN(IF($AU87=100%,1,1+VLOOKUP(($AJ87-$AI87-$AH87-$AG87-$AF87-$AE87*(1+CW$3))/$AJ87,'Технический лист'!$I:$J,2,1)-VLOOKUP($AO87,'Технический лист'!$I:$J,2,1)),1+(1-$AU87))</f>
        <v>1</v>
      </c>
      <c r="CX87" s="15">
        <f>MIN(IF($AU87=100%,1,1+VLOOKUP(($AJ87-$AI87-$AH87-$AG87-$AF87-$AE87*(1+CX$3))/$AJ87,'Технический лист'!$I:$J,2,1)-VLOOKUP($AO87,'Технический лист'!$I:$J,2,1)),1+(1-$AU87))</f>
        <v>1</v>
      </c>
      <c r="CY87" s="15">
        <f>MIN(IF($AU87=100%,1,1+VLOOKUP(($AJ87-$AI87-$AH87-$AG87-$AF87-$AE87*(1+CY$3))/$AJ87,'Технический лист'!$I:$J,2,1)-VLOOKUP($AO87,'Технический лист'!$I:$J,2,1)),1+(1-$AU87))</f>
        <v>1</v>
      </c>
      <c r="CZ87" s="15">
        <f>MIN(IF($AU87=100%,1,1+VLOOKUP(($AJ87-$AI87-$AH87-$AG87-$AF87-$AE87*(1+CZ$3))/$AJ87,'Технический лист'!$I:$J,2,1)-VLOOKUP($AO87,'Технический лист'!$I:$J,2,1)),1+(1-$AU87))</f>
        <v>1</v>
      </c>
      <c r="DA87" s="15">
        <f>MIN(IF($AU87=100%,1,1+VLOOKUP(($AJ87-$AI87-$AH87-$AG87-$AF87-$AE87*(1+DA$3))/$AJ87,'Технический лист'!$I:$J,2,1)-VLOOKUP($AO87,'Технический лист'!$I:$J,2,1)),1+(1-$AU87))</f>
        <v>1</v>
      </c>
      <c r="DB87" s="15">
        <f>MIN(IF($AU87=100%,1,1+VLOOKUP(($AJ87-$AI87-$AH87-$AG87-$AF87-$AE87*(1+DB$3))/$AJ87,'Технический лист'!$I:$J,2,1)-VLOOKUP($AO87,'Технический лист'!$I:$J,2,1)),1+(1-$AU87))</f>
        <v>1</v>
      </c>
      <c r="DC87" s="15">
        <f>MIN(IF($AU87=100%,1,1+VLOOKUP(($AJ87-$AI87-$AH87-$AG87-$AF87-$AE87*(1+DC$3))/$AJ87,'Технический лист'!$I:$J,2,1)-VLOOKUP($AO87,'Технический лист'!$I:$J,2,1)),1+(1-$AU87))</f>
        <v>1</v>
      </c>
      <c r="DD87" s="15">
        <f>MIN(IF($AU87=100%,1,1+VLOOKUP(($AJ87-$AI87-$AH87-$AG87-$AF87-$AE87*(1+DD$3))/$AJ87,'Технический лист'!$I:$J,2,1)-VLOOKUP($AO87,'Технический лист'!$I:$J,2,1)),1+(1-$AU87))</f>
        <v>1</v>
      </c>
      <c r="DE87" s="15">
        <f>MIN(IF($AU87=100%,1,1+VLOOKUP(($AJ87-$AI87-$AH87-$AG87-$AF87-$AE87*(1+DE$3))/$AJ87,'Технический лист'!$I:$J,2,1)-VLOOKUP($AO87,'Технический лист'!$I:$J,2,1)),1+(1-$AU87))</f>
        <v>1</v>
      </c>
      <c r="DF87" s="15">
        <f>MIN(IF($AU87=100%,1,1+VLOOKUP(($AJ87-$AI87-$AH87-$AG87-$AF87-$AE87*(1+DF$3))/$AJ87,'Технический лист'!$I:$J,2,1)-VLOOKUP($AO87,'Технический лист'!$I:$J,2,1)),1+(1-$AU87))</f>
        <v>1</v>
      </c>
      <c r="DG87" s="15">
        <f>MIN(IF($AU87=100%,1,1+VLOOKUP(($AJ87-$AI87-$AH87-$AG87-$AF87-$AE87*(1+DG$3))/$AJ87,'Технический лист'!$I:$J,2,1)-VLOOKUP($AO87,'Технический лист'!$I:$J,2,1)),1+(1-$AU87))</f>
        <v>1</v>
      </c>
      <c r="DH87" s="15">
        <f>MIN(IF($AU87=100%,1,1+VLOOKUP(($AJ87-$AI87-$AH87-$AG87-$AF87-$AE87*(1+DH$3))/$AJ87,'Технический лист'!$I:$J,2,1)-VLOOKUP($AO87,'Технический лист'!$I:$J,2,1)),1+(1-$AU87))</f>
        <v>1</v>
      </c>
      <c r="DI87" s="15">
        <f>MIN(IF($AU87=100%,1,1+VLOOKUP(($AJ87-$AI87-$AH87-$AG87-$AF87-$AE87*(1+DI$3))/$AJ87,'Технический лист'!$I:$J,2,1)-VLOOKUP($AO87,'Технический лист'!$I:$J,2,1)),1+(1-$AU87))</f>
        <v>1</v>
      </c>
      <c r="DJ87" s="15">
        <f>MIN(IF($AU87=100%,1,1+VLOOKUP(($AJ87-$AI87-$AH87-$AG87-$AF87-$AE87*(1+DJ$3))/$AJ87,'Технический лист'!$I:$J,2,1)-VLOOKUP($AO87,'Технический лист'!$I:$J,2,1)),1+(1-$AU87))</f>
        <v>1</v>
      </c>
      <c r="DK87" s="15">
        <f>MIN(IF($AU87=100%,1,1+VLOOKUP(($AJ87-$AI87-$AH87-$AG87-$AF87-$AE87*(1+DK$3))/$AJ87,'Технический лист'!$I:$J,2,1)-VLOOKUP($AO87,'Технический лист'!$I:$J,2,1)),1+(1-$AU87))</f>
        <v>1</v>
      </c>
      <c r="DL87" s="15">
        <f>MIN(IF($AU87=100%,1,1+VLOOKUP(($AJ87-$AI87-$AH87-$AG87-$AF87-$AE87*(1+DL$3))/$AJ87,'Технический лист'!$I:$J,2,1)-VLOOKUP($AO87,'Технический лист'!$I:$J,2,1)),1+(1-$AU87))</f>
        <v>1</v>
      </c>
      <c r="DM87" s="15">
        <f>MIN(IF($AU87=100%,1,1+VLOOKUP(($AJ87-$AI87-$AH87-$AG87-$AF87-$AE87*(1+DM$3))/$AJ87,'Технический лист'!$I:$J,2,1)-VLOOKUP($AO87,'Технический лист'!$I:$J,2,1)),1+(1-$AU87))</f>
        <v>1</v>
      </c>
      <c r="DN87" s="15">
        <f>MIN(IF($AU87=100%,1,1+VLOOKUP(($AJ87-$AI87-$AH87-$AG87-$AF87-$AE87*(1+DN$3))/$AJ87,'Технический лист'!$I:$J,2,1)-VLOOKUP($AO87,'Технический лист'!$I:$J,2,1)),1+(1-$AU87))</f>
        <v>1</v>
      </c>
      <c r="DO87" s="15">
        <f>MIN(IF($AU87=100%,1,1+VLOOKUP(($AJ87-$AI87-$AH87-$AG87-$AF87-$AE87*(1+DO$3))/$AJ87,'Технический лист'!$I:$J,2,1)-VLOOKUP($AO87,'Технический лист'!$I:$J,2,1)),1+(1-$AU87))</f>
        <v>1</v>
      </c>
      <c r="DP87" s="15">
        <f>MIN(IF($AU87=100%,1,1+VLOOKUP(($AJ87-$AI87-$AH87-$AG87-$AF87-$AE87*(1+DP$3))/$AJ87,'Технический лист'!$I:$J,2,1)-VLOOKUP($AO87,'Технический лист'!$I:$J,2,1)),1+(1-$AU87))</f>
        <v>1</v>
      </c>
      <c r="DQ87" s="15">
        <f>MIN(IF($AU87=100%,1,1+VLOOKUP(($AJ87-$AI87-$AH87-$AG87-$AF87-$AE87*(1+DQ$3))/$AJ87,'Технический лист'!$I:$J,2,1)-VLOOKUP($AO87,'Технический лист'!$I:$J,2,1)),1+(1-$AU87))</f>
        <v>1</v>
      </c>
      <c r="DR87" s="15">
        <f>MIN(IF($AU87=100%,1,1+VLOOKUP(($AJ87-$AI87-$AH87-$AG87-$AF87-$AE87*(1+DR$3))/$AJ87,'Технический лист'!$I:$J,2,1)-VLOOKUP($AO87,'Технический лист'!$I:$J,2,1)),1+(1-$AU87))</f>
        <v>1</v>
      </c>
      <c r="DS87" s="15">
        <f>MIN(IF($AU87=100%,1,1+VLOOKUP(($AJ87-$AI87-$AH87-$AG87-$AF87-$AE87*(1+DS$3))/$AJ87,'Технический лист'!$I:$J,2,1)-VLOOKUP($AO87,'Технический лист'!$I:$J,2,1)),1+(1-$AU87))</f>
        <v>1</v>
      </c>
      <c r="DT87" s="15">
        <f>MIN(IF($AU87=100%,1,1+VLOOKUP(($AJ87-$AI87-$AH87-$AG87-$AF87-$AE87*(1+DT$3))/$AJ87,'Технический лист'!$I:$J,2,1)-VLOOKUP($AO87,'Технический лист'!$I:$J,2,1)),1+(1-$AU87))</f>
        <v>1</v>
      </c>
      <c r="DU87" s="15">
        <f>MIN(IF($AU87=100%,1,1+VLOOKUP(($AJ87-$AI87-$AH87-$AG87-$AF87-$AE87*(1+DU$3))/$AJ87,'Технический лист'!$I:$J,2,1)-VLOOKUP($AO87,'Технический лист'!$I:$J,2,1)),1+(1-$AU87))</f>
        <v>1</v>
      </c>
      <c r="DV87" s="15">
        <f>MIN(IF($AU87=100%,1,1+VLOOKUP(($AJ87-$AI87-$AH87-$AG87-$AF87-$AE87*(1+DV$3))/$AJ87,'Технический лист'!$I:$J,2,1)-VLOOKUP($AO87,'Технический лист'!$I:$J,2,1)),1+(1-$AU87))</f>
        <v>1</v>
      </c>
      <c r="DW87" s="15">
        <f>MIN(IF($AU87=100%,1,1+VLOOKUP(($AJ87-$AI87-$AH87-$AG87-$AF87-$AE87*(1+DW$3))/$AJ87,'Технический лист'!$I:$J,2,1)-VLOOKUP($AO87,'Технический лист'!$I:$J,2,1)),1+(1-$AU87))</f>
        <v>1</v>
      </c>
      <c r="DX87" s="15">
        <f>MIN(IF($AU87=100%,1,1+VLOOKUP(($AJ87-$AI87-$AH87-$AG87-$AF87-$AE87*(1+DX$3))/$AJ87,'Технический лист'!$I:$J,2,1)-VLOOKUP($AO87,'Технический лист'!$I:$J,2,1)),1+(1-$AU87))</f>
        <v>1</v>
      </c>
      <c r="DY87" s="15">
        <f>MIN(IF($AU87=100%,1,1+VLOOKUP(($AJ87-$AI87-$AH87-$AG87-$AF87-$AE87*(1+DY$3))/$AJ87,'Технический лист'!$I:$J,2,1)-VLOOKUP($AO87,'Технический лист'!$I:$J,2,1)),1+(1-$AU87))</f>
        <v>1</v>
      </c>
      <c r="DZ87" s="15">
        <f>MIN(IF($AU87=100%,1,1+VLOOKUP(($AJ87-$AI87-$AH87-$AG87-$AF87-$AE87*(1+DZ$3))/$AJ87,'Технический лист'!$I:$J,2,1)-VLOOKUP($AO87,'Технический лист'!$I:$J,2,1)),1+(1-$AU87))</f>
        <v>1</v>
      </c>
      <c r="EA87" s="15">
        <f>MIN(IF($AU87=100%,1,1+VLOOKUP(($AJ87-$AI87-$AH87-$AG87-$AF87-$AE87*(1+EA$3))/$AJ87,'Технический лист'!$I:$J,2,1)-VLOOKUP($AO87,'Технический лист'!$I:$J,2,1)),1+(1-$AU87))</f>
        <v>1</v>
      </c>
      <c r="EB87" s="15">
        <f>MIN(IF($AU87=100%,1,1+VLOOKUP(($AJ87-$AI87-$AH87-$AG87-$AF87-$AE87*(1+EB$3))/$AJ87,'Технический лист'!$I:$J,2,1)-VLOOKUP($AO87,'Технический лист'!$I:$J,2,1)),1+(1-$AU87))</f>
        <v>1</v>
      </c>
      <c r="EC87" s="15">
        <f>MIN(IF($AU87=100%,1,1+VLOOKUP(($AJ87-$AI87-$AH87-$AG87-$AF87-$AE87*(1+EC$3))/$AJ87,'Технический лист'!$I:$J,2,1)-VLOOKUP($AO87,'Технический лист'!$I:$J,2,1)),1+(1-$AU87))</f>
        <v>1</v>
      </c>
      <c r="ED87" s="15">
        <f>MIN(IF($AU87=100%,1,1+VLOOKUP(($AJ87-$AI87-$AH87-$AG87-$AF87-$AE87*(1+ED$3))/$AJ87,'Технический лист'!$I:$J,2,1)-VLOOKUP($AO87,'Технический лист'!$I:$J,2,1)),1+(1-$AU87))</f>
        <v>1</v>
      </c>
      <c r="EE87" s="15">
        <f>MIN(IF($AU87=100%,1,1+VLOOKUP(($AJ87-$AI87-$AH87-$AG87-$AF87-$AE87*(1+EE$3))/$AJ87,'Технический лист'!$I:$J,2,1)-VLOOKUP($AO87,'Технический лист'!$I:$J,2,1)),1+(1-$AU87))</f>
        <v>1</v>
      </c>
      <c r="EF87" s="15">
        <f>MIN(IF($AU87=100%,1,1+VLOOKUP(($AJ87-$AI87-$AH87-$AG87-$AF87-$AE87*(1+EF$3))/$AJ87,'Технический лист'!$I:$J,2,1)-VLOOKUP($AO87,'Технический лист'!$I:$J,2,1)),1+(1-$AU87))</f>
        <v>1</v>
      </c>
      <c r="EG87" s="15">
        <f>MIN(IF($AU87=100%,1,1+VLOOKUP(($AJ87-$AI87-$AH87-$AG87-$AF87-$AE87*(1+EG$3))/$AJ87,'Технический лист'!$I:$J,2,1)-VLOOKUP($AO87,'Технический лист'!$I:$J,2,1)),1+(1-$AU87))</f>
        <v>1</v>
      </c>
      <c r="EH87" s="15">
        <f>MIN(IF($AU87=100%,1,1+VLOOKUP(($AJ87-$AI87-$AH87-$AG87-$AF87-$AE87*(1+EH$3))/$AJ87,'Технический лист'!$I:$J,2,1)-VLOOKUP($AO87,'Технический лист'!$I:$J,2,1)),1+(1-$AU87))</f>
        <v>1</v>
      </c>
      <c r="EI87" s="15">
        <f>MIN(IF($AU87=100%,1,1+VLOOKUP(($AJ87-$AI87-$AH87-$AG87-$AF87-$AE87*(1+EI$3))/$AJ87,'Технический лист'!$I:$J,2,1)-VLOOKUP($AO87,'Технический лист'!$I:$J,2,1)),1+(1-$AU87))</f>
        <v>1</v>
      </c>
      <c r="EJ87" s="15">
        <f>MIN(IF($AU87=100%,1,1+VLOOKUP(($AJ87-$AI87-$AH87-$AG87-$AF87-$AE87*(1+EJ$3))/$AJ87,'Технический лист'!$I:$J,2,1)-VLOOKUP($AO87,'Технический лист'!$I:$J,2,1)),1+(1-$AU87))</f>
        <v>1</v>
      </c>
      <c r="EK87" s="15">
        <f>MIN(IF($AU87=100%,1,1+VLOOKUP(($AJ87-$AI87-$AH87-$AG87-$AF87-$AE87*(1+EK$3))/$AJ87,'Технический лист'!$I:$J,2,1)-VLOOKUP($AO87,'Технический лист'!$I:$J,2,1)),1+(1-$AU87))</f>
        <v>1</v>
      </c>
      <c r="EL87" s="15">
        <f>MIN(IF($AU87=100%,1,1+VLOOKUP(($AJ87-$AI87-$AH87-$AG87-$AF87-$AE87*(1+EL$3))/$AJ87,'Технический лист'!$I:$J,2,1)-VLOOKUP($AO87,'Технический лист'!$I:$J,2,1)),1+(1-$AU87))</f>
        <v>1</v>
      </c>
      <c r="EM87" s="15">
        <f>MIN(IF($AU87=100%,1,1+VLOOKUP(($AJ87-$AI87-$AH87-$AG87-$AF87-$AE87*(1+EM$3))/$AJ87,'Технический лист'!$I:$J,2,1)-VLOOKUP($AO87,'Технический лист'!$I:$J,2,1)),1+(1-$AU87))</f>
        <v>1</v>
      </c>
      <c r="EN87" s="15">
        <f>MIN(IF($AU87=100%,1,1+VLOOKUP(($AJ87-$AI87-$AH87-$AG87-$AF87-$AE87*(1+EN$3))/$AJ87,'Технический лист'!$I:$J,2,1)-VLOOKUP($AO87,'Технический лист'!$I:$J,2,1)),1+(1-$AU87))</f>
        <v>1</v>
      </c>
      <c r="EO87" s="15">
        <f>MIN(IF($AU87=100%,1,1+VLOOKUP(($AJ87-$AI87-$AH87-$AG87-$AF87-$AE87*(1+EO$3))/$AJ87,'Технический лист'!$I:$J,2,1)-VLOOKUP($AO87,'Технический лист'!$I:$J,2,1)),1+(1-$AU87))</f>
        <v>1</v>
      </c>
      <c r="EP87" s="15">
        <f>MIN(IF($AU87=100%,1,1+VLOOKUP(($AJ87-$AI87-$AH87-$AG87-$AF87-$AE87*(1+EP$3))/$AJ87,'Технический лист'!$I:$J,2,1)-VLOOKUP($AO87,'Технический лист'!$I:$J,2,1)),1+(1-$AU87))</f>
        <v>1</v>
      </c>
      <c r="EQ87" s="15">
        <f>MIN(IF($AU87=100%,1,1+VLOOKUP(($AJ87-$AI87-$AH87-$AG87-$AF87-$AE87*(1+EQ$3))/$AJ87,'Технический лист'!$I:$J,2,1)-VLOOKUP($AO87,'Технический лист'!$I:$J,2,1)),1+(1-$AU87))</f>
        <v>1</v>
      </c>
      <c r="ER87" s="15">
        <f>MIN(IF($AU87=100%,1,1+VLOOKUP(($AJ87-$AI87-$AH87-$AG87-$AF87-$AE87*(1+ER$3))/$AJ87,'Технический лист'!$I:$J,2,1)-VLOOKUP($AO87,'Технический лист'!$I:$J,2,1)),1+(1-$AU87))</f>
        <v>1</v>
      </c>
      <c r="ES87" s="15">
        <f>MIN(IF($AU87=100%,1,1+VLOOKUP(($AJ87-$AI87-$AH87-$AG87-$AF87-$AE87*(1+ES$3))/$AJ87,'Технический лист'!$I:$J,2,1)-VLOOKUP($AO87,'Технический лист'!$I:$J,2,1)),1+(1-$AU87))</f>
        <v>1</v>
      </c>
      <c r="ET87" s="15">
        <f>MIN(IF($AU87=100%,1,1+VLOOKUP(($AJ87-$AI87-$AH87-$AG87-$AF87-$AE87*(1+ET$3))/$AJ87,'Технический лист'!$I:$J,2,1)-VLOOKUP($AO87,'Технический лист'!$I:$J,2,1)),1+(1-$AU87))</f>
        <v>1</v>
      </c>
      <c r="EU87" s="15">
        <f>MIN(IF($AU87=100%,1,1+VLOOKUP(($AJ87-$AI87-$AH87-$AG87-$AF87-$AE87*(1+EU$3))/$AJ87,'Технический лист'!$I:$J,2,1)-VLOOKUP($AO87,'Технический лист'!$I:$J,2,1)),1+(1-$AU87))</f>
        <v>1</v>
      </c>
      <c r="EV87" s="111">
        <v>1</v>
      </c>
      <c r="EW87" s="15">
        <f>MIN(1,MAX(VLOOKUP(($AJ87-$AI87-$AH87-$AG87-$AF87-$AE87*(1+EW$3))/$AJ87,'Технический лист'!$A:$B,2,1),(EV87-0.05)))</f>
        <v>1</v>
      </c>
      <c r="EX87" s="15">
        <f>MIN(1,MAX(VLOOKUP(($AJ87-$AI87-$AH87-$AG87-$AF87-$AE87*(1+EX$3))/$AJ87,'Технический лист'!$A:$B,2,1),(EW87-0.05)))</f>
        <v>1</v>
      </c>
      <c r="EY87" s="15">
        <f>MIN(1,MAX(VLOOKUP(($AJ87-$AI87-$AH87-$AG87-$AF87-$AE87*(1+EY$3))/$AJ87,'Технический лист'!$A:$B,2,1),(EX87-0.05)))</f>
        <v>1</v>
      </c>
      <c r="EZ87" s="15">
        <f>MIN(1,MAX(VLOOKUP(($AJ87-$AI87-$AH87-$AG87-$AF87-$AE87*(1+EZ$3))/$AJ87,'Технический лист'!$A:$B,2,1),(EY87-0.05)))</f>
        <v>1</v>
      </c>
      <c r="FA87" s="15">
        <f>MIN(1,MAX(VLOOKUP(($AJ87-$AI87-$AH87-$AG87-$AF87-$AE87*(1+FA$3))/$AJ87,'Технический лист'!$A:$B,2,1),(EZ87-0.05)))</f>
        <v>1</v>
      </c>
      <c r="FB87" s="15">
        <f>MIN(1,MAX(VLOOKUP(($AJ87-$AI87-$AH87-$AG87-$AF87-$AE87*(1+FB$3))/$AJ87,'Технический лист'!$A:$B,2,1),(FA87-0.05)))</f>
        <v>1</v>
      </c>
      <c r="FC87" s="15">
        <f>MIN(1,MAX(VLOOKUP(($AJ87-$AI87-$AH87-$AG87-$AF87-$AE87*(1+FC$3))/$AJ87,'Технический лист'!$A:$B,2,1),(FB87-0.05)))</f>
        <v>1</v>
      </c>
      <c r="FD87" s="15">
        <f>MIN(1,MAX(VLOOKUP(($AJ87-$AI87-$AH87-$AG87-$AF87-$AE87*(1+FD$3))/$AJ87,'Технический лист'!$A:$B,2,1),(FC87-0.05)))</f>
        <v>1</v>
      </c>
      <c r="FE87" s="15">
        <f>MIN(1,MAX(VLOOKUP(($AJ87-$AI87-$AH87-$AG87-$AF87-$AE87*(1+FE$3))/$AJ87,'Технический лист'!$A:$B,2,1),(FD87-0.05)))</f>
        <v>1</v>
      </c>
      <c r="FF87" s="15">
        <f>MIN(1,MAX(VLOOKUP(($AJ87-$AI87-$AH87-$AG87-$AF87-$AE87*(1+FF$3))/$AJ87,'Технический лист'!$A:$B,2,1),(FE87-0.05)))</f>
        <v>1</v>
      </c>
      <c r="FG87" s="15">
        <f>MIN(1,MAX(VLOOKUP(($AJ87-$AI87-$AH87-$AG87-$AF87-$AE87*(1+FG$3))/$AJ87,'Технический лист'!$A:$B,2,1),(FF87-0.05)))</f>
        <v>1</v>
      </c>
      <c r="FH87" s="15">
        <f>MIN(1,MAX(VLOOKUP(($AJ87-$AI87-$AH87-$AG87-$AF87-$AE87*(1+FH$3))/$AJ87,'Технический лист'!$A:$B,2,1),(FG87-0.05)))</f>
        <v>1</v>
      </c>
      <c r="FI87" s="15">
        <f>MIN(1,MAX(VLOOKUP(($AJ87-$AI87-$AH87-$AG87-$AF87-$AE87*(1+FI$3))/$AJ87,'Технический лист'!$A:$B,2,1),(FH87-0.05)))</f>
        <v>1</v>
      </c>
      <c r="FJ87" s="15">
        <f>MIN(1,MAX(VLOOKUP(($AJ87-$AI87-$AH87-$AG87-$AF87-$AE87*(1+FJ$3))/$AJ87,'Технический лист'!$A:$B,2,1),(FI87-0.05)))</f>
        <v>1</v>
      </c>
      <c r="FK87" s="15">
        <f>MIN(1,MAX(VLOOKUP(($AJ87-$AI87-$AH87-$AG87-$AF87-$AE87*(1+FK$3))/$AJ87,'Технический лист'!$A:$B,2,1),(FJ87-0.05)))</f>
        <v>1</v>
      </c>
      <c r="FL87" s="15">
        <f>MIN(1,MAX(VLOOKUP(($AJ87-$AI87-$AH87-$AG87-$AF87-$AE87*(1+FL$3))/$AJ87,'Технический лист'!$A:$B,2,1),(FK87-0.05)))</f>
        <v>1</v>
      </c>
      <c r="FM87" s="15">
        <f>MIN(1,MAX(VLOOKUP(($AJ87-$AI87-$AH87-$AG87-$AF87-$AE87*(1+FM$3))/$AJ87,'Технический лист'!$A:$B,2,1),(FL87-0.05)))</f>
        <v>1</v>
      </c>
      <c r="FN87" s="15">
        <f>MIN(1,MAX(VLOOKUP(($AJ87-$AI87-$AH87-$AG87-$AF87-$AE87*(1+FN$3))/$AJ87,'Технический лист'!$A:$B,2,1),(FM87-0.05)))</f>
        <v>1</v>
      </c>
      <c r="FO87" s="15">
        <f>MIN(1,MAX(VLOOKUP(($AJ87-$AI87-$AH87-$AG87-$AF87-$AE87*(1+FO$3))/$AJ87,'Технический лист'!$A:$B,2,1),(FN87-0.05)))</f>
        <v>1</v>
      </c>
      <c r="FP87" s="15">
        <f>MIN(1,MAX(VLOOKUP(($AJ87-$AI87-$AH87-$AG87-$AF87-$AE87*(1+FP$3))/$AJ87,'Технический лист'!$A:$B,2,1),(FO87-0.05)))</f>
        <v>1</v>
      </c>
      <c r="FQ87" s="15">
        <f>MIN(1,MAX(VLOOKUP(($AJ87-$AI87-$AH87-$AG87-$AF87-$AE87*(1+FQ$3))/$AJ87,'Технический лист'!$A:$B,2,1),(FP87-0.05)))</f>
        <v>1</v>
      </c>
      <c r="FR87" s="15">
        <f>MIN(1,MAX(VLOOKUP(($AJ87-$AI87-$AH87-$AG87-$AF87-$AE87*(1+FR$3))/$AJ87,'Технический лист'!$A:$B,2,1),(FQ87-0.05)))</f>
        <v>1</v>
      </c>
      <c r="FS87" s="15">
        <f>MIN(1,MAX(VLOOKUP(($AJ87-$AI87-$AH87-$AG87-$AF87-$AE87*(1+FS$3))/$AJ87,'Технический лист'!$A:$B,2,1),(FR87-0.05)))</f>
        <v>1</v>
      </c>
      <c r="FT87" s="15">
        <f>MIN(1,MAX(VLOOKUP(($AJ87-$AI87-$AH87-$AG87-$AF87-$AE87*(1+FT$3))/$AJ87,'Технический лист'!$A:$B,2,1),(FS87-0.05)))</f>
        <v>1</v>
      </c>
      <c r="FU87" s="15">
        <f>MIN(1,MAX(VLOOKUP(($AJ87-$AI87-$AH87-$AG87-$AF87-$AE87*(1+FU$3))/$AJ87,'Технический лист'!$A:$B,2,1),(FT87-0.05)))</f>
        <v>1</v>
      </c>
      <c r="FV87" s="15">
        <f>MIN(1,MAX(VLOOKUP(($AJ87-$AI87-$AH87-$AG87-$AF87-$AE87*(1+FV$3))/$AJ87,'Технический лист'!$A:$B,2,1),(FU87-0.05)))</f>
        <v>1</v>
      </c>
      <c r="FW87" s="15">
        <f>MIN(1,MAX(VLOOKUP(($AJ87-$AI87-$AH87-$AG87-$AF87-$AE87*(1+FW$3))/$AJ87,'Технический лист'!$A:$B,2,1),(FV87-0.05)))</f>
        <v>1</v>
      </c>
      <c r="FX87" s="15">
        <f>MIN(1,MAX(VLOOKUP(($AJ87-$AI87-$AH87-$AG87-$AF87-$AE87*(1+FX$3))/$AJ87,'Технический лист'!$A:$B,2,1),(FW87-0.05)))</f>
        <v>1</v>
      </c>
      <c r="FY87" s="15">
        <f>MIN(1,MAX(VLOOKUP(($AJ87-$AI87-$AH87-$AG87-$AF87-$AE87*(1+FY$3))/$AJ87,'Технический лист'!$A:$B,2,1),(FX87-0.05)))</f>
        <v>1</v>
      </c>
      <c r="FZ87" s="15">
        <f>MIN(1,MAX(VLOOKUP(($AJ87-$AI87-$AH87-$AG87-$AF87-$AE87*(1+FZ$3))/$AJ87,'Технический лист'!$A:$B,2,1),(FY87-0.05)))</f>
        <v>1</v>
      </c>
      <c r="GA87" s="15">
        <f>MIN(1,MAX(VLOOKUP(($AJ87-$AI87-$AH87-$AG87-$AF87-$AE87*(1+GA$3))/$AJ87,'Технический лист'!$A:$B,2,1),(FZ87-0.05)))</f>
        <v>1</v>
      </c>
      <c r="GB87" s="15">
        <f>MIN(1,MAX(VLOOKUP(($AJ87-$AI87-$AH87-$AG87-$AF87-$AE87*(1+GB$3))/$AJ87,'Технический лист'!$A:$B,2,1),(GA87-0.05)))</f>
        <v>1</v>
      </c>
      <c r="GC87" s="15">
        <f>MIN(1,MAX(VLOOKUP(($AJ87-$AI87-$AH87-$AG87-$AF87-$AE87*(1+GC$3))/$AJ87,'Технический лист'!$A:$B,2,1),(GB87-0.05)))</f>
        <v>1</v>
      </c>
      <c r="GD87" s="15">
        <f>MIN(1,MAX(VLOOKUP(($AJ87-$AI87-$AH87-$AG87-$AF87-$AE87*(1+GD$3))/$AJ87,'Технический лист'!$A:$B,2,1),(GC87-0.05)))</f>
        <v>1</v>
      </c>
      <c r="GE87" s="15">
        <f>MIN(1,MAX(VLOOKUP(($AJ87-$AI87-$AH87-$AG87-$AF87-$AE87*(1+GE$3))/$AJ87,'Технический лист'!$A:$B,2,1),(GD87-0.05)))</f>
        <v>1</v>
      </c>
      <c r="GF87" s="15">
        <f>MIN(1,MAX(VLOOKUP(($AJ87-$AI87-$AH87-$AG87-$AF87-$AE87*(1+GF$3))/$AJ87,'Технический лист'!$A:$B,2,1),(GE87-0.05)))</f>
        <v>1</v>
      </c>
      <c r="GG87" s="15">
        <f>MIN(1,MAX(VLOOKUP(($AJ87-$AI87-$AH87-$AG87-$AF87-$AE87*(1+GG$3))/$AJ87,'Технический лист'!$A:$B,2,1),(GF87-0.05)))</f>
        <v>1</v>
      </c>
      <c r="GH87" s="15">
        <f>MIN(1,MAX(VLOOKUP(($AJ87-$AI87-$AH87-$AG87-$AF87-$AE87*(1+GH$3))/$AJ87,'Технический лист'!$A:$B,2,1),(GG87-0.05)))</f>
        <v>1</v>
      </c>
      <c r="GI87" s="15">
        <f>MIN(1,MAX(VLOOKUP(($AJ87-$AI87-$AH87-$AG87-$AF87-$AE87*(1+GI$3))/$AJ87,'Технический лист'!$A:$B,2,1),(GH87-0.05)))</f>
        <v>1</v>
      </c>
      <c r="GJ87" s="15">
        <f>MIN(1,MAX(VLOOKUP(($AJ87-$AI87-$AH87-$AG87-$AF87-$AE87*(1+GJ$3))/$AJ87,'Технический лист'!$A:$B,2,1),(GI87-0.05)))</f>
        <v>1</v>
      </c>
      <c r="GK87" s="15">
        <f>MIN(1,MAX(VLOOKUP(($AJ87-$AI87-$AH87-$AG87-$AF87-$AE87*(1+GK$3))/$AJ87,'Технический лист'!$A:$B,2,1),(GJ87-0.05)))</f>
        <v>1</v>
      </c>
      <c r="GL87" s="15">
        <f>MIN(1,MAX(VLOOKUP(($AJ87-$AI87-$AH87-$AG87-$AF87-$AE87*(1+GL$3))/$AJ87,'Технический лист'!$A:$B,2,1),(GK87-0.05)))</f>
        <v>1</v>
      </c>
      <c r="GM87" s="15">
        <f>MIN(1,MAX(VLOOKUP(($AJ87-$AI87-$AH87-$AG87-$AF87-$AE87*(1+GM$3))/$AJ87,'Технический лист'!$A:$B,2,1),(GL87-0.05)))</f>
        <v>1</v>
      </c>
      <c r="GN87" s="15">
        <f>MIN(1,MAX(VLOOKUP(($AJ87-$AI87-$AH87-$AG87-$AF87-$AE87*(1+GN$3))/$AJ87,'Технический лист'!$A:$B,2,1),(GM87-0.05)))</f>
        <v>1</v>
      </c>
      <c r="GO87" s="15">
        <f>MIN(1,MAX(VLOOKUP(($AJ87-$AI87-$AH87-$AG87-$AF87-$AE87*(1+GO$3))/$AJ87,'Технический лист'!$A:$B,2,1),(GN87-0.05)))</f>
        <v>1</v>
      </c>
      <c r="GP87" s="15">
        <f>MIN(1,MAX(VLOOKUP(($AJ87-$AI87-$AH87-$AG87-$AF87-$AE87*(1+GP$3))/$AJ87,'Технический лист'!$A:$B,2,1),(GO87-0.05)))</f>
        <v>1</v>
      </c>
      <c r="GQ87" s="15">
        <f>MIN(1,MAX(VLOOKUP(($AJ87-$AI87-$AH87-$AG87-$AF87-$AE87*(1+GQ$3))/$AJ87,'Технический лист'!$A:$B,2,1),(GP87-0.05)))</f>
        <v>1</v>
      </c>
      <c r="GR87" s="15">
        <f>MIN(1,MAX(VLOOKUP(($AJ87-$AI87-$AH87-$AG87-$AF87-$AE87*(1+GR$3))/$AJ87,'Технический лист'!$A:$B,2,1),(GQ87-0.05)))</f>
        <v>1</v>
      </c>
      <c r="GS87" s="15">
        <f>MIN(1,MAX(VLOOKUP(($AJ87-$AI87-$AH87-$AG87-$AF87-$AE87*(1+GS$3))/$AJ87,'Технический лист'!$A:$B,2,1),(GR87-0.05)))</f>
        <v>1</v>
      </c>
      <c r="GT87" s="15">
        <f>MIN(1,MAX(VLOOKUP(($AJ87-$AI87-$AH87-$AG87-$AF87-$AE87*(1+GT$3))/$AJ87,'Технический лист'!$A:$B,2,1),(GS87-0.05)))</f>
        <v>1</v>
      </c>
      <c r="GU87" s="15">
        <f>MIN(1,MAX(VLOOKUP(($AJ87-$AI87-$AH87-$AG87-$AF87-$AE87*(1+GU$3))/$AJ87,'Технический лист'!$A:$B,2,1),(GT87-0.05)))</f>
        <v>1</v>
      </c>
      <c r="GV87" s="15">
        <f>MIN(1,MAX(VLOOKUP(($AJ87-$AI87-$AH87-$AG87-$AF87-$AE87*(1+GV$3))/$AJ87,'Технический лист'!$A:$B,2,1),(GU87-0.05)))</f>
        <v>1</v>
      </c>
      <c r="GW87" s="15">
        <f>MIN(1,MAX(VLOOKUP(($AJ87-$AI87-$AH87-$AG87-$AF87-$AE87*(1+GW$3))/$AJ87,'Технический лист'!$A:$B,2,1),(GV87-0.05)))</f>
        <v>1</v>
      </c>
      <c r="GX87" s="15">
        <f>MIN(1,MAX(VLOOKUP(($AJ87-$AI87-$AH87-$AG87-$AF87-$AE87*(1+GX$3))/$AJ87,'Технический лист'!$A:$B,2,1),(GW87-0.05)))</f>
        <v>1</v>
      </c>
      <c r="GY87" s="15">
        <f>MIN(1,MAX(VLOOKUP(($AJ87-$AI87-$AH87-$AG87-$AF87-$AE87*(1+GY$3))/$AJ87,'Технический лист'!$A:$B,2,1),(GX87-0.05)))</f>
        <v>1</v>
      </c>
      <c r="GZ87" s="15">
        <f>MIN(1,MAX(VLOOKUP(($AJ87-$AI87-$AH87-$AG87-$AF87-$AE87*(1+GZ$3))/$AJ87,'Технический лист'!$A:$B,2,1),(GY87-0.05)))</f>
        <v>1</v>
      </c>
      <c r="HA87" s="15">
        <f>MIN(1,MAX(VLOOKUP(($AJ87-$AI87-$AH87-$AG87-$AF87-$AE87*(1+HA$3))/$AJ87,'Технический лист'!$A:$B,2,1),(GZ87-0.05)))</f>
        <v>1</v>
      </c>
      <c r="HB87" s="15">
        <f>MIN(1,MAX(VLOOKUP(($AJ87-$AI87-$AH87-$AG87-$AF87-$AE87*(1+HB$3))/$AJ87,'Технический лист'!$A:$B,2,1),(HA87-0.05)))</f>
        <v>1</v>
      </c>
      <c r="HC87" s="15">
        <f>MIN(1,MAX(VLOOKUP(($AJ87-$AI87-$AH87-$AG87-$AF87-$AE87*(1+HC$3))/$AJ87,'Технический лист'!$A:$B,2,1),(HB87-0.05)))</f>
        <v>1</v>
      </c>
      <c r="HD87" s="15">
        <f>MIN(1,MAX(VLOOKUP(($AJ87-$AI87-$AH87-$AG87-$AF87-$AE87*(1+HD$3))/$AJ87,'Технический лист'!$A:$B,2,1),(HC87-0.05)))</f>
        <v>1</v>
      </c>
      <c r="HE87" s="15">
        <f>MIN(1,MAX(VLOOKUP(($AJ87-$AI87-$AH87-$AG87-$AF87-$AE87*(1+HE$3))/$AJ87,'Технический лист'!$A:$B,2,1),(HD87-0.05)))</f>
        <v>1</v>
      </c>
      <c r="HF87" s="15">
        <f>MIN(1,MAX(VLOOKUP(($AJ87-$AI87-$AH87-$AG87-$AF87-$AE87*(1+HF$3))/$AJ87,'Технический лист'!$A:$B,2,1),(HE87-0.05)))</f>
        <v>1</v>
      </c>
      <c r="HG87" s="15">
        <f>MIN(1,MAX(VLOOKUP(($AJ87-$AI87-$AH87-$AG87-$AF87-$AE87*(1+HG$3))/$AJ87,'Технический лист'!$A:$B,2,1),(HF87-0.05)))</f>
        <v>1</v>
      </c>
      <c r="HH87" s="15">
        <f>MIN(1,MAX(VLOOKUP(($AJ87-$AI87-$AH87-$AG87-$AF87-$AE87*(1+HH$3))/$AJ87,'Технический лист'!$A:$B,2,1),(HG87-0.05)))</f>
        <v>1</v>
      </c>
      <c r="HI87" s="15">
        <f>MIN(1,MAX(VLOOKUP(($AJ87-$AI87-$AH87-$AG87-$AF87-$AE87*(1+HI$3))/$AJ87,'Технический лист'!$A:$B,2,1),(HH87-0.05)))</f>
        <v>1</v>
      </c>
      <c r="HJ87" s="15">
        <f>MIN(1,MAX(VLOOKUP(($AJ87-$AI87-$AH87-$AG87-$AF87-$AE87*(1+HJ$3))/$AJ87,'Технический лист'!$A:$B,2,1),(HI87-0.05)))</f>
        <v>1</v>
      </c>
      <c r="HK87" s="15">
        <f>MIN(1,MAX(VLOOKUP(($AJ87-$AI87-$AH87-$AG87-$AF87-$AE87*(1+HK$3))/$AJ87,'Технический лист'!$A:$B,2,1),(HJ87-0.05)))</f>
        <v>1</v>
      </c>
      <c r="HL87" s="15">
        <f>MIN(1,MAX(VLOOKUP(($AJ87-$AI87-$AH87-$AG87-$AF87-$AE87*(1+HL$3))/$AJ87,'Технический лист'!$A:$B,2,1),(HK87-0.05)))</f>
        <v>1</v>
      </c>
      <c r="HM87" s="15">
        <f>MIN(1,MAX(VLOOKUP(($AJ87-$AI87-$AH87-$AG87-$AF87-$AE87*(1+HM$3))/$AJ87,'Технический лист'!$A:$B,2,1),(HL87-0.05)))</f>
        <v>1</v>
      </c>
      <c r="HN87" s="15">
        <f>MIN(1,MAX(VLOOKUP(($AJ87-$AI87-$AH87-$AG87-$AF87-$AE87*(1+HN$3))/$AJ87,'Технический лист'!$A:$B,2,1),(HM87-0.05)))</f>
        <v>1</v>
      </c>
      <c r="HO87" s="15">
        <f>MIN(1,MAX(VLOOKUP(($AJ87-$AI87-$AH87-$AG87-$AF87-$AE87*(1+HO$3))/$AJ87,'Технический лист'!$A:$B,2,1),(HN87-0.05)))</f>
        <v>1</v>
      </c>
      <c r="HP87" s="15">
        <f>MIN(1,MAX(VLOOKUP(($AJ87-$AI87-$AH87-$AG87-$AF87-$AE87*(1+HP$3))/$AJ87,'Технический лист'!$A:$B,2,1),(HO87-0.05)))</f>
        <v>1</v>
      </c>
      <c r="HQ87" s="15">
        <f>MIN(1,MAX(VLOOKUP(($AJ87-$AI87-$AH87-$AG87-$AF87-$AE87*(1+HQ$3))/$AJ87,'Технический лист'!$A:$B,2,1),(HP87-0.05)))</f>
        <v>1</v>
      </c>
      <c r="HR87" s="15">
        <f>MIN(1,MAX(VLOOKUP(($AJ87-$AI87-$AH87-$AG87-$AF87-$AE87*(1+HR$3))/$AJ87,'Технический лист'!$A:$B,2,1),(HQ87-0.05)))</f>
        <v>1</v>
      </c>
      <c r="HS87" s="15">
        <f>MIN(1,MAX(VLOOKUP(($AJ87-$AI87-$AH87-$AG87-$AF87-$AE87*(1+HS$3))/$AJ87,'Технический лист'!$A:$B,2,1),(HR87-0.05)))</f>
        <v>1</v>
      </c>
      <c r="HT87" s="15">
        <f>MIN(1,MAX(VLOOKUP(($AJ87-$AI87-$AH87-$AG87-$AF87-$AE87*(1+HT$3))/$AJ87,'Технический лист'!$A:$B,2,1),(HS87-0.05)))</f>
        <v>1</v>
      </c>
      <c r="HU87" s="15">
        <f>MIN(1,MAX(VLOOKUP(($AJ87-$AI87-$AH87-$AG87-$AF87-$AE87*(1+HU$3))/$AJ87,'Технический лист'!$A:$B,2,1),(HT87-0.05)))</f>
        <v>1</v>
      </c>
      <c r="HV87" s="15">
        <f>MIN(1,MAX(VLOOKUP(($AJ87-$AI87-$AH87-$AG87-$AF87-$AE87*(1+HV$3))/$AJ87,'Технический лист'!$A:$B,2,1),(HU87-0.05)))</f>
        <v>1</v>
      </c>
      <c r="HW87" s="15">
        <f>MIN(1,MAX(VLOOKUP(($AJ87-$AI87-$AH87-$AG87-$AF87-$AE87*(1+HW$3))/$AJ87,'Технический лист'!$A:$B,2,1),(HV87-0.05)))</f>
        <v>1</v>
      </c>
      <c r="HX87" s="15">
        <f>MIN(1,MAX(VLOOKUP(($AJ87-$AI87-$AH87-$AG87-$AF87-$AE87*(1+HX$3))/$AJ87,'Технический лист'!$A:$B,2,1),(HW87-0.05)))</f>
        <v>1</v>
      </c>
      <c r="HY87" s="15">
        <f>MIN(1,MAX(VLOOKUP(($AJ87-$AI87-$AH87-$AG87-$AF87-$AE87*(1+HY$3))/$AJ87,'Технический лист'!$A:$B,2,1),(HX87-0.05)))</f>
        <v>1</v>
      </c>
      <c r="HZ87" s="15">
        <f>MIN(1,MAX(VLOOKUP(($AJ87-$AI87-$AH87-$AG87-$AF87-$AE87*(1+HZ$3))/$AJ87,'Технический лист'!$A:$B,2,1),(HY87-0.05)))</f>
        <v>1</v>
      </c>
      <c r="IA87" s="15">
        <f>MIN(1,MAX(VLOOKUP(($AJ87-$AI87-$AH87-$AG87-$AF87-$AE87*(1+IA$3))/$AJ87,'Технический лист'!$A:$B,2,1),(HZ87-0.05)))</f>
        <v>1</v>
      </c>
      <c r="IB87" s="15">
        <f>MIN(1,MAX(VLOOKUP(($AJ87-$AI87-$AH87-$AG87-$AF87-$AE87*(1+IB$3))/$AJ87,'Технический лист'!$A:$B,2,1),(IA87-0.05)))</f>
        <v>1</v>
      </c>
      <c r="IC87" s="15">
        <f>MIN(1,MAX(VLOOKUP(($AJ87-$AI87-$AH87-$AG87-$AF87-$AE87*(1+IC$3))/$AJ87,'Технический лист'!$A:$B,2,1),(IB87-0.05)))</f>
        <v>1</v>
      </c>
      <c r="ID87" s="15">
        <f>MIN(1,MAX(VLOOKUP(($AJ87-$AI87-$AH87-$AG87-$AF87-$AE87*(1+ID$3))/$AJ87,'Технический лист'!$A:$B,2,1),(IC87-0.05)))</f>
        <v>1</v>
      </c>
      <c r="IE87" s="15">
        <f>MIN(1,MAX(VLOOKUP(($AJ87-$AI87-$AH87-$AG87-$AF87-$AE87*(1+IE$3))/$AJ87,'Технический лист'!$A:$B,2,1),(ID87-0.05)))</f>
        <v>1</v>
      </c>
      <c r="IF87" s="15">
        <f>MIN(1,MAX(VLOOKUP(($AJ87-$AI87-$AH87-$AG87-$AF87-$AE87*(1+IF$3))/$AJ87,'Технический лист'!$A:$B,2,1),(IE87-0.05)))</f>
        <v>1</v>
      </c>
      <c r="IG87" s="15">
        <f>MIN(1,MAX(VLOOKUP(($AJ87-$AI87-$AH87-$AG87-$AF87-$AE87*(1+IG$3))/$AJ87,'Технический лист'!$A:$B,2,1),(IF87-0.05)))</f>
        <v>1</v>
      </c>
      <c r="IH87" s="15">
        <f>MIN(1,MAX(VLOOKUP(($AJ87-$AI87-$AH87-$AG87-$AF87-$AE87*(1+IH$3))/$AJ87,'Технический лист'!$A:$B,2,1),(IG87-0.05)))</f>
        <v>1</v>
      </c>
      <c r="II87" s="15">
        <f>MIN(1,MAX(VLOOKUP(($AJ87-$AI87-$AH87-$AG87-$AF87-$AE87*(1+II$3))/$AJ87,'Технический лист'!$A:$B,2,1),(IH87-0.05)))</f>
        <v>1</v>
      </c>
      <c r="IJ87" s="15">
        <f>MIN(1,MAX(VLOOKUP(($AJ87-$AI87-$AH87-$AG87-$AF87-$AE87*(1+IJ$3))/$AJ87,'Технический лист'!$A:$B,2,1),(II87-0.05)))</f>
        <v>1</v>
      </c>
      <c r="IK87" s="15">
        <f>MIN(1,MAX(VLOOKUP(($AJ87-$AI87-$AH87-$AG87-$AF87-$AE87*(1+IK$3))/$AJ87,'Технический лист'!$A:$B,2,1),(IJ87-0.05)))</f>
        <v>1</v>
      </c>
      <c r="IL87" s="15">
        <f>MIN(1,MAX(VLOOKUP(($AJ87-$AI87-$AH87-$AG87-$AF87-$AE87*(1+IL$3))/$AJ87,'Технический лист'!$A:$B,2,1),(IK87-0.05)))</f>
        <v>1</v>
      </c>
      <c r="IM87" s="15">
        <f>MIN(1,MAX(VLOOKUP(($AJ87-$AI87-$AH87-$AG87-$AF87-$AE87*(1+IM$3))/$AJ87,'Технический лист'!$A:$B,2,1),(IL87-0.05)))</f>
        <v>1</v>
      </c>
      <c r="IN87" s="15">
        <f>MIN(1,MAX(VLOOKUP(($AJ87-$AI87-$AH87-$AG87-$AF87-$AE87*(1+IN$3))/$AJ87,'Технический лист'!$A:$B,2,1),(IM87-0.05)))</f>
        <v>1</v>
      </c>
      <c r="IO87" s="15">
        <f>MIN(1,MAX(VLOOKUP(($AJ87-$AI87-$AH87-$AG87-$AF87-$AE87*(1+IO$3))/$AJ87,'Технический лист'!$A:$B,2,1),(IN87-0.05)))</f>
        <v>1</v>
      </c>
      <c r="IP87" s="15">
        <f>MIN(1,MAX(VLOOKUP(($AJ87-$AI87-$AH87-$AG87-$AF87-$AE87*(1+IP$3))/$AJ87,'Технический лист'!$A:$B,2,1),(IO87-0.05)))</f>
        <v>1</v>
      </c>
      <c r="IQ87" s="15">
        <f>MIN(1,MAX(VLOOKUP(($AJ87-$AI87-$AH87-$AG87-$AF87-$AE87*(1+IQ$3))/$AJ87,'Технический лист'!$A:$B,2,1),(IP87-0.05)))</f>
        <v>1</v>
      </c>
      <c r="IR87" s="15">
        <f>MIN(1,MAX(VLOOKUP(($AJ87-$AI87-$AH87-$AG87-$AF87-$AE87*(1+IR$3))/$AJ87,'Технический лист'!$A:$B,2,1),(IQ87-0.05)))</f>
        <v>1</v>
      </c>
    </row>
    <row r="88" spans="1:252" ht="58.3">
      <c r="A88" s="89" t="s">
        <v>515</v>
      </c>
      <c r="B88" s="90">
        <v>5</v>
      </c>
      <c r="C88" s="5" t="s">
        <v>68</v>
      </c>
      <c r="D88" s="91">
        <v>32411</v>
      </c>
      <c r="E88" s="91" t="s">
        <v>340</v>
      </c>
      <c r="F88" s="92" t="s">
        <v>75</v>
      </c>
      <c r="G88" s="91" t="s">
        <v>50</v>
      </c>
      <c r="H88" s="91" t="s">
        <v>26</v>
      </c>
      <c r="I88" s="91" t="s">
        <v>83</v>
      </c>
      <c r="J88" s="91" t="s">
        <v>163</v>
      </c>
      <c r="K88" s="91">
        <v>1784</v>
      </c>
      <c r="L88" s="85" t="s">
        <v>64</v>
      </c>
      <c r="M88" s="91" t="s">
        <v>190</v>
      </c>
      <c r="N88" s="91" t="s">
        <v>191</v>
      </c>
      <c r="O88" s="91" t="s">
        <v>193</v>
      </c>
      <c r="P88" s="89" t="s">
        <v>196</v>
      </c>
      <c r="Q88" s="91" t="s">
        <v>306</v>
      </c>
      <c r="R88" s="91" t="s">
        <v>251</v>
      </c>
      <c r="S88" s="82">
        <v>74144</v>
      </c>
      <c r="T88" s="82">
        <v>132292835</v>
      </c>
      <c r="U88" s="81">
        <v>1109</v>
      </c>
      <c r="V88" s="81">
        <v>0</v>
      </c>
      <c r="W88" s="82">
        <v>224735299</v>
      </c>
      <c r="X88" s="112">
        <v>67</v>
      </c>
      <c r="Y88" s="112" t="s">
        <v>417</v>
      </c>
      <c r="Z88" s="113">
        <v>8</v>
      </c>
      <c r="AA88" s="113">
        <v>6</v>
      </c>
      <c r="AB88" s="113">
        <v>4</v>
      </c>
      <c r="AC88" s="99">
        <v>3276.94</v>
      </c>
      <c r="AD88" s="99">
        <f t="shared" ref="AD88:AD95" si="37">AE88-AC88</f>
        <v>507.78999999999996</v>
      </c>
      <c r="AE88" s="99">
        <v>3784.73</v>
      </c>
      <c r="AF88" s="98">
        <f>(Z88+AA88+AB88)*'Ставки аренды'!$B$3/X88</f>
        <v>188.0597014925373</v>
      </c>
      <c r="AG88" s="114">
        <v>0</v>
      </c>
      <c r="AH88" s="94">
        <v>0</v>
      </c>
      <c r="AI88" s="115">
        <f t="shared" si="36"/>
        <v>24850</v>
      </c>
      <c r="AJ88" s="117">
        <f>Цены!D23</f>
        <v>35000</v>
      </c>
      <c r="AK88" s="94">
        <f>AJ88/Цены!$B$1</f>
        <v>458.68253271389352</v>
      </c>
      <c r="AL88" s="95">
        <f t="shared" si="24"/>
        <v>3972.7897014925375</v>
      </c>
      <c r="AM88" s="95">
        <f t="shared" si="25"/>
        <v>31027.210298507463</v>
      </c>
      <c r="AN88" s="94">
        <f t="shared" si="22"/>
        <v>28822.789701492537</v>
      </c>
      <c r="AO88" s="118">
        <f t="shared" si="23"/>
        <v>0.17649172281449896</v>
      </c>
      <c r="AP88" s="96">
        <f t="shared" si="26"/>
        <v>0.11350827718550106</v>
      </c>
      <c r="AQ88" s="96">
        <f t="shared" si="27"/>
        <v>0.10813514285714286</v>
      </c>
      <c r="AR88" s="96">
        <f t="shared" si="28"/>
        <v>0.95266306157059222</v>
      </c>
      <c r="AS88" s="122">
        <v>1</v>
      </c>
      <c r="AT88" s="121">
        <f t="shared" si="29"/>
        <v>74144</v>
      </c>
      <c r="AU88" s="83">
        <v>0.75</v>
      </c>
      <c r="AV88" s="119">
        <f t="shared" si="30"/>
        <v>0.1635155056716418</v>
      </c>
      <c r="AW88" s="120">
        <f t="shared" si="31"/>
        <v>0.1264844943283582</v>
      </c>
      <c r="AX88" s="120">
        <f t="shared" si="32"/>
        <v>0.12111136</v>
      </c>
      <c r="AY88" s="120">
        <f t="shared" si="33"/>
        <v>0.95751942278071367</v>
      </c>
      <c r="AZ88" s="15">
        <f>MIN(IF($AU88=100%,1,1+VLOOKUP(($AJ88-$AI88-$AH88-$AG88-$AF88-$AE88*(1+AZ$3))/$AJ88,'Технический лист'!$I:$J,2,1)-VLOOKUP($AO88,'Технический лист'!$I:$J,2,1)),1+(1-$AU88))</f>
        <v>1</v>
      </c>
      <c r="BA88" s="15">
        <f>MIN(IF($AU88=100%,1,1+VLOOKUP(($AJ88-$AI88-$AH88-$AG88-$AF88-$AE88*(1+BA$3))/$AJ88,'Технический лист'!$I:$J,2,1)-VLOOKUP($AO88,'Технический лист'!$I:$J,2,1)),1+(1-$AU88))</f>
        <v>1</v>
      </c>
      <c r="BB88" s="15">
        <f>MIN(IF($AU88=100%,1,1+VLOOKUP(($AJ88-$AI88-$AH88-$AG88-$AF88-$AE88*(1+BB$3))/$AJ88,'Технический лист'!$I:$J,2,1)-VLOOKUP($AO88,'Технический лист'!$I:$J,2,1)),1+(1-$AU88))</f>
        <v>1</v>
      </c>
      <c r="BC88" s="15">
        <f>MIN(IF($AU88=100%,1,1+VLOOKUP(($AJ88-$AI88-$AH88-$AG88-$AF88-$AE88*(1+BC$3))/$AJ88,'Технический лист'!$I:$J,2,1)-VLOOKUP($AO88,'Технический лист'!$I:$J,2,1)),1+(1-$AU88))</f>
        <v>1</v>
      </c>
      <c r="BD88" s="15">
        <f>MIN(IF($AU88=100%,1,1+VLOOKUP(($AJ88-$AI88-$AH88-$AG88-$AF88-$AE88*(1+BD$3))/$AJ88,'Технический лист'!$I:$J,2,1)-VLOOKUP($AO88,'Технический лист'!$I:$J,2,1)),1+(1-$AU88))</f>
        <v>1</v>
      </c>
      <c r="BE88" s="15">
        <f>MIN(IF($AU88=100%,1,1+VLOOKUP(($AJ88-$AI88-$AH88-$AG88-$AF88-$AE88*(1+BE$3))/$AJ88,'Технический лист'!$I:$J,2,1)-VLOOKUP($AO88,'Технический лист'!$I:$J,2,1)),1+(1-$AU88))</f>
        <v>1</v>
      </c>
      <c r="BF88" s="15">
        <f>MIN(IF($AU88=100%,1,1+VLOOKUP(($AJ88-$AI88-$AH88-$AG88-$AF88-$AE88*(1+BF$3))/$AJ88,'Технический лист'!$I:$J,2,1)-VLOOKUP($AO88,'Технический лист'!$I:$J,2,1)),1+(1-$AU88))</f>
        <v>1</v>
      </c>
      <c r="BG88" s="15">
        <f>MIN(IF($AU88=100%,1,1+VLOOKUP(($AJ88-$AI88-$AH88-$AG88-$AF88-$AE88*(1+BG$3))/$AJ88,'Технический лист'!$I:$J,2,1)-VLOOKUP($AO88,'Технический лист'!$I:$J,2,1)),1+(1-$AU88))</f>
        <v>1</v>
      </c>
      <c r="BH88" s="15">
        <f>MIN(IF($AU88=100%,1,1+VLOOKUP(($AJ88-$AI88-$AH88-$AG88-$AF88-$AE88*(1+BH$3))/$AJ88,'Технический лист'!$I:$J,2,1)-VLOOKUP($AO88,'Технический лист'!$I:$J,2,1)),1+(1-$AU88))</f>
        <v>1</v>
      </c>
      <c r="BI88" s="15">
        <f>MIN(IF($AU88=100%,1,1+VLOOKUP(($AJ88-$AI88-$AH88-$AG88-$AF88-$AE88*(1+BI$3))/$AJ88,'Технический лист'!$I:$J,2,1)-VLOOKUP($AO88,'Технический лист'!$I:$J,2,1)),1+(1-$AU88))</f>
        <v>1</v>
      </c>
      <c r="BJ88" s="15">
        <f>MIN(IF($AU88=100%,1,1+VLOOKUP(($AJ88-$AI88-$AH88-$AG88-$AF88-$AE88*(1+BJ$3))/$AJ88,'Технический лист'!$I:$J,2,1)-VLOOKUP($AO88,'Технический лист'!$I:$J,2,1)),1+(1-$AU88))</f>
        <v>1</v>
      </c>
      <c r="BK88" s="15">
        <f>MIN(IF($AU88=100%,1,1+VLOOKUP(($AJ88-$AI88-$AH88-$AG88-$AF88-$AE88*(1+BK$3))/$AJ88,'Технический лист'!$I:$J,2,1)-VLOOKUP($AO88,'Технический лист'!$I:$J,2,1)),1+(1-$AU88))</f>
        <v>1</v>
      </c>
      <c r="BL88" s="15">
        <f>MIN(IF($AU88=100%,1,1+VLOOKUP(($AJ88-$AI88-$AH88-$AG88-$AF88-$AE88*(1+BL$3))/$AJ88,'Технический лист'!$I:$J,2,1)-VLOOKUP($AO88,'Технический лист'!$I:$J,2,1)),1+(1-$AU88))</f>
        <v>1</v>
      </c>
      <c r="BM88" s="15">
        <f>MIN(IF($AU88=100%,1,1+VLOOKUP(($AJ88-$AI88-$AH88-$AG88-$AF88-$AE88*(1+BM$3))/$AJ88,'Технический лист'!$I:$J,2,1)-VLOOKUP($AO88,'Технический лист'!$I:$J,2,1)),1+(1-$AU88))</f>
        <v>1</v>
      </c>
      <c r="BN88" s="15">
        <f>MIN(IF($AU88=100%,1,1+VLOOKUP(($AJ88-$AI88-$AH88-$AG88-$AF88-$AE88*(1+BN$3))/$AJ88,'Технический лист'!$I:$J,2,1)-VLOOKUP($AO88,'Технический лист'!$I:$J,2,1)),1+(1-$AU88))</f>
        <v>1</v>
      </c>
      <c r="BO88" s="15">
        <f>MIN(IF($AU88=100%,1,1+VLOOKUP(($AJ88-$AI88-$AH88-$AG88-$AF88-$AE88*(1+BO$3))/$AJ88,'Технический лист'!$I:$J,2,1)-VLOOKUP($AO88,'Технический лист'!$I:$J,2,1)),1+(1-$AU88))</f>
        <v>1</v>
      </c>
      <c r="BP88" s="15">
        <f>MIN(IF($AU88=100%,1,1+VLOOKUP(($AJ88-$AI88-$AH88-$AG88-$AF88-$AE88*(1+BP$3))/$AJ88,'Технический лист'!$I:$J,2,1)-VLOOKUP($AO88,'Технический лист'!$I:$J,2,1)),1+(1-$AU88))</f>
        <v>1</v>
      </c>
      <c r="BQ88" s="15">
        <f>MIN(IF($AU88=100%,1,1+VLOOKUP(($AJ88-$AI88-$AH88-$AG88-$AF88-$AE88*(1+BQ$3))/$AJ88,'Технический лист'!$I:$J,2,1)-VLOOKUP($AO88,'Технический лист'!$I:$J,2,1)),1+(1-$AU88))</f>
        <v>1</v>
      </c>
      <c r="BR88" s="15">
        <f>MIN(IF($AU88=100%,1,1+VLOOKUP(($AJ88-$AI88-$AH88-$AG88-$AF88-$AE88*(1+BR$3))/$AJ88,'Технический лист'!$I:$J,2,1)-VLOOKUP($AO88,'Технический лист'!$I:$J,2,1)),1+(1-$AU88))</f>
        <v>1</v>
      </c>
      <c r="BS88" s="15">
        <f>MIN(IF($AU88=100%,1,1+VLOOKUP(($AJ88-$AI88-$AH88-$AG88-$AF88-$AE88*(1+BS$3))/$AJ88,'Технический лист'!$I:$J,2,1)-VLOOKUP($AO88,'Технический лист'!$I:$J,2,1)),1+(1-$AU88))</f>
        <v>1</v>
      </c>
      <c r="BT88" s="15">
        <f>MIN(IF($AU88=100%,1,1+VLOOKUP(($AJ88-$AI88-$AH88-$AG88-$AF88-$AE88*(1+BT$3))/$AJ88,'Технический лист'!$I:$J,2,1)-VLOOKUP($AO88,'Технический лист'!$I:$J,2,1)),1+(1-$AU88))</f>
        <v>1</v>
      </c>
      <c r="BU88" s="15">
        <f>MIN(IF($AU88=100%,1,1+VLOOKUP(($AJ88-$AI88-$AH88-$AG88-$AF88-$AE88*(1+BU$3))/$AJ88,'Технический лист'!$I:$J,2,1)-VLOOKUP($AO88,'Технический лист'!$I:$J,2,1)),1+(1-$AU88))</f>
        <v>1</v>
      </c>
      <c r="BV88" s="15">
        <f>MIN(IF($AU88=100%,1,1+VLOOKUP(($AJ88-$AI88-$AH88-$AG88-$AF88-$AE88*(1+BV$3))/$AJ88,'Технический лист'!$I:$J,2,1)-VLOOKUP($AO88,'Технический лист'!$I:$J,2,1)),1+(1-$AU88))</f>
        <v>1</v>
      </c>
      <c r="BW88" s="15">
        <f>MIN(IF($AU88=100%,1,1+VLOOKUP(($AJ88-$AI88-$AH88-$AG88-$AF88-$AE88*(1+BW$3))/$AJ88,'Технический лист'!$I:$J,2,1)-VLOOKUP($AO88,'Технический лист'!$I:$J,2,1)),1+(1-$AU88))</f>
        <v>1</v>
      </c>
      <c r="BX88" s="15">
        <f>MIN(IF($AU88=100%,1,1+VLOOKUP(($AJ88-$AI88-$AH88-$AG88-$AF88-$AE88*(1+BX$3))/$AJ88,'Технический лист'!$I:$J,2,1)-VLOOKUP($AO88,'Технический лист'!$I:$J,2,1)),1+(1-$AU88))</f>
        <v>1</v>
      </c>
      <c r="BY88" s="15">
        <f>MIN(IF($AU88=100%,1,1+VLOOKUP(($AJ88-$AI88-$AH88-$AG88-$AF88-$AE88*(1+BY$3))/$AJ88,'Технический лист'!$I:$J,2,1)-VLOOKUP($AO88,'Технический лист'!$I:$J,2,1)),1+(1-$AU88))</f>
        <v>1</v>
      </c>
      <c r="BZ88" s="15">
        <f>MIN(IF($AU88=100%,1,1+VLOOKUP(($AJ88-$AI88-$AH88-$AG88-$AF88-$AE88*(1+BZ$3))/$AJ88,'Технический лист'!$I:$J,2,1)-VLOOKUP($AO88,'Технический лист'!$I:$J,2,1)),1+(1-$AU88))</f>
        <v>1</v>
      </c>
      <c r="CA88" s="15">
        <f>MIN(IF($AU88=100%,1,1+VLOOKUP(($AJ88-$AI88-$AH88-$AG88-$AF88-$AE88*(1+CA$3))/$AJ88,'Технический лист'!$I:$J,2,1)-VLOOKUP($AO88,'Технический лист'!$I:$J,2,1)),1+(1-$AU88))</f>
        <v>1</v>
      </c>
      <c r="CB88" s="15">
        <f>MIN(IF($AU88=100%,1,1+VLOOKUP(($AJ88-$AI88-$AH88-$AG88-$AF88-$AE88*(1+CB$3))/$AJ88,'Технический лист'!$I:$J,2,1)-VLOOKUP($AO88,'Технический лист'!$I:$J,2,1)),1+(1-$AU88))</f>
        <v>1</v>
      </c>
      <c r="CC88" s="15">
        <f>MIN(IF($AU88=100%,1,1+VLOOKUP(($AJ88-$AI88-$AH88-$AG88-$AF88-$AE88*(1+CC$3))/$AJ88,'Технический лист'!$I:$J,2,1)-VLOOKUP($AO88,'Технический лист'!$I:$J,2,1)),1+(1-$AU88))</f>
        <v>1</v>
      </c>
      <c r="CD88" s="15">
        <f>MIN(IF($AU88=100%,1,1+VLOOKUP(($AJ88-$AI88-$AH88-$AG88-$AF88-$AE88*(1+CD$3))/$AJ88,'Технический лист'!$I:$J,2,1)-VLOOKUP($AO88,'Технический лист'!$I:$J,2,1)),1+(1-$AU88))</f>
        <v>1</v>
      </c>
      <c r="CE88" s="15">
        <f>MIN(IF($AU88=100%,1,1+VLOOKUP(($AJ88-$AI88-$AH88-$AG88-$AF88-$AE88*(1+CE$3))/$AJ88,'Технический лист'!$I:$J,2,1)-VLOOKUP($AO88,'Технический лист'!$I:$J,2,1)),1+(1-$AU88))</f>
        <v>1</v>
      </c>
      <c r="CF88" s="15">
        <f>MIN(IF($AU88=100%,1,1+VLOOKUP(($AJ88-$AI88-$AH88-$AG88-$AF88-$AE88*(1+CF$3))/$AJ88,'Технический лист'!$I:$J,2,1)-VLOOKUP($AO88,'Технический лист'!$I:$J,2,1)),1+(1-$AU88))</f>
        <v>1</v>
      </c>
      <c r="CG88" s="15">
        <f>MIN(IF($AU88=100%,1,1+VLOOKUP(($AJ88-$AI88-$AH88-$AG88-$AF88-$AE88*(1+CG$3))/$AJ88,'Технический лист'!$I:$J,2,1)-VLOOKUP($AO88,'Технический лист'!$I:$J,2,1)),1+(1-$AU88))</f>
        <v>1</v>
      </c>
      <c r="CH88" s="15">
        <f>MIN(IF($AU88=100%,1,1+VLOOKUP(($AJ88-$AI88-$AH88-$AG88-$AF88-$AE88*(1+CH$3))/$AJ88,'Технический лист'!$I:$J,2,1)-VLOOKUP($AO88,'Технический лист'!$I:$J,2,1)),1+(1-$AU88))</f>
        <v>1</v>
      </c>
      <c r="CI88" s="15">
        <f>MIN(IF($AU88=100%,1,1+VLOOKUP(($AJ88-$AI88-$AH88-$AG88-$AF88-$AE88*(1+CI$3))/$AJ88,'Технический лист'!$I:$J,2,1)-VLOOKUP($AO88,'Технический лист'!$I:$J,2,1)),1+(1-$AU88))</f>
        <v>1</v>
      </c>
      <c r="CJ88" s="15">
        <f>MIN(IF($AU88=100%,1,1+VLOOKUP(($AJ88-$AI88-$AH88-$AG88-$AF88-$AE88*(1+CJ$3))/$AJ88,'Технический лист'!$I:$J,2,1)-VLOOKUP($AO88,'Технический лист'!$I:$J,2,1)),1+(1-$AU88))</f>
        <v>1</v>
      </c>
      <c r="CK88" s="15">
        <f>MIN(IF($AU88=100%,1,1+VLOOKUP(($AJ88-$AI88-$AH88-$AG88-$AF88-$AE88*(1+CK$3))/$AJ88,'Технический лист'!$I:$J,2,1)-VLOOKUP($AO88,'Технический лист'!$I:$J,2,1)),1+(1-$AU88))</f>
        <v>1</v>
      </c>
      <c r="CL88" s="15">
        <f>MIN(IF($AU88=100%,1,1+VLOOKUP(($AJ88-$AI88-$AH88-$AG88-$AF88-$AE88*(1+CL$3))/$AJ88,'Технический лист'!$I:$J,2,1)-VLOOKUP($AO88,'Технический лист'!$I:$J,2,1)),1+(1-$AU88))</f>
        <v>1</v>
      </c>
      <c r="CM88" s="15">
        <f>MIN(IF($AU88=100%,1,1+VLOOKUP(($AJ88-$AI88-$AH88-$AG88-$AF88-$AE88*(1+CM$3))/$AJ88,'Технический лист'!$I:$J,2,1)-VLOOKUP($AO88,'Технический лист'!$I:$J,2,1)),1+(1-$AU88))</f>
        <v>1</v>
      </c>
      <c r="CN88" s="15">
        <f>MIN(IF($AU88=100%,1,1+VLOOKUP(($AJ88-$AI88-$AH88-$AG88-$AF88-$AE88*(1+CN$3))/$AJ88,'Технический лист'!$I:$J,2,1)-VLOOKUP($AO88,'Технический лист'!$I:$J,2,1)),1+(1-$AU88))</f>
        <v>1</v>
      </c>
      <c r="CO88" s="15">
        <f>MIN(IF($AU88=100%,1,1+VLOOKUP(($AJ88-$AI88-$AH88-$AG88-$AF88-$AE88*(1+CO$3))/$AJ88,'Технический лист'!$I:$J,2,1)-VLOOKUP($AO88,'Технический лист'!$I:$J,2,1)),1+(1-$AU88))</f>
        <v>1</v>
      </c>
      <c r="CP88" s="15">
        <f>MIN(IF($AU88=100%,1,1+VLOOKUP(($AJ88-$AI88-$AH88-$AG88-$AF88-$AE88*(1+CP$3))/$AJ88,'Технический лист'!$I:$J,2,1)-VLOOKUP($AO88,'Технический лист'!$I:$J,2,1)),1+(1-$AU88))</f>
        <v>1</v>
      </c>
      <c r="CQ88" s="15">
        <f>MIN(IF($AU88=100%,1,1+VLOOKUP(($AJ88-$AI88-$AH88-$AG88-$AF88-$AE88*(1+CQ$3))/$AJ88,'Технический лист'!$I:$J,2,1)-VLOOKUP($AO88,'Технический лист'!$I:$J,2,1)),1+(1-$AU88))</f>
        <v>1</v>
      </c>
      <c r="CR88" s="15">
        <f>MIN(IF($AU88=100%,1,1+VLOOKUP(($AJ88-$AI88-$AH88-$AG88-$AF88-$AE88*(1+CR$3))/$AJ88,'Технический лист'!$I:$J,2,1)-VLOOKUP($AO88,'Технический лист'!$I:$J,2,1)),1+(1-$AU88))</f>
        <v>1</v>
      </c>
      <c r="CS88" s="15">
        <f>MIN(IF($AU88=100%,1,1+VLOOKUP(($AJ88-$AI88-$AH88-$AG88-$AF88-$AE88*(1+CS$3))/$AJ88,'Технический лист'!$I:$J,2,1)-VLOOKUP($AO88,'Технический лист'!$I:$J,2,1)),1+(1-$AU88))</f>
        <v>1</v>
      </c>
      <c r="CT88" s="15">
        <f>MIN(IF($AU88=100%,1,1+VLOOKUP(($AJ88-$AI88-$AH88-$AG88-$AF88-$AE88*(1+CT$3))/$AJ88,'Технический лист'!$I:$J,2,1)-VLOOKUP($AO88,'Технический лист'!$I:$J,2,1)),1+(1-$AU88))</f>
        <v>1</v>
      </c>
      <c r="CU88" s="15">
        <f>MIN(IF($AU88=100%,1,1+VLOOKUP(($AJ88-$AI88-$AH88-$AG88-$AF88-$AE88*(1+CU$3))/$AJ88,'Технический лист'!$I:$J,2,1)-VLOOKUP($AO88,'Технический лист'!$I:$J,2,1)),1+(1-$AU88))</f>
        <v>1</v>
      </c>
      <c r="CV88" s="15">
        <f>MIN(IF($AU88=100%,1,1+VLOOKUP(($AJ88-$AI88-$AH88-$AG88-$AF88-$AE88*(1+CV$3))/$AJ88,'Технический лист'!$I:$J,2,1)-VLOOKUP($AO88,'Технический лист'!$I:$J,2,1)),1+(1-$AU88))</f>
        <v>1</v>
      </c>
      <c r="CW88" s="15">
        <f>MIN(IF($AU88=100%,1,1+VLOOKUP(($AJ88-$AI88-$AH88-$AG88-$AF88-$AE88*(1+CW$3))/$AJ88,'Технический лист'!$I:$J,2,1)-VLOOKUP($AO88,'Технический лист'!$I:$J,2,1)),1+(1-$AU88))</f>
        <v>1</v>
      </c>
      <c r="CX88" s="15">
        <f>MIN(IF($AU88=100%,1,1+VLOOKUP(($AJ88-$AI88-$AH88-$AG88-$AF88-$AE88*(1+CX$3))/$AJ88,'Технический лист'!$I:$J,2,1)-VLOOKUP($AO88,'Технический лист'!$I:$J,2,1)),1+(1-$AU88))</f>
        <v>1</v>
      </c>
      <c r="CY88" s="15">
        <f>MIN(IF($AU88=100%,1,1+VLOOKUP(($AJ88-$AI88-$AH88-$AG88-$AF88-$AE88*(1+CY$3))/$AJ88,'Технический лист'!$I:$J,2,1)-VLOOKUP($AO88,'Технический лист'!$I:$J,2,1)),1+(1-$AU88))</f>
        <v>1</v>
      </c>
      <c r="CZ88" s="15">
        <f>MIN(IF($AU88=100%,1,1+VLOOKUP(($AJ88-$AI88-$AH88-$AG88-$AF88-$AE88*(1+CZ$3))/$AJ88,'Технический лист'!$I:$J,2,1)-VLOOKUP($AO88,'Технический лист'!$I:$J,2,1)),1+(1-$AU88))</f>
        <v>1</v>
      </c>
      <c r="DA88" s="15">
        <f>MIN(IF($AU88=100%,1,1+VLOOKUP(($AJ88-$AI88-$AH88-$AG88-$AF88-$AE88*(1+DA$3))/$AJ88,'Технический лист'!$I:$J,2,1)-VLOOKUP($AO88,'Технический лист'!$I:$J,2,1)),1+(1-$AU88))</f>
        <v>1</v>
      </c>
      <c r="DB88" s="15">
        <f>MIN(IF($AU88=100%,1,1+VLOOKUP(($AJ88-$AI88-$AH88-$AG88-$AF88-$AE88*(1+DB$3))/$AJ88,'Технический лист'!$I:$J,2,1)-VLOOKUP($AO88,'Технический лист'!$I:$J,2,1)),1+(1-$AU88))</f>
        <v>1</v>
      </c>
      <c r="DC88" s="15">
        <f>MIN(IF($AU88=100%,1,1+VLOOKUP(($AJ88-$AI88-$AH88-$AG88-$AF88-$AE88*(1+DC$3))/$AJ88,'Технический лист'!$I:$J,2,1)-VLOOKUP($AO88,'Технический лист'!$I:$J,2,1)),1+(1-$AU88))</f>
        <v>1</v>
      </c>
      <c r="DD88" s="15">
        <f>MIN(IF($AU88=100%,1,1+VLOOKUP(($AJ88-$AI88-$AH88-$AG88-$AF88-$AE88*(1+DD$3))/$AJ88,'Технический лист'!$I:$J,2,1)-VLOOKUP($AO88,'Технический лист'!$I:$J,2,1)),1+(1-$AU88))</f>
        <v>1</v>
      </c>
      <c r="DE88" s="15">
        <f>MIN(IF($AU88=100%,1,1+VLOOKUP(($AJ88-$AI88-$AH88-$AG88-$AF88-$AE88*(1+DE$3))/$AJ88,'Технический лист'!$I:$J,2,1)-VLOOKUP($AO88,'Технический лист'!$I:$J,2,1)),1+(1-$AU88))</f>
        <v>1</v>
      </c>
      <c r="DF88" s="15">
        <f>MIN(IF($AU88=100%,1,1+VLOOKUP(($AJ88-$AI88-$AH88-$AG88-$AF88-$AE88*(1+DF$3))/$AJ88,'Технический лист'!$I:$J,2,1)-VLOOKUP($AO88,'Технический лист'!$I:$J,2,1)),1+(1-$AU88))</f>
        <v>1</v>
      </c>
      <c r="DG88" s="15">
        <f>MIN(IF($AU88=100%,1,1+VLOOKUP(($AJ88-$AI88-$AH88-$AG88-$AF88-$AE88*(1+DG$3))/$AJ88,'Технический лист'!$I:$J,2,1)-VLOOKUP($AO88,'Технический лист'!$I:$J,2,1)),1+(1-$AU88))</f>
        <v>1</v>
      </c>
      <c r="DH88" s="15">
        <f>MIN(IF($AU88=100%,1,1+VLOOKUP(($AJ88-$AI88-$AH88-$AG88-$AF88-$AE88*(1+DH$3))/$AJ88,'Технический лист'!$I:$J,2,1)-VLOOKUP($AO88,'Технический лист'!$I:$J,2,1)),1+(1-$AU88))</f>
        <v>1</v>
      </c>
      <c r="DI88" s="15">
        <f>MIN(IF($AU88=100%,1,1+VLOOKUP(($AJ88-$AI88-$AH88-$AG88-$AF88-$AE88*(1+DI$3))/$AJ88,'Технический лист'!$I:$J,2,1)-VLOOKUP($AO88,'Технический лист'!$I:$J,2,1)),1+(1-$AU88))</f>
        <v>1</v>
      </c>
      <c r="DJ88" s="15">
        <f>MIN(IF($AU88=100%,1,1+VLOOKUP(($AJ88-$AI88-$AH88-$AG88-$AF88-$AE88*(1+DJ$3))/$AJ88,'Технический лист'!$I:$J,2,1)-VLOOKUP($AO88,'Технический лист'!$I:$J,2,1)),1+(1-$AU88))</f>
        <v>1</v>
      </c>
      <c r="DK88" s="15">
        <f>MIN(IF($AU88=100%,1,1+VLOOKUP(($AJ88-$AI88-$AH88-$AG88-$AF88-$AE88*(1+DK$3))/$AJ88,'Технический лист'!$I:$J,2,1)-VLOOKUP($AO88,'Технический лист'!$I:$J,2,1)),1+(1-$AU88))</f>
        <v>1</v>
      </c>
      <c r="DL88" s="15">
        <f>MIN(IF($AU88=100%,1,1+VLOOKUP(($AJ88-$AI88-$AH88-$AG88-$AF88-$AE88*(1+DL$3))/$AJ88,'Технический лист'!$I:$J,2,1)-VLOOKUP($AO88,'Технический лист'!$I:$J,2,1)),1+(1-$AU88))</f>
        <v>1</v>
      </c>
      <c r="DM88" s="15">
        <f>MIN(IF($AU88=100%,1,1+VLOOKUP(($AJ88-$AI88-$AH88-$AG88-$AF88-$AE88*(1+DM$3))/$AJ88,'Технический лист'!$I:$J,2,1)-VLOOKUP($AO88,'Технический лист'!$I:$J,2,1)),1+(1-$AU88))</f>
        <v>1</v>
      </c>
      <c r="DN88" s="15">
        <f>MIN(IF($AU88=100%,1,1+VLOOKUP(($AJ88-$AI88-$AH88-$AG88-$AF88-$AE88*(1+DN$3))/$AJ88,'Технический лист'!$I:$J,2,1)-VLOOKUP($AO88,'Технический лист'!$I:$J,2,1)),1+(1-$AU88))</f>
        <v>1</v>
      </c>
      <c r="DO88" s="15">
        <f>MIN(IF($AU88=100%,1,1+VLOOKUP(($AJ88-$AI88-$AH88-$AG88-$AF88-$AE88*(1+DO$3))/$AJ88,'Технический лист'!$I:$J,2,1)-VLOOKUP($AO88,'Технический лист'!$I:$J,2,1)),1+(1-$AU88))</f>
        <v>1</v>
      </c>
      <c r="DP88" s="15">
        <f>MIN(IF($AU88=100%,1,1+VLOOKUP(($AJ88-$AI88-$AH88-$AG88-$AF88-$AE88*(1+DP$3))/$AJ88,'Технический лист'!$I:$J,2,1)-VLOOKUP($AO88,'Технический лист'!$I:$J,2,1)),1+(1-$AU88))</f>
        <v>1</v>
      </c>
      <c r="DQ88" s="15">
        <f>MIN(IF($AU88=100%,1,1+VLOOKUP(($AJ88-$AI88-$AH88-$AG88-$AF88-$AE88*(1+DQ$3))/$AJ88,'Технический лист'!$I:$J,2,1)-VLOOKUP($AO88,'Технический лист'!$I:$J,2,1)),1+(1-$AU88))</f>
        <v>1</v>
      </c>
      <c r="DR88" s="15">
        <f>MIN(IF($AU88=100%,1,1+VLOOKUP(($AJ88-$AI88-$AH88-$AG88-$AF88-$AE88*(1+DR$3))/$AJ88,'Технический лист'!$I:$J,2,1)-VLOOKUP($AO88,'Технический лист'!$I:$J,2,1)),1+(1-$AU88))</f>
        <v>1</v>
      </c>
      <c r="DS88" s="15">
        <f>MIN(IF($AU88=100%,1,1+VLOOKUP(($AJ88-$AI88-$AH88-$AG88-$AF88-$AE88*(1+DS$3))/$AJ88,'Технический лист'!$I:$J,2,1)-VLOOKUP($AO88,'Технический лист'!$I:$J,2,1)),1+(1-$AU88))</f>
        <v>1</v>
      </c>
      <c r="DT88" s="15">
        <f>MIN(IF($AU88=100%,1,1+VLOOKUP(($AJ88-$AI88-$AH88-$AG88-$AF88-$AE88*(1+DT$3))/$AJ88,'Технический лист'!$I:$J,2,1)-VLOOKUP($AO88,'Технический лист'!$I:$J,2,1)),1+(1-$AU88))</f>
        <v>1</v>
      </c>
      <c r="DU88" s="15">
        <f>MIN(IF($AU88=100%,1,1+VLOOKUP(($AJ88-$AI88-$AH88-$AG88-$AF88-$AE88*(1+DU$3))/$AJ88,'Технический лист'!$I:$J,2,1)-VLOOKUP($AO88,'Технический лист'!$I:$J,2,1)),1+(1-$AU88))</f>
        <v>1</v>
      </c>
      <c r="DV88" s="15">
        <f>MIN(IF($AU88=100%,1,1+VLOOKUP(($AJ88-$AI88-$AH88-$AG88-$AF88-$AE88*(1+DV$3))/$AJ88,'Технический лист'!$I:$J,2,1)-VLOOKUP($AO88,'Технический лист'!$I:$J,2,1)),1+(1-$AU88))</f>
        <v>1</v>
      </c>
      <c r="DW88" s="15">
        <f>MIN(IF($AU88=100%,1,1+VLOOKUP(($AJ88-$AI88-$AH88-$AG88-$AF88-$AE88*(1+DW$3))/$AJ88,'Технический лист'!$I:$J,2,1)-VLOOKUP($AO88,'Технический лист'!$I:$J,2,1)),1+(1-$AU88))</f>
        <v>1</v>
      </c>
      <c r="DX88" s="15">
        <f>MIN(IF($AU88=100%,1,1+VLOOKUP(($AJ88-$AI88-$AH88-$AG88-$AF88-$AE88*(1+DX$3))/$AJ88,'Технический лист'!$I:$J,2,1)-VLOOKUP($AO88,'Технический лист'!$I:$J,2,1)),1+(1-$AU88))</f>
        <v>1</v>
      </c>
      <c r="DY88" s="15">
        <f>MIN(IF($AU88=100%,1,1+VLOOKUP(($AJ88-$AI88-$AH88-$AG88-$AF88-$AE88*(1+DY$3))/$AJ88,'Технический лист'!$I:$J,2,1)-VLOOKUP($AO88,'Технический лист'!$I:$J,2,1)),1+(1-$AU88))</f>
        <v>1</v>
      </c>
      <c r="DZ88" s="15">
        <f>MIN(IF($AU88=100%,1,1+VLOOKUP(($AJ88-$AI88-$AH88-$AG88-$AF88-$AE88*(1+DZ$3))/$AJ88,'Технический лист'!$I:$J,2,1)-VLOOKUP($AO88,'Технический лист'!$I:$J,2,1)),1+(1-$AU88))</f>
        <v>1</v>
      </c>
      <c r="EA88" s="15">
        <f>MIN(IF($AU88=100%,1,1+VLOOKUP(($AJ88-$AI88-$AH88-$AG88-$AF88-$AE88*(1+EA$3))/$AJ88,'Технический лист'!$I:$J,2,1)-VLOOKUP($AO88,'Технический лист'!$I:$J,2,1)),1+(1-$AU88))</f>
        <v>1</v>
      </c>
      <c r="EB88" s="15">
        <f>MIN(IF($AU88=100%,1,1+VLOOKUP(($AJ88-$AI88-$AH88-$AG88-$AF88-$AE88*(1+EB$3))/$AJ88,'Технический лист'!$I:$J,2,1)-VLOOKUP($AO88,'Технический лист'!$I:$J,2,1)),1+(1-$AU88))</f>
        <v>1</v>
      </c>
      <c r="EC88" s="15">
        <f>MIN(IF($AU88=100%,1,1+VLOOKUP(($AJ88-$AI88-$AH88-$AG88-$AF88-$AE88*(1+EC$3))/$AJ88,'Технический лист'!$I:$J,2,1)-VLOOKUP($AO88,'Технический лист'!$I:$J,2,1)),1+(1-$AU88))</f>
        <v>1</v>
      </c>
      <c r="ED88" s="15">
        <f>MIN(IF($AU88=100%,1,1+VLOOKUP(($AJ88-$AI88-$AH88-$AG88-$AF88-$AE88*(1+ED$3))/$AJ88,'Технический лист'!$I:$J,2,1)-VLOOKUP($AO88,'Технический лист'!$I:$J,2,1)),1+(1-$AU88))</f>
        <v>1</v>
      </c>
      <c r="EE88" s="15">
        <f>MIN(IF($AU88=100%,1,1+VLOOKUP(($AJ88-$AI88-$AH88-$AG88-$AF88-$AE88*(1+EE$3))/$AJ88,'Технический лист'!$I:$J,2,1)-VLOOKUP($AO88,'Технический лист'!$I:$J,2,1)),1+(1-$AU88))</f>
        <v>1</v>
      </c>
      <c r="EF88" s="15">
        <f>MIN(IF($AU88=100%,1,1+VLOOKUP(($AJ88-$AI88-$AH88-$AG88-$AF88-$AE88*(1+EF$3))/$AJ88,'Технический лист'!$I:$J,2,1)-VLOOKUP($AO88,'Технический лист'!$I:$J,2,1)),1+(1-$AU88))</f>
        <v>1</v>
      </c>
      <c r="EG88" s="15">
        <f>MIN(IF($AU88=100%,1,1+VLOOKUP(($AJ88-$AI88-$AH88-$AG88-$AF88-$AE88*(1+EG$3))/$AJ88,'Технический лист'!$I:$J,2,1)-VLOOKUP($AO88,'Технический лист'!$I:$J,2,1)),1+(1-$AU88))</f>
        <v>1</v>
      </c>
      <c r="EH88" s="15">
        <f>MIN(IF($AU88=100%,1,1+VLOOKUP(($AJ88-$AI88-$AH88-$AG88-$AF88-$AE88*(1+EH$3))/$AJ88,'Технический лист'!$I:$J,2,1)-VLOOKUP($AO88,'Технический лист'!$I:$J,2,1)),1+(1-$AU88))</f>
        <v>1</v>
      </c>
      <c r="EI88" s="15">
        <f>MIN(IF($AU88=100%,1,1+VLOOKUP(($AJ88-$AI88-$AH88-$AG88-$AF88-$AE88*(1+EI$3))/$AJ88,'Технический лист'!$I:$J,2,1)-VLOOKUP($AO88,'Технический лист'!$I:$J,2,1)),1+(1-$AU88))</f>
        <v>1</v>
      </c>
      <c r="EJ88" s="15">
        <f>MIN(IF($AU88=100%,1,1+VLOOKUP(($AJ88-$AI88-$AH88-$AG88-$AF88-$AE88*(1+EJ$3))/$AJ88,'Технический лист'!$I:$J,2,1)-VLOOKUP($AO88,'Технический лист'!$I:$J,2,1)),1+(1-$AU88))</f>
        <v>1</v>
      </c>
      <c r="EK88" s="15">
        <f>MIN(IF($AU88=100%,1,1+VLOOKUP(($AJ88-$AI88-$AH88-$AG88-$AF88-$AE88*(1+EK$3))/$AJ88,'Технический лист'!$I:$J,2,1)-VLOOKUP($AO88,'Технический лист'!$I:$J,2,1)),1+(1-$AU88))</f>
        <v>1</v>
      </c>
      <c r="EL88" s="15">
        <f>MIN(IF($AU88=100%,1,1+VLOOKUP(($AJ88-$AI88-$AH88-$AG88-$AF88-$AE88*(1+EL$3))/$AJ88,'Технический лист'!$I:$J,2,1)-VLOOKUP($AO88,'Технический лист'!$I:$J,2,1)),1+(1-$AU88))</f>
        <v>1</v>
      </c>
      <c r="EM88" s="15">
        <f>MIN(IF($AU88=100%,1,1+VLOOKUP(($AJ88-$AI88-$AH88-$AG88-$AF88-$AE88*(1+EM$3))/$AJ88,'Технический лист'!$I:$J,2,1)-VLOOKUP($AO88,'Технический лист'!$I:$J,2,1)),1+(1-$AU88))</f>
        <v>1</v>
      </c>
      <c r="EN88" s="15">
        <f>MIN(IF($AU88=100%,1,1+VLOOKUP(($AJ88-$AI88-$AH88-$AG88-$AF88-$AE88*(1+EN$3))/$AJ88,'Технический лист'!$I:$J,2,1)-VLOOKUP($AO88,'Технический лист'!$I:$J,2,1)),1+(1-$AU88))</f>
        <v>1</v>
      </c>
      <c r="EO88" s="15">
        <f>MIN(IF($AU88=100%,1,1+VLOOKUP(($AJ88-$AI88-$AH88-$AG88-$AF88-$AE88*(1+EO$3))/$AJ88,'Технический лист'!$I:$J,2,1)-VLOOKUP($AO88,'Технический лист'!$I:$J,2,1)),1+(1-$AU88))</f>
        <v>1</v>
      </c>
      <c r="EP88" s="15">
        <f>MIN(IF($AU88=100%,1,1+VLOOKUP(($AJ88-$AI88-$AH88-$AG88-$AF88-$AE88*(1+EP$3))/$AJ88,'Технический лист'!$I:$J,2,1)-VLOOKUP($AO88,'Технический лист'!$I:$J,2,1)),1+(1-$AU88))</f>
        <v>1</v>
      </c>
      <c r="EQ88" s="15">
        <f>MIN(IF($AU88=100%,1,1+VLOOKUP(($AJ88-$AI88-$AH88-$AG88-$AF88-$AE88*(1+EQ$3))/$AJ88,'Технический лист'!$I:$J,2,1)-VLOOKUP($AO88,'Технический лист'!$I:$J,2,1)),1+(1-$AU88))</f>
        <v>1</v>
      </c>
      <c r="ER88" s="15">
        <f>MIN(IF($AU88=100%,1,1+VLOOKUP(($AJ88-$AI88-$AH88-$AG88-$AF88-$AE88*(1+ER$3))/$AJ88,'Технический лист'!$I:$J,2,1)-VLOOKUP($AO88,'Технический лист'!$I:$J,2,1)),1+(1-$AU88))</f>
        <v>1</v>
      </c>
      <c r="ES88" s="15">
        <f>MIN(IF($AU88=100%,1,1+VLOOKUP(($AJ88-$AI88-$AH88-$AG88-$AF88-$AE88*(1+ES$3))/$AJ88,'Технический лист'!$I:$J,2,1)-VLOOKUP($AO88,'Технический лист'!$I:$J,2,1)),1+(1-$AU88))</f>
        <v>1</v>
      </c>
      <c r="ET88" s="15">
        <f>MIN(IF($AU88=100%,1,1+VLOOKUP(($AJ88-$AI88-$AH88-$AG88-$AF88-$AE88*(1+ET$3))/$AJ88,'Технический лист'!$I:$J,2,1)-VLOOKUP($AO88,'Технический лист'!$I:$J,2,1)),1+(1-$AU88))</f>
        <v>1</v>
      </c>
      <c r="EU88" s="15">
        <f>MIN(IF($AU88=100%,1,1+VLOOKUP(($AJ88-$AI88-$AH88-$AG88-$AF88-$AE88*(1+EU$3))/$AJ88,'Технический лист'!$I:$J,2,1)-VLOOKUP($AO88,'Технический лист'!$I:$J,2,1)),1+(1-$AU88))</f>
        <v>1</v>
      </c>
      <c r="EV88" s="111">
        <v>1</v>
      </c>
      <c r="EW88" s="15">
        <f>MIN(1,MAX(VLOOKUP(($AJ88-$AI88-$AH88-$AG88-$AF88-$AE88*(1+EW$3))/$AJ88,'Технический лист'!$A:$B,2,1),(EV88-0.05)))</f>
        <v>1</v>
      </c>
      <c r="EX88" s="15">
        <f>MIN(1,MAX(VLOOKUP(($AJ88-$AI88-$AH88-$AG88-$AF88-$AE88*(1+EX$3))/$AJ88,'Технический лист'!$A:$B,2,1),(EW88-0.05)))</f>
        <v>1</v>
      </c>
      <c r="EY88" s="15">
        <f>MIN(1,MAX(VLOOKUP(($AJ88-$AI88-$AH88-$AG88-$AF88-$AE88*(1+EY$3))/$AJ88,'Технический лист'!$A:$B,2,1),(EX88-0.05)))</f>
        <v>1</v>
      </c>
      <c r="EZ88" s="15">
        <f>MIN(1,MAX(VLOOKUP(($AJ88-$AI88-$AH88-$AG88-$AF88-$AE88*(1+EZ$3))/$AJ88,'Технический лист'!$A:$B,2,1),(EY88-0.05)))</f>
        <v>1</v>
      </c>
      <c r="FA88" s="15">
        <f>MIN(1,MAX(VLOOKUP(($AJ88-$AI88-$AH88-$AG88-$AF88-$AE88*(1+FA$3))/$AJ88,'Технический лист'!$A:$B,2,1),(EZ88-0.05)))</f>
        <v>1</v>
      </c>
      <c r="FB88" s="15">
        <f>MIN(1,MAX(VLOOKUP(($AJ88-$AI88-$AH88-$AG88-$AF88-$AE88*(1+FB$3))/$AJ88,'Технический лист'!$A:$B,2,1),(FA88-0.05)))</f>
        <v>1</v>
      </c>
      <c r="FC88" s="15">
        <f>MIN(1,MAX(VLOOKUP(($AJ88-$AI88-$AH88-$AG88-$AF88-$AE88*(1+FC$3))/$AJ88,'Технический лист'!$A:$B,2,1),(FB88-0.05)))</f>
        <v>1</v>
      </c>
      <c r="FD88" s="15">
        <f>MIN(1,MAX(VLOOKUP(($AJ88-$AI88-$AH88-$AG88-$AF88-$AE88*(1+FD$3))/$AJ88,'Технический лист'!$A:$B,2,1),(FC88-0.05)))</f>
        <v>1</v>
      </c>
      <c r="FE88" s="15">
        <f>MIN(1,MAX(VLOOKUP(($AJ88-$AI88-$AH88-$AG88-$AF88-$AE88*(1+FE$3))/$AJ88,'Технический лист'!$A:$B,2,1),(FD88-0.05)))</f>
        <v>1</v>
      </c>
      <c r="FF88" s="15">
        <f>MIN(1,MAX(VLOOKUP(($AJ88-$AI88-$AH88-$AG88-$AF88-$AE88*(1+FF$3))/$AJ88,'Технический лист'!$A:$B,2,1),(FE88-0.05)))</f>
        <v>1</v>
      </c>
      <c r="FG88" s="15">
        <f>MIN(1,MAX(VLOOKUP(($AJ88-$AI88-$AH88-$AG88-$AF88-$AE88*(1+FG$3))/$AJ88,'Технический лист'!$A:$B,2,1),(FF88-0.05)))</f>
        <v>1</v>
      </c>
      <c r="FH88" s="15">
        <f>MIN(1,MAX(VLOOKUP(($AJ88-$AI88-$AH88-$AG88-$AF88-$AE88*(1+FH$3))/$AJ88,'Технический лист'!$A:$B,2,1),(FG88-0.05)))</f>
        <v>1</v>
      </c>
      <c r="FI88" s="15">
        <f>MIN(1,MAX(VLOOKUP(($AJ88-$AI88-$AH88-$AG88-$AF88-$AE88*(1+FI$3))/$AJ88,'Технический лист'!$A:$B,2,1),(FH88-0.05)))</f>
        <v>1</v>
      </c>
      <c r="FJ88" s="15">
        <f>MIN(1,MAX(VLOOKUP(($AJ88-$AI88-$AH88-$AG88-$AF88-$AE88*(1+FJ$3))/$AJ88,'Технический лист'!$A:$B,2,1),(FI88-0.05)))</f>
        <v>1</v>
      </c>
      <c r="FK88" s="15">
        <f>MIN(1,MAX(VLOOKUP(($AJ88-$AI88-$AH88-$AG88-$AF88-$AE88*(1+FK$3))/$AJ88,'Технический лист'!$A:$B,2,1),(FJ88-0.05)))</f>
        <v>1</v>
      </c>
      <c r="FL88" s="15">
        <f>MIN(1,MAX(VLOOKUP(($AJ88-$AI88-$AH88-$AG88-$AF88-$AE88*(1+FL$3))/$AJ88,'Технический лист'!$A:$B,2,1),(FK88-0.05)))</f>
        <v>1</v>
      </c>
      <c r="FM88" s="15">
        <f>MIN(1,MAX(VLOOKUP(($AJ88-$AI88-$AH88-$AG88-$AF88-$AE88*(1+FM$3))/$AJ88,'Технический лист'!$A:$B,2,1),(FL88-0.05)))</f>
        <v>1</v>
      </c>
      <c r="FN88" s="15">
        <f>MIN(1,MAX(VLOOKUP(($AJ88-$AI88-$AH88-$AG88-$AF88-$AE88*(1+FN$3))/$AJ88,'Технический лист'!$A:$B,2,1),(FM88-0.05)))</f>
        <v>1</v>
      </c>
      <c r="FO88" s="15">
        <f>MIN(1,MAX(VLOOKUP(($AJ88-$AI88-$AH88-$AG88-$AF88-$AE88*(1+FO$3))/$AJ88,'Технический лист'!$A:$B,2,1),(FN88-0.05)))</f>
        <v>1</v>
      </c>
      <c r="FP88" s="15">
        <f>MIN(1,MAX(VLOOKUP(($AJ88-$AI88-$AH88-$AG88-$AF88-$AE88*(1+FP$3))/$AJ88,'Технический лист'!$A:$B,2,1),(FO88-0.05)))</f>
        <v>1</v>
      </c>
      <c r="FQ88" s="15">
        <f>MIN(1,MAX(VLOOKUP(($AJ88-$AI88-$AH88-$AG88-$AF88-$AE88*(1+FQ$3))/$AJ88,'Технический лист'!$A:$B,2,1),(FP88-0.05)))</f>
        <v>1</v>
      </c>
      <c r="FR88" s="15">
        <f>MIN(1,MAX(VLOOKUP(($AJ88-$AI88-$AH88-$AG88-$AF88-$AE88*(1+FR$3))/$AJ88,'Технический лист'!$A:$B,2,1),(FQ88-0.05)))</f>
        <v>1</v>
      </c>
      <c r="FS88" s="15">
        <f>MIN(1,MAX(VLOOKUP(($AJ88-$AI88-$AH88-$AG88-$AF88-$AE88*(1+FS$3))/$AJ88,'Технический лист'!$A:$B,2,1),(FR88-0.05)))</f>
        <v>1</v>
      </c>
      <c r="FT88" s="15">
        <f>MIN(1,MAX(VLOOKUP(($AJ88-$AI88-$AH88-$AG88-$AF88-$AE88*(1+FT$3))/$AJ88,'Технический лист'!$A:$B,2,1),(FS88-0.05)))</f>
        <v>1</v>
      </c>
      <c r="FU88" s="15">
        <f>MIN(1,MAX(VLOOKUP(($AJ88-$AI88-$AH88-$AG88-$AF88-$AE88*(1+FU$3))/$AJ88,'Технический лист'!$A:$B,2,1),(FT88-0.05)))</f>
        <v>1</v>
      </c>
      <c r="FV88" s="15">
        <f>MIN(1,MAX(VLOOKUP(($AJ88-$AI88-$AH88-$AG88-$AF88-$AE88*(1+FV$3))/$AJ88,'Технический лист'!$A:$B,2,1),(FU88-0.05)))</f>
        <v>1</v>
      </c>
      <c r="FW88" s="15">
        <f>MIN(1,MAX(VLOOKUP(($AJ88-$AI88-$AH88-$AG88-$AF88-$AE88*(1+FW$3))/$AJ88,'Технический лист'!$A:$B,2,1),(FV88-0.05)))</f>
        <v>1</v>
      </c>
      <c r="FX88" s="15">
        <f>MIN(1,MAX(VLOOKUP(($AJ88-$AI88-$AH88-$AG88-$AF88-$AE88*(1+FX$3))/$AJ88,'Технический лист'!$A:$B,2,1),(FW88-0.05)))</f>
        <v>1</v>
      </c>
      <c r="FY88" s="15">
        <f>MIN(1,MAX(VLOOKUP(($AJ88-$AI88-$AH88-$AG88-$AF88-$AE88*(1+FY$3))/$AJ88,'Технический лист'!$A:$B,2,1),(FX88-0.05)))</f>
        <v>1</v>
      </c>
      <c r="FZ88" s="15">
        <f>MIN(1,MAX(VLOOKUP(($AJ88-$AI88-$AH88-$AG88-$AF88-$AE88*(1+FZ$3))/$AJ88,'Технический лист'!$A:$B,2,1),(FY88-0.05)))</f>
        <v>1</v>
      </c>
      <c r="GA88" s="15">
        <f>MIN(1,MAX(VLOOKUP(($AJ88-$AI88-$AH88-$AG88-$AF88-$AE88*(1+GA$3))/$AJ88,'Технический лист'!$A:$B,2,1),(FZ88-0.05)))</f>
        <v>1</v>
      </c>
      <c r="GB88" s="15">
        <f>MIN(1,MAX(VLOOKUP(($AJ88-$AI88-$AH88-$AG88-$AF88-$AE88*(1+GB$3))/$AJ88,'Технический лист'!$A:$B,2,1),(GA88-0.05)))</f>
        <v>1</v>
      </c>
      <c r="GC88" s="15">
        <f>MIN(1,MAX(VLOOKUP(($AJ88-$AI88-$AH88-$AG88-$AF88-$AE88*(1+GC$3))/$AJ88,'Технический лист'!$A:$B,2,1),(GB88-0.05)))</f>
        <v>1</v>
      </c>
      <c r="GD88" s="15">
        <f>MIN(1,MAX(VLOOKUP(($AJ88-$AI88-$AH88-$AG88-$AF88-$AE88*(1+GD$3))/$AJ88,'Технический лист'!$A:$B,2,1),(GC88-0.05)))</f>
        <v>1</v>
      </c>
      <c r="GE88" s="15">
        <f>MIN(1,MAX(VLOOKUP(($AJ88-$AI88-$AH88-$AG88-$AF88-$AE88*(1+GE$3))/$AJ88,'Технический лист'!$A:$B,2,1),(GD88-0.05)))</f>
        <v>1</v>
      </c>
      <c r="GF88" s="15">
        <f>MIN(1,MAX(VLOOKUP(($AJ88-$AI88-$AH88-$AG88-$AF88-$AE88*(1+GF$3))/$AJ88,'Технический лист'!$A:$B,2,1),(GE88-0.05)))</f>
        <v>1</v>
      </c>
      <c r="GG88" s="15">
        <f>MIN(1,MAX(VLOOKUP(($AJ88-$AI88-$AH88-$AG88-$AF88-$AE88*(1+GG$3))/$AJ88,'Технический лист'!$A:$B,2,1),(GF88-0.05)))</f>
        <v>1</v>
      </c>
      <c r="GH88" s="15">
        <f>MIN(1,MAX(VLOOKUP(($AJ88-$AI88-$AH88-$AG88-$AF88-$AE88*(1+GH$3))/$AJ88,'Технический лист'!$A:$B,2,1),(GG88-0.05)))</f>
        <v>1</v>
      </c>
      <c r="GI88" s="15">
        <f>MIN(1,MAX(VLOOKUP(($AJ88-$AI88-$AH88-$AG88-$AF88-$AE88*(1+GI$3))/$AJ88,'Технический лист'!$A:$B,2,1),(GH88-0.05)))</f>
        <v>1</v>
      </c>
      <c r="GJ88" s="15">
        <f>MIN(1,MAX(VLOOKUP(($AJ88-$AI88-$AH88-$AG88-$AF88-$AE88*(1+GJ$3))/$AJ88,'Технический лист'!$A:$B,2,1),(GI88-0.05)))</f>
        <v>1</v>
      </c>
      <c r="GK88" s="15">
        <f>MIN(1,MAX(VLOOKUP(($AJ88-$AI88-$AH88-$AG88-$AF88-$AE88*(1+GK$3))/$AJ88,'Технический лист'!$A:$B,2,1),(GJ88-0.05)))</f>
        <v>1</v>
      </c>
      <c r="GL88" s="15">
        <f>MIN(1,MAX(VLOOKUP(($AJ88-$AI88-$AH88-$AG88-$AF88-$AE88*(1+GL$3))/$AJ88,'Технический лист'!$A:$B,2,1),(GK88-0.05)))</f>
        <v>1</v>
      </c>
      <c r="GM88" s="15">
        <f>MIN(1,MAX(VLOOKUP(($AJ88-$AI88-$AH88-$AG88-$AF88-$AE88*(1+GM$3))/$AJ88,'Технический лист'!$A:$B,2,1),(GL88-0.05)))</f>
        <v>1</v>
      </c>
      <c r="GN88" s="15">
        <f>MIN(1,MAX(VLOOKUP(($AJ88-$AI88-$AH88-$AG88-$AF88-$AE88*(1+GN$3))/$AJ88,'Технический лист'!$A:$B,2,1),(GM88-0.05)))</f>
        <v>1</v>
      </c>
      <c r="GO88" s="15">
        <f>MIN(1,MAX(VLOOKUP(($AJ88-$AI88-$AH88-$AG88-$AF88-$AE88*(1+GO$3))/$AJ88,'Технический лист'!$A:$B,2,1),(GN88-0.05)))</f>
        <v>1</v>
      </c>
      <c r="GP88" s="15">
        <f>MIN(1,MAX(VLOOKUP(($AJ88-$AI88-$AH88-$AG88-$AF88-$AE88*(1+GP$3))/$AJ88,'Технический лист'!$A:$B,2,1),(GO88-0.05)))</f>
        <v>1</v>
      </c>
      <c r="GQ88" s="15">
        <f>MIN(1,MAX(VLOOKUP(($AJ88-$AI88-$AH88-$AG88-$AF88-$AE88*(1+GQ$3))/$AJ88,'Технический лист'!$A:$B,2,1),(GP88-0.05)))</f>
        <v>1</v>
      </c>
      <c r="GR88" s="15">
        <f>MIN(1,MAX(VLOOKUP(($AJ88-$AI88-$AH88-$AG88-$AF88-$AE88*(1+GR$3))/$AJ88,'Технический лист'!$A:$B,2,1),(GQ88-0.05)))</f>
        <v>1</v>
      </c>
      <c r="GS88" s="15">
        <f>MIN(1,MAX(VLOOKUP(($AJ88-$AI88-$AH88-$AG88-$AF88-$AE88*(1+GS$3))/$AJ88,'Технический лист'!$A:$B,2,1),(GR88-0.05)))</f>
        <v>1</v>
      </c>
      <c r="GT88" s="15">
        <f>MIN(1,MAX(VLOOKUP(($AJ88-$AI88-$AH88-$AG88-$AF88-$AE88*(1+GT$3))/$AJ88,'Технический лист'!$A:$B,2,1),(GS88-0.05)))</f>
        <v>1</v>
      </c>
      <c r="GU88" s="15">
        <f>MIN(1,MAX(VLOOKUP(($AJ88-$AI88-$AH88-$AG88-$AF88-$AE88*(1+GU$3))/$AJ88,'Технический лист'!$A:$B,2,1),(GT88-0.05)))</f>
        <v>1</v>
      </c>
      <c r="GV88" s="15">
        <f>MIN(1,MAX(VLOOKUP(($AJ88-$AI88-$AH88-$AG88-$AF88-$AE88*(1+GV$3))/$AJ88,'Технический лист'!$A:$B,2,1),(GU88-0.05)))</f>
        <v>1</v>
      </c>
      <c r="GW88" s="15">
        <f>MIN(1,MAX(VLOOKUP(($AJ88-$AI88-$AH88-$AG88-$AF88-$AE88*(1+GW$3))/$AJ88,'Технический лист'!$A:$B,2,1),(GV88-0.05)))</f>
        <v>1</v>
      </c>
      <c r="GX88" s="15">
        <f>MIN(1,MAX(VLOOKUP(($AJ88-$AI88-$AH88-$AG88-$AF88-$AE88*(1+GX$3))/$AJ88,'Технический лист'!$A:$B,2,1),(GW88-0.05)))</f>
        <v>1</v>
      </c>
      <c r="GY88" s="15">
        <f>MIN(1,MAX(VLOOKUP(($AJ88-$AI88-$AH88-$AG88-$AF88-$AE88*(1+GY$3))/$AJ88,'Технический лист'!$A:$B,2,1),(GX88-0.05)))</f>
        <v>1</v>
      </c>
      <c r="GZ88" s="15">
        <f>MIN(1,MAX(VLOOKUP(($AJ88-$AI88-$AH88-$AG88-$AF88-$AE88*(1+GZ$3))/$AJ88,'Технический лист'!$A:$B,2,1),(GY88-0.05)))</f>
        <v>1</v>
      </c>
      <c r="HA88" s="15">
        <f>MIN(1,MAX(VLOOKUP(($AJ88-$AI88-$AH88-$AG88-$AF88-$AE88*(1+HA$3))/$AJ88,'Технический лист'!$A:$B,2,1),(GZ88-0.05)))</f>
        <v>1</v>
      </c>
      <c r="HB88" s="15">
        <f>MIN(1,MAX(VLOOKUP(($AJ88-$AI88-$AH88-$AG88-$AF88-$AE88*(1+HB$3))/$AJ88,'Технический лист'!$A:$B,2,1),(HA88-0.05)))</f>
        <v>1</v>
      </c>
      <c r="HC88" s="15">
        <f>MIN(1,MAX(VLOOKUP(($AJ88-$AI88-$AH88-$AG88-$AF88-$AE88*(1+HC$3))/$AJ88,'Технический лист'!$A:$B,2,1),(HB88-0.05)))</f>
        <v>1</v>
      </c>
      <c r="HD88" s="15">
        <f>MIN(1,MAX(VLOOKUP(($AJ88-$AI88-$AH88-$AG88-$AF88-$AE88*(1+HD$3))/$AJ88,'Технический лист'!$A:$B,2,1),(HC88-0.05)))</f>
        <v>1</v>
      </c>
      <c r="HE88" s="15">
        <f>MIN(1,MAX(VLOOKUP(($AJ88-$AI88-$AH88-$AG88-$AF88-$AE88*(1+HE$3))/$AJ88,'Технический лист'!$A:$B,2,1),(HD88-0.05)))</f>
        <v>1</v>
      </c>
      <c r="HF88" s="15">
        <f>MIN(1,MAX(VLOOKUP(($AJ88-$AI88-$AH88-$AG88-$AF88-$AE88*(1+HF$3))/$AJ88,'Технический лист'!$A:$B,2,1),(HE88-0.05)))</f>
        <v>1</v>
      </c>
      <c r="HG88" s="15">
        <f>MIN(1,MAX(VLOOKUP(($AJ88-$AI88-$AH88-$AG88-$AF88-$AE88*(1+HG$3))/$AJ88,'Технический лист'!$A:$B,2,1),(HF88-0.05)))</f>
        <v>1</v>
      </c>
      <c r="HH88" s="15">
        <f>MIN(1,MAX(VLOOKUP(($AJ88-$AI88-$AH88-$AG88-$AF88-$AE88*(1+HH$3))/$AJ88,'Технический лист'!$A:$B,2,1),(HG88-0.05)))</f>
        <v>1</v>
      </c>
      <c r="HI88" s="15">
        <f>MIN(1,MAX(VLOOKUP(($AJ88-$AI88-$AH88-$AG88-$AF88-$AE88*(1+HI$3))/$AJ88,'Технический лист'!$A:$B,2,1),(HH88-0.05)))</f>
        <v>1</v>
      </c>
      <c r="HJ88" s="15">
        <f>MIN(1,MAX(VLOOKUP(($AJ88-$AI88-$AH88-$AG88-$AF88-$AE88*(1+HJ$3))/$AJ88,'Технический лист'!$A:$B,2,1),(HI88-0.05)))</f>
        <v>1</v>
      </c>
      <c r="HK88" s="15">
        <f>MIN(1,MAX(VLOOKUP(($AJ88-$AI88-$AH88-$AG88-$AF88-$AE88*(1+HK$3))/$AJ88,'Технический лист'!$A:$B,2,1),(HJ88-0.05)))</f>
        <v>1</v>
      </c>
      <c r="HL88" s="15">
        <f>MIN(1,MAX(VLOOKUP(($AJ88-$AI88-$AH88-$AG88-$AF88-$AE88*(1+HL$3))/$AJ88,'Технический лист'!$A:$B,2,1),(HK88-0.05)))</f>
        <v>1</v>
      </c>
      <c r="HM88" s="15">
        <f>MIN(1,MAX(VLOOKUP(($AJ88-$AI88-$AH88-$AG88-$AF88-$AE88*(1+HM$3))/$AJ88,'Технический лист'!$A:$B,2,1),(HL88-0.05)))</f>
        <v>1</v>
      </c>
      <c r="HN88" s="15">
        <f>MIN(1,MAX(VLOOKUP(($AJ88-$AI88-$AH88-$AG88-$AF88-$AE88*(1+HN$3))/$AJ88,'Технический лист'!$A:$B,2,1),(HM88-0.05)))</f>
        <v>1</v>
      </c>
      <c r="HO88" s="15">
        <f>MIN(1,MAX(VLOOKUP(($AJ88-$AI88-$AH88-$AG88-$AF88-$AE88*(1+HO$3))/$AJ88,'Технический лист'!$A:$B,2,1),(HN88-0.05)))</f>
        <v>1</v>
      </c>
      <c r="HP88" s="15">
        <f>MIN(1,MAX(VLOOKUP(($AJ88-$AI88-$AH88-$AG88-$AF88-$AE88*(1+HP$3))/$AJ88,'Технический лист'!$A:$B,2,1),(HO88-0.05)))</f>
        <v>1</v>
      </c>
      <c r="HQ88" s="15">
        <f>MIN(1,MAX(VLOOKUP(($AJ88-$AI88-$AH88-$AG88-$AF88-$AE88*(1+HQ$3))/$AJ88,'Технический лист'!$A:$B,2,1),(HP88-0.05)))</f>
        <v>1</v>
      </c>
      <c r="HR88" s="15">
        <f>MIN(1,MAX(VLOOKUP(($AJ88-$AI88-$AH88-$AG88-$AF88-$AE88*(1+HR$3))/$AJ88,'Технический лист'!$A:$B,2,1),(HQ88-0.05)))</f>
        <v>1</v>
      </c>
      <c r="HS88" s="15">
        <f>MIN(1,MAX(VLOOKUP(($AJ88-$AI88-$AH88-$AG88-$AF88-$AE88*(1+HS$3))/$AJ88,'Технический лист'!$A:$B,2,1),(HR88-0.05)))</f>
        <v>1</v>
      </c>
      <c r="HT88" s="15">
        <f>MIN(1,MAX(VLOOKUP(($AJ88-$AI88-$AH88-$AG88-$AF88-$AE88*(1+HT$3))/$AJ88,'Технический лист'!$A:$B,2,1),(HS88-0.05)))</f>
        <v>1</v>
      </c>
      <c r="HU88" s="15">
        <f>MIN(1,MAX(VLOOKUP(($AJ88-$AI88-$AH88-$AG88-$AF88-$AE88*(1+HU$3))/$AJ88,'Технический лист'!$A:$B,2,1),(HT88-0.05)))</f>
        <v>1</v>
      </c>
      <c r="HV88" s="15">
        <f>MIN(1,MAX(VLOOKUP(($AJ88-$AI88-$AH88-$AG88-$AF88-$AE88*(1+HV$3))/$AJ88,'Технический лист'!$A:$B,2,1),(HU88-0.05)))</f>
        <v>1</v>
      </c>
      <c r="HW88" s="15">
        <f>MIN(1,MAX(VLOOKUP(($AJ88-$AI88-$AH88-$AG88-$AF88-$AE88*(1+HW$3))/$AJ88,'Технический лист'!$A:$B,2,1),(HV88-0.05)))</f>
        <v>1</v>
      </c>
      <c r="HX88" s="15">
        <f>MIN(1,MAX(VLOOKUP(($AJ88-$AI88-$AH88-$AG88-$AF88-$AE88*(1+HX$3))/$AJ88,'Технический лист'!$A:$B,2,1),(HW88-0.05)))</f>
        <v>1</v>
      </c>
      <c r="HY88" s="15">
        <f>MIN(1,MAX(VLOOKUP(($AJ88-$AI88-$AH88-$AG88-$AF88-$AE88*(1+HY$3))/$AJ88,'Технический лист'!$A:$B,2,1),(HX88-0.05)))</f>
        <v>1</v>
      </c>
      <c r="HZ88" s="15">
        <f>MIN(1,MAX(VLOOKUP(($AJ88-$AI88-$AH88-$AG88-$AF88-$AE88*(1+HZ$3))/$AJ88,'Технический лист'!$A:$B,2,1),(HY88-0.05)))</f>
        <v>1</v>
      </c>
      <c r="IA88" s="15">
        <f>MIN(1,MAX(VLOOKUP(($AJ88-$AI88-$AH88-$AG88-$AF88-$AE88*(1+IA$3))/$AJ88,'Технический лист'!$A:$B,2,1),(HZ88-0.05)))</f>
        <v>1</v>
      </c>
      <c r="IB88" s="15">
        <f>MIN(1,MAX(VLOOKUP(($AJ88-$AI88-$AH88-$AG88-$AF88-$AE88*(1+IB$3))/$AJ88,'Технический лист'!$A:$B,2,1),(IA88-0.05)))</f>
        <v>1</v>
      </c>
      <c r="IC88" s="15">
        <f>MIN(1,MAX(VLOOKUP(($AJ88-$AI88-$AH88-$AG88-$AF88-$AE88*(1+IC$3))/$AJ88,'Технический лист'!$A:$B,2,1),(IB88-0.05)))</f>
        <v>1</v>
      </c>
      <c r="ID88" s="15">
        <f>MIN(1,MAX(VLOOKUP(($AJ88-$AI88-$AH88-$AG88-$AF88-$AE88*(1+ID$3))/$AJ88,'Технический лист'!$A:$B,2,1),(IC88-0.05)))</f>
        <v>1</v>
      </c>
      <c r="IE88" s="15">
        <f>MIN(1,MAX(VLOOKUP(($AJ88-$AI88-$AH88-$AG88-$AF88-$AE88*(1+IE$3))/$AJ88,'Технический лист'!$A:$B,2,1),(ID88-0.05)))</f>
        <v>1</v>
      </c>
      <c r="IF88" s="15">
        <f>MIN(1,MAX(VLOOKUP(($AJ88-$AI88-$AH88-$AG88-$AF88-$AE88*(1+IF$3))/$AJ88,'Технический лист'!$A:$B,2,1),(IE88-0.05)))</f>
        <v>1</v>
      </c>
      <c r="IG88" s="15">
        <f>MIN(1,MAX(VLOOKUP(($AJ88-$AI88-$AH88-$AG88-$AF88-$AE88*(1+IG$3))/$AJ88,'Технический лист'!$A:$B,2,1),(IF88-0.05)))</f>
        <v>1</v>
      </c>
      <c r="IH88" s="15">
        <f>MIN(1,MAX(VLOOKUP(($AJ88-$AI88-$AH88-$AG88-$AF88-$AE88*(1+IH$3))/$AJ88,'Технический лист'!$A:$B,2,1),(IG88-0.05)))</f>
        <v>1</v>
      </c>
      <c r="II88" s="15">
        <f>MIN(1,MAX(VLOOKUP(($AJ88-$AI88-$AH88-$AG88-$AF88-$AE88*(1+II$3))/$AJ88,'Технический лист'!$A:$B,2,1),(IH88-0.05)))</f>
        <v>1</v>
      </c>
      <c r="IJ88" s="15">
        <f>MIN(1,MAX(VLOOKUP(($AJ88-$AI88-$AH88-$AG88-$AF88-$AE88*(1+IJ$3))/$AJ88,'Технический лист'!$A:$B,2,1),(II88-0.05)))</f>
        <v>1</v>
      </c>
      <c r="IK88" s="15">
        <f>MIN(1,MAX(VLOOKUP(($AJ88-$AI88-$AH88-$AG88-$AF88-$AE88*(1+IK$3))/$AJ88,'Технический лист'!$A:$B,2,1),(IJ88-0.05)))</f>
        <v>1</v>
      </c>
      <c r="IL88" s="15">
        <f>MIN(1,MAX(VLOOKUP(($AJ88-$AI88-$AH88-$AG88-$AF88-$AE88*(1+IL$3))/$AJ88,'Технический лист'!$A:$B,2,1),(IK88-0.05)))</f>
        <v>1</v>
      </c>
      <c r="IM88" s="15">
        <f>MIN(1,MAX(VLOOKUP(($AJ88-$AI88-$AH88-$AG88-$AF88-$AE88*(1+IM$3))/$AJ88,'Технический лист'!$A:$B,2,1),(IL88-0.05)))</f>
        <v>1</v>
      </c>
      <c r="IN88" s="15">
        <f>MIN(1,MAX(VLOOKUP(($AJ88-$AI88-$AH88-$AG88-$AF88-$AE88*(1+IN$3))/$AJ88,'Технический лист'!$A:$B,2,1),(IM88-0.05)))</f>
        <v>1</v>
      </c>
      <c r="IO88" s="15">
        <f>MIN(1,MAX(VLOOKUP(($AJ88-$AI88-$AH88-$AG88-$AF88-$AE88*(1+IO$3))/$AJ88,'Технический лист'!$A:$B,2,1),(IN88-0.05)))</f>
        <v>1</v>
      </c>
      <c r="IP88" s="15">
        <f>MIN(1,MAX(VLOOKUP(($AJ88-$AI88-$AH88-$AG88-$AF88-$AE88*(1+IP$3))/$AJ88,'Технический лист'!$A:$B,2,1),(IO88-0.05)))</f>
        <v>1</v>
      </c>
      <c r="IQ88" s="15">
        <f>MIN(1,MAX(VLOOKUP(($AJ88-$AI88-$AH88-$AG88-$AF88-$AE88*(1+IQ$3))/$AJ88,'Технический лист'!$A:$B,2,1),(IP88-0.05)))</f>
        <v>1</v>
      </c>
      <c r="IR88" s="15">
        <f>MIN(1,MAX(VLOOKUP(($AJ88-$AI88-$AH88-$AG88-$AF88-$AE88*(1+IR$3))/$AJ88,'Технический лист'!$A:$B,2,1),(IQ88-0.05)))</f>
        <v>1</v>
      </c>
    </row>
    <row r="89" spans="1:252" ht="29.15">
      <c r="A89" s="89" t="s">
        <v>515</v>
      </c>
      <c r="B89" s="90">
        <v>5</v>
      </c>
      <c r="C89" s="5" t="s">
        <v>68</v>
      </c>
      <c r="D89" s="91">
        <v>31403</v>
      </c>
      <c r="E89" s="91" t="s">
        <v>346</v>
      </c>
      <c r="F89" s="92" t="s">
        <v>77</v>
      </c>
      <c r="G89" s="91" t="s">
        <v>28</v>
      </c>
      <c r="H89" s="91" t="s">
        <v>21</v>
      </c>
      <c r="I89" s="91" t="s">
        <v>164</v>
      </c>
      <c r="J89" s="91" t="s">
        <v>55</v>
      </c>
      <c r="K89" s="91">
        <v>1240</v>
      </c>
      <c r="L89" s="85" t="s">
        <v>64</v>
      </c>
      <c r="M89" s="91" t="s">
        <v>17</v>
      </c>
      <c r="N89" s="91" t="s">
        <v>191</v>
      </c>
      <c r="O89" s="91" t="s">
        <v>192</v>
      </c>
      <c r="P89" s="89" t="s">
        <v>234</v>
      </c>
      <c r="Q89" s="91" t="s">
        <v>267</v>
      </c>
      <c r="R89" s="91" t="s">
        <v>267</v>
      </c>
      <c r="S89" s="82">
        <v>1082285</v>
      </c>
      <c r="T89" s="82">
        <v>1342319883</v>
      </c>
      <c r="U89" s="81">
        <v>16090</v>
      </c>
      <c r="V89" s="81">
        <v>0</v>
      </c>
      <c r="W89" s="82">
        <v>2569027106</v>
      </c>
      <c r="X89" s="112">
        <v>67</v>
      </c>
      <c r="Y89" s="112" t="s">
        <v>418</v>
      </c>
      <c r="Z89" s="113">
        <v>5</v>
      </c>
      <c r="AA89" s="113">
        <v>5</v>
      </c>
      <c r="AB89" s="113">
        <v>4</v>
      </c>
      <c r="AC89" s="99">
        <v>2606.5700000000002</v>
      </c>
      <c r="AD89" s="99">
        <f t="shared" si="37"/>
        <v>497.09999999999991</v>
      </c>
      <c r="AE89" s="99">
        <v>3103.67</v>
      </c>
      <c r="AF89" s="98">
        <f>(Z89+AA89+AB89)*'Ставки аренды'!$B$3/X89</f>
        <v>146.26865671641792</v>
      </c>
      <c r="AG89" s="114">
        <f>'Ставки перевалки'!$B$9*'Курсы валют'!$B$2</f>
        <v>1220.8879999999999</v>
      </c>
      <c r="AH89" s="94">
        <v>0</v>
      </c>
      <c r="AI89" s="115">
        <f>240828/411356*AVERAGE(AJ89,AJ90)</f>
        <v>28647.073882938377</v>
      </c>
      <c r="AJ89" s="117">
        <f>Цены!$C$5*'Курсы валют'!$B$2</f>
        <v>35863.584999999999</v>
      </c>
      <c r="AK89" s="94">
        <f>AJ89/Цены!$B$1</f>
        <v>470</v>
      </c>
      <c r="AL89" s="95">
        <f t="shared" si="24"/>
        <v>4470.8266567164173</v>
      </c>
      <c r="AM89" s="95">
        <f t="shared" si="25"/>
        <v>31392.758343283582</v>
      </c>
      <c r="AN89" s="94">
        <f t="shared" si="22"/>
        <v>33117.900539654795</v>
      </c>
      <c r="AO89" s="118">
        <f t="shared" si="23"/>
        <v>7.6559118681113578E-2</v>
      </c>
      <c r="AP89" s="96">
        <f t="shared" si="26"/>
        <v>0.12466201180714136</v>
      </c>
      <c r="AQ89" s="96">
        <f t="shared" si="27"/>
        <v>8.6540985793807285E-2</v>
      </c>
      <c r="AR89" s="96">
        <f t="shared" si="28"/>
        <v>0.69420495096526047</v>
      </c>
      <c r="AS89" s="122">
        <v>1</v>
      </c>
      <c r="AT89" s="121">
        <f t="shared" si="29"/>
        <v>1082285</v>
      </c>
      <c r="AU89" s="83">
        <v>0.9</v>
      </c>
      <c r="AV89" s="119">
        <f t="shared" si="30"/>
        <v>6.617420038585671E-2</v>
      </c>
      <c r="AW89" s="120">
        <f t="shared" si="31"/>
        <v>0.13504693010239827</v>
      </c>
      <c r="AX89" s="120">
        <f t="shared" si="32"/>
        <v>9.692590408906418E-2</v>
      </c>
      <c r="AY89" s="120">
        <f t="shared" si="33"/>
        <v>0.71772015858169358</v>
      </c>
      <c r="AZ89" s="15">
        <f>MIN(IF($AU89=100%,1,1+VLOOKUP(($AJ89-$AI89-$AH89-$AG89-$AF89-$AE89*(1+AZ$3))/$AJ89,'Технический лист'!$I:$J,2,1)-VLOOKUP($AO89,'Технический лист'!$I:$J,2,1)),1+(1-$AU89))</f>
        <v>1.1000000000000001</v>
      </c>
      <c r="BA89" s="15">
        <f>MIN(IF($AU89=100%,1,1+VLOOKUP(($AJ89-$AI89-$AH89-$AG89-$AF89-$AE89*(1+BA$3))/$AJ89,'Технический лист'!$I:$J,2,1)-VLOOKUP($AO89,'Технический лист'!$I:$J,2,1)),1+(1-$AU89))</f>
        <v>1.1000000000000001</v>
      </c>
      <c r="BB89" s="15">
        <f>MIN(IF($AU89=100%,1,1+VLOOKUP(($AJ89-$AI89-$AH89-$AG89-$AF89-$AE89*(1+BB$3))/$AJ89,'Технический лист'!$I:$J,2,1)-VLOOKUP($AO89,'Технический лист'!$I:$J,2,1)),1+(1-$AU89))</f>
        <v>1.1000000000000001</v>
      </c>
      <c r="BC89" s="15">
        <f>MIN(IF($AU89=100%,1,1+VLOOKUP(($AJ89-$AI89-$AH89-$AG89-$AF89-$AE89*(1+BC$3))/$AJ89,'Технический лист'!$I:$J,2,1)-VLOOKUP($AO89,'Технический лист'!$I:$J,2,1)),1+(1-$AU89))</f>
        <v>1.1000000000000001</v>
      </c>
      <c r="BD89" s="15">
        <f>MIN(IF($AU89=100%,1,1+VLOOKUP(($AJ89-$AI89-$AH89-$AG89-$AF89-$AE89*(1+BD$3))/$AJ89,'Технический лист'!$I:$J,2,1)-VLOOKUP($AO89,'Технический лист'!$I:$J,2,1)),1+(1-$AU89))</f>
        <v>1.1000000000000001</v>
      </c>
      <c r="BE89" s="15">
        <f>MIN(IF($AU89=100%,1,1+VLOOKUP(($AJ89-$AI89-$AH89-$AG89-$AF89-$AE89*(1+BE$3))/$AJ89,'Технический лист'!$I:$J,2,1)-VLOOKUP($AO89,'Технический лист'!$I:$J,2,1)),1+(1-$AU89))</f>
        <v>1.1000000000000001</v>
      </c>
      <c r="BF89" s="15">
        <f>MIN(IF($AU89=100%,1,1+VLOOKUP(($AJ89-$AI89-$AH89-$AG89-$AF89-$AE89*(1+BF$3))/$AJ89,'Технический лист'!$I:$J,2,1)-VLOOKUP($AO89,'Технический лист'!$I:$J,2,1)),1+(1-$AU89))</f>
        <v>1.1000000000000001</v>
      </c>
      <c r="BG89" s="15">
        <f>MIN(IF($AU89=100%,1,1+VLOOKUP(($AJ89-$AI89-$AH89-$AG89-$AF89-$AE89*(1+BG$3))/$AJ89,'Технический лист'!$I:$J,2,1)-VLOOKUP($AO89,'Технический лист'!$I:$J,2,1)),1+(1-$AU89))</f>
        <v>1.1000000000000001</v>
      </c>
      <c r="BH89" s="15">
        <f>MIN(IF($AU89=100%,1,1+VLOOKUP(($AJ89-$AI89-$AH89-$AG89-$AF89-$AE89*(1+BH$3))/$AJ89,'Технический лист'!$I:$J,2,1)-VLOOKUP($AO89,'Технический лист'!$I:$J,2,1)),1+(1-$AU89))</f>
        <v>1.1000000000000001</v>
      </c>
      <c r="BI89" s="15">
        <f>MIN(IF($AU89=100%,1,1+VLOOKUP(($AJ89-$AI89-$AH89-$AG89-$AF89-$AE89*(1+BI$3))/$AJ89,'Технический лист'!$I:$J,2,1)-VLOOKUP($AO89,'Технический лист'!$I:$J,2,1)),1+(1-$AU89))</f>
        <v>1.1000000000000001</v>
      </c>
      <c r="BJ89" s="15">
        <f>MIN(IF($AU89=100%,1,1+VLOOKUP(($AJ89-$AI89-$AH89-$AG89-$AF89-$AE89*(1+BJ$3))/$AJ89,'Технический лист'!$I:$J,2,1)-VLOOKUP($AO89,'Технический лист'!$I:$J,2,1)),1+(1-$AU89))</f>
        <v>1.1000000000000001</v>
      </c>
      <c r="BK89" s="15">
        <f>MIN(IF($AU89=100%,1,1+VLOOKUP(($AJ89-$AI89-$AH89-$AG89-$AF89-$AE89*(1+BK$3))/$AJ89,'Технический лист'!$I:$J,2,1)-VLOOKUP($AO89,'Технический лист'!$I:$J,2,1)),1+(1-$AU89))</f>
        <v>1.1000000000000001</v>
      </c>
      <c r="BL89" s="15">
        <f>MIN(IF($AU89=100%,1,1+VLOOKUP(($AJ89-$AI89-$AH89-$AG89-$AF89-$AE89*(1+BL$3))/$AJ89,'Технический лист'!$I:$J,2,1)-VLOOKUP($AO89,'Технический лист'!$I:$J,2,1)),1+(1-$AU89))</f>
        <v>1.1000000000000001</v>
      </c>
      <c r="BM89" s="15">
        <f>MIN(IF($AU89=100%,1,1+VLOOKUP(($AJ89-$AI89-$AH89-$AG89-$AF89-$AE89*(1+BM$3))/$AJ89,'Технический лист'!$I:$J,2,1)-VLOOKUP($AO89,'Технический лист'!$I:$J,2,1)),1+(1-$AU89))</f>
        <v>1.1000000000000001</v>
      </c>
      <c r="BN89" s="15">
        <f>MIN(IF($AU89=100%,1,1+VLOOKUP(($AJ89-$AI89-$AH89-$AG89-$AF89-$AE89*(1+BN$3))/$AJ89,'Технический лист'!$I:$J,2,1)-VLOOKUP($AO89,'Технический лист'!$I:$J,2,1)),1+(1-$AU89))</f>
        <v>1.1000000000000001</v>
      </c>
      <c r="BO89" s="15">
        <f>MIN(IF($AU89=100%,1,1+VLOOKUP(($AJ89-$AI89-$AH89-$AG89-$AF89-$AE89*(1+BO$3))/$AJ89,'Технический лист'!$I:$J,2,1)-VLOOKUP($AO89,'Технический лист'!$I:$J,2,1)),1+(1-$AU89))</f>
        <v>1.1000000000000001</v>
      </c>
      <c r="BP89" s="15">
        <f>MIN(IF($AU89=100%,1,1+VLOOKUP(($AJ89-$AI89-$AH89-$AG89-$AF89-$AE89*(1+BP$3))/$AJ89,'Технический лист'!$I:$J,2,1)-VLOOKUP($AO89,'Технический лист'!$I:$J,2,1)),1+(1-$AU89))</f>
        <v>1.1000000000000001</v>
      </c>
      <c r="BQ89" s="15">
        <f>MIN(IF($AU89=100%,1,1+VLOOKUP(($AJ89-$AI89-$AH89-$AG89-$AF89-$AE89*(1+BQ$3))/$AJ89,'Технический лист'!$I:$J,2,1)-VLOOKUP($AO89,'Технический лист'!$I:$J,2,1)),1+(1-$AU89))</f>
        <v>1.1000000000000001</v>
      </c>
      <c r="BR89" s="15">
        <f>MIN(IF($AU89=100%,1,1+VLOOKUP(($AJ89-$AI89-$AH89-$AG89-$AF89-$AE89*(1+BR$3))/$AJ89,'Технический лист'!$I:$J,2,1)-VLOOKUP($AO89,'Технический лист'!$I:$J,2,1)),1+(1-$AU89))</f>
        <v>1.1000000000000001</v>
      </c>
      <c r="BS89" s="15">
        <f>MIN(IF($AU89=100%,1,1+VLOOKUP(($AJ89-$AI89-$AH89-$AG89-$AF89-$AE89*(1+BS$3))/$AJ89,'Технический лист'!$I:$J,2,1)-VLOOKUP($AO89,'Технический лист'!$I:$J,2,1)),1+(1-$AU89))</f>
        <v>1.1000000000000001</v>
      </c>
      <c r="BT89" s="15">
        <f>MIN(IF($AU89=100%,1,1+VLOOKUP(($AJ89-$AI89-$AH89-$AG89-$AF89-$AE89*(1+BT$3))/$AJ89,'Технический лист'!$I:$J,2,1)-VLOOKUP($AO89,'Технический лист'!$I:$J,2,1)),1+(1-$AU89))</f>
        <v>1.1000000000000001</v>
      </c>
      <c r="BU89" s="15">
        <f>MIN(IF($AU89=100%,1,1+VLOOKUP(($AJ89-$AI89-$AH89-$AG89-$AF89-$AE89*(1+BU$3))/$AJ89,'Технический лист'!$I:$J,2,1)-VLOOKUP($AO89,'Технический лист'!$I:$J,2,1)),1+(1-$AU89))</f>
        <v>1.1000000000000001</v>
      </c>
      <c r="BV89" s="15">
        <f>MIN(IF($AU89=100%,1,1+VLOOKUP(($AJ89-$AI89-$AH89-$AG89-$AF89-$AE89*(1+BV$3))/$AJ89,'Технический лист'!$I:$J,2,1)-VLOOKUP($AO89,'Технический лист'!$I:$J,2,1)),1+(1-$AU89))</f>
        <v>1.1000000000000001</v>
      </c>
      <c r="BW89" s="15">
        <f>MIN(IF($AU89=100%,1,1+VLOOKUP(($AJ89-$AI89-$AH89-$AG89-$AF89-$AE89*(1+BW$3))/$AJ89,'Технический лист'!$I:$J,2,1)-VLOOKUP($AO89,'Технический лист'!$I:$J,2,1)),1+(1-$AU89))</f>
        <v>1.1000000000000001</v>
      </c>
      <c r="BX89" s="15">
        <f>MIN(IF($AU89=100%,1,1+VLOOKUP(($AJ89-$AI89-$AH89-$AG89-$AF89-$AE89*(1+BX$3))/$AJ89,'Технический лист'!$I:$J,2,1)-VLOOKUP($AO89,'Технический лист'!$I:$J,2,1)),1+(1-$AU89))</f>
        <v>1.1000000000000001</v>
      </c>
      <c r="BY89" s="15">
        <f>MIN(IF($AU89=100%,1,1+VLOOKUP(($AJ89-$AI89-$AH89-$AG89-$AF89-$AE89*(1+BY$3))/$AJ89,'Технический лист'!$I:$J,2,1)-VLOOKUP($AO89,'Технический лист'!$I:$J,2,1)),1+(1-$AU89))</f>
        <v>1.1000000000000001</v>
      </c>
      <c r="BZ89" s="15">
        <f>MIN(IF($AU89=100%,1,1+VLOOKUP(($AJ89-$AI89-$AH89-$AG89-$AF89-$AE89*(1+BZ$3))/$AJ89,'Технический лист'!$I:$J,2,1)-VLOOKUP($AO89,'Технический лист'!$I:$J,2,1)),1+(1-$AU89))</f>
        <v>1.1000000000000001</v>
      </c>
      <c r="CA89" s="15">
        <f>MIN(IF($AU89=100%,1,1+VLOOKUP(($AJ89-$AI89-$AH89-$AG89-$AF89-$AE89*(1+CA$3))/$AJ89,'Технический лист'!$I:$J,2,1)-VLOOKUP($AO89,'Технический лист'!$I:$J,2,1)),1+(1-$AU89))</f>
        <v>1.1000000000000001</v>
      </c>
      <c r="CB89" s="15">
        <f>MIN(IF($AU89=100%,1,1+VLOOKUP(($AJ89-$AI89-$AH89-$AG89-$AF89-$AE89*(1+CB$3))/$AJ89,'Технический лист'!$I:$J,2,1)-VLOOKUP($AO89,'Технический лист'!$I:$J,2,1)),1+(1-$AU89))</f>
        <v>1.1000000000000001</v>
      </c>
      <c r="CC89" s="15">
        <f>MIN(IF($AU89=100%,1,1+VLOOKUP(($AJ89-$AI89-$AH89-$AG89-$AF89-$AE89*(1+CC$3))/$AJ89,'Технический лист'!$I:$J,2,1)-VLOOKUP($AO89,'Технический лист'!$I:$J,2,1)),1+(1-$AU89))</f>
        <v>1.1000000000000001</v>
      </c>
      <c r="CD89" s="15">
        <f>MIN(IF($AU89=100%,1,1+VLOOKUP(($AJ89-$AI89-$AH89-$AG89-$AF89-$AE89*(1+CD$3))/$AJ89,'Технический лист'!$I:$J,2,1)-VLOOKUP($AO89,'Технический лист'!$I:$J,2,1)),1+(1-$AU89))</f>
        <v>1.1000000000000001</v>
      </c>
      <c r="CE89" s="15">
        <f>MIN(IF($AU89=100%,1,1+VLOOKUP(($AJ89-$AI89-$AH89-$AG89-$AF89-$AE89*(1+CE$3))/$AJ89,'Технический лист'!$I:$J,2,1)-VLOOKUP($AO89,'Технический лист'!$I:$J,2,1)),1+(1-$AU89))</f>
        <v>1.1000000000000001</v>
      </c>
      <c r="CF89" s="15">
        <f>MIN(IF($AU89=100%,1,1+VLOOKUP(($AJ89-$AI89-$AH89-$AG89-$AF89-$AE89*(1+CF$3))/$AJ89,'Технический лист'!$I:$J,2,1)-VLOOKUP($AO89,'Технический лист'!$I:$J,2,1)),1+(1-$AU89))</f>
        <v>1.1000000000000001</v>
      </c>
      <c r="CG89" s="15">
        <f>MIN(IF($AU89=100%,1,1+VLOOKUP(($AJ89-$AI89-$AH89-$AG89-$AF89-$AE89*(1+CG$3))/$AJ89,'Технический лист'!$I:$J,2,1)-VLOOKUP($AO89,'Технический лист'!$I:$J,2,1)),1+(1-$AU89))</f>
        <v>1.1000000000000001</v>
      </c>
      <c r="CH89" s="15">
        <f>MIN(IF($AU89=100%,1,1+VLOOKUP(($AJ89-$AI89-$AH89-$AG89-$AF89-$AE89*(1+CH$3))/$AJ89,'Технический лист'!$I:$J,2,1)-VLOOKUP($AO89,'Технический лист'!$I:$J,2,1)),1+(1-$AU89))</f>
        <v>1.1000000000000001</v>
      </c>
      <c r="CI89" s="15">
        <f>MIN(IF($AU89=100%,1,1+VLOOKUP(($AJ89-$AI89-$AH89-$AG89-$AF89-$AE89*(1+CI$3))/$AJ89,'Технический лист'!$I:$J,2,1)-VLOOKUP($AO89,'Технический лист'!$I:$J,2,1)),1+(1-$AU89))</f>
        <v>1.1000000000000001</v>
      </c>
      <c r="CJ89" s="15">
        <f>MIN(IF($AU89=100%,1,1+VLOOKUP(($AJ89-$AI89-$AH89-$AG89-$AF89-$AE89*(1+CJ$3))/$AJ89,'Технический лист'!$I:$J,2,1)-VLOOKUP($AO89,'Технический лист'!$I:$J,2,1)),1+(1-$AU89))</f>
        <v>1.1000000000000001</v>
      </c>
      <c r="CK89" s="15">
        <f>MIN(IF($AU89=100%,1,1+VLOOKUP(($AJ89-$AI89-$AH89-$AG89-$AF89-$AE89*(1+CK$3))/$AJ89,'Технический лист'!$I:$J,2,1)-VLOOKUP($AO89,'Технический лист'!$I:$J,2,1)),1+(1-$AU89))</f>
        <v>1.1000000000000001</v>
      </c>
      <c r="CL89" s="15">
        <f>MIN(IF($AU89=100%,1,1+VLOOKUP(($AJ89-$AI89-$AH89-$AG89-$AF89-$AE89*(1+CL$3))/$AJ89,'Технический лист'!$I:$J,2,1)-VLOOKUP($AO89,'Технический лист'!$I:$J,2,1)),1+(1-$AU89))</f>
        <v>1.1000000000000001</v>
      </c>
      <c r="CM89" s="15">
        <f>MIN(IF($AU89=100%,1,1+VLOOKUP(($AJ89-$AI89-$AH89-$AG89-$AF89-$AE89*(1+CM$3))/$AJ89,'Технический лист'!$I:$J,2,1)-VLOOKUP($AO89,'Технический лист'!$I:$J,2,1)),1+(1-$AU89))</f>
        <v>1.1000000000000001</v>
      </c>
      <c r="CN89" s="15">
        <f>MIN(IF($AU89=100%,1,1+VLOOKUP(($AJ89-$AI89-$AH89-$AG89-$AF89-$AE89*(1+CN$3))/$AJ89,'Технический лист'!$I:$J,2,1)-VLOOKUP($AO89,'Технический лист'!$I:$J,2,1)),1+(1-$AU89))</f>
        <v>1.1000000000000001</v>
      </c>
      <c r="CO89" s="15">
        <f>MIN(IF($AU89=100%,1,1+VLOOKUP(($AJ89-$AI89-$AH89-$AG89-$AF89-$AE89*(1+CO$3))/$AJ89,'Технический лист'!$I:$J,2,1)-VLOOKUP($AO89,'Технический лист'!$I:$J,2,1)),1+(1-$AU89))</f>
        <v>1.1000000000000001</v>
      </c>
      <c r="CP89" s="15">
        <f>MIN(IF($AU89=100%,1,1+VLOOKUP(($AJ89-$AI89-$AH89-$AG89-$AF89-$AE89*(1+CP$3))/$AJ89,'Технический лист'!$I:$J,2,1)-VLOOKUP($AO89,'Технический лист'!$I:$J,2,1)),1+(1-$AU89))</f>
        <v>1.1000000000000001</v>
      </c>
      <c r="CQ89" s="15">
        <f>MIN(IF($AU89=100%,1,1+VLOOKUP(($AJ89-$AI89-$AH89-$AG89-$AF89-$AE89*(1+CQ$3))/$AJ89,'Технический лист'!$I:$J,2,1)-VLOOKUP($AO89,'Технический лист'!$I:$J,2,1)),1+(1-$AU89))</f>
        <v>1.1000000000000001</v>
      </c>
      <c r="CR89" s="15">
        <f>MIN(IF($AU89=100%,1,1+VLOOKUP(($AJ89-$AI89-$AH89-$AG89-$AF89-$AE89*(1+CR$3))/$AJ89,'Технический лист'!$I:$J,2,1)-VLOOKUP($AO89,'Технический лист'!$I:$J,2,1)),1+(1-$AU89))</f>
        <v>1.1000000000000001</v>
      </c>
      <c r="CS89" s="15">
        <f>MIN(IF($AU89=100%,1,1+VLOOKUP(($AJ89-$AI89-$AH89-$AG89-$AF89-$AE89*(1+CS$3))/$AJ89,'Технический лист'!$I:$J,2,1)-VLOOKUP($AO89,'Технический лист'!$I:$J,2,1)),1+(1-$AU89))</f>
        <v>1.1000000000000001</v>
      </c>
      <c r="CT89" s="15">
        <f>MIN(IF($AU89=100%,1,1+VLOOKUP(($AJ89-$AI89-$AH89-$AG89-$AF89-$AE89*(1+CT$3))/$AJ89,'Технический лист'!$I:$J,2,1)-VLOOKUP($AO89,'Технический лист'!$I:$J,2,1)),1+(1-$AU89))</f>
        <v>1.1000000000000001</v>
      </c>
      <c r="CU89" s="15">
        <f>MIN(IF($AU89=100%,1,1+VLOOKUP(($AJ89-$AI89-$AH89-$AG89-$AF89-$AE89*(1+CU$3))/$AJ89,'Технический лист'!$I:$J,2,1)-VLOOKUP($AO89,'Технический лист'!$I:$J,2,1)),1+(1-$AU89))</f>
        <v>1.1000000000000001</v>
      </c>
      <c r="CV89" s="15">
        <f>MIN(IF($AU89=100%,1,1+VLOOKUP(($AJ89-$AI89-$AH89-$AG89-$AF89-$AE89*(1+CV$3))/$AJ89,'Технический лист'!$I:$J,2,1)-VLOOKUP($AO89,'Технический лист'!$I:$J,2,1)),1+(1-$AU89))</f>
        <v>1.1000000000000001</v>
      </c>
      <c r="CW89" s="15">
        <f>MIN(IF($AU89=100%,1,1+VLOOKUP(($AJ89-$AI89-$AH89-$AG89-$AF89-$AE89*(1+CW$3))/$AJ89,'Технический лист'!$I:$J,2,1)-VLOOKUP($AO89,'Технический лист'!$I:$J,2,1)),1+(1-$AU89))</f>
        <v>1.1000000000000001</v>
      </c>
      <c r="CX89" s="15">
        <f>MIN(IF($AU89=100%,1,1+VLOOKUP(($AJ89-$AI89-$AH89-$AG89-$AF89-$AE89*(1+CX$3))/$AJ89,'Технический лист'!$I:$J,2,1)-VLOOKUP($AO89,'Технический лист'!$I:$J,2,1)),1+(1-$AU89))</f>
        <v>1.1000000000000001</v>
      </c>
      <c r="CY89" s="15">
        <f>MIN(IF($AU89=100%,1,1+VLOOKUP(($AJ89-$AI89-$AH89-$AG89-$AF89-$AE89*(1+CY$3))/$AJ89,'Технический лист'!$I:$J,2,1)-VLOOKUP($AO89,'Технический лист'!$I:$J,2,1)),1+(1-$AU89))</f>
        <v>1.1000000000000001</v>
      </c>
      <c r="CZ89" s="15">
        <f>MIN(IF($AU89=100%,1,1+VLOOKUP(($AJ89-$AI89-$AH89-$AG89-$AF89-$AE89*(1+CZ$3))/$AJ89,'Технический лист'!$I:$J,2,1)-VLOOKUP($AO89,'Технический лист'!$I:$J,2,1)),1+(1-$AU89))</f>
        <v>1.1000000000000001</v>
      </c>
      <c r="DA89" s="15">
        <f>MIN(IF($AU89=100%,1,1+VLOOKUP(($AJ89-$AI89-$AH89-$AG89-$AF89-$AE89*(1+DA$3))/$AJ89,'Технический лист'!$I:$J,2,1)-VLOOKUP($AO89,'Технический лист'!$I:$J,2,1)),1+(1-$AU89))</f>
        <v>1.1000000000000001</v>
      </c>
      <c r="DB89" s="15">
        <f>MIN(IF($AU89=100%,1,1+VLOOKUP(($AJ89-$AI89-$AH89-$AG89-$AF89-$AE89*(1+DB$3))/$AJ89,'Технический лист'!$I:$J,2,1)-VLOOKUP($AO89,'Технический лист'!$I:$J,2,1)),1+(1-$AU89))</f>
        <v>1.1000000000000001</v>
      </c>
      <c r="DC89" s="15">
        <f>MIN(IF($AU89=100%,1,1+VLOOKUP(($AJ89-$AI89-$AH89-$AG89-$AF89-$AE89*(1+DC$3))/$AJ89,'Технический лист'!$I:$J,2,1)-VLOOKUP($AO89,'Технический лист'!$I:$J,2,1)),1+(1-$AU89))</f>
        <v>1.1000000000000001</v>
      </c>
      <c r="DD89" s="15">
        <f>MIN(IF($AU89=100%,1,1+VLOOKUP(($AJ89-$AI89-$AH89-$AG89-$AF89-$AE89*(1+DD$3))/$AJ89,'Технический лист'!$I:$J,2,1)-VLOOKUP($AO89,'Технический лист'!$I:$J,2,1)),1+(1-$AU89))</f>
        <v>1.1000000000000001</v>
      </c>
      <c r="DE89" s="15">
        <f>MIN(IF($AU89=100%,1,1+VLOOKUP(($AJ89-$AI89-$AH89-$AG89-$AF89-$AE89*(1+DE$3))/$AJ89,'Технический лист'!$I:$J,2,1)-VLOOKUP($AO89,'Технический лист'!$I:$J,2,1)),1+(1-$AU89))</f>
        <v>1.1000000000000001</v>
      </c>
      <c r="DF89" s="15">
        <f>MIN(IF($AU89=100%,1,1+VLOOKUP(($AJ89-$AI89-$AH89-$AG89-$AF89-$AE89*(1+DF$3))/$AJ89,'Технический лист'!$I:$J,2,1)-VLOOKUP($AO89,'Технический лист'!$I:$J,2,1)),1+(1-$AU89))</f>
        <v>1.085</v>
      </c>
      <c r="DG89" s="15">
        <f>MIN(IF($AU89=100%,1,1+VLOOKUP(($AJ89-$AI89-$AH89-$AG89-$AF89-$AE89*(1+DG$3))/$AJ89,'Технический лист'!$I:$J,2,1)-VLOOKUP($AO89,'Технический лист'!$I:$J,2,1)),1+(1-$AU89))</f>
        <v>1.085</v>
      </c>
      <c r="DH89" s="15">
        <f>MIN(IF($AU89=100%,1,1+VLOOKUP(($AJ89-$AI89-$AH89-$AG89-$AF89-$AE89*(1+DH$3))/$AJ89,'Технический лист'!$I:$J,2,1)-VLOOKUP($AO89,'Технический лист'!$I:$J,2,1)),1+(1-$AU89))</f>
        <v>1.085</v>
      </c>
      <c r="DI89" s="15">
        <f>MIN(IF($AU89=100%,1,1+VLOOKUP(($AJ89-$AI89-$AH89-$AG89-$AF89-$AE89*(1+DI$3))/$AJ89,'Технический лист'!$I:$J,2,1)-VLOOKUP($AO89,'Технический лист'!$I:$J,2,1)),1+(1-$AU89))</f>
        <v>1.085</v>
      </c>
      <c r="DJ89" s="15">
        <f>MIN(IF($AU89=100%,1,1+VLOOKUP(($AJ89-$AI89-$AH89-$AG89-$AF89-$AE89*(1+DJ$3))/$AJ89,'Технический лист'!$I:$J,2,1)-VLOOKUP($AO89,'Технический лист'!$I:$J,2,1)),1+(1-$AU89))</f>
        <v>1.085</v>
      </c>
      <c r="DK89" s="15">
        <f>MIN(IF($AU89=100%,1,1+VLOOKUP(($AJ89-$AI89-$AH89-$AG89-$AF89-$AE89*(1+DK$3))/$AJ89,'Технический лист'!$I:$J,2,1)-VLOOKUP($AO89,'Технический лист'!$I:$J,2,1)),1+(1-$AU89))</f>
        <v>1.085</v>
      </c>
      <c r="DL89" s="15">
        <f>MIN(IF($AU89=100%,1,1+VLOOKUP(($AJ89-$AI89-$AH89-$AG89-$AF89-$AE89*(1+DL$3))/$AJ89,'Технический лист'!$I:$J,2,1)-VLOOKUP($AO89,'Технический лист'!$I:$J,2,1)),1+(1-$AU89))</f>
        <v>1.085</v>
      </c>
      <c r="DM89" s="15">
        <f>MIN(IF($AU89=100%,1,1+VLOOKUP(($AJ89-$AI89-$AH89-$AG89-$AF89-$AE89*(1+DM$3))/$AJ89,'Технический лист'!$I:$J,2,1)-VLOOKUP($AO89,'Технический лист'!$I:$J,2,1)),1+(1-$AU89))</f>
        <v>1.085</v>
      </c>
      <c r="DN89" s="15">
        <f>MIN(IF($AU89=100%,1,1+VLOOKUP(($AJ89-$AI89-$AH89-$AG89-$AF89-$AE89*(1+DN$3))/$AJ89,'Технический лист'!$I:$J,2,1)-VLOOKUP($AO89,'Технический лист'!$I:$J,2,1)),1+(1-$AU89))</f>
        <v>1.085</v>
      </c>
      <c r="DO89" s="15">
        <f>MIN(IF($AU89=100%,1,1+VLOOKUP(($AJ89-$AI89-$AH89-$AG89-$AF89-$AE89*(1+DO$3))/$AJ89,'Технический лист'!$I:$J,2,1)-VLOOKUP($AO89,'Технический лист'!$I:$J,2,1)),1+(1-$AU89))</f>
        <v>1.085</v>
      </c>
      <c r="DP89" s="15">
        <f>MIN(IF($AU89=100%,1,1+VLOOKUP(($AJ89-$AI89-$AH89-$AG89-$AF89-$AE89*(1+DP$3))/$AJ89,'Технический лист'!$I:$J,2,1)-VLOOKUP($AO89,'Технический лист'!$I:$J,2,1)),1+(1-$AU89))</f>
        <v>1.085</v>
      </c>
      <c r="DQ89" s="15">
        <f>MIN(IF($AU89=100%,1,1+VLOOKUP(($AJ89-$AI89-$AH89-$AG89-$AF89-$AE89*(1+DQ$3))/$AJ89,'Технический лист'!$I:$J,2,1)-VLOOKUP($AO89,'Технический лист'!$I:$J,2,1)),1+(1-$AU89))</f>
        <v>1.0550000000000002</v>
      </c>
      <c r="DR89" s="15">
        <f>MIN(IF($AU89=100%,1,1+VLOOKUP(($AJ89-$AI89-$AH89-$AG89-$AF89-$AE89*(1+DR$3))/$AJ89,'Технический лист'!$I:$J,2,1)-VLOOKUP($AO89,'Технический лист'!$I:$J,2,1)),1+(1-$AU89))</f>
        <v>1.0550000000000002</v>
      </c>
      <c r="DS89" s="15">
        <f>MIN(IF($AU89=100%,1,1+VLOOKUP(($AJ89-$AI89-$AH89-$AG89-$AF89-$AE89*(1+DS$3))/$AJ89,'Технический лист'!$I:$J,2,1)-VLOOKUP($AO89,'Технический лист'!$I:$J,2,1)),1+(1-$AU89))</f>
        <v>1.0550000000000002</v>
      </c>
      <c r="DT89" s="15">
        <f>MIN(IF($AU89=100%,1,1+VLOOKUP(($AJ89-$AI89-$AH89-$AG89-$AF89-$AE89*(1+DT$3))/$AJ89,'Технический лист'!$I:$J,2,1)-VLOOKUP($AO89,'Технический лист'!$I:$J,2,1)),1+(1-$AU89))</f>
        <v>1.0550000000000002</v>
      </c>
      <c r="DU89" s="15">
        <f>MIN(IF($AU89=100%,1,1+VLOOKUP(($AJ89-$AI89-$AH89-$AG89-$AF89-$AE89*(1+DU$3))/$AJ89,'Технический лист'!$I:$J,2,1)-VLOOKUP($AO89,'Технический лист'!$I:$J,2,1)),1+(1-$AU89))</f>
        <v>1.0550000000000002</v>
      </c>
      <c r="DV89" s="15">
        <f>MIN(IF($AU89=100%,1,1+VLOOKUP(($AJ89-$AI89-$AH89-$AG89-$AF89-$AE89*(1+DV$3))/$AJ89,'Технический лист'!$I:$J,2,1)-VLOOKUP($AO89,'Технический лист'!$I:$J,2,1)),1+(1-$AU89))</f>
        <v>1.0550000000000002</v>
      </c>
      <c r="DW89" s="15">
        <f>MIN(IF($AU89=100%,1,1+VLOOKUP(($AJ89-$AI89-$AH89-$AG89-$AF89-$AE89*(1+DW$3))/$AJ89,'Технический лист'!$I:$J,2,1)-VLOOKUP($AO89,'Технический лист'!$I:$J,2,1)),1+(1-$AU89))</f>
        <v>1.0550000000000002</v>
      </c>
      <c r="DX89" s="15">
        <f>MIN(IF($AU89=100%,1,1+VLOOKUP(($AJ89-$AI89-$AH89-$AG89-$AF89-$AE89*(1+DX$3))/$AJ89,'Технический лист'!$I:$J,2,1)-VLOOKUP($AO89,'Технический лист'!$I:$J,2,1)),1+(1-$AU89))</f>
        <v>1.0550000000000002</v>
      </c>
      <c r="DY89" s="15">
        <f>MIN(IF($AU89=100%,1,1+VLOOKUP(($AJ89-$AI89-$AH89-$AG89-$AF89-$AE89*(1+DY$3))/$AJ89,'Технический лист'!$I:$J,2,1)-VLOOKUP($AO89,'Технический лист'!$I:$J,2,1)),1+(1-$AU89))</f>
        <v>1.0550000000000002</v>
      </c>
      <c r="DZ89" s="15">
        <f>MIN(IF($AU89=100%,1,1+VLOOKUP(($AJ89-$AI89-$AH89-$AG89-$AF89-$AE89*(1+DZ$3))/$AJ89,'Технический лист'!$I:$J,2,1)-VLOOKUP($AO89,'Технический лист'!$I:$J,2,1)),1+(1-$AU89))</f>
        <v>1.0550000000000002</v>
      </c>
      <c r="EA89" s="15">
        <f>MIN(IF($AU89=100%,1,1+VLOOKUP(($AJ89-$AI89-$AH89-$AG89-$AF89-$AE89*(1+EA$3))/$AJ89,'Технический лист'!$I:$J,2,1)-VLOOKUP($AO89,'Технический лист'!$I:$J,2,1)),1+(1-$AU89))</f>
        <v>1.0550000000000002</v>
      </c>
      <c r="EB89" s="15">
        <f>MIN(IF($AU89=100%,1,1+VLOOKUP(($AJ89-$AI89-$AH89-$AG89-$AF89-$AE89*(1+EB$3))/$AJ89,'Технический лист'!$I:$J,2,1)-VLOOKUP($AO89,'Технический лист'!$I:$J,2,1)),1+(1-$AU89))</f>
        <v>1.0550000000000002</v>
      </c>
      <c r="EC89" s="15">
        <f>MIN(IF($AU89=100%,1,1+VLOOKUP(($AJ89-$AI89-$AH89-$AG89-$AF89-$AE89*(1+EC$3))/$AJ89,'Технический лист'!$I:$J,2,1)-VLOOKUP($AO89,'Технический лист'!$I:$J,2,1)),1+(1-$AU89))</f>
        <v>1.0249999999999999</v>
      </c>
      <c r="ED89" s="15">
        <f>MIN(IF($AU89=100%,1,1+VLOOKUP(($AJ89-$AI89-$AH89-$AG89-$AF89-$AE89*(1+ED$3))/$AJ89,'Технический лист'!$I:$J,2,1)-VLOOKUP($AO89,'Технический лист'!$I:$J,2,1)),1+(1-$AU89))</f>
        <v>1.0249999999999999</v>
      </c>
      <c r="EE89" s="15">
        <f>MIN(IF($AU89=100%,1,1+VLOOKUP(($AJ89-$AI89-$AH89-$AG89-$AF89-$AE89*(1+EE$3))/$AJ89,'Технический лист'!$I:$J,2,1)-VLOOKUP($AO89,'Технический лист'!$I:$J,2,1)),1+(1-$AU89))</f>
        <v>1.0249999999999999</v>
      </c>
      <c r="EF89" s="15">
        <f>MIN(IF($AU89=100%,1,1+VLOOKUP(($AJ89-$AI89-$AH89-$AG89-$AF89-$AE89*(1+EF$3))/$AJ89,'Технический лист'!$I:$J,2,1)-VLOOKUP($AO89,'Технический лист'!$I:$J,2,1)),1+(1-$AU89))</f>
        <v>1.0249999999999999</v>
      </c>
      <c r="EG89" s="15">
        <f>MIN(IF($AU89=100%,1,1+VLOOKUP(($AJ89-$AI89-$AH89-$AG89-$AF89-$AE89*(1+EG$3))/$AJ89,'Технический лист'!$I:$J,2,1)-VLOOKUP($AO89,'Технический лист'!$I:$J,2,1)),1+(1-$AU89))</f>
        <v>1.0249999999999999</v>
      </c>
      <c r="EH89" s="15">
        <f>MIN(IF($AU89=100%,1,1+VLOOKUP(($AJ89-$AI89-$AH89-$AG89-$AF89-$AE89*(1+EH$3))/$AJ89,'Технический лист'!$I:$J,2,1)-VLOOKUP($AO89,'Технический лист'!$I:$J,2,1)),1+(1-$AU89))</f>
        <v>1.0249999999999999</v>
      </c>
      <c r="EI89" s="15">
        <f>MIN(IF($AU89=100%,1,1+VLOOKUP(($AJ89-$AI89-$AH89-$AG89-$AF89-$AE89*(1+EI$3))/$AJ89,'Технический лист'!$I:$J,2,1)-VLOOKUP($AO89,'Технический лист'!$I:$J,2,1)),1+(1-$AU89))</f>
        <v>1.0249999999999999</v>
      </c>
      <c r="EJ89" s="15">
        <f>MIN(IF($AU89=100%,1,1+VLOOKUP(($AJ89-$AI89-$AH89-$AG89-$AF89-$AE89*(1+EJ$3))/$AJ89,'Технический лист'!$I:$J,2,1)-VLOOKUP($AO89,'Технический лист'!$I:$J,2,1)),1+(1-$AU89))</f>
        <v>1.0249999999999999</v>
      </c>
      <c r="EK89" s="15">
        <f>MIN(IF($AU89=100%,1,1+VLOOKUP(($AJ89-$AI89-$AH89-$AG89-$AF89-$AE89*(1+EK$3))/$AJ89,'Технический лист'!$I:$J,2,1)-VLOOKUP($AO89,'Технический лист'!$I:$J,2,1)),1+(1-$AU89))</f>
        <v>1.0249999999999999</v>
      </c>
      <c r="EL89" s="15">
        <f>MIN(IF($AU89=100%,1,1+VLOOKUP(($AJ89-$AI89-$AH89-$AG89-$AF89-$AE89*(1+EL$3))/$AJ89,'Технический лист'!$I:$J,2,1)-VLOOKUP($AO89,'Технический лист'!$I:$J,2,1)),1+(1-$AU89))</f>
        <v>1.0249999999999999</v>
      </c>
      <c r="EM89" s="15">
        <f>MIN(IF($AU89=100%,1,1+VLOOKUP(($AJ89-$AI89-$AH89-$AG89-$AF89-$AE89*(1+EM$3))/$AJ89,'Технический лист'!$I:$J,2,1)-VLOOKUP($AO89,'Технический лист'!$I:$J,2,1)),1+(1-$AU89))</f>
        <v>1.0249999999999999</v>
      </c>
      <c r="EN89" s="15">
        <f>MIN(IF($AU89=100%,1,1+VLOOKUP(($AJ89-$AI89-$AH89-$AG89-$AF89-$AE89*(1+EN$3))/$AJ89,'Технический лист'!$I:$J,2,1)-VLOOKUP($AO89,'Технический лист'!$I:$J,2,1)),1+(1-$AU89))</f>
        <v>1.0249999999999999</v>
      </c>
      <c r="EO89" s="15">
        <f>MIN(IF($AU89=100%,1,1+VLOOKUP(($AJ89-$AI89-$AH89-$AG89-$AF89-$AE89*(1+EO$3))/$AJ89,'Технический лист'!$I:$J,2,1)-VLOOKUP($AO89,'Технический лист'!$I:$J,2,1)),1+(1-$AU89))</f>
        <v>1</v>
      </c>
      <c r="EP89" s="15">
        <f>MIN(IF($AU89=100%,1,1+VLOOKUP(($AJ89-$AI89-$AH89-$AG89-$AF89-$AE89*(1+EP$3))/$AJ89,'Технический лист'!$I:$J,2,1)-VLOOKUP($AO89,'Технический лист'!$I:$J,2,1)),1+(1-$AU89))</f>
        <v>1</v>
      </c>
      <c r="EQ89" s="15">
        <f>MIN(IF($AU89=100%,1,1+VLOOKUP(($AJ89-$AI89-$AH89-$AG89-$AF89-$AE89*(1+EQ$3))/$AJ89,'Технический лист'!$I:$J,2,1)-VLOOKUP($AO89,'Технический лист'!$I:$J,2,1)),1+(1-$AU89))</f>
        <v>1</v>
      </c>
      <c r="ER89" s="15">
        <f>MIN(IF($AU89=100%,1,1+VLOOKUP(($AJ89-$AI89-$AH89-$AG89-$AF89-$AE89*(1+ER$3))/$AJ89,'Технический лист'!$I:$J,2,1)-VLOOKUP($AO89,'Технический лист'!$I:$J,2,1)),1+(1-$AU89))</f>
        <v>1</v>
      </c>
      <c r="ES89" s="15">
        <f>MIN(IF($AU89=100%,1,1+VLOOKUP(($AJ89-$AI89-$AH89-$AG89-$AF89-$AE89*(1+ES$3))/$AJ89,'Технический лист'!$I:$J,2,1)-VLOOKUP($AO89,'Технический лист'!$I:$J,2,1)),1+(1-$AU89))</f>
        <v>1</v>
      </c>
      <c r="ET89" s="15">
        <f>MIN(IF($AU89=100%,1,1+VLOOKUP(($AJ89-$AI89-$AH89-$AG89-$AF89-$AE89*(1+ET$3))/$AJ89,'Технический лист'!$I:$J,2,1)-VLOOKUP($AO89,'Технический лист'!$I:$J,2,1)),1+(1-$AU89))</f>
        <v>1</v>
      </c>
      <c r="EU89" s="15">
        <f>MIN(IF($AU89=100%,1,1+VLOOKUP(($AJ89-$AI89-$AH89-$AG89-$AF89-$AE89*(1+EU$3))/$AJ89,'Технический лист'!$I:$J,2,1)-VLOOKUP($AO89,'Технический лист'!$I:$J,2,1)),1+(1-$AU89))</f>
        <v>1</v>
      </c>
      <c r="EV89" s="111">
        <v>1</v>
      </c>
      <c r="EW89" s="15">
        <f>MIN(1,MAX(VLOOKUP(($AJ89-$AI89-$AH89-$AG89-$AF89-$AE89*(1+EW$3))/$AJ89,'Технический лист'!$A:$B,2,1),(EV89-0.05)))</f>
        <v>1</v>
      </c>
      <c r="EX89" s="15">
        <f>MIN(1,MAX(VLOOKUP(($AJ89-$AI89-$AH89-$AG89-$AF89-$AE89*(1+EX$3))/$AJ89,'Технический лист'!$A:$B,2,1),(EW89-0.05)))</f>
        <v>1</v>
      </c>
      <c r="EY89" s="15">
        <f>MIN(1,MAX(VLOOKUP(($AJ89-$AI89-$AH89-$AG89-$AF89-$AE89*(1+EY$3))/$AJ89,'Технический лист'!$A:$B,2,1),(EX89-0.05)))</f>
        <v>1</v>
      </c>
      <c r="EZ89" s="15">
        <f>MIN(1,MAX(VLOOKUP(($AJ89-$AI89-$AH89-$AG89-$AF89-$AE89*(1+EZ$3))/$AJ89,'Технический лист'!$A:$B,2,1),(EY89-0.05)))</f>
        <v>1</v>
      </c>
      <c r="FA89" s="15">
        <f>MIN(1,MAX(VLOOKUP(($AJ89-$AI89-$AH89-$AG89-$AF89-$AE89*(1+FA$3))/$AJ89,'Технический лист'!$A:$B,2,1),(EZ89-0.05)))</f>
        <v>1</v>
      </c>
      <c r="FB89" s="15">
        <f>MIN(1,MAX(VLOOKUP(($AJ89-$AI89-$AH89-$AG89-$AF89-$AE89*(1+FB$3))/$AJ89,'Технический лист'!$A:$B,2,1),(FA89-0.05)))</f>
        <v>1</v>
      </c>
      <c r="FC89" s="15">
        <f>MIN(1,MAX(VLOOKUP(($AJ89-$AI89-$AH89-$AG89-$AF89-$AE89*(1+FC$3))/$AJ89,'Технический лист'!$A:$B,2,1),(FB89-0.05)))</f>
        <v>1</v>
      </c>
      <c r="FD89" s="15">
        <f>MIN(1,MAX(VLOOKUP(($AJ89-$AI89-$AH89-$AG89-$AF89-$AE89*(1+FD$3))/$AJ89,'Технический лист'!$A:$B,2,1),(FC89-0.05)))</f>
        <v>1</v>
      </c>
      <c r="FE89" s="15">
        <f>MIN(1,MAX(VLOOKUP(($AJ89-$AI89-$AH89-$AG89-$AF89-$AE89*(1+FE$3))/$AJ89,'Технический лист'!$A:$B,2,1),(FD89-0.05)))</f>
        <v>1</v>
      </c>
      <c r="FF89" s="15">
        <f>MIN(1,MAX(VLOOKUP(($AJ89-$AI89-$AH89-$AG89-$AF89-$AE89*(1+FF$3))/$AJ89,'Технический лист'!$A:$B,2,1),(FE89-0.05)))</f>
        <v>1</v>
      </c>
      <c r="FG89" s="15">
        <f>MIN(1,MAX(VLOOKUP(($AJ89-$AI89-$AH89-$AG89-$AF89-$AE89*(1+FG$3))/$AJ89,'Технический лист'!$A:$B,2,1),(FF89-0.05)))</f>
        <v>1</v>
      </c>
      <c r="FH89" s="15">
        <f>MIN(1,MAX(VLOOKUP(($AJ89-$AI89-$AH89-$AG89-$AF89-$AE89*(1+FH$3))/$AJ89,'Технический лист'!$A:$B,2,1),(FG89-0.05)))</f>
        <v>1</v>
      </c>
      <c r="FI89" s="15">
        <f>MIN(1,MAX(VLOOKUP(($AJ89-$AI89-$AH89-$AG89-$AF89-$AE89*(1+FI$3))/$AJ89,'Технический лист'!$A:$B,2,1),(FH89-0.05)))</f>
        <v>1</v>
      </c>
      <c r="FJ89" s="15">
        <f>MIN(1,MAX(VLOOKUP(($AJ89-$AI89-$AH89-$AG89-$AF89-$AE89*(1+FJ$3))/$AJ89,'Технический лист'!$A:$B,2,1),(FI89-0.05)))</f>
        <v>1</v>
      </c>
      <c r="FK89" s="15">
        <f>MIN(1,MAX(VLOOKUP(($AJ89-$AI89-$AH89-$AG89-$AF89-$AE89*(1+FK$3))/$AJ89,'Технический лист'!$A:$B,2,1),(FJ89-0.05)))</f>
        <v>1</v>
      </c>
      <c r="FL89" s="15">
        <f>MIN(1,MAX(VLOOKUP(($AJ89-$AI89-$AH89-$AG89-$AF89-$AE89*(1+FL$3))/$AJ89,'Технический лист'!$A:$B,2,1),(FK89-0.05)))</f>
        <v>1</v>
      </c>
      <c r="FM89" s="15">
        <f>MIN(1,MAX(VLOOKUP(($AJ89-$AI89-$AH89-$AG89-$AF89-$AE89*(1+FM$3))/$AJ89,'Технический лист'!$A:$B,2,1),(FL89-0.05)))</f>
        <v>1</v>
      </c>
      <c r="FN89" s="15">
        <f>MIN(1,MAX(VLOOKUP(($AJ89-$AI89-$AH89-$AG89-$AF89-$AE89*(1+FN$3))/$AJ89,'Технический лист'!$A:$B,2,1),(FM89-0.05)))</f>
        <v>1</v>
      </c>
      <c r="FO89" s="15">
        <f>MIN(1,MAX(VLOOKUP(($AJ89-$AI89-$AH89-$AG89-$AF89-$AE89*(1+FO$3))/$AJ89,'Технический лист'!$A:$B,2,1),(FN89-0.05)))</f>
        <v>1</v>
      </c>
      <c r="FP89" s="15">
        <f>MIN(1,MAX(VLOOKUP(($AJ89-$AI89-$AH89-$AG89-$AF89-$AE89*(1+FP$3))/$AJ89,'Технический лист'!$A:$B,2,1),(FO89-0.05)))</f>
        <v>1</v>
      </c>
      <c r="FQ89" s="15">
        <f>MIN(1,MAX(VLOOKUP(($AJ89-$AI89-$AH89-$AG89-$AF89-$AE89*(1+FQ$3))/$AJ89,'Технический лист'!$A:$B,2,1),(FP89-0.05)))</f>
        <v>1</v>
      </c>
      <c r="FR89" s="15">
        <f>MIN(1,MAX(VLOOKUP(($AJ89-$AI89-$AH89-$AG89-$AF89-$AE89*(1+FR$3))/$AJ89,'Технический лист'!$A:$B,2,1),(FQ89-0.05)))</f>
        <v>1</v>
      </c>
      <c r="FS89" s="15">
        <f>MIN(1,MAX(VLOOKUP(($AJ89-$AI89-$AH89-$AG89-$AF89-$AE89*(1+FS$3))/$AJ89,'Технический лист'!$A:$B,2,1),(FR89-0.05)))</f>
        <v>1</v>
      </c>
      <c r="FT89" s="15">
        <f>MIN(1,MAX(VLOOKUP(($AJ89-$AI89-$AH89-$AG89-$AF89-$AE89*(1+FT$3))/$AJ89,'Технический лист'!$A:$B,2,1),(FS89-0.05)))</f>
        <v>1</v>
      </c>
      <c r="FU89" s="15">
        <f>MIN(1,MAX(VLOOKUP(($AJ89-$AI89-$AH89-$AG89-$AF89-$AE89*(1+FU$3))/$AJ89,'Технический лист'!$A:$B,2,1),(FT89-0.05)))</f>
        <v>1</v>
      </c>
      <c r="FV89" s="15">
        <f>MIN(1,MAX(VLOOKUP(($AJ89-$AI89-$AH89-$AG89-$AF89-$AE89*(1+FV$3))/$AJ89,'Технический лист'!$A:$B,2,1),(FU89-0.05)))</f>
        <v>1</v>
      </c>
      <c r="FW89" s="15">
        <f>MIN(1,MAX(VLOOKUP(($AJ89-$AI89-$AH89-$AG89-$AF89-$AE89*(1+FW$3))/$AJ89,'Технический лист'!$A:$B,2,1),(FV89-0.05)))</f>
        <v>1</v>
      </c>
      <c r="FX89" s="15">
        <f>MIN(1,MAX(VLOOKUP(($AJ89-$AI89-$AH89-$AG89-$AF89-$AE89*(1+FX$3))/$AJ89,'Технический лист'!$A:$B,2,1),(FW89-0.05)))</f>
        <v>1</v>
      </c>
      <c r="FY89" s="15">
        <f>MIN(1,MAX(VLOOKUP(($AJ89-$AI89-$AH89-$AG89-$AF89-$AE89*(1+FY$3))/$AJ89,'Технический лист'!$A:$B,2,1),(FX89-0.05)))</f>
        <v>1</v>
      </c>
      <c r="FZ89" s="15">
        <f>MIN(1,MAX(VLOOKUP(($AJ89-$AI89-$AH89-$AG89-$AF89-$AE89*(1+FZ$3))/$AJ89,'Технический лист'!$A:$B,2,1),(FY89-0.05)))</f>
        <v>1</v>
      </c>
      <c r="GA89" s="15">
        <f>MIN(1,MAX(VLOOKUP(($AJ89-$AI89-$AH89-$AG89-$AF89-$AE89*(1+GA$3))/$AJ89,'Технический лист'!$A:$B,2,1),(FZ89-0.05)))</f>
        <v>1</v>
      </c>
      <c r="GB89" s="15">
        <f>MIN(1,MAX(VLOOKUP(($AJ89-$AI89-$AH89-$AG89-$AF89-$AE89*(1+GB$3))/$AJ89,'Технический лист'!$A:$B,2,1),(GA89-0.05)))</f>
        <v>1</v>
      </c>
      <c r="GC89" s="15">
        <f>MIN(1,MAX(VLOOKUP(($AJ89-$AI89-$AH89-$AG89-$AF89-$AE89*(1+GC$3))/$AJ89,'Технический лист'!$A:$B,2,1),(GB89-0.05)))</f>
        <v>1</v>
      </c>
      <c r="GD89" s="15">
        <f>MIN(1,MAX(VLOOKUP(($AJ89-$AI89-$AH89-$AG89-$AF89-$AE89*(1+GD$3))/$AJ89,'Технический лист'!$A:$B,2,1),(GC89-0.05)))</f>
        <v>1</v>
      </c>
      <c r="GE89" s="15">
        <f>MIN(1,MAX(VLOOKUP(($AJ89-$AI89-$AH89-$AG89-$AF89-$AE89*(1+GE$3))/$AJ89,'Технический лист'!$A:$B,2,1),(GD89-0.05)))</f>
        <v>1</v>
      </c>
      <c r="GF89" s="15">
        <f>MIN(1,MAX(VLOOKUP(($AJ89-$AI89-$AH89-$AG89-$AF89-$AE89*(1+GF$3))/$AJ89,'Технический лист'!$A:$B,2,1),(GE89-0.05)))</f>
        <v>1</v>
      </c>
      <c r="GG89" s="15">
        <f>MIN(1,MAX(VLOOKUP(($AJ89-$AI89-$AH89-$AG89-$AF89-$AE89*(1+GG$3))/$AJ89,'Технический лист'!$A:$B,2,1),(GF89-0.05)))</f>
        <v>1</v>
      </c>
      <c r="GH89" s="15">
        <f>MIN(1,MAX(VLOOKUP(($AJ89-$AI89-$AH89-$AG89-$AF89-$AE89*(1+GH$3))/$AJ89,'Технический лист'!$A:$B,2,1),(GG89-0.05)))</f>
        <v>1</v>
      </c>
      <c r="GI89" s="15">
        <f>MIN(1,MAX(VLOOKUP(($AJ89-$AI89-$AH89-$AG89-$AF89-$AE89*(1+GI$3))/$AJ89,'Технический лист'!$A:$B,2,1),(GH89-0.05)))</f>
        <v>1</v>
      </c>
      <c r="GJ89" s="15">
        <f>MIN(1,MAX(VLOOKUP(($AJ89-$AI89-$AH89-$AG89-$AF89-$AE89*(1+GJ$3))/$AJ89,'Технический лист'!$A:$B,2,1),(GI89-0.05)))</f>
        <v>1</v>
      </c>
      <c r="GK89" s="15">
        <f>MIN(1,MAX(VLOOKUP(($AJ89-$AI89-$AH89-$AG89-$AF89-$AE89*(1+GK$3))/$AJ89,'Технический лист'!$A:$B,2,1),(GJ89-0.05)))</f>
        <v>1</v>
      </c>
      <c r="GL89" s="15">
        <f>MIN(1,MAX(VLOOKUP(($AJ89-$AI89-$AH89-$AG89-$AF89-$AE89*(1+GL$3))/$AJ89,'Технический лист'!$A:$B,2,1),(GK89-0.05)))</f>
        <v>1</v>
      </c>
      <c r="GM89" s="15">
        <f>MIN(1,MAX(VLOOKUP(($AJ89-$AI89-$AH89-$AG89-$AF89-$AE89*(1+GM$3))/$AJ89,'Технический лист'!$A:$B,2,1),(GL89-0.05)))</f>
        <v>1</v>
      </c>
      <c r="GN89" s="15">
        <f>MIN(1,MAX(VLOOKUP(($AJ89-$AI89-$AH89-$AG89-$AF89-$AE89*(1+GN$3))/$AJ89,'Технический лист'!$A:$B,2,1),(GM89-0.05)))</f>
        <v>1</v>
      </c>
      <c r="GO89" s="15">
        <f>MIN(1,MAX(VLOOKUP(($AJ89-$AI89-$AH89-$AG89-$AF89-$AE89*(1+GO$3))/$AJ89,'Технический лист'!$A:$B,2,1),(GN89-0.05)))</f>
        <v>1</v>
      </c>
      <c r="GP89" s="15">
        <f>MIN(1,MAX(VLOOKUP(($AJ89-$AI89-$AH89-$AG89-$AF89-$AE89*(1+GP$3))/$AJ89,'Технический лист'!$A:$B,2,1),(GO89-0.05)))</f>
        <v>1</v>
      </c>
      <c r="GQ89" s="15">
        <f>MIN(1,MAX(VLOOKUP(($AJ89-$AI89-$AH89-$AG89-$AF89-$AE89*(1+GQ$3))/$AJ89,'Технический лист'!$A:$B,2,1),(GP89-0.05)))</f>
        <v>1</v>
      </c>
      <c r="GR89" s="15">
        <f>MIN(1,MAX(VLOOKUP(($AJ89-$AI89-$AH89-$AG89-$AF89-$AE89*(1+GR$3))/$AJ89,'Технический лист'!$A:$B,2,1),(GQ89-0.05)))</f>
        <v>1</v>
      </c>
      <c r="GS89" s="15">
        <f>MIN(1,MAX(VLOOKUP(($AJ89-$AI89-$AH89-$AG89-$AF89-$AE89*(1+GS$3))/$AJ89,'Технический лист'!$A:$B,2,1),(GR89-0.05)))</f>
        <v>1</v>
      </c>
      <c r="GT89" s="15">
        <f>MIN(1,MAX(VLOOKUP(($AJ89-$AI89-$AH89-$AG89-$AF89-$AE89*(1+GT$3))/$AJ89,'Технический лист'!$A:$B,2,1),(GS89-0.05)))</f>
        <v>1</v>
      </c>
      <c r="GU89" s="15">
        <f>MIN(1,MAX(VLOOKUP(($AJ89-$AI89-$AH89-$AG89-$AF89-$AE89*(1+GU$3))/$AJ89,'Технический лист'!$A:$B,2,1),(GT89-0.05)))</f>
        <v>1</v>
      </c>
      <c r="GV89" s="15">
        <f>MIN(1,MAX(VLOOKUP(($AJ89-$AI89-$AH89-$AG89-$AF89-$AE89*(1+GV$3))/$AJ89,'Технический лист'!$A:$B,2,1),(GU89-0.05)))</f>
        <v>1</v>
      </c>
      <c r="GW89" s="15">
        <f>MIN(1,MAX(VLOOKUP(($AJ89-$AI89-$AH89-$AG89-$AF89-$AE89*(1+GW$3))/$AJ89,'Технический лист'!$A:$B,2,1),(GV89-0.05)))</f>
        <v>1</v>
      </c>
      <c r="GX89" s="15">
        <f>MIN(1,MAX(VLOOKUP(($AJ89-$AI89-$AH89-$AG89-$AF89-$AE89*(1+GX$3))/$AJ89,'Технический лист'!$A:$B,2,1),(GW89-0.05)))</f>
        <v>1</v>
      </c>
      <c r="GY89" s="15">
        <f>MIN(1,MAX(VLOOKUP(($AJ89-$AI89-$AH89-$AG89-$AF89-$AE89*(1+GY$3))/$AJ89,'Технический лист'!$A:$B,2,1),(GX89-0.05)))</f>
        <v>1</v>
      </c>
      <c r="GZ89" s="15">
        <f>MIN(1,MAX(VLOOKUP(($AJ89-$AI89-$AH89-$AG89-$AF89-$AE89*(1+GZ$3))/$AJ89,'Технический лист'!$A:$B,2,1),(GY89-0.05)))</f>
        <v>1</v>
      </c>
      <c r="HA89" s="15">
        <f>MIN(1,MAX(VLOOKUP(($AJ89-$AI89-$AH89-$AG89-$AF89-$AE89*(1+HA$3))/$AJ89,'Технический лист'!$A:$B,2,1),(GZ89-0.05)))</f>
        <v>1</v>
      </c>
      <c r="HB89" s="15">
        <f>MIN(1,MAX(VLOOKUP(($AJ89-$AI89-$AH89-$AG89-$AF89-$AE89*(1+HB$3))/$AJ89,'Технический лист'!$A:$B,2,1),(HA89-0.05)))</f>
        <v>1</v>
      </c>
      <c r="HC89" s="15">
        <f>MIN(1,MAX(VLOOKUP(($AJ89-$AI89-$AH89-$AG89-$AF89-$AE89*(1+HC$3))/$AJ89,'Технический лист'!$A:$B,2,1),(HB89-0.05)))</f>
        <v>1</v>
      </c>
      <c r="HD89" s="15">
        <f>MIN(1,MAX(VLOOKUP(($AJ89-$AI89-$AH89-$AG89-$AF89-$AE89*(1+HD$3))/$AJ89,'Технический лист'!$A:$B,2,1),(HC89-0.05)))</f>
        <v>1</v>
      </c>
      <c r="HE89" s="15">
        <f>MIN(1,MAX(VLOOKUP(($AJ89-$AI89-$AH89-$AG89-$AF89-$AE89*(1+HE$3))/$AJ89,'Технический лист'!$A:$B,2,1),(HD89-0.05)))</f>
        <v>1</v>
      </c>
      <c r="HF89" s="15">
        <f>MIN(1,MAX(VLOOKUP(($AJ89-$AI89-$AH89-$AG89-$AF89-$AE89*(1+HF$3))/$AJ89,'Технический лист'!$A:$B,2,1),(HE89-0.05)))</f>
        <v>1</v>
      </c>
      <c r="HG89" s="15">
        <f>MIN(1,MAX(VLOOKUP(($AJ89-$AI89-$AH89-$AG89-$AF89-$AE89*(1+HG$3))/$AJ89,'Технический лист'!$A:$B,2,1),(HF89-0.05)))</f>
        <v>1</v>
      </c>
      <c r="HH89" s="15">
        <f>MIN(1,MAX(VLOOKUP(($AJ89-$AI89-$AH89-$AG89-$AF89-$AE89*(1+HH$3))/$AJ89,'Технический лист'!$A:$B,2,1),(HG89-0.05)))</f>
        <v>1</v>
      </c>
      <c r="HI89" s="15">
        <f>MIN(1,MAX(VLOOKUP(($AJ89-$AI89-$AH89-$AG89-$AF89-$AE89*(1+HI$3))/$AJ89,'Технический лист'!$A:$B,2,1),(HH89-0.05)))</f>
        <v>1</v>
      </c>
      <c r="HJ89" s="15">
        <f>MIN(1,MAX(VLOOKUP(($AJ89-$AI89-$AH89-$AG89-$AF89-$AE89*(1+HJ$3))/$AJ89,'Технический лист'!$A:$B,2,1),(HI89-0.05)))</f>
        <v>1</v>
      </c>
      <c r="HK89" s="15">
        <f>MIN(1,MAX(VLOOKUP(($AJ89-$AI89-$AH89-$AG89-$AF89-$AE89*(1+HK$3))/$AJ89,'Технический лист'!$A:$B,2,1),(HJ89-0.05)))</f>
        <v>1</v>
      </c>
      <c r="HL89" s="15">
        <f>MIN(1,MAX(VLOOKUP(($AJ89-$AI89-$AH89-$AG89-$AF89-$AE89*(1+HL$3))/$AJ89,'Технический лист'!$A:$B,2,1),(HK89-0.05)))</f>
        <v>1</v>
      </c>
      <c r="HM89" s="15">
        <f>MIN(1,MAX(VLOOKUP(($AJ89-$AI89-$AH89-$AG89-$AF89-$AE89*(1+HM$3))/$AJ89,'Технический лист'!$A:$B,2,1),(HL89-0.05)))</f>
        <v>1</v>
      </c>
      <c r="HN89" s="15">
        <f>MIN(1,MAX(VLOOKUP(($AJ89-$AI89-$AH89-$AG89-$AF89-$AE89*(1+HN$3))/$AJ89,'Технический лист'!$A:$B,2,1),(HM89-0.05)))</f>
        <v>1</v>
      </c>
      <c r="HO89" s="15">
        <f>MIN(1,MAX(VLOOKUP(($AJ89-$AI89-$AH89-$AG89-$AF89-$AE89*(1+HO$3))/$AJ89,'Технический лист'!$A:$B,2,1),(HN89-0.05)))</f>
        <v>1</v>
      </c>
      <c r="HP89" s="15">
        <f>MIN(1,MAX(VLOOKUP(($AJ89-$AI89-$AH89-$AG89-$AF89-$AE89*(1+HP$3))/$AJ89,'Технический лист'!$A:$B,2,1),(HO89-0.05)))</f>
        <v>1</v>
      </c>
      <c r="HQ89" s="15">
        <f>MIN(1,MAX(VLOOKUP(($AJ89-$AI89-$AH89-$AG89-$AF89-$AE89*(1+HQ$3))/$AJ89,'Технический лист'!$A:$B,2,1),(HP89-0.05)))</f>
        <v>1</v>
      </c>
      <c r="HR89" s="15">
        <f>MIN(1,MAX(VLOOKUP(($AJ89-$AI89-$AH89-$AG89-$AF89-$AE89*(1+HR$3))/$AJ89,'Технический лист'!$A:$B,2,1),(HQ89-0.05)))</f>
        <v>1</v>
      </c>
      <c r="HS89" s="15">
        <f>MIN(1,MAX(VLOOKUP(($AJ89-$AI89-$AH89-$AG89-$AF89-$AE89*(1+HS$3))/$AJ89,'Технический лист'!$A:$B,2,1),(HR89-0.05)))</f>
        <v>1</v>
      </c>
      <c r="HT89" s="15">
        <f>MIN(1,MAX(VLOOKUP(($AJ89-$AI89-$AH89-$AG89-$AF89-$AE89*(1+HT$3))/$AJ89,'Технический лист'!$A:$B,2,1),(HS89-0.05)))</f>
        <v>1</v>
      </c>
      <c r="HU89" s="15">
        <f>MIN(1,MAX(VLOOKUP(($AJ89-$AI89-$AH89-$AG89-$AF89-$AE89*(1+HU$3))/$AJ89,'Технический лист'!$A:$B,2,1),(HT89-0.05)))</f>
        <v>1</v>
      </c>
      <c r="HV89" s="15">
        <f>MIN(1,MAX(VLOOKUP(($AJ89-$AI89-$AH89-$AG89-$AF89-$AE89*(1+HV$3))/$AJ89,'Технический лист'!$A:$B,2,1),(HU89-0.05)))</f>
        <v>1</v>
      </c>
      <c r="HW89" s="15">
        <f>MIN(1,MAX(VLOOKUP(($AJ89-$AI89-$AH89-$AG89-$AF89-$AE89*(1+HW$3))/$AJ89,'Технический лист'!$A:$B,2,1),(HV89-0.05)))</f>
        <v>1</v>
      </c>
      <c r="HX89" s="15">
        <f>MIN(1,MAX(VLOOKUP(($AJ89-$AI89-$AH89-$AG89-$AF89-$AE89*(1+HX$3))/$AJ89,'Технический лист'!$A:$B,2,1),(HW89-0.05)))</f>
        <v>1</v>
      </c>
      <c r="HY89" s="15">
        <f>MIN(1,MAX(VLOOKUP(($AJ89-$AI89-$AH89-$AG89-$AF89-$AE89*(1+HY$3))/$AJ89,'Технический лист'!$A:$B,2,1),(HX89-0.05)))</f>
        <v>1</v>
      </c>
      <c r="HZ89" s="15">
        <f>MIN(1,MAX(VLOOKUP(($AJ89-$AI89-$AH89-$AG89-$AF89-$AE89*(1+HZ$3))/$AJ89,'Технический лист'!$A:$B,2,1),(HY89-0.05)))</f>
        <v>1</v>
      </c>
      <c r="IA89" s="15">
        <f>MIN(1,MAX(VLOOKUP(($AJ89-$AI89-$AH89-$AG89-$AF89-$AE89*(1+IA$3))/$AJ89,'Технический лист'!$A:$B,2,1),(HZ89-0.05)))</f>
        <v>1</v>
      </c>
      <c r="IB89" s="15">
        <f>MIN(1,MAX(VLOOKUP(($AJ89-$AI89-$AH89-$AG89-$AF89-$AE89*(1+IB$3))/$AJ89,'Технический лист'!$A:$B,2,1),(IA89-0.05)))</f>
        <v>1</v>
      </c>
      <c r="IC89" s="15">
        <f>MIN(1,MAX(VLOOKUP(($AJ89-$AI89-$AH89-$AG89-$AF89-$AE89*(1+IC$3))/$AJ89,'Технический лист'!$A:$B,2,1),(IB89-0.05)))</f>
        <v>1</v>
      </c>
      <c r="ID89" s="15">
        <f>MIN(1,MAX(VLOOKUP(($AJ89-$AI89-$AH89-$AG89-$AF89-$AE89*(1+ID$3))/$AJ89,'Технический лист'!$A:$B,2,1),(IC89-0.05)))</f>
        <v>1</v>
      </c>
      <c r="IE89" s="15">
        <f>MIN(1,MAX(VLOOKUP(($AJ89-$AI89-$AH89-$AG89-$AF89-$AE89*(1+IE$3))/$AJ89,'Технический лист'!$A:$B,2,1),(ID89-0.05)))</f>
        <v>1</v>
      </c>
      <c r="IF89" s="15">
        <f>MIN(1,MAX(VLOOKUP(($AJ89-$AI89-$AH89-$AG89-$AF89-$AE89*(1+IF$3))/$AJ89,'Технический лист'!$A:$B,2,1),(IE89-0.05)))</f>
        <v>1</v>
      </c>
      <c r="IG89" s="15">
        <f>MIN(1,MAX(VLOOKUP(($AJ89-$AI89-$AH89-$AG89-$AF89-$AE89*(1+IG$3))/$AJ89,'Технический лист'!$A:$B,2,1),(IF89-0.05)))</f>
        <v>1</v>
      </c>
      <c r="IH89" s="15">
        <f>MIN(1,MAX(VLOOKUP(($AJ89-$AI89-$AH89-$AG89-$AF89-$AE89*(1+IH$3))/$AJ89,'Технический лист'!$A:$B,2,1),(IG89-0.05)))</f>
        <v>1</v>
      </c>
      <c r="II89" s="15">
        <f>MIN(1,MAX(VLOOKUP(($AJ89-$AI89-$AH89-$AG89-$AF89-$AE89*(1+II$3))/$AJ89,'Технический лист'!$A:$B,2,1),(IH89-0.05)))</f>
        <v>1</v>
      </c>
      <c r="IJ89" s="15">
        <f>MIN(1,MAX(VLOOKUP(($AJ89-$AI89-$AH89-$AG89-$AF89-$AE89*(1+IJ$3))/$AJ89,'Технический лист'!$A:$B,2,1),(II89-0.05)))</f>
        <v>1</v>
      </c>
      <c r="IK89" s="15">
        <f>MIN(1,MAX(VLOOKUP(($AJ89-$AI89-$AH89-$AG89-$AF89-$AE89*(1+IK$3))/$AJ89,'Технический лист'!$A:$B,2,1),(IJ89-0.05)))</f>
        <v>1</v>
      </c>
      <c r="IL89" s="15">
        <f>MIN(1,MAX(VLOOKUP(($AJ89-$AI89-$AH89-$AG89-$AF89-$AE89*(1+IL$3))/$AJ89,'Технический лист'!$A:$B,2,1),(IK89-0.05)))</f>
        <v>1</v>
      </c>
      <c r="IM89" s="15">
        <f>MIN(1,MAX(VLOOKUP(($AJ89-$AI89-$AH89-$AG89-$AF89-$AE89*(1+IM$3))/$AJ89,'Технический лист'!$A:$B,2,1),(IL89-0.05)))</f>
        <v>1</v>
      </c>
      <c r="IN89" s="15">
        <f>MIN(1,MAX(VLOOKUP(($AJ89-$AI89-$AH89-$AG89-$AF89-$AE89*(1+IN$3))/$AJ89,'Технический лист'!$A:$B,2,1),(IM89-0.05)))</f>
        <v>1</v>
      </c>
      <c r="IO89" s="15">
        <f>MIN(1,MAX(VLOOKUP(($AJ89-$AI89-$AH89-$AG89-$AF89-$AE89*(1+IO$3))/$AJ89,'Технический лист'!$A:$B,2,1),(IN89-0.05)))</f>
        <v>1</v>
      </c>
      <c r="IP89" s="15">
        <f>MIN(1,MAX(VLOOKUP(($AJ89-$AI89-$AH89-$AG89-$AF89-$AE89*(1+IP$3))/$AJ89,'Технический лист'!$A:$B,2,1),(IO89-0.05)))</f>
        <v>1</v>
      </c>
      <c r="IQ89" s="15">
        <f>MIN(1,MAX(VLOOKUP(($AJ89-$AI89-$AH89-$AG89-$AF89-$AE89*(1+IQ$3))/$AJ89,'Технический лист'!$A:$B,2,1),(IP89-0.05)))</f>
        <v>1</v>
      </c>
      <c r="IR89" s="15">
        <f>MIN(1,MAX(VLOOKUP(($AJ89-$AI89-$AH89-$AG89-$AF89-$AE89*(1+IR$3))/$AJ89,'Технический лист'!$A:$B,2,1),(IQ89-0.05)))</f>
        <v>1</v>
      </c>
    </row>
    <row r="90" spans="1:252" ht="43.75">
      <c r="A90" s="89" t="s">
        <v>515</v>
      </c>
      <c r="B90" s="90">
        <v>5</v>
      </c>
      <c r="C90" s="5" t="s">
        <v>68</v>
      </c>
      <c r="D90" s="91">
        <v>31403</v>
      </c>
      <c r="E90" s="91" t="s">
        <v>346</v>
      </c>
      <c r="F90" s="92" t="s">
        <v>77</v>
      </c>
      <c r="G90" s="91" t="s">
        <v>28</v>
      </c>
      <c r="H90" s="91" t="s">
        <v>21</v>
      </c>
      <c r="I90" s="91" t="s">
        <v>164</v>
      </c>
      <c r="J90" s="91" t="s">
        <v>165</v>
      </c>
      <c r="K90" s="91">
        <v>1192</v>
      </c>
      <c r="L90" s="85" t="s">
        <v>64</v>
      </c>
      <c r="M90" s="91" t="s">
        <v>190</v>
      </c>
      <c r="N90" s="91" t="s">
        <v>191</v>
      </c>
      <c r="O90" s="91" t="s">
        <v>192</v>
      </c>
      <c r="P90" s="89" t="s">
        <v>241</v>
      </c>
      <c r="Q90" s="93" t="s">
        <v>476</v>
      </c>
      <c r="R90" s="91" t="s">
        <v>267</v>
      </c>
      <c r="S90" s="82">
        <v>504048</v>
      </c>
      <c r="T90" s="82">
        <v>600620967</v>
      </c>
      <c r="U90" s="81">
        <v>7488</v>
      </c>
      <c r="V90" s="81">
        <v>0</v>
      </c>
      <c r="W90" s="82">
        <v>1072146064</v>
      </c>
      <c r="X90" s="112">
        <v>67</v>
      </c>
      <c r="Y90" s="112" t="s">
        <v>418</v>
      </c>
      <c r="Z90" s="113">
        <v>5</v>
      </c>
      <c r="AA90" s="113">
        <v>5</v>
      </c>
      <c r="AB90" s="113">
        <v>4</v>
      </c>
      <c r="AC90" s="99">
        <v>2346.4299999999998</v>
      </c>
      <c r="AD90" s="99">
        <f t="shared" si="37"/>
        <v>489.82000000000016</v>
      </c>
      <c r="AE90" s="99">
        <v>2836.25</v>
      </c>
      <c r="AF90" s="98">
        <f>(Z90+AA90+AB90)*'Ставки аренды'!$B$3/X90</f>
        <v>146.26865671641792</v>
      </c>
      <c r="AG90" s="114">
        <v>0</v>
      </c>
      <c r="AH90" s="94">
        <v>0</v>
      </c>
      <c r="AI90" s="115">
        <f>240828/411356*AVERAGE(AJ89,AJ90)</f>
        <v>28647.073882938377</v>
      </c>
      <c r="AJ90" s="117">
        <f>Цены!$D$11</f>
        <v>62000</v>
      </c>
      <c r="AK90" s="94">
        <f>AJ90/Цены!$B$1</f>
        <v>812.52334366461139</v>
      </c>
      <c r="AL90" s="95">
        <f t="shared" si="24"/>
        <v>2982.5186567164178</v>
      </c>
      <c r="AM90" s="95">
        <f t="shared" si="25"/>
        <v>59017.48134328358</v>
      </c>
      <c r="AN90" s="94">
        <f t="shared" si="22"/>
        <v>31629.592539654794</v>
      </c>
      <c r="AO90" s="118">
        <f t="shared" si="23"/>
        <v>0.48984528161847107</v>
      </c>
      <c r="AP90" s="96">
        <f t="shared" si="26"/>
        <v>4.8105139624458351E-2</v>
      </c>
      <c r="AQ90" s="96">
        <f t="shared" si="27"/>
        <v>4.5745967741935484E-2</v>
      </c>
      <c r="AR90" s="96">
        <f t="shared" si="28"/>
        <v>0.95095800779417383</v>
      </c>
      <c r="AS90" s="122">
        <v>1</v>
      </c>
      <c r="AT90" s="121">
        <f t="shared" si="29"/>
        <v>504048</v>
      </c>
      <c r="AU90" s="83">
        <v>0.9</v>
      </c>
      <c r="AV90" s="119">
        <f t="shared" si="30"/>
        <v>0.48435576548943876</v>
      </c>
      <c r="AW90" s="120">
        <f t="shared" si="31"/>
        <v>5.3594655753490615E-2</v>
      </c>
      <c r="AX90" s="120">
        <f t="shared" si="32"/>
        <v>5.1235483870967748E-2</v>
      </c>
      <c r="AY90" s="120">
        <f t="shared" si="33"/>
        <v>0.95598121026518179</v>
      </c>
      <c r="AZ90" s="15">
        <f>MIN(IF($AU90=100%,1,1+VLOOKUP(($AJ90-$AI90-$AH90-$AG90-$AF90-$AE90*(1+AZ$3))/$AJ90,'Технический лист'!$I:$J,2,1)-VLOOKUP($AO90,'Технический лист'!$I:$J,2,1)),1+(1-$AU90))</f>
        <v>1</v>
      </c>
      <c r="BA90" s="15">
        <f>MIN(IF($AU90=100%,1,1+VLOOKUP(($AJ90-$AI90-$AH90-$AG90-$AF90-$AE90*(1+BA$3))/$AJ90,'Технический лист'!$I:$J,2,1)-VLOOKUP($AO90,'Технический лист'!$I:$J,2,1)),1+(1-$AU90))</f>
        <v>1</v>
      </c>
      <c r="BB90" s="15">
        <f>MIN(IF($AU90=100%,1,1+VLOOKUP(($AJ90-$AI90-$AH90-$AG90-$AF90-$AE90*(1+BB$3))/$AJ90,'Технический лист'!$I:$J,2,1)-VLOOKUP($AO90,'Технический лист'!$I:$J,2,1)),1+(1-$AU90))</f>
        <v>1</v>
      </c>
      <c r="BC90" s="15">
        <f>MIN(IF($AU90=100%,1,1+VLOOKUP(($AJ90-$AI90-$AH90-$AG90-$AF90-$AE90*(1+BC$3))/$AJ90,'Технический лист'!$I:$J,2,1)-VLOOKUP($AO90,'Технический лист'!$I:$J,2,1)),1+(1-$AU90))</f>
        <v>1</v>
      </c>
      <c r="BD90" s="15">
        <f>MIN(IF($AU90=100%,1,1+VLOOKUP(($AJ90-$AI90-$AH90-$AG90-$AF90-$AE90*(1+BD$3))/$AJ90,'Технический лист'!$I:$J,2,1)-VLOOKUP($AO90,'Технический лист'!$I:$J,2,1)),1+(1-$AU90))</f>
        <v>1</v>
      </c>
      <c r="BE90" s="15">
        <f>MIN(IF($AU90=100%,1,1+VLOOKUP(($AJ90-$AI90-$AH90-$AG90-$AF90-$AE90*(1+BE$3))/$AJ90,'Технический лист'!$I:$J,2,1)-VLOOKUP($AO90,'Технический лист'!$I:$J,2,1)),1+(1-$AU90))</f>
        <v>1</v>
      </c>
      <c r="BF90" s="15">
        <f>MIN(IF($AU90=100%,1,1+VLOOKUP(($AJ90-$AI90-$AH90-$AG90-$AF90-$AE90*(1+BF$3))/$AJ90,'Технический лист'!$I:$J,2,1)-VLOOKUP($AO90,'Технический лист'!$I:$J,2,1)),1+(1-$AU90))</f>
        <v>1</v>
      </c>
      <c r="BG90" s="15">
        <f>MIN(IF($AU90=100%,1,1+VLOOKUP(($AJ90-$AI90-$AH90-$AG90-$AF90-$AE90*(1+BG$3))/$AJ90,'Технический лист'!$I:$J,2,1)-VLOOKUP($AO90,'Технический лист'!$I:$J,2,1)),1+(1-$AU90))</f>
        <v>1</v>
      </c>
      <c r="BH90" s="15">
        <f>MIN(IF($AU90=100%,1,1+VLOOKUP(($AJ90-$AI90-$AH90-$AG90-$AF90-$AE90*(1+BH$3))/$AJ90,'Технический лист'!$I:$J,2,1)-VLOOKUP($AO90,'Технический лист'!$I:$J,2,1)),1+(1-$AU90))</f>
        <v>1</v>
      </c>
      <c r="BI90" s="15">
        <f>MIN(IF($AU90=100%,1,1+VLOOKUP(($AJ90-$AI90-$AH90-$AG90-$AF90-$AE90*(1+BI$3))/$AJ90,'Технический лист'!$I:$J,2,1)-VLOOKUP($AO90,'Технический лист'!$I:$J,2,1)),1+(1-$AU90))</f>
        <v>1</v>
      </c>
      <c r="BJ90" s="15">
        <f>MIN(IF($AU90=100%,1,1+VLOOKUP(($AJ90-$AI90-$AH90-$AG90-$AF90-$AE90*(1+BJ$3))/$AJ90,'Технический лист'!$I:$J,2,1)-VLOOKUP($AO90,'Технический лист'!$I:$J,2,1)),1+(1-$AU90))</f>
        <v>1</v>
      </c>
      <c r="BK90" s="15">
        <f>MIN(IF($AU90=100%,1,1+VLOOKUP(($AJ90-$AI90-$AH90-$AG90-$AF90-$AE90*(1+BK$3))/$AJ90,'Технический лист'!$I:$J,2,1)-VLOOKUP($AO90,'Технический лист'!$I:$J,2,1)),1+(1-$AU90))</f>
        <v>1</v>
      </c>
      <c r="BL90" s="15">
        <f>MIN(IF($AU90=100%,1,1+VLOOKUP(($AJ90-$AI90-$AH90-$AG90-$AF90-$AE90*(1+BL$3))/$AJ90,'Технический лист'!$I:$J,2,1)-VLOOKUP($AO90,'Технический лист'!$I:$J,2,1)),1+(1-$AU90))</f>
        <v>1</v>
      </c>
      <c r="BM90" s="15">
        <f>MIN(IF($AU90=100%,1,1+VLOOKUP(($AJ90-$AI90-$AH90-$AG90-$AF90-$AE90*(1+BM$3))/$AJ90,'Технический лист'!$I:$J,2,1)-VLOOKUP($AO90,'Технический лист'!$I:$J,2,1)),1+(1-$AU90))</f>
        <v>1</v>
      </c>
      <c r="BN90" s="15">
        <f>MIN(IF($AU90=100%,1,1+VLOOKUP(($AJ90-$AI90-$AH90-$AG90-$AF90-$AE90*(1+BN$3))/$AJ90,'Технический лист'!$I:$J,2,1)-VLOOKUP($AO90,'Технический лист'!$I:$J,2,1)),1+(1-$AU90))</f>
        <v>1</v>
      </c>
      <c r="BO90" s="15">
        <f>MIN(IF($AU90=100%,1,1+VLOOKUP(($AJ90-$AI90-$AH90-$AG90-$AF90-$AE90*(1+BO$3))/$AJ90,'Технический лист'!$I:$J,2,1)-VLOOKUP($AO90,'Технический лист'!$I:$J,2,1)),1+(1-$AU90))</f>
        <v>1</v>
      </c>
      <c r="BP90" s="15">
        <f>MIN(IF($AU90=100%,1,1+VLOOKUP(($AJ90-$AI90-$AH90-$AG90-$AF90-$AE90*(1+BP$3))/$AJ90,'Технический лист'!$I:$J,2,1)-VLOOKUP($AO90,'Технический лист'!$I:$J,2,1)),1+(1-$AU90))</f>
        <v>1</v>
      </c>
      <c r="BQ90" s="15">
        <f>MIN(IF($AU90=100%,1,1+VLOOKUP(($AJ90-$AI90-$AH90-$AG90-$AF90-$AE90*(1+BQ$3))/$AJ90,'Технический лист'!$I:$J,2,1)-VLOOKUP($AO90,'Технический лист'!$I:$J,2,1)),1+(1-$AU90))</f>
        <v>1</v>
      </c>
      <c r="BR90" s="15">
        <f>MIN(IF($AU90=100%,1,1+VLOOKUP(($AJ90-$AI90-$AH90-$AG90-$AF90-$AE90*(1+BR$3))/$AJ90,'Технический лист'!$I:$J,2,1)-VLOOKUP($AO90,'Технический лист'!$I:$J,2,1)),1+(1-$AU90))</f>
        <v>1</v>
      </c>
      <c r="BS90" s="15">
        <f>MIN(IF($AU90=100%,1,1+VLOOKUP(($AJ90-$AI90-$AH90-$AG90-$AF90-$AE90*(1+BS$3))/$AJ90,'Технический лист'!$I:$J,2,1)-VLOOKUP($AO90,'Технический лист'!$I:$J,2,1)),1+(1-$AU90))</f>
        <v>1</v>
      </c>
      <c r="BT90" s="15">
        <f>MIN(IF($AU90=100%,1,1+VLOOKUP(($AJ90-$AI90-$AH90-$AG90-$AF90-$AE90*(1+BT$3))/$AJ90,'Технический лист'!$I:$J,2,1)-VLOOKUP($AO90,'Технический лист'!$I:$J,2,1)),1+(1-$AU90))</f>
        <v>1</v>
      </c>
      <c r="BU90" s="15">
        <f>MIN(IF($AU90=100%,1,1+VLOOKUP(($AJ90-$AI90-$AH90-$AG90-$AF90-$AE90*(1+BU$3))/$AJ90,'Технический лист'!$I:$J,2,1)-VLOOKUP($AO90,'Технический лист'!$I:$J,2,1)),1+(1-$AU90))</f>
        <v>1</v>
      </c>
      <c r="BV90" s="15">
        <f>MIN(IF($AU90=100%,1,1+VLOOKUP(($AJ90-$AI90-$AH90-$AG90-$AF90-$AE90*(1+BV$3))/$AJ90,'Технический лист'!$I:$J,2,1)-VLOOKUP($AO90,'Технический лист'!$I:$J,2,1)),1+(1-$AU90))</f>
        <v>1</v>
      </c>
      <c r="BW90" s="15">
        <f>MIN(IF($AU90=100%,1,1+VLOOKUP(($AJ90-$AI90-$AH90-$AG90-$AF90-$AE90*(1+BW$3))/$AJ90,'Технический лист'!$I:$J,2,1)-VLOOKUP($AO90,'Технический лист'!$I:$J,2,1)),1+(1-$AU90))</f>
        <v>1</v>
      </c>
      <c r="BX90" s="15">
        <f>MIN(IF($AU90=100%,1,1+VLOOKUP(($AJ90-$AI90-$AH90-$AG90-$AF90-$AE90*(1+BX$3))/$AJ90,'Технический лист'!$I:$J,2,1)-VLOOKUP($AO90,'Технический лист'!$I:$J,2,1)),1+(1-$AU90))</f>
        <v>1</v>
      </c>
      <c r="BY90" s="15">
        <f>MIN(IF($AU90=100%,1,1+VLOOKUP(($AJ90-$AI90-$AH90-$AG90-$AF90-$AE90*(1+BY$3))/$AJ90,'Технический лист'!$I:$J,2,1)-VLOOKUP($AO90,'Технический лист'!$I:$J,2,1)),1+(1-$AU90))</f>
        <v>1</v>
      </c>
      <c r="BZ90" s="15">
        <f>MIN(IF($AU90=100%,1,1+VLOOKUP(($AJ90-$AI90-$AH90-$AG90-$AF90-$AE90*(1+BZ$3))/$AJ90,'Технический лист'!$I:$J,2,1)-VLOOKUP($AO90,'Технический лист'!$I:$J,2,1)),1+(1-$AU90))</f>
        <v>1</v>
      </c>
      <c r="CA90" s="15">
        <f>MIN(IF($AU90=100%,1,1+VLOOKUP(($AJ90-$AI90-$AH90-$AG90-$AF90-$AE90*(1+CA$3))/$AJ90,'Технический лист'!$I:$J,2,1)-VLOOKUP($AO90,'Технический лист'!$I:$J,2,1)),1+(1-$AU90))</f>
        <v>1</v>
      </c>
      <c r="CB90" s="15">
        <f>MIN(IF($AU90=100%,1,1+VLOOKUP(($AJ90-$AI90-$AH90-$AG90-$AF90-$AE90*(1+CB$3))/$AJ90,'Технический лист'!$I:$J,2,1)-VLOOKUP($AO90,'Технический лист'!$I:$J,2,1)),1+(1-$AU90))</f>
        <v>1</v>
      </c>
      <c r="CC90" s="15">
        <f>MIN(IF($AU90=100%,1,1+VLOOKUP(($AJ90-$AI90-$AH90-$AG90-$AF90-$AE90*(1+CC$3))/$AJ90,'Технический лист'!$I:$J,2,1)-VLOOKUP($AO90,'Технический лист'!$I:$J,2,1)),1+(1-$AU90))</f>
        <v>1</v>
      </c>
      <c r="CD90" s="15">
        <f>MIN(IF($AU90=100%,1,1+VLOOKUP(($AJ90-$AI90-$AH90-$AG90-$AF90-$AE90*(1+CD$3))/$AJ90,'Технический лист'!$I:$J,2,1)-VLOOKUP($AO90,'Технический лист'!$I:$J,2,1)),1+(1-$AU90))</f>
        <v>1</v>
      </c>
      <c r="CE90" s="15">
        <f>MIN(IF($AU90=100%,1,1+VLOOKUP(($AJ90-$AI90-$AH90-$AG90-$AF90-$AE90*(1+CE$3))/$AJ90,'Технический лист'!$I:$J,2,1)-VLOOKUP($AO90,'Технический лист'!$I:$J,2,1)),1+(1-$AU90))</f>
        <v>1</v>
      </c>
      <c r="CF90" s="15">
        <f>MIN(IF($AU90=100%,1,1+VLOOKUP(($AJ90-$AI90-$AH90-$AG90-$AF90-$AE90*(1+CF$3))/$AJ90,'Технический лист'!$I:$J,2,1)-VLOOKUP($AO90,'Технический лист'!$I:$J,2,1)),1+(1-$AU90))</f>
        <v>1</v>
      </c>
      <c r="CG90" s="15">
        <f>MIN(IF($AU90=100%,1,1+VLOOKUP(($AJ90-$AI90-$AH90-$AG90-$AF90-$AE90*(1+CG$3))/$AJ90,'Технический лист'!$I:$J,2,1)-VLOOKUP($AO90,'Технический лист'!$I:$J,2,1)),1+(1-$AU90))</f>
        <v>1</v>
      </c>
      <c r="CH90" s="15">
        <f>MIN(IF($AU90=100%,1,1+VLOOKUP(($AJ90-$AI90-$AH90-$AG90-$AF90-$AE90*(1+CH$3))/$AJ90,'Технический лист'!$I:$J,2,1)-VLOOKUP($AO90,'Технический лист'!$I:$J,2,1)),1+(1-$AU90))</f>
        <v>1</v>
      </c>
      <c r="CI90" s="15">
        <f>MIN(IF($AU90=100%,1,1+VLOOKUP(($AJ90-$AI90-$AH90-$AG90-$AF90-$AE90*(1+CI$3))/$AJ90,'Технический лист'!$I:$J,2,1)-VLOOKUP($AO90,'Технический лист'!$I:$J,2,1)),1+(1-$AU90))</f>
        <v>1</v>
      </c>
      <c r="CJ90" s="15">
        <f>MIN(IF($AU90=100%,1,1+VLOOKUP(($AJ90-$AI90-$AH90-$AG90-$AF90-$AE90*(1+CJ$3))/$AJ90,'Технический лист'!$I:$J,2,1)-VLOOKUP($AO90,'Технический лист'!$I:$J,2,1)),1+(1-$AU90))</f>
        <v>1</v>
      </c>
      <c r="CK90" s="15">
        <f>MIN(IF($AU90=100%,1,1+VLOOKUP(($AJ90-$AI90-$AH90-$AG90-$AF90-$AE90*(1+CK$3))/$AJ90,'Технический лист'!$I:$J,2,1)-VLOOKUP($AO90,'Технический лист'!$I:$J,2,1)),1+(1-$AU90))</f>
        <v>1</v>
      </c>
      <c r="CL90" s="15">
        <f>MIN(IF($AU90=100%,1,1+VLOOKUP(($AJ90-$AI90-$AH90-$AG90-$AF90-$AE90*(1+CL$3))/$AJ90,'Технический лист'!$I:$J,2,1)-VLOOKUP($AO90,'Технический лист'!$I:$J,2,1)),1+(1-$AU90))</f>
        <v>1</v>
      </c>
      <c r="CM90" s="15">
        <f>MIN(IF($AU90=100%,1,1+VLOOKUP(($AJ90-$AI90-$AH90-$AG90-$AF90-$AE90*(1+CM$3))/$AJ90,'Технический лист'!$I:$J,2,1)-VLOOKUP($AO90,'Технический лист'!$I:$J,2,1)),1+(1-$AU90))</f>
        <v>1</v>
      </c>
      <c r="CN90" s="15">
        <f>MIN(IF($AU90=100%,1,1+VLOOKUP(($AJ90-$AI90-$AH90-$AG90-$AF90-$AE90*(1+CN$3))/$AJ90,'Технический лист'!$I:$J,2,1)-VLOOKUP($AO90,'Технический лист'!$I:$J,2,1)),1+(1-$AU90))</f>
        <v>1</v>
      </c>
      <c r="CO90" s="15">
        <f>MIN(IF($AU90=100%,1,1+VLOOKUP(($AJ90-$AI90-$AH90-$AG90-$AF90-$AE90*(1+CO$3))/$AJ90,'Технический лист'!$I:$J,2,1)-VLOOKUP($AO90,'Технический лист'!$I:$J,2,1)),1+(1-$AU90))</f>
        <v>1</v>
      </c>
      <c r="CP90" s="15">
        <f>MIN(IF($AU90=100%,1,1+VLOOKUP(($AJ90-$AI90-$AH90-$AG90-$AF90-$AE90*(1+CP$3))/$AJ90,'Технический лист'!$I:$J,2,1)-VLOOKUP($AO90,'Технический лист'!$I:$J,2,1)),1+(1-$AU90))</f>
        <v>1</v>
      </c>
      <c r="CQ90" s="15">
        <f>MIN(IF($AU90=100%,1,1+VLOOKUP(($AJ90-$AI90-$AH90-$AG90-$AF90-$AE90*(1+CQ$3))/$AJ90,'Технический лист'!$I:$J,2,1)-VLOOKUP($AO90,'Технический лист'!$I:$J,2,1)),1+(1-$AU90))</f>
        <v>1</v>
      </c>
      <c r="CR90" s="15">
        <f>MIN(IF($AU90=100%,1,1+VLOOKUP(($AJ90-$AI90-$AH90-$AG90-$AF90-$AE90*(1+CR$3))/$AJ90,'Технический лист'!$I:$J,2,1)-VLOOKUP($AO90,'Технический лист'!$I:$J,2,1)),1+(1-$AU90))</f>
        <v>1</v>
      </c>
      <c r="CS90" s="15">
        <f>MIN(IF($AU90=100%,1,1+VLOOKUP(($AJ90-$AI90-$AH90-$AG90-$AF90-$AE90*(1+CS$3))/$AJ90,'Технический лист'!$I:$J,2,1)-VLOOKUP($AO90,'Технический лист'!$I:$J,2,1)),1+(1-$AU90))</f>
        <v>1</v>
      </c>
      <c r="CT90" s="15">
        <f>MIN(IF($AU90=100%,1,1+VLOOKUP(($AJ90-$AI90-$AH90-$AG90-$AF90-$AE90*(1+CT$3))/$AJ90,'Технический лист'!$I:$J,2,1)-VLOOKUP($AO90,'Технический лист'!$I:$J,2,1)),1+(1-$AU90))</f>
        <v>1</v>
      </c>
      <c r="CU90" s="15">
        <f>MIN(IF($AU90=100%,1,1+VLOOKUP(($AJ90-$AI90-$AH90-$AG90-$AF90-$AE90*(1+CU$3))/$AJ90,'Технический лист'!$I:$J,2,1)-VLOOKUP($AO90,'Технический лист'!$I:$J,2,1)),1+(1-$AU90))</f>
        <v>1</v>
      </c>
      <c r="CV90" s="15">
        <f>MIN(IF($AU90=100%,1,1+VLOOKUP(($AJ90-$AI90-$AH90-$AG90-$AF90-$AE90*(1+CV$3))/$AJ90,'Технический лист'!$I:$J,2,1)-VLOOKUP($AO90,'Технический лист'!$I:$J,2,1)),1+(1-$AU90))</f>
        <v>1</v>
      </c>
      <c r="CW90" s="15">
        <f>MIN(IF($AU90=100%,1,1+VLOOKUP(($AJ90-$AI90-$AH90-$AG90-$AF90-$AE90*(1+CW$3))/$AJ90,'Технический лист'!$I:$J,2,1)-VLOOKUP($AO90,'Технический лист'!$I:$J,2,1)),1+(1-$AU90))</f>
        <v>1</v>
      </c>
      <c r="CX90" s="15">
        <f>MIN(IF($AU90=100%,1,1+VLOOKUP(($AJ90-$AI90-$AH90-$AG90-$AF90-$AE90*(1+CX$3))/$AJ90,'Технический лист'!$I:$J,2,1)-VLOOKUP($AO90,'Технический лист'!$I:$J,2,1)),1+(1-$AU90))</f>
        <v>1</v>
      </c>
      <c r="CY90" s="15">
        <f>MIN(IF($AU90=100%,1,1+VLOOKUP(($AJ90-$AI90-$AH90-$AG90-$AF90-$AE90*(1+CY$3))/$AJ90,'Технический лист'!$I:$J,2,1)-VLOOKUP($AO90,'Технический лист'!$I:$J,2,1)),1+(1-$AU90))</f>
        <v>1</v>
      </c>
      <c r="CZ90" s="15">
        <f>MIN(IF($AU90=100%,1,1+VLOOKUP(($AJ90-$AI90-$AH90-$AG90-$AF90-$AE90*(1+CZ$3))/$AJ90,'Технический лист'!$I:$J,2,1)-VLOOKUP($AO90,'Технический лист'!$I:$J,2,1)),1+(1-$AU90))</f>
        <v>1</v>
      </c>
      <c r="DA90" s="15">
        <f>MIN(IF($AU90=100%,1,1+VLOOKUP(($AJ90-$AI90-$AH90-$AG90-$AF90-$AE90*(1+DA$3))/$AJ90,'Технический лист'!$I:$J,2,1)-VLOOKUP($AO90,'Технический лист'!$I:$J,2,1)),1+(1-$AU90))</f>
        <v>1</v>
      </c>
      <c r="DB90" s="15">
        <f>MIN(IF($AU90=100%,1,1+VLOOKUP(($AJ90-$AI90-$AH90-$AG90-$AF90-$AE90*(1+DB$3))/$AJ90,'Технический лист'!$I:$J,2,1)-VLOOKUP($AO90,'Технический лист'!$I:$J,2,1)),1+(1-$AU90))</f>
        <v>1</v>
      </c>
      <c r="DC90" s="15">
        <f>MIN(IF($AU90=100%,1,1+VLOOKUP(($AJ90-$AI90-$AH90-$AG90-$AF90-$AE90*(1+DC$3))/$AJ90,'Технический лист'!$I:$J,2,1)-VLOOKUP($AO90,'Технический лист'!$I:$J,2,1)),1+(1-$AU90))</f>
        <v>1</v>
      </c>
      <c r="DD90" s="15">
        <f>MIN(IF($AU90=100%,1,1+VLOOKUP(($AJ90-$AI90-$AH90-$AG90-$AF90-$AE90*(1+DD$3))/$AJ90,'Технический лист'!$I:$J,2,1)-VLOOKUP($AO90,'Технический лист'!$I:$J,2,1)),1+(1-$AU90))</f>
        <v>1</v>
      </c>
      <c r="DE90" s="15">
        <f>MIN(IF($AU90=100%,1,1+VLOOKUP(($AJ90-$AI90-$AH90-$AG90-$AF90-$AE90*(1+DE$3))/$AJ90,'Технический лист'!$I:$J,2,1)-VLOOKUP($AO90,'Технический лист'!$I:$J,2,1)),1+(1-$AU90))</f>
        <v>1</v>
      </c>
      <c r="DF90" s="15">
        <f>MIN(IF($AU90=100%,1,1+VLOOKUP(($AJ90-$AI90-$AH90-$AG90-$AF90-$AE90*(1+DF$3))/$AJ90,'Технический лист'!$I:$J,2,1)-VLOOKUP($AO90,'Технический лист'!$I:$J,2,1)),1+(1-$AU90))</f>
        <v>1</v>
      </c>
      <c r="DG90" s="15">
        <f>MIN(IF($AU90=100%,1,1+VLOOKUP(($AJ90-$AI90-$AH90-$AG90-$AF90-$AE90*(1+DG$3))/$AJ90,'Технический лист'!$I:$J,2,1)-VLOOKUP($AO90,'Технический лист'!$I:$J,2,1)),1+(1-$AU90))</f>
        <v>1</v>
      </c>
      <c r="DH90" s="15">
        <f>MIN(IF($AU90=100%,1,1+VLOOKUP(($AJ90-$AI90-$AH90-$AG90-$AF90-$AE90*(1+DH$3))/$AJ90,'Технический лист'!$I:$J,2,1)-VLOOKUP($AO90,'Технический лист'!$I:$J,2,1)),1+(1-$AU90))</f>
        <v>1</v>
      </c>
      <c r="DI90" s="15">
        <f>MIN(IF($AU90=100%,1,1+VLOOKUP(($AJ90-$AI90-$AH90-$AG90-$AF90-$AE90*(1+DI$3))/$AJ90,'Технический лист'!$I:$J,2,1)-VLOOKUP($AO90,'Технический лист'!$I:$J,2,1)),1+(1-$AU90))</f>
        <v>1</v>
      </c>
      <c r="DJ90" s="15">
        <f>MIN(IF($AU90=100%,1,1+VLOOKUP(($AJ90-$AI90-$AH90-$AG90-$AF90-$AE90*(1+DJ$3))/$AJ90,'Технический лист'!$I:$J,2,1)-VLOOKUP($AO90,'Технический лист'!$I:$J,2,1)),1+(1-$AU90))</f>
        <v>1</v>
      </c>
      <c r="DK90" s="15">
        <f>MIN(IF($AU90=100%,1,1+VLOOKUP(($AJ90-$AI90-$AH90-$AG90-$AF90-$AE90*(1+DK$3))/$AJ90,'Технический лист'!$I:$J,2,1)-VLOOKUP($AO90,'Технический лист'!$I:$J,2,1)),1+(1-$AU90))</f>
        <v>1</v>
      </c>
      <c r="DL90" s="15">
        <f>MIN(IF($AU90=100%,1,1+VLOOKUP(($AJ90-$AI90-$AH90-$AG90-$AF90-$AE90*(1+DL$3))/$AJ90,'Технический лист'!$I:$J,2,1)-VLOOKUP($AO90,'Технический лист'!$I:$J,2,1)),1+(1-$AU90))</f>
        <v>1</v>
      </c>
      <c r="DM90" s="15">
        <f>MIN(IF($AU90=100%,1,1+VLOOKUP(($AJ90-$AI90-$AH90-$AG90-$AF90-$AE90*(1+DM$3))/$AJ90,'Технический лист'!$I:$J,2,1)-VLOOKUP($AO90,'Технический лист'!$I:$J,2,1)),1+(1-$AU90))</f>
        <v>1</v>
      </c>
      <c r="DN90" s="15">
        <f>MIN(IF($AU90=100%,1,1+VLOOKUP(($AJ90-$AI90-$AH90-$AG90-$AF90-$AE90*(1+DN$3))/$AJ90,'Технический лист'!$I:$J,2,1)-VLOOKUP($AO90,'Технический лист'!$I:$J,2,1)),1+(1-$AU90))</f>
        <v>1</v>
      </c>
      <c r="DO90" s="15">
        <f>MIN(IF($AU90=100%,1,1+VLOOKUP(($AJ90-$AI90-$AH90-$AG90-$AF90-$AE90*(1+DO$3))/$AJ90,'Технический лист'!$I:$J,2,1)-VLOOKUP($AO90,'Технический лист'!$I:$J,2,1)),1+(1-$AU90))</f>
        <v>1</v>
      </c>
      <c r="DP90" s="15">
        <f>MIN(IF($AU90=100%,1,1+VLOOKUP(($AJ90-$AI90-$AH90-$AG90-$AF90-$AE90*(1+DP$3))/$AJ90,'Технический лист'!$I:$J,2,1)-VLOOKUP($AO90,'Технический лист'!$I:$J,2,1)),1+(1-$AU90))</f>
        <v>1</v>
      </c>
      <c r="DQ90" s="15">
        <f>MIN(IF($AU90=100%,1,1+VLOOKUP(($AJ90-$AI90-$AH90-$AG90-$AF90-$AE90*(1+DQ$3))/$AJ90,'Технический лист'!$I:$J,2,1)-VLOOKUP($AO90,'Технический лист'!$I:$J,2,1)),1+(1-$AU90))</f>
        <v>1</v>
      </c>
      <c r="DR90" s="15">
        <f>MIN(IF($AU90=100%,1,1+VLOOKUP(($AJ90-$AI90-$AH90-$AG90-$AF90-$AE90*(1+DR$3))/$AJ90,'Технический лист'!$I:$J,2,1)-VLOOKUP($AO90,'Технический лист'!$I:$J,2,1)),1+(1-$AU90))</f>
        <v>1</v>
      </c>
      <c r="DS90" s="15">
        <f>MIN(IF($AU90=100%,1,1+VLOOKUP(($AJ90-$AI90-$AH90-$AG90-$AF90-$AE90*(1+DS$3))/$AJ90,'Технический лист'!$I:$J,2,1)-VLOOKUP($AO90,'Технический лист'!$I:$J,2,1)),1+(1-$AU90))</f>
        <v>1</v>
      </c>
      <c r="DT90" s="15">
        <f>MIN(IF($AU90=100%,1,1+VLOOKUP(($AJ90-$AI90-$AH90-$AG90-$AF90-$AE90*(1+DT$3))/$AJ90,'Технический лист'!$I:$J,2,1)-VLOOKUP($AO90,'Технический лист'!$I:$J,2,1)),1+(1-$AU90))</f>
        <v>1</v>
      </c>
      <c r="DU90" s="15">
        <f>MIN(IF($AU90=100%,1,1+VLOOKUP(($AJ90-$AI90-$AH90-$AG90-$AF90-$AE90*(1+DU$3))/$AJ90,'Технический лист'!$I:$J,2,1)-VLOOKUP($AO90,'Технический лист'!$I:$J,2,1)),1+(1-$AU90))</f>
        <v>1</v>
      </c>
      <c r="DV90" s="15">
        <f>MIN(IF($AU90=100%,1,1+VLOOKUP(($AJ90-$AI90-$AH90-$AG90-$AF90-$AE90*(1+DV$3))/$AJ90,'Технический лист'!$I:$J,2,1)-VLOOKUP($AO90,'Технический лист'!$I:$J,2,1)),1+(1-$AU90))</f>
        <v>1</v>
      </c>
      <c r="DW90" s="15">
        <f>MIN(IF($AU90=100%,1,1+VLOOKUP(($AJ90-$AI90-$AH90-$AG90-$AF90-$AE90*(1+DW$3))/$AJ90,'Технический лист'!$I:$J,2,1)-VLOOKUP($AO90,'Технический лист'!$I:$J,2,1)),1+(1-$AU90))</f>
        <v>1</v>
      </c>
      <c r="DX90" s="15">
        <f>MIN(IF($AU90=100%,1,1+VLOOKUP(($AJ90-$AI90-$AH90-$AG90-$AF90-$AE90*(1+DX$3))/$AJ90,'Технический лист'!$I:$J,2,1)-VLOOKUP($AO90,'Технический лист'!$I:$J,2,1)),1+(1-$AU90))</f>
        <v>1</v>
      </c>
      <c r="DY90" s="15">
        <f>MIN(IF($AU90=100%,1,1+VLOOKUP(($AJ90-$AI90-$AH90-$AG90-$AF90-$AE90*(1+DY$3))/$AJ90,'Технический лист'!$I:$J,2,1)-VLOOKUP($AO90,'Технический лист'!$I:$J,2,1)),1+(1-$AU90))</f>
        <v>1</v>
      </c>
      <c r="DZ90" s="15">
        <f>MIN(IF($AU90=100%,1,1+VLOOKUP(($AJ90-$AI90-$AH90-$AG90-$AF90-$AE90*(1+DZ$3))/$AJ90,'Технический лист'!$I:$J,2,1)-VLOOKUP($AO90,'Технический лист'!$I:$J,2,1)),1+(1-$AU90))</f>
        <v>1</v>
      </c>
      <c r="EA90" s="15">
        <f>MIN(IF($AU90=100%,1,1+VLOOKUP(($AJ90-$AI90-$AH90-$AG90-$AF90-$AE90*(1+EA$3))/$AJ90,'Технический лист'!$I:$J,2,1)-VLOOKUP($AO90,'Технический лист'!$I:$J,2,1)),1+(1-$AU90))</f>
        <v>1</v>
      </c>
      <c r="EB90" s="15">
        <f>MIN(IF($AU90=100%,1,1+VLOOKUP(($AJ90-$AI90-$AH90-$AG90-$AF90-$AE90*(1+EB$3))/$AJ90,'Технический лист'!$I:$J,2,1)-VLOOKUP($AO90,'Технический лист'!$I:$J,2,1)),1+(1-$AU90))</f>
        <v>1</v>
      </c>
      <c r="EC90" s="15">
        <f>MIN(IF($AU90=100%,1,1+VLOOKUP(($AJ90-$AI90-$AH90-$AG90-$AF90-$AE90*(1+EC$3))/$AJ90,'Технический лист'!$I:$J,2,1)-VLOOKUP($AO90,'Технический лист'!$I:$J,2,1)),1+(1-$AU90))</f>
        <v>1</v>
      </c>
      <c r="ED90" s="15">
        <f>MIN(IF($AU90=100%,1,1+VLOOKUP(($AJ90-$AI90-$AH90-$AG90-$AF90-$AE90*(1+ED$3))/$AJ90,'Технический лист'!$I:$J,2,1)-VLOOKUP($AO90,'Технический лист'!$I:$J,2,1)),1+(1-$AU90))</f>
        <v>1</v>
      </c>
      <c r="EE90" s="15">
        <f>MIN(IF($AU90=100%,1,1+VLOOKUP(($AJ90-$AI90-$AH90-$AG90-$AF90-$AE90*(1+EE$3))/$AJ90,'Технический лист'!$I:$J,2,1)-VLOOKUP($AO90,'Технический лист'!$I:$J,2,1)),1+(1-$AU90))</f>
        <v>1</v>
      </c>
      <c r="EF90" s="15">
        <f>MIN(IF($AU90=100%,1,1+VLOOKUP(($AJ90-$AI90-$AH90-$AG90-$AF90-$AE90*(1+EF$3))/$AJ90,'Технический лист'!$I:$J,2,1)-VLOOKUP($AO90,'Технический лист'!$I:$J,2,1)),1+(1-$AU90))</f>
        <v>1</v>
      </c>
      <c r="EG90" s="15">
        <f>MIN(IF($AU90=100%,1,1+VLOOKUP(($AJ90-$AI90-$AH90-$AG90-$AF90-$AE90*(1+EG$3))/$AJ90,'Технический лист'!$I:$J,2,1)-VLOOKUP($AO90,'Технический лист'!$I:$J,2,1)),1+(1-$AU90))</f>
        <v>1</v>
      </c>
      <c r="EH90" s="15">
        <f>MIN(IF($AU90=100%,1,1+VLOOKUP(($AJ90-$AI90-$AH90-$AG90-$AF90-$AE90*(1+EH$3))/$AJ90,'Технический лист'!$I:$J,2,1)-VLOOKUP($AO90,'Технический лист'!$I:$J,2,1)),1+(1-$AU90))</f>
        <v>1</v>
      </c>
      <c r="EI90" s="15">
        <f>MIN(IF($AU90=100%,1,1+VLOOKUP(($AJ90-$AI90-$AH90-$AG90-$AF90-$AE90*(1+EI$3))/$AJ90,'Технический лист'!$I:$J,2,1)-VLOOKUP($AO90,'Технический лист'!$I:$J,2,1)),1+(1-$AU90))</f>
        <v>1</v>
      </c>
      <c r="EJ90" s="15">
        <f>MIN(IF($AU90=100%,1,1+VLOOKUP(($AJ90-$AI90-$AH90-$AG90-$AF90-$AE90*(1+EJ$3))/$AJ90,'Технический лист'!$I:$J,2,1)-VLOOKUP($AO90,'Технический лист'!$I:$J,2,1)),1+(1-$AU90))</f>
        <v>1</v>
      </c>
      <c r="EK90" s="15">
        <f>MIN(IF($AU90=100%,1,1+VLOOKUP(($AJ90-$AI90-$AH90-$AG90-$AF90-$AE90*(1+EK$3))/$AJ90,'Технический лист'!$I:$J,2,1)-VLOOKUP($AO90,'Технический лист'!$I:$J,2,1)),1+(1-$AU90))</f>
        <v>1</v>
      </c>
      <c r="EL90" s="15">
        <f>MIN(IF($AU90=100%,1,1+VLOOKUP(($AJ90-$AI90-$AH90-$AG90-$AF90-$AE90*(1+EL$3))/$AJ90,'Технический лист'!$I:$J,2,1)-VLOOKUP($AO90,'Технический лист'!$I:$J,2,1)),1+(1-$AU90))</f>
        <v>1</v>
      </c>
      <c r="EM90" s="15">
        <f>MIN(IF($AU90=100%,1,1+VLOOKUP(($AJ90-$AI90-$AH90-$AG90-$AF90-$AE90*(1+EM$3))/$AJ90,'Технический лист'!$I:$J,2,1)-VLOOKUP($AO90,'Технический лист'!$I:$J,2,1)),1+(1-$AU90))</f>
        <v>1</v>
      </c>
      <c r="EN90" s="15">
        <f>MIN(IF($AU90=100%,1,1+VLOOKUP(($AJ90-$AI90-$AH90-$AG90-$AF90-$AE90*(1+EN$3))/$AJ90,'Технический лист'!$I:$J,2,1)-VLOOKUP($AO90,'Технический лист'!$I:$J,2,1)),1+(1-$AU90))</f>
        <v>1</v>
      </c>
      <c r="EO90" s="15">
        <f>MIN(IF($AU90=100%,1,1+VLOOKUP(($AJ90-$AI90-$AH90-$AG90-$AF90-$AE90*(1+EO$3))/$AJ90,'Технический лист'!$I:$J,2,1)-VLOOKUP($AO90,'Технический лист'!$I:$J,2,1)),1+(1-$AU90))</f>
        <v>1</v>
      </c>
      <c r="EP90" s="15">
        <f>MIN(IF($AU90=100%,1,1+VLOOKUP(($AJ90-$AI90-$AH90-$AG90-$AF90-$AE90*(1+EP$3))/$AJ90,'Технический лист'!$I:$J,2,1)-VLOOKUP($AO90,'Технический лист'!$I:$J,2,1)),1+(1-$AU90))</f>
        <v>1</v>
      </c>
      <c r="EQ90" s="15">
        <f>MIN(IF($AU90=100%,1,1+VLOOKUP(($AJ90-$AI90-$AH90-$AG90-$AF90-$AE90*(1+EQ$3))/$AJ90,'Технический лист'!$I:$J,2,1)-VLOOKUP($AO90,'Технический лист'!$I:$J,2,1)),1+(1-$AU90))</f>
        <v>1</v>
      </c>
      <c r="ER90" s="15">
        <f>MIN(IF($AU90=100%,1,1+VLOOKUP(($AJ90-$AI90-$AH90-$AG90-$AF90-$AE90*(1+ER$3))/$AJ90,'Технический лист'!$I:$J,2,1)-VLOOKUP($AO90,'Технический лист'!$I:$J,2,1)),1+(1-$AU90))</f>
        <v>1</v>
      </c>
      <c r="ES90" s="15">
        <f>MIN(IF($AU90=100%,1,1+VLOOKUP(($AJ90-$AI90-$AH90-$AG90-$AF90-$AE90*(1+ES$3))/$AJ90,'Технический лист'!$I:$J,2,1)-VLOOKUP($AO90,'Технический лист'!$I:$J,2,1)),1+(1-$AU90))</f>
        <v>1</v>
      </c>
      <c r="ET90" s="15">
        <f>MIN(IF($AU90=100%,1,1+VLOOKUP(($AJ90-$AI90-$AH90-$AG90-$AF90-$AE90*(1+ET$3))/$AJ90,'Технический лист'!$I:$J,2,1)-VLOOKUP($AO90,'Технический лист'!$I:$J,2,1)),1+(1-$AU90))</f>
        <v>1</v>
      </c>
      <c r="EU90" s="15">
        <f>MIN(IF($AU90=100%,1,1+VLOOKUP(($AJ90-$AI90-$AH90-$AG90-$AF90-$AE90*(1+EU$3))/$AJ90,'Технический лист'!$I:$J,2,1)-VLOOKUP($AO90,'Технический лист'!$I:$J,2,1)),1+(1-$AU90))</f>
        <v>1</v>
      </c>
      <c r="EV90" s="111">
        <v>1</v>
      </c>
      <c r="EW90" s="15">
        <f>MIN(1,MAX(VLOOKUP(($AJ90-$AI90-$AH90-$AG90-$AF90-$AE90*(1+EW$3))/$AJ90,'Технический лист'!$A:$B,2,1),(EV90-0.05)))</f>
        <v>1</v>
      </c>
      <c r="EX90" s="15">
        <f>MIN(1,MAX(VLOOKUP(($AJ90-$AI90-$AH90-$AG90-$AF90-$AE90*(1+EX$3))/$AJ90,'Технический лист'!$A:$B,2,1),(EW90-0.05)))</f>
        <v>1</v>
      </c>
      <c r="EY90" s="15">
        <f>MIN(1,MAX(VLOOKUP(($AJ90-$AI90-$AH90-$AG90-$AF90-$AE90*(1+EY$3))/$AJ90,'Технический лист'!$A:$B,2,1),(EX90-0.05)))</f>
        <v>1</v>
      </c>
      <c r="EZ90" s="15">
        <f>MIN(1,MAX(VLOOKUP(($AJ90-$AI90-$AH90-$AG90-$AF90-$AE90*(1+EZ$3))/$AJ90,'Технический лист'!$A:$B,2,1),(EY90-0.05)))</f>
        <v>1</v>
      </c>
      <c r="FA90" s="15">
        <f>MIN(1,MAX(VLOOKUP(($AJ90-$AI90-$AH90-$AG90-$AF90-$AE90*(1+FA$3))/$AJ90,'Технический лист'!$A:$B,2,1),(EZ90-0.05)))</f>
        <v>1</v>
      </c>
      <c r="FB90" s="15">
        <f>MIN(1,MAX(VLOOKUP(($AJ90-$AI90-$AH90-$AG90-$AF90-$AE90*(1+FB$3))/$AJ90,'Технический лист'!$A:$B,2,1),(FA90-0.05)))</f>
        <v>1</v>
      </c>
      <c r="FC90" s="15">
        <f>MIN(1,MAX(VLOOKUP(($AJ90-$AI90-$AH90-$AG90-$AF90-$AE90*(1+FC$3))/$AJ90,'Технический лист'!$A:$B,2,1),(FB90-0.05)))</f>
        <v>1</v>
      </c>
      <c r="FD90" s="15">
        <f>MIN(1,MAX(VLOOKUP(($AJ90-$AI90-$AH90-$AG90-$AF90-$AE90*(1+FD$3))/$AJ90,'Технический лист'!$A:$B,2,1),(FC90-0.05)))</f>
        <v>1</v>
      </c>
      <c r="FE90" s="15">
        <f>MIN(1,MAX(VLOOKUP(($AJ90-$AI90-$AH90-$AG90-$AF90-$AE90*(1+FE$3))/$AJ90,'Технический лист'!$A:$B,2,1),(FD90-0.05)))</f>
        <v>1</v>
      </c>
      <c r="FF90" s="15">
        <f>MIN(1,MAX(VLOOKUP(($AJ90-$AI90-$AH90-$AG90-$AF90-$AE90*(1+FF$3))/$AJ90,'Технический лист'!$A:$B,2,1),(FE90-0.05)))</f>
        <v>1</v>
      </c>
      <c r="FG90" s="15">
        <f>MIN(1,MAX(VLOOKUP(($AJ90-$AI90-$AH90-$AG90-$AF90-$AE90*(1+FG$3))/$AJ90,'Технический лист'!$A:$B,2,1),(FF90-0.05)))</f>
        <v>1</v>
      </c>
      <c r="FH90" s="15">
        <f>MIN(1,MAX(VLOOKUP(($AJ90-$AI90-$AH90-$AG90-$AF90-$AE90*(1+FH$3))/$AJ90,'Технический лист'!$A:$B,2,1),(FG90-0.05)))</f>
        <v>1</v>
      </c>
      <c r="FI90" s="15">
        <f>MIN(1,MAX(VLOOKUP(($AJ90-$AI90-$AH90-$AG90-$AF90-$AE90*(1+FI$3))/$AJ90,'Технический лист'!$A:$B,2,1),(FH90-0.05)))</f>
        <v>1</v>
      </c>
      <c r="FJ90" s="15">
        <f>MIN(1,MAX(VLOOKUP(($AJ90-$AI90-$AH90-$AG90-$AF90-$AE90*(1+FJ$3))/$AJ90,'Технический лист'!$A:$B,2,1),(FI90-0.05)))</f>
        <v>1</v>
      </c>
      <c r="FK90" s="15">
        <f>MIN(1,MAX(VLOOKUP(($AJ90-$AI90-$AH90-$AG90-$AF90-$AE90*(1+FK$3))/$AJ90,'Технический лист'!$A:$B,2,1),(FJ90-0.05)))</f>
        <v>1</v>
      </c>
      <c r="FL90" s="15">
        <f>MIN(1,MAX(VLOOKUP(($AJ90-$AI90-$AH90-$AG90-$AF90-$AE90*(1+FL$3))/$AJ90,'Технический лист'!$A:$B,2,1),(FK90-0.05)))</f>
        <v>1</v>
      </c>
      <c r="FM90" s="15">
        <f>MIN(1,MAX(VLOOKUP(($AJ90-$AI90-$AH90-$AG90-$AF90-$AE90*(1+FM$3))/$AJ90,'Технический лист'!$A:$B,2,1),(FL90-0.05)))</f>
        <v>1</v>
      </c>
      <c r="FN90" s="15">
        <f>MIN(1,MAX(VLOOKUP(($AJ90-$AI90-$AH90-$AG90-$AF90-$AE90*(1+FN$3))/$AJ90,'Технический лист'!$A:$B,2,1),(FM90-0.05)))</f>
        <v>1</v>
      </c>
      <c r="FO90" s="15">
        <f>MIN(1,MAX(VLOOKUP(($AJ90-$AI90-$AH90-$AG90-$AF90-$AE90*(1+FO$3))/$AJ90,'Технический лист'!$A:$B,2,1),(FN90-0.05)))</f>
        <v>1</v>
      </c>
      <c r="FP90" s="15">
        <f>MIN(1,MAX(VLOOKUP(($AJ90-$AI90-$AH90-$AG90-$AF90-$AE90*(1+FP$3))/$AJ90,'Технический лист'!$A:$B,2,1),(FO90-0.05)))</f>
        <v>1</v>
      </c>
      <c r="FQ90" s="15">
        <f>MIN(1,MAX(VLOOKUP(($AJ90-$AI90-$AH90-$AG90-$AF90-$AE90*(1+FQ$3))/$AJ90,'Технический лист'!$A:$B,2,1),(FP90-0.05)))</f>
        <v>1</v>
      </c>
      <c r="FR90" s="15">
        <f>MIN(1,MAX(VLOOKUP(($AJ90-$AI90-$AH90-$AG90-$AF90-$AE90*(1+FR$3))/$AJ90,'Технический лист'!$A:$B,2,1),(FQ90-0.05)))</f>
        <v>1</v>
      </c>
      <c r="FS90" s="15">
        <f>MIN(1,MAX(VLOOKUP(($AJ90-$AI90-$AH90-$AG90-$AF90-$AE90*(1+FS$3))/$AJ90,'Технический лист'!$A:$B,2,1),(FR90-0.05)))</f>
        <v>1</v>
      </c>
      <c r="FT90" s="15">
        <f>MIN(1,MAX(VLOOKUP(($AJ90-$AI90-$AH90-$AG90-$AF90-$AE90*(1+FT$3))/$AJ90,'Технический лист'!$A:$B,2,1),(FS90-0.05)))</f>
        <v>1</v>
      </c>
      <c r="FU90" s="15">
        <f>MIN(1,MAX(VLOOKUP(($AJ90-$AI90-$AH90-$AG90-$AF90-$AE90*(1+FU$3))/$AJ90,'Технический лист'!$A:$B,2,1),(FT90-0.05)))</f>
        <v>1</v>
      </c>
      <c r="FV90" s="15">
        <f>MIN(1,MAX(VLOOKUP(($AJ90-$AI90-$AH90-$AG90-$AF90-$AE90*(1+FV$3))/$AJ90,'Технический лист'!$A:$B,2,1),(FU90-0.05)))</f>
        <v>1</v>
      </c>
      <c r="FW90" s="15">
        <f>MIN(1,MAX(VLOOKUP(($AJ90-$AI90-$AH90-$AG90-$AF90-$AE90*(1+FW$3))/$AJ90,'Технический лист'!$A:$B,2,1),(FV90-0.05)))</f>
        <v>1</v>
      </c>
      <c r="FX90" s="15">
        <f>MIN(1,MAX(VLOOKUP(($AJ90-$AI90-$AH90-$AG90-$AF90-$AE90*(1+FX$3))/$AJ90,'Технический лист'!$A:$B,2,1),(FW90-0.05)))</f>
        <v>1</v>
      </c>
      <c r="FY90" s="15">
        <f>MIN(1,MAX(VLOOKUP(($AJ90-$AI90-$AH90-$AG90-$AF90-$AE90*(1+FY$3))/$AJ90,'Технический лист'!$A:$B,2,1),(FX90-0.05)))</f>
        <v>1</v>
      </c>
      <c r="FZ90" s="15">
        <f>MIN(1,MAX(VLOOKUP(($AJ90-$AI90-$AH90-$AG90-$AF90-$AE90*(1+FZ$3))/$AJ90,'Технический лист'!$A:$B,2,1),(FY90-0.05)))</f>
        <v>1</v>
      </c>
      <c r="GA90" s="15">
        <f>MIN(1,MAX(VLOOKUP(($AJ90-$AI90-$AH90-$AG90-$AF90-$AE90*(1+GA$3))/$AJ90,'Технический лист'!$A:$B,2,1),(FZ90-0.05)))</f>
        <v>1</v>
      </c>
      <c r="GB90" s="15">
        <f>MIN(1,MAX(VLOOKUP(($AJ90-$AI90-$AH90-$AG90-$AF90-$AE90*(1+GB$3))/$AJ90,'Технический лист'!$A:$B,2,1),(GA90-0.05)))</f>
        <v>1</v>
      </c>
      <c r="GC90" s="15">
        <f>MIN(1,MAX(VLOOKUP(($AJ90-$AI90-$AH90-$AG90-$AF90-$AE90*(1+GC$3))/$AJ90,'Технический лист'!$A:$B,2,1),(GB90-0.05)))</f>
        <v>1</v>
      </c>
      <c r="GD90" s="15">
        <f>MIN(1,MAX(VLOOKUP(($AJ90-$AI90-$AH90-$AG90-$AF90-$AE90*(1+GD$3))/$AJ90,'Технический лист'!$A:$B,2,1),(GC90-0.05)))</f>
        <v>1</v>
      </c>
      <c r="GE90" s="15">
        <f>MIN(1,MAX(VLOOKUP(($AJ90-$AI90-$AH90-$AG90-$AF90-$AE90*(1+GE$3))/$AJ90,'Технический лист'!$A:$B,2,1),(GD90-0.05)))</f>
        <v>1</v>
      </c>
      <c r="GF90" s="15">
        <f>MIN(1,MAX(VLOOKUP(($AJ90-$AI90-$AH90-$AG90-$AF90-$AE90*(1+GF$3))/$AJ90,'Технический лист'!$A:$B,2,1),(GE90-0.05)))</f>
        <v>1</v>
      </c>
      <c r="GG90" s="15">
        <f>MIN(1,MAX(VLOOKUP(($AJ90-$AI90-$AH90-$AG90-$AF90-$AE90*(1+GG$3))/$AJ90,'Технический лист'!$A:$B,2,1),(GF90-0.05)))</f>
        <v>1</v>
      </c>
      <c r="GH90" s="15">
        <f>MIN(1,MAX(VLOOKUP(($AJ90-$AI90-$AH90-$AG90-$AF90-$AE90*(1+GH$3))/$AJ90,'Технический лист'!$A:$B,2,1),(GG90-0.05)))</f>
        <v>1</v>
      </c>
      <c r="GI90" s="15">
        <f>MIN(1,MAX(VLOOKUP(($AJ90-$AI90-$AH90-$AG90-$AF90-$AE90*(1+GI$3))/$AJ90,'Технический лист'!$A:$B,2,1),(GH90-0.05)))</f>
        <v>1</v>
      </c>
      <c r="GJ90" s="15">
        <f>MIN(1,MAX(VLOOKUP(($AJ90-$AI90-$AH90-$AG90-$AF90-$AE90*(1+GJ$3))/$AJ90,'Технический лист'!$A:$B,2,1),(GI90-0.05)))</f>
        <v>1</v>
      </c>
      <c r="GK90" s="15">
        <f>MIN(1,MAX(VLOOKUP(($AJ90-$AI90-$AH90-$AG90-$AF90-$AE90*(1+GK$3))/$AJ90,'Технический лист'!$A:$B,2,1),(GJ90-0.05)))</f>
        <v>1</v>
      </c>
      <c r="GL90" s="15">
        <f>MIN(1,MAX(VLOOKUP(($AJ90-$AI90-$AH90-$AG90-$AF90-$AE90*(1+GL$3))/$AJ90,'Технический лист'!$A:$B,2,1),(GK90-0.05)))</f>
        <v>1</v>
      </c>
      <c r="GM90" s="15">
        <f>MIN(1,MAX(VLOOKUP(($AJ90-$AI90-$AH90-$AG90-$AF90-$AE90*(1+GM$3))/$AJ90,'Технический лист'!$A:$B,2,1),(GL90-0.05)))</f>
        <v>1</v>
      </c>
      <c r="GN90" s="15">
        <f>MIN(1,MAX(VLOOKUP(($AJ90-$AI90-$AH90-$AG90-$AF90-$AE90*(1+GN$3))/$AJ90,'Технический лист'!$A:$B,2,1),(GM90-0.05)))</f>
        <v>1</v>
      </c>
      <c r="GO90" s="15">
        <f>MIN(1,MAX(VLOOKUP(($AJ90-$AI90-$AH90-$AG90-$AF90-$AE90*(1+GO$3))/$AJ90,'Технический лист'!$A:$B,2,1),(GN90-0.05)))</f>
        <v>1</v>
      </c>
      <c r="GP90" s="15">
        <f>MIN(1,MAX(VLOOKUP(($AJ90-$AI90-$AH90-$AG90-$AF90-$AE90*(1+GP$3))/$AJ90,'Технический лист'!$A:$B,2,1),(GO90-0.05)))</f>
        <v>1</v>
      </c>
      <c r="GQ90" s="15">
        <f>MIN(1,MAX(VLOOKUP(($AJ90-$AI90-$AH90-$AG90-$AF90-$AE90*(1+GQ$3))/$AJ90,'Технический лист'!$A:$B,2,1),(GP90-0.05)))</f>
        <v>1</v>
      </c>
      <c r="GR90" s="15">
        <f>MIN(1,MAX(VLOOKUP(($AJ90-$AI90-$AH90-$AG90-$AF90-$AE90*(1+GR$3))/$AJ90,'Технический лист'!$A:$B,2,1),(GQ90-0.05)))</f>
        <v>1</v>
      </c>
      <c r="GS90" s="15">
        <f>MIN(1,MAX(VLOOKUP(($AJ90-$AI90-$AH90-$AG90-$AF90-$AE90*(1+GS$3))/$AJ90,'Технический лист'!$A:$B,2,1),(GR90-0.05)))</f>
        <v>1</v>
      </c>
      <c r="GT90" s="15">
        <f>MIN(1,MAX(VLOOKUP(($AJ90-$AI90-$AH90-$AG90-$AF90-$AE90*(1+GT$3))/$AJ90,'Технический лист'!$A:$B,2,1),(GS90-0.05)))</f>
        <v>1</v>
      </c>
      <c r="GU90" s="15">
        <f>MIN(1,MAX(VLOOKUP(($AJ90-$AI90-$AH90-$AG90-$AF90-$AE90*(1+GU$3))/$AJ90,'Технический лист'!$A:$B,2,1),(GT90-0.05)))</f>
        <v>1</v>
      </c>
      <c r="GV90" s="15">
        <f>MIN(1,MAX(VLOOKUP(($AJ90-$AI90-$AH90-$AG90-$AF90-$AE90*(1+GV$3))/$AJ90,'Технический лист'!$A:$B,2,1),(GU90-0.05)))</f>
        <v>1</v>
      </c>
      <c r="GW90" s="15">
        <f>MIN(1,MAX(VLOOKUP(($AJ90-$AI90-$AH90-$AG90-$AF90-$AE90*(1+GW$3))/$AJ90,'Технический лист'!$A:$B,2,1),(GV90-0.05)))</f>
        <v>1</v>
      </c>
      <c r="GX90" s="15">
        <f>MIN(1,MAX(VLOOKUP(($AJ90-$AI90-$AH90-$AG90-$AF90-$AE90*(1+GX$3))/$AJ90,'Технический лист'!$A:$B,2,1),(GW90-0.05)))</f>
        <v>1</v>
      </c>
      <c r="GY90" s="15">
        <f>MIN(1,MAX(VLOOKUP(($AJ90-$AI90-$AH90-$AG90-$AF90-$AE90*(1+GY$3))/$AJ90,'Технический лист'!$A:$B,2,1),(GX90-0.05)))</f>
        <v>1</v>
      </c>
      <c r="GZ90" s="15">
        <f>MIN(1,MAX(VLOOKUP(($AJ90-$AI90-$AH90-$AG90-$AF90-$AE90*(1+GZ$3))/$AJ90,'Технический лист'!$A:$B,2,1),(GY90-0.05)))</f>
        <v>1</v>
      </c>
      <c r="HA90" s="15">
        <f>MIN(1,MAX(VLOOKUP(($AJ90-$AI90-$AH90-$AG90-$AF90-$AE90*(1+HA$3))/$AJ90,'Технический лист'!$A:$B,2,1),(GZ90-0.05)))</f>
        <v>1</v>
      </c>
      <c r="HB90" s="15">
        <f>MIN(1,MAX(VLOOKUP(($AJ90-$AI90-$AH90-$AG90-$AF90-$AE90*(1+HB$3))/$AJ90,'Технический лист'!$A:$B,2,1),(HA90-0.05)))</f>
        <v>1</v>
      </c>
      <c r="HC90" s="15">
        <f>MIN(1,MAX(VLOOKUP(($AJ90-$AI90-$AH90-$AG90-$AF90-$AE90*(1+HC$3))/$AJ90,'Технический лист'!$A:$B,2,1),(HB90-0.05)))</f>
        <v>1</v>
      </c>
      <c r="HD90" s="15">
        <f>MIN(1,MAX(VLOOKUP(($AJ90-$AI90-$AH90-$AG90-$AF90-$AE90*(1+HD$3))/$AJ90,'Технический лист'!$A:$B,2,1),(HC90-0.05)))</f>
        <v>1</v>
      </c>
      <c r="HE90" s="15">
        <f>MIN(1,MAX(VLOOKUP(($AJ90-$AI90-$AH90-$AG90-$AF90-$AE90*(1+HE$3))/$AJ90,'Технический лист'!$A:$B,2,1),(HD90-0.05)))</f>
        <v>1</v>
      </c>
      <c r="HF90" s="15">
        <f>MIN(1,MAX(VLOOKUP(($AJ90-$AI90-$AH90-$AG90-$AF90-$AE90*(1+HF$3))/$AJ90,'Технический лист'!$A:$B,2,1),(HE90-0.05)))</f>
        <v>1</v>
      </c>
      <c r="HG90" s="15">
        <f>MIN(1,MAX(VLOOKUP(($AJ90-$AI90-$AH90-$AG90-$AF90-$AE90*(1+HG$3))/$AJ90,'Технический лист'!$A:$B,2,1),(HF90-0.05)))</f>
        <v>1</v>
      </c>
      <c r="HH90" s="15">
        <f>MIN(1,MAX(VLOOKUP(($AJ90-$AI90-$AH90-$AG90-$AF90-$AE90*(1+HH$3))/$AJ90,'Технический лист'!$A:$B,2,1),(HG90-0.05)))</f>
        <v>1</v>
      </c>
      <c r="HI90" s="15">
        <f>MIN(1,MAX(VLOOKUP(($AJ90-$AI90-$AH90-$AG90-$AF90-$AE90*(1+HI$3))/$AJ90,'Технический лист'!$A:$B,2,1),(HH90-0.05)))</f>
        <v>1</v>
      </c>
      <c r="HJ90" s="15">
        <f>MIN(1,MAX(VLOOKUP(($AJ90-$AI90-$AH90-$AG90-$AF90-$AE90*(1+HJ$3))/$AJ90,'Технический лист'!$A:$B,2,1),(HI90-0.05)))</f>
        <v>1</v>
      </c>
      <c r="HK90" s="15">
        <f>MIN(1,MAX(VLOOKUP(($AJ90-$AI90-$AH90-$AG90-$AF90-$AE90*(1+HK$3))/$AJ90,'Технический лист'!$A:$B,2,1),(HJ90-0.05)))</f>
        <v>1</v>
      </c>
      <c r="HL90" s="15">
        <f>MIN(1,MAX(VLOOKUP(($AJ90-$AI90-$AH90-$AG90-$AF90-$AE90*(1+HL$3))/$AJ90,'Технический лист'!$A:$B,2,1),(HK90-0.05)))</f>
        <v>1</v>
      </c>
      <c r="HM90" s="15">
        <f>MIN(1,MAX(VLOOKUP(($AJ90-$AI90-$AH90-$AG90-$AF90-$AE90*(1+HM$3))/$AJ90,'Технический лист'!$A:$B,2,1),(HL90-0.05)))</f>
        <v>1</v>
      </c>
      <c r="HN90" s="15">
        <f>MIN(1,MAX(VLOOKUP(($AJ90-$AI90-$AH90-$AG90-$AF90-$AE90*(1+HN$3))/$AJ90,'Технический лист'!$A:$B,2,1),(HM90-0.05)))</f>
        <v>1</v>
      </c>
      <c r="HO90" s="15">
        <f>MIN(1,MAX(VLOOKUP(($AJ90-$AI90-$AH90-$AG90-$AF90-$AE90*(1+HO$3))/$AJ90,'Технический лист'!$A:$B,2,1),(HN90-0.05)))</f>
        <v>1</v>
      </c>
      <c r="HP90" s="15">
        <f>MIN(1,MAX(VLOOKUP(($AJ90-$AI90-$AH90-$AG90-$AF90-$AE90*(1+HP$3))/$AJ90,'Технический лист'!$A:$B,2,1),(HO90-0.05)))</f>
        <v>1</v>
      </c>
      <c r="HQ90" s="15">
        <f>MIN(1,MAX(VLOOKUP(($AJ90-$AI90-$AH90-$AG90-$AF90-$AE90*(1+HQ$3))/$AJ90,'Технический лист'!$A:$B,2,1),(HP90-0.05)))</f>
        <v>1</v>
      </c>
      <c r="HR90" s="15">
        <f>MIN(1,MAX(VLOOKUP(($AJ90-$AI90-$AH90-$AG90-$AF90-$AE90*(1+HR$3))/$AJ90,'Технический лист'!$A:$B,2,1),(HQ90-0.05)))</f>
        <v>1</v>
      </c>
      <c r="HS90" s="15">
        <f>MIN(1,MAX(VLOOKUP(($AJ90-$AI90-$AH90-$AG90-$AF90-$AE90*(1+HS$3))/$AJ90,'Технический лист'!$A:$B,2,1),(HR90-0.05)))</f>
        <v>1</v>
      </c>
      <c r="HT90" s="15">
        <f>MIN(1,MAX(VLOOKUP(($AJ90-$AI90-$AH90-$AG90-$AF90-$AE90*(1+HT$3))/$AJ90,'Технический лист'!$A:$B,2,1),(HS90-0.05)))</f>
        <v>1</v>
      </c>
      <c r="HU90" s="15">
        <f>MIN(1,MAX(VLOOKUP(($AJ90-$AI90-$AH90-$AG90-$AF90-$AE90*(1+HU$3))/$AJ90,'Технический лист'!$A:$B,2,1),(HT90-0.05)))</f>
        <v>1</v>
      </c>
      <c r="HV90" s="15">
        <f>MIN(1,MAX(VLOOKUP(($AJ90-$AI90-$AH90-$AG90-$AF90-$AE90*(1+HV$3))/$AJ90,'Технический лист'!$A:$B,2,1),(HU90-0.05)))</f>
        <v>1</v>
      </c>
      <c r="HW90" s="15">
        <f>MIN(1,MAX(VLOOKUP(($AJ90-$AI90-$AH90-$AG90-$AF90-$AE90*(1+HW$3))/$AJ90,'Технический лист'!$A:$B,2,1),(HV90-0.05)))</f>
        <v>1</v>
      </c>
      <c r="HX90" s="15">
        <f>MIN(1,MAX(VLOOKUP(($AJ90-$AI90-$AH90-$AG90-$AF90-$AE90*(1+HX$3))/$AJ90,'Технический лист'!$A:$B,2,1),(HW90-0.05)))</f>
        <v>1</v>
      </c>
      <c r="HY90" s="15">
        <f>MIN(1,MAX(VLOOKUP(($AJ90-$AI90-$AH90-$AG90-$AF90-$AE90*(1+HY$3))/$AJ90,'Технический лист'!$A:$B,2,1),(HX90-0.05)))</f>
        <v>1</v>
      </c>
      <c r="HZ90" s="15">
        <f>MIN(1,MAX(VLOOKUP(($AJ90-$AI90-$AH90-$AG90-$AF90-$AE90*(1+HZ$3))/$AJ90,'Технический лист'!$A:$B,2,1),(HY90-0.05)))</f>
        <v>1</v>
      </c>
      <c r="IA90" s="15">
        <f>MIN(1,MAX(VLOOKUP(($AJ90-$AI90-$AH90-$AG90-$AF90-$AE90*(1+IA$3))/$AJ90,'Технический лист'!$A:$B,2,1),(HZ90-0.05)))</f>
        <v>1</v>
      </c>
      <c r="IB90" s="15">
        <f>MIN(1,MAX(VLOOKUP(($AJ90-$AI90-$AH90-$AG90-$AF90-$AE90*(1+IB$3))/$AJ90,'Технический лист'!$A:$B,2,1),(IA90-0.05)))</f>
        <v>1</v>
      </c>
      <c r="IC90" s="15">
        <f>MIN(1,MAX(VLOOKUP(($AJ90-$AI90-$AH90-$AG90-$AF90-$AE90*(1+IC$3))/$AJ90,'Технический лист'!$A:$B,2,1),(IB90-0.05)))</f>
        <v>1</v>
      </c>
      <c r="ID90" s="15">
        <f>MIN(1,MAX(VLOOKUP(($AJ90-$AI90-$AH90-$AG90-$AF90-$AE90*(1+ID$3))/$AJ90,'Технический лист'!$A:$B,2,1),(IC90-0.05)))</f>
        <v>1</v>
      </c>
      <c r="IE90" s="15">
        <f>MIN(1,MAX(VLOOKUP(($AJ90-$AI90-$AH90-$AG90-$AF90-$AE90*(1+IE$3))/$AJ90,'Технический лист'!$A:$B,2,1),(ID90-0.05)))</f>
        <v>1</v>
      </c>
      <c r="IF90" s="15">
        <f>MIN(1,MAX(VLOOKUP(($AJ90-$AI90-$AH90-$AG90-$AF90-$AE90*(1+IF$3))/$AJ90,'Технический лист'!$A:$B,2,1),(IE90-0.05)))</f>
        <v>1</v>
      </c>
      <c r="IG90" s="15">
        <f>MIN(1,MAX(VLOOKUP(($AJ90-$AI90-$AH90-$AG90-$AF90-$AE90*(1+IG$3))/$AJ90,'Технический лист'!$A:$B,2,1),(IF90-0.05)))</f>
        <v>1</v>
      </c>
      <c r="IH90" s="15">
        <f>MIN(1,MAX(VLOOKUP(($AJ90-$AI90-$AH90-$AG90-$AF90-$AE90*(1+IH$3))/$AJ90,'Технический лист'!$A:$B,2,1),(IG90-0.05)))</f>
        <v>1</v>
      </c>
      <c r="II90" s="15">
        <f>MIN(1,MAX(VLOOKUP(($AJ90-$AI90-$AH90-$AG90-$AF90-$AE90*(1+II$3))/$AJ90,'Технический лист'!$A:$B,2,1),(IH90-0.05)))</f>
        <v>1</v>
      </c>
      <c r="IJ90" s="15">
        <f>MIN(1,MAX(VLOOKUP(($AJ90-$AI90-$AH90-$AG90-$AF90-$AE90*(1+IJ$3))/$AJ90,'Технический лист'!$A:$B,2,1),(II90-0.05)))</f>
        <v>1</v>
      </c>
      <c r="IK90" s="15">
        <f>MIN(1,MAX(VLOOKUP(($AJ90-$AI90-$AH90-$AG90-$AF90-$AE90*(1+IK$3))/$AJ90,'Технический лист'!$A:$B,2,1),(IJ90-0.05)))</f>
        <v>1</v>
      </c>
      <c r="IL90" s="15">
        <f>MIN(1,MAX(VLOOKUP(($AJ90-$AI90-$AH90-$AG90-$AF90-$AE90*(1+IL$3))/$AJ90,'Технический лист'!$A:$B,2,1),(IK90-0.05)))</f>
        <v>1</v>
      </c>
      <c r="IM90" s="15">
        <f>MIN(1,MAX(VLOOKUP(($AJ90-$AI90-$AH90-$AG90-$AF90-$AE90*(1+IM$3))/$AJ90,'Технический лист'!$A:$B,2,1),(IL90-0.05)))</f>
        <v>1</v>
      </c>
      <c r="IN90" s="15">
        <f>MIN(1,MAX(VLOOKUP(($AJ90-$AI90-$AH90-$AG90-$AF90-$AE90*(1+IN$3))/$AJ90,'Технический лист'!$A:$B,2,1),(IM90-0.05)))</f>
        <v>1</v>
      </c>
      <c r="IO90" s="15">
        <f>MIN(1,MAX(VLOOKUP(($AJ90-$AI90-$AH90-$AG90-$AF90-$AE90*(1+IO$3))/$AJ90,'Технический лист'!$A:$B,2,1),(IN90-0.05)))</f>
        <v>1</v>
      </c>
      <c r="IP90" s="15">
        <f>MIN(1,MAX(VLOOKUP(($AJ90-$AI90-$AH90-$AG90-$AF90-$AE90*(1+IP$3))/$AJ90,'Технический лист'!$A:$B,2,1),(IO90-0.05)))</f>
        <v>1</v>
      </c>
      <c r="IQ90" s="15">
        <f>MIN(1,MAX(VLOOKUP(($AJ90-$AI90-$AH90-$AG90-$AF90-$AE90*(1+IQ$3))/$AJ90,'Технический лист'!$A:$B,2,1),(IP90-0.05)))</f>
        <v>1</v>
      </c>
      <c r="IR90" s="15">
        <f>MIN(1,MAX(VLOOKUP(($AJ90-$AI90-$AH90-$AG90-$AF90-$AE90*(1+IR$3))/$AJ90,'Технический лист'!$A:$B,2,1),(IQ90-0.05)))</f>
        <v>1</v>
      </c>
    </row>
    <row r="91" spans="1:252" ht="58.3">
      <c r="A91" s="89" t="s">
        <v>515</v>
      </c>
      <c r="B91" s="90">
        <v>5</v>
      </c>
      <c r="C91" s="5" t="s">
        <v>68</v>
      </c>
      <c r="D91" s="91">
        <v>32411</v>
      </c>
      <c r="E91" s="91" t="s">
        <v>340</v>
      </c>
      <c r="F91" s="92" t="s">
        <v>75</v>
      </c>
      <c r="G91" s="91" t="s">
        <v>28</v>
      </c>
      <c r="H91" s="91" t="s">
        <v>26</v>
      </c>
      <c r="I91" s="91" t="s">
        <v>164</v>
      </c>
      <c r="J91" s="91" t="s">
        <v>166</v>
      </c>
      <c r="K91" s="91">
        <v>449</v>
      </c>
      <c r="L91" s="85" t="s">
        <v>64</v>
      </c>
      <c r="M91" s="91" t="s">
        <v>190</v>
      </c>
      <c r="N91" s="91" t="s">
        <v>191</v>
      </c>
      <c r="O91" s="91" t="s">
        <v>193</v>
      </c>
      <c r="P91" s="89" t="s">
        <v>241</v>
      </c>
      <c r="Q91" s="91" t="s">
        <v>287</v>
      </c>
      <c r="R91" s="91" t="s">
        <v>267</v>
      </c>
      <c r="S91" s="82">
        <v>77230</v>
      </c>
      <c r="T91" s="82">
        <v>34655582</v>
      </c>
      <c r="U91" s="81">
        <v>1144</v>
      </c>
      <c r="V91" s="81">
        <v>0</v>
      </c>
      <c r="W91" s="82">
        <v>91722590</v>
      </c>
      <c r="X91" s="112">
        <v>67</v>
      </c>
      <c r="Y91" s="112" t="s">
        <v>417</v>
      </c>
      <c r="Z91" s="113">
        <v>5</v>
      </c>
      <c r="AA91" s="113">
        <v>4</v>
      </c>
      <c r="AB91" s="113">
        <v>4</v>
      </c>
      <c r="AC91" s="99">
        <v>1310.3399999999999</v>
      </c>
      <c r="AD91" s="99">
        <f t="shared" si="37"/>
        <v>146.08000000000015</v>
      </c>
      <c r="AE91" s="99">
        <v>1456.42</v>
      </c>
      <c r="AF91" s="98">
        <f>(Z91+AA91+AB91)*'Ставки аренды'!$B$3/X91</f>
        <v>135.82089552238807</v>
      </c>
      <c r="AG91" s="114">
        <v>0</v>
      </c>
      <c r="AH91" s="94">
        <v>0</v>
      </c>
      <c r="AI91" s="115">
        <f>240828/411356*AVERAGE(AJ91,AJ93)</f>
        <v>21190.24089530723</v>
      </c>
      <c r="AJ91" s="117">
        <f>Цены!D23</f>
        <v>35000</v>
      </c>
      <c r="AK91" s="94">
        <f>AJ91/Цены!$B$1</f>
        <v>458.68253271389352</v>
      </c>
      <c r="AL91" s="95">
        <f t="shared" si="24"/>
        <v>1592.2408955223882</v>
      </c>
      <c r="AM91" s="95">
        <f t="shared" si="25"/>
        <v>33407.759104477613</v>
      </c>
      <c r="AN91" s="94">
        <f t="shared" si="22"/>
        <v>22782.481790829617</v>
      </c>
      <c r="AO91" s="118">
        <f t="shared" si="23"/>
        <v>0.3490719488334395</v>
      </c>
      <c r="AP91" s="96">
        <f t="shared" si="26"/>
        <v>4.5492597014925376E-2</v>
      </c>
      <c r="AQ91" s="96">
        <f t="shared" si="27"/>
        <v>4.1612000000000003E-2</v>
      </c>
      <c r="AR91" s="96">
        <f t="shared" si="28"/>
        <v>0.91469827467418019</v>
      </c>
      <c r="AS91" s="122">
        <v>1</v>
      </c>
      <c r="AT91" s="121">
        <f t="shared" si="29"/>
        <v>77230</v>
      </c>
      <c r="AU91" s="83">
        <v>0.9</v>
      </c>
      <c r="AV91" s="119">
        <f t="shared" si="30"/>
        <v>0.34407850883343949</v>
      </c>
      <c r="AW91" s="120">
        <f t="shared" si="31"/>
        <v>5.0486037014925378E-2</v>
      </c>
      <c r="AX91" s="120">
        <f t="shared" si="32"/>
        <v>4.6605440000000005E-2</v>
      </c>
      <c r="AY91" s="120">
        <f t="shared" si="33"/>
        <v>0.92313524205161634</v>
      </c>
      <c r="AZ91" s="15">
        <f>MIN(IF($AU91=100%,1,1+VLOOKUP(($AJ91-$AI91-$AH91-$AG91-$AF91-$AE91*(1+AZ$3))/$AJ91,'Технический лист'!$I:$J,2,1)-VLOOKUP($AO91,'Технический лист'!$I:$J,2,1)),1+(1-$AU91))</f>
        <v>1</v>
      </c>
      <c r="BA91" s="15">
        <f>MIN(IF($AU91=100%,1,1+VLOOKUP(($AJ91-$AI91-$AH91-$AG91-$AF91-$AE91*(1+BA$3))/$AJ91,'Технический лист'!$I:$J,2,1)-VLOOKUP($AO91,'Технический лист'!$I:$J,2,1)),1+(1-$AU91))</f>
        <v>1</v>
      </c>
      <c r="BB91" s="15">
        <f>MIN(IF($AU91=100%,1,1+VLOOKUP(($AJ91-$AI91-$AH91-$AG91-$AF91-$AE91*(1+BB$3))/$AJ91,'Технический лист'!$I:$J,2,1)-VLOOKUP($AO91,'Технический лист'!$I:$J,2,1)),1+(1-$AU91))</f>
        <v>1</v>
      </c>
      <c r="BC91" s="15">
        <f>MIN(IF($AU91=100%,1,1+VLOOKUP(($AJ91-$AI91-$AH91-$AG91-$AF91-$AE91*(1+BC$3))/$AJ91,'Технический лист'!$I:$J,2,1)-VLOOKUP($AO91,'Технический лист'!$I:$J,2,1)),1+(1-$AU91))</f>
        <v>1</v>
      </c>
      <c r="BD91" s="15">
        <f>MIN(IF($AU91=100%,1,1+VLOOKUP(($AJ91-$AI91-$AH91-$AG91-$AF91-$AE91*(1+BD$3))/$AJ91,'Технический лист'!$I:$J,2,1)-VLOOKUP($AO91,'Технический лист'!$I:$J,2,1)),1+(1-$AU91))</f>
        <v>1</v>
      </c>
      <c r="BE91" s="15">
        <f>MIN(IF($AU91=100%,1,1+VLOOKUP(($AJ91-$AI91-$AH91-$AG91-$AF91-$AE91*(1+BE$3))/$AJ91,'Технический лист'!$I:$J,2,1)-VLOOKUP($AO91,'Технический лист'!$I:$J,2,1)),1+(1-$AU91))</f>
        <v>1</v>
      </c>
      <c r="BF91" s="15">
        <f>MIN(IF($AU91=100%,1,1+VLOOKUP(($AJ91-$AI91-$AH91-$AG91-$AF91-$AE91*(1+BF$3))/$AJ91,'Технический лист'!$I:$J,2,1)-VLOOKUP($AO91,'Технический лист'!$I:$J,2,1)),1+(1-$AU91))</f>
        <v>1</v>
      </c>
      <c r="BG91" s="15">
        <f>MIN(IF($AU91=100%,1,1+VLOOKUP(($AJ91-$AI91-$AH91-$AG91-$AF91-$AE91*(1+BG$3))/$AJ91,'Технический лист'!$I:$J,2,1)-VLOOKUP($AO91,'Технический лист'!$I:$J,2,1)),1+(1-$AU91))</f>
        <v>1</v>
      </c>
      <c r="BH91" s="15">
        <f>MIN(IF($AU91=100%,1,1+VLOOKUP(($AJ91-$AI91-$AH91-$AG91-$AF91-$AE91*(1+BH$3))/$AJ91,'Технический лист'!$I:$J,2,1)-VLOOKUP($AO91,'Технический лист'!$I:$J,2,1)),1+(1-$AU91))</f>
        <v>1</v>
      </c>
      <c r="BI91" s="15">
        <f>MIN(IF($AU91=100%,1,1+VLOOKUP(($AJ91-$AI91-$AH91-$AG91-$AF91-$AE91*(1+BI$3))/$AJ91,'Технический лист'!$I:$J,2,1)-VLOOKUP($AO91,'Технический лист'!$I:$J,2,1)),1+(1-$AU91))</f>
        <v>1</v>
      </c>
      <c r="BJ91" s="15">
        <f>MIN(IF($AU91=100%,1,1+VLOOKUP(($AJ91-$AI91-$AH91-$AG91-$AF91-$AE91*(1+BJ$3))/$AJ91,'Технический лист'!$I:$J,2,1)-VLOOKUP($AO91,'Технический лист'!$I:$J,2,1)),1+(1-$AU91))</f>
        <v>1</v>
      </c>
      <c r="BK91" s="15">
        <f>MIN(IF($AU91=100%,1,1+VLOOKUP(($AJ91-$AI91-$AH91-$AG91-$AF91-$AE91*(1+BK$3))/$AJ91,'Технический лист'!$I:$J,2,1)-VLOOKUP($AO91,'Технический лист'!$I:$J,2,1)),1+(1-$AU91))</f>
        <v>1</v>
      </c>
      <c r="BL91" s="15">
        <f>MIN(IF($AU91=100%,1,1+VLOOKUP(($AJ91-$AI91-$AH91-$AG91-$AF91-$AE91*(1+BL$3))/$AJ91,'Технический лист'!$I:$J,2,1)-VLOOKUP($AO91,'Технический лист'!$I:$J,2,1)),1+(1-$AU91))</f>
        <v>1</v>
      </c>
      <c r="BM91" s="15">
        <f>MIN(IF($AU91=100%,1,1+VLOOKUP(($AJ91-$AI91-$AH91-$AG91-$AF91-$AE91*(1+BM$3))/$AJ91,'Технический лист'!$I:$J,2,1)-VLOOKUP($AO91,'Технический лист'!$I:$J,2,1)),1+(1-$AU91))</f>
        <v>1</v>
      </c>
      <c r="BN91" s="15">
        <f>MIN(IF($AU91=100%,1,1+VLOOKUP(($AJ91-$AI91-$AH91-$AG91-$AF91-$AE91*(1+BN$3))/$AJ91,'Технический лист'!$I:$J,2,1)-VLOOKUP($AO91,'Технический лист'!$I:$J,2,1)),1+(1-$AU91))</f>
        <v>1</v>
      </c>
      <c r="BO91" s="15">
        <f>MIN(IF($AU91=100%,1,1+VLOOKUP(($AJ91-$AI91-$AH91-$AG91-$AF91-$AE91*(1+BO$3))/$AJ91,'Технический лист'!$I:$J,2,1)-VLOOKUP($AO91,'Технический лист'!$I:$J,2,1)),1+(1-$AU91))</f>
        <v>1</v>
      </c>
      <c r="BP91" s="15">
        <f>MIN(IF($AU91=100%,1,1+VLOOKUP(($AJ91-$AI91-$AH91-$AG91-$AF91-$AE91*(1+BP$3))/$AJ91,'Технический лист'!$I:$J,2,1)-VLOOKUP($AO91,'Технический лист'!$I:$J,2,1)),1+(1-$AU91))</f>
        <v>1</v>
      </c>
      <c r="BQ91" s="15">
        <f>MIN(IF($AU91=100%,1,1+VLOOKUP(($AJ91-$AI91-$AH91-$AG91-$AF91-$AE91*(1+BQ$3))/$AJ91,'Технический лист'!$I:$J,2,1)-VLOOKUP($AO91,'Технический лист'!$I:$J,2,1)),1+(1-$AU91))</f>
        <v>1</v>
      </c>
      <c r="BR91" s="15">
        <f>MIN(IF($AU91=100%,1,1+VLOOKUP(($AJ91-$AI91-$AH91-$AG91-$AF91-$AE91*(1+BR$3))/$AJ91,'Технический лист'!$I:$J,2,1)-VLOOKUP($AO91,'Технический лист'!$I:$J,2,1)),1+(1-$AU91))</f>
        <v>1</v>
      </c>
      <c r="BS91" s="15">
        <f>MIN(IF($AU91=100%,1,1+VLOOKUP(($AJ91-$AI91-$AH91-$AG91-$AF91-$AE91*(1+BS$3))/$AJ91,'Технический лист'!$I:$J,2,1)-VLOOKUP($AO91,'Технический лист'!$I:$J,2,1)),1+(1-$AU91))</f>
        <v>1</v>
      </c>
      <c r="BT91" s="15">
        <f>MIN(IF($AU91=100%,1,1+VLOOKUP(($AJ91-$AI91-$AH91-$AG91-$AF91-$AE91*(1+BT$3))/$AJ91,'Технический лист'!$I:$J,2,1)-VLOOKUP($AO91,'Технический лист'!$I:$J,2,1)),1+(1-$AU91))</f>
        <v>1</v>
      </c>
      <c r="BU91" s="15">
        <f>MIN(IF($AU91=100%,1,1+VLOOKUP(($AJ91-$AI91-$AH91-$AG91-$AF91-$AE91*(1+BU$3))/$AJ91,'Технический лист'!$I:$J,2,1)-VLOOKUP($AO91,'Технический лист'!$I:$J,2,1)),1+(1-$AU91))</f>
        <v>1</v>
      </c>
      <c r="BV91" s="15">
        <f>MIN(IF($AU91=100%,1,1+VLOOKUP(($AJ91-$AI91-$AH91-$AG91-$AF91-$AE91*(1+BV$3))/$AJ91,'Технический лист'!$I:$J,2,1)-VLOOKUP($AO91,'Технический лист'!$I:$J,2,1)),1+(1-$AU91))</f>
        <v>1</v>
      </c>
      <c r="BW91" s="15">
        <f>MIN(IF($AU91=100%,1,1+VLOOKUP(($AJ91-$AI91-$AH91-$AG91-$AF91-$AE91*(1+BW$3))/$AJ91,'Технический лист'!$I:$J,2,1)-VLOOKUP($AO91,'Технический лист'!$I:$J,2,1)),1+(1-$AU91))</f>
        <v>1</v>
      </c>
      <c r="BX91" s="15">
        <f>MIN(IF($AU91=100%,1,1+VLOOKUP(($AJ91-$AI91-$AH91-$AG91-$AF91-$AE91*(1+BX$3))/$AJ91,'Технический лист'!$I:$J,2,1)-VLOOKUP($AO91,'Технический лист'!$I:$J,2,1)),1+(1-$AU91))</f>
        <v>1</v>
      </c>
      <c r="BY91" s="15">
        <f>MIN(IF($AU91=100%,1,1+VLOOKUP(($AJ91-$AI91-$AH91-$AG91-$AF91-$AE91*(1+BY$3))/$AJ91,'Технический лист'!$I:$J,2,1)-VLOOKUP($AO91,'Технический лист'!$I:$J,2,1)),1+(1-$AU91))</f>
        <v>1</v>
      </c>
      <c r="BZ91" s="15">
        <f>MIN(IF($AU91=100%,1,1+VLOOKUP(($AJ91-$AI91-$AH91-$AG91-$AF91-$AE91*(1+BZ$3))/$AJ91,'Технический лист'!$I:$J,2,1)-VLOOKUP($AO91,'Технический лист'!$I:$J,2,1)),1+(1-$AU91))</f>
        <v>1</v>
      </c>
      <c r="CA91" s="15">
        <f>MIN(IF($AU91=100%,1,1+VLOOKUP(($AJ91-$AI91-$AH91-$AG91-$AF91-$AE91*(1+CA$3))/$AJ91,'Технический лист'!$I:$J,2,1)-VLOOKUP($AO91,'Технический лист'!$I:$J,2,1)),1+(1-$AU91))</f>
        <v>1</v>
      </c>
      <c r="CB91" s="15">
        <f>MIN(IF($AU91=100%,1,1+VLOOKUP(($AJ91-$AI91-$AH91-$AG91-$AF91-$AE91*(1+CB$3))/$AJ91,'Технический лист'!$I:$J,2,1)-VLOOKUP($AO91,'Технический лист'!$I:$J,2,1)),1+(1-$AU91))</f>
        <v>1</v>
      </c>
      <c r="CC91" s="15">
        <f>MIN(IF($AU91=100%,1,1+VLOOKUP(($AJ91-$AI91-$AH91-$AG91-$AF91-$AE91*(1+CC$3))/$AJ91,'Технический лист'!$I:$J,2,1)-VLOOKUP($AO91,'Технический лист'!$I:$J,2,1)),1+(1-$AU91))</f>
        <v>1</v>
      </c>
      <c r="CD91" s="15">
        <f>MIN(IF($AU91=100%,1,1+VLOOKUP(($AJ91-$AI91-$AH91-$AG91-$AF91-$AE91*(1+CD$3))/$AJ91,'Технический лист'!$I:$J,2,1)-VLOOKUP($AO91,'Технический лист'!$I:$J,2,1)),1+(1-$AU91))</f>
        <v>1</v>
      </c>
      <c r="CE91" s="15">
        <f>MIN(IF($AU91=100%,1,1+VLOOKUP(($AJ91-$AI91-$AH91-$AG91-$AF91-$AE91*(1+CE$3))/$AJ91,'Технический лист'!$I:$J,2,1)-VLOOKUP($AO91,'Технический лист'!$I:$J,2,1)),1+(1-$AU91))</f>
        <v>1</v>
      </c>
      <c r="CF91" s="15">
        <f>MIN(IF($AU91=100%,1,1+VLOOKUP(($AJ91-$AI91-$AH91-$AG91-$AF91-$AE91*(1+CF$3))/$AJ91,'Технический лист'!$I:$J,2,1)-VLOOKUP($AO91,'Технический лист'!$I:$J,2,1)),1+(1-$AU91))</f>
        <v>1</v>
      </c>
      <c r="CG91" s="15">
        <f>MIN(IF($AU91=100%,1,1+VLOOKUP(($AJ91-$AI91-$AH91-$AG91-$AF91-$AE91*(1+CG$3))/$AJ91,'Технический лист'!$I:$J,2,1)-VLOOKUP($AO91,'Технический лист'!$I:$J,2,1)),1+(1-$AU91))</f>
        <v>1</v>
      </c>
      <c r="CH91" s="15">
        <f>MIN(IF($AU91=100%,1,1+VLOOKUP(($AJ91-$AI91-$AH91-$AG91-$AF91-$AE91*(1+CH$3))/$AJ91,'Технический лист'!$I:$J,2,1)-VLOOKUP($AO91,'Технический лист'!$I:$J,2,1)),1+(1-$AU91))</f>
        <v>1</v>
      </c>
      <c r="CI91" s="15">
        <f>MIN(IF($AU91=100%,1,1+VLOOKUP(($AJ91-$AI91-$AH91-$AG91-$AF91-$AE91*(1+CI$3))/$AJ91,'Технический лист'!$I:$J,2,1)-VLOOKUP($AO91,'Технический лист'!$I:$J,2,1)),1+(1-$AU91))</f>
        <v>1</v>
      </c>
      <c r="CJ91" s="15">
        <f>MIN(IF($AU91=100%,1,1+VLOOKUP(($AJ91-$AI91-$AH91-$AG91-$AF91-$AE91*(1+CJ$3))/$AJ91,'Технический лист'!$I:$J,2,1)-VLOOKUP($AO91,'Технический лист'!$I:$J,2,1)),1+(1-$AU91))</f>
        <v>1</v>
      </c>
      <c r="CK91" s="15">
        <f>MIN(IF($AU91=100%,1,1+VLOOKUP(($AJ91-$AI91-$AH91-$AG91-$AF91-$AE91*(1+CK$3))/$AJ91,'Технический лист'!$I:$J,2,1)-VLOOKUP($AO91,'Технический лист'!$I:$J,2,1)),1+(1-$AU91))</f>
        <v>1</v>
      </c>
      <c r="CL91" s="15">
        <f>MIN(IF($AU91=100%,1,1+VLOOKUP(($AJ91-$AI91-$AH91-$AG91-$AF91-$AE91*(1+CL$3))/$AJ91,'Технический лист'!$I:$J,2,1)-VLOOKUP($AO91,'Технический лист'!$I:$J,2,1)),1+(1-$AU91))</f>
        <v>1</v>
      </c>
      <c r="CM91" s="15">
        <f>MIN(IF($AU91=100%,1,1+VLOOKUP(($AJ91-$AI91-$AH91-$AG91-$AF91-$AE91*(1+CM$3))/$AJ91,'Технический лист'!$I:$J,2,1)-VLOOKUP($AO91,'Технический лист'!$I:$J,2,1)),1+(1-$AU91))</f>
        <v>1</v>
      </c>
      <c r="CN91" s="15">
        <f>MIN(IF($AU91=100%,1,1+VLOOKUP(($AJ91-$AI91-$AH91-$AG91-$AF91-$AE91*(1+CN$3))/$AJ91,'Технический лист'!$I:$J,2,1)-VLOOKUP($AO91,'Технический лист'!$I:$J,2,1)),1+(1-$AU91))</f>
        <v>1</v>
      </c>
      <c r="CO91" s="15">
        <f>MIN(IF($AU91=100%,1,1+VLOOKUP(($AJ91-$AI91-$AH91-$AG91-$AF91-$AE91*(1+CO$3))/$AJ91,'Технический лист'!$I:$J,2,1)-VLOOKUP($AO91,'Технический лист'!$I:$J,2,1)),1+(1-$AU91))</f>
        <v>1</v>
      </c>
      <c r="CP91" s="15">
        <f>MIN(IF($AU91=100%,1,1+VLOOKUP(($AJ91-$AI91-$AH91-$AG91-$AF91-$AE91*(1+CP$3))/$AJ91,'Технический лист'!$I:$J,2,1)-VLOOKUP($AO91,'Технический лист'!$I:$J,2,1)),1+(1-$AU91))</f>
        <v>1</v>
      </c>
      <c r="CQ91" s="15">
        <f>MIN(IF($AU91=100%,1,1+VLOOKUP(($AJ91-$AI91-$AH91-$AG91-$AF91-$AE91*(1+CQ$3))/$AJ91,'Технический лист'!$I:$J,2,1)-VLOOKUP($AO91,'Технический лист'!$I:$J,2,1)),1+(1-$AU91))</f>
        <v>1</v>
      </c>
      <c r="CR91" s="15">
        <f>MIN(IF($AU91=100%,1,1+VLOOKUP(($AJ91-$AI91-$AH91-$AG91-$AF91-$AE91*(1+CR$3))/$AJ91,'Технический лист'!$I:$J,2,1)-VLOOKUP($AO91,'Технический лист'!$I:$J,2,1)),1+(1-$AU91))</f>
        <v>1</v>
      </c>
      <c r="CS91" s="15">
        <f>MIN(IF($AU91=100%,1,1+VLOOKUP(($AJ91-$AI91-$AH91-$AG91-$AF91-$AE91*(1+CS$3))/$AJ91,'Технический лист'!$I:$J,2,1)-VLOOKUP($AO91,'Технический лист'!$I:$J,2,1)),1+(1-$AU91))</f>
        <v>1</v>
      </c>
      <c r="CT91" s="15">
        <f>MIN(IF($AU91=100%,1,1+VLOOKUP(($AJ91-$AI91-$AH91-$AG91-$AF91-$AE91*(1+CT$3))/$AJ91,'Технический лист'!$I:$J,2,1)-VLOOKUP($AO91,'Технический лист'!$I:$J,2,1)),1+(1-$AU91))</f>
        <v>1</v>
      </c>
      <c r="CU91" s="15">
        <f>MIN(IF($AU91=100%,1,1+VLOOKUP(($AJ91-$AI91-$AH91-$AG91-$AF91-$AE91*(1+CU$3))/$AJ91,'Технический лист'!$I:$J,2,1)-VLOOKUP($AO91,'Технический лист'!$I:$J,2,1)),1+(1-$AU91))</f>
        <v>1</v>
      </c>
      <c r="CV91" s="15">
        <f>MIN(IF($AU91=100%,1,1+VLOOKUP(($AJ91-$AI91-$AH91-$AG91-$AF91-$AE91*(1+CV$3))/$AJ91,'Технический лист'!$I:$J,2,1)-VLOOKUP($AO91,'Технический лист'!$I:$J,2,1)),1+(1-$AU91))</f>
        <v>1</v>
      </c>
      <c r="CW91" s="15">
        <f>MIN(IF($AU91=100%,1,1+VLOOKUP(($AJ91-$AI91-$AH91-$AG91-$AF91-$AE91*(1+CW$3))/$AJ91,'Технический лист'!$I:$J,2,1)-VLOOKUP($AO91,'Технический лист'!$I:$J,2,1)),1+(1-$AU91))</f>
        <v>1</v>
      </c>
      <c r="CX91" s="15">
        <f>MIN(IF($AU91=100%,1,1+VLOOKUP(($AJ91-$AI91-$AH91-$AG91-$AF91-$AE91*(1+CX$3))/$AJ91,'Технический лист'!$I:$J,2,1)-VLOOKUP($AO91,'Технический лист'!$I:$J,2,1)),1+(1-$AU91))</f>
        <v>1</v>
      </c>
      <c r="CY91" s="15">
        <f>MIN(IF($AU91=100%,1,1+VLOOKUP(($AJ91-$AI91-$AH91-$AG91-$AF91-$AE91*(1+CY$3))/$AJ91,'Технический лист'!$I:$J,2,1)-VLOOKUP($AO91,'Технический лист'!$I:$J,2,1)),1+(1-$AU91))</f>
        <v>1</v>
      </c>
      <c r="CZ91" s="15">
        <f>MIN(IF($AU91=100%,1,1+VLOOKUP(($AJ91-$AI91-$AH91-$AG91-$AF91-$AE91*(1+CZ$3))/$AJ91,'Технический лист'!$I:$J,2,1)-VLOOKUP($AO91,'Технический лист'!$I:$J,2,1)),1+(1-$AU91))</f>
        <v>1</v>
      </c>
      <c r="DA91" s="15">
        <f>MIN(IF($AU91=100%,1,1+VLOOKUP(($AJ91-$AI91-$AH91-$AG91-$AF91-$AE91*(1+DA$3))/$AJ91,'Технический лист'!$I:$J,2,1)-VLOOKUP($AO91,'Технический лист'!$I:$J,2,1)),1+(1-$AU91))</f>
        <v>1</v>
      </c>
      <c r="DB91" s="15">
        <f>MIN(IF($AU91=100%,1,1+VLOOKUP(($AJ91-$AI91-$AH91-$AG91-$AF91-$AE91*(1+DB$3))/$AJ91,'Технический лист'!$I:$J,2,1)-VLOOKUP($AO91,'Технический лист'!$I:$J,2,1)),1+(1-$AU91))</f>
        <v>1</v>
      </c>
      <c r="DC91" s="15">
        <f>MIN(IF($AU91=100%,1,1+VLOOKUP(($AJ91-$AI91-$AH91-$AG91-$AF91-$AE91*(1+DC$3))/$AJ91,'Технический лист'!$I:$J,2,1)-VLOOKUP($AO91,'Технический лист'!$I:$J,2,1)),1+(1-$AU91))</f>
        <v>1</v>
      </c>
      <c r="DD91" s="15">
        <f>MIN(IF($AU91=100%,1,1+VLOOKUP(($AJ91-$AI91-$AH91-$AG91-$AF91-$AE91*(1+DD$3))/$AJ91,'Технический лист'!$I:$J,2,1)-VLOOKUP($AO91,'Технический лист'!$I:$J,2,1)),1+(1-$AU91))</f>
        <v>1</v>
      </c>
      <c r="DE91" s="15">
        <f>MIN(IF($AU91=100%,1,1+VLOOKUP(($AJ91-$AI91-$AH91-$AG91-$AF91-$AE91*(1+DE$3))/$AJ91,'Технический лист'!$I:$J,2,1)-VLOOKUP($AO91,'Технический лист'!$I:$J,2,1)),1+(1-$AU91))</f>
        <v>1</v>
      </c>
      <c r="DF91" s="15">
        <f>MIN(IF($AU91=100%,1,1+VLOOKUP(($AJ91-$AI91-$AH91-$AG91-$AF91-$AE91*(1+DF$3))/$AJ91,'Технический лист'!$I:$J,2,1)-VLOOKUP($AO91,'Технический лист'!$I:$J,2,1)),1+(1-$AU91))</f>
        <v>1</v>
      </c>
      <c r="DG91" s="15">
        <f>MIN(IF($AU91=100%,1,1+VLOOKUP(($AJ91-$AI91-$AH91-$AG91-$AF91-$AE91*(1+DG$3))/$AJ91,'Технический лист'!$I:$J,2,1)-VLOOKUP($AO91,'Технический лист'!$I:$J,2,1)),1+(1-$AU91))</f>
        <v>1</v>
      </c>
      <c r="DH91" s="15">
        <f>MIN(IF($AU91=100%,1,1+VLOOKUP(($AJ91-$AI91-$AH91-$AG91-$AF91-$AE91*(1+DH$3))/$AJ91,'Технический лист'!$I:$J,2,1)-VLOOKUP($AO91,'Технический лист'!$I:$J,2,1)),1+(1-$AU91))</f>
        <v>1</v>
      </c>
      <c r="DI91" s="15">
        <f>MIN(IF($AU91=100%,1,1+VLOOKUP(($AJ91-$AI91-$AH91-$AG91-$AF91-$AE91*(1+DI$3))/$AJ91,'Технический лист'!$I:$J,2,1)-VLOOKUP($AO91,'Технический лист'!$I:$J,2,1)),1+(1-$AU91))</f>
        <v>1</v>
      </c>
      <c r="DJ91" s="15">
        <f>MIN(IF($AU91=100%,1,1+VLOOKUP(($AJ91-$AI91-$AH91-$AG91-$AF91-$AE91*(1+DJ$3))/$AJ91,'Технический лист'!$I:$J,2,1)-VLOOKUP($AO91,'Технический лист'!$I:$J,2,1)),1+(1-$AU91))</f>
        <v>1</v>
      </c>
      <c r="DK91" s="15">
        <f>MIN(IF($AU91=100%,1,1+VLOOKUP(($AJ91-$AI91-$AH91-$AG91-$AF91-$AE91*(1+DK$3))/$AJ91,'Технический лист'!$I:$J,2,1)-VLOOKUP($AO91,'Технический лист'!$I:$J,2,1)),1+(1-$AU91))</f>
        <v>1</v>
      </c>
      <c r="DL91" s="15">
        <f>MIN(IF($AU91=100%,1,1+VLOOKUP(($AJ91-$AI91-$AH91-$AG91-$AF91-$AE91*(1+DL$3))/$AJ91,'Технический лист'!$I:$J,2,1)-VLOOKUP($AO91,'Технический лист'!$I:$J,2,1)),1+(1-$AU91))</f>
        <v>1</v>
      </c>
      <c r="DM91" s="15">
        <f>MIN(IF($AU91=100%,1,1+VLOOKUP(($AJ91-$AI91-$AH91-$AG91-$AF91-$AE91*(1+DM$3))/$AJ91,'Технический лист'!$I:$J,2,1)-VLOOKUP($AO91,'Технический лист'!$I:$J,2,1)),1+(1-$AU91))</f>
        <v>1</v>
      </c>
      <c r="DN91" s="15">
        <f>MIN(IF($AU91=100%,1,1+VLOOKUP(($AJ91-$AI91-$AH91-$AG91-$AF91-$AE91*(1+DN$3))/$AJ91,'Технический лист'!$I:$J,2,1)-VLOOKUP($AO91,'Технический лист'!$I:$J,2,1)),1+(1-$AU91))</f>
        <v>1</v>
      </c>
      <c r="DO91" s="15">
        <f>MIN(IF($AU91=100%,1,1+VLOOKUP(($AJ91-$AI91-$AH91-$AG91-$AF91-$AE91*(1+DO$3))/$AJ91,'Технический лист'!$I:$J,2,1)-VLOOKUP($AO91,'Технический лист'!$I:$J,2,1)),1+(1-$AU91))</f>
        <v>1</v>
      </c>
      <c r="DP91" s="15">
        <f>MIN(IF($AU91=100%,1,1+VLOOKUP(($AJ91-$AI91-$AH91-$AG91-$AF91-$AE91*(1+DP$3))/$AJ91,'Технический лист'!$I:$J,2,1)-VLOOKUP($AO91,'Технический лист'!$I:$J,2,1)),1+(1-$AU91))</f>
        <v>1</v>
      </c>
      <c r="DQ91" s="15">
        <f>MIN(IF($AU91=100%,1,1+VLOOKUP(($AJ91-$AI91-$AH91-$AG91-$AF91-$AE91*(1+DQ$3))/$AJ91,'Технический лист'!$I:$J,2,1)-VLOOKUP($AO91,'Технический лист'!$I:$J,2,1)),1+(1-$AU91))</f>
        <v>1</v>
      </c>
      <c r="DR91" s="15">
        <f>MIN(IF($AU91=100%,1,1+VLOOKUP(($AJ91-$AI91-$AH91-$AG91-$AF91-$AE91*(1+DR$3))/$AJ91,'Технический лист'!$I:$J,2,1)-VLOOKUP($AO91,'Технический лист'!$I:$J,2,1)),1+(1-$AU91))</f>
        <v>1</v>
      </c>
      <c r="DS91" s="15">
        <f>MIN(IF($AU91=100%,1,1+VLOOKUP(($AJ91-$AI91-$AH91-$AG91-$AF91-$AE91*(1+DS$3))/$AJ91,'Технический лист'!$I:$J,2,1)-VLOOKUP($AO91,'Технический лист'!$I:$J,2,1)),1+(1-$AU91))</f>
        <v>1</v>
      </c>
      <c r="DT91" s="15">
        <f>MIN(IF($AU91=100%,1,1+VLOOKUP(($AJ91-$AI91-$AH91-$AG91-$AF91-$AE91*(1+DT$3))/$AJ91,'Технический лист'!$I:$J,2,1)-VLOOKUP($AO91,'Технический лист'!$I:$J,2,1)),1+(1-$AU91))</f>
        <v>1</v>
      </c>
      <c r="DU91" s="15">
        <f>MIN(IF($AU91=100%,1,1+VLOOKUP(($AJ91-$AI91-$AH91-$AG91-$AF91-$AE91*(1+DU$3))/$AJ91,'Технический лист'!$I:$J,2,1)-VLOOKUP($AO91,'Технический лист'!$I:$J,2,1)),1+(1-$AU91))</f>
        <v>1</v>
      </c>
      <c r="DV91" s="15">
        <f>MIN(IF($AU91=100%,1,1+VLOOKUP(($AJ91-$AI91-$AH91-$AG91-$AF91-$AE91*(1+DV$3))/$AJ91,'Технический лист'!$I:$J,2,1)-VLOOKUP($AO91,'Технический лист'!$I:$J,2,1)),1+(1-$AU91))</f>
        <v>1</v>
      </c>
      <c r="DW91" s="15">
        <f>MIN(IF($AU91=100%,1,1+VLOOKUP(($AJ91-$AI91-$AH91-$AG91-$AF91-$AE91*(1+DW$3))/$AJ91,'Технический лист'!$I:$J,2,1)-VLOOKUP($AO91,'Технический лист'!$I:$J,2,1)),1+(1-$AU91))</f>
        <v>1</v>
      </c>
      <c r="DX91" s="15">
        <f>MIN(IF($AU91=100%,1,1+VLOOKUP(($AJ91-$AI91-$AH91-$AG91-$AF91-$AE91*(1+DX$3))/$AJ91,'Технический лист'!$I:$J,2,1)-VLOOKUP($AO91,'Технический лист'!$I:$J,2,1)),1+(1-$AU91))</f>
        <v>1</v>
      </c>
      <c r="DY91" s="15">
        <f>MIN(IF($AU91=100%,1,1+VLOOKUP(($AJ91-$AI91-$AH91-$AG91-$AF91-$AE91*(1+DY$3))/$AJ91,'Технический лист'!$I:$J,2,1)-VLOOKUP($AO91,'Технический лист'!$I:$J,2,1)),1+(1-$AU91))</f>
        <v>1</v>
      </c>
      <c r="DZ91" s="15">
        <f>MIN(IF($AU91=100%,1,1+VLOOKUP(($AJ91-$AI91-$AH91-$AG91-$AF91-$AE91*(1+DZ$3))/$AJ91,'Технический лист'!$I:$J,2,1)-VLOOKUP($AO91,'Технический лист'!$I:$J,2,1)),1+(1-$AU91))</f>
        <v>1</v>
      </c>
      <c r="EA91" s="15">
        <f>MIN(IF($AU91=100%,1,1+VLOOKUP(($AJ91-$AI91-$AH91-$AG91-$AF91-$AE91*(1+EA$3))/$AJ91,'Технический лист'!$I:$J,2,1)-VLOOKUP($AO91,'Технический лист'!$I:$J,2,1)),1+(1-$AU91))</f>
        <v>1</v>
      </c>
      <c r="EB91" s="15">
        <f>MIN(IF($AU91=100%,1,1+VLOOKUP(($AJ91-$AI91-$AH91-$AG91-$AF91-$AE91*(1+EB$3))/$AJ91,'Технический лист'!$I:$J,2,1)-VLOOKUP($AO91,'Технический лист'!$I:$J,2,1)),1+(1-$AU91))</f>
        <v>1</v>
      </c>
      <c r="EC91" s="15">
        <f>MIN(IF($AU91=100%,1,1+VLOOKUP(($AJ91-$AI91-$AH91-$AG91-$AF91-$AE91*(1+EC$3))/$AJ91,'Технический лист'!$I:$J,2,1)-VLOOKUP($AO91,'Технический лист'!$I:$J,2,1)),1+(1-$AU91))</f>
        <v>1</v>
      </c>
      <c r="ED91" s="15">
        <f>MIN(IF($AU91=100%,1,1+VLOOKUP(($AJ91-$AI91-$AH91-$AG91-$AF91-$AE91*(1+ED$3))/$AJ91,'Технический лист'!$I:$J,2,1)-VLOOKUP($AO91,'Технический лист'!$I:$J,2,1)),1+(1-$AU91))</f>
        <v>1</v>
      </c>
      <c r="EE91" s="15">
        <f>MIN(IF($AU91=100%,1,1+VLOOKUP(($AJ91-$AI91-$AH91-$AG91-$AF91-$AE91*(1+EE$3))/$AJ91,'Технический лист'!$I:$J,2,1)-VLOOKUP($AO91,'Технический лист'!$I:$J,2,1)),1+(1-$AU91))</f>
        <v>1</v>
      </c>
      <c r="EF91" s="15">
        <f>MIN(IF($AU91=100%,1,1+VLOOKUP(($AJ91-$AI91-$AH91-$AG91-$AF91-$AE91*(1+EF$3))/$AJ91,'Технический лист'!$I:$J,2,1)-VLOOKUP($AO91,'Технический лист'!$I:$J,2,1)),1+(1-$AU91))</f>
        <v>1</v>
      </c>
      <c r="EG91" s="15">
        <f>MIN(IF($AU91=100%,1,1+VLOOKUP(($AJ91-$AI91-$AH91-$AG91-$AF91-$AE91*(1+EG$3))/$AJ91,'Технический лист'!$I:$J,2,1)-VLOOKUP($AO91,'Технический лист'!$I:$J,2,1)),1+(1-$AU91))</f>
        <v>1</v>
      </c>
      <c r="EH91" s="15">
        <f>MIN(IF($AU91=100%,1,1+VLOOKUP(($AJ91-$AI91-$AH91-$AG91-$AF91-$AE91*(1+EH$3))/$AJ91,'Технический лист'!$I:$J,2,1)-VLOOKUP($AO91,'Технический лист'!$I:$J,2,1)),1+(1-$AU91))</f>
        <v>1</v>
      </c>
      <c r="EI91" s="15">
        <f>MIN(IF($AU91=100%,1,1+VLOOKUP(($AJ91-$AI91-$AH91-$AG91-$AF91-$AE91*(1+EI$3))/$AJ91,'Технический лист'!$I:$J,2,1)-VLOOKUP($AO91,'Технический лист'!$I:$J,2,1)),1+(1-$AU91))</f>
        <v>1</v>
      </c>
      <c r="EJ91" s="15">
        <f>MIN(IF($AU91=100%,1,1+VLOOKUP(($AJ91-$AI91-$AH91-$AG91-$AF91-$AE91*(1+EJ$3))/$AJ91,'Технический лист'!$I:$J,2,1)-VLOOKUP($AO91,'Технический лист'!$I:$J,2,1)),1+(1-$AU91))</f>
        <v>1</v>
      </c>
      <c r="EK91" s="15">
        <f>MIN(IF($AU91=100%,1,1+VLOOKUP(($AJ91-$AI91-$AH91-$AG91-$AF91-$AE91*(1+EK$3))/$AJ91,'Технический лист'!$I:$J,2,1)-VLOOKUP($AO91,'Технический лист'!$I:$J,2,1)),1+(1-$AU91))</f>
        <v>1</v>
      </c>
      <c r="EL91" s="15">
        <f>MIN(IF($AU91=100%,1,1+VLOOKUP(($AJ91-$AI91-$AH91-$AG91-$AF91-$AE91*(1+EL$3))/$AJ91,'Технический лист'!$I:$J,2,1)-VLOOKUP($AO91,'Технический лист'!$I:$J,2,1)),1+(1-$AU91))</f>
        <v>1</v>
      </c>
      <c r="EM91" s="15">
        <f>MIN(IF($AU91=100%,1,1+VLOOKUP(($AJ91-$AI91-$AH91-$AG91-$AF91-$AE91*(1+EM$3))/$AJ91,'Технический лист'!$I:$J,2,1)-VLOOKUP($AO91,'Технический лист'!$I:$J,2,1)),1+(1-$AU91))</f>
        <v>1</v>
      </c>
      <c r="EN91" s="15">
        <f>MIN(IF($AU91=100%,1,1+VLOOKUP(($AJ91-$AI91-$AH91-$AG91-$AF91-$AE91*(1+EN$3))/$AJ91,'Технический лист'!$I:$J,2,1)-VLOOKUP($AO91,'Технический лист'!$I:$J,2,1)),1+(1-$AU91))</f>
        <v>1</v>
      </c>
      <c r="EO91" s="15">
        <f>MIN(IF($AU91=100%,1,1+VLOOKUP(($AJ91-$AI91-$AH91-$AG91-$AF91-$AE91*(1+EO$3))/$AJ91,'Технический лист'!$I:$J,2,1)-VLOOKUP($AO91,'Технический лист'!$I:$J,2,1)),1+(1-$AU91))</f>
        <v>1</v>
      </c>
      <c r="EP91" s="15">
        <f>MIN(IF($AU91=100%,1,1+VLOOKUP(($AJ91-$AI91-$AH91-$AG91-$AF91-$AE91*(1+EP$3))/$AJ91,'Технический лист'!$I:$J,2,1)-VLOOKUP($AO91,'Технический лист'!$I:$J,2,1)),1+(1-$AU91))</f>
        <v>1</v>
      </c>
      <c r="EQ91" s="15">
        <f>MIN(IF($AU91=100%,1,1+VLOOKUP(($AJ91-$AI91-$AH91-$AG91-$AF91-$AE91*(1+EQ$3))/$AJ91,'Технический лист'!$I:$J,2,1)-VLOOKUP($AO91,'Технический лист'!$I:$J,2,1)),1+(1-$AU91))</f>
        <v>1</v>
      </c>
      <c r="ER91" s="15">
        <f>MIN(IF($AU91=100%,1,1+VLOOKUP(($AJ91-$AI91-$AH91-$AG91-$AF91-$AE91*(1+ER$3))/$AJ91,'Технический лист'!$I:$J,2,1)-VLOOKUP($AO91,'Технический лист'!$I:$J,2,1)),1+(1-$AU91))</f>
        <v>1</v>
      </c>
      <c r="ES91" s="15">
        <f>MIN(IF($AU91=100%,1,1+VLOOKUP(($AJ91-$AI91-$AH91-$AG91-$AF91-$AE91*(1+ES$3))/$AJ91,'Технический лист'!$I:$J,2,1)-VLOOKUP($AO91,'Технический лист'!$I:$J,2,1)),1+(1-$AU91))</f>
        <v>1</v>
      </c>
      <c r="ET91" s="15">
        <f>MIN(IF($AU91=100%,1,1+VLOOKUP(($AJ91-$AI91-$AH91-$AG91-$AF91-$AE91*(1+ET$3))/$AJ91,'Технический лист'!$I:$J,2,1)-VLOOKUP($AO91,'Технический лист'!$I:$J,2,1)),1+(1-$AU91))</f>
        <v>1</v>
      </c>
      <c r="EU91" s="15">
        <f>MIN(IF($AU91=100%,1,1+VLOOKUP(($AJ91-$AI91-$AH91-$AG91-$AF91-$AE91*(1+EU$3))/$AJ91,'Технический лист'!$I:$J,2,1)-VLOOKUP($AO91,'Технический лист'!$I:$J,2,1)),1+(1-$AU91))</f>
        <v>1</v>
      </c>
      <c r="EV91" s="111">
        <v>1</v>
      </c>
      <c r="EW91" s="15">
        <f>MIN(1,MAX(VLOOKUP(($AJ91-$AI91-$AH91-$AG91-$AF91-$AE91*(1+EW$3))/$AJ91,'Технический лист'!$A:$B,2,1),(EV91-0.05)))</f>
        <v>1</v>
      </c>
      <c r="EX91" s="15">
        <f>MIN(1,MAX(VLOOKUP(($AJ91-$AI91-$AH91-$AG91-$AF91-$AE91*(1+EX$3))/$AJ91,'Технический лист'!$A:$B,2,1),(EW91-0.05)))</f>
        <v>1</v>
      </c>
      <c r="EY91" s="15">
        <f>MIN(1,MAX(VLOOKUP(($AJ91-$AI91-$AH91-$AG91-$AF91-$AE91*(1+EY$3))/$AJ91,'Технический лист'!$A:$B,2,1),(EX91-0.05)))</f>
        <v>1</v>
      </c>
      <c r="EZ91" s="15">
        <f>MIN(1,MAX(VLOOKUP(($AJ91-$AI91-$AH91-$AG91-$AF91-$AE91*(1+EZ$3))/$AJ91,'Технический лист'!$A:$B,2,1),(EY91-0.05)))</f>
        <v>1</v>
      </c>
      <c r="FA91" s="15">
        <f>MIN(1,MAX(VLOOKUP(($AJ91-$AI91-$AH91-$AG91-$AF91-$AE91*(1+FA$3))/$AJ91,'Технический лист'!$A:$B,2,1),(EZ91-0.05)))</f>
        <v>1</v>
      </c>
      <c r="FB91" s="15">
        <f>MIN(1,MAX(VLOOKUP(($AJ91-$AI91-$AH91-$AG91-$AF91-$AE91*(1+FB$3))/$AJ91,'Технический лист'!$A:$B,2,1),(FA91-0.05)))</f>
        <v>1</v>
      </c>
      <c r="FC91" s="15">
        <f>MIN(1,MAX(VLOOKUP(($AJ91-$AI91-$AH91-$AG91-$AF91-$AE91*(1+FC$3))/$AJ91,'Технический лист'!$A:$B,2,1),(FB91-0.05)))</f>
        <v>1</v>
      </c>
      <c r="FD91" s="15">
        <f>MIN(1,MAX(VLOOKUP(($AJ91-$AI91-$AH91-$AG91-$AF91-$AE91*(1+FD$3))/$AJ91,'Технический лист'!$A:$B,2,1),(FC91-0.05)))</f>
        <v>1</v>
      </c>
      <c r="FE91" s="15">
        <f>MIN(1,MAX(VLOOKUP(($AJ91-$AI91-$AH91-$AG91-$AF91-$AE91*(1+FE$3))/$AJ91,'Технический лист'!$A:$B,2,1),(FD91-0.05)))</f>
        <v>1</v>
      </c>
      <c r="FF91" s="15">
        <f>MIN(1,MAX(VLOOKUP(($AJ91-$AI91-$AH91-$AG91-$AF91-$AE91*(1+FF$3))/$AJ91,'Технический лист'!$A:$B,2,1),(FE91-0.05)))</f>
        <v>1</v>
      </c>
      <c r="FG91" s="15">
        <f>MIN(1,MAX(VLOOKUP(($AJ91-$AI91-$AH91-$AG91-$AF91-$AE91*(1+FG$3))/$AJ91,'Технический лист'!$A:$B,2,1),(FF91-0.05)))</f>
        <v>1</v>
      </c>
      <c r="FH91" s="15">
        <f>MIN(1,MAX(VLOOKUP(($AJ91-$AI91-$AH91-$AG91-$AF91-$AE91*(1+FH$3))/$AJ91,'Технический лист'!$A:$B,2,1),(FG91-0.05)))</f>
        <v>1</v>
      </c>
      <c r="FI91" s="15">
        <f>MIN(1,MAX(VLOOKUP(($AJ91-$AI91-$AH91-$AG91-$AF91-$AE91*(1+FI$3))/$AJ91,'Технический лист'!$A:$B,2,1),(FH91-0.05)))</f>
        <v>1</v>
      </c>
      <c r="FJ91" s="15">
        <f>MIN(1,MAX(VLOOKUP(($AJ91-$AI91-$AH91-$AG91-$AF91-$AE91*(1+FJ$3))/$AJ91,'Технический лист'!$A:$B,2,1),(FI91-0.05)))</f>
        <v>1</v>
      </c>
      <c r="FK91" s="15">
        <f>MIN(1,MAX(VLOOKUP(($AJ91-$AI91-$AH91-$AG91-$AF91-$AE91*(1+FK$3))/$AJ91,'Технический лист'!$A:$B,2,1),(FJ91-0.05)))</f>
        <v>1</v>
      </c>
      <c r="FL91" s="15">
        <f>MIN(1,MAX(VLOOKUP(($AJ91-$AI91-$AH91-$AG91-$AF91-$AE91*(1+FL$3))/$AJ91,'Технический лист'!$A:$B,2,1),(FK91-0.05)))</f>
        <v>1</v>
      </c>
      <c r="FM91" s="15">
        <f>MIN(1,MAX(VLOOKUP(($AJ91-$AI91-$AH91-$AG91-$AF91-$AE91*(1+FM$3))/$AJ91,'Технический лист'!$A:$B,2,1),(FL91-0.05)))</f>
        <v>1</v>
      </c>
      <c r="FN91" s="15">
        <f>MIN(1,MAX(VLOOKUP(($AJ91-$AI91-$AH91-$AG91-$AF91-$AE91*(1+FN$3))/$AJ91,'Технический лист'!$A:$B,2,1),(FM91-0.05)))</f>
        <v>1</v>
      </c>
      <c r="FO91" s="15">
        <f>MIN(1,MAX(VLOOKUP(($AJ91-$AI91-$AH91-$AG91-$AF91-$AE91*(1+FO$3))/$AJ91,'Технический лист'!$A:$B,2,1),(FN91-0.05)))</f>
        <v>1</v>
      </c>
      <c r="FP91" s="15">
        <f>MIN(1,MAX(VLOOKUP(($AJ91-$AI91-$AH91-$AG91-$AF91-$AE91*(1+FP$3))/$AJ91,'Технический лист'!$A:$B,2,1),(FO91-0.05)))</f>
        <v>1</v>
      </c>
      <c r="FQ91" s="15">
        <f>MIN(1,MAX(VLOOKUP(($AJ91-$AI91-$AH91-$AG91-$AF91-$AE91*(1+FQ$3))/$AJ91,'Технический лист'!$A:$B,2,1),(FP91-0.05)))</f>
        <v>1</v>
      </c>
      <c r="FR91" s="15">
        <f>MIN(1,MAX(VLOOKUP(($AJ91-$AI91-$AH91-$AG91-$AF91-$AE91*(1+FR$3))/$AJ91,'Технический лист'!$A:$B,2,1),(FQ91-0.05)))</f>
        <v>1</v>
      </c>
      <c r="FS91" s="15">
        <f>MIN(1,MAX(VLOOKUP(($AJ91-$AI91-$AH91-$AG91-$AF91-$AE91*(1+FS$3))/$AJ91,'Технический лист'!$A:$B,2,1),(FR91-0.05)))</f>
        <v>1</v>
      </c>
      <c r="FT91" s="15">
        <f>MIN(1,MAX(VLOOKUP(($AJ91-$AI91-$AH91-$AG91-$AF91-$AE91*(1+FT$3))/$AJ91,'Технический лист'!$A:$B,2,1),(FS91-0.05)))</f>
        <v>1</v>
      </c>
      <c r="FU91" s="15">
        <f>MIN(1,MAX(VLOOKUP(($AJ91-$AI91-$AH91-$AG91-$AF91-$AE91*(1+FU$3))/$AJ91,'Технический лист'!$A:$B,2,1),(FT91-0.05)))</f>
        <v>1</v>
      </c>
      <c r="FV91" s="15">
        <f>MIN(1,MAX(VLOOKUP(($AJ91-$AI91-$AH91-$AG91-$AF91-$AE91*(1+FV$3))/$AJ91,'Технический лист'!$A:$B,2,1),(FU91-0.05)))</f>
        <v>1</v>
      </c>
      <c r="FW91" s="15">
        <f>MIN(1,MAX(VLOOKUP(($AJ91-$AI91-$AH91-$AG91-$AF91-$AE91*(1+FW$3))/$AJ91,'Технический лист'!$A:$B,2,1),(FV91-0.05)))</f>
        <v>1</v>
      </c>
      <c r="FX91" s="15">
        <f>MIN(1,MAX(VLOOKUP(($AJ91-$AI91-$AH91-$AG91-$AF91-$AE91*(1+FX$3))/$AJ91,'Технический лист'!$A:$B,2,1),(FW91-0.05)))</f>
        <v>1</v>
      </c>
      <c r="FY91" s="15">
        <f>MIN(1,MAX(VLOOKUP(($AJ91-$AI91-$AH91-$AG91-$AF91-$AE91*(1+FY$3))/$AJ91,'Технический лист'!$A:$B,2,1),(FX91-0.05)))</f>
        <v>1</v>
      </c>
      <c r="FZ91" s="15">
        <f>MIN(1,MAX(VLOOKUP(($AJ91-$AI91-$AH91-$AG91-$AF91-$AE91*(1+FZ$3))/$AJ91,'Технический лист'!$A:$B,2,1),(FY91-0.05)))</f>
        <v>1</v>
      </c>
      <c r="GA91" s="15">
        <f>MIN(1,MAX(VLOOKUP(($AJ91-$AI91-$AH91-$AG91-$AF91-$AE91*(1+GA$3))/$AJ91,'Технический лист'!$A:$B,2,1),(FZ91-0.05)))</f>
        <v>1</v>
      </c>
      <c r="GB91" s="15">
        <f>MIN(1,MAX(VLOOKUP(($AJ91-$AI91-$AH91-$AG91-$AF91-$AE91*(1+GB$3))/$AJ91,'Технический лист'!$A:$B,2,1),(GA91-0.05)))</f>
        <v>1</v>
      </c>
      <c r="GC91" s="15">
        <f>MIN(1,MAX(VLOOKUP(($AJ91-$AI91-$AH91-$AG91-$AF91-$AE91*(1+GC$3))/$AJ91,'Технический лист'!$A:$B,2,1),(GB91-0.05)))</f>
        <v>1</v>
      </c>
      <c r="GD91" s="15">
        <f>MIN(1,MAX(VLOOKUP(($AJ91-$AI91-$AH91-$AG91-$AF91-$AE91*(1+GD$3))/$AJ91,'Технический лист'!$A:$B,2,1),(GC91-0.05)))</f>
        <v>1</v>
      </c>
      <c r="GE91" s="15">
        <f>MIN(1,MAX(VLOOKUP(($AJ91-$AI91-$AH91-$AG91-$AF91-$AE91*(1+GE$3))/$AJ91,'Технический лист'!$A:$B,2,1),(GD91-0.05)))</f>
        <v>1</v>
      </c>
      <c r="GF91" s="15">
        <f>MIN(1,MAX(VLOOKUP(($AJ91-$AI91-$AH91-$AG91-$AF91-$AE91*(1+GF$3))/$AJ91,'Технический лист'!$A:$B,2,1),(GE91-0.05)))</f>
        <v>1</v>
      </c>
      <c r="GG91" s="15">
        <f>MIN(1,MAX(VLOOKUP(($AJ91-$AI91-$AH91-$AG91-$AF91-$AE91*(1+GG$3))/$AJ91,'Технический лист'!$A:$B,2,1),(GF91-0.05)))</f>
        <v>1</v>
      </c>
      <c r="GH91" s="15">
        <f>MIN(1,MAX(VLOOKUP(($AJ91-$AI91-$AH91-$AG91-$AF91-$AE91*(1+GH$3))/$AJ91,'Технический лист'!$A:$B,2,1),(GG91-0.05)))</f>
        <v>1</v>
      </c>
      <c r="GI91" s="15">
        <f>MIN(1,MAX(VLOOKUP(($AJ91-$AI91-$AH91-$AG91-$AF91-$AE91*(1+GI$3))/$AJ91,'Технический лист'!$A:$B,2,1),(GH91-0.05)))</f>
        <v>1</v>
      </c>
      <c r="GJ91" s="15">
        <f>MIN(1,MAX(VLOOKUP(($AJ91-$AI91-$AH91-$AG91-$AF91-$AE91*(1+GJ$3))/$AJ91,'Технический лист'!$A:$B,2,1),(GI91-0.05)))</f>
        <v>1</v>
      </c>
      <c r="GK91" s="15">
        <f>MIN(1,MAX(VLOOKUP(($AJ91-$AI91-$AH91-$AG91-$AF91-$AE91*(1+GK$3))/$AJ91,'Технический лист'!$A:$B,2,1),(GJ91-0.05)))</f>
        <v>1</v>
      </c>
      <c r="GL91" s="15">
        <f>MIN(1,MAX(VLOOKUP(($AJ91-$AI91-$AH91-$AG91-$AF91-$AE91*(1+GL$3))/$AJ91,'Технический лист'!$A:$B,2,1),(GK91-0.05)))</f>
        <v>1</v>
      </c>
      <c r="GM91" s="15">
        <f>MIN(1,MAX(VLOOKUP(($AJ91-$AI91-$AH91-$AG91-$AF91-$AE91*(1+GM$3))/$AJ91,'Технический лист'!$A:$B,2,1),(GL91-0.05)))</f>
        <v>1</v>
      </c>
      <c r="GN91" s="15">
        <f>MIN(1,MAX(VLOOKUP(($AJ91-$AI91-$AH91-$AG91-$AF91-$AE91*(1+GN$3))/$AJ91,'Технический лист'!$A:$B,2,1),(GM91-0.05)))</f>
        <v>1</v>
      </c>
      <c r="GO91" s="15">
        <f>MIN(1,MAX(VLOOKUP(($AJ91-$AI91-$AH91-$AG91-$AF91-$AE91*(1+GO$3))/$AJ91,'Технический лист'!$A:$B,2,1),(GN91-0.05)))</f>
        <v>1</v>
      </c>
      <c r="GP91" s="15">
        <f>MIN(1,MAX(VLOOKUP(($AJ91-$AI91-$AH91-$AG91-$AF91-$AE91*(1+GP$3))/$AJ91,'Технический лист'!$A:$B,2,1),(GO91-0.05)))</f>
        <v>1</v>
      </c>
      <c r="GQ91" s="15">
        <f>MIN(1,MAX(VLOOKUP(($AJ91-$AI91-$AH91-$AG91-$AF91-$AE91*(1+GQ$3))/$AJ91,'Технический лист'!$A:$B,2,1),(GP91-0.05)))</f>
        <v>1</v>
      </c>
      <c r="GR91" s="15">
        <f>MIN(1,MAX(VLOOKUP(($AJ91-$AI91-$AH91-$AG91-$AF91-$AE91*(1+GR$3))/$AJ91,'Технический лист'!$A:$B,2,1),(GQ91-0.05)))</f>
        <v>1</v>
      </c>
      <c r="GS91" s="15">
        <f>MIN(1,MAX(VLOOKUP(($AJ91-$AI91-$AH91-$AG91-$AF91-$AE91*(1+GS$3))/$AJ91,'Технический лист'!$A:$B,2,1),(GR91-0.05)))</f>
        <v>1</v>
      </c>
      <c r="GT91" s="15">
        <f>MIN(1,MAX(VLOOKUP(($AJ91-$AI91-$AH91-$AG91-$AF91-$AE91*(1+GT$3))/$AJ91,'Технический лист'!$A:$B,2,1),(GS91-0.05)))</f>
        <v>1</v>
      </c>
      <c r="GU91" s="15">
        <f>MIN(1,MAX(VLOOKUP(($AJ91-$AI91-$AH91-$AG91-$AF91-$AE91*(1+GU$3))/$AJ91,'Технический лист'!$A:$B,2,1),(GT91-0.05)))</f>
        <v>1</v>
      </c>
      <c r="GV91" s="15">
        <f>MIN(1,MAX(VLOOKUP(($AJ91-$AI91-$AH91-$AG91-$AF91-$AE91*(1+GV$3))/$AJ91,'Технический лист'!$A:$B,2,1),(GU91-0.05)))</f>
        <v>1</v>
      </c>
      <c r="GW91" s="15">
        <f>MIN(1,MAX(VLOOKUP(($AJ91-$AI91-$AH91-$AG91-$AF91-$AE91*(1+GW$3))/$AJ91,'Технический лист'!$A:$B,2,1),(GV91-0.05)))</f>
        <v>1</v>
      </c>
      <c r="GX91" s="15">
        <f>MIN(1,MAX(VLOOKUP(($AJ91-$AI91-$AH91-$AG91-$AF91-$AE91*(1+GX$3))/$AJ91,'Технический лист'!$A:$B,2,1),(GW91-0.05)))</f>
        <v>1</v>
      </c>
      <c r="GY91" s="15">
        <f>MIN(1,MAX(VLOOKUP(($AJ91-$AI91-$AH91-$AG91-$AF91-$AE91*(1+GY$3))/$AJ91,'Технический лист'!$A:$B,2,1),(GX91-0.05)))</f>
        <v>1</v>
      </c>
      <c r="GZ91" s="15">
        <f>MIN(1,MAX(VLOOKUP(($AJ91-$AI91-$AH91-$AG91-$AF91-$AE91*(1+GZ$3))/$AJ91,'Технический лист'!$A:$B,2,1),(GY91-0.05)))</f>
        <v>1</v>
      </c>
      <c r="HA91" s="15">
        <f>MIN(1,MAX(VLOOKUP(($AJ91-$AI91-$AH91-$AG91-$AF91-$AE91*(1+HA$3))/$AJ91,'Технический лист'!$A:$B,2,1),(GZ91-0.05)))</f>
        <v>1</v>
      </c>
      <c r="HB91" s="15">
        <f>MIN(1,MAX(VLOOKUP(($AJ91-$AI91-$AH91-$AG91-$AF91-$AE91*(1+HB$3))/$AJ91,'Технический лист'!$A:$B,2,1),(HA91-0.05)))</f>
        <v>1</v>
      </c>
      <c r="HC91" s="15">
        <f>MIN(1,MAX(VLOOKUP(($AJ91-$AI91-$AH91-$AG91-$AF91-$AE91*(1+HC$3))/$AJ91,'Технический лист'!$A:$B,2,1),(HB91-0.05)))</f>
        <v>1</v>
      </c>
      <c r="HD91" s="15">
        <f>MIN(1,MAX(VLOOKUP(($AJ91-$AI91-$AH91-$AG91-$AF91-$AE91*(1+HD$3))/$AJ91,'Технический лист'!$A:$B,2,1),(HC91-0.05)))</f>
        <v>1</v>
      </c>
      <c r="HE91" s="15">
        <f>MIN(1,MAX(VLOOKUP(($AJ91-$AI91-$AH91-$AG91-$AF91-$AE91*(1+HE$3))/$AJ91,'Технический лист'!$A:$B,2,1),(HD91-0.05)))</f>
        <v>1</v>
      </c>
      <c r="HF91" s="15">
        <f>MIN(1,MAX(VLOOKUP(($AJ91-$AI91-$AH91-$AG91-$AF91-$AE91*(1+HF$3))/$AJ91,'Технический лист'!$A:$B,2,1),(HE91-0.05)))</f>
        <v>1</v>
      </c>
      <c r="HG91" s="15">
        <f>MIN(1,MAX(VLOOKUP(($AJ91-$AI91-$AH91-$AG91-$AF91-$AE91*(1+HG$3))/$AJ91,'Технический лист'!$A:$B,2,1),(HF91-0.05)))</f>
        <v>1</v>
      </c>
      <c r="HH91" s="15">
        <f>MIN(1,MAX(VLOOKUP(($AJ91-$AI91-$AH91-$AG91-$AF91-$AE91*(1+HH$3))/$AJ91,'Технический лист'!$A:$B,2,1),(HG91-0.05)))</f>
        <v>1</v>
      </c>
      <c r="HI91" s="15">
        <f>MIN(1,MAX(VLOOKUP(($AJ91-$AI91-$AH91-$AG91-$AF91-$AE91*(1+HI$3))/$AJ91,'Технический лист'!$A:$B,2,1),(HH91-0.05)))</f>
        <v>1</v>
      </c>
      <c r="HJ91" s="15">
        <f>MIN(1,MAX(VLOOKUP(($AJ91-$AI91-$AH91-$AG91-$AF91-$AE91*(1+HJ$3))/$AJ91,'Технический лист'!$A:$B,2,1),(HI91-0.05)))</f>
        <v>1</v>
      </c>
      <c r="HK91" s="15">
        <f>MIN(1,MAX(VLOOKUP(($AJ91-$AI91-$AH91-$AG91-$AF91-$AE91*(1+HK$3))/$AJ91,'Технический лист'!$A:$B,2,1),(HJ91-0.05)))</f>
        <v>1</v>
      </c>
      <c r="HL91" s="15">
        <f>MIN(1,MAX(VLOOKUP(($AJ91-$AI91-$AH91-$AG91-$AF91-$AE91*(1+HL$3))/$AJ91,'Технический лист'!$A:$B,2,1),(HK91-0.05)))</f>
        <v>1</v>
      </c>
      <c r="HM91" s="15">
        <f>MIN(1,MAX(VLOOKUP(($AJ91-$AI91-$AH91-$AG91-$AF91-$AE91*(1+HM$3))/$AJ91,'Технический лист'!$A:$B,2,1),(HL91-0.05)))</f>
        <v>1</v>
      </c>
      <c r="HN91" s="15">
        <f>MIN(1,MAX(VLOOKUP(($AJ91-$AI91-$AH91-$AG91-$AF91-$AE91*(1+HN$3))/$AJ91,'Технический лист'!$A:$B,2,1),(HM91-0.05)))</f>
        <v>1</v>
      </c>
      <c r="HO91" s="15">
        <f>MIN(1,MAX(VLOOKUP(($AJ91-$AI91-$AH91-$AG91-$AF91-$AE91*(1+HO$3))/$AJ91,'Технический лист'!$A:$B,2,1),(HN91-0.05)))</f>
        <v>1</v>
      </c>
      <c r="HP91" s="15">
        <f>MIN(1,MAX(VLOOKUP(($AJ91-$AI91-$AH91-$AG91-$AF91-$AE91*(1+HP$3))/$AJ91,'Технический лист'!$A:$B,2,1),(HO91-0.05)))</f>
        <v>1</v>
      </c>
      <c r="HQ91" s="15">
        <f>MIN(1,MAX(VLOOKUP(($AJ91-$AI91-$AH91-$AG91-$AF91-$AE91*(1+HQ$3))/$AJ91,'Технический лист'!$A:$B,2,1),(HP91-0.05)))</f>
        <v>1</v>
      </c>
      <c r="HR91" s="15">
        <f>MIN(1,MAX(VLOOKUP(($AJ91-$AI91-$AH91-$AG91-$AF91-$AE91*(1+HR$3))/$AJ91,'Технический лист'!$A:$B,2,1),(HQ91-0.05)))</f>
        <v>1</v>
      </c>
      <c r="HS91" s="15">
        <f>MIN(1,MAX(VLOOKUP(($AJ91-$AI91-$AH91-$AG91-$AF91-$AE91*(1+HS$3))/$AJ91,'Технический лист'!$A:$B,2,1),(HR91-0.05)))</f>
        <v>1</v>
      </c>
      <c r="HT91" s="15">
        <f>MIN(1,MAX(VLOOKUP(($AJ91-$AI91-$AH91-$AG91-$AF91-$AE91*(1+HT$3))/$AJ91,'Технический лист'!$A:$B,2,1),(HS91-0.05)))</f>
        <v>1</v>
      </c>
      <c r="HU91" s="15">
        <f>MIN(1,MAX(VLOOKUP(($AJ91-$AI91-$AH91-$AG91-$AF91-$AE91*(1+HU$3))/$AJ91,'Технический лист'!$A:$B,2,1),(HT91-0.05)))</f>
        <v>1</v>
      </c>
      <c r="HV91" s="15">
        <f>MIN(1,MAX(VLOOKUP(($AJ91-$AI91-$AH91-$AG91-$AF91-$AE91*(1+HV$3))/$AJ91,'Технический лист'!$A:$B,2,1),(HU91-0.05)))</f>
        <v>1</v>
      </c>
      <c r="HW91" s="15">
        <f>MIN(1,MAX(VLOOKUP(($AJ91-$AI91-$AH91-$AG91-$AF91-$AE91*(1+HW$3))/$AJ91,'Технический лист'!$A:$B,2,1),(HV91-0.05)))</f>
        <v>1</v>
      </c>
      <c r="HX91" s="15">
        <f>MIN(1,MAX(VLOOKUP(($AJ91-$AI91-$AH91-$AG91-$AF91-$AE91*(1+HX$3))/$AJ91,'Технический лист'!$A:$B,2,1),(HW91-0.05)))</f>
        <v>1</v>
      </c>
      <c r="HY91" s="15">
        <f>MIN(1,MAX(VLOOKUP(($AJ91-$AI91-$AH91-$AG91-$AF91-$AE91*(1+HY$3))/$AJ91,'Технический лист'!$A:$B,2,1),(HX91-0.05)))</f>
        <v>1</v>
      </c>
      <c r="HZ91" s="15">
        <f>MIN(1,MAX(VLOOKUP(($AJ91-$AI91-$AH91-$AG91-$AF91-$AE91*(1+HZ$3))/$AJ91,'Технический лист'!$A:$B,2,1),(HY91-0.05)))</f>
        <v>1</v>
      </c>
      <c r="IA91" s="15">
        <f>MIN(1,MAX(VLOOKUP(($AJ91-$AI91-$AH91-$AG91-$AF91-$AE91*(1+IA$3))/$AJ91,'Технический лист'!$A:$B,2,1),(HZ91-0.05)))</f>
        <v>1</v>
      </c>
      <c r="IB91" s="15">
        <f>MIN(1,MAX(VLOOKUP(($AJ91-$AI91-$AH91-$AG91-$AF91-$AE91*(1+IB$3))/$AJ91,'Технический лист'!$A:$B,2,1),(IA91-0.05)))</f>
        <v>1</v>
      </c>
      <c r="IC91" s="15">
        <f>MIN(1,MAX(VLOOKUP(($AJ91-$AI91-$AH91-$AG91-$AF91-$AE91*(1+IC$3))/$AJ91,'Технический лист'!$A:$B,2,1),(IB91-0.05)))</f>
        <v>1</v>
      </c>
      <c r="ID91" s="15">
        <f>MIN(1,MAX(VLOOKUP(($AJ91-$AI91-$AH91-$AG91-$AF91-$AE91*(1+ID$3))/$AJ91,'Технический лист'!$A:$B,2,1),(IC91-0.05)))</f>
        <v>1</v>
      </c>
      <c r="IE91" s="15">
        <f>MIN(1,MAX(VLOOKUP(($AJ91-$AI91-$AH91-$AG91-$AF91-$AE91*(1+IE$3))/$AJ91,'Технический лист'!$A:$B,2,1),(ID91-0.05)))</f>
        <v>1</v>
      </c>
      <c r="IF91" s="15">
        <f>MIN(1,MAX(VLOOKUP(($AJ91-$AI91-$AH91-$AG91-$AF91-$AE91*(1+IF$3))/$AJ91,'Технический лист'!$A:$B,2,1),(IE91-0.05)))</f>
        <v>1</v>
      </c>
      <c r="IG91" s="15">
        <f>MIN(1,MAX(VLOOKUP(($AJ91-$AI91-$AH91-$AG91-$AF91-$AE91*(1+IG$3))/$AJ91,'Технический лист'!$A:$B,2,1),(IF91-0.05)))</f>
        <v>1</v>
      </c>
      <c r="IH91" s="15">
        <f>MIN(1,MAX(VLOOKUP(($AJ91-$AI91-$AH91-$AG91-$AF91-$AE91*(1+IH$3))/$AJ91,'Технический лист'!$A:$B,2,1),(IG91-0.05)))</f>
        <v>1</v>
      </c>
      <c r="II91" s="15">
        <f>MIN(1,MAX(VLOOKUP(($AJ91-$AI91-$AH91-$AG91-$AF91-$AE91*(1+II$3))/$AJ91,'Технический лист'!$A:$B,2,1),(IH91-0.05)))</f>
        <v>1</v>
      </c>
      <c r="IJ91" s="15">
        <f>MIN(1,MAX(VLOOKUP(($AJ91-$AI91-$AH91-$AG91-$AF91-$AE91*(1+IJ$3))/$AJ91,'Технический лист'!$A:$B,2,1),(II91-0.05)))</f>
        <v>1</v>
      </c>
      <c r="IK91" s="15">
        <f>MIN(1,MAX(VLOOKUP(($AJ91-$AI91-$AH91-$AG91-$AF91-$AE91*(1+IK$3))/$AJ91,'Технический лист'!$A:$B,2,1),(IJ91-0.05)))</f>
        <v>1</v>
      </c>
      <c r="IL91" s="15">
        <f>MIN(1,MAX(VLOOKUP(($AJ91-$AI91-$AH91-$AG91-$AF91-$AE91*(1+IL$3))/$AJ91,'Технический лист'!$A:$B,2,1),(IK91-0.05)))</f>
        <v>1</v>
      </c>
      <c r="IM91" s="15">
        <f>MIN(1,MAX(VLOOKUP(($AJ91-$AI91-$AH91-$AG91-$AF91-$AE91*(1+IM$3))/$AJ91,'Технический лист'!$A:$B,2,1),(IL91-0.05)))</f>
        <v>1</v>
      </c>
      <c r="IN91" s="15">
        <f>MIN(1,MAX(VLOOKUP(($AJ91-$AI91-$AH91-$AG91-$AF91-$AE91*(1+IN$3))/$AJ91,'Технический лист'!$A:$B,2,1),(IM91-0.05)))</f>
        <v>1</v>
      </c>
      <c r="IO91" s="15">
        <f>MIN(1,MAX(VLOOKUP(($AJ91-$AI91-$AH91-$AG91-$AF91-$AE91*(1+IO$3))/$AJ91,'Технический лист'!$A:$B,2,1),(IN91-0.05)))</f>
        <v>1</v>
      </c>
      <c r="IP91" s="15">
        <f>MIN(1,MAX(VLOOKUP(($AJ91-$AI91-$AH91-$AG91-$AF91-$AE91*(1+IP$3))/$AJ91,'Технический лист'!$A:$B,2,1),(IO91-0.05)))</f>
        <v>1</v>
      </c>
      <c r="IQ91" s="15">
        <f>MIN(1,MAX(VLOOKUP(($AJ91-$AI91-$AH91-$AG91-$AF91-$AE91*(1+IQ$3))/$AJ91,'Технический лист'!$A:$B,2,1),(IP91-0.05)))</f>
        <v>1</v>
      </c>
      <c r="IR91" s="15">
        <f>MIN(1,MAX(VLOOKUP(($AJ91-$AI91-$AH91-$AG91-$AF91-$AE91*(1+IR$3))/$AJ91,'Технический лист'!$A:$B,2,1),(IQ91-0.05)))</f>
        <v>1</v>
      </c>
    </row>
    <row r="92" spans="1:252" ht="43.75">
      <c r="A92" s="89" t="s">
        <v>515</v>
      </c>
      <c r="B92" s="90">
        <v>5</v>
      </c>
      <c r="C92" s="5" t="s">
        <v>68</v>
      </c>
      <c r="D92" s="91">
        <v>32421</v>
      </c>
      <c r="E92" s="91" t="s">
        <v>347</v>
      </c>
      <c r="F92" s="92" t="s">
        <v>75</v>
      </c>
      <c r="G92" s="91" t="s">
        <v>28</v>
      </c>
      <c r="H92" s="91" t="s">
        <v>30</v>
      </c>
      <c r="I92" s="91" t="s">
        <v>164</v>
      </c>
      <c r="J92" s="91" t="s">
        <v>167</v>
      </c>
      <c r="K92" s="91">
        <v>6501</v>
      </c>
      <c r="L92" s="85" t="s">
        <v>64</v>
      </c>
      <c r="M92" s="91" t="s">
        <v>190</v>
      </c>
      <c r="N92" s="91" t="s">
        <v>191</v>
      </c>
      <c r="O92" s="91" t="s">
        <v>194</v>
      </c>
      <c r="P92" s="89" t="s">
        <v>241</v>
      </c>
      <c r="Q92" s="91" t="s">
        <v>287</v>
      </c>
      <c r="R92" s="91" t="s">
        <v>267</v>
      </c>
      <c r="S92" s="82">
        <v>16973</v>
      </c>
      <c r="T92" s="82">
        <v>110344876</v>
      </c>
      <c r="U92" s="81">
        <v>259</v>
      </c>
      <c r="V92" s="81">
        <v>0</v>
      </c>
      <c r="W92" s="82">
        <v>143917343</v>
      </c>
      <c r="X92" s="112">
        <v>66</v>
      </c>
      <c r="Y92" s="112" t="s">
        <v>417</v>
      </c>
      <c r="Z92" s="113">
        <v>19</v>
      </c>
      <c r="AA92" s="113">
        <v>14</v>
      </c>
      <c r="AB92" s="113">
        <v>4</v>
      </c>
      <c r="AC92" s="99">
        <v>9305.39</v>
      </c>
      <c r="AD92" s="99">
        <f t="shared" si="37"/>
        <v>1042.130000000001</v>
      </c>
      <c r="AE92" s="99">
        <v>10347.52</v>
      </c>
      <c r="AF92" s="98">
        <f>(Z92+AA92+AB92)*'Ставки аренды'!$B$3/X92</f>
        <v>392.42424242424244</v>
      </c>
      <c r="AG92" s="114">
        <v>0</v>
      </c>
      <c r="AH92" s="94">
        <v>0</v>
      </c>
      <c r="AI92" s="115">
        <f>240828/411356*AVERAGE(AJ91,AJ93)</f>
        <v>21190.24089530723</v>
      </c>
      <c r="AJ92" s="117">
        <f>Цены!D23</f>
        <v>35000</v>
      </c>
      <c r="AK92" s="94">
        <f>AJ92/Цены!$B$1</f>
        <v>458.68253271389352</v>
      </c>
      <c r="AL92" s="95">
        <f t="shared" si="24"/>
        <v>10739.944242424242</v>
      </c>
      <c r="AM92" s="95">
        <f t="shared" si="25"/>
        <v>24260.055757575756</v>
      </c>
      <c r="AN92" s="94">
        <f t="shared" si="22"/>
        <v>31930.185137731474</v>
      </c>
      <c r="AO92" s="118">
        <f t="shared" si="23"/>
        <v>8.7708996064815026E-2</v>
      </c>
      <c r="AP92" s="96">
        <f t="shared" si="26"/>
        <v>0.30685554978354979</v>
      </c>
      <c r="AQ92" s="96">
        <f t="shared" si="27"/>
        <v>0.29564342857142856</v>
      </c>
      <c r="AR92" s="96">
        <f t="shared" si="28"/>
        <v>0.9634612402479602</v>
      </c>
      <c r="AS92" s="122">
        <v>1</v>
      </c>
      <c r="AT92" s="121">
        <f t="shared" si="29"/>
        <v>16973</v>
      </c>
      <c r="AU92" s="83">
        <v>0.9</v>
      </c>
      <c r="AV92" s="119">
        <f t="shared" si="30"/>
        <v>5.223178463624354E-2</v>
      </c>
      <c r="AW92" s="120">
        <f t="shared" si="31"/>
        <v>0.34233276121212125</v>
      </c>
      <c r="AX92" s="120">
        <f t="shared" si="32"/>
        <v>0.33112064000000008</v>
      </c>
      <c r="AY92" s="120">
        <f t="shared" si="33"/>
        <v>0.96724788719484023</v>
      </c>
      <c r="AZ92" s="15">
        <f>MIN(IF($AU92=100%,1,1+VLOOKUP(($AJ92-$AI92-$AH92-$AG92-$AF92-$AE92*(1+AZ$3))/$AJ92,'Технический лист'!$I:$J,2,1)-VLOOKUP($AO92,'Технический лист'!$I:$J,2,1)),1+(1-$AU92))</f>
        <v>1.1000000000000001</v>
      </c>
      <c r="BA92" s="15">
        <f>MIN(IF($AU92=100%,1,1+VLOOKUP(($AJ92-$AI92-$AH92-$AG92-$AF92-$AE92*(1+BA$3))/$AJ92,'Технический лист'!$I:$J,2,1)-VLOOKUP($AO92,'Технический лист'!$I:$J,2,1)),1+(1-$AU92))</f>
        <v>1.1000000000000001</v>
      </c>
      <c r="BB92" s="15">
        <f>MIN(IF($AU92=100%,1,1+VLOOKUP(($AJ92-$AI92-$AH92-$AG92-$AF92-$AE92*(1+BB$3))/$AJ92,'Технический лист'!$I:$J,2,1)-VLOOKUP($AO92,'Технический лист'!$I:$J,2,1)),1+(1-$AU92))</f>
        <v>1.1000000000000001</v>
      </c>
      <c r="BC92" s="15">
        <f>MIN(IF($AU92=100%,1,1+VLOOKUP(($AJ92-$AI92-$AH92-$AG92-$AF92-$AE92*(1+BC$3))/$AJ92,'Технический лист'!$I:$J,2,1)-VLOOKUP($AO92,'Технический лист'!$I:$J,2,1)),1+(1-$AU92))</f>
        <v>1.1000000000000001</v>
      </c>
      <c r="BD92" s="15">
        <f>MIN(IF($AU92=100%,1,1+VLOOKUP(($AJ92-$AI92-$AH92-$AG92-$AF92-$AE92*(1+BD$3))/$AJ92,'Технический лист'!$I:$J,2,1)-VLOOKUP($AO92,'Технический лист'!$I:$J,2,1)),1+(1-$AU92))</f>
        <v>1.1000000000000001</v>
      </c>
      <c r="BE92" s="15">
        <f>MIN(IF($AU92=100%,1,1+VLOOKUP(($AJ92-$AI92-$AH92-$AG92-$AF92-$AE92*(1+BE$3))/$AJ92,'Технический лист'!$I:$J,2,1)-VLOOKUP($AO92,'Технический лист'!$I:$J,2,1)),1+(1-$AU92))</f>
        <v>1.1000000000000001</v>
      </c>
      <c r="BF92" s="15">
        <f>MIN(IF($AU92=100%,1,1+VLOOKUP(($AJ92-$AI92-$AH92-$AG92-$AF92-$AE92*(1+BF$3))/$AJ92,'Технический лист'!$I:$J,2,1)-VLOOKUP($AO92,'Технический лист'!$I:$J,2,1)),1+(1-$AU92))</f>
        <v>1.1000000000000001</v>
      </c>
      <c r="BG92" s="15">
        <f>MIN(IF($AU92=100%,1,1+VLOOKUP(($AJ92-$AI92-$AH92-$AG92-$AF92-$AE92*(1+BG$3))/$AJ92,'Технический лист'!$I:$J,2,1)-VLOOKUP($AO92,'Технический лист'!$I:$J,2,1)),1+(1-$AU92))</f>
        <v>1.1000000000000001</v>
      </c>
      <c r="BH92" s="15">
        <f>MIN(IF($AU92=100%,1,1+VLOOKUP(($AJ92-$AI92-$AH92-$AG92-$AF92-$AE92*(1+BH$3))/$AJ92,'Технический лист'!$I:$J,2,1)-VLOOKUP($AO92,'Технический лист'!$I:$J,2,1)),1+(1-$AU92))</f>
        <v>1.1000000000000001</v>
      </c>
      <c r="BI92" s="15">
        <f>MIN(IF($AU92=100%,1,1+VLOOKUP(($AJ92-$AI92-$AH92-$AG92-$AF92-$AE92*(1+BI$3))/$AJ92,'Технический лист'!$I:$J,2,1)-VLOOKUP($AO92,'Технический лист'!$I:$J,2,1)),1+(1-$AU92))</f>
        <v>1.1000000000000001</v>
      </c>
      <c r="BJ92" s="15">
        <f>MIN(IF($AU92=100%,1,1+VLOOKUP(($AJ92-$AI92-$AH92-$AG92-$AF92-$AE92*(1+BJ$3))/$AJ92,'Технический лист'!$I:$J,2,1)-VLOOKUP($AO92,'Технический лист'!$I:$J,2,1)),1+(1-$AU92))</f>
        <v>1.1000000000000001</v>
      </c>
      <c r="BK92" s="15">
        <f>MIN(IF($AU92=100%,1,1+VLOOKUP(($AJ92-$AI92-$AH92-$AG92-$AF92-$AE92*(1+BK$3))/$AJ92,'Технический лист'!$I:$J,2,1)-VLOOKUP($AO92,'Технический лист'!$I:$J,2,1)),1+(1-$AU92))</f>
        <v>1.1000000000000001</v>
      </c>
      <c r="BL92" s="15">
        <f>MIN(IF($AU92=100%,1,1+VLOOKUP(($AJ92-$AI92-$AH92-$AG92-$AF92-$AE92*(1+BL$3))/$AJ92,'Технический лист'!$I:$J,2,1)-VLOOKUP($AO92,'Технический лист'!$I:$J,2,1)),1+(1-$AU92))</f>
        <v>1.1000000000000001</v>
      </c>
      <c r="BM92" s="15">
        <f>MIN(IF($AU92=100%,1,1+VLOOKUP(($AJ92-$AI92-$AH92-$AG92-$AF92-$AE92*(1+BM$3))/$AJ92,'Технический лист'!$I:$J,2,1)-VLOOKUP($AO92,'Технический лист'!$I:$J,2,1)),1+(1-$AU92))</f>
        <v>1.1000000000000001</v>
      </c>
      <c r="BN92" s="15">
        <f>MIN(IF($AU92=100%,1,1+VLOOKUP(($AJ92-$AI92-$AH92-$AG92-$AF92-$AE92*(1+BN$3))/$AJ92,'Технический лист'!$I:$J,2,1)-VLOOKUP($AO92,'Технический лист'!$I:$J,2,1)),1+(1-$AU92))</f>
        <v>1.1000000000000001</v>
      </c>
      <c r="BO92" s="15">
        <f>MIN(IF($AU92=100%,1,1+VLOOKUP(($AJ92-$AI92-$AH92-$AG92-$AF92-$AE92*(1+BO$3))/$AJ92,'Технический лист'!$I:$J,2,1)-VLOOKUP($AO92,'Технический лист'!$I:$J,2,1)),1+(1-$AU92))</f>
        <v>1.1000000000000001</v>
      </c>
      <c r="BP92" s="15">
        <f>MIN(IF($AU92=100%,1,1+VLOOKUP(($AJ92-$AI92-$AH92-$AG92-$AF92-$AE92*(1+BP$3))/$AJ92,'Технический лист'!$I:$J,2,1)-VLOOKUP($AO92,'Технический лист'!$I:$J,2,1)),1+(1-$AU92))</f>
        <v>1.1000000000000001</v>
      </c>
      <c r="BQ92" s="15">
        <f>MIN(IF($AU92=100%,1,1+VLOOKUP(($AJ92-$AI92-$AH92-$AG92-$AF92-$AE92*(1+BQ$3))/$AJ92,'Технический лист'!$I:$J,2,1)-VLOOKUP($AO92,'Технический лист'!$I:$J,2,1)),1+(1-$AU92))</f>
        <v>1.1000000000000001</v>
      </c>
      <c r="BR92" s="15">
        <f>MIN(IF($AU92=100%,1,1+VLOOKUP(($AJ92-$AI92-$AH92-$AG92-$AF92-$AE92*(1+BR$3))/$AJ92,'Технический лист'!$I:$J,2,1)-VLOOKUP($AO92,'Технический лист'!$I:$J,2,1)),1+(1-$AU92))</f>
        <v>1.1000000000000001</v>
      </c>
      <c r="BS92" s="15">
        <f>MIN(IF($AU92=100%,1,1+VLOOKUP(($AJ92-$AI92-$AH92-$AG92-$AF92-$AE92*(1+BS$3))/$AJ92,'Технический лист'!$I:$J,2,1)-VLOOKUP($AO92,'Технический лист'!$I:$J,2,1)),1+(1-$AU92))</f>
        <v>1.1000000000000001</v>
      </c>
      <c r="BT92" s="15">
        <f>MIN(IF($AU92=100%,1,1+VLOOKUP(($AJ92-$AI92-$AH92-$AG92-$AF92-$AE92*(1+BT$3))/$AJ92,'Технический лист'!$I:$J,2,1)-VLOOKUP($AO92,'Технический лист'!$I:$J,2,1)),1+(1-$AU92))</f>
        <v>1.1000000000000001</v>
      </c>
      <c r="BU92" s="15">
        <f>MIN(IF($AU92=100%,1,1+VLOOKUP(($AJ92-$AI92-$AH92-$AG92-$AF92-$AE92*(1+BU$3))/$AJ92,'Технический лист'!$I:$J,2,1)-VLOOKUP($AO92,'Технический лист'!$I:$J,2,1)),1+(1-$AU92))</f>
        <v>1.1000000000000001</v>
      </c>
      <c r="BV92" s="15">
        <f>MIN(IF($AU92=100%,1,1+VLOOKUP(($AJ92-$AI92-$AH92-$AG92-$AF92-$AE92*(1+BV$3))/$AJ92,'Технический лист'!$I:$J,2,1)-VLOOKUP($AO92,'Технический лист'!$I:$J,2,1)),1+(1-$AU92))</f>
        <v>1.1000000000000001</v>
      </c>
      <c r="BW92" s="15">
        <f>MIN(IF($AU92=100%,1,1+VLOOKUP(($AJ92-$AI92-$AH92-$AG92-$AF92-$AE92*(1+BW$3))/$AJ92,'Технический лист'!$I:$J,2,1)-VLOOKUP($AO92,'Технический лист'!$I:$J,2,1)),1+(1-$AU92))</f>
        <v>1.1000000000000001</v>
      </c>
      <c r="BX92" s="15">
        <f>MIN(IF($AU92=100%,1,1+VLOOKUP(($AJ92-$AI92-$AH92-$AG92-$AF92-$AE92*(1+BX$3))/$AJ92,'Технический лист'!$I:$J,2,1)-VLOOKUP($AO92,'Технический лист'!$I:$J,2,1)),1+(1-$AU92))</f>
        <v>1.1000000000000001</v>
      </c>
      <c r="BY92" s="15">
        <f>MIN(IF($AU92=100%,1,1+VLOOKUP(($AJ92-$AI92-$AH92-$AG92-$AF92-$AE92*(1+BY$3))/$AJ92,'Технический лист'!$I:$J,2,1)-VLOOKUP($AO92,'Технический лист'!$I:$J,2,1)),1+(1-$AU92))</f>
        <v>1.1000000000000001</v>
      </c>
      <c r="BZ92" s="15">
        <f>MIN(IF($AU92=100%,1,1+VLOOKUP(($AJ92-$AI92-$AH92-$AG92-$AF92-$AE92*(1+BZ$3))/$AJ92,'Технический лист'!$I:$J,2,1)-VLOOKUP($AO92,'Технический лист'!$I:$J,2,1)),1+(1-$AU92))</f>
        <v>1.1000000000000001</v>
      </c>
      <c r="CA92" s="15">
        <f>MIN(IF($AU92=100%,1,1+VLOOKUP(($AJ92-$AI92-$AH92-$AG92-$AF92-$AE92*(1+CA$3))/$AJ92,'Технический лист'!$I:$J,2,1)-VLOOKUP($AO92,'Технический лист'!$I:$J,2,1)),1+(1-$AU92))</f>
        <v>1.1000000000000001</v>
      </c>
      <c r="CB92" s="15">
        <f>MIN(IF($AU92=100%,1,1+VLOOKUP(($AJ92-$AI92-$AH92-$AG92-$AF92-$AE92*(1+CB$3))/$AJ92,'Технический лист'!$I:$J,2,1)-VLOOKUP($AO92,'Технический лист'!$I:$J,2,1)),1+(1-$AU92))</f>
        <v>1.1000000000000001</v>
      </c>
      <c r="CC92" s="15">
        <f>MIN(IF($AU92=100%,1,1+VLOOKUP(($AJ92-$AI92-$AH92-$AG92-$AF92-$AE92*(1+CC$3))/$AJ92,'Технический лист'!$I:$J,2,1)-VLOOKUP($AO92,'Технический лист'!$I:$J,2,1)),1+(1-$AU92))</f>
        <v>1.1000000000000001</v>
      </c>
      <c r="CD92" s="15">
        <f>MIN(IF($AU92=100%,1,1+VLOOKUP(($AJ92-$AI92-$AH92-$AG92-$AF92-$AE92*(1+CD$3))/$AJ92,'Технический лист'!$I:$J,2,1)-VLOOKUP($AO92,'Технический лист'!$I:$J,2,1)),1+(1-$AU92))</f>
        <v>1.1000000000000001</v>
      </c>
      <c r="CE92" s="15">
        <f>MIN(IF($AU92=100%,1,1+VLOOKUP(($AJ92-$AI92-$AH92-$AG92-$AF92-$AE92*(1+CE$3))/$AJ92,'Технический лист'!$I:$J,2,1)-VLOOKUP($AO92,'Технический лист'!$I:$J,2,1)),1+(1-$AU92))</f>
        <v>1.1000000000000001</v>
      </c>
      <c r="CF92" s="15">
        <f>MIN(IF($AU92=100%,1,1+VLOOKUP(($AJ92-$AI92-$AH92-$AG92-$AF92-$AE92*(1+CF$3))/$AJ92,'Технический лист'!$I:$J,2,1)-VLOOKUP($AO92,'Технический лист'!$I:$J,2,1)),1+(1-$AU92))</f>
        <v>1.1000000000000001</v>
      </c>
      <c r="CG92" s="15">
        <f>MIN(IF($AU92=100%,1,1+VLOOKUP(($AJ92-$AI92-$AH92-$AG92-$AF92-$AE92*(1+CG$3))/$AJ92,'Технический лист'!$I:$J,2,1)-VLOOKUP($AO92,'Технический лист'!$I:$J,2,1)),1+(1-$AU92))</f>
        <v>1.1000000000000001</v>
      </c>
      <c r="CH92" s="15">
        <f>MIN(IF($AU92=100%,1,1+VLOOKUP(($AJ92-$AI92-$AH92-$AG92-$AF92-$AE92*(1+CH$3))/$AJ92,'Технический лист'!$I:$J,2,1)-VLOOKUP($AO92,'Технический лист'!$I:$J,2,1)),1+(1-$AU92))</f>
        <v>1.1000000000000001</v>
      </c>
      <c r="CI92" s="15">
        <f>MIN(IF($AU92=100%,1,1+VLOOKUP(($AJ92-$AI92-$AH92-$AG92-$AF92-$AE92*(1+CI$3))/$AJ92,'Технический лист'!$I:$J,2,1)-VLOOKUP($AO92,'Технический лист'!$I:$J,2,1)),1+(1-$AU92))</f>
        <v>1.1000000000000001</v>
      </c>
      <c r="CJ92" s="15">
        <f>MIN(IF($AU92=100%,1,1+VLOOKUP(($AJ92-$AI92-$AH92-$AG92-$AF92-$AE92*(1+CJ$3))/$AJ92,'Технический лист'!$I:$J,2,1)-VLOOKUP($AO92,'Технический лист'!$I:$J,2,1)),1+(1-$AU92))</f>
        <v>1.1000000000000001</v>
      </c>
      <c r="CK92" s="15">
        <f>MIN(IF($AU92=100%,1,1+VLOOKUP(($AJ92-$AI92-$AH92-$AG92-$AF92-$AE92*(1+CK$3))/$AJ92,'Технический лист'!$I:$J,2,1)-VLOOKUP($AO92,'Технический лист'!$I:$J,2,1)),1+(1-$AU92))</f>
        <v>1.1000000000000001</v>
      </c>
      <c r="CL92" s="15">
        <f>MIN(IF($AU92=100%,1,1+VLOOKUP(($AJ92-$AI92-$AH92-$AG92-$AF92-$AE92*(1+CL$3))/$AJ92,'Технический лист'!$I:$J,2,1)-VLOOKUP($AO92,'Технический лист'!$I:$J,2,1)),1+(1-$AU92))</f>
        <v>1.1000000000000001</v>
      </c>
      <c r="CM92" s="15">
        <f>MIN(IF($AU92=100%,1,1+VLOOKUP(($AJ92-$AI92-$AH92-$AG92-$AF92-$AE92*(1+CM$3))/$AJ92,'Технический лист'!$I:$J,2,1)-VLOOKUP($AO92,'Технический лист'!$I:$J,2,1)),1+(1-$AU92))</f>
        <v>1.1000000000000001</v>
      </c>
      <c r="CN92" s="15">
        <f>MIN(IF($AU92=100%,1,1+VLOOKUP(($AJ92-$AI92-$AH92-$AG92-$AF92-$AE92*(1+CN$3))/$AJ92,'Технический лист'!$I:$J,2,1)-VLOOKUP($AO92,'Технический лист'!$I:$J,2,1)),1+(1-$AU92))</f>
        <v>1.1000000000000001</v>
      </c>
      <c r="CO92" s="15">
        <f>MIN(IF($AU92=100%,1,1+VLOOKUP(($AJ92-$AI92-$AH92-$AG92-$AF92-$AE92*(1+CO$3))/$AJ92,'Технический лист'!$I:$J,2,1)-VLOOKUP($AO92,'Технический лист'!$I:$J,2,1)),1+(1-$AU92))</f>
        <v>1.1000000000000001</v>
      </c>
      <c r="CP92" s="15">
        <f>MIN(IF($AU92=100%,1,1+VLOOKUP(($AJ92-$AI92-$AH92-$AG92-$AF92-$AE92*(1+CP$3))/$AJ92,'Технический лист'!$I:$J,2,1)-VLOOKUP($AO92,'Технический лист'!$I:$J,2,1)),1+(1-$AU92))</f>
        <v>1.1000000000000001</v>
      </c>
      <c r="CQ92" s="15">
        <f>MIN(IF($AU92=100%,1,1+VLOOKUP(($AJ92-$AI92-$AH92-$AG92-$AF92-$AE92*(1+CQ$3))/$AJ92,'Технический лист'!$I:$J,2,1)-VLOOKUP($AO92,'Технический лист'!$I:$J,2,1)),1+(1-$AU92))</f>
        <v>1.1000000000000001</v>
      </c>
      <c r="CR92" s="15">
        <f>MIN(IF($AU92=100%,1,1+VLOOKUP(($AJ92-$AI92-$AH92-$AG92-$AF92-$AE92*(1+CR$3))/$AJ92,'Технический лист'!$I:$J,2,1)-VLOOKUP($AO92,'Технический лист'!$I:$J,2,1)),1+(1-$AU92))</f>
        <v>1.1000000000000001</v>
      </c>
      <c r="CS92" s="15">
        <f>MIN(IF($AU92=100%,1,1+VLOOKUP(($AJ92-$AI92-$AH92-$AG92-$AF92-$AE92*(1+CS$3))/$AJ92,'Технический лист'!$I:$J,2,1)-VLOOKUP($AO92,'Технический лист'!$I:$J,2,1)),1+(1-$AU92))</f>
        <v>1.1000000000000001</v>
      </c>
      <c r="CT92" s="15">
        <f>MIN(IF($AU92=100%,1,1+VLOOKUP(($AJ92-$AI92-$AH92-$AG92-$AF92-$AE92*(1+CT$3))/$AJ92,'Технический лист'!$I:$J,2,1)-VLOOKUP($AO92,'Технический лист'!$I:$J,2,1)),1+(1-$AU92))</f>
        <v>1.1000000000000001</v>
      </c>
      <c r="CU92" s="15">
        <f>MIN(IF($AU92=100%,1,1+VLOOKUP(($AJ92-$AI92-$AH92-$AG92-$AF92-$AE92*(1+CU$3))/$AJ92,'Технический лист'!$I:$J,2,1)-VLOOKUP($AO92,'Технический лист'!$I:$J,2,1)),1+(1-$AU92))</f>
        <v>1.1000000000000001</v>
      </c>
      <c r="CV92" s="15">
        <f>MIN(IF($AU92=100%,1,1+VLOOKUP(($AJ92-$AI92-$AH92-$AG92-$AF92-$AE92*(1+CV$3))/$AJ92,'Технический лист'!$I:$J,2,1)-VLOOKUP($AO92,'Технический лист'!$I:$J,2,1)),1+(1-$AU92))</f>
        <v>1.1000000000000001</v>
      </c>
      <c r="CW92" s="15">
        <f>MIN(IF($AU92=100%,1,1+VLOOKUP(($AJ92-$AI92-$AH92-$AG92-$AF92-$AE92*(1+CW$3))/$AJ92,'Технический лист'!$I:$J,2,1)-VLOOKUP($AO92,'Технический лист'!$I:$J,2,1)),1+(1-$AU92))</f>
        <v>1.1000000000000001</v>
      </c>
      <c r="CX92" s="15">
        <f>MIN(IF($AU92=100%,1,1+VLOOKUP(($AJ92-$AI92-$AH92-$AG92-$AF92-$AE92*(1+CX$3))/$AJ92,'Технический лист'!$I:$J,2,1)-VLOOKUP($AO92,'Технический лист'!$I:$J,2,1)),1+(1-$AU92))</f>
        <v>1.1000000000000001</v>
      </c>
      <c r="CY92" s="15">
        <f>MIN(IF($AU92=100%,1,1+VLOOKUP(($AJ92-$AI92-$AH92-$AG92-$AF92-$AE92*(1+CY$3))/$AJ92,'Технический лист'!$I:$J,2,1)-VLOOKUP($AO92,'Технический лист'!$I:$J,2,1)),1+(1-$AU92))</f>
        <v>1.1000000000000001</v>
      </c>
      <c r="CZ92" s="15">
        <f>MIN(IF($AU92=100%,1,1+VLOOKUP(($AJ92-$AI92-$AH92-$AG92-$AF92-$AE92*(1+CZ$3))/$AJ92,'Технический лист'!$I:$J,2,1)-VLOOKUP($AO92,'Технический лист'!$I:$J,2,1)),1+(1-$AU92))</f>
        <v>1.1000000000000001</v>
      </c>
      <c r="DA92" s="15">
        <f>MIN(IF($AU92=100%,1,1+VLOOKUP(($AJ92-$AI92-$AH92-$AG92-$AF92-$AE92*(1+DA$3))/$AJ92,'Технический лист'!$I:$J,2,1)-VLOOKUP($AO92,'Технический лист'!$I:$J,2,1)),1+(1-$AU92))</f>
        <v>1.1000000000000001</v>
      </c>
      <c r="DB92" s="15">
        <f>MIN(IF($AU92=100%,1,1+VLOOKUP(($AJ92-$AI92-$AH92-$AG92-$AF92-$AE92*(1+DB$3))/$AJ92,'Технический лист'!$I:$J,2,1)-VLOOKUP($AO92,'Технический лист'!$I:$J,2,1)),1+(1-$AU92))</f>
        <v>1.1000000000000001</v>
      </c>
      <c r="DC92" s="15">
        <f>MIN(IF($AU92=100%,1,1+VLOOKUP(($AJ92-$AI92-$AH92-$AG92-$AF92-$AE92*(1+DC$3))/$AJ92,'Технический лист'!$I:$J,2,1)-VLOOKUP($AO92,'Технический лист'!$I:$J,2,1)),1+(1-$AU92))</f>
        <v>1.1000000000000001</v>
      </c>
      <c r="DD92" s="15">
        <f>MIN(IF($AU92=100%,1,1+VLOOKUP(($AJ92-$AI92-$AH92-$AG92-$AF92-$AE92*(1+DD$3))/$AJ92,'Технический лист'!$I:$J,2,1)-VLOOKUP($AO92,'Технический лист'!$I:$J,2,1)),1+(1-$AU92))</f>
        <v>1.1000000000000001</v>
      </c>
      <c r="DE92" s="15">
        <f>MIN(IF($AU92=100%,1,1+VLOOKUP(($AJ92-$AI92-$AH92-$AG92-$AF92-$AE92*(1+DE$3))/$AJ92,'Технический лист'!$I:$J,2,1)-VLOOKUP($AO92,'Технический лист'!$I:$J,2,1)),1+(1-$AU92))</f>
        <v>1.1000000000000001</v>
      </c>
      <c r="DF92" s="15">
        <f>MIN(IF($AU92=100%,1,1+VLOOKUP(($AJ92-$AI92-$AH92-$AG92-$AF92-$AE92*(1+DF$3))/$AJ92,'Технический лист'!$I:$J,2,1)-VLOOKUP($AO92,'Технический лист'!$I:$J,2,1)),1+(1-$AU92))</f>
        <v>1.1000000000000001</v>
      </c>
      <c r="DG92" s="15">
        <f>MIN(IF($AU92=100%,1,1+VLOOKUP(($AJ92-$AI92-$AH92-$AG92-$AF92-$AE92*(1+DG$3))/$AJ92,'Технический лист'!$I:$J,2,1)-VLOOKUP($AO92,'Технический лист'!$I:$J,2,1)),1+(1-$AU92))</f>
        <v>1.1000000000000001</v>
      </c>
      <c r="DH92" s="15">
        <f>MIN(IF($AU92=100%,1,1+VLOOKUP(($AJ92-$AI92-$AH92-$AG92-$AF92-$AE92*(1+DH$3))/$AJ92,'Технический лист'!$I:$J,2,1)-VLOOKUP($AO92,'Технический лист'!$I:$J,2,1)),1+(1-$AU92))</f>
        <v>1.1000000000000001</v>
      </c>
      <c r="DI92" s="15">
        <f>MIN(IF($AU92=100%,1,1+VLOOKUP(($AJ92-$AI92-$AH92-$AG92-$AF92-$AE92*(1+DI$3))/$AJ92,'Технический лист'!$I:$J,2,1)-VLOOKUP($AO92,'Технический лист'!$I:$J,2,1)),1+(1-$AU92))</f>
        <v>1.1000000000000001</v>
      </c>
      <c r="DJ92" s="15">
        <f>MIN(IF($AU92=100%,1,1+VLOOKUP(($AJ92-$AI92-$AH92-$AG92-$AF92-$AE92*(1+DJ$3))/$AJ92,'Технический лист'!$I:$J,2,1)-VLOOKUP($AO92,'Технический лист'!$I:$J,2,1)),1+(1-$AU92))</f>
        <v>1.1000000000000001</v>
      </c>
      <c r="DK92" s="15">
        <f>MIN(IF($AU92=100%,1,1+VLOOKUP(($AJ92-$AI92-$AH92-$AG92-$AF92-$AE92*(1+DK$3))/$AJ92,'Технический лист'!$I:$J,2,1)-VLOOKUP($AO92,'Технический лист'!$I:$J,2,1)),1+(1-$AU92))</f>
        <v>1.1000000000000001</v>
      </c>
      <c r="DL92" s="15">
        <f>MIN(IF($AU92=100%,1,1+VLOOKUP(($AJ92-$AI92-$AH92-$AG92-$AF92-$AE92*(1+DL$3))/$AJ92,'Технический лист'!$I:$J,2,1)-VLOOKUP($AO92,'Технический лист'!$I:$J,2,1)),1+(1-$AU92))</f>
        <v>1.1000000000000001</v>
      </c>
      <c r="DM92" s="15">
        <f>MIN(IF($AU92=100%,1,1+VLOOKUP(($AJ92-$AI92-$AH92-$AG92-$AF92-$AE92*(1+DM$3))/$AJ92,'Технический лист'!$I:$J,2,1)-VLOOKUP($AO92,'Технический лист'!$I:$J,2,1)),1+(1-$AU92))</f>
        <v>1.1000000000000001</v>
      </c>
      <c r="DN92" s="15">
        <f>MIN(IF($AU92=100%,1,1+VLOOKUP(($AJ92-$AI92-$AH92-$AG92-$AF92-$AE92*(1+DN$3))/$AJ92,'Технический лист'!$I:$J,2,1)-VLOOKUP($AO92,'Технический лист'!$I:$J,2,1)),1+(1-$AU92))</f>
        <v>1.1000000000000001</v>
      </c>
      <c r="DO92" s="15">
        <f>MIN(IF($AU92=100%,1,1+VLOOKUP(($AJ92-$AI92-$AH92-$AG92-$AF92-$AE92*(1+DO$3))/$AJ92,'Технический лист'!$I:$J,2,1)-VLOOKUP($AO92,'Технический лист'!$I:$J,2,1)),1+(1-$AU92))</f>
        <v>1.1000000000000001</v>
      </c>
      <c r="DP92" s="15">
        <f>MIN(IF($AU92=100%,1,1+VLOOKUP(($AJ92-$AI92-$AH92-$AG92-$AF92-$AE92*(1+DP$3))/$AJ92,'Технический лист'!$I:$J,2,1)-VLOOKUP($AO92,'Технический лист'!$I:$J,2,1)),1+(1-$AU92))</f>
        <v>1.1000000000000001</v>
      </c>
      <c r="DQ92" s="15">
        <f>MIN(IF($AU92=100%,1,1+VLOOKUP(($AJ92-$AI92-$AH92-$AG92-$AF92-$AE92*(1+DQ$3))/$AJ92,'Технический лист'!$I:$J,2,1)-VLOOKUP($AO92,'Технический лист'!$I:$J,2,1)),1+(1-$AU92))</f>
        <v>1.1000000000000001</v>
      </c>
      <c r="DR92" s="15">
        <f>MIN(IF($AU92=100%,1,1+VLOOKUP(($AJ92-$AI92-$AH92-$AG92-$AF92-$AE92*(1+DR$3))/$AJ92,'Технический лист'!$I:$J,2,1)-VLOOKUP($AO92,'Технический лист'!$I:$J,2,1)),1+(1-$AU92))</f>
        <v>1.1000000000000001</v>
      </c>
      <c r="DS92" s="15">
        <f>MIN(IF($AU92=100%,1,1+VLOOKUP(($AJ92-$AI92-$AH92-$AG92-$AF92-$AE92*(1+DS$3))/$AJ92,'Технический лист'!$I:$J,2,1)-VLOOKUP($AO92,'Технический лист'!$I:$J,2,1)),1+(1-$AU92))</f>
        <v>1.1000000000000001</v>
      </c>
      <c r="DT92" s="15">
        <f>MIN(IF($AU92=100%,1,1+VLOOKUP(($AJ92-$AI92-$AH92-$AG92-$AF92-$AE92*(1+DT$3))/$AJ92,'Технический лист'!$I:$J,2,1)-VLOOKUP($AO92,'Технический лист'!$I:$J,2,1)),1+(1-$AU92))</f>
        <v>1.1000000000000001</v>
      </c>
      <c r="DU92" s="15">
        <f>MIN(IF($AU92=100%,1,1+VLOOKUP(($AJ92-$AI92-$AH92-$AG92-$AF92-$AE92*(1+DU$3))/$AJ92,'Технический лист'!$I:$J,2,1)-VLOOKUP($AO92,'Технический лист'!$I:$J,2,1)),1+(1-$AU92))</f>
        <v>1.1000000000000001</v>
      </c>
      <c r="DV92" s="15">
        <f>MIN(IF($AU92=100%,1,1+VLOOKUP(($AJ92-$AI92-$AH92-$AG92-$AF92-$AE92*(1+DV$3))/$AJ92,'Технический лист'!$I:$J,2,1)-VLOOKUP($AO92,'Технический лист'!$I:$J,2,1)),1+(1-$AU92))</f>
        <v>1.1000000000000001</v>
      </c>
      <c r="DW92" s="15">
        <f>MIN(IF($AU92=100%,1,1+VLOOKUP(($AJ92-$AI92-$AH92-$AG92-$AF92-$AE92*(1+DW$3))/$AJ92,'Технический лист'!$I:$J,2,1)-VLOOKUP($AO92,'Технический лист'!$I:$J,2,1)),1+(1-$AU92))</f>
        <v>1.1000000000000001</v>
      </c>
      <c r="DX92" s="15">
        <f>MIN(IF($AU92=100%,1,1+VLOOKUP(($AJ92-$AI92-$AH92-$AG92-$AF92-$AE92*(1+DX$3))/$AJ92,'Технический лист'!$I:$J,2,1)-VLOOKUP($AO92,'Технический лист'!$I:$J,2,1)),1+(1-$AU92))</f>
        <v>1.1000000000000001</v>
      </c>
      <c r="DY92" s="15">
        <f>MIN(IF($AU92=100%,1,1+VLOOKUP(($AJ92-$AI92-$AH92-$AG92-$AF92-$AE92*(1+DY$3))/$AJ92,'Технический лист'!$I:$J,2,1)-VLOOKUP($AO92,'Технический лист'!$I:$J,2,1)),1+(1-$AU92))</f>
        <v>1.1000000000000001</v>
      </c>
      <c r="DZ92" s="15">
        <f>MIN(IF($AU92=100%,1,1+VLOOKUP(($AJ92-$AI92-$AH92-$AG92-$AF92-$AE92*(1+DZ$3))/$AJ92,'Технический лист'!$I:$J,2,1)-VLOOKUP($AO92,'Технический лист'!$I:$J,2,1)),1+(1-$AU92))</f>
        <v>1.1000000000000001</v>
      </c>
      <c r="EA92" s="15">
        <f>MIN(IF($AU92=100%,1,1+VLOOKUP(($AJ92-$AI92-$AH92-$AG92-$AF92-$AE92*(1+EA$3))/$AJ92,'Технический лист'!$I:$J,2,1)-VLOOKUP($AO92,'Технический лист'!$I:$J,2,1)),1+(1-$AU92))</f>
        <v>1.1000000000000001</v>
      </c>
      <c r="EB92" s="15">
        <f>MIN(IF($AU92=100%,1,1+VLOOKUP(($AJ92-$AI92-$AH92-$AG92-$AF92-$AE92*(1+EB$3))/$AJ92,'Технический лист'!$I:$J,2,1)-VLOOKUP($AO92,'Технический лист'!$I:$J,2,1)),1+(1-$AU92))</f>
        <v>1.1000000000000001</v>
      </c>
      <c r="EC92" s="15">
        <f>MIN(IF($AU92=100%,1,1+VLOOKUP(($AJ92-$AI92-$AH92-$AG92-$AF92-$AE92*(1+EC$3))/$AJ92,'Технический лист'!$I:$J,2,1)-VLOOKUP($AO92,'Технический лист'!$I:$J,2,1)),1+(1-$AU92))</f>
        <v>1.1000000000000001</v>
      </c>
      <c r="ED92" s="15">
        <f>MIN(IF($AU92=100%,1,1+VLOOKUP(($AJ92-$AI92-$AH92-$AG92-$AF92-$AE92*(1+ED$3))/$AJ92,'Технический лист'!$I:$J,2,1)-VLOOKUP($AO92,'Технический лист'!$I:$J,2,1)),1+(1-$AU92))</f>
        <v>1.1000000000000001</v>
      </c>
      <c r="EE92" s="15">
        <f>MIN(IF($AU92=100%,1,1+VLOOKUP(($AJ92-$AI92-$AH92-$AG92-$AF92-$AE92*(1+EE$3))/$AJ92,'Технический лист'!$I:$J,2,1)-VLOOKUP($AO92,'Технический лист'!$I:$J,2,1)),1+(1-$AU92))</f>
        <v>1.1000000000000001</v>
      </c>
      <c r="EF92" s="15">
        <f>MIN(IF($AU92=100%,1,1+VLOOKUP(($AJ92-$AI92-$AH92-$AG92-$AF92-$AE92*(1+EF$3))/$AJ92,'Технический лист'!$I:$J,2,1)-VLOOKUP($AO92,'Технический лист'!$I:$J,2,1)),1+(1-$AU92))</f>
        <v>1.1000000000000001</v>
      </c>
      <c r="EG92" s="15">
        <f>MIN(IF($AU92=100%,1,1+VLOOKUP(($AJ92-$AI92-$AH92-$AG92-$AF92-$AE92*(1+EG$3))/$AJ92,'Технический лист'!$I:$J,2,1)-VLOOKUP($AO92,'Технический лист'!$I:$J,2,1)),1+(1-$AU92))</f>
        <v>1.1000000000000001</v>
      </c>
      <c r="EH92" s="15">
        <f>MIN(IF($AU92=100%,1,1+VLOOKUP(($AJ92-$AI92-$AH92-$AG92-$AF92-$AE92*(1+EH$3))/$AJ92,'Технический лист'!$I:$J,2,1)-VLOOKUP($AO92,'Технический лист'!$I:$J,2,1)),1+(1-$AU92))</f>
        <v>1.1000000000000001</v>
      </c>
      <c r="EI92" s="15">
        <f>MIN(IF($AU92=100%,1,1+VLOOKUP(($AJ92-$AI92-$AH92-$AG92-$AF92-$AE92*(1+EI$3))/$AJ92,'Технический лист'!$I:$J,2,1)-VLOOKUP($AO92,'Технический лист'!$I:$J,2,1)),1+(1-$AU92))</f>
        <v>1.1000000000000001</v>
      </c>
      <c r="EJ92" s="15">
        <f>MIN(IF($AU92=100%,1,1+VLOOKUP(($AJ92-$AI92-$AH92-$AG92-$AF92-$AE92*(1+EJ$3))/$AJ92,'Технический лист'!$I:$J,2,1)-VLOOKUP($AO92,'Технический лист'!$I:$J,2,1)),1+(1-$AU92))</f>
        <v>1.1000000000000001</v>
      </c>
      <c r="EK92" s="15">
        <f>MIN(IF($AU92=100%,1,1+VLOOKUP(($AJ92-$AI92-$AH92-$AG92-$AF92-$AE92*(1+EK$3))/$AJ92,'Технический лист'!$I:$J,2,1)-VLOOKUP($AO92,'Технический лист'!$I:$J,2,1)),1+(1-$AU92))</f>
        <v>1.0900000000000001</v>
      </c>
      <c r="EL92" s="15">
        <f>MIN(IF($AU92=100%,1,1+VLOOKUP(($AJ92-$AI92-$AH92-$AG92-$AF92-$AE92*(1+EL$3))/$AJ92,'Технический лист'!$I:$J,2,1)-VLOOKUP($AO92,'Технический лист'!$I:$J,2,1)),1+(1-$AU92))</f>
        <v>1.0900000000000001</v>
      </c>
      <c r="EM92" s="15">
        <f>MIN(IF($AU92=100%,1,1+VLOOKUP(($AJ92-$AI92-$AH92-$AG92-$AF92-$AE92*(1+EM$3))/$AJ92,'Технический лист'!$I:$J,2,1)-VLOOKUP($AO92,'Технический лист'!$I:$J,2,1)),1+(1-$AU92))</f>
        <v>1.0900000000000001</v>
      </c>
      <c r="EN92" s="15">
        <f>MIN(IF($AU92=100%,1,1+VLOOKUP(($AJ92-$AI92-$AH92-$AG92-$AF92-$AE92*(1+EN$3))/$AJ92,'Технический лист'!$I:$J,2,1)-VLOOKUP($AO92,'Технический лист'!$I:$J,2,1)),1+(1-$AU92))</f>
        <v>1.0599999999999998</v>
      </c>
      <c r="EO92" s="15">
        <f>MIN(IF($AU92=100%,1,1+VLOOKUP(($AJ92-$AI92-$AH92-$AG92-$AF92-$AE92*(1+EO$3))/$AJ92,'Технический лист'!$I:$J,2,1)-VLOOKUP($AO92,'Технический лист'!$I:$J,2,1)),1+(1-$AU92))</f>
        <v>1.0599999999999998</v>
      </c>
      <c r="EP92" s="15">
        <f>MIN(IF($AU92=100%,1,1+VLOOKUP(($AJ92-$AI92-$AH92-$AG92-$AF92-$AE92*(1+EP$3))/$AJ92,'Технический лист'!$I:$J,2,1)-VLOOKUP($AO92,'Технический лист'!$I:$J,2,1)),1+(1-$AU92))</f>
        <v>1.0599999999999998</v>
      </c>
      <c r="EQ92" s="15">
        <f>MIN(IF($AU92=100%,1,1+VLOOKUP(($AJ92-$AI92-$AH92-$AG92-$AF92-$AE92*(1+EQ$3))/$AJ92,'Технический лист'!$I:$J,2,1)-VLOOKUP($AO92,'Технический лист'!$I:$J,2,1)),1+(1-$AU92))</f>
        <v>1.0599999999999998</v>
      </c>
      <c r="ER92" s="15">
        <f>MIN(IF($AU92=100%,1,1+VLOOKUP(($AJ92-$AI92-$AH92-$AG92-$AF92-$AE92*(1+ER$3))/$AJ92,'Технический лист'!$I:$J,2,1)-VLOOKUP($AO92,'Технический лист'!$I:$J,2,1)),1+(1-$AU92))</f>
        <v>1.03</v>
      </c>
      <c r="ES92" s="15">
        <f>MIN(IF($AU92=100%,1,1+VLOOKUP(($AJ92-$AI92-$AH92-$AG92-$AF92-$AE92*(1+ES$3))/$AJ92,'Технический лист'!$I:$J,2,1)-VLOOKUP($AO92,'Технический лист'!$I:$J,2,1)),1+(1-$AU92))</f>
        <v>1.03</v>
      </c>
      <c r="ET92" s="15">
        <f>MIN(IF($AU92=100%,1,1+VLOOKUP(($AJ92-$AI92-$AH92-$AG92-$AF92-$AE92*(1+ET$3))/$AJ92,'Технический лист'!$I:$J,2,1)-VLOOKUP($AO92,'Технический лист'!$I:$J,2,1)),1+(1-$AU92))</f>
        <v>1.03</v>
      </c>
      <c r="EU92" s="15">
        <f>MIN(IF($AU92=100%,1,1+VLOOKUP(($AJ92-$AI92-$AH92-$AG92-$AF92-$AE92*(1+EU$3))/$AJ92,'Технический лист'!$I:$J,2,1)-VLOOKUP($AO92,'Технический лист'!$I:$J,2,1)),1+(1-$AU92))</f>
        <v>1.0000000000000002</v>
      </c>
      <c r="EV92" s="111">
        <v>1</v>
      </c>
      <c r="EW92" s="15">
        <f>MIN(1,MAX(VLOOKUP(($AJ92-$AI92-$AH92-$AG92-$AF92-$AE92*(1+EW$3))/$AJ92,'Технический лист'!$A:$B,2,1),(EV92-0.05)))</f>
        <v>1</v>
      </c>
      <c r="EX92" s="15">
        <f>MIN(1,MAX(VLOOKUP(($AJ92-$AI92-$AH92-$AG92-$AF92-$AE92*(1+EX$3))/$AJ92,'Технический лист'!$A:$B,2,1),(EW92-0.05)))</f>
        <v>1</v>
      </c>
      <c r="EY92" s="15">
        <f>MIN(1,MAX(VLOOKUP(($AJ92-$AI92-$AH92-$AG92-$AF92-$AE92*(1+EY$3))/$AJ92,'Технический лист'!$A:$B,2,1),(EX92-0.05)))</f>
        <v>1</v>
      </c>
      <c r="EZ92" s="15">
        <f>MIN(1,MAX(VLOOKUP(($AJ92-$AI92-$AH92-$AG92-$AF92-$AE92*(1+EZ$3))/$AJ92,'Технический лист'!$A:$B,2,1),(EY92-0.05)))</f>
        <v>1</v>
      </c>
      <c r="FA92" s="15">
        <f>MIN(1,MAX(VLOOKUP(($AJ92-$AI92-$AH92-$AG92-$AF92-$AE92*(1+FA$3))/$AJ92,'Технический лист'!$A:$B,2,1),(EZ92-0.05)))</f>
        <v>1</v>
      </c>
      <c r="FB92" s="15">
        <f>MIN(1,MAX(VLOOKUP(($AJ92-$AI92-$AH92-$AG92-$AF92-$AE92*(1+FB$3))/$AJ92,'Технический лист'!$A:$B,2,1),(FA92-0.05)))</f>
        <v>1</v>
      </c>
      <c r="FC92" s="15">
        <f>MIN(1,MAX(VLOOKUP(($AJ92-$AI92-$AH92-$AG92-$AF92-$AE92*(1+FC$3))/$AJ92,'Технический лист'!$A:$B,2,1),(FB92-0.05)))</f>
        <v>1</v>
      </c>
      <c r="FD92" s="15">
        <f>MIN(1,MAX(VLOOKUP(($AJ92-$AI92-$AH92-$AG92-$AF92-$AE92*(1+FD$3))/$AJ92,'Технический лист'!$A:$B,2,1),(FC92-0.05)))</f>
        <v>1</v>
      </c>
      <c r="FE92" s="15">
        <f>MIN(1,MAX(VLOOKUP(($AJ92-$AI92-$AH92-$AG92-$AF92-$AE92*(1+FE$3))/$AJ92,'Технический лист'!$A:$B,2,1),(FD92-0.05)))</f>
        <v>1</v>
      </c>
      <c r="FF92" s="15">
        <f>MIN(1,MAX(VLOOKUP(($AJ92-$AI92-$AH92-$AG92-$AF92-$AE92*(1+FF$3))/$AJ92,'Технический лист'!$A:$B,2,1),(FE92-0.05)))</f>
        <v>1</v>
      </c>
      <c r="FG92" s="15">
        <f>MIN(1,MAX(VLOOKUP(($AJ92-$AI92-$AH92-$AG92-$AF92-$AE92*(1+FG$3))/$AJ92,'Технический лист'!$A:$B,2,1),(FF92-0.05)))</f>
        <v>1</v>
      </c>
      <c r="FH92" s="15">
        <f>MIN(1,MAX(VLOOKUP(($AJ92-$AI92-$AH92-$AG92-$AF92-$AE92*(1+FH$3))/$AJ92,'Технический лист'!$A:$B,2,1),(FG92-0.05)))</f>
        <v>1</v>
      </c>
      <c r="FI92" s="15">
        <f>MIN(1,MAX(VLOOKUP(($AJ92-$AI92-$AH92-$AG92-$AF92-$AE92*(1+FI$3))/$AJ92,'Технический лист'!$A:$B,2,1),(FH92-0.05)))</f>
        <v>1</v>
      </c>
      <c r="FJ92" s="15">
        <f>MIN(1,MAX(VLOOKUP(($AJ92-$AI92-$AH92-$AG92-$AF92-$AE92*(1+FJ$3))/$AJ92,'Технический лист'!$A:$B,2,1),(FI92-0.05)))</f>
        <v>1</v>
      </c>
      <c r="FK92" s="15">
        <f>MIN(1,MAX(VLOOKUP(($AJ92-$AI92-$AH92-$AG92-$AF92-$AE92*(1+FK$3))/$AJ92,'Технический лист'!$A:$B,2,1),(FJ92-0.05)))</f>
        <v>1</v>
      </c>
      <c r="FL92" s="15">
        <f>MIN(1,MAX(VLOOKUP(($AJ92-$AI92-$AH92-$AG92-$AF92-$AE92*(1+FL$3))/$AJ92,'Технический лист'!$A:$B,2,1),(FK92-0.05)))</f>
        <v>1</v>
      </c>
      <c r="FM92" s="15">
        <f>MIN(1,MAX(VLOOKUP(($AJ92-$AI92-$AH92-$AG92-$AF92-$AE92*(1+FM$3))/$AJ92,'Технический лист'!$A:$B,2,1),(FL92-0.05)))</f>
        <v>1</v>
      </c>
      <c r="FN92" s="15">
        <f>MIN(1,MAX(VLOOKUP(($AJ92-$AI92-$AH92-$AG92-$AF92-$AE92*(1+FN$3))/$AJ92,'Технический лист'!$A:$B,2,1),(FM92-0.05)))</f>
        <v>1</v>
      </c>
      <c r="FO92" s="15">
        <f>MIN(1,MAX(VLOOKUP(($AJ92-$AI92-$AH92-$AG92-$AF92-$AE92*(1+FO$3))/$AJ92,'Технический лист'!$A:$B,2,1),(FN92-0.05)))</f>
        <v>1</v>
      </c>
      <c r="FP92" s="15">
        <f>MIN(1,MAX(VLOOKUP(($AJ92-$AI92-$AH92-$AG92-$AF92-$AE92*(1+FP$3))/$AJ92,'Технический лист'!$A:$B,2,1),(FO92-0.05)))</f>
        <v>1</v>
      </c>
      <c r="FQ92" s="15">
        <f>MIN(1,MAX(VLOOKUP(($AJ92-$AI92-$AH92-$AG92-$AF92-$AE92*(1+FQ$3))/$AJ92,'Технический лист'!$A:$B,2,1),(FP92-0.05)))</f>
        <v>1</v>
      </c>
      <c r="FR92" s="15">
        <f>MIN(1,MAX(VLOOKUP(($AJ92-$AI92-$AH92-$AG92-$AF92-$AE92*(1+FR$3))/$AJ92,'Технический лист'!$A:$B,2,1),(FQ92-0.05)))</f>
        <v>1</v>
      </c>
      <c r="FS92" s="15">
        <f>MIN(1,MAX(VLOOKUP(($AJ92-$AI92-$AH92-$AG92-$AF92-$AE92*(1+FS$3))/$AJ92,'Технический лист'!$A:$B,2,1),(FR92-0.05)))</f>
        <v>1</v>
      </c>
      <c r="FT92" s="15">
        <f>MIN(1,MAX(VLOOKUP(($AJ92-$AI92-$AH92-$AG92-$AF92-$AE92*(1+FT$3))/$AJ92,'Технический лист'!$A:$B,2,1),(FS92-0.05)))</f>
        <v>1</v>
      </c>
      <c r="FU92" s="15">
        <f>MIN(1,MAX(VLOOKUP(($AJ92-$AI92-$AH92-$AG92-$AF92-$AE92*(1+FU$3))/$AJ92,'Технический лист'!$A:$B,2,1),(FT92-0.05)))</f>
        <v>1</v>
      </c>
      <c r="FV92" s="15">
        <f>MIN(1,MAX(VLOOKUP(($AJ92-$AI92-$AH92-$AG92-$AF92-$AE92*(1+FV$3))/$AJ92,'Технический лист'!$A:$B,2,1),(FU92-0.05)))</f>
        <v>1</v>
      </c>
      <c r="FW92" s="15">
        <f>MIN(1,MAX(VLOOKUP(($AJ92-$AI92-$AH92-$AG92-$AF92-$AE92*(1+FW$3))/$AJ92,'Технический лист'!$A:$B,2,1),(FV92-0.05)))</f>
        <v>1</v>
      </c>
      <c r="FX92" s="15">
        <f>MIN(1,MAX(VLOOKUP(($AJ92-$AI92-$AH92-$AG92-$AF92-$AE92*(1+FX$3))/$AJ92,'Технический лист'!$A:$B,2,1),(FW92-0.05)))</f>
        <v>1</v>
      </c>
      <c r="FY92" s="15">
        <f>MIN(1,MAX(VLOOKUP(($AJ92-$AI92-$AH92-$AG92-$AF92-$AE92*(1+FY$3))/$AJ92,'Технический лист'!$A:$B,2,1),(FX92-0.05)))</f>
        <v>1</v>
      </c>
      <c r="FZ92" s="15">
        <f>MIN(1,MAX(VLOOKUP(($AJ92-$AI92-$AH92-$AG92-$AF92-$AE92*(1+FZ$3))/$AJ92,'Технический лист'!$A:$B,2,1),(FY92-0.05)))</f>
        <v>1</v>
      </c>
      <c r="GA92" s="15">
        <f>MIN(1,MAX(VLOOKUP(($AJ92-$AI92-$AH92-$AG92-$AF92-$AE92*(1+GA$3))/$AJ92,'Технический лист'!$A:$B,2,1),(FZ92-0.05)))</f>
        <v>1</v>
      </c>
      <c r="GB92" s="15">
        <f>MIN(1,MAX(VLOOKUP(($AJ92-$AI92-$AH92-$AG92-$AF92-$AE92*(1+GB$3))/$AJ92,'Технический лист'!$A:$B,2,1),(GA92-0.05)))</f>
        <v>1</v>
      </c>
      <c r="GC92" s="15">
        <f>MIN(1,MAX(VLOOKUP(($AJ92-$AI92-$AH92-$AG92-$AF92-$AE92*(1+GC$3))/$AJ92,'Технический лист'!$A:$B,2,1),(GB92-0.05)))</f>
        <v>1</v>
      </c>
      <c r="GD92" s="15">
        <f>MIN(1,MAX(VLOOKUP(($AJ92-$AI92-$AH92-$AG92-$AF92-$AE92*(1+GD$3))/$AJ92,'Технический лист'!$A:$B,2,1),(GC92-0.05)))</f>
        <v>1</v>
      </c>
      <c r="GE92" s="15">
        <f>MIN(1,MAX(VLOOKUP(($AJ92-$AI92-$AH92-$AG92-$AF92-$AE92*(1+GE$3))/$AJ92,'Технический лист'!$A:$B,2,1),(GD92-0.05)))</f>
        <v>1</v>
      </c>
      <c r="GF92" s="15">
        <f>MIN(1,MAX(VLOOKUP(($AJ92-$AI92-$AH92-$AG92-$AF92-$AE92*(1+GF$3))/$AJ92,'Технический лист'!$A:$B,2,1),(GE92-0.05)))</f>
        <v>1</v>
      </c>
      <c r="GG92" s="15">
        <f>MIN(1,MAX(VLOOKUP(($AJ92-$AI92-$AH92-$AG92-$AF92-$AE92*(1+GG$3))/$AJ92,'Технический лист'!$A:$B,2,1),(GF92-0.05)))</f>
        <v>1</v>
      </c>
      <c r="GH92" s="15">
        <f>MIN(1,MAX(VLOOKUP(($AJ92-$AI92-$AH92-$AG92-$AF92-$AE92*(1+GH$3))/$AJ92,'Технический лист'!$A:$B,2,1),(GG92-0.05)))</f>
        <v>1</v>
      </c>
      <c r="GI92" s="15">
        <f>MIN(1,MAX(VLOOKUP(($AJ92-$AI92-$AH92-$AG92-$AF92-$AE92*(1+GI$3))/$AJ92,'Технический лист'!$A:$B,2,1),(GH92-0.05)))</f>
        <v>1</v>
      </c>
      <c r="GJ92" s="15">
        <f>MIN(1,MAX(VLOOKUP(($AJ92-$AI92-$AH92-$AG92-$AF92-$AE92*(1+GJ$3))/$AJ92,'Технический лист'!$A:$B,2,1),(GI92-0.05)))</f>
        <v>1</v>
      </c>
      <c r="GK92" s="15">
        <f>MIN(1,MAX(VLOOKUP(($AJ92-$AI92-$AH92-$AG92-$AF92-$AE92*(1+GK$3))/$AJ92,'Технический лист'!$A:$B,2,1),(GJ92-0.05)))</f>
        <v>1</v>
      </c>
      <c r="GL92" s="15">
        <f>MIN(1,MAX(VLOOKUP(($AJ92-$AI92-$AH92-$AG92-$AF92-$AE92*(1+GL$3))/$AJ92,'Технический лист'!$A:$B,2,1),(GK92-0.05)))</f>
        <v>1</v>
      </c>
      <c r="GM92" s="15">
        <f>MIN(1,MAX(VLOOKUP(($AJ92-$AI92-$AH92-$AG92-$AF92-$AE92*(1+GM$3))/$AJ92,'Технический лист'!$A:$B,2,1),(GL92-0.05)))</f>
        <v>1</v>
      </c>
      <c r="GN92" s="15">
        <f>MIN(1,MAX(VLOOKUP(($AJ92-$AI92-$AH92-$AG92-$AF92-$AE92*(1+GN$3))/$AJ92,'Технический лист'!$A:$B,2,1),(GM92-0.05)))</f>
        <v>1</v>
      </c>
      <c r="GO92" s="15">
        <f>MIN(1,MAX(VLOOKUP(($AJ92-$AI92-$AH92-$AG92-$AF92-$AE92*(1+GO$3))/$AJ92,'Технический лист'!$A:$B,2,1),(GN92-0.05)))</f>
        <v>1</v>
      </c>
      <c r="GP92" s="15">
        <f>MIN(1,MAX(VLOOKUP(($AJ92-$AI92-$AH92-$AG92-$AF92-$AE92*(1+GP$3))/$AJ92,'Технический лист'!$A:$B,2,1),(GO92-0.05)))</f>
        <v>1</v>
      </c>
      <c r="GQ92" s="15">
        <f>MIN(1,MAX(VLOOKUP(($AJ92-$AI92-$AH92-$AG92-$AF92-$AE92*(1+GQ$3))/$AJ92,'Технический лист'!$A:$B,2,1),(GP92-0.05)))</f>
        <v>1</v>
      </c>
      <c r="GR92" s="15">
        <f>MIN(1,MAX(VLOOKUP(($AJ92-$AI92-$AH92-$AG92-$AF92-$AE92*(1+GR$3))/$AJ92,'Технический лист'!$A:$B,2,1),(GQ92-0.05)))</f>
        <v>1</v>
      </c>
      <c r="GS92" s="15">
        <f>MIN(1,MAX(VLOOKUP(($AJ92-$AI92-$AH92-$AG92-$AF92-$AE92*(1+GS$3))/$AJ92,'Технический лист'!$A:$B,2,1),(GR92-0.05)))</f>
        <v>1</v>
      </c>
      <c r="GT92" s="15">
        <f>MIN(1,MAX(VLOOKUP(($AJ92-$AI92-$AH92-$AG92-$AF92-$AE92*(1+GT$3))/$AJ92,'Технический лист'!$A:$B,2,1),(GS92-0.05)))</f>
        <v>1</v>
      </c>
      <c r="GU92" s="15">
        <f>MIN(1,MAX(VLOOKUP(($AJ92-$AI92-$AH92-$AG92-$AF92-$AE92*(1+GU$3))/$AJ92,'Технический лист'!$A:$B,2,1),(GT92-0.05)))</f>
        <v>1</v>
      </c>
      <c r="GV92" s="15">
        <f>MIN(1,MAX(VLOOKUP(($AJ92-$AI92-$AH92-$AG92-$AF92-$AE92*(1+GV$3))/$AJ92,'Технический лист'!$A:$B,2,1),(GU92-0.05)))</f>
        <v>1</v>
      </c>
      <c r="GW92" s="15">
        <f>MIN(1,MAX(VLOOKUP(($AJ92-$AI92-$AH92-$AG92-$AF92-$AE92*(1+GW$3))/$AJ92,'Технический лист'!$A:$B,2,1),(GV92-0.05)))</f>
        <v>1</v>
      </c>
      <c r="GX92" s="15">
        <f>MIN(1,MAX(VLOOKUP(($AJ92-$AI92-$AH92-$AG92-$AF92-$AE92*(1+GX$3))/$AJ92,'Технический лист'!$A:$B,2,1),(GW92-0.05)))</f>
        <v>1</v>
      </c>
      <c r="GY92" s="15">
        <f>MIN(1,MAX(VLOOKUP(($AJ92-$AI92-$AH92-$AG92-$AF92-$AE92*(1+GY$3))/$AJ92,'Технический лист'!$A:$B,2,1),(GX92-0.05)))</f>
        <v>1</v>
      </c>
      <c r="GZ92" s="15">
        <f>MIN(1,MAX(VLOOKUP(($AJ92-$AI92-$AH92-$AG92-$AF92-$AE92*(1+GZ$3))/$AJ92,'Технический лист'!$A:$B,2,1),(GY92-0.05)))</f>
        <v>1</v>
      </c>
      <c r="HA92" s="15">
        <f>MIN(1,MAX(VLOOKUP(($AJ92-$AI92-$AH92-$AG92-$AF92-$AE92*(1+HA$3))/$AJ92,'Технический лист'!$A:$B,2,1),(GZ92-0.05)))</f>
        <v>1</v>
      </c>
      <c r="HB92" s="15">
        <f>MIN(1,MAX(VLOOKUP(($AJ92-$AI92-$AH92-$AG92-$AF92-$AE92*(1+HB$3))/$AJ92,'Технический лист'!$A:$B,2,1),(HA92-0.05)))</f>
        <v>1</v>
      </c>
      <c r="HC92" s="15">
        <f>MIN(1,MAX(VLOOKUP(($AJ92-$AI92-$AH92-$AG92-$AF92-$AE92*(1+HC$3))/$AJ92,'Технический лист'!$A:$B,2,1),(HB92-0.05)))</f>
        <v>1</v>
      </c>
      <c r="HD92" s="15">
        <f>MIN(1,MAX(VLOOKUP(($AJ92-$AI92-$AH92-$AG92-$AF92-$AE92*(1+HD$3))/$AJ92,'Технический лист'!$A:$B,2,1),(HC92-0.05)))</f>
        <v>1</v>
      </c>
      <c r="HE92" s="15">
        <f>MIN(1,MAX(VLOOKUP(($AJ92-$AI92-$AH92-$AG92-$AF92-$AE92*(1+HE$3))/$AJ92,'Технический лист'!$A:$B,2,1),(HD92-0.05)))</f>
        <v>1</v>
      </c>
      <c r="HF92" s="15">
        <f>MIN(1,MAX(VLOOKUP(($AJ92-$AI92-$AH92-$AG92-$AF92-$AE92*(1+HF$3))/$AJ92,'Технический лист'!$A:$B,2,1),(HE92-0.05)))</f>
        <v>1</v>
      </c>
      <c r="HG92" s="15">
        <f>MIN(1,MAX(VLOOKUP(($AJ92-$AI92-$AH92-$AG92-$AF92-$AE92*(1+HG$3))/$AJ92,'Технический лист'!$A:$B,2,1),(HF92-0.05)))</f>
        <v>1</v>
      </c>
      <c r="HH92" s="15">
        <f>MIN(1,MAX(VLOOKUP(($AJ92-$AI92-$AH92-$AG92-$AF92-$AE92*(1+HH$3))/$AJ92,'Технический лист'!$A:$B,2,1),(HG92-0.05)))</f>
        <v>1</v>
      </c>
      <c r="HI92" s="15">
        <f>MIN(1,MAX(VLOOKUP(($AJ92-$AI92-$AH92-$AG92-$AF92-$AE92*(1+HI$3))/$AJ92,'Технический лист'!$A:$B,2,1),(HH92-0.05)))</f>
        <v>1</v>
      </c>
      <c r="HJ92" s="15">
        <f>MIN(1,MAX(VLOOKUP(($AJ92-$AI92-$AH92-$AG92-$AF92-$AE92*(1+HJ$3))/$AJ92,'Технический лист'!$A:$B,2,1),(HI92-0.05)))</f>
        <v>1</v>
      </c>
      <c r="HK92" s="15">
        <f>MIN(1,MAX(VLOOKUP(($AJ92-$AI92-$AH92-$AG92-$AF92-$AE92*(1+HK$3))/$AJ92,'Технический лист'!$A:$B,2,1),(HJ92-0.05)))</f>
        <v>1</v>
      </c>
      <c r="HL92" s="15">
        <f>MIN(1,MAX(VLOOKUP(($AJ92-$AI92-$AH92-$AG92-$AF92-$AE92*(1+HL$3))/$AJ92,'Технический лист'!$A:$B,2,1),(HK92-0.05)))</f>
        <v>1</v>
      </c>
      <c r="HM92" s="15">
        <f>MIN(1,MAX(VLOOKUP(($AJ92-$AI92-$AH92-$AG92-$AF92-$AE92*(1+HM$3))/$AJ92,'Технический лист'!$A:$B,2,1),(HL92-0.05)))</f>
        <v>1</v>
      </c>
      <c r="HN92" s="15">
        <f>MIN(1,MAX(VLOOKUP(($AJ92-$AI92-$AH92-$AG92-$AF92-$AE92*(1+HN$3))/$AJ92,'Технический лист'!$A:$B,2,1),(HM92-0.05)))</f>
        <v>1</v>
      </c>
      <c r="HO92" s="15">
        <f>MIN(1,MAX(VLOOKUP(($AJ92-$AI92-$AH92-$AG92-$AF92-$AE92*(1+HO$3))/$AJ92,'Технический лист'!$A:$B,2,1),(HN92-0.05)))</f>
        <v>1</v>
      </c>
      <c r="HP92" s="15">
        <f>MIN(1,MAX(VLOOKUP(($AJ92-$AI92-$AH92-$AG92-$AF92-$AE92*(1+HP$3))/$AJ92,'Технический лист'!$A:$B,2,1),(HO92-0.05)))</f>
        <v>1</v>
      </c>
      <c r="HQ92" s="15">
        <f>MIN(1,MAX(VLOOKUP(($AJ92-$AI92-$AH92-$AG92-$AF92-$AE92*(1+HQ$3))/$AJ92,'Технический лист'!$A:$B,2,1),(HP92-0.05)))</f>
        <v>0.995</v>
      </c>
      <c r="HR92" s="15">
        <f>MIN(1,MAX(VLOOKUP(($AJ92-$AI92-$AH92-$AG92-$AF92-$AE92*(1+HR$3))/$AJ92,'Технический лист'!$A:$B,2,1),(HQ92-0.05)))</f>
        <v>0.995</v>
      </c>
      <c r="HS92" s="15">
        <f>MIN(1,MAX(VLOOKUP(($AJ92-$AI92-$AH92-$AG92-$AF92-$AE92*(1+HS$3))/$AJ92,'Технический лист'!$A:$B,2,1),(HR92-0.05)))</f>
        <v>0.995</v>
      </c>
      <c r="HT92" s="15">
        <f>MIN(1,MAX(VLOOKUP(($AJ92-$AI92-$AH92-$AG92-$AF92-$AE92*(1+HT$3))/$AJ92,'Технический лист'!$A:$B,2,1),(HS92-0.05)))</f>
        <v>0.995</v>
      </c>
      <c r="HU92" s="15">
        <f>MIN(1,MAX(VLOOKUP(($AJ92-$AI92-$AH92-$AG92-$AF92-$AE92*(1+HU$3))/$AJ92,'Технический лист'!$A:$B,2,1),(HT92-0.05)))</f>
        <v>0.995</v>
      </c>
      <c r="HV92" s="15">
        <f>MIN(1,MAX(VLOOKUP(($AJ92-$AI92-$AH92-$AG92-$AF92-$AE92*(1+HV$3))/$AJ92,'Технический лист'!$A:$B,2,1),(HU92-0.05)))</f>
        <v>0.995</v>
      </c>
      <c r="HW92" s="15">
        <f>MIN(1,MAX(VLOOKUP(($AJ92-$AI92-$AH92-$AG92-$AF92-$AE92*(1+HW$3))/$AJ92,'Технический лист'!$A:$B,2,1),(HV92-0.05)))</f>
        <v>0.995</v>
      </c>
      <c r="HX92" s="15">
        <f>MIN(1,MAX(VLOOKUP(($AJ92-$AI92-$AH92-$AG92-$AF92-$AE92*(1+HX$3))/$AJ92,'Технический лист'!$A:$B,2,1),(HW92-0.05)))</f>
        <v>0.99</v>
      </c>
      <c r="HY92" s="15">
        <f>MIN(1,MAX(VLOOKUP(($AJ92-$AI92-$AH92-$AG92-$AF92-$AE92*(1+HY$3))/$AJ92,'Технический лист'!$A:$B,2,1),(HX92-0.05)))</f>
        <v>0.99</v>
      </c>
      <c r="HZ92" s="15">
        <f>MIN(1,MAX(VLOOKUP(($AJ92-$AI92-$AH92-$AG92-$AF92-$AE92*(1+HZ$3))/$AJ92,'Технический лист'!$A:$B,2,1),(HY92-0.05)))</f>
        <v>0.99</v>
      </c>
      <c r="IA92" s="15">
        <f>MIN(1,MAX(VLOOKUP(($AJ92-$AI92-$AH92-$AG92-$AF92-$AE92*(1+IA$3))/$AJ92,'Технический лист'!$A:$B,2,1),(HZ92-0.05)))</f>
        <v>0.99</v>
      </c>
      <c r="IB92" s="15">
        <f>MIN(1,MAX(VLOOKUP(($AJ92-$AI92-$AH92-$AG92-$AF92-$AE92*(1+IB$3))/$AJ92,'Технический лист'!$A:$B,2,1),(IA92-0.05)))</f>
        <v>0.99</v>
      </c>
      <c r="IC92" s="15">
        <f>MIN(1,MAX(VLOOKUP(($AJ92-$AI92-$AH92-$AG92-$AF92-$AE92*(1+IC$3))/$AJ92,'Технический лист'!$A:$B,2,1),(IB92-0.05)))</f>
        <v>0.99</v>
      </c>
      <c r="ID92" s="15">
        <f>MIN(1,MAX(VLOOKUP(($AJ92-$AI92-$AH92-$AG92-$AF92-$AE92*(1+ID$3))/$AJ92,'Технический лист'!$A:$B,2,1),(IC92-0.05)))</f>
        <v>0.99</v>
      </c>
      <c r="IE92" s="15">
        <f>MIN(1,MAX(VLOOKUP(($AJ92-$AI92-$AH92-$AG92-$AF92-$AE92*(1+IE$3))/$AJ92,'Технический лист'!$A:$B,2,1),(ID92-0.05)))</f>
        <v>0.98499999999999999</v>
      </c>
      <c r="IF92" s="15">
        <f>MIN(1,MAX(VLOOKUP(($AJ92-$AI92-$AH92-$AG92-$AF92-$AE92*(1+IF$3))/$AJ92,'Технический лист'!$A:$B,2,1),(IE92-0.05)))</f>
        <v>0.98499999999999999</v>
      </c>
      <c r="IG92" s="15">
        <f>MIN(1,MAX(VLOOKUP(($AJ92-$AI92-$AH92-$AG92-$AF92-$AE92*(1+IG$3))/$AJ92,'Технический лист'!$A:$B,2,1),(IF92-0.05)))</f>
        <v>0.98499999999999999</v>
      </c>
      <c r="IH92" s="15">
        <f>MIN(1,MAX(VLOOKUP(($AJ92-$AI92-$AH92-$AG92-$AF92-$AE92*(1+IH$3))/$AJ92,'Технический лист'!$A:$B,2,1),(IG92-0.05)))</f>
        <v>0.98499999999999999</v>
      </c>
      <c r="II92" s="15">
        <f>MIN(1,MAX(VLOOKUP(($AJ92-$AI92-$AH92-$AG92-$AF92-$AE92*(1+II$3))/$AJ92,'Технический лист'!$A:$B,2,1),(IH92-0.05)))</f>
        <v>0.98499999999999999</v>
      </c>
      <c r="IJ92" s="15">
        <f>MIN(1,MAX(VLOOKUP(($AJ92-$AI92-$AH92-$AG92-$AF92-$AE92*(1+IJ$3))/$AJ92,'Технический лист'!$A:$B,2,1),(II92-0.05)))</f>
        <v>0.98499999999999999</v>
      </c>
      <c r="IK92" s="15">
        <f>MIN(1,MAX(VLOOKUP(($AJ92-$AI92-$AH92-$AG92-$AF92-$AE92*(1+IK$3))/$AJ92,'Технический лист'!$A:$B,2,1),(IJ92-0.05)))</f>
        <v>0.98499999999999999</v>
      </c>
      <c r="IL92" s="15">
        <f>MIN(1,MAX(VLOOKUP(($AJ92-$AI92-$AH92-$AG92-$AF92-$AE92*(1+IL$3))/$AJ92,'Технический лист'!$A:$B,2,1),(IK92-0.05)))</f>
        <v>0.98</v>
      </c>
      <c r="IM92" s="15">
        <f>MIN(1,MAX(VLOOKUP(($AJ92-$AI92-$AH92-$AG92-$AF92-$AE92*(1+IM$3))/$AJ92,'Технический лист'!$A:$B,2,1),(IL92-0.05)))</f>
        <v>0.98</v>
      </c>
      <c r="IN92" s="15">
        <f>MIN(1,MAX(VLOOKUP(($AJ92-$AI92-$AH92-$AG92-$AF92-$AE92*(1+IN$3))/$AJ92,'Технический лист'!$A:$B,2,1),(IM92-0.05)))</f>
        <v>0.98</v>
      </c>
      <c r="IO92" s="15">
        <f>MIN(1,MAX(VLOOKUP(($AJ92-$AI92-$AH92-$AG92-$AF92-$AE92*(1+IO$3))/$AJ92,'Технический лист'!$A:$B,2,1),(IN92-0.05)))</f>
        <v>0.98</v>
      </c>
      <c r="IP92" s="15">
        <f>MIN(1,MAX(VLOOKUP(($AJ92-$AI92-$AH92-$AG92-$AF92-$AE92*(1+IP$3))/$AJ92,'Технический лист'!$A:$B,2,1),(IO92-0.05)))</f>
        <v>0.98</v>
      </c>
      <c r="IQ92" s="15">
        <f>MIN(1,MAX(VLOOKUP(($AJ92-$AI92-$AH92-$AG92-$AF92-$AE92*(1+IQ$3))/$AJ92,'Технический лист'!$A:$B,2,1),(IP92-0.05)))</f>
        <v>0.98</v>
      </c>
      <c r="IR92" s="15">
        <f>MIN(1,MAX(VLOOKUP(($AJ92-$AI92-$AH92-$AG92-$AF92-$AE92*(1+IR$3))/$AJ92,'Технический лист'!$A:$B,2,1),(IQ92-0.05)))</f>
        <v>0.97499999999999998</v>
      </c>
    </row>
    <row r="93" spans="1:252" ht="58.3">
      <c r="A93" s="89" t="s">
        <v>515</v>
      </c>
      <c r="B93" s="90">
        <v>5</v>
      </c>
      <c r="C93" s="5" t="s">
        <v>68</v>
      </c>
      <c r="D93" s="91">
        <v>32411</v>
      </c>
      <c r="E93" s="91" t="s">
        <v>340</v>
      </c>
      <c r="F93" s="92" t="s">
        <v>75</v>
      </c>
      <c r="G93" s="91" t="s">
        <v>28</v>
      </c>
      <c r="H93" s="91" t="s">
        <v>26</v>
      </c>
      <c r="I93" s="91" t="s">
        <v>164</v>
      </c>
      <c r="J93" s="91" t="s">
        <v>85</v>
      </c>
      <c r="K93" s="91">
        <v>894</v>
      </c>
      <c r="L93" s="85" t="s">
        <v>64</v>
      </c>
      <c r="M93" s="91" t="s">
        <v>17</v>
      </c>
      <c r="N93" s="91" t="s">
        <v>191</v>
      </c>
      <c r="O93" s="91" t="s">
        <v>193</v>
      </c>
      <c r="P93" s="89" t="s">
        <v>241</v>
      </c>
      <c r="Q93" s="91" t="s">
        <v>287</v>
      </c>
      <c r="R93" s="91" t="s">
        <v>267</v>
      </c>
      <c r="S93" s="82">
        <v>5295</v>
      </c>
      <c r="T93" s="82">
        <v>4735042</v>
      </c>
      <c r="U93" s="81">
        <v>82</v>
      </c>
      <c r="V93" s="81">
        <v>0</v>
      </c>
      <c r="W93" s="82">
        <v>11170650</v>
      </c>
      <c r="X93" s="112">
        <v>67</v>
      </c>
      <c r="Y93" s="112" t="s">
        <v>417</v>
      </c>
      <c r="Z93" s="113">
        <v>5</v>
      </c>
      <c r="AA93" s="113">
        <v>3</v>
      </c>
      <c r="AB93" s="113">
        <v>4</v>
      </c>
      <c r="AC93" s="99">
        <v>2043.6</v>
      </c>
      <c r="AD93" s="99">
        <f t="shared" si="37"/>
        <v>250.78999999999996</v>
      </c>
      <c r="AE93" s="99">
        <v>2294.39</v>
      </c>
      <c r="AF93" s="98">
        <f>(Z93+AA93+AB93)*'Ставки аренды'!$B$3/X93</f>
        <v>125.3731343283582</v>
      </c>
      <c r="AG93" s="114">
        <v>0</v>
      </c>
      <c r="AH93" s="94">
        <v>0</v>
      </c>
      <c r="AI93" s="115">
        <f>240828/411356*AVERAGE(AJ91,AJ93)</f>
        <v>21190.24089530723</v>
      </c>
      <c r="AJ93" s="117">
        <f>Цены!C24*'Курсы валют'!B2</f>
        <v>37389.695</v>
      </c>
      <c r="AK93" s="94">
        <f>AJ93/Цены!$B$1</f>
        <v>490</v>
      </c>
      <c r="AL93" s="95">
        <f t="shared" si="24"/>
        <v>2419.7631343283579</v>
      </c>
      <c r="AM93" s="95">
        <f t="shared" si="25"/>
        <v>34969.931865671642</v>
      </c>
      <c r="AN93" s="94">
        <f t="shared" si="22"/>
        <v>23610.004029635587</v>
      </c>
      <c r="AO93" s="118">
        <f t="shared" si="23"/>
        <v>0.36854248130038003</v>
      </c>
      <c r="AP93" s="96">
        <f t="shared" si="26"/>
        <v>6.4717380934194782E-2</v>
      </c>
      <c r="AQ93" s="96">
        <f t="shared" si="27"/>
        <v>6.136423418270729E-2</v>
      </c>
      <c r="AR93" s="96">
        <f t="shared" si="28"/>
        <v>0.94818784840973402</v>
      </c>
      <c r="AS93" s="122">
        <v>1</v>
      </c>
      <c r="AT93" s="121">
        <f t="shared" si="29"/>
        <v>5295</v>
      </c>
      <c r="AU93" s="83">
        <v>0.9</v>
      </c>
      <c r="AV93" s="119">
        <f t="shared" si="30"/>
        <v>0.36117877319845509</v>
      </c>
      <c r="AW93" s="120">
        <f t="shared" si="31"/>
        <v>7.2081089036119664E-2</v>
      </c>
      <c r="AX93" s="120">
        <f t="shared" si="32"/>
        <v>6.8727942284632179E-2</v>
      </c>
      <c r="AY93" s="120">
        <f t="shared" si="33"/>
        <v>0.95348090884410419</v>
      </c>
      <c r="AZ93" s="15">
        <f>MIN(IF($AU93=100%,1,1+VLOOKUP(($AJ93-$AI93-$AH93-$AG93-$AF93-$AE93*(1+AZ$3))/$AJ93,'Технический лист'!$I:$J,2,1)-VLOOKUP($AO93,'Технический лист'!$I:$J,2,1)),1+(1-$AU93))</f>
        <v>1</v>
      </c>
      <c r="BA93" s="15">
        <f>MIN(IF($AU93=100%,1,1+VLOOKUP(($AJ93-$AI93-$AH93-$AG93-$AF93-$AE93*(1+BA$3))/$AJ93,'Технический лист'!$I:$J,2,1)-VLOOKUP($AO93,'Технический лист'!$I:$J,2,1)),1+(1-$AU93))</f>
        <v>1</v>
      </c>
      <c r="BB93" s="15">
        <f>MIN(IF($AU93=100%,1,1+VLOOKUP(($AJ93-$AI93-$AH93-$AG93-$AF93-$AE93*(1+BB$3))/$AJ93,'Технический лист'!$I:$J,2,1)-VLOOKUP($AO93,'Технический лист'!$I:$J,2,1)),1+(1-$AU93))</f>
        <v>1</v>
      </c>
      <c r="BC93" s="15">
        <f>MIN(IF($AU93=100%,1,1+VLOOKUP(($AJ93-$AI93-$AH93-$AG93-$AF93-$AE93*(1+BC$3))/$AJ93,'Технический лист'!$I:$J,2,1)-VLOOKUP($AO93,'Технический лист'!$I:$J,2,1)),1+(1-$AU93))</f>
        <v>1</v>
      </c>
      <c r="BD93" s="15">
        <f>MIN(IF($AU93=100%,1,1+VLOOKUP(($AJ93-$AI93-$AH93-$AG93-$AF93-$AE93*(1+BD$3))/$AJ93,'Технический лист'!$I:$J,2,1)-VLOOKUP($AO93,'Технический лист'!$I:$J,2,1)),1+(1-$AU93))</f>
        <v>1</v>
      </c>
      <c r="BE93" s="15">
        <f>MIN(IF($AU93=100%,1,1+VLOOKUP(($AJ93-$AI93-$AH93-$AG93-$AF93-$AE93*(1+BE$3))/$AJ93,'Технический лист'!$I:$J,2,1)-VLOOKUP($AO93,'Технический лист'!$I:$J,2,1)),1+(1-$AU93))</f>
        <v>1</v>
      </c>
      <c r="BF93" s="15">
        <f>MIN(IF($AU93=100%,1,1+VLOOKUP(($AJ93-$AI93-$AH93-$AG93-$AF93-$AE93*(1+BF$3))/$AJ93,'Технический лист'!$I:$J,2,1)-VLOOKUP($AO93,'Технический лист'!$I:$J,2,1)),1+(1-$AU93))</f>
        <v>1</v>
      </c>
      <c r="BG93" s="15">
        <f>MIN(IF($AU93=100%,1,1+VLOOKUP(($AJ93-$AI93-$AH93-$AG93-$AF93-$AE93*(1+BG$3))/$AJ93,'Технический лист'!$I:$J,2,1)-VLOOKUP($AO93,'Технический лист'!$I:$J,2,1)),1+(1-$AU93))</f>
        <v>1</v>
      </c>
      <c r="BH93" s="15">
        <f>MIN(IF($AU93=100%,1,1+VLOOKUP(($AJ93-$AI93-$AH93-$AG93-$AF93-$AE93*(1+BH$3))/$AJ93,'Технический лист'!$I:$J,2,1)-VLOOKUP($AO93,'Технический лист'!$I:$J,2,1)),1+(1-$AU93))</f>
        <v>1</v>
      </c>
      <c r="BI93" s="15">
        <f>MIN(IF($AU93=100%,1,1+VLOOKUP(($AJ93-$AI93-$AH93-$AG93-$AF93-$AE93*(1+BI$3))/$AJ93,'Технический лист'!$I:$J,2,1)-VLOOKUP($AO93,'Технический лист'!$I:$J,2,1)),1+(1-$AU93))</f>
        <v>1</v>
      </c>
      <c r="BJ93" s="15">
        <f>MIN(IF($AU93=100%,1,1+VLOOKUP(($AJ93-$AI93-$AH93-$AG93-$AF93-$AE93*(1+BJ$3))/$AJ93,'Технический лист'!$I:$J,2,1)-VLOOKUP($AO93,'Технический лист'!$I:$J,2,1)),1+(1-$AU93))</f>
        <v>1</v>
      </c>
      <c r="BK93" s="15">
        <f>MIN(IF($AU93=100%,1,1+VLOOKUP(($AJ93-$AI93-$AH93-$AG93-$AF93-$AE93*(1+BK$3))/$AJ93,'Технический лист'!$I:$J,2,1)-VLOOKUP($AO93,'Технический лист'!$I:$J,2,1)),1+(1-$AU93))</f>
        <v>1</v>
      </c>
      <c r="BL93" s="15">
        <f>MIN(IF($AU93=100%,1,1+VLOOKUP(($AJ93-$AI93-$AH93-$AG93-$AF93-$AE93*(1+BL$3))/$AJ93,'Технический лист'!$I:$J,2,1)-VLOOKUP($AO93,'Технический лист'!$I:$J,2,1)),1+(1-$AU93))</f>
        <v>1</v>
      </c>
      <c r="BM93" s="15">
        <f>MIN(IF($AU93=100%,1,1+VLOOKUP(($AJ93-$AI93-$AH93-$AG93-$AF93-$AE93*(1+BM$3))/$AJ93,'Технический лист'!$I:$J,2,1)-VLOOKUP($AO93,'Технический лист'!$I:$J,2,1)),1+(1-$AU93))</f>
        <v>1</v>
      </c>
      <c r="BN93" s="15">
        <f>MIN(IF($AU93=100%,1,1+VLOOKUP(($AJ93-$AI93-$AH93-$AG93-$AF93-$AE93*(1+BN$3))/$AJ93,'Технический лист'!$I:$J,2,1)-VLOOKUP($AO93,'Технический лист'!$I:$J,2,1)),1+(1-$AU93))</f>
        <v>1</v>
      </c>
      <c r="BO93" s="15">
        <f>MIN(IF($AU93=100%,1,1+VLOOKUP(($AJ93-$AI93-$AH93-$AG93-$AF93-$AE93*(1+BO$3))/$AJ93,'Технический лист'!$I:$J,2,1)-VLOOKUP($AO93,'Технический лист'!$I:$J,2,1)),1+(1-$AU93))</f>
        <v>1</v>
      </c>
      <c r="BP93" s="15">
        <f>MIN(IF($AU93=100%,1,1+VLOOKUP(($AJ93-$AI93-$AH93-$AG93-$AF93-$AE93*(1+BP$3))/$AJ93,'Технический лист'!$I:$J,2,1)-VLOOKUP($AO93,'Технический лист'!$I:$J,2,1)),1+(1-$AU93))</f>
        <v>1</v>
      </c>
      <c r="BQ93" s="15">
        <f>MIN(IF($AU93=100%,1,1+VLOOKUP(($AJ93-$AI93-$AH93-$AG93-$AF93-$AE93*(1+BQ$3))/$AJ93,'Технический лист'!$I:$J,2,1)-VLOOKUP($AO93,'Технический лист'!$I:$J,2,1)),1+(1-$AU93))</f>
        <v>1</v>
      </c>
      <c r="BR93" s="15">
        <f>MIN(IF($AU93=100%,1,1+VLOOKUP(($AJ93-$AI93-$AH93-$AG93-$AF93-$AE93*(1+BR$3))/$AJ93,'Технический лист'!$I:$J,2,1)-VLOOKUP($AO93,'Технический лист'!$I:$J,2,1)),1+(1-$AU93))</f>
        <v>1</v>
      </c>
      <c r="BS93" s="15">
        <f>MIN(IF($AU93=100%,1,1+VLOOKUP(($AJ93-$AI93-$AH93-$AG93-$AF93-$AE93*(1+BS$3))/$AJ93,'Технический лист'!$I:$J,2,1)-VLOOKUP($AO93,'Технический лист'!$I:$J,2,1)),1+(1-$AU93))</f>
        <v>1</v>
      </c>
      <c r="BT93" s="15">
        <f>MIN(IF($AU93=100%,1,1+VLOOKUP(($AJ93-$AI93-$AH93-$AG93-$AF93-$AE93*(1+BT$3))/$AJ93,'Технический лист'!$I:$J,2,1)-VLOOKUP($AO93,'Технический лист'!$I:$J,2,1)),1+(1-$AU93))</f>
        <v>1</v>
      </c>
      <c r="BU93" s="15">
        <f>MIN(IF($AU93=100%,1,1+VLOOKUP(($AJ93-$AI93-$AH93-$AG93-$AF93-$AE93*(1+BU$3))/$AJ93,'Технический лист'!$I:$J,2,1)-VLOOKUP($AO93,'Технический лист'!$I:$J,2,1)),1+(1-$AU93))</f>
        <v>1</v>
      </c>
      <c r="BV93" s="15">
        <f>MIN(IF($AU93=100%,1,1+VLOOKUP(($AJ93-$AI93-$AH93-$AG93-$AF93-$AE93*(1+BV$3))/$AJ93,'Технический лист'!$I:$J,2,1)-VLOOKUP($AO93,'Технический лист'!$I:$J,2,1)),1+(1-$AU93))</f>
        <v>1</v>
      </c>
      <c r="BW93" s="15">
        <f>MIN(IF($AU93=100%,1,1+VLOOKUP(($AJ93-$AI93-$AH93-$AG93-$AF93-$AE93*(1+BW$3))/$AJ93,'Технический лист'!$I:$J,2,1)-VLOOKUP($AO93,'Технический лист'!$I:$J,2,1)),1+(1-$AU93))</f>
        <v>1</v>
      </c>
      <c r="BX93" s="15">
        <f>MIN(IF($AU93=100%,1,1+VLOOKUP(($AJ93-$AI93-$AH93-$AG93-$AF93-$AE93*(1+BX$3))/$AJ93,'Технический лист'!$I:$J,2,1)-VLOOKUP($AO93,'Технический лист'!$I:$J,2,1)),1+(1-$AU93))</f>
        <v>1</v>
      </c>
      <c r="BY93" s="15">
        <f>MIN(IF($AU93=100%,1,1+VLOOKUP(($AJ93-$AI93-$AH93-$AG93-$AF93-$AE93*(1+BY$3))/$AJ93,'Технический лист'!$I:$J,2,1)-VLOOKUP($AO93,'Технический лист'!$I:$J,2,1)),1+(1-$AU93))</f>
        <v>1</v>
      </c>
      <c r="BZ93" s="15">
        <f>MIN(IF($AU93=100%,1,1+VLOOKUP(($AJ93-$AI93-$AH93-$AG93-$AF93-$AE93*(1+BZ$3))/$AJ93,'Технический лист'!$I:$J,2,1)-VLOOKUP($AO93,'Технический лист'!$I:$J,2,1)),1+(1-$AU93))</f>
        <v>1</v>
      </c>
      <c r="CA93" s="15">
        <f>MIN(IF($AU93=100%,1,1+VLOOKUP(($AJ93-$AI93-$AH93-$AG93-$AF93-$AE93*(1+CA$3))/$AJ93,'Технический лист'!$I:$J,2,1)-VLOOKUP($AO93,'Технический лист'!$I:$J,2,1)),1+(1-$AU93))</f>
        <v>1</v>
      </c>
      <c r="CB93" s="15">
        <f>MIN(IF($AU93=100%,1,1+VLOOKUP(($AJ93-$AI93-$AH93-$AG93-$AF93-$AE93*(1+CB$3))/$AJ93,'Технический лист'!$I:$J,2,1)-VLOOKUP($AO93,'Технический лист'!$I:$J,2,1)),1+(1-$AU93))</f>
        <v>1</v>
      </c>
      <c r="CC93" s="15">
        <f>MIN(IF($AU93=100%,1,1+VLOOKUP(($AJ93-$AI93-$AH93-$AG93-$AF93-$AE93*(1+CC$3))/$AJ93,'Технический лист'!$I:$J,2,1)-VLOOKUP($AO93,'Технический лист'!$I:$J,2,1)),1+(1-$AU93))</f>
        <v>1</v>
      </c>
      <c r="CD93" s="15">
        <f>MIN(IF($AU93=100%,1,1+VLOOKUP(($AJ93-$AI93-$AH93-$AG93-$AF93-$AE93*(1+CD$3))/$AJ93,'Технический лист'!$I:$J,2,1)-VLOOKUP($AO93,'Технический лист'!$I:$J,2,1)),1+(1-$AU93))</f>
        <v>1</v>
      </c>
      <c r="CE93" s="15">
        <f>MIN(IF($AU93=100%,1,1+VLOOKUP(($AJ93-$AI93-$AH93-$AG93-$AF93-$AE93*(1+CE$3))/$AJ93,'Технический лист'!$I:$J,2,1)-VLOOKUP($AO93,'Технический лист'!$I:$J,2,1)),1+(1-$AU93))</f>
        <v>1</v>
      </c>
      <c r="CF93" s="15">
        <f>MIN(IF($AU93=100%,1,1+VLOOKUP(($AJ93-$AI93-$AH93-$AG93-$AF93-$AE93*(1+CF$3))/$AJ93,'Технический лист'!$I:$J,2,1)-VLOOKUP($AO93,'Технический лист'!$I:$J,2,1)),1+(1-$AU93))</f>
        <v>1</v>
      </c>
      <c r="CG93" s="15">
        <f>MIN(IF($AU93=100%,1,1+VLOOKUP(($AJ93-$AI93-$AH93-$AG93-$AF93-$AE93*(1+CG$3))/$AJ93,'Технический лист'!$I:$J,2,1)-VLOOKUP($AO93,'Технический лист'!$I:$J,2,1)),1+(1-$AU93))</f>
        <v>1</v>
      </c>
      <c r="CH93" s="15">
        <f>MIN(IF($AU93=100%,1,1+VLOOKUP(($AJ93-$AI93-$AH93-$AG93-$AF93-$AE93*(1+CH$3))/$AJ93,'Технический лист'!$I:$J,2,1)-VLOOKUP($AO93,'Технический лист'!$I:$J,2,1)),1+(1-$AU93))</f>
        <v>1</v>
      </c>
      <c r="CI93" s="15">
        <f>MIN(IF($AU93=100%,1,1+VLOOKUP(($AJ93-$AI93-$AH93-$AG93-$AF93-$AE93*(1+CI$3))/$AJ93,'Технический лист'!$I:$J,2,1)-VLOOKUP($AO93,'Технический лист'!$I:$J,2,1)),1+(1-$AU93))</f>
        <v>1</v>
      </c>
      <c r="CJ93" s="15">
        <f>MIN(IF($AU93=100%,1,1+VLOOKUP(($AJ93-$AI93-$AH93-$AG93-$AF93-$AE93*(1+CJ$3))/$AJ93,'Технический лист'!$I:$J,2,1)-VLOOKUP($AO93,'Технический лист'!$I:$J,2,1)),1+(1-$AU93))</f>
        <v>1</v>
      </c>
      <c r="CK93" s="15">
        <f>MIN(IF($AU93=100%,1,1+VLOOKUP(($AJ93-$AI93-$AH93-$AG93-$AF93-$AE93*(1+CK$3))/$AJ93,'Технический лист'!$I:$J,2,1)-VLOOKUP($AO93,'Технический лист'!$I:$J,2,1)),1+(1-$AU93))</f>
        <v>1</v>
      </c>
      <c r="CL93" s="15">
        <f>MIN(IF($AU93=100%,1,1+VLOOKUP(($AJ93-$AI93-$AH93-$AG93-$AF93-$AE93*(1+CL$3))/$AJ93,'Технический лист'!$I:$J,2,1)-VLOOKUP($AO93,'Технический лист'!$I:$J,2,1)),1+(1-$AU93))</f>
        <v>1</v>
      </c>
      <c r="CM93" s="15">
        <f>MIN(IF($AU93=100%,1,1+VLOOKUP(($AJ93-$AI93-$AH93-$AG93-$AF93-$AE93*(1+CM$3))/$AJ93,'Технический лист'!$I:$J,2,1)-VLOOKUP($AO93,'Технический лист'!$I:$J,2,1)),1+(1-$AU93))</f>
        <v>1</v>
      </c>
      <c r="CN93" s="15">
        <f>MIN(IF($AU93=100%,1,1+VLOOKUP(($AJ93-$AI93-$AH93-$AG93-$AF93-$AE93*(1+CN$3))/$AJ93,'Технический лист'!$I:$J,2,1)-VLOOKUP($AO93,'Технический лист'!$I:$J,2,1)),1+(1-$AU93))</f>
        <v>1</v>
      </c>
      <c r="CO93" s="15">
        <f>MIN(IF($AU93=100%,1,1+VLOOKUP(($AJ93-$AI93-$AH93-$AG93-$AF93-$AE93*(1+CO$3))/$AJ93,'Технический лист'!$I:$J,2,1)-VLOOKUP($AO93,'Технический лист'!$I:$J,2,1)),1+(1-$AU93))</f>
        <v>1</v>
      </c>
      <c r="CP93" s="15">
        <f>MIN(IF($AU93=100%,1,1+VLOOKUP(($AJ93-$AI93-$AH93-$AG93-$AF93-$AE93*(1+CP$3))/$AJ93,'Технический лист'!$I:$J,2,1)-VLOOKUP($AO93,'Технический лист'!$I:$J,2,1)),1+(1-$AU93))</f>
        <v>1</v>
      </c>
      <c r="CQ93" s="15">
        <f>MIN(IF($AU93=100%,1,1+VLOOKUP(($AJ93-$AI93-$AH93-$AG93-$AF93-$AE93*(1+CQ$3))/$AJ93,'Технический лист'!$I:$J,2,1)-VLOOKUP($AO93,'Технический лист'!$I:$J,2,1)),1+(1-$AU93))</f>
        <v>1</v>
      </c>
      <c r="CR93" s="15">
        <f>MIN(IF($AU93=100%,1,1+VLOOKUP(($AJ93-$AI93-$AH93-$AG93-$AF93-$AE93*(1+CR$3))/$AJ93,'Технический лист'!$I:$J,2,1)-VLOOKUP($AO93,'Технический лист'!$I:$J,2,1)),1+(1-$AU93))</f>
        <v>1</v>
      </c>
      <c r="CS93" s="15">
        <f>MIN(IF($AU93=100%,1,1+VLOOKUP(($AJ93-$AI93-$AH93-$AG93-$AF93-$AE93*(1+CS$3))/$AJ93,'Технический лист'!$I:$J,2,1)-VLOOKUP($AO93,'Технический лист'!$I:$J,2,1)),1+(1-$AU93))</f>
        <v>1</v>
      </c>
      <c r="CT93" s="15">
        <f>MIN(IF($AU93=100%,1,1+VLOOKUP(($AJ93-$AI93-$AH93-$AG93-$AF93-$AE93*(1+CT$3))/$AJ93,'Технический лист'!$I:$J,2,1)-VLOOKUP($AO93,'Технический лист'!$I:$J,2,1)),1+(1-$AU93))</f>
        <v>1</v>
      </c>
      <c r="CU93" s="15">
        <f>MIN(IF($AU93=100%,1,1+VLOOKUP(($AJ93-$AI93-$AH93-$AG93-$AF93-$AE93*(1+CU$3))/$AJ93,'Технический лист'!$I:$J,2,1)-VLOOKUP($AO93,'Технический лист'!$I:$J,2,1)),1+(1-$AU93))</f>
        <v>1</v>
      </c>
      <c r="CV93" s="15">
        <f>MIN(IF($AU93=100%,1,1+VLOOKUP(($AJ93-$AI93-$AH93-$AG93-$AF93-$AE93*(1+CV$3))/$AJ93,'Технический лист'!$I:$J,2,1)-VLOOKUP($AO93,'Технический лист'!$I:$J,2,1)),1+(1-$AU93))</f>
        <v>1</v>
      </c>
      <c r="CW93" s="15">
        <f>MIN(IF($AU93=100%,1,1+VLOOKUP(($AJ93-$AI93-$AH93-$AG93-$AF93-$AE93*(1+CW$3))/$AJ93,'Технический лист'!$I:$J,2,1)-VLOOKUP($AO93,'Технический лист'!$I:$J,2,1)),1+(1-$AU93))</f>
        <v>1</v>
      </c>
      <c r="CX93" s="15">
        <f>MIN(IF($AU93=100%,1,1+VLOOKUP(($AJ93-$AI93-$AH93-$AG93-$AF93-$AE93*(1+CX$3))/$AJ93,'Технический лист'!$I:$J,2,1)-VLOOKUP($AO93,'Технический лист'!$I:$J,2,1)),1+(1-$AU93))</f>
        <v>1</v>
      </c>
      <c r="CY93" s="15">
        <f>MIN(IF($AU93=100%,1,1+VLOOKUP(($AJ93-$AI93-$AH93-$AG93-$AF93-$AE93*(1+CY$3))/$AJ93,'Технический лист'!$I:$J,2,1)-VLOOKUP($AO93,'Технический лист'!$I:$J,2,1)),1+(1-$AU93))</f>
        <v>1</v>
      </c>
      <c r="CZ93" s="15">
        <f>MIN(IF($AU93=100%,1,1+VLOOKUP(($AJ93-$AI93-$AH93-$AG93-$AF93-$AE93*(1+CZ$3))/$AJ93,'Технический лист'!$I:$J,2,1)-VLOOKUP($AO93,'Технический лист'!$I:$J,2,1)),1+(1-$AU93))</f>
        <v>1</v>
      </c>
      <c r="DA93" s="15">
        <f>MIN(IF($AU93=100%,1,1+VLOOKUP(($AJ93-$AI93-$AH93-$AG93-$AF93-$AE93*(1+DA$3))/$AJ93,'Технический лист'!$I:$J,2,1)-VLOOKUP($AO93,'Технический лист'!$I:$J,2,1)),1+(1-$AU93))</f>
        <v>1</v>
      </c>
      <c r="DB93" s="15">
        <f>MIN(IF($AU93=100%,1,1+VLOOKUP(($AJ93-$AI93-$AH93-$AG93-$AF93-$AE93*(1+DB$3))/$AJ93,'Технический лист'!$I:$J,2,1)-VLOOKUP($AO93,'Технический лист'!$I:$J,2,1)),1+(1-$AU93))</f>
        <v>1</v>
      </c>
      <c r="DC93" s="15">
        <f>MIN(IF($AU93=100%,1,1+VLOOKUP(($AJ93-$AI93-$AH93-$AG93-$AF93-$AE93*(1+DC$3))/$AJ93,'Технический лист'!$I:$J,2,1)-VLOOKUP($AO93,'Технический лист'!$I:$J,2,1)),1+(1-$AU93))</f>
        <v>1</v>
      </c>
      <c r="DD93" s="15">
        <f>MIN(IF($AU93=100%,1,1+VLOOKUP(($AJ93-$AI93-$AH93-$AG93-$AF93-$AE93*(1+DD$3))/$AJ93,'Технический лист'!$I:$J,2,1)-VLOOKUP($AO93,'Технический лист'!$I:$J,2,1)),1+(1-$AU93))</f>
        <v>1</v>
      </c>
      <c r="DE93" s="15">
        <f>MIN(IF($AU93=100%,1,1+VLOOKUP(($AJ93-$AI93-$AH93-$AG93-$AF93-$AE93*(1+DE$3))/$AJ93,'Технический лист'!$I:$J,2,1)-VLOOKUP($AO93,'Технический лист'!$I:$J,2,1)),1+(1-$AU93))</f>
        <v>1</v>
      </c>
      <c r="DF93" s="15">
        <f>MIN(IF($AU93=100%,1,1+VLOOKUP(($AJ93-$AI93-$AH93-$AG93-$AF93-$AE93*(1+DF$3))/$AJ93,'Технический лист'!$I:$J,2,1)-VLOOKUP($AO93,'Технический лист'!$I:$J,2,1)),1+(1-$AU93))</f>
        <v>1</v>
      </c>
      <c r="DG93" s="15">
        <f>MIN(IF($AU93=100%,1,1+VLOOKUP(($AJ93-$AI93-$AH93-$AG93-$AF93-$AE93*(1+DG$3))/$AJ93,'Технический лист'!$I:$J,2,1)-VLOOKUP($AO93,'Технический лист'!$I:$J,2,1)),1+(1-$AU93))</f>
        <v>1</v>
      </c>
      <c r="DH93" s="15">
        <f>MIN(IF($AU93=100%,1,1+VLOOKUP(($AJ93-$AI93-$AH93-$AG93-$AF93-$AE93*(1+DH$3))/$AJ93,'Технический лист'!$I:$J,2,1)-VLOOKUP($AO93,'Технический лист'!$I:$J,2,1)),1+(1-$AU93))</f>
        <v>1</v>
      </c>
      <c r="DI93" s="15">
        <f>MIN(IF($AU93=100%,1,1+VLOOKUP(($AJ93-$AI93-$AH93-$AG93-$AF93-$AE93*(1+DI$3))/$AJ93,'Технический лист'!$I:$J,2,1)-VLOOKUP($AO93,'Технический лист'!$I:$J,2,1)),1+(1-$AU93))</f>
        <v>1</v>
      </c>
      <c r="DJ93" s="15">
        <f>MIN(IF($AU93=100%,1,1+VLOOKUP(($AJ93-$AI93-$AH93-$AG93-$AF93-$AE93*(1+DJ$3))/$AJ93,'Технический лист'!$I:$J,2,1)-VLOOKUP($AO93,'Технический лист'!$I:$J,2,1)),1+(1-$AU93))</f>
        <v>1</v>
      </c>
      <c r="DK93" s="15">
        <f>MIN(IF($AU93=100%,1,1+VLOOKUP(($AJ93-$AI93-$AH93-$AG93-$AF93-$AE93*(1+DK$3))/$AJ93,'Технический лист'!$I:$J,2,1)-VLOOKUP($AO93,'Технический лист'!$I:$J,2,1)),1+(1-$AU93))</f>
        <v>1</v>
      </c>
      <c r="DL93" s="15">
        <f>MIN(IF($AU93=100%,1,1+VLOOKUP(($AJ93-$AI93-$AH93-$AG93-$AF93-$AE93*(1+DL$3))/$AJ93,'Технический лист'!$I:$J,2,1)-VLOOKUP($AO93,'Технический лист'!$I:$J,2,1)),1+(1-$AU93))</f>
        <v>1</v>
      </c>
      <c r="DM93" s="15">
        <f>MIN(IF($AU93=100%,1,1+VLOOKUP(($AJ93-$AI93-$AH93-$AG93-$AF93-$AE93*(1+DM$3))/$AJ93,'Технический лист'!$I:$J,2,1)-VLOOKUP($AO93,'Технический лист'!$I:$J,2,1)),1+(1-$AU93))</f>
        <v>1</v>
      </c>
      <c r="DN93" s="15">
        <f>MIN(IF($AU93=100%,1,1+VLOOKUP(($AJ93-$AI93-$AH93-$AG93-$AF93-$AE93*(1+DN$3))/$AJ93,'Технический лист'!$I:$J,2,1)-VLOOKUP($AO93,'Технический лист'!$I:$J,2,1)),1+(1-$AU93))</f>
        <v>1</v>
      </c>
      <c r="DO93" s="15">
        <f>MIN(IF($AU93=100%,1,1+VLOOKUP(($AJ93-$AI93-$AH93-$AG93-$AF93-$AE93*(1+DO$3))/$AJ93,'Технический лист'!$I:$J,2,1)-VLOOKUP($AO93,'Технический лист'!$I:$J,2,1)),1+(1-$AU93))</f>
        <v>1</v>
      </c>
      <c r="DP93" s="15">
        <f>MIN(IF($AU93=100%,1,1+VLOOKUP(($AJ93-$AI93-$AH93-$AG93-$AF93-$AE93*(1+DP$3))/$AJ93,'Технический лист'!$I:$J,2,1)-VLOOKUP($AO93,'Технический лист'!$I:$J,2,1)),1+(1-$AU93))</f>
        <v>1</v>
      </c>
      <c r="DQ93" s="15">
        <f>MIN(IF($AU93=100%,1,1+VLOOKUP(($AJ93-$AI93-$AH93-$AG93-$AF93-$AE93*(1+DQ$3))/$AJ93,'Технический лист'!$I:$J,2,1)-VLOOKUP($AO93,'Технический лист'!$I:$J,2,1)),1+(1-$AU93))</f>
        <v>1</v>
      </c>
      <c r="DR93" s="15">
        <f>MIN(IF($AU93=100%,1,1+VLOOKUP(($AJ93-$AI93-$AH93-$AG93-$AF93-$AE93*(1+DR$3))/$AJ93,'Технический лист'!$I:$J,2,1)-VLOOKUP($AO93,'Технический лист'!$I:$J,2,1)),1+(1-$AU93))</f>
        <v>1</v>
      </c>
      <c r="DS93" s="15">
        <f>MIN(IF($AU93=100%,1,1+VLOOKUP(($AJ93-$AI93-$AH93-$AG93-$AF93-$AE93*(1+DS$3))/$AJ93,'Технический лист'!$I:$J,2,1)-VLOOKUP($AO93,'Технический лист'!$I:$J,2,1)),1+(1-$AU93))</f>
        <v>1</v>
      </c>
      <c r="DT93" s="15">
        <f>MIN(IF($AU93=100%,1,1+VLOOKUP(($AJ93-$AI93-$AH93-$AG93-$AF93-$AE93*(1+DT$3))/$AJ93,'Технический лист'!$I:$J,2,1)-VLOOKUP($AO93,'Технический лист'!$I:$J,2,1)),1+(1-$AU93))</f>
        <v>1</v>
      </c>
      <c r="DU93" s="15">
        <f>MIN(IF($AU93=100%,1,1+VLOOKUP(($AJ93-$AI93-$AH93-$AG93-$AF93-$AE93*(1+DU$3))/$AJ93,'Технический лист'!$I:$J,2,1)-VLOOKUP($AO93,'Технический лист'!$I:$J,2,1)),1+(1-$AU93))</f>
        <v>1</v>
      </c>
      <c r="DV93" s="15">
        <f>MIN(IF($AU93=100%,1,1+VLOOKUP(($AJ93-$AI93-$AH93-$AG93-$AF93-$AE93*(1+DV$3))/$AJ93,'Технический лист'!$I:$J,2,1)-VLOOKUP($AO93,'Технический лист'!$I:$J,2,1)),1+(1-$AU93))</f>
        <v>1</v>
      </c>
      <c r="DW93" s="15">
        <f>MIN(IF($AU93=100%,1,1+VLOOKUP(($AJ93-$AI93-$AH93-$AG93-$AF93-$AE93*(1+DW$3))/$AJ93,'Технический лист'!$I:$J,2,1)-VLOOKUP($AO93,'Технический лист'!$I:$J,2,1)),1+(1-$AU93))</f>
        <v>1</v>
      </c>
      <c r="DX93" s="15">
        <f>MIN(IF($AU93=100%,1,1+VLOOKUP(($AJ93-$AI93-$AH93-$AG93-$AF93-$AE93*(1+DX$3))/$AJ93,'Технический лист'!$I:$J,2,1)-VLOOKUP($AO93,'Технический лист'!$I:$J,2,1)),1+(1-$AU93))</f>
        <v>1</v>
      </c>
      <c r="DY93" s="15">
        <f>MIN(IF($AU93=100%,1,1+VLOOKUP(($AJ93-$AI93-$AH93-$AG93-$AF93-$AE93*(1+DY$3))/$AJ93,'Технический лист'!$I:$J,2,1)-VLOOKUP($AO93,'Технический лист'!$I:$J,2,1)),1+(1-$AU93))</f>
        <v>1</v>
      </c>
      <c r="DZ93" s="15">
        <f>MIN(IF($AU93=100%,1,1+VLOOKUP(($AJ93-$AI93-$AH93-$AG93-$AF93-$AE93*(1+DZ$3))/$AJ93,'Технический лист'!$I:$J,2,1)-VLOOKUP($AO93,'Технический лист'!$I:$J,2,1)),1+(1-$AU93))</f>
        <v>1</v>
      </c>
      <c r="EA93" s="15">
        <f>MIN(IF($AU93=100%,1,1+VLOOKUP(($AJ93-$AI93-$AH93-$AG93-$AF93-$AE93*(1+EA$3))/$AJ93,'Технический лист'!$I:$J,2,1)-VLOOKUP($AO93,'Технический лист'!$I:$J,2,1)),1+(1-$AU93))</f>
        <v>1</v>
      </c>
      <c r="EB93" s="15">
        <f>MIN(IF($AU93=100%,1,1+VLOOKUP(($AJ93-$AI93-$AH93-$AG93-$AF93-$AE93*(1+EB$3))/$AJ93,'Технический лист'!$I:$J,2,1)-VLOOKUP($AO93,'Технический лист'!$I:$J,2,1)),1+(1-$AU93))</f>
        <v>1</v>
      </c>
      <c r="EC93" s="15">
        <f>MIN(IF($AU93=100%,1,1+VLOOKUP(($AJ93-$AI93-$AH93-$AG93-$AF93-$AE93*(1+EC$3))/$AJ93,'Технический лист'!$I:$J,2,1)-VLOOKUP($AO93,'Технический лист'!$I:$J,2,1)),1+(1-$AU93))</f>
        <v>1</v>
      </c>
      <c r="ED93" s="15">
        <f>MIN(IF($AU93=100%,1,1+VLOOKUP(($AJ93-$AI93-$AH93-$AG93-$AF93-$AE93*(1+ED$3))/$AJ93,'Технический лист'!$I:$J,2,1)-VLOOKUP($AO93,'Технический лист'!$I:$J,2,1)),1+(1-$AU93))</f>
        <v>1</v>
      </c>
      <c r="EE93" s="15">
        <f>MIN(IF($AU93=100%,1,1+VLOOKUP(($AJ93-$AI93-$AH93-$AG93-$AF93-$AE93*(1+EE$3))/$AJ93,'Технический лист'!$I:$J,2,1)-VLOOKUP($AO93,'Технический лист'!$I:$J,2,1)),1+(1-$AU93))</f>
        <v>1</v>
      </c>
      <c r="EF93" s="15">
        <f>MIN(IF($AU93=100%,1,1+VLOOKUP(($AJ93-$AI93-$AH93-$AG93-$AF93-$AE93*(1+EF$3))/$AJ93,'Технический лист'!$I:$J,2,1)-VLOOKUP($AO93,'Технический лист'!$I:$J,2,1)),1+(1-$AU93))</f>
        <v>1</v>
      </c>
      <c r="EG93" s="15">
        <f>MIN(IF($AU93=100%,1,1+VLOOKUP(($AJ93-$AI93-$AH93-$AG93-$AF93-$AE93*(1+EG$3))/$AJ93,'Технический лист'!$I:$J,2,1)-VLOOKUP($AO93,'Технический лист'!$I:$J,2,1)),1+(1-$AU93))</f>
        <v>1</v>
      </c>
      <c r="EH93" s="15">
        <f>MIN(IF($AU93=100%,1,1+VLOOKUP(($AJ93-$AI93-$AH93-$AG93-$AF93-$AE93*(1+EH$3))/$AJ93,'Технический лист'!$I:$J,2,1)-VLOOKUP($AO93,'Технический лист'!$I:$J,2,1)),1+(1-$AU93))</f>
        <v>1</v>
      </c>
      <c r="EI93" s="15">
        <f>MIN(IF($AU93=100%,1,1+VLOOKUP(($AJ93-$AI93-$AH93-$AG93-$AF93-$AE93*(1+EI$3))/$AJ93,'Технический лист'!$I:$J,2,1)-VLOOKUP($AO93,'Технический лист'!$I:$J,2,1)),1+(1-$AU93))</f>
        <v>1</v>
      </c>
      <c r="EJ93" s="15">
        <f>MIN(IF($AU93=100%,1,1+VLOOKUP(($AJ93-$AI93-$AH93-$AG93-$AF93-$AE93*(1+EJ$3))/$AJ93,'Технический лист'!$I:$J,2,1)-VLOOKUP($AO93,'Технический лист'!$I:$J,2,1)),1+(1-$AU93))</f>
        <v>1</v>
      </c>
      <c r="EK93" s="15">
        <f>MIN(IF($AU93=100%,1,1+VLOOKUP(($AJ93-$AI93-$AH93-$AG93-$AF93-$AE93*(1+EK$3))/$AJ93,'Технический лист'!$I:$J,2,1)-VLOOKUP($AO93,'Технический лист'!$I:$J,2,1)),1+(1-$AU93))</f>
        <v>1</v>
      </c>
      <c r="EL93" s="15">
        <f>MIN(IF($AU93=100%,1,1+VLOOKUP(($AJ93-$AI93-$AH93-$AG93-$AF93-$AE93*(1+EL$3))/$AJ93,'Технический лист'!$I:$J,2,1)-VLOOKUP($AO93,'Технический лист'!$I:$J,2,1)),1+(1-$AU93))</f>
        <v>1</v>
      </c>
      <c r="EM93" s="15">
        <f>MIN(IF($AU93=100%,1,1+VLOOKUP(($AJ93-$AI93-$AH93-$AG93-$AF93-$AE93*(1+EM$3))/$AJ93,'Технический лист'!$I:$J,2,1)-VLOOKUP($AO93,'Технический лист'!$I:$J,2,1)),1+(1-$AU93))</f>
        <v>1</v>
      </c>
      <c r="EN93" s="15">
        <f>MIN(IF($AU93=100%,1,1+VLOOKUP(($AJ93-$AI93-$AH93-$AG93-$AF93-$AE93*(1+EN$3))/$AJ93,'Технический лист'!$I:$J,2,1)-VLOOKUP($AO93,'Технический лист'!$I:$J,2,1)),1+(1-$AU93))</f>
        <v>1</v>
      </c>
      <c r="EO93" s="15">
        <f>MIN(IF($AU93=100%,1,1+VLOOKUP(($AJ93-$AI93-$AH93-$AG93-$AF93-$AE93*(1+EO$3))/$AJ93,'Технический лист'!$I:$J,2,1)-VLOOKUP($AO93,'Технический лист'!$I:$J,2,1)),1+(1-$AU93))</f>
        <v>1</v>
      </c>
      <c r="EP93" s="15">
        <f>MIN(IF($AU93=100%,1,1+VLOOKUP(($AJ93-$AI93-$AH93-$AG93-$AF93-$AE93*(1+EP$3))/$AJ93,'Технический лист'!$I:$J,2,1)-VLOOKUP($AO93,'Технический лист'!$I:$J,2,1)),1+(1-$AU93))</f>
        <v>1</v>
      </c>
      <c r="EQ93" s="15">
        <f>MIN(IF($AU93=100%,1,1+VLOOKUP(($AJ93-$AI93-$AH93-$AG93-$AF93-$AE93*(1+EQ$3))/$AJ93,'Технический лист'!$I:$J,2,1)-VLOOKUP($AO93,'Технический лист'!$I:$J,2,1)),1+(1-$AU93))</f>
        <v>1</v>
      </c>
      <c r="ER93" s="15">
        <f>MIN(IF($AU93=100%,1,1+VLOOKUP(($AJ93-$AI93-$AH93-$AG93-$AF93-$AE93*(1+ER$3))/$AJ93,'Технический лист'!$I:$J,2,1)-VLOOKUP($AO93,'Технический лист'!$I:$J,2,1)),1+(1-$AU93))</f>
        <v>1</v>
      </c>
      <c r="ES93" s="15">
        <f>MIN(IF($AU93=100%,1,1+VLOOKUP(($AJ93-$AI93-$AH93-$AG93-$AF93-$AE93*(1+ES$3))/$AJ93,'Технический лист'!$I:$J,2,1)-VLOOKUP($AO93,'Технический лист'!$I:$J,2,1)),1+(1-$AU93))</f>
        <v>1</v>
      </c>
      <c r="ET93" s="15">
        <f>MIN(IF($AU93=100%,1,1+VLOOKUP(($AJ93-$AI93-$AH93-$AG93-$AF93-$AE93*(1+ET$3))/$AJ93,'Технический лист'!$I:$J,2,1)-VLOOKUP($AO93,'Технический лист'!$I:$J,2,1)),1+(1-$AU93))</f>
        <v>1</v>
      </c>
      <c r="EU93" s="15">
        <f>MIN(IF($AU93=100%,1,1+VLOOKUP(($AJ93-$AI93-$AH93-$AG93-$AF93-$AE93*(1+EU$3))/$AJ93,'Технический лист'!$I:$J,2,1)-VLOOKUP($AO93,'Технический лист'!$I:$J,2,1)),1+(1-$AU93))</f>
        <v>1</v>
      </c>
      <c r="EV93" s="111">
        <v>1</v>
      </c>
      <c r="EW93" s="15">
        <f>MIN(1,MAX(VLOOKUP(($AJ93-$AI93-$AH93-$AG93-$AF93-$AE93*(1+EW$3))/$AJ93,'Технический лист'!$A:$B,2,1),(EV93-0.05)))</f>
        <v>1</v>
      </c>
      <c r="EX93" s="15">
        <f>MIN(1,MAX(VLOOKUP(($AJ93-$AI93-$AH93-$AG93-$AF93-$AE93*(1+EX$3))/$AJ93,'Технический лист'!$A:$B,2,1),(EW93-0.05)))</f>
        <v>1</v>
      </c>
      <c r="EY93" s="15">
        <f>MIN(1,MAX(VLOOKUP(($AJ93-$AI93-$AH93-$AG93-$AF93-$AE93*(1+EY$3))/$AJ93,'Технический лист'!$A:$B,2,1),(EX93-0.05)))</f>
        <v>1</v>
      </c>
      <c r="EZ93" s="15">
        <f>MIN(1,MAX(VLOOKUP(($AJ93-$AI93-$AH93-$AG93-$AF93-$AE93*(1+EZ$3))/$AJ93,'Технический лист'!$A:$B,2,1),(EY93-0.05)))</f>
        <v>1</v>
      </c>
      <c r="FA93" s="15">
        <f>MIN(1,MAX(VLOOKUP(($AJ93-$AI93-$AH93-$AG93-$AF93-$AE93*(1+FA$3))/$AJ93,'Технический лист'!$A:$B,2,1),(EZ93-0.05)))</f>
        <v>1</v>
      </c>
      <c r="FB93" s="15">
        <f>MIN(1,MAX(VLOOKUP(($AJ93-$AI93-$AH93-$AG93-$AF93-$AE93*(1+FB$3))/$AJ93,'Технический лист'!$A:$B,2,1),(FA93-0.05)))</f>
        <v>1</v>
      </c>
      <c r="FC93" s="15">
        <f>MIN(1,MAX(VLOOKUP(($AJ93-$AI93-$AH93-$AG93-$AF93-$AE93*(1+FC$3))/$AJ93,'Технический лист'!$A:$B,2,1),(FB93-0.05)))</f>
        <v>1</v>
      </c>
      <c r="FD93" s="15">
        <f>MIN(1,MAX(VLOOKUP(($AJ93-$AI93-$AH93-$AG93-$AF93-$AE93*(1+FD$3))/$AJ93,'Технический лист'!$A:$B,2,1),(FC93-0.05)))</f>
        <v>1</v>
      </c>
      <c r="FE93" s="15">
        <f>MIN(1,MAX(VLOOKUP(($AJ93-$AI93-$AH93-$AG93-$AF93-$AE93*(1+FE$3))/$AJ93,'Технический лист'!$A:$B,2,1),(FD93-0.05)))</f>
        <v>1</v>
      </c>
      <c r="FF93" s="15">
        <f>MIN(1,MAX(VLOOKUP(($AJ93-$AI93-$AH93-$AG93-$AF93-$AE93*(1+FF$3))/$AJ93,'Технический лист'!$A:$B,2,1),(FE93-0.05)))</f>
        <v>1</v>
      </c>
      <c r="FG93" s="15">
        <f>MIN(1,MAX(VLOOKUP(($AJ93-$AI93-$AH93-$AG93-$AF93-$AE93*(1+FG$3))/$AJ93,'Технический лист'!$A:$B,2,1),(FF93-0.05)))</f>
        <v>1</v>
      </c>
      <c r="FH93" s="15">
        <f>MIN(1,MAX(VLOOKUP(($AJ93-$AI93-$AH93-$AG93-$AF93-$AE93*(1+FH$3))/$AJ93,'Технический лист'!$A:$B,2,1),(FG93-0.05)))</f>
        <v>1</v>
      </c>
      <c r="FI93" s="15">
        <f>MIN(1,MAX(VLOOKUP(($AJ93-$AI93-$AH93-$AG93-$AF93-$AE93*(1+FI$3))/$AJ93,'Технический лист'!$A:$B,2,1),(FH93-0.05)))</f>
        <v>1</v>
      </c>
      <c r="FJ93" s="15">
        <f>MIN(1,MAX(VLOOKUP(($AJ93-$AI93-$AH93-$AG93-$AF93-$AE93*(1+FJ$3))/$AJ93,'Технический лист'!$A:$B,2,1),(FI93-0.05)))</f>
        <v>1</v>
      </c>
      <c r="FK93" s="15">
        <f>MIN(1,MAX(VLOOKUP(($AJ93-$AI93-$AH93-$AG93-$AF93-$AE93*(1+FK$3))/$AJ93,'Технический лист'!$A:$B,2,1),(FJ93-0.05)))</f>
        <v>1</v>
      </c>
      <c r="FL93" s="15">
        <f>MIN(1,MAX(VLOOKUP(($AJ93-$AI93-$AH93-$AG93-$AF93-$AE93*(1+FL$3))/$AJ93,'Технический лист'!$A:$B,2,1),(FK93-0.05)))</f>
        <v>1</v>
      </c>
      <c r="FM93" s="15">
        <f>MIN(1,MAX(VLOOKUP(($AJ93-$AI93-$AH93-$AG93-$AF93-$AE93*(1+FM$3))/$AJ93,'Технический лист'!$A:$B,2,1),(FL93-0.05)))</f>
        <v>1</v>
      </c>
      <c r="FN93" s="15">
        <f>MIN(1,MAX(VLOOKUP(($AJ93-$AI93-$AH93-$AG93-$AF93-$AE93*(1+FN$3))/$AJ93,'Технический лист'!$A:$B,2,1),(FM93-0.05)))</f>
        <v>1</v>
      </c>
      <c r="FO93" s="15">
        <f>MIN(1,MAX(VLOOKUP(($AJ93-$AI93-$AH93-$AG93-$AF93-$AE93*(1+FO$3))/$AJ93,'Технический лист'!$A:$B,2,1),(FN93-0.05)))</f>
        <v>1</v>
      </c>
      <c r="FP93" s="15">
        <f>MIN(1,MAX(VLOOKUP(($AJ93-$AI93-$AH93-$AG93-$AF93-$AE93*(1+FP$3))/$AJ93,'Технический лист'!$A:$B,2,1),(FO93-0.05)))</f>
        <v>1</v>
      </c>
      <c r="FQ93" s="15">
        <f>MIN(1,MAX(VLOOKUP(($AJ93-$AI93-$AH93-$AG93-$AF93-$AE93*(1+FQ$3))/$AJ93,'Технический лист'!$A:$B,2,1),(FP93-0.05)))</f>
        <v>1</v>
      </c>
      <c r="FR93" s="15">
        <f>MIN(1,MAX(VLOOKUP(($AJ93-$AI93-$AH93-$AG93-$AF93-$AE93*(1+FR$3))/$AJ93,'Технический лист'!$A:$B,2,1),(FQ93-0.05)))</f>
        <v>1</v>
      </c>
      <c r="FS93" s="15">
        <f>MIN(1,MAX(VLOOKUP(($AJ93-$AI93-$AH93-$AG93-$AF93-$AE93*(1+FS$3))/$AJ93,'Технический лист'!$A:$B,2,1),(FR93-0.05)))</f>
        <v>1</v>
      </c>
      <c r="FT93" s="15">
        <f>MIN(1,MAX(VLOOKUP(($AJ93-$AI93-$AH93-$AG93-$AF93-$AE93*(1+FT$3))/$AJ93,'Технический лист'!$A:$B,2,1),(FS93-0.05)))</f>
        <v>1</v>
      </c>
      <c r="FU93" s="15">
        <f>MIN(1,MAX(VLOOKUP(($AJ93-$AI93-$AH93-$AG93-$AF93-$AE93*(1+FU$3))/$AJ93,'Технический лист'!$A:$B,2,1),(FT93-0.05)))</f>
        <v>1</v>
      </c>
      <c r="FV93" s="15">
        <f>MIN(1,MAX(VLOOKUP(($AJ93-$AI93-$AH93-$AG93-$AF93-$AE93*(1+FV$3))/$AJ93,'Технический лист'!$A:$B,2,1),(FU93-0.05)))</f>
        <v>1</v>
      </c>
      <c r="FW93" s="15">
        <f>MIN(1,MAX(VLOOKUP(($AJ93-$AI93-$AH93-$AG93-$AF93-$AE93*(1+FW$3))/$AJ93,'Технический лист'!$A:$B,2,1),(FV93-0.05)))</f>
        <v>1</v>
      </c>
      <c r="FX93" s="15">
        <f>MIN(1,MAX(VLOOKUP(($AJ93-$AI93-$AH93-$AG93-$AF93-$AE93*(1+FX$3))/$AJ93,'Технический лист'!$A:$B,2,1),(FW93-0.05)))</f>
        <v>1</v>
      </c>
      <c r="FY93" s="15">
        <f>MIN(1,MAX(VLOOKUP(($AJ93-$AI93-$AH93-$AG93-$AF93-$AE93*(1+FY$3))/$AJ93,'Технический лист'!$A:$B,2,1),(FX93-0.05)))</f>
        <v>1</v>
      </c>
      <c r="FZ93" s="15">
        <f>MIN(1,MAX(VLOOKUP(($AJ93-$AI93-$AH93-$AG93-$AF93-$AE93*(1+FZ$3))/$AJ93,'Технический лист'!$A:$B,2,1),(FY93-0.05)))</f>
        <v>1</v>
      </c>
      <c r="GA93" s="15">
        <f>MIN(1,MAX(VLOOKUP(($AJ93-$AI93-$AH93-$AG93-$AF93-$AE93*(1+GA$3))/$AJ93,'Технический лист'!$A:$B,2,1),(FZ93-0.05)))</f>
        <v>1</v>
      </c>
      <c r="GB93" s="15">
        <f>MIN(1,MAX(VLOOKUP(($AJ93-$AI93-$AH93-$AG93-$AF93-$AE93*(1+GB$3))/$AJ93,'Технический лист'!$A:$B,2,1),(GA93-0.05)))</f>
        <v>1</v>
      </c>
      <c r="GC93" s="15">
        <f>MIN(1,MAX(VLOOKUP(($AJ93-$AI93-$AH93-$AG93-$AF93-$AE93*(1+GC$3))/$AJ93,'Технический лист'!$A:$B,2,1),(GB93-0.05)))</f>
        <v>1</v>
      </c>
      <c r="GD93" s="15">
        <f>MIN(1,MAX(VLOOKUP(($AJ93-$AI93-$AH93-$AG93-$AF93-$AE93*(1+GD$3))/$AJ93,'Технический лист'!$A:$B,2,1),(GC93-0.05)))</f>
        <v>1</v>
      </c>
      <c r="GE93" s="15">
        <f>MIN(1,MAX(VLOOKUP(($AJ93-$AI93-$AH93-$AG93-$AF93-$AE93*(1+GE$3))/$AJ93,'Технический лист'!$A:$B,2,1),(GD93-0.05)))</f>
        <v>1</v>
      </c>
      <c r="GF93" s="15">
        <f>MIN(1,MAX(VLOOKUP(($AJ93-$AI93-$AH93-$AG93-$AF93-$AE93*(1+GF$3))/$AJ93,'Технический лист'!$A:$B,2,1),(GE93-0.05)))</f>
        <v>1</v>
      </c>
      <c r="GG93" s="15">
        <f>MIN(1,MAX(VLOOKUP(($AJ93-$AI93-$AH93-$AG93-$AF93-$AE93*(1+GG$3))/$AJ93,'Технический лист'!$A:$B,2,1),(GF93-0.05)))</f>
        <v>1</v>
      </c>
      <c r="GH93" s="15">
        <f>MIN(1,MAX(VLOOKUP(($AJ93-$AI93-$AH93-$AG93-$AF93-$AE93*(1+GH$3))/$AJ93,'Технический лист'!$A:$B,2,1),(GG93-0.05)))</f>
        <v>1</v>
      </c>
      <c r="GI93" s="15">
        <f>MIN(1,MAX(VLOOKUP(($AJ93-$AI93-$AH93-$AG93-$AF93-$AE93*(1+GI$3))/$AJ93,'Технический лист'!$A:$B,2,1),(GH93-0.05)))</f>
        <v>1</v>
      </c>
      <c r="GJ93" s="15">
        <f>MIN(1,MAX(VLOOKUP(($AJ93-$AI93-$AH93-$AG93-$AF93-$AE93*(1+GJ$3))/$AJ93,'Технический лист'!$A:$B,2,1),(GI93-0.05)))</f>
        <v>1</v>
      </c>
      <c r="GK93" s="15">
        <f>MIN(1,MAX(VLOOKUP(($AJ93-$AI93-$AH93-$AG93-$AF93-$AE93*(1+GK$3))/$AJ93,'Технический лист'!$A:$B,2,1),(GJ93-0.05)))</f>
        <v>1</v>
      </c>
      <c r="GL93" s="15">
        <f>MIN(1,MAX(VLOOKUP(($AJ93-$AI93-$AH93-$AG93-$AF93-$AE93*(1+GL$3))/$AJ93,'Технический лист'!$A:$B,2,1),(GK93-0.05)))</f>
        <v>1</v>
      </c>
      <c r="GM93" s="15">
        <f>MIN(1,MAX(VLOOKUP(($AJ93-$AI93-$AH93-$AG93-$AF93-$AE93*(1+GM$3))/$AJ93,'Технический лист'!$A:$B,2,1),(GL93-0.05)))</f>
        <v>1</v>
      </c>
      <c r="GN93" s="15">
        <f>MIN(1,MAX(VLOOKUP(($AJ93-$AI93-$AH93-$AG93-$AF93-$AE93*(1+GN$3))/$AJ93,'Технический лист'!$A:$B,2,1),(GM93-0.05)))</f>
        <v>1</v>
      </c>
      <c r="GO93" s="15">
        <f>MIN(1,MAX(VLOOKUP(($AJ93-$AI93-$AH93-$AG93-$AF93-$AE93*(1+GO$3))/$AJ93,'Технический лист'!$A:$B,2,1),(GN93-0.05)))</f>
        <v>1</v>
      </c>
      <c r="GP93" s="15">
        <f>MIN(1,MAX(VLOOKUP(($AJ93-$AI93-$AH93-$AG93-$AF93-$AE93*(1+GP$3))/$AJ93,'Технический лист'!$A:$B,2,1),(GO93-0.05)))</f>
        <v>1</v>
      </c>
      <c r="GQ93" s="15">
        <f>MIN(1,MAX(VLOOKUP(($AJ93-$AI93-$AH93-$AG93-$AF93-$AE93*(1+GQ$3))/$AJ93,'Технический лист'!$A:$B,2,1),(GP93-0.05)))</f>
        <v>1</v>
      </c>
      <c r="GR93" s="15">
        <f>MIN(1,MAX(VLOOKUP(($AJ93-$AI93-$AH93-$AG93-$AF93-$AE93*(1+GR$3))/$AJ93,'Технический лист'!$A:$B,2,1),(GQ93-0.05)))</f>
        <v>1</v>
      </c>
      <c r="GS93" s="15">
        <f>MIN(1,MAX(VLOOKUP(($AJ93-$AI93-$AH93-$AG93-$AF93-$AE93*(1+GS$3))/$AJ93,'Технический лист'!$A:$B,2,1),(GR93-0.05)))</f>
        <v>1</v>
      </c>
      <c r="GT93" s="15">
        <f>MIN(1,MAX(VLOOKUP(($AJ93-$AI93-$AH93-$AG93-$AF93-$AE93*(1+GT$3))/$AJ93,'Технический лист'!$A:$B,2,1),(GS93-0.05)))</f>
        <v>1</v>
      </c>
      <c r="GU93" s="15">
        <f>MIN(1,MAX(VLOOKUP(($AJ93-$AI93-$AH93-$AG93-$AF93-$AE93*(1+GU$3))/$AJ93,'Технический лист'!$A:$B,2,1),(GT93-0.05)))</f>
        <v>1</v>
      </c>
      <c r="GV93" s="15">
        <f>MIN(1,MAX(VLOOKUP(($AJ93-$AI93-$AH93-$AG93-$AF93-$AE93*(1+GV$3))/$AJ93,'Технический лист'!$A:$B,2,1),(GU93-0.05)))</f>
        <v>1</v>
      </c>
      <c r="GW93" s="15">
        <f>MIN(1,MAX(VLOOKUP(($AJ93-$AI93-$AH93-$AG93-$AF93-$AE93*(1+GW$3))/$AJ93,'Технический лист'!$A:$B,2,1),(GV93-0.05)))</f>
        <v>1</v>
      </c>
      <c r="GX93" s="15">
        <f>MIN(1,MAX(VLOOKUP(($AJ93-$AI93-$AH93-$AG93-$AF93-$AE93*(1+GX$3))/$AJ93,'Технический лист'!$A:$B,2,1),(GW93-0.05)))</f>
        <v>1</v>
      </c>
      <c r="GY93" s="15">
        <f>MIN(1,MAX(VLOOKUP(($AJ93-$AI93-$AH93-$AG93-$AF93-$AE93*(1+GY$3))/$AJ93,'Технический лист'!$A:$B,2,1),(GX93-0.05)))</f>
        <v>1</v>
      </c>
      <c r="GZ93" s="15">
        <f>MIN(1,MAX(VLOOKUP(($AJ93-$AI93-$AH93-$AG93-$AF93-$AE93*(1+GZ$3))/$AJ93,'Технический лист'!$A:$B,2,1),(GY93-0.05)))</f>
        <v>1</v>
      </c>
      <c r="HA93" s="15">
        <f>MIN(1,MAX(VLOOKUP(($AJ93-$AI93-$AH93-$AG93-$AF93-$AE93*(1+HA$3))/$AJ93,'Технический лист'!$A:$B,2,1),(GZ93-0.05)))</f>
        <v>1</v>
      </c>
      <c r="HB93" s="15">
        <f>MIN(1,MAX(VLOOKUP(($AJ93-$AI93-$AH93-$AG93-$AF93-$AE93*(1+HB$3))/$AJ93,'Технический лист'!$A:$B,2,1),(HA93-0.05)))</f>
        <v>1</v>
      </c>
      <c r="HC93" s="15">
        <f>MIN(1,MAX(VLOOKUP(($AJ93-$AI93-$AH93-$AG93-$AF93-$AE93*(1+HC$3))/$AJ93,'Технический лист'!$A:$B,2,1),(HB93-0.05)))</f>
        <v>1</v>
      </c>
      <c r="HD93" s="15">
        <f>MIN(1,MAX(VLOOKUP(($AJ93-$AI93-$AH93-$AG93-$AF93-$AE93*(1+HD$3))/$AJ93,'Технический лист'!$A:$B,2,1),(HC93-0.05)))</f>
        <v>1</v>
      </c>
      <c r="HE93" s="15">
        <f>MIN(1,MAX(VLOOKUP(($AJ93-$AI93-$AH93-$AG93-$AF93-$AE93*(1+HE$3))/$AJ93,'Технический лист'!$A:$B,2,1),(HD93-0.05)))</f>
        <v>1</v>
      </c>
      <c r="HF93" s="15">
        <f>MIN(1,MAX(VLOOKUP(($AJ93-$AI93-$AH93-$AG93-$AF93-$AE93*(1+HF$3))/$AJ93,'Технический лист'!$A:$B,2,1),(HE93-0.05)))</f>
        <v>1</v>
      </c>
      <c r="HG93" s="15">
        <f>MIN(1,MAX(VLOOKUP(($AJ93-$AI93-$AH93-$AG93-$AF93-$AE93*(1+HG$3))/$AJ93,'Технический лист'!$A:$B,2,1),(HF93-0.05)))</f>
        <v>1</v>
      </c>
      <c r="HH93" s="15">
        <f>MIN(1,MAX(VLOOKUP(($AJ93-$AI93-$AH93-$AG93-$AF93-$AE93*(1+HH$3))/$AJ93,'Технический лист'!$A:$B,2,1),(HG93-0.05)))</f>
        <v>1</v>
      </c>
      <c r="HI93" s="15">
        <f>MIN(1,MAX(VLOOKUP(($AJ93-$AI93-$AH93-$AG93-$AF93-$AE93*(1+HI$3))/$AJ93,'Технический лист'!$A:$B,2,1),(HH93-0.05)))</f>
        <v>1</v>
      </c>
      <c r="HJ93" s="15">
        <f>MIN(1,MAX(VLOOKUP(($AJ93-$AI93-$AH93-$AG93-$AF93-$AE93*(1+HJ$3))/$AJ93,'Технический лист'!$A:$B,2,1),(HI93-0.05)))</f>
        <v>1</v>
      </c>
      <c r="HK93" s="15">
        <f>MIN(1,MAX(VLOOKUP(($AJ93-$AI93-$AH93-$AG93-$AF93-$AE93*(1+HK$3))/$AJ93,'Технический лист'!$A:$B,2,1),(HJ93-0.05)))</f>
        <v>1</v>
      </c>
      <c r="HL93" s="15">
        <f>MIN(1,MAX(VLOOKUP(($AJ93-$AI93-$AH93-$AG93-$AF93-$AE93*(1+HL$3))/$AJ93,'Технический лист'!$A:$B,2,1),(HK93-0.05)))</f>
        <v>1</v>
      </c>
      <c r="HM93" s="15">
        <f>MIN(1,MAX(VLOOKUP(($AJ93-$AI93-$AH93-$AG93-$AF93-$AE93*(1+HM$3))/$AJ93,'Технический лист'!$A:$B,2,1),(HL93-0.05)))</f>
        <v>1</v>
      </c>
      <c r="HN93" s="15">
        <f>MIN(1,MAX(VLOOKUP(($AJ93-$AI93-$AH93-$AG93-$AF93-$AE93*(1+HN$3))/$AJ93,'Технический лист'!$A:$B,2,1),(HM93-0.05)))</f>
        <v>1</v>
      </c>
      <c r="HO93" s="15">
        <f>MIN(1,MAX(VLOOKUP(($AJ93-$AI93-$AH93-$AG93-$AF93-$AE93*(1+HO$3))/$AJ93,'Технический лист'!$A:$B,2,1),(HN93-0.05)))</f>
        <v>1</v>
      </c>
      <c r="HP93" s="15">
        <f>MIN(1,MAX(VLOOKUP(($AJ93-$AI93-$AH93-$AG93-$AF93-$AE93*(1+HP$3))/$AJ93,'Технический лист'!$A:$B,2,1),(HO93-0.05)))</f>
        <v>1</v>
      </c>
      <c r="HQ93" s="15">
        <f>MIN(1,MAX(VLOOKUP(($AJ93-$AI93-$AH93-$AG93-$AF93-$AE93*(1+HQ$3))/$AJ93,'Технический лист'!$A:$B,2,1),(HP93-0.05)))</f>
        <v>1</v>
      </c>
      <c r="HR93" s="15">
        <f>MIN(1,MAX(VLOOKUP(($AJ93-$AI93-$AH93-$AG93-$AF93-$AE93*(1+HR$3))/$AJ93,'Технический лист'!$A:$B,2,1),(HQ93-0.05)))</f>
        <v>1</v>
      </c>
      <c r="HS93" s="15">
        <f>MIN(1,MAX(VLOOKUP(($AJ93-$AI93-$AH93-$AG93-$AF93-$AE93*(1+HS$3))/$AJ93,'Технический лист'!$A:$B,2,1),(HR93-0.05)))</f>
        <v>1</v>
      </c>
      <c r="HT93" s="15">
        <f>MIN(1,MAX(VLOOKUP(($AJ93-$AI93-$AH93-$AG93-$AF93-$AE93*(1+HT$3))/$AJ93,'Технический лист'!$A:$B,2,1),(HS93-0.05)))</f>
        <v>1</v>
      </c>
      <c r="HU93" s="15">
        <f>MIN(1,MAX(VLOOKUP(($AJ93-$AI93-$AH93-$AG93-$AF93-$AE93*(1+HU$3))/$AJ93,'Технический лист'!$A:$B,2,1),(HT93-0.05)))</f>
        <v>1</v>
      </c>
      <c r="HV93" s="15">
        <f>MIN(1,MAX(VLOOKUP(($AJ93-$AI93-$AH93-$AG93-$AF93-$AE93*(1+HV$3))/$AJ93,'Технический лист'!$A:$B,2,1),(HU93-0.05)))</f>
        <v>1</v>
      </c>
      <c r="HW93" s="15">
        <f>MIN(1,MAX(VLOOKUP(($AJ93-$AI93-$AH93-$AG93-$AF93-$AE93*(1+HW$3))/$AJ93,'Технический лист'!$A:$B,2,1),(HV93-0.05)))</f>
        <v>1</v>
      </c>
      <c r="HX93" s="15">
        <f>MIN(1,MAX(VLOOKUP(($AJ93-$AI93-$AH93-$AG93-$AF93-$AE93*(1+HX$3))/$AJ93,'Технический лист'!$A:$B,2,1),(HW93-0.05)))</f>
        <v>1</v>
      </c>
      <c r="HY93" s="15">
        <f>MIN(1,MAX(VLOOKUP(($AJ93-$AI93-$AH93-$AG93-$AF93-$AE93*(1+HY$3))/$AJ93,'Технический лист'!$A:$B,2,1),(HX93-0.05)))</f>
        <v>1</v>
      </c>
      <c r="HZ93" s="15">
        <f>MIN(1,MAX(VLOOKUP(($AJ93-$AI93-$AH93-$AG93-$AF93-$AE93*(1+HZ$3))/$AJ93,'Технический лист'!$A:$B,2,1),(HY93-0.05)))</f>
        <v>1</v>
      </c>
      <c r="IA93" s="15">
        <f>MIN(1,MAX(VLOOKUP(($AJ93-$AI93-$AH93-$AG93-$AF93-$AE93*(1+IA$3))/$AJ93,'Технический лист'!$A:$B,2,1),(HZ93-0.05)))</f>
        <v>1</v>
      </c>
      <c r="IB93" s="15">
        <f>MIN(1,MAX(VLOOKUP(($AJ93-$AI93-$AH93-$AG93-$AF93-$AE93*(1+IB$3))/$AJ93,'Технический лист'!$A:$B,2,1),(IA93-0.05)))</f>
        <v>1</v>
      </c>
      <c r="IC93" s="15">
        <f>MIN(1,MAX(VLOOKUP(($AJ93-$AI93-$AH93-$AG93-$AF93-$AE93*(1+IC$3))/$AJ93,'Технический лист'!$A:$B,2,1),(IB93-0.05)))</f>
        <v>1</v>
      </c>
      <c r="ID93" s="15">
        <f>MIN(1,MAX(VLOOKUP(($AJ93-$AI93-$AH93-$AG93-$AF93-$AE93*(1+ID$3))/$AJ93,'Технический лист'!$A:$B,2,1),(IC93-0.05)))</f>
        <v>1</v>
      </c>
      <c r="IE93" s="15">
        <f>MIN(1,MAX(VLOOKUP(($AJ93-$AI93-$AH93-$AG93-$AF93-$AE93*(1+IE$3))/$AJ93,'Технический лист'!$A:$B,2,1),(ID93-0.05)))</f>
        <v>1</v>
      </c>
      <c r="IF93" s="15">
        <f>MIN(1,MAX(VLOOKUP(($AJ93-$AI93-$AH93-$AG93-$AF93-$AE93*(1+IF$3))/$AJ93,'Технический лист'!$A:$B,2,1),(IE93-0.05)))</f>
        <v>1</v>
      </c>
      <c r="IG93" s="15">
        <f>MIN(1,MAX(VLOOKUP(($AJ93-$AI93-$AH93-$AG93-$AF93-$AE93*(1+IG$3))/$AJ93,'Технический лист'!$A:$B,2,1),(IF93-0.05)))</f>
        <v>1</v>
      </c>
      <c r="IH93" s="15">
        <f>MIN(1,MAX(VLOOKUP(($AJ93-$AI93-$AH93-$AG93-$AF93-$AE93*(1+IH$3))/$AJ93,'Технический лист'!$A:$B,2,1),(IG93-0.05)))</f>
        <v>1</v>
      </c>
      <c r="II93" s="15">
        <f>MIN(1,MAX(VLOOKUP(($AJ93-$AI93-$AH93-$AG93-$AF93-$AE93*(1+II$3))/$AJ93,'Технический лист'!$A:$B,2,1),(IH93-0.05)))</f>
        <v>1</v>
      </c>
      <c r="IJ93" s="15">
        <f>MIN(1,MAX(VLOOKUP(($AJ93-$AI93-$AH93-$AG93-$AF93-$AE93*(1+IJ$3))/$AJ93,'Технический лист'!$A:$B,2,1),(II93-0.05)))</f>
        <v>1</v>
      </c>
      <c r="IK93" s="15">
        <f>MIN(1,MAX(VLOOKUP(($AJ93-$AI93-$AH93-$AG93-$AF93-$AE93*(1+IK$3))/$AJ93,'Технический лист'!$A:$B,2,1),(IJ93-0.05)))</f>
        <v>1</v>
      </c>
      <c r="IL93" s="15">
        <f>MIN(1,MAX(VLOOKUP(($AJ93-$AI93-$AH93-$AG93-$AF93-$AE93*(1+IL$3))/$AJ93,'Технический лист'!$A:$B,2,1),(IK93-0.05)))</f>
        <v>1</v>
      </c>
      <c r="IM93" s="15">
        <f>MIN(1,MAX(VLOOKUP(($AJ93-$AI93-$AH93-$AG93-$AF93-$AE93*(1+IM$3))/$AJ93,'Технический лист'!$A:$B,2,1),(IL93-0.05)))</f>
        <v>1</v>
      </c>
      <c r="IN93" s="15">
        <f>MIN(1,MAX(VLOOKUP(($AJ93-$AI93-$AH93-$AG93-$AF93-$AE93*(1+IN$3))/$AJ93,'Технический лист'!$A:$B,2,1),(IM93-0.05)))</f>
        <v>1</v>
      </c>
      <c r="IO93" s="15">
        <f>MIN(1,MAX(VLOOKUP(($AJ93-$AI93-$AH93-$AG93-$AF93-$AE93*(1+IO$3))/$AJ93,'Технический лист'!$A:$B,2,1),(IN93-0.05)))</f>
        <v>1</v>
      </c>
      <c r="IP93" s="15">
        <f>MIN(1,MAX(VLOOKUP(($AJ93-$AI93-$AH93-$AG93-$AF93-$AE93*(1+IP$3))/$AJ93,'Технический лист'!$A:$B,2,1),(IO93-0.05)))</f>
        <v>1</v>
      </c>
      <c r="IQ93" s="15">
        <f>MIN(1,MAX(VLOOKUP(($AJ93-$AI93-$AH93-$AG93-$AF93-$AE93*(1+IQ$3))/$AJ93,'Технический лист'!$A:$B,2,1),(IP93-0.05)))</f>
        <v>1</v>
      </c>
      <c r="IR93" s="15">
        <f>MIN(1,MAX(VLOOKUP(($AJ93-$AI93-$AH93-$AG93-$AF93-$AE93*(1+IR$3))/$AJ93,'Технический лист'!$A:$B,2,1),(IQ93-0.05)))</f>
        <v>1</v>
      </c>
    </row>
    <row r="94" spans="1:252" ht="43.75">
      <c r="A94" s="89" t="s">
        <v>515</v>
      </c>
      <c r="B94" s="90">
        <v>5</v>
      </c>
      <c r="C94" s="5" t="s">
        <v>68</v>
      </c>
      <c r="D94" s="91">
        <v>31405</v>
      </c>
      <c r="E94" s="91" t="s">
        <v>344</v>
      </c>
      <c r="F94" s="92" t="s">
        <v>77</v>
      </c>
      <c r="G94" s="91" t="s">
        <v>50</v>
      </c>
      <c r="H94" s="91" t="s">
        <v>50</v>
      </c>
      <c r="I94" s="91" t="s">
        <v>126</v>
      </c>
      <c r="J94" s="91" t="s">
        <v>168</v>
      </c>
      <c r="K94" s="91">
        <v>72</v>
      </c>
      <c r="L94" s="85" t="s">
        <v>64</v>
      </c>
      <c r="M94" s="91" t="s">
        <v>190</v>
      </c>
      <c r="N94" s="91" t="s">
        <v>191</v>
      </c>
      <c r="O94" s="91" t="s">
        <v>192</v>
      </c>
      <c r="P94" s="89" t="s">
        <v>242</v>
      </c>
      <c r="Q94" s="91" t="s">
        <v>359</v>
      </c>
      <c r="R94" s="91" t="s">
        <v>253</v>
      </c>
      <c r="S94" s="82">
        <v>529900</v>
      </c>
      <c r="T94" s="82">
        <v>38152801</v>
      </c>
      <c r="U94" s="81">
        <v>7705</v>
      </c>
      <c r="V94" s="81">
        <v>0</v>
      </c>
      <c r="W94" s="82">
        <v>299409673</v>
      </c>
      <c r="X94" s="112">
        <v>69</v>
      </c>
      <c r="Y94" s="112" t="s">
        <v>417</v>
      </c>
      <c r="Z94" s="113">
        <v>3</v>
      </c>
      <c r="AA94" s="113">
        <v>3</v>
      </c>
      <c r="AB94" s="113">
        <v>4</v>
      </c>
      <c r="AC94" s="99">
        <v>633.42999999999995</v>
      </c>
      <c r="AD94" s="99">
        <f t="shared" si="37"/>
        <v>39.920000000000073</v>
      </c>
      <c r="AE94" s="99">
        <v>673.35</v>
      </c>
      <c r="AF94" s="98">
        <f>(Z94+AA94+AB94)*'Ставки аренды'!$B$3/X94</f>
        <v>101.44927536231884</v>
      </c>
      <c r="AG94" s="114">
        <v>0</v>
      </c>
      <c r="AH94" s="94">
        <v>0</v>
      </c>
      <c r="AI94" s="115">
        <f>56808019/60637187*AJ94</f>
        <v>58084.771940360624</v>
      </c>
      <c r="AJ94" s="117">
        <f>Цены!$D$11</f>
        <v>62000</v>
      </c>
      <c r="AK94" s="94">
        <f>AJ94/Цены!$B$1</f>
        <v>812.52334366461139</v>
      </c>
      <c r="AL94" s="95">
        <f t="shared" si="24"/>
        <v>774.79927536231889</v>
      </c>
      <c r="AM94" s="95">
        <f t="shared" si="25"/>
        <v>61225.200724637682</v>
      </c>
      <c r="AN94" s="94">
        <f t="shared" si="22"/>
        <v>58859.571215722943</v>
      </c>
      <c r="AO94" s="118">
        <f t="shared" si="23"/>
        <v>5.0652077165758987E-2</v>
      </c>
      <c r="AP94" s="96">
        <f t="shared" si="26"/>
        <v>1.2496762505843853E-2</v>
      </c>
      <c r="AQ94" s="96">
        <f t="shared" si="27"/>
        <v>1.0860483870967743E-2</v>
      </c>
      <c r="AR94" s="96">
        <f t="shared" si="28"/>
        <v>0.86906379679449464</v>
      </c>
      <c r="AS94" s="122">
        <v>1</v>
      </c>
      <c r="AT94" s="121">
        <f t="shared" si="29"/>
        <v>529900</v>
      </c>
      <c r="AU94" s="83">
        <v>0.8</v>
      </c>
      <c r="AV94" s="119">
        <f t="shared" si="30"/>
        <v>4.9348819101242808E-2</v>
      </c>
      <c r="AW94" s="120">
        <f t="shared" si="31"/>
        <v>1.3800020570359983E-2</v>
      </c>
      <c r="AX94" s="120">
        <f t="shared" si="32"/>
        <v>1.2163741935483871E-2</v>
      </c>
      <c r="AY94" s="120">
        <f t="shared" si="33"/>
        <v>0.88142926117149789</v>
      </c>
      <c r="AZ94" s="15">
        <f>MIN(IF($AU94=100%,1,1+VLOOKUP(($AJ94-$AI94-$AH94-$AG94-$AF94-$AE94*(1+AZ$3))/$AJ94,'Технический лист'!$I:$J,2,1)-VLOOKUP($AO94,'Технический лист'!$I:$J,2,1)),1+(1-$AU94))</f>
        <v>1.02</v>
      </c>
      <c r="BA94" s="15">
        <f>MIN(IF($AU94=100%,1,1+VLOOKUP(($AJ94-$AI94-$AH94-$AG94-$AF94-$AE94*(1+BA$3))/$AJ94,'Технический лист'!$I:$J,2,1)-VLOOKUP($AO94,'Технический лист'!$I:$J,2,1)),1+(1-$AU94))</f>
        <v>1.02</v>
      </c>
      <c r="BB94" s="15">
        <f>MIN(IF($AU94=100%,1,1+VLOOKUP(($AJ94-$AI94-$AH94-$AG94-$AF94-$AE94*(1+BB$3))/$AJ94,'Технический лист'!$I:$J,2,1)-VLOOKUP($AO94,'Технический лист'!$I:$J,2,1)),1+(1-$AU94))</f>
        <v>1.02</v>
      </c>
      <c r="BC94" s="15">
        <f>MIN(IF($AU94=100%,1,1+VLOOKUP(($AJ94-$AI94-$AH94-$AG94-$AF94-$AE94*(1+BC$3))/$AJ94,'Технический лист'!$I:$J,2,1)-VLOOKUP($AO94,'Технический лист'!$I:$J,2,1)),1+(1-$AU94))</f>
        <v>1.02</v>
      </c>
      <c r="BD94" s="15">
        <f>MIN(IF($AU94=100%,1,1+VLOOKUP(($AJ94-$AI94-$AH94-$AG94-$AF94-$AE94*(1+BD$3))/$AJ94,'Технический лист'!$I:$J,2,1)-VLOOKUP($AO94,'Технический лист'!$I:$J,2,1)),1+(1-$AU94))</f>
        <v>1.02</v>
      </c>
      <c r="BE94" s="15">
        <f>MIN(IF($AU94=100%,1,1+VLOOKUP(($AJ94-$AI94-$AH94-$AG94-$AF94-$AE94*(1+BE$3))/$AJ94,'Технический лист'!$I:$J,2,1)-VLOOKUP($AO94,'Технический лист'!$I:$J,2,1)),1+(1-$AU94))</f>
        <v>1.02</v>
      </c>
      <c r="BF94" s="15">
        <f>MIN(IF($AU94=100%,1,1+VLOOKUP(($AJ94-$AI94-$AH94-$AG94-$AF94-$AE94*(1+BF$3))/$AJ94,'Технический лист'!$I:$J,2,1)-VLOOKUP($AO94,'Технический лист'!$I:$J,2,1)),1+(1-$AU94))</f>
        <v>1.02</v>
      </c>
      <c r="BG94" s="15">
        <f>MIN(IF($AU94=100%,1,1+VLOOKUP(($AJ94-$AI94-$AH94-$AG94-$AF94-$AE94*(1+BG$3))/$AJ94,'Технический лист'!$I:$J,2,1)-VLOOKUP($AO94,'Технический лист'!$I:$J,2,1)),1+(1-$AU94))</f>
        <v>1.02</v>
      </c>
      <c r="BH94" s="15">
        <f>MIN(IF($AU94=100%,1,1+VLOOKUP(($AJ94-$AI94-$AH94-$AG94-$AF94-$AE94*(1+BH$3))/$AJ94,'Технический лист'!$I:$J,2,1)-VLOOKUP($AO94,'Технический лист'!$I:$J,2,1)),1+(1-$AU94))</f>
        <v>1.02</v>
      </c>
      <c r="BI94" s="15">
        <f>MIN(IF($AU94=100%,1,1+VLOOKUP(($AJ94-$AI94-$AH94-$AG94-$AF94-$AE94*(1+BI$3))/$AJ94,'Технический лист'!$I:$J,2,1)-VLOOKUP($AO94,'Технический лист'!$I:$J,2,1)),1+(1-$AU94))</f>
        <v>1.02</v>
      </c>
      <c r="BJ94" s="15">
        <f>MIN(IF($AU94=100%,1,1+VLOOKUP(($AJ94-$AI94-$AH94-$AG94-$AF94-$AE94*(1+BJ$3))/$AJ94,'Технический лист'!$I:$J,2,1)-VLOOKUP($AO94,'Технический лист'!$I:$J,2,1)),1+(1-$AU94))</f>
        <v>1.02</v>
      </c>
      <c r="BK94" s="15">
        <f>MIN(IF($AU94=100%,1,1+VLOOKUP(($AJ94-$AI94-$AH94-$AG94-$AF94-$AE94*(1+BK$3))/$AJ94,'Технический лист'!$I:$J,2,1)-VLOOKUP($AO94,'Технический лист'!$I:$J,2,1)),1+(1-$AU94))</f>
        <v>1.02</v>
      </c>
      <c r="BL94" s="15">
        <f>MIN(IF($AU94=100%,1,1+VLOOKUP(($AJ94-$AI94-$AH94-$AG94-$AF94-$AE94*(1+BL$3))/$AJ94,'Технический лист'!$I:$J,2,1)-VLOOKUP($AO94,'Технический лист'!$I:$J,2,1)),1+(1-$AU94))</f>
        <v>1.02</v>
      </c>
      <c r="BM94" s="15">
        <f>MIN(IF($AU94=100%,1,1+VLOOKUP(($AJ94-$AI94-$AH94-$AG94-$AF94-$AE94*(1+BM$3))/$AJ94,'Технический лист'!$I:$J,2,1)-VLOOKUP($AO94,'Технический лист'!$I:$J,2,1)),1+(1-$AU94))</f>
        <v>1.02</v>
      </c>
      <c r="BN94" s="15">
        <f>MIN(IF($AU94=100%,1,1+VLOOKUP(($AJ94-$AI94-$AH94-$AG94-$AF94-$AE94*(1+BN$3))/$AJ94,'Технический лист'!$I:$J,2,1)-VLOOKUP($AO94,'Технический лист'!$I:$J,2,1)),1+(1-$AU94))</f>
        <v>1.02</v>
      </c>
      <c r="BO94" s="15">
        <f>MIN(IF($AU94=100%,1,1+VLOOKUP(($AJ94-$AI94-$AH94-$AG94-$AF94-$AE94*(1+BO$3))/$AJ94,'Технический лист'!$I:$J,2,1)-VLOOKUP($AO94,'Технический лист'!$I:$J,2,1)),1+(1-$AU94))</f>
        <v>1.02</v>
      </c>
      <c r="BP94" s="15">
        <f>MIN(IF($AU94=100%,1,1+VLOOKUP(($AJ94-$AI94-$AH94-$AG94-$AF94-$AE94*(1+BP$3))/$AJ94,'Технический лист'!$I:$J,2,1)-VLOOKUP($AO94,'Технический лист'!$I:$J,2,1)),1+(1-$AU94))</f>
        <v>1.02</v>
      </c>
      <c r="BQ94" s="15">
        <f>MIN(IF($AU94=100%,1,1+VLOOKUP(($AJ94-$AI94-$AH94-$AG94-$AF94-$AE94*(1+BQ$3))/$AJ94,'Технический лист'!$I:$J,2,1)-VLOOKUP($AO94,'Технический лист'!$I:$J,2,1)),1+(1-$AU94))</f>
        <v>1.02</v>
      </c>
      <c r="BR94" s="15">
        <f>MIN(IF($AU94=100%,1,1+VLOOKUP(($AJ94-$AI94-$AH94-$AG94-$AF94-$AE94*(1+BR$3))/$AJ94,'Технический лист'!$I:$J,2,1)-VLOOKUP($AO94,'Технический лист'!$I:$J,2,1)),1+(1-$AU94))</f>
        <v>1.02</v>
      </c>
      <c r="BS94" s="15">
        <f>MIN(IF($AU94=100%,1,1+VLOOKUP(($AJ94-$AI94-$AH94-$AG94-$AF94-$AE94*(1+BS$3))/$AJ94,'Технический лист'!$I:$J,2,1)-VLOOKUP($AO94,'Технический лист'!$I:$J,2,1)),1+(1-$AU94))</f>
        <v>1.02</v>
      </c>
      <c r="BT94" s="15">
        <f>MIN(IF($AU94=100%,1,1+VLOOKUP(($AJ94-$AI94-$AH94-$AG94-$AF94-$AE94*(1+BT$3))/$AJ94,'Технический лист'!$I:$J,2,1)-VLOOKUP($AO94,'Технический лист'!$I:$J,2,1)),1+(1-$AU94))</f>
        <v>1</v>
      </c>
      <c r="BU94" s="15">
        <f>MIN(IF($AU94=100%,1,1+VLOOKUP(($AJ94-$AI94-$AH94-$AG94-$AF94-$AE94*(1+BU$3))/$AJ94,'Технический лист'!$I:$J,2,1)-VLOOKUP($AO94,'Технический лист'!$I:$J,2,1)),1+(1-$AU94))</f>
        <v>1</v>
      </c>
      <c r="BV94" s="15">
        <f>MIN(IF($AU94=100%,1,1+VLOOKUP(($AJ94-$AI94-$AH94-$AG94-$AF94-$AE94*(1+BV$3))/$AJ94,'Технический лист'!$I:$J,2,1)-VLOOKUP($AO94,'Технический лист'!$I:$J,2,1)),1+(1-$AU94))</f>
        <v>1</v>
      </c>
      <c r="BW94" s="15">
        <f>MIN(IF($AU94=100%,1,1+VLOOKUP(($AJ94-$AI94-$AH94-$AG94-$AF94-$AE94*(1+BW$3))/$AJ94,'Технический лист'!$I:$J,2,1)-VLOOKUP($AO94,'Технический лист'!$I:$J,2,1)),1+(1-$AU94))</f>
        <v>1</v>
      </c>
      <c r="BX94" s="15">
        <f>MIN(IF($AU94=100%,1,1+VLOOKUP(($AJ94-$AI94-$AH94-$AG94-$AF94-$AE94*(1+BX$3))/$AJ94,'Технический лист'!$I:$J,2,1)-VLOOKUP($AO94,'Технический лист'!$I:$J,2,1)),1+(1-$AU94))</f>
        <v>1</v>
      </c>
      <c r="BY94" s="15">
        <f>MIN(IF($AU94=100%,1,1+VLOOKUP(($AJ94-$AI94-$AH94-$AG94-$AF94-$AE94*(1+BY$3))/$AJ94,'Технический лист'!$I:$J,2,1)-VLOOKUP($AO94,'Технический лист'!$I:$J,2,1)),1+(1-$AU94))</f>
        <v>1</v>
      </c>
      <c r="BZ94" s="15">
        <f>MIN(IF($AU94=100%,1,1+VLOOKUP(($AJ94-$AI94-$AH94-$AG94-$AF94-$AE94*(1+BZ$3))/$AJ94,'Технический лист'!$I:$J,2,1)-VLOOKUP($AO94,'Технический лист'!$I:$J,2,1)),1+(1-$AU94))</f>
        <v>1</v>
      </c>
      <c r="CA94" s="15">
        <f>MIN(IF($AU94=100%,1,1+VLOOKUP(($AJ94-$AI94-$AH94-$AG94-$AF94-$AE94*(1+CA$3))/$AJ94,'Технический лист'!$I:$J,2,1)-VLOOKUP($AO94,'Технический лист'!$I:$J,2,1)),1+(1-$AU94))</f>
        <v>1</v>
      </c>
      <c r="CB94" s="15">
        <f>MIN(IF($AU94=100%,1,1+VLOOKUP(($AJ94-$AI94-$AH94-$AG94-$AF94-$AE94*(1+CB$3))/$AJ94,'Технический лист'!$I:$J,2,1)-VLOOKUP($AO94,'Технический лист'!$I:$J,2,1)),1+(1-$AU94))</f>
        <v>1</v>
      </c>
      <c r="CC94" s="15">
        <f>MIN(IF($AU94=100%,1,1+VLOOKUP(($AJ94-$AI94-$AH94-$AG94-$AF94-$AE94*(1+CC$3))/$AJ94,'Технический лист'!$I:$J,2,1)-VLOOKUP($AO94,'Технический лист'!$I:$J,2,1)),1+(1-$AU94))</f>
        <v>1</v>
      </c>
      <c r="CD94" s="15">
        <f>MIN(IF($AU94=100%,1,1+VLOOKUP(($AJ94-$AI94-$AH94-$AG94-$AF94-$AE94*(1+CD$3))/$AJ94,'Технический лист'!$I:$J,2,1)-VLOOKUP($AO94,'Технический лист'!$I:$J,2,1)),1+(1-$AU94))</f>
        <v>1</v>
      </c>
      <c r="CE94" s="15">
        <f>MIN(IF($AU94=100%,1,1+VLOOKUP(($AJ94-$AI94-$AH94-$AG94-$AF94-$AE94*(1+CE$3))/$AJ94,'Технический лист'!$I:$J,2,1)-VLOOKUP($AO94,'Технический лист'!$I:$J,2,1)),1+(1-$AU94))</f>
        <v>1</v>
      </c>
      <c r="CF94" s="15">
        <f>MIN(IF($AU94=100%,1,1+VLOOKUP(($AJ94-$AI94-$AH94-$AG94-$AF94-$AE94*(1+CF$3))/$AJ94,'Технический лист'!$I:$J,2,1)-VLOOKUP($AO94,'Технический лист'!$I:$J,2,1)),1+(1-$AU94))</f>
        <v>1</v>
      </c>
      <c r="CG94" s="15">
        <f>MIN(IF($AU94=100%,1,1+VLOOKUP(($AJ94-$AI94-$AH94-$AG94-$AF94-$AE94*(1+CG$3))/$AJ94,'Технический лист'!$I:$J,2,1)-VLOOKUP($AO94,'Технический лист'!$I:$J,2,1)),1+(1-$AU94))</f>
        <v>1</v>
      </c>
      <c r="CH94" s="15">
        <f>MIN(IF($AU94=100%,1,1+VLOOKUP(($AJ94-$AI94-$AH94-$AG94-$AF94-$AE94*(1+CH$3))/$AJ94,'Технический лист'!$I:$J,2,1)-VLOOKUP($AO94,'Технический лист'!$I:$J,2,1)),1+(1-$AU94))</f>
        <v>1</v>
      </c>
      <c r="CI94" s="15">
        <f>MIN(IF($AU94=100%,1,1+VLOOKUP(($AJ94-$AI94-$AH94-$AG94-$AF94-$AE94*(1+CI$3))/$AJ94,'Технический лист'!$I:$J,2,1)-VLOOKUP($AO94,'Технический лист'!$I:$J,2,1)),1+(1-$AU94))</f>
        <v>1</v>
      </c>
      <c r="CJ94" s="15">
        <f>MIN(IF($AU94=100%,1,1+VLOOKUP(($AJ94-$AI94-$AH94-$AG94-$AF94-$AE94*(1+CJ$3))/$AJ94,'Технический лист'!$I:$J,2,1)-VLOOKUP($AO94,'Технический лист'!$I:$J,2,1)),1+(1-$AU94))</f>
        <v>1</v>
      </c>
      <c r="CK94" s="15">
        <f>MIN(IF($AU94=100%,1,1+VLOOKUP(($AJ94-$AI94-$AH94-$AG94-$AF94-$AE94*(1+CK$3))/$AJ94,'Технический лист'!$I:$J,2,1)-VLOOKUP($AO94,'Технический лист'!$I:$J,2,1)),1+(1-$AU94))</f>
        <v>1</v>
      </c>
      <c r="CL94" s="15">
        <f>MIN(IF($AU94=100%,1,1+VLOOKUP(($AJ94-$AI94-$AH94-$AG94-$AF94-$AE94*(1+CL$3))/$AJ94,'Технический лист'!$I:$J,2,1)-VLOOKUP($AO94,'Технический лист'!$I:$J,2,1)),1+(1-$AU94))</f>
        <v>1</v>
      </c>
      <c r="CM94" s="15">
        <f>MIN(IF($AU94=100%,1,1+VLOOKUP(($AJ94-$AI94-$AH94-$AG94-$AF94-$AE94*(1+CM$3))/$AJ94,'Технический лист'!$I:$J,2,1)-VLOOKUP($AO94,'Технический лист'!$I:$J,2,1)),1+(1-$AU94))</f>
        <v>1</v>
      </c>
      <c r="CN94" s="15">
        <f>MIN(IF($AU94=100%,1,1+VLOOKUP(($AJ94-$AI94-$AH94-$AG94-$AF94-$AE94*(1+CN$3))/$AJ94,'Технический лист'!$I:$J,2,1)-VLOOKUP($AO94,'Технический лист'!$I:$J,2,1)),1+(1-$AU94))</f>
        <v>1</v>
      </c>
      <c r="CO94" s="15">
        <f>MIN(IF($AU94=100%,1,1+VLOOKUP(($AJ94-$AI94-$AH94-$AG94-$AF94-$AE94*(1+CO$3))/$AJ94,'Технический лист'!$I:$J,2,1)-VLOOKUP($AO94,'Технический лист'!$I:$J,2,1)),1+(1-$AU94))</f>
        <v>1</v>
      </c>
      <c r="CP94" s="15">
        <f>MIN(IF($AU94=100%,1,1+VLOOKUP(($AJ94-$AI94-$AH94-$AG94-$AF94-$AE94*(1+CP$3))/$AJ94,'Технический лист'!$I:$J,2,1)-VLOOKUP($AO94,'Технический лист'!$I:$J,2,1)),1+(1-$AU94))</f>
        <v>1</v>
      </c>
      <c r="CQ94" s="15">
        <f>MIN(IF($AU94=100%,1,1+VLOOKUP(($AJ94-$AI94-$AH94-$AG94-$AF94-$AE94*(1+CQ$3))/$AJ94,'Технический лист'!$I:$J,2,1)-VLOOKUP($AO94,'Технический лист'!$I:$J,2,1)),1+(1-$AU94))</f>
        <v>1</v>
      </c>
      <c r="CR94" s="15">
        <f>MIN(IF($AU94=100%,1,1+VLOOKUP(($AJ94-$AI94-$AH94-$AG94-$AF94-$AE94*(1+CR$3))/$AJ94,'Технический лист'!$I:$J,2,1)-VLOOKUP($AO94,'Технический лист'!$I:$J,2,1)),1+(1-$AU94))</f>
        <v>1</v>
      </c>
      <c r="CS94" s="15">
        <f>MIN(IF($AU94=100%,1,1+VLOOKUP(($AJ94-$AI94-$AH94-$AG94-$AF94-$AE94*(1+CS$3))/$AJ94,'Технический лист'!$I:$J,2,1)-VLOOKUP($AO94,'Технический лист'!$I:$J,2,1)),1+(1-$AU94))</f>
        <v>1</v>
      </c>
      <c r="CT94" s="15">
        <f>MIN(IF($AU94=100%,1,1+VLOOKUP(($AJ94-$AI94-$AH94-$AG94-$AF94-$AE94*(1+CT$3))/$AJ94,'Технический лист'!$I:$J,2,1)-VLOOKUP($AO94,'Технический лист'!$I:$J,2,1)),1+(1-$AU94))</f>
        <v>1</v>
      </c>
      <c r="CU94" s="15">
        <f>MIN(IF($AU94=100%,1,1+VLOOKUP(($AJ94-$AI94-$AH94-$AG94-$AF94-$AE94*(1+CU$3))/$AJ94,'Технический лист'!$I:$J,2,1)-VLOOKUP($AO94,'Технический лист'!$I:$J,2,1)),1+(1-$AU94))</f>
        <v>1</v>
      </c>
      <c r="CV94" s="15">
        <f>MIN(IF($AU94=100%,1,1+VLOOKUP(($AJ94-$AI94-$AH94-$AG94-$AF94-$AE94*(1+CV$3))/$AJ94,'Технический лист'!$I:$J,2,1)-VLOOKUP($AO94,'Технический лист'!$I:$J,2,1)),1+(1-$AU94))</f>
        <v>1</v>
      </c>
      <c r="CW94" s="15">
        <f>MIN(IF($AU94=100%,1,1+VLOOKUP(($AJ94-$AI94-$AH94-$AG94-$AF94-$AE94*(1+CW$3))/$AJ94,'Технический лист'!$I:$J,2,1)-VLOOKUP($AO94,'Технический лист'!$I:$J,2,1)),1+(1-$AU94))</f>
        <v>1</v>
      </c>
      <c r="CX94" s="15">
        <f>MIN(IF($AU94=100%,1,1+VLOOKUP(($AJ94-$AI94-$AH94-$AG94-$AF94-$AE94*(1+CX$3))/$AJ94,'Технический лист'!$I:$J,2,1)-VLOOKUP($AO94,'Технический лист'!$I:$J,2,1)),1+(1-$AU94))</f>
        <v>1</v>
      </c>
      <c r="CY94" s="15">
        <f>MIN(IF($AU94=100%,1,1+VLOOKUP(($AJ94-$AI94-$AH94-$AG94-$AF94-$AE94*(1+CY$3))/$AJ94,'Технический лист'!$I:$J,2,1)-VLOOKUP($AO94,'Технический лист'!$I:$J,2,1)),1+(1-$AU94))</f>
        <v>1</v>
      </c>
      <c r="CZ94" s="15">
        <f>MIN(IF($AU94=100%,1,1+VLOOKUP(($AJ94-$AI94-$AH94-$AG94-$AF94-$AE94*(1+CZ$3))/$AJ94,'Технический лист'!$I:$J,2,1)-VLOOKUP($AO94,'Технический лист'!$I:$J,2,1)),1+(1-$AU94))</f>
        <v>1</v>
      </c>
      <c r="DA94" s="15">
        <f>MIN(IF($AU94=100%,1,1+VLOOKUP(($AJ94-$AI94-$AH94-$AG94-$AF94-$AE94*(1+DA$3))/$AJ94,'Технический лист'!$I:$J,2,1)-VLOOKUP($AO94,'Технический лист'!$I:$J,2,1)),1+(1-$AU94))</f>
        <v>1</v>
      </c>
      <c r="DB94" s="15">
        <f>MIN(IF($AU94=100%,1,1+VLOOKUP(($AJ94-$AI94-$AH94-$AG94-$AF94-$AE94*(1+DB$3))/$AJ94,'Технический лист'!$I:$J,2,1)-VLOOKUP($AO94,'Технический лист'!$I:$J,2,1)),1+(1-$AU94))</f>
        <v>1</v>
      </c>
      <c r="DC94" s="15">
        <f>MIN(IF($AU94=100%,1,1+VLOOKUP(($AJ94-$AI94-$AH94-$AG94-$AF94-$AE94*(1+DC$3))/$AJ94,'Технический лист'!$I:$J,2,1)-VLOOKUP($AO94,'Технический лист'!$I:$J,2,1)),1+(1-$AU94))</f>
        <v>1</v>
      </c>
      <c r="DD94" s="15">
        <f>MIN(IF($AU94=100%,1,1+VLOOKUP(($AJ94-$AI94-$AH94-$AG94-$AF94-$AE94*(1+DD$3))/$AJ94,'Технический лист'!$I:$J,2,1)-VLOOKUP($AO94,'Технический лист'!$I:$J,2,1)),1+(1-$AU94))</f>
        <v>1</v>
      </c>
      <c r="DE94" s="15">
        <f>MIN(IF($AU94=100%,1,1+VLOOKUP(($AJ94-$AI94-$AH94-$AG94-$AF94-$AE94*(1+DE$3))/$AJ94,'Технический лист'!$I:$J,2,1)-VLOOKUP($AO94,'Технический лист'!$I:$J,2,1)),1+(1-$AU94))</f>
        <v>1</v>
      </c>
      <c r="DF94" s="15">
        <f>MIN(IF($AU94=100%,1,1+VLOOKUP(($AJ94-$AI94-$AH94-$AG94-$AF94-$AE94*(1+DF$3))/$AJ94,'Технический лист'!$I:$J,2,1)-VLOOKUP($AO94,'Технический лист'!$I:$J,2,1)),1+(1-$AU94))</f>
        <v>1</v>
      </c>
      <c r="DG94" s="15">
        <f>MIN(IF($AU94=100%,1,1+VLOOKUP(($AJ94-$AI94-$AH94-$AG94-$AF94-$AE94*(1+DG$3))/$AJ94,'Технический лист'!$I:$J,2,1)-VLOOKUP($AO94,'Технический лист'!$I:$J,2,1)),1+(1-$AU94))</f>
        <v>1</v>
      </c>
      <c r="DH94" s="15">
        <f>MIN(IF($AU94=100%,1,1+VLOOKUP(($AJ94-$AI94-$AH94-$AG94-$AF94-$AE94*(1+DH$3))/$AJ94,'Технический лист'!$I:$J,2,1)-VLOOKUP($AO94,'Технический лист'!$I:$J,2,1)),1+(1-$AU94))</f>
        <v>1</v>
      </c>
      <c r="DI94" s="15">
        <f>MIN(IF($AU94=100%,1,1+VLOOKUP(($AJ94-$AI94-$AH94-$AG94-$AF94-$AE94*(1+DI$3))/$AJ94,'Технический лист'!$I:$J,2,1)-VLOOKUP($AO94,'Технический лист'!$I:$J,2,1)),1+(1-$AU94))</f>
        <v>1</v>
      </c>
      <c r="DJ94" s="15">
        <f>MIN(IF($AU94=100%,1,1+VLOOKUP(($AJ94-$AI94-$AH94-$AG94-$AF94-$AE94*(1+DJ$3))/$AJ94,'Технический лист'!$I:$J,2,1)-VLOOKUP($AO94,'Технический лист'!$I:$J,2,1)),1+(1-$AU94))</f>
        <v>1</v>
      </c>
      <c r="DK94" s="15">
        <f>MIN(IF($AU94=100%,1,1+VLOOKUP(($AJ94-$AI94-$AH94-$AG94-$AF94-$AE94*(1+DK$3))/$AJ94,'Технический лист'!$I:$J,2,1)-VLOOKUP($AO94,'Технический лист'!$I:$J,2,1)),1+(1-$AU94))</f>
        <v>1</v>
      </c>
      <c r="DL94" s="15">
        <f>MIN(IF($AU94=100%,1,1+VLOOKUP(($AJ94-$AI94-$AH94-$AG94-$AF94-$AE94*(1+DL$3))/$AJ94,'Технический лист'!$I:$J,2,1)-VLOOKUP($AO94,'Технический лист'!$I:$J,2,1)),1+(1-$AU94))</f>
        <v>1</v>
      </c>
      <c r="DM94" s="15">
        <f>MIN(IF($AU94=100%,1,1+VLOOKUP(($AJ94-$AI94-$AH94-$AG94-$AF94-$AE94*(1+DM$3))/$AJ94,'Технический лист'!$I:$J,2,1)-VLOOKUP($AO94,'Технический лист'!$I:$J,2,1)),1+(1-$AU94))</f>
        <v>1</v>
      </c>
      <c r="DN94" s="15">
        <f>MIN(IF($AU94=100%,1,1+VLOOKUP(($AJ94-$AI94-$AH94-$AG94-$AF94-$AE94*(1+DN$3))/$AJ94,'Технический лист'!$I:$J,2,1)-VLOOKUP($AO94,'Технический лист'!$I:$J,2,1)),1+(1-$AU94))</f>
        <v>1</v>
      </c>
      <c r="DO94" s="15">
        <f>MIN(IF($AU94=100%,1,1+VLOOKUP(($AJ94-$AI94-$AH94-$AG94-$AF94-$AE94*(1+DO$3))/$AJ94,'Технический лист'!$I:$J,2,1)-VLOOKUP($AO94,'Технический лист'!$I:$J,2,1)),1+(1-$AU94))</f>
        <v>1</v>
      </c>
      <c r="DP94" s="15">
        <f>MIN(IF($AU94=100%,1,1+VLOOKUP(($AJ94-$AI94-$AH94-$AG94-$AF94-$AE94*(1+DP$3))/$AJ94,'Технический лист'!$I:$J,2,1)-VLOOKUP($AO94,'Технический лист'!$I:$J,2,1)),1+(1-$AU94))</f>
        <v>1</v>
      </c>
      <c r="DQ94" s="15">
        <f>MIN(IF($AU94=100%,1,1+VLOOKUP(($AJ94-$AI94-$AH94-$AG94-$AF94-$AE94*(1+DQ$3))/$AJ94,'Технический лист'!$I:$J,2,1)-VLOOKUP($AO94,'Технический лист'!$I:$J,2,1)),1+(1-$AU94))</f>
        <v>1</v>
      </c>
      <c r="DR94" s="15">
        <f>MIN(IF($AU94=100%,1,1+VLOOKUP(($AJ94-$AI94-$AH94-$AG94-$AF94-$AE94*(1+DR$3))/$AJ94,'Технический лист'!$I:$J,2,1)-VLOOKUP($AO94,'Технический лист'!$I:$J,2,1)),1+(1-$AU94))</f>
        <v>1</v>
      </c>
      <c r="DS94" s="15">
        <f>MIN(IF($AU94=100%,1,1+VLOOKUP(($AJ94-$AI94-$AH94-$AG94-$AF94-$AE94*(1+DS$3))/$AJ94,'Технический лист'!$I:$J,2,1)-VLOOKUP($AO94,'Технический лист'!$I:$J,2,1)),1+(1-$AU94))</f>
        <v>1</v>
      </c>
      <c r="DT94" s="15">
        <f>MIN(IF($AU94=100%,1,1+VLOOKUP(($AJ94-$AI94-$AH94-$AG94-$AF94-$AE94*(1+DT$3))/$AJ94,'Технический лист'!$I:$J,2,1)-VLOOKUP($AO94,'Технический лист'!$I:$J,2,1)),1+(1-$AU94))</f>
        <v>1</v>
      </c>
      <c r="DU94" s="15">
        <f>MIN(IF($AU94=100%,1,1+VLOOKUP(($AJ94-$AI94-$AH94-$AG94-$AF94-$AE94*(1+DU$3))/$AJ94,'Технический лист'!$I:$J,2,1)-VLOOKUP($AO94,'Технический лист'!$I:$J,2,1)),1+(1-$AU94))</f>
        <v>1</v>
      </c>
      <c r="DV94" s="15">
        <f>MIN(IF($AU94=100%,1,1+VLOOKUP(($AJ94-$AI94-$AH94-$AG94-$AF94-$AE94*(1+DV$3))/$AJ94,'Технический лист'!$I:$J,2,1)-VLOOKUP($AO94,'Технический лист'!$I:$J,2,1)),1+(1-$AU94))</f>
        <v>1</v>
      </c>
      <c r="DW94" s="15">
        <f>MIN(IF($AU94=100%,1,1+VLOOKUP(($AJ94-$AI94-$AH94-$AG94-$AF94-$AE94*(1+DW$3))/$AJ94,'Технический лист'!$I:$J,2,1)-VLOOKUP($AO94,'Технический лист'!$I:$J,2,1)),1+(1-$AU94))</f>
        <v>1</v>
      </c>
      <c r="DX94" s="15">
        <f>MIN(IF($AU94=100%,1,1+VLOOKUP(($AJ94-$AI94-$AH94-$AG94-$AF94-$AE94*(1+DX$3))/$AJ94,'Технический лист'!$I:$J,2,1)-VLOOKUP($AO94,'Технический лист'!$I:$J,2,1)),1+(1-$AU94))</f>
        <v>1</v>
      </c>
      <c r="DY94" s="15">
        <f>MIN(IF($AU94=100%,1,1+VLOOKUP(($AJ94-$AI94-$AH94-$AG94-$AF94-$AE94*(1+DY$3))/$AJ94,'Технический лист'!$I:$J,2,1)-VLOOKUP($AO94,'Технический лист'!$I:$J,2,1)),1+(1-$AU94))</f>
        <v>1</v>
      </c>
      <c r="DZ94" s="15">
        <f>MIN(IF($AU94=100%,1,1+VLOOKUP(($AJ94-$AI94-$AH94-$AG94-$AF94-$AE94*(1+DZ$3))/$AJ94,'Технический лист'!$I:$J,2,1)-VLOOKUP($AO94,'Технический лист'!$I:$J,2,1)),1+(1-$AU94))</f>
        <v>1</v>
      </c>
      <c r="EA94" s="15">
        <f>MIN(IF($AU94=100%,1,1+VLOOKUP(($AJ94-$AI94-$AH94-$AG94-$AF94-$AE94*(1+EA$3))/$AJ94,'Технический лист'!$I:$J,2,1)-VLOOKUP($AO94,'Технический лист'!$I:$J,2,1)),1+(1-$AU94))</f>
        <v>1</v>
      </c>
      <c r="EB94" s="15">
        <f>MIN(IF($AU94=100%,1,1+VLOOKUP(($AJ94-$AI94-$AH94-$AG94-$AF94-$AE94*(1+EB$3))/$AJ94,'Технический лист'!$I:$J,2,1)-VLOOKUP($AO94,'Технический лист'!$I:$J,2,1)),1+(1-$AU94))</f>
        <v>1</v>
      </c>
      <c r="EC94" s="15">
        <f>MIN(IF($AU94=100%,1,1+VLOOKUP(($AJ94-$AI94-$AH94-$AG94-$AF94-$AE94*(1+EC$3))/$AJ94,'Технический лист'!$I:$J,2,1)-VLOOKUP($AO94,'Технический лист'!$I:$J,2,1)),1+(1-$AU94))</f>
        <v>1</v>
      </c>
      <c r="ED94" s="15">
        <f>MIN(IF($AU94=100%,1,1+VLOOKUP(($AJ94-$AI94-$AH94-$AG94-$AF94-$AE94*(1+ED$3))/$AJ94,'Технический лист'!$I:$J,2,1)-VLOOKUP($AO94,'Технический лист'!$I:$J,2,1)),1+(1-$AU94))</f>
        <v>1</v>
      </c>
      <c r="EE94" s="15">
        <f>MIN(IF($AU94=100%,1,1+VLOOKUP(($AJ94-$AI94-$AH94-$AG94-$AF94-$AE94*(1+EE$3))/$AJ94,'Технический лист'!$I:$J,2,1)-VLOOKUP($AO94,'Технический лист'!$I:$J,2,1)),1+(1-$AU94))</f>
        <v>1</v>
      </c>
      <c r="EF94" s="15">
        <f>MIN(IF($AU94=100%,1,1+VLOOKUP(($AJ94-$AI94-$AH94-$AG94-$AF94-$AE94*(1+EF$3))/$AJ94,'Технический лист'!$I:$J,2,1)-VLOOKUP($AO94,'Технический лист'!$I:$J,2,1)),1+(1-$AU94))</f>
        <v>1</v>
      </c>
      <c r="EG94" s="15">
        <f>MIN(IF($AU94=100%,1,1+VLOOKUP(($AJ94-$AI94-$AH94-$AG94-$AF94-$AE94*(1+EG$3))/$AJ94,'Технический лист'!$I:$J,2,1)-VLOOKUP($AO94,'Технический лист'!$I:$J,2,1)),1+(1-$AU94))</f>
        <v>1</v>
      </c>
      <c r="EH94" s="15">
        <f>MIN(IF($AU94=100%,1,1+VLOOKUP(($AJ94-$AI94-$AH94-$AG94-$AF94-$AE94*(1+EH$3))/$AJ94,'Технический лист'!$I:$J,2,1)-VLOOKUP($AO94,'Технический лист'!$I:$J,2,1)),1+(1-$AU94))</f>
        <v>1</v>
      </c>
      <c r="EI94" s="15">
        <f>MIN(IF($AU94=100%,1,1+VLOOKUP(($AJ94-$AI94-$AH94-$AG94-$AF94-$AE94*(1+EI$3))/$AJ94,'Технический лист'!$I:$J,2,1)-VLOOKUP($AO94,'Технический лист'!$I:$J,2,1)),1+(1-$AU94))</f>
        <v>1</v>
      </c>
      <c r="EJ94" s="15">
        <f>MIN(IF($AU94=100%,1,1+VLOOKUP(($AJ94-$AI94-$AH94-$AG94-$AF94-$AE94*(1+EJ$3))/$AJ94,'Технический лист'!$I:$J,2,1)-VLOOKUP($AO94,'Технический лист'!$I:$J,2,1)),1+(1-$AU94))</f>
        <v>1</v>
      </c>
      <c r="EK94" s="15">
        <f>MIN(IF($AU94=100%,1,1+VLOOKUP(($AJ94-$AI94-$AH94-$AG94-$AF94-$AE94*(1+EK$3))/$AJ94,'Технический лист'!$I:$J,2,1)-VLOOKUP($AO94,'Технический лист'!$I:$J,2,1)),1+(1-$AU94))</f>
        <v>1</v>
      </c>
      <c r="EL94" s="15">
        <f>MIN(IF($AU94=100%,1,1+VLOOKUP(($AJ94-$AI94-$AH94-$AG94-$AF94-$AE94*(1+EL$3))/$AJ94,'Технический лист'!$I:$J,2,1)-VLOOKUP($AO94,'Технический лист'!$I:$J,2,1)),1+(1-$AU94))</f>
        <v>1</v>
      </c>
      <c r="EM94" s="15">
        <f>MIN(IF($AU94=100%,1,1+VLOOKUP(($AJ94-$AI94-$AH94-$AG94-$AF94-$AE94*(1+EM$3))/$AJ94,'Технический лист'!$I:$J,2,1)-VLOOKUP($AO94,'Технический лист'!$I:$J,2,1)),1+(1-$AU94))</f>
        <v>1</v>
      </c>
      <c r="EN94" s="15">
        <f>MIN(IF($AU94=100%,1,1+VLOOKUP(($AJ94-$AI94-$AH94-$AG94-$AF94-$AE94*(1+EN$3))/$AJ94,'Технический лист'!$I:$J,2,1)-VLOOKUP($AO94,'Технический лист'!$I:$J,2,1)),1+(1-$AU94))</f>
        <v>1</v>
      </c>
      <c r="EO94" s="15">
        <f>MIN(IF($AU94=100%,1,1+VLOOKUP(($AJ94-$AI94-$AH94-$AG94-$AF94-$AE94*(1+EO$3))/$AJ94,'Технический лист'!$I:$J,2,1)-VLOOKUP($AO94,'Технический лист'!$I:$J,2,1)),1+(1-$AU94))</f>
        <v>1</v>
      </c>
      <c r="EP94" s="15">
        <f>MIN(IF($AU94=100%,1,1+VLOOKUP(($AJ94-$AI94-$AH94-$AG94-$AF94-$AE94*(1+EP$3))/$AJ94,'Технический лист'!$I:$J,2,1)-VLOOKUP($AO94,'Технический лист'!$I:$J,2,1)),1+(1-$AU94))</f>
        <v>1</v>
      </c>
      <c r="EQ94" s="15">
        <f>MIN(IF($AU94=100%,1,1+VLOOKUP(($AJ94-$AI94-$AH94-$AG94-$AF94-$AE94*(1+EQ$3))/$AJ94,'Технический лист'!$I:$J,2,1)-VLOOKUP($AO94,'Технический лист'!$I:$J,2,1)),1+(1-$AU94))</f>
        <v>1</v>
      </c>
      <c r="ER94" s="15">
        <f>MIN(IF($AU94=100%,1,1+VLOOKUP(($AJ94-$AI94-$AH94-$AG94-$AF94-$AE94*(1+ER$3))/$AJ94,'Технический лист'!$I:$J,2,1)-VLOOKUP($AO94,'Технический лист'!$I:$J,2,1)),1+(1-$AU94))</f>
        <v>1</v>
      </c>
      <c r="ES94" s="15">
        <f>MIN(IF($AU94=100%,1,1+VLOOKUP(($AJ94-$AI94-$AH94-$AG94-$AF94-$AE94*(1+ES$3))/$AJ94,'Технический лист'!$I:$J,2,1)-VLOOKUP($AO94,'Технический лист'!$I:$J,2,1)),1+(1-$AU94))</f>
        <v>1</v>
      </c>
      <c r="ET94" s="15">
        <f>MIN(IF($AU94=100%,1,1+VLOOKUP(($AJ94-$AI94-$AH94-$AG94-$AF94-$AE94*(1+ET$3))/$AJ94,'Технический лист'!$I:$J,2,1)-VLOOKUP($AO94,'Технический лист'!$I:$J,2,1)),1+(1-$AU94))</f>
        <v>1</v>
      </c>
      <c r="EU94" s="15">
        <f>MIN(IF($AU94=100%,1,1+VLOOKUP(($AJ94-$AI94-$AH94-$AG94-$AF94-$AE94*(1+EU$3))/$AJ94,'Технический лист'!$I:$J,2,1)-VLOOKUP($AO94,'Технический лист'!$I:$J,2,1)),1+(1-$AU94))</f>
        <v>1</v>
      </c>
      <c r="EV94" s="111">
        <v>1</v>
      </c>
      <c r="EW94" s="15">
        <f>MIN(1,MAX(VLOOKUP(($AJ94-$AI94-$AH94-$AG94-$AF94-$AE94*(1+EW$3))/$AJ94,'Технический лист'!$A:$B,2,1),(EV94-0.05)))</f>
        <v>1</v>
      </c>
      <c r="EX94" s="15">
        <f>MIN(1,MAX(VLOOKUP(($AJ94-$AI94-$AH94-$AG94-$AF94-$AE94*(1+EX$3))/$AJ94,'Технический лист'!$A:$B,2,1),(EW94-0.05)))</f>
        <v>1</v>
      </c>
      <c r="EY94" s="15">
        <f>MIN(1,MAX(VLOOKUP(($AJ94-$AI94-$AH94-$AG94-$AF94-$AE94*(1+EY$3))/$AJ94,'Технический лист'!$A:$B,2,1),(EX94-0.05)))</f>
        <v>1</v>
      </c>
      <c r="EZ94" s="15">
        <f>MIN(1,MAX(VLOOKUP(($AJ94-$AI94-$AH94-$AG94-$AF94-$AE94*(1+EZ$3))/$AJ94,'Технический лист'!$A:$B,2,1),(EY94-0.05)))</f>
        <v>1</v>
      </c>
      <c r="FA94" s="15">
        <f>MIN(1,MAX(VLOOKUP(($AJ94-$AI94-$AH94-$AG94-$AF94-$AE94*(1+FA$3))/$AJ94,'Технический лист'!$A:$B,2,1),(EZ94-0.05)))</f>
        <v>1</v>
      </c>
      <c r="FB94" s="15">
        <f>MIN(1,MAX(VLOOKUP(($AJ94-$AI94-$AH94-$AG94-$AF94-$AE94*(1+FB$3))/$AJ94,'Технический лист'!$A:$B,2,1),(FA94-0.05)))</f>
        <v>1</v>
      </c>
      <c r="FC94" s="15">
        <f>MIN(1,MAX(VLOOKUP(($AJ94-$AI94-$AH94-$AG94-$AF94-$AE94*(1+FC$3))/$AJ94,'Технический лист'!$A:$B,2,1),(FB94-0.05)))</f>
        <v>1</v>
      </c>
      <c r="FD94" s="15">
        <f>MIN(1,MAX(VLOOKUP(($AJ94-$AI94-$AH94-$AG94-$AF94-$AE94*(1+FD$3))/$AJ94,'Технический лист'!$A:$B,2,1),(FC94-0.05)))</f>
        <v>1</v>
      </c>
      <c r="FE94" s="15">
        <f>MIN(1,MAX(VLOOKUP(($AJ94-$AI94-$AH94-$AG94-$AF94-$AE94*(1+FE$3))/$AJ94,'Технический лист'!$A:$B,2,1),(FD94-0.05)))</f>
        <v>1</v>
      </c>
      <c r="FF94" s="15">
        <f>MIN(1,MAX(VLOOKUP(($AJ94-$AI94-$AH94-$AG94-$AF94-$AE94*(1+FF$3))/$AJ94,'Технический лист'!$A:$B,2,1),(FE94-0.05)))</f>
        <v>1</v>
      </c>
      <c r="FG94" s="15">
        <f>MIN(1,MAX(VLOOKUP(($AJ94-$AI94-$AH94-$AG94-$AF94-$AE94*(1+FG$3))/$AJ94,'Технический лист'!$A:$B,2,1),(FF94-0.05)))</f>
        <v>1</v>
      </c>
      <c r="FH94" s="15">
        <f>MIN(1,MAX(VLOOKUP(($AJ94-$AI94-$AH94-$AG94-$AF94-$AE94*(1+FH$3))/$AJ94,'Технический лист'!$A:$B,2,1),(FG94-0.05)))</f>
        <v>1</v>
      </c>
      <c r="FI94" s="15">
        <f>MIN(1,MAX(VLOOKUP(($AJ94-$AI94-$AH94-$AG94-$AF94-$AE94*(1+FI$3))/$AJ94,'Технический лист'!$A:$B,2,1),(FH94-0.05)))</f>
        <v>1</v>
      </c>
      <c r="FJ94" s="15">
        <f>MIN(1,MAX(VLOOKUP(($AJ94-$AI94-$AH94-$AG94-$AF94-$AE94*(1+FJ$3))/$AJ94,'Технический лист'!$A:$B,2,1),(FI94-0.05)))</f>
        <v>1</v>
      </c>
      <c r="FK94" s="15">
        <f>MIN(1,MAX(VLOOKUP(($AJ94-$AI94-$AH94-$AG94-$AF94-$AE94*(1+FK$3))/$AJ94,'Технический лист'!$A:$B,2,1),(FJ94-0.05)))</f>
        <v>1</v>
      </c>
      <c r="FL94" s="15">
        <f>MIN(1,MAX(VLOOKUP(($AJ94-$AI94-$AH94-$AG94-$AF94-$AE94*(1+FL$3))/$AJ94,'Технический лист'!$A:$B,2,1),(FK94-0.05)))</f>
        <v>1</v>
      </c>
      <c r="FM94" s="15">
        <f>MIN(1,MAX(VLOOKUP(($AJ94-$AI94-$AH94-$AG94-$AF94-$AE94*(1+FM$3))/$AJ94,'Технический лист'!$A:$B,2,1),(FL94-0.05)))</f>
        <v>1</v>
      </c>
      <c r="FN94" s="15">
        <f>MIN(1,MAX(VLOOKUP(($AJ94-$AI94-$AH94-$AG94-$AF94-$AE94*(1+FN$3))/$AJ94,'Технический лист'!$A:$B,2,1),(FM94-0.05)))</f>
        <v>1</v>
      </c>
      <c r="FO94" s="15">
        <f>MIN(1,MAX(VLOOKUP(($AJ94-$AI94-$AH94-$AG94-$AF94-$AE94*(1+FO$3))/$AJ94,'Технический лист'!$A:$B,2,1),(FN94-0.05)))</f>
        <v>1</v>
      </c>
      <c r="FP94" s="15">
        <f>MIN(1,MAX(VLOOKUP(($AJ94-$AI94-$AH94-$AG94-$AF94-$AE94*(1+FP$3))/$AJ94,'Технический лист'!$A:$B,2,1),(FO94-0.05)))</f>
        <v>1</v>
      </c>
      <c r="FQ94" s="15">
        <f>MIN(1,MAX(VLOOKUP(($AJ94-$AI94-$AH94-$AG94-$AF94-$AE94*(1+FQ$3))/$AJ94,'Технический лист'!$A:$B,2,1),(FP94-0.05)))</f>
        <v>1</v>
      </c>
      <c r="FR94" s="15">
        <f>MIN(1,MAX(VLOOKUP(($AJ94-$AI94-$AH94-$AG94-$AF94-$AE94*(1+FR$3))/$AJ94,'Технический лист'!$A:$B,2,1),(FQ94-0.05)))</f>
        <v>1</v>
      </c>
      <c r="FS94" s="15">
        <f>MIN(1,MAX(VLOOKUP(($AJ94-$AI94-$AH94-$AG94-$AF94-$AE94*(1+FS$3))/$AJ94,'Технический лист'!$A:$B,2,1),(FR94-0.05)))</f>
        <v>1</v>
      </c>
      <c r="FT94" s="15">
        <f>MIN(1,MAX(VLOOKUP(($AJ94-$AI94-$AH94-$AG94-$AF94-$AE94*(1+FT$3))/$AJ94,'Технический лист'!$A:$B,2,1),(FS94-0.05)))</f>
        <v>1</v>
      </c>
      <c r="FU94" s="15">
        <f>MIN(1,MAX(VLOOKUP(($AJ94-$AI94-$AH94-$AG94-$AF94-$AE94*(1+FU$3))/$AJ94,'Технический лист'!$A:$B,2,1),(FT94-0.05)))</f>
        <v>1</v>
      </c>
      <c r="FV94" s="15">
        <f>MIN(1,MAX(VLOOKUP(($AJ94-$AI94-$AH94-$AG94-$AF94-$AE94*(1+FV$3))/$AJ94,'Технический лист'!$A:$B,2,1),(FU94-0.05)))</f>
        <v>1</v>
      </c>
      <c r="FW94" s="15">
        <f>MIN(1,MAX(VLOOKUP(($AJ94-$AI94-$AH94-$AG94-$AF94-$AE94*(1+FW$3))/$AJ94,'Технический лист'!$A:$B,2,1),(FV94-0.05)))</f>
        <v>1</v>
      </c>
      <c r="FX94" s="15">
        <f>MIN(1,MAX(VLOOKUP(($AJ94-$AI94-$AH94-$AG94-$AF94-$AE94*(1+FX$3))/$AJ94,'Технический лист'!$A:$B,2,1),(FW94-0.05)))</f>
        <v>1</v>
      </c>
      <c r="FY94" s="15">
        <f>MIN(1,MAX(VLOOKUP(($AJ94-$AI94-$AH94-$AG94-$AF94-$AE94*(1+FY$3))/$AJ94,'Технический лист'!$A:$B,2,1),(FX94-0.05)))</f>
        <v>1</v>
      </c>
      <c r="FZ94" s="15">
        <f>MIN(1,MAX(VLOOKUP(($AJ94-$AI94-$AH94-$AG94-$AF94-$AE94*(1+FZ$3))/$AJ94,'Технический лист'!$A:$B,2,1),(FY94-0.05)))</f>
        <v>1</v>
      </c>
      <c r="GA94" s="15">
        <f>MIN(1,MAX(VLOOKUP(($AJ94-$AI94-$AH94-$AG94-$AF94-$AE94*(1+GA$3))/$AJ94,'Технический лист'!$A:$B,2,1),(FZ94-0.05)))</f>
        <v>1</v>
      </c>
      <c r="GB94" s="15">
        <f>MIN(1,MAX(VLOOKUP(($AJ94-$AI94-$AH94-$AG94-$AF94-$AE94*(1+GB$3))/$AJ94,'Технический лист'!$A:$B,2,1),(GA94-0.05)))</f>
        <v>1</v>
      </c>
      <c r="GC94" s="15">
        <f>MIN(1,MAX(VLOOKUP(($AJ94-$AI94-$AH94-$AG94-$AF94-$AE94*(1+GC$3))/$AJ94,'Технический лист'!$A:$B,2,1),(GB94-0.05)))</f>
        <v>1</v>
      </c>
      <c r="GD94" s="15">
        <f>MIN(1,MAX(VLOOKUP(($AJ94-$AI94-$AH94-$AG94-$AF94-$AE94*(1+GD$3))/$AJ94,'Технический лист'!$A:$B,2,1),(GC94-0.05)))</f>
        <v>1</v>
      </c>
      <c r="GE94" s="15">
        <f>MIN(1,MAX(VLOOKUP(($AJ94-$AI94-$AH94-$AG94-$AF94-$AE94*(1+GE$3))/$AJ94,'Технический лист'!$A:$B,2,1),(GD94-0.05)))</f>
        <v>1</v>
      </c>
      <c r="GF94" s="15">
        <f>MIN(1,MAX(VLOOKUP(($AJ94-$AI94-$AH94-$AG94-$AF94-$AE94*(1+GF$3))/$AJ94,'Технический лист'!$A:$B,2,1),(GE94-0.05)))</f>
        <v>1</v>
      </c>
      <c r="GG94" s="15">
        <f>MIN(1,MAX(VLOOKUP(($AJ94-$AI94-$AH94-$AG94-$AF94-$AE94*(1+GG$3))/$AJ94,'Технический лист'!$A:$B,2,1),(GF94-0.05)))</f>
        <v>1</v>
      </c>
      <c r="GH94" s="15">
        <f>MIN(1,MAX(VLOOKUP(($AJ94-$AI94-$AH94-$AG94-$AF94-$AE94*(1+GH$3))/$AJ94,'Технический лист'!$A:$B,2,1),(GG94-0.05)))</f>
        <v>1</v>
      </c>
      <c r="GI94" s="15">
        <f>MIN(1,MAX(VLOOKUP(($AJ94-$AI94-$AH94-$AG94-$AF94-$AE94*(1+GI$3))/$AJ94,'Технический лист'!$A:$B,2,1),(GH94-0.05)))</f>
        <v>1</v>
      </c>
      <c r="GJ94" s="15">
        <f>MIN(1,MAX(VLOOKUP(($AJ94-$AI94-$AH94-$AG94-$AF94-$AE94*(1+GJ$3))/$AJ94,'Технический лист'!$A:$B,2,1),(GI94-0.05)))</f>
        <v>1</v>
      </c>
      <c r="GK94" s="15">
        <f>MIN(1,MAX(VLOOKUP(($AJ94-$AI94-$AH94-$AG94-$AF94-$AE94*(1+GK$3))/$AJ94,'Технический лист'!$A:$B,2,1),(GJ94-0.05)))</f>
        <v>1</v>
      </c>
      <c r="GL94" s="15">
        <f>MIN(1,MAX(VLOOKUP(($AJ94-$AI94-$AH94-$AG94-$AF94-$AE94*(1+GL$3))/$AJ94,'Технический лист'!$A:$B,2,1),(GK94-0.05)))</f>
        <v>1</v>
      </c>
      <c r="GM94" s="15">
        <f>MIN(1,MAX(VLOOKUP(($AJ94-$AI94-$AH94-$AG94-$AF94-$AE94*(1+GM$3))/$AJ94,'Технический лист'!$A:$B,2,1),(GL94-0.05)))</f>
        <v>1</v>
      </c>
      <c r="GN94" s="15">
        <f>MIN(1,MAX(VLOOKUP(($AJ94-$AI94-$AH94-$AG94-$AF94-$AE94*(1+GN$3))/$AJ94,'Технический лист'!$A:$B,2,1),(GM94-0.05)))</f>
        <v>1</v>
      </c>
      <c r="GO94" s="15">
        <f>MIN(1,MAX(VLOOKUP(($AJ94-$AI94-$AH94-$AG94-$AF94-$AE94*(1+GO$3))/$AJ94,'Технический лист'!$A:$B,2,1),(GN94-0.05)))</f>
        <v>1</v>
      </c>
      <c r="GP94" s="15">
        <f>MIN(1,MAX(VLOOKUP(($AJ94-$AI94-$AH94-$AG94-$AF94-$AE94*(1+GP$3))/$AJ94,'Технический лист'!$A:$B,2,1),(GO94-0.05)))</f>
        <v>1</v>
      </c>
      <c r="GQ94" s="15">
        <f>MIN(1,MAX(VLOOKUP(($AJ94-$AI94-$AH94-$AG94-$AF94-$AE94*(1+GQ$3))/$AJ94,'Технический лист'!$A:$B,2,1),(GP94-0.05)))</f>
        <v>1</v>
      </c>
      <c r="GR94" s="15">
        <f>MIN(1,MAX(VLOOKUP(($AJ94-$AI94-$AH94-$AG94-$AF94-$AE94*(1+GR$3))/$AJ94,'Технический лист'!$A:$B,2,1),(GQ94-0.05)))</f>
        <v>1</v>
      </c>
      <c r="GS94" s="15">
        <f>MIN(1,MAX(VLOOKUP(($AJ94-$AI94-$AH94-$AG94-$AF94-$AE94*(1+GS$3))/$AJ94,'Технический лист'!$A:$B,2,1),(GR94-0.05)))</f>
        <v>1</v>
      </c>
      <c r="GT94" s="15">
        <f>MIN(1,MAX(VLOOKUP(($AJ94-$AI94-$AH94-$AG94-$AF94-$AE94*(1+GT$3))/$AJ94,'Технический лист'!$A:$B,2,1),(GS94-0.05)))</f>
        <v>1</v>
      </c>
      <c r="GU94" s="15">
        <f>MIN(1,MAX(VLOOKUP(($AJ94-$AI94-$AH94-$AG94-$AF94-$AE94*(1+GU$3))/$AJ94,'Технический лист'!$A:$B,2,1),(GT94-0.05)))</f>
        <v>1</v>
      </c>
      <c r="GV94" s="15">
        <f>MIN(1,MAX(VLOOKUP(($AJ94-$AI94-$AH94-$AG94-$AF94-$AE94*(1+GV$3))/$AJ94,'Технический лист'!$A:$B,2,1),(GU94-0.05)))</f>
        <v>1</v>
      </c>
      <c r="GW94" s="15">
        <f>MIN(1,MAX(VLOOKUP(($AJ94-$AI94-$AH94-$AG94-$AF94-$AE94*(1+GW$3))/$AJ94,'Технический лист'!$A:$B,2,1),(GV94-0.05)))</f>
        <v>1</v>
      </c>
      <c r="GX94" s="15">
        <f>MIN(1,MAX(VLOOKUP(($AJ94-$AI94-$AH94-$AG94-$AF94-$AE94*(1+GX$3))/$AJ94,'Технический лист'!$A:$B,2,1),(GW94-0.05)))</f>
        <v>1</v>
      </c>
      <c r="GY94" s="15">
        <f>MIN(1,MAX(VLOOKUP(($AJ94-$AI94-$AH94-$AG94-$AF94-$AE94*(1+GY$3))/$AJ94,'Технический лист'!$A:$B,2,1),(GX94-0.05)))</f>
        <v>1</v>
      </c>
      <c r="GZ94" s="15">
        <f>MIN(1,MAX(VLOOKUP(($AJ94-$AI94-$AH94-$AG94-$AF94-$AE94*(1+GZ$3))/$AJ94,'Технический лист'!$A:$B,2,1),(GY94-0.05)))</f>
        <v>1</v>
      </c>
      <c r="HA94" s="15">
        <f>MIN(1,MAX(VLOOKUP(($AJ94-$AI94-$AH94-$AG94-$AF94-$AE94*(1+HA$3))/$AJ94,'Технический лист'!$A:$B,2,1),(GZ94-0.05)))</f>
        <v>1</v>
      </c>
      <c r="HB94" s="15">
        <f>MIN(1,MAX(VLOOKUP(($AJ94-$AI94-$AH94-$AG94-$AF94-$AE94*(1+HB$3))/$AJ94,'Технический лист'!$A:$B,2,1),(HA94-0.05)))</f>
        <v>1</v>
      </c>
      <c r="HC94" s="15">
        <f>MIN(1,MAX(VLOOKUP(($AJ94-$AI94-$AH94-$AG94-$AF94-$AE94*(1+HC$3))/$AJ94,'Технический лист'!$A:$B,2,1),(HB94-0.05)))</f>
        <v>1</v>
      </c>
      <c r="HD94" s="15">
        <f>MIN(1,MAX(VLOOKUP(($AJ94-$AI94-$AH94-$AG94-$AF94-$AE94*(1+HD$3))/$AJ94,'Технический лист'!$A:$B,2,1),(HC94-0.05)))</f>
        <v>1</v>
      </c>
      <c r="HE94" s="15">
        <f>MIN(1,MAX(VLOOKUP(($AJ94-$AI94-$AH94-$AG94-$AF94-$AE94*(1+HE$3))/$AJ94,'Технический лист'!$A:$B,2,1),(HD94-0.05)))</f>
        <v>1</v>
      </c>
      <c r="HF94" s="15">
        <f>MIN(1,MAX(VLOOKUP(($AJ94-$AI94-$AH94-$AG94-$AF94-$AE94*(1+HF$3))/$AJ94,'Технический лист'!$A:$B,2,1),(HE94-0.05)))</f>
        <v>1</v>
      </c>
      <c r="HG94" s="15">
        <f>MIN(1,MAX(VLOOKUP(($AJ94-$AI94-$AH94-$AG94-$AF94-$AE94*(1+HG$3))/$AJ94,'Технический лист'!$A:$B,2,1),(HF94-0.05)))</f>
        <v>1</v>
      </c>
      <c r="HH94" s="15">
        <f>MIN(1,MAX(VLOOKUP(($AJ94-$AI94-$AH94-$AG94-$AF94-$AE94*(1+HH$3))/$AJ94,'Технический лист'!$A:$B,2,1),(HG94-0.05)))</f>
        <v>1</v>
      </c>
      <c r="HI94" s="15">
        <f>MIN(1,MAX(VLOOKUP(($AJ94-$AI94-$AH94-$AG94-$AF94-$AE94*(1+HI$3))/$AJ94,'Технический лист'!$A:$B,2,1),(HH94-0.05)))</f>
        <v>1</v>
      </c>
      <c r="HJ94" s="15">
        <f>MIN(1,MAX(VLOOKUP(($AJ94-$AI94-$AH94-$AG94-$AF94-$AE94*(1+HJ$3))/$AJ94,'Технический лист'!$A:$B,2,1),(HI94-0.05)))</f>
        <v>1</v>
      </c>
      <c r="HK94" s="15">
        <f>MIN(1,MAX(VLOOKUP(($AJ94-$AI94-$AH94-$AG94-$AF94-$AE94*(1+HK$3))/$AJ94,'Технический лист'!$A:$B,2,1),(HJ94-0.05)))</f>
        <v>1</v>
      </c>
      <c r="HL94" s="15">
        <f>MIN(1,MAX(VLOOKUP(($AJ94-$AI94-$AH94-$AG94-$AF94-$AE94*(1+HL$3))/$AJ94,'Технический лист'!$A:$B,2,1),(HK94-0.05)))</f>
        <v>1</v>
      </c>
      <c r="HM94" s="15">
        <f>MIN(1,MAX(VLOOKUP(($AJ94-$AI94-$AH94-$AG94-$AF94-$AE94*(1+HM$3))/$AJ94,'Технический лист'!$A:$B,2,1),(HL94-0.05)))</f>
        <v>1</v>
      </c>
      <c r="HN94" s="15">
        <f>MIN(1,MAX(VLOOKUP(($AJ94-$AI94-$AH94-$AG94-$AF94-$AE94*(1+HN$3))/$AJ94,'Технический лист'!$A:$B,2,1),(HM94-0.05)))</f>
        <v>1</v>
      </c>
      <c r="HO94" s="15">
        <f>MIN(1,MAX(VLOOKUP(($AJ94-$AI94-$AH94-$AG94-$AF94-$AE94*(1+HO$3))/$AJ94,'Технический лист'!$A:$B,2,1),(HN94-0.05)))</f>
        <v>1</v>
      </c>
      <c r="HP94" s="15">
        <f>MIN(1,MAX(VLOOKUP(($AJ94-$AI94-$AH94-$AG94-$AF94-$AE94*(1+HP$3))/$AJ94,'Технический лист'!$A:$B,2,1),(HO94-0.05)))</f>
        <v>1</v>
      </c>
      <c r="HQ94" s="15">
        <f>MIN(1,MAX(VLOOKUP(($AJ94-$AI94-$AH94-$AG94-$AF94-$AE94*(1+HQ$3))/$AJ94,'Технический лист'!$A:$B,2,1),(HP94-0.05)))</f>
        <v>1</v>
      </c>
      <c r="HR94" s="15">
        <f>MIN(1,MAX(VLOOKUP(($AJ94-$AI94-$AH94-$AG94-$AF94-$AE94*(1+HR$3))/$AJ94,'Технический лист'!$A:$B,2,1),(HQ94-0.05)))</f>
        <v>1</v>
      </c>
      <c r="HS94" s="15">
        <f>MIN(1,MAX(VLOOKUP(($AJ94-$AI94-$AH94-$AG94-$AF94-$AE94*(1+HS$3))/$AJ94,'Технический лист'!$A:$B,2,1),(HR94-0.05)))</f>
        <v>1</v>
      </c>
      <c r="HT94" s="15">
        <f>MIN(1,MAX(VLOOKUP(($AJ94-$AI94-$AH94-$AG94-$AF94-$AE94*(1+HT$3))/$AJ94,'Технический лист'!$A:$B,2,1),(HS94-0.05)))</f>
        <v>1</v>
      </c>
      <c r="HU94" s="15">
        <f>MIN(1,MAX(VLOOKUP(($AJ94-$AI94-$AH94-$AG94-$AF94-$AE94*(1+HU$3))/$AJ94,'Технический лист'!$A:$B,2,1),(HT94-0.05)))</f>
        <v>1</v>
      </c>
      <c r="HV94" s="15">
        <f>MIN(1,MAX(VLOOKUP(($AJ94-$AI94-$AH94-$AG94-$AF94-$AE94*(1+HV$3))/$AJ94,'Технический лист'!$A:$B,2,1),(HU94-0.05)))</f>
        <v>1</v>
      </c>
      <c r="HW94" s="15">
        <f>MIN(1,MAX(VLOOKUP(($AJ94-$AI94-$AH94-$AG94-$AF94-$AE94*(1+HW$3))/$AJ94,'Технический лист'!$A:$B,2,1),(HV94-0.05)))</f>
        <v>1</v>
      </c>
      <c r="HX94" s="15">
        <f>MIN(1,MAX(VLOOKUP(($AJ94-$AI94-$AH94-$AG94-$AF94-$AE94*(1+HX$3))/$AJ94,'Технический лист'!$A:$B,2,1),(HW94-0.05)))</f>
        <v>1</v>
      </c>
      <c r="HY94" s="15">
        <f>MIN(1,MAX(VLOOKUP(($AJ94-$AI94-$AH94-$AG94-$AF94-$AE94*(1+HY$3))/$AJ94,'Технический лист'!$A:$B,2,1),(HX94-0.05)))</f>
        <v>1</v>
      </c>
      <c r="HZ94" s="15">
        <f>MIN(1,MAX(VLOOKUP(($AJ94-$AI94-$AH94-$AG94-$AF94-$AE94*(1+HZ$3))/$AJ94,'Технический лист'!$A:$B,2,1),(HY94-0.05)))</f>
        <v>1</v>
      </c>
      <c r="IA94" s="15">
        <f>MIN(1,MAX(VLOOKUP(($AJ94-$AI94-$AH94-$AG94-$AF94-$AE94*(1+IA$3))/$AJ94,'Технический лист'!$A:$B,2,1),(HZ94-0.05)))</f>
        <v>1</v>
      </c>
      <c r="IB94" s="15">
        <f>MIN(1,MAX(VLOOKUP(($AJ94-$AI94-$AH94-$AG94-$AF94-$AE94*(1+IB$3))/$AJ94,'Технический лист'!$A:$B,2,1),(IA94-0.05)))</f>
        <v>1</v>
      </c>
      <c r="IC94" s="15">
        <f>MIN(1,MAX(VLOOKUP(($AJ94-$AI94-$AH94-$AG94-$AF94-$AE94*(1+IC$3))/$AJ94,'Технический лист'!$A:$B,2,1),(IB94-0.05)))</f>
        <v>1</v>
      </c>
      <c r="ID94" s="15">
        <f>MIN(1,MAX(VLOOKUP(($AJ94-$AI94-$AH94-$AG94-$AF94-$AE94*(1+ID$3))/$AJ94,'Технический лист'!$A:$B,2,1),(IC94-0.05)))</f>
        <v>1</v>
      </c>
      <c r="IE94" s="15">
        <f>MIN(1,MAX(VLOOKUP(($AJ94-$AI94-$AH94-$AG94-$AF94-$AE94*(1+IE$3))/$AJ94,'Технический лист'!$A:$B,2,1),(ID94-0.05)))</f>
        <v>1</v>
      </c>
      <c r="IF94" s="15">
        <f>MIN(1,MAX(VLOOKUP(($AJ94-$AI94-$AH94-$AG94-$AF94-$AE94*(1+IF$3))/$AJ94,'Технический лист'!$A:$B,2,1),(IE94-0.05)))</f>
        <v>1</v>
      </c>
      <c r="IG94" s="15">
        <f>MIN(1,MAX(VLOOKUP(($AJ94-$AI94-$AH94-$AG94-$AF94-$AE94*(1+IG$3))/$AJ94,'Технический лист'!$A:$B,2,1),(IF94-0.05)))</f>
        <v>1</v>
      </c>
      <c r="IH94" s="15">
        <f>MIN(1,MAX(VLOOKUP(($AJ94-$AI94-$AH94-$AG94-$AF94-$AE94*(1+IH$3))/$AJ94,'Технический лист'!$A:$B,2,1),(IG94-0.05)))</f>
        <v>1</v>
      </c>
      <c r="II94" s="15">
        <f>MIN(1,MAX(VLOOKUP(($AJ94-$AI94-$AH94-$AG94-$AF94-$AE94*(1+II$3))/$AJ94,'Технический лист'!$A:$B,2,1),(IH94-0.05)))</f>
        <v>1</v>
      </c>
      <c r="IJ94" s="15">
        <f>MIN(1,MAX(VLOOKUP(($AJ94-$AI94-$AH94-$AG94-$AF94-$AE94*(1+IJ$3))/$AJ94,'Технический лист'!$A:$B,2,1),(II94-0.05)))</f>
        <v>1</v>
      </c>
      <c r="IK94" s="15">
        <f>MIN(1,MAX(VLOOKUP(($AJ94-$AI94-$AH94-$AG94-$AF94-$AE94*(1+IK$3))/$AJ94,'Технический лист'!$A:$B,2,1),(IJ94-0.05)))</f>
        <v>1</v>
      </c>
      <c r="IL94" s="15">
        <f>MIN(1,MAX(VLOOKUP(($AJ94-$AI94-$AH94-$AG94-$AF94-$AE94*(1+IL$3))/$AJ94,'Технический лист'!$A:$B,2,1),(IK94-0.05)))</f>
        <v>1</v>
      </c>
      <c r="IM94" s="15">
        <f>MIN(1,MAX(VLOOKUP(($AJ94-$AI94-$AH94-$AG94-$AF94-$AE94*(1+IM$3))/$AJ94,'Технический лист'!$A:$B,2,1),(IL94-0.05)))</f>
        <v>1</v>
      </c>
      <c r="IN94" s="15">
        <f>MIN(1,MAX(VLOOKUP(($AJ94-$AI94-$AH94-$AG94-$AF94-$AE94*(1+IN$3))/$AJ94,'Технический лист'!$A:$B,2,1),(IM94-0.05)))</f>
        <v>1</v>
      </c>
      <c r="IO94" s="15">
        <f>MIN(1,MAX(VLOOKUP(($AJ94-$AI94-$AH94-$AG94-$AF94-$AE94*(1+IO$3))/$AJ94,'Технический лист'!$A:$B,2,1),(IN94-0.05)))</f>
        <v>1</v>
      </c>
      <c r="IP94" s="15">
        <f>MIN(1,MAX(VLOOKUP(($AJ94-$AI94-$AH94-$AG94-$AF94-$AE94*(1+IP$3))/$AJ94,'Технический лист'!$A:$B,2,1),(IO94-0.05)))</f>
        <v>1</v>
      </c>
      <c r="IQ94" s="15">
        <f>MIN(1,MAX(VLOOKUP(($AJ94-$AI94-$AH94-$AG94-$AF94-$AE94*(1+IQ$3))/$AJ94,'Технический лист'!$A:$B,2,1),(IP94-0.05)))</f>
        <v>1</v>
      </c>
      <c r="IR94" s="15">
        <f>MIN(1,MAX(VLOOKUP(($AJ94-$AI94-$AH94-$AG94-$AF94-$AE94*(1+IR$3))/$AJ94,'Технический лист'!$A:$B,2,1),(IQ94-0.05)))</f>
        <v>1</v>
      </c>
    </row>
    <row r="95" spans="1:252" ht="58.3">
      <c r="A95" s="89" t="s">
        <v>515</v>
      </c>
      <c r="B95" s="90">
        <v>5</v>
      </c>
      <c r="C95" s="5" t="s">
        <v>68</v>
      </c>
      <c r="D95" s="91">
        <v>32411</v>
      </c>
      <c r="E95" s="91" t="s">
        <v>340</v>
      </c>
      <c r="F95" s="92" t="s">
        <v>75</v>
      </c>
      <c r="G95" s="91" t="s">
        <v>50</v>
      </c>
      <c r="H95" s="91" t="s">
        <v>31</v>
      </c>
      <c r="I95" s="91" t="s">
        <v>168</v>
      </c>
      <c r="J95" s="91" t="s">
        <v>56</v>
      </c>
      <c r="K95" s="91">
        <v>679</v>
      </c>
      <c r="L95" s="85" t="s">
        <v>64</v>
      </c>
      <c r="M95" s="91" t="s">
        <v>17</v>
      </c>
      <c r="N95" s="91" t="s">
        <v>191</v>
      </c>
      <c r="O95" s="91" t="s">
        <v>192</v>
      </c>
      <c r="P95" s="89" t="s">
        <v>242</v>
      </c>
      <c r="Q95" s="91" t="s">
        <v>359</v>
      </c>
      <c r="R95" s="91" t="s">
        <v>253</v>
      </c>
      <c r="S95" s="82">
        <v>138433</v>
      </c>
      <c r="T95" s="82">
        <v>93983406</v>
      </c>
      <c r="U95" s="81">
        <v>2005</v>
      </c>
      <c r="V95" s="81">
        <v>0</v>
      </c>
      <c r="W95" s="82">
        <v>228734486</v>
      </c>
      <c r="X95" s="112">
        <v>69</v>
      </c>
      <c r="Y95" s="112" t="s">
        <v>417</v>
      </c>
      <c r="Z95" s="113">
        <v>5</v>
      </c>
      <c r="AA95" s="113">
        <v>3</v>
      </c>
      <c r="AB95" s="113">
        <v>4</v>
      </c>
      <c r="AC95" s="99">
        <v>1778.74</v>
      </c>
      <c r="AD95" s="99">
        <f t="shared" si="37"/>
        <v>205.17000000000007</v>
      </c>
      <c r="AE95" s="99">
        <v>1983.91</v>
      </c>
      <c r="AF95" s="98">
        <f>(Z95+AA95+AB95)*'Ставки аренды'!$B$3/X95</f>
        <v>121.73913043478261</v>
      </c>
      <c r="AG95" s="114">
        <v>0</v>
      </c>
      <c r="AH95" s="94">
        <v>0</v>
      </c>
      <c r="AI95" s="115">
        <f>56808019/60637187*AVERAGE(AJ95,AJ98)</f>
        <v>33909.184878284388</v>
      </c>
      <c r="AJ95" s="117">
        <f>Цены!C24*'Курсы валют'!B2</f>
        <v>37389.695</v>
      </c>
      <c r="AK95" s="94">
        <f>AJ95/Цены!$B$1</f>
        <v>490</v>
      </c>
      <c r="AL95" s="95">
        <f t="shared" si="24"/>
        <v>2105.6491304347828</v>
      </c>
      <c r="AM95" s="95">
        <f t="shared" si="25"/>
        <v>35284.04586956522</v>
      </c>
      <c r="AN95" s="94">
        <f t="shared" si="22"/>
        <v>36014.834008719175</v>
      </c>
      <c r="AO95" s="118">
        <f t="shared" si="23"/>
        <v>3.6771120793598989E-2</v>
      </c>
      <c r="AP95" s="96">
        <f t="shared" si="26"/>
        <v>5.6316295985692925E-2</v>
      </c>
      <c r="AQ95" s="96">
        <f t="shared" si="27"/>
        <v>5.306034189366883E-2</v>
      </c>
      <c r="AR95" s="96">
        <f t="shared" si="28"/>
        <v>0.94218451275894877</v>
      </c>
      <c r="AS95" s="122">
        <v>1</v>
      </c>
      <c r="AT95" s="121">
        <f t="shared" si="29"/>
        <v>138433</v>
      </c>
      <c r="AU95" s="83">
        <v>0.8</v>
      </c>
      <c r="AV95" s="119">
        <f t="shared" si="30"/>
        <v>3.0403879766358784E-2</v>
      </c>
      <c r="AW95" s="120">
        <f t="shared" si="31"/>
        <v>6.268353701293318E-2</v>
      </c>
      <c r="AX95" s="120">
        <f t="shared" si="32"/>
        <v>5.9427582920909099E-2</v>
      </c>
      <c r="AY95" s="120">
        <f t="shared" si="33"/>
        <v>0.94805726914624644</v>
      </c>
      <c r="AZ95" s="15">
        <f>MIN(IF($AU95=100%,1,1+VLOOKUP(($AJ95-$AI95-$AH95-$AG95-$AF95-$AE95*(1+AZ$3))/$AJ95,'Технический лист'!$I:$J,2,1)-VLOOKUP($AO95,'Технический лист'!$I:$J,2,1)),1+(1-$AU95))</f>
        <v>1.0950000000000002</v>
      </c>
      <c r="BA95" s="15">
        <f>MIN(IF($AU95=100%,1,1+VLOOKUP(($AJ95-$AI95-$AH95-$AG95-$AF95-$AE95*(1+BA$3))/$AJ95,'Технический лист'!$I:$J,2,1)-VLOOKUP($AO95,'Технический лист'!$I:$J,2,1)),1+(1-$AU95))</f>
        <v>1.0950000000000002</v>
      </c>
      <c r="BB95" s="15">
        <f>MIN(IF($AU95=100%,1,1+VLOOKUP(($AJ95-$AI95-$AH95-$AG95-$AF95-$AE95*(1+BB$3))/$AJ95,'Технический лист'!$I:$J,2,1)-VLOOKUP($AO95,'Технический лист'!$I:$J,2,1)),1+(1-$AU95))</f>
        <v>1.0950000000000002</v>
      </c>
      <c r="BC95" s="15">
        <f>MIN(IF($AU95=100%,1,1+VLOOKUP(($AJ95-$AI95-$AH95-$AG95-$AF95-$AE95*(1+BC$3))/$AJ95,'Технический лист'!$I:$J,2,1)-VLOOKUP($AO95,'Технический лист'!$I:$J,2,1)),1+(1-$AU95))</f>
        <v>1.0950000000000002</v>
      </c>
      <c r="BD95" s="15">
        <f>MIN(IF($AU95=100%,1,1+VLOOKUP(($AJ95-$AI95-$AH95-$AG95-$AF95-$AE95*(1+BD$3))/$AJ95,'Технический лист'!$I:$J,2,1)-VLOOKUP($AO95,'Технический лист'!$I:$J,2,1)),1+(1-$AU95))</f>
        <v>1.0950000000000002</v>
      </c>
      <c r="BE95" s="15">
        <f>MIN(IF($AU95=100%,1,1+VLOOKUP(($AJ95-$AI95-$AH95-$AG95-$AF95-$AE95*(1+BE$3))/$AJ95,'Технический лист'!$I:$J,2,1)-VLOOKUP($AO95,'Технический лист'!$I:$J,2,1)),1+(1-$AU95))</f>
        <v>1.0950000000000002</v>
      </c>
      <c r="BF95" s="15">
        <f>MIN(IF($AU95=100%,1,1+VLOOKUP(($AJ95-$AI95-$AH95-$AG95-$AF95-$AE95*(1+BF$3))/$AJ95,'Технический лист'!$I:$J,2,1)-VLOOKUP($AO95,'Технический лист'!$I:$J,2,1)),1+(1-$AU95))</f>
        <v>1.0950000000000002</v>
      </c>
      <c r="BG95" s="15">
        <f>MIN(IF($AU95=100%,1,1+VLOOKUP(($AJ95-$AI95-$AH95-$AG95-$AF95-$AE95*(1+BG$3))/$AJ95,'Технический лист'!$I:$J,2,1)-VLOOKUP($AO95,'Технический лист'!$I:$J,2,1)),1+(1-$AU95))</f>
        <v>1.0950000000000002</v>
      </c>
      <c r="BH95" s="15">
        <f>MIN(IF($AU95=100%,1,1+VLOOKUP(($AJ95-$AI95-$AH95-$AG95-$AF95-$AE95*(1+BH$3))/$AJ95,'Технический лист'!$I:$J,2,1)-VLOOKUP($AO95,'Технический лист'!$I:$J,2,1)),1+(1-$AU95))</f>
        <v>1.0950000000000002</v>
      </c>
      <c r="BI95" s="15">
        <f>MIN(IF($AU95=100%,1,1+VLOOKUP(($AJ95-$AI95-$AH95-$AG95-$AF95-$AE95*(1+BI$3))/$AJ95,'Технический лист'!$I:$J,2,1)-VLOOKUP($AO95,'Технический лист'!$I:$J,2,1)),1+(1-$AU95))</f>
        <v>1.0950000000000002</v>
      </c>
      <c r="BJ95" s="15">
        <f>MIN(IF($AU95=100%,1,1+VLOOKUP(($AJ95-$AI95-$AH95-$AG95-$AF95-$AE95*(1+BJ$3))/$AJ95,'Технический лист'!$I:$J,2,1)-VLOOKUP($AO95,'Технический лист'!$I:$J,2,1)),1+(1-$AU95))</f>
        <v>1.0950000000000002</v>
      </c>
      <c r="BK95" s="15">
        <f>MIN(IF($AU95=100%,1,1+VLOOKUP(($AJ95-$AI95-$AH95-$AG95-$AF95-$AE95*(1+BK$3))/$AJ95,'Технический лист'!$I:$J,2,1)-VLOOKUP($AO95,'Технический лист'!$I:$J,2,1)),1+(1-$AU95))</f>
        <v>1.0950000000000002</v>
      </c>
      <c r="BL95" s="15">
        <f>MIN(IF($AU95=100%,1,1+VLOOKUP(($AJ95-$AI95-$AH95-$AG95-$AF95-$AE95*(1+BL$3))/$AJ95,'Технический лист'!$I:$J,2,1)-VLOOKUP($AO95,'Технический лист'!$I:$J,2,1)),1+(1-$AU95))</f>
        <v>1.0950000000000002</v>
      </c>
      <c r="BM95" s="15">
        <f>MIN(IF($AU95=100%,1,1+VLOOKUP(($AJ95-$AI95-$AH95-$AG95-$AF95-$AE95*(1+BM$3))/$AJ95,'Технический лист'!$I:$J,2,1)-VLOOKUP($AO95,'Технический лист'!$I:$J,2,1)),1+(1-$AU95))</f>
        <v>1.08</v>
      </c>
      <c r="BN95" s="15">
        <f>MIN(IF($AU95=100%,1,1+VLOOKUP(($AJ95-$AI95-$AH95-$AG95-$AF95-$AE95*(1+BN$3))/$AJ95,'Технический лист'!$I:$J,2,1)-VLOOKUP($AO95,'Технический лист'!$I:$J,2,1)),1+(1-$AU95))</f>
        <v>1.08</v>
      </c>
      <c r="BO95" s="15">
        <f>MIN(IF($AU95=100%,1,1+VLOOKUP(($AJ95-$AI95-$AH95-$AG95-$AF95-$AE95*(1+BO$3))/$AJ95,'Технический лист'!$I:$J,2,1)-VLOOKUP($AO95,'Технический лист'!$I:$J,2,1)),1+(1-$AU95))</f>
        <v>1.08</v>
      </c>
      <c r="BP95" s="15">
        <f>MIN(IF($AU95=100%,1,1+VLOOKUP(($AJ95-$AI95-$AH95-$AG95-$AF95-$AE95*(1+BP$3))/$AJ95,'Технический лист'!$I:$J,2,1)-VLOOKUP($AO95,'Технический лист'!$I:$J,2,1)),1+(1-$AU95))</f>
        <v>1.08</v>
      </c>
      <c r="BQ95" s="15">
        <f>MIN(IF($AU95=100%,1,1+VLOOKUP(($AJ95-$AI95-$AH95-$AG95-$AF95-$AE95*(1+BQ$3))/$AJ95,'Технический лист'!$I:$J,2,1)-VLOOKUP($AO95,'Технический лист'!$I:$J,2,1)),1+(1-$AU95))</f>
        <v>1.08</v>
      </c>
      <c r="BR95" s="15">
        <f>MIN(IF($AU95=100%,1,1+VLOOKUP(($AJ95-$AI95-$AH95-$AG95-$AF95-$AE95*(1+BR$3))/$AJ95,'Технический лист'!$I:$J,2,1)-VLOOKUP($AO95,'Технический лист'!$I:$J,2,1)),1+(1-$AU95))</f>
        <v>1.08</v>
      </c>
      <c r="BS95" s="15">
        <f>MIN(IF($AU95=100%,1,1+VLOOKUP(($AJ95-$AI95-$AH95-$AG95-$AF95-$AE95*(1+BS$3))/$AJ95,'Технический лист'!$I:$J,2,1)-VLOOKUP($AO95,'Технический лист'!$I:$J,2,1)),1+(1-$AU95))</f>
        <v>1.08</v>
      </c>
      <c r="BT95" s="15">
        <f>MIN(IF($AU95=100%,1,1+VLOOKUP(($AJ95-$AI95-$AH95-$AG95-$AF95-$AE95*(1+BT$3))/$AJ95,'Технический лист'!$I:$J,2,1)-VLOOKUP($AO95,'Технический лист'!$I:$J,2,1)),1+(1-$AU95))</f>
        <v>1.08</v>
      </c>
      <c r="BU95" s="15">
        <f>MIN(IF($AU95=100%,1,1+VLOOKUP(($AJ95-$AI95-$AH95-$AG95-$AF95-$AE95*(1+BU$3))/$AJ95,'Технический лист'!$I:$J,2,1)-VLOOKUP($AO95,'Технический лист'!$I:$J,2,1)),1+(1-$AU95))</f>
        <v>1.08</v>
      </c>
      <c r="BV95" s="15">
        <f>MIN(IF($AU95=100%,1,1+VLOOKUP(($AJ95-$AI95-$AH95-$AG95-$AF95-$AE95*(1+BV$3))/$AJ95,'Технический лист'!$I:$J,2,1)-VLOOKUP($AO95,'Технический лист'!$I:$J,2,1)),1+(1-$AU95))</f>
        <v>1.08</v>
      </c>
      <c r="BW95" s="15">
        <f>MIN(IF($AU95=100%,1,1+VLOOKUP(($AJ95-$AI95-$AH95-$AG95-$AF95-$AE95*(1+BW$3))/$AJ95,'Технический лист'!$I:$J,2,1)-VLOOKUP($AO95,'Технический лист'!$I:$J,2,1)),1+(1-$AU95))</f>
        <v>1.08</v>
      </c>
      <c r="BX95" s="15">
        <f>MIN(IF($AU95=100%,1,1+VLOOKUP(($AJ95-$AI95-$AH95-$AG95-$AF95-$AE95*(1+BX$3))/$AJ95,'Технический лист'!$I:$J,2,1)-VLOOKUP($AO95,'Технический лист'!$I:$J,2,1)),1+(1-$AU95))</f>
        <v>1.08</v>
      </c>
      <c r="BY95" s="15">
        <f>MIN(IF($AU95=100%,1,1+VLOOKUP(($AJ95-$AI95-$AH95-$AG95-$AF95-$AE95*(1+BY$3))/$AJ95,'Технический лист'!$I:$J,2,1)-VLOOKUP($AO95,'Технический лист'!$I:$J,2,1)),1+(1-$AU95))</f>
        <v>1.08</v>
      </c>
      <c r="BZ95" s="15">
        <f>MIN(IF($AU95=100%,1,1+VLOOKUP(($AJ95-$AI95-$AH95-$AG95-$AF95-$AE95*(1+BZ$3))/$AJ95,'Технический лист'!$I:$J,2,1)-VLOOKUP($AO95,'Технический лист'!$I:$J,2,1)),1+(1-$AU95))</f>
        <v>1.08</v>
      </c>
      <c r="CA95" s="15">
        <f>MIN(IF($AU95=100%,1,1+VLOOKUP(($AJ95-$AI95-$AH95-$AG95-$AF95-$AE95*(1+CA$3))/$AJ95,'Технический лист'!$I:$J,2,1)-VLOOKUP($AO95,'Технический лист'!$I:$J,2,1)),1+(1-$AU95))</f>
        <v>1.08</v>
      </c>
      <c r="CB95" s="15">
        <f>MIN(IF($AU95=100%,1,1+VLOOKUP(($AJ95-$AI95-$AH95-$AG95-$AF95-$AE95*(1+CB$3))/$AJ95,'Технический лист'!$I:$J,2,1)-VLOOKUP($AO95,'Технический лист'!$I:$J,2,1)),1+(1-$AU95))</f>
        <v>1.08</v>
      </c>
      <c r="CC95" s="15">
        <f>MIN(IF($AU95=100%,1,1+VLOOKUP(($AJ95-$AI95-$AH95-$AG95-$AF95-$AE95*(1+CC$3))/$AJ95,'Технический лист'!$I:$J,2,1)-VLOOKUP($AO95,'Технический лист'!$I:$J,2,1)),1+(1-$AU95))</f>
        <v>1.08</v>
      </c>
      <c r="CD95" s="15">
        <f>MIN(IF($AU95=100%,1,1+VLOOKUP(($AJ95-$AI95-$AH95-$AG95-$AF95-$AE95*(1+CD$3))/$AJ95,'Технический лист'!$I:$J,2,1)-VLOOKUP($AO95,'Технический лист'!$I:$J,2,1)),1+(1-$AU95))</f>
        <v>1.08</v>
      </c>
      <c r="CE95" s="15">
        <f>MIN(IF($AU95=100%,1,1+VLOOKUP(($AJ95-$AI95-$AH95-$AG95-$AF95-$AE95*(1+CE$3))/$AJ95,'Технический лист'!$I:$J,2,1)-VLOOKUP($AO95,'Технический лист'!$I:$J,2,1)),1+(1-$AU95))</f>
        <v>1.08</v>
      </c>
      <c r="CF95" s="15">
        <f>MIN(IF($AU95=100%,1,1+VLOOKUP(($AJ95-$AI95-$AH95-$AG95-$AF95-$AE95*(1+CF$3))/$AJ95,'Технический лист'!$I:$J,2,1)-VLOOKUP($AO95,'Технический лист'!$I:$J,2,1)),1+(1-$AU95))</f>
        <v>1.06</v>
      </c>
      <c r="CG95" s="15">
        <f>MIN(IF($AU95=100%,1,1+VLOOKUP(($AJ95-$AI95-$AH95-$AG95-$AF95-$AE95*(1+CG$3))/$AJ95,'Технический лист'!$I:$J,2,1)-VLOOKUP($AO95,'Технический лист'!$I:$J,2,1)),1+(1-$AU95))</f>
        <v>1.06</v>
      </c>
      <c r="CH95" s="15">
        <f>MIN(IF($AU95=100%,1,1+VLOOKUP(($AJ95-$AI95-$AH95-$AG95-$AF95-$AE95*(1+CH$3))/$AJ95,'Технический лист'!$I:$J,2,1)-VLOOKUP($AO95,'Технический лист'!$I:$J,2,1)),1+(1-$AU95))</f>
        <v>1.06</v>
      </c>
      <c r="CI95" s="15">
        <f>MIN(IF($AU95=100%,1,1+VLOOKUP(($AJ95-$AI95-$AH95-$AG95-$AF95-$AE95*(1+CI$3))/$AJ95,'Технический лист'!$I:$J,2,1)-VLOOKUP($AO95,'Технический лист'!$I:$J,2,1)),1+(1-$AU95))</f>
        <v>1.06</v>
      </c>
      <c r="CJ95" s="15">
        <f>MIN(IF($AU95=100%,1,1+VLOOKUP(($AJ95-$AI95-$AH95-$AG95-$AF95-$AE95*(1+CJ$3))/$AJ95,'Технический лист'!$I:$J,2,1)-VLOOKUP($AO95,'Технический лист'!$I:$J,2,1)),1+(1-$AU95))</f>
        <v>1.06</v>
      </c>
      <c r="CK95" s="15">
        <f>MIN(IF($AU95=100%,1,1+VLOOKUP(($AJ95-$AI95-$AH95-$AG95-$AF95-$AE95*(1+CK$3))/$AJ95,'Технический лист'!$I:$J,2,1)-VLOOKUP($AO95,'Технический лист'!$I:$J,2,1)),1+(1-$AU95))</f>
        <v>1.06</v>
      </c>
      <c r="CL95" s="15">
        <f>MIN(IF($AU95=100%,1,1+VLOOKUP(($AJ95-$AI95-$AH95-$AG95-$AF95-$AE95*(1+CL$3))/$AJ95,'Технический лист'!$I:$J,2,1)-VLOOKUP($AO95,'Технический лист'!$I:$J,2,1)),1+(1-$AU95))</f>
        <v>1.06</v>
      </c>
      <c r="CM95" s="15">
        <f>MIN(IF($AU95=100%,1,1+VLOOKUP(($AJ95-$AI95-$AH95-$AG95-$AF95-$AE95*(1+CM$3))/$AJ95,'Технический лист'!$I:$J,2,1)-VLOOKUP($AO95,'Технический лист'!$I:$J,2,1)),1+(1-$AU95))</f>
        <v>1.06</v>
      </c>
      <c r="CN95" s="15">
        <f>MIN(IF($AU95=100%,1,1+VLOOKUP(($AJ95-$AI95-$AH95-$AG95-$AF95-$AE95*(1+CN$3))/$AJ95,'Технический лист'!$I:$J,2,1)-VLOOKUP($AO95,'Технический лист'!$I:$J,2,1)),1+(1-$AU95))</f>
        <v>1.06</v>
      </c>
      <c r="CO95" s="15">
        <f>MIN(IF($AU95=100%,1,1+VLOOKUP(($AJ95-$AI95-$AH95-$AG95-$AF95-$AE95*(1+CO$3))/$AJ95,'Технический лист'!$I:$J,2,1)-VLOOKUP($AO95,'Технический лист'!$I:$J,2,1)),1+(1-$AU95))</f>
        <v>1.06</v>
      </c>
      <c r="CP95" s="15">
        <f>MIN(IF($AU95=100%,1,1+VLOOKUP(($AJ95-$AI95-$AH95-$AG95-$AF95-$AE95*(1+CP$3))/$AJ95,'Технический лист'!$I:$J,2,1)-VLOOKUP($AO95,'Технический лист'!$I:$J,2,1)),1+(1-$AU95))</f>
        <v>1.06</v>
      </c>
      <c r="CQ95" s="15">
        <f>MIN(IF($AU95=100%,1,1+VLOOKUP(($AJ95-$AI95-$AH95-$AG95-$AF95-$AE95*(1+CQ$3))/$AJ95,'Технический лист'!$I:$J,2,1)-VLOOKUP($AO95,'Технический лист'!$I:$J,2,1)),1+(1-$AU95))</f>
        <v>1.06</v>
      </c>
      <c r="CR95" s="15">
        <f>MIN(IF($AU95=100%,1,1+VLOOKUP(($AJ95-$AI95-$AH95-$AG95-$AF95-$AE95*(1+CR$3))/$AJ95,'Технический лист'!$I:$J,2,1)-VLOOKUP($AO95,'Технический лист'!$I:$J,2,1)),1+(1-$AU95))</f>
        <v>1.06</v>
      </c>
      <c r="CS95" s="15">
        <f>MIN(IF($AU95=100%,1,1+VLOOKUP(($AJ95-$AI95-$AH95-$AG95-$AF95-$AE95*(1+CS$3))/$AJ95,'Технический лист'!$I:$J,2,1)-VLOOKUP($AO95,'Технический лист'!$I:$J,2,1)),1+(1-$AU95))</f>
        <v>1.06</v>
      </c>
      <c r="CT95" s="15">
        <f>MIN(IF($AU95=100%,1,1+VLOOKUP(($AJ95-$AI95-$AH95-$AG95-$AF95-$AE95*(1+CT$3))/$AJ95,'Технический лист'!$I:$J,2,1)-VLOOKUP($AO95,'Технический лист'!$I:$J,2,1)),1+(1-$AU95))</f>
        <v>1.06</v>
      </c>
      <c r="CU95" s="15">
        <f>MIN(IF($AU95=100%,1,1+VLOOKUP(($AJ95-$AI95-$AH95-$AG95-$AF95-$AE95*(1+CU$3))/$AJ95,'Технический лист'!$I:$J,2,1)-VLOOKUP($AO95,'Технический лист'!$I:$J,2,1)),1+(1-$AU95))</f>
        <v>1.06</v>
      </c>
      <c r="CV95" s="15">
        <f>MIN(IF($AU95=100%,1,1+VLOOKUP(($AJ95-$AI95-$AH95-$AG95-$AF95-$AE95*(1+CV$3))/$AJ95,'Технический лист'!$I:$J,2,1)-VLOOKUP($AO95,'Технический лист'!$I:$J,2,1)),1+(1-$AU95))</f>
        <v>1.06</v>
      </c>
      <c r="CW95" s="15">
        <f>MIN(IF($AU95=100%,1,1+VLOOKUP(($AJ95-$AI95-$AH95-$AG95-$AF95-$AE95*(1+CW$3))/$AJ95,'Технический лист'!$I:$J,2,1)-VLOOKUP($AO95,'Технический лист'!$I:$J,2,1)),1+(1-$AU95))</f>
        <v>1.06</v>
      </c>
      <c r="CX95" s="15">
        <f>MIN(IF($AU95=100%,1,1+VLOOKUP(($AJ95-$AI95-$AH95-$AG95-$AF95-$AE95*(1+CX$3))/$AJ95,'Технический лист'!$I:$J,2,1)-VLOOKUP($AO95,'Технический лист'!$I:$J,2,1)),1+(1-$AU95))</f>
        <v>1.06</v>
      </c>
      <c r="CY95" s="15">
        <f>MIN(IF($AU95=100%,1,1+VLOOKUP(($AJ95-$AI95-$AH95-$AG95-$AF95-$AE95*(1+CY$3))/$AJ95,'Технический лист'!$I:$J,2,1)-VLOOKUP($AO95,'Технический лист'!$I:$J,2,1)),1+(1-$AU95))</f>
        <v>1.04</v>
      </c>
      <c r="CZ95" s="15">
        <f>MIN(IF($AU95=100%,1,1+VLOOKUP(($AJ95-$AI95-$AH95-$AG95-$AF95-$AE95*(1+CZ$3))/$AJ95,'Технический лист'!$I:$J,2,1)-VLOOKUP($AO95,'Технический лист'!$I:$J,2,1)),1+(1-$AU95))</f>
        <v>1.04</v>
      </c>
      <c r="DA95" s="15">
        <f>MIN(IF($AU95=100%,1,1+VLOOKUP(($AJ95-$AI95-$AH95-$AG95-$AF95-$AE95*(1+DA$3))/$AJ95,'Технический лист'!$I:$J,2,1)-VLOOKUP($AO95,'Технический лист'!$I:$J,2,1)),1+(1-$AU95))</f>
        <v>1.04</v>
      </c>
      <c r="DB95" s="15">
        <f>MIN(IF($AU95=100%,1,1+VLOOKUP(($AJ95-$AI95-$AH95-$AG95-$AF95-$AE95*(1+DB$3))/$AJ95,'Технический лист'!$I:$J,2,1)-VLOOKUP($AO95,'Технический лист'!$I:$J,2,1)),1+(1-$AU95))</f>
        <v>1.04</v>
      </c>
      <c r="DC95" s="15">
        <f>MIN(IF($AU95=100%,1,1+VLOOKUP(($AJ95-$AI95-$AH95-$AG95-$AF95-$AE95*(1+DC$3))/$AJ95,'Технический лист'!$I:$J,2,1)-VLOOKUP($AO95,'Технический лист'!$I:$J,2,1)),1+(1-$AU95))</f>
        <v>1.04</v>
      </c>
      <c r="DD95" s="15">
        <f>MIN(IF($AU95=100%,1,1+VLOOKUP(($AJ95-$AI95-$AH95-$AG95-$AF95-$AE95*(1+DD$3))/$AJ95,'Технический лист'!$I:$J,2,1)-VLOOKUP($AO95,'Технический лист'!$I:$J,2,1)),1+(1-$AU95))</f>
        <v>1.04</v>
      </c>
      <c r="DE95" s="15">
        <f>MIN(IF($AU95=100%,1,1+VLOOKUP(($AJ95-$AI95-$AH95-$AG95-$AF95-$AE95*(1+DE$3))/$AJ95,'Технический лист'!$I:$J,2,1)-VLOOKUP($AO95,'Технический лист'!$I:$J,2,1)),1+(1-$AU95))</f>
        <v>1.04</v>
      </c>
      <c r="DF95" s="15">
        <f>MIN(IF($AU95=100%,1,1+VLOOKUP(($AJ95-$AI95-$AH95-$AG95-$AF95-$AE95*(1+DF$3))/$AJ95,'Технический лист'!$I:$J,2,1)-VLOOKUP($AO95,'Технический лист'!$I:$J,2,1)),1+(1-$AU95))</f>
        <v>1.04</v>
      </c>
      <c r="DG95" s="15">
        <f>MIN(IF($AU95=100%,1,1+VLOOKUP(($AJ95-$AI95-$AH95-$AG95-$AF95-$AE95*(1+DG$3))/$AJ95,'Технический лист'!$I:$J,2,1)-VLOOKUP($AO95,'Технический лист'!$I:$J,2,1)),1+(1-$AU95))</f>
        <v>1.04</v>
      </c>
      <c r="DH95" s="15">
        <f>MIN(IF($AU95=100%,1,1+VLOOKUP(($AJ95-$AI95-$AH95-$AG95-$AF95-$AE95*(1+DH$3))/$AJ95,'Технический лист'!$I:$J,2,1)-VLOOKUP($AO95,'Технический лист'!$I:$J,2,1)),1+(1-$AU95))</f>
        <v>1.04</v>
      </c>
      <c r="DI95" s="15">
        <f>MIN(IF($AU95=100%,1,1+VLOOKUP(($AJ95-$AI95-$AH95-$AG95-$AF95-$AE95*(1+DI$3))/$AJ95,'Технический лист'!$I:$J,2,1)-VLOOKUP($AO95,'Технический лист'!$I:$J,2,1)),1+(1-$AU95))</f>
        <v>1.04</v>
      </c>
      <c r="DJ95" s="15">
        <f>MIN(IF($AU95=100%,1,1+VLOOKUP(($AJ95-$AI95-$AH95-$AG95-$AF95-$AE95*(1+DJ$3))/$AJ95,'Технический лист'!$I:$J,2,1)-VLOOKUP($AO95,'Технический лист'!$I:$J,2,1)),1+(1-$AU95))</f>
        <v>1.04</v>
      </c>
      <c r="DK95" s="15">
        <f>MIN(IF($AU95=100%,1,1+VLOOKUP(($AJ95-$AI95-$AH95-$AG95-$AF95-$AE95*(1+DK$3))/$AJ95,'Технический лист'!$I:$J,2,1)-VLOOKUP($AO95,'Технический лист'!$I:$J,2,1)),1+(1-$AU95))</f>
        <v>1.04</v>
      </c>
      <c r="DL95" s="15">
        <f>MIN(IF($AU95=100%,1,1+VLOOKUP(($AJ95-$AI95-$AH95-$AG95-$AF95-$AE95*(1+DL$3))/$AJ95,'Технический лист'!$I:$J,2,1)-VLOOKUP($AO95,'Технический лист'!$I:$J,2,1)),1+(1-$AU95))</f>
        <v>1.04</v>
      </c>
      <c r="DM95" s="15">
        <f>MIN(IF($AU95=100%,1,1+VLOOKUP(($AJ95-$AI95-$AH95-$AG95-$AF95-$AE95*(1+DM$3))/$AJ95,'Технический лист'!$I:$J,2,1)-VLOOKUP($AO95,'Технический лист'!$I:$J,2,1)),1+(1-$AU95))</f>
        <v>1.04</v>
      </c>
      <c r="DN95" s="15">
        <f>MIN(IF($AU95=100%,1,1+VLOOKUP(($AJ95-$AI95-$AH95-$AG95-$AF95-$AE95*(1+DN$3))/$AJ95,'Технический лист'!$I:$J,2,1)-VLOOKUP($AO95,'Технический лист'!$I:$J,2,1)),1+(1-$AU95))</f>
        <v>1.04</v>
      </c>
      <c r="DO95" s="15">
        <f>MIN(IF($AU95=100%,1,1+VLOOKUP(($AJ95-$AI95-$AH95-$AG95-$AF95-$AE95*(1+DO$3))/$AJ95,'Технический лист'!$I:$J,2,1)-VLOOKUP($AO95,'Технический лист'!$I:$J,2,1)),1+(1-$AU95))</f>
        <v>1.04</v>
      </c>
      <c r="DP95" s="15">
        <f>MIN(IF($AU95=100%,1,1+VLOOKUP(($AJ95-$AI95-$AH95-$AG95-$AF95-$AE95*(1+DP$3))/$AJ95,'Технический лист'!$I:$J,2,1)-VLOOKUP($AO95,'Технический лист'!$I:$J,2,1)),1+(1-$AU95))</f>
        <v>1.04</v>
      </c>
      <c r="DQ95" s="15">
        <f>MIN(IF($AU95=100%,1,1+VLOOKUP(($AJ95-$AI95-$AH95-$AG95-$AF95-$AE95*(1+DQ$3))/$AJ95,'Технический лист'!$I:$J,2,1)-VLOOKUP($AO95,'Технический лист'!$I:$J,2,1)),1+(1-$AU95))</f>
        <v>1.02</v>
      </c>
      <c r="DR95" s="15">
        <f>MIN(IF($AU95=100%,1,1+VLOOKUP(($AJ95-$AI95-$AH95-$AG95-$AF95-$AE95*(1+DR$3))/$AJ95,'Технический лист'!$I:$J,2,1)-VLOOKUP($AO95,'Технический лист'!$I:$J,2,1)),1+(1-$AU95))</f>
        <v>1.02</v>
      </c>
      <c r="DS95" s="15">
        <f>MIN(IF($AU95=100%,1,1+VLOOKUP(($AJ95-$AI95-$AH95-$AG95-$AF95-$AE95*(1+DS$3))/$AJ95,'Технический лист'!$I:$J,2,1)-VLOOKUP($AO95,'Технический лист'!$I:$J,2,1)),1+(1-$AU95))</f>
        <v>1.02</v>
      </c>
      <c r="DT95" s="15">
        <f>MIN(IF($AU95=100%,1,1+VLOOKUP(($AJ95-$AI95-$AH95-$AG95-$AF95-$AE95*(1+DT$3))/$AJ95,'Технический лист'!$I:$J,2,1)-VLOOKUP($AO95,'Технический лист'!$I:$J,2,1)),1+(1-$AU95))</f>
        <v>1.02</v>
      </c>
      <c r="DU95" s="15">
        <f>MIN(IF($AU95=100%,1,1+VLOOKUP(($AJ95-$AI95-$AH95-$AG95-$AF95-$AE95*(1+DU$3))/$AJ95,'Технический лист'!$I:$J,2,1)-VLOOKUP($AO95,'Технический лист'!$I:$J,2,1)),1+(1-$AU95))</f>
        <v>1.02</v>
      </c>
      <c r="DV95" s="15">
        <f>MIN(IF($AU95=100%,1,1+VLOOKUP(($AJ95-$AI95-$AH95-$AG95-$AF95-$AE95*(1+DV$3))/$AJ95,'Технический лист'!$I:$J,2,1)-VLOOKUP($AO95,'Технический лист'!$I:$J,2,1)),1+(1-$AU95))</f>
        <v>1.02</v>
      </c>
      <c r="DW95" s="15">
        <f>MIN(IF($AU95=100%,1,1+VLOOKUP(($AJ95-$AI95-$AH95-$AG95-$AF95-$AE95*(1+DW$3))/$AJ95,'Технический лист'!$I:$J,2,1)-VLOOKUP($AO95,'Технический лист'!$I:$J,2,1)),1+(1-$AU95))</f>
        <v>1.02</v>
      </c>
      <c r="DX95" s="15">
        <f>MIN(IF($AU95=100%,1,1+VLOOKUP(($AJ95-$AI95-$AH95-$AG95-$AF95-$AE95*(1+DX$3))/$AJ95,'Технический лист'!$I:$J,2,1)-VLOOKUP($AO95,'Технический лист'!$I:$J,2,1)),1+(1-$AU95))</f>
        <v>1.02</v>
      </c>
      <c r="DY95" s="15">
        <f>MIN(IF($AU95=100%,1,1+VLOOKUP(($AJ95-$AI95-$AH95-$AG95-$AF95-$AE95*(1+DY$3))/$AJ95,'Технический лист'!$I:$J,2,1)-VLOOKUP($AO95,'Технический лист'!$I:$J,2,1)),1+(1-$AU95))</f>
        <v>1.02</v>
      </c>
      <c r="DZ95" s="15">
        <f>MIN(IF($AU95=100%,1,1+VLOOKUP(($AJ95-$AI95-$AH95-$AG95-$AF95-$AE95*(1+DZ$3))/$AJ95,'Технический лист'!$I:$J,2,1)-VLOOKUP($AO95,'Технический лист'!$I:$J,2,1)),1+(1-$AU95))</f>
        <v>1.02</v>
      </c>
      <c r="EA95" s="15">
        <f>MIN(IF($AU95=100%,1,1+VLOOKUP(($AJ95-$AI95-$AH95-$AG95-$AF95-$AE95*(1+EA$3))/$AJ95,'Технический лист'!$I:$J,2,1)-VLOOKUP($AO95,'Технический лист'!$I:$J,2,1)),1+(1-$AU95))</f>
        <v>1.02</v>
      </c>
      <c r="EB95" s="15">
        <f>MIN(IF($AU95=100%,1,1+VLOOKUP(($AJ95-$AI95-$AH95-$AG95-$AF95-$AE95*(1+EB$3))/$AJ95,'Технический лист'!$I:$J,2,1)-VLOOKUP($AO95,'Технический лист'!$I:$J,2,1)),1+(1-$AU95))</f>
        <v>1.02</v>
      </c>
      <c r="EC95" s="15">
        <f>MIN(IF($AU95=100%,1,1+VLOOKUP(($AJ95-$AI95-$AH95-$AG95-$AF95-$AE95*(1+EC$3))/$AJ95,'Технический лист'!$I:$J,2,1)-VLOOKUP($AO95,'Технический лист'!$I:$J,2,1)),1+(1-$AU95))</f>
        <v>1.02</v>
      </c>
      <c r="ED95" s="15">
        <f>MIN(IF($AU95=100%,1,1+VLOOKUP(($AJ95-$AI95-$AH95-$AG95-$AF95-$AE95*(1+ED$3))/$AJ95,'Технический лист'!$I:$J,2,1)-VLOOKUP($AO95,'Технический лист'!$I:$J,2,1)),1+(1-$AU95))</f>
        <v>1.02</v>
      </c>
      <c r="EE95" s="15">
        <f>MIN(IF($AU95=100%,1,1+VLOOKUP(($AJ95-$AI95-$AH95-$AG95-$AF95-$AE95*(1+EE$3))/$AJ95,'Технический лист'!$I:$J,2,1)-VLOOKUP($AO95,'Технический лист'!$I:$J,2,1)),1+(1-$AU95))</f>
        <v>1.02</v>
      </c>
      <c r="EF95" s="15">
        <f>MIN(IF($AU95=100%,1,1+VLOOKUP(($AJ95-$AI95-$AH95-$AG95-$AF95-$AE95*(1+EF$3))/$AJ95,'Технический лист'!$I:$J,2,1)-VLOOKUP($AO95,'Технический лист'!$I:$J,2,1)),1+(1-$AU95))</f>
        <v>1.02</v>
      </c>
      <c r="EG95" s="15">
        <f>MIN(IF($AU95=100%,1,1+VLOOKUP(($AJ95-$AI95-$AH95-$AG95-$AF95-$AE95*(1+EG$3))/$AJ95,'Технический лист'!$I:$J,2,1)-VLOOKUP($AO95,'Технический лист'!$I:$J,2,1)),1+(1-$AU95))</f>
        <v>1.02</v>
      </c>
      <c r="EH95" s="15">
        <f>MIN(IF($AU95=100%,1,1+VLOOKUP(($AJ95-$AI95-$AH95-$AG95-$AF95-$AE95*(1+EH$3))/$AJ95,'Технический лист'!$I:$J,2,1)-VLOOKUP($AO95,'Технический лист'!$I:$J,2,1)),1+(1-$AU95))</f>
        <v>1.02</v>
      </c>
      <c r="EI95" s="15">
        <f>MIN(IF($AU95=100%,1,1+VLOOKUP(($AJ95-$AI95-$AH95-$AG95-$AF95-$AE95*(1+EI$3))/$AJ95,'Технический лист'!$I:$J,2,1)-VLOOKUP($AO95,'Технический лист'!$I:$J,2,1)),1+(1-$AU95))</f>
        <v>1.02</v>
      </c>
      <c r="EJ95" s="15">
        <f>MIN(IF($AU95=100%,1,1+VLOOKUP(($AJ95-$AI95-$AH95-$AG95-$AF95-$AE95*(1+EJ$3))/$AJ95,'Технический лист'!$I:$J,2,1)-VLOOKUP($AO95,'Технический лист'!$I:$J,2,1)),1+(1-$AU95))</f>
        <v>1</v>
      </c>
      <c r="EK95" s="15">
        <f>MIN(IF($AU95=100%,1,1+VLOOKUP(($AJ95-$AI95-$AH95-$AG95-$AF95-$AE95*(1+EK$3))/$AJ95,'Технический лист'!$I:$J,2,1)-VLOOKUP($AO95,'Технический лист'!$I:$J,2,1)),1+(1-$AU95))</f>
        <v>1</v>
      </c>
      <c r="EL95" s="15">
        <f>MIN(IF($AU95=100%,1,1+VLOOKUP(($AJ95-$AI95-$AH95-$AG95-$AF95-$AE95*(1+EL$3))/$AJ95,'Технический лист'!$I:$J,2,1)-VLOOKUP($AO95,'Технический лист'!$I:$J,2,1)),1+(1-$AU95))</f>
        <v>1</v>
      </c>
      <c r="EM95" s="15">
        <f>MIN(IF($AU95=100%,1,1+VLOOKUP(($AJ95-$AI95-$AH95-$AG95-$AF95-$AE95*(1+EM$3))/$AJ95,'Технический лист'!$I:$J,2,1)-VLOOKUP($AO95,'Технический лист'!$I:$J,2,1)),1+(1-$AU95))</f>
        <v>1</v>
      </c>
      <c r="EN95" s="15">
        <f>MIN(IF($AU95=100%,1,1+VLOOKUP(($AJ95-$AI95-$AH95-$AG95-$AF95-$AE95*(1+EN$3))/$AJ95,'Технический лист'!$I:$J,2,1)-VLOOKUP($AO95,'Технический лист'!$I:$J,2,1)),1+(1-$AU95))</f>
        <v>1</v>
      </c>
      <c r="EO95" s="15">
        <f>MIN(IF($AU95=100%,1,1+VLOOKUP(($AJ95-$AI95-$AH95-$AG95-$AF95-$AE95*(1+EO$3))/$AJ95,'Технический лист'!$I:$J,2,1)-VLOOKUP($AO95,'Технический лист'!$I:$J,2,1)),1+(1-$AU95))</f>
        <v>1</v>
      </c>
      <c r="EP95" s="15">
        <f>MIN(IF($AU95=100%,1,1+VLOOKUP(($AJ95-$AI95-$AH95-$AG95-$AF95-$AE95*(1+EP$3))/$AJ95,'Технический лист'!$I:$J,2,1)-VLOOKUP($AO95,'Технический лист'!$I:$J,2,1)),1+(1-$AU95))</f>
        <v>1</v>
      </c>
      <c r="EQ95" s="15">
        <f>MIN(IF($AU95=100%,1,1+VLOOKUP(($AJ95-$AI95-$AH95-$AG95-$AF95-$AE95*(1+EQ$3))/$AJ95,'Технический лист'!$I:$J,2,1)-VLOOKUP($AO95,'Технический лист'!$I:$J,2,1)),1+(1-$AU95))</f>
        <v>1</v>
      </c>
      <c r="ER95" s="15">
        <f>MIN(IF($AU95=100%,1,1+VLOOKUP(($AJ95-$AI95-$AH95-$AG95-$AF95-$AE95*(1+ER$3))/$AJ95,'Технический лист'!$I:$J,2,1)-VLOOKUP($AO95,'Технический лист'!$I:$J,2,1)),1+(1-$AU95))</f>
        <v>1</v>
      </c>
      <c r="ES95" s="15">
        <f>MIN(IF($AU95=100%,1,1+VLOOKUP(($AJ95-$AI95-$AH95-$AG95-$AF95-$AE95*(1+ES$3))/$AJ95,'Технический лист'!$I:$J,2,1)-VLOOKUP($AO95,'Технический лист'!$I:$J,2,1)),1+(1-$AU95))</f>
        <v>1</v>
      </c>
      <c r="ET95" s="15">
        <f>MIN(IF($AU95=100%,1,1+VLOOKUP(($AJ95-$AI95-$AH95-$AG95-$AF95-$AE95*(1+ET$3))/$AJ95,'Технический лист'!$I:$J,2,1)-VLOOKUP($AO95,'Технический лист'!$I:$J,2,1)),1+(1-$AU95))</f>
        <v>1</v>
      </c>
      <c r="EU95" s="15">
        <f>MIN(IF($AU95=100%,1,1+VLOOKUP(($AJ95-$AI95-$AH95-$AG95-$AF95-$AE95*(1+EU$3))/$AJ95,'Технический лист'!$I:$J,2,1)-VLOOKUP($AO95,'Технический лист'!$I:$J,2,1)),1+(1-$AU95))</f>
        <v>1</v>
      </c>
      <c r="EV95" s="111">
        <v>1</v>
      </c>
      <c r="EW95" s="15">
        <f>MIN(1,MAX(VLOOKUP(($AJ95-$AI95-$AH95-$AG95-$AF95-$AE95*(1+EW$3))/$AJ95,'Технический лист'!$A:$B,2,1),(EV95-0.05)))</f>
        <v>1</v>
      </c>
      <c r="EX95" s="15">
        <f>MIN(1,MAX(VLOOKUP(($AJ95-$AI95-$AH95-$AG95-$AF95-$AE95*(1+EX$3))/$AJ95,'Технический лист'!$A:$B,2,1),(EW95-0.05)))</f>
        <v>1</v>
      </c>
      <c r="EY95" s="15">
        <f>MIN(1,MAX(VLOOKUP(($AJ95-$AI95-$AH95-$AG95-$AF95-$AE95*(1+EY$3))/$AJ95,'Технический лист'!$A:$B,2,1),(EX95-0.05)))</f>
        <v>1</v>
      </c>
      <c r="EZ95" s="15">
        <f>MIN(1,MAX(VLOOKUP(($AJ95-$AI95-$AH95-$AG95-$AF95-$AE95*(1+EZ$3))/$AJ95,'Технический лист'!$A:$B,2,1),(EY95-0.05)))</f>
        <v>1</v>
      </c>
      <c r="FA95" s="15">
        <f>MIN(1,MAX(VLOOKUP(($AJ95-$AI95-$AH95-$AG95-$AF95-$AE95*(1+FA$3))/$AJ95,'Технический лист'!$A:$B,2,1),(EZ95-0.05)))</f>
        <v>1</v>
      </c>
      <c r="FB95" s="15">
        <f>MIN(1,MAX(VLOOKUP(($AJ95-$AI95-$AH95-$AG95-$AF95-$AE95*(1+FB$3))/$AJ95,'Технический лист'!$A:$B,2,1),(FA95-0.05)))</f>
        <v>1</v>
      </c>
      <c r="FC95" s="15">
        <f>MIN(1,MAX(VLOOKUP(($AJ95-$AI95-$AH95-$AG95-$AF95-$AE95*(1+FC$3))/$AJ95,'Технический лист'!$A:$B,2,1),(FB95-0.05)))</f>
        <v>1</v>
      </c>
      <c r="FD95" s="15">
        <f>MIN(1,MAX(VLOOKUP(($AJ95-$AI95-$AH95-$AG95-$AF95-$AE95*(1+FD$3))/$AJ95,'Технический лист'!$A:$B,2,1),(FC95-0.05)))</f>
        <v>1</v>
      </c>
      <c r="FE95" s="15">
        <f>MIN(1,MAX(VLOOKUP(($AJ95-$AI95-$AH95-$AG95-$AF95-$AE95*(1+FE$3))/$AJ95,'Технический лист'!$A:$B,2,1),(FD95-0.05)))</f>
        <v>1</v>
      </c>
      <c r="FF95" s="15">
        <f>MIN(1,MAX(VLOOKUP(($AJ95-$AI95-$AH95-$AG95-$AF95-$AE95*(1+FF$3))/$AJ95,'Технический лист'!$A:$B,2,1),(FE95-0.05)))</f>
        <v>1</v>
      </c>
      <c r="FG95" s="15">
        <f>MIN(1,MAX(VLOOKUP(($AJ95-$AI95-$AH95-$AG95-$AF95-$AE95*(1+FG$3))/$AJ95,'Технический лист'!$A:$B,2,1),(FF95-0.05)))</f>
        <v>1</v>
      </c>
      <c r="FH95" s="15">
        <f>MIN(1,MAX(VLOOKUP(($AJ95-$AI95-$AH95-$AG95-$AF95-$AE95*(1+FH$3))/$AJ95,'Технический лист'!$A:$B,2,1),(FG95-0.05)))</f>
        <v>1</v>
      </c>
      <c r="FI95" s="15">
        <f>MIN(1,MAX(VLOOKUP(($AJ95-$AI95-$AH95-$AG95-$AF95-$AE95*(1+FI$3))/$AJ95,'Технический лист'!$A:$B,2,1),(FH95-0.05)))</f>
        <v>1</v>
      </c>
      <c r="FJ95" s="15">
        <f>MIN(1,MAX(VLOOKUP(($AJ95-$AI95-$AH95-$AG95-$AF95-$AE95*(1+FJ$3))/$AJ95,'Технический лист'!$A:$B,2,1),(FI95-0.05)))</f>
        <v>1</v>
      </c>
      <c r="FK95" s="15">
        <f>MIN(1,MAX(VLOOKUP(($AJ95-$AI95-$AH95-$AG95-$AF95-$AE95*(1+FK$3))/$AJ95,'Технический лист'!$A:$B,2,1),(FJ95-0.05)))</f>
        <v>1</v>
      </c>
      <c r="FL95" s="15">
        <f>MIN(1,MAX(VLOOKUP(($AJ95-$AI95-$AH95-$AG95-$AF95-$AE95*(1+FL$3))/$AJ95,'Технический лист'!$A:$B,2,1),(FK95-0.05)))</f>
        <v>1</v>
      </c>
      <c r="FM95" s="15">
        <f>MIN(1,MAX(VLOOKUP(($AJ95-$AI95-$AH95-$AG95-$AF95-$AE95*(1+FM$3))/$AJ95,'Технический лист'!$A:$B,2,1),(FL95-0.05)))</f>
        <v>1</v>
      </c>
      <c r="FN95" s="15">
        <f>MIN(1,MAX(VLOOKUP(($AJ95-$AI95-$AH95-$AG95-$AF95-$AE95*(1+FN$3))/$AJ95,'Технический лист'!$A:$B,2,1),(FM95-0.05)))</f>
        <v>1</v>
      </c>
      <c r="FO95" s="15">
        <f>MIN(1,MAX(VLOOKUP(($AJ95-$AI95-$AH95-$AG95-$AF95-$AE95*(1+FO$3))/$AJ95,'Технический лист'!$A:$B,2,1),(FN95-0.05)))</f>
        <v>1</v>
      </c>
      <c r="FP95" s="15">
        <f>MIN(1,MAX(VLOOKUP(($AJ95-$AI95-$AH95-$AG95-$AF95-$AE95*(1+FP$3))/$AJ95,'Технический лист'!$A:$B,2,1),(FO95-0.05)))</f>
        <v>1</v>
      </c>
      <c r="FQ95" s="15">
        <f>MIN(1,MAX(VLOOKUP(($AJ95-$AI95-$AH95-$AG95-$AF95-$AE95*(1+FQ$3))/$AJ95,'Технический лист'!$A:$B,2,1),(FP95-0.05)))</f>
        <v>1</v>
      </c>
      <c r="FR95" s="15">
        <f>MIN(1,MAX(VLOOKUP(($AJ95-$AI95-$AH95-$AG95-$AF95-$AE95*(1+FR$3))/$AJ95,'Технический лист'!$A:$B,2,1),(FQ95-0.05)))</f>
        <v>1</v>
      </c>
      <c r="FS95" s="15">
        <f>MIN(1,MAX(VLOOKUP(($AJ95-$AI95-$AH95-$AG95-$AF95-$AE95*(1+FS$3))/$AJ95,'Технический лист'!$A:$B,2,1),(FR95-0.05)))</f>
        <v>1</v>
      </c>
      <c r="FT95" s="15">
        <f>MIN(1,MAX(VLOOKUP(($AJ95-$AI95-$AH95-$AG95-$AF95-$AE95*(1+FT$3))/$AJ95,'Технический лист'!$A:$B,2,1),(FS95-0.05)))</f>
        <v>1</v>
      </c>
      <c r="FU95" s="15">
        <f>MIN(1,MAX(VLOOKUP(($AJ95-$AI95-$AH95-$AG95-$AF95-$AE95*(1+FU$3))/$AJ95,'Технический лист'!$A:$B,2,1),(FT95-0.05)))</f>
        <v>1</v>
      </c>
      <c r="FV95" s="15">
        <f>MIN(1,MAX(VLOOKUP(($AJ95-$AI95-$AH95-$AG95-$AF95-$AE95*(1+FV$3))/$AJ95,'Технический лист'!$A:$B,2,1),(FU95-0.05)))</f>
        <v>1</v>
      </c>
      <c r="FW95" s="15">
        <f>MIN(1,MAX(VLOOKUP(($AJ95-$AI95-$AH95-$AG95-$AF95-$AE95*(1+FW$3))/$AJ95,'Технический лист'!$A:$B,2,1),(FV95-0.05)))</f>
        <v>1</v>
      </c>
      <c r="FX95" s="15">
        <f>MIN(1,MAX(VLOOKUP(($AJ95-$AI95-$AH95-$AG95-$AF95-$AE95*(1+FX$3))/$AJ95,'Технический лист'!$A:$B,2,1),(FW95-0.05)))</f>
        <v>1</v>
      </c>
      <c r="FY95" s="15">
        <f>MIN(1,MAX(VLOOKUP(($AJ95-$AI95-$AH95-$AG95-$AF95-$AE95*(1+FY$3))/$AJ95,'Технический лист'!$A:$B,2,1),(FX95-0.05)))</f>
        <v>1</v>
      </c>
      <c r="FZ95" s="15">
        <f>MIN(1,MAX(VLOOKUP(($AJ95-$AI95-$AH95-$AG95-$AF95-$AE95*(1+FZ$3))/$AJ95,'Технический лист'!$A:$B,2,1),(FY95-0.05)))</f>
        <v>1</v>
      </c>
      <c r="GA95" s="15">
        <f>MIN(1,MAX(VLOOKUP(($AJ95-$AI95-$AH95-$AG95-$AF95-$AE95*(1+GA$3))/$AJ95,'Технический лист'!$A:$B,2,1),(FZ95-0.05)))</f>
        <v>1</v>
      </c>
      <c r="GB95" s="15">
        <f>MIN(1,MAX(VLOOKUP(($AJ95-$AI95-$AH95-$AG95-$AF95-$AE95*(1+GB$3))/$AJ95,'Технический лист'!$A:$B,2,1),(GA95-0.05)))</f>
        <v>1</v>
      </c>
      <c r="GC95" s="15">
        <f>MIN(1,MAX(VLOOKUP(($AJ95-$AI95-$AH95-$AG95-$AF95-$AE95*(1+GC$3))/$AJ95,'Технический лист'!$A:$B,2,1),(GB95-0.05)))</f>
        <v>1</v>
      </c>
      <c r="GD95" s="15">
        <f>MIN(1,MAX(VLOOKUP(($AJ95-$AI95-$AH95-$AG95-$AF95-$AE95*(1+GD$3))/$AJ95,'Технический лист'!$A:$B,2,1),(GC95-0.05)))</f>
        <v>1</v>
      </c>
      <c r="GE95" s="15">
        <f>MIN(1,MAX(VLOOKUP(($AJ95-$AI95-$AH95-$AG95-$AF95-$AE95*(1+GE$3))/$AJ95,'Технический лист'!$A:$B,2,1),(GD95-0.05)))</f>
        <v>1</v>
      </c>
      <c r="GF95" s="15">
        <f>MIN(1,MAX(VLOOKUP(($AJ95-$AI95-$AH95-$AG95-$AF95-$AE95*(1+GF$3))/$AJ95,'Технический лист'!$A:$B,2,1),(GE95-0.05)))</f>
        <v>1</v>
      </c>
      <c r="GG95" s="15">
        <f>MIN(1,MAX(VLOOKUP(($AJ95-$AI95-$AH95-$AG95-$AF95-$AE95*(1+GG$3))/$AJ95,'Технический лист'!$A:$B,2,1),(GF95-0.05)))</f>
        <v>1</v>
      </c>
      <c r="GH95" s="15">
        <f>MIN(1,MAX(VLOOKUP(($AJ95-$AI95-$AH95-$AG95-$AF95-$AE95*(1+GH$3))/$AJ95,'Технический лист'!$A:$B,2,1),(GG95-0.05)))</f>
        <v>1</v>
      </c>
      <c r="GI95" s="15">
        <f>MIN(1,MAX(VLOOKUP(($AJ95-$AI95-$AH95-$AG95-$AF95-$AE95*(1+GI$3))/$AJ95,'Технический лист'!$A:$B,2,1),(GH95-0.05)))</f>
        <v>1</v>
      </c>
      <c r="GJ95" s="15">
        <f>MIN(1,MAX(VLOOKUP(($AJ95-$AI95-$AH95-$AG95-$AF95-$AE95*(1+GJ$3))/$AJ95,'Технический лист'!$A:$B,2,1),(GI95-0.05)))</f>
        <v>1</v>
      </c>
      <c r="GK95" s="15">
        <f>MIN(1,MAX(VLOOKUP(($AJ95-$AI95-$AH95-$AG95-$AF95-$AE95*(1+GK$3))/$AJ95,'Технический лист'!$A:$B,2,1),(GJ95-0.05)))</f>
        <v>1</v>
      </c>
      <c r="GL95" s="15">
        <f>MIN(1,MAX(VLOOKUP(($AJ95-$AI95-$AH95-$AG95-$AF95-$AE95*(1+GL$3))/$AJ95,'Технический лист'!$A:$B,2,1),(GK95-0.05)))</f>
        <v>1</v>
      </c>
      <c r="GM95" s="15">
        <f>MIN(1,MAX(VLOOKUP(($AJ95-$AI95-$AH95-$AG95-$AF95-$AE95*(1+GM$3))/$AJ95,'Технический лист'!$A:$B,2,1),(GL95-0.05)))</f>
        <v>1</v>
      </c>
      <c r="GN95" s="15">
        <f>MIN(1,MAX(VLOOKUP(($AJ95-$AI95-$AH95-$AG95-$AF95-$AE95*(1+GN$3))/$AJ95,'Технический лист'!$A:$B,2,1),(GM95-0.05)))</f>
        <v>1</v>
      </c>
      <c r="GO95" s="15">
        <f>MIN(1,MAX(VLOOKUP(($AJ95-$AI95-$AH95-$AG95-$AF95-$AE95*(1+GO$3))/$AJ95,'Технический лист'!$A:$B,2,1),(GN95-0.05)))</f>
        <v>1</v>
      </c>
      <c r="GP95" s="15">
        <f>MIN(1,MAX(VLOOKUP(($AJ95-$AI95-$AH95-$AG95-$AF95-$AE95*(1+GP$3))/$AJ95,'Технический лист'!$A:$B,2,1),(GO95-0.05)))</f>
        <v>1</v>
      </c>
      <c r="GQ95" s="15">
        <f>MIN(1,MAX(VLOOKUP(($AJ95-$AI95-$AH95-$AG95-$AF95-$AE95*(1+GQ$3))/$AJ95,'Технический лист'!$A:$B,2,1),(GP95-0.05)))</f>
        <v>1</v>
      </c>
      <c r="GR95" s="15">
        <f>MIN(1,MAX(VLOOKUP(($AJ95-$AI95-$AH95-$AG95-$AF95-$AE95*(1+GR$3))/$AJ95,'Технический лист'!$A:$B,2,1),(GQ95-0.05)))</f>
        <v>1</v>
      </c>
      <c r="GS95" s="15">
        <f>MIN(1,MAX(VLOOKUP(($AJ95-$AI95-$AH95-$AG95-$AF95-$AE95*(1+GS$3))/$AJ95,'Технический лист'!$A:$B,2,1),(GR95-0.05)))</f>
        <v>1</v>
      </c>
      <c r="GT95" s="15">
        <f>MIN(1,MAX(VLOOKUP(($AJ95-$AI95-$AH95-$AG95-$AF95-$AE95*(1+GT$3))/$AJ95,'Технический лист'!$A:$B,2,1),(GS95-0.05)))</f>
        <v>1</v>
      </c>
      <c r="GU95" s="15">
        <f>MIN(1,MAX(VLOOKUP(($AJ95-$AI95-$AH95-$AG95-$AF95-$AE95*(1+GU$3))/$AJ95,'Технический лист'!$A:$B,2,1),(GT95-0.05)))</f>
        <v>1</v>
      </c>
      <c r="GV95" s="15">
        <f>MIN(1,MAX(VLOOKUP(($AJ95-$AI95-$AH95-$AG95-$AF95-$AE95*(1+GV$3))/$AJ95,'Технический лист'!$A:$B,2,1),(GU95-0.05)))</f>
        <v>1</v>
      </c>
      <c r="GW95" s="15">
        <f>MIN(1,MAX(VLOOKUP(($AJ95-$AI95-$AH95-$AG95-$AF95-$AE95*(1+GW$3))/$AJ95,'Технический лист'!$A:$B,2,1),(GV95-0.05)))</f>
        <v>1</v>
      </c>
      <c r="GX95" s="15">
        <f>MIN(1,MAX(VLOOKUP(($AJ95-$AI95-$AH95-$AG95-$AF95-$AE95*(1+GX$3))/$AJ95,'Технический лист'!$A:$B,2,1),(GW95-0.05)))</f>
        <v>1</v>
      </c>
      <c r="GY95" s="15">
        <f>MIN(1,MAX(VLOOKUP(($AJ95-$AI95-$AH95-$AG95-$AF95-$AE95*(1+GY$3))/$AJ95,'Технический лист'!$A:$B,2,1),(GX95-0.05)))</f>
        <v>1</v>
      </c>
      <c r="GZ95" s="15">
        <f>MIN(1,MAX(VLOOKUP(($AJ95-$AI95-$AH95-$AG95-$AF95-$AE95*(1+GZ$3))/$AJ95,'Технический лист'!$A:$B,2,1),(GY95-0.05)))</f>
        <v>1</v>
      </c>
      <c r="HA95" s="15">
        <f>MIN(1,MAX(VLOOKUP(($AJ95-$AI95-$AH95-$AG95-$AF95-$AE95*(1+HA$3))/$AJ95,'Технический лист'!$A:$B,2,1),(GZ95-0.05)))</f>
        <v>1</v>
      </c>
      <c r="HB95" s="15">
        <f>MIN(1,MAX(VLOOKUP(($AJ95-$AI95-$AH95-$AG95-$AF95-$AE95*(1+HB$3))/$AJ95,'Технический лист'!$A:$B,2,1),(HA95-0.05)))</f>
        <v>1</v>
      </c>
      <c r="HC95" s="15">
        <f>MIN(1,MAX(VLOOKUP(($AJ95-$AI95-$AH95-$AG95-$AF95-$AE95*(1+HC$3))/$AJ95,'Технический лист'!$A:$B,2,1),(HB95-0.05)))</f>
        <v>1</v>
      </c>
      <c r="HD95" s="15">
        <f>MIN(1,MAX(VLOOKUP(($AJ95-$AI95-$AH95-$AG95-$AF95-$AE95*(1+HD$3))/$AJ95,'Технический лист'!$A:$B,2,1),(HC95-0.05)))</f>
        <v>1</v>
      </c>
      <c r="HE95" s="15">
        <f>MIN(1,MAX(VLOOKUP(($AJ95-$AI95-$AH95-$AG95-$AF95-$AE95*(1+HE$3))/$AJ95,'Технический лист'!$A:$B,2,1),(HD95-0.05)))</f>
        <v>1</v>
      </c>
      <c r="HF95" s="15">
        <f>MIN(1,MAX(VLOOKUP(($AJ95-$AI95-$AH95-$AG95-$AF95-$AE95*(1+HF$3))/$AJ95,'Технический лист'!$A:$B,2,1),(HE95-0.05)))</f>
        <v>1</v>
      </c>
      <c r="HG95" s="15">
        <f>MIN(1,MAX(VLOOKUP(($AJ95-$AI95-$AH95-$AG95-$AF95-$AE95*(1+HG$3))/$AJ95,'Технический лист'!$A:$B,2,1),(HF95-0.05)))</f>
        <v>1</v>
      </c>
      <c r="HH95" s="15">
        <f>MIN(1,MAX(VLOOKUP(($AJ95-$AI95-$AH95-$AG95-$AF95-$AE95*(1+HH$3))/$AJ95,'Технический лист'!$A:$B,2,1),(HG95-0.05)))</f>
        <v>1</v>
      </c>
      <c r="HI95" s="15">
        <f>MIN(1,MAX(VLOOKUP(($AJ95-$AI95-$AH95-$AG95-$AF95-$AE95*(1+HI$3))/$AJ95,'Технический лист'!$A:$B,2,1),(HH95-0.05)))</f>
        <v>1</v>
      </c>
      <c r="HJ95" s="15">
        <f>MIN(1,MAX(VLOOKUP(($AJ95-$AI95-$AH95-$AG95-$AF95-$AE95*(1+HJ$3))/$AJ95,'Технический лист'!$A:$B,2,1),(HI95-0.05)))</f>
        <v>1</v>
      </c>
      <c r="HK95" s="15">
        <f>MIN(1,MAX(VLOOKUP(($AJ95-$AI95-$AH95-$AG95-$AF95-$AE95*(1+HK$3))/$AJ95,'Технический лист'!$A:$B,2,1),(HJ95-0.05)))</f>
        <v>1</v>
      </c>
      <c r="HL95" s="15">
        <f>MIN(1,MAX(VLOOKUP(($AJ95-$AI95-$AH95-$AG95-$AF95-$AE95*(1+HL$3))/$AJ95,'Технический лист'!$A:$B,2,1),(HK95-0.05)))</f>
        <v>1</v>
      </c>
      <c r="HM95" s="15">
        <f>MIN(1,MAX(VLOOKUP(($AJ95-$AI95-$AH95-$AG95-$AF95-$AE95*(1+HM$3))/$AJ95,'Технический лист'!$A:$B,2,1),(HL95-0.05)))</f>
        <v>1</v>
      </c>
      <c r="HN95" s="15">
        <f>MIN(1,MAX(VLOOKUP(($AJ95-$AI95-$AH95-$AG95-$AF95-$AE95*(1+HN$3))/$AJ95,'Технический лист'!$A:$B,2,1),(HM95-0.05)))</f>
        <v>1</v>
      </c>
      <c r="HO95" s="15">
        <f>MIN(1,MAX(VLOOKUP(($AJ95-$AI95-$AH95-$AG95-$AF95-$AE95*(1+HO$3))/$AJ95,'Технический лист'!$A:$B,2,1),(HN95-0.05)))</f>
        <v>1</v>
      </c>
      <c r="HP95" s="15">
        <f>MIN(1,MAX(VLOOKUP(($AJ95-$AI95-$AH95-$AG95-$AF95-$AE95*(1+HP$3))/$AJ95,'Технический лист'!$A:$B,2,1),(HO95-0.05)))</f>
        <v>1</v>
      </c>
      <c r="HQ95" s="15">
        <f>MIN(1,MAX(VLOOKUP(($AJ95-$AI95-$AH95-$AG95-$AF95-$AE95*(1+HQ$3))/$AJ95,'Технический лист'!$A:$B,2,1),(HP95-0.05)))</f>
        <v>1</v>
      </c>
      <c r="HR95" s="15">
        <f>MIN(1,MAX(VLOOKUP(($AJ95-$AI95-$AH95-$AG95-$AF95-$AE95*(1+HR$3))/$AJ95,'Технический лист'!$A:$B,2,1),(HQ95-0.05)))</f>
        <v>1</v>
      </c>
      <c r="HS95" s="15">
        <f>MIN(1,MAX(VLOOKUP(($AJ95-$AI95-$AH95-$AG95-$AF95-$AE95*(1+HS$3))/$AJ95,'Технический лист'!$A:$B,2,1),(HR95-0.05)))</f>
        <v>1</v>
      </c>
      <c r="HT95" s="15">
        <f>MIN(1,MAX(VLOOKUP(($AJ95-$AI95-$AH95-$AG95-$AF95-$AE95*(1+HT$3))/$AJ95,'Технический лист'!$A:$B,2,1),(HS95-0.05)))</f>
        <v>1</v>
      </c>
      <c r="HU95" s="15">
        <f>MIN(1,MAX(VLOOKUP(($AJ95-$AI95-$AH95-$AG95-$AF95-$AE95*(1+HU$3))/$AJ95,'Технический лист'!$A:$B,2,1),(HT95-0.05)))</f>
        <v>1</v>
      </c>
      <c r="HV95" s="15">
        <f>MIN(1,MAX(VLOOKUP(($AJ95-$AI95-$AH95-$AG95-$AF95-$AE95*(1+HV$3))/$AJ95,'Технический лист'!$A:$B,2,1),(HU95-0.05)))</f>
        <v>1</v>
      </c>
      <c r="HW95" s="15">
        <f>MIN(1,MAX(VLOOKUP(($AJ95-$AI95-$AH95-$AG95-$AF95-$AE95*(1+HW$3))/$AJ95,'Технический лист'!$A:$B,2,1),(HV95-0.05)))</f>
        <v>1</v>
      </c>
      <c r="HX95" s="15">
        <f>MIN(1,MAX(VLOOKUP(($AJ95-$AI95-$AH95-$AG95-$AF95-$AE95*(1+HX$3))/$AJ95,'Технический лист'!$A:$B,2,1),(HW95-0.05)))</f>
        <v>1</v>
      </c>
      <c r="HY95" s="15">
        <f>MIN(1,MAX(VLOOKUP(($AJ95-$AI95-$AH95-$AG95-$AF95-$AE95*(1+HY$3))/$AJ95,'Технический лист'!$A:$B,2,1),(HX95-0.05)))</f>
        <v>1</v>
      </c>
      <c r="HZ95" s="15">
        <f>MIN(1,MAX(VLOOKUP(($AJ95-$AI95-$AH95-$AG95-$AF95-$AE95*(1+HZ$3))/$AJ95,'Технический лист'!$A:$B,2,1),(HY95-0.05)))</f>
        <v>1</v>
      </c>
      <c r="IA95" s="15">
        <f>MIN(1,MAX(VLOOKUP(($AJ95-$AI95-$AH95-$AG95-$AF95-$AE95*(1+IA$3))/$AJ95,'Технический лист'!$A:$B,2,1),(HZ95-0.05)))</f>
        <v>1</v>
      </c>
      <c r="IB95" s="15">
        <f>MIN(1,MAX(VLOOKUP(($AJ95-$AI95-$AH95-$AG95-$AF95-$AE95*(1+IB$3))/$AJ95,'Технический лист'!$A:$B,2,1),(IA95-0.05)))</f>
        <v>1</v>
      </c>
      <c r="IC95" s="15">
        <f>MIN(1,MAX(VLOOKUP(($AJ95-$AI95-$AH95-$AG95-$AF95-$AE95*(1+IC$3))/$AJ95,'Технический лист'!$A:$B,2,1),(IB95-0.05)))</f>
        <v>1</v>
      </c>
      <c r="ID95" s="15">
        <f>MIN(1,MAX(VLOOKUP(($AJ95-$AI95-$AH95-$AG95-$AF95-$AE95*(1+ID$3))/$AJ95,'Технический лист'!$A:$B,2,1),(IC95-0.05)))</f>
        <v>1</v>
      </c>
      <c r="IE95" s="15">
        <f>MIN(1,MAX(VLOOKUP(($AJ95-$AI95-$AH95-$AG95-$AF95-$AE95*(1+IE$3))/$AJ95,'Технический лист'!$A:$B,2,1),(ID95-0.05)))</f>
        <v>1</v>
      </c>
      <c r="IF95" s="15">
        <f>MIN(1,MAX(VLOOKUP(($AJ95-$AI95-$AH95-$AG95-$AF95-$AE95*(1+IF$3))/$AJ95,'Технический лист'!$A:$B,2,1),(IE95-0.05)))</f>
        <v>1</v>
      </c>
      <c r="IG95" s="15">
        <f>MIN(1,MAX(VLOOKUP(($AJ95-$AI95-$AH95-$AG95-$AF95-$AE95*(1+IG$3))/$AJ95,'Технический лист'!$A:$B,2,1),(IF95-0.05)))</f>
        <v>1</v>
      </c>
      <c r="IH95" s="15">
        <f>MIN(1,MAX(VLOOKUP(($AJ95-$AI95-$AH95-$AG95-$AF95-$AE95*(1+IH$3))/$AJ95,'Технический лист'!$A:$B,2,1),(IG95-0.05)))</f>
        <v>1</v>
      </c>
      <c r="II95" s="15">
        <f>MIN(1,MAX(VLOOKUP(($AJ95-$AI95-$AH95-$AG95-$AF95-$AE95*(1+II$3))/$AJ95,'Технический лист'!$A:$B,2,1),(IH95-0.05)))</f>
        <v>1</v>
      </c>
      <c r="IJ95" s="15">
        <f>MIN(1,MAX(VLOOKUP(($AJ95-$AI95-$AH95-$AG95-$AF95-$AE95*(1+IJ$3))/$AJ95,'Технический лист'!$A:$B,2,1),(II95-0.05)))</f>
        <v>1</v>
      </c>
      <c r="IK95" s="15">
        <f>MIN(1,MAX(VLOOKUP(($AJ95-$AI95-$AH95-$AG95-$AF95-$AE95*(1+IK$3))/$AJ95,'Технический лист'!$A:$B,2,1),(IJ95-0.05)))</f>
        <v>1</v>
      </c>
      <c r="IL95" s="15">
        <f>MIN(1,MAX(VLOOKUP(($AJ95-$AI95-$AH95-$AG95-$AF95-$AE95*(1+IL$3))/$AJ95,'Технический лист'!$A:$B,2,1),(IK95-0.05)))</f>
        <v>1</v>
      </c>
      <c r="IM95" s="15">
        <f>MIN(1,MAX(VLOOKUP(($AJ95-$AI95-$AH95-$AG95-$AF95-$AE95*(1+IM$3))/$AJ95,'Технический лист'!$A:$B,2,1),(IL95-0.05)))</f>
        <v>1</v>
      </c>
      <c r="IN95" s="15">
        <f>MIN(1,MAX(VLOOKUP(($AJ95-$AI95-$AH95-$AG95-$AF95-$AE95*(1+IN$3))/$AJ95,'Технический лист'!$A:$B,2,1),(IM95-0.05)))</f>
        <v>1</v>
      </c>
      <c r="IO95" s="15">
        <f>MIN(1,MAX(VLOOKUP(($AJ95-$AI95-$AH95-$AG95-$AF95-$AE95*(1+IO$3))/$AJ95,'Технический лист'!$A:$B,2,1),(IN95-0.05)))</f>
        <v>1</v>
      </c>
      <c r="IP95" s="15">
        <f>MIN(1,MAX(VLOOKUP(($AJ95-$AI95-$AH95-$AG95-$AF95-$AE95*(1+IP$3))/$AJ95,'Технический лист'!$A:$B,2,1),(IO95-0.05)))</f>
        <v>1</v>
      </c>
      <c r="IQ95" s="15">
        <f>MIN(1,MAX(VLOOKUP(($AJ95-$AI95-$AH95-$AG95-$AF95-$AE95*(1+IQ$3))/$AJ95,'Технический лист'!$A:$B,2,1),(IP95-0.05)))</f>
        <v>1</v>
      </c>
      <c r="IR95" s="15">
        <f>MIN(1,MAX(VLOOKUP(($AJ95-$AI95-$AH95-$AG95-$AF95-$AE95*(1+IR$3))/$AJ95,'Технический лист'!$A:$B,2,1),(IQ95-0.05)))</f>
        <v>1</v>
      </c>
    </row>
    <row r="96" spans="1:252" ht="43.75">
      <c r="A96" s="89" t="s">
        <v>515</v>
      </c>
      <c r="B96" s="90">
        <v>5</v>
      </c>
      <c r="C96" s="5" t="s">
        <v>68</v>
      </c>
      <c r="D96" s="91">
        <v>31405</v>
      </c>
      <c r="E96" s="91" t="s">
        <v>344</v>
      </c>
      <c r="F96" s="92" t="s">
        <v>77</v>
      </c>
      <c r="G96" s="91" t="s">
        <v>26</v>
      </c>
      <c r="H96" s="91" t="s">
        <v>26</v>
      </c>
      <c r="I96" s="91" t="s">
        <v>128</v>
      </c>
      <c r="J96" s="91" t="s">
        <v>85</v>
      </c>
      <c r="K96" s="91">
        <v>479</v>
      </c>
      <c r="L96" s="85" t="s">
        <v>64</v>
      </c>
      <c r="M96" s="91" t="s">
        <v>17</v>
      </c>
      <c r="N96" s="91" t="s">
        <v>191</v>
      </c>
      <c r="O96" s="91" t="s">
        <v>193</v>
      </c>
      <c r="P96" s="89" t="s">
        <v>243</v>
      </c>
      <c r="Q96" s="97" t="s">
        <v>304</v>
      </c>
      <c r="R96" s="91" t="s">
        <v>253</v>
      </c>
      <c r="S96" s="82">
        <v>75861</v>
      </c>
      <c r="T96" s="82">
        <v>36337296</v>
      </c>
      <c r="U96" s="81">
        <v>1111</v>
      </c>
      <c r="V96" s="81">
        <v>0</v>
      </c>
      <c r="W96" s="82">
        <v>86887217</v>
      </c>
      <c r="X96" s="112">
        <v>69</v>
      </c>
      <c r="Y96" s="112" t="s">
        <v>417</v>
      </c>
      <c r="Z96" s="113">
        <v>4</v>
      </c>
      <c r="AA96" s="113">
        <v>2</v>
      </c>
      <c r="AB96" s="113">
        <v>4</v>
      </c>
      <c r="AC96" s="99">
        <v>1424.86</v>
      </c>
      <c r="AD96" s="99">
        <f>AE96-AC96</f>
        <v>152.66000000000008</v>
      </c>
      <c r="AE96" s="99">
        <v>1577.52</v>
      </c>
      <c r="AF96" s="98">
        <f>(Z96+AA96+AB96)*'Ставки аренды'!$B$3/X96</f>
        <v>101.44927536231884</v>
      </c>
      <c r="AG96" s="114">
        <v>0</v>
      </c>
      <c r="AH96" s="94">
        <v>0</v>
      </c>
      <c r="AI96" s="115">
        <f>50869260/54664255*AJ96</f>
        <v>33373.802128961601</v>
      </c>
      <c r="AJ96" s="117">
        <f>Цены!$C$5*'Курсы валют'!$B$2</f>
        <v>35863.584999999999</v>
      </c>
      <c r="AK96" s="94">
        <f>AJ96/Цены!$B$1</f>
        <v>470</v>
      </c>
      <c r="AL96" s="95">
        <f t="shared" si="24"/>
        <v>1678.9692753623187</v>
      </c>
      <c r="AM96" s="95">
        <f t="shared" si="25"/>
        <v>34184.615724637682</v>
      </c>
      <c r="AN96" s="94">
        <f t="shared" si="22"/>
        <v>35052.771404323918</v>
      </c>
      <c r="AO96" s="118">
        <f t="shared" si="23"/>
        <v>2.2608269521189297E-2</v>
      </c>
      <c r="AP96" s="96">
        <f t="shared" si="26"/>
        <v>4.6815433408632146E-2</v>
      </c>
      <c r="AQ96" s="96">
        <f t="shared" si="27"/>
        <v>4.3986678966980018E-2</v>
      </c>
      <c r="AR96" s="96">
        <f t="shared" si="28"/>
        <v>0.93957645511980781</v>
      </c>
      <c r="AS96" s="122">
        <v>1</v>
      </c>
      <c r="AT96" s="121">
        <f t="shared" si="29"/>
        <v>75861</v>
      </c>
      <c r="AU96" s="83">
        <v>0.8</v>
      </c>
      <c r="AV96" s="119">
        <f t="shared" si="30"/>
        <v>1.7329868045151679E-2</v>
      </c>
      <c r="AW96" s="120">
        <f t="shared" si="31"/>
        <v>5.209383488466976E-2</v>
      </c>
      <c r="AX96" s="120">
        <f t="shared" si="32"/>
        <v>4.9265080443017625E-2</v>
      </c>
      <c r="AY96" s="120">
        <f t="shared" si="33"/>
        <v>0.94569886344680332</v>
      </c>
      <c r="AZ96" s="15">
        <f>MIN(IF($AU96=100%,1,1+VLOOKUP(($AJ96-$AI96-$AH96-$AG96-$AF96-$AE96*(1+AZ$3))/$AJ96,'Технический лист'!$I:$J,2,1)-VLOOKUP($AO96,'Технический лист'!$I:$J,2,1)),1+(1-$AU96))</f>
        <v>1.0649999999999999</v>
      </c>
      <c r="BA96" s="15">
        <f>MIN(IF($AU96=100%,1,1+VLOOKUP(($AJ96-$AI96-$AH96-$AG96-$AF96-$AE96*(1+BA$3))/$AJ96,'Технический лист'!$I:$J,2,1)-VLOOKUP($AO96,'Технический лист'!$I:$J,2,1)),1+(1-$AU96))</f>
        <v>1.0649999999999999</v>
      </c>
      <c r="BB96" s="15">
        <f>MIN(IF($AU96=100%,1,1+VLOOKUP(($AJ96-$AI96-$AH96-$AG96-$AF96-$AE96*(1+BB$3))/$AJ96,'Технический лист'!$I:$J,2,1)-VLOOKUP($AO96,'Технический лист'!$I:$J,2,1)),1+(1-$AU96))</f>
        <v>1.0649999999999999</v>
      </c>
      <c r="BC96" s="15">
        <f>MIN(IF($AU96=100%,1,1+VLOOKUP(($AJ96-$AI96-$AH96-$AG96-$AF96-$AE96*(1+BC$3))/$AJ96,'Технический лист'!$I:$J,2,1)-VLOOKUP($AO96,'Технический лист'!$I:$J,2,1)),1+(1-$AU96))</f>
        <v>1.0649999999999999</v>
      </c>
      <c r="BD96" s="15">
        <f>MIN(IF($AU96=100%,1,1+VLOOKUP(($AJ96-$AI96-$AH96-$AG96-$AF96-$AE96*(1+BD$3))/$AJ96,'Технический лист'!$I:$J,2,1)-VLOOKUP($AO96,'Технический лист'!$I:$J,2,1)),1+(1-$AU96))</f>
        <v>1.0649999999999999</v>
      </c>
      <c r="BE96" s="15">
        <f>MIN(IF($AU96=100%,1,1+VLOOKUP(($AJ96-$AI96-$AH96-$AG96-$AF96-$AE96*(1+BE$3))/$AJ96,'Технический лист'!$I:$J,2,1)-VLOOKUP($AO96,'Технический лист'!$I:$J,2,1)),1+(1-$AU96))</f>
        <v>1.0649999999999999</v>
      </c>
      <c r="BF96" s="15">
        <f>MIN(IF($AU96=100%,1,1+VLOOKUP(($AJ96-$AI96-$AH96-$AG96-$AF96-$AE96*(1+BF$3))/$AJ96,'Технический лист'!$I:$J,2,1)-VLOOKUP($AO96,'Технический лист'!$I:$J,2,1)),1+(1-$AU96))</f>
        <v>1.0649999999999999</v>
      </c>
      <c r="BG96" s="15">
        <f>MIN(IF($AU96=100%,1,1+VLOOKUP(($AJ96-$AI96-$AH96-$AG96-$AF96-$AE96*(1+BG$3))/$AJ96,'Технический лист'!$I:$J,2,1)-VLOOKUP($AO96,'Технический лист'!$I:$J,2,1)),1+(1-$AU96))</f>
        <v>1.0649999999999999</v>
      </c>
      <c r="BH96" s="15">
        <f>MIN(IF($AU96=100%,1,1+VLOOKUP(($AJ96-$AI96-$AH96-$AG96-$AF96-$AE96*(1+BH$3))/$AJ96,'Технический лист'!$I:$J,2,1)-VLOOKUP($AO96,'Технический лист'!$I:$J,2,1)),1+(1-$AU96))</f>
        <v>1.0649999999999999</v>
      </c>
      <c r="BI96" s="15">
        <f>MIN(IF($AU96=100%,1,1+VLOOKUP(($AJ96-$AI96-$AH96-$AG96-$AF96-$AE96*(1+BI$3))/$AJ96,'Технический лист'!$I:$J,2,1)-VLOOKUP($AO96,'Технический лист'!$I:$J,2,1)),1+(1-$AU96))</f>
        <v>1.0649999999999999</v>
      </c>
      <c r="BJ96" s="15">
        <f>MIN(IF($AU96=100%,1,1+VLOOKUP(($AJ96-$AI96-$AH96-$AG96-$AF96-$AE96*(1+BJ$3))/$AJ96,'Технический лист'!$I:$J,2,1)-VLOOKUP($AO96,'Технический лист'!$I:$J,2,1)),1+(1-$AU96))</f>
        <v>1.0649999999999999</v>
      </c>
      <c r="BK96" s="15">
        <f>MIN(IF($AU96=100%,1,1+VLOOKUP(($AJ96-$AI96-$AH96-$AG96-$AF96-$AE96*(1+BK$3))/$AJ96,'Технический лист'!$I:$J,2,1)-VLOOKUP($AO96,'Технический лист'!$I:$J,2,1)),1+(1-$AU96))</f>
        <v>1.0649999999999999</v>
      </c>
      <c r="BL96" s="15">
        <f>MIN(IF($AU96=100%,1,1+VLOOKUP(($AJ96-$AI96-$AH96-$AG96-$AF96-$AE96*(1+BL$3))/$AJ96,'Технический лист'!$I:$J,2,1)-VLOOKUP($AO96,'Технический лист'!$I:$J,2,1)),1+(1-$AU96))</f>
        <v>1.0649999999999999</v>
      </c>
      <c r="BM96" s="15">
        <f>MIN(IF($AU96=100%,1,1+VLOOKUP(($AJ96-$AI96-$AH96-$AG96-$AF96-$AE96*(1+BM$3))/$AJ96,'Технический лист'!$I:$J,2,1)-VLOOKUP($AO96,'Технический лист'!$I:$J,2,1)),1+(1-$AU96))</f>
        <v>1.0649999999999999</v>
      </c>
      <c r="BN96" s="15">
        <f>MIN(IF($AU96=100%,1,1+VLOOKUP(($AJ96-$AI96-$AH96-$AG96-$AF96-$AE96*(1+BN$3))/$AJ96,'Технический лист'!$I:$J,2,1)-VLOOKUP($AO96,'Технический лист'!$I:$J,2,1)),1+(1-$AU96))</f>
        <v>1.0649999999999999</v>
      </c>
      <c r="BO96" s="15">
        <f>MIN(IF($AU96=100%,1,1+VLOOKUP(($AJ96-$AI96-$AH96-$AG96-$AF96-$AE96*(1+BO$3))/$AJ96,'Технический лист'!$I:$J,2,1)-VLOOKUP($AO96,'Технический лист'!$I:$J,2,1)),1+(1-$AU96))</f>
        <v>1.0649999999999999</v>
      </c>
      <c r="BP96" s="15">
        <f>MIN(IF($AU96=100%,1,1+VLOOKUP(($AJ96-$AI96-$AH96-$AG96-$AF96-$AE96*(1+BP$3))/$AJ96,'Технический лист'!$I:$J,2,1)-VLOOKUP($AO96,'Технический лист'!$I:$J,2,1)),1+(1-$AU96))</f>
        <v>1.0649999999999999</v>
      </c>
      <c r="BQ96" s="15">
        <f>MIN(IF($AU96=100%,1,1+VLOOKUP(($AJ96-$AI96-$AH96-$AG96-$AF96-$AE96*(1+BQ$3))/$AJ96,'Технический лист'!$I:$J,2,1)-VLOOKUP($AO96,'Технический лист'!$I:$J,2,1)),1+(1-$AU96))</f>
        <v>1.0649999999999999</v>
      </c>
      <c r="BR96" s="15">
        <f>MIN(IF($AU96=100%,1,1+VLOOKUP(($AJ96-$AI96-$AH96-$AG96-$AF96-$AE96*(1+BR$3))/$AJ96,'Технический лист'!$I:$J,2,1)-VLOOKUP($AO96,'Технический лист'!$I:$J,2,1)),1+(1-$AU96))</f>
        <v>1.0649999999999999</v>
      </c>
      <c r="BS96" s="15">
        <f>MIN(IF($AU96=100%,1,1+VLOOKUP(($AJ96-$AI96-$AH96-$AG96-$AF96-$AE96*(1+BS$3))/$AJ96,'Технический лист'!$I:$J,2,1)-VLOOKUP($AO96,'Технический лист'!$I:$J,2,1)),1+(1-$AU96))</f>
        <v>1.0649999999999999</v>
      </c>
      <c r="BT96" s="15">
        <f>MIN(IF($AU96=100%,1,1+VLOOKUP(($AJ96-$AI96-$AH96-$AG96-$AF96-$AE96*(1+BT$3))/$AJ96,'Технический лист'!$I:$J,2,1)-VLOOKUP($AO96,'Технический лист'!$I:$J,2,1)),1+(1-$AU96))</f>
        <v>1.0649999999999999</v>
      </c>
      <c r="BU96" s="15">
        <f>MIN(IF($AU96=100%,1,1+VLOOKUP(($AJ96-$AI96-$AH96-$AG96-$AF96-$AE96*(1+BU$3))/$AJ96,'Технический лист'!$I:$J,2,1)-VLOOKUP($AO96,'Технический лист'!$I:$J,2,1)),1+(1-$AU96))</f>
        <v>1.0449999999999999</v>
      </c>
      <c r="BV96" s="15">
        <f>MIN(IF($AU96=100%,1,1+VLOOKUP(($AJ96-$AI96-$AH96-$AG96-$AF96-$AE96*(1+BV$3))/$AJ96,'Технический лист'!$I:$J,2,1)-VLOOKUP($AO96,'Технический лист'!$I:$J,2,1)),1+(1-$AU96))</f>
        <v>1.0449999999999999</v>
      </c>
      <c r="BW96" s="15">
        <f>MIN(IF($AU96=100%,1,1+VLOOKUP(($AJ96-$AI96-$AH96-$AG96-$AF96-$AE96*(1+BW$3))/$AJ96,'Технический лист'!$I:$J,2,1)-VLOOKUP($AO96,'Технический лист'!$I:$J,2,1)),1+(1-$AU96))</f>
        <v>1.0449999999999999</v>
      </c>
      <c r="BX96" s="15">
        <f>MIN(IF($AU96=100%,1,1+VLOOKUP(($AJ96-$AI96-$AH96-$AG96-$AF96-$AE96*(1+BX$3))/$AJ96,'Технический лист'!$I:$J,2,1)-VLOOKUP($AO96,'Технический лист'!$I:$J,2,1)),1+(1-$AU96))</f>
        <v>1.0449999999999999</v>
      </c>
      <c r="BY96" s="15">
        <f>MIN(IF($AU96=100%,1,1+VLOOKUP(($AJ96-$AI96-$AH96-$AG96-$AF96-$AE96*(1+BY$3))/$AJ96,'Технический лист'!$I:$J,2,1)-VLOOKUP($AO96,'Технический лист'!$I:$J,2,1)),1+(1-$AU96))</f>
        <v>1.0449999999999999</v>
      </c>
      <c r="BZ96" s="15">
        <f>MIN(IF($AU96=100%,1,1+VLOOKUP(($AJ96-$AI96-$AH96-$AG96-$AF96-$AE96*(1+BZ$3))/$AJ96,'Технический лист'!$I:$J,2,1)-VLOOKUP($AO96,'Технический лист'!$I:$J,2,1)),1+(1-$AU96))</f>
        <v>1.0449999999999999</v>
      </c>
      <c r="CA96" s="15">
        <f>MIN(IF($AU96=100%,1,1+VLOOKUP(($AJ96-$AI96-$AH96-$AG96-$AF96-$AE96*(1+CA$3))/$AJ96,'Технический лист'!$I:$J,2,1)-VLOOKUP($AO96,'Технический лист'!$I:$J,2,1)),1+(1-$AU96))</f>
        <v>1.0449999999999999</v>
      </c>
      <c r="CB96" s="15">
        <f>MIN(IF($AU96=100%,1,1+VLOOKUP(($AJ96-$AI96-$AH96-$AG96-$AF96-$AE96*(1+CB$3))/$AJ96,'Технический лист'!$I:$J,2,1)-VLOOKUP($AO96,'Технический лист'!$I:$J,2,1)),1+(1-$AU96))</f>
        <v>1.0449999999999999</v>
      </c>
      <c r="CC96" s="15">
        <f>MIN(IF($AU96=100%,1,1+VLOOKUP(($AJ96-$AI96-$AH96-$AG96-$AF96-$AE96*(1+CC$3))/$AJ96,'Технический лист'!$I:$J,2,1)-VLOOKUP($AO96,'Технический лист'!$I:$J,2,1)),1+(1-$AU96))</f>
        <v>1.0449999999999999</v>
      </c>
      <c r="CD96" s="15">
        <f>MIN(IF($AU96=100%,1,1+VLOOKUP(($AJ96-$AI96-$AH96-$AG96-$AF96-$AE96*(1+CD$3))/$AJ96,'Технический лист'!$I:$J,2,1)-VLOOKUP($AO96,'Технический лист'!$I:$J,2,1)),1+(1-$AU96))</f>
        <v>1.0449999999999999</v>
      </c>
      <c r="CE96" s="15">
        <f>MIN(IF($AU96=100%,1,1+VLOOKUP(($AJ96-$AI96-$AH96-$AG96-$AF96-$AE96*(1+CE$3))/$AJ96,'Технический лист'!$I:$J,2,1)-VLOOKUP($AO96,'Технический лист'!$I:$J,2,1)),1+(1-$AU96))</f>
        <v>1.0449999999999999</v>
      </c>
      <c r="CF96" s="15">
        <f>MIN(IF($AU96=100%,1,1+VLOOKUP(($AJ96-$AI96-$AH96-$AG96-$AF96-$AE96*(1+CF$3))/$AJ96,'Технический лист'!$I:$J,2,1)-VLOOKUP($AO96,'Технический лист'!$I:$J,2,1)),1+(1-$AU96))</f>
        <v>1.0449999999999999</v>
      </c>
      <c r="CG96" s="15">
        <f>MIN(IF($AU96=100%,1,1+VLOOKUP(($AJ96-$AI96-$AH96-$AG96-$AF96-$AE96*(1+CG$3))/$AJ96,'Технический лист'!$I:$J,2,1)-VLOOKUP($AO96,'Технический лист'!$I:$J,2,1)),1+(1-$AU96))</f>
        <v>1.0449999999999999</v>
      </c>
      <c r="CH96" s="15">
        <f>MIN(IF($AU96=100%,1,1+VLOOKUP(($AJ96-$AI96-$AH96-$AG96-$AF96-$AE96*(1+CH$3))/$AJ96,'Технический лист'!$I:$J,2,1)-VLOOKUP($AO96,'Технический лист'!$I:$J,2,1)),1+(1-$AU96))</f>
        <v>1.0449999999999999</v>
      </c>
      <c r="CI96" s="15">
        <f>MIN(IF($AU96=100%,1,1+VLOOKUP(($AJ96-$AI96-$AH96-$AG96-$AF96-$AE96*(1+CI$3))/$AJ96,'Технический лист'!$I:$J,2,1)-VLOOKUP($AO96,'Технический лист'!$I:$J,2,1)),1+(1-$AU96))</f>
        <v>1.0449999999999999</v>
      </c>
      <c r="CJ96" s="15">
        <f>MIN(IF($AU96=100%,1,1+VLOOKUP(($AJ96-$AI96-$AH96-$AG96-$AF96-$AE96*(1+CJ$3))/$AJ96,'Технический лист'!$I:$J,2,1)-VLOOKUP($AO96,'Технический лист'!$I:$J,2,1)),1+(1-$AU96))</f>
        <v>1.0449999999999999</v>
      </c>
      <c r="CK96" s="15">
        <f>MIN(IF($AU96=100%,1,1+VLOOKUP(($AJ96-$AI96-$AH96-$AG96-$AF96-$AE96*(1+CK$3))/$AJ96,'Технический лист'!$I:$J,2,1)-VLOOKUP($AO96,'Технический лист'!$I:$J,2,1)),1+(1-$AU96))</f>
        <v>1.0449999999999999</v>
      </c>
      <c r="CL96" s="15">
        <f>MIN(IF($AU96=100%,1,1+VLOOKUP(($AJ96-$AI96-$AH96-$AG96-$AF96-$AE96*(1+CL$3))/$AJ96,'Технический лист'!$I:$J,2,1)-VLOOKUP($AO96,'Технический лист'!$I:$J,2,1)),1+(1-$AU96))</f>
        <v>1.0449999999999999</v>
      </c>
      <c r="CM96" s="15">
        <f>MIN(IF($AU96=100%,1,1+VLOOKUP(($AJ96-$AI96-$AH96-$AG96-$AF96-$AE96*(1+CM$3))/$AJ96,'Технический лист'!$I:$J,2,1)-VLOOKUP($AO96,'Технический лист'!$I:$J,2,1)),1+(1-$AU96))</f>
        <v>1.0449999999999999</v>
      </c>
      <c r="CN96" s="15">
        <f>MIN(IF($AU96=100%,1,1+VLOOKUP(($AJ96-$AI96-$AH96-$AG96-$AF96-$AE96*(1+CN$3))/$AJ96,'Технический лист'!$I:$J,2,1)-VLOOKUP($AO96,'Технический лист'!$I:$J,2,1)),1+(1-$AU96))</f>
        <v>1.0449999999999999</v>
      </c>
      <c r="CO96" s="15">
        <f>MIN(IF($AU96=100%,1,1+VLOOKUP(($AJ96-$AI96-$AH96-$AG96-$AF96-$AE96*(1+CO$3))/$AJ96,'Технический лист'!$I:$J,2,1)-VLOOKUP($AO96,'Технический лист'!$I:$J,2,1)),1+(1-$AU96))</f>
        <v>1.0449999999999999</v>
      </c>
      <c r="CP96" s="15">
        <f>MIN(IF($AU96=100%,1,1+VLOOKUP(($AJ96-$AI96-$AH96-$AG96-$AF96-$AE96*(1+CP$3))/$AJ96,'Технический лист'!$I:$J,2,1)-VLOOKUP($AO96,'Технический лист'!$I:$J,2,1)),1+(1-$AU96))</f>
        <v>1.0449999999999999</v>
      </c>
      <c r="CQ96" s="15">
        <f>MIN(IF($AU96=100%,1,1+VLOOKUP(($AJ96-$AI96-$AH96-$AG96-$AF96-$AE96*(1+CQ$3))/$AJ96,'Технический лист'!$I:$J,2,1)-VLOOKUP($AO96,'Технический лист'!$I:$J,2,1)),1+(1-$AU96))</f>
        <v>1.0449999999999999</v>
      </c>
      <c r="CR96" s="15">
        <f>MIN(IF($AU96=100%,1,1+VLOOKUP(($AJ96-$AI96-$AH96-$AG96-$AF96-$AE96*(1+CR$3))/$AJ96,'Технический лист'!$I:$J,2,1)-VLOOKUP($AO96,'Технический лист'!$I:$J,2,1)),1+(1-$AU96))</f>
        <v>1.0299999999999998</v>
      </c>
      <c r="CS96" s="15">
        <f>MIN(IF($AU96=100%,1,1+VLOOKUP(($AJ96-$AI96-$AH96-$AG96-$AF96-$AE96*(1+CS$3))/$AJ96,'Технический лист'!$I:$J,2,1)-VLOOKUP($AO96,'Технический лист'!$I:$J,2,1)),1+(1-$AU96))</f>
        <v>1.0299999999999998</v>
      </c>
      <c r="CT96" s="15">
        <f>MIN(IF($AU96=100%,1,1+VLOOKUP(($AJ96-$AI96-$AH96-$AG96-$AF96-$AE96*(1+CT$3))/$AJ96,'Технический лист'!$I:$J,2,1)-VLOOKUP($AO96,'Технический лист'!$I:$J,2,1)),1+(1-$AU96))</f>
        <v>1.0299999999999998</v>
      </c>
      <c r="CU96" s="15">
        <f>MIN(IF($AU96=100%,1,1+VLOOKUP(($AJ96-$AI96-$AH96-$AG96-$AF96-$AE96*(1+CU$3))/$AJ96,'Технический лист'!$I:$J,2,1)-VLOOKUP($AO96,'Технический лист'!$I:$J,2,1)),1+(1-$AU96))</f>
        <v>1.0299999999999998</v>
      </c>
      <c r="CV96" s="15">
        <f>MIN(IF($AU96=100%,1,1+VLOOKUP(($AJ96-$AI96-$AH96-$AG96-$AF96-$AE96*(1+CV$3))/$AJ96,'Технический лист'!$I:$J,2,1)-VLOOKUP($AO96,'Технический лист'!$I:$J,2,1)),1+(1-$AU96))</f>
        <v>1.0299999999999998</v>
      </c>
      <c r="CW96" s="15">
        <f>MIN(IF($AU96=100%,1,1+VLOOKUP(($AJ96-$AI96-$AH96-$AG96-$AF96-$AE96*(1+CW$3))/$AJ96,'Технический лист'!$I:$J,2,1)-VLOOKUP($AO96,'Технический лист'!$I:$J,2,1)),1+(1-$AU96))</f>
        <v>1.0299999999999998</v>
      </c>
      <c r="CX96" s="15">
        <f>MIN(IF($AU96=100%,1,1+VLOOKUP(($AJ96-$AI96-$AH96-$AG96-$AF96-$AE96*(1+CX$3))/$AJ96,'Технический лист'!$I:$J,2,1)-VLOOKUP($AO96,'Технический лист'!$I:$J,2,1)),1+(1-$AU96))</f>
        <v>1.0299999999999998</v>
      </c>
      <c r="CY96" s="15">
        <f>MIN(IF($AU96=100%,1,1+VLOOKUP(($AJ96-$AI96-$AH96-$AG96-$AF96-$AE96*(1+CY$3))/$AJ96,'Технический лист'!$I:$J,2,1)-VLOOKUP($AO96,'Технический лист'!$I:$J,2,1)),1+(1-$AU96))</f>
        <v>1.0299999999999998</v>
      </c>
      <c r="CZ96" s="15">
        <f>MIN(IF($AU96=100%,1,1+VLOOKUP(($AJ96-$AI96-$AH96-$AG96-$AF96-$AE96*(1+CZ$3))/$AJ96,'Технический лист'!$I:$J,2,1)-VLOOKUP($AO96,'Технический лист'!$I:$J,2,1)),1+(1-$AU96))</f>
        <v>1.0299999999999998</v>
      </c>
      <c r="DA96" s="15">
        <f>MIN(IF($AU96=100%,1,1+VLOOKUP(($AJ96-$AI96-$AH96-$AG96-$AF96-$AE96*(1+DA$3))/$AJ96,'Технический лист'!$I:$J,2,1)-VLOOKUP($AO96,'Технический лист'!$I:$J,2,1)),1+(1-$AU96))</f>
        <v>1.0299999999999998</v>
      </c>
      <c r="DB96" s="15">
        <f>MIN(IF($AU96=100%,1,1+VLOOKUP(($AJ96-$AI96-$AH96-$AG96-$AF96-$AE96*(1+DB$3))/$AJ96,'Технический лист'!$I:$J,2,1)-VLOOKUP($AO96,'Технический лист'!$I:$J,2,1)),1+(1-$AU96))</f>
        <v>1.0299999999999998</v>
      </c>
      <c r="DC96" s="15">
        <f>MIN(IF($AU96=100%,1,1+VLOOKUP(($AJ96-$AI96-$AH96-$AG96-$AF96-$AE96*(1+DC$3))/$AJ96,'Технический лист'!$I:$J,2,1)-VLOOKUP($AO96,'Технический лист'!$I:$J,2,1)),1+(1-$AU96))</f>
        <v>1.0299999999999998</v>
      </c>
      <c r="DD96" s="15">
        <f>MIN(IF($AU96=100%,1,1+VLOOKUP(($AJ96-$AI96-$AH96-$AG96-$AF96-$AE96*(1+DD$3))/$AJ96,'Технический лист'!$I:$J,2,1)-VLOOKUP($AO96,'Технический лист'!$I:$J,2,1)),1+(1-$AU96))</f>
        <v>1.0299999999999998</v>
      </c>
      <c r="DE96" s="15">
        <f>MIN(IF($AU96=100%,1,1+VLOOKUP(($AJ96-$AI96-$AH96-$AG96-$AF96-$AE96*(1+DE$3))/$AJ96,'Технический лист'!$I:$J,2,1)-VLOOKUP($AO96,'Технический лист'!$I:$J,2,1)),1+(1-$AU96))</f>
        <v>1.0299999999999998</v>
      </c>
      <c r="DF96" s="15">
        <f>MIN(IF($AU96=100%,1,1+VLOOKUP(($AJ96-$AI96-$AH96-$AG96-$AF96-$AE96*(1+DF$3))/$AJ96,'Технический лист'!$I:$J,2,1)-VLOOKUP($AO96,'Технический лист'!$I:$J,2,1)),1+(1-$AU96))</f>
        <v>1.0299999999999998</v>
      </c>
      <c r="DG96" s="15">
        <f>MIN(IF($AU96=100%,1,1+VLOOKUP(($AJ96-$AI96-$AH96-$AG96-$AF96-$AE96*(1+DG$3))/$AJ96,'Технический лист'!$I:$J,2,1)-VLOOKUP($AO96,'Технический лист'!$I:$J,2,1)),1+(1-$AU96))</f>
        <v>1.0299999999999998</v>
      </c>
      <c r="DH96" s="15">
        <f>MIN(IF($AU96=100%,1,1+VLOOKUP(($AJ96-$AI96-$AH96-$AG96-$AF96-$AE96*(1+DH$3))/$AJ96,'Технический лист'!$I:$J,2,1)-VLOOKUP($AO96,'Технический лист'!$I:$J,2,1)),1+(1-$AU96))</f>
        <v>1.0299999999999998</v>
      </c>
      <c r="DI96" s="15">
        <f>MIN(IF($AU96=100%,1,1+VLOOKUP(($AJ96-$AI96-$AH96-$AG96-$AF96-$AE96*(1+DI$3))/$AJ96,'Технический лист'!$I:$J,2,1)-VLOOKUP($AO96,'Технический лист'!$I:$J,2,1)),1+(1-$AU96))</f>
        <v>1.0299999999999998</v>
      </c>
      <c r="DJ96" s="15">
        <f>MIN(IF($AU96=100%,1,1+VLOOKUP(($AJ96-$AI96-$AH96-$AG96-$AF96-$AE96*(1+DJ$3))/$AJ96,'Технический лист'!$I:$J,2,1)-VLOOKUP($AO96,'Технический лист'!$I:$J,2,1)),1+(1-$AU96))</f>
        <v>1.0299999999999998</v>
      </c>
      <c r="DK96" s="15">
        <f>MIN(IF($AU96=100%,1,1+VLOOKUP(($AJ96-$AI96-$AH96-$AG96-$AF96-$AE96*(1+DK$3))/$AJ96,'Технический лист'!$I:$J,2,1)-VLOOKUP($AO96,'Технический лист'!$I:$J,2,1)),1+(1-$AU96))</f>
        <v>1.0299999999999998</v>
      </c>
      <c r="DL96" s="15">
        <f>MIN(IF($AU96=100%,1,1+VLOOKUP(($AJ96-$AI96-$AH96-$AG96-$AF96-$AE96*(1+DL$3))/$AJ96,'Технический лист'!$I:$J,2,1)-VLOOKUP($AO96,'Технический лист'!$I:$J,2,1)),1+(1-$AU96))</f>
        <v>1.0299999999999998</v>
      </c>
      <c r="DM96" s="15">
        <f>MIN(IF($AU96=100%,1,1+VLOOKUP(($AJ96-$AI96-$AH96-$AG96-$AF96-$AE96*(1+DM$3))/$AJ96,'Технический лист'!$I:$J,2,1)-VLOOKUP($AO96,'Технический лист'!$I:$J,2,1)),1+(1-$AU96))</f>
        <v>1.0299999999999998</v>
      </c>
      <c r="DN96" s="15">
        <f>MIN(IF($AU96=100%,1,1+VLOOKUP(($AJ96-$AI96-$AH96-$AG96-$AF96-$AE96*(1+DN$3))/$AJ96,'Технический лист'!$I:$J,2,1)-VLOOKUP($AO96,'Технический лист'!$I:$J,2,1)),1+(1-$AU96))</f>
        <v>1.0299999999999998</v>
      </c>
      <c r="DO96" s="15">
        <f>MIN(IF($AU96=100%,1,1+VLOOKUP(($AJ96-$AI96-$AH96-$AG96-$AF96-$AE96*(1+DO$3))/$AJ96,'Технический лист'!$I:$J,2,1)-VLOOKUP($AO96,'Технический лист'!$I:$J,2,1)),1+(1-$AU96))</f>
        <v>1.0150000000000001</v>
      </c>
      <c r="DP96" s="15">
        <f>MIN(IF($AU96=100%,1,1+VLOOKUP(($AJ96-$AI96-$AH96-$AG96-$AF96-$AE96*(1+DP$3))/$AJ96,'Технический лист'!$I:$J,2,1)-VLOOKUP($AO96,'Технический лист'!$I:$J,2,1)),1+(1-$AU96))</f>
        <v>1.0150000000000001</v>
      </c>
      <c r="DQ96" s="15">
        <f>MIN(IF($AU96=100%,1,1+VLOOKUP(($AJ96-$AI96-$AH96-$AG96-$AF96-$AE96*(1+DQ$3))/$AJ96,'Технический лист'!$I:$J,2,1)-VLOOKUP($AO96,'Технический лист'!$I:$J,2,1)),1+(1-$AU96))</f>
        <v>1.0150000000000001</v>
      </c>
      <c r="DR96" s="15">
        <f>MIN(IF($AU96=100%,1,1+VLOOKUP(($AJ96-$AI96-$AH96-$AG96-$AF96-$AE96*(1+DR$3))/$AJ96,'Технический лист'!$I:$J,2,1)-VLOOKUP($AO96,'Технический лист'!$I:$J,2,1)),1+(1-$AU96))</f>
        <v>1.0150000000000001</v>
      </c>
      <c r="DS96" s="15">
        <f>MIN(IF($AU96=100%,1,1+VLOOKUP(($AJ96-$AI96-$AH96-$AG96-$AF96-$AE96*(1+DS$3))/$AJ96,'Технический лист'!$I:$J,2,1)-VLOOKUP($AO96,'Технический лист'!$I:$J,2,1)),1+(1-$AU96))</f>
        <v>1.0150000000000001</v>
      </c>
      <c r="DT96" s="15">
        <f>MIN(IF($AU96=100%,1,1+VLOOKUP(($AJ96-$AI96-$AH96-$AG96-$AF96-$AE96*(1+DT$3))/$AJ96,'Технический лист'!$I:$J,2,1)-VLOOKUP($AO96,'Технический лист'!$I:$J,2,1)),1+(1-$AU96))</f>
        <v>1.0150000000000001</v>
      </c>
      <c r="DU96" s="15">
        <f>MIN(IF($AU96=100%,1,1+VLOOKUP(($AJ96-$AI96-$AH96-$AG96-$AF96-$AE96*(1+DU$3))/$AJ96,'Технический лист'!$I:$J,2,1)-VLOOKUP($AO96,'Технический лист'!$I:$J,2,1)),1+(1-$AU96))</f>
        <v>1.0150000000000001</v>
      </c>
      <c r="DV96" s="15">
        <f>MIN(IF($AU96=100%,1,1+VLOOKUP(($AJ96-$AI96-$AH96-$AG96-$AF96-$AE96*(1+DV$3))/$AJ96,'Технический лист'!$I:$J,2,1)-VLOOKUP($AO96,'Технический лист'!$I:$J,2,1)),1+(1-$AU96))</f>
        <v>1.0150000000000001</v>
      </c>
      <c r="DW96" s="15">
        <f>MIN(IF($AU96=100%,1,1+VLOOKUP(($AJ96-$AI96-$AH96-$AG96-$AF96-$AE96*(1+DW$3))/$AJ96,'Технический лист'!$I:$J,2,1)-VLOOKUP($AO96,'Технический лист'!$I:$J,2,1)),1+(1-$AU96))</f>
        <v>1.0150000000000001</v>
      </c>
      <c r="DX96" s="15">
        <f>MIN(IF($AU96=100%,1,1+VLOOKUP(($AJ96-$AI96-$AH96-$AG96-$AF96-$AE96*(1+DX$3))/$AJ96,'Технический лист'!$I:$J,2,1)-VLOOKUP($AO96,'Технический лист'!$I:$J,2,1)),1+(1-$AU96))</f>
        <v>1.0150000000000001</v>
      </c>
      <c r="DY96" s="15">
        <f>MIN(IF($AU96=100%,1,1+VLOOKUP(($AJ96-$AI96-$AH96-$AG96-$AF96-$AE96*(1+DY$3))/$AJ96,'Технический лист'!$I:$J,2,1)-VLOOKUP($AO96,'Технический лист'!$I:$J,2,1)),1+(1-$AU96))</f>
        <v>1.0150000000000001</v>
      </c>
      <c r="DZ96" s="15">
        <f>MIN(IF($AU96=100%,1,1+VLOOKUP(($AJ96-$AI96-$AH96-$AG96-$AF96-$AE96*(1+DZ$3))/$AJ96,'Технический лист'!$I:$J,2,1)-VLOOKUP($AO96,'Технический лист'!$I:$J,2,1)),1+(1-$AU96))</f>
        <v>1.0150000000000001</v>
      </c>
      <c r="EA96" s="15">
        <f>MIN(IF($AU96=100%,1,1+VLOOKUP(($AJ96-$AI96-$AH96-$AG96-$AF96-$AE96*(1+EA$3))/$AJ96,'Технический лист'!$I:$J,2,1)-VLOOKUP($AO96,'Технический лист'!$I:$J,2,1)),1+(1-$AU96))</f>
        <v>1.0150000000000001</v>
      </c>
      <c r="EB96" s="15">
        <f>MIN(IF($AU96=100%,1,1+VLOOKUP(($AJ96-$AI96-$AH96-$AG96-$AF96-$AE96*(1+EB$3))/$AJ96,'Технический лист'!$I:$J,2,1)-VLOOKUP($AO96,'Технический лист'!$I:$J,2,1)),1+(1-$AU96))</f>
        <v>1.0150000000000001</v>
      </c>
      <c r="EC96" s="15">
        <f>MIN(IF($AU96=100%,1,1+VLOOKUP(($AJ96-$AI96-$AH96-$AG96-$AF96-$AE96*(1+EC$3))/$AJ96,'Технический лист'!$I:$J,2,1)-VLOOKUP($AO96,'Технический лист'!$I:$J,2,1)),1+(1-$AU96))</f>
        <v>1.0150000000000001</v>
      </c>
      <c r="ED96" s="15">
        <f>MIN(IF($AU96=100%,1,1+VLOOKUP(($AJ96-$AI96-$AH96-$AG96-$AF96-$AE96*(1+ED$3))/$AJ96,'Технический лист'!$I:$J,2,1)-VLOOKUP($AO96,'Технический лист'!$I:$J,2,1)),1+(1-$AU96))</f>
        <v>1.0150000000000001</v>
      </c>
      <c r="EE96" s="15">
        <f>MIN(IF($AU96=100%,1,1+VLOOKUP(($AJ96-$AI96-$AH96-$AG96-$AF96-$AE96*(1+EE$3))/$AJ96,'Технический лист'!$I:$J,2,1)-VLOOKUP($AO96,'Технический лист'!$I:$J,2,1)),1+(1-$AU96))</f>
        <v>1.0150000000000001</v>
      </c>
      <c r="EF96" s="15">
        <f>MIN(IF($AU96=100%,1,1+VLOOKUP(($AJ96-$AI96-$AH96-$AG96-$AF96-$AE96*(1+EF$3))/$AJ96,'Технический лист'!$I:$J,2,1)-VLOOKUP($AO96,'Технический лист'!$I:$J,2,1)),1+(1-$AU96))</f>
        <v>1.0150000000000001</v>
      </c>
      <c r="EG96" s="15">
        <f>MIN(IF($AU96=100%,1,1+VLOOKUP(($AJ96-$AI96-$AH96-$AG96-$AF96-$AE96*(1+EG$3))/$AJ96,'Технический лист'!$I:$J,2,1)-VLOOKUP($AO96,'Технический лист'!$I:$J,2,1)),1+(1-$AU96))</f>
        <v>1.0150000000000001</v>
      </c>
      <c r="EH96" s="15">
        <f>MIN(IF($AU96=100%,1,1+VLOOKUP(($AJ96-$AI96-$AH96-$AG96-$AF96-$AE96*(1+EH$3))/$AJ96,'Технический лист'!$I:$J,2,1)-VLOOKUP($AO96,'Технический лист'!$I:$J,2,1)),1+(1-$AU96))</f>
        <v>1.0150000000000001</v>
      </c>
      <c r="EI96" s="15">
        <f>MIN(IF($AU96=100%,1,1+VLOOKUP(($AJ96-$AI96-$AH96-$AG96-$AF96-$AE96*(1+EI$3))/$AJ96,'Технический лист'!$I:$J,2,1)-VLOOKUP($AO96,'Технический лист'!$I:$J,2,1)),1+(1-$AU96))</f>
        <v>1.0150000000000001</v>
      </c>
      <c r="EJ96" s="15">
        <f>MIN(IF($AU96=100%,1,1+VLOOKUP(($AJ96-$AI96-$AH96-$AG96-$AF96-$AE96*(1+EJ$3))/$AJ96,'Технический лист'!$I:$J,2,1)-VLOOKUP($AO96,'Технический лист'!$I:$J,2,1)),1+(1-$AU96))</f>
        <v>1.0150000000000001</v>
      </c>
      <c r="EK96" s="15">
        <f>MIN(IF($AU96=100%,1,1+VLOOKUP(($AJ96-$AI96-$AH96-$AG96-$AF96-$AE96*(1+EK$3))/$AJ96,'Технический лист'!$I:$J,2,1)-VLOOKUP($AO96,'Технический лист'!$I:$J,2,1)),1+(1-$AU96))</f>
        <v>1.0150000000000001</v>
      </c>
      <c r="EL96" s="15">
        <f>MIN(IF($AU96=100%,1,1+VLOOKUP(($AJ96-$AI96-$AH96-$AG96-$AF96-$AE96*(1+EL$3))/$AJ96,'Технический лист'!$I:$J,2,1)-VLOOKUP($AO96,'Технический лист'!$I:$J,2,1)),1+(1-$AU96))</f>
        <v>1</v>
      </c>
      <c r="EM96" s="15">
        <f>MIN(IF($AU96=100%,1,1+VLOOKUP(($AJ96-$AI96-$AH96-$AG96-$AF96-$AE96*(1+EM$3))/$AJ96,'Технический лист'!$I:$J,2,1)-VLOOKUP($AO96,'Технический лист'!$I:$J,2,1)),1+(1-$AU96))</f>
        <v>1</v>
      </c>
      <c r="EN96" s="15">
        <f>MIN(IF($AU96=100%,1,1+VLOOKUP(($AJ96-$AI96-$AH96-$AG96-$AF96-$AE96*(1+EN$3))/$AJ96,'Технический лист'!$I:$J,2,1)-VLOOKUP($AO96,'Технический лист'!$I:$J,2,1)),1+(1-$AU96))</f>
        <v>1</v>
      </c>
      <c r="EO96" s="15">
        <f>MIN(IF($AU96=100%,1,1+VLOOKUP(($AJ96-$AI96-$AH96-$AG96-$AF96-$AE96*(1+EO$3))/$AJ96,'Технический лист'!$I:$J,2,1)-VLOOKUP($AO96,'Технический лист'!$I:$J,2,1)),1+(1-$AU96))</f>
        <v>1</v>
      </c>
      <c r="EP96" s="15">
        <f>MIN(IF($AU96=100%,1,1+VLOOKUP(($AJ96-$AI96-$AH96-$AG96-$AF96-$AE96*(1+EP$3))/$AJ96,'Технический лист'!$I:$J,2,1)-VLOOKUP($AO96,'Технический лист'!$I:$J,2,1)),1+(1-$AU96))</f>
        <v>1</v>
      </c>
      <c r="EQ96" s="15">
        <f>MIN(IF($AU96=100%,1,1+VLOOKUP(($AJ96-$AI96-$AH96-$AG96-$AF96-$AE96*(1+EQ$3))/$AJ96,'Технический лист'!$I:$J,2,1)-VLOOKUP($AO96,'Технический лист'!$I:$J,2,1)),1+(1-$AU96))</f>
        <v>1</v>
      </c>
      <c r="ER96" s="15">
        <f>MIN(IF($AU96=100%,1,1+VLOOKUP(($AJ96-$AI96-$AH96-$AG96-$AF96-$AE96*(1+ER$3))/$AJ96,'Технический лист'!$I:$J,2,1)-VLOOKUP($AO96,'Технический лист'!$I:$J,2,1)),1+(1-$AU96))</f>
        <v>1</v>
      </c>
      <c r="ES96" s="15">
        <f>MIN(IF($AU96=100%,1,1+VLOOKUP(($AJ96-$AI96-$AH96-$AG96-$AF96-$AE96*(1+ES$3))/$AJ96,'Технический лист'!$I:$J,2,1)-VLOOKUP($AO96,'Технический лист'!$I:$J,2,1)),1+(1-$AU96))</f>
        <v>1</v>
      </c>
      <c r="ET96" s="15">
        <f>MIN(IF($AU96=100%,1,1+VLOOKUP(($AJ96-$AI96-$AH96-$AG96-$AF96-$AE96*(1+ET$3))/$AJ96,'Технический лист'!$I:$J,2,1)-VLOOKUP($AO96,'Технический лист'!$I:$J,2,1)),1+(1-$AU96))</f>
        <v>1</v>
      </c>
      <c r="EU96" s="15">
        <f>MIN(IF($AU96=100%,1,1+VLOOKUP(($AJ96-$AI96-$AH96-$AG96-$AF96-$AE96*(1+EU$3))/$AJ96,'Технический лист'!$I:$J,2,1)-VLOOKUP($AO96,'Технический лист'!$I:$J,2,1)),1+(1-$AU96))</f>
        <v>1</v>
      </c>
      <c r="EV96" s="111">
        <v>1</v>
      </c>
      <c r="EW96" s="15">
        <f>MIN(1,MAX(VLOOKUP(($AJ96-$AI96-$AH96-$AG96-$AF96-$AE96*(1+EW$3))/$AJ96,'Технический лист'!$A:$B,2,1),(EV96-0.05)))</f>
        <v>1</v>
      </c>
      <c r="EX96" s="15">
        <f>MIN(1,MAX(VLOOKUP(($AJ96-$AI96-$AH96-$AG96-$AF96-$AE96*(1+EX$3))/$AJ96,'Технический лист'!$A:$B,2,1),(EW96-0.05)))</f>
        <v>1</v>
      </c>
      <c r="EY96" s="15">
        <f>MIN(1,MAX(VLOOKUP(($AJ96-$AI96-$AH96-$AG96-$AF96-$AE96*(1+EY$3))/$AJ96,'Технический лист'!$A:$B,2,1),(EX96-0.05)))</f>
        <v>1</v>
      </c>
      <c r="EZ96" s="15">
        <f>MIN(1,MAX(VLOOKUP(($AJ96-$AI96-$AH96-$AG96-$AF96-$AE96*(1+EZ$3))/$AJ96,'Технический лист'!$A:$B,2,1),(EY96-0.05)))</f>
        <v>1</v>
      </c>
      <c r="FA96" s="15">
        <f>MIN(1,MAX(VLOOKUP(($AJ96-$AI96-$AH96-$AG96-$AF96-$AE96*(1+FA$3))/$AJ96,'Технический лист'!$A:$B,2,1),(EZ96-0.05)))</f>
        <v>1</v>
      </c>
      <c r="FB96" s="15">
        <f>MIN(1,MAX(VLOOKUP(($AJ96-$AI96-$AH96-$AG96-$AF96-$AE96*(1+FB$3))/$AJ96,'Технический лист'!$A:$B,2,1),(FA96-0.05)))</f>
        <v>1</v>
      </c>
      <c r="FC96" s="15">
        <f>MIN(1,MAX(VLOOKUP(($AJ96-$AI96-$AH96-$AG96-$AF96-$AE96*(1+FC$3))/$AJ96,'Технический лист'!$A:$B,2,1),(FB96-0.05)))</f>
        <v>1</v>
      </c>
      <c r="FD96" s="15">
        <f>MIN(1,MAX(VLOOKUP(($AJ96-$AI96-$AH96-$AG96-$AF96-$AE96*(1+FD$3))/$AJ96,'Технический лист'!$A:$B,2,1),(FC96-0.05)))</f>
        <v>1</v>
      </c>
      <c r="FE96" s="15">
        <f>MIN(1,MAX(VLOOKUP(($AJ96-$AI96-$AH96-$AG96-$AF96-$AE96*(1+FE$3))/$AJ96,'Технический лист'!$A:$B,2,1),(FD96-0.05)))</f>
        <v>1</v>
      </c>
      <c r="FF96" s="15">
        <f>MIN(1,MAX(VLOOKUP(($AJ96-$AI96-$AH96-$AG96-$AF96-$AE96*(1+FF$3))/$AJ96,'Технический лист'!$A:$B,2,1),(FE96-0.05)))</f>
        <v>1</v>
      </c>
      <c r="FG96" s="15">
        <f>MIN(1,MAX(VLOOKUP(($AJ96-$AI96-$AH96-$AG96-$AF96-$AE96*(1+FG$3))/$AJ96,'Технический лист'!$A:$B,2,1),(FF96-0.05)))</f>
        <v>1</v>
      </c>
      <c r="FH96" s="15">
        <f>MIN(1,MAX(VLOOKUP(($AJ96-$AI96-$AH96-$AG96-$AF96-$AE96*(1+FH$3))/$AJ96,'Технический лист'!$A:$B,2,1),(FG96-0.05)))</f>
        <v>1</v>
      </c>
      <c r="FI96" s="15">
        <f>MIN(1,MAX(VLOOKUP(($AJ96-$AI96-$AH96-$AG96-$AF96-$AE96*(1+FI$3))/$AJ96,'Технический лист'!$A:$B,2,1),(FH96-0.05)))</f>
        <v>1</v>
      </c>
      <c r="FJ96" s="15">
        <f>MIN(1,MAX(VLOOKUP(($AJ96-$AI96-$AH96-$AG96-$AF96-$AE96*(1+FJ$3))/$AJ96,'Технический лист'!$A:$B,2,1),(FI96-0.05)))</f>
        <v>1</v>
      </c>
      <c r="FK96" s="15">
        <f>MIN(1,MAX(VLOOKUP(($AJ96-$AI96-$AH96-$AG96-$AF96-$AE96*(1+FK$3))/$AJ96,'Технический лист'!$A:$B,2,1),(FJ96-0.05)))</f>
        <v>1</v>
      </c>
      <c r="FL96" s="15">
        <f>MIN(1,MAX(VLOOKUP(($AJ96-$AI96-$AH96-$AG96-$AF96-$AE96*(1+FL$3))/$AJ96,'Технический лист'!$A:$B,2,1),(FK96-0.05)))</f>
        <v>1</v>
      </c>
      <c r="FM96" s="15">
        <f>MIN(1,MAX(VLOOKUP(($AJ96-$AI96-$AH96-$AG96-$AF96-$AE96*(1+FM$3))/$AJ96,'Технический лист'!$A:$B,2,1),(FL96-0.05)))</f>
        <v>1</v>
      </c>
      <c r="FN96" s="15">
        <f>MIN(1,MAX(VLOOKUP(($AJ96-$AI96-$AH96-$AG96-$AF96-$AE96*(1+FN$3))/$AJ96,'Технический лист'!$A:$B,2,1),(FM96-0.05)))</f>
        <v>1</v>
      </c>
      <c r="FO96" s="15">
        <f>MIN(1,MAX(VLOOKUP(($AJ96-$AI96-$AH96-$AG96-$AF96-$AE96*(1+FO$3))/$AJ96,'Технический лист'!$A:$B,2,1),(FN96-0.05)))</f>
        <v>1</v>
      </c>
      <c r="FP96" s="15">
        <f>MIN(1,MAX(VLOOKUP(($AJ96-$AI96-$AH96-$AG96-$AF96-$AE96*(1+FP$3))/$AJ96,'Технический лист'!$A:$B,2,1),(FO96-0.05)))</f>
        <v>1</v>
      </c>
      <c r="FQ96" s="15">
        <f>MIN(1,MAX(VLOOKUP(($AJ96-$AI96-$AH96-$AG96-$AF96-$AE96*(1+FQ$3))/$AJ96,'Технический лист'!$A:$B,2,1),(FP96-0.05)))</f>
        <v>1</v>
      </c>
      <c r="FR96" s="15">
        <f>MIN(1,MAX(VLOOKUP(($AJ96-$AI96-$AH96-$AG96-$AF96-$AE96*(1+FR$3))/$AJ96,'Технический лист'!$A:$B,2,1),(FQ96-0.05)))</f>
        <v>1</v>
      </c>
      <c r="FS96" s="15">
        <f>MIN(1,MAX(VLOOKUP(($AJ96-$AI96-$AH96-$AG96-$AF96-$AE96*(1+FS$3))/$AJ96,'Технический лист'!$A:$B,2,1),(FR96-0.05)))</f>
        <v>1</v>
      </c>
      <c r="FT96" s="15">
        <f>MIN(1,MAX(VLOOKUP(($AJ96-$AI96-$AH96-$AG96-$AF96-$AE96*(1+FT$3))/$AJ96,'Технический лист'!$A:$B,2,1),(FS96-0.05)))</f>
        <v>1</v>
      </c>
      <c r="FU96" s="15">
        <f>MIN(1,MAX(VLOOKUP(($AJ96-$AI96-$AH96-$AG96-$AF96-$AE96*(1+FU$3))/$AJ96,'Технический лист'!$A:$B,2,1),(FT96-0.05)))</f>
        <v>1</v>
      </c>
      <c r="FV96" s="15">
        <f>MIN(1,MAX(VLOOKUP(($AJ96-$AI96-$AH96-$AG96-$AF96-$AE96*(1+FV$3))/$AJ96,'Технический лист'!$A:$B,2,1),(FU96-0.05)))</f>
        <v>1</v>
      </c>
      <c r="FW96" s="15">
        <f>MIN(1,MAX(VLOOKUP(($AJ96-$AI96-$AH96-$AG96-$AF96-$AE96*(1+FW$3))/$AJ96,'Технический лист'!$A:$B,2,1),(FV96-0.05)))</f>
        <v>1</v>
      </c>
      <c r="FX96" s="15">
        <f>MIN(1,MAX(VLOOKUP(($AJ96-$AI96-$AH96-$AG96-$AF96-$AE96*(1+FX$3))/$AJ96,'Технический лист'!$A:$B,2,1),(FW96-0.05)))</f>
        <v>1</v>
      </c>
      <c r="FY96" s="15">
        <f>MIN(1,MAX(VLOOKUP(($AJ96-$AI96-$AH96-$AG96-$AF96-$AE96*(1+FY$3))/$AJ96,'Технический лист'!$A:$B,2,1),(FX96-0.05)))</f>
        <v>1</v>
      </c>
      <c r="FZ96" s="15">
        <f>MIN(1,MAX(VLOOKUP(($AJ96-$AI96-$AH96-$AG96-$AF96-$AE96*(1+FZ$3))/$AJ96,'Технический лист'!$A:$B,2,1),(FY96-0.05)))</f>
        <v>1</v>
      </c>
      <c r="GA96" s="15">
        <f>MIN(1,MAX(VLOOKUP(($AJ96-$AI96-$AH96-$AG96-$AF96-$AE96*(1+GA$3))/$AJ96,'Технический лист'!$A:$B,2,1),(FZ96-0.05)))</f>
        <v>1</v>
      </c>
      <c r="GB96" s="15">
        <f>MIN(1,MAX(VLOOKUP(($AJ96-$AI96-$AH96-$AG96-$AF96-$AE96*(1+GB$3))/$AJ96,'Технический лист'!$A:$B,2,1),(GA96-0.05)))</f>
        <v>1</v>
      </c>
      <c r="GC96" s="15">
        <f>MIN(1,MAX(VLOOKUP(($AJ96-$AI96-$AH96-$AG96-$AF96-$AE96*(1+GC$3))/$AJ96,'Технический лист'!$A:$B,2,1),(GB96-0.05)))</f>
        <v>1</v>
      </c>
      <c r="GD96" s="15">
        <f>MIN(1,MAX(VLOOKUP(($AJ96-$AI96-$AH96-$AG96-$AF96-$AE96*(1+GD$3))/$AJ96,'Технический лист'!$A:$B,2,1),(GC96-0.05)))</f>
        <v>1</v>
      </c>
      <c r="GE96" s="15">
        <f>MIN(1,MAX(VLOOKUP(($AJ96-$AI96-$AH96-$AG96-$AF96-$AE96*(1+GE$3))/$AJ96,'Технический лист'!$A:$B,2,1),(GD96-0.05)))</f>
        <v>1</v>
      </c>
      <c r="GF96" s="15">
        <f>MIN(1,MAX(VLOOKUP(($AJ96-$AI96-$AH96-$AG96-$AF96-$AE96*(1+GF$3))/$AJ96,'Технический лист'!$A:$B,2,1),(GE96-0.05)))</f>
        <v>1</v>
      </c>
      <c r="GG96" s="15">
        <f>MIN(1,MAX(VLOOKUP(($AJ96-$AI96-$AH96-$AG96-$AF96-$AE96*(1+GG$3))/$AJ96,'Технический лист'!$A:$B,2,1),(GF96-0.05)))</f>
        <v>1</v>
      </c>
      <c r="GH96" s="15">
        <f>MIN(1,MAX(VLOOKUP(($AJ96-$AI96-$AH96-$AG96-$AF96-$AE96*(1+GH$3))/$AJ96,'Технический лист'!$A:$B,2,1),(GG96-0.05)))</f>
        <v>1</v>
      </c>
      <c r="GI96" s="15">
        <f>MIN(1,MAX(VLOOKUP(($AJ96-$AI96-$AH96-$AG96-$AF96-$AE96*(1+GI$3))/$AJ96,'Технический лист'!$A:$B,2,1),(GH96-0.05)))</f>
        <v>1</v>
      </c>
      <c r="GJ96" s="15">
        <f>MIN(1,MAX(VLOOKUP(($AJ96-$AI96-$AH96-$AG96-$AF96-$AE96*(1+GJ$3))/$AJ96,'Технический лист'!$A:$B,2,1),(GI96-0.05)))</f>
        <v>1</v>
      </c>
      <c r="GK96" s="15">
        <f>MIN(1,MAX(VLOOKUP(($AJ96-$AI96-$AH96-$AG96-$AF96-$AE96*(1+GK$3))/$AJ96,'Технический лист'!$A:$B,2,1),(GJ96-0.05)))</f>
        <v>1</v>
      </c>
      <c r="GL96" s="15">
        <f>MIN(1,MAX(VLOOKUP(($AJ96-$AI96-$AH96-$AG96-$AF96-$AE96*(1+GL$3))/$AJ96,'Технический лист'!$A:$B,2,1),(GK96-0.05)))</f>
        <v>1</v>
      </c>
      <c r="GM96" s="15">
        <f>MIN(1,MAX(VLOOKUP(($AJ96-$AI96-$AH96-$AG96-$AF96-$AE96*(1+GM$3))/$AJ96,'Технический лист'!$A:$B,2,1),(GL96-0.05)))</f>
        <v>1</v>
      </c>
      <c r="GN96" s="15">
        <f>MIN(1,MAX(VLOOKUP(($AJ96-$AI96-$AH96-$AG96-$AF96-$AE96*(1+GN$3))/$AJ96,'Технический лист'!$A:$B,2,1),(GM96-0.05)))</f>
        <v>1</v>
      </c>
      <c r="GO96" s="15">
        <f>MIN(1,MAX(VLOOKUP(($AJ96-$AI96-$AH96-$AG96-$AF96-$AE96*(1+GO$3))/$AJ96,'Технический лист'!$A:$B,2,1),(GN96-0.05)))</f>
        <v>1</v>
      </c>
      <c r="GP96" s="15">
        <f>MIN(1,MAX(VLOOKUP(($AJ96-$AI96-$AH96-$AG96-$AF96-$AE96*(1+GP$3))/$AJ96,'Технический лист'!$A:$B,2,1),(GO96-0.05)))</f>
        <v>1</v>
      </c>
      <c r="GQ96" s="15">
        <f>MIN(1,MAX(VLOOKUP(($AJ96-$AI96-$AH96-$AG96-$AF96-$AE96*(1+GQ$3))/$AJ96,'Технический лист'!$A:$B,2,1),(GP96-0.05)))</f>
        <v>1</v>
      </c>
      <c r="GR96" s="15">
        <f>MIN(1,MAX(VLOOKUP(($AJ96-$AI96-$AH96-$AG96-$AF96-$AE96*(1+GR$3))/$AJ96,'Технический лист'!$A:$B,2,1),(GQ96-0.05)))</f>
        <v>1</v>
      </c>
      <c r="GS96" s="15">
        <f>MIN(1,MAX(VLOOKUP(($AJ96-$AI96-$AH96-$AG96-$AF96-$AE96*(1+GS$3))/$AJ96,'Технический лист'!$A:$B,2,1),(GR96-0.05)))</f>
        <v>1</v>
      </c>
      <c r="GT96" s="15">
        <f>MIN(1,MAX(VLOOKUP(($AJ96-$AI96-$AH96-$AG96-$AF96-$AE96*(1+GT$3))/$AJ96,'Технический лист'!$A:$B,2,1),(GS96-0.05)))</f>
        <v>1</v>
      </c>
      <c r="GU96" s="15">
        <f>MIN(1,MAX(VLOOKUP(($AJ96-$AI96-$AH96-$AG96-$AF96-$AE96*(1+GU$3))/$AJ96,'Технический лист'!$A:$B,2,1),(GT96-0.05)))</f>
        <v>1</v>
      </c>
      <c r="GV96" s="15">
        <f>MIN(1,MAX(VLOOKUP(($AJ96-$AI96-$AH96-$AG96-$AF96-$AE96*(1+GV$3))/$AJ96,'Технический лист'!$A:$B,2,1),(GU96-0.05)))</f>
        <v>1</v>
      </c>
      <c r="GW96" s="15">
        <f>MIN(1,MAX(VLOOKUP(($AJ96-$AI96-$AH96-$AG96-$AF96-$AE96*(1+GW$3))/$AJ96,'Технический лист'!$A:$B,2,1),(GV96-0.05)))</f>
        <v>1</v>
      </c>
      <c r="GX96" s="15">
        <f>MIN(1,MAX(VLOOKUP(($AJ96-$AI96-$AH96-$AG96-$AF96-$AE96*(1+GX$3))/$AJ96,'Технический лист'!$A:$B,2,1),(GW96-0.05)))</f>
        <v>1</v>
      </c>
      <c r="GY96" s="15">
        <f>MIN(1,MAX(VLOOKUP(($AJ96-$AI96-$AH96-$AG96-$AF96-$AE96*(1+GY$3))/$AJ96,'Технический лист'!$A:$B,2,1),(GX96-0.05)))</f>
        <v>1</v>
      </c>
      <c r="GZ96" s="15">
        <f>MIN(1,MAX(VLOOKUP(($AJ96-$AI96-$AH96-$AG96-$AF96-$AE96*(1+GZ$3))/$AJ96,'Технический лист'!$A:$B,2,1),(GY96-0.05)))</f>
        <v>1</v>
      </c>
      <c r="HA96" s="15">
        <f>MIN(1,MAX(VLOOKUP(($AJ96-$AI96-$AH96-$AG96-$AF96-$AE96*(1+HA$3))/$AJ96,'Технический лист'!$A:$B,2,1),(GZ96-0.05)))</f>
        <v>1</v>
      </c>
      <c r="HB96" s="15">
        <f>MIN(1,MAX(VLOOKUP(($AJ96-$AI96-$AH96-$AG96-$AF96-$AE96*(1+HB$3))/$AJ96,'Технический лист'!$A:$B,2,1),(HA96-0.05)))</f>
        <v>1</v>
      </c>
      <c r="HC96" s="15">
        <f>MIN(1,MAX(VLOOKUP(($AJ96-$AI96-$AH96-$AG96-$AF96-$AE96*(1+HC$3))/$AJ96,'Технический лист'!$A:$B,2,1),(HB96-0.05)))</f>
        <v>1</v>
      </c>
      <c r="HD96" s="15">
        <f>MIN(1,MAX(VLOOKUP(($AJ96-$AI96-$AH96-$AG96-$AF96-$AE96*(1+HD$3))/$AJ96,'Технический лист'!$A:$B,2,1),(HC96-0.05)))</f>
        <v>1</v>
      </c>
      <c r="HE96" s="15">
        <f>MIN(1,MAX(VLOOKUP(($AJ96-$AI96-$AH96-$AG96-$AF96-$AE96*(1+HE$3))/$AJ96,'Технический лист'!$A:$B,2,1),(HD96-0.05)))</f>
        <v>1</v>
      </c>
      <c r="HF96" s="15">
        <f>MIN(1,MAX(VLOOKUP(($AJ96-$AI96-$AH96-$AG96-$AF96-$AE96*(1+HF$3))/$AJ96,'Технический лист'!$A:$B,2,1),(HE96-0.05)))</f>
        <v>1</v>
      </c>
      <c r="HG96" s="15">
        <f>MIN(1,MAX(VLOOKUP(($AJ96-$AI96-$AH96-$AG96-$AF96-$AE96*(1+HG$3))/$AJ96,'Технический лист'!$A:$B,2,1),(HF96-0.05)))</f>
        <v>1</v>
      </c>
      <c r="HH96" s="15">
        <f>MIN(1,MAX(VLOOKUP(($AJ96-$AI96-$AH96-$AG96-$AF96-$AE96*(1+HH$3))/$AJ96,'Технический лист'!$A:$B,2,1),(HG96-0.05)))</f>
        <v>1</v>
      </c>
      <c r="HI96" s="15">
        <f>MIN(1,MAX(VLOOKUP(($AJ96-$AI96-$AH96-$AG96-$AF96-$AE96*(1+HI$3))/$AJ96,'Технический лист'!$A:$B,2,1),(HH96-0.05)))</f>
        <v>1</v>
      </c>
      <c r="HJ96" s="15">
        <f>MIN(1,MAX(VLOOKUP(($AJ96-$AI96-$AH96-$AG96-$AF96-$AE96*(1+HJ$3))/$AJ96,'Технический лист'!$A:$B,2,1),(HI96-0.05)))</f>
        <v>1</v>
      </c>
      <c r="HK96" s="15">
        <f>MIN(1,MAX(VLOOKUP(($AJ96-$AI96-$AH96-$AG96-$AF96-$AE96*(1+HK$3))/$AJ96,'Технический лист'!$A:$B,2,1),(HJ96-0.05)))</f>
        <v>1</v>
      </c>
      <c r="HL96" s="15">
        <f>MIN(1,MAX(VLOOKUP(($AJ96-$AI96-$AH96-$AG96-$AF96-$AE96*(1+HL$3))/$AJ96,'Технический лист'!$A:$B,2,1),(HK96-0.05)))</f>
        <v>1</v>
      </c>
      <c r="HM96" s="15">
        <f>MIN(1,MAX(VLOOKUP(($AJ96-$AI96-$AH96-$AG96-$AF96-$AE96*(1+HM$3))/$AJ96,'Технический лист'!$A:$B,2,1),(HL96-0.05)))</f>
        <v>1</v>
      </c>
      <c r="HN96" s="15">
        <f>MIN(1,MAX(VLOOKUP(($AJ96-$AI96-$AH96-$AG96-$AF96-$AE96*(1+HN$3))/$AJ96,'Технический лист'!$A:$B,2,1),(HM96-0.05)))</f>
        <v>1</v>
      </c>
      <c r="HO96" s="15">
        <f>MIN(1,MAX(VLOOKUP(($AJ96-$AI96-$AH96-$AG96-$AF96-$AE96*(1+HO$3))/$AJ96,'Технический лист'!$A:$B,2,1),(HN96-0.05)))</f>
        <v>1</v>
      </c>
      <c r="HP96" s="15">
        <f>MIN(1,MAX(VLOOKUP(($AJ96-$AI96-$AH96-$AG96-$AF96-$AE96*(1+HP$3))/$AJ96,'Технический лист'!$A:$B,2,1),(HO96-0.05)))</f>
        <v>1</v>
      </c>
      <c r="HQ96" s="15">
        <f>MIN(1,MAX(VLOOKUP(($AJ96-$AI96-$AH96-$AG96-$AF96-$AE96*(1+HQ$3))/$AJ96,'Технический лист'!$A:$B,2,1),(HP96-0.05)))</f>
        <v>1</v>
      </c>
      <c r="HR96" s="15">
        <f>MIN(1,MAX(VLOOKUP(($AJ96-$AI96-$AH96-$AG96-$AF96-$AE96*(1+HR$3))/$AJ96,'Технический лист'!$A:$B,2,1),(HQ96-0.05)))</f>
        <v>1</v>
      </c>
      <c r="HS96" s="15">
        <f>MIN(1,MAX(VLOOKUP(($AJ96-$AI96-$AH96-$AG96-$AF96-$AE96*(1+HS$3))/$AJ96,'Технический лист'!$A:$B,2,1),(HR96-0.05)))</f>
        <v>1</v>
      </c>
      <c r="HT96" s="15">
        <f>MIN(1,MAX(VLOOKUP(($AJ96-$AI96-$AH96-$AG96-$AF96-$AE96*(1+HT$3))/$AJ96,'Технический лист'!$A:$B,2,1),(HS96-0.05)))</f>
        <v>1</v>
      </c>
      <c r="HU96" s="15">
        <f>MIN(1,MAX(VLOOKUP(($AJ96-$AI96-$AH96-$AG96-$AF96-$AE96*(1+HU$3))/$AJ96,'Технический лист'!$A:$B,2,1),(HT96-0.05)))</f>
        <v>1</v>
      </c>
      <c r="HV96" s="15">
        <f>MIN(1,MAX(VLOOKUP(($AJ96-$AI96-$AH96-$AG96-$AF96-$AE96*(1+HV$3))/$AJ96,'Технический лист'!$A:$B,2,1),(HU96-0.05)))</f>
        <v>1</v>
      </c>
      <c r="HW96" s="15">
        <f>MIN(1,MAX(VLOOKUP(($AJ96-$AI96-$AH96-$AG96-$AF96-$AE96*(1+HW$3))/$AJ96,'Технический лист'!$A:$B,2,1),(HV96-0.05)))</f>
        <v>1</v>
      </c>
      <c r="HX96" s="15">
        <f>MIN(1,MAX(VLOOKUP(($AJ96-$AI96-$AH96-$AG96-$AF96-$AE96*(1+HX$3))/$AJ96,'Технический лист'!$A:$B,2,1),(HW96-0.05)))</f>
        <v>1</v>
      </c>
      <c r="HY96" s="15">
        <f>MIN(1,MAX(VLOOKUP(($AJ96-$AI96-$AH96-$AG96-$AF96-$AE96*(1+HY$3))/$AJ96,'Технический лист'!$A:$B,2,1),(HX96-0.05)))</f>
        <v>1</v>
      </c>
      <c r="HZ96" s="15">
        <f>MIN(1,MAX(VLOOKUP(($AJ96-$AI96-$AH96-$AG96-$AF96-$AE96*(1+HZ$3))/$AJ96,'Технический лист'!$A:$B,2,1),(HY96-0.05)))</f>
        <v>1</v>
      </c>
      <c r="IA96" s="15">
        <f>MIN(1,MAX(VLOOKUP(($AJ96-$AI96-$AH96-$AG96-$AF96-$AE96*(1+IA$3))/$AJ96,'Технический лист'!$A:$B,2,1),(HZ96-0.05)))</f>
        <v>1</v>
      </c>
      <c r="IB96" s="15">
        <f>MIN(1,MAX(VLOOKUP(($AJ96-$AI96-$AH96-$AG96-$AF96-$AE96*(1+IB$3))/$AJ96,'Технический лист'!$A:$B,2,1),(IA96-0.05)))</f>
        <v>1</v>
      </c>
      <c r="IC96" s="15">
        <f>MIN(1,MAX(VLOOKUP(($AJ96-$AI96-$AH96-$AG96-$AF96-$AE96*(1+IC$3))/$AJ96,'Технический лист'!$A:$B,2,1),(IB96-0.05)))</f>
        <v>1</v>
      </c>
      <c r="ID96" s="15">
        <f>MIN(1,MAX(VLOOKUP(($AJ96-$AI96-$AH96-$AG96-$AF96-$AE96*(1+ID$3))/$AJ96,'Технический лист'!$A:$B,2,1),(IC96-0.05)))</f>
        <v>1</v>
      </c>
      <c r="IE96" s="15">
        <f>MIN(1,MAX(VLOOKUP(($AJ96-$AI96-$AH96-$AG96-$AF96-$AE96*(1+IE$3))/$AJ96,'Технический лист'!$A:$B,2,1),(ID96-0.05)))</f>
        <v>1</v>
      </c>
      <c r="IF96" s="15">
        <f>MIN(1,MAX(VLOOKUP(($AJ96-$AI96-$AH96-$AG96-$AF96-$AE96*(1+IF$3))/$AJ96,'Технический лист'!$A:$B,2,1),(IE96-0.05)))</f>
        <v>1</v>
      </c>
      <c r="IG96" s="15">
        <f>MIN(1,MAX(VLOOKUP(($AJ96-$AI96-$AH96-$AG96-$AF96-$AE96*(1+IG$3))/$AJ96,'Технический лист'!$A:$B,2,1),(IF96-0.05)))</f>
        <v>1</v>
      </c>
      <c r="IH96" s="15">
        <f>MIN(1,MAX(VLOOKUP(($AJ96-$AI96-$AH96-$AG96-$AF96-$AE96*(1+IH$3))/$AJ96,'Технический лист'!$A:$B,2,1),(IG96-0.05)))</f>
        <v>1</v>
      </c>
      <c r="II96" s="15">
        <f>MIN(1,MAX(VLOOKUP(($AJ96-$AI96-$AH96-$AG96-$AF96-$AE96*(1+II$3))/$AJ96,'Технический лист'!$A:$B,2,1),(IH96-0.05)))</f>
        <v>1</v>
      </c>
      <c r="IJ96" s="15">
        <f>MIN(1,MAX(VLOOKUP(($AJ96-$AI96-$AH96-$AG96-$AF96-$AE96*(1+IJ$3))/$AJ96,'Технический лист'!$A:$B,2,1),(II96-0.05)))</f>
        <v>1</v>
      </c>
      <c r="IK96" s="15">
        <f>MIN(1,MAX(VLOOKUP(($AJ96-$AI96-$AH96-$AG96-$AF96-$AE96*(1+IK$3))/$AJ96,'Технический лист'!$A:$B,2,1),(IJ96-0.05)))</f>
        <v>1</v>
      </c>
      <c r="IL96" s="15">
        <f>MIN(1,MAX(VLOOKUP(($AJ96-$AI96-$AH96-$AG96-$AF96-$AE96*(1+IL$3))/$AJ96,'Технический лист'!$A:$B,2,1),(IK96-0.05)))</f>
        <v>1</v>
      </c>
      <c r="IM96" s="15">
        <f>MIN(1,MAX(VLOOKUP(($AJ96-$AI96-$AH96-$AG96-$AF96-$AE96*(1+IM$3))/$AJ96,'Технический лист'!$A:$B,2,1),(IL96-0.05)))</f>
        <v>1</v>
      </c>
      <c r="IN96" s="15">
        <f>MIN(1,MAX(VLOOKUP(($AJ96-$AI96-$AH96-$AG96-$AF96-$AE96*(1+IN$3))/$AJ96,'Технический лист'!$A:$B,2,1),(IM96-0.05)))</f>
        <v>1</v>
      </c>
      <c r="IO96" s="15">
        <f>MIN(1,MAX(VLOOKUP(($AJ96-$AI96-$AH96-$AG96-$AF96-$AE96*(1+IO$3))/$AJ96,'Технический лист'!$A:$B,2,1),(IN96-0.05)))</f>
        <v>1</v>
      </c>
      <c r="IP96" s="15">
        <f>MIN(1,MAX(VLOOKUP(($AJ96-$AI96-$AH96-$AG96-$AF96-$AE96*(1+IP$3))/$AJ96,'Технический лист'!$A:$B,2,1),(IO96-0.05)))</f>
        <v>1</v>
      </c>
      <c r="IQ96" s="15">
        <f>MIN(1,MAX(VLOOKUP(($AJ96-$AI96-$AH96-$AG96-$AF96-$AE96*(1+IQ$3))/$AJ96,'Технический лист'!$A:$B,2,1),(IP96-0.05)))</f>
        <v>1</v>
      </c>
      <c r="IR96" s="15">
        <f>MIN(1,MAX(VLOOKUP(($AJ96-$AI96-$AH96-$AG96-$AF96-$AE96*(1+IR$3))/$AJ96,'Технический лист'!$A:$B,2,1),(IQ96-0.05)))</f>
        <v>1</v>
      </c>
    </row>
    <row r="97" spans="1:252" ht="29.15">
      <c r="A97" s="89" t="s">
        <v>515</v>
      </c>
      <c r="B97" s="90">
        <v>5</v>
      </c>
      <c r="C97" s="5" t="s">
        <v>68</v>
      </c>
      <c r="D97" s="91">
        <v>31106</v>
      </c>
      <c r="E97" s="91" t="s">
        <v>348</v>
      </c>
      <c r="F97" s="92" t="s">
        <v>79</v>
      </c>
      <c r="G97" s="91" t="s">
        <v>26</v>
      </c>
      <c r="H97" s="91" t="s">
        <v>16</v>
      </c>
      <c r="I97" s="91" t="s">
        <v>92</v>
      </c>
      <c r="J97" s="91" t="s">
        <v>169</v>
      </c>
      <c r="K97" s="91">
        <v>9468</v>
      </c>
      <c r="L97" s="85" t="s">
        <v>64</v>
      </c>
      <c r="M97" s="91" t="s">
        <v>17</v>
      </c>
      <c r="N97" s="91" t="s">
        <v>191</v>
      </c>
      <c r="O97" s="91" t="s">
        <v>194</v>
      </c>
      <c r="P97" s="89" t="s">
        <v>201</v>
      </c>
      <c r="Q97" s="91" t="s">
        <v>271</v>
      </c>
      <c r="R97" s="91" t="s">
        <v>253</v>
      </c>
      <c r="S97" s="82">
        <v>26874</v>
      </c>
      <c r="T97" s="82">
        <v>254444155</v>
      </c>
      <c r="U97" s="81">
        <v>384</v>
      </c>
      <c r="V97" s="81">
        <v>0</v>
      </c>
      <c r="W97" s="82">
        <v>98057223</v>
      </c>
      <c r="X97" s="112">
        <v>69</v>
      </c>
      <c r="Y97" s="112" t="s">
        <v>418</v>
      </c>
      <c r="Z97" s="113">
        <v>19</v>
      </c>
      <c r="AA97" s="113">
        <v>19</v>
      </c>
      <c r="AB97" s="113">
        <v>4</v>
      </c>
      <c r="AC97" s="99">
        <v>4256</v>
      </c>
      <c r="AD97" s="99">
        <f>AE97-AC97</f>
        <v>1744.5200000000004</v>
      </c>
      <c r="AE97" s="99">
        <v>6000.52</v>
      </c>
      <c r="AF97" s="98">
        <f>(Z97+AA97+AB97)*'Ставки аренды'!$B$3/X97</f>
        <v>426.08695652173913</v>
      </c>
      <c r="AG97" s="114">
        <f>'Ставки перевалки'!$B$8*'Курсы валют'!$B$2</f>
        <v>1449.8045</v>
      </c>
      <c r="AH97" s="94">
        <v>0</v>
      </c>
      <c r="AI97" s="115">
        <f>131496272/143742760*AJ97</f>
        <v>24780.590813750063</v>
      </c>
      <c r="AJ97" s="117">
        <f>Цены!C37*'Курсы валют'!B2</f>
        <v>27088.452499999999</v>
      </c>
      <c r="AK97" s="94">
        <f>AJ97/Цены!$B$1</f>
        <v>355</v>
      </c>
      <c r="AL97" s="95">
        <f t="shared" si="24"/>
        <v>7876.4114565217396</v>
      </c>
      <c r="AM97" s="95">
        <f t="shared" si="25"/>
        <v>19212.041043478261</v>
      </c>
      <c r="AN97" s="94">
        <f t="shared" si="22"/>
        <v>32657.002270271802</v>
      </c>
      <c r="AO97" s="118">
        <f t="shared" si="23"/>
        <v>-0.20556913578846198</v>
      </c>
      <c r="AP97" s="96">
        <f t="shared" si="26"/>
        <v>0.29076638676652866</v>
      </c>
      <c r="AQ97" s="96">
        <f t="shared" si="27"/>
        <v>0.22151579164590524</v>
      </c>
      <c r="AR97" s="96">
        <f t="shared" si="28"/>
        <v>0.76183424813739453</v>
      </c>
      <c r="AS97" s="122">
        <v>1</v>
      </c>
      <c r="AT97" s="121">
        <f t="shared" si="29"/>
        <v>26874</v>
      </c>
      <c r="AU97" s="83">
        <v>0.98</v>
      </c>
      <c r="AV97" s="119">
        <f t="shared" si="30"/>
        <v>-0.23215103078597055</v>
      </c>
      <c r="AW97" s="120">
        <f t="shared" si="31"/>
        <v>0.31734828176403729</v>
      </c>
      <c r="AX97" s="120">
        <f t="shared" si="32"/>
        <v>0.24809768664341389</v>
      </c>
      <c r="AY97" s="120">
        <f t="shared" si="33"/>
        <v>0.78178361409212127</v>
      </c>
      <c r="AZ97" s="15">
        <f>MIN(IF($AU97=100%,1,1+VLOOKUP(($AJ97-$AI97-$AH97-$AG97-$AF97-$AE97*(1+AZ$3))/$AJ97,'Технический лист'!$I:$J,2,1)-VLOOKUP($AO97,'Технический лист'!$I:$J,2,1)),1+(1-$AU97))</f>
        <v>1.02</v>
      </c>
      <c r="BA97" s="15">
        <f>MIN(IF($AU97=100%,1,1+VLOOKUP(($AJ97-$AI97-$AH97-$AG97-$AF97-$AE97*(1+BA$3))/$AJ97,'Технический лист'!$I:$J,2,1)-VLOOKUP($AO97,'Технический лист'!$I:$J,2,1)),1+(1-$AU97))</f>
        <v>1.02</v>
      </c>
      <c r="BB97" s="15">
        <f>MIN(IF($AU97=100%,1,1+VLOOKUP(($AJ97-$AI97-$AH97-$AG97-$AF97-$AE97*(1+BB$3))/$AJ97,'Технический лист'!$I:$J,2,1)-VLOOKUP($AO97,'Технический лист'!$I:$J,2,1)),1+(1-$AU97))</f>
        <v>1.02</v>
      </c>
      <c r="BC97" s="15">
        <f>MIN(IF($AU97=100%,1,1+VLOOKUP(($AJ97-$AI97-$AH97-$AG97-$AF97-$AE97*(1+BC$3))/$AJ97,'Технический лист'!$I:$J,2,1)-VLOOKUP($AO97,'Технический лист'!$I:$J,2,1)),1+(1-$AU97))</f>
        <v>1.02</v>
      </c>
      <c r="BD97" s="15">
        <f>MIN(IF($AU97=100%,1,1+VLOOKUP(($AJ97-$AI97-$AH97-$AG97-$AF97-$AE97*(1+BD$3))/$AJ97,'Технический лист'!$I:$J,2,1)-VLOOKUP($AO97,'Технический лист'!$I:$J,2,1)),1+(1-$AU97))</f>
        <v>1.02</v>
      </c>
      <c r="BE97" s="15">
        <f>MIN(IF($AU97=100%,1,1+VLOOKUP(($AJ97-$AI97-$AH97-$AG97-$AF97-$AE97*(1+BE$3))/$AJ97,'Технический лист'!$I:$J,2,1)-VLOOKUP($AO97,'Технический лист'!$I:$J,2,1)),1+(1-$AU97))</f>
        <v>1.02</v>
      </c>
      <c r="BF97" s="15">
        <f>MIN(IF($AU97=100%,1,1+VLOOKUP(($AJ97-$AI97-$AH97-$AG97-$AF97-$AE97*(1+BF$3))/$AJ97,'Технический лист'!$I:$J,2,1)-VLOOKUP($AO97,'Технический лист'!$I:$J,2,1)),1+(1-$AU97))</f>
        <v>1.02</v>
      </c>
      <c r="BG97" s="15">
        <f>MIN(IF($AU97=100%,1,1+VLOOKUP(($AJ97-$AI97-$AH97-$AG97-$AF97-$AE97*(1+BG$3))/$AJ97,'Технический лист'!$I:$J,2,1)-VLOOKUP($AO97,'Технический лист'!$I:$J,2,1)),1+(1-$AU97))</f>
        <v>1.02</v>
      </c>
      <c r="BH97" s="15">
        <f>MIN(IF($AU97=100%,1,1+VLOOKUP(($AJ97-$AI97-$AH97-$AG97-$AF97-$AE97*(1+BH$3))/$AJ97,'Технический лист'!$I:$J,2,1)-VLOOKUP($AO97,'Технический лист'!$I:$J,2,1)),1+(1-$AU97))</f>
        <v>1.02</v>
      </c>
      <c r="BI97" s="15">
        <f>MIN(IF($AU97=100%,1,1+VLOOKUP(($AJ97-$AI97-$AH97-$AG97-$AF97-$AE97*(1+BI$3))/$AJ97,'Технический лист'!$I:$J,2,1)-VLOOKUP($AO97,'Технический лист'!$I:$J,2,1)),1+(1-$AU97))</f>
        <v>1.02</v>
      </c>
      <c r="BJ97" s="15">
        <f>MIN(IF($AU97=100%,1,1+VLOOKUP(($AJ97-$AI97-$AH97-$AG97-$AF97-$AE97*(1+BJ$3))/$AJ97,'Технический лист'!$I:$J,2,1)-VLOOKUP($AO97,'Технический лист'!$I:$J,2,1)),1+(1-$AU97))</f>
        <v>1.02</v>
      </c>
      <c r="BK97" s="15">
        <f>MIN(IF($AU97=100%,1,1+VLOOKUP(($AJ97-$AI97-$AH97-$AG97-$AF97-$AE97*(1+BK$3))/$AJ97,'Технический лист'!$I:$J,2,1)-VLOOKUP($AO97,'Технический лист'!$I:$J,2,1)),1+(1-$AU97))</f>
        <v>1.02</v>
      </c>
      <c r="BL97" s="15">
        <f>MIN(IF($AU97=100%,1,1+VLOOKUP(($AJ97-$AI97-$AH97-$AG97-$AF97-$AE97*(1+BL$3))/$AJ97,'Технический лист'!$I:$J,2,1)-VLOOKUP($AO97,'Технический лист'!$I:$J,2,1)),1+(1-$AU97))</f>
        <v>1.02</v>
      </c>
      <c r="BM97" s="15">
        <f>MIN(IF($AU97=100%,1,1+VLOOKUP(($AJ97-$AI97-$AH97-$AG97-$AF97-$AE97*(1+BM$3))/$AJ97,'Технический лист'!$I:$J,2,1)-VLOOKUP($AO97,'Технический лист'!$I:$J,2,1)),1+(1-$AU97))</f>
        <v>1.02</v>
      </c>
      <c r="BN97" s="15">
        <f>MIN(IF($AU97=100%,1,1+VLOOKUP(($AJ97-$AI97-$AH97-$AG97-$AF97-$AE97*(1+BN$3))/$AJ97,'Технический лист'!$I:$J,2,1)-VLOOKUP($AO97,'Технический лист'!$I:$J,2,1)),1+(1-$AU97))</f>
        <v>1.02</v>
      </c>
      <c r="BO97" s="15">
        <f>MIN(IF($AU97=100%,1,1+VLOOKUP(($AJ97-$AI97-$AH97-$AG97-$AF97-$AE97*(1+BO$3))/$AJ97,'Технический лист'!$I:$J,2,1)-VLOOKUP($AO97,'Технический лист'!$I:$J,2,1)),1+(1-$AU97))</f>
        <v>1.02</v>
      </c>
      <c r="BP97" s="15">
        <f>MIN(IF($AU97=100%,1,1+VLOOKUP(($AJ97-$AI97-$AH97-$AG97-$AF97-$AE97*(1+BP$3))/$AJ97,'Технический лист'!$I:$J,2,1)-VLOOKUP($AO97,'Технический лист'!$I:$J,2,1)),1+(1-$AU97))</f>
        <v>1.02</v>
      </c>
      <c r="BQ97" s="15">
        <f>MIN(IF($AU97=100%,1,1+VLOOKUP(($AJ97-$AI97-$AH97-$AG97-$AF97-$AE97*(1+BQ$3))/$AJ97,'Технический лист'!$I:$J,2,1)-VLOOKUP($AO97,'Технический лист'!$I:$J,2,1)),1+(1-$AU97))</f>
        <v>1.02</v>
      </c>
      <c r="BR97" s="15">
        <f>MIN(IF($AU97=100%,1,1+VLOOKUP(($AJ97-$AI97-$AH97-$AG97-$AF97-$AE97*(1+BR$3))/$AJ97,'Технический лист'!$I:$J,2,1)-VLOOKUP($AO97,'Технический лист'!$I:$J,2,1)),1+(1-$AU97))</f>
        <v>1.02</v>
      </c>
      <c r="BS97" s="15">
        <f>MIN(IF($AU97=100%,1,1+VLOOKUP(($AJ97-$AI97-$AH97-$AG97-$AF97-$AE97*(1+BS$3))/$AJ97,'Технический лист'!$I:$J,2,1)-VLOOKUP($AO97,'Технический лист'!$I:$J,2,1)),1+(1-$AU97))</f>
        <v>1.02</v>
      </c>
      <c r="BT97" s="15">
        <f>MIN(IF($AU97=100%,1,1+VLOOKUP(($AJ97-$AI97-$AH97-$AG97-$AF97-$AE97*(1+BT$3))/$AJ97,'Технический лист'!$I:$J,2,1)-VLOOKUP($AO97,'Технический лист'!$I:$J,2,1)),1+(1-$AU97))</f>
        <v>1.02</v>
      </c>
      <c r="BU97" s="15">
        <f>MIN(IF($AU97=100%,1,1+VLOOKUP(($AJ97-$AI97-$AH97-$AG97-$AF97-$AE97*(1+BU$3))/$AJ97,'Технический лист'!$I:$J,2,1)-VLOOKUP($AO97,'Технический лист'!$I:$J,2,1)),1+(1-$AU97))</f>
        <v>1.02</v>
      </c>
      <c r="BV97" s="15">
        <f>MIN(IF($AU97=100%,1,1+VLOOKUP(($AJ97-$AI97-$AH97-$AG97-$AF97-$AE97*(1+BV$3))/$AJ97,'Технический лист'!$I:$J,2,1)-VLOOKUP($AO97,'Технический лист'!$I:$J,2,1)),1+(1-$AU97))</f>
        <v>1.02</v>
      </c>
      <c r="BW97" s="15">
        <f>MIN(IF($AU97=100%,1,1+VLOOKUP(($AJ97-$AI97-$AH97-$AG97-$AF97-$AE97*(1+BW$3))/$AJ97,'Технический лист'!$I:$J,2,1)-VLOOKUP($AO97,'Технический лист'!$I:$J,2,1)),1+(1-$AU97))</f>
        <v>1.02</v>
      </c>
      <c r="BX97" s="15">
        <f>MIN(IF($AU97=100%,1,1+VLOOKUP(($AJ97-$AI97-$AH97-$AG97-$AF97-$AE97*(1+BX$3))/$AJ97,'Технический лист'!$I:$J,2,1)-VLOOKUP($AO97,'Технический лист'!$I:$J,2,1)),1+(1-$AU97))</f>
        <v>1.02</v>
      </c>
      <c r="BY97" s="15">
        <f>MIN(IF($AU97=100%,1,1+VLOOKUP(($AJ97-$AI97-$AH97-$AG97-$AF97-$AE97*(1+BY$3))/$AJ97,'Технический лист'!$I:$J,2,1)-VLOOKUP($AO97,'Технический лист'!$I:$J,2,1)),1+(1-$AU97))</f>
        <v>1.02</v>
      </c>
      <c r="BZ97" s="15">
        <f>MIN(IF($AU97=100%,1,1+VLOOKUP(($AJ97-$AI97-$AH97-$AG97-$AF97-$AE97*(1+BZ$3))/$AJ97,'Технический лист'!$I:$J,2,1)-VLOOKUP($AO97,'Технический лист'!$I:$J,2,1)),1+(1-$AU97))</f>
        <v>1.02</v>
      </c>
      <c r="CA97" s="15">
        <f>MIN(IF($AU97=100%,1,1+VLOOKUP(($AJ97-$AI97-$AH97-$AG97-$AF97-$AE97*(1+CA$3))/$AJ97,'Технический лист'!$I:$J,2,1)-VLOOKUP($AO97,'Технический лист'!$I:$J,2,1)),1+(1-$AU97))</f>
        <v>1.02</v>
      </c>
      <c r="CB97" s="15">
        <f>MIN(IF($AU97=100%,1,1+VLOOKUP(($AJ97-$AI97-$AH97-$AG97-$AF97-$AE97*(1+CB$3))/$AJ97,'Технический лист'!$I:$J,2,1)-VLOOKUP($AO97,'Технический лист'!$I:$J,2,1)),1+(1-$AU97))</f>
        <v>1.02</v>
      </c>
      <c r="CC97" s="15">
        <f>MIN(IF($AU97=100%,1,1+VLOOKUP(($AJ97-$AI97-$AH97-$AG97-$AF97-$AE97*(1+CC$3))/$AJ97,'Технический лист'!$I:$J,2,1)-VLOOKUP($AO97,'Технический лист'!$I:$J,2,1)),1+(1-$AU97))</f>
        <v>1.02</v>
      </c>
      <c r="CD97" s="15">
        <f>MIN(IF($AU97=100%,1,1+VLOOKUP(($AJ97-$AI97-$AH97-$AG97-$AF97-$AE97*(1+CD$3))/$AJ97,'Технический лист'!$I:$J,2,1)-VLOOKUP($AO97,'Технический лист'!$I:$J,2,1)),1+(1-$AU97))</f>
        <v>1.02</v>
      </c>
      <c r="CE97" s="15">
        <f>MIN(IF($AU97=100%,1,1+VLOOKUP(($AJ97-$AI97-$AH97-$AG97-$AF97-$AE97*(1+CE$3))/$AJ97,'Технический лист'!$I:$J,2,1)-VLOOKUP($AO97,'Технический лист'!$I:$J,2,1)),1+(1-$AU97))</f>
        <v>1.02</v>
      </c>
      <c r="CF97" s="15">
        <f>MIN(IF($AU97=100%,1,1+VLOOKUP(($AJ97-$AI97-$AH97-$AG97-$AF97-$AE97*(1+CF$3))/$AJ97,'Технический лист'!$I:$J,2,1)-VLOOKUP($AO97,'Технический лист'!$I:$J,2,1)),1+(1-$AU97))</f>
        <v>1.02</v>
      </c>
      <c r="CG97" s="15">
        <f>MIN(IF($AU97=100%,1,1+VLOOKUP(($AJ97-$AI97-$AH97-$AG97-$AF97-$AE97*(1+CG$3))/$AJ97,'Технический лист'!$I:$J,2,1)-VLOOKUP($AO97,'Технический лист'!$I:$J,2,1)),1+(1-$AU97))</f>
        <v>1.02</v>
      </c>
      <c r="CH97" s="15">
        <f>MIN(IF($AU97=100%,1,1+VLOOKUP(($AJ97-$AI97-$AH97-$AG97-$AF97-$AE97*(1+CH$3))/$AJ97,'Технический лист'!$I:$J,2,1)-VLOOKUP($AO97,'Технический лист'!$I:$J,2,1)),1+(1-$AU97))</f>
        <v>1.02</v>
      </c>
      <c r="CI97" s="15">
        <f>MIN(IF($AU97=100%,1,1+VLOOKUP(($AJ97-$AI97-$AH97-$AG97-$AF97-$AE97*(1+CI$3))/$AJ97,'Технический лист'!$I:$J,2,1)-VLOOKUP($AO97,'Технический лист'!$I:$J,2,1)),1+(1-$AU97))</f>
        <v>1.02</v>
      </c>
      <c r="CJ97" s="15">
        <f>MIN(IF($AU97=100%,1,1+VLOOKUP(($AJ97-$AI97-$AH97-$AG97-$AF97-$AE97*(1+CJ$3))/$AJ97,'Технический лист'!$I:$J,2,1)-VLOOKUP($AO97,'Технический лист'!$I:$J,2,1)),1+(1-$AU97))</f>
        <v>1.02</v>
      </c>
      <c r="CK97" s="15">
        <f>MIN(IF($AU97=100%,1,1+VLOOKUP(($AJ97-$AI97-$AH97-$AG97-$AF97-$AE97*(1+CK$3))/$AJ97,'Технический лист'!$I:$J,2,1)-VLOOKUP($AO97,'Технический лист'!$I:$J,2,1)),1+(1-$AU97))</f>
        <v>1.02</v>
      </c>
      <c r="CL97" s="15">
        <f>MIN(IF($AU97=100%,1,1+VLOOKUP(($AJ97-$AI97-$AH97-$AG97-$AF97-$AE97*(1+CL$3))/$AJ97,'Технический лист'!$I:$J,2,1)-VLOOKUP($AO97,'Технический лист'!$I:$J,2,1)),1+(1-$AU97))</f>
        <v>1.02</v>
      </c>
      <c r="CM97" s="15">
        <f>MIN(IF($AU97=100%,1,1+VLOOKUP(($AJ97-$AI97-$AH97-$AG97-$AF97-$AE97*(1+CM$3))/$AJ97,'Технический лист'!$I:$J,2,1)-VLOOKUP($AO97,'Технический лист'!$I:$J,2,1)),1+(1-$AU97))</f>
        <v>1.02</v>
      </c>
      <c r="CN97" s="15">
        <f>MIN(IF($AU97=100%,1,1+VLOOKUP(($AJ97-$AI97-$AH97-$AG97-$AF97-$AE97*(1+CN$3))/$AJ97,'Технический лист'!$I:$J,2,1)-VLOOKUP($AO97,'Технический лист'!$I:$J,2,1)),1+(1-$AU97))</f>
        <v>1.02</v>
      </c>
      <c r="CO97" s="15">
        <f>MIN(IF($AU97=100%,1,1+VLOOKUP(($AJ97-$AI97-$AH97-$AG97-$AF97-$AE97*(1+CO$3))/$AJ97,'Технический лист'!$I:$J,2,1)-VLOOKUP($AO97,'Технический лист'!$I:$J,2,1)),1+(1-$AU97))</f>
        <v>1.02</v>
      </c>
      <c r="CP97" s="15">
        <f>MIN(IF($AU97=100%,1,1+VLOOKUP(($AJ97-$AI97-$AH97-$AG97-$AF97-$AE97*(1+CP$3))/$AJ97,'Технический лист'!$I:$J,2,1)-VLOOKUP($AO97,'Технический лист'!$I:$J,2,1)),1+(1-$AU97))</f>
        <v>1.02</v>
      </c>
      <c r="CQ97" s="15">
        <f>MIN(IF($AU97=100%,1,1+VLOOKUP(($AJ97-$AI97-$AH97-$AG97-$AF97-$AE97*(1+CQ$3))/$AJ97,'Технический лист'!$I:$J,2,1)-VLOOKUP($AO97,'Технический лист'!$I:$J,2,1)),1+(1-$AU97))</f>
        <v>1.02</v>
      </c>
      <c r="CR97" s="15">
        <f>MIN(IF($AU97=100%,1,1+VLOOKUP(($AJ97-$AI97-$AH97-$AG97-$AF97-$AE97*(1+CR$3))/$AJ97,'Технический лист'!$I:$J,2,1)-VLOOKUP($AO97,'Технический лист'!$I:$J,2,1)),1+(1-$AU97))</f>
        <v>1.02</v>
      </c>
      <c r="CS97" s="15">
        <f>MIN(IF($AU97=100%,1,1+VLOOKUP(($AJ97-$AI97-$AH97-$AG97-$AF97-$AE97*(1+CS$3))/$AJ97,'Технический лист'!$I:$J,2,1)-VLOOKUP($AO97,'Технический лист'!$I:$J,2,1)),1+(1-$AU97))</f>
        <v>1.02</v>
      </c>
      <c r="CT97" s="15">
        <f>MIN(IF($AU97=100%,1,1+VLOOKUP(($AJ97-$AI97-$AH97-$AG97-$AF97-$AE97*(1+CT$3))/$AJ97,'Технический лист'!$I:$J,2,1)-VLOOKUP($AO97,'Технический лист'!$I:$J,2,1)),1+(1-$AU97))</f>
        <v>1.02</v>
      </c>
      <c r="CU97" s="15">
        <f>MIN(IF($AU97=100%,1,1+VLOOKUP(($AJ97-$AI97-$AH97-$AG97-$AF97-$AE97*(1+CU$3))/$AJ97,'Технический лист'!$I:$J,2,1)-VLOOKUP($AO97,'Технический лист'!$I:$J,2,1)),1+(1-$AU97))</f>
        <v>1.02</v>
      </c>
      <c r="CV97" s="15">
        <f>MIN(IF($AU97=100%,1,1+VLOOKUP(($AJ97-$AI97-$AH97-$AG97-$AF97-$AE97*(1+CV$3))/$AJ97,'Технический лист'!$I:$J,2,1)-VLOOKUP($AO97,'Технический лист'!$I:$J,2,1)),1+(1-$AU97))</f>
        <v>1.02</v>
      </c>
      <c r="CW97" s="15">
        <f>MIN(IF($AU97=100%,1,1+VLOOKUP(($AJ97-$AI97-$AH97-$AG97-$AF97-$AE97*(1+CW$3))/$AJ97,'Технический лист'!$I:$J,2,1)-VLOOKUP($AO97,'Технический лист'!$I:$J,2,1)),1+(1-$AU97))</f>
        <v>1.02</v>
      </c>
      <c r="CX97" s="15">
        <f>MIN(IF($AU97=100%,1,1+VLOOKUP(($AJ97-$AI97-$AH97-$AG97-$AF97-$AE97*(1+CX$3))/$AJ97,'Технический лист'!$I:$J,2,1)-VLOOKUP($AO97,'Технический лист'!$I:$J,2,1)),1+(1-$AU97))</f>
        <v>1.02</v>
      </c>
      <c r="CY97" s="15">
        <f>MIN(IF($AU97=100%,1,1+VLOOKUP(($AJ97-$AI97-$AH97-$AG97-$AF97-$AE97*(1+CY$3))/$AJ97,'Технический лист'!$I:$J,2,1)-VLOOKUP($AO97,'Технический лист'!$I:$J,2,1)),1+(1-$AU97))</f>
        <v>1.02</v>
      </c>
      <c r="CZ97" s="15">
        <f>MIN(IF($AU97=100%,1,1+VLOOKUP(($AJ97-$AI97-$AH97-$AG97-$AF97-$AE97*(1+CZ$3))/$AJ97,'Технический лист'!$I:$J,2,1)-VLOOKUP($AO97,'Технический лист'!$I:$J,2,1)),1+(1-$AU97))</f>
        <v>1.02</v>
      </c>
      <c r="DA97" s="15">
        <f>MIN(IF($AU97=100%,1,1+VLOOKUP(($AJ97-$AI97-$AH97-$AG97-$AF97-$AE97*(1+DA$3))/$AJ97,'Технический лист'!$I:$J,2,1)-VLOOKUP($AO97,'Технический лист'!$I:$J,2,1)),1+(1-$AU97))</f>
        <v>1.02</v>
      </c>
      <c r="DB97" s="15">
        <f>MIN(IF($AU97=100%,1,1+VLOOKUP(($AJ97-$AI97-$AH97-$AG97-$AF97-$AE97*(1+DB$3))/$AJ97,'Технический лист'!$I:$J,2,1)-VLOOKUP($AO97,'Технический лист'!$I:$J,2,1)),1+(1-$AU97))</f>
        <v>1.02</v>
      </c>
      <c r="DC97" s="15">
        <f>MIN(IF($AU97=100%,1,1+VLOOKUP(($AJ97-$AI97-$AH97-$AG97-$AF97-$AE97*(1+DC$3))/$AJ97,'Технический лист'!$I:$J,2,1)-VLOOKUP($AO97,'Технический лист'!$I:$J,2,1)),1+(1-$AU97))</f>
        <v>1.02</v>
      </c>
      <c r="DD97" s="15">
        <f>MIN(IF($AU97=100%,1,1+VLOOKUP(($AJ97-$AI97-$AH97-$AG97-$AF97-$AE97*(1+DD$3))/$AJ97,'Технический лист'!$I:$J,2,1)-VLOOKUP($AO97,'Технический лист'!$I:$J,2,1)),1+(1-$AU97))</f>
        <v>1.02</v>
      </c>
      <c r="DE97" s="15">
        <f>MIN(IF($AU97=100%,1,1+VLOOKUP(($AJ97-$AI97-$AH97-$AG97-$AF97-$AE97*(1+DE$3))/$AJ97,'Технический лист'!$I:$J,2,1)-VLOOKUP($AO97,'Технический лист'!$I:$J,2,1)),1+(1-$AU97))</f>
        <v>1.02</v>
      </c>
      <c r="DF97" s="15">
        <f>MIN(IF($AU97=100%,1,1+VLOOKUP(($AJ97-$AI97-$AH97-$AG97-$AF97-$AE97*(1+DF$3))/$AJ97,'Технический лист'!$I:$J,2,1)-VLOOKUP($AO97,'Технический лист'!$I:$J,2,1)),1+(1-$AU97))</f>
        <v>1.02</v>
      </c>
      <c r="DG97" s="15">
        <f>MIN(IF($AU97=100%,1,1+VLOOKUP(($AJ97-$AI97-$AH97-$AG97-$AF97-$AE97*(1+DG$3))/$AJ97,'Технический лист'!$I:$J,2,1)-VLOOKUP($AO97,'Технический лист'!$I:$J,2,1)),1+(1-$AU97))</f>
        <v>1.02</v>
      </c>
      <c r="DH97" s="15">
        <f>MIN(IF($AU97=100%,1,1+VLOOKUP(($AJ97-$AI97-$AH97-$AG97-$AF97-$AE97*(1+DH$3))/$AJ97,'Технический лист'!$I:$J,2,1)-VLOOKUP($AO97,'Технический лист'!$I:$J,2,1)),1+(1-$AU97))</f>
        <v>1.02</v>
      </c>
      <c r="DI97" s="15">
        <f>MIN(IF($AU97=100%,1,1+VLOOKUP(($AJ97-$AI97-$AH97-$AG97-$AF97-$AE97*(1+DI$3))/$AJ97,'Технический лист'!$I:$J,2,1)-VLOOKUP($AO97,'Технический лист'!$I:$J,2,1)),1+(1-$AU97))</f>
        <v>1.02</v>
      </c>
      <c r="DJ97" s="15">
        <f>MIN(IF($AU97=100%,1,1+VLOOKUP(($AJ97-$AI97-$AH97-$AG97-$AF97-$AE97*(1+DJ$3))/$AJ97,'Технический лист'!$I:$J,2,1)-VLOOKUP($AO97,'Технический лист'!$I:$J,2,1)),1+(1-$AU97))</f>
        <v>1.02</v>
      </c>
      <c r="DK97" s="15">
        <f>MIN(IF($AU97=100%,1,1+VLOOKUP(($AJ97-$AI97-$AH97-$AG97-$AF97-$AE97*(1+DK$3))/$AJ97,'Технический лист'!$I:$J,2,1)-VLOOKUP($AO97,'Технический лист'!$I:$J,2,1)),1+(1-$AU97))</f>
        <v>1.02</v>
      </c>
      <c r="DL97" s="15">
        <f>MIN(IF($AU97=100%,1,1+VLOOKUP(($AJ97-$AI97-$AH97-$AG97-$AF97-$AE97*(1+DL$3))/$AJ97,'Технический лист'!$I:$J,2,1)-VLOOKUP($AO97,'Технический лист'!$I:$J,2,1)),1+(1-$AU97))</f>
        <v>1</v>
      </c>
      <c r="DM97" s="15">
        <f>MIN(IF($AU97=100%,1,1+VLOOKUP(($AJ97-$AI97-$AH97-$AG97-$AF97-$AE97*(1+DM$3))/$AJ97,'Технический лист'!$I:$J,2,1)-VLOOKUP($AO97,'Технический лист'!$I:$J,2,1)),1+(1-$AU97))</f>
        <v>1</v>
      </c>
      <c r="DN97" s="15">
        <f>MIN(IF($AU97=100%,1,1+VLOOKUP(($AJ97-$AI97-$AH97-$AG97-$AF97-$AE97*(1+DN$3))/$AJ97,'Технический лист'!$I:$J,2,1)-VLOOKUP($AO97,'Технический лист'!$I:$J,2,1)),1+(1-$AU97))</f>
        <v>1</v>
      </c>
      <c r="DO97" s="15">
        <f>MIN(IF($AU97=100%,1,1+VLOOKUP(($AJ97-$AI97-$AH97-$AG97-$AF97-$AE97*(1+DO$3))/$AJ97,'Технический лист'!$I:$J,2,1)-VLOOKUP($AO97,'Технический лист'!$I:$J,2,1)),1+(1-$AU97))</f>
        <v>1</v>
      </c>
      <c r="DP97" s="15">
        <f>MIN(IF($AU97=100%,1,1+VLOOKUP(($AJ97-$AI97-$AH97-$AG97-$AF97-$AE97*(1+DP$3))/$AJ97,'Технический лист'!$I:$J,2,1)-VLOOKUP($AO97,'Технический лист'!$I:$J,2,1)),1+(1-$AU97))</f>
        <v>1</v>
      </c>
      <c r="DQ97" s="15">
        <f>MIN(IF($AU97=100%,1,1+VLOOKUP(($AJ97-$AI97-$AH97-$AG97-$AF97-$AE97*(1+DQ$3))/$AJ97,'Технический лист'!$I:$J,2,1)-VLOOKUP($AO97,'Технический лист'!$I:$J,2,1)),1+(1-$AU97))</f>
        <v>1</v>
      </c>
      <c r="DR97" s="15">
        <f>MIN(IF($AU97=100%,1,1+VLOOKUP(($AJ97-$AI97-$AH97-$AG97-$AF97-$AE97*(1+DR$3))/$AJ97,'Технический лист'!$I:$J,2,1)-VLOOKUP($AO97,'Технический лист'!$I:$J,2,1)),1+(1-$AU97))</f>
        <v>1</v>
      </c>
      <c r="DS97" s="15">
        <f>MIN(IF($AU97=100%,1,1+VLOOKUP(($AJ97-$AI97-$AH97-$AG97-$AF97-$AE97*(1+DS$3))/$AJ97,'Технический лист'!$I:$J,2,1)-VLOOKUP($AO97,'Технический лист'!$I:$J,2,1)),1+(1-$AU97))</f>
        <v>1</v>
      </c>
      <c r="DT97" s="15">
        <f>MIN(IF($AU97=100%,1,1+VLOOKUP(($AJ97-$AI97-$AH97-$AG97-$AF97-$AE97*(1+DT$3))/$AJ97,'Технический лист'!$I:$J,2,1)-VLOOKUP($AO97,'Технический лист'!$I:$J,2,1)),1+(1-$AU97))</f>
        <v>1</v>
      </c>
      <c r="DU97" s="15">
        <f>MIN(IF($AU97=100%,1,1+VLOOKUP(($AJ97-$AI97-$AH97-$AG97-$AF97-$AE97*(1+DU$3))/$AJ97,'Технический лист'!$I:$J,2,1)-VLOOKUP($AO97,'Технический лист'!$I:$J,2,1)),1+(1-$AU97))</f>
        <v>1</v>
      </c>
      <c r="DV97" s="15">
        <f>MIN(IF($AU97=100%,1,1+VLOOKUP(($AJ97-$AI97-$AH97-$AG97-$AF97-$AE97*(1+DV$3))/$AJ97,'Технический лист'!$I:$J,2,1)-VLOOKUP($AO97,'Технический лист'!$I:$J,2,1)),1+(1-$AU97))</f>
        <v>1</v>
      </c>
      <c r="DW97" s="15">
        <f>MIN(IF($AU97=100%,1,1+VLOOKUP(($AJ97-$AI97-$AH97-$AG97-$AF97-$AE97*(1+DW$3))/$AJ97,'Технический лист'!$I:$J,2,1)-VLOOKUP($AO97,'Технический лист'!$I:$J,2,1)),1+(1-$AU97))</f>
        <v>1</v>
      </c>
      <c r="DX97" s="15">
        <f>MIN(IF($AU97=100%,1,1+VLOOKUP(($AJ97-$AI97-$AH97-$AG97-$AF97-$AE97*(1+DX$3))/$AJ97,'Технический лист'!$I:$J,2,1)-VLOOKUP($AO97,'Технический лист'!$I:$J,2,1)),1+(1-$AU97))</f>
        <v>1</v>
      </c>
      <c r="DY97" s="15">
        <f>MIN(IF($AU97=100%,1,1+VLOOKUP(($AJ97-$AI97-$AH97-$AG97-$AF97-$AE97*(1+DY$3))/$AJ97,'Технический лист'!$I:$J,2,1)-VLOOKUP($AO97,'Технический лист'!$I:$J,2,1)),1+(1-$AU97))</f>
        <v>1</v>
      </c>
      <c r="DZ97" s="15">
        <f>MIN(IF($AU97=100%,1,1+VLOOKUP(($AJ97-$AI97-$AH97-$AG97-$AF97-$AE97*(1+DZ$3))/$AJ97,'Технический лист'!$I:$J,2,1)-VLOOKUP($AO97,'Технический лист'!$I:$J,2,1)),1+(1-$AU97))</f>
        <v>1</v>
      </c>
      <c r="EA97" s="15">
        <f>MIN(IF($AU97=100%,1,1+VLOOKUP(($AJ97-$AI97-$AH97-$AG97-$AF97-$AE97*(1+EA$3))/$AJ97,'Технический лист'!$I:$J,2,1)-VLOOKUP($AO97,'Технический лист'!$I:$J,2,1)),1+(1-$AU97))</f>
        <v>1</v>
      </c>
      <c r="EB97" s="15">
        <f>MIN(IF($AU97=100%,1,1+VLOOKUP(($AJ97-$AI97-$AH97-$AG97-$AF97-$AE97*(1+EB$3))/$AJ97,'Технический лист'!$I:$J,2,1)-VLOOKUP($AO97,'Технический лист'!$I:$J,2,1)),1+(1-$AU97))</f>
        <v>1</v>
      </c>
      <c r="EC97" s="15">
        <f>MIN(IF($AU97=100%,1,1+VLOOKUP(($AJ97-$AI97-$AH97-$AG97-$AF97-$AE97*(1+EC$3))/$AJ97,'Технический лист'!$I:$J,2,1)-VLOOKUP($AO97,'Технический лист'!$I:$J,2,1)),1+(1-$AU97))</f>
        <v>1</v>
      </c>
      <c r="ED97" s="15">
        <f>MIN(IF($AU97=100%,1,1+VLOOKUP(($AJ97-$AI97-$AH97-$AG97-$AF97-$AE97*(1+ED$3))/$AJ97,'Технический лист'!$I:$J,2,1)-VLOOKUP($AO97,'Технический лист'!$I:$J,2,1)),1+(1-$AU97))</f>
        <v>1</v>
      </c>
      <c r="EE97" s="15">
        <f>MIN(IF($AU97=100%,1,1+VLOOKUP(($AJ97-$AI97-$AH97-$AG97-$AF97-$AE97*(1+EE$3))/$AJ97,'Технический лист'!$I:$J,2,1)-VLOOKUP($AO97,'Технический лист'!$I:$J,2,1)),1+(1-$AU97))</f>
        <v>1</v>
      </c>
      <c r="EF97" s="15">
        <f>MIN(IF($AU97=100%,1,1+VLOOKUP(($AJ97-$AI97-$AH97-$AG97-$AF97-$AE97*(1+EF$3))/$AJ97,'Технический лист'!$I:$J,2,1)-VLOOKUP($AO97,'Технический лист'!$I:$J,2,1)),1+(1-$AU97))</f>
        <v>1</v>
      </c>
      <c r="EG97" s="15">
        <f>MIN(IF($AU97=100%,1,1+VLOOKUP(($AJ97-$AI97-$AH97-$AG97-$AF97-$AE97*(1+EG$3))/$AJ97,'Технический лист'!$I:$J,2,1)-VLOOKUP($AO97,'Технический лист'!$I:$J,2,1)),1+(1-$AU97))</f>
        <v>1</v>
      </c>
      <c r="EH97" s="15">
        <f>MIN(IF($AU97=100%,1,1+VLOOKUP(($AJ97-$AI97-$AH97-$AG97-$AF97-$AE97*(1+EH$3))/$AJ97,'Технический лист'!$I:$J,2,1)-VLOOKUP($AO97,'Технический лист'!$I:$J,2,1)),1+(1-$AU97))</f>
        <v>1</v>
      </c>
      <c r="EI97" s="15">
        <f>MIN(IF($AU97=100%,1,1+VLOOKUP(($AJ97-$AI97-$AH97-$AG97-$AF97-$AE97*(1+EI$3))/$AJ97,'Технический лист'!$I:$J,2,1)-VLOOKUP($AO97,'Технический лист'!$I:$J,2,1)),1+(1-$AU97))</f>
        <v>1</v>
      </c>
      <c r="EJ97" s="15">
        <f>MIN(IF($AU97=100%,1,1+VLOOKUP(($AJ97-$AI97-$AH97-$AG97-$AF97-$AE97*(1+EJ$3))/$AJ97,'Технический лист'!$I:$J,2,1)-VLOOKUP($AO97,'Технический лист'!$I:$J,2,1)),1+(1-$AU97))</f>
        <v>1</v>
      </c>
      <c r="EK97" s="15">
        <f>MIN(IF($AU97=100%,1,1+VLOOKUP(($AJ97-$AI97-$AH97-$AG97-$AF97-$AE97*(1+EK$3))/$AJ97,'Технический лист'!$I:$J,2,1)-VLOOKUP($AO97,'Технический лист'!$I:$J,2,1)),1+(1-$AU97))</f>
        <v>1</v>
      </c>
      <c r="EL97" s="15">
        <f>MIN(IF($AU97=100%,1,1+VLOOKUP(($AJ97-$AI97-$AH97-$AG97-$AF97-$AE97*(1+EL$3))/$AJ97,'Технический лист'!$I:$J,2,1)-VLOOKUP($AO97,'Технический лист'!$I:$J,2,1)),1+(1-$AU97))</f>
        <v>1</v>
      </c>
      <c r="EM97" s="15">
        <f>MIN(IF($AU97=100%,1,1+VLOOKUP(($AJ97-$AI97-$AH97-$AG97-$AF97-$AE97*(1+EM$3))/$AJ97,'Технический лист'!$I:$J,2,1)-VLOOKUP($AO97,'Технический лист'!$I:$J,2,1)),1+(1-$AU97))</f>
        <v>1</v>
      </c>
      <c r="EN97" s="15">
        <f>MIN(IF($AU97=100%,1,1+VLOOKUP(($AJ97-$AI97-$AH97-$AG97-$AF97-$AE97*(1+EN$3))/$AJ97,'Технический лист'!$I:$J,2,1)-VLOOKUP($AO97,'Технический лист'!$I:$J,2,1)),1+(1-$AU97))</f>
        <v>1</v>
      </c>
      <c r="EO97" s="15">
        <f>MIN(IF($AU97=100%,1,1+VLOOKUP(($AJ97-$AI97-$AH97-$AG97-$AF97-$AE97*(1+EO$3))/$AJ97,'Технический лист'!$I:$J,2,1)-VLOOKUP($AO97,'Технический лист'!$I:$J,2,1)),1+(1-$AU97))</f>
        <v>1</v>
      </c>
      <c r="EP97" s="15">
        <f>MIN(IF($AU97=100%,1,1+VLOOKUP(($AJ97-$AI97-$AH97-$AG97-$AF97-$AE97*(1+EP$3))/$AJ97,'Технический лист'!$I:$J,2,1)-VLOOKUP($AO97,'Технический лист'!$I:$J,2,1)),1+(1-$AU97))</f>
        <v>1</v>
      </c>
      <c r="EQ97" s="15">
        <f>MIN(IF($AU97=100%,1,1+VLOOKUP(($AJ97-$AI97-$AH97-$AG97-$AF97-$AE97*(1+EQ$3))/$AJ97,'Технический лист'!$I:$J,2,1)-VLOOKUP($AO97,'Технический лист'!$I:$J,2,1)),1+(1-$AU97))</f>
        <v>1</v>
      </c>
      <c r="ER97" s="15">
        <f>MIN(IF($AU97=100%,1,1+VLOOKUP(($AJ97-$AI97-$AH97-$AG97-$AF97-$AE97*(1+ER$3))/$AJ97,'Технический лист'!$I:$J,2,1)-VLOOKUP($AO97,'Технический лист'!$I:$J,2,1)),1+(1-$AU97))</f>
        <v>1</v>
      </c>
      <c r="ES97" s="15">
        <f>MIN(IF($AU97=100%,1,1+VLOOKUP(($AJ97-$AI97-$AH97-$AG97-$AF97-$AE97*(1+ES$3))/$AJ97,'Технический лист'!$I:$J,2,1)-VLOOKUP($AO97,'Технический лист'!$I:$J,2,1)),1+(1-$AU97))</f>
        <v>1</v>
      </c>
      <c r="ET97" s="15">
        <f>MIN(IF($AU97=100%,1,1+VLOOKUP(($AJ97-$AI97-$AH97-$AG97-$AF97-$AE97*(1+ET$3))/$AJ97,'Технический лист'!$I:$J,2,1)-VLOOKUP($AO97,'Технический лист'!$I:$J,2,1)),1+(1-$AU97))</f>
        <v>1</v>
      </c>
      <c r="EU97" s="15">
        <f>MIN(IF($AU97=100%,1,1+VLOOKUP(($AJ97-$AI97-$AH97-$AG97-$AF97-$AE97*(1+EU$3))/$AJ97,'Технический лист'!$I:$J,2,1)-VLOOKUP($AO97,'Технический лист'!$I:$J,2,1)),1+(1-$AU97))</f>
        <v>1</v>
      </c>
      <c r="EV97" s="111">
        <v>1</v>
      </c>
      <c r="EW97" s="15">
        <f>MIN(1,MAX(VLOOKUP(($AJ97-$AI97-$AH97-$AG97-$AF97-$AE97*(1+EW$3))/$AJ97,'Технический лист'!$A:$B,2,1),(EV97-0.05)))</f>
        <v>0.95</v>
      </c>
      <c r="EX97" s="15">
        <f>MIN(1,MAX(VLOOKUP(($AJ97-$AI97-$AH97-$AG97-$AF97-$AE97*(1+EX$3))/$AJ97,'Технический лист'!$A:$B,2,1),(EW97-0.05)))</f>
        <v>0.90200000000000002</v>
      </c>
      <c r="EY97" s="15">
        <f>MIN(1,MAX(VLOOKUP(($AJ97-$AI97-$AH97-$AG97-$AF97-$AE97*(1+EY$3))/$AJ97,'Технический лист'!$A:$B,2,1),(EX97-0.05)))</f>
        <v>0.90200000000000002</v>
      </c>
      <c r="EZ97" s="15">
        <f>MIN(1,MAX(VLOOKUP(($AJ97-$AI97-$AH97-$AG97-$AF97-$AE97*(1+EZ$3))/$AJ97,'Технический лист'!$A:$B,2,1),(EY97-0.05)))</f>
        <v>0.90200000000000002</v>
      </c>
      <c r="FA97" s="15">
        <f>MIN(1,MAX(VLOOKUP(($AJ97-$AI97-$AH97-$AG97-$AF97-$AE97*(1+FA$3))/$AJ97,'Технический лист'!$A:$B,2,1),(EZ97-0.05)))</f>
        <v>0.89600000000000002</v>
      </c>
      <c r="FB97" s="15">
        <f>MIN(1,MAX(VLOOKUP(($AJ97-$AI97-$AH97-$AG97-$AF97-$AE97*(1+FB$3))/$AJ97,'Технический лист'!$A:$B,2,1),(FA97-0.05)))</f>
        <v>0.89600000000000002</v>
      </c>
      <c r="FC97" s="15">
        <f>MIN(1,MAX(VLOOKUP(($AJ97-$AI97-$AH97-$AG97-$AF97-$AE97*(1+FC$3))/$AJ97,'Технический лист'!$A:$B,2,1),(FB97-0.05)))</f>
        <v>0.89600000000000002</v>
      </c>
      <c r="FD97" s="15">
        <f>MIN(1,MAX(VLOOKUP(($AJ97-$AI97-$AH97-$AG97-$AF97-$AE97*(1+FD$3))/$AJ97,'Технический лист'!$A:$B,2,1),(FC97-0.05)))</f>
        <v>0.89600000000000002</v>
      </c>
      <c r="FE97" s="15">
        <f>MIN(1,MAX(VLOOKUP(($AJ97-$AI97-$AH97-$AG97-$AF97-$AE97*(1+FE$3))/$AJ97,'Технический лист'!$A:$B,2,1),(FD97-0.05)))</f>
        <v>0.89600000000000002</v>
      </c>
      <c r="FF97" s="15">
        <f>MIN(1,MAX(VLOOKUP(($AJ97-$AI97-$AH97-$AG97-$AF97-$AE97*(1+FF$3))/$AJ97,'Технический лист'!$A:$B,2,1),(FE97-0.05)))</f>
        <v>0.89600000000000002</v>
      </c>
      <c r="FG97" s="15">
        <f>MIN(1,MAX(VLOOKUP(($AJ97-$AI97-$AH97-$AG97-$AF97-$AE97*(1+FG$3))/$AJ97,'Технический лист'!$A:$B,2,1),(FF97-0.05)))</f>
        <v>0.89600000000000002</v>
      </c>
      <c r="FH97" s="15">
        <f>MIN(1,MAX(VLOOKUP(($AJ97-$AI97-$AH97-$AG97-$AF97-$AE97*(1+FH$3))/$AJ97,'Технический лист'!$A:$B,2,1),(FG97-0.05)))</f>
        <v>0.89600000000000002</v>
      </c>
      <c r="FI97" s="15">
        <f>MIN(1,MAX(VLOOKUP(($AJ97-$AI97-$AH97-$AG97-$AF97-$AE97*(1+FI$3))/$AJ97,'Технический лист'!$A:$B,2,1),(FH97-0.05)))</f>
        <v>0.89600000000000002</v>
      </c>
      <c r="FJ97" s="15">
        <f>MIN(1,MAX(VLOOKUP(($AJ97-$AI97-$AH97-$AG97-$AF97-$AE97*(1+FJ$3))/$AJ97,'Технический лист'!$A:$B,2,1),(FI97-0.05)))</f>
        <v>0.89</v>
      </c>
      <c r="FK97" s="15">
        <f>MIN(1,MAX(VLOOKUP(($AJ97-$AI97-$AH97-$AG97-$AF97-$AE97*(1+FK$3))/$AJ97,'Технический лист'!$A:$B,2,1),(FJ97-0.05)))</f>
        <v>0.89</v>
      </c>
      <c r="FL97" s="15">
        <f>MIN(1,MAX(VLOOKUP(($AJ97-$AI97-$AH97-$AG97-$AF97-$AE97*(1+FL$3))/$AJ97,'Технический лист'!$A:$B,2,1),(FK97-0.05)))</f>
        <v>0.89</v>
      </c>
      <c r="FM97" s="15">
        <f>MIN(1,MAX(VLOOKUP(($AJ97-$AI97-$AH97-$AG97-$AF97-$AE97*(1+FM$3))/$AJ97,'Технический лист'!$A:$B,2,1),(FL97-0.05)))</f>
        <v>0.89</v>
      </c>
      <c r="FN97" s="15">
        <f>MIN(1,MAX(VLOOKUP(($AJ97-$AI97-$AH97-$AG97-$AF97-$AE97*(1+FN$3))/$AJ97,'Технический лист'!$A:$B,2,1),(FM97-0.05)))</f>
        <v>0.89</v>
      </c>
      <c r="FO97" s="15">
        <f>MIN(1,MAX(VLOOKUP(($AJ97-$AI97-$AH97-$AG97-$AF97-$AE97*(1+FO$3))/$AJ97,'Технический лист'!$A:$B,2,1),(FN97-0.05)))</f>
        <v>0.89</v>
      </c>
      <c r="FP97" s="15">
        <f>MIN(1,MAX(VLOOKUP(($AJ97-$AI97-$AH97-$AG97-$AF97-$AE97*(1+FP$3))/$AJ97,'Технический лист'!$A:$B,2,1),(FO97-0.05)))</f>
        <v>0.89</v>
      </c>
      <c r="FQ97" s="15">
        <f>MIN(1,MAX(VLOOKUP(($AJ97-$AI97-$AH97-$AG97-$AF97-$AE97*(1+FQ$3))/$AJ97,'Технический лист'!$A:$B,2,1),(FP97-0.05)))</f>
        <v>0.89</v>
      </c>
      <c r="FR97" s="15">
        <f>MIN(1,MAX(VLOOKUP(($AJ97-$AI97-$AH97-$AG97-$AF97-$AE97*(1+FR$3))/$AJ97,'Технический лист'!$A:$B,2,1),(FQ97-0.05)))</f>
        <v>0.89</v>
      </c>
      <c r="FS97" s="15">
        <f>MIN(1,MAX(VLOOKUP(($AJ97-$AI97-$AH97-$AG97-$AF97-$AE97*(1+FS$3))/$AJ97,'Технический лист'!$A:$B,2,1),(FR97-0.05)))</f>
        <v>0.88400000000000001</v>
      </c>
      <c r="FT97" s="15">
        <f>MIN(1,MAX(VLOOKUP(($AJ97-$AI97-$AH97-$AG97-$AF97-$AE97*(1+FT$3))/$AJ97,'Технический лист'!$A:$B,2,1),(FS97-0.05)))</f>
        <v>0.88400000000000001</v>
      </c>
      <c r="FU97" s="15">
        <f>MIN(1,MAX(VLOOKUP(($AJ97-$AI97-$AH97-$AG97-$AF97-$AE97*(1+FU$3))/$AJ97,'Технический лист'!$A:$B,2,1),(FT97-0.05)))</f>
        <v>0.88400000000000001</v>
      </c>
      <c r="FV97" s="15">
        <f>MIN(1,MAX(VLOOKUP(($AJ97-$AI97-$AH97-$AG97-$AF97-$AE97*(1+FV$3))/$AJ97,'Технический лист'!$A:$B,2,1),(FU97-0.05)))</f>
        <v>0.88400000000000001</v>
      </c>
      <c r="FW97" s="15">
        <f>MIN(1,MAX(VLOOKUP(($AJ97-$AI97-$AH97-$AG97-$AF97-$AE97*(1+FW$3))/$AJ97,'Технический лист'!$A:$B,2,1),(FV97-0.05)))</f>
        <v>0.88400000000000001</v>
      </c>
      <c r="FX97" s="15">
        <f>MIN(1,MAX(VLOOKUP(($AJ97-$AI97-$AH97-$AG97-$AF97-$AE97*(1+FX$3))/$AJ97,'Технический лист'!$A:$B,2,1),(FW97-0.05)))</f>
        <v>0.88400000000000001</v>
      </c>
      <c r="FY97" s="15">
        <f>MIN(1,MAX(VLOOKUP(($AJ97-$AI97-$AH97-$AG97-$AF97-$AE97*(1+FY$3))/$AJ97,'Технический лист'!$A:$B,2,1),(FX97-0.05)))</f>
        <v>0.88400000000000001</v>
      </c>
      <c r="FZ97" s="15">
        <f>MIN(1,MAX(VLOOKUP(($AJ97-$AI97-$AH97-$AG97-$AF97-$AE97*(1+FZ$3))/$AJ97,'Технический лист'!$A:$B,2,1),(FY97-0.05)))</f>
        <v>0.88400000000000001</v>
      </c>
      <c r="GA97" s="15">
        <f>MIN(1,MAX(VLOOKUP(($AJ97-$AI97-$AH97-$AG97-$AF97-$AE97*(1+GA$3))/$AJ97,'Технический лист'!$A:$B,2,1),(FZ97-0.05)))</f>
        <v>0.88400000000000001</v>
      </c>
      <c r="GB97" s="15">
        <f>MIN(1,MAX(VLOOKUP(($AJ97-$AI97-$AH97-$AG97-$AF97-$AE97*(1+GB$3))/$AJ97,'Технический лист'!$A:$B,2,1),(GA97-0.05)))</f>
        <v>0.878</v>
      </c>
      <c r="GC97" s="15">
        <f>MIN(1,MAX(VLOOKUP(($AJ97-$AI97-$AH97-$AG97-$AF97-$AE97*(1+GC$3))/$AJ97,'Технический лист'!$A:$B,2,1),(GB97-0.05)))</f>
        <v>0.878</v>
      </c>
      <c r="GD97" s="15">
        <f>MIN(1,MAX(VLOOKUP(($AJ97-$AI97-$AH97-$AG97-$AF97-$AE97*(1+GD$3))/$AJ97,'Технический лист'!$A:$B,2,1),(GC97-0.05)))</f>
        <v>0.878</v>
      </c>
      <c r="GE97" s="15">
        <f>MIN(1,MAX(VLOOKUP(($AJ97-$AI97-$AH97-$AG97-$AF97-$AE97*(1+GE$3))/$AJ97,'Технический лист'!$A:$B,2,1),(GD97-0.05)))</f>
        <v>0.878</v>
      </c>
      <c r="GF97" s="15">
        <f>MIN(1,MAX(VLOOKUP(($AJ97-$AI97-$AH97-$AG97-$AF97-$AE97*(1+GF$3))/$AJ97,'Технический лист'!$A:$B,2,1),(GE97-0.05)))</f>
        <v>0.878</v>
      </c>
      <c r="GG97" s="15">
        <f>MIN(1,MAX(VLOOKUP(($AJ97-$AI97-$AH97-$AG97-$AF97-$AE97*(1+GG$3))/$AJ97,'Технический лист'!$A:$B,2,1),(GF97-0.05)))</f>
        <v>0.878</v>
      </c>
      <c r="GH97" s="15">
        <f>MIN(1,MAX(VLOOKUP(($AJ97-$AI97-$AH97-$AG97-$AF97-$AE97*(1+GH$3))/$AJ97,'Технический лист'!$A:$B,2,1),(GG97-0.05)))</f>
        <v>0.878</v>
      </c>
      <c r="GI97" s="15">
        <f>MIN(1,MAX(VLOOKUP(($AJ97-$AI97-$AH97-$AG97-$AF97-$AE97*(1+GI$3))/$AJ97,'Технический лист'!$A:$B,2,1),(GH97-0.05)))</f>
        <v>0.878</v>
      </c>
      <c r="GJ97" s="15">
        <f>MIN(1,MAX(VLOOKUP(($AJ97-$AI97-$AH97-$AG97-$AF97-$AE97*(1+GJ$3))/$AJ97,'Технический лист'!$A:$B,2,1),(GI97-0.05)))</f>
        <v>0.878</v>
      </c>
      <c r="GK97" s="15">
        <f>MIN(1,MAX(VLOOKUP(($AJ97-$AI97-$AH97-$AG97-$AF97-$AE97*(1+GK$3))/$AJ97,'Технический лист'!$A:$B,2,1),(GJ97-0.05)))</f>
        <v>0.872</v>
      </c>
      <c r="GL97" s="15">
        <f>MIN(1,MAX(VLOOKUP(($AJ97-$AI97-$AH97-$AG97-$AF97-$AE97*(1+GL$3))/$AJ97,'Технический лист'!$A:$B,2,1),(GK97-0.05)))</f>
        <v>0.872</v>
      </c>
      <c r="GM97" s="15">
        <f>MIN(1,MAX(VLOOKUP(($AJ97-$AI97-$AH97-$AG97-$AF97-$AE97*(1+GM$3))/$AJ97,'Технический лист'!$A:$B,2,1),(GL97-0.05)))</f>
        <v>0.872</v>
      </c>
      <c r="GN97" s="15">
        <f>MIN(1,MAX(VLOOKUP(($AJ97-$AI97-$AH97-$AG97-$AF97-$AE97*(1+GN$3))/$AJ97,'Технический лист'!$A:$B,2,1),(GM97-0.05)))</f>
        <v>0.872</v>
      </c>
      <c r="GO97" s="15">
        <f>MIN(1,MAX(VLOOKUP(($AJ97-$AI97-$AH97-$AG97-$AF97-$AE97*(1+GO$3))/$AJ97,'Технический лист'!$A:$B,2,1),(GN97-0.05)))</f>
        <v>0.872</v>
      </c>
      <c r="GP97" s="15">
        <f>MIN(1,MAX(VLOOKUP(($AJ97-$AI97-$AH97-$AG97-$AF97-$AE97*(1+GP$3))/$AJ97,'Технический лист'!$A:$B,2,1),(GO97-0.05)))</f>
        <v>0.872</v>
      </c>
      <c r="GQ97" s="15">
        <f>MIN(1,MAX(VLOOKUP(($AJ97-$AI97-$AH97-$AG97-$AF97-$AE97*(1+GQ$3))/$AJ97,'Технический лист'!$A:$B,2,1),(GP97-0.05)))</f>
        <v>0.872</v>
      </c>
      <c r="GR97" s="15">
        <f>MIN(1,MAX(VLOOKUP(($AJ97-$AI97-$AH97-$AG97-$AF97-$AE97*(1+GR$3))/$AJ97,'Технический лист'!$A:$B,2,1),(GQ97-0.05)))</f>
        <v>0.872</v>
      </c>
      <c r="GS97" s="15">
        <f>MIN(1,MAX(VLOOKUP(($AJ97-$AI97-$AH97-$AG97-$AF97-$AE97*(1+GS$3))/$AJ97,'Технический лист'!$A:$B,2,1),(GR97-0.05)))</f>
        <v>0.872</v>
      </c>
      <c r="GT97" s="15">
        <f>MIN(1,MAX(VLOOKUP(($AJ97-$AI97-$AH97-$AG97-$AF97-$AE97*(1+GT$3))/$AJ97,'Технический лист'!$A:$B,2,1),(GS97-0.05)))</f>
        <v>0.86599999999999999</v>
      </c>
      <c r="GU97" s="15">
        <f>MIN(1,MAX(VLOOKUP(($AJ97-$AI97-$AH97-$AG97-$AF97-$AE97*(1+GU$3))/$AJ97,'Технический лист'!$A:$B,2,1),(GT97-0.05)))</f>
        <v>0.86599999999999999</v>
      </c>
      <c r="GV97" s="15">
        <f>MIN(1,MAX(VLOOKUP(($AJ97-$AI97-$AH97-$AG97-$AF97-$AE97*(1+GV$3))/$AJ97,'Технический лист'!$A:$B,2,1),(GU97-0.05)))</f>
        <v>0.86599999999999999</v>
      </c>
      <c r="GW97" s="15">
        <f>MIN(1,MAX(VLOOKUP(($AJ97-$AI97-$AH97-$AG97-$AF97-$AE97*(1+GW$3))/$AJ97,'Технический лист'!$A:$B,2,1),(GV97-0.05)))</f>
        <v>0.86599999999999999</v>
      </c>
      <c r="GX97" s="15">
        <f>MIN(1,MAX(VLOOKUP(($AJ97-$AI97-$AH97-$AG97-$AF97-$AE97*(1+GX$3))/$AJ97,'Технический лист'!$A:$B,2,1),(GW97-0.05)))</f>
        <v>0.86599999999999999</v>
      </c>
      <c r="GY97" s="15">
        <f>MIN(1,MAX(VLOOKUP(($AJ97-$AI97-$AH97-$AG97-$AF97-$AE97*(1+GY$3))/$AJ97,'Технический лист'!$A:$B,2,1),(GX97-0.05)))</f>
        <v>0.86599999999999999</v>
      </c>
      <c r="GZ97" s="15">
        <f>MIN(1,MAX(VLOOKUP(($AJ97-$AI97-$AH97-$AG97-$AF97-$AE97*(1+GZ$3))/$AJ97,'Технический лист'!$A:$B,2,1),(GY97-0.05)))</f>
        <v>0.86599999999999999</v>
      </c>
      <c r="HA97" s="15">
        <f>MIN(1,MAX(VLOOKUP(($AJ97-$AI97-$AH97-$AG97-$AF97-$AE97*(1+HA$3))/$AJ97,'Технический лист'!$A:$B,2,1),(GZ97-0.05)))</f>
        <v>0.86599999999999999</v>
      </c>
      <c r="HB97" s="15">
        <f>MIN(1,MAX(VLOOKUP(($AJ97-$AI97-$AH97-$AG97-$AF97-$AE97*(1+HB$3))/$AJ97,'Технический лист'!$A:$B,2,1),(HA97-0.05)))</f>
        <v>0.86599999999999999</v>
      </c>
      <c r="HC97" s="15">
        <f>MIN(1,MAX(VLOOKUP(($AJ97-$AI97-$AH97-$AG97-$AF97-$AE97*(1+HC$3))/$AJ97,'Технический лист'!$A:$B,2,1),(HB97-0.05)))</f>
        <v>0.86</v>
      </c>
      <c r="HD97" s="15">
        <f>MIN(1,MAX(VLOOKUP(($AJ97-$AI97-$AH97-$AG97-$AF97-$AE97*(1+HD$3))/$AJ97,'Технический лист'!$A:$B,2,1),(HC97-0.05)))</f>
        <v>0.86</v>
      </c>
      <c r="HE97" s="15">
        <f>MIN(1,MAX(VLOOKUP(($AJ97-$AI97-$AH97-$AG97-$AF97-$AE97*(1+HE$3))/$AJ97,'Технический лист'!$A:$B,2,1),(HD97-0.05)))</f>
        <v>0.86</v>
      </c>
      <c r="HF97" s="15">
        <f>MIN(1,MAX(VLOOKUP(($AJ97-$AI97-$AH97-$AG97-$AF97-$AE97*(1+HF$3))/$AJ97,'Технический лист'!$A:$B,2,1),(HE97-0.05)))</f>
        <v>0.86</v>
      </c>
      <c r="HG97" s="15">
        <f>MIN(1,MAX(VLOOKUP(($AJ97-$AI97-$AH97-$AG97-$AF97-$AE97*(1+HG$3))/$AJ97,'Технический лист'!$A:$B,2,1),(HF97-0.05)))</f>
        <v>0.86</v>
      </c>
      <c r="HH97" s="15">
        <f>MIN(1,MAX(VLOOKUP(($AJ97-$AI97-$AH97-$AG97-$AF97-$AE97*(1+HH$3))/$AJ97,'Технический лист'!$A:$B,2,1),(HG97-0.05)))</f>
        <v>0.86</v>
      </c>
      <c r="HI97" s="15">
        <f>MIN(1,MAX(VLOOKUP(($AJ97-$AI97-$AH97-$AG97-$AF97-$AE97*(1+HI$3))/$AJ97,'Технический лист'!$A:$B,2,1),(HH97-0.05)))</f>
        <v>0.86</v>
      </c>
      <c r="HJ97" s="15">
        <f>MIN(1,MAX(VLOOKUP(($AJ97-$AI97-$AH97-$AG97-$AF97-$AE97*(1+HJ$3))/$AJ97,'Технический лист'!$A:$B,2,1),(HI97-0.05)))</f>
        <v>0.86</v>
      </c>
      <c r="HK97" s="15">
        <f>MIN(1,MAX(VLOOKUP(($AJ97-$AI97-$AH97-$AG97-$AF97-$AE97*(1+HK$3))/$AJ97,'Технический лист'!$A:$B,2,1),(HJ97-0.05)))</f>
        <v>0.86</v>
      </c>
      <c r="HL97" s="15">
        <f>MIN(1,MAX(VLOOKUP(($AJ97-$AI97-$AH97-$AG97-$AF97-$AE97*(1+HL$3))/$AJ97,'Технический лист'!$A:$B,2,1),(HK97-0.05)))</f>
        <v>0.85399999999999998</v>
      </c>
      <c r="HM97" s="15">
        <f>MIN(1,MAX(VLOOKUP(($AJ97-$AI97-$AH97-$AG97-$AF97-$AE97*(1+HM$3))/$AJ97,'Технический лист'!$A:$B,2,1),(HL97-0.05)))</f>
        <v>0.85399999999999998</v>
      </c>
      <c r="HN97" s="15">
        <f>MIN(1,MAX(VLOOKUP(($AJ97-$AI97-$AH97-$AG97-$AF97-$AE97*(1+HN$3))/$AJ97,'Технический лист'!$A:$B,2,1),(HM97-0.05)))</f>
        <v>0.85399999999999998</v>
      </c>
      <c r="HO97" s="15">
        <f>MIN(1,MAX(VLOOKUP(($AJ97-$AI97-$AH97-$AG97-$AF97-$AE97*(1+HO$3))/$AJ97,'Технический лист'!$A:$B,2,1),(HN97-0.05)))</f>
        <v>0.85399999999999998</v>
      </c>
      <c r="HP97" s="15">
        <f>MIN(1,MAX(VLOOKUP(($AJ97-$AI97-$AH97-$AG97-$AF97-$AE97*(1+HP$3))/$AJ97,'Технический лист'!$A:$B,2,1),(HO97-0.05)))</f>
        <v>0.85399999999999998</v>
      </c>
      <c r="HQ97" s="15">
        <f>MIN(1,MAX(VLOOKUP(($AJ97-$AI97-$AH97-$AG97-$AF97-$AE97*(1+HQ$3))/$AJ97,'Технический лист'!$A:$B,2,1),(HP97-0.05)))</f>
        <v>0.85399999999999998</v>
      </c>
      <c r="HR97" s="15">
        <f>MIN(1,MAX(VLOOKUP(($AJ97-$AI97-$AH97-$AG97-$AF97-$AE97*(1+HR$3))/$AJ97,'Технический лист'!$A:$B,2,1),(HQ97-0.05)))</f>
        <v>0.85399999999999998</v>
      </c>
      <c r="HS97" s="15">
        <f>MIN(1,MAX(VLOOKUP(($AJ97-$AI97-$AH97-$AG97-$AF97-$AE97*(1+HS$3))/$AJ97,'Технический лист'!$A:$B,2,1),(HR97-0.05)))</f>
        <v>0.85399999999999998</v>
      </c>
      <c r="HT97" s="15">
        <f>MIN(1,MAX(VLOOKUP(($AJ97-$AI97-$AH97-$AG97-$AF97-$AE97*(1+HT$3))/$AJ97,'Технический лист'!$A:$B,2,1),(HS97-0.05)))</f>
        <v>0.85399999999999998</v>
      </c>
      <c r="HU97" s="15">
        <f>MIN(1,MAX(VLOOKUP(($AJ97-$AI97-$AH97-$AG97-$AF97-$AE97*(1+HU$3))/$AJ97,'Технический лист'!$A:$B,2,1),(HT97-0.05)))</f>
        <v>0.84799999999999998</v>
      </c>
      <c r="HV97" s="15">
        <f>MIN(1,MAX(VLOOKUP(($AJ97-$AI97-$AH97-$AG97-$AF97-$AE97*(1+HV$3))/$AJ97,'Технический лист'!$A:$B,2,1),(HU97-0.05)))</f>
        <v>0.84799999999999998</v>
      </c>
      <c r="HW97" s="15">
        <f>MIN(1,MAX(VLOOKUP(($AJ97-$AI97-$AH97-$AG97-$AF97-$AE97*(1+HW$3))/$AJ97,'Технический лист'!$A:$B,2,1),(HV97-0.05)))</f>
        <v>0.84799999999999998</v>
      </c>
      <c r="HX97" s="15">
        <f>MIN(1,MAX(VLOOKUP(($AJ97-$AI97-$AH97-$AG97-$AF97-$AE97*(1+HX$3))/$AJ97,'Технический лист'!$A:$B,2,1),(HW97-0.05)))</f>
        <v>0.84799999999999998</v>
      </c>
      <c r="HY97" s="15">
        <f>MIN(1,MAX(VLOOKUP(($AJ97-$AI97-$AH97-$AG97-$AF97-$AE97*(1+HY$3))/$AJ97,'Технический лист'!$A:$B,2,1),(HX97-0.05)))</f>
        <v>0.84799999999999998</v>
      </c>
      <c r="HZ97" s="15">
        <f>MIN(1,MAX(VLOOKUP(($AJ97-$AI97-$AH97-$AG97-$AF97-$AE97*(1+HZ$3))/$AJ97,'Технический лист'!$A:$B,2,1),(HY97-0.05)))</f>
        <v>0.84799999999999998</v>
      </c>
      <c r="IA97" s="15">
        <f>MIN(1,MAX(VLOOKUP(($AJ97-$AI97-$AH97-$AG97-$AF97-$AE97*(1+IA$3))/$AJ97,'Технический лист'!$A:$B,2,1),(HZ97-0.05)))</f>
        <v>0.84799999999999998</v>
      </c>
      <c r="IB97" s="15">
        <f>MIN(1,MAX(VLOOKUP(($AJ97-$AI97-$AH97-$AG97-$AF97-$AE97*(1+IB$3))/$AJ97,'Технический лист'!$A:$B,2,1),(IA97-0.05)))</f>
        <v>0.84799999999999998</v>
      </c>
      <c r="IC97" s="15">
        <f>MIN(1,MAX(VLOOKUP(($AJ97-$AI97-$AH97-$AG97-$AF97-$AE97*(1+IC$3))/$AJ97,'Технический лист'!$A:$B,2,1),(IB97-0.05)))</f>
        <v>0.84799999999999998</v>
      </c>
      <c r="ID97" s="15">
        <f>MIN(1,MAX(VLOOKUP(($AJ97-$AI97-$AH97-$AG97-$AF97-$AE97*(1+ID$3))/$AJ97,'Технический лист'!$A:$B,2,1),(IC97-0.05)))</f>
        <v>0.84199999999999997</v>
      </c>
      <c r="IE97" s="15">
        <f>MIN(1,MAX(VLOOKUP(($AJ97-$AI97-$AH97-$AG97-$AF97-$AE97*(1+IE$3))/$AJ97,'Технический лист'!$A:$B,2,1),(ID97-0.05)))</f>
        <v>0.84199999999999997</v>
      </c>
      <c r="IF97" s="15">
        <f>MIN(1,MAX(VLOOKUP(($AJ97-$AI97-$AH97-$AG97-$AF97-$AE97*(1+IF$3))/$AJ97,'Технический лист'!$A:$B,2,1),(IE97-0.05)))</f>
        <v>0.84199999999999997</v>
      </c>
      <c r="IG97" s="15">
        <f>MIN(1,MAX(VLOOKUP(($AJ97-$AI97-$AH97-$AG97-$AF97-$AE97*(1+IG$3))/$AJ97,'Технический лист'!$A:$B,2,1),(IF97-0.05)))</f>
        <v>0.84199999999999997</v>
      </c>
      <c r="IH97" s="15">
        <f>MIN(1,MAX(VLOOKUP(($AJ97-$AI97-$AH97-$AG97-$AF97-$AE97*(1+IH$3))/$AJ97,'Технический лист'!$A:$B,2,1),(IG97-0.05)))</f>
        <v>0.84199999999999997</v>
      </c>
      <c r="II97" s="15">
        <f>MIN(1,MAX(VLOOKUP(($AJ97-$AI97-$AH97-$AG97-$AF97-$AE97*(1+II$3))/$AJ97,'Технический лист'!$A:$B,2,1),(IH97-0.05)))</f>
        <v>0.84199999999999997</v>
      </c>
      <c r="IJ97" s="15">
        <f>MIN(1,MAX(VLOOKUP(($AJ97-$AI97-$AH97-$AG97-$AF97-$AE97*(1+IJ$3))/$AJ97,'Технический лист'!$A:$B,2,1),(II97-0.05)))</f>
        <v>0.84199999999999997</v>
      </c>
      <c r="IK97" s="15">
        <f>MIN(1,MAX(VLOOKUP(($AJ97-$AI97-$AH97-$AG97-$AF97-$AE97*(1+IK$3))/$AJ97,'Технический лист'!$A:$B,2,1),(IJ97-0.05)))</f>
        <v>0.84199999999999997</v>
      </c>
      <c r="IL97" s="15">
        <f>MIN(1,MAX(VLOOKUP(($AJ97-$AI97-$AH97-$AG97-$AF97-$AE97*(1+IL$3))/$AJ97,'Технический лист'!$A:$B,2,1),(IK97-0.05)))</f>
        <v>0.84199999999999997</v>
      </c>
      <c r="IM97" s="15">
        <f>MIN(1,MAX(VLOOKUP(($AJ97-$AI97-$AH97-$AG97-$AF97-$AE97*(1+IM$3))/$AJ97,'Технический лист'!$A:$B,2,1),(IL97-0.05)))</f>
        <v>0.83599999999999997</v>
      </c>
      <c r="IN97" s="15">
        <f>MIN(1,MAX(VLOOKUP(($AJ97-$AI97-$AH97-$AG97-$AF97-$AE97*(1+IN$3))/$AJ97,'Технический лист'!$A:$B,2,1),(IM97-0.05)))</f>
        <v>0.83599999999999997</v>
      </c>
      <c r="IO97" s="15">
        <f>MIN(1,MAX(VLOOKUP(($AJ97-$AI97-$AH97-$AG97-$AF97-$AE97*(1+IO$3))/$AJ97,'Технический лист'!$A:$B,2,1),(IN97-0.05)))</f>
        <v>0.83599999999999997</v>
      </c>
      <c r="IP97" s="15">
        <f>MIN(1,MAX(VLOOKUP(($AJ97-$AI97-$AH97-$AG97-$AF97-$AE97*(1+IP$3))/$AJ97,'Технический лист'!$A:$B,2,1),(IO97-0.05)))</f>
        <v>0.83599999999999997</v>
      </c>
      <c r="IQ97" s="15">
        <f>MIN(1,MAX(VLOOKUP(($AJ97-$AI97-$AH97-$AG97-$AF97-$AE97*(1+IQ$3))/$AJ97,'Технический лист'!$A:$B,2,1),(IP97-0.05)))</f>
        <v>0.83599999999999997</v>
      </c>
      <c r="IR97" s="15">
        <f>MIN(1,MAX(VLOOKUP(($AJ97-$AI97-$AH97-$AG97-$AF97-$AE97*(1+IR$3))/$AJ97,'Технический лист'!$A:$B,2,1),(IQ97-0.05)))</f>
        <v>0.83599999999999997</v>
      </c>
    </row>
    <row r="98" spans="1:252">
      <c r="A98" s="89" t="s">
        <v>515</v>
      </c>
      <c r="B98" s="90">
        <v>5</v>
      </c>
      <c r="C98" s="5" t="s">
        <v>68</v>
      </c>
      <c r="D98" s="91">
        <v>32403</v>
      </c>
      <c r="E98" s="91" t="s">
        <v>349</v>
      </c>
      <c r="F98" s="92" t="s">
        <v>75</v>
      </c>
      <c r="G98" s="91" t="s">
        <v>50</v>
      </c>
      <c r="H98" s="91" t="s">
        <v>26</v>
      </c>
      <c r="I98" s="91" t="s">
        <v>170</v>
      </c>
      <c r="J98" s="91" t="s">
        <v>171</v>
      </c>
      <c r="K98" s="91">
        <v>1861</v>
      </c>
      <c r="L98" s="85" t="s">
        <v>64</v>
      </c>
      <c r="M98" s="91" t="s">
        <v>190</v>
      </c>
      <c r="N98" s="91" t="s">
        <v>191</v>
      </c>
      <c r="O98" s="91" t="s">
        <v>193</v>
      </c>
      <c r="P98" s="89" t="s">
        <v>242</v>
      </c>
      <c r="Q98" s="91" t="s">
        <v>359</v>
      </c>
      <c r="R98" s="91" t="s">
        <v>253</v>
      </c>
      <c r="S98" s="82">
        <v>8971</v>
      </c>
      <c r="T98" s="82">
        <v>16694687</v>
      </c>
      <c r="U98" s="81">
        <v>142</v>
      </c>
      <c r="V98" s="81">
        <v>0</v>
      </c>
      <c r="W98" s="82">
        <v>31249756</v>
      </c>
      <c r="X98" s="112">
        <v>67</v>
      </c>
      <c r="Y98" s="112" t="s">
        <v>417</v>
      </c>
      <c r="Z98" s="113">
        <v>9</v>
      </c>
      <c r="AA98" s="113">
        <v>6</v>
      </c>
      <c r="AB98" s="113">
        <v>4</v>
      </c>
      <c r="AC98" s="99">
        <v>3585.12</v>
      </c>
      <c r="AD98" s="99">
        <f>AE98-AC98</f>
        <v>538.02999999999975</v>
      </c>
      <c r="AE98" s="99">
        <v>4123.1499999999996</v>
      </c>
      <c r="AF98" s="98">
        <f>(Z98+AA98+AB98)*'Ставки аренды'!$B$3/X98</f>
        <v>198.50746268656715</v>
      </c>
      <c r="AG98" s="114">
        <v>0</v>
      </c>
      <c r="AH98" s="94">
        <v>0</v>
      </c>
      <c r="AI98" s="115">
        <f>56808019/60637187*AVERAGE(AJ95,AJ98)</f>
        <v>33909.184878284388</v>
      </c>
      <c r="AJ98" s="117">
        <f>Цены!D23</f>
        <v>35000</v>
      </c>
      <c r="AK98" s="94">
        <f>AJ98/Цены!$B$1</f>
        <v>458.68253271389352</v>
      </c>
      <c r="AL98" s="95">
        <f t="shared" si="24"/>
        <v>4321.6574626865668</v>
      </c>
      <c r="AM98" s="95">
        <f t="shared" si="25"/>
        <v>30678.342537313434</v>
      </c>
      <c r="AN98" s="94">
        <f t="shared" si="22"/>
        <v>38230.842340970958</v>
      </c>
      <c r="AO98" s="118">
        <f t="shared" si="23"/>
        <v>-9.2309781170598793E-2</v>
      </c>
      <c r="AP98" s="96">
        <f t="shared" si="26"/>
        <v>0.12347592750533049</v>
      </c>
      <c r="AQ98" s="96">
        <f t="shared" si="27"/>
        <v>0.11780428571428571</v>
      </c>
      <c r="AR98" s="96">
        <f t="shared" si="28"/>
        <v>0.95406682172280155</v>
      </c>
      <c r="AS98" s="122">
        <v>1</v>
      </c>
      <c r="AT98" s="121">
        <f t="shared" si="29"/>
        <v>8971</v>
      </c>
      <c r="AU98" s="83">
        <v>0.8</v>
      </c>
      <c r="AV98" s="119">
        <f t="shared" si="30"/>
        <v>-0.10644629545631303</v>
      </c>
      <c r="AW98" s="120">
        <f t="shared" si="31"/>
        <v>0.13761244179104476</v>
      </c>
      <c r="AX98" s="120">
        <f t="shared" si="32"/>
        <v>0.1319408</v>
      </c>
      <c r="AY98" s="120">
        <f t="shared" si="33"/>
        <v>0.95878539965407505</v>
      </c>
      <c r="AZ98" s="15">
        <f>MIN(IF($AU98=100%,1,1+VLOOKUP(($AJ98-$AI98-$AH98-$AG98-$AF98-$AE98*(1+AZ$3))/$AJ98,'Технический лист'!$I:$J,2,1)-VLOOKUP($AO98,'Технический лист'!$I:$J,2,1)),1+(1-$AU98))</f>
        <v>1.2</v>
      </c>
      <c r="BA98" s="15">
        <f>MIN(IF($AU98=100%,1,1+VLOOKUP(($AJ98-$AI98-$AH98-$AG98-$AF98-$AE98*(1+BA$3))/$AJ98,'Технический лист'!$I:$J,2,1)-VLOOKUP($AO98,'Технический лист'!$I:$J,2,1)),1+(1-$AU98))</f>
        <v>1.2</v>
      </c>
      <c r="BB98" s="15">
        <f>MIN(IF($AU98=100%,1,1+VLOOKUP(($AJ98-$AI98-$AH98-$AG98-$AF98-$AE98*(1+BB$3))/$AJ98,'Технический лист'!$I:$J,2,1)-VLOOKUP($AO98,'Технический лист'!$I:$J,2,1)),1+(1-$AU98))</f>
        <v>1.2</v>
      </c>
      <c r="BC98" s="15">
        <f>MIN(IF($AU98=100%,1,1+VLOOKUP(($AJ98-$AI98-$AH98-$AG98-$AF98-$AE98*(1+BC$3))/$AJ98,'Технический лист'!$I:$J,2,1)-VLOOKUP($AO98,'Технический лист'!$I:$J,2,1)),1+(1-$AU98))</f>
        <v>1.2</v>
      </c>
      <c r="BD98" s="15">
        <f>MIN(IF($AU98=100%,1,1+VLOOKUP(($AJ98-$AI98-$AH98-$AG98-$AF98-$AE98*(1+BD$3))/$AJ98,'Технический лист'!$I:$J,2,1)-VLOOKUP($AO98,'Технический лист'!$I:$J,2,1)),1+(1-$AU98))</f>
        <v>1.2</v>
      </c>
      <c r="BE98" s="15">
        <f>MIN(IF($AU98=100%,1,1+VLOOKUP(($AJ98-$AI98-$AH98-$AG98-$AF98-$AE98*(1+BE$3))/$AJ98,'Технический лист'!$I:$J,2,1)-VLOOKUP($AO98,'Технический лист'!$I:$J,2,1)),1+(1-$AU98))</f>
        <v>1.2</v>
      </c>
      <c r="BF98" s="15">
        <f>MIN(IF($AU98=100%,1,1+VLOOKUP(($AJ98-$AI98-$AH98-$AG98-$AF98-$AE98*(1+BF$3))/$AJ98,'Технический лист'!$I:$J,2,1)-VLOOKUP($AO98,'Технический лист'!$I:$J,2,1)),1+(1-$AU98))</f>
        <v>1.2</v>
      </c>
      <c r="BG98" s="15">
        <f>MIN(IF($AU98=100%,1,1+VLOOKUP(($AJ98-$AI98-$AH98-$AG98-$AF98-$AE98*(1+BG$3))/$AJ98,'Технический лист'!$I:$J,2,1)-VLOOKUP($AO98,'Технический лист'!$I:$J,2,1)),1+(1-$AU98))</f>
        <v>1.2</v>
      </c>
      <c r="BH98" s="15">
        <f>MIN(IF($AU98=100%,1,1+VLOOKUP(($AJ98-$AI98-$AH98-$AG98-$AF98-$AE98*(1+BH$3))/$AJ98,'Технический лист'!$I:$J,2,1)-VLOOKUP($AO98,'Технический лист'!$I:$J,2,1)),1+(1-$AU98))</f>
        <v>1.2</v>
      </c>
      <c r="BI98" s="15">
        <f>MIN(IF($AU98=100%,1,1+VLOOKUP(($AJ98-$AI98-$AH98-$AG98-$AF98-$AE98*(1+BI$3))/$AJ98,'Технический лист'!$I:$J,2,1)-VLOOKUP($AO98,'Технический лист'!$I:$J,2,1)),1+(1-$AU98))</f>
        <v>1.2</v>
      </c>
      <c r="BJ98" s="15">
        <f>MIN(IF($AU98=100%,1,1+VLOOKUP(($AJ98-$AI98-$AH98-$AG98-$AF98-$AE98*(1+BJ$3))/$AJ98,'Технический лист'!$I:$J,2,1)-VLOOKUP($AO98,'Технический лист'!$I:$J,2,1)),1+(1-$AU98))</f>
        <v>1.2</v>
      </c>
      <c r="BK98" s="15">
        <f>MIN(IF($AU98=100%,1,1+VLOOKUP(($AJ98-$AI98-$AH98-$AG98-$AF98-$AE98*(1+BK$3))/$AJ98,'Технический лист'!$I:$J,2,1)-VLOOKUP($AO98,'Технический лист'!$I:$J,2,1)),1+(1-$AU98))</f>
        <v>1.2</v>
      </c>
      <c r="BL98" s="15">
        <f>MIN(IF($AU98=100%,1,1+VLOOKUP(($AJ98-$AI98-$AH98-$AG98-$AF98-$AE98*(1+BL$3))/$AJ98,'Технический лист'!$I:$J,2,1)-VLOOKUP($AO98,'Технический лист'!$I:$J,2,1)),1+(1-$AU98))</f>
        <v>1.2</v>
      </c>
      <c r="BM98" s="15">
        <f>MIN(IF($AU98=100%,1,1+VLOOKUP(($AJ98-$AI98-$AH98-$AG98-$AF98-$AE98*(1+BM$3))/$AJ98,'Технический лист'!$I:$J,2,1)-VLOOKUP($AO98,'Технический лист'!$I:$J,2,1)),1+(1-$AU98))</f>
        <v>1.2</v>
      </c>
      <c r="BN98" s="15">
        <f>MIN(IF($AU98=100%,1,1+VLOOKUP(($AJ98-$AI98-$AH98-$AG98-$AF98-$AE98*(1+BN$3))/$AJ98,'Технический лист'!$I:$J,2,1)-VLOOKUP($AO98,'Технический лист'!$I:$J,2,1)),1+(1-$AU98))</f>
        <v>1.2</v>
      </c>
      <c r="BO98" s="15">
        <f>MIN(IF($AU98=100%,1,1+VLOOKUP(($AJ98-$AI98-$AH98-$AG98-$AF98-$AE98*(1+BO$3))/$AJ98,'Технический лист'!$I:$J,2,1)-VLOOKUP($AO98,'Технический лист'!$I:$J,2,1)),1+(1-$AU98))</f>
        <v>1.2</v>
      </c>
      <c r="BP98" s="15">
        <f>MIN(IF($AU98=100%,1,1+VLOOKUP(($AJ98-$AI98-$AH98-$AG98-$AF98-$AE98*(1+BP$3))/$AJ98,'Технический лист'!$I:$J,2,1)-VLOOKUP($AO98,'Технический лист'!$I:$J,2,1)),1+(1-$AU98))</f>
        <v>1.2</v>
      </c>
      <c r="BQ98" s="15">
        <f>MIN(IF($AU98=100%,1,1+VLOOKUP(($AJ98-$AI98-$AH98-$AG98-$AF98-$AE98*(1+BQ$3))/$AJ98,'Технический лист'!$I:$J,2,1)-VLOOKUP($AO98,'Технический лист'!$I:$J,2,1)),1+(1-$AU98))</f>
        <v>1.2</v>
      </c>
      <c r="BR98" s="15">
        <f>MIN(IF($AU98=100%,1,1+VLOOKUP(($AJ98-$AI98-$AH98-$AG98-$AF98-$AE98*(1+BR$3))/$AJ98,'Технический лист'!$I:$J,2,1)-VLOOKUP($AO98,'Технический лист'!$I:$J,2,1)),1+(1-$AU98))</f>
        <v>1.2</v>
      </c>
      <c r="BS98" s="15">
        <f>MIN(IF($AU98=100%,1,1+VLOOKUP(($AJ98-$AI98-$AH98-$AG98-$AF98-$AE98*(1+BS$3))/$AJ98,'Технический лист'!$I:$J,2,1)-VLOOKUP($AO98,'Технический лист'!$I:$J,2,1)),1+(1-$AU98))</f>
        <v>1.2</v>
      </c>
      <c r="BT98" s="15">
        <f>MIN(IF($AU98=100%,1,1+VLOOKUP(($AJ98-$AI98-$AH98-$AG98-$AF98-$AE98*(1+BT$3))/$AJ98,'Технический лист'!$I:$J,2,1)-VLOOKUP($AO98,'Технический лист'!$I:$J,2,1)),1+(1-$AU98))</f>
        <v>1.2</v>
      </c>
      <c r="BU98" s="15">
        <f>MIN(IF($AU98=100%,1,1+VLOOKUP(($AJ98-$AI98-$AH98-$AG98-$AF98-$AE98*(1+BU$3))/$AJ98,'Технический лист'!$I:$J,2,1)-VLOOKUP($AO98,'Технический лист'!$I:$J,2,1)),1+(1-$AU98))</f>
        <v>1.2</v>
      </c>
      <c r="BV98" s="15">
        <f>MIN(IF($AU98=100%,1,1+VLOOKUP(($AJ98-$AI98-$AH98-$AG98-$AF98-$AE98*(1+BV$3))/$AJ98,'Технический лист'!$I:$J,2,1)-VLOOKUP($AO98,'Технический лист'!$I:$J,2,1)),1+(1-$AU98))</f>
        <v>1.2</v>
      </c>
      <c r="BW98" s="15">
        <f>MIN(IF($AU98=100%,1,1+VLOOKUP(($AJ98-$AI98-$AH98-$AG98-$AF98-$AE98*(1+BW$3))/$AJ98,'Технический лист'!$I:$J,2,1)-VLOOKUP($AO98,'Технический лист'!$I:$J,2,1)),1+(1-$AU98))</f>
        <v>1.2</v>
      </c>
      <c r="BX98" s="15">
        <f>MIN(IF($AU98=100%,1,1+VLOOKUP(($AJ98-$AI98-$AH98-$AG98-$AF98-$AE98*(1+BX$3))/$AJ98,'Технический лист'!$I:$J,2,1)-VLOOKUP($AO98,'Технический лист'!$I:$J,2,1)),1+(1-$AU98))</f>
        <v>1.2</v>
      </c>
      <c r="BY98" s="15">
        <f>MIN(IF($AU98=100%,1,1+VLOOKUP(($AJ98-$AI98-$AH98-$AG98-$AF98-$AE98*(1+BY$3))/$AJ98,'Технический лист'!$I:$J,2,1)-VLOOKUP($AO98,'Технический лист'!$I:$J,2,1)),1+(1-$AU98))</f>
        <v>1.2</v>
      </c>
      <c r="BZ98" s="15">
        <f>MIN(IF($AU98=100%,1,1+VLOOKUP(($AJ98-$AI98-$AH98-$AG98-$AF98-$AE98*(1+BZ$3))/$AJ98,'Технический лист'!$I:$J,2,1)-VLOOKUP($AO98,'Технический лист'!$I:$J,2,1)),1+(1-$AU98))</f>
        <v>1.2</v>
      </c>
      <c r="CA98" s="15">
        <f>MIN(IF($AU98=100%,1,1+VLOOKUP(($AJ98-$AI98-$AH98-$AG98-$AF98-$AE98*(1+CA$3))/$AJ98,'Технический лист'!$I:$J,2,1)-VLOOKUP($AO98,'Технический лист'!$I:$J,2,1)),1+(1-$AU98))</f>
        <v>1.2</v>
      </c>
      <c r="CB98" s="15">
        <f>MIN(IF($AU98=100%,1,1+VLOOKUP(($AJ98-$AI98-$AH98-$AG98-$AF98-$AE98*(1+CB$3))/$AJ98,'Технический лист'!$I:$J,2,1)-VLOOKUP($AO98,'Технический лист'!$I:$J,2,1)),1+(1-$AU98))</f>
        <v>1.2</v>
      </c>
      <c r="CC98" s="15">
        <f>MIN(IF($AU98=100%,1,1+VLOOKUP(($AJ98-$AI98-$AH98-$AG98-$AF98-$AE98*(1+CC$3))/$AJ98,'Технический лист'!$I:$J,2,1)-VLOOKUP($AO98,'Технический лист'!$I:$J,2,1)),1+(1-$AU98))</f>
        <v>1.2</v>
      </c>
      <c r="CD98" s="15">
        <f>MIN(IF($AU98=100%,1,1+VLOOKUP(($AJ98-$AI98-$AH98-$AG98-$AF98-$AE98*(1+CD$3))/$AJ98,'Технический лист'!$I:$J,2,1)-VLOOKUP($AO98,'Технический лист'!$I:$J,2,1)),1+(1-$AU98))</f>
        <v>1.2</v>
      </c>
      <c r="CE98" s="15">
        <f>MIN(IF($AU98=100%,1,1+VLOOKUP(($AJ98-$AI98-$AH98-$AG98-$AF98-$AE98*(1+CE$3))/$AJ98,'Технический лист'!$I:$J,2,1)-VLOOKUP($AO98,'Технический лист'!$I:$J,2,1)),1+(1-$AU98))</f>
        <v>1.2</v>
      </c>
      <c r="CF98" s="15">
        <f>MIN(IF($AU98=100%,1,1+VLOOKUP(($AJ98-$AI98-$AH98-$AG98-$AF98-$AE98*(1+CF$3))/$AJ98,'Технический лист'!$I:$J,2,1)-VLOOKUP($AO98,'Технический лист'!$I:$J,2,1)),1+(1-$AU98))</f>
        <v>1.2</v>
      </c>
      <c r="CG98" s="15">
        <f>MIN(IF($AU98=100%,1,1+VLOOKUP(($AJ98-$AI98-$AH98-$AG98-$AF98-$AE98*(1+CG$3))/$AJ98,'Технический лист'!$I:$J,2,1)-VLOOKUP($AO98,'Технический лист'!$I:$J,2,1)),1+(1-$AU98))</f>
        <v>1.2</v>
      </c>
      <c r="CH98" s="15">
        <f>MIN(IF($AU98=100%,1,1+VLOOKUP(($AJ98-$AI98-$AH98-$AG98-$AF98-$AE98*(1+CH$3))/$AJ98,'Технический лист'!$I:$J,2,1)-VLOOKUP($AO98,'Технический лист'!$I:$J,2,1)),1+(1-$AU98))</f>
        <v>1.2</v>
      </c>
      <c r="CI98" s="15">
        <f>MIN(IF($AU98=100%,1,1+VLOOKUP(($AJ98-$AI98-$AH98-$AG98-$AF98-$AE98*(1+CI$3))/$AJ98,'Технический лист'!$I:$J,2,1)-VLOOKUP($AO98,'Технический лист'!$I:$J,2,1)),1+(1-$AU98))</f>
        <v>1.2</v>
      </c>
      <c r="CJ98" s="15">
        <f>MIN(IF($AU98=100%,1,1+VLOOKUP(($AJ98-$AI98-$AH98-$AG98-$AF98-$AE98*(1+CJ$3))/$AJ98,'Технический лист'!$I:$J,2,1)-VLOOKUP($AO98,'Технический лист'!$I:$J,2,1)),1+(1-$AU98))</f>
        <v>1.2</v>
      </c>
      <c r="CK98" s="15">
        <f>MIN(IF($AU98=100%,1,1+VLOOKUP(($AJ98-$AI98-$AH98-$AG98-$AF98-$AE98*(1+CK$3))/$AJ98,'Технический лист'!$I:$J,2,1)-VLOOKUP($AO98,'Технический лист'!$I:$J,2,1)),1+(1-$AU98))</f>
        <v>1.19</v>
      </c>
      <c r="CL98" s="15">
        <f>MIN(IF($AU98=100%,1,1+VLOOKUP(($AJ98-$AI98-$AH98-$AG98-$AF98-$AE98*(1+CL$3))/$AJ98,'Технический лист'!$I:$J,2,1)-VLOOKUP($AO98,'Технический лист'!$I:$J,2,1)),1+(1-$AU98))</f>
        <v>1.19</v>
      </c>
      <c r="CM98" s="15">
        <f>MIN(IF($AU98=100%,1,1+VLOOKUP(($AJ98-$AI98-$AH98-$AG98-$AF98-$AE98*(1+CM$3))/$AJ98,'Технический лист'!$I:$J,2,1)-VLOOKUP($AO98,'Технический лист'!$I:$J,2,1)),1+(1-$AU98))</f>
        <v>1.19</v>
      </c>
      <c r="CN98" s="15">
        <f>MIN(IF($AU98=100%,1,1+VLOOKUP(($AJ98-$AI98-$AH98-$AG98-$AF98-$AE98*(1+CN$3))/$AJ98,'Технический лист'!$I:$J,2,1)-VLOOKUP($AO98,'Технический лист'!$I:$J,2,1)),1+(1-$AU98))</f>
        <v>1.19</v>
      </c>
      <c r="CO98" s="15">
        <f>MIN(IF($AU98=100%,1,1+VLOOKUP(($AJ98-$AI98-$AH98-$AG98-$AF98-$AE98*(1+CO$3))/$AJ98,'Технический лист'!$I:$J,2,1)-VLOOKUP($AO98,'Технический лист'!$I:$J,2,1)),1+(1-$AU98))</f>
        <v>1.19</v>
      </c>
      <c r="CP98" s="15">
        <f>MIN(IF($AU98=100%,1,1+VLOOKUP(($AJ98-$AI98-$AH98-$AG98-$AF98-$AE98*(1+CP$3))/$AJ98,'Технический лист'!$I:$J,2,1)-VLOOKUP($AO98,'Технический лист'!$I:$J,2,1)),1+(1-$AU98))</f>
        <v>1.19</v>
      </c>
      <c r="CQ98" s="15">
        <f>MIN(IF($AU98=100%,1,1+VLOOKUP(($AJ98-$AI98-$AH98-$AG98-$AF98-$AE98*(1+CQ$3))/$AJ98,'Технический лист'!$I:$J,2,1)-VLOOKUP($AO98,'Технический лист'!$I:$J,2,1)),1+(1-$AU98))</f>
        <v>1.19</v>
      </c>
      <c r="CR98" s="15">
        <f>MIN(IF($AU98=100%,1,1+VLOOKUP(($AJ98-$AI98-$AH98-$AG98-$AF98-$AE98*(1+CR$3))/$AJ98,'Технический лист'!$I:$J,2,1)-VLOOKUP($AO98,'Технический лист'!$I:$J,2,1)),1+(1-$AU98))</f>
        <v>1.19</v>
      </c>
      <c r="CS98" s="15">
        <f>MIN(IF($AU98=100%,1,1+VLOOKUP(($AJ98-$AI98-$AH98-$AG98-$AF98-$AE98*(1+CS$3))/$AJ98,'Технический лист'!$I:$J,2,1)-VLOOKUP($AO98,'Технический лист'!$I:$J,2,1)),1+(1-$AU98))</f>
        <v>1.19</v>
      </c>
      <c r="CT98" s="15">
        <f>MIN(IF($AU98=100%,1,1+VLOOKUP(($AJ98-$AI98-$AH98-$AG98-$AF98-$AE98*(1+CT$3))/$AJ98,'Технический лист'!$I:$J,2,1)-VLOOKUP($AO98,'Технический лист'!$I:$J,2,1)),1+(1-$AU98))</f>
        <v>1.165</v>
      </c>
      <c r="CU98" s="15">
        <f>MIN(IF($AU98=100%,1,1+VLOOKUP(($AJ98-$AI98-$AH98-$AG98-$AF98-$AE98*(1+CU$3))/$AJ98,'Технический лист'!$I:$J,2,1)-VLOOKUP($AO98,'Технический лист'!$I:$J,2,1)),1+(1-$AU98))</f>
        <v>1.165</v>
      </c>
      <c r="CV98" s="15">
        <f>MIN(IF($AU98=100%,1,1+VLOOKUP(($AJ98-$AI98-$AH98-$AG98-$AF98-$AE98*(1+CV$3))/$AJ98,'Технический лист'!$I:$J,2,1)-VLOOKUP($AO98,'Технический лист'!$I:$J,2,1)),1+(1-$AU98))</f>
        <v>1.165</v>
      </c>
      <c r="CW98" s="15">
        <f>MIN(IF($AU98=100%,1,1+VLOOKUP(($AJ98-$AI98-$AH98-$AG98-$AF98-$AE98*(1+CW$3))/$AJ98,'Технический лист'!$I:$J,2,1)-VLOOKUP($AO98,'Технический лист'!$I:$J,2,1)),1+(1-$AU98))</f>
        <v>1.165</v>
      </c>
      <c r="CX98" s="15">
        <f>MIN(IF($AU98=100%,1,1+VLOOKUP(($AJ98-$AI98-$AH98-$AG98-$AF98-$AE98*(1+CX$3))/$AJ98,'Технический лист'!$I:$J,2,1)-VLOOKUP($AO98,'Технический лист'!$I:$J,2,1)),1+(1-$AU98))</f>
        <v>1.165</v>
      </c>
      <c r="CY98" s="15">
        <f>MIN(IF($AU98=100%,1,1+VLOOKUP(($AJ98-$AI98-$AH98-$AG98-$AF98-$AE98*(1+CY$3))/$AJ98,'Технический лист'!$I:$J,2,1)-VLOOKUP($AO98,'Технический лист'!$I:$J,2,1)),1+(1-$AU98))</f>
        <v>1.165</v>
      </c>
      <c r="CZ98" s="15">
        <f>MIN(IF($AU98=100%,1,1+VLOOKUP(($AJ98-$AI98-$AH98-$AG98-$AF98-$AE98*(1+CZ$3))/$AJ98,'Технический лист'!$I:$J,2,1)-VLOOKUP($AO98,'Технический лист'!$I:$J,2,1)),1+(1-$AU98))</f>
        <v>1.165</v>
      </c>
      <c r="DA98" s="15">
        <f>MIN(IF($AU98=100%,1,1+VLOOKUP(($AJ98-$AI98-$AH98-$AG98-$AF98-$AE98*(1+DA$3))/$AJ98,'Технический лист'!$I:$J,2,1)-VLOOKUP($AO98,'Технический лист'!$I:$J,2,1)),1+(1-$AU98))</f>
        <v>1.165</v>
      </c>
      <c r="DB98" s="15">
        <f>MIN(IF($AU98=100%,1,1+VLOOKUP(($AJ98-$AI98-$AH98-$AG98-$AF98-$AE98*(1+DB$3))/$AJ98,'Технический лист'!$I:$J,2,1)-VLOOKUP($AO98,'Технический лист'!$I:$J,2,1)),1+(1-$AU98))</f>
        <v>1.1400000000000001</v>
      </c>
      <c r="DC98" s="15">
        <f>MIN(IF($AU98=100%,1,1+VLOOKUP(($AJ98-$AI98-$AH98-$AG98-$AF98-$AE98*(1+DC$3))/$AJ98,'Технический лист'!$I:$J,2,1)-VLOOKUP($AO98,'Технический лист'!$I:$J,2,1)),1+(1-$AU98))</f>
        <v>1.1400000000000001</v>
      </c>
      <c r="DD98" s="15">
        <f>MIN(IF($AU98=100%,1,1+VLOOKUP(($AJ98-$AI98-$AH98-$AG98-$AF98-$AE98*(1+DD$3))/$AJ98,'Технический лист'!$I:$J,2,1)-VLOOKUP($AO98,'Технический лист'!$I:$J,2,1)),1+(1-$AU98))</f>
        <v>1.1400000000000001</v>
      </c>
      <c r="DE98" s="15">
        <f>MIN(IF($AU98=100%,1,1+VLOOKUP(($AJ98-$AI98-$AH98-$AG98-$AF98-$AE98*(1+DE$3))/$AJ98,'Технический лист'!$I:$J,2,1)-VLOOKUP($AO98,'Технический лист'!$I:$J,2,1)),1+(1-$AU98))</f>
        <v>1.1400000000000001</v>
      </c>
      <c r="DF98" s="15">
        <f>MIN(IF($AU98=100%,1,1+VLOOKUP(($AJ98-$AI98-$AH98-$AG98-$AF98-$AE98*(1+DF$3))/$AJ98,'Технический лист'!$I:$J,2,1)-VLOOKUP($AO98,'Технический лист'!$I:$J,2,1)),1+(1-$AU98))</f>
        <v>1.1400000000000001</v>
      </c>
      <c r="DG98" s="15">
        <f>MIN(IF($AU98=100%,1,1+VLOOKUP(($AJ98-$AI98-$AH98-$AG98-$AF98-$AE98*(1+DG$3))/$AJ98,'Технический лист'!$I:$J,2,1)-VLOOKUP($AO98,'Технический лист'!$I:$J,2,1)),1+(1-$AU98))</f>
        <v>1.1400000000000001</v>
      </c>
      <c r="DH98" s="15">
        <f>MIN(IF($AU98=100%,1,1+VLOOKUP(($AJ98-$AI98-$AH98-$AG98-$AF98-$AE98*(1+DH$3))/$AJ98,'Технический лист'!$I:$J,2,1)-VLOOKUP($AO98,'Технический лист'!$I:$J,2,1)),1+(1-$AU98))</f>
        <v>1.1400000000000001</v>
      </c>
      <c r="DI98" s="15">
        <f>MIN(IF($AU98=100%,1,1+VLOOKUP(($AJ98-$AI98-$AH98-$AG98-$AF98-$AE98*(1+DI$3))/$AJ98,'Технический лист'!$I:$J,2,1)-VLOOKUP($AO98,'Технический лист'!$I:$J,2,1)),1+(1-$AU98))</f>
        <v>1.1400000000000001</v>
      </c>
      <c r="DJ98" s="15">
        <f>MIN(IF($AU98=100%,1,1+VLOOKUP(($AJ98-$AI98-$AH98-$AG98-$AF98-$AE98*(1+DJ$3))/$AJ98,'Технический лист'!$I:$J,2,1)-VLOOKUP($AO98,'Технический лист'!$I:$J,2,1)),1+(1-$AU98))</f>
        <v>1.1400000000000001</v>
      </c>
      <c r="DK98" s="15">
        <f>MIN(IF($AU98=100%,1,1+VLOOKUP(($AJ98-$AI98-$AH98-$AG98-$AF98-$AE98*(1+DK$3))/$AJ98,'Технический лист'!$I:$J,2,1)-VLOOKUP($AO98,'Технический лист'!$I:$J,2,1)),1+(1-$AU98))</f>
        <v>1.1149999999999998</v>
      </c>
      <c r="DL98" s="15">
        <f>MIN(IF($AU98=100%,1,1+VLOOKUP(($AJ98-$AI98-$AH98-$AG98-$AF98-$AE98*(1+DL$3))/$AJ98,'Технический лист'!$I:$J,2,1)-VLOOKUP($AO98,'Технический лист'!$I:$J,2,1)),1+(1-$AU98))</f>
        <v>1.1149999999999998</v>
      </c>
      <c r="DM98" s="15">
        <f>MIN(IF($AU98=100%,1,1+VLOOKUP(($AJ98-$AI98-$AH98-$AG98-$AF98-$AE98*(1+DM$3))/$AJ98,'Технический лист'!$I:$J,2,1)-VLOOKUP($AO98,'Технический лист'!$I:$J,2,1)),1+(1-$AU98))</f>
        <v>1.1149999999999998</v>
      </c>
      <c r="DN98" s="15">
        <f>MIN(IF($AU98=100%,1,1+VLOOKUP(($AJ98-$AI98-$AH98-$AG98-$AF98-$AE98*(1+DN$3))/$AJ98,'Технический лист'!$I:$J,2,1)-VLOOKUP($AO98,'Технический лист'!$I:$J,2,1)),1+(1-$AU98))</f>
        <v>1.1149999999999998</v>
      </c>
      <c r="DO98" s="15">
        <f>MIN(IF($AU98=100%,1,1+VLOOKUP(($AJ98-$AI98-$AH98-$AG98-$AF98-$AE98*(1+DO$3))/$AJ98,'Технический лист'!$I:$J,2,1)-VLOOKUP($AO98,'Технический лист'!$I:$J,2,1)),1+(1-$AU98))</f>
        <v>1.1149999999999998</v>
      </c>
      <c r="DP98" s="15">
        <f>MIN(IF($AU98=100%,1,1+VLOOKUP(($AJ98-$AI98-$AH98-$AG98-$AF98-$AE98*(1+DP$3))/$AJ98,'Технический лист'!$I:$J,2,1)-VLOOKUP($AO98,'Технический лист'!$I:$J,2,1)),1+(1-$AU98))</f>
        <v>1.1149999999999998</v>
      </c>
      <c r="DQ98" s="15">
        <f>MIN(IF($AU98=100%,1,1+VLOOKUP(($AJ98-$AI98-$AH98-$AG98-$AF98-$AE98*(1+DQ$3))/$AJ98,'Технический лист'!$I:$J,2,1)-VLOOKUP($AO98,'Технический лист'!$I:$J,2,1)),1+(1-$AU98))</f>
        <v>1.1149999999999998</v>
      </c>
      <c r="DR98" s="15">
        <f>MIN(IF($AU98=100%,1,1+VLOOKUP(($AJ98-$AI98-$AH98-$AG98-$AF98-$AE98*(1+DR$3))/$AJ98,'Технический лист'!$I:$J,2,1)-VLOOKUP($AO98,'Технический лист'!$I:$J,2,1)),1+(1-$AU98))</f>
        <v>1.1149999999999998</v>
      </c>
      <c r="DS98" s="15">
        <f>MIN(IF($AU98=100%,1,1+VLOOKUP(($AJ98-$AI98-$AH98-$AG98-$AF98-$AE98*(1+DS$3))/$AJ98,'Технический лист'!$I:$J,2,1)-VLOOKUP($AO98,'Технический лист'!$I:$J,2,1)),1+(1-$AU98))</f>
        <v>1.0899999999999999</v>
      </c>
      <c r="DT98" s="15">
        <f>MIN(IF($AU98=100%,1,1+VLOOKUP(($AJ98-$AI98-$AH98-$AG98-$AF98-$AE98*(1+DT$3))/$AJ98,'Технический лист'!$I:$J,2,1)-VLOOKUP($AO98,'Технический лист'!$I:$J,2,1)),1+(1-$AU98))</f>
        <v>1.0899999999999999</v>
      </c>
      <c r="DU98" s="15">
        <f>MIN(IF($AU98=100%,1,1+VLOOKUP(($AJ98-$AI98-$AH98-$AG98-$AF98-$AE98*(1+DU$3))/$AJ98,'Технический лист'!$I:$J,2,1)-VLOOKUP($AO98,'Технический лист'!$I:$J,2,1)),1+(1-$AU98))</f>
        <v>1.0899999999999999</v>
      </c>
      <c r="DV98" s="15">
        <f>MIN(IF($AU98=100%,1,1+VLOOKUP(($AJ98-$AI98-$AH98-$AG98-$AF98-$AE98*(1+DV$3))/$AJ98,'Технический лист'!$I:$J,2,1)-VLOOKUP($AO98,'Технический лист'!$I:$J,2,1)),1+(1-$AU98))</f>
        <v>1.0899999999999999</v>
      </c>
      <c r="DW98" s="15">
        <f>MIN(IF($AU98=100%,1,1+VLOOKUP(($AJ98-$AI98-$AH98-$AG98-$AF98-$AE98*(1+DW$3))/$AJ98,'Технический лист'!$I:$J,2,1)-VLOOKUP($AO98,'Технический лист'!$I:$J,2,1)),1+(1-$AU98))</f>
        <v>1.0899999999999999</v>
      </c>
      <c r="DX98" s="15">
        <f>MIN(IF($AU98=100%,1,1+VLOOKUP(($AJ98-$AI98-$AH98-$AG98-$AF98-$AE98*(1+DX$3))/$AJ98,'Технический лист'!$I:$J,2,1)-VLOOKUP($AO98,'Технический лист'!$I:$J,2,1)),1+(1-$AU98))</f>
        <v>1.0899999999999999</v>
      </c>
      <c r="DY98" s="15">
        <f>MIN(IF($AU98=100%,1,1+VLOOKUP(($AJ98-$AI98-$AH98-$AG98-$AF98-$AE98*(1+DY$3))/$AJ98,'Технический лист'!$I:$J,2,1)-VLOOKUP($AO98,'Технический лист'!$I:$J,2,1)),1+(1-$AU98))</f>
        <v>1.0899999999999999</v>
      </c>
      <c r="DZ98" s="15">
        <f>MIN(IF($AU98=100%,1,1+VLOOKUP(($AJ98-$AI98-$AH98-$AG98-$AF98-$AE98*(1+DZ$3))/$AJ98,'Технический лист'!$I:$J,2,1)-VLOOKUP($AO98,'Технический лист'!$I:$J,2,1)),1+(1-$AU98))</f>
        <v>1.0899999999999999</v>
      </c>
      <c r="EA98" s="15">
        <f>MIN(IF($AU98=100%,1,1+VLOOKUP(($AJ98-$AI98-$AH98-$AG98-$AF98-$AE98*(1+EA$3))/$AJ98,'Технический лист'!$I:$J,2,1)-VLOOKUP($AO98,'Технический лист'!$I:$J,2,1)),1+(1-$AU98))</f>
        <v>1.0899999999999999</v>
      </c>
      <c r="EB98" s="15">
        <f>MIN(IF($AU98=100%,1,1+VLOOKUP(($AJ98-$AI98-$AH98-$AG98-$AF98-$AE98*(1+EB$3))/$AJ98,'Технический лист'!$I:$J,2,1)-VLOOKUP($AO98,'Технический лист'!$I:$J,2,1)),1+(1-$AU98))</f>
        <v>1.06</v>
      </c>
      <c r="EC98" s="15">
        <f>MIN(IF($AU98=100%,1,1+VLOOKUP(($AJ98-$AI98-$AH98-$AG98-$AF98-$AE98*(1+EC$3))/$AJ98,'Технический лист'!$I:$J,2,1)-VLOOKUP($AO98,'Технический лист'!$I:$J,2,1)),1+(1-$AU98))</f>
        <v>1.06</v>
      </c>
      <c r="ED98" s="15">
        <f>MIN(IF($AU98=100%,1,1+VLOOKUP(($AJ98-$AI98-$AH98-$AG98-$AF98-$AE98*(1+ED$3))/$AJ98,'Технический лист'!$I:$J,2,1)-VLOOKUP($AO98,'Технический лист'!$I:$J,2,1)),1+(1-$AU98))</f>
        <v>1.06</v>
      </c>
      <c r="EE98" s="15">
        <f>MIN(IF($AU98=100%,1,1+VLOOKUP(($AJ98-$AI98-$AH98-$AG98-$AF98-$AE98*(1+EE$3))/$AJ98,'Технический лист'!$I:$J,2,1)-VLOOKUP($AO98,'Технический лист'!$I:$J,2,1)),1+(1-$AU98))</f>
        <v>1.06</v>
      </c>
      <c r="EF98" s="15">
        <f>MIN(IF($AU98=100%,1,1+VLOOKUP(($AJ98-$AI98-$AH98-$AG98-$AF98-$AE98*(1+EF$3))/$AJ98,'Технический лист'!$I:$J,2,1)-VLOOKUP($AO98,'Технический лист'!$I:$J,2,1)),1+(1-$AU98))</f>
        <v>1.06</v>
      </c>
      <c r="EG98" s="15">
        <f>MIN(IF($AU98=100%,1,1+VLOOKUP(($AJ98-$AI98-$AH98-$AG98-$AF98-$AE98*(1+EG$3))/$AJ98,'Технический лист'!$I:$J,2,1)-VLOOKUP($AO98,'Технический лист'!$I:$J,2,1)),1+(1-$AU98))</f>
        <v>1.06</v>
      </c>
      <c r="EH98" s="15">
        <f>MIN(IF($AU98=100%,1,1+VLOOKUP(($AJ98-$AI98-$AH98-$AG98-$AF98-$AE98*(1+EH$3))/$AJ98,'Технический лист'!$I:$J,2,1)-VLOOKUP($AO98,'Технический лист'!$I:$J,2,1)),1+(1-$AU98))</f>
        <v>1.06</v>
      </c>
      <c r="EI98" s="15">
        <f>MIN(IF($AU98=100%,1,1+VLOOKUP(($AJ98-$AI98-$AH98-$AG98-$AF98-$AE98*(1+EI$3))/$AJ98,'Технический лист'!$I:$J,2,1)-VLOOKUP($AO98,'Технический лист'!$I:$J,2,1)),1+(1-$AU98))</f>
        <v>1.06</v>
      </c>
      <c r="EJ98" s="15">
        <f>MIN(IF($AU98=100%,1,1+VLOOKUP(($AJ98-$AI98-$AH98-$AG98-$AF98-$AE98*(1+EJ$3))/$AJ98,'Технический лист'!$I:$J,2,1)-VLOOKUP($AO98,'Технический лист'!$I:$J,2,1)),1+(1-$AU98))</f>
        <v>1.0299999999999998</v>
      </c>
      <c r="EK98" s="15">
        <f>MIN(IF($AU98=100%,1,1+VLOOKUP(($AJ98-$AI98-$AH98-$AG98-$AF98-$AE98*(1+EK$3))/$AJ98,'Технический лист'!$I:$J,2,1)-VLOOKUP($AO98,'Технический лист'!$I:$J,2,1)),1+(1-$AU98))</f>
        <v>1.0299999999999998</v>
      </c>
      <c r="EL98" s="15">
        <f>MIN(IF($AU98=100%,1,1+VLOOKUP(($AJ98-$AI98-$AH98-$AG98-$AF98-$AE98*(1+EL$3))/$AJ98,'Технический лист'!$I:$J,2,1)-VLOOKUP($AO98,'Технический лист'!$I:$J,2,1)),1+(1-$AU98))</f>
        <v>1.0299999999999998</v>
      </c>
      <c r="EM98" s="15">
        <f>MIN(IF($AU98=100%,1,1+VLOOKUP(($AJ98-$AI98-$AH98-$AG98-$AF98-$AE98*(1+EM$3))/$AJ98,'Технический лист'!$I:$J,2,1)-VLOOKUP($AO98,'Технический лист'!$I:$J,2,1)),1+(1-$AU98))</f>
        <v>1.0299999999999998</v>
      </c>
      <c r="EN98" s="15">
        <f>MIN(IF($AU98=100%,1,1+VLOOKUP(($AJ98-$AI98-$AH98-$AG98-$AF98-$AE98*(1+EN$3))/$AJ98,'Технический лист'!$I:$J,2,1)-VLOOKUP($AO98,'Технический лист'!$I:$J,2,1)),1+(1-$AU98))</f>
        <v>1.0299999999999998</v>
      </c>
      <c r="EO98" s="15">
        <f>MIN(IF($AU98=100%,1,1+VLOOKUP(($AJ98-$AI98-$AH98-$AG98-$AF98-$AE98*(1+EO$3))/$AJ98,'Технический лист'!$I:$J,2,1)-VLOOKUP($AO98,'Технический лист'!$I:$J,2,1)),1+(1-$AU98))</f>
        <v>1.0299999999999998</v>
      </c>
      <c r="EP98" s="15">
        <f>MIN(IF($AU98=100%,1,1+VLOOKUP(($AJ98-$AI98-$AH98-$AG98-$AF98-$AE98*(1+EP$3))/$AJ98,'Технический лист'!$I:$J,2,1)-VLOOKUP($AO98,'Технический лист'!$I:$J,2,1)),1+(1-$AU98))</f>
        <v>1.0299999999999998</v>
      </c>
      <c r="EQ98" s="15">
        <f>MIN(IF($AU98=100%,1,1+VLOOKUP(($AJ98-$AI98-$AH98-$AG98-$AF98-$AE98*(1+EQ$3))/$AJ98,'Технический лист'!$I:$J,2,1)-VLOOKUP($AO98,'Технический лист'!$I:$J,2,1)),1+(1-$AU98))</f>
        <v>1.0299999999999998</v>
      </c>
      <c r="ER98" s="15">
        <f>MIN(IF($AU98=100%,1,1+VLOOKUP(($AJ98-$AI98-$AH98-$AG98-$AF98-$AE98*(1+ER$3))/$AJ98,'Технический лист'!$I:$J,2,1)-VLOOKUP($AO98,'Технический лист'!$I:$J,2,1)),1+(1-$AU98))</f>
        <v>1.0299999999999998</v>
      </c>
      <c r="ES98" s="15">
        <f>MIN(IF($AU98=100%,1,1+VLOOKUP(($AJ98-$AI98-$AH98-$AG98-$AF98-$AE98*(1+ES$3))/$AJ98,'Технический лист'!$I:$J,2,1)-VLOOKUP($AO98,'Технический лист'!$I:$J,2,1)),1+(1-$AU98))</f>
        <v>1</v>
      </c>
      <c r="ET98" s="15">
        <f>MIN(IF($AU98=100%,1,1+VLOOKUP(($AJ98-$AI98-$AH98-$AG98-$AF98-$AE98*(1+ET$3))/$AJ98,'Технический лист'!$I:$J,2,1)-VLOOKUP($AO98,'Технический лист'!$I:$J,2,1)),1+(1-$AU98))</f>
        <v>1</v>
      </c>
      <c r="EU98" s="15">
        <f>MIN(IF($AU98=100%,1,1+VLOOKUP(($AJ98-$AI98-$AH98-$AG98-$AF98-$AE98*(1+EU$3))/$AJ98,'Технический лист'!$I:$J,2,1)-VLOOKUP($AO98,'Технический лист'!$I:$J,2,1)),1+(1-$AU98))</f>
        <v>1</v>
      </c>
      <c r="EV98" s="111">
        <v>1</v>
      </c>
      <c r="EW98" s="15">
        <f>MIN(1,MAX(VLOOKUP(($AJ98-$AI98-$AH98-$AG98-$AF98-$AE98*(1+EW$3))/$AJ98,'Технический лист'!$A:$B,2,1),(EV98-0.05)))</f>
        <v>0.96</v>
      </c>
      <c r="EX98" s="15">
        <f>MIN(1,MAX(VLOOKUP(($AJ98-$AI98-$AH98-$AG98-$AF98-$AE98*(1+EX$3))/$AJ98,'Технический лист'!$A:$B,2,1),(EW98-0.05)))</f>
        <v>0.96</v>
      </c>
      <c r="EY98" s="15">
        <f>MIN(1,MAX(VLOOKUP(($AJ98-$AI98-$AH98-$AG98-$AF98-$AE98*(1+EY$3))/$AJ98,'Технический лист'!$A:$B,2,1),(EX98-0.05)))</f>
        <v>0.96</v>
      </c>
      <c r="EZ98" s="15">
        <f>MIN(1,MAX(VLOOKUP(($AJ98-$AI98-$AH98-$AG98-$AF98-$AE98*(1+EZ$3))/$AJ98,'Технический лист'!$A:$B,2,1),(EY98-0.05)))</f>
        <v>0.96</v>
      </c>
      <c r="FA98" s="15">
        <f>MIN(1,MAX(VLOOKUP(($AJ98-$AI98-$AH98-$AG98-$AF98-$AE98*(1+FA$3))/$AJ98,'Технический лист'!$A:$B,2,1),(EZ98-0.05)))</f>
        <v>0.96</v>
      </c>
      <c r="FB98" s="15">
        <f>MIN(1,MAX(VLOOKUP(($AJ98-$AI98-$AH98-$AG98-$AF98-$AE98*(1+FB$3))/$AJ98,'Технический лист'!$A:$B,2,1),(FA98-0.05)))</f>
        <v>0.96</v>
      </c>
      <c r="FC98" s="15">
        <f>MIN(1,MAX(VLOOKUP(($AJ98-$AI98-$AH98-$AG98-$AF98-$AE98*(1+FC$3))/$AJ98,'Технический лист'!$A:$B,2,1),(FB98-0.05)))</f>
        <v>0.96</v>
      </c>
      <c r="FD98" s="15">
        <f>MIN(1,MAX(VLOOKUP(($AJ98-$AI98-$AH98-$AG98-$AF98-$AE98*(1+FD$3))/$AJ98,'Технический лист'!$A:$B,2,1),(FC98-0.05)))</f>
        <v>0.96</v>
      </c>
      <c r="FE98" s="15">
        <f>MIN(1,MAX(VLOOKUP(($AJ98-$AI98-$AH98-$AG98-$AF98-$AE98*(1+FE$3))/$AJ98,'Технический лист'!$A:$B,2,1),(FD98-0.05)))</f>
        <v>0.96</v>
      </c>
      <c r="FF98" s="15">
        <f>MIN(1,MAX(VLOOKUP(($AJ98-$AI98-$AH98-$AG98-$AF98-$AE98*(1+FF$3))/$AJ98,'Технический лист'!$A:$B,2,1),(FE98-0.05)))</f>
        <v>0.96</v>
      </c>
      <c r="FG98" s="15">
        <f>MIN(1,MAX(VLOOKUP(($AJ98-$AI98-$AH98-$AG98-$AF98-$AE98*(1+FG$3))/$AJ98,'Технический лист'!$A:$B,2,1),(FF98-0.05)))</f>
        <v>0.96</v>
      </c>
      <c r="FH98" s="15">
        <f>MIN(1,MAX(VLOOKUP(($AJ98-$AI98-$AH98-$AG98-$AF98-$AE98*(1+FH$3))/$AJ98,'Технический лист'!$A:$B,2,1),(FG98-0.05)))</f>
        <v>0.96</v>
      </c>
      <c r="FI98" s="15">
        <f>MIN(1,MAX(VLOOKUP(($AJ98-$AI98-$AH98-$AG98-$AF98-$AE98*(1+FI$3))/$AJ98,'Технический лист'!$A:$B,2,1),(FH98-0.05)))</f>
        <v>0.96</v>
      </c>
      <c r="FJ98" s="15">
        <f>MIN(1,MAX(VLOOKUP(($AJ98-$AI98-$AH98-$AG98-$AF98-$AE98*(1+FJ$3))/$AJ98,'Технический лист'!$A:$B,2,1),(FI98-0.05)))</f>
        <v>0.95499999999999996</v>
      </c>
      <c r="FK98" s="15">
        <f>MIN(1,MAX(VLOOKUP(($AJ98-$AI98-$AH98-$AG98-$AF98-$AE98*(1+FK$3))/$AJ98,'Технический лист'!$A:$B,2,1),(FJ98-0.05)))</f>
        <v>0.95499999999999996</v>
      </c>
      <c r="FL98" s="15">
        <f>MIN(1,MAX(VLOOKUP(($AJ98-$AI98-$AH98-$AG98-$AF98-$AE98*(1+FL$3))/$AJ98,'Технический лист'!$A:$B,2,1),(FK98-0.05)))</f>
        <v>0.95499999999999996</v>
      </c>
      <c r="FM98" s="15">
        <f>MIN(1,MAX(VLOOKUP(($AJ98-$AI98-$AH98-$AG98-$AF98-$AE98*(1+FM$3))/$AJ98,'Технический лист'!$A:$B,2,1),(FL98-0.05)))</f>
        <v>0.95499999999999996</v>
      </c>
      <c r="FN98" s="15">
        <f>MIN(1,MAX(VLOOKUP(($AJ98-$AI98-$AH98-$AG98-$AF98-$AE98*(1+FN$3))/$AJ98,'Технический лист'!$A:$B,2,1),(FM98-0.05)))</f>
        <v>0.95499999999999996</v>
      </c>
      <c r="FO98" s="15">
        <f>MIN(1,MAX(VLOOKUP(($AJ98-$AI98-$AH98-$AG98-$AF98-$AE98*(1+FO$3))/$AJ98,'Технический лист'!$A:$B,2,1),(FN98-0.05)))</f>
        <v>0.95499999999999996</v>
      </c>
      <c r="FP98" s="15">
        <f>MIN(1,MAX(VLOOKUP(($AJ98-$AI98-$AH98-$AG98-$AF98-$AE98*(1+FP$3))/$AJ98,'Технический лист'!$A:$B,2,1),(FO98-0.05)))</f>
        <v>0.95499999999999996</v>
      </c>
      <c r="FQ98" s="15">
        <f>MIN(1,MAX(VLOOKUP(($AJ98-$AI98-$AH98-$AG98-$AF98-$AE98*(1+FQ$3))/$AJ98,'Технический лист'!$A:$B,2,1),(FP98-0.05)))</f>
        <v>0.95499999999999996</v>
      </c>
      <c r="FR98" s="15">
        <f>MIN(1,MAX(VLOOKUP(($AJ98-$AI98-$AH98-$AG98-$AF98-$AE98*(1+FR$3))/$AJ98,'Технический лист'!$A:$B,2,1),(FQ98-0.05)))</f>
        <v>0.95499999999999996</v>
      </c>
      <c r="FS98" s="15">
        <f>MIN(1,MAX(VLOOKUP(($AJ98-$AI98-$AH98-$AG98-$AF98-$AE98*(1+FS$3))/$AJ98,'Технический лист'!$A:$B,2,1),(FR98-0.05)))</f>
        <v>0.95499999999999996</v>
      </c>
      <c r="FT98" s="15">
        <f>MIN(1,MAX(VLOOKUP(($AJ98-$AI98-$AH98-$AG98-$AF98-$AE98*(1+FT$3))/$AJ98,'Технический лист'!$A:$B,2,1),(FS98-0.05)))</f>
        <v>0.95499999999999996</v>
      </c>
      <c r="FU98" s="15">
        <f>MIN(1,MAX(VLOOKUP(($AJ98-$AI98-$AH98-$AG98-$AF98-$AE98*(1+FU$3))/$AJ98,'Технический лист'!$A:$B,2,1),(FT98-0.05)))</f>
        <v>0.95499999999999996</v>
      </c>
      <c r="FV98" s="15">
        <f>MIN(1,MAX(VLOOKUP(($AJ98-$AI98-$AH98-$AG98-$AF98-$AE98*(1+FV$3))/$AJ98,'Технический лист'!$A:$B,2,1),(FU98-0.05)))</f>
        <v>0.95499999999999996</v>
      </c>
      <c r="FW98" s="15">
        <f>MIN(1,MAX(VLOOKUP(($AJ98-$AI98-$AH98-$AG98-$AF98-$AE98*(1+FW$3))/$AJ98,'Технический лист'!$A:$B,2,1),(FV98-0.05)))</f>
        <v>0.95499999999999996</v>
      </c>
      <c r="FX98" s="15">
        <f>MIN(1,MAX(VLOOKUP(($AJ98-$AI98-$AH98-$AG98-$AF98-$AE98*(1+FX$3))/$AJ98,'Технический лист'!$A:$B,2,1),(FW98-0.05)))</f>
        <v>0.95499999999999996</v>
      </c>
      <c r="FY98" s="15">
        <f>MIN(1,MAX(VLOOKUP(($AJ98-$AI98-$AH98-$AG98-$AF98-$AE98*(1+FY$3))/$AJ98,'Технический лист'!$A:$B,2,1),(FX98-0.05)))</f>
        <v>0.95499999999999996</v>
      </c>
      <c r="FZ98" s="15">
        <f>MIN(1,MAX(VLOOKUP(($AJ98-$AI98-$AH98-$AG98-$AF98-$AE98*(1+FZ$3))/$AJ98,'Технический лист'!$A:$B,2,1),(FY98-0.05)))</f>
        <v>0.95499999999999996</v>
      </c>
      <c r="GA98" s="15">
        <f>MIN(1,MAX(VLOOKUP(($AJ98-$AI98-$AH98-$AG98-$AF98-$AE98*(1+GA$3))/$AJ98,'Технический лист'!$A:$B,2,1),(FZ98-0.05)))</f>
        <v>0.95</v>
      </c>
      <c r="GB98" s="15">
        <f>MIN(1,MAX(VLOOKUP(($AJ98-$AI98-$AH98-$AG98-$AF98-$AE98*(1+GB$3))/$AJ98,'Технический лист'!$A:$B,2,1),(GA98-0.05)))</f>
        <v>0.95</v>
      </c>
      <c r="GC98" s="15">
        <f>MIN(1,MAX(VLOOKUP(($AJ98-$AI98-$AH98-$AG98-$AF98-$AE98*(1+GC$3))/$AJ98,'Технический лист'!$A:$B,2,1),(GB98-0.05)))</f>
        <v>0.95</v>
      </c>
      <c r="GD98" s="15">
        <f>MIN(1,MAX(VLOOKUP(($AJ98-$AI98-$AH98-$AG98-$AF98-$AE98*(1+GD$3))/$AJ98,'Технический лист'!$A:$B,2,1),(GC98-0.05)))</f>
        <v>0.95</v>
      </c>
      <c r="GE98" s="15">
        <f>MIN(1,MAX(VLOOKUP(($AJ98-$AI98-$AH98-$AG98-$AF98-$AE98*(1+GE$3))/$AJ98,'Технический лист'!$A:$B,2,1),(GD98-0.05)))</f>
        <v>0.95</v>
      </c>
      <c r="GF98" s="15">
        <f>MIN(1,MAX(VLOOKUP(($AJ98-$AI98-$AH98-$AG98-$AF98-$AE98*(1+GF$3))/$AJ98,'Технический лист'!$A:$B,2,1),(GE98-0.05)))</f>
        <v>0.95</v>
      </c>
      <c r="GG98" s="15">
        <f>MIN(1,MAX(VLOOKUP(($AJ98-$AI98-$AH98-$AG98-$AF98-$AE98*(1+GG$3))/$AJ98,'Технический лист'!$A:$B,2,1),(GF98-0.05)))</f>
        <v>0.95</v>
      </c>
      <c r="GH98" s="15">
        <f>MIN(1,MAX(VLOOKUP(($AJ98-$AI98-$AH98-$AG98-$AF98-$AE98*(1+GH$3))/$AJ98,'Технический лист'!$A:$B,2,1),(GG98-0.05)))</f>
        <v>0.95</v>
      </c>
      <c r="GI98" s="15">
        <f>MIN(1,MAX(VLOOKUP(($AJ98-$AI98-$AH98-$AG98-$AF98-$AE98*(1+GI$3))/$AJ98,'Технический лист'!$A:$B,2,1),(GH98-0.05)))</f>
        <v>0.95</v>
      </c>
      <c r="GJ98" s="15">
        <f>MIN(1,MAX(VLOOKUP(($AJ98-$AI98-$AH98-$AG98-$AF98-$AE98*(1+GJ$3))/$AJ98,'Технический лист'!$A:$B,2,1),(GI98-0.05)))</f>
        <v>0.95</v>
      </c>
      <c r="GK98" s="15">
        <f>MIN(1,MAX(VLOOKUP(($AJ98-$AI98-$AH98-$AG98-$AF98-$AE98*(1+GK$3))/$AJ98,'Технический лист'!$A:$B,2,1),(GJ98-0.05)))</f>
        <v>0.95</v>
      </c>
      <c r="GL98" s="15">
        <f>MIN(1,MAX(VLOOKUP(($AJ98-$AI98-$AH98-$AG98-$AF98-$AE98*(1+GL$3))/$AJ98,'Технический лист'!$A:$B,2,1),(GK98-0.05)))</f>
        <v>0.95</v>
      </c>
      <c r="GM98" s="15">
        <f>MIN(1,MAX(VLOOKUP(($AJ98-$AI98-$AH98-$AG98-$AF98-$AE98*(1+GM$3))/$AJ98,'Технический лист'!$A:$B,2,1),(GL98-0.05)))</f>
        <v>0.95</v>
      </c>
      <c r="GN98" s="15">
        <f>MIN(1,MAX(VLOOKUP(($AJ98-$AI98-$AH98-$AG98-$AF98-$AE98*(1+GN$3))/$AJ98,'Технический лист'!$A:$B,2,1),(GM98-0.05)))</f>
        <v>0.95</v>
      </c>
      <c r="GO98" s="15">
        <f>MIN(1,MAX(VLOOKUP(($AJ98-$AI98-$AH98-$AG98-$AF98-$AE98*(1+GO$3))/$AJ98,'Технический лист'!$A:$B,2,1),(GN98-0.05)))</f>
        <v>0.95</v>
      </c>
      <c r="GP98" s="15">
        <f>MIN(1,MAX(VLOOKUP(($AJ98-$AI98-$AH98-$AG98-$AF98-$AE98*(1+GP$3))/$AJ98,'Технический лист'!$A:$B,2,1),(GO98-0.05)))</f>
        <v>0.95</v>
      </c>
      <c r="GQ98" s="15">
        <f>MIN(1,MAX(VLOOKUP(($AJ98-$AI98-$AH98-$AG98-$AF98-$AE98*(1+GQ$3))/$AJ98,'Технический лист'!$A:$B,2,1),(GP98-0.05)))</f>
        <v>0.95</v>
      </c>
      <c r="GR98" s="15">
        <f>MIN(1,MAX(VLOOKUP(($AJ98-$AI98-$AH98-$AG98-$AF98-$AE98*(1+GR$3))/$AJ98,'Технический лист'!$A:$B,2,1),(GQ98-0.05)))</f>
        <v>0.94499999999999995</v>
      </c>
      <c r="GS98" s="15">
        <f>MIN(1,MAX(VLOOKUP(($AJ98-$AI98-$AH98-$AG98-$AF98-$AE98*(1+GS$3))/$AJ98,'Технический лист'!$A:$B,2,1),(GR98-0.05)))</f>
        <v>0.94499999999999995</v>
      </c>
      <c r="GT98" s="15">
        <f>MIN(1,MAX(VLOOKUP(($AJ98-$AI98-$AH98-$AG98-$AF98-$AE98*(1+GT$3))/$AJ98,'Технический лист'!$A:$B,2,1),(GS98-0.05)))</f>
        <v>0.94499999999999995</v>
      </c>
      <c r="GU98" s="15">
        <f>MIN(1,MAX(VLOOKUP(($AJ98-$AI98-$AH98-$AG98-$AF98-$AE98*(1+GU$3))/$AJ98,'Технический лист'!$A:$B,2,1),(GT98-0.05)))</f>
        <v>0.94499999999999995</v>
      </c>
      <c r="GV98" s="15">
        <f>MIN(1,MAX(VLOOKUP(($AJ98-$AI98-$AH98-$AG98-$AF98-$AE98*(1+GV$3))/$AJ98,'Технический лист'!$A:$B,2,1),(GU98-0.05)))</f>
        <v>0.94499999999999995</v>
      </c>
      <c r="GW98" s="15">
        <f>MIN(1,MAX(VLOOKUP(($AJ98-$AI98-$AH98-$AG98-$AF98-$AE98*(1+GW$3))/$AJ98,'Технический лист'!$A:$B,2,1),(GV98-0.05)))</f>
        <v>0.94499999999999995</v>
      </c>
      <c r="GX98" s="15">
        <f>MIN(1,MAX(VLOOKUP(($AJ98-$AI98-$AH98-$AG98-$AF98-$AE98*(1+GX$3))/$AJ98,'Технический лист'!$A:$B,2,1),(GW98-0.05)))</f>
        <v>0.94499999999999995</v>
      </c>
      <c r="GY98" s="15">
        <f>MIN(1,MAX(VLOOKUP(($AJ98-$AI98-$AH98-$AG98-$AF98-$AE98*(1+GY$3))/$AJ98,'Технический лист'!$A:$B,2,1),(GX98-0.05)))</f>
        <v>0.94499999999999995</v>
      </c>
      <c r="GZ98" s="15">
        <f>MIN(1,MAX(VLOOKUP(($AJ98-$AI98-$AH98-$AG98-$AF98-$AE98*(1+GZ$3))/$AJ98,'Технический лист'!$A:$B,2,1),(GY98-0.05)))</f>
        <v>0.94499999999999995</v>
      </c>
      <c r="HA98" s="15">
        <f>MIN(1,MAX(VLOOKUP(($AJ98-$AI98-$AH98-$AG98-$AF98-$AE98*(1+HA$3))/$AJ98,'Технический лист'!$A:$B,2,1),(GZ98-0.05)))</f>
        <v>0.94499999999999995</v>
      </c>
      <c r="HB98" s="15">
        <f>MIN(1,MAX(VLOOKUP(($AJ98-$AI98-$AH98-$AG98-$AF98-$AE98*(1+HB$3))/$AJ98,'Технический лист'!$A:$B,2,1),(HA98-0.05)))</f>
        <v>0.94499999999999995</v>
      </c>
      <c r="HC98" s="15">
        <f>MIN(1,MAX(VLOOKUP(($AJ98-$AI98-$AH98-$AG98-$AF98-$AE98*(1+HC$3))/$AJ98,'Технический лист'!$A:$B,2,1),(HB98-0.05)))</f>
        <v>0.94499999999999995</v>
      </c>
      <c r="HD98" s="15">
        <f>MIN(1,MAX(VLOOKUP(($AJ98-$AI98-$AH98-$AG98-$AF98-$AE98*(1+HD$3))/$AJ98,'Технический лист'!$A:$B,2,1),(HC98-0.05)))</f>
        <v>0.94499999999999995</v>
      </c>
      <c r="HE98" s="15">
        <f>MIN(1,MAX(VLOOKUP(($AJ98-$AI98-$AH98-$AG98-$AF98-$AE98*(1+HE$3))/$AJ98,'Технический лист'!$A:$B,2,1),(HD98-0.05)))</f>
        <v>0.94499999999999995</v>
      </c>
      <c r="HF98" s="15">
        <f>MIN(1,MAX(VLOOKUP(($AJ98-$AI98-$AH98-$AG98-$AF98-$AE98*(1+HF$3))/$AJ98,'Технический лист'!$A:$B,2,1),(HE98-0.05)))</f>
        <v>0.94499999999999995</v>
      </c>
      <c r="HG98" s="15">
        <f>MIN(1,MAX(VLOOKUP(($AJ98-$AI98-$AH98-$AG98-$AF98-$AE98*(1+HG$3))/$AJ98,'Технический лист'!$A:$B,2,1),(HF98-0.05)))</f>
        <v>0.94499999999999995</v>
      </c>
      <c r="HH98" s="15">
        <f>MIN(1,MAX(VLOOKUP(($AJ98-$AI98-$AH98-$AG98-$AF98-$AE98*(1+HH$3))/$AJ98,'Технический лист'!$A:$B,2,1),(HG98-0.05)))</f>
        <v>0.94</v>
      </c>
      <c r="HI98" s="15">
        <f>MIN(1,MAX(VLOOKUP(($AJ98-$AI98-$AH98-$AG98-$AF98-$AE98*(1+HI$3))/$AJ98,'Технический лист'!$A:$B,2,1),(HH98-0.05)))</f>
        <v>0.94</v>
      </c>
      <c r="HJ98" s="15">
        <f>MIN(1,MAX(VLOOKUP(($AJ98-$AI98-$AH98-$AG98-$AF98-$AE98*(1+HJ$3))/$AJ98,'Технический лист'!$A:$B,2,1),(HI98-0.05)))</f>
        <v>0.94</v>
      </c>
      <c r="HK98" s="15">
        <f>MIN(1,MAX(VLOOKUP(($AJ98-$AI98-$AH98-$AG98-$AF98-$AE98*(1+HK$3))/$AJ98,'Технический лист'!$A:$B,2,1),(HJ98-0.05)))</f>
        <v>0.94</v>
      </c>
      <c r="HL98" s="15">
        <f>MIN(1,MAX(VLOOKUP(($AJ98-$AI98-$AH98-$AG98-$AF98-$AE98*(1+HL$3))/$AJ98,'Технический лист'!$A:$B,2,1),(HK98-0.05)))</f>
        <v>0.94</v>
      </c>
      <c r="HM98" s="15">
        <f>MIN(1,MAX(VLOOKUP(($AJ98-$AI98-$AH98-$AG98-$AF98-$AE98*(1+HM$3))/$AJ98,'Технический лист'!$A:$B,2,1),(HL98-0.05)))</f>
        <v>0.94</v>
      </c>
      <c r="HN98" s="15">
        <f>MIN(1,MAX(VLOOKUP(($AJ98-$AI98-$AH98-$AG98-$AF98-$AE98*(1+HN$3))/$AJ98,'Технический лист'!$A:$B,2,1),(HM98-0.05)))</f>
        <v>0.94</v>
      </c>
      <c r="HO98" s="15">
        <f>MIN(1,MAX(VLOOKUP(($AJ98-$AI98-$AH98-$AG98-$AF98-$AE98*(1+HO$3))/$AJ98,'Технический лист'!$A:$B,2,1),(HN98-0.05)))</f>
        <v>0.94</v>
      </c>
      <c r="HP98" s="15">
        <f>MIN(1,MAX(VLOOKUP(($AJ98-$AI98-$AH98-$AG98-$AF98-$AE98*(1+HP$3))/$AJ98,'Технический лист'!$A:$B,2,1),(HO98-0.05)))</f>
        <v>0.94</v>
      </c>
      <c r="HQ98" s="15">
        <f>MIN(1,MAX(VLOOKUP(($AJ98-$AI98-$AH98-$AG98-$AF98-$AE98*(1+HQ$3))/$AJ98,'Технический лист'!$A:$B,2,1),(HP98-0.05)))</f>
        <v>0.94</v>
      </c>
      <c r="HR98" s="15">
        <f>MIN(1,MAX(VLOOKUP(($AJ98-$AI98-$AH98-$AG98-$AF98-$AE98*(1+HR$3))/$AJ98,'Технический лист'!$A:$B,2,1),(HQ98-0.05)))</f>
        <v>0.94</v>
      </c>
      <c r="HS98" s="15">
        <f>MIN(1,MAX(VLOOKUP(($AJ98-$AI98-$AH98-$AG98-$AF98-$AE98*(1+HS$3))/$AJ98,'Технический лист'!$A:$B,2,1),(HR98-0.05)))</f>
        <v>0.94</v>
      </c>
      <c r="HT98" s="15">
        <f>MIN(1,MAX(VLOOKUP(($AJ98-$AI98-$AH98-$AG98-$AF98-$AE98*(1+HT$3))/$AJ98,'Технический лист'!$A:$B,2,1),(HS98-0.05)))</f>
        <v>0.94</v>
      </c>
      <c r="HU98" s="15">
        <f>MIN(1,MAX(VLOOKUP(($AJ98-$AI98-$AH98-$AG98-$AF98-$AE98*(1+HU$3))/$AJ98,'Технический лист'!$A:$B,2,1),(HT98-0.05)))</f>
        <v>0.94</v>
      </c>
      <c r="HV98" s="15">
        <f>MIN(1,MAX(VLOOKUP(($AJ98-$AI98-$AH98-$AG98-$AF98-$AE98*(1+HV$3))/$AJ98,'Технический лист'!$A:$B,2,1),(HU98-0.05)))</f>
        <v>0.94</v>
      </c>
      <c r="HW98" s="15">
        <f>MIN(1,MAX(VLOOKUP(($AJ98-$AI98-$AH98-$AG98-$AF98-$AE98*(1+HW$3))/$AJ98,'Технический лист'!$A:$B,2,1),(HV98-0.05)))</f>
        <v>0.94</v>
      </c>
      <c r="HX98" s="15">
        <f>MIN(1,MAX(VLOOKUP(($AJ98-$AI98-$AH98-$AG98-$AF98-$AE98*(1+HX$3))/$AJ98,'Технический лист'!$A:$B,2,1),(HW98-0.05)))</f>
        <v>0.94</v>
      </c>
      <c r="HY98" s="15">
        <f>MIN(1,MAX(VLOOKUP(($AJ98-$AI98-$AH98-$AG98-$AF98-$AE98*(1+HY$3))/$AJ98,'Технический лист'!$A:$B,2,1),(HX98-0.05)))</f>
        <v>0.93500000000000005</v>
      </c>
      <c r="HZ98" s="15">
        <f>MIN(1,MAX(VLOOKUP(($AJ98-$AI98-$AH98-$AG98-$AF98-$AE98*(1+HZ$3))/$AJ98,'Технический лист'!$A:$B,2,1),(HY98-0.05)))</f>
        <v>0.93500000000000005</v>
      </c>
      <c r="IA98" s="15">
        <f>MIN(1,MAX(VLOOKUP(($AJ98-$AI98-$AH98-$AG98-$AF98-$AE98*(1+IA$3))/$AJ98,'Технический лист'!$A:$B,2,1),(HZ98-0.05)))</f>
        <v>0.93500000000000005</v>
      </c>
      <c r="IB98" s="15">
        <f>MIN(1,MAX(VLOOKUP(($AJ98-$AI98-$AH98-$AG98-$AF98-$AE98*(1+IB$3))/$AJ98,'Технический лист'!$A:$B,2,1),(IA98-0.05)))</f>
        <v>0.93500000000000005</v>
      </c>
      <c r="IC98" s="15">
        <f>MIN(1,MAX(VLOOKUP(($AJ98-$AI98-$AH98-$AG98-$AF98-$AE98*(1+IC$3))/$AJ98,'Технический лист'!$A:$B,2,1),(IB98-0.05)))</f>
        <v>0.93500000000000005</v>
      </c>
      <c r="ID98" s="15">
        <f>MIN(1,MAX(VLOOKUP(($AJ98-$AI98-$AH98-$AG98-$AF98-$AE98*(1+ID$3))/$AJ98,'Технический лист'!$A:$B,2,1),(IC98-0.05)))</f>
        <v>0.93500000000000005</v>
      </c>
      <c r="IE98" s="15">
        <f>MIN(1,MAX(VLOOKUP(($AJ98-$AI98-$AH98-$AG98-$AF98-$AE98*(1+IE$3))/$AJ98,'Технический лист'!$A:$B,2,1),(ID98-0.05)))</f>
        <v>0.93500000000000005</v>
      </c>
      <c r="IF98" s="15">
        <f>MIN(1,MAX(VLOOKUP(($AJ98-$AI98-$AH98-$AG98-$AF98-$AE98*(1+IF$3))/$AJ98,'Технический лист'!$A:$B,2,1),(IE98-0.05)))</f>
        <v>0.93500000000000005</v>
      </c>
      <c r="IG98" s="15">
        <f>MIN(1,MAX(VLOOKUP(($AJ98-$AI98-$AH98-$AG98-$AF98-$AE98*(1+IG$3))/$AJ98,'Технический лист'!$A:$B,2,1),(IF98-0.05)))</f>
        <v>0.93500000000000005</v>
      </c>
      <c r="IH98" s="15">
        <f>MIN(1,MAX(VLOOKUP(($AJ98-$AI98-$AH98-$AG98-$AF98-$AE98*(1+IH$3))/$AJ98,'Технический лист'!$A:$B,2,1),(IG98-0.05)))</f>
        <v>0.93500000000000005</v>
      </c>
      <c r="II98" s="15">
        <f>MIN(1,MAX(VLOOKUP(($AJ98-$AI98-$AH98-$AG98-$AF98-$AE98*(1+II$3))/$AJ98,'Технический лист'!$A:$B,2,1),(IH98-0.05)))</f>
        <v>0.93500000000000005</v>
      </c>
      <c r="IJ98" s="15">
        <f>MIN(1,MAX(VLOOKUP(($AJ98-$AI98-$AH98-$AG98-$AF98-$AE98*(1+IJ$3))/$AJ98,'Технический лист'!$A:$B,2,1),(II98-0.05)))</f>
        <v>0.93500000000000005</v>
      </c>
      <c r="IK98" s="15">
        <f>MIN(1,MAX(VLOOKUP(($AJ98-$AI98-$AH98-$AG98-$AF98-$AE98*(1+IK$3))/$AJ98,'Технический лист'!$A:$B,2,1),(IJ98-0.05)))</f>
        <v>0.93500000000000005</v>
      </c>
      <c r="IL98" s="15">
        <f>MIN(1,MAX(VLOOKUP(($AJ98-$AI98-$AH98-$AG98-$AF98-$AE98*(1+IL$3))/$AJ98,'Технический лист'!$A:$B,2,1),(IK98-0.05)))</f>
        <v>0.93500000000000005</v>
      </c>
      <c r="IM98" s="15">
        <f>MIN(1,MAX(VLOOKUP(($AJ98-$AI98-$AH98-$AG98-$AF98-$AE98*(1+IM$3))/$AJ98,'Технический лист'!$A:$B,2,1),(IL98-0.05)))</f>
        <v>0.93500000000000005</v>
      </c>
      <c r="IN98" s="15">
        <f>MIN(1,MAX(VLOOKUP(($AJ98-$AI98-$AH98-$AG98-$AF98-$AE98*(1+IN$3))/$AJ98,'Технический лист'!$A:$B,2,1),(IM98-0.05)))</f>
        <v>0.93500000000000005</v>
      </c>
      <c r="IO98" s="15">
        <f>MIN(1,MAX(VLOOKUP(($AJ98-$AI98-$AH98-$AG98-$AF98-$AE98*(1+IO$3))/$AJ98,'Технический лист'!$A:$B,2,1),(IN98-0.05)))</f>
        <v>0.93500000000000005</v>
      </c>
      <c r="IP98" s="15">
        <f>MIN(1,MAX(VLOOKUP(($AJ98-$AI98-$AH98-$AG98-$AF98-$AE98*(1+IP$3))/$AJ98,'Технический лист'!$A:$B,2,1),(IO98-0.05)))</f>
        <v>0.93</v>
      </c>
      <c r="IQ98" s="15">
        <f>MIN(1,MAX(VLOOKUP(($AJ98-$AI98-$AH98-$AG98-$AF98-$AE98*(1+IQ$3))/$AJ98,'Технический лист'!$A:$B,2,1),(IP98-0.05)))</f>
        <v>0.93</v>
      </c>
      <c r="IR98" s="15">
        <f>MIN(1,MAX(VLOOKUP(($AJ98-$AI98-$AH98-$AG98-$AF98-$AE98*(1+IR$3))/$AJ98,'Технический лист'!$A:$B,2,1),(IQ98-0.05)))</f>
        <v>0.93</v>
      </c>
    </row>
    <row r="99" spans="1:252" ht="58.3">
      <c r="A99" s="89" t="s">
        <v>515</v>
      </c>
      <c r="B99" s="90">
        <v>5</v>
      </c>
      <c r="C99" s="5" t="s">
        <v>68</v>
      </c>
      <c r="D99" s="91">
        <v>32411</v>
      </c>
      <c r="E99" s="91" t="s">
        <v>340</v>
      </c>
      <c r="F99" s="92" t="s">
        <v>75</v>
      </c>
      <c r="G99" s="91" t="s">
        <v>50</v>
      </c>
      <c r="H99" s="91" t="s">
        <v>16</v>
      </c>
      <c r="I99" s="91" t="s">
        <v>168</v>
      </c>
      <c r="J99" s="91" t="s">
        <v>172</v>
      </c>
      <c r="K99" s="91">
        <v>7569</v>
      </c>
      <c r="L99" s="85" t="s">
        <v>64</v>
      </c>
      <c r="M99" s="91" t="s">
        <v>190</v>
      </c>
      <c r="N99" s="91" t="s">
        <v>191</v>
      </c>
      <c r="O99" s="91" t="s">
        <v>194</v>
      </c>
      <c r="P99" s="89" t="s">
        <v>242</v>
      </c>
      <c r="Q99" s="91" t="s">
        <v>359</v>
      </c>
      <c r="R99" s="91" t="s">
        <v>253</v>
      </c>
      <c r="S99" s="82">
        <v>6210</v>
      </c>
      <c r="T99" s="82">
        <v>46999927</v>
      </c>
      <c r="U99" s="81">
        <v>90</v>
      </c>
      <c r="V99" s="81">
        <v>0</v>
      </c>
      <c r="W99" s="82">
        <v>27090672</v>
      </c>
      <c r="X99" s="112">
        <v>69</v>
      </c>
      <c r="Y99" s="112" t="s">
        <v>417</v>
      </c>
      <c r="Z99" s="113">
        <v>21</v>
      </c>
      <c r="AA99" s="113">
        <v>16</v>
      </c>
      <c r="AB99" s="113">
        <v>4</v>
      </c>
      <c r="AC99" s="99">
        <v>4758.45</v>
      </c>
      <c r="AD99" s="99">
        <f t="shared" ref="AD99:AD104" si="38">AE99-AC99</f>
        <v>1110.9400000000005</v>
      </c>
      <c r="AE99" s="99">
        <v>5869.39</v>
      </c>
      <c r="AF99" s="98">
        <f>(Z99+AA99+AB99)*'Ставки аренды'!$B$3/X99</f>
        <v>415.94202898550725</v>
      </c>
      <c r="AG99" s="114">
        <v>0</v>
      </c>
      <c r="AH99" s="94">
        <v>0</v>
      </c>
      <c r="AI99" s="115">
        <f>56808019/60637187*AVERAGE(AJ95,AJ98)</f>
        <v>33909.184878284388</v>
      </c>
      <c r="AJ99" s="117">
        <f>Цены!D23</f>
        <v>35000</v>
      </c>
      <c r="AK99" s="94">
        <f>AJ99/Цены!$B$1</f>
        <v>458.68253271389352</v>
      </c>
      <c r="AL99" s="95">
        <f t="shared" si="24"/>
        <v>6285.3320289855073</v>
      </c>
      <c r="AM99" s="95">
        <f t="shared" si="25"/>
        <v>28714.667971014493</v>
      </c>
      <c r="AN99" s="94">
        <f t="shared" si="22"/>
        <v>40194.516907269892</v>
      </c>
      <c r="AO99" s="118">
        <f t="shared" si="23"/>
        <v>-0.14841476877913976</v>
      </c>
      <c r="AP99" s="96">
        <f t="shared" si="26"/>
        <v>0.17958091511387164</v>
      </c>
      <c r="AQ99" s="96">
        <f t="shared" si="27"/>
        <v>0.16769685714285715</v>
      </c>
      <c r="AR99" s="96">
        <f t="shared" si="28"/>
        <v>0.933823380043036</v>
      </c>
      <c r="AS99" s="122">
        <v>1</v>
      </c>
      <c r="AT99" s="121">
        <f t="shared" si="29"/>
        <v>6210</v>
      </c>
      <c r="AU99" s="83">
        <v>0.8</v>
      </c>
      <c r="AV99" s="119">
        <f t="shared" si="30"/>
        <v>-0.1685383916362827</v>
      </c>
      <c r="AW99" s="120">
        <f t="shared" si="31"/>
        <v>0.19970453797101451</v>
      </c>
      <c r="AX99" s="120">
        <f t="shared" si="32"/>
        <v>0.18782048000000004</v>
      </c>
      <c r="AY99" s="120">
        <f t="shared" si="33"/>
        <v>0.94049179807451666</v>
      </c>
      <c r="AZ99" s="15">
        <f>MIN(IF($AU99=100%,1,1+VLOOKUP(($AJ99-$AI99-$AH99-$AG99-$AF99-$AE99*(1+AZ$3))/$AJ99,'Технический лист'!$I:$J,2,1)-VLOOKUP($AO99,'Технический лист'!$I:$J,2,1)),1+(1-$AU99))</f>
        <v>1.2</v>
      </c>
      <c r="BA99" s="15">
        <f>MIN(IF($AU99=100%,1,1+VLOOKUP(($AJ99-$AI99-$AH99-$AG99-$AF99-$AE99*(1+BA$3))/$AJ99,'Технический лист'!$I:$J,2,1)-VLOOKUP($AO99,'Технический лист'!$I:$J,2,1)),1+(1-$AU99))</f>
        <v>1.2</v>
      </c>
      <c r="BB99" s="15">
        <f>MIN(IF($AU99=100%,1,1+VLOOKUP(($AJ99-$AI99-$AH99-$AG99-$AF99-$AE99*(1+BB$3))/$AJ99,'Технический лист'!$I:$J,2,1)-VLOOKUP($AO99,'Технический лист'!$I:$J,2,1)),1+(1-$AU99))</f>
        <v>1.2</v>
      </c>
      <c r="BC99" s="15">
        <f>MIN(IF($AU99=100%,1,1+VLOOKUP(($AJ99-$AI99-$AH99-$AG99-$AF99-$AE99*(1+BC$3))/$AJ99,'Технический лист'!$I:$J,2,1)-VLOOKUP($AO99,'Технический лист'!$I:$J,2,1)),1+(1-$AU99))</f>
        <v>1.2</v>
      </c>
      <c r="BD99" s="15">
        <f>MIN(IF($AU99=100%,1,1+VLOOKUP(($AJ99-$AI99-$AH99-$AG99-$AF99-$AE99*(1+BD$3))/$AJ99,'Технический лист'!$I:$J,2,1)-VLOOKUP($AO99,'Технический лист'!$I:$J,2,1)),1+(1-$AU99))</f>
        <v>1.2</v>
      </c>
      <c r="BE99" s="15">
        <f>MIN(IF($AU99=100%,1,1+VLOOKUP(($AJ99-$AI99-$AH99-$AG99-$AF99-$AE99*(1+BE$3))/$AJ99,'Технический лист'!$I:$J,2,1)-VLOOKUP($AO99,'Технический лист'!$I:$J,2,1)),1+(1-$AU99))</f>
        <v>1.2</v>
      </c>
      <c r="BF99" s="15">
        <f>MIN(IF($AU99=100%,1,1+VLOOKUP(($AJ99-$AI99-$AH99-$AG99-$AF99-$AE99*(1+BF$3))/$AJ99,'Технический лист'!$I:$J,2,1)-VLOOKUP($AO99,'Технический лист'!$I:$J,2,1)),1+(1-$AU99))</f>
        <v>1.2</v>
      </c>
      <c r="BG99" s="15">
        <f>MIN(IF($AU99=100%,1,1+VLOOKUP(($AJ99-$AI99-$AH99-$AG99-$AF99-$AE99*(1+BG$3))/$AJ99,'Технический лист'!$I:$J,2,1)-VLOOKUP($AO99,'Технический лист'!$I:$J,2,1)),1+(1-$AU99))</f>
        <v>1.2</v>
      </c>
      <c r="BH99" s="15">
        <f>MIN(IF($AU99=100%,1,1+VLOOKUP(($AJ99-$AI99-$AH99-$AG99-$AF99-$AE99*(1+BH$3))/$AJ99,'Технический лист'!$I:$J,2,1)-VLOOKUP($AO99,'Технический лист'!$I:$J,2,1)),1+(1-$AU99))</f>
        <v>1.2</v>
      </c>
      <c r="BI99" s="15">
        <f>MIN(IF($AU99=100%,1,1+VLOOKUP(($AJ99-$AI99-$AH99-$AG99-$AF99-$AE99*(1+BI$3))/$AJ99,'Технический лист'!$I:$J,2,1)-VLOOKUP($AO99,'Технический лист'!$I:$J,2,1)),1+(1-$AU99))</f>
        <v>1.2</v>
      </c>
      <c r="BJ99" s="15">
        <f>MIN(IF($AU99=100%,1,1+VLOOKUP(($AJ99-$AI99-$AH99-$AG99-$AF99-$AE99*(1+BJ$3))/$AJ99,'Технический лист'!$I:$J,2,1)-VLOOKUP($AO99,'Технический лист'!$I:$J,2,1)),1+(1-$AU99))</f>
        <v>1.2</v>
      </c>
      <c r="BK99" s="15">
        <f>MIN(IF($AU99=100%,1,1+VLOOKUP(($AJ99-$AI99-$AH99-$AG99-$AF99-$AE99*(1+BK$3))/$AJ99,'Технический лист'!$I:$J,2,1)-VLOOKUP($AO99,'Технический лист'!$I:$J,2,1)),1+(1-$AU99))</f>
        <v>1.2</v>
      </c>
      <c r="BL99" s="15">
        <f>MIN(IF($AU99=100%,1,1+VLOOKUP(($AJ99-$AI99-$AH99-$AG99-$AF99-$AE99*(1+BL$3))/$AJ99,'Технический лист'!$I:$J,2,1)-VLOOKUP($AO99,'Технический лист'!$I:$J,2,1)),1+(1-$AU99))</f>
        <v>1.2</v>
      </c>
      <c r="BM99" s="15">
        <f>MIN(IF($AU99=100%,1,1+VLOOKUP(($AJ99-$AI99-$AH99-$AG99-$AF99-$AE99*(1+BM$3))/$AJ99,'Технический лист'!$I:$J,2,1)-VLOOKUP($AO99,'Технический лист'!$I:$J,2,1)),1+(1-$AU99))</f>
        <v>1.2</v>
      </c>
      <c r="BN99" s="15">
        <f>MIN(IF($AU99=100%,1,1+VLOOKUP(($AJ99-$AI99-$AH99-$AG99-$AF99-$AE99*(1+BN$3))/$AJ99,'Технический лист'!$I:$J,2,1)-VLOOKUP($AO99,'Технический лист'!$I:$J,2,1)),1+(1-$AU99))</f>
        <v>1.2</v>
      </c>
      <c r="BO99" s="15">
        <f>MIN(IF($AU99=100%,1,1+VLOOKUP(($AJ99-$AI99-$AH99-$AG99-$AF99-$AE99*(1+BO$3))/$AJ99,'Технический лист'!$I:$J,2,1)-VLOOKUP($AO99,'Технический лист'!$I:$J,2,1)),1+(1-$AU99))</f>
        <v>1.2</v>
      </c>
      <c r="BP99" s="15">
        <f>MIN(IF($AU99=100%,1,1+VLOOKUP(($AJ99-$AI99-$AH99-$AG99-$AF99-$AE99*(1+BP$3))/$AJ99,'Технический лист'!$I:$J,2,1)-VLOOKUP($AO99,'Технический лист'!$I:$J,2,1)),1+(1-$AU99))</f>
        <v>1.2</v>
      </c>
      <c r="BQ99" s="15">
        <f>MIN(IF($AU99=100%,1,1+VLOOKUP(($AJ99-$AI99-$AH99-$AG99-$AF99-$AE99*(1+BQ$3))/$AJ99,'Технический лист'!$I:$J,2,1)-VLOOKUP($AO99,'Технический лист'!$I:$J,2,1)),1+(1-$AU99))</f>
        <v>1.2</v>
      </c>
      <c r="BR99" s="15">
        <f>MIN(IF($AU99=100%,1,1+VLOOKUP(($AJ99-$AI99-$AH99-$AG99-$AF99-$AE99*(1+BR$3))/$AJ99,'Технический лист'!$I:$J,2,1)-VLOOKUP($AO99,'Технический лист'!$I:$J,2,1)),1+(1-$AU99))</f>
        <v>1.2</v>
      </c>
      <c r="BS99" s="15">
        <f>MIN(IF($AU99=100%,1,1+VLOOKUP(($AJ99-$AI99-$AH99-$AG99-$AF99-$AE99*(1+BS$3))/$AJ99,'Технический лист'!$I:$J,2,1)-VLOOKUP($AO99,'Технический лист'!$I:$J,2,1)),1+(1-$AU99))</f>
        <v>1.2</v>
      </c>
      <c r="BT99" s="15">
        <f>MIN(IF($AU99=100%,1,1+VLOOKUP(($AJ99-$AI99-$AH99-$AG99-$AF99-$AE99*(1+BT$3))/$AJ99,'Технический лист'!$I:$J,2,1)-VLOOKUP($AO99,'Технический лист'!$I:$J,2,1)),1+(1-$AU99))</f>
        <v>1.2</v>
      </c>
      <c r="BU99" s="15">
        <f>MIN(IF($AU99=100%,1,1+VLOOKUP(($AJ99-$AI99-$AH99-$AG99-$AF99-$AE99*(1+BU$3))/$AJ99,'Технический лист'!$I:$J,2,1)-VLOOKUP($AO99,'Технический лист'!$I:$J,2,1)),1+(1-$AU99))</f>
        <v>1.2</v>
      </c>
      <c r="BV99" s="15">
        <f>MIN(IF($AU99=100%,1,1+VLOOKUP(($AJ99-$AI99-$AH99-$AG99-$AF99-$AE99*(1+BV$3))/$AJ99,'Технический лист'!$I:$J,2,1)-VLOOKUP($AO99,'Технический лист'!$I:$J,2,1)),1+(1-$AU99))</f>
        <v>1.2</v>
      </c>
      <c r="BW99" s="15">
        <f>MIN(IF($AU99=100%,1,1+VLOOKUP(($AJ99-$AI99-$AH99-$AG99-$AF99-$AE99*(1+BW$3))/$AJ99,'Технический лист'!$I:$J,2,1)-VLOOKUP($AO99,'Технический лист'!$I:$J,2,1)),1+(1-$AU99))</f>
        <v>1.2</v>
      </c>
      <c r="BX99" s="15">
        <f>MIN(IF($AU99=100%,1,1+VLOOKUP(($AJ99-$AI99-$AH99-$AG99-$AF99-$AE99*(1+BX$3))/$AJ99,'Технический лист'!$I:$J,2,1)-VLOOKUP($AO99,'Технический лист'!$I:$J,2,1)),1+(1-$AU99))</f>
        <v>1.2</v>
      </c>
      <c r="BY99" s="15">
        <f>MIN(IF($AU99=100%,1,1+VLOOKUP(($AJ99-$AI99-$AH99-$AG99-$AF99-$AE99*(1+BY$3))/$AJ99,'Технический лист'!$I:$J,2,1)-VLOOKUP($AO99,'Технический лист'!$I:$J,2,1)),1+(1-$AU99))</f>
        <v>1.2</v>
      </c>
      <c r="BZ99" s="15">
        <f>MIN(IF($AU99=100%,1,1+VLOOKUP(($AJ99-$AI99-$AH99-$AG99-$AF99-$AE99*(1+BZ$3))/$AJ99,'Технический лист'!$I:$J,2,1)-VLOOKUP($AO99,'Технический лист'!$I:$J,2,1)),1+(1-$AU99))</f>
        <v>1.2</v>
      </c>
      <c r="CA99" s="15">
        <f>MIN(IF($AU99=100%,1,1+VLOOKUP(($AJ99-$AI99-$AH99-$AG99-$AF99-$AE99*(1+CA$3))/$AJ99,'Технический лист'!$I:$J,2,1)-VLOOKUP($AO99,'Технический лист'!$I:$J,2,1)),1+(1-$AU99))</f>
        <v>1.2</v>
      </c>
      <c r="CB99" s="15">
        <f>MIN(IF($AU99=100%,1,1+VLOOKUP(($AJ99-$AI99-$AH99-$AG99-$AF99-$AE99*(1+CB$3))/$AJ99,'Технический лист'!$I:$J,2,1)-VLOOKUP($AO99,'Технический лист'!$I:$J,2,1)),1+(1-$AU99))</f>
        <v>1.2</v>
      </c>
      <c r="CC99" s="15">
        <f>MIN(IF($AU99=100%,1,1+VLOOKUP(($AJ99-$AI99-$AH99-$AG99-$AF99-$AE99*(1+CC$3))/$AJ99,'Технический лист'!$I:$J,2,1)-VLOOKUP($AO99,'Технический лист'!$I:$J,2,1)),1+(1-$AU99))</f>
        <v>1.2</v>
      </c>
      <c r="CD99" s="15">
        <f>MIN(IF($AU99=100%,1,1+VLOOKUP(($AJ99-$AI99-$AH99-$AG99-$AF99-$AE99*(1+CD$3))/$AJ99,'Технический лист'!$I:$J,2,1)-VLOOKUP($AO99,'Технический лист'!$I:$J,2,1)),1+(1-$AU99))</f>
        <v>1.2</v>
      </c>
      <c r="CE99" s="15">
        <f>MIN(IF($AU99=100%,1,1+VLOOKUP(($AJ99-$AI99-$AH99-$AG99-$AF99-$AE99*(1+CE$3))/$AJ99,'Технический лист'!$I:$J,2,1)-VLOOKUP($AO99,'Технический лист'!$I:$J,2,1)),1+(1-$AU99))</f>
        <v>1.2</v>
      </c>
      <c r="CF99" s="15">
        <f>MIN(IF($AU99=100%,1,1+VLOOKUP(($AJ99-$AI99-$AH99-$AG99-$AF99-$AE99*(1+CF$3))/$AJ99,'Технический лист'!$I:$J,2,1)-VLOOKUP($AO99,'Технический лист'!$I:$J,2,1)),1+(1-$AU99))</f>
        <v>1.2</v>
      </c>
      <c r="CG99" s="15">
        <f>MIN(IF($AU99=100%,1,1+VLOOKUP(($AJ99-$AI99-$AH99-$AG99-$AF99-$AE99*(1+CG$3))/$AJ99,'Технический лист'!$I:$J,2,1)-VLOOKUP($AO99,'Технический лист'!$I:$J,2,1)),1+(1-$AU99))</f>
        <v>1.2</v>
      </c>
      <c r="CH99" s="15">
        <f>MIN(IF($AU99=100%,1,1+VLOOKUP(($AJ99-$AI99-$AH99-$AG99-$AF99-$AE99*(1+CH$3))/$AJ99,'Технический лист'!$I:$J,2,1)-VLOOKUP($AO99,'Технический лист'!$I:$J,2,1)),1+(1-$AU99))</f>
        <v>1.2</v>
      </c>
      <c r="CI99" s="15">
        <f>MIN(IF($AU99=100%,1,1+VLOOKUP(($AJ99-$AI99-$AH99-$AG99-$AF99-$AE99*(1+CI$3))/$AJ99,'Технический лист'!$I:$J,2,1)-VLOOKUP($AO99,'Технический лист'!$I:$J,2,1)),1+(1-$AU99))</f>
        <v>1.2</v>
      </c>
      <c r="CJ99" s="15">
        <f>MIN(IF($AU99=100%,1,1+VLOOKUP(($AJ99-$AI99-$AH99-$AG99-$AF99-$AE99*(1+CJ$3))/$AJ99,'Технический лист'!$I:$J,2,1)-VLOOKUP($AO99,'Технический лист'!$I:$J,2,1)),1+(1-$AU99))</f>
        <v>1.2</v>
      </c>
      <c r="CK99" s="15">
        <f>MIN(IF($AU99=100%,1,1+VLOOKUP(($AJ99-$AI99-$AH99-$AG99-$AF99-$AE99*(1+CK$3))/$AJ99,'Технический лист'!$I:$J,2,1)-VLOOKUP($AO99,'Технический лист'!$I:$J,2,1)),1+(1-$AU99))</f>
        <v>1.2</v>
      </c>
      <c r="CL99" s="15">
        <f>MIN(IF($AU99=100%,1,1+VLOOKUP(($AJ99-$AI99-$AH99-$AG99-$AF99-$AE99*(1+CL$3))/$AJ99,'Технический лист'!$I:$J,2,1)-VLOOKUP($AO99,'Технический лист'!$I:$J,2,1)),1+(1-$AU99))</f>
        <v>1.2</v>
      </c>
      <c r="CM99" s="15">
        <f>MIN(IF($AU99=100%,1,1+VLOOKUP(($AJ99-$AI99-$AH99-$AG99-$AF99-$AE99*(1+CM$3))/$AJ99,'Технический лист'!$I:$J,2,1)-VLOOKUP($AO99,'Технический лист'!$I:$J,2,1)),1+(1-$AU99))</f>
        <v>1.2</v>
      </c>
      <c r="CN99" s="15">
        <f>MIN(IF($AU99=100%,1,1+VLOOKUP(($AJ99-$AI99-$AH99-$AG99-$AF99-$AE99*(1+CN$3))/$AJ99,'Технический лист'!$I:$J,2,1)-VLOOKUP($AO99,'Технический лист'!$I:$J,2,1)),1+(1-$AU99))</f>
        <v>1.2</v>
      </c>
      <c r="CO99" s="15">
        <f>MIN(IF($AU99=100%,1,1+VLOOKUP(($AJ99-$AI99-$AH99-$AG99-$AF99-$AE99*(1+CO$3))/$AJ99,'Технический лист'!$I:$J,2,1)-VLOOKUP($AO99,'Технический лист'!$I:$J,2,1)),1+(1-$AU99))</f>
        <v>1.2</v>
      </c>
      <c r="CP99" s="15">
        <f>MIN(IF($AU99=100%,1,1+VLOOKUP(($AJ99-$AI99-$AH99-$AG99-$AF99-$AE99*(1+CP$3))/$AJ99,'Технический лист'!$I:$J,2,1)-VLOOKUP($AO99,'Технический лист'!$I:$J,2,1)),1+(1-$AU99))</f>
        <v>1.2</v>
      </c>
      <c r="CQ99" s="15">
        <f>MIN(IF($AU99=100%,1,1+VLOOKUP(($AJ99-$AI99-$AH99-$AG99-$AF99-$AE99*(1+CQ$3))/$AJ99,'Технический лист'!$I:$J,2,1)-VLOOKUP($AO99,'Технический лист'!$I:$J,2,1)),1+(1-$AU99))</f>
        <v>1.2</v>
      </c>
      <c r="CR99" s="15">
        <f>MIN(IF($AU99=100%,1,1+VLOOKUP(($AJ99-$AI99-$AH99-$AG99-$AF99-$AE99*(1+CR$3))/$AJ99,'Технический лист'!$I:$J,2,1)-VLOOKUP($AO99,'Технический лист'!$I:$J,2,1)),1+(1-$AU99))</f>
        <v>1.2</v>
      </c>
      <c r="CS99" s="15">
        <f>MIN(IF($AU99=100%,1,1+VLOOKUP(($AJ99-$AI99-$AH99-$AG99-$AF99-$AE99*(1+CS$3))/$AJ99,'Технический лист'!$I:$J,2,1)-VLOOKUP($AO99,'Технический лист'!$I:$J,2,1)),1+(1-$AU99))</f>
        <v>1.2</v>
      </c>
      <c r="CT99" s="15">
        <f>MIN(IF($AU99=100%,1,1+VLOOKUP(($AJ99-$AI99-$AH99-$AG99-$AF99-$AE99*(1+CT$3))/$AJ99,'Технический лист'!$I:$J,2,1)-VLOOKUP($AO99,'Технический лист'!$I:$J,2,1)),1+(1-$AU99))</f>
        <v>1.2</v>
      </c>
      <c r="CU99" s="15">
        <f>MIN(IF($AU99=100%,1,1+VLOOKUP(($AJ99-$AI99-$AH99-$AG99-$AF99-$AE99*(1+CU$3))/$AJ99,'Технический лист'!$I:$J,2,1)-VLOOKUP($AO99,'Технический лист'!$I:$J,2,1)),1+(1-$AU99))</f>
        <v>1.2</v>
      </c>
      <c r="CV99" s="15">
        <f>MIN(IF($AU99=100%,1,1+VLOOKUP(($AJ99-$AI99-$AH99-$AG99-$AF99-$AE99*(1+CV$3))/$AJ99,'Технический лист'!$I:$J,2,1)-VLOOKUP($AO99,'Технический лист'!$I:$J,2,1)),1+(1-$AU99))</f>
        <v>1.2</v>
      </c>
      <c r="CW99" s="15">
        <f>MIN(IF($AU99=100%,1,1+VLOOKUP(($AJ99-$AI99-$AH99-$AG99-$AF99-$AE99*(1+CW$3))/$AJ99,'Технический лист'!$I:$J,2,1)-VLOOKUP($AO99,'Технический лист'!$I:$J,2,1)),1+(1-$AU99))</f>
        <v>1.2</v>
      </c>
      <c r="CX99" s="15">
        <f>MIN(IF($AU99=100%,1,1+VLOOKUP(($AJ99-$AI99-$AH99-$AG99-$AF99-$AE99*(1+CX$3))/$AJ99,'Технический лист'!$I:$J,2,1)-VLOOKUP($AO99,'Технический лист'!$I:$J,2,1)),1+(1-$AU99))</f>
        <v>1.2</v>
      </c>
      <c r="CY99" s="15">
        <f>MIN(IF($AU99=100%,1,1+VLOOKUP(($AJ99-$AI99-$AH99-$AG99-$AF99-$AE99*(1+CY$3))/$AJ99,'Технический лист'!$I:$J,2,1)-VLOOKUP($AO99,'Технический лист'!$I:$J,2,1)),1+(1-$AU99))</f>
        <v>1.2</v>
      </c>
      <c r="CZ99" s="15">
        <f>MIN(IF($AU99=100%,1,1+VLOOKUP(($AJ99-$AI99-$AH99-$AG99-$AF99-$AE99*(1+CZ$3))/$AJ99,'Технический лист'!$I:$J,2,1)-VLOOKUP($AO99,'Технический лист'!$I:$J,2,1)),1+(1-$AU99))</f>
        <v>1.2</v>
      </c>
      <c r="DA99" s="15">
        <f>MIN(IF($AU99=100%,1,1+VLOOKUP(($AJ99-$AI99-$AH99-$AG99-$AF99-$AE99*(1+DA$3))/$AJ99,'Технический лист'!$I:$J,2,1)-VLOOKUP($AO99,'Технический лист'!$I:$J,2,1)),1+(1-$AU99))</f>
        <v>1.2</v>
      </c>
      <c r="DB99" s="15">
        <f>MIN(IF($AU99=100%,1,1+VLOOKUP(($AJ99-$AI99-$AH99-$AG99-$AF99-$AE99*(1+DB$3))/$AJ99,'Технический лист'!$I:$J,2,1)-VLOOKUP($AO99,'Технический лист'!$I:$J,2,1)),1+(1-$AU99))</f>
        <v>1.2</v>
      </c>
      <c r="DC99" s="15">
        <f>MIN(IF($AU99=100%,1,1+VLOOKUP(($AJ99-$AI99-$AH99-$AG99-$AF99-$AE99*(1+DC$3))/$AJ99,'Технический лист'!$I:$J,2,1)-VLOOKUP($AO99,'Технический лист'!$I:$J,2,1)),1+(1-$AU99))</f>
        <v>1.2</v>
      </c>
      <c r="DD99" s="15">
        <f>MIN(IF($AU99=100%,1,1+VLOOKUP(($AJ99-$AI99-$AH99-$AG99-$AF99-$AE99*(1+DD$3))/$AJ99,'Технический лист'!$I:$J,2,1)-VLOOKUP($AO99,'Технический лист'!$I:$J,2,1)),1+(1-$AU99))</f>
        <v>1.2</v>
      </c>
      <c r="DE99" s="15">
        <f>MIN(IF($AU99=100%,1,1+VLOOKUP(($AJ99-$AI99-$AH99-$AG99-$AF99-$AE99*(1+DE$3))/$AJ99,'Технический лист'!$I:$J,2,1)-VLOOKUP($AO99,'Технический лист'!$I:$J,2,1)),1+(1-$AU99))</f>
        <v>1.2</v>
      </c>
      <c r="DF99" s="15">
        <f>MIN(IF($AU99=100%,1,1+VLOOKUP(($AJ99-$AI99-$AH99-$AG99-$AF99-$AE99*(1+DF$3))/$AJ99,'Технический лист'!$I:$J,2,1)-VLOOKUP($AO99,'Технический лист'!$I:$J,2,1)),1+(1-$AU99))</f>
        <v>1.2</v>
      </c>
      <c r="DG99" s="15">
        <f>MIN(IF($AU99=100%,1,1+VLOOKUP(($AJ99-$AI99-$AH99-$AG99-$AF99-$AE99*(1+DG$3))/$AJ99,'Технический лист'!$I:$J,2,1)-VLOOKUP($AO99,'Технический лист'!$I:$J,2,1)),1+(1-$AU99))</f>
        <v>1.2</v>
      </c>
      <c r="DH99" s="15">
        <f>MIN(IF($AU99=100%,1,1+VLOOKUP(($AJ99-$AI99-$AH99-$AG99-$AF99-$AE99*(1+DH$3))/$AJ99,'Технический лист'!$I:$J,2,1)-VLOOKUP($AO99,'Технический лист'!$I:$J,2,1)),1+(1-$AU99))</f>
        <v>1.2</v>
      </c>
      <c r="DI99" s="15">
        <f>MIN(IF($AU99=100%,1,1+VLOOKUP(($AJ99-$AI99-$AH99-$AG99-$AF99-$AE99*(1+DI$3))/$AJ99,'Технический лист'!$I:$J,2,1)-VLOOKUP($AO99,'Технический лист'!$I:$J,2,1)),1+(1-$AU99))</f>
        <v>1.2</v>
      </c>
      <c r="DJ99" s="15">
        <f>MIN(IF($AU99=100%,1,1+VLOOKUP(($AJ99-$AI99-$AH99-$AG99-$AF99-$AE99*(1+DJ$3))/$AJ99,'Технический лист'!$I:$J,2,1)-VLOOKUP($AO99,'Технический лист'!$I:$J,2,1)),1+(1-$AU99))</f>
        <v>1.2</v>
      </c>
      <c r="DK99" s="15">
        <f>MIN(IF($AU99=100%,1,1+VLOOKUP(($AJ99-$AI99-$AH99-$AG99-$AF99-$AE99*(1+DK$3))/$AJ99,'Технический лист'!$I:$J,2,1)-VLOOKUP($AO99,'Технический лист'!$I:$J,2,1)),1+(1-$AU99))</f>
        <v>1.2</v>
      </c>
      <c r="DL99" s="15">
        <f>MIN(IF($AU99=100%,1,1+VLOOKUP(($AJ99-$AI99-$AH99-$AG99-$AF99-$AE99*(1+DL$3))/$AJ99,'Технический лист'!$I:$J,2,1)-VLOOKUP($AO99,'Технический лист'!$I:$J,2,1)),1+(1-$AU99))</f>
        <v>1.2</v>
      </c>
      <c r="DM99" s="15">
        <f>MIN(IF($AU99=100%,1,1+VLOOKUP(($AJ99-$AI99-$AH99-$AG99-$AF99-$AE99*(1+DM$3))/$AJ99,'Технический лист'!$I:$J,2,1)-VLOOKUP($AO99,'Технический лист'!$I:$J,2,1)),1+(1-$AU99))</f>
        <v>1.2</v>
      </c>
      <c r="DN99" s="15">
        <f>MIN(IF($AU99=100%,1,1+VLOOKUP(($AJ99-$AI99-$AH99-$AG99-$AF99-$AE99*(1+DN$3))/$AJ99,'Технический лист'!$I:$J,2,1)-VLOOKUP($AO99,'Технический лист'!$I:$J,2,1)),1+(1-$AU99))</f>
        <v>1.2</v>
      </c>
      <c r="DO99" s="15">
        <f>MIN(IF($AU99=100%,1,1+VLOOKUP(($AJ99-$AI99-$AH99-$AG99-$AF99-$AE99*(1+DO$3))/$AJ99,'Технический лист'!$I:$J,2,1)-VLOOKUP($AO99,'Технический лист'!$I:$J,2,1)),1+(1-$AU99))</f>
        <v>1.2</v>
      </c>
      <c r="DP99" s="15">
        <f>MIN(IF($AU99=100%,1,1+VLOOKUP(($AJ99-$AI99-$AH99-$AG99-$AF99-$AE99*(1+DP$3))/$AJ99,'Технический лист'!$I:$J,2,1)-VLOOKUP($AO99,'Технический лист'!$I:$J,2,1)),1+(1-$AU99))</f>
        <v>1.2</v>
      </c>
      <c r="DQ99" s="15">
        <f>MIN(IF($AU99=100%,1,1+VLOOKUP(($AJ99-$AI99-$AH99-$AG99-$AF99-$AE99*(1+DQ$3))/$AJ99,'Технический лист'!$I:$J,2,1)-VLOOKUP($AO99,'Технический лист'!$I:$J,2,1)),1+(1-$AU99))</f>
        <v>1.2</v>
      </c>
      <c r="DR99" s="15">
        <f>MIN(IF($AU99=100%,1,1+VLOOKUP(($AJ99-$AI99-$AH99-$AG99-$AF99-$AE99*(1+DR$3))/$AJ99,'Технический лист'!$I:$J,2,1)-VLOOKUP($AO99,'Технический лист'!$I:$J,2,1)),1+(1-$AU99))</f>
        <v>1.2</v>
      </c>
      <c r="DS99" s="15">
        <f>MIN(IF($AU99=100%,1,1+VLOOKUP(($AJ99-$AI99-$AH99-$AG99-$AF99-$AE99*(1+DS$3))/$AJ99,'Технический лист'!$I:$J,2,1)-VLOOKUP($AO99,'Технический лист'!$I:$J,2,1)),1+(1-$AU99))</f>
        <v>1.2</v>
      </c>
      <c r="DT99" s="15">
        <f>MIN(IF($AU99=100%,1,1+VLOOKUP(($AJ99-$AI99-$AH99-$AG99-$AF99-$AE99*(1+DT$3))/$AJ99,'Технический лист'!$I:$J,2,1)-VLOOKUP($AO99,'Технический лист'!$I:$J,2,1)),1+(1-$AU99))</f>
        <v>1.2</v>
      </c>
      <c r="DU99" s="15">
        <f>MIN(IF($AU99=100%,1,1+VLOOKUP(($AJ99-$AI99-$AH99-$AG99-$AF99-$AE99*(1+DU$3))/$AJ99,'Технический лист'!$I:$J,2,1)-VLOOKUP($AO99,'Технический лист'!$I:$J,2,1)),1+(1-$AU99))</f>
        <v>1.1700000000000002</v>
      </c>
      <c r="DV99" s="15">
        <f>MIN(IF($AU99=100%,1,1+VLOOKUP(($AJ99-$AI99-$AH99-$AG99-$AF99-$AE99*(1+DV$3))/$AJ99,'Технический лист'!$I:$J,2,1)-VLOOKUP($AO99,'Технический лист'!$I:$J,2,1)),1+(1-$AU99))</f>
        <v>1.1700000000000002</v>
      </c>
      <c r="DW99" s="15">
        <f>MIN(IF($AU99=100%,1,1+VLOOKUP(($AJ99-$AI99-$AH99-$AG99-$AF99-$AE99*(1+DW$3))/$AJ99,'Технический лист'!$I:$J,2,1)-VLOOKUP($AO99,'Технический лист'!$I:$J,2,1)),1+(1-$AU99))</f>
        <v>1.1700000000000002</v>
      </c>
      <c r="DX99" s="15">
        <f>MIN(IF($AU99=100%,1,1+VLOOKUP(($AJ99-$AI99-$AH99-$AG99-$AF99-$AE99*(1+DX$3))/$AJ99,'Технический лист'!$I:$J,2,1)-VLOOKUP($AO99,'Технический лист'!$I:$J,2,1)),1+(1-$AU99))</f>
        <v>1.1700000000000002</v>
      </c>
      <c r="DY99" s="15">
        <f>MIN(IF($AU99=100%,1,1+VLOOKUP(($AJ99-$AI99-$AH99-$AG99-$AF99-$AE99*(1+DY$3))/$AJ99,'Технический лист'!$I:$J,2,1)-VLOOKUP($AO99,'Технический лист'!$I:$J,2,1)),1+(1-$AU99))</f>
        <v>1.1700000000000002</v>
      </c>
      <c r="DZ99" s="15">
        <f>MIN(IF($AU99=100%,1,1+VLOOKUP(($AJ99-$AI99-$AH99-$AG99-$AF99-$AE99*(1+DZ$3))/$AJ99,'Технический лист'!$I:$J,2,1)-VLOOKUP($AO99,'Технический лист'!$I:$J,2,1)),1+(1-$AU99))</f>
        <v>1.1700000000000002</v>
      </c>
      <c r="EA99" s="15">
        <f>MIN(IF($AU99=100%,1,1+VLOOKUP(($AJ99-$AI99-$AH99-$AG99-$AF99-$AE99*(1+EA$3))/$AJ99,'Технический лист'!$I:$J,2,1)-VLOOKUP($AO99,'Технический лист'!$I:$J,2,1)),1+(1-$AU99))</f>
        <v>1.1300000000000001</v>
      </c>
      <c r="EB99" s="15">
        <f>MIN(IF($AU99=100%,1,1+VLOOKUP(($AJ99-$AI99-$AH99-$AG99-$AF99-$AE99*(1+EB$3))/$AJ99,'Технический лист'!$I:$J,2,1)-VLOOKUP($AO99,'Технический лист'!$I:$J,2,1)),1+(1-$AU99))</f>
        <v>1.1300000000000001</v>
      </c>
      <c r="EC99" s="15">
        <f>MIN(IF($AU99=100%,1,1+VLOOKUP(($AJ99-$AI99-$AH99-$AG99-$AF99-$AE99*(1+EC$3))/$AJ99,'Технический лист'!$I:$J,2,1)-VLOOKUP($AO99,'Технический лист'!$I:$J,2,1)),1+(1-$AU99))</f>
        <v>1.1300000000000001</v>
      </c>
      <c r="ED99" s="15">
        <f>MIN(IF($AU99=100%,1,1+VLOOKUP(($AJ99-$AI99-$AH99-$AG99-$AF99-$AE99*(1+ED$3))/$AJ99,'Технический лист'!$I:$J,2,1)-VLOOKUP($AO99,'Технический лист'!$I:$J,2,1)),1+(1-$AU99))</f>
        <v>1.1300000000000001</v>
      </c>
      <c r="EE99" s="15">
        <f>MIN(IF($AU99=100%,1,1+VLOOKUP(($AJ99-$AI99-$AH99-$AG99-$AF99-$AE99*(1+EE$3))/$AJ99,'Технический лист'!$I:$J,2,1)-VLOOKUP($AO99,'Технический лист'!$I:$J,2,1)),1+(1-$AU99))</f>
        <v>1.1300000000000001</v>
      </c>
      <c r="EF99" s="15">
        <f>MIN(IF($AU99=100%,1,1+VLOOKUP(($AJ99-$AI99-$AH99-$AG99-$AF99-$AE99*(1+EF$3))/$AJ99,'Технический лист'!$I:$J,2,1)-VLOOKUP($AO99,'Технический лист'!$I:$J,2,1)),1+(1-$AU99))</f>
        <v>1.1300000000000001</v>
      </c>
      <c r="EG99" s="15">
        <f>MIN(IF($AU99=100%,1,1+VLOOKUP(($AJ99-$AI99-$AH99-$AG99-$AF99-$AE99*(1+EG$3))/$AJ99,'Технический лист'!$I:$J,2,1)-VLOOKUP($AO99,'Технический лист'!$I:$J,2,1)),1+(1-$AU99))</f>
        <v>1.0900000000000001</v>
      </c>
      <c r="EH99" s="15">
        <f>MIN(IF($AU99=100%,1,1+VLOOKUP(($AJ99-$AI99-$AH99-$AG99-$AF99-$AE99*(1+EH$3))/$AJ99,'Технический лист'!$I:$J,2,1)-VLOOKUP($AO99,'Технический лист'!$I:$J,2,1)),1+(1-$AU99))</f>
        <v>1.0900000000000001</v>
      </c>
      <c r="EI99" s="15">
        <f>MIN(IF($AU99=100%,1,1+VLOOKUP(($AJ99-$AI99-$AH99-$AG99-$AF99-$AE99*(1+EI$3))/$AJ99,'Технический лист'!$I:$J,2,1)-VLOOKUP($AO99,'Технический лист'!$I:$J,2,1)),1+(1-$AU99))</f>
        <v>1.0900000000000001</v>
      </c>
      <c r="EJ99" s="15">
        <f>MIN(IF($AU99=100%,1,1+VLOOKUP(($AJ99-$AI99-$AH99-$AG99-$AF99-$AE99*(1+EJ$3))/$AJ99,'Технический лист'!$I:$J,2,1)-VLOOKUP($AO99,'Технический лист'!$I:$J,2,1)),1+(1-$AU99))</f>
        <v>1.0900000000000001</v>
      </c>
      <c r="EK99" s="15">
        <f>MIN(IF($AU99=100%,1,1+VLOOKUP(($AJ99-$AI99-$AH99-$AG99-$AF99-$AE99*(1+EK$3))/$AJ99,'Технический лист'!$I:$J,2,1)-VLOOKUP($AO99,'Технический лист'!$I:$J,2,1)),1+(1-$AU99))</f>
        <v>1.0900000000000001</v>
      </c>
      <c r="EL99" s="15">
        <f>MIN(IF($AU99=100%,1,1+VLOOKUP(($AJ99-$AI99-$AH99-$AG99-$AF99-$AE99*(1+EL$3))/$AJ99,'Технический лист'!$I:$J,2,1)-VLOOKUP($AO99,'Технический лист'!$I:$J,2,1)),1+(1-$AU99))</f>
        <v>1.0450000000000002</v>
      </c>
      <c r="EM99" s="15">
        <f>MIN(IF($AU99=100%,1,1+VLOOKUP(($AJ99-$AI99-$AH99-$AG99-$AF99-$AE99*(1+EM$3))/$AJ99,'Технический лист'!$I:$J,2,1)-VLOOKUP($AO99,'Технический лист'!$I:$J,2,1)),1+(1-$AU99))</f>
        <v>1.0450000000000002</v>
      </c>
      <c r="EN99" s="15">
        <f>MIN(IF($AU99=100%,1,1+VLOOKUP(($AJ99-$AI99-$AH99-$AG99-$AF99-$AE99*(1+EN$3))/$AJ99,'Технический лист'!$I:$J,2,1)-VLOOKUP($AO99,'Технический лист'!$I:$J,2,1)),1+(1-$AU99))</f>
        <v>1.0450000000000002</v>
      </c>
      <c r="EO99" s="15">
        <f>MIN(IF($AU99=100%,1,1+VLOOKUP(($AJ99-$AI99-$AH99-$AG99-$AF99-$AE99*(1+EO$3))/$AJ99,'Технический лист'!$I:$J,2,1)-VLOOKUP($AO99,'Технический лист'!$I:$J,2,1)),1+(1-$AU99))</f>
        <v>1.0450000000000002</v>
      </c>
      <c r="EP99" s="15">
        <f>MIN(IF($AU99=100%,1,1+VLOOKUP(($AJ99-$AI99-$AH99-$AG99-$AF99-$AE99*(1+EP$3))/$AJ99,'Технический лист'!$I:$J,2,1)-VLOOKUP($AO99,'Технический лист'!$I:$J,2,1)),1+(1-$AU99))</f>
        <v>1.0450000000000002</v>
      </c>
      <c r="EQ99" s="15">
        <f>MIN(IF($AU99=100%,1,1+VLOOKUP(($AJ99-$AI99-$AH99-$AG99-$AF99-$AE99*(1+EQ$3))/$AJ99,'Технический лист'!$I:$J,2,1)-VLOOKUP($AO99,'Технический лист'!$I:$J,2,1)),1+(1-$AU99))</f>
        <v>1.0450000000000002</v>
      </c>
      <c r="ER99" s="15">
        <f>MIN(IF($AU99=100%,1,1+VLOOKUP(($AJ99-$AI99-$AH99-$AG99-$AF99-$AE99*(1+ER$3))/$AJ99,'Технический лист'!$I:$J,2,1)-VLOOKUP($AO99,'Технический лист'!$I:$J,2,1)),1+(1-$AU99))</f>
        <v>1</v>
      </c>
      <c r="ES99" s="15">
        <f>MIN(IF($AU99=100%,1,1+VLOOKUP(($AJ99-$AI99-$AH99-$AG99-$AF99-$AE99*(1+ES$3))/$AJ99,'Технический лист'!$I:$J,2,1)-VLOOKUP($AO99,'Технический лист'!$I:$J,2,1)),1+(1-$AU99))</f>
        <v>1</v>
      </c>
      <c r="ET99" s="15">
        <f>MIN(IF($AU99=100%,1,1+VLOOKUP(($AJ99-$AI99-$AH99-$AG99-$AF99-$AE99*(1+ET$3))/$AJ99,'Технический лист'!$I:$J,2,1)-VLOOKUP($AO99,'Технический лист'!$I:$J,2,1)),1+(1-$AU99))</f>
        <v>1</v>
      </c>
      <c r="EU99" s="15">
        <f>MIN(IF($AU99=100%,1,1+VLOOKUP(($AJ99-$AI99-$AH99-$AG99-$AF99-$AE99*(1+EU$3))/$AJ99,'Технический лист'!$I:$J,2,1)-VLOOKUP($AO99,'Технический лист'!$I:$J,2,1)),1+(1-$AU99))</f>
        <v>1</v>
      </c>
      <c r="EV99" s="111">
        <v>1</v>
      </c>
      <c r="EW99" s="15">
        <f>MIN(1,MAX(VLOOKUP(($AJ99-$AI99-$AH99-$AG99-$AF99-$AE99*(1+EW$3))/$AJ99,'Технический лист'!$A:$B,2,1),(EV99-0.05)))</f>
        <v>0.95</v>
      </c>
      <c r="EX99" s="15">
        <f>MIN(1,MAX(VLOOKUP(($AJ99-$AI99-$AH99-$AG99-$AF99-$AE99*(1+EX$3))/$AJ99,'Технический лист'!$A:$B,2,1),(EW99-0.05)))</f>
        <v>0.93</v>
      </c>
      <c r="EY99" s="15">
        <f>MIN(1,MAX(VLOOKUP(($AJ99-$AI99-$AH99-$AG99-$AF99-$AE99*(1+EY$3))/$AJ99,'Технический лист'!$A:$B,2,1),(EX99-0.05)))</f>
        <v>0.93</v>
      </c>
      <c r="EZ99" s="15">
        <f>MIN(1,MAX(VLOOKUP(($AJ99-$AI99-$AH99-$AG99-$AF99-$AE99*(1+EZ$3))/$AJ99,'Технический лист'!$A:$B,2,1),(EY99-0.05)))</f>
        <v>0.93</v>
      </c>
      <c r="FA99" s="15">
        <f>MIN(1,MAX(VLOOKUP(($AJ99-$AI99-$AH99-$AG99-$AF99-$AE99*(1+FA$3))/$AJ99,'Технический лист'!$A:$B,2,1),(EZ99-0.05)))</f>
        <v>0.93</v>
      </c>
      <c r="FB99" s="15">
        <f>MIN(1,MAX(VLOOKUP(($AJ99-$AI99-$AH99-$AG99-$AF99-$AE99*(1+FB$3))/$AJ99,'Технический лист'!$A:$B,2,1),(FA99-0.05)))</f>
        <v>0.93</v>
      </c>
      <c r="FC99" s="15">
        <f>MIN(1,MAX(VLOOKUP(($AJ99-$AI99-$AH99-$AG99-$AF99-$AE99*(1+FC$3))/$AJ99,'Технический лист'!$A:$B,2,1),(FB99-0.05)))</f>
        <v>0.93</v>
      </c>
      <c r="FD99" s="15">
        <f>MIN(1,MAX(VLOOKUP(($AJ99-$AI99-$AH99-$AG99-$AF99-$AE99*(1+FD$3))/$AJ99,'Технический лист'!$A:$B,2,1),(FC99-0.05)))</f>
        <v>0.93</v>
      </c>
      <c r="FE99" s="15">
        <f>MIN(1,MAX(VLOOKUP(($AJ99-$AI99-$AH99-$AG99-$AF99-$AE99*(1+FE$3))/$AJ99,'Технический лист'!$A:$B,2,1),(FD99-0.05)))</f>
        <v>0.93</v>
      </c>
      <c r="FF99" s="15">
        <f>MIN(1,MAX(VLOOKUP(($AJ99-$AI99-$AH99-$AG99-$AF99-$AE99*(1+FF$3))/$AJ99,'Технический лист'!$A:$B,2,1),(FE99-0.05)))</f>
        <v>0.93</v>
      </c>
      <c r="FG99" s="15">
        <f>MIN(1,MAX(VLOOKUP(($AJ99-$AI99-$AH99-$AG99-$AF99-$AE99*(1+FG$3))/$AJ99,'Технический лист'!$A:$B,2,1),(FF99-0.05)))</f>
        <v>0.93</v>
      </c>
      <c r="FH99" s="15">
        <f>MIN(1,MAX(VLOOKUP(($AJ99-$AI99-$AH99-$AG99-$AF99-$AE99*(1+FH$3))/$AJ99,'Технический лист'!$A:$B,2,1),(FG99-0.05)))</f>
        <v>0.93</v>
      </c>
      <c r="FI99" s="15">
        <f>MIN(1,MAX(VLOOKUP(($AJ99-$AI99-$AH99-$AG99-$AF99-$AE99*(1+FI$3))/$AJ99,'Технический лист'!$A:$B,2,1),(FH99-0.05)))</f>
        <v>0.93</v>
      </c>
      <c r="FJ99" s="15">
        <f>MIN(1,MAX(VLOOKUP(($AJ99-$AI99-$AH99-$AG99-$AF99-$AE99*(1+FJ$3))/$AJ99,'Технический лист'!$A:$B,2,1),(FI99-0.05)))</f>
        <v>0.92500000000000004</v>
      </c>
      <c r="FK99" s="15">
        <f>MIN(1,MAX(VLOOKUP(($AJ99-$AI99-$AH99-$AG99-$AF99-$AE99*(1+FK$3))/$AJ99,'Технический лист'!$A:$B,2,1),(FJ99-0.05)))</f>
        <v>0.92500000000000004</v>
      </c>
      <c r="FL99" s="15">
        <f>MIN(1,MAX(VLOOKUP(($AJ99-$AI99-$AH99-$AG99-$AF99-$AE99*(1+FL$3))/$AJ99,'Технический лист'!$A:$B,2,1),(FK99-0.05)))</f>
        <v>0.92500000000000004</v>
      </c>
      <c r="FM99" s="15">
        <f>MIN(1,MAX(VLOOKUP(($AJ99-$AI99-$AH99-$AG99-$AF99-$AE99*(1+FM$3))/$AJ99,'Технический лист'!$A:$B,2,1),(FL99-0.05)))</f>
        <v>0.92500000000000004</v>
      </c>
      <c r="FN99" s="15">
        <f>MIN(1,MAX(VLOOKUP(($AJ99-$AI99-$AH99-$AG99-$AF99-$AE99*(1+FN$3))/$AJ99,'Технический лист'!$A:$B,2,1),(FM99-0.05)))</f>
        <v>0.92500000000000004</v>
      </c>
      <c r="FO99" s="15">
        <f>MIN(1,MAX(VLOOKUP(($AJ99-$AI99-$AH99-$AG99-$AF99-$AE99*(1+FO$3))/$AJ99,'Технический лист'!$A:$B,2,1),(FN99-0.05)))</f>
        <v>0.92500000000000004</v>
      </c>
      <c r="FP99" s="15">
        <f>MIN(1,MAX(VLOOKUP(($AJ99-$AI99-$AH99-$AG99-$AF99-$AE99*(1+FP$3))/$AJ99,'Технический лист'!$A:$B,2,1),(FO99-0.05)))</f>
        <v>0.92500000000000004</v>
      </c>
      <c r="FQ99" s="15">
        <f>MIN(1,MAX(VLOOKUP(($AJ99-$AI99-$AH99-$AG99-$AF99-$AE99*(1+FQ$3))/$AJ99,'Технический лист'!$A:$B,2,1),(FP99-0.05)))</f>
        <v>0.92500000000000004</v>
      </c>
      <c r="FR99" s="15">
        <f>MIN(1,MAX(VLOOKUP(($AJ99-$AI99-$AH99-$AG99-$AF99-$AE99*(1+FR$3))/$AJ99,'Технический лист'!$A:$B,2,1),(FQ99-0.05)))</f>
        <v>0.92500000000000004</v>
      </c>
      <c r="FS99" s="15">
        <f>MIN(1,MAX(VLOOKUP(($AJ99-$AI99-$AH99-$AG99-$AF99-$AE99*(1+FS$3))/$AJ99,'Технический лист'!$A:$B,2,1),(FR99-0.05)))</f>
        <v>0.92500000000000004</v>
      </c>
      <c r="FT99" s="15">
        <f>MIN(1,MAX(VLOOKUP(($AJ99-$AI99-$AH99-$AG99-$AF99-$AE99*(1+FT$3))/$AJ99,'Технический лист'!$A:$B,2,1),(FS99-0.05)))</f>
        <v>0.92500000000000004</v>
      </c>
      <c r="FU99" s="15">
        <f>MIN(1,MAX(VLOOKUP(($AJ99-$AI99-$AH99-$AG99-$AF99-$AE99*(1+FU$3))/$AJ99,'Технический лист'!$A:$B,2,1),(FT99-0.05)))</f>
        <v>0.92500000000000004</v>
      </c>
      <c r="FV99" s="15">
        <f>MIN(1,MAX(VLOOKUP(($AJ99-$AI99-$AH99-$AG99-$AF99-$AE99*(1+FV$3))/$AJ99,'Технический лист'!$A:$B,2,1),(FU99-0.05)))</f>
        <v>0.92</v>
      </c>
      <c r="FW99" s="15">
        <f>MIN(1,MAX(VLOOKUP(($AJ99-$AI99-$AH99-$AG99-$AF99-$AE99*(1+FW$3))/$AJ99,'Технический лист'!$A:$B,2,1),(FV99-0.05)))</f>
        <v>0.92</v>
      </c>
      <c r="FX99" s="15">
        <f>MIN(1,MAX(VLOOKUP(($AJ99-$AI99-$AH99-$AG99-$AF99-$AE99*(1+FX$3))/$AJ99,'Технический лист'!$A:$B,2,1),(FW99-0.05)))</f>
        <v>0.92</v>
      </c>
      <c r="FY99" s="15">
        <f>MIN(1,MAX(VLOOKUP(($AJ99-$AI99-$AH99-$AG99-$AF99-$AE99*(1+FY$3))/$AJ99,'Технический лист'!$A:$B,2,1),(FX99-0.05)))</f>
        <v>0.92</v>
      </c>
      <c r="FZ99" s="15">
        <f>MIN(1,MAX(VLOOKUP(($AJ99-$AI99-$AH99-$AG99-$AF99-$AE99*(1+FZ$3))/$AJ99,'Технический лист'!$A:$B,2,1),(FY99-0.05)))</f>
        <v>0.92</v>
      </c>
      <c r="GA99" s="15">
        <f>MIN(1,MAX(VLOOKUP(($AJ99-$AI99-$AH99-$AG99-$AF99-$AE99*(1+GA$3))/$AJ99,'Технический лист'!$A:$B,2,1),(FZ99-0.05)))</f>
        <v>0.92</v>
      </c>
      <c r="GB99" s="15">
        <f>MIN(1,MAX(VLOOKUP(($AJ99-$AI99-$AH99-$AG99-$AF99-$AE99*(1+GB$3))/$AJ99,'Технический лист'!$A:$B,2,1),(GA99-0.05)))</f>
        <v>0.92</v>
      </c>
      <c r="GC99" s="15">
        <f>MIN(1,MAX(VLOOKUP(($AJ99-$AI99-$AH99-$AG99-$AF99-$AE99*(1+GC$3))/$AJ99,'Технический лист'!$A:$B,2,1),(GB99-0.05)))</f>
        <v>0.92</v>
      </c>
      <c r="GD99" s="15">
        <f>MIN(1,MAX(VLOOKUP(($AJ99-$AI99-$AH99-$AG99-$AF99-$AE99*(1+GD$3))/$AJ99,'Технический лист'!$A:$B,2,1),(GC99-0.05)))</f>
        <v>0.92</v>
      </c>
      <c r="GE99" s="15">
        <f>MIN(1,MAX(VLOOKUP(($AJ99-$AI99-$AH99-$AG99-$AF99-$AE99*(1+GE$3))/$AJ99,'Технический лист'!$A:$B,2,1),(GD99-0.05)))</f>
        <v>0.92</v>
      </c>
      <c r="GF99" s="15">
        <f>MIN(1,MAX(VLOOKUP(($AJ99-$AI99-$AH99-$AG99-$AF99-$AE99*(1+GF$3))/$AJ99,'Технический лист'!$A:$B,2,1),(GE99-0.05)))</f>
        <v>0.92</v>
      </c>
      <c r="GG99" s="15">
        <f>MIN(1,MAX(VLOOKUP(($AJ99-$AI99-$AH99-$AG99-$AF99-$AE99*(1+GG$3))/$AJ99,'Технический лист'!$A:$B,2,1),(GF99-0.05)))</f>
        <v>0.92</v>
      </c>
      <c r="GH99" s="15">
        <f>MIN(1,MAX(VLOOKUP(($AJ99-$AI99-$AH99-$AG99-$AF99-$AE99*(1+GH$3))/$AJ99,'Технический лист'!$A:$B,2,1),(GG99-0.05)))</f>
        <v>0.91400000000000003</v>
      </c>
      <c r="GI99" s="15">
        <f>MIN(1,MAX(VLOOKUP(($AJ99-$AI99-$AH99-$AG99-$AF99-$AE99*(1+GI$3))/$AJ99,'Технический лист'!$A:$B,2,1),(GH99-0.05)))</f>
        <v>0.91400000000000003</v>
      </c>
      <c r="GJ99" s="15">
        <f>MIN(1,MAX(VLOOKUP(($AJ99-$AI99-$AH99-$AG99-$AF99-$AE99*(1+GJ$3))/$AJ99,'Технический лист'!$A:$B,2,1),(GI99-0.05)))</f>
        <v>0.91400000000000003</v>
      </c>
      <c r="GK99" s="15">
        <f>MIN(1,MAX(VLOOKUP(($AJ99-$AI99-$AH99-$AG99-$AF99-$AE99*(1+GK$3))/$AJ99,'Технический лист'!$A:$B,2,1),(GJ99-0.05)))</f>
        <v>0.91400000000000003</v>
      </c>
      <c r="GL99" s="15">
        <f>MIN(1,MAX(VLOOKUP(($AJ99-$AI99-$AH99-$AG99-$AF99-$AE99*(1+GL$3))/$AJ99,'Технический лист'!$A:$B,2,1),(GK99-0.05)))</f>
        <v>0.91400000000000003</v>
      </c>
      <c r="GM99" s="15">
        <f>MIN(1,MAX(VLOOKUP(($AJ99-$AI99-$AH99-$AG99-$AF99-$AE99*(1+GM$3))/$AJ99,'Технический лист'!$A:$B,2,1),(GL99-0.05)))</f>
        <v>0.91400000000000003</v>
      </c>
      <c r="GN99" s="15">
        <f>MIN(1,MAX(VLOOKUP(($AJ99-$AI99-$AH99-$AG99-$AF99-$AE99*(1+GN$3))/$AJ99,'Технический лист'!$A:$B,2,1),(GM99-0.05)))</f>
        <v>0.91400000000000003</v>
      </c>
      <c r="GO99" s="15">
        <f>MIN(1,MAX(VLOOKUP(($AJ99-$AI99-$AH99-$AG99-$AF99-$AE99*(1+GO$3))/$AJ99,'Технический лист'!$A:$B,2,1),(GN99-0.05)))</f>
        <v>0.91400000000000003</v>
      </c>
      <c r="GP99" s="15">
        <f>MIN(1,MAX(VLOOKUP(($AJ99-$AI99-$AH99-$AG99-$AF99-$AE99*(1+GP$3))/$AJ99,'Технический лист'!$A:$B,2,1),(GO99-0.05)))</f>
        <v>0.91400000000000003</v>
      </c>
      <c r="GQ99" s="15">
        <f>MIN(1,MAX(VLOOKUP(($AJ99-$AI99-$AH99-$AG99-$AF99-$AE99*(1+GQ$3))/$AJ99,'Технический лист'!$A:$B,2,1),(GP99-0.05)))</f>
        <v>0.91400000000000003</v>
      </c>
      <c r="GR99" s="15">
        <f>MIN(1,MAX(VLOOKUP(($AJ99-$AI99-$AH99-$AG99-$AF99-$AE99*(1+GR$3))/$AJ99,'Технический лист'!$A:$B,2,1),(GQ99-0.05)))</f>
        <v>0.91400000000000003</v>
      </c>
      <c r="GS99" s="15">
        <f>MIN(1,MAX(VLOOKUP(($AJ99-$AI99-$AH99-$AG99-$AF99-$AE99*(1+GS$3))/$AJ99,'Технический лист'!$A:$B,2,1),(GR99-0.05)))</f>
        <v>0.91400000000000003</v>
      </c>
      <c r="GT99" s="15">
        <f>MIN(1,MAX(VLOOKUP(($AJ99-$AI99-$AH99-$AG99-$AF99-$AE99*(1+GT$3))/$AJ99,'Технический лист'!$A:$B,2,1),(GS99-0.05)))</f>
        <v>0.90800000000000003</v>
      </c>
      <c r="GU99" s="15">
        <f>MIN(1,MAX(VLOOKUP(($AJ99-$AI99-$AH99-$AG99-$AF99-$AE99*(1+GU$3))/$AJ99,'Технический лист'!$A:$B,2,1),(GT99-0.05)))</f>
        <v>0.90800000000000003</v>
      </c>
      <c r="GV99" s="15">
        <f>MIN(1,MAX(VLOOKUP(($AJ99-$AI99-$AH99-$AG99-$AF99-$AE99*(1+GV$3))/$AJ99,'Технический лист'!$A:$B,2,1),(GU99-0.05)))</f>
        <v>0.90800000000000003</v>
      </c>
      <c r="GW99" s="15">
        <f>MIN(1,MAX(VLOOKUP(($AJ99-$AI99-$AH99-$AG99-$AF99-$AE99*(1+GW$3))/$AJ99,'Технический лист'!$A:$B,2,1),(GV99-0.05)))</f>
        <v>0.90800000000000003</v>
      </c>
      <c r="GX99" s="15">
        <f>MIN(1,MAX(VLOOKUP(($AJ99-$AI99-$AH99-$AG99-$AF99-$AE99*(1+GX$3))/$AJ99,'Технический лист'!$A:$B,2,1),(GW99-0.05)))</f>
        <v>0.90800000000000003</v>
      </c>
      <c r="GY99" s="15">
        <f>MIN(1,MAX(VLOOKUP(($AJ99-$AI99-$AH99-$AG99-$AF99-$AE99*(1+GY$3))/$AJ99,'Технический лист'!$A:$B,2,1),(GX99-0.05)))</f>
        <v>0.90800000000000003</v>
      </c>
      <c r="GZ99" s="15">
        <f>MIN(1,MAX(VLOOKUP(($AJ99-$AI99-$AH99-$AG99-$AF99-$AE99*(1+GZ$3))/$AJ99,'Технический лист'!$A:$B,2,1),(GY99-0.05)))</f>
        <v>0.90800000000000003</v>
      </c>
      <c r="HA99" s="15">
        <f>MIN(1,MAX(VLOOKUP(($AJ99-$AI99-$AH99-$AG99-$AF99-$AE99*(1+HA$3))/$AJ99,'Технический лист'!$A:$B,2,1),(GZ99-0.05)))</f>
        <v>0.90800000000000003</v>
      </c>
      <c r="HB99" s="15">
        <f>MIN(1,MAX(VLOOKUP(($AJ99-$AI99-$AH99-$AG99-$AF99-$AE99*(1+HB$3))/$AJ99,'Технический лист'!$A:$B,2,1),(HA99-0.05)))</f>
        <v>0.90800000000000003</v>
      </c>
      <c r="HC99" s="15">
        <f>MIN(1,MAX(VLOOKUP(($AJ99-$AI99-$AH99-$AG99-$AF99-$AE99*(1+HC$3))/$AJ99,'Технический лист'!$A:$B,2,1),(HB99-0.05)))</f>
        <v>0.90800000000000003</v>
      </c>
      <c r="HD99" s="15">
        <f>MIN(1,MAX(VLOOKUP(($AJ99-$AI99-$AH99-$AG99-$AF99-$AE99*(1+HD$3))/$AJ99,'Технический лист'!$A:$B,2,1),(HC99-0.05)))</f>
        <v>0.90800000000000003</v>
      </c>
      <c r="HE99" s="15">
        <f>MIN(1,MAX(VLOOKUP(($AJ99-$AI99-$AH99-$AG99-$AF99-$AE99*(1+HE$3))/$AJ99,'Технический лист'!$A:$B,2,1),(HD99-0.05)))</f>
        <v>0.90800000000000003</v>
      </c>
      <c r="HF99" s="15">
        <f>MIN(1,MAX(VLOOKUP(($AJ99-$AI99-$AH99-$AG99-$AF99-$AE99*(1+HF$3))/$AJ99,'Технический лист'!$A:$B,2,1),(HE99-0.05)))</f>
        <v>0.90200000000000002</v>
      </c>
      <c r="HG99" s="15">
        <f>MIN(1,MAX(VLOOKUP(($AJ99-$AI99-$AH99-$AG99-$AF99-$AE99*(1+HG$3))/$AJ99,'Технический лист'!$A:$B,2,1),(HF99-0.05)))</f>
        <v>0.90200000000000002</v>
      </c>
      <c r="HH99" s="15">
        <f>MIN(1,MAX(VLOOKUP(($AJ99-$AI99-$AH99-$AG99-$AF99-$AE99*(1+HH$3))/$AJ99,'Технический лист'!$A:$B,2,1),(HG99-0.05)))</f>
        <v>0.90200000000000002</v>
      </c>
      <c r="HI99" s="15">
        <f>MIN(1,MAX(VLOOKUP(($AJ99-$AI99-$AH99-$AG99-$AF99-$AE99*(1+HI$3))/$AJ99,'Технический лист'!$A:$B,2,1),(HH99-0.05)))</f>
        <v>0.90200000000000002</v>
      </c>
      <c r="HJ99" s="15">
        <f>MIN(1,MAX(VLOOKUP(($AJ99-$AI99-$AH99-$AG99-$AF99-$AE99*(1+HJ$3))/$AJ99,'Технический лист'!$A:$B,2,1),(HI99-0.05)))</f>
        <v>0.90200000000000002</v>
      </c>
      <c r="HK99" s="15">
        <f>MIN(1,MAX(VLOOKUP(($AJ99-$AI99-$AH99-$AG99-$AF99-$AE99*(1+HK$3))/$AJ99,'Технический лист'!$A:$B,2,1),(HJ99-0.05)))</f>
        <v>0.90200000000000002</v>
      </c>
      <c r="HL99" s="15">
        <f>MIN(1,MAX(VLOOKUP(($AJ99-$AI99-$AH99-$AG99-$AF99-$AE99*(1+HL$3))/$AJ99,'Технический лист'!$A:$B,2,1),(HK99-0.05)))</f>
        <v>0.90200000000000002</v>
      </c>
      <c r="HM99" s="15">
        <f>MIN(1,MAX(VLOOKUP(($AJ99-$AI99-$AH99-$AG99-$AF99-$AE99*(1+HM$3))/$AJ99,'Технический лист'!$A:$B,2,1),(HL99-0.05)))</f>
        <v>0.90200000000000002</v>
      </c>
      <c r="HN99" s="15">
        <f>MIN(1,MAX(VLOOKUP(($AJ99-$AI99-$AH99-$AG99-$AF99-$AE99*(1+HN$3))/$AJ99,'Технический лист'!$A:$B,2,1),(HM99-0.05)))</f>
        <v>0.90200000000000002</v>
      </c>
      <c r="HO99" s="15">
        <f>MIN(1,MAX(VLOOKUP(($AJ99-$AI99-$AH99-$AG99-$AF99-$AE99*(1+HO$3))/$AJ99,'Технический лист'!$A:$B,2,1),(HN99-0.05)))</f>
        <v>0.90200000000000002</v>
      </c>
      <c r="HP99" s="15">
        <f>MIN(1,MAX(VLOOKUP(($AJ99-$AI99-$AH99-$AG99-$AF99-$AE99*(1+HP$3))/$AJ99,'Технический лист'!$A:$B,2,1),(HO99-0.05)))</f>
        <v>0.90200000000000002</v>
      </c>
      <c r="HQ99" s="15">
        <f>MIN(1,MAX(VLOOKUP(($AJ99-$AI99-$AH99-$AG99-$AF99-$AE99*(1+HQ$3))/$AJ99,'Технический лист'!$A:$B,2,1),(HP99-0.05)))</f>
        <v>0.90200000000000002</v>
      </c>
      <c r="HR99" s="15">
        <f>MIN(1,MAX(VLOOKUP(($AJ99-$AI99-$AH99-$AG99-$AF99-$AE99*(1+HR$3))/$AJ99,'Технический лист'!$A:$B,2,1),(HQ99-0.05)))</f>
        <v>0.89600000000000002</v>
      </c>
      <c r="HS99" s="15">
        <f>MIN(1,MAX(VLOOKUP(($AJ99-$AI99-$AH99-$AG99-$AF99-$AE99*(1+HS$3))/$AJ99,'Технический лист'!$A:$B,2,1),(HR99-0.05)))</f>
        <v>0.89600000000000002</v>
      </c>
      <c r="HT99" s="15">
        <f>MIN(1,MAX(VLOOKUP(($AJ99-$AI99-$AH99-$AG99-$AF99-$AE99*(1+HT$3))/$AJ99,'Технический лист'!$A:$B,2,1),(HS99-0.05)))</f>
        <v>0.89600000000000002</v>
      </c>
      <c r="HU99" s="15">
        <f>MIN(1,MAX(VLOOKUP(($AJ99-$AI99-$AH99-$AG99-$AF99-$AE99*(1+HU$3))/$AJ99,'Технический лист'!$A:$B,2,1),(HT99-0.05)))</f>
        <v>0.89600000000000002</v>
      </c>
      <c r="HV99" s="15">
        <f>MIN(1,MAX(VLOOKUP(($AJ99-$AI99-$AH99-$AG99-$AF99-$AE99*(1+HV$3))/$AJ99,'Технический лист'!$A:$B,2,1),(HU99-0.05)))</f>
        <v>0.89600000000000002</v>
      </c>
      <c r="HW99" s="15">
        <f>MIN(1,MAX(VLOOKUP(($AJ99-$AI99-$AH99-$AG99-$AF99-$AE99*(1+HW$3))/$AJ99,'Технический лист'!$A:$B,2,1),(HV99-0.05)))</f>
        <v>0.89600000000000002</v>
      </c>
      <c r="HX99" s="15">
        <f>MIN(1,MAX(VLOOKUP(($AJ99-$AI99-$AH99-$AG99-$AF99-$AE99*(1+HX$3))/$AJ99,'Технический лист'!$A:$B,2,1),(HW99-0.05)))</f>
        <v>0.89600000000000002</v>
      </c>
      <c r="HY99" s="15">
        <f>MIN(1,MAX(VLOOKUP(($AJ99-$AI99-$AH99-$AG99-$AF99-$AE99*(1+HY$3))/$AJ99,'Технический лист'!$A:$B,2,1),(HX99-0.05)))</f>
        <v>0.89600000000000002</v>
      </c>
      <c r="HZ99" s="15">
        <f>MIN(1,MAX(VLOOKUP(($AJ99-$AI99-$AH99-$AG99-$AF99-$AE99*(1+HZ$3))/$AJ99,'Технический лист'!$A:$B,2,1),(HY99-0.05)))</f>
        <v>0.89600000000000002</v>
      </c>
      <c r="IA99" s="15">
        <f>MIN(1,MAX(VLOOKUP(($AJ99-$AI99-$AH99-$AG99-$AF99-$AE99*(1+IA$3))/$AJ99,'Технический лист'!$A:$B,2,1),(HZ99-0.05)))</f>
        <v>0.89600000000000002</v>
      </c>
      <c r="IB99" s="15">
        <f>MIN(1,MAX(VLOOKUP(($AJ99-$AI99-$AH99-$AG99-$AF99-$AE99*(1+IB$3))/$AJ99,'Технический лист'!$A:$B,2,1),(IA99-0.05)))</f>
        <v>0.89600000000000002</v>
      </c>
      <c r="IC99" s="15">
        <f>MIN(1,MAX(VLOOKUP(($AJ99-$AI99-$AH99-$AG99-$AF99-$AE99*(1+IC$3))/$AJ99,'Технический лист'!$A:$B,2,1),(IB99-0.05)))</f>
        <v>0.89600000000000002</v>
      </c>
      <c r="ID99" s="15">
        <f>MIN(1,MAX(VLOOKUP(($AJ99-$AI99-$AH99-$AG99-$AF99-$AE99*(1+ID$3))/$AJ99,'Технический лист'!$A:$B,2,1),(IC99-0.05)))</f>
        <v>0.89</v>
      </c>
      <c r="IE99" s="15">
        <f>MIN(1,MAX(VLOOKUP(($AJ99-$AI99-$AH99-$AG99-$AF99-$AE99*(1+IE$3))/$AJ99,'Технический лист'!$A:$B,2,1),(ID99-0.05)))</f>
        <v>0.89</v>
      </c>
      <c r="IF99" s="15">
        <f>MIN(1,MAX(VLOOKUP(($AJ99-$AI99-$AH99-$AG99-$AF99-$AE99*(1+IF$3))/$AJ99,'Технический лист'!$A:$B,2,1),(IE99-0.05)))</f>
        <v>0.89</v>
      </c>
      <c r="IG99" s="15">
        <f>MIN(1,MAX(VLOOKUP(($AJ99-$AI99-$AH99-$AG99-$AF99-$AE99*(1+IG$3))/$AJ99,'Технический лист'!$A:$B,2,1),(IF99-0.05)))</f>
        <v>0.89</v>
      </c>
      <c r="IH99" s="15">
        <f>MIN(1,MAX(VLOOKUP(($AJ99-$AI99-$AH99-$AG99-$AF99-$AE99*(1+IH$3))/$AJ99,'Технический лист'!$A:$B,2,1),(IG99-0.05)))</f>
        <v>0.89</v>
      </c>
      <c r="II99" s="15">
        <f>MIN(1,MAX(VLOOKUP(($AJ99-$AI99-$AH99-$AG99-$AF99-$AE99*(1+II$3))/$AJ99,'Технический лист'!$A:$B,2,1),(IH99-0.05)))</f>
        <v>0.89</v>
      </c>
      <c r="IJ99" s="15">
        <f>MIN(1,MAX(VLOOKUP(($AJ99-$AI99-$AH99-$AG99-$AF99-$AE99*(1+IJ$3))/$AJ99,'Технический лист'!$A:$B,2,1),(II99-0.05)))</f>
        <v>0.89</v>
      </c>
      <c r="IK99" s="15">
        <f>MIN(1,MAX(VLOOKUP(($AJ99-$AI99-$AH99-$AG99-$AF99-$AE99*(1+IK$3))/$AJ99,'Технический лист'!$A:$B,2,1),(IJ99-0.05)))</f>
        <v>0.89</v>
      </c>
      <c r="IL99" s="15">
        <f>MIN(1,MAX(VLOOKUP(($AJ99-$AI99-$AH99-$AG99-$AF99-$AE99*(1+IL$3))/$AJ99,'Технический лист'!$A:$B,2,1),(IK99-0.05)))</f>
        <v>0.89</v>
      </c>
      <c r="IM99" s="15">
        <f>MIN(1,MAX(VLOOKUP(($AJ99-$AI99-$AH99-$AG99-$AF99-$AE99*(1+IM$3))/$AJ99,'Технический лист'!$A:$B,2,1),(IL99-0.05)))</f>
        <v>0.89</v>
      </c>
      <c r="IN99" s="15">
        <f>MIN(1,MAX(VLOOKUP(($AJ99-$AI99-$AH99-$AG99-$AF99-$AE99*(1+IN$3))/$AJ99,'Технический лист'!$A:$B,2,1),(IM99-0.05)))</f>
        <v>0.89</v>
      </c>
      <c r="IO99" s="15">
        <f>MIN(1,MAX(VLOOKUP(($AJ99-$AI99-$AH99-$AG99-$AF99-$AE99*(1+IO$3))/$AJ99,'Технический лист'!$A:$B,2,1),(IN99-0.05)))</f>
        <v>0.89</v>
      </c>
      <c r="IP99" s="15">
        <f>MIN(1,MAX(VLOOKUP(($AJ99-$AI99-$AH99-$AG99-$AF99-$AE99*(1+IP$3))/$AJ99,'Технический лист'!$A:$B,2,1),(IO99-0.05)))</f>
        <v>0.88400000000000001</v>
      </c>
      <c r="IQ99" s="15">
        <f>MIN(1,MAX(VLOOKUP(($AJ99-$AI99-$AH99-$AG99-$AF99-$AE99*(1+IQ$3))/$AJ99,'Технический лист'!$A:$B,2,1),(IP99-0.05)))</f>
        <v>0.88400000000000001</v>
      </c>
      <c r="IR99" s="15">
        <f>MIN(1,MAX(VLOOKUP(($AJ99-$AI99-$AH99-$AG99-$AF99-$AE99*(1+IR$3))/$AJ99,'Технический лист'!$A:$B,2,1),(IQ99-0.05)))</f>
        <v>0.88400000000000001</v>
      </c>
    </row>
    <row r="100" spans="1:252" ht="29.15">
      <c r="A100" s="89" t="s">
        <v>515</v>
      </c>
      <c r="B100" s="90">
        <v>5</v>
      </c>
      <c r="C100" s="5" t="s">
        <v>68</v>
      </c>
      <c r="D100" s="91">
        <v>31106</v>
      </c>
      <c r="E100" s="91" t="s">
        <v>348</v>
      </c>
      <c r="F100" s="92" t="s">
        <v>79</v>
      </c>
      <c r="G100" s="91" t="s">
        <v>31</v>
      </c>
      <c r="H100" s="91" t="s">
        <v>21</v>
      </c>
      <c r="I100" s="91" t="s">
        <v>173</v>
      </c>
      <c r="J100" s="91" t="s">
        <v>55</v>
      </c>
      <c r="K100" s="91">
        <v>2560</v>
      </c>
      <c r="L100" s="85" t="s">
        <v>64</v>
      </c>
      <c r="M100" s="91" t="s">
        <v>17</v>
      </c>
      <c r="N100" s="91" t="s">
        <v>191</v>
      </c>
      <c r="O100" s="91" t="s">
        <v>192</v>
      </c>
      <c r="P100" s="89" t="s">
        <v>244</v>
      </c>
      <c r="Q100" s="91" t="s">
        <v>296</v>
      </c>
      <c r="R100" s="91" t="s">
        <v>268</v>
      </c>
      <c r="S100" s="82">
        <v>1275445</v>
      </c>
      <c r="T100" s="82">
        <v>3265071983</v>
      </c>
      <c r="U100" s="81">
        <v>18283</v>
      </c>
      <c r="V100" s="81">
        <v>0</v>
      </c>
      <c r="W100" s="82">
        <v>3330360616</v>
      </c>
      <c r="X100" s="112">
        <v>69</v>
      </c>
      <c r="Y100" s="112" t="s">
        <v>418</v>
      </c>
      <c r="Z100" s="113">
        <v>7</v>
      </c>
      <c r="AA100" s="113">
        <v>7</v>
      </c>
      <c r="AB100" s="113">
        <v>4</v>
      </c>
      <c r="AC100" s="99">
        <v>3191.91</v>
      </c>
      <c r="AD100" s="99">
        <f t="shared" si="38"/>
        <v>652.95000000000027</v>
      </c>
      <c r="AE100" s="99">
        <v>3844.86</v>
      </c>
      <c r="AF100" s="98">
        <f>(Z100+AA100+AB100)*'Ставки аренды'!$B$3/X100</f>
        <v>182.60869565217391</v>
      </c>
      <c r="AG100" s="114">
        <f>'Ставки перевалки'!$B$9*'Курсы валют'!$B$2</f>
        <v>1220.8879999999999</v>
      </c>
      <c r="AH100" s="94">
        <v>0</v>
      </c>
      <c r="AI100" s="115">
        <f>96788205/105454369*AJ100</f>
        <v>24862.343007360487</v>
      </c>
      <c r="AJ100" s="117">
        <f>Цены!C37*'Курсы валют'!B2</f>
        <v>27088.452499999999</v>
      </c>
      <c r="AK100" s="94">
        <f>AJ100/Цены!$B$1</f>
        <v>355</v>
      </c>
      <c r="AL100" s="95">
        <f t="shared" si="24"/>
        <v>5248.3566956521736</v>
      </c>
      <c r="AM100" s="95">
        <f t="shared" si="25"/>
        <v>21840.095804347824</v>
      </c>
      <c r="AN100" s="94">
        <f t="shared" ref="AN100:AN131" si="39">AI100+AH100+AG100+AF100+AE100</f>
        <v>30110.699703012659</v>
      </c>
      <c r="AO100" s="118">
        <f t="shared" ref="AO100:AO131" si="40">(AJ100-AN100)/AJ100</f>
        <v>-0.1115695775907708</v>
      </c>
      <c r="AP100" s="96">
        <f t="shared" si="26"/>
        <v>0.19374885647868492</v>
      </c>
      <c r="AQ100" s="96">
        <f t="shared" si="27"/>
        <v>0.14193723321773366</v>
      </c>
      <c r="AR100" s="96">
        <f t="shared" si="28"/>
        <v>0.73258359196225109</v>
      </c>
      <c r="AS100" s="122">
        <v>1</v>
      </c>
      <c r="AT100" s="121">
        <f t="shared" si="29"/>
        <v>1275445</v>
      </c>
      <c r="AU100" s="83">
        <v>0.8</v>
      </c>
      <c r="AV100" s="119">
        <f t="shared" si="30"/>
        <v>-0.12860204557689897</v>
      </c>
      <c r="AW100" s="120">
        <f t="shared" si="31"/>
        <v>0.21078132446481299</v>
      </c>
      <c r="AX100" s="120">
        <f t="shared" si="32"/>
        <v>0.15896970120386172</v>
      </c>
      <c r="AY100" s="120">
        <f t="shared" si="33"/>
        <v>0.75419253393295516</v>
      </c>
      <c r="AZ100" s="15">
        <f>MIN(IF($AU100=100%,1,1+VLOOKUP(($AJ100-$AI100-$AH100-$AG100-$AF100-$AE100*(1+AZ$3))/$AJ100,'Технический лист'!$I:$J,2,1)-VLOOKUP($AO100,'Технический лист'!$I:$J,2,1)),1+(1-$AU100))</f>
        <v>1.2</v>
      </c>
      <c r="BA100" s="15">
        <f>MIN(IF($AU100=100%,1,1+VLOOKUP(($AJ100-$AI100-$AH100-$AG100-$AF100-$AE100*(1+BA$3))/$AJ100,'Технический лист'!$I:$J,2,1)-VLOOKUP($AO100,'Технический лист'!$I:$J,2,1)),1+(1-$AU100))</f>
        <v>1.2</v>
      </c>
      <c r="BB100" s="15">
        <f>MIN(IF($AU100=100%,1,1+VLOOKUP(($AJ100-$AI100-$AH100-$AG100-$AF100-$AE100*(1+BB$3))/$AJ100,'Технический лист'!$I:$J,2,1)-VLOOKUP($AO100,'Технический лист'!$I:$J,2,1)),1+(1-$AU100))</f>
        <v>1.2</v>
      </c>
      <c r="BC100" s="15">
        <f>MIN(IF($AU100=100%,1,1+VLOOKUP(($AJ100-$AI100-$AH100-$AG100-$AF100-$AE100*(1+BC$3))/$AJ100,'Технический лист'!$I:$J,2,1)-VLOOKUP($AO100,'Технический лист'!$I:$J,2,1)),1+(1-$AU100))</f>
        <v>1.2</v>
      </c>
      <c r="BD100" s="15">
        <f>MIN(IF($AU100=100%,1,1+VLOOKUP(($AJ100-$AI100-$AH100-$AG100-$AF100-$AE100*(1+BD$3))/$AJ100,'Технический лист'!$I:$J,2,1)-VLOOKUP($AO100,'Технический лист'!$I:$J,2,1)),1+(1-$AU100))</f>
        <v>1.2</v>
      </c>
      <c r="BE100" s="15">
        <f>MIN(IF($AU100=100%,1,1+VLOOKUP(($AJ100-$AI100-$AH100-$AG100-$AF100-$AE100*(1+BE$3))/$AJ100,'Технический лист'!$I:$J,2,1)-VLOOKUP($AO100,'Технический лист'!$I:$J,2,1)),1+(1-$AU100))</f>
        <v>1.2</v>
      </c>
      <c r="BF100" s="15">
        <f>MIN(IF($AU100=100%,1,1+VLOOKUP(($AJ100-$AI100-$AH100-$AG100-$AF100-$AE100*(1+BF$3))/$AJ100,'Технический лист'!$I:$J,2,1)-VLOOKUP($AO100,'Технический лист'!$I:$J,2,1)),1+(1-$AU100))</f>
        <v>1.2</v>
      </c>
      <c r="BG100" s="15">
        <f>MIN(IF($AU100=100%,1,1+VLOOKUP(($AJ100-$AI100-$AH100-$AG100-$AF100-$AE100*(1+BG$3))/$AJ100,'Технический лист'!$I:$J,2,1)-VLOOKUP($AO100,'Технический лист'!$I:$J,2,1)),1+(1-$AU100))</f>
        <v>1.2</v>
      </c>
      <c r="BH100" s="15">
        <f>MIN(IF($AU100=100%,1,1+VLOOKUP(($AJ100-$AI100-$AH100-$AG100-$AF100-$AE100*(1+BH$3))/$AJ100,'Технический лист'!$I:$J,2,1)-VLOOKUP($AO100,'Технический лист'!$I:$J,2,1)),1+(1-$AU100))</f>
        <v>1.2</v>
      </c>
      <c r="BI100" s="15">
        <f>MIN(IF($AU100=100%,1,1+VLOOKUP(($AJ100-$AI100-$AH100-$AG100-$AF100-$AE100*(1+BI$3))/$AJ100,'Технический лист'!$I:$J,2,1)-VLOOKUP($AO100,'Технический лист'!$I:$J,2,1)),1+(1-$AU100))</f>
        <v>1.2</v>
      </c>
      <c r="BJ100" s="15">
        <f>MIN(IF($AU100=100%,1,1+VLOOKUP(($AJ100-$AI100-$AH100-$AG100-$AF100-$AE100*(1+BJ$3))/$AJ100,'Технический лист'!$I:$J,2,1)-VLOOKUP($AO100,'Технический лист'!$I:$J,2,1)),1+(1-$AU100))</f>
        <v>1.2</v>
      </c>
      <c r="BK100" s="15">
        <f>MIN(IF($AU100=100%,1,1+VLOOKUP(($AJ100-$AI100-$AH100-$AG100-$AF100-$AE100*(1+BK$3))/$AJ100,'Технический лист'!$I:$J,2,1)-VLOOKUP($AO100,'Технический лист'!$I:$J,2,1)),1+(1-$AU100))</f>
        <v>1.2</v>
      </c>
      <c r="BL100" s="15">
        <f>MIN(IF($AU100=100%,1,1+VLOOKUP(($AJ100-$AI100-$AH100-$AG100-$AF100-$AE100*(1+BL$3))/$AJ100,'Технический лист'!$I:$J,2,1)-VLOOKUP($AO100,'Технический лист'!$I:$J,2,1)),1+(1-$AU100))</f>
        <v>1.2</v>
      </c>
      <c r="BM100" s="15">
        <f>MIN(IF($AU100=100%,1,1+VLOOKUP(($AJ100-$AI100-$AH100-$AG100-$AF100-$AE100*(1+BM$3))/$AJ100,'Технический лист'!$I:$J,2,1)-VLOOKUP($AO100,'Технический лист'!$I:$J,2,1)),1+(1-$AU100))</f>
        <v>1.2</v>
      </c>
      <c r="BN100" s="15">
        <f>MIN(IF($AU100=100%,1,1+VLOOKUP(($AJ100-$AI100-$AH100-$AG100-$AF100-$AE100*(1+BN$3))/$AJ100,'Технический лист'!$I:$J,2,1)-VLOOKUP($AO100,'Технический лист'!$I:$J,2,1)),1+(1-$AU100))</f>
        <v>1.2</v>
      </c>
      <c r="BO100" s="15">
        <f>MIN(IF($AU100=100%,1,1+VLOOKUP(($AJ100-$AI100-$AH100-$AG100-$AF100-$AE100*(1+BO$3))/$AJ100,'Технический лист'!$I:$J,2,1)-VLOOKUP($AO100,'Технический лист'!$I:$J,2,1)),1+(1-$AU100))</f>
        <v>1.2</v>
      </c>
      <c r="BP100" s="15">
        <f>MIN(IF($AU100=100%,1,1+VLOOKUP(($AJ100-$AI100-$AH100-$AG100-$AF100-$AE100*(1+BP$3))/$AJ100,'Технический лист'!$I:$J,2,1)-VLOOKUP($AO100,'Технический лист'!$I:$J,2,1)),1+(1-$AU100))</f>
        <v>1.2</v>
      </c>
      <c r="BQ100" s="15">
        <f>MIN(IF($AU100=100%,1,1+VLOOKUP(($AJ100-$AI100-$AH100-$AG100-$AF100-$AE100*(1+BQ$3))/$AJ100,'Технический лист'!$I:$J,2,1)-VLOOKUP($AO100,'Технический лист'!$I:$J,2,1)),1+(1-$AU100))</f>
        <v>1.2</v>
      </c>
      <c r="BR100" s="15">
        <f>MIN(IF($AU100=100%,1,1+VLOOKUP(($AJ100-$AI100-$AH100-$AG100-$AF100-$AE100*(1+BR$3))/$AJ100,'Технический лист'!$I:$J,2,1)-VLOOKUP($AO100,'Технический лист'!$I:$J,2,1)),1+(1-$AU100))</f>
        <v>1.2</v>
      </c>
      <c r="BS100" s="15">
        <f>MIN(IF($AU100=100%,1,1+VLOOKUP(($AJ100-$AI100-$AH100-$AG100-$AF100-$AE100*(1+BS$3))/$AJ100,'Технический лист'!$I:$J,2,1)-VLOOKUP($AO100,'Технический лист'!$I:$J,2,1)),1+(1-$AU100))</f>
        <v>1.2</v>
      </c>
      <c r="BT100" s="15">
        <f>MIN(IF($AU100=100%,1,1+VLOOKUP(($AJ100-$AI100-$AH100-$AG100-$AF100-$AE100*(1+BT$3))/$AJ100,'Технический лист'!$I:$J,2,1)-VLOOKUP($AO100,'Технический лист'!$I:$J,2,1)),1+(1-$AU100))</f>
        <v>1.2</v>
      </c>
      <c r="BU100" s="15">
        <f>MIN(IF($AU100=100%,1,1+VLOOKUP(($AJ100-$AI100-$AH100-$AG100-$AF100-$AE100*(1+BU$3))/$AJ100,'Технический лист'!$I:$J,2,1)-VLOOKUP($AO100,'Технический лист'!$I:$J,2,1)),1+(1-$AU100))</f>
        <v>1.2</v>
      </c>
      <c r="BV100" s="15">
        <f>MIN(IF($AU100=100%,1,1+VLOOKUP(($AJ100-$AI100-$AH100-$AG100-$AF100-$AE100*(1+BV$3))/$AJ100,'Технический лист'!$I:$J,2,1)-VLOOKUP($AO100,'Технический лист'!$I:$J,2,1)),1+(1-$AU100))</f>
        <v>1.2</v>
      </c>
      <c r="BW100" s="15">
        <f>MIN(IF($AU100=100%,1,1+VLOOKUP(($AJ100-$AI100-$AH100-$AG100-$AF100-$AE100*(1+BW$3))/$AJ100,'Технический лист'!$I:$J,2,1)-VLOOKUP($AO100,'Технический лист'!$I:$J,2,1)),1+(1-$AU100))</f>
        <v>1.2</v>
      </c>
      <c r="BX100" s="15">
        <f>MIN(IF($AU100=100%,1,1+VLOOKUP(($AJ100-$AI100-$AH100-$AG100-$AF100-$AE100*(1+BX$3))/$AJ100,'Технический лист'!$I:$J,2,1)-VLOOKUP($AO100,'Технический лист'!$I:$J,2,1)),1+(1-$AU100))</f>
        <v>1.2</v>
      </c>
      <c r="BY100" s="15">
        <f>MIN(IF($AU100=100%,1,1+VLOOKUP(($AJ100-$AI100-$AH100-$AG100-$AF100-$AE100*(1+BY$3))/$AJ100,'Технический лист'!$I:$J,2,1)-VLOOKUP($AO100,'Технический лист'!$I:$J,2,1)),1+(1-$AU100))</f>
        <v>1.2</v>
      </c>
      <c r="BZ100" s="15">
        <f>MIN(IF($AU100=100%,1,1+VLOOKUP(($AJ100-$AI100-$AH100-$AG100-$AF100-$AE100*(1+BZ$3))/$AJ100,'Технический лист'!$I:$J,2,1)-VLOOKUP($AO100,'Технический лист'!$I:$J,2,1)),1+(1-$AU100))</f>
        <v>1.2</v>
      </c>
      <c r="CA100" s="15">
        <f>MIN(IF($AU100=100%,1,1+VLOOKUP(($AJ100-$AI100-$AH100-$AG100-$AF100-$AE100*(1+CA$3))/$AJ100,'Технический лист'!$I:$J,2,1)-VLOOKUP($AO100,'Технический лист'!$I:$J,2,1)),1+(1-$AU100))</f>
        <v>1.2</v>
      </c>
      <c r="CB100" s="15">
        <f>MIN(IF($AU100=100%,1,1+VLOOKUP(($AJ100-$AI100-$AH100-$AG100-$AF100-$AE100*(1+CB$3))/$AJ100,'Технический лист'!$I:$J,2,1)-VLOOKUP($AO100,'Технический лист'!$I:$J,2,1)),1+(1-$AU100))</f>
        <v>1.2</v>
      </c>
      <c r="CC100" s="15">
        <f>MIN(IF($AU100=100%,1,1+VLOOKUP(($AJ100-$AI100-$AH100-$AG100-$AF100-$AE100*(1+CC$3))/$AJ100,'Технический лист'!$I:$J,2,1)-VLOOKUP($AO100,'Технический лист'!$I:$J,2,1)),1+(1-$AU100))</f>
        <v>1.2</v>
      </c>
      <c r="CD100" s="15">
        <f>MIN(IF($AU100=100%,1,1+VLOOKUP(($AJ100-$AI100-$AH100-$AG100-$AF100-$AE100*(1+CD$3))/$AJ100,'Технический лист'!$I:$J,2,1)-VLOOKUP($AO100,'Технический лист'!$I:$J,2,1)),1+(1-$AU100))</f>
        <v>1.2</v>
      </c>
      <c r="CE100" s="15">
        <f>MIN(IF($AU100=100%,1,1+VLOOKUP(($AJ100-$AI100-$AH100-$AG100-$AF100-$AE100*(1+CE$3))/$AJ100,'Технический лист'!$I:$J,2,1)-VLOOKUP($AO100,'Технический лист'!$I:$J,2,1)),1+(1-$AU100))</f>
        <v>1.2</v>
      </c>
      <c r="CF100" s="15">
        <f>MIN(IF($AU100=100%,1,1+VLOOKUP(($AJ100-$AI100-$AH100-$AG100-$AF100-$AE100*(1+CF$3))/$AJ100,'Технический лист'!$I:$J,2,1)-VLOOKUP($AO100,'Технический лист'!$I:$J,2,1)),1+(1-$AU100))</f>
        <v>1.2</v>
      </c>
      <c r="CG100" s="15">
        <f>MIN(IF($AU100=100%,1,1+VLOOKUP(($AJ100-$AI100-$AH100-$AG100-$AF100-$AE100*(1+CG$3))/$AJ100,'Технический лист'!$I:$J,2,1)-VLOOKUP($AO100,'Технический лист'!$I:$J,2,1)),1+(1-$AU100))</f>
        <v>1.2</v>
      </c>
      <c r="CH100" s="15">
        <f>MIN(IF($AU100=100%,1,1+VLOOKUP(($AJ100-$AI100-$AH100-$AG100-$AF100-$AE100*(1+CH$3))/$AJ100,'Технический лист'!$I:$J,2,1)-VLOOKUP($AO100,'Технический лист'!$I:$J,2,1)),1+(1-$AU100))</f>
        <v>1.2</v>
      </c>
      <c r="CI100" s="15">
        <f>MIN(IF($AU100=100%,1,1+VLOOKUP(($AJ100-$AI100-$AH100-$AG100-$AF100-$AE100*(1+CI$3))/$AJ100,'Технический лист'!$I:$J,2,1)-VLOOKUP($AO100,'Технический лист'!$I:$J,2,1)),1+(1-$AU100))</f>
        <v>1.2</v>
      </c>
      <c r="CJ100" s="15">
        <f>MIN(IF($AU100=100%,1,1+VLOOKUP(($AJ100-$AI100-$AH100-$AG100-$AF100-$AE100*(1+CJ$3))/$AJ100,'Технический лист'!$I:$J,2,1)-VLOOKUP($AO100,'Технический лист'!$I:$J,2,1)),1+(1-$AU100))</f>
        <v>1.2</v>
      </c>
      <c r="CK100" s="15">
        <f>MIN(IF($AU100=100%,1,1+VLOOKUP(($AJ100-$AI100-$AH100-$AG100-$AF100-$AE100*(1+CK$3))/$AJ100,'Технический лист'!$I:$J,2,1)-VLOOKUP($AO100,'Технический лист'!$I:$J,2,1)),1+(1-$AU100))</f>
        <v>1.2</v>
      </c>
      <c r="CL100" s="15">
        <f>MIN(IF($AU100=100%,1,1+VLOOKUP(($AJ100-$AI100-$AH100-$AG100-$AF100-$AE100*(1+CL$3))/$AJ100,'Технический лист'!$I:$J,2,1)-VLOOKUP($AO100,'Технический лист'!$I:$J,2,1)),1+(1-$AU100))</f>
        <v>1.2</v>
      </c>
      <c r="CM100" s="15">
        <f>MIN(IF($AU100=100%,1,1+VLOOKUP(($AJ100-$AI100-$AH100-$AG100-$AF100-$AE100*(1+CM$3))/$AJ100,'Технический лист'!$I:$J,2,1)-VLOOKUP($AO100,'Технический лист'!$I:$J,2,1)),1+(1-$AU100))</f>
        <v>1.2</v>
      </c>
      <c r="CN100" s="15">
        <f>MIN(IF($AU100=100%,1,1+VLOOKUP(($AJ100-$AI100-$AH100-$AG100-$AF100-$AE100*(1+CN$3))/$AJ100,'Технический лист'!$I:$J,2,1)-VLOOKUP($AO100,'Технический лист'!$I:$J,2,1)),1+(1-$AU100))</f>
        <v>1.2</v>
      </c>
      <c r="CO100" s="15">
        <f>MIN(IF($AU100=100%,1,1+VLOOKUP(($AJ100-$AI100-$AH100-$AG100-$AF100-$AE100*(1+CO$3))/$AJ100,'Технический лист'!$I:$J,2,1)-VLOOKUP($AO100,'Технический лист'!$I:$J,2,1)),1+(1-$AU100))</f>
        <v>1.2</v>
      </c>
      <c r="CP100" s="15">
        <f>MIN(IF($AU100=100%,1,1+VLOOKUP(($AJ100-$AI100-$AH100-$AG100-$AF100-$AE100*(1+CP$3))/$AJ100,'Технический лист'!$I:$J,2,1)-VLOOKUP($AO100,'Технический лист'!$I:$J,2,1)),1+(1-$AU100))</f>
        <v>1.2</v>
      </c>
      <c r="CQ100" s="15">
        <f>MIN(IF($AU100=100%,1,1+VLOOKUP(($AJ100-$AI100-$AH100-$AG100-$AF100-$AE100*(1+CQ$3))/$AJ100,'Технический лист'!$I:$J,2,1)-VLOOKUP($AO100,'Технический лист'!$I:$J,2,1)),1+(1-$AU100))</f>
        <v>1.2</v>
      </c>
      <c r="CR100" s="15">
        <f>MIN(IF($AU100=100%,1,1+VLOOKUP(($AJ100-$AI100-$AH100-$AG100-$AF100-$AE100*(1+CR$3))/$AJ100,'Технический лист'!$I:$J,2,1)-VLOOKUP($AO100,'Технический лист'!$I:$J,2,1)),1+(1-$AU100))</f>
        <v>1.2</v>
      </c>
      <c r="CS100" s="15">
        <f>MIN(IF($AU100=100%,1,1+VLOOKUP(($AJ100-$AI100-$AH100-$AG100-$AF100-$AE100*(1+CS$3))/$AJ100,'Технический лист'!$I:$J,2,1)-VLOOKUP($AO100,'Технический лист'!$I:$J,2,1)),1+(1-$AU100))</f>
        <v>1.2</v>
      </c>
      <c r="CT100" s="15">
        <f>MIN(IF($AU100=100%,1,1+VLOOKUP(($AJ100-$AI100-$AH100-$AG100-$AF100-$AE100*(1+CT$3))/$AJ100,'Технический лист'!$I:$J,2,1)-VLOOKUP($AO100,'Технический лист'!$I:$J,2,1)),1+(1-$AU100))</f>
        <v>1.2</v>
      </c>
      <c r="CU100" s="15">
        <f>MIN(IF($AU100=100%,1,1+VLOOKUP(($AJ100-$AI100-$AH100-$AG100-$AF100-$AE100*(1+CU$3))/$AJ100,'Технический лист'!$I:$J,2,1)-VLOOKUP($AO100,'Технический лист'!$I:$J,2,1)),1+(1-$AU100))</f>
        <v>1.2</v>
      </c>
      <c r="CV100" s="15">
        <f>MIN(IF($AU100=100%,1,1+VLOOKUP(($AJ100-$AI100-$AH100-$AG100-$AF100-$AE100*(1+CV$3))/$AJ100,'Технический лист'!$I:$J,2,1)-VLOOKUP($AO100,'Технический лист'!$I:$J,2,1)),1+(1-$AU100))</f>
        <v>1.2</v>
      </c>
      <c r="CW100" s="15">
        <f>MIN(IF($AU100=100%,1,1+VLOOKUP(($AJ100-$AI100-$AH100-$AG100-$AF100-$AE100*(1+CW$3))/$AJ100,'Технический лист'!$I:$J,2,1)-VLOOKUP($AO100,'Технический лист'!$I:$J,2,1)),1+(1-$AU100))</f>
        <v>1.2</v>
      </c>
      <c r="CX100" s="15">
        <f>MIN(IF($AU100=100%,1,1+VLOOKUP(($AJ100-$AI100-$AH100-$AG100-$AF100-$AE100*(1+CX$3))/$AJ100,'Технический лист'!$I:$J,2,1)-VLOOKUP($AO100,'Технический лист'!$I:$J,2,1)),1+(1-$AU100))</f>
        <v>1.2</v>
      </c>
      <c r="CY100" s="15">
        <f>MIN(IF($AU100=100%,1,1+VLOOKUP(($AJ100-$AI100-$AH100-$AG100-$AF100-$AE100*(1+CY$3))/$AJ100,'Технический лист'!$I:$J,2,1)-VLOOKUP($AO100,'Технический лист'!$I:$J,2,1)),1+(1-$AU100))</f>
        <v>1.2</v>
      </c>
      <c r="CZ100" s="15">
        <f>MIN(IF($AU100=100%,1,1+VLOOKUP(($AJ100-$AI100-$AH100-$AG100-$AF100-$AE100*(1+CZ$3))/$AJ100,'Технический лист'!$I:$J,2,1)-VLOOKUP($AO100,'Технический лист'!$I:$J,2,1)),1+(1-$AU100))</f>
        <v>1.2</v>
      </c>
      <c r="DA100" s="15">
        <f>MIN(IF($AU100=100%,1,1+VLOOKUP(($AJ100-$AI100-$AH100-$AG100-$AF100-$AE100*(1+DA$3))/$AJ100,'Технический лист'!$I:$J,2,1)-VLOOKUP($AO100,'Технический лист'!$I:$J,2,1)),1+(1-$AU100))</f>
        <v>1.2</v>
      </c>
      <c r="DB100" s="15">
        <f>MIN(IF($AU100=100%,1,1+VLOOKUP(($AJ100-$AI100-$AH100-$AG100-$AF100-$AE100*(1+DB$3))/$AJ100,'Технический лист'!$I:$J,2,1)-VLOOKUP($AO100,'Технический лист'!$I:$J,2,1)),1+(1-$AU100))</f>
        <v>1.2</v>
      </c>
      <c r="DC100" s="15">
        <f>MIN(IF($AU100=100%,1,1+VLOOKUP(($AJ100-$AI100-$AH100-$AG100-$AF100-$AE100*(1+DC$3))/$AJ100,'Технический лист'!$I:$J,2,1)-VLOOKUP($AO100,'Технический лист'!$I:$J,2,1)),1+(1-$AU100))</f>
        <v>1.2</v>
      </c>
      <c r="DD100" s="15">
        <f>MIN(IF($AU100=100%,1,1+VLOOKUP(($AJ100-$AI100-$AH100-$AG100-$AF100-$AE100*(1+DD$3))/$AJ100,'Технический лист'!$I:$J,2,1)-VLOOKUP($AO100,'Технический лист'!$I:$J,2,1)),1+(1-$AU100))</f>
        <v>1.1950000000000003</v>
      </c>
      <c r="DE100" s="15">
        <f>MIN(IF($AU100=100%,1,1+VLOOKUP(($AJ100-$AI100-$AH100-$AG100-$AF100-$AE100*(1+DE$3))/$AJ100,'Технический лист'!$I:$J,2,1)-VLOOKUP($AO100,'Технический лист'!$I:$J,2,1)),1+(1-$AU100))</f>
        <v>1.1950000000000003</v>
      </c>
      <c r="DF100" s="15">
        <f>MIN(IF($AU100=100%,1,1+VLOOKUP(($AJ100-$AI100-$AH100-$AG100-$AF100-$AE100*(1+DF$3))/$AJ100,'Технический лист'!$I:$J,2,1)-VLOOKUP($AO100,'Технический лист'!$I:$J,2,1)),1+(1-$AU100))</f>
        <v>1.1950000000000003</v>
      </c>
      <c r="DG100" s="15">
        <f>MIN(IF($AU100=100%,1,1+VLOOKUP(($AJ100-$AI100-$AH100-$AG100-$AF100-$AE100*(1+DG$3))/$AJ100,'Технический лист'!$I:$J,2,1)-VLOOKUP($AO100,'Технический лист'!$I:$J,2,1)),1+(1-$AU100))</f>
        <v>1.1950000000000003</v>
      </c>
      <c r="DH100" s="15">
        <f>MIN(IF($AU100=100%,1,1+VLOOKUP(($AJ100-$AI100-$AH100-$AG100-$AF100-$AE100*(1+DH$3))/$AJ100,'Технический лист'!$I:$J,2,1)-VLOOKUP($AO100,'Технический лист'!$I:$J,2,1)),1+(1-$AU100))</f>
        <v>1.1950000000000003</v>
      </c>
      <c r="DI100" s="15">
        <f>MIN(IF($AU100=100%,1,1+VLOOKUP(($AJ100-$AI100-$AH100-$AG100-$AF100-$AE100*(1+DI$3))/$AJ100,'Технический лист'!$I:$J,2,1)-VLOOKUP($AO100,'Технический лист'!$I:$J,2,1)),1+(1-$AU100))</f>
        <v>1.1950000000000003</v>
      </c>
      <c r="DJ100" s="15">
        <f>MIN(IF($AU100=100%,1,1+VLOOKUP(($AJ100-$AI100-$AH100-$AG100-$AF100-$AE100*(1+DJ$3))/$AJ100,'Технический лист'!$I:$J,2,1)-VLOOKUP($AO100,'Технический лист'!$I:$J,2,1)),1+(1-$AU100))</f>
        <v>1.1950000000000003</v>
      </c>
      <c r="DK100" s="15">
        <f>MIN(IF($AU100=100%,1,1+VLOOKUP(($AJ100-$AI100-$AH100-$AG100-$AF100-$AE100*(1+DK$3))/$AJ100,'Технический лист'!$I:$J,2,1)-VLOOKUP($AO100,'Технический лист'!$I:$J,2,1)),1+(1-$AU100))</f>
        <v>1.165</v>
      </c>
      <c r="DL100" s="15">
        <f>MIN(IF($AU100=100%,1,1+VLOOKUP(($AJ100-$AI100-$AH100-$AG100-$AF100-$AE100*(1+DL$3))/$AJ100,'Технический лист'!$I:$J,2,1)-VLOOKUP($AO100,'Технический лист'!$I:$J,2,1)),1+(1-$AU100))</f>
        <v>1.165</v>
      </c>
      <c r="DM100" s="15">
        <f>MIN(IF($AU100=100%,1,1+VLOOKUP(($AJ100-$AI100-$AH100-$AG100-$AF100-$AE100*(1+DM$3))/$AJ100,'Технический лист'!$I:$J,2,1)-VLOOKUP($AO100,'Технический лист'!$I:$J,2,1)),1+(1-$AU100))</f>
        <v>1.165</v>
      </c>
      <c r="DN100" s="15">
        <f>MIN(IF($AU100=100%,1,1+VLOOKUP(($AJ100-$AI100-$AH100-$AG100-$AF100-$AE100*(1+DN$3))/$AJ100,'Технический лист'!$I:$J,2,1)-VLOOKUP($AO100,'Технический лист'!$I:$J,2,1)),1+(1-$AU100))</f>
        <v>1.165</v>
      </c>
      <c r="DO100" s="15">
        <f>MIN(IF($AU100=100%,1,1+VLOOKUP(($AJ100-$AI100-$AH100-$AG100-$AF100-$AE100*(1+DO$3))/$AJ100,'Технический лист'!$I:$J,2,1)-VLOOKUP($AO100,'Технический лист'!$I:$J,2,1)),1+(1-$AU100))</f>
        <v>1.165</v>
      </c>
      <c r="DP100" s="15">
        <f>MIN(IF($AU100=100%,1,1+VLOOKUP(($AJ100-$AI100-$AH100-$AG100-$AF100-$AE100*(1+DP$3))/$AJ100,'Технический лист'!$I:$J,2,1)-VLOOKUP($AO100,'Технический лист'!$I:$J,2,1)),1+(1-$AU100))</f>
        <v>1.165</v>
      </c>
      <c r="DQ100" s="15">
        <f>MIN(IF($AU100=100%,1,1+VLOOKUP(($AJ100-$AI100-$AH100-$AG100-$AF100-$AE100*(1+DQ$3))/$AJ100,'Технический лист'!$I:$J,2,1)-VLOOKUP($AO100,'Технический лист'!$I:$J,2,1)),1+(1-$AU100))</f>
        <v>1.165</v>
      </c>
      <c r="DR100" s="15">
        <f>MIN(IF($AU100=100%,1,1+VLOOKUP(($AJ100-$AI100-$AH100-$AG100-$AF100-$AE100*(1+DR$3))/$AJ100,'Технический лист'!$I:$J,2,1)-VLOOKUP($AO100,'Технический лист'!$I:$J,2,1)),1+(1-$AU100))</f>
        <v>1.1350000000000002</v>
      </c>
      <c r="DS100" s="15">
        <f>MIN(IF($AU100=100%,1,1+VLOOKUP(($AJ100-$AI100-$AH100-$AG100-$AF100-$AE100*(1+DS$3))/$AJ100,'Технический лист'!$I:$J,2,1)-VLOOKUP($AO100,'Технический лист'!$I:$J,2,1)),1+(1-$AU100))</f>
        <v>1.1350000000000002</v>
      </c>
      <c r="DT100" s="15">
        <f>MIN(IF($AU100=100%,1,1+VLOOKUP(($AJ100-$AI100-$AH100-$AG100-$AF100-$AE100*(1+DT$3))/$AJ100,'Технический лист'!$I:$J,2,1)-VLOOKUP($AO100,'Технический лист'!$I:$J,2,1)),1+(1-$AU100))</f>
        <v>1.1350000000000002</v>
      </c>
      <c r="DU100" s="15">
        <f>MIN(IF($AU100=100%,1,1+VLOOKUP(($AJ100-$AI100-$AH100-$AG100-$AF100-$AE100*(1+DU$3))/$AJ100,'Технический лист'!$I:$J,2,1)-VLOOKUP($AO100,'Технический лист'!$I:$J,2,1)),1+(1-$AU100))</f>
        <v>1.1350000000000002</v>
      </c>
      <c r="DV100" s="15">
        <f>MIN(IF($AU100=100%,1,1+VLOOKUP(($AJ100-$AI100-$AH100-$AG100-$AF100-$AE100*(1+DV$3))/$AJ100,'Технический лист'!$I:$J,2,1)-VLOOKUP($AO100,'Технический лист'!$I:$J,2,1)),1+(1-$AU100))</f>
        <v>1.1350000000000002</v>
      </c>
      <c r="DW100" s="15">
        <f>MIN(IF($AU100=100%,1,1+VLOOKUP(($AJ100-$AI100-$AH100-$AG100-$AF100-$AE100*(1+DW$3))/$AJ100,'Технический лист'!$I:$J,2,1)-VLOOKUP($AO100,'Технический лист'!$I:$J,2,1)),1+(1-$AU100))</f>
        <v>1.1350000000000002</v>
      </c>
      <c r="DX100" s="15">
        <f>MIN(IF($AU100=100%,1,1+VLOOKUP(($AJ100-$AI100-$AH100-$AG100-$AF100-$AE100*(1+DX$3))/$AJ100,'Технический лист'!$I:$J,2,1)-VLOOKUP($AO100,'Технический лист'!$I:$J,2,1)),1+(1-$AU100))</f>
        <v>1.1350000000000002</v>
      </c>
      <c r="DY100" s="15">
        <f>MIN(IF($AU100=100%,1,1+VLOOKUP(($AJ100-$AI100-$AH100-$AG100-$AF100-$AE100*(1+DY$3))/$AJ100,'Технический лист'!$I:$J,2,1)-VLOOKUP($AO100,'Технический лист'!$I:$J,2,1)),1+(1-$AU100))</f>
        <v>1.105</v>
      </c>
      <c r="DZ100" s="15">
        <f>MIN(IF($AU100=100%,1,1+VLOOKUP(($AJ100-$AI100-$AH100-$AG100-$AF100-$AE100*(1+DZ$3))/$AJ100,'Технический лист'!$I:$J,2,1)-VLOOKUP($AO100,'Технический лист'!$I:$J,2,1)),1+(1-$AU100))</f>
        <v>1.105</v>
      </c>
      <c r="EA100" s="15">
        <f>MIN(IF($AU100=100%,1,1+VLOOKUP(($AJ100-$AI100-$AH100-$AG100-$AF100-$AE100*(1+EA$3))/$AJ100,'Технический лист'!$I:$J,2,1)-VLOOKUP($AO100,'Технический лист'!$I:$J,2,1)),1+(1-$AU100))</f>
        <v>1.105</v>
      </c>
      <c r="EB100" s="15">
        <f>MIN(IF($AU100=100%,1,1+VLOOKUP(($AJ100-$AI100-$AH100-$AG100-$AF100-$AE100*(1+EB$3))/$AJ100,'Технический лист'!$I:$J,2,1)-VLOOKUP($AO100,'Технический лист'!$I:$J,2,1)),1+(1-$AU100))</f>
        <v>1.105</v>
      </c>
      <c r="EC100" s="15">
        <f>MIN(IF($AU100=100%,1,1+VLOOKUP(($AJ100-$AI100-$AH100-$AG100-$AF100-$AE100*(1+EC$3))/$AJ100,'Технический лист'!$I:$J,2,1)-VLOOKUP($AO100,'Технический лист'!$I:$J,2,1)),1+(1-$AU100))</f>
        <v>1.105</v>
      </c>
      <c r="ED100" s="15">
        <f>MIN(IF($AU100=100%,1,1+VLOOKUP(($AJ100-$AI100-$AH100-$AG100-$AF100-$AE100*(1+ED$3))/$AJ100,'Технический лист'!$I:$J,2,1)-VLOOKUP($AO100,'Технический лист'!$I:$J,2,1)),1+(1-$AU100))</f>
        <v>1.105</v>
      </c>
      <c r="EE100" s="15">
        <f>MIN(IF($AU100=100%,1,1+VLOOKUP(($AJ100-$AI100-$AH100-$AG100-$AF100-$AE100*(1+EE$3))/$AJ100,'Технический лист'!$I:$J,2,1)-VLOOKUP($AO100,'Технический лист'!$I:$J,2,1)),1+(1-$AU100))</f>
        <v>1.105</v>
      </c>
      <c r="EF100" s="15">
        <f>MIN(IF($AU100=100%,1,1+VLOOKUP(($AJ100-$AI100-$AH100-$AG100-$AF100-$AE100*(1+EF$3))/$AJ100,'Технический лист'!$I:$J,2,1)-VLOOKUP($AO100,'Технический лист'!$I:$J,2,1)),1+(1-$AU100))</f>
        <v>1.0700000000000003</v>
      </c>
      <c r="EG100" s="15">
        <f>MIN(IF($AU100=100%,1,1+VLOOKUP(($AJ100-$AI100-$AH100-$AG100-$AF100-$AE100*(1+EG$3))/$AJ100,'Технический лист'!$I:$J,2,1)-VLOOKUP($AO100,'Технический лист'!$I:$J,2,1)),1+(1-$AU100))</f>
        <v>1.0700000000000003</v>
      </c>
      <c r="EH100" s="15">
        <f>MIN(IF($AU100=100%,1,1+VLOOKUP(($AJ100-$AI100-$AH100-$AG100-$AF100-$AE100*(1+EH$3))/$AJ100,'Технический лист'!$I:$J,2,1)-VLOOKUP($AO100,'Технический лист'!$I:$J,2,1)),1+(1-$AU100))</f>
        <v>1.0700000000000003</v>
      </c>
      <c r="EI100" s="15">
        <f>MIN(IF($AU100=100%,1,1+VLOOKUP(($AJ100-$AI100-$AH100-$AG100-$AF100-$AE100*(1+EI$3))/$AJ100,'Технический лист'!$I:$J,2,1)-VLOOKUP($AO100,'Технический лист'!$I:$J,2,1)),1+(1-$AU100))</f>
        <v>1.0700000000000003</v>
      </c>
      <c r="EJ100" s="15">
        <f>MIN(IF($AU100=100%,1,1+VLOOKUP(($AJ100-$AI100-$AH100-$AG100-$AF100-$AE100*(1+EJ$3))/$AJ100,'Технический лист'!$I:$J,2,1)-VLOOKUP($AO100,'Технический лист'!$I:$J,2,1)),1+(1-$AU100))</f>
        <v>1.0700000000000003</v>
      </c>
      <c r="EK100" s="15">
        <f>MIN(IF($AU100=100%,1,1+VLOOKUP(($AJ100-$AI100-$AH100-$AG100-$AF100-$AE100*(1+EK$3))/$AJ100,'Технический лист'!$I:$J,2,1)-VLOOKUP($AO100,'Технический лист'!$I:$J,2,1)),1+(1-$AU100))</f>
        <v>1.0700000000000003</v>
      </c>
      <c r="EL100" s="15">
        <f>MIN(IF($AU100=100%,1,1+VLOOKUP(($AJ100-$AI100-$AH100-$AG100-$AF100-$AE100*(1+EL$3))/$AJ100,'Технический лист'!$I:$J,2,1)-VLOOKUP($AO100,'Технический лист'!$I:$J,2,1)),1+(1-$AU100))</f>
        <v>1.0700000000000003</v>
      </c>
      <c r="EM100" s="15">
        <f>MIN(IF($AU100=100%,1,1+VLOOKUP(($AJ100-$AI100-$AH100-$AG100-$AF100-$AE100*(1+EM$3))/$AJ100,'Технический лист'!$I:$J,2,1)-VLOOKUP($AO100,'Технический лист'!$I:$J,2,1)),1+(1-$AU100))</f>
        <v>1.0350000000000001</v>
      </c>
      <c r="EN100" s="15">
        <f>MIN(IF($AU100=100%,1,1+VLOOKUP(($AJ100-$AI100-$AH100-$AG100-$AF100-$AE100*(1+EN$3))/$AJ100,'Технический лист'!$I:$J,2,1)-VLOOKUP($AO100,'Технический лист'!$I:$J,2,1)),1+(1-$AU100))</f>
        <v>1.0350000000000001</v>
      </c>
      <c r="EO100" s="15">
        <f>MIN(IF($AU100=100%,1,1+VLOOKUP(($AJ100-$AI100-$AH100-$AG100-$AF100-$AE100*(1+EO$3))/$AJ100,'Технический лист'!$I:$J,2,1)-VLOOKUP($AO100,'Технический лист'!$I:$J,2,1)),1+(1-$AU100))</f>
        <v>1.0350000000000001</v>
      </c>
      <c r="EP100" s="15">
        <f>MIN(IF($AU100=100%,1,1+VLOOKUP(($AJ100-$AI100-$AH100-$AG100-$AF100-$AE100*(1+EP$3))/$AJ100,'Технический лист'!$I:$J,2,1)-VLOOKUP($AO100,'Технический лист'!$I:$J,2,1)),1+(1-$AU100))</f>
        <v>1.0350000000000001</v>
      </c>
      <c r="EQ100" s="15">
        <f>MIN(IF($AU100=100%,1,1+VLOOKUP(($AJ100-$AI100-$AH100-$AG100-$AF100-$AE100*(1+EQ$3))/$AJ100,'Технический лист'!$I:$J,2,1)-VLOOKUP($AO100,'Технический лист'!$I:$J,2,1)),1+(1-$AU100))</f>
        <v>1.0350000000000001</v>
      </c>
      <c r="ER100" s="15">
        <f>MIN(IF($AU100=100%,1,1+VLOOKUP(($AJ100-$AI100-$AH100-$AG100-$AF100-$AE100*(1+ER$3))/$AJ100,'Технический лист'!$I:$J,2,1)-VLOOKUP($AO100,'Технический лист'!$I:$J,2,1)),1+(1-$AU100))</f>
        <v>1.0350000000000001</v>
      </c>
      <c r="ES100" s="15">
        <f>MIN(IF($AU100=100%,1,1+VLOOKUP(($AJ100-$AI100-$AH100-$AG100-$AF100-$AE100*(1+ES$3))/$AJ100,'Технический лист'!$I:$J,2,1)-VLOOKUP($AO100,'Технический лист'!$I:$J,2,1)),1+(1-$AU100))</f>
        <v>1.0350000000000001</v>
      </c>
      <c r="ET100" s="15">
        <f>MIN(IF($AU100=100%,1,1+VLOOKUP(($AJ100-$AI100-$AH100-$AG100-$AF100-$AE100*(1+ET$3))/$AJ100,'Технический лист'!$I:$J,2,1)-VLOOKUP($AO100,'Технический лист'!$I:$J,2,1)),1+(1-$AU100))</f>
        <v>0.99999999999999989</v>
      </c>
      <c r="EU100" s="15">
        <f>MIN(IF($AU100=100%,1,1+VLOOKUP(($AJ100-$AI100-$AH100-$AG100-$AF100-$AE100*(1+EU$3))/$AJ100,'Технический лист'!$I:$J,2,1)-VLOOKUP($AO100,'Технический лист'!$I:$J,2,1)),1+(1-$AU100))</f>
        <v>0.99999999999999989</v>
      </c>
      <c r="EV100" s="111">
        <v>1</v>
      </c>
      <c r="EW100" s="15">
        <f>MIN(1,MAX(VLOOKUP(($AJ100-$AI100-$AH100-$AG100-$AF100-$AE100*(1+EW$3))/$AJ100,'Технический лист'!$A:$B,2,1),(EV100-0.05)))</f>
        <v>0.95</v>
      </c>
      <c r="EX100" s="15">
        <f>MIN(1,MAX(VLOOKUP(($AJ100-$AI100-$AH100-$AG100-$AF100-$AE100*(1+EX$3))/$AJ100,'Технический лист'!$A:$B,2,1),(EW100-0.05)))</f>
        <v>0.95</v>
      </c>
      <c r="EY100" s="15">
        <f>MIN(1,MAX(VLOOKUP(($AJ100-$AI100-$AH100-$AG100-$AF100-$AE100*(1+EY$3))/$AJ100,'Технический лист'!$A:$B,2,1),(EX100-0.05)))</f>
        <v>0.95</v>
      </c>
      <c r="EZ100" s="15">
        <f>MIN(1,MAX(VLOOKUP(($AJ100-$AI100-$AH100-$AG100-$AF100-$AE100*(1+EZ$3))/$AJ100,'Технический лист'!$A:$B,2,1),(EY100-0.05)))</f>
        <v>0.95</v>
      </c>
      <c r="FA100" s="15">
        <f>MIN(1,MAX(VLOOKUP(($AJ100-$AI100-$AH100-$AG100-$AF100-$AE100*(1+FA$3))/$AJ100,'Технический лист'!$A:$B,2,1),(EZ100-0.05)))</f>
        <v>0.95</v>
      </c>
      <c r="FB100" s="15">
        <f>MIN(1,MAX(VLOOKUP(($AJ100-$AI100-$AH100-$AG100-$AF100-$AE100*(1+FB$3))/$AJ100,'Технический лист'!$A:$B,2,1),(FA100-0.05)))</f>
        <v>0.95</v>
      </c>
      <c r="FC100" s="15">
        <f>MIN(1,MAX(VLOOKUP(($AJ100-$AI100-$AH100-$AG100-$AF100-$AE100*(1+FC$3))/$AJ100,'Технический лист'!$A:$B,2,1),(FB100-0.05)))</f>
        <v>0.95</v>
      </c>
      <c r="FD100" s="15">
        <f>MIN(1,MAX(VLOOKUP(($AJ100-$AI100-$AH100-$AG100-$AF100-$AE100*(1+FD$3))/$AJ100,'Технический лист'!$A:$B,2,1),(FC100-0.05)))</f>
        <v>0.95</v>
      </c>
      <c r="FE100" s="15">
        <f>MIN(1,MAX(VLOOKUP(($AJ100-$AI100-$AH100-$AG100-$AF100-$AE100*(1+FE$3))/$AJ100,'Технический лист'!$A:$B,2,1),(FD100-0.05)))</f>
        <v>0.95</v>
      </c>
      <c r="FF100" s="15">
        <f>MIN(1,MAX(VLOOKUP(($AJ100-$AI100-$AH100-$AG100-$AF100-$AE100*(1+FF$3))/$AJ100,'Технический лист'!$A:$B,2,1),(FE100-0.05)))</f>
        <v>0.95</v>
      </c>
      <c r="FG100" s="15">
        <f>MIN(1,MAX(VLOOKUP(($AJ100-$AI100-$AH100-$AG100-$AF100-$AE100*(1+FG$3))/$AJ100,'Технический лист'!$A:$B,2,1),(FF100-0.05)))</f>
        <v>0.95</v>
      </c>
      <c r="FH100" s="15">
        <f>MIN(1,MAX(VLOOKUP(($AJ100-$AI100-$AH100-$AG100-$AF100-$AE100*(1+FH$3))/$AJ100,'Технический лист'!$A:$B,2,1),(FG100-0.05)))</f>
        <v>0.94499999999999995</v>
      </c>
      <c r="FI100" s="15">
        <f>MIN(1,MAX(VLOOKUP(($AJ100-$AI100-$AH100-$AG100-$AF100-$AE100*(1+FI$3))/$AJ100,'Технический лист'!$A:$B,2,1),(FH100-0.05)))</f>
        <v>0.94499999999999995</v>
      </c>
      <c r="FJ100" s="15">
        <f>MIN(1,MAX(VLOOKUP(($AJ100-$AI100-$AH100-$AG100-$AF100-$AE100*(1+FJ$3))/$AJ100,'Технический лист'!$A:$B,2,1),(FI100-0.05)))</f>
        <v>0.94499999999999995</v>
      </c>
      <c r="FK100" s="15">
        <f>MIN(1,MAX(VLOOKUP(($AJ100-$AI100-$AH100-$AG100-$AF100-$AE100*(1+FK$3))/$AJ100,'Технический лист'!$A:$B,2,1),(FJ100-0.05)))</f>
        <v>0.94499999999999995</v>
      </c>
      <c r="FL100" s="15">
        <f>MIN(1,MAX(VLOOKUP(($AJ100-$AI100-$AH100-$AG100-$AF100-$AE100*(1+FL$3))/$AJ100,'Технический лист'!$A:$B,2,1),(FK100-0.05)))</f>
        <v>0.94499999999999995</v>
      </c>
      <c r="FM100" s="15">
        <f>MIN(1,MAX(VLOOKUP(($AJ100-$AI100-$AH100-$AG100-$AF100-$AE100*(1+FM$3))/$AJ100,'Технический лист'!$A:$B,2,1),(FL100-0.05)))</f>
        <v>0.94499999999999995</v>
      </c>
      <c r="FN100" s="15">
        <f>MIN(1,MAX(VLOOKUP(($AJ100-$AI100-$AH100-$AG100-$AF100-$AE100*(1+FN$3))/$AJ100,'Технический лист'!$A:$B,2,1),(FM100-0.05)))</f>
        <v>0.94499999999999995</v>
      </c>
      <c r="FO100" s="15">
        <f>MIN(1,MAX(VLOOKUP(($AJ100-$AI100-$AH100-$AG100-$AF100-$AE100*(1+FO$3))/$AJ100,'Технический лист'!$A:$B,2,1),(FN100-0.05)))</f>
        <v>0.94499999999999995</v>
      </c>
      <c r="FP100" s="15">
        <f>MIN(1,MAX(VLOOKUP(($AJ100-$AI100-$AH100-$AG100-$AF100-$AE100*(1+FP$3))/$AJ100,'Технический лист'!$A:$B,2,1),(FO100-0.05)))</f>
        <v>0.94499999999999995</v>
      </c>
      <c r="FQ100" s="15">
        <f>MIN(1,MAX(VLOOKUP(($AJ100-$AI100-$AH100-$AG100-$AF100-$AE100*(1+FQ$3))/$AJ100,'Технический лист'!$A:$B,2,1),(FP100-0.05)))</f>
        <v>0.94499999999999995</v>
      </c>
      <c r="FR100" s="15">
        <f>MIN(1,MAX(VLOOKUP(($AJ100-$AI100-$AH100-$AG100-$AF100-$AE100*(1+FR$3))/$AJ100,'Технический лист'!$A:$B,2,1),(FQ100-0.05)))</f>
        <v>0.94499999999999995</v>
      </c>
      <c r="FS100" s="15">
        <f>MIN(1,MAX(VLOOKUP(($AJ100-$AI100-$AH100-$AG100-$AF100-$AE100*(1+FS$3))/$AJ100,'Технический лист'!$A:$B,2,1),(FR100-0.05)))</f>
        <v>0.94499999999999995</v>
      </c>
      <c r="FT100" s="15">
        <f>MIN(1,MAX(VLOOKUP(($AJ100-$AI100-$AH100-$AG100-$AF100-$AE100*(1+FT$3))/$AJ100,'Технический лист'!$A:$B,2,1),(FS100-0.05)))</f>
        <v>0.94499999999999995</v>
      </c>
      <c r="FU100" s="15">
        <f>MIN(1,MAX(VLOOKUP(($AJ100-$AI100-$AH100-$AG100-$AF100-$AE100*(1+FU$3))/$AJ100,'Технический лист'!$A:$B,2,1),(FT100-0.05)))</f>
        <v>0.94499999999999995</v>
      </c>
      <c r="FV100" s="15">
        <f>MIN(1,MAX(VLOOKUP(($AJ100-$AI100-$AH100-$AG100-$AF100-$AE100*(1+FV$3))/$AJ100,'Технический лист'!$A:$B,2,1),(FU100-0.05)))</f>
        <v>0.94</v>
      </c>
      <c r="FW100" s="15">
        <f>MIN(1,MAX(VLOOKUP(($AJ100-$AI100-$AH100-$AG100-$AF100-$AE100*(1+FW$3))/$AJ100,'Технический лист'!$A:$B,2,1),(FV100-0.05)))</f>
        <v>0.94</v>
      </c>
      <c r="FX100" s="15">
        <f>MIN(1,MAX(VLOOKUP(($AJ100-$AI100-$AH100-$AG100-$AF100-$AE100*(1+FX$3))/$AJ100,'Технический лист'!$A:$B,2,1),(FW100-0.05)))</f>
        <v>0.94</v>
      </c>
      <c r="FY100" s="15">
        <f>MIN(1,MAX(VLOOKUP(($AJ100-$AI100-$AH100-$AG100-$AF100-$AE100*(1+FY$3))/$AJ100,'Технический лист'!$A:$B,2,1),(FX100-0.05)))</f>
        <v>0.94</v>
      </c>
      <c r="FZ100" s="15">
        <f>MIN(1,MAX(VLOOKUP(($AJ100-$AI100-$AH100-$AG100-$AF100-$AE100*(1+FZ$3))/$AJ100,'Технический лист'!$A:$B,2,1),(FY100-0.05)))</f>
        <v>0.94</v>
      </c>
      <c r="GA100" s="15">
        <f>MIN(1,MAX(VLOOKUP(($AJ100-$AI100-$AH100-$AG100-$AF100-$AE100*(1+GA$3))/$AJ100,'Технический лист'!$A:$B,2,1),(FZ100-0.05)))</f>
        <v>0.94</v>
      </c>
      <c r="GB100" s="15">
        <f>MIN(1,MAX(VLOOKUP(($AJ100-$AI100-$AH100-$AG100-$AF100-$AE100*(1+GB$3))/$AJ100,'Технический лист'!$A:$B,2,1),(GA100-0.05)))</f>
        <v>0.94</v>
      </c>
      <c r="GC100" s="15">
        <f>MIN(1,MAX(VLOOKUP(($AJ100-$AI100-$AH100-$AG100-$AF100-$AE100*(1+GC$3))/$AJ100,'Технический лист'!$A:$B,2,1),(GB100-0.05)))</f>
        <v>0.94</v>
      </c>
      <c r="GD100" s="15">
        <f>MIN(1,MAX(VLOOKUP(($AJ100-$AI100-$AH100-$AG100-$AF100-$AE100*(1+GD$3))/$AJ100,'Технический лист'!$A:$B,2,1),(GC100-0.05)))</f>
        <v>0.94</v>
      </c>
      <c r="GE100" s="15">
        <f>MIN(1,MAX(VLOOKUP(($AJ100-$AI100-$AH100-$AG100-$AF100-$AE100*(1+GE$3))/$AJ100,'Технический лист'!$A:$B,2,1),(GD100-0.05)))</f>
        <v>0.94</v>
      </c>
      <c r="GF100" s="15">
        <f>MIN(1,MAX(VLOOKUP(($AJ100-$AI100-$AH100-$AG100-$AF100-$AE100*(1+GF$3))/$AJ100,'Технический лист'!$A:$B,2,1),(GE100-0.05)))</f>
        <v>0.94</v>
      </c>
      <c r="GG100" s="15">
        <f>MIN(1,MAX(VLOOKUP(($AJ100-$AI100-$AH100-$AG100-$AF100-$AE100*(1+GG$3))/$AJ100,'Технический лист'!$A:$B,2,1),(GF100-0.05)))</f>
        <v>0.94</v>
      </c>
      <c r="GH100" s="15">
        <f>MIN(1,MAX(VLOOKUP(($AJ100-$AI100-$AH100-$AG100-$AF100-$AE100*(1+GH$3))/$AJ100,'Технический лист'!$A:$B,2,1),(GG100-0.05)))</f>
        <v>0.94</v>
      </c>
      <c r="GI100" s="15">
        <f>MIN(1,MAX(VLOOKUP(($AJ100-$AI100-$AH100-$AG100-$AF100-$AE100*(1+GI$3))/$AJ100,'Технический лист'!$A:$B,2,1),(GH100-0.05)))</f>
        <v>0.94</v>
      </c>
      <c r="GJ100" s="15">
        <f>MIN(1,MAX(VLOOKUP(($AJ100-$AI100-$AH100-$AG100-$AF100-$AE100*(1+GJ$3))/$AJ100,'Технический лист'!$A:$B,2,1),(GI100-0.05)))</f>
        <v>0.94</v>
      </c>
      <c r="GK100" s="15">
        <f>MIN(1,MAX(VLOOKUP(($AJ100-$AI100-$AH100-$AG100-$AF100-$AE100*(1+GK$3))/$AJ100,'Технический лист'!$A:$B,2,1),(GJ100-0.05)))</f>
        <v>0.93500000000000005</v>
      </c>
      <c r="GL100" s="15">
        <f>MIN(1,MAX(VLOOKUP(($AJ100-$AI100-$AH100-$AG100-$AF100-$AE100*(1+GL$3))/$AJ100,'Технический лист'!$A:$B,2,1),(GK100-0.05)))</f>
        <v>0.93500000000000005</v>
      </c>
      <c r="GM100" s="15">
        <f>MIN(1,MAX(VLOOKUP(($AJ100-$AI100-$AH100-$AG100-$AF100-$AE100*(1+GM$3))/$AJ100,'Технический лист'!$A:$B,2,1),(GL100-0.05)))</f>
        <v>0.93500000000000005</v>
      </c>
      <c r="GN100" s="15">
        <f>MIN(1,MAX(VLOOKUP(($AJ100-$AI100-$AH100-$AG100-$AF100-$AE100*(1+GN$3))/$AJ100,'Технический лист'!$A:$B,2,1),(GM100-0.05)))</f>
        <v>0.93500000000000005</v>
      </c>
      <c r="GO100" s="15">
        <f>MIN(1,MAX(VLOOKUP(($AJ100-$AI100-$AH100-$AG100-$AF100-$AE100*(1+GO$3))/$AJ100,'Технический лист'!$A:$B,2,1),(GN100-0.05)))</f>
        <v>0.93500000000000005</v>
      </c>
      <c r="GP100" s="15">
        <f>MIN(1,MAX(VLOOKUP(($AJ100-$AI100-$AH100-$AG100-$AF100-$AE100*(1+GP$3))/$AJ100,'Технический лист'!$A:$B,2,1),(GO100-0.05)))</f>
        <v>0.93500000000000005</v>
      </c>
      <c r="GQ100" s="15">
        <f>MIN(1,MAX(VLOOKUP(($AJ100-$AI100-$AH100-$AG100-$AF100-$AE100*(1+GQ$3))/$AJ100,'Технический лист'!$A:$B,2,1),(GP100-0.05)))</f>
        <v>0.93500000000000005</v>
      </c>
      <c r="GR100" s="15">
        <f>MIN(1,MAX(VLOOKUP(($AJ100-$AI100-$AH100-$AG100-$AF100-$AE100*(1+GR$3))/$AJ100,'Технический лист'!$A:$B,2,1),(GQ100-0.05)))</f>
        <v>0.93500000000000005</v>
      </c>
      <c r="GS100" s="15">
        <f>MIN(1,MAX(VLOOKUP(($AJ100-$AI100-$AH100-$AG100-$AF100-$AE100*(1+GS$3))/$AJ100,'Технический лист'!$A:$B,2,1),(GR100-0.05)))</f>
        <v>0.93500000000000005</v>
      </c>
      <c r="GT100" s="15">
        <f>MIN(1,MAX(VLOOKUP(($AJ100-$AI100-$AH100-$AG100-$AF100-$AE100*(1+GT$3))/$AJ100,'Технический лист'!$A:$B,2,1),(GS100-0.05)))</f>
        <v>0.93500000000000005</v>
      </c>
      <c r="GU100" s="15">
        <f>MIN(1,MAX(VLOOKUP(($AJ100-$AI100-$AH100-$AG100-$AF100-$AE100*(1+GU$3))/$AJ100,'Технический лист'!$A:$B,2,1),(GT100-0.05)))</f>
        <v>0.93500000000000005</v>
      </c>
      <c r="GV100" s="15">
        <f>MIN(1,MAX(VLOOKUP(($AJ100-$AI100-$AH100-$AG100-$AF100-$AE100*(1+GV$3))/$AJ100,'Технический лист'!$A:$B,2,1),(GU100-0.05)))</f>
        <v>0.93500000000000005</v>
      </c>
      <c r="GW100" s="15">
        <f>MIN(1,MAX(VLOOKUP(($AJ100-$AI100-$AH100-$AG100-$AF100-$AE100*(1+GW$3))/$AJ100,'Технический лист'!$A:$B,2,1),(GV100-0.05)))</f>
        <v>0.93500000000000005</v>
      </c>
      <c r="GX100" s="15">
        <f>MIN(1,MAX(VLOOKUP(($AJ100-$AI100-$AH100-$AG100-$AF100-$AE100*(1+GX$3))/$AJ100,'Технический лист'!$A:$B,2,1),(GW100-0.05)))</f>
        <v>0.93500000000000005</v>
      </c>
      <c r="GY100" s="15">
        <f>MIN(1,MAX(VLOOKUP(($AJ100-$AI100-$AH100-$AG100-$AF100-$AE100*(1+GY$3))/$AJ100,'Технический лист'!$A:$B,2,1),(GX100-0.05)))</f>
        <v>0.93</v>
      </c>
      <c r="GZ100" s="15">
        <f>MIN(1,MAX(VLOOKUP(($AJ100-$AI100-$AH100-$AG100-$AF100-$AE100*(1+GZ$3))/$AJ100,'Технический лист'!$A:$B,2,1),(GY100-0.05)))</f>
        <v>0.93</v>
      </c>
      <c r="HA100" s="15">
        <f>MIN(1,MAX(VLOOKUP(($AJ100-$AI100-$AH100-$AG100-$AF100-$AE100*(1+HA$3))/$AJ100,'Технический лист'!$A:$B,2,1),(GZ100-0.05)))</f>
        <v>0.93</v>
      </c>
      <c r="HB100" s="15">
        <f>MIN(1,MAX(VLOOKUP(($AJ100-$AI100-$AH100-$AG100-$AF100-$AE100*(1+HB$3))/$AJ100,'Технический лист'!$A:$B,2,1),(HA100-0.05)))</f>
        <v>0.93</v>
      </c>
      <c r="HC100" s="15">
        <f>MIN(1,MAX(VLOOKUP(($AJ100-$AI100-$AH100-$AG100-$AF100-$AE100*(1+HC$3))/$AJ100,'Технический лист'!$A:$B,2,1),(HB100-0.05)))</f>
        <v>0.93</v>
      </c>
      <c r="HD100" s="15">
        <f>MIN(1,MAX(VLOOKUP(($AJ100-$AI100-$AH100-$AG100-$AF100-$AE100*(1+HD$3))/$AJ100,'Технический лист'!$A:$B,2,1),(HC100-0.05)))</f>
        <v>0.93</v>
      </c>
      <c r="HE100" s="15">
        <f>MIN(1,MAX(VLOOKUP(($AJ100-$AI100-$AH100-$AG100-$AF100-$AE100*(1+HE$3))/$AJ100,'Технический лист'!$A:$B,2,1),(HD100-0.05)))</f>
        <v>0.93</v>
      </c>
      <c r="HF100" s="15">
        <f>MIN(1,MAX(VLOOKUP(($AJ100-$AI100-$AH100-$AG100-$AF100-$AE100*(1+HF$3))/$AJ100,'Технический лист'!$A:$B,2,1),(HE100-0.05)))</f>
        <v>0.93</v>
      </c>
      <c r="HG100" s="15">
        <f>MIN(1,MAX(VLOOKUP(($AJ100-$AI100-$AH100-$AG100-$AF100-$AE100*(1+HG$3))/$AJ100,'Технический лист'!$A:$B,2,1),(HF100-0.05)))</f>
        <v>0.93</v>
      </c>
      <c r="HH100" s="15">
        <f>MIN(1,MAX(VLOOKUP(($AJ100-$AI100-$AH100-$AG100-$AF100-$AE100*(1+HH$3))/$AJ100,'Технический лист'!$A:$B,2,1),(HG100-0.05)))</f>
        <v>0.93</v>
      </c>
      <c r="HI100" s="15">
        <f>MIN(1,MAX(VLOOKUP(($AJ100-$AI100-$AH100-$AG100-$AF100-$AE100*(1+HI$3))/$AJ100,'Технический лист'!$A:$B,2,1),(HH100-0.05)))</f>
        <v>0.93</v>
      </c>
      <c r="HJ100" s="15">
        <f>MIN(1,MAX(VLOOKUP(($AJ100-$AI100-$AH100-$AG100-$AF100-$AE100*(1+HJ$3))/$AJ100,'Технический лист'!$A:$B,2,1),(HI100-0.05)))</f>
        <v>0.93</v>
      </c>
      <c r="HK100" s="15">
        <f>MIN(1,MAX(VLOOKUP(($AJ100-$AI100-$AH100-$AG100-$AF100-$AE100*(1+HK$3))/$AJ100,'Технический лист'!$A:$B,2,1),(HJ100-0.05)))</f>
        <v>0.93</v>
      </c>
      <c r="HL100" s="15">
        <f>MIN(1,MAX(VLOOKUP(($AJ100-$AI100-$AH100-$AG100-$AF100-$AE100*(1+HL$3))/$AJ100,'Технический лист'!$A:$B,2,1),(HK100-0.05)))</f>
        <v>0.93</v>
      </c>
      <c r="HM100" s="15">
        <f>MIN(1,MAX(VLOOKUP(($AJ100-$AI100-$AH100-$AG100-$AF100-$AE100*(1+HM$3))/$AJ100,'Технический лист'!$A:$B,2,1),(HL100-0.05)))</f>
        <v>0.92500000000000004</v>
      </c>
      <c r="HN100" s="15">
        <f>MIN(1,MAX(VLOOKUP(($AJ100-$AI100-$AH100-$AG100-$AF100-$AE100*(1+HN$3))/$AJ100,'Технический лист'!$A:$B,2,1),(HM100-0.05)))</f>
        <v>0.92500000000000004</v>
      </c>
      <c r="HO100" s="15">
        <f>MIN(1,MAX(VLOOKUP(($AJ100-$AI100-$AH100-$AG100-$AF100-$AE100*(1+HO$3))/$AJ100,'Технический лист'!$A:$B,2,1),(HN100-0.05)))</f>
        <v>0.92500000000000004</v>
      </c>
      <c r="HP100" s="15">
        <f>MIN(1,MAX(VLOOKUP(($AJ100-$AI100-$AH100-$AG100-$AF100-$AE100*(1+HP$3))/$AJ100,'Технический лист'!$A:$B,2,1),(HO100-0.05)))</f>
        <v>0.92500000000000004</v>
      </c>
      <c r="HQ100" s="15">
        <f>MIN(1,MAX(VLOOKUP(($AJ100-$AI100-$AH100-$AG100-$AF100-$AE100*(1+HQ$3))/$AJ100,'Технический лист'!$A:$B,2,1),(HP100-0.05)))</f>
        <v>0.92500000000000004</v>
      </c>
      <c r="HR100" s="15">
        <f>MIN(1,MAX(VLOOKUP(($AJ100-$AI100-$AH100-$AG100-$AF100-$AE100*(1+HR$3))/$AJ100,'Технический лист'!$A:$B,2,1),(HQ100-0.05)))</f>
        <v>0.92500000000000004</v>
      </c>
      <c r="HS100" s="15">
        <f>MIN(1,MAX(VLOOKUP(($AJ100-$AI100-$AH100-$AG100-$AF100-$AE100*(1+HS$3))/$AJ100,'Технический лист'!$A:$B,2,1),(HR100-0.05)))</f>
        <v>0.92500000000000004</v>
      </c>
      <c r="HT100" s="15">
        <f>MIN(1,MAX(VLOOKUP(($AJ100-$AI100-$AH100-$AG100-$AF100-$AE100*(1+HT$3))/$AJ100,'Технический лист'!$A:$B,2,1),(HS100-0.05)))</f>
        <v>0.92500000000000004</v>
      </c>
      <c r="HU100" s="15">
        <f>MIN(1,MAX(VLOOKUP(($AJ100-$AI100-$AH100-$AG100-$AF100-$AE100*(1+HU$3))/$AJ100,'Технический лист'!$A:$B,2,1),(HT100-0.05)))</f>
        <v>0.92500000000000004</v>
      </c>
      <c r="HV100" s="15">
        <f>MIN(1,MAX(VLOOKUP(($AJ100-$AI100-$AH100-$AG100-$AF100-$AE100*(1+HV$3))/$AJ100,'Технический лист'!$A:$B,2,1),(HU100-0.05)))</f>
        <v>0.92500000000000004</v>
      </c>
      <c r="HW100" s="15">
        <f>MIN(1,MAX(VLOOKUP(($AJ100-$AI100-$AH100-$AG100-$AF100-$AE100*(1+HW$3))/$AJ100,'Технический лист'!$A:$B,2,1),(HV100-0.05)))</f>
        <v>0.92500000000000004</v>
      </c>
      <c r="HX100" s="15">
        <f>MIN(1,MAX(VLOOKUP(($AJ100-$AI100-$AH100-$AG100-$AF100-$AE100*(1+HX$3))/$AJ100,'Технический лист'!$A:$B,2,1),(HW100-0.05)))</f>
        <v>0.92500000000000004</v>
      </c>
      <c r="HY100" s="15">
        <f>MIN(1,MAX(VLOOKUP(($AJ100-$AI100-$AH100-$AG100-$AF100-$AE100*(1+HY$3))/$AJ100,'Технический лист'!$A:$B,2,1),(HX100-0.05)))</f>
        <v>0.92500000000000004</v>
      </c>
      <c r="HZ100" s="15">
        <f>MIN(1,MAX(VLOOKUP(($AJ100-$AI100-$AH100-$AG100-$AF100-$AE100*(1+HZ$3))/$AJ100,'Технический лист'!$A:$B,2,1),(HY100-0.05)))</f>
        <v>0.92500000000000004</v>
      </c>
      <c r="IA100" s="15">
        <f>MIN(1,MAX(VLOOKUP(($AJ100-$AI100-$AH100-$AG100-$AF100-$AE100*(1+IA$3))/$AJ100,'Технический лист'!$A:$B,2,1),(HZ100-0.05)))</f>
        <v>0.92</v>
      </c>
      <c r="IB100" s="15">
        <f>MIN(1,MAX(VLOOKUP(($AJ100-$AI100-$AH100-$AG100-$AF100-$AE100*(1+IB$3))/$AJ100,'Технический лист'!$A:$B,2,1),(IA100-0.05)))</f>
        <v>0.92</v>
      </c>
      <c r="IC100" s="15">
        <f>MIN(1,MAX(VLOOKUP(($AJ100-$AI100-$AH100-$AG100-$AF100-$AE100*(1+IC$3))/$AJ100,'Технический лист'!$A:$B,2,1),(IB100-0.05)))</f>
        <v>0.92</v>
      </c>
      <c r="ID100" s="15">
        <f>MIN(1,MAX(VLOOKUP(($AJ100-$AI100-$AH100-$AG100-$AF100-$AE100*(1+ID$3))/$AJ100,'Технический лист'!$A:$B,2,1),(IC100-0.05)))</f>
        <v>0.92</v>
      </c>
      <c r="IE100" s="15">
        <f>MIN(1,MAX(VLOOKUP(($AJ100-$AI100-$AH100-$AG100-$AF100-$AE100*(1+IE$3))/$AJ100,'Технический лист'!$A:$B,2,1),(ID100-0.05)))</f>
        <v>0.92</v>
      </c>
      <c r="IF100" s="15">
        <f>MIN(1,MAX(VLOOKUP(($AJ100-$AI100-$AH100-$AG100-$AF100-$AE100*(1+IF$3))/$AJ100,'Технический лист'!$A:$B,2,1),(IE100-0.05)))</f>
        <v>0.92</v>
      </c>
      <c r="IG100" s="15">
        <f>MIN(1,MAX(VLOOKUP(($AJ100-$AI100-$AH100-$AG100-$AF100-$AE100*(1+IG$3))/$AJ100,'Технический лист'!$A:$B,2,1),(IF100-0.05)))</f>
        <v>0.92</v>
      </c>
      <c r="IH100" s="15">
        <f>MIN(1,MAX(VLOOKUP(($AJ100-$AI100-$AH100-$AG100-$AF100-$AE100*(1+IH$3))/$AJ100,'Технический лист'!$A:$B,2,1),(IG100-0.05)))</f>
        <v>0.92</v>
      </c>
      <c r="II100" s="15">
        <f>MIN(1,MAX(VLOOKUP(($AJ100-$AI100-$AH100-$AG100-$AF100-$AE100*(1+II$3))/$AJ100,'Технический лист'!$A:$B,2,1),(IH100-0.05)))</f>
        <v>0.92</v>
      </c>
      <c r="IJ100" s="15">
        <f>MIN(1,MAX(VLOOKUP(($AJ100-$AI100-$AH100-$AG100-$AF100-$AE100*(1+IJ$3))/$AJ100,'Технический лист'!$A:$B,2,1),(II100-0.05)))</f>
        <v>0.92</v>
      </c>
      <c r="IK100" s="15">
        <f>MIN(1,MAX(VLOOKUP(($AJ100-$AI100-$AH100-$AG100-$AF100-$AE100*(1+IK$3))/$AJ100,'Технический лист'!$A:$B,2,1),(IJ100-0.05)))</f>
        <v>0.92</v>
      </c>
      <c r="IL100" s="15">
        <f>MIN(1,MAX(VLOOKUP(($AJ100-$AI100-$AH100-$AG100-$AF100-$AE100*(1+IL$3))/$AJ100,'Технический лист'!$A:$B,2,1),(IK100-0.05)))</f>
        <v>0.92</v>
      </c>
      <c r="IM100" s="15">
        <f>MIN(1,MAX(VLOOKUP(($AJ100-$AI100-$AH100-$AG100-$AF100-$AE100*(1+IM$3))/$AJ100,'Технический лист'!$A:$B,2,1),(IL100-0.05)))</f>
        <v>0.92</v>
      </c>
      <c r="IN100" s="15">
        <f>MIN(1,MAX(VLOOKUP(($AJ100-$AI100-$AH100-$AG100-$AF100-$AE100*(1+IN$3))/$AJ100,'Технический лист'!$A:$B,2,1),(IM100-0.05)))</f>
        <v>0.92</v>
      </c>
      <c r="IO100" s="15">
        <f>MIN(1,MAX(VLOOKUP(($AJ100-$AI100-$AH100-$AG100-$AF100-$AE100*(1+IO$3))/$AJ100,'Технический лист'!$A:$B,2,1),(IN100-0.05)))</f>
        <v>0.91400000000000003</v>
      </c>
      <c r="IP100" s="15">
        <f>MIN(1,MAX(VLOOKUP(($AJ100-$AI100-$AH100-$AG100-$AF100-$AE100*(1+IP$3))/$AJ100,'Технический лист'!$A:$B,2,1),(IO100-0.05)))</f>
        <v>0.91400000000000003</v>
      </c>
      <c r="IQ100" s="15">
        <f>MIN(1,MAX(VLOOKUP(($AJ100-$AI100-$AH100-$AG100-$AF100-$AE100*(1+IQ$3))/$AJ100,'Технический лист'!$A:$B,2,1),(IP100-0.05)))</f>
        <v>0.91400000000000003</v>
      </c>
      <c r="IR100" s="15">
        <f>MIN(1,MAX(VLOOKUP(($AJ100-$AI100-$AH100-$AG100-$AF100-$AE100*(1+IR$3))/$AJ100,'Технический лист'!$A:$B,2,1),(IQ100-0.05)))</f>
        <v>0.91400000000000003</v>
      </c>
    </row>
    <row r="101" spans="1:252" ht="43.75">
      <c r="A101" s="89" t="s">
        <v>515</v>
      </c>
      <c r="B101" s="90">
        <v>5</v>
      </c>
      <c r="C101" s="5" t="s">
        <v>68</v>
      </c>
      <c r="D101" s="91">
        <v>31405</v>
      </c>
      <c r="E101" s="91" t="s">
        <v>344</v>
      </c>
      <c r="F101" s="92" t="s">
        <v>77</v>
      </c>
      <c r="G101" s="91" t="s">
        <v>31</v>
      </c>
      <c r="H101" s="91" t="s">
        <v>52</v>
      </c>
      <c r="I101" s="91" t="s">
        <v>173</v>
      </c>
      <c r="J101" s="91" t="s">
        <v>111</v>
      </c>
      <c r="K101" s="91">
        <v>2153</v>
      </c>
      <c r="L101" s="85" t="s">
        <v>64</v>
      </c>
      <c r="M101" s="91" t="s">
        <v>190</v>
      </c>
      <c r="N101" s="91" t="s">
        <v>191</v>
      </c>
      <c r="O101" s="91" t="s">
        <v>192</v>
      </c>
      <c r="P101" s="89" t="s">
        <v>244</v>
      </c>
      <c r="Q101" s="91" t="s">
        <v>296</v>
      </c>
      <c r="R101" s="91" t="s">
        <v>268</v>
      </c>
      <c r="S101" s="82">
        <v>263293</v>
      </c>
      <c r="T101" s="82">
        <v>566983126</v>
      </c>
      <c r="U101" s="81">
        <v>4281</v>
      </c>
      <c r="V101" s="81">
        <v>0</v>
      </c>
      <c r="W101" s="82">
        <v>806462444</v>
      </c>
      <c r="X101" s="112">
        <v>60</v>
      </c>
      <c r="Y101" s="112" t="s">
        <v>417</v>
      </c>
      <c r="Z101" s="113">
        <v>7</v>
      </c>
      <c r="AA101" s="113">
        <v>6</v>
      </c>
      <c r="AB101" s="113">
        <v>4</v>
      </c>
      <c r="AC101" s="99">
        <v>3499.57</v>
      </c>
      <c r="AD101" s="99">
        <f t="shared" si="38"/>
        <v>520.92999999999984</v>
      </c>
      <c r="AE101" s="99">
        <v>4020.5</v>
      </c>
      <c r="AF101" s="98">
        <f>(Z101+AA101+AB101)*'Ставки аренды'!$B$3/X101</f>
        <v>198.33333333333334</v>
      </c>
      <c r="AG101" s="114">
        <v>0</v>
      </c>
      <c r="AH101" s="94">
        <v>0</v>
      </c>
      <c r="AI101" s="115">
        <f>96788205/105454369*AJ101</f>
        <v>56904.884708949328</v>
      </c>
      <c r="AJ101" s="117">
        <f>Цены!$D$11</f>
        <v>62000</v>
      </c>
      <c r="AK101" s="94">
        <f>AJ101/Цены!$B$1</f>
        <v>812.52334366461139</v>
      </c>
      <c r="AL101" s="95">
        <f t="shared" si="24"/>
        <v>4218.833333333333</v>
      </c>
      <c r="AM101" s="95">
        <f t="shared" si="25"/>
        <v>57781.166666666664</v>
      </c>
      <c r="AN101" s="94">
        <f t="shared" si="39"/>
        <v>61123.718042282664</v>
      </c>
      <c r="AO101" s="118">
        <f t="shared" si="40"/>
        <v>1.4133579963182838E-2</v>
      </c>
      <c r="AP101" s="96">
        <f t="shared" si="26"/>
        <v>6.8045698924731182E-2</v>
      </c>
      <c r="AQ101" s="96">
        <f t="shared" si="27"/>
        <v>6.4846774193548382E-2</v>
      </c>
      <c r="AR101" s="96">
        <f t="shared" si="28"/>
        <v>0.95298858294157163</v>
      </c>
      <c r="AS101" s="122">
        <v>1</v>
      </c>
      <c r="AT101" s="121">
        <f t="shared" si="29"/>
        <v>263293</v>
      </c>
      <c r="AU101" s="83">
        <v>0.8</v>
      </c>
      <c r="AV101" s="119">
        <f t="shared" si="30"/>
        <v>6.3519670599570446E-3</v>
      </c>
      <c r="AW101" s="120">
        <f t="shared" si="31"/>
        <v>7.5827311827956989E-2</v>
      </c>
      <c r="AX101" s="120">
        <f t="shared" si="32"/>
        <v>7.2628387096774188E-2</v>
      </c>
      <c r="AY101" s="120">
        <f t="shared" si="33"/>
        <v>0.95781302733715834</v>
      </c>
      <c r="AZ101" s="15">
        <f>MIN(IF($AU101=100%,1,1+VLOOKUP(($AJ101-$AI101-$AH101-$AG101-$AF101-$AE101*(1+AZ$3))/$AJ101,'Технический лист'!$I:$J,2,1)-VLOOKUP($AO101,'Технический лист'!$I:$J,2,1)),1+(1-$AU101))</f>
        <v>1.1150000000000002</v>
      </c>
      <c r="BA101" s="15">
        <f>MIN(IF($AU101=100%,1,1+VLOOKUP(($AJ101-$AI101-$AH101-$AG101-$AF101-$AE101*(1+BA$3))/$AJ101,'Технический лист'!$I:$J,2,1)-VLOOKUP($AO101,'Технический лист'!$I:$J,2,1)),1+(1-$AU101))</f>
        <v>1.1150000000000002</v>
      </c>
      <c r="BB101" s="15">
        <f>MIN(IF($AU101=100%,1,1+VLOOKUP(($AJ101-$AI101-$AH101-$AG101-$AF101-$AE101*(1+BB$3))/$AJ101,'Технический лист'!$I:$J,2,1)-VLOOKUP($AO101,'Технический лист'!$I:$J,2,1)),1+(1-$AU101))</f>
        <v>1.1150000000000002</v>
      </c>
      <c r="BC101" s="15">
        <f>MIN(IF($AU101=100%,1,1+VLOOKUP(($AJ101-$AI101-$AH101-$AG101-$AF101-$AE101*(1+BC$3))/$AJ101,'Технический лист'!$I:$J,2,1)-VLOOKUP($AO101,'Технический лист'!$I:$J,2,1)),1+(1-$AU101))</f>
        <v>1.1150000000000002</v>
      </c>
      <c r="BD101" s="15">
        <f>MIN(IF($AU101=100%,1,1+VLOOKUP(($AJ101-$AI101-$AH101-$AG101-$AF101-$AE101*(1+BD$3))/$AJ101,'Технический лист'!$I:$J,2,1)-VLOOKUP($AO101,'Технический лист'!$I:$J,2,1)),1+(1-$AU101))</f>
        <v>1.1150000000000002</v>
      </c>
      <c r="BE101" s="15">
        <f>MIN(IF($AU101=100%,1,1+VLOOKUP(($AJ101-$AI101-$AH101-$AG101-$AF101-$AE101*(1+BE$3))/$AJ101,'Технический лист'!$I:$J,2,1)-VLOOKUP($AO101,'Технический лист'!$I:$J,2,1)),1+(1-$AU101))</f>
        <v>1.0950000000000002</v>
      </c>
      <c r="BF101" s="15">
        <f>MIN(IF($AU101=100%,1,1+VLOOKUP(($AJ101-$AI101-$AH101-$AG101-$AF101-$AE101*(1+BF$3))/$AJ101,'Технический лист'!$I:$J,2,1)-VLOOKUP($AO101,'Технический лист'!$I:$J,2,1)),1+(1-$AU101))</f>
        <v>1.0950000000000002</v>
      </c>
      <c r="BG101" s="15">
        <f>MIN(IF($AU101=100%,1,1+VLOOKUP(($AJ101-$AI101-$AH101-$AG101-$AF101-$AE101*(1+BG$3))/$AJ101,'Технический лист'!$I:$J,2,1)-VLOOKUP($AO101,'Технический лист'!$I:$J,2,1)),1+(1-$AU101))</f>
        <v>1.0950000000000002</v>
      </c>
      <c r="BH101" s="15">
        <f>MIN(IF($AU101=100%,1,1+VLOOKUP(($AJ101-$AI101-$AH101-$AG101-$AF101-$AE101*(1+BH$3))/$AJ101,'Технический лист'!$I:$J,2,1)-VLOOKUP($AO101,'Технический лист'!$I:$J,2,1)),1+(1-$AU101))</f>
        <v>1.0950000000000002</v>
      </c>
      <c r="BI101" s="15">
        <f>MIN(IF($AU101=100%,1,1+VLOOKUP(($AJ101-$AI101-$AH101-$AG101-$AF101-$AE101*(1+BI$3))/$AJ101,'Технический лист'!$I:$J,2,1)-VLOOKUP($AO101,'Технический лист'!$I:$J,2,1)),1+(1-$AU101))</f>
        <v>1.0950000000000002</v>
      </c>
      <c r="BJ101" s="15">
        <f>MIN(IF($AU101=100%,1,1+VLOOKUP(($AJ101-$AI101-$AH101-$AG101-$AF101-$AE101*(1+BJ$3))/$AJ101,'Технический лист'!$I:$J,2,1)-VLOOKUP($AO101,'Технический лист'!$I:$J,2,1)),1+(1-$AU101))</f>
        <v>1.0950000000000002</v>
      </c>
      <c r="BK101" s="15">
        <f>MIN(IF($AU101=100%,1,1+VLOOKUP(($AJ101-$AI101-$AH101-$AG101-$AF101-$AE101*(1+BK$3))/$AJ101,'Технический лист'!$I:$J,2,1)-VLOOKUP($AO101,'Технический лист'!$I:$J,2,1)),1+(1-$AU101))</f>
        <v>1.0950000000000002</v>
      </c>
      <c r="BL101" s="15">
        <f>MIN(IF($AU101=100%,1,1+VLOOKUP(($AJ101-$AI101-$AH101-$AG101-$AF101-$AE101*(1+BL$3))/$AJ101,'Технический лист'!$I:$J,2,1)-VLOOKUP($AO101,'Технический лист'!$I:$J,2,1)),1+(1-$AU101))</f>
        <v>1.0950000000000002</v>
      </c>
      <c r="BM101" s="15">
        <f>MIN(IF($AU101=100%,1,1+VLOOKUP(($AJ101-$AI101-$AH101-$AG101-$AF101-$AE101*(1+BM$3))/$AJ101,'Технический лист'!$I:$J,2,1)-VLOOKUP($AO101,'Технический лист'!$I:$J,2,1)),1+(1-$AU101))</f>
        <v>1.0950000000000002</v>
      </c>
      <c r="BN101" s="15">
        <f>MIN(IF($AU101=100%,1,1+VLOOKUP(($AJ101-$AI101-$AH101-$AG101-$AF101-$AE101*(1+BN$3))/$AJ101,'Технический лист'!$I:$J,2,1)-VLOOKUP($AO101,'Технический лист'!$I:$J,2,1)),1+(1-$AU101))</f>
        <v>1.0950000000000002</v>
      </c>
      <c r="BO101" s="15">
        <f>MIN(IF($AU101=100%,1,1+VLOOKUP(($AJ101-$AI101-$AH101-$AG101-$AF101-$AE101*(1+BO$3))/$AJ101,'Технический лист'!$I:$J,2,1)-VLOOKUP($AO101,'Технический лист'!$I:$J,2,1)),1+(1-$AU101))</f>
        <v>1.0950000000000002</v>
      </c>
      <c r="BP101" s="15">
        <f>MIN(IF($AU101=100%,1,1+VLOOKUP(($AJ101-$AI101-$AH101-$AG101-$AF101-$AE101*(1+BP$3))/$AJ101,'Технический лист'!$I:$J,2,1)-VLOOKUP($AO101,'Технический лист'!$I:$J,2,1)),1+(1-$AU101))</f>
        <v>1.0950000000000002</v>
      </c>
      <c r="BQ101" s="15">
        <f>MIN(IF($AU101=100%,1,1+VLOOKUP(($AJ101-$AI101-$AH101-$AG101-$AF101-$AE101*(1+BQ$3))/$AJ101,'Технический лист'!$I:$J,2,1)-VLOOKUP($AO101,'Технический лист'!$I:$J,2,1)),1+(1-$AU101))</f>
        <v>1.0950000000000002</v>
      </c>
      <c r="BR101" s="15">
        <f>MIN(IF($AU101=100%,1,1+VLOOKUP(($AJ101-$AI101-$AH101-$AG101-$AF101-$AE101*(1+BR$3))/$AJ101,'Технический лист'!$I:$J,2,1)-VLOOKUP($AO101,'Технический лист'!$I:$J,2,1)),1+(1-$AU101))</f>
        <v>1.0950000000000002</v>
      </c>
      <c r="BS101" s="15">
        <f>MIN(IF($AU101=100%,1,1+VLOOKUP(($AJ101-$AI101-$AH101-$AG101-$AF101-$AE101*(1+BS$3))/$AJ101,'Технический лист'!$I:$J,2,1)-VLOOKUP($AO101,'Технический лист'!$I:$J,2,1)),1+(1-$AU101))</f>
        <v>1.0950000000000002</v>
      </c>
      <c r="BT101" s="15">
        <f>MIN(IF($AU101=100%,1,1+VLOOKUP(($AJ101-$AI101-$AH101-$AG101-$AF101-$AE101*(1+BT$3))/$AJ101,'Технический лист'!$I:$J,2,1)-VLOOKUP($AO101,'Технический лист'!$I:$J,2,1)),1+(1-$AU101))</f>
        <v>1.0950000000000002</v>
      </c>
      <c r="BU101" s="15">
        <f>MIN(IF($AU101=100%,1,1+VLOOKUP(($AJ101-$AI101-$AH101-$AG101-$AF101-$AE101*(1+BU$3))/$AJ101,'Технический лист'!$I:$J,2,1)-VLOOKUP($AO101,'Технический лист'!$I:$J,2,1)),1+(1-$AU101))</f>
        <v>1.0750000000000002</v>
      </c>
      <c r="BV101" s="15">
        <f>MIN(IF($AU101=100%,1,1+VLOOKUP(($AJ101-$AI101-$AH101-$AG101-$AF101-$AE101*(1+BV$3))/$AJ101,'Технический лист'!$I:$J,2,1)-VLOOKUP($AO101,'Технический лист'!$I:$J,2,1)),1+(1-$AU101))</f>
        <v>1.0750000000000002</v>
      </c>
      <c r="BW101" s="15">
        <f>MIN(IF($AU101=100%,1,1+VLOOKUP(($AJ101-$AI101-$AH101-$AG101-$AF101-$AE101*(1+BW$3))/$AJ101,'Технический лист'!$I:$J,2,1)-VLOOKUP($AO101,'Технический лист'!$I:$J,2,1)),1+(1-$AU101))</f>
        <v>1.0750000000000002</v>
      </c>
      <c r="BX101" s="15">
        <f>MIN(IF($AU101=100%,1,1+VLOOKUP(($AJ101-$AI101-$AH101-$AG101-$AF101-$AE101*(1+BX$3))/$AJ101,'Технический лист'!$I:$J,2,1)-VLOOKUP($AO101,'Технический лист'!$I:$J,2,1)),1+(1-$AU101))</f>
        <v>1.0750000000000002</v>
      </c>
      <c r="BY101" s="15">
        <f>MIN(IF($AU101=100%,1,1+VLOOKUP(($AJ101-$AI101-$AH101-$AG101-$AF101-$AE101*(1+BY$3))/$AJ101,'Технический лист'!$I:$J,2,1)-VLOOKUP($AO101,'Технический лист'!$I:$J,2,1)),1+(1-$AU101))</f>
        <v>1.0750000000000002</v>
      </c>
      <c r="BZ101" s="15">
        <f>MIN(IF($AU101=100%,1,1+VLOOKUP(($AJ101-$AI101-$AH101-$AG101-$AF101-$AE101*(1+BZ$3))/$AJ101,'Технический лист'!$I:$J,2,1)-VLOOKUP($AO101,'Технический лист'!$I:$J,2,1)),1+(1-$AU101))</f>
        <v>1.0750000000000002</v>
      </c>
      <c r="CA101" s="15">
        <f>MIN(IF($AU101=100%,1,1+VLOOKUP(($AJ101-$AI101-$AH101-$AG101-$AF101-$AE101*(1+CA$3))/$AJ101,'Технический лист'!$I:$J,2,1)-VLOOKUP($AO101,'Технический лист'!$I:$J,2,1)),1+(1-$AU101))</f>
        <v>1.0750000000000002</v>
      </c>
      <c r="CB101" s="15">
        <f>MIN(IF($AU101=100%,1,1+VLOOKUP(($AJ101-$AI101-$AH101-$AG101-$AF101-$AE101*(1+CB$3))/$AJ101,'Технический лист'!$I:$J,2,1)-VLOOKUP($AO101,'Технический лист'!$I:$J,2,1)),1+(1-$AU101))</f>
        <v>1.0750000000000002</v>
      </c>
      <c r="CC101" s="15">
        <f>MIN(IF($AU101=100%,1,1+VLOOKUP(($AJ101-$AI101-$AH101-$AG101-$AF101-$AE101*(1+CC$3))/$AJ101,'Технический лист'!$I:$J,2,1)-VLOOKUP($AO101,'Технический лист'!$I:$J,2,1)),1+(1-$AU101))</f>
        <v>1.0750000000000002</v>
      </c>
      <c r="CD101" s="15">
        <f>MIN(IF($AU101=100%,1,1+VLOOKUP(($AJ101-$AI101-$AH101-$AG101-$AF101-$AE101*(1+CD$3))/$AJ101,'Технический лист'!$I:$J,2,1)-VLOOKUP($AO101,'Технический лист'!$I:$J,2,1)),1+(1-$AU101))</f>
        <v>1.0750000000000002</v>
      </c>
      <c r="CE101" s="15">
        <f>MIN(IF($AU101=100%,1,1+VLOOKUP(($AJ101-$AI101-$AH101-$AG101-$AF101-$AE101*(1+CE$3))/$AJ101,'Технический лист'!$I:$J,2,1)-VLOOKUP($AO101,'Технический лист'!$I:$J,2,1)),1+(1-$AU101))</f>
        <v>1.0750000000000002</v>
      </c>
      <c r="CF101" s="15">
        <f>MIN(IF($AU101=100%,1,1+VLOOKUP(($AJ101-$AI101-$AH101-$AG101-$AF101-$AE101*(1+CF$3))/$AJ101,'Технический лист'!$I:$J,2,1)-VLOOKUP($AO101,'Технический лист'!$I:$J,2,1)),1+(1-$AU101))</f>
        <v>1.0750000000000002</v>
      </c>
      <c r="CG101" s="15">
        <f>MIN(IF($AU101=100%,1,1+VLOOKUP(($AJ101-$AI101-$AH101-$AG101-$AF101-$AE101*(1+CG$3))/$AJ101,'Технический лист'!$I:$J,2,1)-VLOOKUP($AO101,'Технический лист'!$I:$J,2,1)),1+(1-$AU101))</f>
        <v>1.0750000000000002</v>
      </c>
      <c r="CH101" s="15">
        <f>MIN(IF($AU101=100%,1,1+VLOOKUP(($AJ101-$AI101-$AH101-$AG101-$AF101-$AE101*(1+CH$3))/$AJ101,'Технический лист'!$I:$J,2,1)-VLOOKUP($AO101,'Технический лист'!$I:$J,2,1)),1+(1-$AU101))</f>
        <v>1.0750000000000002</v>
      </c>
      <c r="CI101" s="15">
        <f>MIN(IF($AU101=100%,1,1+VLOOKUP(($AJ101-$AI101-$AH101-$AG101-$AF101-$AE101*(1+CI$3))/$AJ101,'Технический лист'!$I:$J,2,1)-VLOOKUP($AO101,'Технический лист'!$I:$J,2,1)),1+(1-$AU101))</f>
        <v>1.0750000000000002</v>
      </c>
      <c r="CJ101" s="15">
        <f>MIN(IF($AU101=100%,1,1+VLOOKUP(($AJ101-$AI101-$AH101-$AG101-$AF101-$AE101*(1+CJ$3))/$AJ101,'Технический лист'!$I:$J,2,1)-VLOOKUP($AO101,'Технический лист'!$I:$J,2,1)),1+(1-$AU101))</f>
        <v>1.06</v>
      </c>
      <c r="CK101" s="15">
        <f>MIN(IF($AU101=100%,1,1+VLOOKUP(($AJ101-$AI101-$AH101-$AG101-$AF101-$AE101*(1+CK$3))/$AJ101,'Технический лист'!$I:$J,2,1)-VLOOKUP($AO101,'Технический лист'!$I:$J,2,1)),1+(1-$AU101))</f>
        <v>1.06</v>
      </c>
      <c r="CL101" s="15">
        <f>MIN(IF($AU101=100%,1,1+VLOOKUP(($AJ101-$AI101-$AH101-$AG101-$AF101-$AE101*(1+CL$3))/$AJ101,'Технический лист'!$I:$J,2,1)-VLOOKUP($AO101,'Технический лист'!$I:$J,2,1)),1+(1-$AU101))</f>
        <v>1.06</v>
      </c>
      <c r="CM101" s="15">
        <f>MIN(IF($AU101=100%,1,1+VLOOKUP(($AJ101-$AI101-$AH101-$AG101-$AF101-$AE101*(1+CM$3))/$AJ101,'Технический лист'!$I:$J,2,1)-VLOOKUP($AO101,'Технический лист'!$I:$J,2,1)),1+(1-$AU101))</f>
        <v>1.06</v>
      </c>
      <c r="CN101" s="15">
        <f>MIN(IF($AU101=100%,1,1+VLOOKUP(($AJ101-$AI101-$AH101-$AG101-$AF101-$AE101*(1+CN$3))/$AJ101,'Технический лист'!$I:$J,2,1)-VLOOKUP($AO101,'Технический лист'!$I:$J,2,1)),1+(1-$AU101))</f>
        <v>1.06</v>
      </c>
      <c r="CO101" s="15">
        <f>MIN(IF($AU101=100%,1,1+VLOOKUP(($AJ101-$AI101-$AH101-$AG101-$AF101-$AE101*(1+CO$3))/$AJ101,'Технический лист'!$I:$J,2,1)-VLOOKUP($AO101,'Технический лист'!$I:$J,2,1)),1+(1-$AU101))</f>
        <v>1.06</v>
      </c>
      <c r="CP101" s="15">
        <f>MIN(IF($AU101=100%,1,1+VLOOKUP(($AJ101-$AI101-$AH101-$AG101-$AF101-$AE101*(1+CP$3))/$AJ101,'Технический лист'!$I:$J,2,1)-VLOOKUP($AO101,'Технический лист'!$I:$J,2,1)),1+(1-$AU101))</f>
        <v>1.06</v>
      </c>
      <c r="CQ101" s="15">
        <f>MIN(IF($AU101=100%,1,1+VLOOKUP(($AJ101-$AI101-$AH101-$AG101-$AF101-$AE101*(1+CQ$3))/$AJ101,'Технический лист'!$I:$J,2,1)-VLOOKUP($AO101,'Технический лист'!$I:$J,2,1)),1+(1-$AU101))</f>
        <v>1.06</v>
      </c>
      <c r="CR101" s="15">
        <f>MIN(IF($AU101=100%,1,1+VLOOKUP(($AJ101-$AI101-$AH101-$AG101-$AF101-$AE101*(1+CR$3))/$AJ101,'Технический лист'!$I:$J,2,1)-VLOOKUP($AO101,'Технический лист'!$I:$J,2,1)),1+(1-$AU101))</f>
        <v>1.06</v>
      </c>
      <c r="CS101" s="15">
        <f>MIN(IF($AU101=100%,1,1+VLOOKUP(($AJ101-$AI101-$AH101-$AG101-$AF101-$AE101*(1+CS$3))/$AJ101,'Технический лист'!$I:$J,2,1)-VLOOKUP($AO101,'Технический лист'!$I:$J,2,1)),1+(1-$AU101))</f>
        <v>1.06</v>
      </c>
      <c r="CT101" s="15">
        <f>MIN(IF($AU101=100%,1,1+VLOOKUP(($AJ101-$AI101-$AH101-$AG101-$AF101-$AE101*(1+CT$3))/$AJ101,'Технический лист'!$I:$J,2,1)-VLOOKUP($AO101,'Технический лист'!$I:$J,2,1)),1+(1-$AU101))</f>
        <v>1.06</v>
      </c>
      <c r="CU101" s="15">
        <f>MIN(IF($AU101=100%,1,1+VLOOKUP(($AJ101-$AI101-$AH101-$AG101-$AF101-$AE101*(1+CU$3))/$AJ101,'Технический лист'!$I:$J,2,1)-VLOOKUP($AO101,'Технический лист'!$I:$J,2,1)),1+(1-$AU101))</f>
        <v>1.06</v>
      </c>
      <c r="CV101" s="15">
        <f>MIN(IF($AU101=100%,1,1+VLOOKUP(($AJ101-$AI101-$AH101-$AG101-$AF101-$AE101*(1+CV$3))/$AJ101,'Технический лист'!$I:$J,2,1)-VLOOKUP($AO101,'Технический лист'!$I:$J,2,1)),1+(1-$AU101))</f>
        <v>1.06</v>
      </c>
      <c r="CW101" s="15">
        <f>MIN(IF($AU101=100%,1,1+VLOOKUP(($AJ101-$AI101-$AH101-$AG101-$AF101-$AE101*(1+CW$3))/$AJ101,'Технический лист'!$I:$J,2,1)-VLOOKUP($AO101,'Технический лист'!$I:$J,2,1)),1+(1-$AU101))</f>
        <v>1.06</v>
      </c>
      <c r="CX101" s="15">
        <f>MIN(IF($AU101=100%,1,1+VLOOKUP(($AJ101-$AI101-$AH101-$AG101-$AF101-$AE101*(1+CX$3))/$AJ101,'Технический лист'!$I:$J,2,1)-VLOOKUP($AO101,'Технический лист'!$I:$J,2,1)),1+(1-$AU101))</f>
        <v>1.06</v>
      </c>
      <c r="CY101" s="15">
        <f>MIN(IF($AU101=100%,1,1+VLOOKUP(($AJ101-$AI101-$AH101-$AG101-$AF101-$AE101*(1+CY$3))/$AJ101,'Технический лист'!$I:$J,2,1)-VLOOKUP($AO101,'Технический лист'!$I:$J,2,1)),1+(1-$AU101))</f>
        <v>1.06</v>
      </c>
      <c r="CZ101" s="15">
        <f>MIN(IF($AU101=100%,1,1+VLOOKUP(($AJ101-$AI101-$AH101-$AG101-$AF101-$AE101*(1+CZ$3))/$AJ101,'Технический лист'!$I:$J,2,1)-VLOOKUP($AO101,'Технический лист'!$I:$J,2,1)),1+(1-$AU101))</f>
        <v>1.0450000000000004</v>
      </c>
      <c r="DA101" s="15">
        <f>MIN(IF($AU101=100%,1,1+VLOOKUP(($AJ101-$AI101-$AH101-$AG101-$AF101-$AE101*(1+DA$3))/$AJ101,'Технический лист'!$I:$J,2,1)-VLOOKUP($AO101,'Технический лист'!$I:$J,2,1)),1+(1-$AU101))</f>
        <v>1.0450000000000004</v>
      </c>
      <c r="DB101" s="15">
        <f>MIN(IF($AU101=100%,1,1+VLOOKUP(($AJ101-$AI101-$AH101-$AG101-$AF101-$AE101*(1+DB$3))/$AJ101,'Технический лист'!$I:$J,2,1)-VLOOKUP($AO101,'Технический лист'!$I:$J,2,1)),1+(1-$AU101))</f>
        <v>1.0450000000000004</v>
      </c>
      <c r="DC101" s="15">
        <f>MIN(IF($AU101=100%,1,1+VLOOKUP(($AJ101-$AI101-$AH101-$AG101-$AF101-$AE101*(1+DC$3))/$AJ101,'Технический лист'!$I:$J,2,1)-VLOOKUP($AO101,'Технический лист'!$I:$J,2,1)),1+(1-$AU101))</f>
        <v>1.0450000000000004</v>
      </c>
      <c r="DD101" s="15">
        <f>MIN(IF($AU101=100%,1,1+VLOOKUP(($AJ101-$AI101-$AH101-$AG101-$AF101-$AE101*(1+DD$3))/$AJ101,'Технический лист'!$I:$J,2,1)-VLOOKUP($AO101,'Технический лист'!$I:$J,2,1)),1+(1-$AU101))</f>
        <v>1.0450000000000004</v>
      </c>
      <c r="DE101" s="15">
        <f>MIN(IF($AU101=100%,1,1+VLOOKUP(($AJ101-$AI101-$AH101-$AG101-$AF101-$AE101*(1+DE$3))/$AJ101,'Технический лист'!$I:$J,2,1)-VLOOKUP($AO101,'Технический лист'!$I:$J,2,1)),1+(1-$AU101))</f>
        <v>1.0450000000000004</v>
      </c>
      <c r="DF101" s="15">
        <f>MIN(IF($AU101=100%,1,1+VLOOKUP(($AJ101-$AI101-$AH101-$AG101-$AF101-$AE101*(1+DF$3))/$AJ101,'Технический лист'!$I:$J,2,1)-VLOOKUP($AO101,'Технический лист'!$I:$J,2,1)),1+(1-$AU101))</f>
        <v>1.0450000000000004</v>
      </c>
      <c r="DG101" s="15">
        <f>MIN(IF($AU101=100%,1,1+VLOOKUP(($AJ101-$AI101-$AH101-$AG101-$AF101-$AE101*(1+DG$3))/$AJ101,'Технический лист'!$I:$J,2,1)-VLOOKUP($AO101,'Технический лист'!$I:$J,2,1)),1+(1-$AU101))</f>
        <v>1.0450000000000004</v>
      </c>
      <c r="DH101" s="15">
        <f>MIN(IF($AU101=100%,1,1+VLOOKUP(($AJ101-$AI101-$AH101-$AG101-$AF101-$AE101*(1+DH$3))/$AJ101,'Технический лист'!$I:$J,2,1)-VLOOKUP($AO101,'Технический лист'!$I:$J,2,1)),1+(1-$AU101))</f>
        <v>1.0450000000000004</v>
      </c>
      <c r="DI101" s="15">
        <f>MIN(IF($AU101=100%,1,1+VLOOKUP(($AJ101-$AI101-$AH101-$AG101-$AF101-$AE101*(1+DI$3))/$AJ101,'Технический лист'!$I:$J,2,1)-VLOOKUP($AO101,'Технический лист'!$I:$J,2,1)),1+(1-$AU101))</f>
        <v>1.0450000000000004</v>
      </c>
      <c r="DJ101" s="15">
        <f>MIN(IF($AU101=100%,1,1+VLOOKUP(($AJ101-$AI101-$AH101-$AG101-$AF101-$AE101*(1+DJ$3))/$AJ101,'Технический лист'!$I:$J,2,1)-VLOOKUP($AO101,'Технический лист'!$I:$J,2,1)),1+(1-$AU101))</f>
        <v>1.0450000000000004</v>
      </c>
      <c r="DK101" s="15">
        <f>MIN(IF($AU101=100%,1,1+VLOOKUP(($AJ101-$AI101-$AH101-$AG101-$AF101-$AE101*(1+DK$3))/$AJ101,'Технический лист'!$I:$J,2,1)-VLOOKUP($AO101,'Технический лист'!$I:$J,2,1)),1+(1-$AU101))</f>
        <v>1.0450000000000004</v>
      </c>
      <c r="DL101" s="15">
        <f>MIN(IF($AU101=100%,1,1+VLOOKUP(($AJ101-$AI101-$AH101-$AG101-$AF101-$AE101*(1+DL$3))/$AJ101,'Технический лист'!$I:$J,2,1)-VLOOKUP($AO101,'Технический лист'!$I:$J,2,1)),1+(1-$AU101))</f>
        <v>1.0450000000000004</v>
      </c>
      <c r="DM101" s="15">
        <f>MIN(IF($AU101=100%,1,1+VLOOKUP(($AJ101-$AI101-$AH101-$AG101-$AF101-$AE101*(1+DM$3))/$AJ101,'Технический лист'!$I:$J,2,1)-VLOOKUP($AO101,'Технический лист'!$I:$J,2,1)),1+(1-$AU101))</f>
        <v>1.0450000000000004</v>
      </c>
      <c r="DN101" s="15">
        <f>MIN(IF($AU101=100%,1,1+VLOOKUP(($AJ101-$AI101-$AH101-$AG101-$AF101-$AE101*(1+DN$3))/$AJ101,'Технический лист'!$I:$J,2,1)-VLOOKUP($AO101,'Технический лист'!$I:$J,2,1)),1+(1-$AU101))</f>
        <v>1.0450000000000004</v>
      </c>
      <c r="DO101" s="15">
        <f>MIN(IF($AU101=100%,1,1+VLOOKUP(($AJ101-$AI101-$AH101-$AG101-$AF101-$AE101*(1+DO$3))/$AJ101,'Технический лист'!$I:$J,2,1)-VLOOKUP($AO101,'Технический лист'!$I:$J,2,1)),1+(1-$AU101))</f>
        <v>1.0300000000000002</v>
      </c>
      <c r="DP101" s="15">
        <f>MIN(IF($AU101=100%,1,1+VLOOKUP(($AJ101-$AI101-$AH101-$AG101-$AF101-$AE101*(1+DP$3))/$AJ101,'Технический лист'!$I:$J,2,1)-VLOOKUP($AO101,'Технический лист'!$I:$J,2,1)),1+(1-$AU101))</f>
        <v>1.0300000000000002</v>
      </c>
      <c r="DQ101" s="15">
        <f>MIN(IF($AU101=100%,1,1+VLOOKUP(($AJ101-$AI101-$AH101-$AG101-$AF101-$AE101*(1+DQ$3))/$AJ101,'Технический лист'!$I:$J,2,1)-VLOOKUP($AO101,'Технический лист'!$I:$J,2,1)),1+(1-$AU101))</f>
        <v>1.0300000000000002</v>
      </c>
      <c r="DR101" s="15">
        <f>MIN(IF($AU101=100%,1,1+VLOOKUP(($AJ101-$AI101-$AH101-$AG101-$AF101-$AE101*(1+DR$3))/$AJ101,'Технический лист'!$I:$J,2,1)-VLOOKUP($AO101,'Технический лист'!$I:$J,2,1)),1+(1-$AU101))</f>
        <v>1.0300000000000002</v>
      </c>
      <c r="DS101" s="15">
        <f>MIN(IF($AU101=100%,1,1+VLOOKUP(($AJ101-$AI101-$AH101-$AG101-$AF101-$AE101*(1+DS$3))/$AJ101,'Технический лист'!$I:$J,2,1)-VLOOKUP($AO101,'Технический лист'!$I:$J,2,1)),1+(1-$AU101))</f>
        <v>1.0300000000000002</v>
      </c>
      <c r="DT101" s="15">
        <f>MIN(IF($AU101=100%,1,1+VLOOKUP(($AJ101-$AI101-$AH101-$AG101-$AF101-$AE101*(1+DT$3))/$AJ101,'Технический лист'!$I:$J,2,1)-VLOOKUP($AO101,'Технический лист'!$I:$J,2,1)),1+(1-$AU101))</f>
        <v>1.0300000000000002</v>
      </c>
      <c r="DU101" s="15">
        <f>MIN(IF($AU101=100%,1,1+VLOOKUP(($AJ101-$AI101-$AH101-$AG101-$AF101-$AE101*(1+DU$3))/$AJ101,'Технический лист'!$I:$J,2,1)-VLOOKUP($AO101,'Технический лист'!$I:$J,2,1)),1+(1-$AU101))</f>
        <v>1.0300000000000002</v>
      </c>
      <c r="DV101" s="15">
        <f>MIN(IF($AU101=100%,1,1+VLOOKUP(($AJ101-$AI101-$AH101-$AG101-$AF101-$AE101*(1+DV$3))/$AJ101,'Технический лист'!$I:$J,2,1)-VLOOKUP($AO101,'Технический лист'!$I:$J,2,1)),1+(1-$AU101))</f>
        <v>1.0300000000000002</v>
      </c>
      <c r="DW101" s="15">
        <f>MIN(IF($AU101=100%,1,1+VLOOKUP(($AJ101-$AI101-$AH101-$AG101-$AF101-$AE101*(1+DW$3))/$AJ101,'Технический лист'!$I:$J,2,1)-VLOOKUP($AO101,'Технический лист'!$I:$J,2,1)),1+(1-$AU101))</f>
        <v>1.0300000000000002</v>
      </c>
      <c r="DX101" s="15">
        <f>MIN(IF($AU101=100%,1,1+VLOOKUP(($AJ101-$AI101-$AH101-$AG101-$AF101-$AE101*(1+DX$3))/$AJ101,'Технический лист'!$I:$J,2,1)-VLOOKUP($AO101,'Технический лист'!$I:$J,2,1)),1+(1-$AU101))</f>
        <v>1.0300000000000002</v>
      </c>
      <c r="DY101" s="15">
        <f>MIN(IF($AU101=100%,1,1+VLOOKUP(($AJ101-$AI101-$AH101-$AG101-$AF101-$AE101*(1+DY$3))/$AJ101,'Технический лист'!$I:$J,2,1)-VLOOKUP($AO101,'Технический лист'!$I:$J,2,1)),1+(1-$AU101))</f>
        <v>1.0300000000000002</v>
      </c>
      <c r="DZ101" s="15">
        <f>MIN(IF($AU101=100%,1,1+VLOOKUP(($AJ101-$AI101-$AH101-$AG101-$AF101-$AE101*(1+DZ$3))/$AJ101,'Технический лист'!$I:$J,2,1)-VLOOKUP($AO101,'Технический лист'!$I:$J,2,1)),1+(1-$AU101))</f>
        <v>1.0300000000000002</v>
      </c>
      <c r="EA101" s="15">
        <f>MIN(IF($AU101=100%,1,1+VLOOKUP(($AJ101-$AI101-$AH101-$AG101-$AF101-$AE101*(1+EA$3))/$AJ101,'Технический лист'!$I:$J,2,1)-VLOOKUP($AO101,'Технический лист'!$I:$J,2,1)),1+(1-$AU101))</f>
        <v>1.0300000000000002</v>
      </c>
      <c r="EB101" s="15">
        <f>MIN(IF($AU101=100%,1,1+VLOOKUP(($AJ101-$AI101-$AH101-$AG101-$AF101-$AE101*(1+EB$3))/$AJ101,'Технический лист'!$I:$J,2,1)-VLOOKUP($AO101,'Технический лист'!$I:$J,2,1)),1+(1-$AU101))</f>
        <v>1.0300000000000002</v>
      </c>
      <c r="EC101" s="15">
        <f>MIN(IF($AU101=100%,1,1+VLOOKUP(($AJ101-$AI101-$AH101-$AG101-$AF101-$AE101*(1+EC$3))/$AJ101,'Технический лист'!$I:$J,2,1)-VLOOKUP($AO101,'Технический лист'!$I:$J,2,1)),1+(1-$AU101))</f>
        <v>1.0300000000000002</v>
      </c>
      <c r="ED101" s="15">
        <f>MIN(IF($AU101=100%,1,1+VLOOKUP(($AJ101-$AI101-$AH101-$AG101-$AF101-$AE101*(1+ED$3))/$AJ101,'Технический лист'!$I:$J,2,1)-VLOOKUP($AO101,'Технический лист'!$I:$J,2,1)),1+(1-$AU101))</f>
        <v>1.0150000000000001</v>
      </c>
      <c r="EE101" s="15">
        <f>MIN(IF($AU101=100%,1,1+VLOOKUP(($AJ101-$AI101-$AH101-$AG101-$AF101-$AE101*(1+EE$3))/$AJ101,'Технический лист'!$I:$J,2,1)-VLOOKUP($AO101,'Технический лист'!$I:$J,2,1)),1+(1-$AU101))</f>
        <v>1.0150000000000001</v>
      </c>
      <c r="EF101" s="15">
        <f>MIN(IF($AU101=100%,1,1+VLOOKUP(($AJ101-$AI101-$AH101-$AG101-$AF101-$AE101*(1+EF$3))/$AJ101,'Технический лист'!$I:$J,2,1)-VLOOKUP($AO101,'Технический лист'!$I:$J,2,1)),1+(1-$AU101))</f>
        <v>1.0150000000000001</v>
      </c>
      <c r="EG101" s="15">
        <f>MIN(IF($AU101=100%,1,1+VLOOKUP(($AJ101-$AI101-$AH101-$AG101-$AF101-$AE101*(1+EG$3))/$AJ101,'Технический лист'!$I:$J,2,1)-VLOOKUP($AO101,'Технический лист'!$I:$J,2,1)),1+(1-$AU101))</f>
        <v>1.0150000000000001</v>
      </c>
      <c r="EH101" s="15">
        <f>MIN(IF($AU101=100%,1,1+VLOOKUP(($AJ101-$AI101-$AH101-$AG101-$AF101-$AE101*(1+EH$3))/$AJ101,'Технический лист'!$I:$J,2,1)-VLOOKUP($AO101,'Технический лист'!$I:$J,2,1)),1+(1-$AU101))</f>
        <v>1.0150000000000001</v>
      </c>
      <c r="EI101" s="15">
        <f>MIN(IF($AU101=100%,1,1+VLOOKUP(($AJ101-$AI101-$AH101-$AG101-$AF101-$AE101*(1+EI$3))/$AJ101,'Технический лист'!$I:$J,2,1)-VLOOKUP($AO101,'Технический лист'!$I:$J,2,1)),1+(1-$AU101))</f>
        <v>1.0150000000000001</v>
      </c>
      <c r="EJ101" s="15">
        <f>MIN(IF($AU101=100%,1,1+VLOOKUP(($AJ101-$AI101-$AH101-$AG101-$AF101-$AE101*(1+EJ$3))/$AJ101,'Технический лист'!$I:$J,2,1)-VLOOKUP($AO101,'Технический лист'!$I:$J,2,1)),1+(1-$AU101))</f>
        <v>1.0150000000000001</v>
      </c>
      <c r="EK101" s="15">
        <f>MIN(IF($AU101=100%,1,1+VLOOKUP(($AJ101-$AI101-$AH101-$AG101-$AF101-$AE101*(1+EK$3))/$AJ101,'Технический лист'!$I:$J,2,1)-VLOOKUP($AO101,'Технический лист'!$I:$J,2,1)),1+(1-$AU101))</f>
        <v>1.0150000000000001</v>
      </c>
      <c r="EL101" s="15">
        <f>MIN(IF($AU101=100%,1,1+VLOOKUP(($AJ101-$AI101-$AH101-$AG101-$AF101-$AE101*(1+EL$3))/$AJ101,'Технический лист'!$I:$J,2,1)-VLOOKUP($AO101,'Технический лист'!$I:$J,2,1)),1+(1-$AU101))</f>
        <v>1.0150000000000001</v>
      </c>
      <c r="EM101" s="15">
        <f>MIN(IF($AU101=100%,1,1+VLOOKUP(($AJ101-$AI101-$AH101-$AG101-$AF101-$AE101*(1+EM$3))/$AJ101,'Технический лист'!$I:$J,2,1)-VLOOKUP($AO101,'Технический лист'!$I:$J,2,1)),1+(1-$AU101))</f>
        <v>1.0150000000000001</v>
      </c>
      <c r="EN101" s="15">
        <f>MIN(IF($AU101=100%,1,1+VLOOKUP(($AJ101-$AI101-$AH101-$AG101-$AF101-$AE101*(1+EN$3))/$AJ101,'Технический лист'!$I:$J,2,1)-VLOOKUP($AO101,'Технический лист'!$I:$J,2,1)),1+(1-$AU101))</f>
        <v>1.0150000000000001</v>
      </c>
      <c r="EO101" s="15">
        <f>MIN(IF($AU101=100%,1,1+VLOOKUP(($AJ101-$AI101-$AH101-$AG101-$AF101-$AE101*(1+EO$3))/$AJ101,'Технический лист'!$I:$J,2,1)-VLOOKUP($AO101,'Технический лист'!$I:$J,2,1)),1+(1-$AU101))</f>
        <v>1.0150000000000001</v>
      </c>
      <c r="EP101" s="15">
        <f>MIN(IF($AU101=100%,1,1+VLOOKUP(($AJ101-$AI101-$AH101-$AG101-$AF101-$AE101*(1+EP$3))/$AJ101,'Технический лист'!$I:$J,2,1)-VLOOKUP($AO101,'Технический лист'!$I:$J,2,1)),1+(1-$AU101))</f>
        <v>1.0150000000000001</v>
      </c>
      <c r="EQ101" s="15">
        <f>MIN(IF($AU101=100%,1,1+VLOOKUP(($AJ101-$AI101-$AH101-$AG101-$AF101-$AE101*(1+EQ$3))/$AJ101,'Технический лист'!$I:$J,2,1)-VLOOKUP($AO101,'Технический лист'!$I:$J,2,1)),1+(1-$AU101))</f>
        <v>1.0150000000000001</v>
      </c>
      <c r="ER101" s="15">
        <f>MIN(IF($AU101=100%,1,1+VLOOKUP(($AJ101-$AI101-$AH101-$AG101-$AF101-$AE101*(1+ER$3))/$AJ101,'Технический лист'!$I:$J,2,1)-VLOOKUP($AO101,'Технический лист'!$I:$J,2,1)),1+(1-$AU101))</f>
        <v>1.0150000000000001</v>
      </c>
      <c r="ES101" s="15">
        <f>MIN(IF($AU101=100%,1,1+VLOOKUP(($AJ101-$AI101-$AH101-$AG101-$AF101-$AE101*(1+ES$3))/$AJ101,'Технический лист'!$I:$J,2,1)-VLOOKUP($AO101,'Технический лист'!$I:$J,2,1)),1+(1-$AU101))</f>
        <v>1.0150000000000001</v>
      </c>
      <c r="ET101" s="15">
        <f>MIN(IF($AU101=100%,1,1+VLOOKUP(($AJ101-$AI101-$AH101-$AG101-$AF101-$AE101*(1+ET$3))/$AJ101,'Технический лист'!$I:$J,2,1)-VLOOKUP($AO101,'Технический лист'!$I:$J,2,1)),1+(1-$AU101))</f>
        <v>1</v>
      </c>
      <c r="EU101" s="15">
        <f>MIN(IF($AU101=100%,1,1+VLOOKUP(($AJ101-$AI101-$AH101-$AG101-$AF101-$AE101*(1+EU$3))/$AJ101,'Технический лист'!$I:$J,2,1)-VLOOKUP($AO101,'Технический лист'!$I:$J,2,1)),1+(1-$AU101))</f>
        <v>1</v>
      </c>
      <c r="EV101" s="111">
        <v>1</v>
      </c>
      <c r="EW101" s="15">
        <f>MIN(1,MAX(VLOOKUP(($AJ101-$AI101-$AH101-$AG101-$AF101-$AE101*(1+EW$3))/$AJ101,'Технический лист'!$A:$B,2,1),(EV101-0.05)))</f>
        <v>1</v>
      </c>
      <c r="EX101" s="15">
        <f>MIN(1,MAX(VLOOKUP(($AJ101-$AI101-$AH101-$AG101-$AF101-$AE101*(1+EX$3))/$AJ101,'Технический лист'!$A:$B,2,1),(EW101-0.05)))</f>
        <v>1</v>
      </c>
      <c r="EY101" s="15">
        <f>MIN(1,MAX(VLOOKUP(($AJ101-$AI101-$AH101-$AG101-$AF101-$AE101*(1+EY$3))/$AJ101,'Технический лист'!$A:$B,2,1),(EX101-0.05)))</f>
        <v>1</v>
      </c>
      <c r="EZ101" s="15">
        <f>MIN(1,MAX(VLOOKUP(($AJ101-$AI101-$AH101-$AG101-$AF101-$AE101*(1+EZ$3))/$AJ101,'Технический лист'!$A:$B,2,1),(EY101-0.05)))</f>
        <v>1</v>
      </c>
      <c r="FA101" s="15">
        <f>MIN(1,MAX(VLOOKUP(($AJ101-$AI101-$AH101-$AG101-$AF101-$AE101*(1+FA$3))/$AJ101,'Технический лист'!$A:$B,2,1),(EZ101-0.05)))</f>
        <v>1</v>
      </c>
      <c r="FB101" s="15">
        <f>MIN(1,MAX(VLOOKUP(($AJ101-$AI101-$AH101-$AG101-$AF101-$AE101*(1+FB$3))/$AJ101,'Технический лист'!$A:$B,2,1),(FA101-0.05)))</f>
        <v>1</v>
      </c>
      <c r="FC101" s="15">
        <f>MIN(1,MAX(VLOOKUP(($AJ101-$AI101-$AH101-$AG101-$AF101-$AE101*(1+FC$3))/$AJ101,'Технический лист'!$A:$B,2,1),(FB101-0.05)))</f>
        <v>1</v>
      </c>
      <c r="FD101" s="15">
        <f>MIN(1,MAX(VLOOKUP(($AJ101-$AI101-$AH101-$AG101-$AF101-$AE101*(1+FD$3))/$AJ101,'Технический лист'!$A:$B,2,1),(FC101-0.05)))</f>
        <v>1</v>
      </c>
      <c r="FE101" s="15">
        <f>MIN(1,MAX(VLOOKUP(($AJ101-$AI101-$AH101-$AG101-$AF101-$AE101*(1+FE$3))/$AJ101,'Технический лист'!$A:$B,2,1),(FD101-0.05)))</f>
        <v>1</v>
      </c>
      <c r="FF101" s="15">
        <f>MIN(1,MAX(VLOOKUP(($AJ101-$AI101-$AH101-$AG101-$AF101-$AE101*(1+FF$3))/$AJ101,'Технический лист'!$A:$B,2,1),(FE101-0.05)))</f>
        <v>1</v>
      </c>
      <c r="FG101" s="15">
        <f>MIN(1,MAX(VLOOKUP(($AJ101-$AI101-$AH101-$AG101-$AF101-$AE101*(1+FG$3))/$AJ101,'Технический лист'!$A:$B,2,1),(FF101-0.05)))</f>
        <v>1</v>
      </c>
      <c r="FH101" s="15">
        <f>MIN(1,MAX(VLOOKUP(($AJ101-$AI101-$AH101-$AG101-$AF101-$AE101*(1+FH$3))/$AJ101,'Технический лист'!$A:$B,2,1),(FG101-0.05)))</f>
        <v>1</v>
      </c>
      <c r="FI101" s="15">
        <f>MIN(1,MAX(VLOOKUP(($AJ101-$AI101-$AH101-$AG101-$AF101-$AE101*(1+FI$3))/$AJ101,'Технический лист'!$A:$B,2,1),(FH101-0.05)))</f>
        <v>1</v>
      </c>
      <c r="FJ101" s="15">
        <f>MIN(1,MAX(VLOOKUP(($AJ101-$AI101-$AH101-$AG101-$AF101-$AE101*(1+FJ$3))/$AJ101,'Технический лист'!$A:$B,2,1),(FI101-0.05)))</f>
        <v>1</v>
      </c>
      <c r="FK101" s="15">
        <f>MIN(1,MAX(VLOOKUP(($AJ101-$AI101-$AH101-$AG101-$AF101-$AE101*(1+FK$3))/$AJ101,'Технический лист'!$A:$B,2,1),(FJ101-0.05)))</f>
        <v>1</v>
      </c>
      <c r="FL101" s="15">
        <f>MIN(1,MAX(VLOOKUP(($AJ101-$AI101-$AH101-$AG101-$AF101-$AE101*(1+FL$3))/$AJ101,'Технический лист'!$A:$B,2,1),(FK101-0.05)))</f>
        <v>1</v>
      </c>
      <c r="FM101" s="15">
        <f>MIN(1,MAX(VLOOKUP(($AJ101-$AI101-$AH101-$AG101-$AF101-$AE101*(1+FM$3))/$AJ101,'Технический лист'!$A:$B,2,1),(FL101-0.05)))</f>
        <v>1</v>
      </c>
      <c r="FN101" s="15">
        <f>MIN(1,MAX(VLOOKUP(($AJ101-$AI101-$AH101-$AG101-$AF101-$AE101*(1+FN$3))/$AJ101,'Технический лист'!$A:$B,2,1),(FM101-0.05)))</f>
        <v>1</v>
      </c>
      <c r="FO101" s="15">
        <f>MIN(1,MAX(VLOOKUP(($AJ101-$AI101-$AH101-$AG101-$AF101-$AE101*(1+FO$3))/$AJ101,'Технический лист'!$A:$B,2,1),(FN101-0.05)))</f>
        <v>1</v>
      </c>
      <c r="FP101" s="15">
        <f>MIN(1,MAX(VLOOKUP(($AJ101-$AI101-$AH101-$AG101-$AF101-$AE101*(1+FP$3))/$AJ101,'Технический лист'!$A:$B,2,1),(FO101-0.05)))</f>
        <v>1</v>
      </c>
      <c r="FQ101" s="15">
        <f>MIN(1,MAX(VLOOKUP(($AJ101-$AI101-$AH101-$AG101-$AF101-$AE101*(1+FQ$3))/$AJ101,'Технический лист'!$A:$B,2,1),(FP101-0.05)))</f>
        <v>1</v>
      </c>
      <c r="FR101" s="15">
        <f>MIN(1,MAX(VLOOKUP(($AJ101-$AI101-$AH101-$AG101-$AF101-$AE101*(1+FR$3))/$AJ101,'Технический лист'!$A:$B,2,1),(FQ101-0.05)))</f>
        <v>1</v>
      </c>
      <c r="FS101" s="15">
        <f>MIN(1,MAX(VLOOKUP(($AJ101-$AI101-$AH101-$AG101-$AF101-$AE101*(1+FS$3))/$AJ101,'Технический лист'!$A:$B,2,1),(FR101-0.05)))</f>
        <v>1</v>
      </c>
      <c r="FT101" s="15">
        <f>MIN(1,MAX(VLOOKUP(($AJ101-$AI101-$AH101-$AG101-$AF101-$AE101*(1+FT$3))/$AJ101,'Технический лист'!$A:$B,2,1),(FS101-0.05)))</f>
        <v>1</v>
      </c>
      <c r="FU101" s="15">
        <f>MIN(1,MAX(VLOOKUP(($AJ101-$AI101-$AH101-$AG101-$AF101-$AE101*(1+FU$3))/$AJ101,'Технический лист'!$A:$B,2,1),(FT101-0.05)))</f>
        <v>1</v>
      </c>
      <c r="FV101" s="15">
        <f>MIN(1,MAX(VLOOKUP(($AJ101-$AI101-$AH101-$AG101-$AF101-$AE101*(1+FV$3))/$AJ101,'Технический лист'!$A:$B,2,1),(FU101-0.05)))</f>
        <v>1</v>
      </c>
      <c r="FW101" s="15">
        <f>MIN(1,MAX(VLOOKUP(($AJ101-$AI101-$AH101-$AG101-$AF101-$AE101*(1+FW$3))/$AJ101,'Технический лист'!$A:$B,2,1),(FV101-0.05)))</f>
        <v>1</v>
      </c>
      <c r="FX101" s="15">
        <f>MIN(1,MAX(VLOOKUP(($AJ101-$AI101-$AH101-$AG101-$AF101-$AE101*(1+FX$3))/$AJ101,'Технический лист'!$A:$B,2,1),(FW101-0.05)))</f>
        <v>1</v>
      </c>
      <c r="FY101" s="15">
        <f>MIN(1,MAX(VLOOKUP(($AJ101-$AI101-$AH101-$AG101-$AF101-$AE101*(1+FY$3))/$AJ101,'Технический лист'!$A:$B,2,1),(FX101-0.05)))</f>
        <v>1</v>
      </c>
      <c r="FZ101" s="15">
        <f>MIN(1,MAX(VLOOKUP(($AJ101-$AI101-$AH101-$AG101-$AF101-$AE101*(1+FZ$3))/$AJ101,'Технический лист'!$A:$B,2,1),(FY101-0.05)))</f>
        <v>1</v>
      </c>
      <c r="GA101" s="15">
        <f>MIN(1,MAX(VLOOKUP(($AJ101-$AI101-$AH101-$AG101-$AF101-$AE101*(1+GA$3))/$AJ101,'Технический лист'!$A:$B,2,1),(FZ101-0.05)))</f>
        <v>1</v>
      </c>
      <c r="GB101" s="15">
        <f>MIN(1,MAX(VLOOKUP(($AJ101-$AI101-$AH101-$AG101-$AF101-$AE101*(1+GB$3))/$AJ101,'Технический лист'!$A:$B,2,1),(GA101-0.05)))</f>
        <v>1</v>
      </c>
      <c r="GC101" s="15">
        <f>MIN(1,MAX(VLOOKUP(($AJ101-$AI101-$AH101-$AG101-$AF101-$AE101*(1+GC$3))/$AJ101,'Технический лист'!$A:$B,2,1),(GB101-0.05)))</f>
        <v>1</v>
      </c>
      <c r="GD101" s="15">
        <f>MIN(1,MAX(VLOOKUP(($AJ101-$AI101-$AH101-$AG101-$AF101-$AE101*(1+GD$3))/$AJ101,'Технический лист'!$A:$B,2,1),(GC101-0.05)))</f>
        <v>1</v>
      </c>
      <c r="GE101" s="15">
        <f>MIN(1,MAX(VLOOKUP(($AJ101-$AI101-$AH101-$AG101-$AF101-$AE101*(1+GE$3))/$AJ101,'Технический лист'!$A:$B,2,1),(GD101-0.05)))</f>
        <v>1</v>
      </c>
      <c r="GF101" s="15">
        <f>MIN(1,MAX(VLOOKUP(($AJ101-$AI101-$AH101-$AG101-$AF101-$AE101*(1+GF$3))/$AJ101,'Технический лист'!$A:$B,2,1),(GE101-0.05)))</f>
        <v>1</v>
      </c>
      <c r="GG101" s="15">
        <f>MIN(1,MAX(VLOOKUP(($AJ101-$AI101-$AH101-$AG101-$AF101-$AE101*(1+GG$3))/$AJ101,'Технический лист'!$A:$B,2,1),(GF101-0.05)))</f>
        <v>1</v>
      </c>
      <c r="GH101" s="15">
        <f>MIN(1,MAX(VLOOKUP(($AJ101-$AI101-$AH101-$AG101-$AF101-$AE101*(1+GH$3))/$AJ101,'Технический лист'!$A:$B,2,1),(GG101-0.05)))</f>
        <v>1</v>
      </c>
      <c r="GI101" s="15">
        <f>MIN(1,MAX(VLOOKUP(($AJ101-$AI101-$AH101-$AG101-$AF101-$AE101*(1+GI$3))/$AJ101,'Технический лист'!$A:$B,2,1),(GH101-0.05)))</f>
        <v>1</v>
      </c>
      <c r="GJ101" s="15">
        <f>MIN(1,MAX(VLOOKUP(($AJ101-$AI101-$AH101-$AG101-$AF101-$AE101*(1+GJ$3))/$AJ101,'Технический лист'!$A:$B,2,1),(GI101-0.05)))</f>
        <v>1</v>
      </c>
      <c r="GK101" s="15">
        <f>MIN(1,MAX(VLOOKUP(($AJ101-$AI101-$AH101-$AG101-$AF101-$AE101*(1+GK$3))/$AJ101,'Технический лист'!$A:$B,2,1),(GJ101-0.05)))</f>
        <v>1</v>
      </c>
      <c r="GL101" s="15">
        <f>MIN(1,MAX(VLOOKUP(($AJ101-$AI101-$AH101-$AG101-$AF101-$AE101*(1+GL$3))/$AJ101,'Технический лист'!$A:$B,2,1),(GK101-0.05)))</f>
        <v>1</v>
      </c>
      <c r="GM101" s="15">
        <f>MIN(1,MAX(VLOOKUP(($AJ101-$AI101-$AH101-$AG101-$AF101-$AE101*(1+GM$3))/$AJ101,'Технический лист'!$A:$B,2,1),(GL101-0.05)))</f>
        <v>1</v>
      </c>
      <c r="GN101" s="15">
        <f>MIN(1,MAX(VLOOKUP(($AJ101-$AI101-$AH101-$AG101-$AF101-$AE101*(1+GN$3))/$AJ101,'Технический лист'!$A:$B,2,1),(GM101-0.05)))</f>
        <v>1</v>
      </c>
      <c r="GO101" s="15">
        <f>MIN(1,MAX(VLOOKUP(($AJ101-$AI101-$AH101-$AG101-$AF101-$AE101*(1+GO$3))/$AJ101,'Технический лист'!$A:$B,2,1),(GN101-0.05)))</f>
        <v>1</v>
      </c>
      <c r="GP101" s="15">
        <f>MIN(1,MAX(VLOOKUP(($AJ101-$AI101-$AH101-$AG101-$AF101-$AE101*(1+GP$3))/$AJ101,'Технический лист'!$A:$B,2,1),(GO101-0.05)))</f>
        <v>1</v>
      </c>
      <c r="GQ101" s="15">
        <f>MIN(1,MAX(VLOOKUP(($AJ101-$AI101-$AH101-$AG101-$AF101-$AE101*(1+GQ$3))/$AJ101,'Технический лист'!$A:$B,2,1),(GP101-0.05)))</f>
        <v>1</v>
      </c>
      <c r="GR101" s="15">
        <f>MIN(1,MAX(VLOOKUP(($AJ101-$AI101-$AH101-$AG101-$AF101-$AE101*(1+GR$3))/$AJ101,'Технический лист'!$A:$B,2,1),(GQ101-0.05)))</f>
        <v>1</v>
      </c>
      <c r="GS101" s="15">
        <f>MIN(1,MAX(VLOOKUP(($AJ101-$AI101-$AH101-$AG101-$AF101-$AE101*(1+GS$3))/$AJ101,'Технический лист'!$A:$B,2,1),(GR101-0.05)))</f>
        <v>1</v>
      </c>
      <c r="GT101" s="15">
        <f>MIN(1,MAX(VLOOKUP(($AJ101-$AI101-$AH101-$AG101-$AF101-$AE101*(1+GT$3))/$AJ101,'Технический лист'!$A:$B,2,1),(GS101-0.05)))</f>
        <v>1</v>
      </c>
      <c r="GU101" s="15">
        <f>MIN(1,MAX(VLOOKUP(($AJ101-$AI101-$AH101-$AG101-$AF101-$AE101*(1+GU$3))/$AJ101,'Технический лист'!$A:$B,2,1),(GT101-0.05)))</f>
        <v>1</v>
      </c>
      <c r="GV101" s="15">
        <f>MIN(1,MAX(VLOOKUP(($AJ101-$AI101-$AH101-$AG101-$AF101-$AE101*(1+GV$3))/$AJ101,'Технический лист'!$A:$B,2,1),(GU101-0.05)))</f>
        <v>1</v>
      </c>
      <c r="GW101" s="15">
        <f>MIN(1,MAX(VLOOKUP(($AJ101-$AI101-$AH101-$AG101-$AF101-$AE101*(1+GW$3))/$AJ101,'Технический лист'!$A:$B,2,1),(GV101-0.05)))</f>
        <v>1</v>
      </c>
      <c r="GX101" s="15">
        <f>MIN(1,MAX(VLOOKUP(($AJ101-$AI101-$AH101-$AG101-$AF101-$AE101*(1+GX$3))/$AJ101,'Технический лист'!$A:$B,2,1),(GW101-0.05)))</f>
        <v>1</v>
      </c>
      <c r="GY101" s="15">
        <f>MIN(1,MAX(VLOOKUP(($AJ101-$AI101-$AH101-$AG101-$AF101-$AE101*(1+GY$3))/$AJ101,'Технический лист'!$A:$B,2,1),(GX101-0.05)))</f>
        <v>1</v>
      </c>
      <c r="GZ101" s="15">
        <f>MIN(1,MAX(VLOOKUP(($AJ101-$AI101-$AH101-$AG101-$AF101-$AE101*(1+GZ$3))/$AJ101,'Технический лист'!$A:$B,2,1),(GY101-0.05)))</f>
        <v>1</v>
      </c>
      <c r="HA101" s="15">
        <f>MIN(1,MAX(VLOOKUP(($AJ101-$AI101-$AH101-$AG101-$AF101-$AE101*(1+HA$3))/$AJ101,'Технический лист'!$A:$B,2,1),(GZ101-0.05)))</f>
        <v>1</v>
      </c>
      <c r="HB101" s="15">
        <f>MIN(1,MAX(VLOOKUP(($AJ101-$AI101-$AH101-$AG101-$AF101-$AE101*(1+HB$3))/$AJ101,'Технический лист'!$A:$B,2,1),(HA101-0.05)))</f>
        <v>1</v>
      </c>
      <c r="HC101" s="15">
        <f>MIN(1,MAX(VLOOKUP(($AJ101-$AI101-$AH101-$AG101-$AF101-$AE101*(1+HC$3))/$AJ101,'Технический лист'!$A:$B,2,1),(HB101-0.05)))</f>
        <v>1</v>
      </c>
      <c r="HD101" s="15">
        <f>MIN(1,MAX(VLOOKUP(($AJ101-$AI101-$AH101-$AG101-$AF101-$AE101*(1+HD$3))/$AJ101,'Технический лист'!$A:$B,2,1),(HC101-0.05)))</f>
        <v>1</v>
      </c>
      <c r="HE101" s="15">
        <f>MIN(1,MAX(VLOOKUP(($AJ101-$AI101-$AH101-$AG101-$AF101-$AE101*(1+HE$3))/$AJ101,'Технический лист'!$A:$B,2,1),(HD101-0.05)))</f>
        <v>1</v>
      </c>
      <c r="HF101" s="15">
        <f>MIN(1,MAX(VLOOKUP(($AJ101-$AI101-$AH101-$AG101-$AF101-$AE101*(1+HF$3))/$AJ101,'Технический лист'!$A:$B,2,1),(HE101-0.05)))</f>
        <v>1</v>
      </c>
      <c r="HG101" s="15">
        <f>MIN(1,MAX(VLOOKUP(($AJ101-$AI101-$AH101-$AG101-$AF101-$AE101*(1+HG$3))/$AJ101,'Технический лист'!$A:$B,2,1),(HF101-0.05)))</f>
        <v>1</v>
      </c>
      <c r="HH101" s="15">
        <f>MIN(1,MAX(VLOOKUP(($AJ101-$AI101-$AH101-$AG101-$AF101-$AE101*(1+HH$3))/$AJ101,'Технический лист'!$A:$B,2,1),(HG101-0.05)))</f>
        <v>1</v>
      </c>
      <c r="HI101" s="15">
        <f>MIN(1,MAX(VLOOKUP(($AJ101-$AI101-$AH101-$AG101-$AF101-$AE101*(1+HI$3))/$AJ101,'Технический лист'!$A:$B,2,1),(HH101-0.05)))</f>
        <v>1</v>
      </c>
      <c r="HJ101" s="15">
        <f>MIN(1,MAX(VLOOKUP(($AJ101-$AI101-$AH101-$AG101-$AF101-$AE101*(1+HJ$3))/$AJ101,'Технический лист'!$A:$B,2,1),(HI101-0.05)))</f>
        <v>1</v>
      </c>
      <c r="HK101" s="15">
        <f>MIN(1,MAX(VLOOKUP(($AJ101-$AI101-$AH101-$AG101-$AF101-$AE101*(1+HK$3))/$AJ101,'Технический лист'!$A:$B,2,1),(HJ101-0.05)))</f>
        <v>1</v>
      </c>
      <c r="HL101" s="15">
        <f>MIN(1,MAX(VLOOKUP(($AJ101-$AI101-$AH101-$AG101-$AF101-$AE101*(1+HL$3))/$AJ101,'Технический лист'!$A:$B,2,1),(HK101-0.05)))</f>
        <v>1</v>
      </c>
      <c r="HM101" s="15">
        <f>MIN(1,MAX(VLOOKUP(($AJ101-$AI101-$AH101-$AG101-$AF101-$AE101*(1+HM$3))/$AJ101,'Технический лист'!$A:$B,2,1),(HL101-0.05)))</f>
        <v>1</v>
      </c>
      <c r="HN101" s="15">
        <f>MIN(1,MAX(VLOOKUP(($AJ101-$AI101-$AH101-$AG101-$AF101-$AE101*(1+HN$3))/$AJ101,'Технический лист'!$A:$B,2,1),(HM101-0.05)))</f>
        <v>1</v>
      </c>
      <c r="HO101" s="15">
        <f>MIN(1,MAX(VLOOKUP(($AJ101-$AI101-$AH101-$AG101-$AF101-$AE101*(1+HO$3))/$AJ101,'Технический лист'!$A:$B,2,1),(HN101-0.05)))</f>
        <v>1</v>
      </c>
      <c r="HP101" s="15">
        <f>MIN(1,MAX(VLOOKUP(($AJ101-$AI101-$AH101-$AG101-$AF101-$AE101*(1+HP$3))/$AJ101,'Технический лист'!$A:$B,2,1),(HO101-0.05)))</f>
        <v>1</v>
      </c>
      <c r="HQ101" s="15">
        <f>MIN(1,MAX(VLOOKUP(($AJ101-$AI101-$AH101-$AG101-$AF101-$AE101*(1+HQ$3))/$AJ101,'Технический лист'!$A:$B,2,1),(HP101-0.05)))</f>
        <v>1</v>
      </c>
      <c r="HR101" s="15">
        <f>MIN(1,MAX(VLOOKUP(($AJ101-$AI101-$AH101-$AG101-$AF101-$AE101*(1+HR$3))/$AJ101,'Технический лист'!$A:$B,2,1),(HQ101-0.05)))</f>
        <v>1</v>
      </c>
      <c r="HS101" s="15">
        <f>MIN(1,MAX(VLOOKUP(($AJ101-$AI101-$AH101-$AG101-$AF101-$AE101*(1+HS$3))/$AJ101,'Технический лист'!$A:$B,2,1),(HR101-0.05)))</f>
        <v>1</v>
      </c>
      <c r="HT101" s="15">
        <f>MIN(1,MAX(VLOOKUP(($AJ101-$AI101-$AH101-$AG101-$AF101-$AE101*(1+HT$3))/$AJ101,'Технический лист'!$A:$B,2,1),(HS101-0.05)))</f>
        <v>1</v>
      </c>
      <c r="HU101" s="15">
        <f>MIN(1,MAX(VLOOKUP(($AJ101-$AI101-$AH101-$AG101-$AF101-$AE101*(1+HU$3))/$AJ101,'Технический лист'!$A:$B,2,1),(HT101-0.05)))</f>
        <v>1</v>
      </c>
      <c r="HV101" s="15">
        <f>MIN(1,MAX(VLOOKUP(($AJ101-$AI101-$AH101-$AG101-$AF101-$AE101*(1+HV$3))/$AJ101,'Технический лист'!$A:$B,2,1),(HU101-0.05)))</f>
        <v>1</v>
      </c>
      <c r="HW101" s="15">
        <f>MIN(1,MAX(VLOOKUP(($AJ101-$AI101-$AH101-$AG101-$AF101-$AE101*(1+HW$3))/$AJ101,'Технический лист'!$A:$B,2,1),(HV101-0.05)))</f>
        <v>1</v>
      </c>
      <c r="HX101" s="15">
        <f>MIN(1,MAX(VLOOKUP(($AJ101-$AI101-$AH101-$AG101-$AF101-$AE101*(1+HX$3))/$AJ101,'Технический лист'!$A:$B,2,1),(HW101-0.05)))</f>
        <v>1</v>
      </c>
      <c r="HY101" s="15">
        <f>MIN(1,MAX(VLOOKUP(($AJ101-$AI101-$AH101-$AG101-$AF101-$AE101*(1+HY$3))/$AJ101,'Технический лист'!$A:$B,2,1),(HX101-0.05)))</f>
        <v>1</v>
      </c>
      <c r="HZ101" s="15">
        <f>MIN(1,MAX(VLOOKUP(($AJ101-$AI101-$AH101-$AG101-$AF101-$AE101*(1+HZ$3))/$AJ101,'Технический лист'!$A:$B,2,1),(HY101-0.05)))</f>
        <v>1</v>
      </c>
      <c r="IA101" s="15">
        <f>MIN(1,MAX(VLOOKUP(($AJ101-$AI101-$AH101-$AG101-$AF101-$AE101*(1+IA$3))/$AJ101,'Технический лист'!$A:$B,2,1),(HZ101-0.05)))</f>
        <v>1</v>
      </c>
      <c r="IB101" s="15">
        <f>MIN(1,MAX(VLOOKUP(($AJ101-$AI101-$AH101-$AG101-$AF101-$AE101*(1+IB$3))/$AJ101,'Технический лист'!$A:$B,2,1),(IA101-0.05)))</f>
        <v>1</v>
      </c>
      <c r="IC101" s="15">
        <f>MIN(1,MAX(VLOOKUP(($AJ101-$AI101-$AH101-$AG101-$AF101-$AE101*(1+IC$3))/$AJ101,'Технический лист'!$A:$B,2,1),(IB101-0.05)))</f>
        <v>1</v>
      </c>
      <c r="ID101" s="15">
        <f>MIN(1,MAX(VLOOKUP(($AJ101-$AI101-$AH101-$AG101-$AF101-$AE101*(1+ID$3))/$AJ101,'Технический лист'!$A:$B,2,1),(IC101-0.05)))</f>
        <v>1</v>
      </c>
      <c r="IE101" s="15">
        <f>MIN(1,MAX(VLOOKUP(($AJ101-$AI101-$AH101-$AG101-$AF101-$AE101*(1+IE$3))/$AJ101,'Технический лист'!$A:$B,2,1),(ID101-0.05)))</f>
        <v>1</v>
      </c>
      <c r="IF101" s="15">
        <f>MIN(1,MAX(VLOOKUP(($AJ101-$AI101-$AH101-$AG101-$AF101-$AE101*(1+IF$3))/$AJ101,'Технический лист'!$A:$B,2,1),(IE101-0.05)))</f>
        <v>1</v>
      </c>
      <c r="IG101" s="15">
        <f>MIN(1,MAX(VLOOKUP(($AJ101-$AI101-$AH101-$AG101-$AF101-$AE101*(1+IG$3))/$AJ101,'Технический лист'!$A:$B,2,1),(IF101-0.05)))</f>
        <v>1</v>
      </c>
      <c r="IH101" s="15">
        <f>MIN(1,MAX(VLOOKUP(($AJ101-$AI101-$AH101-$AG101-$AF101-$AE101*(1+IH$3))/$AJ101,'Технический лист'!$A:$B,2,1),(IG101-0.05)))</f>
        <v>1</v>
      </c>
      <c r="II101" s="15">
        <f>MIN(1,MAX(VLOOKUP(($AJ101-$AI101-$AH101-$AG101-$AF101-$AE101*(1+II$3))/$AJ101,'Технический лист'!$A:$B,2,1),(IH101-0.05)))</f>
        <v>1</v>
      </c>
      <c r="IJ101" s="15">
        <f>MIN(1,MAX(VLOOKUP(($AJ101-$AI101-$AH101-$AG101-$AF101-$AE101*(1+IJ$3))/$AJ101,'Технический лист'!$A:$B,2,1),(II101-0.05)))</f>
        <v>1</v>
      </c>
      <c r="IK101" s="15">
        <f>MIN(1,MAX(VLOOKUP(($AJ101-$AI101-$AH101-$AG101-$AF101-$AE101*(1+IK$3))/$AJ101,'Технический лист'!$A:$B,2,1),(IJ101-0.05)))</f>
        <v>1</v>
      </c>
      <c r="IL101" s="15">
        <f>MIN(1,MAX(VLOOKUP(($AJ101-$AI101-$AH101-$AG101-$AF101-$AE101*(1+IL$3))/$AJ101,'Технический лист'!$A:$B,2,1),(IK101-0.05)))</f>
        <v>1</v>
      </c>
      <c r="IM101" s="15">
        <f>MIN(1,MAX(VLOOKUP(($AJ101-$AI101-$AH101-$AG101-$AF101-$AE101*(1+IM$3))/$AJ101,'Технический лист'!$A:$B,2,1),(IL101-0.05)))</f>
        <v>1</v>
      </c>
      <c r="IN101" s="15">
        <f>MIN(1,MAX(VLOOKUP(($AJ101-$AI101-$AH101-$AG101-$AF101-$AE101*(1+IN$3))/$AJ101,'Технический лист'!$A:$B,2,1),(IM101-0.05)))</f>
        <v>1</v>
      </c>
      <c r="IO101" s="15">
        <f>MIN(1,MAX(VLOOKUP(($AJ101-$AI101-$AH101-$AG101-$AF101-$AE101*(1+IO$3))/$AJ101,'Технический лист'!$A:$B,2,1),(IN101-0.05)))</f>
        <v>1</v>
      </c>
      <c r="IP101" s="15">
        <f>MIN(1,MAX(VLOOKUP(($AJ101-$AI101-$AH101-$AG101-$AF101-$AE101*(1+IP$3))/$AJ101,'Технический лист'!$A:$B,2,1),(IO101-0.05)))</f>
        <v>1</v>
      </c>
      <c r="IQ101" s="15">
        <f>MIN(1,MAX(VLOOKUP(($AJ101-$AI101-$AH101-$AG101-$AF101-$AE101*(1+IQ$3))/$AJ101,'Технический лист'!$A:$B,2,1),(IP101-0.05)))</f>
        <v>1</v>
      </c>
      <c r="IR101" s="15">
        <f>MIN(1,MAX(VLOOKUP(($AJ101-$AI101-$AH101-$AG101-$AF101-$AE101*(1+IR$3))/$AJ101,'Технический лист'!$A:$B,2,1),(IQ101-0.05)))</f>
        <v>1</v>
      </c>
    </row>
    <row r="102" spans="1:252" ht="58.3">
      <c r="A102" s="89" t="s">
        <v>515</v>
      </c>
      <c r="B102" s="90">
        <v>5</v>
      </c>
      <c r="C102" s="5" t="s">
        <v>68</v>
      </c>
      <c r="D102" s="91">
        <v>32411</v>
      </c>
      <c r="E102" s="91" t="s">
        <v>340</v>
      </c>
      <c r="F102" s="92" t="s">
        <v>75</v>
      </c>
      <c r="G102" s="91" t="s">
        <v>31</v>
      </c>
      <c r="H102" s="91" t="s">
        <v>31</v>
      </c>
      <c r="I102" s="91" t="s">
        <v>100</v>
      </c>
      <c r="J102" s="91" t="s">
        <v>56</v>
      </c>
      <c r="K102" s="91">
        <v>324</v>
      </c>
      <c r="L102" s="85" t="s">
        <v>64</v>
      </c>
      <c r="M102" s="91" t="s">
        <v>17</v>
      </c>
      <c r="N102" s="91" t="s">
        <v>191</v>
      </c>
      <c r="O102" s="91" t="s">
        <v>192</v>
      </c>
      <c r="P102" s="89" t="s">
        <v>206</v>
      </c>
      <c r="Q102" s="91" t="s">
        <v>255</v>
      </c>
      <c r="R102" s="91" t="s">
        <v>255</v>
      </c>
      <c r="S102" s="82">
        <v>304607</v>
      </c>
      <c r="T102" s="82">
        <v>98692850</v>
      </c>
      <c r="U102" s="81">
        <v>4446</v>
      </c>
      <c r="V102" s="81">
        <v>0</v>
      </c>
      <c r="W102" s="82">
        <v>359808597</v>
      </c>
      <c r="X102" s="112">
        <v>68</v>
      </c>
      <c r="Y102" s="112" t="s">
        <v>416</v>
      </c>
      <c r="Z102" s="113">
        <v>3</v>
      </c>
      <c r="AA102" s="113">
        <v>2</v>
      </c>
      <c r="AB102" s="113">
        <v>4</v>
      </c>
      <c r="AC102" s="99">
        <v>1304.75</v>
      </c>
      <c r="AD102" s="99">
        <f t="shared" si="38"/>
        <v>121.13000000000011</v>
      </c>
      <c r="AE102" s="99">
        <v>1425.88</v>
      </c>
      <c r="AF102" s="98">
        <f>(Z102+AA102+AB102)*'Ставки аренды'!$B$3/X102</f>
        <v>92.647058823529406</v>
      </c>
      <c r="AG102" s="114">
        <v>0</v>
      </c>
      <c r="AH102" s="94">
        <v>0</v>
      </c>
      <c r="AI102" s="115">
        <f>131496272/143742760*AJ107</f>
        <v>34204.195771091639</v>
      </c>
      <c r="AJ102" s="117">
        <f>Цены!C24*'Курсы валют'!B2</f>
        <v>37389.695</v>
      </c>
      <c r="AK102" s="94">
        <f>AJ102/Цены!$B$1</f>
        <v>490</v>
      </c>
      <c r="AL102" s="95">
        <f t="shared" si="24"/>
        <v>1518.5270588235296</v>
      </c>
      <c r="AM102" s="95">
        <f t="shared" si="25"/>
        <v>35871.167941176471</v>
      </c>
      <c r="AN102" s="94">
        <f t="shared" si="39"/>
        <v>35722.722829915168</v>
      </c>
      <c r="AO102" s="118">
        <f t="shared" si="40"/>
        <v>4.4583732766069133E-2</v>
      </c>
      <c r="AP102" s="96">
        <f t="shared" si="26"/>
        <v>4.0613518211997442E-2</v>
      </c>
      <c r="AQ102" s="96">
        <f t="shared" si="27"/>
        <v>3.8135641384611459E-2</v>
      </c>
      <c r="AR102" s="96">
        <f t="shared" si="28"/>
        <v>0.93898886537108706</v>
      </c>
      <c r="AS102" s="122">
        <v>1</v>
      </c>
      <c r="AT102" s="121">
        <f t="shared" si="29"/>
        <v>304607</v>
      </c>
      <c r="AU102" s="83">
        <v>0.7</v>
      </c>
      <c r="AV102" s="119">
        <f t="shared" si="30"/>
        <v>4.0007455799915694E-2</v>
      </c>
      <c r="AW102" s="120">
        <f t="shared" si="31"/>
        <v>4.5189795178150818E-2</v>
      </c>
      <c r="AX102" s="120">
        <f t="shared" si="32"/>
        <v>4.2711918350764835E-2</v>
      </c>
      <c r="AY102" s="120">
        <f t="shared" si="33"/>
        <v>0.94516733661620955</v>
      </c>
      <c r="AZ102" s="15">
        <f>MIN(IF($AU102=100%,1,1+VLOOKUP(($AJ102-$AI102-$AH102-$AG102-$AF102-$AE102*(1+AZ$3))/$AJ102,'Технический лист'!$I:$J,2,1)-VLOOKUP($AO102,'Технический лист'!$I:$J,2,1)),1+(1-$AU102))</f>
        <v>1.0750000000000002</v>
      </c>
      <c r="BA102" s="15">
        <f>MIN(IF($AU102=100%,1,1+VLOOKUP(($AJ102-$AI102-$AH102-$AG102-$AF102-$AE102*(1+BA$3))/$AJ102,'Технический лист'!$I:$J,2,1)-VLOOKUP($AO102,'Технический лист'!$I:$J,2,1)),1+(1-$AU102))</f>
        <v>1.0750000000000002</v>
      </c>
      <c r="BB102" s="15">
        <f>MIN(IF($AU102=100%,1,1+VLOOKUP(($AJ102-$AI102-$AH102-$AG102-$AF102-$AE102*(1+BB$3))/$AJ102,'Технический лист'!$I:$J,2,1)-VLOOKUP($AO102,'Технический лист'!$I:$J,2,1)),1+(1-$AU102))</f>
        <v>1.0750000000000002</v>
      </c>
      <c r="BC102" s="15">
        <f>MIN(IF($AU102=100%,1,1+VLOOKUP(($AJ102-$AI102-$AH102-$AG102-$AF102-$AE102*(1+BC$3))/$AJ102,'Технический лист'!$I:$J,2,1)-VLOOKUP($AO102,'Технический лист'!$I:$J,2,1)),1+(1-$AU102))</f>
        <v>1.0750000000000002</v>
      </c>
      <c r="BD102" s="15">
        <f>MIN(IF($AU102=100%,1,1+VLOOKUP(($AJ102-$AI102-$AH102-$AG102-$AF102-$AE102*(1+BD$3))/$AJ102,'Технический лист'!$I:$J,2,1)-VLOOKUP($AO102,'Технический лист'!$I:$J,2,1)),1+(1-$AU102))</f>
        <v>1.0750000000000002</v>
      </c>
      <c r="BE102" s="15">
        <f>MIN(IF($AU102=100%,1,1+VLOOKUP(($AJ102-$AI102-$AH102-$AG102-$AF102-$AE102*(1+BE$3))/$AJ102,'Технический лист'!$I:$J,2,1)-VLOOKUP($AO102,'Технический лист'!$I:$J,2,1)),1+(1-$AU102))</f>
        <v>1.0750000000000002</v>
      </c>
      <c r="BF102" s="15">
        <f>MIN(IF($AU102=100%,1,1+VLOOKUP(($AJ102-$AI102-$AH102-$AG102-$AF102-$AE102*(1+BF$3))/$AJ102,'Технический лист'!$I:$J,2,1)-VLOOKUP($AO102,'Технический лист'!$I:$J,2,1)),1+(1-$AU102))</f>
        <v>1.0750000000000002</v>
      </c>
      <c r="BG102" s="15">
        <f>MIN(IF($AU102=100%,1,1+VLOOKUP(($AJ102-$AI102-$AH102-$AG102-$AF102-$AE102*(1+BG$3))/$AJ102,'Технический лист'!$I:$J,2,1)-VLOOKUP($AO102,'Технический лист'!$I:$J,2,1)),1+(1-$AU102))</f>
        <v>1.0750000000000002</v>
      </c>
      <c r="BH102" s="15">
        <f>MIN(IF($AU102=100%,1,1+VLOOKUP(($AJ102-$AI102-$AH102-$AG102-$AF102-$AE102*(1+BH$3))/$AJ102,'Технический лист'!$I:$J,2,1)-VLOOKUP($AO102,'Технический лист'!$I:$J,2,1)),1+(1-$AU102))</f>
        <v>1.0750000000000002</v>
      </c>
      <c r="BI102" s="15">
        <f>MIN(IF($AU102=100%,1,1+VLOOKUP(($AJ102-$AI102-$AH102-$AG102-$AF102-$AE102*(1+BI$3))/$AJ102,'Технический лист'!$I:$J,2,1)-VLOOKUP($AO102,'Технический лист'!$I:$J,2,1)),1+(1-$AU102))</f>
        <v>1.0750000000000002</v>
      </c>
      <c r="BJ102" s="15">
        <f>MIN(IF($AU102=100%,1,1+VLOOKUP(($AJ102-$AI102-$AH102-$AG102-$AF102-$AE102*(1+BJ$3))/$AJ102,'Технический лист'!$I:$J,2,1)-VLOOKUP($AO102,'Технический лист'!$I:$J,2,1)),1+(1-$AU102))</f>
        <v>1.0750000000000002</v>
      </c>
      <c r="BK102" s="15">
        <f>MIN(IF($AU102=100%,1,1+VLOOKUP(($AJ102-$AI102-$AH102-$AG102-$AF102-$AE102*(1+BK$3))/$AJ102,'Технический лист'!$I:$J,2,1)-VLOOKUP($AO102,'Технический лист'!$I:$J,2,1)),1+(1-$AU102))</f>
        <v>1.0750000000000002</v>
      </c>
      <c r="BL102" s="15">
        <f>MIN(IF($AU102=100%,1,1+VLOOKUP(($AJ102-$AI102-$AH102-$AG102-$AF102-$AE102*(1+BL$3))/$AJ102,'Технический лист'!$I:$J,2,1)-VLOOKUP($AO102,'Технический лист'!$I:$J,2,1)),1+(1-$AU102))</f>
        <v>1.0750000000000002</v>
      </c>
      <c r="BM102" s="15">
        <f>MIN(IF($AU102=100%,1,1+VLOOKUP(($AJ102-$AI102-$AH102-$AG102-$AF102-$AE102*(1+BM$3))/$AJ102,'Технический лист'!$I:$J,2,1)-VLOOKUP($AO102,'Технический лист'!$I:$J,2,1)),1+(1-$AU102))</f>
        <v>1.0750000000000002</v>
      </c>
      <c r="BN102" s="15">
        <f>MIN(IF($AU102=100%,1,1+VLOOKUP(($AJ102-$AI102-$AH102-$AG102-$AF102-$AE102*(1+BN$3))/$AJ102,'Технический лист'!$I:$J,2,1)-VLOOKUP($AO102,'Технический лист'!$I:$J,2,1)),1+(1-$AU102))</f>
        <v>1.0750000000000002</v>
      </c>
      <c r="BO102" s="15">
        <f>MIN(IF($AU102=100%,1,1+VLOOKUP(($AJ102-$AI102-$AH102-$AG102-$AF102-$AE102*(1+BO$3))/$AJ102,'Технический лист'!$I:$J,2,1)-VLOOKUP($AO102,'Технический лист'!$I:$J,2,1)),1+(1-$AU102))</f>
        <v>1.0750000000000002</v>
      </c>
      <c r="BP102" s="15">
        <f>MIN(IF($AU102=100%,1,1+VLOOKUP(($AJ102-$AI102-$AH102-$AG102-$AF102-$AE102*(1+BP$3))/$AJ102,'Технический лист'!$I:$J,2,1)-VLOOKUP($AO102,'Технический лист'!$I:$J,2,1)),1+(1-$AU102))</f>
        <v>1.0750000000000002</v>
      </c>
      <c r="BQ102" s="15">
        <f>MIN(IF($AU102=100%,1,1+VLOOKUP(($AJ102-$AI102-$AH102-$AG102-$AF102-$AE102*(1+BQ$3))/$AJ102,'Технический лист'!$I:$J,2,1)-VLOOKUP($AO102,'Технический лист'!$I:$J,2,1)),1+(1-$AU102))</f>
        <v>1.0750000000000002</v>
      </c>
      <c r="BR102" s="15">
        <f>MIN(IF($AU102=100%,1,1+VLOOKUP(($AJ102-$AI102-$AH102-$AG102-$AF102-$AE102*(1+BR$3))/$AJ102,'Технический лист'!$I:$J,2,1)-VLOOKUP($AO102,'Технический лист'!$I:$J,2,1)),1+(1-$AU102))</f>
        <v>1.0750000000000002</v>
      </c>
      <c r="BS102" s="15">
        <f>MIN(IF($AU102=100%,1,1+VLOOKUP(($AJ102-$AI102-$AH102-$AG102-$AF102-$AE102*(1+BS$3))/$AJ102,'Технический лист'!$I:$J,2,1)-VLOOKUP($AO102,'Технический лист'!$I:$J,2,1)),1+(1-$AU102))</f>
        <v>1.0750000000000002</v>
      </c>
      <c r="BT102" s="15">
        <f>MIN(IF($AU102=100%,1,1+VLOOKUP(($AJ102-$AI102-$AH102-$AG102-$AF102-$AE102*(1+BT$3))/$AJ102,'Технический лист'!$I:$J,2,1)-VLOOKUP($AO102,'Технический лист'!$I:$J,2,1)),1+(1-$AU102))</f>
        <v>1.06</v>
      </c>
      <c r="BU102" s="15">
        <f>MIN(IF($AU102=100%,1,1+VLOOKUP(($AJ102-$AI102-$AH102-$AG102-$AF102-$AE102*(1+BU$3))/$AJ102,'Технический лист'!$I:$J,2,1)-VLOOKUP($AO102,'Технический лист'!$I:$J,2,1)),1+(1-$AU102))</f>
        <v>1.06</v>
      </c>
      <c r="BV102" s="15">
        <f>MIN(IF($AU102=100%,1,1+VLOOKUP(($AJ102-$AI102-$AH102-$AG102-$AF102-$AE102*(1+BV$3))/$AJ102,'Технический лист'!$I:$J,2,1)-VLOOKUP($AO102,'Технический лист'!$I:$J,2,1)),1+(1-$AU102))</f>
        <v>1.06</v>
      </c>
      <c r="BW102" s="15">
        <f>MIN(IF($AU102=100%,1,1+VLOOKUP(($AJ102-$AI102-$AH102-$AG102-$AF102-$AE102*(1+BW$3))/$AJ102,'Технический лист'!$I:$J,2,1)-VLOOKUP($AO102,'Технический лист'!$I:$J,2,1)),1+(1-$AU102))</f>
        <v>1.06</v>
      </c>
      <c r="BX102" s="15">
        <f>MIN(IF($AU102=100%,1,1+VLOOKUP(($AJ102-$AI102-$AH102-$AG102-$AF102-$AE102*(1+BX$3))/$AJ102,'Технический лист'!$I:$J,2,1)-VLOOKUP($AO102,'Технический лист'!$I:$J,2,1)),1+(1-$AU102))</f>
        <v>1.06</v>
      </c>
      <c r="BY102" s="15">
        <f>MIN(IF($AU102=100%,1,1+VLOOKUP(($AJ102-$AI102-$AH102-$AG102-$AF102-$AE102*(1+BY$3))/$AJ102,'Технический лист'!$I:$J,2,1)-VLOOKUP($AO102,'Технический лист'!$I:$J,2,1)),1+(1-$AU102))</f>
        <v>1.06</v>
      </c>
      <c r="BZ102" s="15">
        <f>MIN(IF($AU102=100%,1,1+VLOOKUP(($AJ102-$AI102-$AH102-$AG102-$AF102-$AE102*(1+BZ$3))/$AJ102,'Технический лист'!$I:$J,2,1)-VLOOKUP($AO102,'Технический лист'!$I:$J,2,1)),1+(1-$AU102))</f>
        <v>1.06</v>
      </c>
      <c r="CA102" s="15">
        <f>MIN(IF($AU102=100%,1,1+VLOOKUP(($AJ102-$AI102-$AH102-$AG102-$AF102-$AE102*(1+CA$3))/$AJ102,'Технический лист'!$I:$J,2,1)-VLOOKUP($AO102,'Технический лист'!$I:$J,2,1)),1+(1-$AU102))</f>
        <v>1.06</v>
      </c>
      <c r="CB102" s="15">
        <f>MIN(IF($AU102=100%,1,1+VLOOKUP(($AJ102-$AI102-$AH102-$AG102-$AF102-$AE102*(1+CB$3))/$AJ102,'Технический лист'!$I:$J,2,1)-VLOOKUP($AO102,'Технический лист'!$I:$J,2,1)),1+(1-$AU102))</f>
        <v>1.06</v>
      </c>
      <c r="CC102" s="15">
        <f>MIN(IF($AU102=100%,1,1+VLOOKUP(($AJ102-$AI102-$AH102-$AG102-$AF102-$AE102*(1+CC$3))/$AJ102,'Технический лист'!$I:$J,2,1)-VLOOKUP($AO102,'Технический лист'!$I:$J,2,1)),1+(1-$AU102))</f>
        <v>1.06</v>
      </c>
      <c r="CD102" s="15">
        <f>MIN(IF($AU102=100%,1,1+VLOOKUP(($AJ102-$AI102-$AH102-$AG102-$AF102-$AE102*(1+CD$3))/$AJ102,'Технический лист'!$I:$J,2,1)-VLOOKUP($AO102,'Технический лист'!$I:$J,2,1)),1+(1-$AU102))</f>
        <v>1.06</v>
      </c>
      <c r="CE102" s="15">
        <f>MIN(IF($AU102=100%,1,1+VLOOKUP(($AJ102-$AI102-$AH102-$AG102-$AF102-$AE102*(1+CE$3))/$AJ102,'Технический лист'!$I:$J,2,1)-VLOOKUP($AO102,'Технический лист'!$I:$J,2,1)),1+(1-$AU102))</f>
        <v>1.06</v>
      </c>
      <c r="CF102" s="15">
        <f>MIN(IF($AU102=100%,1,1+VLOOKUP(($AJ102-$AI102-$AH102-$AG102-$AF102-$AE102*(1+CF$3))/$AJ102,'Технический лист'!$I:$J,2,1)-VLOOKUP($AO102,'Технический лист'!$I:$J,2,1)),1+(1-$AU102))</f>
        <v>1.06</v>
      </c>
      <c r="CG102" s="15">
        <f>MIN(IF($AU102=100%,1,1+VLOOKUP(($AJ102-$AI102-$AH102-$AG102-$AF102-$AE102*(1+CG$3))/$AJ102,'Технический лист'!$I:$J,2,1)-VLOOKUP($AO102,'Технический лист'!$I:$J,2,1)),1+(1-$AU102))</f>
        <v>1.06</v>
      </c>
      <c r="CH102" s="15">
        <f>MIN(IF($AU102=100%,1,1+VLOOKUP(($AJ102-$AI102-$AH102-$AG102-$AF102-$AE102*(1+CH$3))/$AJ102,'Технический лист'!$I:$J,2,1)-VLOOKUP($AO102,'Технический лист'!$I:$J,2,1)),1+(1-$AU102))</f>
        <v>1.06</v>
      </c>
      <c r="CI102" s="15">
        <f>MIN(IF($AU102=100%,1,1+VLOOKUP(($AJ102-$AI102-$AH102-$AG102-$AF102-$AE102*(1+CI$3))/$AJ102,'Технический лист'!$I:$J,2,1)-VLOOKUP($AO102,'Технический лист'!$I:$J,2,1)),1+(1-$AU102))</f>
        <v>1.06</v>
      </c>
      <c r="CJ102" s="15">
        <f>MIN(IF($AU102=100%,1,1+VLOOKUP(($AJ102-$AI102-$AH102-$AG102-$AF102-$AE102*(1+CJ$3))/$AJ102,'Технический лист'!$I:$J,2,1)-VLOOKUP($AO102,'Технический лист'!$I:$J,2,1)),1+(1-$AU102))</f>
        <v>1.06</v>
      </c>
      <c r="CK102" s="15">
        <f>MIN(IF($AU102=100%,1,1+VLOOKUP(($AJ102-$AI102-$AH102-$AG102-$AF102-$AE102*(1+CK$3))/$AJ102,'Технический лист'!$I:$J,2,1)-VLOOKUP($AO102,'Технический лист'!$I:$J,2,1)),1+(1-$AU102))</f>
        <v>1.06</v>
      </c>
      <c r="CL102" s="15">
        <f>MIN(IF($AU102=100%,1,1+VLOOKUP(($AJ102-$AI102-$AH102-$AG102-$AF102-$AE102*(1+CL$3))/$AJ102,'Технический лист'!$I:$J,2,1)-VLOOKUP($AO102,'Технический лист'!$I:$J,2,1)),1+(1-$AU102))</f>
        <v>1.06</v>
      </c>
      <c r="CM102" s="15">
        <f>MIN(IF($AU102=100%,1,1+VLOOKUP(($AJ102-$AI102-$AH102-$AG102-$AF102-$AE102*(1+CM$3))/$AJ102,'Технический лист'!$I:$J,2,1)-VLOOKUP($AO102,'Технический лист'!$I:$J,2,1)),1+(1-$AU102))</f>
        <v>1.06</v>
      </c>
      <c r="CN102" s="15">
        <f>MIN(IF($AU102=100%,1,1+VLOOKUP(($AJ102-$AI102-$AH102-$AG102-$AF102-$AE102*(1+CN$3))/$AJ102,'Технический лист'!$I:$J,2,1)-VLOOKUP($AO102,'Технический лист'!$I:$J,2,1)),1+(1-$AU102))</f>
        <v>1.06</v>
      </c>
      <c r="CO102" s="15">
        <f>MIN(IF($AU102=100%,1,1+VLOOKUP(($AJ102-$AI102-$AH102-$AG102-$AF102-$AE102*(1+CO$3))/$AJ102,'Технический лист'!$I:$J,2,1)-VLOOKUP($AO102,'Технический лист'!$I:$J,2,1)),1+(1-$AU102))</f>
        <v>1.06</v>
      </c>
      <c r="CP102" s="15">
        <f>MIN(IF($AU102=100%,1,1+VLOOKUP(($AJ102-$AI102-$AH102-$AG102-$AF102-$AE102*(1+CP$3))/$AJ102,'Технический лист'!$I:$J,2,1)-VLOOKUP($AO102,'Технический лист'!$I:$J,2,1)),1+(1-$AU102))</f>
        <v>1.06</v>
      </c>
      <c r="CQ102" s="15">
        <f>MIN(IF($AU102=100%,1,1+VLOOKUP(($AJ102-$AI102-$AH102-$AG102-$AF102-$AE102*(1+CQ$3))/$AJ102,'Технический лист'!$I:$J,2,1)-VLOOKUP($AO102,'Технический лист'!$I:$J,2,1)),1+(1-$AU102))</f>
        <v>1.06</v>
      </c>
      <c r="CR102" s="15">
        <f>MIN(IF($AU102=100%,1,1+VLOOKUP(($AJ102-$AI102-$AH102-$AG102-$AF102-$AE102*(1+CR$3))/$AJ102,'Технический лист'!$I:$J,2,1)-VLOOKUP($AO102,'Технический лист'!$I:$J,2,1)),1+(1-$AU102))</f>
        <v>1.06</v>
      </c>
      <c r="CS102" s="15">
        <f>MIN(IF($AU102=100%,1,1+VLOOKUP(($AJ102-$AI102-$AH102-$AG102-$AF102-$AE102*(1+CS$3))/$AJ102,'Технический лист'!$I:$J,2,1)-VLOOKUP($AO102,'Технический лист'!$I:$J,2,1)),1+(1-$AU102))</f>
        <v>1.06</v>
      </c>
      <c r="CT102" s="15">
        <f>MIN(IF($AU102=100%,1,1+VLOOKUP(($AJ102-$AI102-$AH102-$AG102-$AF102-$AE102*(1+CT$3))/$AJ102,'Технический лист'!$I:$J,2,1)-VLOOKUP($AO102,'Технический лист'!$I:$J,2,1)),1+(1-$AU102))</f>
        <v>1.04</v>
      </c>
      <c r="CU102" s="15">
        <f>MIN(IF($AU102=100%,1,1+VLOOKUP(($AJ102-$AI102-$AH102-$AG102-$AF102-$AE102*(1+CU$3))/$AJ102,'Технический лист'!$I:$J,2,1)-VLOOKUP($AO102,'Технический лист'!$I:$J,2,1)),1+(1-$AU102))</f>
        <v>1.04</v>
      </c>
      <c r="CV102" s="15">
        <f>MIN(IF($AU102=100%,1,1+VLOOKUP(($AJ102-$AI102-$AH102-$AG102-$AF102-$AE102*(1+CV$3))/$AJ102,'Технический лист'!$I:$J,2,1)-VLOOKUP($AO102,'Технический лист'!$I:$J,2,1)),1+(1-$AU102))</f>
        <v>1.04</v>
      </c>
      <c r="CW102" s="15">
        <f>MIN(IF($AU102=100%,1,1+VLOOKUP(($AJ102-$AI102-$AH102-$AG102-$AF102-$AE102*(1+CW$3))/$AJ102,'Технический лист'!$I:$J,2,1)-VLOOKUP($AO102,'Технический лист'!$I:$J,2,1)),1+(1-$AU102))</f>
        <v>1.04</v>
      </c>
      <c r="CX102" s="15">
        <f>MIN(IF($AU102=100%,1,1+VLOOKUP(($AJ102-$AI102-$AH102-$AG102-$AF102-$AE102*(1+CX$3))/$AJ102,'Технический лист'!$I:$J,2,1)-VLOOKUP($AO102,'Технический лист'!$I:$J,2,1)),1+(1-$AU102))</f>
        <v>1.04</v>
      </c>
      <c r="CY102" s="15">
        <f>MIN(IF($AU102=100%,1,1+VLOOKUP(($AJ102-$AI102-$AH102-$AG102-$AF102-$AE102*(1+CY$3))/$AJ102,'Технический лист'!$I:$J,2,1)-VLOOKUP($AO102,'Технический лист'!$I:$J,2,1)),1+(1-$AU102))</f>
        <v>1.04</v>
      </c>
      <c r="CZ102" s="15">
        <f>MIN(IF($AU102=100%,1,1+VLOOKUP(($AJ102-$AI102-$AH102-$AG102-$AF102-$AE102*(1+CZ$3))/$AJ102,'Технический лист'!$I:$J,2,1)-VLOOKUP($AO102,'Технический лист'!$I:$J,2,1)),1+(1-$AU102))</f>
        <v>1.04</v>
      </c>
      <c r="DA102" s="15">
        <f>MIN(IF($AU102=100%,1,1+VLOOKUP(($AJ102-$AI102-$AH102-$AG102-$AF102-$AE102*(1+DA$3))/$AJ102,'Технический лист'!$I:$J,2,1)-VLOOKUP($AO102,'Технический лист'!$I:$J,2,1)),1+(1-$AU102))</f>
        <v>1.04</v>
      </c>
      <c r="DB102" s="15">
        <f>MIN(IF($AU102=100%,1,1+VLOOKUP(($AJ102-$AI102-$AH102-$AG102-$AF102-$AE102*(1+DB$3))/$AJ102,'Технический лист'!$I:$J,2,1)-VLOOKUP($AO102,'Технический лист'!$I:$J,2,1)),1+(1-$AU102))</f>
        <v>1.04</v>
      </c>
      <c r="DC102" s="15">
        <f>MIN(IF($AU102=100%,1,1+VLOOKUP(($AJ102-$AI102-$AH102-$AG102-$AF102-$AE102*(1+DC$3))/$AJ102,'Технический лист'!$I:$J,2,1)-VLOOKUP($AO102,'Технический лист'!$I:$J,2,1)),1+(1-$AU102))</f>
        <v>1.04</v>
      </c>
      <c r="DD102" s="15">
        <f>MIN(IF($AU102=100%,1,1+VLOOKUP(($AJ102-$AI102-$AH102-$AG102-$AF102-$AE102*(1+DD$3))/$AJ102,'Технический лист'!$I:$J,2,1)-VLOOKUP($AO102,'Технический лист'!$I:$J,2,1)),1+(1-$AU102))</f>
        <v>1.04</v>
      </c>
      <c r="DE102" s="15">
        <f>MIN(IF($AU102=100%,1,1+VLOOKUP(($AJ102-$AI102-$AH102-$AG102-$AF102-$AE102*(1+DE$3))/$AJ102,'Технический лист'!$I:$J,2,1)-VLOOKUP($AO102,'Технический лист'!$I:$J,2,1)),1+(1-$AU102))</f>
        <v>1.04</v>
      </c>
      <c r="DF102" s="15">
        <f>MIN(IF($AU102=100%,1,1+VLOOKUP(($AJ102-$AI102-$AH102-$AG102-$AF102-$AE102*(1+DF$3))/$AJ102,'Технический лист'!$I:$J,2,1)-VLOOKUP($AO102,'Технический лист'!$I:$J,2,1)),1+(1-$AU102))</f>
        <v>1.04</v>
      </c>
      <c r="DG102" s="15">
        <f>MIN(IF($AU102=100%,1,1+VLOOKUP(($AJ102-$AI102-$AH102-$AG102-$AF102-$AE102*(1+DG$3))/$AJ102,'Технический лист'!$I:$J,2,1)-VLOOKUP($AO102,'Технический лист'!$I:$J,2,1)),1+(1-$AU102))</f>
        <v>1.04</v>
      </c>
      <c r="DH102" s="15">
        <f>MIN(IF($AU102=100%,1,1+VLOOKUP(($AJ102-$AI102-$AH102-$AG102-$AF102-$AE102*(1+DH$3))/$AJ102,'Технический лист'!$I:$J,2,1)-VLOOKUP($AO102,'Технический лист'!$I:$J,2,1)),1+(1-$AU102))</f>
        <v>1.04</v>
      </c>
      <c r="DI102" s="15">
        <f>MIN(IF($AU102=100%,1,1+VLOOKUP(($AJ102-$AI102-$AH102-$AG102-$AF102-$AE102*(1+DI$3))/$AJ102,'Технический лист'!$I:$J,2,1)-VLOOKUP($AO102,'Технический лист'!$I:$J,2,1)),1+(1-$AU102))</f>
        <v>1.04</v>
      </c>
      <c r="DJ102" s="15">
        <f>MIN(IF($AU102=100%,1,1+VLOOKUP(($AJ102-$AI102-$AH102-$AG102-$AF102-$AE102*(1+DJ$3))/$AJ102,'Технический лист'!$I:$J,2,1)-VLOOKUP($AO102,'Технический лист'!$I:$J,2,1)),1+(1-$AU102))</f>
        <v>1.04</v>
      </c>
      <c r="DK102" s="15">
        <f>MIN(IF($AU102=100%,1,1+VLOOKUP(($AJ102-$AI102-$AH102-$AG102-$AF102-$AE102*(1+DK$3))/$AJ102,'Технический лист'!$I:$J,2,1)-VLOOKUP($AO102,'Технический лист'!$I:$J,2,1)),1+(1-$AU102))</f>
        <v>1.04</v>
      </c>
      <c r="DL102" s="15">
        <f>MIN(IF($AU102=100%,1,1+VLOOKUP(($AJ102-$AI102-$AH102-$AG102-$AF102-$AE102*(1+DL$3))/$AJ102,'Технический лист'!$I:$J,2,1)-VLOOKUP($AO102,'Технический лист'!$I:$J,2,1)),1+(1-$AU102))</f>
        <v>1.04</v>
      </c>
      <c r="DM102" s="15">
        <f>MIN(IF($AU102=100%,1,1+VLOOKUP(($AJ102-$AI102-$AH102-$AG102-$AF102-$AE102*(1+DM$3))/$AJ102,'Технический лист'!$I:$J,2,1)-VLOOKUP($AO102,'Технический лист'!$I:$J,2,1)),1+(1-$AU102))</f>
        <v>1.04</v>
      </c>
      <c r="DN102" s="15">
        <f>MIN(IF($AU102=100%,1,1+VLOOKUP(($AJ102-$AI102-$AH102-$AG102-$AF102-$AE102*(1+DN$3))/$AJ102,'Технический лист'!$I:$J,2,1)-VLOOKUP($AO102,'Технический лист'!$I:$J,2,1)),1+(1-$AU102))</f>
        <v>1.04</v>
      </c>
      <c r="DO102" s="15">
        <f>MIN(IF($AU102=100%,1,1+VLOOKUP(($AJ102-$AI102-$AH102-$AG102-$AF102-$AE102*(1+DO$3))/$AJ102,'Технический лист'!$I:$J,2,1)-VLOOKUP($AO102,'Технический лист'!$I:$J,2,1)),1+(1-$AU102))</f>
        <v>1.04</v>
      </c>
      <c r="DP102" s="15">
        <f>MIN(IF($AU102=100%,1,1+VLOOKUP(($AJ102-$AI102-$AH102-$AG102-$AF102-$AE102*(1+DP$3))/$AJ102,'Технический лист'!$I:$J,2,1)-VLOOKUP($AO102,'Технический лист'!$I:$J,2,1)),1+(1-$AU102))</f>
        <v>1.04</v>
      </c>
      <c r="DQ102" s="15">
        <f>MIN(IF($AU102=100%,1,1+VLOOKUP(($AJ102-$AI102-$AH102-$AG102-$AF102-$AE102*(1+DQ$3))/$AJ102,'Технический лист'!$I:$J,2,1)-VLOOKUP($AO102,'Технический лист'!$I:$J,2,1)),1+(1-$AU102))</f>
        <v>1.04</v>
      </c>
      <c r="DR102" s="15">
        <f>MIN(IF($AU102=100%,1,1+VLOOKUP(($AJ102-$AI102-$AH102-$AG102-$AF102-$AE102*(1+DR$3))/$AJ102,'Технический лист'!$I:$J,2,1)-VLOOKUP($AO102,'Технический лист'!$I:$J,2,1)),1+(1-$AU102))</f>
        <v>1.04</v>
      </c>
      <c r="DS102" s="15">
        <f>MIN(IF($AU102=100%,1,1+VLOOKUP(($AJ102-$AI102-$AH102-$AG102-$AF102-$AE102*(1+DS$3))/$AJ102,'Технический лист'!$I:$J,2,1)-VLOOKUP($AO102,'Технический лист'!$I:$J,2,1)),1+(1-$AU102))</f>
        <v>1.04</v>
      </c>
      <c r="DT102" s="15">
        <f>MIN(IF($AU102=100%,1,1+VLOOKUP(($AJ102-$AI102-$AH102-$AG102-$AF102-$AE102*(1+DT$3))/$AJ102,'Технический лист'!$I:$J,2,1)-VLOOKUP($AO102,'Технический лист'!$I:$J,2,1)),1+(1-$AU102))</f>
        <v>1.02</v>
      </c>
      <c r="DU102" s="15">
        <f>MIN(IF($AU102=100%,1,1+VLOOKUP(($AJ102-$AI102-$AH102-$AG102-$AF102-$AE102*(1+DU$3))/$AJ102,'Технический лист'!$I:$J,2,1)-VLOOKUP($AO102,'Технический лист'!$I:$J,2,1)),1+(1-$AU102))</f>
        <v>1.02</v>
      </c>
      <c r="DV102" s="15">
        <f>MIN(IF($AU102=100%,1,1+VLOOKUP(($AJ102-$AI102-$AH102-$AG102-$AF102-$AE102*(1+DV$3))/$AJ102,'Технический лист'!$I:$J,2,1)-VLOOKUP($AO102,'Технический лист'!$I:$J,2,1)),1+(1-$AU102))</f>
        <v>1.02</v>
      </c>
      <c r="DW102" s="15">
        <f>MIN(IF($AU102=100%,1,1+VLOOKUP(($AJ102-$AI102-$AH102-$AG102-$AF102-$AE102*(1+DW$3))/$AJ102,'Технический лист'!$I:$J,2,1)-VLOOKUP($AO102,'Технический лист'!$I:$J,2,1)),1+(1-$AU102))</f>
        <v>1.02</v>
      </c>
      <c r="DX102" s="15">
        <f>MIN(IF($AU102=100%,1,1+VLOOKUP(($AJ102-$AI102-$AH102-$AG102-$AF102-$AE102*(1+DX$3))/$AJ102,'Технический лист'!$I:$J,2,1)-VLOOKUP($AO102,'Технический лист'!$I:$J,2,1)),1+(1-$AU102))</f>
        <v>1.02</v>
      </c>
      <c r="DY102" s="15">
        <f>MIN(IF($AU102=100%,1,1+VLOOKUP(($AJ102-$AI102-$AH102-$AG102-$AF102-$AE102*(1+DY$3))/$AJ102,'Технический лист'!$I:$J,2,1)-VLOOKUP($AO102,'Технический лист'!$I:$J,2,1)),1+(1-$AU102))</f>
        <v>1.02</v>
      </c>
      <c r="DZ102" s="15">
        <f>MIN(IF($AU102=100%,1,1+VLOOKUP(($AJ102-$AI102-$AH102-$AG102-$AF102-$AE102*(1+DZ$3))/$AJ102,'Технический лист'!$I:$J,2,1)-VLOOKUP($AO102,'Технический лист'!$I:$J,2,1)),1+(1-$AU102))</f>
        <v>1.02</v>
      </c>
      <c r="EA102" s="15">
        <f>MIN(IF($AU102=100%,1,1+VLOOKUP(($AJ102-$AI102-$AH102-$AG102-$AF102-$AE102*(1+EA$3))/$AJ102,'Технический лист'!$I:$J,2,1)-VLOOKUP($AO102,'Технический лист'!$I:$J,2,1)),1+(1-$AU102))</f>
        <v>1.02</v>
      </c>
      <c r="EB102" s="15">
        <f>MIN(IF($AU102=100%,1,1+VLOOKUP(($AJ102-$AI102-$AH102-$AG102-$AF102-$AE102*(1+EB$3))/$AJ102,'Технический лист'!$I:$J,2,1)-VLOOKUP($AO102,'Технический лист'!$I:$J,2,1)),1+(1-$AU102))</f>
        <v>1.02</v>
      </c>
      <c r="EC102" s="15">
        <f>MIN(IF($AU102=100%,1,1+VLOOKUP(($AJ102-$AI102-$AH102-$AG102-$AF102-$AE102*(1+EC$3))/$AJ102,'Технический лист'!$I:$J,2,1)-VLOOKUP($AO102,'Технический лист'!$I:$J,2,1)),1+(1-$AU102))</f>
        <v>1.02</v>
      </c>
      <c r="ED102" s="15">
        <f>MIN(IF($AU102=100%,1,1+VLOOKUP(($AJ102-$AI102-$AH102-$AG102-$AF102-$AE102*(1+ED$3))/$AJ102,'Технический лист'!$I:$J,2,1)-VLOOKUP($AO102,'Технический лист'!$I:$J,2,1)),1+(1-$AU102))</f>
        <v>1.02</v>
      </c>
      <c r="EE102" s="15">
        <f>MIN(IF($AU102=100%,1,1+VLOOKUP(($AJ102-$AI102-$AH102-$AG102-$AF102-$AE102*(1+EE$3))/$AJ102,'Технический лист'!$I:$J,2,1)-VLOOKUP($AO102,'Технический лист'!$I:$J,2,1)),1+(1-$AU102))</f>
        <v>1.02</v>
      </c>
      <c r="EF102" s="15">
        <f>MIN(IF($AU102=100%,1,1+VLOOKUP(($AJ102-$AI102-$AH102-$AG102-$AF102-$AE102*(1+EF$3))/$AJ102,'Технический лист'!$I:$J,2,1)-VLOOKUP($AO102,'Технический лист'!$I:$J,2,1)),1+(1-$AU102))</f>
        <v>1.02</v>
      </c>
      <c r="EG102" s="15">
        <f>MIN(IF($AU102=100%,1,1+VLOOKUP(($AJ102-$AI102-$AH102-$AG102-$AF102-$AE102*(1+EG$3))/$AJ102,'Технический лист'!$I:$J,2,1)-VLOOKUP($AO102,'Технический лист'!$I:$J,2,1)),1+(1-$AU102))</f>
        <v>1.02</v>
      </c>
      <c r="EH102" s="15">
        <f>MIN(IF($AU102=100%,1,1+VLOOKUP(($AJ102-$AI102-$AH102-$AG102-$AF102-$AE102*(1+EH$3))/$AJ102,'Технический лист'!$I:$J,2,1)-VLOOKUP($AO102,'Технический лист'!$I:$J,2,1)),1+(1-$AU102))</f>
        <v>1.02</v>
      </c>
      <c r="EI102" s="15">
        <f>MIN(IF($AU102=100%,1,1+VLOOKUP(($AJ102-$AI102-$AH102-$AG102-$AF102-$AE102*(1+EI$3))/$AJ102,'Технический лист'!$I:$J,2,1)-VLOOKUP($AO102,'Технический лист'!$I:$J,2,1)),1+(1-$AU102))</f>
        <v>1.02</v>
      </c>
      <c r="EJ102" s="15">
        <f>MIN(IF($AU102=100%,1,1+VLOOKUP(($AJ102-$AI102-$AH102-$AG102-$AF102-$AE102*(1+EJ$3))/$AJ102,'Технический лист'!$I:$J,2,1)-VLOOKUP($AO102,'Технический лист'!$I:$J,2,1)),1+(1-$AU102))</f>
        <v>1.02</v>
      </c>
      <c r="EK102" s="15">
        <f>MIN(IF($AU102=100%,1,1+VLOOKUP(($AJ102-$AI102-$AH102-$AG102-$AF102-$AE102*(1+EK$3))/$AJ102,'Технический лист'!$I:$J,2,1)-VLOOKUP($AO102,'Технический лист'!$I:$J,2,1)),1+(1-$AU102))</f>
        <v>1.02</v>
      </c>
      <c r="EL102" s="15">
        <f>MIN(IF($AU102=100%,1,1+VLOOKUP(($AJ102-$AI102-$AH102-$AG102-$AF102-$AE102*(1+EL$3))/$AJ102,'Технический лист'!$I:$J,2,1)-VLOOKUP($AO102,'Технический лист'!$I:$J,2,1)),1+(1-$AU102))</f>
        <v>1.02</v>
      </c>
      <c r="EM102" s="15">
        <f>MIN(IF($AU102=100%,1,1+VLOOKUP(($AJ102-$AI102-$AH102-$AG102-$AF102-$AE102*(1+EM$3))/$AJ102,'Технический лист'!$I:$J,2,1)-VLOOKUP($AO102,'Технический лист'!$I:$J,2,1)),1+(1-$AU102))</f>
        <v>1.02</v>
      </c>
      <c r="EN102" s="15">
        <f>MIN(IF($AU102=100%,1,1+VLOOKUP(($AJ102-$AI102-$AH102-$AG102-$AF102-$AE102*(1+EN$3))/$AJ102,'Технический лист'!$I:$J,2,1)-VLOOKUP($AO102,'Технический лист'!$I:$J,2,1)),1+(1-$AU102))</f>
        <v>1.02</v>
      </c>
      <c r="EO102" s="15">
        <f>MIN(IF($AU102=100%,1,1+VLOOKUP(($AJ102-$AI102-$AH102-$AG102-$AF102-$AE102*(1+EO$3))/$AJ102,'Технический лист'!$I:$J,2,1)-VLOOKUP($AO102,'Технический лист'!$I:$J,2,1)),1+(1-$AU102))</f>
        <v>1.02</v>
      </c>
      <c r="EP102" s="15">
        <f>MIN(IF($AU102=100%,1,1+VLOOKUP(($AJ102-$AI102-$AH102-$AG102-$AF102-$AE102*(1+EP$3))/$AJ102,'Технический лист'!$I:$J,2,1)-VLOOKUP($AO102,'Технический лист'!$I:$J,2,1)),1+(1-$AU102))</f>
        <v>1.02</v>
      </c>
      <c r="EQ102" s="15">
        <f>MIN(IF($AU102=100%,1,1+VLOOKUP(($AJ102-$AI102-$AH102-$AG102-$AF102-$AE102*(1+EQ$3))/$AJ102,'Технический лист'!$I:$J,2,1)-VLOOKUP($AO102,'Технический лист'!$I:$J,2,1)),1+(1-$AU102))</f>
        <v>1.02</v>
      </c>
      <c r="ER102" s="15">
        <f>MIN(IF($AU102=100%,1,1+VLOOKUP(($AJ102-$AI102-$AH102-$AG102-$AF102-$AE102*(1+ER$3))/$AJ102,'Технический лист'!$I:$J,2,1)-VLOOKUP($AO102,'Технический лист'!$I:$J,2,1)),1+(1-$AU102))</f>
        <v>1.02</v>
      </c>
      <c r="ES102" s="15">
        <f>MIN(IF($AU102=100%,1,1+VLOOKUP(($AJ102-$AI102-$AH102-$AG102-$AF102-$AE102*(1+ES$3))/$AJ102,'Технический лист'!$I:$J,2,1)-VLOOKUP($AO102,'Технический лист'!$I:$J,2,1)),1+(1-$AU102))</f>
        <v>1.02</v>
      </c>
      <c r="ET102" s="15">
        <f>MIN(IF($AU102=100%,1,1+VLOOKUP(($AJ102-$AI102-$AH102-$AG102-$AF102-$AE102*(1+ET$3))/$AJ102,'Технический лист'!$I:$J,2,1)-VLOOKUP($AO102,'Технический лист'!$I:$J,2,1)),1+(1-$AU102))</f>
        <v>1</v>
      </c>
      <c r="EU102" s="15">
        <f>MIN(IF($AU102=100%,1,1+VLOOKUP(($AJ102-$AI102-$AH102-$AG102-$AF102-$AE102*(1+EU$3))/$AJ102,'Технический лист'!$I:$J,2,1)-VLOOKUP($AO102,'Технический лист'!$I:$J,2,1)),1+(1-$AU102))</f>
        <v>1</v>
      </c>
      <c r="EV102" s="111">
        <v>1</v>
      </c>
      <c r="EW102" s="15">
        <f>MIN(1,MAX(VLOOKUP(($AJ102-$AI102-$AH102-$AG102-$AF102-$AE102*(1+EW$3))/$AJ102,'Технический лист'!$A:$B,2,1),(EV102-0.05)))</f>
        <v>1</v>
      </c>
      <c r="EX102" s="15">
        <f>MIN(1,MAX(VLOOKUP(($AJ102-$AI102-$AH102-$AG102-$AF102-$AE102*(1+EX$3))/$AJ102,'Технический лист'!$A:$B,2,1),(EW102-0.05)))</f>
        <v>1</v>
      </c>
      <c r="EY102" s="15">
        <f>MIN(1,MAX(VLOOKUP(($AJ102-$AI102-$AH102-$AG102-$AF102-$AE102*(1+EY$3))/$AJ102,'Технический лист'!$A:$B,2,1),(EX102-0.05)))</f>
        <v>1</v>
      </c>
      <c r="EZ102" s="15">
        <f>MIN(1,MAX(VLOOKUP(($AJ102-$AI102-$AH102-$AG102-$AF102-$AE102*(1+EZ$3))/$AJ102,'Технический лист'!$A:$B,2,1),(EY102-0.05)))</f>
        <v>1</v>
      </c>
      <c r="FA102" s="15">
        <f>MIN(1,MAX(VLOOKUP(($AJ102-$AI102-$AH102-$AG102-$AF102-$AE102*(1+FA$3))/$AJ102,'Технический лист'!$A:$B,2,1),(EZ102-0.05)))</f>
        <v>1</v>
      </c>
      <c r="FB102" s="15">
        <f>MIN(1,MAX(VLOOKUP(($AJ102-$AI102-$AH102-$AG102-$AF102-$AE102*(1+FB$3))/$AJ102,'Технический лист'!$A:$B,2,1),(FA102-0.05)))</f>
        <v>1</v>
      </c>
      <c r="FC102" s="15">
        <f>MIN(1,MAX(VLOOKUP(($AJ102-$AI102-$AH102-$AG102-$AF102-$AE102*(1+FC$3))/$AJ102,'Технический лист'!$A:$B,2,1),(FB102-0.05)))</f>
        <v>1</v>
      </c>
      <c r="FD102" s="15">
        <f>MIN(1,MAX(VLOOKUP(($AJ102-$AI102-$AH102-$AG102-$AF102-$AE102*(1+FD$3))/$AJ102,'Технический лист'!$A:$B,2,1),(FC102-0.05)))</f>
        <v>1</v>
      </c>
      <c r="FE102" s="15">
        <f>MIN(1,MAX(VLOOKUP(($AJ102-$AI102-$AH102-$AG102-$AF102-$AE102*(1+FE$3))/$AJ102,'Технический лист'!$A:$B,2,1),(FD102-0.05)))</f>
        <v>1</v>
      </c>
      <c r="FF102" s="15">
        <f>MIN(1,MAX(VLOOKUP(($AJ102-$AI102-$AH102-$AG102-$AF102-$AE102*(1+FF$3))/$AJ102,'Технический лист'!$A:$B,2,1),(FE102-0.05)))</f>
        <v>1</v>
      </c>
      <c r="FG102" s="15">
        <f>MIN(1,MAX(VLOOKUP(($AJ102-$AI102-$AH102-$AG102-$AF102-$AE102*(1+FG$3))/$AJ102,'Технический лист'!$A:$B,2,1),(FF102-0.05)))</f>
        <v>1</v>
      </c>
      <c r="FH102" s="15">
        <f>MIN(1,MAX(VLOOKUP(($AJ102-$AI102-$AH102-$AG102-$AF102-$AE102*(1+FH$3))/$AJ102,'Технический лист'!$A:$B,2,1),(FG102-0.05)))</f>
        <v>1</v>
      </c>
      <c r="FI102" s="15">
        <f>MIN(1,MAX(VLOOKUP(($AJ102-$AI102-$AH102-$AG102-$AF102-$AE102*(1+FI$3))/$AJ102,'Технический лист'!$A:$B,2,1),(FH102-0.05)))</f>
        <v>1</v>
      </c>
      <c r="FJ102" s="15">
        <f>MIN(1,MAX(VLOOKUP(($AJ102-$AI102-$AH102-$AG102-$AF102-$AE102*(1+FJ$3))/$AJ102,'Технический лист'!$A:$B,2,1),(FI102-0.05)))</f>
        <v>1</v>
      </c>
      <c r="FK102" s="15">
        <f>MIN(1,MAX(VLOOKUP(($AJ102-$AI102-$AH102-$AG102-$AF102-$AE102*(1+FK$3))/$AJ102,'Технический лист'!$A:$B,2,1),(FJ102-0.05)))</f>
        <v>1</v>
      </c>
      <c r="FL102" s="15">
        <f>MIN(1,MAX(VLOOKUP(($AJ102-$AI102-$AH102-$AG102-$AF102-$AE102*(1+FL$3))/$AJ102,'Технический лист'!$A:$B,2,1),(FK102-0.05)))</f>
        <v>1</v>
      </c>
      <c r="FM102" s="15">
        <f>MIN(1,MAX(VLOOKUP(($AJ102-$AI102-$AH102-$AG102-$AF102-$AE102*(1+FM$3))/$AJ102,'Технический лист'!$A:$B,2,1),(FL102-0.05)))</f>
        <v>1</v>
      </c>
      <c r="FN102" s="15">
        <f>MIN(1,MAX(VLOOKUP(($AJ102-$AI102-$AH102-$AG102-$AF102-$AE102*(1+FN$3))/$AJ102,'Технический лист'!$A:$B,2,1),(FM102-0.05)))</f>
        <v>1</v>
      </c>
      <c r="FO102" s="15">
        <f>MIN(1,MAX(VLOOKUP(($AJ102-$AI102-$AH102-$AG102-$AF102-$AE102*(1+FO$3))/$AJ102,'Технический лист'!$A:$B,2,1),(FN102-0.05)))</f>
        <v>1</v>
      </c>
      <c r="FP102" s="15">
        <f>MIN(1,MAX(VLOOKUP(($AJ102-$AI102-$AH102-$AG102-$AF102-$AE102*(1+FP$3))/$AJ102,'Технический лист'!$A:$B,2,1),(FO102-0.05)))</f>
        <v>1</v>
      </c>
      <c r="FQ102" s="15">
        <f>MIN(1,MAX(VLOOKUP(($AJ102-$AI102-$AH102-$AG102-$AF102-$AE102*(1+FQ$3))/$AJ102,'Технический лист'!$A:$B,2,1),(FP102-0.05)))</f>
        <v>1</v>
      </c>
      <c r="FR102" s="15">
        <f>MIN(1,MAX(VLOOKUP(($AJ102-$AI102-$AH102-$AG102-$AF102-$AE102*(1+FR$3))/$AJ102,'Технический лист'!$A:$B,2,1),(FQ102-0.05)))</f>
        <v>1</v>
      </c>
      <c r="FS102" s="15">
        <f>MIN(1,MAX(VLOOKUP(($AJ102-$AI102-$AH102-$AG102-$AF102-$AE102*(1+FS$3))/$AJ102,'Технический лист'!$A:$B,2,1),(FR102-0.05)))</f>
        <v>1</v>
      </c>
      <c r="FT102" s="15">
        <f>MIN(1,MAX(VLOOKUP(($AJ102-$AI102-$AH102-$AG102-$AF102-$AE102*(1+FT$3))/$AJ102,'Технический лист'!$A:$B,2,1),(FS102-0.05)))</f>
        <v>1</v>
      </c>
      <c r="FU102" s="15">
        <f>MIN(1,MAX(VLOOKUP(($AJ102-$AI102-$AH102-$AG102-$AF102-$AE102*(1+FU$3))/$AJ102,'Технический лист'!$A:$B,2,1),(FT102-0.05)))</f>
        <v>1</v>
      </c>
      <c r="FV102" s="15">
        <f>MIN(1,MAX(VLOOKUP(($AJ102-$AI102-$AH102-$AG102-$AF102-$AE102*(1+FV$3))/$AJ102,'Технический лист'!$A:$B,2,1),(FU102-0.05)))</f>
        <v>1</v>
      </c>
      <c r="FW102" s="15">
        <f>MIN(1,MAX(VLOOKUP(($AJ102-$AI102-$AH102-$AG102-$AF102-$AE102*(1+FW$3))/$AJ102,'Технический лист'!$A:$B,2,1),(FV102-0.05)))</f>
        <v>1</v>
      </c>
      <c r="FX102" s="15">
        <f>MIN(1,MAX(VLOOKUP(($AJ102-$AI102-$AH102-$AG102-$AF102-$AE102*(1+FX$3))/$AJ102,'Технический лист'!$A:$B,2,1),(FW102-0.05)))</f>
        <v>1</v>
      </c>
      <c r="FY102" s="15">
        <f>MIN(1,MAX(VLOOKUP(($AJ102-$AI102-$AH102-$AG102-$AF102-$AE102*(1+FY$3))/$AJ102,'Технический лист'!$A:$B,2,1),(FX102-0.05)))</f>
        <v>1</v>
      </c>
      <c r="FZ102" s="15">
        <f>MIN(1,MAX(VLOOKUP(($AJ102-$AI102-$AH102-$AG102-$AF102-$AE102*(1+FZ$3))/$AJ102,'Технический лист'!$A:$B,2,1),(FY102-0.05)))</f>
        <v>1</v>
      </c>
      <c r="GA102" s="15">
        <f>MIN(1,MAX(VLOOKUP(($AJ102-$AI102-$AH102-$AG102-$AF102-$AE102*(1+GA$3))/$AJ102,'Технический лист'!$A:$B,2,1),(FZ102-0.05)))</f>
        <v>1</v>
      </c>
      <c r="GB102" s="15">
        <f>MIN(1,MAX(VLOOKUP(($AJ102-$AI102-$AH102-$AG102-$AF102-$AE102*(1+GB$3))/$AJ102,'Технический лист'!$A:$B,2,1),(GA102-0.05)))</f>
        <v>1</v>
      </c>
      <c r="GC102" s="15">
        <f>MIN(1,MAX(VLOOKUP(($AJ102-$AI102-$AH102-$AG102-$AF102-$AE102*(1+GC$3))/$AJ102,'Технический лист'!$A:$B,2,1),(GB102-0.05)))</f>
        <v>1</v>
      </c>
      <c r="GD102" s="15">
        <f>MIN(1,MAX(VLOOKUP(($AJ102-$AI102-$AH102-$AG102-$AF102-$AE102*(1+GD$3))/$AJ102,'Технический лист'!$A:$B,2,1),(GC102-0.05)))</f>
        <v>1</v>
      </c>
      <c r="GE102" s="15">
        <f>MIN(1,MAX(VLOOKUP(($AJ102-$AI102-$AH102-$AG102-$AF102-$AE102*(1+GE$3))/$AJ102,'Технический лист'!$A:$B,2,1),(GD102-0.05)))</f>
        <v>1</v>
      </c>
      <c r="GF102" s="15">
        <f>MIN(1,MAX(VLOOKUP(($AJ102-$AI102-$AH102-$AG102-$AF102-$AE102*(1+GF$3))/$AJ102,'Технический лист'!$A:$B,2,1),(GE102-0.05)))</f>
        <v>1</v>
      </c>
      <c r="GG102" s="15">
        <f>MIN(1,MAX(VLOOKUP(($AJ102-$AI102-$AH102-$AG102-$AF102-$AE102*(1+GG$3))/$AJ102,'Технический лист'!$A:$B,2,1),(GF102-0.05)))</f>
        <v>1</v>
      </c>
      <c r="GH102" s="15">
        <f>MIN(1,MAX(VLOOKUP(($AJ102-$AI102-$AH102-$AG102-$AF102-$AE102*(1+GH$3))/$AJ102,'Технический лист'!$A:$B,2,1),(GG102-0.05)))</f>
        <v>1</v>
      </c>
      <c r="GI102" s="15">
        <f>MIN(1,MAX(VLOOKUP(($AJ102-$AI102-$AH102-$AG102-$AF102-$AE102*(1+GI$3))/$AJ102,'Технический лист'!$A:$B,2,1),(GH102-0.05)))</f>
        <v>1</v>
      </c>
      <c r="GJ102" s="15">
        <f>MIN(1,MAX(VLOOKUP(($AJ102-$AI102-$AH102-$AG102-$AF102-$AE102*(1+GJ$3))/$AJ102,'Технический лист'!$A:$B,2,1),(GI102-0.05)))</f>
        <v>1</v>
      </c>
      <c r="GK102" s="15">
        <f>MIN(1,MAX(VLOOKUP(($AJ102-$AI102-$AH102-$AG102-$AF102-$AE102*(1+GK$3))/$AJ102,'Технический лист'!$A:$B,2,1),(GJ102-0.05)))</f>
        <v>1</v>
      </c>
      <c r="GL102" s="15">
        <f>MIN(1,MAX(VLOOKUP(($AJ102-$AI102-$AH102-$AG102-$AF102-$AE102*(1+GL$3))/$AJ102,'Технический лист'!$A:$B,2,1),(GK102-0.05)))</f>
        <v>1</v>
      </c>
      <c r="GM102" s="15">
        <f>MIN(1,MAX(VLOOKUP(($AJ102-$AI102-$AH102-$AG102-$AF102-$AE102*(1+GM$3))/$AJ102,'Технический лист'!$A:$B,2,1),(GL102-0.05)))</f>
        <v>1</v>
      </c>
      <c r="GN102" s="15">
        <f>MIN(1,MAX(VLOOKUP(($AJ102-$AI102-$AH102-$AG102-$AF102-$AE102*(1+GN$3))/$AJ102,'Технический лист'!$A:$B,2,1),(GM102-0.05)))</f>
        <v>1</v>
      </c>
      <c r="GO102" s="15">
        <f>MIN(1,MAX(VLOOKUP(($AJ102-$AI102-$AH102-$AG102-$AF102-$AE102*(1+GO$3))/$AJ102,'Технический лист'!$A:$B,2,1),(GN102-0.05)))</f>
        <v>1</v>
      </c>
      <c r="GP102" s="15">
        <f>MIN(1,MAX(VLOOKUP(($AJ102-$AI102-$AH102-$AG102-$AF102-$AE102*(1+GP$3))/$AJ102,'Технический лист'!$A:$B,2,1),(GO102-0.05)))</f>
        <v>1</v>
      </c>
      <c r="GQ102" s="15">
        <f>MIN(1,MAX(VLOOKUP(($AJ102-$AI102-$AH102-$AG102-$AF102-$AE102*(1+GQ$3))/$AJ102,'Технический лист'!$A:$B,2,1),(GP102-0.05)))</f>
        <v>1</v>
      </c>
      <c r="GR102" s="15">
        <f>MIN(1,MAX(VLOOKUP(($AJ102-$AI102-$AH102-$AG102-$AF102-$AE102*(1+GR$3))/$AJ102,'Технический лист'!$A:$B,2,1),(GQ102-0.05)))</f>
        <v>1</v>
      </c>
      <c r="GS102" s="15">
        <f>MIN(1,MAX(VLOOKUP(($AJ102-$AI102-$AH102-$AG102-$AF102-$AE102*(1+GS$3))/$AJ102,'Технический лист'!$A:$B,2,1),(GR102-0.05)))</f>
        <v>1</v>
      </c>
      <c r="GT102" s="15">
        <f>MIN(1,MAX(VLOOKUP(($AJ102-$AI102-$AH102-$AG102-$AF102-$AE102*(1+GT$3))/$AJ102,'Технический лист'!$A:$B,2,1),(GS102-0.05)))</f>
        <v>1</v>
      </c>
      <c r="GU102" s="15">
        <f>MIN(1,MAX(VLOOKUP(($AJ102-$AI102-$AH102-$AG102-$AF102-$AE102*(1+GU$3))/$AJ102,'Технический лист'!$A:$B,2,1),(GT102-0.05)))</f>
        <v>1</v>
      </c>
      <c r="GV102" s="15">
        <f>MIN(1,MAX(VLOOKUP(($AJ102-$AI102-$AH102-$AG102-$AF102-$AE102*(1+GV$3))/$AJ102,'Технический лист'!$A:$B,2,1),(GU102-0.05)))</f>
        <v>1</v>
      </c>
      <c r="GW102" s="15">
        <f>MIN(1,MAX(VLOOKUP(($AJ102-$AI102-$AH102-$AG102-$AF102-$AE102*(1+GW$3))/$AJ102,'Технический лист'!$A:$B,2,1),(GV102-0.05)))</f>
        <v>1</v>
      </c>
      <c r="GX102" s="15">
        <f>MIN(1,MAX(VLOOKUP(($AJ102-$AI102-$AH102-$AG102-$AF102-$AE102*(1+GX$3))/$AJ102,'Технический лист'!$A:$B,2,1),(GW102-0.05)))</f>
        <v>1</v>
      </c>
      <c r="GY102" s="15">
        <f>MIN(1,MAX(VLOOKUP(($AJ102-$AI102-$AH102-$AG102-$AF102-$AE102*(1+GY$3))/$AJ102,'Технический лист'!$A:$B,2,1),(GX102-0.05)))</f>
        <v>1</v>
      </c>
      <c r="GZ102" s="15">
        <f>MIN(1,MAX(VLOOKUP(($AJ102-$AI102-$AH102-$AG102-$AF102-$AE102*(1+GZ$3))/$AJ102,'Технический лист'!$A:$B,2,1),(GY102-0.05)))</f>
        <v>1</v>
      </c>
      <c r="HA102" s="15">
        <f>MIN(1,MAX(VLOOKUP(($AJ102-$AI102-$AH102-$AG102-$AF102-$AE102*(1+HA$3))/$AJ102,'Технический лист'!$A:$B,2,1),(GZ102-0.05)))</f>
        <v>1</v>
      </c>
      <c r="HB102" s="15">
        <f>MIN(1,MAX(VLOOKUP(($AJ102-$AI102-$AH102-$AG102-$AF102-$AE102*(1+HB$3))/$AJ102,'Технический лист'!$A:$B,2,1),(HA102-0.05)))</f>
        <v>1</v>
      </c>
      <c r="HC102" s="15">
        <f>MIN(1,MAX(VLOOKUP(($AJ102-$AI102-$AH102-$AG102-$AF102-$AE102*(1+HC$3))/$AJ102,'Технический лист'!$A:$B,2,1),(HB102-0.05)))</f>
        <v>1</v>
      </c>
      <c r="HD102" s="15">
        <f>MIN(1,MAX(VLOOKUP(($AJ102-$AI102-$AH102-$AG102-$AF102-$AE102*(1+HD$3))/$AJ102,'Технический лист'!$A:$B,2,1),(HC102-0.05)))</f>
        <v>1</v>
      </c>
      <c r="HE102" s="15">
        <f>MIN(1,MAX(VLOOKUP(($AJ102-$AI102-$AH102-$AG102-$AF102-$AE102*(1+HE$3))/$AJ102,'Технический лист'!$A:$B,2,1),(HD102-0.05)))</f>
        <v>1</v>
      </c>
      <c r="HF102" s="15">
        <f>MIN(1,MAX(VLOOKUP(($AJ102-$AI102-$AH102-$AG102-$AF102-$AE102*(1+HF$3))/$AJ102,'Технический лист'!$A:$B,2,1),(HE102-0.05)))</f>
        <v>1</v>
      </c>
      <c r="HG102" s="15">
        <f>MIN(1,MAX(VLOOKUP(($AJ102-$AI102-$AH102-$AG102-$AF102-$AE102*(1+HG$3))/$AJ102,'Технический лист'!$A:$B,2,1),(HF102-0.05)))</f>
        <v>1</v>
      </c>
      <c r="HH102" s="15">
        <f>MIN(1,MAX(VLOOKUP(($AJ102-$AI102-$AH102-$AG102-$AF102-$AE102*(1+HH$3))/$AJ102,'Технический лист'!$A:$B,2,1),(HG102-0.05)))</f>
        <v>1</v>
      </c>
      <c r="HI102" s="15">
        <f>MIN(1,MAX(VLOOKUP(($AJ102-$AI102-$AH102-$AG102-$AF102-$AE102*(1+HI$3))/$AJ102,'Технический лист'!$A:$B,2,1),(HH102-0.05)))</f>
        <v>1</v>
      </c>
      <c r="HJ102" s="15">
        <f>MIN(1,MAX(VLOOKUP(($AJ102-$AI102-$AH102-$AG102-$AF102-$AE102*(1+HJ$3))/$AJ102,'Технический лист'!$A:$B,2,1),(HI102-0.05)))</f>
        <v>1</v>
      </c>
      <c r="HK102" s="15">
        <f>MIN(1,MAX(VLOOKUP(($AJ102-$AI102-$AH102-$AG102-$AF102-$AE102*(1+HK$3))/$AJ102,'Технический лист'!$A:$B,2,1),(HJ102-0.05)))</f>
        <v>1</v>
      </c>
      <c r="HL102" s="15">
        <f>MIN(1,MAX(VLOOKUP(($AJ102-$AI102-$AH102-$AG102-$AF102-$AE102*(1+HL$3))/$AJ102,'Технический лист'!$A:$B,2,1),(HK102-0.05)))</f>
        <v>1</v>
      </c>
      <c r="HM102" s="15">
        <f>MIN(1,MAX(VLOOKUP(($AJ102-$AI102-$AH102-$AG102-$AF102-$AE102*(1+HM$3))/$AJ102,'Технический лист'!$A:$B,2,1),(HL102-0.05)))</f>
        <v>1</v>
      </c>
      <c r="HN102" s="15">
        <f>MIN(1,MAX(VLOOKUP(($AJ102-$AI102-$AH102-$AG102-$AF102-$AE102*(1+HN$3))/$AJ102,'Технический лист'!$A:$B,2,1),(HM102-0.05)))</f>
        <v>1</v>
      </c>
      <c r="HO102" s="15">
        <f>MIN(1,MAX(VLOOKUP(($AJ102-$AI102-$AH102-$AG102-$AF102-$AE102*(1+HO$3))/$AJ102,'Технический лист'!$A:$B,2,1),(HN102-0.05)))</f>
        <v>1</v>
      </c>
      <c r="HP102" s="15">
        <f>MIN(1,MAX(VLOOKUP(($AJ102-$AI102-$AH102-$AG102-$AF102-$AE102*(1+HP$3))/$AJ102,'Технический лист'!$A:$B,2,1),(HO102-0.05)))</f>
        <v>1</v>
      </c>
      <c r="HQ102" s="15">
        <f>MIN(1,MAX(VLOOKUP(($AJ102-$AI102-$AH102-$AG102-$AF102-$AE102*(1+HQ$3))/$AJ102,'Технический лист'!$A:$B,2,1),(HP102-0.05)))</f>
        <v>1</v>
      </c>
      <c r="HR102" s="15">
        <f>MIN(1,MAX(VLOOKUP(($AJ102-$AI102-$AH102-$AG102-$AF102-$AE102*(1+HR$3))/$AJ102,'Технический лист'!$A:$B,2,1),(HQ102-0.05)))</f>
        <v>1</v>
      </c>
      <c r="HS102" s="15">
        <f>MIN(1,MAX(VLOOKUP(($AJ102-$AI102-$AH102-$AG102-$AF102-$AE102*(1+HS$3))/$AJ102,'Технический лист'!$A:$B,2,1),(HR102-0.05)))</f>
        <v>1</v>
      </c>
      <c r="HT102" s="15">
        <f>MIN(1,MAX(VLOOKUP(($AJ102-$AI102-$AH102-$AG102-$AF102-$AE102*(1+HT$3))/$AJ102,'Технический лист'!$A:$B,2,1),(HS102-0.05)))</f>
        <v>1</v>
      </c>
      <c r="HU102" s="15">
        <f>MIN(1,MAX(VLOOKUP(($AJ102-$AI102-$AH102-$AG102-$AF102-$AE102*(1+HU$3))/$AJ102,'Технический лист'!$A:$B,2,1),(HT102-0.05)))</f>
        <v>1</v>
      </c>
      <c r="HV102" s="15">
        <f>MIN(1,MAX(VLOOKUP(($AJ102-$AI102-$AH102-$AG102-$AF102-$AE102*(1+HV$3))/$AJ102,'Технический лист'!$A:$B,2,1),(HU102-0.05)))</f>
        <v>1</v>
      </c>
      <c r="HW102" s="15">
        <f>MIN(1,MAX(VLOOKUP(($AJ102-$AI102-$AH102-$AG102-$AF102-$AE102*(1+HW$3))/$AJ102,'Технический лист'!$A:$B,2,1),(HV102-0.05)))</f>
        <v>1</v>
      </c>
      <c r="HX102" s="15">
        <f>MIN(1,MAX(VLOOKUP(($AJ102-$AI102-$AH102-$AG102-$AF102-$AE102*(1+HX$3))/$AJ102,'Технический лист'!$A:$B,2,1),(HW102-0.05)))</f>
        <v>1</v>
      </c>
      <c r="HY102" s="15">
        <f>MIN(1,MAX(VLOOKUP(($AJ102-$AI102-$AH102-$AG102-$AF102-$AE102*(1+HY$3))/$AJ102,'Технический лист'!$A:$B,2,1),(HX102-0.05)))</f>
        <v>1</v>
      </c>
      <c r="HZ102" s="15">
        <f>MIN(1,MAX(VLOOKUP(($AJ102-$AI102-$AH102-$AG102-$AF102-$AE102*(1+HZ$3))/$AJ102,'Технический лист'!$A:$B,2,1),(HY102-0.05)))</f>
        <v>1</v>
      </c>
      <c r="IA102" s="15">
        <f>MIN(1,MAX(VLOOKUP(($AJ102-$AI102-$AH102-$AG102-$AF102-$AE102*(1+IA$3))/$AJ102,'Технический лист'!$A:$B,2,1),(HZ102-0.05)))</f>
        <v>1</v>
      </c>
      <c r="IB102" s="15">
        <f>MIN(1,MAX(VLOOKUP(($AJ102-$AI102-$AH102-$AG102-$AF102-$AE102*(1+IB$3))/$AJ102,'Технический лист'!$A:$B,2,1),(IA102-0.05)))</f>
        <v>1</v>
      </c>
      <c r="IC102" s="15">
        <f>MIN(1,MAX(VLOOKUP(($AJ102-$AI102-$AH102-$AG102-$AF102-$AE102*(1+IC$3))/$AJ102,'Технический лист'!$A:$B,2,1),(IB102-0.05)))</f>
        <v>1</v>
      </c>
      <c r="ID102" s="15">
        <f>MIN(1,MAX(VLOOKUP(($AJ102-$AI102-$AH102-$AG102-$AF102-$AE102*(1+ID$3))/$AJ102,'Технический лист'!$A:$B,2,1),(IC102-0.05)))</f>
        <v>1</v>
      </c>
      <c r="IE102" s="15">
        <f>MIN(1,MAX(VLOOKUP(($AJ102-$AI102-$AH102-$AG102-$AF102-$AE102*(1+IE$3))/$AJ102,'Технический лист'!$A:$B,2,1),(ID102-0.05)))</f>
        <v>1</v>
      </c>
      <c r="IF102" s="15">
        <f>MIN(1,MAX(VLOOKUP(($AJ102-$AI102-$AH102-$AG102-$AF102-$AE102*(1+IF$3))/$AJ102,'Технический лист'!$A:$B,2,1),(IE102-0.05)))</f>
        <v>1</v>
      </c>
      <c r="IG102" s="15">
        <f>MIN(1,MAX(VLOOKUP(($AJ102-$AI102-$AH102-$AG102-$AF102-$AE102*(1+IG$3))/$AJ102,'Технический лист'!$A:$B,2,1),(IF102-0.05)))</f>
        <v>1</v>
      </c>
      <c r="IH102" s="15">
        <f>MIN(1,MAX(VLOOKUP(($AJ102-$AI102-$AH102-$AG102-$AF102-$AE102*(1+IH$3))/$AJ102,'Технический лист'!$A:$B,2,1),(IG102-0.05)))</f>
        <v>1</v>
      </c>
      <c r="II102" s="15">
        <f>MIN(1,MAX(VLOOKUP(($AJ102-$AI102-$AH102-$AG102-$AF102-$AE102*(1+II$3))/$AJ102,'Технический лист'!$A:$B,2,1),(IH102-0.05)))</f>
        <v>1</v>
      </c>
      <c r="IJ102" s="15">
        <f>MIN(1,MAX(VLOOKUP(($AJ102-$AI102-$AH102-$AG102-$AF102-$AE102*(1+IJ$3))/$AJ102,'Технический лист'!$A:$B,2,1),(II102-0.05)))</f>
        <v>1</v>
      </c>
      <c r="IK102" s="15">
        <f>MIN(1,MAX(VLOOKUP(($AJ102-$AI102-$AH102-$AG102-$AF102-$AE102*(1+IK$3))/$AJ102,'Технический лист'!$A:$B,2,1),(IJ102-0.05)))</f>
        <v>1</v>
      </c>
      <c r="IL102" s="15">
        <f>MIN(1,MAX(VLOOKUP(($AJ102-$AI102-$AH102-$AG102-$AF102-$AE102*(1+IL$3))/$AJ102,'Технический лист'!$A:$B,2,1),(IK102-0.05)))</f>
        <v>1</v>
      </c>
      <c r="IM102" s="15">
        <f>MIN(1,MAX(VLOOKUP(($AJ102-$AI102-$AH102-$AG102-$AF102-$AE102*(1+IM$3))/$AJ102,'Технический лист'!$A:$B,2,1),(IL102-0.05)))</f>
        <v>1</v>
      </c>
      <c r="IN102" s="15">
        <f>MIN(1,MAX(VLOOKUP(($AJ102-$AI102-$AH102-$AG102-$AF102-$AE102*(1+IN$3))/$AJ102,'Технический лист'!$A:$B,2,1),(IM102-0.05)))</f>
        <v>1</v>
      </c>
      <c r="IO102" s="15">
        <f>MIN(1,MAX(VLOOKUP(($AJ102-$AI102-$AH102-$AG102-$AF102-$AE102*(1+IO$3))/$AJ102,'Технический лист'!$A:$B,2,1),(IN102-0.05)))</f>
        <v>1</v>
      </c>
      <c r="IP102" s="15">
        <f>MIN(1,MAX(VLOOKUP(($AJ102-$AI102-$AH102-$AG102-$AF102-$AE102*(1+IP$3))/$AJ102,'Технический лист'!$A:$B,2,1),(IO102-0.05)))</f>
        <v>1</v>
      </c>
      <c r="IQ102" s="15">
        <f>MIN(1,MAX(VLOOKUP(($AJ102-$AI102-$AH102-$AG102-$AF102-$AE102*(1+IQ$3))/$AJ102,'Технический лист'!$A:$B,2,1),(IP102-0.05)))</f>
        <v>1</v>
      </c>
      <c r="IR102" s="15">
        <f>MIN(1,MAX(VLOOKUP(($AJ102-$AI102-$AH102-$AG102-$AF102-$AE102*(1+IR$3))/$AJ102,'Технический лист'!$A:$B,2,1),(IQ102-0.05)))</f>
        <v>1</v>
      </c>
    </row>
    <row r="103" spans="1:252" ht="29.15">
      <c r="A103" s="89" t="s">
        <v>515</v>
      </c>
      <c r="B103" s="90">
        <v>5</v>
      </c>
      <c r="C103" s="5" t="s">
        <v>68</v>
      </c>
      <c r="D103" s="91">
        <v>31402</v>
      </c>
      <c r="E103" s="91" t="s">
        <v>350</v>
      </c>
      <c r="F103" s="92" t="s">
        <v>77</v>
      </c>
      <c r="G103" s="91" t="s">
        <v>31</v>
      </c>
      <c r="H103" s="91" t="s">
        <v>49</v>
      </c>
      <c r="I103" s="91" t="s">
        <v>100</v>
      </c>
      <c r="J103" s="91" t="s">
        <v>134</v>
      </c>
      <c r="K103" s="91">
        <v>549</v>
      </c>
      <c r="L103" s="85" t="s">
        <v>64</v>
      </c>
      <c r="M103" s="91" t="s">
        <v>190</v>
      </c>
      <c r="N103" s="91" t="s">
        <v>191</v>
      </c>
      <c r="O103" s="91" t="s">
        <v>192</v>
      </c>
      <c r="P103" s="89" t="s">
        <v>205</v>
      </c>
      <c r="Q103" s="91" t="s">
        <v>308</v>
      </c>
      <c r="R103" s="91" t="s">
        <v>255</v>
      </c>
      <c r="S103" s="82">
        <v>300841</v>
      </c>
      <c r="T103" s="82">
        <v>165037576</v>
      </c>
      <c r="U103" s="81">
        <v>4502</v>
      </c>
      <c r="V103" s="81">
        <v>0</v>
      </c>
      <c r="W103" s="82">
        <v>402774109</v>
      </c>
      <c r="X103" s="112">
        <v>67</v>
      </c>
      <c r="Y103" s="112" t="s">
        <v>418</v>
      </c>
      <c r="Z103" s="113">
        <v>3</v>
      </c>
      <c r="AA103" s="113">
        <v>3</v>
      </c>
      <c r="AB103" s="113">
        <v>4</v>
      </c>
      <c r="AC103" s="99">
        <v>1289.06</v>
      </c>
      <c r="AD103" s="99">
        <f t="shared" si="38"/>
        <v>221.60000000000014</v>
      </c>
      <c r="AE103" s="99">
        <v>1510.66</v>
      </c>
      <c r="AF103" s="98">
        <f>(Z103+AA103+AB103)*'Ставки аренды'!$B$3/X103</f>
        <v>104.4776119402985</v>
      </c>
      <c r="AG103" s="114">
        <v>0</v>
      </c>
      <c r="AH103" s="94">
        <v>0</v>
      </c>
      <c r="AI103" s="116">
        <f>131496272/143742760*AJ103</f>
        <v>56717.770439359869</v>
      </c>
      <c r="AJ103" s="117">
        <f>Цены!$D$11</f>
        <v>62000</v>
      </c>
      <c r="AK103" s="94">
        <f>AJ103/Цены!$B$1</f>
        <v>812.52334366461139</v>
      </c>
      <c r="AL103" s="95">
        <f t="shared" si="24"/>
        <v>1615.1376119402985</v>
      </c>
      <c r="AM103" s="95">
        <f t="shared" si="25"/>
        <v>60384.862388059701</v>
      </c>
      <c r="AN103" s="94">
        <f t="shared" si="39"/>
        <v>58332.908051300168</v>
      </c>
      <c r="AO103" s="118">
        <f t="shared" si="40"/>
        <v>5.9146644333868258E-2</v>
      </c>
      <c r="AP103" s="96">
        <f t="shared" si="26"/>
        <v>2.6050606644198362E-2</v>
      </c>
      <c r="AQ103" s="96">
        <f t="shared" si="27"/>
        <v>2.4365483870967743E-2</v>
      </c>
      <c r="AR103" s="96">
        <f t="shared" si="28"/>
        <v>0.93531349207155956</v>
      </c>
      <c r="AS103" s="122">
        <v>1</v>
      </c>
      <c r="AT103" s="121">
        <f t="shared" si="29"/>
        <v>300841</v>
      </c>
      <c r="AU103" s="7" t="s">
        <v>475</v>
      </c>
      <c r="AV103" s="119">
        <f t="shared" si="30"/>
        <v>5.6222786269352169E-2</v>
      </c>
      <c r="AW103" s="120">
        <f t="shared" si="31"/>
        <v>2.8974464708714495E-2</v>
      </c>
      <c r="AX103" s="120">
        <f t="shared" si="32"/>
        <v>2.7289341935483876E-2</v>
      </c>
      <c r="AY103" s="120">
        <f t="shared" si="33"/>
        <v>0.94184110767286089</v>
      </c>
      <c r="AZ103" s="15">
        <v>1</v>
      </c>
      <c r="BA103" s="15">
        <v>1</v>
      </c>
      <c r="BB103" s="15">
        <v>1</v>
      </c>
      <c r="BC103" s="15">
        <v>1</v>
      </c>
      <c r="BD103" s="15">
        <v>1</v>
      </c>
      <c r="BE103" s="15">
        <v>1</v>
      </c>
      <c r="BF103" s="15">
        <v>1</v>
      </c>
      <c r="BG103" s="15">
        <v>1</v>
      </c>
      <c r="BH103" s="15">
        <v>1</v>
      </c>
      <c r="BI103" s="15">
        <v>1</v>
      </c>
      <c r="BJ103" s="15">
        <v>1</v>
      </c>
      <c r="BK103" s="15">
        <v>1</v>
      </c>
      <c r="BL103" s="15">
        <v>1</v>
      </c>
      <c r="BM103" s="15">
        <v>1</v>
      </c>
      <c r="BN103" s="15">
        <v>1</v>
      </c>
      <c r="BO103" s="15">
        <v>1</v>
      </c>
      <c r="BP103" s="15">
        <v>1</v>
      </c>
      <c r="BQ103" s="15">
        <v>1</v>
      </c>
      <c r="BR103" s="15">
        <v>1</v>
      </c>
      <c r="BS103" s="15">
        <v>1</v>
      </c>
      <c r="BT103" s="15">
        <v>1</v>
      </c>
      <c r="BU103" s="15">
        <v>1</v>
      </c>
      <c r="BV103" s="15">
        <v>1</v>
      </c>
      <c r="BW103" s="15">
        <v>1</v>
      </c>
      <c r="BX103" s="15">
        <v>1</v>
      </c>
      <c r="BY103" s="15">
        <v>1</v>
      </c>
      <c r="BZ103" s="15">
        <v>1</v>
      </c>
      <c r="CA103" s="15">
        <v>1</v>
      </c>
      <c r="CB103" s="15">
        <v>1</v>
      </c>
      <c r="CC103" s="15">
        <v>1</v>
      </c>
      <c r="CD103" s="15">
        <v>1</v>
      </c>
      <c r="CE103" s="15">
        <v>1</v>
      </c>
      <c r="CF103" s="15">
        <v>1</v>
      </c>
      <c r="CG103" s="15">
        <v>1</v>
      </c>
      <c r="CH103" s="15">
        <v>1</v>
      </c>
      <c r="CI103" s="15">
        <v>1</v>
      </c>
      <c r="CJ103" s="15">
        <v>1</v>
      </c>
      <c r="CK103" s="15">
        <v>1</v>
      </c>
      <c r="CL103" s="15">
        <v>1</v>
      </c>
      <c r="CM103" s="15">
        <v>1</v>
      </c>
      <c r="CN103" s="15">
        <v>1</v>
      </c>
      <c r="CO103" s="15">
        <v>1</v>
      </c>
      <c r="CP103" s="15">
        <v>1</v>
      </c>
      <c r="CQ103" s="15">
        <v>1</v>
      </c>
      <c r="CR103" s="15">
        <v>1</v>
      </c>
      <c r="CS103" s="15">
        <v>1</v>
      </c>
      <c r="CT103" s="15">
        <v>1</v>
      </c>
      <c r="CU103" s="15">
        <v>1</v>
      </c>
      <c r="CV103" s="15">
        <v>1</v>
      </c>
      <c r="CW103" s="15">
        <v>1</v>
      </c>
      <c r="CX103" s="15">
        <v>1</v>
      </c>
      <c r="CY103" s="15">
        <v>1</v>
      </c>
      <c r="CZ103" s="15">
        <v>1</v>
      </c>
      <c r="DA103" s="15">
        <v>1</v>
      </c>
      <c r="DB103" s="15">
        <v>1</v>
      </c>
      <c r="DC103" s="15">
        <v>1</v>
      </c>
      <c r="DD103" s="15">
        <v>1</v>
      </c>
      <c r="DE103" s="15">
        <v>1</v>
      </c>
      <c r="DF103" s="15">
        <v>1</v>
      </c>
      <c r="DG103" s="15">
        <v>1</v>
      </c>
      <c r="DH103" s="15">
        <v>1</v>
      </c>
      <c r="DI103" s="15">
        <v>1</v>
      </c>
      <c r="DJ103" s="15">
        <v>1</v>
      </c>
      <c r="DK103" s="15">
        <v>1</v>
      </c>
      <c r="DL103" s="15">
        <v>1</v>
      </c>
      <c r="DM103" s="15">
        <v>1</v>
      </c>
      <c r="DN103" s="15">
        <v>1</v>
      </c>
      <c r="DO103" s="15">
        <v>1</v>
      </c>
      <c r="DP103" s="15">
        <v>1</v>
      </c>
      <c r="DQ103" s="15">
        <v>1</v>
      </c>
      <c r="DR103" s="15">
        <v>1</v>
      </c>
      <c r="DS103" s="15">
        <v>1</v>
      </c>
      <c r="DT103" s="15">
        <v>1</v>
      </c>
      <c r="DU103" s="15">
        <v>1</v>
      </c>
      <c r="DV103" s="15">
        <v>1</v>
      </c>
      <c r="DW103" s="15">
        <v>1</v>
      </c>
      <c r="DX103" s="15">
        <v>1</v>
      </c>
      <c r="DY103" s="15">
        <v>1</v>
      </c>
      <c r="DZ103" s="15">
        <v>1</v>
      </c>
      <c r="EA103" s="15">
        <v>1</v>
      </c>
      <c r="EB103" s="15">
        <v>1</v>
      </c>
      <c r="EC103" s="15">
        <v>1</v>
      </c>
      <c r="ED103" s="15">
        <v>1</v>
      </c>
      <c r="EE103" s="15">
        <v>1</v>
      </c>
      <c r="EF103" s="15">
        <v>1</v>
      </c>
      <c r="EG103" s="15">
        <v>1</v>
      </c>
      <c r="EH103" s="15">
        <v>1</v>
      </c>
      <c r="EI103" s="15">
        <v>1</v>
      </c>
      <c r="EJ103" s="15">
        <v>1</v>
      </c>
      <c r="EK103" s="15">
        <v>1</v>
      </c>
      <c r="EL103" s="15">
        <v>1</v>
      </c>
      <c r="EM103" s="15">
        <v>1</v>
      </c>
      <c r="EN103" s="15">
        <v>1</v>
      </c>
      <c r="EO103" s="15">
        <v>1</v>
      </c>
      <c r="EP103" s="15">
        <v>1</v>
      </c>
      <c r="EQ103" s="15">
        <v>1</v>
      </c>
      <c r="ER103" s="15">
        <v>1</v>
      </c>
      <c r="ES103" s="15">
        <v>1</v>
      </c>
      <c r="ET103" s="15">
        <v>1</v>
      </c>
      <c r="EU103" s="15">
        <v>1</v>
      </c>
      <c r="EV103" s="111">
        <v>1</v>
      </c>
      <c r="EW103" s="15">
        <v>1</v>
      </c>
      <c r="EX103" s="15">
        <v>1</v>
      </c>
      <c r="EY103" s="15">
        <v>1</v>
      </c>
      <c r="EZ103" s="15">
        <v>1</v>
      </c>
      <c r="FA103" s="15">
        <v>1</v>
      </c>
      <c r="FB103" s="15">
        <v>1</v>
      </c>
      <c r="FC103" s="15">
        <v>1</v>
      </c>
      <c r="FD103" s="15">
        <v>1</v>
      </c>
      <c r="FE103" s="15">
        <v>1</v>
      </c>
      <c r="FF103" s="15">
        <v>1</v>
      </c>
      <c r="FG103" s="15">
        <v>1</v>
      </c>
      <c r="FH103" s="15">
        <v>1</v>
      </c>
      <c r="FI103" s="15">
        <v>1</v>
      </c>
      <c r="FJ103" s="15">
        <v>1</v>
      </c>
      <c r="FK103" s="15">
        <v>1</v>
      </c>
      <c r="FL103" s="15">
        <v>1</v>
      </c>
      <c r="FM103" s="15">
        <v>1</v>
      </c>
      <c r="FN103" s="15">
        <v>1</v>
      </c>
      <c r="FO103" s="15">
        <v>1</v>
      </c>
      <c r="FP103" s="15">
        <v>1</v>
      </c>
      <c r="FQ103" s="15">
        <v>1</v>
      </c>
      <c r="FR103" s="15">
        <v>1</v>
      </c>
      <c r="FS103" s="15">
        <v>1</v>
      </c>
      <c r="FT103" s="15">
        <v>1</v>
      </c>
      <c r="FU103" s="15">
        <v>1</v>
      </c>
      <c r="FV103" s="15">
        <v>1</v>
      </c>
      <c r="FW103" s="15">
        <v>1</v>
      </c>
      <c r="FX103" s="15">
        <v>1</v>
      </c>
      <c r="FY103" s="15">
        <v>1</v>
      </c>
      <c r="FZ103" s="15">
        <v>1</v>
      </c>
      <c r="GA103" s="15">
        <v>1</v>
      </c>
      <c r="GB103" s="15">
        <v>1</v>
      </c>
      <c r="GC103" s="15">
        <v>1</v>
      </c>
      <c r="GD103" s="15">
        <v>1</v>
      </c>
      <c r="GE103" s="15">
        <v>1</v>
      </c>
      <c r="GF103" s="15">
        <v>1</v>
      </c>
      <c r="GG103" s="15">
        <v>1</v>
      </c>
      <c r="GH103" s="15">
        <v>1</v>
      </c>
      <c r="GI103" s="15">
        <v>1</v>
      </c>
      <c r="GJ103" s="15">
        <v>1</v>
      </c>
      <c r="GK103" s="15">
        <v>1</v>
      </c>
      <c r="GL103" s="15">
        <v>1</v>
      </c>
      <c r="GM103" s="15">
        <v>1</v>
      </c>
      <c r="GN103" s="15">
        <v>1</v>
      </c>
      <c r="GO103" s="15">
        <v>1</v>
      </c>
      <c r="GP103" s="15">
        <v>1</v>
      </c>
      <c r="GQ103" s="15">
        <v>1</v>
      </c>
      <c r="GR103" s="15">
        <v>1</v>
      </c>
      <c r="GS103" s="15">
        <v>1</v>
      </c>
      <c r="GT103" s="15">
        <v>1</v>
      </c>
      <c r="GU103" s="15">
        <v>1</v>
      </c>
      <c r="GV103" s="15">
        <v>1</v>
      </c>
      <c r="GW103" s="15">
        <v>1</v>
      </c>
      <c r="GX103" s="15">
        <v>1</v>
      </c>
      <c r="GY103" s="15">
        <v>1</v>
      </c>
      <c r="GZ103" s="15">
        <v>1</v>
      </c>
      <c r="HA103" s="15">
        <v>1</v>
      </c>
      <c r="HB103" s="15">
        <v>1</v>
      </c>
      <c r="HC103" s="15">
        <v>1</v>
      </c>
      <c r="HD103" s="15">
        <v>1</v>
      </c>
      <c r="HE103" s="15">
        <v>1</v>
      </c>
      <c r="HF103" s="15">
        <v>1</v>
      </c>
      <c r="HG103" s="15">
        <v>1</v>
      </c>
      <c r="HH103" s="15">
        <v>1</v>
      </c>
      <c r="HI103" s="15">
        <v>1</v>
      </c>
      <c r="HJ103" s="15">
        <v>1</v>
      </c>
      <c r="HK103" s="15">
        <v>1</v>
      </c>
      <c r="HL103" s="15">
        <v>1</v>
      </c>
      <c r="HM103" s="15">
        <v>1</v>
      </c>
      <c r="HN103" s="15">
        <v>1</v>
      </c>
      <c r="HO103" s="15">
        <v>1</v>
      </c>
      <c r="HP103" s="15">
        <v>1</v>
      </c>
      <c r="HQ103" s="15">
        <v>1</v>
      </c>
      <c r="HR103" s="15">
        <v>1</v>
      </c>
      <c r="HS103" s="15">
        <v>1</v>
      </c>
      <c r="HT103" s="15">
        <v>1</v>
      </c>
      <c r="HU103" s="15">
        <v>1</v>
      </c>
      <c r="HV103" s="15">
        <v>1</v>
      </c>
      <c r="HW103" s="15">
        <v>1</v>
      </c>
      <c r="HX103" s="15">
        <v>1</v>
      </c>
      <c r="HY103" s="15">
        <v>1</v>
      </c>
      <c r="HZ103" s="15">
        <v>1</v>
      </c>
      <c r="IA103" s="15">
        <v>1</v>
      </c>
      <c r="IB103" s="15">
        <v>1</v>
      </c>
      <c r="IC103" s="15">
        <v>1</v>
      </c>
      <c r="ID103" s="15">
        <v>1</v>
      </c>
      <c r="IE103" s="15">
        <v>1</v>
      </c>
      <c r="IF103" s="15">
        <v>1</v>
      </c>
      <c r="IG103" s="15">
        <v>1</v>
      </c>
      <c r="IH103" s="15">
        <v>1</v>
      </c>
      <c r="II103" s="15">
        <v>1</v>
      </c>
      <c r="IJ103" s="15">
        <v>1</v>
      </c>
      <c r="IK103" s="15">
        <v>1</v>
      </c>
      <c r="IL103" s="15">
        <v>1</v>
      </c>
      <c r="IM103" s="15">
        <v>1</v>
      </c>
      <c r="IN103" s="15">
        <v>1</v>
      </c>
      <c r="IO103" s="15">
        <v>1</v>
      </c>
      <c r="IP103" s="15">
        <v>1</v>
      </c>
      <c r="IQ103" s="15">
        <v>1</v>
      </c>
      <c r="IR103" s="15">
        <v>1</v>
      </c>
    </row>
    <row r="104" spans="1:252" ht="29.15">
      <c r="A104" s="89" t="s">
        <v>515</v>
      </c>
      <c r="B104" s="90">
        <v>5</v>
      </c>
      <c r="C104" s="5" t="s">
        <v>68</v>
      </c>
      <c r="D104" s="91">
        <v>32418</v>
      </c>
      <c r="E104" s="91" t="s">
        <v>351</v>
      </c>
      <c r="F104" s="92" t="s">
        <v>75</v>
      </c>
      <c r="G104" s="91" t="s">
        <v>31</v>
      </c>
      <c r="H104" s="91" t="s">
        <v>26</v>
      </c>
      <c r="I104" s="91" t="s">
        <v>100</v>
      </c>
      <c r="J104" s="91" t="s">
        <v>99</v>
      </c>
      <c r="K104" s="91">
        <v>2003</v>
      </c>
      <c r="L104" s="85" t="s">
        <v>64</v>
      </c>
      <c r="M104" s="91" t="s">
        <v>190</v>
      </c>
      <c r="N104" s="91" t="s">
        <v>191</v>
      </c>
      <c r="O104" s="91" t="s">
        <v>193</v>
      </c>
      <c r="P104" s="89" t="s">
        <v>205</v>
      </c>
      <c r="Q104" s="91" t="s">
        <v>308</v>
      </c>
      <c r="R104" s="91" t="s">
        <v>255</v>
      </c>
      <c r="S104" s="82">
        <v>54007</v>
      </c>
      <c r="T104" s="82">
        <v>108179430</v>
      </c>
      <c r="U104" s="81">
        <v>815</v>
      </c>
      <c r="V104" s="81">
        <v>0</v>
      </c>
      <c r="W104" s="82">
        <v>192010820</v>
      </c>
      <c r="X104" s="112">
        <v>62</v>
      </c>
      <c r="Y104" s="112" t="s">
        <v>416</v>
      </c>
      <c r="Z104" s="113">
        <v>10</v>
      </c>
      <c r="AA104" s="113">
        <v>8</v>
      </c>
      <c r="AB104" s="113">
        <v>4</v>
      </c>
      <c r="AC104" s="99">
        <v>4190.1899999999996</v>
      </c>
      <c r="AD104" s="99">
        <f t="shared" si="38"/>
        <v>628.79</v>
      </c>
      <c r="AE104" s="99">
        <v>4818.9799999999996</v>
      </c>
      <c r="AF104" s="98">
        <f>(Z104+AA104+AB104)*'Ставки аренды'!$B$3/X104</f>
        <v>248.38709677419354</v>
      </c>
      <c r="AG104" s="114">
        <v>0</v>
      </c>
      <c r="AH104" s="94">
        <v>0</v>
      </c>
      <c r="AI104" s="115">
        <f>131496272/143742760*AJ104</f>
        <v>44459.41360246596</v>
      </c>
      <c r="AJ104" s="117">
        <f>Цены!$D$16</f>
        <v>48600</v>
      </c>
      <c r="AK104" s="94">
        <f>AJ104/Цены!$B$1</f>
        <v>636.91345971129215</v>
      </c>
      <c r="AL104" s="95">
        <f t="shared" si="24"/>
        <v>5067.3670967741928</v>
      </c>
      <c r="AM104" s="95">
        <f t="shared" si="25"/>
        <v>43532.632903225807</v>
      </c>
      <c r="AN104" s="94">
        <f t="shared" si="39"/>
        <v>49526.78069924016</v>
      </c>
      <c r="AO104" s="118">
        <f t="shared" si="40"/>
        <v>-1.9069561712760499E-2</v>
      </c>
      <c r="AP104" s="96">
        <f t="shared" si="26"/>
        <v>0.10426681269082701</v>
      </c>
      <c r="AQ104" s="96">
        <f t="shared" si="27"/>
        <v>9.9155967078189286E-2</v>
      </c>
      <c r="AR104" s="96">
        <f t="shared" si="28"/>
        <v>0.9509830071454044</v>
      </c>
      <c r="AS104" s="122">
        <v>1</v>
      </c>
      <c r="AT104" s="121">
        <f t="shared" si="29"/>
        <v>54007</v>
      </c>
      <c r="AU104" s="83">
        <v>0.7</v>
      </c>
      <c r="AV104" s="119">
        <f t="shared" si="30"/>
        <v>-3.0968277762143091E-2</v>
      </c>
      <c r="AW104" s="120">
        <f t="shared" si="31"/>
        <v>0.11616552874020973</v>
      </c>
      <c r="AX104" s="120">
        <f t="shared" si="32"/>
        <v>0.11105468312757201</v>
      </c>
      <c r="AY104" s="120">
        <f t="shared" si="33"/>
        <v>0.95600376748538274</v>
      </c>
      <c r="AZ104" s="15">
        <f>MIN(IF($AU104=100%,1,1+VLOOKUP(($AJ104-$AI104-$AH104-$AG104-$AF104-$AE104*(1+AZ$3))/$AJ104,'Технический лист'!$I:$J,2,1)-VLOOKUP($AO104,'Технический лист'!$I:$J,2,1)),1+(1-$AU104))</f>
        <v>1.1300000000000001</v>
      </c>
      <c r="BA104" s="15">
        <f>MIN(IF($AU104=100%,1,1+VLOOKUP(($AJ104-$AI104-$AH104-$AG104-$AF104-$AE104*(1+BA$3))/$AJ104,'Технический лист'!$I:$J,2,1)-VLOOKUP($AO104,'Технический лист'!$I:$J,2,1)),1+(1-$AU104))</f>
        <v>1.1300000000000001</v>
      </c>
      <c r="BB104" s="15">
        <f>MIN(IF($AU104=100%,1,1+VLOOKUP(($AJ104-$AI104-$AH104-$AG104-$AF104-$AE104*(1+BB$3))/$AJ104,'Технический лист'!$I:$J,2,1)-VLOOKUP($AO104,'Технический лист'!$I:$J,2,1)),1+(1-$AU104))</f>
        <v>1.1150000000000004</v>
      </c>
      <c r="BC104" s="15">
        <f>MIN(IF($AU104=100%,1,1+VLOOKUP(($AJ104-$AI104-$AH104-$AG104-$AF104-$AE104*(1+BC$3))/$AJ104,'Технический лист'!$I:$J,2,1)-VLOOKUP($AO104,'Технический лист'!$I:$J,2,1)),1+(1-$AU104))</f>
        <v>1.1150000000000004</v>
      </c>
      <c r="BD104" s="15">
        <f>MIN(IF($AU104=100%,1,1+VLOOKUP(($AJ104-$AI104-$AH104-$AG104-$AF104-$AE104*(1+BD$3))/$AJ104,'Технический лист'!$I:$J,2,1)-VLOOKUP($AO104,'Технический лист'!$I:$J,2,1)),1+(1-$AU104))</f>
        <v>1.1150000000000004</v>
      </c>
      <c r="BE104" s="15">
        <f>MIN(IF($AU104=100%,1,1+VLOOKUP(($AJ104-$AI104-$AH104-$AG104-$AF104-$AE104*(1+BE$3))/$AJ104,'Технический лист'!$I:$J,2,1)-VLOOKUP($AO104,'Технический лист'!$I:$J,2,1)),1+(1-$AU104))</f>
        <v>1.1150000000000004</v>
      </c>
      <c r="BF104" s="15">
        <f>MIN(IF($AU104=100%,1,1+VLOOKUP(($AJ104-$AI104-$AH104-$AG104-$AF104-$AE104*(1+BF$3))/$AJ104,'Технический лист'!$I:$J,2,1)-VLOOKUP($AO104,'Технический лист'!$I:$J,2,1)),1+(1-$AU104))</f>
        <v>1.1150000000000004</v>
      </c>
      <c r="BG104" s="15">
        <f>MIN(IF($AU104=100%,1,1+VLOOKUP(($AJ104-$AI104-$AH104-$AG104-$AF104-$AE104*(1+BG$3))/$AJ104,'Технический лист'!$I:$J,2,1)-VLOOKUP($AO104,'Технический лист'!$I:$J,2,1)),1+(1-$AU104))</f>
        <v>1.1150000000000004</v>
      </c>
      <c r="BH104" s="15">
        <f>MIN(IF($AU104=100%,1,1+VLOOKUP(($AJ104-$AI104-$AH104-$AG104-$AF104-$AE104*(1+BH$3))/$AJ104,'Технический лист'!$I:$J,2,1)-VLOOKUP($AO104,'Технический лист'!$I:$J,2,1)),1+(1-$AU104))</f>
        <v>1.1150000000000004</v>
      </c>
      <c r="BI104" s="15">
        <f>MIN(IF($AU104=100%,1,1+VLOOKUP(($AJ104-$AI104-$AH104-$AG104-$AF104-$AE104*(1+BI$3))/$AJ104,'Технический лист'!$I:$J,2,1)-VLOOKUP($AO104,'Технический лист'!$I:$J,2,1)),1+(1-$AU104))</f>
        <v>1.1150000000000004</v>
      </c>
      <c r="BJ104" s="15">
        <f>MIN(IF($AU104=100%,1,1+VLOOKUP(($AJ104-$AI104-$AH104-$AG104-$AF104-$AE104*(1+BJ$3))/$AJ104,'Технический лист'!$I:$J,2,1)-VLOOKUP($AO104,'Технический лист'!$I:$J,2,1)),1+(1-$AU104))</f>
        <v>1.1150000000000004</v>
      </c>
      <c r="BK104" s="15">
        <f>MIN(IF($AU104=100%,1,1+VLOOKUP(($AJ104-$AI104-$AH104-$AG104-$AF104-$AE104*(1+BK$3))/$AJ104,'Технический лист'!$I:$J,2,1)-VLOOKUP($AO104,'Технический лист'!$I:$J,2,1)),1+(1-$AU104))</f>
        <v>1.1150000000000004</v>
      </c>
      <c r="BL104" s="15">
        <f>MIN(IF($AU104=100%,1,1+VLOOKUP(($AJ104-$AI104-$AH104-$AG104-$AF104-$AE104*(1+BL$3))/$AJ104,'Технический лист'!$I:$J,2,1)-VLOOKUP($AO104,'Технический лист'!$I:$J,2,1)),1+(1-$AU104))</f>
        <v>1.1000000000000003</v>
      </c>
      <c r="BM104" s="15">
        <f>MIN(IF($AU104=100%,1,1+VLOOKUP(($AJ104-$AI104-$AH104-$AG104-$AF104-$AE104*(1+BM$3))/$AJ104,'Технический лист'!$I:$J,2,1)-VLOOKUP($AO104,'Технический лист'!$I:$J,2,1)),1+(1-$AU104))</f>
        <v>1.1000000000000003</v>
      </c>
      <c r="BN104" s="15">
        <f>MIN(IF($AU104=100%,1,1+VLOOKUP(($AJ104-$AI104-$AH104-$AG104-$AF104-$AE104*(1+BN$3))/$AJ104,'Технический лист'!$I:$J,2,1)-VLOOKUP($AO104,'Технический лист'!$I:$J,2,1)),1+(1-$AU104))</f>
        <v>1.1000000000000003</v>
      </c>
      <c r="BO104" s="15">
        <f>MIN(IF($AU104=100%,1,1+VLOOKUP(($AJ104-$AI104-$AH104-$AG104-$AF104-$AE104*(1+BO$3))/$AJ104,'Технический лист'!$I:$J,2,1)-VLOOKUP($AO104,'Технический лист'!$I:$J,2,1)),1+(1-$AU104))</f>
        <v>1.1000000000000003</v>
      </c>
      <c r="BP104" s="15">
        <f>MIN(IF($AU104=100%,1,1+VLOOKUP(($AJ104-$AI104-$AH104-$AG104-$AF104-$AE104*(1+BP$3))/$AJ104,'Технический лист'!$I:$J,2,1)-VLOOKUP($AO104,'Технический лист'!$I:$J,2,1)),1+(1-$AU104))</f>
        <v>1.1000000000000003</v>
      </c>
      <c r="BQ104" s="15">
        <f>MIN(IF($AU104=100%,1,1+VLOOKUP(($AJ104-$AI104-$AH104-$AG104-$AF104-$AE104*(1+BQ$3))/$AJ104,'Технический лист'!$I:$J,2,1)-VLOOKUP($AO104,'Технический лист'!$I:$J,2,1)),1+(1-$AU104))</f>
        <v>1.1000000000000003</v>
      </c>
      <c r="BR104" s="15">
        <f>MIN(IF($AU104=100%,1,1+VLOOKUP(($AJ104-$AI104-$AH104-$AG104-$AF104-$AE104*(1+BR$3))/$AJ104,'Технический лист'!$I:$J,2,1)-VLOOKUP($AO104,'Технический лист'!$I:$J,2,1)),1+(1-$AU104))</f>
        <v>1.1000000000000003</v>
      </c>
      <c r="BS104" s="15">
        <f>MIN(IF($AU104=100%,1,1+VLOOKUP(($AJ104-$AI104-$AH104-$AG104-$AF104-$AE104*(1+BS$3))/$AJ104,'Технический лист'!$I:$J,2,1)-VLOOKUP($AO104,'Технический лист'!$I:$J,2,1)),1+(1-$AU104))</f>
        <v>1.1000000000000003</v>
      </c>
      <c r="BT104" s="15">
        <f>MIN(IF($AU104=100%,1,1+VLOOKUP(($AJ104-$AI104-$AH104-$AG104-$AF104-$AE104*(1+BT$3))/$AJ104,'Технический лист'!$I:$J,2,1)-VLOOKUP($AO104,'Технический лист'!$I:$J,2,1)),1+(1-$AU104))</f>
        <v>1.1000000000000003</v>
      </c>
      <c r="BU104" s="15">
        <f>MIN(IF($AU104=100%,1,1+VLOOKUP(($AJ104-$AI104-$AH104-$AG104-$AF104-$AE104*(1+BU$3))/$AJ104,'Технический лист'!$I:$J,2,1)-VLOOKUP($AO104,'Технический лист'!$I:$J,2,1)),1+(1-$AU104))</f>
        <v>1.1000000000000003</v>
      </c>
      <c r="BV104" s="15">
        <f>MIN(IF($AU104=100%,1,1+VLOOKUP(($AJ104-$AI104-$AH104-$AG104-$AF104-$AE104*(1+BV$3))/$AJ104,'Технический лист'!$I:$J,2,1)-VLOOKUP($AO104,'Технический лист'!$I:$J,2,1)),1+(1-$AU104))</f>
        <v>1.0850000000000002</v>
      </c>
      <c r="BW104" s="15">
        <f>MIN(IF($AU104=100%,1,1+VLOOKUP(($AJ104-$AI104-$AH104-$AG104-$AF104-$AE104*(1+BW$3))/$AJ104,'Технический лист'!$I:$J,2,1)-VLOOKUP($AO104,'Технический лист'!$I:$J,2,1)),1+(1-$AU104))</f>
        <v>1.0850000000000002</v>
      </c>
      <c r="BX104" s="15">
        <f>MIN(IF($AU104=100%,1,1+VLOOKUP(($AJ104-$AI104-$AH104-$AG104-$AF104-$AE104*(1+BX$3))/$AJ104,'Технический лист'!$I:$J,2,1)-VLOOKUP($AO104,'Технический лист'!$I:$J,2,1)),1+(1-$AU104))</f>
        <v>1.0850000000000002</v>
      </c>
      <c r="BY104" s="15">
        <f>MIN(IF($AU104=100%,1,1+VLOOKUP(($AJ104-$AI104-$AH104-$AG104-$AF104-$AE104*(1+BY$3))/$AJ104,'Технический лист'!$I:$J,2,1)-VLOOKUP($AO104,'Технический лист'!$I:$J,2,1)),1+(1-$AU104))</f>
        <v>1.0850000000000002</v>
      </c>
      <c r="BZ104" s="15">
        <f>MIN(IF($AU104=100%,1,1+VLOOKUP(($AJ104-$AI104-$AH104-$AG104-$AF104-$AE104*(1+BZ$3))/$AJ104,'Технический лист'!$I:$J,2,1)-VLOOKUP($AO104,'Технический лист'!$I:$J,2,1)),1+(1-$AU104))</f>
        <v>1.0850000000000002</v>
      </c>
      <c r="CA104" s="15">
        <f>MIN(IF($AU104=100%,1,1+VLOOKUP(($AJ104-$AI104-$AH104-$AG104-$AF104-$AE104*(1+CA$3))/$AJ104,'Технический лист'!$I:$J,2,1)-VLOOKUP($AO104,'Технический лист'!$I:$J,2,1)),1+(1-$AU104))</f>
        <v>1.0850000000000002</v>
      </c>
      <c r="CB104" s="15">
        <f>MIN(IF($AU104=100%,1,1+VLOOKUP(($AJ104-$AI104-$AH104-$AG104-$AF104-$AE104*(1+CB$3))/$AJ104,'Технический лист'!$I:$J,2,1)-VLOOKUP($AO104,'Технический лист'!$I:$J,2,1)),1+(1-$AU104))</f>
        <v>1.0850000000000002</v>
      </c>
      <c r="CC104" s="15">
        <f>MIN(IF($AU104=100%,1,1+VLOOKUP(($AJ104-$AI104-$AH104-$AG104-$AF104-$AE104*(1+CC$3))/$AJ104,'Технический лист'!$I:$J,2,1)-VLOOKUP($AO104,'Технический лист'!$I:$J,2,1)),1+(1-$AU104))</f>
        <v>1.0850000000000002</v>
      </c>
      <c r="CD104" s="15">
        <f>MIN(IF($AU104=100%,1,1+VLOOKUP(($AJ104-$AI104-$AH104-$AG104-$AF104-$AE104*(1+CD$3))/$AJ104,'Технический лист'!$I:$J,2,1)-VLOOKUP($AO104,'Технический лист'!$I:$J,2,1)),1+(1-$AU104))</f>
        <v>1.0850000000000002</v>
      </c>
      <c r="CE104" s="15">
        <f>MIN(IF($AU104=100%,1,1+VLOOKUP(($AJ104-$AI104-$AH104-$AG104-$AF104-$AE104*(1+CE$3))/$AJ104,'Технический лист'!$I:$J,2,1)-VLOOKUP($AO104,'Технический лист'!$I:$J,2,1)),1+(1-$AU104))</f>
        <v>1.0850000000000002</v>
      </c>
      <c r="CF104" s="15">
        <f>MIN(IF($AU104=100%,1,1+VLOOKUP(($AJ104-$AI104-$AH104-$AG104-$AF104-$AE104*(1+CF$3))/$AJ104,'Технический лист'!$I:$J,2,1)-VLOOKUP($AO104,'Технический лист'!$I:$J,2,1)),1+(1-$AU104))</f>
        <v>1.07</v>
      </c>
      <c r="CG104" s="15">
        <f>MIN(IF($AU104=100%,1,1+VLOOKUP(($AJ104-$AI104-$AH104-$AG104-$AF104-$AE104*(1+CG$3))/$AJ104,'Технический лист'!$I:$J,2,1)-VLOOKUP($AO104,'Технический лист'!$I:$J,2,1)),1+(1-$AU104))</f>
        <v>1.07</v>
      </c>
      <c r="CH104" s="15">
        <f>MIN(IF($AU104=100%,1,1+VLOOKUP(($AJ104-$AI104-$AH104-$AG104-$AF104-$AE104*(1+CH$3))/$AJ104,'Технический лист'!$I:$J,2,1)-VLOOKUP($AO104,'Технический лист'!$I:$J,2,1)),1+(1-$AU104))</f>
        <v>1.07</v>
      </c>
      <c r="CI104" s="15">
        <f>MIN(IF($AU104=100%,1,1+VLOOKUP(($AJ104-$AI104-$AH104-$AG104-$AF104-$AE104*(1+CI$3))/$AJ104,'Технический лист'!$I:$J,2,1)-VLOOKUP($AO104,'Технический лист'!$I:$J,2,1)),1+(1-$AU104))</f>
        <v>1.07</v>
      </c>
      <c r="CJ104" s="15">
        <f>MIN(IF($AU104=100%,1,1+VLOOKUP(($AJ104-$AI104-$AH104-$AG104-$AF104-$AE104*(1+CJ$3))/$AJ104,'Технический лист'!$I:$J,2,1)-VLOOKUP($AO104,'Технический лист'!$I:$J,2,1)),1+(1-$AU104))</f>
        <v>1.07</v>
      </c>
      <c r="CK104" s="15">
        <f>MIN(IF($AU104=100%,1,1+VLOOKUP(($AJ104-$AI104-$AH104-$AG104-$AF104-$AE104*(1+CK$3))/$AJ104,'Технический лист'!$I:$J,2,1)-VLOOKUP($AO104,'Технический лист'!$I:$J,2,1)),1+(1-$AU104))</f>
        <v>1.07</v>
      </c>
      <c r="CL104" s="15">
        <f>MIN(IF($AU104=100%,1,1+VLOOKUP(($AJ104-$AI104-$AH104-$AG104-$AF104-$AE104*(1+CL$3))/$AJ104,'Технический лист'!$I:$J,2,1)-VLOOKUP($AO104,'Технический лист'!$I:$J,2,1)),1+(1-$AU104))</f>
        <v>1.07</v>
      </c>
      <c r="CM104" s="15">
        <f>MIN(IF($AU104=100%,1,1+VLOOKUP(($AJ104-$AI104-$AH104-$AG104-$AF104-$AE104*(1+CM$3))/$AJ104,'Технический лист'!$I:$J,2,1)-VLOOKUP($AO104,'Технический лист'!$I:$J,2,1)),1+(1-$AU104))</f>
        <v>1.07</v>
      </c>
      <c r="CN104" s="15">
        <f>MIN(IF($AU104=100%,1,1+VLOOKUP(($AJ104-$AI104-$AH104-$AG104-$AF104-$AE104*(1+CN$3))/$AJ104,'Технический лист'!$I:$J,2,1)-VLOOKUP($AO104,'Технический лист'!$I:$J,2,1)),1+(1-$AU104))</f>
        <v>1.07</v>
      </c>
      <c r="CO104" s="15">
        <f>MIN(IF($AU104=100%,1,1+VLOOKUP(($AJ104-$AI104-$AH104-$AG104-$AF104-$AE104*(1+CO$3))/$AJ104,'Технический лист'!$I:$J,2,1)-VLOOKUP($AO104,'Технический лист'!$I:$J,2,1)),1+(1-$AU104))</f>
        <v>1.07</v>
      </c>
      <c r="CP104" s="15">
        <f>MIN(IF($AU104=100%,1,1+VLOOKUP(($AJ104-$AI104-$AH104-$AG104-$AF104-$AE104*(1+CP$3))/$AJ104,'Технический лист'!$I:$J,2,1)-VLOOKUP($AO104,'Технический лист'!$I:$J,2,1)),1+(1-$AU104))</f>
        <v>1.0599999999999998</v>
      </c>
      <c r="CQ104" s="15">
        <f>MIN(IF($AU104=100%,1,1+VLOOKUP(($AJ104-$AI104-$AH104-$AG104-$AF104-$AE104*(1+CQ$3))/$AJ104,'Технический лист'!$I:$J,2,1)-VLOOKUP($AO104,'Технический лист'!$I:$J,2,1)),1+(1-$AU104))</f>
        <v>1.0599999999999998</v>
      </c>
      <c r="CR104" s="15">
        <f>MIN(IF($AU104=100%,1,1+VLOOKUP(($AJ104-$AI104-$AH104-$AG104-$AF104-$AE104*(1+CR$3))/$AJ104,'Технический лист'!$I:$J,2,1)-VLOOKUP($AO104,'Технический лист'!$I:$J,2,1)),1+(1-$AU104))</f>
        <v>1.0599999999999998</v>
      </c>
      <c r="CS104" s="15">
        <f>MIN(IF($AU104=100%,1,1+VLOOKUP(($AJ104-$AI104-$AH104-$AG104-$AF104-$AE104*(1+CS$3))/$AJ104,'Технический лист'!$I:$J,2,1)-VLOOKUP($AO104,'Технический лист'!$I:$J,2,1)),1+(1-$AU104))</f>
        <v>1.0599999999999998</v>
      </c>
      <c r="CT104" s="15">
        <f>MIN(IF($AU104=100%,1,1+VLOOKUP(($AJ104-$AI104-$AH104-$AG104-$AF104-$AE104*(1+CT$3))/$AJ104,'Технический лист'!$I:$J,2,1)-VLOOKUP($AO104,'Технический лист'!$I:$J,2,1)),1+(1-$AU104))</f>
        <v>1.0599999999999998</v>
      </c>
      <c r="CU104" s="15">
        <f>MIN(IF($AU104=100%,1,1+VLOOKUP(($AJ104-$AI104-$AH104-$AG104-$AF104-$AE104*(1+CU$3))/$AJ104,'Технический лист'!$I:$J,2,1)-VLOOKUP($AO104,'Технический лист'!$I:$J,2,1)),1+(1-$AU104))</f>
        <v>1.0599999999999998</v>
      </c>
      <c r="CV104" s="15">
        <f>MIN(IF($AU104=100%,1,1+VLOOKUP(($AJ104-$AI104-$AH104-$AG104-$AF104-$AE104*(1+CV$3))/$AJ104,'Технический лист'!$I:$J,2,1)-VLOOKUP($AO104,'Технический лист'!$I:$J,2,1)),1+(1-$AU104))</f>
        <v>1.0599999999999998</v>
      </c>
      <c r="CW104" s="15">
        <f>MIN(IF($AU104=100%,1,1+VLOOKUP(($AJ104-$AI104-$AH104-$AG104-$AF104-$AE104*(1+CW$3))/$AJ104,'Технический лист'!$I:$J,2,1)-VLOOKUP($AO104,'Технический лист'!$I:$J,2,1)),1+(1-$AU104))</f>
        <v>1.0599999999999998</v>
      </c>
      <c r="CX104" s="15">
        <f>MIN(IF($AU104=100%,1,1+VLOOKUP(($AJ104-$AI104-$AH104-$AG104-$AF104-$AE104*(1+CX$3))/$AJ104,'Технический лист'!$I:$J,2,1)-VLOOKUP($AO104,'Технический лист'!$I:$J,2,1)),1+(1-$AU104))</f>
        <v>1.0599999999999998</v>
      </c>
      <c r="CY104" s="15">
        <f>MIN(IF($AU104=100%,1,1+VLOOKUP(($AJ104-$AI104-$AH104-$AG104-$AF104-$AE104*(1+CY$3))/$AJ104,'Технический лист'!$I:$J,2,1)-VLOOKUP($AO104,'Технический лист'!$I:$J,2,1)),1+(1-$AU104))</f>
        <v>1.0599999999999998</v>
      </c>
      <c r="CZ104" s="15">
        <f>MIN(IF($AU104=100%,1,1+VLOOKUP(($AJ104-$AI104-$AH104-$AG104-$AF104-$AE104*(1+CZ$3))/$AJ104,'Технический лист'!$I:$J,2,1)-VLOOKUP($AO104,'Технический лист'!$I:$J,2,1)),1+(1-$AU104))</f>
        <v>1.05</v>
      </c>
      <c r="DA104" s="15">
        <f>MIN(IF($AU104=100%,1,1+VLOOKUP(($AJ104-$AI104-$AH104-$AG104-$AF104-$AE104*(1+DA$3))/$AJ104,'Технический лист'!$I:$J,2,1)-VLOOKUP($AO104,'Технический лист'!$I:$J,2,1)),1+(1-$AU104))</f>
        <v>1.05</v>
      </c>
      <c r="DB104" s="15">
        <f>MIN(IF($AU104=100%,1,1+VLOOKUP(($AJ104-$AI104-$AH104-$AG104-$AF104-$AE104*(1+DB$3))/$AJ104,'Технический лист'!$I:$J,2,1)-VLOOKUP($AO104,'Технический лист'!$I:$J,2,1)),1+(1-$AU104))</f>
        <v>1.05</v>
      </c>
      <c r="DC104" s="15">
        <f>MIN(IF($AU104=100%,1,1+VLOOKUP(($AJ104-$AI104-$AH104-$AG104-$AF104-$AE104*(1+DC$3))/$AJ104,'Технический лист'!$I:$J,2,1)-VLOOKUP($AO104,'Технический лист'!$I:$J,2,1)),1+(1-$AU104))</f>
        <v>1.05</v>
      </c>
      <c r="DD104" s="15">
        <f>MIN(IF($AU104=100%,1,1+VLOOKUP(($AJ104-$AI104-$AH104-$AG104-$AF104-$AE104*(1+DD$3))/$AJ104,'Технический лист'!$I:$J,2,1)-VLOOKUP($AO104,'Технический лист'!$I:$J,2,1)),1+(1-$AU104))</f>
        <v>1.05</v>
      </c>
      <c r="DE104" s="15">
        <f>MIN(IF($AU104=100%,1,1+VLOOKUP(($AJ104-$AI104-$AH104-$AG104-$AF104-$AE104*(1+DE$3))/$AJ104,'Технический лист'!$I:$J,2,1)-VLOOKUP($AO104,'Технический лист'!$I:$J,2,1)),1+(1-$AU104))</f>
        <v>1.05</v>
      </c>
      <c r="DF104" s="15">
        <f>MIN(IF($AU104=100%,1,1+VLOOKUP(($AJ104-$AI104-$AH104-$AG104-$AF104-$AE104*(1+DF$3))/$AJ104,'Технический лист'!$I:$J,2,1)-VLOOKUP($AO104,'Технический лист'!$I:$J,2,1)),1+(1-$AU104))</f>
        <v>1.05</v>
      </c>
      <c r="DG104" s="15">
        <f>MIN(IF($AU104=100%,1,1+VLOOKUP(($AJ104-$AI104-$AH104-$AG104-$AF104-$AE104*(1+DG$3))/$AJ104,'Технический лист'!$I:$J,2,1)-VLOOKUP($AO104,'Технический лист'!$I:$J,2,1)),1+(1-$AU104))</f>
        <v>1.05</v>
      </c>
      <c r="DH104" s="15">
        <f>MIN(IF($AU104=100%,1,1+VLOOKUP(($AJ104-$AI104-$AH104-$AG104-$AF104-$AE104*(1+DH$3))/$AJ104,'Технический лист'!$I:$J,2,1)-VLOOKUP($AO104,'Технический лист'!$I:$J,2,1)),1+(1-$AU104))</f>
        <v>1.05</v>
      </c>
      <c r="DI104" s="15">
        <f>MIN(IF($AU104=100%,1,1+VLOOKUP(($AJ104-$AI104-$AH104-$AG104-$AF104-$AE104*(1+DI$3))/$AJ104,'Технический лист'!$I:$J,2,1)-VLOOKUP($AO104,'Технический лист'!$I:$J,2,1)),1+(1-$AU104))</f>
        <v>1.05</v>
      </c>
      <c r="DJ104" s="15">
        <f>MIN(IF($AU104=100%,1,1+VLOOKUP(($AJ104-$AI104-$AH104-$AG104-$AF104-$AE104*(1+DJ$3))/$AJ104,'Технический лист'!$I:$J,2,1)-VLOOKUP($AO104,'Технический лист'!$I:$J,2,1)),1+(1-$AU104))</f>
        <v>1.04</v>
      </c>
      <c r="DK104" s="15">
        <f>MIN(IF($AU104=100%,1,1+VLOOKUP(($AJ104-$AI104-$AH104-$AG104-$AF104-$AE104*(1+DK$3))/$AJ104,'Технический лист'!$I:$J,2,1)-VLOOKUP($AO104,'Технический лист'!$I:$J,2,1)),1+(1-$AU104))</f>
        <v>1.04</v>
      </c>
      <c r="DL104" s="15">
        <f>MIN(IF($AU104=100%,1,1+VLOOKUP(($AJ104-$AI104-$AH104-$AG104-$AF104-$AE104*(1+DL$3))/$AJ104,'Технический лист'!$I:$J,2,1)-VLOOKUP($AO104,'Технический лист'!$I:$J,2,1)),1+(1-$AU104))</f>
        <v>1.04</v>
      </c>
      <c r="DM104" s="15">
        <f>MIN(IF($AU104=100%,1,1+VLOOKUP(($AJ104-$AI104-$AH104-$AG104-$AF104-$AE104*(1+DM$3))/$AJ104,'Технический лист'!$I:$J,2,1)-VLOOKUP($AO104,'Технический лист'!$I:$J,2,1)),1+(1-$AU104))</f>
        <v>1.04</v>
      </c>
      <c r="DN104" s="15">
        <f>MIN(IF($AU104=100%,1,1+VLOOKUP(($AJ104-$AI104-$AH104-$AG104-$AF104-$AE104*(1+DN$3))/$AJ104,'Технический лист'!$I:$J,2,1)-VLOOKUP($AO104,'Технический лист'!$I:$J,2,1)),1+(1-$AU104))</f>
        <v>1.04</v>
      </c>
      <c r="DO104" s="15">
        <f>MIN(IF($AU104=100%,1,1+VLOOKUP(($AJ104-$AI104-$AH104-$AG104-$AF104-$AE104*(1+DO$3))/$AJ104,'Технический лист'!$I:$J,2,1)-VLOOKUP($AO104,'Технический лист'!$I:$J,2,1)),1+(1-$AU104))</f>
        <v>1.04</v>
      </c>
      <c r="DP104" s="15">
        <f>MIN(IF($AU104=100%,1,1+VLOOKUP(($AJ104-$AI104-$AH104-$AG104-$AF104-$AE104*(1+DP$3))/$AJ104,'Технический лист'!$I:$J,2,1)-VLOOKUP($AO104,'Технический лист'!$I:$J,2,1)),1+(1-$AU104))</f>
        <v>1.04</v>
      </c>
      <c r="DQ104" s="15">
        <f>MIN(IF($AU104=100%,1,1+VLOOKUP(($AJ104-$AI104-$AH104-$AG104-$AF104-$AE104*(1+DQ$3))/$AJ104,'Технический лист'!$I:$J,2,1)-VLOOKUP($AO104,'Технический лист'!$I:$J,2,1)),1+(1-$AU104))</f>
        <v>1.04</v>
      </c>
      <c r="DR104" s="15">
        <f>MIN(IF($AU104=100%,1,1+VLOOKUP(($AJ104-$AI104-$AH104-$AG104-$AF104-$AE104*(1+DR$3))/$AJ104,'Технический лист'!$I:$J,2,1)-VLOOKUP($AO104,'Технический лист'!$I:$J,2,1)),1+(1-$AU104))</f>
        <v>1.04</v>
      </c>
      <c r="DS104" s="15">
        <f>MIN(IF($AU104=100%,1,1+VLOOKUP(($AJ104-$AI104-$AH104-$AG104-$AF104-$AE104*(1+DS$3))/$AJ104,'Технический лист'!$I:$J,2,1)-VLOOKUP($AO104,'Технический лист'!$I:$J,2,1)),1+(1-$AU104))</f>
        <v>1.04</v>
      </c>
      <c r="DT104" s="15">
        <f>MIN(IF($AU104=100%,1,1+VLOOKUP(($AJ104-$AI104-$AH104-$AG104-$AF104-$AE104*(1+DT$3))/$AJ104,'Технический лист'!$I:$J,2,1)-VLOOKUP($AO104,'Технический лист'!$I:$J,2,1)),1+(1-$AU104))</f>
        <v>1.03</v>
      </c>
      <c r="DU104" s="15">
        <f>MIN(IF($AU104=100%,1,1+VLOOKUP(($AJ104-$AI104-$AH104-$AG104-$AF104-$AE104*(1+DU$3))/$AJ104,'Технический лист'!$I:$J,2,1)-VLOOKUP($AO104,'Технический лист'!$I:$J,2,1)),1+(1-$AU104))</f>
        <v>1.03</v>
      </c>
      <c r="DV104" s="15">
        <f>MIN(IF($AU104=100%,1,1+VLOOKUP(($AJ104-$AI104-$AH104-$AG104-$AF104-$AE104*(1+DV$3))/$AJ104,'Технический лист'!$I:$J,2,1)-VLOOKUP($AO104,'Технический лист'!$I:$J,2,1)),1+(1-$AU104))</f>
        <v>1.03</v>
      </c>
      <c r="DW104" s="15">
        <f>MIN(IF($AU104=100%,1,1+VLOOKUP(($AJ104-$AI104-$AH104-$AG104-$AF104-$AE104*(1+DW$3))/$AJ104,'Технический лист'!$I:$J,2,1)-VLOOKUP($AO104,'Технический лист'!$I:$J,2,1)),1+(1-$AU104))</f>
        <v>1.03</v>
      </c>
      <c r="DX104" s="15">
        <f>MIN(IF($AU104=100%,1,1+VLOOKUP(($AJ104-$AI104-$AH104-$AG104-$AF104-$AE104*(1+DX$3))/$AJ104,'Технический лист'!$I:$J,2,1)-VLOOKUP($AO104,'Технический лист'!$I:$J,2,1)),1+(1-$AU104))</f>
        <v>1.03</v>
      </c>
      <c r="DY104" s="15">
        <f>MIN(IF($AU104=100%,1,1+VLOOKUP(($AJ104-$AI104-$AH104-$AG104-$AF104-$AE104*(1+DY$3))/$AJ104,'Технический лист'!$I:$J,2,1)-VLOOKUP($AO104,'Технический лист'!$I:$J,2,1)),1+(1-$AU104))</f>
        <v>1.03</v>
      </c>
      <c r="DZ104" s="15">
        <f>MIN(IF($AU104=100%,1,1+VLOOKUP(($AJ104-$AI104-$AH104-$AG104-$AF104-$AE104*(1+DZ$3))/$AJ104,'Технический лист'!$I:$J,2,1)-VLOOKUP($AO104,'Технический лист'!$I:$J,2,1)),1+(1-$AU104))</f>
        <v>1.03</v>
      </c>
      <c r="EA104" s="15">
        <f>MIN(IF($AU104=100%,1,1+VLOOKUP(($AJ104-$AI104-$AH104-$AG104-$AF104-$AE104*(1+EA$3))/$AJ104,'Технический лист'!$I:$J,2,1)-VLOOKUP($AO104,'Технический лист'!$I:$J,2,1)),1+(1-$AU104))</f>
        <v>1.03</v>
      </c>
      <c r="EB104" s="15">
        <f>MIN(IF($AU104=100%,1,1+VLOOKUP(($AJ104-$AI104-$AH104-$AG104-$AF104-$AE104*(1+EB$3))/$AJ104,'Технический лист'!$I:$J,2,1)-VLOOKUP($AO104,'Технический лист'!$I:$J,2,1)),1+(1-$AU104))</f>
        <v>1.03</v>
      </c>
      <c r="EC104" s="15">
        <f>MIN(IF($AU104=100%,1,1+VLOOKUP(($AJ104-$AI104-$AH104-$AG104-$AF104-$AE104*(1+EC$3))/$AJ104,'Технический лист'!$I:$J,2,1)-VLOOKUP($AO104,'Технический лист'!$I:$J,2,1)),1+(1-$AU104))</f>
        <v>1.03</v>
      </c>
      <c r="ED104" s="15">
        <f>MIN(IF($AU104=100%,1,1+VLOOKUP(($AJ104-$AI104-$AH104-$AG104-$AF104-$AE104*(1+ED$3))/$AJ104,'Технический лист'!$I:$J,2,1)-VLOOKUP($AO104,'Технический лист'!$I:$J,2,1)),1+(1-$AU104))</f>
        <v>1.0149999999999999</v>
      </c>
      <c r="EE104" s="15">
        <f>MIN(IF($AU104=100%,1,1+VLOOKUP(($AJ104-$AI104-$AH104-$AG104-$AF104-$AE104*(1+EE$3))/$AJ104,'Технический лист'!$I:$J,2,1)-VLOOKUP($AO104,'Технический лист'!$I:$J,2,1)),1+(1-$AU104))</f>
        <v>1.0149999999999999</v>
      </c>
      <c r="EF104" s="15">
        <f>MIN(IF($AU104=100%,1,1+VLOOKUP(($AJ104-$AI104-$AH104-$AG104-$AF104-$AE104*(1+EF$3))/$AJ104,'Технический лист'!$I:$J,2,1)-VLOOKUP($AO104,'Технический лист'!$I:$J,2,1)),1+(1-$AU104))</f>
        <v>1.0149999999999999</v>
      </c>
      <c r="EG104" s="15">
        <f>MIN(IF($AU104=100%,1,1+VLOOKUP(($AJ104-$AI104-$AH104-$AG104-$AF104-$AE104*(1+EG$3))/$AJ104,'Технический лист'!$I:$J,2,1)-VLOOKUP($AO104,'Технический лист'!$I:$J,2,1)),1+(1-$AU104))</f>
        <v>1.0149999999999999</v>
      </c>
      <c r="EH104" s="15">
        <f>MIN(IF($AU104=100%,1,1+VLOOKUP(($AJ104-$AI104-$AH104-$AG104-$AF104-$AE104*(1+EH$3))/$AJ104,'Технический лист'!$I:$J,2,1)-VLOOKUP($AO104,'Технический лист'!$I:$J,2,1)),1+(1-$AU104))</f>
        <v>1.0149999999999999</v>
      </c>
      <c r="EI104" s="15">
        <f>MIN(IF($AU104=100%,1,1+VLOOKUP(($AJ104-$AI104-$AH104-$AG104-$AF104-$AE104*(1+EI$3))/$AJ104,'Технический лист'!$I:$J,2,1)-VLOOKUP($AO104,'Технический лист'!$I:$J,2,1)),1+(1-$AU104))</f>
        <v>1.0149999999999999</v>
      </c>
      <c r="EJ104" s="15">
        <f>MIN(IF($AU104=100%,1,1+VLOOKUP(($AJ104-$AI104-$AH104-$AG104-$AF104-$AE104*(1+EJ$3))/$AJ104,'Технический лист'!$I:$J,2,1)-VLOOKUP($AO104,'Технический лист'!$I:$J,2,1)),1+(1-$AU104))</f>
        <v>1.0149999999999999</v>
      </c>
      <c r="EK104" s="15">
        <f>MIN(IF($AU104=100%,1,1+VLOOKUP(($AJ104-$AI104-$AH104-$AG104-$AF104-$AE104*(1+EK$3))/$AJ104,'Технический лист'!$I:$J,2,1)-VLOOKUP($AO104,'Технический лист'!$I:$J,2,1)),1+(1-$AU104))</f>
        <v>1.0149999999999999</v>
      </c>
      <c r="EL104" s="15">
        <f>MIN(IF($AU104=100%,1,1+VLOOKUP(($AJ104-$AI104-$AH104-$AG104-$AF104-$AE104*(1+EL$3))/$AJ104,'Технический лист'!$I:$J,2,1)-VLOOKUP($AO104,'Технический лист'!$I:$J,2,1)),1+(1-$AU104))</f>
        <v>1.0149999999999999</v>
      </c>
      <c r="EM104" s="15">
        <f>MIN(IF($AU104=100%,1,1+VLOOKUP(($AJ104-$AI104-$AH104-$AG104-$AF104-$AE104*(1+EM$3))/$AJ104,'Технический лист'!$I:$J,2,1)-VLOOKUP($AO104,'Технический лист'!$I:$J,2,1)),1+(1-$AU104))</f>
        <v>1.0149999999999999</v>
      </c>
      <c r="EN104" s="15">
        <f>MIN(IF($AU104=100%,1,1+VLOOKUP(($AJ104-$AI104-$AH104-$AG104-$AF104-$AE104*(1+EN$3))/$AJ104,'Технический лист'!$I:$J,2,1)-VLOOKUP($AO104,'Технический лист'!$I:$J,2,1)),1+(1-$AU104))</f>
        <v>1</v>
      </c>
      <c r="EO104" s="15">
        <f>MIN(IF($AU104=100%,1,1+VLOOKUP(($AJ104-$AI104-$AH104-$AG104-$AF104-$AE104*(1+EO$3))/$AJ104,'Технический лист'!$I:$J,2,1)-VLOOKUP($AO104,'Технический лист'!$I:$J,2,1)),1+(1-$AU104))</f>
        <v>1</v>
      </c>
      <c r="EP104" s="15">
        <f>MIN(IF($AU104=100%,1,1+VLOOKUP(($AJ104-$AI104-$AH104-$AG104-$AF104-$AE104*(1+EP$3))/$AJ104,'Технический лист'!$I:$J,2,1)-VLOOKUP($AO104,'Технический лист'!$I:$J,2,1)),1+(1-$AU104))</f>
        <v>1</v>
      </c>
      <c r="EQ104" s="15">
        <f>MIN(IF($AU104=100%,1,1+VLOOKUP(($AJ104-$AI104-$AH104-$AG104-$AF104-$AE104*(1+EQ$3))/$AJ104,'Технический лист'!$I:$J,2,1)-VLOOKUP($AO104,'Технический лист'!$I:$J,2,1)),1+(1-$AU104))</f>
        <v>1</v>
      </c>
      <c r="ER104" s="15">
        <f>MIN(IF($AU104=100%,1,1+VLOOKUP(($AJ104-$AI104-$AH104-$AG104-$AF104-$AE104*(1+ER$3))/$AJ104,'Технический лист'!$I:$J,2,1)-VLOOKUP($AO104,'Технический лист'!$I:$J,2,1)),1+(1-$AU104))</f>
        <v>1</v>
      </c>
      <c r="ES104" s="15">
        <f>MIN(IF($AU104=100%,1,1+VLOOKUP(($AJ104-$AI104-$AH104-$AG104-$AF104-$AE104*(1+ES$3))/$AJ104,'Технический лист'!$I:$J,2,1)-VLOOKUP($AO104,'Технический лист'!$I:$J,2,1)),1+(1-$AU104))</f>
        <v>1</v>
      </c>
      <c r="ET104" s="15">
        <f>MIN(IF($AU104=100%,1,1+VLOOKUP(($AJ104-$AI104-$AH104-$AG104-$AF104-$AE104*(1+ET$3))/$AJ104,'Технический лист'!$I:$J,2,1)-VLOOKUP($AO104,'Технический лист'!$I:$J,2,1)),1+(1-$AU104))</f>
        <v>1</v>
      </c>
      <c r="EU104" s="15">
        <f>MIN(IF($AU104=100%,1,1+VLOOKUP(($AJ104-$AI104-$AH104-$AG104-$AF104-$AE104*(1+EU$3))/$AJ104,'Технический лист'!$I:$J,2,1)-VLOOKUP($AO104,'Технический лист'!$I:$J,2,1)),1+(1-$AU104))</f>
        <v>1</v>
      </c>
      <c r="EV104" s="111">
        <v>1</v>
      </c>
      <c r="EW104" s="15">
        <f>MIN(1,MAX(VLOOKUP(($AJ104-$AI104-$AH104-$AG104-$AF104-$AE104*(1+EW$3))/$AJ104,'Технический лист'!$A:$B,2,1),(EV104-0.05)))</f>
        <v>1</v>
      </c>
      <c r="EX104" s="15">
        <f>MIN(1,MAX(VLOOKUP(($AJ104-$AI104-$AH104-$AG104-$AF104-$AE104*(1+EX$3))/$AJ104,'Технический лист'!$A:$B,2,1),(EW104-0.05)))</f>
        <v>0.995</v>
      </c>
      <c r="EY104" s="15">
        <f>MIN(1,MAX(VLOOKUP(($AJ104-$AI104-$AH104-$AG104-$AF104-$AE104*(1+EY$3))/$AJ104,'Технический лист'!$A:$B,2,1),(EX104-0.05)))</f>
        <v>0.995</v>
      </c>
      <c r="EZ104" s="15">
        <f>MIN(1,MAX(VLOOKUP(($AJ104-$AI104-$AH104-$AG104-$AF104-$AE104*(1+EZ$3))/$AJ104,'Технический лист'!$A:$B,2,1),(EY104-0.05)))</f>
        <v>0.995</v>
      </c>
      <c r="FA104" s="15">
        <f>MIN(1,MAX(VLOOKUP(($AJ104-$AI104-$AH104-$AG104-$AF104-$AE104*(1+FA$3))/$AJ104,'Технический лист'!$A:$B,2,1),(EZ104-0.05)))</f>
        <v>0.995</v>
      </c>
      <c r="FB104" s="15">
        <f>MIN(1,MAX(VLOOKUP(($AJ104-$AI104-$AH104-$AG104-$AF104-$AE104*(1+FB$3))/$AJ104,'Технический лист'!$A:$B,2,1),(FA104-0.05)))</f>
        <v>0.995</v>
      </c>
      <c r="FC104" s="15">
        <f>MIN(1,MAX(VLOOKUP(($AJ104-$AI104-$AH104-$AG104-$AF104-$AE104*(1+FC$3))/$AJ104,'Технический лист'!$A:$B,2,1),(FB104-0.05)))</f>
        <v>0.995</v>
      </c>
      <c r="FD104" s="15">
        <f>MIN(1,MAX(VLOOKUP(($AJ104-$AI104-$AH104-$AG104-$AF104-$AE104*(1+FD$3))/$AJ104,'Технический лист'!$A:$B,2,1),(FC104-0.05)))</f>
        <v>0.995</v>
      </c>
      <c r="FE104" s="15">
        <f>MIN(1,MAX(VLOOKUP(($AJ104-$AI104-$AH104-$AG104-$AF104-$AE104*(1+FE$3))/$AJ104,'Технический лист'!$A:$B,2,1),(FD104-0.05)))</f>
        <v>0.995</v>
      </c>
      <c r="FF104" s="15">
        <f>MIN(1,MAX(VLOOKUP(($AJ104-$AI104-$AH104-$AG104-$AF104-$AE104*(1+FF$3))/$AJ104,'Технический лист'!$A:$B,2,1),(FE104-0.05)))</f>
        <v>0.995</v>
      </c>
      <c r="FG104" s="15">
        <f>MIN(1,MAX(VLOOKUP(($AJ104-$AI104-$AH104-$AG104-$AF104-$AE104*(1+FG$3))/$AJ104,'Технический лист'!$A:$B,2,1),(FF104-0.05)))</f>
        <v>0.995</v>
      </c>
      <c r="FH104" s="15">
        <f>MIN(1,MAX(VLOOKUP(($AJ104-$AI104-$AH104-$AG104-$AF104-$AE104*(1+FH$3))/$AJ104,'Технический лист'!$A:$B,2,1),(FG104-0.05)))</f>
        <v>0.995</v>
      </c>
      <c r="FI104" s="15">
        <f>MIN(1,MAX(VLOOKUP(($AJ104-$AI104-$AH104-$AG104-$AF104-$AE104*(1+FI$3))/$AJ104,'Технический лист'!$A:$B,2,1),(FH104-0.05)))</f>
        <v>0.995</v>
      </c>
      <c r="FJ104" s="15">
        <f>MIN(1,MAX(VLOOKUP(($AJ104-$AI104-$AH104-$AG104-$AF104-$AE104*(1+FJ$3))/$AJ104,'Технический лист'!$A:$B,2,1),(FI104-0.05)))</f>
        <v>0.995</v>
      </c>
      <c r="FK104" s="15">
        <f>MIN(1,MAX(VLOOKUP(($AJ104-$AI104-$AH104-$AG104-$AF104-$AE104*(1+FK$3))/$AJ104,'Технический лист'!$A:$B,2,1),(FJ104-0.05)))</f>
        <v>0.995</v>
      </c>
      <c r="FL104" s="15">
        <f>MIN(1,MAX(VLOOKUP(($AJ104-$AI104-$AH104-$AG104-$AF104-$AE104*(1+FL$3))/$AJ104,'Технический лист'!$A:$B,2,1),(FK104-0.05)))</f>
        <v>0.995</v>
      </c>
      <c r="FM104" s="15">
        <f>MIN(1,MAX(VLOOKUP(($AJ104-$AI104-$AH104-$AG104-$AF104-$AE104*(1+FM$3))/$AJ104,'Технический лист'!$A:$B,2,1),(FL104-0.05)))</f>
        <v>0.995</v>
      </c>
      <c r="FN104" s="15">
        <f>MIN(1,MAX(VLOOKUP(($AJ104-$AI104-$AH104-$AG104-$AF104-$AE104*(1+FN$3))/$AJ104,'Технический лист'!$A:$B,2,1),(FM104-0.05)))</f>
        <v>0.995</v>
      </c>
      <c r="FO104" s="15">
        <f>MIN(1,MAX(VLOOKUP(($AJ104-$AI104-$AH104-$AG104-$AF104-$AE104*(1+FO$3))/$AJ104,'Технический лист'!$A:$B,2,1),(FN104-0.05)))</f>
        <v>0.995</v>
      </c>
      <c r="FP104" s="15">
        <f>MIN(1,MAX(VLOOKUP(($AJ104-$AI104-$AH104-$AG104-$AF104-$AE104*(1+FP$3))/$AJ104,'Технический лист'!$A:$B,2,1),(FO104-0.05)))</f>
        <v>0.995</v>
      </c>
      <c r="FQ104" s="15">
        <f>MIN(1,MAX(VLOOKUP(($AJ104-$AI104-$AH104-$AG104-$AF104-$AE104*(1+FQ$3))/$AJ104,'Технический лист'!$A:$B,2,1),(FP104-0.05)))</f>
        <v>0.995</v>
      </c>
      <c r="FR104" s="15">
        <f>MIN(1,MAX(VLOOKUP(($AJ104-$AI104-$AH104-$AG104-$AF104-$AE104*(1+FR$3))/$AJ104,'Технический лист'!$A:$B,2,1),(FQ104-0.05)))</f>
        <v>0.995</v>
      </c>
      <c r="FS104" s="15">
        <f>MIN(1,MAX(VLOOKUP(($AJ104-$AI104-$AH104-$AG104-$AF104-$AE104*(1+FS$3))/$AJ104,'Технический лист'!$A:$B,2,1),(FR104-0.05)))</f>
        <v>0.99</v>
      </c>
      <c r="FT104" s="15">
        <f>MIN(1,MAX(VLOOKUP(($AJ104-$AI104-$AH104-$AG104-$AF104-$AE104*(1+FT$3))/$AJ104,'Технический лист'!$A:$B,2,1),(FS104-0.05)))</f>
        <v>0.99</v>
      </c>
      <c r="FU104" s="15">
        <f>MIN(1,MAX(VLOOKUP(($AJ104-$AI104-$AH104-$AG104-$AF104-$AE104*(1+FU$3))/$AJ104,'Технический лист'!$A:$B,2,1),(FT104-0.05)))</f>
        <v>0.99</v>
      </c>
      <c r="FV104" s="15">
        <f>MIN(1,MAX(VLOOKUP(($AJ104-$AI104-$AH104-$AG104-$AF104-$AE104*(1+FV$3))/$AJ104,'Технический лист'!$A:$B,2,1),(FU104-0.05)))</f>
        <v>0.99</v>
      </c>
      <c r="FW104" s="15">
        <f>MIN(1,MAX(VLOOKUP(($AJ104-$AI104-$AH104-$AG104-$AF104-$AE104*(1+FW$3))/$AJ104,'Технический лист'!$A:$B,2,1),(FV104-0.05)))</f>
        <v>0.99</v>
      </c>
      <c r="FX104" s="15">
        <f>MIN(1,MAX(VLOOKUP(($AJ104-$AI104-$AH104-$AG104-$AF104-$AE104*(1+FX$3))/$AJ104,'Технический лист'!$A:$B,2,1),(FW104-0.05)))</f>
        <v>0.99</v>
      </c>
      <c r="FY104" s="15">
        <f>MIN(1,MAX(VLOOKUP(($AJ104-$AI104-$AH104-$AG104-$AF104-$AE104*(1+FY$3))/$AJ104,'Технический лист'!$A:$B,2,1),(FX104-0.05)))</f>
        <v>0.99</v>
      </c>
      <c r="FZ104" s="15">
        <f>MIN(1,MAX(VLOOKUP(($AJ104-$AI104-$AH104-$AG104-$AF104-$AE104*(1+FZ$3))/$AJ104,'Технический лист'!$A:$B,2,1),(FY104-0.05)))</f>
        <v>0.99</v>
      </c>
      <c r="GA104" s="15">
        <f>MIN(1,MAX(VLOOKUP(($AJ104-$AI104-$AH104-$AG104-$AF104-$AE104*(1+GA$3))/$AJ104,'Технический лист'!$A:$B,2,1),(FZ104-0.05)))</f>
        <v>0.99</v>
      </c>
      <c r="GB104" s="15">
        <f>MIN(1,MAX(VLOOKUP(($AJ104-$AI104-$AH104-$AG104-$AF104-$AE104*(1+GB$3))/$AJ104,'Технический лист'!$A:$B,2,1),(GA104-0.05)))</f>
        <v>0.99</v>
      </c>
      <c r="GC104" s="15">
        <f>MIN(1,MAX(VLOOKUP(($AJ104-$AI104-$AH104-$AG104-$AF104-$AE104*(1+GC$3))/$AJ104,'Технический лист'!$A:$B,2,1),(GB104-0.05)))</f>
        <v>0.99</v>
      </c>
      <c r="GD104" s="15">
        <f>MIN(1,MAX(VLOOKUP(($AJ104-$AI104-$AH104-$AG104-$AF104-$AE104*(1+GD$3))/$AJ104,'Технический лист'!$A:$B,2,1),(GC104-0.05)))</f>
        <v>0.99</v>
      </c>
      <c r="GE104" s="15">
        <f>MIN(1,MAX(VLOOKUP(($AJ104-$AI104-$AH104-$AG104-$AF104-$AE104*(1+GE$3))/$AJ104,'Технический лист'!$A:$B,2,1),(GD104-0.05)))</f>
        <v>0.99</v>
      </c>
      <c r="GF104" s="15">
        <f>MIN(1,MAX(VLOOKUP(($AJ104-$AI104-$AH104-$AG104-$AF104-$AE104*(1+GF$3))/$AJ104,'Технический лист'!$A:$B,2,1),(GE104-0.05)))</f>
        <v>0.99</v>
      </c>
      <c r="GG104" s="15">
        <f>MIN(1,MAX(VLOOKUP(($AJ104-$AI104-$AH104-$AG104-$AF104-$AE104*(1+GG$3))/$AJ104,'Технический лист'!$A:$B,2,1),(GF104-0.05)))</f>
        <v>0.99</v>
      </c>
      <c r="GH104" s="15">
        <f>MIN(1,MAX(VLOOKUP(($AJ104-$AI104-$AH104-$AG104-$AF104-$AE104*(1+GH$3))/$AJ104,'Технический лист'!$A:$B,2,1),(GG104-0.05)))</f>
        <v>0.99</v>
      </c>
      <c r="GI104" s="15">
        <f>MIN(1,MAX(VLOOKUP(($AJ104-$AI104-$AH104-$AG104-$AF104-$AE104*(1+GI$3))/$AJ104,'Технический лист'!$A:$B,2,1),(GH104-0.05)))</f>
        <v>0.99</v>
      </c>
      <c r="GJ104" s="15">
        <f>MIN(1,MAX(VLOOKUP(($AJ104-$AI104-$AH104-$AG104-$AF104-$AE104*(1+GJ$3))/$AJ104,'Технический лист'!$A:$B,2,1),(GI104-0.05)))</f>
        <v>0.99</v>
      </c>
      <c r="GK104" s="15">
        <f>MIN(1,MAX(VLOOKUP(($AJ104-$AI104-$AH104-$AG104-$AF104-$AE104*(1+GK$3))/$AJ104,'Технический лист'!$A:$B,2,1),(GJ104-0.05)))</f>
        <v>0.99</v>
      </c>
      <c r="GL104" s="15">
        <f>MIN(1,MAX(VLOOKUP(($AJ104-$AI104-$AH104-$AG104-$AF104-$AE104*(1+GL$3))/$AJ104,'Технический лист'!$A:$B,2,1),(GK104-0.05)))</f>
        <v>0.99</v>
      </c>
      <c r="GM104" s="15">
        <f>MIN(1,MAX(VLOOKUP(($AJ104-$AI104-$AH104-$AG104-$AF104-$AE104*(1+GM$3))/$AJ104,'Технический лист'!$A:$B,2,1),(GL104-0.05)))</f>
        <v>0.98499999999999999</v>
      </c>
      <c r="GN104" s="15">
        <f>MIN(1,MAX(VLOOKUP(($AJ104-$AI104-$AH104-$AG104-$AF104-$AE104*(1+GN$3))/$AJ104,'Технический лист'!$A:$B,2,1),(GM104-0.05)))</f>
        <v>0.98499999999999999</v>
      </c>
      <c r="GO104" s="15">
        <f>MIN(1,MAX(VLOOKUP(($AJ104-$AI104-$AH104-$AG104-$AF104-$AE104*(1+GO$3))/$AJ104,'Технический лист'!$A:$B,2,1),(GN104-0.05)))</f>
        <v>0.98499999999999999</v>
      </c>
      <c r="GP104" s="15">
        <f>MIN(1,MAX(VLOOKUP(($AJ104-$AI104-$AH104-$AG104-$AF104-$AE104*(1+GP$3))/$AJ104,'Технический лист'!$A:$B,2,1),(GO104-0.05)))</f>
        <v>0.98499999999999999</v>
      </c>
      <c r="GQ104" s="15">
        <f>MIN(1,MAX(VLOOKUP(($AJ104-$AI104-$AH104-$AG104-$AF104-$AE104*(1+GQ$3))/$AJ104,'Технический лист'!$A:$B,2,1),(GP104-0.05)))</f>
        <v>0.98499999999999999</v>
      </c>
      <c r="GR104" s="15">
        <f>MIN(1,MAX(VLOOKUP(($AJ104-$AI104-$AH104-$AG104-$AF104-$AE104*(1+GR$3))/$AJ104,'Технический лист'!$A:$B,2,1),(GQ104-0.05)))</f>
        <v>0.98499999999999999</v>
      </c>
      <c r="GS104" s="15">
        <f>MIN(1,MAX(VLOOKUP(($AJ104-$AI104-$AH104-$AG104-$AF104-$AE104*(1+GS$3))/$AJ104,'Технический лист'!$A:$B,2,1),(GR104-0.05)))</f>
        <v>0.98499999999999999</v>
      </c>
      <c r="GT104" s="15">
        <f>MIN(1,MAX(VLOOKUP(($AJ104-$AI104-$AH104-$AG104-$AF104-$AE104*(1+GT$3))/$AJ104,'Технический лист'!$A:$B,2,1),(GS104-0.05)))</f>
        <v>0.98499999999999999</v>
      </c>
      <c r="GU104" s="15">
        <f>MIN(1,MAX(VLOOKUP(($AJ104-$AI104-$AH104-$AG104-$AF104-$AE104*(1+GU$3))/$AJ104,'Технический лист'!$A:$B,2,1),(GT104-0.05)))</f>
        <v>0.98499999999999999</v>
      </c>
      <c r="GV104" s="15">
        <f>MIN(1,MAX(VLOOKUP(($AJ104-$AI104-$AH104-$AG104-$AF104-$AE104*(1+GV$3))/$AJ104,'Технический лист'!$A:$B,2,1),(GU104-0.05)))</f>
        <v>0.98499999999999999</v>
      </c>
      <c r="GW104" s="15">
        <f>MIN(1,MAX(VLOOKUP(($AJ104-$AI104-$AH104-$AG104-$AF104-$AE104*(1+GW$3))/$AJ104,'Технический лист'!$A:$B,2,1),(GV104-0.05)))</f>
        <v>0.98499999999999999</v>
      </c>
      <c r="GX104" s="15">
        <f>MIN(1,MAX(VLOOKUP(($AJ104-$AI104-$AH104-$AG104-$AF104-$AE104*(1+GX$3))/$AJ104,'Технический лист'!$A:$B,2,1),(GW104-0.05)))</f>
        <v>0.98499999999999999</v>
      </c>
      <c r="GY104" s="15">
        <f>MIN(1,MAX(VLOOKUP(($AJ104-$AI104-$AH104-$AG104-$AF104-$AE104*(1+GY$3))/$AJ104,'Технический лист'!$A:$B,2,1),(GX104-0.05)))</f>
        <v>0.98499999999999999</v>
      </c>
      <c r="GZ104" s="15">
        <f>MIN(1,MAX(VLOOKUP(($AJ104-$AI104-$AH104-$AG104-$AF104-$AE104*(1+GZ$3))/$AJ104,'Технический лист'!$A:$B,2,1),(GY104-0.05)))</f>
        <v>0.98499999999999999</v>
      </c>
      <c r="HA104" s="15">
        <f>MIN(1,MAX(VLOOKUP(($AJ104-$AI104-$AH104-$AG104-$AF104-$AE104*(1+HA$3))/$AJ104,'Технический лист'!$A:$B,2,1),(GZ104-0.05)))</f>
        <v>0.98499999999999999</v>
      </c>
      <c r="HB104" s="15">
        <f>MIN(1,MAX(VLOOKUP(($AJ104-$AI104-$AH104-$AG104-$AF104-$AE104*(1+HB$3))/$AJ104,'Технический лист'!$A:$B,2,1),(HA104-0.05)))</f>
        <v>0.98499999999999999</v>
      </c>
      <c r="HC104" s="15">
        <f>MIN(1,MAX(VLOOKUP(($AJ104-$AI104-$AH104-$AG104-$AF104-$AE104*(1+HC$3))/$AJ104,'Технический лист'!$A:$B,2,1),(HB104-0.05)))</f>
        <v>0.98499999999999999</v>
      </c>
      <c r="HD104" s="15">
        <f>MIN(1,MAX(VLOOKUP(($AJ104-$AI104-$AH104-$AG104-$AF104-$AE104*(1+HD$3))/$AJ104,'Технический лист'!$A:$B,2,1),(HC104-0.05)))</f>
        <v>0.98499999999999999</v>
      </c>
      <c r="HE104" s="15">
        <f>MIN(1,MAX(VLOOKUP(($AJ104-$AI104-$AH104-$AG104-$AF104-$AE104*(1+HE$3))/$AJ104,'Технический лист'!$A:$B,2,1),(HD104-0.05)))</f>
        <v>0.98499999999999999</v>
      </c>
      <c r="HF104" s="15">
        <f>MIN(1,MAX(VLOOKUP(($AJ104-$AI104-$AH104-$AG104-$AF104-$AE104*(1+HF$3))/$AJ104,'Технический лист'!$A:$B,2,1),(HE104-0.05)))</f>
        <v>0.98499999999999999</v>
      </c>
      <c r="HG104" s="15">
        <f>MIN(1,MAX(VLOOKUP(($AJ104-$AI104-$AH104-$AG104-$AF104-$AE104*(1+HG$3))/$AJ104,'Технический лист'!$A:$B,2,1),(HF104-0.05)))</f>
        <v>0.98</v>
      </c>
      <c r="HH104" s="15">
        <f>MIN(1,MAX(VLOOKUP(($AJ104-$AI104-$AH104-$AG104-$AF104-$AE104*(1+HH$3))/$AJ104,'Технический лист'!$A:$B,2,1),(HG104-0.05)))</f>
        <v>0.98</v>
      </c>
      <c r="HI104" s="15">
        <f>MIN(1,MAX(VLOOKUP(($AJ104-$AI104-$AH104-$AG104-$AF104-$AE104*(1+HI$3))/$AJ104,'Технический лист'!$A:$B,2,1),(HH104-0.05)))</f>
        <v>0.98</v>
      </c>
      <c r="HJ104" s="15">
        <f>MIN(1,MAX(VLOOKUP(($AJ104-$AI104-$AH104-$AG104-$AF104-$AE104*(1+HJ$3))/$AJ104,'Технический лист'!$A:$B,2,1),(HI104-0.05)))</f>
        <v>0.98</v>
      </c>
      <c r="HK104" s="15">
        <f>MIN(1,MAX(VLOOKUP(($AJ104-$AI104-$AH104-$AG104-$AF104-$AE104*(1+HK$3))/$AJ104,'Технический лист'!$A:$B,2,1),(HJ104-0.05)))</f>
        <v>0.98</v>
      </c>
      <c r="HL104" s="15">
        <f>MIN(1,MAX(VLOOKUP(($AJ104-$AI104-$AH104-$AG104-$AF104-$AE104*(1+HL$3))/$AJ104,'Технический лист'!$A:$B,2,1),(HK104-0.05)))</f>
        <v>0.98</v>
      </c>
      <c r="HM104" s="15">
        <f>MIN(1,MAX(VLOOKUP(($AJ104-$AI104-$AH104-$AG104-$AF104-$AE104*(1+HM$3))/$AJ104,'Технический лист'!$A:$B,2,1),(HL104-0.05)))</f>
        <v>0.98</v>
      </c>
      <c r="HN104" s="15">
        <f>MIN(1,MAX(VLOOKUP(($AJ104-$AI104-$AH104-$AG104-$AF104-$AE104*(1+HN$3))/$AJ104,'Технический лист'!$A:$B,2,1),(HM104-0.05)))</f>
        <v>0.98</v>
      </c>
      <c r="HO104" s="15">
        <f>MIN(1,MAX(VLOOKUP(($AJ104-$AI104-$AH104-$AG104-$AF104-$AE104*(1+HO$3))/$AJ104,'Технический лист'!$A:$B,2,1),(HN104-0.05)))</f>
        <v>0.98</v>
      </c>
      <c r="HP104" s="15">
        <f>MIN(1,MAX(VLOOKUP(($AJ104-$AI104-$AH104-$AG104-$AF104-$AE104*(1+HP$3))/$AJ104,'Технический лист'!$A:$B,2,1),(HO104-0.05)))</f>
        <v>0.98</v>
      </c>
      <c r="HQ104" s="15">
        <f>MIN(1,MAX(VLOOKUP(($AJ104-$AI104-$AH104-$AG104-$AF104-$AE104*(1+HQ$3))/$AJ104,'Технический лист'!$A:$B,2,1),(HP104-0.05)))</f>
        <v>0.98</v>
      </c>
      <c r="HR104" s="15">
        <f>MIN(1,MAX(VLOOKUP(($AJ104-$AI104-$AH104-$AG104-$AF104-$AE104*(1+HR$3))/$AJ104,'Технический лист'!$A:$B,2,1),(HQ104-0.05)))</f>
        <v>0.98</v>
      </c>
      <c r="HS104" s="15">
        <f>MIN(1,MAX(VLOOKUP(($AJ104-$AI104-$AH104-$AG104-$AF104-$AE104*(1+HS$3))/$AJ104,'Технический лист'!$A:$B,2,1),(HR104-0.05)))</f>
        <v>0.98</v>
      </c>
      <c r="HT104" s="15">
        <f>MIN(1,MAX(VLOOKUP(($AJ104-$AI104-$AH104-$AG104-$AF104-$AE104*(1+HT$3))/$AJ104,'Технический лист'!$A:$B,2,1),(HS104-0.05)))</f>
        <v>0.98</v>
      </c>
      <c r="HU104" s="15">
        <f>MIN(1,MAX(VLOOKUP(($AJ104-$AI104-$AH104-$AG104-$AF104-$AE104*(1+HU$3))/$AJ104,'Технический лист'!$A:$B,2,1),(HT104-0.05)))</f>
        <v>0.98</v>
      </c>
      <c r="HV104" s="15">
        <f>MIN(1,MAX(VLOOKUP(($AJ104-$AI104-$AH104-$AG104-$AF104-$AE104*(1+HV$3))/$AJ104,'Технический лист'!$A:$B,2,1),(HU104-0.05)))</f>
        <v>0.98</v>
      </c>
      <c r="HW104" s="15">
        <f>MIN(1,MAX(VLOOKUP(($AJ104-$AI104-$AH104-$AG104-$AF104-$AE104*(1+HW$3))/$AJ104,'Технический лист'!$A:$B,2,1),(HV104-0.05)))</f>
        <v>0.98</v>
      </c>
      <c r="HX104" s="15">
        <f>MIN(1,MAX(VLOOKUP(($AJ104-$AI104-$AH104-$AG104-$AF104-$AE104*(1+HX$3))/$AJ104,'Технический лист'!$A:$B,2,1),(HW104-0.05)))</f>
        <v>0.98</v>
      </c>
      <c r="HY104" s="15">
        <f>MIN(1,MAX(VLOOKUP(($AJ104-$AI104-$AH104-$AG104-$AF104-$AE104*(1+HY$3))/$AJ104,'Технический лист'!$A:$B,2,1),(HX104-0.05)))</f>
        <v>0.98</v>
      </c>
      <c r="HZ104" s="15">
        <f>MIN(1,MAX(VLOOKUP(($AJ104-$AI104-$AH104-$AG104-$AF104-$AE104*(1+HZ$3))/$AJ104,'Технический лист'!$A:$B,2,1),(HY104-0.05)))</f>
        <v>0.98</v>
      </c>
      <c r="IA104" s="15">
        <f>MIN(1,MAX(VLOOKUP(($AJ104-$AI104-$AH104-$AG104-$AF104-$AE104*(1+IA$3))/$AJ104,'Технический лист'!$A:$B,2,1),(HZ104-0.05)))</f>
        <v>0.97499999999999998</v>
      </c>
      <c r="IB104" s="15">
        <f>MIN(1,MAX(VLOOKUP(($AJ104-$AI104-$AH104-$AG104-$AF104-$AE104*(1+IB$3))/$AJ104,'Технический лист'!$A:$B,2,1),(IA104-0.05)))</f>
        <v>0.97499999999999998</v>
      </c>
      <c r="IC104" s="15">
        <f>MIN(1,MAX(VLOOKUP(($AJ104-$AI104-$AH104-$AG104-$AF104-$AE104*(1+IC$3))/$AJ104,'Технический лист'!$A:$B,2,1),(IB104-0.05)))</f>
        <v>0.97499999999999998</v>
      </c>
      <c r="ID104" s="15">
        <f>MIN(1,MAX(VLOOKUP(($AJ104-$AI104-$AH104-$AG104-$AF104-$AE104*(1+ID$3))/$AJ104,'Технический лист'!$A:$B,2,1),(IC104-0.05)))</f>
        <v>0.97499999999999998</v>
      </c>
      <c r="IE104" s="15">
        <f>MIN(1,MAX(VLOOKUP(($AJ104-$AI104-$AH104-$AG104-$AF104-$AE104*(1+IE$3))/$AJ104,'Технический лист'!$A:$B,2,1),(ID104-0.05)))</f>
        <v>0.97499999999999998</v>
      </c>
      <c r="IF104" s="15">
        <f>MIN(1,MAX(VLOOKUP(($AJ104-$AI104-$AH104-$AG104-$AF104-$AE104*(1+IF$3))/$AJ104,'Технический лист'!$A:$B,2,1),(IE104-0.05)))</f>
        <v>0.97499999999999998</v>
      </c>
      <c r="IG104" s="15">
        <f>MIN(1,MAX(VLOOKUP(($AJ104-$AI104-$AH104-$AG104-$AF104-$AE104*(1+IG$3))/$AJ104,'Технический лист'!$A:$B,2,1),(IF104-0.05)))</f>
        <v>0.97499999999999998</v>
      </c>
      <c r="IH104" s="15">
        <f>MIN(1,MAX(VLOOKUP(($AJ104-$AI104-$AH104-$AG104-$AF104-$AE104*(1+IH$3))/$AJ104,'Технический лист'!$A:$B,2,1),(IG104-0.05)))</f>
        <v>0.97499999999999998</v>
      </c>
      <c r="II104" s="15">
        <f>MIN(1,MAX(VLOOKUP(($AJ104-$AI104-$AH104-$AG104-$AF104-$AE104*(1+II$3))/$AJ104,'Технический лист'!$A:$B,2,1),(IH104-0.05)))</f>
        <v>0.97499999999999998</v>
      </c>
      <c r="IJ104" s="15">
        <f>MIN(1,MAX(VLOOKUP(($AJ104-$AI104-$AH104-$AG104-$AF104-$AE104*(1+IJ$3))/$AJ104,'Технический лист'!$A:$B,2,1),(II104-0.05)))</f>
        <v>0.97499999999999998</v>
      </c>
      <c r="IK104" s="15">
        <f>MIN(1,MAX(VLOOKUP(($AJ104-$AI104-$AH104-$AG104-$AF104-$AE104*(1+IK$3))/$AJ104,'Технический лист'!$A:$B,2,1),(IJ104-0.05)))</f>
        <v>0.97499999999999998</v>
      </c>
      <c r="IL104" s="15">
        <f>MIN(1,MAX(VLOOKUP(($AJ104-$AI104-$AH104-$AG104-$AF104-$AE104*(1+IL$3))/$AJ104,'Технический лист'!$A:$B,2,1),(IK104-0.05)))</f>
        <v>0.97499999999999998</v>
      </c>
      <c r="IM104" s="15">
        <f>MIN(1,MAX(VLOOKUP(($AJ104-$AI104-$AH104-$AG104-$AF104-$AE104*(1+IM$3))/$AJ104,'Технический лист'!$A:$B,2,1),(IL104-0.05)))</f>
        <v>0.97499999999999998</v>
      </c>
      <c r="IN104" s="15">
        <f>MIN(1,MAX(VLOOKUP(($AJ104-$AI104-$AH104-$AG104-$AF104-$AE104*(1+IN$3))/$AJ104,'Технический лист'!$A:$B,2,1),(IM104-0.05)))</f>
        <v>0.97499999999999998</v>
      </c>
      <c r="IO104" s="15">
        <f>MIN(1,MAX(VLOOKUP(($AJ104-$AI104-$AH104-$AG104-$AF104-$AE104*(1+IO$3))/$AJ104,'Технический лист'!$A:$B,2,1),(IN104-0.05)))</f>
        <v>0.97499999999999998</v>
      </c>
      <c r="IP104" s="15">
        <f>MIN(1,MAX(VLOOKUP(($AJ104-$AI104-$AH104-$AG104-$AF104-$AE104*(1+IP$3))/$AJ104,'Технический лист'!$A:$B,2,1),(IO104-0.05)))</f>
        <v>0.97499999999999998</v>
      </c>
      <c r="IQ104" s="15">
        <f>MIN(1,MAX(VLOOKUP(($AJ104-$AI104-$AH104-$AG104-$AF104-$AE104*(1+IQ$3))/$AJ104,'Технический лист'!$A:$B,2,1),(IP104-0.05)))</f>
        <v>0.97499999999999998</v>
      </c>
      <c r="IR104" s="15">
        <f>MIN(1,MAX(VLOOKUP(($AJ104-$AI104-$AH104-$AG104-$AF104-$AE104*(1+IR$3))/$AJ104,'Технический лист'!$A:$B,2,1),(IQ104-0.05)))</f>
        <v>0.97499999999999998</v>
      </c>
    </row>
    <row r="105" spans="1:252" ht="43.75">
      <c r="A105" s="89" t="s">
        <v>514</v>
      </c>
      <c r="B105" s="90">
        <v>5</v>
      </c>
      <c r="C105" s="5" t="s">
        <v>68</v>
      </c>
      <c r="D105" s="91">
        <v>31307</v>
      </c>
      <c r="E105" s="91" t="s">
        <v>360</v>
      </c>
      <c r="F105" s="92" t="s">
        <v>80</v>
      </c>
      <c r="G105" s="91" t="s">
        <v>30</v>
      </c>
      <c r="H105" s="91" t="s">
        <v>16</v>
      </c>
      <c r="I105" s="91" t="s">
        <v>90</v>
      </c>
      <c r="J105" s="91" t="s">
        <v>169</v>
      </c>
      <c r="K105" s="91">
        <v>4606</v>
      </c>
      <c r="L105" s="77" t="s">
        <v>189</v>
      </c>
      <c r="M105" s="91" t="s">
        <v>17</v>
      </c>
      <c r="N105" s="91" t="s">
        <v>48</v>
      </c>
      <c r="O105" s="91" t="s">
        <v>194</v>
      </c>
      <c r="P105" s="89" t="s">
        <v>206</v>
      </c>
      <c r="Q105" s="91" t="s">
        <v>255</v>
      </c>
      <c r="R105" s="91" t="s">
        <v>255</v>
      </c>
      <c r="S105" s="82">
        <v>38249</v>
      </c>
      <c r="T105" s="82">
        <v>176159250</v>
      </c>
      <c r="U105" s="81">
        <v>689</v>
      </c>
      <c r="V105" s="81">
        <v>1473</v>
      </c>
      <c r="W105" s="82">
        <v>103817912</v>
      </c>
      <c r="X105" s="112">
        <v>56</v>
      </c>
      <c r="Y105" s="112" t="s">
        <v>48</v>
      </c>
      <c r="Z105" s="113">
        <v>15</v>
      </c>
      <c r="AA105" s="113">
        <v>0</v>
      </c>
      <c r="AB105" s="113">
        <v>4</v>
      </c>
      <c r="AC105" s="99">
        <f>175952/X105</f>
        <v>3142</v>
      </c>
      <c r="AD105" s="99">
        <v>0</v>
      </c>
      <c r="AE105" s="99">
        <f>AC105</f>
        <v>3142</v>
      </c>
      <c r="AF105" s="98">
        <f>(AB105+AA105+Z105)*'Ставки аренды'!$B$6/X105</f>
        <v>542.85714285714289</v>
      </c>
      <c r="AG105" s="114">
        <f>'Ставки перевалки'!$B$16*2/X105</f>
        <v>803.57142857142856</v>
      </c>
      <c r="AH105" s="94">
        <v>0</v>
      </c>
      <c r="AI105" s="115">
        <f>242262/286977*AJ105</f>
        <v>64158.145077828536</v>
      </c>
      <c r="AJ105" s="117">
        <f>Цены!D39</f>
        <v>76000</v>
      </c>
      <c r="AK105" s="94">
        <f>AJ105/Цены!$B$1</f>
        <v>995.99635675016884</v>
      </c>
      <c r="AL105" s="95">
        <f t="shared" si="24"/>
        <v>4488.4285714285716</v>
      </c>
      <c r="AM105" s="95">
        <f t="shared" si="25"/>
        <v>71511.571428571435</v>
      </c>
      <c r="AN105" s="94">
        <f t="shared" si="39"/>
        <v>68646.573649257101</v>
      </c>
      <c r="AO105" s="118">
        <f t="shared" si="40"/>
        <v>9.6755609878196036E-2</v>
      </c>
      <c r="AP105" s="96">
        <f t="shared" si="26"/>
        <v>5.9058270676691733E-2</v>
      </c>
      <c r="AQ105" s="96">
        <f t="shared" si="27"/>
        <v>4.1342105263157895E-2</v>
      </c>
      <c r="AR105" s="96">
        <f t="shared" si="28"/>
        <v>0.70002227951239693</v>
      </c>
      <c r="AS105" s="122">
        <v>1</v>
      </c>
      <c r="AT105" s="121">
        <f>S105*AS105</f>
        <v>38249</v>
      </c>
      <c r="AU105" s="7"/>
      <c r="AV105" s="119">
        <f t="shared" ref="AV105:AV156" si="41">(AJ105-(AE105*(1+$IS$2)+AF105+AG105+AH105+AI105))/AJ105</f>
        <v>9.1794557246616976E-2</v>
      </c>
      <c r="AW105" s="120">
        <f t="shared" ref="AW105:AW156" si="42">(AE105*(1+$IS$2)+AF105+AG105)/AJ105</f>
        <v>6.4019323308270676E-2</v>
      </c>
      <c r="AX105" s="120">
        <f t="shared" ref="AX105:AX156" si="43">(AE105*(1+$IS$2))/AJ105</f>
        <v>4.6303157894736845E-2</v>
      </c>
      <c r="AY105" s="120">
        <f t="shared" ref="AY105:AY156" si="44">(AE105*(1+$IS$2))/(AE105*(1+$IS$2)+AF105+AG105)</f>
        <v>0.72326846804947287</v>
      </c>
      <c r="AZ105" s="15">
        <f>MIN(IF($AU105=100%,1,1+VLOOKUP(($AJ105-$AI105-$AH105-$AG105-$AF105-$AE105*(1+AZ$3))/$AJ105,'Технический лист'!$I:$J,2,1)-VLOOKUP($AO105,'Технический лист'!$I:$J,2,1)),1+(1-$AU105))</f>
        <v>1.135</v>
      </c>
      <c r="BA105" s="15">
        <f>MIN(IF($AU105=100%,1,1+VLOOKUP(($AJ105-$AI105-$AH105-$AG105-$AF105-$AE105*(1+BA$3))/$AJ105,'Технический лист'!$I:$J,2,1)-VLOOKUP($AO105,'Технический лист'!$I:$J,2,1)),1+(1-$AU105))</f>
        <v>1.135</v>
      </c>
      <c r="BB105" s="15">
        <f>MIN(IF($AU105=100%,1,1+VLOOKUP(($AJ105-$AI105-$AH105-$AG105-$AF105-$AE105*(1+BB$3))/$AJ105,'Технический лист'!$I:$J,2,1)-VLOOKUP($AO105,'Технический лист'!$I:$J,2,1)),1+(1-$AU105))</f>
        <v>1.135</v>
      </c>
      <c r="BC105" s="15">
        <f>MIN(IF($AU105=100%,1,1+VLOOKUP(($AJ105-$AI105-$AH105-$AG105-$AF105-$AE105*(1+BC$3))/$AJ105,'Технический лист'!$I:$J,2,1)-VLOOKUP($AO105,'Технический лист'!$I:$J,2,1)),1+(1-$AU105))</f>
        <v>1.135</v>
      </c>
      <c r="BD105" s="15">
        <f>MIN(IF($AU105=100%,1,1+VLOOKUP(($AJ105-$AI105-$AH105-$AG105-$AF105-$AE105*(1+BD$3))/$AJ105,'Технический лист'!$I:$J,2,1)-VLOOKUP($AO105,'Технический лист'!$I:$J,2,1)),1+(1-$AU105))</f>
        <v>1.135</v>
      </c>
      <c r="BE105" s="15">
        <f>MIN(IF($AU105=100%,1,1+VLOOKUP(($AJ105-$AI105-$AH105-$AG105-$AF105-$AE105*(1+BE$3))/$AJ105,'Технический лист'!$I:$J,2,1)-VLOOKUP($AO105,'Технический лист'!$I:$J,2,1)),1+(1-$AU105))</f>
        <v>1.135</v>
      </c>
      <c r="BF105" s="15">
        <f>MIN(IF($AU105=100%,1,1+VLOOKUP(($AJ105-$AI105-$AH105-$AG105-$AF105-$AE105*(1+BF$3))/$AJ105,'Технический лист'!$I:$J,2,1)-VLOOKUP($AO105,'Технический лист'!$I:$J,2,1)),1+(1-$AU105))</f>
        <v>1.135</v>
      </c>
      <c r="BG105" s="15">
        <f>MIN(IF($AU105=100%,1,1+VLOOKUP(($AJ105-$AI105-$AH105-$AG105-$AF105-$AE105*(1+BG$3))/$AJ105,'Технический лист'!$I:$J,2,1)-VLOOKUP($AO105,'Технический лист'!$I:$J,2,1)),1+(1-$AU105))</f>
        <v>1.135</v>
      </c>
      <c r="BH105" s="15">
        <f>MIN(IF($AU105=100%,1,1+VLOOKUP(($AJ105-$AI105-$AH105-$AG105-$AF105-$AE105*(1+BH$3))/$AJ105,'Технический лист'!$I:$J,2,1)-VLOOKUP($AO105,'Технический лист'!$I:$J,2,1)),1+(1-$AU105))</f>
        <v>1.135</v>
      </c>
      <c r="BI105" s="15">
        <f>MIN(IF($AU105=100%,1,1+VLOOKUP(($AJ105-$AI105-$AH105-$AG105-$AF105-$AE105*(1+BI$3))/$AJ105,'Технический лист'!$I:$J,2,1)-VLOOKUP($AO105,'Технический лист'!$I:$J,2,1)),1+(1-$AU105))</f>
        <v>1.135</v>
      </c>
      <c r="BJ105" s="15">
        <f>MIN(IF($AU105=100%,1,1+VLOOKUP(($AJ105-$AI105-$AH105-$AG105-$AF105-$AE105*(1+BJ$3))/$AJ105,'Технический лист'!$I:$J,2,1)-VLOOKUP($AO105,'Технический лист'!$I:$J,2,1)),1+(1-$AU105))</f>
        <v>1.135</v>
      </c>
      <c r="BK105" s="15">
        <f>MIN(IF($AU105=100%,1,1+VLOOKUP(($AJ105-$AI105-$AH105-$AG105-$AF105-$AE105*(1+BK$3))/$AJ105,'Технический лист'!$I:$J,2,1)-VLOOKUP($AO105,'Технический лист'!$I:$J,2,1)),1+(1-$AU105))</f>
        <v>1.135</v>
      </c>
      <c r="BL105" s="15">
        <f>MIN(IF($AU105=100%,1,1+VLOOKUP(($AJ105-$AI105-$AH105-$AG105-$AF105-$AE105*(1+BL$3))/$AJ105,'Технический лист'!$I:$J,2,1)-VLOOKUP($AO105,'Технический лист'!$I:$J,2,1)),1+(1-$AU105))</f>
        <v>1.0999999999999999</v>
      </c>
      <c r="BM105" s="15">
        <f>MIN(IF($AU105=100%,1,1+VLOOKUP(($AJ105-$AI105-$AH105-$AG105-$AF105-$AE105*(1+BM$3))/$AJ105,'Технический лист'!$I:$J,2,1)-VLOOKUP($AO105,'Технический лист'!$I:$J,2,1)),1+(1-$AU105))</f>
        <v>1.0999999999999999</v>
      </c>
      <c r="BN105" s="15">
        <f>MIN(IF($AU105=100%,1,1+VLOOKUP(($AJ105-$AI105-$AH105-$AG105-$AF105-$AE105*(1+BN$3))/$AJ105,'Технический лист'!$I:$J,2,1)-VLOOKUP($AO105,'Технический лист'!$I:$J,2,1)),1+(1-$AU105))</f>
        <v>1.0999999999999999</v>
      </c>
      <c r="BO105" s="15">
        <f>MIN(IF($AU105=100%,1,1+VLOOKUP(($AJ105-$AI105-$AH105-$AG105-$AF105-$AE105*(1+BO$3))/$AJ105,'Технический лист'!$I:$J,2,1)-VLOOKUP($AO105,'Технический лист'!$I:$J,2,1)),1+(1-$AU105))</f>
        <v>1.0999999999999999</v>
      </c>
      <c r="BP105" s="15">
        <f>MIN(IF($AU105=100%,1,1+VLOOKUP(($AJ105-$AI105-$AH105-$AG105-$AF105-$AE105*(1+BP$3))/$AJ105,'Технический лист'!$I:$J,2,1)-VLOOKUP($AO105,'Технический лист'!$I:$J,2,1)),1+(1-$AU105))</f>
        <v>1.0999999999999999</v>
      </c>
      <c r="BQ105" s="15">
        <f>MIN(IF($AU105=100%,1,1+VLOOKUP(($AJ105-$AI105-$AH105-$AG105-$AF105-$AE105*(1+BQ$3))/$AJ105,'Технический лист'!$I:$J,2,1)-VLOOKUP($AO105,'Технический лист'!$I:$J,2,1)),1+(1-$AU105))</f>
        <v>1.0999999999999999</v>
      </c>
      <c r="BR105" s="15">
        <f>MIN(IF($AU105=100%,1,1+VLOOKUP(($AJ105-$AI105-$AH105-$AG105-$AF105-$AE105*(1+BR$3))/$AJ105,'Технический лист'!$I:$J,2,1)-VLOOKUP($AO105,'Технический лист'!$I:$J,2,1)),1+(1-$AU105))</f>
        <v>1.0999999999999999</v>
      </c>
      <c r="BS105" s="15">
        <f>MIN(IF($AU105=100%,1,1+VLOOKUP(($AJ105-$AI105-$AH105-$AG105-$AF105-$AE105*(1+BS$3))/$AJ105,'Технический лист'!$I:$J,2,1)-VLOOKUP($AO105,'Технический лист'!$I:$J,2,1)),1+(1-$AU105))</f>
        <v>1.0999999999999999</v>
      </c>
      <c r="BT105" s="15">
        <f>MIN(IF($AU105=100%,1,1+VLOOKUP(($AJ105-$AI105-$AH105-$AG105-$AF105-$AE105*(1+BT$3))/$AJ105,'Технический лист'!$I:$J,2,1)-VLOOKUP($AO105,'Технический лист'!$I:$J,2,1)),1+(1-$AU105))</f>
        <v>1.0999999999999999</v>
      </c>
      <c r="BU105" s="15">
        <f>MIN(IF($AU105=100%,1,1+VLOOKUP(($AJ105-$AI105-$AH105-$AG105-$AF105-$AE105*(1+BU$3))/$AJ105,'Технический лист'!$I:$J,2,1)-VLOOKUP($AO105,'Технический лист'!$I:$J,2,1)),1+(1-$AU105))</f>
        <v>1.0999999999999999</v>
      </c>
      <c r="BV105" s="15">
        <f>MIN(IF($AU105=100%,1,1+VLOOKUP(($AJ105-$AI105-$AH105-$AG105-$AF105-$AE105*(1+BV$3))/$AJ105,'Технический лист'!$I:$J,2,1)-VLOOKUP($AO105,'Технический лист'!$I:$J,2,1)),1+(1-$AU105))</f>
        <v>1.0999999999999999</v>
      </c>
      <c r="BW105" s="15">
        <f>MIN(IF($AU105=100%,1,1+VLOOKUP(($AJ105-$AI105-$AH105-$AG105-$AF105-$AE105*(1+BW$3))/$AJ105,'Технический лист'!$I:$J,2,1)-VLOOKUP($AO105,'Технический лист'!$I:$J,2,1)),1+(1-$AU105))</f>
        <v>1.0999999999999999</v>
      </c>
      <c r="BX105" s="15">
        <f>MIN(IF($AU105=100%,1,1+VLOOKUP(($AJ105-$AI105-$AH105-$AG105-$AF105-$AE105*(1+BX$3))/$AJ105,'Технический лист'!$I:$J,2,1)-VLOOKUP($AO105,'Технический лист'!$I:$J,2,1)),1+(1-$AU105))</f>
        <v>1.0999999999999999</v>
      </c>
      <c r="BY105" s="15">
        <f>MIN(IF($AU105=100%,1,1+VLOOKUP(($AJ105-$AI105-$AH105-$AG105-$AF105-$AE105*(1+BY$3))/$AJ105,'Технический лист'!$I:$J,2,1)-VLOOKUP($AO105,'Технический лист'!$I:$J,2,1)),1+(1-$AU105))</f>
        <v>1.0999999999999999</v>
      </c>
      <c r="BZ105" s="15">
        <f>MIN(IF($AU105=100%,1,1+VLOOKUP(($AJ105-$AI105-$AH105-$AG105-$AF105-$AE105*(1+BZ$3))/$AJ105,'Технический лист'!$I:$J,2,1)-VLOOKUP($AO105,'Технический лист'!$I:$J,2,1)),1+(1-$AU105))</f>
        <v>1.0999999999999999</v>
      </c>
      <c r="CA105" s="15">
        <f>MIN(IF($AU105=100%,1,1+VLOOKUP(($AJ105-$AI105-$AH105-$AG105-$AF105-$AE105*(1+CA$3))/$AJ105,'Технический лист'!$I:$J,2,1)-VLOOKUP($AO105,'Технический лист'!$I:$J,2,1)),1+(1-$AU105))</f>
        <v>1.0999999999999999</v>
      </c>
      <c r="CB105" s="15">
        <f>MIN(IF($AU105=100%,1,1+VLOOKUP(($AJ105-$AI105-$AH105-$AG105-$AF105-$AE105*(1+CB$3))/$AJ105,'Технический лист'!$I:$J,2,1)-VLOOKUP($AO105,'Технический лист'!$I:$J,2,1)),1+(1-$AU105))</f>
        <v>1.0999999999999999</v>
      </c>
      <c r="CC105" s="15">
        <f>MIN(IF($AU105=100%,1,1+VLOOKUP(($AJ105-$AI105-$AH105-$AG105-$AF105-$AE105*(1+CC$3))/$AJ105,'Технический лист'!$I:$J,2,1)-VLOOKUP($AO105,'Технический лист'!$I:$J,2,1)),1+(1-$AU105))</f>
        <v>1.0999999999999999</v>
      </c>
      <c r="CD105" s="15">
        <f>MIN(IF($AU105=100%,1,1+VLOOKUP(($AJ105-$AI105-$AH105-$AG105-$AF105-$AE105*(1+CD$3))/$AJ105,'Технический лист'!$I:$J,2,1)-VLOOKUP($AO105,'Технический лист'!$I:$J,2,1)),1+(1-$AU105))</f>
        <v>1.0999999999999999</v>
      </c>
      <c r="CE105" s="15">
        <f>MIN(IF($AU105=100%,1,1+VLOOKUP(($AJ105-$AI105-$AH105-$AG105-$AF105-$AE105*(1+CE$3))/$AJ105,'Технический лист'!$I:$J,2,1)-VLOOKUP($AO105,'Технический лист'!$I:$J,2,1)),1+(1-$AU105))</f>
        <v>1.0999999999999999</v>
      </c>
      <c r="CF105" s="15">
        <f>MIN(IF($AU105=100%,1,1+VLOOKUP(($AJ105-$AI105-$AH105-$AG105-$AF105-$AE105*(1+CF$3))/$AJ105,'Технический лист'!$I:$J,2,1)-VLOOKUP($AO105,'Технический лист'!$I:$J,2,1)),1+(1-$AU105))</f>
        <v>1.0999999999999999</v>
      </c>
      <c r="CG105" s="15">
        <f>MIN(IF($AU105=100%,1,1+VLOOKUP(($AJ105-$AI105-$AH105-$AG105-$AF105-$AE105*(1+CG$3))/$AJ105,'Технический лист'!$I:$J,2,1)-VLOOKUP($AO105,'Технический лист'!$I:$J,2,1)),1+(1-$AU105))</f>
        <v>1.0999999999999999</v>
      </c>
      <c r="CH105" s="15">
        <f>MIN(IF($AU105=100%,1,1+VLOOKUP(($AJ105-$AI105-$AH105-$AG105-$AF105-$AE105*(1+CH$3))/$AJ105,'Технический лист'!$I:$J,2,1)-VLOOKUP($AO105,'Технический лист'!$I:$J,2,1)),1+(1-$AU105))</f>
        <v>1.0999999999999999</v>
      </c>
      <c r="CI105" s="15">
        <f>MIN(IF($AU105=100%,1,1+VLOOKUP(($AJ105-$AI105-$AH105-$AG105-$AF105-$AE105*(1+CI$3))/$AJ105,'Технический лист'!$I:$J,2,1)-VLOOKUP($AO105,'Технический лист'!$I:$J,2,1)),1+(1-$AU105))</f>
        <v>1.0999999999999999</v>
      </c>
      <c r="CJ105" s="15">
        <f>MIN(IF($AU105=100%,1,1+VLOOKUP(($AJ105-$AI105-$AH105-$AG105-$AF105-$AE105*(1+CJ$3))/$AJ105,'Технический лист'!$I:$J,2,1)-VLOOKUP($AO105,'Технический лист'!$I:$J,2,1)),1+(1-$AU105))</f>
        <v>1.0650000000000002</v>
      </c>
      <c r="CK105" s="15">
        <f>MIN(IF($AU105=100%,1,1+VLOOKUP(($AJ105-$AI105-$AH105-$AG105-$AF105-$AE105*(1+CK$3))/$AJ105,'Технический лист'!$I:$J,2,1)-VLOOKUP($AO105,'Технический лист'!$I:$J,2,1)),1+(1-$AU105))</f>
        <v>1.0650000000000002</v>
      </c>
      <c r="CL105" s="15">
        <f>MIN(IF($AU105=100%,1,1+VLOOKUP(($AJ105-$AI105-$AH105-$AG105-$AF105-$AE105*(1+CL$3))/$AJ105,'Технический лист'!$I:$J,2,1)-VLOOKUP($AO105,'Технический лист'!$I:$J,2,1)),1+(1-$AU105))</f>
        <v>1.0650000000000002</v>
      </c>
      <c r="CM105" s="15">
        <f>MIN(IF($AU105=100%,1,1+VLOOKUP(($AJ105-$AI105-$AH105-$AG105-$AF105-$AE105*(1+CM$3))/$AJ105,'Технический лист'!$I:$J,2,1)-VLOOKUP($AO105,'Технический лист'!$I:$J,2,1)),1+(1-$AU105))</f>
        <v>1.0650000000000002</v>
      </c>
      <c r="CN105" s="15">
        <f>MIN(IF($AU105=100%,1,1+VLOOKUP(($AJ105-$AI105-$AH105-$AG105-$AF105-$AE105*(1+CN$3))/$AJ105,'Технический лист'!$I:$J,2,1)-VLOOKUP($AO105,'Технический лист'!$I:$J,2,1)),1+(1-$AU105))</f>
        <v>1.0650000000000002</v>
      </c>
      <c r="CO105" s="15">
        <f>MIN(IF($AU105=100%,1,1+VLOOKUP(($AJ105-$AI105-$AH105-$AG105-$AF105-$AE105*(1+CO$3))/$AJ105,'Технический лист'!$I:$J,2,1)-VLOOKUP($AO105,'Технический лист'!$I:$J,2,1)),1+(1-$AU105))</f>
        <v>1.0650000000000002</v>
      </c>
      <c r="CP105" s="15">
        <f>MIN(IF($AU105=100%,1,1+VLOOKUP(($AJ105-$AI105-$AH105-$AG105-$AF105-$AE105*(1+CP$3))/$AJ105,'Технический лист'!$I:$J,2,1)-VLOOKUP($AO105,'Технический лист'!$I:$J,2,1)),1+(1-$AU105))</f>
        <v>1.0650000000000002</v>
      </c>
      <c r="CQ105" s="15">
        <f>MIN(IF($AU105=100%,1,1+VLOOKUP(($AJ105-$AI105-$AH105-$AG105-$AF105-$AE105*(1+CQ$3))/$AJ105,'Технический лист'!$I:$J,2,1)-VLOOKUP($AO105,'Технический лист'!$I:$J,2,1)),1+(1-$AU105))</f>
        <v>1.0650000000000002</v>
      </c>
      <c r="CR105" s="15">
        <f>MIN(IF($AU105=100%,1,1+VLOOKUP(($AJ105-$AI105-$AH105-$AG105-$AF105-$AE105*(1+CR$3))/$AJ105,'Технический лист'!$I:$J,2,1)-VLOOKUP($AO105,'Технический лист'!$I:$J,2,1)),1+(1-$AU105))</f>
        <v>1.0650000000000002</v>
      </c>
      <c r="CS105" s="15">
        <f>MIN(IF($AU105=100%,1,1+VLOOKUP(($AJ105-$AI105-$AH105-$AG105-$AF105-$AE105*(1+CS$3))/$AJ105,'Технический лист'!$I:$J,2,1)-VLOOKUP($AO105,'Технический лист'!$I:$J,2,1)),1+(1-$AU105))</f>
        <v>1.0650000000000002</v>
      </c>
      <c r="CT105" s="15">
        <f>MIN(IF($AU105=100%,1,1+VLOOKUP(($AJ105-$AI105-$AH105-$AG105-$AF105-$AE105*(1+CT$3))/$AJ105,'Технический лист'!$I:$J,2,1)-VLOOKUP($AO105,'Технический лист'!$I:$J,2,1)),1+(1-$AU105))</f>
        <v>1.0650000000000002</v>
      </c>
      <c r="CU105" s="15">
        <f>MIN(IF($AU105=100%,1,1+VLOOKUP(($AJ105-$AI105-$AH105-$AG105-$AF105-$AE105*(1+CU$3))/$AJ105,'Технический лист'!$I:$J,2,1)-VLOOKUP($AO105,'Технический лист'!$I:$J,2,1)),1+(1-$AU105))</f>
        <v>1.0650000000000002</v>
      </c>
      <c r="CV105" s="15">
        <f>MIN(IF($AU105=100%,1,1+VLOOKUP(($AJ105-$AI105-$AH105-$AG105-$AF105-$AE105*(1+CV$3))/$AJ105,'Технический лист'!$I:$J,2,1)-VLOOKUP($AO105,'Технический лист'!$I:$J,2,1)),1+(1-$AU105))</f>
        <v>1.0650000000000002</v>
      </c>
      <c r="CW105" s="15">
        <f>MIN(IF($AU105=100%,1,1+VLOOKUP(($AJ105-$AI105-$AH105-$AG105-$AF105-$AE105*(1+CW$3))/$AJ105,'Технический лист'!$I:$J,2,1)-VLOOKUP($AO105,'Технический лист'!$I:$J,2,1)),1+(1-$AU105))</f>
        <v>1.0650000000000002</v>
      </c>
      <c r="CX105" s="15">
        <f>MIN(IF($AU105=100%,1,1+VLOOKUP(($AJ105-$AI105-$AH105-$AG105-$AF105-$AE105*(1+CX$3))/$AJ105,'Технический лист'!$I:$J,2,1)-VLOOKUP($AO105,'Технический лист'!$I:$J,2,1)),1+(1-$AU105))</f>
        <v>1.0650000000000002</v>
      </c>
      <c r="CY105" s="15">
        <f>MIN(IF($AU105=100%,1,1+VLOOKUP(($AJ105-$AI105-$AH105-$AG105-$AF105-$AE105*(1+CY$3))/$AJ105,'Технический лист'!$I:$J,2,1)-VLOOKUP($AO105,'Технический лист'!$I:$J,2,1)),1+(1-$AU105))</f>
        <v>1.0650000000000002</v>
      </c>
      <c r="CZ105" s="15">
        <f>MIN(IF($AU105=100%,1,1+VLOOKUP(($AJ105-$AI105-$AH105-$AG105-$AF105-$AE105*(1+CZ$3))/$AJ105,'Технический лист'!$I:$J,2,1)-VLOOKUP($AO105,'Технический лист'!$I:$J,2,1)),1+(1-$AU105))</f>
        <v>1.0650000000000002</v>
      </c>
      <c r="DA105" s="15">
        <f>MIN(IF($AU105=100%,1,1+VLOOKUP(($AJ105-$AI105-$AH105-$AG105-$AF105-$AE105*(1+DA$3))/$AJ105,'Технический лист'!$I:$J,2,1)-VLOOKUP($AO105,'Технический лист'!$I:$J,2,1)),1+(1-$AU105))</f>
        <v>1.0650000000000002</v>
      </c>
      <c r="DB105" s="15">
        <f>MIN(IF($AU105=100%,1,1+VLOOKUP(($AJ105-$AI105-$AH105-$AG105-$AF105-$AE105*(1+DB$3))/$AJ105,'Технический лист'!$I:$J,2,1)-VLOOKUP($AO105,'Технический лист'!$I:$J,2,1)),1+(1-$AU105))</f>
        <v>1.0650000000000002</v>
      </c>
      <c r="DC105" s="15">
        <f>MIN(IF($AU105=100%,1,1+VLOOKUP(($AJ105-$AI105-$AH105-$AG105-$AF105-$AE105*(1+DC$3))/$AJ105,'Технический лист'!$I:$J,2,1)-VLOOKUP($AO105,'Технический лист'!$I:$J,2,1)),1+(1-$AU105))</f>
        <v>1.0650000000000002</v>
      </c>
      <c r="DD105" s="15">
        <f>MIN(IF($AU105=100%,1,1+VLOOKUP(($AJ105-$AI105-$AH105-$AG105-$AF105-$AE105*(1+DD$3))/$AJ105,'Технический лист'!$I:$J,2,1)-VLOOKUP($AO105,'Технический лист'!$I:$J,2,1)),1+(1-$AU105))</f>
        <v>1.0650000000000002</v>
      </c>
      <c r="DE105" s="15">
        <f>MIN(IF($AU105=100%,1,1+VLOOKUP(($AJ105-$AI105-$AH105-$AG105-$AF105-$AE105*(1+DE$3))/$AJ105,'Технический лист'!$I:$J,2,1)-VLOOKUP($AO105,'Технический лист'!$I:$J,2,1)),1+(1-$AU105))</f>
        <v>1.0650000000000002</v>
      </c>
      <c r="DF105" s="15">
        <f>MIN(IF($AU105=100%,1,1+VLOOKUP(($AJ105-$AI105-$AH105-$AG105-$AF105-$AE105*(1+DF$3))/$AJ105,'Технический лист'!$I:$J,2,1)-VLOOKUP($AO105,'Технический лист'!$I:$J,2,1)),1+(1-$AU105))</f>
        <v>1.0650000000000002</v>
      </c>
      <c r="DG105" s="15">
        <f>MIN(IF($AU105=100%,1,1+VLOOKUP(($AJ105-$AI105-$AH105-$AG105-$AF105-$AE105*(1+DG$3))/$AJ105,'Технический лист'!$I:$J,2,1)-VLOOKUP($AO105,'Технический лист'!$I:$J,2,1)),1+(1-$AU105))</f>
        <v>1.0650000000000002</v>
      </c>
      <c r="DH105" s="15">
        <f>MIN(IF($AU105=100%,1,1+VLOOKUP(($AJ105-$AI105-$AH105-$AG105-$AF105-$AE105*(1+DH$3))/$AJ105,'Технический лист'!$I:$J,2,1)-VLOOKUP($AO105,'Технический лист'!$I:$J,2,1)),1+(1-$AU105))</f>
        <v>1.0650000000000002</v>
      </c>
      <c r="DI105" s="15">
        <f>MIN(IF($AU105=100%,1,1+VLOOKUP(($AJ105-$AI105-$AH105-$AG105-$AF105-$AE105*(1+DI$3))/$AJ105,'Технический лист'!$I:$J,2,1)-VLOOKUP($AO105,'Технический лист'!$I:$J,2,1)),1+(1-$AU105))</f>
        <v>1.03</v>
      </c>
      <c r="DJ105" s="15">
        <f>MIN(IF($AU105=100%,1,1+VLOOKUP(($AJ105-$AI105-$AH105-$AG105-$AF105-$AE105*(1+DJ$3))/$AJ105,'Технический лист'!$I:$J,2,1)-VLOOKUP($AO105,'Технический лист'!$I:$J,2,1)),1+(1-$AU105))</f>
        <v>1.03</v>
      </c>
      <c r="DK105" s="15">
        <f>MIN(IF($AU105=100%,1,1+VLOOKUP(($AJ105-$AI105-$AH105-$AG105-$AF105-$AE105*(1+DK$3))/$AJ105,'Технический лист'!$I:$J,2,1)-VLOOKUP($AO105,'Технический лист'!$I:$J,2,1)),1+(1-$AU105))</f>
        <v>1.03</v>
      </c>
      <c r="DL105" s="15">
        <f>MIN(IF($AU105=100%,1,1+VLOOKUP(($AJ105-$AI105-$AH105-$AG105-$AF105-$AE105*(1+DL$3))/$AJ105,'Технический лист'!$I:$J,2,1)-VLOOKUP($AO105,'Технический лист'!$I:$J,2,1)),1+(1-$AU105))</f>
        <v>1.03</v>
      </c>
      <c r="DM105" s="15">
        <f>MIN(IF($AU105=100%,1,1+VLOOKUP(($AJ105-$AI105-$AH105-$AG105-$AF105-$AE105*(1+DM$3))/$AJ105,'Технический лист'!$I:$J,2,1)-VLOOKUP($AO105,'Технический лист'!$I:$J,2,1)),1+(1-$AU105))</f>
        <v>1.03</v>
      </c>
      <c r="DN105" s="15">
        <f>MIN(IF($AU105=100%,1,1+VLOOKUP(($AJ105-$AI105-$AH105-$AG105-$AF105-$AE105*(1+DN$3))/$AJ105,'Технический лист'!$I:$J,2,1)-VLOOKUP($AO105,'Технический лист'!$I:$J,2,1)),1+(1-$AU105))</f>
        <v>1.03</v>
      </c>
      <c r="DO105" s="15">
        <f>MIN(IF($AU105=100%,1,1+VLOOKUP(($AJ105-$AI105-$AH105-$AG105-$AF105-$AE105*(1+DO$3))/$AJ105,'Технический лист'!$I:$J,2,1)-VLOOKUP($AO105,'Технический лист'!$I:$J,2,1)),1+(1-$AU105))</f>
        <v>1.03</v>
      </c>
      <c r="DP105" s="15">
        <f>MIN(IF($AU105=100%,1,1+VLOOKUP(($AJ105-$AI105-$AH105-$AG105-$AF105-$AE105*(1+DP$3))/$AJ105,'Технический лист'!$I:$J,2,1)-VLOOKUP($AO105,'Технический лист'!$I:$J,2,1)),1+(1-$AU105))</f>
        <v>1.03</v>
      </c>
      <c r="DQ105" s="15">
        <f>MIN(IF($AU105=100%,1,1+VLOOKUP(($AJ105-$AI105-$AH105-$AG105-$AF105-$AE105*(1+DQ$3))/$AJ105,'Технический лист'!$I:$J,2,1)-VLOOKUP($AO105,'Технический лист'!$I:$J,2,1)),1+(1-$AU105))</f>
        <v>1.03</v>
      </c>
      <c r="DR105" s="15">
        <f>MIN(IF($AU105=100%,1,1+VLOOKUP(($AJ105-$AI105-$AH105-$AG105-$AF105-$AE105*(1+DR$3))/$AJ105,'Технический лист'!$I:$J,2,1)-VLOOKUP($AO105,'Технический лист'!$I:$J,2,1)),1+(1-$AU105))</f>
        <v>1.03</v>
      </c>
      <c r="DS105" s="15">
        <f>MIN(IF($AU105=100%,1,1+VLOOKUP(($AJ105-$AI105-$AH105-$AG105-$AF105-$AE105*(1+DS$3))/$AJ105,'Технический лист'!$I:$J,2,1)-VLOOKUP($AO105,'Технический лист'!$I:$J,2,1)),1+(1-$AU105))</f>
        <v>1.03</v>
      </c>
      <c r="DT105" s="15">
        <f>MIN(IF($AU105=100%,1,1+VLOOKUP(($AJ105-$AI105-$AH105-$AG105-$AF105-$AE105*(1+DT$3))/$AJ105,'Технический лист'!$I:$J,2,1)-VLOOKUP($AO105,'Технический лист'!$I:$J,2,1)),1+(1-$AU105))</f>
        <v>1.03</v>
      </c>
      <c r="DU105" s="15">
        <f>MIN(IF($AU105=100%,1,1+VLOOKUP(($AJ105-$AI105-$AH105-$AG105-$AF105-$AE105*(1+DU$3))/$AJ105,'Технический лист'!$I:$J,2,1)-VLOOKUP($AO105,'Технический лист'!$I:$J,2,1)),1+(1-$AU105))</f>
        <v>1.03</v>
      </c>
      <c r="DV105" s="15">
        <f>MIN(IF($AU105=100%,1,1+VLOOKUP(($AJ105-$AI105-$AH105-$AG105-$AF105-$AE105*(1+DV$3))/$AJ105,'Технический лист'!$I:$J,2,1)-VLOOKUP($AO105,'Технический лист'!$I:$J,2,1)),1+(1-$AU105))</f>
        <v>1.03</v>
      </c>
      <c r="DW105" s="15">
        <f>MIN(IF($AU105=100%,1,1+VLOOKUP(($AJ105-$AI105-$AH105-$AG105-$AF105-$AE105*(1+DW$3))/$AJ105,'Технический лист'!$I:$J,2,1)-VLOOKUP($AO105,'Технический лист'!$I:$J,2,1)),1+(1-$AU105))</f>
        <v>1.03</v>
      </c>
      <c r="DX105" s="15">
        <f>MIN(IF($AU105=100%,1,1+VLOOKUP(($AJ105-$AI105-$AH105-$AG105-$AF105-$AE105*(1+DX$3))/$AJ105,'Технический лист'!$I:$J,2,1)-VLOOKUP($AO105,'Технический лист'!$I:$J,2,1)),1+(1-$AU105))</f>
        <v>1.03</v>
      </c>
      <c r="DY105" s="15">
        <f>MIN(IF($AU105=100%,1,1+VLOOKUP(($AJ105-$AI105-$AH105-$AG105-$AF105-$AE105*(1+DY$3))/$AJ105,'Технический лист'!$I:$J,2,1)-VLOOKUP($AO105,'Технический лист'!$I:$J,2,1)),1+(1-$AU105))</f>
        <v>1.03</v>
      </c>
      <c r="DZ105" s="15">
        <f>MIN(IF($AU105=100%,1,1+VLOOKUP(($AJ105-$AI105-$AH105-$AG105-$AF105-$AE105*(1+DZ$3))/$AJ105,'Технический лист'!$I:$J,2,1)-VLOOKUP($AO105,'Технический лист'!$I:$J,2,1)),1+(1-$AU105))</f>
        <v>1.03</v>
      </c>
      <c r="EA105" s="15">
        <f>MIN(IF($AU105=100%,1,1+VLOOKUP(($AJ105-$AI105-$AH105-$AG105-$AF105-$AE105*(1+EA$3))/$AJ105,'Технический лист'!$I:$J,2,1)-VLOOKUP($AO105,'Технический лист'!$I:$J,2,1)),1+(1-$AU105))</f>
        <v>1.03</v>
      </c>
      <c r="EB105" s="15">
        <f>MIN(IF($AU105=100%,1,1+VLOOKUP(($AJ105-$AI105-$AH105-$AG105-$AF105-$AE105*(1+EB$3))/$AJ105,'Технический лист'!$I:$J,2,1)-VLOOKUP($AO105,'Технический лист'!$I:$J,2,1)),1+(1-$AU105))</f>
        <v>1.03</v>
      </c>
      <c r="EC105" s="15">
        <f>MIN(IF($AU105=100%,1,1+VLOOKUP(($AJ105-$AI105-$AH105-$AG105-$AF105-$AE105*(1+EC$3))/$AJ105,'Технический лист'!$I:$J,2,1)-VLOOKUP($AO105,'Технический лист'!$I:$J,2,1)),1+(1-$AU105))</f>
        <v>1.03</v>
      </c>
      <c r="ED105" s="15">
        <f>MIN(IF($AU105=100%,1,1+VLOOKUP(($AJ105-$AI105-$AH105-$AG105-$AF105-$AE105*(1+ED$3))/$AJ105,'Технический лист'!$I:$J,2,1)-VLOOKUP($AO105,'Технический лист'!$I:$J,2,1)),1+(1-$AU105))</f>
        <v>1.03</v>
      </c>
      <c r="EE105" s="15">
        <f>MIN(IF($AU105=100%,1,1+VLOOKUP(($AJ105-$AI105-$AH105-$AG105-$AF105-$AE105*(1+EE$3))/$AJ105,'Технический лист'!$I:$J,2,1)-VLOOKUP($AO105,'Технический лист'!$I:$J,2,1)),1+(1-$AU105))</f>
        <v>1.03</v>
      </c>
      <c r="EF105" s="15">
        <f>MIN(IF($AU105=100%,1,1+VLOOKUP(($AJ105-$AI105-$AH105-$AG105-$AF105-$AE105*(1+EF$3))/$AJ105,'Технический лист'!$I:$J,2,1)-VLOOKUP($AO105,'Технический лист'!$I:$J,2,1)),1+(1-$AU105))</f>
        <v>1.03</v>
      </c>
      <c r="EG105" s="15">
        <f>MIN(IF($AU105=100%,1,1+VLOOKUP(($AJ105-$AI105-$AH105-$AG105-$AF105-$AE105*(1+EG$3))/$AJ105,'Технический лист'!$I:$J,2,1)-VLOOKUP($AO105,'Технический лист'!$I:$J,2,1)),1+(1-$AU105))</f>
        <v>0.99999999999999978</v>
      </c>
      <c r="EH105" s="15">
        <f>MIN(IF($AU105=100%,1,1+VLOOKUP(($AJ105-$AI105-$AH105-$AG105-$AF105-$AE105*(1+EH$3))/$AJ105,'Технический лист'!$I:$J,2,1)-VLOOKUP($AO105,'Технический лист'!$I:$J,2,1)),1+(1-$AU105))</f>
        <v>0.99999999999999978</v>
      </c>
      <c r="EI105" s="15">
        <f>MIN(IF($AU105=100%,1,1+VLOOKUP(($AJ105-$AI105-$AH105-$AG105-$AF105-$AE105*(1+EI$3))/$AJ105,'Технический лист'!$I:$J,2,1)-VLOOKUP($AO105,'Технический лист'!$I:$J,2,1)),1+(1-$AU105))</f>
        <v>0.99999999999999978</v>
      </c>
      <c r="EJ105" s="15">
        <f>MIN(IF($AU105=100%,1,1+VLOOKUP(($AJ105-$AI105-$AH105-$AG105-$AF105-$AE105*(1+EJ$3))/$AJ105,'Технический лист'!$I:$J,2,1)-VLOOKUP($AO105,'Технический лист'!$I:$J,2,1)),1+(1-$AU105))</f>
        <v>0.99999999999999978</v>
      </c>
      <c r="EK105" s="15">
        <f>MIN(IF($AU105=100%,1,1+VLOOKUP(($AJ105-$AI105-$AH105-$AG105-$AF105-$AE105*(1+EK$3))/$AJ105,'Технический лист'!$I:$J,2,1)-VLOOKUP($AO105,'Технический лист'!$I:$J,2,1)),1+(1-$AU105))</f>
        <v>0.99999999999999978</v>
      </c>
      <c r="EL105" s="15">
        <f>MIN(IF($AU105=100%,1,1+VLOOKUP(($AJ105-$AI105-$AH105-$AG105-$AF105-$AE105*(1+EL$3))/$AJ105,'Технический лист'!$I:$J,2,1)-VLOOKUP($AO105,'Технический лист'!$I:$J,2,1)),1+(1-$AU105))</f>
        <v>0.99999999999999978</v>
      </c>
      <c r="EM105" s="15">
        <f>MIN(IF($AU105=100%,1,1+VLOOKUP(($AJ105-$AI105-$AH105-$AG105-$AF105-$AE105*(1+EM$3))/$AJ105,'Технический лист'!$I:$J,2,1)-VLOOKUP($AO105,'Технический лист'!$I:$J,2,1)),1+(1-$AU105))</f>
        <v>0.99999999999999978</v>
      </c>
      <c r="EN105" s="15">
        <f>MIN(IF($AU105=100%,1,1+VLOOKUP(($AJ105-$AI105-$AH105-$AG105-$AF105-$AE105*(1+EN$3))/$AJ105,'Технический лист'!$I:$J,2,1)-VLOOKUP($AO105,'Технический лист'!$I:$J,2,1)),1+(1-$AU105))</f>
        <v>0.99999999999999978</v>
      </c>
      <c r="EO105" s="15">
        <f>MIN(IF($AU105=100%,1,1+VLOOKUP(($AJ105-$AI105-$AH105-$AG105-$AF105-$AE105*(1+EO$3))/$AJ105,'Технический лист'!$I:$J,2,1)-VLOOKUP($AO105,'Технический лист'!$I:$J,2,1)),1+(1-$AU105))</f>
        <v>0.99999999999999978</v>
      </c>
      <c r="EP105" s="15">
        <f>MIN(IF($AU105=100%,1,1+VLOOKUP(($AJ105-$AI105-$AH105-$AG105-$AF105-$AE105*(1+EP$3))/$AJ105,'Технический лист'!$I:$J,2,1)-VLOOKUP($AO105,'Технический лист'!$I:$J,2,1)),1+(1-$AU105))</f>
        <v>0.99999999999999978</v>
      </c>
      <c r="EQ105" s="15">
        <f>MIN(IF($AU105=100%,1,1+VLOOKUP(($AJ105-$AI105-$AH105-$AG105-$AF105-$AE105*(1+EQ$3))/$AJ105,'Технический лист'!$I:$J,2,1)-VLOOKUP($AO105,'Технический лист'!$I:$J,2,1)),1+(1-$AU105))</f>
        <v>0.99999999999999978</v>
      </c>
      <c r="ER105" s="15">
        <f>MIN(IF($AU105=100%,1,1+VLOOKUP(($AJ105-$AI105-$AH105-$AG105-$AF105-$AE105*(1+ER$3))/$AJ105,'Технический лист'!$I:$J,2,1)-VLOOKUP($AO105,'Технический лист'!$I:$J,2,1)),1+(1-$AU105))</f>
        <v>0.99999999999999978</v>
      </c>
      <c r="ES105" s="15">
        <f>MIN(IF($AU105=100%,1,1+VLOOKUP(($AJ105-$AI105-$AH105-$AG105-$AF105-$AE105*(1+ES$3))/$AJ105,'Технический лист'!$I:$J,2,1)-VLOOKUP($AO105,'Технический лист'!$I:$J,2,1)),1+(1-$AU105))</f>
        <v>0.99999999999999978</v>
      </c>
      <c r="ET105" s="15">
        <f>MIN(IF($AU105=100%,1,1+VLOOKUP(($AJ105-$AI105-$AH105-$AG105-$AF105-$AE105*(1+ET$3))/$AJ105,'Технический лист'!$I:$J,2,1)-VLOOKUP($AO105,'Технический лист'!$I:$J,2,1)),1+(1-$AU105))</f>
        <v>0.99999999999999978</v>
      </c>
      <c r="EU105" s="15">
        <f>MIN(IF($AU105=100%,1,1+VLOOKUP(($AJ105-$AI105-$AH105-$AG105-$AF105-$AE105*(1+EU$3))/$AJ105,'Технический лист'!$I:$J,2,1)-VLOOKUP($AO105,'Технический лист'!$I:$J,2,1)),1+(1-$AU105))</f>
        <v>0.99999999999999978</v>
      </c>
      <c r="EV105" s="111">
        <v>1</v>
      </c>
      <c r="EW105" s="15">
        <f>MIN(1,MAX(VLOOKUP(($AJ105-$AI105-$AH105-$AG105-$AF105-$AE105*(1+EW$3))/$AJ105,'Технический лист'!$A:$B,2,1),(EV105-0.05)))</f>
        <v>1</v>
      </c>
      <c r="EX105" s="15">
        <f>MIN(1,MAX(VLOOKUP(($AJ105-$AI105-$AH105-$AG105-$AF105-$AE105*(1+EX$3))/$AJ105,'Технический лист'!$A:$B,2,1),(EW105-0.05)))</f>
        <v>1</v>
      </c>
      <c r="EY105" s="15">
        <f>MIN(1,MAX(VLOOKUP(($AJ105-$AI105-$AH105-$AG105-$AF105-$AE105*(1+EY$3))/$AJ105,'Технический лист'!$A:$B,2,1),(EX105-0.05)))</f>
        <v>1</v>
      </c>
      <c r="EZ105" s="15">
        <f>MIN(1,MAX(VLOOKUP(($AJ105-$AI105-$AH105-$AG105-$AF105-$AE105*(1+EZ$3))/$AJ105,'Технический лист'!$A:$B,2,1),(EY105-0.05)))</f>
        <v>1</v>
      </c>
      <c r="FA105" s="15">
        <f>MIN(1,MAX(VLOOKUP(($AJ105-$AI105-$AH105-$AG105-$AF105-$AE105*(1+FA$3))/$AJ105,'Технический лист'!$A:$B,2,1),(EZ105-0.05)))</f>
        <v>1</v>
      </c>
      <c r="FB105" s="15">
        <f>MIN(1,MAX(VLOOKUP(($AJ105-$AI105-$AH105-$AG105-$AF105-$AE105*(1+FB$3))/$AJ105,'Технический лист'!$A:$B,2,1),(FA105-0.05)))</f>
        <v>1</v>
      </c>
      <c r="FC105" s="15">
        <f>MIN(1,MAX(VLOOKUP(($AJ105-$AI105-$AH105-$AG105-$AF105-$AE105*(1+FC$3))/$AJ105,'Технический лист'!$A:$B,2,1),(FB105-0.05)))</f>
        <v>1</v>
      </c>
      <c r="FD105" s="15">
        <f>MIN(1,MAX(VLOOKUP(($AJ105-$AI105-$AH105-$AG105-$AF105-$AE105*(1+FD$3))/$AJ105,'Технический лист'!$A:$B,2,1),(FC105-0.05)))</f>
        <v>1</v>
      </c>
      <c r="FE105" s="15">
        <f>MIN(1,MAX(VLOOKUP(($AJ105-$AI105-$AH105-$AG105-$AF105-$AE105*(1+FE$3))/$AJ105,'Технический лист'!$A:$B,2,1),(FD105-0.05)))</f>
        <v>1</v>
      </c>
      <c r="FF105" s="15">
        <f>MIN(1,MAX(VLOOKUP(($AJ105-$AI105-$AH105-$AG105-$AF105-$AE105*(1+FF$3))/$AJ105,'Технический лист'!$A:$B,2,1),(FE105-0.05)))</f>
        <v>1</v>
      </c>
      <c r="FG105" s="15">
        <f>MIN(1,MAX(VLOOKUP(($AJ105-$AI105-$AH105-$AG105-$AF105-$AE105*(1+FG$3))/$AJ105,'Технический лист'!$A:$B,2,1),(FF105-0.05)))</f>
        <v>1</v>
      </c>
      <c r="FH105" s="15">
        <f>MIN(1,MAX(VLOOKUP(($AJ105-$AI105-$AH105-$AG105-$AF105-$AE105*(1+FH$3))/$AJ105,'Технический лист'!$A:$B,2,1),(FG105-0.05)))</f>
        <v>1</v>
      </c>
      <c r="FI105" s="15">
        <f>MIN(1,MAX(VLOOKUP(($AJ105-$AI105-$AH105-$AG105-$AF105-$AE105*(1+FI$3))/$AJ105,'Технический лист'!$A:$B,2,1),(FH105-0.05)))</f>
        <v>1</v>
      </c>
      <c r="FJ105" s="15">
        <f>MIN(1,MAX(VLOOKUP(($AJ105-$AI105-$AH105-$AG105-$AF105-$AE105*(1+FJ$3))/$AJ105,'Технический лист'!$A:$B,2,1),(FI105-0.05)))</f>
        <v>1</v>
      </c>
      <c r="FK105" s="15">
        <f>MIN(1,MAX(VLOOKUP(($AJ105-$AI105-$AH105-$AG105-$AF105-$AE105*(1+FK$3))/$AJ105,'Технический лист'!$A:$B,2,1),(FJ105-0.05)))</f>
        <v>1</v>
      </c>
      <c r="FL105" s="15">
        <f>MIN(1,MAX(VLOOKUP(($AJ105-$AI105-$AH105-$AG105-$AF105-$AE105*(1+FL$3))/$AJ105,'Технический лист'!$A:$B,2,1),(FK105-0.05)))</f>
        <v>1</v>
      </c>
      <c r="FM105" s="15">
        <f>MIN(1,MAX(VLOOKUP(($AJ105-$AI105-$AH105-$AG105-$AF105-$AE105*(1+FM$3))/$AJ105,'Технический лист'!$A:$B,2,1),(FL105-0.05)))</f>
        <v>1</v>
      </c>
      <c r="FN105" s="15">
        <f>MIN(1,MAX(VLOOKUP(($AJ105-$AI105-$AH105-$AG105-$AF105-$AE105*(1+FN$3))/$AJ105,'Технический лист'!$A:$B,2,1),(FM105-0.05)))</f>
        <v>1</v>
      </c>
      <c r="FO105" s="15">
        <f>MIN(1,MAX(VLOOKUP(($AJ105-$AI105-$AH105-$AG105-$AF105-$AE105*(1+FO$3))/$AJ105,'Технический лист'!$A:$B,2,1),(FN105-0.05)))</f>
        <v>1</v>
      </c>
      <c r="FP105" s="15">
        <f>MIN(1,MAX(VLOOKUP(($AJ105-$AI105-$AH105-$AG105-$AF105-$AE105*(1+FP$3))/$AJ105,'Технический лист'!$A:$B,2,1),(FO105-0.05)))</f>
        <v>1</v>
      </c>
      <c r="FQ105" s="15">
        <f>MIN(1,MAX(VLOOKUP(($AJ105-$AI105-$AH105-$AG105-$AF105-$AE105*(1+FQ$3))/$AJ105,'Технический лист'!$A:$B,2,1),(FP105-0.05)))</f>
        <v>1</v>
      </c>
      <c r="FR105" s="15">
        <f>MIN(1,MAX(VLOOKUP(($AJ105-$AI105-$AH105-$AG105-$AF105-$AE105*(1+FR$3))/$AJ105,'Технический лист'!$A:$B,2,1),(FQ105-0.05)))</f>
        <v>1</v>
      </c>
      <c r="FS105" s="15">
        <f>MIN(1,MAX(VLOOKUP(($AJ105-$AI105-$AH105-$AG105-$AF105-$AE105*(1+FS$3))/$AJ105,'Технический лист'!$A:$B,2,1),(FR105-0.05)))</f>
        <v>1</v>
      </c>
      <c r="FT105" s="15">
        <f>MIN(1,MAX(VLOOKUP(($AJ105-$AI105-$AH105-$AG105-$AF105-$AE105*(1+FT$3))/$AJ105,'Технический лист'!$A:$B,2,1),(FS105-0.05)))</f>
        <v>1</v>
      </c>
      <c r="FU105" s="15">
        <f>MIN(1,MAX(VLOOKUP(($AJ105-$AI105-$AH105-$AG105-$AF105-$AE105*(1+FU$3))/$AJ105,'Технический лист'!$A:$B,2,1),(FT105-0.05)))</f>
        <v>1</v>
      </c>
      <c r="FV105" s="15">
        <f>MIN(1,MAX(VLOOKUP(($AJ105-$AI105-$AH105-$AG105-$AF105-$AE105*(1+FV$3))/$AJ105,'Технический лист'!$A:$B,2,1),(FU105-0.05)))</f>
        <v>1</v>
      </c>
      <c r="FW105" s="15">
        <f>MIN(1,MAX(VLOOKUP(($AJ105-$AI105-$AH105-$AG105-$AF105-$AE105*(1+FW$3))/$AJ105,'Технический лист'!$A:$B,2,1),(FV105-0.05)))</f>
        <v>1</v>
      </c>
      <c r="FX105" s="15">
        <f>MIN(1,MAX(VLOOKUP(($AJ105-$AI105-$AH105-$AG105-$AF105-$AE105*(1+FX$3))/$AJ105,'Технический лист'!$A:$B,2,1),(FW105-0.05)))</f>
        <v>1</v>
      </c>
      <c r="FY105" s="15">
        <f>MIN(1,MAX(VLOOKUP(($AJ105-$AI105-$AH105-$AG105-$AF105-$AE105*(1+FY$3))/$AJ105,'Технический лист'!$A:$B,2,1),(FX105-0.05)))</f>
        <v>1</v>
      </c>
      <c r="FZ105" s="15">
        <f>MIN(1,MAX(VLOOKUP(($AJ105-$AI105-$AH105-$AG105-$AF105-$AE105*(1+FZ$3))/$AJ105,'Технический лист'!$A:$B,2,1),(FY105-0.05)))</f>
        <v>1</v>
      </c>
      <c r="GA105" s="15">
        <f>MIN(1,MAX(VLOOKUP(($AJ105-$AI105-$AH105-$AG105-$AF105-$AE105*(1+GA$3))/$AJ105,'Технический лист'!$A:$B,2,1),(FZ105-0.05)))</f>
        <v>1</v>
      </c>
      <c r="GB105" s="15">
        <f>MIN(1,MAX(VLOOKUP(($AJ105-$AI105-$AH105-$AG105-$AF105-$AE105*(1+GB$3))/$AJ105,'Технический лист'!$A:$B,2,1),(GA105-0.05)))</f>
        <v>1</v>
      </c>
      <c r="GC105" s="15">
        <f>MIN(1,MAX(VLOOKUP(($AJ105-$AI105-$AH105-$AG105-$AF105-$AE105*(1+GC$3))/$AJ105,'Технический лист'!$A:$B,2,1),(GB105-0.05)))</f>
        <v>1</v>
      </c>
      <c r="GD105" s="15">
        <f>MIN(1,MAX(VLOOKUP(($AJ105-$AI105-$AH105-$AG105-$AF105-$AE105*(1+GD$3))/$AJ105,'Технический лист'!$A:$B,2,1),(GC105-0.05)))</f>
        <v>1</v>
      </c>
      <c r="GE105" s="15">
        <f>MIN(1,MAX(VLOOKUP(($AJ105-$AI105-$AH105-$AG105-$AF105-$AE105*(1+GE$3))/$AJ105,'Технический лист'!$A:$B,2,1),(GD105-0.05)))</f>
        <v>1</v>
      </c>
      <c r="GF105" s="15">
        <f>MIN(1,MAX(VLOOKUP(($AJ105-$AI105-$AH105-$AG105-$AF105-$AE105*(1+GF$3))/$AJ105,'Технический лист'!$A:$B,2,1),(GE105-0.05)))</f>
        <v>1</v>
      </c>
      <c r="GG105" s="15">
        <f>MIN(1,MAX(VLOOKUP(($AJ105-$AI105-$AH105-$AG105-$AF105-$AE105*(1+GG$3))/$AJ105,'Технический лист'!$A:$B,2,1),(GF105-0.05)))</f>
        <v>1</v>
      </c>
      <c r="GH105" s="15">
        <f>MIN(1,MAX(VLOOKUP(($AJ105-$AI105-$AH105-$AG105-$AF105-$AE105*(1+GH$3))/$AJ105,'Технический лист'!$A:$B,2,1),(GG105-0.05)))</f>
        <v>1</v>
      </c>
      <c r="GI105" s="15">
        <f>MIN(1,MAX(VLOOKUP(($AJ105-$AI105-$AH105-$AG105-$AF105-$AE105*(1+GI$3))/$AJ105,'Технический лист'!$A:$B,2,1),(GH105-0.05)))</f>
        <v>1</v>
      </c>
      <c r="GJ105" s="15">
        <f>MIN(1,MAX(VLOOKUP(($AJ105-$AI105-$AH105-$AG105-$AF105-$AE105*(1+GJ$3))/$AJ105,'Технический лист'!$A:$B,2,1),(GI105-0.05)))</f>
        <v>1</v>
      </c>
      <c r="GK105" s="15">
        <f>MIN(1,MAX(VLOOKUP(($AJ105-$AI105-$AH105-$AG105-$AF105-$AE105*(1+GK$3))/$AJ105,'Технический лист'!$A:$B,2,1),(GJ105-0.05)))</f>
        <v>1</v>
      </c>
      <c r="GL105" s="15">
        <f>MIN(1,MAX(VLOOKUP(($AJ105-$AI105-$AH105-$AG105-$AF105-$AE105*(1+GL$3))/$AJ105,'Технический лист'!$A:$B,2,1),(GK105-0.05)))</f>
        <v>1</v>
      </c>
      <c r="GM105" s="15">
        <f>MIN(1,MAX(VLOOKUP(($AJ105-$AI105-$AH105-$AG105-$AF105-$AE105*(1+GM$3))/$AJ105,'Технический лист'!$A:$B,2,1),(GL105-0.05)))</f>
        <v>1</v>
      </c>
      <c r="GN105" s="15">
        <f>MIN(1,MAX(VLOOKUP(($AJ105-$AI105-$AH105-$AG105-$AF105-$AE105*(1+GN$3))/$AJ105,'Технический лист'!$A:$B,2,1),(GM105-0.05)))</f>
        <v>1</v>
      </c>
      <c r="GO105" s="15">
        <f>MIN(1,MAX(VLOOKUP(($AJ105-$AI105-$AH105-$AG105-$AF105-$AE105*(1+GO$3))/$AJ105,'Технический лист'!$A:$B,2,1),(GN105-0.05)))</f>
        <v>1</v>
      </c>
      <c r="GP105" s="15">
        <f>MIN(1,MAX(VLOOKUP(($AJ105-$AI105-$AH105-$AG105-$AF105-$AE105*(1+GP$3))/$AJ105,'Технический лист'!$A:$B,2,1),(GO105-0.05)))</f>
        <v>1</v>
      </c>
      <c r="GQ105" s="15">
        <f>MIN(1,MAX(VLOOKUP(($AJ105-$AI105-$AH105-$AG105-$AF105-$AE105*(1+GQ$3))/$AJ105,'Технический лист'!$A:$B,2,1),(GP105-0.05)))</f>
        <v>1</v>
      </c>
      <c r="GR105" s="15">
        <f>MIN(1,MAX(VLOOKUP(($AJ105-$AI105-$AH105-$AG105-$AF105-$AE105*(1+GR$3))/$AJ105,'Технический лист'!$A:$B,2,1),(GQ105-0.05)))</f>
        <v>1</v>
      </c>
      <c r="GS105" s="15">
        <f>MIN(1,MAX(VLOOKUP(($AJ105-$AI105-$AH105-$AG105-$AF105-$AE105*(1+GS$3))/$AJ105,'Технический лист'!$A:$B,2,1),(GR105-0.05)))</f>
        <v>1</v>
      </c>
      <c r="GT105" s="15">
        <f>MIN(1,MAX(VLOOKUP(($AJ105-$AI105-$AH105-$AG105-$AF105-$AE105*(1+GT$3))/$AJ105,'Технический лист'!$A:$B,2,1),(GS105-0.05)))</f>
        <v>1</v>
      </c>
      <c r="GU105" s="15">
        <f>MIN(1,MAX(VLOOKUP(($AJ105-$AI105-$AH105-$AG105-$AF105-$AE105*(1+GU$3))/$AJ105,'Технический лист'!$A:$B,2,1),(GT105-0.05)))</f>
        <v>1</v>
      </c>
      <c r="GV105" s="15">
        <f>MIN(1,MAX(VLOOKUP(($AJ105-$AI105-$AH105-$AG105-$AF105-$AE105*(1+GV$3))/$AJ105,'Технический лист'!$A:$B,2,1),(GU105-0.05)))</f>
        <v>1</v>
      </c>
      <c r="GW105" s="15">
        <f>MIN(1,MAX(VLOOKUP(($AJ105-$AI105-$AH105-$AG105-$AF105-$AE105*(1+GW$3))/$AJ105,'Технический лист'!$A:$B,2,1),(GV105-0.05)))</f>
        <v>1</v>
      </c>
      <c r="GX105" s="15">
        <f>MIN(1,MAX(VLOOKUP(($AJ105-$AI105-$AH105-$AG105-$AF105-$AE105*(1+GX$3))/$AJ105,'Технический лист'!$A:$B,2,1),(GW105-0.05)))</f>
        <v>1</v>
      </c>
      <c r="GY105" s="15">
        <f>MIN(1,MAX(VLOOKUP(($AJ105-$AI105-$AH105-$AG105-$AF105-$AE105*(1+GY$3))/$AJ105,'Технический лист'!$A:$B,2,1),(GX105-0.05)))</f>
        <v>1</v>
      </c>
      <c r="GZ105" s="15">
        <f>MIN(1,MAX(VLOOKUP(($AJ105-$AI105-$AH105-$AG105-$AF105-$AE105*(1+GZ$3))/$AJ105,'Технический лист'!$A:$B,2,1),(GY105-0.05)))</f>
        <v>1</v>
      </c>
      <c r="HA105" s="15">
        <f>MIN(1,MAX(VLOOKUP(($AJ105-$AI105-$AH105-$AG105-$AF105-$AE105*(1+HA$3))/$AJ105,'Технический лист'!$A:$B,2,1),(GZ105-0.05)))</f>
        <v>1</v>
      </c>
      <c r="HB105" s="15">
        <f>MIN(1,MAX(VLOOKUP(($AJ105-$AI105-$AH105-$AG105-$AF105-$AE105*(1+HB$3))/$AJ105,'Технический лист'!$A:$B,2,1),(HA105-0.05)))</f>
        <v>1</v>
      </c>
      <c r="HC105" s="15">
        <f>MIN(1,MAX(VLOOKUP(($AJ105-$AI105-$AH105-$AG105-$AF105-$AE105*(1+HC$3))/$AJ105,'Технический лист'!$A:$B,2,1),(HB105-0.05)))</f>
        <v>1</v>
      </c>
      <c r="HD105" s="15">
        <f>MIN(1,MAX(VLOOKUP(($AJ105-$AI105-$AH105-$AG105-$AF105-$AE105*(1+HD$3))/$AJ105,'Технический лист'!$A:$B,2,1),(HC105-0.05)))</f>
        <v>1</v>
      </c>
      <c r="HE105" s="15">
        <f>MIN(1,MAX(VLOOKUP(($AJ105-$AI105-$AH105-$AG105-$AF105-$AE105*(1+HE$3))/$AJ105,'Технический лист'!$A:$B,2,1),(HD105-0.05)))</f>
        <v>1</v>
      </c>
      <c r="HF105" s="15">
        <f>MIN(1,MAX(VLOOKUP(($AJ105-$AI105-$AH105-$AG105-$AF105-$AE105*(1+HF$3))/$AJ105,'Технический лист'!$A:$B,2,1),(HE105-0.05)))</f>
        <v>1</v>
      </c>
      <c r="HG105" s="15">
        <f>MIN(1,MAX(VLOOKUP(($AJ105-$AI105-$AH105-$AG105-$AF105-$AE105*(1+HG$3))/$AJ105,'Технический лист'!$A:$B,2,1),(HF105-0.05)))</f>
        <v>1</v>
      </c>
      <c r="HH105" s="15">
        <f>MIN(1,MAX(VLOOKUP(($AJ105-$AI105-$AH105-$AG105-$AF105-$AE105*(1+HH$3))/$AJ105,'Технический лист'!$A:$B,2,1),(HG105-0.05)))</f>
        <v>1</v>
      </c>
      <c r="HI105" s="15">
        <f>MIN(1,MAX(VLOOKUP(($AJ105-$AI105-$AH105-$AG105-$AF105-$AE105*(1+HI$3))/$AJ105,'Технический лист'!$A:$B,2,1),(HH105-0.05)))</f>
        <v>1</v>
      </c>
      <c r="HJ105" s="15">
        <f>MIN(1,MAX(VLOOKUP(($AJ105-$AI105-$AH105-$AG105-$AF105-$AE105*(1+HJ$3))/$AJ105,'Технический лист'!$A:$B,2,1),(HI105-0.05)))</f>
        <v>1</v>
      </c>
      <c r="HK105" s="15">
        <f>MIN(1,MAX(VLOOKUP(($AJ105-$AI105-$AH105-$AG105-$AF105-$AE105*(1+HK$3))/$AJ105,'Технический лист'!$A:$B,2,1),(HJ105-0.05)))</f>
        <v>1</v>
      </c>
      <c r="HL105" s="15">
        <f>MIN(1,MAX(VLOOKUP(($AJ105-$AI105-$AH105-$AG105-$AF105-$AE105*(1+HL$3))/$AJ105,'Технический лист'!$A:$B,2,1),(HK105-0.05)))</f>
        <v>1</v>
      </c>
      <c r="HM105" s="15">
        <f>MIN(1,MAX(VLOOKUP(($AJ105-$AI105-$AH105-$AG105-$AF105-$AE105*(1+HM$3))/$AJ105,'Технический лист'!$A:$B,2,1),(HL105-0.05)))</f>
        <v>1</v>
      </c>
      <c r="HN105" s="15">
        <f>MIN(1,MAX(VLOOKUP(($AJ105-$AI105-$AH105-$AG105-$AF105-$AE105*(1+HN$3))/$AJ105,'Технический лист'!$A:$B,2,1),(HM105-0.05)))</f>
        <v>1</v>
      </c>
      <c r="HO105" s="15">
        <f>MIN(1,MAX(VLOOKUP(($AJ105-$AI105-$AH105-$AG105-$AF105-$AE105*(1+HO$3))/$AJ105,'Технический лист'!$A:$B,2,1),(HN105-0.05)))</f>
        <v>1</v>
      </c>
      <c r="HP105" s="15">
        <f>MIN(1,MAX(VLOOKUP(($AJ105-$AI105-$AH105-$AG105-$AF105-$AE105*(1+HP$3))/$AJ105,'Технический лист'!$A:$B,2,1),(HO105-0.05)))</f>
        <v>1</v>
      </c>
      <c r="HQ105" s="15">
        <f>MIN(1,MAX(VLOOKUP(($AJ105-$AI105-$AH105-$AG105-$AF105-$AE105*(1+HQ$3))/$AJ105,'Технический лист'!$A:$B,2,1),(HP105-0.05)))</f>
        <v>1</v>
      </c>
      <c r="HR105" s="15">
        <f>MIN(1,MAX(VLOOKUP(($AJ105-$AI105-$AH105-$AG105-$AF105-$AE105*(1+HR$3))/$AJ105,'Технический лист'!$A:$B,2,1),(HQ105-0.05)))</f>
        <v>1</v>
      </c>
      <c r="HS105" s="15">
        <f>MIN(1,MAX(VLOOKUP(($AJ105-$AI105-$AH105-$AG105-$AF105-$AE105*(1+HS$3))/$AJ105,'Технический лист'!$A:$B,2,1),(HR105-0.05)))</f>
        <v>1</v>
      </c>
      <c r="HT105" s="15">
        <f>MIN(1,MAX(VLOOKUP(($AJ105-$AI105-$AH105-$AG105-$AF105-$AE105*(1+HT$3))/$AJ105,'Технический лист'!$A:$B,2,1),(HS105-0.05)))</f>
        <v>1</v>
      </c>
      <c r="HU105" s="15">
        <f>MIN(1,MAX(VLOOKUP(($AJ105-$AI105-$AH105-$AG105-$AF105-$AE105*(1+HU$3))/$AJ105,'Технический лист'!$A:$B,2,1),(HT105-0.05)))</f>
        <v>1</v>
      </c>
      <c r="HV105" s="15">
        <f>MIN(1,MAX(VLOOKUP(($AJ105-$AI105-$AH105-$AG105-$AF105-$AE105*(1+HV$3))/$AJ105,'Технический лист'!$A:$B,2,1),(HU105-0.05)))</f>
        <v>1</v>
      </c>
      <c r="HW105" s="15">
        <f>MIN(1,MAX(VLOOKUP(($AJ105-$AI105-$AH105-$AG105-$AF105-$AE105*(1+HW$3))/$AJ105,'Технический лист'!$A:$B,2,1),(HV105-0.05)))</f>
        <v>1</v>
      </c>
      <c r="HX105" s="15">
        <f>MIN(1,MAX(VLOOKUP(($AJ105-$AI105-$AH105-$AG105-$AF105-$AE105*(1+HX$3))/$AJ105,'Технический лист'!$A:$B,2,1),(HW105-0.05)))</f>
        <v>1</v>
      </c>
      <c r="HY105" s="15">
        <f>MIN(1,MAX(VLOOKUP(($AJ105-$AI105-$AH105-$AG105-$AF105-$AE105*(1+HY$3))/$AJ105,'Технический лист'!$A:$B,2,1),(HX105-0.05)))</f>
        <v>1</v>
      </c>
      <c r="HZ105" s="15">
        <f>MIN(1,MAX(VLOOKUP(($AJ105-$AI105-$AH105-$AG105-$AF105-$AE105*(1+HZ$3))/$AJ105,'Технический лист'!$A:$B,2,1),(HY105-0.05)))</f>
        <v>1</v>
      </c>
      <c r="IA105" s="15">
        <f>MIN(1,MAX(VLOOKUP(($AJ105-$AI105-$AH105-$AG105-$AF105-$AE105*(1+IA$3))/$AJ105,'Технический лист'!$A:$B,2,1),(HZ105-0.05)))</f>
        <v>1</v>
      </c>
      <c r="IB105" s="15">
        <f>MIN(1,MAX(VLOOKUP(($AJ105-$AI105-$AH105-$AG105-$AF105-$AE105*(1+IB$3))/$AJ105,'Технический лист'!$A:$B,2,1),(IA105-0.05)))</f>
        <v>1</v>
      </c>
      <c r="IC105" s="15">
        <f>MIN(1,MAX(VLOOKUP(($AJ105-$AI105-$AH105-$AG105-$AF105-$AE105*(1+IC$3))/$AJ105,'Технический лист'!$A:$B,2,1),(IB105-0.05)))</f>
        <v>1</v>
      </c>
      <c r="ID105" s="15">
        <f>MIN(1,MAX(VLOOKUP(($AJ105-$AI105-$AH105-$AG105-$AF105-$AE105*(1+ID$3))/$AJ105,'Технический лист'!$A:$B,2,1),(IC105-0.05)))</f>
        <v>1</v>
      </c>
      <c r="IE105" s="15">
        <f>MIN(1,MAX(VLOOKUP(($AJ105-$AI105-$AH105-$AG105-$AF105-$AE105*(1+IE$3))/$AJ105,'Технический лист'!$A:$B,2,1),(ID105-0.05)))</f>
        <v>1</v>
      </c>
      <c r="IF105" s="15">
        <f>MIN(1,MAX(VLOOKUP(($AJ105-$AI105-$AH105-$AG105-$AF105-$AE105*(1+IF$3))/$AJ105,'Технический лист'!$A:$B,2,1),(IE105-0.05)))</f>
        <v>1</v>
      </c>
      <c r="IG105" s="15">
        <f>MIN(1,MAX(VLOOKUP(($AJ105-$AI105-$AH105-$AG105-$AF105-$AE105*(1+IG$3))/$AJ105,'Технический лист'!$A:$B,2,1),(IF105-0.05)))</f>
        <v>1</v>
      </c>
      <c r="IH105" s="15">
        <f>MIN(1,MAX(VLOOKUP(($AJ105-$AI105-$AH105-$AG105-$AF105-$AE105*(1+IH$3))/$AJ105,'Технический лист'!$A:$B,2,1),(IG105-0.05)))</f>
        <v>1</v>
      </c>
      <c r="II105" s="15">
        <f>MIN(1,MAX(VLOOKUP(($AJ105-$AI105-$AH105-$AG105-$AF105-$AE105*(1+II$3))/$AJ105,'Технический лист'!$A:$B,2,1),(IH105-0.05)))</f>
        <v>1</v>
      </c>
      <c r="IJ105" s="15">
        <f>MIN(1,MAX(VLOOKUP(($AJ105-$AI105-$AH105-$AG105-$AF105-$AE105*(1+IJ$3))/$AJ105,'Технический лист'!$A:$B,2,1),(II105-0.05)))</f>
        <v>1</v>
      </c>
      <c r="IK105" s="15">
        <f>MIN(1,MAX(VLOOKUP(($AJ105-$AI105-$AH105-$AG105-$AF105-$AE105*(1+IK$3))/$AJ105,'Технический лист'!$A:$B,2,1),(IJ105-0.05)))</f>
        <v>1</v>
      </c>
      <c r="IL105" s="15">
        <f>MIN(1,MAX(VLOOKUP(($AJ105-$AI105-$AH105-$AG105-$AF105-$AE105*(1+IL$3))/$AJ105,'Технический лист'!$A:$B,2,1),(IK105-0.05)))</f>
        <v>1</v>
      </c>
      <c r="IM105" s="15">
        <f>MIN(1,MAX(VLOOKUP(($AJ105-$AI105-$AH105-$AG105-$AF105-$AE105*(1+IM$3))/$AJ105,'Технический лист'!$A:$B,2,1),(IL105-0.05)))</f>
        <v>1</v>
      </c>
      <c r="IN105" s="15">
        <f>MIN(1,MAX(VLOOKUP(($AJ105-$AI105-$AH105-$AG105-$AF105-$AE105*(1+IN$3))/$AJ105,'Технический лист'!$A:$B,2,1),(IM105-0.05)))</f>
        <v>1</v>
      </c>
      <c r="IO105" s="15">
        <f>MIN(1,MAX(VLOOKUP(($AJ105-$AI105-$AH105-$AG105-$AF105-$AE105*(1+IO$3))/$AJ105,'Технический лист'!$A:$B,2,1),(IN105-0.05)))</f>
        <v>1</v>
      </c>
      <c r="IP105" s="15">
        <f>MIN(1,MAX(VLOOKUP(($AJ105-$AI105-$AH105-$AG105-$AF105-$AE105*(1+IP$3))/$AJ105,'Технический лист'!$A:$B,2,1),(IO105-0.05)))</f>
        <v>1</v>
      </c>
      <c r="IQ105" s="15">
        <f>MIN(1,MAX(VLOOKUP(($AJ105-$AI105-$AH105-$AG105-$AF105-$AE105*(1+IQ$3))/$AJ105,'Технический лист'!$A:$B,2,1),(IP105-0.05)))</f>
        <v>1</v>
      </c>
      <c r="IR105" s="15">
        <f>MIN(1,MAX(VLOOKUP(($AJ105-$AI105-$AH105-$AG105-$AF105-$AE105*(1+IR$3))/$AJ105,'Технический лист'!$A:$B,2,1),(IQ105-0.05)))</f>
        <v>1</v>
      </c>
    </row>
    <row r="106" spans="1:252" ht="29.15">
      <c r="A106" s="89" t="s">
        <v>515</v>
      </c>
      <c r="B106" s="90">
        <v>5</v>
      </c>
      <c r="C106" s="5" t="s">
        <v>68</v>
      </c>
      <c r="D106" s="91">
        <v>32421</v>
      </c>
      <c r="E106" s="91" t="s">
        <v>347</v>
      </c>
      <c r="F106" s="92" t="s">
        <v>75</v>
      </c>
      <c r="G106" s="91" t="s">
        <v>23</v>
      </c>
      <c r="H106" s="91" t="s">
        <v>30</v>
      </c>
      <c r="I106" s="91" t="s">
        <v>174</v>
      </c>
      <c r="J106" s="91" t="s">
        <v>175</v>
      </c>
      <c r="K106" s="91">
        <v>2697</v>
      </c>
      <c r="L106" s="85" t="s">
        <v>64</v>
      </c>
      <c r="M106" s="91" t="s">
        <v>190</v>
      </c>
      <c r="N106" s="91" t="s">
        <v>191</v>
      </c>
      <c r="O106" s="91" t="s">
        <v>194</v>
      </c>
      <c r="P106" s="89" t="s">
        <v>205</v>
      </c>
      <c r="Q106" s="91" t="s">
        <v>308</v>
      </c>
      <c r="R106" s="91" t="s">
        <v>255</v>
      </c>
      <c r="S106" s="82">
        <v>11935</v>
      </c>
      <c r="T106" s="82">
        <v>32189990</v>
      </c>
      <c r="U106" s="81">
        <v>176</v>
      </c>
      <c r="V106" s="81">
        <v>0</v>
      </c>
      <c r="W106" s="82">
        <v>51604893</v>
      </c>
      <c r="X106" s="112">
        <v>68</v>
      </c>
      <c r="Y106" s="112" t="s">
        <v>416</v>
      </c>
      <c r="Z106" s="113">
        <v>11</v>
      </c>
      <c r="AA106" s="113">
        <v>9</v>
      </c>
      <c r="AB106" s="113">
        <v>4</v>
      </c>
      <c r="AC106" s="99">
        <v>4740.16</v>
      </c>
      <c r="AD106" s="99">
        <f>AE106-AC106</f>
        <v>643.34000000000015</v>
      </c>
      <c r="AE106" s="99">
        <v>5383.5</v>
      </c>
      <c r="AF106" s="98">
        <f>(Z106+AA106+AB106)*'Ставки аренды'!$B$3/X106</f>
        <v>247.05882352941177</v>
      </c>
      <c r="AG106" s="114">
        <v>0</v>
      </c>
      <c r="AH106" s="94">
        <v>0</v>
      </c>
      <c r="AI106" s="115">
        <f>131496272/143742760*AJ106</f>
        <v>32018.096215767669</v>
      </c>
      <c r="AJ106" s="117">
        <f>Цены!D23</f>
        <v>35000</v>
      </c>
      <c r="AK106" s="94">
        <f>AJ106/Цены!$B$1</f>
        <v>458.68253271389352</v>
      </c>
      <c r="AL106" s="95">
        <f t="shared" si="24"/>
        <v>5630.5588235294117</v>
      </c>
      <c r="AM106" s="95">
        <f t="shared" si="25"/>
        <v>29369.441176470587</v>
      </c>
      <c r="AN106" s="94">
        <f t="shared" si="39"/>
        <v>37648.655039297082</v>
      </c>
      <c r="AO106" s="118">
        <f t="shared" si="40"/>
        <v>-7.5675858265630919E-2</v>
      </c>
      <c r="AP106" s="96">
        <f t="shared" si="26"/>
        <v>0.16087310924369747</v>
      </c>
      <c r="AQ106" s="96">
        <f t="shared" si="27"/>
        <v>0.15381428571428571</v>
      </c>
      <c r="AR106" s="96">
        <f t="shared" si="28"/>
        <v>0.95612179336498837</v>
      </c>
      <c r="AS106" s="122">
        <v>1</v>
      </c>
      <c r="AT106" s="121">
        <f t="shared" ref="AT106:AT156" si="45">S106*AS106</f>
        <v>11935</v>
      </c>
      <c r="AU106" s="83">
        <v>0.7</v>
      </c>
      <c r="AV106" s="119">
        <f t="shared" si="41"/>
        <v>-9.4133572551345107E-2</v>
      </c>
      <c r="AW106" s="120">
        <f t="shared" si="42"/>
        <v>0.17933082352941176</v>
      </c>
      <c r="AX106" s="120">
        <f t="shared" si="43"/>
        <v>0.17227200000000001</v>
      </c>
      <c r="AY106" s="120">
        <f t="shared" si="44"/>
        <v>0.96063797962621822</v>
      </c>
      <c r="AZ106" s="15">
        <f>MIN(IF($AU106=100%,1,1+VLOOKUP(($AJ106-$AI106-$AH106-$AG106-$AF106-$AE106*(1+AZ$3))/$AJ106,'Технический лист'!$I:$J,2,1)-VLOOKUP($AO106,'Технический лист'!$I:$J,2,1)),1+(1-$AU106))</f>
        <v>1.29</v>
      </c>
      <c r="BA106" s="15">
        <f>MIN(IF($AU106=100%,1,1+VLOOKUP(($AJ106-$AI106-$AH106-$AG106-$AF106-$AE106*(1+BA$3))/$AJ106,'Технический лист'!$I:$J,2,1)-VLOOKUP($AO106,'Технический лист'!$I:$J,2,1)),1+(1-$AU106))</f>
        <v>1.29</v>
      </c>
      <c r="BB106" s="15">
        <f>MIN(IF($AU106=100%,1,1+VLOOKUP(($AJ106-$AI106-$AH106-$AG106-$AF106-$AE106*(1+BB$3))/$AJ106,'Технический лист'!$I:$J,2,1)-VLOOKUP($AO106,'Технический лист'!$I:$J,2,1)),1+(1-$AU106))</f>
        <v>1.28</v>
      </c>
      <c r="BC106" s="15">
        <f>MIN(IF($AU106=100%,1,1+VLOOKUP(($AJ106-$AI106-$AH106-$AG106-$AF106-$AE106*(1+BC$3))/$AJ106,'Технический лист'!$I:$J,2,1)-VLOOKUP($AO106,'Технический лист'!$I:$J,2,1)),1+(1-$AU106))</f>
        <v>1.28</v>
      </c>
      <c r="BD106" s="15">
        <f>MIN(IF($AU106=100%,1,1+VLOOKUP(($AJ106-$AI106-$AH106-$AG106-$AF106-$AE106*(1+BD$3))/$AJ106,'Технический лист'!$I:$J,2,1)-VLOOKUP($AO106,'Технический лист'!$I:$J,2,1)),1+(1-$AU106))</f>
        <v>1.28</v>
      </c>
      <c r="BE106" s="15">
        <f>MIN(IF($AU106=100%,1,1+VLOOKUP(($AJ106-$AI106-$AH106-$AG106-$AF106-$AE106*(1+BE$3))/$AJ106,'Технический лист'!$I:$J,2,1)-VLOOKUP($AO106,'Технический лист'!$I:$J,2,1)),1+(1-$AU106))</f>
        <v>1.28</v>
      </c>
      <c r="BF106" s="15">
        <f>MIN(IF($AU106=100%,1,1+VLOOKUP(($AJ106-$AI106-$AH106-$AG106-$AF106-$AE106*(1+BF$3))/$AJ106,'Технический лист'!$I:$J,2,1)-VLOOKUP($AO106,'Технический лист'!$I:$J,2,1)),1+(1-$AU106))</f>
        <v>1.28</v>
      </c>
      <c r="BG106" s="15">
        <f>MIN(IF($AU106=100%,1,1+VLOOKUP(($AJ106-$AI106-$AH106-$AG106-$AF106-$AE106*(1+BG$3))/$AJ106,'Технический лист'!$I:$J,2,1)-VLOOKUP($AO106,'Технический лист'!$I:$J,2,1)),1+(1-$AU106))</f>
        <v>1.28</v>
      </c>
      <c r="BH106" s="15">
        <f>MIN(IF($AU106=100%,1,1+VLOOKUP(($AJ106-$AI106-$AH106-$AG106-$AF106-$AE106*(1+BH$3))/$AJ106,'Технический лист'!$I:$J,2,1)-VLOOKUP($AO106,'Технический лист'!$I:$J,2,1)),1+(1-$AU106))</f>
        <v>1.28</v>
      </c>
      <c r="BI106" s="15">
        <f>MIN(IF($AU106=100%,1,1+VLOOKUP(($AJ106-$AI106-$AH106-$AG106-$AF106-$AE106*(1+BI$3))/$AJ106,'Технический лист'!$I:$J,2,1)-VLOOKUP($AO106,'Технический лист'!$I:$J,2,1)),1+(1-$AU106))</f>
        <v>1.27</v>
      </c>
      <c r="BJ106" s="15">
        <f>MIN(IF($AU106=100%,1,1+VLOOKUP(($AJ106-$AI106-$AH106-$AG106-$AF106-$AE106*(1+BJ$3))/$AJ106,'Технический лист'!$I:$J,2,1)-VLOOKUP($AO106,'Технический лист'!$I:$J,2,1)),1+(1-$AU106))</f>
        <v>1.27</v>
      </c>
      <c r="BK106" s="15">
        <f>MIN(IF($AU106=100%,1,1+VLOOKUP(($AJ106-$AI106-$AH106-$AG106-$AF106-$AE106*(1+BK$3))/$AJ106,'Технический лист'!$I:$J,2,1)-VLOOKUP($AO106,'Технический лист'!$I:$J,2,1)),1+(1-$AU106))</f>
        <v>1.27</v>
      </c>
      <c r="BL106" s="15">
        <f>MIN(IF($AU106=100%,1,1+VLOOKUP(($AJ106-$AI106-$AH106-$AG106-$AF106-$AE106*(1+BL$3))/$AJ106,'Технический лист'!$I:$J,2,1)-VLOOKUP($AO106,'Технический лист'!$I:$J,2,1)),1+(1-$AU106))</f>
        <v>1.27</v>
      </c>
      <c r="BM106" s="15">
        <f>MIN(IF($AU106=100%,1,1+VLOOKUP(($AJ106-$AI106-$AH106-$AG106-$AF106-$AE106*(1+BM$3))/$AJ106,'Технический лист'!$I:$J,2,1)-VLOOKUP($AO106,'Технический лист'!$I:$J,2,1)),1+(1-$AU106))</f>
        <v>1.27</v>
      </c>
      <c r="BN106" s="15">
        <f>MIN(IF($AU106=100%,1,1+VLOOKUP(($AJ106-$AI106-$AH106-$AG106-$AF106-$AE106*(1+BN$3))/$AJ106,'Технический лист'!$I:$J,2,1)-VLOOKUP($AO106,'Технический лист'!$I:$J,2,1)),1+(1-$AU106))</f>
        <v>1.27</v>
      </c>
      <c r="BO106" s="15">
        <f>MIN(IF($AU106=100%,1,1+VLOOKUP(($AJ106-$AI106-$AH106-$AG106-$AF106-$AE106*(1+BO$3))/$AJ106,'Технический лист'!$I:$J,2,1)-VLOOKUP($AO106,'Технический лист'!$I:$J,2,1)),1+(1-$AU106))</f>
        <v>1.2549999999999999</v>
      </c>
      <c r="BP106" s="15">
        <f>MIN(IF($AU106=100%,1,1+VLOOKUP(($AJ106-$AI106-$AH106-$AG106-$AF106-$AE106*(1+BP$3))/$AJ106,'Технический лист'!$I:$J,2,1)-VLOOKUP($AO106,'Технический лист'!$I:$J,2,1)),1+(1-$AU106))</f>
        <v>1.2549999999999999</v>
      </c>
      <c r="BQ106" s="15">
        <f>MIN(IF($AU106=100%,1,1+VLOOKUP(($AJ106-$AI106-$AH106-$AG106-$AF106-$AE106*(1+BQ$3))/$AJ106,'Технический лист'!$I:$J,2,1)-VLOOKUP($AO106,'Технический лист'!$I:$J,2,1)),1+(1-$AU106))</f>
        <v>1.2549999999999999</v>
      </c>
      <c r="BR106" s="15">
        <f>MIN(IF($AU106=100%,1,1+VLOOKUP(($AJ106-$AI106-$AH106-$AG106-$AF106-$AE106*(1+BR$3))/$AJ106,'Технический лист'!$I:$J,2,1)-VLOOKUP($AO106,'Технический лист'!$I:$J,2,1)),1+(1-$AU106))</f>
        <v>1.2549999999999999</v>
      </c>
      <c r="BS106" s="15">
        <f>MIN(IF($AU106=100%,1,1+VLOOKUP(($AJ106-$AI106-$AH106-$AG106-$AF106-$AE106*(1+BS$3))/$AJ106,'Технический лист'!$I:$J,2,1)-VLOOKUP($AO106,'Технический лист'!$I:$J,2,1)),1+(1-$AU106))</f>
        <v>1.2549999999999999</v>
      </c>
      <c r="BT106" s="15">
        <f>MIN(IF($AU106=100%,1,1+VLOOKUP(($AJ106-$AI106-$AH106-$AG106-$AF106-$AE106*(1+BT$3))/$AJ106,'Технический лист'!$I:$J,2,1)-VLOOKUP($AO106,'Технический лист'!$I:$J,2,1)),1+(1-$AU106))</f>
        <v>1.2549999999999999</v>
      </c>
      <c r="BU106" s="15">
        <f>MIN(IF($AU106=100%,1,1+VLOOKUP(($AJ106-$AI106-$AH106-$AG106-$AF106-$AE106*(1+BU$3))/$AJ106,'Технический лист'!$I:$J,2,1)-VLOOKUP($AO106,'Технический лист'!$I:$J,2,1)),1+(1-$AU106))</f>
        <v>1.2549999999999999</v>
      </c>
      <c r="BV106" s="15">
        <f>MIN(IF($AU106=100%,1,1+VLOOKUP(($AJ106-$AI106-$AH106-$AG106-$AF106-$AE106*(1+BV$3))/$AJ106,'Технический лист'!$I:$J,2,1)-VLOOKUP($AO106,'Технический лист'!$I:$J,2,1)),1+(1-$AU106))</f>
        <v>1.24</v>
      </c>
      <c r="BW106" s="15">
        <f>MIN(IF($AU106=100%,1,1+VLOOKUP(($AJ106-$AI106-$AH106-$AG106-$AF106-$AE106*(1+BW$3))/$AJ106,'Технический лист'!$I:$J,2,1)-VLOOKUP($AO106,'Технический лист'!$I:$J,2,1)),1+(1-$AU106))</f>
        <v>1.24</v>
      </c>
      <c r="BX106" s="15">
        <f>MIN(IF($AU106=100%,1,1+VLOOKUP(($AJ106-$AI106-$AH106-$AG106-$AF106-$AE106*(1+BX$3))/$AJ106,'Технический лист'!$I:$J,2,1)-VLOOKUP($AO106,'Технический лист'!$I:$J,2,1)),1+(1-$AU106))</f>
        <v>1.24</v>
      </c>
      <c r="BY106" s="15">
        <f>MIN(IF($AU106=100%,1,1+VLOOKUP(($AJ106-$AI106-$AH106-$AG106-$AF106-$AE106*(1+BY$3))/$AJ106,'Технический лист'!$I:$J,2,1)-VLOOKUP($AO106,'Технический лист'!$I:$J,2,1)),1+(1-$AU106))</f>
        <v>1.24</v>
      </c>
      <c r="BZ106" s="15">
        <f>MIN(IF($AU106=100%,1,1+VLOOKUP(($AJ106-$AI106-$AH106-$AG106-$AF106-$AE106*(1+BZ$3))/$AJ106,'Технический лист'!$I:$J,2,1)-VLOOKUP($AO106,'Технический лист'!$I:$J,2,1)),1+(1-$AU106))</f>
        <v>1.24</v>
      </c>
      <c r="CA106" s="15">
        <f>MIN(IF($AU106=100%,1,1+VLOOKUP(($AJ106-$AI106-$AH106-$AG106-$AF106-$AE106*(1+CA$3))/$AJ106,'Технический лист'!$I:$J,2,1)-VLOOKUP($AO106,'Технический лист'!$I:$J,2,1)),1+(1-$AU106))</f>
        <v>1.24</v>
      </c>
      <c r="CB106" s="15">
        <f>MIN(IF($AU106=100%,1,1+VLOOKUP(($AJ106-$AI106-$AH106-$AG106-$AF106-$AE106*(1+CB$3))/$AJ106,'Технический лист'!$I:$J,2,1)-VLOOKUP($AO106,'Технический лист'!$I:$J,2,1)),1+(1-$AU106))</f>
        <v>1.2250000000000001</v>
      </c>
      <c r="CC106" s="15">
        <f>MIN(IF($AU106=100%,1,1+VLOOKUP(($AJ106-$AI106-$AH106-$AG106-$AF106-$AE106*(1+CC$3))/$AJ106,'Технический лист'!$I:$J,2,1)-VLOOKUP($AO106,'Технический лист'!$I:$J,2,1)),1+(1-$AU106))</f>
        <v>1.2250000000000001</v>
      </c>
      <c r="CD106" s="15">
        <f>MIN(IF($AU106=100%,1,1+VLOOKUP(($AJ106-$AI106-$AH106-$AG106-$AF106-$AE106*(1+CD$3))/$AJ106,'Технический лист'!$I:$J,2,1)-VLOOKUP($AO106,'Технический лист'!$I:$J,2,1)),1+(1-$AU106))</f>
        <v>1.2250000000000001</v>
      </c>
      <c r="CE106" s="15">
        <f>MIN(IF($AU106=100%,1,1+VLOOKUP(($AJ106-$AI106-$AH106-$AG106-$AF106-$AE106*(1+CE$3))/$AJ106,'Технический лист'!$I:$J,2,1)-VLOOKUP($AO106,'Технический лист'!$I:$J,2,1)),1+(1-$AU106))</f>
        <v>1.2250000000000001</v>
      </c>
      <c r="CF106" s="15">
        <f>MIN(IF($AU106=100%,1,1+VLOOKUP(($AJ106-$AI106-$AH106-$AG106-$AF106-$AE106*(1+CF$3))/$AJ106,'Технический лист'!$I:$J,2,1)-VLOOKUP($AO106,'Технический лист'!$I:$J,2,1)),1+(1-$AU106))</f>
        <v>1.2250000000000001</v>
      </c>
      <c r="CG106" s="15">
        <f>MIN(IF($AU106=100%,1,1+VLOOKUP(($AJ106-$AI106-$AH106-$AG106-$AF106-$AE106*(1+CG$3))/$AJ106,'Технический лист'!$I:$J,2,1)-VLOOKUP($AO106,'Технический лист'!$I:$J,2,1)),1+(1-$AU106))</f>
        <v>1.2250000000000001</v>
      </c>
      <c r="CH106" s="15">
        <f>MIN(IF($AU106=100%,1,1+VLOOKUP(($AJ106-$AI106-$AH106-$AG106-$AF106-$AE106*(1+CH$3))/$AJ106,'Технический лист'!$I:$J,2,1)-VLOOKUP($AO106,'Технический лист'!$I:$J,2,1)),1+(1-$AU106))</f>
        <v>1.2250000000000001</v>
      </c>
      <c r="CI106" s="15">
        <f>MIN(IF($AU106=100%,1,1+VLOOKUP(($AJ106-$AI106-$AH106-$AG106-$AF106-$AE106*(1+CI$3))/$AJ106,'Технический лист'!$I:$J,2,1)-VLOOKUP($AO106,'Технический лист'!$I:$J,2,1)),1+(1-$AU106))</f>
        <v>1.21</v>
      </c>
      <c r="CJ106" s="15">
        <f>MIN(IF($AU106=100%,1,1+VLOOKUP(($AJ106-$AI106-$AH106-$AG106-$AF106-$AE106*(1+CJ$3))/$AJ106,'Технический лист'!$I:$J,2,1)-VLOOKUP($AO106,'Технический лист'!$I:$J,2,1)),1+(1-$AU106))</f>
        <v>1.21</v>
      </c>
      <c r="CK106" s="15">
        <f>MIN(IF($AU106=100%,1,1+VLOOKUP(($AJ106-$AI106-$AH106-$AG106-$AF106-$AE106*(1+CK$3))/$AJ106,'Технический лист'!$I:$J,2,1)-VLOOKUP($AO106,'Технический лист'!$I:$J,2,1)),1+(1-$AU106))</f>
        <v>1.21</v>
      </c>
      <c r="CL106" s="15">
        <f>MIN(IF($AU106=100%,1,1+VLOOKUP(($AJ106-$AI106-$AH106-$AG106-$AF106-$AE106*(1+CL$3))/$AJ106,'Технический лист'!$I:$J,2,1)-VLOOKUP($AO106,'Технический лист'!$I:$J,2,1)),1+(1-$AU106))</f>
        <v>1.21</v>
      </c>
      <c r="CM106" s="15">
        <f>MIN(IF($AU106=100%,1,1+VLOOKUP(($AJ106-$AI106-$AH106-$AG106-$AF106-$AE106*(1+CM$3))/$AJ106,'Технический лист'!$I:$J,2,1)-VLOOKUP($AO106,'Технический лист'!$I:$J,2,1)),1+(1-$AU106))</f>
        <v>1.21</v>
      </c>
      <c r="CN106" s="15">
        <f>MIN(IF($AU106=100%,1,1+VLOOKUP(($AJ106-$AI106-$AH106-$AG106-$AF106-$AE106*(1+CN$3))/$AJ106,'Технический лист'!$I:$J,2,1)-VLOOKUP($AO106,'Технический лист'!$I:$J,2,1)),1+(1-$AU106))</f>
        <v>1.21</v>
      </c>
      <c r="CO106" s="15">
        <f>MIN(IF($AU106=100%,1,1+VLOOKUP(($AJ106-$AI106-$AH106-$AG106-$AF106-$AE106*(1+CO$3))/$AJ106,'Технический лист'!$I:$J,2,1)-VLOOKUP($AO106,'Технический лист'!$I:$J,2,1)),1+(1-$AU106))</f>
        <v>1.1950000000000001</v>
      </c>
      <c r="CP106" s="15">
        <f>MIN(IF($AU106=100%,1,1+VLOOKUP(($AJ106-$AI106-$AH106-$AG106-$AF106-$AE106*(1+CP$3))/$AJ106,'Технический лист'!$I:$J,2,1)-VLOOKUP($AO106,'Технический лист'!$I:$J,2,1)),1+(1-$AU106))</f>
        <v>1.1950000000000001</v>
      </c>
      <c r="CQ106" s="15">
        <f>MIN(IF($AU106=100%,1,1+VLOOKUP(($AJ106-$AI106-$AH106-$AG106-$AF106-$AE106*(1+CQ$3))/$AJ106,'Технический лист'!$I:$J,2,1)-VLOOKUP($AO106,'Технический лист'!$I:$J,2,1)),1+(1-$AU106))</f>
        <v>1.1950000000000001</v>
      </c>
      <c r="CR106" s="15">
        <f>MIN(IF($AU106=100%,1,1+VLOOKUP(($AJ106-$AI106-$AH106-$AG106-$AF106-$AE106*(1+CR$3))/$AJ106,'Технический лист'!$I:$J,2,1)-VLOOKUP($AO106,'Технический лист'!$I:$J,2,1)),1+(1-$AU106))</f>
        <v>1.1950000000000001</v>
      </c>
      <c r="CS106" s="15">
        <f>MIN(IF($AU106=100%,1,1+VLOOKUP(($AJ106-$AI106-$AH106-$AG106-$AF106-$AE106*(1+CS$3))/$AJ106,'Технический лист'!$I:$J,2,1)-VLOOKUP($AO106,'Технический лист'!$I:$J,2,1)),1+(1-$AU106))</f>
        <v>1.1950000000000001</v>
      </c>
      <c r="CT106" s="15">
        <f>MIN(IF($AU106=100%,1,1+VLOOKUP(($AJ106-$AI106-$AH106-$AG106-$AF106-$AE106*(1+CT$3))/$AJ106,'Технический лист'!$I:$J,2,1)-VLOOKUP($AO106,'Технический лист'!$I:$J,2,1)),1+(1-$AU106))</f>
        <v>1.1950000000000001</v>
      </c>
      <c r="CU106" s="15">
        <f>MIN(IF($AU106=100%,1,1+VLOOKUP(($AJ106-$AI106-$AH106-$AG106-$AF106-$AE106*(1+CU$3))/$AJ106,'Технический лист'!$I:$J,2,1)-VLOOKUP($AO106,'Технический лист'!$I:$J,2,1)),1+(1-$AU106))</f>
        <v>1.1950000000000001</v>
      </c>
      <c r="CV106" s="15">
        <f>MIN(IF($AU106=100%,1,1+VLOOKUP(($AJ106-$AI106-$AH106-$AG106-$AF106-$AE106*(1+CV$3))/$AJ106,'Технический лист'!$I:$J,2,1)-VLOOKUP($AO106,'Технический лист'!$I:$J,2,1)),1+(1-$AU106))</f>
        <v>1.1800000000000002</v>
      </c>
      <c r="CW106" s="15">
        <f>MIN(IF($AU106=100%,1,1+VLOOKUP(($AJ106-$AI106-$AH106-$AG106-$AF106-$AE106*(1+CW$3))/$AJ106,'Технический лист'!$I:$J,2,1)-VLOOKUP($AO106,'Технический лист'!$I:$J,2,1)),1+(1-$AU106))</f>
        <v>1.1800000000000002</v>
      </c>
      <c r="CX106" s="15">
        <f>MIN(IF($AU106=100%,1,1+VLOOKUP(($AJ106-$AI106-$AH106-$AG106-$AF106-$AE106*(1+CX$3))/$AJ106,'Технический лист'!$I:$J,2,1)-VLOOKUP($AO106,'Технический лист'!$I:$J,2,1)),1+(1-$AU106))</f>
        <v>1.1800000000000002</v>
      </c>
      <c r="CY106" s="15">
        <f>MIN(IF($AU106=100%,1,1+VLOOKUP(($AJ106-$AI106-$AH106-$AG106-$AF106-$AE106*(1+CY$3))/$AJ106,'Технический лист'!$I:$J,2,1)-VLOOKUP($AO106,'Технический лист'!$I:$J,2,1)),1+(1-$AU106))</f>
        <v>1.1800000000000002</v>
      </c>
      <c r="CZ106" s="15">
        <f>MIN(IF($AU106=100%,1,1+VLOOKUP(($AJ106-$AI106-$AH106-$AG106-$AF106-$AE106*(1+CZ$3))/$AJ106,'Технический лист'!$I:$J,2,1)-VLOOKUP($AO106,'Технический лист'!$I:$J,2,1)),1+(1-$AU106))</f>
        <v>1.1800000000000002</v>
      </c>
      <c r="DA106" s="15">
        <f>MIN(IF($AU106=100%,1,1+VLOOKUP(($AJ106-$AI106-$AH106-$AG106-$AF106-$AE106*(1+DA$3))/$AJ106,'Технический лист'!$I:$J,2,1)-VLOOKUP($AO106,'Технический лист'!$I:$J,2,1)),1+(1-$AU106))</f>
        <v>1.1800000000000002</v>
      </c>
      <c r="DB106" s="15">
        <f>MIN(IF($AU106=100%,1,1+VLOOKUP(($AJ106-$AI106-$AH106-$AG106-$AF106-$AE106*(1+DB$3))/$AJ106,'Технический лист'!$I:$J,2,1)-VLOOKUP($AO106,'Технический лист'!$I:$J,2,1)),1+(1-$AU106))</f>
        <v>1.1600000000000001</v>
      </c>
      <c r="DC106" s="15">
        <f>MIN(IF($AU106=100%,1,1+VLOOKUP(($AJ106-$AI106-$AH106-$AG106-$AF106-$AE106*(1+DC$3))/$AJ106,'Технический лист'!$I:$J,2,1)-VLOOKUP($AO106,'Технический лист'!$I:$J,2,1)),1+(1-$AU106))</f>
        <v>1.1600000000000001</v>
      </c>
      <c r="DD106" s="15">
        <f>MIN(IF($AU106=100%,1,1+VLOOKUP(($AJ106-$AI106-$AH106-$AG106-$AF106-$AE106*(1+DD$3))/$AJ106,'Технический лист'!$I:$J,2,1)-VLOOKUP($AO106,'Технический лист'!$I:$J,2,1)),1+(1-$AU106))</f>
        <v>1.1600000000000001</v>
      </c>
      <c r="DE106" s="15">
        <f>MIN(IF($AU106=100%,1,1+VLOOKUP(($AJ106-$AI106-$AH106-$AG106-$AF106-$AE106*(1+DE$3))/$AJ106,'Технический лист'!$I:$J,2,1)-VLOOKUP($AO106,'Технический лист'!$I:$J,2,1)),1+(1-$AU106))</f>
        <v>1.1600000000000001</v>
      </c>
      <c r="DF106" s="15">
        <f>MIN(IF($AU106=100%,1,1+VLOOKUP(($AJ106-$AI106-$AH106-$AG106-$AF106-$AE106*(1+DF$3))/$AJ106,'Технический лист'!$I:$J,2,1)-VLOOKUP($AO106,'Технический лист'!$I:$J,2,1)),1+(1-$AU106))</f>
        <v>1.1600000000000001</v>
      </c>
      <c r="DG106" s="15">
        <f>MIN(IF($AU106=100%,1,1+VLOOKUP(($AJ106-$AI106-$AH106-$AG106-$AF106-$AE106*(1+DG$3))/$AJ106,'Технический лист'!$I:$J,2,1)-VLOOKUP($AO106,'Технический лист'!$I:$J,2,1)),1+(1-$AU106))</f>
        <v>1.1600000000000001</v>
      </c>
      <c r="DH106" s="15">
        <f>MIN(IF($AU106=100%,1,1+VLOOKUP(($AJ106-$AI106-$AH106-$AG106-$AF106-$AE106*(1+DH$3))/$AJ106,'Технический лист'!$I:$J,2,1)-VLOOKUP($AO106,'Технический лист'!$I:$J,2,1)),1+(1-$AU106))</f>
        <v>1.1600000000000001</v>
      </c>
      <c r="DI106" s="15">
        <f>MIN(IF($AU106=100%,1,1+VLOOKUP(($AJ106-$AI106-$AH106-$AG106-$AF106-$AE106*(1+DI$3))/$AJ106,'Технический лист'!$I:$J,2,1)-VLOOKUP($AO106,'Технический лист'!$I:$J,2,1)),1+(1-$AU106))</f>
        <v>1.1400000000000001</v>
      </c>
      <c r="DJ106" s="15">
        <f>MIN(IF($AU106=100%,1,1+VLOOKUP(($AJ106-$AI106-$AH106-$AG106-$AF106-$AE106*(1+DJ$3))/$AJ106,'Технический лист'!$I:$J,2,1)-VLOOKUP($AO106,'Технический лист'!$I:$J,2,1)),1+(1-$AU106))</f>
        <v>1.1400000000000001</v>
      </c>
      <c r="DK106" s="15">
        <f>MIN(IF($AU106=100%,1,1+VLOOKUP(($AJ106-$AI106-$AH106-$AG106-$AF106-$AE106*(1+DK$3))/$AJ106,'Технический лист'!$I:$J,2,1)-VLOOKUP($AO106,'Технический лист'!$I:$J,2,1)),1+(1-$AU106))</f>
        <v>1.1400000000000001</v>
      </c>
      <c r="DL106" s="15">
        <f>MIN(IF($AU106=100%,1,1+VLOOKUP(($AJ106-$AI106-$AH106-$AG106-$AF106-$AE106*(1+DL$3))/$AJ106,'Технический лист'!$I:$J,2,1)-VLOOKUP($AO106,'Технический лист'!$I:$J,2,1)),1+(1-$AU106))</f>
        <v>1.1400000000000001</v>
      </c>
      <c r="DM106" s="15">
        <f>MIN(IF($AU106=100%,1,1+VLOOKUP(($AJ106-$AI106-$AH106-$AG106-$AF106-$AE106*(1+DM$3))/$AJ106,'Технический лист'!$I:$J,2,1)-VLOOKUP($AO106,'Технический лист'!$I:$J,2,1)),1+(1-$AU106))</f>
        <v>1.1400000000000001</v>
      </c>
      <c r="DN106" s="15">
        <f>MIN(IF($AU106=100%,1,1+VLOOKUP(($AJ106-$AI106-$AH106-$AG106-$AF106-$AE106*(1+DN$3))/$AJ106,'Технический лист'!$I:$J,2,1)-VLOOKUP($AO106,'Технический лист'!$I:$J,2,1)),1+(1-$AU106))</f>
        <v>1.1400000000000001</v>
      </c>
      <c r="DO106" s="15">
        <f>MIN(IF($AU106=100%,1,1+VLOOKUP(($AJ106-$AI106-$AH106-$AG106-$AF106-$AE106*(1+DO$3))/$AJ106,'Технический лист'!$I:$J,2,1)-VLOOKUP($AO106,'Технический лист'!$I:$J,2,1)),1+(1-$AU106))</f>
        <v>1.1200000000000001</v>
      </c>
      <c r="DP106" s="15">
        <f>MIN(IF($AU106=100%,1,1+VLOOKUP(($AJ106-$AI106-$AH106-$AG106-$AF106-$AE106*(1+DP$3))/$AJ106,'Технический лист'!$I:$J,2,1)-VLOOKUP($AO106,'Технический лист'!$I:$J,2,1)),1+(1-$AU106))</f>
        <v>1.1200000000000001</v>
      </c>
      <c r="DQ106" s="15">
        <f>MIN(IF($AU106=100%,1,1+VLOOKUP(($AJ106-$AI106-$AH106-$AG106-$AF106-$AE106*(1+DQ$3))/$AJ106,'Технический лист'!$I:$J,2,1)-VLOOKUP($AO106,'Технический лист'!$I:$J,2,1)),1+(1-$AU106))</f>
        <v>1.1200000000000001</v>
      </c>
      <c r="DR106" s="15">
        <f>MIN(IF($AU106=100%,1,1+VLOOKUP(($AJ106-$AI106-$AH106-$AG106-$AF106-$AE106*(1+DR$3))/$AJ106,'Технический лист'!$I:$J,2,1)-VLOOKUP($AO106,'Технический лист'!$I:$J,2,1)),1+(1-$AU106))</f>
        <v>1.1200000000000001</v>
      </c>
      <c r="DS106" s="15">
        <f>MIN(IF($AU106=100%,1,1+VLOOKUP(($AJ106-$AI106-$AH106-$AG106-$AF106-$AE106*(1+DS$3))/$AJ106,'Технический лист'!$I:$J,2,1)-VLOOKUP($AO106,'Технический лист'!$I:$J,2,1)),1+(1-$AU106))</f>
        <v>1.1200000000000001</v>
      </c>
      <c r="DT106" s="15">
        <f>MIN(IF($AU106=100%,1,1+VLOOKUP(($AJ106-$AI106-$AH106-$AG106-$AF106-$AE106*(1+DT$3))/$AJ106,'Технический лист'!$I:$J,2,1)-VLOOKUP($AO106,'Технический лист'!$I:$J,2,1)),1+(1-$AU106))</f>
        <v>1.1200000000000001</v>
      </c>
      <c r="DU106" s="15">
        <f>MIN(IF($AU106=100%,1,1+VLOOKUP(($AJ106-$AI106-$AH106-$AG106-$AF106-$AE106*(1+DU$3))/$AJ106,'Технический лист'!$I:$J,2,1)-VLOOKUP($AO106,'Технический лист'!$I:$J,2,1)),1+(1-$AU106))</f>
        <v>1.1200000000000001</v>
      </c>
      <c r="DV106" s="15">
        <f>MIN(IF($AU106=100%,1,1+VLOOKUP(($AJ106-$AI106-$AH106-$AG106-$AF106-$AE106*(1+DV$3))/$AJ106,'Технический лист'!$I:$J,2,1)-VLOOKUP($AO106,'Технический лист'!$I:$J,2,1)),1+(1-$AU106))</f>
        <v>1.1000000000000001</v>
      </c>
      <c r="DW106" s="15">
        <f>MIN(IF($AU106=100%,1,1+VLOOKUP(($AJ106-$AI106-$AH106-$AG106-$AF106-$AE106*(1+DW$3))/$AJ106,'Технический лист'!$I:$J,2,1)-VLOOKUP($AO106,'Технический лист'!$I:$J,2,1)),1+(1-$AU106))</f>
        <v>1.1000000000000001</v>
      </c>
      <c r="DX106" s="15">
        <f>MIN(IF($AU106=100%,1,1+VLOOKUP(($AJ106-$AI106-$AH106-$AG106-$AF106-$AE106*(1+DX$3))/$AJ106,'Технический лист'!$I:$J,2,1)-VLOOKUP($AO106,'Технический лист'!$I:$J,2,1)),1+(1-$AU106))</f>
        <v>1.1000000000000001</v>
      </c>
      <c r="DY106" s="15">
        <f>MIN(IF($AU106=100%,1,1+VLOOKUP(($AJ106-$AI106-$AH106-$AG106-$AF106-$AE106*(1+DY$3))/$AJ106,'Технический лист'!$I:$J,2,1)-VLOOKUP($AO106,'Технический лист'!$I:$J,2,1)),1+(1-$AU106))</f>
        <v>1.1000000000000001</v>
      </c>
      <c r="DZ106" s="15">
        <f>MIN(IF($AU106=100%,1,1+VLOOKUP(($AJ106-$AI106-$AH106-$AG106-$AF106-$AE106*(1+DZ$3))/$AJ106,'Технический лист'!$I:$J,2,1)-VLOOKUP($AO106,'Технический лист'!$I:$J,2,1)),1+(1-$AU106))</f>
        <v>1.1000000000000001</v>
      </c>
      <c r="EA106" s="15">
        <f>MIN(IF($AU106=100%,1,1+VLOOKUP(($AJ106-$AI106-$AH106-$AG106-$AF106-$AE106*(1+EA$3))/$AJ106,'Технический лист'!$I:$J,2,1)-VLOOKUP($AO106,'Технический лист'!$I:$J,2,1)),1+(1-$AU106))</f>
        <v>1.1000000000000001</v>
      </c>
      <c r="EB106" s="15">
        <f>MIN(IF($AU106=100%,1,1+VLOOKUP(($AJ106-$AI106-$AH106-$AG106-$AF106-$AE106*(1+EB$3))/$AJ106,'Технический лист'!$I:$J,2,1)-VLOOKUP($AO106,'Технический лист'!$I:$J,2,1)),1+(1-$AU106))</f>
        <v>1.0750000000000002</v>
      </c>
      <c r="EC106" s="15">
        <f>MIN(IF($AU106=100%,1,1+VLOOKUP(($AJ106-$AI106-$AH106-$AG106-$AF106-$AE106*(1+EC$3))/$AJ106,'Технический лист'!$I:$J,2,1)-VLOOKUP($AO106,'Технический лист'!$I:$J,2,1)),1+(1-$AU106))</f>
        <v>1.0750000000000002</v>
      </c>
      <c r="ED106" s="15">
        <f>MIN(IF($AU106=100%,1,1+VLOOKUP(($AJ106-$AI106-$AH106-$AG106-$AF106-$AE106*(1+ED$3))/$AJ106,'Технический лист'!$I:$J,2,1)-VLOOKUP($AO106,'Технический лист'!$I:$J,2,1)),1+(1-$AU106))</f>
        <v>1.0750000000000002</v>
      </c>
      <c r="EE106" s="15">
        <f>MIN(IF($AU106=100%,1,1+VLOOKUP(($AJ106-$AI106-$AH106-$AG106-$AF106-$AE106*(1+EE$3))/$AJ106,'Технический лист'!$I:$J,2,1)-VLOOKUP($AO106,'Технический лист'!$I:$J,2,1)),1+(1-$AU106))</f>
        <v>1.0750000000000002</v>
      </c>
      <c r="EF106" s="15">
        <f>MIN(IF($AU106=100%,1,1+VLOOKUP(($AJ106-$AI106-$AH106-$AG106-$AF106-$AE106*(1+EF$3))/$AJ106,'Технический лист'!$I:$J,2,1)-VLOOKUP($AO106,'Технический лист'!$I:$J,2,1)),1+(1-$AU106))</f>
        <v>1.0750000000000002</v>
      </c>
      <c r="EG106" s="15">
        <f>MIN(IF($AU106=100%,1,1+VLOOKUP(($AJ106-$AI106-$AH106-$AG106-$AF106-$AE106*(1+EG$3))/$AJ106,'Технический лист'!$I:$J,2,1)-VLOOKUP($AO106,'Технический лист'!$I:$J,2,1)),1+(1-$AU106))</f>
        <v>1.0750000000000002</v>
      </c>
      <c r="EH106" s="15">
        <f>MIN(IF($AU106=100%,1,1+VLOOKUP(($AJ106-$AI106-$AH106-$AG106-$AF106-$AE106*(1+EH$3))/$AJ106,'Технический лист'!$I:$J,2,1)-VLOOKUP($AO106,'Технический лист'!$I:$J,2,1)),1+(1-$AU106))</f>
        <v>1.0750000000000002</v>
      </c>
      <c r="EI106" s="15">
        <f>MIN(IF($AU106=100%,1,1+VLOOKUP(($AJ106-$AI106-$AH106-$AG106-$AF106-$AE106*(1+EI$3))/$AJ106,'Технический лист'!$I:$J,2,1)-VLOOKUP($AO106,'Технический лист'!$I:$J,2,1)),1+(1-$AU106))</f>
        <v>1.05</v>
      </c>
      <c r="EJ106" s="15">
        <f>MIN(IF($AU106=100%,1,1+VLOOKUP(($AJ106-$AI106-$AH106-$AG106-$AF106-$AE106*(1+EJ$3))/$AJ106,'Технический лист'!$I:$J,2,1)-VLOOKUP($AO106,'Технический лист'!$I:$J,2,1)),1+(1-$AU106))</f>
        <v>1.05</v>
      </c>
      <c r="EK106" s="15">
        <f>MIN(IF($AU106=100%,1,1+VLOOKUP(($AJ106-$AI106-$AH106-$AG106-$AF106-$AE106*(1+EK$3))/$AJ106,'Технический лист'!$I:$J,2,1)-VLOOKUP($AO106,'Технический лист'!$I:$J,2,1)),1+(1-$AU106))</f>
        <v>1.05</v>
      </c>
      <c r="EL106" s="15">
        <f>MIN(IF($AU106=100%,1,1+VLOOKUP(($AJ106-$AI106-$AH106-$AG106-$AF106-$AE106*(1+EL$3))/$AJ106,'Технический лист'!$I:$J,2,1)-VLOOKUP($AO106,'Технический лист'!$I:$J,2,1)),1+(1-$AU106))</f>
        <v>1.05</v>
      </c>
      <c r="EM106" s="15">
        <f>MIN(IF($AU106=100%,1,1+VLOOKUP(($AJ106-$AI106-$AH106-$AG106-$AF106-$AE106*(1+EM$3))/$AJ106,'Технический лист'!$I:$J,2,1)-VLOOKUP($AO106,'Технический лист'!$I:$J,2,1)),1+(1-$AU106))</f>
        <v>1.05</v>
      </c>
      <c r="EN106" s="15">
        <f>MIN(IF($AU106=100%,1,1+VLOOKUP(($AJ106-$AI106-$AH106-$AG106-$AF106-$AE106*(1+EN$3))/$AJ106,'Технический лист'!$I:$J,2,1)-VLOOKUP($AO106,'Технический лист'!$I:$J,2,1)),1+(1-$AU106))</f>
        <v>1.05</v>
      </c>
      <c r="EO106" s="15">
        <f>MIN(IF($AU106=100%,1,1+VLOOKUP(($AJ106-$AI106-$AH106-$AG106-$AF106-$AE106*(1+EO$3))/$AJ106,'Технический лист'!$I:$J,2,1)-VLOOKUP($AO106,'Технический лист'!$I:$J,2,1)),1+(1-$AU106))</f>
        <v>1.0249999999999999</v>
      </c>
      <c r="EP106" s="15">
        <f>MIN(IF($AU106=100%,1,1+VLOOKUP(($AJ106-$AI106-$AH106-$AG106-$AF106-$AE106*(1+EP$3))/$AJ106,'Технический лист'!$I:$J,2,1)-VLOOKUP($AO106,'Технический лист'!$I:$J,2,1)),1+(1-$AU106))</f>
        <v>1.0249999999999999</v>
      </c>
      <c r="EQ106" s="15">
        <f>MIN(IF($AU106=100%,1,1+VLOOKUP(($AJ106-$AI106-$AH106-$AG106-$AF106-$AE106*(1+EQ$3))/$AJ106,'Технический лист'!$I:$J,2,1)-VLOOKUP($AO106,'Технический лист'!$I:$J,2,1)),1+(1-$AU106))</f>
        <v>1.0249999999999999</v>
      </c>
      <c r="ER106" s="15">
        <f>MIN(IF($AU106=100%,1,1+VLOOKUP(($AJ106-$AI106-$AH106-$AG106-$AF106-$AE106*(1+ER$3))/$AJ106,'Технический лист'!$I:$J,2,1)-VLOOKUP($AO106,'Технический лист'!$I:$J,2,1)),1+(1-$AU106))</f>
        <v>1.0249999999999999</v>
      </c>
      <c r="ES106" s="15">
        <f>MIN(IF($AU106=100%,1,1+VLOOKUP(($AJ106-$AI106-$AH106-$AG106-$AF106-$AE106*(1+ES$3))/$AJ106,'Технический лист'!$I:$J,2,1)-VLOOKUP($AO106,'Технический лист'!$I:$J,2,1)),1+(1-$AU106))</f>
        <v>1.0249999999999999</v>
      </c>
      <c r="ET106" s="15">
        <f>MIN(IF($AU106=100%,1,1+VLOOKUP(($AJ106-$AI106-$AH106-$AG106-$AF106-$AE106*(1+ET$3))/$AJ106,'Технический лист'!$I:$J,2,1)-VLOOKUP($AO106,'Технический лист'!$I:$J,2,1)),1+(1-$AU106))</f>
        <v>1.0249999999999999</v>
      </c>
      <c r="EU106" s="15">
        <f>MIN(IF($AU106=100%,1,1+VLOOKUP(($AJ106-$AI106-$AH106-$AG106-$AF106-$AE106*(1+EU$3))/$AJ106,'Технический лист'!$I:$J,2,1)-VLOOKUP($AO106,'Технический лист'!$I:$J,2,1)),1+(1-$AU106))</f>
        <v>1.0249999999999999</v>
      </c>
      <c r="EV106" s="111">
        <v>1</v>
      </c>
      <c r="EW106" s="15">
        <f>MIN(1,MAX(VLOOKUP(($AJ106-$AI106-$AH106-$AG106-$AF106-$AE106*(1+EW$3))/$AJ106,'Технический лист'!$A:$B,2,1),(EV106-0.05)))</f>
        <v>0.97</v>
      </c>
      <c r="EX106" s="15">
        <f>MIN(1,MAX(VLOOKUP(($AJ106-$AI106-$AH106-$AG106-$AF106-$AE106*(1+EX$3))/$AJ106,'Технический лист'!$A:$B,2,1),(EW106-0.05)))</f>
        <v>0.97</v>
      </c>
      <c r="EY106" s="15">
        <f>MIN(1,MAX(VLOOKUP(($AJ106-$AI106-$AH106-$AG106-$AF106-$AE106*(1+EY$3))/$AJ106,'Технический лист'!$A:$B,2,1),(EX106-0.05)))</f>
        <v>0.97</v>
      </c>
      <c r="EZ106" s="15">
        <f>MIN(1,MAX(VLOOKUP(($AJ106-$AI106-$AH106-$AG106-$AF106-$AE106*(1+EZ$3))/$AJ106,'Технический лист'!$A:$B,2,1),(EY106-0.05)))</f>
        <v>0.97</v>
      </c>
      <c r="FA106" s="15">
        <f>MIN(1,MAX(VLOOKUP(($AJ106-$AI106-$AH106-$AG106-$AF106-$AE106*(1+FA$3))/$AJ106,'Технический лист'!$A:$B,2,1),(EZ106-0.05)))</f>
        <v>0.97</v>
      </c>
      <c r="FB106" s="15">
        <f>MIN(1,MAX(VLOOKUP(($AJ106-$AI106-$AH106-$AG106-$AF106-$AE106*(1+FB$3))/$AJ106,'Технический лист'!$A:$B,2,1),(FA106-0.05)))</f>
        <v>0.96499999999999997</v>
      </c>
      <c r="FC106" s="15">
        <f>MIN(1,MAX(VLOOKUP(($AJ106-$AI106-$AH106-$AG106-$AF106-$AE106*(1+FC$3))/$AJ106,'Технический лист'!$A:$B,2,1),(FB106-0.05)))</f>
        <v>0.96499999999999997</v>
      </c>
      <c r="FD106" s="15">
        <f>MIN(1,MAX(VLOOKUP(($AJ106-$AI106-$AH106-$AG106-$AF106-$AE106*(1+FD$3))/$AJ106,'Технический лист'!$A:$B,2,1),(FC106-0.05)))</f>
        <v>0.96499999999999997</v>
      </c>
      <c r="FE106" s="15">
        <f>MIN(1,MAX(VLOOKUP(($AJ106-$AI106-$AH106-$AG106-$AF106-$AE106*(1+FE$3))/$AJ106,'Технический лист'!$A:$B,2,1),(FD106-0.05)))</f>
        <v>0.96499999999999997</v>
      </c>
      <c r="FF106" s="15">
        <f>MIN(1,MAX(VLOOKUP(($AJ106-$AI106-$AH106-$AG106-$AF106-$AE106*(1+FF$3))/$AJ106,'Технический лист'!$A:$B,2,1),(FE106-0.05)))</f>
        <v>0.96499999999999997</v>
      </c>
      <c r="FG106" s="15">
        <f>MIN(1,MAX(VLOOKUP(($AJ106-$AI106-$AH106-$AG106-$AF106-$AE106*(1+FG$3))/$AJ106,'Технический лист'!$A:$B,2,1),(FF106-0.05)))</f>
        <v>0.96499999999999997</v>
      </c>
      <c r="FH106" s="15">
        <f>MIN(1,MAX(VLOOKUP(($AJ106-$AI106-$AH106-$AG106-$AF106-$AE106*(1+FH$3))/$AJ106,'Технический лист'!$A:$B,2,1),(FG106-0.05)))</f>
        <v>0.96499999999999997</v>
      </c>
      <c r="FI106" s="15">
        <f>MIN(1,MAX(VLOOKUP(($AJ106-$AI106-$AH106-$AG106-$AF106-$AE106*(1+FI$3))/$AJ106,'Технический лист'!$A:$B,2,1),(FH106-0.05)))</f>
        <v>0.96499999999999997</v>
      </c>
      <c r="FJ106" s="15">
        <f>MIN(1,MAX(VLOOKUP(($AJ106-$AI106-$AH106-$AG106-$AF106-$AE106*(1+FJ$3))/$AJ106,'Технический лист'!$A:$B,2,1),(FI106-0.05)))</f>
        <v>0.96499999999999997</v>
      </c>
      <c r="FK106" s="15">
        <f>MIN(1,MAX(VLOOKUP(($AJ106-$AI106-$AH106-$AG106-$AF106-$AE106*(1+FK$3))/$AJ106,'Технический лист'!$A:$B,2,1),(FJ106-0.05)))</f>
        <v>0.96499999999999997</v>
      </c>
      <c r="FL106" s="15">
        <f>MIN(1,MAX(VLOOKUP(($AJ106-$AI106-$AH106-$AG106-$AF106-$AE106*(1+FL$3))/$AJ106,'Технический лист'!$A:$B,2,1),(FK106-0.05)))</f>
        <v>0.96499999999999997</v>
      </c>
      <c r="FM106" s="15">
        <f>MIN(1,MAX(VLOOKUP(($AJ106-$AI106-$AH106-$AG106-$AF106-$AE106*(1+FM$3))/$AJ106,'Технический лист'!$A:$B,2,1),(FL106-0.05)))</f>
        <v>0.96499999999999997</v>
      </c>
      <c r="FN106" s="15">
        <f>MIN(1,MAX(VLOOKUP(($AJ106-$AI106-$AH106-$AG106-$AF106-$AE106*(1+FN$3))/$AJ106,'Технический лист'!$A:$B,2,1),(FM106-0.05)))</f>
        <v>0.96499999999999997</v>
      </c>
      <c r="FO106" s="15">
        <f>MIN(1,MAX(VLOOKUP(($AJ106-$AI106-$AH106-$AG106-$AF106-$AE106*(1+FO$3))/$AJ106,'Технический лист'!$A:$B,2,1),(FN106-0.05)))</f>
        <v>0.96</v>
      </c>
      <c r="FP106" s="15">
        <f>MIN(1,MAX(VLOOKUP(($AJ106-$AI106-$AH106-$AG106-$AF106-$AE106*(1+FP$3))/$AJ106,'Технический лист'!$A:$B,2,1),(FO106-0.05)))</f>
        <v>0.96</v>
      </c>
      <c r="FQ106" s="15">
        <f>MIN(1,MAX(VLOOKUP(($AJ106-$AI106-$AH106-$AG106-$AF106-$AE106*(1+FQ$3))/$AJ106,'Технический лист'!$A:$B,2,1),(FP106-0.05)))</f>
        <v>0.96</v>
      </c>
      <c r="FR106" s="15">
        <f>MIN(1,MAX(VLOOKUP(($AJ106-$AI106-$AH106-$AG106-$AF106-$AE106*(1+FR$3))/$AJ106,'Технический лист'!$A:$B,2,1),(FQ106-0.05)))</f>
        <v>0.96</v>
      </c>
      <c r="FS106" s="15">
        <f>MIN(1,MAX(VLOOKUP(($AJ106-$AI106-$AH106-$AG106-$AF106-$AE106*(1+FS$3))/$AJ106,'Технический лист'!$A:$B,2,1),(FR106-0.05)))</f>
        <v>0.96</v>
      </c>
      <c r="FT106" s="15">
        <f>MIN(1,MAX(VLOOKUP(($AJ106-$AI106-$AH106-$AG106-$AF106-$AE106*(1+FT$3))/$AJ106,'Технический лист'!$A:$B,2,1),(FS106-0.05)))</f>
        <v>0.96</v>
      </c>
      <c r="FU106" s="15">
        <f>MIN(1,MAX(VLOOKUP(($AJ106-$AI106-$AH106-$AG106-$AF106-$AE106*(1+FU$3))/$AJ106,'Технический лист'!$A:$B,2,1),(FT106-0.05)))</f>
        <v>0.96</v>
      </c>
      <c r="FV106" s="15">
        <f>MIN(1,MAX(VLOOKUP(($AJ106-$AI106-$AH106-$AG106-$AF106-$AE106*(1+FV$3))/$AJ106,'Технический лист'!$A:$B,2,1),(FU106-0.05)))</f>
        <v>0.96</v>
      </c>
      <c r="FW106" s="15">
        <f>MIN(1,MAX(VLOOKUP(($AJ106-$AI106-$AH106-$AG106-$AF106-$AE106*(1+FW$3))/$AJ106,'Технический лист'!$A:$B,2,1),(FV106-0.05)))</f>
        <v>0.96</v>
      </c>
      <c r="FX106" s="15">
        <f>MIN(1,MAX(VLOOKUP(($AJ106-$AI106-$AH106-$AG106-$AF106-$AE106*(1+FX$3))/$AJ106,'Технический лист'!$A:$B,2,1),(FW106-0.05)))</f>
        <v>0.96</v>
      </c>
      <c r="FY106" s="15">
        <f>MIN(1,MAX(VLOOKUP(($AJ106-$AI106-$AH106-$AG106-$AF106-$AE106*(1+FY$3))/$AJ106,'Технический лист'!$A:$B,2,1),(FX106-0.05)))</f>
        <v>0.96</v>
      </c>
      <c r="FZ106" s="15">
        <f>MIN(1,MAX(VLOOKUP(($AJ106-$AI106-$AH106-$AG106-$AF106-$AE106*(1+FZ$3))/$AJ106,'Технический лист'!$A:$B,2,1),(FY106-0.05)))</f>
        <v>0.96</v>
      </c>
      <c r="GA106" s="15">
        <f>MIN(1,MAX(VLOOKUP(($AJ106-$AI106-$AH106-$AG106-$AF106-$AE106*(1+GA$3))/$AJ106,'Технический лист'!$A:$B,2,1),(FZ106-0.05)))</f>
        <v>0.96</v>
      </c>
      <c r="GB106" s="15">
        <f>MIN(1,MAX(VLOOKUP(($AJ106-$AI106-$AH106-$AG106-$AF106-$AE106*(1+GB$3))/$AJ106,'Технический лист'!$A:$B,2,1),(GA106-0.05)))</f>
        <v>0.95499999999999996</v>
      </c>
      <c r="GC106" s="15">
        <f>MIN(1,MAX(VLOOKUP(($AJ106-$AI106-$AH106-$AG106-$AF106-$AE106*(1+GC$3))/$AJ106,'Технический лист'!$A:$B,2,1),(GB106-0.05)))</f>
        <v>0.95499999999999996</v>
      </c>
      <c r="GD106" s="15">
        <f>MIN(1,MAX(VLOOKUP(($AJ106-$AI106-$AH106-$AG106-$AF106-$AE106*(1+GD$3))/$AJ106,'Технический лист'!$A:$B,2,1),(GC106-0.05)))</f>
        <v>0.95499999999999996</v>
      </c>
      <c r="GE106" s="15">
        <f>MIN(1,MAX(VLOOKUP(($AJ106-$AI106-$AH106-$AG106-$AF106-$AE106*(1+GE$3))/$AJ106,'Технический лист'!$A:$B,2,1),(GD106-0.05)))</f>
        <v>0.95499999999999996</v>
      </c>
      <c r="GF106" s="15">
        <f>MIN(1,MAX(VLOOKUP(($AJ106-$AI106-$AH106-$AG106-$AF106-$AE106*(1+GF$3))/$AJ106,'Технический лист'!$A:$B,2,1),(GE106-0.05)))</f>
        <v>0.95499999999999996</v>
      </c>
      <c r="GG106" s="15">
        <f>MIN(1,MAX(VLOOKUP(($AJ106-$AI106-$AH106-$AG106-$AF106-$AE106*(1+GG$3))/$AJ106,'Технический лист'!$A:$B,2,1),(GF106-0.05)))</f>
        <v>0.95499999999999996</v>
      </c>
      <c r="GH106" s="15">
        <f>MIN(1,MAX(VLOOKUP(($AJ106-$AI106-$AH106-$AG106-$AF106-$AE106*(1+GH$3))/$AJ106,'Технический лист'!$A:$B,2,1),(GG106-0.05)))</f>
        <v>0.95499999999999996</v>
      </c>
      <c r="GI106" s="15">
        <f>MIN(1,MAX(VLOOKUP(($AJ106-$AI106-$AH106-$AG106-$AF106-$AE106*(1+GI$3))/$AJ106,'Технический лист'!$A:$B,2,1),(GH106-0.05)))</f>
        <v>0.95499999999999996</v>
      </c>
      <c r="GJ106" s="15">
        <f>MIN(1,MAX(VLOOKUP(($AJ106-$AI106-$AH106-$AG106-$AF106-$AE106*(1+GJ$3))/$AJ106,'Технический лист'!$A:$B,2,1),(GI106-0.05)))</f>
        <v>0.95499999999999996</v>
      </c>
      <c r="GK106" s="15">
        <f>MIN(1,MAX(VLOOKUP(($AJ106-$AI106-$AH106-$AG106-$AF106-$AE106*(1+GK$3))/$AJ106,'Технический лист'!$A:$B,2,1),(GJ106-0.05)))</f>
        <v>0.95499999999999996</v>
      </c>
      <c r="GL106" s="15">
        <f>MIN(1,MAX(VLOOKUP(($AJ106-$AI106-$AH106-$AG106-$AF106-$AE106*(1+GL$3))/$AJ106,'Технический лист'!$A:$B,2,1),(GK106-0.05)))</f>
        <v>0.95499999999999996</v>
      </c>
      <c r="GM106" s="15">
        <f>MIN(1,MAX(VLOOKUP(($AJ106-$AI106-$AH106-$AG106-$AF106-$AE106*(1+GM$3))/$AJ106,'Технический лист'!$A:$B,2,1),(GL106-0.05)))</f>
        <v>0.95499999999999996</v>
      </c>
      <c r="GN106" s="15">
        <f>MIN(1,MAX(VLOOKUP(($AJ106-$AI106-$AH106-$AG106-$AF106-$AE106*(1+GN$3))/$AJ106,'Технический лист'!$A:$B,2,1),(GM106-0.05)))</f>
        <v>0.95499999999999996</v>
      </c>
      <c r="GO106" s="15">
        <f>MIN(1,MAX(VLOOKUP(($AJ106-$AI106-$AH106-$AG106-$AF106-$AE106*(1+GO$3))/$AJ106,'Технический лист'!$A:$B,2,1),(GN106-0.05)))</f>
        <v>0.95</v>
      </c>
      <c r="GP106" s="15">
        <f>MIN(1,MAX(VLOOKUP(($AJ106-$AI106-$AH106-$AG106-$AF106-$AE106*(1+GP$3))/$AJ106,'Технический лист'!$A:$B,2,1),(GO106-0.05)))</f>
        <v>0.95</v>
      </c>
      <c r="GQ106" s="15">
        <f>MIN(1,MAX(VLOOKUP(($AJ106-$AI106-$AH106-$AG106-$AF106-$AE106*(1+GQ$3))/$AJ106,'Технический лист'!$A:$B,2,1),(GP106-0.05)))</f>
        <v>0.95</v>
      </c>
      <c r="GR106" s="15">
        <f>MIN(1,MAX(VLOOKUP(($AJ106-$AI106-$AH106-$AG106-$AF106-$AE106*(1+GR$3))/$AJ106,'Технический лист'!$A:$B,2,1),(GQ106-0.05)))</f>
        <v>0.95</v>
      </c>
      <c r="GS106" s="15">
        <f>MIN(1,MAX(VLOOKUP(($AJ106-$AI106-$AH106-$AG106-$AF106-$AE106*(1+GS$3))/$AJ106,'Технический лист'!$A:$B,2,1),(GR106-0.05)))</f>
        <v>0.95</v>
      </c>
      <c r="GT106" s="15">
        <f>MIN(1,MAX(VLOOKUP(($AJ106-$AI106-$AH106-$AG106-$AF106-$AE106*(1+GT$3))/$AJ106,'Технический лист'!$A:$B,2,1),(GS106-0.05)))</f>
        <v>0.95</v>
      </c>
      <c r="GU106" s="15">
        <f>MIN(1,MAX(VLOOKUP(($AJ106-$AI106-$AH106-$AG106-$AF106-$AE106*(1+GU$3))/$AJ106,'Технический лист'!$A:$B,2,1),(GT106-0.05)))</f>
        <v>0.95</v>
      </c>
      <c r="GV106" s="15">
        <f>MIN(1,MAX(VLOOKUP(($AJ106-$AI106-$AH106-$AG106-$AF106-$AE106*(1+GV$3))/$AJ106,'Технический лист'!$A:$B,2,1),(GU106-0.05)))</f>
        <v>0.95</v>
      </c>
      <c r="GW106" s="15">
        <f>MIN(1,MAX(VLOOKUP(($AJ106-$AI106-$AH106-$AG106-$AF106-$AE106*(1+GW$3))/$AJ106,'Технический лист'!$A:$B,2,1),(GV106-0.05)))</f>
        <v>0.95</v>
      </c>
      <c r="GX106" s="15">
        <f>MIN(1,MAX(VLOOKUP(($AJ106-$AI106-$AH106-$AG106-$AF106-$AE106*(1+GX$3))/$AJ106,'Технический лист'!$A:$B,2,1),(GW106-0.05)))</f>
        <v>0.95</v>
      </c>
      <c r="GY106" s="15">
        <f>MIN(1,MAX(VLOOKUP(($AJ106-$AI106-$AH106-$AG106-$AF106-$AE106*(1+GY$3))/$AJ106,'Технический лист'!$A:$B,2,1),(GX106-0.05)))</f>
        <v>0.95</v>
      </c>
      <c r="GZ106" s="15">
        <f>MIN(1,MAX(VLOOKUP(($AJ106-$AI106-$AH106-$AG106-$AF106-$AE106*(1+GZ$3))/$AJ106,'Технический лист'!$A:$B,2,1),(GY106-0.05)))</f>
        <v>0.95</v>
      </c>
      <c r="HA106" s="15">
        <f>MIN(1,MAX(VLOOKUP(($AJ106-$AI106-$AH106-$AG106-$AF106-$AE106*(1+HA$3))/$AJ106,'Технический лист'!$A:$B,2,1),(GZ106-0.05)))</f>
        <v>0.95</v>
      </c>
      <c r="HB106" s="15">
        <f>MIN(1,MAX(VLOOKUP(($AJ106-$AI106-$AH106-$AG106-$AF106-$AE106*(1+HB$3))/$AJ106,'Технический лист'!$A:$B,2,1),(HA106-0.05)))</f>
        <v>0.94499999999999995</v>
      </c>
      <c r="HC106" s="15">
        <f>MIN(1,MAX(VLOOKUP(($AJ106-$AI106-$AH106-$AG106-$AF106-$AE106*(1+HC$3))/$AJ106,'Технический лист'!$A:$B,2,1),(HB106-0.05)))</f>
        <v>0.94499999999999995</v>
      </c>
      <c r="HD106" s="15">
        <f>MIN(1,MAX(VLOOKUP(($AJ106-$AI106-$AH106-$AG106-$AF106-$AE106*(1+HD$3))/$AJ106,'Технический лист'!$A:$B,2,1),(HC106-0.05)))</f>
        <v>0.94499999999999995</v>
      </c>
      <c r="HE106" s="15">
        <f>MIN(1,MAX(VLOOKUP(($AJ106-$AI106-$AH106-$AG106-$AF106-$AE106*(1+HE$3))/$AJ106,'Технический лист'!$A:$B,2,1),(HD106-0.05)))</f>
        <v>0.94499999999999995</v>
      </c>
      <c r="HF106" s="15">
        <f>MIN(1,MAX(VLOOKUP(($AJ106-$AI106-$AH106-$AG106-$AF106-$AE106*(1+HF$3))/$AJ106,'Технический лист'!$A:$B,2,1),(HE106-0.05)))</f>
        <v>0.94499999999999995</v>
      </c>
      <c r="HG106" s="15">
        <f>MIN(1,MAX(VLOOKUP(($AJ106-$AI106-$AH106-$AG106-$AF106-$AE106*(1+HG$3))/$AJ106,'Технический лист'!$A:$B,2,1),(HF106-0.05)))</f>
        <v>0.94499999999999995</v>
      </c>
      <c r="HH106" s="15">
        <f>MIN(1,MAX(VLOOKUP(($AJ106-$AI106-$AH106-$AG106-$AF106-$AE106*(1+HH$3))/$AJ106,'Технический лист'!$A:$B,2,1),(HG106-0.05)))</f>
        <v>0.94499999999999995</v>
      </c>
      <c r="HI106" s="15">
        <f>MIN(1,MAX(VLOOKUP(($AJ106-$AI106-$AH106-$AG106-$AF106-$AE106*(1+HI$3))/$AJ106,'Технический лист'!$A:$B,2,1),(HH106-0.05)))</f>
        <v>0.94499999999999995</v>
      </c>
      <c r="HJ106" s="15">
        <f>MIN(1,MAX(VLOOKUP(($AJ106-$AI106-$AH106-$AG106-$AF106-$AE106*(1+HJ$3))/$AJ106,'Технический лист'!$A:$B,2,1),(HI106-0.05)))</f>
        <v>0.94499999999999995</v>
      </c>
      <c r="HK106" s="15">
        <f>MIN(1,MAX(VLOOKUP(($AJ106-$AI106-$AH106-$AG106-$AF106-$AE106*(1+HK$3))/$AJ106,'Технический лист'!$A:$B,2,1),(HJ106-0.05)))</f>
        <v>0.94499999999999995</v>
      </c>
      <c r="HL106" s="15">
        <f>MIN(1,MAX(VLOOKUP(($AJ106-$AI106-$AH106-$AG106-$AF106-$AE106*(1+HL$3))/$AJ106,'Технический лист'!$A:$B,2,1),(HK106-0.05)))</f>
        <v>0.94499999999999995</v>
      </c>
      <c r="HM106" s="15">
        <f>MIN(1,MAX(VLOOKUP(($AJ106-$AI106-$AH106-$AG106-$AF106-$AE106*(1+HM$3))/$AJ106,'Технический лист'!$A:$B,2,1),(HL106-0.05)))</f>
        <v>0.94499999999999995</v>
      </c>
      <c r="HN106" s="15">
        <f>MIN(1,MAX(VLOOKUP(($AJ106-$AI106-$AH106-$AG106-$AF106-$AE106*(1+HN$3))/$AJ106,'Технический лист'!$A:$B,2,1),(HM106-0.05)))</f>
        <v>0.94499999999999995</v>
      </c>
      <c r="HO106" s="15">
        <f>MIN(1,MAX(VLOOKUP(($AJ106-$AI106-$AH106-$AG106-$AF106-$AE106*(1+HO$3))/$AJ106,'Технический лист'!$A:$B,2,1),(HN106-0.05)))</f>
        <v>0.94</v>
      </c>
      <c r="HP106" s="15">
        <f>MIN(1,MAX(VLOOKUP(($AJ106-$AI106-$AH106-$AG106-$AF106-$AE106*(1+HP$3))/$AJ106,'Технический лист'!$A:$B,2,1),(HO106-0.05)))</f>
        <v>0.94</v>
      </c>
      <c r="HQ106" s="15">
        <f>MIN(1,MAX(VLOOKUP(($AJ106-$AI106-$AH106-$AG106-$AF106-$AE106*(1+HQ$3))/$AJ106,'Технический лист'!$A:$B,2,1),(HP106-0.05)))</f>
        <v>0.94</v>
      </c>
      <c r="HR106" s="15">
        <f>MIN(1,MAX(VLOOKUP(($AJ106-$AI106-$AH106-$AG106-$AF106-$AE106*(1+HR$3))/$AJ106,'Технический лист'!$A:$B,2,1),(HQ106-0.05)))</f>
        <v>0.94</v>
      </c>
      <c r="HS106" s="15">
        <f>MIN(1,MAX(VLOOKUP(($AJ106-$AI106-$AH106-$AG106-$AF106-$AE106*(1+HS$3))/$AJ106,'Технический лист'!$A:$B,2,1),(HR106-0.05)))</f>
        <v>0.94</v>
      </c>
      <c r="HT106" s="15">
        <f>MIN(1,MAX(VLOOKUP(($AJ106-$AI106-$AH106-$AG106-$AF106-$AE106*(1+HT$3))/$AJ106,'Технический лист'!$A:$B,2,1),(HS106-0.05)))</f>
        <v>0.94</v>
      </c>
      <c r="HU106" s="15">
        <f>MIN(1,MAX(VLOOKUP(($AJ106-$AI106-$AH106-$AG106-$AF106-$AE106*(1+HU$3))/$AJ106,'Технический лист'!$A:$B,2,1),(HT106-0.05)))</f>
        <v>0.94</v>
      </c>
      <c r="HV106" s="15">
        <f>MIN(1,MAX(VLOOKUP(($AJ106-$AI106-$AH106-$AG106-$AF106-$AE106*(1+HV$3))/$AJ106,'Технический лист'!$A:$B,2,1),(HU106-0.05)))</f>
        <v>0.94</v>
      </c>
      <c r="HW106" s="15">
        <f>MIN(1,MAX(VLOOKUP(($AJ106-$AI106-$AH106-$AG106-$AF106-$AE106*(1+HW$3))/$AJ106,'Технический лист'!$A:$B,2,1),(HV106-0.05)))</f>
        <v>0.94</v>
      </c>
      <c r="HX106" s="15">
        <f>MIN(1,MAX(VLOOKUP(($AJ106-$AI106-$AH106-$AG106-$AF106-$AE106*(1+HX$3))/$AJ106,'Технический лист'!$A:$B,2,1),(HW106-0.05)))</f>
        <v>0.94</v>
      </c>
      <c r="HY106" s="15">
        <f>MIN(1,MAX(VLOOKUP(($AJ106-$AI106-$AH106-$AG106-$AF106-$AE106*(1+HY$3))/$AJ106,'Технический лист'!$A:$B,2,1),(HX106-0.05)))</f>
        <v>0.94</v>
      </c>
      <c r="HZ106" s="15">
        <f>MIN(1,MAX(VLOOKUP(($AJ106-$AI106-$AH106-$AG106-$AF106-$AE106*(1+HZ$3))/$AJ106,'Технический лист'!$A:$B,2,1),(HY106-0.05)))</f>
        <v>0.94</v>
      </c>
      <c r="IA106" s="15">
        <f>MIN(1,MAX(VLOOKUP(($AJ106-$AI106-$AH106-$AG106-$AF106-$AE106*(1+IA$3))/$AJ106,'Технический лист'!$A:$B,2,1),(HZ106-0.05)))</f>
        <v>0.94</v>
      </c>
      <c r="IB106" s="15">
        <f>MIN(1,MAX(VLOOKUP(($AJ106-$AI106-$AH106-$AG106-$AF106-$AE106*(1+IB$3))/$AJ106,'Технический лист'!$A:$B,2,1),(IA106-0.05)))</f>
        <v>0.93500000000000005</v>
      </c>
      <c r="IC106" s="15">
        <f>MIN(1,MAX(VLOOKUP(($AJ106-$AI106-$AH106-$AG106-$AF106-$AE106*(1+IC$3))/$AJ106,'Технический лист'!$A:$B,2,1),(IB106-0.05)))</f>
        <v>0.93500000000000005</v>
      </c>
      <c r="ID106" s="15">
        <f>MIN(1,MAX(VLOOKUP(($AJ106-$AI106-$AH106-$AG106-$AF106-$AE106*(1+ID$3))/$AJ106,'Технический лист'!$A:$B,2,1),(IC106-0.05)))</f>
        <v>0.93500000000000005</v>
      </c>
      <c r="IE106" s="15">
        <f>MIN(1,MAX(VLOOKUP(($AJ106-$AI106-$AH106-$AG106-$AF106-$AE106*(1+IE$3))/$AJ106,'Технический лист'!$A:$B,2,1),(ID106-0.05)))</f>
        <v>0.93500000000000005</v>
      </c>
      <c r="IF106" s="15">
        <f>MIN(1,MAX(VLOOKUP(($AJ106-$AI106-$AH106-$AG106-$AF106-$AE106*(1+IF$3))/$AJ106,'Технический лист'!$A:$B,2,1),(IE106-0.05)))</f>
        <v>0.93500000000000005</v>
      </c>
      <c r="IG106" s="15">
        <f>MIN(1,MAX(VLOOKUP(($AJ106-$AI106-$AH106-$AG106-$AF106-$AE106*(1+IG$3))/$AJ106,'Технический лист'!$A:$B,2,1),(IF106-0.05)))</f>
        <v>0.93500000000000005</v>
      </c>
      <c r="IH106" s="15">
        <f>MIN(1,MAX(VLOOKUP(($AJ106-$AI106-$AH106-$AG106-$AF106-$AE106*(1+IH$3))/$AJ106,'Технический лист'!$A:$B,2,1),(IG106-0.05)))</f>
        <v>0.93500000000000005</v>
      </c>
      <c r="II106" s="15">
        <f>MIN(1,MAX(VLOOKUP(($AJ106-$AI106-$AH106-$AG106-$AF106-$AE106*(1+II$3))/$AJ106,'Технический лист'!$A:$B,2,1),(IH106-0.05)))</f>
        <v>0.93500000000000005</v>
      </c>
      <c r="IJ106" s="15">
        <f>MIN(1,MAX(VLOOKUP(($AJ106-$AI106-$AH106-$AG106-$AF106-$AE106*(1+IJ$3))/$AJ106,'Технический лист'!$A:$B,2,1),(II106-0.05)))</f>
        <v>0.93500000000000005</v>
      </c>
      <c r="IK106" s="15">
        <f>MIN(1,MAX(VLOOKUP(($AJ106-$AI106-$AH106-$AG106-$AF106-$AE106*(1+IK$3))/$AJ106,'Технический лист'!$A:$B,2,1),(IJ106-0.05)))</f>
        <v>0.93500000000000005</v>
      </c>
      <c r="IL106" s="15">
        <f>MIN(1,MAX(VLOOKUP(($AJ106-$AI106-$AH106-$AG106-$AF106-$AE106*(1+IL$3))/$AJ106,'Технический лист'!$A:$B,2,1),(IK106-0.05)))</f>
        <v>0.93500000000000005</v>
      </c>
      <c r="IM106" s="15">
        <f>MIN(1,MAX(VLOOKUP(($AJ106-$AI106-$AH106-$AG106-$AF106-$AE106*(1+IM$3))/$AJ106,'Технический лист'!$A:$B,2,1),(IL106-0.05)))</f>
        <v>0.93500000000000005</v>
      </c>
      <c r="IN106" s="15">
        <f>MIN(1,MAX(VLOOKUP(($AJ106-$AI106-$AH106-$AG106-$AF106-$AE106*(1+IN$3))/$AJ106,'Технический лист'!$A:$B,2,1),(IM106-0.05)))</f>
        <v>0.93500000000000005</v>
      </c>
      <c r="IO106" s="15">
        <f>MIN(1,MAX(VLOOKUP(($AJ106-$AI106-$AH106-$AG106-$AF106-$AE106*(1+IO$3))/$AJ106,'Технический лист'!$A:$B,2,1),(IN106-0.05)))</f>
        <v>0.93</v>
      </c>
      <c r="IP106" s="15">
        <f>MIN(1,MAX(VLOOKUP(($AJ106-$AI106-$AH106-$AG106-$AF106-$AE106*(1+IP$3))/$AJ106,'Технический лист'!$A:$B,2,1),(IO106-0.05)))</f>
        <v>0.93</v>
      </c>
      <c r="IQ106" s="15">
        <f>MIN(1,MAX(VLOOKUP(($AJ106-$AI106-$AH106-$AG106-$AF106-$AE106*(1+IQ$3))/$AJ106,'Технический лист'!$A:$B,2,1),(IP106-0.05)))</f>
        <v>0.93</v>
      </c>
      <c r="IR106" s="15">
        <f>MIN(1,MAX(VLOOKUP(($AJ106-$AI106-$AH106-$AG106-$AF106-$AE106*(1+IR$3))/$AJ106,'Технический лист'!$A:$B,2,1),(IQ106-0.05)))</f>
        <v>0.93</v>
      </c>
    </row>
    <row r="107" spans="1:252" ht="58.3">
      <c r="A107" s="89" t="s">
        <v>515</v>
      </c>
      <c r="B107" s="90">
        <v>5</v>
      </c>
      <c r="C107" s="5" t="s">
        <v>68</v>
      </c>
      <c r="D107" s="91">
        <v>32411</v>
      </c>
      <c r="E107" s="91" t="s">
        <v>340</v>
      </c>
      <c r="F107" s="92" t="s">
        <v>75</v>
      </c>
      <c r="G107" s="91" t="s">
        <v>31</v>
      </c>
      <c r="H107" s="91" t="s">
        <v>26</v>
      </c>
      <c r="I107" s="91" t="s">
        <v>100</v>
      </c>
      <c r="J107" s="91" t="s">
        <v>85</v>
      </c>
      <c r="K107" s="91">
        <v>2529</v>
      </c>
      <c r="L107" s="85" t="s">
        <v>64</v>
      </c>
      <c r="M107" s="91" t="s">
        <v>17</v>
      </c>
      <c r="N107" s="91" t="s">
        <v>191</v>
      </c>
      <c r="O107" s="91" t="s">
        <v>193</v>
      </c>
      <c r="P107" s="89" t="s">
        <v>205</v>
      </c>
      <c r="Q107" s="91" t="s">
        <v>308</v>
      </c>
      <c r="R107" s="91" t="s">
        <v>255</v>
      </c>
      <c r="S107" s="82">
        <v>9082</v>
      </c>
      <c r="T107" s="82">
        <v>22968100</v>
      </c>
      <c r="U107" s="81">
        <v>133</v>
      </c>
      <c r="V107" s="81">
        <v>0</v>
      </c>
      <c r="W107" s="82">
        <v>39910546</v>
      </c>
      <c r="X107" s="112">
        <v>68</v>
      </c>
      <c r="Y107" s="112" t="s">
        <v>416</v>
      </c>
      <c r="Z107" s="113">
        <v>14</v>
      </c>
      <c r="AA107" s="113">
        <v>9</v>
      </c>
      <c r="AB107" s="113">
        <v>4</v>
      </c>
      <c r="AC107" s="99">
        <v>4875.57</v>
      </c>
      <c r="AD107" s="99">
        <f>AE107-AC107</f>
        <v>627.97000000000025</v>
      </c>
      <c r="AE107" s="99">
        <v>5503.54</v>
      </c>
      <c r="AF107" s="98">
        <f>(Z107+AA107+AB107)*'Ставки аренды'!$B$3/X107</f>
        <v>277.94117647058823</v>
      </c>
      <c r="AG107" s="114">
        <v>0</v>
      </c>
      <c r="AH107" s="94">
        <v>0</v>
      </c>
      <c r="AI107" s="115">
        <f>131496272/143742760*AJ107</f>
        <v>34204.195771091639</v>
      </c>
      <c r="AJ107" s="117">
        <f>Цены!C24*'Курсы валют'!B2</f>
        <v>37389.695</v>
      </c>
      <c r="AK107" s="94">
        <f>AJ107/Цены!$B$1</f>
        <v>490</v>
      </c>
      <c r="AL107" s="95">
        <f t="shared" si="24"/>
        <v>5781.4811764705883</v>
      </c>
      <c r="AM107" s="95">
        <f t="shared" si="25"/>
        <v>31608.213823529411</v>
      </c>
      <c r="AN107" s="94">
        <f t="shared" si="39"/>
        <v>39985.676947562228</v>
      </c>
      <c r="AO107" s="118">
        <f t="shared" si="40"/>
        <v>-6.9430412512384174E-2</v>
      </c>
      <c r="AP107" s="96">
        <f t="shared" si="26"/>
        <v>0.15462766349045073</v>
      </c>
      <c r="AQ107" s="96">
        <f t="shared" si="27"/>
        <v>0.14719403300829279</v>
      </c>
      <c r="AR107" s="96">
        <f t="shared" si="28"/>
        <v>0.95192561075840731</v>
      </c>
      <c r="AS107" s="122">
        <v>1</v>
      </c>
      <c r="AT107" s="121">
        <f t="shared" si="45"/>
        <v>9082</v>
      </c>
      <c r="AU107" s="83">
        <v>0.7</v>
      </c>
      <c r="AV107" s="119">
        <f t="shared" si="41"/>
        <v>-8.7093696473379334E-2</v>
      </c>
      <c r="AW107" s="120">
        <f t="shared" si="42"/>
        <v>0.17229094745144588</v>
      </c>
      <c r="AX107" s="120">
        <f t="shared" si="43"/>
        <v>0.16485731696928796</v>
      </c>
      <c r="AY107" s="120">
        <f t="shared" si="44"/>
        <v>0.95685420161582868</v>
      </c>
      <c r="AZ107" s="15">
        <f>MIN(IF($AU107=100%,1,1+VLOOKUP(($AJ107-$AI107-$AH107-$AG107-$AF107-$AE107*(1+AZ$3))/$AJ107,'Технический лист'!$I:$J,2,1)-VLOOKUP($AO107,'Технический лист'!$I:$J,2,1)),1+(1-$AU107))</f>
        <v>1.24</v>
      </c>
      <c r="BA107" s="15">
        <f>MIN(IF($AU107=100%,1,1+VLOOKUP(($AJ107-$AI107-$AH107-$AG107-$AF107-$AE107*(1+BA$3))/$AJ107,'Технический лист'!$I:$J,2,1)-VLOOKUP($AO107,'Технический лист'!$I:$J,2,1)),1+(1-$AU107))</f>
        <v>1.24</v>
      </c>
      <c r="BB107" s="15">
        <f>MIN(IF($AU107=100%,1,1+VLOOKUP(($AJ107-$AI107-$AH107-$AG107-$AF107-$AE107*(1+BB$3))/$AJ107,'Технический лист'!$I:$J,2,1)-VLOOKUP($AO107,'Технический лист'!$I:$J,2,1)),1+(1-$AU107))</f>
        <v>1.24</v>
      </c>
      <c r="BC107" s="15">
        <f>MIN(IF($AU107=100%,1,1+VLOOKUP(($AJ107-$AI107-$AH107-$AG107-$AF107-$AE107*(1+BC$3))/$AJ107,'Технический лист'!$I:$J,2,1)-VLOOKUP($AO107,'Технический лист'!$I:$J,2,1)),1+(1-$AU107))</f>
        <v>1.24</v>
      </c>
      <c r="BD107" s="15">
        <f>MIN(IF($AU107=100%,1,1+VLOOKUP(($AJ107-$AI107-$AH107-$AG107-$AF107-$AE107*(1+BD$3))/$AJ107,'Технический лист'!$I:$J,2,1)-VLOOKUP($AO107,'Технический лист'!$I:$J,2,1)),1+(1-$AU107))</f>
        <v>1.24</v>
      </c>
      <c r="BE107" s="15">
        <f>MIN(IF($AU107=100%,1,1+VLOOKUP(($AJ107-$AI107-$AH107-$AG107-$AF107-$AE107*(1+BE$3))/$AJ107,'Технический лист'!$I:$J,2,1)-VLOOKUP($AO107,'Технический лист'!$I:$J,2,1)),1+(1-$AU107))</f>
        <v>1.24</v>
      </c>
      <c r="BF107" s="15">
        <f>MIN(IF($AU107=100%,1,1+VLOOKUP(($AJ107-$AI107-$AH107-$AG107-$AF107-$AE107*(1+BF$3))/$AJ107,'Технический лист'!$I:$J,2,1)-VLOOKUP($AO107,'Технический лист'!$I:$J,2,1)),1+(1-$AU107))</f>
        <v>1.23</v>
      </c>
      <c r="BG107" s="15">
        <f>MIN(IF($AU107=100%,1,1+VLOOKUP(($AJ107-$AI107-$AH107-$AG107-$AF107-$AE107*(1+BG$3))/$AJ107,'Технический лист'!$I:$J,2,1)-VLOOKUP($AO107,'Технический лист'!$I:$J,2,1)),1+(1-$AU107))</f>
        <v>1.23</v>
      </c>
      <c r="BH107" s="15">
        <f>MIN(IF($AU107=100%,1,1+VLOOKUP(($AJ107-$AI107-$AH107-$AG107-$AF107-$AE107*(1+BH$3))/$AJ107,'Технический лист'!$I:$J,2,1)-VLOOKUP($AO107,'Технический лист'!$I:$J,2,1)),1+(1-$AU107))</f>
        <v>1.23</v>
      </c>
      <c r="BI107" s="15">
        <f>MIN(IF($AU107=100%,1,1+VLOOKUP(($AJ107-$AI107-$AH107-$AG107-$AF107-$AE107*(1+BI$3))/$AJ107,'Технический лист'!$I:$J,2,1)-VLOOKUP($AO107,'Технический лист'!$I:$J,2,1)),1+(1-$AU107))</f>
        <v>1.23</v>
      </c>
      <c r="BJ107" s="15">
        <f>MIN(IF($AU107=100%,1,1+VLOOKUP(($AJ107-$AI107-$AH107-$AG107-$AF107-$AE107*(1+BJ$3))/$AJ107,'Технический лист'!$I:$J,2,1)-VLOOKUP($AO107,'Технический лист'!$I:$J,2,1)),1+(1-$AU107))</f>
        <v>1.23</v>
      </c>
      <c r="BK107" s="15">
        <f>MIN(IF($AU107=100%,1,1+VLOOKUP(($AJ107-$AI107-$AH107-$AG107-$AF107-$AE107*(1+BK$3))/$AJ107,'Технический лист'!$I:$J,2,1)-VLOOKUP($AO107,'Технический лист'!$I:$J,2,1)),1+(1-$AU107))</f>
        <v>1.23</v>
      </c>
      <c r="BL107" s="15">
        <f>MIN(IF($AU107=100%,1,1+VLOOKUP(($AJ107-$AI107-$AH107-$AG107-$AF107-$AE107*(1+BL$3))/$AJ107,'Технический лист'!$I:$J,2,1)-VLOOKUP($AO107,'Технический лист'!$I:$J,2,1)),1+(1-$AU107))</f>
        <v>1.23</v>
      </c>
      <c r="BM107" s="15">
        <f>MIN(IF($AU107=100%,1,1+VLOOKUP(($AJ107-$AI107-$AH107-$AG107-$AF107-$AE107*(1+BM$3))/$AJ107,'Технический лист'!$I:$J,2,1)-VLOOKUP($AO107,'Технический лист'!$I:$J,2,1)),1+(1-$AU107))</f>
        <v>1.22</v>
      </c>
      <c r="BN107" s="15">
        <f>MIN(IF($AU107=100%,1,1+VLOOKUP(($AJ107-$AI107-$AH107-$AG107-$AF107-$AE107*(1+BN$3))/$AJ107,'Технический лист'!$I:$J,2,1)-VLOOKUP($AO107,'Технический лист'!$I:$J,2,1)),1+(1-$AU107))</f>
        <v>1.22</v>
      </c>
      <c r="BO107" s="15">
        <f>MIN(IF($AU107=100%,1,1+VLOOKUP(($AJ107-$AI107-$AH107-$AG107-$AF107-$AE107*(1+BO$3))/$AJ107,'Технический лист'!$I:$J,2,1)-VLOOKUP($AO107,'Технический лист'!$I:$J,2,1)),1+(1-$AU107))</f>
        <v>1.22</v>
      </c>
      <c r="BP107" s="15">
        <f>MIN(IF($AU107=100%,1,1+VLOOKUP(($AJ107-$AI107-$AH107-$AG107-$AF107-$AE107*(1+BP$3))/$AJ107,'Технический лист'!$I:$J,2,1)-VLOOKUP($AO107,'Технический лист'!$I:$J,2,1)),1+(1-$AU107))</f>
        <v>1.22</v>
      </c>
      <c r="BQ107" s="15">
        <f>MIN(IF($AU107=100%,1,1+VLOOKUP(($AJ107-$AI107-$AH107-$AG107-$AF107-$AE107*(1+BQ$3))/$AJ107,'Технический лист'!$I:$J,2,1)-VLOOKUP($AO107,'Технический лист'!$I:$J,2,1)),1+(1-$AU107))</f>
        <v>1.22</v>
      </c>
      <c r="BR107" s="15">
        <f>MIN(IF($AU107=100%,1,1+VLOOKUP(($AJ107-$AI107-$AH107-$AG107-$AF107-$AE107*(1+BR$3))/$AJ107,'Технический лист'!$I:$J,2,1)-VLOOKUP($AO107,'Технический лист'!$I:$J,2,1)),1+(1-$AU107))</f>
        <v>1.22</v>
      </c>
      <c r="BS107" s="15">
        <f>MIN(IF($AU107=100%,1,1+VLOOKUP(($AJ107-$AI107-$AH107-$AG107-$AF107-$AE107*(1+BS$3))/$AJ107,'Технический лист'!$I:$J,2,1)-VLOOKUP($AO107,'Технический лист'!$I:$J,2,1)),1+(1-$AU107))</f>
        <v>1.22</v>
      </c>
      <c r="BT107" s="15">
        <f>MIN(IF($AU107=100%,1,1+VLOOKUP(($AJ107-$AI107-$AH107-$AG107-$AF107-$AE107*(1+BT$3))/$AJ107,'Технический лист'!$I:$J,2,1)-VLOOKUP($AO107,'Технический лист'!$I:$J,2,1)),1+(1-$AU107))</f>
        <v>1.2049999999999998</v>
      </c>
      <c r="BU107" s="15">
        <f>MIN(IF($AU107=100%,1,1+VLOOKUP(($AJ107-$AI107-$AH107-$AG107-$AF107-$AE107*(1+BU$3))/$AJ107,'Технический лист'!$I:$J,2,1)-VLOOKUP($AO107,'Технический лист'!$I:$J,2,1)),1+(1-$AU107))</f>
        <v>1.2049999999999998</v>
      </c>
      <c r="BV107" s="15">
        <f>MIN(IF($AU107=100%,1,1+VLOOKUP(($AJ107-$AI107-$AH107-$AG107-$AF107-$AE107*(1+BV$3))/$AJ107,'Технический лист'!$I:$J,2,1)-VLOOKUP($AO107,'Технический лист'!$I:$J,2,1)),1+(1-$AU107))</f>
        <v>1.2049999999999998</v>
      </c>
      <c r="BW107" s="15">
        <f>MIN(IF($AU107=100%,1,1+VLOOKUP(($AJ107-$AI107-$AH107-$AG107-$AF107-$AE107*(1+BW$3))/$AJ107,'Технический лист'!$I:$J,2,1)-VLOOKUP($AO107,'Технический лист'!$I:$J,2,1)),1+(1-$AU107))</f>
        <v>1.2049999999999998</v>
      </c>
      <c r="BX107" s="15">
        <f>MIN(IF($AU107=100%,1,1+VLOOKUP(($AJ107-$AI107-$AH107-$AG107-$AF107-$AE107*(1+BX$3))/$AJ107,'Технический лист'!$I:$J,2,1)-VLOOKUP($AO107,'Технический лист'!$I:$J,2,1)),1+(1-$AU107))</f>
        <v>1.2049999999999998</v>
      </c>
      <c r="BY107" s="15">
        <f>MIN(IF($AU107=100%,1,1+VLOOKUP(($AJ107-$AI107-$AH107-$AG107-$AF107-$AE107*(1+BY$3))/$AJ107,'Технический лист'!$I:$J,2,1)-VLOOKUP($AO107,'Технический лист'!$I:$J,2,1)),1+(1-$AU107))</f>
        <v>1.2049999999999998</v>
      </c>
      <c r="BZ107" s="15">
        <f>MIN(IF($AU107=100%,1,1+VLOOKUP(($AJ107-$AI107-$AH107-$AG107-$AF107-$AE107*(1+BZ$3))/$AJ107,'Технический лист'!$I:$J,2,1)-VLOOKUP($AO107,'Технический лист'!$I:$J,2,1)),1+(1-$AU107))</f>
        <v>1.2049999999999998</v>
      </c>
      <c r="CA107" s="15">
        <f>MIN(IF($AU107=100%,1,1+VLOOKUP(($AJ107-$AI107-$AH107-$AG107-$AF107-$AE107*(1+CA$3))/$AJ107,'Технический лист'!$I:$J,2,1)-VLOOKUP($AO107,'Технический лист'!$I:$J,2,1)),1+(1-$AU107))</f>
        <v>1.19</v>
      </c>
      <c r="CB107" s="15">
        <f>MIN(IF($AU107=100%,1,1+VLOOKUP(($AJ107-$AI107-$AH107-$AG107-$AF107-$AE107*(1+CB$3))/$AJ107,'Технический лист'!$I:$J,2,1)-VLOOKUP($AO107,'Технический лист'!$I:$J,2,1)),1+(1-$AU107))</f>
        <v>1.19</v>
      </c>
      <c r="CC107" s="15">
        <f>MIN(IF($AU107=100%,1,1+VLOOKUP(($AJ107-$AI107-$AH107-$AG107-$AF107-$AE107*(1+CC$3))/$AJ107,'Технический лист'!$I:$J,2,1)-VLOOKUP($AO107,'Технический лист'!$I:$J,2,1)),1+(1-$AU107))</f>
        <v>1.19</v>
      </c>
      <c r="CD107" s="15">
        <f>MIN(IF($AU107=100%,1,1+VLOOKUP(($AJ107-$AI107-$AH107-$AG107-$AF107-$AE107*(1+CD$3))/$AJ107,'Технический лист'!$I:$J,2,1)-VLOOKUP($AO107,'Технический лист'!$I:$J,2,1)),1+(1-$AU107))</f>
        <v>1.19</v>
      </c>
      <c r="CE107" s="15">
        <f>MIN(IF($AU107=100%,1,1+VLOOKUP(($AJ107-$AI107-$AH107-$AG107-$AF107-$AE107*(1+CE$3))/$AJ107,'Технический лист'!$I:$J,2,1)-VLOOKUP($AO107,'Технический лист'!$I:$J,2,1)),1+(1-$AU107))</f>
        <v>1.19</v>
      </c>
      <c r="CF107" s="15">
        <f>MIN(IF($AU107=100%,1,1+VLOOKUP(($AJ107-$AI107-$AH107-$AG107-$AF107-$AE107*(1+CF$3))/$AJ107,'Технический лист'!$I:$J,2,1)-VLOOKUP($AO107,'Технический лист'!$I:$J,2,1)),1+(1-$AU107))</f>
        <v>1.19</v>
      </c>
      <c r="CG107" s="15">
        <f>MIN(IF($AU107=100%,1,1+VLOOKUP(($AJ107-$AI107-$AH107-$AG107-$AF107-$AE107*(1+CG$3))/$AJ107,'Технический лист'!$I:$J,2,1)-VLOOKUP($AO107,'Технический лист'!$I:$J,2,1)),1+(1-$AU107))</f>
        <v>1.175</v>
      </c>
      <c r="CH107" s="15">
        <f>MIN(IF($AU107=100%,1,1+VLOOKUP(($AJ107-$AI107-$AH107-$AG107-$AF107-$AE107*(1+CH$3))/$AJ107,'Технический лист'!$I:$J,2,1)-VLOOKUP($AO107,'Технический лист'!$I:$J,2,1)),1+(1-$AU107))</f>
        <v>1.175</v>
      </c>
      <c r="CI107" s="15">
        <f>MIN(IF($AU107=100%,1,1+VLOOKUP(($AJ107-$AI107-$AH107-$AG107-$AF107-$AE107*(1+CI$3))/$AJ107,'Технический лист'!$I:$J,2,1)-VLOOKUP($AO107,'Технический лист'!$I:$J,2,1)),1+(1-$AU107))</f>
        <v>1.175</v>
      </c>
      <c r="CJ107" s="15">
        <f>MIN(IF($AU107=100%,1,1+VLOOKUP(($AJ107-$AI107-$AH107-$AG107-$AF107-$AE107*(1+CJ$3))/$AJ107,'Технический лист'!$I:$J,2,1)-VLOOKUP($AO107,'Технический лист'!$I:$J,2,1)),1+(1-$AU107))</f>
        <v>1.175</v>
      </c>
      <c r="CK107" s="15">
        <f>MIN(IF($AU107=100%,1,1+VLOOKUP(($AJ107-$AI107-$AH107-$AG107-$AF107-$AE107*(1+CK$3))/$AJ107,'Технический лист'!$I:$J,2,1)-VLOOKUP($AO107,'Технический лист'!$I:$J,2,1)),1+(1-$AU107))</f>
        <v>1.175</v>
      </c>
      <c r="CL107" s="15">
        <f>MIN(IF($AU107=100%,1,1+VLOOKUP(($AJ107-$AI107-$AH107-$AG107-$AF107-$AE107*(1+CL$3))/$AJ107,'Технический лист'!$I:$J,2,1)-VLOOKUP($AO107,'Технический лист'!$I:$J,2,1)),1+(1-$AU107))</f>
        <v>1.175</v>
      </c>
      <c r="CM107" s="15">
        <f>MIN(IF($AU107=100%,1,1+VLOOKUP(($AJ107-$AI107-$AH107-$AG107-$AF107-$AE107*(1+CM$3))/$AJ107,'Технический лист'!$I:$J,2,1)-VLOOKUP($AO107,'Технический лист'!$I:$J,2,1)),1+(1-$AU107))</f>
        <v>1.175</v>
      </c>
      <c r="CN107" s="15">
        <f>MIN(IF($AU107=100%,1,1+VLOOKUP(($AJ107-$AI107-$AH107-$AG107-$AF107-$AE107*(1+CN$3))/$AJ107,'Технический лист'!$I:$J,2,1)-VLOOKUP($AO107,'Технический лист'!$I:$J,2,1)),1+(1-$AU107))</f>
        <v>1.1599999999999999</v>
      </c>
      <c r="CO107" s="15">
        <f>MIN(IF($AU107=100%,1,1+VLOOKUP(($AJ107-$AI107-$AH107-$AG107-$AF107-$AE107*(1+CO$3))/$AJ107,'Технический лист'!$I:$J,2,1)-VLOOKUP($AO107,'Технический лист'!$I:$J,2,1)),1+(1-$AU107))</f>
        <v>1.1599999999999999</v>
      </c>
      <c r="CP107" s="15">
        <f>MIN(IF($AU107=100%,1,1+VLOOKUP(($AJ107-$AI107-$AH107-$AG107-$AF107-$AE107*(1+CP$3))/$AJ107,'Технический лист'!$I:$J,2,1)-VLOOKUP($AO107,'Технический лист'!$I:$J,2,1)),1+(1-$AU107))</f>
        <v>1.1599999999999999</v>
      </c>
      <c r="CQ107" s="15">
        <f>MIN(IF($AU107=100%,1,1+VLOOKUP(($AJ107-$AI107-$AH107-$AG107-$AF107-$AE107*(1+CQ$3))/$AJ107,'Технический лист'!$I:$J,2,1)-VLOOKUP($AO107,'Технический лист'!$I:$J,2,1)),1+(1-$AU107))</f>
        <v>1.1599999999999999</v>
      </c>
      <c r="CR107" s="15">
        <f>MIN(IF($AU107=100%,1,1+VLOOKUP(($AJ107-$AI107-$AH107-$AG107-$AF107-$AE107*(1+CR$3))/$AJ107,'Технический лист'!$I:$J,2,1)-VLOOKUP($AO107,'Технический лист'!$I:$J,2,1)),1+(1-$AU107))</f>
        <v>1.1599999999999999</v>
      </c>
      <c r="CS107" s="15">
        <f>MIN(IF($AU107=100%,1,1+VLOOKUP(($AJ107-$AI107-$AH107-$AG107-$AF107-$AE107*(1+CS$3))/$AJ107,'Технический лист'!$I:$J,2,1)-VLOOKUP($AO107,'Технический лист'!$I:$J,2,1)),1+(1-$AU107))</f>
        <v>1.1599999999999999</v>
      </c>
      <c r="CT107" s="15">
        <f>MIN(IF($AU107=100%,1,1+VLOOKUP(($AJ107-$AI107-$AH107-$AG107-$AF107-$AE107*(1+CT$3))/$AJ107,'Технический лист'!$I:$J,2,1)-VLOOKUP($AO107,'Технический лист'!$I:$J,2,1)),1+(1-$AU107))</f>
        <v>1.1599999999999999</v>
      </c>
      <c r="CU107" s="15">
        <f>MIN(IF($AU107=100%,1,1+VLOOKUP(($AJ107-$AI107-$AH107-$AG107-$AF107-$AE107*(1+CU$3))/$AJ107,'Технический лист'!$I:$J,2,1)-VLOOKUP($AO107,'Технический лист'!$I:$J,2,1)),1+(1-$AU107))</f>
        <v>1.145</v>
      </c>
      <c r="CV107" s="15">
        <f>MIN(IF($AU107=100%,1,1+VLOOKUP(($AJ107-$AI107-$AH107-$AG107-$AF107-$AE107*(1+CV$3))/$AJ107,'Технический лист'!$I:$J,2,1)-VLOOKUP($AO107,'Технический лист'!$I:$J,2,1)),1+(1-$AU107))</f>
        <v>1.145</v>
      </c>
      <c r="CW107" s="15">
        <f>MIN(IF($AU107=100%,1,1+VLOOKUP(($AJ107-$AI107-$AH107-$AG107-$AF107-$AE107*(1+CW$3))/$AJ107,'Технический лист'!$I:$J,2,1)-VLOOKUP($AO107,'Технический лист'!$I:$J,2,1)),1+(1-$AU107))</f>
        <v>1.145</v>
      </c>
      <c r="CX107" s="15">
        <f>MIN(IF($AU107=100%,1,1+VLOOKUP(($AJ107-$AI107-$AH107-$AG107-$AF107-$AE107*(1+CX$3))/$AJ107,'Технический лист'!$I:$J,2,1)-VLOOKUP($AO107,'Технический лист'!$I:$J,2,1)),1+(1-$AU107))</f>
        <v>1.145</v>
      </c>
      <c r="CY107" s="15">
        <f>MIN(IF($AU107=100%,1,1+VLOOKUP(($AJ107-$AI107-$AH107-$AG107-$AF107-$AE107*(1+CY$3))/$AJ107,'Технический лист'!$I:$J,2,1)-VLOOKUP($AO107,'Технический лист'!$I:$J,2,1)),1+(1-$AU107))</f>
        <v>1.145</v>
      </c>
      <c r="CZ107" s="15">
        <f>MIN(IF($AU107=100%,1,1+VLOOKUP(($AJ107-$AI107-$AH107-$AG107-$AF107-$AE107*(1+CZ$3))/$AJ107,'Технический лист'!$I:$J,2,1)-VLOOKUP($AO107,'Технический лист'!$I:$J,2,1)),1+(1-$AU107))</f>
        <v>1.145</v>
      </c>
      <c r="DA107" s="15">
        <f>MIN(IF($AU107=100%,1,1+VLOOKUP(($AJ107-$AI107-$AH107-$AG107-$AF107-$AE107*(1+DA$3))/$AJ107,'Технический лист'!$I:$J,2,1)-VLOOKUP($AO107,'Технический лист'!$I:$J,2,1)),1+(1-$AU107))</f>
        <v>1.145</v>
      </c>
      <c r="DB107" s="15">
        <f>MIN(IF($AU107=100%,1,1+VLOOKUP(($AJ107-$AI107-$AH107-$AG107-$AF107-$AE107*(1+DB$3))/$AJ107,'Технический лист'!$I:$J,2,1)-VLOOKUP($AO107,'Технический лист'!$I:$J,2,1)),1+(1-$AU107))</f>
        <v>1.1300000000000001</v>
      </c>
      <c r="DC107" s="15">
        <f>MIN(IF($AU107=100%,1,1+VLOOKUP(($AJ107-$AI107-$AH107-$AG107-$AF107-$AE107*(1+DC$3))/$AJ107,'Технический лист'!$I:$J,2,1)-VLOOKUP($AO107,'Технический лист'!$I:$J,2,1)),1+(1-$AU107))</f>
        <v>1.1300000000000001</v>
      </c>
      <c r="DD107" s="15">
        <f>MIN(IF($AU107=100%,1,1+VLOOKUP(($AJ107-$AI107-$AH107-$AG107-$AF107-$AE107*(1+DD$3))/$AJ107,'Технический лист'!$I:$J,2,1)-VLOOKUP($AO107,'Технический лист'!$I:$J,2,1)),1+(1-$AU107))</f>
        <v>1.1300000000000001</v>
      </c>
      <c r="DE107" s="15">
        <f>MIN(IF($AU107=100%,1,1+VLOOKUP(($AJ107-$AI107-$AH107-$AG107-$AF107-$AE107*(1+DE$3))/$AJ107,'Технический лист'!$I:$J,2,1)-VLOOKUP($AO107,'Технический лист'!$I:$J,2,1)),1+(1-$AU107))</f>
        <v>1.1300000000000001</v>
      </c>
      <c r="DF107" s="15">
        <f>MIN(IF($AU107=100%,1,1+VLOOKUP(($AJ107-$AI107-$AH107-$AG107-$AF107-$AE107*(1+DF$3))/$AJ107,'Технический лист'!$I:$J,2,1)-VLOOKUP($AO107,'Технический лист'!$I:$J,2,1)),1+(1-$AU107))</f>
        <v>1.1300000000000001</v>
      </c>
      <c r="DG107" s="15">
        <f>MIN(IF($AU107=100%,1,1+VLOOKUP(($AJ107-$AI107-$AH107-$AG107-$AF107-$AE107*(1+DG$3))/$AJ107,'Технический лист'!$I:$J,2,1)-VLOOKUP($AO107,'Технический лист'!$I:$J,2,1)),1+(1-$AU107))</f>
        <v>1.1300000000000001</v>
      </c>
      <c r="DH107" s="15">
        <f>MIN(IF($AU107=100%,1,1+VLOOKUP(($AJ107-$AI107-$AH107-$AG107-$AF107-$AE107*(1+DH$3))/$AJ107,'Технический лист'!$I:$J,2,1)-VLOOKUP($AO107,'Технический лист'!$I:$J,2,1)),1+(1-$AU107))</f>
        <v>1.1300000000000001</v>
      </c>
      <c r="DI107" s="15">
        <f>MIN(IF($AU107=100%,1,1+VLOOKUP(($AJ107-$AI107-$AH107-$AG107-$AF107-$AE107*(1+DI$3))/$AJ107,'Технический лист'!$I:$J,2,1)-VLOOKUP($AO107,'Технический лист'!$I:$J,2,1)),1+(1-$AU107))</f>
        <v>1.1100000000000001</v>
      </c>
      <c r="DJ107" s="15">
        <f>MIN(IF($AU107=100%,1,1+VLOOKUP(($AJ107-$AI107-$AH107-$AG107-$AF107-$AE107*(1+DJ$3))/$AJ107,'Технический лист'!$I:$J,2,1)-VLOOKUP($AO107,'Технический лист'!$I:$J,2,1)),1+(1-$AU107))</f>
        <v>1.1100000000000001</v>
      </c>
      <c r="DK107" s="15">
        <f>MIN(IF($AU107=100%,1,1+VLOOKUP(($AJ107-$AI107-$AH107-$AG107-$AF107-$AE107*(1+DK$3))/$AJ107,'Технический лист'!$I:$J,2,1)-VLOOKUP($AO107,'Технический лист'!$I:$J,2,1)),1+(1-$AU107))</f>
        <v>1.1100000000000001</v>
      </c>
      <c r="DL107" s="15">
        <f>MIN(IF($AU107=100%,1,1+VLOOKUP(($AJ107-$AI107-$AH107-$AG107-$AF107-$AE107*(1+DL$3))/$AJ107,'Технический лист'!$I:$J,2,1)-VLOOKUP($AO107,'Технический лист'!$I:$J,2,1)),1+(1-$AU107))</f>
        <v>1.1100000000000001</v>
      </c>
      <c r="DM107" s="15">
        <f>MIN(IF($AU107=100%,1,1+VLOOKUP(($AJ107-$AI107-$AH107-$AG107-$AF107-$AE107*(1+DM$3))/$AJ107,'Технический лист'!$I:$J,2,1)-VLOOKUP($AO107,'Технический лист'!$I:$J,2,1)),1+(1-$AU107))</f>
        <v>1.1100000000000001</v>
      </c>
      <c r="DN107" s="15">
        <f>MIN(IF($AU107=100%,1,1+VLOOKUP(($AJ107-$AI107-$AH107-$AG107-$AF107-$AE107*(1+DN$3))/$AJ107,'Технический лист'!$I:$J,2,1)-VLOOKUP($AO107,'Технический лист'!$I:$J,2,1)),1+(1-$AU107))</f>
        <v>1.1100000000000001</v>
      </c>
      <c r="DO107" s="15">
        <f>MIN(IF($AU107=100%,1,1+VLOOKUP(($AJ107-$AI107-$AH107-$AG107-$AF107-$AE107*(1+DO$3))/$AJ107,'Технический лист'!$I:$J,2,1)-VLOOKUP($AO107,'Технический лист'!$I:$J,2,1)),1+(1-$AU107))</f>
        <v>1.0900000000000001</v>
      </c>
      <c r="DP107" s="15">
        <f>MIN(IF($AU107=100%,1,1+VLOOKUP(($AJ107-$AI107-$AH107-$AG107-$AF107-$AE107*(1+DP$3))/$AJ107,'Технический лист'!$I:$J,2,1)-VLOOKUP($AO107,'Технический лист'!$I:$J,2,1)),1+(1-$AU107))</f>
        <v>1.0900000000000001</v>
      </c>
      <c r="DQ107" s="15">
        <f>MIN(IF($AU107=100%,1,1+VLOOKUP(($AJ107-$AI107-$AH107-$AG107-$AF107-$AE107*(1+DQ$3))/$AJ107,'Технический лист'!$I:$J,2,1)-VLOOKUP($AO107,'Технический лист'!$I:$J,2,1)),1+(1-$AU107))</f>
        <v>1.0900000000000001</v>
      </c>
      <c r="DR107" s="15">
        <f>MIN(IF($AU107=100%,1,1+VLOOKUP(($AJ107-$AI107-$AH107-$AG107-$AF107-$AE107*(1+DR$3))/$AJ107,'Технический лист'!$I:$J,2,1)-VLOOKUP($AO107,'Технический лист'!$I:$J,2,1)),1+(1-$AU107))</f>
        <v>1.0900000000000001</v>
      </c>
      <c r="DS107" s="15">
        <f>MIN(IF($AU107=100%,1,1+VLOOKUP(($AJ107-$AI107-$AH107-$AG107-$AF107-$AE107*(1+DS$3))/$AJ107,'Технический лист'!$I:$J,2,1)-VLOOKUP($AO107,'Технический лист'!$I:$J,2,1)),1+(1-$AU107))</f>
        <v>1.0900000000000001</v>
      </c>
      <c r="DT107" s="15">
        <f>MIN(IF($AU107=100%,1,1+VLOOKUP(($AJ107-$AI107-$AH107-$AG107-$AF107-$AE107*(1+DT$3))/$AJ107,'Технический лист'!$I:$J,2,1)-VLOOKUP($AO107,'Технический лист'!$I:$J,2,1)),1+(1-$AU107))</f>
        <v>1.0900000000000001</v>
      </c>
      <c r="DU107" s="15">
        <f>MIN(IF($AU107=100%,1,1+VLOOKUP(($AJ107-$AI107-$AH107-$AG107-$AF107-$AE107*(1+DU$3))/$AJ107,'Технический лист'!$I:$J,2,1)-VLOOKUP($AO107,'Технический лист'!$I:$J,2,1)),1+(1-$AU107))</f>
        <v>1.0900000000000001</v>
      </c>
      <c r="DV107" s="15">
        <f>MIN(IF($AU107=100%,1,1+VLOOKUP(($AJ107-$AI107-$AH107-$AG107-$AF107-$AE107*(1+DV$3))/$AJ107,'Технический лист'!$I:$J,2,1)-VLOOKUP($AO107,'Технический лист'!$I:$J,2,1)),1+(1-$AU107))</f>
        <v>1.07</v>
      </c>
      <c r="DW107" s="15">
        <f>MIN(IF($AU107=100%,1,1+VLOOKUP(($AJ107-$AI107-$AH107-$AG107-$AF107-$AE107*(1+DW$3))/$AJ107,'Технический лист'!$I:$J,2,1)-VLOOKUP($AO107,'Технический лист'!$I:$J,2,1)),1+(1-$AU107))</f>
        <v>1.07</v>
      </c>
      <c r="DX107" s="15">
        <f>MIN(IF($AU107=100%,1,1+VLOOKUP(($AJ107-$AI107-$AH107-$AG107-$AF107-$AE107*(1+DX$3))/$AJ107,'Технический лист'!$I:$J,2,1)-VLOOKUP($AO107,'Технический лист'!$I:$J,2,1)),1+(1-$AU107))</f>
        <v>1.07</v>
      </c>
      <c r="DY107" s="15">
        <f>MIN(IF($AU107=100%,1,1+VLOOKUP(($AJ107-$AI107-$AH107-$AG107-$AF107-$AE107*(1+DY$3))/$AJ107,'Технический лист'!$I:$J,2,1)-VLOOKUP($AO107,'Технический лист'!$I:$J,2,1)),1+(1-$AU107))</f>
        <v>1.07</v>
      </c>
      <c r="DZ107" s="15">
        <f>MIN(IF($AU107=100%,1,1+VLOOKUP(($AJ107-$AI107-$AH107-$AG107-$AF107-$AE107*(1+DZ$3))/$AJ107,'Технический лист'!$I:$J,2,1)-VLOOKUP($AO107,'Технический лист'!$I:$J,2,1)),1+(1-$AU107))</f>
        <v>1.07</v>
      </c>
      <c r="EA107" s="15">
        <f>MIN(IF($AU107=100%,1,1+VLOOKUP(($AJ107-$AI107-$AH107-$AG107-$AF107-$AE107*(1+EA$3))/$AJ107,'Технический лист'!$I:$J,2,1)-VLOOKUP($AO107,'Технический лист'!$I:$J,2,1)),1+(1-$AU107))</f>
        <v>1.07</v>
      </c>
      <c r="EB107" s="15">
        <f>MIN(IF($AU107=100%,1,1+VLOOKUP(($AJ107-$AI107-$AH107-$AG107-$AF107-$AE107*(1+EB$3))/$AJ107,'Технический лист'!$I:$J,2,1)-VLOOKUP($AO107,'Технический лист'!$I:$J,2,1)),1+(1-$AU107))</f>
        <v>1.07</v>
      </c>
      <c r="EC107" s="15">
        <f>MIN(IF($AU107=100%,1,1+VLOOKUP(($AJ107-$AI107-$AH107-$AG107-$AF107-$AE107*(1+EC$3))/$AJ107,'Технический лист'!$I:$J,2,1)-VLOOKUP($AO107,'Технический лист'!$I:$J,2,1)),1+(1-$AU107))</f>
        <v>1.05</v>
      </c>
      <c r="ED107" s="15">
        <f>MIN(IF($AU107=100%,1,1+VLOOKUP(($AJ107-$AI107-$AH107-$AG107-$AF107-$AE107*(1+ED$3))/$AJ107,'Технический лист'!$I:$J,2,1)-VLOOKUP($AO107,'Технический лист'!$I:$J,2,1)),1+(1-$AU107))</f>
        <v>1.05</v>
      </c>
      <c r="EE107" s="15">
        <f>MIN(IF($AU107=100%,1,1+VLOOKUP(($AJ107-$AI107-$AH107-$AG107-$AF107-$AE107*(1+EE$3))/$AJ107,'Технический лист'!$I:$J,2,1)-VLOOKUP($AO107,'Технический лист'!$I:$J,2,1)),1+(1-$AU107))</f>
        <v>1.05</v>
      </c>
      <c r="EF107" s="15">
        <f>MIN(IF($AU107=100%,1,1+VLOOKUP(($AJ107-$AI107-$AH107-$AG107-$AF107-$AE107*(1+EF$3))/$AJ107,'Технический лист'!$I:$J,2,1)-VLOOKUP($AO107,'Технический лист'!$I:$J,2,1)),1+(1-$AU107))</f>
        <v>1.05</v>
      </c>
      <c r="EG107" s="15">
        <f>MIN(IF($AU107=100%,1,1+VLOOKUP(($AJ107-$AI107-$AH107-$AG107-$AF107-$AE107*(1+EG$3))/$AJ107,'Технический лист'!$I:$J,2,1)-VLOOKUP($AO107,'Технический лист'!$I:$J,2,1)),1+(1-$AU107))</f>
        <v>1.05</v>
      </c>
      <c r="EH107" s="15">
        <f>MIN(IF($AU107=100%,1,1+VLOOKUP(($AJ107-$AI107-$AH107-$AG107-$AF107-$AE107*(1+EH$3))/$AJ107,'Технический лист'!$I:$J,2,1)-VLOOKUP($AO107,'Технический лист'!$I:$J,2,1)),1+(1-$AU107))</f>
        <v>1.05</v>
      </c>
      <c r="EI107" s="15">
        <f>MIN(IF($AU107=100%,1,1+VLOOKUP(($AJ107-$AI107-$AH107-$AG107-$AF107-$AE107*(1+EI$3))/$AJ107,'Технический лист'!$I:$J,2,1)-VLOOKUP($AO107,'Технический лист'!$I:$J,2,1)),1+(1-$AU107))</f>
        <v>1.05</v>
      </c>
      <c r="EJ107" s="15">
        <f>MIN(IF($AU107=100%,1,1+VLOOKUP(($AJ107-$AI107-$AH107-$AG107-$AF107-$AE107*(1+EJ$3))/$AJ107,'Технический лист'!$I:$J,2,1)-VLOOKUP($AO107,'Технический лист'!$I:$J,2,1)),1+(1-$AU107))</f>
        <v>1.0250000000000001</v>
      </c>
      <c r="EK107" s="15">
        <f>MIN(IF($AU107=100%,1,1+VLOOKUP(($AJ107-$AI107-$AH107-$AG107-$AF107-$AE107*(1+EK$3))/$AJ107,'Технический лист'!$I:$J,2,1)-VLOOKUP($AO107,'Технический лист'!$I:$J,2,1)),1+(1-$AU107))</f>
        <v>1.0250000000000001</v>
      </c>
      <c r="EL107" s="15">
        <f>MIN(IF($AU107=100%,1,1+VLOOKUP(($AJ107-$AI107-$AH107-$AG107-$AF107-$AE107*(1+EL$3))/$AJ107,'Технический лист'!$I:$J,2,1)-VLOOKUP($AO107,'Технический лист'!$I:$J,2,1)),1+(1-$AU107))</f>
        <v>1.0250000000000001</v>
      </c>
      <c r="EM107" s="15">
        <f>MIN(IF($AU107=100%,1,1+VLOOKUP(($AJ107-$AI107-$AH107-$AG107-$AF107-$AE107*(1+EM$3))/$AJ107,'Технический лист'!$I:$J,2,1)-VLOOKUP($AO107,'Технический лист'!$I:$J,2,1)),1+(1-$AU107))</f>
        <v>1.0250000000000001</v>
      </c>
      <c r="EN107" s="15">
        <f>MIN(IF($AU107=100%,1,1+VLOOKUP(($AJ107-$AI107-$AH107-$AG107-$AF107-$AE107*(1+EN$3))/$AJ107,'Технический лист'!$I:$J,2,1)-VLOOKUP($AO107,'Технический лист'!$I:$J,2,1)),1+(1-$AU107))</f>
        <v>1.0250000000000001</v>
      </c>
      <c r="EO107" s="15">
        <f>MIN(IF($AU107=100%,1,1+VLOOKUP(($AJ107-$AI107-$AH107-$AG107-$AF107-$AE107*(1+EO$3))/$AJ107,'Технический лист'!$I:$J,2,1)-VLOOKUP($AO107,'Технический лист'!$I:$J,2,1)),1+(1-$AU107))</f>
        <v>1.0250000000000001</v>
      </c>
      <c r="EP107" s="15">
        <f>MIN(IF($AU107=100%,1,1+VLOOKUP(($AJ107-$AI107-$AH107-$AG107-$AF107-$AE107*(1+EP$3))/$AJ107,'Технический лист'!$I:$J,2,1)-VLOOKUP($AO107,'Технический лист'!$I:$J,2,1)),1+(1-$AU107))</f>
        <v>1</v>
      </c>
      <c r="EQ107" s="15">
        <f>MIN(IF($AU107=100%,1,1+VLOOKUP(($AJ107-$AI107-$AH107-$AG107-$AF107-$AE107*(1+EQ$3))/$AJ107,'Технический лист'!$I:$J,2,1)-VLOOKUP($AO107,'Технический лист'!$I:$J,2,1)),1+(1-$AU107))</f>
        <v>1</v>
      </c>
      <c r="ER107" s="15">
        <f>MIN(IF($AU107=100%,1,1+VLOOKUP(($AJ107-$AI107-$AH107-$AG107-$AF107-$AE107*(1+ER$3))/$AJ107,'Технический лист'!$I:$J,2,1)-VLOOKUP($AO107,'Технический лист'!$I:$J,2,1)),1+(1-$AU107))</f>
        <v>1</v>
      </c>
      <c r="ES107" s="15">
        <f>MIN(IF($AU107=100%,1,1+VLOOKUP(($AJ107-$AI107-$AH107-$AG107-$AF107-$AE107*(1+ES$3))/$AJ107,'Технический лист'!$I:$J,2,1)-VLOOKUP($AO107,'Технический лист'!$I:$J,2,1)),1+(1-$AU107))</f>
        <v>1</v>
      </c>
      <c r="ET107" s="15">
        <f>MIN(IF($AU107=100%,1,1+VLOOKUP(($AJ107-$AI107-$AH107-$AG107-$AF107-$AE107*(1+ET$3))/$AJ107,'Технический лист'!$I:$J,2,1)-VLOOKUP($AO107,'Технический лист'!$I:$J,2,1)),1+(1-$AU107))</f>
        <v>1</v>
      </c>
      <c r="EU107" s="15">
        <f>MIN(IF($AU107=100%,1,1+VLOOKUP(($AJ107-$AI107-$AH107-$AG107-$AF107-$AE107*(1+EU$3))/$AJ107,'Технический лист'!$I:$J,2,1)-VLOOKUP($AO107,'Технический лист'!$I:$J,2,1)),1+(1-$AU107))</f>
        <v>1</v>
      </c>
      <c r="EV107" s="111">
        <v>1</v>
      </c>
      <c r="EW107" s="15">
        <f>MIN(1,MAX(VLOOKUP(($AJ107-$AI107-$AH107-$AG107-$AF107-$AE107*(1+EW$3))/$AJ107,'Технический лист'!$A:$B,2,1),(EV107-0.05)))</f>
        <v>0.97</v>
      </c>
      <c r="EX107" s="15">
        <f>MIN(1,MAX(VLOOKUP(($AJ107-$AI107-$AH107-$AG107-$AF107-$AE107*(1+EX$3))/$AJ107,'Технический лист'!$A:$B,2,1),(EW107-0.05)))</f>
        <v>0.97</v>
      </c>
      <c r="EY107" s="15">
        <f>MIN(1,MAX(VLOOKUP(($AJ107-$AI107-$AH107-$AG107-$AF107-$AE107*(1+EY$3))/$AJ107,'Технический лист'!$A:$B,2,1),(EX107-0.05)))</f>
        <v>0.97</v>
      </c>
      <c r="EZ107" s="15">
        <f>MIN(1,MAX(VLOOKUP(($AJ107-$AI107-$AH107-$AG107-$AF107-$AE107*(1+EZ$3))/$AJ107,'Технический лист'!$A:$B,2,1),(EY107-0.05)))</f>
        <v>0.97</v>
      </c>
      <c r="FA107" s="15">
        <f>MIN(1,MAX(VLOOKUP(($AJ107-$AI107-$AH107-$AG107-$AF107-$AE107*(1+FA$3))/$AJ107,'Технический лист'!$A:$B,2,1),(EZ107-0.05)))</f>
        <v>0.97</v>
      </c>
      <c r="FB107" s="15">
        <f>MIN(1,MAX(VLOOKUP(($AJ107-$AI107-$AH107-$AG107-$AF107-$AE107*(1+FB$3))/$AJ107,'Технический лист'!$A:$B,2,1),(FA107-0.05)))</f>
        <v>0.97</v>
      </c>
      <c r="FC107" s="15">
        <f>MIN(1,MAX(VLOOKUP(($AJ107-$AI107-$AH107-$AG107-$AF107-$AE107*(1+FC$3))/$AJ107,'Технический лист'!$A:$B,2,1),(FB107-0.05)))</f>
        <v>0.97</v>
      </c>
      <c r="FD107" s="15">
        <f>MIN(1,MAX(VLOOKUP(($AJ107-$AI107-$AH107-$AG107-$AF107-$AE107*(1+FD$3))/$AJ107,'Технический лист'!$A:$B,2,1),(FC107-0.05)))</f>
        <v>0.97</v>
      </c>
      <c r="FE107" s="15">
        <f>MIN(1,MAX(VLOOKUP(($AJ107-$AI107-$AH107-$AG107-$AF107-$AE107*(1+FE$3))/$AJ107,'Технический лист'!$A:$B,2,1),(FD107-0.05)))</f>
        <v>0.97</v>
      </c>
      <c r="FF107" s="15">
        <f>MIN(1,MAX(VLOOKUP(($AJ107-$AI107-$AH107-$AG107-$AF107-$AE107*(1+FF$3))/$AJ107,'Технический лист'!$A:$B,2,1),(FE107-0.05)))</f>
        <v>0.97</v>
      </c>
      <c r="FG107" s="15">
        <f>MIN(1,MAX(VLOOKUP(($AJ107-$AI107-$AH107-$AG107-$AF107-$AE107*(1+FG$3))/$AJ107,'Технический лист'!$A:$B,2,1),(FF107-0.05)))</f>
        <v>0.97</v>
      </c>
      <c r="FH107" s="15">
        <f>MIN(1,MAX(VLOOKUP(($AJ107-$AI107-$AH107-$AG107-$AF107-$AE107*(1+FH$3))/$AJ107,'Технический лист'!$A:$B,2,1),(FG107-0.05)))</f>
        <v>0.97</v>
      </c>
      <c r="FI107" s="15">
        <f>MIN(1,MAX(VLOOKUP(($AJ107-$AI107-$AH107-$AG107-$AF107-$AE107*(1+FI$3))/$AJ107,'Технический лист'!$A:$B,2,1),(FH107-0.05)))</f>
        <v>0.97</v>
      </c>
      <c r="FJ107" s="15">
        <f>MIN(1,MAX(VLOOKUP(($AJ107-$AI107-$AH107-$AG107-$AF107-$AE107*(1+FJ$3))/$AJ107,'Технический лист'!$A:$B,2,1),(FI107-0.05)))</f>
        <v>0.97</v>
      </c>
      <c r="FK107" s="15">
        <f>MIN(1,MAX(VLOOKUP(($AJ107-$AI107-$AH107-$AG107-$AF107-$AE107*(1+FK$3))/$AJ107,'Технический лист'!$A:$B,2,1),(FJ107-0.05)))</f>
        <v>0.96499999999999997</v>
      </c>
      <c r="FL107" s="15">
        <f>MIN(1,MAX(VLOOKUP(($AJ107-$AI107-$AH107-$AG107-$AF107-$AE107*(1+FL$3))/$AJ107,'Технический лист'!$A:$B,2,1),(FK107-0.05)))</f>
        <v>0.96499999999999997</v>
      </c>
      <c r="FM107" s="15">
        <f>MIN(1,MAX(VLOOKUP(($AJ107-$AI107-$AH107-$AG107-$AF107-$AE107*(1+FM$3))/$AJ107,'Технический лист'!$A:$B,2,1),(FL107-0.05)))</f>
        <v>0.96499999999999997</v>
      </c>
      <c r="FN107" s="15">
        <f>MIN(1,MAX(VLOOKUP(($AJ107-$AI107-$AH107-$AG107-$AF107-$AE107*(1+FN$3))/$AJ107,'Технический лист'!$A:$B,2,1),(FM107-0.05)))</f>
        <v>0.96499999999999997</v>
      </c>
      <c r="FO107" s="15">
        <f>MIN(1,MAX(VLOOKUP(($AJ107-$AI107-$AH107-$AG107-$AF107-$AE107*(1+FO$3))/$AJ107,'Технический лист'!$A:$B,2,1),(FN107-0.05)))</f>
        <v>0.96499999999999997</v>
      </c>
      <c r="FP107" s="15">
        <f>MIN(1,MAX(VLOOKUP(($AJ107-$AI107-$AH107-$AG107-$AF107-$AE107*(1+FP$3))/$AJ107,'Технический лист'!$A:$B,2,1),(FO107-0.05)))</f>
        <v>0.96499999999999997</v>
      </c>
      <c r="FQ107" s="15">
        <f>MIN(1,MAX(VLOOKUP(($AJ107-$AI107-$AH107-$AG107-$AF107-$AE107*(1+FQ$3))/$AJ107,'Технический лист'!$A:$B,2,1),(FP107-0.05)))</f>
        <v>0.96499999999999997</v>
      </c>
      <c r="FR107" s="15">
        <f>MIN(1,MAX(VLOOKUP(($AJ107-$AI107-$AH107-$AG107-$AF107-$AE107*(1+FR$3))/$AJ107,'Технический лист'!$A:$B,2,1),(FQ107-0.05)))</f>
        <v>0.96499999999999997</v>
      </c>
      <c r="FS107" s="15">
        <f>MIN(1,MAX(VLOOKUP(($AJ107-$AI107-$AH107-$AG107-$AF107-$AE107*(1+FS$3))/$AJ107,'Технический лист'!$A:$B,2,1),(FR107-0.05)))</f>
        <v>0.96499999999999997</v>
      </c>
      <c r="FT107" s="15">
        <f>MIN(1,MAX(VLOOKUP(($AJ107-$AI107-$AH107-$AG107-$AF107-$AE107*(1+FT$3))/$AJ107,'Технический лист'!$A:$B,2,1),(FS107-0.05)))</f>
        <v>0.96499999999999997</v>
      </c>
      <c r="FU107" s="15">
        <f>MIN(1,MAX(VLOOKUP(($AJ107-$AI107-$AH107-$AG107-$AF107-$AE107*(1+FU$3))/$AJ107,'Технический лист'!$A:$B,2,1),(FT107-0.05)))</f>
        <v>0.96499999999999997</v>
      </c>
      <c r="FV107" s="15">
        <f>MIN(1,MAX(VLOOKUP(($AJ107-$AI107-$AH107-$AG107-$AF107-$AE107*(1+FV$3))/$AJ107,'Технический лист'!$A:$B,2,1),(FU107-0.05)))</f>
        <v>0.96499999999999997</v>
      </c>
      <c r="FW107" s="15">
        <f>MIN(1,MAX(VLOOKUP(($AJ107-$AI107-$AH107-$AG107-$AF107-$AE107*(1+FW$3))/$AJ107,'Технический лист'!$A:$B,2,1),(FV107-0.05)))</f>
        <v>0.96499999999999997</v>
      </c>
      <c r="FX107" s="15">
        <f>MIN(1,MAX(VLOOKUP(($AJ107-$AI107-$AH107-$AG107-$AF107-$AE107*(1+FX$3))/$AJ107,'Технический лист'!$A:$B,2,1),(FW107-0.05)))</f>
        <v>0.96</v>
      </c>
      <c r="FY107" s="15">
        <f>MIN(1,MAX(VLOOKUP(($AJ107-$AI107-$AH107-$AG107-$AF107-$AE107*(1+FY$3))/$AJ107,'Технический лист'!$A:$B,2,1),(FX107-0.05)))</f>
        <v>0.96</v>
      </c>
      <c r="FZ107" s="15">
        <f>MIN(1,MAX(VLOOKUP(($AJ107-$AI107-$AH107-$AG107-$AF107-$AE107*(1+FZ$3))/$AJ107,'Технический лист'!$A:$B,2,1),(FY107-0.05)))</f>
        <v>0.96</v>
      </c>
      <c r="GA107" s="15">
        <f>MIN(1,MAX(VLOOKUP(($AJ107-$AI107-$AH107-$AG107-$AF107-$AE107*(1+GA$3))/$AJ107,'Технический лист'!$A:$B,2,1),(FZ107-0.05)))</f>
        <v>0.96</v>
      </c>
      <c r="GB107" s="15">
        <f>MIN(1,MAX(VLOOKUP(($AJ107-$AI107-$AH107-$AG107-$AF107-$AE107*(1+GB$3))/$AJ107,'Технический лист'!$A:$B,2,1),(GA107-0.05)))</f>
        <v>0.96</v>
      </c>
      <c r="GC107" s="15">
        <f>MIN(1,MAX(VLOOKUP(($AJ107-$AI107-$AH107-$AG107-$AF107-$AE107*(1+GC$3))/$AJ107,'Технический лист'!$A:$B,2,1),(GB107-0.05)))</f>
        <v>0.96</v>
      </c>
      <c r="GD107" s="15">
        <f>MIN(1,MAX(VLOOKUP(($AJ107-$AI107-$AH107-$AG107-$AF107-$AE107*(1+GD$3))/$AJ107,'Технический лист'!$A:$B,2,1),(GC107-0.05)))</f>
        <v>0.96</v>
      </c>
      <c r="GE107" s="15">
        <f>MIN(1,MAX(VLOOKUP(($AJ107-$AI107-$AH107-$AG107-$AF107-$AE107*(1+GE$3))/$AJ107,'Технический лист'!$A:$B,2,1),(GD107-0.05)))</f>
        <v>0.96</v>
      </c>
      <c r="GF107" s="15">
        <f>MIN(1,MAX(VLOOKUP(($AJ107-$AI107-$AH107-$AG107-$AF107-$AE107*(1+GF$3))/$AJ107,'Технический лист'!$A:$B,2,1),(GE107-0.05)))</f>
        <v>0.96</v>
      </c>
      <c r="GG107" s="15">
        <f>MIN(1,MAX(VLOOKUP(($AJ107-$AI107-$AH107-$AG107-$AF107-$AE107*(1+GG$3))/$AJ107,'Технический лист'!$A:$B,2,1),(GF107-0.05)))</f>
        <v>0.96</v>
      </c>
      <c r="GH107" s="15">
        <f>MIN(1,MAX(VLOOKUP(($AJ107-$AI107-$AH107-$AG107-$AF107-$AE107*(1+GH$3))/$AJ107,'Технический лист'!$A:$B,2,1),(GG107-0.05)))</f>
        <v>0.96</v>
      </c>
      <c r="GI107" s="15">
        <f>MIN(1,MAX(VLOOKUP(($AJ107-$AI107-$AH107-$AG107-$AF107-$AE107*(1+GI$3))/$AJ107,'Технический лист'!$A:$B,2,1),(GH107-0.05)))</f>
        <v>0.96</v>
      </c>
      <c r="GJ107" s="15">
        <f>MIN(1,MAX(VLOOKUP(($AJ107-$AI107-$AH107-$AG107-$AF107-$AE107*(1+GJ$3))/$AJ107,'Технический лист'!$A:$B,2,1),(GI107-0.05)))</f>
        <v>0.96</v>
      </c>
      <c r="GK107" s="15">
        <f>MIN(1,MAX(VLOOKUP(($AJ107-$AI107-$AH107-$AG107-$AF107-$AE107*(1+GK$3))/$AJ107,'Технический лист'!$A:$B,2,1),(GJ107-0.05)))</f>
        <v>0.96</v>
      </c>
      <c r="GL107" s="15">
        <f>MIN(1,MAX(VLOOKUP(($AJ107-$AI107-$AH107-$AG107-$AF107-$AE107*(1+GL$3))/$AJ107,'Технический лист'!$A:$B,2,1),(GK107-0.05)))</f>
        <v>0.95499999999999996</v>
      </c>
      <c r="GM107" s="15">
        <f>MIN(1,MAX(VLOOKUP(($AJ107-$AI107-$AH107-$AG107-$AF107-$AE107*(1+GM$3))/$AJ107,'Технический лист'!$A:$B,2,1),(GL107-0.05)))</f>
        <v>0.95499999999999996</v>
      </c>
      <c r="GN107" s="15">
        <f>MIN(1,MAX(VLOOKUP(($AJ107-$AI107-$AH107-$AG107-$AF107-$AE107*(1+GN$3))/$AJ107,'Технический лист'!$A:$B,2,1),(GM107-0.05)))</f>
        <v>0.95499999999999996</v>
      </c>
      <c r="GO107" s="15">
        <f>MIN(1,MAX(VLOOKUP(($AJ107-$AI107-$AH107-$AG107-$AF107-$AE107*(1+GO$3))/$AJ107,'Технический лист'!$A:$B,2,1),(GN107-0.05)))</f>
        <v>0.95499999999999996</v>
      </c>
      <c r="GP107" s="15">
        <f>MIN(1,MAX(VLOOKUP(($AJ107-$AI107-$AH107-$AG107-$AF107-$AE107*(1+GP$3))/$AJ107,'Технический лист'!$A:$B,2,1),(GO107-0.05)))</f>
        <v>0.95499999999999996</v>
      </c>
      <c r="GQ107" s="15">
        <f>MIN(1,MAX(VLOOKUP(($AJ107-$AI107-$AH107-$AG107-$AF107-$AE107*(1+GQ$3))/$AJ107,'Технический лист'!$A:$B,2,1),(GP107-0.05)))</f>
        <v>0.95499999999999996</v>
      </c>
      <c r="GR107" s="15">
        <f>MIN(1,MAX(VLOOKUP(($AJ107-$AI107-$AH107-$AG107-$AF107-$AE107*(1+GR$3))/$AJ107,'Технический лист'!$A:$B,2,1),(GQ107-0.05)))</f>
        <v>0.95499999999999996</v>
      </c>
      <c r="GS107" s="15">
        <f>MIN(1,MAX(VLOOKUP(($AJ107-$AI107-$AH107-$AG107-$AF107-$AE107*(1+GS$3))/$AJ107,'Технический лист'!$A:$B,2,1),(GR107-0.05)))</f>
        <v>0.95499999999999996</v>
      </c>
      <c r="GT107" s="15">
        <f>MIN(1,MAX(VLOOKUP(($AJ107-$AI107-$AH107-$AG107-$AF107-$AE107*(1+GT$3))/$AJ107,'Технический лист'!$A:$B,2,1),(GS107-0.05)))</f>
        <v>0.95499999999999996</v>
      </c>
      <c r="GU107" s="15">
        <f>MIN(1,MAX(VLOOKUP(($AJ107-$AI107-$AH107-$AG107-$AF107-$AE107*(1+GU$3))/$AJ107,'Технический лист'!$A:$B,2,1),(GT107-0.05)))</f>
        <v>0.95499999999999996</v>
      </c>
      <c r="GV107" s="15">
        <f>MIN(1,MAX(VLOOKUP(($AJ107-$AI107-$AH107-$AG107-$AF107-$AE107*(1+GV$3))/$AJ107,'Технический лист'!$A:$B,2,1),(GU107-0.05)))</f>
        <v>0.95499999999999996</v>
      </c>
      <c r="GW107" s="15">
        <f>MIN(1,MAX(VLOOKUP(($AJ107-$AI107-$AH107-$AG107-$AF107-$AE107*(1+GW$3))/$AJ107,'Технический лист'!$A:$B,2,1),(GV107-0.05)))</f>
        <v>0.95499999999999996</v>
      </c>
      <c r="GX107" s="15">
        <f>MIN(1,MAX(VLOOKUP(($AJ107-$AI107-$AH107-$AG107-$AF107-$AE107*(1+GX$3))/$AJ107,'Технический лист'!$A:$B,2,1),(GW107-0.05)))</f>
        <v>0.95499999999999996</v>
      </c>
      <c r="GY107" s="15">
        <f>MIN(1,MAX(VLOOKUP(($AJ107-$AI107-$AH107-$AG107-$AF107-$AE107*(1+GY$3))/$AJ107,'Технический лист'!$A:$B,2,1),(GX107-0.05)))</f>
        <v>0.95499999999999996</v>
      </c>
      <c r="GZ107" s="15">
        <f>MIN(1,MAX(VLOOKUP(($AJ107-$AI107-$AH107-$AG107-$AF107-$AE107*(1+GZ$3))/$AJ107,'Технический лист'!$A:$B,2,1),(GY107-0.05)))</f>
        <v>0.95</v>
      </c>
      <c r="HA107" s="15">
        <f>MIN(1,MAX(VLOOKUP(($AJ107-$AI107-$AH107-$AG107-$AF107-$AE107*(1+HA$3))/$AJ107,'Технический лист'!$A:$B,2,1),(GZ107-0.05)))</f>
        <v>0.95</v>
      </c>
      <c r="HB107" s="15">
        <f>MIN(1,MAX(VLOOKUP(($AJ107-$AI107-$AH107-$AG107-$AF107-$AE107*(1+HB$3))/$AJ107,'Технический лист'!$A:$B,2,1),(HA107-0.05)))</f>
        <v>0.95</v>
      </c>
      <c r="HC107" s="15">
        <f>MIN(1,MAX(VLOOKUP(($AJ107-$AI107-$AH107-$AG107-$AF107-$AE107*(1+HC$3))/$AJ107,'Технический лист'!$A:$B,2,1),(HB107-0.05)))</f>
        <v>0.95</v>
      </c>
      <c r="HD107" s="15">
        <f>MIN(1,MAX(VLOOKUP(($AJ107-$AI107-$AH107-$AG107-$AF107-$AE107*(1+HD$3))/$AJ107,'Технический лист'!$A:$B,2,1),(HC107-0.05)))</f>
        <v>0.95</v>
      </c>
      <c r="HE107" s="15">
        <f>MIN(1,MAX(VLOOKUP(($AJ107-$AI107-$AH107-$AG107-$AF107-$AE107*(1+HE$3))/$AJ107,'Технический лист'!$A:$B,2,1),(HD107-0.05)))</f>
        <v>0.95</v>
      </c>
      <c r="HF107" s="15">
        <f>MIN(1,MAX(VLOOKUP(($AJ107-$AI107-$AH107-$AG107-$AF107-$AE107*(1+HF$3))/$AJ107,'Технический лист'!$A:$B,2,1),(HE107-0.05)))</f>
        <v>0.95</v>
      </c>
      <c r="HG107" s="15">
        <f>MIN(1,MAX(VLOOKUP(($AJ107-$AI107-$AH107-$AG107-$AF107-$AE107*(1+HG$3))/$AJ107,'Технический лист'!$A:$B,2,1),(HF107-0.05)))</f>
        <v>0.95</v>
      </c>
      <c r="HH107" s="15">
        <f>MIN(1,MAX(VLOOKUP(($AJ107-$AI107-$AH107-$AG107-$AF107-$AE107*(1+HH$3))/$AJ107,'Технический лист'!$A:$B,2,1),(HG107-0.05)))</f>
        <v>0.95</v>
      </c>
      <c r="HI107" s="15">
        <f>MIN(1,MAX(VLOOKUP(($AJ107-$AI107-$AH107-$AG107-$AF107-$AE107*(1+HI$3))/$AJ107,'Технический лист'!$A:$B,2,1),(HH107-0.05)))</f>
        <v>0.95</v>
      </c>
      <c r="HJ107" s="15">
        <f>MIN(1,MAX(VLOOKUP(($AJ107-$AI107-$AH107-$AG107-$AF107-$AE107*(1+HJ$3))/$AJ107,'Технический лист'!$A:$B,2,1),(HI107-0.05)))</f>
        <v>0.95</v>
      </c>
      <c r="HK107" s="15">
        <f>MIN(1,MAX(VLOOKUP(($AJ107-$AI107-$AH107-$AG107-$AF107-$AE107*(1+HK$3))/$AJ107,'Технический лист'!$A:$B,2,1),(HJ107-0.05)))</f>
        <v>0.95</v>
      </c>
      <c r="HL107" s="15">
        <f>MIN(1,MAX(VLOOKUP(($AJ107-$AI107-$AH107-$AG107-$AF107-$AE107*(1+HL$3))/$AJ107,'Технический лист'!$A:$B,2,1),(HK107-0.05)))</f>
        <v>0.95</v>
      </c>
      <c r="HM107" s="15">
        <f>MIN(1,MAX(VLOOKUP(($AJ107-$AI107-$AH107-$AG107-$AF107-$AE107*(1+HM$3))/$AJ107,'Технический лист'!$A:$B,2,1),(HL107-0.05)))</f>
        <v>0.94499999999999995</v>
      </c>
      <c r="HN107" s="15">
        <f>MIN(1,MAX(VLOOKUP(($AJ107-$AI107-$AH107-$AG107-$AF107-$AE107*(1+HN$3))/$AJ107,'Технический лист'!$A:$B,2,1),(HM107-0.05)))</f>
        <v>0.94499999999999995</v>
      </c>
      <c r="HO107" s="15">
        <f>MIN(1,MAX(VLOOKUP(($AJ107-$AI107-$AH107-$AG107-$AF107-$AE107*(1+HO$3))/$AJ107,'Технический лист'!$A:$B,2,1),(HN107-0.05)))</f>
        <v>0.94499999999999995</v>
      </c>
      <c r="HP107" s="15">
        <f>MIN(1,MAX(VLOOKUP(($AJ107-$AI107-$AH107-$AG107-$AF107-$AE107*(1+HP$3))/$AJ107,'Технический лист'!$A:$B,2,1),(HO107-0.05)))</f>
        <v>0.94499999999999995</v>
      </c>
      <c r="HQ107" s="15">
        <f>MIN(1,MAX(VLOOKUP(($AJ107-$AI107-$AH107-$AG107-$AF107-$AE107*(1+HQ$3))/$AJ107,'Технический лист'!$A:$B,2,1),(HP107-0.05)))</f>
        <v>0.94499999999999995</v>
      </c>
      <c r="HR107" s="15">
        <f>MIN(1,MAX(VLOOKUP(($AJ107-$AI107-$AH107-$AG107-$AF107-$AE107*(1+HR$3))/$AJ107,'Технический лист'!$A:$B,2,1),(HQ107-0.05)))</f>
        <v>0.94499999999999995</v>
      </c>
      <c r="HS107" s="15">
        <f>MIN(1,MAX(VLOOKUP(($AJ107-$AI107-$AH107-$AG107-$AF107-$AE107*(1+HS$3))/$AJ107,'Технический лист'!$A:$B,2,1),(HR107-0.05)))</f>
        <v>0.94499999999999995</v>
      </c>
      <c r="HT107" s="15">
        <f>MIN(1,MAX(VLOOKUP(($AJ107-$AI107-$AH107-$AG107-$AF107-$AE107*(1+HT$3))/$AJ107,'Технический лист'!$A:$B,2,1),(HS107-0.05)))</f>
        <v>0.94499999999999995</v>
      </c>
      <c r="HU107" s="15">
        <f>MIN(1,MAX(VLOOKUP(($AJ107-$AI107-$AH107-$AG107-$AF107-$AE107*(1+HU$3))/$AJ107,'Технический лист'!$A:$B,2,1),(HT107-0.05)))</f>
        <v>0.94499999999999995</v>
      </c>
      <c r="HV107" s="15">
        <f>MIN(1,MAX(VLOOKUP(($AJ107-$AI107-$AH107-$AG107-$AF107-$AE107*(1+HV$3))/$AJ107,'Технический лист'!$A:$B,2,1),(HU107-0.05)))</f>
        <v>0.94499999999999995</v>
      </c>
      <c r="HW107" s="15">
        <f>MIN(1,MAX(VLOOKUP(($AJ107-$AI107-$AH107-$AG107-$AF107-$AE107*(1+HW$3))/$AJ107,'Технический лист'!$A:$B,2,1),(HV107-0.05)))</f>
        <v>0.94499999999999995</v>
      </c>
      <c r="HX107" s="15">
        <f>MIN(1,MAX(VLOOKUP(($AJ107-$AI107-$AH107-$AG107-$AF107-$AE107*(1+HX$3))/$AJ107,'Технический лист'!$A:$B,2,1),(HW107-0.05)))</f>
        <v>0.94499999999999995</v>
      </c>
      <c r="HY107" s="15">
        <f>MIN(1,MAX(VLOOKUP(($AJ107-$AI107-$AH107-$AG107-$AF107-$AE107*(1+HY$3))/$AJ107,'Технический лист'!$A:$B,2,1),(HX107-0.05)))</f>
        <v>0.94499999999999995</v>
      </c>
      <c r="HZ107" s="15">
        <f>MIN(1,MAX(VLOOKUP(($AJ107-$AI107-$AH107-$AG107-$AF107-$AE107*(1+HZ$3))/$AJ107,'Технический лист'!$A:$B,2,1),(HY107-0.05)))</f>
        <v>0.94499999999999995</v>
      </c>
      <c r="IA107" s="15">
        <f>MIN(1,MAX(VLOOKUP(($AJ107-$AI107-$AH107-$AG107-$AF107-$AE107*(1+IA$3))/$AJ107,'Технический лист'!$A:$B,2,1),(HZ107-0.05)))</f>
        <v>0.94</v>
      </c>
      <c r="IB107" s="15">
        <f>MIN(1,MAX(VLOOKUP(($AJ107-$AI107-$AH107-$AG107-$AF107-$AE107*(1+IB$3))/$AJ107,'Технический лист'!$A:$B,2,1),(IA107-0.05)))</f>
        <v>0.94</v>
      </c>
      <c r="IC107" s="15">
        <f>MIN(1,MAX(VLOOKUP(($AJ107-$AI107-$AH107-$AG107-$AF107-$AE107*(1+IC$3))/$AJ107,'Технический лист'!$A:$B,2,1),(IB107-0.05)))</f>
        <v>0.94</v>
      </c>
      <c r="ID107" s="15">
        <f>MIN(1,MAX(VLOOKUP(($AJ107-$AI107-$AH107-$AG107-$AF107-$AE107*(1+ID$3))/$AJ107,'Технический лист'!$A:$B,2,1),(IC107-0.05)))</f>
        <v>0.94</v>
      </c>
      <c r="IE107" s="15">
        <f>MIN(1,MAX(VLOOKUP(($AJ107-$AI107-$AH107-$AG107-$AF107-$AE107*(1+IE$3))/$AJ107,'Технический лист'!$A:$B,2,1),(ID107-0.05)))</f>
        <v>0.94</v>
      </c>
      <c r="IF107" s="15">
        <f>MIN(1,MAX(VLOOKUP(($AJ107-$AI107-$AH107-$AG107-$AF107-$AE107*(1+IF$3))/$AJ107,'Технический лист'!$A:$B,2,1),(IE107-0.05)))</f>
        <v>0.94</v>
      </c>
      <c r="IG107" s="15">
        <f>MIN(1,MAX(VLOOKUP(($AJ107-$AI107-$AH107-$AG107-$AF107-$AE107*(1+IG$3))/$AJ107,'Технический лист'!$A:$B,2,1),(IF107-0.05)))</f>
        <v>0.94</v>
      </c>
      <c r="IH107" s="15">
        <f>MIN(1,MAX(VLOOKUP(($AJ107-$AI107-$AH107-$AG107-$AF107-$AE107*(1+IH$3))/$AJ107,'Технический лист'!$A:$B,2,1),(IG107-0.05)))</f>
        <v>0.94</v>
      </c>
      <c r="II107" s="15">
        <f>MIN(1,MAX(VLOOKUP(($AJ107-$AI107-$AH107-$AG107-$AF107-$AE107*(1+II$3))/$AJ107,'Технический лист'!$A:$B,2,1),(IH107-0.05)))</f>
        <v>0.94</v>
      </c>
      <c r="IJ107" s="15">
        <f>MIN(1,MAX(VLOOKUP(($AJ107-$AI107-$AH107-$AG107-$AF107-$AE107*(1+IJ$3))/$AJ107,'Технический лист'!$A:$B,2,1),(II107-0.05)))</f>
        <v>0.94</v>
      </c>
      <c r="IK107" s="15">
        <f>MIN(1,MAX(VLOOKUP(($AJ107-$AI107-$AH107-$AG107-$AF107-$AE107*(1+IK$3))/$AJ107,'Технический лист'!$A:$B,2,1),(IJ107-0.05)))</f>
        <v>0.94</v>
      </c>
      <c r="IL107" s="15">
        <f>MIN(1,MAX(VLOOKUP(($AJ107-$AI107-$AH107-$AG107-$AF107-$AE107*(1+IL$3))/$AJ107,'Технический лист'!$A:$B,2,1),(IK107-0.05)))</f>
        <v>0.94</v>
      </c>
      <c r="IM107" s="15">
        <f>MIN(1,MAX(VLOOKUP(($AJ107-$AI107-$AH107-$AG107-$AF107-$AE107*(1+IM$3))/$AJ107,'Технический лист'!$A:$B,2,1),(IL107-0.05)))</f>
        <v>0.94</v>
      </c>
      <c r="IN107" s="15">
        <f>MIN(1,MAX(VLOOKUP(($AJ107-$AI107-$AH107-$AG107-$AF107-$AE107*(1+IN$3))/$AJ107,'Технический лист'!$A:$B,2,1),(IM107-0.05)))</f>
        <v>0.93500000000000005</v>
      </c>
      <c r="IO107" s="15">
        <f>MIN(1,MAX(VLOOKUP(($AJ107-$AI107-$AH107-$AG107-$AF107-$AE107*(1+IO$3))/$AJ107,'Технический лист'!$A:$B,2,1),(IN107-0.05)))</f>
        <v>0.93500000000000005</v>
      </c>
      <c r="IP107" s="15">
        <f>MIN(1,MAX(VLOOKUP(($AJ107-$AI107-$AH107-$AG107-$AF107-$AE107*(1+IP$3))/$AJ107,'Технический лист'!$A:$B,2,1),(IO107-0.05)))</f>
        <v>0.93500000000000005</v>
      </c>
      <c r="IQ107" s="15">
        <f>MIN(1,MAX(VLOOKUP(($AJ107-$AI107-$AH107-$AG107-$AF107-$AE107*(1+IQ$3))/$AJ107,'Технический лист'!$A:$B,2,1),(IP107-0.05)))</f>
        <v>0.93500000000000005</v>
      </c>
      <c r="IR107" s="15">
        <f>MIN(1,MAX(VLOOKUP(($AJ107-$AI107-$AH107-$AG107-$AF107-$AE107*(1+IR$3))/$AJ107,'Технический лист'!$A:$B,2,1),(IQ107-0.05)))</f>
        <v>0.93500000000000005</v>
      </c>
    </row>
    <row r="108" spans="1:252" ht="43.75">
      <c r="A108" s="89" t="s">
        <v>515</v>
      </c>
      <c r="B108" s="90">
        <v>5</v>
      </c>
      <c r="C108" s="5" t="s">
        <v>68</v>
      </c>
      <c r="D108" s="91">
        <v>32416</v>
      </c>
      <c r="E108" s="91" t="s">
        <v>352</v>
      </c>
      <c r="F108" s="92" t="s">
        <v>75</v>
      </c>
      <c r="G108" s="91" t="s">
        <v>31</v>
      </c>
      <c r="H108" s="91" t="s">
        <v>31</v>
      </c>
      <c r="I108" s="91" t="s">
        <v>102</v>
      </c>
      <c r="J108" s="91" t="s">
        <v>176</v>
      </c>
      <c r="K108" s="91">
        <v>446</v>
      </c>
      <c r="L108" s="77" t="s">
        <v>189</v>
      </c>
      <c r="M108" s="91" t="s">
        <v>17</v>
      </c>
      <c r="N108" s="91" t="s">
        <v>48</v>
      </c>
      <c r="O108" s="91" t="s">
        <v>192</v>
      </c>
      <c r="P108" s="89" t="s">
        <v>245</v>
      </c>
      <c r="Q108" s="91" t="s">
        <v>256</v>
      </c>
      <c r="R108" s="91" t="s">
        <v>256</v>
      </c>
      <c r="S108" s="82">
        <v>429724</v>
      </c>
      <c r="T108" s="82">
        <v>191657388</v>
      </c>
      <c r="U108" s="81">
        <v>6572</v>
      </c>
      <c r="V108" s="81">
        <v>13144</v>
      </c>
      <c r="W108" s="82">
        <v>539204603</v>
      </c>
      <c r="X108" s="112">
        <v>66</v>
      </c>
      <c r="Y108" s="112" t="s">
        <v>48</v>
      </c>
      <c r="Z108" s="113">
        <v>4</v>
      </c>
      <c r="AA108" s="113">
        <v>0</v>
      </c>
      <c r="AB108" s="113">
        <v>4</v>
      </c>
      <c r="AC108" s="99">
        <f>44678/X108</f>
        <v>676.93939393939399</v>
      </c>
      <c r="AD108" s="99">
        <v>0</v>
      </c>
      <c r="AE108" s="99">
        <f>AC108</f>
        <v>676.93939393939399</v>
      </c>
      <c r="AF108" s="98">
        <f>(AB108+AA108+Z108)*'Ставки аренды'!$B$6/X108</f>
        <v>193.93939393939394</v>
      </c>
      <c r="AG108" s="114">
        <v>0</v>
      </c>
      <c r="AH108" s="94">
        <v>0</v>
      </c>
      <c r="AI108" s="116">
        <f>429559973/511416159*AVERAGE(AJ108,AJ109)</f>
        <v>37074.566427681828</v>
      </c>
      <c r="AJ108" s="117">
        <f>Цены!C17*'Курсы валют'!B2</f>
        <v>39678.86</v>
      </c>
      <c r="AK108" s="94">
        <f>AJ108/Цены!$B$1</f>
        <v>520</v>
      </c>
      <c r="AL108" s="95">
        <f t="shared" si="24"/>
        <v>870.87878787878799</v>
      </c>
      <c r="AM108" s="95">
        <f t="shared" si="25"/>
        <v>38807.981212121216</v>
      </c>
      <c r="AN108" s="94">
        <f t="shared" si="39"/>
        <v>37945.445215560612</v>
      </c>
      <c r="AO108" s="118">
        <f t="shared" si="40"/>
        <v>4.3686103492877271E-2</v>
      </c>
      <c r="AP108" s="96">
        <f t="shared" si="26"/>
        <v>2.1948180665442203E-2</v>
      </c>
      <c r="AQ108" s="96">
        <f t="shared" si="27"/>
        <v>1.7060454709116997E-2</v>
      </c>
      <c r="AR108" s="96">
        <f t="shared" si="28"/>
        <v>0.77730609972511222</v>
      </c>
      <c r="AS108" s="122">
        <v>1</v>
      </c>
      <c r="AT108" s="121">
        <f t="shared" si="45"/>
        <v>429724</v>
      </c>
      <c r="AU108" s="83">
        <v>0.6</v>
      </c>
      <c r="AV108" s="119">
        <f t="shared" si="41"/>
        <v>4.1638848927783058E-2</v>
      </c>
      <c r="AW108" s="120">
        <f t="shared" si="42"/>
        <v>2.3995435230536242E-2</v>
      </c>
      <c r="AX108" s="120">
        <f t="shared" si="43"/>
        <v>1.9107709274211036E-2</v>
      </c>
      <c r="AY108" s="120">
        <f t="shared" si="44"/>
        <v>0.7963060094819554</v>
      </c>
      <c r="AZ108" s="15">
        <f>MIN(IF($AU108=100%,1,1+VLOOKUP(($AJ108-$AI108-$AH108-$AG108-$AF108-$AE108*(1+AZ$3))/$AJ108,'Технический лист'!$I:$J,2,1)-VLOOKUP($AO108,'Технический лист'!$I:$J,2,1)),1+(1-$AU108))</f>
        <v>1.04</v>
      </c>
      <c r="BA108" s="15">
        <f>MIN(IF($AU108=100%,1,1+VLOOKUP(($AJ108-$AI108-$AH108-$AG108-$AF108-$AE108*(1+BA$3))/$AJ108,'Технический лист'!$I:$J,2,1)-VLOOKUP($AO108,'Технический лист'!$I:$J,2,1)),1+(1-$AU108))</f>
        <v>1.04</v>
      </c>
      <c r="BB108" s="15">
        <f>MIN(IF($AU108=100%,1,1+VLOOKUP(($AJ108-$AI108-$AH108-$AG108-$AF108-$AE108*(1+BB$3))/$AJ108,'Технический лист'!$I:$J,2,1)-VLOOKUP($AO108,'Технический лист'!$I:$J,2,1)),1+(1-$AU108))</f>
        <v>1.04</v>
      </c>
      <c r="BC108" s="15">
        <f>MIN(IF($AU108=100%,1,1+VLOOKUP(($AJ108-$AI108-$AH108-$AG108-$AF108-$AE108*(1+BC$3))/$AJ108,'Технический лист'!$I:$J,2,1)-VLOOKUP($AO108,'Технический лист'!$I:$J,2,1)),1+(1-$AU108))</f>
        <v>1.04</v>
      </c>
      <c r="BD108" s="15">
        <f>MIN(IF($AU108=100%,1,1+VLOOKUP(($AJ108-$AI108-$AH108-$AG108-$AF108-$AE108*(1+BD$3))/$AJ108,'Технический лист'!$I:$J,2,1)-VLOOKUP($AO108,'Технический лист'!$I:$J,2,1)),1+(1-$AU108))</f>
        <v>1.04</v>
      </c>
      <c r="BE108" s="15">
        <f>MIN(IF($AU108=100%,1,1+VLOOKUP(($AJ108-$AI108-$AH108-$AG108-$AF108-$AE108*(1+BE$3))/$AJ108,'Технический лист'!$I:$J,2,1)-VLOOKUP($AO108,'Технический лист'!$I:$J,2,1)),1+(1-$AU108))</f>
        <v>1.04</v>
      </c>
      <c r="BF108" s="15">
        <f>MIN(IF($AU108=100%,1,1+VLOOKUP(($AJ108-$AI108-$AH108-$AG108-$AF108-$AE108*(1+BF$3))/$AJ108,'Технический лист'!$I:$J,2,1)-VLOOKUP($AO108,'Технический лист'!$I:$J,2,1)),1+(1-$AU108))</f>
        <v>1.04</v>
      </c>
      <c r="BG108" s="15">
        <f>MIN(IF($AU108=100%,1,1+VLOOKUP(($AJ108-$AI108-$AH108-$AG108-$AF108-$AE108*(1+BG$3))/$AJ108,'Технический лист'!$I:$J,2,1)-VLOOKUP($AO108,'Технический лист'!$I:$J,2,1)),1+(1-$AU108))</f>
        <v>1.04</v>
      </c>
      <c r="BH108" s="15">
        <f>MIN(IF($AU108=100%,1,1+VLOOKUP(($AJ108-$AI108-$AH108-$AG108-$AF108-$AE108*(1+BH$3))/$AJ108,'Технический лист'!$I:$J,2,1)-VLOOKUP($AO108,'Технический лист'!$I:$J,2,1)),1+(1-$AU108))</f>
        <v>1.04</v>
      </c>
      <c r="BI108" s="15">
        <f>MIN(IF($AU108=100%,1,1+VLOOKUP(($AJ108-$AI108-$AH108-$AG108-$AF108-$AE108*(1+BI$3))/$AJ108,'Технический лист'!$I:$J,2,1)-VLOOKUP($AO108,'Технический лист'!$I:$J,2,1)),1+(1-$AU108))</f>
        <v>1.04</v>
      </c>
      <c r="BJ108" s="15">
        <f>MIN(IF($AU108=100%,1,1+VLOOKUP(($AJ108-$AI108-$AH108-$AG108-$AF108-$AE108*(1+BJ$3))/$AJ108,'Технический лист'!$I:$J,2,1)-VLOOKUP($AO108,'Технический лист'!$I:$J,2,1)),1+(1-$AU108))</f>
        <v>1.04</v>
      </c>
      <c r="BK108" s="15">
        <f>MIN(IF($AU108=100%,1,1+VLOOKUP(($AJ108-$AI108-$AH108-$AG108-$AF108-$AE108*(1+BK$3))/$AJ108,'Технический лист'!$I:$J,2,1)-VLOOKUP($AO108,'Технический лист'!$I:$J,2,1)),1+(1-$AU108))</f>
        <v>1.04</v>
      </c>
      <c r="BL108" s="15">
        <f>MIN(IF($AU108=100%,1,1+VLOOKUP(($AJ108-$AI108-$AH108-$AG108-$AF108-$AE108*(1+BL$3))/$AJ108,'Технический лист'!$I:$J,2,1)-VLOOKUP($AO108,'Технический лист'!$I:$J,2,1)),1+(1-$AU108))</f>
        <v>1.04</v>
      </c>
      <c r="BM108" s="15">
        <f>MIN(IF($AU108=100%,1,1+VLOOKUP(($AJ108-$AI108-$AH108-$AG108-$AF108-$AE108*(1+BM$3))/$AJ108,'Технический лист'!$I:$J,2,1)-VLOOKUP($AO108,'Технический лист'!$I:$J,2,1)),1+(1-$AU108))</f>
        <v>1.04</v>
      </c>
      <c r="BN108" s="15">
        <f>MIN(IF($AU108=100%,1,1+VLOOKUP(($AJ108-$AI108-$AH108-$AG108-$AF108-$AE108*(1+BN$3))/$AJ108,'Технический лист'!$I:$J,2,1)-VLOOKUP($AO108,'Технический лист'!$I:$J,2,1)),1+(1-$AU108))</f>
        <v>1.04</v>
      </c>
      <c r="BO108" s="15">
        <f>MIN(IF($AU108=100%,1,1+VLOOKUP(($AJ108-$AI108-$AH108-$AG108-$AF108-$AE108*(1+BO$3))/$AJ108,'Технический лист'!$I:$J,2,1)-VLOOKUP($AO108,'Технический лист'!$I:$J,2,1)),1+(1-$AU108))</f>
        <v>1.04</v>
      </c>
      <c r="BP108" s="15">
        <f>MIN(IF($AU108=100%,1,1+VLOOKUP(($AJ108-$AI108-$AH108-$AG108-$AF108-$AE108*(1+BP$3))/$AJ108,'Технический лист'!$I:$J,2,1)-VLOOKUP($AO108,'Технический лист'!$I:$J,2,1)),1+(1-$AU108))</f>
        <v>1.04</v>
      </c>
      <c r="BQ108" s="15">
        <f>MIN(IF($AU108=100%,1,1+VLOOKUP(($AJ108-$AI108-$AH108-$AG108-$AF108-$AE108*(1+BQ$3))/$AJ108,'Технический лист'!$I:$J,2,1)-VLOOKUP($AO108,'Технический лист'!$I:$J,2,1)),1+(1-$AU108))</f>
        <v>1.04</v>
      </c>
      <c r="BR108" s="15">
        <f>MIN(IF($AU108=100%,1,1+VLOOKUP(($AJ108-$AI108-$AH108-$AG108-$AF108-$AE108*(1+BR$3))/$AJ108,'Технический лист'!$I:$J,2,1)-VLOOKUP($AO108,'Технический лист'!$I:$J,2,1)),1+(1-$AU108))</f>
        <v>1.04</v>
      </c>
      <c r="BS108" s="15">
        <f>MIN(IF($AU108=100%,1,1+VLOOKUP(($AJ108-$AI108-$AH108-$AG108-$AF108-$AE108*(1+BS$3))/$AJ108,'Технический лист'!$I:$J,2,1)-VLOOKUP($AO108,'Технический лист'!$I:$J,2,1)),1+(1-$AU108))</f>
        <v>1.04</v>
      </c>
      <c r="BT108" s="15">
        <f>MIN(IF($AU108=100%,1,1+VLOOKUP(($AJ108-$AI108-$AH108-$AG108-$AF108-$AE108*(1+BT$3))/$AJ108,'Технический лист'!$I:$J,2,1)-VLOOKUP($AO108,'Технический лист'!$I:$J,2,1)),1+(1-$AU108))</f>
        <v>1.04</v>
      </c>
      <c r="BU108" s="15">
        <f>MIN(IF($AU108=100%,1,1+VLOOKUP(($AJ108-$AI108-$AH108-$AG108-$AF108-$AE108*(1+BU$3))/$AJ108,'Технический лист'!$I:$J,2,1)-VLOOKUP($AO108,'Технический лист'!$I:$J,2,1)),1+(1-$AU108))</f>
        <v>1.04</v>
      </c>
      <c r="BV108" s="15">
        <f>MIN(IF($AU108=100%,1,1+VLOOKUP(($AJ108-$AI108-$AH108-$AG108-$AF108-$AE108*(1+BV$3))/$AJ108,'Технический лист'!$I:$J,2,1)-VLOOKUP($AO108,'Технический лист'!$I:$J,2,1)),1+(1-$AU108))</f>
        <v>1.04</v>
      </c>
      <c r="BW108" s="15">
        <f>MIN(IF($AU108=100%,1,1+VLOOKUP(($AJ108-$AI108-$AH108-$AG108-$AF108-$AE108*(1+BW$3))/$AJ108,'Технический лист'!$I:$J,2,1)-VLOOKUP($AO108,'Технический лист'!$I:$J,2,1)),1+(1-$AU108))</f>
        <v>1.04</v>
      </c>
      <c r="BX108" s="15">
        <f>MIN(IF($AU108=100%,1,1+VLOOKUP(($AJ108-$AI108-$AH108-$AG108-$AF108-$AE108*(1+BX$3))/$AJ108,'Технический лист'!$I:$J,2,1)-VLOOKUP($AO108,'Технический лист'!$I:$J,2,1)),1+(1-$AU108))</f>
        <v>1.04</v>
      </c>
      <c r="BY108" s="15">
        <f>MIN(IF($AU108=100%,1,1+VLOOKUP(($AJ108-$AI108-$AH108-$AG108-$AF108-$AE108*(1+BY$3))/$AJ108,'Технический лист'!$I:$J,2,1)-VLOOKUP($AO108,'Технический лист'!$I:$J,2,1)),1+(1-$AU108))</f>
        <v>1.04</v>
      </c>
      <c r="BZ108" s="15">
        <f>MIN(IF($AU108=100%,1,1+VLOOKUP(($AJ108-$AI108-$AH108-$AG108-$AF108-$AE108*(1+BZ$3))/$AJ108,'Технический лист'!$I:$J,2,1)-VLOOKUP($AO108,'Технический лист'!$I:$J,2,1)),1+(1-$AU108))</f>
        <v>1.02</v>
      </c>
      <c r="CA108" s="15">
        <f>MIN(IF($AU108=100%,1,1+VLOOKUP(($AJ108-$AI108-$AH108-$AG108-$AF108-$AE108*(1+CA$3))/$AJ108,'Технический лист'!$I:$J,2,1)-VLOOKUP($AO108,'Технический лист'!$I:$J,2,1)),1+(1-$AU108))</f>
        <v>1.02</v>
      </c>
      <c r="CB108" s="15">
        <f>MIN(IF($AU108=100%,1,1+VLOOKUP(($AJ108-$AI108-$AH108-$AG108-$AF108-$AE108*(1+CB$3))/$AJ108,'Технический лист'!$I:$J,2,1)-VLOOKUP($AO108,'Технический лист'!$I:$J,2,1)),1+(1-$AU108))</f>
        <v>1.02</v>
      </c>
      <c r="CC108" s="15">
        <f>MIN(IF($AU108=100%,1,1+VLOOKUP(($AJ108-$AI108-$AH108-$AG108-$AF108-$AE108*(1+CC$3))/$AJ108,'Технический лист'!$I:$J,2,1)-VLOOKUP($AO108,'Технический лист'!$I:$J,2,1)),1+(1-$AU108))</f>
        <v>1.02</v>
      </c>
      <c r="CD108" s="15">
        <f>MIN(IF($AU108=100%,1,1+VLOOKUP(($AJ108-$AI108-$AH108-$AG108-$AF108-$AE108*(1+CD$3))/$AJ108,'Технический лист'!$I:$J,2,1)-VLOOKUP($AO108,'Технический лист'!$I:$J,2,1)),1+(1-$AU108))</f>
        <v>1.02</v>
      </c>
      <c r="CE108" s="15">
        <f>MIN(IF($AU108=100%,1,1+VLOOKUP(($AJ108-$AI108-$AH108-$AG108-$AF108-$AE108*(1+CE$3))/$AJ108,'Технический лист'!$I:$J,2,1)-VLOOKUP($AO108,'Технический лист'!$I:$J,2,1)),1+(1-$AU108))</f>
        <v>1.02</v>
      </c>
      <c r="CF108" s="15">
        <f>MIN(IF($AU108=100%,1,1+VLOOKUP(($AJ108-$AI108-$AH108-$AG108-$AF108-$AE108*(1+CF$3))/$AJ108,'Технический лист'!$I:$J,2,1)-VLOOKUP($AO108,'Технический лист'!$I:$J,2,1)),1+(1-$AU108))</f>
        <v>1.02</v>
      </c>
      <c r="CG108" s="15">
        <f>MIN(IF($AU108=100%,1,1+VLOOKUP(($AJ108-$AI108-$AH108-$AG108-$AF108-$AE108*(1+CG$3))/$AJ108,'Технический лист'!$I:$J,2,1)-VLOOKUP($AO108,'Технический лист'!$I:$J,2,1)),1+(1-$AU108))</f>
        <v>1.02</v>
      </c>
      <c r="CH108" s="15">
        <f>MIN(IF($AU108=100%,1,1+VLOOKUP(($AJ108-$AI108-$AH108-$AG108-$AF108-$AE108*(1+CH$3))/$AJ108,'Технический лист'!$I:$J,2,1)-VLOOKUP($AO108,'Технический лист'!$I:$J,2,1)),1+(1-$AU108))</f>
        <v>1.02</v>
      </c>
      <c r="CI108" s="15">
        <f>MIN(IF($AU108=100%,1,1+VLOOKUP(($AJ108-$AI108-$AH108-$AG108-$AF108-$AE108*(1+CI$3))/$AJ108,'Технический лист'!$I:$J,2,1)-VLOOKUP($AO108,'Технический лист'!$I:$J,2,1)),1+(1-$AU108))</f>
        <v>1.02</v>
      </c>
      <c r="CJ108" s="15">
        <f>MIN(IF($AU108=100%,1,1+VLOOKUP(($AJ108-$AI108-$AH108-$AG108-$AF108-$AE108*(1+CJ$3))/$AJ108,'Технический лист'!$I:$J,2,1)-VLOOKUP($AO108,'Технический лист'!$I:$J,2,1)),1+(1-$AU108))</f>
        <v>1.02</v>
      </c>
      <c r="CK108" s="15">
        <f>MIN(IF($AU108=100%,1,1+VLOOKUP(($AJ108-$AI108-$AH108-$AG108-$AF108-$AE108*(1+CK$3))/$AJ108,'Технический лист'!$I:$J,2,1)-VLOOKUP($AO108,'Технический лист'!$I:$J,2,1)),1+(1-$AU108))</f>
        <v>1.02</v>
      </c>
      <c r="CL108" s="15">
        <f>MIN(IF($AU108=100%,1,1+VLOOKUP(($AJ108-$AI108-$AH108-$AG108-$AF108-$AE108*(1+CL$3))/$AJ108,'Технический лист'!$I:$J,2,1)-VLOOKUP($AO108,'Технический лист'!$I:$J,2,1)),1+(1-$AU108))</f>
        <v>1.02</v>
      </c>
      <c r="CM108" s="15">
        <f>MIN(IF($AU108=100%,1,1+VLOOKUP(($AJ108-$AI108-$AH108-$AG108-$AF108-$AE108*(1+CM$3))/$AJ108,'Технический лист'!$I:$J,2,1)-VLOOKUP($AO108,'Технический лист'!$I:$J,2,1)),1+(1-$AU108))</f>
        <v>1.02</v>
      </c>
      <c r="CN108" s="15">
        <f>MIN(IF($AU108=100%,1,1+VLOOKUP(($AJ108-$AI108-$AH108-$AG108-$AF108-$AE108*(1+CN$3))/$AJ108,'Технический лист'!$I:$J,2,1)-VLOOKUP($AO108,'Технический лист'!$I:$J,2,1)),1+(1-$AU108))</f>
        <v>1.02</v>
      </c>
      <c r="CO108" s="15">
        <f>MIN(IF($AU108=100%,1,1+VLOOKUP(($AJ108-$AI108-$AH108-$AG108-$AF108-$AE108*(1+CO$3))/$AJ108,'Технический лист'!$I:$J,2,1)-VLOOKUP($AO108,'Технический лист'!$I:$J,2,1)),1+(1-$AU108))</f>
        <v>1.02</v>
      </c>
      <c r="CP108" s="15">
        <f>MIN(IF($AU108=100%,1,1+VLOOKUP(($AJ108-$AI108-$AH108-$AG108-$AF108-$AE108*(1+CP$3))/$AJ108,'Технический лист'!$I:$J,2,1)-VLOOKUP($AO108,'Технический лист'!$I:$J,2,1)),1+(1-$AU108))</f>
        <v>1.02</v>
      </c>
      <c r="CQ108" s="15">
        <f>MIN(IF($AU108=100%,1,1+VLOOKUP(($AJ108-$AI108-$AH108-$AG108-$AF108-$AE108*(1+CQ$3))/$AJ108,'Технический лист'!$I:$J,2,1)-VLOOKUP($AO108,'Технический лист'!$I:$J,2,1)),1+(1-$AU108))</f>
        <v>1.02</v>
      </c>
      <c r="CR108" s="15">
        <f>MIN(IF($AU108=100%,1,1+VLOOKUP(($AJ108-$AI108-$AH108-$AG108-$AF108-$AE108*(1+CR$3))/$AJ108,'Технический лист'!$I:$J,2,1)-VLOOKUP($AO108,'Технический лист'!$I:$J,2,1)),1+(1-$AU108))</f>
        <v>1.02</v>
      </c>
      <c r="CS108" s="15">
        <f>MIN(IF($AU108=100%,1,1+VLOOKUP(($AJ108-$AI108-$AH108-$AG108-$AF108-$AE108*(1+CS$3))/$AJ108,'Технический лист'!$I:$J,2,1)-VLOOKUP($AO108,'Технический лист'!$I:$J,2,1)),1+(1-$AU108))</f>
        <v>1.02</v>
      </c>
      <c r="CT108" s="15">
        <f>MIN(IF($AU108=100%,1,1+VLOOKUP(($AJ108-$AI108-$AH108-$AG108-$AF108-$AE108*(1+CT$3))/$AJ108,'Технический лист'!$I:$J,2,1)-VLOOKUP($AO108,'Технический лист'!$I:$J,2,1)),1+(1-$AU108))</f>
        <v>1.02</v>
      </c>
      <c r="CU108" s="15">
        <f>MIN(IF($AU108=100%,1,1+VLOOKUP(($AJ108-$AI108-$AH108-$AG108-$AF108-$AE108*(1+CU$3))/$AJ108,'Технический лист'!$I:$J,2,1)-VLOOKUP($AO108,'Технический лист'!$I:$J,2,1)),1+(1-$AU108))</f>
        <v>1.02</v>
      </c>
      <c r="CV108" s="15">
        <f>MIN(IF($AU108=100%,1,1+VLOOKUP(($AJ108-$AI108-$AH108-$AG108-$AF108-$AE108*(1+CV$3))/$AJ108,'Технический лист'!$I:$J,2,1)-VLOOKUP($AO108,'Технический лист'!$I:$J,2,1)),1+(1-$AU108))</f>
        <v>1.02</v>
      </c>
      <c r="CW108" s="15">
        <f>MIN(IF($AU108=100%,1,1+VLOOKUP(($AJ108-$AI108-$AH108-$AG108-$AF108-$AE108*(1+CW$3))/$AJ108,'Технический лист'!$I:$J,2,1)-VLOOKUP($AO108,'Технический лист'!$I:$J,2,1)),1+(1-$AU108))</f>
        <v>1.02</v>
      </c>
      <c r="CX108" s="15">
        <f>MIN(IF($AU108=100%,1,1+VLOOKUP(($AJ108-$AI108-$AH108-$AG108-$AF108-$AE108*(1+CX$3))/$AJ108,'Технический лист'!$I:$J,2,1)-VLOOKUP($AO108,'Технический лист'!$I:$J,2,1)),1+(1-$AU108))</f>
        <v>1.02</v>
      </c>
      <c r="CY108" s="15">
        <f>MIN(IF($AU108=100%,1,1+VLOOKUP(($AJ108-$AI108-$AH108-$AG108-$AF108-$AE108*(1+CY$3))/$AJ108,'Технический лист'!$I:$J,2,1)-VLOOKUP($AO108,'Технический лист'!$I:$J,2,1)),1+(1-$AU108))</f>
        <v>1.02</v>
      </c>
      <c r="CZ108" s="15">
        <f>MIN(IF($AU108=100%,1,1+VLOOKUP(($AJ108-$AI108-$AH108-$AG108-$AF108-$AE108*(1+CZ$3))/$AJ108,'Технический лист'!$I:$J,2,1)-VLOOKUP($AO108,'Технический лист'!$I:$J,2,1)),1+(1-$AU108))</f>
        <v>1.02</v>
      </c>
      <c r="DA108" s="15">
        <f>MIN(IF($AU108=100%,1,1+VLOOKUP(($AJ108-$AI108-$AH108-$AG108-$AF108-$AE108*(1+DA$3))/$AJ108,'Технический лист'!$I:$J,2,1)-VLOOKUP($AO108,'Технический лист'!$I:$J,2,1)),1+(1-$AU108))</f>
        <v>1.02</v>
      </c>
      <c r="DB108" s="15">
        <f>MIN(IF($AU108=100%,1,1+VLOOKUP(($AJ108-$AI108-$AH108-$AG108-$AF108-$AE108*(1+DB$3))/$AJ108,'Технический лист'!$I:$J,2,1)-VLOOKUP($AO108,'Технический лист'!$I:$J,2,1)),1+(1-$AU108))</f>
        <v>1.02</v>
      </c>
      <c r="DC108" s="15">
        <f>MIN(IF($AU108=100%,1,1+VLOOKUP(($AJ108-$AI108-$AH108-$AG108-$AF108-$AE108*(1+DC$3))/$AJ108,'Технический лист'!$I:$J,2,1)-VLOOKUP($AO108,'Технический лист'!$I:$J,2,1)),1+(1-$AU108))</f>
        <v>1.02</v>
      </c>
      <c r="DD108" s="15">
        <f>MIN(IF($AU108=100%,1,1+VLOOKUP(($AJ108-$AI108-$AH108-$AG108-$AF108-$AE108*(1+DD$3))/$AJ108,'Технический лист'!$I:$J,2,1)-VLOOKUP($AO108,'Технический лист'!$I:$J,2,1)),1+(1-$AU108))</f>
        <v>1.02</v>
      </c>
      <c r="DE108" s="15">
        <f>MIN(IF($AU108=100%,1,1+VLOOKUP(($AJ108-$AI108-$AH108-$AG108-$AF108-$AE108*(1+DE$3))/$AJ108,'Технический лист'!$I:$J,2,1)-VLOOKUP($AO108,'Технический лист'!$I:$J,2,1)),1+(1-$AU108))</f>
        <v>1.02</v>
      </c>
      <c r="DF108" s="15">
        <f>MIN(IF($AU108=100%,1,1+VLOOKUP(($AJ108-$AI108-$AH108-$AG108-$AF108-$AE108*(1+DF$3))/$AJ108,'Технический лист'!$I:$J,2,1)-VLOOKUP($AO108,'Технический лист'!$I:$J,2,1)),1+(1-$AU108))</f>
        <v>1.02</v>
      </c>
      <c r="DG108" s="15">
        <f>MIN(IF($AU108=100%,1,1+VLOOKUP(($AJ108-$AI108-$AH108-$AG108-$AF108-$AE108*(1+DG$3))/$AJ108,'Технический лист'!$I:$J,2,1)-VLOOKUP($AO108,'Технический лист'!$I:$J,2,1)),1+(1-$AU108))</f>
        <v>1.02</v>
      </c>
      <c r="DH108" s="15">
        <f>MIN(IF($AU108=100%,1,1+VLOOKUP(($AJ108-$AI108-$AH108-$AG108-$AF108-$AE108*(1+DH$3))/$AJ108,'Технический лист'!$I:$J,2,1)-VLOOKUP($AO108,'Технический лист'!$I:$J,2,1)),1+(1-$AU108))</f>
        <v>1.02</v>
      </c>
      <c r="DI108" s="15">
        <f>MIN(IF($AU108=100%,1,1+VLOOKUP(($AJ108-$AI108-$AH108-$AG108-$AF108-$AE108*(1+DI$3))/$AJ108,'Технический лист'!$I:$J,2,1)-VLOOKUP($AO108,'Технический лист'!$I:$J,2,1)),1+(1-$AU108))</f>
        <v>1.02</v>
      </c>
      <c r="DJ108" s="15">
        <f>MIN(IF($AU108=100%,1,1+VLOOKUP(($AJ108-$AI108-$AH108-$AG108-$AF108-$AE108*(1+DJ$3))/$AJ108,'Технический лист'!$I:$J,2,1)-VLOOKUP($AO108,'Технический лист'!$I:$J,2,1)),1+(1-$AU108))</f>
        <v>1.02</v>
      </c>
      <c r="DK108" s="15">
        <f>MIN(IF($AU108=100%,1,1+VLOOKUP(($AJ108-$AI108-$AH108-$AG108-$AF108-$AE108*(1+DK$3))/$AJ108,'Технический лист'!$I:$J,2,1)-VLOOKUP($AO108,'Технический лист'!$I:$J,2,1)),1+(1-$AU108))</f>
        <v>1.02</v>
      </c>
      <c r="DL108" s="15">
        <f>MIN(IF($AU108=100%,1,1+VLOOKUP(($AJ108-$AI108-$AH108-$AG108-$AF108-$AE108*(1+DL$3))/$AJ108,'Технический лист'!$I:$J,2,1)-VLOOKUP($AO108,'Технический лист'!$I:$J,2,1)),1+(1-$AU108))</f>
        <v>1.02</v>
      </c>
      <c r="DM108" s="15">
        <f>MIN(IF($AU108=100%,1,1+VLOOKUP(($AJ108-$AI108-$AH108-$AG108-$AF108-$AE108*(1+DM$3))/$AJ108,'Технический лист'!$I:$J,2,1)-VLOOKUP($AO108,'Технический лист'!$I:$J,2,1)),1+(1-$AU108))</f>
        <v>1.02</v>
      </c>
      <c r="DN108" s="15">
        <f>MIN(IF($AU108=100%,1,1+VLOOKUP(($AJ108-$AI108-$AH108-$AG108-$AF108-$AE108*(1+DN$3))/$AJ108,'Технический лист'!$I:$J,2,1)-VLOOKUP($AO108,'Технический лист'!$I:$J,2,1)),1+(1-$AU108))</f>
        <v>1.02</v>
      </c>
      <c r="DO108" s="15">
        <f>MIN(IF($AU108=100%,1,1+VLOOKUP(($AJ108-$AI108-$AH108-$AG108-$AF108-$AE108*(1+DO$3))/$AJ108,'Технический лист'!$I:$J,2,1)-VLOOKUP($AO108,'Технический лист'!$I:$J,2,1)),1+(1-$AU108))</f>
        <v>1.02</v>
      </c>
      <c r="DP108" s="15">
        <f>MIN(IF($AU108=100%,1,1+VLOOKUP(($AJ108-$AI108-$AH108-$AG108-$AF108-$AE108*(1+DP$3))/$AJ108,'Технический лист'!$I:$J,2,1)-VLOOKUP($AO108,'Технический лист'!$I:$J,2,1)),1+(1-$AU108))</f>
        <v>1.02</v>
      </c>
      <c r="DQ108" s="15">
        <f>MIN(IF($AU108=100%,1,1+VLOOKUP(($AJ108-$AI108-$AH108-$AG108-$AF108-$AE108*(1+DQ$3))/$AJ108,'Технический лист'!$I:$J,2,1)-VLOOKUP($AO108,'Технический лист'!$I:$J,2,1)),1+(1-$AU108))</f>
        <v>1.02</v>
      </c>
      <c r="DR108" s="15">
        <f>MIN(IF($AU108=100%,1,1+VLOOKUP(($AJ108-$AI108-$AH108-$AG108-$AF108-$AE108*(1+DR$3))/$AJ108,'Технический лист'!$I:$J,2,1)-VLOOKUP($AO108,'Технический лист'!$I:$J,2,1)),1+(1-$AU108))</f>
        <v>1.02</v>
      </c>
      <c r="DS108" s="15">
        <f>MIN(IF($AU108=100%,1,1+VLOOKUP(($AJ108-$AI108-$AH108-$AG108-$AF108-$AE108*(1+DS$3))/$AJ108,'Технический лист'!$I:$J,2,1)-VLOOKUP($AO108,'Технический лист'!$I:$J,2,1)),1+(1-$AU108))</f>
        <v>1.02</v>
      </c>
      <c r="DT108" s="15">
        <f>MIN(IF($AU108=100%,1,1+VLOOKUP(($AJ108-$AI108-$AH108-$AG108-$AF108-$AE108*(1+DT$3))/$AJ108,'Технический лист'!$I:$J,2,1)-VLOOKUP($AO108,'Технический лист'!$I:$J,2,1)),1+(1-$AU108))</f>
        <v>1.02</v>
      </c>
      <c r="DU108" s="15">
        <f>MIN(IF($AU108=100%,1,1+VLOOKUP(($AJ108-$AI108-$AH108-$AG108-$AF108-$AE108*(1+DU$3))/$AJ108,'Технический лист'!$I:$J,2,1)-VLOOKUP($AO108,'Технический лист'!$I:$J,2,1)),1+(1-$AU108))</f>
        <v>1.02</v>
      </c>
      <c r="DV108" s="15">
        <f>MIN(IF($AU108=100%,1,1+VLOOKUP(($AJ108-$AI108-$AH108-$AG108-$AF108-$AE108*(1+DV$3))/$AJ108,'Технический лист'!$I:$J,2,1)-VLOOKUP($AO108,'Технический лист'!$I:$J,2,1)),1+(1-$AU108))</f>
        <v>1.02</v>
      </c>
      <c r="DW108" s="15">
        <f>MIN(IF($AU108=100%,1,1+VLOOKUP(($AJ108-$AI108-$AH108-$AG108-$AF108-$AE108*(1+DW$3))/$AJ108,'Технический лист'!$I:$J,2,1)-VLOOKUP($AO108,'Технический лист'!$I:$J,2,1)),1+(1-$AU108))</f>
        <v>1.02</v>
      </c>
      <c r="DX108" s="15">
        <f>MIN(IF($AU108=100%,1,1+VLOOKUP(($AJ108-$AI108-$AH108-$AG108-$AF108-$AE108*(1+DX$3))/$AJ108,'Технический лист'!$I:$J,2,1)-VLOOKUP($AO108,'Технический лист'!$I:$J,2,1)),1+(1-$AU108))</f>
        <v>1.02</v>
      </c>
      <c r="DY108" s="15">
        <f>MIN(IF($AU108=100%,1,1+VLOOKUP(($AJ108-$AI108-$AH108-$AG108-$AF108-$AE108*(1+DY$3))/$AJ108,'Технический лист'!$I:$J,2,1)-VLOOKUP($AO108,'Технический лист'!$I:$J,2,1)),1+(1-$AU108))</f>
        <v>1.02</v>
      </c>
      <c r="DZ108" s="15">
        <f>MIN(IF($AU108=100%,1,1+VLOOKUP(($AJ108-$AI108-$AH108-$AG108-$AF108-$AE108*(1+DZ$3))/$AJ108,'Технический лист'!$I:$J,2,1)-VLOOKUP($AO108,'Технический лист'!$I:$J,2,1)),1+(1-$AU108))</f>
        <v>1.02</v>
      </c>
      <c r="EA108" s="15">
        <f>MIN(IF($AU108=100%,1,1+VLOOKUP(($AJ108-$AI108-$AH108-$AG108-$AF108-$AE108*(1+EA$3))/$AJ108,'Технический лист'!$I:$J,2,1)-VLOOKUP($AO108,'Технический лист'!$I:$J,2,1)),1+(1-$AU108))</f>
        <v>1.02</v>
      </c>
      <c r="EB108" s="15">
        <f>MIN(IF($AU108=100%,1,1+VLOOKUP(($AJ108-$AI108-$AH108-$AG108-$AF108-$AE108*(1+EB$3))/$AJ108,'Технический лист'!$I:$J,2,1)-VLOOKUP($AO108,'Технический лист'!$I:$J,2,1)),1+(1-$AU108))</f>
        <v>1.02</v>
      </c>
      <c r="EC108" s="15">
        <f>MIN(IF($AU108=100%,1,1+VLOOKUP(($AJ108-$AI108-$AH108-$AG108-$AF108-$AE108*(1+EC$3))/$AJ108,'Технический лист'!$I:$J,2,1)-VLOOKUP($AO108,'Технический лист'!$I:$J,2,1)),1+(1-$AU108))</f>
        <v>1.02</v>
      </c>
      <c r="ED108" s="15">
        <f>MIN(IF($AU108=100%,1,1+VLOOKUP(($AJ108-$AI108-$AH108-$AG108-$AF108-$AE108*(1+ED$3))/$AJ108,'Технический лист'!$I:$J,2,1)-VLOOKUP($AO108,'Технический лист'!$I:$J,2,1)),1+(1-$AU108))</f>
        <v>1.02</v>
      </c>
      <c r="EE108" s="15">
        <f>MIN(IF($AU108=100%,1,1+VLOOKUP(($AJ108-$AI108-$AH108-$AG108-$AF108-$AE108*(1+EE$3))/$AJ108,'Технический лист'!$I:$J,2,1)-VLOOKUP($AO108,'Технический лист'!$I:$J,2,1)),1+(1-$AU108))</f>
        <v>1.02</v>
      </c>
      <c r="EF108" s="15">
        <f>MIN(IF($AU108=100%,1,1+VLOOKUP(($AJ108-$AI108-$AH108-$AG108-$AF108-$AE108*(1+EF$3))/$AJ108,'Технический лист'!$I:$J,2,1)-VLOOKUP($AO108,'Технический лист'!$I:$J,2,1)),1+(1-$AU108))</f>
        <v>1.02</v>
      </c>
      <c r="EG108" s="15">
        <f>MIN(IF($AU108=100%,1,1+VLOOKUP(($AJ108-$AI108-$AH108-$AG108-$AF108-$AE108*(1+EG$3))/$AJ108,'Технический лист'!$I:$J,2,1)-VLOOKUP($AO108,'Технический лист'!$I:$J,2,1)),1+(1-$AU108))</f>
        <v>1</v>
      </c>
      <c r="EH108" s="15">
        <f>MIN(IF($AU108=100%,1,1+VLOOKUP(($AJ108-$AI108-$AH108-$AG108-$AF108-$AE108*(1+EH$3))/$AJ108,'Технический лист'!$I:$J,2,1)-VLOOKUP($AO108,'Технический лист'!$I:$J,2,1)),1+(1-$AU108))</f>
        <v>1</v>
      </c>
      <c r="EI108" s="15">
        <f>MIN(IF($AU108=100%,1,1+VLOOKUP(($AJ108-$AI108-$AH108-$AG108-$AF108-$AE108*(1+EI$3))/$AJ108,'Технический лист'!$I:$J,2,1)-VLOOKUP($AO108,'Технический лист'!$I:$J,2,1)),1+(1-$AU108))</f>
        <v>1</v>
      </c>
      <c r="EJ108" s="15">
        <f>MIN(IF($AU108=100%,1,1+VLOOKUP(($AJ108-$AI108-$AH108-$AG108-$AF108-$AE108*(1+EJ$3))/$AJ108,'Технический лист'!$I:$J,2,1)-VLOOKUP($AO108,'Технический лист'!$I:$J,2,1)),1+(1-$AU108))</f>
        <v>1</v>
      </c>
      <c r="EK108" s="15">
        <f>MIN(IF($AU108=100%,1,1+VLOOKUP(($AJ108-$AI108-$AH108-$AG108-$AF108-$AE108*(1+EK$3))/$AJ108,'Технический лист'!$I:$J,2,1)-VLOOKUP($AO108,'Технический лист'!$I:$J,2,1)),1+(1-$AU108))</f>
        <v>1</v>
      </c>
      <c r="EL108" s="15">
        <f>MIN(IF($AU108=100%,1,1+VLOOKUP(($AJ108-$AI108-$AH108-$AG108-$AF108-$AE108*(1+EL$3))/$AJ108,'Технический лист'!$I:$J,2,1)-VLOOKUP($AO108,'Технический лист'!$I:$J,2,1)),1+(1-$AU108))</f>
        <v>1</v>
      </c>
      <c r="EM108" s="15">
        <f>MIN(IF($AU108=100%,1,1+VLOOKUP(($AJ108-$AI108-$AH108-$AG108-$AF108-$AE108*(1+EM$3))/$AJ108,'Технический лист'!$I:$J,2,1)-VLOOKUP($AO108,'Технический лист'!$I:$J,2,1)),1+(1-$AU108))</f>
        <v>1</v>
      </c>
      <c r="EN108" s="15">
        <f>MIN(IF($AU108=100%,1,1+VLOOKUP(($AJ108-$AI108-$AH108-$AG108-$AF108-$AE108*(1+EN$3))/$AJ108,'Технический лист'!$I:$J,2,1)-VLOOKUP($AO108,'Технический лист'!$I:$J,2,1)),1+(1-$AU108))</f>
        <v>1</v>
      </c>
      <c r="EO108" s="15">
        <f>MIN(IF($AU108=100%,1,1+VLOOKUP(($AJ108-$AI108-$AH108-$AG108-$AF108-$AE108*(1+EO$3))/$AJ108,'Технический лист'!$I:$J,2,1)-VLOOKUP($AO108,'Технический лист'!$I:$J,2,1)),1+(1-$AU108))</f>
        <v>1</v>
      </c>
      <c r="EP108" s="15">
        <f>MIN(IF($AU108=100%,1,1+VLOOKUP(($AJ108-$AI108-$AH108-$AG108-$AF108-$AE108*(1+EP$3))/$AJ108,'Технический лист'!$I:$J,2,1)-VLOOKUP($AO108,'Технический лист'!$I:$J,2,1)),1+(1-$AU108))</f>
        <v>1</v>
      </c>
      <c r="EQ108" s="15">
        <f>MIN(IF($AU108=100%,1,1+VLOOKUP(($AJ108-$AI108-$AH108-$AG108-$AF108-$AE108*(1+EQ$3))/$AJ108,'Технический лист'!$I:$J,2,1)-VLOOKUP($AO108,'Технический лист'!$I:$J,2,1)),1+(1-$AU108))</f>
        <v>1</v>
      </c>
      <c r="ER108" s="15">
        <f>MIN(IF($AU108=100%,1,1+VLOOKUP(($AJ108-$AI108-$AH108-$AG108-$AF108-$AE108*(1+ER$3))/$AJ108,'Технический лист'!$I:$J,2,1)-VLOOKUP($AO108,'Технический лист'!$I:$J,2,1)),1+(1-$AU108))</f>
        <v>1</v>
      </c>
      <c r="ES108" s="15">
        <f>MIN(IF($AU108=100%,1,1+VLOOKUP(($AJ108-$AI108-$AH108-$AG108-$AF108-$AE108*(1+ES$3))/$AJ108,'Технический лист'!$I:$J,2,1)-VLOOKUP($AO108,'Технический лист'!$I:$J,2,1)),1+(1-$AU108))</f>
        <v>1</v>
      </c>
      <c r="ET108" s="15">
        <f>MIN(IF($AU108=100%,1,1+VLOOKUP(($AJ108-$AI108-$AH108-$AG108-$AF108-$AE108*(1+ET$3))/$AJ108,'Технический лист'!$I:$J,2,1)-VLOOKUP($AO108,'Технический лист'!$I:$J,2,1)),1+(1-$AU108))</f>
        <v>1</v>
      </c>
      <c r="EU108" s="15">
        <f>MIN(IF($AU108=100%,1,1+VLOOKUP(($AJ108-$AI108-$AH108-$AG108-$AF108-$AE108*(1+EU$3))/$AJ108,'Технический лист'!$I:$J,2,1)-VLOOKUP($AO108,'Технический лист'!$I:$J,2,1)),1+(1-$AU108))</f>
        <v>1</v>
      </c>
      <c r="EV108" s="111">
        <v>1</v>
      </c>
      <c r="EW108" s="15">
        <f>MIN(1,MAX(VLOOKUP(($AJ108-$AI108-$AH108-$AG108-$AF108-$AE108*(1+EW$3))/$AJ108,'Технический лист'!$A:$B,2,1),(EV108-0.05)))</f>
        <v>1</v>
      </c>
      <c r="EX108" s="15">
        <f>MIN(1,MAX(VLOOKUP(($AJ108-$AI108-$AH108-$AG108-$AF108-$AE108*(1+EX$3))/$AJ108,'Технический лист'!$A:$B,2,1),(EW108-0.05)))</f>
        <v>1</v>
      </c>
      <c r="EY108" s="15">
        <f>MIN(1,MAX(VLOOKUP(($AJ108-$AI108-$AH108-$AG108-$AF108-$AE108*(1+EY$3))/$AJ108,'Технический лист'!$A:$B,2,1),(EX108-0.05)))</f>
        <v>1</v>
      </c>
      <c r="EZ108" s="15">
        <f>MIN(1,MAX(VLOOKUP(($AJ108-$AI108-$AH108-$AG108-$AF108-$AE108*(1+EZ$3))/$AJ108,'Технический лист'!$A:$B,2,1),(EY108-0.05)))</f>
        <v>1</v>
      </c>
      <c r="FA108" s="15">
        <f>MIN(1,MAX(VLOOKUP(($AJ108-$AI108-$AH108-$AG108-$AF108-$AE108*(1+FA$3))/$AJ108,'Технический лист'!$A:$B,2,1),(EZ108-0.05)))</f>
        <v>1</v>
      </c>
      <c r="FB108" s="15">
        <f>MIN(1,MAX(VLOOKUP(($AJ108-$AI108-$AH108-$AG108-$AF108-$AE108*(1+FB$3))/$AJ108,'Технический лист'!$A:$B,2,1),(FA108-0.05)))</f>
        <v>1</v>
      </c>
      <c r="FC108" s="15">
        <f>MIN(1,MAX(VLOOKUP(($AJ108-$AI108-$AH108-$AG108-$AF108-$AE108*(1+FC$3))/$AJ108,'Технический лист'!$A:$B,2,1),(FB108-0.05)))</f>
        <v>1</v>
      </c>
      <c r="FD108" s="15">
        <f>MIN(1,MAX(VLOOKUP(($AJ108-$AI108-$AH108-$AG108-$AF108-$AE108*(1+FD$3))/$AJ108,'Технический лист'!$A:$B,2,1),(FC108-0.05)))</f>
        <v>1</v>
      </c>
      <c r="FE108" s="15">
        <f>MIN(1,MAX(VLOOKUP(($AJ108-$AI108-$AH108-$AG108-$AF108-$AE108*(1+FE$3))/$AJ108,'Технический лист'!$A:$B,2,1),(FD108-0.05)))</f>
        <v>1</v>
      </c>
      <c r="FF108" s="15">
        <f>MIN(1,MAX(VLOOKUP(($AJ108-$AI108-$AH108-$AG108-$AF108-$AE108*(1+FF$3))/$AJ108,'Технический лист'!$A:$B,2,1),(FE108-0.05)))</f>
        <v>1</v>
      </c>
      <c r="FG108" s="15">
        <f>MIN(1,MAX(VLOOKUP(($AJ108-$AI108-$AH108-$AG108-$AF108-$AE108*(1+FG$3))/$AJ108,'Технический лист'!$A:$B,2,1),(FF108-0.05)))</f>
        <v>1</v>
      </c>
      <c r="FH108" s="15">
        <f>MIN(1,MAX(VLOOKUP(($AJ108-$AI108-$AH108-$AG108-$AF108-$AE108*(1+FH$3))/$AJ108,'Технический лист'!$A:$B,2,1),(FG108-0.05)))</f>
        <v>1</v>
      </c>
      <c r="FI108" s="15">
        <f>MIN(1,MAX(VLOOKUP(($AJ108-$AI108-$AH108-$AG108-$AF108-$AE108*(1+FI$3))/$AJ108,'Технический лист'!$A:$B,2,1),(FH108-0.05)))</f>
        <v>1</v>
      </c>
      <c r="FJ108" s="15">
        <f>MIN(1,MAX(VLOOKUP(($AJ108-$AI108-$AH108-$AG108-$AF108-$AE108*(1+FJ$3))/$AJ108,'Технический лист'!$A:$B,2,1),(FI108-0.05)))</f>
        <v>1</v>
      </c>
      <c r="FK108" s="15">
        <f>MIN(1,MAX(VLOOKUP(($AJ108-$AI108-$AH108-$AG108-$AF108-$AE108*(1+FK$3))/$AJ108,'Технический лист'!$A:$B,2,1),(FJ108-0.05)))</f>
        <v>1</v>
      </c>
      <c r="FL108" s="15">
        <f>MIN(1,MAX(VLOOKUP(($AJ108-$AI108-$AH108-$AG108-$AF108-$AE108*(1+FL$3))/$AJ108,'Технический лист'!$A:$B,2,1),(FK108-0.05)))</f>
        <v>1</v>
      </c>
      <c r="FM108" s="15">
        <f>MIN(1,MAX(VLOOKUP(($AJ108-$AI108-$AH108-$AG108-$AF108-$AE108*(1+FM$3))/$AJ108,'Технический лист'!$A:$B,2,1),(FL108-0.05)))</f>
        <v>1</v>
      </c>
      <c r="FN108" s="15">
        <f>MIN(1,MAX(VLOOKUP(($AJ108-$AI108-$AH108-$AG108-$AF108-$AE108*(1+FN$3))/$AJ108,'Технический лист'!$A:$B,2,1),(FM108-0.05)))</f>
        <v>1</v>
      </c>
      <c r="FO108" s="15">
        <f>MIN(1,MAX(VLOOKUP(($AJ108-$AI108-$AH108-$AG108-$AF108-$AE108*(1+FO$3))/$AJ108,'Технический лист'!$A:$B,2,1),(FN108-0.05)))</f>
        <v>1</v>
      </c>
      <c r="FP108" s="15">
        <f>MIN(1,MAX(VLOOKUP(($AJ108-$AI108-$AH108-$AG108-$AF108-$AE108*(1+FP$3))/$AJ108,'Технический лист'!$A:$B,2,1),(FO108-0.05)))</f>
        <v>1</v>
      </c>
      <c r="FQ108" s="15">
        <f>MIN(1,MAX(VLOOKUP(($AJ108-$AI108-$AH108-$AG108-$AF108-$AE108*(1+FQ$3))/$AJ108,'Технический лист'!$A:$B,2,1),(FP108-0.05)))</f>
        <v>1</v>
      </c>
      <c r="FR108" s="15">
        <f>MIN(1,MAX(VLOOKUP(($AJ108-$AI108-$AH108-$AG108-$AF108-$AE108*(1+FR$3))/$AJ108,'Технический лист'!$A:$B,2,1),(FQ108-0.05)))</f>
        <v>1</v>
      </c>
      <c r="FS108" s="15">
        <f>MIN(1,MAX(VLOOKUP(($AJ108-$AI108-$AH108-$AG108-$AF108-$AE108*(1+FS$3))/$AJ108,'Технический лист'!$A:$B,2,1),(FR108-0.05)))</f>
        <v>1</v>
      </c>
      <c r="FT108" s="15">
        <f>MIN(1,MAX(VLOOKUP(($AJ108-$AI108-$AH108-$AG108-$AF108-$AE108*(1+FT$3))/$AJ108,'Технический лист'!$A:$B,2,1),(FS108-0.05)))</f>
        <v>1</v>
      </c>
      <c r="FU108" s="15">
        <f>MIN(1,MAX(VLOOKUP(($AJ108-$AI108-$AH108-$AG108-$AF108-$AE108*(1+FU$3))/$AJ108,'Технический лист'!$A:$B,2,1),(FT108-0.05)))</f>
        <v>1</v>
      </c>
      <c r="FV108" s="15">
        <f>MIN(1,MAX(VLOOKUP(($AJ108-$AI108-$AH108-$AG108-$AF108-$AE108*(1+FV$3))/$AJ108,'Технический лист'!$A:$B,2,1),(FU108-0.05)))</f>
        <v>1</v>
      </c>
      <c r="FW108" s="15">
        <f>MIN(1,MAX(VLOOKUP(($AJ108-$AI108-$AH108-$AG108-$AF108-$AE108*(1+FW$3))/$AJ108,'Технический лист'!$A:$B,2,1),(FV108-0.05)))</f>
        <v>1</v>
      </c>
      <c r="FX108" s="15">
        <f>MIN(1,MAX(VLOOKUP(($AJ108-$AI108-$AH108-$AG108-$AF108-$AE108*(1+FX$3))/$AJ108,'Технический лист'!$A:$B,2,1),(FW108-0.05)))</f>
        <v>1</v>
      </c>
      <c r="FY108" s="15">
        <f>MIN(1,MAX(VLOOKUP(($AJ108-$AI108-$AH108-$AG108-$AF108-$AE108*(1+FY$3))/$AJ108,'Технический лист'!$A:$B,2,1),(FX108-0.05)))</f>
        <v>1</v>
      </c>
      <c r="FZ108" s="15">
        <f>MIN(1,MAX(VLOOKUP(($AJ108-$AI108-$AH108-$AG108-$AF108-$AE108*(1+FZ$3))/$AJ108,'Технический лист'!$A:$B,2,1),(FY108-0.05)))</f>
        <v>1</v>
      </c>
      <c r="GA108" s="15">
        <f>MIN(1,MAX(VLOOKUP(($AJ108-$AI108-$AH108-$AG108-$AF108-$AE108*(1+GA$3))/$AJ108,'Технический лист'!$A:$B,2,1),(FZ108-0.05)))</f>
        <v>1</v>
      </c>
      <c r="GB108" s="15">
        <f>MIN(1,MAX(VLOOKUP(($AJ108-$AI108-$AH108-$AG108-$AF108-$AE108*(1+GB$3))/$AJ108,'Технический лист'!$A:$B,2,1),(GA108-0.05)))</f>
        <v>1</v>
      </c>
      <c r="GC108" s="15">
        <f>MIN(1,MAX(VLOOKUP(($AJ108-$AI108-$AH108-$AG108-$AF108-$AE108*(1+GC$3))/$AJ108,'Технический лист'!$A:$B,2,1),(GB108-0.05)))</f>
        <v>1</v>
      </c>
      <c r="GD108" s="15">
        <f>MIN(1,MAX(VLOOKUP(($AJ108-$AI108-$AH108-$AG108-$AF108-$AE108*(1+GD$3))/$AJ108,'Технический лист'!$A:$B,2,1),(GC108-0.05)))</f>
        <v>1</v>
      </c>
      <c r="GE108" s="15">
        <f>MIN(1,MAX(VLOOKUP(($AJ108-$AI108-$AH108-$AG108-$AF108-$AE108*(1+GE$3))/$AJ108,'Технический лист'!$A:$B,2,1),(GD108-0.05)))</f>
        <v>1</v>
      </c>
      <c r="GF108" s="15">
        <f>MIN(1,MAX(VLOOKUP(($AJ108-$AI108-$AH108-$AG108-$AF108-$AE108*(1+GF$3))/$AJ108,'Технический лист'!$A:$B,2,1),(GE108-0.05)))</f>
        <v>1</v>
      </c>
      <c r="GG108" s="15">
        <f>MIN(1,MAX(VLOOKUP(($AJ108-$AI108-$AH108-$AG108-$AF108-$AE108*(1+GG$3))/$AJ108,'Технический лист'!$A:$B,2,1),(GF108-0.05)))</f>
        <v>1</v>
      </c>
      <c r="GH108" s="15">
        <f>MIN(1,MAX(VLOOKUP(($AJ108-$AI108-$AH108-$AG108-$AF108-$AE108*(1+GH$3))/$AJ108,'Технический лист'!$A:$B,2,1),(GG108-0.05)))</f>
        <v>1</v>
      </c>
      <c r="GI108" s="15">
        <f>MIN(1,MAX(VLOOKUP(($AJ108-$AI108-$AH108-$AG108-$AF108-$AE108*(1+GI$3))/$AJ108,'Технический лист'!$A:$B,2,1),(GH108-0.05)))</f>
        <v>1</v>
      </c>
      <c r="GJ108" s="15">
        <f>MIN(1,MAX(VLOOKUP(($AJ108-$AI108-$AH108-$AG108-$AF108-$AE108*(1+GJ$3))/$AJ108,'Технический лист'!$A:$B,2,1),(GI108-0.05)))</f>
        <v>1</v>
      </c>
      <c r="GK108" s="15">
        <f>MIN(1,MAX(VLOOKUP(($AJ108-$AI108-$AH108-$AG108-$AF108-$AE108*(1+GK$3))/$AJ108,'Технический лист'!$A:$B,2,1),(GJ108-0.05)))</f>
        <v>1</v>
      </c>
      <c r="GL108" s="15">
        <f>MIN(1,MAX(VLOOKUP(($AJ108-$AI108-$AH108-$AG108-$AF108-$AE108*(1+GL$3))/$AJ108,'Технический лист'!$A:$B,2,1),(GK108-0.05)))</f>
        <v>1</v>
      </c>
      <c r="GM108" s="15">
        <f>MIN(1,MAX(VLOOKUP(($AJ108-$AI108-$AH108-$AG108-$AF108-$AE108*(1+GM$3))/$AJ108,'Технический лист'!$A:$B,2,1),(GL108-0.05)))</f>
        <v>1</v>
      </c>
      <c r="GN108" s="15">
        <f>MIN(1,MAX(VLOOKUP(($AJ108-$AI108-$AH108-$AG108-$AF108-$AE108*(1+GN$3))/$AJ108,'Технический лист'!$A:$B,2,1),(GM108-0.05)))</f>
        <v>1</v>
      </c>
      <c r="GO108" s="15">
        <f>MIN(1,MAX(VLOOKUP(($AJ108-$AI108-$AH108-$AG108-$AF108-$AE108*(1+GO$3))/$AJ108,'Технический лист'!$A:$B,2,1),(GN108-0.05)))</f>
        <v>1</v>
      </c>
      <c r="GP108" s="15">
        <f>MIN(1,MAX(VLOOKUP(($AJ108-$AI108-$AH108-$AG108-$AF108-$AE108*(1+GP$3))/$AJ108,'Технический лист'!$A:$B,2,1),(GO108-0.05)))</f>
        <v>1</v>
      </c>
      <c r="GQ108" s="15">
        <f>MIN(1,MAX(VLOOKUP(($AJ108-$AI108-$AH108-$AG108-$AF108-$AE108*(1+GQ$3))/$AJ108,'Технический лист'!$A:$B,2,1),(GP108-0.05)))</f>
        <v>1</v>
      </c>
      <c r="GR108" s="15">
        <f>MIN(1,MAX(VLOOKUP(($AJ108-$AI108-$AH108-$AG108-$AF108-$AE108*(1+GR$3))/$AJ108,'Технический лист'!$A:$B,2,1),(GQ108-0.05)))</f>
        <v>1</v>
      </c>
      <c r="GS108" s="15">
        <f>MIN(1,MAX(VLOOKUP(($AJ108-$AI108-$AH108-$AG108-$AF108-$AE108*(1+GS$3))/$AJ108,'Технический лист'!$A:$B,2,1),(GR108-0.05)))</f>
        <v>1</v>
      </c>
      <c r="GT108" s="15">
        <f>MIN(1,MAX(VLOOKUP(($AJ108-$AI108-$AH108-$AG108-$AF108-$AE108*(1+GT$3))/$AJ108,'Технический лист'!$A:$B,2,1),(GS108-0.05)))</f>
        <v>1</v>
      </c>
      <c r="GU108" s="15">
        <f>MIN(1,MAX(VLOOKUP(($AJ108-$AI108-$AH108-$AG108-$AF108-$AE108*(1+GU$3))/$AJ108,'Технический лист'!$A:$B,2,1),(GT108-0.05)))</f>
        <v>1</v>
      </c>
      <c r="GV108" s="15">
        <f>MIN(1,MAX(VLOOKUP(($AJ108-$AI108-$AH108-$AG108-$AF108-$AE108*(1+GV$3))/$AJ108,'Технический лист'!$A:$B,2,1),(GU108-0.05)))</f>
        <v>1</v>
      </c>
      <c r="GW108" s="15">
        <f>MIN(1,MAX(VLOOKUP(($AJ108-$AI108-$AH108-$AG108-$AF108-$AE108*(1+GW$3))/$AJ108,'Технический лист'!$A:$B,2,1),(GV108-0.05)))</f>
        <v>1</v>
      </c>
      <c r="GX108" s="15">
        <f>MIN(1,MAX(VLOOKUP(($AJ108-$AI108-$AH108-$AG108-$AF108-$AE108*(1+GX$3))/$AJ108,'Технический лист'!$A:$B,2,1),(GW108-0.05)))</f>
        <v>1</v>
      </c>
      <c r="GY108" s="15">
        <f>MIN(1,MAX(VLOOKUP(($AJ108-$AI108-$AH108-$AG108-$AF108-$AE108*(1+GY$3))/$AJ108,'Технический лист'!$A:$B,2,1),(GX108-0.05)))</f>
        <v>1</v>
      </c>
      <c r="GZ108" s="15">
        <f>MIN(1,MAX(VLOOKUP(($AJ108-$AI108-$AH108-$AG108-$AF108-$AE108*(1+GZ$3))/$AJ108,'Технический лист'!$A:$B,2,1),(GY108-0.05)))</f>
        <v>1</v>
      </c>
      <c r="HA108" s="15">
        <f>MIN(1,MAX(VLOOKUP(($AJ108-$AI108-$AH108-$AG108-$AF108-$AE108*(1+HA$3))/$AJ108,'Технический лист'!$A:$B,2,1),(GZ108-0.05)))</f>
        <v>1</v>
      </c>
      <c r="HB108" s="15">
        <f>MIN(1,MAX(VLOOKUP(($AJ108-$AI108-$AH108-$AG108-$AF108-$AE108*(1+HB$3))/$AJ108,'Технический лист'!$A:$B,2,1),(HA108-0.05)))</f>
        <v>1</v>
      </c>
      <c r="HC108" s="15">
        <f>MIN(1,MAX(VLOOKUP(($AJ108-$AI108-$AH108-$AG108-$AF108-$AE108*(1+HC$3))/$AJ108,'Технический лист'!$A:$B,2,1),(HB108-0.05)))</f>
        <v>1</v>
      </c>
      <c r="HD108" s="15">
        <f>MIN(1,MAX(VLOOKUP(($AJ108-$AI108-$AH108-$AG108-$AF108-$AE108*(1+HD$3))/$AJ108,'Технический лист'!$A:$B,2,1),(HC108-0.05)))</f>
        <v>1</v>
      </c>
      <c r="HE108" s="15">
        <f>MIN(1,MAX(VLOOKUP(($AJ108-$AI108-$AH108-$AG108-$AF108-$AE108*(1+HE$3))/$AJ108,'Технический лист'!$A:$B,2,1),(HD108-0.05)))</f>
        <v>1</v>
      </c>
      <c r="HF108" s="15">
        <f>MIN(1,MAX(VLOOKUP(($AJ108-$AI108-$AH108-$AG108-$AF108-$AE108*(1+HF$3))/$AJ108,'Технический лист'!$A:$B,2,1),(HE108-0.05)))</f>
        <v>1</v>
      </c>
      <c r="HG108" s="15">
        <f>MIN(1,MAX(VLOOKUP(($AJ108-$AI108-$AH108-$AG108-$AF108-$AE108*(1+HG$3))/$AJ108,'Технический лист'!$A:$B,2,1),(HF108-0.05)))</f>
        <v>1</v>
      </c>
      <c r="HH108" s="15">
        <f>MIN(1,MAX(VLOOKUP(($AJ108-$AI108-$AH108-$AG108-$AF108-$AE108*(1+HH$3))/$AJ108,'Технический лист'!$A:$B,2,1),(HG108-0.05)))</f>
        <v>1</v>
      </c>
      <c r="HI108" s="15">
        <f>MIN(1,MAX(VLOOKUP(($AJ108-$AI108-$AH108-$AG108-$AF108-$AE108*(1+HI$3))/$AJ108,'Технический лист'!$A:$B,2,1),(HH108-0.05)))</f>
        <v>1</v>
      </c>
      <c r="HJ108" s="15">
        <f>MIN(1,MAX(VLOOKUP(($AJ108-$AI108-$AH108-$AG108-$AF108-$AE108*(1+HJ$3))/$AJ108,'Технический лист'!$A:$B,2,1),(HI108-0.05)))</f>
        <v>1</v>
      </c>
      <c r="HK108" s="15">
        <f>MIN(1,MAX(VLOOKUP(($AJ108-$AI108-$AH108-$AG108-$AF108-$AE108*(1+HK$3))/$AJ108,'Технический лист'!$A:$B,2,1),(HJ108-0.05)))</f>
        <v>1</v>
      </c>
      <c r="HL108" s="15">
        <f>MIN(1,MAX(VLOOKUP(($AJ108-$AI108-$AH108-$AG108-$AF108-$AE108*(1+HL$3))/$AJ108,'Технический лист'!$A:$B,2,1),(HK108-0.05)))</f>
        <v>1</v>
      </c>
      <c r="HM108" s="15">
        <f>MIN(1,MAX(VLOOKUP(($AJ108-$AI108-$AH108-$AG108-$AF108-$AE108*(1+HM$3))/$AJ108,'Технический лист'!$A:$B,2,1),(HL108-0.05)))</f>
        <v>1</v>
      </c>
      <c r="HN108" s="15">
        <f>MIN(1,MAX(VLOOKUP(($AJ108-$AI108-$AH108-$AG108-$AF108-$AE108*(1+HN$3))/$AJ108,'Технический лист'!$A:$B,2,1),(HM108-0.05)))</f>
        <v>1</v>
      </c>
      <c r="HO108" s="15">
        <f>MIN(1,MAX(VLOOKUP(($AJ108-$AI108-$AH108-$AG108-$AF108-$AE108*(1+HO$3))/$AJ108,'Технический лист'!$A:$B,2,1),(HN108-0.05)))</f>
        <v>1</v>
      </c>
      <c r="HP108" s="15">
        <f>MIN(1,MAX(VLOOKUP(($AJ108-$AI108-$AH108-$AG108-$AF108-$AE108*(1+HP$3))/$AJ108,'Технический лист'!$A:$B,2,1),(HO108-0.05)))</f>
        <v>1</v>
      </c>
      <c r="HQ108" s="15">
        <f>MIN(1,MAX(VLOOKUP(($AJ108-$AI108-$AH108-$AG108-$AF108-$AE108*(1+HQ$3))/$AJ108,'Технический лист'!$A:$B,2,1),(HP108-0.05)))</f>
        <v>1</v>
      </c>
      <c r="HR108" s="15">
        <f>MIN(1,MAX(VLOOKUP(($AJ108-$AI108-$AH108-$AG108-$AF108-$AE108*(1+HR$3))/$AJ108,'Технический лист'!$A:$B,2,1),(HQ108-0.05)))</f>
        <v>1</v>
      </c>
      <c r="HS108" s="15">
        <f>MIN(1,MAX(VLOOKUP(($AJ108-$AI108-$AH108-$AG108-$AF108-$AE108*(1+HS$3))/$AJ108,'Технический лист'!$A:$B,2,1),(HR108-0.05)))</f>
        <v>1</v>
      </c>
      <c r="HT108" s="15">
        <f>MIN(1,MAX(VLOOKUP(($AJ108-$AI108-$AH108-$AG108-$AF108-$AE108*(1+HT$3))/$AJ108,'Технический лист'!$A:$B,2,1),(HS108-0.05)))</f>
        <v>1</v>
      </c>
      <c r="HU108" s="15">
        <f>MIN(1,MAX(VLOOKUP(($AJ108-$AI108-$AH108-$AG108-$AF108-$AE108*(1+HU$3))/$AJ108,'Технический лист'!$A:$B,2,1),(HT108-0.05)))</f>
        <v>1</v>
      </c>
      <c r="HV108" s="15">
        <f>MIN(1,MAX(VLOOKUP(($AJ108-$AI108-$AH108-$AG108-$AF108-$AE108*(1+HV$3))/$AJ108,'Технический лист'!$A:$B,2,1),(HU108-0.05)))</f>
        <v>1</v>
      </c>
      <c r="HW108" s="15">
        <f>MIN(1,MAX(VLOOKUP(($AJ108-$AI108-$AH108-$AG108-$AF108-$AE108*(1+HW$3))/$AJ108,'Технический лист'!$A:$B,2,1),(HV108-0.05)))</f>
        <v>1</v>
      </c>
      <c r="HX108" s="15">
        <f>MIN(1,MAX(VLOOKUP(($AJ108-$AI108-$AH108-$AG108-$AF108-$AE108*(1+HX$3))/$AJ108,'Технический лист'!$A:$B,2,1),(HW108-0.05)))</f>
        <v>1</v>
      </c>
      <c r="HY108" s="15">
        <f>MIN(1,MAX(VLOOKUP(($AJ108-$AI108-$AH108-$AG108-$AF108-$AE108*(1+HY$3))/$AJ108,'Технический лист'!$A:$B,2,1),(HX108-0.05)))</f>
        <v>1</v>
      </c>
      <c r="HZ108" s="15">
        <f>MIN(1,MAX(VLOOKUP(($AJ108-$AI108-$AH108-$AG108-$AF108-$AE108*(1+HZ$3))/$AJ108,'Технический лист'!$A:$B,2,1),(HY108-0.05)))</f>
        <v>1</v>
      </c>
      <c r="IA108" s="15">
        <f>MIN(1,MAX(VLOOKUP(($AJ108-$AI108-$AH108-$AG108-$AF108-$AE108*(1+IA$3))/$AJ108,'Технический лист'!$A:$B,2,1),(HZ108-0.05)))</f>
        <v>1</v>
      </c>
      <c r="IB108" s="15">
        <f>MIN(1,MAX(VLOOKUP(($AJ108-$AI108-$AH108-$AG108-$AF108-$AE108*(1+IB$3))/$AJ108,'Технический лист'!$A:$B,2,1),(IA108-0.05)))</f>
        <v>1</v>
      </c>
      <c r="IC108" s="15">
        <f>MIN(1,MAX(VLOOKUP(($AJ108-$AI108-$AH108-$AG108-$AF108-$AE108*(1+IC$3))/$AJ108,'Технический лист'!$A:$B,2,1),(IB108-0.05)))</f>
        <v>1</v>
      </c>
      <c r="ID108" s="15">
        <f>MIN(1,MAX(VLOOKUP(($AJ108-$AI108-$AH108-$AG108-$AF108-$AE108*(1+ID$3))/$AJ108,'Технический лист'!$A:$B,2,1),(IC108-0.05)))</f>
        <v>1</v>
      </c>
      <c r="IE108" s="15">
        <f>MIN(1,MAX(VLOOKUP(($AJ108-$AI108-$AH108-$AG108-$AF108-$AE108*(1+IE$3))/$AJ108,'Технический лист'!$A:$B,2,1),(ID108-0.05)))</f>
        <v>1</v>
      </c>
      <c r="IF108" s="15">
        <f>MIN(1,MAX(VLOOKUP(($AJ108-$AI108-$AH108-$AG108-$AF108-$AE108*(1+IF$3))/$AJ108,'Технический лист'!$A:$B,2,1),(IE108-0.05)))</f>
        <v>1</v>
      </c>
      <c r="IG108" s="15">
        <f>MIN(1,MAX(VLOOKUP(($AJ108-$AI108-$AH108-$AG108-$AF108-$AE108*(1+IG$3))/$AJ108,'Технический лист'!$A:$B,2,1),(IF108-0.05)))</f>
        <v>1</v>
      </c>
      <c r="IH108" s="15">
        <f>MIN(1,MAX(VLOOKUP(($AJ108-$AI108-$AH108-$AG108-$AF108-$AE108*(1+IH$3))/$AJ108,'Технический лист'!$A:$B,2,1),(IG108-0.05)))</f>
        <v>1</v>
      </c>
      <c r="II108" s="15">
        <f>MIN(1,MAX(VLOOKUP(($AJ108-$AI108-$AH108-$AG108-$AF108-$AE108*(1+II$3))/$AJ108,'Технический лист'!$A:$B,2,1),(IH108-0.05)))</f>
        <v>1</v>
      </c>
      <c r="IJ108" s="15">
        <f>MIN(1,MAX(VLOOKUP(($AJ108-$AI108-$AH108-$AG108-$AF108-$AE108*(1+IJ$3))/$AJ108,'Технический лист'!$A:$B,2,1),(II108-0.05)))</f>
        <v>1</v>
      </c>
      <c r="IK108" s="15">
        <f>MIN(1,MAX(VLOOKUP(($AJ108-$AI108-$AH108-$AG108-$AF108-$AE108*(1+IK$3))/$AJ108,'Технический лист'!$A:$B,2,1),(IJ108-0.05)))</f>
        <v>1</v>
      </c>
      <c r="IL108" s="15">
        <f>MIN(1,MAX(VLOOKUP(($AJ108-$AI108-$AH108-$AG108-$AF108-$AE108*(1+IL$3))/$AJ108,'Технический лист'!$A:$B,2,1),(IK108-0.05)))</f>
        <v>1</v>
      </c>
      <c r="IM108" s="15">
        <f>MIN(1,MAX(VLOOKUP(($AJ108-$AI108-$AH108-$AG108-$AF108-$AE108*(1+IM$3))/$AJ108,'Технический лист'!$A:$B,2,1),(IL108-0.05)))</f>
        <v>1</v>
      </c>
      <c r="IN108" s="15">
        <f>MIN(1,MAX(VLOOKUP(($AJ108-$AI108-$AH108-$AG108-$AF108-$AE108*(1+IN$3))/$AJ108,'Технический лист'!$A:$B,2,1),(IM108-0.05)))</f>
        <v>1</v>
      </c>
      <c r="IO108" s="15">
        <f>MIN(1,MAX(VLOOKUP(($AJ108-$AI108-$AH108-$AG108-$AF108-$AE108*(1+IO$3))/$AJ108,'Технический лист'!$A:$B,2,1),(IN108-0.05)))</f>
        <v>1</v>
      </c>
      <c r="IP108" s="15">
        <f>MIN(1,MAX(VLOOKUP(($AJ108-$AI108-$AH108-$AG108-$AF108-$AE108*(1+IP$3))/$AJ108,'Технический лист'!$A:$B,2,1),(IO108-0.05)))</f>
        <v>1</v>
      </c>
      <c r="IQ108" s="15">
        <f>MIN(1,MAX(VLOOKUP(($AJ108-$AI108-$AH108-$AG108-$AF108-$AE108*(1+IQ$3))/$AJ108,'Технический лист'!$A:$B,2,1),(IP108-0.05)))</f>
        <v>1</v>
      </c>
      <c r="IR108" s="15">
        <f>MIN(1,MAX(VLOOKUP(($AJ108-$AI108-$AH108-$AG108-$AF108-$AE108*(1+IR$3))/$AJ108,'Технический лист'!$A:$B,2,1),(IQ108-0.05)))</f>
        <v>1</v>
      </c>
    </row>
    <row r="109" spans="1:252" ht="43.75">
      <c r="A109" s="89" t="s">
        <v>515</v>
      </c>
      <c r="B109" s="90">
        <v>5</v>
      </c>
      <c r="C109" s="5" t="s">
        <v>68</v>
      </c>
      <c r="D109" s="91">
        <v>32416</v>
      </c>
      <c r="E109" s="91" t="s">
        <v>352</v>
      </c>
      <c r="F109" s="92" t="s">
        <v>75</v>
      </c>
      <c r="G109" s="91" t="s">
        <v>31</v>
      </c>
      <c r="H109" s="91" t="s">
        <v>31</v>
      </c>
      <c r="I109" s="91" t="s">
        <v>102</v>
      </c>
      <c r="J109" s="91" t="s">
        <v>177</v>
      </c>
      <c r="K109" s="91">
        <v>404</v>
      </c>
      <c r="L109" s="85" t="s">
        <v>64</v>
      </c>
      <c r="M109" s="91" t="s">
        <v>190</v>
      </c>
      <c r="N109" s="91" t="s">
        <v>191</v>
      </c>
      <c r="O109" s="91" t="s">
        <v>192</v>
      </c>
      <c r="P109" s="89" t="s">
        <v>207</v>
      </c>
      <c r="Q109" s="91" t="s">
        <v>270</v>
      </c>
      <c r="R109" s="91" t="s">
        <v>256</v>
      </c>
      <c r="S109" s="82">
        <v>195669</v>
      </c>
      <c r="T109" s="82">
        <v>79050875</v>
      </c>
      <c r="U109" s="81">
        <v>3150</v>
      </c>
      <c r="V109" s="81">
        <v>0</v>
      </c>
      <c r="W109" s="82">
        <v>236796577</v>
      </c>
      <c r="X109" s="112">
        <v>62</v>
      </c>
      <c r="Y109" s="112" t="s">
        <v>416</v>
      </c>
      <c r="Z109" s="113">
        <v>5</v>
      </c>
      <c r="AA109" s="113">
        <v>4</v>
      </c>
      <c r="AB109" s="113">
        <v>4</v>
      </c>
      <c r="AC109" s="99">
        <v>1508.81</v>
      </c>
      <c r="AD109" s="99">
        <f t="shared" ref="AD109:AD112" si="46">AE109-AC109</f>
        <v>165</v>
      </c>
      <c r="AE109" s="99">
        <v>1673.81</v>
      </c>
      <c r="AF109" s="98">
        <f>(Z109+AA109+AB109)*'Ставки аренды'!$B$3/X109</f>
        <v>146.7741935483871</v>
      </c>
      <c r="AG109" s="114">
        <v>0</v>
      </c>
      <c r="AH109" s="94">
        <v>0</v>
      </c>
      <c r="AI109" s="116">
        <f>429559973/511416159*AVERAGE(AJ108,AJ109)</f>
        <v>37074.566427681828</v>
      </c>
      <c r="AJ109" s="117">
        <f>Цены!$D$16</f>
        <v>48600</v>
      </c>
      <c r="AK109" s="94">
        <f>AJ109/Цены!$B$1</f>
        <v>636.91345971129215</v>
      </c>
      <c r="AL109" s="95">
        <f t="shared" si="24"/>
        <v>1820.584193548387</v>
      </c>
      <c r="AM109" s="95">
        <f t="shared" si="25"/>
        <v>46779.415806451616</v>
      </c>
      <c r="AN109" s="94">
        <f t="shared" si="39"/>
        <v>38895.150621230212</v>
      </c>
      <c r="AO109" s="118">
        <f t="shared" si="40"/>
        <v>0.19968825882242361</v>
      </c>
      <c r="AP109" s="96">
        <f t="shared" si="26"/>
        <v>3.7460580114164345E-2</v>
      </c>
      <c r="AQ109" s="96">
        <f t="shared" si="27"/>
        <v>3.444053497942387E-2</v>
      </c>
      <c r="AR109" s="96">
        <f t="shared" si="28"/>
        <v>0.91938071632802731</v>
      </c>
      <c r="AS109" s="122">
        <v>1</v>
      </c>
      <c r="AT109" s="121">
        <f t="shared" si="45"/>
        <v>195669</v>
      </c>
      <c r="AU109" s="83">
        <v>0.6</v>
      </c>
      <c r="AV109" s="119">
        <f t="shared" si="41"/>
        <v>0.19555539462489263</v>
      </c>
      <c r="AW109" s="120">
        <f t="shared" si="42"/>
        <v>4.1593444311695212E-2</v>
      </c>
      <c r="AX109" s="120">
        <f t="shared" si="43"/>
        <v>3.8573399176954737E-2</v>
      </c>
      <c r="AY109" s="120">
        <f t="shared" si="44"/>
        <v>0.92739131887927584</v>
      </c>
      <c r="AZ109" s="15">
        <f>MIN(IF($AU109=100%,1,1+VLOOKUP(($AJ109-$AI109-$AH109-$AG109-$AF109-$AE109*(1+AZ$3))/$AJ109,'Технический лист'!$I:$J,2,1)-VLOOKUP($AO109,'Технический лист'!$I:$J,2,1)),1+(1-$AU109))</f>
        <v>1</v>
      </c>
      <c r="BA109" s="15">
        <f>MIN(IF($AU109=100%,1,1+VLOOKUP(($AJ109-$AI109-$AH109-$AG109-$AF109-$AE109*(1+BA$3))/$AJ109,'Технический лист'!$I:$J,2,1)-VLOOKUP($AO109,'Технический лист'!$I:$J,2,1)),1+(1-$AU109))</f>
        <v>1</v>
      </c>
      <c r="BB109" s="15">
        <f>MIN(IF($AU109=100%,1,1+VLOOKUP(($AJ109-$AI109-$AH109-$AG109-$AF109-$AE109*(1+BB$3))/$AJ109,'Технический лист'!$I:$J,2,1)-VLOOKUP($AO109,'Технический лист'!$I:$J,2,1)),1+(1-$AU109))</f>
        <v>1</v>
      </c>
      <c r="BC109" s="15">
        <f>MIN(IF($AU109=100%,1,1+VLOOKUP(($AJ109-$AI109-$AH109-$AG109-$AF109-$AE109*(1+BC$3))/$AJ109,'Технический лист'!$I:$J,2,1)-VLOOKUP($AO109,'Технический лист'!$I:$J,2,1)),1+(1-$AU109))</f>
        <v>1</v>
      </c>
      <c r="BD109" s="15">
        <f>MIN(IF($AU109=100%,1,1+VLOOKUP(($AJ109-$AI109-$AH109-$AG109-$AF109-$AE109*(1+BD$3))/$AJ109,'Технический лист'!$I:$J,2,1)-VLOOKUP($AO109,'Технический лист'!$I:$J,2,1)),1+(1-$AU109))</f>
        <v>1</v>
      </c>
      <c r="BE109" s="15">
        <f>MIN(IF($AU109=100%,1,1+VLOOKUP(($AJ109-$AI109-$AH109-$AG109-$AF109-$AE109*(1+BE$3))/$AJ109,'Технический лист'!$I:$J,2,1)-VLOOKUP($AO109,'Технический лист'!$I:$J,2,1)),1+(1-$AU109))</f>
        <v>1</v>
      </c>
      <c r="BF109" s="15">
        <f>MIN(IF($AU109=100%,1,1+VLOOKUP(($AJ109-$AI109-$AH109-$AG109-$AF109-$AE109*(1+BF$3))/$AJ109,'Технический лист'!$I:$J,2,1)-VLOOKUP($AO109,'Технический лист'!$I:$J,2,1)),1+(1-$AU109))</f>
        <v>1</v>
      </c>
      <c r="BG109" s="15">
        <f>MIN(IF($AU109=100%,1,1+VLOOKUP(($AJ109-$AI109-$AH109-$AG109-$AF109-$AE109*(1+BG$3))/$AJ109,'Технический лист'!$I:$J,2,1)-VLOOKUP($AO109,'Технический лист'!$I:$J,2,1)),1+(1-$AU109))</f>
        <v>1</v>
      </c>
      <c r="BH109" s="15">
        <f>MIN(IF($AU109=100%,1,1+VLOOKUP(($AJ109-$AI109-$AH109-$AG109-$AF109-$AE109*(1+BH$3))/$AJ109,'Технический лист'!$I:$J,2,1)-VLOOKUP($AO109,'Технический лист'!$I:$J,2,1)),1+(1-$AU109))</f>
        <v>1</v>
      </c>
      <c r="BI109" s="15">
        <f>MIN(IF($AU109=100%,1,1+VLOOKUP(($AJ109-$AI109-$AH109-$AG109-$AF109-$AE109*(1+BI$3))/$AJ109,'Технический лист'!$I:$J,2,1)-VLOOKUP($AO109,'Технический лист'!$I:$J,2,1)),1+(1-$AU109))</f>
        <v>1</v>
      </c>
      <c r="BJ109" s="15">
        <f>MIN(IF($AU109=100%,1,1+VLOOKUP(($AJ109-$AI109-$AH109-$AG109-$AF109-$AE109*(1+BJ$3))/$AJ109,'Технический лист'!$I:$J,2,1)-VLOOKUP($AO109,'Технический лист'!$I:$J,2,1)),1+(1-$AU109))</f>
        <v>1</v>
      </c>
      <c r="BK109" s="15">
        <f>MIN(IF($AU109=100%,1,1+VLOOKUP(($AJ109-$AI109-$AH109-$AG109-$AF109-$AE109*(1+BK$3))/$AJ109,'Технический лист'!$I:$J,2,1)-VLOOKUP($AO109,'Технический лист'!$I:$J,2,1)),1+(1-$AU109))</f>
        <v>1</v>
      </c>
      <c r="BL109" s="15">
        <f>MIN(IF($AU109=100%,1,1+VLOOKUP(($AJ109-$AI109-$AH109-$AG109-$AF109-$AE109*(1+BL$3))/$AJ109,'Технический лист'!$I:$J,2,1)-VLOOKUP($AO109,'Технический лист'!$I:$J,2,1)),1+(1-$AU109))</f>
        <v>1</v>
      </c>
      <c r="BM109" s="15">
        <f>MIN(IF($AU109=100%,1,1+VLOOKUP(($AJ109-$AI109-$AH109-$AG109-$AF109-$AE109*(1+BM$3))/$AJ109,'Технический лист'!$I:$J,2,1)-VLOOKUP($AO109,'Технический лист'!$I:$J,2,1)),1+(1-$AU109))</f>
        <v>1</v>
      </c>
      <c r="BN109" s="15">
        <f>MIN(IF($AU109=100%,1,1+VLOOKUP(($AJ109-$AI109-$AH109-$AG109-$AF109-$AE109*(1+BN$3))/$AJ109,'Технический лист'!$I:$J,2,1)-VLOOKUP($AO109,'Технический лист'!$I:$J,2,1)),1+(1-$AU109))</f>
        <v>1</v>
      </c>
      <c r="BO109" s="15">
        <f>MIN(IF($AU109=100%,1,1+VLOOKUP(($AJ109-$AI109-$AH109-$AG109-$AF109-$AE109*(1+BO$3))/$AJ109,'Технический лист'!$I:$J,2,1)-VLOOKUP($AO109,'Технический лист'!$I:$J,2,1)),1+(1-$AU109))</f>
        <v>1</v>
      </c>
      <c r="BP109" s="15">
        <f>MIN(IF($AU109=100%,1,1+VLOOKUP(($AJ109-$AI109-$AH109-$AG109-$AF109-$AE109*(1+BP$3))/$AJ109,'Технический лист'!$I:$J,2,1)-VLOOKUP($AO109,'Технический лист'!$I:$J,2,1)),1+(1-$AU109))</f>
        <v>1</v>
      </c>
      <c r="BQ109" s="15">
        <f>MIN(IF($AU109=100%,1,1+VLOOKUP(($AJ109-$AI109-$AH109-$AG109-$AF109-$AE109*(1+BQ$3))/$AJ109,'Технический лист'!$I:$J,2,1)-VLOOKUP($AO109,'Технический лист'!$I:$J,2,1)),1+(1-$AU109))</f>
        <v>1</v>
      </c>
      <c r="BR109" s="15">
        <f>MIN(IF($AU109=100%,1,1+VLOOKUP(($AJ109-$AI109-$AH109-$AG109-$AF109-$AE109*(1+BR$3))/$AJ109,'Технический лист'!$I:$J,2,1)-VLOOKUP($AO109,'Технический лист'!$I:$J,2,1)),1+(1-$AU109))</f>
        <v>1</v>
      </c>
      <c r="BS109" s="15">
        <f>MIN(IF($AU109=100%,1,1+VLOOKUP(($AJ109-$AI109-$AH109-$AG109-$AF109-$AE109*(1+BS$3))/$AJ109,'Технический лист'!$I:$J,2,1)-VLOOKUP($AO109,'Технический лист'!$I:$J,2,1)),1+(1-$AU109))</f>
        <v>1</v>
      </c>
      <c r="BT109" s="15">
        <f>MIN(IF($AU109=100%,1,1+VLOOKUP(($AJ109-$AI109-$AH109-$AG109-$AF109-$AE109*(1+BT$3))/$AJ109,'Технический лист'!$I:$J,2,1)-VLOOKUP($AO109,'Технический лист'!$I:$J,2,1)),1+(1-$AU109))</f>
        <v>1</v>
      </c>
      <c r="BU109" s="15">
        <f>MIN(IF($AU109=100%,1,1+VLOOKUP(($AJ109-$AI109-$AH109-$AG109-$AF109-$AE109*(1+BU$3))/$AJ109,'Технический лист'!$I:$J,2,1)-VLOOKUP($AO109,'Технический лист'!$I:$J,2,1)),1+(1-$AU109))</f>
        <v>1</v>
      </c>
      <c r="BV109" s="15">
        <f>MIN(IF($AU109=100%,1,1+VLOOKUP(($AJ109-$AI109-$AH109-$AG109-$AF109-$AE109*(1+BV$3))/$AJ109,'Технический лист'!$I:$J,2,1)-VLOOKUP($AO109,'Технический лист'!$I:$J,2,1)),1+(1-$AU109))</f>
        <v>1</v>
      </c>
      <c r="BW109" s="15">
        <f>MIN(IF($AU109=100%,1,1+VLOOKUP(($AJ109-$AI109-$AH109-$AG109-$AF109-$AE109*(1+BW$3))/$AJ109,'Технический лист'!$I:$J,2,1)-VLOOKUP($AO109,'Технический лист'!$I:$J,2,1)),1+(1-$AU109))</f>
        <v>1</v>
      </c>
      <c r="BX109" s="15">
        <f>MIN(IF($AU109=100%,1,1+VLOOKUP(($AJ109-$AI109-$AH109-$AG109-$AF109-$AE109*(1+BX$3))/$AJ109,'Технический лист'!$I:$J,2,1)-VLOOKUP($AO109,'Технический лист'!$I:$J,2,1)),1+(1-$AU109))</f>
        <v>1</v>
      </c>
      <c r="BY109" s="15">
        <f>MIN(IF($AU109=100%,1,1+VLOOKUP(($AJ109-$AI109-$AH109-$AG109-$AF109-$AE109*(1+BY$3))/$AJ109,'Технический лист'!$I:$J,2,1)-VLOOKUP($AO109,'Технический лист'!$I:$J,2,1)),1+(1-$AU109))</f>
        <v>1</v>
      </c>
      <c r="BZ109" s="15">
        <f>MIN(IF($AU109=100%,1,1+VLOOKUP(($AJ109-$AI109-$AH109-$AG109-$AF109-$AE109*(1+BZ$3))/$AJ109,'Технический лист'!$I:$J,2,1)-VLOOKUP($AO109,'Технический лист'!$I:$J,2,1)),1+(1-$AU109))</f>
        <v>1</v>
      </c>
      <c r="CA109" s="15">
        <f>MIN(IF($AU109=100%,1,1+VLOOKUP(($AJ109-$AI109-$AH109-$AG109-$AF109-$AE109*(1+CA$3))/$AJ109,'Технический лист'!$I:$J,2,1)-VLOOKUP($AO109,'Технический лист'!$I:$J,2,1)),1+(1-$AU109))</f>
        <v>1</v>
      </c>
      <c r="CB109" s="15">
        <f>MIN(IF($AU109=100%,1,1+VLOOKUP(($AJ109-$AI109-$AH109-$AG109-$AF109-$AE109*(1+CB$3))/$AJ109,'Технический лист'!$I:$J,2,1)-VLOOKUP($AO109,'Технический лист'!$I:$J,2,1)),1+(1-$AU109))</f>
        <v>1</v>
      </c>
      <c r="CC109" s="15">
        <f>MIN(IF($AU109=100%,1,1+VLOOKUP(($AJ109-$AI109-$AH109-$AG109-$AF109-$AE109*(1+CC$3))/$AJ109,'Технический лист'!$I:$J,2,1)-VLOOKUP($AO109,'Технический лист'!$I:$J,2,1)),1+(1-$AU109))</f>
        <v>1</v>
      </c>
      <c r="CD109" s="15">
        <f>MIN(IF($AU109=100%,1,1+VLOOKUP(($AJ109-$AI109-$AH109-$AG109-$AF109-$AE109*(1+CD$3))/$AJ109,'Технический лист'!$I:$J,2,1)-VLOOKUP($AO109,'Технический лист'!$I:$J,2,1)),1+(1-$AU109))</f>
        <v>1</v>
      </c>
      <c r="CE109" s="15">
        <f>MIN(IF($AU109=100%,1,1+VLOOKUP(($AJ109-$AI109-$AH109-$AG109-$AF109-$AE109*(1+CE$3))/$AJ109,'Технический лист'!$I:$J,2,1)-VLOOKUP($AO109,'Технический лист'!$I:$J,2,1)),1+(1-$AU109))</f>
        <v>1</v>
      </c>
      <c r="CF109" s="15">
        <f>MIN(IF($AU109=100%,1,1+VLOOKUP(($AJ109-$AI109-$AH109-$AG109-$AF109-$AE109*(1+CF$3))/$AJ109,'Технический лист'!$I:$J,2,1)-VLOOKUP($AO109,'Технический лист'!$I:$J,2,1)),1+(1-$AU109))</f>
        <v>1</v>
      </c>
      <c r="CG109" s="15">
        <f>MIN(IF($AU109=100%,1,1+VLOOKUP(($AJ109-$AI109-$AH109-$AG109-$AF109-$AE109*(1+CG$3))/$AJ109,'Технический лист'!$I:$J,2,1)-VLOOKUP($AO109,'Технический лист'!$I:$J,2,1)),1+(1-$AU109))</f>
        <v>1</v>
      </c>
      <c r="CH109" s="15">
        <f>MIN(IF($AU109=100%,1,1+VLOOKUP(($AJ109-$AI109-$AH109-$AG109-$AF109-$AE109*(1+CH$3))/$AJ109,'Технический лист'!$I:$J,2,1)-VLOOKUP($AO109,'Технический лист'!$I:$J,2,1)),1+(1-$AU109))</f>
        <v>1</v>
      </c>
      <c r="CI109" s="15">
        <f>MIN(IF($AU109=100%,1,1+VLOOKUP(($AJ109-$AI109-$AH109-$AG109-$AF109-$AE109*(1+CI$3))/$AJ109,'Технический лист'!$I:$J,2,1)-VLOOKUP($AO109,'Технический лист'!$I:$J,2,1)),1+(1-$AU109))</f>
        <v>1</v>
      </c>
      <c r="CJ109" s="15">
        <f>MIN(IF($AU109=100%,1,1+VLOOKUP(($AJ109-$AI109-$AH109-$AG109-$AF109-$AE109*(1+CJ$3))/$AJ109,'Технический лист'!$I:$J,2,1)-VLOOKUP($AO109,'Технический лист'!$I:$J,2,1)),1+(1-$AU109))</f>
        <v>1</v>
      </c>
      <c r="CK109" s="15">
        <f>MIN(IF($AU109=100%,1,1+VLOOKUP(($AJ109-$AI109-$AH109-$AG109-$AF109-$AE109*(1+CK$3))/$AJ109,'Технический лист'!$I:$J,2,1)-VLOOKUP($AO109,'Технический лист'!$I:$J,2,1)),1+(1-$AU109))</f>
        <v>1</v>
      </c>
      <c r="CL109" s="15">
        <f>MIN(IF($AU109=100%,1,1+VLOOKUP(($AJ109-$AI109-$AH109-$AG109-$AF109-$AE109*(1+CL$3))/$AJ109,'Технический лист'!$I:$J,2,1)-VLOOKUP($AO109,'Технический лист'!$I:$J,2,1)),1+(1-$AU109))</f>
        <v>1</v>
      </c>
      <c r="CM109" s="15">
        <f>MIN(IF($AU109=100%,1,1+VLOOKUP(($AJ109-$AI109-$AH109-$AG109-$AF109-$AE109*(1+CM$3))/$AJ109,'Технический лист'!$I:$J,2,1)-VLOOKUP($AO109,'Технический лист'!$I:$J,2,1)),1+(1-$AU109))</f>
        <v>1</v>
      </c>
      <c r="CN109" s="15">
        <f>MIN(IF($AU109=100%,1,1+VLOOKUP(($AJ109-$AI109-$AH109-$AG109-$AF109-$AE109*(1+CN$3))/$AJ109,'Технический лист'!$I:$J,2,1)-VLOOKUP($AO109,'Технический лист'!$I:$J,2,1)),1+(1-$AU109))</f>
        <v>1</v>
      </c>
      <c r="CO109" s="15">
        <f>MIN(IF($AU109=100%,1,1+VLOOKUP(($AJ109-$AI109-$AH109-$AG109-$AF109-$AE109*(1+CO$3))/$AJ109,'Технический лист'!$I:$J,2,1)-VLOOKUP($AO109,'Технический лист'!$I:$J,2,1)),1+(1-$AU109))</f>
        <v>1</v>
      </c>
      <c r="CP109" s="15">
        <f>MIN(IF($AU109=100%,1,1+VLOOKUP(($AJ109-$AI109-$AH109-$AG109-$AF109-$AE109*(1+CP$3))/$AJ109,'Технический лист'!$I:$J,2,1)-VLOOKUP($AO109,'Технический лист'!$I:$J,2,1)),1+(1-$AU109))</f>
        <v>1</v>
      </c>
      <c r="CQ109" s="15">
        <f>MIN(IF($AU109=100%,1,1+VLOOKUP(($AJ109-$AI109-$AH109-$AG109-$AF109-$AE109*(1+CQ$3))/$AJ109,'Технический лист'!$I:$J,2,1)-VLOOKUP($AO109,'Технический лист'!$I:$J,2,1)),1+(1-$AU109))</f>
        <v>1</v>
      </c>
      <c r="CR109" s="15">
        <f>MIN(IF($AU109=100%,1,1+VLOOKUP(($AJ109-$AI109-$AH109-$AG109-$AF109-$AE109*(1+CR$3))/$AJ109,'Технический лист'!$I:$J,2,1)-VLOOKUP($AO109,'Технический лист'!$I:$J,2,1)),1+(1-$AU109))</f>
        <v>1</v>
      </c>
      <c r="CS109" s="15">
        <f>MIN(IF($AU109=100%,1,1+VLOOKUP(($AJ109-$AI109-$AH109-$AG109-$AF109-$AE109*(1+CS$3))/$AJ109,'Технический лист'!$I:$J,2,1)-VLOOKUP($AO109,'Технический лист'!$I:$J,2,1)),1+(1-$AU109))</f>
        <v>1</v>
      </c>
      <c r="CT109" s="15">
        <f>MIN(IF($AU109=100%,1,1+VLOOKUP(($AJ109-$AI109-$AH109-$AG109-$AF109-$AE109*(1+CT$3))/$AJ109,'Технический лист'!$I:$J,2,1)-VLOOKUP($AO109,'Технический лист'!$I:$J,2,1)),1+(1-$AU109))</f>
        <v>1</v>
      </c>
      <c r="CU109" s="15">
        <f>MIN(IF($AU109=100%,1,1+VLOOKUP(($AJ109-$AI109-$AH109-$AG109-$AF109-$AE109*(1+CU$3))/$AJ109,'Технический лист'!$I:$J,2,1)-VLOOKUP($AO109,'Технический лист'!$I:$J,2,1)),1+(1-$AU109))</f>
        <v>1</v>
      </c>
      <c r="CV109" s="15">
        <f>MIN(IF($AU109=100%,1,1+VLOOKUP(($AJ109-$AI109-$AH109-$AG109-$AF109-$AE109*(1+CV$3))/$AJ109,'Технический лист'!$I:$J,2,1)-VLOOKUP($AO109,'Технический лист'!$I:$J,2,1)),1+(1-$AU109))</f>
        <v>1</v>
      </c>
      <c r="CW109" s="15">
        <f>MIN(IF($AU109=100%,1,1+VLOOKUP(($AJ109-$AI109-$AH109-$AG109-$AF109-$AE109*(1+CW$3))/$AJ109,'Технический лист'!$I:$J,2,1)-VLOOKUP($AO109,'Технический лист'!$I:$J,2,1)),1+(1-$AU109))</f>
        <v>1</v>
      </c>
      <c r="CX109" s="15">
        <f>MIN(IF($AU109=100%,1,1+VLOOKUP(($AJ109-$AI109-$AH109-$AG109-$AF109-$AE109*(1+CX$3))/$AJ109,'Технический лист'!$I:$J,2,1)-VLOOKUP($AO109,'Технический лист'!$I:$J,2,1)),1+(1-$AU109))</f>
        <v>1</v>
      </c>
      <c r="CY109" s="15">
        <f>MIN(IF($AU109=100%,1,1+VLOOKUP(($AJ109-$AI109-$AH109-$AG109-$AF109-$AE109*(1+CY$3))/$AJ109,'Технический лист'!$I:$J,2,1)-VLOOKUP($AO109,'Технический лист'!$I:$J,2,1)),1+(1-$AU109))</f>
        <v>1</v>
      </c>
      <c r="CZ109" s="15">
        <f>MIN(IF($AU109=100%,1,1+VLOOKUP(($AJ109-$AI109-$AH109-$AG109-$AF109-$AE109*(1+CZ$3))/$AJ109,'Технический лист'!$I:$J,2,1)-VLOOKUP($AO109,'Технический лист'!$I:$J,2,1)),1+(1-$AU109))</f>
        <v>1</v>
      </c>
      <c r="DA109" s="15">
        <f>MIN(IF($AU109=100%,1,1+VLOOKUP(($AJ109-$AI109-$AH109-$AG109-$AF109-$AE109*(1+DA$3))/$AJ109,'Технический лист'!$I:$J,2,1)-VLOOKUP($AO109,'Технический лист'!$I:$J,2,1)),1+(1-$AU109))</f>
        <v>1</v>
      </c>
      <c r="DB109" s="15">
        <f>MIN(IF($AU109=100%,1,1+VLOOKUP(($AJ109-$AI109-$AH109-$AG109-$AF109-$AE109*(1+DB$3))/$AJ109,'Технический лист'!$I:$J,2,1)-VLOOKUP($AO109,'Технический лист'!$I:$J,2,1)),1+(1-$AU109))</f>
        <v>1</v>
      </c>
      <c r="DC109" s="15">
        <f>MIN(IF($AU109=100%,1,1+VLOOKUP(($AJ109-$AI109-$AH109-$AG109-$AF109-$AE109*(1+DC$3))/$AJ109,'Технический лист'!$I:$J,2,1)-VLOOKUP($AO109,'Технический лист'!$I:$J,2,1)),1+(1-$AU109))</f>
        <v>1</v>
      </c>
      <c r="DD109" s="15">
        <f>MIN(IF($AU109=100%,1,1+VLOOKUP(($AJ109-$AI109-$AH109-$AG109-$AF109-$AE109*(1+DD$3))/$AJ109,'Технический лист'!$I:$J,2,1)-VLOOKUP($AO109,'Технический лист'!$I:$J,2,1)),1+(1-$AU109))</f>
        <v>1</v>
      </c>
      <c r="DE109" s="15">
        <f>MIN(IF($AU109=100%,1,1+VLOOKUP(($AJ109-$AI109-$AH109-$AG109-$AF109-$AE109*(1+DE$3))/$AJ109,'Технический лист'!$I:$J,2,1)-VLOOKUP($AO109,'Технический лист'!$I:$J,2,1)),1+(1-$AU109))</f>
        <v>1</v>
      </c>
      <c r="DF109" s="15">
        <f>MIN(IF($AU109=100%,1,1+VLOOKUP(($AJ109-$AI109-$AH109-$AG109-$AF109-$AE109*(1+DF$3))/$AJ109,'Технический лист'!$I:$J,2,1)-VLOOKUP($AO109,'Технический лист'!$I:$J,2,1)),1+(1-$AU109))</f>
        <v>1</v>
      </c>
      <c r="DG109" s="15">
        <f>MIN(IF($AU109=100%,1,1+VLOOKUP(($AJ109-$AI109-$AH109-$AG109-$AF109-$AE109*(1+DG$3))/$AJ109,'Технический лист'!$I:$J,2,1)-VLOOKUP($AO109,'Технический лист'!$I:$J,2,1)),1+(1-$AU109))</f>
        <v>1</v>
      </c>
      <c r="DH109" s="15">
        <f>MIN(IF($AU109=100%,1,1+VLOOKUP(($AJ109-$AI109-$AH109-$AG109-$AF109-$AE109*(1+DH$3))/$AJ109,'Технический лист'!$I:$J,2,1)-VLOOKUP($AO109,'Технический лист'!$I:$J,2,1)),1+(1-$AU109))</f>
        <v>1</v>
      </c>
      <c r="DI109" s="15">
        <f>MIN(IF($AU109=100%,1,1+VLOOKUP(($AJ109-$AI109-$AH109-$AG109-$AF109-$AE109*(1+DI$3))/$AJ109,'Технический лист'!$I:$J,2,1)-VLOOKUP($AO109,'Технический лист'!$I:$J,2,1)),1+(1-$AU109))</f>
        <v>1</v>
      </c>
      <c r="DJ109" s="15">
        <f>MIN(IF($AU109=100%,1,1+VLOOKUP(($AJ109-$AI109-$AH109-$AG109-$AF109-$AE109*(1+DJ$3))/$AJ109,'Технический лист'!$I:$J,2,1)-VLOOKUP($AO109,'Технический лист'!$I:$J,2,1)),1+(1-$AU109))</f>
        <v>1</v>
      </c>
      <c r="DK109" s="15">
        <f>MIN(IF($AU109=100%,1,1+VLOOKUP(($AJ109-$AI109-$AH109-$AG109-$AF109-$AE109*(1+DK$3))/$AJ109,'Технический лист'!$I:$J,2,1)-VLOOKUP($AO109,'Технический лист'!$I:$J,2,1)),1+(1-$AU109))</f>
        <v>1</v>
      </c>
      <c r="DL109" s="15">
        <f>MIN(IF($AU109=100%,1,1+VLOOKUP(($AJ109-$AI109-$AH109-$AG109-$AF109-$AE109*(1+DL$3))/$AJ109,'Технический лист'!$I:$J,2,1)-VLOOKUP($AO109,'Технический лист'!$I:$J,2,1)),1+(1-$AU109))</f>
        <v>1</v>
      </c>
      <c r="DM109" s="15">
        <f>MIN(IF($AU109=100%,1,1+VLOOKUP(($AJ109-$AI109-$AH109-$AG109-$AF109-$AE109*(1+DM$3))/$AJ109,'Технический лист'!$I:$J,2,1)-VLOOKUP($AO109,'Технический лист'!$I:$J,2,1)),1+(1-$AU109))</f>
        <v>1</v>
      </c>
      <c r="DN109" s="15">
        <f>MIN(IF($AU109=100%,1,1+VLOOKUP(($AJ109-$AI109-$AH109-$AG109-$AF109-$AE109*(1+DN$3))/$AJ109,'Технический лист'!$I:$J,2,1)-VLOOKUP($AO109,'Технический лист'!$I:$J,2,1)),1+(1-$AU109))</f>
        <v>1</v>
      </c>
      <c r="DO109" s="15">
        <f>MIN(IF($AU109=100%,1,1+VLOOKUP(($AJ109-$AI109-$AH109-$AG109-$AF109-$AE109*(1+DO$3))/$AJ109,'Технический лист'!$I:$J,2,1)-VLOOKUP($AO109,'Технический лист'!$I:$J,2,1)),1+(1-$AU109))</f>
        <v>1</v>
      </c>
      <c r="DP109" s="15">
        <f>MIN(IF($AU109=100%,1,1+VLOOKUP(($AJ109-$AI109-$AH109-$AG109-$AF109-$AE109*(1+DP$3))/$AJ109,'Технический лист'!$I:$J,2,1)-VLOOKUP($AO109,'Технический лист'!$I:$J,2,1)),1+(1-$AU109))</f>
        <v>1</v>
      </c>
      <c r="DQ109" s="15">
        <f>MIN(IF($AU109=100%,1,1+VLOOKUP(($AJ109-$AI109-$AH109-$AG109-$AF109-$AE109*(1+DQ$3))/$AJ109,'Технический лист'!$I:$J,2,1)-VLOOKUP($AO109,'Технический лист'!$I:$J,2,1)),1+(1-$AU109))</f>
        <v>1</v>
      </c>
      <c r="DR109" s="15">
        <f>MIN(IF($AU109=100%,1,1+VLOOKUP(($AJ109-$AI109-$AH109-$AG109-$AF109-$AE109*(1+DR$3))/$AJ109,'Технический лист'!$I:$J,2,1)-VLOOKUP($AO109,'Технический лист'!$I:$J,2,1)),1+(1-$AU109))</f>
        <v>1</v>
      </c>
      <c r="DS109" s="15">
        <f>MIN(IF($AU109=100%,1,1+VLOOKUP(($AJ109-$AI109-$AH109-$AG109-$AF109-$AE109*(1+DS$3))/$AJ109,'Технический лист'!$I:$J,2,1)-VLOOKUP($AO109,'Технический лист'!$I:$J,2,1)),1+(1-$AU109))</f>
        <v>1</v>
      </c>
      <c r="DT109" s="15">
        <f>MIN(IF($AU109=100%,1,1+VLOOKUP(($AJ109-$AI109-$AH109-$AG109-$AF109-$AE109*(1+DT$3))/$AJ109,'Технический лист'!$I:$J,2,1)-VLOOKUP($AO109,'Технический лист'!$I:$J,2,1)),1+(1-$AU109))</f>
        <v>1</v>
      </c>
      <c r="DU109" s="15">
        <f>MIN(IF($AU109=100%,1,1+VLOOKUP(($AJ109-$AI109-$AH109-$AG109-$AF109-$AE109*(1+DU$3))/$AJ109,'Технический лист'!$I:$J,2,1)-VLOOKUP($AO109,'Технический лист'!$I:$J,2,1)),1+(1-$AU109))</f>
        <v>1</v>
      </c>
      <c r="DV109" s="15">
        <f>MIN(IF($AU109=100%,1,1+VLOOKUP(($AJ109-$AI109-$AH109-$AG109-$AF109-$AE109*(1+DV$3))/$AJ109,'Технический лист'!$I:$J,2,1)-VLOOKUP($AO109,'Технический лист'!$I:$J,2,1)),1+(1-$AU109))</f>
        <v>1</v>
      </c>
      <c r="DW109" s="15">
        <f>MIN(IF($AU109=100%,1,1+VLOOKUP(($AJ109-$AI109-$AH109-$AG109-$AF109-$AE109*(1+DW$3))/$AJ109,'Технический лист'!$I:$J,2,1)-VLOOKUP($AO109,'Технический лист'!$I:$J,2,1)),1+(1-$AU109))</f>
        <v>1</v>
      </c>
      <c r="DX109" s="15">
        <f>MIN(IF($AU109=100%,1,1+VLOOKUP(($AJ109-$AI109-$AH109-$AG109-$AF109-$AE109*(1+DX$3))/$AJ109,'Технический лист'!$I:$J,2,1)-VLOOKUP($AO109,'Технический лист'!$I:$J,2,1)),1+(1-$AU109))</f>
        <v>1</v>
      </c>
      <c r="DY109" s="15">
        <f>MIN(IF($AU109=100%,1,1+VLOOKUP(($AJ109-$AI109-$AH109-$AG109-$AF109-$AE109*(1+DY$3))/$AJ109,'Технический лист'!$I:$J,2,1)-VLOOKUP($AO109,'Технический лист'!$I:$J,2,1)),1+(1-$AU109))</f>
        <v>1</v>
      </c>
      <c r="DZ109" s="15">
        <f>MIN(IF($AU109=100%,1,1+VLOOKUP(($AJ109-$AI109-$AH109-$AG109-$AF109-$AE109*(1+DZ$3))/$AJ109,'Технический лист'!$I:$J,2,1)-VLOOKUP($AO109,'Технический лист'!$I:$J,2,1)),1+(1-$AU109))</f>
        <v>1</v>
      </c>
      <c r="EA109" s="15">
        <f>MIN(IF($AU109=100%,1,1+VLOOKUP(($AJ109-$AI109-$AH109-$AG109-$AF109-$AE109*(1+EA$3))/$AJ109,'Технический лист'!$I:$J,2,1)-VLOOKUP($AO109,'Технический лист'!$I:$J,2,1)),1+(1-$AU109))</f>
        <v>1</v>
      </c>
      <c r="EB109" s="15">
        <f>MIN(IF($AU109=100%,1,1+VLOOKUP(($AJ109-$AI109-$AH109-$AG109-$AF109-$AE109*(1+EB$3))/$AJ109,'Технический лист'!$I:$J,2,1)-VLOOKUP($AO109,'Технический лист'!$I:$J,2,1)),1+(1-$AU109))</f>
        <v>1</v>
      </c>
      <c r="EC109" s="15">
        <f>MIN(IF($AU109=100%,1,1+VLOOKUP(($AJ109-$AI109-$AH109-$AG109-$AF109-$AE109*(1+EC$3))/$AJ109,'Технический лист'!$I:$J,2,1)-VLOOKUP($AO109,'Технический лист'!$I:$J,2,1)),1+(1-$AU109))</f>
        <v>1</v>
      </c>
      <c r="ED109" s="15">
        <f>MIN(IF($AU109=100%,1,1+VLOOKUP(($AJ109-$AI109-$AH109-$AG109-$AF109-$AE109*(1+ED$3))/$AJ109,'Технический лист'!$I:$J,2,1)-VLOOKUP($AO109,'Технический лист'!$I:$J,2,1)),1+(1-$AU109))</f>
        <v>1</v>
      </c>
      <c r="EE109" s="15">
        <f>MIN(IF($AU109=100%,1,1+VLOOKUP(($AJ109-$AI109-$AH109-$AG109-$AF109-$AE109*(1+EE$3))/$AJ109,'Технический лист'!$I:$J,2,1)-VLOOKUP($AO109,'Технический лист'!$I:$J,2,1)),1+(1-$AU109))</f>
        <v>1</v>
      </c>
      <c r="EF109" s="15">
        <f>MIN(IF($AU109=100%,1,1+VLOOKUP(($AJ109-$AI109-$AH109-$AG109-$AF109-$AE109*(1+EF$3))/$AJ109,'Технический лист'!$I:$J,2,1)-VLOOKUP($AO109,'Технический лист'!$I:$J,2,1)),1+(1-$AU109))</f>
        <v>1</v>
      </c>
      <c r="EG109" s="15">
        <f>MIN(IF($AU109=100%,1,1+VLOOKUP(($AJ109-$AI109-$AH109-$AG109-$AF109-$AE109*(1+EG$3))/$AJ109,'Технический лист'!$I:$J,2,1)-VLOOKUP($AO109,'Технический лист'!$I:$J,2,1)),1+(1-$AU109))</f>
        <v>1</v>
      </c>
      <c r="EH109" s="15">
        <f>MIN(IF($AU109=100%,1,1+VLOOKUP(($AJ109-$AI109-$AH109-$AG109-$AF109-$AE109*(1+EH$3))/$AJ109,'Технический лист'!$I:$J,2,1)-VLOOKUP($AO109,'Технический лист'!$I:$J,2,1)),1+(1-$AU109))</f>
        <v>1</v>
      </c>
      <c r="EI109" s="15">
        <f>MIN(IF($AU109=100%,1,1+VLOOKUP(($AJ109-$AI109-$AH109-$AG109-$AF109-$AE109*(1+EI$3))/$AJ109,'Технический лист'!$I:$J,2,1)-VLOOKUP($AO109,'Технический лист'!$I:$J,2,1)),1+(1-$AU109))</f>
        <v>1</v>
      </c>
      <c r="EJ109" s="15">
        <f>MIN(IF($AU109=100%,1,1+VLOOKUP(($AJ109-$AI109-$AH109-$AG109-$AF109-$AE109*(1+EJ$3))/$AJ109,'Технический лист'!$I:$J,2,1)-VLOOKUP($AO109,'Технический лист'!$I:$J,2,1)),1+(1-$AU109))</f>
        <v>1</v>
      </c>
      <c r="EK109" s="15">
        <f>MIN(IF($AU109=100%,1,1+VLOOKUP(($AJ109-$AI109-$AH109-$AG109-$AF109-$AE109*(1+EK$3))/$AJ109,'Технический лист'!$I:$J,2,1)-VLOOKUP($AO109,'Технический лист'!$I:$J,2,1)),1+(1-$AU109))</f>
        <v>1</v>
      </c>
      <c r="EL109" s="15">
        <f>MIN(IF($AU109=100%,1,1+VLOOKUP(($AJ109-$AI109-$AH109-$AG109-$AF109-$AE109*(1+EL$3))/$AJ109,'Технический лист'!$I:$J,2,1)-VLOOKUP($AO109,'Технический лист'!$I:$J,2,1)),1+(1-$AU109))</f>
        <v>1</v>
      </c>
      <c r="EM109" s="15">
        <f>MIN(IF($AU109=100%,1,1+VLOOKUP(($AJ109-$AI109-$AH109-$AG109-$AF109-$AE109*(1+EM$3))/$AJ109,'Технический лист'!$I:$J,2,1)-VLOOKUP($AO109,'Технический лист'!$I:$J,2,1)),1+(1-$AU109))</f>
        <v>1</v>
      </c>
      <c r="EN109" s="15">
        <f>MIN(IF($AU109=100%,1,1+VLOOKUP(($AJ109-$AI109-$AH109-$AG109-$AF109-$AE109*(1+EN$3))/$AJ109,'Технический лист'!$I:$J,2,1)-VLOOKUP($AO109,'Технический лист'!$I:$J,2,1)),1+(1-$AU109))</f>
        <v>1</v>
      </c>
      <c r="EO109" s="15">
        <f>MIN(IF($AU109=100%,1,1+VLOOKUP(($AJ109-$AI109-$AH109-$AG109-$AF109-$AE109*(1+EO$3))/$AJ109,'Технический лист'!$I:$J,2,1)-VLOOKUP($AO109,'Технический лист'!$I:$J,2,1)),1+(1-$AU109))</f>
        <v>1</v>
      </c>
      <c r="EP109" s="15">
        <f>MIN(IF($AU109=100%,1,1+VLOOKUP(($AJ109-$AI109-$AH109-$AG109-$AF109-$AE109*(1+EP$3))/$AJ109,'Технический лист'!$I:$J,2,1)-VLOOKUP($AO109,'Технический лист'!$I:$J,2,1)),1+(1-$AU109))</f>
        <v>1</v>
      </c>
      <c r="EQ109" s="15">
        <f>MIN(IF($AU109=100%,1,1+VLOOKUP(($AJ109-$AI109-$AH109-$AG109-$AF109-$AE109*(1+EQ$3))/$AJ109,'Технический лист'!$I:$J,2,1)-VLOOKUP($AO109,'Технический лист'!$I:$J,2,1)),1+(1-$AU109))</f>
        <v>1</v>
      </c>
      <c r="ER109" s="15">
        <f>MIN(IF($AU109=100%,1,1+VLOOKUP(($AJ109-$AI109-$AH109-$AG109-$AF109-$AE109*(1+ER$3))/$AJ109,'Технический лист'!$I:$J,2,1)-VLOOKUP($AO109,'Технический лист'!$I:$J,2,1)),1+(1-$AU109))</f>
        <v>1</v>
      </c>
      <c r="ES109" s="15">
        <f>MIN(IF($AU109=100%,1,1+VLOOKUP(($AJ109-$AI109-$AH109-$AG109-$AF109-$AE109*(1+ES$3))/$AJ109,'Технический лист'!$I:$J,2,1)-VLOOKUP($AO109,'Технический лист'!$I:$J,2,1)),1+(1-$AU109))</f>
        <v>1</v>
      </c>
      <c r="ET109" s="15">
        <f>MIN(IF($AU109=100%,1,1+VLOOKUP(($AJ109-$AI109-$AH109-$AG109-$AF109-$AE109*(1+ET$3))/$AJ109,'Технический лист'!$I:$J,2,1)-VLOOKUP($AO109,'Технический лист'!$I:$J,2,1)),1+(1-$AU109))</f>
        <v>1</v>
      </c>
      <c r="EU109" s="15">
        <f>MIN(IF($AU109=100%,1,1+VLOOKUP(($AJ109-$AI109-$AH109-$AG109-$AF109-$AE109*(1+EU$3))/$AJ109,'Технический лист'!$I:$J,2,1)-VLOOKUP($AO109,'Технический лист'!$I:$J,2,1)),1+(1-$AU109))</f>
        <v>1</v>
      </c>
      <c r="EV109" s="111">
        <v>1</v>
      </c>
      <c r="EW109" s="15">
        <f>MIN(1,MAX(VLOOKUP(($AJ109-$AI109-$AH109-$AG109-$AF109-$AE109*(1+EW$3))/$AJ109,'Технический лист'!$A:$B,2,1),(EV109-0.05)))</f>
        <v>1</v>
      </c>
      <c r="EX109" s="15">
        <f>MIN(1,MAX(VLOOKUP(($AJ109-$AI109-$AH109-$AG109-$AF109-$AE109*(1+EX$3))/$AJ109,'Технический лист'!$A:$B,2,1),(EW109-0.05)))</f>
        <v>1</v>
      </c>
      <c r="EY109" s="15">
        <f>MIN(1,MAX(VLOOKUP(($AJ109-$AI109-$AH109-$AG109-$AF109-$AE109*(1+EY$3))/$AJ109,'Технический лист'!$A:$B,2,1),(EX109-0.05)))</f>
        <v>1</v>
      </c>
      <c r="EZ109" s="15">
        <f>MIN(1,MAX(VLOOKUP(($AJ109-$AI109-$AH109-$AG109-$AF109-$AE109*(1+EZ$3))/$AJ109,'Технический лист'!$A:$B,2,1),(EY109-0.05)))</f>
        <v>1</v>
      </c>
      <c r="FA109" s="15">
        <f>MIN(1,MAX(VLOOKUP(($AJ109-$AI109-$AH109-$AG109-$AF109-$AE109*(1+FA$3))/$AJ109,'Технический лист'!$A:$B,2,1),(EZ109-0.05)))</f>
        <v>1</v>
      </c>
      <c r="FB109" s="15">
        <f>MIN(1,MAX(VLOOKUP(($AJ109-$AI109-$AH109-$AG109-$AF109-$AE109*(1+FB$3))/$AJ109,'Технический лист'!$A:$B,2,1),(FA109-0.05)))</f>
        <v>1</v>
      </c>
      <c r="FC109" s="15">
        <f>MIN(1,MAX(VLOOKUP(($AJ109-$AI109-$AH109-$AG109-$AF109-$AE109*(1+FC$3))/$AJ109,'Технический лист'!$A:$B,2,1),(FB109-0.05)))</f>
        <v>1</v>
      </c>
      <c r="FD109" s="15">
        <f>MIN(1,MAX(VLOOKUP(($AJ109-$AI109-$AH109-$AG109-$AF109-$AE109*(1+FD$3))/$AJ109,'Технический лист'!$A:$B,2,1),(FC109-0.05)))</f>
        <v>1</v>
      </c>
      <c r="FE109" s="15">
        <f>MIN(1,MAX(VLOOKUP(($AJ109-$AI109-$AH109-$AG109-$AF109-$AE109*(1+FE$3))/$AJ109,'Технический лист'!$A:$B,2,1),(FD109-0.05)))</f>
        <v>1</v>
      </c>
      <c r="FF109" s="15">
        <f>MIN(1,MAX(VLOOKUP(($AJ109-$AI109-$AH109-$AG109-$AF109-$AE109*(1+FF$3))/$AJ109,'Технический лист'!$A:$B,2,1),(FE109-0.05)))</f>
        <v>1</v>
      </c>
      <c r="FG109" s="15">
        <f>MIN(1,MAX(VLOOKUP(($AJ109-$AI109-$AH109-$AG109-$AF109-$AE109*(1+FG$3))/$AJ109,'Технический лист'!$A:$B,2,1),(FF109-0.05)))</f>
        <v>1</v>
      </c>
      <c r="FH109" s="15">
        <f>MIN(1,MAX(VLOOKUP(($AJ109-$AI109-$AH109-$AG109-$AF109-$AE109*(1+FH$3))/$AJ109,'Технический лист'!$A:$B,2,1),(FG109-0.05)))</f>
        <v>1</v>
      </c>
      <c r="FI109" s="15">
        <f>MIN(1,MAX(VLOOKUP(($AJ109-$AI109-$AH109-$AG109-$AF109-$AE109*(1+FI$3))/$AJ109,'Технический лист'!$A:$B,2,1),(FH109-0.05)))</f>
        <v>1</v>
      </c>
      <c r="FJ109" s="15">
        <f>MIN(1,MAX(VLOOKUP(($AJ109-$AI109-$AH109-$AG109-$AF109-$AE109*(1+FJ$3))/$AJ109,'Технический лист'!$A:$B,2,1),(FI109-0.05)))</f>
        <v>1</v>
      </c>
      <c r="FK109" s="15">
        <f>MIN(1,MAX(VLOOKUP(($AJ109-$AI109-$AH109-$AG109-$AF109-$AE109*(1+FK$3))/$AJ109,'Технический лист'!$A:$B,2,1),(FJ109-0.05)))</f>
        <v>1</v>
      </c>
      <c r="FL109" s="15">
        <f>MIN(1,MAX(VLOOKUP(($AJ109-$AI109-$AH109-$AG109-$AF109-$AE109*(1+FL$3))/$AJ109,'Технический лист'!$A:$B,2,1),(FK109-0.05)))</f>
        <v>1</v>
      </c>
      <c r="FM109" s="15">
        <f>MIN(1,MAX(VLOOKUP(($AJ109-$AI109-$AH109-$AG109-$AF109-$AE109*(1+FM$3))/$AJ109,'Технический лист'!$A:$B,2,1),(FL109-0.05)))</f>
        <v>1</v>
      </c>
      <c r="FN109" s="15">
        <f>MIN(1,MAX(VLOOKUP(($AJ109-$AI109-$AH109-$AG109-$AF109-$AE109*(1+FN$3))/$AJ109,'Технический лист'!$A:$B,2,1),(FM109-0.05)))</f>
        <v>1</v>
      </c>
      <c r="FO109" s="15">
        <f>MIN(1,MAX(VLOOKUP(($AJ109-$AI109-$AH109-$AG109-$AF109-$AE109*(1+FO$3))/$AJ109,'Технический лист'!$A:$B,2,1),(FN109-0.05)))</f>
        <v>1</v>
      </c>
      <c r="FP109" s="15">
        <f>MIN(1,MAX(VLOOKUP(($AJ109-$AI109-$AH109-$AG109-$AF109-$AE109*(1+FP$3))/$AJ109,'Технический лист'!$A:$B,2,1),(FO109-0.05)))</f>
        <v>1</v>
      </c>
      <c r="FQ109" s="15">
        <f>MIN(1,MAX(VLOOKUP(($AJ109-$AI109-$AH109-$AG109-$AF109-$AE109*(1+FQ$3))/$AJ109,'Технический лист'!$A:$B,2,1),(FP109-0.05)))</f>
        <v>1</v>
      </c>
      <c r="FR109" s="15">
        <f>MIN(1,MAX(VLOOKUP(($AJ109-$AI109-$AH109-$AG109-$AF109-$AE109*(1+FR$3))/$AJ109,'Технический лист'!$A:$B,2,1),(FQ109-0.05)))</f>
        <v>1</v>
      </c>
      <c r="FS109" s="15">
        <f>MIN(1,MAX(VLOOKUP(($AJ109-$AI109-$AH109-$AG109-$AF109-$AE109*(1+FS$3))/$AJ109,'Технический лист'!$A:$B,2,1),(FR109-0.05)))</f>
        <v>1</v>
      </c>
      <c r="FT109" s="15">
        <f>MIN(1,MAX(VLOOKUP(($AJ109-$AI109-$AH109-$AG109-$AF109-$AE109*(1+FT$3))/$AJ109,'Технический лист'!$A:$B,2,1),(FS109-0.05)))</f>
        <v>1</v>
      </c>
      <c r="FU109" s="15">
        <f>MIN(1,MAX(VLOOKUP(($AJ109-$AI109-$AH109-$AG109-$AF109-$AE109*(1+FU$3))/$AJ109,'Технический лист'!$A:$B,2,1),(FT109-0.05)))</f>
        <v>1</v>
      </c>
      <c r="FV109" s="15">
        <f>MIN(1,MAX(VLOOKUP(($AJ109-$AI109-$AH109-$AG109-$AF109-$AE109*(1+FV$3))/$AJ109,'Технический лист'!$A:$B,2,1),(FU109-0.05)))</f>
        <v>1</v>
      </c>
      <c r="FW109" s="15">
        <f>MIN(1,MAX(VLOOKUP(($AJ109-$AI109-$AH109-$AG109-$AF109-$AE109*(1+FW$3))/$AJ109,'Технический лист'!$A:$B,2,1),(FV109-0.05)))</f>
        <v>1</v>
      </c>
      <c r="FX109" s="15">
        <f>MIN(1,MAX(VLOOKUP(($AJ109-$AI109-$AH109-$AG109-$AF109-$AE109*(1+FX$3))/$AJ109,'Технический лист'!$A:$B,2,1),(FW109-0.05)))</f>
        <v>1</v>
      </c>
      <c r="FY109" s="15">
        <f>MIN(1,MAX(VLOOKUP(($AJ109-$AI109-$AH109-$AG109-$AF109-$AE109*(1+FY$3))/$AJ109,'Технический лист'!$A:$B,2,1),(FX109-0.05)))</f>
        <v>1</v>
      </c>
      <c r="FZ109" s="15">
        <f>MIN(1,MAX(VLOOKUP(($AJ109-$AI109-$AH109-$AG109-$AF109-$AE109*(1+FZ$3))/$AJ109,'Технический лист'!$A:$B,2,1),(FY109-0.05)))</f>
        <v>1</v>
      </c>
      <c r="GA109" s="15">
        <f>MIN(1,MAX(VLOOKUP(($AJ109-$AI109-$AH109-$AG109-$AF109-$AE109*(1+GA$3))/$AJ109,'Технический лист'!$A:$B,2,1),(FZ109-0.05)))</f>
        <v>1</v>
      </c>
      <c r="GB109" s="15">
        <f>MIN(1,MAX(VLOOKUP(($AJ109-$AI109-$AH109-$AG109-$AF109-$AE109*(1+GB$3))/$AJ109,'Технический лист'!$A:$B,2,1),(GA109-0.05)))</f>
        <v>1</v>
      </c>
      <c r="GC109" s="15">
        <f>MIN(1,MAX(VLOOKUP(($AJ109-$AI109-$AH109-$AG109-$AF109-$AE109*(1+GC$3))/$AJ109,'Технический лист'!$A:$B,2,1),(GB109-0.05)))</f>
        <v>1</v>
      </c>
      <c r="GD109" s="15">
        <f>MIN(1,MAX(VLOOKUP(($AJ109-$AI109-$AH109-$AG109-$AF109-$AE109*(1+GD$3))/$AJ109,'Технический лист'!$A:$B,2,1),(GC109-0.05)))</f>
        <v>1</v>
      </c>
      <c r="GE109" s="15">
        <f>MIN(1,MAX(VLOOKUP(($AJ109-$AI109-$AH109-$AG109-$AF109-$AE109*(1+GE$3))/$AJ109,'Технический лист'!$A:$B,2,1),(GD109-0.05)))</f>
        <v>1</v>
      </c>
      <c r="GF109" s="15">
        <f>MIN(1,MAX(VLOOKUP(($AJ109-$AI109-$AH109-$AG109-$AF109-$AE109*(1+GF$3))/$AJ109,'Технический лист'!$A:$B,2,1),(GE109-0.05)))</f>
        <v>1</v>
      </c>
      <c r="GG109" s="15">
        <f>MIN(1,MAX(VLOOKUP(($AJ109-$AI109-$AH109-$AG109-$AF109-$AE109*(1+GG$3))/$AJ109,'Технический лист'!$A:$B,2,1),(GF109-0.05)))</f>
        <v>1</v>
      </c>
      <c r="GH109" s="15">
        <f>MIN(1,MAX(VLOOKUP(($AJ109-$AI109-$AH109-$AG109-$AF109-$AE109*(1+GH$3))/$AJ109,'Технический лист'!$A:$B,2,1),(GG109-0.05)))</f>
        <v>1</v>
      </c>
      <c r="GI109" s="15">
        <f>MIN(1,MAX(VLOOKUP(($AJ109-$AI109-$AH109-$AG109-$AF109-$AE109*(1+GI$3))/$AJ109,'Технический лист'!$A:$B,2,1),(GH109-0.05)))</f>
        <v>1</v>
      </c>
      <c r="GJ109" s="15">
        <f>MIN(1,MAX(VLOOKUP(($AJ109-$AI109-$AH109-$AG109-$AF109-$AE109*(1+GJ$3))/$AJ109,'Технический лист'!$A:$B,2,1),(GI109-0.05)))</f>
        <v>1</v>
      </c>
      <c r="GK109" s="15">
        <f>MIN(1,MAX(VLOOKUP(($AJ109-$AI109-$AH109-$AG109-$AF109-$AE109*(1+GK$3))/$AJ109,'Технический лист'!$A:$B,2,1),(GJ109-0.05)))</f>
        <v>1</v>
      </c>
      <c r="GL109" s="15">
        <f>MIN(1,MAX(VLOOKUP(($AJ109-$AI109-$AH109-$AG109-$AF109-$AE109*(1+GL$3))/$AJ109,'Технический лист'!$A:$B,2,1),(GK109-0.05)))</f>
        <v>1</v>
      </c>
      <c r="GM109" s="15">
        <f>MIN(1,MAX(VLOOKUP(($AJ109-$AI109-$AH109-$AG109-$AF109-$AE109*(1+GM$3))/$AJ109,'Технический лист'!$A:$B,2,1),(GL109-0.05)))</f>
        <v>1</v>
      </c>
      <c r="GN109" s="15">
        <f>MIN(1,MAX(VLOOKUP(($AJ109-$AI109-$AH109-$AG109-$AF109-$AE109*(1+GN$3))/$AJ109,'Технический лист'!$A:$B,2,1),(GM109-0.05)))</f>
        <v>1</v>
      </c>
      <c r="GO109" s="15">
        <f>MIN(1,MAX(VLOOKUP(($AJ109-$AI109-$AH109-$AG109-$AF109-$AE109*(1+GO$3))/$AJ109,'Технический лист'!$A:$B,2,1),(GN109-0.05)))</f>
        <v>1</v>
      </c>
      <c r="GP109" s="15">
        <f>MIN(1,MAX(VLOOKUP(($AJ109-$AI109-$AH109-$AG109-$AF109-$AE109*(1+GP$3))/$AJ109,'Технический лист'!$A:$B,2,1),(GO109-0.05)))</f>
        <v>1</v>
      </c>
      <c r="GQ109" s="15">
        <f>MIN(1,MAX(VLOOKUP(($AJ109-$AI109-$AH109-$AG109-$AF109-$AE109*(1+GQ$3))/$AJ109,'Технический лист'!$A:$B,2,1),(GP109-0.05)))</f>
        <v>1</v>
      </c>
      <c r="GR109" s="15">
        <f>MIN(1,MAX(VLOOKUP(($AJ109-$AI109-$AH109-$AG109-$AF109-$AE109*(1+GR$3))/$AJ109,'Технический лист'!$A:$B,2,1),(GQ109-0.05)))</f>
        <v>1</v>
      </c>
      <c r="GS109" s="15">
        <f>MIN(1,MAX(VLOOKUP(($AJ109-$AI109-$AH109-$AG109-$AF109-$AE109*(1+GS$3))/$AJ109,'Технический лист'!$A:$B,2,1),(GR109-0.05)))</f>
        <v>1</v>
      </c>
      <c r="GT109" s="15">
        <f>MIN(1,MAX(VLOOKUP(($AJ109-$AI109-$AH109-$AG109-$AF109-$AE109*(1+GT$3))/$AJ109,'Технический лист'!$A:$B,2,1),(GS109-0.05)))</f>
        <v>1</v>
      </c>
      <c r="GU109" s="15">
        <f>MIN(1,MAX(VLOOKUP(($AJ109-$AI109-$AH109-$AG109-$AF109-$AE109*(1+GU$3))/$AJ109,'Технический лист'!$A:$B,2,1),(GT109-0.05)))</f>
        <v>1</v>
      </c>
      <c r="GV109" s="15">
        <f>MIN(1,MAX(VLOOKUP(($AJ109-$AI109-$AH109-$AG109-$AF109-$AE109*(1+GV$3))/$AJ109,'Технический лист'!$A:$B,2,1),(GU109-0.05)))</f>
        <v>1</v>
      </c>
      <c r="GW109" s="15">
        <f>MIN(1,MAX(VLOOKUP(($AJ109-$AI109-$AH109-$AG109-$AF109-$AE109*(1+GW$3))/$AJ109,'Технический лист'!$A:$B,2,1),(GV109-0.05)))</f>
        <v>1</v>
      </c>
      <c r="GX109" s="15">
        <f>MIN(1,MAX(VLOOKUP(($AJ109-$AI109-$AH109-$AG109-$AF109-$AE109*(1+GX$3))/$AJ109,'Технический лист'!$A:$B,2,1),(GW109-0.05)))</f>
        <v>1</v>
      </c>
      <c r="GY109" s="15">
        <f>MIN(1,MAX(VLOOKUP(($AJ109-$AI109-$AH109-$AG109-$AF109-$AE109*(1+GY$3))/$AJ109,'Технический лист'!$A:$B,2,1),(GX109-0.05)))</f>
        <v>1</v>
      </c>
      <c r="GZ109" s="15">
        <f>MIN(1,MAX(VLOOKUP(($AJ109-$AI109-$AH109-$AG109-$AF109-$AE109*(1+GZ$3))/$AJ109,'Технический лист'!$A:$B,2,1),(GY109-0.05)))</f>
        <v>1</v>
      </c>
      <c r="HA109" s="15">
        <f>MIN(1,MAX(VLOOKUP(($AJ109-$AI109-$AH109-$AG109-$AF109-$AE109*(1+HA$3))/$AJ109,'Технический лист'!$A:$B,2,1),(GZ109-0.05)))</f>
        <v>1</v>
      </c>
      <c r="HB109" s="15">
        <f>MIN(1,MAX(VLOOKUP(($AJ109-$AI109-$AH109-$AG109-$AF109-$AE109*(1+HB$3))/$AJ109,'Технический лист'!$A:$B,2,1),(HA109-0.05)))</f>
        <v>1</v>
      </c>
      <c r="HC109" s="15">
        <f>MIN(1,MAX(VLOOKUP(($AJ109-$AI109-$AH109-$AG109-$AF109-$AE109*(1+HC$3))/$AJ109,'Технический лист'!$A:$B,2,1),(HB109-0.05)))</f>
        <v>1</v>
      </c>
      <c r="HD109" s="15">
        <f>MIN(1,MAX(VLOOKUP(($AJ109-$AI109-$AH109-$AG109-$AF109-$AE109*(1+HD$3))/$AJ109,'Технический лист'!$A:$B,2,1),(HC109-0.05)))</f>
        <v>1</v>
      </c>
      <c r="HE109" s="15">
        <f>MIN(1,MAX(VLOOKUP(($AJ109-$AI109-$AH109-$AG109-$AF109-$AE109*(1+HE$3))/$AJ109,'Технический лист'!$A:$B,2,1),(HD109-0.05)))</f>
        <v>1</v>
      </c>
      <c r="HF109" s="15">
        <f>MIN(1,MAX(VLOOKUP(($AJ109-$AI109-$AH109-$AG109-$AF109-$AE109*(1+HF$3))/$AJ109,'Технический лист'!$A:$B,2,1),(HE109-0.05)))</f>
        <v>1</v>
      </c>
      <c r="HG109" s="15">
        <f>MIN(1,MAX(VLOOKUP(($AJ109-$AI109-$AH109-$AG109-$AF109-$AE109*(1+HG$3))/$AJ109,'Технический лист'!$A:$B,2,1),(HF109-0.05)))</f>
        <v>1</v>
      </c>
      <c r="HH109" s="15">
        <f>MIN(1,MAX(VLOOKUP(($AJ109-$AI109-$AH109-$AG109-$AF109-$AE109*(1+HH$3))/$AJ109,'Технический лист'!$A:$B,2,1),(HG109-0.05)))</f>
        <v>1</v>
      </c>
      <c r="HI109" s="15">
        <f>MIN(1,MAX(VLOOKUP(($AJ109-$AI109-$AH109-$AG109-$AF109-$AE109*(1+HI$3))/$AJ109,'Технический лист'!$A:$B,2,1),(HH109-0.05)))</f>
        <v>1</v>
      </c>
      <c r="HJ109" s="15">
        <f>MIN(1,MAX(VLOOKUP(($AJ109-$AI109-$AH109-$AG109-$AF109-$AE109*(1+HJ$3))/$AJ109,'Технический лист'!$A:$B,2,1),(HI109-0.05)))</f>
        <v>1</v>
      </c>
      <c r="HK109" s="15">
        <f>MIN(1,MAX(VLOOKUP(($AJ109-$AI109-$AH109-$AG109-$AF109-$AE109*(1+HK$3))/$AJ109,'Технический лист'!$A:$B,2,1),(HJ109-0.05)))</f>
        <v>1</v>
      </c>
      <c r="HL109" s="15">
        <f>MIN(1,MAX(VLOOKUP(($AJ109-$AI109-$AH109-$AG109-$AF109-$AE109*(1+HL$3))/$AJ109,'Технический лист'!$A:$B,2,1),(HK109-0.05)))</f>
        <v>1</v>
      </c>
      <c r="HM109" s="15">
        <f>MIN(1,MAX(VLOOKUP(($AJ109-$AI109-$AH109-$AG109-$AF109-$AE109*(1+HM$3))/$AJ109,'Технический лист'!$A:$B,2,1),(HL109-0.05)))</f>
        <v>1</v>
      </c>
      <c r="HN109" s="15">
        <f>MIN(1,MAX(VLOOKUP(($AJ109-$AI109-$AH109-$AG109-$AF109-$AE109*(1+HN$3))/$AJ109,'Технический лист'!$A:$B,2,1),(HM109-0.05)))</f>
        <v>1</v>
      </c>
      <c r="HO109" s="15">
        <f>MIN(1,MAX(VLOOKUP(($AJ109-$AI109-$AH109-$AG109-$AF109-$AE109*(1+HO$3))/$AJ109,'Технический лист'!$A:$B,2,1),(HN109-0.05)))</f>
        <v>1</v>
      </c>
      <c r="HP109" s="15">
        <f>MIN(1,MAX(VLOOKUP(($AJ109-$AI109-$AH109-$AG109-$AF109-$AE109*(1+HP$3))/$AJ109,'Технический лист'!$A:$B,2,1),(HO109-0.05)))</f>
        <v>1</v>
      </c>
      <c r="HQ109" s="15">
        <f>MIN(1,MAX(VLOOKUP(($AJ109-$AI109-$AH109-$AG109-$AF109-$AE109*(1+HQ$3))/$AJ109,'Технический лист'!$A:$B,2,1),(HP109-0.05)))</f>
        <v>1</v>
      </c>
      <c r="HR109" s="15">
        <f>MIN(1,MAX(VLOOKUP(($AJ109-$AI109-$AH109-$AG109-$AF109-$AE109*(1+HR$3))/$AJ109,'Технический лист'!$A:$B,2,1),(HQ109-0.05)))</f>
        <v>1</v>
      </c>
      <c r="HS109" s="15">
        <f>MIN(1,MAX(VLOOKUP(($AJ109-$AI109-$AH109-$AG109-$AF109-$AE109*(1+HS$3))/$AJ109,'Технический лист'!$A:$B,2,1),(HR109-0.05)))</f>
        <v>1</v>
      </c>
      <c r="HT109" s="15">
        <f>MIN(1,MAX(VLOOKUP(($AJ109-$AI109-$AH109-$AG109-$AF109-$AE109*(1+HT$3))/$AJ109,'Технический лист'!$A:$B,2,1),(HS109-0.05)))</f>
        <v>1</v>
      </c>
      <c r="HU109" s="15">
        <f>MIN(1,MAX(VLOOKUP(($AJ109-$AI109-$AH109-$AG109-$AF109-$AE109*(1+HU$3))/$AJ109,'Технический лист'!$A:$B,2,1),(HT109-0.05)))</f>
        <v>1</v>
      </c>
      <c r="HV109" s="15">
        <f>MIN(1,MAX(VLOOKUP(($AJ109-$AI109-$AH109-$AG109-$AF109-$AE109*(1+HV$3))/$AJ109,'Технический лист'!$A:$B,2,1),(HU109-0.05)))</f>
        <v>1</v>
      </c>
      <c r="HW109" s="15">
        <f>MIN(1,MAX(VLOOKUP(($AJ109-$AI109-$AH109-$AG109-$AF109-$AE109*(1+HW$3))/$AJ109,'Технический лист'!$A:$B,2,1),(HV109-0.05)))</f>
        <v>1</v>
      </c>
      <c r="HX109" s="15">
        <f>MIN(1,MAX(VLOOKUP(($AJ109-$AI109-$AH109-$AG109-$AF109-$AE109*(1+HX$3))/$AJ109,'Технический лист'!$A:$B,2,1),(HW109-0.05)))</f>
        <v>1</v>
      </c>
      <c r="HY109" s="15">
        <f>MIN(1,MAX(VLOOKUP(($AJ109-$AI109-$AH109-$AG109-$AF109-$AE109*(1+HY$3))/$AJ109,'Технический лист'!$A:$B,2,1),(HX109-0.05)))</f>
        <v>1</v>
      </c>
      <c r="HZ109" s="15">
        <f>MIN(1,MAX(VLOOKUP(($AJ109-$AI109-$AH109-$AG109-$AF109-$AE109*(1+HZ$3))/$AJ109,'Технический лист'!$A:$B,2,1),(HY109-0.05)))</f>
        <v>1</v>
      </c>
      <c r="IA109" s="15">
        <f>MIN(1,MAX(VLOOKUP(($AJ109-$AI109-$AH109-$AG109-$AF109-$AE109*(1+IA$3))/$AJ109,'Технический лист'!$A:$B,2,1),(HZ109-0.05)))</f>
        <v>1</v>
      </c>
      <c r="IB109" s="15">
        <f>MIN(1,MAX(VLOOKUP(($AJ109-$AI109-$AH109-$AG109-$AF109-$AE109*(1+IB$3))/$AJ109,'Технический лист'!$A:$B,2,1),(IA109-0.05)))</f>
        <v>1</v>
      </c>
      <c r="IC109" s="15">
        <f>MIN(1,MAX(VLOOKUP(($AJ109-$AI109-$AH109-$AG109-$AF109-$AE109*(1+IC$3))/$AJ109,'Технический лист'!$A:$B,2,1),(IB109-0.05)))</f>
        <v>1</v>
      </c>
      <c r="ID109" s="15">
        <f>MIN(1,MAX(VLOOKUP(($AJ109-$AI109-$AH109-$AG109-$AF109-$AE109*(1+ID$3))/$AJ109,'Технический лист'!$A:$B,2,1),(IC109-0.05)))</f>
        <v>1</v>
      </c>
      <c r="IE109" s="15">
        <f>MIN(1,MAX(VLOOKUP(($AJ109-$AI109-$AH109-$AG109-$AF109-$AE109*(1+IE$3))/$AJ109,'Технический лист'!$A:$B,2,1),(ID109-0.05)))</f>
        <v>1</v>
      </c>
      <c r="IF109" s="15">
        <f>MIN(1,MAX(VLOOKUP(($AJ109-$AI109-$AH109-$AG109-$AF109-$AE109*(1+IF$3))/$AJ109,'Технический лист'!$A:$B,2,1),(IE109-0.05)))</f>
        <v>1</v>
      </c>
      <c r="IG109" s="15">
        <f>MIN(1,MAX(VLOOKUP(($AJ109-$AI109-$AH109-$AG109-$AF109-$AE109*(1+IG$3))/$AJ109,'Технический лист'!$A:$B,2,1),(IF109-0.05)))</f>
        <v>1</v>
      </c>
      <c r="IH109" s="15">
        <f>MIN(1,MAX(VLOOKUP(($AJ109-$AI109-$AH109-$AG109-$AF109-$AE109*(1+IH$3))/$AJ109,'Технический лист'!$A:$B,2,1),(IG109-0.05)))</f>
        <v>1</v>
      </c>
      <c r="II109" s="15">
        <f>MIN(1,MAX(VLOOKUP(($AJ109-$AI109-$AH109-$AG109-$AF109-$AE109*(1+II$3))/$AJ109,'Технический лист'!$A:$B,2,1),(IH109-0.05)))</f>
        <v>1</v>
      </c>
      <c r="IJ109" s="15">
        <f>MIN(1,MAX(VLOOKUP(($AJ109-$AI109-$AH109-$AG109-$AF109-$AE109*(1+IJ$3))/$AJ109,'Технический лист'!$A:$B,2,1),(II109-0.05)))</f>
        <v>1</v>
      </c>
      <c r="IK109" s="15">
        <f>MIN(1,MAX(VLOOKUP(($AJ109-$AI109-$AH109-$AG109-$AF109-$AE109*(1+IK$3))/$AJ109,'Технический лист'!$A:$B,2,1),(IJ109-0.05)))</f>
        <v>1</v>
      </c>
      <c r="IL109" s="15">
        <f>MIN(1,MAX(VLOOKUP(($AJ109-$AI109-$AH109-$AG109-$AF109-$AE109*(1+IL$3))/$AJ109,'Технический лист'!$A:$B,2,1),(IK109-0.05)))</f>
        <v>1</v>
      </c>
      <c r="IM109" s="15">
        <f>MIN(1,MAX(VLOOKUP(($AJ109-$AI109-$AH109-$AG109-$AF109-$AE109*(1+IM$3))/$AJ109,'Технический лист'!$A:$B,2,1),(IL109-0.05)))</f>
        <v>1</v>
      </c>
      <c r="IN109" s="15">
        <f>MIN(1,MAX(VLOOKUP(($AJ109-$AI109-$AH109-$AG109-$AF109-$AE109*(1+IN$3))/$AJ109,'Технический лист'!$A:$B,2,1),(IM109-0.05)))</f>
        <v>1</v>
      </c>
      <c r="IO109" s="15">
        <f>MIN(1,MAX(VLOOKUP(($AJ109-$AI109-$AH109-$AG109-$AF109-$AE109*(1+IO$3))/$AJ109,'Технический лист'!$A:$B,2,1),(IN109-0.05)))</f>
        <v>1</v>
      </c>
      <c r="IP109" s="15">
        <f>MIN(1,MAX(VLOOKUP(($AJ109-$AI109-$AH109-$AG109-$AF109-$AE109*(1+IP$3))/$AJ109,'Технический лист'!$A:$B,2,1),(IO109-0.05)))</f>
        <v>1</v>
      </c>
      <c r="IQ109" s="15">
        <f>MIN(1,MAX(VLOOKUP(($AJ109-$AI109-$AH109-$AG109-$AF109-$AE109*(1+IQ$3))/$AJ109,'Технический лист'!$A:$B,2,1),(IP109-0.05)))</f>
        <v>1</v>
      </c>
      <c r="IR109" s="15">
        <f>MIN(1,MAX(VLOOKUP(($AJ109-$AI109-$AH109-$AG109-$AF109-$AE109*(1+IR$3))/$AJ109,'Технический лист'!$A:$B,2,1),(IQ109-0.05)))</f>
        <v>1</v>
      </c>
    </row>
    <row r="110" spans="1:252" ht="43.75">
      <c r="A110" s="89" t="s">
        <v>515</v>
      </c>
      <c r="B110" s="90">
        <v>5</v>
      </c>
      <c r="C110" s="5" t="s">
        <v>68</v>
      </c>
      <c r="D110" s="91">
        <v>32416</v>
      </c>
      <c r="E110" s="91" t="s">
        <v>352</v>
      </c>
      <c r="F110" s="92" t="s">
        <v>75</v>
      </c>
      <c r="G110" s="91" t="s">
        <v>31</v>
      </c>
      <c r="H110" s="91" t="s">
        <v>26</v>
      </c>
      <c r="I110" s="91" t="s">
        <v>102</v>
      </c>
      <c r="J110" s="91" t="s">
        <v>178</v>
      </c>
      <c r="K110" s="91">
        <v>2035</v>
      </c>
      <c r="L110" s="85" t="s">
        <v>64</v>
      </c>
      <c r="M110" s="91" t="s">
        <v>190</v>
      </c>
      <c r="N110" s="91" t="s">
        <v>191</v>
      </c>
      <c r="O110" s="91" t="s">
        <v>193</v>
      </c>
      <c r="P110" s="89" t="s">
        <v>207</v>
      </c>
      <c r="Q110" s="91" t="s">
        <v>270</v>
      </c>
      <c r="R110" s="91" t="s">
        <v>256</v>
      </c>
      <c r="S110" s="82">
        <v>178267</v>
      </c>
      <c r="T110" s="82">
        <v>362738397</v>
      </c>
      <c r="U110" s="81">
        <v>2713</v>
      </c>
      <c r="V110" s="81">
        <v>0</v>
      </c>
      <c r="W110" s="82">
        <v>642474137</v>
      </c>
      <c r="X110" s="112">
        <v>62</v>
      </c>
      <c r="Y110" s="112" t="s">
        <v>416</v>
      </c>
      <c r="Z110" s="113">
        <v>9</v>
      </c>
      <c r="AA110" s="113">
        <v>7</v>
      </c>
      <c r="AB110" s="113">
        <v>4</v>
      </c>
      <c r="AC110" s="99">
        <v>4331.29</v>
      </c>
      <c r="AD110" s="99">
        <f t="shared" si="46"/>
        <v>639.02000000000044</v>
      </c>
      <c r="AE110" s="99">
        <v>4970.3100000000004</v>
      </c>
      <c r="AF110" s="98">
        <f>(Z110+AA110+AB110)*'Ставки аренды'!$B$3/X110</f>
        <v>225.80645161290323</v>
      </c>
      <c r="AG110" s="114">
        <v>0</v>
      </c>
      <c r="AH110" s="94">
        <v>0</v>
      </c>
      <c r="AI110" s="116">
        <f>429559973/511416159*AVERAGE(AJ108,AJ109)</f>
        <v>37074.566427681828</v>
      </c>
      <c r="AJ110" s="117">
        <f>Цены!$D$16</f>
        <v>48600</v>
      </c>
      <c r="AK110" s="94">
        <f>AJ110/Цены!$B$1</f>
        <v>636.91345971129215</v>
      </c>
      <c r="AL110" s="95">
        <f t="shared" si="24"/>
        <v>5196.1164516129038</v>
      </c>
      <c r="AM110" s="95">
        <f t="shared" si="25"/>
        <v>43403.883548387093</v>
      </c>
      <c r="AN110" s="94">
        <f t="shared" si="39"/>
        <v>42270.682879294727</v>
      </c>
      <c r="AO110" s="118">
        <f t="shared" si="40"/>
        <v>0.13023286256595212</v>
      </c>
      <c r="AP110" s="96">
        <f t="shared" si="26"/>
        <v>0.10691597637063588</v>
      </c>
      <c r="AQ110" s="96">
        <f t="shared" si="27"/>
        <v>0.10226975308641977</v>
      </c>
      <c r="AR110" s="96">
        <f t="shared" si="28"/>
        <v>0.95654322728990959</v>
      </c>
      <c r="AS110" s="122">
        <v>1</v>
      </c>
      <c r="AT110" s="121">
        <f t="shared" si="45"/>
        <v>178267</v>
      </c>
      <c r="AU110" s="83">
        <v>0.6</v>
      </c>
      <c r="AV110" s="119">
        <f t="shared" si="41"/>
        <v>0.11796049219558159</v>
      </c>
      <c r="AW110" s="120">
        <f t="shared" si="42"/>
        <v>0.11918834674100626</v>
      </c>
      <c r="AX110" s="120">
        <f t="shared" si="43"/>
        <v>0.11454212345679014</v>
      </c>
      <c r="AY110" s="120">
        <f t="shared" si="44"/>
        <v>0.96101780575652862</v>
      </c>
      <c r="AZ110" s="15">
        <f>MIN(IF($AU110=100%,1,1+VLOOKUP(($AJ110-$AI110-$AH110-$AG110-$AF110-$AE110*(1+AZ$3))/$AJ110,'Технический лист'!$I:$J,2,1)-VLOOKUP($AO110,'Технический лист'!$I:$J,2,1)),1+(1-$AU110))</f>
        <v>1.3699999999999999</v>
      </c>
      <c r="BA110" s="15">
        <f>MIN(IF($AU110=100%,1,1+VLOOKUP(($AJ110-$AI110-$AH110-$AG110-$AF110-$AE110*(1+BA$3))/$AJ110,'Технический лист'!$I:$J,2,1)-VLOOKUP($AO110,'Технический лист'!$I:$J,2,1)),1+(1-$AU110))</f>
        <v>1.3699999999999999</v>
      </c>
      <c r="BB110" s="15">
        <f>MIN(IF($AU110=100%,1,1+VLOOKUP(($AJ110-$AI110-$AH110-$AG110-$AF110-$AE110*(1+BB$3))/$AJ110,'Технический лист'!$I:$J,2,1)-VLOOKUP($AO110,'Технический лист'!$I:$J,2,1)),1+(1-$AU110))</f>
        <v>1.3699999999999999</v>
      </c>
      <c r="BC110" s="15">
        <f>MIN(IF($AU110=100%,1,1+VLOOKUP(($AJ110-$AI110-$AH110-$AG110-$AF110-$AE110*(1+BC$3))/$AJ110,'Технический лист'!$I:$J,2,1)-VLOOKUP($AO110,'Технический лист'!$I:$J,2,1)),1+(1-$AU110))</f>
        <v>1.3699999999999999</v>
      </c>
      <c r="BD110" s="15">
        <f>MIN(IF($AU110=100%,1,1+VLOOKUP(($AJ110-$AI110-$AH110-$AG110-$AF110-$AE110*(1+BD$3))/$AJ110,'Технический лист'!$I:$J,2,1)-VLOOKUP($AO110,'Технический лист'!$I:$J,2,1)),1+(1-$AU110))</f>
        <v>1.3699999999999999</v>
      </c>
      <c r="BE110" s="15">
        <f>MIN(IF($AU110=100%,1,1+VLOOKUP(($AJ110-$AI110-$AH110-$AG110-$AF110-$AE110*(1+BE$3))/$AJ110,'Технический лист'!$I:$J,2,1)-VLOOKUP($AO110,'Технический лист'!$I:$J,2,1)),1+(1-$AU110))</f>
        <v>1.3699999999999999</v>
      </c>
      <c r="BF110" s="15">
        <f>MIN(IF($AU110=100%,1,1+VLOOKUP(($AJ110-$AI110-$AH110-$AG110-$AF110-$AE110*(1+BF$3))/$AJ110,'Технический лист'!$I:$J,2,1)-VLOOKUP($AO110,'Технический лист'!$I:$J,2,1)),1+(1-$AU110))</f>
        <v>1.3699999999999999</v>
      </c>
      <c r="BG110" s="15">
        <f>MIN(IF($AU110=100%,1,1+VLOOKUP(($AJ110-$AI110-$AH110-$AG110-$AF110-$AE110*(1+BG$3))/$AJ110,'Технический лист'!$I:$J,2,1)-VLOOKUP($AO110,'Технический лист'!$I:$J,2,1)),1+(1-$AU110))</f>
        <v>1.3699999999999999</v>
      </c>
      <c r="BH110" s="15">
        <f>MIN(IF($AU110=100%,1,1+VLOOKUP(($AJ110-$AI110-$AH110-$AG110-$AF110-$AE110*(1+BH$3))/$AJ110,'Технический лист'!$I:$J,2,1)-VLOOKUP($AO110,'Технический лист'!$I:$J,2,1)),1+(1-$AU110))</f>
        <v>1.3699999999999999</v>
      </c>
      <c r="BI110" s="15">
        <f>MIN(IF($AU110=100%,1,1+VLOOKUP(($AJ110-$AI110-$AH110-$AG110-$AF110-$AE110*(1+BI$3))/$AJ110,'Технический лист'!$I:$J,2,1)-VLOOKUP($AO110,'Технический лист'!$I:$J,2,1)),1+(1-$AU110))</f>
        <v>1.3699999999999999</v>
      </c>
      <c r="BJ110" s="15">
        <f>MIN(IF($AU110=100%,1,1+VLOOKUP(($AJ110-$AI110-$AH110-$AG110-$AF110-$AE110*(1+BJ$3))/$AJ110,'Технический лист'!$I:$J,2,1)-VLOOKUP($AO110,'Технический лист'!$I:$J,2,1)),1+(1-$AU110))</f>
        <v>1.3699999999999999</v>
      </c>
      <c r="BK110" s="15">
        <f>MIN(IF($AU110=100%,1,1+VLOOKUP(($AJ110-$AI110-$AH110-$AG110-$AF110-$AE110*(1+BK$3))/$AJ110,'Технический лист'!$I:$J,2,1)-VLOOKUP($AO110,'Технический лист'!$I:$J,2,1)),1+(1-$AU110))</f>
        <v>1.3699999999999999</v>
      </c>
      <c r="BL110" s="15">
        <f>MIN(IF($AU110=100%,1,1+VLOOKUP(($AJ110-$AI110-$AH110-$AG110-$AF110-$AE110*(1+BL$3))/$AJ110,'Технический лист'!$I:$J,2,1)-VLOOKUP($AO110,'Технический лист'!$I:$J,2,1)),1+(1-$AU110))</f>
        <v>1.3699999999999999</v>
      </c>
      <c r="BM110" s="15">
        <f>MIN(IF($AU110=100%,1,1+VLOOKUP(($AJ110-$AI110-$AH110-$AG110-$AF110-$AE110*(1+BM$3))/$AJ110,'Технический лист'!$I:$J,2,1)-VLOOKUP($AO110,'Технический лист'!$I:$J,2,1)),1+(1-$AU110))</f>
        <v>1.3699999999999999</v>
      </c>
      <c r="BN110" s="15">
        <f>MIN(IF($AU110=100%,1,1+VLOOKUP(($AJ110-$AI110-$AH110-$AG110-$AF110-$AE110*(1+BN$3))/$AJ110,'Технический лист'!$I:$J,2,1)-VLOOKUP($AO110,'Технический лист'!$I:$J,2,1)),1+(1-$AU110))</f>
        <v>1.3699999999999999</v>
      </c>
      <c r="BO110" s="15">
        <f>MIN(IF($AU110=100%,1,1+VLOOKUP(($AJ110-$AI110-$AH110-$AG110-$AF110-$AE110*(1+BO$3))/$AJ110,'Технический лист'!$I:$J,2,1)-VLOOKUP($AO110,'Технический лист'!$I:$J,2,1)),1+(1-$AU110))</f>
        <v>1.3699999999999999</v>
      </c>
      <c r="BP110" s="15">
        <f>MIN(IF($AU110=100%,1,1+VLOOKUP(($AJ110-$AI110-$AH110-$AG110-$AF110-$AE110*(1+BP$3))/$AJ110,'Технический лист'!$I:$J,2,1)-VLOOKUP($AO110,'Технический лист'!$I:$J,2,1)),1+(1-$AU110))</f>
        <v>1.3699999999999999</v>
      </c>
      <c r="BQ110" s="15">
        <f>MIN(IF($AU110=100%,1,1+VLOOKUP(($AJ110-$AI110-$AH110-$AG110-$AF110-$AE110*(1+BQ$3))/$AJ110,'Технический лист'!$I:$J,2,1)-VLOOKUP($AO110,'Технический лист'!$I:$J,2,1)),1+(1-$AU110))</f>
        <v>1.3699999999999999</v>
      </c>
      <c r="BR110" s="15">
        <f>MIN(IF($AU110=100%,1,1+VLOOKUP(($AJ110-$AI110-$AH110-$AG110-$AF110-$AE110*(1+BR$3))/$AJ110,'Технический лист'!$I:$J,2,1)-VLOOKUP($AO110,'Технический лист'!$I:$J,2,1)),1+(1-$AU110))</f>
        <v>1.3699999999999999</v>
      </c>
      <c r="BS110" s="15">
        <f>MIN(IF($AU110=100%,1,1+VLOOKUP(($AJ110-$AI110-$AH110-$AG110-$AF110-$AE110*(1+BS$3))/$AJ110,'Технический лист'!$I:$J,2,1)-VLOOKUP($AO110,'Технический лист'!$I:$J,2,1)),1+(1-$AU110))</f>
        <v>1.3699999999999999</v>
      </c>
      <c r="BT110" s="15">
        <f>MIN(IF($AU110=100%,1,1+VLOOKUP(($AJ110-$AI110-$AH110-$AG110-$AF110-$AE110*(1+BT$3))/$AJ110,'Технический лист'!$I:$J,2,1)-VLOOKUP($AO110,'Технический лист'!$I:$J,2,1)),1+(1-$AU110))</f>
        <v>1.3699999999999999</v>
      </c>
      <c r="BU110" s="15">
        <f>MIN(IF($AU110=100%,1,1+VLOOKUP(($AJ110-$AI110-$AH110-$AG110-$AF110-$AE110*(1+BU$3))/$AJ110,'Технический лист'!$I:$J,2,1)-VLOOKUP($AO110,'Технический лист'!$I:$J,2,1)),1+(1-$AU110))</f>
        <v>1.3699999999999999</v>
      </c>
      <c r="BV110" s="15">
        <f>MIN(IF($AU110=100%,1,1+VLOOKUP(($AJ110-$AI110-$AH110-$AG110-$AF110-$AE110*(1+BV$3))/$AJ110,'Технический лист'!$I:$J,2,1)-VLOOKUP($AO110,'Технический лист'!$I:$J,2,1)),1+(1-$AU110))</f>
        <v>1.3699999999999999</v>
      </c>
      <c r="BW110" s="15">
        <f>MIN(IF($AU110=100%,1,1+VLOOKUP(($AJ110-$AI110-$AH110-$AG110-$AF110-$AE110*(1+BW$3))/$AJ110,'Технический лист'!$I:$J,2,1)-VLOOKUP($AO110,'Технический лист'!$I:$J,2,1)),1+(1-$AU110))</f>
        <v>1.32</v>
      </c>
      <c r="BX110" s="15">
        <f>MIN(IF($AU110=100%,1,1+VLOOKUP(($AJ110-$AI110-$AH110-$AG110-$AF110-$AE110*(1+BX$3))/$AJ110,'Технический лист'!$I:$J,2,1)-VLOOKUP($AO110,'Технический лист'!$I:$J,2,1)),1+(1-$AU110))</f>
        <v>1.32</v>
      </c>
      <c r="BY110" s="15">
        <f>MIN(IF($AU110=100%,1,1+VLOOKUP(($AJ110-$AI110-$AH110-$AG110-$AF110-$AE110*(1+BY$3))/$AJ110,'Технический лист'!$I:$J,2,1)-VLOOKUP($AO110,'Технический лист'!$I:$J,2,1)),1+(1-$AU110))</f>
        <v>1.32</v>
      </c>
      <c r="BZ110" s="15">
        <f>MIN(IF($AU110=100%,1,1+VLOOKUP(($AJ110-$AI110-$AH110-$AG110-$AF110-$AE110*(1+BZ$3))/$AJ110,'Технический лист'!$I:$J,2,1)-VLOOKUP($AO110,'Технический лист'!$I:$J,2,1)),1+(1-$AU110))</f>
        <v>1.32</v>
      </c>
      <c r="CA110" s="15">
        <f>MIN(IF($AU110=100%,1,1+VLOOKUP(($AJ110-$AI110-$AH110-$AG110-$AF110-$AE110*(1+CA$3))/$AJ110,'Технический лист'!$I:$J,2,1)-VLOOKUP($AO110,'Технический лист'!$I:$J,2,1)),1+(1-$AU110))</f>
        <v>1.32</v>
      </c>
      <c r="CB110" s="15">
        <f>MIN(IF($AU110=100%,1,1+VLOOKUP(($AJ110-$AI110-$AH110-$AG110-$AF110-$AE110*(1+CB$3))/$AJ110,'Технический лист'!$I:$J,2,1)-VLOOKUP($AO110,'Технический лист'!$I:$J,2,1)),1+(1-$AU110))</f>
        <v>1.32</v>
      </c>
      <c r="CC110" s="15">
        <f>MIN(IF($AU110=100%,1,1+VLOOKUP(($AJ110-$AI110-$AH110-$AG110-$AF110-$AE110*(1+CC$3))/$AJ110,'Технический лист'!$I:$J,2,1)-VLOOKUP($AO110,'Технический лист'!$I:$J,2,1)),1+(1-$AU110))</f>
        <v>1.32</v>
      </c>
      <c r="CD110" s="15">
        <f>MIN(IF($AU110=100%,1,1+VLOOKUP(($AJ110-$AI110-$AH110-$AG110-$AF110-$AE110*(1+CD$3))/$AJ110,'Технический лист'!$I:$J,2,1)-VLOOKUP($AO110,'Технический лист'!$I:$J,2,1)),1+(1-$AU110))</f>
        <v>1.32</v>
      </c>
      <c r="CE110" s="15">
        <f>MIN(IF($AU110=100%,1,1+VLOOKUP(($AJ110-$AI110-$AH110-$AG110-$AF110-$AE110*(1+CE$3))/$AJ110,'Технический лист'!$I:$J,2,1)-VLOOKUP($AO110,'Технический лист'!$I:$J,2,1)),1+(1-$AU110))</f>
        <v>1.32</v>
      </c>
      <c r="CF110" s="15">
        <f>MIN(IF($AU110=100%,1,1+VLOOKUP(($AJ110-$AI110-$AH110-$AG110-$AF110-$AE110*(1+CF$3))/$AJ110,'Технический лист'!$I:$J,2,1)-VLOOKUP($AO110,'Технический лист'!$I:$J,2,1)),1+(1-$AU110))</f>
        <v>1.32</v>
      </c>
      <c r="CG110" s="15">
        <f>MIN(IF($AU110=100%,1,1+VLOOKUP(($AJ110-$AI110-$AH110-$AG110-$AF110-$AE110*(1+CG$3))/$AJ110,'Технический лист'!$I:$J,2,1)-VLOOKUP($AO110,'Технический лист'!$I:$J,2,1)),1+(1-$AU110))</f>
        <v>1.2700000000000002</v>
      </c>
      <c r="CH110" s="15">
        <f>MIN(IF($AU110=100%,1,1+VLOOKUP(($AJ110-$AI110-$AH110-$AG110-$AF110-$AE110*(1+CH$3))/$AJ110,'Технический лист'!$I:$J,2,1)-VLOOKUP($AO110,'Технический лист'!$I:$J,2,1)),1+(1-$AU110))</f>
        <v>1.2700000000000002</v>
      </c>
      <c r="CI110" s="15">
        <f>MIN(IF($AU110=100%,1,1+VLOOKUP(($AJ110-$AI110-$AH110-$AG110-$AF110-$AE110*(1+CI$3))/$AJ110,'Технический лист'!$I:$J,2,1)-VLOOKUP($AO110,'Технический лист'!$I:$J,2,1)),1+(1-$AU110))</f>
        <v>1.2700000000000002</v>
      </c>
      <c r="CJ110" s="15">
        <f>MIN(IF($AU110=100%,1,1+VLOOKUP(($AJ110-$AI110-$AH110-$AG110-$AF110-$AE110*(1+CJ$3))/$AJ110,'Технический лист'!$I:$J,2,1)-VLOOKUP($AO110,'Технический лист'!$I:$J,2,1)),1+(1-$AU110))</f>
        <v>1.2700000000000002</v>
      </c>
      <c r="CK110" s="15">
        <f>MIN(IF($AU110=100%,1,1+VLOOKUP(($AJ110-$AI110-$AH110-$AG110-$AF110-$AE110*(1+CK$3))/$AJ110,'Технический лист'!$I:$J,2,1)-VLOOKUP($AO110,'Технический лист'!$I:$J,2,1)),1+(1-$AU110))</f>
        <v>1.2700000000000002</v>
      </c>
      <c r="CL110" s="15">
        <f>MIN(IF($AU110=100%,1,1+VLOOKUP(($AJ110-$AI110-$AH110-$AG110-$AF110-$AE110*(1+CL$3))/$AJ110,'Технический лист'!$I:$J,2,1)-VLOOKUP($AO110,'Технический лист'!$I:$J,2,1)),1+(1-$AU110))</f>
        <v>1.2700000000000002</v>
      </c>
      <c r="CM110" s="15">
        <f>MIN(IF($AU110=100%,1,1+VLOOKUP(($AJ110-$AI110-$AH110-$AG110-$AF110-$AE110*(1+CM$3))/$AJ110,'Технический лист'!$I:$J,2,1)-VLOOKUP($AO110,'Технический лист'!$I:$J,2,1)),1+(1-$AU110))</f>
        <v>1.2700000000000002</v>
      </c>
      <c r="CN110" s="15">
        <f>MIN(IF($AU110=100%,1,1+VLOOKUP(($AJ110-$AI110-$AH110-$AG110-$AF110-$AE110*(1+CN$3))/$AJ110,'Технический лист'!$I:$J,2,1)-VLOOKUP($AO110,'Технический лист'!$I:$J,2,1)),1+(1-$AU110))</f>
        <v>1.2700000000000002</v>
      </c>
      <c r="CO110" s="15">
        <f>MIN(IF($AU110=100%,1,1+VLOOKUP(($AJ110-$AI110-$AH110-$AG110-$AF110-$AE110*(1+CO$3))/$AJ110,'Технический лист'!$I:$J,2,1)-VLOOKUP($AO110,'Технический лист'!$I:$J,2,1)),1+(1-$AU110))</f>
        <v>1.2700000000000002</v>
      </c>
      <c r="CP110" s="15">
        <f>MIN(IF($AU110=100%,1,1+VLOOKUP(($AJ110-$AI110-$AH110-$AG110-$AF110-$AE110*(1+CP$3))/$AJ110,'Технический лист'!$I:$J,2,1)-VLOOKUP($AO110,'Технический лист'!$I:$J,2,1)),1+(1-$AU110))</f>
        <v>1.22</v>
      </c>
      <c r="CQ110" s="15">
        <f>MIN(IF($AU110=100%,1,1+VLOOKUP(($AJ110-$AI110-$AH110-$AG110-$AF110-$AE110*(1+CQ$3))/$AJ110,'Технический лист'!$I:$J,2,1)-VLOOKUP($AO110,'Технический лист'!$I:$J,2,1)),1+(1-$AU110))</f>
        <v>1.22</v>
      </c>
      <c r="CR110" s="15">
        <f>MIN(IF($AU110=100%,1,1+VLOOKUP(($AJ110-$AI110-$AH110-$AG110-$AF110-$AE110*(1+CR$3))/$AJ110,'Технический лист'!$I:$J,2,1)-VLOOKUP($AO110,'Технический лист'!$I:$J,2,1)),1+(1-$AU110))</f>
        <v>1.22</v>
      </c>
      <c r="CS110" s="15">
        <f>MIN(IF($AU110=100%,1,1+VLOOKUP(($AJ110-$AI110-$AH110-$AG110-$AF110-$AE110*(1+CS$3))/$AJ110,'Технический лист'!$I:$J,2,1)-VLOOKUP($AO110,'Технический лист'!$I:$J,2,1)),1+(1-$AU110))</f>
        <v>1.22</v>
      </c>
      <c r="CT110" s="15">
        <f>MIN(IF($AU110=100%,1,1+VLOOKUP(($AJ110-$AI110-$AH110-$AG110-$AF110-$AE110*(1+CT$3))/$AJ110,'Технический лист'!$I:$J,2,1)-VLOOKUP($AO110,'Технический лист'!$I:$J,2,1)),1+(1-$AU110))</f>
        <v>1.22</v>
      </c>
      <c r="CU110" s="15">
        <f>MIN(IF($AU110=100%,1,1+VLOOKUP(($AJ110-$AI110-$AH110-$AG110-$AF110-$AE110*(1+CU$3))/$AJ110,'Технический лист'!$I:$J,2,1)-VLOOKUP($AO110,'Технический лист'!$I:$J,2,1)),1+(1-$AU110))</f>
        <v>1.22</v>
      </c>
      <c r="CV110" s="15">
        <f>MIN(IF($AU110=100%,1,1+VLOOKUP(($AJ110-$AI110-$AH110-$AG110-$AF110-$AE110*(1+CV$3))/$AJ110,'Технический лист'!$I:$J,2,1)-VLOOKUP($AO110,'Технический лист'!$I:$J,2,1)),1+(1-$AU110))</f>
        <v>1.22</v>
      </c>
      <c r="CW110" s="15">
        <f>MIN(IF($AU110=100%,1,1+VLOOKUP(($AJ110-$AI110-$AH110-$AG110-$AF110-$AE110*(1+CW$3))/$AJ110,'Технический лист'!$I:$J,2,1)-VLOOKUP($AO110,'Технический лист'!$I:$J,2,1)),1+(1-$AU110))</f>
        <v>1.22</v>
      </c>
      <c r="CX110" s="15">
        <f>MIN(IF($AU110=100%,1,1+VLOOKUP(($AJ110-$AI110-$AH110-$AG110-$AF110-$AE110*(1+CX$3))/$AJ110,'Технический лист'!$I:$J,2,1)-VLOOKUP($AO110,'Технический лист'!$I:$J,2,1)),1+(1-$AU110))</f>
        <v>1.22</v>
      </c>
      <c r="CY110" s="15">
        <f>MIN(IF($AU110=100%,1,1+VLOOKUP(($AJ110-$AI110-$AH110-$AG110-$AF110-$AE110*(1+CY$3))/$AJ110,'Технический лист'!$I:$J,2,1)-VLOOKUP($AO110,'Технический лист'!$I:$J,2,1)),1+(1-$AU110))</f>
        <v>1.22</v>
      </c>
      <c r="CZ110" s="15">
        <f>MIN(IF($AU110=100%,1,1+VLOOKUP(($AJ110-$AI110-$AH110-$AG110-$AF110-$AE110*(1+CZ$3))/$AJ110,'Технический лист'!$I:$J,2,1)-VLOOKUP($AO110,'Технический лист'!$I:$J,2,1)),1+(1-$AU110))</f>
        <v>1.1699999999999997</v>
      </c>
      <c r="DA110" s="15">
        <f>MIN(IF($AU110=100%,1,1+VLOOKUP(($AJ110-$AI110-$AH110-$AG110-$AF110-$AE110*(1+DA$3))/$AJ110,'Технический лист'!$I:$J,2,1)-VLOOKUP($AO110,'Технический лист'!$I:$J,2,1)),1+(1-$AU110))</f>
        <v>1.1699999999999997</v>
      </c>
      <c r="DB110" s="15">
        <f>MIN(IF($AU110=100%,1,1+VLOOKUP(($AJ110-$AI110-$AH110-$AG110-$AF110-$AE110*(1+DB$3))/$AJ110,'Технический лист'!$I:$J,2,1)-VLOOKUP($AO110,'Технический лист'!$I:$J,2,1)),1+(1-$AU110))</f>
        <v>1.1699999999999997</v>
      </c>
      <c r="DC110" s="15">
        <f>MIN(IF($AU110=100%,1,1+VLOOKUP(($AJ110-$AI110-$AH110-$AG110-$AF110-$AE110*(1+DC$3))/$AJ110,'Технический лист'!$I:$J,2,1)-VLOOKUP($AO110,'Технический лист'!$I:$J,2,1)),1+(1-$AU110))</f>
        <v>1.1699999999999997</v>
      </c>
      <c r="DD110" s="15">
        <f>MIN(IF($AU110=100%,1,1+VLOOKUP(($AJ110-$AI110-$AH110-$AG110-$AF110-$AE110*(1+DD$3))/$AJ110,'Технический лист'!$I:$J,2,1)-VLOOKUP($AO110,'Технический лист'!$I:$J,2,1)),1+(1-$AU110))</f>
        <v>1.1699999999999997</v>
      </c>
      <c r="DE110" s="15">
        <f>MIN(IF($AU110=100%,1,1+VLOOKUP(($AJ110-$AI110-$AH110-$AG110-$AF110-$AE110*(1+DE$3))/$AJ110,'Технический лист'!$I:$J,2,1)-VLOOKUP($AO110,'Технический лист'!$I:$J,2,1)),1+(1-$AU110))</f>
        <v>1.1699999999999997</v>
      </c>
      <c r="DF110" s="15">
        <f>MIN(IF($AU110=100%,1,1+VLOOKUP(($AJ110-$AI110-$AH110-$AG110-$AF110-$AE110*(1+DF$3))/$AJ110,'Технический лист'!$I:$J,2,1)-VLOOKUP($AO110,'Технический лист'!$I:$J,2,1)),1+(1-$AU110))</f>
        <v>1.1699999999999997</v>
      </c>
      <c r="DG110" s="15">
        <f>MIN(IF($AU110=100%,1,1+VLOOKUP(($AJ110-$AI110-$AH110-$AG110-$AF110-$AE110*(1+DG$3))/$AJ110,'Технический лист'!$I:$J,2,1)-VLOOKUP($AO110,'Технический лист'!$I:$J,2,1)),1+(1-$AU110))</f>
        <v>1.1699999999999997</v>
      </c>
      <c r="DH110" s="15">
        <f>MIN(IF($AU110=100%,1,1+VLOOKUP(($AJ110-$AI110-$AH110-$AG110-$AF110-$AE110*(1+DH$3))/$AJ110,'Технический лист'!$I:$J,2,1)-VLOOKUP($AO110,'Технический лист'!$I:$J,2,1)),1+(1-$AU110))</f>
        <v>1.1699999999999997</v>
      </c>
      <c r="DI110" s="15">
        <f>MIN(IF($AU110=100%,1,1+VLOOKUP(($AJ110-$AI110-$AH110-$AG110-$AF110-$AE110*(1+DI$3))/$AJ110,'Технический лист'!$I:$J,2,1)-VLOOKUP($AO110,'Технический лист'!$I:$J,2,1)),1+(1-$AU110))</f>
        <v>1.1699999999999997</v>
      </c>
      <c r="DJ110" s="15">
        <f>MIN(IF($AU110=100%,1,1+VLOOKUP(($AJ110-$AI110-$AH110-$AG110-$AF110-$AE110*(1+DJ$3))/$AJ110,'Технический лист'!$I:$J,2,1)-VLOOKUP($AO110,'Технический лист'!$I:$J,2,1)),1+(1-$AU110))</f>
        <v>1.1249999999999998</v>
      </c>
      <c r="DK110" s="15">
        <f>MIN(IF($AU110=100%,1,1+VLOOKUP(($AJ110-$AI110-$AH110-$AG110-$AF110-$AE110*(1+DK$3))/$AJ110,'Технический лист'!$I:$J,2,1)-VLOOKUP($AO110,'Технический лист'!$I:$J,2,1)),1+(1-$AU110))</f>
        <v>1.1249999999999998</v>
      </c>
      <c r="DL110" s="15">
        <f>MIN(IF($AU110=100%,1,1+VLOOKUP(($AJ110-$AI110-$AH110-$AG110-$AF110-$AE110*(1+DL$3))/$AJ110,'Технический лист'!$I:$J,2,1)-VLOOKUP($AO110,'Технический лист'!$I:$J,2,1)),1+(1-$AU110))</f>
        <v>1.1249999999999998</v>
      </c>
      <c r="DM110" s="15">
        <f>MIN(IF($AU110=100%,1,1+VLOOKUP(($AJ110-$AI110-$AH110-$AG110-$AF110-$AE110*(1+DM$3))/$AJ110,'Технический лист'!$I:$J,2,1)-VLOOKUP($AO110,'Технический лист'!$I:$J,2,1)),1+(1-$AU110))</f>
        <v>1.1249999999999998</v>
      </c>
      <c r="DN110" s="15">
        <f>MIN(IF($AU110=100%,1,1+VLOOKUP(($AJ110-$AI110-$AH110-$AG110-$AF110-$AE110*(1+DN$3))/$AJ110,'Технический лист'!$I:$J,2,1)-VLOOKUP($AO110,'Технический лист'!$I:$J,2,1)),1+(1-$AU110))</f>
        <v>1.1249999999999998</v>
      </c>
      <c r="DO110" s="15">
        <f>MIN(IF($AU110=100%,1,1+VLOOKUP(($AJ110-$AI110-$AH110-$AG110-$AF110-$AE110*(1+DO$3))/$AJ110,'Технический лист'!$I:$J,2,1)-VLOOKUP($AO110,'Технический лист'!$I:$J,2,1)),1+(1-$AU110))</f>
        <v>1.1249999999999998</v>
      </c>
      <c r="DP110" s="15">
        <f>MIN(IF($AU110=100%,1,1+VLOOKUP(($AJ110-$AI110-$AH110-$AG110-$AF110-$AE110*(1+DP$3))/$AJ110,'Технический лист'!$I:$J,2,1)-VLOOKUP($AO110,'Технический лист'!$I:$J,2,1)),1+(1-$AU110))</f>
        <v>1.1249999999999998</v>
      </c>
      <c r="DQ110" s="15">
        <f>MIN(IF($AU110=100%,1,1+VLOOKUP(($AJ110-$AI110-$AH110-$AG110-$AF110-$AE110*(1+DQ$3))/$AJ110,'Технический лист'!$I:$J,2,1)-VLOOKUP($AO110,'Технический лист'!$I:$J,2,1)),1+(1-$AU110))</f>
        <v>1.1249999999999998</v>
      </c>
      <c r="DR110" s="15">
        <f>MIN(IF($AU110=100%,1,1+VLOOKUP(($AJ110-$AI110-$AH110-$AG110-$AF110-$AE110*(1+DR$3))/$AJ110,'Технический лист'!$I:$J,2,1)-VLOOKUP($AO110,'Технический лист'!$I:$J,2,1)),1+(1-$AU110))</f>
        <v>1.1249999999999998</v>
      </c>
      <c r="DS110" s="15">
        <f>MIN(IF($AU110=100%,1,1+VLOOKUP(($AJ110-$AI110-$AH110-$AG110-$AF110-$AE110*(1+DS$3))/$AJ110,'Технический лист'!$I:$J,2,1)-VLOOKUP($AO110,'Технический лист'!$I:$J,2,1)),1+(1-$AU110))</f>
        <v>1.1249999999999998</v>
      </c>
      <c r="DT110" s="15">
        <f>MIN(IF($AU110=100%,1,1+VLOOKUP(($AJ110-$AI110-$AH110-$AG110-$AF110-$AE110*(1+DT$3))/$AJ110,'Технический лист'!$I:$J,2,1)-VLOOKUP($AO110,'Технический лист'!$I:$J,2,1)),1+(1-$AU110))</f>
        <v>1.0799999999999998</v>
      </c>
      <c r="DU110" s="15">
        <f>MIN(IF($AU110=100%,1,1+VLOOKUP(($AJ110-$AI110-$AH110-$AG110-$AF110-$AE110*(1+DU$3))/$AJ110,'Технический лист'!$I:$J,2,1)-VLOOKUP($AO110,'Технический лист'!$I:$J,2,1)),1+(1-$AU110))</f>
        <v>1.0799999999999998</v>
      </c>
      <c r="DV110" s="15">
        <f>MIN(IF($AU110=100%,1,1+VLOOKUP(($AJ110-$AI110-$AH110-$AG110-$AF110-$AE110*(1+DV$3))/$AJ110,'Технический лист'!$I:$J,2,1)-VLOOKUP($AO110,'Технический лист'!$I:$J,2,1)),1+(1-$AU110))</f>
        <v>1.0799999999999998</v>
      </c>
      <c r="DW110" s="15">
        <f>MIN(IF($AU110=100%,1,1+VLOOKUP(($AJ110-$AI110-$AH110-$AG110-$AF110-$AE110*(1+DW$3))/$AJ110,'Технический лист'!$I:$J,2,1)-VLOOKUP($AO110,'Технический лист'!$I:$J,2,1)),1+(1-$AU110))</f>
        <v>1.0799999999999998</v>
      </c>
      <c r="DX110" s="15">
        <f>MIN(IF($AU110=100%,1,1+VLOOKUP(($AJ110-$AI110-$AH110-$AG110-$AF110-$AE110*(1+DX$3))/$AJ110,'Технический лист'!$I:$J,2,1)-VLOOKUP($AO110,'Технический лист'!$I:$J,2,1)),1+(1-$AU110))</f>
        <v>1.0799999999999998</v>
      </c>
      <c r="DY110" s="15">
        <f>MIN(IF($AU110=100%,1,1+VLOOKUP(($AJ110-$AI110-$AH110-$AG110-$AF110-$AE110*(1+DY$3))/$AJ110,'Технический лист'!$I:$J,2,1)-VLOOKUP($AO110,'Технический лист'!$I:$J,2,1)),1+(1-$AU110))</f>
        <v>1.0799999999999998</v>
      </c>
      <c r="DZ110" s="15">
        <f>MIN(IF($AU110=100%,1,1+VLOOKUP(($AJ110-$AI110-$AH110-$AG110-$AF110-$AE110*(1+DZ$3))/$AJ110,'Технический лист'!$I:$J,2,1)-VLOOKUP($AO110,'Технический лист'!$I:$J,2,1)),1+(1-$AU110))</f>
        <v>1.0799999999999998</v>
      </c>
      <c r="EA110" s="15">
        <f>MIN(IF($AU110=100%,1,1+VLOOKUP(($AJ110-$AI110-$AH110-$AG110-$AF110-$AE110*(1+EA$3))/$AJ110,'Технический лист'!$I:$J,2,1)-VLOOKUP($AO110,'Технический лист'!$I:$J,2,1)),1+(1-$AU110))</f>
        <v>1.0799999999999998</v>
      </c>
      <c r="EB110" s="15">
        <f>MIN(IF($AU110=100%,1,1+VLOOKUP(($AJ110-$AI110-$AH110-$AG110-$AF110-$AE110*(1+EB$3))/$AJ110,'Технический лист'!$I:$J,2,1)-VLOOKUP($AO110,'Технический лист'!$I:$J,2,1)),1+(1-$AU110))</f>
        <v>1.0799999999999998</v>
      </c>
      <c r="EC110" s="15">
        <f>MIN(IF($AU110=100%,1,1+VLOOKUP(($AJ110-$AI110-$AH110-$AG110-$AF110-$AE110*(1+EC$3))/$AJ110,'Технический лист'!$I:$J,2,1)-VLOOKUP($AO110,'Технический лист'!$I:$J,2,1)),1+(1-$AU110))</f>
        <v>1.0399999999999998</v>
      </c>
      <c r="ED110" s="15">
        <f>MIN(IF($AU110=100%,1,1+VLOOKUP(($AJ110-$AI110-$AH110-$AG110-$AF110-$AE110*(1+ED$3))/$AJ110,'Технический лист'!$I:$J,2,1)-VLOOKUP($AO110,'Технический лист'!$I:$J,2,1)),1+(1-$AU110))</f>
        <v>1.0399999999999998</v>
      </c>
      <c r="EE110" s="15">
        <f>MIN(IF($AU110=100%,1,1+VLOOKUP(($AJ110-$AI110-$AH110-$AG110-$AF110-$AE110*(1+EE$3))/$AJ110,'Технический лист'!$I:$J,2,1)-VLOOKUP($AO110,'Технический лист'!$I:$J,2,1)),1+(1-$AU110))</f>
        <v>1.0399999999999998</v>
      </c>
      <c r="EF110" s="15">
        <f>MIN(IF($AU110=100%,1,1+VLOOKUP(($AJ110-$AI110-$AH110-$AG110-$AF110-$AE110*(1+EF$3))/$AJ110,'Технический лист'!$I:$J,2,1)-VLOOKUP($AO110,'Технический лист'!$I:$J,2,1)),1+(1-$AU110))</f>
        <v>1.0399999999999998</v>
      </c>
      <c r="EG110" s="15">
        <f>MIN(IF($AU110=100%,1,1+VLOOKUP(($AJ110-$AI110-$AH110-$AG110-$AF110-$AE110*(1+EG$3))/$AJ110,'Технический лист'!$I:$J,2,1)-VLOOKUP($AO110,'Технический лист'!$I:$J,2,1)),1+(1-$AU110))</f>
        <v>1.0399999999999998</v>
      </c>
      <c r="EH110" s="15">
        <f>MIN(IF($AU110=100%,1,1+VLOOKUP(($AJ110-$AI110-$AH110-$AG110-$AF110-$AE110*(1+EH$3))/$AJ110,'Технический лист'!$I:$J,2,1)-VLOOKUP($AO110,'Технический лист'!$I:$J,2,1)),1+(1-$AU110))</f>
        <v>1.0399999999999998</v>
      </c>
      <c r="EI110" s="15">
        <f>MIN(IF($AU110=100%,1,1+VLOOKUP(($AJ110-$AI110-$AH110-$AG110-$AF110-$AE110*(1+EI$3))/$AJ110,'Технический лист'!$I:$J,2,1)-VLOOKUP($AO110,'Технический лист'!$I:$J,2,1)),1+(1-$AU110))</f>
        <v>1.0399999999999998</v>
      </c>
      <c r="EJ110" s="15">
        <f>MIN(IF($AU110=100%,1,1+VLOOKUP(($AJ110-$AI110-$AH110-$AG110-$AF110-$AE110*(1+EJ$3))/$AJ110,'Технический лист'!$I:$J,2,1)-VLOOKUP($AO110,'Технический лист'!$I:$J,2,1)),1+(1-$AU110))</f>
        <v>1.0399999999999998</v>
      </c>
      <c r="EK110" s="15">
        <f>MIN(IF($AU110=100%,1,1+VLOOKUP(($AJ110-$AI110-$AH110-$AG110-$AF110-$AE110*(1+EK$3))/$AJ110,'Технический лист'!$I:$J,2,1)-VLOOKUP($AO110,'Технический лист'!$I:$J,2,1)),1+(1-$AU110))</f>
        <v>1.0399999999999998</v>
      </c>
      <c r="EL110" s="15">
        <f>MIN(IF($AU110=100%,1,1+VLOOKUP(($AJ110-$AI110-$AH110-$AG110-$AF110-$AE110*(1+EL$3))/$AJ110,'Технический лист'!$I:$J,2,1)-VLOOKUP($AO110,'Технический лист'!$I:$J,2,1)),1+(1-$AU110))</f>
        <v>1.0399999999999998</v>
      </c>
      <c r="EM110" s="15">
        <f>MIN(IF($AU110=100%,1,1+VLOOKUP(($AJ110-$AI110-$AH110-$AG110-$AF110-$AE110*(1+EM$3))/$AJ110,'Технический лист'!$I:$J,2,1)-VLOOKUP($AO110,'Технический лист'!$I:$J,2,1)),1+(1-$AU110))</f>
        <v>0.99999999999999978</v>
      </c>
      <c r="EN110" s="15">
        <f>MIN(IF($AU110=100%,1,1+VLOOKUP(($AJ110-$AI110-$AH110-$AG110-$AF110-$AE110*(1+EN$3))/$AJ110,'Технический лист'!$I:$J,2,1)-VLOOKUP($AO110,'Технический лист'!$I:$J,2,1)),1+(1-$AU110))</f>
        <v>0.99999999999999978</v>
      </c>
      <c r="EO110" s="15">
        <f>MIN(IF($AU110=100%,1,1+VLOOKUP(($AJ110-$AI110-$AH110-$AG110-$AF110-$AE110*(1+EO$3))/$AJ110,'Технический лист'!$I:$J,2,1)-VLOOKUP($AO110,'Технический лист'!$I:$J,2,1)),1+(1-$AU110))</f>
        <v>0.99999999999999978</v>
      </c>
      <c r="EP110" s="15">
        <f>MIN(IF($AU110=100%,1,1+VLOOKUP(($AJ110-$AI110-$AH110-$AG110-$AF110-$AE110*(1+EP$3))/$AJ110,'Технический лист'!$I:$J,2,1)-VLOOKUP($AO110,'Технический лист'!$I:$J,2,1)),1+(1-$AU110))</f>
        <v>0.99999999999999978</v>
      </c>
      <c r="EQ110" s="15">
        <f>MIN(IF($AU110=100%,1,1+VLOOKUP(($AJ110-$AI110-$AH110-$AG110-$AF110-$AE110*(1+EQ$3))/$AJ110,'Технический лист'!$I:$J,2,1)-VLOOKUP($AO110,'Технический лист'!$I:$J,2,1)),1+(1-$AU110))</f>
        <v>0.99999999999999978</v>
      </c>
      <c r="ER110" s="15">
        <f>MIN(IF($AU110=100%,1,1+VLOOKUP(($AJ110-$AI110-$AH110-$AG110-$AF110-$AE110*(1+ER$3))/$AJ110,'Технический лист'!$I:$J,2,1)-VLOOKUP($AO110,'Технический лист'!$I:$J,2,1)),1+(1-$AU110))</f>
        <v>0.99999999999999978</v>
      </c>
      <c r="ES110" s="15">
        <f>MIN(IF($AU110=100%,1,1+VLOOKUP(($AJ110-$AI110-$AH110-$AG110-$AF110-$AE110*(1+ES$3))/$AJ110,'Технический лист'!$I:$J,2,1)-VLOOKUP($AO110,'Технический лист'!$I:$J,2,1)),1+(1-$AU110))</f>
        <v>0.99999999999999978</v>
      </c>
      <c r="ET110" s="15">
        <f>MIN(IF($AU110=100%,1,1+VLOOKUP(($AJ110-$AI110-$AH110-$AG110-$AF110-$AE110*(1+ET$3))/$AJ110,'Технический лист'!$I:$J,2,1)-VLOOKUP($AO110,'Технический лист'!$I:$J,2,1)),1+(1-$AU110))</f>
        <v>0.99999999999999978</v>
      </c>
      <c r="EU110" s="15">
        <f>MIN(IF($AU110=100%,1,1+VLOOKUP(($AJ110-$AI110-$AH110-$AG110-$AF110-$AE110*(1+EU$3))/$AJ110,'Технический лист'!$I:$J,2,1)-VLOOKUP($AO110,'Технический лист'!$I:$J,2,1)),1+(1-$AU110))</f>
        <v>0.99999999999999978</v>
      </c>
      <c r="EV110" s="111">
        <v>1</v>
      </c>
      <c r="EW110" s="15">
        <f>MIN(1,MAX(VLOOKUP(($AJ110-$AI110-$AH110-$AG110-$AF110-$AE110*(1+EW$3))/$AJ110,'Технический лист'!$A:$B,2,1),(EV110-0.05)))</f>
        <v>1</v>
      </c>
      <c r="EX110" s="15">
        <f>MIN(1,MAX(VLOOKUP(($AJ110-$AI110-$AH110-$AG110-$AF110-$AE110*(1+EX$3))/$AJ110,'Технический лист'!$A:$B,2,1),(EW110-0.05)))</f>
        <v>1</v>
      </c>
      <c r="EY110" s="15">
        <f>MIN(1,MAX(VLOOKUP(($AJ110-$AI110-$AH110-$AG110-$AF110-$AE110*(1+EY$3))/$AJ110,'Технический лист'!$A:$B,2,1),(EX110-0.05)))</f>
        <v>1</v>
      </c>
      <c r="EZ110" s="15">
        <f>MIN(1,MAX(VLOOKUP(($AJ110-$AI110-$AH110-$AG110-$AF110-$AE110*(1+EZ$3))/$AJ110,'Технический лист'!$A:$B,2,1),(EY110-0.05)))</f>
        <v>1</v>
      </c>
      <c r="FA110" s="15">
        <f>MIN(1,MAX(VLOOKUP(($AJ110-$AI110-$AH110-$AG110-$AF110-$AE110*(1+FA$3))/$AJ110,'Технический лист'!$A:$B,2,1),(EZ110-0.05)))</f>
        <v>1</v>
      </c>
      <c r="FB110" s="15">
        <f>MIN(1,MAX(VLOOKUP(($AJ110-$AI110-$AH110-$AG110-$AF110-$AE110*(1+FB$3))/$AJ110,'Технический лист'!$A:$B,2,1),(FA110-0.05)))</f>
        <v>1</v>
      </c>
      <c r="FC110" s="15">
        <f>MIN(1,MAX(VLOOKUP(($AJ110-$AI110-$AH110-$AG110-$AF110-$AE110*(1+FC$3))/$AJ110,'Технический лист'!$A:$B,2,1),(FB110-0.05)))</f>
        <v>1</v>
      </c>
      <c r="FD110" s="15">
        <f>MIN(1,MAX(VLOOKUP(($AJ110-$AI110-$AH110-$AG110-$AF110-$AE110*(1+FD$3))/$AJ110,'Технический лист'!$A:$B,2,1),(FC110-0.05)))</f>
        <v>1</v>
      </c>
      <c r="FE110" s="15">
        <f>MIN(1,MAX(VLOOKUP(($AJ110-$AI110-$AH110-$AG110-$AF110-$AE110*(1+FE$3))/$AJ110,'Технический лист'!$A:$B,2,1),(FD110-0.05)))</f>
        <v>1</v>
      </c>
      <c r="FF110" s="15">
        <f>MIN(1,MAX(VLOOKUP(($AJ110-$AI110-$AH110-$AG110-$AF110-$AE110*(1+FF$3))/$AJ110,'Технический лист'!$A:$B,2,1),(FE110-0.05)))</f>
        <v>1</v>
      </c>
      <c r="FG110" s="15">
        <f>MIN(1,MAX(VLOOKUP(($AJ110-$AI110-$AH110-$AG110-$AF110-$AE110*(1+FG$3))/$AJ110,'Технический лист'!$A:$B,2,1),(FF110-0.05)))</f>
        <v>1</v>
      </c>
      <c r="FH110" s="15">
        <f>MIN(1,MAX(VLOOKUP(($AJ110-$AI110-$AH110-$AG110-$AF110-$AE110*(1+FH$3))/$AJ110,'Технический лист'!$A:$B,2,1),(FG110-0.05)))</f>
        <v>1</v>
      </c>
      <c r="FI110" s="15">
        <f>MIN(1,MAX(VLOOKUP(($AJ110-$AI110-$AH110-$AG110-$AF110-$AE110*(1+FI$3))/$AJ110,'Технический лист'!$A:$B,2,1),(FH110-0.05)))</f>
        <v>1</v>
      </c>
      <c r="FJ110" s="15">
        <f>MIN(1,MAX(VLOOKUP(($AJ110-$AI110-$AH110-$AG110-$AF110-$AE110*(1+FJ$3))/$AJ110,'Технический лист'!$A:$B,2,1),(FI110-0.05)))</f>
        <v>1</v>
      </c>
      <c r="FK110" s="15">
        <f>MIN(1,MAX(VLOOKUP(($AJ110-$AI110-$AH110-$AG110-$AF110-$AE110*(1+FK$3))/$AJ110,'Технический лист'!$A:$B,2,1),(FJ110-0.05)))</f>
        <v>1</v>
      </c>
      <c r="FL110" s="15">
        <f>MIN(1,MAX(VLOOKUP(($AJ110-$AI110-$AH110-$AG110-$AF110-$AE110*(1+FL$3))/$AJ110,'Технический лист'!$A:$B,2,1),(FK110-0.05)))</f>
        <v>1</v>
      </c>
      <c r="FM110" s="15">
        <f>MIN(1,MAX(VLOOKUP(($AJ110-$AI110-$AH110-$AG110-$AF110-$AE110*(1+FM$3))/$AJ110,'Технический лист'!$A:$B,2,1),(FL110-0.05)))</f>
        <v>1</v>
      </c>
      <c r="FN110" s="15">
        <f>MIN(1,MAX(VLOOKUP(($AJ110-$AI110-$AH110-$AG110-$AF110-$AE110*(1+FN$3))/$AJ110,'Технический лист'!$A:$B,2,1),(FM110-0.05)))</f>
        <v>1</v>
      </c>
      <c r="FO110" s="15">
        <f>MIN(1,MAX(VLOOKUP(($AJ110-$AI110-$AH110-$AG110-$AF110-$AE110*(1+FO$3))/$AJ110,'Технический лист'!$A:$B,2,1),(FN110-0.05)))</f>
        <v>1</v>
      </c>
      <c r="FP110" s="15">
        <f>MIN(1,MAX(VLOOKUP(($AJ110-$AI110-$AH110-$AG110-$AF110-$AE110*(1+FP$3))/$AJ110,'Технический лист'!$A:$B,2,1),(FO110-0.05)))</f>
        <v>1</v>
      </c>
      <c r="FQ110" s="15">
        <f>MIN(1,MAX(VLOOKUP(($AJ110-$AI110-$AH110-$AG110-$AF110-$AE110*(1+FQ$3))/$AJ110,'Технический лист'!$A:$B,2,1),(FP110-0.05)))</f>
        <v>1</v>
      </c>
      <c r="FR110" s="15">
        <f>MIN(1,MAX(VLOOKUP(($AJ110-$AI110-$AH110-$AG110-$AF110-$AE110*(1+FR$3))/$AJ110,'Технический лист'!$A:$B,2,1),(FQ110-0.05)))</f>
        <v>1</v>
      </c>
      <c r="FS110" s="15">
        <f>MIN(1,MAX(VLOOKUP(($AJ110-$AI110-$AH110-$AG110-$AF110-$AE110*(1+FS$3))/$AJ110,'Технический лист'!$A:$B,2,1),(FR110-0.05)))</f>
        <v>1</v>
      </c>
      <c r="FT110" s="15">
        <f>MIN(1,MAX(VLOOKUP(($AJ110-$AI110-$AH110-$AG110-$AF110-$AE110*(1+FT$3))/$AJ110,'Технический лист'!$A:$B,2,1),(FS110-0.05)))</f>
        <v>1</v>
      </c>
      <c r="FU110" s="15">
        <f>MIN(1,MAX(VLOOKUP(($AJ110-$AI110-$AH110-$AG110-$AF110-$AE110*(1+FU$3))/$AJ110,'Технический лист'!$A:$B,2,1),(FT110-0.05)))</f>
        <v>1</v>
      </c>
      <c r="FV110" s="15">
        <f>MIN(1,MAX(VLOOKUP(($AJ110-$AI110-$AH110-$AG110-$AF110-$AE110*(1+FV$3))/$AJ110,'Технический лист'!$A:$B,2,1),(FU110-0.05)))</f>
        <v>1</v>
      </c>
      <c r="FW110" s="15">
        <f>MIN(1,MAX(VLOOKUP(($AJ110-$AI110-$AH110-$AG110-$AF110-$AE110*(1+FW$3))/$AJ110,'Технический лист'!$A:$B,2,1),(FV110-0.05)))</f>
        <v>1</v>
      </c>
      <c r="FX110" s="15">
        <f>MIN(1,MAX(VLOOKUP(($AJ110-$AI110-$AH110-$AG110-$AF110-$AE110*(1+FX$3))/$AJ110,'Технический лист'!$A:$B,2,1),(FW110-0.05)))</f>
        <v>1</v>
      </c>
      <c r="FY110" s="15">
        <f>MIN(1,MAX(VLOOKUP(($AJ110-$AI110-$AH110-$AG110-$AF110-$AE110*(1+FY$3))/$AJ110,'Технический лист'!$A:$B,2,1),(FX110-0.05)))</f>
        <v>1</v>
      </c>
      <c r="FZ110" s="15">
        <f>MIN(1,MAX(VLOOKUP(($AJ110-$AI110-$AH110-$AG110-$AF110-$AE110*(1+FZ$3))/$AJ110,'Технический лист'!$A:$B,2,1),(FY110-0.05)))</f>
        <v>1</v>
      </c>
      <c r="GA110" s="15">
        <f>MIN(1,MAX(VLOOKUP(($AJ110-$AI110-$AH110-$AG110-$AF110-$AE110*(1+GA$3))/$AJ110,'Технический лист'!$A:$B,2,1),(FZ110-0.05)))</f>
        <v>1</v>
      </c>
      <c r="GB110" s="15">
        <f>MIN(1,MAX(VLOOKUP(($AJ110-$AI110-$AH110-$AG110-$AF110-$AE110*(1+GB$3))/$AJ110,'Технический лист'!$A:$B,2,1),(GA110-0.05)))</f>
        <v>1</v>
      </c>
      <c r="GC110" s="15">
        <f>MIN(1,MAX(VLOOKUP(($AJ110-$AI110-$AH110-$AG110-$AF110-$AE110*(1+GC$3))/$AJ110,'Технический лист'!$A:$B,2,1),(GB110-0.05)))</f>
        <v>1</v>
      </c>
      <c r="GD110" s="15">
        <f>MIN(1,MAX(VLOOKUP(($AJ110-$AI110-$AH110-$AG110-$AF110-$AE110*(1+GD$3))/$AJ110,'Технический лист'!$A:$B,2,1),(GC110-0.05)))</f>
        <v>1</v>
      </c>
      <c r="GE110" s="15">
        <f>MIN(1,MAX(VLOOKUP(($AJ110-$AI110-$AH110-$AG110-$AF110-$AE110*(1+GE$3))/$AJ110,'Технический лист'!$A:$B,2,1),(GD110-0.05)))</f>
        <v>1</v>
      </c>
      <c r="GF110" s="15">
        <f>MIN(1,MAX(VLOOKUP(($AJ110-$AI110-$AH110-$AG110-$AF110-$AE110*(1+GF$3))/$AJ110,'Технический лист'!$A:$B,2,1),(GE110-0.05)))</f>
        <v>1</v>
      </c>
      <c r="GG110" s="15">
        <f>MIN(1,MAX(VLOOKUP(($AJ110-$AI110-$AH110-$AG110-$AF110-$AE110*(1+GG$3))/$AJ110,'Технический лист'!$A:$B,2,1),(GF110-0.05)))</f>
        <v>1</v>
      </c>
      <c r="GH110" s="15">
        <f>MIN(1,MAX(VLOOKUP(($AJ110-$AI110-$AH110-$AG110-$AF110-$AE110*(1+GH$3))/$AJ110,'Технический лист'!$A:$B,2,1),(GG110-0.05)))</f>
        <v>1</v>
      </c>
      <c r="GI110" s="15">
        <f>MIN(1,MAX(VLOOKUP(($AJ110-$AI110-$AH110-$AG110-$AF110-$AE110*(1+GI$3))/$AJ110,'Технический лист'!$A:$B,2,1),(GH110-0.05)))</f>
        <v>1</v>
      </c>
      <c r="GJ110" s="15">
        <f>MIN(1,MAX(VLOOKUP(($AJ110-$AI110-$AH110-$AG110-$AF110-$AE110*(1+GJ$3))/$AJ110,'Технический лист'!$A:$B,2,1),(GI110-0.05)))</f>
        <v>1</v>
      </c>
      <c r="GK110" s="15">
        <f>MIN(1,MAX(VLOOKUP(($AJ110-$AI110-$AH110-$AG110-$AF110-$AE110*(1+GK$3))/$AJ110,'Технический лист'!$A:$B,2,1),(GJ110-0.05)))</f>
        <v>1</v>
      </c>
      <c r="GL110" s="15">
        <f>MIN(1,MAX(VLOOKUP(($AJ110-$AI110-$AH110-$AG110-$AF110-$AE110*(1+GL$3))/$AJ110,'Технический лист'!$A:$B,2,1),(GK110-0.05)))</f>
        <v>1</v>
      </c>
      <c r="GM110" s="15">
        <f>MIN(1,MAX(VLOOKUP(($AJ110-$AI110-$AH110-$AG110-$AF110-$AE110*(1+GM$3))/$AJ110,'Технический лист'!$A:$B,2,1),(GL110-0.05)))</f>
        <v>1</v>
      </c>
      <c r="GN110" s="15">
        <f>MIN(1,MAX(VLOOKUP(($AJ110-$AI110-$AH110-$AG110-$AF110-$AE110*(1+GN$3))/$AJ110,'Технический лист'!$A:$B,2,1),(GM110-0.05)))</f>
        <v>1</v>
      </c>
      <c r="GO110" s="15">
        <f>MIN(1,MAX(VLOOKUP(($AJ110-$AI110-$AH110-$AG110-$AF110-$AE110*(1+GO$3))/$AJ110,'Технический лист'!$A:$B,2,1),(GN110-0.05)))</f>
        <v>1</v>
      </c>
      <c r="GP110" s="15">
        <f>MIN(1,MAX(VLOOKUP(($AJ110-$AI110-$AH110-$AG110-$AF110-$AE110*(1+GP$3))/$AJ110,'Технический лист'!$A:$B,2,1),(GO110-0.05)))</f>
        <v>1</v>
      </c>
      <c r="GQ110" s="15">
        <f>MIN(1,MAX(VLOOKUP(($AJ110-$AI110-$AH110-$AG110-$AF110-$AE110*(1+GQ$3))/$AJ110,'Технический лист'!$A:$B,2,1),(GP110-0.05)))</f>
        <v>1</v>
      </c>
      <c r="GR110" s="15">
        <f>MIN(1,MAX(VLOOKUP(($AJ110-$AI110-$AH110-$AG110-$AF110-$AE110*(1+GR$3))/$AJ110,'Технический лист'!$A:$B,2,1),(GQ110-0.05)))</f>
        <v>1</v>
      </c>
      <c r="GS110" s="15">
        <f>MIN(1,MAX(VLOOKUP(($AJ110-$AI110-$AH110-$AG110-$AF110-$AE110*(1+GS$3))/$AJ110,'Технический лист'!$A:$B,2,1),(GR110-0.05)))</f>
        <v>1</v>
      </c>
      <c r="GT110" s="15">
        <f>MIN(1,MAX(VLOOKUP(($AJ110-$AI110-$AH110-$AG110-$AF110-$AE110*(1+GT$3))/$AJ110,'Технический лист'!$A:$B,2,1),(GS110-0.05)))</f>
        <v>1</v>
      </c>
      <c r="GU110" s="15">
        <f>MIN(1,MAX(VLOOKUP(($AJ110-$AI110-$AH110-$AG110-$AF110-$AE110*(1+GU$3))/$AJ110,'Технический лист'!$A:$B,2,1),(GT110-0.05)))</f>
        <v>1</v>
      </c>
      <c r="GV110" s="15">
        <f>MIN(1,MAX(VLOOKUP(($AJ110-$AI110-$AH110-$AG110-$AF110-$AE110*(1+GV$3))/$AJ110,'Технический лист'!$A:$B,2,1),(GU110-0.05)))</f>
        <v>1</v>
      </c>
      <c r="GW110" s="15">
        <f>MIN(1,MAX(VLOOKUP(($AJ110-$AI110-$AH110-$AG110-$AF110-$AE110*(1+GW$3))/$AJ110,'Технический лист'!$A:$B,2,1),(GV110-0.05)))</f>
        <v>1</v>
      </c>
      <c r="GX110" s="15">
        <f>MIN(1,MAX(VLOOKUP(($AJ110-$AI110-$AH110-$AG110-$AF110-$AE110*(1+GX$3))/$AJ110,'Технический лист'!$A:$B,2,1),(GW110-0.05)))</f>
        <v>1</v>
      </c>
      <c r="GY110" s="15">
        <f>MIN(1,MAX(VLOOKUP(($AJ110-$AI110-$AH110-$AG110-$AF110-$AE110*(1+GY$3))/$AJ110,'Технический лист'!$A:$B,2,1),(GX110-0.05)))</f>
        <v>1</v>
      </c>
      <c r="GZ110" s="15">
        <f>MIN(1,MAX(VLOOKUP(($AJ110-$AI110-$AH110-$AG110-$AF110-$AE110*(1+GZ$3))/$AJ110,'Технический лист'!$A:$B,2,1),(GY110-0.05)))</f>
        <v>1</v>
      </c>
      <c r="HA110" s="15">
        <f>MIN(1,MAX(VLOOKUP(($AJ110-$AI110-$AH110-$AG110-$AF110-$AE110*(1+HA$3))/$AJ110,'Технический лист'!$A:$B,2,1),(GZ110-0.05)))</f>
        <v>1</v>
      </c>
      <c r="HB110" s="15">
        <f>MIN(1,MAX(VLOOKUP(($AJ110-$AI110-$AH110-$AG110-$AF110-$AE110*(1+HB$3))/$AJ110,'Технический лист'!$A:$B,2,1),(HA110-0.05)))</f>
        <v>1</v>
      </c>
      <c r="HC110" s="15">
        <f>MIN(1,MAX(VLOOKUP(($AJ110-$AI110-$AH110-$AG110-$AF110-$AE110*(1+HC$3))/$AJ110,'Технический лист'!$A:$B,2,1),(HB110-0.05)))</f>
        <v>1</v>
      </c>
      <c r="HD110" s="15">
        <f>MIN(1,MAX(VLOOKUP(($AJ110-$AI110-$AH110-$AG110-$AF110-$AE110*(1+HD$3))/$AJ110,'Технический лист'!$A:$B,2,1),(HC110-0.05)))</f>
        <v>1</v>
      </c>
      <c r="HE110" s="15">
        <f>MIN(1,MAX(VLOOKUP(($AJ110-$AI110-$AH110-$AG110-$AF110-$AE110*(1+HE$3))/$AJ110,'Технический лист'!$A:$B,2,1),(HD110-0.05)))</f>
        <v>1</v>
      </c>
      <c r="HF110" s="15">
        <f>MIN(1,MAX(VLOOKUP(($AJ110-$AI110-$AH110-$AG110-$AF110-$AE110*(1+HF$3))/$AJ110,'Технический лист'!$A:$B,2,1),(HE110-0.05)))</f>
        <v>1</v>
      </c>
      <c r="HG110" s="15">
        <f>MIN(1,MAX(VLOOKUP(($AJ110-$AI110-$AH110-$AG110-$AF110-$AE110*(1+HG$3))/$AJ110,'Технический лист'!$A:$B,2,1),(HF110-0.05)))</f>
        <v>1</v>
      </c>
      <c r="HH110" s="15">
        <f>MIN(1,MAX(VLOOKUP(($AJ110-$AI110-$AH110-$AG110-$AF110-$AE110*(1+HH$3))/$AJ110,'Технический лист'!$A:$B,2,1),(HG110-0.05)))</f>
        <v>1</v>
      </c>
      <c r="HI110" s="15">
        <f>MIN(1,MAX(VLOOKUP(($AJ110-$AI110-$AH110-$AG110-$AF110-$AE110*(1+HI$3))/$AJ110,'Технический лист'!$A:$B,2,1),(HH110-0.05)))</f>
        <v>1</v>
      </c>
      <c r="HJ110" s="15">
        <f>MIN(1,MAX(VLOOKUP(($AJ110-$AI110-$AH110-$AG110-$AF110-$AE110*(1+HJ$3))/$AJ110,'Технический лист'!$A:$B,2,1),(HI110-0.05)))</f>
        <v>1</v>
      </c>
      <c r="HK110" s="15">
        <f>MIN(1,MAX(VLOOKUP(($AJ110-$AI110-$AH110-$AG110-$AF110-$AE110*(1+HK$3))/$AJ110,'Технический лист'!$A:$B,2,1),(HJ110-0.05)))</f>
        <v>1</v>
      </c>
      <c r="HL110" s="15">
        <f>MIN(1,MAX(VLOOKUP(($AJ110-$AI110-$AH110-$AG110-$AF110-$AE110*(1+HL$3))/$AJ110,'Технический лист'!$A:$B,2,1),(HK110-0.05)))</f>
        <v>1</v>
      </c>
      <c r="HM110" s="15">
        <f>MIN(1,MAX(VLOOKUP(($AJ110-$AI110-$AH110-$AG110-$AF110-$AE110*(1+HM$3))/$AJ110,'Технический лист'!$A:$B,2,1),(HL110-0.05)))</f>
        <v>1</v>
      </c>
      <c r="HN110" s="15">
        <f>MIN(1,MAX(VLOOKUP(($AJ110-$AI110-$AH110-$AG110-$AF110-$AE110*(1+HN$3))/$AJ110,'Технический лист'!$A:$B,2,1),(HM110-0.05)))</f>
        <v>1</v>
      </c>
      <c r="HO110" s="15">
        <f>MIN(1,MAX(VLOOKUP(($AJ110-$AI110-$AH110-$AG110-$AF110-$AE110*(1+HO$3))/$AJ110,'Технический лист'!$A:$B,2,1),(HN110-0.05)))</f>
        <v>1</v>
      </c>
      <c r="HP110" s="15">
        <f>MIN(1,MAX(VLOOKUP(($AJ110-$AI110-$AH110-$AG110-$AF110-$AE110*(1+HP$3))/$AJ110,'Технический лист'!$A:$B,2,1),(HO110-0.05)))</f>
        <v>1</v>
      </c>
      <c r="HQ110" s="15">
        <f>MIN(1,MAX(VLOOKUP(($AJ110-$AI110-$AH110-$AG110-$AF110-$AE110*(1+HQ$3))/$AJ110,'Технический лист'!$A:$B,2,1),(HP110-0.05)))</f>
        <v>1</v>
      </c>
      <c r="HR110" s="15">
        <f>MIN(1,MAX(VLOOKUP(($AJ110-$AI110-$AH110-$AG110-$AF110-$AE110*(1+HR$3))/$AJ110,'Технический лист'!$A:$B,2,1),(HQ110-0.05)))</f>
        <v>1</v>
      </c>
      <c r="HS110" s="15">
        <f>MIN(1,MAX(VLOOKUP(($AJ110-$AI110-$AH110-$AG110-$AF110-$AE110*(1+HS$3))/$AJ110,'Технический лист'!$A:$B,2,1),(HR110-0.05)))</f>
        <v>1</v>
      </c>
      <c r="HT110" s="15">
        <f>MIN(1,MAX(VLOOKUP(($AJ110-$AI110-$AH110-$AG110-$AF110-$AE110*(1+HT$3))/$AJ110,'Технический лист'!$A:$B,2,1),(HS110-0.05)))</f>
        <v>1</v>
      </c>
      <c r="HU110" s="15">
        <f>MIN(1,MAX(VLOOKUP(($AJ110-$AI110-$AH110-$AG110-$AF110-$AE110*(1+HU$3))/$AJ110,'Технический лист'!$A:$B,2,1),(HT110-0.05)))</f>
        <v>1</v>
      </c>
      <c r="HV110" s="15">
        <f>MIN(1,MAX(VLOOKUP(($AJ110-$AI110-$AH110-$AG110-$AF110-$AE110*(1+HV$3))/$AJ110,'Технический лист'!$A:$B,2,1),(HU110-0.05)))</f>
        <v>1</v>
      </c>
      <c r="HW110" s="15">
        <f>MIN(1,MAX(VLOOKUP(($AJ110-$AI110-$AH110-$AG110-$AF110-$AE110*(1+HW$3))/$AJ110,'Технический лист'!$A:$B,2,1),(HV110-0.05)))</f>
        <v>1</v>
      </c>
      <c r="HX110" s="15">
        <f>MIN(1,MAX(VLOOKUP(($AJ110-$AI110-$AH110-$AG110-$AF110-$AE110*(1+HX$3))/$AJ110,'Технический лист'!$A:$B,2,1),(HW110-0.05)))</f>
        <v>1</v>
      </c>
      <c r="HY110" s="15">
        <f>MIN(1,MAX(VLOOKUP(($AJ110-$AI110-$AH110-$AG110-$AF110-$AE110*(1+HY$3))/$AJ110,'Технический лист'!$A:$B,2,1),(HX110-0.05)))</f>
        <v>1</v>
      </c>
      <c r="HZ110" s="15">
        <f>MIN(1,MAX(VLOOKUP(($AJ110-$AI110-$AH110-$AG110-$AF110-$AE110*(1+HZ$3))/$AJ110,'Технический лист'!$A:$B,2,1),(HY110-0.05)))</f>
        <v>1</v>
      </c>
      <c r="IA110" s="15">
        <f>MIN(1,MAX(VLOOKUP(($AJ110-$AI110-$AH110-$AG110-$AF110-$AE110*(1+IA$3))/$AJ110,'Технический лист'!$A:$B,2,1),(HZ110-0.05)))</f>
        <v>1</v>
      </c>
      <c r="IB110" s="15">
        <f>MIN(1,MAX(VLOOKUP(($AJ110-$AI110-$AH110-$AG110-$AF110-$AE110*(1+IB$3))/$AJ110,'Технический лист'!$A:$B,2,1),(IA110-0.05)))</f>
        <v>1</v>
      </c>
      <c r="IC110" s="15">
        <f>MIN(1,MAX(VLOOKUP(($AJ110-$AI110-$AH110-$AG110-$AF110-$AE110*(1+IC$3))/$AJ110,'Технический лист'!$A:$B,2,1),(IB110-0.05)))</f>
        <v>1</v>
      </c>
      <c r="ID110" s="15">
        <f>MIN(1,MAX(VLOOKUP(($AJ110-$AI110-$AH110-$AG110-$AF110-$AE110*(1+ID$3))/$AJ110,'Технический лист'!$A:$B,2,1),(IC110-0.05)))</f>
        <v>1</v>
      </c>
      <c r="IE110" s="15">
        <f>MIN(1,MAX(VLOOKUP(($AJ110-$AI110-$AH110-$AG110-$AF110-$AE110*(1+IE$3))/$AJ110,'Технический лист'!$A:$B,2,1),(ID110-0.05)))</f>
        <v>1</v>
      </c>
      <c r="IF110" s="15">
        <f>MIN(1,MAX(VLOOKUP(($AJ110-$AI110-$AH110-$AG110-$AF110-$AE110*(1+IF$3))/$AJ110,'Технический лист'!$A:$B,2,1),(IE110-0.05)))</f>
        <v>1</v>
      </c>
      <c r="IG110" s="15">
        <f>MIN(1,MAX(VLOOKUP(($AJ110-$AI110-$AH110-$AG110-$AF110-$AE110*(1+IG$3))/$AJ110,'Технический лист'!$A:$B,2,1),(IF110-0.05)))</f>
        <v>1</v>
      </c>
      <c r="IH110" s="15">
        <f>MIN(1,MAX(VLOOKUP(($AJ110-$AI110-$AH110-$AG110-$AF110-$AE110*(1+IH$3))/$AJ110,'Технический лист'!$A:$B,2,1),(IG110-0.05)))</f>
        <v>1</v>
      </c>
      <c r="II110" s="15">
        <f>MIN(1,MAX(VLOOKUP(($AJ110-$AI110-$AH110-$AG110-$AF110-$AE110*(1+II$3))/$AJ110,'Технический лист'!$A:$B,2,1),(IH110-0.05)))</f>
        <v>1</v>
      </c>
      <c r="IJ110" s="15">
        <f>MIN(1,MAX(VLOOKUP(($AJ110-$AI110-$AH110-$AG110-$AF110-$AE110*(1+IJ$3))/$AJ110,'Технический лист'!$A:$B,2,1),(II110-0.05)))</f>
        <v>1</v>
      </c>
      <c r="IK110" s="15">
        <f>MIN(1,MAX(VLOOKUP(($AJ110-$AI110-$AH110-$AG110-$AF110-$AE110*(1+IK$3))/$AJ110,'Технический лист'!$A:$B,2,1),(IJ110-0.05)))</f>
        <v>1</v>
      </c>
      <c r="IL110" s="15">
        <f>MIN(1,MAX(VLOOKUP(($AJ110-$AI110-$AH110-$AG110-$AF110-$AE110*(1+IL$3))/$AJ110,'Технический лист'!$A:$B,2,1),(IK110-0.05)))</f>
        <v>1</v>
      </c>
      <c r="IM110" s="15">
        <f>MIN(1,MAX(VLOOKUP(($AJ110-$AI110-$AH110-$AG110-$AF110-$AE110*(1+IM$3))/$AJ110,'Технический лист'!$A:$B,2,1),(IL110-0.05)))</f>
        <v>1</v>
      </c>
      <c r="IN110" s="15">
        <f>MIN(1,MAX(VLOOKUP(($AJ110-$AI110-$AH110-$AG110-$AF110-$AE110*(1+IN$3))/$AJ110,'Технический лист'!$A:$B,2,1),(IM110-0.05)))</f>
        <v>1</v>
      </c>
      <c r="IO110" s="15">
        <f>MIN(1,MAX(VLOOKUP(($AJ110-$AI110-$AH110-$AG110-$AF110-$AE110*(1+IO$3))/$AJ110,'Технический лист'!$A:$B,2,1),(IN110-0.05)))</f>
        <v>1</v>
      </c>
      <c r="IP110" s="15">
        <f>MIN(1,MAX(VLOOKUP(($AJ110-$AI110-$AH110-$AG110-$AF110-$AE110*(1+IP$3))/$AJ110,'Технический лист'!$A:$B,2,1),(IO110-0.05)))</f>
        <v>1</v>
      </c>
      <c r="IQ110" s="15">
        <f>MIN(1,MAX(VLOOKUP(($AJ110-$AI110-$AH110-$AG110-$AF110-$AE110*(1+IQ$3))/$AJ110,'Технический лист'!$A:$B,2,1),(IP110-0.05)))</f>
        <v>1</v>
      </c>
      <c r="IR110" s="15">
        <f>MIN(1,MAX(VLOOKUP(($AJ110-$AI110-$AH110-$AG110-$AF110-$AE110*(1+IR$3))/$AJ110,'Технический лист'!$A:$B,2,1),(IQ110-0.05)))</f>
        <v>1</v>
      </c>
    </row>
    <row r="111" spans="1:252" ht="43.75">
      <c r="A111" s="89" t="s">
        <v>515</v>
      </c>
      <c r="B111" s="90">
        <v>5</v>
      </c>
      <c r="C111" s="5" t="s">
        <v>68</v>
      </c>
      <c r="D111" s="91">
        <v>32416</v>
      </c>
      <c r="E111" s="91" t="s">
        <v>352</v>
      </c>
      <c r="F111" s="92" t="s">
        <v>75</v>
      </c>
      <c r="G111" s="91" t="s">
        <v>31</v>
      </c>
      <c r="H111" s="91" t="s">
        <v>26</v>
      </c>
      <c r="I111" s="91" t="s">
        <v>102</v>
      </c>
      <c r="J111" s="91" t="s">
        <v>85</v>
      </c>
      <c r="K111" s="91">
        <v>2382</v>
      </c>
      <c r="L111" s="85" t="s">
        <v>64</v>
      </c>
      <c r="M111" s="91" t="s">
        <v>17</v>
      </c>
      <c r="N111" s="91" t="s">
        <v>191</v>
      </c>
      <c r="O111" s="91" t="s">
        <v>193</v>
      </c>
      <c r="P111" s="89" t="s">
        <v>207</v>
      </c>
      <c r="Q111" s="91" t="s">
        <v>270</v>
      </c>
      <c r="R111" s="91" t="s">
        <v>256</v>
      </c>
      <c r="S111" s="82">
        <v>39577</v>
      </c>
      <c r="T111" s="82">
        <v>94256526</v>
      </c>
      <c r="U111" s="81">
        <v>640</v>
      </c>
      <c r="V111" s="81">
        <v>0</v>
      </c>
      <c r="W111" s="82">
        <v>185813340</v>
      </c>
      <c r="X111" s="112">
        <v>62</v>
      </c>
      <c r="Y111" s="112" t="s">
        <v>416</v>
      </c>
      <c r="Z111" s="113">
        <v>14</v>
      </c>
      <c r="AA111" s="113">
        <v>9</v>
      </c>
      <c r="AB111" s="113">
        <v>4</v>
      </c>
      <c r="AC111" s="99">
        <v>5347.4</v>
      </c>
      <c r="AD111" s="99">
        <f t="shared" si="46"/>
        <v>688.75</v>
      </c>
      <c r="AE111" s="99">
        <v>6036.15</v>
      </c>
      <c r="AF111" s="98">
        <f>(Z111+AA111+AB111)*'Ставки аренды'!$B$3/X111</f>
        <v>304.83870967741933</v>
      </c>
      <c r="AG111" s="114">
        <v>0</v>
      </c>
      <c r="AH111" s="94">
        <v>0</v>
      </c>
      <c r="AI111" s="116">
        <f>429559973/511416159*AVERAGE(AJ108,AJ109)</f>
        <v>37074.566427681828</v>
      </c>
      <c r="AJ111" s="117">
        <f>Цены!C17*'Курсы валют'!B2</f>
        <v>39678.86</v>
      </c>
      <c r="AK111" s="94">
        <f>AJ111/Цены!$B$1</f>
        <v>520</v>
      </c>
      <c r="AL111" s="95">
        <f t="shared" si="24"/>
        <v>6340.9887096774191</v>
      </c>
      <c r="AM111" s="95">
        <f t="shared" si="25"/>
        <v>33337.871290322582</v>
      </c>
      <c r="AN111" s="94">
        <f t="shared" si="39"/>
        <v>43415.555137359246</v>
      </c>
      <c r="AO111" s="118">
        <f t="shared" si="40"/>
        <v>-9.4173449977122459E-2</v>
      </c>
      <c r="AP111" s="96">
        <f t="shared" si="26"/>
        <v>0.15980773413544186</v>
      </c>
      <c r="AQ111" s="96">
        <f t="shared" si="27"/>
        <v>0.15212508625499824</v>
      </c>
      <c r="AR111" s="96">
        <f t="shared" si="28"/>
        <v>0.95192568168238745</v>
      </c>
      <c r="AS111" s="122">
        <v>1</v>
      </c>
      <c r="AT111" s="121">
        <f t="shared" si="45"/>
        <v>39577</v>
      </c>
      <c r="AU111" s="83">
        <v>0.6</v>
      </c>
      <c r="AV111" s="119">
        <f t="shared" si="41"/>
        <v>-0.11242846032772234</v>
      </c>
      <c r="AW111" s="120">
        <f t="shared" si="42"/>
        <v>0.17806274448604167</v>
      </c>
      <c r="AX111" s="120">
        <f t="shared" si="43"/>
        <v>0.17038009660559805</v>
      </c>
      <c r="AY111" s="120">
        <f t="shared" si="44"/>
        <v>0.95685426559823761</v>
      </c>
      <c r="AZ111" s="15">
        <f>MIN(IF($AU111=100%,1,1+VLOOKUP(($AJ111-$AI111-$AH111-$AG111-$AF111-$AE111*(1+AZ$3))/$AJ111,'Технический лист'!$I:$J,2,1)-VLOOKUP($AO111,'Технический лист'!$I:$J,2,1)),1+(1-$AU111))</f>
        <v>1.33</v>
      </c>
      <c r="BA111" s="15">
        <f>MIN(IF($AU111=100%,1,1+VLOOKUP(($AJ111-$AI111-$AH111-$AG111-$AF111-$AE111*(1+BA$3))/$AJ111,'Технический лист'!$I:$J,2,1)-VLOOKUP($AO111,'Технический лист'!$I:$J,2,1)),1+(1-$AU111))</f>
        <v>1.33</v>
      </c>
      <c r="BB111" s="15">
        <f>MIN(IF($AU111=100%,1,1+VLOOKUP(($AJ111-$AI111-$AH111-$AG111-$AF111-$AE111*(1+BB$3))/$AJ111,'Технический лист'!$I:$J,2,1)-VLOOKUP($AO111,'Технический лист'!$I:$J,2,1)),1+(1-$AU111))</f>
        <v>1.33</v>
      </c>
      <c r="BC111" s="15">
        <f>MIN(IF($AU111=100%,1,1+VLOOKUP(($AJ111-$AI111-$AH111-$AG111-$AF111-$AE111*(1+BC$3))/$AJ111,'Технический лист'!$I:$J,2,1)-VLOOKUP($AO111,'Технический лист'!$I:$J,2,1)),1+(1-$AU111))</f>
        <v>1.3149999999999999</v>
      </c>
      <c r="BD111" s="15">
        <f>MIN(IF($AU111=100%,1,1+VLOOKUP(($AJ111-$AI111-$AH111-$AG111-$AF111-$AE111*(1+BD$3))/$AJ111,'Технический лист'!$I:$J,2,1)-VLOOKUP($AO111,'Технический лист'!$I:$J,2,1)),1+(1-$AU111))</f>
        <v>1.3149999999999999</v>
      </c>
      <c r="BE111" s="15">
        <f>MIN(IF($AU111=100%,1,1+VLOOKUP(($AJ111-$AI111-$AH111-$AG111-$AF111-$AE111*(1+BE$3))/$AJ111,'Технический лист'!$I:$J,2,1)-VLOOKUP($AO111,'Технический лист'!$I:$J,2,1)),1+(1-$AU111))</f>
        <v>1.3149999999999999</v>
      </c>
      <c r="BF111" s="15">
        <f>MIN(IF($AU111=100%,1,1+VLOOKUP(($AJ111-$AI111-$AH111-$AG111-$AF111-$AE111*(1+BF$3))/$AJ111,'Технический лист'!$I:$J,2,1)-VLOOKUP($AO111,'Технический лист'!$I:$J,2,1)),1+(1-$AU111))</f>
        <v>1.3149999999999999</v>
      </c>
      <c r="BG111" s="15">
        <f>MIN(IF($AU111=100%,1,1+VLOOKUP(($AJ111-$AI111-$AH111-$AG111-$AF111-$AE111*(1+BG$3))/$AJ111,'Технический лист'!$I:$J,2,1)-VLOOKUP($AO111,'Технический лист'!$I:$J,2,1)),1+(1-$AU111))</f>
        <v>1.3149999999999999</v>
      </c>
      <c r="BH111" s="15">
        <f>MIN(IF($AU111=100%,1,1+VLOOKUP(($AJ111-$AI111-$AH111-$AG111-$AF111-$AE111*(1+BH$3))/$AJ111,'Технический лист'!$I:$J,2,1)-VLOOKUP($AO111,'Технический лист'!$I:$J,2,1)),1+(1-$AU111))</f>
        <v>1.3149999999999999</v>
      </c>
      <c r="BI111" s="15">
        <f>MIN(IF($AU111=100%,1,1+VLOOKUP(($AJ111-$AI111-$AH111-$AG111-$AF111-$AE111*(1+BI$3))/$AJ111,'Технический лист'!$I:$J,2,1)-VLOOKUP($AO111,'Технический лист'!$I:$J,2,1)),1+(1-$AU111))</f>
        <v>1.3149999999999999</v>
      </c>
      <c r="BJ111" s="15">
        <f>MIN(IF($AU111=100%,1,1+VLOOKUP(($AJ111-$AI111-$AH111-$AG111-$AF111-$AE111*(1+BJ$3))/$AJ111,'Технический лист'!$I:$J,2,1)-VLOOKUP($AO111,'Технический лист'!$I:$J,2,1)),1+(1-$AU111))</f>
        <v>1.2999999999999998</v>
      </c>
      <c r="BK111" s="15">
        <f>MIN(IF($AU111=100%,1,1+VLOOKUP(($AJ111-$AI111-$AH111-$AG111-$AF111-$AE111*(1+BK$3))/$AJ111,'Технический лист'!$I:$J,2,1)-VLOOKUP($AO111,'Технический лист'!$I:$J,2,1)),1+(1-$AU111))</f>
        <v>1.2999999999999998</v>
      </c>
      <c r="BL111" s="15">
        <f>MIN(IF($AU111=100%,1,1+VLOOKUP(($AJ111-$AI111-$AH111-$AG111-$AF111-$AE111*(1+BL$3))/$AJ111,'Технический лист'!$I:$J,2,1)-VLOOKUP($AO111,'Технический лист'!$I:$J,2,1)),1+(1-$AU111))</f>
        <v>1.2999999999999998</v>
      </c>
      <c r="BM111" s="15">
        <f>MIN(IF($AU111=100%,1,1+VLOOKUP(($AJ111-$AI111-$AH111-$AG111-$AF111-$AE111*(1+BM$3))/$AJ111,'Технический лист'!$I:$J,2,1)-VLOOKUP($AO111,'Технический лист'!$I:$J,2,1)),1+(1-$AU111))</f>
        <v>1.2999999999999998</v>
      </c>
      <c r="BN111" s="15">
        <f>MIN(IF($AU111=100%,1,1+VLOOKUP(($AJ111-$AI111-$AH111-$AG111-$AF111-$AE111*(1+BN$3))/$AJ111,'Технический лист'!$I:$J,2,1)-VLOOKUP($AO111,'Технический лист'!$I:$J,2,1)),1+(1-$AU111))</f>
        <v>1.2999999999999998</v>
      </c>
      <c r="BO111" s="15">
        <f>MIN(IF($AU111=100%,1,1+VLOOKUP(($AJ111-$AI111-$AH111-$AG111-$AF111-$AE111*(1+BO$3))/$AJ111,'Технический лист'!$I:$J,2,1)-VLOOKUP($AO111,'Технический лист'!$I:$J,2,1)),1+(1-$AU111))</f>
        <v>1.2999999999999998</v>
      </c>
      <c r="BP111" s="15">
        <f>MIN(IF($AU111=100%,1,1+VLOOKUP(($AJ111-$AI111-$AH111-$AG111-$AF111-$AE111*(1+BP$3))/$AJ111,'Технический лист'!$I:$J,2,1)-VLOOKUP($AO111,'Технический лист'!$I:$J,2,1)),1+(1-$AU111))</f>
        <v>1.2850000000000001</v>
      </c>
      <c r="BQ111" s="15">
        <f>MIN(IF($AU111=100%,1,1+VLOOKUP(($AJ111-$AI111-$AH111-$AG111-$AF111-$AE111*(1+BQ$3))/$AJ111,'Технический лист'!$I:$J,2,1)-VLOOKUP($AO111,'Технический лист'!$I:$J,2,1)),1+(1-$AU111))</f>
        <v>1.2850000000000001</v>
      </c>
      <c r="BR111" s="15">
        <f>MIN(IF($AU111=100%,1,1+VLOOKUP(($AJ111-$AI111-$AH111-$AG111-$AF111-$AE111*(1+BR$3))/$AJ111,'Технический лист'!$I:$J,2,1)-VLOOKUP($AO111,'Технический лист'!$I:$J,2,1)),1+(1-$AU111))</f>
        <v>1.2850000000000001</v>
      </c>
      <c r="BS111" s="15">
        <f>MIN(IF($AU111=100%,1,1+VLOOKUP(($AJ111-$AI111-$AH111-$AG111-$AF111-$AE111*(1+BS$3))/$AJ111,'Технический лист'!$I:$J,2,1)-VLOOKUP($AO111,'Технический лист'!$I:$J,2,1)),1+(1-$AU111))</f>
        <v>1.2850000000000001</v>
      </c>
      <c r="BT111" s="15">
        <f>MIN(IF($AU111=100%,1,1+VLOOKUP(($AJ111-$AI111-$AH111-$AG111-$AF111-$AE111*(1+BT$3))/$AJ111,'Технический лист'!$I:$J,2,1)-VLOOKUP($AO111,'Технический лист'!$I:$J,2,1)),1+(1-$AU111))</f>
        <v>1.2850000000000001</v>
      </c>
      <c r="BU111" s="15">
        <f>MIN(IF($AU111=100%,1,1+VLOOKUP(($AJ111-$AI111-$AH111-$AG111-$AF111-$AE111*(1+BU$3))/$AJ111,'Технический лист'!$I:$J,2,1)-VLOOKUP($AO111,'Технический лист'!$I:$J,2,1)),1+(1-$AU111))</f>
        <v>1.2850000000000001</v>
      </c>
      <c r="BV111" s="15">
        <f>MIN(IF($AU111=100%,1,1+VLOOKUP(($AJ111-$AI111-$AH111-$AG111-$AF111-$AE111*(1+BV$3))/$AJ111,'Технический лист'!$I:$J,2,1)-VLOOKUP($AO111,'Технический лист'!$I:$J,2,1)),1+(1-$AU111))</f>
        <v>1.2850000000000001</v>
      </c>
      <c r="BW111" s="15">
        <f>MIN(IF($AU111=100%,1,1+VLOOKUP(($AJ111-$AI111-$AH111-$AG111-$AF111-$AE111*(1+BW$3))/$AJ111,'Технический лист'!$I:$J,2,1)-VLOOKUP($AO111,'Технический лист'!$I:$J,2,1)),1+(1-$AU111))</f>
        <v>1.27</v>
      </c>
      <c r="BX111" s="15">
        <f>MIN(IF($AU111=100%,1,1+VLOOKUP(($AJ111-$AI111-$AH111-$AG111-$AF111-$AE111*(1+BX$3))/$AJ111,'Технический лист'!$I:$J,2,1)-VLOOKUP($AO111,'Технический лист'!$I:$J,2,1)),1+(1-$AU111))</f>
        <v>1.27</v>
      </c>
      <c r="BY111" s="15">
        <f>MIN(IF($AU111=100%,1,1+VLOOKUP(($AJ111-$AI111-$AH111-$AG111-$AF111-$AE111*(1+BY$3))/$AJ111,'Технический лист'!$I:$J,2,1)-VLOOKUP($AO111,'Технический лист'!$I:$J,2,1)),1+(1-$AU111))</f>
        <v>1.27</v>
      </c>
      <c r="BZ111" s="15">
        <f>MIN(IF($AU111=100%,1,1+VLOOKUP(($AJ111-$AI111-$AH111-$AG111-$AF111-$AE111*(1+BZ$3))/$AJ111,'Технический лист'!$I:$J,2,1)-VLOOKUP($AO111,'Технический лист'!$I:$J,2,1)),1+(1-$AU111))</f>
        <v>1.27</v>
      </c>
      <c r="CA111" s="15">
        <f>MIN(IF($AU111=100%,1,1+VLOOKUP(($AJ111-$AI111-$AH111-$AG111-$AF111-$AE111*(1+CA$3))/$AJ111,'Технический лист'!$I:$J,2,1)-VLOOKUP($AO111,'Технический лист'!$I:$J,2,1)),1+(1-$AU111))</f>
        <v>1.27</v>
      </c>
      <c r="CB111" s="15">
        <f>MIN(IF($AU111=100%,1,1+VLOOKUP(($AJ111-$AI111-$AH111-$AG111-$AF111-$AE111*(1+CB$3))/$AJ111,'Технический лист'!$I:$J,2,1)-VLOOKUP($AO111,'Технический лист'!$I:$J,2,1)),1+(1-$AU111))</f>
        <v>1.27</v>
      </c>
      <c r="CC111" s="15">
        <f>MIN(IF($AU111=100%,1,1+VLOOKUP(($AJ111-$AI111-$AH111-$AG111-$AF111-$AE111*(1+CC$3))/$AJ111,'Технический лист'!$I:$J,2,1)-VLOOKUP($AO111,'Технический лист'!$I:$J,2,1)),1+(1-$AU111))</f>
        <v>1.25</v>
      </c>
      <c r="CD111" s="15">
        <f>MIN(IF($AU111=100%,1,1+VLOOKUP(($AJ111-$AI111-$AH111-$AG111-$AF111-$AE111*(1+CD$3))/$AJ111,'Технический лист'!$I:$J,2,1)-VLOOKUP($AO111,'Технический лист'!$I:$J,2,1)),1+(1-$AU111))</f>
        <v>1.25</v>
      </c>
      <c r="CE111" s="15">
        <f>MIN(IF($AU111=100%,1,1+VLOOKUP(($AJ111-$AI111-$AH111-$AG111-$AF111-$AE111*(1+CE$3))/$AJ111,'Технический лист'!$I:$J,2,1)-VLOOKUP($AO111,'Технический лист'!$I:$J,2,1)),1+(1-$AU111))</f>
        <v>1.25</v>
      </c>
      <c r="CF111" s="15">
        <f>MIN(IF($AU111=100%,1,1+VLOOKUP(($AJ111-$AI111-$AH111-$AG111-$AF111-$AE111*(1+CF$3))/$AJ111,'Технический лист'!$I:$J,2,1)-VLOOKUP($AO111,'Технический лист'!$I:$J,2,1)),1+(1-$AU111))</f>
        <v>1.25</v>
      </c>
      <c r="CG111" s="15">
        <f>MIN(IF($AU111=100%,1,1+VLOOKUP(($AJ111-$AI111-$AH111-$AG111-$AF111-$AE111*(1+CG$3))/$AJ111,'Технический лист'!$I:$J,2,1)-VLOOKUP($AO111,'Технический лист'!$I:$J,2,1)),1+(1-$AU111))</f>
        <v>1.25</v>
      </c>
      <c r="CH111" s="15">
        <f>MIN(IF($AU111=100%,1,1+VLOOKUP(($AJ111-$AI111-$AH111-$AG111-$AF111-$AE111*(1+CH$3))/$AJ111,'Технический лист'!$I:$J,2,1)-VLOOKUP($AO111,'Технический лист'!$I:$J,2,1)),1+(1-$AU111))</f>
        <v>1.25</v>
      </c>
      <c r="CI111" s="15">
        <f>MIN(IF($AU111=100%,1,1+VLOOKUP(($AJ111-$AI111-$AH111-$AG111-$AF111-$AE111*(1+CI$3))/$AJ111,'Технический лист'!$I:$J,2,1)-VLOOKUP($AO111,'Технический лист'!$I:$J,2,1)),1+(1-$AU111))</f>
        <v>1.25</v>
      </c>
      <c r="CJ111" s="15">
        <f>MIN(IF($AU111=100%,1,1+VLOOKUP(($AJ111-$AI111-$AH111-$AG111-$AF111-$AE111*(1+CJ$3))/$AJ111,'Технический лист'!$I:$J,2,1)-VLOOKUP($AO111,'Технический лист'!$I:$J,2,1)),1+(1-$AU111))</f>
        <v>1.23</v>
      </c>
      <c r="CK111" s="15">
        <f>MIN(IF($AU111=100%,1,1+VLOOKUP(($AJ111-$AI111-$AH111-$AG111-$AF111-$AE111*(1+CK$3))/$AJ111,'Технический лист'!$I:$J,2,1)-VLOOKUP($AO111,'Технический лист'!$I:$J,2,1)),1+(1-$AU111))</f>
        <v>1.23</v>
      </c>
      <c r="CL111" s="15">
        <f>MIN(IF($AU111=100%,1,1+VLOOKUP(($AJ111-$AI111-$AH111-$AG111-$AF111-$AE111*(1+CL$3))/$AJ111,'Технический лист'!$I:$J,2,1)-VLOOKUP($AO111,'Технический лист'!$I:$J,2,1)),1+(1-$AU111))</f>
        <v>1.23</v>
      </c>
      <c r="CM111" s="15">
        <f>MIN(IF($AU111=100%,1,1+VLOOKUP(($AJ111-$AI111-$AH111-$AG111-$AF111-$AE111*(1+CM$3))/$AJ111,'Технический лист'!$I:$J,2,1)-VLOOKUP($AO111,'Технический лист'!$I:$J,2,1)),1+(1-$AU111))</f>
        <v>1.23</v>
      </c>
      <c r="CN111" s="15">
        <f>MIN(IF($AU111=100%,1,1+VLOOKUP(($AJ111-$AI111-$AH111-$AG111-$AF111-$AE111*(1+CN$3))/$AJ111,'Технический лист'!$I:$J,2,1)-VLOOKUP($AO111,'Технический лист'!$I:$J,2,1)),1+(1-$AU111))</f>
        <v>1.23</v>
      </c>
      <c r="CO111" s="15">
        <f>MIN(IF($AU111=100%,1,1+VLOOKUP(($AJ111-$AI111-$AH111-$AG111-$AF111-$AE111*(1+CO$3))/$AJ111,'Технический лист'!$I:$J,2,1)-VLOOKUP($AO111,'Технический лист'!$I:$J,2,1)),1+(1-$AU111))</f>
        <v>1.23</v>
      </c>
      <c r="CP111" s="15">
        <f>MIN(IF($AU111=100%,1,1+VLOOKUP(($AJ111-$AI111-$AH111-$AG111-$AF111-$AE111*(1+CP$3))/$AJ111,'Технический лист'!$I:$J,2,1)-VLOOKUP($AO111,'Технический лист'!$I:$J,2,1)),1+(1-$AU111))</f>
        <v>1.21</v>
      </c>
      <c r="CQ111" s="15">
        <f>MIN(IF($AU111=100%,1,1+VLOOKUP(($AJ111-$AI111-$AH111-$AG111-$AF111-$AE111*(1+CQ$3))/$AJ111,'Технический лист'!$I:$J,2,1)-VLOOKUP($AO111,'Технический лист'!$I:$J,2,1)),1+(1-$AU111))</f>
        <v>1.21</v>
      </c>
      <c r="CR111" s="15">
        <f>MIN(IF($AU111=100%,1,1+VLOOKUP(($AJ111-$AI111-$AH111-$AG111-$AF111-$AE111*(1+CR$3))/$AJ111,'Технический лист'!$I:$J,2,1)-VLOOKUP($AO111,'Технический лист'!$I:$J,2,1)),1+(1-$AU111))</f>
        <v>1.21</v>
      </c>
      <c r="CS111" s="15">
        <f>MIN(IF($AU111=100%,1,1+VLOOKUP(($AJ111-$AI111-$AH111-$AG111-$AF111-$AE111*(1+CS$3))/$AJ111,'Технический лист'!$I:$J,2,1)-VLOOKUP($AO111,'Технический лист'!$I:$J,2,1)),1+(1-$AU111))</f>
        <v>1.21</v>
      </c>
      <c r="CT111" s="15">
        <f>MIN(IF($AU111=100%,1,1+VLOOKUP(($AJ111-$AI111-$AH111-$AG111-$AF111-$AE111*(1+CT$3))/$AJ111,'Технический лист'!$I:$J,2,1)-VLOOKUP($AO111,'Технический лист'!$I:$J,2,1)),1+(1-$AU111))</f>
        <v>1.21</v>
      </c>
      <c r="CU111" s="15">
        <f>MIN(IF($AU111=100%,1,1+VLOOKUP(($AJ111-$AI111-$AH111-$AG111-$AF111-$AE111*(1+CU$3))/$AJ111,'Технический лист'!$I:$J,2,1)-VLOOKUP($AO111,'Технический лист'!$I:$J,2,1)),1+(1-$AU111))</f>
        <v>1.21</v>
      </c>
      <c r="CV111" s="15">
        <f>MIN(IF($AU111=100%,1,1+VLOOKUP(($AJ111-$AI111-$AH111-$AG111-$AF111-$AE111*(1+CV$3))/$AJ111,'Технический лист'!$I:$J,2,1)-VLOOKUP($AO111,'Технический лист'!$I:$J,2,1)),1+(1-$AU111))</f>
        <v>1.21</v>
      </c>
      <c r="CW111" s="15">
        <f>MIN(IF($AU111=100%,1,1+VLOOKUP(($AJ111-$AI111-$AH111-$AG111-$AF111-$AE111*(1+CW$3))/$AJ111,'Технический лист'!$I:$J,2,1)-VLOOKUP($AO111,'Технический лист'!$I:$J,2,1)),1+(1-$AU111))</f>
        <v>1.19</v>
      </c>
      <c r="CX111" s="15">
        <f>MIN(IF($AU111=100%,1,1+VLOOKUP(($AJ111-$AI111-$AH111-$AG111-$AF111-$AE111*(1+CX$3))/$AJ111,'Технический лист'!$I:$J,2,1)-VLOOKUP($AO111,'Технический лист'!$I:$J,2,1)),1+(1-$AU111))</f>
        <v>1.19</v>
      </c>
      <c r="CY111" s="15">
        <f>MIN(IF($AU111=100%,1,1+VLOOKUP(($AJ111-$AI111-$AH111-$AG111-$AF111-$AE111*(1+CY$3))/$AJ111,'Технический лист'!$I:$J,2,1)-VLOOKUP($AO111,'Технический лист'!$I:$J,2,1)),1+(1-$AU111))</f>
        <v>1.19</v>
      </c>
      <c r="CZ111" s="15">
        <f>MIN(IF($AU111=100%,1,1+VLOOKUP(($AJ111-$AI111-$AH111-$AG111-$AF111-$AE111*(1+CZ$3))/$AJ111,'Технический лист'!$I:$J,2,1)-VLOOKUP($AO111,'Технический лист'!$I:$J,2,1)),1+(1-$AU111))</f>
        <v>1.19</v>
      </c>
      <c r="DA111" s="15">
        <f>MIN(IF($AU111=100%,1,1+VLOOKUP(($AJ111-$AI111-$AH111-$AG111-$AF111-$AE111*(1+DA$3))/$AJ111,'Технический лист'!$I:$J,2,1)-VLOOKUP($AO111,'Технический лист'!$I:$J,2,1)),1+(1-$AU111))</f>
        <v>1.19</v>
      </c>
      <c r="DB111" s="15">
        <f>MIN(IF($AU111=100%,1,1+VLOOKUP(($AJ111-$AI111-$AH111-$AG111-$AF111-$AE111*(1+DB$3))/$AJ111,'Технический лист'!$I:$J,2,1)-VLOOKUP($AO111,'Технический лист'!$I:$J,2,1)),1+(1-$AU111))</f>
        <v>1.19</v>
      </c>
      <c r="DC111" s="15">
        <f>MIN(IF($AU111=100%,1,1+VLOOKUP(($AJ111-$AI111-$AH111-$AG111-$AF111-$AE111*(1+DC$3))/$AJ111,'Технический лист'!$I:$J,2,1)-VLOOKUP($AO111,'Технический лист'!$I:$J,2,1)),1+(1-$AU111))</f>
        <v>1.19</v>
      </c>
      <c r="DD111" s="15">
        <f>MIN(IF($AU111=100%,1,1+VLOOKUP(($AJ111-$AI111-$AH111-$AG111-$AF111-$AE111*(1+DD$3))/$AJ111,'Технический лист'!$I:$J,2,1)-VLOOKUP($AO111,'Технический лист'!$I:$J,2,1)),1+(1-$AU111))</f>
        <v>1.165</v>
      </c>
      <c r="DE111" s="15">
        <f>MIN(IF($AU111=100%,1,1+VLOOKUP(($AJ111-$AI111-$AH111-$AG111-$AF111-$AE111*(1+DE$3))/$AJ111,'Технический лист'!$I:$J,2,1)-VLOOKUP($AO111,'Технический лист'!$I:$J,2,1)),1+(1-$AU111))</f>
        <v>1.165</v>
      </c>
      <c r="DF111" s="15">
        <f>MIN(IF($AU111=100%,1,1+VLOOKUP(($AJ111-$AI111-$AH111-$AG111-$AF111-$AE111*(1+DF$3))/$AJ111,'Технический лист'!$I:$J,2,1)-VLOOKUP($AO111,'Технический лист'!$I:$J,2,1)),1+(1-$AU111))</f>
        <v>1.165</v>
      </c>
      <c r="DG111" s="15">
        <f>MIN(IF($AU111=100%,1,1+VLOOKUP(($AJ111-$AI111-$AH111-$AG111-$AF111-$AE111*(1+DG$3))/$AJ111,'Технический лист'!$I:$J,2,1)-VLOOKUP($AO111,'Технический лист'!$I:$J,2,1)),1+(1-$AU111))</f>
        <v>1.165</v>
      </c>
      <c r="DH111" s="15">
        <f>MIN(IF($AU111=100%,1,1+VLOOKUP(($AJ111-$AI111-$AH111-$AG111-$AF111-$AE111*(1+DH$3))/$AJ111,'Технический лист'!$I:$J,2,1)-VLOOKUP($AO111,'Технический лист'!$I:$J,2,1)),1+(1-$AU111))</f>
        <v>1.165</v>
      </c>
      <c r="DI111" s="15">
        <f>MIN(IF($AU111=100%,1,1+VLOOKUP(($AJ111-$AI111-$AH111-$AG111-$AF111-$AE111*(1+DI$3))/$AJ111,'Технический лист'!$I:$J,2,1)-VLOOKUP($AO111,'Технический лист'!$I:$J,2,1)),1+(1-$AU111))</f>
        <v>1.165</v>
      </c>
      <c r="DJ111" s="15">
        <f>MIN(IF($AU111=100%,1,1+VLOOKUP(($AJ111-$AI111-$AH111-$AG111-$AF111-$AE111*(1+DJ$3))/$AJ111,'Технический лист'!$I:$J,2,1)-VLOOKUP($AO111,'Технический лист'!$I:$J,2,1)),1+(1-$AU111))</f>
        <v>1.1400000000000001</v>
      </c>
      <c r="DK111" s="15">
        <f>MIN(IF($AU111=100%,1,1+VLOOKUP(($AJ111-$AI111-$AH111-$AG111-$AF111-$AE111*(1+DK$3))/$AJ111,'Технический лист'!$I:$J,2,1)-VLOOKUP($AO111,'Технический лист'!$I:$J,2,1)),1+(1-$AU111))</f>
        <v>1.1400000000000001</v>
      </c>
      <c r="DL111" s="15">
        <f>MIN(IF($AU111=100%,1,1+VLOOKUP(($AJ111-$AI111-$AH111-$AG111-$AF111-$AE111*(1+DL$3))/$AJ111,'Технический лист'!$I:$J,2,1)-VLOOKUP($AO111,'Технический лист'!$I:$J,2,1)),1+(1-$AU111))</f>
        <v>1.1400000000000001</v>
      </c>
      <c r="DM111" s="15">
        <f>MIN(IF($AU111=100%,1,1+VLOOKUP(($AJ111-$AI111-$AH111-$AG111-$AF111-$AE111*(1+DM$3))/$AJ111,'Технический лист'!$I:$J,2,1)-VLOOKUP($AO111,'Технический лист'!$I:$J,2,1)),1+(1-$AU111))</f>
        <v>1.1400000000000001</v>
      </c>
      <c r="DN111" s="15">
        <f>MIN(IF($AU111=100%,1,1+VLOOKUP(($AJ111-$AI111-$AH111-$AG111-$AF111-$AE111*(1+DN$3))/$AJ111,'Технический лист'!$I:$J,2,1)-VLOOKUP($AO111,'Технический лист'!$I:$J,2,1)),1+(1-$AU111))</f>
        <v>1.1400000000000001</v>
      </c>
      <c r="DO111" s="15">
        <f>MIN(IF($AU111=100%,1,1+VLOOKUP(($AJ111-$AI111-$AH111-$AG111-$AF111-$AE111*(1+DO$3))/$AJ111,'Технический лист'!$I:$J,2,1)-VLOOKUP($AO111,'Технический лист'!$I:$J,2,1)),1+(1-$AU111))</f>
        <v>1.1400000000000001</v>
      </c>
      <c r="DP111" s="15">
        <f>MIN(IF($AU111=100%,1,1+VLOOKUP(($AJ111-$AI111-$AH111-$AG111-$AF111-$AE111*(1+DP$3))/$AJ111,'Технический лист'!$I:$J,2,1)-VLOOKUP($AO111,'Технический лист'!$I:$J,2,1)),1+(1-$AU111))</f>
        <v>1.1400000000000001</v>
      </c>
      <c r="DQ111" s="15">
        <f>MIN(IF($AU111=100%,1,1+VLOOKUP(($AJ111-$AI111-$AH111-$AG111-$AF111-$AE111*(1+DQ$3))/$AJ111,'Технический лист'!$I:$J,2,1)-VLOOKUP($AO111,'Технический лист'!$I:$J,2,1)),1+(1-$AU111))</f>
        <v>1.1149999999999998</v>
      </c>
      <c r="DR111" s="15">
        <f>MIN(IF($AU111=100%,1,1+VLOOKUP(($AJ111-$AI111-$AH111-$AG111-$AF111-$AE111*(1+DR$3))/$AJ111,'Технический лист'!$I:$J,2,1)-VLOOKUP($AO111,'Технический лист'!$I:$J,2,1)),1+(1-$AU111))</f>
        <v>1.1149999999999998</v>
      </c>
      <c r="DS111" s="15">
        <f>MIN(IF($AU111=100%,1,1+VLOOKUP(($AJ111-$AI111-$AH111-$AG111-$AF111-$AE111*(1+DS$3))/$AJ111,'Технический лист'!$I:$J,2,1)-VLOOKUP($AO111,'Технический лист'!$I:$J,2,1)),1+(1-$AU111))</f>
        <v>1.1149999999999998</v>
      </c>
      <c r="DT111" s="15">
        <f>MIN(IF($AU111=100%,1,1+VLOOKUP(($AJ111-$AI111-$AH111-$AG111-$AF111-$AE111*(1+DT$3))/$AJ111,'Технический лист'!$I:$J,2,1)-VLOOKUP($AO111,'Технический лист'!$I:$J,2,1)),1+(1-$AU111))</f>
        <v>1.1149999999999998</v>
      </c>
      <c r="DU111" s="15">
        <f>MIN(IF($AU111=100%,1,1+VLOOKUP(($AJ111-$AI111-$AH111-$AG111-$AF111-$AE111*(1+DU$3))/$AJ111,'Технический лист'!$I:$J,2,1)-VLOOKUP($AO111,'Технический лист'!$I:$J,2,1)),1+(1-$AU111))</f>
        <v>1.1149999999999998</v>
      </c>
      <c r="DV111" s="15">
        <f>MIN(IF($AU111=100%,1,1+VLOOKUP(($AJ111-$AI111-$AH111-$AG111-$AF111-$AE111*(1+DV$3))/$AJ111,'Технический лист'!$I:$J,2,1)-VLOOKUP($AO111,'Технический лист'!$I:$J,2,1)),1+(1-$AU111))</f>
        <v>1.1149999999999998</v>
      </c>
      <c r="DW111" s="15">
        <f>MIN(IF($AU111=100%,1,1+VLOOKUP(($AJ111-$AI111-$AH111-$AG111-$AF111-$AE111*(1+DW$3))/$AJ111,'Технический лист'!$I:$J,2,1)-VLOOKUP($AO111,'Технический лист'!$I:$J,2,1)),1+(1-$AU111))</f>
        <v>1.0899999999999999</v>
      </c>
      <c r="DX111" s="15">
        <f>MIN(IF($AU111=100%,1,1+VLOOKUP(($AJ111-$AI111-$AH111-$AG111-$AF111-$AE111*(1+DX$3))/$AJ111,'Технический лист'!$I:$J,2,1)-VLOOKUP($AO111,'Технический лист'!$I:$J,2,1)),1+(1-$AU111))</f>
        <v>1.0899999999999999</v>
      </c>
      <c r="DY111" s="15">
        <f>MIN(IF($AU111=100%,1,1+VLOOKUP(($AJ111-$AI111-$AH111-$AG111-$AF111-$AE111*(1+DY$3))/$AJ111,'Технический лист'!$I:$J,2,1)-VLOOKUP($AO111,'Технический лист'!$I:$J,2,1)),1+(1-$AU111))</f>
        <v>1.0899999999999999</v>
      </c>
      <c r="DZ111" s="15">
        <f>MIN(IF($AU111=100%,1,1+VLOOKUP(($AJ111-$AI111-$AH111-$AG111-$AF111-$AE111*(1+DZ$3))/$AJ111,'Технический лист'!$I:$J,2,1)-VLOOKUP($AO111,'Технический лист'!$I:$J,2,1)),1+(1-$AU111))</f>
        <v>1.0899999999999999</v>
      </c>
      <c r="EA111" s="15">
        <f>MIN(IF($AU111=100%,1,1+VLOOKUP(($AJ111-$AI111-$AH111-$AG111-$AF111-$AE111*(1+EA$3))/$AJ111,'Технический лист'!$I:$J,2,1)-VLOOKUP($AO111,'Технический лист'!$I:$J,2,1)),1+(1-$AU111))</f>
        <v>1.0899999999999999</v>
      </c>
      <c r="EB111" s="15">
        <f>MIN(IF($AU111=100%,1,1+VLOOKUP(($AJ111-$AI111-$AH111-$AG111-$AF111-$AE111*(1+EB$3))/$AJ111,'Технический лист'!$I:$J,2,1)-VLOOKUP($AO111,'Технический лист'!$I:$J,2,1)),1+(1-$AU111))</f>
        <v>1.0899999999999999</v>
      </c>
      <c r="EC111" s="15">
        <f>MIN(IF($AU111=100%,1,1+VLOOKUP(($AJ111-$AI111-$AH111-$AG111-$AF111-$AE111*(1+EC$3))/$AJ111,'Технический лист'!$I:$J,2,1)-VLOOKUP($AO111,'Технический лист'!$I:$J,2,1)),1+(1-$AU111))</f>
        <v>1.0899999999999999</v>
      </c>
      <c r="ED111" s="15">
        <f>MIN(IF($AU111=100%,1,1+VLOOKUP(($AJ111-$AI111-$AH111-$AG111-$AF111-$AE111*(1+ED$3))/$AJ111,'Технический лист'!$I:$J,2,1)-VLOOKUP($AO111,'Технический лист'!$I:$J,2,1)),1+(1-$AU111))</f>
        <v>1.06</v>
      </c>
      <c r="EE111" s="15">
        <f>MIN(IF($AU111=100%,1,1+VLOOKUP(($AJ111-$AI111-$AH111-$AG111-$AF111-$AE111*(1+EE$3))/$AJ111,'Технический лист'!$I:$J,2,1)-VLOOKUP($AO111,'Технический лист'!$I:$J,2,1)),1+(1-$AU111))</f>
        <v>1.06</v>
      </c>
      <c r="EF111" s="15">
        <f>MIN(IF($AU111=100%,1,1+VLOOKUP(($AJ111-$AI111-$AH111-$AG111-$AF111-$AE111*(1+EF$3))/$AJ111,'Технический лист'!$I:$J,2,1)-VLOOKUP($AO111,'Технический лист'!$I:$J,2,1)),1+(1-$AU111))</f>
        <v>1.06</v>
      </c>
      <c r="EG111" s="15">
        <f>MIN(IF($AU111=100%,1,1+VLOOKUP(($AJ111-$AI111-$AH111-$AG111-$AF111-$AE111*(1+EG$3))/$AJ111,'Технический лист'!$I:$J,2,1)-VLOOKUP($AO111,'Технический лист'!$I:$J,2,1)),1+(1-$AU111))</f>
        <v>1.06</v>
      </c>
      <c r="EH111" s="15">
        <f>MIN(IF($AU111=100%,1,1+VLOOKUP(($AJ111-$AI111-$AH111-$AG111-$AF111-$AE111*(1+EH$3))/$AJ111,'Технический лист'!$I:$J,2,1)-VLOOKUP($AO111,'Технический лист'!$I:$J,2,1)),1+(1-$AU111))</f>
        <v>1.06</v>
      </c>
      <c r="EI111" s="15">
        <f>MIN(IF($AU111=100%,1,1+VLOOKUP(($AJ111-$AI111-$AH111-$AG111-$AF111-$AE111*(1+EI$3))/$AJ111,'Технический лист'!$I:$J,2,1)-VLOOKUP($AO111,'Технический лист'!$I:$J,2,1)),1+(1-$AU111))</f>
        <v>1.06</v>
      </c>
      <c r="EJ111" s="15">
        <f>MIN(IF($AU111=100%,1,1+VLOOKUP(($AJ111-$AI111-$AH111-$AG111-$AF111-$AE111*(1+EJ$3))/$AJ111,'Технический лист'!$I:$J,2,1)-VLOOKUP($AO111,'Технический лист'!$I:$J,2,1)),1+(1-$AU111))</f>
        <v>1.0299999999999998</v>
      </c>
      <c r="EK111" s="15">
        <f>MIN(IF($AU111=100%,1,1+VLOOKUP(($AJ111-$AI111-$AH111-$AG111-$AF111-$AE111*(1+EK$3))/$AJ111,'Технический лист'!$I:$J,2,1)-VLOOKUP($AO111,'Технический лист'!$I:$J,2,1)),1+(1-$AU111))</f>
        <v>1.0299999999999998</v>
      </c>
      <c r="EL111" s="15">
        <f>MIN(IF($AU111=100%,1,1+VLOOKUP(($AJ111-$AI111-$AH111-$AG111-$AF111-$AE111*(1+EL$3))/$AJ111,'Технический лист'!$I:$J,2,1)-VLOOKUP($AO111,'Технический лист'!$I:$J,2,1)),1+(1-$AU111))</f>
        <v>1.0299999999999998</v>
      </c>
      <c r="EM111" s="15">
        <f>MIN(IF($AU111=100%,1,1+VLOOKUP(($AJ111-$AI111-$AH111-$AG111-$AF111-$AE111*(1+EM$3))/$AJ111,'Технический лист'!$I:$J,2,1)-VLOOKUP($AO111,'Технический лист'!$I:$J,2,1)),1+(1-$AU111))</f>
        <v>1.0299999999999998</v>
      </c>
      <c r="EN111" s="15">
        <f>MIN(IF($AU111=100%,1,1+VLOOKUP(($AJ111-$AI111-$AH111-$AG111-$AF111-$AE111*(1+EN$3))/$AJ111,'Технический лист'!$I:$J,2,1)-VLOOKUP($AO111,'Технический лист'!$I:$J,2,1)),1+(1-$AU111))</f>
        <v>1.0299999999999998</v>
      </c>
      <c r="EO111" s="15">
        <f>MIN(IF($AU111=100%,1,1+VLOOKUP(($AJ111-$AI111-$AH111-$AG111-$AF111-$AE111*(1+EO$3))/$AJ111,'Технический лист'!$I:$J,2,1)-VLOOKUP($AO111,'Технический лист'!$I:$J,2,1)),1+(1-$AU111))</f>
        <v>1.0299999999999998</v>
      </c>
      <c r="EP111" s="15">
        <f>MIN(IF($AU111=100%,1,1+VLOOKUP(($AJ111-$AI111-$AH111-$AG111-$AF111-$AE111*(1+EP$3))/$AJ111,'Технический лист'!$I:$J,2,1)-VLOOKUP($AO111,'Технический лист'!$I:$J,2,1)),1+(1-$AU111))</f>
        <v>1.0299999999999998</v>
      </c>
      <c r="EQ111" s="15">
        <f>MIN(IF($AU111=100%,1,1+VLOOKUP(($AJ111-$AI111-$AH111-$AG111-$AF111-$AE111*(1+EQ$3))/$AJ111,'Технический лист'!$I:$J,2,1)-VLOOKUP($AO111,'Технический лист'!$I:$J,2,1)),1+(1-$AU111))</f>
        <v>1</v>
      </c>
      <c r="ER111" s="15">
        <f>MIN(IF($AU111=100%,1,1+VLOOKUP(($AJ111-$AI111-$AH111-$AG111-$AF111-$AE111*(1+ER$3))/$AJ111,'Технический лист'!$I:$J,2,1)-VLOOKUP($AO111,'Технический лист'!$I:$J,2,1)),1+(1-$AU111))</f>
        <v>1</v>
      </c>
      <c r="ES111" s="15">
        <f>MIN(IF($AU111=100%,1,1+VLOOKUP(($AJ111-$AI111-$AH111-$AG111-$AF111-$AE111*(1+ES$3))/$AJ111,'Технический лист'!$I:$J,2,1)-VLOOKUP($AO111,'Технический лист'!$I:$J,2,1)),1+(1-$AU111))</f>
        <v>1</v>
      </c>
      <c r="ET111" s="15">
        <f>MIN(IF($AU111=100%,1,1+VLOOKUP(($AJ111-$AI111-$AH111-$AG111-$AF111-$AE111*(1+ET$3))/$AJ111,'Технический лист'!$I:$J,2,1)-VLOOKUP($AO111,'Технический лист'!$I:$J,2,1)),1+(1-$AU111))</f>
        <v>1</v>
      </c>
      <c r="EU111" s="15">
        <f>MIN(IF($AU111=100%,1,1+VLOOKUP(($AJ111-$AI111-$AH111-$AG111-$AF111-$AE111*(1+EU$3))/$AJ111,'Технический лист'!$I:$J,2,1)-VLOOKUP($AO111,'Технический лист'!$I:$J,2,1)),1+(1-$AU111))</f>
        <v>1</v>
      </c>
      <c r="EV111" s="111">
        <v>1</v>
      </c>
      <c r="EW111" s="15">
        <f>MIN(1,MAX(VLOOKUP(($AJ111-$AI111-$AH111-$AG111-$AF111-$AE111*(1+EW$3))/$AJ111,'Технический лист'!$A:$B,2,1),(EV111-0.05)))</f>
        <v>0.96</v>
      </c>
      <c r="EX111" s="15">
        <f>MIN(1,MAX(VLOOKUP(($AJ111-$AI111-$AH111-$AG111-$AF111-$AE111*(1+EX$3))/$AJ111,'Технический лист'!$A:$B,2,1),(EW111-0.05)))</f>
        <v>0.96</v>
      </c>
      <c r="EY111" s="15">
        <f>MIN(1,MAX(VLOOKUP(($AJ111-$AI111-$AH111-$AG111-$AF111-$AE111*(1+EY$3))/$AJ111,'Технический лист'!$A:$B,2,1),(EX111-0.05)))</f>
        <v>0.96</v>
      </c>
      <c r="EZ111" s="15">
        <f>MIN(1,MAX(VLOOKUP(($AJ111-$AI111-$AH111-$AG111-$AF111-$AE111*(1+EZ$3))/$AJ111,'Технический лист'!$A:$B,2,1),(EY111-0.05)))</f>
        <v>0.96</v>
      </c>
      <c r="FA111" s="15">
        <f>MIN(1,MAX(VLOOKUP(($AJ111-$AI111-$AH111-$AG111-$AF111-$AE111*(1+FA$3))/$AJ111,'Технический лист'!$A:$B,2,1),(EZ111-0.05)))</f>
        <v>0.96</v>
      </c>
      <c r="FB111" s="15">
        <f>MIN(1,MAX(VLOOKUP(($AJ111-$AI111-$AH111-$AG111-$AF111-$AE111*(1+FB$3))/$AJ111,'Технический лист'!$A:$B,2,1),(FA111-0.05)))</f>
        <v>0.96</v>
      </c>
      <c r="FC111" s="15">
        <f>MIN(1,MAX(VLOOKUP(($AJ111-$AI111-$AH111-$AG111-$AF111-$AE111*(1+FC$3))/$AJ111,'Технический лист'!$A:$B,2,1),(FB111-0.05)))</f>
        <v>0.96</v>
      </c>
      <c r="FD111" s="15">
        <f>MIN(1,MAX(VLOOKUP(($AJ111-$AI111-$AH111-$AG111-$AF111-$AE111*(1+FD$3))/$AJ111,'Технический лист'!$A:$B,2,1),(FC111-0.05)))</f>
        <v>0.95499999999999996</v>
      </c>
      <c r="FE111" s="15">
        <f>MIN(1,MAX(VLOOKUP(($AJ111-$AI111-$AH111-$AG111-$AF111-$AE111*(1+FE$3))/$AJ111,'Технический лист'!$A:$B,2,1),(FD111-0.05)))</f>
        <v>0.95499999999999996</v>
      </c>
      <c r="FF111" s="15">
        <f>MIN(1,MAX(VLOOKUP(($AJ111-$AI111-$AH111-$AG111-$AF111-$AE111*(1+FF$3))/$AJ111,'Технический лист'!$A:$B,2,1),(FE111-0.05)))</f>
        <v>0.95499999999999996</v>
      </c>
      <c r="FG111" s="15">
        <f>MIN(1,MAX(VLOOKUP(($AJ111-$AI111-$AH111-$AG111-$AF111-$AE111*(1+FG$3))/$AJ111,'Технический лист'!$A:$B,2,1),(FF111-0.05)))</f>
        <v>0.95499999999999996</v>
      </c>
      <c r="FH111" s="15">
        <f>MIN(1,MAX(VLOOKUP(($AJ111-$AI111-$AH111-$AG111-$AF111-$AE111*(1+FH$3))/$AJ111,'Технический лист'!$A:$B,2,1),(FG111-0.05)))</f>
        <v>0.95499999999999996</v>
      </c>
      <c r="FI111" s="15">
        <f>MIN(1,MAX(VLOOKUP(($AJ111-$AI111-$AH111-$AG111-$AF111-$AE111*(1+FI$3))/$AJ111,'Технический лист'!$A:$B,2,1),(FH111-0.05)))</f>
        <v>0.95499999999999996</v>
      </c>
      <c r="FJ111" s="15">
        <f>MIN(1,MAX(VLOOKUP(($AJ111-$AI111-$AH111-$AG111-$AF111-$AE111*(1+FJ$3))/$AJ111,'Технический лист'!$A:$B,2,1),(FI111-0.05)))</f>
        <v>0.95499999999999996</v>
      </c>
      <c r="FK111" s="15">
        <f>MIN(1,MAX(VLOOKUP(($AJ111-$AI111-$AH111-$AG111-$AF111-$AE111*(1+FK$3))/$AJ111,'Технический лист'!$A:$B,2,1),(FJ111-0.05)))</f>
        <v>0.95499999999999996</v>
      </c>
      <c r="FL111" s="15">
        <f>MIN(1,MAX(VLOOKUP(($AJ111-$AI111-$AH111-$AG111-$AF111-$AE111*(1+FL$3))/$AJ111,'Технический лист'!$A:$B,2,1),(FK111-0.05)))</f>
        <v>0.95499999999999996</v>
      </c>
      <c r="FM111" s="15">
        <f>MIN(1,MAX(VLOOKUP(($AJ111-$AI111-$AH111-$AG111-$AF111-$AE111*(1+FM$3))/$AJ111,'Технический лист'!$A:$B,2,1),(FL111-0.05)))</f>
        <v>0.95499999999999996</v>
      </c>
      <c r="FN111" s="15">
        <f>MIN(1,MAX(VLOOKUP(($AJ111-$AI111-$AH111-$AG111-$AF111-$AE111*(1+FN$3))/$AJ111,'Технический лист'!$A:$B,2,1),(FM111-0.05)))</f>
        <v>0.95499999999999996</v>
      </c>
      <c r="FO111" s="15">
        <f>MIN(1,MAX(VLOOKUP(($AJ111-$AI111-$AH111-$AG111-$AF111-$AE111*(1+FO$3))/$AJ111,'Технический лист'!$A:$B,2,1),(FN111-0.05)))</f>
        <v>0.95499999999999996</v>
      </c>
      <c r="FP111" s="15">
        <f>MIN(1,MAX(VLOOKUP(($AJ111-$AI111-$AH111-$AG111-$AF111-$AE111*(1+FP$3))/$AJ111,'Технический лист'!$A:$B,2,1),(FO111-0.05)))</f>
        <v>0.95499999999999996</v>
      </c>
      <c r="FQ111" s="15">
        <f>MIN(1,MAX(VLOOKUP(($AJ111-$AI111-$AH111-$AG111-$AF111-$AE111*(1+FQ$3))/$AJ111,'Технический лист'!$A:$B,2,1),(FP111-0.05)))</f>
        <v>0.95</v>
      </c>
      <c r="FR111" s="15">
        <f>MIN(1,MAX(VLOOKUP(($AJ111-$AI111-$AH111-$AG111-$AF111-$AE111*(1+FR$3))/$AJ111,'Технический лист'!$A:$B,2,1),(FQ111-0.05)))</f>
        <v>0.95</v>
      </c>
      <c r="FS111" s="15">
        <f>MIN(1,MAX(VLOOKUP(($AJ111-$AI111-$AH111-$AG111-$AF111-$AE111*(1+FS$3))/$AJ111,'Технический лист'!$A:$B,2,1),(FR111-0.05)))</f>
        <v>0.95</v>
      </c>
      <c r="FT111" s="15">
        <f>MIN(1,MAX(VLOOKUP(($AJ111-$AI111-$AH111-$AG111-$AF111-$AE111*(1+FT$3))/$AJ111,'Технический лист'!$A:$B,2,1),(FS111-0.05)))</f>
        <v>0.95</v>
      </c>
      <c r="FU111" s="15">
        <f>MIN(1,MAX(VLOOKUP(($AJ111-$AI111-$AH111-$AG111-$AF111-$AE111*(1+FU$3))/$AJ111,'Технический лист'!$A:$B,2,1),(FT111-0.05)))</f>
        <v>0.95</v>
      </c>
      <c r="FV111" s="15">
        <f>MIN(1,MAX(VLOOKUP(($AJ111-$AI111-$AH111-$AG111-$AF111-$AE111*(1+FV$3))/$AJ111,'Технический лист'!$A:$B,2,1),(FU111-0.05)))</f>
        <v>0.95</v>
      </c>
      <c r="FW111" s="15">
        <f>MIN(1,MAX(VLOOKUP(($AJ111-$AI111-$AH111-$AG111-$AF111-$AE111*(1+FW$3))/$AJ111,'Технический лист'!$A:$B,2,1),(FV111-0.05)))</f>
        <v>0.95</v>
      </c>
      <c r="FX111" s="15">
        <f>MIN(1,MAX(VLOOKUP(($AJ111-$AI111-$AH111-$AG111-$AF111-$AE111*(1+FX$3))/$AJ111,'Технический лист'!$A:$B,2,1),(FW111-0.05)))</f>
        <v>0.95</v>
      </c>
      <c r="FY111" s="15">
        <f>MIN(1,MAX(VLOOKUP(($AJ111-$AI111-$AH111-$AG111-$AF111-$AE111*(1+FY$3))/$AJ111,'Технический лист'!$A:$B,2,1),(FX111-0.05)))</f>
        <v>0.95</v>
      </c>
      <c r="FZ111" s="15">
        <f>MIN(1,MAX(VLOOKUP(($AJ111-$AI111-$AH111-$AG111-$AF111-$AE111*(1+FZ$3))/$AJ111,'Технический лист'!$A:$B,2,1),(FY111-0.05)))</f>
        <v>0.95</v>
      </c>
      <c r="GA111" s="15">
        <f>MIN(1,MAX(VLOOKUP(($AJ111-$AI111-$AH111-$AG111-$AF111-$AE111*(1+GA$3))/$AJ111,'Технический лист'!$A:$B,2,1),(FZ111-0.05)))</f>
        <v>0.95</v>
      </c>
      <c r="GB111" s="15">
        <f>MIN(1,MAX(VLOOKUP(($AJ111-$AI111-$AH111-$AG111-$AF111-$AE111*(1+GB$3))/$AJ111,'Технический лист'!$A:$B,2,1),(GA111-0.05)))</f>
        <v>0.95</v>
      </c>
      <c r="GC111" s="15">
        <f>MIN(1,MAX(VLOOKUP(($AJ111-$AI111-$AH111-$AG111-$AF111-$AE111*(1+GC$3))/$AJ111,'Технический лист'!$A:$B,2,1),(GB111-0.05)))</f>
        <v>0.95</v>
      </c>
      <c r="GD111" s="15">
        <f>MIN(1,MAX(VLOOKUP(($AJ111-$AI111-$AH111-$AG111-$AF111-$AE111*(1+GD$3))/$AJ111,'Технический лист'!$A:$B,2,1),(GC111-0.05)))</f>
        <v>0.94499999999999995</v>
      </c>
      <c r="GE111" s="15">
        <f>MIN(1,MAX(VLOOKUP(($AJ111-$AI111-$AH111-$AG111-$AF111-$AE111*(1+GE$3))/$AJ111,'Технический лист'!$A:$B,2,1),(GD111-0.05)))</f>
        <v>0.94499999999999995</v>
      </c>
      <c r="GF111" s="15">
        <f>MIN(1,MAX(VLOOKUP(($AJ111-$AI111-$AH111-$AG111-$AF111-$AE111*(1+GF$3))/$AJ111,'Технический лист'!$A:$B,2,1),(GE111-0.05)))</f>
        <v>0.94499999999999995</v>
      </c>
      <c r="GG111" s="15">
        <f>MIN(1,MAX(VLOOKUP(($AJ111-$AI111-$AH111-$AG111-$AF111-$AE111*(1+GG$3))/$AJ111,'Технический лист'!$A:$B,2,1),(GF111-0.05)))</f>
        <v>0.94499999999999995</v>
      </c>
      <c r="GH111" s="15">
        <f>MIN(1,MAX(VLOOKUP(($AJ111-$AI111-$AH111-$AG111-$AF111-$AE111*(1+GH$3))/$AJ111,'Технический лист'!$A:$B,2,1),(GG111-0.05)))</f>
        <v>0.94499999999999995</v>
      </c>
      <c r="GI111" s="15">
        <f>MIN(1,MAX(VLOOKUP(($AJ111-$AI111-$AH111-$AG111-$AF111-$AE111*(1+GI$3))/$AJ111,'Технический лист'!$A:$B,2,1),(GH111-0.05)))</f>
        <v>0.94499999999999995</v>
      </c>
      <c r="GJ111" s="15">
        <f>MIN(1,MAX(VLOOKUP(($AJ111-$AI111-$AH111-$AG111-$AF111-$AE111*(1+GJ$3))/$AJ111,'Технический лист'!$A:$B,2,1),(GI111-0.05)))</f>
        <v>0.94499999999999995</v>
      </c>
      <c r="GK111" s="15">
        <f>MIN(1,MAX(VLOOKUP(($AJ111-$AI111-$AH111-$AG111-$AF111-$AE111*(1+GK$3))/$AJ111,'Технический лист'!$A:$B,2,1),(GJ111-0.05)))</f>
        <v>0.94499999999999995</v>
      </c>
      <c r="GL111" s="15">
        <f>MIN(1,MAX(VLOOKUP(($AJ111-$AI111-$AH111-$AG111-$AF111-$AE111*(1+GL$3))/$AJ111,'Технический лист'!$A:$B,2,1),(GK111-0.05)))</f>
        <v>0.94499999999999995</v>
      </c>
      <c r="GM111" s="15">
        <f>MIN(1,MAX(VLOOKUP(($AJ111-$AI111-$AH111-$AG111-$AF111-$AE111*(1+GM$3))/$AJ111,'Технический лист'!$A:$B,2,1),(GL111-0.05)))</f>
        <v>0.94499999999999995</v>
      </c>
      <c r="GN111" s="15">
        <f>MIN(1,MAX(VLOOKUP(($AJ111-$AI111-$AH111-$AG111-$AF111-$AE111*(1+GN$3))/$AJ111,'Технический лист'!$A:$B,2,1),(GM111-0.05)))</f>
        <v>0.94499999999999995</v>
      </c>
      <c r="GO111" s="15">
        <f>MIN(1,MAX(VLOOKUP(($AJ111-$AI111-$AH111-$AG111-$AF111-$AE111*(1+GO$3))/$AJ111,'Технический лист'!$A:$B,2,1),(GN111-0.05)))</f>
        <v>0.94499999999999995</v>
      </c>
      <c r="GP111" s="15">
        <f>MIN(1,MAX(VLOOKUP(($AJ111-$AI111-$AH111-$AG111-$AF111-$AE111*(1+GP$3))/$AJ111,'Технический лист'!$A:$B,2,1),(GO111-0.05)))</f>
        <v>0.94499999999999995</v>
      </c>
      <c r="GQ111" s="15">
        <f>MIN(1,MAX(VLOOKUP(($AJ111-$AI111-$AH111-$AG111-$AF111-$AE111*(1+GQ$3))/$AJ111,'Технический лист'!$A:$B,2,1),(GP111-0.05)))</f>
        <v>0.94499999999999995</v>
      </c>
      <c r="GR111" s="15">
        <f>MIN(1,MAX(VLOOKUP(($AJ111-$AI111-$AH111-$AG111-$AF111-$AE111*(1+GR$3))/$AJ111,'Технический лист'!$A:$B,2,1),(GQ111-0.05)))</f>
        <v>0.94</v>
      </c>
      <c r="GS111" s="15">
        <f>MIN(1,MAX(VLOOKUP(($AJ111-$AI111-$AH111-$AG111-$AF111-$AE111*(1+GS$3))/$AJ111,'Технический лист'!$A:$B,2,1),(GR111-0.05)))</f>
        <v>0.94</v>
      </c>
      <c r="GT111" s="15">
        <f>MIN(1,MAX(VLOOKUP(($AJ111-$AI111-$AH111-$AG111-$AF111-$AE111*(1+GT$3))/$AJ111,'Технический лист'!$A:$B,2,1),(GS111-0.05)))</f>
        <v>0.94</v>
      </c>
      <c r="GU111" s="15">
        <f>MIN(1,MAX(VLOOKUP(($AJ111-$AI111-$AH111-$AG111-$AF111-$AE111*(1+GU$3))/$AJ111,'Технический лист'!$A:$B,2,1),(GT111-0.05)))</f>
        <v>0.94</v>
      </c>
      <c r="GV111" s="15">
        <f>MIN(1,MAX(VLOOKUP(($AJ111-$AI111-$AH111-$AG111-$AF111-$AE111*(1+GV$3))/$AJ111,'Технический лист'!$A:$B,2,1),(GU111-0.05)))</f>
        <v>0.94</v>
      </c>
      <c r="GW111" s="15">
        <f>MIN(1,MAX(VLOOKUP(($AJ111-$AI111-$AH111-$AG111-$AF111-$AE111*(1+GW$3))/$AJ111,'Технический лист'!$A:$B,2,1),(GV111-0.05)))</f>
        <v>0.94</v>
      </c>
      <c r="GX111" s="15">
        <f>MIN(1,MAX(VLOOKUP(($AJ111-$AI111-$AH111-$AG111-$AF111-$AE111*(1+GX$3))/$AJ111,'Технический лист'!$A:$B,2,1),(GW111-0.05)))</f>
        <v>0.94</v>
      </c>
      <c r="GY111" s="15">
        <f>MIN(1,MAX(VLOOKUP(($AJ111-$AI111-$AH111-$AG111-$AF111-$AE111*(1+GY$3))/$AJ111,'Технический лист'!$A:$B,2,1),(GX111-0.05)))</f>
        <v>0.94</v>
      </c>
      <c r="GZ111" s="15">
        <f>MIN(1,MAX(VLOOKUP(($AJ111-$AI111-$AH111-$AG111-$AF111-$AE111*(1+GZ$3))/$AJ111,'Технический лист'!$A:$B,2,1),(GY111-0.05)))</f>
        <v>0.94</v>
      </c>
      <c r="HA111" s="15">
        <f>MIN(1,MAX(VLOOKUP(($AJ111-$AI111-$AH111-$AG111-$AF111-$AE111*(1+HA$3))/$AJ111,'Технический лист'!$A:$B,2,1),(GZ111-0.05)))</f>
        <v>0.94</v>
      </c>
      <c r="HB111" s="15">
        <f>MIN(1,MAX(VLOOKUP(($AJ111-$AI111-$AH111-$AG111-$AF111-$AE111*(1+HB$3))/$AJ111,'Технический лист'!$A:$B,2,1),(HA111-0.05)))</f>
        <v>0.94</v>
      </c>
      <c r="HC111" s="15">
        <f>MIN(1,MAX(VLOOKUP(($AJ111-$AI111-$AH111-$AG111-$AF111-$AE111*(1+HC$3))/$AJ111,'Технический лист'!$A:$B,2,1),(HB111-0.05)))</f>
        <v>0.94</v>
      </c>
      <c r="HD111" s="15">
        <f>MIN(1,MAX(VLOOKUP(($AJ111-$AI111-$AH111-$AG111-$AF111-$AE111*(1+HD$3))/$AJ111,'Технический лист'!$A:$B,2,1),(HC111-0.05)))</f>
        <v>0.94</v>
      </c>
      <c r="HE111" s="15">
        <f>MIN(1,MAX(VLOOKUP(($AJ111-$AI111-$AH111-$AG111-$AF111-$AE111*(1+HE$3))/$AJ111,'Технический лист'!$A:$B,2,1),(HD111-0.05)))</f>
        <v>0.93500000000000005</v>
      </c>
      <c r="HF111" s="15">
        <f>MIN(1,MAX(VLOOKUP(($AJ111-$AI111-$AH111-$AG111-$AF111-$AE111*(1+HF$3))/$AJ111,'Технический лист'!$A:$B,2,1),(HE111-0.05)))</f>
        <v>0.93500000000000005</v>
      </c>
      <c r="HG111" s="15">
        <f>MIN(1,MAX(VLOOKUP(($AJ111-$AI111-$AH111-$AG111-$AF111-$AE111*(1+HG$3))/$AJ111,'Технический лист'!$A:$B,2,1),(HF111-0.05)))</f>
        <v>0.93500000000000005</v>
      </c>
      <c r="HH111" s="15">
        <f>MIN(1,MAX(VLOOKUP(($AJ111-$AI111-$AH111-$AG111-$AF111-$AE111*(1+HH$3))/$AJ111,'Технический лист'!$A:$B,2,1),(HG111-0.05)))</f>
        <v>0.93500000000000005</v>
      </c>
      <c r="HI111" s="15">
        <f>MIN(1,MAX(VLOOKUP(($AJ111-$AI111-$AH111-$AG111-$AF111-$AE111*(1+HI$3))/$AJ111,'Технический лист'!$A:$B,2,1),(HH111-0.05)))</f>
        <v>0.93500000000000005</v>
      </c>
      <c r="HJ111" s="15">
        <f>MIN(1,MAX(VLOOKUP(($AJ111-$AI111-$AH111-$AG111-$AF111-$AE111*(1+HJ$3))/$AJ111,'Технический лист'!$A:$B,2,1),(HI111-0.05)))</f>
        <v>0.93500000000000005</v>
      </c>
      <c r="HK111" s="15">
        <f>MIN(1,MAX(VLOOKUP(($AJ111-$AI111-$AH111-$AG111-$AF111-$AE111*(1+HK$3))/$AJ111,'Технический лист'!$A:$B,2,1),(HJ111-0.05)))</f>
        <v>0.93500000000000005</v>
      </c>
      <c r="HL111" s="15">
        <f>MIN(1,MAX(VLOOKUP(($AJ111-$AI111-$AH111-$AG111-$AF111-$AE111*(1+HL$3))/$AJ111,'Технический лист'!$A:$B,2,1),(HK111-0.05)))</f>
        <v>0.93500000000000005</v>
      </c>
      <c r="HM111" s="15">
        <f>MIN(1,MAX(VLOOKUP(($AJ111-$AI111-$AH111-$AG111-$AF111-$AE111*(1+HM$3))/$AJ111,'Технический лист'!$A:$B,2,1),(HL111-0.05)))</f>
        <v>0.93500000000000005</v>
      </c>
      <c r="HN111" s="15">
        <f>MIN(1,MAX(VLOOKUP(($AJ111-$AI111-$AH111-$AG111-$AF111-$AE111*(1+HN$3))/$AJ111,'Технический лист'!$A:$B,2,1),(HM111-0.05)))</f>
        <v>0.93500000000000005</v>
      </c>
      <c r="HO111" s="15">
        <f>MIN(1,MAX(VLOOKUP(($AJ111-$AI111-$AH111-$AG111-$AF111-$AE111*(1+HO$3))/$AJ111,'Технический лист'!$A:$B,2,1),(HN111-0.05)))</f>
        <v>0.93500000000000005</v>
      </c>
      <c r="HP111" s="15">
        <f>MIN(1,MAX(VLOOKUP(($AJ111-$AI111-$AH111-$AG111-$AF111-$AE111*(1+HP$3))/$AJ111,'Технический лист'!$A:$B,2,1),(HO111-0.05)))</f>
        <v>0.93500000000000005</v>
      </c>
      <c r="HQ111" s="15">
        <f>MIN(1,MAX(VLOOKUP(($AJ111-$AI111-$AH111-$AG111-$AF111-$AE111*(1+HQ$3))/$AJ111,'Технический лист'!$A:$B,2,1),(HP111-0.05)))</f>
        <v>0.93500000000000005</v>
      </c>
      <c r="HR111" s="15">
        <f>MIN(1,MAX(VLOOKUP(($AJ111-$AI111-$AH111-$AG111-$AF111-$AE111*(1+HR$3))/$AJ111,'Технический лист'!$A:$B,2,1),(HQ111-0.05)))</f>
        <v>0.93</v>
      </c>
      <c r="HS111" s="15">
        <f>MIN(1,MAX(VLOOKUP(($AJ111-$AI111-$AH111-$AG111-$AF111-$AE111*(1+HS$3))/$AJ111,'Технический лист'!$A:$B,2,1),(HR111-0.05)))</f>
        <v>0.93</v>
      </c>
      <c r="HT111" s="15">
        <f>MIN(1,MAX(VLOOKUP(($AJ111-$AI111-$AH111-$AG111-$AF111-$AE111*(1+HT$3))/$AJ111,'Технический лист'!$A:$B,2,1),(HS111-0.05)))</f>
        <v>0.93</v>
      </c>
      <c r="HU111" s="15">
        <f>MIN(1,MAX(VLOOKUP(($AJ111-$AI111-$AH111-$AG111-$AF111-$AE111*(1+HU$3))/$AJ111,'Технический лист'!$A:$B,2,1),(HT111-0.05)))</f>
        <v>0.93</v>
      </c>
      <c r="HV111" s="15">
        <f>MIN(1,MAX(VLOOKUP(($AJ111-$AI111-$AH111-$AG111-$AF111-$AE111*(1+HV$3))/$AJ111,'Технический лист'!$A:$B,2,1),(HU111-0.05)))</f>
        <v>0.93</v>
      </c>
      <c r="HW111" s="15">
        <f>MIN(1,MAX(VLOOKUP(($AJ111-$AI111-$AH111-$AG111-$AF111-$AE111*(1+HW$3))/$AJ111,'Технический лист'!$A:$B,2,1),(HV111-0.05)))</f>
        <v>0.93</v>
      </c>
      <c r="HX111" s="15">
        <f>MIN(1,MAX(VLOOKUP(($AJ111-$AI111-$AH111-$AG111-$AF111-$AE111*(1+HX$3))/$AJ111,'Технический лист'!$A:$B,2,1),(HW111-0.05)))</f>
        <v>0.93</v>
      </c>
      <c r="HY111" s="15">
        <f>MIN(1,MAX(VLOOKUP(($AJ111-$AI111-$AH111-$AG111-$AF111-$AE111*(1+HY$3))/$AJ111,'Технический лист'!$A:$B,2,1),(HX111-0.05)))</f>
        <v>0.93</v>
      </c>
      <c r="HZ111" s="15">
        <f>MIN(1,MAX(VLOOKUP(($AJ111-$AI111-$AH111-$AG111-$AF111-$AE111*(1+HZ$3))/$AJ111,'Технический лист'!$A:$B,2,1),(HY111-0.05)))</f>
        <v>0.93</v>
      </c>
      <c r="IA111" s="15">
        <f>MIN(1,MAX(VLOOKUP(($AJ111-$AI111-$AH111-$AG111-$AF111-$AE111*(1+IA$3))/$AJ111,'Технический лист'!$A:$B,2,1),(HZ111-0.05)))</f>
        <v>0.93</v>
      </c>
      <c r="IB111" s="15">
        <f>MIN(1,MAX(VLOOKUP(($AJ111-$AI111-$AH111-$AG111-$AF111-$AE111*(1+IB$3))/$AJ111,'Технический лист'!$A:$B,2,1),(IA111-0.05)))</f>
        <v>0.93</v>
      </c>
      <c r="IC111" s="15">
        <f>MIN(1,MAX(VLOOKUP(($AJ111-$AI111-$AH111-$AG111-$AF111-$AE111*(1+IC$3))/$AJ111,'Технический лист'!$A:$B,2,1),(IB111-0.05)))</f>
        <v>0.93</v>
      </c>
      <c r="ID111" s="15">
        <f>MIN(1,MAX(VLOOKUP(($AJ111-$AI111-$AH111-$AG111-$AF111-$AE111*(1+ID$3))/$AJ111,'Технический лист'!$A:$B,2,1),(IC111-0.05)))</f>
        <v>0.93</v>
      </c>
      <c r="IE111" s="15">
        <f>MIN(1,MAX(VLOOKUP(($AJ111-$AI111-$AH111-$AG111-$AF111-$AE111*(1+IE$3))/$AJ111,'Технический лист'!$A:$B,2,1),(ID111-0.05)))</f>
        <v>0.92500000000000004</v>
      </c>
      <c r="IF111" s="15">
        <f>MIN(1,MAX(VLOOKUP(($AJ111-$AI111-$AH111-$AG111-$AF111-$AE111*(1+IF$3))/$AJ111,'Технический лист'!$A:$B,2,1),(IE111-0.05)))</f>
        <v>0.92500000000000004</v>
      </c>
      <c r="IG111" s="15">
        <f>MIN(1,MAX(VLOOKUP(($AJ111-$AI111-$AH111-$AG111-$AF111-$AE111*(1+IG$3))/$AJ111,'Технический лист'!$A:$B,2,1),(IF111-0.05)))</f>
        <v>0.92500000000000004</v>
      </c>
      <c r="IH111" s="15">
        <f>MIN(1,MAX(VLOOKUP(($AJ111-$AI111-$AH111-$AG111-$AF111-$AE111*(1+IH$3))/$AJ111,'Технический лист'!$A:$B,2,1),(IG111-0.05)))</f>
        <v>0.92500000000000004</v>
      </c>
      <c r="II111" s="15">
        <f>MIN(1,MAX(VLOOKUP(($AJ111-$AI111-$AH111-$AG111-$AF111-$AE111*(1+II$3))/$AJ111,'Технический лист'!$A:$B,2,1),(IH111-0.05)))</f>
        <v>0.92500000000000004</v>
      </c>
      <c r="IJ111" s="15">
        <f>MIN(1,MAX(VLOOKUP(($AJ111-$AI111-$AH111-$AG111-$AF111-$AE111*(1+IJ$3))/$AJ111,'Технический лист'!$A:$B,2,1),(II111-0.05)))</f>
        <v>0.92500000000000004</v>
      </c>
      <c r="IK111" s="15">
        <f>MIN(1,MAX(VLOOKUP(($AJ111-$AI111-$AH111-$AG111-$AF111-$AE111*(1+IK$3))/$AJ111,'Технический лист'!$A:$B,2,1),(IJ111-0.05)))</f>
        <v>0.92500000000000004</v>
      </c>
      <c r="IL111" s="15">
        <f>MIN(1,MAX(VLOOKUP(($AJ111-$AI111-$AH111-$AG111-$AF111-$AE111*(1+IL$3))/$AJ111,'Технический лист'!$A:$B,2,1),(IK111-0.05)))</f>
        <v>0.92500000000000004</v>
      </c>
      <c r="IM111" s="15">
        <f>MIN(1,MAX(VLOOKUP(($AJ111-$AI111-$AH111-$AG111-$AF111-$AE111*(1+IM$3))/$AJ111,'Технический лист'!$A:$B,2,1),(IL111-0.05)))</f>
        <v>0.92500000000000004</v>
      </c>
      <c r="IN111" s="15">
        <f>MIN(1,MAX(VLOOKUP(($AJ111-$AI111-$AH111-$AG111-$AF111-$AE111*(1+IN$3))/$AJ111,'Технический лист'!$A:$B,2,1),(IM111-0.05)))</f>
        <v>0.92500000000000004</v>
      </c>
      <c r="IO111" s="15">
        <f>MIN(1,MAX(VLOOKUP(($AJ111-$AI111-$AH111-$AG111-$AF111-$AE111*(1+IO$3))/$AJ111,'Технический лист'!$A:$B,2,1),(IN111-0.05)))</f>
        <v>0.92500000000000004</v>
      </c>
      <c r="IP111" s="15">
        <f>MIN(1,MAX(VLOOKUP(($AJ111-$AI111-$AH111-$AG111-$AF111-$AE111*(1+IP$3))/$AJ111,'Технический лист'!$A:$B,2,1),(IO111-0.05)))</f>
        <v>0.92500000000000004</v>
      </c>
      <c r="IQ111" s="15">
        <f>MIN(1,MAX(VLOOKUP(($AJ111-$AI111-$AH111-$AG111-$AF111-$AE111*(1+IQ$3))/$AJ111,'Технический лист'!$A:$B,2,1),(IP111-0.05)))</f>
        <v>0.92500000000000004</v>
      </c>
      <c r="IR111" s="15">
        <f>MIN(1,MAX(VLOOKUP(($AJ111-$AI111-$AH111-$AG111-$AF111-$AE111*(1+IR$3))/$AJ111,'Технический лист'!$A:$B,2,1),(IQ111-0.05)))</f>
        <v>0.92</v>
      </c>
    </row>
    <row r="112" spans="1:252" ht="43.75">
      <c r="A112" s="89" t="s">
        <v>515</v>
      </c>
      <c r="B112" s="90">
        <v>5</v>
      </c>
      <c r="C112" s="5" t="s">
        <v>68</v>
      </c>
      <c r="D112" s="91">
        <v>32416</v>
      </c>
      <c r="E112" s="91" t="s">
        <v>352</v>
      </c>
      <c r="F112" s="92" t="s">
        <v>75</v>
      </c>
      <c r="G112" s="91" t="s">
        <v>31</v>
      </c>
      <c r="H112" s="91" t="s">
        <v>19</v>
      </c>
      <c r="I112" s="91" t="s">
        <v>102</v>
      </c>
      <c r="J112" s="91" t="s">
        <v>114</v>
      </c>
      <c r="K112" s="91">
        <v>2595</v>
      </c>
      <c r="L112" s="85" t="s">
        <v>64</v>
      </c>
      <c r="M112" s="91" t="s">
        <v>190</v>
      </c>
      <c r="N112" s="91" t="s">
        <v>191</v>
      </c>
      <c r="O112" s="91" t="s">
        <v>194</v>
      </c>
      <c r="P112" s="89" t="s">
        <v>207</v>
      </c>
      <c r="Q112" s="91" t="s">
        <v>270</v>
      </c>
      <c r="R112" s="91" t="s">
        <v>256</v>
      </c>
      <c r="S112" s="82">
        <v>19459</v>
      </c>
      <c r="T112" s="82">
        <v>50495857</v>
      </c>
      <c r="U112" s="81">
        <v>304</v>
      </c>
      <c r="V112" s="81">
        <v>0</v>
      </c>
      <c r="W112" s="82">
        <v>87119845</v>
      </c>
      <c r="X112" s="112">
        <v>62</v>
      </c>
      <c r="Y112" s="112" t="s">
        <v>416</v>
      </c>
      <c r="Z112" s="113">
        <v>10</v>
      </c>
      <c r="AA112" s="113">
        <v>8</v>
      </c>
      <c r="AB112" s="113">
        <v>4</v>
      </c>
      <c r="AC112" s="99">
        <v>5077</v>
      </c>
      <c r="AD112" s="99">
        <f t="shared" si="46"/>
        <v>705.60000000000036</v>
      </c>
      <c r="AE112" s="99">
        <v>5782.6</v>
      </c>
      <c r="AF112" s="98">
        <f>(Z112+AA112+AB112)*'Ставки аренды'!$B$3/X112</f>
        <v>248.38709677419354</v>
      </c>
      <c r="AG112" s="114">
        <v>0</v>
      </c>
      <c r="AH112" s="94">
        <v>0</v>
      </c>
      <c r="AI112" s="116">
        <f>429559973/511416159*AVERAGE(AJ108,AJ109)</f>
        <v>37074.566427681828</v>
      </c>
      <c r="AJ112" s="117">
        <f>Цены!$D$16</f>
        <v>48600</v>
      </c>
      <c r="AK112" s="94">
        <f>AJ112/Цены!$B$1</f>
        <v>636.91345971129215</v>
      </c>
      <c r="AL112" s="95">
        <f t="shared" si="24"/>
        <v>6030.9870967741936</v>
      </c>
      <c r="AM112" s="95">
        <f t="shared" si="25"/>
        <v>42569.012903225805</v>
      </c>
      <c r="AN112" s="94">
        <f t="shared" si="39"/>
        <v>43105.553524456023</v>
      </c>
      <c r="AO112" s="118">
        <f t="shared" si="40"/>
        <v>0.11305445422929994</v>
      </c>
      <c r="AP112" s="96">
        <f t="shared" si="26"/>
        <v>0.12409438470728794</v>
      </c>
      <c r="AQ112" s="96">
        <f t="shared" si="27"/>
        <v>0.11898353909465022</v>
      </c>
      <c r="AR112" s="96">
        <f t="shared" si="28"/>
        <v>0.95881485189927729</v>
      </c>
      <c r="AS112" s="122">
        <v>1</v>
      </c>
      <c r="AT112" s="121">
        <f t="shared" si="45"/>
        <v>19459</v>
      </c>
      <c r="AU112" s="83">
        <v>0.6</v>
      </c>
      <c r="AV112" s="119">
        <f t="shared" si="41"/>
        <v>9.8776429537941982E-2</v>
      </c>
      <c r="AW112" s="120">
        <f t="shared" si="42"/>
        <v>0.13837240939864595</v>
      </c>
      <c r="AX112" s="120">
        <f t="shared" si="43"/>
        <v>0.13326156378600823</v>
      </c>
      <c r="AY112" s="120">
        <f t="shared" si="44"/>
        <v>0.96306456153470921</v>
      </c>
      <c r="AZ112" s="15">
        <f>MIN(IF($AU112=100%,1,1+VLOOKUP(($AJ112-$AI112-$AH112-$AG112-$AF112-$AE112*(1+AZ$3))/$AJ112,'Технический лист'!$I:$J,2,1)-VLOOKUP($AO112,'Технический лист'!$I:$J,2,1)),1+(1-$AU112))</f>
        <v>1.4</v>
      </c>
      <c r="BA112" s="15">
        <f>MIN(IF($AU112=100%,1,1+VLOOKUP(($AJ112-$AI112-$AH112-$AG112-$AF112-$AE112*(1+BA$3))/$AJ112,'Технический лист'!$I:$J,2,1)-VLOOKUP($AO112,'Технический лист'!$I:$J,2,1)),1+(1-$AU112))</f>
        <v>1.4</v>
      </c>
      <c r="BB112" s="15">
        <f>MIN(IF($AU112=100%,1,1+VLOOKUP(($AJ112-$AI112-$AH112-$AG112-$AF112-$AE112*(1+BB$3))/$AJ112,'Технический лист'!$I:$J,2,1)-VLOOKUP($AO112,'Технический лист'!$I:$J,2,1)),1+(1-$AU112))</f>
        <v>1.4</v>
      </c>
      <c r="BC112" s="15">
        <f>MIN(IF($AU112=100%,1,1+VLOOKUP(($AJ112-$AI112-$AH112-$AG112-$AF112-$AE112*(1+BC$3))/$AJ112,'Технический лист'!$I:$J,2,1)-VLOOKUP($AO112,'Технический лист'!$I:$J,2,1)),1+(1-$AU112))</f>
        <v>1.4</v>
      </c>
      <c r="BD112" s="15">
        <f>MIN(IF($AU112=100%,1,1+VLOOKUP(($AJ112-$AI112-$AH112-$AG112-$AF112-$AE112*(1+BD$3))/$AJ112,'Технический лист'!$I:$J,2,1)-VLOOKUP($AO112,'Технический лист'!$I:$J,2,1)),1+(1-$AU112))</f>
        <v>1.4</v>
      </c>
      <c r="BE112" s="15">
        <f>MIN(IF($AU112=100%,1,1+VLOOKUP(($AJ112-$AI112-$AH112-$AG112-$AF112-$AE112*(1+BE$3))/$AJ112,'Технический лист'!$I:$J,2,1)-VLOOKUP($AO112,'Технический лист'!$I:$J,2,1)),1+(1-$AU112))</f>
        <v>1.4</v>
      </c>
      <c r="BF112" s="15">
        <f>MIN(IF($AU112=100%,1,1+VLOOKUP(($AJ112-$AI112-$AH112-$AG112-$AF112-$AE112*(1+BF$3))/$AJ112,'Технический лист'!$I:$J,2,1)-VLOOKUP($AO112,'Технический лист'!$I:$J,2,1)),1+(1-$AU112))</f>
        <v>1.4</v>
      </c>
      <c r="BG112" s="15">
        <f>MIN(IF($AU112=100%,1,1+VLOOKUP(($AJ112-$AI112-$AH112-$AG112-$AF112-$AE112*(1+BG$3))/$AJ112,'Технический лист'!$I:$J,2,1)-VLOOKUP($AO112,'Технический лист'!$I:$J,2,1)),1+(1-$AU112))</f>
        <v>1.4</v>
      </c>
      <c r="BH112" s="15">
        <f>MIN(IF($AU112=100%,1,1+VLOOKUP(($AJ112-$AI112-$AH112-$AG112-$AF112-$AE112*(1+BH$3))/$AJ112,'Технический лист'!$I:$J,2,1)-VLOOKUP($AO112,'Технический лист'!$I:$J,2,1)),1+(1-$AU112))</f>
        <v>1.4</v>
      </c>
      <c r="BI112" s="15">
        <f>MIN(IF($AU112=100%,1,1+VLOOKUP(($AJ112-$AI112-$AH112-$AG112-$AF112-$AE112*(1+BI$3))/$AJ112,'Технический лист'!$I:$J,2,1)-VLOOKUP($AO112,'Технический лист'!$I:$J,2,1)),1+(1-$AU112))</f>
        <v>1.4</v>
      </c>
      <c r="BJ112" s="15">
        <f>MIN(IF($AU112=100%,1,1+VLOOKUP(($AJ112-$AI112-$AH112-$AG112-$AF112-$AE112*(1+BJ$3))/$AJ112,'Технический лист'!$I:$J,2,1)-VLOOKUP($AO112,'Технический лист'!$I:$J,2,1)),1+(1-$AU112))</f>
        <v>1.4</v>
      </c>
      <c r="BK112" s="15">
        <f>MIN(IF($AU112=100%,1,1+VLOOKUP(($AJ112-$AI112-$AH112-$AG112-$AF112-$AE112*(1+BK$3))/$AJ112,'Технический лист'!$I:$J,2,1)-VLOOKUP($AO112,'Технический лист'!$I:$J,2,1)),1+(1-$AU112))</f>
        <v>1.4</v>
      </c>
      <c r="BL112" s="15">
        <f>MIN(IF($AU112=100%,1,1+VLOOKUP(($AJ112-$AI112-$AH112-$AG112-$AF112-$AE112*(1+BL$3))/$AJ112,'Технический лист'!$I:$J,2,1)-VLOOKUP($AO112,'Технический лист'!$I:$J,2,1)),1+(1-$AU112))</f>
        <v>1.4</v>
      </c>
      <c r="BM112" s="15">
        <f>MIN(IF($AU112=100%,1,1+VLOOKUP(($AJ112-$AI112-$AH112-$AG112-$AF112-$AE112*(1+BM$3))/$AJ112,'Технический лист'!$I:$J,2,1)-VLOOKUP($AO112,'Технический лист'!$I:$J,2,1)),1+(1-$AU112))</f>
        <v>1.4</v>
      </c>
      <c r="BN112" s="15">
        <f>MIN(IF($AU112=100%,1,1+VLOOKUP(($AJ112-$AI112-$AH112-$AG112-$AF112-$AE112*(1+BN$3))/$AJ112,'Технический лист'!$I:$J,2,1)-VLOOKUP($AO112,'Технический лист'!$I:$J,2,1)),1+(1-$AU112))</f>
        <v>1.4</v>
      </c>
      <c r="BO112" s="15">
        <f>MIN(IF($AU112=100%,1,1+VLOOKUP(($AJ112-$AI112-$AH112-$AG112-$AF112-$AE112*(1+BO$3))/$AJ112,'Технический лист'!$I:$J,2,1)-VLOOKUP($AO112,'Технический лист'!$I:$J,2,1)),1+(1-$AU112))</f>
        <v>1.4</v>
      </c>
      <c r="BP112" s="15">
        <f>MIN(IF($AU112=100%,1,1+VLOOKUP(($AJ112-$AI112-$AH112-$AG112-$AF112-$AE112*(1+BP$3))/$AJ112,'Технический лист'!$I:$J,2,1)-VLOOKUP($AO112,'Технический лист'!$I:$J,2,1)),1+(1-$AU112))</f>
        <v>1.4</v>
      </c>
      <c r="BQ112" s="15">
        <f>MIN(IF($AU112=100%,1,1+VLOOKUP(($AJ112-$AI112-$AH112-$AG112-$AF112-$AE112*(1+BQ$3))/$AJ112,'Технический лист'!$I:$J,2,1)-VLOOKUP($AO112,'Технический лист'!$I:$J,2,1)),1+(1-$AU112))</f>
        <v>1.4</v>
      </c>
      <c r="BR112" s="15">
        <f>MIN(IF($AU112=100%,1,1+VLOOKUP(($AJ112-$AI112-$AH112-$AG112-$AF112-$AE112*(1+BR$3))/$AJ112,'Технический лист'!$I:$J,2,1)-VLOOKUP($AO112,'Технический лист'!$I:$J,2,1)),1+(1-$AU112))</f>
        <v>1.4</v>
      </c>
      <c r="BS112" s="15">
        <f>MIN(IF($AU112=100%,1,1+VLOOKUP(($AJ112-$AI112-$AH112-$AG112-$AF112-$AE112*(1+BS$3))/$AJ112,'Технический лист'!$I:$J,2,1)-VLOOKUP($AO112,'Технический лист'!$I:$J,2,1)),1+(1-$AU112))</f>
        <v>1.4</v>
      </c>
      <c r="BT112" s="15">
        <f>MIN(IF($AU112=100%,1,1+VLOOKUP(($AJ112-$AI112-$AH112-$AG112-$AF112-$AE112*(1+BT$3))/$AJ112,'Технический лист'!$I:$J,2,1)-VLOOKUP($AO112,'Технический лист'!$I:$J,2,1)),1+(1-$AU112))</f>
        <v>1.4</v>
      </c>
      <c r="BU112" s="15">
        <f>MIN(IF($AU112=100%,1,1+VLOOKUP(($AJ112-$AI112-$AH112-$AG112-$AF112-$AE112*(1+BU$3))/$AJ112,'Технический лист'!$I:$J,2,1)-VLOOKUP($AO112,'Технический лист'!$I:$J,2,1)),1+(1-$AU112))</f>
        <v>1.4</v>
      </c>
      <c r="BV112" s="15">
        <f>MIN(IF($AU112=100%,1,1+VLOOKUP(($AJ112-$AI112-$AH112-$AG112-$AF112-$AE112*(1+BV$3))/$AJ112,'Технический лист'!$I:$J,2,1)-VLOOKUP($AO112,'Технический лист'!$I:$J,2,1)),1+(1-$AU112))</f>
        <v>1.37</v>
      </c>
      <c r="BW112" s="15">
        <f>MIN(IF($AU112=100%,1,1+VLOOKUP(($AJ112-$AI112-$AH112-$AG112-$AF112-$AE112*(1+BW$3))/$AJ112,'Технический лист'!$I:$J,2,1)-VLOOKUP($AO112,'Технический лист'!$I:$J,2,1)),1+(1-$AU112))</f>
        <v>1.37</v>
      </c>
      <c r="BX112" s="15">
        <f>MIN(IF($AU112=100%,1,1+VLOOKUP(($AJ112-$AI112-$AH112-$AG112-$AF112-$AE112*(1+BX$3))/$AJ112,'Технический лист'!$I:$J,2,1)-VLOOKUP($AO112,'Технический лист'!$I:$J,2,1)),1+(1-$AU112))</f>
        <v>1.37</v>
      </c>
      <c r="BY112" s="15">
        <f>MIN(IF($AU112=100%,1,1+VLOOKUP(($AJ112-$AI112-$AH112-$AG112-$AF112-$AE112*(1+BY$3))/$AJ112,'Технический лист'!$I:$J,2,1)-VLOOKUP($AO112,'Технический лист'!$I:$J,2,1)),1+(1-$AU112))</f>
        <v>1.37</v>
      </c>
      <c r="BZ112" s="15">
        <f>MIN(IF($AU112=100%,1,1+VLOOKUP(($AJ112-$AI112-$AH112-$AG112-$AF112-$AE112*(1+BZ$3))/$AJ112,'Технический лист'!$I:$J,2,1)-VLOOKUP($AO112,'Технический лист'!$I:$J,2,1)),1+(1-$AU112))</f>
        <v>1.37</v>
      </c>
      <c r="CA112" s="15">
        <f>MIN(IF($AU112=100%,1,1+VLOOKUP(($AJ112-$AI112-$AH112-$AG112-$AF112-$AE112*(1+CA$3))/$AJ112,'Технический лист'!$I:$J,2,1)-VLOOKUP($AO112,'Технический лист'!$I:$J,2,1)),1+(1-$AU112))</f>
        <v>1.37</v>
      </c>
      <c r="CB112" s="15">
        <f>MIN(IF($AU112=100%,1,1+VLOOKUP(($AJ112-$AI112-$AH112-$AG112-$AF112-$AE112*(1+CB$3))/$AJ112,'Технический лист'!$I:$J,2,1)-VLOOKUP($AO112,'Технический лист'!$I:$J,2,1)),1+(1-$AU112))</f>
        <v>1.37</v>
      </c>
      <c r="CC112" s="15">
        <f>MIN(IF($AU112=100%,1,1+VLOOKUP(($AJ112-$AI112-$AH112-$AG112-$AF112-$AE112*(1+CC$3))/$AJ112,'Технический лист'!$I:$J,2,1)-VLOOKUP($AO112,'Технический лист'!$I:$J,2,1)),1+(1-$AU112))</f>
        <v>1.37</v>
      </c>
      <c r="CD112" s="15">
        <f>MIN(IF($AU112=100%,1,1+VLOOKUP(($AJ112-$AI112-$AH112-$AG112-$AF112-$AE112*(1+CD$3))/$AJ112,'Технический лист'!$I:$J,2,1)-VLOOKUP($AO112,'Технический лист'!$I:$J,2,1)),1+(1-$AU112))</f>
        <v>1.3199999999999998</v>
      </c>
      <c r="CE112" s="15">
        <f>MIN(IF($AU112=100%,1,1+VLOOKUP(($AJ112-$AI112-$AH112-$AG112-$AF112-$AE112*(1+CE$3))/$AJ112,'Технический лист'!$I:$J,2,1)-VLOOKUP($AO112,'Технический лист'!$I:$J,2,1)),1+(1-$AU112))</f>
        <v>1.3199999999999998</v>
      </c>
      <c r="CF112" s="15">
        <f>MIN(IF($AU112=100%,1,1+VLOOKUP(($AJ112-$AI112-$AH112-$AG112-$AF112-$AE112*(1+CF$3))/$AJ112,'Технический лист'!$I:$J,2,1)-VLOOKUP($AO112,'Технический лист'!$I:$J,2,1)),1+(1-$AU112))</f>
        <v>1.3199999999999998</v>
      </c>
      <c r="CG112" s="15">
        <f>MIN(IF($AU112=100%,1,1+VLOOKUP(($AJ112-$AI112-$AH112-$AG112-$AF112-$AE112*(1+CG$3))/$AJ112,'Технический лист'!$I:$J,2,1)-VLOOKUP($AO112,'Технический лист'!$I:$J,2,1)),1+(1-$AU112))</f>
        <v>1.3199999999999998</v>
      </c>
      <c r="CH112" s="15">
        <f>MIN(IF($AU112=100%,1,1+VLOOKUP(($AJ112-$AI112-$AH112-$AG112-$AF112-$AE112*(1+CH$3))/$AJ112,'Технический лист'!$I:$J,2,1)-VLOOKUP($AO112,'Технический лист'!$I:$J,2,1)),1+(1-$AU112))</f>
        <v>1.3199999999999998</v>
      </c>
      <c r="CI112" s="15">
        <f>MIN(IF($AU112=100%,1,1+VLOOKUP(($AJ112-$AI112-$AH112-$AG112-$AF112-$AE112*(1+CI$3))/$AJ112,'Технический лист'!$I:$J,2,1)-VLOOKUP($AO112,'Технический лист'!$I:$J,2,1)),1+(1-$AU112))</f>
        <v>1.3199999999999998</v>
      </c>
      <c r="CJ112" s="15">
        <f>MIN(IF($AU112=100%,1,1+VLOOKUP(($AJ112-$AI112-$AH112-$AG112-$AF112-$AE112*(1+CJ$3))/$AJ112,'Технический лист'!$I:$J,2,1)-VLOOKUP($AO112,'Технический лист'!$I:$J,2,1)),1+(1-$AU112))</f>
        <v>1.3199999999999998</v>
      </c>
      <c r="CK112" s="15">
        <f>MIN(IF($AU112=100%,1,1+VLOOKUP(($AJ112-$AI112-$AH112-$AG112-$AF112-$AE112*(1+CK$3))/$AJ112,'Технический лист'!$I:$J,2,1)-VLOOKUP($AO112,'Технический лист'!$I:$J,2,1)),1+(1-$AU112))</f>
        <v>1.3199999999999998</v>
      </c>
      <c r="CL112" s="15">
        <f>MIN(IF($AU112=100%,1,1+VLOOKUP(($AJ112-$AI112-$AH112-$AG112-$AF112-$AE112*(1+CL$3))/$AJ112,'Технический лист'!$I:$J,2,1)-VLOOKUP($AO112,'Технический лист'!$I:$J,2,1)),1+(1-$AU112))</f>
        <v>1.2749999999999999</v>
      </c>
      <c r="CM112" s="15">
        <f>MIN(IF($AU112=100%,1,1+VLOOKUP(($AJ112-$AI112-$AH112-$AG112-$AF112-$AE112*(1+CM$3))/$AJ112,'Технический лист'!$I:$J,2,1)-VLOOKUP($AO112,'Технический лист'!$I:$J,2,1)),1+(1-$AU112))</f>
        <v>1.2749999999999999</v>
      </c>
      <c r="CN112" s="15">
        <f>MIN(IF($AU112=100%,1,1+VLOOKUP(($AJ112-$AI112-$AH112-$AG112-$AF112-$AE112*(1+CN$3))/$AJ112,'Технический лист'!$I:$J,2,1)-VLOOKUP($AO112,'Технический лист'!$I:$J,2,1)),1+(1-$AU112))</f>
        <v>1.2749999999999999</v>
      </c>
      <c r="CO112" s="15">
        <f>MIN(IF($AU112=100%,1,1+VLOOKUP(($AJ112-$AI112-$AH112-$AG112-$AF112-$AE112*(1+CO$3))/$AJ112,'Технический лист'!$I:$J,2,1)-VLOOKUP($AO112,'Технический лист'!$I:$J,2,1)),1+(1-$AU112))</f>
        <v>1.2749999999999999</v>
      </c>
      <c r="CP112" s="15">
        <f>MIN(IF($AU112=100%,1,1+VLOOKUP(($AJ112-$AI112-$AH112-$AG112-$AF112-$AE112*(1+CP$3))/$AJ112,'Технический лист'!$I:$J,2,1)-VLOOKUP($AO112,'Технический лист'!$I:$J,2,1)),1+(1-$AU112))</f>
        <v>1.2749999999999999</v>
      </c>
      <c r="CQ112" s="15">
        <f>MIN(IF($AU112=100%,1,1+VLOOKUP(($AJ112-$AI112-$AH112-$AG112-$AF112-$AE112*(1+CQ$3))/$AJ112,'Технический лист'!$I:$J,2,1)-VLOOKUP($AO112,'Технический лист'!$I:$J,2,1)),1+(1-$AU112))</f>
        <v>1.2749999999999999</v>
      </c>
      <c r="CR112" s="15">
        <f>MIN(IF($AU112=100%,1,1+VLOOKUP(($AJ112-$AI112-$AH112-$AG112-$AF112-$AE112*(1+CR$3))/$AJ112,'Технический лист'!$I:$J,2,1)-VLOOKUP($AO112,'Технический лист'!$I:$J,2,1)),1+(1-$AU112))</f>
        <v>1.2749999999999999</v>
      </c>
      <c r="CS112" s="15">
        <f>MIN(IF($AU112=100%,1,1+VLOOKUP(($AJ112-$AI112-$AH112-$AG112-$AF112-$AE112*(1+CS$3))/$AJ112,'Технический лист'!$I:$J,2,1)-VLOOKUP($AO112,'Технический лист'!$I:$J,2,1)),1+(1-$AU112))</f>
        <v>1.2749999999999999</v>
      </c>
      <c r="CT112" s="15">
        <f>MIN(IF($AU112=100%,1,1+VLOOKUP(($AJ112-$AI112-$AH112-$AG112-$AF112-$AE112*(1+CT$3))/$AJ112,'Технический лист'!$I:$J,2,1)-VLOOKUP($AO112,'Технический лист'!$I:$J,2,1)),1+(1-$AU112))</f>
        <v>1.2749999999999999</v>
      </c>
      <c r="CU112" s="15">
        <f>MIN(IF($AU112=100%,1,1+VLOOKUP(($AJ112-$AI112-$AH112-$AG112-$AF112-$AE112*(1+CU$3))/$AJ112,'Технический лист'!$I:$J,2,1)-VLOOKUP($AO112,'Технический лист'!$I:$J,2,1)),1+(1-$AU112))</f>
        <v>1.23</v>
      </c>
      <c r="CV112" s="15">
        <f>MIN(IF($AU112=100%,1,1+VLOOKUP(($AJ112-$AI112-$AH112-$AG112-$AF112-$AE112*(1+CV$3))/$AJ112,'Технический лист'!$I:$J,2,1)-VLOOKUP($AO112,'Технический лист'!$I:$J,2,1)),1+(1-$AU112))</f>
        <v>1.23</v>
      </c>
      <c r="CW112" s="15">
        <f>MIN(IF($AU112=100%,1,1+VLOOKUP(($AJ112-$AI112-$AH112-$AG112-$AF112-$AE112*(1+CW$3))/$AJ112,'Технический лист'!$I:$J,2,1)-VLOOKUP($AO112,'Технический лист'!$I:$J,2,1)),1+(1-$AU112))</f>
        <v>1.23</v>
      </c>
      <c r="CX112" s="15">
        <f>MIN(IF($AU112=100%,1,1+VLOOKUP(($AJ112-$AI112-$AH112-$AG112-$AF112-$AE112*(1+CX$3))/$AJ112,'Технический лист'!$I:$J,2,1)-VLOOKUP($AO112,'Технический лист'!$I:$J,2,1)),1+(1-$AU112))</f>
        <v>1.23</v>
      </c>
      <c r="CY112" s="15">
        <f>MIN(IF($AU112=100%,1,1+VLOOKUP(($AJ112-$AI112-$AH112-$AG112-$AF112-$AE112*(1+CY$3))/$AJ112,'Технический лист'!$I:$J,2,1)-VLOOKUP($AO112,'Технический лист'!$I:$J,2,1)),1+(1-$AU112))</f>
        <v>1.23</v>
      </c>
      <c r="CZ112" s="15">
        <f>MIN(IF($AU112=100%,1,1+VLOOKUP(($AJ112-$AI112-$AH112-$AG112-$AF112-$AE112*(1+CZ$3))/$AJ112,'Технический лист'!$I:$J,2,1)-VLOOKUP($AO112,'Технический лист'!$I:$J,2,1)),1+(1-$AU112))</f>
        <v>1.23</v>
      </c>
      <c r="DA112" s="15">
        <f>MIN(IF($AU112=100%,1,1+VLOOKUP(($AJ112-$AI112-$AH112-$AG112-$AF112-$AE112*(1+DA$3))/$AJ112,'Технический лист'!$I:$J,2,1)-VLOOKUP($AO112,'Технический лист'!$I:$J,2,1)),1+(1-$AU112))</f>
        <v>1.23</v>
      </c>
      <c r="DB112" s="15">
        <f>MIN(IF($AU112=100%,1,1+VLOOKUP(($AJ112-$AI112-$AH112-$AG112-$AF112-$AE112*(1+DB$3))/$AJ112,'Технический лист'!$I:$J,2,1)-VLOOKUP($AO112,'Технический лист'!$I:$J,2,1)),1+(1-$AU112))</f>
        <v>1.23</v>
      </c>
      <c r="DC112" s="15">
        <f>MIN(IF($AU112=100%,1,1+VLOOKUP(($AJ112-$AI112-$AH112-$AG112-$AF112-$AE112*(1+DC$3))/$AJ112,'Технический лист'!$I:$J,2,1)-VLOOKUP($AO112,'Технический лист'!$I:$J,2,1)),1+(1-$AU112))</f>
        <v>1.19</v>
      </c>
      <c r="DD112" s="15">
        <f>MIN(IF($AU112=100%,1,1+VLOOKUP(($AJ112-$AI112-$AH112-$AG112-$AF112-$AE112*(1+DD$3))/$AJ112,'Технический лист'!$I:$J,2,1)-VLOOKUP($AO112,'Технический лист'!$I:$J,2,1)),1+(1-$AU112))</f>
        <v>1.19</v>
      </c>
      <c r="DE112" s="15">
        <f>MIN(IF($AU112=100%,1,1+VLOOKUP(($AJ112-$AI112-$AH112-$AG112-$AF112-$AE112*(1+DE$3))/$AJ112,'Технический лист'!$I:$J,2,1)-VLOOKUP($AO112,'Технический лист'!$I:$J,2,1)),1+(1-$AU112))</f>
        <v>1.19</v>
      </c>
      <c r="DF112" s="15">
        <f>MIN(IF($AU112=100%,1,1+VLOOKUP(($AJ112-$AI112-$AH112-$AG112-$AF112-$AE112*(1+DF$3))/$AJ112,'Технический лист'!$I:$J,2,1)-VLOOKUP($AO112,'Технический лист'!$I:$J,2,1)),1+(1-$AU112))</f>
        <v>1.19</v>
      </c>
      <c r="DG112" s="15">
        <f>MIN(IF($AU112=100%,1,1+VLOOKUP(($AJ112-$AI112-$AH112-$AG112-$AF112-$AE112*(1+DG$3))/$AJ112,'Технический лист'!$I:$J,2,1)-VLOOKUP($AO112,'Технический лист'!$I:$J,2,1)),1+(1-$AU112))</f>
        <v>1.19</v>
      </c>
      <c r="DH112" s="15">
        <f>MIN(IF($AU112=100%,1,1+VLOOKUP(($AJ112-$AI112-$AH112-$AG112-$AF112-$AE112*(1+DH$3))/$AJ112,'Технический лист'!$I:$J,2,1)-VLOOKUP($AO112,'Технический лист'!$I:$J,2,1)),1+(1-$AU112))</f>
        <v>1.19</v>
      </c>
      <c r="DI112" s="15">
        <f>MIN(IF($AU112=100%,1,1+VLOOKUP(($AJ112-$AI112-$AH112-$AG112-$AF112-$AE112*(1+DI$3))/$AJ112,'Технический лист'!$I:$J,2,1)-VLOOKUP($AO112,'Технический лист'!$I:$J,2,1)),1+(1-$AU112))</f>
        <v>1.19</v>
      </c>
      <c r="DJ112" s="15">
        <f>MIN(IF($AU112=100%,1,1+VLOOKUP(($AJ112-$AI112-$AH112-$AG112-$AF112-$AE112*(1+DJ$3))/$AJ112,'Технический лист'!$I:$J,2,1)-VLOOKUP($AO112,'Технический лист'!$I:$J,2,1)),1+(1-$AU112))</f>
        <v>1.19</v>
      </c>
      <c r="DK112" s="15">
        <f>MIN(IF($AU112=100%,1,1+VLOOKUP(($AJ112-$AI112-$AH112-$AG112-$AF112-$AE112*(1+DK$3))/$AJ112,'Технический лист'!$I:$J,2,1)-VLOOKUP($AO112,'Технический лист'!$I:$J,2,1)),1+(1-$AU112))</f>
        <v>1.19</v>
      </c>
      <c r="DL112" s="15">
        <f>MIN(IF($AU112=100%,1,1+VLOOKUP(($AJ112-$AI112-$AH112-$AG112-$AF112-$AE112*(1+DL$3))/$AJ112,'Технический лист'!$I:$J,2,1)-VLOOKUP($AO112,'Технический лист'!$I:$J,2,1)),1+(1-$AU112))</f>
        <v>1.1499999999999999</v>
      </c>
      <c r="DM112" s="15">
        <f>MIN(IF($AU112=100%,1,1+VLOOKUP(($AJ112-$AI112-$AH112-$AG112-$AF112-$AE112*(1+DM$3))/$AJ112,'Технический лист'!$I:$J,2,1)-VLOOKUP($AO112,'Технический лист'!$I:$J,2,1)),1+(1-$AU112))</f>
        <v>1.1499999999999999</v>
      </c>
      <c r="DN112" s="15">
        <f>MIN(IF($AU112=100%,1,1+VLOOKUP(($AJ112-$AI112-$AH112-$AG112-$AF112-$AE112*(1+DN$3))/$AJ112,'Технический лист'!$I:$J,2,1)-VLOOKUP($AO112,'Технический лист'!$I:$J,2,1)),1+(1-$AU112))</f>
        <v>1.1499999999999999</v>
      </c>
      <c r="DO112" s="15">
        <f>MIN(IF($AU112=100%,1,1+VLOOKUP(($AJ112-$AI112-$AH112-$AG112-$AF112-$AE112*(1+DO$3))/$AJ112,'Технический лист'!$I:$J,2,1)-VLOOKUP($AO112,'Технический лист'!$I:$J,2,1)),1+(1-$AU112))</f>
        <v>1.1499999999999999</v>
      </c>
      <c r="DP112" s="15">
        <f>MIN(IF($AU112=100%,1,1+VLOOKUP(($AJ112-$AI112-$AH112-$AG112-$AF112-$AE112*(1+DP$3))/$AJ112,'Технический лист'!$I:$J,2,1)-VLOOKUP($AO112,'Технический лист'!$I:$J,2,1)),1+(1-$AU112))</f>
        <v>1.1499999999999999</v>
      </c>
      <c r="DQ112" s="15">
        <f>MIN(IF($AU112=100%,1,1+VLOOKUP(($AJ112-$AI112-$AH112-$AG112-$AF112-$AE112*(1+DQ$3))/$AJ112,'Технический лист'!$I:$J,2,1)-VLOOKUP($AO112,'Технический лист'!$I:$J,2,1)),1+(1-$AU112))</f>
        <v>1.1499999999999999</v>
      </c>
      <c r="DR112" s="15">
        <f>MIN(IF($AU112=100%,1,1+VLOOKUP(($AJ112-$AI112-$AH112-$AG112-$AF112-$AE112*(1+DR$3))/$AJ112,'Технический лист'!$I:$J,2,1)-VLOOKUP($AO112,'Технический лист'!$I:$J,2,1)),1+(1-$AU112))</f>
        <v>1.1499999999999999</v>
      </c>
      <c r="DS112" s="15">
        <f>MIN(IF($AU112=100%,1,1+VLOOKUP(($AJ112-$AI112-$AH112-$AG112-$AF112-$AE112*(1+DS$3))/$AJ112,'Технический лист'!$I:$J,2,1)-VLOOKUP($AO112,'Технический лист'!$I:$J,2,1)),1+(1-$AU112))</f>
        <v>1.1499999999999999</v>
      </c>
      <c r="DT112" s="15">
        <f>MIN(IF($AU112=100%,1,1+VLOOKUP(($AJ112-$AI112-$AH112-$AG112-$AF112-$AE112*(1+DT$3))/$AJ112,'Технический лист'!$I:$J,2,1)-VLOOKUP($AO112,'Технический лист'!$I:$J,2,1)),1+(1-$AU112))</f>
        <v>1.1099999999999999</v>
      </c>
      <c r="DU112" s="15">
        <f>MIN(IF($AU112=100%,1,1+VLOOKUP(($AJ112-$AI112-$AH112-$AG112-$AF112-$AE112*(1+DU$3))/$AJ112,'Технический лист'!$I:$J,2,1)-VLOOKUP($AO112,'Технический лист'!$I:$J,2,1)),1+(1-$AU112))</f>
        <v>1.1099999999999999</v>
      </c>
      <c r="DV112" s="15">
        <f>MIN(IF($AU112=100%,1,1+VLOOKUP(($AJ112-$AI112-$AH112-$AG112-$AF112-$AE112*(1+DV$3))/$AJ112,'Технический лист'!$I:$J,2,1)-VLOOKUP($AO112,'Технический лист'!$I:$J,2,1)),1+(1-$AU112))</f>
        <v>1.1099999999999999</v>
      </c>
      <c r="DW112" s="15">
        <f>MIN(IF($AU112=100%,1,1+VLOOKUP(($AJ112-$AI112-$AH112-$AG112-$AF112-$AE112*(1+DW$3))/$AJ112,'Технический лист'!$I:$J,2,1)-VLOOKUP($AO112,'Технический лист'!$I:$J,2,1)),1+(1-$AU112))</f>
        <v>1.1099999999999999</v>
      </c>
      <c r="DX112" s="15">
        <f>MIN(IF($AU112=100%,1,1+VLOOKUP(($AJ112-$AI112-$AH112-$AG112-$AF112-$AE112*(1+DX$3))/$AJ112,'Технический лист'!$I:$J,2,1)-VLOOKUP($AO112,'Технический лист'!$I:$J,2,1)),1+(1-$AU112))</f>
        <v>1.1099999999999999</v>
      </c>
      <c r="DY112" s="15">
        <f>MIN(IF($AU112=100%,1,1+VLOOKUP(($AJ112-$AI112-$AH112-$AG112-$AF112-$AE112*(1+DY$3))/$AJ112,'Технический лист'!$I:$J,2,1)-VLOOKUP($AO112,'Технический лист'!$I:$J,2,1)),1+(1-$AU112))</f>
        <v>1.1099999999999999</v>
      </c>
      <c r="DZ112" s="15">
        <f>MIN(IF($AU112=100%,1,1+VLOOKUP(($AJ112-$AI112-$AH112-$AG112-$AF112-$AE112*(1+DZ$3))/$AJ112,'Технический лист'!$I:$J,2,1)-VLOOKUP($AO112,'Технический лист'!$I:$J,2,1)),1+(1-$AU112))</f>
        <v>1.1099999999999999</v>
      </c>
      <c r="EA112" s="15">
        <f>MIN(IF($AU112=100%,1,1+VLOOKUP(($AJ112-$AI112-$AH112-$AG112-$AF112-$AE112*(1+EA$3))/$AJ112,'Технический лист'!$I:$J,2,1)-VLOOKUP($AO112,'Технический лист'!$I:$J,2,1)),1+(1-$AU112))</f>
        <v>1.1099999999999999</v>
      </c>
      <c r="EB112" s="15">
        <f>MIN(IF($AU112=100%,1,1+VLOOKUP(($AJ112-$AI112-$AH112-$AG112-$AF112-$AE112*(1+EB$3))/$AJ112,'Технический лист'!$I:$J,2,1)-VLOOKUP($AO112,'Технический лист'!$I:$J,2,1)),1+(1-$AU112))</f>
        <v>1.0699999999999998</v>
      </c>
      <c r="EC112" s="15">
        <f>MIN(IF($AU112=100%,1,1+VLOOKUP(($AJ112-$AI112-$AH112-$AG112-$AF112-$AE112*(1+EC$3))/$AJ112,'Технический лист'!$I:$J,2,1)-VLOOKUP($AO112,'Технический лист'!$I:$J,2,1)),1+(1-$AU112))</f>
        <v>1.0699999999999998</v>
      </c>
      <c r="ED112" s="15">
        <f>MIN(IF($AU112=100%,1,1+VLOOKUP(($AJ112-$AI112-$AH112-$AG112-$AF112-$AE112*(1+ED$3))/$AJ112,'Технический лист'!$I:$J,2,1)-VLOOKUP($AO112,'Технический лист'!$I:$J,2,1)),1+(1-$AU112))</f>
        <v>1.0699999999999998</v>
      </c>
      <c r="EE112" s="15">
        <f>MIN(IF($AU112=100%,1,1+VLOOKUP(($AJ112-$AI112-$AH112-$AG112-$AF112-$AE112*(1+EE$3))/$AJ112,'Технический лист'!$I:$J,2,1)-VLOOKUP($AO112,'Технический лист'!$I:$J,2,1)),1+(1-$AU112))</f>
        <v>1.0699999999999998</v>
      </c>
      <c r="EF112" s="15">
        <f>MIN(IF($AU112=100%,1,1+VLOOKUP(($AJ112-$AI112-$AH112-$AG112-$AF112-$AE112*(1+EF$3))/$AJ112,'Технический лист'!$I:$J,2,1)-VLOOKUP($AO112,'Технический лист'!$I:$J,2,1)),1+(1-$AU112))</f>
        <v>1.0699999999999998</v>
      </c>
      <c r="EG112" s="15">
        <f>MIN(IF($AU112=100%,1,1+VLOOKUP(($AJ112-$AI112-$AH112-$AG112-$AF112-$AE112*(1+EG$3))/$AJ112,'Технический лист'!$I:$J,2,1)-VLOOKUP($AO112,'Технический лист'!$I:$J,2,1)),1+(1-$AU112))</f>
        <v>1.0699999999999998</v>
      </c>
      <c r="EH112" s="15">
        <f>MIN(IF($AU112=100%,1,1+VLOOKUP(($AJ112-$AI112-$AH112-$AG112-$AF112-$AE112*(1+EH$3))/$AJ112,'Технический лист'!$I:$J,2,1)-VLOOKUP($AO112,'Технический лист'!$I:$J,2,1)),1+(1-$AU112))</f>
        <v>1.0699999999999998</v>
      </c>
      <c r="EI112" s="15">
        <f>MIN(IF($AU112=100%,1,1+VLOOKUP(($AJ112-$AI112-$AH112-$AG112-$AF112-$AE112*(1+EI$3))/$AJ112,'Технический лист'!$I:$J,2,1)-VLOOKUP($AO112,'Технический лист'!$I:$J,2,1)),1+(1-$AU112))</f>
        <v>1.0699999999999998</v>
      </c>
      <c r="EJ112" s="15">
        <f>MIN(IF($AU112=100%,1,1+VLOOKUP(($AJ112-$AI112-$AH112-$AG112-$AF112-$AE112*(1+EJ$3))/$AJ112,'Технический лист'!$I:$J,2,1)-VLOOKUP($AO112,'Технический лист'!$I:$J,2,1)),1+(1-$AU112))</f>
        <v>1.0699999999999998</v>
      </c>
      <c r="EK112" s="15">
        <f>MIN(IF($AU112=100%,1,1+VLOOKUP(($AJ112-$AI112-$AH112-$AG112-$AF112-$AE112*(1+EK$3))/$AJ112,'Технический лист'!$I:$J,2,1)-VLOOKUP($AO112,'Технический лист'!$I:$J,2,1)),1+(1-$AU112))</f>
        <v>1.0350000000000001</v>
      </c>
      <c r="EL112" s="15">
        <f>MIN(IF($AU112=100%,1,1+VLOOKUP(($AJ112-$AI112-$AH112-$AG112-$AF112-$AE112*(1+EL$3))/$AJ112,'Технический лист'!$I:$J,2,1)-VLOOKUP($AO112,'Технический лист'!$I:$J,2,1)),1+(1-$AU112))</f>
        <v>1.0350000000000001</v>
      </c>
      <c r="EM112" s="15">
        <f>MIN(IF($AU112=100%,1,1+VLOOKUP(($AJ112-$AI112-$AH112-$AG112-$AF112-$AE112*(1+EM$3))/$AJ112,'Технический лист'!$I:$J,2,1)-VLOOKUP($AO112,'Технический лист'!$I:$J,2,1)),1+(1-$AU112))</f>
        <v>1.0350000000000001</v>
      </c>
      <c r="EN112" s="15">
        <f>MIN(IF($AU112=100%,1,1+VLOOKUP(($AJ112-$AI112-$AH112-$AG112-$AF112-$AE112*(1+EN$3))/$AJ112,'Технический лист'!$I:$J,2,1)-VLOOKUP($AO112,'Технический лист'!$I:$J,2,1)),1+(1-$AU112))</f>
        <v>1.0350000000000001</v>
      </c>
      <c r="EO112" s="15">
        <f>MIN(IF($AU112=100%,1,1+VLOOKUP(($AJ112-$AI112-$AH112-$AG112-$AF112-$AE112*(1+EO$3))/$AJ112,'Технический лист'!$I:$J,2,1)-VLOOKUP($AO112,'Технический лист'!$I:$J,2,1)),1+(1-$AU112))</f>
        <v>1.0350000000000001</v>
      </c>
      <c r="EP112" s="15">
        <f>MIN(IF($AU112=100%,1,1+VLOOKUP(($AJ112-$AI112-$AH112-$AG112-$AF112-$AE112*(1+EP$3))/$AJ112,'Технический лист'!$I:$J,2,1)-VLOOKUP($AO112,'Технический лист'!$I:$J,2,1)),1+(1-$AU112))</f>
        <v>1.0350000000000001</v>
      </c>
      <c r="EQ112" s="15">
        <f>MIN(IF($AU112=100%,1,1+VLOOKUP(($AJ112-$AI112-$AH112-$AG112-$AF112-$AE112*(1+EQ$3))/$AJ112,'Технический лист'!$I:$J,2,1)-VLOOKUP($AO112,'Технический лист'!$I:$J,2,1)),1+(1-$AU112))</f>
        <v>1.0350000000000001</v>
      </c>
      <c r="ER112" s="15">
        <f>MIN(IF($AU112=100%,1,1+VLOOKUP(($AJ112-$AI112-$AH112-$AG112-$AF112-$AE112*(1+ER$3))/$AJ112,'Технический лист'!$I:$J,2,1)-VLOOKUP($AO112,'Технический лист'!$I:$J,2,1)),1+(1-$AU112))</f>
        <v>1.0350000000000001</v>
      </c>
      <c r="ES112" s="15">
        <f>MIN(IF($AU112=100%,1,1+VLOOKUP(($AJ112-$AI112-$AH112-$AG112-$AF112-$AE112*(1+ES$3))/$AJ112,'Технический лист'!$I:$J,2,1)-VLOOKUP($AO112,'Технический лист'!$I:$J,2,1)),1+(1-$AU112))</f>
        <v>1</v>
      </c>
      <c r="ET112" s="15">
        <f>MIN(IF($AU112=100%,1,1+VLOOKUP(($AJ112-$AI112-$AH112-$AG112-$AF112-$AE112*(1+ET$3))/$AJ112,'Технический лист'!$I:$J,2,1)-VLOOKUP($AO112,'Технический лист'!$I:$J,2,1)),1+(1-$AU112))</f>
        <v>1</v>
      </c>
      <c r="EU112" s="15">
        <f>MIN(IF($AU112=100%,1,1+VLOOKUP(($AJ112-$AI112-$AH112-$AG112-$AF112-$AE112*(1+EU$3))/$AJ112,'Технический лист'!$I:$J,2,1)-VLOOKUP($AO112,'Технический лист'!$I:$J,2,1)),1+(1-$AU112))</f>
        <v>1</v>
      </c>
      <c r="EV112" s="111">
        <v>1</v>
      </c>
      <c r="EW112" s="15">
        <f>MIN(1,MAX(VLOOKUP(($AJ112-$AI112-$AH112-$AG112-$AF112-$AE112*(1+EW$3))/$AJ112,'Технический лист'!$A:$B,2,1),(EV112-0.05)))</f>
        <v>1</v>
      </c>
      <c r="EX112" s="15">
        <f>MIN(1,MAX(VLOOKUP(($AJ112-$AI112-$AH112-$AG112-$AF112-$AE112*(1+EX$3))/$AJ112,'Технический лист'!$A:$B,2,1),(EW112-0.05)))</f>
        <v>1</v>
      </c>
      <c r="EY112" s="15">
        <f>MIN(1,MAX(VLOOKUP(($AJ112-$AI112-$AH112-$AG112-$AF112-$AE112*(1+EY$3))/$AJ112,'Технический лист'!$A:$B,2,1),(EX112-0.05)))</f>
        <v>1</v>
      </c>
      <c r="EZ112" s="15">
        <f>MIN(1,MAX(VLOOKUP(($AJ112-$AI112-$AH112-$AG112-$AF112-$AE112*(1+EZ$3))/$AJ112,'Технический лист'!$A:$B,2,1),(EY112-0.05)))</f>
        <v>1</v>
      </c>
      <c r="FA112" s="15">
        <f>MIN(1,MAX(VLOOKUP(($AJ112-$AI112-$AH112-$AG112-$AF112-$AE112*(1+FA$3))/$AJ112,'Технический лист'!$A:$B,2,1),(EZ112-0.05)))</f>
        <v>1</v>
      </c>
      <c r="FB112" s="15">
        <f>MIN(1,MAX(VLOOKUP(($AJ112-$AI112-$AH112-$AG112-$AF112-$AE112*(1+FB$3))/$AJ112,'Технический лист'!$A:$B,2,1),(FA112-0.05)))</f>
        <v>1</v>
      </c>
      <c r="FC112" s="15">
        <f>MIN(1,MAX(VLOOKUP(($AJ112-$AI112-$AH112-$AG112-$AF112-$AE112*(1+FC$3))/$AJ112,'Технический лист'!$A:$B,2,1),(FB112-0.05)))</f>
        <v>1</v>
      </c>
      <c r="FD112" s="15">
        <f>MIN(1,MAX(VLOOKUP(($AJ112-$AI112-$AH112-$AG112-$AF112-$AE112*(1+FD$3))/$AJ112,'Технический лист'!$A:$B,2,1),(FC112-0.05)))</f>
        <v>1</v>
      </c>
      <c r="FE112" s="15">
        <f>MIN(1,MAX(VLOOKUP(($AJ112-$AI112-$AH112-$AG112-$AF112-$AE112*(1+FE$3))/$AJ112,'Технический лист'!$A:$B,2,1),(FD112-0.05)))</f>
        <v>1</v>
      </c>
      <c r="FF112" s="15">
        <f>MIN(1,MAX(VLOOKUP(($AJ112-$AI112-$AH112-$AG112-$AF112-$AE112*(1+FF$3))/$AJ112,'Технический лист'!$A:$B,2,1),(FE112-0.05)))</f>
        <v>1</v>
      </c>
      <c r="FG112" s="15">
        <f>MIN(1,MAX(VLOOKUP(($AJ112-$AI112-$AH112-$AG112-$AF112-$AE112*(1+FG$3))/$AJ112,'Технический лист'!$A:$B,2,1),(FF112-0.05)))</f>
        <v>1</v>
      </c>
      <c r="FH112" s="15">
        <f>MIN(1,MAX(VLOOKUP(($AJ112-$AI112-$AH112-$AG112-$AF112-$AE112*(1+FH$3))/$AJ112,'Технический лист'!$A:$B,2,1),(FG112-0.05)))</f>
        <v>1</v>
      </c>
      <c r="FI112" s="15">
        <f>MIN(1,MAX(VLOOKUP(($AJ112-$AI112-$AH112-$AG112-$AF112-$AE112*(1+FI$3))/$AJ112,'Технический лист'!$A:$B,2,1),(FH112-0.05)))</f>
        <v>1</v>
      </c>
      <c r="FJ112" s="15">
        <f>MIN(1,MAX(VLOOKUP(($AJ112-$AI112-$AH112-$AG112-$AF112-$AE112*(1+FJ$3))/$AJ112,'Технический лист'!$A:$B,2,1),(FI112-0.05)))</f>
        <v>1</v>
      </c>
      <c r="FK112" s="15">
        <f>MIN(1,MAX(VLOOKUP(($AJ112-$AI112-$AH112-$AG112-$AF112-$AE112*(1+FK$3))/$AJ112,'Технический лист'!$A:$B,2,1),(FJ112-0.05)))</f>
        <v>1</v>
      </c>
      <c r="FL112" s="15">
        <f>MIN(1,MAX(VLOOKUP(($AJ112-$AI112-$AH112-$AG112-$AF112-$AE112*(1+FL$3))/$AJ112,'Технический лист'!$A:$B,2,1),(FK112-0.05)))</f>
        <v>1</v>
      </c>
      <c r="FM112" s="15">
        <f>MIN(1,MAX(VLOOKUP(($AJ112-$AI112-$AH112-$AG112-$AF112-$AE112*(1+FM$3))/$AJ112,'Технический лист'!$A:$B,2,1),(FL112-0.05)))</f>
        <v>1</v>
      </c>
      <c r="FN112" s="15">
        <f>MIN(1,MAX(VLOOKUP(($AJ112-$AI112-$AH112-$AG112-$AF112-$AE112*(1+FN$3))/$AJ112,'Технический лист'!$A:$B,2,1),(FM112-0.05)))</f>
        <v>1</v>
      </c>
      <c r="FO112" s="15">
        <f>MIN(1,MAX(VLOOKUP(($AJ112-$AI112-$AH112-$AG112-$AF112-$AE112*(1+FO$3))/$AJ112,'Технический лист'!$A:$B,2,1),(FN112-0.05)))</f>
        <v>1</v>
      </c>
      <c r="FP112" s="15">
        <f>MIN(1,MAX(VLOOKUP(($AJ112-$AI112-$AH112-$AG112-$AF112-$AE112*(1+FP$3))/$AJ112,'Технический лист'!$A:$B,2,1),(FO112-0.05)))</f>
        <v>1</v>
      </c>
      <c r="FQ112" s="15">
        <f>MIN(1,MAX(VLOOKUP(($AJ112-$AI112-$AH112-$AG112-$AF112-$AE112*(1+FQ$3))/$AJ112,'Технический лист'!$A:$B,2,1),(FP112-0.05)))</f>
        <v>1</v>
      </c>
      <c r="FR112" s="15">
        <f>MIN(1,MAX(VLOOKUP(($AJ112-$AI112-$AH112-$AG112-$AF112-$AE112*(1+FR$3))/$AJ112,'Технический лист'!$A:$B,2,1),(FQ112-0.05)))</f>
        <v>1</v>
      </c>
      <c r="FS112" s="15">
        <f>MIN(1,MAX(VLOOKUP(($AJ112-$AI112-$AH112-$AG112-$AF112-$AE112*(1+FS$3))/$AJ112,'Технический лист'!$A:$B,2,1),(FR112-0.05)))</f>
        <v>1</v>
      </c>
      <c r="FT112" s="15">
        <f>MIN(1,MAX(VLOOKUP(($AJ112-$AI112-$AH112-$AG112-$AF112-$AE112*(1+FT$3))/$AJ112,'Технический лист'!$A:$B,2,1),(FS112-0.05)))</f>
        <v>1</v>
      </c>
      <c r="FU112" s="15">
        <f>MIN(1,MAX(VLOOKUP(($AJ112-$AI112-$AH112-$AG112-$AF112-$AE112*(1+FU$3))/$AJ112,'Технический лист'!$A:$B,2,1),(FT112-0.05)))</f>
        <v>1</v>
      </c>
      <c r="FV112" s="15">
        <f>MIN(1,MAX(VLOOKUP(($AJ112-$AI112-$AH112-$AG112-$AF112-$AE112*(1+FV$3))/$AJ112,'Технический лист'!$A:$B,2,1),(FU112-0.05)))</f>
        <v>1</v>
      </c>
      <c r="FW112" s="15">
        <f>MIN(1,MAX(VLOOKUP(($AJ112-$AI112-$AH112-$AG112-$AF112-$AE112*(1+FW$3))/$AJ112,'Технический лист'!$A:$B,2,1),(FV112-0.05)))</f>
        <v>1</v>
      </c>
      <c r="FX112" s="15">
        <f>MIN(1,MAX(VLOOKUP(($AJ112-$AI112-$AH112-$AG112-$AF112-$AE112*(1+FX$3))/$AJ112,'Технический лист'!$A:$B,2,1),(FW112-0.05)))</f>
        <v>1</v>
      </c>
      <c r="FY112" s="15">
        <f>MIN(1,MAX(VLOOKUP(($AJ112-$AI112-$AH112-$AG112-$AF112-$AE112*(1+FY$3))/$AJ112,'Технический лист'!$A:$B,2,1),(FX112-0.05)))</f>
        <v>1</v>
      </c>
      <c r="FZ112" s="15">
        <f>MIN(1,MAX(VLOOKUP(($AJ112-$AI112-$AH112-$AG112-$AF112-$AE112*(1+FZ$3))/$AJ112,'Технический лист'!$A:$B,2,1),(FY112-0.05)))</f>
        <v>1</v>
      </c>
      <c r="GA112" s="15">
        <f>MIN(1,MAX(VLOOKUP(($AJ112-$AI112-$AH112-$AG112-$AF112-$AE112*(1+GA$3))/$AJ112,'Технический лист'!$A:$B,2,1),(FZ112-0.05)))</f>
        <v>1</v>
      </c>
      <c r="GB112" s="15">
        <f>MIN(1,MAX(VLOOKUP(($AJ112-$AI112-$AH112-$AG112-$AF112-$AE112*(1+GB$3))/$AJ112,'Технический лист'!$A:$B,2,1),(GA112-0.05)))</f>
        <v>1</v>
      </c>
      <c r="GC112" s="15">
        <f>MIN(1,MAX(VLOOKUP(($AJ112-$AI112-$AH112-$AG112-$AF112-$AE112*(1+GC$3))/$AJ112,'Технический лист'!$A:$B,2,1),(GB112-0.05)))</f>
        <v>1</v>
      </c>
      <c r="GD112" s="15">
        <f>MIN(1,MAX(VLOOKUP(($AJ112-$AI112-$AH112-$AG112-$AF112-$AE112*(1+GD$3))/$AJ112,'Технический лист'!$A:$B,2,1),(GC112-0.05)))</f>
        <v>1</v>
      </c>
      <c r="GE112" s="15">
        <f>MIN(1,MAX(VLOOKUP(($AJ112-$AI112-$AH112-$AG112-$AF112-$AE112*(1+GE$3))/$AJ112,'Технический лист'!$A:$B,2,1),(GD112-0.05)))</f>
        <v>1</v>
      </c>
      <c r="GF112" s="15">
        <f>MIN(1,MAX(VLOOKUP(($AJ112-$AI112-$AH112-$AG112-$AF112-$AE112*(1+GF$3))/$AJ112,'Технический лист'!$A:$B,2,1),(GE112-0.05)))</f>
        <v>1</v>
      </c>
      <c r="GG112" s="15">
        <f>MIN(1,MAX(VLOOKUP(($AJ112-$AI112-$AH112-$AG112-$AF112-$AE112*(1+GG$3))/$AJ112,'Технический лист'!$A:$B,2,1),(GF112-0.05)))</f>
        <v>1</v>
      </c>
      <c r="GH112" s="15">
        <f>MIN(1,MAX(VLOOKUP(($AJ112-$AI112-$AH112-$AG112-$AF112-$AE112*(1+GH$3))/$AJ112,'Технический лист'!$A:$B,2,1),(GG112-0.05)))</f>
        <v>1</v>
      </c>
      <c r="GI112" s="15">
        <f>MIN(1,MAX(VLOOKUP(($AJ112-$AI112-$AH112-$AG112-$AF112-$AE112*(1+GI$3))/$AJ112,'Технический лист'!$A:$B,2,1),(GH112-0.05)))</f>
        <v>1</v>
      </c>
      <c r="GJ112" s="15">
        <f>MIN(1,MAX(VLOOKUP(($AJ112-$AI112-$AH112-$AG112-$AF112-$AE112*(1+GJ$3))/$AJ112,'Технический лист'!$A:$B,2,1),(GI112-0.05)))</f>
        <v>1</v>
      </c>
      <c r="GK112" s="15">
        <f>MIN(1,MAX(VLOOKUP(($AJ112-$AI112-$AH112-$AG112-$AF112-$AE112*(1+GK$3))/$AJ112,'Технический лист'!$A:$B,2,1),(GJ112-0.05)))</f>
        <v>1</v>
      </c>
      <c r="GL112" s="15">
        <f>MIN(1,MAX(VLOOKUP(($AJ112-$AI112-$AH112-$AG112-$AF112-$AE112*(1+GL$3))/$AJ112,'Технический лист'!$A:$B,2,1),(GK112-0.05)))</f>
        <v>1</v>
      </c>
      <c r="GM112" s="15">
        <f>MIN(1,MAX(VLOOKUP(($AJ112-$AI112-$AH112-$AG112-$AF112-$AE112*(1+GM$3))/$AJ112,'Технический лист'!$A:$B,2,1),(GL112-0.05)))</f>
        <v>1</v>
      </c>
      <c r="GN112" s="15">
        <f>MIN(1,MAX(VLOOKUP(($AJ112-$AI112-$AH112-$AG112-$AF112-$AE112*(1+GN$3))/$AJ112,'Технический лист'!$A:$B,2,1),(GM112-0.05)))</f>
        <v>1</v>
      </c>
      <c r="GO112" s="15">
        <f>MIN(1,MAX(VLOOKUP(($AJ112-$AI112-$AH112-$AG112-$AF112-$AE112*(1+GO$3))/$AJ112,'Технический лист'!$A:$B,2,1),(GN112-0.05)))</f>
        <v>1</v>
      </c>
      <c r="GP112" s="15">
        <f>MIN(1,MAX(VLOOKUP(($AJ112-$AI112-$AH112-$AG112-$AF112-$AE112*(1+GP$3))/$AJ112,'Технический лист'!$A:$B,2,1),(GO112-0.05)))</f>
        <v>1</v>
      </c>
      <c r="GQ112" s="15">
        <f>MIN(1,MAX(VLOOKUP(($AJ112-$AI112-$AH112-$AG112-$AF112-$AE112*(1+GQ$3))/$AJ112,'Технический лист'!$A:$B,2,1),(GP112-0.05)))</f>
        <v>1</v>
      </c>
      <c r="GR112" s="15">
        <f>MIN(1,MAX(VLOOKUP(($AJ112-$AI112-$AH112-$AG112-$AF112-$AE112*(1+GR$3))/$AJ112,'Технический лист'!$A:$B,2,1),(GQ112-0.05)))</f>
        <v>1</v>
      </c>
      <c r="GS112" s="15">
        <f>MIN(1,MAX(VLOOKUP(($AJ112-$AI112-$AH112-$AG112-$AF112-$AE112*(1+GS$3))/$AJ112,'Технический лист'!$A:$B,2,1),(GR112-0.05)))</f>
        <v>1</v>
      </c>
      <c r="GT112" s="15">
        <f>MIN(1,MAX(VLOOKUP(($AJ112-$AI112-$AH112-$AG112-$AF112-$AE112*(1+GT$3))/$AJ112,'Технический лист'!$A:$B,2,1),(GS112-0.05)))</f>
        <v>1</v>
      </c>
      <c r="GU112" s="15">
        <f>MIN(1,MAX(VLOOKUP(($AJ112-$AI112-$AH112-$AG112-$AF112-$AE112*(1+GU$3))/$AJ112,'Технический лист'!$A:$B,2,1),(GT112-0.05)))</f>
        <v>1</v>
      </c>
      <c r="GV112" s="15">
        <f>MIN(1,MAX(VLOOKUP(($AJ112-$AI112-$AH112-$AG112-$AF112-$AE112*(1+GV$3))/$AJ112,'Технический лист'!$A:$B,2,1),(GU112-0.05)))</f>
        <v>1</v>
      </c>
      <c r="GW112" s="15">
        <f>MIN(1,MAX(VLOOKUP(($AJ112-$AI112-$AH112-$AG112-$AF112-$AE112*(1+GW$3))/$AJ112,'Технический лист'!$A:$B,2,1),(GV112-0.05)))</f>
        <v>1</v>
      </c>
      <c r="GX112" s="15">
        <f>MIN(1,MAX(VLOOKUP(($AJ112-$AI112-$AH112-$AG112-$AF112-$AE112*(1+GX$3))/$AJ112,'Технический лист'!$A:$B,2,1),(GW112-0.05)))</f>
        <v>1</v>
      </c>
      <c r="GY112" s="15">
        <f>MIN(1,MAX(VLOOKUP(($AJ112-$AI112-$AH112-$AG112-$AF112-$AE112*(1+GY$3))/$AJ112,'Технический лист'!$A:$B,2,1),(GX112-0.05)))</f>
        <v>1</v>
      </c>
      <c r="GZ112" s="15">
        <f>MIN(1,MAX(VLOOKUP(($AJ112-$AI112-$AH112-$AG112-$AF112-$AE112*(1+GZ$3))/$AJ112,'Технический лист'!$A:$B,2,1),(GY112-0.05)))</f>
        <v>1</v>
      </c>
      <c r="HA112" s="15">
        <f>MIN(1,MAX(VLOOKUP(($AJ112-$AI112-$AH112-$AG112-$AF112-$AE112*(1+HA$3))/$AJ112,'Технический лист'!$A:$B,2,1),(GZ112-0.05)))</f>
        <v>1</v>
      </c>
      <c r="HB112" s="15">
        <f>MIN(1,MAX(VLOOKUP(($AJ112-$AI112-$AH112-$AG112-$AF112-$AE112*(1+HB$3))/$AJ112,'Технический лист'!$A:$B,2,1),(HA112-0.05)))</f>
        <v>1</v>
      </c>
      <c r="HC112" s="15">
        <f>MIN(1,MAX(VLOOKUP(($AJ112-$AI112-$AH112-$AG112-$AF112-$AE112*(1+HC$3))/$AJ112,'Технический лист'!$A:$B,2,1),(HB112-0.05)))</f>
        <v>1</v>
      </c>
      <c r="HD112" s="15">
        <f>MIN(1,MAX(VLOOKUP(($AJ112-$AI112-$AH112-$AG112-$AF112-$AE112*(1+HD$3))/$AJ112,'Технический лист'!$A:$B,2,1),(HC112-0.05)))</f>
        <v>1</v>
      </c>
      <c r="HE112" s="15">
        <f>MIN(1,MAX(VLOOKUP(($AJ112-$AI112-$AH112-$AG112-$AF112-$AE112*(1+HE$3))/$AJ112,'Технический лист'!$A:$B,2,1),(HD112-0.05)))</f>
        <v>1</v>
      </c>
      <c r="HF112" s="15">
        <f>MIN(1,MAX(VLOOKUP(($AJ112-$AI112-$AH112-$AG112-$AF112-$AE112*(1+HF$3))/$AJ112,'Технический лист'!$A:$B,2,1),(HE112-0.05)))</f>
        <v>1</v>
      </c>
      <c r="HG112" s="15">
        <f>MIN(1,MAX(VLOOKUP(($AJ112-$AI112-$AH112-$AG112-$AF112-$AE112*(1+HG$3))/$AJ112,'Технический лист'!$A:$B,2,1),(HF112-0.05)))</f>
        <v>1</v>
      </c>
      <c r="HH112" s="15">
        <f>MIN(1,MAX(VLOOKUP(($AJ112-$AI112-$AH112-$AG112-$AF112-$AE112*(1+HH$3))/$AJ112,'Технический лист'!$A:$B,2,1),(HG112-0.05)))</f>
        <v>1</v>
      </c>
      <c r="HI112" s="15">
        <f>MIN(1,MAX(VLOOKUP(($AJ112-$AI112-$AH112-$AG112-$AF112-$AE112*(1+HI$3))/$AJ112,'Технический лист'!$A:$B,2,1),(HH112-0.05)))</f>
        <v>1</v>
      </c>
      <c r="HJ112" s="15">
        <f>MIN(1,MAX(VLOOKUP(($AJ112-$AI112-$AH112-$AG112-$AF112-$AE112*(1+HJ$3))/$AJ112,'Технический лист'!$A:$B,2,1),(HI112-0.05)))</f>
        <v>1</v>
      </c>
      <c r="HK112" s="15">
        <f>MIN(1,MAX(VLOOKUP(($AJ112-$AI112-$AH112-$AG112-$AF112-$AE112*(1+HK$3))/$AJ112,'Технический лист'!$A:$B,2,1),(HJ112-0.05)))</f>
        <v>1</v>
      </c>
      <c r="HL112" s="15">
        <f>MIN(1,MAX(VLOOKUP(($AJ112-$AI112-$AH112-$AG112-$AF112-$AE112*(1+HL$3))/$AJ112,'Технический лист'!$A:$B,2,1),(HK112-0.05)))</f>
        <v>1</v>
      </c>
      <c r="HM112" s="15">
        <f>MIN(1,MAX(VLOOKUP(($AJ112-$AI112-$AH112-$AG112-$AF112-$AE112*(1+HM$3))/$AJ112,'Технический лист'!$A:$B,2,1),(HL112-0.05)))</f>
        <v>1</v>
      </c>
      <c r="HN112" s="15">
        <f>MIN(1,MAX(VLOOKUP(($AJ112-$AI112-$AH112-$AG112-$AF112-$AE112*(1+HN$3))/$AJ112,'Технический лист'!$A:$B,2,1),(HM112-0.05)))</f>
        <v>1</v>
      </c>
      <c r="HO112" s="15">
        <f>MIN(1,MAX(VLOOKUP(($AJ112-$AI112-$AH112-$AG112-$AF112-$AE112*(1+HO$3))/$AJ112,'Технический лист'!$A:$B,2,1),(HN112-0.05)))</f>
        <v>1</v>
      </c>
      <c r="HP112" s="15">
        <f>MIN(1,MAX(VLOOKUP(($AJ112-$AI112-$AH112-$AG112-$AF112-$AE112*(1+HP$3))/$AJ112,'Технический лист'!$A:$B,2,1),(HO112-0.05)))</f>
        <v>1</v>
      </c>
      <c r="HQ112" s="15">
        <f>MIN(1,MAX(VLOOKUP(($AJ112-$AI112-$AH112-$AG112-$AF112-$AE112*(1+HQ$3))/$AJ112,'Технический лист'!$A:$B,2,1),(HP112-0.05)))</f>
        <v>1</v>
      </c>
      <c r="HR112" s="15">
        <f>MIN(1,MAX(VLOOKUP(($AJ112-$AI112-$AH112-$AG112-$AF112-$AE112*(1+HR$3))/$AJ112,'Технический лист'!$A:$B,2,1),(HQ112-0.05)))</f>
        <v>1</v>
      </c>
      <c r="HS112" s="15">
        <f>MIN(1,MAX(VLOOKUP(($AJ112-$AI112-$AH112-$AG112-$AF112-$AE112*(1+HS$3))/$AJ112,'Технический лист'!$A:$B,2,1),(HR112-0.05)))</f>
        <v>1</v>
      </c>
      <c r="HT112" s="15">
        <f>MIN(1,MAX(VLOOKUP(($AJ112-$AI112-$AH112-$AG112-$AF112-$AE112*(1+HT$3))/$AJ112,'Технический лист'!$A:$B,2,1),(HS112-0.05)))</f>
        <v>1</v>
      </c>
      <c r="HU112" s="15">
        <f>MIN(1,MAX(VLOOKUP(($AJ112-$AI112-$AH112-$AG112-$AF112-$AE112*(1+HU$3))/$AJ112,'Технический лист'!$A:$B,2,1),(HT112-0.05)))</f>
        <v>1</v>
      </c>
      <c r="HV112" s="15">
        <f>MIN(1,MAX(VLOOKUP(($AJ112-$AI112-$AH112-$AG112-$AF112-$AE112*(1+HV$3))/$AJ112,'Технический лист'!$A:$B,2,1),(HU112-0.05)))</f>
        <v>1</v>
      </c>
      <c r="HW112" s="15">
        <f>MIN(1,MAX(VLOOKUP(($AJ112-$AI112-$AH112-$AG112-$AF112-$AE112*(1+HW$3))/$AJ112,'Технический лист'!$A:$B,2,1),(HV112-0.05)))</f>
        <v>1</v>
      </c>
      <c r="HX112" s="15">
        <f>MIN(1,MAX(VLOOKUP(($AJ112-$AI112-$AH112-$AG112-$AF112-$AE112*(1+HX$3))/$AJ112,'Технический лист'!$A:$B,2,1),(HW112-0.05)))</f>
        <v>1</v>
      </c>
      <c r="HY112" s="15">
        <f>MIN(1,MAX(VLOOKUP(($AJ112-$AI112-$AH112-$AG112-$AF112-$AE112*(1+HY$3))/$AJ112,'Технический лист'!$A:$B,2,1),(HX112-0.05)))</f>
        <v>1</v>
      </c>
      <c r="HZ112" s="15">
        <f>MIN(1,MAX(VLOOKUP(($AJ112-$AI112-$AH112-$AG112-$AF112-$AE112*(1+HZ$3))/$AJ112,'Технический лист'!$A:$B,2,1),(HY112-0.05)))</f>
        <v>1</v>
      </c>
      <c r="IA112" s="15">
        <f>MIN(1,MAX(VLOOKUP(($AJ112-$AI112-$AH112-$AG112-$AF112-$AE112*(1+IA$3))/$AJ112,'Технический лист'!$A:$B,2,1),(HZ112-0.05)))</f>
        <v>1</v>
      </c>
      <c r="IB112" s="15">
        <f>MIN(1,MAX(VLOOKUP(($AJ112-$AI112-$AH112-$AG112-$AF112-$AE112*(1+IB$3))/$AJ112,'Технический лист'!$A:$B,2,1),(IA112-0.05)))</f>
        <v>1</v>
      </c>
      <c r="IC112" s="15">
        <f>MIN(1,MAX(VLOOKUP(($AJ112-$AI112-$AH112-$AG112-$AF112-$AE112*(1+IC$3))/$AJ112,'Технический лист'!$A:$B,2,1),(IB112-0.05)))</f>
        <v>1</v>
      </c>
      <c r="ID112" s="15">
        <f>MIN(1,MAX(VLOOKUP(($AJ112-$AI112-$AH112-$AG112-$AF112-$AE112*(1+ID$3))/$AJ112,'Технический лист'!$A:$B,2,1),(IC112-0.05)))</f>
        <v>1</v>
      </c>
      <c r="IE112" s="15">
        <f>MIN(1,MAX(VLOOKUP(($AJ112-$AI112-$AH112-$AG112-$AF112-$AE112*(1+IE$3))/$AJ112,'Технический лист'!$A:$B,2,1),(ID112-0.05)))</f>
        <v>1</v>
      </c>
      <c r="IF112" s="15">
        <f>MIN(1,MAX(VLOOKUP(($AJ112-$AI112-$AH112-$AG112-$AF112-$AE112*(1+IF$3))/$AJ112,'Технический лист'!$A:$B,2,1),(IE112-0.05)))</f>
        <v>1</v>
      </c>
      <c r="IG112" s="15">
        <f>MIN(1,MAX(VLOOKUP(($AJ112-$AI112-$AH112-$AG112-$AF112-$AE112*(1+IG$3))/$AJ112,'Технический лист'!$A:$B,2,1),(IF112-0.05)))</f>
        <v>1</v>
      </c>
      <c r="IH112" s="15">
        <f>MIN(1,MAX(VLOOKUP(($AJ112-$AI112-$AH112-$AG112-$AF112-$AE112*(1+IH$3))/$AJ112,'Технический лист'!$A:$B,2,1),(IG112-0.05)))</f>
        <v>1</v>
      </c>
      <c r="II112" s="15">
        <f>MIN(1,MAX(VLOOKUP(($AJ112-$AI112-$AH112-$AG112-$AF112-$AE112*(1+II$3))/$AJ112,'Технический лист'!$A:$B,2,1),(IH112-0.05)))</f>
        <v>1</v>
      </c>
      <c r="IJ112" s="15">
        <f>MIN(1,MAX(VLOOKUP(($AJ112-$AI112-$AH112-$AG112-$AF112-$AE112*(1+IJ$3))/$AJ112,'Технический лист'!$A:$B,2,1),(II112-0.05)))</f>
        <v>1</v>
      </c>
      <c r="IK112" s="15">
        <f>MIN(1,MAX(VLOOKUP(($AJ112-$AI112-$AH112-$AG112-$AF112-$AE112*(1+IK$3))/$AJ112,'Технический лист'!$A:$B,2,1),(IJ112-0.05)))</f>
        <v>1</v>
      </c>
      <c r="IL112" s="15">
        <f>MIN(1,MAX(VLOOKUP(($AJ112-$AI112-$AH112-$AG112-$AF112-$AE112*(1+IL$3))/$AJ112,'Технический лист'!$A:$B,2,1),(IK112-0.05)))</f>
        <v>1</v>
      </c>
      <c r="IM112" s="15">
        <f>MIN(1,MAX(VLOOKUP(($AJ112-$AI112-$AH112-$AG112-$AF112-$AE112*(1+IM$3))/$AJ112,'Технический лист'!$A:$B,2,1),(IL112-0.05)))</f>
        <v>1</v>
      </c>
      <c r="IN112" s="15">
        <f>MIN(1,MAX(VLOOKUP(($AJ112-$AI112-$AH112-$AG112-$AF112-$AE112*(1+IN$3))/$AJ112,'Технический лист'!$A:$B,2,1),(IM112-0.05)))</f>
        <v>1</v>
      </c>
      <c r="IO112" s="15">
        <f>MIN(1,MAX(VLOOKUP(($AJ112-$AI112-$AH112-$AG112-$AF112-$AE112*(1+IO$3))/$AJ112,'Технический лист'!$A:$B,2,1),(IN112-0.05)))</f>
        <v>1</v>
      </c>
      <c r="IP112" s="15">
        <f>MIN(1,MAX(VLOOKUP(($AJ112-$AI112-$AH112-$AG112-$AF112-$AE112*(1+IP$3))/$AJ112,'Технический лист'!$A:$B,2,1),(IO112-0.05)))</f>
        <v>1</v>
      </c>
      <c r="IQ112" s="15">
        <f>MIN(1,MAX(VLOOKUP(($AJ112-$AI112-$AH112-$AG112-$AF112-$AE112*(1+IQ$3))/$AJ112,'Технический лист'!$A:$B,2,1),(IP112-0.05)))</f>
        <v>1</v>
      </c>
      <c r="IR112" s="15">
        <f>MIN(1,MAX(VLOOKUP(($AJ112-$AI112-$AH112-$AG112-$AF112-$AE112*(1+IR$3))/$AJ112,'Технический лист'!$A:$B,2,1),(IQ112-0.05)))</f>
        <v>1</v>
      </c>
    </row>
    <row r="113" spans="1:252" ht="29.15">
      <c r="A113" s="89" t="s">
        <v>515</v>
      </c>
      <c r="B113" s="90">
        <v>5</v>
      </c>
      <c r="C113" s="5" t="s">
        <v>68</v>
      </c>
      <c r="D113" s="91">
        <v>31407</v>
      </c>
      <c r="E113" s="91" t="s">
        <v>343</v>
      </c>
      <c r="F113" s="92" t="s">
        <v>77</v>
      </c>
      <c r="G113" s="91" t="s">
        <v>28</v>
      </c>
      <c r="H113" s="91" t="s">
        <v>21</v>
      </c>
      <c r="I113" s="91" t="s">
        <v>105</v>
      </c>
      <c r="J113" s="91" t="s">
        <v>27</v>
      </c>
      <c r="K113" s="91">
        <v>1231</v>
      </c>
      <c r="L113" s="85" t="s">
        <v>64</v>
      </c>
      <c r="M113" s="91" t="s">
        <v>17</v>
      </c>
      <c r="N113" s="91" t="s">
        <v>191</v>
      </c>
      <c r="O113" s="91" t="s">
        <v>192</v>
      </c>
      <c r="P113" s="89" t="s">
        <v>246</v>
      </c>
      <c r="Q113" s="91" t="s">
        <v>282</v>
      </c>
      <c r="R113" s="91" t="s">
        <v>257</v>
      </c>
      <c r="S113" s="82">
        <v>3363457</v>
      </c>
      <c r="T113" s="82">
        <v>4139755900</v>
      </c>
      <c r="U113" s="81">
        <v>51802</v>
      </c>
      <c r="V113" s="81">
        <v>0</v>
      </c>
      <c r="W113" s="82">
        <v>8305437717</v>
      </c>
      <c r="X113" s="112">
        <v>66</v>
      </c>
      <c r="Y113" s="112" t="s">
        <v>418</v>
      </c>
      <c r="Z113" s="113">
        <v>5</v>
      </c>
      <c r="AA113" s="113">
        <v>5</v>
      </c>
      <c r="AB113" s="113">
        <v>4</v>
      </c>
      <c r="AC113" s="99">
        <v>2813.03</v>
      </c>
      <c r="AD113" s="99">
        <f>AE113-AC113</f>
        <v>521.4399999999996</v>
      </c>
      <c r="AE113" s="99">
        <v>3334.47</v>
      </c>
      <c r="AF113" s="98">
        <f>(Z113+AA113+AB113)*'Ставки аренды'!$B$3/X113</f>
        <v>148.4848484848485</v>
      </c>
      <c r="AG113" s="114">
        <f>'Ставки перевалки'!$B$9*'Курсы валют'!$B$2</f>
        <v>1220.8879999999999</v>
      </c>
      <c r="AH113" s="94">
        <v>0</v>
      </c>
      <c r="AI113" s="116">
        <f>539714289/604384772*AVERAGE(AJ113,AJ115)</f>
        <v>42673.874762092266</v>
      </c>
      <c r="AJ113" s="117">
        <f>Цены!$C$6*'Курсы валют'!$B$2</f>
        <v>33574.42</v>
      </c>
      <c r="AK113" s="94">
        <f>AJ113/Цены!$B$1</f>
        <v>440</v>
      </c>
      <c r="AL113" s="95">
        <f t="shared" si="24"/>
        <v>4703.8428484848482</v>
      </c>
      <c r="AM113" s="95">
        <f t="shared" si="25"/>
        <v>28870.57715151515</v>
      </c>
      <c r="AN113" s="94">
        <f t="shared" si="39"/>
        <v>47377.717610577114</v>
      </c>
      <c r="AO113" s="118">
        <f t="shared" si="40"/>
        <v>-0.41112542258591861</v>
      </c>
      <c r="AP113" s="96">
        <f t="shared" si="26"/>
        <v>0.14010198384617958</v>
      </c>
      <c r="AQ113" s="96">
        <f t="shared" si="27"/>
        <v>9.9315788627175092E-2</v>
      </c>
      <c r="AR113" s="96">
        <f t="shared" si="28"/>
        <v>0.70888210074323887</v>
      </c>
      <c r="AS113" s="122">
        <v>1</v>
      </c>
      <c r="AT113" s="121">
        <f t="shared" si="45"/>
        <v>3363457</v>
      </c>
      <c r="AU113" s="83">
        <v>0.95</v>
      </c>
      <c r="AV113" s="119">
        <f t="shared" si="41"/>
        <v>-0.42304331722117966</v>
      </c>
      <c r="AW113" s="120">
        <f t="shared" si="42"/>
        <v>0.15201987848144061</v>
      </c>
      <c r="AX113" s="120">
        <f t="shared" si="43"/>
        <v>0.11123368326243611</v>
      </c>
      <c r="AY113" s="120">
        <f t="shared" si="44"/>
        <v>0.73170485579631694</v>
      </c>
      <c r="AZ113" s="15">
        <f>MIN(IF($AU113=100%,1,1+VLOOKUP(($AJ113-$AI113-$AH113-$AG113-$AF113-$AE113*(1+AZ$3))/$AJ113,'Технический лист'!$I:$J,2,1)-VLOOKUP($AO113,'Технический лист'!$I:$J,2,1)),1+(1-$AU113))</f>
        <v>1</v>
      </c>
      <c r="BA113" s="15">
        <f>MIN(IF($AU113=100%,1,1+VLOOKUP(($AJ113-$AI113-$AH113-$AG113-$AF113-$AE113*(1+BA$3))/$AJ113,'Технический лист'!$I:$J,2,1)-VLOOKUP($AO113,'Технический лист'!$I:$J,2,1)),1+(1-$AU113))</f>
        <v>1</v>
      </c>
      <c r="BB113" s="15">
        <f>MIN(IF($AU113=100%,1,1+VLOOKUP(($AJ113-$AI113-$AH113-$AG113-$AF113-$AE113*(1+BB$3))/$AJ113,'Технический лист'!$I:$J,2,1)-VLOOKUP($AO113,'Технический лист'!$I:$J,2,1)),1+(1-$AU113))</f>
        <v>1</v>
      </c>
      <c r="BC113" s="15">
        <f>MIN(IF($AU113=100%,1,1+VLOOKUP(($AJ113-$AI113-$AH113-$AG113-$AF113-$AE113*(1+BC$3))/$AJ113,'Технический лист'!$I:$J,2,1)-VLOOKUP($AO113,'Технический лист'!$I:$J,2,1)),1+(1-$AU113))</f>
        <v>1</v>
      </c>
      <c r="BD113" s="15">
        <f>MIN(IF($AU113=100%,1,1+VLOOKUP(($AJ113-$AI113-$AH113-$AG113-$AF113-$AE113*(1+BD$3))/$AJ113,'Технический лист'!$I:$J,2,1)-VLOOKUP($AO113,'Технический лист'!$I:$J,2,1)),1+(1-$AU113))</f>
        <v>1</v>
      </c>
      <c r="BE113" s="15">
        <f>MIN(IF($AU113=100%,1,1+VLOOKUP(($AJ113-$AI113-$AH113-$AG113-$AF113-$AE113*(1+BE$3))/$AJ113,'Технический лист'!$I:$J,2,1)-VLOOKUP($AO113,'Технический лист'!$I:$J,2,1)),1+(1-$AU113))</f>
        <v>1</v>
      </c>
      <c r="BF113" s="15">
        <f>MIN(IF($AU113=100%,1,1+VLOOKUP(($AJ113-$AI113-$AH113-$AG113-$AF113-$AE113*(1+BF$3))/$AJ113,'Технический лист'!$I:$J,2,1)-VLOOKUP($AO113,'Технический лист'!$I:$J,2,1)),1+(1-$AU113))</f>
        <v>1</v>
      </c>
      <c r="BG113" s="15">
        <f>MIN(IF($AU113=100%,1,1+VLOOKUP(($AJ113-$AI113-$AH113-$AG113-$AF113-$AE113*(1+BG$3))/$AJ113,'Технический лист'!$I:$J,2,1)-VLOOKUP($AO113,'Технический лист'!$I:$J,2,1)),1+(1-$AU113))</f>
        <v>1</v>
      </c>
      <c r="BH113" s="15">
        <f>MIN(IF($AU113=100%,1,1+VLOOKUP(($AJ113-$AI113-$AH113-$AG113-$AF113-$AE113*(1+BH$3))/$AJ113,'Технический лист'!$I:$J,2,1)-VLOOKUP($AO113,'Технический лист'!$I:$J,2,1)),1+(1-$AU113))</f>
        <v>1</v>
      </c>
      <c r="BI113" s="15">
        <f>MIN(IF($AU113=100%,1,1+VLOOKUP(($AJ113-$AI113-$AH113-$AG113-$AF113-$AE113*(1+BI$3))/$AJ113,'Технический лист'!$I:$J,2,1)-VLOOKUP($AO113,'Технический лист'!$I:$J,2,1)),1+(1-$AU113))</f>
        <v>1</v>
      </c>
      <c r="BJ113" s="15">
        <f>MIN(IF($AU113=100%,1,1+VLOOKUP(($AJ113-$AI113-$AH113-$AG113-$AF113-$AE113*(1+BJ$3))/$AJ113,'Технический лист'!$I:$J,2,1)-VLOOKUP($AO113,'Технический лист'!$I:$J,2,1)),1+(1-$AU113))</f>
        <v>1</v>
      </c>
      <c r="BK113" s="15">
        <f>MIN(IF($AU113=100%,1,1+VLOOKUP(($AJ113-$AI113-$AH113-$AG113-$AF113-$AE113*(1+BK$3))/$AJ113,'Технический лист'!$I:$J,2,1)-VLOOKUP($AO113,'Технический лист'!$I:$J,2,1)),1+(1-$AU113))</f>
        <v>1</v>
      </c>
      <c r="BL113" s="15">
        <f>MIN(IF($AU113=100%,1,1+VLOOKUP(($AJ113-$AI113-$AH113-$AG113-$AF113-$AE113*(1+BL$3))/$AJ113,'Технический лист'!$I:$J,2,1)-VLOOKUP($AO113,'Технический лист'!$I:$J,2,1)),1+(1-$AU113))</f>
        <v>1</v>
      </c>
      <c r="BM113" s="15">
        <f>MIN(IF($AU113=100%,1,1+VLOOKUP(($AJ113-$AI113-$AH113-$AG113-$AF113-$AE113*(1+BM$3))/$AJ113,'Технический лист'!$I:$J,2,1)-VLOOKUP($AO113,'Технический лист'!$I:$J,2,1)),1+(1-$AU113))</f>
        <v>1</v>
      </c>
      <c r="BN113" s="15">
        <f>MIN(IF($AU113=100%,1,1+VLOOKUP(($AJ113-$AI113-$AH113-$AG113-$AF113-$AE113*(1+BN$3))/$AJ113,'Технический лист'!$I:$J,2,1)-VLOOKUP($AO113,'Технический лист'!$I:$J,2,1)),1+(1-$AU113))</f>
        <v>1</v>
      </c>
      <c r="BO113" s="15">
        <f>MIN(IF($AU113=100%,1,1+VLOOKUP(($AJ113-$AI113-$AH113-$AG113-$AF113-$AE113*(1+BO$3))/$AJ113,'Технический лист'!$I:$J,2,1)-VLOOKUP($AO113,'Технический лист'!$I:$J,2,1)),1+(1-$AU113))</f>
        <v>1</v>
      </c>
      <c r="BP113" s="15">
        <f>MIN(IF($AU113=100%,1,1+VLOOKUP(($AJ113-$AI113-$AH113-$AG113-$AF113-$AE113*(1+BP$3))/$AJ113,'Технический лист'!$I:$J,2,1)-VLOOKUP($AO113,'Технический лист'!$I:$J,2,1)),1+(1-$AU113))</f>
        <v>1</v>
      </c>
      <c r="BQ113" s="15">
        <f>MIN(IF($AU113=100%,1,1+VLOOKUP(($AJ113-$AI113-$AH113-$AG113-$AF113-$AE113*(1+BQ$3))/$AJ113,'Технический лист'!$I:$J,2,1)-VLOOKUP($AO113,'Технический лист'!$I:$J,2,1)),1+(1-$AU113))</f>
        <v>1</v>
      </c>
      <c r="BR113" s="15">
        <f>MIN(IF($AU113=100%,1,1+VLOOKUP(($AJ113-$AI113-$AH113-$AG113-$AF113-$AE113*(1+BR$3))/$AJ113,'Технический лист'!$I:$J,2,1)-VLOOKUP($AO113,'Технический лист'!$I:$J,2,1)),1+(1-$AU113))</f>
        <v>1</v>
      </c>
      <c r="BS113" s="15">
        <f>MIN(IF($AU113=100%,1,1+VLOOKUP(($AJ113-$AI113-$AH113-$AG113-$AF113-$AE113*(1+BS$3))/$AJ113,'Технический лист'!$I:$J,2,1)-VLOOKUP($AO113,'Технический лист'!$I:$J,2,1)),1+(1-$AU113))</f>
        <v>1</v>
      </c>
      <c r="BT113" s="15">
        <f>MIN(IF($AU113=100%,1,1+VLOOKUP(($AJ113-$AI113-$AH113-$AG113-$AF113-$AE113*(1+BT$3))/$AJ113,'Технический лист'!$I:$J,2,1)-VLOOKUP($AO113,'Технический лист'!$I:$J,2,1)),1+(1-$AU113))</f>
        <v>1</v>
      </c>
      <c r="BU113" s="15">
        <f>MIN(IF($AU113=100%,1,1+VLOOKUP(($AJ113-$AI113-$AH113-$AG113-$AF113-$AE113*(1+BU$3))/$AJ113,'Технический лист'!$I:$J,2,1)-VLOOKUP($AO113,'Технический лист'!$I:$J,2,1)),1+(1-$AU113))</f>
        <v>1</v>
      </c>
      <c r="BV113" s="15">
        <f>MIN(IF($AU113=100%,1,1+VLOOKUP(($AJ113-$AI113-$AH113-$AG113-$AF113-$AE113*(1+BV$3))/$AJ113,'Технический лист'!$I:$J,2,1)-VLOOKUP($AO113,'Технический лист'!$I:$J,2,1)),1+(1-$AU113))</f>
        <v>1</v>
      </c>
      <c r="BW113" s="15">
        <f>MIN(IF($AU113=100%,1,1+VLOOKUP(($AJ113-$AI113-$AH113-$AG113-$AF113-$AE113*(1+BW$3))/$AJ113,'Технический лист'!$I:$J,2,1)-VLOOKUP($AO113,'Технический лист'!$I:$J,2,1)),1+(1-$AU113))</f>
        <v>1</v>
      </c>
      <c r="BX113" s="15">
        <f>MIN(IF($AU113=100%,1,1+VLOOKUP(($AJ113-$AI113-$AH113-$AG113-$AF113-$AE113*(1+BX$3))/$AJ113,'Технический лист'!$I:$J,2,1)-VLOOKUP($AO113,'Технический лист'!$I:$J,2,1)),1+(1-$AU113))</f>
        <v>1</v>
      </c>
      <c r="BY113" s="15">
        <f>MIN(IF($AU113=100%,1,1+VLOOKUP(($AJ113-$AI113-$AH113-$AG113-$AF113-$AE113*(1+BY$3))/$AJ113,'Технический лист'!$I:$J,2,1)-VLOOKUP($AO113,'Технический лист'!$I:$J,2,1)),1+(1-$AU113))</f>
        <v>1</v>
      </c>
      <c r="BZ113" s="15">
        <f>MIN(IF($AU113=100%,1,1+VLOOKUP(($AJ113-$AI113-$AH113-$AG113-$AF113-$AE113*(1+BZ$3))/$AJ113,'Технический лист'!$I:$J,2,1)-VLOOKUP($AO113,'Технический лист'!$I:$J,2,1)),1+(1-$AU113))</f>
        <v>1</v>
      </c>
      <c r="CA113" s="15">
        <f>MIN(IF($AU113=100%,1,1+VLOOKUP(($AJ113-$AI113-$AH113-$AG113-$AF113-$AE113*(1+CA$3))/$AJ113,'Технический лист'!$I:$J,2,1)-VLOOKUP($AO113,'Технический лист'!$I:$J,2,1)),1+(1-$AU113))</f>
        <v>1</v>
      </c>
      <c r="CB113" s="15">
        <f>MIN(IF($AU113=100%,1,1+VLOOKUP(($AJ113-$AI113-$AH113-$AG113-$AF113-$AE113*(1+CB$3))/$AJ113,'Технический лист'!$I:$J,2,1)-VLOOKUP($AO113,'Технический лист'!$I:$J,2,1)),1+(1-$AU113))</f>
        <v>1</v>
      </c>
      <c r="CC113" s="15">
        <f>MIN(IF($AU113=100%,1,1+VLOOKUP(($AJ113-$AI113-$AH113-$AG113-$AF113-$AE113*(1+CC$3))/$AJ113,'Технический лист'!$I:$J,2,1)-VLOOKUP($AO113,'Технический лист'!$I:$J,2,1)),1+(1-$AU113))</f>
        <v>1</v>
      </c>
      <c r="CD113" s="15">
        <f>MIN(IF($AU113=100%,1,1+VLOOKUP(($AJ113-$AI113-$AH113-$AG113-$AF113-$AE113*(1+CD$3))/$AJ113,'Технический лист'!$I:$J,2,1)-VLOOKUP($AO113,'Технический лист'!$I:$J,2,1)),1+(1-$AU113))</f>
        <v>1</v>
      </c>
      <c r="CE113" s="15">
        <f>MIN(IF($AU113=100%,1,1+VLOOKUP(($AJ113-$AI113-$AH113-$AG113-$AF113-$AE113*(1+CE$3))/$AJ113,'Технический лист'!$I:$J,2,1)-VLOOKUP($AO113,'Технический лист'!$I:$J,2,1)),1+(1-$AU113))</f>
        <v>1</v>
      </c>
      <c r="CF113" s="15">
        <f>MIN(IF($AU113=100%,1,1+VLOOKUP(($AJ113-$AI113-$AH113-$AG113-$AF113-$AE113*(1+CF$3))/$AJ113,'Технический лист'!$I:$J,2,1)-VLOOKUP($AO113,'Технический лист'!$I:$J,2,1)),1+(1-$AU113))</f>
        <v>1</v>
      </c>
      <c r="CG113" s="15">
        <f>MIN(IF($AU113=100%,1,1+VLOOKUP(($AJ113-$AI113-$AH113-$AG113-$AF113-$AE113*(1+CG$3))/$AJ113,'Технический лист'!$I:$J,2,1)-VLOOKUP($AO113,'Технический лист'!$I:$J,2,1)),1+(1-$AU113))</f>
        <v>1</v>
      </c>
      <c r="CH113" s="15">
        <f>MIN(IF($AU113=100%,1,1+VLOOKUP(($AJ113-$AI113-$AH113-$AG113-$AF113-$AE113*(1+CH$3))/$AJ113,'Технический лист'!$I:$J,2,1)-VLOOKUP($AO113,'Технический лист'!$I:$J,2,1)),1+(1-$AU113))</f>
        <v>1</v>
      </c>
      <c r="CI113" s="15">
        <f>MIN(IF($AU113=100%,1,1+VLOOKUP(($AJ113-$AI113-$AH113-$AG113-$AF113-$AE113*(1+CI$3))/$AJ113,'Технический лист'!$I:$J,2,1)-VLOOKUP($AO113,'Технический лист'!$I:$J,2,1)),1+(1-$AU113))</f>
        <v>1</v>
      </c>
      <c r="CJ113" s="15">
        <f>MIN(IF($AU113=100%,1,1+VLOOKUP(($AJ113-$AI113-$AH113-$AG113-$AF113-$AE113*(1+CJ$3))/$AJ113,'Технический лист'!$I:$J,2,1)-VLOOKUP($AO113,'Технический лист'!$I:$J,2,1)),1+(1-$AU113))</f>
        <v>1</v>
      </c>
      <c r="CK113" s="15">
        <f>MIN(IF($AU113=100%,1,1+VLOOKUP(($AJ113-$AI113-$AH113-$AG113-$AF113-$AE113*(1+CK$3))/$AJ113,'Технический лист'!$I:$J,2,1)-VLOOKUP($AO113,'Технический лист'!$I:$J,2,1)),1+(1-$AU113))</f>
        <v>1</v>
      </c>
      <c r="CL113" s="15">
        <f>MIN(IF($AU113=100%,1,1+VLOOKUP(($AJ113-$AI113-$AH113-$AG113-$AF113-$AE113*(1+CL$3))/$AJ113,'Технический лист'!$I:$J,2,1)-VLOOKUP($AO113,'Технический лист'!$I:$J,2,1)),1+(1-$AU113))</f>
        <v>1</v>
      </c>
      <c r="CM113" s="15">
        <f>MIN(IF($AU113=100%,1,1+VLOOKUP(($AJ113-$AI113-$AH113-$AG113-$AF113-$AE113*(1+CM$3))/$AJ113,'Технический лист'!$I:$J,2,1)-VLOOKUP($AO113,'Технический лист'!$I:$J,2,1)),1+(1-$AU113))</f>
        <v>1</v>
      </c>
      <c r="CN113" s="15">
        <f>MIN(IF($AU113=100%,1,1+VLOOKUP(($AJ113-$AI113-$AH113-$AG113-$AF113-$AE113*(1+CN$3))/$AJ113,'Технический лист'!$I:$J,2,1)-VLOOKUP($AO113,'Технический лист'!$I:$J,2,1)),1+(1-$AU113))</f>
        <v>1</v>
      </c>
      <c r="CO113" s="15">
        <f>MIN(IF($AU113=100%,1,1+VLOOKUP(($AJ113-$AI113-$AH113-$AG113-$AF113-$AE113*(1+CO$3))/$AJ113,'Технический лист'!$I:$J,2,1)-VLOOKUP($AO113,'Технический лист'!$I:$J,2,1)),1+(1-$AU113))</f>
        <v>1</v>
      </c>
      <c r="CP113" s="15">
        <f>MIN(IF($AU113=100%,1,1+VLOOKUP(($AJ113-$AI113-$AH113-$AG113-$AF113-$AE113*(1+CP$3))/$AJ113,'Технический лист'!$I:$J,2,1)-VLOOKUP($AO113,'Технический лист'!$I:$J,2,1)),1+(1-$AU113))</f>
        <v>1</v>
      </c>
      <c r="CQ113" s="15">
        <f>MIN(IF($AU113=100%,1,1+VLOOKUP(($AJ113-$AI113-$AH113-$AG113-$AF113-$AE113*(1+CQ$3))/$AJ113,'Технический лист'!$I:$J,2,1)-VLOOKUP($AO113,'Технический лист'!$I:$J,2,1)),1+(1-$AU113))</f>
        <v>1</v>
      </c>
      <c r="CR113" s="15">
        <f>MIN(IF($AU113=100%,1,1+VLOOKUP(($AJ113-$AI113-$AH113-$AG113-$AF113-$AE113*(1+CR$3))/$AJ113,'Технический лист'!$I:$J,2,1)-VLOOKUP($AO113,'Технический лист'!$I:$J,2,1)),1+(1-$AU113))</f>
        <v>1</v>
      </c>
      <c r="CS113" s="15">
        <f>MIN(IF($AU113=100%,1,1+VLOOKUP(($AJ113-$AI113-$AH113-$AG113-$AF113-$AE113*(1+CS$3))/$AJ113,'Технический лист'!$I:$J,2,1)-VLOOKUP($AO113,'Технический лист'!$I:$J,2,1)),1+(1-$AU113))</f>
        <v>1</v>
      </c>
      <c r="CT113" s="15">
        <f>MIN(IF($AU113=100%,1,1+VLOOKUP(($AJ113-$AI113-$AH113-$AG113-$AF113-$AE113*(1+CT$3))/$AJ113,'Технический лист'!$I:$J,2,1)-VLOOKUP($AO113,'Технический лист'!$I:$J,2,1)),1+(1-$AU113))</f>
        <v>1</v>
      </c>
      <c r="CU113" s="15">
        <f>MIN(IF($AU113=100%,1,1+VLOOKUP(($AJ113-$AI113-$AH113-$AG113-$AF113-$AE113*(1+CU$3))/$AJ113,'Технический лист'!$I:$J,2,1)-VLOOKUP($AO113,'Технический лист'!$I:$J,2,1)),1+(1-$AU113))</f>
        <v>1</v>
      </c>
      <c r="CV113" s="15">
        <f>MIN(IF($AU113=100%,1,1+VLOOKUP(($AJ113-$AI113-$AH113-$AG113-$AF113-$AE113*(1+CV$3))/$AJ113,'Технический лист'!$I:$J,2,1)-VLOOKUP($AO113,'Технический лист'!$I:$J,2,1)),1+(1-$AU113))</f>
        <v>1</v>
      </c>
      <c r="CW113" s="15">
        <f>MIN(IF($AU113=100%,1,1+VLOOKUP(($AJ113-$AI113-$AH113-$AG113-$AF113-$AE113*(1+CW$3))/$AJ113,'Технический лист'!$I:$J,2,1)-VLOOKUP($AO113,'Технический лист'!$I:$J,2,1)),1+(1-$AU113))</f>
        <v>1</v>
      </c>
      <c r="CX113" s="15">
        <f>MIN(IF($AU113=100%,1,1+VLOOKUP(($AJ113-$AI113-$AH113-$AG113-$AF113-$AE113*(1+CX$3))/$AJ113,'Технический лист'!$I:$J,2,1)-VLOOKUP($AO113,'Технический лист'!$I:$J,2,1)),1+(1-$AU113))</f>
        <v>1</v>
      </c>
      <c r="CY113" s="15">
        <f>MIN(IF($AU113=100%,1,1+VLOOKUP(($AJ113-$AI113-$AH113-$AG113-$AF113-$AE113*(1+CY$3))/$AJ113,'Технический лист'!$I:$J,2,1)-VLOOKUP($AO113,'Технический лист'!$I:$J,2,1)),1+(1-$AU113))</f>
        <v>1</v>
      </c>
      <c r="CZ113" s="15">
        <f>MIN(IF($AU113=100%,1,1+VLOOKUP(($AJ113-$AI113-$AH113-$AG113-$AF113-$AE113*(1+CZ$3))/$AJ113,'Технический лист'!$I:$J,2,1)-VLOOKUP($AO113,'Технический лист'!$I:$J,2,1)),1+(1-$AU113))</f>
        <v>1</v>
      </c>
      <c r="DA113" s="15">
        <f>MIN(IF($AU113=100%,1,1+VLOOKUP(($AJ113-$AI113-$AH113-$AG113-$AF113-$AE113*(1+DA$3))/$AJ113,'Технический лист'!$I:$J,2,1)-VLOOKUP($AO113,'Технический лист'!$I:$J,2,1)),1+(1-$AU113))</f>
        <v>1</v>
      </c>
      <c r="DB113" s="15">
        <f>MIN(IF($AU113=100%,1,1+VLOOKUP(($AJ113-$AI113-$AH113-$AG113-$AF113-$AE113*(1+DB$3))/$AJ113,'Технический лист'!$I:$J,2,1)-VLOOKUP($AO113,'Технический лист'!$I:$J,2,1)),1+(1-$AU113))</f>
        <v>1</v>
      </c>
      <c r="DC113" s="15">
        <f>MIN(IF($AU113=100%,1,1+VLOOKUP(($AJ113-$AI113-$AH113-$AG113-$AF113-$AE113*(1+DC$3))/$AJ113,'Технический лист'!$I:$J,2,1)-VLOOKUP($AO113,'Технический лист'!$I:$J,2,1)),1+(1-$AU113))</f>
        <v>1</v>
      </c>
      <c r="DD113" s="15">
        <f>MIN(IF($AU113=100%,1,1+VLOOKUP(($AJ113-$AI113-$AH113-$AG113-$AF113-$AE113*(1+DD$3))/$AJ113,'Технический лист'!$I:$J,2,1)-VLOOKUP($AO113,'Технический лист'!$I:$J,2,1)),1+(1-$AU113))</f>
        <v>1</v>
      </c>
      <c r="DE113" s="15">
        <f>MIN(IF($AU113=100%,1,1+VLOOKUP(($AJ113-$AI113-$AH113-$AG113-$AF113-$AE113*(1+DE$3))/$AJ113,'Технический лист'!$I:$J,2,1)-VLOOKUP($AO113,'Технический лист'!$I:$J,2,1)),1+(1-$AU113))</f>
        <v>1</v>
      </c>
      <c r="DF113" s="15">
        <f>MIN(IF($AU113=100%,1,1+VLOOKUP(($AJ113-$AI113-$AH113-$AG113-$AF113-$AE113*(1+DF$3))/$AJ113,'Технический лист'!$I:$J,2,1)-VLOOKUP($AO113,'Технический лист'!$I:$J,2,1)),1+(1-$AU113))</f>
        <v>1</v>
      </c>
      <c r="DG113" s="15">
        <f>MIN(IF($AU113=100%,1,1+VLOOKUP(($AJ113-$AI113-$AH113-$AG113-$AF113-$AE113*(1+DG$3))/$AJ113,'Технический лист'!$I:$J,2,1)-VLOOKUP($AO113,'Технический лист'!$I:$J,2,1)),1+(1-$AU113))</f>
        <v>1</v>
      </c>
      <c r="DH113" s="15">
        <f>MIN(IF($AU113=100%,1,1+VLOOKUP(($AJ113-$AI113-$AH113-$AG113-$AF113-$AE113*(1+DH$3))/$AJ113,'Технический лист'!$I:$J,2,1)-VLOOKUP($AO113,'Технический лист'!$I:$J,2,1)),1+(1-$AU113))</f>
        <v>1</v>
      </c>
      <c r="DI113" s="15">
        <f>MIN(IF($AU113=100%,1,1+VLOOKUP(($AJ113-$AI113-$AH113-$AG113-$AF113-$AE113*(1+DI$3))/$AJ113,'Технический лист'!$I:$J,2,1)-VLOOKUP($AO113,'Технический лист'!$I:$J,2,1)),1+(1-$AU113))</f>
        <v>1</v>
      </c>
      <c r="DJ113" s="15">
        <f>MIN(IF($AU113=100%,1,1+VLOOKUP(($AJ113-$AI113-$AH113-$AG113-$AF113-$AE113*(1+DJ$3))/$AJ113,'Технический лист'!$I:$J,2,1)-VLOOKUP($AO113,'Технический лист'!$I:$J,2,1)),1+(1-$AU113))</f>
        <v>1</v>
      </c>
      <c r="DK113" s="15">
        <f>MIN(IF($AU113=100%,1,1+VLOOKUP(($AJ113-$AI113-$AH113-$AG113-$AF113-$AE113*(1+DK$3))/$AJ113,'Технический лист'!$I:$J,2,1)-VLOOKUP($AO113,'Технический лист'!$I:$J,2,1)),1+(1-$AU113))</f>
        <v>1</v>
      </c>
      <c r="DL113" s="15">
        <f>MIN(IF($AU113=100%,1,1+VLOOKUP(($AJ113-$AI113-$AH113-$AG113-$AF113-$AE113*(1+DL$3))/$AJ113,'Технический лист'!$I:$J,2,1)-VLOOKUP($AO113,'Технический лист'!$I:$J,2,1)),1+(1-$AU113))</f>
        <v>1</v>
      </c>
      <c r="DM113" s="15">
        <f>MIN(IF($AU113=100%,1,1+VLOOKUP(($AJ113-$AI113-$AH113-$AG113-$AF113-$AE113*(1+DM$3))/$AJ113,'Технический лист'!$I:$J,2,1)-VLOOKUP($AO113,'Технический лист'!$I:$J,2,1)),1+(1-$AU113))</f>
        <v>1</v>
      </c>
      <c r="DN113" s="15">
        <f>MIN(IF($AU113=100%,1,1+VLOOKUP(($AJ113-$AI113-$AH113-$AG113-$AF113-$AE113*(1+DN$3))/$AJ113,'Технический лист'!$I:$J,2,1)-VLOOKUP($AO113,'Технический лист'!$I:$J,2,1)),1+(1-$AU113))</f>
        <v>1</v>
      </c>
      <c r="DO113" s="15">
        <f>MIN(IF($AU113=100%,1,1+VLOOKUP(($AJ113-$AI113-$AH113-$AG113-$AF113-$AE113*(1+DO$3))/$AJ113,'Технический лист'!$I:$J,2,1)-VLOOKUP($AO113,'Технический лист'!$I:$J,2,1)),1+(1-$AU113))</f>
        <v>1</v>
      </c>
      <c r="DP113" s="15">
        <f>MIN(IF($AU113=100%,1,1+VLOOKUP(($AJ113-$AI113-$AH113-$AG113-$AF113-$AE113*(1+DP$3))/$AJ113,'Технический лист'!$I:$J,2,1)-VLOOKUP($AO113,'Технический лист'!$I:$J,2,1)),1+(1-$AU113))</f>
        <v>1</v>
      </c>
      <c r="DQ113" s="15">
        <f>MIN(IF($AU113=100%,1,1+VLOOKUP(($AJ113-$AI113-$AH113-$AG113-$AF113-$AE113*(1+DQ$3))/$AJ113,'Технический лист'!$I:$J,2,1)-VLOOKUP($AO113,'Технический лист'!$I:$J,2,1)),1+(1-$AU113))</f>
        <v>1</v>
      </c>
      <c r="DR113" s="15">
        <f>MIN(IF($AU113=100%,1,1+VLOOKUP(($AJ113-$AI113-$AH113-$AG113-$AF113-$AE113*(1+DR$3))/$AJ113,'Технический лист'!$I:$J,2,1)-VLOOKUP($AO113,'Технический лист'!$I:$J,2,1)),1+(1-$AU113))</f>
        <v>1</v>
      </c>
      <c r="DS113" s="15">
        <f>MIN(IF($AU113=100%,1,1+VLOOKUP(($AJ113-$AI113-$AH113-$AG113-$AF113-$AE113*(1+DS$3))/$AJ113,'Технический лист'!$I:$J,2,1)-VLOOKUP($AO113,'Технический лист'!$I:$J,2,1)),1+(1-$AU113))</f>
        <v>1</v>
      </c>
      <c r="DT113" s="15">
        <f>MIN(IF($AU113=100%,1,1+VLOOKUP(($AJ113-$AI113-$AH113-$AG113-$AF113-$AE113*(1+DT$3))/$AJ113,'Технический лист'!$I:$J,2,1)-VLOOKUP($AO113,'Технический лист'!$I:$J,2,1)),1+(1-$AU113))</f>
        <v>1</v>
      </c>
      <c r="DU113" s="15">
        <f>MIN(IF($AU113=100%,1,1+VLOOKUP(($AJ113-$AI113-$AH113-$AG113-$AF113-$AE113*(1+DU$3))/$AJ113,'Технический лист'!$I:$J,2,1)-VLOOKUP($AO113,'Технический лист'!$I:$J,2,1)),1+(1-$AU113))</f>
        <v>1</v>
      </c>
      <c r="DV113" s="15">
        <f>MIN(IF($AU113=100%,1,1+VLOOKUP(($AJ113-$AI113-$AH113-$AG113-$AF113-$AE113*(1+DV$3))/$AJ113,'Технический лист'!$I:$J,2,1)-VLOOKUP($AO113,'Технический лист'!$I:$J,2,1)),1+(1-$AU113))</f>
        <v>1</v>
      </c>
      <c r="DW113" s="15">
        <f>MIN(IF($AU113=100%,1,1+VLOOKUP(($AJ113-$AI113-$AH113-$AG113-$AF113-$AE113*(1+DW$3))/$AJ113,'Технический лист'!$I:$J,2,1)-VLOOKUP($AO113,'Технический лист'!$I:$J,2,1)),1+(1-$AU113))</f>
        <v>1</v>
      </c>
      <c r="DX113" s="15">
        <f>MIN(IF($AU113=100%,1,1+VLOOKUP(($AJ113-$AI113-$AH113-$AG113-$AF113-$AE113*(1+DX$3))/$AJ113,'Технический лист'!$I:$J,2,1)-VLOOKUP($AO113,'Технический лист'!$I:$J,2,1)),1+(1-$AU113))</f>
        <v>1</v>
      </c>
      <c r="DY113" s="15">
        <f>MIN(IF($AU113=100%,1,1+VLOOKUP(($AJ113-$AI113-$AH113-$AG113-$AF113-$AE113*(1+DY$3))/$AJ113,'Технический лист'!$I:$J,2,1)-VLOOKUP($AO113,'Технический лист'!$I:$J,2,1)),1+(1-$AU113))</f>
        <v>1</v>
      </c>
      <c r="DZ113" s="15">
        <f>MIN(IF($AU113=100%,1,1+VLOOKUP(($AJ113-$AI113-$AH113-$AG113-$AF113-$AE113*(1+DZ$3))/$AJ113,'Технический лист'!$I:$J,2,1)-VLOOKUP($AO113,'Технический лист'!$I:$J,2,1)),1+(1-$AU113))</f>
        <v>1</v>
      </c>
      <c r="EA113" s="15">
        <f>MIN(IF($AU113=100%,1,1+VLOOKUP(($AJ113-$AI113-$AH113-$AG113-$AF113-$AE113*(1+EA$3))/$AJ113,'Технический лист'!$I:$J,2,1)-VLOOKUP($AO113,'Технический лист'!$I:$J,2,1)),1+(1-$AU113))</f>
        <v>1</v>
      </c>
      <c r="EB113" s="15">
        <f>MIN(IF($AU113=100%,1,1+VLOOKUP(($AJ113-$AI113-$AH113-$AG113-$AF113-$AE113*(1+EB$3))/$AJ113,'Технический лист'!$I:$J,2,1)-VLOOKUP($AO113,'Технический лист'!$I:$J,2,1)),1+(1-$AU113))</f>
        <v>1</v>
      </c>
      <c r="EC113" s="15">
        <f>MIN(IF($AU113=100%,1,1+VLOOKUP(($AJ113-$AI113-$AH113-$AG113-$AF113-$AE113*(1+EC$3))/$AJ113,'Технический лист'!$I:$J,2,1)-VLOOKUP($AO113,'Технический лист'!$I:$J,2,1)),1+(1-$AU113))</f>
        <v>1</v>
      </c>
      <c r="ED113" s="15">
        <f>MIN(IF($AU113=100%,1,1+VLOOKUP(($AJ113-$AI113-$AH113-$AG113-$AF113-$AE113*(1+ED$3))/$AJ113,'Технический лист'!$I:$J,2,1)-VLOOKUP($AO113,'Технический лист'!$I:$J,2,1)),1+(1-$AU113))</f>
        <v>1</v>
      </c>
      <c r="EE113" s="15">
        <f>MIN(IF($AU113=100%,1,1+VLOOKUP(($AJ113-$AI113-$AH113-$AG113-$AF113-$AE113*(1+EE$3))/$AJ113,'Технический лист'!$I:$J,2,1)-VLOOKUP($AO113,'Технический лист'!$I:$J,2,1)),1+(1-$AU113))</f>
        <v>1</v>
      </c>
      <c r="EF113" s="15">
        <f>MIN(IF($AU113=100%,1,1+VLOOKUP(($AJ113-$AI113-$AH113-$AG113-$AF113-$AE113*(1+EF$3))/$AJ113,'Технический лист'!$I:$J,2,1)-VLOOKUP($AO113,'Технический лист'!$I:$J,2,1)),1+(1-$AU113))</f>
        <v>1</v>
      </c>
      <c r="EG113" s="15">
        <f>MIN(IF($AU113=100%,1,1+VLOOKUP(($AJ113-$AI113-$AH113-$AG113-$AF113-$AE113*(1+EG$3))/$AJ113,'Технический лист'!$I:$J,2,1)-VLOOKUP($AO113,'Технический лист'!$I:$J,2,1)),1+(1-$AU113))</f>
        <v>1</v>
      </c>
      <c r="EH113" s="15">
        <f>MIN(IF($AU113=100%,1,1+VLOOKUP(($AJ113-$AI113-$AH113-$AG113-$AF113-$AE113*(1+EH$3))/$AJ113,'Технический лист'!$I:$J,2,1)-VLOOKUP($AO113,'Технический лист'!$I:$J,2,1)),1+(1-$AU113))</f>
        <v>1</v>
      </c>
      <c r="EI113" s="15">
        <f>MIN(IF($AU113=100%,1,1+VLOOKUP(($AJ113-$AI113-$AH113-$AG113-$AF113-$AE113*(1+EI$3))/$AJ113,'Технический лист'!$I:$J,2,1)-VLOOKUP($AO113,'Технический лист'!$I:$J,2,1)),1+(1-$AU113))</f>
        <v>1</v>
      </c>
      <c r="EJ113" s="15">
        <f>MIN(IF($AU113=100%,1,1+VLOOKUP(($AJ113-$AI113-$AH113-$AG113-$AF113-$AE113*(1+EJ$3))/$AJ113,'Технический лист'!$I:$J,2,1)-VLOOKUP($AO113,'Технический лист'!$I:$J,2,1)),1+(1-$AU113))</f>
        <v>1</v>
      </c>
      <c r="EK113" s="15">
        <f>MIN(IF($AU113=100%,1,1+VLOOKUP(($AJ113-$AI113-$AH113-$AG113-$AF113-$AE113*(1+EK$3))/$AJ113,'Технический лист'!$I:$J,2,1)-VLOOKUP($AO113,'Технический лист'!$I:$J,2,1)),1+(1-$AU113))</f>
        <v>1</v>
      </c>
      <c r="EL113" s="15">
        <f>MIN(IF($AU113=100%,1,1+VLOOKUP(($AJ113-$AI113-$AH113-$AG113-$AF113-$AE113*(1+EL$3))/$AJ113,'Технический лист'!$I:$J,2,1)-VLOOKUP($AO113,'Технический лист'!$I:$J,2,1)),1+(1-$AU113))</f>
        <v>1</v>
      </c>
      <c r="EM113" s="15">
        <f>MIN(IF($AU113=100%,1,1+VLOOKUP(($AJ113-$AI113-$AH113-$AG113-$AF113-$AE113*(1+EM$3))/$AJ113,'Технический лист'!$I:$J,2,1)-VLOOKUP($AO113,'Технический лист'!$I:$J,2,1)),1+(1-$AU113))</f>
        <v>1</v>
      </c>
      <c r="EN113" s="15">
        <f>MIN(IF($AU113=100%,1,1+VLOOKUP(($AJ113-$AI113-$AH113-$AG113-$AF113-$AE113*(1+EN$3))/$AJ113,'Технический лист'!$I:$J,2,1)-VLOOKUP($AO113,'Технический лист'!$I:$J,2,1)),1+(1-$AU113))</f>
        <v>1</v>
      </c>
      <c r="EO113" s="15">
        <f>MIN(IF($AU113=100%,1,1+VLOOKUP(($AJ113-$AI113-$AH113-$AG113-$AF113-$AE113*(1+EO$3))/$AJ113,'Технический лист'!$I:$J,2,1)-VLOOKUP($AO113,'Технический лист'!$I:$J,2,1)),1+(1-$AU113))</f>
        <v>1</v>
      </c>
      <c r="EP113" s="15">
        <f>MIN(IF($AU113=100%,1,1+VLOOKUP(($AJ113-$AI113-$AH113-$AG113-$AF113-$AE113*(1+EP$3))/$AJ113,'Технический лист'!$I:$J,2,1)-VLOOKUP($AO113,'Технический лист'!$I:$J,2,1)),1+(1-$AU113))</f>
        <v>1</v>
      </c>
      <c r="EQ113" s="15">
        <f>MIN(IF($AU113=100%,1,1+VLOOKUP(($AJ113-$AI113-$AH113-$AG113-$AF113-$AE113*(1+EQ$3))/$AJ113,'Технический лист'!$I:$J,2,1)-VLOOKUP($AO113,'Технический лист'!$I:$J,2,1)),1+(1-$AU113))</f>
        <v>1</v>
      </c>
      <c r="ER113" s="15">
        <f>MIN(IF($AU113=100%,1,1+VLOOKUP(($AJ113-$AI113-$AH113-$AG113-$AF113-$AE113*(1+ER$3))/$AJ113,'Технический лист'!$I:$J,2,1)-VLOOKUP($AO113,'Технический лист'!$I:$J,2,1)),1+(1-$AU113))</f>
        <v>1</v>
      </c>
      <c r="ES113" s="15">
        <f>MIN(IF($AU113=100%,1,1+VLOOKUP(($AJ113-$AI113-$AH113-$AG113-$AF113-$AE113*(1+ES$3))/$AJ113,'Технический лист'!$I:$J,2,1)-VLOOKUP($AO113,'Технический лист'!$I:$J,2,1)),1+(1-$AU113))</f>
        <v>1</v>
      </c>
      <c r="ET113" s="15">
        <f>MIN(IF($AU113=100%,1,1+VLOOKUP(($AJ113-$AI113-$AH113-$AG113-$AF113-$AE113*(1+ET$3))/$AJ113,'Технический лист'!$I:$J,2,1)-VLOOKUP($AO113,'Технический лист'!$I:$J,2,1)),1+(1-$AU113))</f>
        <v>1</v>
      </c>
      <c r="EU113" s="15">
        <f>MIN(IF($AU113=100%,1,1+VLOOKUP(($AJ113-$AI113-$AH113-$AG113-$AF113-$AE113*(1+EU$3))/$AJ113,'Технический лист'!$I:$J,2,1)-VLOOKUP($AO113,'Технический лист'!$I:$J,2,1)),1+(1-$AU113))</f>
        <v>1</v>
      </c>
      <c r="EV113" s="111">
        <v>1</v>
      </c>
      <c r="EW113" s="15">
        <f>MIN(1,MAX(VLOOKUP(($AJ113-$AI113-$AH113-$AG113-$AF113-$AE113*(1+EW$3))/$AJ113,'Технический лист'!$A:$B,2,1),(EV113-0.05)))</f>
        <v>0.95</v>
      </c>
      <c r="EX113" s="15">
        <f>MIN(1,MAX(VLOOKUP(($AJ113-$AI113-$AH113-$AG113-$AF113-$AE113*(1+EX$3))/$AJ113,'Технический лист'!$A:$B,2,1),(EW113-0.05)))</f>
        <v>0.89999999999999991</v>
      </c>
      <c r="EY113" s="15">
        <f>MIN(1,MAX(VLOOKUP(($AJ113-$AI113-$AH113-$AG113-$AF113-$AE113*(1+EY$3))/$AJ113,'Технический лист'!$A:$B,2,1),(EX113-0.05)))</f>
        <v>0.84999999999999987</v>
      </c>
      <c r="EZ113" s="15">
        <f>MIN(1,MAX(VLOOKUP(($AJ113-$AI113-$AH113-$AG113-$AF113-$AE113*(1+EZ$3))/$AJ113,'Технический лист'!$A:$B,2,1),(EY113-0.05)))</f>
        <v>0.79999999999999982</v>
      </c>
      <c r="FA113" s="15">
        <f>MIN(1,MAX(VLOOKUP(($AJ113-$AI113-$AH113-$AG113-$AF113-$AE113*(1+FA$3))/$AJ113,'Технический лист'!$A:$B,2,1),(EZ113-0.05)))</f>
        <v>0.76600000000000001</v>
      </c>
      <c r="FB113" s="15">
        <f>MIN(1,MAX(VLOOKUP(($AJ113-$AI113-$AH113-$AG113-$AF113-$AE113*(1+FB$3))/$AJ113,'Технический лист'!$A:$B,2,1),(FA113-0.05)))</f>
        <v>0.76600000000000001</v>
      </c>
      <c r="FC113" s="15">
        <f>MIN(1,MAX(VLOOKUP(($AJ113-$AI113-$AH113-$AG113-$AF113-$AE113*(1+FC$3))/$AJ113,'Технический лист'!$A:$B,2,1),(FB113-0.05)))</f>
        <v>0.76600000000000001</v>
      </c>
      <c r="FD113" s="15">
        <f>MIN(1,MAX(VLOOKUP(($AJ113-$AI113-$AH113-$AG113-$AF113-$AE113*(1+FD$3))/$AJ113,'Технический лист'!$A:$B,2,1),(FC113-0.05)))</f>
        <v>0.76600000000000001</v>
      </c>
      <c r="FE113" s="15">
        <f>MIN(1,MAX(VLOOKUP(($AJ113-$AI113-$AH113-$AG113-$AF113-$AE113*(1+FE$3))/$AJ113,'Технический лист'!$A:$B,2,1),(FD113-0.05)))</f>
        <v>0.76600000000000001</v>
      </c>
      <c r="FF113" s="15">
        <f>MIN(1,MAX(VLOOKUP(($AJ113-$AI113-$AH113-$AG113-$AF113-$AE113*(1+FF$3))/$AJ113,'Технический лист'!$A:$B,2,1),(FE113-0.05)))</f>
        <v>0.76600000000000001</v>
      </c>
      <c r="FG113" s="15">
        <f>MIN(1,MAX(VLOOKUP(($AJ113-$AI113-$AH113-$AG113-$AF113-$AE113*(1+FG$3))/$AJ113,'Технический лист'!$A:$B,2,1),(FF113-0.05)))</f>
        <v>0.76600000000000001</v>
      </c>
      <c r="FH113" s="15">
        <f>MIN(1,MAX(VLOOKUP(($AJ113-$AI113-$AH113-$AG113-$AF113-$AE113*(1+FH$3))/$AJ113,'Технический лист'!$A:$B,2,1),(FG113-0.05)))</f>
        <v>0.76600000000000001</v>
      </c>
      <c r="FI113" s="15">
        <f>MIN(1,MAX(VLOOKUP(($AJ113-$AI113-$AH113-$AG113-$AF113-$AE113*(1+FI$3))/$AJ113,'Технический лист'!$A:$B,2,1),(FH113-0.05)))</f>
        <v>0.76600000000000001</v>
      </c>
      <c r="FJ113" s="15">
        <f>MIN(1,MAX(VLOOKUP(($AJ113-$AI113-$AH113-$AG113-$AF113-$AE113*(1+FJ$3))/$AJ113,'Технический лист'!$A:$B,2,1),(FI113-0.05)))</f>
        <v>0.76600000000000001</v>
      </c>
      <c r="FK113" s="15">
        <f>MIN(1,MAX(VLOOKUP(($AJ113-$AI113-$AH113-$AG113-$AF113-$AE113*(1+FK$3))/$AJ113,'Технический лист'!$A:$B,2,1),(FJ113-0.05)))</f>
        <v>0.76600000000000001</v>
      </c>
      <c r="FL113" s="15">
        <f>MIN(1,MAX(VLOOKUP(($AJ113-$AI113-$AH113-$AG113-$AF113-$AE113*(1+FL$3))/$AJ113,'Технический лист'!$A:$B,2,1),(FK113-0.05)))</f>
        <v>0.76600000000000001</v>
      </c>
      <c r="FM113" s="15">
        <f>MIN(1,MAX(VLOOKUP(($AJ113-$AI113-$AH113-$AG113-$AF113-$AE113*(1+FM$3))/$AJ113,'Технический лист'!$A:$B,2,1),(FL113-0.05)))</f>
        <v>0.76600000000000001</v>
      </c>
      <c r="FN113" s="15">
        <f>MIN(1,MAX(VLOOKUP(($AJ113-$AI113-$AH113-$AG113-$AF113-$AE113*(1+FN$3))/$AJ113,'Технический лист'!$A:$B,2,1),(FM113-0.05)))</f>
        <v>0.75900000000000001</v>
      </c>
      <c r="FO113" s="15">
        <f>MIN(1,MAX(VLOOKUP(($AJ113-$AI113-$AH113-$AG113-$AF113-$AE113*(1+FO$3))/$AJ113,'Технический лист'!$A:$B,2,1),(FN113-0.05)))</f>
        <v>0.75900000000000001</v>
      </c>
      <c r="FP113" s="15">
        <f>MIN(1,MAX(VLOOKUP(($AJ113-$AI113-$AH113-$AG113-$AF113-$AE113*(1+FP$3))/$AJ113,'Технический лист'!$A:$B,2,1),(FO113-0.05)))</f>
        <v>0.75900000000000001</v>
      </c>
      <c r="FQ113" s="15">
        <f>MIN(1,MAX(VLOOKUP(($AJ113-$AI113-$AH113-$AG113-$AF113-$AE113*(1+FQ$3))/$AJ113,'Технический лист'!$A:$B,2,1),(FP113-0.05)))</f>
        <v>0.75900000000000001</v>
      </c>
      <c r="FR113" s="15">
        <f>MIN(1,MAX(VLOOKUP(($AJ113-$AI113-$AH113-$AG113-$AF113-$AE113*(1+FR$3))/$AJ113,'Технический лист'!$A:$B,2,1),(FQ113-0.05)))</f>
        <v>0.75900000000000001</v>
      </c>
      <c r="FS113" s="15">
        <f>MIN(1,MAX(VLOOKUP(($AJ113-$AI113-$AH113-$AG113-$AF113-$AE113*(1+FS$3))/$AJ113,'Технический лист'!$A:$B,2,1),(FR113-0.05)))</f>
        <v>0.75900000000000001</v>
      </c>
      <c r="FT113" s="15">
        <f>MIN(1,MAX(VLOOKUP(($AJ113-$AI113-$AH113-$AG113-$AF113-$AE113*(1+FT$3))/$AJ113,'Технический лист'!$A:$B,2,1),(FS113-0.05)))</f>
        <v>0.75900000000000001</v>
      </c>
      <c r="FU113" s="15">
        <f>MIN(1,MAX(VLOOKUP(($AJ113-$AI113-$AH113-$AG113-$AF113-$AE113*(1+FU$3))/$AJ113,'Технический лист'!$A:$B,2,1),(FT113-0.05)))</f>
        <v>0.75900000000000001</v>
      </c>
      <c r="FV113" s="15">
        <f>MIN(1,MAX(VLOOKUP(($AJ113-$AI113-$AH113-$AG113-$AF113-$AE113*(1+FV$3))/$AJ113,'Технический лист'!$A:$B,2,1),(FU113-0.05)))</f>
        <v>0.75900000000000001</v>
      </c>
      <c r="FW113" s="15">
        <f>MIN(1,MAX(VLOOKUP(($AJ113-$AI113-$AH113-$AG113-$AF113-$AE113*(1+FW$3))/$AJ113,'Технический лист'!$A:$B,2,1),(FV113-0.05)))</f>
        <v>0.75900000000000001</v>
      </c>
      <c r="FX113" s="15">
        <f>MIN(1,MAX(VLOOKUP(($AJ113-$AI113-$AH113-$AG113-$AF113-$AE113*(1+FX$3))/$AJ113,'Технический лист'!$A:$B,2,1),(FW113-0.05)))</f>
        <v>0.75900000000000001</v>
      </c>
      <c r="FY113" s="15">
        <f>MIN(1,MAX(VLOOKUP(($AJ113-$AI113-$AH113-$AG113-$AF113-$AE113*(1+FY$3))/$AJ113,'Технический лист'!$A:$B,2,1),(FX113-0.05)))</f>
        <v>0.75900000000000001</v>
      </c>
      <c r="FZ113" s="15">
        <f>MIN(1,MAX(VLOOKUP(($AJ113-$AI113-$AH113-$AG113-$AF113-$AE113*(1+FZ$3))/$AJ113,'Технический лист'!$A:$B,2,1),(FY113-0.05)))</f>
        <v>0.75900000000000001</v>
      </c>
      <c r="GA113" s="15">
        <f>MIN(1,MAX(VLOOKUP(($AJ113-$AI113-$AH113-$AG113-$AF113-$AE113*(1+GA$3))/$AJ113,'Технический лист'!$A:$B,2,1),(FZ113-0.05)))</f>
        <v>0.75900000000000001</v>
      </c>
      <c r="GB113" s="15">
        <f>MIN(1,MAX(VLOOKUP(($AJ113-$AI113-$AH113-$AG113-$AF113-$AE113*(1+GB$3))/$AJ113,'Технический лист'!$A:$B,2,1),(GA113-0.05)))</f>
        <v>0.75900000000000001</v>
      </c>
      <c r="GC113" s="15">
        <f>MIN(1,MAX(VLOOKUP(($AJ113-$AI113-$AH113-$AG113-$AF113-$AE113*(1+GC$3))/$AJ113,'Технический лист'!$A:$B,2,1),(GB113-0.05)))</f>
        <v>0.75900000000000001</v>
      </c>
      <c r="GD113" s="15">
        <f>MIN(1,MAX(VLOOKUP(($AJ113-$AI113-$AH113-$AG113-$AF113-$AE113*(1+GD$3))/$AJ113,'Технический лист'!$A:$B,2,1),(GC113-0.05)))</f>
        <v>0.75900000000000001</v>
      </c>
      <c r="GE113" s="15">
        <f>MIN(1,MAX(VLOOKUP(($AJ113-$AI113-$AH113-$AG113-$AF113-$AE113*(1+GE$3))/$AJ113,'Технический лист'!$A:$B,2,1),(GD113-0.05)))</f>
        <v>0.75900000000000001</v>
      </c>
      <c r="GF113" s="15">
        <f>MIN(1,MAX(VLOOKUP(($AJ113-$AI113-$AH113-$AG113-$AF113-$AE113*(1+GF$3))/$AJ113,'Технический лист'!$A:$B,2,1),(GE113-0.05)))</f>
        <v>0.75900000000000001</v>
      </c>
      <c r="GG113" s="15">
        <f>MIN(1,MAX(VLOOKUP(($AJ113-$AI113-$AH113-$AG113-$AF113-$AE113*(1+GG$3))/$AJ113,'Технический лист'!$A:$B,2,1),(GF113-0.05)))</f>
        <v>0.75900000000000001</v>
      </c>
      <c r="GH113" s="15">
        <f>MIN(1,MAX(VLOOKUP(($AJ113-$AI113-$AH113-$AG113-$AF113-$AE113*(1+GH$3))/$AJ113,'Технический лист'!$A:$B,2,1),(GG113-0.05)))</f>
        <v>0.75900000000000001</v>
      </c>
      <c r="GI113" s="15">
        <f>MIN(1,MAX(VLOOKUP(($AJ113-$AI113-$AH113-$AG113-$AF113-$AE113*(1+GI$3))/$AJ113,'Технический лист'!$A:$B,2,1),(GH113-0.05)))</f>
        <v>0.752</v>
      </c>
      <c r="GJ113" s="15">
        <f>MIN(1,MAX(VLOOKUP(($AJ113-$AI113-$AH113-$AG113-$AF113-$AE113*(1+GJ$3))/$AJ113,'Технический лист'!$A:$B,2,1),(GI113-0.05)))</f>
        <v>0.752</v>
      </c>
      <c r="GK113" s="15">
        <f>MIN(1,MAX(VLOOKUP(($AJ113-$AI113-$AH113-$AG113-$AF113-$AE113*(1+GK$3))/$AJ113,'Технический лист'!$A:$B,2,1),(GJ113-0.05)))</f>
        <v>0.752</v>
      </c>
      <c r="GL113" s="15">
        <f>MIN(1,MAX(VLOOKUP(($AJ113-$AI113-$AH113-$AG113-$AF113-$AE113*(1+GL$3))/$AJ113,'Технический лист'!$A:$B,2,1),(GK113-0.05)))</f>
        <v>0.752</v>
      </c>
      <c r="GM113" s="15">
        <f>MIN(1,MAX(VLOOKUP(($AJ113-$AI113-$AH113-$AG113-$AF113-$AE113*(1+GM$3))/$AJ113,'Технический лист'!$A:$B,2,1),(GL113-0.05)))</f>
        <v>0.752</v>
      </c>
      <c r="GN113" s="15">
        <f>MIN(1,MAX(VLOOKUP(($AJ113-$AI113-$AH113-$AG113-$AF113-$AE113*(1+GN$3))/$AJ113,'Технический лист'!$A:$B,2,1),(GM113-0.05)))</f>
        <v>0.752</v>
      </c>
      <c r="GO113" s="15">
        <f>MIN(1,MAX(VLOOKUP(($AJ113-$AI113-$AH113-$AG113-$AF113-$AE113*(1+GO$3))/$AJ113,'Технический лист'!$A:$B,2,1),(GN113-0.05)))</f>
        <v>0.752</v>
      </c>
      <c r="GP113" s="15">
        <f>MIN(1,MAX(VLOOKUP(($AJ113-$AI113-$AH113-$AG113-$AF113-$AE113*(1+GP$3))/$AJ113,'Технический лист'!$A:$B,2,1),(GO113-0.05)))</f>
        <v>0.752</v>
      </c>
      <c r="GQ113" s="15">
        <f>MIN(1,MAX(VLOOKUP(($AJ113-$AI113-$AH113-$AG113-$AF113-$AE113*(1+GQ$3))/$AJ113,'Технический лист'!$A:$B,2,1),(GP113-0.05)))</f>
        <v>0.752</v>
      </c>
      <c r="GR113" s="15">
        <f>MIN(1,MAX(VLOOKUP(($AJ113-$AI113-$AH113-$AG113-$AF113-$AE113*(1+GR$3))/$AJ113,'Технический лист'!$A:$B,2,1),(GQ113-0.05)))</f>
        <v>0.752</v>
      </c>
      <c r="GS113" s="15">
        <f>MIN(1,MAX(VLOOKUP(($AJ113-$AI113-$AH113-$AG113-$AF113-$AE113*(1+GS$3))/$AJ113,'Технический лист'!$A:$B,2,1),(GR113-0.05)))</f>
        <v>0.752</v>
      </c>
      <c r="GT113" s="15">
        <f>MIN(1,MAX(VLOOKUP(($AJ113-$AI113-$AH113-$AG113-$AF113-$AE113*(1+GT$3))/$AJ113,'Технический лист'!$A:$B,2,1),(GS113-0.05)))</f>
        <v>0.752</v>
      </c>
      <c r="GU113" s="15">
        <f>MIN(1,MAX(VLOOKUP(($AJ113-$AI113-$AH113-$AG113-$AF113-$AE113*(1+GU$3))/$AJ113,'Технический лист'!$A:$B,2,1),(GT113-0.05)))</f>
        <v>0.752</v>
      </c>
      <c r="GV113" s="15">
        <f>MIN(1,MAX(VLOOKUP(($AJ113-$AI113-$AH113-$AG113-$AF113-$AE113*(1+GV$3))/$AJ113,'Технический лист'!$A:$B,2,1),(GU113-0.05)))</f>
        <v>0.752</v>
      </c>
      <c r="GW113" s="15">
        <f>MIN(1,MAX(VLOOKUP(($AJ113-$AI113-$AH113-$AG113-$AF113-$AE113*(1+GW$3))/$AJ113,'Технический лист'!$A:$B,2,1),(GV113-0.05)))</f>
        <v>0.752</v>
      </c>
      <c r="GX113" s="15">
        <f>MIN(1,MAX(VLOOKUP(($AJ113-$AI113-$AH113-$AG113-$AF113-$AE113*(1+GX$3))/$AJ113,'Технический лист'!$A:$B,2,1),(GW113-0.05)))</f>
        <v>0.752</v>
      </c>
      <c r="GY113" s="15">
        <f>MIN(1,MAX(VLOOKUP(($AJ113-$AI113-$AH113-$AG113-$AF113-$AE113*(1+GY$3))/$AJ113,'Технический лист'!$A:$B,2,1),(GX113-0.05)))</f>
        <v>0.752</v>
      </c>
      <c r="GZ113" s="15">
        <f>MIN(1,MAX(VLOOKUP(($AJ113-$AI113-$AH113-$AG113-$AF113-$AE113*(1+GZ$3))/$AJ113,'Технический лист'!$A:$B,2,1),(GY113-0.05)))</f>
        <v>0.752</v>
      </c>
      <c r="HA113" s="15">
        <f>MIN(1,MAX(VLOOKUP(($AJ113-$AI113-$AH113-$AG113-$AF113-$AE113*(1+HA$3))/$AJ113,'Технический лист'!$A:$B,2,1),(GZ113-0.05)))</f>
        <v>0.752</v>
      </c>
      <c r="HB113" s="15">
        <f>MIN(1,MAX(VLOOKUP(($AJ113-$AI113-$AH113-$AG113-$AF113-$AE113*(1+HB$3))/$AJ113,'Технический лист'!$A:$B,2,1),(HA113-0.05)))</f>
        <v>0.752</v>
      </c>
      <c r="HC113" s="15">
        <f>MIN(1,MAX(VLOOKUP(($AJ113-$AI113-$AH113-$AG113-$AF113-$AE113*(1+HC$3))/$AJ113,'Технический лист'!$A:$B,2,1),(HB113-0.05)))</f>
        <v>0.74399999999999999</v>
      </c>
      <c r="HD113" s="15">
        <f>MIN(1,MAX(VLOOKUP(($AJ113-$AI113-$AH113-$AG113-$AF113-$AE113*(1+HD$3))/$AJ113,'Технический лист'!$A:$B,2,1),(HC113-0.05)))</f>
        <v>0.74399999999999999</v>
      </c>
      <c r="HE113" s="15">
        <f>MIN(1,MAX(VLOOKUP(($AJ113-$AI113-$AH113-$AG113-$AF113-$AE113*(1+HE$3))/$AJ113,'Технический лист'!$A:$B,2,1),(HD113-0.05)))</f>
        <v>0.74399999999999999</v>
      </c>
      <c r="HF113" s="15">
        <f>MIN(1,MAX(VLOOKUP(($AJ113-$AI113-$AH113-$AG113-$AF113-$AE113*(1+HF$3))/$AJ113,'Технический лист'!$A:$B,2,1),(HE113-0.05)))</f>
        <v>0.74399999999999999</v>
      </c>
      <c r="HG113" s="15">
        <f>MIN(1,MAX(VLOOKUP(($AJ113-$AI113-$AH113-$AG113-$AF113-$AE113*(1+HG$3))/$AJ113,'Технический лист'!$A:$B,2,1),(HF113-0.05)))</f>
        <v>0.74399999999999999</v>
      </c>
      <c r="HH113" s="15">
        <f>MIN(1,MAX(VLOOKUP(($AJ113-$AI113-$AH113-$AG113-$AF113-$AE113*(1+HH$3))/$AJ113,'Технический лист'!$A:$B,2,1),(HG113-0.05)))</f>
        <v>0.74399999999999999</v>
      </c>
      <c r="HI113" s="15">
        <f>MIN(1,MAX(VLOOKUP(($AJ113-$AI113-$AH113-$AG113-$AF113-$AE113*(1+HI$3))/$AJ113,'Технический лист'!$A:$B,2,1),(HH113-0.05)))</f>
        <v>0.74399999999999999</v>
      </c>
      <c r="HJ113" s="15">
        <f>MIN(1,MAX(VLOOKUP(($AJ113-$AI113-$AH113-$AG113-$AF113-$AE113*(1+HJ$3))/$AJ113,'Технический лист'!$A:$B,2,1),(HI113-0.05)))</f>
        <v>0.74399999999999999</v>
      </c>
      <c r="HK113" s="15">
        <f>MIN(1,MAX(VLOOKUP(($AJ113-$AI113-$AH113-$AG113-$AF113-$AE113*(1+HK$3))/$AJ113,'Технический лист'!$A:$B,2,1),(HJ113-0.05)))</f>
        <v>0.74399999999999999</v>
      </c>
      <c r="HL113" s="15">
        <f>MIN(1,MAX(VLOOKUP(($AJ113-$AI113-$AH113-$AG113-$AF113-$AE113*(1+HL$3))/$AJ113,'Технический лист'!$A:$B,2,1),(HK113-0.05)))</f>
        <v>0.74399999999999999</v>
      </c>
      <c r="HM113" s="15">
        <f>MIN(1,MAX(VLOOKUP(($AJ113-$AI113-$AH113-$AG113-$AF113-$AE113*(1+HM$3))/$AJ113,'Технический лист'!$A:$B,2,1),(HL113-0.05)))</f>
        <v>0.74399999999999999</v>
      </c>
      <c r="HN113" s="15">
        <f>MIN(1,MAX(VLOOKUP(($AJ113-$AI113-$AH113-$AG113-$AF113-$AE113*(1+HN$3))/$AJ113,'Технический лист'!$A:$B,2,1),(HM113-0.05)))</f>
        <v>0.74399999999999999</v>
      </c>
      <c r="HO113" s="15">
        <f>MIN(1,MAX(VLOOKUP(($AJ113-$AI113-$AH113-$AG113-$AF113-$AE113*(1+HO$3))/$AJ113,'Технический лист'!$A:$B,2,1),(HN113-0.05)))</f>
        <v>0.74399999999999999</v>
      </c>
      <c r="HP113" s="15">
        <f>MIN(1,MAX(VLOOKUP(($AJ113-$AI113-$AH113-$AG113-$AF113-$AE113*(1+HP$3))/$AJ113,'Технический лист'!$A:$B,2,1),(HO113-0.05)))</f>
        <v>0.74399999999999999</v>
      </c>
      <c r="HQ113" s="15">
        <f>MIN(1,MAX(VLOOKUP(($AJ113-$AI113-$AH113-$AG113-$AF113-$AE113*(1+HQ$3))/$AJ113,'Технический лист'!$A:$B,2,1),(HP113-0.05)))</f>
        <v>0.74399999999999999</v>
      </c>
      <c r="HR113" s="15">
        <f>MIN(1,MAX(VLOOKUP(($AJ113-$AI113-$AH113-$AG113-$AF113-$AE113*(1+HR$3))/$AJ113,'Технический лист'!$A:$B,2,1),(HQ113-0.05)))</f>
        <v>0.74399999999999999</v>
      </c>
      <c r="HS113" s="15">
        <f>MIN(1,MAX(VLOOKUP(($AJ113-$AI113-$AH113-$AG113-$AF113-$AE113*(1+HS$3))/$AJ113,'Технический лист'!$A:$B,2,1),(HR113-0.05)))</f>
        <v>0.74399999999999999</v>
      </c>
      <c r="HT113" s="15">
        <f>MIN(1,MAX(VLOOKUP(($AJ113-$AI113-$AH113-$AG113-$AF113-$AE113*(1+HT$3))/$AJ113,'Технический лист'!$A:$B,2,1),(HS113-0.05)))</f>
        <v>0.74399999999999999</v>
      </c>
      <c r="HU113" s="15">
        <f>MIN(1,MAX(VLOOKUP(($AJ113-$AI113-$AH113-$AG113-$AF113-$AE113*(1+HU$3))/$AJ113,'Технический лист'!$A:$B,2,1),(HT113-0.05)))</f>
        <v>0.74399999999999999</v>
      </c>
      <c r="HV113" s="15">
        <f>MIN(1,MAX(VLOOKUP(($AJ113-$AI113-$AH113-$AG113-$AF113-$AE113*(1+HV$3))/$AJ113,'Технический лист'!$A:$B,2,1),(HU113-0.05)))</f>
        <v>0.74399999999999999</v>
      </c>
      <c r="HW113" s="15">
        <f>MIN(1,MAX(VLOOKUP(($AJ113-$AI113-$AH113-$AG113-$AF113-$AE113*(1+HW$3))/$AJ113,'Технический лист'!$A:$B,2,1),(HV113-0.05)))</f>
        <v>0.73599999999999999</v>
      </c>
      <c r="HX113" s="15">
        <f>MIN(1,MAX(VLOOKUP(($AJ113-$AI113-$AH113-$AG113-$AF113-$AE113*(1+HX$3))/$AJ113,'Технический лист'!$A:$B,2,1),(HW113-0.05)))</f>
        <v>0.73599999999999999</v>
      </c>
      <c r="HY113" s="15">
        <f>MIN(1,MAX(VLOOKUP(($AJ113-$AI113-$AH113-$AG113-$AF113-$AE113*(1+HY$3))/$AJ113,'Технический лист'!$A:$B,2,1),(HX113-0.05)))</f>
        <v>0.73599999999999999</v>
      </c>
      <c r="HZ113" s="15">
        <f>MIN(1,MAX(VLOOKUP(($AJ113-$AI113-$AH113-$AG113-$AF113-$AE113*(1+HZ$3))/$AJ113,'Технический лист'!$A:$B,2,1),(HY113-0.05)))</f>
        <v>0.73599999999999999</v>
      </c>
      <c r="IA113" s="15">
        <f>MIN(1,MAX(VLOOKUP(($AJ113-$AI113-$AH113-$AG113-$AF113-$AE113*(1+IA$3))/$AJ113,'Технический лист'!$A:$B,2,1),(HZ113-0.05)))</f>
        <v>0.73599999999999999</v>
      </c>
      <c r="IB113" s="15">
        <f>MIN(1,MAX(VLOOKUP(($AJ113-$AI113-$AH113-$AG113-$AF113-$AE113*(1+IB$3))/$AJ113,'Технический лист'!$A:$B,2,1),(IA113-0.05)))</f>
        <v>0.73599999999999999</v>
      </c>
      <c r="IC113" s="15">
        <f>MIN(1,MAX(VLOOKUP(($AJ113-$AI113-$AH113-$AG113-$AF113-$AE113*(1+IC$3))/$AJ113,'Технический лист'!$A:$B,2,1),(IB113-0.05)))</f>
        <v>0.73599999999999999</v>
      </c>
      <c r="ID113" s="15">
        <f>MIN(1,MAX(VLOOKUP(($AJ113-$AI113-$AH113-$AG113-$AF113-$AE113*(1+ID$3))/$AJ113,'Технический лист'!$A:$B,2,1),(IC113-0.05)))</f>
        <v>0.73599999999999999</v>
      </c>
      <c r="IE113" s="15">
        <f>MIN(1,MAX(VLOOKUP(($AJ113-$AI113-$AH113-$AG113-$AF113-$AE113*(1+IE$3))/$AJ113,'Технический лист'!$A:$B,2,1),(ID113-0.05)))</f>
        <v>0.73599999999999999</v>
      </c>
      <c r="IF113" s="15">
        <f>MIN(1,MAX(VLOOKUP(($AJ113-$AI113-$AH113-$AG113-$AF113-$AE113*(1+IF$3))/$AJ113,'Технический лист'!$A:$B,2,1),(IE113-0.05)))</f>
        <v>0.73599999999999999</v>
      </c>
      <c r="IG113" s="15">
        <f>MIN(1,MAX(VLOOKUP(($AJ113-$AI113-$AH113-$AG113-$AF113-$AE113*(1+IG$3))/$AJ113,'Технический лист'!$A:$B,2,1),(IF113-0.05)))</f>
        <v>0.73599999999999999</v>
      </c>
      <c r="IH113" s="15">
        <f>MIN(1,MAX(VLOOKUP(($AJ113-$AI113-$AH113-$AG113-$AF113-$AE113*(1+IH$3))/$AJ113,'Технический лист'!$A:$B,2,1),(IG113-0.05)))</f>
        <v>0.73599999999999999</v>
      </c>
      <c r="II113" s="15">
        <f>MIN(1,MAX(VLOOKUP(($AJ113-$AI113-$AH113-$AG113-$AF113-$AE113*(1+II$3))/$AJ113,'Технический лист'!$A:$B,2,1),(IH113-0.05)))</f>
        <v>0.73599999999999999</v>
      </c>
      <c r="IJ113" s="15">
        <f>MIN(1,MAX(VLOOKUP(($AJ113-$AI113-$AH113-$AG113-$AF113-$AE113*(1+IJ$3))/$AJ113,'Технический лист'!$A:$B,2,1),(II113-0.05)))</f>
        <v>0.73599999999999999</v>
      </c>
      <c r="IK113" s="15">
        <f>MIN(1,MAX(VLOOKUP(($AJ113-$AI113-$AH113-$AG113-$AF113-$AE113*(1+IK$3))/$AJ113,'Технический лист'!$A:$B,2,1),(IJ113-0.05)))</f>
        <v>0.73599999999999999</v>
      </c>
      <c r="IL113" s="15">
        <f>MIN(1,MAX(VLOOKUP(($AJ113-$AI113-$AH113-$AG113-$AF113-$AE113*(1+IL$3))/$AJ113,'Технический лист'!$A:$B,2,1),(IK113-0.05)))</f>
        <v>0.73599999999999999</v>
      </c>
      <c r="IM113" s="15">
        <f>MIN(1,MAX(VLOOKUP(($AJ113-$AI113-$AH113-$AG113-$AF113-$AE113*(1+IM$3))/$AJ113,'Технический лист'!$A:$B,2,1),(IL113-0.05)))</f>
        <v>0.73599999999999999</v>
      </c>
      <c r="IN113" s="15">
        <f>MIN(1,MAX(VLOOKUP(($AJ113-$AI113-$AH113-$AG113-$AF113-$AE113*(1+IN$3))/$AJ113,'Технический лист'!$A:$B,2,1),(IM113-0.05)))</f>
        <v>0.73599999999999999</v>
      </c>
      <c r="IO113" s="15">
        <f>MIN(1,MAX(VLOOKUP(($AJ113-$AI113-$AH113-$AG113-$AF113-$AE113*(1+IO$3))/$AJ113,'Технический лист'!$A:$B,2,1),(IN113-0.05)))</f>
        <v>0.73599999999999999</v>
      </c>
      <c r="IP113" s="15">
        <f>MIN(1,MAX(VLOOKUP(($AJ113-$AI113-$AH113-$AG113-$AF113-$AE113*(1+IP$3))/$AJ113,'Технический лист'!$A:$B,2,1),(IO113-0.05)))</f>
        <v>0.73599999999999999</v>
      </c>
      <c r="IQ113" s="15">
        <f>MIN(1,MAX(VLOOKUP(($AJ113-$AI113-$AH113-$AG113-$AF113-$AE113*(1+IQ$3))/$AJ113,'Технический лист'!$A:$B,2,1),(IP113-0.05)))</f>
        <v>0.72799999999999998</v>
      </c>
      <c r="IR113" s="15">
        <f>MIN(1,MAX(VLOOKUP(($AJ113-$AI113-$AH113-$AG113-$AF113-$AE113*(1+IR$3))/$AJ113,'Технический лист'!$A:$B,2,1),(IQ113-0.05)))</f>
        <v>0.72799999999999998</v>
      </c>
    </row>
    <row r="114" spans="1:252" ht="29.15">
      <c r="A114" s="89" t="s">
        <v>515</v>
      </c>
      <c r="B114" s="90">
        <v>5</v>
      </c>
      <c r="C114" s="5" t="s">
        <v>68</v>
      </c>
      <c r="D114" s="91">
        <v>31407</v>
      </c>
      <c r="E114" s="91" t="s">
        <v>343</v>
      </c>
      <c r="F114" s="92" t="s">
        <v>77</v>
      </c>
      <c r="G114" s="91" t="s">
        <v>28</v>
      </c>
      <c r="H114" s="91" t="s">
        <v>20</v>
      </c>
      <c r="I114" s="91" t="s">
        <v>105</v>
      </c>
      <c r="J114" s="91" t="s">
        <v>158</v>
      </c>
      <c r="K114" s="91">
        <v>1530</v>
      </c>
      <c r="L114" s="85" t="s">
        <v>64</v>
      </c>
      <c r="M114" s="91" t="s">
        <v>17</v>
      </c>
      <c r="N114" s="91" t="s">
        <v>191</v>
      </c>
      <c r="O114" s="91" t="s">
        <v>193</v>
      </c>
      <c r="P114" s="89" t="s">
        <v>246</v>
      </c>
      <c r="Q114" s="91" t="s">
        <v>282</v>
      </c>
      <c r="R114" s="91" t="s">
        <v>257</v>
      </c>
      <c r="S114" s="82">
        <v>2427355</v>
      </c>
      <c r="T114" s="82">
        <v>3714470003</v>
      </c>
      <c r="U114" s="81">
        <v>37995</v>
      </c>
      <c r="V114" s="81">
        <v>0</v>
      </c>
      <c r="W114" s="82">
        <v>7034422978</v>
      </c>
      <c r="X114" s="112">
        <v>66</v>
      </c>
      <c r="Y114" s="112" t="s">
        <v>418</v>
      </c>
      <c r="Z114" s="113">
        <v>6</v>
      </c>
      <c r="AA114" s="113">
        <v>6</v>
      </c>
      <c r="AB114" s="113">
        <v>4</v>
      </c>
      <c r="AC114" s="99">
        <v>3206.79</v>
      </c>
      <c r="AD114" s="99">
        <f>AE114-AC114</f>
        <v>561.59999999999991</v>
      </c>
      <c r="AE114" s="99">
        <v>3768.39</v>
      </c>
      <c r="AF114" s="98">
        <f>(Z114+AA114+AB114)*'Ставки аренды'!$B$3/X114</f>
        <v>169.69696969696969</v>
      </c>
      <c r="AG114" s="114">
        <f>'Ставки перевалки'!$B$10*'Курсы валют'!$B$2</f>
        <v>763.05499999999995</v>
      </c>
      <c r="AH114" s="94">
        <v>0</v>
      </c>
      <c r="AI114" s="116">
        <f>539714289/604384772*AVERAGE(AJ113,AJ115)</f>
        <v>42673.874762092266</v>
      </c>
      <c r="AJ114" s="117">
        <f>Цены!$C$6*'Курсы валют'!$B$2</f>
        <v>33574.42</v>
      </c>
      <c r="AK114" s="94">
        <f>AJ114/Цены!$B$1</f>
        <v>440</v>
      </c>
      <c r="AL114" s="95">
        <f t="shared" si="24"/>
        <v>4701.1419696969697</v>
      </c>
      <c r="AM114" s="95">
        <f t="shared" si="25"/>
        <v>28873.27803030303</v>
      </c>
      <c r="AN114" s="94">
        <f t="shared" si="39"/>
        <v>47375.016731789234</v>
      </c>
      <c r="AO114" s="118">
        <f t="shared" si="40"/>
        <v>-0.41104497804546547</v>
      </c>
      <c r="AP114" s="96">
        <f t="shared" si="26"/>
        <v>0.1400215393057265</v>
      </c>
      <c r="AQ114" s="96">
        <f t="shared" si="27"/>
        <v>0.11223991360089021</v>
      </c>
      <c r="AR114" s="96">
        <f t="shared" si="28"/>
        <v>0.80159034215316538</v>
      </c>
      <c r="AS114" s="122">
        <v>1</v>
      </c>
      <c r="AT114" s="121">
        <f t="shared" si="45"/>
        <v>2427355</v>
      </c>
      <c r="AU114" s="83">
        <v>0.95</v>
      </c>
      <c r="AV114" s="119">
        <f t="shared" si="41"/>
        <v>-0.42451376767757226</v>
      </c>
      <c r="AW114" s="120">
        <f t="shared" si="42"/>
        <v>0.15349032893783335</v>
      </c>
      <c r="AX114" s="120">
        <f t="shared" si="43"/>
        <v>0.12570870323299704</v>
      </c>
      <c r="AY114" s="120">
        <f t="shared" si="44"/>
        <v>0.8190008067798954</v>
      </c>
      <c r="AZ114" s="15">
        <f>MIN(IF($AU114=100%,1,1+VLOOKUP(($AJ114-$AI114-$AH114-$AG114-$AF114-$AE114*(1+AZ$3))/$AJ114,'Технический лист'!$I:$J,2,1)-VLOOKUP($AO114,'Технический лист'!$I:$J,2,1)),1+(1-$AU114))</f>
        <v>1</v>
      </c>
      <c r="BA114" s="15">
        <f>MIN(IF($AU114=100%,1,1+VLOOKUP(($AJ114-$AI114-$AH114-$AG114-$AF114-$AE114*(1+BA$3))/$AJ114,'Технический лист'!$I:$J,2,1)-VLOOKUP($AO114,'Технический лист'!$I:$J,2,1)),1+(1-$AU114))</f>
        <v>1</v>
      </c>
      <c r="BB114" s="15">
        <f>MIN(IF($AU114=100%,1,1+VLOOKUP(($AJ114-$AI114-$AH114-$AG114-$AF114-$AE114*(1+BB$3))/$AJ114,'Технический лист'!$I:$J,2,1)-VLOOKUP($AO114,'Технический лист'!$I:$J,2,1)),1+(1-$AU114))</f>
        <v>1</v>
      </c>
      <c r="BC114" s="15">
        <f>MIN(IF($AU114=100%,1,1+VLOOKUP(($AJ114-$AI114-$AH114-$AG114-$AF114-$AE114*(1+BC$3))/$AJ114,'Технический лист'!$I:$J,2,1)-VLOOKUP($AO114,'Технический лист'!$I:$J,2,1)),1+(1-$AU114))</f>
        <v>1</v>
      </c>
      <c r="BD114" s="15">
        <f>MIN(IF($AU114=100%,1,1+VLOOKUP(($AJ114-$AI114-$AH114-$AG114-$AF114-$AE114*(1+BD$3))/$AJ114,'Технический лист'!$I:$J,2,1)-VLOOKUP($AO114,'Технический лист'!$I:$J,2,1)),1+(1-$AU114))</f>
        <v>1</v>
      </c>
      <c r="BE114" s="15">
        <f>MIN(IF($AU114=100%,1,1+VLOOKUP(($AJ114-$AI114-$AH114-$AG114-$AF114-$AE114*(1+BE$3))/$AJ114,'Технический лист'!$I:$J,2,1)-VLOOKUP($AO114,'Технический лист'!$I:$J,2,1)),1+(1-$AU114))</f>
        <v>1</v>
      </c>
      <c r="BF114" s="15">
        <f>MIN(IF($AU114=100%,1,1+VLOOKUP(($AJ114-$AI114-$AH114-$AG114-$AF114-$AE114*(1+BF$3))/$AJ114,'Технический лист'!$I:$J,2,1)-VLOOKUP($AO114,'Технический лист'!$I:$J,2,1)),1+(1-$AU114))</f>
        <v>1</v>
      </c>
      <c r="BG114" s="15">
        <f>MIN(IF($AU114=100%,1,1+VLOOKUP(($AJ114-$AI114-$AH114-$AG114-$AF114-$AE114*(1+BG$3))/$AJ114,'Технический лист'!$I:$J,2,1)-VLOOKUP($AO114,'Технический лист'!$I:$J,2,1)),1+(1-$AU114))</f>
        <v>1</v>
      </c>
      <c r="BH114" s="15">
        <f>MIN(IF($AU114=100%,1,1+VLOOKUP(($AJ114-$AI114-$AH114-$AG114-$AF114-$AE114*(1+BH$3))/$AJ114,'Технический лист'!$I:$J,2,1)-VLOOKUP($AO114,'Технический лист'!$I:$J,2,1)),1+(1-$AU114))</f>
        <v>1</v>
      </c>
      <c r="BI114" s="15">
        <f>MIN(IF($AU114=100%,1,1+VLOOKUP(($AJ114-$AI114-$AH114-$AG114-$AF114-$AE114*(1+BI$3))/$AJ114,'Технический лист'!$I:$J,2,1)-VLOOKUP($AO114,'Технический лист'!$I:$J,2,1)),1+(1-$AU114))</f>
        <v>1</v>
      </c>
      <c r="BJ114" s="15">
        <f>MIN(IF($AU114=100%,1,1+VLOOKUP(($AJ114-$AI114-$AH114-$AG114-$AF114-$AE114*(1+BJ$3))/$AJ114,'Технический лист'!$I:$J,2,1)-VLOOKUP($AO114,'Технический лист'!$I:$J,2,1)),1+(1-$AU114))</f>
        <v>1</v>
      </c>
      <c r="BK114" s="15">
        <f>MIN(IF($AU114=100%,1,1+VLOOKUP(($AJ114-$AI114-$AH114-$AG114-$AF114-$AE114*(1+BK$3))/$AJ114,'Технический лист'!$I:$J,2,1)-VLOOKUP($AO114,'Технический лист'!$I:$J,2,1)),1+(1-$AU114))</f>
        <v>1</v>
      </c>
      <c r="BL114" s="15">
        <f>MIN(IF($AU114=100%,1,1+VLOOKUP(($AJ114-$AI114-$AH114-$AG114-$AF114-$AE114*(1+BL$3))/$AJ114,'Технический лист'!$I:$J,2,1)-VLOOKUP($AO114,'Технический лист'!$I:$J,2,1)),1+(1-$AU114))</f>
        <v>1</v>
      </c>
      <c r="BM114" s="15">
        <f>MIN(IF($AU114=100%,1,1+VLOOKUP(($AJ114-$AI114-$AH114-$AG114-$AF114-$AE114*(1+BM$3))/$AJ114,'Технический лист'!$I:$J,2,1)-VLOOKUP($AO114,'Технический лист'!$I:$J,2,1)),1+(1-$AU114))</f>
        <v>1</v>
      </c>
      <c r="BN114" s="15">
        <f>MIN(IF($AU114=100%,1,1+VLOOKUP(($AJ114-$AI114-$AH114-$AG114-$AF114-$AE114*(1+BN$3))/$AJ114,'Технический лист'!$I:$J,2,1)-VLOOKUP($AO114,'Технический лист'!$I:$J,2,1)),1+(1-$AU114))</f>
        <v>1</v>
      </c>
      <c r="BO114" s="15">
        <f>MIN(IF($AU114=100%,1,1+VLOOKUP(($AJ114-$AI114-$AH114-$AG114-$AF114-$AE114*(1+BO$3))/$AJ114,'Технический лист'!$I:$J,2,1)-VLOOKUP($AO114,'Технический лист'!$I:$J,2,1)),1+(1-$AU114))</f>
        <v>1</v>
      </c>
      <c r="BP114" s="15">
        <f>MIN(IF($AU114=100%,1,1+VLOOKUP(($AJ114-$AI114-$AH114-$AG114-$AF114-$AE114*(1+BP$3))/$AJ114,'Технический лист'!$I:$J,2,1)-VLOOKUP($AO114,'Технический лист'!$I:$J,2,1)),1+(1-$AU114))</f>
        <v>1</v>
      </c>
      <c r="BQ114" s="15">
        <f>MIN(IF($AU114=100%,1,1+VLOOKUP(($AJ114-$AI114-$AH114-$AG114-$AF114-$AE114*(1+BQ$3))/$AJ114,'Технический лист'!$I:$J,2,1)-VLOOKUP($AO114,'Технический лист'!$I:$J,2,1)),1+(1-$AU114))</f>
        <v>1</v>
      </c>
      <c r="BR114" s="15">
        <f>MIN(IF($AU114=100%,1,1+VLOOKUP(($AJ114-$AI114-$AH114-$AG114-$AF114-$AE114*(1+BR$3))/$AJ114,'Технический лист'!$I:$J,2,1)-VLOOKUP($AO114,'Технический лист'!$I:$J,2,1)),1+(1-$AU114))</f>
        <v>1</v>
      </c>
      <c r="BS114" s="15">
        <f>MIN(IF($AU114=100%,1,1+VLOOKUP(($AJ114-$AI114-$AH114-$AG114-$AF114-$AE114*(1+BS$3))/$AJ114,'Технический лист'!$I:$J,2,1)-VLOOKUP($AO114,'Технический лист'!$I:$J,2,1)),1+(1-$AU114))</f>
        <v>1</v>
      </c>
      <c r="BT114" s="15">
        <f>MIN(IF($AU114=100%,1,1+VLOOKUP(($AJ114-$AI114-$AH114-$AG114-$AF114-$AE114*(1+BT$3))/$AJ114,'Технический лист'!$I:$J,2,1)-VLOOKUP($AO114,'Технический лист'!$I:$J,2,1)),1+(1-$AU114))</f>
        <v>1</v>
      </c>
      <c r="BU114" s="15">
        <f>MIN(IF($AU114=100%,1,1+VLOOKUP(($AJ114-$AI114-$AH114-$AG114-$AF114-$AE114*(1+BU$3))/$AJ114,'Технический лист'!$I:$J,2,1)-VLOOKUP($AO114,'Технический лист'!$I:$J,2,1)),1+(1-$AU114))</f>
        <v>1</v>
      </c>
      <c r="BV114" s="15">
        <f>MIN(IF($AU114=100%,1,1+VLOOKUP(($AJ114-$AI114-$AH114-$AG114-$AF114-$AE114*(1+BV$3))/$AJ114,'Технический лист'!$I:$J,2,1)-VLOOKUP($AO114,'Технический лист'!$I:$J,2,1)),1+(1-$AU114))</f>
        <v>1</v>
      </c>
      <c r="BW114" s="15">
        <f>MIN(IF($AU114=100%,1,1+VLOOKUP(($AJ114-$AI114-$AH114-$AG114-$AF114-$AE114*(1+BW$3))/$AJ114,'Технический лист'!$I:$J,2,1)-VLOOKUP($AO114,'Технический лист'!$I:$J,2,1)),1+(1-$AU114))</f>
        <v>1</v>
      </c>
      <c r="BX114" s="15">
        <f>MIN(IF($AU114=100%,1,1+VLOOKUP(($AJ114-$AI114-$AH114-$AG114-$AF114-$AE114*(1+BX$3))/$AJ114,'Технический лист'!$I:$J,2,1)-VLOOKUP($AO114,'Технический лист'!$I:$J,2,1)),1+(1-$AU114))</f>
        <v>1</v>
      </c>
      <c r="BY114" s="15">
        <f>MIN(IF($AU114=100%,1,1+VLOOKUP(($AJ114-$AI114-$AH114-$AG114-$AF114-$AE114*(1+BY$3))/$AJ114,'Технический лист'!$I:$J,2,1)-VLOOKUP($AO114,'Технический лист'!$I:$J,2,1)),1+(1-$AU114))</f>
        <v>1</v>
      </c>
      <c r="BZ114" s="15">
        <f>MIN(IF($AU114=100%,1,1+VLOOKUP(($AJ114-$AI114-$AH114-$AG114-$AF114-$AE114*(1+BZ$3))/$AJ114,'Технический лист'!$I:$J,2,1)-VLOOKUP($AO114,'Технический лист'!$I:$J,2,1)),1+(1-$AU114))</f>
        <v>1</v>
      </c>
      <c r="CA114" s="15">
        <f>MIN(IF($AU114=100%,1,1+VLOOKUP(($AJ114-$AI114-$AH114-$AG114-$AF114-$AE114*(1+CA$3))/$AJ114,'Технический лист'!$I:$J,2,1)-VLOOKUP($AO114,'Технический лист'!$I:$J,2,1)),1+(1-$AU114))</f>
        <v>1</v>
      </c>
      <c r="CB114" s="15">
        <f>MIN(IF($AU114=100%,1,1+VLOOKUP(($AJ114-$AI114-$AH114-$AG114-$AF114-$AE114*(1+CB$3))/$AJ114,'Технический лист'!$I:$J,2,1)-VLOOKUP($AO114,'Технический лист'!$I:$J,2,1)),1+(1-$AU114))</f>
        <v>1</v>
      </c>
      <c r="CC114" s="15">
        <f>MIN(IF($AU114=100%,1,1+VLOOKUP(($AJ114-$AI114-$AH114-$AG114-$AF114-$AE114*(1+CC$3))/$AJ114,'Технический лист'!$I:$J,2,1)-VLOOKUP($AO114,'Технический лист'!$I:$J,2,1)),1+(1-$AU114))</f>
        <v>1</v>
      </c>
      <c r="CD114" s="15">
        <f>MIN(IF($AU114=100%,1,1+VLOOKUP(($AJ114-$AI114-$AH114-$AG114-$AF114-$AE114*(1+CD$3))/$AJ114,'Технический лист'!$I:$J,2,1)-VLOOKUP($AO114,'Технический лист'!$I:$J,2,1)),1+(1-$AU114))</f>
        <v>1</v>
      </c>
      <c r="CE114" s="15">
        <f>MIN(IF($AU114=100%,1,1+VLOOKUP(($AJ114-$AI114-$AH114-$AG114-$AF114-$AE114*(1+CE$3))/$AJ114,'Технический лист'!$I:$J,2,1)-VLOOKUP($AO114,'Технический лист'!$I:$J,2,1)),1+(1-$AU114))</f>
        <v>1</v>
      </c>
      <c r="CF114" s="15">
        <f>MIN(IF($AU114=100%,1,1+VLOOKUP(($AJ114-$AI114-$AH114-$AG114-$AF114-$AE114*(1+CF$3))/$AJ114,'Технический лист'!$I:$J,2,1)-VLOOKUP($AO114,'Технический лист'!$I:$J,2,1)),1+(1-$AU114))</f>
        <v>1</v>
      </c>
      <c r="CG114" s="15">
        <f>MIN(IF($AU114=100%,1,1+VLOOKUP(($AJ114-$AI114-$AH114-$AG114-$AF114-$AE114*(1+CG$3))/$AJ114,'Технический лист'!$I:$J,2,1)-VLOOKUP($AO114,'Технический лист'!$I:$J,2,1)),1+(1-$AU114))</f>
        <v>1</v>
      </c>
      <c r="CH114" s="15">
        <f>MIN(IF($AU114=100%,1,1+VLOOKUP(($AJ114-$AI114-$AH114-$AG114-$AF114-$AE114*(1+CH$3))/$AJ114,'Технический лист'!$I:$J,2,1)-VLOOKUP($AO114,'Технический лист'!$I:$J,2,1)),1+(1-$AU114))</f>
        <v>1</v>
      </c>
      <c r="CI114" s="15">
        <f>MIN(IF($AU114=100%,1,1+VLOOKUP(($AJ114-$AI114-$AH114-$AG114-$AF114-$AE114*(1+CI$3))/$AJ114,'Технический лист'!$I:$J,2,1)-VLOOKUP($AO114,'Технический лист'!$I:$J,2,1)),1+(1-$AU114))</f>
        <v>1</v>
      </c>
      <c r="CJ114" s="15">
        <f>MIN(IF($AU114=100%,1,1+VLOOKUP(($AJ114-$AI114-$AH114-$AG114-$AF114-$AE114*(1+CJ$3))/$AJ114,'Технический лист'!$I:$J,2,1)-VLOOKUP($AO114,'Технический лист'!$I:$J,2,1)),1+(1-$AU114))</f>
        <v>1</v>
      </c>
      <c r="CK114" s="15">
        <f>MIN(IF($AU114=100%,1,1+VLOOKUP(($AJ114-$AI114-$AH114-$AG114-$AF114-$AE114*(1+CK$3))/$AJ114,'Технический лист'!$I:$J,2,1)-VLOOKUP($AO114,'Технический лист'!$I:$J,2,1)),1+(1-$AU114))</f>
        <v>1</v>
      </c>
      <c r="CL114" s="15">
        <f>MIN(IF($AU114=100%,1,1+VLOOKUP(($AJ114-$AI114-$AH114-$AG114-$AF114-$AE114*(1+CL$3))/$AJ114,'Технический лист'!$I:$J,2,1)-VLOOKUP($AO114,'Технический лист'!$I:$J,2,1)),1+(1-$AU114))</f>
        <v>1</v>
      </c>
      <c r="CM114" s="15">
        <f>MIN(IF($AU114=100%,1,1+VLOOKUP(($AJ114-$AI114-$AH114-$AG114-$AF114-$AE114*(1+CM$3))/$AJ114,'Технический лист'!$I:$J,2,1)-VLOOKUP($AO114,'Технический лист'!$I:$J,2,1)),1+(1-$AU114))</f>
        <v>1</v>
      </c>
      <c r="CN114" s="15">
        <f>MIN(IF($AU114=100%,1,1+VLOOKUP(($AJ114-$AI114-$AH114-$AG114-$AF114-$AE114*(1+CN$3))/$AJ114,'Технический лист'!$I:$J,2,1)-VLOOKUP($AO114,'Технический лист'!$I:$J,2,1)),1+(1-$AU114))</f>
        <v>1</v>
      </c>
      <c r="CO114" s="15">
        <f>MIN(IF($AU114=100%,1,1+VLOOKUP(($AJ114-$AI114-$AH114-$AG114-$AF114-$AE114*(1+CO$3))/$AJ114,'Технический лист'!$I:$J,2,1)-VLOOKUP($AO114,'Технический лист'!$I:$J,2,1)),1+(1-$AU114))</f>
        <v>1</v>
      </c>
      <c r="CP114" s="15">
        <f>MIN(IF($AU114=100%,1,1+VLOOKUP(($AJ114-$AI114-$AH114-$AG114-$AF114-$AE114*(1+CP$3))/$AJ114,'Технический лист'!$I:$J,2,1)-VLOOKUP($AO114,'Технический лист'!$I:$J,2,1)),1+(1-$AU114))</f>
        <v>1</v>
      </c>
      <c r="CQ114" s="15">
        <f>MIN(IF($AU114=100%,1,1+VLOOKUP(($AJ114-$AI114-$AH114-$AG114-$AF114-$AE114*(1+CQ$3))/$AJ114,'Технический лист'!$I:$J,2,1)-VLOOKUP($AO114,'Технический лист'!$I:$J,2,1)),1+(1-$AU114))</f>
        <v>1</v>
      </c>
      <c r="CR114" s="15">
        <f>MIN(IF($AU114=100%,1,1+VLOOKUP(($AJ114-$AI114-$AH114-$AG114-$AF114-$AE114*(1+CR$3))/$AJ114,'Технический лист'!$I:$J,2,1)-VLOOKUP($AO114,'Технический лист'!$I:$J,2,1)),1+(1-$AU114))</f>
        <v>1</v>
      </c>
      <c r="CS114" s="15">
        <f>MIN(IF($AU114=100%,1,1+VLOOKUP(($AJ114-$AI114-$AH114-$AG114-$AF114-$AE114*(1+CS$3))/$AJ114,'Технический лист'!$I:$J,2,1)-VLOOKUP($AO114,'Технический лист'!$I:$J,2,1)),1+(1-$AU114))</f>
        <v>1</v>
      </c>
      <c r="CT114" s="15">
        <f>MIN(IF($AU114=100%,1,1+VLOOKUP(($AJ114-$AI114-$AH114-$AG114-$AF114-$AE114*(1+CT$3))/$AJ114,'Технический лист'!$I:$J,2,1)-VLOOKUP($AO114,'Технический лист'!$I:$J,2,1)),1+(1-$AU114))</f>
        <v>1</v>
      </c>
      <c r="CU114" s="15">
        <f>MIN(IF($AU114=100%,1,1+VLOOKUP(($AJ114-$AI114-$AH114-$AG114-$AF114-$AE114*(1+CU$3))/$AJ114,'Технический лист'!$I:$J,2,1)-VLOOKUP($AO114,'Технический лист'!$I:$J,2,1)),1+(1-$AU114))</f>
        <v>1</v>
      </c>
      <c r="CV114" s="15">
        <f>MIN(IF($AU114=100%,1,1+VLOOKUP(($AJ114-$AI114-$AH114-$AG114-$AF114-$AE114*(1+CV$3))/$AJ114,'Технический лист'!$I:$J,2,1)-VLOOKUP($AO114,'Технический лист'!$I:$J,2,1)),1+(1-$AU114))</f>
        <v>1</v>
      </c>
      <c r="CW114" s="15">
        <f>MIN(IF($AU114=100%,1,1+VLOOKUP(($AJ114-$AI114-$AH114-$AG114-$AF114-$AE114*(1+CW$3))/$AJ114,'Технический лист'!$I:$J,2,1)-VLOOKUP($AO114,'Технический лист'!$I:$J,2,1)),1+(1-$AU114))</f>
        <v>1</v>
      </c>
      <c r="CX114" s="15">
        <f>MIN(IF($AU114=100%,1,1+VLOOKUP(($AJ114-$AI114-$AH114-$AG114-$AF114-$AE114*(1+CX$3))/$AJ114,'Технический лист'!$I:$J,2,1)-VLOOKUP($AO114,'Технический лист'!$I:$J,2,1)),1+(1-$AU114))</f>
        <v>1</v>
      </c>
      <c r="CY114" s="15">
        <f>MIN(IF($AU114=100%,1,1+VLOOKUP(($AJ114-$AI114-$AH114-$AG114-$AF114-$AE114*(1+CY$3))/$AJ114,'Технический лист'!$I:$J,2,1)-VLOOKUP($AO114,'Технический лист'!$I:$J,2,1)),1+(1-$AU114))</f>
        <v>1</v>
      </c>
      <c r="CZ114" s="15">
        <f>MIN(IF($AU114=100%,1,1+VLOOKUP(($AJ114-$AI114-$AH114-$AG114-$AF114-$AE114*(1+CZ$3))/$AJ114,'Технический лист'!$I:$J,2,1)-VLOOKUP($AO114,'Технический лист'!$I:$J,2,1)),1+(1-$AU114))</f>
        <v>1</v>
      </c>
      <c r="DA114" s="15">
        <f>MIN(IF($AU114=100%,1,1+VLOOKUP(($AJ114-$AI114-$AH114-$AG114-$AF114-$AE114*(1+DA$3))/$AJ114,'Технический лист'!$I:$J,2,1)-VLOOKUP($AO114,'Технический лист'!$I:$J,2,1)),1+(1-$AU114))</f>
        <v>1</v>
      </c>
      <c r="DB114" s="15">
        <f>MIN(IF($AU114=100%,1,1+VLOOKUP(($AJ114-$AI114-$AH114-$AG114-$AF114-$AE114*(1+DB$3))/$AJ114,'Технический лист'!$I:$J,2,1)-VLOOKUP($AO114,'Технический лист'!$I:$J,2,1)),1+(1-$AU114))</f>
        <v>1</v>
      </c>
      <c r="DC114" s="15">
        <f>MIN(IF($AU114=100%,1,1+VLOOKUP(($AJ114-$AI114-$AH114-$AG114-$AF114-$AE114*(1+DC$3))/$AJ114,'Технический лист'!$I:$J,2,1)-VLOOKUP($AO114,'Технический лист'!$I:$J,2,1)),1+(1-$AU114))</f>
        <v>1</v>
      </c>
      <c r="DD114" s="15">
        <f>MIN(IF($AU114=100%,1,1+VLOOKUP(($AJ114-$AI114-$AH114-$AG114-$AF114-$AE114*(1+DD$3))/$AJ114,'Технический лист'!$I:$J,2,1)-VLOOKUP($AO114,'Технический лист'!$I:$J,2,1)),1+(1-$AU114))</f>
        <v>1</v>
      </c>
      <c r="DE114" s="15">
        <f>MIN(IF($AU114=100%,1,1+VLOOKUP(($AJ114-$AI114-$AH114-$AG114-$AF114-$AE114*(1+DE$3))/$AJ114,'Технический лист'!$I:$J,2,1)-VLOOKUP($AO114,'Технический лист'!$I:$J,2,1)),1+(1-$AU114))</f>
        <v>1</v>
      </c>
      <c r="DF114" s="15">
        <f>MIN(IF($AU114=100%,1,1+VLOOKUP(($AJ114-$AI114-$AH114-$AG114-$AF114-$AE114*(1+DF$3))/$AJ114,'Технический лист'!$I:$J,2,1)-VLOOKUP($AO114,'Технический лист'!$I:$J,2,1)),1+(1-$AU114))</f>
        <v>1</v>
      </c>
      <c r="DG114" s="15">
        <f>MIN(IF($AU114=100%,1,1+VLOOKUP(($AJ114-$AI114-$AH114-$AG114-$AF114-$AE114*(1+DG$3))/$AJ114,'Технический лист'!$I:$J,2,1)-VLOOKUP($AO114,'Технический лист'!$I:$J,2,1)),1+(1-$AU114))</f>
        <v>1</v>
      </c>
      <c r="DH114" s="15">
        <f>MIN(IF($AU114=100%,1,1+VLOOKUP(($AJ114-$AI114-$AH114-$AG114-$AF114-$AE114*(1+DH$3))/$AJ114,'Технический лист'!$I:$J,2,1)-VLOOKUP($AO114,'Технический лист'!$I:$J,2,1)),1+(1-$AU114))</f>
        <v>1</v>
      </c>
      <c r="DI114" s="15">
        <f>MIN(IF($AU114=100%,1,1+VLOOKUP(($AJ114-$AI114-$AH114-$AG114-$AF114-$AE114*(1+DI$3))/$AJ114,'Технический лист'!$I:$J,2,1)-VLOOKUP($AO114,'Технический лист'!$I:$J,2,1)),1+(1-$AU114))</f>
        <v>1</v>
      </c>
      <c r="DJ114" s="15">
        <f>MIN(IF($AU114=100%,1,1+VLOOKUP(($AJ114-$AI114-$AH114-$AG114-$AF114-$AE114*(1+DJ$3))/$AJ114,'Технический лист'!$I:$J,2,1)-VLOOKUP($AO114,'Технический лист'!$I:$J,2,1)),1+(1-$AU114))</f>
        <v>1</v>
      </c>
      <c r="DK114" s="15">
        <f>MIN(IF($AU114=100%,1,1+VLOOKUP(($AJ114-$AI114-$AH114-$AG114-$AF114-$AE114*(1+DK$3))/$AJ114,'Технический лист'!$I:$J,2,1)-VLOOKUP($AO114,'Технический лист'!$I:$J,2,1)),1+(1-$AU114))</f>
        <v>1</v>
      </c>
      <c r="DL114" s="15">
        <f>MIN(IF($AU114=100%,1,1+VLOOKUP(($AJ114-$AI114-$AH114-$AG114-$AF114-$AE114*(1+DL$3))/$AJ114,'Технический лист'!$I:$J,2,1)-VLOOKUP($AO114,'Технический лист'!$I:$J,2,1)),1+(1-$AU114))</f>
        <v>1</v>
      </c>
      <c r="DM114" s="15">
        <f>MIN(IF($AU114=100%,1,1+VLOOKUP(($AJ114-$AI114-$AH114-$AG114-$AF114-$AE114*(1+DM$3))/$AJ114,'Технический лист'!$I:$J,2,1)-VLOOKUP($AO114,'Технический лист'!$I:$J,2,1)),1+(1-$AU114))</f>
        <v>1</v>
      </c>
      <c r="DN114" s="15">
        <f>MIN(IF($AU114=100%,1,1+VLOOKUP(($AJ114-$AI114-$AH114-$AG114-$AF114-$AE114*(1+DN$3))/$AJ114,'Технический лист'!$I:$J,2,1)-VLOOKUP($AO114,'Технический лист'!$I:$J,2,1)),1+(1-$AU114))</f>
        <v>1</v>
      </c>
      <c r="DO114" s="15">
        <f>MIN(IF($AU114=100%,1,1+VLOOKUP(($AJ114-$AI114-$AH114-$AG114-$AF114-$AE114*(1+DO$3))/$AJ114,'Технический лист'!$I:$J,2,1)-VLOOKUP($AO114,'Технический лист'!$I:$J,2,1)),1+(1-$AU114))</f>
        <v>1</v>
      </c>
      <c r="DP114" s="15">
        <f>MIN(IF($AU114=100%,1,1+VLOOKUP(($AJ114-$AI114-$AH114-$AG114-$AF114-$AE114*(1+DP$3))/$AJ114,'Технический лист'!$I:$J,2,1)-VLOOKUP($AO114,'Технический лист'!$I:$J,2,1)),1+(1-$AU114))</f>
        <v>1</v>
      </c>
      <c r="DQ114" s="15">
        <f>MIN(IF($AU114=100%,1,1+VLOOKUP(($AJ114-$AI114-$AH114-$AG114-$AF114-$AE114*(1+DQ$3))/$AJ114,'Технический лист'!$I:$J,2,1)-VLOOKUP($AO114,'Технический лист'!$I:$J,2,1)),1+(1-$AU114))</f>
        <v>1</v>
      </c>
      <c r="DR114" s="15">
        <f>MIN(IF($AU114=100%,1,1+VLOOKUP(($AJ114-$AI114-$AH114-$AG114-$AF114-$AE114*(1+DR$3))/$AJ114,'Технический лист'!$I:$J,2,1)-VLOOKUP($AO114,'Технический лист'!$I:$J,2,1)),1+(1-$AU114))</f>
        <v>1</v>
      </c>
      <c r="DS114" s="15">
        <f>MIN(IF($AU114=100%,1,1+VLOOKUP(($AJ114-$AI114-$AH114-$AG114-$AF114-$AE114*(1+DS$3))/$AJ114,'Технический лист'!$I:$J,2,1)-VLOOKUP($AO114,'Технический лист'!$I:$J,2,1)),1+(1-$AU114))</f>
        <v>1</v>
      </c>
      <c r="DT114" s="15">
        <f>MIN(IF($AU114=100%,1,1+VLOOKUP(($AJ114-$AI114-$AH114-$AG114-$AF114-$AE114*(1+DT$3))/$AJ114,'Технический лист'!$I:$J,2,1)-VLOOKUP($AO114,'Технический лист'!$I:$J,2,1)),1+(1-$AU114))</f>
        <v>1</v>
      </c>
      <c r="DU114" s="15">
        <f>MIN(IF($AU114=100%,1,1+VLOOKUP(($AJ114-$AI114-$AH114-$AG114-$AF114-$AE114*(1+DU$3))/$AJ114,'Технический лист'!$I:$J,2,1)-VLOOKUP($AO114,'Технический лист'!$I:$J,2,1)),1+(1-$AU114))</f>
        <v>1</v>
      </c>
      <c r="DV114" s="15">
        <f>MIN(IF($AU114=100%,1,1+VLOOKUP(($AJ114-$AI114-$AH114-$AG114-$AF114-$AE114*(1+DV$3))/$AJ114,'Технический лист'!$I:$J,2,1)-VLOOKUP($AO114,'Технический лист'!$I:$J,2,1)),1+(1-$AU114))</f>
        <v>1</v>
      </c>
      <c r="DW114" s="15">
        <f>MIN(IF($AU114=100%,1,1+VLOOKUP(($AJ114-$AI114-$AH114-$AG114-$AF114-$AE114*(1+DW$3))/$AJ114,'Технический лист'!$I:$J,2,1)-VLOOKUP($AO114,'Технический лист'!$I:$J,2,1)),1+(1-$AU114))</f>
        <v>1</v>
      </c>
      <c r="DX114" s="15">
        <f>MIN(IF($AU114=100%,1,1+VLOOKUP(($AJ114-$AI114-$AH114-$AG114-$AF114-$AE114*(1+DX$3))/$AJ114,'Технический лист'!$I:$J,2,1)-VLOOKUP($AO114,'Технический лист'!$I:$J,2,1)),1+(1-$AU114))</f>
        <v>1</v>
      </c>
      <c r="DY114" s="15">
        <f>MIN(IF($AU114=100%,1,1+VLOOKUP(($AJ114-$AI114-$AH114-$AG114-$AF114-$AE114*(1+DY$3))/$AJ114,'Технический лист'!$I:$J,2,1)-VLOOKUP($AO114,'Технический лист'!$I:$J,2,1)),1+(1-$AU114))</f>
        <v>1</v>
      </c>
      <c r="DZ114" s="15">
        <f>MIN(IF($AU114=100%,1,1+VLOOKUP(($AJ114-$AI114-$AH114-$AG114-$AF114-$AE114*(1+DZ$3))/$AJ114,'Технический лист'!$I:$J,2,1)-VLOOKUP($AO114,'Технический лист'!$I:$J,2,1)),1+(1-$AU114))</f>
        <v>1</v>
      </c>
      <c r="EA114" s="15">
        <f>MIN(IF($AU114=100%,1,1+VLOOKUP(($AJ114-$AI114-$AH114-$AG114-$AF114-$AE114*(1+EA$3))/$AJ114,'Технический лист'!$I:$J,2,1)-VLOOKUP($AO114,'Технический лист'!$I:$J,2,1)),1+(1-$AU114))</f>
        <v>1</v>
      </c>
      <c r="EB114" s="15">
        <f>MIN(IF($AU114=100%,1,1+VLOOKUP(($AJ114-$AI114-$AH114-$AG114-$AF114-$AE114*(1+EB$3))/$AJ114,'Технический лист'!$I:$J,2,1)-VLOOKUP($AO114,'Технический лист'!$I:$J,2,1)),1+(1-$AU114))</f>
        <v>1</v>
      </c>
      <c r="EC114" s="15">
        <f>MIN(IF($AU114=100%,1,1+VLOOKUP(($AJ114-$AI114-$AH114-$AG114-$AF114-$AE114*(1+EC$3))/$AJ114,'Технический лист'!$I:$J,2,1)-VLOOKUP($AO114,'Технический лист'!$I:$J,2,1)),1+(1-$AU114))</f>
        <v>1</v>
      </c>
      <c r="ED114" s="15">
        <f>MIN(IF($AU114=100%,1,1+VLOOKUP(($AJ114-$AI114-$AH114-$AG114-$AF114-$AE114*(1+ED$3))/$AJ114,'Технический лист'!$I:$J,2,1)-VLOOKUP($AO114,'Технический лист'!$I:$J,2,1)),1+(1-$AU114))</f>
        <v>1</v>
      </c>
      <c r="EE114" s="15">
        <f>MIN(IF($AU114=100%,1,1+VLOOKUP(($AJ114-$AI114-$AH114-$AG114-$AF114-$AE114*(1+EE$3))/$AJ114,'Технический лист'!$I:$J,2,1)-VLOOKUP($AO114,'Технический лист'!$I:$J,2,1)),1+(1-$AU114))</f>
        <v>1</v>
      </c>
      <c r="EF114" s="15">
        <f>MIN(IF($AU114=100%,1,1+VLOOKUP(($AJ114-$AI114-$AH114-$AG114-$AF114-$AE114*(1+EF$3))/$AJ114,'Технический лист'!$I:$J,2,1)-VLOOKUP($AO114,'Технический лист'!$I:$J,2,1)),1+(1-$AU114))</f>
        <v>1</v>
      </c>
      <c r="EG114" s="15">
        <f>MIN(IF($AU114=100%,1,1+VLOOKUP(($AJ114-$AI114-$AH114-$AG114-$AF114-$AE114*(1+EG$3))/$AJ114,'Технический лист'!$I:$J,2,1)-VLOOKUP($AO114,'Технический лист'!$I:$J,2,1)),1+(1-$AU114))</f>
        <v>1</v>
      </c>
      <c r="EH114" s="15">
        <f>MIN(IF($AU114=100%,1,1+VLOOKUP(($AJ114-$AI114-$AH114-$AG114-$AF114-$AE114*(1+EH$3))/$AJ114,'Технический лист'!$I:$J,2,1)-VLOOKUP($AO114,'Технический лист'!$I:$J,2,1)),1+(1-$AU114))</f>
        <v>1</v>
      </c>
      <c r="EI114" s="15">
        <f>MIN(IF($AU114=100%,1,1+VLOOKUP(($AJ114-$AI114-$AH114-$AG114-$AF114-$AE114*(1+EI$3))/$AJ114,'Технический лист'!$I:$J,2,1)-VLOOKUP($AO114,'Технический лист'!$I:$J,2,1)),1+(1-$AU114))</f>
        <v>1</v>
      </c>
      <c r="EJ114" s="15">
        <f>MIN(IF($AU114=100%,1,1+VLOOKUP(($AJ114-$AI114-$AH114-$AG114-$AF114-$AE114*(1+EJ$3))/$AJ114,'Технический лист'!$I:$J,2,1)-VLOOKUP($AO114,'Технический лист'!$I:$J,2,1)),1+(1-$AU114))</f>
        <v>1</v>
      </c>
      <c r="EK114" s="15">
        <f>MIN(IF($AU114=100%,1,1+VLOOKUP(($AJ114-$AI114-$AH114-$AG114-$AF114-$AE114*(1+EK$3))/$AJ114,'Технический лист'!$I:$J,2,1)-VLOOKUP($AO114,'Технический лист'!$I:$J,2,1)),1+(1-$AU114))</f>
        <v>1</v>
      </c>
      <c r="EL114" s="15">
        <f>MIN(IF($AU114=100%,1,1+VLOOKUP(($AJ114-$AI114-$AH114-$AG114-$AF114-$AE114*(1+EL$3))/$AJ114,'Технический лист'!$I:$J,2,1)-VLOOKUP($AO114,'Технический лист'!$I:$J,2,1)),1+(1-$AU114))</f>
        <v>1</v>
      </c>
      <c r="EM114" s="15">
        <f>MIN(IF($AU114=100%,1,1+VLOOKUP(($AJ114-$AI114-$AH114-$AG114-$AF114-$AE114*(1+EM$3))/$AJ114,'Технический лист'!$I:$J,2,1)-VLOOKUP($AO114,'Технический лист'!$I:$J,2,1)),1+(1-$AU114))</f>
        <v>1</v>
      </c>
      <c r="EN114" s="15">
        <f>MIN(IF($AU114=100%,1,1+VLOOKUP(($AJ114-$AI114-$AH114-$AG114-$AF114-$AE114*(1+EN$3))/$AJ114,'Технический лист'!$I:$J,2,1)-VLOOKUP($AO114,'Технический лист'!$I:$J,2,1)),1+(1-$AU114))</f>
        <v>1</v>
      </c>
      <c r="EO114" s="15">
        <f>MIN(IF($AU114=100%,1,1+VLOOKUP(($AJ114-$AI114-$AH114-$AG114-$AF114-$AE114*(1+EO$3))/$AJ114,'Технический лист'!$I:$J,2,1)-VLOOKUP($AO114,'Технический лист'!$I:$J,2,1)),1+(1-$AU114))</f>
        <v>1</v>
      </c>
      <c r="EP114" s="15">
        <f>MIN(IF($AU114=100%,1,1+VLOOKUP(($AJ114-$AI114-$AH114-$AG114-$AF114-$AE114*(1+EP$3))/$AJ114,'Технический лист'!$I:$J,2,1)-VLOOKUP($AO114,'Технический лист'!$I:$J,2,1)),1+(1-$AU114))</f>
        <v>1</v>
      </c>
      <c r="EQ114" s="15">
        <f>MIN(IF($AU114=100%,1,1+VLOOKUP(($AJ114-$AI114-$AH114-$AG114-$AF114-$AE114*(1+EQ$3))/$AJ114,'Технический лист'!$I:$J,2,1)-VLOOKUP($AO114,'Технический лист'!$I:$J,2,1)),1+(1-$AU114))</f>
        <v>1</v>
      </c>
      <c r="ER114" s="15">
        <f>MIN(IF($AU114=100%,1,1+VLOOKUP(($AJ114-$AI114-$AH114-$AG114-$AF114-$AE114*(1+ER$3))/$AJ114,'Технический лист'!$I:$J,2,1)-VLOOKUP($AO114,'Технический лист'!$I:$J,2,1)),1+(1-$AU114))</f>
        <v>1</v>
      </c>
      <c r="ES114" s="15">
        <f>MIN(IF($AU114=100%,1,1+VLOOKUP(($AJ114-$AI114-$AH114-$AG114-$AF114-$AE114*(1+ES$3))/$AJ114,'Технический лист'!$I:$J,2,1)-VLOOKUP($AO114,'Технический лист'!$I:$J,2,1)),1+(1-$AU114))</f>
        <v>1</v>
      </c>
      <c r="ET114" s="15">
        <f>MIN(IF($AU114=100%,1,1+VLOOKUP(($AJ114-$AI114-$AH114-$AG114-$AF114-$AE114*(1+ET$3))/$AJ114,'Технический лист'!$I:$J,2,1)-VLOOKUP($AO114,'Технический лист'!$I:$J,2,1)),1+(1-$AU114))</f>
        <v>1</v>
      </c>
      <c r="EU114" s="15">
        <f>MIN(IF($AU114=100%,1,1+VLOOKUP(($AJ114-$AI114-$AH114-$AG114-$AF114-$AE114*(1+EU$3))/$AJ114,'Технический лист'!$I:$J,2,1)-VLOOKUP($AO114,'Технический лист'!$I:$J,2,1)),1+(1-$AU114))</f>
        <v>1</v>
      </c>
      <c r="EV114" s="111">
        <v>1</v>
      </c>
      <c r="EW114" s="15">
        <f>MIN(1,MAX(VLOOKUP(($AJ114-$AI114-$AH114-$AG114-$AF114-$AE114*(1+EW$3))/$AJ114,'Технический лист'!$A:$B,2,1),(EV114-0.05)))</f>
        <v>0.95</v>
      </c>
      <c r="EX114" s="15">
        <f>MIN(1,MAX(VLOOKUP(($AJ114-$AI114-$AH114-$AG114-$AF114-$AE114*(1+EX$3))/$AJ114,'Технический лист'!$A:$B,2,1),(EW114-0.05)))</f>
        <v>0.89999999999999991</v>
      </c>
      <c r="EY114" s="15">
        <f>MIN(1,MAX(VLOOKUP(($AJ114-$AI114-$AH114-$AG114-$AF114-$AE114*(1+EY$3))/$AJ114,'Технический лист'!$A:$B,2,1),(EX114-0.05)))</f>
        <v>0.84999999999999987</v>
      </c>
      <c r="EZ114" s="15">
        <f>MIN(1,MAX(VLOOKUP(($AJ114-$AI114-$AH114-$AG114-$AF114-$AE114*(1+EZ$3))/$AJ114,'Технический лист'!$A:$B,2,1),(EY114-0.05)))</f>
        <v>0.79999999999999982</v>
      </c>
      <c r="FA114" s="15">
        <f>MIN(1,MAX(VLOOKUP(($AJ114-$AI114-$AH114-$AG114-$AF114-$AE114*(1+FA$3))/$AJ114,'Технический лист'!$A:$B,2,1),(EZ114-0.05)))</f>
        <v>0.76600000000000001</v>
      </c>
      <c r="FB114" s="15">
        <f>MIN(1,MAX(VLOOKUP(($AJ114-$AI114-$AH114-$AG114-$AF114-$AE114*(1+FB$3))/$AJ114,'Технический лист'!$A:$B,2,1),(FA114-0.05)))</f>
        <v>0.76600000000000001</v>
      </c>
      <c r="FC114" s="15">
        <f>MIN(1,MAX(VLOOKUP(($AJ114-$AI114-$AH114-$AG114-$AF114-$AE114*(1+FC$3))/$AJ114,'Технический лист'!$A:$B,2,1),(FB114-0.05)))</f>
        <v>0.76600000000000001</v>
      </c>
      <c r="FD114" s="15">
        <f>MIN(1,MAX(VLOOKUP(($AJ114-$AI114-$AH114-$AG114-$AF114-$AE114*(1+FD$3))/$AJ114,'Технический лист'!$A:$B,2,1),(FC114-0.05)))</f>
        <v>0.76600000000000001</v>
      </c>
      <c r="FE114" s="15">
        <f>MIN(1,MAX(VLOOKUP(($AJ114-$AI114-$AH114-$AG114-$AF114-$AE114*(1+FE$3))/$AJ114,'Технический лист'!$A:$B,2,1),(FD114-0.05)))</f>
        <v>0.76600000000000001</v>
      </c>
      <c r="FF114" s="15">
        <f>MIN(1,MAX(VLOOKUP(($AJ114-$AI114-$AH114-$AG114-$AF114-$AE114*(1+FF$3))/$AJ114,'Технический лист'!$A:$B,2,1),(FE114-0.05)))</f>
        <v>0.76600000000000001</v>
      </c>
      <c r="FG114" s="15">
        <f>MIN(1,MAX(VLOOKUP(($AJ114-$AI114-$AH114-$AG114-$AF114-$AE114*(1+FG$3))/$AJ114,'Технический лист'!$A:$B,2,1),(FF114-0.05)))</f>
        <v>0.76600000000000001</v>
      </c>
      <c r="FH114" s="15">
        <f>MIN(1,MAX(VLOOKUP(($AJ114-$AI114-$AH114-$AG114-$AF114-$AE114*(1+FH$3))/$AJ114,'Технический лист'!$A:$B,2,1),(FG114-0.05)))</f>
        <v>0.76600000000000001</v>
      </c>
      <c r="FI114" s="15">
        <f>MIN(1,MAX(VLOOKUP(($AJ114-$AI114-$AH114-$AG114-$AF114-$AE114*(1+FI$3))/$AJ114,'Технический лист'!$A:$B,2,1),(FH114-0.05)))</f>
        <v>0.76600000000000001</v>
      </c>
      <c r="FJ114" s="15">
        <f>MIN(1,MAX(VLOOKUP(($AJ114-$AI114-$AH114-$AG114-$AF114-$AE114*(1+FJ$3))/$AJ114,'Технический лист'!$A:$B,2,1),(FI114-0.05)))</f>
        <v>0.76600000000000001</v>
      </c>
      <c r="FK114" s="15">
        <f>MIN(1,MAX(VLOOKUP(($AJ114-$AI114-$AH114-$AG114-$AF114-$AE114*(1+FK$3))/$AJ114,'Технический лист'!$A:$B,2,1),(FJ114-0.05)))</f>
        <v>0.76600000000000001</v>
      </c>
      <c r="FL114" s="15">
        <f>MIN(1,MAX(VLOOKUP(($AJ114-$AI114-$AH114-$AG114-$AF114-$AE114*(1+FL$3))/$AJ114,'Технический лист'!$A:$B,2,1),(FK114-0.05)))</f>
        <v>0.75900000000000001</v>
      </c>
      <c r="FM114" s="15">
        <f>MIN(1,MAX(VLOOKUP(($AJ114-$AI114-$AH114-$AG114-$AF114-$AE114*(1+FM$3))/$AJ114,'Технический лист'!$A:$B,2,1),(FL114-0.05)))</f>
        <v>0.75900000000000001</v>
      </c>
      <c r="FN114" s="15">
        <f>MIN(1,MAX(VLOOKUP(($AJ114-$AI114-$AH114-$AG114-$AF114-$AE114*(1+FN$3))/$AJ114,'Технический лист'!$A:$B,2,1),(FM114-0.05)))</f>
        <v>0.75900000000000001</v>
      </c>
      <c r="FO114" s="15">
        <f>MIN(1,MAX(VLOOKUP(($AJ114-$AI114-$AH114-$AG114-$AF114-$AE114*(1+FO$3))/$AJ114,'Технический лист'!$A:$B,2,1),(FN114-0.05)))</f>
        <v>0.75900000000000001</v>
      </c>
      <c r="FP114" s="15">
        <f>MIN(1,MAX(VLOOKUP(($AJ114-$AI114-$AH114-$AG114-$AF114-$AE114*(1+FP$3))/$AJ114,'Технический лист'!$A:$B,2,1),(FO114-0.05)))</f>
        <v>0.75900000000000001</v>
      </c>
      <c r="FQ114" s="15">
        <f>MIN(1,MAX(VLOOKUP(($AJ114-$AI114-$AH114-$AG114-$AF114-$AE114*(1+FQ$3))/$AJ114,'Технический лист'!$A:$B,2,1),(FP114-0.05)))</f>
        <v>0.75900000000000001</v>
      </c>
      <c r="FR114" s="15">
        <f>MIN(1,MAX(VLOOKUP(($AJ114-$AI114-$AH114-$AG114-$AF114-$AE114*(1+FR$3))/$AJ114,'Технический лист'!$A:$B,2,1),(FQ114-0.05)))</f>
        <v>0.75900000000000001</v>
      </c>
      <c r="FS114" s="15">
        <f>MIN(1,MAX(VLOOKUP(($AJ114-$AI114-$AH114-$AG114-$AF114-$AE114*(1+FS$3))/$AJ114,'Технический лист'!$A:$B,2,1),(FR114-0.05)))</f>
        <v>0.75900000000000001</v>
      </c>
      <c r="FT114" s="15">
        <f>MIN(1,MAX(VLOOKUP(($AJ114-$AI114-$AH114-$AG114-$AF114-$AE114*(1+FT$3))/$AJ114,'Технический лист'!$A:$B,2,1),(FS114-0.05)))</f>
        <v>0.75900000000000001</v>
      </c>
      <c r="FU114" s="15">
        <f>MIN(1,MAX(VLOOKUP(($AJ114-$AI114-$AH114-$AG114-$AF114-$AE114*(1+FU$3))/$AJ114,'Технический лист'!$A:$B,2,1),(FT114-0.05)))</f>
        <v>0.75900000000000001</v>
      </c>
      <c r="FV114" s="15">
        <f>MIN(1,MAX(VLOOKUP(($AJ114-$AI114-$AH114-$AG114-$AF114-$AE114*(1+FV$3))/$AJ114,'Технический лист'!$A:$B,2,1),(FU114-0.05)))</f>
        <v>0.75900000000000001</v>
      </c>
      <c r="FW114" s="15">
        <f>MIN(1,MAX(VLOOKUP(($AJ114-$AI114-$AH114-$AG114-$AF114-$AE114*(1+FW$3))/$AJ114,'Технический лист'!$A:$B,2,1),(FV114-0.05)))</f>
        <v>0.75900000000000001</v>
      </c>
      <c r="FX114" s="15">
        <f>MIN(1,MAX(VLOOKUP(($AJ114-$AI114-$AH114-$AG114-$AF114-$AE114*(1+FX$3))/$AJ114,'Технический лист'!$A:$B,2,1),(FW114-0.05)))</f>
        <v>0.75900000000000001</v>
      </c>
      <c r="FY114" s="15">
        <f>MIN(1,MAX(VLOOKUP(($AJ114-$AI114-$AH114-$AG114-$AF114-$AE114*(1+FY$3))/$AJ114,'Технический лист'!$A:$B,2,1),(FX114-0.05)))</f>
        <v>0.75900000000000001</v>
      </c>
      <c r="FZ114" s="15">
        <f>MIN(1,MAX(VLOOKUP(($AJ114-$AI114-$AH114-$AG114-$AF114-$AE114*(1+FZ$3))/$AJ114,'Технический лист'!$A:$B,2,1),(FY114-0.05)))</f>
        <v>0.75900000000000001</v>
      </c>
      <c r="GA114" s="15">
        <f>MIN(1,MAX(VLOOKUP(($AJ114-$AI114-$AH114-$AG114-$AF114-$AE114*(1+GA$3))/$AJ114,'Технический лист'!$A:$B,2,1),(FZ114-0.05)))</f>
        <v>0.75900000000000001</v>
      </c>
      <c r="GB114" s="15">
        <f>MIN(1,MAX(VLOOKUP(($AJ114-$AI114-$AH114-$AG114-$AF114-$AE114*(1+GB$3))/$AJ114,'Технический лист'!$A:$B,2,1),(GA114-0.05)))</f>
        <v>0.75900000000000001</v>
      </c>
      <c r="GC114" s="15">
        <f>MIN(1,MAX(VLOOKUP(($AJ114-$AI114-$AH114-$AG114-$AF114-$AE114*(1+GC$3))/$AJ114,'Технический лист'!$A:$B,2,1),(GB114-0.05)))</f>
        <v>0.75900000000000001</v>
      </c>
      <c r="GD114" s="15">
        <f>MIN(1,MAX(VLOOKUP(($AJ114-$AI114-$AH114-$AG114-$AF114-$AE114*(1+GD$3))/$AJ114,'Технический лист'!$A:$B,2,1),(GC114-0.05)))</f>
        <v>0.752</v>
      </c>
      <c r="GE114" s="15">
        <f>MIN(1,MAX(VLOOKUP(($AJ114-$AI114-$AH114-$AG114-$AF114-$AE114*(1+GE$3))/$AJ114,'Технический лист'!$A:$B,2,1),(GD114-0.05)))</f>
        <v>0.752</v>
      </c>
      <c r="GF114" s="15">
        <f>MIN(1,MAX(VLOOKUP(($AJ114-$AI114-$AH114-$AG114-$AF114-$AE114*(1+GF$3))/$AJ114,'Технический лист'!$A:$B,2,1),(GE114-0.05)))</f>
        <v>0.752</v>
      </c>
      <c r="GG114" s="15">
        <f>MIN(1,MAX(VLOOKUP(($AJ114-$AI114-$AH114-$AG114-$AF114-$AE114*(1+GG$3))/$AJ114,'Технический лист'!$A:$B,2,1),(GF114-0.05)))</f>
        <v>0.752</v>
      </c>
      <c r="GH114" s="15">
        <f>MIN(1,MAX(VLOOKUP(($AJ114-$AI114-$AH114-$AG114-$AF114-$AE114*(1+GH$3))/$AJ114,'Технический лист'!$A:$B,2,1),(GG114-0.05)))</f>
        <v>0.752</v>
      </c>
      <c r="GI114" s="15">
        <f>MIN(1,MAX(VLOOKUP(($AJ114-$AI114-$AH114-$AG114-$AF114-$AE114*(1+GI$3))/$AJ114,'Технический лист'!$A:$B,2,1),(GH114-0.05)))</f>
        <v>0.752</v>
      </c>
      <c r="GJ114" s="15">
        <f>MIN(1,MAX(VLOOKUP(($AJ114-$AI114-$AH114-$AG114-$AF114-$AE114*(1+GJ$3))/$AJ114,'Технический лист'!$A:$B,2,1),(GI114-0.05)))</f>
        <v>0.752</v>
      </c>
      <c r="GK114" s="15">
        <f>MIN(1,MAX(VLOOKUP(($AJ114-$AI114-$AH114-$AG114-$AF114-$AE114*(1+GK$3))/$AJ114,'Технический лист'!$A:$B,2,1),(GJ114-0.05)))</f>
        <v>0.752</v>
      </c>
      <c r="GL114" s="15">
        <f>MIN(1,MAX(VLOOKUP(($AJ114-$AI114-$AH114-$AG114-$AF114-$AE114*(1+GL$3))/$AJ114,'Технический лист'!$A:$B,2,1),(GK114-0.05)))</f>
        <v>0.752</v>
      </c>
      <c r="GM114" s="15">
        <f>MIN(1,MAX(VLOOKUP(($AJ114-$AI114-$AH114-$AG114-$AF114-$AE114*(1+GM$3))/$AJ114,'Технический лист'!$A:$B,2,1),(GL114-0.05)))</f>
        <v>0.752</v>
      </c>
      <c r="GN114" s="15">
        <f>MIN(1,MAX(VLOOKUP(($AJ114-$AI114-$AH114-$AG114-$AF114-$AE114*(1+GN$3))/$AJ114,'Технический лист'!$A:$B,2,1),(GM114-0.05)))</f>
        <v>0.752</v>
      </c>
      <c r="GO114" s="15">
        <f>MIN(1,MAX(VLOOKUP(($AJ114-$AI114-$AH114-$AG114-$AF114-$AE114*(1+GO$3))/$AJ114,'Технический лист'!$A:$B,2,1),(GN114-0.05)))</f>
        <v>0.752</v>
      </c>
      <c r="GP114" s="15">
        <f>MIN(1,MAX(VLOOKUP(($AJ114-$AI114-$AH114-$AG114-$AF114-$AE114*(1+GP$3))/$AJ114,'Технический лист'!$A:$B,2,1),(GO114-0.05)))</f>
        <v>0.752</v>
      </c>
      <c r="GQ114" s="15">
        <f>MIN(1,MAX(VLOOKUP(($AJ114-$AI114-$AH114-$AG114-$AF114-$AE114*(1+GQ$3))/$AJ114,'Технический лист'!$A:$B,2,1),(GP114-0.05)))</f>
        <v>0.752</v>
      </c>
      <c r="GR114" s="15">
        <f>MIN(1,MAX(VLOOKUP(($AJ114-$AI114-$AH114-$AG114-$AF114-$AE114*(1+GR$3))/$AJ114,'Технический лист'!$A:$B,2,1),(GQ114-0.05)))</f>
        <v>0.752</v>
      </c>
      <c r="GS114" s="15">
        <f>MIN(1,MAX(VLOOKUP(($AJ114-$AI114-$AH114-$AG114-$AF114-$AE114*(1+GS$3))/$AJ114,'Технический лист'!$A:$B,2,1),(GR114-0.05)))</f>
        <v>0.752</v>
      </c>
      <c r="GT114" s="15">
        <f>MIN(1,MAX(VLOOKUP(($AJ114-$AI114-$AH114-$AG114-$AF114-$AE114*(1+GT$3))/$AJ114,'Технический лист'!$A:$B,2,1),(GS114-0.05)))</f>
        <v>0.752</v>
      </c>
      <c r="GU114" s="15">
        <f>MIN(1,MAX(VLOOKUP(($AJ114-$AI114-$AH114-$AG114-$AF114-$AE114*(1+GU$3))/$AJ114,'Технический лист'!$A:$B,2,1),(GT114-0.05)))</f>
        <v>0.752</v>
      </c>
      <c r="GV114" s="15">
        <f>MIN(1,MAX(VLOOKUP(($AJ114-$AI114-$AH114-$AG114-$AF114-$AE114*(1+GV$3))/$AJ114,'Технический лист'!$A:$B,2,1),(GU114-0.05)))</f>
        <v>0.74399999999999999</v>
      </c>
      <c r="GW114" s="15">
        <f>MIN(1,MAX(VLOOKUP(($AJ114-$AI114-$AH114-$AG114-$AF114-$AE114*(1+GW$3))/$AJ114,'Технический лист'!$A:$B,2,1),(GV114-0.05)))</f>
        <v>0.74399999999999999</v>
      </c>
      <c r="GX114" s="15">
        <f>MIN(1,MAX(VLOOKUP(($AJ114-$AI114-$AH114-$AG114-$AF114-$AE114*(1+GX$3))/$AJ114,'Технический лист'!$A:$B,2,1),(GW114-0.05)))</f>
        <v>0.74399999999999999</v>
      </c>
      <c r="GY114" s="15">
        <f>MIN(1,MAX(VLOOKUP(($AJ114-$AI114-$AH114-$AG114-$AF114-$AE114*(1+GY$3))/$AJ114,'Технический лист'!$A:$B,2,1),(GX114-0.05)))</f>
        <v>0.74399999999999999</v>
      </c>
      <c r="GZ114" s="15">
        <f>MIN(1,MAX(VLOOKUP(($AJ114-$AI114-$AH114-$AG114-$AF114-$AE114*(1+GZ$3))/$AJ114,'Технический лист'!$A:$B,2,1),(GY114-0.05)))</f>
        <v>0.74399999999999999</v>
      </c>
      <c r="HA114" s="15">
        <f>MIN(1,MAX(VLOOKUP(($AJ114-$AI114-$AH114-$AG114-$AF114-$AE114*(1+HA$3))/$AJ114,'Технический лист'!$A:$B,2,1),(GZ114-0.05)))</f>
        <v>0.74399999999999999</v>
      </c>
      <c r="HB114" s="15">
        <f>MIN(1,MAX(VLOOKUP(($AJ114-$AI114-$AH114-$AG114-$AF114-$AE114*(1+HB$3))/$AJ114,'Технический лист'!$A:$B,2,1),(HA114-0.05)))</f>
        <v>0.74399999999999999</v>
      </c>
      <c r="HC114" s="15">
        <f>MIN(1,MAX(VLOOKUP(($AJ114-$AI114-$AH114-$AG114-$AF114-$AE114*(1+HC$3))/$AJ114,'Технический лист'!$A:$B,2,1),(HB114-0.05)))</f>
        <v>0.74399999999999999</v>
      </c>
      <c r="HD114" s="15">
        <f>MIN(1,MAX(VLOOKUP(($AJ114-$AI114-$AH114-$AG114-$AF114-$AE114*(1+HD$3))/$AJ114,'Технический лист'!$A:$B,2,1),(HC114-0.05)))</f>
        <v>0.74399999999999999</v>
      </c>
      <c r="HE114" s="15">
        <f>MIN(1,MAX(VLOOKUP(($AJ114-$AI114-$AH114-$AG114-$AF114-$AE114*(1+HE$3))/$AJ114,'Технический лист'!$A:$B,2,1),(HD114-0.05)))</f>
        <v>0.74399999999999999</v>
      </c>
      <c r="HF114" s="15">
        <f>MIN(1,MAX(VLOOKUP(($AJ114-$AI114-$AH114-$AG114-$AF114-$AE114*(1+HF$3))/$AJ114,'Технический лист'!$A:$B,2,1),(HE114-0.05)))</f>
        <v>0.74399999999999999</v>
      </c>
      <c r="HG114" s="15">
        <f>MIN(1,MAX(VLOOKUP(($AJ114-$AI114-$AH114-$AG114-$AF114-$AE114*(1+HG$3))/$AJ114,'Технический лист'!$A:$B,2,1),(HF114-0.05)))</f>
        <v>0.74399999999999999</v>
      </c>
      <c r="HH114" s="15">
        <f>MIN(1,MAX(VLOOKUP(($AJ114-$AI114-$AH114-$AG114-$AF114-$AE114*(1+HH$3))/$AJ114,'Технический лист'!$A:$B,2,1),(HG114-0.05)))</f>
        <v>0.74399999999999999</v>
      </c>
      <c r="HI114" s="15">
        <f>MIN(1,MAX(VLOOKUP(($AJ114-$AI114-$AH114-$AG114-$AF114-$AE114*(1+HI$3))/$AJ114,'Технический лист'!$A:$B,2,1),(HH114-0.05)))</f>
        <v>0.74399999999999999</v>
      </c>
      <c r="HJ114" s="15">
        <f>MIN(1,MAX(VLOOKUP(($AJ114-$AI114-$AH114-$AG114-$AF114-$AE114*(1+HJ$3))/$AJ114,'Технический лист'!$A:$B,2,1),(HI114-0.05)))</f>
        <v>0.74399999999999999</v>
      </c>
      <c r="HK114" s="15">
        <f>MIN(1,MAX(VLOOKUP(($AJ114-$AI114-$AH114-$AG114-$AF114-$AE114*(1+HK$3))/$AJ114,'Технический лист'!$A:$B,2,1),(HJ114-0.05)))</f>
        <v>0.74399999999999999</v>
      </c>
      <c r="HL114" s="15">
        <f>MIN(1,MAX(VLOOKUP(($AJ114-$AI114-$AH114-$AG114-$AF114-$AE114*(1+HL$3))/$AJ114,'Технический лист'!$A:$B,2,1),(HK114-0.05)))</f>
        <v>0.74399999999999999</v>
      </c>
      <c r="HM114" s="15">
        <f>MIN(1,MAX(VLOOKUP(($AJ114-$AI114-$AH114-$AG114-$AF114-$AE114*(1+HM$3))/$AJ114,'Технический лист'!$A:$B,2,1),(HL114-0.05)))</f>
        <v>0.74399999999999999</v>
      </c>
      <c r="HN114" s="15">
        <f>MIN(1,MAX(VLOOKUP(($AJ114-$AI114-$AH114-$AG114-$AF114-$AE114*(1+HN$3))/$AJ114,'Технический лист'!$A:$B,2,1),(HM114-0.05)))</f>
        <v>0.73599999999999999</v>
      </c>
      <c r="HO114" s="15">
        <f>MIN(1,MAX(VLOOKUP(($AJ114-$AI114-$AH114-$AG114-$AF114-$AE114*(1+HO$3))/$AJ114,'Технический лист'!$A:$B,2,1),(HN114-0.05)))</f>
        <v>0.73599999999999999</v>
      </c>
      <c r="HP114" s="15">
        <f>MIN(1,MAX(VLOOKUP(($AJ114-$AI114-$AH114-$AG114-$AF114-$AE114*(1+HP$3))/$AJ114,'Технический лист'!$A:$B,2,1),(HO114-0.05)))</f>
        <v>0.73599999999999999</v>
      </c>
      <c r="HQ114" s="15">
        <f>MIN(1,MAX(VLOOKUP(($AJ114-$AI114-$AH114-$AG114-$AF114-$AE114*(1+HQ$3))/$AJ114,'Технический лист'!$A:$B,2,1),(HP114-0.05)))</f>
        <v>0.73599999999999999</v>
      </c>
      <c r="HR114" s="15">
        <f>MIN(1,MAX(VLOOKUP(($AJ114-$AI114-$AH114-$AG114-$AF114-$AE114*(1+HR$3))/$AJ114,'Технический лист'!$A:$B,2,1),(HQ114-0.05)))</f>
        <v>0.73599999999999999</v>
      </c>
      <c r="HS114" s="15">
        <f>MIN(1,MAX(VLOOKUP(($AJ114-$AI114-$AH114-$AG114-$AF114-$AE114*(1+HS$3))/$AJ114,'Технический лист'!$A:$B,2,1),(HR114-0.05)))</f>
        <v>0.73599999999999999</v>
      </c>
      <c r="HT114" s="15">
        <f>MIN(1,MAX(VLOOKUP(($AJ114-$AI114-$AH114-$AG114-$AF114-$AE114*(1+HT$3))/$AJ114,'Технический лист'!$A:$B,2,1),(HS114-0.05)))</f>
        <v>0.73599999999999999</v>
      </c>
      <c r="HU114" s="15">
        <f>MIN(1,MAX(VLOOKUP(($AJ114-$AI114-$AH114-$AG114-$AF114-$AE114*(1+HU$3))/$AJ114,'Технический лист'!$A:$B,2,1),(HT114-0.05)))</f>
        <v>0.73599999999999999</v>
      </c>
      <c r="HV114" s="15">
        <f>MIN(1,MAX(VLOOKUP(($AJ114-$AI114-$AH114-$AG114-$AF114-$AE114*(1+HV$3))/$AJ114,'Технический лист'!$A:$B,2,1),(HU114-0.05)))</f>
        <v>0.73599999999999999</v>
      </c>
      <c r="HW114" s="15">
        <f>MIN(1,MAX(VLOOKUP(($AJ114-$AI114-$AH114-$AG114-$AF114-$AE114*(1+HW$3))/$AJ114,'Технический лист'!$A:$B,2,1),(HV114-0.05)))</f>
        <v>0.73599999999999999</v>
      </c>
      <c r="HX114" s="15">
        <f>MIN(1,MAX(VLOOKUP(($AJ114-$AI114-$AH114-$AG114-$AF114-$AE114*(1+HX$3))/$AJ114,'Технический лист'!$A:$B,2,1),(HW114-0.05)))</f>
        <v>0.73599999999999999</v>
      </c>
      <c r="HY114" s="15">
        <f>MIN(1,MAX(VLOOKUP(($AJ114-$AI114-$AH114-$AG114-$AF114-$AE114*(1+HY$3))/$AJ114,'Технический лист'!$A:$B,2,1),(HX114-0.05)))</f>
        <v>0.73599999999999999</v>
      </c>
      <c r="HZ114" s="15">
        <f>MIN(1,MAX(VLOOKUP(($AJ114-$AI114-$AH114-$AG114-$AF114-$AE114*(1+HZ$3))/$AJ114,'Технический лист'!$A:$B,2,1),(HY114-0.05)))</f>
        <v>0.73599999999999999</v>
      </c>
      <c r="IA114" s="15">
        <f>MIN(1,MAX(VLOOKUP(($AJ114-$AI114-$AH114-$AG114-$AF114-$AE114*(1+IA$3))/$AJ114,'Технический лист'!$A:$B,2,1),(HZ114-0.05)))</f>
        <v>0.73599999999999999</v>
      </c>
      <c r="IB114" s="15">
        <f>MIN(1,MAX(VLOOKUP(($AJ114-$AI114-$AH114-$AG114-$AF114-$AE114*(1+IB$3))/$AJ114,'Технический лист'!$A:$B,2,1),(IA114-0.05)))</f>
        <v>0.73599999999999999</v>
      </c>
      <c r="IC114" s="15">
        <f>MIN(1,MAX(VLOOKUP(($AJ114-$AI114-$AH114-$AG114-$AF114-$AE114*(1+IC$3))/$AJ114,'Технический лист'!$A:$B,2,1),(IB114-0.05)))</f>
        <v>0.73599999999999999</v>
      </c>
      <c r="ID114" s="15">
        <f>MIN(1,MAX(VLOOKUP(($AJ114-$AI114-$AH114-$AG114-$AF114-$AE114*(1+ID$3))/$AJ114,'Технический лист'!$A:$B,2,1),(IC114-0.05)))</f>
        <v>0.73599999999999999</v>
      </c>
      <c r="IE114" s="15">
        <f>MIN(1,MAX(VLOOKUP(($AJ114-$AI114-$AH114-$AG114-$AF114-$AE114*(1+IE$3))/$AJ114,'Технический лист'!$A:$B,2,1),(ID114-0.05)))</f>
        <v>0.73599999999999999</v>
      </c>
      <c r="IF114" s="15">
        <f>MIN(1,MAX(VLOOKUP(($AJ114-$AI114-$AH114-$AG114-$AF114-$AE114*(1+IF$3))/$AJ114,'Технический лист'!$A:$B,2,1),(IE114-0.05)))</f>
        <v>0.72799999999999998</v>
      </c>
      <c r="IG114" s="15">
        <f>MIN(1,MAX(VLOOKUP(($AJ114-$AI114-$AH114-$AG114-$AF114-$AE114*(1+IG$3))/$AJ114,'Технический лист'!$A:$B,2,1),(IF114-0.05)))</f>
        <v>0.72799999999999998</v>
      </c>
      <c r="IH114" s="15">
        <f>MIN(1,MAX(VLOOKUP(($AJ114-$AI114-$AH114-$AG114-$AF114-$AE114*(1+IH$3))/$AJ114,'Технический лист'!$A:$B,2,1),(IG114-0.05)))</f>
        <v>0.72799999999999998</v>
      </c>
      <c r="II114" s="15">
        <f>MIN(1,MAX(VLOOKUP(($AJ114-$AI114-$AH114-$AG114-$AF114-$AE114*(1+II$3))/$AJ114,'Технический лист'!$A:$B,2,1),(IH114-0.05)))</f>
        <v>0.72799999999999998</v>
      </c>
      <c r="IJ114" s="15">
        <f>MIN(1,MAX(VLOOKUP(($AJ114-$AI114-$AH114-$AG114-$AF114-$AE114*(1+IJ$3))/$AJ114,'Технический лист'!$A:$B,2,1),(II114-0.05)))</f>
        <v>0.72799999999999998</v>
      </c>
      <c r="IK114" s="15">
        <f>MIN(1,MAX(VLOOKUP(($AJ114-$AI114-$AH114-$AG114-$AF114-$AE114*(1+IK$3))/$AJ114,'Технический лист'!$A:$B,2,1),(IJ114-0.05)))</f>
        <v>0.72799999999999998</v>
      </c>
      <c r="IL114" s="15">
        <f>MIN(1,MAX(VLOOKUP(($AJ114-$AI114-$AH114-$AG114-$AF114-$AE114*(1+IL$3))/$AJ114,'Технический лист'!$A:$B,2,1),(IK114-0.05)))</f>
        <v>0.72799999999999998</v>
      </c>
      <c r="IM114" s="15">
        <f>MIN(1,MAX(VLOOKUP(($AJ114-$AI114-$AH114-$AG114-$AF114-$AE114*(1+IM$3))/$AJ114,'Технический лист'!$A:$B,2,1),(IL114-0.05)))</f>
        <v>0.72799999999999998</v>
      </c>
      <c r="IN114" s="15">
        <f>MIN(1,MAX(VLOOKUP(($AJ114-$AI114-$AH114-$AG114-$AF114-$AE114*(1+IN$3))/$AJ114,'Технический лист'!$A:$B,2,1),(IM114-0.05)))</f>
        <v>0.72799999999999998</v>
      </c>
      <c r="IO114" s="15">
        <f>MIN(1,MAX(VLOOKUP(($AJ114-$AI114-$AH114-$AG114-$AF114-$AE114*(1+IO$3))/$AJ114,'Технический лист'!$A:$B,2,1),(IN114-0.05)))</f>
        <v>0.72799999999999998</v>
      </c>
      <c r="IP114" s="15">
        <f>MIN(1,MAX(VLOOKUP(($AJ114-$AI114-$AH114-$AG114-$AF114-$AE114*(1+IP$3))/$AJ114,'Технический лист'!$A:$B,2,1),(IO114-0.05)))</f>
        <v>0.72799999999999998</v>
      </c>
      <c r="IQ114" s="15">
        <f>MIN(1,MAX(VLOOKUP(($AJ114-$AI114-$AH114-$AG114-$AF114-$AE114*(1+IQ$3))/$AJ114,'Технический лист'!$A:$B,2,1),(IP114-0.05)))</f>
        <v>0.72799999999999998</v>
      </c>
      <c r="IR114" s="15">
        <f>MIN(1,MAX(VLOOKUP(($AJ114-$AI114-$AH114-$AG114-$AF114-$AE114*(1+IR$3))/$AJ114,'Технический лист'!$A:$B,2,1),(IQ114-0.05)))</f>
        <v>0.72799999999999998</v>
      </c>
    </row>
    <row r="115" spans="1:252" ht="29.15">
      <c r="A115" s="89" t="s">
        <v>515</v>
      </c>
      <c r="B115" s="90">
        <v>5</v>
      </c>
      <c r="C115" s="5" t="s">
        <v>68</v>
      </c>
      <c r="D115" s="91">
        <v>31402</v>
      </c>
      <c r="E115" s="91" t="s">
        <v>350</v>
      </c>
      <c r="F115" s="92" t="s">
        <v>77</v>
      </c>
      <c r="G115" s="91" t="s">
        <v>28</v>
      </c>
      <c r="H115" s="91" t="s">
        <v>52</v>
      </c>
      <c r="I115" s="91" t="s">
        <v>105</v>
      </c>
      <c r="J115" s="91" t="s">
        <v>111</v>
      </c>
      <c r="K115" s="91">
        <v>675</v>
      </c>
      <c r="L115" s="85" t="s">
        <v>64</v>
      </c>
      <c r="M115" s="91" t="s">
        <v>190</v>
      </c>
      <c r="N115" s="91" t="s">
        <v>191</v>
      </c>
      <c r="O115" s="91" t="s">
        <v>192</v>
      </c>
      <c r="P115" s="89" t="s">
        <v>246</v>
      </c>
      <c r="Q115" s="91" t="s">
        <v>282</v>
      </c>
      <c r="R115" s="91" t="s">
        <v>257</v>
      </c>
      <c r="S115" s="82">
        <v>284936</v>
      </c>
      <c r="T115" s="82">
        <v>192454460</v>
      </c>
      <c r="U115" s="81">
        <v>4622</v>
      </c>
      <c r="V115" s="81">
        <v>0</v>
      </c>
      <c r="W115" s="82">
        <v>424422540</v>
      </c>
      <c r="X115" s="112">
        <v>58</v>
      </c>
      <c r="Y115" s="112" t="s">
        <v>417</v>
      </c>
      <c r="Z115" s="113">
        <v>5</v>
      </c>
      <c r="AA115" s="113">
        <v>5</v>
      </c>
      <c r="AB115" s="113">
        <v>4</v>
      </c>
      <c r="AC115" s="99">
        <v>1959.33</v>
      </c>
      <c r="AD115" s="99">
        <f>AE115-AC115</f>
        <v>244.07999999999993</v>
      </c>
      <c r="AE115" s="99">
        <v>2203.41</v>
      </c>
      <c r="AF115" s="98">
        <f>(Z115+AA115+AB115)*'Ставки аренды'!$B$3/X115</f>
        <v>168.9655172413793</v>
      </c>
      <c r="AG115" s="114">
        <v>0</v>
      </c>
      <c r="AH115" s="94">
        <v>0</v>
      </c>
      <c r="AI115" s="116">
        <f>539714289/604384772*AVERAGE(AJ113,AJ115)</f>
        <v>42673.874762092266</v>
      </c>
      <c r="AJ115" s="117">
        <f>Цены!$D$11</f>
        <v>62000</v>
      </c>
      <c r="AK115" s="94">
        <f>AJ115/Цены!$B$1</f>
        <v>812.52334366461139</v>
      </c>
      <c r="AL115" s="95">
        <f t="shared" si="24"/>
        <v>2372.3755172413794</v>
      </c>
      <c r="AM115" s="95">
        <f t="shared" si="25"/>
        <v>59627.62448275862</v>
      </c>
      <c r="AN115" s="94">
        <f t="shared" si="39"/>
        <v>45046.250279333646</v>
      </c>
      <c r="AO115" s="118">
        <f t="shared" si="40"/>
        <v>0.27344757613977988</v>
      </c>
      <c r="AP115" s="96">
        <f t="shared" si="26"/>
        <v>3.8264121245828703E-2</v>
      </c>
      <c r="AQ115" s="96">
        <f t="shared" si="27"/>
        <v>3.5538870967741935E-2</v>
      </c>
      <c r="AR115" s="96">
        <f t="shared" si="28"/>
        <v>0.92877792069029008</v>
      </c>
      <c r="AS115" s="122">
        <v>1</v>
      </c>
      <c r="AT115" s="121">
        <f t="shared" si="45"/>
        <v>284936</v>
      </c>
      <c r="AU115" s="83">
        <v>0.95</v>
      </c>
      <c r="AV115" s="119">
        <f t="shared" si="41"/>
        <v>0.26918291162365082</v>
      </c>
      <c r="AW115" s="120">
        <f t="shared" si="42"/>
        <v>4.2528785761957733E-2</v>
      </c>
      <c r="AX115" s="120">
        <f t="shared" si="43"/>
        <v>3.9803535483870965E-2</v>
      </c>
      <c r="AY115" s="120">
        <f t="shared" si="44"/>
        <v>0.93591986629149149</v>
      </c>
      <c r="AZ115" s="15">
        <f>MIN(IF($AU115=100%,1,1+VLOOKUP(($AJ115-$AI115-$AH115-$AG115-$AF115-$AE115*(1+AZ$3))/$AJ115,'Технический лист'!$I:$J,2,1)-VLOOKUP($AO115,'Технический лист'!$I:$J,2,1)),1+(1-$AU115))</f>
        <v>1</v>
      </c>
      <c r="BA115" s="15">
        <f>MIN(IF($AU115=100%,1,1+VLOOKUP(($AJ115-$AI115-$AH115-$AG115-$AF115-$AE115*(1+BA$3))/$AJ115,'Технический лист'!$I:$J,2,1)-VLOOKUP($AO115,'Технический лист'!$I:$J,2,1)),1+(1-$AU115))</f>
        <v>1</v>
      </c>
      <c r="BB115" s="15">
        <f>MIN(IF($AU115=100%,1,1+VLOOKUP(($AJ115-$AI115-$AH115-$AG115-$AF115-$AE115*(1+BB$3))/$AJ115,'Технический лист'!$I:$J,2,1)-VLOOKUP($AO115,'Технический лист'!$I:$J,2,1)),1+(1-$AU115))</f>
        <v>1</v>
      </c>
      <c r="BC115" s="15">
        <f>MIN(IF($AU115=100%,1,1+VLOOKUP(($AJ115-$AI115-$AH115-$AG115-$AF115-$AE115*(1+BC$3))/$AJ115,'Технический лист'!$I:$J,2,1)-VLOOKUP($AO115,'Технический лист'!$I:$J,2,1)),1+(1-$AU115))</f>
        <v>1</v>
      </c>
      <c r="BD115" s="15">
        <f>MIN(IF($AU115=100%,1,1+VLOOKUP(($AJ115-$AI115-$AH115-$AG115-$AF115-$AE115*(1+BD$3))/$AJ115,'Технический лист'!$I:$J,2,1)-VLOOKUP($AO115,'Технический лист'!$I:$J,2,1)),1+(1-$AU115))</f>
        <v>1</v>
      </c>
      <c r="BE115" s="15">
        <f>MIN(IF($AU115=100%,1,1+VLOOKUP(($AJ115-$AI115-$AH115-$AG115-$AF115-$AE115*(1+BE$3))/$AJ115,'Технический лист'!$I:$J,2,1)-VLOOKUP($AO115,'Технический лист'!$I:$J,2,1)),1+(1-$AU115))</f>
        <v>1</v>
      </c>
      <c r="BF115" s="15">
        <f>MIN(IF($AU115=100%,1,1+VLOOKUP(($AJ115-$AI115-$AH115-$AG115-$AF115-$AE115*(1+BF$3))/$AJ115,'Технический лист'!$I:$J,2,1)-VLOOKUP($AO115,'Технический лист'!$I:$J,2,1)),1+(1-$AU115))</f>
        <v>1</v>
      </c>
      <c r="BG115" s="15">
        <f>MIN(IF($AU115=100%,1,1+VLOOKUP(($AJ115-$AI115-$AH115-$AG115-$AF115-$AE115*(1+BG$3))/$AJ115,'Технический лист'!$I:$J,2,1)-VLOOKUP($AO115,'Технический лист'!$I:$J,2,1)),1+(1-$AU115))</f>
        <v>1</v>
      </c>
      <c r="BH115" s="15">
        <f>MIN(IF($AU115=100%,1,1+VLOOKUP(($AJ115-$AI115-$AH115-$AG115-$AF115-$AE115*(1+BH$3))/$AJ115,'Технический лист'!$I:$J,2,1)-VLOOKUP($AO115,'Технический лист'!$I:$J,2,1)),1+(1-$AU115))</f>
        <v>1</v>
      </c>
      <c r="BI115" s="15">
        <f>MIN(IF($AU115=100%,1,1+VLOOKUP(($AJ115-$AI115-$AH115-$AG115-$AF115-$AE115*(1+BI$3))/$AJ115,'Технический лист'!$I:$J,2,1)-VLOOKUP($AO115,'Технический лист'!$I:$J,2,1)),1+(1-$AU115))</f>
        <v>1</v>
      </c>
      <c r="BJ115" s="15">
        <f>MIN(IF($AU115=100%,1,1+VLOOKUP(($AJ115-$AI115-$AH115-$AG115-$AF115-$AE115*(1+BJ$3))/$AJ115,'Технический лист'!$I:$J,2,1)-VLOOKUP($AO115,'Технический лист'!$I:$J,2,1)),1+(1-$AU115))</f>
        <v>1</v>
      </c>
      <c r="BK115" s="15">
        <f>MIN(IF($AU115=100%,1,1+VLOOKUP(($AJ115-$AI115-$AH115-$AG115-$AF115-$AE115*(1+BK$3))/$AJ115,'Технический лист'!$I:$J,2,1)-VLOOKUP($AO115,'Технический лист'!$I:$J,2,1)),1+(1-$AU115))</f>
        <v>1</v>
      </c>
      <c r="BL115" s="15">
        <f>MIN(IF($AU115=100%,1,1+VLOOKUP(($AJ115-$AI115-$AH115-$AG115-$AF115-$AE115*(1+BL$3))/$AJ115,'Технический лист'!$I:$J,2,1)-VLOOKUP($AO115,'Технический лист'!$I:$J,2,1)),1+(1-$AU115))</f>
        <v>1</v>
      </c>
      <c r="BM115" s="15">
        <f>MIN(IF($AU115=100%,1,1+VLOOKUP(($AJ115-$AI115-$AH115-$AG115-$AF115-$AE115*(1+BM$3))/$AJ115,'Технический лист'!$I:$J,2,1)-VLOOKUP($AO115,'Технический лист'!$I:$J,2,1)),1+(1-$AU115))</f>
        <v>1</v>
      </c>
      <c r="BN115" s="15">
        <f>MIN(IF($AU115=100%,1,1+VLOOKUP(($AJ115-$AI115-$AH115-$AG115-$AF115-$AE115*(1+BN$3))/$AJ115,'Технический лист'!$I:$J,2,1)-VLOOKUP($AO115,'Технический лист'!$I:$J,2,1)),1+(1-$AU115))</f>
        <v>1</v>
      </c>
      <c r="BO115" s="15">
        <f>MIN(IF($AU115=100%,1,1+VLOOKUP(($AJ115-$AI115-$AH115-$AG115-$AF115-$AE115*(1+BO$3))/$AJ115,'Технический лист'!$I:$J,2,1)-VLOOKUP($AO115,'Технический лист'!$I:$J,2,1)),1+(1-$AU115))</f>
        <v>1</v>
      </c>
      <c r="BP115" s="15">
        <f>MIN(IF($AU115=100%,1,1+VLOOKUP(($AJ115-$AI115-$AH115-$AG115-$AF115-$AE115*(1+BP$3))/$AJ115,'Технический лист'!$I:$J,2,1)-VLOOKUP($AO115,'Технический лист'!$I:$J,2,1)),1+(1-$AU115))</f>
        <v>1</v>
      </c>
      <c r="BQ115" s="15">
        <f>MIN(IF($AU115=100%,1,1+VLOOKUP(($AJ115-$AI115-$AH115-$AG115-$AF115-$AE115*(1+BQ$3))/$AJ115,'Технический лист'!$I:$J,2,1)-VLOOKUP($AO115,'Технический лист'!$I:$J,2,1)),1+(1-$AU115))</f>
        <v>1</v>
      </c>
      <c r="BR115" s="15">
        <f>MIN(IF($AU115=100%,1,1+VLOOKUP(($AJ115-$AI115-$AH115-$AG115-$AF115-$AE115*(1+BR$3))/$AJ115,'Технический лист'!$I:$J,2,1)-VLOOKUP($AO115,'Технический лист'!$I:$J,2,1)),1+(1-$AU115))</f>
        <v>1</v>
      </c>
      <c r="BS115" s="15">
        <f>MIN(IF($AU115=100%,1,1+VLOOKUP(($AJ115-$AI115-$AH115-$AG115-$AF115-$AE115*(1+BS$3))/$AJ115,'Технический лист'!$I:$J,2,1)-VLOOKUP($AO115,'Технический лист'!$I:$J,2,1)),1+(1-$AU115))</f>
        <v>1</v>
      </c>
      <c r="BT115" s="15">
        <f>MIN(IF($AU115=100%,1,1+VLOOKUP(($AJ115-$AI115-$AH115-$AG115-$AF115-$AE115*(1+BT$3))/$AJ115,'Технический лист'!$I:$J,2,1)-VLOOKUP($AO115,'Технический лист'!$I:$J,2,1)),1+(1-$AU115))</f>
        <v>1</v>
      </c>
      <c r="BU115" s="15">
        <f>MIN(IF($AU115=100%,1,1+VLOOKUP(($AJ115-$AI115-$AH115-$AG115-$AF115-$AE115*(1+BU$3))/$AJ115,'Технический лист'!$I:$J,2,1)-VLOOKUP($AO115,'Технический лист'!$I:$J,2,1)),1+(1-$AU115))</f>
        <v>1</v>
      </c>
      <c r="BV115" s="15">
        <f>MIN(IF($AU115=100%,1,1+VLOOKUP(($AJ115-$AI115-$AH115-$AG115-$AF115-$AE115*(1+BV$3))/$AJ115,'Технический лист'!$I:$J,2,1)-VLOOKUP($AO115,'Технический лист'!$I:$J,2,1)),1+(1-$AU115))</f>
        <v>1</v>
      </c>
      <c r="BW115" s="15">
        <f>MIN(IF($AU115=100%,1,1+VLOOKUP(($AJ115-$AI115-$AH115-$AG115-$AF115-$AE115*(1+BW$3))/$AJ115,'Технический лист'!$I:$J,2,1)-VLOOKUP($AO115,'Технический лист'!$I:$J,2,1)),1+(1-$AU115))</f>
        <v>1</v>
      </c>
      <c r="BX115" s="15">
        <f>MIN(IF($AU115=100%,1,1+VLOOKUP(($AJ115-$AI115-$AH115-$AG115-$AF115-$AE115*(1+BX$3))/$AJ115,'Технический лист'!$I:$J,2,1)-VLOOKUP($AO115,'Технический лист'!$I:$J,2,1)),1+(1-$AU115))</f>
        <v>1</v>
      </c>
      <c r="BY115" s="15">
        <f>MIN(IF($AU115=100%,1,1+VLOOKUP(($AJ115-$AI115-$AH115-$AG115-$AF115-$AE115*(1+BY$3))/$AJ115,'Технический лист'!$I:$J,2,1)-VLOOKUP($AO115,'Технический лист'!$I:$J,2,1)),1+(1-$AU115))</f>
        <v>1</v>
      </c>
      <c r="BZ115" s="15">
        <f>MIN(IF($AU115=100%,1,1+VLOOKUP(($AJ115-$AI115-$AH115-$AG115-$AF115-$AE115*(1+BZ$3))/$AJ115,'Технический лист'!$I:$J,2,1)-VLOOKUP($AO115,'Технический лист'!$I:$J,2,1)),1+(1-$AU115))</f>
        <v>1</v>
      </c>
      <c r="CA115" s="15">
        <f>MIN(IF($AU115=100%,1,1+VLOOKUP(($AJ115-$AI115-$AH115-$AG115-$AF115-$AE115*(1+CA$3))/$AJ115,'Технический лист'!$I:$J,2,1)-VLOOKUP($AO115,'Технический лист'!$I:$J,2,1)),1+(1-$AU115))</f>
        <v>1</v>
      </c>
      <c r="CB115" s="15">
        <f>MIN(IF($AU115=100%,1,1+VLOOKUP(($AJ115-$AI115-$AH115-$AG115-$AF115-$AE115*(1+CB$3))/$AJ115,'Технический лист'!$I:$J,2,1)-VLOOKUP($AO115,'Технический лист'!$I:$J,2,1)),1+(1-$AU115))</f>
        <v>1</v>
      </c>
      <c r="CC115" s="15">
        <f>MIN(IF($AU115=100%,1,1+VLOOKUP(($AJ115-$AI115-$AH115-$AG115-$AF115-$AE115*(1+CC$3))/$AJ115,'Технический лист'!$I:$J,2,1)-VLOOKUP($AO115,'Технический лист'!$I:$J,2,1)),1+(1-$AU115))</f>
        <v>1</v>
      </c>
      <c r="CD115" s="15">
        <f>MIN(IF($AU115=100%,1,1+VLOOKUP(($AJ115-$AI115-$AH115-$AG115-$AF115-$AE115*(1+CD$3))/$AJ115,'Технический лист'!$I:$J,2,1)-VLOOKUP($AO115,'Технический лист'!$I:$J,2,1)),1+(1-$AU115))</f>
        <v>1</v>
      </c>
      <c r="CE115" s="15">
        <f>MIN(IF($AU115=100%,1,1+VLOOKUP(($AJ115-$AI115-$AH115-$AG115-$AF115-$AE115*(1+CE$3))/$AJ115,'Технический лист'!$I:$J,2,1)-VLOOKUP($AO115,'Технический лист'!$I:$J,2,1)),1+(1-$AU115))</f>
        <v>1</v>
      </c>
      <c r="CF115" s="15">
        <f>MIN(IF($AU115=100%,1,1+VLOOKUP(($AJ115-$AI115-$AH115-$AG115-$AF115-$AE115*(1+CF$3))/$AJ115,'Технический лист'!$I:$J,2,1)-VLOOKUP($AO115,'Технический лист'!$I:$J,2,1)),1+(1-$AU115))</f>
        <v>1</v>
      </c>
      <c r="CG115" s="15">
        <f>MIN(IF($AU115=100%,1,1+VLOOKUP(($AJ115-$AI115-$AH115-$AG115-$AF115-$AE115*(1+CG$3))/$AJ115,'Технический лист'!$I:$J,2,1)-VLOOKUP($AO115,'Технический лист'!$I:$J,2,1)),1+(1-$AU115))</f>
        <v>1</v>
      </c>
      <c r="CH115" s="15">
        <f>MIN(IF($AU115=100%,1,1+VLOOKUP(($AJ115-$AI115-$AH115-$AG115-$AF115-$AE115*(1+CH$3))/$AJ115,'Технический лист'!$I:$J,2,1)-VLOOKUP($AO115,'Технический лист'!$I:$J,2,1)),1+(1-$AU115))</f>
        <v>1</v>
      </c>
      <c r="CI115" s="15">
        <f>MIN(IF($AU115=100%,1,1+VLOOKUP(($AJ115-$AI115-$AH115-$AG115-$AF115-$AE115*(1+CI$3))/$AJ115,'Технический лист'!$I:$J,2,1)-VLOOKUP($AO115,'Технический лист'!$I:$J,2,1)),1+(1-$AU115))</f>
        <v>1</v>
      </c>
      <c r="CJ115" s="15">
        <f>MIN(IF($AU115=100%,1,1+VLOOKUP(($AJ115-$AI115-$AH115-$AG115-$AF115-$AE115*(1+CJ$3))/$AJ115,'Технический лист'!$I:$J,2,1)-VLOOKUP($AO115,'Технический лист'!$I:$J,2,1)),1+(1-$AU115))</f>
        <v>1</v>
      </c>
      <c r="CK115" s="15">
        <f>MIN(IF($AU115=100%,1,1+VLOOKUP(($AJ115-$AI115-$AH115-$AG115-$AF115-$AE115*(1+CK$3))/$AJ115,'Технический лист'!$I:$J,2,1)-VLOOKUP($AO115,'Технический лист'!$I:$J,2,1)),1+(1-$AU115))</f>
        <v>1</v>
      </c>
      <c r="CL115" s="15">
        <f>MIN(IF($AU115=100%,1,1+VLOOKUP(($AJ115-$AI115-$AH115-$AG115-$AF115-$AE115*(1+CL$3))/$AJ115,'Технический лист'!$I:$J,2,1)-VLOOKUP($AO115,'Технический лист'!$I:$J,2,1)),1+(1-$AU115))</f>
        <v>1</v>
      </c>
      <c r="CM115" s="15">
        <f>MIN(IF($AU115=100%,1,1+VLOOKUP(($AJ115-$AI115-$AH115-$AG115-$AF115-$AE115*(1+CM$3))/$AJ115,'Технический лист'!$I:$J,2,1)-VLOOKUP($AO115,'Технический лист'!$I:$J,2,1)),1+(1-$AU115))</f>
        <v>1</v>
      </c>
      <c r="CN115" s="15">
        <f>MIN(IF($AU115=100%,1,1+VLOOKUP(($AJ115-$AI115-$AH115-$AG115-$AF115-$AE115*(1+CN$3))/$AJ115,'Технический лист'!$I:$J,2,1)-VLOOKUP($AO115,'Технический лист'!$I:$J,2,1)),1+(1-$AU115))</f>
        <v>1</v>
      </c>
      <c r="CO115" s="15">
        <f>MIN(IF($AU115=100%,1,1+VLOOKUP(($AJ115-$AI115-$AH115-$AG115-$AF115-$AE115*(1+CO$3))/$AJ115,'Технический лист'!$I:$J,2,1)-VLOOKUP($AO115,'Технический лист'!$I:$J,2,1)),1+(1-$AU115))</f>
        <v>1</v>
      </c>
      <c r="CP115" s="15">
        <f>MIN(IF($AU115=100%,1,1+VLOOKUP(($AJ115-$AI115-$AH115-$AG115-$AF115-$AE115*(1+CP$3))/$AJ115,'Технический лист'!$I:$J,2,1)-VLOOKUP($AO115,'Технический лист'!$I:$J,2,1)),1+(1-$AU115))</f>
        <v>1</v>
      </c>
      <c r="CQ115" s="15">
        <f>MIN(IF($AU115=100%,1,1+VLOOKUP(($AJ115-$AI115-$AH115-$AG115-$AF115-$AE115*(1+CQ$3))/$AJ115,'Технический лист'!$I:$J,2,1)-VLOOKUP($AO115,'Технический лист'!$I:$J,2,1)),1+(1-$AU115))</f>
        <v>1</v>
      </c>
      <c r="CR115" s="15">
        <f>MIN(IF($AU115=100%,1,1+VLOOKUP(($AJ115-$AI115-$AH115-$AG115-$AF115-$AE115*(1+CR$3))/$AJ115,'Технический лист'!$I:$J,2,1)-VLOOKUP($AO115,'Технический лист'!$I:$J,2,1)),1+(1-$AU115))</f>
        <v>1</v>
      </c>
      <c r="CS115" s="15">
        <f>MIN(IF($AU115=100%,1,1+VLOOKUP(($AJ115-$AI115-$AH115-$AG115-$AF115-$AE115*(1+CS$3))/$AJ115,'Технический лист'!$I:$J,2,1)-VLOOKUP($AO115,'Технический лист'!$I:$J,2,1)),1+(1-$AU115))</f>
        <v>1</v>
      </c>
      <c r="CT115" s="15">
        <f>MIN(IF($AU115=100%,1,1+VLOOKUP(($AJ115-$AI115-$AH115-$AG115-$AF115-$AE115*(1+CT$3))/$AJ115,'Технический лист'!$I:$J,2,1)-VLOOKUP($AO115,'Технический лист'!$I:$J,2,1)),1+(1-$AU115))</f>
        <v>1</v>
      </c>
      <c r="CU115" s="15">
        <f>MIN(IF($AU115=100%,1,1+VLOOKUP(($AJ115-$AI115-$AH115-$AG115-$AF115-$AE115*(1+CU$3))/$AJ115,'Технический лист'!$I:$J,2,1)-VLOOKUP($AO115,'Технический лист'!$I:$J,2,1)),1+(1-$AU115))</f>
        <v>1</v>
      </c>
      <c r="CV115" s="15">
        <f>MIN(IF($AU115=100%,1,1+VLOOKUP(($AJ115-$AI115-$AH115-$AG115-$AF115-$AE115*(1+CV$3))/$AJ115,'Технический лист'!$I:$J,2,1)-VLOOKUP($AO115,'Технический лист'!$I:$J,2,1)),1+(1-$AU115))</f>
        <v>1</v>
      </c>
      <c r="CW115" s="15">
        <f>MIN(IF($AU115=100%,1,1+VLOOKUP(($AJ115-$AI115-$AH115-$AG115-$AF115-$AE115*(1+CW$3))/$AJ115,'Технический лист'!$I:$J,2,1)-VLOOKUP($AO115,'Технический лист'!$I:$J,2,1)),1+(1-$AU115))</f>
        <v>1</v>
      </c>
      <c r="CX115" s="15">
        <f>MIN(IF($AU115=100%,1,1+VLOOKUP(($AJ115-$AI115-$AH115-$AG115-$AF115-$AE115*(1+CX$3))/$AJ115,'Технический лист'!$I:$J,2,1)-VLOOKUP($AO115,'Технический лист'!$I:$J,2,1)),1+(1-$AU115))</f>
        <v>1</v>
      </c>
      <c r="CY115" s="15">
        <f>MIN(IF($AU115=100%,1,1+VLOOKUP(($AJ115-$AI115-$AH115-$AG115-$AF115-$AE115*(1+CY$3))/$AJ115,'Технический лист'!$I:$J,2,1)-VLOOKUP($AO115,'Технический лист'!$I:$J,2,1)),1+(1-$AU115))</f>
        <v>1</v>
      </c>
      <c r="CZ115" s="15">
        <f>MIN(IF($AU115=100%,1,1+VLOOKUP(($AJ115-$AI115-$AH115-$AG115-$AF115-$AE115*(1+CZ$3))/$AJ115,'Технический лист'!$I:$J,2,1)-VLOOKUP($AO115,'Технический лист'!$I:$J,2,1)),1+(1-$AU115))</f>
        <v>1</v>
      </c>
      <c r="DA115" s="15">
        <f>MIN(IF($AU115=100%,1,1+VLOOKUP(($AJ115-$AI115-$AH115-$AG115-$AF115-$AE115*(1+DA$3))/$AJ115,'Технический лист'!$I:$J,2,1)-VLOOKUP($AO115,'Технический лист'!$I:$J,2,1)),1+(1-$AU115))</f>
        <v>1</v>
      </c>
      <c r="DB115" s="15">
        <f>MIN(IF($AU115=100%,1,1+VLOOKUP(($AJ115-$AI115-$AH115-$AG115-$AF115-$AE115*(1+DB$3))/$AJ115,'Технический лист'!$I:$J,2,1)-VLOOKUP($AO115,'Технический лист'!$I:$J,2,1)),1+(1-$AU115))</f>
        <v>1</v>
      </c>
      <c r="DC115" s="15">
        <f>MIN(IF($AU115=100%,1,1+VLOOKUP(($AJ115-$AI115-$AH115-$AG115-$AF115-$AE115*(1+DC$3))/$AJ115,'Технический лист'!$I:$J,2,1)-VLOOKUP($AO115,'Технический лист'!$I:$J,2,1)),1+(1-$AU115))</f>
        <v>1</v>
      </c>
      <c r="DD115" s="15">
        <f>MIN(IF($AU115=100%,1,1+VLOOKUP(($AJ115-$AI115-$AH115-$AG115-$AF115-$AE115*(1+DD$3))/$AJ115,'Технический лист'!$I:$J,2,1)-VLOOKUP($AO115,'Технический лист'!$I:$J,2,1)),1+(1-$AU115))</f>
        <v>1</v>
      </c>
      <c r="DE115" s="15">
        <f>MIN(IF($AU115=100%,1,1+VLOOKUP(($AJ115-$AI115-$AH115-$AG115-$AF115-$AE115*(1+DE$3))/$AJ115,'Технический лист'!$I:$J,2,1)-VLOOKUP($AO115,'Технический лист'!$I:$J,2,1)),1+(1-$AU115))</f>
        <v>1</v>
      </c>
      <c r="DF115" s="15">
        <f>MIN(IF($AU115=100%,1,1+VLOOKUP(($AJ115-$AI115-$AH115-$AG115-$AF115-$AE115*(1+DF$3))/$AJ115,'Технический лист'!$I:$J,2,1)-VLOOKUP($AO115,'Технический лист'!$I:$J,2,1)),1+(1-$AU115))</f>
        <v>1</v>
      </c>
      <c r="DG115" s="15">
        <f>MIN(IF($AU115=100%,1,1+VLOOKUP(($AJ115-$AI115-$AH115-$AG115-$AF115-$AE115*(1+DG$3))/$AJ115,'Технический лист'!$I:$J,2,1)-VLOOKUP($AO115,'Технический лист'!$I:$J,2,1)),1+(1-$AU115))</f>
        <v>1</v>
      </c>
      <c r="DH115" s="15">
        <f>MIN(IF($AU115=100%,1,1+VLOOKUP(($AJ115-$AI115-$AH115-$AG115-$AF115-$AE115*(1+DH$3))/$AJ115,'Технический лист'!$I:$J,2,1)-VLOOKUP($AO115,'Технический лист'!$I:$J,2,1)),1+(1-$AU115))</f>
        <v>1</v>
      </c>
      <c r="DI115" s="15">
        <f>MIN(IF($AU115=100%,1,1+VLOOKUP(($AJ115-$AI115-$AH115-$AG115-$AF115-$AE115*(1+DI$3))/$AJ115,'Технический лист'!$I:$J,2,1)-VLOOKUP($AO115,'Технический лист'!$I:$J,2,1)),1+(1-$AU115))</f>
        <v>1</v>
      </c>
      <c r="DJ115" s="15">
        <f>MIN(IF($AU115=100%,1,1+VLOOKUP(($AJ115-$AI115-$AH115-$AG115-$AF115-$AE115*(1+DJ$3))/$AJ115,'Технический лист'!$I:$J,2,1)-VLOOKUP($AO115,'Технический лист'!$I:$J,2,1)),1+(1-$AU115))</f>
        <v>1</v>
      </c>
      <c r="DK115" s="15">
        <f>MIN(IF($AU115=100%,1,1+VLOOKUP(($AJ115-$AI115-$AH115-$AG115-$AF115-$AE115*(1+DK$3))/$AJ115,'Технический лист'!$I:$J,2,1)-VLOOKUP($AO115,'Технический лист'!$I:$J,2,1)),1+(1-$AU115))</f>
        <v>1</v>
      </c>
      <c r="DL115" s="15">
        <f>MIN(IF($AU115=100%,1,1+VLOOKUP(($AJ115-$AI115-$AH115-$AG115-$AF115-$AE115*(1+DL$3))/$AJ115,'Технический лист'!$I:$J,2,1)-VLOOKUP($AO115,'Технический лист'!$I:$J,2,1)),1+(1-$AU115))</f>
        <v>1</v>
      </c>
      <c r="DM115" s="15">
        <f>MIN(IF($AU115=100%,1,1+VLOOKUP(($AJ115-$AI115-$AH115-$AG115-$AF115-$AE115*(1+DM$3))/$AJ115,'Технический лист'!$I:$J,2,1)-VLOOKUP($AO115,'Технический лист'!$I:$J,2,1)),1+(1-$AU115))</f>
        <v>1</v>
      </c>
      <c r="DN115" s="15">
        <f>MIN(IF($AU115=100%,1,1+VLOOKUP(($AJ115-$AI115-$AH115-$AG115-$AF115-$AE115*(1+DN$3))/$AJ115,'Технический лист'!$I:$J,2,1)-VLOOKUP($AO115,'Технический лист'!$I:$J,2,1)),1+(1-$AU115))</f>
        <v>1</v>
      </c>
      <c r="DO115" s="15">
        <f>MIN(IF($AU115=100%,1,1+VLOOKUP(($AJ115-$AI115-$AH115-$AG115-$AF115-$AE115*(1+DO$3))/$AJ115,'Технический лист'!$I:$J,2,1)-VLOOKUP($AO115,'Технический лист'!$I:$J,2,1)),1+(1-$AU115))</f>
        <v>1</v>
      </c>
      <c r="DP115" s="15">
        <f>MIN(IF($AU115=100%,1,1+VLOOKUP(($AJ115-$AI115-$AH115-$AG115-$AF115-$AE115*(1+DP$3))/$AJ115,'Технический лист'!$I:$J,2,1)-VLOOKUP($AO115,'Технический лист'!$I:$J,2,1)),1+(1-$AU115))</f>
        <v>1</v>
      </c>
      <c r="DQ115" s="15">
        <f>MIN(IF($AU115=100%,1,1+VLOOKUP(($AJ115-$AI115-$AH115-$AG115-$AF115-$AE115*(1+DQ$3))/$AJ115,'Технический лист'!$I:$J,2,1)-VLOOKUP($AO115,'Технический лист'!$I:$J,2,1)),1+(1-$AU115))</f>
        <v>1</v>
      </c>
      <c r="DR115" s="15">
        <f>MIN(IF($AU115=100%,1,1+VLOOKUP(($AJ115-$AI115-$AH115-$AG115-$AF115-$AE115*(1+DR$3))/$AJ115,'Технический лист'!$I:$J,2,1)-VLOOKUP($AO115,'Технический лист'!$I:$J,2,1)),1+(1-$AU115))</f>
        <v>1</v>
      </c>
      <c r="DS115" s="15">
        <f>MIN(IF($AU115=100%,1,1+VLOOKUP(($AJ115-$AI115-$AH115-$AG115-$AF115-$AE115*(1+DS$3))/$AJ115,'Технический лист'!$I:$J,2,1)-VLOOKUP($AO115,'Технический лист'!$I:$J,2,1)),1+(1-$AU115))</f>
        <v>1</v>
      </c>
      <c r="DT115" s="15">
        <f>MIN(IF($AU115=100%,1,1+VLOOKUP(($AJ115-$AI115-$AH115-$AG115-$AF115-$AE115*(1+DT$3))/$AJ115,'Технический лист'!$I:$J,2,1)-VLOOKUP($AO115,'Технический лист'!$I:$J,2,1)),1+(1-$AU115))</f>
        <v>1</v>
      </c>
      <c r="DU115" s="15">
        <f>MIN(IF($AU115=100%,1,1+VLOOKUP(($AJ115-$AI115-$AH115-$AG115-$AF115-$AE115*(1+DU$3))/$AJ115,'Технический лист'!$I:$J,2,1)-VLOOKUP($AO115,'Технический лист'!$I:$J,2,1)),1+(1-$AU115))</f>
        <v>1</v>
      </c>
      <c r="DV115" s="15">
        <f>MIN(IF($AU115=100%,1,1+VLOOKUP(($AJ115-$AI115-$AH115-$AG115-$AF115-$AE115*(1+DV$3))/$AJ115,'Технический лист'!$I:$J,2,1)-VLOOKUP($AO115,'Технический лист'!$I:$J,2,1)),1+(1-$AU115))</f>
        <v>1</v>
      </c>
      <c r="DW115" s="15">
        <f>MIN(IF($AU115=100%,1,1+VLOOKUP(($AJ115-$AI115-$AH115-$AG115-$AF115-$AE115*(1+DW$3))/$AJ115,'Технический лист'!$I:$J,2,1)-VLOOKUP($AO115,'Технический лист'!$I:$J,2,1)),1+(1-$AU115))</f>
        <v>1</v>
      </c>
      <c r="DX115" s="15">
        <f>MIN(IF($AU115=100%,1,1+VLOOKUP(($AJ115-$AI115-$AH115-$AG115-$AF115-$AE115*(1+DX$3))/$AJ115,'Технический лист'!$I:$J,2,1)-VLOOKUP($AO115,'Технический лист'!$I:$J,2,1)),1+(1-$AU115))</f>
        <v>1</v>
      </c>
      <c r="DY115" s="15">
        <f>MIN(IF($AU115=100%,1,1+VLOOKUP(($AJ115-$AI115-$AH115-$AG115-$AF115-$AE115*(1+DY$3))/$AJ115,'Технический лист'!$I:$J,2,1)-VLOOKUP($AO115,'Технический лист'!$I:$J,2,1)),1+(1-$AU115))</f>
        <v>1</v>
      </c>
      <c r="DZ115" s="15">
        <f>MIN(IF($AU115=100%,1,1+VLOOKUP(($AJ115-$AI115-$AH115-$AG115-$AF115-$AE115*(1+DZ$3))/$AJ115,'Технический лист'!$I:$J,2,1)-VLOOKUP($AO115,'Технический лист'!$I:$J,2,1)),1+(1-$AU115))</f>
        <v>1</v>
      </c>
      <c r="EA115" s="15">
        <f>MIN(IF($AU115=100%,1,1+VLOOKUP(($AJ115-$AI115-$AH115-$AG115-$AF115-$AE115*(1+EA$3))/$AJ115,'Технический лист'!$I:$J,2,1)-VLOOKUP($AO115,'Технический лист'!$I:$J,2,1)),1+(1-$AU115))</f>
        <v>1</v>
      </c>
      <c r="EB115" s="15">
        <f>MIN(IF($AU115=100%,1,1+VLOOKUP(($AJ115-$AI115-$AH115-$AG115-$AF115-$AE115*(1+EB$3))/$AJ115,'Технический лист'!$I:$J,2,1)-VLOOKUP($AO115,'Технический лист'!$I:$J,2,1)),1+(1-$AU115))</f>
        <v>1</v>
      </c>
      <c r="EC115" s="15">
        <f>MIN(IF($AU115=100%,1,1+VLOOKUP(($AJ115-$AI115-$AH115-$AG115-$AF115-$AE115*(1+EC$3))/$AJ115,'Технический лист'!$I:$J,2,1)-VLOOKUP($AO115,'Технический лист'!$I:$J,2,1)),1+(1-$AU115))</f>
        <v>1</v>
      </c>
      <c r="ED115" s="15">
        <f>MIN(IF($AU115=100%,1,1+VLOOKUP(($AJ115-$AI115-$AH115-$AG115-$AF115-$AE115*(1+ED$3))/$AJ115,'Технический лист'!$I:$J,2,1)-VLOOKUP($AO115,'Технический лист'!$I:$J,2,1)),1+(1-$AU115))</f>
        <v>1</v>
      </c>
      <c r="EE115" s="15">
        <f>MIN(IF($AU115=100%,1,1+VLOOKUP(($AJ115-$AI115-$AH115-$AG115-$AF115-$AE115*(1+EE$3))/$AJ115,'Технический лист'!$I:$J,2,1)-VLOOKUP($AO115,'Технический лист'!$I:$J,2,1)),1+(1-$AU115))</f>
        <v>1</v>
      </c>
      <c r="EF115" s="15">
        <f>MIN(IF($AU115=100%,1,1+VLOOKUP(($AJ115-$AI115-$AH115-$AG115-$AF115-$AE115*(1+EF$3))/$AJ115,'Технический лист'!$I:$J,2,1)-VLOOKUP($AO115,'Технический лист'!$I:$J,2,1)),1+(1-$AU115))</f>
        <v>1</v>
      </c>
      <c r="EG115" s="15">
        <f>MIN(IF($AU115=100%,1,1+VLOOKUP(($AJ115-$AI115-$AH115-$AG115-$AF115-$AE115*(1+EG$3))/$AJ115,'Технический лист'!$I:$J,2,1)-VLOOKUP($AO115,'Технический лист'!$I:$J,2,1)),1+(1-$AU115))</f>
        <v>1</v>
      </c>
      <c r="EH115" s="15">
        <f>MIN(IF($AU115=100%,1,1+VLOOKUP(($AJ115-$AI115-$AH115-$AG115-$AF115-$AE115*(1+EH$3))/$AJ115,'Технический лист'!$I:$J,2,1)-VLOOKUP($AO115,'Технический лист'!$I:$J,2,1)),1+(1-$AU115))</f>
        <v>1</v>
      </c>
      <c r="EI115" s="15">
        <f>MIN(IF($AU115=100%,1,1+VLOOKUP(($AJ115-$AI115-$AH115-$AG115-$AF115-$AE115*(1+EI$3))/$AJ115,'Технический лист'!$I:$J,2,1)-VLOOKUP($AO115,'Технический лист'!$I:$J,2,1)),1+(1-$AU115))</f>
        <v>1</v>
      </c>
      <c r="EJ115" s="15">
        <f>MIN(IF($AU115=100%,1,1+VLOOKUP(($AJ115-$AI115-$AH115-$AG115-$AF115-$AE115*(1+EJ$3))/$AJ115,'Технический лист'!$I:$J,2,1)-VLOOKUP($AO115,'Технический лист'!$I:$J,2,1)),1+(1-$AU115))</f>
        <v>1</v>
      </c>
      <c r="EK115" s="15">
        <f>MIN(IF($AU115=100%,1,1+VLOOKUP(($AJ115-$AI115-$AH115-$AG115-$AF115-$AE115*(1+EK$3))/$AJ115,'Технический лист'!$I:$J,2,1)-VLOOKUP($AO115,'Технический лист'!$I:$J,2,1)),1+(1-$AU115))</f>
        <v>1</v>
      </c>
      <c r="EL115" s="15">
        <f>MIN(IF($AU115=100%,1,1+VLOOKUP(($AJ115-$AI115-$AH115-$AG115-$AF115-$AE115*(1+EL$3))/$AJ115,'Технический лист'!$I:$J,2,1)-VLOOKUP($AO115,'Технический лист'!$I:$J,2,1)),1+(1-$AU115))</f>
        <v>1</v>
      </c>
      <c r="EM115" s="15">
        <f>MIN(IF($AU115=100%,1,1+VLOOKUP(($AJ115-$AI115-$AH115-$AG115-$AF115-$AE115*(1+EM$3))/$AJ115,'Технический лист'!$I:$J,2,1)-VLOOKUP($AO115,'Технический лист'!$I:$J,2,1)),1+(1-$AU115))</f>
        <v>1</v>
      </c>
      <c r="EN115" s="15">
        <f>MIN(IF($AU115=100%,1,1+VLOOKUP(($AJ115-$AI115-$AH115-$AG115-$AF115-$AE115*(1+EN$3))/$AJ115,'Технический лист'!$I:$J,2,1)-VLOOKUP($AO115,'Технический лист'!$I:$J,2,1)),1+(1-$AU115))</f>
        <v>1</v>
      </c>
      <c r="EO115" s="15">
        <f>MIN(IF($AU115=100%,1,1+VLOOKUP(($AJ115-$AI115-$AH115-$AG115-$AF115-$AE115*(1+EO$3))/$AJ115,'Технический лист'!$I:$J,2,1)-VLOOKUP($AO115,'Технический лист'!$I:$J,2,1)),1+(1-$AU115))</f>
        <v>1</v>
      </c>
      <c r="EP115" s="15">
        <f>MIN(IF($AU115=100%,1,1+VLOOKUP(($AJ115-$AI115-$AH115-$AG115-$AF115-$AE115*(1+EP$3))/$AJ115,'Технический лист'!$I:$J,2,1)-VLOOKUP($AO115,'Технический лист'!$I:$J,2,1)),1+(1-$AU115))</f>
        <v>1</v>
      </c>
      <c r="EQ115" s="15">
        <f>MIN(IF($AU115=100%,1,1+VLOOKUP(($AJ115-$AI115-$AH115-$AG115-$AF115-$AE115*(1+EQ$3))/$AJ115,'Технический лист'!$I:$J,2,1)-VLOOKUP($AO115,'Технический лист'!$I:$J,2,1)),1+(1-$AU115))</f>
        <v>1</v>
      </c>
      <c r="ER115" s="15">
        <f>MIN(IF($AU115=100%,1,1+VLOOKUP(($AJ115-$AI115-$AH115-$AG115-$AF115-$AE115*(1+ER$3))/$AJ115,'Технический лист'!$I:$J,2,1)-VLOOKUP($AO115,'Технический лист'!$I:$J,2,1)),1+(1-$AU115))</f>
        <v>1</v>
      </c>
      <c r="ES115" s="15">
        <f>MIN(IF($AU115=100%,1,1+VLOOKUP(($AJ115-$AI115-$AH115-$AG115-$AF115-$AE115*(1+ES$3))/$AJ115,'Технический лист'!$I:$J,2,1)-VLOOKUP($AO115,'Технический лист'!$I:$J,2,1)),1+(1-$AU115))</f>
        <v>1</v>
      </c>
      <c r="ET115" s="15">
        <f>MIN(IF($AU115=100%,1,1+VLOOKUP(($AJ115-$AI115-$AH115-$AG115-$AF115-$AE115*(1+ET$3))/$AJ115,'Технический лист'!$I:$J,2,1)-VLOOKUP($AO115,'Технический лист'!$I:$J,2,1)),1+(1-$AU115))</f>
        <v>1</v>
      </c>
      <c r="EU115" s="15">
        <f>MIN(IF($AU115=100%,1,1+VLOOKUP(($AJ115-$AI115-$AH115-$AG115-$AF115-$AE115*(1+EU$3))/$AJ115,'Технический лист'!$I:$J,2,1)-VLOOKUP($AO115,'Технический лист'!$I:$J,2,1)),1+(1-$AU115))</f>
        <v>1</v>
      </c>
      <c r="EV115" s="111">
        <v>1</v>
      </c>
      <c r="EW115" s="15">
        <f>MIN(1,MAX(VLOOKUP(($AJ115-$AI115-$AH115-$AG115-$AF115-$AE115*(1+EW$3))/$AJ115,'Технический лист'!$A:$B,2,1),(EV115-0.05)))</f>
        <v>1</v>
      </c>
      <c r="EX115" s="15">
        <f>MIN(1,MAX(VLOOKUP(($AJ115-$AI115-$AH115-$AG115-$AF115-$AE115*(1+EX$3))/$AJ115,'Технический лист'!$A:$B,2,1),(EW115-0.05)))</f>
        <v>1</v>
      </c>
      <c r="EY115" s="15">
        <f>MIN(1,MAX(VLOOKUP(($AJ115-$AI115-$AH115-$AG115-$AF115-$AE115*(1+EY$3))/$AJ115,'Технический лист'!$A:$B,2,1),(EX115-0.05)))</f>
        <v>1</v>
      </c>
      <c r="EZ115" s="15">
        <f>MIN(1,MAX(VLOOKUP(($AJ115-$AI115-$AH115-$AG115-$AF115-$AE115*(1+EZ$3))/$AJ115,'Технический лист'!$A:$B,2,1),(EY115-0.05)))</f>
        <v>1</v>
      </c>
      <c r="FA115" s="15">
        <f>MIN(1,MAX(VLOOKUP(($AJ115-$AI115-$AH115-$AG115-$AF115-$AE115*(1+FA$3))/$AJ115,'Технический лист'!$A:$B,2,1),(EZ115-0.05)))</f>
        <v>1</v>
      </c>
      <c r="FB115" s="15">
        <f>MIN(1,MAX(VLOOKUP(($AJ115-$AI115-$AH115-$AG115-$AF115-$AE115*(1+FB$3))/$AJ115,'Технический лист'!$A:$B,2,1),(FA115-0.05)))</f>
        <v>1</v>
      </c>
      <c r="FC115" s="15">
        <f>MIN(1,MAX(VLOOKUP(($AJ115-$AI115-$AH115-$AG115-$AF115-$AE115*(1+FC$3))/$AJ115,'Технический лист'!$A:$B,2,1),(FB115-0.05)))</f>
        <v>1</v>
      </c>
      <c r="FD115" s="15">
        <f>MIN(1,MAX(VLOOKUP(($AJ115-$AI115-$AH115-$AG115-$AF115-$AE115*(1+FD$3))/$AJ115,'Технический лист'!$A:$B,2,1),(FC115-0.05)))</f>
        <v>1</v>
      </c>
      <c r="FE115" s="15">
        <f>MIN(1,MAX(VLOOKUP(($AJ115-$AI115-$AH115-$AG115-$AF115-$AE115*(1+FE$3))/$AJ115,'Технический лист'!$A:$B,2,1),(FD115-0.05)))</f>
        <v>1</v>
      </c>
      <c r="FF115" s="15">
        <f>MIN(1,MAX(VLOOKUP(($AJ115-$AI115-$AH115-$AG115-$AF115-$AE115*(1+FF$3))/$AJ115,'Технический лист'!$A:$B,2,1),(FE115-0.05)))</f>
        <v>1</v>
      </c>
      <c r="FG115" s="15">
        <f>MIN(1,MAX(VLOOKUP(($AJ115-$AI115-$AH115-$AG115-$AF115-$AE115*(1+FG$3))/$AJ115,'Технический лист'!$A:$B,2,1),(FF115-0.05)))</f>
        <v>1</v>
      </c>
      <c r="FH115" s="15">
        <f>MIN(1,MAX(VLOOKUP(($AJ115-$AI115-$AH115-$AG115-$AF115-$AE115*(1+FH$3))/$AJ115,'Технический лист'!$A:$B,2,1),(FG115-0.05)))</f>
        <v>1</v>
      </c>
      <c r="FI115" s="15">
        <f>MIN(1,MAX(VLOOKUP(($AJ115-$AI115-$AH115-$AG115-$AF115-$AE115*(1+FI$3))/$AJ115,'Технический лист'!$A:$B,2,1),(FH115-0.05)))</f>
        <v>1</v>
      </c>
      <c r="FJ115" s="15">
        <f>MIN(1,MAX(VLOOKUP(($AJ115-$AI115-$AH115-$AG115-$AF115-$AE115*(1+FJ$3))/$AJ115,'Технический лист'!$A:$B,2,1),(FI115-0.05)))</f>
        <v>1</v>
      </c>
      <c r="FK115" s="15">
        <f>MIN(1,MAX(VLOOKUP(($AJ115-$AI115-$AH115-$AG115-$AF115-$AE115*(1+FK$3))/$AJ115,'Технический лист'!$A:$B,2,1),(FJ115-0.05)))</f>
        <v>1</v>
      </c>
      <c r="FL115" s="15">
        <f>MIN(1,MAX(VLOOKUP(($AJ115-$AI115-$AH115-$AG115-$AF115-$AE115*(1+FL$3))/$AJ115,'Технический лист'!$A:$B,2,1),(FK115-0.05)))</f>
        <v>1</v>
      </c>
      <c r="FM115" s="15">
        <f>MIN(1,MAX(VLOOKUP(($AJ115-$AI115-$AH115-$AG115-$AF115-$AE115*(1+FM$3))/$AJ115,'Технический лист'!$A:$B,2,1),(FL115-0.05)))</f>
        <v>1</v>
      </c>
      <c r="FN115" s="15">
        <f>MIN(1,MAX(VLOOKUP(($AJ115-$AI115-$AH115-$AG115-$AF115-$AE115*(1+FN$3))/$AJ115,'Технический лист'!$A:$B,2,1),(FM115-0.05)))</f>
        <v>1</v>
      </c>
      <c r="FO115" s="15">
        <f>MIN(1,MAX(VLOOKUP(($AJ115-$AI115-$AH115-$AG115-$AF115-$AE115*(1+FO$3))/$AJ115,'Технический лист'!$A:$B,2,1),(FN115-0.05)))</f>
        <v>1</v>
      </c>
      <c r="FP115" s="15">
        <f>MIN(1,MAX(VLOOKUP(($AJ115-$AI115-$AH115-$AG115-$AF115-$AE115*(1+FP$3))/$AJ115,'Технический лист'!$A:$B,2,1),(FO115-0.05)))</f>
        <v>1</v>
      </c>
      <c r="FQ115" s="15">
        <f>MIN(1,MAX(VLOOKUP(($AJ115-$AI115-$AH115-$AG115-$AF115-$AE115*(1+FQ$3))/$AJ115,'Технический лист'!$A:$B,2,1),(FP115-0.05)))</f>
        <v>1</v>
      </c>
      <c r="FR115" s="15">
        <f>MIN(1,MAX(VLOOKUP(($AJ115-$AI115-$AH115-$AG115-$AF115-$AE115*(1+FR$3))/$AJ115,'Технический лист'!$A:$B,2,1),(FQ115-0.05)))</f>
        <v>1</v>
      </c>
      <c r="FS115" s="15">
        <f>MIN(1,MAX(VLOOKUP(($AJ115-$AI115-$AH115-$AG115-$AF115-$AE115*(1+FS$3))/$AJ115,'Технический лист'!$A:$B,2,1),(FR115-0.05)))</f>
        <v>1</v>
      </c>
      <c r="FT115" s="15">
        <f>MIN(1,MAX(VLOOKUP(($AJ115-$AI115-$AH115-$AG115-$AF115-$AE115*(1+FT$3))/$AJ115,'Технический лист'!$A:$B,2,1),(FS115-0.05)))</f>
        <v>1</v>
      </c>
      <c r="FU115" s="15">
        <f>MIN(1,MAX(VLOOKUP(($AJ115-$AI115-$AH115-$AG115-$AF115-$AE115*(1+FU$3))/$AJ115,'Технический лист'!$A:$B,2,1),(FT115-0.05)))</f>
        <v>1</v>
      </c>
      <c r="FV115" s="15">
        <f>MIN(1,MAX(VLOOKUP(($AJ115-$AI115-$AH115-$AG115-$AF115-$AE115*(1+FV$3))/$AJ115,'Технический лист'!$A:$B,2,1),(FU115-0.05)))</f>
        <v>1</v>
      </c>
      <c r="FW115" s="15">
        <f>MIN(1,MAX(VLOOKUP(($AJ115-$AI115-$AH115-$AG115-$AF115-$AE115*(1+FW$3))/$AJ115,'Технический лист'!$A:$B,2,1),(FV115-0.05)))</f>
        <v>1</v>
      </c>
      <c r="FX115" s="15">
        <f>MIN(1,MAX(VLOOKUP(($AJ115-$AI115-$AH115-$AG115-$AF115-$AE115*(1+FX$3))/$AJ115,'Технический лист'!$A:$B,2,1),(FW115-0.05)))</f>
        <v>1</v>
      </c>
      <c r="FY115" s="15">
        <f>MIN(1,MAX(VLOOKUP(($AJ115-$AI115-$AH115-$AG115-$AF115-$AE115*(1+FY$3))/$AJ115,'Технический лист'!$A:$B,2,1),(FX115-0.05)))</f>
        <v>1</v>
      </c>
      <c r="FZ115" s="15">
        <f>MIN(1,MAX(VLOOKUP(($AJ115-$AI115-$AH115-$AG115-$AF115-$AE115*(1+FZ$3))/$AJ115,'Технический лист'!$A:$B,2,1),(FY115-0.05)))</f>
        <v>1</v>
      </c>
      <c r="GA115" s="15">
        <f>MIN(1,MAX(VLOOKUP(($AJ115-$AI115-$AH115-$AG115-$AF115-$AE115*(1+GA$3))/$AJ115,'Технический лист'!$A:$B,2,1),(FZ115-0.05)))</f>
        <v>1</v>
      </c>
      <c r="GB115" s="15">
        <f>MIN(1,MAX(VLOOKUP(($AJ115-$AI115-$AH115-$AG115-$AF115-$AE115*(1+GB$3))/$AJ115,'Технический лист'!$A:$B,2,1),(GA115-0.05)))</f>
        <v>1</v>
      </c>
      <c r="GC115" s="15">
        <f>MIN(1,MAX(VLOOKUP(($AJ115-$AI115-$AH115-$AG115-$AF115-$AE115*(1+GC$3))/$AJ115,'Технический лист'!$A:$B,2,1),(GB115-0.05)))</f>
        <v>1</v>
      </c>
      <c r="GD115" s="15">
        <f>MIN(1,MAX(VLOOKUP(($AJ115-$AI115-$AH115-$AG115-$AF115-$AE115*(1+GD$3))/$AJ115,'Технический лист'!$A:$B,2,1),(GC115-0.05)))</f>
        <v>1</v>
      </c>
      <c r="GE115" s="15">
        <f>MIN(1,MAX(VLOOKUP(($AJ115-$AI115-$AH115-$AG115-$AF115-$AE115*(1+GE$3))/$AJ115,'Технический лист'!$A:$B,2,1),(GD115-0.05)))</f>
        <v>1</v>
      </c>
      <c r="GF115" s="15">
        <f>MIN(1,MAX(VLOOKUP(($AJ115-$AI115-$AH115-$AG115-$AF115-$AE115*(1+GF$3))/$AJ115,'Технический лист'!$A:$B,2,1),(GE115-0.05)))</f>
        <v>1</v>
      </c>
      <c r="GG115" s="15">
        <f>MIN(1,MAX(VLOOKUP(($AJ115-$AI115-$AH115-$AG115-$AF115-$AE115*(1+GG$3))/$AJ115,'Технический лист'!$A:$B,2,1),(GF115-0.05)))</f>
        <v>1</v>
      </c>
      <c r="GH115" s="15">
        <f>MIN(1,MAX(VLOOKUP(($AJ115-$AI115-$AH115-$AG115-$AF115-$AE115*(1+GH$3))/$AJ115,'Технический лист'!$A:$B,2,1),(GG115-0.05)))</f>
        <v>1</v>
      </c>
      <c r="GI115" s="15">
        <f>MIN(1,MAX(VLOOKUP(($AJ115-$AI115-$AH115-$AG115-$AF115-$AE115*(1+GI$3))/$AJ115,'Технический лист'!$A:$B,2,1),(GH115-0.05)))</f>
        <v>1</v>
      </c>
      <c r="GJ115" s="15">
        <f>MIN(1,MAX(VLOOKUP(($AJ115-$AI115-$AH115-$AG115-$AF115-$AE115*(1+GJ$3))/$AJ115,'Технический лист'!$A:$B,2,1),(GI115-0.05)))</f>
        <v>1</v>
      </c>
      <c r="GK115" s="15">
        <f>MIN(1,MAX(VLOOKUP(($AJ115-$AI115-$AH115-$AG115-$AF115-$AE115*(1+GK$3))/$AJ115,'Технический лист'!$A:$B,2,1),(GJ115-0.05)))</f>
        <v>1</v>
      </c>
      <c r="GL115" s="15">
        <f>MIN(1,MAX(VLOOKUP(($AJ115-$AI115-$AH115-$AG115-$AF115-$AE115*(1+GL$3))/$AJ115,'Технический лист'!$A:$B,2,1),(GK115-0.05)))</f>
        <v>1</v>
      </c>
      <c r="GM115" s="15">
        <f>MIN(1,MAX(VLOOKUP(($AJ115-$AI115-$AH115-$AG115-$AF115-$AE115*(1+GM$3))/$AJ115,'Технический лист'!$A:$B,2,1),(GL115-0.05)))</f>
        <v>1</v>
      </c>
      <c r="GN115" s="15">
        <f>MIN(1,MAX(VLOOKUP(($AJ115-$AI115-$AH115-$AG115-$AF115-$AE115*(1+GN$3))/$AJ115,'Технический лист'!$A:$B,2,1),(GM115-0.05)))</f>
        <v>1</v>
      </c>
      <c r="GO115" s="15">
        <f>MIN(1,MAX(VLOOKUP(($AJ115-$AI115-$AH115-$AG115-$AF115-$AE115*(1+GO$3))/$AJ115,'Технический лист'!$A:$B,2,1),(GN115-0.05)))</f>
        <v>1</v>
      </c>
      <c r="GP115" s="15">
        <f>MIN(1,MAX(VLOOKUP(($AJ115-$AI115-$AH115-$AG115-$AF115-$AE115*(1+GP$3))/$AJ115,'Технический лист'!$A:$B,2,1),(GO115-0.05)))</f>
        <v>1</v>
      </c>
      <c r="GQ115" s="15">
        <f>MIN(1,MAX(VLOOKUP(($AJ115-$AI115-$AH115-$AG115-$AF115-$AE115*(1+GQ$3))/$AJ115,'Технический лист'!$A:$B,2,1),(GP115-0.05)))</f>
        <v>1</v>
      </c>
      <c r="GR115" s="15">
        <f>MIN(1,MAX(VLOOKUP(($AJ115-$AI115-$AH115-$AG115-$AF115-$AE115*(1+GR$3))/$AJ115,'Технический лист'!$A:$B,2,1),(GQ115-0.05)))</f>
        <v>1</v>
      </c>
      <c r="GS115" s="15">
        <f>MIN(1,MAX(VLOOKUP(($AJ115-$AI115-$AH115-$AG115-$AF115-$AE115*(1+GS$3))/$AJ115,'Технический лист'!$A:$B,2,1),(GR115-0.05)))</f>
        <v>1</v>
      </c>
      <c r="GT115" s="15">
        <f>MIN(1,MAX(VLOOKUP(($AJ115-$AI115-$AH115-$AG115-$AF115-$AE115*(1+GT$3))/$AJ115,'Технический лист'!$A:$B,2,1),(GS115-0.05)))</f>
        <v>1</v>
      </c>
      <c r="GU115" s="15">
        <f>MIN(1,MAX(VLOOKUP(($AJ115-$AI115-$AH115-$AG115-$AF115-$AE115*(1+GU$3))/$AJ115,'Технический лист'!$A:$B,2,1),(GT115-0.05)))</f>
        <v>1</v>
      </c>
      <c r="GV115" s="15">
        <f>MIN(1,MAX(VLOOKUP(($AJ115-$AI115-$AH115-$AG115-$AF115-$AE115*(1+GV$3))/$AJ115,'Технический лист'!$A:$B,2,1),(GU115-0.05)))</f>
        <v>1</v>
      </c>
      <c r="GW115" s="15">
        <f>MIN(1,MAX(VLOOKUP(($AJ115-$AI115-$AH115-$AG115-$AF115-$AE115*(1+GW$3))/$AJ115,'Технический лист'!$A:$B,2,1),(GV115-0.05)))</f>
        <v>1</v>
      </c>
      <c r="GX115" s="15">
        <f>MIN(1,MAX(VLOOKUP(($AJ115-$AI115-$AH115-$AG115-$AF115-$AE115*(1+GX$3))/$AJ115,'Технический лист'!$A:$B,2,1),(GW115-0.05)))</f>
        <v>1</v>
      </c>
      <c r="GY115" s="15">
        <f>MIN(1,MAX(VLOOKUP(($AJ115-$AI115-$AH115-$AG115-$AF115-$AE115*(1+GY$3))/$AJ115,'Технический лист'!$A:$B,2,1),(GX115-0.05)))</f>
        <v>1</v>
      </c>
      <c r="GZ115" s="15">
        <f>MIN(1,MAX(VLOOKUP(($AJ115-$AI115-$AH115-$AG115-$AF115-$AE115*(1+GZ$3))/$AJ115,'Технический лист'!$A:$B,2,1),(GY115-0.05)))</f>
        <v>1</v>
      </c>
      <c r="HA115" s="15">
        <f>MIN(1,MAX(VLOOKUP(($AJ115-$AI115-$AH115-$AG115-$AF115-$AE115*(1+HA$3))/$AJ115,'Технический лист'!$A:$B,2,1),(GZ115-0.05)))</f>
        <v>1</v>
      </c>
      <c r="HB115" s="15">
        <f>MIN(1,MAX(VLOOKUP(($AJ115-$AI115-$AH115-$AG115-$AF115-$AE115*(1+HB$3))/$AJ115,'Технический лист'!$A:$B,2,1),(HA115-0.05)))</f>
        <v>1</v>
      </c>
      <c r="HC115" s="15">
        <f>MIN(1,MAX(VLOOKUP(($AJ115-$AI115-$AH115-$AG115-$AF115-$AE115*(1+HC$3))/$AJ115,'Технический лист'!$A:$B,2,1),(HB115-0.05)))</f>
        <v>1</v>
      </c>
      <c r="HD115" s="15">
        <f>MIN(1,MAX(VLOOKUP(($AJ115-$AI115-$AH115-$AG115-$AF115-$AE115*(1+HD$3))/$AJ115,'Технический лист'!$A:$B,2,1),(HC115-0.05)))</f>
        <v>1</v>
      </c>
      <c r="HE115" s="15">
        <f>MIN(1,MAX(VLOOKUP(($AJ115-$AI115-$AH115-$AG115-$AF115-$AE115*(1+HE$3))/$AJ115,'Технический лист'!$A:$B,2,1),(HD115-0.05)))</f>
        <v>1</v>
      </c>
      <c r="HF115" s="15">
        <f>MIN(1,MAX(VLOOKUP(($AJ115-$AI115-$AH115-$AG115-$AF115-$AE115*(1+HF$3))/$AJ115,'Технический лист'!$A:$B,2,1),(HE115-0.05)))</f>
        <v>1</v>
      </c>
      <c r="HG115" s="15">
        <f>MIN(1,MAX(VLOOKUP(($AJ115-$AI115-$AH115-$AG115-$AF115-$AE115*(1+HG$3))/$AJ115,'Технический лист'!$A:$B,2,1),(HF115-0.05)))</f>
        <v>1</v>
      </c>
      <c r="HH115" s="15">
        <f>MIN(1,MAX(VLOOKUP(($AJ115-$AI115-$AH115-$AG115-$AF115-$AE115*(1+HH$3))/$AJ115,'Технический лист'!$A:$B,2,1),(HG115-0.05)))</f>
        <v>1</v>
      </c>
      <c r="HI115" s="15">
        <f>MIN(1,MAX(VLOOKUP(($AJ115-$AI115-$AH115-$AG115-$AF115-$AE115*(1+HI$3))/$AJ115,'Технический лист'!$A:$B,2,1),(HH115-0.05)))</f>
        <v>1</v>
      </c>
      <c r="HJ115" s="15">
        <f>MIN(1,MAX(VLOOKUP(($AJ115-$AI115-$AH115-$AG115-$AF115-$AE115*(1+HJ$3))/$AJ115,'Технический лист'!$A:$B,2,1),(HI115-0.05)))</f>
        <v>1</v>
      </c>
      <c r="HK115" s="15">
        <f>MIN(1,MAX(VLOOKUP(($AJ115-$AI115-$AH115-$AG115-$AF115-$AE115*(1+HK$3))/$AJ115,'Технический лист'!$A:$B,2,1),(HJ115-0.05)))</f>
        <v>1</v>
      </c>
      <c r="HL115" s="15">
        <f>MIN(1,MAX(VLOOKUP(($AJ115-$AI115-$AH115-$AG115-$AF115-$AE115*(1+HL$3))/$AJ115,'Технический лист'!$A:$B,2,1),(HK115-0.05)))</f>
        <v>1</v>
      </c>
      <c r="HM115" s="15">
        <f>MIN(1,MAX(VLOOKUP(($AJ115-$AI115-$AH115-$AG115-$AF115-$AE115*(1+HM$3))/$AJ115,'Технический лист'!$A:$B,2,1),(HL115-0.05)))</f>
        <v>1</v>
      </c>
      <c r="HN115" s="15">
        <f>MIN(1,MAX(VLOOKUP(($AJ115-$AI115-$AH115-$AG115-$AF115-$AE115*(1+HN$3))/$AJ115,'Технический лист'!$A:$B,2,1),(HM115-0.05)))</f>
        <v>1</v>
      </c>
      <c r="HO115" s="15">
        <f>MIN(1,MAX(VLOOKUP(($AJ115-$AI115-$AH115-$AG115-$AF115-$AE115*(1+HO$3))/$AJ115,'Технический лист'!$A:$B,2,1),(HN115-0.05)))</f>
        <v>1</v>
      </c>
      <c r="HP115" s="15">
        <f>MIN(1,MAX(VLOOKUP(($AJ115-$AI115-$AH115-$AG115-$AF115-$AE115*(1+HP$3))/$AJ115,'Технический лист'!$A:$B,2,1),(HO115-0.05)))</f>
        <v>1</v>
      </c>
      <c r="HQ115" s="15">
        <f>MIN(1,MAX(VLOOKUP(($AJ115-$AI115-$AH115-$AG115-$AF115-$AE115*(1+HQ$3))/$AJ115,'Технический лист'!$A:$B,2,1),(HP115-0.05)))</f>
        <v>1</v>
      </c>
      <c r="HR115" s="15">
        <f>MIN(1,MAX(VLOOKUP(($AJ115-$AI115-$AH115-$AG115-$AF115-$AE115*(1+HR$3))/$AJ115,'Технический лист'!$A:$B,2,1),(HQ115-0.05)))</f>
        <v>1</v>
      </c>
      <c r="HS115" s="15">
        <f>MIN(1,MAX(VLOOKUP(($AJ115-$AI115-$AH115-$AG115-$AF115-$AE115*(1+HS$3))/$AJ115,'Технический лист'!$A:$B,2,1),(HR115-0.05)))</f>
        <v>1</v>
      </c>
      <c r="HT115" s="15">
        <f>MIN(1,MAX(VLOOKUP(($AJ115-$AI115-$AH115-$AG115-$AF115-$AE115*(1+HT$3))/$AJ115,'Технический лист'!$A:$B,2,1),(HS115-0.05)))</f>
        <v>1</v>
      </c>
      <c r="HU115" s="15">
        <f>MIN(1,MAX(VLOOKUP(($AJ115-$AI115-$AH115-$AG115-$AF115-$AE115*(1+HU$3))/$AJ115,'Технический лист'!$A:$B,2,1),(HT115-0.05)))</f>
        <v>1</v>
      </c>
      <c r="HV115" s="15">
        <f>MIN(1,MAX(VLOOKUP(($AJ115-$AI115-$AH115-$AG115-$AF115-$AE115*(1+HV$3))/$AJ115,'Технический лист'!$A:$B,2,1),(HU115-0.05)))</f>
        <v>1</v>
      </c>
      <c r="HW115" s="15">
        <f>MIN(1,MAX(VLOOKUP(($AJ115-$AI115-$AH115-$AG115-$AF115-$AE115*(1+HW$3))/$AJ115,'Технический лист'!$A:$B,2,1),(HV115-0.05)))</f>
        <v>1</v>
      </c>
      <c r="HX115" s="15">
        <f>MIN(1,MAX(VLOOKUP(($AJ115-$AI115-$AH115-$AG115-$AF115-$AE115*(1+HX$3))/$AJ115,'Технический лист'!$A:$B,2,1),(HW115-0.05)))</f>
        <v>1</v>
      </c>
      <c r="HY115" s="15">
        <f>MIN(1,MAX(VLOOKUP(($AJ115-$AI115-$AH115-$AG115-$AF115-$AE115*(1+HY$3))/$AJ115,'Технический лист'!$A:$B,2,1),(HX115-0.05)))</f>
        <v>1</v>
      </c>
      <c r="HZ115" s="15">
        <f>MIN(1,MAX(VLOOKUP(($AJ115-$AI115-$AH115-$AG115-$AF115-$AE115*(1+HZ$3))/$AJ115,'Технический лист'!$A:$B,2,1),(HY115-0.05)))</f>
        <v>1</v>
      </c>
      <c r="IA115" s="15">
        <f>MIN(1,MAX(VLOOKUP(($AJ115-$AI115-$AH115-$AG115-$AF115-$AE115*(1+IA$3))/$AJ115,'Технический лист'!$A:$B,2,1),(HZ115-0.05)))</f>
        <v>1</v>
      </c>
      <c r="IB115" s="15">
        <f>MIN(1,MAX(VLOOKUP(($AJ115-$AI115-$AH115-$AG115-$AF115-$AE115*(1+IB$3))/$AJ115,'Технический лист'!$A:$B,2,1),(IA115-0.05)))</f>
        <v>1</v>
      </c>
      <c r="IC115" s="15">
        <f>MIN(1,MAX(VLOOKUP(($AJ115-$AI115-$AH115-$AG115-$AF115-$AE115*(1+IC$3))/$AJ115,'Технический лист'!$A:$B,2,1),(IB115-0.05)))</f>
        <v>1</v>
      </c>
      <c r="ID115" s="15">
        <f>MIN(1,MAX(VLOOKUP(($AJ115-$AI115-$AH115-$AG115-$AF115-$AE115*(1+ID$3))/$AJ115,'Технический лист'!$A:$B,2,1),(IC115-0.05)))</f>
        <v>1</v>
      </c>
      <c r="IE115" s="15">
        <f>MIN(1,MAX(VLOOKUP(($AJ115-$AI115-$AH115-$AG115-$AF115-$AE115*(1+IE$3))/$AJ115,'Технический лист'!$A:$B,2,1),(ID115-0.05)))</f>
        <v>1</v>
      </c>
      <c r="IF115" s="15">
        <f>MIN(1,MAX(VLOOKUP(($AJ115-$AI115-$AH115-$AG115-$AF115-$AE115*(1+IF$3))/$AJ115,'Технический лист'!$A:$B,2,1),(IE115-0.05)))</f>
        <v>1</v>
      </c>
      <c r="IG115" s="15">
        <f>MIN(1,MAX(VLOOKUP(($AJ115-$AI115-$AH115-$AG115-$AF115-$AE115*(1+IG$3))/$AJ115,'Технический лист'!$A:$B,2,1),(IF115-0.05)))</f>
        <v>1</v>
      </c>
      <c r="IH115" s="15">
        <f>MIN(1,MAX(VLOOKUP(($AJ115-$AI115-$AH115-$AG115-$AF115-$AE115*(1+IH$3))/$AJ115,'Технический лист'!$A:$B,2,1),(IG115-0.05)))</f>
        <v>1</v>
      </c>
      <c r="II115" s="15">
        <f>MIN(1,MAX(VLOOKUP(($AJ115-$AI115-$AH115-$AG115-$AF115-$AE115*(1+II$3))/$AJ115,'Технический лист'!$A:$B,2,1),(IH115-0.05)))</f>
        <v>1</v>
      </c>
      <c r="IJ115" s="15">
        <f>MIN(1,MAX(VLOOKUP(($AJ115-$AI115-$AH115-$AG115-$AF115-$AE115*(1+IJ$3))/$AJ115,'Технический лист'!$A:$B,2,1),(II115-0.05)))</f>
        <v>1</v>
      </c>
      <c r="IK115" s="15">
        <f>MIN(1,MAX(VLOOKUP(($AJ115-$AI115-$AH115-$AG115-$AF115-$AE115*(1+IK$3))/$AJ115,'Технический лист'!$A:$B,2,1),(IJ115-0.05)))</f>
        <v>1</v>
      </c>
      <c r="IL115" s="15">
        <f>MIN(1,MAX(VLOOKUP(($AJ115-$AI115-$AH115-$AG115-$AF115-$AE115*(1+IL$3))/$AJ115,'Технический лист'!$A:$B,2,1),(IK115-0.05)))</f>
        <v>1</v>
      </c>
      <c r="IM115" s="15">
        <f>MIN(1,MAX(VLOOKUP(($AJ115-$AI115-$AH115-$AG115-$AF115-$AE115*(1+IM$3))/$AJ115,'Технический лист'!$A:$B,2,1),(IL115-0.05)))</f>
        <v>1</v>
      </c>
      <c r="IN115" s="15">
        <f>MIN(1,MAX(VLOOKUP(($AJ115-$AI115-$AH115-$AG115-$AF115-$AE115*(1+IN$3))/$AJ115,'Технический лист'!$A:$B,2,1),(IM115-0.05)))</f>
        <v>1</v>
      </c>
      <c r="IO115" s="15">
        <f>MIN(1,MAX(VLOOKUP(($AJ115-$AI115-$AH115-$AG115-$AF115-$AE115*(1+IO$3))/$AJ115,'Технический лист'!$A:$B,2,1),(IN115-0.05)))</f>
        <v>1</v>
      </c>
      <c r="IP115" s="15">
        <f>MIN(1,MAX(VLOOKUP(($AJ115-$AI115-$AH115-$AG115-$AF115-$AE115*(1+IP$3))/$AJ115,'Технический лист'!$A:$B,2,1),(IO115-0.05)))</f>
        <v>1</v>
      </c>
      <c r="IQ115" s="15">
        <f>MIN(1,MAX(VLOOKUP(($AJ115-$AI115-$AH115-$AG115-$AF115-$AE115*(1+IQ$3))/$AJ115,'Технический лист'!$A:$B,2,1),(IP115-0.05)))</f>
        <v>1</v>
      </c>
      <c r="IR115" s="15">
        <f>MIN(1,MAX(VLOOKUP(($AJ115-$AI115-$AH115-$AG115-$AF115-$AE115*(1+IR$3))/$AJ115,'Технический лист'!$A:$B,2,1),(IQ115-0.05)))</f>
        <v>1</v>
      </c>
    </row>
    <row r="116" spans="1:252" ht="43.75">
      <c r="A116" s="89" t="s">
        <v>515</v>
      </c>
      <c r="B116" s="90">
        <v>5</v>
      </c>
      <c r="C116" s="5" t="s">
        <v>68</v>
      </c>
      <c r="D116" s="91">
        <v>32416</v>
      </c>
      <c r="E116" s="91" t="s">
        <v>352</v>
      </c>
      <c r="F116" s="92" t="s">
        <v>75</v>
      </c>
      <c r="G116" s="91" t="s">
        <v>28</v>
      </c>
      <c r="H116" s="91" t="s">
        <v>26</v>
      </c>
      <c r="I116" s="91" t="s">
        <v>105</v>
      </c>
      <c r="J116" s="91" t="s">
        <v>179</v>
      </c>
      <c r="K116" s="91">
        <v>417</v>
      </c>
      <c r="L116" s="77" t="s">
        <v>189</v>
      </c>
      <c r="M116" s="91" t="s">
        <v>190</v>
      </c>
      <c r="N116" s="91" t="s">
        <v>48</v>
      </c>
      <c r="O116" s="91" t="s">
        <v>193</v>
      </c>
      <c r="P116" s="89" t="s">
        <v>246</v>
      </c>
      <c r="Q116" s="91" t="s">
        <v>282</v>
      </c>
      <c r="R116" s="91" t="s">
        <v>257</v>
      </c>
      <c r="S116" s="82">
        <v>128551</v>
      </c>
      <c r="T116" s="82">
        <v>53547922</v>
      </c>
      <c r="U116" s="81">
        <v>1809</v>
      </c>
      <c r="V116" s="81">
        <v>5209</v>
      </c>
      <c r="W116" s="82">
        <v>93503876</v>
      </c>
      <c r="X116" s="112">
        <v>52</v>
      </c>
      <c r="Y116" s="112" t="s">
        <v>48</v>
      </c>
      <c r="Z116" s="113">
        <v>5</v>
      </c>
      <c r="AA116" s="113">
        <v>0</v>
      </c>
      <c r="AB116" s="113">
        <v>4</v>
      </c>
      <c r="AC116" s="99">
        <f>34396/X116</f>
        <v>661.46153846153845</v>
      </c>
      <c r="AD116" s="99">
        <v>0</v>
      </c>
      <c r="AE116" s="99">
        <f t="shared" ref="AE116:AE118" si="47">AC116</f>
        <v>661.46153846153845</v>
      </c>
      <c r="AF116" s="98">
        <f>(AB116+AA116+Z116)*'Ставки аренды'!$B$6/X116</f>
        <v>276.92307692307691</v>
      </c>
      <c r="AG116" s="114">
        <v>0</v>
      </c>
      <c r="AH116" s="94">
        <v>0</v>
      </c>
      <c r="AI116" s="116">
        <f>539714289/604384772*AVERAGE(AJ116,AJ118)</f>
        <v>39416.415143092439</v>
      </c>
      <c r="AJ116" s="117">
        <f>Цены!$D$16</f>
        <v>48600</v>
      </c>
      <c r="AK116" s="94">
        <f>AJ116/Цены!$B$1</f>
        <v>636.91345971129215</v>
      </c>
      <c r="AL116" s="95">
        <f t="shared" si="24"/>
        <v>938.38461538461536</v>
      </c>
      <c r="AM116" s="95">
        <f t="shared" si="25"/>
        <v>47661.615384615383</v>
      </c>
      <c r="AN116" s="94">
        <f t="shared" si="39"/>
        <v>40354.799758477056</v>
      </c>
      <c r="AO116" s="118">
        <f t="shared" si="40"/>
        <v>0.16965432595726221</v>
      </c>
      <c r="AP116" s="96">
        <f t="shared" si="26"/>
        <v>1.9308325419436528E-2</v>
      </c>
      <c r="AQ116" s="96">
        <f t="shared" si="27"/>
        <v>1.3610319721430833E-2</v>
      </c>
      <c r="AR116" s="96">
        <f t="shared" si="28"/>
        <v>0.70489384375768505</v>
      </c>
      <c r="AS116" s="122">
        <v>1</v>
      </c>
      <c r="AT116" s="121">
        <f t="shared" si="45"/>
        <v>128551</v>
      </c>
      <c r="AU116" s="83">
        <v>0.95</v>
      </c>
      <c r="AV116" s="119">
        <f t="shared" si="41"/>
        <v>0.16802108759069051</v>
      </c>
      <c r="AW116" s="120">
        <f t="shared" si="42"/>
        <v>2.0941563786008231E-2</v>
      </c>
      <c r="AX116" s="120">
        <f t="shared" si="43"/>
        <v>1.5243558088002533E-2</v>
      </c>
      <c r="AY116" s="120">
        <f t="shared" si="44"/>
        <v>0.72790925471321632</v>
      </c>
      <c r="AZ116" s="15">
        <f>MIN(IF($AU116=100%,1,1+VLOOKUP(($AJ116-$AI116-$AH116-$AG116-$AF116-$AE116*(1+AZ$3))/$AJ116,'Технический лист'!$I:$J,2,1)-VLOOKUP($AO116,'Технический лист'!$I:$J,2,1)),1+(1-$AU116))</f>
        <v>1.0499999999999998</v>
      </c>
      <c r="BA116" s="15">
        <f>MIN(IF($AU116=100%,1,1+VLOOKUP(($AJ116-$AI116-$AH116-$AG116-$AF116-$AE116*(1+BA$3))/$AJ116,'Технический лист'!$I:$J,2,1)-VLOOKUP($AO116,'Технический лист'!$I:$J,2,1)),1+(1-$AU116))</f>
        <v>1.0499999999999998</v>
      </c>
      <c r="BB116" s="15">
        <f>MIN(IF($AU116=100%,1,1+VLOOKUP(($AJ116-$AI116-$AH116-$AG116-$AF116-$AE116*(1+BB$3))/$AJ116,'Технический лист'!$I:$J,2,1)-VLOOKUP($AO116,'Технический лист'!$I:$J,2,1)),1+(1-$AU116))</f>
        <v>1.0499999999999998</v>
      </c>
      <c r="BC116" s="15">
        <f>MIN(IF($AU116=100%,1,1+VLOOKUP(($AJ116-$AI116-$AH116-$AG116-$AF116-$AE116*(1+BC$3))/$AJ116,'Технический лист'!$I:$J,2,1)-VLOOKUP($AO116,'Технический лист'!$I:$J,2,1)),1+(1-$AU116))</f>
        <v>1.0499999999999998</v>
      </c>
      <c r="BD116" s="15">
        <f>MIN(IF($AU116=100%,1,1+VLOOKUP(($AJ116-$AI116-$AH116-$AG116-$AF116-$AE116*(1+BD$3))/$AJ116,'Технический лист'!$I:$J,2,1)-VLOOKUP($AO116,'Технический лист'!$I:$J,2,1)),1+(1-$AU116))</f>
        <v>1.0499999999999998</v>
      </c>
      <c r="BE116" s="15">
        <f>MIN(IF($AU116=100%,1,1+VLOOKUP(($AJ116-$AI116-$AH116-$AG116-$AF116-$AE116*(1+BE$3))/$AJ116,'Технический лист'!$I:$J,2,1)-VLOOKUP($AO116,'Технический лист'!$I:$J,2,1)),1+(1-$AU116))</f>
        <v>1.0499999999999998</v>
      </c>
      <c r="BF116" s="15">
        <f>MIN(IF($AU116=100%,1,1+VLOOKUP(($AJ116-$AI116-$AH116-$AG116-$AF116-$AE116*(1+BF$3))/$AJ116,'Технический лист'!$I:$J,2,1)-VLOOKUP($AO116,'Технический лист'!$I:$J,2,1)),1+(1-$AU116))</f>
        <v>1.0499999999999998</v>
      </c>
      <c r="BG116" s="15">
        <f>MIN(IF($AU116=100%,1,1+VLOOKUP(($AJ116-$AI116-$AH116-$AG116-$AF116-$AE116*(1+BG$3))/$AJ116,'Технический лист'!$I:$J,2,1)-VLOOKUP($AO116,'Технический лист'!$I:$J,2,1)),1+(1-$AU116))</f>
        <v>1.0499999999999998</v>
      </c>
      <c r="BH116" s="15">
        <f>MIN(IF($AU116=100%,1,1+VLOOKUP(($AJ116-$AI116-$AH116-$AG116-$AF116-$AE116*(1+BH$3))/$AJ116,'Технический лист'!$I:$J,2,1)-VLOOKUP($AO116,'Технический лист'!$I:$J,2,1)),1+(1-$AU116))</f>
        <v>1.0499999999999998</v>
      </c>
      <c r="BI116" s="15">
        <f>MIN(IF($AU116=100%,1,1+VLOOKUP(($AJ116-$AI116-$AH116-$AG116-$AF116-$AE116*(1+BI$3))/$AJ116,'Технический лист'!$I:$J,2,1)-VLOOKUP($AO116,'Технический лист'!$I:$J,2,1)),1+(1-$AU116))</f>
        <v>1.0499999999999998</v>
      </c>
      <c r="BJ116" s="15">
        <f>MIN(IF($AU116=100%,1,1+VLOOKUP(($AJ116-$AI116-$AH116-$AG116-$AF116-$AE116*(1+BJ$3))/$AJ116,'Технический лист'!$I:$J,2,1)-VLOOKUP($AO116,'Технический лист'!$I:$J,2,1)),1+(1-$AU116))</f>
        <v>1.0499999999999998</v>
      </c>
      <c r="BK116" s="15">
        <f>MIN(IF($AU116=100%,1,1+VLOOKUP(($AJ116-$AI116-$AH116-$AG116-$AF116-$AE116*(1+BK$3))/$AJ116,'Технический лист'!$I:$J,2,1)-VLOOKUP($AO116,'Технический лист'!$I:$J,2,1)),1+(1-$AU116))</f>
        <v>1.0499999999999998</v>
      </c>
      <c r="BL116" s="15">
        <f>MIN(IF($AU116=100%,1,1+VLOOKUP(($AJ116-$AI116-$AH116-$AG116-$AF116-$AE116*(1+BL$3))/$AJ116,'Технический лист'!$I:$J,2,1)-VLOOKUP($AO116,'Технический лист'!$I:$J,2,1)),1+(1-$AU116))</f>
        <v>1.0499999999999998</v>
      </c>
      <c r="BM116" s="15">
        <f>MIN(IF($AU116=100%,1,1+VLOOKUP(($AJ116-$AI116-$AH116-$AG116-$AF116-$AE116*(1+BM$3))/$AJ116,'Технический лист'!$I:$J,2,1)-VLOOKUP($AO116,'Технический лист'!$I:$J,2,1)),1+(1-$AU116))</f>
        <v>1.0499999999999998</v>
      </c>
      <c r="BN116" s="15">
        <f>MIN(IF($AU116=100%,1,1+VLOOKUP(($AJ116-$AI116-$AH116-$AG116-$AF116-$AE116*(1+BN$3))/$AJ116,'Технический лист'!$I:$J,2,1)-VLOOKUP($AO116,'Технический лист'!$I:$J,2,1)),1+(1-$AU116))</f>
        <v>1.0499999999999998</v>
      </c>
      <c r="BO116" s="15">
        <f>MIN(IF($AU116=100%,1,1+VLOOKUP(($AJ116-$AI116-$AH116-$AG116-$AF116-$AE116*(1+BO$3))/$AJ116,'Технический лист'!$I:$J,2,1)-VLOOKUP($AO116,'Технический лист'!$I:$J,2,1)),1+(1-$AU116))</f>
        <v>1.0499999999999998</v>
      </c>
      <c r="BP116" s="15">
        <f>MIN(IF($AU116=100%,1,1+VLOOKUP(($AJ116-$AI116-$AH116-$AG116-$AF116-$AE116*(1+BP$3))/$AJ116,'Технический лист'!$I:$J,2,1)-VLOOKUP($AO116,'Технический лист'!$I:$J,2,1)),1+(1-$AU116))</f>
        <v>1.0499999999999998</v>
      </c>
      <c r="BQ116" s="15">
        <f>MIN(IF($AU116=100%,1,1+VLOOKUP(($AJ116-$AI116-$AH116-$AG116-$AF116-$AE116*(1+BQ$3))/$AJ116,'Технический лист'!$I:$J,2,1)-VLOOKUP($AO116,'Технический лист'!$I:$J,2,1)),1+(1-$AU116))</f>
        <v>1.0499999999999998</v>
      </c>
      <c r="BR116" s="15">
        <f>MIN(IF($AU116=100%,1,1+VLOOKUP(($AJ116-$AI116-$AH116-$AG116-$AF116-$AE116*(1+BR$3))/$AJ116,'Технический лист'!$I:$J,2,1)-VLOOKUP($AO116,'Технический лист'!$I:$J,2,1)),1+(1-$AU116))</f>
        <v>1.0499999999999998</v>
      </c>
      <c r="BS116" s="15">
        <f>MIN(IF($AU116=100%,1,1+VLOOKUP(($AJ116-$AI116-$AH116-$AG116-$AF116-$AE116*(1+BS$3))/$AJ116,'Технический лист'!$I:$J,2,1)-VLOOKUP($AO116,'Технический лист'!$I:$J,2,1)),1+(1-$AU116))</f>
        <v>1.0499999999999998</v>
      </c>
      <c r="BT116" s="15">
        <f>MIN(IF($AU116=100%,1,1+VLOOKUP(($AJ116-$AI116-$AH116-$AG116-$AF116-$AE116*(1+BT$3))/$AJ116,'Технический лист'!$I:$J,2,1)-VLOOKUP($AO116,'Технический лист'!$I:$J,2,1)),1+(1-$AU116))</f>
        <v>1.0499999999999998</v>
      </c>
      <c r="BU116" s="15">
        <f>MIN(IF($AU116=100%,1,1+VLOOKUP(($AJ116-$AI116-$AH116-$AG116-$AF116-$AE116*(1+BU$3))/$AJ116,'Технический лист'!$I:$J,2,1)-VLOOKUP($AO116,'Технический лист'!$I:$J,2,1)),1+(1-$AU116))</f>
        <v>1.0499999999999998</v>
      </c>
      <c r="BV116" s="15">
        <f>MIN(IF($AU116=100%,1,1+VLOOKUP(($AJ116-$AI116-$AH116-$AG116-$AF116-$AE116*(1+BV$3))/$AJ116,'Технический лист'!$I:$J,2,1)-VLOOKUP($AO116,'Технический лист'!$I:$J,2,1)),1+(1-$AU116))</f>
        <v>1.0499999999999998</v>
      </c>
      <c r="BW116" s="15">
        <f>MIN(IF($AU116=100%,1,1+VLOOKUP(($AJ116-$AI116-$AH116-$AG116-$AF116-$AE116*(1+BW$3))/$AJ116,'Технический лист'!$I:$J,2,1)-VLOOKUP($AO116,'Технический лист'!$I:$J,2,1)),1+(1-$AU116))</f>
        <v>1.0499999999999998</v>
      </c>
      <c r="BX116" s="15">
        <f>MIN(IF($AU116=100%,1,1+VLOOKUP(($AJ116-$AI116-$AH116-$AG116-$AF116-$AE116*(1+BX$3))/$AJ116,'Технический лист'!$I:$J,2,1)-VLOOKUP($AO116,'Технический лист'!$I:$J,2,1)),1+(1-$AU116))</f>
        <v>1.0499999999999998</v>
      </c>
      <c r="BY116" s="15">
        <f>MIN(IF($AU116=100%,1,1+VLOOKUP(($AJ116-$AI116-$AH116-$AG116-$AF116-$AE116*(1+BY$3))/$AJ116,'Технический лист'!$I:$J,2,1)-VLOOKUP($AO116,'Технический лист'!$I:$J,2,1)),1+(1-$AU116))</f>
        <v>1.0499999999999998</v>
      </c>
      <c r="BZ116" s="15">
        <f>MIN(IF($AU116=100%,1,1+VLOOKUP(($AJ116-$AI116-$AH116-$AG116-$AF116-$AE116*(1+BZ$3))/$AJ116,'Технический лист'!$I:$J,2,1)-VLOOKUP($AO116,'Технический лист'!$I:$J,2,1)),1+(1-$AU116))</f>
        <v>1.0499999999999998</v>
      </c>
      <c r="CA116" s="15">
        <f>MIN(IF($AU116=100%,1,1+VLOOKUP(($AJ116-$AI116-$AH116-$AG116-$AF116-$AE116*(1+CA$3))/$AJ116,'Технический лист'!$I:$J,2,1)-VLOOKUP($AO116,'Технический лист'!$I:$J,2,1)),1+(1-$AU116))</f>
        <v>1.0499999999999998</v>
      </c>
      <c r="CB116" s="15">
        <f>MIN(IF($AU116=100%,1,1+VLOOKUP(($AJ116-$AI116-$AH116-$AG116-$AF116-$AE116*(1+CB$3))/$AJ116,'Технический лист'!$I:$J,2,1)-VLOOKUP($AO116,'Технический лист'!$I:$J,2,1)),1+(1-$AU116))</f>
        <v>1.0499999999999998</v>
      </c>
      <c r="CC116" s="15">
        <f>MIN(IF($AU116=100%,1,1+VLOOKUP(($AJ116-$AI116-$AH116-$AG116-$AF116-$AE116*(1+CC$3))/$AJ116,'Технический лист'!$I:$J,2,1)-VLOOKUP($AO116,'Технический лист'!$I:$J,2,1)),1+(1-$AU116))</f>
        <v>1.0499999999999998</v>
      </c>
      <c r="CD116" s="15">
        <f>MIN(IF($AU116=100%,1,1+VLOOKUP(($AJ116-$AI116-$AH116-$AG116-$AF116-$AE116*(1+CD$3))/$AJ116,'Технический лист'!$I:$J,2,1)-VLOOKUP($AO116,'Технический лист'!$I:$J,2,1)),1+(1-$AU116))</f>
        <v>1.0499999999999998</v>
      </c>
      <c r="CE116" s="15">
        <f>MIN(IF($AU116=100%,1,1+VLOOKUP(($AJ116-$AI116-$AH116-$AG116-$AF116-$AE116*(1+CE$3))/$AJ116,'Технический лист'!$I:$J,2,1)-VLOOKUP($AO116,'Технический лист'!$I:$J,2,1)),1+(1-$AU116))</f>
        <v>1.0499999999999998</v>
      </c>
      <c r="CF116" s="15">
        <f>MIN(IF($AU116=100%,1,1+VLOOKUP(($AJ116-$AI116-$AH116-$AG116-$AF116-$AE116*(1+CF$3))/$AJ116,'Технический лист'!$I:$J,2,1)-VLOOKUP($AO116,'Технический лист'!$I:$J,2,1)),1+(1-$AU116))</f>
        <v>1.0499999999999998</v>
      </c>
      <c r="CG116" s="15">
        <f>MIN(IF($AU116=100%,1,1+VLOOKUP(($AJ116-$AI116-$AH116-$AG116-$AF116-$AE116*(1+CG$3))/$AJ116,'Технический лист'!$I:$J,2,1)-VLOOKUP($AO116,'Технический лист'!$I:$J,2,1)),1+(1-$AU116))</f>
        <v>1.0499999999999998</v>
      </c>
      <c r="CH116" s="15">
        <f>MIN(IF($AU116=100%,1,1+VLOOKUP(($AJ116-$AI116-$AH116-$AG116-$AF116-$AE116*(1+CH$3))/$AJ116,'Технический лист'!$I:$J,2,1)-VLOOKUP($AO116,'Технический лист'!$I:$J,2,1)),1+(1-$AU116))</f>
        <v>1.0499999999999998</v>
      </c>
      <c r="CI116" s="15">
        <f>MIN(IF($AU116=100%,1,1+VLOOKUP(($AJ116-$AI116-$AH116-$AG116-$AF116-$AE116*(1+CI$3))/$AJ116,'Технический лист'!$I:$J,2,1)-VLOOKUP($AO116,'Технический лист'!$I:$J,2,1)),1+(1-$AU116))</f>
        <v>1.0499999999999998</v>
      </c>
      <c r="CJ116" s="15">
        <f>MIN(IF($AU116=100%,1,1+VLOOKUP(($AJ116-$AI116-$AH116-$AG116-$AF116-$AE116*(1+CJ$3))/$AJ116,'Технический лист'!$I:$J,2,1)-VLOOKUP($AO116,'Технический лист'!$I:$J,2,1)),1+(1-$AU116))</f>
        <v>1.0499999999999998</v>
      </c>
      <c r="CK116" s="15">
        <f>MIN(IF($AU116=100%,1,1+VLOOKUP(($AJ116-$AI116-$AH116-$AG116-$AF116-$AE116*(1+CK$3))/$AJ116,'Технический лист'!$I:$J,2,1)-VLOOKUP($AO116,'Технический лист'!$I:$J,2,1)),1+(1-$AU116))</f>
        <v>1.0499999999999998</v>
      </c>
      <c r="CL116" s="15">
        <f>MIN(IF($AU116=100%,1,1+VLOOKUP(($AJ116-$AI116-$AH116-$AG116-$AF116-$AE116*(1+CL$3))/$AJ116,'Технический лист'!$I:$J,2,1)-VLOOKUP($AO116,'Технический лист'!$I:$J,2,1)),1+(1-$AU116))</f>
        <v>1.0499999999999998</v>
      </c>
      <c r="CM116" s="15">
        <f>MIN(IF($AU116=100%,1,1+VLOOKUP(($AJ116-$AI116-$AH116-$AG116-$AF116-$AE116*(1+CM$3))/$AJ116,'Технический лист'!$I:$J,2,1)-VLOOKUP($AO116,'Технический лист'!$I:$J,2,1)),1+(1-$AU116))</f>
        <v>1.0499999999999998</v>
      </c>
      <c r="CN116" s="15">
        <f>MIN(IF($AU116=100%,1,1+VLOOKUP(($AJ116-$AI116-$AH116-$AG116-$AF116-$AE116*(1+CN$3))/$AJ116,'Технический лист'!$I:$J,2,1)-VLOOKUP($AO116,'Технический лист'!$I:$J,2,1)),1+(1-$AU116))</f>
        <v>1.0499999999999998</v>
      </c>
      <c r="CO116" s="15">
        <f>MIN(IF($AU116=100%,1,1+VLOOKUP(($AJ116-$AI116-$AH116-$AG116-$AF116-$AE116*(1+CO$3))/$AJ116,'Технический лист'!$I:$J,2,1)-VLOOKUP($AO116,'Технический лист'!$I:$J,2,1)),1+(1-$AU116))</f>
        <v>1.0499999999999998</v>
      </c>
      <c r="CP116" s="15">
        <f>MIN(IF($AU116=100%,1,1+VLOOKUP(($AJ116-$AI116-$AH116-$AG116-$AF116-$AE116*(1+CP$3))/$AJ116,'Технический лист'!$I:$J,2,1)-VLOOKUP($AO116,'Технический лист'!$I:$J,2,1)),1+(1-$AU116))</f>
        <v>1.0499999999999998</v>
      </c>
      <c r="CQ116" s="15">
        <f>MIN(IF($AU116=100%,1,1+VLOOKUP(($AJ116-$AI116-$AH116-$AG116-$AF116-$AE116*(1+CQ$3))/$AJ116,'Технический лист'!$I:$J,2,1)-VLOOKUP($AO116,'Технический лист'!$I:$J,2,1)),1+(1-$AU116))</f>
        <v>1.0499999999999998</v>
      </c>
      <c r="CR116" s="15">
        <f>MIN(IF($AU116=100%,1,1+VLOOKUP(($AJ116-$AI116-$AH116-$AG116-$AF116-$AE116*(1+CR$3))/$AJ116,'Технический лист'!$I:$J,2,1)-VLOOKUP($AO116,'Технический лист'!$I:$J,2,1)),1+(1-$AU116))</f>
        <v>1.0499999999999998</v>
      </c>
      <c r="CS116" s="15">
        <f>MIN(IF($AU116=100%,1,1+VLOOKUP(($AJ116-$AI116-$AH116-$AG116-$AF116-$AE116*(1+CS$3))/$AJ116,'Технический лист'!$I:$J,2,1)-VLOOKUP($AO116,'Технический лист'!$I:$J,2,1)),1+(1-$AU116))</f>
        <v>1.0499999999999998</v>
      </c>
      <c r="CT116" s="15">
        <f>MIN(IF($AU116=100%,1,1+VLOOKUP(($AJ116-$AI116-$AH116-$AG116-$AF116-$AE116*(1+CT$3))/$AJ116,'Технический лист'!$I:$J,2,1)-VLOOKUP($AO116,'Технический лист'!$I:$J,2,1)),1+(1-$AU116))</f>
        <v>1.0499999999999998</v>
      </c>
      <c r="CU116" s="15">
        <f>MIN(IF($AU116=100%,1,1+VLOOKUP(($AJ116-$AI116-$AH116-$AG116-$AF116-$AE116*(1+CU$3))/$AJ116,'Технический лист'!$I:$J,2,1)-VLOOKUP($AO116,'Технический лист'!$I:$J,2,1)),1+(1-$AU116))</f>
        <v>1.0499999999999998</v>
      </c>
      <c r="CV116" s="15">
        <f>MIN(IF($AU116=100%,1,1+VLOOKUP(($AJ116-$AI116-$AH116-$AG116-$AF116-$AE116*(1+CV$3))/$AJ116,'Технический лист'!$I:$J,2,1)-VLOOKUP($AO116,'Технический лист'!$I:$J,2,1)),1+(1-$AU116))</f>
        <v>1.0499999999999998</v>
      </c>
      <c r="CW116" s="15">
        <f>MIN(IF($AU116=100%,1,1+VLOOKUP(($AJ116-$AI116-$AH116-$AG116-$AF116-$AE116*(1+CW$3))/$AJ116,'Технический лист'!$I:$J,2,1)-VLOOKUP($AO116,'Технический лист'!$I:$J,2,1)),1+(1-$AU116))</f>
        <v>1.0499999999999998</v>
      </c>
      <c r="CX116" s="15">
        <f>MIN(IF($AU116=100%,1,1+VLOOKUP(($AJ116-$AI116-$AH116-$AG116-$AF116-$AE116*(1+CX$3))/$AJ116,'Технический лист'!$I:$J,2,1)-VLOOKUP($AO116,'Технический лист'!$I:$J,2,1)),1+(1-$AU116))</f>
        <v>1.0499999999999998</v>
      </c>
      <c r="CY116" s="15">
        <f>MIN(IF($AU116=100%,1,1+VLOOKUP(($AJ116-$AI116-$AH116-$AG116-$AF116-$AE116*(1+CY$3))/$AJ116,'Технический лист'!$I:$J,2,1)-VLOOKUP($AO116,'Технический лист'!$I:$J,2,1)),1+(1-$AU116))</f>
        <v>1.0499999999999998</v>
      </c>
      <c r="CZ116" s="15">
        <f>MIN(IF($AU116=100%,1,1+VLOOKUP(($AJ116-$AI116-$AH116-$AG116-$AF116-$AE116*(1+CZ$3))/$AJ116,'Технический лист'!$I:$J,2,1)-VLOOKUP($AO116,'Технический лист'!$I:$J,2,1)),1+(1-$AU116))</f>
        <v>1.0499999999999998</v>
      </c>
      <c r="DA116" s="15">
        <f>MIN(IF($AU116=100%,1,1+VLOOKUP(($AJ116-$AI116-$AH116-$AG116-$AF116-$AE116*(1+DA$3))/$AJ116,'Технический лист'!$I:$J,2,1)-VLOOKUP($AO116,'Технический лист'!$I:$J,2,1)),1+(1-$AU116))</f>
        <v>1.0499999999999998</v>
      </c>
      <c r="DB116" s="15">
        <f>MIN(IF($AU116=100%,1,1+VLOOKUP(($AJ116-$AI116-$AH116-$AG116-$AF116-$AE116*(1+DB$3))/$AJ116,'Технический лист'!$I:$J,2,1)-VLOOKUP($AO116,'Технический лист'!$I:$J,2,1)),1+(1-$AU116))</f>
        <v>1.0499999999999998</v>
      </c>
      <c r="DC116" s="15">
        <f>MIN(IF($AU116=100%,1,1+VLOOKUP(($AJ116-$AI116-$AH116-$AG116-$AF116-$AE116*(1+DC$3))/$AJ116,'Технический лист'!$I:$J,2,1)-VLOOKUP($AO116,'Технический лист'!$I:$J,2,1)),1+(1-$AU116))</f>
        <v>1.0499999999999998</v>
      </c>
      <c r="DD116" s="15">
        <f>MIN(IF($AU116=100%,1,1+VLOOKUP(($AJ116-$AI116-$AH116-$AG116-$AF116-$AE116*(1+DD$3))/$AJ116,'Технический лист'!$I:$J,2,1)-VLOOKUP($AO116,'Технический лист'!$I:$J,2,1)),1+(1-$AU116))</f>
        <v>1.0499999999999998</v>
      </c>
      <c r="DE116" s="15">
        <f>MIN(IF($AU116=100%,1,1+VLOOKUP(($AJ116-$AI116-$AH116-$AG116-$AF116-$AE116*(1+DE$3))/$AJ116,'Технический лист'!$I:$J,2,1)-VLOOKUP($AO116,'Технический лист'!$I:$J,2,1)),1+(1-$AU116))</f>
        <v>1.0499999999999998</v>
      </c>
      <c r="DF116" s="15">
        <f>MIN(IF($AU116=100%,1,1+VLOOKUP(($AJ116-$AI116-$AH116-$AG116-$AF116-$AE116*(1+DF$3))/$AJ116,'Технический лист'!$I:$J,2,1)-VLOOKUP($AO116,'Технический лист'!$I:$J,2,1)),1+(1-$AU116))</f>
        <v>1.0499999999999998</v>
      </c>
      <c r="DG116" s="15">
        <f>MIN(IF($AU116=100%,1,1+VLOOKUP(($AJ116-$AI116-$AH116-$AG116-$AF116-$AE116*(1+DG$3))/$AJ116,'Технический лист'!$I:$J,2,1)-VLOOKUP($AO116,'Технический лист'!$I:$J,2,1)),1+(1-$AU116))</f>
        <v>1.0499999999999998</v>
      </c>
      <c r="DH116" s="15">
        <f>MIN(IF($AU116=100%,1,1+VLOOKUP(($AJ116-$AI116-$AH116-$AG116-$AF116-$AE116*(1+DH$3))/$AJ116,'Технический лист'!$I:$J,2,1)-VLOOKUP($AO116,'Технический лист'!$I:$J,2,1)),1+(1-$AU116))</f>
        <v>1.0499999999999998</v>
      </c>
      <c r="DI116" s="15">
        <f>MIN(IF($AU116=100%,1,1+VLOOKUP(($AJ116-$AI116-$AH116-$AG116-$AF116-$AE116*(1+DI$3))/$AJ116,'Технический лист'!$I:$J,2,1)-VLOOKUP($AO116,'Технический лист'!$I:$J,2,1)),1+(1-$AU116))</f>
        <v>1.0499999999999998</v>
      </c>
      <c r="DJ116" s="15">
        <f>MIN(IF($AU116=100%,1,1+VLOOKUP(($AJ116-$AI116-$AH116-$AG116-$AF116-$AE116*(1+DJ$3))/$AJ116,'Технический лист'!$I:$J,2,1)-VLOOKUP($AO116,'Технический лист'!$I:$J,2,1)),1+(1-$AU116))</f>
        <v>1.0499999999999998</v>
      </c>
      <c r="DK116" s="15">
        <f>MIN(IF($AU116=100%,1,1+VLOOKUP(($AJ116-$AI116-$AH116-$AG116-$AF116-$AE116*(1+DK$3))/$AJ116,'Технический лист'!$I:$J,2,1)-VLOOKUP($AO116,'Технический лист'!$I:$J,2,1)),1+(1-$AU116))</f>
        <v>1.0499999999999998</v>
      </c>
      <c r="DL116" s="15">
        <f>MIN(IF($AU116=100%,1,1+VLOOKUP(($AJ116-$AI116-$AH116-$AG116-$AF116-$AE116*(1+DL$3))/$AJ116,'Технический лист'!$I:$J,2,1)-VLOOKUP($AO116,'Технический лист'!$I:$J,2,1)),1+(1-$AU116))</f>
        <v>1.0499999999999998</v>
      </c>
      <c r="DM116" s="15">
        <f>MIN(IF($AU116=100%,1,1+VLOOKUP(($AJ116-$AI116-$AH116-$AG116-$AF116-$AE116*(1+DM$3))/$AJ116,'Технический лист'!$I:$J,2,1)-VLOOKUP($AO116,'Технический лист'!$I:$J,2,1)),1+(1-$AU116))</f>
        <v>1.0499999999999998</v>
      </c>
      <c r="DN116" s="15">
        <f>MIN(IF($AU116=100%,1,1+VLOOKUP(($AJ116-$AI116-$AH116-$AG116-$AF116-$AE116*(1+DN$3))/$AJ116,'Технический лист'!$I:$J,2,1)-VLOOKUP($AO116,'Технический лист'!$I:$J,2,1)),1+(1-$AU116))</f>
        <v>1.0499999999999998</v>
      </c>
      <c r="DO116" s="15">
        <f>MIN(IF($AU116=100%,1,1+VLOOKUP(($AJ116-$AI116-$AH116-$AG116-$AF116-$AE116*(1+DO$3))/$AJ116,'Технический лист'!$I:$J,2,1)-VLOOKUP($AO116,'Технический лист'!$I:$J,2,1)),1+(1-$AU116))</f>
        <v>1.0499999999999998</v>
      </c>
      <c r="DP116" s="15">
        <f>MIN(IF($AU116=100%,1,1+VLOOKUP(($AJ116-$AI116-$AH116-$AG116-$AF116-$AE116*(1+DP$3))/$AJ116,'Технический лист'!$I:$J,2,1)-VLOOKUP($AO116,'Технический лист'!$I:$J,2,1)),1+(1-$AU116))</f>
        <v>1.0499999999999998</v>
      </c>
      <c r="DQ116" s="15">
        <f>MIN(IF($AU116=100%,1,1+VLOOKUP(($AJ116-$AI116-$AH116-$AG116-$AF116-$AE116*(1+DQ$3))/$AJ116,'Технический лист'!$I:$J,2,1)-VLOOKUP($AO116,'Технический лист'!$I:$J,2,1)),1+(1-$AU116))</f>
        <v>1.0499999999999998</v>
      </c>
      <c r="DR116" s="15">
        <f>MIN(IF($AU116=100%,1,1+VLOOKUP(($AJ116-$AI116-$AH116-$AG116-$AF116-$AE116*(1+DR$3))/$AJ116,'Технический лист'!$I:$J,2,1)-VLOOKUP($AO116,'Технический лист'!$I:$J,2,1)),1+(1-$AU116))</f>
        <v>1.0499999999999998</v>
      </c>
      <c r="DS116" s="15">
        <f>MIN(IF($AU116=100%,1,1+VLOOKUP(($AJ116-$AI116-$AH116-$AG116-$AF116-$AE116*(1+DS$3))/$AJ116,'Технический лист'!$I:$J,2,1)-VLOOKUP($AO116,'Технический лист'!$I:$J,2,1)),1+(1-$AU116))</f>
        <v>1.0499999999999998</v>
      </c>
      <c r="DT116" s="15">
        <f>MIN(IF($AU116=100%,1,1+VLOOKUP(($AJ116-$AI116-$AH116-$AG116-$AF116-$AE116*(1+DT$3))/$AJ116,'Технический лист'!$I:$J,2,1)-VLOOKUP($AO116,'Технический лист'!$I:$J,2,1)),1+(1-$AU116))</f>
        <v>1.0499999999999998</v>
      </c>
      <c r="DU116" s="15">
        <f>MIN(IF($AU116=100%,1,1+VLOOKUP(($AJ116-$AI116-$AH116-$AG116-$AF116-$AE116*(1+DU$3))/$AJ116,'Технический лист'!$I:$J,2,1)-VLOOKUP($AO116,'Технический лист'!$I:$J,2,1)),1+(1-$AU116))</f>
        <v>1.0499999999999998</v>
      </c>
      <c r="DV116" s="15">
        <f>MIN(IF($AU116=100%,1,1+VLOOKUP(($AJ116-$AI116-$AH116-$AG116-$AF116-$AE116*(1+DV$3))/$AJ116,'Технический лист'!$I:$J,2,1)-VLOOKUP($AO116,'Технический лист'!$I:$J,2,1)),1+(1-$AU116))</f>
        <v>1.0499999999999998</v>
      </c>
      <c r="DW116" s="15">
        <f>MIN(IF($AU116=100%,1,1+VLOOKUP(($AJ116-$AI116-$AH116-$AG116-$AF116-$AE116*(1+DW$3))/$AJ116,'Технический лист'!$I:$J,2,1)-VLOOKUP($AO116,'Технический лист'!$I:$J,2,1)),1+(1-$AU116))</f>
        <v>1.0499999999999998</v>
      </c>
      <c r="DX116" s="15">
        <f>MIN(IF($AU116=100%,1,1+VLOOKUP(($AJ116-$AI116-$AH116-$AG116-$AF116-$AE116*(1+DX$3))/$AJ116,'Технический лист'!$I:$J,2,1)-VLOOKUP($AO116,'Технический лист'!$I:$J,2,1)),1+(1-$AU116))</f>
        <v>1.0499999999999998</v>
      </c>
      <c r="DY116" s="15">
        <f>MIN(IF($AU116=100%,1,1+VLOOKUP(($AJ116-$AI116-$AH116-$AG116-$AF116-$AE116*(1+DY$3))/$AJ116,'Технический лист'!$I:$J,2,1)-VLOOKUP($AO116,'Технический лист'!$I:$J,2,1)),1+(1-$AU116))</f>
        <v>1.0499999999999998</v>
      </c>
      <c r="DZ116" s="15">
        <f>MIN(IF($AU116=100%,1,1+VLOOKUP(($AJ116-$AI116-$AH116-$AG116-$AF116-$AE116*(1+DZ$3))/$AJ116,'Технический лист'!$I:$J,2,1)-VLOOKUP($AO116,'Технический лист'!$I:$J,2,1)),1+(1-$AU116))</f>
        <v>1.0499999999999998</v>
      </c>
      <c r="EA116" s="15">
        <f>MIN(IF($AU116=100%,1,1+VLOOKUP(($AJ116-$AI116-$AH116-$AG116-$AF116-$AE116*(1+EA$3))/$AJ116,'Технический лист'!$I:$J,2,1)-VLOOKUP($AO116,'Технический лист'!$I:$J,2,1)),1+(1-$AU116))</f>
        <v>1.0499999999999998</v>
      </c>
      <c r="EB116" s="15">
        <f>MIN(IF($AU116=100%,1,1+VLOOKUP(($AJ116-$AI116-$AH116-$AG116-$AF116-$AE116*(1+EB$3))/$AJ116,'Технический лист'!$I:$J,2,1)-VLOOKUP($AO116,'Технический лист'!$I:$J,2,1)),1+(1-$AU116))</f>
        <v>1.0499999999999998</v>
      </c>
      <c r="EC116" s="15">
        <f>MIN(IF($AU116=100%,1,1+VLOOKUP(($AJ116-$AI116-$AH116-$AG116-$AF116-$AE116*(1+EC$3))/$AJ116,'Технический лист'!$I:$J,2,1)-VLOOKUP($AO116,'Технический лист'!$I:$J,2,1)),1+(1-$AU116))</f>
        <v>1.0499999999999998</v>
      </c>
      <c r="ED116" s="15">
        <f>MIN(IF($AU116=100%,1,1+VLOOKUP(($AJ116-$AI116-$AH116-$AG116-$AF116-$AE116*(1+ED$3))/$AJ116,'Технический лист'!$I:$J,2,1)-VLOOKUP($AO116,'Технический лист'!$I:$J,2,1)),1+(1-$AU116))</f>
        <v>1.0499999999999998</v>
      </c>
      <c r="EE116" s="15">
        <f>MIN(IF($AU116=100%,1,1+VLOOKUP(($AJ116-$AI116-$AH116-$AG116-$AF116-$AE116*(1+EE$3))/$AJ116,'Технический лист'!$I:$J,2,1)-VLOOKUP($AO116,'Технический лист'!$I:$J,2,1)),1+(1-$AU116))</f>
        <v>1.0499999999999998</v>
      </c>
      <c r="EF116" s="15">
        <f>MIN(IF($AU116=100%,1,1+VLOOKUP(($AJ116-$AI116-$AH116-$AG116-$AF116-$AE116*(1+EF$3))/$AJ116,'Технический лист'!$I:$J,2,1)-VLOOKUP($AO116,'Технический лист'!$I:$J,2,1)),1+(1-$AU116))</f>
        <v>1.0499999999999998</v>
      </c>
      <c r="EG116" s="15">
        <f>MIN(IF($AU116=100%,1,1+VLOOKUP(($AJ116-$AI116-$AH116-$AG116-$AF116-$AE116*(1+EG$3))/$AJ116,'Технический лист'!$I:$J,2,1)-VLOOKUP($AO116,'Технический лист'!$I:$J,2,1)),1+(1-$AU116))</f>
        <v>1.0499999999999998</v>
      </c>
      <c r="EH116" s="15">
        <f>MIN(IF($AU116=100%,1,1+VLOOKUP(($AJ116-$AI116-$AH116-$AG116-$AF116-$AE116*(1+EH$3))/$AJ116,'Технический лист'!$I:$J,2,1)-VLOOKUP($AO116,'Технический лист'!$I:$J,2,1)),1+(1-$AU116))</f>
        <v>1.0499999999999998</v>
      </c>
      <c r="EI116" s="15">
        <f>MIN(IF($AU116=100%,1,1+VLOOKUP(($AJ116-$AI116-$AH116-$AG116-$AF116-$AE116*(1+EI$3))/$AJ116,'Технический лист'!$I:$J,2,1)-VLOOKUP($AO116,'Технический лист'!$I:$J,2,1)),1+(1-$AU116))</f>
        <v>1.0499999999999998</v>
      </c>
      <c r="EJ116" s="15">
        <f>MIN(IF($AU116=100%,1,1+VLOOKUP(($AJ116-$AI116-$AH116-$AG116-$AF116-$AE116*(1+EJ$3))/$AJ116,'Технический лист'!$I:$J,2,1)-VLOOKUP($AO116,'Технический лист'!$I:$J,2,1)),1+(1-$AU116))</f>
        <v>1.0499999999999998</v>
      </c>
      <c r="EK116" s="15">
        <f>MIN(IF($AU116=100%,1,1+VLOOKUP(($AJ116-$AI116-$AH116-$AG116-$AF116-$AE116*(1+EK$3))/$AJ116,'Технический лист'!$I:$J,2,1)-VLOOKUP($AO116,'Технический лист'!$I:$J,2,1)),1+(1-$AU116))</f>
        <v>1.0499999999999998</v>
      </c>
      <c r="EL116" s="15">
        <f>MIN(IF($AU116=100%,1,1+VLOOKUP(($AJ116-$AI116-$AH116-$AG116-$AF116-$AE116*(1+EL$3))/$AJ116,'Технический лист'!$I:$J,2,1)-VLOOKUP($AO116,'Технический лист'!$I:$J,2,1)),1+(1-$AU116))</f>
        <v>1.0499999999999998</v>
      </c>
      <c r="EM116" s="15">
        <f>MIN(IF($AU116=100%,1,1+VLOOKUP(($AJ116-$AI116-$AH116-$AG116-$AF116-$AE116*(1+EM$3))/$AJ116,'Технический лист'!$I:$J,2,1)-VLOOKUP($AO116,'Технический лист'!$I:$J,2,1)),1+(1-$AU116))</f>
        <v>1.0499999999999998</v>
      </c>
      <c r="EN116" s="15">
        <f>MIN(IF($AU116=100%,1,1+VLOOKUP(($AJ116-$AI116-$AH116-$AG116-$AF116-$AE116*(1+EN$3))/$AJ116,'Технический лист'!$I:$J,2,1)-VLOOKUP($AO116,'Технический лист'!$I:$J,2,1)),1+(1-$AU116))</f>
        <v>1.0499999999999998</v>
      </c>
      <c r="EO116" s="15">
        <f>MIN(IF($AU116=100%,1,1+VLOOKUP(($AJ116-$AI116-$AH116-$AG116-$AF116-$AE116*(1+EO$3))/$AJ116,'Технический лист'!$I:$J,2,1)-VLOOKUP($AO116,'Технический лист'!$I:$J,2,1)),1+(1-$AU116))</f>
        <v>1.0499999999999998</v>
      </c>
      <c r="EP116" s="15">
        <f>MIN(IF($AU116=100%,1,1+VLOOKUP(($AJ116-$AI116-$AH116-$AG116-$AF116-$AE116*(1+EP$3))/$AJ116,'Технический лист'!$I:$J,2,1)-VLOOKUP($AO116,'Технический лист'!$I:$J,2,1)),1+(1-$AU116))</f>
        <v>1.0499999999999998</v>
      </c>
      <c r="EQ116" s="15">
        <f>MIN(IF($AU116=100%,1,1+VLOOKUP(($AJ116-$AI116-$AH116-$AG116-$AF116-$AE116*(1+EQ$3))/$AJ116,'Технический лист'!$I:$J,2,1)-VLOOKUP($AO116,'Технический лист'!$I:$J,2,1)),1+(1-$AU116))</f>
        <v>1</v>
      </c>
      <c r="ER116" s="15">
        <f>MIN(IF($AU116=100%,1,1+VLOOKUP(($AJ116-$AI116-$AH116-$AG116-$AF116-$AE116*(1+ER$3))/$AJ116,'Технический лист'!$I:$J,2,1)-VLOOKUP($AO116,'Технический лист'!$I:$J,2,1)),1+(1-$AU116))</f>
        <v>1</v>
      </c>
      <c r="ES116" s="15">
        <f>MIN(IF($AU116=100%,1,1+VLOOKUP(($AJ116-$AI116-$AH116-$AG116-$AF116-$AE116*(1+ES$3))/$AJ116,'Технический лист'!$I:$J,2,1)-VLOOKUP($AO116,'Технический лист'!$I:$J,2,1)),1+(1-$AU116))</f>
        <v>1</v>
      </c>
      <c r="ET116" s="15">
        <f>MIN(IF($AU116=100%,1,1+VLOOKUP(($AJ116-$AI116-$AH116-$AG116-$AF116-$AE116*(1+ET$3))/$AJ116,'Технический лист'!$I:$J,2,1)-VLOOKUP($AO116,'Технический лист'!$I:$J,2,1)),1+(1-$AU116))</f>
        <v>1</v>
      </c>
      <c r="EU116" s="15">
        <f>MIN(IF($AU116=100%,1,1+VLOOKUP(($AJ116-$AI116-$AH116-$AG116-$AF116-$AE116*(1+EU$3))/$AJ116,'Технический лист'!$I:$J,2,1)-VLOOKUP($AO116,'Технический лист'!$I:$J,2,1)),1+(1-$AU116))</f>
        <v>1</v>
      </c>
      <c r="EV116" s="111">
        <v>1</v>
      </c>
      <c r="EW116" s="15">
        <f>MIN(1,MAX(VLOOKUP(($AJ116-$AI116-$AH116-$AG116-$AF116-$AE116*(1+EW$3))/$AJ116,'Технический лист'!$A:$B,2,1),(EV116-0.05)))</f>
        <v>1</v>
      </c>
      <c r="EX116" s="15">
        <f>MIN(1,MAX(VLOOKUP(($AJ116-$AI116-$AH116-$AG116-$AF116-$AE116*(1+EX$3))/$AJ116,'Технический лист'!$A:$B,2,1),(EW116-0.05)))</f>
        <v>1</v>
      </c>
      <c r="EY116" s="15">
        <f>MIN(1,MAX(VLOOKUP(($AJ116-$AI116-$AH116-$AG116-$AF116-$AE116*(1+EY$3))/$AJ116,'Технический лист'!$A:$B,2,1),(EX116-0.05)))</f>
        <v>1</v>
      </c>
      <c r="EZ116" s="15">
        <f>MIN(1,MAX(VLOOKUP(($AJ116-$AI116-$AH116-$AG116-$AF116-$AE116*(1+EZ$3))/$AJ116,'Технический лист'!$A:$B,2,1),(EY116-0.05)))</f>
        <v>1</v>
      </c>
      <c r="FA116" s="15">
        <f>MIN(1,MAX(VLOOKUP(($AJ116-$AI116-$AH116-$AG116-$AF116-$AE116*(1+FA$3))/$AJ116,'Технический лист'!$A:$B,2,1),(EZ116-0.05)))</f>
        <v>1</v>
      </c>
      <c r="FB116" s="15">
        <f>MIN(1,MAX(VLOOKUP(($AJ116-$AI116-$AH116-$AG116-$AF116-$AE116*(1+FB$3))/$AJ116,'Технический лист'!$A:$B,2,1),(FA116-0.05)))</f>
        <v>1</v>
      </c>
      <c r="FC116" s="15">
        <f>MIN(1,MAX(VLOOKUP(($AJ116-$AI116-$AH116-$AG116-$AF116-$AE116*(1+FC$3))/$AJ116,'Технический лист'!$A:$B,2,1),(FB116-0.05)))</f>
        <v>1</v>
      </c>
      <c r="FD116" s="15">
        <f>MIN(1,MAX(VLOOKUP(($AJ116-$AI116-$AH116-$AG116-$AF116-$AE116*(1+FD$3))/$AJ116,'Технический лист'!$A:$B,2,1),(FC116-0.05)))</f>
        <v>1</v>
      </c>
      <c r="FE116" s="15">
        <f>MIN(1,MAX(VLOOKUP(($AJ116-$AI116-$AH116-$AG116-$AF116-$AE116*(1+FE$3))/$AJ116,'Технический лист'!$A:$B,2,1),(FD116-0.05)))</f>
        <v>1</v>
      </c>
      <c r="FF116" s="15">
        <f>MIN(1,MAX(VLOOKUP(($AJ116-$AI116-$AH116-$AG116-$AF116-$AE116*(1+FF$3))/$AJ116,'Технический лист'!$A:$B,2,1),(FE116-0.05)))</f>
        <v>1</v>
      </c>
      <c r="FG116" s="15">
        <f>MIN(1,MAX(VLOOKUP(($AJ116-$AI116-$AH116-$AG116-$AF116-$AE116*(1+FG$3))/$AJ116,'Технический лист'!$A:$B,2,1),(FF116-0.05)))</f>
        <v>1</v>
      </c>
      <c r="FH116" s="15">
        <f>MIN(1,MAX(VLOOKUP(($AJ116-$AI116-$AH116-$AG116-$AF116-$AE116*(1+FH$3))/$AJ116,'Технический лист'!$A:$B,2,1),(FG116-0.05)))</f>
        <v>1</v>
      </c>
      <c r="FI116" s="15">
        <f>MIN(1,MAX(VLOOKUP(($AJ116-$AI116-$AH116-$AG116-$AF116-$AE116*(1+FI$3))/$AJ116,'Технический лист'!$A:$B,2,1),(FH116-0.05)))</f>
        <v>1</v>
      </c>
      <c r="FJ116" s="15">
        <f>MIN(1,MAX(VLOOKUP(($AJ116-$AI116-$AH116-$AG116-$AF116-$AE116*(1+FJ$3))/$AJ116,'Технический лист'!$A:$B,2,1),(FI116-0.05)))</f>
        <v>1</v>
      </c>
      <c r="FK116" s="15">
        <f>MIN(1,MAX(VLOOKUP(($AJ116-$AI116-$AH116-$AG116-$AF116-$AE116*(1+FK$3))/$AJ116,'Технический лист'!$A:$B,2,1),(FJ116-0.05)))</f>
        <v>1</v>
      </c>
      <c r="FL116" s="15">
        <f>MIN(1,MAX(VLOOKUP(($AJ116-$AI116-$AH116-$AG116-$AF116-$AE116*(1+FL$3))/$AJ116,'Технический лист'!$A:$B,2,1),(FK116-0.05)))</f>
        <v>1</v>
      </c>
      <c r="FM116" s="15">
        <f>MIN(1,MAX(VLOOKUP(($AJ116-$AI116-$AH116-$AG116-$AF116-$AE116*(1+FM$3))/$AJ116,'Технический лист'!$A:$B,2,1),(FL116-0.05)))</f>
        <v>1</v>
      </c>
      <c r="FN116" s="15">
        <f>MIN(1,MAX(VLOOKUP(($AJ116-$AI116-$AH116-$AG116-$AF116-$AE116*(1+FN$3))/$AJ116,'Технический лист'!$A:$B,2,1),(FM116-0.05)))</f>
        <v>1</v>
      </c>
      <c r="FO116" s="15">
        <f>MIN(1,MAX(VLOOKUP(($AJ116-$AI116-$AH116-$AG116-$AF116-$AE116*(1+FO$3))/$AJ116,'Технический лист'!$A:$B,2,1),(FN116-0.05)))</f>
        <v>1</v>
      </c>
      <c r="FP116" s="15">
        <f>MIN(1,MAX(VLOOKUP(($AJ116-$AI116-$AH116-$AG116-$AF116-$AE116*(1+FP$3))/$AJ116,'Технический лист'!$A:$B,2,1),(FO116-0.05)))</f>
        <v>1</v>
      </c>
      <c r="FQ116" s="15">
        <f>MIN(1,MAX(VLOOKUP(($AJ116-$AI116-$AH116-$AG116-$AF116-$AE116*(1+FQ$3))/$AJ116,'Технический лист'!$A:$B,2,1),(FP116-0.05)))</f>
        <v>1</v>
      </c>
      <c r="FR116" s="15">
        <f>MIN(1,MAX(VLOOKUP(($AJ116-$AI116-$AH116-$AG116-$AF116-$AE116*(1+FR$3))/$AJ116,'Технический лист'!$A:$B,2,1),(FQ116-0.05)))</f>
        <v>1</v>
      </c>
      <c r="FS116" s="15">
        <f>MIN(1,MAX(VLOOKUP(($AJ116-$AI116-$AH116-$AG116-$AF116-$AE116*(1+FS$3))/$AJ116,'Технический лист'!$A:$B,2,1),(FR116-0.05)))</f>
        <v>1</v>
      </c>
      <c r="FT116" s="15">
        <f>MIN(1,MAX(VLOOKUP(($AJ116-$AI116-$AH116-$AG116-$AF116-$AE116*(1+FT$3))/$AJ116,'Технический лист'!$A:$B,2,1),(FS116-0.05)))</f>
        <v>1</v>
      </c>
      <c r="FU116" s="15">
        <f>MIN(1,MAX(VLOOKUP(($AJ116-$AI116-$AH116-$AG116-$AF116-$AE116*(1+FU$3))/$AJ116,'Технический лист'!$A:$B,2,1),(FT116-0.05)))</f>
        <v>1</v>
      </c>
      <c r="FV116" s="15">
        <f>MIN(1,MAX(VLOOKUP(($AJ116-$AI116-$AH116-$AG116-$AF116-$AE116*(1+FV$3))/$AJ116,'Технический лист'!$A:$B,2,1),(FU116-0.05)))</f>
        <v>1</v>
      </c>
      <c r="FW116" s="15">
        <f>MIN(1,MAX(VLOOKUP(($AJ116-$AI116-$AH116-$AG116-$AF116-$AE116*(1+FW$3))/$AJ116,'Технический лист'!$A:$B,2,1),(FV116-0.05)))</f>
        <v>1</v>
      </c>
      <c r="FX116" s="15">
        <f>MIN(1,MAX(VLOOKUP(($AJ116-$AI116-$AH116-$AG116-$AF116-$AE116*(1+FX$3))/$AJ116,'Технический лист'!$A:$B,2,1),(FW116-0.05)))</f>
        <v>1</v>
      </c>
      <c r="FY116" s="15">
        <f>MIN(1,MAX(VLOOKUP(($AJ116-$AI116-$AH116-$AG116-$AF116-$AE116*(1+FY$3))/$AJ116,'Технический лист'!$A:$B,2,1),(FX116-0.05)))</f>
        <v>1</v>
      </c>
      <c r="FZ116" s="15">
        <f>MIN(1,MAX(VLOOKUP(($AJ116-$AI116-$AH116-$AG116-$AF116-$AE116*(1+FZ$3))/$AJ116,'Технический лист'!$A:$B,2,1),(FY116-0.05)))</f>
        <v>1</v>
      </c>
      <c r="GA116" s="15">
        <f>MIN(1,MAX(VLOOKUP(($AJ116-$AI116-$AH116-$AG116-$AF116-$AE116*(1+GA$3))/$AJ116,'Технический лист'!$A:$B,2,1),(FZ116-0.05)))</f>
        <v>1</v>
      </c>
      <c r="GB116" s="15">
        <f>MIN(1,MAX(VLOOKUP(($AJ116-$AI116-$AH116-$AG116-$AF116-$AE116*(1+GB$3))/$AJ116,'Технический лист'!$A:$B,2,1),(GA116-0.05)))</f>
        <v>1</v>
      </c>
      <c r="GC116" s="15">
        <f>MIN(1,MAX(VLOOKUP(($AJ116-$AI116-$AH116-$AG116-$AF116-$AE116*(1+GC$3))/$AJ116,'Технический лист'!$A:$B,2,1),(GB116-0.05)))</f>
        <v>1</v>
      </c>
      <c r="GD116" s="15">
        <f>MIN(1,MAX(VLOOKUP(($AJ116-$AI116-$AH116-$AG116-$AF116-$AE116*(1+GD$3))/$AJ116,'Технический лист'!$A:$B,2,1),(GC116-0.05)))</f>
        <v>1</v>
      </c>
      <c r="GE116" s="15">
        <f>MIN(1,MAX(VLOOKUP(($AJ116-$AI116-$AH116-$AG116-$AF116-$AE116*(1+GE$3))/$AJ116,'Технический лист'!$A:$B,2,1),(GD116-0.05)))</f>
        <v>1</v>
      </c>
      <c r="GF116" s="15">
        <f>MIN(1,MAX(VLOOKUP(($AJ116-$AI116-$AH116-$AG116-$AF116-$AE116*(1+GF$3))/$AJ116,'Технический лист'!$A:$B,2,1),(GE116-0.05)))</f>
        <v>1</v>
      </c>
      <c r="GG116" s="15">
        <f>MIN(1,MAX(VLOOKUP(($AJ116-$AI116-$AH116-$AG116-$AF116-$AE116*(1+GG$3))/$AJ116,'Технический лист'!$A:$B,2,1),(GF116-0.05)))</f>
        <v>1</v>
      </c>
      <c r="GH116" s="15">
        <f>MIN(1,MAX(VLOOKUP(($AJ116-$AI116-$AH116-$AG116-$AF116-$AE116*(1+GH$3))/$AJ116,'Технический лист'!$A:$B,2,1),(GG116-0.05)))</f>
        <v>1</v>
      </c>
      <c r="GI116" s="15">
        <f>MIN(1,MAX(VLOOKUP(($AJ116-$AI116-$AH116-$AG116-$AF116-$AE116*(1+GI$3))/$AJ116,'Технический лист'!$A:$B,2,1),(GH116-0.05)))</f>
        <v>1</v>
      </c>
      <c r="GJ116" s="15">
        <f>MIN(1,MAX(VLOOKUP(($AJ116-$AI116-$AH116-$AG116-$AF116-$AE116*(1+GJ$3))/$AJ116,'Технический лист'!$A:$B,2,1),(GI116-0.05)))</f>
        <v>1</v>
      </c>
      <c r="GK116" s="15">
        <f>MIN(1,MAX(VLOOKUP(($AJ116-$AI116-$AH116-$AG116-$AF116-$AE116*(1+GK$3))/$AJ116,'Технический лист'!$A:$B,2,1),(GJ116-0.05)))</f>
        <v>1</v>
      </c>
      <c r="GL116" s="15">
        <f>MIN(1,MAX(VLOOKUP(($AJ116-$AI116-$AH116-$AG116-$AF116-$AE116*(1+GL$3))/$AJ116,'Технический лист'!$A:$B,2,1),(GK116-0.05)))</f>
        <v>1</v>
      </c>
      <c r="GM116" s="15">
        <f>MIN(1,MAX(VLOOKUP(($AJ116-$AI116-$AH116-$AG116-$AF116-$AE116*(1+GM$3))/$AJ116,'Технический лист'!$A:$B,2,1),(GL116-0.05)))</f>
        <v>1</v>
      </c>
      <c r="GN116" s="15">
        <f>MIN(1,MAX(VLOOKUP(($AJ116-$AI116-$AH116-$AG116-$AF116-$AE116*(1+GN$3))/$AJ116,'Технический лист'!$A:$B,2,1),(GM116-0.05)))</f>
        <v>1</v>
      </c>
      <c r="GO116" s="15">
        <f>MIN(1,MAX(VLOOKUP(($AJ116-$AI116-$AH116-$AG116-$AF116-$AE116*(1+GO$3))/$AJ116,'Технический лист'!$A:$B,2,1),(GN116-0.05)))</f>
        <v>1</v>
      </c>
      <c r="GP116" s="15">
        <f>MIN(1,MAX(VLOOKUP(($AJ116-$AI116-$AH116-$AG116-$AF116-$AE116*(1+GP$3))/$AJ116,'Технический лист'!$A:$B,2,1),(GO116-0.05)))</f>
        <v>1</v>
      </c>
      <c r="GQ116" s="15">
        <f>MIN(1,MAX(VLOOKUP(($AJ116-$AI116-$AH116-$AG116-$AF116-$AE116*(1+GQ$3))/$AJ116,'Технический лист'!$A:$B,2,1),(GP116-0.05)))</f>
        <v>1</v>
      </c>
      <c r="GR116" s="15">
        <f>MIN(1,MAX(VLOOKUP(($AJ116-$AI116-$AH116-$AG116-$AF116-$AE116*(1+GR$3))/$AJ116,'Технический лист'!$A:$B,2,1),(GQ116-0.05)))</f>
        <v>1</v>
      </c>
      <c r="GS116" s="15">
        <f>MIN(1,MAX(VLOOKUP(($AJ116-$AI116-$AH116-$AG116-$AF116-$AE116*(1+GS$3))/$AJ116,'Технический лист'!$A:$B,2,1),(GR116-0.05)))</f>
        <v>1</v>
      </c>
      <c r="GT116" s="15">
        <f>MIN(1,MAX(VLOOKUP(($AJ116-$AI116-$AH116-$AG116-$AF116-$AE116*(1+GT$3))/$AJ116,'Технический лист'!$A:$B,2,1),(GS116-0.05)))</f>
        <v>1</v>
      </c>
      <c r="GU116" s="15">
        <f>MIN(1,MAX(VLOOKUP(($AJ116-$AI116-$AH116-$AG116-$AF116-$AE116*(1+GU$3))/$AJ116,'Технический лист'!$A:$B,2,1),(GT116-0.05)))</f>
        <v>1</v>
      </c>
      <c r="GV116" s="15">
        <f>MIN(1,MAX(VLOOKUP(($AJ116-$AI116-$AH116-$AG116-$AF116-$AE116*(1+GV$3))/$AJ116,'Технический лист'!$A:$B,2,1),(GU116-0.05)))</f>
        <v>1</v>
      </c>
      <c r="GW116" s="15">
        <f>MIN(1,MAX(VLOOKUP(($AJ116-$AI116-$AH116-$AG116-$AF116-$AE116*(1+GW$3))/$AJ116,'Технический лист'!$A:$B,2,1),(GV116-0.05)))</f>
        <v>1</v>
      </c>
      <c r="GX116" s="15">
        <f>MIN(1,MAX(VLOOKUP(($AJ116-$AI116-$AH116-$AG116-$AF116-$AE116*(1+GX$3))/$AJ116,'Технический лист'!$A:$B,2,1),(GW116-0.05)))</f>
        <v>1</v>
      </c>
      <c r="GY116" s="15">
        <f>MIN(1,MAX(VLOOKUP(($AJ116-$AI116-$AH116-$AG116-$AF116-$AE116*(1+GY$3))/$AJ116,'Технический лист'!$A:$B,2,1),(GX116-0.05)))</f>
        <v>1</v>
      </c>
      <c r="GZ116" s="15">
        <f>MIN(1,MAX(VLOOKUP(($AJ116-$AI116-$AH116-$AG116-$AF116-$AE116*(1+GZ$3))/$AJ116,'Технический лист'!$A:$B,2,1),(GY116-0.05)))</f>
        <v>1</v>
      </c>
      <c r="HA116" s="15">
        <f>MIN(1,MAX(VLOOKUP(($AJ116-$AI116-$AH116-$AG116-$AF116-$AE116*(1+HA$3))/$AJ116,'Технический лист'!$A:$B,2,1),(GZ116-0.05)))</f>
        <v>1</v>
      </c>
      <c r="HB116" s="15">
        <f>MIN(1,MAX(VLOOKUP(($AJ116-$AI116-$AH116-$AG116-$AF116-$AE116*(1+HB$3))/$AJ116,'Технический лист'!$A:$B,2,1),(HA116-0.05)))</f>
        <v>1</v>
      </c>
      <c r="HC116" s="15">
        <f>MIN(1,MAX(VLOOKUP(($AJ116-$AI116-$AH116-$AG116-$AF116-$AE116*(1+HC$3))/$AJ116,'Технический лист'!$A:$B,2,1),(HB116-0.05)))</f>
        <v>1</v>
      </c>
      <c r="HD116" s="15">
        <f>MIN(1,MAX(VLOOKUP(($AJ116-$AI116-$AH116-$AG116-$AF116-$AE116*(1+HD$3))/$AJ116,'Технический лист'!$A:$B,2,1),(HC116-0.05)))</f>
        <v>1</v>
      </c>
      <c r="HE116" s="15">
        <f>MIN(1,MAX(VLOOKUP(($AJ116-$AI116-$AH116-$AG116-$AF116-$AE116*(1+HE$3))/$AJ116,'Технический лист'!$A:$B,2,1),(HD116-0.05)))</f>
        <v>1</v>
      </c>
      <c r="HF116" s="15">
        <f>MIN(1,MAX(VLOOKUP(($AJ116-$AI116-$AH116-$AG116-$AF116-$AE116*(1+HF$3))/$AJ116,'Технический лист'!$A:$B,2,1),(HE116-0.05)))</f>
        <v>1</v>
      </c>
      <c r="HG116" s="15">
        <f>MIN(1,MAX(VLOOKUP(($AJ116-$AI116-$AH116-$AG116-$AF116-$AE116*(1+HG$3))/$AJ116,'Технический лист'!$A:$B,2,1),(HF116-0.05)))</f>
        <v>1</v>
      </c>
      <c r="HH116" s="15">
        <f>MIN(1,MAX(VLOOKUP(($AJ116-$AI116-$AH116-$AG116-$AF116-$AE116*(1+HH$3))/$AJ116,'Технический лист'!$A:$B,2,1),(HG116-0.05)))</f>
        <v>1</v>
      </c>
      <c r="HI116" s="15">
        <f>MIN(1,MAX(VLOOKUP(($AJ116-$AI116-$AH116-$AG116-$AF116-$AE116*(1+HI$3))/$AJ116,'Технический лист'!$A:$B,2,1),(HH116-0.05)))</f>
        <v>1</v>
      </c>
      <c r="HJ116" s="15">
        <f>MIN(1,MAX(VLOOKUP(($AJ116-$AI116-$AH116-$AG116-$AF116-$AE116*(1+HJ$3))/$AJ116,'Технический лист'!$A:$B,2,1),(HI116-0.05)))</f>
        <v>1</v>
      </c>
      <c r="HK116" s="15">
        <f>MIN(1,MAX(VLOOKUP(($AJ116-$AI116-$AH116-$AG116-$AF116-$AE116*(1+HK$3))/$AJ116,'Технический лист'!$A:$B,2,1),(HJ116-0.05)))</f>
        <v>1</v>
      </c>
      <c r="HL116" s="15">
        <f>MIN(1,MAX(VLOOKUP(($AJ116-$AI116-$AH116-$AG116-$AF116-$AE116*(1+HL$3))/$AJ116,'Технический лист'!$A:$B,2,1),(HK116-0.05)))</f>
        <v>1</v>
      </c>
      <c r="HM116" s="15">
        <f>MIN(1,MAX(VLOOKUP(($AJ116-$AI116-$AH116-$AG116-$AF116-$AE116*(1+HM$3))/$AJ116,'Технический лист'!$A:$B,2,1),(HL116-0.05)))</f>
        <v>1</v>
      </c>
      <c r="HN116" s="15">
        <f>MIN(1,MAX(VLOOKUP(($AJ116-$AI116-$AH116-$AG116-$AF116-$AE116*(1+HN$3))/$AJ116,'Технический лист'!$A:$B,2,1),(HM116-0.05)))</f>
        <v>1</v>
      </c>
      <c r="HO116" s="15">
        <f>MIN(1,MAX(VLOOKUP(($AJ116-$AI116-$AH116-$AG116-$AF116-$AE116*(1+HO$3))/$AJ116,'Технический лист'!$A:$B,2,1),(HN116-0.05)))</f>
        <v>1</v>
      </c>
      <c r="HP116" s="15">
        <f>MIN(1,MAX(VLOOKUP(($AJ116-$AI116-$AH116-$AG116-$AF116-$AE116*(1+HP$3))/$AJ116,'Технический лист'!$A:$B,2,1),(HO116-0.05)))</f>
        <v>1</v>
      </c>
      <c r="HQ116" s="15">
        <f>MIN(1,MAX(VLOOKUP(($AJ116-$AI116-$AH116-$AG116-$AF116-$AE116*(1+HQ$3))/$AJ116,'Технический лист'!$A:$B,2,1),(HP116-0.05)))</f>
        <v>1</v>
      </c>
      <c r="HR116" s="15">
        <f>MIN(1,MAX(VLOOKUP(($AJ116-$AI116-$AH116-$AG116-$AF116-$AE116*(1+HR$3))/$AJ116,'Технический лист'!$A:$B,2,1),(HQ116-0.05)))</f>
        <v>1</v>
      </c>
      <c r="HS116" s="15">
        <f>MIN(1,MAX(VLOOKUP(($AJ116-$AI116-$AH116-$AG116-$AF116-$AE116*(1+HS$3))/$AJ116,'Технический лист'!$A:$B,2,1),(HR116-0.05)))</f>
        <v>1</v>
      </c>
      <c r="HT116" s="15">
        <f>MIN(1,MAX(VLOOKUP(($AJ116-$AI116-$AH116-$AG116-$AF116-$AE116*(1+HT$3))/$AJ116,'Технический лист'!$A:$B,2,1),(HS116-0.05)))</f>
        <v>1</v>
      </c>
      <c r="HU116" s="15">
        <f>MIN(1,MAX(VLOOKUP(($AJ116-$AI116-$AH116-$AG116-$AF116-$AE116*(1+HU$3))/$AJ116,'Технический лист'!$A:$B,2,1),(HT116-0.05)))</f>
        <v>1</v>
      </c>
      <c r="HV116" s="15">
        <f>MIN(1,MAX(VLOOKUP(($AJ116-$AI116-$AH116-$AG116-$AF116-$AE116*(1+HV$3))/$AJ116,'Технический лист'!$A:$B,2,1),(HU116-0.05)))</f>
        <v>1</v>
      </c>
      <c r="HW116" s="15">
        <f>MIN(1,MAX(VLOOKUP(($AJ116-$AI116-$AH116-$AG116-$AF116-$AE116*(1+HW$3))/$AJ116,'Технический лист'!$A:$B,2,1),(HV116-0.05)))</f>
        <v>1</v>
      </c>
      <c r="HX116" s="15">
        <f>MIN(1,MAX(VLOOKUP(($AJ116-$AI116-$AH116-$AG116-$AF116-$AE116*(1+HX$3))/$AJ116,'Технический лист'!$A:$B,2,1),(HW116-0.05)))</f>
        <v>1</v>
      </c>
      <c r="HY116" s="15">
        <f>MIN(1,MAX(VLOOKUP(($AJ116-$AI116-$AH116-$AG116-$AF116-$AE116*(1+HY$3))/$AJ116,'Технический лист'!$A:$B,2,1),(HX116-0.05)))</f>
        <v>1</v>
      </c>
      <c r="HZ116" s="15">
        <f>MIN(1,MAX(VLOOKUP(($AJ116-$AI116-$AH116-$AG116-$AF116-$AE116*(1+HZ$3))/$AJ116,'Технический лист'!$A:$B,2,1),(HY116-0.05)))</f>
        <v>1</v>
      </c>
      <c r="IA116" s="15">
        <f>MIN(1,MAX(VLOOKUP(($AJ116-$AI116-$AH116-$AG116-$AF116-$AE116*(1+IA$3))/$AJ116,'Технический лист'!$A:$B,2,1),(HZ116-0.05)))</f>
        <v>1</v>
      </c>
      <c r="IB116" s="15">
        <f>MIN(1,MAX(VLOOKUP(($AJ116-$AI116-$AH116-$AG116-$AF116-$AE116*(1+IB$3))/$AJ116,'Технический лист'!$A:$B,2,1),(IA116-0.05)))</f>
        <v>1</v>
      </c>
      <c r="IC116" s="15">
        <f>MIN(1,MAX(VLOOKUP(($AJ116-$AI116-$AH116-$AG116-$AF116-$AE116*(1+IC$3))/$AJ116,'Технический лист'!$A:$B,2,1),(IB116-0.05)))</f>
        <v>1</v>
      </c>
      <c r="ID116" s="15">
        <f>MIN(1,MAX(VLOOKUP(($AJ116-$AI116-$AH116-$AG116-$AF116-$AE116*(1+ID$3))/$AJ116,'Технический лист'!$A:$B,2,1),(IC116-0.05)))</f>
        <v>1</v>
      </c>
      <c r="IE116" s="15">
        <f>MIN(1,MAX(VLOOKUP(($AJ116-$AI116-$AH116-$AG116-$AF116-$AE116*(1+IE$3))/$AJ116,'Технический лист'!$A:$B,2,1),(ID116-0.05)))</f>
        <v>1</v>
      </c>
      <c r="IF116" s="15">
        <f>MIN(1,MAX(VLOOKUP(($AJ116-$AI116-$AH116-$AG116-$AF116-$AE116*(1+IF$3))/$AJ116,'Технический лист'!$A:$B,2,1),(IE116-0.05)))</f>
        <v>1</v>
      </c>
      <c r="IG116" s="15">
        <f>MIN(1,MAX(VLOOKUP(($AJ116-$AI116-$AH116-$AG116-$AF116-$AE116*(1+IG$3))/$AJ116,'Технический лист'!$A:$B,2,1),(IF116-0.05)))</f>
        <v>1</v>
      </c>
      <c r="IH116" s="15">
        <f>MIN(1,MAX(VLOOKUP(($AJ116-$AI116-$AH116-$AG116-$AF116-$AE116*(1+IH$3))/$AJ116,'Технический лист'!$A:$B,2,1),(IG116-0.05)))</f>
        <v>1</v>
      </c>
      <c r="II116" s="15">
        <f>MIN(1,MAX(VLOOKUP(($AJ116-$AI116-$AH116-$AG116-$AF116-$AE116*(1+II$3))/$AJ116,'Технический лист'!$A:$B,2,1),(IH116-0.05)))</f>
        <v>1</v>
      </c>
      <c r="IJ116" s="15">
        <f>MIN(1,MAX(VLOOKUP(($AJ116-$AI116-$AH116-$AG116-$AF116-$AE116*(1+IJ$3))/$AJ116,'Технический лист'!$A:$B,2,1),(II116-0.05)))</f>
        <v>1</v>
      </c>
      <c r="IK116" s="15">
        <f>MIN(1,MAX(VLOOKUP(($AJ116-$AI116-$AH116-$AG116-$AF116-$AE116*(1+IK$3))/$AJ116,'Технический лист'!$A:$B,2,1),(IJ116-0.05)))</f>
        <v>1</v>
      </c>
      <c r="IL116" s="15">
        <f>MIN(1,MAX(VLOOKUP(($AJ116-$AI116-$AH116-$AG116-$AF116-$AE116*(1+IL$3))/$AJ116,'Технический лист'!$A:$B,2,1),(IK116-0.05)))</f>
        <v>1</v>
      </c>
      <c r="IM116" s="15">
        <f>MIN(1,MAX(VLOOKUP(($AJ116-$AI116-$AH116-$AG116-$AF116-$AE116*(1+IM$3))/$AJ116,'Технический лист'!$A:$B,2,1),(IL116-0.05)))</f>
        <v>1</v>
      </c>
      <c r="IN116" s="15">
        <f>MIN(1,MAX(VLOOKUP(($AJ116-$AI116-$AH116-$AG116-$AF116-$AE116*(1+IN$3))/$AJ116,'Технический лист'!$A:$B,2,1),(IM116-0.05)))</f>
        <v>1</v>
      </c>
      <c r="IO116" s="15">
        <f>MIN(1,MAX(VLOOKUP(($AJ116-$AI116-$AH116-$AG116-$AF116-$AE116*(1+IO$3))/$AJ116,'Технический лист'!$A:$B,2,1),(IN116-0.05)))</f>
        <v>1</v>
      </c>
      <c r="IP116" s="15">
        <f>MIN(1,MAX(VLOOKUP(($AJ116-$AI116-$AH116-$AG116-$AF116-$AE116*(1+IP$3))/$AJ116,'Технический лист'!$A:$B,2,1),(IO116-0.05)))</f>
        <v>1</v>
      </c>
      <c r="IQ116" s="15">
        <f>MIN(1,MAX(VLOOKUP(($AJ116-$AI116-$AH116-$AG116-$AF116-$AE116*(1+IQ$3))/$AJ116,'Технический лист'!$A:$B,2,1),(IP116-0.05)))</f>
        <v>1</v>
      </c>
      <c r="IR116" s="15">
        <f>MIN(1,MAX(VLOOKUP(($AJ116-$AI116-$AH116-$AG116-$AF116-$AE116*(1+IR$3))/$AJ116,'Технический лист'!$A:$B,2,1),(IQ116-0.05)))</f>
        <v>1</v>
      </c>
    </row>
    <row r="117" spans="1:252" ht="43.75">
      <c r="A117" s="89" t="s">
        <v>515</v>
      </c>
      <c r="B117" s="90">
        <v>5</v>
      </c>
      <c r="C117" s="5" t="s">
        <v>68</v>
      </c>
      <c r="D117" s="91">
        <v>32416</v>
      </c>
      <c r="E117" s="91" t="s">
        <v>352</v>
      </c>
      <c r="F117" s="92" t="s">
        <v>75</v>
      </c>
      <c r="G117" s="91" t="s">
        <v>28</v>
      </c>
      <c r="H117" s="91" t="s">
        <v>19</v>
      </c>
      <c r="I117" s="91" t="s">
        <v>105</v>
      </c>
      <c r="J117" s="91" t="s">
        <v>117</v>
      </c>
      <c r="K117" s="91">
        <v>4113</v>
      </c>
      <c r="L117" s="77" t="s">
        <v>189</v>
      </c>
      <c r="M117" s="91" t="s">
        <v>190</v>
      </c>
      <c r="N117" s="91" t="s">
        <v>48</v>
      </c>
      <c r="O117" s="91" t="s">
        <v>194</v>
      </c>
      <c r="P117" s="89" t="s">
        <v>246</v>
      </c>
      <c r="Q117" s="91" t="s">
        <v>282</v>
      </c>
      <c r="R117" s="91" t="s">
        <v>257</v>
      </c>
      <c r="S117" s="82">
        <v>7435</v>
      </c>
      <c r="T117" s="82">
        <v>30582179</v>
      </c>
      <c r="U117" s="81">
        <v>137</v>
      </c>
      <c r="V117" s="81">
        <v>274</v>
      </c>
      <c r="W117" s="82">
        <v>20409778</v>
      </c>
      <c r="X117" s="112">
        <v>52</v>
      </c>
      <c r="Y117" s="112" t="s">
        <v>48</v>
      </c>
      <c r="Z117" s="113">
        <v>13</v>
      </c>
      <c r="AA117" s="113">
        <v>0</v>
      </c>
      <c r="AB117" s="113">
        <v>4</v>
      </c>
      <c r="AC117" s="99">
        <f>174096/X117</f>
        <v>3348</v>
      </c>
      <c r="AD117" s="99">
        <v>0</v>
      </c>
      <c r="AE117" s="99">
        <f t="shared" si="47"/>
        <v>3348</v>
      </c>
      <c r="AF117" s="98">
        <f>(AB117+AA117+Z117)*'Ставки аренды'!$B$6/X117</f>
        <v>523.07692307692309</v>
      </c>
      <c r="AG117" s="114">
        <v>0</v>
      </c>
      <c r="AH117" s="94">
        <v>0</v>
      </c>
      <c r="AI117" s="116">
        <f>539714289/604384772*AVERAGE(AJ116,AJ118)</f>
        <v>39416.415143092439</v>
      </c>
      <c r="AJ117" s="117">
        <f>Цены!$D$16</f>
        <v>48600</v>
      </c>
      <c r="AK117" s="94">
        <f>AJ117/Цены!$B$1</f>
        <v>636.91345971129215</v>
      </c>
      <c r="AL117" s="95">
        <f t="shared" si="24"/>
        <v>3871.0769230769229</v>
      </c>
      <c r="AM117" s="95">
        <f t="shared" si="25"/>
        <v>44728.923076923078</v>
      </c>
      <c r="AN117" s="94">
        <f t="shared" si="39"/>
        <v>43287.492066169361</v>
      </c>
      <c r="AO117" s="118">
        <f t="shared" si="40"/>
        <v>0.10931086283602137</v>
      </c>
      <c r="AP117" s="96">
        <f t="shared" si="26"/>
        <v>7.9651788540677421E-2</v>
      </c>
      <c r="AQ117" s="96">
        <f t="shared" si="27"/>
        <v>6.8888888888888888E-2</v>
      </c>
      <c r="AR117" s="96">
        <f t="shared" si="28"/>
        <v>0.86487560607264924</v>
      </c>
      <c r="AS117" s="122">
        <v>1</v>
      </c>
      <c r="AT117" s="121">
        <f t="shared" si="45"/>
        <v>7435</v>
      </c>
      <c r="AU117" s="83">
        <v>0.95</v>
      </c>
      <c r="AV117" s="119">
        <f t="shared" si="41"/>
        <v>0.10104419616935466</v>
      </c>
      <c r="AW117" s="120">
        <f t="shared" si="42"/>
        <v>8.7918455207344093E-2</v>
      </c>
      <c r="AX117" s="120">
        <f t="shared" si="43"/>
        <v>7.7155555555555561E-2</v>
      </c>
      <c r="AY117" s="120">
        <f t="shared" si="44"/>
        <v>0.87758088303069415</v>
      </c>
      <c r="AZ117" s="15">
        <f>MIN(IF($AU117=100%,1,1+VLOOKUP(($AJ117-$AI117-$AH117-$AG117-$AF117-$AE117*(1+AZ$3))/$AJ117,'Технический лист'!$I:$J,2,1)-VLOOKUP($AO117,'Технический лист'!$I:$J,2,1)),1+(1-$AU117))</f>
        <v>1.05</v>
      </c>
      <c r="BA117" s="15">
        <f>MIN(IF($AU117=100%,1,1+VLOOKUP(($AJ117-$AI117-$AH117-$AG117-$AF117-$AE117*(1+BA$3))/$AJ117,'Технический лист'!$I:$J,2,1)-VLOOKUP($AO117,'Технический лист'!$I:$J,2,1)),1+(1-$AU117))</f>
        <v>1.05</v>
      </c>
      <c r="BB117" s="15">
        <f>MIN(IF($AU117=100%,1,1+VLOOKUP(($AJ117-$AI117-$AH117-$AG117-$AF117-$AE117*(1+BB$3))/$AJ117,'Технический лист'!$I:$J,2,1)-VLOOKUP($AO117,'Технический лист'!$I:$J,2,1)),1+(1-$AU117))</f>
        <v>1.05</v>
      </c>
      <c r="BC117" s="15">
        <f>MIN(IF($AU117=100%,1,1+VLOOKUP(($AJ117-$AI117-$AH117-$AG117-$AF117-$AE117*(1+BC$3))/$AJ117,'Технический лист'!$I:$J,2,1)-VLOOKUP($AO117,'Технический лист'!$I:$J,2,1)),1+(1-$AU117))</f>
        <v>1.05</v>
      </c>
      <c r="BD117" s="15">
        <f>MIN(IF($AU117=100%,1,1+VLOOKUP(($AJ117-$AI117-$AH117-$AG117-$AF117-$AE117*(1+BD$3))/$AJ117,'Технический лист'!$I:$J,2,1)-VLOOKUP($AO117,'Технический лист'!$I:$J,2,1)),1+(1-$AU117))</f>
        <v>1.05</v>
      </c>
      <c r="BE117" s="15">
        <f>MIN(IF($AU117=100%,1,1+VLOOKUP(($AJ117-$AI117-$AH117-$AG117-$AF117-$AE117*(1+BE$3))/$AJ117,'Технический лист'!$I:$J,2,1)-VLOOKUP($AO117,'Технический лист'!$I:$J,2,1)),1+(1-$AU117))</f>
        <v>1.05</v>
      </c>
      <c r="BF117" s="15">
        <f>MIN(IF($AU117=100%,1,1+VLOOKUP(($AJ117-$AI117-$AH117-$AG117-$AF117-$AE117*(1+BF$3))/$AJ117,'Технический лист'!$I:$J,2,1)-VLOOKUP($AO117,'Технический лист'!$I:$J,2,1)),1+(1-$AU117))</f>
        <v>1.05</v>
      </c>
      <c r="BG117" s="15">
        <f>MIN(IF($AU117=100%,1,1+VLOOKUP(($AJ117-$AI117-$AH117-$AG117-$AF117-$AE117*(1+BG$3))/$AJ117,'Технический лист'!$I:$J,2,1)-VLOOKUP($AO117,'Технический лист'!$I:$J,2,1)),1+(1-$AU117))</f>
        <v>1.05</v>
      </c>
      <c r="BH117" s="15">
        <f>MIN(IF($AU117=100%,1,1+VLOOKUP(($AJ117-$AI117-$AH117-$AG117-$AF117-$AE117*(1+BH$3))/$AJ117,'Технический лист'!$I:$J,2,1)-VLOOKUP($AO117,'Технический лист'!$I:$J,2,1)),1+(1-$AU117))</f>
        <v>1.05</v>
      </c>
      <c r="BI117" s="15">
        <f>MIN(IF($AU117=100%,1,1+VLOOKUP(($AJ117-$AI117-$AH117-$AG117-$AF117-$AE117*(1+BI$3))/$AJ117,'Технический лист'!$I:$J,2,1)-VLOOKUP($AO117,'Технический лист'!$I:$J,2,1)),1+(1-$AU117))</f>
        <v>1.05</v>
      </c>
      <c r="BJ117" s="15">
        <f>MIN(IF($AU117=100%,1,1+VLOOKUP(($AJ117-$AI117-$AH117-$AG117-$AF117-$AE117*(1+BJ$3))/$AJ117,'Технический лист'!$I:$J,2,1)-VLOOKUP($AO117,'Технический лист'!$I:$J,2,1)),1+(1-$AU117))</f>
        <v>1.05</v>
      </c>
      <c r="BK117" s="15">
        <f>MIN(IF($AU117=100%,1,1+VLOOKUP(($AJ117-$AI117-$AH117-$AG117-$AF117-$AE117*(1+BK$3))/$AJ117,'Технический лист'!$I:$J,2,1)-VLOOKUP($AO117,'Технический лист'!$I:$J,2,1)),1+(1-$AU117))</f>
        <v>1.05</v>
      </c>
      <c r="BL117" s="15">
        <f>MIN(IF($AU117=100%,1,1+VLOOKUP(($AJ117-$AI117-$AH117-$AG117-$AF117-$AE117*(1+BL$3))/$AJ117,'Технический лист'!$I:$J,2,1)-VLOOKUP($AO117,'Технический лист'!$I:$J,2,1)),1+(1-$AU117))</f>
        <v>1.05</v>
      </c>
      <c r="BM117" s="15">
        <f>MIN(IF($AU117=100%,1,1+VLOOKUP(($AJ117-$AI117-$AH117-$AG117-$AF117-$AE117*(1+BM$3))/$AJ117,'Технический лист'!$I:$J,2,1)-VLOOKUP($AO117,'Технический лист'!$I:$J,2,1)),1+(1-$AU117))</f>
        <v>1.05</v>
      </c>
      <c r="BN117" s="15">
        <f>MIN(IF($AU117=100%,1,1+VLOOKUP(($AJ117-$AI117-$AH117-$AG117-$AF117-$AE117*(1+BN$3))/$AJ117,'Технический лист'!$I:$J,2,1)-VLOOKUP($AO117,'Технический лист'!$I:$J,2,1)),1+(1-$AU117))</f>
        <v>1.05</v>
      </c>
      <c r="BO117" s="15">
        <f>MIN(IF($AU117=100%,1,1+VLOOKUP(($AJ117-$AI117-$AH117-$AG117-$AF117-$AE117*(1+BO$3))/$AJ117,'Технический лист'!$I:$J,2,1)-VLOOKUP($AO117,'Технический лист'!$I:$J,2,1)),1+(1-$AU117))</f>
        <v>1.05</v>
      </c>
      <c r="BP117" s="15">
        <f>MIN(IF($AU117=100%,1,1+VLOOKUP(($AJ117-$AI117-$AH117-$AG117-$AF117-$AE117*(1+BP$3))/$AJ117,'Технический лист'!$I:$J,2,1)-VLOOKUP($AO117,'Технический лист'!$I:$J,2,1)),1+(1-$AU117))</f>
        <v>1.05</v>
      </c>
      <c r="BQ117" s="15">
        <f>MIN(IF($AU117=100%,1,1+VLOOKUP(($AJ117-$AI117-$AH117-$AG117-$AF117-$AE117*(1+BQ$3))/$AJ117,'Технический лист'!$I:$J,2,1)-VLOOKUP($AO117,'Технический лист'!$I:$J,2,1)),1+(1-$AU117))</f>
        <v>1.05</v>
      </c>
      <c r="BR117" s="15">
        <f>MIN(IF($AU117=100%,1,1+VLOOKUP(($AJ117-$AI117-$AH117-$AG117-$AF117-$AE117*(1+BR$3))/$AJ117,'Технический лист'!$I:$J,2,1)-VLOOKUP($AO117,'Технический лист'!$I:$J,2,1)),1+(1-$AU117))</f>
        <v>1.05</v>
      </c>
      <c r="BS117" s="15">
        <f>MIN(IF($AU117=100%,1,1+VLOOKUP(($AJ117-$AI117-$AH117-$AG117-$AF117-$AE117*(1+BS$3))/$AJ117,'Технический лист'!$I:$J,2,1)-VLOOKUP($AO117,'Технический лист'!$I:$J,2,1)),1+(1-$AU117))</f>
        <v>1.05</v>
      </c>
      <c r="BT117" s="15">
        <f>MIN(IF($AU117=100%,1,1+VLOOKUP(($AJ117-$AI117-$AH117-$AG117-$AF117-$AE117*(1+BT$3))/$AJ117,'Технический лист'!$I:$J,2,1)-VLOOKUP($AO117,'Технический лист'!$I:$J,2,1)),1+(1-$AU117))</f>
        <v>1.05</v>
      </c>
      <c r="BU117" s="15">
        <f>MIN(IF($AU117=100%,1,1+VLOOKUP(($AJ117-$AI117-$AH117-$AG117-$AF117-$AE117*(1+BU$3))/$AJ117,'Технический лист'!$I:$J,2,1)-VLOOKUP($AO117,'Технический лист'!$I:$J,2,1)),1+(1-$AU117))</f>
        <v>1.05</v>
      </c>
      <c r="BV117" s="15">
        <f>MIN(IF($AU117=100%,1,1+VLOOKUP(($AJ117-$AI117-$AH117-$AG117-$AF117-$AE117*(1+BV$3))/$AJ117,'Технический лист'!$I:$J,2,1)-VLOOKUP($AO117,'Технический лист'!$I:$J,2,1)),1+(1-$AU117))</f>
        <v>1.05</v>
      </c>
      <c r="BW117" s="15">
        <f>MIN(IF($AU117=100%,1,1+VLOOKUP(($AJ117-$AI117-$AH117-$AG117-$AF117-$AE117*(1+BW$3))/$AJ117,'Технический лист'!$I:$J,2,1)-VLOOKUP($AO117,'Технический лист'!$I:$J,2,1)),1+(1-$AU117))</f>
        <v>1.05</v>
      </c>
      <c r="BX117" s="15">
        <f>MIN(IF($AU117=100%,1,1+VLOOKUP(($AJ117-$AI117-$AH117-$AG117-$AF117-$AE117*(1+BX$3))/$AJ117,'Технический лист'!$I:$J,2,1)-VLOOKUP($AO117,'Технический лист'!$I:$J,2,1)),1+(1-$AU117))</f>
        <v>1.05</v>
      </c>
      <c r="BY117" s="15">
        <f>MIN(IF($AU117=100%,1,1+VLOOKUP(($AJ117-$AI117-$AH117-$AG117-$AF117-$AE117*(1+BY$3))/$AJ117,'Технический лист'!$I:$J,2,1)-VLOOKUP($AO117,'Технический лист'!$I:$J,2,1)),1+(1-$AU117))</f>
        <v>1.05</v>
      </c>
      <c r="BZ117" s="15">
        <f>MIN(IF($AU117=100%,1,1+VLOOKUP(($AJ117-$AI117-$AH117-$AG117-$AF117-$AE117*(1+BZ$3))/$AJ117,'Технический лист'!$I:$J,2,1)-VLOOKUP($AO117,'Технический лист'!$I:$J,2,1)),1+(1-$AU117))</f>
        <v>1.05</v>
      </c>
      <c r="CA117" s="15">
        <f>MIN(IF($AU117=100%,1,1+VLOOKUP(($AJ117-$AI117-$AH117-$AG117-$AF117-$AE117*(1+CA$3))/$AJ117,'Технический лист'!$I:$J,2,1)-VLOOKUP($AO117,'Технический лист'!$I:$J,2,1)),1+(1-$AU117))</f>
        <v>1.05</v>
      </c>
      <c r="CB117" s="15">
        <f>MIN(IF($AU117=100%,1,1+VLOOKUP(($AJ117-$AI117-$AH117-$AG117-$AF117-$AE117*(1+CB$3))/$AJ117,'Технический лист'!$I:$J,2,1)-VLOOKUP($AO117,'Технический лист'!$I:$J,2,1)),1+(1-$AU117))</f>
        <v>1.05</v>
      </c>
      <c r="CC117" s="15">
        <f>MIN(IF($AU117=100%,1,1+VLOOKUP(($AJ117-$AI117-$AH117-$AG117-$AF117-$AE117*(1+CC$3))/$AJ117,'Технический лист'!$I:$J,2,1)-VLOOKUP($AO117,'Технический лист'!$I:$J,2,1)),1+(1-$AU117))</f>
        <v>1.05</v>
      </c>
      <c r="CD117" s="15">
        <f>MIN(IF($AU117=100%,1,1+VLOOKUP(($AJ117-$AI117-$AH117-$AG117-$AF117-$AE117*(1+CD$3))/$AJ117,'Технический лист'!$I:$J,2,1)-VLOOKUP($AO117,'Технический лист'!$I:$J,2,1)),1+(1-$AU117))</f>
        <v>1.05</v>
      </c>
      <c r="CE117" s="15">
        <f>MIN(IF($AU117=100%,1,1+VLOOKUP(($AJ117-$AI117-$AH117-$AG117-$AF117-$AE117*(1+CE$3))/$AJ117,'Технический лист'!$I:$J,2,1)-VLOOKUP($AO117,'Технический лист'!$I:$J,2,1)),1+(1-$AU117))</f>
        <v>1.05</v>
      </c>
      <c r="CF117" s="15">
        <f>MIN(IF($AU117=100%,1,1+VLOOKUP(($AJ117-$AI117-$AH117-$AG117-$AF117-$AE117*(1+CF$3))/$AJ117,'Технический лист'!$I:$J,2,1)-VLOOKUP($AO117,'Технический лист'!$I:$J,2,1)),1+(1-$AU117))</f>
        <v>1.05</v>
      </c>
      <c r="CG117" s="15">
        <f>MIN(IF($AU117=100%,1,1+VLOOKUP(($AJ117-$AI117-$AH117-$AG117-$AF117-$AE117*(1+CG$3))/$AJ117,'Технический лист'!$I:$J,2,1)-VLOOKUP($AO117,'Технический лист'!$I:$J,2,1)),1+(1-$AU117))</f>
        <v>1.05</v>
      </c>
      <c r="CH117" s="15">
        <f>MIN(IF($AU117=100%,1,1+VLOOKUP(($AJ117-$AI117-$AH117-$AG117-$AF117-$AE117*(1+CH$3))/$AJ117,'Технический лист'!$I:$J,2,1)-VLOOKUP($AO117,'Технический лист'!$I:$J,2,1)),1+(1-$AU117))</f>
        <v>1.05</v>
      </c>
      <c r="CI117" s="15">
        <f>MIN(IF($AU117=100%,1,1+VLOOKUP(($AJ117-$AI117-$AH117-$AG117-$AF117-$AE117*(1+CI$3))/$AJ117,'Технический лист'!$I:$J,2,1)-VLOOKUP($AO117,'Технический лист'!$I:$J,2,1)),1+(1-$AU117))</f>
        <v>1.05</v>
      </c>
      <c r="CJ117" s="15">
        <f>MIN(IF($AU117=100%,1,1+VLOOKUP(($AJ117-$AI117-$AH117-$AG117-$AF117-$AE117*(1+CJ$3))/$AJ117,'Технический лист'!$I:$J,2,1)-VLOOKUP($AO117,'Технический лист'!$I:$J,2,1)),1+(1-$AU117))</f>
        <v>1.05</v>
      </c>
      <c r="CK117" s="15">
        <f>MIN(IF($AU117=100%,1,1+VLOOKUP(($AJ117-$AI117-$AH117-$AG117-$AF117-$AE117*(1+CK$3))/$AJ117,'Технический лист'!$I:$J,2,1)-VLOOKUP($AO117,'Технический лист'!$I:$J,2,1)),1+(1-$AU117))</f>
        <v>1.05</v>
      </c>
      <c r="CL117" s="15">
        <f>MIN(IF($AU117=100%,1,1+VLOOKUP(($AJ117-$AI117-$AH117-$AG117-$AF117-$AE117*(1+CL$3))/$AJ117,'Технический лист'!$I:$J,2,1)-VLOOKUP($AO117,'Технический лист'!$I:$J,2,1)),1+(1-$AU117))</f>
        <v>1.05</v>
      </c>
      <c r="CM117" s="15">
        <f>MIN(IF($AU117=100%,1,1+VLOOKUP(($AJ117-$AI117-$AH117-$AG117-$AF117-$AE117*(1+CM$3))/$AJ117,'Технический лист'!$I:$J,2,1)-VLOOKUP($AO117,'Технический лист'!$I:$J,2,1)),1+(1-$AU117))</f>
        <v>1.05</v>
      </c>
      <c r="CN117" s="15">
        <f>MIN(IF($AU117=100%,1,1+VLOOKUP(($AJ117-$AI117-$AH117-$AG117-$AF117-$AE117*(1+CN$3))/$AJ117,'Технический лист'!$I:$J,2,1)-VLOOKUP($AO117,'Технический лист'!$I:$J,2,1)),1+(1-$AU117))</f>
        <v>1.05</v>
      </c>
      <c r="CO117" s="15">
        <f>MIN(IF($AU117=100%,1,1+VLOOKUP(($AJ117-$AI117-$AH117-$AG117-$AF117-$AE117*(1+CO$3))/$AJ117,'Технический лист'!$I:$J,2,1)-VLOOKUP($AO117,'Технический лист'!$I:$J,2,1)),1+(1-$AU117))</f>
        <v>1.05</v>
      </c>
      <c r="CP117" s="15">
        <f>MIN(IF($AU117=100%,1,1+VLOOKUP(($AJ117-$AI117-$AH117-$AG117-$AF117-$AE117*(1+CP$3))/$AJ117,'Технический лист'!$I:$J,2,1)-VLOOKUP($AO117,'Технический лист'!$I:$J,2,1)),1+(1-$AU117))</f>
        <v>1.05</v>
      </c>
      <c r="CQ117" s="15">
        <f>MIN(IF($AU117=100%,1,1+VLOOKUP(($AJ117-$AI117-$AH117-$AG117-$AF117-$AE117*(1+CQ$3))/$AJ117,'Технический лист'!$I:$J,2,1)-VLOOKUP($AO117,'Технический лист'!$I:$J,2,1)),1+(1-$AU117))</f>
        <v>1.05</v>
      </c>
      <c r="CR117" s="15">
        <f>MIN(IF($AU117=100%,1,1+VLOOKUP(($AJ117-$AI117-$AH117-$AG117-$AF117-$AE117*(1+CR$3))/$AJ117,'Технический лист'!$I:$J,2,1)-VLOOKUP($AO117,'Технический лист'!$I:$J,2,1)),1+(1-$AU117))</f>
        <v>1.05</v>
      </c>
      <c r="CS117" s="15">
        <f>MIN(IF($AU117=100%,1,1+VLOOKUP(($AJ117-$AI117-$AH117-$AG117-$AF117-$AE117*(1+CS$3))/$AJ117,'Технический лист'!$I:$J,2,1)-VLOOKUP($AO117,'Технический лист'!$I:$J,2,1)),1+(1-$AU117))</f>
        <v>1.05</v>
      </c>
      <c r="CT117" s="15">
        <f>MIN(IF($AU117=100%,1,1+VLOOKUP(($AJ117-$AI117-$AH117-$AG117-$AF117-$AE117*(1+CT$3))/$AJ117,'Технический лист'!$I:$J,2,1)-VLOOKUP($AO117,'Технический лист'!$I:$J,2,1)),1+(1-$AU117))</f>
        <v>1.05</v>
      </c>
      <c r="CU117" s="15">
        <f>MIN(IF($AU117=100%,1,1+VLOOKUP(($AJ117-$AI117-$AH117-$AG117-$AF117-$AE117*(1+CU$3))/$AJ117,'Технический лист'!$I:$J,2,1)-VLOOKUP($AO117,'Технический лист'!$I:$J,2,1)),1+(1-$AU117))</f>
        <v>1.05</v>
      </c>
      <c r="CV117" s="15">
        <f>MIN(IF($AU117=100%,1,1+VLOOKUP(($AJ117-$AI117-$AH117-$AG117-$AF117-$AE117*(1+CV$3))/$AJ117,'Технический лист'!$I:$J,2,1)-VLOOKUP($AO117,'Технический лист'!$I:$J,2,1)),1+(1-$AU117))</f>
        <v>1.05</v>
      </c>
      <c r="CW117" s="15">
        <f>MIN(IF($AU117=100%,1,1+VLOOKUP(($AJ117-$AI117-$AH117-$AG117-$AF117-$AE117*(1+CW$3))/$AJ117,'Технический лист'!$I:$J,2,1)-VLOOKUP($AO117,'Технический лист'!$I:$J,2,1)),1+(1-$AU117))</f>
        <v>1.05</v>
      </c>
      <c r="CX117" s="15">
        <f>MIN(IF($AU117=100%,1,1+VLOOKUP(($AJ117-$AI117-$AH117-$AG117-$AF117-$AE117*(1+CX$3))/$AJ117,'Технический лист'!$I:$J,2,1)-VLOOKUP($AO117,'Технический лист'!$I:$J,2,1)),1+(1-$AU117))</f>
        <v>1.05</v>
      </c>
      <c r="CY117" s="15">
        <f>MIN(IF($AU117=100%,1,1+VLOOKUP(($AJ117-$AI117-$AH117-$AG117-$AF117-$AE117*(1+CY$3))/$AJ117,'Технический лист'!$I:$J,2,1)-VLOOKUP($AO117,'Технический лист'!$I:$J,2,1)),1+(1-$AU117))</f>
        <v>1.05</v>
      </c>
      <c r="CZ117" s="15">
        <f>MIN(IF($AU117=100%,1,1+VLOOKUP(($AJ117-$AI117-$AH117-$AG117-$AF117-$AE117*(1+CZ$3))/$AJ117,'Технический лист'!$I:$J,2,1)-VLOOKUP($AO117,'Технический лист'!$I:$J,2,1)),1+(1-$AU117))</f>
        <v>1.05</v>
      </c>
      <c r="DA117" s="15">
        <f>MIN(IF($AU117=100%,1,1+VLOOKUP(($AJ117-$AI117-$AH117-$AG117-$AF117-$AE117*(1+DA$3))/$AJ117,'Технический лист'!$I:$J,2,1)-VLOOKUP($AO117,'Технический лист'!$I:$J,2,1)),1+(1-$AU117))</f>
        <v>1.05</v>
      </c>
      <c r="DB117" s="15">
        <f>MIN(IF($AU117=100%,1,1+VLOOKUP(($AJ117-$AI117-$AH117-$AG117-$AF117-$AE117*(1+DB$3))/$AJ117,'Технический лист'!$I:$J,2,1)-VLOOKUP($AO117,'Технический лист'!$I:$J,2,1)),1+(1-$AU117))</f>
        <v>1.05</v>
      </c>
      <c r="DC117" s="15">
        <f>MIN(IF($AU117=100%,1,1+VLOOKUP(($AJ117-$AI117-$AH117-$AG117-$AF117-$AE117*(1+DC$3))/$AJ117,'Технический лист'!$I:$J,2,1)-VLOOKUP($AO117,'Технический лист'!$I:$J,2,1)),1+(1-$AU117))</f>
        <v>1.05</v>
      </c>
      <c r="DD117" s="15">
        <f>MIN(IF($AU117=100%,1,1+VLOOKUP(($AJ117-$AI117-$AH117-$AG117-$AF117-$AE117*(1+DD$3))/$AJ117,'Технический лист'!$I:$J,2,1)-VLOOKUP($AO117,'Технический лист'!$I:$J,2,1)),1+(1-$AU117))</f>
        <v>1.05</v>
      </c>
      <c r="DE117" s="15">
        <f>MIN(IF($AU117=100%,1,1+VLOOKUP(($AJ117-$AI117-$AH117-$AG117-$AF117-$AE117*(1+DE$3))/$AJ117,'Технический лист'!$I:$J,2,1)-VLOOKUP($AO117,'Технический лист'!$I:$J,2,1)),1+(1-$AU117))</f>
        <v>1.05</v>
      </c>
      <c r="DF117" s="15">
        <f>MIN(IF($AU117=100%,1,1+VLOOKUP(($AJ117-$AI117-$AH117-$AG117-$AF117-$AE117*(1+DF$3))/$AJ117,'Технический лист'!$I:$J,2,1)-VLOOKUP($AO117,'Технический лист'!$I:$J,2,1)),1+(1-$AU117))</f>
        <v>1.05</v>
      </c>
      <c r="DG117" s="15">
        <f>MIN(IF($AU117=100%,1,1+VLOOKUP(($AJ117-$AI117-$AH117-$AG117-$AF117-$AE117*(1+DG$3))/$AJ117,'Технический лист'!$I:$J,2,1)-VLOOKUP($AO117,'Технический лист'!$I:$J,2,1)),1+(1-$AU117))</f>
        <v>1.05</v>
      </c>
      <c r="DH117" s="15">
        <f>MIN(IF($AU117=100%,1,1+VLOOKUP(($AJ117-$AI117-$AH117-$AG117-$AF117-$AE117*(1+DH$3))/$AJ117,'Технический лист'!$I:$J,2,1)-VLOOKUP($AO117,'Технический лист'!$I:$J,2,1)),1+(1-$AU117))</f>
        <v>1.05</v>
      </c>
      <c r="DI117" s="15">
        <f>MIN(IF($AU117=100%,1,1+VLOOKUP(($AJ117-$AI117-$AH117-$AG117-$AF117-$AE117*(1+DI$3))/$AJ117,'Технический лист'!$I:$J,2,1)-VLOOKUP($AO117,'Технический лист'!$I:$J,2,1)),1+(1-$AU117))</f>
        <v>1.05</v>
      </c>
      <c r="DJ117" s="15">
        <f>MIN(IF($AU117=100%,1,1+VLOOKUP(($AJ117-$AI117-$AH117-$AG117-$AF117-$AE117*(1+DJ$3))/$AJ117,'Технический лист'!$I:$J,2,1)-VLOOKUP($AO117,'Технический лист'!$I:$J,2,1)),1+(1-$AU117))</f>
        <v>1.05</v>
      </c>
      <c r="DK117" s="15">
        <f>MIN(IF($AU117=100%,1,1+VLOOKUP(($AJ117-$AI117-$AH117-$AG117-$AF117-$AE117*(1+DK$3))/$AJ117,'Технический лист'!$I:$J,2,1)-VLOOKUP($AO117,'Технический лист'!$I:$J,2,1)),1+(1-$AU117))</f>
        <v>1.05</v>
      </c>
      <c r="DL117" s="15">
        <f>MIN(IF($AU117=100%,1,1+VLOOKUP(($AJ117-$AI117-$AH117-$AG117-$AF117-$AE117*(1+DL$3))/$AJ117,'Технический лист'!$I:$J,2,1)-VLOOKUP($AO117,'Технический лист'!$I:$J,2,1)),1+(1-$AU117))</f>
        <v>1.05</v>
      </c>
      <c r="DM117" s="15">
        <f>MIN(IF($AU117=100%,1,1+VLOOKUP(($AJ117-$AI117-$AH117-$AG117-$AF117-$AE117*(1+DM$3))/$AJ117,'Технический лист'!$I:$J,2,1)-VLOOKUP($AO117,'Технический лист'!$I:$J,2,1)),1+(1-$AU117))</f>
        <v>1.05</v>
      </c>
      <c r="DN117" s="15">
        <f>MIN(IF($AU117=100%,1,1+VLOOKUP(($AJ117-$AI117-$AH117-$AG117-$AF117-$AE117*(1+DN$3))/$AJ117,'Технический лист'!$I:$J,2,1)-VLOOKUP($AO117,'Технический лист'!$I:$J,2,1)),1+(1-$AU117))</f>
        <v>1.05</v>
      </c>
      <c r="DO117" s="15">
        <f>MIN(IF($AU117=100%,1,1+VLOOKUP(($AJ117-$AI117-$AH117-$AG117-$AF117-$AE117*(1+DO$3))/$AJ117,'Технический лист'!$I:$J,2,1)-VLOOKUP($AO117,'Технический лист'!$I:$J,2,1)),1+(1-$AU117))</f>
        <v>1.05</v>
      </c>
      <c r="DP117" s="15">
        <f>MIN(IF($AU117=100%,1,1+VLOOKUP(($AJ117-$AI117-$AH117-$AG117-$AF117-$AE117*(1+DP$3))/$AJ117,'Технический лист'!$I:$J,2,1)-VLOOKUP($AO117,'Технический лист'!$I:$J,2,1)),1+(1-$AU117))</f>
        <v>1.05</v>
      </c>
      <c r="DQ117" s="15">
        <f>MIN(IF($AU117=100%,1,1+VLOOKUP(($AJ117-$AI117-$AH117-$AG117-$AF117-$AE117*(1+DQ$3))/$AJ117,'Технический лист'!$I:$J,2,1)-VLOOKUP($AO117,'Технический лист'!$I:$J,2,1)),1+(1-$AU117))</f>
        <v>1.05</v>
      </c>
      <c r="DR117" s="15">
        <f>MIN(IF($AU117=100%,1,1+VLOOKUP(($AJ117-$AI117-$AH117-$AG117-$AF117-$AE117*(1+DR$3))/$AJ117,'Технический лист'!$I:$J,2,1)-VLOOKUP($AO117,'Технический лист'!$I:$J,2,1)),1+(1-$AU117))</f>
        <v>1.05</v>
      </c>
      <c r="DS117" s="15">
        <f>MIN(IF($AU117=100%,1,1+VLOOKUP(($AJ117-$AI117-$AH117-$AG117-$AF117-$AE117*(1+DS$3))/$AJ117,'Технический лист'!$I:$J,2,1)-VLOOKUP($AO117,'Технический лист'!$I:$J,2,1)),1+(1-$AU117))</f>
        <v>1.05</v>
      </c>
      <c r="DT117" s="15">
        <f>MIN(IF($AU117=100%,1,1+VLOOKUP(($AJ117-$AI117-$AH117-$AG117-$AF117-$AE117*(1+DT$3))/$AJ117,'Технический лист'!$I:$J,2,1)-VLOOKUP($AO117,'Технический лист'!$I:$J,2,1)),1+(1-$AU117))</f>
        <v>1.05</v>
      </c>
      <c r="DU117" s="15">
        <f>MIN(IF($AU117=100%,1,1+VLOOKUP(($AJ117-$AI117-$AH117-$AG117-$AF117-$AE117*(1+DU$3))/$AJ117,'Технический лист'!$I:$J,2,1)-VLOOKUP($AO117,'Технический лист'!$I:$J,2,1)),1+(1-$AU117))</f>
        <v>1.05</v>
      </c>
      <c r="DV117" s="15">
        <f>MIN(IF($AU117=100%,1,1+VLOOKUP(($AJ117-$AI117-$AH117-$AG117-$AF117-$AE117*(1+DV$3))/$AJ117,'Технический лист'!$I:$J,2,1)-VLOOKUP($AO117,'Технический лист'!$I:$J,2,1)),1+(1-$AU117))</f>
        <v>1.05</v>
      </c>
      <c r="DW117" s="15">
        <f>MIN(IF($AU117=100%,1,1+VLOOKUP(($AJ117-$AI117-$AH117-$AG117-$AF117-$AE117*(1+DW$3))/$AJ117,'Технический лист'!$I:$J,2,1)-VLOOKUP($AO117,'Технический лист'!$I:$J,2,1)),1+(1-$AU117))</f>
        <v>1.05</v>
      </c>
      <c r="DX117" s="15">
        <f>MIN(IF($AU117=100%,1,1+VLOOKUP(($AJ117-$AI117-$AH117-$AG117-$AF117-$AE117*(1+DX$3))/$AJ117,'Технический лист'!$I:$J,2,1)-VLOOKUP($AO117,'Технический лист'!$I:$J,2,1)),1+(1-$AU117))</f>
        <v>1.05</v>
      </c>
      <c r="DY117" s="15">
        <f>MIN(IF($AU117=100%,1,1+VLOOKUP(($AJ117-$AI117-$AH117-$AG117-$AF117-$AE117*(1+DY$3))/$AJ117,'Технический лист'!$I:$J,2,1)-VLOOKUP($AO117,'Технический лист'!$I:$J,2,1)),1+(1-$AU117))</f>
        <v>1.05</v>
      </c>
      <c r="DZ117" s="15">
        <f>MIN(IF($AU117=100%,1,1+VLOOKUP(($AJ117-$AI117-$AH117-$AG117-$AF117-$AE117*(1+DZ$3))/$AJ117,'Технический лист'!$I:$J,2,1)-VLOOKUP($AO117,'Технический лист'!$I:$J,2,1)),1+(1-$AU117))</f>
        <v>1.05</v>
      </c>
      <c r="EA117" s="15">
        <f>MIN(IF($AU117=100%,1,1+VLOOKUP(($AJ117-$AI117-$AH117-$AG117-$AF117-$AE117*(1+EA$3))/$AJ117,'Технический лист'!$I:$J,2,1)-VLOOKUP($AO117,'Технический лист'!$I:$J,2,1)),1+(1-$AU117))</f>
        <v>1.05</v>
      </c>
      <c r="EB117" s="15">
        <f>MIN(IF($AU117=100%,1,1+VLOOKUP(($AJ117-$AI117-$AH117-$AG117-$AF117-$AE117*(1+EB$3))/$AJ117,'Технический лист'!$I:$J,2,1)-VLOOKUP($AO117,'Технический лист'!$I:$J,2,1)),1+(1-$AU117))</f>
        <v>1.05</v>
      </c>
      <c r="EC117" s="15">
        <f>MIN(IF($AU117=100%,1,1+VLOOKUP(($AJ117-$AI117-$AH117-$AG117-$AF117-$AE117*(1+EC$3))/$AJ117,'Технический лист'!$I:$J,2,1)-VLOOKUP($AO117,'Технический лист'!$I:$J,2,1)),1+(1-$AU117))</f>
        <v>1.05</v>
      </c>
      <c r="ED117" s="15">
        <f>MIN(IF($AU117=100%,1,1+VLOOKUP(($AJ117-$AI117-$AH117-$AG117-$AF117-$AE117*(1+ED$3))/$AJ117,'Технический лист'!$I:$J,2,1)-VLOOKUP($AO117,'Технический лист'!$I:$J,2,1)),1+(1-$AU117))</f>
        <v>1.05</v>
      </c>
      <c r="EE117" s="15">
        <f>MIN(IF($AU117=100%,1,1+VLOOKUP(($AJ117-$AI117-$AH117-$AG117-$AF117-$AE117*(1+EE$3))/$AJ117,'Технический лист'!$I:$J,2,1)-VLOOKUP($AO117,'Технический лист'!$I:$J,2,1)),1+(1-$AU117))</f>
        <v>1.05</v>
      </c>
      <c r="EF117" s="15">
        <f>MIN(IF($AU117=100%,1,1+VLOOKUP(($AJ117-$AI117-$AH117-$AG117-$AF117-$AE117*(1+EF$3))/$AJ117,'Технический лист'!$I:$J,2,1)-VLOOKUP($AO117,'Технический лист'!$I:$J,2,1)),1+(1-$AU117))</f>
        <v>1.0349999999999999</v>
      </c>
      <c r="EG117" s="15">
        <f>MIN(IF($AU117=100%,1,1+VLOOKUP(($AJ117-$AI117-$AH117-$AG117-$AF117-$AE117*(1+EG$3))/$AJ117,'Технический лист'!$I:$J,2,1)-VLOOKUP($AO117,'Технический лист'!$I:$J,2,1)),1+(1-$AU117))</f>
        <v>1.0349999999999999</v>
      </c>
      <c r="EH117" s="15">
        <f>MIN(IF($AU117=100%,1,1+VLOOKUP(($AJ117-$AI117-$AH117-$AG117-$AF117-$AE117*(1+EH$3))/$AJ117,'Технический лист'!$I:$J,2,1)-VLOOKUP($AO117,'Технический лист'!$I:$J,2,1)),1+(1-$AU117))</f>
        <v>1.0349999999999999</v>
      </c>
      <c r="EI117" s="15">
        <f>MIN(IF($AU117=100%,1,1+VLOOKUP(($AJ117-$AI117-$AH117-$AG117-$AF117-$AE117*(1+EI$3))/$AJ117,'Технический лист'!$I:$J,2,1)-VLOOKUP($AO117,'Технический лист'!$I:$J,2,1)),1+(1-$AU117))</f>
        <v>1.0349999999999999</v>
      </c>
      <c r="EJ117" s="15">
        <f>MIN(IF($AU117=100%,1,1+VLOOKUP(($AJ117-$AI117-$AH117-$AG117-$AF117-$AE117*(1+EJ$3))/$AJ117,'Технический лист'!$I:$J,2,1)-VLOOKUP($AO117,'Технический лист'!$I:$J,2,1)),1+(1-$AU117))</f>
        <v>1.0349999999999999</v>
      </c>
      <c r="EK117" s="15">
        <f>MIN(IF($AU117=100%,1,1+VLOOKUP(($AJ117-$AI117-$AH117-$AG117-$AF117-$AE117*(1+EK$3))/$AJ117,'Технический лист'!$I:$J,2,1)-VLOOKUP($AO117,'Технический лист'!$I:$J,2,1)),1+(1-$AU117))</f>
        <v>1.0349999999999999</v>
      </c>
      <c r="EL117" s="15">
        <f>MIN(IF($AU117=100%,1,1+VLOOKUP(($AJ117-$AI117-$AH117-$AG117-$AF117-$AE117*(1+EL$3))/$AJ117,'Технический лист'!$I:$J,2,1)-VLOOKUP($AO117,'Технический лист'!$I:$J,2,1)),1+(1-$AU117))</f>
        <v>1.0349999999999999</v>
      </c>
      <c r="EM117" s="15">
        <f>MIN(IF($AU117=100%,1,1+VLOOKUP(($AJ117-$AI117-$AH117-$AG117-$AF117-$AE117*(1+EM$3))/$AJ117,'Технический лист'!$I:$J,2,1)-VLOOKUP($AO117,'Технический лист'!$I:$J,2,1)),1+(1-$AU117))</f>
        <v>1.0349999999999999</v>
      </c>
      <c r="EN117" s="15">
        <f>MIN(IF($AU117=100%,1,1+VLOOKUP(($AJ117-$AI117-$AH117-$AG117-$AF117-$AE117*(1+EN$3))/$AJ117,'Технический лист'!$I:$J,2,1)-VLOOKUP($AO117,'Технический лист'!$I:$J,2,1)),1+(1-$AU117))</f>
        <v>1.0349999999999999</v>
      </c>
      <c r="EO117" s="15">
        <f>MIN(IF($AU117=100%,1,1+VLOOKUP(($AJ117-$AI117-$AH117-$AG117-$AF117-$AE117*(1+EO$3))/$AJ117,'Технический лист'!$I:$J,2,1)-VLOOKUP($AO117,'Технический лист'!$I:$J,2,1)),1+(1-$AU117))</f>
        <v>1.0349999999999999</v>
      </c>
      <c r="EP117" s="15">
        <f>MIN(IF($AU117=100%,1,1+VLOOKUP(($AJ117-$AI117-$AH117-$AG117-$AF117-$AE117*(1+EP$3))/$AJ117,'Технический лист'!$I:$J,2,1)-VLOOKUP($AO117,'Технический лист'!$I:$J,2,1)),1+(1-$AU117))</f>
        <v>1.0349999999999999</v>
      </c>
      <c r="EQ117" s="15">
        <f>MIN(IF($AU117=100%,1,1+VLOOKUP(($AJ117-$AI117-$AH117-$AG117-$AF117-$AE117*(1+EQ$3))/$AJ117,'Технический лист'!$I:$J,2,1)-VLOOKUP($AO117,'Технический лист'!$I:$J,2,1)),1+(1-$AU117))</f>
        <v>1.0349999999999999</v>
      </c>
      <c r="ER117" s="15">
        <f>MIN(IF($AU117=100%,1,1+VLOOKUP(($AJ117-$AI117-$AH117-$AG117-$AF117-$AE117*(1+ER$3))/$AJ117,'Технический лист'!$I:$J,2,1)-VLOOKUP($AO117,'Технический лист'!$I:$J,2,1)),1+(1-$AU117))</f>
        <v>1.0349999999999999</v>
      </c>
      <c r="ES117" s="15">
        <f>MIN(IF($AU117=100%,1,1+VLOOKUP(($AJ117-$AI117-$AH117-$AG117-$AF117-$AE117*(1+ES$3))/$AJ117,'Технический лист'!$I:$J,2,1)-VLOOKUP($AO117,'Технический лист'!$I:$J,2,1)),1+(1-$AU117))</f>
        <v>1.0349999999999999</v>
      </c>
      <c r="ET117" s="15">
        <f>MIN(IF($AU117=100%,1,1+VLOOKUP(($AJ117-$AI117-$AH117-$AG117-$AF117-$AE117*(1+ET$3))/$AJ117,'Технический лист'!$I:$J,2,1)-VLOOKUP($AO117,'Технический лист'!$I:$J,2,1)),1+(1-$AU117))</f>
        <v>1.0000000000000002</v>
      </c>
      <c r="EU117" s="15">
        <f>MIN(IF($AU117=100%,1,1+VLOOKUP(($AJ117-$AI117-$AH117-$AG117-$AF117-$AE117*(1+EU$3))/$AJ117,'Технический лист'!$I:$J,2,1)-VLOOKUP($AO117,'Технический лист'!$I:$J,2,1)),1+(1-$AU117))</f>
        <v>1.0000000000000002</v>
      </c>
      <c r="EV117" s="111">
        <v>1</v>
      </c>
      <c r="EW117" s="15">
        <f>MIN(1,MAX(VLOOKUP(($AJ117-$AI117-$AH117-$AG117-$AF117-$AE117*(1+EW$3))/$AJ117,'Технический лист'!$A:$B,2,1),(EV117-0.05)))</f>
        <v>1</v>
      </c>
      <c r="EX117" s="15">
        <f>MIN(1,MAX(VLOOKUP(($AJ117-$AI117-$AH117-$AG117-$AF117-$AE117*(1+EX$3))/$AJ117,'Технический лист'!$A:$B,2,1),(EW117-0.05)))</f>
        <v>1</v>
      </c>
      <c r="EY117" s="15">
        <f>MIN(1,MAX(VLOOKUP(($AJ117-$AI117-$AH117-$AG117-$AF117-$AE117*(1+EY$3))/$AJ117,'Технический лист'!$A:$B,2,1),(EX117-0.05)))</f>
        <v>1</v>
      </c>
      <c r="EZ117" s="15">
        <f>MIN(1,MAX(VLOOKUP(($AJ117-$AI117-$AH117-$AG117-$AF117-$AE117*(1+EZ$3))/$AJ117,'Технический лист'!$A:$B,2,1),(EY117-0.05)))</f>
        <v>1</v>
      </c>
      <c r="FA117" s="15">
        <f>MIN(1,MAX(VLOOKUP(($AJ117-$AI117-$AH117-$AG117-$AF117-$AE117*(1+FA$3))/$AJ117,'Технический лист'!$A:$B,2,1),(EZ117-0.05)))</f>
        <v>1</v>
      </c>
      <c r="FB117" s="15">
        <f>MIN(1,MAX(VLOOKUP(($AJ117-$AI117-$AH117-$AG117-$AF117-$AE117*(1+FB$3))/$AJ117,'Технический лист'!$A:$B,2,1),(FA117-0.05)))</f>
        <v>1</v>
      </c>
      <c r="FC117" s="15">
        <f>MIN(1,MAX(VLOOKUP(($AJ117-$AI117-$AH117-$AG117-$AF117-$AE117*(1+FC$3))/$AJ117,'Технический лист'!$A:$B,2,1),(FB117-0.05)))</f>
        <v>1</v>
      </c>
      <c r="FD117" s="15">
        <f>MIN(1,MAX(VLOOKUP(($AJ117-$AI117-$AH117-$AG117-$AF117-$AE117*(1+FD$3))/$AJ117,'Технический лист'!$A:$B,2,1),(FC117-0.05)))</f>
        <v>1</v>
      </c>
      <c r="FE117" s="15">
        <f>MIN(1,MAX(VLOOKUP(($AJ117-$AI117-$AH117-$AG117-$AF117-$AE117*(1+FE$3))/$AJ117,'Технический лист'!$A:$B,2,1),(FD117-0.05)))</f>
        <v>1</v>
      </c>
      <c r="FF117" s="15">
        <f>MIN(1,MAX(VLOOKUP(($AJ117-$AI117-$AH117-$AG117-$AF117-$AE117*(1+FF$3))/$AJ117,'Технический лист'!$A:$B,2,1),(FE117-0.05)))</f>
        <v>1</v>
      </c>
      <c r="FG117" s="15">
        <f>MIN(1,MAX(VLOOKUP(($AJ117-$AI117-$AH117-$AG117-$AF117-$AE117*(1+FG$3))/$AJ117,'Технический лист'!$A:$B,2,1),(FF117-0.05)))</f>
        <v>1</v>
      </c>
      <c r="FH117" s="15">
        <f>MIN(1,MAX(VLOOKUP(($AJ117-$AI117-$AH117-$AG117-$AF117-$AE117*(1+FH$3))/$AJ117,'Технический лист'!$A:$B,2,1),(FG117-0.05)))</f>
        <v>1</v>
      </c>
      <c r="FI117" s="15">
        <f>MIN(1,MAX(VLOOKUP(($AJ117-$AI117-$AH117-$AG117-$AF117-$AE117*(1+FI$3))/$AJ117,'Технический лист'!$A:$B,2,1),(FH117-0.05)))</f>
        <v>1</v>
      </c>
      <c r="FJ117" s="15">
        <f>MIN(1,MAX(VLOOKUP(($AJ117-$AI117-$AH117-$AG117-$AF117-$AE117*(1+FJ$3))/$AJ117,'Технический лист'!$A:$B,2,1),(FI117-0.05)))</f>
        <v>1</v>
      </c>
      <c r="FK117" s="15">
        <f>MIN(1,MAX(VLOOKUP(($AJ117-$AI117-$AH117-$AG117-$AF117-$AE117*(1+FK$3))/$AJ117,'Технический лист'!$A:$B,2,1),(FJ117-0.05)))</f>
        <v>1</v>
      </c>
      <c r="FL117" s="15">
        <f>MIN(1,MAX(VLOOKUP(($AJ117-$AI117-$AH117-$AG117-$AF117-$AE117*(1+FL$3))/$AJ117,'Технический лист'!$A:$B,2,1),(FK117-0.05)))</f>
        <v>1</v>
      </c>
      <c r="FM117" s="15">
        <f>MIN(1,MAX(VLOOKUP(($AJ117-$AI117-$AH117-$AG117-$AF117-$AE117*(1+FM$3))/$AJ117,'Технический лист'!$A:$B,2,1),(FL117-0.05)))</f>
        <v>1</v>
      </c>
      <c r="FN117" s="15">
        <f>MIN(1,MAX(VLOOKUP(($AJ117-$AI117-$AH117-$AG117-$AF117-$AE117*(1+FN$3))/$AJ117,'Технический лист'!$A:$B,2,1),(FM117-0.05)))</f>
        <v>1</v>
      </c>
      <c r="FO117" s="15">
        <f>MIN(1,MAX(VLOOKUP(($AJ117-$AI117-$AH117-$AG117-$AF117-$AE117*(1+FO$3))/$AJ117,'Технический лист'!$A:$B,2,1),(FN117-0.05)))</f>
        <v>1</v>
      </c>
      <c r="FP117" s="15">
        <f>MIN(1,MAX(VLOOKUP(($AJ117-$AI117-$AH117-$AG117-$AF117-$AE117*(1+FP$3))/$AJ117,'Технический лист'!$A:$B,2,1),(FO117-0.05)))</f>
        <v>1</v>
      </c>
      <c r="FQ117" s="15">
        <f>MIN(1,MAX(VLOOKUP(($AJ117-$AI117-$AH117-$AG117-$AF117-$AE117*(1+FQ$3))/$AJ117,'Технический лист'!$A:$B,2,1),(FP117-0.05)))</f>
        <v>1</v>
      </c>
      <c r="FR117" s="15">
        <f>MIN(1,MAX(VLOOKUP(($AJ117-$AI117-$AH117-$AG117-$AF117-$AE117*(1+FR$3))/$AJ117,'Технический лист'!$A:$B,2,1),(FQ117-0.05)))</f>
        <v>1</v>
      </c>
      <c r="FS117" s="15">
        <f>MIN(1,MAX(VLOOKUP(($AJ117-$AI117-$AH117-$AG117-$AF117-$AE117*(1+FS$3))/$AJ117,'Технический лист'!$A:$B,2,1),(FR117-0.05)))</f>
        <v>1</v>
      </c>
      <c r="FT117" s="15">
        <f>MIN(1,MAX(VLOOKUP(($AJ117-$AI117-$AH117-$AG117-$AF117-$AE117*(1+FT$3))/$AJ117,'Технический лист'!$A:$B,2,1),(FS117-0.05)))</f>
        <v>1</v>
      </c>
      <c r="FU117" s="15">
        <f>MIN(1,MAX(VLOOKUP(($AJ117-$AI117-$AH117-$AG117-$AF117-$AE117*(1+FU$3))/$AJ117,'Технический лист'!$A:$B,2,1),(FT117-0.05)))</f>
        <v>1</v>
      </c>
      <c r="FV117" s="15">
        <f>MIN(1,MAX(VLOOKUP(($AJ117-$AI117-$AH117-$AG117-$AF117-$AE117*(1+FV$3))/$AJ117,'Технический лист'!$A:$B,2,1),(FU117-0.05)))</f>
        <v>1</v>
      </c>
      <c r="FW117" s="15">
        <f>MIN(1,MAX(VLOOKUP(($AJ117-$AI117-$AH117-$AG117-$AF117-$AE117*(1+FW$3))/$AJ117,'Технический лист'!$A:$B,2,1),(FV117-0.05)))</f>
        <v>1</v>
      </c>
      <c r="FX117" s="15">
        <f>MIN(1,MAX(VLOOKUP(($AJ117-$AI117-$AH117-$AG117-$AF117-$AE117*(1+FX$3))/$AJ117,'Технический лист'!$A:$B,2,1),(FW117-0.05)))</f>
        <v>1</v>
      </c>
      <c r="FY117" s="15">
        <f>MIN(1,MAX(VLOOKUP(($AJ117-$AI117-$AH117-$AG117-$AF117-$AE117*(1+FY$3))/$AJ117,'Технический лист'!$A:$B,2,1),(FX117-0.05)))</f>
        <v>1</v>
      </c>
      <c r="FZ117" s="15">
        <f>MIN(1,MAX(VLOOKUP(($AJ117-$AI117-$AH117-$AG117-$AF117-$AE117*(1+FZ$3))/$AJ117,'Технический лист'!$A:$B,2,1),(FY117-0.05)))</f>
        <v>1</v>
      </c>
      <c r="GA117" s="15">
        <f>MIN(1,MAX(VLOOKUP(($AJ117-$AI117-$AH117-$AG117-$AF117-$AE117*(1+GA$3))/$AJ117,'Технический лист'!$A:$B,2,1),(FZ117-0.05)))</f>
        <v>1</v>
      </c>
      <c r="GB117" s="15">
        <f>MIN(1,MAX(VLOOKUP(($AJ117-$AI117-$AH117-$AG117-$AF117-$AE117*(1+GB$3))/$AJ117,'Технический лист'!$A:$B,2,1),(GA117-0.05)))</f>
        <v>1</v>
      </c>
      <c r="GC117" s="15">
        <f>MIN(1,MAX(VLOOKUP(($AJ117-$AI117-$AH117-$AG117-$AF117-$AE117*(1+GC$3))/$AJ117,'Технический лист'!$A:$B,2,1),(GB117-0.05)))</f>
        <v>1</v>
      </c>
      <c r="GD117" s="15">
        <f>MIN(1,MAX(VLOOKUP(($AJ117-$AI117-$AH117-$AG117-$AF117-$AE117*(1+GD$3))/$AJ117,'Технический лист'!$A:$B,2,1),(GC117-0.05)))</f>
        <v>1</v>
      </c>
      <c r="GE117" s="15">
        <f>MIN(1,MAX(VLOOKUP(($AJ117-$AI117-$AH117-$AG117-$AF117-$AE117*(1+GE$3))/$AJ117,'Технический лист'!$A:$B,2,1),(GD117-0.05)))</f>
        <v>1</v>
      </c>
      <c r="GF117" s="15">
        <f>MIN(1,MAX(VLOOKUP(($AJ117-$AI117-$AH117-$AG117-$AF117-$AE117*(1+GF$3))/$AJ117,'Технический лист'!$A:$B,2,1),(GE117-0.05)))</f>
        <v>1</v>
      </c>
      <c r="GG117" s="15">
        <f>MIN(1,MAX(VLOOKUP(($AJ117-$AI117-$AH117-$AG117-$AF117-$AE117*(1+GG$3))/$AJ117,'Технический лист'!$A:$B,2,1),(GF117-0.05)))</f>
        <v>1</v>
      </c>
      <c r="GH117" s="15">
        <f>MIN(1,MAX(VLOOKUP(($AJ117-$AI117-$AH117-$AG117-$AF117-$AE117*(1+GH$3))/$AJ117,'Технический лист'!$A:$B,2,1),(GG117-0.05)))</f>
        <v>1</v>
      </c>
      <c r="GI117" s="15">
        <f>MIN(1,MAX(VLOOKUP(($AJ117-$AI117-$AH117-$AG117-$AF117-$AE117*(1+GI$3))/$AJ117,'Технический лист'!$A:$B,2,1),(GH117-0.05)))</f>
        <v>1</v>
      </c>
      <c r="GJ117" s="15">
        <f>MIN(1,MAX(VLOOKUP(($AJ117-$AI117-$AH117-$AG117-$AF117-$AE117*(1+GJ$3))/$AJ117,'Технический лист'!$A:$B,2,1),(GI117-0.05)))</f>
        <v>1</v>
      </c>
      <c r="GK117" s="15">
        <f>MIN(1,MAX(VLOOKUP(($AJ117-$AI117-$AH117-$AG117-$AF117-$AE117*(1+GK$3))/$AJ117,'Технический лист'!$A:$B,2,1),(GJ117-0.05)))</f>
        <v>1</v>
      </c>
      <c r="GL117" s="15">
        <f>MIN(1,MAX(VLOOKUP(($AJ117-$AI117-$AH117-$AG117-$AF117-$AE117*(1+GL$3))/$AJ117,'Технический лист'!$A:$B,2,1),(GK117-0.05)))</f>
        <v>1</v>
      </c>
      <c r="GM117" s="15">
        <f>MIN(1,MAX(VLOOKUP(($AJ117-$AI117-$AH117-$AG117-$AF117-$AE117*(1+GM$3))/$AJ117,'Технический лист'!$A:$B,2,1),(GL117-0.05)))</f>
        <v>1</v>
      </c>
      <c r="GN117" s="15">
        <f>MIN(1,MAX(VLOOKUP(($AJ117-$AI117-$AH117-$AG117-$AF117-$AE117*(1+GN$3))/$AJ117,'Технический лист'!$A:$B,2,1),(GM117-0.05)))</f>
        <v>1</v>
      </c>
      <c r="GO117" s="15">
        <f>MIN(1,MAX(VLOOKUP(($AJ117-$AI117-$AH117-$AG117-$AF117-$AE117*(1+GO$3))/$AJ117,'Технический лист'!$A:$B,2,1),(GN117-0.05)))</f>
        <v>1</v>
      </c>
      <c r="GP117" s="15">
        <f>MIN(1,MAX(VLOOKUP(($AJ117-$AI117-$AH117-$AG117-$AF117-$AE117*(1+GP$3))/$AJ117,'Технический лист'!$A:$B,2,1),(GO117-0.05)))</f>
        <v>1</v>
      </c>
      <c r="GQ117" s="15">
        <f>MIN(1,MAX(VLOOKUP(($AJ117-$AI117-$AH117-$AG117-$AF117-$AE117*(1+GQ$3))/$AJ117,'Технический лист'!$A:$B,2,1),(GP117-0.05)))</f>
        <v>1</v>
      </c>
      <c r="GR117" s="15">
        <f>MIN(1,MAX(VLOOKUP(($AJ117-$AI117-$AH117-$AG117-$AF117-$AE117*(1+GR$3))/$AJ117,'Технический лист'!$A:$B,2,1),(GQ117-0.05)))</f>
        <v>1</v>
      </c>
      <c r="GS117" s="15">
        <f>MIN(1,MAX(VLOOKUP(($AJ117-$AI117-$AH117-$AG117-$AF117-$AE117*(1+GS$3))/$AJ117,'Технический лист'!$A:$B,2,1),(GR117-0.05)))</f>
        <v>1</v>
      </c>
      <c r="GT117" s="15">
        <f>MIN(1,MAX(VLOOKUP(($AJ117-$AI117-$AH117-$AG117-$AF117-$AE117*(1+GT$3))/$AJ117,'Технический лист'!$A:$B,2,1),(GS117-0.05)))</f>
        <v>1</v>
      </c>
      <c r="GU117" s="15">
        <f>MIN(1,MAX(VLOOKUP(($AJ117-$AI117-$AH117-$AG117-$AF117-$AE117*(1+GU$3))/$AJ117,'Технический лист'!$A:$B,2,1),(GT117-0.05)))</f>
        <v>1</v>
      </c>
      <c r="GV117" s="15">
        <f>MIN(1,MAX(VLOOKUP(($AJ117-$AI117-$AH117-$AG117-$AF117-$AE117*(1+GV$3))/$AJ117,'Технический лист'!$A:$B,2,1),(GU117-0.05)))</f>
        <v>1</v>
      </c>
      <c r="GW117" s="15">
        <f>MIN(1,MAX(VLOOKUP(($AJ117-$AI117-$AH117-$AG117-$AF117-$AE117*(1+GW$3))/$AJ117,'Технический лист'!$A:$B,2,1),(GV117-0.05)))</f>
        <v>1</v>
      </c>
      <c r="GX117" s="15">
        <f>MIN(1,MAX(VLOOKUP(($AJ117-$AI117-$AH117-$AG117-$AF117-$AE117*(1+GX$3))/$AJ117,'Технический лист'!$A:$B,2,1),(GW117-0.05)))</f>
        <v>1</v>
      </c>
      <c r="GY117" s="15">
        <f>MIN(1,MAX(VLOOKUP(($AJ117-$AI117-$AH117-$AG117-$AF117-$AE117*(1+GY$3))/$AJ117,'Технический лист'!$A:$B,2,1),(GX117-0.05)))</f>
        <v>1</v>
      </c>
      <c r="GZ117" s="15">
        <f>MIN(1,MAX(VLOOKUP(($AJ117-$AI117-$AH117-$AG117-$AF117-$AE117*(1+GZ$3))/$AJ117,'Технический лист'!$A:$B,2,1),(GY117-0.05)))</f>
        <v>1</v>
      </c>
      <c r="HA117" s="15">
        <f>MIN(1,MAX(VLOOKUP(($AJ117-$AI117-$AH117-$AG117-$AF117-$AE117*(1+HA$3))/$AJ117,'Технический лист'!$A:$B,2,1),(GZ117-0.05)))</f>
        <v>1</v>
      </c>
      <c r="HB117" s="15">
        <f>MIN(1,MAX(VLOOKUP(($AJ117-$AI117-$AH117-$AG117-$AF117-$AE117*(1+HB$3))/$AJ117,'Технический лист'!$A:$B,2,1),(HA117-0.05)))</f>
        <v>1</v>
      </c>
      <c r="HC117" s="15">
        <f>MIN(1,MAX(VLOOKUP(($AJ117-$AI117-$AH117-$AG117-$AF117-$AE117*(1+HC$3))/$AJ117,'Технический лист'!$A:$B,2,1),(HB117-0.05)))</f>
        <v>1</v>
      </c>
      <c r="HD117" s="15">
        <f>MIN(1,MAX(VLOOKUP(($AJ117-$AI117-$AH117-$AG117-$AF117-$AE117*(1+HD$3))/$AJ117,'Технический лист'!$A:$B,2,1),(HC117-0.05)))</f>
        <v>1</v>
      </c>
      <c r="HE117" s="15">
        <f>MIN(1,MAX(VLOOKUP(($AJ117-$AI117-$AH117-$AG117-$AF117-$AE117*(1+HE$3))/$AJ117,'Технический лист'!$A:$B,2,1),(HD117-0.05)))</f>
        <v>1</v>
      </c>
      <c r="HF117" s="15">
        <f>MIN(1,MAX(VLOOKUP(($AJ117-$AI117-$AH117-$AG117-$AF117-$AE117*(1+HF$3))/$AJ117,'Технический лист'!$A:$B,2,1),(HE117-0.05)))</f>
        <v>1</v>
      </c>
      <c r="HG117" s="15">
        <f>MIN(1,MAX(VLOOKUP(($AJ117-$AI117-$AH117-$AG117-$AF117-$AE117*(1+HG$3))/$AJ117,'Технический лист'!$A:$B,2,1),(HF117-0.05)))</f>
        <v>1</v>
      </c>
      <c r="HH117" s="15">
        <f>MIN(1,MAX(VLOOKUP(($AJ117-$AI117-$AH117-$AG117-$AF117-$AE117*(1+HH$3))/$AJ117,'Технический лист'!$A:$B,2,1),(HG117-0.05)))</f>
        <v>1</v>
      </c>
      <c r="HI117" s="15">
        <f>MIN(1,MAX(VLOOKUP(($AJ117-$AI117-$AH117-$AG117-$AF117-$AE117*(1+HI$3))/$AJ117,'Технический лист'!$A:$B,2,1),(HH117-0.05)))</f>
        <v>1</v>
      </c>
      <c r="HJ117" s="15">
        <f>MIN(1,MAX(VLOOKUP(($AJ117-$AI117-$AH117-$AG117-$AF117-$AE117*(1+HJ$3))/$AJ117,'Технический лист'!$A:$B,2,1),(HI117-0.05)))</f>
        <v>1</v>
      </c>
      <c r="HK117" s="15">
        <f>MIN(1,MAX(VLOOKUP(($AJ117-$AI117-$AH117-$AG117-$AF117-$AE117*(1+HK$3))/$AJ117,'Технический лист'!$A:$B,2,1),(HJ117-0.05)))</f>
        <v>1</v>
      </c>
      <c r="HL117" s="15">
        <f>MIN(1,MAX(VLOOKUP(($AJ117-$AI117-$AH117-$AG117-$AF117-$AE117*(1+HL$3))/$AJ117,'Технический лист'!$A:$B,2,1),(HK117-0.05)))</f>
        <v>1</v>
      </c>
      <c r="HM117" s="15">
        <f>MIN(1,MAX(VLOOKUP(($AJ117-$AI117-$AH117-$AG117-$AF117-$AE117*(1+HM$3))/$AJ117,'Технический лист'!$A:$B,2,1),(HL117-0.05)))</f>
        <v>1</v>
      </c>
      <c r="HN117" s="15">
        <f>MIN(1,MAX(VLOOKUP(($AJ117-$AI117-$AH117-$AG117-$AF117-$AE117*(1+HN$3))/$AJ117,'Технический лист'!$A:$B,2,1),(HM117-0.05)))</f>
        <v>1</v>
      </c>
      <c r="HO117" s="15">
        <f>MIN(1,MAX(VLOOKUP(($AJ117-$AI117-$AH117-$AG117-$AF117-$AE117*(1+HO$3))/$AJ117,'Технический лист'!$A:$B,2,1),(HN117-0.05)))</f>
        <v>1</v>
      </c>
      <c r="HP117" s="15">
        <f>MIN(1,MAX(VLOOKUP(($AJ117-$AI117-$AH117-$AG117-$AF117-$AE117*(1+HP$3))/$AJ117,'Технический лист'!$A:$B,2,1),(HO117-0.05)))</f>
        <v>1</v>
      </c>
      <c r="HQ117" s="15">
        <f>MIN(1,MAX(VLOOKUP(($AJ117-$AI117-$AH117-$AG117-$AF117-$AE117*(1+HQ$3))/$AJ117,'Технический лист'!$A:$B,2,1),(HP117-0.05)))</f>
        <v>1</v>
      </c>
      <c r="HR117" s="15">
        <f>MIN(1,MAX(VLOOKUP(($AJ117-$AI117-$AH117-$AG117-$AF117-$AE117*(1+HR$3))/$AJ117,'Технический лист'!$A:$B,2,1),(HQ117-0.05)))</f>
        <v>1</v>
      </c>
      <c r="HS117" s="15">
        <f>MIN(1,MAX(VLOOKUP(($AJ117-$AI117-$AH117-$AG117-$AF117-$AE117*(1+HS$3))/$AJ117,'Технический лист'!$A:$B,2,1),(HR117-0.05)))</f>
        <v>1</v>
      </c>
      <c r="HT117" s="15">
        <f>MIN(1,MAX(VLOOKUP(($AJ117-$AI117-$AH117-$AG117-$AF117-$AE117*(1+HT$3))/$AJ117,'Технический лист'!$A:$B,2,1),(HS117-0.05)))</f>
        <v>1</v>
      </c>
      <c r="HU117" s="15">
        <f>MIN(1,MAX(VLOOKUP(($AJ117-$AI117-$AH117-$AG117-$AF117-$AE117*(1+HU$3))/$AJ117,'Технический лист'!$A:$B,2,1),(HT117-0.05)))</f>
        <v>1</v>
      </c>
      <c r="HV117" s="15">
        <f>MIN(1,MAX(VLOOKUP(($AJ117-$AI117-$AH117-$AG117-$AF117-$AE117*(1+HV$3))/$AJ117,'Технический лист'!$A:$B,2,1),(HU117-0.05)))</f>
        <v>1</v>
      </c>
      <c r="HW117" s="15">
        <f>MIN(1,MAX(VLOOKUP(($AJ117-$AI117-$AH117-$AG117-$AF117-$AE117*(1+HW$3))/$AJ117,'Технический лист'!$A:$B,2,1),(HV117-0.05)))</f>
        <v>1</v>
      </c>
      <c r="HX117" s="15">
        <f>MIN(1,MAX(VLOOKUP(($AJ117-$AI117-$AH117-$AG117-$AF117-$AE117*(1+HX$3))/$AJ117,'Технический лист'!$A:$B,2,1),(HW117-0.05)))</f>
        <v>1</v>
      </c>
      <c r="HY117" s="15">
        <f>MIN(1,MAX(VLOOKUP(($AJ117-$AI117-$AH117-$AG117-$AF117-$AE117*(1+HY$3))/$AJ117,'Технический лист'!$A:$B,2,1),(HX117-0.05)))</f>
        <v>1</v>
      </c>
      <c r="HZ117" s="15">
        <f>MIN(1,MAX(VLOOKUP(($AJ117-$AI117-$AH117-$AG117-$AF117-$AE117*(1+HZ$3))/$AJ117,'Технический лист'!$A:$B,2,1),(HY117-0.05)))</f>
        <v>1</v>
      </c>
      <c r="IA117" s="15">
        <f>MIN(1,MAX(VLOOKUP(($AJ117-$AI117-$AH117-$AG117-$AF117-$AE117*(1+IA$3))/$AJ117,'Технический лист'!$A:$B,2,1),(HZ117-0.05)))</f>
        <v>1</v>
      </c>
      <c r="IB117" s="15">
        <f>MIN(1,MAX(VLOOKUP(($AJ117-$AI117-$AH117-$AG117-$AF117-$AE117*(1+IB$3))/$AJ117,'Технический лист'!$A:$B,2,1),(IA117-0.05)))</f>
        <v>1</v>
      </c>
      <c r="IC117" s="15">
        <f>MIN(1,MAX(VLOOKUP(($AJ117-$AI117-$AH117-$AG117-$AF117-$AE117*(1+IC$3))/$AJ117,'Технический лист'!$A:$B,2,1),(IB117-0.05)))</f>
        <v>1</v>
      </c>
      <c r="ID117" s="15">
        <f>MIN(1,MAX(VLOOKUP(($AJ117-$AI117-$AH117-$AG117-$AF117-$AE117*(1+ID$3))/$AJ117,'Технический лист'!$A:$B,2,1),(IC117-0.05)))</f>
        <v>1</v>
      </c>
      <c r="IE117" s="15">
        <f>MIN(1,MAX(VLOOKUP(($AJ117-$AI117-$AH117-$AG117-$AF117-$AE117*(1+IE$3))/$AJ117,'Технический лист'!$A:$B,2,1),(ID117-0.05)))</f>
        <v>1</v>
      </c>
      <c r="IF117" s="15">
        <f>MIN(1,MAX(VLOOKUP(($AJ117-$AI117-$AH117-$AG117-$AF117-$AE117*(1+IF$3))/$AJ117,'Технический лист'!$A:$B,2,1),(IE117-0.05)))</f>
        <v>1</v>
      </c>
      <c r="IG117" s="15">
        <f>MIN(1,MAX(VLOOKUP(($AJ117-$AI117-$AH117-$AG117-$AF117-$AE117*(1+IG$3))/$AJ117,'Технический лист'!$A:$B,2,1),(IF117-0.05)))</f>
        <v>1</v>
      </c>
      <c r="IH117" s="15">
        <f>MIN(1,MAX(VLOOKUP(($AJ117-$AI117-$AH117-$AG117-$AF117-$AE117*(1+IH$3))/$AJ117,'Технический лист'!$A:$B,2,1),(IG117-0.05)))</f>
        <v>1</v>
      </c>
      <c r="II117" s="15">
        <f>MIN(1,MAX(VLOOKUP(($AJ117-$AI117-$AH117-$AG117-$AF117-$AE117*(1+II$3))/$AJ117,'Технический лист'!$A:$B,2,1),(IH117-0.05)))</f>
        <v>1</v>
      </c>
      <c r="IJ117" s="15">
        <f>MIN(1,MAX(VLOOKUP(($AJ117-$AI117-$AH117-$AG117-$AF117-$AE117*(1+IJ$3))/$AJ117,'Технический лист'!$A:$B,2,1),(II117-0.05)))</f>
        <v>1</v>
      </c>
      <c r="IK117" s="15">
        <f>MIN(1,MAX(VLOOKUP(($AJ117-$AI117-$AH117-$AG117-$AF117-$AE117*(1+IK$3))/$AJ117,'Технический лист'!$A:$B,2,1),(IJ117-0.05)))</f>
        <v>1</v>
      </c>
      <c r="IL117" s="15">
        <f>MIN(1,MAX(VLOOKUP(($AJ117-$AI117-$AH117-$AG117-$AF117-$AE117*(1+IL$3))/$AJ117,'Технический лист'!$A:$B,2,1),(IK117-0.05)))</f>
        <v>1</v>
      </c>
      <c r="IM117" s="15">
        <f>MIN(1,MAX(VLOOKUP(($AJ117-$AI117-$AH117-$AG117-$AF117-$AE117*(1+IM$3))/$AJ117,'Технический лист'!$A:$B,2,1),(IL117-0.05)))</f>
        <v>1</v>
      </c>
      <c r="IN117" s="15">
        <f>MIN(1,MAX(VLOOKUP(($AJ117-$AI117-$AH117-$AG117-$AF117-$AE117*(1+IN$3))/$AJ117,'Технический лист'!$A:$B,2,1),(IM117-0.05)))</f>
        <v>1</v>
      </c>
      <c r="IO117" s="15">
        <f>MIN(1,MAX(VLOOKUP(($AJ117-$AI117-$AH117-$AG117-$AF117-$AE117*(1+IO$3))/$AJ117,'Технический лист'!$A:$B,2,1),(IN117-0.05)))</f>
        <v>1</v>
      </c>
      <c r="IP117" s="15">
        <f>MIN(1,MAX(VLOOKUP(($AJ117-$AI117-$AH117-$AG117-$AF117-$AE117*(1+IP$3))/$AJ117,'Технический лист'!$A:$B,2,1),(IO117-0.05)))</f>
        <v>1</v>
      </c>
      <c r="IQ117" s="15">
        <f>MIN(1,MAX(VLOOKUP(($AJ117-$AI117-$AH117-$AG117-$AF117-$AE117*(1+IQ$3))/$AJ117,'Технический лист'!$A:$B,2,1),(IP117-0.05)))</f>
        <v>1</v>
      </c>
      <c r="IR117" s="15">
        <f>MIN(1,MAX(VLOOKUP(($AJ117-$AI117-$AH117-$AG117-$AF117-$AE117*(1+IR$3))/$AJ117,'Технический лист'!$A:$B,2,1),(IQ117-0.05)))</f>
        <v>1</v>
      </c>
    </row>
    <row r="118" spans="1:252" ht="29.15">
      <c r="A118" s="89" t="s">
        <v>515</v>
      </c>
      <c r="B118" s="90">
        <v>5</v>
      </c>
      <c r="C118" s="5" t="s">
        <v>68</v>
      </c>
      <c r="D118" s="91">
        <v>32417</v>
      </c>
      <c r="E118" s="91" t="s">
        <v>353</v>
      </c>
      <c r="F118" s="92" t="s">
        <v>75</v>
      </c>
      <c r="G118" s="91" t="s">
        <v>28</v>
      </c>
      <c r="H118" s="91" t="s">
        <v>16</v>
      </c>
      <c r="I118" s="91" t="s">
        <v>105</v>
      </c>
      <c r="J118" s="91" t="s">
        <v>139</v>
      </c>
      <c r="K118" s="91">
        <v>9441</v>
      </c>
      <c r="L118" s="77" t="s">
        <v>189</v>
      </c>
      <c r="M118" s="91" t="s">
        <v>17</v>
      </c>
      <c r="N118" s="91" t="s">
        <v>48</v>
      </c>
      <c r="O118" s="91" t="s">
        <v>194</v>
      </c>
      <c r="P118" s="89" t="s">
        <v>246</v>
      </c>
      <c r="Q118" s="91" t="s">
        <v>282</v>
      </c>
      <c r="R118" s="91" t="s">
        <v>257</v>
      </c>
      <c r="S118" s="82">
        <v>2731</v>
      </c>
      <c r="T118" s="82">
        <v>25779308</v>
      </c>
      <c r="U118" s="81">
        <v>30</v>
      </c>
      <c r="V118" s="81">
        <v>103</v>
      </c>
      <c r="W118" s="82">
        <v>13533751</v>
      </c>
      <c r="X118" s="112">
        <v>52</v>
      </c>
      <c r="Y118" s="112" t="s">
        <v>48</v>
      </c>
      <c r="Z118" s="113">
        <v>16</v>
      </c>
      <c r="AA118" s="113">
        <v>0</v>
      </c>
      <c r="AB118" s="113">
        <v>4</v>
      </c>
      <c r="AC118" s="99">
        <f>196374/X118</f>
        <v>3776.4230769230771</v>
      </c>
      <c r="AD118" s="99">
        <v>0</v>
      </c>
      <c r="AE118" s="99">
        <f t="shared" si="47"/>
        <v>3776.4230769230771</v>
      </c>
      <c r="AF118" s="98">
        <f>(AB118+AA118+Z118)*'Ставки аренды'!$B$6/X118</f>
        <v>615.38461538461536</v>
      </c>
      <c r="AG118" s="94"/>
      <c r="AH118" s="94">
        <v>0</v>
      </c>
      <c r="AI118" s="116">
        <f>539714289/604384772*AVERAGE(AJ116,AJ118)</f>
        <v>39416.415143092439</v>
      </c>
      <c r="AJ118" s="117">
        <f>Цены!C17*'Курсы валют'!B2</f>
        <v>39678.86</v>
      </c>
      <c r="AK118" s="94">
        <f>AJ118/Цены!$B$1</f>
        <v>520</v>
      </c>
      <c r="AL118" s="95">
        <f t="shared" si="24"/>
        <v>4391.8076923076924</v>
      </c>
      <c r="AM118" s="95">
        <f t="shared" si="25"/>
        <v>35287.052307692305</v>
      </c>
      <c r="AN118" s="94">
        <f t="shared" si="39"/>
        <v>43808.222835400134</v>
      </c>
      <c r="AO118" s="118">
        <f t="shared" si="40"/>
        <v>-0.10406959361736032</v>
      </c>
      <c r="AP118" s="96">
        <f t="shared" si="26"/>
        <v>0.1106838173351677</v>
      </c>
      <c r="AQ118" s="96">
        <f t="shared" si="27"/>
        <v>9.5174686896828106E-2</v>
      </c>
      <c r="AR118" s="96">
        <f t="shared" si="28"/>
        <v>0.85987897046073547</v>
      </c>
      <c r="AS118" s="122">
        <v>1</v>
      </c>
      <c r="AT118" s="121">
        <f t="shared" si="45"/>
        <v>2731</v>
      </c>
      <c r="AU118" s="83">
        <v>0.95</v>
      </c>
      <c r="AV118" s="119">
        <f t="shared" si="41"/>
        <v>-0.11549055604497967</v>
      </c>
      <c r="AW118" s="120">
        <f t="shared" si="42"/>
        <v>0.12210477976278709</v>
      </c>
      <c r="AX118" s="120">
        <f t="shared" si="43"/>
        <v>0.1065956493244475</v>
      </c>
      <c r="AY118" s="120">
        <f t="shared" si="44"/>
        <v>0.8729850668543101</v>
      </c>
      <c r="AZ118" s="15">
        <f>MIN(IF($AU118=100%,1,1+VLOOKUP(($AJ118-$AI118-$AH118-$AG118-$AF118-$AE118*(1+AZ$3))/$AJ118,'Технический лист'!$I:$J,2,1)-VLOOKUP($AO118,'Технический лист'!$I:$J,2,1)),1+(1-$AU118))</f>
        <v>1.05</v>
      </c>
      <c r="BA118" s="15">
        <f>MIN(IF($AU118=100%,1,1+VLOOKUP(($AJ118-$AI118-$AH118-$AG118-$AF118-$AE118*(1+BA$3))/$AJ118,'Технический лист'!$I:$J,2,1)-VLOOKUP($AO118,'Технический лист'!$I:$J,2,1)),1+(1-$AU118))</f>
        <v>1.05</v>
      </c>
      <c r="BB118" s="15">
        <f>MIN(IF($AU118=100%,1,1+VLOOKUP(($AJ118-$AI118-$AH118-$AG118-$AF118-$AE118*(1+BB$3))/$AJ118,'Технический лист'!$I:$J,2,1)-VLOOKUP($AO118,'Технический лист'!$I:$J,2,1)),1+(1-$AU118))</f>
        <v>1.05</v>
      </c>
      <c r="BC118" s="15">
        <f>MIN(IF($AU118=100%,1,1+VLOOKUP(($AJ118-$AI118-$AH118-$AG118-$AF118-$AE118*(1+BC$3))/$AJ118,'Технический лист'!$I:$J,2,1)-VLOOKUP($AO118,'Технический лист'!$I:$J,2,1)),1+(1-$AU118))</f>
        <v>1.05</v>
      </c>
      <c r="BD118" s="15">
        <f>MIN(IF($AU118=100%,1,1+VLOOKUP(($AJ118-$AI118-$AH118-$AG118-$AF118-$AE118*(1+BD$3))/$AJ118,'Технический лист'!$I:$J,2,1)-VLOOKUP($AO118,'Технический лист'!$I:$J,2,1)),1+(1-$AU118))</f>
        <v>1.05</v>
      </c>
      <c r="BE118" s="15">
        <f>MIN(IF($AU118=100%,1,1+VLOOKUP(($AJ118-$AI118-$AH118-$AG118-$AF118-$AE118*(1+BE$3))/$AJ118,'Технический лист'!$I:$J,2,1)-VLOOKUP($AO118,'Технический лист'!$I:$J,2,1)),1+(1-$AU118))</f>
        <v>1.05</v>
      </c>
      <c r="BF118" s="15">
        <f>MIN(IF($AU118=100%,1,1+VLOOKUP(($AJ118-$AI118-$AH118-$AG118-$AF118-$AE118*(1+BF$3))/$AJ118,'Технический лист'!$I:$J,2,1)-VLOOKUP($AO118,'Технический лист'!$I:$J,2,1)),1+(1-$AU118))</f>
        <v>1.05</v>
      </c>
      <c r="BG118" s="15">
        <f>MIN(IF($AU118=100%,1,1+VLOOKUP(($AJ118-$AI118-$AH118-$AG118-$AF118-$AE118*(1+BG$3))/$AJ118,'Технический лист'!$I:$J,2,1)-VLOOKUP($AO118,'Технический лист'!$I:$J,2,1)),1+(1-$AU118))</f>
        <v>1.05</v>
      </c>
      <c r="BH118" s="15">
        <f>MIN(IF($AU118=100%,1,1+VLOOKUP(($AJ118-$AI118-$AH118-$AG118-$AF118-$AE118*(1+BH$3))/$AJ118,'Технический лист'!$I:$J,2,1)-VLOOKUP($AO118,'Технический лист'!$I:$J,2,1)),1+(1-$AU118))</f>
        <v>1.05</v>
      </c>
      <c r="BI118" s="15">
        <f>MIN(IF($AU118=100%,1,1+VLOOKUP(($AJ118-$AI118-$AH118-$AG118-$AF118-$AE118*(1+BI$3))/$AJ118,'Технический лист'!$I:$J,2,1)-VLOOKUP($AO118,'Технический лист'!$I:$J,2,1)),1+(1-$AU118))</f>
        <v>1.05</v>
      </c>
      <c r="BJ118" s="15">
        <f>MIN(IF($AU118=100%,1,1+VLOOKUP(($AJ118-$AI118-$AH118-$AG118-$AF118-$AE118*(1+BJ$3))/$AJ118,'Технический лист'!$I:$J,2,1)-VLOOKUP($AO118,'Технический лист'!$I:$J,2,1)),1+(1-$AU118))</f>
        <v>1.05</v>
      </c>
      <c r="BK118" s="15">
        <f>MIN(IF($AU118=100%,1,1+VLOOKUP(($AJ118-$AI118-$AH118-$AG118-$AF118-$AE118*(1+BK$3))/$AJ118,'Технический лист'!$I:$J,2,1)-VLOOKUP($AO118,'Технический лист'!$I:$J,2,1)),1+(1-$AU118))</f>
        <v>1.05</v>
      </c>
      <c r="BL118" s="15">
        <f>MIN(IF($AU118=100%,1,1+VLOOKUP(($AJ118-$AI118-$AH118-$AG118-$AF118-$AE118*(1+BL$3))/$AJ118,'Технический лист'!$I:$J,2,1)-VLOOKUP($AO118,'Технический лист'!$I:$J,2,1)),1+(1-$AU118))</f>
        <v>1.05</v>
      </c>
      <c r="BM118" s="15">
        <f>MIN(IF($AU118=100%,1,1+VLOOKUP(($AJ118-$AI118-$AH118-$AG118-$AF118-$AE118*(1+BM$3))/$AJ118,'Технический лист'!$I:$J,2,1)-VLOOKUP($AO118,'Технический лист'!$I:$J,2,1)),1+(1-$AU118))</f>
        <v>1.05</v>
      </c>
      <c r="BN118" s="15">
        <f>MIN(IF($AU118=100%,1,1+VLOOKUP(($AJ118-$AI118-$AH118-$AG118-$AF118-$AE118*(1+BN$3))/$AJ118,'Технический лист'!$I:$J,2,1)-VLOOKUP($AO118,'Технический лист'!$I:$J,2,1)),1+(1-$AU118))</f>
        <v>1.05</v>
      </c>
      <c r="BO118" s="15">
        <f>MIN(IF($AU118=100%,1,1+VLOOKUP(($AJ118-$AI118-$AH118-$AG118-$AF118-$AE118*(1+BO$3))/$AJ118,'Технический лист'!$I:$J,2,1)-VLOOKUP($AO118,'Технический лист'!$I:$J,2,1)),1+(1-$AU118))</f>
        <v>1.05</v>
      </c>
      <c r="BP118" s="15">
        <f>MIN(IF($AU118=100%,1,1+VLOOKUP(($AJ118-$AI118-$AH118-$AG118-$AF118-$AE118*(1+BP$3))/$AJ118,'Технический лист'!$I:$J,2,1)-VLOOKUP($AO118,'Технический лист'!$I:$J,2,1)),1+(1-$AU118))</f>
        <v>1.05</v>
      </c>
      <c r="BQ118" s="15">
        <f>MIN(IF($AU118=100%,1,1+VLOOKUP(($AJ118-$AI118-$AH118-$AG118-$AF118-$AE118*(1+BQ$3))/$AJ118,'Технический лист'!$I:$J,2,1)-VLOOKUP($AO118,'Технический лист'!$I:$J,2,1)),1+(1-$AU118))</f>
        <v>1.05</v>
      </c>
      <c r="BR118" s="15">
        <f>MIN(IF($AU118=100%,1,1+VLOOKUP(($AJ118-$AI118-$AH118-$AG118-$AF118-$AE118*(1+BR$3))/$AJ118,'Технический лист'!$I:$J,2,1)-VLOOKUP($AO118,'Технический лист'!$I:$J,2,1)),1+(1-$AU118))</f>
        <v>1.05</v>
      </c>
      <c r="BS118" s="15">
        <f>MIN(IF($AU118=100%,1,1+VLOOKUP(($AJ118-$AI118-$AH118-$AG118-$AF118-$AE118*(1+BS$3))/$AJ118,'Технический лист'!$I:$J,2,1)-VLOOKUP($AO118,'Технический лист'!$I:$J,2,1)),1+(1-$AU118))</f>
        <v>1.05</v>
      </c>
      <c r="BT118" s="15">
        <f>MIN(IF($AU118=100%,1,1+VLOOKUP(($AJ118-$AI118-$AH118-$AG118-$AF118-$AE118*(1+BT$3))/$AJ118,'Технический лист'!$I:$J,2,1)-VLOOKUP($AO118,'Технический лист'!$I:$J,2,1)),1+(1-$AU118))</f>
        <v>1.05</v>
      </c>
      <c r="BU118" s="15">
        <f>MIN(IF($AU118=100%,1,1+VLOOKUP(($AJ118-$AI118-$AH118-$AG118-$AF118-$AE118*(1+BU$3))/$AJ118,'Технический лист'!$I:$J,2,1)-VLOOKUP($AO118,'Технический лист'!$I:$J,2,1)),1+(1-$AU118))</f>
        <v>1.05</v>
      </c>
      <c r="BV118" s="15">
        <f>MIN(IF($AU118=100%,1,1+VLOOKUP(($AJ118-$AI118-$AH118-$AG118-$AF118-$AE118*(1+BV$3))/$AJ118,'Технический лист'!$I:$J,2,1)-VLOOKUP($AO118,'Технический лист'!$I:$J,2,1)),1+(1-$AU118))</f>
        <v>1.05</v>
      </c>
      <c r="BW118" s="15">
        <f>MIN(IF($AU118=100%,1,1+VLOOKUP(($AJ118-$AI118-$AH118-$AG118-$AF118-$AE118*(1+BW$3))/$AJ118,'Технический лист'!$I:$J,2,1)-VLOOKUP($AO118,'Технический лист'!$I:$J,2,1)),1+(1-$AU118))</f>
        <v>1.05</v>
      </c>
      <c r="BX118" s="15">
        <f>MIN(IF($AU118=100%,1,1+VLOOKUP(($AJ118-$AI118-$AH118-$AG118-$AF118-$AE118*(1+BX$3))/$AJ118,'Технический лист'!$I:$J,2,1)-VLOOKUP($AO118,'Технический лист'!$I:$J,2,1)),1+(1-$AU118))</f>
        <v>1.05</v>
      </c>
      <c r="BY118" s="15">
        <f>MIN(IF($AU118=100%,1,1+VLOOKUP(($AJ118-$AI118-$AH118-$AG118-$AF118-$AE118*(1+BY$3))/$AJ118,'Технический лист'!$I:$J,2,1)-VLOOKUP($AO118,'Технический лист'!$I:$J,2,1)),1+(1-$AU118))</f>
        <v>1.05</v>
      </c>
      <c r="BZ118" s="15">
        <f>MIN(IF($AU118=100%,1,1+VLOOKUP(($AJ118-$AI118-$AH118-$AG118-$AF118-$AE118*(1+BZ$3))/$AJ118,'Технический лист'!$I:$J,2,1)-VLOOKUP($AO118,'Технический лист'!$I:$J,2,1)),1+(1-$AU118))</f>
        <v>1.05</v>
      </c>
      <c r="CA118" s="15">
        <f>MIN(IF($AU118=100%,1,1+VLOOKUP(($AJ118-$AI118-$AH118-$AG118-$AF118-$AE118*(1+CA$3))/$AJ118,'Технический лист'!$I:$J,2,1)-VLOOKUP($AO118,'Технический лист'!$I:$J,2,1)),1+(1-$AU118))</f>
        <v>1.05</v>
      </c>
      <c r="CB118" s="15">
        <f>MIN(IF($AU118=100%,1,1+VLOOKUP(($AJ118-$AI118-$AH118-$AG118-$AF118-$AE118*(1+CB$3))/$AJ118,'Технический лист'!$I:$J,2,1)-VLOOKUP($AO118,'Технический лист'!$I:$J,2,1)),1+(1-$AU118))</f>
        <v>1.05</v>
      </c>
      <c r="CC118" s="15">
        <f>MIN(IF($AU118=100%,1,1+VLOOKUP(($AJ118-$AI118-$AH118-$AG118-$AF118-$AE118*(1+CC$3))/$AJ118,'Технический лист'!$I:$J,2,1)-VLOOKUP($AO118,'Технический лист'!$I:$J,2,1)),1+(1-$AU118))</f>
        <v>1.05</v>
      </c>
      <c r="CD118" s="15">
        <f>MIN(IF($AU118=100%,1,1+VLOOKUP(($AJ118-$AI118-$AH118-$AG118-$AF118-$AE118*(1+CD$3))/$AJ118,'Технический лист'!$I:$J,2,1)-VLOOKUP($AO118,'Технический лист'!$I:$J,2,1)),1+(1-$AU118))</f>
        <v>1.05</v>
      </c>
      <c r="CE118" s="15">
        <f>MIN(IF($AU118=100%,1,1+VLOOKUP(($AJ118-$AI118-$AH118-$AG118-$AF118-$AE118*(1+CE$3))/$AJ118,'Технический лист'!$I:$J,2,1)-VLOOKUP($AO118,'Технический лист'!$I:$J,2,1)),1+(1-$AU118))</f>
        <v>1.05</v>
      </c>
      <c r="CF118" s="15">
        <f>MIN(IF($AU118=100%,1,1+VLOOKUP(($AJ118-$AI118-$AH118-$AG118-$AF118-$AE118*(1+CF$3))/$AJ118,'Технический лист'!$I:$J,2,1)-VLOOKUP($AO118,'Технический лист'!$I:$J,2,1)),1+(1-$AU118))</f>
        <v>1.05</v>
      </c>
      <c r="CG118" s="15">
        <f>MIN(IF($AU118=100%,1,1+VLOOKUP(($AJ118-$AI118-$AH118-$AG118-$AF118-$AE118*(1+CG$3))/$AJ118,'Технический лист'!$I:$J,2,1)-VLOOKUP($AO118,'Технический лист'!$I:$J,2,1)),1+(1-$AU118))</f>
        <v>1.05</v>
      </c>
      <c r="CH118" s="15">
        <f>MIN(IF($AU118=100%,1,1+VLOOKUP(($AJ118-$AI118-$AH118-$AG118-$AF118-$AE118*(1+CH$3))/$AJ118,'Технический лист'!$I:$J,2,1)-VLOOKUP($AO118,'Технический лист'!$I:$J,2,1)),1+(1-$AU118))</f>
        <v>1.05</v>
      </c>
      <c r="CI118" s="15">
        <f>MIN(IF($AU118=100%,1,1+VLOOKUP(($AJ118-$AI118-$AH118-$AG118-$AF118-$AE118*(1+CI$3))/$AJ118,'Технический лист'!$I:$J,2,1)-VLOOKUP($AO118,'Технический лист'!$I:$J,2,1)),1+(1-$AU118))</f>
        <v>1.05</v>
      </c>
      <c r="CJ118" s="15">
        <f>MIN(IF($AU118=100%,1,1+VLOOKUP(($AJ118-$AI118-$AH118-$AG118-$AF118-$AE118*(1+CJ$3))/$AJ118,'Технический лист'!$I:$J,2,1)-VLOOKUP($AO118,'Технический лист'!$I:$J,2,1)),1+(1-$AU118))</f>
        <v>1.05</v>
      </c>
      <c r="CK118" s="15">
        <f>MIN(IF($AU118=100%,1,1+VLOOKUP(($AJ118-$AI118-$AH118-$AG118-$AF118-$AE118*(1+CK$3))/$AJ118,'Технический лист'!$I:$J,2,1)-VLOOKUP($AO118,'Технический лист'!$I:$J,2,1)),1+(1-$AU118))</f>
        <v>1.05</v>
      </c>
      <c r="CL118" s="15">
        <f>MIN(IF($AU118=100%,1,1+VLOOKUP(($AJ118-$AI118-$AH118-$AG118-$AF118-$AE118*(1+CL$3))/$AJ118,'Технический лист'!$I:$J,2,1)-VLOOKUP($AO118,'Технический лист'!$I:$J,2,1)),1+(1-$AU118))</f>
        <v>1.05</v>
      </c>
      <c r="CM118" s="15">
        <f>MIN(IF($AU118=100%,1,1+VLOOKUP(($AJ118-$AI118-$AH118-$AG118-$AF118-$AE118*(1+CM$3))/$AJ118,'Технический лист'!$I:$J,2,1)-VLOOKUP($AO118,'Технический лист'!$I:$J,2,1)),1+(1-$AU118))</f>
        <v>1.05</v>
      </c>
      <c r="CN118" s="15">
        <f>MIN(IF($AU118=100%,1,1+VLOOKUP(($AJ118-$AI118-$AH118-$AG118-$AF118-$AE118*(1+CN$3))/$AJ118,'Технический лист'!$I:$J,2,1)-VLOOKUP($AO118,'Технический лист'!$I:$J,2,1)),1+(1-$AU118))</f>
        <v>1.05</v>
      </c>
      <c r="CO118" s="15">
        <f>MIN(IF($AU118=100%,1,1+VLOOKUP(($AJ118-$AI118-$AH118-$AG118-$AF118-$AE118*(1+CO$3))/$AJ118,'Технический лист'!$I:$J,2,1)-VLOOKUP($AO118,'Технический лист'!$I:$J,2,1)),1+(1-$AU118))</f>
        <v>1.05</v>
      </c>
      <c r="CP118" s="15">
        <f>MIN(IF($AU118=100%,1,1+VLOOKUP(($AJ118-$AI118-$AH118-$AG118-$AF118-$AE118*(1+CP$3))/$AJ118,'Технический лист'!$I:$J,2,1)-VLOOKUP($AO118,'Технический лист'!$I:$J,2,1)),1+(1-$AU118))</f>
        <v>1.05</v>
      </c>
      <c r="CQ118" s="15">
        <f>MIN(IF($AU118=100%,1,1+VLOOKUP(($AJ118-$AI118-$AH118-$AG118-$AF118-$AE118*(1+CQ$3))/$AJ118,'Технический лист'!$I:$J,2,1)-VLOOKUP($AO118,'Технический лист'!$I:$J,2,1)),1+(1-$AU118))</f>
        <v>1.05</v>
      </c>
      <c r="CR118" s="15">
        <f>MIN(IF($AU118=100%,1,1+VLOOKUP(($AJ118-$AI118-$AH118-$AG118-$AF118-$AE118*(1+CR$3))/$AJ118,'Технический лист'!$I:$J,2,1)-VLOOKUP($AO118,'Технический лист'!$I:$J,2,1)),1+(1-$AU118))</f>
        <v>1.05</v>
      </c>
      <c r="CS118" s="15">
        <f>MIN(IF($AU118=100%,1,1+VLOOKUP(($AJ118-$AI118-$AH118-$AG118-$AF118-$AE118*(1+CS$3))/$AJ118,'Технический лист'!$I:$J,2,1)-VLOOKUP($AO118,'Технический лист'!$I:$J,2,1)),1+(1-$AU118))</f>
        <v>1.05</v>
      </c>
      <c r="CT118" s="15">
        <f>MIN(IF($AU118=100%,1,1+VLOOKUP(($AJ118-$AI118-$AH118-$AG118-$AF118-$AE118*(1+CT$3))/$AJ118,'Технический лист'!$I:$J,2,1)-VLOOKUP($AO118,'Технический лист'!$I:$J,2,1)),1+(1-$AU118))</f>
        <v>1.05</v>
      </c>
      <c r="CU118" s="15">
        <f>MIN(IF($AU118=100%,1,1+VLOOKUP(($AJ118-$AI118-$AH118-$AG118-$AF118-$AE118*(1+CU$3))/$AJ118,'Технический лист'!$I:$J,2,1)-VLOOKUP($AO118,'Технический лист'!$I:$J,2,1)),1+(1-$AU118))</f>
        <v>1.05</v>
      </c>
      <c r="CV118" s="15">
        <f>MIN(IF($AU118=100%,1,1+VLOOKUP(($AJ118-$AI118-$AH118-$AG118-$AF118-$AE118*(1+CV$3))/$AJ118,'Технический лист'!$I:$J,2,1)-VLOOKUP($AO118,'Технический лист'!$I:$J,2,1)),1+(1-$AU118))</f>
        <v>1.05</v>
      </c>
      <c r="CW118" s="15">
        <f>MIN(IF($AU118=100%,1,1+VLOOKUP(($AJ118-$AI118-$AH118-$AG118-$AF118-$AE118*(1+CW$3))/$AJ118,'Технический лист'!$I:$J,2,1)-VLOOKUP($AO118,'Технический лист'!$I:$J,2,1)),1+(1-$AU118))</f>
        <v>1.05</v>
      </c>
      <c r="CX118" s="15">
        <f>MIN(IF($AU118=100%,1,1+VLOOKUP(($AJ118-$AI118-$AH118-$AG118-$AF118-$AE118*(1+CX$3))/$AJ118,'Технический лист'!$I:$J,2,1)-VLOOKUP($AO118,'Технический лист'!$I:$J,2,1)),1+(1-$AU118))</f>
        <v>1.05</v>
      </c>
      <c r="CY118" s="15">
        <f>MIN(IF($AU118=100%,1,1+VLOOKUP(($AJ118-$AI118-$AH118-$AG118-$AF118-$AE118*(1+CY$3))/$AJ118,'Технический лист'!$I:$J,2,1)-VLOOKUP($AO118,'Технический лист'!$I:$J,2,1)),1+(1-$AU118))</f>
        <v>1.05</v>
      </c>
      <c r="CZ118" s="15">
        <f>MIN(IF($AU118=100%,1,1+VLOOKUP(($AJ118-$AI118-$AH118-$AG118-$AF118-$AE118*(1+CZ$3))/$AJ118,'Технический лист'!$I:$J,2,1)-VLOOKUP($AO118,'Технический лист'!$I:$J,2,1)),1+(1-$AU118))</f>
        <v>1.05</v>
      </c>
      <c r="DA118" s="15">
        <f>MIN(IF($AU118=100%,1,1+VLOOKUP(($AJ118-$AI118-$AH118-$AG118-$AF118-$AE118*(1+DA$3))/$AJ118,'Технический лист'!$I:$J,2,1)-VLOOKUP($AO118,'Технический лист'!$I:$J,2,1)),1+(1-$AU118))</f>
        <v>1.05</v>
      </c>
      <c r="DB118" s="15">
        <f>MIN(IF($AU118=100%,1,1+VLOOKUP(($AJ118-$AI118-$AH118-$AG118-$AF118-$AE118*(1+DB$3))/$AJ118,'Технический лист'!$I:$J,2,1)-VLOOKUP($AO118,'Технический лист'!$I:$J,2,1)),1+(1-$AU118))</f>
        <v>1.05</v>
      </c>
      <c r="DC118" s="15">
        <f>MIN(IF($AU118=100%,1,1+VLOOKUP(($AJ118-$AI118-$AH118-$AG118-$AF118-$AE118*(1+DC$3))/$AJ118,'Технический лист'!$I:$J,2,1)-VLOOKUP($AO118,'Технический лист'!$I:$J,2,1)),1+(1-$AU118))</f>
        <v>1.05</v>
      </c>
      <c r="DD118" s="15">
        <f>MIN(IF($AU118=100%,1,1+VLOOKUP(($AJ118-$AI118-$AH118-$AG118-$AF118-$AE118*(1+DD$3))/$AJ118,'Технический лист'!$I:$J,2,1)-VLOOKUP($AO118,'Технический лист'!$I:$J,2,1)),1+(1-$AU118))</f>
        <v>1.05</v>
      </c>
      <c r="DE118" s="15">
        <f>MIN(IF($AU118=100%,1,1+VLOOKUP(($AJ118-$AI118-$AH118-$AG118-$AF118-$AE118*(1+DE$3))/$AJ118,'Технический лист'!$I:$J,2,1)-VLOOKUP($AO118,'Технический лист'!$I:$J,2,1)),1+(1-$AU118))</f>
        <v>1.05</v>
      </c>
      <c r="DF118" s="15">
        <f>MIN(IF($AU118=100%,1,1+VLOOKUP(($AJ118-$AI118-$AH118-$AG118-$AF118-$AE118*(1+DF$3))/$AJ118,'Технический лист'!$I:$J,2,1)-VLOOKUP($AO118,'Технический лист'!$I:$J,2,1)),1+(1-$AU118))</f>
        <v>1.05</v>
      </c>
      <c r="DG118" s="15">
        <f>MIN(IF($AU118=100%,1,1+VLOOKUP(($AJ118-$AI118-$AH118-$AG118-$AF118-$AE118*(1+DG$3))/$AJ118,'Технический лист'!$I:$J,2,1)-VLOOKUP($AO118,'Технический лист'!$I:$J,2,1)),1+(1-$AU118))</f>
        <v>1.05</v>
      </c>
      <c r="DH118" s="15">
        <f>MIN(IF($AU118=100%,1,1+VLOOKUP(($AJ118-$AI118-$AH118-$AG118-$AF118-$AE118*(1+DH$3))/$AJ118,'Технический лист'!$I:$J,2,1)-VLOOKUP($AO118,'Технический лист'!$I:$J,2,1)),1+(1-$AU118))</f>
        <v>1.05</v>
      </c>
      <c r="DI118" s="15">
        <f>MIN(IF($AU118=100%,1,1+VLOOKUP(($AJ118-$AI118-$AH118-$AG118-$AF118-$AE118*(1+DI$3))/$AJ118,'Технический лист'!$I:$J,2,1)-VLOOKUP($AO118,'Технический лист'!$I:$J,2,1)),1+(1-$AU118))</f>
        <v>1.05</v>
      </c>
      <c r="DJ118" s="15">
        <f>MIN(IF($AU118=100%,1,1+VLOOKUP(($AJ118-$AI118-$AH118-$AG118-$AF118-$AE118*(1+DJ$3))/$AJ118,'Технический лист'!$I:$J,2,1)-VLOOKUP($AO118,'Технический лист'!$I:$J,2,1)),1+(1-$AU118))</f>
        <v>1.05</v>
      </c>
      <c r="DK118" s="15">
        <f>MIN(IF($AU118=100%,1,1+VLOOKUP(($AJ118-$AI118-$AH118-$AG118-$AF118-$AE118*(1+DK$3))/$AJ118,'Технический лист'!$I:$J,2,1)-VLOOKUP($AO118,'Технический лист'!$I:$J,2,1)),1+(1-$AU118))</f>
        <v>1.05</v>
      </c>
      <c r="DL118" s="15">
        <f>MIN(IF($AU118=100%,1,1+VLOOKUP(($AJ118-$AI118-$AH118-$AG118-$AF118-$AE118*(1+DL$3))/$AJ118,'Технический лист'!$I:$J,2,1)-VLOOKUP($AO118,'Технический лист'!$I:$J,2,1)),1+(1-$AU118))</f>
        <v>1.05</v>
      </c>
      <c r="DM118" s="15">
        <f>MIN(IF($AU118=100%,1,1+VLOOKUP(($AJ118-$AI118-$AH118-$AG118-$AF118-$AE118*(1+DM$3))/$AJ118,'Технический лист'!$I:$J,2,1)-VLOOKUP($AO118,'Технический лист'!$I:$J,2,1)),1+(1-$AU118))</f>
        <v>1.05</v>
      </c>
      <c r="DN118" s="15">
        <f>MIN(IF($AU118=100%,1,1+VLOOKUP(($AJ118-$AI118-$AH118-$AG118-$AF118-$AE118*(1+DN$3))/$AJ118,'Технический лист'!$I:$J,2,1)-VLOOKUP($AO118,'Технический лист'!$I:$J,2,1)),1+(1-$AU118))</f>
        <v>1.05</v>
      </c>
      <c r="DO118" s="15">
        <f>MIN(IF($AU118=100%,1,1+VLOOKUP(($AJ118-$AI118-$AH118-$AG118-$AF118-$AE118*(1+DO$3))/$AJ118,'Технический лист'!$I:$J,2,1)-VLOOKUP($AO118,'Технический лист'!$I:$J,2,1)),1+(1-$AU118))</f>
        <v>1.05</v>
      </c>
      <c r="DP118" s="15">
        <f>MIN(IF($AU118=100%,1,1+VLOOKUP(($AJ118-$AI118-$AH118-$AG118-$AF118-$AE118*(1+DP$3))/$AJ118,'Технический лист'!$I:$J,2,1)-VLOOKUP($AO118,'Технический лист'!$I:$J,2,1)),1+(1-$AU118))</f>
        <v>1.05</v>
      </c>
      <c r="DQ118" s="15">
        <f>MIN(IF($AU118=100%,1,1+VLOOKUP(($AJ118-$AI118-$AH118-$AG118-$AF118-$AE118*(1+DQ$3))/$AJ118,'Технический лист'!$I:$J,2,1)-VLOOKUP($AO118,'Технический лист'!$I:$J,2,1)),1+(1-$AU118))</f>
        <v>1.05</v>
      </c>
      <c r="DR118" s="15">
        <f>MIN(IF($AU118=100%,1,1+VLOOKUP(($AJ118-$AI118-$AH118-$AG118-$AF118-$AE118*(1+DR$3))/$AJ118,'Технический лист'!$I:$J,2,1)-VLOOKUP($AO118,'Технический лист'!$I:$J,2,1)),1+(1-$AU118))</f>
        <v>1.05</v>
      </c>
      <c r="DS118" s="15">
        <f>MIN(IF($AU118=100%,1,1+VLOOKUP(($AJ118-$AI118-$AH118-$AG118-$AF118-$AE118*(1+DS$3))/$AJ118,'Технический лист'!$I:$J,2,1)-VLOOKUP($AO118,'Технический лист'!$I:$J,2,1)),1+(1-$AU118))</f>
        <v>1.05</v>
      </c>
      <c r="DT118" s="15">
        <f>MIN(IF($AU118=100%,1,1+VLOOKUP(($AJ118-$AI118-$AH118-$AG118-$AF118-$AE118*(1+DT$3))/$AJ118,'Технический лист'!$I:$J,2,1)-VLOOKUP($AO118,'Технический лист'!$I:$J,2,1)),1+(1-$AU118))</f>
        <v>1.05</v>
      </c>
      <c r="DU118" s="15">
        <f>MIN(IF($AU118=100%,1,1+VLOOKUP(($AJ118-$AI118-$AH118-$AG118-$AF118-$AE118*(1+DU$3))/$AJ118,'Технический лист'!$I:$J,2,1)-VLOOKUP($AO118,'Технический лист'!$I:$J,2,1)),1+(1-$AU118))</f>
        <v>1.05</v>
      </c>
      <c r="DV118" s="15">
        <f>MIN(IF($AU118=100%,1,1+VLOOKUP(($AJ118-$AI118-$AH118-$AG118-$AF118-$AE118*(1+DV$3))/$AJ118,'Технический лист'!$I:$J,2,1)-VLOOKUP($AO118,'Технический лист'!$I:$J,2,1)),1+(1-$AU118))</f>
        <v>1.05</v>
      </c>
      <c r="DW118" s="15">
        <f>MIN(IF($AU118=100%,1,1+VLOOKUP(($AJ118-$AI118-$AH118-$AG118-$AF118-$AE118*(1+DW$3))/$AJ118,'Технический лист'!$I:$J,2,1)-VLOOKUP($AO118,'Технический лист'!$I:$J,2,1)),1+(1-$AU118))</f>
        <v>1.05</v>
      </c>
      <c r="DX118" s="15">
        <f>MIN(IF($AU118=100%,1,1+VLOOKUP(($AJ118-$AI118-$AH118-$AG118-$AF118-$AE118*(1+DX$3))/$AJ118,'Технический лист'!$I:$J,2,1)-VLOOKUP($AO118,'Технический лист'!$I:$J,2,1)),1+(1-$AU118))</f>
        <v>1.05</v>
      </c>
      <c r="DY118" s="15">
        <f>MIN(IF($AU118=100%,1,1+VLOOKUP(($AJ118-$AI118-$AH118-$AG118-$AF118-$AE118*(1+DY$3))/$AJ118,'Технический лист'!$I:$J,2,1)-VLOOKUP($AO118,'Технический лист'!$I:$J,2,1)),1+(1-$AU118))</f>
        <v>1.05</v>
      </c>
      <c r="DZ118" s="15">
        <f>MIN(IF($AU118=100%,1,1+VLOOKUP(($AJ118-$AI118-$AH118-$AG118-$AF118-$AE118*(1+DZ$3))/$AJ118,'Технический лист'!$I:$J,2,1)-VLOOKUP($AO118,'Технический лист'!$I:$J,2,1)),1+(1-$AU118))</f>
        <v>1.05</v>
      </c>
      <c r="EA118" s="15">
        <f>MIN(IF($AU118=100%,1,1+VLOOKUP(($AJ118-$AI118-$AH118-$AG118-$AF118-$AE118*(1+EA$3))/$AJ118,'Технический лист'!$I:$J,2,1)-VLOOKUP($AO118,'Технический лист'!$I:$J,2,1)),1+(1-$AU118))</f>
        <v>1.05</v>
      </c>
      <c r="EB118" s="15">
        <f>MIN(IF($AU118=100%,1,1+VLOOKUP(($AJ118-$AI118-$AH118-$AG118-$AF118-$AE118*(1+EB$3))/$AJ118,'Технический лист'!$I:$J,2,1)-VLOOKUP($AO118,'Технический лист'!$I:$J,2,1)),1+(1-$AU118))</f>
        <v>1.05</v>
      </c>
      <c r="EC118" s="15">
        <f>MIN(IF($AU118=100%,1,1+VLOOKUP(($AJ118-$AI118-$AH118-$AG118-$AF118-$AE118*(1+EC$3))/$AJ118,'Технический лист'!$I:$J,2,1)-VLOOKUP($AO118,'Технический лист'!$I:$J,2,1)),1+(1-$AU118))</f>
        <v>1.0349999999999997</v>
      </c>
      <c r="ED118" s="15">
        <f>MIN(IF($AU118=100%,1,1+VLOOKUP(($AJ118-$AI118-$AH118-$AG118-$AF118-$AE118*(1+ED$3))/$AJ118,'Технический лист'!$I:$J,2,1)-VLOOKUP($AO118,'Технический лист'!$I:$J,2,1)),1+(1-$AU118))</f>
        <v>1.0349999999999997</v>
      </c>
      <c r="EE118" s="15">
        <f>MIN(IF($AU118=100%,1,1+VLOOKUP(($AJ118-$AI118-$AH118-$AG118-$AF118-$AE118*(1+EE$3))/$AJ118,'Технический лист'!$I:$J,2,1)-VLOOKUP($AO118,'Технический лист'!$I:$J,2,1)),1+(1-$AU118))</f>
        <v>1.0349999999999997</v>
      </c>
      <c r="EF118" s="15">
        <f>MIN(IF($AU118=100%,1,1+VLOOKUP(($AJ118-$AI118-$AH118-$AG118-$AF118-$AE118*(1+EF$3))/$AJ118,'Технический лист'!$I:$J,2,1)-VLOOKUP($AO118,'Технический лист'!$I:$J,2,1)),1+(1-$AU118))</f>
        <v>1.0349999999999997</v>
      </c>
      <c r="EG118" s="15">
        <f>MIN(IF($AU118=100%,1,1+VLOOKUP(($AJ118-$AI118-$AH118-$AG118-$AF118-$AE118*(1+EG$3))/$AJ118,'Технический лист'!$I:$J,2,1)-VLOOKUP($AO118,'Технический лист'!$I:$J,2,1)),1+(1-$AU118))</f>
        <v>1.0349999999999997</v>
      </c>
      <c r="EH118" s="15">
        <f>MIN(IF($AU118=100%,1,1+VLOOKUP(($AJ118-$AI118-$AH118-$AG118-$AF118-$AE118*(1+EH$3))/$AJ118,'Технический лист'!$I:$J,2,1)-VLOOKUP($AO118,'Технический лист'!$I:$J,2,1)),1+(1-$AU118))</f>
        <v>1.0349999999999997</v>
      </c>
      <c r="EI118" s="15">
        <f>MIN(IF($AU118=100%,1,1+VLOOKUP(($AJ118-$AI118-$AH118-$AG118-$AF118-$AE118*(1+EI$3))/$AJ118,'Технический лист'!$I:$J,2,1)-VLOOKUP($AO118,'Технический лист'!$I:$J,2,1)),1+(1-$AU118))</f>
        <v>1.0349999999999997</v>
      </c>
      <c r="EJ118" s="15">
        <f>MIN(IF($AU118=100%,1,1+VLOOKUP(($AJ118-$AI118-$AH118-$AG118-$AF118-$AE118*(1+EJ$3))/$AJ118,'Технический лист'!$I:$J,2,1)-VLOOKUP($AO118,'Технический лист'!$I:$J,2,1)),1+(1-$AU118))</f>
        <v>1.0349999999999997</v>
      </c>
      <c r="EK118" s="15">
        <f>MIN(IF($AU118=100%,1,1+VLOOKUP(($AJ118-$AI118-$AH118-$AG118-$AF118-$AE118*(1+EK$3))/$AJ118,'Технический лист'!$I:$J,2,1)-VLOOKUP($AO118,'Технический лист'!$I:$J,2,1)),1+(1-$AU118))</f>
        <v>1.0349999999999997</v>
      </c>
      <c r="EL118" s="15">
        <f>MIN(IF($AU118=100%,1,1+VLOOKUP(($AJ118-$AI118-$AH118-$AG118-$AF118-$AE118*(1+EL$3))/$AJ118,'Технический лист'!$I:$J,2,1)-VLOOKUP($AO118,'Технический лист'!$I:$J,2,1)),1+(1-$AU118))</f>
        <v>1.0349999999999997</v>
      </c>
      <c r="EM118" s="15">
        <f>MIN(IF($AU118=100%,1,1+VLOOKUP(($AJ118-$AI118-$AH118-$AG118-$AF118-$AE118*(1+EM$3))/$AJ118,'Технический лист'!$I:$J,2,1)-VLOOKUP($AO118,'Технический лист'!$I:$J,2,1)),1+(1-$AU118))</f>
        <v>1.0349999999999997</v>
      </c>
      <c r="EN118" s="15">
        <f>MIN(IF($AU118=100%,1,1+VLOOKUP(($AJ118-$AI118-$AH118-$AG118-$AF118-$AE118*(1+EN$3))/$AJ118,'Технический лист'!$I:$J,2,1)-VLOOKUP($AO118,'Технический лист'!$I:$J,2,1)),1+(1-$AU118))</f>
        <v>1</v>
      </c>
      <c r="EO118" s="15">
        <f>MIN(IF($AU118=100%,1,1+VLOOKUP(($AJ118-$AI118-$AH118-$AG118-$AF118-$AE118*(1+EO$3))/$AJ118,'Технический лист'!$I:$J,2,1)-VLOOKUP($AO118,'Технический лист'!$I:$J,2,1)),1+(1-$AU118))</f>
        <v>1</v>
      </c>
      <c r="EP118" s="15">
        <f>MIN(IF($AU118=100%,1,1+VLOOKUP(($AJ118-$AI118-$AH118-$AG118-$AF118-$AE118*(1+EP$3))/$AJ118,'Технический лист'!$I:$J,2,1)-VLOOKUP($AO118,'Технический лист'!$I:$J,2,1)),1+(1-$AU118))</f>
        <v>1</v>
      </c>
      <c r="EQ118" s="15">
        <f>MIN(IF($AU118=100%,1,1+VLOOKUP(($AJ118-$AI118-$AH118-$AG118-$AF118-$AE118*(1+EQ$3))/$AJ118,'Технический лист'!$I:$J,2,1)-VLOOKUP($AO118,'Технический лист'!$I:$J,2,1)),1+(1-$AU118))</f>
        <v>1</v>
      </c>
      <c r="ER118" s="15">
        <f>MIN(IF($AU118=100%,1,1+VLOOKUP(($AJ118-$AI118-$AH118-$AG118-$AF118-$AE118*(1+ER$3))/$AJ118,'Технический лист'!$I:$J,2,1)-VLOOKUP($AO118,'Технический лист'!$I:$J,2,1)),1+(1-$AU118))</f>
        <v>1</v>
      </c>
      <c r="ES118" s="15">
        <f>MIN(IF($AU118=100%,1,1+VLOOKUP(($AJ118-$AI118-$AH118-$AG118-$AF118-$AE118*(1+ES$3))/$AJ118,'Технический лист'!$I:$J,2,1)-VLOOKUP($AO118,'Технический лист'!$I:$J,2,1)),1+(1-$AU118))</f>
        <v>1</v>
      </c>
      <c r="ET118" s="15">
        <f>MIN(IF($AU118=100%,1,1+VLOOKUP(($AJ118-$AI118-$AH118-$AG118-$AF118-$AE118*(1+ET$3))/$AJ118,'Технический лист'!$I:$J,2,1)-VLOOKUP($AO118,'Технический лист'!$I:$J,2,1)),1+(1-$AU118))</f>
        <v>1</v>
      </c>
      <c r="EU118" s="15">
        <f>MIN(IF($AU118=100%,1,1+VLOOKUP(($AJ118-$AI118-$AH118-$AG118-$AF118-$AE118*(1+EU$3))/$AJ118,'Технический лист'!$I:$J,2,1)-VLOOKUP($AO118,'Технический лист'!$I:$J,2,1)),1+(1-$AU118))</f>
        <v>1</v>
      </c>
      <c r="EV118" s="111">
        <v>1</v>
      </c>
      <c r="EW118" s="15">
        <f>MIN(1,MAX(VLOOKUP(($AJ118-$AI118-$AH118-$AG118-$AF118-$AE118*(1+EW$3))/$AJ118,'Технический лист'!$A:$B,2,1),(EV118-0.05)))</f>
        <v>0.95499999999999996</v>
      </c>
      <c r="EX118" s="15">
        <f>MIN(1,MAX(VLOOKUP(($AJ118-$AI118-$AH118-$AG118-$AF118-$AE118*(1+EX$3))/$AJ118,'Технический лист'!$A:$B,2,1),(EW118-0.05)))</f>
        <v>0.95499999999999996</v>
      </c>
      <c r="EY118" s="15">
        <f>MIN(1,MAX(VLOOKUP(($AJ118-$AI118-$AH118-$AG118-$AF118-$AE118*(1+EY$3))/$AJ118,'Технический лист'!$A:$B,2,1),(EX118-0.05)))</f>
        <v>0.95499999999999996</v>
      </c>
      <c r="EZ118" s="15">
        <f>MIN(1,MAX(VLOOKUP(($AJ118-$AI118-$AH118-$AG118-$AF118-$AE118*(1+EZ$3))/$AJ118,'Технический лист'!$A:$B,2,1),(EY118-0.05)))</f>
        <v>0.95499999999999996</v>
      </c>
      <c r="FA118" s="15">
        <f>MIN(1,MAX(VLOOKUP(($AJ118-$AI118-$AH118-$AG118-$AF118-$AE118*(1+FA$3))/$AJ118,'Технический лист'!$A:$B,2,1),(EZ118-0.05)))</f>
        <v>0.95499999999999996</v>
      </c>
      <c r="FB118" s="15">
        <f>MIN(1,MAX(VLOOKUP(($AJ118-$AI118-$AH118-$AG118-$AF118-$AE118*(1+FB$3))/$AJ118,'Технический лист'!$A:$B,2,1),(FA118-0.05)))</f>
        <v>0.95499999999999996</v>
      </c>
      <c r="FC118" s="15">
        <f>MIN(1,MAX(VLOOKUP(($AJ118-$AI118-$AH118-$AG118-$AF118-$AE118*(1+FC$3))/$AJ118,'Технический лист'!$A:$B,2,1),(FB118-0.05)))</f>
        <v>0.95499999999999996</v>
      </c>
      <c r="FD118" s="15">
        <f>MIN(1,MAX(VLOOKUP(($AJ118-$AI118-$AH118-$AG118-$AF118-$AE118*(1+FD$3))/$AJ118,'Технический лист'!$A:$B,2,1),(FC118-0.05)))</f>
        <v>0.95499999999999996</v>
      </c>
      <c r="FE118" s="15">
        <f>MIN(1,MAX(VLOOKUP(($AJ118-$AI118-$AH118-$AG118-$AF118-$AE118*(1+FE$3))/$AJ118,'Технический лист'!$A:$B,2,1),(FD118-0.05)))</f>
        <v>0.95499999999999996</v>
      </c>
      <c r="FF118" s="15">
        <f>MIN(1,MAX(VLOOKUP(($AJ118-$AI118-$AH118-$AG118-$AF118-$AE118*(1+FF$3))/$AJ118,'Технический лист'!$A:$B,2,1),(FE118-0.05)))</f>
        <v>0.95499999999999996</v>
      </c>
      <c r="FG118" s="15">
        <f>MIN(1,MAX(VLOOKUP(($AJ118-$AI118-$AH118-$AG118-$AF118-$AE118*(1+FG$3))/$AJ118,'Технический лист'!$A:$B,2,1),(FF118-0.05)))</f>
        <v>0.95499999999999996</v>
      </c>
      <c r="FH118" s="15">
        <f>MIN(1,MAX(VLOOKUP(($AJ118-$AI118-$AH118-$AG118-$AF118-$AE118*(1+FH$3))/$AJ118,'Технический лист'!$A:$B,2,1),(FG118-0.05)))</f>
        <v>0.95499999999999996</v>
      </c>
      <c r="FI118" s="15">
        <f>MIN(1,MAX(VLOOKUP(($AJ118-$AI118-$AH118-$AG118-$AF118-$AE118*(1+FI$3))/$AJ118,'Технический лист'!$A:$B,2,1),(FH118-0.05)))</f>
        <v>0.95</v>
      </c>
      <c r="FJ118" s="15">
        <f>MIN(1,MAX(VLOOKUP(($AJ118-$AI118-$AH118-$AG118-$AF118-$AE118*(1+FJ$3))/$AJ118,'Технический лист'!$A:$B,2,1),(FI118-0.05)))</f>
        <v>0.95</v>
      </c>
      <c r="FK118" s="15">
        <f>MIN(1,MAX(VLOOKUP(($AJ118-$AI118-$AH118-$AG118-$AF118-$AE118*(1+FK$3))/$AJ118,'Технический лист'!$A:$B,2,1),(FJ118-0.05)))</f>
        <v>0.95</v>
      </c>
      <c r="FL118" s="15">
        <f>MIN(1,MAX(VLOOKUP(($AJ118-$AI118-$AH118-$AG118-$AF118-$AE118*(1+FL$3))/$AJ118,'Технический лист'!$A:$B,2,1),(FK118-0.05)))</f>
        <v>0.95</v>
      </c>
      <c r="FM118" s="15">
        <f>MIN(1,MAX(VLOOKUP(($AJ118-$AI118-$AH118-$AG118-$AF118-$AE118*(1+FM$3))/$AJ118,'Технический лист'!$A:$B,2,1),(FL118-0.05)))</f>
        <v>0.95</v>
      </c>
      <c r="FN118" s="15">
        <f>MIN(1,MAX(VLOOKUP(($AJ118-$AI118-$AH118-$AG118-$AF118-$AE118*(1+FN$3))/$AJ118,'Технический лист'!$A:$B,2,1),(FM118-0.05)))</f>
        <v>0.95</v>
      </c>
      <c r="FO118" s="15">
        <f>MIN(1,MAX(VLOOKUP(($AJ118-$AI118-$AH118-$AG118-$AF118-$AE118*(1+FO$3))/$AJ118,'Технический лист'!$A:$B,2,1),(FN118-0.05)))</f>
        <v>0.95</v>
      </c>
      <c r="FP118" s="15">
        <f>MIN(1,MAX(VLOOKUP(($AJ118-$AI118-$AH118-$AG118-$AF118-$AE118*(1+FP$3))/$AJ118,'Технический лист'!$A:$B,2,1),(FO118-0.05)))</f>
        <v>0.95</v>
      </c>
      <c r="FQ118" s="15">
        <f>MIN(1,MAX(VLOOKUP(($AJ118-$AI118-$AH118-$AG118-$AF118-$AE118*(1+FQ$3))/$AJ118,'Технический лист'!$A:$B,2,1),(FP118-0.05)))</f>
        <v>0.95</v>
      </c>
      <c r="FR118" s="15">
        <f>MIN(1,MAX(VLOOKUP(($AJ118-$AI118-$AH118-$AG118-$AF118-$AE118*(1+FR$3))/$AJ118,'Технический лист'!$A:$B,2,1),(FQ118-0.05)))</f>
        <v>0.95</v>
      </c>
      <c r="FS118" s="15">
        <f>MIN(1,MAX(VLOOKUP(($AJ118-$AI118-$AH118-$AG118-$AF118-$AE118*(1+FS$3))/$AJ118,'Технический лист'!$A:$B,2,1),(FR118-0.05)))</f>
        <v>0.95</v>
      </c>
      <c r="FT118" s="15">
        <f>MIN(1,MAX(VLOOKUP(($AJ118-$AI118-$AH118-$AG118-$AF118-$AE118*(1+FT$3))/$AJ118,'Технический лист'!$A:$B,2,1),(FS118-0.05)))</f>
        <v>0.95</v>
      </c>
      <c r="FU118" s="15">
        <f>MIN(1,MAX(VLOOKUP(($AJ118-$AI118-$AH118-$AG118-$AF118-$AE118*(1+FU$3))/$AJ118,'Технический лист'!$A:$B,2,1),(FT118-0.05)))</f>
        <v>0.95</v>
      </c>
      <c r="FV118" s="15">
        <f>MIN(1,MAX(VLOOKUP(($AJ118-$AI118-$AH118-$AG118-$AF118-$AE118*(1+FV$3))/$AJ118,'Технический лист'!$A:$B,2,1),(FU118-0.05)))</f>
        <v>0.95</v>
      </c>
      <c r="FW118" s="15">
        <f>MIN(1,MAX(VLOOKUP(($AJ118-$AI118-$AH118-$AG118-$AF118-$AE118*(1+FW$3))/$AJ118,'Технический лист'!$A:$B,2,1),(FV118-0.05)))</f>
        <v>0.95</v>
      </c>
      <c r="FX118" s="15">
        <f>MIN(1,MAX(VLOOKUP(($AJ118-$AI118-$AH118-$AG118-$AF118-$AE118*(1+FX$3))/$AJ118,'Технический лист'!$A:$B,2,1),(FW118-0.05)))</f>
        <v>0.95</v>
      </c>
      <c r="FY118" s="15">
        <f>MIN(1,MAX(VLOOKUP(($AJ118-$AI118-$AH118-$AG118-$AF118-$AE118*(1+FY$3))/$AJ118,'Технический лист'!$A:$B,2,1),(FX118-0.05)))</f>
        <v>0.95</v>
      </c>
      <c r="FZ118" s="15">
        <f>MIN(1,MAX(VLOOKUP(($AJ118-$AI118-$AH118-$AG118-$AF118-$AE118*(1+FZ$3))/$AJ118,'Технический лист'!$A:$B,2,1),(FY118-0.05)))</f>
        <v>0.95</v>
      </c>
      <c r="GA118" s="15">
        <f>MIN(1,MAX(VLOOKUP(($AJ118-$AI118-$AH118-$AG118-$AF118-$AE118*(1+GA$3))/$AJ118,'Технический лист'!$A:$B,2,1),(FZ118-0.05)))</f>
        <v>0.95</v>
      </c>
      <c r="GB118" s="15">
        <f>MIN(1,MAX(VLOOKUP(($AJ118-$AI118-$AH118-$AG118-$AF118-$AE118*(1+GB$3))/$AJ118,'Технический лист'!$A:$B,2,1),(GA118-0.05)))</f>
        <v>0.95</v>
      </c>
      <c r="GC118" s="15">
        <f>MIN(1,MAX(VLOOKUP(($AJ118-$AI118-$AH118-$AG118-$AF118-$AE118*(1+GC$3))/$AJ118,'Технический лист'!$A:$B,2,1),(GB118-0.05)))</f>
        <v>0.95</v>
      </c>
      <c r="GD118" s="15">
        <f>MIN(1,MAX(VLOOKUP(($AJ118-$AI118-$AH118-$AG118-$AF118-$AE118*(1+GD$3))/$AJ118,'Технический лист'!$A:$B,2,1),(GC118-0.05)))</f>
        <v>0.94499999999999995</v>
      </c>
      <c r="GE118" s="15">
        <f>MIN(1,MAX(VLOOKUP(($AJ118-$AI118-$AH118-$AG118-$AF118-$AE118*(1+GE$3))/$AJ118,'Технический лист'!$A:$B,2,1),(GD118-0.05)))</f>
        <v>0.94499999999999995</v>
      </c>
      <c r="GF118" s="15">
        <f>MIN(1,MAX(VLOOKUP(($AJ118-$AI118-$AH118-$AG118-$AF118-$AE118*(1+GF$3))/$AJ118,'Технический лист'!$A:$B,2,1),(GE118-0.05)))</f>
        <v>0.94499999999999995</v>
      </c>
      <c r="GG118" s="15">
        <f>MIN(1,MAX(VLOOKUP(($AJ118-$AI118-$AH118-$AG118-$AF118-$AE118*(1+GG$3))/$AJ118,'Технический лист'!$A:$B,2,1),(GF118-0.05)))</f>
        <v>0.94499999999999995</v>
      </c>
      <c r="GH118" s="15">
        <f>MIN(1,MAX(VLOOKUP(($AJ118-$AI118-$AH118-$AG118-$AF118-$AE118*(1+GH$3))/$AJ118,'Технический лист'!$A:$B,2,1),(GG118-0.05)))</f>
        <v>0.94499999999999995</v>
      </c>
      <c r="GI118" s="15">
        <f>MIN(1,MAX(VLOOKUP(($AJ118-$AI118-$AH118-$AG118-$AF118-$AE118*(1+GI$3))/$AJ118,'Технический лист'!$A:$B,2,1),(GH118-0.05)))</f>
        <v>0.94499999999999995</v>
      </c>
      <c r="GJ118" s="15">
        <f>MIN(1,MAX(VLOOKUP(($AJ118-$AI118-$AH118-$AG118-$AF118-$AE118*(1+GJ$3))/$AJ118,'Технический лист'!$A:$B,2,1),(GI118-0.05)))</f>
        <v>0.94499999999999995</v>
      </c>
      <c r="GK118" s="15">
        <f>MIN(1,MAX(VLOOKUP(($AJ118-$AI118-$AH118-$AG118-$AF118-$AE118*(1+GK$3))/$AJ118,'Технический лист'!$A:$B,2,1),(GJ118-0.05)))</f>
        <v>0.94499999999999995</v>
      </c>
      <c r="GL118" s="15">
        <f>MIN(1,MAX(VLOOKUP(($AJ118-$AI118-$AH118-$AG118-$AF118-$AE118*(1+GL$3))/$AJ118,'Технический лист'!$A:$B,2,1),(GK118-0.05)))</f>
        <v>0.94499999999999995</v>
      </c>
      <c r="GM118" s="15">
        <f>MIN(1,MAX(VLOOKUP(($AJ118-$AI118-$AH118-$AG118-$AF118-$AE118*(1+GM$3))/$AJ118,'Технический лист'!$A:$B,2,1),(GL118-0.05)))</f>
        <v>0.94499999999999995</v>
      </c>
      <c r="GN118" s="15">
        <f>MIN(1,MAX(VLOOKUP(($AJ118-$AI118-$AH118-$AG118-$AF118-$AE118*(1+GN$3))/$AJ118,'Технический лист'!$A:$B,2,1),(GM118-0.05)))</f>
        <v>0.94499999999999995</v>
      </c>
      <c r="GO118" s="15">
        <f>MIN(1,MAX(VLOOKUP(($AJ118-$AI118-$AH118-$AG118-$AF118-$AE118*(1+GO$3))/$AJ118,'Технический лист'!$A:$B,2,1),(GN118-0.05)))</f>
        <v>0.94499999999999995</v>
      </c>
      <c r="GP118" s="15">
        <f>MIN(1,MAX(VLOOKUP(($AJ118-$AI118-$AH118-$AG118-$AF118-$AE118*(1+GP$3))/$AJ118,'Технический лист'!$A:$B,2,1),(GO118-0.05)))</f>
        <v>0.94499999999999995</v>
      </c>
      <c r="GQ118" s="15">
        <f>MIN(1,MAX(VLOOKUP(($AJ118-$AI118-$AH118-$AG118-$AF118-$AE118*(1+GQ$3))/$AJ118,'Технический лист'!$A:$B,2,1),(GP118-0.05)))</f>
        <v>0.94499999999999995</v>
      </c>
      <c r="GR118" s="15">
        <f>MIN(1,MAX(VLOOKUP(($AJ118-$AI118-$AH118-$AG118-$AF118-$AE118*(1+GR$3))/$AJ118,'Технический лист'!$A:$B,2,1),(GQ118-0.05)))</f>
        <v>0.94499999999999995</v>
      </c>
      <c r="GS118" s="15">
        <f>MIN(1,MAX(VLOOKUP(($AJ118-$AI118-$AH118-$AG118-$AF118-$AE118*(1+GS$3))/$AJ118,'Технический лист'!$A:$B,2,1),(GR118-0.05)))</f>
        <v>0.94499999999999995</v>
      </c>
      <c r="GT118" s="15">
        <f>MIN(1,MAX(VLOOKUP(($AJ118-$AI118-$AH118-$AG118-$AF118-$AE118*(1+GT$3))/$AJ118,'Технический лист'!$A:$B,2,1),(GS118-0.05)))</f>
        <v>0.94499999999999995</v>
      </c>
      <c r="GU118" s="15">
        <f>MIN(1,MAX(VLOOKUP(($AJ118-$AI118-$AH118-$AG118-$AF118-$AE118*(1+GU$3))/$AJ118,'Технический лист'!$A:$B,2,1),(GT118-0.05)))</f>
        <v>0.94499999999999995</v>
      </c>
      <c r="GV118" s="15">
        <f>MIN(1,MAX(VLOOKUP(($AJ118-$AI118-$AH118-$AG118-$AF118-$AE118*(1+GV$3))/$AJ118,'Технический лист'!$A:$B,2,1),(GU118-0.05)))</f>
        <v>0.94499999999999995</v>
      </c>
      <c r="GW118" s="15">
        <f>MIN(1,MAX(VLOOKUP(($AJ118-$AI118-$AH118-$AG118-$AF118-$AE118*(1+GW$3))/$AJ118,'Технический лист'!$A:$B,2,1),(GV118-0.05)))</f>
        <v>0.94499999999999995</v>
      </c>
      <c r="GX118" s="15">
        <f>MIN(1,MAX(VLOOKUP(($AJ118-$AI118-$AH118-$AG118-$AF118-$AE118*(1+GX$3))/$AJ118,'Технический лист'!$A:$B,2,1),(GW118-0.05)))</f>
        <v>0.94499999999999995</v>
      </c>
      <c r="GY118" s="15">
        <f>MIN(1,MAX(VLOOKUP(($AJ118-$AI118-$AH118-$AG118-$AF118-$AE118*(1+GY$3))/$AJ118,'Технический лист'!$A:$B,2,1),(GX118-0.05)))</f>
        <v>0.94</v>
      </c>
      <c r="GZ118" s="15">
        <f>MIN(1,MAX(VLOOKUP(($AJ118-$AI118-$AH118-$AG118-$AF118-$AE118*(1+GZ$3))/$AJ118,'Технический лист'!$A:$B,2,1),(GY118-0.05)))</f>
        <v>0.94</v>
      </c>
      <c r="HA118" s="15">
        <f>MIN(1,MAX(VLOOKUP(($AJ118-$AI118-$AH118-$AG118-$AF118-$AE118*(1+HA$3))/$AJ118,'Технический лист'!$A:$B,2,1),(GZ118-0.05)))</f>
        <v>0.94</v>
      </c>
      <c r="HB118" s="15">
        <f>MIN(1,MAX(VLOOKUP(($AJ118-$AI118-$AH118-$AG118-$AF118-$AE118*(1+HB$3))/$AJ118,'Технический лист'!$A:$B,2,1),(HA118-0.05)))</f>
        <v>0.94</v>
      </c>
      <c r="HC118" s="15">
        <f>MIN(1,MAX(VLOOKUP(($AJ118-$AI118-$AH118-$AG118-$AF118-$AE118*(1+HC$3))/$AJ118,'Технический лист'!$A:$B,2,1),(HB118-0.05)))</f>
        <v>0.94</v>
      </c>
      <c r="HD118" s="15">
        <f>MIN(1,MAX(VLOOKUP(($AJ118-$AI118-$AH118-$AG118-$AF118-$AE118*(1+HD$3))/$AJ118,'Технический лист'!$A:$B,2,1),(HC118-0.05)))</f>
        <v>0.94</v>
      </c>
      <c r="HE118" s="15">
        <f>MIN(1,MAX(VLOOKUP(($AJ118-$AI118-$AH118-$AG118-$AF118-$AE118*(1+HE$3))/$AJ118,'Технический лист'!$A:$B,2,1),(HD118-0.05)))</f>
        <v>0.94</v>
      </c>
      <c r="HF118" s="15">
        <f>MIN(1,MAX(VLOOKUP(($AJ118-$AI118-$AH118-$AG118-$AF118-$AE118*(1+HF$3))/$AJ118,'Технический лист'!$A:$B,2,1),(HE118-0.05)))</f>
        <v>0.94</v>
      </c>
      <c r="HG118" s="15">
        <f>MIN(1,MAX(VLOOKUP(($AJ118-$AI118-$AH118-$AG118-$AF118-$AE118*(1+HG$3))/$AJ118,'Технический лист'!$A:$B,2,1),(HF118-0.05)))</f>
        <v>0.94</v>
      </c>
      <c r="HH118" s="15">
        <f>MIN(1,MAX(VLOOKUP(($AJ118-$AI118-$AH118-$AG118-$AF118-$AE118*(1+HH$3))/$AJ118,'Технический лист'!$A:$B,2,1),(HG118-0.05)))</f>
        <v>0.94</v>
      </c>
      <c r="HI118" s="15">
        <f>MIN(1,MAX(VLOOKUP(($AJ118-$AI118-$AH118-$AG118-$AF118-$AE118*(1+HI$3))/$AJ118,'Технический лист'!$A:$B,2,1),(HH118-0.05)))</f>
        <v>0.94</v>
      </c>
      <c r="HJ118" s="15">
        <f>MIN(1,MAX(VLOOKUP(($AJ118-$AI118-$AH118-$AG118-$AF118-$AE118*(1+HJ$3))/$AJ118,'Технический лист'!$A:$B,2,1),(HI118-0.05)))</f>
        <v>0.94</v>
      </c>
      <c r="HK118" s="15">
        <f>MIN(1,MAX(VLOOKUP(($AJ118-$AI118-$AH118-$AG118-$AF118-$AE118*(1+HK$3))/$AJ118,'Технический лист'!$A:$B,2,1),(HJ118-0.05)))</f>
        <v>0.94</v>
      </c>
      <c r="HL118" s="15">
        <f>MIN(1,MAX(VLOOKUP(($AJ118-$AI118-$AH118-$AG118-$AF118-$AE118*(1+HL$3))/$AJ118,'Технический лист'!$A:$B,2,1),(HK118-0.05)))</f>
        <v>0.94</v>
      </c>
      <c r="HM118" s="15">
        <f>MIN(1,MAX(VLOOKUP(($AJ118-$AI118-$AH118-$AG118-$AF118-$AE118*(1+HM$3))/$AJ118,'Технический лист'!$A:$B,2,1),(HL118-0.05)))</f>
        <v>0.94</v>
      </c>
      <c r="HN118" s="15">
        <f>MIN(1,MAX(VLOOKUP(($AJ118-$AI118-$AH118-$AG118-$AF118-$AE118*(1+HN$3))/$AJ118,'Технический лист'!$A:$B,2,1),(HM118-0.05)))</f>
        <v>0.94</v>
      </c>
      <c r="HO118" s="15">
        <f>MIN(1,MAX(VLOOKUP(($AJ118-$AI118-$AH118-$AG118-$AF118-$AE118*(1+HO$3))/$AJ118,'Технический лист'!$A:$B,2,1),(HN118-0.05)))</f>
        <v>0.94</v>
      </c>
      <c r="HP118" s="15">
        <f>MIN(1,MAX(VLOOKUP(($AJ118-$AI118-$AH118-$AG118-$AF118-$AE118*(1+HP$3))/$AJ118,'Технический лист'!$A:$B,2,1),(HO118-0.05)))</f>
        <v>0.94</v>
      </c>
      <c r="HQ118" s="15">
        <f>MIN(1,MAX(VLOOKUP(($AJ118-$AI118-$AH118-$AG118-$AF118-$AE118*(1+HQ$3))/$AJ118,'Технический лист'!$A:$B,2,1),(HP118-0.05)))</f>
        <v>0.94</v>
      </c>
      <c r="HR118" s="15">
        <f>MIN(1,MAX(VLOOKUP(($AJ118-$AI118-$AH118-$AG118-$AF118-$AE118*(1+HR$3))/$AJ118,'Технический лист'!$A:$B,2,1),(HQ118-0.05)))</f>
        <v>0.94</v>
      </c>
      <c r="HS118" s="15">
        <f>MIN(1,MAX(VLOOKUP(($AJ118-$AI118-$AH118-$AG118-$AF118-$AE118*(1+HS$3))/$AJ118,'Технический лист'!$A:$B,2,1),(HR118-0.05)))</f>
        <v>0.94</v>
      </c>
      <c r="HT118" s="15">
        <f>MIN(1,MAX(VLOOKUP(($AJ118-$AI118-$AH118-$AG118-$AF118-$AE118*(1+HT$3))/$AJ118,'Технический лист'!$A:$B,2,1),(HS118-0.05)))</f>
        <v>0.93500000000000005</v>
      </c>
      <c r="HU118" s="15">
        <f>MIN(1,MAX(VLOOKUP(($AJ118-$AI118-$AH118-$AG118-$AF118-$AE118*(1+HU$3))/$AJ118,'Технический лист'!$A:$B,2,1),(HT118-0.05)))</f>
        <v>0.93500000000000005</v>
      </c>
      <c r="HV118" s="15">
        <f>MIN(1,MAX(VLOOKUP(($AJ118-$AI118-$AH118-$AG118-$AF118-$AE118*(1+HV$3))/$AJ118,'Технический лист'!$A:$B,2,1),(HU118-0.05)))</f>
        <v>0.93500000000000005</v>
      </c>
      <c r="HW118" s="15">
        <f>MIN(1,MAX(VLOOKUP(($AJ118-$AI118-$AH118-$AG118-$AF118-$AE118*(1+HW$3))/$AJ118,'Технический лист'!$A:$B,2,1),(HV118-0.05)))</f>
        <v>0.93500000000000005</v>
      </c>
      <c r="HX118" s="15">
        <f>MIN(1,MAX(VLOOKUP(($AJ118-$AI118-$AH118-$AG118-$AF118-$AE118*(1+HX$3))/$AJ118,'Технический лист'!$A:$B,2,1),(HW118-0.05)))</f>
        <v>0.93500000000000005</v>
      </c>
      <c r="HY118" s="15">
        <f>MIN(1,MAX(VLOOKUP(($AJ118-$AI118-$AH118-$AG118-$AF118-$AE118*(1+HY$3))/$AJ118,'Технический лист'!$A:$B,2,1),(HX118-0.05)))</f>
        <v>0.93500000000000005</v>
      </c>
      <c r="HZ118" s="15">
        <f>MIN(1,MAX(VLOOKUP(($AJ118-$AI118-$AH118-$AG118-$AF118-$AE118*(1+HZ$3))/$AJ118,'Технический лист'!$A:$B,2,1),(HY118-0.05)))</f>
        <v>0.93500000000000005</v>
      </c>
      <c r="IA118" s="15">
        <f>MIN(1,MAX(VLOOKUP(($AJ118-$AI118-$AH118-$AG118-$AF118-$AE118*(1+IA$3))/$AJ118,'Технический лист'!$A:$B,2,1),(HZ118-0.05)))</f>
        <v>0.93500000000000005</v>
      </c>
      <c r="IB118" s="15">
        <f>MIN(1,MAX(VLOOKUP(($AJ118-$AI118-$AH118-$AG118-$AF118-$AE118*(1+IB$3))/$AJ118,'Технический лист'!$A:$B,2,1),(IA118-0.05)))</f>
        <v>0.93500000000000005</v>
      </c>
      <c r="IC118" s="15">
        <f>MIN(1,MAX(VLOOKUP(($AJ118-$AI118-$AH118-$AG118-$AF118-$AE118*(1+IC$3))/$AJ118,'Технический лист'!$A:$B,2,1),(IB118-0.05)))</f>
        <v>0.93500000000000005</v>
      </c>
      <c r="ID118" s="15">
        <f>MIN(1,MAX(VLOOKUP(($AJ118-$AI118-$AH118-$AG118-$AF118-$AE118*(1+ID$3))/$AJ118,'Технический лист'!$A:$B,2,1),(IC118-0.05)))</f>
        <v>0.93500000000000005</v>
      </c>
      <c r="IE118" s="15">
        <f>MIN(1,MAX(VLOOKUP(($AJ118-$AI118-$AH118-$AG118-$AF118-$AE118*(1+IE$3))/$AJ118,'Технический лист'!$A:$B,2,1),(ID118-0.05)))</f>
        <v>0.93500000000000005</v>
      </c>
      <c r="IF118" s="15">
        <f>MIN(1,MAX(VLOOKUP(($AJ118-$AI118-$AH118-$AG118-$AF118-$AE118*(1+IF$3))/$AJ118,'Технический лист'!$A:$B,2,1),(IE118-0.05)))</f>
        <v>0.93500000000000005</v>
      </c>
      <c r="IG118" s="15">
        <f>MIN(1,MAX(VLOOKUP(($AJ118-$AI118-$AH118-$AG118-$AF118-$AE118*(1+IG$3))/$AJ118,'Технический лист'!$A:$B,2,1),(IF118-0.05)))</f>
        <v>0.93500000000000005</v>
      </c>
      <c r="IH118" s="15">
        <f>MIN(1,MAX(VLOOKUP(($AJ118-$AI118-$AH118-$AG118-$AF118-$AE118*(1+IH$3))/$AJ118,'Технический лист'!$A:$B,2,1),(IG118-0.05)))</f>
        <v>0.93500000000000005</v>
      </c>
      <c r="II118" s="15">
        <f>MIN(1,MAX(VLOOKUP(($AJ118-$AI118-$AH118-$AG118-$AF118-$AE118*(1+II$3))/$AJ118,'Технический лист'!$A:$B,2,1),(IH118-0.05)))</f>
        <v>0.93500000000000005</v>
      </c>
      <c r="IJ118" s="15">
        <f>MIN(1,MAX(VLOOKUP(($AJ118-$AI118-$AH118-$AG118-$AF118-$AE118*(1+IJ$3))/$AJ118,'Технический лист'!$A:$B,2,1),(II118-0.05)))</f>
        <v>0.93500000000000005</v>
      </c>
      <c r="IK118" s="15">
        <f>MIN(1,MAX(VLOOKUP(($AJ118-$AI118-$AH118-$AG118-$AF118-$AE118*(1+IK$3))/$AJ118,'Технический лист'!$A:$B,2,1),(IJ118-0.05)))</f>
        <v>0.93500000000000005</v>
      </c>
      <c r="IL118" s="15">
        <f>MIN(1,MAX(VLOOKUP(($AJ118-$AI118-$AH118-$AG118-$AF118-$AE118*(1+IL$3))/$AJ118,'Технический лист'!$A:$B,2,1),(IK118-0.05)))</f>
        <v>0.93500000000000005</v>
      </c>
      <c r="IM118" s="15">
        <f>MIN(1,MAX(VLOOKUP(($AJ118-$AI118-$AH118-$AG118-$AF118-$AE118*(1+IM$3))/$AJ118,'Технический лист'!$A:$B,2,1),(IL118-0.05)))</f>
        <v>0.93500000000000005</v>
      </c>
      <c r="IN118" s="15">
        <f>MIN(1,MAX(VLOOKUP(($AJ118-$AI118-$AH118-$AG118-$AF118-$AE118*(1+IN$3))/$AJ118,'Технический лист'!$A:$B,2,1),(IM118-0.05)))</f>
        <v>0.93500000000000005</v>
      </c>
      <c r="IO118" s="15">
        <f>MIN(1,MAX(VLOOKUP(($AJ118-$AI118-$AH118-$AG118-$AF118-$AE118*(1+IO$3))/$AJ118,'Технический лист'!$A:$B,2,1),(IN118-0.05)))</f>
        <v>0.93</v>
      </c>
      <c r="IP118" s="15">
        <f>MIN(1,MAX(VLOOKUP(($AJ118-$AI118-$AH118-$AG118-$AF118-$AE118*(1+IP$3))/$AJ118,'Технический лист'!$A:$B,2,1),(IO118-0.05)))</f>
        <v>0.93</v>
      </c>
      <c r="IQ118" s="15">
        <f>MIN(1,MAX(VLOOKUP(($AJ118-$AI118-$AH118-$AG118-$AF118-$AE118*(1+IQ$3))/$AJ118,'Технический лист'!$A:$B,2,1),(IP118-0.05)))</f>
        <v>0.93</v>
      </c>
      <c r="IR118" s="15">
        <f>MIN(1,MAX(VLOOKUP(($AJ118-$AI118-$AH118-$AG118-$AF118-$AE118*(1+IR$3))/$AJ118,'Технический лист'!$A:$B,2,1),(IQ118-0.05)))</f>
        <v>0.93</v>
      </c>
    </row>
    <row r="119" spans="1:252" ht="29.15">
      <c r="A119" s="89" t="s">
        <v>515</v>
      </c>
      <c r="B119" s="90">
        <v>5</v>
      </c>
      <c r="C119" s="5" t="s">
        <v>68</v>
      </c>
      <c r="D119" s="91">
        <v>31402</v>
      </c>
      <c r="E119" s="91" t="s">
        <v>350</v>
      </c>
      <c r="F119" s="92" t="s">
        <v>77</v>
      </c>
      <c r="G119" s="91" t="s">
        <v>22</v>
      </c>
      <c r="H119" s="91" t="s">
        <v>20</v>
      </c>
      <c r="I119" s="91" t="s">
        <v>29</v>
      </c>
      <c r="J119" s="91" t="s">
        <v>136</v>
      </c>
      <c r="K119" s="91">
        <v>476</v>
      </c>
      <c r="L119" s="85" t="s">
        <v>64</v>
      </c>
      <c r="M119" s="91" t="s">
        <v>190</v>
      </c>
      <c r="N119" s="91" t="s">
        <v>191</v>
      </c>
      <c r="O119" s="91" t="s">
        <v>193</v>
      </c>
      <c r="P119" s="89" t="s">
        <v>210</v>
      </c>
      <c r="Q119" s="91" t="s">
        <v>309</v>
      </c>
      <c r="R119" s="91" t="s">
        <v>258</v>
      </c>
      <c r="S119" s="82">
        <v>550101</v>
      </c>
      <c r="T119" s="82">
        <v>261718930</v>
      </c>
      <c r="U119" s="81">
        <v>8604</v>
      </c>
      <c r="V119" s="81">
        <v>0</v>
      </c>
      <c r="W119" s="82">
        <v>617021756</v>
      </c>
      <c r="X119" s="112">
        <v>63</v>
      </c>
      <c r="Y119" s="112" t="s">
        <v>418</v>
      </c>
      <c r="Z119" s="113">
        <v>4</v>
      </c>
      <c r="AA119" s="113">
        <v>4</v>
      </c>
      <c r="AB119" s="113">
        <v>4</v>
      </c>
      <c r="AC119" s="99">
        <v>1190.5999999999999</v>
      </c>
      <c r="AD119" s="99">
        <f>AE119-AC119</f>
        <v>196.13000000000011</v>
      </c>
      <c r="AE119" s="99">
        <v>1386.73</v>
      </c>
      <c r="AF119" s="98">
        <f>(Z119+AA119+AB119)*'Ставки аренды'!$B$3/X119</f>
        <v>133.33333333333334</v>
      </c>
      <c r="AG119" s="94">
        <v>0</v>
      </c>
      <c r="AH119" s="94">
        <v>0</v>
      </c>
      <c r="AI119" s="115">
        <v>26337</v>
      </c>
      <c r="AJ119" s="117">
        <f>Цены!$D$11</f>
        <v>62000</v>
      </c>
      <c r="AK119" s="94">
        <f>AJ119/Цены!$B$1</f>
        <v>812.52334366461139</v>
      </c>
      <c r="AL119" s="95">
        <f t="shared" si="24"/>
        <v>1520.0633333333333</v>
      </c>
      <c r="AM119" s="95">
        <f t="shared" si="25"/>
        <v>60479.936666666668</v>
      </c>
      <c r="AN119" s="94">
        <f t="shared" si="39"/>
        <v>27857.063333333332</v>
      </c>
      <c r="AO119" s="118">
        <f t="shared" si="40"/>
        <v>0.55069252688172043</v>
      </c>
      <c r="AP119" s="96">
        <f t="shared" si="26"/>
        <v>2.4517150537634407E-2</v>
      </c>
      <c r="AQ119" s="96">
        <f t="shared" si="27"/>
        <v>2.2366612903225808E-2</v>
      </c>
      <c r="AR119" s="96">
        <f t="shared" si="28"/>
        <v>0.91228435657286211</v>
      </c>
      <c r="AS119" s="122">
        <v>1</v>
      </c>
      <c r="AT119" s="121">
        <f t="shared" si="45"/>
        <v>550101</v>
      </c>
      <c r="AU119" s="7" t="s">
        <v>475</v>
      </c>
      <c r="AV119" s="119">
        <f t="shared" si="41"/>
        <v>0.54800853333333344</v>
      </c>
      <c r="AW119" s="120">
        <f t="shared" si="42"/>
        <v>2.7201144086021509E-2</v>
      </c>
      <c r="AX119" s="120">
        <f t="shared" si="43"/>
        <v>2.5050606451612906E-2</v>
      </c>
      <c r="AY119" s="120">
        <f t="shared" si="44"/>
        <v>0.92093944182613452</v>
      </c>
      <c r="AZ119" s="15">
        <v>1</v>
      </c>
      <c r="BA119" s="15">
        <v>1</v>
      </c>
      <c r="BB119" s="15">
        <v>1</v>
      </c>
      <c r="BC119" s="15">
        <v>1</v>
      </c>
      <c r="BD119" s="15">
        <v>1</v>
      </c>
      <c r="BE119" s="15">
        <v>1</v>
      </c>
      <c r="BF119" s="15">
        <v>1</v>
      </c>
      <c r="BG119" s="15">
        <v>1</v>
      </c>
      <c r="BH119" s="15">
        <v>1</v>
      </c>
      <c r="BI119" s="15">
        <v>1</v>
      </c>
      <c r="BJ119" s="15">
        <v>1</v>
      </c>
      <c r="BK119" s="15">
        <v>1</v>
      </c>
      <c r="BL119" s="15">
        <v>1</v>
      </c>
      <c r="BM119" s="15">
        <v>1</v>
      </c>
      <c r="BN119" s="15">
        <v>1</v>
      </c>
      <c r="BO119" s="15">
        <v>1</v>
      </c>
      <c r="BP119" s="15">
        <v>1</v>
      </c>
      <c r="BQ119" s="15">
        <v>1</v>
      </c>
      <c r="BR119" s="15">
        <v>1</v>
      </c>
      <c r="BS119" s="15">
        <v>1</v>
      </c>
      <c r="BT119" s="15">
        <v>1</v>
      </c>
      <c r="BU119" s="15">
        <v>1</v>
      </c>
      <c r="BV119" s="15">
        <v>1</v>
      </c>
      <c r="BW119" s="15">
        <v>1</v>
      </c>
      <c r="BX119" s="15">
        <v>1</v>
      </c>
      <c r="BY119" s="15">
        <v>1</v>
      </c>
      <c r="BZ119" s="15">
        <v>1</v>
      </c>
      <c r="CA119" s="15">
        <v>1</v>
      </c>
      <c r="CB119" s="15">
        <v>1</v>
      </c>
      <c r="CC119" s="15">
        <v>1</v>
      </c>
      <c r="CD119" s="15">
        <v>1</v>
      </c>
      <c r="CE119" s="15">
        <v>1</v>
      </c>
      <c r="CF119" s="15">
        <v>1</v>
      </c>
      <c r="CG119" s="15">
        <v>1</v>
      </c>
      <c r="CH119" s="15">
        <v>1</v>
      </c>
      <c r="CI119" s="15">
        <v>1</v>
      </c>
      <c r="CJ119" s="15">
        <v>1</v>
      </c>
      <c r="CK119" s="15">
        <v>1</v>
      </c>
      <c r="CL119" s="15">
        <v>1</v>
      </c>
      <c r="CM119" s="15">
        <v>1</v>
      </c>
      <c r="CN119" s="15">
        <v>1</v>
      </c>
      <c r="CO119" s="15">
        <v>1</v>
      </c>
      <c r="CP119" s="15">
        <v>1</v>
      </c>
      <c r="CQ119" s="15">
        <v>1</v>
      </c>
      <c r="CR119" s="15">
        <v>1</v>
      </c>
      <c r="CS119" s="15">
        <v>1</v>
      </c>
      <c r="CT119" s="15">
        <v>1</v>
      </c>
      <c r="CU119" s="15">
        <v>1</v>
      </c>
      <c r="CV119" s="15">
        <v>1</v>
      </c>
      <c r="CW119" s="15">
        <v>1</v>
      </c>
      <c r="CX119" s="15">
        <v>1</v>
      </c>
      <c r="CY119" s="15">
        <v>1</v>
      </c>
      <c r="CZ119" s="15">
        <v>1</v>
      </c>
      <c r="DA119" s="15">
        <v>1</v>
      </c>
      <c r="DB119" s="15">
        <v>1</v>
      </c>
      <c r="DC119" s="15">
        <v>1</v>
      </c>
      <c r="DD119" s="15">
        <v>1</v>
      </c>
      <c r="DE119" s="15">
        <v>1</v>
      </c>
      <c r="DF119" s="15">
        <v>1</v>
      </c>
      <c r="DG119" s="15">
        <v>1</v>
      </c>
      <c r="DH119" s="15">
        <v>1</v>
      </c>
      <c r="DI119" s="15">
        <v>1</v>
      </c>
      <c r="DJ119" s="15">
        <v>1</v>
      </c>
      <c r="DK119" s="15">
        <v>1</v>
      </c>
      <c r="DL119" s="15">
        <v>1</v>
      </c>
      <c r="DM119" s="15">
        <v>1</v>
      </c>
      <c r="DN119" s="15">
        <v>1</v>
      </c>
      <c r="DO119" s="15">
        <v>1</v>
      </c>
      <c r="DP119" s="15">
        <v>1</v>
      </c>
      <c r="DQ119" s="15">
        <v>1</v>
      </c>
      <c r="DR119" s="15">
        <v>1</v>
      </c>
      <c r="DS119" s="15">
        <v>1</v>
      </c>
      <c r="DT119" s="15">
        <v>1</v>
      </c>
      <c r="DU119" s="15">
        <v>1</v>
      </c>
      <c r="DV119" s="15">
        <v>1</v>
      </c>
      <c r="DW119" s="15">
        <v>1</v>
      </c>
      <c r="DX119" s="15">
        <v>1</v>
      </c>
      <c r="DY119" s="15">
        <v>1</v>
      </c>
      <c r="DZ119" s="15">
        <v>1</v>
      </c>
      <c r="EA119" s="15">
        <v>1</v>
      </c>
      <c r="EB119" s="15">
        <v>1</v>
      </c>
      <c r="EC119" s="15">
        <v>1</v>
      </c>
      <c r="ED119" s="15">
        <v>1</v>
      </c>
      <c r="EE119" s="15">
        <v>1</v>
      </c>
      <c r="EF119" s="15">
        <v>1</v>
      </c>
      <c r="EG119" s="15">
        <v>1</v>
      </c>
      <c r="EH119" s="15">
        <v>1</v>
      </c>
      <c r="EI119" s="15">
        <v>1</v>
      </c>
      <c r="EJ119" s="15">
        <v>1</v>
      </c>
      <c r="EK119" s="15">
        <v>1</v>
      </c>
      <c r="EL119" s="15">
        <v>1</v>
      </c>
      <c r="EM119" s="15">
        <v>1</v>
      </c>
      <c r="EN119" s="15">
        <v>1</v>
      </c>
      <c r="EO119" s="15">
        <v>1</v>
      </c>
      <c r="EP119" s="15">
        <v>1</v>
      </c>
      <c r="EQ119" s="15">
        <v>1</v>
      </c>
      <c r="ER119" s="15">
        <v>1</v>
      </c>
      <c r="ES119" s="15">
        <v>1</v>
      </c>
      <c r="ET119" s="15">
        <v>1</v>
      </c>
      <c r="EU119" s="15">
        <v>1</v>
      </c>
      <c r="EV119" s="111">
        <v>1</v>
      </c>
      <c r="EW119" s="15">
        <v>1</v>
      </c>
      <c r="EX119" s="15">
        <v>1</v>
      </c>
      <c r="EY119" s="15">
        <v>1</v>
      </c>
      <c r="EZ119" s="15">
        <v>1</v>
      </c>
      <c r="FA119" s="15">
        <v>1</v>
      </c>
      <c r="FB119" s="15">
        <v>1</v>
      </c>
      <c r="FC119" s="15">
        <v>1</v>
      </c>
      <c r="FD119" s="15">
        <v>1</v>
      </c>
      <c r="FE119" s="15">
        <v>1</v>
      </c>
      <c r="FF119" s="15">
        <v>1</v>
      </c>
      <c r="FG119" s="15">
        <v>1</v>
      </c>
      <c r="FH119" s="15">
        <v>1</v>
      </c>
      <c r="FI119" s="15">
        <v>1</v>
      </c>
      <c r="FJ119" s="15">
        <v>1</v>
      </c>
      <c r="FK119" s="15">
        <v>1</v>
      </c>
      <c r="FL119" s="15">
        <v>1</v>
      </c>
      <c r="FM119" s="15">
        <v>1</v>
      </c>
      <c r="FN119" s="15">
        <v>1</v>
      </c>
      <c r="FO119" s="15">
        <v>1</v>
      </c>
      <c r="FP119" s="15">
        <v>1</v>
      </c>
      <c r="FQ119" s="15">
        <v>1</v>
      </c>
      <c r="FR119" s="15">
        <v>1</v>
      </c>
      <c r="FS119" s="15">
        <v>1</v>
      </c>
      <c r="FT119" s="15">
        <v>1</v>
      </c>
      <c r="FU119" s="15">
        <v>1</v>
      </c>
      <c r="FV119" s="15">
        <v>1</v>
      </c>
      <c r="FW119" s="15">
        <v>1</v>
      </c>
      <c r="FX119" s="15">
        <v>1</v>
      </c>
      <c r="FY119" s="15">
        <v>1</v>
      </c>
      <c r="FZ119" s="15">
        <v>1</v>
      </c>
      <c r="GA119" s="15">
        <v>1</v>
      </c>
      <c r="GB119" s="15">
        <v>1</v>
      </c>
      <c r="GC119" s="15">
        <v>1</v>
      </c>
      <c r="GD119" s="15">
        <v>1</v>
      </c>
      <c r="GE119" s="15">
        <v>1</v>
      </c>
      <c r="GF119" s="15">
        <v>1</v>
      </c>
      <c r="GG119" s="15">
        <v>1</v>
      </c>
      <c r="GH119" s="15">
        <v>1</v>
      </c>
      <c r="GI119" s="15">
        <v>1</v>
      </c>
      <c r="GJ119" s="15">
        <v>1</v>
      </c>
      <c r="GK119" s="15">
        <v>1</v>
      </c>
      <c r="GL119" s="15">
        <v>1</v>
      </c>
      <c r="GM119" s="15">
        <v>1</v>
      </c>
      <c r="GN119" s="15">
        <v>1</v>
      </c>
      <c r="GO119" s="15">
        <v>1</v>
      </c>
      <c r="GP119" s="15">
        <v>1</v>
      </c>
      <c r="GQ119" s="15">
        <v>1</v>
      </c>
      <c r="GR119" s="15">
        <v>1</v>
      </c>
      <c r="GS119" s="15">
        <v>1</v>
      </c>
      <c r="GT119" s="15">
        <v>1</v>
      </c>
      <c r="GU119" s="15">
        <v>1</v>
      </c>
      <c r="GV119" s="15">
        <v>1</v>
      </c>
      <c r="GW119" s="15">
        <v>1</v>
      </c>
      <c r="GX119" s="15">
        <v>1</v>
      </c>
      <c r="GY119" s="15">
        <v>1</v>
      </c>
      <c r="GZ119" s="15">
        <v>1</v>
      </c>
      <c r="HA119" s="15">
        <v>1</v>
      </c>
      <c r="HB119" s="15">
        <v>1</v>
      </c>
      <c r="HC119" s="15">
        <v>1</v>
      </c>
      <c r="HD119" s="15">
        <v>1</v>
      </c>
      <c r="HE119" s="15">
        <v>1</v>
      </c>
      <c r="HF119" s="15">
        <v>1</v>
      </c>
      <c r="HG119" s="15">
        <v>1</v>
      </c>
      <c r="HH119" s="15">
        <v>1</v>
      </c>
      <c r="HI119" s="15">
        <v>1</v>
      </c>
      <c r="HJ119" s="15">
        <v>1</v>
      </c>
      <c r="HK119" s="15">
        <v>1</v>
      </c>
      <c r="HL119" s="15">
        <v>1</v>
      </c>
      <c r="HM119" s="15">
        <v>1</v>
      </c>
      <c r="HN119" s="15">
        <v>1</v>
      </c>
      <c r="HO119" s="15">
        <v>1</v>
      </c>
      <c r="HP119" s="15">
        <v>1</v>
      </c>
      <c r="HQ119" s="15">
        <v>1</v>
      </c>
      <c r="HR119" s="15">
        <v>1</v>
      </c>
      <c r="HS119" s="15">
        <v>1</v>
      </c>
      <c r="HT119" s="15">
        <v>1</v>
      </c>
      <c r="HU119" s="15">
        <v>1</v>
      </c>
      <c r="HV119" s="15">
        <v>1</v>
      </c>
      <c r="HW119" s="15">
        <v>1</v>
      </c>
      <c r="HX119" s="15">
        <v>1</v>
      </c>
      <c r="HY119" s="15">
        <v>1</v>
      </c>
      <c r="HZ119" s="15">
        <v>1</v>
      </c>
      <c r="IA119" s="15">
        <v>1</v>
      </c>
      <c r="IB119" s="15">
        <v>1</v>
      </c>
      <c r="IC119" s="15">
        <v>1</v>
      </c>
      <c r="ID119" s="15">
        <v>1</v>
      </c>
      <c r="IE119" s="15">
        <v>1</v>
      </c>
      <c r="IF119" s="15">
        <v>1</v>
      </c>
      <c r="IG119" s="15">
        <v>1</v>
      </c>
      <c r="IH119" s="15">
        <v>1</v>
      </c>
      <c r="II119" s="15">
        <v>1</v>
      </c>
      <c r="IJ119" s="15">
        <v>1</v>
      </c>
      <c r="IK119" s="15">
        <v>1</v>
      </c>
      <c r="IL119" s="15">
        <v>1</v>
      </c>
      <c r="IM119" s="15">
        <v>1</v>
      </c>
      <c r="IN119" s="15">
        <v>1</v>
      </c>
      <c r="IO119" s="15">
        <v>1</v>
      </c>
      <c r="IP119" s="15">
        <v>1</v>
      </c>
      <c r="IQ119" s="15">
        <v>1</v>
      </c>
      <c r="IR119" s="15">
        <v>1</v>
      </c>
    </row>
    <row r="120" spans="1:252" ht="43.75">
      <c r="A120" s="89" t="s">
        <v>515</v>
      </c>
      <c r="B120" s="90">
        <v>5</v>
      </c>
      <c r="C120" s="5" t="s">
        <v>68</v>
      </c>
      <c r="D120" s="91">
        <v>32416</v>
      </c>
      <c r="E120" s="91" t="s">
        <v>352</v>
      </c>
      <c r="F120" s="92" t="s">
        <v>75</v>
      </c>
      <c r="G120" s="91" t="s">
        <v>22</v>
      </c>
      <c r="H120" s="91" t="s">
        <v>26</v>
      </c>
      <c r="I120" s="91" t="s">
        <v>29</v>
      </c>
      <c r="J120" s="91" t="s">
        <v>85</v>
      </c>
      <c r="K120" s="91">
        <v>1153</v>
      </c>
      <c r="L120" s="85" t="s">
        <v>64</v>
      </c>
      <c r="M120" s="91" t="s">
        <v>17</v>
      </c>
      <c r="N120" s="91" t="s">
        <v>191</v>
      </c>
      <c r="O120" s="91" t="s">
        <v>193</v>
      </c>
      <c r="P120" s="89" t="s">
        <v>210</v>
      </c>
      <c r="Q120" s="91" t="s">
        <v>309</v>
      </c>
      <c r="R120" s="91" t="s">
        <v>258</v>
      </c>
      <c r="S120" s="82">
        <v>112600</v>
      </c>
      <c r="T120" s="82">
        <v>129836808</v>
      </c>
      <c r="U120" s="81">
        <v>1782</v>
      </c>
      <c r="V120" s="81">
        <v>0</v>
      </c>
      <c r="W120" s="82">
        <v>300576691</v>
      </c>
      <c r="X120" s="112">
        <v>62</v>
      </c>
      <c r="Y120" s="112" t="s">
        <v>416</v>
      </c>
      <c r="Z120" s="113">
        <v>7</v>
      </c>
      <c r="AA120" s="113">
        <v>4</v>
      </c>
      <c r="AB120" s="113">
        <v>4</v>
      </c>
      <c r="AC120" s="99">
        <v>3031.68</v>
      </c>
      <c r="AD120" s="99">
        <f>AE120-AC120</f>
        <v>403.13000000000011</v>
      </c>
      <c r="AE120" s="99">
        <v>3434.81</v>
      </c>
      <c r="AF120" s="98">
        <f>(Z120+AA120+AB120)*'Ставки аренды'!$B$3/X120</f>
        <v>169.35483870967741</v>
      </c>
      <c r="AG120" s="94">
        <v>0</v>
      </c>
      <c r="AH120" s="94">
        <v>0</v>
      </c>
      <c r="AI120" s="116">
        <f>507353/712157*AVERAGE(AJ120,AJ122)</f>
        <v>31445.69558228031</v>
      </c>
      <c r="AJ120" s="117">
        <f>Цены!C17*'Курсы валют'!B2</f>
        <v>39678.86</v>
      </c>
      <c r="AK120" s="94">
        <f>AJ120/Цены!$B$1</f>
        <v>520</v>
      </c>
      <c r="AL120" s="95">
        <f t="shared" si="24"/>
        <v>3604.1648387096775</v>
      </c>
      <c r="AM120" s="95">
        <f t="shared" si="25"/>
        <v>36074.695161290321</v>
      </c>
      <c r="AN120" s="94">
        <f t="shared" si="39"/>
        <v>35049.860420989986</v>
      </c>
      <c r="AO120" s="118">
        <f t="shared" si="40"/>
        <v>0.11666160718856375</v>
      </c>
      <c r="AP120" s="96">
        <f t="shared" si="26"/>
        <v>9.0833376732841559E-2</v>
      </c>
      <c r="AQ120" s="96">
        <f t="shared" si="27"/>
        <v>8.6565239021483983E-2</v>
      </c>
      <c r="AR120" s="96">
        <f t="shared" si="28"/>
        <v>0.95301135039919316</v>
      </c>
      <c r="AS120" s="122">
        <v>1</v>
      </c>
      <c r="AT120" s="121">
        <f t="shared" si="45"/>
        <v>112600</v>
      </c>
      <c r="AU120" s="83">
        <v>0.95</v>
      </c>
      <c r="AV120" s="119">
        <f t="shared" si="41"/>
        <v>0.10627377850598553</v>
      </c>
      <c r="AW120" s="120">
        <f t="shared" si="42"/>
        <v>0.10122120541541965</v>
      </c>
      <c r="AX120" s="120">
        <f t="shared" si="43"/>
        <v>9.6953067704062076E-2</v>
      </c>
      <c r="AY120" s="120">
        <f t="shared" si="44"/>
        <v>0.95783356171425926</v>
      </c>
      <c r="AZ120" s="15">
        <f>MIN(IF($AU120=100%,1,1+VLOOKUP(($AJ120-$AI120-$AH120-$AG120-$AF120-$AE120*(1+AZ$3))/$AJ120,'Технический лист'!$I:$J,2,1)-VLOOKUP($AO120,'Технический лист'!$I:$J,2,1)),1+(1-$AU120))</f>
        <v>1.05</v>
      </c>
      <c r="BA120" s="15">
        <f>MIN(IF($AU120=100%,1,1+VLOOKUP(($AJ120-$AI120-$AH120-$AG120-$AF120-$AE120*(1+BA$3))/$AJ120,'Технический лист'!$I:$J,2,1)-VLOOKUP($AO120,'Технический лист'!$I:$J,2,1)),1+(1-$AU120))</f>
        <v>1.05</v>
      </c>
      <c r="BB120" s="15">
        <f>MIN(IF($AU120=100%,1,1+VLOOKUP(($AJ120-$AI120-$AH120-$AG120-$AF120-$AE120*(1+BB$3))/$AJ120,'Технический лист'!$I:$J,2,1)-VLOOKUP($AO120,'Технический лист'!$I:$J,2,1)),1+(1-$AU120))</f>
        <v>1.05</v>
      </c>
      <c r="BC120" s="15">
        <f>MIN(IF($AU120=100%,1,1+VLOOKUP(($AJ120-$AI120-$AH120-$AG120-$AF120-$AE120*(1+BC$3))/$AJ120,'Технический лист'!$I:$J,2,1)-VLOOKUP($AO120,'Технический лист'!$I:$J,2,1)),1+(1-$AU120))</f>
        <v>1.05</v>
      </c>
      <c r="BD120" s="15">
        <f>MIN(IF($AU120=100%,1,1+VLOOKUP(($AJ120-$AI120-$AH120-$AG120-$AF120-$AE120*(1+BD$3))/$AJ120,'Технический лист'!$I:$J,2,1)-VLOOKUP($AO120,'Технический лист'!$I:$J,2,1)),1+(1-$AU120))</f>
        <v>1.05</v>
      </c>
      <c r="BE120" s="15">
        <f>MIN(IF($AU120=100%,1,1+VLOOKUP(($AJ120-$AI120-$AH120-$AG120-$AF120-$AE120*(1+BE$3))/$AJ120,'Технический лист'!$I:$J,2,1)-VLOOKUP($AO120,'Технический лист'!$I:$J,2,1)),1+(1-$AU120))</f>
        <v>1.05</v>
      </c>
      <c r="BF120" s="15">
        <f>MIN(IF($AU120=100%,1,1+VLOOKUP(($AJ120-$AI120-$AH120-$AG120-$AF120-$AE120*(1+BF$3))/$AJ120,'Технический лист'!$I:$J,2,1)-VLOOKUP($AO120,'Технический лист'!$I:$J,2,1)),1+(1-$AU120))</f>
        <v>1.05</v>
      </c>
      <c r="BG120" s="15">
        <f>MIN(IF($AU120=100%,1,1+VLOOKUP(($AJ120-$AI120-$AH120-$AG120-$AF120-$AE120*(1+BG$3))/$AJ120,'Технический лист'!$I:$J,2,1)-VLOOKUP($AO120,'Технический лист'!$I:$J,2,1)),1+(1-$AU120))</f>
        <v>1.05</v>
      </c>
      <c r="BH120" s="15">
        <f>MIN(IF($AU120=100%,1,1+VLOOKUP(($AJ120-$AI120-$AH120-$AG120-$AF120-$AE120*(1+BH$3))/$AJ120,'Технический лист'!$I:$J,2,1)-VLOOKUP($AO120,'Технический лист'!$I:$J,2,1)),1+(1-$AU120))</f>
        <v>1.05</v>
      </c>
      <c r="BI120" s="15">
        <f>MIN(IF($AU120=100%,1,1+VLOOKUP(($AJ120-$AI120-$AH120-$AG120-$AF120-$AE120*(1+BI$3))/$AJ120,'Технический лист'!$I:$J,2,1)-VLOOKUP($AO120,'Технический лист'!$I:$J,2,1)),1+(1-$AU120))</f>
        <v>1.05</v>
      </c>
      <c r="BJ120" s="15">
        <f>MIN(IF($AU120=100%,1,1+VLOOKUP(($AJ120-$AI120-$AH120-$AG120-$AF120-$AE120*(1+BJ$3))/$AJ120,'Технический лист'!$I:$J,2,1)-VLOOKUP($AO120,'Технический лист'!$I:$J,2,1)),1+(1-$AU120))</f>
        <v>1.05</v>
      </c>
      <c r="BK120" s="15">
        <f>MIN(IF($AU120=100%,1,1+VLOOKUP(($AJ120-$AI120-$AH120-$AG120-$AF120-$AE120*(1+BK$3))/$AJ120,'Технический лист'!$I:$J,2,1)-VLOOKUP($AO120,'Технический лист'!$I:$J,2,1)),1+(1-$AU120))</f>
        <v>1.05</v>
      </c>
      <c r="BL120" s="15">
        <f>MIN(IF($AU120=100%,1,1+VLOOKUP(($AJ120-$AI120-$AH120-$AG120-$AF120-$AE120*(1+BL$3))/$AJ120,'Технический лист'!$I:$J,2,1)-VLOOKUP($AO120,'Технический лист'!$I:$J,2,1)),1+(1-$AU120))</f>
        <v>1.05</v>
      </c>
      <c r="BM120" s="15">
        <f>MIN(IF($AU120=100%,1,1+VLOOKUP(($AJ120-$AI120-$AH120-$AG120-$AF120-$AE120*(1+BM$3))/$AJ120,'Технический лист'!$I:$J,2,1)-VLOOKUP($AO120,'Технический лист'!$I:$J,2,1)),1+(1-$AU120))</f>
        <v>1.05</v>
      </c>
      <c r="BN120" s="15">
        <f>MIN(IF($AU120=100%,1,1+VLOOKUP(($AJ120-$AI120-$AH120-$AG120-$AF120-$AE120*(1+BN$3))/$AJ120,'Технический лист'!$I:$J,2,1)-VLOOKUP($AO120,'Технический лист'!$I:$J,2,1)),1+(1-$AU120))</f>
        <v>1.05</v>
      </c>
      <c r="BO120" s="15">
        <f>MIN(IF($AU120=100%,1,1+VLOOKUP(($AJ120-$AI120-$AH120-$AG120-$AF120-$AE120*(1+BO$3))/$AJ120,'Технический лист'!$I:$J,2,1)-VLOOKUP($AO120,'Технический лист'!$I:$J,2,1)),1+(1-$AU120))</f>
        <v>1.05</v>
      </c>
      <c r="BP120" s="15">
        <f>MIN(IF($AU120=100%,1,1+VLOOKUP(($AJ120-$AI120-$AH120-$AG120-$AF120-$AE120*(1+BP$3))/$AJ120,'Технический лист'!$I:$J,2,1)-VLOOKUP($AO120,'Технический лист'!$I:$J,2,1)),1+(1-$AU120))</f>
        <v>1.05</v>
      </c>
      <c r="BQ120" s="15">
        <f>MIN(IF($AU120=100%,1,1+VLOOKUP(($AJ120-$AI120-$AH120-$AG120-$AF120-$AE120*(1+BQ$3))/$AJ120,'Технический лист'!$I:$J,2,1)-VLOOKUP($AO120,'Технический лист'!$I:$J,2,1)),1+(1-$AU120))</f>
        <v>1.05</v>
      </c>
      <c r="BR120" s="15">
        <f>MIN(IF($AU120=100%,1,1+VLOOKUP(($AJ120-$AI120-$AH120-$AG120-$AF120-$AE120*(1+BR$3))/$AJ120,'Технический лист'!$I:$J,2,1)-VLOOKUP($AO120,'Технический лист'!$I:$J,2,1)),1+(1-$AU120))</f>
        <v>1.05</v>
      </c>
      <c r="BS120" s="15">
        <f>MIN(IF($AU120=100%,1,1+VLOOKUP(($AJ120-$AI120-$AH120-$AG120-$AF120-$AE120*(1+BS$3))/$AJ120,'Технический лист'!$I:$J,2,1)-VLOOKUP($AO120,'Технический лист'!$I:$J,2,1)),1+(1-$AU120))</f>
        <v>1.05</v>
      </c>
      <c r="BT120" s="15">
        <f>MIN(IF($AU120=100%,1,1+VLOOKUP(($AJ120-$AI120-$AH120-$AG120-$AF120-$AE120*(1+BT$3))/$AJ120,'Технический лист'!$I:$J,2,1)-VLOOKUP($AO120,'Технический лист'!$I:$J,2,1)),1+(1-$AU120))</f>
        <v>1.05</v>
      </c>
      <c r="BU120" s="15">
        <f>MIN(IF($AU120=100%,1,1+VLOOKUP(($AJ120-$AI120-$AH120-$AG120-$AF120-$AE120*(1+BU$3))/$AJ120,'Технический лист'!$I:$J,2,1)-VLOOKUP($AO120,'Технический лист'!$I:$J,2,1)),1+(1-$AU120))</f>
        <v>1.05</v>
      </c>
      <c r="BV120" s="15">
        <f>MIN(IF($AU120=100%,1,1+VLOOKUP(($AJ120-$AI120-$AH120-$AG120-$AF120-$AE120*(1+BV$3))/$AJ120,'Технический лист'!$I:$J,2,1)-VLOOKUP($AO120,'Технический лист'!$I:$J,2,1)),1+(1-$AU120))</f>
        <v>1.05</v>
      </c>
      <c r="BW120" s="15">
        <f>MIN(IF($AU120=100%,1,1+VLOOKUP(($AJ120-$AI120-$AH120-$AG120-$AF120-$AE120*(1+BW$3))/$AJ120,'Технический лист'!$I:$J,2,1)-VLOOKUP($AO120,'Технический лист'!$I:$J,2,1)),1+(1-$AU120))</f>
        <v>1.05</v>
      </c>
      <c r="BX120" s="15">
        <f>MIN(IF($AU120=100%,1,1+VLOOKUP(($AJ120-$AI120-$AH120-$AG120-$AF120-$AE120*(1+BX$3))/$AJ120,'Технический лист'!$I:$J,2,1)-VLOOKUP($AO120,'Технический лист'!$I:$J,2,1)),1+(1-$AU120))</f>
        <v>1.05</v>
      </c>
      <c r="BY120" s="15">
        <f>MIN(IF($AU120=100%,1,1+VLOOKUP(($AJ120-$AI120-$AH120-$AG120-$AF120-$AE120*(1+BY$3))/$AJ120,'Технический лист'!$I:$J,2,1)-VLOOKUP($AO120,'Технический лист'!$I:$J,2,1)),1+(1-$AU120))</f>
        <v>1.05</v>
      </c>
      <c r="BZ120" s="15">
        <f>MIN(IF($AU120=100%,1,1+VLOOKUP(($AJ120-$AI120-$AH120-$AG120-$AF120-$AE120*(1+BZ$3))/$AJ120,'Технический лист'!$I:$J,2,1)-VLOOKUP($AO120,'Технический лист'!$I:$J,2,1)),1+(1-$AU120))</f>
        <v>1.05</v>
      </c>
      <c r="CA120" s="15">
        <f>MIN(IF($AU120=100%,1,1+VLOOKUP(($AJ120-$AI120-$AH120-$AG120-$AF120-$AE120*(1+CA$3))/$AJ120,'Технический лист'!$I:$J,2,1)-VLOOKUP($AO120,'Технический лист'!$I:$J,2,1)),1+(1-$AU120))</f>
        <v>1.05</v>
      </c>
      <c r="CB120" s="15">
        <f>MIN(IF($AU120=100%,1,1+VLOOKUP(($AJ120-$AI120-$AH120-$AG120-$AF120-$AE120*(1+CB$3))/$AJ120,'Технический лист'!$I:$J,2,1)-VLOOKUP($AO120,'Технический лист'!$I:$J,2,1)),1+(1-$AU120))</f>
        <v>1.05</v>
      </c>
      <c r="CC120" s="15">
        <f>MIN(IF($AU120=100%,1,1+VLOOKUP(($AJ120-$AI120-$AH120-$AG120-$AF120-$AE120*(1+CC$3))/$AJ120,'Технический лист'!$I:$J,2,1)-VLOOKUP($AO120,'Технический лист'!$I:$J,2,1)),1+(1-$AU120))</f>
        <v>1.05</v>
      </c>
      <c r="CD120" s="15">
        <f>MIN(IF($AU120=100%,1,1+VLOOKUP(($AJ120-$AI120-$AH120-$AG120-$AF120-$AE120*(1+CD$3))/$AJ120,'Технический лист'!$I:$J,2,1)-VLOOKUP($AO120,'Технический лист'!$I:$J,2,1)),1+(1-$AU120))</f>
        <v>1.05</v>
      </c>
      <c r="CE120" s="15">
        <f>MIN(IF($AU120=100%,1,1+VLOOKUP(($AJ120-$AI120-$AH120-$AG120-$AF120-$AE120*(1+CE$3))/$AJ120,'Технический лист'!$I:$J,2,1)-VLOOKUP($AO120,'Технический лист'!$I:$J,2,1)),1+(1-$AU120))</f>
        <v>1.05</v>
      </c>
      <c r="CF120" s="15">
        <f>MIN(IF($AU120=100%,1,1+VLOOKUP(($AJ120-$AI120-$AH120-$AG120-$AF120-$AE120*(1+CF$3))/$AJ120,'Технический лист'!$I:$J,2,1)-VLOOKUP($AO120,'Технический лист'!$I:$J,2,1)),1+(1-$AU120))</f>
        <v>1.05</v>
      </c>
      <c r="CG120" s="15">
        <f>MIN(IF($AU120=100%,1,1+VLOOKUP(($AJ120-$AI120-$AH120-$AG120-$AF120-$AE120*(1+CG$3))/$AJ120,'Технический лист'!$I:$J,2,1)-VLOOKUP($AO120,'Технический лист'!$I:$J,2,1)),1+(1-$AU120))</f>
        <v>1.05</v>
      </c>
      <c r="CH120" s="15">
        <f>MIN(IF($AU120=100%,1,1+VLOOKUP(($AJ120-$AI120-$AH120-$AG120-$AF120-$AE120*(1+CH$3))/$AJ120,'Технический лист'!$I:$J,2,1)-VLOOKUP($AO120,'Технический лист'!$I:$J,2,1)),1+(1-$AU120))</f>
        <v>1.05</v>
      </c>
      <c r="CI120" s="15">
        <f>MIN(IF($AU120=100%,1,1+VLOOKUP(($AJ120-$AI120-$AH120-$AG120-$AF120-$AE120*(1+CI$3))/$AJ120,'Технический лист'!$I:$J,2,1)-VLOOKUP($AO120,'Технический лист'!$I:$J,2,1)),1+(1-$AU120))</f>
        <v>1.05</v>
      </c>
      <c r="CJ120" s="15">
        <f>MIN(IF($AU120=100%,1,1+VLOOKUP(($AJ120-$AI120-$AH120-$AG120-$AF120-$AE120*(1+CJ$3))/$AJ120,'Технический лист'!$I:$J,2,1)-VLOOKUP($AO120,'Технический лист'!$I:$J,2,1)),1+(1-$AU120))</f>
        <v>1.05</v>
      </c>
      <c r="CK120" s="15">
        <f>MIN(IF($AU120=100%,1,1+VLOOKUP(($AJ120-$AI120-$AH120-$AG120-$AF120-$AE120*(1+CK$3))/$AJ120,'Технический лист'!$I:$J,2,1)-VLOOKUP($AO120,'Технический лист'!$I:$J,2,1)),1+(1-$AU120))</f>
        <v>1.05</v>
      </c>
      <c r="CL120" s="15">
        <f>MIN(IF($AU120=100%,1,1+VLOOKUP(($AJ120-$AI120-$AH120-$AG120-$AF120-$AE120*(1+CL$3))/$AJ120,'Технический лист'!$I:$J,2,1)-VLOOKUP($AO120,'Технический лист'!$I:$J,2,1)),1+(1-$AU120))</f>
        <v>1.05</v>
      </c>
      <c r="CM120" s="15">
        <f>MIN(IF($AU120=100%,1,1+VLOOKUP(($AJ120-$AI120-$AH120-$AG120-$AF120-$AE120*(1+CM$3))/$AJ120,'Технический лист'!$I:$J,2,1)-VLOOKUP($AO120,'Технический лист'!$I:$J,2,1)),1+(1-$AU120))</f>
        <v>1.05</v>
      </c>
      <c r="CN120" s="15">
        <f>MIN(IF($AU120=100%,1,1+VLOOKUP(($AJ120-$AI120-$AH120-$AG120-$AF120-$AE120*(1+CN$3))/$AJ120,'Технический лист'!$I:$J,2,1)-VLOOKUP($AO120,'Технический лист'!$I:$J,2,1)),1+(1-$AU120))</f>
        <v>1.05</v>
      </c>
      <c r="CO120" s="15">
        <f>MIN(IF($AU120=100%,1,1+VLOOKUP(($AJ120-$AI120-$AH120-$AG120-$AF120-$AE120*(1+CO$3))/$AJ120,'Технический лист'!$I:$J,2,1)-VLOOKUP($AO120,'Технический лист'!$I:$J,2,1)),1+(1-$AU120))</f>
        <v>1.05</v>
      </c>
      <c r="CP120" s="15">
        <f>MIN(IF($AU120=100%,1,1+VLOOKUP(($AJ120-$AI120-$AH120-$AG120-$AF120-$AE120*(1+CP$3))/$AJ120,'Технический лист'!$I:$J,2,1)-VLOOKUP($AO120,'Технический лист'!$I:$J,2,1)),1+(1-$AU120))</f>
        <v>1.05</v>
      </c>
      <c r="CQ120" s="15">
        <f>MIN(IF($AU120=100%,1,1+VLOOKUP(($AJ120-$AI120-$AH120-$AG120-$AF120-$AE120*(1+CQ$3))/$AJ120,'Технический лист'!$I:$J,2,1)-VLOOKUP($AO120,'Технический лист'!$I:$J,2,1)),1+(1-$AU120))</f>
        <v>1.05</v>
      </c>
      <c r="CR120" s="15">
        <f>MIN(IF($AU120=100%,1,1+VLOOKUP(($AJ120-$AI120-$AH120-$AG120-$AF120-$AE120*(1+CR$3))/$AJ120,'Технический лист'!$I:$J,2,1)-VLOOKUP($AO120,'Технический лист'!$I:$J,2,1)),1+(1-$AU120))</f>
        <v>1.05</v>
      </c>
      <c r="CS120" s="15">
        <f>MIN(IF($AU120=100%,1,1+VLOOKUP(($AJ120-$AI120-$AH120-$AG120-$AF120-$AE120*(1+CS$3))/$AJ120,'Технический лист'!$I:$J,2,1)-VLOOKUP($AO120,'Технический лист'!$I:$J,2,1)),1+(1-$AU120))</f>
        <v>1.05</v>
      </c>
      <c r="CT120" s="15">
        <f>MIN(IF($AU120=100%,1,1+VLOOKUP(($AJ120-$AI120-$AH120-$AG120-$AF120-$AE120*(1+CT$3))/$AJ120,'Технический лист'!$I:$J,2,1)-VLOOKUP($AO120,'Технический лист'!$I:$J,2,1)),1+(1-$AU120))</f>
        <v>1.05</v>
      </c>
      <c r="CU120" s="15">
        <f>MIN(IF($AU120=100%,1,1+VLOOKUP(($AJ120-$AI120-$AH120-$AG120-$AF120-$AE120*(1+CU$3))/$AJ120,'Технический лист'!$I:$J,2,1)-VLOOKUP($AO120,'Технический лист'!$I:$J,2,1)),1+(1-$AU120))</f>
        <v>1.05</v>
      </c>
      <c r="CV120" s="15">
        <f>MIN(IF($AU120=100%,1,1+VLOOKUP(($AJ120-$AI120-$AH120-$AG120-$AF120-$AE120*(1+CV$3))/$AJ120,'Технический лист'!$I:$J,2,1)-VLOOKUP($AO120,'Технический лист'!$I:$J,2,1)),1+(1-$AU120))</f>
        <v>1.05</v>
      </c>
      <c r="CW120" s="15">
        <f>MIN(IF($AU120=100%,1,1+VLOOKUP(($AJ120-$AI120-$AH120-$AG120-$AF120-$AE120*(1+CW$3))/$AJ120,'Технический лист'!$I:$J,2,1)-VLOOKUP($AO120,'Технический лист'!$I:$J,2,1)),1+(1-$AU120))</f>
        <v>1.05</v>
      </c>
      <c r="CX120" s="15">
        <f>MIN(IF($AU120=100%,1,1+VLOOKUP(($AJ120-$AI120-$AH120-$AG120-$AF120-$AE120*(1+CX$3))/$AJ120,'Технический лист'!$I:$J,2,1)-VLOOKUP($AO120,'Технический лист'!$I:$J,2,1)),1+(1-$AU120))</f>
        <v>1.05</v>
      </c>
      <c r="CY120" s="15">
        <f>MIN(IF($AU120=100%,1,1+VLOOKUP(($AJ120-$AI120-$AH120-$AG120-$AF120-$AE120*(1+CY$3))/$AJ120,'Технический лист'!$I:$J,2,1)-VLOOKUP($AO120,'Технический лист'!$I:$J,2,1)),1+(1-$AU120))</f>
        <v>1.05</v>
      </c>
      <c r="CZ120" s="15">
        <f>MIN(IF($AU120=100%,1,1+VLOOKUP(($AJ120-$AI120-$AH120-$AG120-$AF120-$AE120*(1+CZ$3))/$AJ120,'Технический лист'!$I:$J,2,1)-VLOOKUP($AO120,'Технический лист'!$I:$J,2,1)),1+(1-$AU120))</f>
        <v>1.05</v>
      </c>
      <c r="DA120" s="15">
        <f>MIN(IF($AU120=100%,1,1+VLOOKUP(($AJ120-$AI120-$AH120-$AG120-$AF120-$AE120*(1+DA$3))/$AJ120,'Технический лист'!$I:$J,2,1)-VLOOKUP($AO120,'Технический лист'!$I:$J,2,1)),1+(1-$AU120))</f>
        <v>1.05</v>
      </c>
      <c r="DB120" s="15">
        <f>MIN(IF($AU120=100%,1,1+VLOOKUP(($AJ120-$AI120-$AH120-$AG120-$AF120-$AE120*(1+DB$3))/$AJ120,'Технический лист'!$I:$J,2,1)-VLOOKUP($AO120,'Технический лист'!$I:$J,2,1)),1+(1-$AU120))</f>
        <v>1.05</v>
      </c>
      <c r="DC120" s="15">
        <f>MIN(IF($AU120=100%,1,1+VLOOKUP(($AJ120-$AI120-$AH120-$AG120-$AF120-$AE120*(1+DC$3))/$AJ120,'Технический лист'!$I:$J,2,1)-VLOOKUP($AO120,'Технический лист'!$I:$J,2,1)),1+(1-$AU120))</f>
        <v>1.05</v>
      </c>
      <c r="DD120" s="15">
        <f>MIN(IF($AU120=100%,1,1+VLOOKUP(($AJ120-$AI120-$AH120-$AG120-$AF120-$AE120*(1+DD$3))/$AJ120,'Технический лист'!$I:$J,2,1)-VLOOKUP($AO120,'Технический лист'!$I:$J,2,1)),1+(1-$AU120))</f>
        <v>1.05</v>
      </c>
      <c r="DE120" s="15">
        <f>MIN(IF($AU120=100%,1,1+VLOOKUP(($AJ120-$AI120-$AH120-$AG120-$AF120-$AE120*(1+DE$3))/$AJ120,'Технический лист'!$I:$J,2,1)-VLOOKUP($AO120,'Технический лист'!$I:$J,2,1)),1+(1-$AU120))</f>
        <v>1.05</v>
      </c>
      <c r="DF120" s="15">
        <f>MIN(IF($AU120=100%,1,1+VLOOKUP(($AJ120-$AI120-$AH120-$AG120-$AF120-$AE120*(1+DF$3))/$AJ120,'Технический лист'!$I:$J,2,1)-VLOOKUP($AO120,'Технический лист'!$I:$J,2,1)),1+(1-$AU120))</f>
        <v>1.05</v>
      </c>
      <c r="DG120" s="15">
        <f>MIN(IF($AU120=100%,1,1+VLOOKUP(($AJ120-$AI120-$AH120-$AG120-$AF120-$AE120*(1+DG$3))/$AJ120,'Технический лист'!$I:$J,2,1)-VLOOKUP($AO120,'Технический лист'!$I:$J,2,1)),1+(1-$AU120))</f>
        <v>1.05</v>
      </c>
      <c r="DH120" s="15">
        <f>MIN(IF($AU120=100%,1,1+VLOOKUP(($AJ120-$AI120-$AH120-$AG120-$AF120-$AE120*(1+DH$3))/$AJ120,'Технический лист'!$I:$J,2,1)-VLOOKUP($AO120,'Технический лист'!$I:$J,2,1)),1+(1-$AU120))</f>
        <v>1.05</v>
      </c>
      <c r="DI120" s="15">
        <f>MIN(IF($AU120=100%,1,1+VLOOKUP(($AJ120-$AI120-$AH120-$AG120-$AF120-$AE120*(1+DI$3))/$AJ120,'Технический лист'!$I:$J,2,1)-VLOOKUP($AO120,'Технический лист'!$I:$J,2,1)),1+(1-$AU120))</f>
        <v>1.05</v>
      </c>
      <c r="DJ120" s="15">
        <f>MIN(IF($AU120=100%,1,1+VLOOKUP(($AJ120-$AI120-$AH120-$AG120-$AF120-$AE120*(1+DJ$3))/$AJ120,'Технический лист'!$I:$J,2,1)-VLOOKUP($AO120,'Технический лист'!$I:$J,2,1)),1+(1-$AU120))</f>
        <v>1.05</v>
      </c>
      <c r="DK120" s="15">
        <f>MIN(IF($AU120=100%,1,1+VLOOKUP(($AJ120-$AI120-$AH120-$AG120-$AF120-$AE120*(1+DK$3))/$AJ120,'Технический лист'!$I:$J,2,1)-VLOOKUP($AO120,'Технический лист'!$I:$J,2,1)),1+(1-$AU120))</f>
        <v>1.05</v>
      </c>
      <c r="DL120" s="15">
        <f>MIN(IF($AU120=100%,1,1+VLOOKUP(($AJ120-$AI120-$AH120-$AG120-$AF120-$AE120*(1+DL$3))/$AJ120,'Технический лист'!$I:$J,2,1)-VLOOKUP($AO120,'Технический лист'!$I:$J,2,1)),1+(1-$AU120))</f>
        <v>1.05</v>
      </c>
      <c r="DM120" s="15">
        <f>MIN(IF($AU120=100%,1,1+VLOOKUP(($AJ120-$AI120-$AH120-$AG120-$AF120-$AE120*(1+DM$3))/$AJ120,'Технический лист'!$I:$J,2,1)-VLOOKUP($AO120,'Технический лист'!$I:$J,2,1)),1+(1-$AU120))</f>
        <v>1.05</v>
      </c>
      <c r="DN120" s="15">
        <f>MIN(IF($AU120=100%,1,1+VLOOKUP(($AJ120-$AI120-$AH120-$AG120-$AF120-$AE120*(1+DN$3))/$AJ120,'Технический лист'!$I:$J,2,1)-VLOOKUP($AO120,'Технический лист'!$I:$J,2,1)),1+(1-$AU120))</f>
        <v>1.05</v>
      </c>
      <c r="DO120" s="15">
        <f>MIN(IF($AU120=100%,1,1+VLOOKUP(($AJ120-$AI120-$AH120-$AG120-$AF120-$AE120*(1+DO$3))/$AJ120,'Технический лист'!$I:$J,2,1)-VLOOKUP($AO120,'Технический лист'!$I:$J,2,1)),1+(1-$AU120))</f>
        <v>1.05</v>
      </c>
      <c r="DP120" s="15">
        <f>MIN(IF($AU120=100%,1,1+VLOOKUP(($AJ120-$AI120-$AH120-$AG120-$AF120-$AE120*(1+DP$3))/$AJ120,'Технический лист'!$I:$J,2,1)-VLOOKUP($AO120,'Технический лист'!$I:$J,2,1)),1+(1-$AU120))</f>
        <v>1.05</v>
      </c>
      <c r="DQ120" s="15">
        <f>MIN(IF($AU120=100%,1,1+VLOOKUP(($AJ120-$AI120-$AH120-$AG120-$AF120-$AE120*(1+DQ$3))/$AJ120,'Технический лист'!$I:$J,2,1)-VLOOKUP($AO120,'Технический лист'!$I:$J,2,1)),1+(1-$AU120))</f>
        <v>1.05</v>
      </c>
      <c r="DR120" s="15">
        <f>MIN(IF($AU120=100%,1,1+VLOOKUP(($AJ120-$AI120-$AH120-$AG120-$AF120-$AE120*(1+DR$3))/$AJ120,'Технический лист'!$I:$J,2,1)-VLOOKUP($AO120,'Технический лист'!$I:$J,2,1)),1+(1-$AU120))</f>
        <v>1.05</v>
      </c>
      <c r="DS120" s="15">
        <f>MIN(IF($AU120=100%,1,1+VLOOKUP(($AJ120-$AI120-$AH120-$AG120-$AF120-$AE120*(1+DS$3))/$AJ120,'Технический лист'!$I:$J,2,1)-VLOOKUP($AO120,'Технический лист'!$I:$J,2,1)),1+(1-$AU120))</f>
        <v>1.05</v>
      </c>
      <c r="DT120" s="15">
        <f>MIN(IF($AU120=100%,1,1+VLOOKUP(($AJ120-$AI120-$AH120-$AG120-$AF120-$AE120*(1+DT$3))/$AJ120,'Технический лист'!$I:$J,2,1)-VLOOKUP($AO120,'Технический лист'!$I:$J,2,1)),1+(1-$AU120))</f>
        <v>1.05</v>
      </c>
      <c r="DU120" s="15">
        <f>MIN(IF($AU120=100%,1,1+VLOOKUP(($AJ120-$AI120-$AH120-$AG120-$AF120-$AE120*(1+DU$3))/$AJ120,'Технический лист'!$I:$J,2,1)-VLOOKUP($AO120,'Технический лист'!$I:$J,2,1)),1+(1-$AU120))</f>
        <v>1.05</v>
      </c>
      <c r="DV120" s="15">
        <f>MIN(IF($AU120=100%,1,1+VLOOKUP(($AJ120-$AI120-$AH120-$AG120-$AF120-$AE120*(1+DV$3))/$AJ120,'Технический лист'!$I:$J,2,1)-VLOOKUP($AO120,'Технический лист'!$I:$J,2,1)),1+(1-$AU120))</f>
        <v>1.05</v>
      </c>
      <c r="DW120" s="15">
        <f>MIN(IF($AU120=100%,1,1+VLOOKUP(($AJ120-$AI120-$AH120-$AG120-$AF120-$AE120*(1+DW$3))/$AJ120,'Технический лист'!$I:$J,2,1)-VLOOKUP($AO120,'Технический лист'!$I:$J,2,1)),1+(1-$AU120))</f>
        <v>1.05</v>
      </c>
      <c r="DX120" s="15">
        <f>MIN(IF($AU120=100%,1,1+VLOOKUP(($AJ120-$AI120-$AH120-$AG120-$AF120-$AE120*(1+DX$3))/$AJ120,'Технический лист'!$I:$J,2,1)-VLOOKUP($AO120,'Технический лист'!$I:$J,2,1)),1+(1-$AU120))</f>
        <v>1.05</v>
      </c>
      <c r="DY120" s="15">
        <f>MIN(IF($AU120=100%,1,1+VLOOKUP(($AJ120-$AI120-$AH120-$AG120-$AF120-$AE120*(1+DY$3))/$AJ120,'Технический лист'!$I:$J,2,1)-VLOOKUP($AO120,'Технический лист'!$I:$J,2,1)),1+(1-$AU120))</f>
        <v>1.05</v>
      </c>
      <c r="DZ120" s="15">
        <f>MIN(IF($AU120=100%,1,1+VLOOKUP(($AJ120-$AI120-$AH120-$AG120-$AF120-$AE120*(1+DZ$3))/$AJ120,'Технический лист'!$I:$J,2,1)-VLOOKUP($AO120,'Технический лист'!$I:$J,2,1)),1+(1-$AU120))</f>
        <v>1.05</v>
      </c>
      <c r="EA120" s="15">
        <f>MIN(IF($AU120=100%,1,1+VLOOKUP(($AJ120-$AI120-$AH120-$AG120-$AF120-$AE120*(1+EA$3))/$AJ120,'Технический лист'!$I:$J,2,1)-VLOOKUP($AO120,'Технический лист'!$I:$J,2,1)),1+(1-$AU120))</f>
        <v>1.05</v>
      </c>
      <c r="EB120" s="15">
        <f>MIN(IF($AU120=100%,1,1+VLOOKUP(($AJ120-$AI120-$AH120-$AG120-$AF120-$AE120*(1+EB$3))/$AJ120,'Технический лист'!$I:$J,2,1)-VLOOKUP($AO120,'Технический лист'!$I:$J,2,1)),1+(1-$AU120))</f>
        <v>1.05</v>
      </c>
      <c r="EC120" s="15">
        <f>MIN(IF($AU120=100%,1,1+VLOOKUP(($AJ120-$AI120-$AH120-$AG120-$AF120-$AE120*(1+EC$3))/$AJ120,'Технический лист'!$I:$J,2,1)-VLOOKUP($AO120,'Технический лист'!$I:$J,2,1)),1+(1-$AU120))</f>
        <v>1.0349999999999997</v>
      </c>
      <c r="ED120" s="15">
        <f>MIN(IF($AU120=100%,1,1+VLOOKUP(($AJ120-$AI120-$AH120-$AG120-$AF120-$AE120*(1+ED$3))/$AJ120,'Технический лист'!$I:$J,2,1)-VLOOKUP($AO120,'Технический лист'!$I:$J,2,1)),1+(1-$AU120))</f>
        <v>1.0349999999999997</v>
      </c>
      <c r="EE120" s="15">
        <f>MIN(IF($AU120=100%,1,1+VLOOKUP(($AJ120-$AI120-$AH120-$AG120-$AF120-$AE120*(1+EE$3))/$AJ120,'Технический лист'!$I:$J,2,1)-VLOOKUP($AO120,'Технический лист'!$I:$J,2,1)),1+(1-$AU120))</f>
        <v>1.0349999999999997</v>
      </c>
      <c r="EF120" s="15">
        <f>MIN(IF($AU120=100%,1,1+VLOOKUP(($AJ120-$AI120-$AH120-$AG120-$AF120-$AE120*(1+EF$3))/$AJ120,'Технический лист'!$I:$J,2,1)-VLOOKUP($AO120,'Технический лист'!$I:$J,2,1)),1+(1-$AU120))</f>
        <v>1.0349999999999997</v>
      </c>
      <c r="EG120" s="15">
        <f>MIN(IF($AU120=100%,1,1+VLOOKUP(($AJ120-$AI120-$AH120-$AG120-$AF120-$AE120*(1+EG$3))/$AJ120,'Технический лист'!$I:$J,2,1)-VLOOKUP($AO120,'Технический лист'!$I:$J,2,1)),1+(1-$AU120))</f>
        <v>1.0349999999999997</v>
      </c>
      <c r="EH120" s="15">
        <f>MIN(IF($AU120=100%,1,1+VLOOKUP(($AJ120-$AI120-$AH120-$AG120-$AF120-$AE120*(1+EH$3))/$AJ120,'Технический лист'!$I:$J,2,1)-VLOOKUP($AO120,'Технический лист'!$I:$J,2,1)),1+(1-$AU120))</f>
        <v>1.0349999999999997</v>
      </c>
      <c r="EI120" s="15">
        <f>MIN(IF($AU120=100%,1,1+VLOOKUP(($AJ120-$AI120-$AH120-$AG120-$AF120-$AE120*(1+EI$3))/$AJ120,'Технический лист'!$I:$J,2,1)-VLOOKUP($AO120,'Технический лист'!$I:$J,2,1)),1+(1-$AU120))</f>
        <v>1.0349999999999997</v>
      </c>
      <c r="EJ120" s="15">
        <f>MIN(IF($AU120=100%,1,1+VLOOKUP(($AJ120-$AI120-$AH120-$AG120-$AF120-$AE120*(1+EJ$3))/$AJ120,'Технический лист'!$I:$J,2,1)-VLOOKUP($AO120,'Технический лист'!$I:$J,2,1)),1+(1-$AU120))</f>
        <v>1.0349999999999997</v>
      </c>
      <c r="EK120" s="15">
        <f>MIN(IF($AU120=100%,1,1+VLOOKUP(($AJ120-$AI120-$AH120-$AG120-$AF120-$AE120*(1+EK$3))/$AJ120,'Технический лист'!$I:$J,2,1)-VLOOKUP($AO120,'Технический лист'!$I:$J,2,1)),1+(1-$AU120))</f>
        <v>1.0349999999999997</v>
      </c>
      <c r="EL120" s="15">
        <f>MIN(IF($AU120=100%,1,1+VLOOKUP(($AJ120-$AI120-$AH120-$AG120-$AF120-$AE120*(1+EL$3))/$AJ120,'Технический лист'!$I:$J,2,1)-VLOOKUP($AO120,'Технический лист'!$I:$J,2,1)),1+(1-$AU120))</f>
        <v>1.0349999999999997</v>
      </c>
      <c r="EM120" s="15">
        <f>MIN(IF($AU120=100%,1,1+VLOOKUP(($AJ120-$AI120-$AH120-$AG120-$AF120-$AE120*(1+EM$3))/$AJ120,'Технический лист'!$I:$J,2,1)-VLOOKUP($AO120,'Технический лист'!$I:$J,2,1)),1+(1-$AU120))</f>
        <v>1.0349999999999997</v>
      </c>
      <c r="EN120" s="15">
        <f>MIN(IF($AU120=100%,1,1+VLOOKUP(($AJ120-$AI120-$AH120-$AG120-$AF120-$AE120*(1+EN$3))/$AJ120,'Технический лист'!$I:$J,2,1)-VLOOKUP($AO120,'Технический лист'!$I:$J,2,1)),1+(1-$AU120))</f>
        <v>1.0349999999999997</v>
      </c>
      <c r="EO120" s="15">
        <f>MIN(IF($AU120=100%,1,1+VLOOKUP(($AJ120-$AI120-$AH120-$AG120-$AF120-$AE120*(1+EO$3))/$AJ120,'Технический лист'!$I:$J,2,1)-VLOOKUP($AO120,'Технический лист'!$I:$J,2,1)),1+(1-$AU120))</f>
        <v>1</v>
      </c>
      <c r="EP120" s="15">
        <f>MIN(IF($AU120=100%,1,1+VLOOKUP(($AJ120-$AI120-$AH120-$AG120-$AF120-$AE120*(1+EP$3))/$AJ120,'Технический лист'!$I:$J,2,1)-VLOOKUP($AO120,'Технический лист'!$I:$J,2,1)),1+(1-$AU120))</f>
        <v>1</v>
      </c>
      <c r="EQ120" s="15">
        <f>MIN(IF($AU120=100%,1,1+VLOOKUP(($AJ120-$AI120-$AH120-$AG120-$AF120-$AE120*(1+EQ$3))/$AJ120,'Технический лист'!$I:$J,2,1)-VLOOKUP($AO120,'Технический лист'!$I:$J,2,1)),1+(1-$AU120))</f>
        <v>1</v>
      </c>
      <c r="ER120" s="15">
        <f>MIN(IF($AU120=100%,1,1+VLOOKUP(($AJ120-$AI120-$AH120-$AG120-$AF120-$AE120*(1+ER$3))/$AJ120,'Технический лист'!$I:$J,2,1)-VLOOKUP($AO120,'Технический лист'!$I:$J,2,1)),1+(1-$AU120))</f>
        <v>1</v>
      </c>
      <c r="ES120" s="15">
        <f>MIN(IF($AU120=100%,1,1+VLOOKUP(($AJ120-$AI120-$AH120-$AG120-$AF120-$AE120*(1+ES$3))/$AJ120,'Технический лист'!$I:$J,2,1)-VLOOKUP($AO120,'Технический лист'!$I:$J,2,1)),1+(1-$AU120))</f>
        <v>1</v>
      </c>
      <c r="ET120" s="15">
        <f>MIN(IF($AU120=100%,1,1+VLOOKUP(($AJ120-$AI120-$AH120-$AG120-$AF120-$AE120*(1+ET$3))/$AJ120,'Технический лист'!$I:$J,2,1)-VLOOKUP($AO120,'Технический лист'!$I:$J,2,1)),1+(1-$AU120))</f>
        <v>1</v>
      </c>
      <c r="EU120" s="15">
        <f>MIN(IF($AU120=100%,1,1+VLOOKUP(($AJ120-$AI120-$AH120-$AG120-$AF120-$AE120*(1+EU$3))/$AJ120,'Технический лист'!$I:$J,2,1)-VLOOKUP($AO120,'Технический лист'!$I:$J,2,1)),1+(1-$AU120))</f>
        <v>1</v>
      </c>
      <c r="EV120" s="111">
        <v>1</v>
      </c>
      <c r="EW120" s="15">
        <f>MIN(1,MAX(VLOOKUP(($AJ120-$AI120-$AH120-$AG120-$AF120-$AE120*(1+EW$3))/$AJ120,'Технический лист'!$A:$B,2,1),(EV120-0.05)))</f>
        <v>1</v>
      </c>
      <c r="EX120" s="15">
        <f>MIN(1,MAX(VLOOKUP(($AJ120-$AI120-$AH120-$AG120-$AF120-$AE120*(1+EX$3))/$AJ120,'Технический лист'!$A:$B,2,1),(EW120-0.05)))</f>
        <v>1</v>
      </c>
      <c r="EY120" s="15">
        <f>MIN(1,MAX(VLOOKUP(($AJ120-$AI120-$AH120-$AG120-$AF120-$AE120*(1+EY$3))/$AJ120,'Технический лист'!$A:$B,2,1),(EX120-0.05)))</f>
        <v>1</v>
      </c>
      <c r="EZ120" s="15">
        <f>MIN(1,MAX(VLOOKUP(($AJ120-$AI120-$AH120-$AG120-$AF120-$AE120*(1+EZ$3))/$AJ120,'Технический лист'!$A:$B,2,1),(EY120-0.05)))</f>
        <v>1</v>
      </c>
      <c r="FA120" s="15">
        <f>MIN(1,MAX(VLOOKUP(($AJ120-$AI120-$AH120-$AG120-$AF120-$AE120*(1+FA$3))/$AJ120,'Технический лист'!$A:$B,2,1),(EZ120-0.05)))</f>
        <v>1</v>
      </c>
      <c r="FB120" s="15">
        <f>MIN(1,MAX(VLOOKUP(($AJ120-$AI120-$AH120-$AG120-$AF120-$AE120*(1+FB$3))/$AJ120,'Технический лист'!$A:$B,2,1),(FA120-0.05)))</f>
        <v>1</v>
      </c>
      <c r="FC120" s="15">
        <f>MIN(1,MAX(VLOOKUP(($AJ120-$AI120-$AH120-$AG120-$AF120-$AE120*(1+FC$3))/$AJ120,'Технический лист'!$A:$B,2,1),(FB120-0.05)))</f>
        <v>1</v>
      </c>
      <c r="FD120" s="15">
        <f>MIN(1,MAX(VLOOKUP(($AJ120-$AI120-$AH120-$AG120-$AF120-$AE120*(1+FD$3))/$AJ120,'Технический лист'!$A:$B,2,1),(FC120-0.05)))</f>
        <v>1</v>
      </c>
      <c r="FE120" s="15">
        <f>MIN(1,MAX(VLOOKUP(($AJ120-$AI120-$AH120-$AG120-$AF120-$AE120*(1+FE$3))/$AJ120,'Технический лист'!$A:$B,2,1),(FD120-0.05)))</f>
        <v>1</v>
      </c>
      <c r="FF120" s="15">
        <f>MIN(1,MAX(VLOOKUP(($AJ120-$AI120-$AH120-$AG120-$AF120-$AE120*(1+FF$3))/$AJ120,'Технический лист'!$A:$B,2,1),(FE120-0.05)))</f>
        <v>1</v>
      </c>
      <c r="FG120" s="15">
        <f>MIN(1,MAX(VLOOKUP(($AJ120-$AI120-$AH120-$AG120-$AF120-$AE120*(1+FG$3))/$AJ120,'Технический лист'!$A:$B,2,1),(FF120-0.05)))</f>
        <v>1</v>
      </c>
      <c r="FH120" s="15">
        <f>MIN(1,MAX(VLOOKUP(($AJ120-$AI120-$AH120-$AG120-$AF120-$AE120*(1+FH$3))/$AJ120,'Технический лист'!$A:$B,2,1),(FG120-0.05)))</f>
        <v>1</v>
      </c>
      <c r="FI120" s="15">
        <f>MIN(1,MAX(VLOOKUP(($AJ120-$AI120-$AH120-$AG120-$AF120-$AE120*(1+FI$3))/$AJ120,'Технический лист'!$A:$B,2,1),(FH120-0.05)))</f>
        <v>1</v>
      </c>
      <c r="FJ120" s="15">
        <f>MIN(1,MAX(VLOOKUP(($AJ120-$AI120-$AH120-$AG120-$AF120-$AE120*(1+FJ$3))/$AJ120,'Технический лист'!$A:$B,2,1),(FI120-0.05)))</f>
        <v>1</v>
      </c>
      <c r="FK120" s="15">
        <f>MIN(1,MAX(VLOOKUP(($AJ120-$AI120-$AH120-$AG120-$AF120-$AE120*(1+FK$3))/$AJ120,'Технический лист'!$A:$B,2,1),(FJ120-0.05)))</f>
        <v>1</v>
      </c>
      <c r="FL120" s="15">
        <f>MIN(1,MAX(VLOOKUP(($AJ120-$AI120-$AH120-$AG120-$AF120-$AE120*(1+FL$3))/$AJ120,'Технический лист'!$A:$B,2,1),(FK120-0.05)))</f>
        <v>1</v>
      </c>
      <c r="FM120" s="15">
        <f>MIN(1,MAX(VLOOKUP(($AJ120-$AI120-$AH120-$AG120-$AF120-$AE120*(1+FM$3))/$AJ120,'Технический лист'!$A:$B,2,1),(FL120-0.05)))</f>
        <v>1</v>
      </c>
      <c r="FN120" s="15">
        <f>MIN(1,MAX(VLOOKUP(($AJ120-$AI120-$AH120-$AG120-$AF120-$AE120*(1+FN$3))/$AJ120,'Технический лист'!$A:$B,2,1),(FM120-0.05)))</f>
        <v>1</v>
      </c>
      <c r="FO120" s="15">
        <f>MIN(1,MAX(VLOOKUP(($AJ120-$AI120-$AH120-$AG120-$AF120-$AE120*(1+FO$3))/$AJ120,'Технический лист'!$A:$B,2,1),(FN120-0.05)))</f>
        <v>1</v>
      </c>
      <c r="FP120" s="15">
        <f>MIN(1,MAX(VLOOKUP(($AJ120-$AI120-$AH120-$AG120-$AF120-$AE120*(1+FP$3))/$AJ120,'Технический лист'!$A:$B,2,1),(FO120-0.05)))</f>
        <v>1</v>
      </c>
      <c r="FQ120" s="15">
        <f>MIN(1,MAX(VLOOKUP(($AJ120-$AI120-$AH120-$AG120-$AF120-$AE120*(1+FQ$3))/$AJ120,'Технический лист'!$A:$B,2,1),(FP120-0.05)))</f>
        <v>1</v>
      </c>
      <c r="FR120" s="15">
        <f>MIN(1,MAX(VLOOKUP(($AJ120-$AI120-$AH120-$AG120-$AF120-$AE120*(1+FR$3))/$AJ120,'Технический лист'!$A:$B,2,1),(FQ120-0.05)))</f>
        <v>1</v>
      </c>
      <c r="FS120" s="15">
        <f>MIN(1,MAX(VLOOKUP(($AJ120-$AI120-$AH120-$AG120-$AF120-$AE120*(1+FS$3))/$AJ120,'Технический лист'!$A:$B,2,1),(FR120-0.05)))</f>
        <v>1</v>
      </c>
      <c r="FT120" s="15">
        <f>MIN(1,MAX(VLOOKUP(($AJ120-$AI120-$AH120-$AG120-$AF120-$AE120*(1+FT$3))/$AJ120,'Технический лист'!$A:$B,2,1),(FS120-0.05)))</f>
        <v>1</v>
      </c>
      <c r="FU120" s="15">
        <f>MIN(1,MAX(VLOOKUP(($AJ120-$AI120-$AH120-$AG120-$AF120-$AE120*(1+FU$3))/$AJ120,'Технический лист'!$A:$B,2,1),(FT120-0.05)))</f>
        <v>1</v>
      </c>
      <c r="FV120" s="15">
        <f>MIN(1,MAX(VLOOKUP(($AJ120-$AI120-$AH120-$AG120-$AF120-$AE120*(1+FV$3))/$AJ120,'Технический лист'!$A:$B,2,1),(FU120-0.05)))</f>
        <v>1</v>
      </c>
      <c r="FW120" s="15">
        <f>MIN(1,MAX(VLOOKUP(($AJ120-$AI120-$AH120-$AG120-$AF120-$AE120*(1+FW$3))/$AJ120,'Технический лист'!$A:$B,2,1),(FV120-0.05)))</f>
        <v>1</v>
      </c>
      <c r="FX120" s="15">
        <f>MIN(1,MAX(VLOOKUP(($AJ120-$AI120-$AH120-$AG120-$AF120-$AE120*(1+FX$3))/$AJ120,'Технический лист'!$A:$B,2,1),(FW120-0.05)))</f>
        <v>1</v>
      </c>
      <c r="FY120" s="15">
        <f>MIN(1,MAX(VLOOKUP(($AJ120-$AI120-$AH120-$AG120-$AF120-$AE120*(1+FY$3))/$AJ120,'Технический лист'!$A:$B,2,1),(FX120-0.05)))</f>
        <v>1</v>
      </c>
      <c r="FZ120" s="15">
        <f>MIN(1,MAX(VLOOKUP(($AJ120-$AI120-$AH120-$AG120-$AF120-$AE120*(1+FZ$3))/$AJ120,'Технический лист'!$A:$B,2,1),(FY120-0.05)))</f>
        <v>1</v>
      </c>
      <c r="GA120" s="15">
        <f>MIN(1,MAX(VLOOKUP(($AJ120-$AI120-$AH120-$AG120-$AF120-$AE120*(1+GA$3))/$AJ120,'Технический лист'!$A:$B,2,1),(FZ120-0.05)))</f>
        <v>1</v>
      </c>
      <c r="GB120" s="15">
        <f>MIN(1,MAX(VLOOKUP(($AJ120-$AI120-$AH120-$AG120-$AF120-$AE120*(1+GB$3))/$AJ120,'Технический лист'!$A:$B,2,1),(GA120-0.05)))</f>
        <v>1</v>
      </c>
      <c r="GC120" s="15">
        <f>MIN(1,MAX(VLOOKUP(($AJ120-$AI120-$AH120-$AG120-$AF120-$AE120*(1+GC$3))/$AJ120,'Технический лист'!$A:$B,2,1),(GB120-0.05)))</f>
        <v>1</v>
      </c>
      <c r="GD120" s="15">
        <f>MIN(1,MAX(VLOOKUP(($AJ120-$AI120-$AH120-$AG120-$AF120-$AE120*(1+GD$3))/$AJ120,'Технический лист'!$A:$B,2,1),(GC120-0.05)))</f>
        <v>1</v>
      </c>
      <c r="GE120" s="15">
        <f>MIN(1,MAX(VLOOKUP(($AJ120-$AI120-$AH120-$AG120-$AF120-$AE120*(1+GE$3))/$AJ120,'Технический лист'!$A:$B,2,1),(GD120-0.05)))</f>
        <v>1</v>
      </c>
      <c r="GF120" s="15">
        <f>MIN(1,MAX(VLOOKUP(($AJ120-$AI120-$AH120-$AG120-$AF120-$AE120*(1+GF$3))/$AJ120,'Технический лист'!$A:$B,2,1),(GE120-0.05)))</f>
        <v>1</v>
      </c>
      <c r="GG120" s="15">
        <f>MIN(1,MAX(VLOOKUP(($AJ120-$AI120-$AH120-$AG120-$AF120-$AE120*(1+GG$3))/$AJ120,'Технический лист'!$A:$B,2,1),(GF120-0.05)))</f>
        <v>1</v>
      </c>
      <c r="GH120" s="15">
        <f>MIN(1,MAX(VLOOKUP(($AJ120-$AI120-$AH120-$AG120-$AF120-$AE120*(1+GH$3))/$AJ120,'Технический лист'!$A:$B,2,1),(GG120-0.05)))</f>
        <v>1</v>
      </c>
      <c r="GI120" s="15">
        <f>MIN(1,MAX(VLOOKUP(($AJ120-$AI120-$AH120-$AG120-$AF120-$AE120*(1+GI$3))/$AJ120,'Технический лист'!$A:$B,2,1),(GH120-0.05)))</f>
        <v>1</v>
      </c>
      <c r="GJ120" s="15">
        <f>MIN(1,MAX(VLOOKUP(($AJ120-$AI120-$AH120-$AG120-$AF120-$AE120*(1+GJ$3))/$AJ120,'Технический лист'!$A:$B,2,1),(GI120-0.05)))</f>
        <v>1</v>
      </c>
      <c r="GK120" s="15">
        <f>MIN(1,MAX(VLOOKUP(($AJ120-$AI120-$AH120-$AG120-$AF120-$AE120*(1+GK$3))/$AJ120,'Технический лист'!$A:$B,2,1),(GJ120-0.05)))</f>
        <v>1</v>
      </c>
      <c r="GL120" s="15">
        <f>MIN(1,MAX(VLOOKUP(($AJ120-$AI120-$AH120-$AG120-$AF120-$AE120*(1+GL$3))/$AJ120,'Технический лист'!$A:$B,2,1),(GK120-0.05)))</f>
        <v>1</v>
      </c>
      <c r="GM120" s="15">
        <f>MIN(1,MAX(VLOOKUP(($AJ120-$AI120-$AH120-$AG120-$AF120-$AE120*(1+GM$3))/$AJ120,'Технический лист'!$A:$B,2,1),(GL120-0.05)))</f>
        <v>1</v>
      </c>
      <c r="GN120" s="15">
        <f>MIN(1,MAX(VLOOKUP(($AJ120-$AI120-$AH120-$AG120-$AF120-$AE120*(1+GN$3))/$AJ120,'Технический лист'!$A:$B,2,1),(GM120-0.05)))</f>
        <v>1</v>
      </c>
      <c r="GO120" s="15">
        <f>MIN(1,MAX(VLOOKUP(($AJ120-$AI120-$AH120-$AG120-$AF120-$AE120*(1+GO$3))/$AJ120,'Технический лист'!$A:$B,2,1),(GN120-0.05)))</f>
        <v>1</v>
      </c>
      <c r="GP120" s="15">
        <f>MIN(1,MAX(VLOOKUP(($AJ120-$AI120-$AH120-$AG120-$AF120-$AE120*(1+GP$3))/$AJ120,'Технический лист'!$A:$B,2,1),(GO120-0.05)))</f>
        <v>1</v>
      </c>
      <c r="GQ120" s="15">
        <f>MIN(1,MAX(VLOOKUP(($AJ120-$AI120-$AH120-$AG120-$AF120-$AE120*(1+GQ$3))/$AJ120,'Технический лист'!$A:$B,2,1),(GP120-0.05)))</f>
        <v>1</v>
      </c>
      <c r="GR120" s="15">
        <f>MIN(1,MAX(VLOOKUP(($AJ120-$AI120-$AH120-$AG120-$AF120-$AE120*(1+GR$3))/$AJ120,'Технический лист'!$A:$B,2,1),(GQ120-0.05)))</f>
        <v>1</v>
      </c>
      <c r="GS120" s="15">
        <f>MIN(1,MAX(VLOOKUP(($AJ120-$AI120-$AH120-$AG120-$AF120-$AE120*(1+GS$3))/$AJ120,'Технический лист'!$A:$B,2,1),(GR120-0.05)))</f>
        <v>1</v>
      </c>
      <c r="GT120" s="15">
        <f>MIN(1,MAX(VLOOKUP(($AJ120-$AI120-$AH120-$AG120-$AF120-$AE120*(1+GT$3))/$AJ120,'Технический лист'!$A:$B,2,1),(GS120-0.05)))</f>
        <v>1</v>
      </c>
      <c r="GU120" s="15">
        <f>MIN(1,MAX(VLOOKUP(($AJ120-$AI120-$AH120-$AG120-$AF120-$AE120*(1+GU$3))/$AJ120,'Технический лист'!$A:$B,2,1),(GT120-0.05)))</f>
        <v>1</v>
      </c>
      <c r="GV120" s="15">
        <f>MIN(1,MAX(VLOOKUP(($AJ120-$AI120-$AH120-$AG120-$AF120-$AE120*(1+GV$3))/$AJ120,'Технический лист'!$A:$B,2,1),(GU120-0.05)))</f>
        <v>1</v>
      </c>
      <c r="GW120" s="15">
        <f>MIN(1,MAX(VLOOKUP(($AJ120-$AI120-$AH120-$AG120-$AF120-$AE120*(1+GW$3))/$AJ120,'Технический лист'!$A:$B,2,1),(GV120-0.05)))</f>
        <v>1</v>
      </c>
      <c r="GX120" s="15">
        <f>MIN(1,MAX(VLOOKUP(($AJ120-$AI120-$AH120-$AG120-$AF120-$AE120*(1+GX$3))/$AJ120,'Технический лист'!$A:$B,2,1),(GW120-0.05)))</f>
        <v>1</v>
      </c>
      <c r="GY120" s="15">
        <f>MIN(1,MAX(VLOOKUP(($AJ120-$AI120-$AH120-$AG120-$AF120-$AE120*(1+GY$3))/$AJ120,'Технический лист'!$A:$B,2,1),(GX120-0.05)))</f>
        <v>1</v>
      </c>
      <c r="GZ120" s="15">
        <f>MIN(1,MAX(VLOOKUP(($AJ120-$AI120-$AH120-$AG120-$AF120-$AE120*(1+GZ$3))/$AJ120,'Технический лист'!$A:$B,2,1),(GY120-0.05)))</f>
        <v>1</v>
      </c>
      <c r="HA120" s="15">
        <f>MIN(1,MAX(VLOOKUP(($AJ120-$AI120-$AH120-$AG120-$AF120-$AE120*(1+HA$3))/$AJ120,'Технический лист'!$A:$B,2,1),(GZ120-0.05)))</f>
        <v>1</v>
      </c>
      <c r="HB120" s="15">
        <f>MIN(1,MAX(VLOOKUP(($AJ120-$AI120-$AH120-$AG120-$AF120-$AE120*(1+HB$3))/$AJ120,'Технический лист'!$A:$B,2,1),(HA120-0.05)))</f>
        <v>1</v>
      </c>
      <c r="HC120" s="15">
        <f>MIN(1,MAX(VLOOKUP(($AJ120-$AI120-$AH120-$AG120-$AF120-$AE120*(1+HC$3))/$AJ120,'Технический лист'!$A:$B,2,1),(HB120-0.05)))</f>
        <v>1</v>
      </c>
      <c r="HD120" s="15">
        <f>MIN(1,MAX(VLOOKUP(($AJ120-$AI120-$AH120-$AG120-$AF120-$AE120*(1+HD$3))/$AJ120,'Технический лист'!$A:$B,2,1),(HC120-0.05)))</f>
        <v>1</v>
      </c>
      <c r="HE120" s="15">
        <f>MIN(1,MAX(VLOOKUP(($AJ120-$AI120-$AH120-$AG120-$AF120-$AE120*(1+HE$3))/$AJ120,'Технический лист'!$A:$B,2,1),(HD120-0.05)))</f>
        <v>1</v>
      </c>
      <c r="HF120" s="15">
        <f>MIN(1,MAX(VLOOKUP(($AJ120-$AI120-$AH120-$AG120-$AF120-$AE120*(1+HF$3))/$AJ120,'Технический лист'!$A:$B,2,1),(HE120-0.05)))</f>
        <v>1</v>
      </c>
      <c r="HG120" s="15">
        <f>MIN(1,MAX(VLOOKUP(($AJ120-$AI120-$AH120-$AG120-$AF120-$AE120*(1+HG$3))/$AJ120,'Технический лист'!$A:$B,2,1),(HF120-0.05)))</f>
        <v>1</v>
      </c>
      <c r="HH120" s="15">
        <f>MIN(1,MAX(VLOOKUP(($AJ120-$AI120-$AH120-$AG120-$AF120-$AE120*(1+HH$3))/$AJ120,'Технический лист'!$A:$B,2,1),(HG120-0.05)))</f>
        <v>1</v>
      </c>
      <c r="HI120" s="15">
        <f>MIN(1,MAX(VLOOKUP(($AJ120-$AI120-$AH120-$AG120-$AF120-$AE120*(1+HI$3))/$AJ120,'Технический лист'!$A:$B,2,1),(HH120-0.05)))</f>
        <v>1</v>
      </c>
      <c r="HJ120" s="15">
        <f>MIN(1,MAX(VLOOKUP(($AJ120-$AI120-$AH120-$AG120-$AF120-$AE120*(1+HJ$3))/$AJ120,'Технический лист'!$A:$B,2,1),(HI120-0.05)))</f>
        <v>1</v>
      </c>
      <c r="HK120" s="15">
        <f>MIN(1,MAX(VLOOKUP(($AJ120-$AI120-$AH120-$AG120-$AF120-$AE120*(1+HK$3))/$AJ120,'Технический лист'!$A:$B,2,1),(HJ120-0.05)))</f>
        <v>1</v>
      </c>
      <c r="HL120" s="15">
        <f>MIN(1,MAX(VLOOKUP(($AJ120-$AI120-$AH120-$AG120-$AF120-$AE120*(1+HL$3))/$AJ120,'Технический лист'!$A:$B,2,1),(HK120-0.05)))</f>
        <v>1</v>
      </c>
      <c r="HM120" s="15">
        <f>MIN(1,MAX(VLOOKUP(($AJ120-$AI120-$AH120-$AG120-$AF120-$AE120*(1+HM$3))/$AJ120,'Технический лист'!$A:$B,2,1),(HL120-0.05)))</f>
        <v>1</v>
      </c>
      <c r="HN120" s="15">
        <f>MIN(1,MAX(VLOOKUP(($AJ120-$AI120-$AH120-$AG120-$AF120-$AE120*(1+HN$3))/$AJ120,'Технический лист'!$A:$B,2,1),(HM120-0.05)))</f>
        <v>1</v>
      </c>
      <c r="HO120" s="15">
        <f>MIN(1,MAX(VLOOKUP(($AJ120-$AI120-$AH120-$AG120-$AF120-$AE120*(1+HO$3))/$AJ120,'Технический лист'!$A:$B,2,1),(HN120-0.05)))</f>
        <v>1</v>
      </c>
      <c r="HP120" s="15">
        <f>MIN(1,MAX(VLOOKUP(($AJ120-$AI120-$AH120-$AG120-$AF120-$AE120*(1+HP$3))/$AJ120,'Технический лист'!$A:$B,2,1),(HO120-0.05)))</f>
        <v>1</v>
      </c>
      <c r="HQ120" s="15">
        <f>MIN(1,MAX(VLOOKUP(($AJ120-$AI120-$AH120-$AG120-$AF120-$AE120*(1+HQ$3))/$AJ120,'Технический лист'!$A:$B,2,1),(HP120-0.05)))</f>
        <v>1</v>
      </c>
      <c r="HR120" s="15">
        <f>MIN(1,MAX(VLOOKUP(($AJ120-$AI120-$AH120-$AG120-$AF120-$AE120*(1+HR$3))/$AJ120,'Технический лист'!$A:$B,2,1),(HQ120-0.05)))</f>
        <v>1</v>
      </c>
      <c r="HS120" s="15">
        <f>MIN(1,MAX(VLOOKUP(($AJ120-$AI120-$AH120-$AG120-$AF120-$AE120*(1+HS$3))/$AJ120,'Технический лист'!$A:$B,2,1),(HR120-0.05)))</f>
        <v>1</v>
      </c>
      <c r="HT120" s="15">
        <f>MIN(1,MAX(VLOOKUP(($AJ120-$AI120-$AH120-$AG120-$AF120-$AE120*(1+HT$3))/$AJ120,'Технический лист'!$A:$B,2,1),(HS120-0.05)))</f>
        <v>1</v>
      </c>
      <c r="HU120" s="15">
        <f>MIN(1,MAX(VLOOKUP(($AJ120-$AI120-$AH120-$AG120-$AF120-$AE120*(1+HU$3))/$AJ120,'Технический лист'!$A:$B,2,1),(HT120-0.05)))</f>
        <v>1</v>
      </c>
      <c r="HV120" s="15">
        <f>MIN(1,MAX(VLOOKUP(($AJ120-$AI120-$AH120-$AG120-$AF120-$AE120*(1+HV$3))/$AJ120,'Технический лист'!$A:$B,2,1),(HU120-0.05)))</f>
        <v>1</v>
      </c>
      <c r="HW120" s="15">
        <f>MIN(1,MAX(VLOOKUP(($AJ120-$AI120-$AH120-$AG120-$AF120-$AE120*(1+HW$3))/$AJ120,'Технический лист'!$A:$B,2,1),(HV120-0.05)))</f>
        <v>1</v>
      </c>
      <c r="HX120" s="15">
        <f>MIN(1,MAX(VLOOKUP(($AJ120-$AI120-$AH120-$AG120-$AF120-$AE120*(1+HX$3))/$AJ120,'Технический лист'!$A:$B,2,1),(HW120-0.05)))</f>
        <v>1</v>
      </c>
      <c r="HY120" s="15">
        <f>MIN(1,MAX(VLOOKUP(($AJ120-$AI120-$AH120-$AG120-$AF120-$AE120*(1+HY$3))/$AJ120,'Технический лист'!$A:$B,2,1),(HX120-0.05)))</f>
        <v>1</v>
      </c>
      <c r="HZ120" s="15">
        <f>MIN(1,MAX(VLOOKUP(($AJ120-$AI120-$AH120-$AG120-$AF120-$AE120*(1+HZ$3))/$AJ120,'Технический лист'!$A:$B,2,1),(HY120-0.05)))</f>
        <v>1</v>
      </c>
      <c r="IA120" s="15">
        <f>MIN(1,MAX(VLOOKUP(($AJ120-$AI120-$AH120-$AG120-$AF120-$AE120*(1+IA$3))/$AJ120,'Технический лист'!$A:$B,2,1),(HZ120-0.05)))</f>
        <v>1</v>
      </c>
      <c r="IB120" s="15">
        <f>MIN(1,MAX(VLOOKUP(($AJ120-$AI120-$AH120-$AG120-$AF120-$AE120*(1+IB$3))/$AJ120,'Технический лист'!$A:$B,2,1),(IA120-0.05)))</f>
        <v>1</v>
      </c>
      <c r="IC120" s="15">
        <f>MIN(1,MAX(VLOOKUP(($AJ120-$AI120-$AH120-$AG120-$AF120-$AE120*(1+IC$3))/$AJ120,'Технический лист'!$A:$B,2,1),(IB120-0.05)))</f>
        <v>1</v>
      </c>
      <c r="ID120" s="15">
        <f>MIN(1,MAX(VLOOKUP(($AJ120-$AI120-$AH120-$AG120-$AF120-$AE120*(1+ID$3))/$AJ120,'Технический лист'!$A:$B,2,1),(IC120-0.05)))</f>
        <v>1</v>
      </c>
      <c r="IE120" s="15">
        <f>MIN(1,MAX(VLOOKUP(($AJ120-$AI120-$AH120-$AG120-$AF120-$AE120*(1+IE$3))/$AJ120,'Технический лист'!$A:$B,2,1),(ID120-0.05)))</f>
        <v>1</v>
      </c>
      <c r="IF120" s="15">
        <f>MIN(1,MAX(VLOOKUP(($AJ120-$AI120-$AH120-$AG120-$AF120-$AE120*(1+IF$3))/$AJ120,'Технический лист'!$A:$B,2,1),(IE120-0.05)))</f>
        <v>1</v>
      </c>
      <c r="IG120" s="15">
        <f>MIN(1,MAX(VLOOKUP(($AJ120-$AI120-$AH120-$AG120-$AF120-$AE120*(1+IG$3))/$AJ120,'Технический лист'!$A:$B,2,1),(IF120-0.05)))</f>
        <v>1</v>
      </c>
      <c r="IH120" s="15">
        <f>MIN(1,MAX(VLOOKUP(($AJ120-$AI120-$AH120-$AG120-$AF120-$AE120*(1+IH$3))/$AJ120,'Технический лист'!$A:$B,2,1),(IG120-0.05)))</f>
        <v>1</v>
      </c>
      <c r="II120" s="15">
        <f>MIN(1,MAX(VLOOKUP(($AJ120-$AI120-$AH120-$AG120-$AF120-$AE120*(1+II$3))/$AJ120,'Технический лист'!$A:$B,2,1),(IH120-0.05)))</f>
        <v>1</v>
      </c>
      <c r="IJ120" s="15">
        <f>MIN(1,MAX(VLOOKUP(($AJ120-$AI120-$AH120-$AG120-$AF120-$AE120*(1+IJ$3))/$AJ120,'Технический лист'!$A:$B,2,1),(II120-0.05)))</f>
        <v>1</v>
      </c>
      <c r="IK120" s="15">
        <f>MIN(1,MAX(VLOOKUP(($AJ120-$AI120-$AH120-$AG120-$AF120-$AE120*(1+IK$3))/$AJ120,'Технический лист'!$A:$B,2,1),(IJ120-0.05)))</f>
        <v>1</v>
      </c>
      <c r="IL120" s="15">
        <f>MIN(1,MAX(VLOOKUP(($AJ120-$AI120-$AH120-$AG120-$AF120-$AE120*(1+IL$3))/$AJ120,'Технический лист'!$A:$B,2,1),(IK120-0.05)))</f>
        <v>1</v>
      </c>
      <c r="IM120" s="15">
        <f>MIN(1,MAX(VLOOKUP(($AJ120-$AI120-$AH120-$AG120-$AF120-$AE120*(1+IM$3))/$AJ120,'Технический лист'!$A:$B,2,1),(IL120-0.05)))</f>
        <v>1</v>
      </c>
      <c r="IN120" s="15">
        <f>MIN(1,MAX(VLOOKUP(($AJ120-$AI120-$AH120-$AG120-$AF120-$AE120*(1+IN$3))/$AJ120,'Технический лист'!$A:$B,2,1),(IM120-0.05)))</f>
        <v>1</v>
      </c>
      <c r="IO120" s="15">
        <f>MIN(1,MAX(VLOOKUP(($AJ120-$AI120-$AH120-$AG120-$AF120-$AE120*(1+IO$3))/$AJ120,'Технический лист'!$A:$B,2,1),(IN120-0.05)))</f>
        <v>1</v>
      </c>
      <c r="IP120" s="15">
        <f>MIN(1,MAX(VLOOKUP(($AJ120-$AI120-$AH120-$AG120-$AF120-$AE120*(1+IP$3))/$AJ120,'Технический лист'!$A:$B,2,1),(IO120-0.05)))</f>
        <v>1</v>
      </c>
      <c r="IQ120" s="15">
        <f>MIN(1,MAX(VLOOKUP(($AJ120-$AI120-$AH120-$AG120-$AF120-$AE120*(1+IQ$3))/$AJ120,'Технический лист'!$A:$B,2,1),(IP120-0.05)))</f>
        <v>1</v>
      </c>
      <c r="IR120" s="15">
        <f>MIN(1,MAX(VLOOKUP(($AJ120-$AI120-$AH120-$AG120-$AF120-$AE120*(1+IR$3))/$AJ120,'Технический лист'!$A:$B,2,1),(IQ120-0.05)))</f>
        <v>1</v>
      </c>
    </row>
    <row r="121" spans="1:252" ht="43.75">
      <c r="A121" s="89" t="s">
        <v>515</v>
      </c>
      <c r="B121" s="90">
        <v>5</v>
      </c>
      <c r="C121" s="5" t="s">
        <v>68</v>
      </c>
      <c r="D121" s="91">
        <v>32416</v>
      </c>
      <c r="E121" s="91" t="s">
        <v>352</v>
      </c>
      <c r="F121" s="92" t="s">
        <v>75</v>
      </c>
      <c r="G121" s="91" t="s">
        <v>22</v>
      </c>
      <c r="H121" s="91" t="s">
        <v>31</v>
      </c>
      <c r="I121" s="91" t="s">
        <v>29</v>
      </c>
      <c r="J121" s="91" t="s">
        <v>57</v>
      </c>
      <c r="K121" s="91">
        <v>2182</v>
      </c>
      <c r="L121" s="77" t="s">
        <v>189</v>
      </c>
      <c r="M121" s="91" t="s">
        <v>17</v>
      </c>
      <c r="N121" s="91" t="s">
        <v>48</v>
      </c>
      <c r="O121" s="91" t="s">
        <v>192</v>
      </c>
      <c r="P121" s="89" t="s">
        <v>209</v>
      </c>
      <c r="Q121" s="91" t="s">
        <v>258</v>
      </c>
      <c r="R121" s="91" t="s">
        <v>258</v>
      </c>
      <c r="S121" s="82">
        <v>94039</v>
      </c>
      <c r="T121" s="82">
        <v>205161621</v>
      </c>
      <c r="U121" s="81">
        <v>1399</v>
      </c>
      <c r="V121" s="81">
        <v>2798</v>
      </c>
      <c r="W121" s="82">
        <v>338588737</v>
      </c>
      <c r="X121" s="112">
        <v>68</v>
      </c>
      <c r="Y121" s="112" t="s">
        <v>48</v>
      </c>
      <c r="Z121" s="113">
        <v>15</v>
      </c>
      <c r="AA121" s="113">
        <v>0</v>
      </c>
      <c r="AB121" s="113">
        <v>4</v>
      </c>
      <c r="AC121" s="99">
        <f>120890/X121</f>
        <v>1777.7941176470588</v>
      </c>
      <c r="AD121" s="99">
        <v>0</v>
      </c>
      <c r="AE121" s="99">
        <f>AC121</f>
        <v>1777.7941176470588</v>
      </c>
      <c r="AF121" s="98">
        <f>(AB121+AA121+Z121)*'Ставки аренды'!$B$6/X121</f>
        <v>447.05882352941177</v>
      </c>
      <c r="AG121" s="94">
        <v>0</v>
      </c>
      <c r="AH121" s="94">
        <v>0</v>
      </c>
      <c r="AI121" s="116">
        <f>507353/712157*AVERAGE(AJ120,AJ122)</f>
        <v>31445.69558228031</v>
      </c>
      <c r="AJ121" s="117">
        <f>Цены!C17*'Курсы валют'!B2</f>
        <v>39678.86</v>
      </c>
      <c r="AK121" s="94">
        <f>AJ121/Цены!$B$1</f>
        <v>520</v>
      </c>
      <c r="AL121" s="95">
        <f t="shared" si="24"/>
        <v>2224.8529411764707</v>
      </c>
      <c r="AM121" s="95">
        <f t="shared" si="25"/>
        <v>37454.007058823532</v>
      </c>
      <c r="AN121" s="94">
        <f t="shared" si="39"/>
        <v>33670.548523456782</v>
      </c>
      <c r="AO121" s="118">
        <f t="shared" si="40"/>
        <v>0.15142349040630748</v>
      </c>
      <c r="AP121" s="96">
        <f t="shared" si="26"/>
        <v>5.6071493515097728E-2</v>
      </c>
      <c r="AQ121" s="96">
        <f t="shared" si="27"/>
        <v>4.4804566402539256E-2</v>
      </c>
      <c r="AR121" s="96">
        <f t="shared" si="28"/>
        <v>0.7990614052481988</v>
      </c>
      <c r="AS121" s="122">
        <v>1</v>
      </c>
      <c r="AT121" s="121">
        <f t="shared" si="45"/>
        <v>94039</v>
      </c>
      <c r="AU121" s="83">
        <v>0.95</v>
      </c>
      <c r="AV121" s="119">
        <f t="shared" si="41"/>
        <v>0.14604694243800273</v>
      </c>
      <c r="AW121" s="120">
        <f t="shared" si="42"/>
        <v>6.1448041483402445E-2</v>
      </c>
      <c r="AX121" s="120">
        <f t="shared" si="43"/>
        <v>5.0181114370843972E-2</v>
      </c>
      <c r="AY121" s="120">
        <f t="shared" si="44"/>
        <v>0.81664302326703531</v>
      </c>
      <c r="AZ121" s="15">
        <f>MIN(IF($AU121=100%,1,1+VLOOKUP(($AJ121-$AI121-$AH121-$AG121-$AF121-$AE121*(1+AZ$3))/$AJ121,'Технический лист'!$I:$J,2,1)-VLOOKUP($AO121,'Технический лист'!$I:$J,2,1)),1+(1-$AU121))</f>
        <v>1.05</v>
      </c>
      <c r="BA121" s="15">
        <f>MIN(IF($AU121=100%,1,1+VLOOKUP(($AJ121-$AI121-$AH121-$AG121-$AF121-$AE121*(1+BA$3))/$AJ121,'Технический лист'!$I:$J,2,1)-VLOOKUP($AO121,'Технический лист'!$I:$J,2,1)),1+(1-$AU121))</f>
        <v>1.05</v>
      </c>
      <c r="BB121" s="15">
        <f>MIN(IF($AU121=100%,1,1+VLOOKUP(($AJ121-$AI121-$AH121-$AG121-$AF121-$AE121*(1+BB$3))/$AJ121,'Технический лист'!$I:$J,2,1)-VLOOKUP($AO121,'Технический лист'!$I:$J,2,1)),1+(1-$AU121))</f>
        <v>1.05</v>
      </c>
      <c r="BC121" s="15">
        <f>MIN(IF($AU121=100%,1,1+VLOOKUP(($AJ121-$AI121-$AH121-$AG121-$AF121-$AE121*(1+BC$3))/$AJ121,'Технический лист'!$I:$J,2,1)-VLOOKUP($AO121,'Технический лист'!$I:$J,2,1)),1+(1-$AU121))</f>
        <v>1.05</v>
      </c>
      <c r="BD121" s="15">
        <f>MIN(IF($AU121=100%,1,1+VLOOKUP(($AJ121-$AI121-$AH121-$AG121-$AF121-$AE121*(1+BD$3))/$AJ121,'Технический лист'!$I:$J,2,1)-VLOOKUP($AO121,'Технический лист'!$I:$J,2,1)),1+(1-$AU121))</f>
        <v>1.05</v>
      </c>
      <c r="BE121" s="15">
        <f>MIN(IF($AU121=100%,1,1+VLOOKUP(($AJ121-$AI121-$AH121-$AG121-$AF121-$AE121*(1+BE$3))/$AJ121,'Технический лист'!$I:$J,2,1)-VLOOKUP($AO121,'Технический лист'!$I:$J,2,1)),1+(1-$AU121))</f>
        <v>1.05</v>
      </c>
      <c r="BF121" s="15">
        <f>MIN(IF($AU121=100%,1,1+VLOOKUP(($AJ121-$AI121-$AH121-$AG121-$AF121-$AE121*(1+BF$3))/$AJ121,'Технический лист'!$I:$J,2,1)-VLOOKUP($AO121,'Технический лист'!$I:$J,2,1)),1+(1-$AU121))</f>
        <v>1.05</v>
      </c>
      <c r="BG121" s="15">
        <f>MIN(IF($AU121=100%,1,1+VLOOKUP(($AJ121-$AI121-$AH121-$AG121-$AF121-$AE121*(1+BG$3))/$AJ121,'Технический лист'!$I:$J,2,1)-VLOOKUP($AO121,'Технический лист'!$I:$J,2,1)),1+(1-$AU121))</f>
        <v>1.05</v>
      </c>
      <c r="BH121" s="15">
        <f>MIN(IF($AU121=100%,1,1+VLOOKUP(($AJ121-$AI121-$AH121-$AG121-$AF121-$AE121*(1+BH$3))/$AJ121,'Технический лист'!$I:$J,2,1)-VLOOKUP($AO121,'Технический лист'!$I:$J,2,1)),1+(1-$AU121))</f>
        <v>1.05</v>
      </c>
      <c r="BI121" s="15">
        <f>MIN(IF($AU121=100%,1,1+VLOOKUP(($AJ121-$AI121-$AH121-$AG121-$AF121-$AE121*(1+BI$3))/$AJ121,'Технический лист'!$I:$J,2,1)-VLOOKUP($AO121,'Технический лист'!$I:$J,2,1)),1+(1-$AU121))</f>
        <v>1.05</v>
      </c>
      <c r="BJ121" s="15">
        <f>MIN(IF($AU121=100%,1,1+VLOOKUP(($AJ121-$AI121-$AH121-$AG121-$AF121-$AE121*(1+BJ$3))/$AJ121,'Технический лист'!$I:$J,2,1)-VLOOKUP($AO121,'Технический лист'!$I:$J,2,1)),1+(1-$AU121))</f>
        <v>1.05</v>
      </c>
      <c r="BK121" s="15">
        <f>MIN(IF($AU121=100%,1,1+VLOOKUP(($AJ121-$AI121-$AH121-$AG121-$AF121-$AE121*(1+BK$3))/$AJ121,'Технический лист'!$I:$J,2,1)-VLOOKUP($AO121,'Технический лист'!$I:$J,2,1)),1+(1-$AU121))</f>
        <v>1.05</v>
      </c>
      <c r="BL121" s="15">
        <f>MIN(IF($AU121=100%,1,1+VLOOKUP(($AJ121-$AI121-$AH121-$AG121-$AF121-$AE121*(1+BL$3))/$AJ121,'Технический лист'!$I:$J,2,1)-VLOOKUP($AO121,'Технический лист'!$I:$J,2,1)),1+(1-$AU121))</f>
        <v>1.05</v>
      </c>
      <c r="BM121" s="15">
        <f>MIN(IF($AU121=100%,1,1+VLOOKUP(($AJ121-$AI121-$AH121-$AG121-$AF121-$AE121*(1+BM$3))/$AJ121,'Технический лист'!$I:$J,2,1)-VLOOKUP($AO121,'Технический лист'!$I:$J,2,1)),1+(1-$AU121))</f>
        <v>1.05</v>
      </c>
      <c r="BN121" s="15">
        <f>MIN(IF($AU121=100%,1,1+VLOOKUP(($AJ121-$AI121-$AH121-$AG121-$AF121-$AE121*(1+BN$3))/$AJ121,'Технический лист'!$I:$J,2,1)-VLOOKUP($AO121,'Технический лист'!$I:$J,2,1)),1+(1-$AU121))</f>
        <v>1.05</v>
      </c>
      <c r="BO121" s="15">
        <f>MIN(IF($AU121=100%,1,1+VLOOKUP(($AJ121-$AI121-$AH121-$AG121-$AF121-$AE121*(1+BO$3))/$AJ121,'Технический лист'!$I:$J,2,1)-VLOOKUP($AO121,'Технический лист'!$I:$J,2,1)),1+(1-$AU121))</f>
        <v>1.05</v>
      </c>
      <c r="BP121" s="15">
        <f>MIN(IF($AU121=100%,1,1+VLOOKUP(($AJ121-$AI121-$AH121-$AG121-$AF121-$AE121*(1+BP$3))/$AJ121,'Технический лист'!$I:$J,2,1)-VLOOKUP($AO121,'Технический лист'!$I:$J,2,1)),1+(1-$AU121))</f>
        <v>1.05</v>
      </c>
      <c r="BQ121" s="15">
        <f>MIN(IF($AU121=100%,1,1+VLOOKUP(($AJ121-$AI121-$AH121-$AG121-$AF121-$AE121*(1+BQ$3))/$AJ121,'Технический лист'!$I:$J,2,1)-VLOOKUP($AO121,'Технический лист'!$I:$J,2,1)),1+(1-$AU121))</f>
        <v>1.05</v>
      </c>
      <c r="BR121" s="15">
        <f>MIN(IF($AU121=100%,1,1+VLOOKUP(($AJ121-$AI121-$AH121-$AG121-$AF121-$AE121*(1+BR$3))/$AJ121,'Технический лист'!$I:$J,2,1)-VLOOKUP($AO121,'Технический лист'!$I:$J,2,1)),1+(1-$AU121))</f>
        <v>1.05</v>
      </c>
      <c r="BS121" s="15">
        <f>MIN(IF($AU121=100%,1,1+VLOOKUP(($AJ121-$AI121-$AH121-$AG121-$AF121-$AE121*(1+BS$3))/$AJ121,'Технический лист'!$I:$J,2,1)-VLOOKUP($AO121,'Технический лист'!$I:$J,2,1)),1+(1-$AU121))</f>
        <v>1.05</v>
      </c>
      <c r="BT121" s="15">
        <f>MIN(IF($AU121=100%,1,1+VLOOKUP(($AJ121-$AI121-$AH121-$AG121-$AF121-$AE121*(1+BT$3))/$AJ121,'Технический лист'!$I:$J,2,1)-VLOOKUP($AO121,'Технический лист'!$I:$J,2,1)),1+(1-$AU121))</f>
        <v>1.05</v>
      </c>
      <c r="BU121" s="15">
        <f>MIN(IF($AU121=100%,1,1+VLOOKUP(($AJ121-$AI121-$AH121-$AG121-$AF121-$AE121*(1+BU$3))/$AJ121,'Технический лист'!$I:$J,2,1)-VLOOKUP($AO121,'Технический лист'!$I:$J,2,1)),1+(1-$AU121))</f>
        <v>1.05</v>
      </c>
      <c r="BV121" s="15">
        <f>MIN(IF($AU121=100%,1,1+VLOOKUP(($AJ121-$AI121-$AH121-$AG121-$AF121-$AE121*(1+BV$3))/$AJ121,'Технический лист'!$I:$J,2,1)-VLOOKUP($AO121,'Технический лист'!$I:$J,2,1)),1+(1-$AU121))</f>
        <v>1.05</v>
      </c>
      <c r="BW121" s="15">
        <f>MIN(IF($AU121=100%,1,1+VLOOKUP(($AJ121-$AI121-$AH121-$AG121-$AF121-$AE121*(1+BW$3))/$AJ121,'Технический лист'!$I:$J,2,1)-VLOOKUP($AO121,'Технический лист'!$I:$J,2,1)),1+(1-$AU121))</f>
        <v>1.05</v>
      </c>
      <c r="BX121" s="15">
        <f>MIN(IF($AU121=100%,1,1+VLOOKUP(($AJ121-$AI121-$AH121-$AG121-$AF121-$AE121*(1+BX$3))/$AJ121,'Технический лист'!$I:$J,2,1)-VLOOKUP($AO121,'Технический лист'!$I:$J,2,1)),1+(1-$AU121))</f>
        <v>1.05</v>
      </c>
      <c r="BY121" s="15">
        <f>MIN(IF($AU121=100%,1,1+VLOOKUP(($AJ121-$AI121-$AH121-$AG121-$AF121-$AE121*(1+BY$3))/$AJ121,'Технический лист'!$I:$J,2,1)-VLOOKUP($AO121,'Технический лист'!$I:$J,2,1)),1+(1-$AU121))</f>
        <v>1.05</v>
      </c>
      <c r="BZ121" s="15">
        <f>MIN(IF($AU121=100%,1,1+VLOOKUP(($AJ121-$AI121-$AH121-$AG121-$AF121-$AE121*(1+BZ$3))/$AJ121,'Технический лист'!$I:$J,2,1)-VLOOKUP($AO121,'Технический лист'!$I:$J,2,1)),1+(1-$AU121))</f>
        <v>1.05</v>
      </c>
      <c r="CA121" s="15">
        <f>MIN(IF($AU121=100%,1,1+VLOOKUP(($AJ121-$AI121-$AH121-$AG121-$AF121-$AE121*(1+CA$3))/$AJ121,'Технический лист'!$I:$J,2,1)-VLOOKUP($AO121,'Технический лист'!$I:$J,2,1)),1+(1-$AU121))</f>
        <v>1.05</v>
      </c>
      <c r="CB121" s="15">
        <f>MIN(IF($AU121=100%,1,1+VLOOKUP(($AJ121-$AI121-$AH121-$AG121-$AF121-$AE121*(1+CB$3))/$AJ121,'Технический лист'!$I:$J,2,1)-VLOOKUP($AO121,'Технический лист'!$I:$J,2,1)),1+(1-$AU121))</f>
        <v>1.05</v>
      </c>
      <c r="CC121" s="15">
        <f>MIN(IF($AU121=100%,1,1+VLOOKUP(($AJ121-$AI121-$AH121-$AG121-$AF121-$AE121*(1+CC$3))/$AJ121,'Технический лист'!$I:$J,2,1)-VLOOKUP($AO121,'Технический лист'!$I:$J,2,1)),1+(1-$AU121))</f>
        <v>1.05</v>
      </c>
      <c r="CD121" s="15">
        <f>MIN(IF($AU121=100%,1,1+VLOOKUP(($AJ121-$AI121-$AH121-$AG121-$AF121-$AE121*(1+CD$3))/$AJ121,'Технический лист'!$I:$J,2,1)-VLOOKUP($AO121,'Технический лист'!$I:$J,2,1)),1+(1-$AU121))</f>
        <v>1.05</v>
      </c>
      <c r="CE121" s="15">
        <f>MIN(IF($AU121=100%,1,1+VLOOKUP(($AJ121-$AI121-$AH121-$AG121-$AF121-$AE121*(1+CE$3))/$AJ121,'Технический лист'!$I:$J,2,1)-VLOOKUP($AO121,'Технический лист'!$I:$J,2,1)),1+(1-$AU121))</f>
        <v>1.05</v>
      </c>
      <c r="CF121" s="15">
        <f>MIN(IF($AU121=100%,1,1+VLOOKUP(($AJ121-$AI121-$AH121-$AG121-$AF121-$AE121*(1+CF$3))/$AJ121,'Технический лист'!$I:$J,2,1)-VLOOKUP($AO121,'Технический лист'!$I:$J,2,1)),1+(1-$AU121))</f>
        <v>1.05</v>
      </c>
      <c r="CG121" s="15">
        <f>MIN(IF($AU121=100%,1,1+VLOOKUP(($AJ121-$AI121-$AH121-$AG121-$AF121-$AE121*(1+CG$3))/$AJ121,'Технический лист'!$I:$J,2,1)-VLOOKUP($AO121,'Технический лист'!$I:$J,2,1)),1+(1-$AU121))</f>
        <v>1.05</v>
      </c>
      <c r="CH121" s="15">
        <f>MIN(IF($AU121=100%,1,1+VLOOKUP(($AJ121-$AI121-$AH121-$AG121-$AF121-$AE121*(1+CH$3))/$AJ121,'Технический лист'!$I:$J,2,1)-VLOOKUP($AO121,'Технический лист'!$I:$J,2,1)),1+(1-$AU121))</f>
        <v>1.05</v>
      </c>
      <c r="CI121" s="15">
        <f>MIN(IF($AU121=100%,1,1+VLOOKUP(($AJ121-$AI121-$AH121-$AG121-$AF121-$AE121*(1+CI$3))/$AJ121,'Технический лист'!$I:$J,2,1)-VLOOKUP($AO121,'Технический лист'!$I:$J,2,1)),1+(1-$AU121))</f>
        <v>1.05</v>
      </c>
      <c r="CJ121" s="15">
        <f>MIN(IF($AU121=100%,1,1+VLOOKUP(($AJ121-$AI121-$AH121-$AG121-$AF121-$AE121*(1+CJ$3))/$AJ121,'Технический лист'!$I:$J,2,1)-VLOOKUP($AO121,'Технический лист'!$I:$J,2,1)),1+(1-$AU121))</f>
        <v>1.05</v>
      </c>
      <c r="CK121" s="15">
        <f>MIN(IF($AU121=100%,1,1+VLOOKUP(($AJ121-$AI121-$AH121-$AG121-$AF121-$AE121*(1+CK$3))/$AJ121,'Технический лист'!$I:$J,2,1)-VLOOKUP($AO121,'Технический лист'!$I:$J,2,1)),1+(1-$AU121))</f>
        <v>1.05</v>
      </c>
      <c r="CL121" s="15">
        <f>MIN(IF($AU121=100%,1,1+VLOOKUP(($AJ121-$AI121-$AH121-$AG121-$AF121-$AE121*(1+CL$3))/$AJ121,'Технический лист'!$I:$J,2,1)-VLOOKUP($AO121,'Технический лист'!$I:$J,2,1)),1+(1-$AU121))</f>
        <v>1.05</v>
      </c>
      <c r="CM121" s="15">
        <f>MIN(IF($AU121=100%,1,1+VLOOKUP(($AJ121-$AI121-$AH121-$AG121-$AF121-$AE121*(1+CM$3))/$AJ121,'Технический лист'!$I:$J,2,1)-VLOOKUP($AO121,'Технический лист'!$I:$J,2,1)),1+(1-$AU121))</f>
        <v>1.05</v>
      </c>
      <c r="CN121" s="15">
        <f>MIN(IF($AU121=100%,1,1+VLOOKUP(($AJ121-$AI121-$AH121-$AG121-$AF121-$AE121*(1+CN$3))/$AJ121,'Технический лист'!$I:$J,2,1)-VLOOKUP($AO121,'Технический лист'!$I:$J,2,1)),1+(1-$AU121))</f>
        <v>1.05</v>
      </c>
      <c r="CO121" s="15">
        <f>MIN(IF($AU121=100%,1,1+VLOOKUP(($AJ121-$AI121-$AH121-$AG121-$AF121-$AE121*(1+CO$3))/$AJ121,'Технический лист'!$I:$J,2,1)-VLOOKUP($AO121,'Технический лист'!$I:$J,2,1)),1+(1-$AU121))</f>
        <v>1.05</v>
      </c>
      <c r="CP121" s="15">
        <f>MIN(IF($AU121=100%,1,1+VLOOKUP(($AJ121-$AI121-$AH121-$AG121-$AF121-$AE121*(1+CP$3))/$AJ121,'Технический лист'!$I:$J,2,1)-VLOOKUP($AO121,'Технический лист'!$I:$J,2,1)),1+(1-$AU121))</f>
        <v>1.05</v>
      </c>
      <c r="CQ121" s="15">
        <f>MIN(IF($AU121=100%,1,1+VLOOKUP(($AJ121-$AI121-$AH121-$AG121-$AF121-$AE121*(1+CQ$3))/$AJ121,'Технический лист'!$I:$J,2,1)-VLOOKUP($AO121,'Технический лист'!$I:$J,2,1)),1+(1-$AU121))</f>
        <v>1.05</v>
      </c>
      <c r="CR121" s="15">
        <f>MIN(IF($AU121=100%,1,1+VLOOKUP(($AJ121-$AI121-$AH121-$AG121-$AF121-$AE121*(1+CR$3))/$AJ121,'Технический лист'!$I:$J,2,1)-VLOOKUP($AO121,'Технический лист'!$I:$J,2,1)),1+(1-$AU121))</f>
        <v>1.05</v>
      </c>
      <c r="CS121" s="15">
        <f>MIN(IF($AU121=100%,1,1+VLOOKUP(($AJ121-$AI121-$AH121-$AG121-$AF121-$AE121*(1+CS$3))/$AJ121,'Технический лист'!$I:$J,2,1)-VLOOKUP($AO121,'Технический лист'!$I:$J,2,1)),1+(1-$AU121))</f>
        <v>1.05</v>
      </c>
      <c r="CT121" s="15">
        <f>MIN(IF($AU121=100%,1,1+VLOOKUP(($AJ121-$AI121-$AH121-$AG121-$AF121-$AE121*(1+CT$3))/$AJ121,'Технический лист'!$I:$J,2,1)-VLOOKUP($AO121,'Технический лист'!$I:$J,2,1)),1+(1-$AU121))</f>
        <v>1.05</v>
      </c>
      <c r="CU121" s="15">
        <f>MIN(IF($AU121=100%,1,1+VLOOKUP(($AJ121-$AI121-$AH121-$AG121-$AF121-$AE121*(1+CU$3))/$AJ121,'Технический лист'!$I:$J,2,1)-VLOOKUP($AO121,'Технический лист'!$I:$J,2,1)),1+(1-$AU121))</f>
        <v>1.05</v>
      </c>
      <c r="CV121" s="15">
        <f>MIN(IF($AU121=100%,1,1+VLOOKUP(($AJ121-$AI121-$AH121-$AG121-$AF121-$AE121*(1+CV$3))/$AJ121,'Технический лист'!$I:$J,2,1)-VLOOKUP($AO121,'Технический лист'!$I:$J,2,1)),1+(1-$AU121))</f>
        <v>1.05</v>
      </c>
      <c r="CW121" s="15">
        <f>MIN(IF($AU121=100%,1,1+VLOOKUP(($AJ121-$AI121-$AH121-$AG121-$AF121-$AE121*(1+CW$3))/$AJ121,'Технический лист'!$I:$J,2,1)-VLOOKUP($AO121,'Технический лист'!$I:$J,2,1)),1+(1-$AU121))</f>
        <v>1.05</v>
      </c>
      <c r="CX121" s="15">
        <f>MIN(IF($AU121=100%,1,1+VLOOKUP(($AJ121-$AI121-$AH121-$AG121-$AF121-$AE121*(1+CX$3))/$AJ121,'Технический лист'!$I:$J,2,1)-VLOOKUP($AO121,'Технический лист'!$I:$J,2,1)),1+(1-$AU121))</f>
        <v>1.05</v>
      </c>
      <c r="CY121" s="15">
        <f>MIN(IF($AU121=100%,1,1+VLOOKUP(($AJ121-$AI121-$AH121-$AG121-$AF121-$AE121*(1+CY$3))/$AJ121,'Технический лист'!$I:$J,2,1)-VLOOKUP($AO121,'Технический лист'!$I:$J,2,1)),1+(1-$AU121))</f>
        <v>1.05</v>
      </c>
      <c r="CZ121" s="15">
        <f>MIN(IF($AU121=100%,1,1+VLOOKUP(($AJ121-$AI121-$AH121-$AG121-$AF121-$AE121*(1+CZ$3))/$AJ121,'Технический лист'!$I:$J,2,1)-VLOOKUP($AO121,'Технический лист'!$I:$J,2,1)),1+(1-$AU121))</f>
        <v>1.05</v>
      </c>
      <c r="DA121" s="15">
        <f>MIN(IF($AU121=100%,1,1+VLOOKUP(($AJ121-$AI121-$AH121-$AG121-$AF121-$AE121*(1+DA$3))/$AJ121,'Технический лист'!$I:$J,2,1)-VLOOKUP($AO121,'Технический лист'!$I:$J,2,1)),1+(1-$AU121))</f>
        <v>1.05</v>
      </c>
      <c r="DB121" s="15">
        <f>MIN(IF($AU121=100%,1,1+VLOOKUP(($AJ121-$AI121-$AH121-$AG121-$AF121-$AE121*(1+DB$3))/$AJ121,'Технический лист'!$I:$J,2,1)-VLOOKUP($AO121,'Технический лист'!$I:$J,2,1)),1+(1-$AU121))</f>
        <v>1.05</v>
      </c>
      <c r="DC121" s="15">
        <f>MIN(IF($AU121=100%,1,1+VLOOKUP(($AJ121-$AI121-$AH121-$AG121-$AF121-$AE121*(1+DC$3))/$AJ121,'Технический лист'!$I:$J,2,1)-VLOOKUP($AO121,'Технический лист'!$I:$J,2,1)),1+(1-$AU121))</f>
        <v>1.05</v>
      </c>
      <c r="DD121" s="15">
        <f>MIN(IF($AU121=100%,1,1+VLOOKUP(($AJ121-$AI121-$AH121-$AG121-$AF121-$AE121*(1+DD$3))/$AJ121,'Технический лист'!$I:$J,2,1)-VLOOKUP($AO121,'Технический лист'!$I:$J,2,1)),1+(1-$AU121))</f>
        <v>1.05</v>
      </c>
      <c r="DE121" s="15">
        <f>MIN(IF($AU121=100%,1,1+VLOOKUP(($AJ121-$AI121-$AH121-$AG121-$AF121-$AE121*(1+DE$3))/$AJ121,'Технический лист'!$I:$J,2,1)-VLOOKUP($AO121,'Технический лист'!$I:$J,2,1)),1+(1-$AU121))</f>
        <v>1.05</v>
      </c>
      <c r="DF121" s="15">
        <f>MIN(IF($AU121=100%,1,1+VLOOKUP(($AJ121-$AI121-$AH121-$AG121-$AF121-$AE121*(1+DF$3))/$AJ121,'Технический лист'!$I:$J,2,1)-VLOOKUP($AO121,'Технический лист'!$I:$J,2,1)),1+(1-$AU121))</f>
        <v>1.05</v>
      </c>
      <c r="DG121" s="15">
        <f>MIN(IF($AU121=100%,1,1+VLOOKUP(($AJ121-$AI121-$AH121-$AG121-$AF121-$AE121*(1+DG$3))/$AJ121,'Технический лист'!$I:$J,2,1)-VLOOKUP($AO121,'Технический лист'!$I:$J,2,1)),1+(1-$AU121))</f>
        <v>1.05</v>
      </c>
      <c r="DH121" s="15">
        <f>MIN(IF($AU121=100%,1,1+VLOOKUP(($AJ121-$AI121-$AH121-$AG121-$AF121-$AE121*(1+DH$3))/$AJ121,'Технический лист'!$I:$J,2,1)-VLOOKUP($AO121,'Технический лист'!$I:$J,2,1)),1+(1-$AU121))</f>
        <v>1.05</v>
      </c>
      <c r="DI121" s="15">
        <f>MIN(IF($AU121=100%,1,1+VLOOKUP(($AJ121-$AI121-$AH121-$AG121-$AF121-$AE121*(1+DI$3))/$AJ121,'Технический лист'!$I:$J,2,1)-VLOOKUP($AO121,'Технический лист'!$I:$J,2,1)),1+(1-$AU121))</f>
        <v>1.05</v>
      </c>
      <c r="DJ121" s="15">
        <f>MIN(IF($AU121=100%,1,1+VLOOKUP(($AJ121-$AI121-$AH121-$AG121-$AF121-$AE121*(1+DJ$3))/$AJ121,'Технический лист'!$I:$J,2,1)-VLOOKUP($AO121,'Технический лист'!$I:$J,2,1)),1+(1-$AU121))</f>
        <v>1.05</v>
      </c>
      <c r="DK121" s="15">
        <f>MIN(IF($AU121=100%,1,1+VLOOKUP(($AJ121-$AI121-$AH121-$AG121-$AF121-$AE121*(1+DK$3))/$AJ121,'Технический лист'!$I:$J,2,1)-VLOOKUP($AO121,'Технический лист'!$I:$J,2,1)),1+(1-$AU121))</f>
        <v>1.05</v>
      </c>
      <c r="DL121" s="15">
        <f>MIN(IF($AU121=100%,1,1+VLOOKUP(($AJ121-$AI121-$AH121-$AG121-$AF121-$AE121*(1+DL$3))/$AJ121,'Технический лист'!$I:$J,2,1)-VLOOKUP($AO121,'Технический лист'!$I:$J,2,1)),1+(1-$AU121))</f>
        <v>1.05</v>
      </c>
      <c r="DM121" s="15">
        <f>MIN(IF($AU121=100%,1,1+VLOOKUP(($AJ121-$AI121-$AH121-$AG121-$AF121-$AE121*(1+DM$3))/$AJ121,'Технический лист'!$I:$J,2,1)-VLOOKUP($AO121,'Технический лист'!$I:$J,2,1)),1+(1-$AU121))</f>
        <v>1.05</v>
      </c>
      <c r="DN121" s="15">
        <f>MIN(IF($AU121=100%,1,1+VLOOKUP(($AJ121-$AI121-$AH121-$AG121-$AF121-$AE121*(1+DN$3))/$AJ121,'Технический лист'!$I:$J,2,1)-VLOOKUP($AO121,'Технический лист'!$I:$J,2,1)),1+(1-$AU121))</f>
        <v>1.05</v>
      </c>
      <c r="DO121" s="15">
        <f>MIN(IF($AU121=100%,1,1+VLOOKUP(($AJ121-$AI121-$AH121-$AG121-$AF121-$AE121*(1+DO$3))/$AJ121,'Технический лист'!$I:$J,2,1)-VLOOKUP($AO121,'Технический лист'!$I:$J,2,1)),1+(1-$AU121))</f>
        <v>1.05</v>
      </c>
      <c r="DP121" s="15">
        <f>MIN(IF($AU121=100%,1,1+VLOOKUP(($AJ121-$AI121-$AH121-$AG121-$AF121-$AE121*(1+DP$3))/$AJ121,'Технический лист'!$I:$J,2,1)-VLOOKUP($AO121,'Технический лист'!$I:$J,2,1)),1+(1-$AU121))</f>
        <v>1.05</v>
      </c>
      <c r="DQ121" s="15">
        <f>MIN(IF($AU121=100%,1,1+VLOOKUP(($AJ121-$AI121-$AH121-$AG121-$AF121-$AE121*(1+DQ$3))/$AJ121,'Технический лист'!$I:$J,2,1)-VLOOKUP($AO121,'Технический лист'!$I:$J,2,1)),1+(1-$AU121))</f>
        <v>1.05</v>
      </c>
      <c r="DR121" s="15">
        <f>MIN(IF($AU121=100%,1,1+VLOOKUP(($AJ121-$AI121-$AH121-$AG121-$AF121-$AE121*(1+DR$3))/$AJ121,'Технический лист'!$I:$J,2,1)-VLOOKUP($AO121,'Технический лист'!$I:$J,2,1)),1+(1-$AU121))</f>
        <v>1.05</v>
      </c>
      <c r="DS121" s="15">
        <f>MIN(IF($AU121=100%,1,1+VLOOKUP(($AJ121-$AI121-$AH121-$AG121-$AF121-$AE121*(1+DS$3))/$AJ121,'Технический лист'!$I:$J,2,1)-VLOOKUP($AO121,'Технический лист'!$I:$J,2,1)),1+(1-$AU121))</f>
        <v>1.05</v>
      </c>
      <c r="DT121" s="15">
        <f>MIN(IF($AU121=100%,1,1+VLOOKUP(($AJ121-$AI121-$AH121-$AG121-$AF121-$AE121*(1+DT$3))/$AJ121,'Технический лист'!$I:$J,2,1)-VLOOKUP($AO121,'Технический лист'!$I:$J,2,1)),1+(1-$AU121))</f>
        <v>1.05</v>
      </c>
      <c r="DU121" s="15">
        <f>MIN(IF($AU121=100%,1,1+VLOOKUP(($AJ121-$AI121-$AH121-$AG121-$AF121-$AE121*(1+DU$3))/$AJ121,'Технический лист'!$I:$J,2,1)-VLOOKUP($AO121,'Технический лист'!$I:$J,2,1)),1+(1-$AU121))</f>
        <v>1.05</v>
      </c>
      <c r="DV121" s="15">
        <f>MIN(IF($AU121=100%,1,1+VLOOKUP(($AJ121-$AI121-$AH121-$AG121-$AF121-$AE121*(1+DV$3))/$AJ121,'Технический лист'!$I:$J,2,1)-VLOOKUP($AO121,'Технический лист'!$I:$J,2,1)),1+(1-$AU121))</f>
        <v>1.05</v>
      </c>
      <c r="DW121" s="15">
        <f>MIN(IF($AU121=100%,1,1+VLOOKUP(($AJ121-$AI121-$AH121-$AG121-$AF121-$AE121*(1+DW$3))/$AJ121,'Технический лист'!$I:$J,2,1)-VLOOKUP($AO121,'Технический лист'!$I:$J,2,1)),1+(1-$AU121))</f>
        <v>1.05</v>
      </c>
      <c r="DX121" s="15">
        <f>MIN(IF($AU121=100%,1,1+VLOOKUP(($AJ121-$AI121-$AH121-$AG121-$AF121-$AE121*(1+DX$3))/$AJ121,'Технический лист'!$I:$J,2,1)-VLOOKUP($AO121,'Технический лист'!$I:$J,2,1)),1+(1-$AU121))</f>
        <v>1.05</v>
      </c>
      <c r="DY121" s="15">
        <f>MIN(IF($AU121=100%,1,1+VLOOKUP(($AJ121-$AI121-$AH121-$AG121-$AF121-$AE121*(1+DY$3))/$AJ121,'Технический лист'!$I:$J,2,1)-VLOOKUP($AO121,'Технический лист'!$I:$J,2,1)),1+(1-$AU121))</f>
        <v>1.05</v>
      </c>
      <c r="DZ121" s="15">
        <f>MIN(IF($AU121=100%,1,1+VLOOKUP(($AJ121-$AI121-$AH121-$AG121-$AF121-$AE121*(1+DZ$3))/$AJ121,'Технический лист'!$I:$J,2,1)-VLOOKUP($AO121,'Технический лист'!$I:$J,2,1)),1+(1-$AU121))</f>
        <v>1.05</v>
      </c>
      <c r="EA121" s="15">
        <f>MIN(IF($AU121=100%,1,1+VLOOKUP(($AJ121-$AI121-$AH121-$AG121-$AF121-$AE121*(1+EA$3))/$AJ121,'Технический лист'!$I:$J,2,1)-VLOOKUP($AO121,'Технический лист'!$I:$J,2,1)),1+(1-$AU121))</f>
        <v>1.05</v>
      </c>
      <c r="EB121" s="15">
        <f>MIN(IF($AU121=100%,1,1+VLOOKUP(($AJ121-$AI121-$AH121-$AG121-$AF121-$AE121*(1+EB$3))/$AJ121,'Технический лист'!$I:$J,2,1)-VLOOKUP($AO121,'Технический лист'!$I:$J,2,1)),1+(1-$AU121))</f>
        <v>1.05</v>
      </c>
      <c r="EC121" s="15">
        <f>MIN(IF($AU121=100%,1,1+VLOOKUP(($AJ121-$AI121-$AH121-$AG121-$AF121-$AE121*(1+EC$3))/$AJ121,'Технический лист'!$I:$J,2,1)-VLOOKUP($AO121,'Технический лист'!$I:$J,2,1)),1+(1-$AU121))</f>
        <v>1.05</v>
      </c>
      <c r="ED121" s="15">
        <f>MIN(IF($AU121=100%,1,1+VLOOKUP(($AJ121-$AI121-$AH121-$AG121-$AF121-$AE121*(1+ED$3))/$AJ121,'Технический лист'!$I:$J,2,1)-VLOOKUP($AO121,'Технический лист'!$I:$J,2,1)),1+(1-$AU121))</f>
        <v>1.05</v>
      </c>
      <c r="EE121" s="15">
        <f>MIN(IF($AU121=100%,1,1+VLOOKUP(($AJ121-$AI121-$AH121-$AG121-$AF121-$AE121*(1+EE$3))/$AJ121,'Технический лист'!$I:$J,2,1)-VLOOKUP($AO121,'Технический лист'!$I:$J,2,1)),1+(1-$AU121))</f>
        <v>1.05</v>
      </c>
      <c r="EF121" s="15">
        <f>MIN(IF($AU121=100%,1,1+VLOOKUP(($AJ121-$AI121-$AH121-$AG121-$AF121-$AE121*(1+EF$3))/$AJ121,'Технический лист'!$I:$J,2,1)-VLOOKUP($AO121,'Технический лист'!$I:$J,2,1)),1+(1-$AU121))</f>
        <v>1.05</v>
      </c>
      <c r="EG121" s="15">
        <f>MIN(IF($AU121=100%,1,1+VLOOKUP(($AJ121-$AI121-$AH121-$AG121-$AF121-$AE121*(1+EG$3))/$AJ121,'Технический лист'!$I:$J,2,1)-VLOOKUP($AO121,'Технический лист'!$I:$J,2,1)),1+(1-$AU121))</f>
        <v>0.99999999999999978</v>
      </c>
      <c r="EH121" s="15">
        <f>MIN(IF($AU121=100%,1,1+VLOOKUP(($AJ121-$AI121-$AH121-$AG121-$AF121-$AE121*(1+EH$3))/$AJ121,'Технический лист'!$I:$J,2,1)-VLOOKUP($AO121,'Технический лист'!$I:$J,2,1)),1+(1-$AU121))</f>
        <v>0.99999999999999978</v>
      </c>
      <c r="EI121" s="15">
        <f>MIN(IF($AU121=100%,1,1+VLOOKUP(($AJ121-$AI121-$AH121-$AG121-$AF121-$AE121*(1+EI$3))/$AJ121,'Технический лист'!$I:$J,2,1)-VLOOKUP($AO121,'Технический лист'!$I:$J,2,1)),1+(1-$AU121))</f>
        <v>0.99999999999999978</v>
      </c>
      <c r="EJ121" s="15">
        <f>MIN(IF($AU121=100%,1,1+VLOOKUP(($AJ121-$AI121-$AH121-$AG121-$AF121-$AE121*(1+EJ$3))/$AJ121,'Технический лист'!$I:$J,2,1)-VLOOKUP($AO121,'Технический лист'!$I:$J,2,1)),1+(1-$AU121))</f>
        <v>0.99999999999999978</v>
      </c>
      <c r="EK121" s="15">
        <f>MIN(IF($AU121=100%,1,1+VLOOKUP(($AJ121-$AI121-$AH121-$AG121-$AF121-$AE121*(1+EK$3))/$AJ121,'Технический лист'!$I:$J,2,1)-VLOOKUP($AO121,'Технический лист'!$I:$J,2,1)),1+(1-$AU121))</f>
        <v>0.99999999999999978</v>
      </c>
      <c r="EL121" s="15">
        <f>MIN(IF($AU121=100%,1,1+VLOOKUP(($AJ121-$AI121-$AH121-$AG121-$AF121-$AE121*(1+EL$3))/$AJ121,'Технический лист'!$I:$J,2,1)-VLOOKUP($AO121,'Технический лист'!$I:$J,2,1)),1+(1-$AU121))</f>
        <v>0.99999999999999978</v>
      </c>
      <c r="EM121" s="15">
        <f>MIN(IF($AU121=100%,1,1+VLOOKUP(($AJ121-$AI121-$AH121-$AG121-$AF121-$AE121*(1+EM$3))/$AJ121,'Технический лист'!$I:$J,2,1)-VLOOKUP($AO121,'Технический лист'!$I:$J,2,1)),1+(1-$AU121))</f>
        <v>0.99999999999999978</v>
      </c>
      <c r="EN121" s="15">
        <f>MIN(IF($AU121=100%,1,1+VLOOKUP(($AJ121-$AI121-$AH121-$AG121-$AF121-$AE121*(1+EN$3))/$AJ121,'Технический лист'!$I:$J,2,1)-VLOOKUP($AO121,'Технический лист'!$I:$J,2,1)),1+(1-$AU121))</f>
        <v>0.99999999999999978</v>
      </c>
      <c r="EO121" s="15">
        <f>MIN(IF($AU121=100%,1,1+VLOOKUP(($AJ121-$AI121-$AH121-$AG121-$AF121-$AE121*(1+EO$3))/$AJ121,'Технический лист'!$I:$J,2,1)-VLOOKUP($AO121,'Технический лист'!$I:$J,2,1)),1+(1-$AU121))</f>
        <v>0.99999999999999978</v>
      </c>
      <c r="EP121" s="15">
        <f>MIN(IF($AU121=100%,1,1+VLOOKUP(($AJ121-$AI121-$AH121-$AG121-$AF121-$AE121*(1+EP$3))/$AJ121,'Технический лист'!$I:$J,2,1)-VLOOKUP($AO121,'Технический лист'!$I:$J,2,1)),1+(1-$AU121))</f>
        <v>0.99999999999999978</v>
      </c>
      <c r="EQ121" s="15">
        <f>MIN(IF($AU121=100%,1,1+VLOOKUP(($AJ121-$AI121-$AH121-$AG121-$AF121-$AE121*(1+EQ$3))/$AJ121,'Технический лист'!$I:$J,2,1)-VLOOKUP($AO121,'Технический лист'!$I:$J,2,1)),1+(1-$AU121))</f>
        <v>0.99999999999999978</v>
      </c>
      <c r="ER121" s="15">
        <f>MIN(IF($AU121=100%,1,1+VLOOKUP(($AJ121-$AI121-$AH121-$AG121-$AF121-$AE121*(1+ER$3))/$AJ121,'Технический лист'!$I:$J,2,1)-VLOOKUP($AO121,'Технический лист'!$I:$J,2,1)),1+(1-$AU121))</f>
        <v>0.99999999999999978</v>
      </c>
      <c r="ES121" s="15">
        <f>MIN(IF($AU121=100%,1,1+VLOOKUP(($AJ121-$AI121-$AH121-$AG121-$AF121-$AE121*(1+ES$3))/$AJ121,'Технический лист'!$I:$J,2,1)-VLOOKUP($AO121,'Технический лист'!$I:$J,2,1)),1+(1-$AU121))</f>
        <v>0.99999999999999978</v>
      </c>
      <c r="ET121" s="15">
        <f>MIN(IF($AU121=100%,1,1+VLOOKUP(($AJ121-$AI121-$AH121-$AG121-$AF121-$AE121*(1+ET$3))/$AJ121,'Технический лист'!$I:$J,2,1)-VLOOKUP($AO121,'Технический лист'!$I:$J,2,1)),1+(1-$AU121))</f>
        <v>0.99999999999999978</v>
      </c>
      <c r="EU121" s="15">
        <f>MIN(IF($AU121=100%,1,1+VLOOKUP(($AJ121-$AI121-$AH121-$AG121-$AF121-$AE121*(1+EU$3))/$AJ121,'Технический лист'!$I:$J,2,1)-VLOOKUP($AO121,'Технический лист'!$I:$J,2,1)),1+(1-$AU121))</f>
        <v>0.99999999999999978</v>
      </c>
      <c r="EV121" s="111">
        <v>1</v>
      </c>
      <c r="EW121" s="15">
        <f>MIN(1,MAX(VLOOKUP(($AJ121-$AI121-$AH121-$AG121-$AF121-$AE121*(1+EW$3))/$AJ121,'Технический лист'!$A:$B,2,1),(EV121-0.05)))</f>
        <v>1</v>
      </c>
      <c r="EX121" s="15">
        <f>MIN(1,MAX(VLOOKUP(($AJ121-$AI121-$AH121-$AG121-$AF121-$AE121*(1+EX$3))/$AJ121,'Технический лист'!$A:$B,2,1),(EW121-0.05)))</f>
        <v>1</v>
      </c>
      <c r="EY121" s="15">
        <f>MIN(1,MAX(VLOOKUP(($AJ121-$AI121-$AH121-$AG121-$AF121-$AE121*(1+EY$3))/$AJ121,'Технический лист'!$A:$B,2,1),(EX121-0.05)))</f>
        <v>1</v>
      </c>
      <c r="EZ121" s="15">
        <f>MIN(1,MAX(VLOOKUP(($AJ121-$AI121-$AH121-$AG121-$AF121-$AE121*(1+EZ$3))/$AJ121,'Технический лист'!$A:$B,2,1),(EY121-0.05)))</f>
        <v>1</v>
      </c>
      <c r="FA121" s="15">
        <f>MIN(1,MAX(VLOOKUP(($AJ121-$AI121-$AH121-$AG121-$AF121-$AE121*(1+FA$3))/$AJ121,'Технический лист'!$A:$B,2,1),(EZ121-0.05)))</f>
        <v>1</v>
      </c>
      <c r="FB121" s="15">
        <f>MIN(1,MAX(VLOOKUP(($AJ121-$AI121-$AH121-$AG121-$AF121-$AE121*(1+FB$3))/$AJ121,'Технический лист'!$A:$B,2,1),(FA121-0.05)))</f>
        <v>1</v>
      </c>
      <c r="FC121" s="15">
        <f>MIN(1,MAX(VLOOKUP(($AJ121-$AI121-$AH121-$AG121-$AF121-$AE121*(1+FC$3))/$AJ121,'Технический лист'!$A:$B,2,1),(FB121-0.05)))</f>
        <v>1</v>
      </c>
      <c r="FD121" s="15">
        <f>MIN(1,MAX(VLOOKUP(($AJ121-$AI121-$AH121-$AG121-$AF121-$AE121*(1+FD$3))/$AJ121,'Технический лист'!$A:$B,2,1),(FC121-0.05)))</f>
        <v>1</v>
      </c>
      <c r="FE121" s="15">
        <f>MIN(1,MAX(VLOOKUP(($AJ121-$AI121-$AH121-$AG121-$AF121-$AE121*(1+FE$3))/$AJ121,'Технический лист'!$A:$B,2,1),(FD121-0.05)))</f>
        <v>1</v>
      </c>
      <c r="FF121" s="15">
        <f>MIN(1,MAX(VLOOKUP(($AJ121-$AI121-$AH121-$AG121-$AF121-$AE121*(1+FF$3))/$AJ121,'Технический лист'!$A:$B,2,1),(FE121-0.05)))</f>
        <v>1</v>
      </c>
      <c r="FG121" s="15">
        <f>MIN(1,MAX(VLOOKUP(($AJ121-$AI121-$AH121-$AG121-$AF121-$AE121*(1+FG$3))/$AJ121,'Технический лист'!$A:$B,2,1),(FF121-0.05)))</f>
        <v>1</v>
      </c>
      <c r="FH121" s="15">
        <f>MIN(1,MAX(VLOOKUP(($AJ121-$AI121-$AH121-$AG121-$AF121-$AE121*(1+FH$3))/$AJ121,'Технический лист'!$A:$B,2,1),(FG121-0.05)))</f>
        <v>1</v>
      </c>
      <c r="FI121" s="15">
        <f>MIN(1,MAX(VLOOKUP(($AJ121-$AI121-$AH121-$AG121-$AF121-$AE121*(1+FI$3))/$AJ121,'Технический лист'!$A:$B,2,1),(FH121-0.05)))</f>
        <v>1</v>
      </c>
      <c r="FJ121" s="15">
        <f>MIN(1,MAX(VLOOKUP(($AJ121-$AI121-$AH121-$AG121-$AF121-$AE121*(1+FJ$3))/$AJ121,'Технический лист'!$A:$B,2,1),(FI121-0.05)))</f>
        <v>1</v>
      </c>
      <c r="FK121" s="15">
        <f>MIN(1,MAX(VLOOKUP(($AJ121-$AI121-$AH121-$AG121-$AF121-$AE121*(1+FK$3))/$AJ121,'Технический лист'!$A:$B,2,1),(FJ121-0.05)))</f>
        <v>1</v>
      </c>
      <c r="FL121" s="15">
        <f>MIN(1,MAX(VLOOKUP(($AJ121-$AI121-$AH121-$AG121-$AF121-$AE121*(1+FL$3))/$AJ121,'Технический лист'!$A:$B,2,1),(FK121-0.05)))</f>
        <v>1</v>
      </c>
      <c r="FM121" s="15">
        <f>MIN(1,MAX(VLOOKUP(($AJ121-$AI121-$AH121-$AG121-$AF121-$AE121*(1+FM$3))/$AJ121,'Технический лист'!$A:$B,2,1),(FL121-0.05)))</f>
        <v>1</v>
      </c>
      <c r="FN121" s="15">
        <f>MIN(1,MAX(VLOOKUP(($AJ121-$AI121-$AH121-$AG121-$AF121-$AE121*(1+FN$3))/$AJ121,'Технический лист'!$A:$B,2,1),(FM121-0.05)))</f>
        <v>1</v>
      </c>
      <c r="FO121" s="15">
        <f>MIN(1,MAX(VLOOKUP(($AJ121-$AI121-$AH121-$AG121-$AF121-$AE121*(1+FO$3))/$AJ121,'Технический лист'!$A:$B,2,1),(FN121-0.05)))</f>
        <v>1</v>
      </c>
      <c r="FP121" s="15">
        <f>MIN(1,MAX(VLOOKUP(($AJ121-$AI121-$AH121-$AG121-$AF121-$AE121*(1+FP$3))/$AJ121,'Технический лист'!$A:$B,2,1),(FO121-0.05)))</f>
        <v>1</v>
      </c>
      <c r="FQ121" s="15">
        <f>MIN(1,MAX(VLOOKUP(($AJ121-$AI121-$AH121-$AG121-$AF121-$AE121*(1+FQ$3))/$AJ121,'Технический лист'!$A:$B,2,1),(FP121-0.05)))</f>
        <v>1</v>
      </c>
      <c r="FR121" s="15">
        <f>MIN(1,MAX(VLOOKUP(($AJ121-$AI121-$AH121-$AG121-$AF121-$AE121*(1+FR$3))/$AJ121,'Технический лист'!$A:$B,2,1),(FQ121-0.05)))</f>
        <v>1</v>
      </c>
      <c r="FS121" s="15">
        <f>MIN(1,MAX(VLOOKUP(($AJ121-$AI121-$AH121-$AG121-$AF121-$AE121*(1+FS$3))/$AJ121,'Технический лист'!$A:$B,2,1),(FR121-0.05)))</f>
        <v>1</v>
      </c>
      <c r="FT121" s="15">
        <f>MIN(1,MAX(VLOOKUP(($AJ121-$AI121-$AH121-$AG121-$AF121-$AE121*(1+FT$3))/$AJ121,'Технический лист'!$A:$B,2,1),(FS121-0.05)))</f>
        <v>1</v>
      </c>
      <c r="FU121" s="15">
        <f>MIN(1,MAX(VLOOKUP(($AJ121-$AI121-$AH121-$AG121-$AF121-$AE121*(1+FU$3))/$AJ121,'Технический лист'!$A:$B,2,1),(FT121-0.05)))</f>
        <v>1</v>
      </c>
      <c r="FV121" s="15">
        <f>MIN(1,MAX(VLOOKUP(($AJ121-$AI121-$AH121-$AG121-$AF121-$AE121*(1+FV$3))/$AJ121,'Технический лист'!$A:$B,2,1),(FU121-0.05)))</f>
        <v>1</v>
      </c>
      <c r="FW121" s="15">
        <f>MIN(1,MAX(VLOOKUP(($AJ121-$AI121-$AH121-$AG121-$AF121-$AE121*(1+FW$3))/$AJ121,'Технический лист'!$A:$B,2,1),(FV121-0.05)))</f>
        <v>1</v>
      </c>
      <c r="FX121" s="15">
        <f>MIN(1,MAX(VLOOKUP(($AJ121-$AI121-$AH121-$AG121-$AF121-$AE121*(1+FX$3))/$AJ121,'Технический лист'!$A:$B,2,1),(FW121-0.05)))</f>
        <v>1</v>
      </c>
      <c r="FY121" s="15">
        <f>MIN(1,MAX(VLOOKUP(($AJ121-$AI121-$AH121-$AG121-$AF121-$AE121*(1+FY$3))/$AJ121,'Технический лист'!$A:$B,2,1),(FX121-0.05)))</f>
        <v>1</v>
      </c>
      <c r="FZ121" s="15">
        <f>MIN(1,MAX(VLOOKUP(($AJ121-$AI121-$AH121-$AG121-$AF121-$AE121*(1+FZ$3))/$AJ121,'Технический лист'!$A:$B,2,1),(FY121-0.05)))</f>
        <v>1</v>
      </c>
      <c r="GA121" s="15">
        <f>MIN(1,MAX(VLOOKUP(($AJ121-$AI121-$AH121-$AG121-$AF121-$AE121*(1+GA$3))/$AJ121,'Технический лист'!$A:$B,2,1),(FZ121-0.05)))</f>
        <v>1</v>
      </c>
      <c r="GB121" s="15">
        <f>MIN(1,MAX(VLOOKUP(($AJ121-$AI121-$AH121-$AG121-$AF121-$AE121*(1+GB$3))/$AJ121,'Технический лист'!$A:$B,2,1),(GA121-0.05)))</f>
        <v>1</v>
      </c>
      <c r="GC121" s="15">
        <f>MIN(1,MAX(VLOOKUP(($AJ121-$AI121-$AH121-$AG121-$AF121-$AE121*(1+GC$3))/$AJ121,'Технический лист'!$A:$B,2,1),(GB121-0.05)))</f>
        <v>1</v>
      </c>
      <c r="GD121" s="15">
        <f>MIN(1,MAX(VLOOKUP(($AJ121-$AI121-$AH121-$AG121-$AF121-$AE121*(1+GD$3))/$AJ121,'Технический лист'!$A:$B,2,1),(GC121-0.05)))</f>
        <v>1</v>
      </c>
      <c r="GE121" s="15">
        <f>MIN(1,MAX(VLOOKUP(($AJ121-$AI121-$AH121-$AG121-$AF121-$AE121*(1+GE$3))/$AJ121,'Технический лист'!$A:$B,2,1),(GD121-0.05)))</f>
        <v>1</v>
      </c>
      <c r="GF121" s="15">
        <f>MIN(1,MAX(VLOOKUP(($AJ121-$AI121-$AH121-$AG121-$AF121-$AE121*(1+GF$3))/$AJ121,'Технический лист'!$A:$B,2,1),(GE121-0.05)))</f>
        <v>1</v>
      </c>
      <c r="GG121" s="15">
        <f>MIN(1,MAX(VLOOKUP(($AJ121-$AI121-$AH121-$AG121-$AF121-$AE121*(1+GG$3))/$AJ121,'Технический лист'!$A:$B,2,1),(GF121-0.05)))</f>
        <v>1</v>
      </c>
      <c r="GH121" s="15">
        <f>MIN(1,MAX(VLOOKUP(($AJ121-$AI121-$AH121-$AG121-$AF121-$AE121*(1+GH$3))/$AJ121,'Технический лист'!$A:$B,2,1),(GG121-0.05)))</f>
        <v>1</v>
      </c>
      <c r="GI121" s="15">
        <f>MIN(1,MAX(VLOOKUP(($AJ121-$AI121-$AH121-$AG121-$AF121-$AE121*(1+GI$3))/$AJ121,'Технический лист'!$A:$B,2,1),(GH121-0.05)))</f>
        <v>1</v>
      </c>
      <c r="GJ121" s="15">
        <f>MIN(1,MAX(VLOOKUP(($AJ121-$AI121-$AH121-$AG121-$AF121-$AE121*(1+GJ$3))/$AJ121,'Технический лист'!$A:$B,2,1),(GI121-0.05)))</f>
        <v>1</v>
      </c>
      <c r="GK121" s="15">
        <f>MIN(1,MAX(VLOOKUP(($AJ121-$AI121-$AH121-$AG121-$AF121-$AE121*(1+GK$3))/$AJ121,'Технический лист'!$A:$B,2,1),(GJ121-0.05)))</f>
        <v>1</v>
      </c>
      <c r="GL121" s="15">
        <f>MIN(1,MAX(VLOOKUP(($AJ121-$AI121-$AH121-$AG121-$AF121-$AE121*(1+GL$3))/$AJ121,'Технический лист'!$A:$B,2,1),(GK121-0.05)))</f>
        <v>1</v>
      </c>
      <c r="GM121" s="15">
        <f>MIN(1,MAX(VLOOKUP(($AJ121-$AI121-$AH121-$AG121-$AF121-$AE121*(1+GM$3))/$AJ121,'Технический лист'!$A:$B,2,1),(GL121-0.05)))</f>
        <v>1</v>
      </c>
      <c r="GN121" s="15">
        <f>MIN(1,MAX(VLOOKUP(($AJ121-$AI121-$AH121-$AG121-$AF121-$AE121*(1+GN$3))/$AJ121,'Технический лист'!$A:$B,2,1),(GM121-0.05)))</f>
        <v>1</v>
      </c>
      <c r="GO121" s="15">
        <f>MIN(1,MAX(VLOOKUP(($AJ121-$AI121-$AH121-$AG121-$AF121-$AE121*(1+GO$3))/$AJ121,'Технический лист'!$A:$B,2,1),(GN121-0.05)))</f>
        <v>1</v>
      </c>
      <c r="GP121" s="15">
        <f>MIN(1,MAX(VLOOKUP(($AJ121-$AI121-$AH121-$AG121-$AF121-$AE121*(1+GP$3))/$AJ121,'Технический лист'!$A:$B,2,1),(GO121-0.05)))</f>
        <v>1</v>
      </c>
      <c r="GQ121" s="15">
        <f>MIN(1,MAX(VLOOKUP(($AJ121-$AI121-$AH121-$AG121-$AF121-$AE121*(1+GQ$3))/$AJ121,'Технический лист'!$A:$B,2,1),(GP121-0.05)))</f>
        <v>1</v>
      </c>
      <c r="GR121" s="15">
        <f>MIN(1,MAX(VLOOKUP(($AJ121-$AI121-$AH121-$AG121-$AF121-$AE121*(1+GR$3))/$AJ121,'Технический лист'!$A:$B,2,1),(GQ121-0.05)))</f>
        <v>1</v>
      </c>
      <c r="GS121" s="15">
        <f>MIN(1,MAX(VLOOKUP(($AJ121-$AI121-$AH121-$AG121-$AF121-$AE121*(1+GS$3))/$AJ121,'Технический лист'!$A:$B,2,1),(GR121-0.05)))</f>
        <v>1</v>
      </c>
      <c r="GT121" s="15">
        <f>MIN(1,MAX(VLOOKUP(($AJ121-$AI121-$AH121-$AG121-$AF121-$AE121*(1+GT$3))/$AJ121,'Технический лист'!$A:$B,2,1),(GS121-0.05)))</f>
        <v>1</v>
      </c>
      <c r="GU121" s="15">
        <f>MIN(1,MAX(VLOOKUP(($AJ121-$AI121-$AH121-$AG121-$AF121-$AE121*(1+GU$3))/$AJ121,'Технический лист'!$A:$B,2,1),(GT121-0.05)))</f>
        <v>1</v>
      </c>
      <c r="GV121" s="15">
        <f>MIN(1,MAX(VLOOKUP(($AJ121-$AI121-$AH121-$AG121-$AF121-$AE121*(1+GV$3))/$AJ121,'Технический лист'!$A:$B,2,1),(GU121-0.05)))</f>
        <v>1</v>
      </c>
      <c r="GW121" s="15">
        <f>MIN(1,MAX(VLOOKUP(($AJ121-$AI121-$AH121-$AG121-$AF121-$AE121*(1+GW$3))/$AJ121,'Технический лист'!$A:$B,2,1),(GV121-0.05)))</f>
        <v>1</v>
      </c>
      <c r="GX121" s="15">
        <f>MIN(1,MAX(VLOOKUP(($AJ121-$AI121-$AH121-$AG121-$AF121-$AE121*(1+GX$3))/$AJ121,'Технический лист'!$A:$B,2,1),(GW121-0.05)))</f>
        <v>1</v>
      </c>
      <c r="GY121" s="15">
        <f>MIN(1,MAX(VLOOKUP(($AJ121-$AI121-$AH121-$AG121-$AF121-$AE121*(1+GY$3))/$AJ121,'Технический лист'!$A:$B,2,1),(GX121-0.05)))</f>
        <v>1</v>
      </c>
      <c r="GZ121" s="15">
        <f>MIN(1,MAX(VLOOKUP(($AJ121-$AI121-$AH121-$AG121-$AF121-$AE121*(1+GZ$3))/$AJ121,'Технический лист'!$A:$B,2,1),(GY121-0.05)))</f>
        <v>1</v>
      </c>
      <c r="HA121" s="15">
        <f>MIN(1,MAX(VLOOKUP(($AJ121-$AI121-$AH121-$AG121-$AF121-$AE121*(1+HA$3))/$AJ121,'Технический лист'!$A:$B,2,1),(GZ121-0.05)))</f>
        <v>1</v>
      </c>
      <c r="HB121" s="15">
        <f>MIN(1,MAX(VLOOKUP(($AJ121-$AI121-$AH121-$AG121-$AF121-$AE121*(1+HB$3))/$AJ121,'Технический лист'!$A:$B,2,1),(HA121-0.05)))</f>
        <v>1</v>
      </c>
      <c r="HC121" s="15">
        <f>MIN(1,MAX(VLOOKUP(($AJ121-$AI121-$AH121-$AG121-$AF121-$AE121*(1+HC$3))/$AJ121,'Технический лист'!$A:$B,2,1),(HB121-0.05)))</f>
        <v>1</v>
      </c>
      <c r="HD121" s="15">
        <f>MIN(1,MAX(VLOOKUP(($AJ121-$AI121-$AH121-$AG121-$AF121-$AE121*(1+HD$3))/$AJ121,'Технический лист'!$A:$B,2,1),(HC121-0.05)))</f>
        <v>1</v>
      </c>
      <c r="HE121" s="15">
        <f>MIN(1,MAX(VLOOKUP(($AJ121-$AI121-$AH121-$AG121-$AF121-$AE121*(1+HE$3))/$AJ121,'Технический лист'!$A:$B,2,1),(HD121-0.05)))</f>
        <v>1</v>
      </c>
      <c r="HF121" s="15">
        <f>MIN(1,MAX(VLOOKUP(($AJ121-$AI121-$AH121-$AG121-$AF121-$AE121*(1+HF$3))/$AJ121,'Технический лист'!$A:$B,2,1),(HE121-0.05)))</f>
        <v>1</v>
      </c>
      <c r="HG121" s="15">
        <f>MIN(1,MAX(VLOOKUP(($AJ121-$AI121-$AH121-$AG121-$AF121-$AE121*(1+HG$3))/$AJ121,'Технический лист'!$A:$B,2,1),(HF121-0.05)))</f>
        <v>1</v>
      </c>
      <c r="HH121" s="15">
        <f>MIN(1,MAX(VLOOKUP(($AJ121-$AI121-$AH121-$AG121-$AF121-$AE121*(1+HH$3))/$AJ121,'Технический лист'!$A:$B,2,1),(HG121-0.05)))</f>
        <v>1</v>
      </c>
      <c r="HI121" s="15">
        <f>MIN(1,MAX(VLOOKUP(($AJ121-$AI121-$AH121-$AG121-$AF121-$AE121*(1+HI$3))/$AJ121,'Технический лист'!$A:$B,2,1),(HH121-0.05)))</f>
        <v>1</v>
      </c>
      <c r="HJ121" s="15">
        <f>MIN(1,MAX(VLOOKUP(($AJ121-$AI121-$AH121-$AG121-$AF121-$AE121*(1+HJ$3))/$AJ121,'Технический лист'!$A:$B,2,1),(HI121-0.05)))</f>
        <v>1</v>
      </c>
      <c r="HK121" s="15">
        <f>MIN(1,MAX(VLOOKUP(($AJ121-$AI121-$AH121-$AG121-$AF121-$AE121*(1+HK$3))/$AJ121,'Технический лист'!$A:$B,2,1),(HJ121-0.05)))</f>
        <v>1</v>
      </c>
      <c r="HL121" s="15">
        <f>MIN(1,MAX(VLOOKUP(($AJ121-$AI121-$AH121-$AG121-$AF121-$AE121*(1+HL$3))/$AJ121,'Технический лист'!$A:$B,2,1),(HK121-0.05)))</f>
        <v>1</v>
      </c>
      <c r="HM121" s="15">
        <f>MIN(1,MAX(VLOOKUP(($AJ121-$AI121-$AH121-$AG121-$AF121-$AE121*(1+HM$3))/$AJ121,'Технический лист'!$A:$B,2,1),(HL121-0.05)))</f>
        <v>1</v>
      </c>
      <c r="HN121" s="15">
        <f>MIN(1,MAX(VLOOKUP(($AJ121-$AI121-$AH121-$AG121-$AF121-$AE121*(1+HN$3))/$AJ121,'Технический лист'!$A:$B,2,1),(HM121-0.05)))</f>
        <v>1</v>
      </c>
      <c r="HO121" s="15">
        <f>MIN(1,MAX(VLOOKUP(($AJ121-$AI121-$AH121-$AG121-$AF121-$AE121*(1+HO$3))/$AJ121,'Технический лист'!$A:$B,2,1),(HN121-0.05)))</f>
        <v>1</v>
      </c>
      <c r="HP121" s="15">
        <f>MIN(1,MAX(VLOOKUP(($AJ121-$AI121-$AH121-$AG121-$AF121-$AE121*(1+HP$3))/$AJ121,'Технический лист'!$A:$B,2,1),(HO121-0.05)))</f>
        <v>1</v>
      </c>
      <c r="HQ121" s="15">
        <f>MIN(1,MAX(VLOOKUP(($AJ121-$AI121-$AH121-$AG121-$AF121-$AE121*(1+HQ$3))/$AJ121,'Технический лист'!$A:$B,2,1),(HP121-0.05)))</f>
        <v>1</v>
      </c>
      <c r="HR121" s="15">
        <f>MIN(1,MAX(VLOOKUP(($AJ121-$AI121-$AH121-$AG121-$AF121-$AE121*(1+HR$3))/$AJ121,'Технический лист'!$A:$B,2,1),(HQ121-0.05)))</f>
        <v>1</v>
      </c>
      <c r="HS121" s="15">
        <f>MIN(1,MAX(VLOOKUP(($AJ121-$AI121-$AH121-$AG121-$AF121-$AE121*(1+HS$3))/$AJ121,'Технический лист'!$A:$B,2,1),(HR121-0.05)))</f>
        <v>1</v>
      </c>
      <c r="HT121" s="15">
        <f>MIN(1,MAX(VLOOKUP(($AJ121-$AI121-$AH121-$AG121-$AF121-$AE121*(1+HT$3))/$AJ121,'Технический лист'!$A:$B,2,1),(HS121-0.05)))</f>
        <v>1</v>
      </c>
      <c r="HU121" s="15">
        <f>MIN(1,MAX(VLOOKUP(($AJ121-$AI121-$AH121-$AG121-$AF121-$AE121*(1+HU$3))/$AJ121,'Технический лист'!$A:$B,2,1),(HT121-0.05)))</f>
        <v>1</v>
      </c>
      <c r="HV121" s="15">
        <f>MIN(1,MAX(VLOOKUP(($AJ121-$AI121-$AH121-$AG121-$AF121-$AE121*(1+HV$3))/$AJ121,'Технический лист'!$A:$B,2,1),(HU121-0.05)))</f>
        <v>1</v>
      </c>
      <c r="HW121" s="15">
        <f>MIN(1,MAX(VLOOKUP(($AJ121-$AI121-$AH121-$AG121-$AF121-$AE121*(1+HW$3))/$AJ121,'Технический лист'!$A:$B,2,1),(HV121-0.05)))</f>
        <v>1</v>
      </c>
      <c r="HX121" s="15">
        <f>MIN(1,MAX(VLOOKUP(($AJ121-$AI121-$AH121-$AG121-$AF121-$AE121*(1+HX$3))/$AJ121,'Технический лист'!$A:$B,2,1),(HW121-0.05)))</f>
        <v>1</v>
      </c>
      <c r="HY121" s="15">
        <f>MIN(1,MAX(VLOOKUP(($AJ121-$AI121-$AH121-$AG121-$AF121-$AE121*(1+HY$3))/$AJ121,'Технический лист'!$A:$B,2,1),(HX121-0.05)))</f>
        <v>1</v>
      </c>
      <c r="HZ121" s="15">
        <f>MIN(1,MAX(VLOOKUP(($AJ121-$AI121-$AH121-$AG121-$AF121-$AE121*(1+HZ$3))/$AJ121,'Технический лист'!$A:$B,2,1),(HY121-0.05)))</f>
        <v>1</v>
      </c>
      <c r="IA121" s="15">
        <f>MIN(1,MAX(VLOOKUP(($AJ121-$AI121-$AH121-$AG121-$AF121-$AE121*(1+IA$3))/$AJ121,'Технический лист'!$A:$B,2,1),(HZ121-0.05)))</f>
        <v>1</v>
      </c>
      <c r="IB121" s="15">
        <f>MIN(1,MAX(VLOOKUP(($AJ121-$AI121-$AH121-$AG121-$AF121-$AE121*(1+IB$3))/$AJ121,'Технический лист'!$A:$B,2,1),(IA121-0.05)))</f>
        <v>1</v>
      </c>
      <c r="IC121" s="15">
        <f>MIN(1,MAX(VLOOKUP(($AJ121-$AI121-$AH121-$AG121-$AF121-$AE121*(1+IC$3))/$AJ121,'Технический лист'!$A:$B,2,1),(IB121-0.05)))</f>
        <v>1</v>
      </c>
      <c r="ID121" s="15">
        <f>MIN(1,MAX(VLOOKUP(($AJ121-$AI121-$AH121-$AG121-$AF121-$AE121*(1+ID$3))/$AJ121,'Технический лист'!$A:$B,2,1),(IC121-0.05)))</f>
        <v>1</v>
      </c>
      <c r="IE121" s="15">
        <f>MIN(1,MAX(VLOOKUP(($AJ121-$AI121-$AH121-$AG121-$AF121-$AE121*(1+IE$3))/$AJ121,'Технический лист'!$A:$B,2,1),(ID121-0.05)))</f>
        <v>1</v>
      </c>
      <c r="IF121" s="15">
        <f>MIN(1,MAX(VLOOKUP(($AJ121-$AI121-$AH121-$AG121-$AF121-$AE121*(1+IF$3))/$AJ121,'Технический лист'!$A:$B,2,1),(IE121-0.05)))</f>
        <v>1</v>
      </c>
      <c r="IG121" s="15">
        <f>MIN(1,MAX(VLOOKUP(($AJ121-$AI121-$AH121-$AG121-$AF121-$AE121*(1+IG$3))/$AJ121,'Технический лист'!$A:$B,2,1),(IF121-0.05)))</f>
        <v>1</v>
      </c>
      <c r="IH121" s="15">
        <f>MIN(1,MAX(VLOOKUP(($AJ121-$AI121-$AH121-$AG121-$AF121-$AE121*(1+IH$3))/$AJ121,'Технический лист'!$A:$B,2,1),(IG121-0.05)))</f>
        <v>1</v>
      </c>
      <c r="II121" s="15">
        <f>MIN(1,MAX(VLOOKUP(($AJ121-$AI121-$AH121-$AG121-$AF121-$AE121*(1+II$3))/$AJ121,'Технический лист'!$A:$B,2,1),(IH121-0.05)))</f>
        <v>1</v>
      </c>
      <c r="IJ121" s="15">
        <f>MIN(1,MAX(VLOOKUP(($AJ121-$AI121-$AH121-$AG121-$AF121-$AE121*(1+IJ$3))/$AJ121,'Технический лист'!$A:$B,2,1),(II121-0.05)))</f>
        <v>1</v>
      </c>
      <c r="IK121" s="15">
        <f>MIN(1,MAX(VLOOKUP(($AJ121-$AI121-$AH121-$AG121-$AF121-$AE121*(1+IK$3))/$AJ121,'Технический лист'!$A:$B,2,1),(IJ121-0.05)))</f>
        <v>1</v>
      </c>
      <c r="IL121" s="15">
        <f>MIN(1,MAX(VLOOKUP(($AJ121-$AI121-$AH121-$AG121-$AF121-$AE121*(1+IL$3))/$AJ121,'Технический лист'!$A:$B,2,1),(IK121-0.05)))</f>
        <v>1</v>
      </c>
      <c r="IM121" s="15">
        <f>MIN(1,MAX(VLOOKUP(($AJ121-$AI121-$AH121-$AG121-$AF121-$AE121*(1+IM$3))/$AJ121,'Технический лист'!$A:$B,2,1),(IL121-0.05)))</f>
        <v>1</v>
      </c>
      <c r="IN121" s="15">
        <f>MIN(1,MAX(VLOOKUP(($AJ121-$AI121-$AH121-$AG121-$AF121-$AE121*(1+IN$3))/$AJ121,'Технический лист'!$A:$B,2,1),(IM121-0.05)))</f>
        <v>1</v>
      </c>
      <c r="IO121" s="15">
        <f>MIN(1,MAX(VLOOKUP(($AJ121-$AI121-$AH121-$AG121-$AF121-$AE121*(1+IO$3))/$AJ121,'Технический лист'!$A:$B,2,1),(IN121-0.05)))</f>
        <v>1</v>
      </c>
      <c r="IP121" s="15">
        <f>MIN(1,MAX(VLOOKUP(($AJ121-$AI121-$AH121-$AG121-$AF121-$AE121*(1+IP$3))/$AJ121,'Технический лист'!$A:$B,2,1),(IO121-0.05)))</f>
        <v>1</v>
      </c>
      <c r="IQ121" s="15">
        <f>MIN(1,MAX(VLOOKUP(($AJ121-$AI121-$AH121-$AG121-$AF121-$AE121*(1+IQ$3))/$AJ121,'Технический лист'!$A:$B,2,1),(IP121-0.05)))</f>
        <v>1</v>
      </c>
      <c r="IR121" s="15">
        <f>MIN(1,MAX(VLOOKUP(($AJ121-$AI121-$AH121-$AG121-$AF121-$AE121*(1+IR$3))/$AJ121,'Технический лист'!$A:$B,2,1),(IQ121-0.05)))</f>
        <v>1</v>
      </c>
    </row>
    <row r="122" spans="1:252" ht="43.75">
      <c r="A122" s="89" t="s">
        <v>515</v>
      </c>
      <c r="B122" s="90">
        <v>5</v>
      </c>
      <c r="C122" s="5" t="s">
        <v>68</v>
      </c>
      <c r="D122" s="91">
        <v>32416</v>
      </c>
      <c r="E122" s="91" t="s">
        <v>352</v>
      </c>
      <c r="F122" s="92" t="s">
        <v>75</v>
      </c>
      <c r="G122" s="91" t="s">
        <v>22</v>
      </c>
      <c r="H122" s="91" t="s">
        <v>52</v>
      </c>
      <c r="I122" s="91" t="s">
        <v>29</v>
      </c>
      <c r="J122" s="91" t="s">
        <v>180</v>
      </c>
      <c r="K122" s="91">
        <v>1418</v>
      </c>
      <c r="L122" s="85" t="s">
        <v>64</v>
      </c>
      <c r="M122" s="91" t="s">
        <v>190</v>
      </c>
      <c r="N122" s="91" t="s">
        <v>191</v>
      </c>
      <c r="O122" s="91" t="s">
        <v>192</v>
      </c>
      <c r="P122" s="89" t="s">
        <v>210</v>
      </c>
      <c r="Q122" s="91" t="s">
        <v>309</v>
      </c>
      <c r="R122" s="91" t="s">
        <v>258</v>
      </c>
      <c r="S122" s="82">
        <v>51767</v>
      </c>
      <c r="T122" s="82">
        <v>73391712</v>
      </c>
      <c r="U122" s="81">
        <v>801</v>
      </c>
      <c r="V122" s="81">
        <v>0</v>
      </c>
      <c r="W122" s="82">
        <v>140838042</v>
      </c>
      <c r="X122" s="112">
        <v>62</v>
      </c>
      <c r="Y122" s="112" t="s">
        <v>416</v>
      </c>
      <c r="Z122" s="113">
        <v>7</v>
      </c>
      <c r="AA122" s="113">
        <v>6</v>
      </c>
      <c r="AB122" s="113">
        <v>4</v>
      </c>
      <c r="AC122" s="99">
        <v>3140.15</v>
      </c>
      <c r="AD122" s="99">
        <f t="shared" ref="AD122:AD131" si="48">AE122-AC122</f>
        <v>460.79999999999973</v>
      </c>
      <c r="AE122" s="99">
        <v>3600.95</v>
      </c>
      <c r="AF122" s="98">
        <f>(Z122+AA122+AB122)*'Ставки аренды'!$B$3/X122</f>
        <v>191.93548387096774</v>
      </c>
      <c r="AG122" s="94">
        <v>0</v>
      </c>
      <c r="AH122" s="94">
        <v>0</v>
      </c>
      <c r="AI122" s="116">
        <f>507353/712157*AVERAGE(AJ120,AJ122)</f>
        <v>31445.69558228031</v>
      </c>
      <c r="AJ122" s="117">
        <f>Цены!$D$16</f>
        <v>48600</v>
      </c>
      <c r="AK122" s="94">
        <f>AJ122/Цены!$B$1</f>
        <v>636.91345971129215</v>
      </c>
      <c r="AL122" s="95">
        <f t="shared" si="24"/>
        <v>3792.8854838709676</v>
      </c>
      <c r="AM122" s="95">
        <f t="shared" si="25"/>
        <v>44807.114516129033</v>
      </c>
      <c r="AN122" s="94">
        <f t="shared" si="39"/>
        <v>35238.581066151273</v>
      </c>
      <c r="AO122" s="118">
        <f t="shared" si="40"/>
        <v>0.27492631551129065</v>
      </c>
      <c r="AP122" s="96">
        <f t="shared" si="26"/>
        <v>7.804291119076065E-2</v>
      </c>
      <c r="AQ122" s="96">
        <f t="shared" si="27"/>
        <v>7.4093621399176954E-2</v>
      </c>
      <c r="AR122" s="96">
        <f t="shared" si="28"/>
        <v>0.94939591909980869</v>
      </c>
      <c r="AS122" s="122">
        <v>1</v>
      </c>
      <c r="AT122" s="121">
        <f t="shared" si="45"/>
        <v>51767</v>
      </c>
      <c r="AU122" s="83">
        <v>0.95</v>
      </c>
      <c r="AV122" s="119">
        <f t="shared" si="41"/>
        <v>0.26603508094338923</v>
      </c>
      <c r="AW122" s="120">
        <f t="shared" si="42"/>
        <v>8.6934145758661902E-2</v>
      </c>
      <c r="AX122" s="120">
        <f t="shared" si="43"/>
        <v>8.2984855967078192E-2</v>
      </c>
      <c r="AY122" s="120">
        <f t="shared" si="44"/>
        <v>0.9545714775578823</v>
      </c>
      <c r="AZ122" s="15">
        <f>MIN(IF($AU122=100%,1,1+VLOOKUP(($AJ122-$AI122-$AH122-$AG122-$AF122-$AE122*(1+AZ$3))/$AJ122,'Технический лист'!$I:$J,2,1)-VLOOKUP($AO122,'Технический лист'!$I:$J,2,1)),1+(1-$AU122))</f>
        <v>1</v>
      </c>
      <c r="BA122" s="15">
        <f>MIN(IF($AU122=100%,1,1+VLOOKUP(($AJ122-$AI122-$AH122-$AG122-$AF122-$AE122*(1+BA$3))/$AJ122,'Технический лист'!$I:$J,2,1)-VLOOKUP($AO122,'Технический лист'!$I:$J,2,1)),1+(1-$AU122))</f>
        <v>1</v>
      </c>
      <c r="BB122" s="15">
        <f>MIN(IF($AU122=100%,1,1+VLOOKUP(($AJ122-$AI122-$AH122-$AG122-$AF122-$AE122*(1+BB$3))/$AJ122,'Технический лист'!$I:$J,2,1)-VLOOKUP($AO122,'Технический лист'!$I:$J,2,1)),1+(1-$AU122))</f>
        <v>1</v>
      </c>
      <c r="BC122" s="15">
        <f>MIN(IF($AU122=100%,1,1+VLOOKUP(($AJ122-$AI122-$AH122-$AG122-$AF122-$AE122*(1+BC$3))/$AJ122,'Технический лист'!$I:$J,2,1)-VLOOKUP($AO122,'Технический лист'!$I:$J,2,1)),1+(1-$AU122))</f>
        <v>1</v>
      </c>
      <c r="BD122" s="15">
        <f>MIN(IF($AU122=100%,1,1+VLOOKUP(($AJ122-$AI122-$AH122-$AG122-$AF122-$AE122*(1+BD$3))/$AJ122,'Технический лист'!$I:$J,2,1)-VLOOKUP($AO122,'Технический лист'!$I:$J,2,1)),1+(1-$AU122))</f>
        <v>1</v>
      </c>
      <c r="BE122" s="15">
        <f>MIN(IF($AU122=100%,1,1+VLOOKUP(($AJ122-$AI122-$AH122-$AG122-$AF122-$AE122*(1+BE$3))/$AJ122,'Технический лист'!$I:$J,2,1)-VLOOKUP($AO122,'Технический лист'!$I:$J,2,1)),1+(1-$AU122))</f>
        <v>1</v>
      </c>
      <c r="BF122" s="15">
        <f>MIN(IF($AU122=100%,1,1+VLOOKUP(($AJ122-$AI122-$AH122-$AG122-$AF122-$AE122*(1+BF$3))/$AJ122,'Технический лист'!$I:$J,2,1)-VLOOKUP($AO122,'Технический лист'!$I:$J,2,1)),1+(1-$AU122))</f>
        <v>1</v>
      </c>
      <c r="BG122" s="15">
        <f>MIN(IF($AU122=100%,1,1+VLOOKUP(($AJ122-$AI122-$AH122-$AG122-$AF122-$AE122*(1+BG$3))/$AJ122,'Технический лист'!$I:$J,2,1)-VLOOKUP($AO122,'Технический лист'!$I:$J,2,1)),1+(1-$AU122))</f>
        <v>1</v>
      </c>
      <c r="BH122" s="15">
        <f>MIN(IF($AU122=100%,1,1+VLOOKUP(($AJ122-$AI122-$AH122-$AG122-$AF122-$AE122*(1+BH$3))/$AJ122,'Технический лист'!$I:$J,2,1)-VLOOKUP($AO122,'Технический лист'!$I:$J,2,1)),1+(1-$AU122))</f>
        <v>1</v>
      </c>
      <c r="BI122" s="15">
        <f>MIN(IF($AU122=100%,1,1+VLOOKUP(($AJ122-$AI122-$AH122-$AG122-$AF122-$AE122*(1+BI$3))/$AJ122,'Технический лист'!$I:$J,2,1)-VLOOKUP($AO122,'Технический лист'!$I:$J,2,1)),1+(1-$AU122))</f>
        <v>1</v>
      </c>
      <c r="BJ122" s="15">
        <f>MIN(IF($AU122=100%,1,1+VLOOKUP(($AJ122-$AI122-$AH122-$AG122-$AF122-$AE122*(1+BJ$3))/$AJ122,'Технический лист'!$I:$J,2,1)-VLOOKUP($AO122,'Технический лист'!$I:$J,2,1)),1+(1-$AU122))</f>
        <v>1</v>
      </c>
      <c r="BK122" s="15">
        <f>MIN(IF($AU122=100%,1,1+VLOOKUP(($AJ122-$AI122-$AH122-$AG122-$AF122-$AE122*(1+BK$3))/$AJ122,'Технический лист'!$I:$J,2,1)-VLOOKUP($AO122,'Технический лист'!$I:$J,2,1)),1+(1-$AU122))</f>
        <v>1</v>
      </c>
      <c r="BL122" s="15">
        <f>MIN(IF($AU122=100%,1,1+VLOOKUP(($AJ122-$AI122-$AH122-$AG122-$AF122-$AE122*(1+BL$3))/$AJ122,'Технический лист'!$I:$J,2,1)-VLOOKUP($AO122,'Технический лист'!$I:$J,2,1)),1+(1-$AU122))</f>
        <v>1</v>
      </c>
      <c r="BM122" s="15">
        <f>MIN(IF($AU122=100%,1,1+VLOOKUP(($AJ122-$AI122-$AH122-$AG122-$AF122-$AE122*(1+BM$3))/$AJ122,'Технический лист'!$I:$J,2,1)-VLOOKUP($AO122,'Технический лист'!$I:$J,2,1)),1+(1-$AU122))</f>
        <v>1</v>
      </c>
      <c r="BN122" s="15">
        <f>MIN(IF($AU122=100%,1,1+VLOOKUP(($AJ122-$AI122-$AH122-$AG122-$AF122-$AE122*(1+BN$3))/$AJ122,'Технический лист'!$I:$J,2,1)-VLOOKUP($AO122,'Технический лист'!$I:$J,2,1)),1+(1-$AU122))</f>
        <v>1</v>
      </c>
      <c r="BO122" s="15">
        <f>MIN(IF($AU122=100%,1,1+VLOOKUP(($AJ122-$AI122-$AH122-$AG122-$AF122-$AE122*(1+BO$3))/$AJ122,'Технический лист'!$I:$J,2,1)-VLOOKUP($AO122,'Технический лист'!$I:$J,2,1)),1+(1-$AU122))</f>
        <v>1</v>
      </c>
      <c r="BP122" s="15">
        <f>MIN(IF($AU122=100%,1,1+VLOOKUP(($AJ122-$AI122-$AH122-$AG122-$AF122-$AE122*(1+BP$3))/$AJ122,'Технический лист'!$I:$J,2,1)-VLOOKUP($AO122,'Технический лист'!$I:$J,2,1)),1+(1-$AU122))</f>
        <v>1</v>
      </c>
      <c r="BQ122" s="15">
        <f>MIN(IF($AU122=100%,1,1+VLOOKUP(($AJ122-$AI122-$AH122-$AG122-$AF122-$AE122*(1+BQ$3))/$AJ122,'Технический лист'!$I:$J,2,1)-VLOOKUP($AO122,'Технический лист'!$I:$J,2,1)),1+(1-$AU122))</f>
        <v>1</v>
      </c>
      <c r="BR122" s="15">
        <f>MIN(IF($AU122=100%,1,1+VLOOKUP(($AJ122-$AI122-$AH122-$AG122-$AF122-$AE122*(1+BR$3))/$AJ122,'Технический лист'!$I:$J,2,1)-VLOOKUP($AO122,'Технический лист'!$I:$J,2,1)),1+(1-$AU122))</f>
        <v>1</v>
      </c>
      <c r="BS122" s="15">
        <f>MIN(IF($AU122=100%,1,1+VLOOKUP(($AJ122-$AI122-$AH122-$AG122-$AF122-$AE122*(1+BS$3))/$AJ122,'Технический лист'!$I:$J,2,1)-VLOOKUP($AO122,'Технический лист'!$I:$J,2,1)),1+(1-$AU122))</f>
        <v>1</v>
      </c>
      <c r="BT122" s="15">
        <f>MIN(IF($AU122=100%,1,1+VLOOKUP(($AJ122-$AI122-$AH122-$AG122-$AF122-$AE122*(1+BT$3))/$AJ122,'Технический лист'!$I:$J,2,1)-VLOOKUP($AO122,'Технический лист'!$I:$J,2,1)),1+(1-$AU122))</f>
        <v>1</v>
      </c>
      <c r="BU122" s="15">
        <f>MIN(IF($AU122=100%,1,1+VLOOKUP(($AJ122-$AI122-$AH122-$AG122-$AF122-$AE122*(1+BU$3))/$AJ122,'Технический лист'!$I:$J,2,1)-VLOOKUP($AO122,'Технический лист'!$I:$J,2,1)),1+(1-$AU122))</f>
        <v>1</v>
      </c>
      <c r="BV122" s="15">
        <f>MIN(IF($AU122=100%,1,1+VLOOKUP(($AJ122-$AI122-$AH122-$AG122-$AF122-$AE122*(1+BV$3))/$AJ122,'Технический лист'!$I:$J,2,1)-VLOOKUP($AO122,'Технический лист'!$I:$J,2,1)),1+(1-$AU122))</f>
        <v>1</v>
      </c>
      <c r="BW122" s="15">
        <f>MIN(IF($AU122=100%,1,1+VLOOKUP(($AJ122-$AI122-$AH122-$AG122-$AF122-$AE122*(1+BW$3))/$AJ122,'Технический лист'!$I:$J,2,1)-VLOOKUP($AO122,'Технический лист'!$I:$J,2,1)),1+(1-$AU122))</f>
        <v>1</v>
      </c>
      <c r="BX122" s="15">
        <f>MIN(IF($AU122=100%,1,1+VLOOKUP(($AJ122-$AI122-$AH122-$AG122-$AF122-$AE122*(1+BX$3))/$AJ122,'Технический лист'!$I:$J,2,1)-VLOOKUP($AO122,'Технический лист'!$I:$J,2,1)),1+(1-$AU122))</f>
        <v>1</v>
      </c>
      <c r="BY122" s="15">
        <f>MIN(IF($AU122=100%,1,1+VLOOKUP(($AJ122-$AI122-$AH122-$AG122-$AF122-$AE122*(1+BY$3))/$AJ122,'Технический лист'!$I:$J,2,1)-VLOOKUP($AO122,'Технический лист'!$I:$J,2,1)),1+(1-$AU122))</f>
        <v>1</v>
      </c>
      <c r="BZ122" s="15">
        <f>MIN(IF($AU122=100%,1,1+VLOOKUP(($AJ122-$AI122-$AH122-$AG122-$AF122-$AE122*(1+BZ$3))/$AJ122,'Технический лист'!$I:$J,2,1)-VLOOKUP($AO122,'Технический лист'!$I:$J,2,1)),1+(1-$AU122))</f>
        <v>1</v>
      </c>
      <c r="CA122" s="15">
        <f>MIN(IF($AU122=100%,1,1+VLOOKUP(($AJ122-$AI122-$AH122-$AG122-$AF122-$AE122*(1+CA$3))/$AJ122,'Технический лист'!$I:$J,2,1)-VLOOKUP($AO122,'Технический лист'!$I:$J,2,1)),1+(1-$AU122))</f>
        <v>1</v>
      </c>
      <c r="CB122" s="15">
        <f>MIN(IF($AU122=100%,1,1+VLOOKUP(($AJ122-$AI122-$AH122-$AG122-$AF122-$AE122*(1+CB$3))/$AJ122,'Технический лист'!$I:$J,2,1)-VLOOKUP($AO122,'Технический лист'!$I:$J,2,1)),1+(1-$AU122))</f>
        <v>1</v>
      </c>
      <c r="CC122" s="15">
        <f>MIN(IF($AU122=100%,1,1+VLOOKUP(($AJ122-$AI122-$AH122-$AG122-$AF122-$AE122*(1+CC$3))/$AJ122,'Технический лист'!$I:$J,2,1)-VLOOKUP($AO122,'Технический лист'!$I:$J,2,1)),1+(1-$AU122))</f>
        <v>1</v>
      </c>
      <c r="CD122" s="15">
        <f>MIN(IF($AU122=100%,1,1+VLOOKUP(($AJ122-$AI122-$AH122-$AG122-$AF122-$AE122*(1+CD$3))/$AJ122,'Технический лист'!$I:$J,2,1)-VLOOKUP($AO122,'Технический лист'!$I:$J,2,1)),1+(1-$AU122))</f>
        <v>1</v>
      </c>
      <c r="CE122" s="15">
        <f>MIN(IF($AU122=100%,1,1+VLOOKUP(($AJ122-$AI122-$AH122-$AG122-$AF122-$AE122*(1+CE$3))/$AJ122,'Технический лист'!$I:$J,2,1)-VLOOKUP($AO122,'Технический лист'!$I:$J,2,1)),1+(1-$AU122))</f>
        <v>1</v>
      </c>
      <c r="CF122" s="15">
        <f>MIN(IF($AU122=100%,1,1+VLOOKUP(($AJ122-$AI122-$AH122-$AG122-$AF122-$AE122*(1+CF$3))/$AJ122,'Технический лист'!$I:$J,2,1)-VLOOKUP($AO122,'Технический лист'!$I:$J,2,1)),1+(1-$AU122))</f>
        <v>1</v>
      </c>
      <c r="CG122" s="15">
        <f>MIN(IF($AU122=100%,1,1+VLOOKUP(($AJ122-$AI122-$AH122-$AG122-$AF122-$AE122*(1+CG$3))/$AJ122,'Технический лист'!$I:$J,2,1)-VLOOKUP($AO122,'Технический лист'!$I:$J,2,1)),1+(1-$AU122))</f>
        <v>1</v>
      </c>
      <c r="CH122" s="15">
        <f>MIN(IF($AU122=100%,1,1+VLOOKUP(($AJ122-$AI122-$AH122-$AG122-$AF122-$AE122*(1+CH$3))/$AJ122,'Технический лист'!$I:$J,2,1)-VLOOKUP($AO122,'Технический лист'!$I:$J,2,1)),1+(1-$AU122))</f>
        <v>1</v>
      </c>
      <c r="CI122" s="15">
        <f>MIN(IF($AU122=100%,1,1+VLOOKUP(($AJ122-$AI122-$AH122-$AG122-$AF122-$AE122*(1+CI$3))/$AJ122,'Технический лист'!$I:$J,2,1)-VLOOKUP($AO122,'Технический лист'!$I:$J,2,1)),1+(1-$AU122))</f>
        <v>1</v>
      </c>
      <c r="CJ122" s="15">
        <f>MIN(IF($AU122=100%,1,1+VLOOKUP(($AJ122-$AI122-$AH122-$AG122-$AF122-$AE122*(1+CJ$3))/$AJ122,'Технический лист'!$I:$J,2,1)-VLOOKUP($AO122,'Технический лист'!$I:$J,2,1)),1+(1-$AU122))</f>
        <v>1</v>
      </c>
      <c r="CK122" s="15">
        <f>MIN(IF($AU122=100%,1,1+VLOOKUP(($AJ122-$AI122-$AH122-$AG122-$AF122-$AE122*(1+CK$3))/$AJ122,'Технический лист'!$I:$J,2,1)-VLOOKUP($AO122,'Технический лист'!$I:$J,2,1)),1+(1-$AU122))</f>
        <v>1</v>
      </c>
      <c r="CL122" s="15">
        <f>MIN(IF($AU122=100%,1,1+VLOOKUP(($AJ122-$AI122-$AH122-$AG122-$AF122-$AE122*(1+CL$3))/$AJ122,'Технический лист'!$I:$J,2,1)-VLOOKUP($AO122,'Технический лист'!$I:$J,2,1)),1+(1-$AU122))</f>
        <v>1</v>
      </c>
      <c r="CM122" s="15">
        <f>MIN(IF($AU122=100%,1,1+VLOOKUP(($AJ122-$AI122-$AH122-$AG122-$AF122-$AE122*(1+CM$3))/$AJ122,'Технический лист'!$I:$J,2,1)-VLOOKUP($AO122,'Технический лист'!$I:$J,2,1)),1+(1-$AU122))</f>
        <v>1</v>
      </c>
      <c r="CN122" s="15">
        <f>MIN(IF($AU122=100%,1,1+VLOOKUP(($AJ122-$AI122-$AH122-$AG122-$AF122-$AE122*(1+CN$3))/$AJ122,'Технический лист'!$I:$J,2,1)-VLOOKUP($AO122,'Технический лист'!$I:$J,2,1)),1+(1-$AU122))</f>
        <v>1</v>
      </c>
      <c r="CO122" s="15">
        <f>MIN(IF($AU122=100%,1,1+VLOOKUP(($AJ122-$AI122-$AH122-$AG122-$AF122-$AE122*(1+CO$3))/$AJ122,'Технический лист'!$I:$J,2,1)-VLOOKUP($AO122,'Технический лист'!$I:$J,2,1)),1+(1-$AU122))</f>
        <v>1</v>
      </c>
      <c r="CP122" s="15">
        <f>MIN(IF($AU122=100%,1,1+VLOOKUP(($AJ122-$AI122-$AH122-$AG122-$AF122-$AE122*(1+CP$3))/$AJ122,'Технический лист'!$I:$J,2,1)-VLOOKUP($AO122,'Технический лист'!$I:$J,2,1)),1+(1-$AU122))</f>
        <v>1</v>
      </c>
      <c r="CQ122" s="15">
        <f>MIN(IF($AU122=100%,1,1+VLOOKUP(($AJ122-$AI122-$AH122-$AG122-$AF122-$AE122*(1+CQ$3))/$AJ122,'Технический лист'!$I:$J,2,1)-VLOOKUP($AO122,'Технический лист'!$I:$J,2,1)),1+(1-$AU122))</f>
        <v>1</v>
      </c>
      <c r="CR122" s="15">
        <f>MIN(IF($AU122=100%,1,1+VLOOKUP(($AJ122-$AI122-$AH122-$AG122-$AF122-$AE122*(1+CR$3))/$AJ122,'Технический лист'!$I:$J,2,1)-VLOOKUP($AO122,'Технический лист'!$I:$J,2,1)),1+(1-$AU122))</f>
        <v>1</v>
      </c>
      <c r="CS122" s="15">
        <f>MIN(IF($AU122=100%,1,1+VLOOKUP(($AJ122-$AI122-$AH122-$AG122-$AF122-$AE122*(1+CS$3))/$AJ122,'Технический лист'!$I:$J,2,1)-VLOOKUP($AO122,'Технический лист'!$I:$J,2,1)),1+(1-$AU122))</f>
        <v>1</v>
      </c>
      <c r="CT122" s="15">
        <f>MIN(IF($AU122=100%,1,1+VLOOKUP(($AJ122-$AI122-$AH122-$AG122-$AF122-$AE122*(1+CT$3))/$AJ122,'Технический лист'!$I:$J,2,1)-VLOOKUP($AO122,'Технический лист'!$I:$J,2,1)),1+(1-$AU122))</f>
        <v>1</v>
      </c>
      <c r="CU122" s="15">
        <f>MIN(IF($AU122=100%,1,1+VLOOKUP(($AJ122-$AI122-$AH122-$AG122-$AF122-$AE122*(1+CU$3))/$AJ122,'Технический лист'!$I:$J,2,1)-VLOOKUP($AO122,'Технический лист'!$I:$J,2,1)),1+(1-$AU122))</f>
        <v>1</v>
      </c>
      <c r="CV122" s="15">
        <f>MIN(IF($AU122=100%,1,1+VLOOKUP(($AJ122-$AI122-$AH122-$AG122-$AF122-$AE122*(1+CV$3))/$AJ122,'Технический лист'!$I:$J,2,1)-VLOOKUP($AO122,'Технический лист'!$I:$J,2,1)),1+(1-$AU122))</f>
        <v>1</v>
      </c>
      <c r="CW122" s="15">
        <f>MIN(IF($AU122=100%,1,1+VLOOKUP(($AJ122-$AI122-$AH122-$AG122-$AF122-$AE122*(1+CW$3))/$AJ122,'Технический лист'!$I:$J,2,1)-VLOOKUP($AO122,'Технический лист'!$I:$J,2,1)),1+(1-$AU122))</f>
        <v>1</v>
      </c>
      <c r="CX122" s="15">
        <f>MIN(IF($AU122=100%,1,1+VLOOKUP(($AJ122-$AI122-$AH122-$AG122-$AF122-$AE122*(1+CX$3))/$AJ122,'Технический лист'!$I:$J,2,1)-VLOOKUP($AO122,'Технический лист'!$I:$J,2,1)),1+(1-$AU122))</f>
        <v>1</v>
      </c>
      <c r="CY122" s="15">
        <f>MIN(IF($AU122=100%,1,1+VLOOKUP(($AJ122-$AI122-$AH122-$AG122-$AF122-$AE122*(1+CY$3))/$AJ122,'Технический лист'!$I:$J,2,1)-VLOOKUP($AO122,'Технический лист'!$I:$J,2,1)),1+(1-$AU122))</f>
        <v>1</v>
      </c>
      <c r="CZ122" s="15">
        <f>MIN(IF($AU122=100%,1,1+VLOOKUP(($AJ122-$AI122-$AH122-$AG122-$AF122-$AE122*(1+CZ$3))/$AJ122,'Технический лист'!$I:$J,2,1)-VLOOKUP($AO122,'Технический лист'!$I:$J,2,1)),1+(1-$AU122))</f>
        <v>1</v>
      </c>
      <c r="DA122" s="15">
        <f>MIN(IF($AU122=100%,1,1+VLOOKUP(($AJ122-$AI122-$AH122-$AG122-$AF122-$AE122*(1+DA$3))/$AJ122,'Технический лист'!$I:$J,2,1)-VLOOKUP($AO122,'Технический лист'!$I:$J,2,1)),1+(1-$AU122))</f>
        <v>1</v>
      </c>
      <c r="DB122" s="15">
        <f>MIN(IF($AU122=100%,1,1+VLOOKUP(($AJ122-$AI122-$AH122-$AG122-$AF122-$AE122*(1+DB$3))/$AJ122,'Технический лист'!$I:$J,2,1)-VLOOKUP($AO122,'Технический лист'!$I:$J,2,1)),1+(1-$AU122))</f>
        <v>1</v>
      </c>
      <c r="DC122" s="15">
        <f>MIN(IF($AU122=100%,1,1+VLOOKUP(($AJ122-$AI122-$AH122-$AG122-$AF122-$AE122*(1+DC$3))/$AJ122,'Технический лист'!$I:$J,2,1)-VLOOKUP($AO122,'Технический лист'!$I:$J,2,1)),1+(1-$AU122))</f>
        <v>1</v>
      </c>
      <c r="DD122" s="15">
        <f>MIN(IF($AU122=100%,1,1+VLOOKUP(($AJ122-$AI122-$AH122-$AG122-$AF122-$AE122*(1+DD$3))/$AJ122,'Технический лист'!$I:$J,2,1)-VLOOKUP($AO122,'Технический лист'!$I:$J,2,1)),1+(1-$AU122))</f>
        <v>1</v>
      </c>
      <c r="DE122" s="15">
        <f>MIN(IF($AU122=100%,1,1+VLOOKUP(($AJ122-$AI122-$AH122-$AG122-$AF122-$AE122*(1+DE$3))/$AJ122,'Технический лист'!$I:$J,2,1)-VLOOKUP($AO122,'Технический лист'!$I:$J,2,1)),1+(1-$AU122))</f>
        <v>1</v>
      </c>
      <c r="DF122" s="15">
        <f>MIN(IF($AU122=100%,1,1+VLOOKUP(($AJ122-$AI122-$AH122-$AG122-$AF122-$AE122*(1+DF$3))/$AJ122,'Технический лист'!$I:$J,2,1)-VLOOKUP($AO122,'Технический лист'!$I:$J,2,1)),1+(1-$AU122))</f>
        <v>1</v>
      </c>
      <c r="DG122" s="15">
        <f>MIN(IF($AU122=100%,1,1+VLOOKUP(($AJ122-$AI122-$AH122-$AG122-$AF122-$AE122*(1+DG$3))/$AJ122,'Технический лист'!$I:$J,2,1)-VLOOKUP($AO122,'Технический лист'!$I:$J,2,1)),1+(1-$AU122))</f>
        <v>1</v>
      </c>
      <c r="DH122" s="15">
        <f>MIN(IF($AU122=100%,1,1+VLOOKUP(($AJ122-$AI122-$AH122-$AG122-$AF122-$AE122*(1+DH$3))/$AJ122,'Технический лист'!$I:$J,2,1)-VLOOKUP($AO122,'Технический лист'!$I:$J,2,1)),1+(1-$AU122))</f>
        <v>1</v>
      </c>
      <c r="DI122" s="15">
        <f>MIN(IF($AU122=100%,1,1+VLOOKUP(($AJ122-$AI122-$AH122-$AG122-$AF122-$AE122*(1+DI$3))/$AJ122,'Технический лист'!$I:$J,2,1)-VLOOKUP($AO122,'Технический лист'!$I:$J,2,1)),1+(1-$AU122))</f>
        <v>1</v>
      </c>
      <c r="DJ122" s="15">
        <f>MIN(IF($AU122=100%,1,1+VLOOKUP(($AJ122-$AI122-$AH122-$AG122-$AF122-$AE122*(1+DJ$3))/$AJ122,'Технический лист'!$I:$J,2,1)-VLOOKUP($AO122,'Технический лист'!$I:$J,2,1)),1+(1-$AU122))</f>
        <v>1</v>
      </c>
      <c r="DK122" s="15">
        <f>MIN(IF($AU122=100%,1,1+VLOOKUP(($AJ122-$AI122-$AH122-$AG122-$AF122-$AE122*(1+DK$3))/$AJ122,'Технический лист'!$I:$J,2,1)-VLOOKUP($AO122,'Технический лист'!$I:$J,2,1)),1+(1-$AU122))</f>
        <v>1</v>
      </c>
      <c r="DL122" s="15">
        <f>MIN(IF($AU122=100%,1,1+VLOOKUP(($AJ122-$AI122-$AH122-$AG122-$AF122-$AE122*(1+DL$3))/$AJ122,'Технический лист'!$I:$J,2,1)-VLOOKUP($AO122,'Технический лист'!$I:$J,2,1)),1+(1-$AU122))</f>
        <v>1</v>
      </c>
      <c r="DM122" s="15">
        <f>MIN(IF($AU122=100%,1,1+VLOOKUP(($AJ122-$AI122-$AH122-$AG122-$AF122-$AE122*(1+DM$3))/$AJ122,'Технический лист'!$I:$J,2,1)-VLOOKUP($AO122,'Технический лист'!$I:$J,2,1)),1+(1-$AU122))</f>
        <v>1</v>
      </c>
      <c r="DN122" s="15">
        <f>MIN(IF($AU122=100%,1,1+VLOOKUP(($AJ122-$AI122-$AH122-$AG122-$AF122-$AE122*(1+DN$3))/$AJ122,'Технический лист'!$I:$J,2,1)-VLOOKUP($AO122,'Технический лист'!$I:$J,2,1)),1+(1-$AU122))</f>
        <v>1</v>
      </c>
      <c r="DO122" s="15">
        <f>MIN(IF($AU122=100%,1,1+VLOOKUP(($AJ122-$AI122-$AH122-$AG122-$AF122-$AE122*(1+DO$3))/$AJ122,'Технический лист'!$I:$J,2,1)-VLOOKUP($AO122,'Технический лист'!$I:$J,2,1)),1+(1-$AU122))</f>
        <v>1</v>
      </c>
      <c r="DP122" s="15">
        <f>MIN(IF($AU122=100%,1,1+VLOOKUP(($AJ122-$AI122-$AH122-$AG122-$AF122-$AE122*(1+DP$3))/$AJ122,'Технический лист'!$I:$J,2,1)-VLOOKUP($AO122,'Технический лист'!$I:$J,2,1)),1+(1-$AU122))</f>
        <v>1</v>
      </c>
      <c r="DQ122" s="15">
        <f>MIN(IF($AU122=100%,1,1+VLOOKUP(($AJ122-$AI122-$AH122-$AG122-$AF122-$AE122*(1+DQ$3))/$AJ122,'Технический лист'!$I:$J,2,1)-VLOOKUP($AO122,'Технический лист'!$I:$J,2,1)),1+(1-$AU122))</f>
        <v>1</v>
      </c>
      <c r="DR122" s="15">
        <f>MIN(IF($AU122=100%,1,1+VLOOKUP(($AJ122-$AI122-$AH122-$AG122-$AF122-$AE122*(1+DR$3))/$AJ122,'Технический лист'!$I:$J,2,1)-VLOOKUP($AO122,'Технический лист'!$I:$J,2,1)),1+(1-$AU122))</f>
        <v>1</v>
      </c>
      <c r="DS122" s="15">
        <f>MIN(IF($AU122=100%,1,1+VLOOKUP(($AJ122-$AI122-$AH122-$AG122-$AF122-$AE122*(1+DS$3))/$AJ122,'Технический лист'!$I:$J,2,1)-VLOOKUP($AO122,'Технический лист'!$I:$J,2,1)),1+(1-$AU122))</f>
        <v>1</v>
      </c>
      <c r="DT122" s="15">
        <f>MIN(IF($AU122=100%,1,1+VLOOKUP(($AJ122-$AI122-$AH122-$AG122-$AF122-$AE122*(1+DT$3))/$AJ122,'Технический лист'!$I:$J,2,1)-VLOOKUP($AO122,'Технический лист'!$I:$J,2,1)),1+(1-$AU122))</f>
        <v>1</v>
      </c>
      <c r="DU122" s="15">
        <f>MIN(IF($AU122=100%,1,1+VLOOKUP(($AJ122-$AI122-$AH122-$AG122-$AF122-$AE122*(1+DU$3))/$AJ122,'Технический лист'!$I:$J,2,1)-VLOOKUP($AO122,'Технический лист'!$I:$J,2,1)),1+(1-$AU122))</f>
        <v>1</v>
      </c>
      <c r="DV122" s="15">
        <f>MIN(IF($AU122=100%,1,1+VLOOKUP(($AJ122-$AI122-$AH122-$AG122-$AF122-$AE122*(1+DV$3))/$AJ122,'Технический лист'!$I:$J,2,1)-VLOOKUP($AO122,'Технический лист'!$I:$J,2,1)),1+(1-$AU122))</f>
        <v>1</v>
      </c>
      <c r="DW122" s="15">
        <f>MIN(IF($AU122=100%,1,1+VLOOKUP(($AJ122-$AI122-$AH122-$AG122-$AF122-$AE122*(1+DW$3))/$AJ122,'Технический лист'!$I:$J,2,1)-VLOOKUP($AO122,'Технический лист'!$I:$J,2,1)),1+(1-$AU122))</f>
        <v>1</v>
      </c>
      <c r="DX122" s="15">
        <f>MIN(IF($AU122=100%,1,1+VLOOKUP(($AJ122-$AI122-$AH122-$AG122-$AF122-$AE122*(1+DX$3))/$AJ122,'Технический лист'!$I:$J,2,1)-VLOOKUP($AO122,'Технический лист'!$I:$J,2,1)),1+(1-$AU122))</f>
        <v>1</v>
      </c>
      <c r="DY122" s="15">
        <f>MIN(IF($AU122=100%,1,1+VLOOKUP(($AJ122-$AI122-$AH122-$AG122-$AF122-$AE122*(1+DY$3))/$AJ122,'Технический лист'!$I:$J,2,1)-VLOOKUP($AO122,'Технический лист'!$I:$J,2,1)),1+(1-$AU122))</f>
        <v>1</v>
      </c>
      <c r="DZ122" s="15">
        <f>MIN(IF($AU122=100%,1,1+VLOOKUP(($AJ122-$AI122-$AH122-$AG122-$AF122-$AE122*(1+DZ$3))/$AJ122,'Технический лист'!$I:$J,2,1)-VLOOKUP($AO122,'Технический лист'!$I:$J,2,1)),1+(1-$AU122))</f>
        <v>1</v>
      </c>
      <c r="EA122" s="15">
        <f>MIN(IF($AU122=100%,1,1+VLOOKUP(($AJ122-$AI122-$AH122-$AG122-$AF122-$AE122*(1+EA$3))/$AJ122,'Технический лист'!$I:$J,2,1)-VLOOKUP($AO122,'Технический лист'!$I:$J,2,1)),1+(1-$AU122))</f>
        <v>1</v>
      </c>
      <c r="EB122" s="15">
        <f>MIN(IF($AU122=100%,1,1+VLOOKUP(($AJ122-$AI122-$AH122-$AG122-$AF122-$AE122*(1+EB$3))/$AJ122,'Технический лист'!$I:$J,2,1)-VLOOKUP($AO122,'Технический лист'!$I:$J,2,1)),1+(1-$AU122))</f>
        <v>1</v>
      </c>
      <c r="EC122" s="15">
        <f>MIN(IF($AU122=100%,1,1+VLOOKUP(($AJ122-$AI122-$AH122-$AG122-$AF122-$AE122*(1+EC$3))/$AJ122,'Технический лист'!$I:$J,2,1)-VLOOKUP($AO122,'Технический лист'!$I:$J,2,1)),1+(1-$AU122))</f>
        <v>1</v>
      </c>
      <c r="ED122" s="15">
        <f>MIN(IF($AU122=100%,1,1+VLOOKUP(($AJ122-$AI122-$AH122-$AG122-$AF122-$AE122*(1+ED$3))/$AJ122,'Технический лист'!$I:$J,2,1)-VLOOKUP($AO122,'Технический лист'!$I:$J,2,1)),1+(1-$AU122))</f>
        <v>1</v>
      </c>
      <c r="EE122" s="15">
        <f>MIN(IF($AU122=100%,1,1+VLOOKUP(($AJ122-$AI122-$AH122-$AG122-$AF122-$AE122*(1+EE$3))/$AJ122,'Технический лист'!$I:$J,2,1)-VLOOKUP($AO122,'Технический лист'!$I:$J,2,1)),1+(1-$AU122))</f>
        <v>1</v>
      </c>
      <c r="EF122" s="15">
        <f>MIN(IF($AU122=100%,1,1+VLOOKUP(($AJ122-$AI122-$AH122-$AG122-$AF122-$AE122*(1+EF$3))/$AJ122,'Технический лист'!$I:$J,2,1)-VLOOKUP($AO122,'Технический лист'!$I:$J,2,1)),1+(1-$AU122))</f>
        <v>1</v>
      </c>
      <c r="EG122" s="15">
        <f>MIN(IF($AU122=100%,1,1+VLOOKUP(($AJ122-$AI122-$AH122-$AG122-$AF122-$AE122*(1+EG$3))/$AJ122,'Технический лист'!$I:$J,2,1)-VLOOKUP($AO122,'Технический лист'!$I:$J,2,1)),1+(1-$AU122))</f>
        <v>1</v>
      </c>
      <c r="EH122" s="15">
        <f>MIN(IF($AU122=100%,1,1+VLOOKUP(($AJ122-$AI122-$AH122-$AG122-$AF122-$AE122*(1+EH$3))/$AJ122,'Технический лист'!$I:$J,2,1)-VLOOKUP($AO122,'Технический лист'!$I:$J,2,1)),1+(1-$AU122))</f>
        <v>1</v>
      </c>
      <c r="EI122" s="15">
        <f>MIN(IF($AU122=100%,1,1+VLOOKUP(($AJ122-$AI122-$AH122-$AG122-$AF122-$AE122*(1+EI$3))/$AJ122,'Технический лист'!$I:$J,2,1)-VLOOKUP($AO122,'Технический лист'!$I:$J,2,1)),1+(1-$AU122))</f>
        <v>1</v>
      </c>
      <c r="EJ122" s="15">
        <f>MIN(IF($AU122=100%,1,1+VLOOKUP(($AJ122-$AI122-$AH122-$AG122-$AF122-$AE122*(1+EJ$3))/$AJ122,'Технический лист'!$I:$J,2,1)-VLOOKUP($AO122,'Технический лист'!$I:$J,2,1)),1+(1-$AU122))</f>
        <v>1</v>
      </c>
      <c r="EK122" s="15">
        <f>MIN(IF($AU122=100%,1,1+VLOOKUP(($AJ122-$AI122-$AH122-$AG122-$AF122-$AE122*(1+EK$3))/$AJ122,'Технический лист'!$I:$J,2,1)-VLOOKUP($AO122,'Технический лист'!$I:$J,2,1)),1+(1-$AU122))</f>
        <v>1</v>
      </c>
      <c r="EL122" s="15">
        <f>MIN(IF($AU122=100%,1,1+VLOOKUP(($AJ122-$AI122-$AH122-$AG122-$AF122-$AE122*(1+EL$3))/$AJ122,'Технический лист'!$I:$J,2,1)-VLOOKUP($AO122,'Технический лист'!$I:$J,2,1)),1+(1-$AU122))</f>
        <v>1</v>
      </c>
      <c r="EM122" s="15">
        <f>MIN(IF($AU122=100%,1,1+VLOOKUP(($AJ122-$AI122-$AH122-$AG122-$AF122-$AE122*(1+EM$3))/$AJ122,'Технический лист'!$I:$J,2,1)-VLOOKUP($AO122,'Технический лист'!$I:$J,2,1)),1+(1-$AU122))</f>
        <v>1</v>
      </c>
      <c r="EN122" s="15">
        <f>MIN(IF($AU122=100%,1,1+VLOOKUP(($AJ122-$AI122-$AH122-$AG122-$AF122-$AE122*(1+EN$3))/$AJ122,'Технический лист'!$I:$J,2,1)-VLOOKUP($AO122,'Технический лист'!$I:$J,2,1)),1+(1-$AU122))</f>
        <v>1</v>
      </c>
      <c r="EO122" s="15">
        <f>MIN(IF($AU122=100%,1,1+VLOOKUP(($AJ122-$AI122-$AH122-$AG122-$AF122-$AE122*(1+EO$3))/$AJ122,'Технический лист'!$I:$J,2,1)-VLOOKUP($AO122,'Технический лист'!$I:$J,2,1)),1+(1-$AU122))</f>
        <v>1</v>
      </c>
      <c r="EP122" s="15">
        <f>MIN(IF($AU122=100%,1,1+VLOOKUP(($AJ122-$AI122-$AH122-$AG122-$AF122-$AE122*(1+EP$3))/$AJ122,'Технический лист'!$I:$J,2,1)-VLOOKUP($AO122,'Технический лист'!$I:$J,2,1)),1+(1-$AU122))</f>
        <v>1</v>
      </c>
      <c r="EQ122" s="15">
        <f>MIN(IF($AU122=100%,1,1+VLOOKUP(($AJ122-$AI122-$AH122-$AG122-$AF122-$AE122*(1+EQ$3))/$AJ122,'Технический лист'!$I:$J,2,1)-VLOOKUP($AO122,'Технический лист'!$I:$J,2,1)),1+(1-$AU122))</f>
        <v>1</v>
      </c>
      <c r="ER122" s="15">
        <f>MIN(IF($AU122=100%,1,1+VLOOKUP(($AJ122-$AI122-$AH122-$AG122-$AF122-$AE122*(1+ER$3))/$AJ122,'Технический лист'!$I:$J,2,1)-VLOOKUP($AO122,'Технический лист'!$I:$J,2,1)),1+(1-$AU122))</f>
        <v>1</v>
      </c>
      <c r="ES122" s="15">
        <f>MIN(IF($AU122=100%,1,1+VLOOKUP(($AJ122-$AI122-$AH122-$AG122-$AF122-$AE122*(1+ES$3))/$AJ122,'Технический лист'!$I:$J,2,1)-VLOOKUP($AO122,'Технический лист'!$I:$J,2,1)),1+(1-$AU122))</f>
        <v>1</v>
      </c>
      <c r="ET122" s="15">
        <f>MIN(IF($AU122=100%,1,1+VLOOKUP(($AJ122-$AI122-$AH122-$AG122-$AF122-$AE122*(1+ET$3))/$AJ122,'Технический лист'!$I:$J,2,1)-VLOOKUP($AO122,'Технический лист'!$I:$J,2,1)),1+(1-$AU122))</f>
        <v>1</v>
      </c>
      <c r="EU122" s="15">
        <f>MIN(IF($AU122=100%,1,1+VLOOKUP(($AJ122-$AI122-$AH122-$AG122-$AF122-$AE122*(1+EU$3))/$AJ122,'Технический лист'!$I:$J,2,1)-VLOOKUP($AO122,'Технический лист'!$I:$J,2,1)),1+(1-$AU122))</f>
        <v>1</v>
      </c>
      <c r="EV122" s="111">
        <v>1</v>
      </c>
      <c r="EW122" s="15">
        <f>MIN(1,MAX(VLOOKUP(($AJ122-$AI122-$AH122-$AG122-$AF122-$AE122*(1+EW$3))/$AJ122,'Технический лист'!$A:$B,2,1),(EV122-0.05)))</f>
        <v>1</v>
      </c>
      <c r="EX122" s="15">
        <f>MIN(1,MAX(VLOOKUP(($AJ122-$AI122-$AH122-$AG122-$AF122-$AE122*(1+EX$3))/$AJ122,'Технический лист'!$A:$B,2,1),(EW122-0.05)))</f>
        <v>1</v>
      </c>
      <c r="EY122" s="15">
        <f>MIN(1,MAX(VLOOKUP(($AJ122-$AI122-$AH122-$AG122-$AF122-$AE122*(1+EY$3))/$AJ122,'Технический лист'!$A:$B,2,1),(EX122-0.05)))</f>
        <v>1</v>
      </c>
      <c r="EZ122" s="15">
        <f>MIN(1,MAX(VLOOKUP(($AJ122-$AI122-$AH122-$AG122-$AF122-$AE122*(1+EZ$3))/$AJ122,'Технический лист'!$A:$B,2,1),(EY122-0.05)))</f>
        <v>1</v>
      </c>
      <c r="FA122" s="15">
        <f>MIN(1,MAX(VLOOKUP(($AJ122-$AI122-$AH122-$AG122-$AF122-$AE122*(1+FA$3))/$AJ122,'Технический лист'!$A:$B,2,1),(EZ122-0.05)))</f>
        <v>1</v>
      </c>
      <c r="FB122" s="15">
        <f>MIN(1,MAX(VLOOKUP(($AJ122-$AI122-$AH122-$AG122-$AF122-$AE122*(1+FB$3))/$AJ122,'Технический лист'!$A:$B,2,1),(FA122-0.05)))</f>
        <v>1</v>
      </c>
      <c r="FC122" s="15">
        <f>MIN(1,MAX(VLOOKUP(($AJ122-$AI122-$AH122-$AG122-$AF122-$AE122*(1+FC$3))/$AJ122,'Технический лист'!$A:$B,2,1),(FB122-0.05)))</f>
        <v>1</v>
      </c>
      <c r="FD122" s="15">
        <f>MIN(1,MAX(VLOOKUP(($AJ122-$AI122-$AH122-$AG122-$AF122-$AE122*(1+FD$3))/$AJ122,'Технический лист'!$A:$B,2,1),(FC122-0.05)))</f>
        <v>1</v>
      </c>
      <c r="FE122" s="15">
        <f>MIN(1,MAX(VLOOKUP(($AJ122-$AI122-$AH122-$AG122-$AF122-$AE122*(1+FE$3))/$AJ122,'Технический лист'!$A:$B,2,1),(FD122-0.05)))</f>
        <v>1</v>
      </c>
      <c r="FF122" s="15">
        <f>MIN(1,MAX(VLOOKUP(($AJ122-$AI122-$AH122-$AG122-$AF122-$AE122*(1+FF$3))/$AJ122,'Технический лист'!$A:$B,2,1),(FE122-0.05)))</f>
        <v>1</v>
      </c>
      <c r="FG122" s="15">
        <f>MIN(1,MAX(VLOOKUP(($AJ122-$AI122-$AH122-$AG122-$AF122-$AE122*(1+FG$3))/$AJ122,'Технический лист'!$A:$B,2,1),(FF122-0.05)))</f>
        <v>1</v>
      </c>
      <c r="FH122" s="15">
        <f>MIN(1,MAX(VLOOKUP(($AJ122-$AI122-$AH122-$AG122-$AF122-$AE122*(1+FH$3))/$AJ122,'Технический лист'!$A:$B,2,1),(FG122-0.05)))</f>
        <v>1</v>
      </c>
      <c r="FI122" s="15">
        <f>MIN(1,MAX(VLOOKUP(($AJ122-$AI122-$AH122-$AG122-$AF122-$AE122*(1+FI$3))/$AJ122,'Технический лист'!$A:$B,2,1),(FH122-0.05)))</f>
        <v>1</v>
      </c>
      <c r="FJ122" s="15">
        <f>MIN(1,MAX(VLOOKUP(($AJ122-$AI122-$AH122-$AG122-$AF122-$AE122*(1+FJ$3))/$AJ122,'Технический лист'!$A:$B,2,1),(FI122-0.05)))</f>
        <v>1</v>
      </c>
      <c r="FK122" s="15">
        <f>MIN(1,MAX(VLOOKUP(($AJ122-$AI122-$AH122-$AG122-$AF122-$AE122*(1+FK$3))/$AJ122,'Технический лист'!$A:$B,2,1),(FJ122-0.05)))</f>
        <v>1</v>
      </c>
      <c r="FL122" s="15">
        <f>MIN(1,MAX(VLOOKUP(($AJ122-$AI122-$AH122-$AG122-$AF122-$AE122*(1+FL$3))/$AJ122,'Технический лист'!$A:$B,2,1),(FK122-0.05)))</f>
        <v>1</v>
      </c>
      <c r="FM122" s="15">
        <f>MIN(1,MAX(VLOOKUP(($AJ122-$AI122-$AH122-$AG122-$AF122-$AE122*(1+FM$3))/$AJ122,'Технический лист'!$A:$B,2,1),(FL122-0.05)))</f>
        <v>1</v>
      </c>
      <c r="FN122" s="15">
        <f>MIN(1,MAX(VLOOKUP(($AJ122-$AI122-$AH122-$AG122-$AF122-$AE122*(1+FN$3))/$AJ122,'Технический лист'!$A:$B,2,1),(FM122-0.05)))</f>
        <v>1</v>
      </c>
      <c r="FO122" s="15">
        <f>MIN(1,MAX(VLOOKUP(($AJ122-$AI122-$AH122-$AG122-$AF122-$AE122*(1+FO$3))/$AJ122,'Технический лист'!$A:$B,2,1),(FN122-0.05)))</f>
        <v>1</v>
      </c>
      <c r="FP122" s="15">
        <f>MIN(1,MAX(VLOOKUP(($AJ122-$AI122-$AH122-$AG122-$AF122-$AE122*(1+FP$3))/$AJ122,'Технический лист'!$A:$B,2,1),(FO122-0.05)))</f>
        <v>1</v>
      </c>
      <c r="FQ122" s="15">
        <f>MIN(1,MAX(VLOOKUP(($AJ122-$AI122-$AH122-$AG122-$AF122-$AE122*(1+FQ$3))/$AJ122,'Технический лист'!$A:$B,2,1),(FP122-0.05)))</f>
        <v>1</v>
      </c>
      <c r="FR122" s="15">
        <f>MIN(1,MAX(VLOOKUP(($AJ122-$AI122-$AH122-$AG122-$AF122-$AE122*(1+FR$3))/$AJ122,'Технический лист'!$A:$B,2,1),(FQ122-0.05)))</f>
        <v>1</v>
      </c>
      <c r="FS122" s="15">
        <f>MIN(1,MAX(VLOOKUP(($AJ122-$AI122-$AH122-$AG122-$AF122-$AE122*(1+FS$3))/$AJ122,'Технический лист'!$A:$B,2,1),(FR122-0.05)))</f>
        <v>1</v>
      </c>
      <c r="FT122" s="15">
        <f>MIN(1,MAX(VLOOKUP(($AJ122-$AI122-$AH122-$AG122-$AF122-$AE122*(1+FT$3))/$AJ122,'Технический лист'!$A:$B,2,1),(FS122-0.05)))</f>
        <v>1</v>
      </c>
      <c r="FU122" s="15">
        <f>MIN(1,MAX(VLOOKUP(($AJ122-$AI122-$AH122-$AG122-$AF122-$AE122*(1+FU$3))/$AJ122,'Технический лист'!$A:$B,2,1),(FT122-0.05)))</f>
        <v>1</v>
      </c>
      <c r="FV122" s="15">
        <f>MIN(1,MAX(VLOOKUP(($AJ122-$AI122-$AH122-$AG122-$AF122-$AE122*(1+FV$3))/$AJ122,'Технический лист'!$A:$B,2,1),(FU122-0.05)))</f>
        <v>1</v>
      </c>
      <c r="FW122" s="15">
        <f>MIN(1,MAX(VLOOKUP(($AJ122-$AI122-$AH122-$AG122-$AF122-$AE122*(1+FW$3))/$AJ122,'Технический лист'!$A:$B,2,1),(FV122-0.05)))</f>
        <v>1</v>
      </c>
      <c r="FX122" s="15">
        <f>MIN(1,MAX(VLOOKUP(($AJ122-$AI122-$AH122-$AG122-$AF122-$AE122*(1+FX$3))/$AJ122,'Технический лист'!$A:$B,2,1),(FW122-0.05)))</f>
        <v>1</v>
      </c>
      <c r="FY122" s="15">
        <f>MIN(1,MAX(VLOOKUP(($AJ122-$AI122-$AH122-$AG122-$AF122-$AE122*(1+FY$3))/$AJ122,'Технический лист'!$A:$B,2,1),(FX122-0.05)))</f>
        <v>1</v>
      </c>
      <c r="FZ122" s="15">
        <f>MIN(1,MAX(VLOOKUP(($AJ122-$AI122-$AH122-$AG122-$AF122-$AE122*(1+FZ$3))/$AJ122,'Технический лист'!$A:$B,2,1),(FY122-0.05)))</f>
        <v>1</v>
      </c>
      <c r="GA122" s="15">
        <f>MIN(1,MAX(VLOOKUP(($AJ122-$AI122-$AH122-$AG122-$AF122-$AE122*(1+GA$3))/$AJ122,'Технический лист'!$A:$B,2,1),(FZ122-0.05)))</f>
        <v>1</v>
      </c>
      <c r="GB122" s="15">
        <f>MIN(1,MAX(VLOOKUP(($AJ122-$AI122-$AH122-$AG122-$AF122-$AE122*(1+GB$3))/$AJ122,'Технический лист'!$A:$B,2,1),(GA122-0.05)))</f>
        <v>1</v>
      </c>
      <c r="GC122" s="15">
        <f>MIN(1,MAX(VLOOKUP(($AJ122-$AI122-$AH122-$AG122-$AF122-$AE122*(1+GC$3))/$AJ122,'Технический лист'!$A:$B,2,1),(GB122-0.05)))</f>
        <v>1</v>
      </c>
      <c r="GD122" s="15">
        <f>MIN(1,MAX(VLOOKUP(($AJ122-$AI122-$AH122-$AG122-$AF122-$AE122*(1+GD$3))/$AJ122,'Технический лист'!$A:$B,2,1),(GC122-0.05)))</f>
        <v>1</v>
      </c>
      <c r="GE122" s="15">
        <f>MIN(1,MAX(VLOOKUP(($AJ122-$AI122-$AH122-$AG122-$AF122-$AE122*(1+GE$3))/$AJ122,'Технический лист'!$A:$B,2,1),(GD122-0.05)))</f>
        <v>1</v>
      </c>
      <c r="GF122" s="15">
        <f>MIN(1,MAX(VLOOKUP(($AJ122-$AI122-$AH122-$AG122-$AF122-$AE122*(1+GF$3))/$AJ122,'Технический лист'!$A:$B,2,1),(GE122-0.05)))</f>
        <v>1</v>
      </c>
      <c r="GG122" s="15">
        <f>MIN(1,MAX(VLOOKUP(($AJ122-$AI122-$AH122-$AG122-$AF122-$AE122*(1+GG$3))/$AJ122,'Технический лист'!$A:$B,2,1),(GF122-0.05)))</f>
        <v>1</v>
      </c>
      <c r="GH122" s="15">
        <f>MIN(1,MAX(VLOOKUP(($AJ122-$AI122-$AH122-$AG122-$AF122-$AE122*(1+GH$3))/$AJ122,'Технический лист'!$A:$B,2,1),(GG122-0.05)))</f>
        <v>1</v>
      </c>
      <c r="GI122" s="15">
        <f>MIN(1,MAX(VLOOKUP(($AJ122-$AI122-$AH122-$AG122-$AF122-$AE122*(1+GI$3))/$AJ122,'Технический лист'!$A:$B,2,1),(GH122-0.05)))</f>
        <v>1</v>
      </c>
      <c r="GJ122" s="15">
        <f>MIN(1,MAX(VLOOKUP(($AJ122-$AI122-$AH122-$AG122-$AF122-$AE122*(1+GJ$3))/$AJ122,'Технический лист'!$A:$B,2,1),(GI122-0.05)))</f>
        <v>1</v>
      </c>
      <c r="GK122" s="15">
        <f>MIN(1,MAX(VLOOKUP(($AJ122-$AI122-$AH122-$AG122-$AF122-$AE122*(1+GK$3))/$AJ122,'Технический лист'!$A:$B,2,1),(GJ122-0.05)))</f>
        <v>1</v>
      </c>
      <c r="GL122" s="15">
        <f>MIN(1,MAX(VLOOKUP(($AJ122-$AI122-$AH122-$AG122-$AF122-$AE122*(1+GL$3))/$AJ122,'Технический лист'!$A:$B,2,1),(GK122-0.05)))</f>
        <v>1</v>
      </c>
      <c r="GM122" s="15">
        <f>MIN(1,MAX(VLOOKUP(($AJ122-$AI122-$AH122-$AG122-$AF122-$AE122*(1+GM$3))/$AJ122,'Технический лист'!$A:$B,2,1),(GL122-0.05)))</f>
        <v>1</v>
      </c>
      <c r="GN122" s="15">
        <f>MIN(1,MAX(VLOOKUP(($AJ122-$AI122-$AH122-$AG122-$AF122-$AE122*(1+GN$3))/$AJ122,'Технический лист'!$A:$B,2,1),(GM122-0.05)))</f>
        <v>1</v>
      </c>
      <c r="GO122" s="15">
        <f>MIN(1,MAX(VLOOKUP(($AJ122-$AI122-$AH122-$AG122-$AF122-$AE122*(1+GO$3))/$AJ122,'Технический лист'!$A:$B,2,1),(GN122-0.05)))</f>
        <v>1</v>
      </c>
      <c r="GP122" s="15">
        <f>MIN(1,MAX(VLOOKUP(($AJ122-$AI122-$AH122-$AG122-$AF122-$AE122*(1+GP$3))/$AJ122,'Технический лист'!$A:$B,2,1),(GO122-0.05)))</f>
        <v>1</v>
      </c>
      <c r="GQ122" s="15">
        <f>MIN(1,MAX(VLOOKUP(($AJ122-$AI122-$AH122-$AG122-$AF122-$AE122*(1+GQ$3))/$AJ122,'Технический лист'!$A:$B,2,1),(GP122-0.05)))</f>
        <v>1</v>
      </c>
      <c r="GR122" s="15">
        <f>MIN(1,MAX(VLOOKUP(($AJ122-$AI122-$AH122-$AG122-$AF122-$AE122*(1+GR$3))/$AJ122,'Технический лист'!$A:$B,2,1),(GQ122-0.05)))</f>
        <v>1</v>
      </c>
      <c r="GS122" s="15">
        <f>MIN(1,MAX(VLOOKUP(($AJ122-$AI122-$AH122-$AG122-$AF122-$AE122*(1+GS$3))/$AJ122,'Технический лист'!$A:$B,2,1),(GR122-0.05)))</f>
        <v>1</v>
      </c>
      <c r="GT122" s="15">
        <f>MIN(1,MAX(VLOOKUP(($AJ122-$AI122-$AH122-$AG122-$AF122-$AE122*(1+GT$3))/$AJ122,'Технический лист'!$A:$B,2,1),(GS122-0.05)))</f>
        <v>1</v>
      </c>
      <c r="GU122" s="15">
        <f>MIN(1,MAX(VLOOKUP(($AJ122-$AI122-$AH122-$AG122-$AF122-$AE122*(1+GU$3))/$AJ122,'Технический лист'!$A:$B,2,1),(GT122-0.05)))</f>
        <v>1</v>
      </c>
      <c r="GV122" s="15">
        <f>MIN(1,MAX(VLOOKUP(($AJ122-$AI122-$AH122-$AG122-$AF122-$AE122*(1+GV$3))/$AJ122,'Технический лист'!$A:$B,2,1),(GU122-0.05)))</f>
        <v>1</v>
      </c>
      <c r="GW122" s="15">
        <f>MIN(1,MAX(VLOOKUP(($AJ122-$AI122-$AH122-$AG122-$AF122-$AE122*(1+GW$3))/$AJ122,'Технический лист'!$A:$B,2,1),(GV122-0.05)))</f>
        <v>1</v>
      </c>
      <c r="GX122" s="15">
        <f>MIN(1,MAX(VLOOKUP(($AJ122-$AI122-$AH122-$AG122-$AF122-$AE122*(1+GX$3))/$AJ122,'Технический лист'!$A:$B,2,1),(GW122-0.05)))</f>
        <v>1</v>
      </c>
      <c r="GY122" s="15">
        <f>MIN(1,MAX(VLOOKUP(($AJ122-$AI122-$AH122-$AG122-$AF122-$AE122*(1+GY$3))/$AJ122,'Технический лист'!$A:$B,2,1),(GX122-0.05)))</f>
        <v>1</v>
      </c>
      <c r="GZ122" s="15">
        <f>MIN(1,MAX(VLOOKUP(($AJ122-$AI122-$AH122-$AG122-$AF122-$AE122*(1+GZ$3))/$AJ122,'Технический лист'!$A:$B,2,1),(GY122-0.05)))</f>
        <v>1</v>
      </c>
      <c r="HA122" s="15">
        <f>MIN(1,MAX(VLOOKUP(($AJ122-$AI122-$AH122-$AG122-$AF122-$AE122*(1+HA$3))/$AJ122,'Технический лист'!$A:$B,2,1),(GZ122-0.05)))</f>
        <v>1</v>
      </c>
      <c r="HB122" s="15">
        <f>MIN(1,MAX(VLOOKUP(($AJ122-$AI122-$AH122-$AG122-$AF122-$AE122*(1+HB$3))/$AJ122,'Технический лист'!$A:$B,2,1),(HA122-0.05)))</f>
        <v>1</v>
      </c>
      <c r="HC122" s="15">
        <f>MIN(1,MAX(VLOOKUP(($AJ122-$AI122-$AH122-$AG122-$AF122-$AE122*(1+HC$3))/$AJ122,'Технический лист'!$A:$B,2,1),(HB122-0.05)))</f>
        <v>1</v>
      </c>
      <c r="HD122" s="15">
        <f>MIN(1,MAX(VLOOKUP(($AJ122-$AI122-$AH122-$AG122-$AF122-$AE122*(1+HD$3))/$AJ122,'Технический лист'!$A:$B,2,1),(HC122-0.05)))</f>
        <v>1</v>
      </c>
      <c r="HE122" s="15">
        <f>MIN(1,MAX(VLOOKUP(($AJ122-$AI122-$AH122-$AG122-$AF122-$AE122*(1+HE$3))/$AJ122,'Технический лист'!$A:$B,2,1),(HD122-0.05)))</f>
        <v>1</v>
      </c>
      <c r="HF122" s="15">
        <f>MIN(1,MAX(VLOOKUP(($AJ122-$AI122-$AH122-$AG122-$AF122-$AE122*(1+HF$3))/$AJ122,'Технический лист'!$A:$B,2,1),(HE122-0.05)))</f>
        <v>1</v>
      </c>
      <c r="HG122" s="15">
        <f>MIN(1,MAX(VLOOKUP(($AJ122-$AI122-$AH122-$AG122-$AF122-$AE122*(1+HG$3))/$AJ122,'Технический лист'!$A:$B,2,1),(HF122-0.05)))</f>
        <v>1</v>
      </c>
      <c r="HH122" s="15">
        <f>MIN(1,MAX(VLOOKUP(($AJ122-$AI122-$AH122-$AG122-$AF122-$AE122*(1+HH$3))/$AJ122,'Технический лист'!$A:$B,2,1),(HG122-0.05)))</f>
        <v>1</v>
      </c>
      <c r="HI122" s="15">
        <f>MIN(1,MAX(VLOOKUP(($AJ122-$AI122-$AH122-$AG122-$AF122-$AE122*(1+HI$3))/$AJ122,'Технический лист'!$A:$B,2,1),(HH122-0.05)))</f>
        <v>1</v>
      </c>
      <c r="HJ122" s="15">
        <f>MIN(1,MAX(VLOOKUP(($AJ122-$AI122-$AH122-$AG122-$AF122-$AE122*(1+HJ$3))/$AJ122,'Технический лист'!$A:$B,2,1),(HI122-0.05)))</f>
        <v>1</v>
      </c>
      <c r="HK122" s="15">
        <f>MIN(1,MAX(VLOOKUP(($AJ122-$AI122-$AH122-$AG122-$AF122-$AE122*(1+HK$3))/$AJ122,'Технический лист'!$A:$B,2,1),(HJ122-0.05)))</f>
        <v>1</v>
      </c>
      <c r="HL122" s="15">
        <f>MIN(1,MAX(VLOOKUP(($AJ122-$AI122-$AH122-$AG122-$AF122-$AE122*(1+HL$3))/$AJ122,'Технический лист'!$A:$B,2,1),(HK122-0.05)))</f>
        <v>1</v>
      </c>
      <c r="HM122" s="15">
        <f>MIN(1,MAX(VLOOKUP(($AJ122-$AI122-$AH122-$AG122-$AF122-$AE122*(1+HM$3))/$AJ122,'Технический лист'!$A:$B,2,1),(HL122-0.05)))</f>
        <v>1</v>
      </c>
      <c r="HN122" s="15">
        <f>MIN(1,MAX(VLOOKUP(($AJ122-$AI122-$AH122-$AG122-$AF122-$AE122*(1+HN$3))/$AJ122,'Технический лист'!$A:$B,2,1),(HM122-0.05)))</f>
        <v>1</v>
      </c>
      <c r="HO122" s="15">
        <f>MIN(1,MAX(VLOOKUP(($AJ122-$AI122-$AH122-$AG122-$AF122-$AE122*(1+HO$3))/$AJ122,'Технический лист'!$A:$B,2,1),(HN122-0.05)))</f>
        <v>1</v>
      </c>
      <c r="HP122" s="15">
        <f>MIN(1,MAX(VLOOKUP(($AJ122-$AI122-$AH122-$AG122-$AF122-$AE122*(1+HP$3))/$AJ122,'Технический лист'!$A:$B,2,1),(HO122-0.05)))</f>
        <v>1</v>
      </c>
      <c r="HQ122" s="15">
        <f>MIN(1,MAX(VLOOKUP(($AJ122-$AI122-$AH122-$AG122-$AF122-$AE122*(1+HQ$3))/$AJ122,'Технический лист'!$A:$B,2,1),(HP122-0.05)))</f>
        <v>1</v>
      </c>
      <c r="HR122" s="15">
        <f>MIN(1,MAX(VLOOKUP(($AJ122-$AI122-$AH122-$AG122-$AF122-$AE122*(1+HR$3))/$AJ122,'Технический лист'!$A:$B,2,1),(HQ122-0.05)))</f>
        <v>1</v>
      </c>
      <c r="HS122" s="15">
        <f>MIN(1,MAX(VLOOKUP(($AJ122-$AI122-$AH122-$AG122-$AF122-$AE122*(1+HS$3))/$AJ122,'Технический лист'!$A:$B,2,1),(HR122-0.05)))</f>
        <v>1</v>
      </c>
      <c r="HT122" s="15">
        <f>MIN(1,MAX(VLOOKUP(($AJ122-$AI122-$AH122-$AG122-$AF122-$AE122*(1+HT$3))/$AJ122,'Технический лист'!$A:$B,2,1),(HS122-0.05)))</f>
        <v>1</v>
      </c>
      <c r="HU122" s="15">
        <f>MIN(1,MAX(VLOOKUP(($AJ122-$AI122-$AH122-$AG122-$AF122-$AE122*(1+HU$3))/$AJ122,'Технический лист'!$A:$B,2,1),(HT122-0.05)))</f>
        <v>1</v>
      </c>
      <c r="HV122" s="15">
        <f>MIN(1,MAX(VLOOKUP(($AJ122-$AI122-$AH122-$AG122-$AF122-$AE122*(1+HV$3))/$AJ122,'Технический лист'!$A:$B,2,1),(HU122-0.05)))</f>
        <v>1</v>
      </c>
      <c r="HW122" s="15">
        <f>MIN(1,MAX(VLOOKUP(($AJ122-$AI122-$AH122-$AG122-$AF122-$AE122*(1+HW$3))/$AJ122,'Технический лист'!$A:$B,2,1),(HV122-0.05)))</f>
        <v>1</v>
      </c>
      <c r="HX122" s="15">
        <f>MIN(1,MAX(VLOOKUP(($AJ122-$AI122-$AH122-$AG122-$AF122-$AE122*(1+HX$3))/$AJ122,'Технический лист'!$A:$B,2,1),(HW122-0.05)))</f>
        <v>1</v>
      </c>
      <c r="HY122" s="15">
        <f>MIN(1,MAX(VLOOKUP(($AJ122-$AI122-$AH122-$AG122-$AF122-$AE122*(1+HY$3))/$AJ122,'Технический лист'!$A:$B,2,1),(HX122-0.05)))</f>
        <v>1</v>
      </c>
      <c r="HZ122" s="15">
        <f>MIN(1,MAX(VLOOKUP(($AJ122-$AI122-$AH122-$AG122-$AF122-$AE122*(1+HZ$3))/$AJ122,'Технический лист'!$A:$B,2,1),(HY122-0.05)))</f>
        <v>1</v>
      </c>
      <c r="IA122" s="15">
        <f>MIN(1,MAX(VLOOKUP(($AJ122-$AI122-$AH122-$AG122-$AF122-$AE122*(1+IA$3))/$AJ122,'Технический лист'!$A:$B,2,1),(HZ122-0.05)))</f>
        <v>1</v>
      </c>
      <c r="IB122" s="15">
        <f>MIN(1,MAX(VLOOKUP(($AJ122-$AI122-$AH122-$AG122-$AF122-$AE122*(1+IB$3))/$AJ122,'Технический лист'!$A:$B,2,1),(IA122-0.05)))</f>
        <v>1</v>
      </c>
      <c r="IC122" s="15">
        <f>MIN(1,MAX(VLOOKUP(($AJ122-$AI122-$AH122-$AG122-$AF122-$AE122*(1+IC$3))/$AJ122,'Технический лист'!$A:$B,2,1),(IB122-0.05)))</f>
        <v>1</v>
      </c>
      <c r="ID122" s="15">
        <f>MIN(1,MAX(VLOOKUP(($AJ122-$AI122-$AH122-$AG122-$AF122-$AE122*(1+ID$3))/$AJ122,'Технический лист'!$A:$B,2,1),(IC122-0.05)))</f>
        <v>1</v>
      </c>
      <c r="IE122" s="15">
        <f>MIN(1,MAX(VLOOKUP(($AJ122-$AI122-$AH122-$AG122-$AF122-$AE122*(1+IE$3))/$AJ122,'Технический лист'!$A:$B,2,1),(ID122-0.05)))</f>
        <v>1</v>
      </c>
      <c r="IF122" s="15">
        <f>MIN(1,MAX(VLOOKUP(($AJ122-$AI122-$AH122-$AG122-$AF122-$AE122*(1+IF$3))/$AJ122,'Технический лист'!$A:$B,2,1),(IE122-0.05)))</f>
        <v>1</v>
      </c>
      <c r="IG122" s="15">
        <f>MIN(1,MAX(VLOOKUP(($AJ122-$AI122-$AH122-$AG122-$AF122-$AE122*(1+IG$3))/$AJ122,'Технический лист'!$A:$B,2,1),(IF122-0.05)))</f>
        <v>1</v>
      </c>
      <c r="IH122" s="15">
        <f>MIN(1,MAX(VLOOKUP(($AJ122-$AI122-$AH122-$AG122-$AF122-$AE122*(1+IH$3))/$AJ122,'Технический лист'!$A:$B,2,1),(IG122-0.05)))</f>
        <v>1</v>
      </c>
      <c r="II122" s="15">
        <f>MIN(1,MAX(VLOOKUP(($AJ122-$AI122-$AH122-$AG122-$AF122-$AE122*(1+II$3))/$AJ122,'Технический лист'!$A:$B,2,1),(IH122-0.05)))</f>
        <v>1</v>
      </c>
      <c r="IJ122" s="15">
        <f>MIN(1,MAX(VLOOKUP(($AJ122-$AI122-$AH122-$AG122-$AF122-$AE122*(1+IJ$3))/$AJ122,'Технический лист'!$A:$B,2,1),(II122-0.05)))</f>
        <v>1</v>
      </c>
      <c r="IK122" s="15">
        <f>MIN(1,MAX(VLOOKUP(($AJ122-$AI122-$AH122-$AG122-$AF122-$AE122*(1+IK$3))/$AJ122,'Технический лист'!$A:$B,2,1),(IJ122-0.05)))</f>
        <v>1</v>
      </c>
      <c r="IL122" s="15">
        <f>MIN(1,MAX(VLOOKUP(($AJ122-$AI122-$AH122-$AG122-$AF122-$AE122*(1+IL$3))/$AJ122,'Технический лист'!$A:$B,2,1),(IK122-0.05)))</f>
        <v>1</v>
      </c>
      <c r="IM122" s="15">
        <f>MIN(1,MAX(VLOOKUP(($AJ122-$AI122-$AH122-$AG122-$AF122-$AE122*(1+IM$3))/$AJ122,'Технический лист'!$A:$B,2,1),(IL122-0.05)))</f>
        <v>1</v>
      </c>
      <c r="IN122" s="15">
        <f>MIN(1,MAX(VLOOKUP(($AJ122-$AI122-$AH122-$AG122-$AF122-$AE122*(1+IN$3))/$AJ122,'Технический лист'!$A:$B,2,1),(IM122-0.05)))</f>
        <v>1</v>
      </c>
      <c r="IO122" s="15">
        <f>MIN(1,MAX(VLOOKUP(($AJ122-$AI122-$AH122-$AG122-$AF122-$AE122*(1+IO$3))/$AJ122,'Технический лист'!$A:$B,2,1),(IN122-0.05)))</f>
        <v>1</v>
      </c>
      <c r="IP122" s="15">
        <f>MIN(1,MAX(VLOOKUP(($AJ122-$AI122-$AH122-$AG122-$AF122-$AE122*(1+IP$3))/$AJ122,'Технический лист'!$A:$B,2,1),(IO122-0.05)))</f>
        <v>1</v>
      </c>
      <c r="IQ122" s="15">
        <f>MIN(1,MAX(VLOOKUP(($AJ122-$AI122-$AH122-$AG122-$AF122-$AE122*(1+IQ$3))/$AJ122,'Технический лист'!$A:$B,2,1),(IP122-0.05)))</f>
        <v>1</v>
      </c>
      <c r="IR122" s="15">
        <f>MIN(1,MAX(VLOOKUP(($AJ122-$AI122-$AH122-$AG122-$AF122-$AE122*(1+IR$3))/$AJ122,'Технический лист'!$A:$B,2,1),(IQ122-0.05)))</f>
        <v>1</v>
      </c>
    </row>
    <row r="123" spans="1:252" ht="58.3">
      <c r="A123" s="89" t="s">
        <v>515</v>
      </c>
      <c r="B123" s="90">
        <v>5</v>
      </c>
      <c r="C123" s="5" t="s">
        <v>68</v>
      </c>
      <c r="D123" s="91">
        <v>32307</v>
      </c>
      <c r="E123" s="91" t="s">
        <v>354</v>
      </c>
      <c r="F123" s="92" t="s">
        <v>76</v>
      </c>
      <c r="G123" s="91" t="s">
        <v>20</v>
      </c>
      <c r="H123" s="91" t="s">
        <v>16</v>
      </c>
      <c r="I123" s="91" t="s">
        <v>136</v>
      </c>
      <c r="J123" s="91" t="s">
        <v>181</v>
      </c>
      <c r="K123" s="91">
        <v>8711</v>
      </c>
      <c r="L123" s="85" t="s">
        <v>64</v>
      </c>
      <c r="M123" s="91" t="s">
        <v>190</v>
      </c>
      <c r="N123" s="91" t="s">
        <v>191</v>
      </c>
      <c r="O123" s="91" t="s">
        <v>194</v>
      </c>
      <c r="P123" s="89" t="s">
        <v>210</v>
      </c>
      <c r="Q123" s="91" t="s">
        <v>309</v>
      </c>
      <c r="R123" s="91" t="s">
        <v>258</v>
      </c>
      <c r="S123" s="82">
        <v>31492</v>
      </c>
      <c r="T123" s="82">
        <v>274340099</v>
      </c>
      <c r="U123" s="81">
        <v>759</v>
      </c>
      <c r="V123" s="81">
        <v>0</v>
      </c>
      <c r="W123" s="82">
        <v>440222272</v>
      </c>
      <c r="X123" s="112">
        <v>54</v>
      </c>
      <c r="Y123" s="112" t="s">
        <v>416</v>
      </c>
      <c r="Z123" s="113">
        <v>24</v>
      </c>
      <c r="AA123" s="113">
        <v>18</v>
      </c>
      <c r="AB123" s="113">
        <v>4</v>
      </c>
      <c r="AC123" s="99">
        <v>12539.98</v>
      </c>
      <c r="AD123" s="99">
        <f t="shared" si="48"/>
        <v>1579.7200000000012</v>
      </c>
      <c r="AE123" s="99">
        <v>14119.7</v>
      </c>
      <c r="AF123" s="98">
        <f>(Z123+AA123+AB123)*'Ставки аренды'!$B$3/X123</f>
        <v>596.2962962962963</v>
      </c>
      <c r="AG123" s="94">
        <v>0</v>
      </c>
      <c r="AH123" s="94">
        <v>0</v>
      </c>
      <c r="AI123" s="116">
        <f t="shared" ref="AI123" si="49">507353/712157*AJ123</f>
        <v>51294.048924605107</v>
      </c>
      <c r="AJ123" s="117">
        <f>Цены!D28</f>
        <v>72000</v>
      </c>
      <c r="AK123" s="94">
        <f>AJ123/Цены!$B$1</f>
        <v>943.57549586858102</v>
      </c>
      <c r="AL123" s="95">
        <f t="shared" si="24"/>
        <v>14715.996296296296</v>
      </c>
      <c r="AM123" s="95">
        <f t="shared" si="25"/>
        <v>57284.003703703704</v>
      </c>
      <c r="AN123" s="94">
        <f t="shared" si="39"/>
        <v>66010.045220901404</v>
      </c>
      <c r="AO123" s="118">
        <f t="shared" si="40"/>
        <v>8.3193816376369398E-2</v>
      </c>
      <c r="AP123" s="96">
        <f t="shared" si="26"/>
        <v>0.20438883744855968</v>
      </c>
      <c r="AQ123" s="96">
        <f t="shared" si="27"/>
        <v>0.19610694444444446</v>
      </c>
      <c r="AR123" s="96">
        <f t="shared" si="28"/>
        <v>0.95947971959965972</v>
      </c>
      <c r="AS123" s="122">
        <v>1</v>
      </c>
      <c r="AT123" s="121">
        <f t="shared" si="45"/>
        <v>31492</v>
      </c>
      <c r="AU123" s="83">
        <v>0.95</v>
      </c>
      <c r="AV123" s="119">
        <f t="shared" si="41"/>
        <v>5.9660983043036041E-2</v>
      </c>
      <c r="AW123" s="120">
        <f t="shared" si="42"/>
        <v>0.22792167078189302</v>
      </c>
      <c r="AX123" s="120">
        <f t="shared" si="43"/>
        <v>0.21963977777777779</v>
      </c>
      <c r="AY123" s="120">
        <f t="shared" si="44"/>
        <v>0.96366342447515452</v>
      </c>
      <c r="AZ123" s="15">
        <f>MIN(IF($AU123=100%,1,1+VLOOKUP(($AJ123-$AI123-$AH123-$AG123-$AF123-$AE123*(1+AZ$3))/$AJ123,'Технический лист'!$I:$J,2,1)-VLOOKUP($AO123,'Технический лист'!$I:$J,2,1)),1+(1-$AU123))</f>
        <v>1.05</v>
      </c>
      <c r="BA123" s="15">
        <f>MIN(IF($AU123=100%,1,1+VLOOKUP(($AJ123-$AI123-$AH123-$AG123-$AF123-$AE123*(1+BA$3))/$AJ123,'Технический лист'!$I:$J,2,1)-VLOOKUP($AO123,'Технический лист'!$I:$J,2,1)),1+(1-$AU123))</f>
        <v>1.05</v>
      </c>
      <c r="BB123" s="15">
        <f>MIN(IF($AU123=100%,1,1+VLOOKUP(($AJ123-$AI123-$AH123-$AG123-$AF123-$AE123*(1+BB$3))/$AJ123,'Технический лист'!$I:$J,2,1)-VLOOKUP($AO123,'Технический лист'!$I:$J,2,1)),1+(1-$AU123))</f>
        <v>1.05</v>
      </c>
      <c r="BC123" s="15">
        <f>MIN(IF($AU123=100%,1,1+VLOOKUP(($AJ123-$AI123-$AH123-$AG123-$AF123-$AE123*(1+BC$3))/$AJ123,'Технический лист'!$I:$J,2,1)-VLOOKUP($AO123,'Технический лист'!$I:$J,2,1)),1+(1-$AU123))</f>
        <v>1.05</v>
      </c>
      <c r="BD123" s="15">
        <f>MIN(IF($AU123=100%,1,1+VLOOKUP(($AJ123-$AI123-$AH123-$AG123-$AF123-$AE123*(1+BD$3))/$AJ123,'Технический лист'!$I:$J,2,1)-VLOOKUP($AO123,'Технический лист'!$I:$J,2,1)),1+(1-$AU123))</f>
        <v>1.05</v>
      </c>
      <c r="BE123" s="15">
        <f>MIN(IF($AU123=100%,1,1+VLOOKUP(($AJ123-$AI123-$AH123-$AG123-$AF123-$AE123*(1+BE$3))/$AJ123,'Технический лист'!$I:$J,2,1)-VLOOKUP($AO123,'Технический лист'!$I:$J,2,1)),1+(1-$AU123))</f>
        <v>1.05</v>
      </c>
      <c r="BF123" s="15">
        <f>MIN(IF($AU123=100%,1,1+VLOOKUP(($AJ123-$AI123-$AH123-$AG123-$AF123-$AE123*(1+BF$3))/$AJ123,'Технический лист'!$I:$J,2,1)-VLOOKUP($AO123,'Технический лист'!$I:$J,2,1)),1+(1-$AU123))</f>
        <v>1.05</v>
      </c>
      <c r="BG123" s="15">
        <f>MIN(IF($AU123=100%,1,1+VLOOKUP(($AJ123-$AI123-$AH123-$AG123-$AF123-$AE123*(1+BG$3))/$AJ123,'Технический лист'!$I:$J,2,1)-VLOOKUP($AO123,'Технический лист'!$I:$J,2,1)),1+(1-$AU123))</f>
        <v>1.05</v>
      </c>
      <c r="BH123" s="15">
        <f>MIN(IF($AU123=100%,1,1+VLOOKUP(($AJ123-$AI123-$AH123-$AG123-$AF123-$AE123*(1+BH$3))/$AJ123,'Технический лист'!$I:$J,2,1)-VLOOKUP($AO123,'Технический лист'!$I:$J,2,1)),1+(1-$AU123))</f>
        <v>1.05</v>
      </c>
      <c r="BI123" s="15">
        <f>MIN(IF($AU123=100%,1,1+VLOOKUP(($AJ123-$AI123-$AH123-$AG123-$AF123-$AE123*(1+BI$3))/$AJ123,'Технический лист'!$I:$J,2,1)-VLOOKUP($AO123,'Технический лист'!$I:$J,2,1)),1+(1-$AU123))</f>
        <v>1.05</v>
      </c>
      <c r="BJ123" s="15">
        <f>MIN(IF($AU123=100%,1,1+VLOOKUP(($AJ123-$AI123-$AH123-$AG123-$AF123-$AE123*(1+BJ$3))/$AJ123,'Технический лист'!$I:$J,2,1)-VLOOKUP($AO123,'Технический лист'!$I:$J,2,1)),1+(1-$AU123))</f>
        <v>1.05</v>
      </c>
      <c r="BK123" s="15">
        <f>MIN(IF($AU123=100%,1,1+VLOOKUP(($AJ123-$AI123-$AH123-$AG123-$AF123-$AE123*(1+BK$3))/$AJ123,'Технический лист'!$I:$J,2,1)-VLOOKUP($AO123,'Технический лист'!$I:$J,2,1)),1+(1-$AU123))</f>
        <v>1.05</v>
      </c>
      <c r="BL123" s="15">
        <f>MIN(IF($AU123=100%,1,1+VLOOKUP(($AJ123-$AI123-$AH123-$AG123-$AF123-$AE123*(1+BL$3))/$AJ123,'Технический лист'!$I:$J,2,1)-VLOOKUP($AO123,'Технический лист'!$I:$J,2,1)),1+(1-$AU123))</f>
        <v>1.05</v>
      </c>
      <c r="BM123" s="15">
        <f>MIN(IF($AU123=100%,1,1+VLOOKUP(($AJ123-$AI123-$AH123-$AG123-$AF123-$AE123*(1+BM$3))/$AJ123,'Технический лист'!$I:$J,2,1)-VLOOKUP($AO123,'Технический лист'!$I:$J,2,1)),1+(1-$AU123))</f>
        <v>1.05</v>
      </c>
      <c r="BN123" s="15">
        <f>MIN(IF($AU123=100%,1,1+VLOOKUP(($AJ123-$AI123-$AH123-$AG123-$AF123-$AE123*(1+BN$3))/$AJ123,'Технический лист'!$I:$J,2,1)-VLOOKUP($AO123,'Технический лист'!$I:$J,2,1)),1+(1-$AU123))</f>
        <v>1.05</v>
      </c>
      <c r="BO123" s="15">
        <f>MIN(IF($AU123=100%,1,1+VLOOKUP(($AJ123-$AI123-$AH123-$AG123-$AF123-$AE123*(1+BO$3))/$AJ123,'Технический лист'!$I:$J,2,1)-VLOOKUP($AO123,'Технический лист'!$I:$J,2,1)),1+(1-$AU123))</f>
        <v>1.05</v>
      </c>
      <c r="BP123" s="15">
        <f>MIN(IF($AU123=100%,1,1+VLOOKUP(($AJ123-$AI123-$AH123-$AG123-$AF123-$AE123*(1+BP$3))/$AJ123,'Технический лист'!$I:$J,2,1)-VLOOKUP($AO123,'Технический лист'!$I:$J,2,1)),1+(1-$AU123))</f>
        <v>1.05</v>
      </c>
      <c r="BQ123" s="15">
        <f>MIN(IF($AU123=100%,1,1+VLOOKUP(($AJ123-$AI123-$AH123-$AG123-$AF123-$AE123*(1+BQ$3))/$AJ123,'Технический лист'!$I:$J,2,1)-VLOOKUP($AO123,'Технический лист'!$I:$J,2,1)),1+(1-$AU123))</f>
        <v>1.05</v>
      </c>
      <c r="BR123" s="15">
        <f>MIN(IF($AU123=100%,1,1+VLOOKUP(($AJ123-$AI123-$AH123-$AG123-$AF123-$AE123*(1+BR$3))/$AJ123,'Технический лист'!$I:$J,2,1)-VLOOKUP($AO123,'Технический лист'!$I:$J,2,1)),1+(1-$AU123))</f>
        <v>1.05</v>
      </c>
      <c r="BS123" s="15">
        <f>MIN(IF($AU123=100%,1,1+VLOOKUP(($AJ123-$AI123-$AH123-$AG123-$AF123-$AE123*(1+BS$3))/$AJ123,'Технический лист'!$I:$J,2,1)-VLOOKUP($AO123,'Технический лист'!$I:$J,2,1)),1+(1-$AU123))</f>
        <v>1.05</v>
      </c>
      <c r="BT123" s="15">
        <f>MIN(IF($AU123=100%,1,1+VLOOKUP(($AJ123-$AI123-$AH123-$AG123-$AF123-$AE123*(1+BT$3))/$AJ123,'Технический лист'!$I:$J,2,1)-VLOOKUP($AO123,'Технический лист'!$I:$J,2,1)),1+(1-$AU123))</f>
        <v>1.05</v>
      </c>
      <c r="BU123" s="15">
        <f>MIN(IF($AU123=100%,1,1+VLOOKUP(($AJ123-$AI123-$AH123-$AG123-$AF123-$AE123*(1+BU$3))/$AJ123,'Технический лист'!$I:$J,2,1)-VLOOKUP($AO123,'Технический лист'!$I:$J,2,1)),1+(1-$AU123))</f>
        <v>1.05</v>
      </c>
      <c r="BV123" s="15">
        <f>MIN(IF($AU123=100%,1,1+VLOOKUP(($AJ123-$AI123-$AH123-$AG123-$AF123-$AE123*(1+BV$3))/$AJ123,'Технический лист'!$I:$J,2,1)-VLOOKUP($AO123,'Технический лист'!$I:$J,2,1)),1+(1-$AU123))</f>
        <v>1.05</v>
      </c>
      <c r="BW123" s="15">
        <f>MIN(IF($AU123=100%,1,1+VLOOKUP(($AJ123-$AI123-$AH123-$AG123-$AF123-$AE123*(1+BW$3))/$AJ123,'Технический лист'!$I:$J,2,1)-VLOOKUP($AO123,'Технический лист'!$I:$J,2,1)),1+(1-$AU123))</f>
        <v>1.05</v>
      </c>
      <c r="BX123" s="15">
        <f>MIN(IF($AU123=100%,1,1+VLOOKUP(($AJ123-$AI123-$AH123-$AG123-$AF123-$AE123*(1+BX$3))/$AJ123,'Технический лист'!$I:$J,2,1)-VLOOKUP($AO123,'Технический лист'!$I:$J,2,1)),1+(1-$AU123))</f>
        <v>1.05</v>
      </c>
      <c r="BY123" s="15">
        <f>MIN(IF($AU123=100%,1,1+VLOOKUP(($AJ123-$AI123-$AH123-$AG123-$AF123-$AE123*(1+BY$3))/$AJ123,'Технический лист'!$I:$J,2,1)-VLOOKUP($AO123,'Технический лист'!$I:$J,2,1)),1+(1-$AU123))</f>
        <v>1.05</v>
      </c>
      <c r="BZ123" s="15">
        <f>MIN(IF($AU123=100%,1,1+VLOOKUP(($AJ123-$AI123-$AH123-$AG123-$AF123-$AE123*(1+BZ$3))/$AJ123,'Технический лист'!$I:$J,2,1)-VLOOKUP($AO123,'Технический лист'!$I:$J,2,1)),1+(1-$AU123))</f>
        <v>1.05</v>
      </c>
      <c r="CA123" s="15">
        <f>MIN(IF($AU123=100%,1,1+VLOOKUP(($AJ123-$AI123-$AH123-$AG123-$AF123-$AE123*(1+CA$3))/$AJ123,'Технический лист'!$I:$J,2,1)-VLOOKUP($AO123,'Технический лист'!$I:$J,2,1)),1+(1-$AU123))</f>
        <v>1.05</v>
      </c>
      <c r="CB123" s="15">
        <f>MIN(IF($AU123=100%,1,1+VLOOKUP(($AJ123-$AI123-$AH123-$AG123-$AF123-$AE123*(1+CB$3))/$AJ123,'Технический лист'!$I:$J,2,1)-VLOOKUP($AO123,'Технический лист'!$I:$J,2,1)),1+(1-$AU123))</f>
        <v>1.05</v>
      </c>
      <c r="CC123" s="15">
        <f>MIN(IF($AU123=100%,1,1+VLOOKUP(($AJ123-$AI123-$AH123-$AG123-$AF123-$AE123*(1+CC$3))/$AJ123,'Технический лист'!$I:$J,2,1)-VLOOKUP($AO123,'Технический лист'!$I:$J,2,1)),1+(1-$AU123))</f>
        <v>1.05</v>
      </c>
      <c r="CD123" s="15">
        <f>MIN(IF($AU123=100%,1,1+VLOOKUP(($AJ123-$AI123-$AH123-$AG123-$AF123-$AE123*(1+CD$3))/$AJ123,'Технический лист'!$I:$J,2,1)-VLOOKUP($AO123,'Технический лист'!$I:$J,2,1)),1+(1-$AU123))</f>
        <v>1.05</v>
      </c>
      <c r="CE123" s="15">
        <f>MIN(IF($AU123=100%,1,1+VLOOKUP(($AJ123-$AI123-$AH123-$AG123-$AF123-$AE123*(1+CE$3))/$AJ123,'Технический лист'!$I:$J,2,1)-VLOOKUP($AO123,'Технический лист'!$I:$J,2,1)),1+(1-$AU123))</f>
        <v>1.05</v>
      </c>
      <c r="CF123" s="15">
        <f>MIN(IF($AU123=100%,1,1+VLOOKUP(($AJ123-$AI123-$AH123-$AG123-$AF123-$AE123*(1+CF$3))/$AJ123,'Технический лист'!$I:$J,2,1)-VLOOKUP($AO123,'Технический лист'!$I:$J,2,1)),1+(1-$AU123))</f>
        <v>1.05</v>
      </c>
      <c r="CG123" s="15">
        <f>MIN(IF($AU123=100%,1,1+VLOOKUP(($AJ123-$AI123-$AH123-$AG123-$AF123-$AE123*(1+CG$3))/$AJ123,'Технический лист'!$I:$J,2,1)-VLOOKUP($AO123,'Технический лист'!$I:$J,2,1)),1+(1-$AU123))</f>
        <v>1.05</v>
      </c>
      <c r="CH123" s="15">
        <f>MIN(IF($AU123=100%,1,1+VLOOKUP(($AJ123-$AI123-$AH123-$AG123-$AF123-$AE123*(1+CH$3))/$AJ123,'Технический лист'!$I:$J,2,1)-VLOOKUP($AO123,'Технический лист'!$I:$J,2,1)),1+(1-$AU123))</f>
        <v>1.05</v>
      </c>
      <c r="CI123" s="15">
        <f>MIN(IF($AU123=100%,1,1+VLOOKUP(($AJ123-$AI123-$AH123-$AG123-$AF123-$AE123*(1+CI$3))/$AJ123,'Технический лист'!$I:$J,2,1)-VLOOKUP($AO123,'Технический лист'!$I:$J,2,1)),1+(1-$AU123))</f>
        <v>1.05</v>
      </c>
      <c r="CJ123" s="15">
        <f>MIN(IF($AU123=100%,1,1+VLOOKUP(($AJ123-$AI123-$AH123-$AG123-$AF123-$AE123*(1+CJ$3))/$AJ123,'Технический лист'!$I:$J,2,1)-VLOOKUP($AO123,'Технический лист'!$I:$J,2,1)),1+(1-$AU123))</f>
        <v>1.05</v>
      </c>
      <c r="CK123" s="15">
        <f>MIN(IF($AU123=100%,1,1+VLOOKUP(($AJ123-$AI123-$AH123-$AG123-$AF123-$AE123*(1+CK$3))/$AJ123,'Технический лист'!$I:$J,2,1)-VLOOKUP($AO123,'Технический лист'!$I:$J,2,1)),1+(1-$AU123))</f>
        <v>1.05</v>
      </c>
      <c r="CL123" s="15">
        <f>MIN(IF($AU123=100%,1,1+VLOOKUP(($AJ123-$AI123-$AH123-$AG123-$AF123-$AE123*(1+CL$3))/$AJ123,'Технический лист'!$I:$J,2,1)-VLOOKUP($AO123,'Технический лист'!$I:$J,2,1)),1+(1-$AU123))</f>
        <v>1.05</v>
      </c>
      <c r="CM123" s="15">
        <f>MIN(IF($AU123=100%,1,1+VLOOKUP(($AJ123-$AI123-$AH123-$AG123-$AF123-$AE123*(1+CM$3))/$AJ123,'Технический лист'!$I:$J,2,1)-VLOOKUP($AO123,'Технический лист'!$I:$J,2,1)),1+(1-$AU123))</f>
        <v>1.05</v>
      </c>
      <c r="CN123" s="15">
        <f>MIN(IF($AU123=100%,1,1+VLOOKUP(($AJ123-$AI123-$AH123-$AG123-$AF123-$AE123*(1+CN$3))/$AJ123,'Технический лист'!$I:$J,2,1)-VLOOKUP($AO123,'Технический лист'!$I:$J,2,1)),1+(1-$AU123))</f>
        <v>1.05</v>
      </c>
      <c r="CO123" s="15">
        <f>MIN(IF($AU123=100%,1,1+VLOOKUP(($AJ123-$AI123-$AH123-$AG123-$AF123-$AE123*(1+CO$3))/$AJ123,'Технический лист'!$I:$J,2,1)-VLOOKUP($AO123,'Технический лист'!$I:$J,2,1)),1+(1-$AU123))</f>
        <v>1.05</v>
      </c>
      <c r="CP123" s="15">
        <f>MIN(IF($AU123=100%,1,1+VLOOKUP(($AJ123-$AI123-$AH123-$AG123-$AF123-$AE123*(1+CP$3))/$AJ123,'Технический лист'!$I:$J,2,1)-VLOOKUP($AO123,'Технический лист'!$I:$J,2,1)),1+(1-$AU123))</f>
        <v>1.05</v>
      </c>
      <c r="CQ123" s="15">
        <f>MIN(IF($AU123=100%,1,1+VLOOKUP(($AJ123-$AI123-$AH123-$AG123-$AF123-$AE123*(1+CQ$3))/$AJ123,'Технический лист'!$I:$J,2,1)-VLOOKUP($AO123,'Технический лист'!$I:$J,2,1)),1+(1-$AU123))</f>
        <v>1.05</v>
      </c>
      <c r="CR123" s="15">
        <f>MIN(IF($AU123=100%,1,1+VLOOKUP(($AJ123-$AI123-$AH123-$AG123-$AF123-$AE123*(1+CR$3))/$AJ123,'Технический лист'!$I:$J,2,1)-VLOOKUP($AO123,'Технический лист'!$I:$J,2,1)),1+(1-$AU123))</f>
        <v>1.05</v>
      </c>
      <c r="CS123" s="15">
        <f>MIN(IF($AU123=100%,1,1+VLOOKUP(($AJ123-$AI123-$AH123-$AG123-$AF123-$AE123*(1+CS$3))/$AJ123,'Технический лист'!$I:$J,2,1)-VLOOKUP($AO123,'Технический лист'!$I:$J,2,1)),1+(1-$AU123))</f>
        <v>1.05</v>
      </c>
      <c r="CT123" s="15">
        <f>MIN(IF($AU123=100%,1,1+VLOOKUP(($AJ123-$AI123-$AH123-$AG123-$AF123-$AE123*(1+CT$3))/$AJ123,'Технический лист'!$I:$J,2,1)-VLOOKUP($AO123,'Технический лист'!$I:$J,2,1)),1+(1-$AU123))</f>
        <v>1.05</v>
      </c>
      <c r="CU123" s="15">
        <f>MIN(IF($AU123=100%,1,1+VLOOKUP(($AJ123-$AI123-$AH123-$AG123-$AF123-$AE123*(1+CU$3))/$AJ123,'Технический лист'!$I:$J,2,1)-VLOOKUP($AO123,'Технический лист'!$I:$J,2,1)),1+(1-$AU123))</f>
        <v>1.05</v>
      </c>
      <c r="CV123" s="15">
        <f>MIN(IF($AU123=100%,1,1+VLOOKUP(($AJ123-$AI123-$AH123-$AG123-$AF123-$AE123*(1+CV$3))/$AJ123,'Технический лист'!$I:$J,2,1)-VLOOKUP($AO123,'Технический лист'!$I:$J,2,1)),1+(1-$AU123))</f>
        <v>1.05</v>
      </c>
      <c r="CW123" s="15">
        <f>MIN(IF($AU123=100%,1,1+VLOOKUP(($AJ123-$AI123-$AH123-$AG123-$AF123-$AE123*(1+CW$3))/$AJ123,'Технический лист'!$I:$J,2,1)-VLOOKUP($AO123,'Технический лист'!$I:$J,2,1)),1+(1-$AU123))</f>
        <v>1.05</v>
      </c>
      <c r="CX123" s="15">
        <f>MIN(IF($AU123=100%,1,1+VLOOKUP(($AJ123-$AI123-$AH123-$AG123-$AF123-$AE123*(1+CX$3))/$AJ123,'Технический лист'!$I:$J,2,1)-VLOOKUP($AO123,'Технический лист'!$I:$J,2,1)),1+(1-$AU123))</f>
        <v>1.05</v>
      </c>
      <c r="CY123" s="15">
        <f>MIN(IF($AU123=100%,1,1+VLOOKUP(($AJ123-$AI123-$AH123-$AG123-$AF123-$AE123*(1+CY$3))/$AJ123,'Технический лист'!$I:$J,2,1)-VLOOKUP($AO123,'Технический лист'!$I:$J,2,1)),1+(1-$AU123))</f>
        <v>1.05</v>
      </c>
      <c r="CZ123" s="15">
        <f>MIN(IF($AU123=100%,1,1+VLOOKUP(($AJ123-$AI123-$AH123-$AG123-$AF123-$AE123*(1+CZ$3))/$AJ123,'Технический лист'!$I:$J,2,1)-VLOOKUP($AO123,'Технический лист'!$I:$J,2,1)),1+(1-$AU123))</f>
        <v>1.05</v>
      </c>
      <c r="DA123" s="15">
        <f>MIN(IF($AU123=100%,1,1+VLOOKUP(($AJ123-$AI123-$AH123-$AG123-$AF123-$AE123*(1+DA$3))/$AJ123,'Технический лист'!$I:$J,2,1)-VLOOKUP($AO123,'Технический лист'!$I:$J,2,1)),1+(1-$AU123))</f>
        <v>1.05</v>
      </c>
      <c r="DB123" s="15">
        <f>MIN(IF($AU123=100%,1,1+VLOOKUP(($AJ123-$AI123-$AH123-$AG123-$AF123-$AE123*(1+DB$3))/$AJ123,'Технический лист'!$I:$J,2,1)-VLOOKUP($AO123,'Технический лист'!$I:$J,2,1)),1+(1-$AU123))</f>
        <v>1.05</v>
      </c>
      <c r="DC123" s="15">
        <f>MIN(IF($AU123=100%,1,1+VLOOKUP(($AJ123-$AI123-$AH123-$AG123-$AF123-$AE123*(1+DC$3))/$AJ123,'Технический лист'!$I:$J,2,1)-VLOOKUP($AO123,'Технический лист'!$I:$J,2,1)),1+(1-$AU123))</f>
        <v>1.05</v>
      </c>
      <c r="DD123" s="15">
        <f>MIN(IF($AU123=100%,1,1+VLOOKUP(($AJ123-$AI123-$AH123-$AG123-$AF123-$AE123*(1+DD$3))/$AJ123,'Технический лист'!$I:$J,2,1)-VLOOKUP($AO123,'Технический лист'!$I:$J,2,1)),1+(1-$AU123))</f>
        <v>1.05</v>
      </c>
      <c r="DE123" s="15">
        <f>MIN(IF($AU123=100%,1,1+VLOOKUP(($AJ123-$AI123-$AH123-$AG123-$AF123-$AE123*(1+DE$3))/$AJ123,'Технический лист'!$I:$J,2,1)-VLOOKUP($AO123,'Технический лист'!$I:$J,2,1)),1+(1-$AU123))</f>
        <v>1.05</v>
      </c>
      <c r="DF123" s="15">
        <f>MIN(IF($AU123=100%,1,1+VLOOKUP(($AJ123-$AI123-$AH123-$AG123-$AF123-$AE123*(1+DF$3))/$AJ123,'Технический лист'!$I:$J,2,1)-VLOOKUP($AO123,'Технический лист'!$I:$J,2,1)),1+(1-$AU123))</f>
        <v>1.05</v>
      </c>
      <c r="DG123" s="15">
        <f>MIN(IF($AU123=100%,1,1+VLOOKUP(($AJ123-$AI123-$AH123-$AG123-$AF123-$AE123*(1+DG$3))/$AJ123,'Технический лист'!$I:$J,2,1)-VLOOKUP($AO123,'Технический лист'!$I:$J,2,1)),1+(1-$AU123))</f>
        <v>1.05</v>
      </c>
      <c r="DH123" s="15">
        <f>MIN(IF($AU123=100%,1,1+VLOOKUP(($AJ123-$AI123-$AH123-$AG123-$AF123-$AE123*(1+DH$3))/$AJ123,'Технический лист'!$I:$J,2,1)-VLOOKUP($AO123,'Технический лист'!$I:$J,2,1)),1+(1-$AU123))</f>
        <v>1.05</v>
      </c>
      <c r="DI123" s="15">
        <f>MIN(IF($AU123=100%,1,1+VLOOKUP(($AJ123-$AI123-$AH123-$AG123-$AF123-$AE123*(1+DI$3))/$AJ123,'Технический лист'!$I:$J,2,1)-VLOOKUP($AO123,'Технический лист'!$I:$J,2,1)),1+(1-$AU123))</f>
        <v>1.05</v>
      </c>
      <c r="DJ123" s="15">
        <f>MIN(IF($AU123=100%,1,1+VLOOKUP(($AJ123-$AI123-$AH123-$AG123-$AF123-$AE123*(1+DJ$3))/$AJ123,'Технический лист'!$I:$J,2,1)-VLOOKUP($AO123,'Технический лист'!$I:$J,2,1)),1+(1-$AU123))</f>
        <v>1.05</v>
      </c>
      <c r="DK123" s="15">
        <f>MIN(IF($AU123=100%,1,1+VLOOKUP(($AJ123-$AI123-$AH123-$AG123-$AF123-$AE123*(1+DK$3))/$AJ123,'Технический лист'!$I:$J,2,1)-VLOOKUP($AO123,'Технический лист'!$I:$J,2,1)),1+(1-$AU123))</f>
        <v>1.05</v>
      </c>
      <c r="DL123" s="15">
        <f>MIN(IF($AU123=100%,1,1+VLOOKUP(($AJ123-$AI123-$AH123-$AG123-$AF123-$AE123*(1+DL$3))/$AJ123,'Технический лист'!$I:$J,2,1)-VLOOKUP($AO123,'Технический лист'!$I:$J,2,1)),1+(1-$AU123))</f>
        <v>1.05</v>
      </c>
      <c r="DM123" s="15">
        <f>MIN(IF($AU123=100%,1,1+VLOOKUP(($AJ123-$AI123-$AH123-$AG123-$AF123-$AE123*(1+DM$3))/$AJ123,'Технический лист'!$I:$J,2,1)-VLOOKUP($AO123,'Технический лист'!$I:$J,2,1)),1+(1-$AU123))</f>
        <v>1.05</v>
      </c>
      <c r="DN123" s="15">
        <f>MIN(IF($AU123=100%,1,1+VLOOKUP(($AJ123-$AI123-$AH123-$AG123-$AF123-$AE123*(1+DN$3))/$AJ123,'Технический лист'!$I:$J,2,1)-VLOOKUP($AO123,'Технический лист'!$I:$J,2,1)),1+(1-$AU123))</f>
        <v>1.05</v>
      </c>
      <c r="DO123" s="15">
        <f>MIN(IF($AU123=100%,1,1+VLOOKUP(($AJ123-$AI123-$AH123-$AG123-$AF123-$AE123*(1+DO$3))/$AJ123,'Технический лист'!$I:$J,2,1)-VLOOKUP($AO123,'Технический лист'!$I:$J,2,1)),1+(1-$AU123))</f>
        <v>1.05</v>
      </c>
      <c r="DP123" s="15">
        <f>MIN(IF($AU123=100%,1,1+VLOOKUP(($AJ123-$AI123-$AH123-$AG123-$AF123-$AE123*(1+DP$3))/$AJ123,'Технический лист'!$I:$J,2,1)-VLOOKUP($AO123,'Технический лист'!$I:$J,2,1)),1+(1-$AU123))</f>
        <v>1.05</v>
      </c>
      <c r="DQ123" s="15">
        <f>MIN(IF($AU123=100%,1,1+VLOOKUP(($AJ123-$AI123-$AH123-$AG123-$AF123-$AE123*(1+DQ$3))/$AJ123,'Технический лист'!$I:$J,2,1)-VLOOKUP($AO123,'Технический лист'!$I:$J,2,1)),1+(1-$AU123))</f>
        <v>1.05</v>
      </c>
      <c r="DR123" s="15">
        <f>MIN(IF($AU123=100%,1,1+VLOOKUP(($AJ123-$AI123-$AH123-$AG123-$AF123-$AE123*(1+DR$3))/$AJ123,'Технический лист'!$I:$J,2,1)-VLOOKUP($AO123,'Технический лист'!$I:$J,2,1)),1+(1-$AU123))</f>
        <v>1.05</v>
      </c>
      <c r="DS123" s="15">
        <f>MIN(IF($AU123=100%,1,1+VLOOKUP(($AJ123-$AI123-$AH123-$AG123-$AF123-$AE123*(1+DS$3))/$AJ123,'Технический лист'!$I:$J,2,1)-VLOOKUP($AO123,'Технический лист'!$I:$J,2,1)),1+(1-$AU123))</f>
        <v>1.05</v>
      </c>
      <c r="DT123" s="15">
        <f>MIN(IF($AU123=100%,1,1+VLOOKUP(($AJ123-$AI123-$AH123-$AG123-$AF123-$AE123*(1+DT$3))/$AJ123,'Технический лист'!$I:$J,2,1)-VLOOKUP($AO123,'Технический лист'!$I:$J,2,1)),1+(1-$AU123))</f>
        <v>1.05</v>
      </c>
      <c r="DU123" s="15">
        <f>MIN(IF($AU123=100%,1,1+VLOOKUP(($AJ123-$AI123-$AH123-$AG123-$AF123-$AE123*(1+DU$3))/$AJ123,'Технический лист'!$I:$J,2,1)-VLOOKUP($AO123,'Технический лист'!$I:$J,2,1)),1+(1-$AU123))</f>
        <v>1.05</v>
      </c>
      <c r="DV123" s="15">
        <f>MIN(IF($AU123=100%,1,1+VLOOKUP(($AJ123-$AI123-$AH123-$AG123-$AF123-$AE123*(1+DV$3))/$AJ123,'Технический лист'!$I:$J,2,1)-VLOOKUP($AO123,'Технический лист'!$I:$J,2,1)),1+(1-$AU123))</f>
        <v>1.05</v>
      </c>
      <c r="DW123" s="15">
        <f>MIN(IF($AU123=100%,1,1+VLOOKUP(($AJ123-$AI123-$AH123-$AG123-$AF123-$AE123*(1+DW$3))/$AJ123,'Технический лист'!$I:$J,2,1)-VLOOKUP($AO123,'Технический лист'!$I:$J,2,1)),1+(1-$AU123))</f>
        <v>1.05</v>
      </c>
      <c r="DX123" s="15">
        <f>MIN(IF($AU123=100%,1,1+VLOOKUP(($AJ123-$AI123-$AH123-$AG123-$AF123-$AE123*(1+DX$3))/$AJ123,'Технический лист'!$I:$J,2,1)-VLOOKUP($AO123,'Технический лист'!$I:$J,2,1)),1+(1-$AU123))</f>
        <v>1.05</v>
      </c>
      <c r="DY123" s="15">
        <f>MIN(IF($AU123=100%,1,1+VLOOKUP(($AJ123-$AI123-$AH123-$AG123-$AF123-$AE123*(1+DY$3))/$AJ123,'Технический лист'!$I:$J,2,1)-VLOOKUP($AO123,'Технический лист'!$I:$J,2,1)),1+(1-$AU123))</f>
        <v>1.05</v>
      </c>
      <c r="DZ123" s="15">
        <f>MIN(IF($AU123=100%,1,1+VLOOKUP(($AJ123-$AI123-$AH123-$AG123-$AF123-$AE123*(1+DZ$3))/$AJ123,'Технический лист'!$I:$J,2,1)-VLOOKUP($AO123,'Технический лист'!$I:$J,2,1)),1+(1-$AU123))</f>
        <v>1.05</v>
      </c>
      <c r="EA123" s="15">
        <f>MIN(IF($AU123=100%,1,1+VLOOKUP(($AJ123-$AI123-$AH123-$AG123-$AF123-$AE123*(1+EA$3))/$AJ123,'Технический лист'!$I:$J,2,1)-VLOOKUP($AO123,'Технический лист'!$I:$J,2,1)),1+(1-$AU123))</f>
        <v>1.05</v>
      </c>
      <c r="EB123" s="15">
        <f>MIN(IF($AU123=100%,1,1+VLOOKUP(($AJ123-$AI123-$AH123-$AG123-$AF123-$AE123*(1+EB$3))/$AJ123,'Технический лист'!$I:$J,2,1)-VLOOKUP($AO123,'Технический лист'!$I:$J,2,1)),1+(1-$AU123))</f>
        <v>1.05</v>
      </c>
      <c r="EC123" s="15">
        <f>MIN(IF($AU123=100%,1,1+VLOOKUP(($AJ123-$AI123-$AH123-$AG123-$AF123-$AE123*(1+EC$3))/$AJ123,'Технический лист'!$I:$J,2,1)-VLOOKUP($AO123,'Технический лист'!$I:$J,2,1)),1+(1-$AU123))</f>
        <v>1.05</v>
      </c>
      <c r="ED123" s="15">
        <f>MIN(IF($AU123=100%,1,1+VLOOKUP(($AJ123-$AI123-$AH123-$AG123-$AF123-$AE123*(1+ED$3))/$AJ123,'Технический лист'!$I:$J,2,1)-VLOOKUP($AO123,'Технический лист'!$I:$J,2,1)),1+(1-$AU123))</f>
        <v>1.05</v>
      </c>
      <c r="EE123" s="15">
        <f>MIN(IF($AU123=100%,1,1+VLOOKUP(($AJ123-$AI123-$AH123-$AG123-$AF123-$AE123*(1+EE$3))/$AJ123,'Технический лист'!$I:$J,2,1)-VLOOKUP($AO123,'Технический лист'!$I:$J,2,1)),1+(1-$AU123))</f>
        <v>1.05</v>
      </c>
      <c r="EF123" s="15">
        <f>MIN(IF($AU123=100%,1,1+VLOOKUP(($AJ123-$AI123-$AH123-$AG123-$AF123-$AE123*(1+EF$3))/$AJ123,'Технический лист'!$I:$J,2,1)-VLOOKUP($AO123,'Технический лист'!$I:$J,2,1)),1+(1-$AU123))</f>
        <v>1.05</v>
      </c>
      <c r="EG123" s="15">
        <f>MIN(IF($AU123=100%,1,1+VLOOKUP(($AJ123-$AI123-$AH123-$AG123-$AF123-$AE123*(1+EG$3))/$AJ123,'Технический лист'!$I:$J,2,1)-VLOOKUP($AO123,'Технический лист'!$I:$J,2,1)),1+(1-$AU123))</f>
        <v>1.05</v>
      </c>
      <c r="EH123" s="15">
        <f>MIN(IF($AU123=100%,1,1+VLOOKUP(($AJ123-$AI123-$AH123-$AG123-$AF123-$AE123*(1+EH$3))/$AJ123,'Технический лист'!$I:$J,2,1)-VLOOKUP($AO123,'Технический лист'!$I:$J,2,1)),1+(1-$AU123))</f>
        <v>1.05</v>
      </c>
      <c r="EI123" s="15">
        <f>MIN(IF($AU123=100%,1,1+VLOOKUP(($AJ123-$AI123-$AH123-$AG123-$AF123-$AE123*(1+EI$3))/$AJ123,'Технический лист'!$I:$J,2,1)-VLOOKUP($AO123,'Технический лист'!$I:$J,2,1)),1+(1-$AU123))</f>
        <v>1.05</v>
      </c>
      <c r="EJ123" s="15">
        <f>MIN(IF($AU123=100%,1,1+VLOOKUP(($AJ123-$AI123-$AH123-$AG123-$AF123-$AE123*(1+EJ$3))/$AJ123,'Технический лист'!$I:$J,2,1)-VLOOKUP($AO123,'Технический лист'!$I:$J,2,1)),1+(1-$AU123))</f>
        <v>1.05</v>
      </c>
      <c r="EK123" s="15">
        <f>MIN(IF($AU123=100%,1,1+VLOOKUP(($AJ123-$AI123-$AH123-$AG123-$AF123-$AE123*(1+EK$3))/$AJ123,'Технический лист'!$I:$J,2,1)-VLOOKUP($AO123,'Технический лист'!$I:$J,2,1)),1+(1-$AU123))</f>
        <v>1.05</v>
      </c>
      <c r="EL123" s="15">
        <f>MIN(IF($AU123=100%,1,1+VLOOKUP(($AJ123-$AI123-$AH123-$AG123-$AF123-$AE123*(1+EL$3))/$AJ123,'Технический лист'!$I:$J,2,1)-VLOOKUP($AO123,'Технический лист'!$I:$J,2,1)),1+(1-$AU123))</f>
        <v>1.05</v>
      </c>
      <c r="EM123" s="15">
        <f>MIN(IF($AU123=100%,1,1+VLOOKUP(($AJ123-$AI123-$AH123-$AG123-$AF123-$AE123*(1+EM$3))/$AJ123,'Технический лист'!$I:$J,2,1)-VLOOKUP($AO123,'Технический лист'!$I:$J,2,1)),1+(1-$AU123))</f>
        <v>1.05</v>
      </c>
      <c r="EN123" s="15">
        <f>MIN(IF($AU123=100%,1,1+VLOOKUP(($AJ123-$AI123-$AH123-$AG123-$AF123-$AE123*(1+EN$3))/$AJ123,'Технический лист'!$I:$J,2,1)-VLOOKUP($AO123,'Технический лист'!$I:$J,2,1)),1+(1-$AU123))</f>
        <v>1.05</v>
      </c>
      <c r="EO123" s="15">
        <f>MIN(IF($AU123=100%,1,1+VLOOKUP(($AJ123-$AI123-$AH123-$AG123-$AF123-$AE123*(1+EO$3))/$AJ123,'Технический лист'!$I:$J,2,1)-VLOOKUP($AO123,'Технический лист'!$I:$J,2,1)),1+(1-$AU123))</f>
        <v>1.05</v>
      </c>
      <c r="EP123" s="15">
        <f>MIN(IF($AU123=100%,1,1+VLOOKUP(($AJ123-$AI123-$AH123-$AG123-$AF123-$AE123*(1+EP$3))/$AJ123,'Технический лист'!$I:$J,2,1)-VLOOKUP($AO123,'Технический лист'!$I:$J,2,1)),1+(1-$AU123))</f>
        <v>1.0300000000000002</v>
      </c>
      <c r="EQ123" s="15">
        <f>MIN(IF($AU123=100%,1,1+VLOOKUP(($AJ123-$AI123-$AH123-$AG123-$AF123-$AE123*(1+EQ$3))/$AJ123,'Технический лист'!$I:$J,2,1)-VLOOKUP($AO123,'Технический лист'!$I:$J,2,1)),1+(1-$AU123))</f>
        <v>1.0300000000000002</v>
      </c>
      <c r="ER123" s="15">
        <f>MIN(IF($AU123=100%,1,1+VLOOKUP(($AJ123-$AI123-$AH123-$AG123-$AF123-$AE123*(1+ER$3))/$AJ123,'Технический лист'!$I:$J,2,1)-VLOOKUP($AO123,'Технический лист'!$I:$J,2,1)),1+(1-$AU123))</f>
        <v>1.0300000000000002</v>
      </c>
      <c r="ES123" s="15">
        <f>MIN(IF($AU123=100%,1,1+VLOOKUP(($AJ123-$AI123-$AH123-$AG123-$AF123-$AE123*(1+ES$3))/$AJ123,'Технический лист'!$I:$J,2,1)-VLOOKUP($AO123,'Технический лист'!$I:$J,2,1)),1+(1-$AU123))</f>
        <v>1.0300000000000002</v>
      </c>
      <c r="ET123" s="15">
        <f>MIN(IF($AU123=100%,1,1+VLOOKUP(($AJ123-$AI123-$AH123-$AG123-$AF123-$AE123*(1+ET$3))/$AJ123,'Технический лист'!$I:$J,2,1)-VLOOKUP($AO123,'Технический лист'!$I:$J,2,1)),1+(1-$AU123))</f>
        <v>1.0300000000000002</v>
      </c>
      <c r="EU123" s="15">
        <f>MIN(IF($AU123=100%,1,1+VLOOKUP(($AJ123-$AI123-$AH123-$AG123-$AF123-$AE123*(1+EU$3))/$AJ123,'Технический лист'!$I:$J,2,1)-VLOOKUP($AO123,'Технический лист'!$I:$J,2,1)),1+(1-$AU123))</f>
        <v>1</v>
      </c>
      <c r="EV123" s="111">
        <v>1</v>
      </c>
      <c r="EW123" s="15">
        <f>MIN(1,MAX(VLOOKUP(($AJ123-$AI123-$AH123-$AG123-$AF123-$AE123*(1+EW$3))/$AJ123,'Технический лист'!$A:$B,2,1),(EV123-0.05)))</f>
        <v>1</v>
      </c>
      <c r="EX123" s="15">
        <f>MIN(1,MAX(VLOOKUP(($AJ123-$AI123-$AH123-$AG123-$AF123-$AE123*(1+EX$3))/$AJ123,'Технический лист'!$A:$B,2,1),(EW123-0.05)))</f>
        <v>1</v>
      </c>
      <c r="EY123" s="15">
        <f>MIN(1,MAX(VLOOKUP(($AJ123-$AI123-$AH123-$AG123-$AF123-$AE123*(1+EY$3))/$AJ123,'Технический лист'!$A:$B,2,1),(EX123-0.05)))</f>
        <v>1</v>
      </c>
      <c r="EZ123" s="15">
        <f>MIN(1,MAX(VLOOKUP(($AJ123-$AI123-$AH123-$AG123-$AF123-$AE123*(1+EZ$3))/$AJ123,'Технический лист'!$A:$B,2,1),(EY123-0.05)))</f>
        <v>1</v>
      </c>
      <c r="FA123" s="15">
        <f>MIN(1,MAX(VLOOKUP(($AJ123-$AI123-$AH123-$AG123-$AF123-$AE123*(1+FA$3))/$AJ123,'Технический лист'!$A:$B,2,1),(EZ123-0.05)))</f>
        <v>1</v>
      </c>
      <c r="FB123" s="15">
        <f>MIN(1,MAX(VLOOKUP(($AJ123-$AI123-$AH123-$AG123-$AF123-$AE123*(1+FB$3))/$AJ123,'Технический лист'!$A:$B,2,1),(FA123-0.05)))</f>
        <v>1</v>
      </c>
      <c r="FC123" s="15">
        <f>MIN(1,MAX(VLOOKUP(($AJ123-$AI123-$AH123-$AG123-$AF123-$AE123*(1+FC$3))/$AJ123,'Технический лист'!$A:$B,2,1),(FB123-0.05)))</f>
        <v>1</v>
      </c>
      <c r="FD123" s="15">
        <f>MIN(1,MAX(VLOOKUP(($AJ123-$AI123-$AH123-$AG123-$AF123-$AE123*(1+FD$3))/$AJ123,'Технический лист'!$A:$B,2,1),(FC123-0.05)))</f>
        <v>1</v>
      </c>
      <c r="FE123" s="15">
        <f>MIN(1,MAX(VLOOKUP(($AJ123-$AI123-$AH123-$AG123-$AF123-$AE123*(1+FE$3))/$AJ123,'Технический лист'!$A:$B,2,1),(FD123-0.05)))</f>
        <v>1</v>
      </c>
      <c r="FF123" s="15">
        <f>MIN(1,MAX(VLOOKUP(($AJ123-$AI123-$AH123-$AG123-$AF123-$AE123*(1+FF$3))/$AJ123,'Технический лист'!$A:$B,2,1),(FE123-0.05)))</f>
        <v>1</v>
      </c>
      <c r="FG123" s="15">
        <f>MIN(1,MAX(VLOOKUP(($AJ123-$AI123-$AH123-$AG123-$AF123-$AE123*(1+FG$3))/$AJ123,'Технический лист'!$A:$B,2,1),(FF123-0.05)))</f>
        <v>1</v>
      </c>
      <c r="FH123" s="15">
        <f>MIN(1,MAX(VLOOKUP(($AJ123-$AI123-$AH123-$AG123-$AF123-$AE123*(1+FH$3))/$AJ123,'Технический лист'!$A:$B,2,1),(FG123-0.05)))</f>
        <v>1</v>
      </c>
      <c r="FI123" s="15">
        <f>MIN(1,MAX(VLOOKUP(($AJ123-$AI123-$AH123-$AG123-$AF123-$AE123*(1+FI$3))/$AJ123,'Технический лист'!$A:$B,2,1),(FH123-0.05)))</f>
        <v>1</v>
      </c>
      <c r="FJ123" s="15">
        <f>MIN(1,MAX(VLOOKUP(($AJ123-$AI123-$AH123-$AG123-$AF123-$AE123*(1+FJ$3))/$AJ123,'Технический лист'!$A:$B,2,1),(FI123-0.05)))</f>
        <v>1</v>
      </c>
      <c r="FK123" s="15">
        <f>MIN(1,MAX(VLOOKUP(($AJ123-$AI123-$AH123-$AG123-$AF123-$AE123*(1+FK$3))/$AJ123,'Технический лист'!$A:$B,2,1),(FJ123-0.05)))</f>
        <v>1</v>
      </c>
      <c r="FL123" s="15">
        <f>MIN(1,MAX(VLOOKUP(($AJ123-$AI123-$AH123-$AG123-$AF123-$AE123*(1+FL$3))/$AJ123,'Технический лист'!$A:$B,2,1),(FK123-0.05)))</f>
        <v>1</v>
      </c>
      <c r="FM123" s="15">
        <f>MIN(1,MAX(VLOOKUP(($AJ123-$AI123-$AH123-$AG123-$AF123-$AE123*(1+FM$3))/$AJ123,'Технический лист'!$A:$B,2,1),(FL123-0.05)))</f>
        <v>1</v>
      </c>
      <c r="FN123" s="15">
        <f>MIN(1,MAX(VLOOKUP(($AJ123-$AI123-$AH123-$AG123-$AF123-$AE123*(1+FN$3))/$AJ123,'Технический лист'!$A:$B,2,1),(FM123-0.05)))</f>
        <v>1</v>
      </c>
      <c r="FO123" s="15">
        <f>MIN(1,MAX(VLOOKUP(($AJ123-$AI123-$AH123-$AG123-$AF123-$AE123*(1+FO$3))/$AJ123,'Технический лист'!$A:$B,2,1),(FN123-0.05)))</f>
        <v>1</v>
      </c>
      <c r="FP123" s="15">
        <f>MIN(1,MAX(VLOOKUP(($AJ123-$AI123-$AH123-$AG123-$AF123-$AE123*(1+FP$3))/$AJ123,'Технический лист'!$A:$B,2,1),(FO123-0.05)))</f>
        <v>1</v>
      </c>
      <c r="FQ123" s="15">
        <f>MIN(1,MAX(VLOOKUP(($AJ123-$AI123-$AH123-$AG123-$AF123-$AE123*(1+FQ$3))/$AJ123,'Технический лист'!$A:$B,2,1),(FP123-0.05)))</f>
        <v>1</v>
      </c>
      <c r="FR123" s="15">
        <f>MIN(1,MAX(VLOOKUP(($AJ123-$AI123-$AH123-$AG123-$AF123-$AE123*(1+FR$3))/$AJ123,'Технический лист'!$A:$B,2,1),(FQ123-0.05)))</f>
        <v>1</v>
      </c>
      <c r="FS123" s="15">
        <f>MIN(1,MAX(VLOOKUP(($AJ123-$AI123-$AH123-$AG123-$AF123-$AE123*(1+FS$3))/$AJ123,'Технический лист'!$A:$B,2,1),(FR123-0.05)))</f>
        <v>1</v>
      </c>
      <c r="FT123" s="15">
        <f>MIN(1,MAX(VLOOKUP(($AJ123-$AI123-$AH123-$AG123-$AF123-$AE123*(1+FT$3))/$AJ123,'Технический лист'!$A:$B,2,1),(FS123-0.05)))</f>
        <v>1</v>
      </c>
      <c r="FU123" s="15">
        <f>MIN(1,MAX(VLOOKUP(($AJ123-$AI123-$AH123-$AG123-$AF123-$AE123*(1+FU$3))/$AJ123,'Технический лист'!$A:$B,2,1),(FT123-0.05)))</f>
        <v>1</v>
      </c>
      <c r="FV123" s="15">
        <f>MIN(1,MAX(VLOOKUP(($AJ123-$AI123-$AH123-$AG123-$AF123-$AE123*(1+FV$3))/$AJ123,'Технический лист'!$A:$B,2,1),(FU123-0.05)))</f>
        <v>1</v>
      </c>
      <c r="FW123" s="15">
        <f>MIN(1,MAX(VLOOKUP(($AJ123-$AI123-$AH123-$AG123-$AF123-$AE123*(1+FW$3))/$AJ123,'Технический лист'!$A:$B,2,1),(FV123-0.05)))</f>
        <v>1</v>
      </c>
      <c r="FX123" s="15">
        <f>MIN(1,MAX(VLOOKUP(($AJ123-$AI123-$AH123-$AG123-$AF123-$AE123*(1+FX$3))/$AJ123,'Технический лист'!$A:$B,2,1),(FW123-0.05)))</f>
        <v>1</v>
      </c>
      <c r="FY123" s="15">
        <f>MIN(1,MAX(VLOOKUP(($AJ123-$AI123-$AH123-$AG123-$AF123-$AE123*(1+FY$3))/$AJ123,'Технический лист'!$A:$B,2,1),(FX123-0.05)))</f>
        <v>1</v>
      </c>
      <c r="FZ123" s="15">
        <f>MIN(1,MAX(VLOOKUP(($AJ123-$AI123-$AH123-$AG123-$AF123-$AE123*(1+FZ$3))/$AJ123,'Технический лист'!$A:$B,2,1),(FY123-0.05)))</f>
        <v>1</v>
      </c>
      <c r="GA123" s="15">
        <f>MIN(1,MAX(VLOOKUP(($AJ123-$AI123-$AH123-$AG123-$AF123-$AE123*(1+GA$3))/$AJ123,'Технический лист'!$A:$B,2,1),(FZ123-0.05)))</f>
        <v>1</v>
      </c>
      <c r="GB123" s="15">
        <f>MIN(1,MAX(VLOOKUP(($AJ123-$AI123-$AH123-$AG123-$AF123-$AE123*(1+GB$3))/$AJ123,'Технический лист'!$A:$B,2,1),(GA123-0.05)))</f>
        <v>1</v>
      </c>
      <c r="GC123" s="15">
        <f>MIN(1,MAX(VLOOKUP(($AJ123-$AI123-$AH123-$AG123-$AF123-$AE123*(1+GC$3))/$AJ123,'Технический лист'!$A:$B,2,1),(GB123-0.05)))</f>
        <v>1</v>
      </c>
      <c r="GD123" s="15">
        <f>MIN(1,MAX(VLOOKUP(($AJ123-$AI123-$AH123-$AG123-$AF123-$AE123*(1+GD$3))/$AJ123,'Технический лист'!$A:$B,2,1),(GC123-0.05)))</f>
        <v>1</v>
      </c>
      <c r="GE123" s="15">
        <f>MIN(1,MAX(VLOOKUP(($AJ123-$AI123-$AH123-$AG123-$AF123-$AE123*(1+GE$3))/$AJ123,'Технический лист'!$A:$B,2,1),(GD123-0.05)))</f>
        <v>1</v>
      </c>
      <c r="GF123" s="15">
        <f>MIN(1,MAX(VLOOKUP(($AJ123-$AI123-$AH123-$AG123-$AF123-$AE123*(1+GF$3))/$AJ123,'Технический лист'!$A:$B,2,1),(GE123-0.05)))</f>
        <v>1</v>
      </c>
      <c r="GG123" s="15">
        <f>MIN(1,MAX(VLOOKUP(($AJ123-$AI123-$AH123-$AG123-$AF123-$AE123*(1+GG$3))/$AJ123,'Технический лист'!$A:$B,2,1),(GF123-0.05)))</f>
        <v>1</v>
      </c>
      <c r="GH123" s="15">
        <f>MIN(1,MAX(VLOOKUP(($AJ123-$AI123-$AH123-$AG123-$AF123-$AE123*(1+GH$3))/$AJ123,'Технический лист'!$A:$B,2,1),(GG123-0.05)))</f>
        <v>1</v>
      </c>
      <c r="GI123" s="15">
        <f>MIN(1,MAX(VLOOKUP(($AJ123-$AI123-$AH123-$AG123-$AF123-$AE123*(1+GI$3))/$AJ123,'Технический лист'!$A:$B,2,1),(GH123-0.05)))</f>
        <v>1</v>
      </c>
      <c r="GJ123" s="15">
        <f>MIN(1,MAX(VLOOKUP(($AJ123-$AI123-$AH123-$AG123-$AF123-$AE123*(1+GJ$3))/$AJ123,'Технический лист'!$A:$B,2,1),(GI123-0.05)))</f>
        <v>1</v>
      </c>
      <c r="GK123" s="15">
        <f>MIN(1,MAX(VLOOKUP(($AJ123-$AI123-$AH123-$AG123-$AF123-$AE123*(1+GK$3))/$AJ123,'Технический лист'!$A:$B,2,1),(GJ123-0.05)))</f>
        <v>1</v>
      </c>
      <c r="GL123" s="15">
        <f>MIN(1,MAX(VLOOKUP(($AJ123-$AI123-$AH123-$AG123-$AF123-$AE123*(1+GL$3))/$AJ123,'Технический лист'!$A:$B,2,1),(GK123-0.05)))</f>
        <v>1</v>
      </c>
      <c r="GM123" s="15">
        <f>MIN(1,MAX(VLOOKUP(($AJ123-$AI123-$AH123-$AG123-$AF123-$AE123*(1+GM$3))/$AJ123,'Технический лист'!$A:$B,2,1),(GL123-0.05)))</f>
        <v>1</v>
      </c>
      <c r="GN123" s="15">
        <f>MIN(1,MAX(VLOOKUP(($AJ123-$AI123-$AH123-$AG123-$AF123-$AE123*(1+GN$3))/$AJ123,'Технический лист'!$A:$B,2,1),(GM123-0.05)))</f>
        <v>1</v>
      </c>
      <c r="GO123" s="15">
        <f>MIN(1,MAX(VLOOKUP(($AJ123-$AI123-$AH123-$AG123-$AF123-$AE123*(1+GO$3))/$AJ123,'Технический лист'!$A:$B,2,1),(GN123-0.05)))</f>
        <v>1</v>
      </c>
      <c r="GP123" s="15">
        <f>MIN(1,MAX(VLOOKUP(($AJ123-$AI123-$AH123-$AG123-$AF123-$AE123*(1+GP$3))/$AJ123,'Технический лист'!$A:$B,2,1),(GO123-0.05)))</f>
        <v>1</v>
      </c>
      <c r="GQ123" s="15">
        <f>MIN(1,MAX(VLOOKUP(($AJ123-$AI123-$AH123-$AG123-$AF123-$AE123*(1+GQ$3))/$AJ123,'Технический лист'!$A:$B,2,1),(GP123-0.05)))</f>
        <v>1</v>
      </c>
      <c r="GR123" s="15">
        <f>MIN(1,MAX(VLOOKUP(($AJ123-$AI123-$AH123-$AG123-$AF123-$AE123*(1+GR$3))/$AJ123,'Технический лист'!$A:$B,2,1),(GQ123-0.05)))</f>
        <v>1</v>
      </c>
      <c r="GS123" s="15">
        <f>MIN(1,MAX(VLOOKUP(($AJ123-$AI123-$AH123-$AG123-$AF123-$AE123*(1+GS$3))/$AJ123,'Технический лист'!$A:$B,2,1),(GR123-0.05)))</f>
        <v>1</v>
      </c>
      <c r="GT123" s="15">
        <f>MIN(1,MAX(VLOOKUP(($AJ123-$AI123-$AH123-$AG123-$AF123-$AE123*(1+GT$3))/$AJ123,'Технический лист'!$A:$B,2,1),(GS123-0.05)))</f>
        <v>1</v>
      </c>
      <c r="GU123" s="15">
        <f>MIN(1,MAX(VLOOKUP(($AJ123-$AI123-$AH123-$AG123-$AF123-$AE123*(1+GU$3))/$AJ123,'Технический лист'!$A:$B,2,1),(GT123-0.05)))</f>
        <v>1</v>
      </c>
      <c r="GV123" s="15">
        <f>MIN(1,MAX(VLOOKUP(($AJ123-$AI123-$AH123-$AG123-$AF123-$AE123*(1+GV$3))/$AJ123,'Технический лист'!$A:$B,2,1),(GU123-0.05)))</f>
        <v>1</v>
      </c>
      <c r="GW123" s="15">
        <f>MIN(1,MAX(VLOOKUP(($AJ123-$AI123-$AH123-$AG123-$AF123-$AE123*(1+GW$3))/$AJ123,'Технический лист'!$A:$B,2,1),(GV123-0.05)))</f>
        <v>1</v>
      </c>
      <c r="GX123" s="15">
        <f>MIN(1,MAX(VLOOKUP(($AJ123-$AI123-$AH123-$AG123-$AF123-$AE123*(1+GX$3))/$AJ123,'Технический лист'!$A:$B,2,1),(GW123-0.05)))</f>
        <v>1</v>
      </c>
      <c r="GY123" s="15">
        <f>MIN(1,MAX(VLOOKUP(($AJ123-$AI123-$AH123-$AG123-$AF123-$AE123*(1+GY$3))/$AJ123,'Технический лист'!$A:$B,2,1),(GX123-0.05)))</f>
        <v>1</v>
      </c>
      <c r="GZ123" s="15">
        <f>MIN(1,MAX(VLOOKUP(($AJ123-$AI123-$AH123-$AG123-$AF123-$AE123*(1+GZ$3))/$AJ123,'Технический лист'!$A:$B,2,1),(GY123-0.05)))</f>
        <v>1</v>
      </c>
      <c r="HA123" s="15">
        <f>MIN(1,MAX(VLOOKUP(($AJ123-$AI123-$AH123-$AG123-$AF123-$AE123*(1+HA$3))/$AJ123,'Технический лист'!$A:$B,2,1),(GZ123-0.05)))</f>
        <v>1</v>
      </c>
      <c r="HB123" s="15">
        <f>MIN(1,MAX(VLOOKUP(($AJ123-$AI123-$AH123-$AG123-$AF123-$AE123*(1+HB$3))/$AJ123,'Технический лист'!$A:$B,2,1),(HA123-0.05)))</f>
        <v>1</v>
      </c>
      <c r="HC123" s="15">
        <f>MIN(1,MAX(VLOOKUP(($AJ123-$AI123-$AH123-$AG123-$AF123-$AE123*(1+HC$3))/$AJ123,'Технический лист'!$A:$B,2,1),(HB123-0.05)))</f>
        <v>1</v>
      </c>
      <c r="HD123" s="15">
        <f>MIN(1,MAX(VLOOKUP(($AJ123-$AI123-$AH123-$AG123-$AF123-$AE123*(1+HD$3))/$AJ123,'Технический лист'!$A:$B,2,1),(HC123-0.05)))</f>
        <v>1</v>
      </c>
      <c r="HE123" s="15">
        <f>MIN(1,MAX(VLOOKUP(($AJ123-$AI123-$AH123-$AG123-$AF123-$AE123*(1+HE$3))/$AJ123,'Технический лист'!$A:$B,2,1),(HD123-0.05)))</f>
        <v>1</v>
      </c>
      <c r="HF123" s="15">
        <f>MIN(1,MAX(VLOOKUP(($AJ123-$AI123-$AH123-$AG123-$AF123-$AE123*(1+HF$3))/$AJ123,'Технический лист'!$A:$B,2,1),(HE123-0.05)))</f>
        <v>1</v>
      </c>
      <c r="HG123" s="15">
        <f>MIN(1,MAX(VLOOKUP(($AJ123-$AI123-$AH123-$AG123-$AF123-$AE123*(1+HG$3))/$AJ123,'Технический лист'!$A:$B,2,1),(HF123-0.05)))</f>
        <v>1</v>
      </c>
      <c r="HH123" s="15">
        <f>MIN(1,MAX(VLOOKUP(($AJ123-$AI123-$AH123-$AG123-$AF123-$AE123*(1+HH$3))/$AJ123,'Технический лист'!$A:$B,2,1),(HG123-0.05)))</f>
        <v>1</v>
      </c>
      <c r="HI123" s="15">
        <f>MIN(1,MAX(VLOOKUP(($AJ123-$AI123-$AH123-$AG123-$AF123-$AE123*(1+HI$3))/$AJ123,'Технический лист'!$A:$B,2,1),(HH123-0.05)))</f>
        <v>1</v>
      </c>
      <c r="HJ123" s="15">
        <f>MIN(1,MAX(VLOOKUP(($AJ123-$AI123-$AH123-$AG123-$AF123-$AE123*(1+HJ$3))/$AJ123,'Технический лист'!$A:$B,2,1),(HI123-0.05)))</f>
        <v>1</v>
      </c>
      <c r="HK123" s="15">
        <f>MIN(1,MAX(VLOOKUP(($AJ123-$AI123-$AH123-$AG123-$AF123-$AE123*(1+HK$3))/$AJ123,'Технический лист'!$A:$B,2,1),(HJ123-0.05)))</f>
        <v>1</v>
      </c>
      <c r="HL123" s="15">
        <f>MIN(1,MAX(VLOOKUP(($AJ123-$AI123-$AH123-$AG123-$AF123-$AE123*(1+HL$3))/$AJ123,'Технический лист'!$A:$B,2,1),(HK123-0.05)))</f>
        <v>1</v>
      </c>
      <c r="HM123" s="15">
        <f>MIN(1,MAX(VLOOKUP(($AJ123-$AI123-$AH123-$AG123-$AF123-$AE123*(1+HM$3))/$AJ123,'Технический лист'!$A:$B,2,1),(HL123-0.05)))</f>
        <v>1</v>
      </c>
      <c r="HN123" s="15">
        <f>MIN(1,MAX(VLOOKUP(($AJ123-$AI123-$AH123-$AG123-$AF123-$AE123*(1+HN$3))/$AJ123,'Технический лист'!$A:$B,2,1),(HM123-0.05)))</f>
        <v>1</v>
      </c>
      <c r="HO123" s="15">
        <f>MIN(1,MAX(VLOOKUP(($AJ123-$AI123-$AH123-$AG123-$AF123-$AE123*(1+HO$3))/$AJ123,'Технический лист'!$A:$B,2,1),(HN123-0.05)))</f>
        <v>1</v>
      </c>
      <c r="HP123" s="15">
        <f>MIN(1,MAX(VLOOKUP(($AJ123-$AI123-$AH123-$AG123-$AF123-$AE123*(1+HP$3))/$AJ123,'Технический лист'!$A:$B,2,1),(HO123-0.05)))</f>
        <v>1</v>
      </c>
      <c r="HQ123" s="15">
        <f>MIN(1,MAX(VLOOKUP(($AJ123-$AI123-$AH123-$AG123-$AF123-$AE123*(1+HQ$3))/$AJ123,'Технический лист'!$A:$B,2,1),(HP123-0.05)))</f>
        <v>1</v>
      </c>
      <c r="HR123" s="15">
        <f>MIN(1,MAX(VLOOKUP(($AJ123-$AI123-$AH123-$AG123-$AF123-$AE123*(1+HR$3))/$AJ123,'Технический лист'!$A:$B,2,1),(HQ123-0.05)))</f>
        <v>1</v>
      </c>
      <c r="HS123" s="15">
        <f>MIN(1,MAX(VLOOKUP(($AJ123-$AI123-$AH123-$AG123-$AF123-$AE123*(1+HS$3))/$AJ123,'Технический лист'!$A:$B,2,1),(HR123-0.05)))</f>
        <v>1</v>
      </c>
      <c r="HT123" s="15">
        <f>MIN(1,MAX(VLOOKUP(($AJ123-$AI123-$AH123-$AG123-$AF123-$AE123*(1+HT$3))/$AJ123,'Технический лист'!$A:$B,2,1),(HS123-0.05)))</f>
        <v>1</v>
      </c>
      <c r="HU123" s="15">
        <f>MIN(1,MAX(VLOOKUP(($AJ123-$AI123-$AH123-$AG123-$AF123-$AE123*(1+HU$3))/$AJ123,'Технический лист'!$A:$B,2,1),(HT123-0.05)))</f>
        <v>1</v>
      </c>
      <c r="HV123" s="15">
        <f>MIN(1,MAX(VLOOKUP(($AJ123-$AI123-$AH123-$AG123-$AF123-$AE123*(1+HV$3))/$AJ123,'Технический лист'!$A:$B,2,1),(HU123-0.05)))</f>
        <v>1</v>
      </c>
      <c r="HW123" s="15">
        <f>MIN(1,MAX(VLOOKUP(($AJ123-$AI123-$AH123-$AG123-$AF123-$AE123*(1+HW$3))/$AJ123,'Технический лист'!$A:$B,2,1),(HV123-0.05)))</f>
        <v>1</v>
      </c>
      <c r="HX123" s="15">
        <f>MIN(1,MAX(VLOOKUP(($AJ123-$AI123-$AH123-$AG123-$AF123-$AE123*(1+HX$3))/$AJ123,'Технический лист'!$A:$B,2,1),(HW123-0.05)))</f>
        <v>1</v>
      </c>
      <c r="HY123" s="15">
        <f>MIN(1,MAX(VLOOKUP(($AJ123-$AI123-$AH123-$AG123-$AF123-$AE123*(1+HY$3))/$AJ123,'Технический лист'!$A:$B,2,1),(HX123-0.05)))</f>
        <v>1</v>
      </c>
      <c r="HZ123" s="15">
        <f>MIN(1,MAX(VLOOKUP(($AJ123-$AI123-$AH123-$AG123-$AF123-$AE123*(1+HZ$3))/$AJ123,'Технический лист'!$A:$B,2,1),(HY123-0.05)))</f>
        <v>1</v>
      </c>
      <c r="IA123" s="15">
        <f>MIN(1,MAX(VLOOKUP(($AJ123-$AI123-$AH123-$AG123-$AF123-$AE123*(1+IA$3))/$AJ123,'Технический лист'!$A:$B,2,1),(HZ123-0.05)))</f>
        <v>1</v>
      </c>
      <c r="IB123" s="15">
        <f>MIN(1,MAX(VLOOKUP(($AJ123-$AI123-$AH123-$AG123-$AF123-$AE123*(1+IB$3))/$AJ123,'Технический лист'!$A:$B,2,1),(IA123-0.05)))</f>
        <v>1</v>
      </c>
      <c r="IC123" s="15">
        <f>MIN(1,MAX(VLOOKUP(($AJ123-$AI123-$AH123-$AG123-$AF123-$AE123*(1+IC$3))/$AJ123,'Технический лист'!$A:$B,2,1),(IB123-0.05)))</f>
        <v>1</v>
      </c>
      <c r="ID123" s="15">
        <f>MIN(1,MAX(VLOOKUP(($AJ123-$AI123-$AH123-$AG123-$AF123-$AE123*(1+ID$3))/$AJ123,'Технический лист'!$A:$B,2,1),(IC123-0.05)))</f>
        <v>1</v>
      </c>
      <c r="IE123" s="15">
        <f>MIN(1,MAX(VLOOKUP(($AJ123-$AI123-$AH123-$AG123-$AF123-$AE123*(1+IE$3))/$AJ123,'Технический лист'!$A:$B,2,1),(ID123-0.05)))</f>
        <v>1</v>
      </c>
      <c r="IF123" s="15">
        <f>MIN(1,MAX(VLOOKUP(($AJ123-$AI123-$AH123-$AG123-$AF123-$AE123*(1+IF$3))/$AJ123,'Технический лист'!$A:$B,2,1),(IE123-0.05)))</f>
        <v>1</v>
      </c>
      <c r="IG123" s="15">
        <f>MIN(1,MAX(VLOOKUP(($AJ123-$AI123-$AH123-$AG123-$AF123-$AE123*(1+IG$3))/$AJ123,'Технический лист'!$A:$B,2,1),(IF123-0.05)))</f>
        <v>1</v>
      </c>
      <c r="IH123" s="15">
        <f>MIN(1,MAX(VLOOKUP(($AJ123-$AI123-$AH123-$AG123-$AF123-$AE123*(1+IH$3))/$AJ123,'Технический лист'!$A:$B,2,1),(IG123-0.05)))</f>
        <v>1</v>
      </c>
      <c r="II123" s="15">
        <f>MIN(1,MAX(VLOOKUP(($AJ123-$AI123-$AH123-$AG123-$AF123-$AE123*(1+II$3))/$AJ123,'Технический лист'!$A:$B,2,1),(IH123-0.05)))</f>
        <v>1</v>
      </c>
      <c r="IJ123" s="15">
        <f>MIN(1,MAX(VLOOKUP(($AJ123-$AI123-$AH123-$AG123-$AF123-$AE123*(1+IJ$3))/$AJ123,'Технический лист'!$A:$B,2,1),(II123-0.05)))</f>
        <v>1</v>
      </c>
      <c r="IK123" s="15">
        <f>MIN(1,MAX(VLOOKUP(($AJ123-$AI123-$AH123-$AG123-$AF123-$AE123*(1+IK$3))/$AJ123,'Технический лист'!$A:$B,2,1),(IJ123-0.05)))</f>
        <v>1</v>
      </c>
      <c r="IL123" s="15">
        <f>MIN(1,MAX(VLOOKUP(($AJ123-$AI123-$AH123-$AG123-$AF123-$AE123*(1+IL$3))/$AJ123,'Технический лист'!$A:$B,2,1),(IK123-0.05)))</f>
        <v>1</v>
      </c>
      <c r="IM123" s="15">
        <f>MIN(1,MAX(VLOOKUP(($AJ123-$AI123-$AH123-$AG123-$AF123-$AE123*(1+IM$3))/$AJ123,'Технический лист'!$A:$B,2,1),(IL123-0.05)))</f>
        <v>1</v>
      </c>
      <c r="IN123" s="15">
        <f>MIN(1,MAX(VLOOKUP(($AJ123-$AI123-$AH123-$AG123-$AF123-$AE123*(1+IN$3))/$AJ123,'Технический лист'!$A:$B,2,1),(IM123-0.05)))</f>
        <v>1</v>
      </c>
      <c r="IO123" s="15">
        <f>MIN(1,MAX(VLOOKUP(($AJ123-$AI123-$AH123-$AG123-$AF123-$AE123*(1+IO$3))/$AJ123,'Технический лист'!$A:$B,2,1),(IN123-0.05)))</f>
        <v>1</v>
      </c>
      <c r="IP123" s="15">
        <f>MIN(1,MAX(VLOOKUP(($AJ123-$AI123-$AH123-$AG123-$AF123-$AE123*(1+IP$3))/$AJ123,'Технический лист'!$A:$B,2,1),(IO123-0.05)))</f>
        <v>1</v>
      </c>
      <c r="IQ123" s="15">
        <f>MIN(1,MAX(VLOOKUP(($AJ123-$AI123-$AH123-$AG123-$AF123-$AE123*(1+IQ$3))/$AJ123,'Технический лист'!$A:$B,2,1),(IP123-0.05)))</f>
        <v>1</v>
      </c>
      <c r="IR123" s="15">
        <f>MIN(1,MAX(VLOOKUP(($AJ123-$AI123-$AH123-$AG123-$AF123-$AE123*(1+IR$3))/$AJ123,'Технический лист'!$A:$B,2,1),(IQ123-0.05)))</f>
        <v>1</v>
      </c>
    </row>
    <row r="124" spans="1:252" ht="29.15" customHeight="1">
      <c r="A124" s="89" t="s">
        <v>515</v>
      </c>
      <c r="B124" s="90">
        <v>5</v>
      </c>
      <c r="C124" s="5" t="s">
        <v>68</v>
      </c>
      <c r="D124" s="91">
        <v>31406</v>
      </c>
      <c r="E124" s="91" t="s">
        <v>355</v>
      </c>
      <c r="F124" s="92" t="s">
        <v>77</v>
      </c>
      <c r="G124" s="91" t="s">
        <v>50</v>
      </c>
      <c r="H124" s="91" t="s">
        <v>50</v>
      </c>
      <c r="I124" s="91" t="s">
        <v>137</v>
      </c>
      <c r="J124" s="91" t="s">
        <v>182</v>
      </c>
      <c r="K124" s="91">
        <v>148</v>
      </c>
      <c r="L124" s="85" t="s">
        <v>64</v>
      </c>
      <c r="M124" s="91" t="s">
        <v>190</v>
      </c>
      <c r="N124" s="91" t="s">
        <v>191</v>
      </c>
      <c r="O124" s="91" t="s">
        <v>192</v>
      </c>
      <c r="P124" s="89" t="s">
        <v>247</v>
      </c>
      <c r="Q124" s="91" t="s">
        <v>274</v>
      </c>
      <c r="R124" s="91" t="s">
        <v>264</v>
      </c>
      <c r="S124" s="82">
        <v>151625</v>
      </c>
      <c r="T124" s="82">
        <v>22440558</v>
      </c>
      <c r="U124" s="81">
        <v>2211</v>
      </c>
      <c r="V124" s="81">
        <v>0</v>
      </c>
      <c r="W124" s="82">
        <v>58706279</v>
      </c>
      <c r="X124" s="112">
        <v>69</v>
      </c>
      <c r="Y124" s="112" t="s">
        <v>417</v>
      </c>
      <c r="Z124" s="113">
        <v>4</v>
      </c>
      <c r="AA124" s="113">
        <v>3</v>
      </c>
      <c r="AB124" s="113">
        <v>4</v>
      </c>
      <c r="AC124" s="99">
        <v>787.77</v>
      </c>
      <c r="AD124" s="99">
        <f t="shared" si="48"/>
        <v>50.560000000000059</v>
      </c>
      <c r="AE124" s="99">
        <v>838.33</v>
      </c>
      <c r="AF124" s="98">
        <f>(Z124+AA124+AB124)*'Ставки аренды'!$B$3/X124</f>
        <v>111.59420289855072</v>
      </c>
      <c r="AG124" s="94">
        <v>0</v>
      </c>
      <c r="AH124" s="94">
        <v>0</v>
      </c>
      <c r="AI124" s="115">
        <f>314456/404359*AJ124</f>
        <v>42382.763831150041</v>
      </c>
      <c r="AJ124" s="117">
        <f>Цены!D26</f>
        <v>54500</v>
      </c>
      <c r="AK124" s="94">
        <f>AJ124/Цены!$B$1</f>
        <v>714.23422951163423</v>
      </c>
      <c r="AL124" s="95">
        <f t="shared" si="24"/>
        <v>949.92420289855079</v>
      </c>
      <c r="AM124" s="95">
        <f t="shared" si="25"/>
        <v>53550.075797101446</v>
      </c>
      <c r="AN124" s="94">
        <f t="shared" si="39"/>
        <v>43332.688034048595</v>
      </c>
      <c r="AO124" s="118">
        <f t="shared" si="40"/>
        <v>0.20490480671470468</v>
      </c>
      <c r="AP124" s="96">
        <f t="shared" si="26"/>
        <v>1.7429801888046804E-2</v>
      </c>
      <c r="AQ124" s="96">
        <f t="shared" si="27"/>
        <v>1.5382201834862386E-2</v>
      </c>
      <c r="AR124" s="96">
        <f t="shared" si="28"/>
        <v>0.88252304493554556</v>
      </c>
      <c r="AS124" s="122">
        <v>1</v>
      </c>
      <c r="AT124" s="121">
        <f t="shared" si="45"/>
        <v>151625</v>
      </c>
      <c r="AU124" s="7" t="s">
        <v>475</v>
      </c>
      <c r="AV124" s="119">
        <f t="shared" si="41"/>
        <v>0.20305894249452131</v>
      </c>
      <c r="AW124" s="120">
        <f t="shared" si="42"/>
        <v>1.9275666108230293E-2</v>
      </c>
      <c r="AX124" s="120">
        <f t="shared" si="43"/>
        <v>1.7228066055045874E-2</v>
      </c>
      <c r="AY124" s="120">
        <f t="shared" si="44"/>
        <v>0.89377279925438546</v>
      </c>
      <c r="AZ124" s="15">
        <v>1</v>
      </c>
      <c r="BA124" s="15">
        <v>1</v>
      </c>
      <c r="BB124" s="15">
        <v>1</v>
      </c>
      <c r="BC124" s="15">
        <v>1</v>
      </c>
      <c r="BD124" s="15">
        <v>1</v>
      </c>
      <c r="BE124" s="15">
        <v>1</v>
      </c>
      <c r="BF124" s="15">
        <v>1</v>
      </c>
      <c r="BG124" s="15">
        <v>1</v>
      </c>
      <c r="BH124" s="15">
        <v>1</v>
      </c>
      <c r="BI124" s="15">
        <v>1</v>
      </c>
      <c r="BJ124" s="15">
        <v>1</v>
      </c>
      <c r="BK124" s="15">
        <v>1</v>
      </c>
      <c r="BL124" s="15">
        <v>1</v>
      </c>
      <c r="BM124" s="15">
        <v>1</v>
      </c>
      <c r="BN124" s="15">
        <v>1</v>
      </c>
      <c r="BO124" s="15">
        <v>1</v>
      </c>
      <c r="BP124" s="15">
        <v>1</v>
      </c>
      <c r="BQ124" s="15">
        <v>1</v>
      </c>
      <c r="BR124" s="15">
        <v>1</v>
      </c>
      <c r="BS124" s="15">
        <v>1</v>
      </c>
      <c r="BT124" s="15">
        <v>1</v>
      </c>
      <c r="BU124" s="15">
        <v>1</v>
      </c>
      <c r="BV124" s="15">
        <v>1</v>
      </c>
      <c r="BW124" s="15">
        <v>1</v>
      </c>
      <c r="BX124" s="15">
        <v>1</v>
      </c>
      <c r="BY124" s="15">
        <v>1</v>
      </c>
      <c r="BZ124" s="15">
        <v>1</v>
      </c>
      <c r="CA124" s="15">
        <v>1</v>
      </c>
      <c r="CB124" s="15">
        <v>1</v>
      </c>
      <c r="CC124" s="15">
        <v>1</v>
      </c>
      <c r="CD124" s="15">
        <v>1</v>
      </c>
      <c r="CE124" s="15">
        <v>1</v>
      </c>
      <c r="CF124" s="15">
        <v>1</v>
      </c>
      <c r="CG124" s="15">
        <v>1</v>
      </c>
      <c r="CH124" s="15">
        <v>1</v>
      </c>
      <c r="CI124" s="15">
        <v>1</v>
      </c>
      <c r="CJ124" s="15">
        <v>1</v>
      </c>
      <c r="CK124" s="15">
        <v>1</v>
      </c>
      <c r="CL124" s="15">
        <v>1</v>
      </c>
      <c r="CM124" s="15">
        <v>1</v>
      </c>
      <c r="CN124" s="15">
        <v>1</v>
      </c>
      <c r="CO124" s="15">
        <v>1</v>
      </c>
      <c r="CP124" s="15">
        <v>1</v>
      </c>
      <c r="CQ124" s="15">
        <v>1</v>
      </c>
      <c r="CR124" s="15">
        <v>1</v>
      </c>
      <c r="CS124" s="15">
        <v>1</v>
      </c>
      <c r="CT124" s="15">
        <v>1</v>
      </c>
      <c r="CU124" s="15">
        <v>1</v>
      </c>
      <c r="CV124" s="15">
        <v>1</v>
      </c>
      <c r="CW124" s="15">
        <v>1</v>
      </c>
      <c r="CX124" s="15">
        <v>1</v>
      </c>
      <c r="CY124" s="15">
        <v>1</v>
      </c>
      <c r="CZ124" s="15">
        <v>1</v>
      </c>
      <c r="DA124" s="15">
        <v>1</v>
      </c>
      <c r="DB124" s="15">
        <v>1</v>
      </c>
      <c r="DC124" s="15">
        <v>1</v>
      </c>
      <c r="DD124" s="15">
        <v>1</v>
      </c>
      <c r="DE124" s="15">
        <v>1</v>
      </c>
      <c r="DF124" s="15">
        <v>1</v>
      </c>
      <c r="DG124" s="15">
        <v>1</v>
      </c>
      <c r="DH124" s="15">
        <v>1</v>
      </c>
      <c r="DI124" s="15">
        <v>1</v>
      </c>
      <c r="DJ124" s="15">
        <v>1</v>
      </c>
      <c r="DK124" s="15">
        <v>1</v>
      </c>
      <c r="DL124" s="15">
        <v>1</v>
      </c>
      <c r="DM124" s="15">
        <v>1</v>
      </c>
      <c r="DN124" s="15">
        <v>1</v>
      </c>
      <c r="DO124" s="15">
        <v>1</v>
      </c>
      <c r="DP124" s="15">
        <v>1</v>
      </c>
      <c r="DQ124" s="15">
        <v>1</v>
      </c>
      <c r="DR124" s="15">
        <v>1</v>
      </c>
      <c r="DS124" s="15">
        <v>1</v>
      </c>
      <c r="DT124" s="15">
        <v>1</v>
      </c>
      <c r="DU124" s="15">
        <v>1</v>
      </c>
      <c r="DV124" s="15">
        <v>1</v>
      </c>
      <c r="DW124" s="15">
        <v>1</v>
      </c>
      <c r="DX124" s="15">
        <v>1</v>
      </c>
      <c r="DY124" s="15">
        <v>1</v>
      </c>
      <c r="DZ124" s="15">
        <v>1</v>
      </c>
      <c r="EA124" s="15">
        <v>1</v>
      </c>
      <c r="EB124" s="15">
        <v>1</v>
      </c>
      <c r="EC124" s="15">
        <v>1</v>
      </c>
      <c r="ED124" s="15">
        <v>1</v>
      </c>
      <c r="EE124" s="15">
        <v>1</v>
      </c>
      <c r="EF124" s="15">
        <v>1</v>
      </c>
      <c r="EG124" s="15">
        <v>1</v>
      </c>
      <c r="EH124" s="15">
        <v>1</v>
      </c>
      <c r="EI124" s="15">
        <v>1</v>
      </c>
      <c r="EJ124" s="15">
        <v>1</v>
      </c>
      <c r="EK124" s="15">
        <v>1</v>
      </c>
      <c r="EL124" s="15">
        <v>1</v>
      </c>
      <c r="EM124" s="15">
        <v>1</v>
      </c>
      <c r="EN124" s="15">
        <v>1</v>
      </c>
      <c r="EO124" s="15">
        <v>1</v>
      </c>
      <c r="EP124" s="15">
        <v>1</v>
      </c>
      <c r="EQ124" s="15">
        <v>1</v>
      </c>
      <c r="ER124" s="15">
        <v>1</v>
      </c>
      <c r="ES124" s="15">
        <v>1</v>
      </c>
      <c r="ET124" s="15">
        <v>1</v>
      </c>
      <c r="EU124" s="15">
        <v>1</v>
      </c>
      <c r="EV124" s="111">
        <v>1</v>
      </c>
      <c r="EW124" s="15">
        <v>1</v>
      </c>
      <c r="EX124" s="15">
        <v>1</v>
      </c>
      <c r="EY124" s="15">
        <v>1</v>
      </c>
      <c r="EZ124" s="15">
        <v>1</v>
      </c>
      <c r="FA124" s="15">
        <v>1</v>
      </c>
      <c r="FB124" s="15">
        <v>1</v>
      </c>
      <c r="FC124" s="15">
        <v>1</v>
      </c>
      <c r="FD124" s="15">
        <v>1</v>
      </c>
      <c r="FE124" s="15">
        <v>1</v>
      </c>
      <c r="FF124" s="15">
        <v>1</v>
      </c>
      <c r="FG124" s="15">
        <v>1</v>
      </c>
      <c r="FH124" s="15">
        <v>1</v>
      </c>
      <c r="FI124" s="15">
        <v>1</v>
      </c>
      <c r="FJ124" s="15">
        <v>1</v>
      </c>
      <c r="FK124" s="15">
        <v>1</v>
      </c>
      <c r="FL124" s="15">
        <v>1</v>
      </c>
      <c r="FM124" s="15">
        <v>1</v>
      </c>
      <c r="FN124" s="15">
        <v>1</v>
      </c>
      <c r="FO124" s="15">
        <v>1</v>
      </c>
      <c r="FP124" s="15">
        <v>1</v>
      </c>
      <c r="FQ124" s="15">
        <v>1</v>
      </c>
      <c r="FR124" s="15">
        <v>1</v>
      </c>
      <c r="FS124" s="15">
        <v>1</v>
      </c>
      <c r="FT124" s="15">
        <v>1</v>
      </c>
      <c r="FU124" s="15">
        <v>1</v>
      </c>
      <c r="FV124" s="15">
        <v>1</v>
      </c>
      <c r="FW124" s="15">
        <v>1</v>
      </c>
      <c r="FX124" s="15">
        <v>1</v>
      </c>
      <c r="FY124" s="15">
        <v>1</v>
      </c>
      <c r="FZ124" s="15">
        <v>1</v>
      </c>
      <c r="GA124" s="15">
        <v>1</v>
      </c>
      <c r="GB124" s="15">
        <v>1</v>
      </c>
      <c r="GC124" s="15">
        <v>1</v>
      </c>
      <c r="GD124" s="15">
        <v>1</v>
      </c>
      <c r="GE124" s="15">
        <v>1</v>
      </c>
      <c r="GF124" s="15">
        <v>1</v>
      </c>
      <c r="GG124" s="15">
        <v>1</v>
      </c>
      <c r="GH124" s="15">
        <v>1</v>
      </c>
      <c r="GI124" s="15">
        <v>1</v>
      </c>
      <c r="GJ124" s="15">
        <v>1</v>
      </c>
      <c r="GK124" s="15">
        <v>1</v>
      </c>
      <c r="GL124" s="15">
        <v>1</v>
      </c>
      <c r="GM124" s="15">
        <v>1</v>
      </c>
      <c r="GN124" s="15">
        <v>1</v>
      </c>
      <c r="GO124" s="15">
        <v>1</v>
      </c>
      <c r="GP124" s="15">
        <v>1</v>
      </c>
      <c r="GQ124" s="15">
        <v>1</v>
      </c>
      <c r="GR124" s="15">
        <v>1</v>
      </c>
      <c r="GS124" s="15">
        <v>1</v>
      </c>
      <c r="GT124" s="15">
        <v>1</v>
      </c>
      <c r="GU124" s="15">
        <v>1</v>
      </c>
      <c r="GV124" s="15">
        <v>1</v>
      </c>
      <c r="GW124" s="15">
        <v>1</v>
      </c>
      <c r="GX124" s="15">
        <v>1</v>
      </c>
      <c r="GY124" s="15">
        <v>1</v>
      </c>
      <c r="GZ124" s="15">
        <v>1</v>
      </c>
      <c r="HA124" s="15">
        <v>1</v>
      </c>
      <c r="HB124" s="15">
        <v>1</v>
      </c>
      <c r="HC124" s="15">
        <v>1</v>
      </c>
      <c r="HD124" s="15">
        <v>1</v>
      </c>
      <c r="HE124" s="15">
        <v>1</v>
      </c>
      <c r="HF124" s="15">
        <v>1</v>
      </c>
      <c r="HG124" s="15">
        <v>1</v>
      </c>
      <c r="HH124" s="15">
        <v>1</v>
      </c>
      <c r="HI124" s="15">
        <v>1</v>
      </c>
      <c r="HJ124" s="15">
        <v>1</v>
      </c>
      <c r="HK124" s="15">
        <v>1</v>
      </c>
      <c r="HL124" s="15">
        <v>1</v>
      </c>
      <c r="HM124" s="15">
        <v>1</v>
      </c>
      <c r="HN124" s="15">
        <v>1</v>
      </c>
      <c r="HO124" s="15">
        <v>1</v>
      </c>
      <c r="HP124" s="15">
        <v>1</v>
      </c>
      <c r="HQ124" s="15">
        <v>1</v>
      </c>
      <c r="HR124" s="15">
        <v>1</v>
      </c>
      <c r="HS124" s="15">
        <v>1</v>
      </c>
      <c r="HT124" s="15">
        <v>1</v>
      </c>
      <c r="HU124" s="15">
        <v>1</v>
      </c>
      <c r="HV124" s="15">
        <v>1</v>
      </c>
      <c r="HW124" s="15">
        <v>1</v>
      </c>
      <c r="HX124" s="15">
        <v>1</v>
      </c>
      <c r="HY124" s="15">
        <v>1</v>
      </c>
      <c r="HZ124" s="15">
        <v>1</v>
      </c>
      <c r="IA124" s="15">
        <v>1</v>
      </c>
      <c r="IB124" s="15">
        <v>1</v>
      </c>
      <c r="IC124" s="15">
        <v>1</v>
      </c>
      <c r="ID124" s="15">
        <v>1</v>
      </c>
      <c r="IE124" s="15">
        <v>1</v>
      </c>
      <c r="IF124" s="15">
        <v>1</v>
      </c>
      <c r="IG124" s="15">
        <v>1</v>
      </c>
      <c r="IH124" s="15">
        <v>1</v>
      </c>
      <c r="II124" s="15">
        <v>1</v>
      </c>
      <c r="IJ124" s="15">
        <v>1</v>
      </c>
      <c r="IK124" s="15">
        <v>1</v>
      </c>
      <c r="IL124" s="15">
        <v>1</v>
      </c>
      <c r="IM124" s="15">
        <v>1</v>
      </c>
      <c r="IN124" s="15">
        <v>1</v>
      </c>
      <c r="IO124" s="15">
        <v>1</v>
      </c>
      <c r="IP124" s="15">
        <v>1</v>
      </c>
      <c r="IQ124" s="15">
        <v>1</v>
      </c>
      <c r="IR124" s="15">
        <v>1</v>
      </c>
    </row>
    <row r="125" spans="1:252" ht="29.15">
      <c r="A125" s="89" t="s">
        <v>515</v>
      </c>
      <c r="B125" s="90">
        <v>5</v>
      </c>
      <c r="C125" s="5" t="s">
        <v>68</v>
      </c>
      <c r="D125" s="91">
        <v>31406</v>
      </c>
      <c r="E125" s="91" t="s">
        <v>355</v>
      </c>
      <c r="F125" s="92" t="s">
        <v>77</v>
      </c>
      <c r="G125" s="91" t="s">
        <v>21</v>
      </c>
      <c r="H125" s="91" t="s">
        <v>51</v>
      </c>
      <c r="I125" s="91" t="s">
        <v>138</v>
      </c>
      <c r="J125" s="91" t="s">
        <v>183</v>
      </c>
      <c r="K125" s="91">
        <v>1327</v>
      </c>
      <c r="L125" s="85" t="s">
        <v>64</v>
      </c>
      <c r="M125" s="91" t="s">
        <v>17</v>
      </c>
      <c r="N125" s="91" t="s">
        <v>191</v>
      </c>
      <c r="O125" s="91" t="s">
        <v>192</v>
      </c>
      <c r="P125" s="89" t="s">
        <v>229</v>
      </c>
      <c r="Q125" s="91" t="s">
        <v>272</v>
      </c>
      <c r="R125" s="91" t="s">
        <v>264</v>
      </c>
      <c r="S125" s="82">
        <v>110199</v>
      </c>
      <c r="T125" s="82">
        <v>146259206</v>
      </c>
      <c r="U125" s="81">
        <v>1684</v>
      </c>
      <c r="V125" s="81">
        <v>0</v>
      </c>
      <c r="W125" s="82">
        <v>268910128</v>
      </c>
      <c r="X125" s="112">
        <v>65</v>
      </c>
      <c r="Y125" s="112" t="s">
        <v>417</v>
      </c>
      <c r="Z125" s="113">
        <v>7</v>
      </c>
      <c r="AA125" s="113">
        <v>4</v>
      </c>
      <c r="AB125" s="113">
        <v>4</v>
      </c>
      <c r="AC125" s="99">
        <v>2662.25</v>
      </c>
      <c r="AD125" s="99">
        <f t="shared" si="48"/>
        <v>337.75</v>
      </c>
      <c r="AE125" s="99">
        <v>3000</v>
      </c>
      <c r="AF125" s="98">
        <f>(Z125+AA125+AB125)*'Ставки аренды'!$B$3/X125</f>
        <v>161.53846153846155</v>
      </c>
      <c r="AG125" s="94">
        <v>0</v>
      </c>
      <c r="AH125" s="94">
        <v>0</v>
      </c>
      <c r="AI125" s="115">
        <f t="shared" ref="AI125:AI129" si="50">314456/404359*AJ125</f>
        <v>42382.763831150041</v>
      </c>
      <c r="AJ125" s="117">
        <f>Цены!D26</f>
        <v>54500</v>
      </c>
      <c r="AK125" s="94">
        <f>AJ125/Цены!$B$1</f>
        <v>714.23422951163423</v>
      </c>
      <c r="AL125" s="95">
        <f t="shared" si="24"/>
        <v>3161.5384615384614</v>
      </c>
      <c r="AM125" s="95">
        <f t="shared" si="25"/>
        <v>51338.461538461539</v>
      </c>
      <c r="AN125" s="94">
        <f t="shared" si="39"/>
        <v>45544.302292688502</v>
      </c>
      <c r="AO125" s="118">
        <f t="shared" si="40"/>
        <v>0.1643247285745229</v>
      </c>
      <c r="AP125" s="96">
        <f t="shared" si="26"/>
        <v>5.8009880028228648E-2</v>
      </c>
      <c r="AQ125" s="96">
        <f t="shared" si="27"/>
        <v>5.5045871559633031E-2</v>
      </c>
      <c r="AR125" s="96">
        <f t="shared" si="28"/>
        <v>0.94890510948905116</v>
      </c>
      <c r="AS125" s="122">
        <v>1</v>
      </c>
      <c r="AT125" s="121">
        <f t="shared" si="45"/>
        <v>110199</v>
      </c>
      <c r="AU125" s="83">
        <v>0.6</v>
      </c>
      <c r="AV125" s="119">
        <f t="shared" si="41"/>
        <v>0.15771922398736693</v>
      </c>
      <c r="AW125" s="120">
        <f t="shared" si="42"/>
        <v>6.4615384615384616E-2</v>
      </c>
      <c r="AX125" s="120">
        <f t="shared" si="43"/>
        <v>6.1651376146788998E-2</v>
      </c>
      <c r="AY125" s="120">
        <f t="shared" si="44"/>
        <v>0.95412844036697253</v>
      </c>
      <c r="AZ125" s="15">
        <f>MIN(IF($AU125=100%,1,1+VLOOKUP(($AJ125-$AI125-$AH125-$AG125-$AF125-$AE125*(1+AZ$3))/$AJ125,'Технический лист'!$I:$J,2,1)-VLOOKUP($AO125,'Технический лист'!$I:$J,2,1)),1+(1-$AU125))</f>
        <v>1.0999999999999999</v>
      </c>
      <c r="BA125" s="15">
        <f>MIN(IF($AU125=100%,1,1+VLOOKUP(($AJ125-$AI125-$AH125-$AG125-$AF125-$AE125*(1+BA$3))/$AJ125,'Технический лист'!$I:$J,2,1)-VLOOKUP($AO125,'Технический лист'!$I:$J,2,1)),1+(1-$AU125))</f>
        <v>1.0999999999999999</v>
      </c>
      <c r="BB125" s="15">
        <f>MIN(IF($AU125=100%,1,1+VLOOKUP(($AJ125-$AI125-$AH125-$AG125-$AF125-$AE125*(1+BB$3))/$AJ125,'Технический лист'!$I:$J,2,1)-VLOOKUP($AO125,'Технический лист'!$I:$J,2,1)),1+(1-$AU125))</f>
        <v>1.0999999999999999</v>
      </c>
      <c r="BC125" s="15">
        <f>MIN(IF($AU125=100%,1,1+VLOOKUP(($AJ125-$AI125-$AH125-$AG125-$AF125-$AE125*(1+BC$3))/$AJ125,'Технический лист'!$I:$J,2,1)-VLOOKUP($AO125,'Технический лист'!$I:$J,2,1)),1+(1-$AU125))</f>
        <v>1.0999999999999999</v>
      </c>
      <c r="BD125" s="15">
        <f>MIN(IF($AU125=100%,1,1+VLOOKUP(($AJ125-$AI125-$AH125-$AG125-$AF125-$AE125*(1+BD$3))/$AJ125,'Технический лист'!$I:$J,2,1)-VLOOKUP($AO125,'Технический лист'!$I:$J,2,1)),1+(1-$AU125))</f>
        <v>1.0999999999999999</v>
      </c>
      <c r="BE125" s="15">
        <f>MIN(IF($AU125=100%,1,1+VLOOKUP(($AJ125-$AI125-$AH125-$AG125-$AF125-$AE125*(1+BE$3))/$AJ125,'Технический лист'!$I:$J,2,1)-VLOOKUP($AO125,'Технический лист'!$I:$J,2,1)),1+(1-$AU125))</f>
        <v>1.0999999999999999</v>
      </c>
      <c r="BF125" s="15">
        <f>MIN(IF($AU125=100%,1,1+VLOOKUP(($AJ125-$AI125-$AH125-$AG125-$AF125-$AE125*(1+BF$3))/$AJ125,'Технический лист'!$I:$J,2,1)-VLOOKUP($AO125,'Технический лист'!$I:$J,2,1)),1+(1-$AU125))</f>
        <v>1.0999999999999999</v>
      </c>
      <c r="BG125" s="15">
        <f>MIN(IF($AU125=100%,1,1+VLOOKUP(($AJ125-$AI125-$AH125-$AG125-$AF125-$AE125*(1+BG$3))/$AJ125,'Технический лист'!$I:$J,2,1)-VLOOKUP($AO125,'Технический лист'!$I:$J,2,1)),1+(1-$AU125))</f>
        <v>1.0999999999999999</v>
      </c>
      <c r="BH125" s="15">
        <f>MIN(IF($AU125=100%,1,1+VLOOKUP(($AJ125-$AI125-$AH125-$AG125-$AF125-$AE125*(1+BH$3))/$AJ125,'Технический лист'!$I:$J,2,1)-VLOOKUP($AO125,'Технический лист'!$I:$J,2,1)),1+(1-$AU125))</f>
        <v>1.0999999999999999</v>
      </c>
      <c r="BI125" s="15">
        <f>MIN(IF($AU125=100%,1,1+VLOOKUP(($AJ125-$AI125-$AH125-$AG125-$AF125-$AE125*(1+BI$3))/$AJ125,'Технический лист'!$I:$J,2,1)-VLOOKUP($AO125,'Технический лист'!$I:$J,2,1)),1+(1-$AU125))</f>
        <v>1.0999999999999999</v>
      </c>
      <c r="BJ125" s="15">
        <f>MIN(IF($AU125=100%,1,1+VLOOKUP(($AJ125-$AI125-$AH125-$AG125-$AF125-$AE125*(1+BJ$3))/$AJ125,'Технический лист'!$I:$J,2,1)-VLOOKUP($AO125,'Технический лист'!$I:$J,2,1)),1+(1-$AU125))</f>
        <v>1.0999999999999999</v>
      </c>
      <c r="BK125" s="15">
        <f>MIN(IF($AU125=100%,1,1+VLOOKUP(($AJ125-$AI125-$AH125-$AG125-$AF125-$AE125*(1+BK$3))/$AJ125,'Технический лист'!$I:$J,2,1)-VLOOKUP($AO125,'Технический лист'!$I:$J,2,1)),1+(1-$AU125))</f>
        <v>1.0999999999999999</v>
      </c>
      <c r="BL125" s="15">
        <f>MIN(IF($AU125=100%,1,1+VLOOKUP(($AJ125-$AI125-$AH125-$AG125-$AF125-$AE125*(1+BL$3))/$AJ125,'Технический лист'!$I:$J,2,1)-VLOOKUP($AO125,'Технический лист'!$I:$J,2,1)),1+(1-$AU125))</f>
        <v>1.0999999999999999</v>
      </c>
      <c r="BM125" s="15">
        <f>MIN(IF($AU125=100%,1,1+VLOOKUP(($AJ125-$AI125-$AH125-$AG125-$AF125-$AE125*(1+BM$3))/$AJ125,'Технический лист'!$I:$J,2,1)-VLOOKUP($AO125,'Технический лист'!$I:$J,2,1)),1+(1-$AU125))</f>
        <v>1.0999999999999999</v>
      </c>
      <c r="BN125" s="15">
        <f>MIN(IF($AU125=100%,1,1+VLOOKUP(($AJ125-$AI125-$AH125-$AG125-$AF125-$AE125*(1+BN$3))/$AJ125,'Технический лист'!$I:$J,2,1)-VLOOKUP($AO125,'Технический лист'!$I:$J,2,1)),1+(1-$AU125))</f>
        <v>1.0999999999999999</v>
      </c>
      <c r="BO125" s="15">
        <f>MIN(IF($AU125=100%,1,1+VLOOKUP(($AJ125-$AI125-$AH125-$AG125-$AF125-$AE125*(1+BO$3))/$AJ125,'Технический лист'!$I:$J,2,1)-VLOOKUP($AO125,'Технический лист'!$I:$J,2,1)),1+(1-$AU125))</f>
        <v>1.0999999999999999</v>
      </c>
      <c r="BP125" s="15">
        <f>MIN(IF($AU125=100%,1,1+VLOOKUP(($AJ125-$AI125-$AH125-$AG125-$AF125-$AE125*(1+BP$3))/$AJ125,'Технический лист'!$I:$J,2,1)-VLOOKUP($AO125,'Технический лист'!$I:$J,2,1)),1+(1-$AU125))</f>
        <v>1.0999999999999999</v>
      </c>
      <c r="BQ125" s="15">
        <f>MIN(IF($AU125=100%,1,1+VLOOKUP(($AJ125-$AI125-$AH125-$AG125-$AF125-$AE125*(1+BQ$3))/$AJ125,'Технический лист'!$I:$J,2,1)-VLOOKUP($AO125,'Технический лист'!$I:$J,2,1)),1+(1-$AU125))</f>
        <v>1.0999999999999999</v>
      </c>
      <c r="BR125" s="15">
        <f>MIN(IF($AU125=100%,1,1+VLOOKUP(($AJ125-$AI125-$AH125-$AG125-$AF125-$AE125*(1+BR$3))/$AJ125,'Технический лист'!$I:$J,2,1)-VLOOKUP($AO125,'Технический лист'!$I:$J,2,1)),1+(1-$AU125))</f>
        <v>1.0999999999999999</v>
      </c>
      <c r="BS125" s="15">
        <f>MIN(IF($AU125=100%,1,1+VLOOKUP(($AJ125-$AI125-$AH125-$AG125-$AF125-$AE125*(1+BS$3))/$AJ125,'Технический лист'!$I:$J,2,1)-VLOOKUP($AO125,'Технический лист'!$I:$J,2,1)),1+(1-$AU125))</f>
        <v>1.0999999999999999</v>
      </c>
      <c r="BT125" s="15">
        <f>MIN(IF($AU125=100%,1,1+VLOOKUP(($AJ125-$AI125-$AH125-$AG125-$AF125-$AE125*(1+BT$3))/$AJ125,'Технический лист'!$I:$J,2,1)-VLOOKUP($AO125,'Технический лист'!$I:$J,2,1)),1+(1-$AU125))</f>
        <v>1.0999999999999999</v>
      </c>
      <c r="BU125" s="15">
        <f>MIN(IF($AU125=100%,1,1+VLOOKUP(($AJ125-$AI125-$AH125-$AG125-$AF125-$AE125*(1+BU$3))/$AJ125,'Технический лист'!$I:$J,2,1)-VLOOKUP($AO125,'Технический лист'!$I:$J,2,1)),1+(1-$AU125))</f>
        <v>1.0999999999999999</v>
      </c>
      <c r="BV125" s="15">
        <f>MIN(IF($AU125=100%,1,1+VLOOKUP(($AJ125-$AI125-$AH125-$AG125-$AF125-$AE125*(1+BV$3))/$AJ125,'Технический лист'!$I:$J,2,1)-VLOOKUP($AO125,'Технический лист'!$I:$J,2,1)),1+(1-$AU125))</f>
        <v>1.0999999999999999</v>
      </c>
      <c r="BW125" s="15">
        <f>MIN(IF($AU125=100%,1,1+VLOOKUP(($AJ125-$AI125-$AH125-$AG125-$AF125-$AE125*(1+BW$3))/$AJ125,'Технический лист'!$I:$J,2,1)-VLOOKUP($AO125,'Технический лист'!$I:$J,2,1)),1+(1-$AU125))</f>
        <v>1.0999999999999999</v>
      </c>
      <c r="BX125" s="15">
        <f>MIN(IF($AU125=100%,1,1+VLOOKUP(($AJ125-$AI125-$AH125-$AG125-$AF125-$AE125*(1+BX$3))/$AJ125,'Технический лист'!$I:$J,2,1)-VLOOKUP($AO125,'Технический лист'!$I:$J,2,1)),1+(1-$AU125))</f>
        <v>1.0999999999999999</v>
      </c>
      <c r="BY125" s="15">
        <f>MIN(IF($AU125=100%,1,1+VLOOKUP(($AJ125-$AI125-$AH125-$AG125-$AF125-$AE125*(1+BY$3))/$AJ125,'Технический лист'!$I:$J,2,1)-VLOOKUP($AO125,'Технический лист'!$I:$J,2,1)),1+(1-$AU125))</f>
        <v>1.0999999999999999</v>
      </c>
      <c r="BZ125" s="15">
        <f>MIN(IF($AU125=100%,1,1+VLOOKUP(($AJ125-$AI125-$AH125-$AG125-$AF125-$AE125*(1+BZ$3))/$AJ125,'Технический лист'!$I:$J,2,1)-VLOOKUP($AO125,'Технический лист'!$I:$J,2,1)),1+(1-$AU125))</f>
        <v>1.0999999999999999</v>
      </c>
      <c r="CA125" s="15">
        <f>MIN(IF($AU125=100%,1,1+VLOOKUP(($AJ125-$AI125-$AH125-$AG125-$AF125-$AE125*(1+CA$3))/$AJ125,'Технический лист'!$I:$J,2,1)-VLOOKUP($AO125,'Технический лист'!$I:$J,2,1)),1+(1-$AU125))</f>
        <v>1.0999999999999999</v>
      </c>
      <c r="CB125" s="15">
        <f>MIN(IF($AU125=100%,1,1+VLOOKUP(($AJ125-$AI125-$AH125-$AG125-$AF125-$AE125*(1+CB$3))/$AJ125,'Технический лист'!$I:$J,2,1)-VLOOKUP($AO125,'Технический лист'!$I:$J,2,1)),1+(1-$AU125))</f>
        <v>1.0999999999999999</v>
      </c>
      <c r="CC125" s="15">
        <f>MIN(IF($AU125=100%,1,1+VLOOKUP(($AJ125-$AI125-$AH125-$AG125-$AF125-$AE125*(1+CC$3))/$AJ125,'Технический лист'!$I:$J,2,1)-VLOOKUP($AO125,'Технический лист'!$I:$J,2,1)),1+(1-$AU125))</f>
        <v>1.0999999999999999</v>
      </c>
      <c r="CD125" s="15">
        <f>MIN(IF($AU125=100%,1,1+VLOOKUP(($AJ125-$AI125-$AH125-$AG125-$AF125-$AE125*(1+CD$3))/$AJ125,'Технический лист'!$I:$J,2,1)-VLOOKUP($AO125,'Технический лист'!$I:$J,2,1)),1+(1-$AU125))</f>
        <v>1.0999999999999999</v>
      </c>
      <c r="CE125" s="15">
        <f>MIN(IF($AU125=100%,1,1+VLOOKUP(($AJ125-$AI125-$AH125-$AG125-$AF125-$AE125*(1+CE$3))/$AJ125,'Технический лист'!$I:$J,2,1)-VLOOKUP($AO125,'Технический лист'!$I:$J,2,1)),1+(1-$AU125))</f>
        <v>1.0999999999999999</v>
      </c>
      <c r="CF125" s="15">
        <f>MIN(IF($AU125=100%,1,1+VLOOKUP(($AJ125-$AI125-$AH125-$AG125-$AF125-$AE125*(1+CF$3))/$AJ125,'Технический лист'!$I:$J,2,1)-VLOOKUP($AO125,'Технический лист'!$I:$J,2,1)),1+(1-$AU125))</f>
        <v>1.0999999999999999</v>
      </c>
      <c r="CG125" s="15">
        <f>MIN(IF($AU125=100%,1,1+VLOOKUP(($AJ125-$AI125-$AH125-$AG125-$AF125-$AE125*(1+CG$3))/$AJ125,'Технический лист'!$I:$J,2,1)-VLOOKUP($AO125,'Технический лист'!$I:$J,2,1)),1+(1-$AU125))</f>
        <v>1.0999999999999999</v>
      </c>
      <c r="CH125" s="15">
        <f>MIN(IF($AU125=100%,1,1+VLOOKUP(($AJ125-$AI125-$AH125-$AG125-$AF125-$AE125*(1+CH$3))/$AJ125,'Технический лист'!$I:$J,2,1)-VLOOKUP($AO125,'Технический лист'!$I:$J,2,1)),1+(1-$AU125))</f>
        <v>1.0999999999999999</v>
      </c>
      <c r="CI125" s="15">
        <f>MIN(IF($AU125=100%,1,1+VLOOKUP(($AJ125-$AI125-$AH125-$AG125-$AF125-$AE125*(1+CI$3))/$AJ125,'Технический лист'!$I:$J,2,1)-VLOOKUP($AO125,'Технический лист'!$I:$J,2,1)),1+(1-$AU125))</f>
        <v>1.0999999999999999</v>
      </c>
      <c r="CJ125" s="15">
        <f>MIN(IF($AU125=100%,1,1+VLOOKUP(($AJ125-$AI125-$AH125-$AG125-$AF125-$AE125*(1+CJ$3))/$AJ125,'Технический лист'!$I:$J,2,1)-VLOOKUP($AO125,'Технический лист'!$I:$J,2,1)),1+(1-$AU125))</f>
        <v>1.0999999999999999</v>
      </c>
      <c r="CK125" s="15">
        <f>MIN(IF($AU125=100%,1,1+VLOOKUP(($AJ125-$AI125-$AH125-$AG125-$AF125-$AE125*(1+CK$3))/$AJ125,'Технический лист'!$I:$J,2,1)-VLOOKUP($AO125,'Технический лист'!$I:$J,2,1)),1+(1-$AU125))</f>
        <v>1.0999999999999999</v>
      </c>
      <c r="CL125" s="15">
        <f>MIN(IF($AU125=100%,1,1+VLOOKUP(($AJ125-$AI125-$AH125-$AG125-$AF125-$AE125*(1+CL$3))/$AJ125,'Технический лист'!$I:$J,2,1)-VLOOKUP($AO125,'Технический лист'!$I:$J,2,1)),1+(1-$AU125))</f>
        <v>1.0999999999999999</v>
      </c>
      <c r="CM125" s="15">
        <f>MIN(IF($AU125=100%,1,1+VLOOKUP(($AJ125-$AI125-$AH125-$AG125-$AF125-$AE125*(1+CM$3))/$AJ125,'Технический лист'!$I:$J,2,1)-VLOOKUP($AO125,'Технический лист'!$I:$J,2,1)),1+(1-$AU125))</f>
        <v>1.0999999999999999</v>
      </c>
      <c r="CN125" s="15">
        <f>MIN(IF($AU125=100%,1,1+VLOOKUP(($AJ125-$AI125-$AH125-$AG125-$AF125-$AE125*(1+CN$3))/$AJ125,'Технический лист'!$I:$J,2,1)-VLOOKUP($AO125,'Технический лист'!$I:$J,2,1)),1+(1-$AU125))</f>
        <v>1.0999999999999999</v>
      </c>
      <c r="CO125" s="15">
        <f>MIN(IF($AU125=100%,1,1+VLOOKUP(($AJ125-$AI125-$AH125-$AG125-$AF125-$AE125*(1+CO$3))/$AJ125,'Технический лист'!$I:$J,2,1)-VLOOKUP($AO125,'Технический лист'!$I:$J,2,1)),1+(1-$AU125))</f>
        <v>1.0999999999999999</v>
      </c>
      <c r="CP125" s="15">
        <f>MIN(IF($AU125=100%,1,1+VLOOKUP(($AJ125-$AI125-$AH125-$AG125-$AF125-$AE125*(1+CP$3))/$AJ125,'Технический лист'!$I:$J,2,1)-VLOOKUP($AO125,'Технический лист'!$I:$J,2,1)),1+(1-$AU125))</f>
        <v>1.0999999999999999</v>
      </c>
      <c r="CQ125" s="15">
        <f>MIN(IF($AU125=100%,1,1+VLOOKUP(($AJ125-$AI125-$AH125-$AG125-$AF125-$AE125*(1+CQ$3))/$AJ125,'Технический лист'!$I:$J,2,1)-VLOOKUP($AO125,'Технический лист'!$I:$J,2,1)),1+(1-$AU125))</f>
        <v>1.0999999999999999</v>
      </c>
      <c r="CR125" s="15">
        <f>MIN(IF($AU125=100%,1,1+VLOOKUP(($AJ125-$AI125-$AH125-$AG125-$AF125-$AE125*(1+CR$3))/$AJ125,'Технический лист'!$I:$J,2,1)-VLOOKUP($AO125,'Технический лист'!$I:$J,2,1)),1+(1-$AU125))</f>
        <v>1.0999999999999999</v>
      </c>
      <c r="CS125" s="15">
        <f>MIN(IF($AU125=100%,1,1+VLOOKUP(($AJ125-$AI125-$AH125-$AG125-$AF125-$AE125*(1+CS$3))/$AJ125,'Технический лист'!$I:$J,2,1)-VLOOKUP($AO125,'Технический лист'!$I:$J,2,1)),1+(1-$AU125))</f>
        <v>1.0999999999999999</v>
      </c>
      <c r="CT125" s="15">
        <f>MIN(IF($AU125=100%,1,1+VLOOKUP(($AJ125-$AI125-$AH125-$AG125-$AF125-$AE125*(1+CT$3))/$AJ125,'Технический лист'!$I:$J,2,1)-VLOOKUP($AO125,'Технический лист'!$I:$J,2,1)),1+(1-$AU125))</f>
        <v>1.0999999999999999</v>
      </c>
      <c r="CU125" s="15">
        <f>MIN(IF($AU125=100%,1,1+VLOOKUP(($AJ125-$AI125-$AH125-$AG125-$AF125-$AE125*(1+CU$3))/$AJ125,'Технический лист'!$I:$J,2,1)-VLOOKUP($AO125,'Технический лист'!$I:$J,2,1)),1+(1-$AU125))</f>
        <v>1.0999999999999999</v>
      </c>
      <c r="CV125" s="15">
        <f>MIN(IF($AU125=100%,1,1+VLOOKUP(($AJ125-$AI125-$AH125-$AG125-$AF125-$AE125*(1+CV$3))/$AJ125,'Технический лист'!$I:$J,2,1)-VLOOKUP($AO125,'Технический лист'!$I:$J,2,1)),1+(1-$AU125))</f>
        <v>1.0999999999999999</v>
      </c>
      <c r="CW125" s="15">
        <f>MIN(IF($AU125=100%,1,1+VLOOKUP(($AJ125-$AI125-$AH125-$AG125-$AF125-$AE125*(1+CW$3))/$AJ125,'Технический лист'!$I:$J,2,1)-VLOOKUP($AO125,'Технический лист'!$I:$J,2,1)),1+(1-$AU125))</f>
        <v>1.0999999999999999</v>
      </c>
      <c r="CX125" s="15">
        <f>MIN(IF($AU125=100%,1,1+VLOOKUP(($AJ125-$AI125-$AH125-$AG125-$AF125-$AE125*(1+CX$3))/$AJ125,'Технический лист'!$I:$J,2,1)-VLOOKUP($AO125,'Технический лист'!$I:$J,2,1)),1+(1-$AU125))</f>
        <v>1.0999999999999999</v>
      </c>
      <c r="CY125" s="15">
        <f>MIN(IF($AU125=100%,1,1+VLOOKUP(($AJ125-$AI125-$AH125-$AG125-$AF125-$AE125*(1+CY$3))/$AJ125,'Технический лист'!$I:$J,2,1)-VLOOKUP($AO125,'Технический лист'!$I:$J,2,1)),1+(1-$AU125))</f>
        <v>1.0999999999999999</v>
      </c>
      <c r="CZ125" s="15">
        <f>MIN(IF($AU125=100%,1,1+VLOOKUP(($AJ125-$AI125-$AH125-$AG125-$AF125-$AE125*(1+CZ$3))/$AJ125,'Технический лист'!$I:$J,2,1)-VLOOKUP($AO125,'Технический лист'!$I:$J,2,1)),1+(1-$AU125))</f>
        <v>1.0999999999999999</v>
      </c>
      <c r="DA125" s="15">
        <f>MIN(IF($AU125=100%,1,1+VLOOKUP(($AJ125-$AI125-$AH125-$AG125-$AF125-$AE125*(1+DA$3))/$AJ125,'Технический лист'!$I:$J,2,1)-VLOOKUP($AO125,'Технический лист'!$I:$J,2,1)),1+(1-$AU125))</f>
        <v>1.0999999999999999</v>
      </c>
      <c r="DB125" s="15">
        <f>MIN(IF($AU125=100%,1,1+VLOOKUP(($AJ125-$AI125-$AH125-$AG125-$AF125-$AE125*(1+DB$3))/$AJ125,'Технический лист'!$I:$J,2,1)-VLOOKUP($AO125,'Технический лист'!$I:$J,2,1)),1+(1-$AU125))</f>
        <v>1.0999999999999999</v>
      </c>
      <c r="DC125" s="15">
        <f>MIN(IF($AU125=100%,1,1+VLOOKUP(($AJ125-$AI125-$AH125-$AG125-$AF125-$AE125*(1+DC$3))/$AJ125,'Технический лист'!$I:$J,2,1)-VLOOKUP($AO125,'Технический лист'!$I:$J,2,1)),1+(1-$AU125))</f>
        <v>1.0999999999999999</v>
      </c>
      <c r="DD125" s="15">
        <f>MIN(IF($AU125=100%,1,1+VLOOKUP(($AJ125-$AI125-$AH125-$AG125-$AF125-$AE125*(1+DD$3))/$AJ125,'Технический лист'!$I:$J,2,1)-VLOOKUP($AO125,'Технический лист'!$I:$J,2,1)),1+(1-$AU125))</f>
        <v>1.0999999999999999</v>
      </c>
      <c r="DE125" s="15">
        <f>MIN(IF($AU125=100%,1,1+VLOOKUP(($AJ125-$AI125-$AH125-$AG125-$AF125-$AE125*(1+DE$3))/$AJ125,'Технический лист'!$I:$J,2,1)-VLOOKUP($AO125,'Технический лист'!$I:$J,2,1)),1+(1-$AU125))</f>
        <v>1.0999999999999999</v>
      </c>
      <c r="DF125" s="15">
        <f>MIN(IF($AU125=100%,1,1+VLOOKUP(($AJ125-$AI125-$AH125-$AG125-$AF125-$AE125*(1+DF$3))/$AJ125,'Технический лист'!$I:$J,2,1)-VLOOKUP($AO125,'Технический лист'!$I:$J,2,1)),1+(1-$AU125))</f>
        <v>1.0999999999999999</v>
      </c>
      <c r="DG125" s="15">
        <f>MIN(IF($AU125=100%,1,1+VLOOKUP(($AJ125-$AI125-$AH125-$AG125-$AF125-$AE125*(1+DG$3))/$AJ125,'Технический лист'!$I:$J,2,1)-VLOOKUP($AO125,'Технический лист'!$I:$J,2,1)),1+(1-$AU125))</f>
        <v>1.0999999999999999</v>
      </c>
      <c r="DH125" s="15">
        <f>MIN(IF($AU125=100%,1,1+VLOOKUP(($AJ125-$AI125-$AH125-$AG125-$AF125-$AE125*(1+DH$3))/$AJ125,'Технический лист'!$I:$J,2,1)-VLOOKUP($AO125,'Технический лист'!$I:$J,2,1)),1+(1-$AU125))</f>
        <v>1.0999999999999999</v>
      </c>
      <c r="DI125" s="15">
        <f>MIN(IF($AU125=100%,1,1+VLOOKUP(($AJ125-$AI125-$AH125-$AG125-$AF125-$AE125*(1+DI$3))/$AJ125,'Технический лист'!$I:$J,2,1)-VLOOKUP($AO125,'Технический лист'!$I:$J,2,1)),1+(1-$AU125))</f>
        <v>1.0999999999999999</v>
      </c>
      <c r="DJ125" s="15">
        <f>MIN(IF($AU125=100%,1,1+VLOOKUP(($AJ125-$AI125-$AH125-$AG125-$AF125-$AE125*(1+DJ$3))/$AJ125,'Технический лист'!$I:$J,2,1)-VLOOKUP($AO125,'Технический лист'!$I:$J,2,1)),1+(1-$AU125))</f>
        <v>1.0999999999999999</v>
      </c>
      <c r="DK125" s="15">
        <f>MIN(IF($AU125=100%,1,1+VLOOKUP(($AJ125-$AI125-$AH125-$AG125-$AF125-$AE125*(1+DK$3))/$AJ125,'Технический лист'!$I:$J,2,1)-VLOOKUP($AO125,'Технический лист'!$I:$J,2,1)),1+(1-$AU125))</f>
        <v>1.0999999999999999</v>
      </c>
      <c r="DL125" s="15">
        <f>MIN(IF($AU125=100%,1,1+VLOOKUP(($AJ125-$AI125-$AH125-$AG125-$AF125-$AE125*(1+DL$3))/$AJ125,'Технический лист'!$I:$J,2,1)-VLOOKUP($AO125,'Технический лист'!$I:$J,2,1)),1+(1-$AU125))</f>
        <v>1.0999999999999999</v>
      </c>
      <c r="DM125" s="15">
        <f>MIN(IF($AU125=100%,1,1+VLOOKUP(($AJ125-$AI125-$AH125-$AG125-$AF125-$AE125*(1+DM$3))/$AJ125,'Технический лист'!$I:$J,2,1)-VLOOKUP($AO125,'Технический лист'!$I:$J,2,1)),1+(1-$AU125))</f>
        <v>1.0999999999999999</v>
      </c>
      <c r="DN125" s="15">
        <f>MIN(IF($AU125=100%,1,1+VLOOKUP(($AJ125-$AI125-$AH125-$AG125-$AF125-$AE125*(1+DN$3))/$AJ125,'Технический лист'!$I:$J,2,1)-VLOOKUP($AO125,'Технический лист'!$I:$J,2,1)),1+(1-$AU125))</f>
        <v>1.0999999999999999</v>
      </c>
      <c r="DO125" s="15">
        <f>MIN(IF($AU125=100%,1,1+VLOOKUP(($AJ125-$AI125-$AH125-$AG125-$AF125-$AE125*(1+DO$3))/$AJ125,'Технический лист'!$I:$J,2,1)-VLOOKUP($AO125,'Технический лист'!$I:$J,2,1)),1+(1-$AU125))</f>
        <v>1.0999999999999999</v>
      </c>
      <c r="DP125" s="15">
        <f>MIN(IF($AU125=100%,1,1+VLOOKUP(($AJ125-$AI125-$AH125-$AG125-$AF125-$AE125*(1+DP$3))/$AJ125,'Технический лист'!$I:$J,2,1)-VLOOKUP($AO125,'Технический лист'!$I:$J,2,1)),1+(1-$AU125))</f>
        <v>1.0999999999999999</v>
      </c>
      <c r="DQ125" s="15">
        <f>MIN(IF($AU125=100%,1,1+VLOOKUP(($AJ125-$AI125-$AH125-$AG125-$AF125-$AE125*(1+DQ$3))/$AJ125,'Технический лист'!$I:$J,2,1)-VLOOKUP($AO125,'Технический лист'!$I:$J,2,1)),1+(1-$AU125))</f>
        <v>1.0999999999999999</v>
      </c>
      <c r="DR125" s="15">
        <f>MIN(IF($AU125=100%,1,1+VLOOKUP(($AJ125-$AI125-$AH125-$AG125-$AF125-$AE125*(1+DR$3))/$AJ125,'Технический лист'!$I:$J,2,1)-VLOOKUP($AO125,'Технический лист'!$I:$J,2,1)),1+(1-$AU125))</f>
        <v>1.0999999999999999</v>
      </c>
      <c r="DS125" s="15">
        <f>MIN(IF($AU125=100%,1,1+VLOOKUP(($AJ125-$AI125-$AH125-$AG125-$AF125-$AE125*(1+DS$3))/$AJ125,'Технический лист'!$I:$J,2,1)-VLOOKUP($AO125,'Технический лист'!$I:$J,2,1)),1+(1-$AU125))</f>
        <v>1.0999999999999999</v>
      </c>
      <c r="DT125" s="15">
        <f>MIN(IF($AU125=100%,1,1+VLOOKUP(($AJ125-$AI125-$AH125-$AG125-$AF125-$AE125*(1+DT$3))/$AJ125,'Технический лист'!$I:$J,2,1)-VLOOKUP($AO125,'Технический лист'!$I:$J,2,1)),1+(1-$AU125))</f>
        <v>1.0999999999999999</v>
      </c>
      <c r="DU125" s="15">
        <f>MIN(IF($AU125=100%,1,1+VLOOKUP(($AJ125-$AI125-$AH125-$AG125-$AF125-$AE125*(1+DU$3))/$AJ125,'Технический лист'!$I:$J,2,1)-VLOOKUP($AO125,'Технический лист'!$I:$J,2,1)),1+(1-$AU125))</f>
        <v>1.0999999999999999</v>
      </c>
      <c r="DV125" s="15">
        <f>MIN(IF($AU125=100%,1,1+VLOOKUP(($AJ125-$AI125-$AH125-$AG125-$AF125-$AE125*(1+DV$3))/$AJ125,'Технический лист'!$I:$J,2,1)-VLOOKUP($AO125,'Технический лист'!$I:$J,2,1)),1+(1-$AU125))</f>
        <v>1.0999999999999999</v>
      </c>
      <c r="DW125" s="15">
        <f>MIN(IF($AU125=100%,1,1+VLOOKUP(($AJ125-$AI125-$AH125-$AG125-$AF125-$AE125*(1+DW$3))/$AJ125,'Технический лист'!$I:$J,2,1)-VLOOKUP($AO125,'Технический лист'!$I:$J,2,1)),1+(1-$AU125))</f>
        <v>1.0999999999999999</v>
      </c>
      <c r="DX125" s="15">
        <f>MIN(IF($AU125=100%,1,1+VLOOKUP(($AJ125-$AI125-$AH125-$AG125-$AF125-$AE125*(1+DX$3))/$AJ125,'Технический лист'!$I:$J,2,1)-VLOOKUP($AO125,'Технический лист'!$I:$J,2,1)),1+(1-$AU125))</f>
        <v>1.0999999999999999</v>
      </c>
      <c r="DY125" s="15">
        <f>MIN(IF($AU125=100%,1,1+VLOOKUP(($AJ125-$AI125-$AH125-$AG125-$AF125-$AE125*(1+DY$3))/$AJ125,'Технический лист'!$I:$J,2,1)-VLOOKUP($AO125,'Технический лист'!$I:$J,2,1)),1+(1-$AU125))</f>
        <v>1.0999999999999999</v>
      </c>
      <c r="DZ125" s="15">
        <f>MIN(IF($AU125=100%,1,1+VLOOKUP(($AJ125-$AI125-$AH125-$AG125-$AF125-$AE125*(1+DZ$3))/$AJ125,'Технический лист'!$I:$J,2,1)-VLOOKUP($AO125,'Технический лист'!$I:$J,2,1)),1+(1-$AU125))</f>
        <v>1.0999999999999999</v>
      </c>
      <c r="EA125" s="15">
        <f>MIN(IF($AU125=100%,1,1+VLOOKUP(($AJ125-$AI125-$AH125-$AG125-$AF125-$AE125*(1+EA$3))/$AJ125,'Технический лист'!$I:$J,2,1)-VLOOKUP($AO125,'Технический лист'!$I:$J,2,1)),1+(1-$AU125))</f>
        <v>1.0999999999999999</v>
      </c>
      <c r="EB125" s="15">
        <f>MIN(IF($AU125=100%,1,1+VLOOKUP(($AJ125-$AI125-$AH125-$AG125-$AF125-$AE125*(1+EB$3))/$AJ125,'Технический лист'!$I:$J,2,1)-VLOOKUP($AO125,'Технический лист'!$I:$J,2,1)),1+(1-$AU125))</f>
        <v>1.05</v>
      </c>
      <c r="EC125" s="15">
        <f>MIN(IF($AU125=100%,1,1+VLOOKUP(($AJ125-$AI125-$AH125-$AG125-$AF125-$AE125*(1+EC$3))/$AJ125,'Технический лист'!$I:$J,2,1)-VLOOKUP($AO125,'Технический лист'!$I:$J,2,1)),1+(1-$AU125))</f>
        <v>1.05</v>
      </c>
      <c r="ED125" s="15">
        <f>MIN(IF($AU125=100%,1,1+VLOOKUP(($AJ125-$AI125-$AH125-$AG125-$AF125-$AE125*(1+ED$3))/$AJ125,'Технический лист'!$I:$J,2,1)-VLOOKUP($AO125,'Технический лист'!$I:$J,2,1)),1+(1-$AU125))</f>
        <v>1.05</v>
      </c>
      <c r="EE125" s="15">
        <f>MIN(IF($AU125=100%,1,1+VLOOKUP(($AJ125-$AI125-$AH125-$AG125-$AF125-$AE125*(1+EE$3))/$AJ125,'Технический лист'!$I:$J,2,1)-VLOOKUP($AO125,'Технический лист'!$I:$J,2,1)),1+(1-$AU125))</f>
        <v>1.05</v>
      </c>
      <c r="EF125" s="15">
        <f>MIN(IF($AU125=100%,1,1+VLOOKUP(($AJ125-$AI125-$AH125-$AG125-$AF125-$AE125*(1+EF$3))/$AJ125,'Технический лист'!$I:$J,2,1)-VLOOKUP($AO125,'Технический лист'!$I:$J,2,1)),1+(1-$AU125))</f>
        <v>1.05</v>
      </c>
      <c r="EG125" s="15">
        <f>MIN(IF($AU125=100%,1,1+VLOOKUP(($AJ125-$AI125-$AH125-$AG125-$AF125-$AE125*(1+EG$3))/$AJ125,'Технический лист'!$I:$J,2,1)-VLOOKUP($AO125,'Технический лист'!$I:$J,2,1)),1+(1-$AU125))</f>
        <v>1.05</v>
      </c>
      <c r="EH125" s="15">
        <f>MIN(IF($AU125=100%,1,1+VLOOKUP(($AJ125-$AI125-$AH125-$AG125-$AF125-$AE125*(1+EH$3))/$AJ125,'Технический лист'!$I:$J,2,1)-VLOOKUP($AO125,'Технический лист'!$I:$J,2,1)),1+(1-$AU125))</f>
        <v>1.05</v>
      </c>
      <c r="EI125" s="15">
        <f>MIN(IF($AU125=100%,1,1+VLOOKUP(($AJ125-$AI125-$AH125-$AG125-$AF125-$AE125*(1+EI$3))/$AJ125,'Технический лист'!$I:$J,2,1)-VLOOKUP($AO125,'Технический лист'!$I:$J,2,1)),1+(1-$AU125))</f>
        <v>1.05</v>
      </c>
      <c r="EJ125" s="15">
        <f>MIN(IF($AU125=100%,1,1+VLOOKUP(($AJ125-$AI125-$AH125-$AG125-$AF125-$AE125*(1+EJ$3))/$AJ125,'Технический лист'!$I:$J,2,1)-VLOOKUP($AO125,'Технический лист'!$I:$J,2,1)),1+(1-$AU125))</f>
        <v>1.05</v>
      </c>
      <c r="EK125" s="15">
        <f>MIN(IF($AU125=100%,1,1+VLOOKUP(($AJ125-$AI125-$AH125-$AG125-$AF125-$AE125*(1+EK$3))/$AJ125,'Технический лист'!$I:$J,2,1)-VLOOKUP($AO125,'Технический лист'!$I:$J,2,1)),1+(1-$AU125))</f>
        <v>1.05</v>
      </c>
      <c r="EL125" s="15">
        <f>MIN(IF($AU125=100%,1,1+VLOOKUP(($AJ125-$AI125-$AH125-$AG125-$AF125-$AE125*(1+EL$3))/$AJ125,'Технический лист'!$I:$J,2,1)-VLOOKUP($AO125,'Технический лист'!$I:$J,2,1)),1+(1-$AU125))</f>
        <v>1.05</v>
      </c>
      <c r="EM125" s="15">
        <f>MIN(IF($AU125=100%,1,1+VLOOKUP(($AJ125-$AI125-$AH125-$AG125-$AF125-$AE125*(1+EM$3))/$AJ125,'Технический лист'!$I:$J,2,1)-VLOOKUP($AO125,'Технический лист'!$I:$J,2,1)),1+(1-$AU125))</f>
        <v>1.05</v>
      </c>
      <c r="EN125" s="15">
        <f>MIN(IF($AU125=100%,1,1+VLOOKUP(($AJ125-$AI125-$AH125-$AG125-$AF125-$AE125*(1+EN$3))/$AJ125,'Технический лист'!$I:$J,2,1)-VLOOKUP($AO125,'Технический лист'!$I:$J,2,1)),1+(1-$AU125))</f>
        <v>1.05</v>
      </c>
      <c r="EO125" s="15">
        <f>MIN(IF($AU125=100%,1,1+VLOOKUP(($AJ125-$AI125-$AH125-$AG125-$AF125-$AE125*(1+EO$3))/$AJ125,'Технический лист'!$I:$J,2,1)-VLOOKUP($AO125,'Технический лист'!$I:$J,2,1)),1+(1-$AU125))</f>
        <v>1.05</v>
      </c>
      <c r="EP125" s="15">
        <f>MIN(IF($AU125=100%,1,1+VLOOKUP(($AJ125-$AI125-$AH125-$AG125-$AF125-$AE125*(1+EP$3))/$AJ125,'Технический лист'!$I:$J,2,1)-VLOOKUP($AO125,'Технический лист'!$I:$J,2,1)),1+(1-$AU125))</f>
        <v>1.05</v>
      </c>
      <c r="EQ125" s="15">
        <f>MIN(IF($AU125=100%,1,1+VLOOKUP(($AJ125-$AI125-$AH125-$AG125-$AF125-$AE125*(1+EQ$3))/$AJ125,'Технический лист'!$I:$J,2,1)-VLOOKUP($AO125,'Технический лист'!$I:$J,2,1)),1+(1-$AU125))</f>
        <v>1.05</v>
      </c>
      <c r="ER125" s="15">
        <f>MIN(IF($AU125=100%,1,1+VLOOKUP(($AJ125-$AI125-$AH125-$AG125-$AF125-$AE125*(1+ER$3))/$AJ125,'Технический лист'!$I:$J,2,1)-VLOOKUP($AO125,'Технический лист'!$I:$J,2,1)),1+(1-$AU125))</f>
        <v>1.05</v>
      </c>
      <c r="ES125" s="15">
        <f>MIN(IF($AU125=100%,1,1+VLOOKUP(($AJ125-$AI125-$AH125-$AG125-$AF125-$AE125*(1+ES$3))/$AJ125,'Технический лист'!$I:$J,2,1)-VLOOKUP($AO125,'Технический лист'!$I:$J,2,1)),1+(1-$AU125))</f>
        <v>1.05</v>
      </c>
      <c r="ET125" s="15">
        <f>MIN(IF($AU125=100%,1,1+VLOOKUP(($AJ125-$AI125-$AH125-$AG125-$AF125-$AE125*(1+ET$3))/$AJ125,'Технический лист'!$I:$J,2,1)-VLOOKUP($AO125,'Технический лист'!$I:$J,2,1)),1+(1-$AU125))</f>
        <v>1.0000000000000002</v>
      </c>
      <c r="EU125" s="15">
        <f>MIN(IF($AU125=100%,1,1+VLOOKUP(($AJ125-$AI125-$AH125-$AG125-$AF125-$AE125*(1+EU$3))/$AJ125,'Технический лист'!$I:$J,2,1)-VLOOKUP($AO125,'Технический лист'!$I:$J,2,1)),1+(1-$AU125))</f>
        <v>1.0000000000000002</v>
      </c>
      <c r="EV125" s="111">
        <v>1</v>
      </c>
      <c r="EW125" s="15">
        <f>MIN(1,MAX(VLOOKUP(($AJ125-$AI125-$AH125-$AG125-$AF125-$AE125*(1+EW$3))/$AJ125,'Технический лист'!$A:$B,2,1),(EV125-0.05)))</f>
        <v>1</v>
      </c>
      <c r="EX125" s="15">
        <f>MIN(1,MAX(VLOOKUP(($AJ125-$AI125-$AH125-$AG125-$AF125-$AE125*(1+EX$3))/$AJ125,'Технический лист'!$A:$B,2,1),(EW125-0.05)))</f>
        <v>1</v>
      </c>
      <c r="EY125" s="15">
        <f>MIN(1,MAX(VLOOKUP(($AJ125-$AI125-$AH125-$AG125-$AF125-$AE125*(1+EY$3))/$AJ125,'Технический лист'!$A:$B,2,1),(EX125-0.05)))</f>
        <v>1</v>
      </c>
      <c r="EZ125" s="15">
        <f>MIN(1,MAX(VLOOKUP(($AJ125-$AI125-$AH125-$AG125-$AF125-$AE125*(1+EZ$3))/$AJ125,'Технический лист'!$A:$B,2,1),(EY125-0.05)))</f>
        <v>1</v>
      </c>
      <c r="FA125" s="15">
        <f>MIN(1,MAX(VLOOKUP(($AJ125-$AI125-$AH125-$AG125-$AF125-$AE125*(1+FA$3))/$AJ125,'Технический лист'!$A:$B,2,1),(EZ125-0.05)))</f>
        <v>1</v>
      </c>
      <c r="FB125" s="15">
        <f>MIN(1,MAX(VLOOKUP(($AJ125-$AI125-$AH125-$AG125-$AF125-$AE125*(1+FB$3))/$AJ125,'Технический лист'!$A:$B,2,1),(FA125-0.05)))</f>
        <v>1</v>
      </c>
      <c r="FC125" s="15">
        <f>MIN(1,MAX(VLOOKUP(($AJ125-$AI125-$AH125-$AG125-$AF125-$AE125*(1+FC$3))/$AJ125,'Технический лист'!$A:$B,2,1),(FB125-0.05)))</f>
        <v>1</v>
      </c>
      <c r="FD125" s="15">
        <f>MIN(1,MAX(VLOOKUP(($AJ125-$AI125-$AH125-$AG125-$AF125-$AE125*(1+FD$3))/$AJ125,'Технический лист'!$A:$B,2,1),(FC125-0.05)))</f>
        <v>1</v>
      </c>
      <c r="FE125" s="15">
        <f>MIN(1,MAX(VLOOKUP(($AJ125-$AI125-$AH125-$AG125-$AF125-$AE125*(1+FE$3))/$AJ125,'Технический лист'!$A:$B,2,1),(FD125-0.05)))</f>
        <v>1</v>
      </c>
      <c r="FF125" s="15">
        <f>MIN(1,MAX(VLOOKUP(($AJ125-$AI125-$AH125-$AG125-$AF125-$AE125*(1+FF$3))/$AJ125,'Технический лист'!$A:$B,2,1),(FE125-0.05)))</f>
        <v>1</v>
      </c>
      <c r="FG125" s="15">
        <f>MIN(1,MAX(VLOOKUP(($AJ125-$AI125-$AH125-$AG125-$AF125-$AE125*(1+FG$3))/$AJ125,'Технический лист'!$A:$B,2,1),(FF125-0.05)))</f>
        <v>1</v>
      </c>
      <c r="FH125" s="15">
        <f>MIN(1,MAX(VLOOKUP(($AJ125-$AI125-$AH125-$AG125-$AF125-$AE125*(1+FH$3))/$AJ125,'Технический лист'!$A:$B,2,1),(FG125-0.05)))</f>
        <v>1</v>
      </c>
      <c r="FI125" s="15">
        <f>MIN(1,MAX(VLOOKUP(($AJ125-$AI125-$AH125-$AG125-$AF125-$AE125*(1+FI$3))/$AJ125,'Технический лист'!$A:$B,2,1),(FH125-0.05)))</f>
        <v>1</v>
      </c>
      <c r="FJ125" s="15">
        <f>MIN(1,MAX(VLOOKUP(($AJ125-$AI125-$AH125-$AG125-$AF125-$AE125*(1+FJ$3))/$AJ125,'Технический лист'!$A:$B,2,1),(FI125-0.05)))</f>
        <v>1</v>
      </c>
      <c r="FK125" s="15">
        <f>MIN(1,MAX(VLOOKUP(($AJ125-$AI125-$AH125-$AG125-$AF125-$AE125*(1+FK$3))/$AJ125,'Технический лист'!$A:$B,2,1),(FJ125-0.05)))</f>
        <v>1</v>
      </c>
      <c r="FL125" s="15">
        <f>MIN(1,MAX(VLOOKUP(($AJ125-$AI125-$AH125-$AG125-$AF125-$AE125*(1+FL$3))/$AJ125,'Технический лист'!$A:$B,2,1),(FK125-0.05)))</f>
        <v>1</v>
      </c>
      <c r="FM125" s="15">
        <f>MIN(1,MAX(VLOOKUP(($AJ125-$AI125-$AH125-$AG125-$AF125-$AE125*(1+FM$3))/$AJ125,'Технический лист'!$A:$B,2,1),(FL125-0.05)))</f>
        <v>1</v>
      </c>
      <c r="FN125" s="15">
        <f>MIN(1,MAX(VLOOKUP(($AJ125-$AI125-$AH125-$AG125-$AF125-$AE125*(1+FN$3))/$AJ125,'Технический лист'!$A:$B,2,1),(FM125-0.05)))</f>
        <v>1</v>
      </c>
      <c r="FO125" s="15">
        <f>MIN(1,MAX(VLOOKUP(($AJ125-$AI125-$AH125-$AG125-$AF125-$AE125*(1+FO$3))/$AJ125,'Технический лист'!$A:$B,2,1),(FN125-0.05)))</f>
        <v>1</v>
      </c>
      <c r="FP125" s="15">
        <f>MIN(1,MAX(VLOOKUP(($AJ125-$AI125-$AH125-$AG125-$AF125-$AE125*(1+FP$3))/$AJ125,'Технический лист'!$A:$B,2,1),(FO125-0.05)))</f>
        <v>1</v>
      </c>
      <c r="FQ125" s="15">
        <f>MIN(1,MAX(VLOOKUP(($AJ125-$AI125-$AH125-$AG125-$AF125-$AE125*(1+FQ$3))/$AJ125,'Технический лист'!$A:$B,2,1),(FP125-0.05)))</f>
        <v>1</v>
      </c>
      <c r="FR125" s="15">
        <f>MIN(1,MAX(VLOOKUP(($AJ125-$AI125-$AH125-$AG125-$AF125-$AE125*(1+FR$3))/$AJ125,'Технический лист'!$A:$B,2,1),(FQ125-0.05)))</f>
        <v>1</v>
      </c>
      <c r="FS125" s="15">
        <f>MIN(1,MAX(VLOOKUP(($AJ125-$AI125-$AH125-$AG125-$AF125-$AE125*(1+FS$3))/$AJ125,'Технический лист'!$A:$B,2,1),(FR125-0.05)))</f>
        <v>1</v>
      </c>
      <c r="FT125" s="15">
        <f>MIN(1,MAX(VLOOKUP(($AJ125-$AI125-$AH125-$AG125-$AF125-$AE125*(1+FT$3))/$AJ125,'Технический лист'!$A:$B,2,1),(FS125-0.05)))</f>
        <v>1</v>
      </c>
      <c r="FU125" s="15">
        <f>MIN(1,MAX(VLOOKUP(($AJ125-$AI125-$AH125-$AG125-$AF125-$AE125*(1+FU$3))/$AJ125,'Технический лист'!$A:$B,2,1),(FT125-0.05)))</f>
        <v>1</v>
      </c>
      <c r="FV125" s="15">
        <f>MIN(1,MAX(VLOOKUP(($AJ125-$AI125-$AH125-$AG125-$AF125-$AE125*(1+FV$3))/$AJ125,'Технический лист'!$A:$B,2,1),(FU125-0.05)))</f>
        <v>1</v>
      </c>
      <c r="FW125" s="15">
        <f>MIN(1,MAX(VLOOKUP(($AJ125-$AI125-$AH125-$AG125-$AF125-$AE125*(1+FW$3))/$AJ125,'Технический лист'!$A:$B,2,1),(FV125-0.05)))</f>
        <v>1</v>
      </c>
      <c r="FX125" s="15">
        <f>MIN(1,MAX(VLOOKUP(($AJ125-$AI125-$AH125-$AG125-$AF125-$AE125*(1+FX$3))/$AJ125,'Технический лист'!$A:$B,2,1),(FW125-0.05)))</f>
        <v>1</v>
      </c>
      <c r="FY125" s="15">
        <f>MIN(1,MAX(VLOOKUP(($AJ125-$AI125-$AH125-$AG125-$AF125-$AE125*(1+FY$3))/$AJ125,'Технический лист'!$A:$B,2,1),(FX125-0.05)))</f>
        <v>1</v>
      </c>
      <c r="FZ125" s="15">
        <f>MIN(1,MAX(VLOOKUP(($AJ125-$AI125-$AH125-$AG125-$AF125-$AE125*(1+FZ$3))/$AJ125,'Технический лист'!$A:$B,2,1),(FY125-0.05)))</f>
        <v>1</v>
      </c>
      <c r="GA125" s="15">
        <f>MIN(1,MAX(VLOOKUP(($AJ125-$AI125-$AH125-$AG125-$AF125-$AE125*(1+GA$3))/$AJ125,'Технический лист'!$A:$B,2,1),(FZ125-0.05)))</f>
        <v>1</v>
      </c>
      <c r="GB125" s="15">
        <f>MIN(1,MAX(VLOOKUP(($AJ125-$AI125-$AH125-$AG125-$AF125-$AE125*(1+GB$3))/$AJ125,'Технический лист'!$A:$B,2,1),(GA125-0.05)))</f>
        <v>1</v>
      </c>
      <c r="GC125" s="15">
        <f>MIN(1,MAX(VLOOKUP(($AJ125-$AI125-$AH125-$AG125-$AF125-$AE125*(1+GC$3))/$AJ125,'Технический лист'!$A:$B,2,1),(GB125-0.05)))</f>
        <v>1</v>
      </c>
      <c r="GD125" s="15">
        <f>MIN(1,MAX(VLOOKUP(($AJ125-$AI125-$AH125-$AG125-$AF125-$AE125*(1+GD$3))/$AJ125,'Технический лист'!$A:$B,2,1),(GC125-0.05)))</f>
        <v>1</v>
      </c>
      <c r="GE125" s="15">
        <f>MIN(1,MAX(VLOOKUP(($AJ125-$AI125-$AH125-$AG125-$AF125-$AE125*(1+GE$3))/$AJ125,'Технический лист'!$A:$B,2,1),(GD125-0.05)))</f>
        <v>1</v>
      </c>
      <c r="GF125" s="15">
        <f>MIN(1,MAX(VLOOKUP(($AJ125-$AI125-$AH125-$AG125-$AF125-$AE125*(1+GF$3))/$AJ125,'Технический лист'!$A:$B,2,1),(GE125-0.05)))</f>
        <v>1</v>
      </c>
      <c r="GG125" s="15">
        <f>MIN(1,MAX(VLOOKUP(($AJ125-$AI125-$AH125-$AG125-$AF125-$AE125*(1+GG$3))/$AJ125,'Технический лист'!$A:$B,2,1),(GF125-0.05)))</f>
        <v>1</v>
      </c>
      <c r="GH125" s="15">
        <f>MIN(1,MAX(VLOOKUP(($AJ125-$AI125-$AH125-$AG125-$AF125-$AE125*(1+GH$3))/$AJ125,'Технический лист'!$A:$B,2,1),(GG125-0.05)))</f>
        <v>1</v>
      </c>
      <c r="GI125" s="15">
        <f>MIN(1,MAX(VLOOKUP(($AJ125-$AI125-$AH125-$AG125-$AF125-$AE125*(1+GI$3))/$AJ125,'Технический лист'!$A:$B,2,1),(GH125-0.05)))</f>
        <v>1</v>
      </c>
      <c r="GJ125" s="15">
        <f>MIN(1,MAX(VLOOKUP(($AJ125-$AI125-$AH125-$AG125-$AF125-$AE125*(1+GJ$3))/$AJ125,'Технический лист'!$A:$B,2,1),(GI125-0.05)))</f>
        <v>1</v>
      </c>
      <c r="GK125" s="15">
        <f>MIN(1,MAX(VLOOKUP(($AJ125-$AI125-$AH125-$AG125-$AF125-$AE125*(1+GK$3))/$AJ125,'Технический лист'!$A:$B,2,1),(GJ125-0.05)))</f>
        <v>1</v>
      </c>
      <c r="GL125" s="15">
        <f>MIN(1,MAX(VLOOKUP(($AJ125-$AI125-$AH125-$AG125-$AF125-$AE125*(1+GL$3))/$AJ125,'Технический лист'!$A:$B,2,1),(GK125-0.05)))</f>
        <v>1</v>
      </c>
      <c r="GM125" s="15">
        <f>MIN(1,MAX(VLOOKUP(($AJ125-$AI125-$AH125-$AG125-$AF125-$AE125*(1+GM$3))/$AJ125,'Технический лист'!$A:$B,2,1),(GL125-0.05)))</f>
        <v>1</v>
      </c>
      <c r="GN125" s="15">
        <f>MIN(1,MAX(VLOOKUP(($AJ125-$AI125-$AH125-$AG125-$AF125-$AE125*(1+GN$3))/$AJ125,'Технический лист'!$A:$B,2,1),(GM125-0.05)))</f>
        <v>1</v>
      </c>
      <c r="GO125" s="15">
        <f>MIN(1,MAX(VLOOKUP(($AJ125-$AI125-$AH125-$AG125-$AF125-$AE125*(1+GO$3))/$AJ125,'Технический лист'!$A:$B,2,1),(GN125-0.05)))</f>
        <v>1</v>
      </c>
      <c r="GP125" s="15">
        <f>MIN(1,MAX(VLOOKUP(($AJ125-$AI125-$AH125-$AG125-$AF125-$AE125*(1+GP$3))/$AJ125,'Технический лист'!$A:$B,2,1),(GO125-0.05)))</f>
        <v>1</v>
      </c>
      <c r="GQ125" s="15">
        <f>MIN(1,MAX(VLOOKUP(($AJ125-$AI125-$AH125-$AG125-$AF125-$AE125*(1+GQ$3))/$AJ125,'Технический лист'!$A:$B,2,1),(GP125-0.05)))</f>
        <v>1</v>
      </c>
      <c r="GR125" s="15">
        <f>MIN(1,MAX(VLOOKUP(($AJ125-$AI125-$AH125-$AG125-$AF125-$AE125*(1+GR$3))/$AJ125,'Технический лист'!$A:$B,2,1),(GQ125-0.05)))</f>
        <v>1</v>
      </c>
      <c r="GS125" s="15">
        <f>MIN(1,MAX(VLOOKUP(($AJ125-$AI125-$AH125-$AG125-$AF125-$AE125*(1+GS$3))/$AJ125,'Технический лист'!$A:$B,2,1),(GR125-0.05)))</f>
        <v>1</v>
      </c>
      <c r="GT125" s="15">
        <f>MIN(1,MAX(VLOOKUP(($AJ125-$AI125-$AH125-$AG125-$AF125-$AE125*(1+GT$3))/$AJ125,'Технический лист'!$A:$B,2,1),(GS125-0.05)))</f>
        <v>1</v>
      </c>
      <c r="GU125" s="15">
        <f>MIN(1,MAX(VLOOKUP(($AJ125-$AI125-$AH125-$AG125-$AF125-$AE125*(1+GU$3))/$AJ125,'Технический лист'!$A:$B,2,1),(GT125-0.05)))</f>
        <v>1</v>
      </c>
      <c r="GV125" s="15">
        <f>MIN(1,MAX(VLOOKUP(($AJ125-$AI125-$AH125-$AG125-$AF125-$AE125*(1+GV$3))/$AJ125,'Технический лист'!$A:$B,2,1),(GU125-0.05)))</f>
        <v>1</v>
      </c>
      <c r="GW125" s="15">
        <f>MIN(1,MAX(VLOOKUP(($AJ125-$AI125-$AH125-$AG125-$AF125-$AE125*(1+GW$3))/$AJ125,'Технический лист'!$A:$B,2,1),(GV125-0.05)))</f>
        <v>1</v>
      </c>
      <c r="GX125" s="15">
        <f>MIN(1,MAX(VLOOKUP(($AJ125-$AI125-$AH125-$AG125-$AF125-$AE125*(1+GX$3))/$AJ125,'Технический лист'!$A:$B,2,1),(GW125-0.05)))</f>
        <v>1</v>
      </c>
      <c r="GY125" s="15">
        <f>MIN(1,MAX(VLOOKUP(($AJ125-$AI125-$AH125-$AG125-$AF125-$AE125*(1+GY$3))/$AJ125,'Технический лист'!$A:$B,2,1),(GX125-0.05)))</f>
        <v>1</v>
      </c>
      <c r="GZ125" s="15">
        <f>MIN(1,MAX(VLOOKUP(($AJ125-$AI125-$AH125-$AG125-$AF125-$AE125*(1+GZ$3))/$AJ125,'Технический лист'!$A:$B,2,1),(GY125-0.05)))</f>
        <v>1</v>
      </c>
      <c r="HA125" s="15">
        <f>MIN(1,MAX(VLOOKUP(($AJ125-$AI125-$AH125-$AG125-$AF125-$AE125*(1+HA$3))/$AJ125,'Технический лист'!$A:$B,2,1),(GZ125-0.05)))</f>
        <v>1</v>
      </c>
      <c r="HB125" s="15">
        <f>MIN(1,MAX(VLOOKUP(($AJ125-$AI125-$AH125-$AG125-$AF125-$AE125*(1+HB$3))/$AJ125,'Технический лист'!$A:$B,2,1),(HA125-0.05)))</f>
        <v>1</v>
      </c>
      <c r="HC125" s="15">
        <f>MIN(1,MAX(VLOOKUP(($AJ125-$AI125-$AH125-$AG125-$AF125-$AE125*(1+HC$3))/$AJ125,'Технический лист'!$A:$B,2,1),(HB125-0.05)))</f>
        <v>1</v>
      </c>
      <c r="HD125" s="15">
        <f>MIN(1,MAX(VLOOKUP(($AJ125-$AI125-$AH125-$AG125-$AF125-$AE125*(1+HD$3))/$AJ125,'Технический лист'!$A:$B,2,1),(HC125-0.05)))</f>
        <v>1</v>
      </c>
      <c r="HE125" s="15">
        <f>MIN(1,MAX(VLOOKUP(($AJ125-$AI125-$AH125-$AG125-$AF125-$AE125*(1+HE$3))/$AJ125,'Технический лист'!$A:$B,2,1),(HD125-0.05)))</f>
        <v>1</v>
      </c>
      <c r="HF125" s="15">
        <f>MIN(1,MAX(VLOOKUP(($AJ125-$AI125-$AH125-$AG125-$AF125-$AE125*(1+HF$3))/$AJ125,'Технический лист'!$A:$B,2,1),(HE125-0.05)))</f>
        <v>1</v>
      </c>
      <c r="HG125" s="15">
        <f>MIN(1,MAX(VLOOKUP(($AJ125-$AI125-$AH125-$AG125-$AF125-$AE125*(1+HG$3))/$AJ125,'Технический лист'!$A:$B,2,1),(HF125-0.05)))</f>
        <v>1</v>
      </c>
      <c r="HH125" s="15">
        <f>MIN(1,MAX(VLOOKUP(($AJ125-$AI125-$AH125-$AG125-$AF125-$AE125*(1+HH$3))/$AJ125,'Технический лист'!$A:$B,2,1),(HG125-0.05)))</f>
        <v>1</v>
      </c>
      <c r="HI125" s="15">
        <f>MIN(1,MAX(VLOOKUP(($AJ125-$AI125-$AH125-$AG125-$AF125-$AE125*(1+HI$3))/$AJ125,'Технический лист'!$A:$B,2,1),(HH125-0.05)))</f>
        <v>1</v>
      </c>
      <c r="HJ125" s="15">
        <f>MIN(1,MAX(VLOOKUP(($AJ125-$AI125-$AH125-$AG125-$AF125-$AE125*(1+HJ$3))/$AJ125,'Технический лист'!$A:$B,2,1),(HI125-0.05)))</f>
        <v>1</v>
      </c>
      <c r="HK125" s="15">
        <f>MIN(1,MAX(VLOOKUP(($AJ125-$AI125-$AH125-$AG125-$AF125-$AE125*(1+HK$3))/$AJ125,'Технический лист'!$A:$B,2,1),(HJ125-0.05)))</f>
        <v>1</v>
      </c>
      <c r="HL125" s="15">
        <f>MIN(1,MAX(VLOOKUP(($AJ125-$AI125-$AH125-$AG125-$AF125-$AE125*(1+HL$3))/$AJ125,'Технический лист'!$A:$B,2,1),(HK125-0.05)))</f>
        <v>1</v>
      </c>
      <c r="HM125" s="15">
        <f>MIN(1,MAX(VLOOKUP(($AJ125-$AI125-$AH125-$AG125-$AF125-$AE125*(1+HM$3))/$AJ125,'Технический лист'!$A:$B,2,1),(HL125-0.05)))</f>
        <v>1</v>
      </c>
      <c r="HN125" s="15">
        <f>MIN(1,MAX(VLOOKUP(($AJ125-$AI125-$AH125-$AG125-$AF125-$AE125*(1+HN$3))/$AJ125,'Технический лист'!$A:$B,2,1),(HM125-0.05)))</f>
        <v>1</v>
      </c>
      <c r="HO125" s="15">
        <f>MIN(1,MAX(VLOOKUP(($AJ125-$AI125-$AH125-$AG125-$AF125-$AE125*(1+HO$3))/$AJ125,'Технический лист'!$A:$B,2,1),(HN125-0.05)))</f>
        <v>1</v>
      </c>
      <c r="HP125" s="15">
        <f>MIN(1,MAX(VLOOKUP(($AJ125-$AI125-$AH125-$AG125-$AF125-$AE125*(1+HP$3))/$AJ125,'Технический лист'!$A:$B,2,1),(HO125-0.05)))</f>
        <v>1</v>
      </c>
      <c r="HQ125" s="15">
        <f>MIN(1,MAX(VLOOKUP(($AJ125-$AI125-$AH125-$AG125-$AF125-$AE125*(1+HQ$3))/$AJ125,'Технический лист'!$A:$B,2,1),(HP125-0.05)))</f>
        <v>1</v>
      </c>
      <c r="HR125" s="15">
        <f>MIN(1,MAX(VLOOKUP(($AJ125-$AI125-$AH125-$AG125-$AF125-$AE125*(1+HR$3))/$AJ125,'Технический лист'!$A:$B,2,1),(HQ125-0.05)))</f>
        <v>1</v>
      </c>
      <c r="HS125" s="15">
        <f>MIN(1,MAX(VLOOKUP(($AJ125-$AI125-$AH125-$AG125-$AF125-$AE125*(1+HS$3))/$AJ125,'Технический лист'!$A:$B,2,1),(HR125-0.05)))</f>
        <v>1</v>
      </c>
      <c r="HT125" s="15">
        <f>MIN(1,MAX(VLOOKUP(($AJ125-$AI125-$AH125-$AG125-$AF125-$AE125*(1+HT$3))/$AJ125,'Технический лист'!$A:$B,2,1),(HS125-0.05)))</f>
        <v>1</v>
      </c>
      <c r="HU125" s="15">
        <f>MIN(1,MAX(VLOOKUP(($AJ125-$AI125-$AH125-$AG125-$AF125-$AE125*(1+HU$3))/$AJ125,'Технический лист'!$A:$B,2,1),(HT125-0.05)))</f>
        <v>1</v>
      </c>
      <c r="HV125" s="15">
        <f>MIN(1,MAX(VLOOKUP(($AJ125-$AI125-$AH125-$AG125-$AF125-$AE125*(1+HV$3))/$AJ125,'Технический лист'!$A:$B,2,1),(HU125-0.05)))</f>
        <v>1</v>
      </c>
      <c r="HW125" s="15">
        <f>MIN(1,MAX(VLOOKUP(($AJ125-$AI125-$AH125-$AG125-$AF125-$AE125*(1+HW$3))/$AJ125,'Технический лист'!$A:$B,2,1),(HV125-0.05)))</f>
        <v>1</v>
      </c>
      <c r="HX125" s="15">
        <f>MIN(1,MAX(VLOOKUP(($AJ125-$AI125-$AH125-$AG125-$AF125-$AE125*(1+HX$3))/$AJ125,'Технический лист'!$A:$B,2,1),(HW125-0.05)))</f>
        <v>1</v>
      </c>
      <c r="HY125" s="15">
        <f>MIN(1,MAX(VLOOKUP(($AJ125-$AI125-$AH125-$AG125-$AF125-$AE125*(1+HY$3))/$AJ125,'Технический лист'!$A:$B,2,1),(HX125-0.05)))</f>
        <v>1</v>
      </c>
      <c r="HZ125" s="15">
        <f>MIN(1,MAX(VLOOKUP(($AJ125-$AI125-$AH125-$AG125-$AF125-$AE125*(1+HZ$3))/$AJ125,'Технический лист'!$A:$B,2,1),(HY125-0.05)))</f>
        <v>1</v>
      </c>
      <c r="IA125" s="15">
        <f>MIN(1,MAX(VLOOKUP(($AJ125-$AI125-$AH125-$AG125-$AF125-$AE125*(1+IA$3))/$AJ125,'Технический лист'!$A:$B,2,1),(HZ125-0.05)))</f>
        <v>1</v>
      </c>
      <c r="IB125" s="15">
        <f>MIN(1,MAX(VLOOKUP(($AJ125-$AI125-$AH125-$AG125-$AF125-$AE125*(1+IB$3))/$AJ125,'Технический лист'!$A:$B,2,1),(IA125-0.05)))</f>
        <v>1</v>
      </c>
      <c r="IC125" s="15">
        <f>MIN(1,MAX(VLOOKUP(($AJ125-$AI125-$AH125-$AG125-$AF125-$AE125*(1+IC$3))/$AJ125,'Технический лист'!$A:$B,2,1),(IB125-0.05)))</f>
        <v>1</v>
      </c>
      <c r="ID125" s="15">
        <f>MIN(1,MAX(VLOOKUP(($AJ125-$AI125-$AH125-$AG125-$AF125-$AE125*(1+ID$3))/$AJ125,'Технический лист'!$A:$B,2,1),(IC125-0.05)))</f>
        <v>1</v>
      </c>
      <c r="IE125" s="15">
        <f>MIN(1,MAX(VLOOKUP(($AJ125-$AI125-$AH125-$AG125-$AF125-$AE125*(1+IE$3))/$AJ125,'Технический лист'!$A:$B,2,1),(ID125-0.05)))</f>
        <v>1</v>
      </c>
      <c r="IF125" s="15">
        <f>MIN(1,MAX(VLOOKUP(($AJ125-$AI125-$AH125-$AG125-$AF125-$AE125*(1+IF$3))/$AJ125,'Технический лист'!$A:$B,2,1),(IE125-0.05)))</f>
        <v>1</v>
      </c>
      <c r="IG125" s="15">
        <f>MIN(1,MAX(VLOOKUP(($AJ125-$AI125-$AH125-$AG125-$AF125-$AE125*(1+IG$3))/$AJ125,'Технический лист'!$A:$B,2,1),(IF125-0.05)))</f>
        <v>1</v>
      </c>
      <c r="IH125" s="15">
        <f>MIN(1,MAX(VLOOKUP(($AJ125-$AI125-$AH125-$AG125-$AF125-$AE125*(1+IH$3))/$AJ125,'Технический лист'!$A:$B,2,1),(IG125-0.05)))</f>
        <v>1</v>
      </c>
      <c r="II125" s="15">
        <f>MIN(1,MAX(VLOOKUP(($AJ125-$AI125-$AH125-$AG125-$AF125-$AE125*(1+II$3))/$AJ125,'Технический лист'!$A:$B,2,1),(IH125-0.05)))</f>
        <v>1</v>
      </c>
      <c r="IJ125" s="15">
        <f>MIN(1,MAX(VLOOKUP(($AJ125-$AI125-$AH125-$AG125-$AF125-$AE125*(1+IJ$3))/$AJ125,'Технический лист'!$A:$B,2,1),(II125-0.05)))</f>
        <v>1</v>
      </c>
      <c r="IK125" s="15">
        <f>MIN(1,MAX(VLOOKUP(($AJ125-$AI125-$AH125-$AG125-$AF125-$AE125*(1+IK$3))/$AJ125,'Технический лист'!$A:$B,2,1),(IJ125-0.05)))</f>
        <v>1</v>
      </c>
      <c r="IL125" s="15">
        <f>MIN(1,MAX(VLOOKUP(($AJ125-$AI125-$AH125-$AG125-$AF125-$AE125*(1+IL$3))/$AJ125,'Технический лист'!$A:$B,2,1),(IK125-0.05)))</f>
        <v>1</v>
      </c>
      <c r="IM125" s="15">
        <f>MIN(1,MAX(VLOOKUP(($AJ125-$AI125-$AH125-$AG125-$AF125-$AE125*(1+IM$3))/$AJ125,'Технический лист'!$A:$B,2,1),(IL125-0.05)))</f>
        <v>1</v>
      </c>
      <c r="IN125" s="15">
        <f>MIN(1,MAX(VLOOKUP(($AJ125-$AI125-$AH125-$AG125-$AF125-$AE125*(1+IN$3))/$AJ125,'Технический лист'!$A:$B,2,1),(IM125-0.05)))</f>
        <v>1</v>
      </c>
      <c r="IO125" s="15">
        <f>MIN(1,MAX(VLOOKUP(($AJ125-$AI125-$AH125-$AG125-$AF125-$AE125*(1+IO$3))/$AJ125,'Технический лист'!$A:$B,2,1),(IN125-0.05)))</f>
        <v>1</v>
      </c>
      <c r="IP125" s="15">
        <f>MIN(1,MAX(VLOOKUP(($AJ125-$AI125-$AH125-$AG125-$AF125-$AE125*(1+IP$3))/$AJ125,'Технический лист'!$A:$B,2,1),(IO125-0.05)))</f>
        <v>1</v>
      </c>
      <c r="IQ125" s="15">
        <f>MIN(1,MAX(VLOOKUP(($AJ125-$AI125-$AH125-$AG125-$AF125-$AE125*(1+IQ$3))/$AJ125,'Технический лист'!$A:$B,2,1),(IP125-0.05)))</f>
        <v>1</v>
      </c>
      <c r="IR125" s="15">
        <f>MIN(1,MAX(VLOOKUP(($AJ125-$AI125-$AH125-$AG125-$AF125-$AE125*(1+IR$3))/$AJ125,'Технический лист'!$A:$B,2,1),(IQ125-0.05)))</f>
        <v>1</v>
      </c>
    </row>
    <row r="126" spans="1:252" ht="58.3">
      <c r="A126" s="89" t="s">
        <v>515</v>
      </c>
      <c r="B126" s="90">
        <v>5</v>
      </c>
      <c r="C126" s="5" t="s">
        <v>68</v>
      </c>
      <c r="D126" s="91">
        <v>32307</v>
      </c>
      <c r="E126" s="91" t="s">
        <v>354</v>
      </c>
      <c r="F126" s="92" t="s">
        <v>76</v>
      </c>
      <c r="G126" s="91" t="s">
        <v>31</v>
      </c>
      <c r="H126" s="91" t="s">
        <v>16</v>
      </c>
      <c r="I126" s="91" t="s">
        <v>177</v>
      </c>
      <c r="J126" s="91" t="s">
        <v>184</v>
      </c>
      <c r="K126" s="91">
        <v>6293</v>
      </c>
      <c r="L126" s="85" t="s">
        <v>64</v>
      </c>
      <c r="M126" s="91" t="s">
        <v>190</v>
      </c>
      <c r="N126" s="91" t="s">
        <v>191</v>
      </c>
      <c r="O126" s="91" t="s">
        <v>194</v>
      </c>
      <c r="P126" s="89" t="s">
        <v>248</v>
      </c>
      <c r="Q126" s="91" t="s">
        <v>275</v>
      </c>
      <c r="R126" s="91" t="s">
        <v>264</v>
      </c>
      <c r="S126" s="82">
        <v>17683</v>
      </c>
      <c r="T126" s="82">
        <v>111271809</v>
      </c>
      <c r="U126" s="81">
        <v>460</v>
      </c>
      <c r="V126" s="81">
        <v>0</v>
      </c>
      <c r="W126" s="82">
        <v>224040393</v>
      </c>
      <c r="X126" s="112">
        <v>54</v>
      </c>
      <c r="Y126" s="112" t="s">
        <v>416</v>
      </c>
      <c r="Z126" s="113">
        <v>18</v>
      </c>
      <c r="AA126" s="113">
        <v>13</v>
      </c>
      <c r="AB126" s="113">
        <v>4</v>
      </c>
      <c r="AC126" s="99">
        <v>10610.65</v>
      </c>
      <c r="AD126" s="99">
        <f t="shared" si="48"/>
        <v>1277.7399999999998</v>
      </c>
      <c r="AE126" s="99">
        <v>11888.39</v>
      </c>
      <c r="AF126" s="98">
        <f>(Z126+AA126+AB126)*'Ставки аренды'!$B$3/X126</f>
        <v>453.7037037037037</v>
      </c>
      <c r="AG126" s="94">
        <v>0</v>
      </c>
      <c r="AH126" s="94">
        <v>0</v>
      </c>
      <c r="AI126" s="115">
        <f t="shared" si="50"/>
        <v>55991.908180601888</v>
      </c>
      <c r="AJ126" s="117">
        <f>Цены!D28</f>
        <v>72000</v>
      </c>
      <c r="AK126" s="94">
        <f>AJ126/Цены!$B$1</f>
        <v>943.57549586858102</v>
      </c>
      <c r="AL126" s="95">
        <f t="shared" si="24"/>
        <v>12342.093703703704</v>
      </c>
      <c r="AM126" s="95">
        <f t="shared" si="25"/>
        <v>59657.906296296293</v>
      </c>
      <c r="AN126" s="94">
        <f t="shared" si="39"/>
        <v>68334.001884305588</v>
      </c>
      <c r="AO126" s="118">
        <f t="shared" si="40"/>
        <v>5.0916640495755727E-2</v>
      </c>
      <c r="AP126" s="96">
        <f t="shared" si="26"/>
        <v>0.17141796810699589</v>
      </c>
      <c r="AQ126" s="96">
        <f t="shared" si="27"/>
        <v>0.16511652777777777</v>
      </c>
      <c r="AR126" s="96">
        <f t="shared" si="28"/>
        <v>0.96323932433217929</v>
      </c>
      <c r="AS126" s="122">
        <v>1</v>
      </c>
      <c r="AT126" s="121">
        <f t="shared" si="45"/>
        <v>17683</v>
      </c>
      <c r="AU126" s="83">
        <v>0.6</v>
      </c>
      <c r="AV126" s="119">
        <f t="shared" si="41"/>
        <v>3.1102657162422272E-2</v>
      </c>
      <c r="AW126" s="120">
        <f t="shared" si="42"/>
        <v>0.19123195144032923</v>
      </c>
      <c r="AX126" s="120">
        <f t="shared" si="43"/>
        <v>0.18493051111111111</v>
      </c>
      <c r="AY126" s="120">
        <f t="shared" si="44"/>
        <v>0.96704818268204318</v>
      </c>
      <c r="AZ126" s="15">
        <f>MIN(IF($AU126=100%,1,1+VLOOKUP(($AJ126-$AI126-$AH126-$AG126-$AF126-$AE126*(1+AZ$3))/$AJ126,'Технический лист'!$I:$J,2,1)-VLOOKUP($AO126,'Технический лист'!$I:$J,2,1)),1+(1-$AU126))</f>
        <v>1.4</v>
      </c>
      <c r="BA126" s="15">
        <f>MIN(IF($AU126=100%,1,1+VLOOKUP(($AJ126-$AI126-$AH126-$AG126-$AF126-$AE126*(1+BA$3))/$AJ126,'Технический лист'!$I:$J,2,1)-VLOOKUP($AO126,'Технический лист'!$I:$J,2,1)),1+(1-$AU126))</f>
        <v>1.4</v>
      </c>
      <c r="BB126" s="15">
        <f>MIN(IF($AU126=100%,1,1+VLOOKUP(($AJ126-$AI126-$AH126-$AG126-$AF126-$AE126*(1+BB$3))/$AJ126,'Технический лист'!$I:$J,2,1)-VLOOKUP($AO126,'Технический лист'!$I:$J,2,1)),1+(1-$AU126))</f>
        <v>1.4</v>
      </c>
      <c r="BC126" s="15">
        <f>MIN(IF($AU126=100%,1,1+VLOOKUP(($AJ126-$AI126-$AH126-$AG126-$AF126-$AE126*(1+BC$3))/$AJ126,'Технический лист'!$I:$J,2,1)-VLOOKUP($AO126,'Технический лист'!$I:$J,2,1)),1+(1-$AU126))</f>
        <v>1.4</v>
      </c>
      <c r="BD126" s="15">
        <f>MIN(IF($AU126=100%,1,1+VLOOKUP(($AJ126-$AI126-$AH126-$AG126-$AF126-$AE126*(1+BD$3))/$AJ126,'Технический лист'!$I:$J,2,1)-VLOOKUP($AO126,'Технический лист'!$I:$J,2,1)),1+(1-$AU126))</f>
        <v>1.4</v>
      </c>
      <c r="BE126" s="15">
        <f>MIN(IF($AU126=100%,1,1+VLOOKUP(($AJ126-$AI126-$AH126-$AG126-$AF126-$AE126*(1+BE$3))/$AJ126,'Технический лист'!$I:$J,2,1)-VLOOKUP($AO126,'Технический лист'!$I:$J,2,1)),1+(1-$AU126))</f>
        <v>1.4</v>
      </c>
      <c r="BF126" s="15">
        <f>MIN(IF($AU126=100%,1,1+VLOOKUP(($AJ126-$AI126-$AH126-$AG126-$AF126-$AE126*(1+BF$3))/$AJ126,'Технический лист'!$I:$J,2,1)-VLOOKUP($AO126,'Технический лист'!$I:$J,2,1)),1+(1-$AU126))</f>
        <v>1.4</v>
      </c>
      <c r="BG126" s="15">
        <f>MIN(IF($AU126=100%,1,1+VLOOKUP(($AJ126-$AI126-$AH126-$AG126-$AF126-$AE126*(1+BG$3))/$AJ126,'Технический лист'!$I:$J,2,1)-VLOOKUP($AO126,'Технический лист'!$I:$J,2,1)),1+(1-$AU126))</f>
        <v>1.4</v>
      </c>
      <c r="BH126" s="15">
        <f>MIN(IF($AU126=100%,1,1+VLOOKUP(($AJ126-$AI126-$AH126-$AG126-$AF126-$AE126*(1+BH$3))/$AJ126,'Технический лист'!$I:$J,2,1)-VLOOKUP($AO126,'Технический лист'!$I:$J,2,1)),1+(1-$AU126))</f>
        <v>1.4</v>
      </c>
      <c r="BI126" s="15">
        <f>MIN(IF($AU126=100%,1,1+VLOOKUP(($AJ126-$AI126-$AH126-$AG126-$AF126-$AE126*(1+BI$3))/$AJ126,'Технический лист'!$I:$J,2,1)-VLOOKUP($AO126,'Технический лист'!$I:$J,2,1)),1+(1-$AU126))</f>
        <v>1.4</v>
      </c>
      <c r="BJ126" s="15">
        <f>MIN(IF($AU126=100%,1,1+VLOOKUP(($AJ126-$AI126-$AH126-$AG126-$AF126-$AE126*(1+BJ$3))/$AJ126,'Технический лист'!$I:$J,2,1)-VLOOKUP($AO126,'Технический лист'!$I:$J,2,1)),1+(1-$AU126))</f>
        <v>1.4</v>
      </c>
      <c r="BK126" s="15">
        <f>MIN(IF($AU126=100%,1,1+VLOOKUP(($AJ126-$AI126-$AH126-$AG126-$AF126-$AE126*(1+BK$3))/$AJ126,'Технический лист'!$I:$J,2,1)-VLOOKUP($AO126,'Технический лист'!$I:$J,2,1)),1+(1-$AU126))</f>
        <v>1.3949999999999996</v>
      </c>
      <c r="BL126" s="15">
        <f>MIN(IF($AU126=100%,1,1+VLOOKUP(($AJ126-$AI126-$AH126-$AG126-$AF126-$AE126*(1+BL$3))/$AJ126,'Технический лист'!$I:$J,2,1)-VLOOKUP($AO126,'Технический лист'!$I:$J,2,1)),1+(1-$AU126))</f>
        <v>1.3949999999999996</v>
      </c>
      <c r="BM126" s="15">
        <f>MIN(IF($AU126=100%,1,1+VLOOKUP(($AJ126-$AI126-$AH126-$AG126-$AF126-$AE126*(1+BM$3))/$AJ126,'Технический лист'!$I:$J,2,1)-VLOOKUP($AO126,'Технический лист'!$I:$J,2,1)),1+(1-$AU126))</f>
        <v>1.3949999999999996</v>
      </c>
      <c r="BN126" s="15">
        <f>MIN(IF($AU126=100%,1,1+VLOOKUP(($AJ126-$AI126-$AH126-$AG126-$AF126-$AE126*(1+BN$3))/$AJ126,'Технический лист'!$I:$J,2,1)-VLOOKUP($AO126,'Технический лист'!$I:$J,2,1)),1+(1-$AU126))</f>
        <v>1.3949999999999996</v>
      </c>
      <c r="BO126" s="15">
        <f>MIN(IF($AU126=100%,1,1+VLOOKUP(($AJ126-$AI126-$AH126-$AG126-$AF126-$AE126*(1+BO$3))/$AJ126,'Технический лист'!$I:$J,2,1)-VLOOKUP($AO126,'Технический лист'!$I:$J,2,1)),1+(1-$AU126))</f>
        <v>1.3949999999999996</v>
      </c>
      <c r="BP126" s="15">
        <f>MIN(IF($AU126=100%,1,1+VLOOKUP(($AJ126-$AI126-$AH126-$AG126-$AF126-$AE126*(1+BP$3))/$AJ126,'Технический лист'!$I:$J,2,1)-VLOOKUP($AO126,'Технический лист'!$I:$J,2,1)),1+(1-$AU126))</f>
        <v>1.3949999999999996</v>
      </c>
      <c r="BQ126" s="15">
        <f>MIN(IF($AU126=100%,1,1+VLOOKUP(($AJ126-$AI126-$AH126-$AG126-$AF126-$AE126*(1+BQ$3))/$AJ126,'Технический лист'!$I:$J,2,1)-VLOOKUP($AO126,'Технический лист'!$I:$J,2,1)),1+(1-$AU126))</f>
        <v>1.3599999999999999</v>
      </c>
      <c r="BR126" s="15">
        <f>MIN(IF($AU126=100%,1,1+VLOOKUP(($AJ126-$AI126-$AH126-$AG126-$AF126-$AE126*(1+BR$3))/$AJ126,'Технический лист'!$I:$J,2,1)-VLOOKUP($AO126,'Технический лист'!$I:$J,2,1)),1+(1-$AU126))</f>
        <v>1.3599999999999999</v>
      </c>
      <c r="BS126" s="15">
        <f>MIN(IF($AU126=100%,1,1+VLOOKUP(($AJ126-$AI126-$AH126-$AG126-$AF126-$AE126*(1+BS$3))/$AJ126,'Технический лист'!$I:$J,2,1)-VLOOKUP($AO126,'Технический лист'!$I:$J,2,1)),1+(1-$AU126))</f>
        <v>1.3599999999999999</v>
      </c>
      <c r="BT126" s="15">
        <f>MIN(IF($AU126=100%,1,1+VLOOKUP(($AJ126-$AI126-$AH126-$AG126-$AF126-$AE126*(1+BT$3))/$AJ126,'Технический лист'!$I:$J,2,1)-VLOOKUP($AO126,'Технический лист'!$I:$J,2,1)),1+(1-$AU126))</f>
        <v>1.3599999999999999</v>
      </c>
      <c r="BU126" s="15">
        <f>MIN(IF($AU126=100%,1,1+VLOOKUP(($AJ126-$AI126-$AH126-$AG126-$AF126-$AE126*(1+BU$3))/$AJ126,'Технический лист'!$I:$J,2,1)-VLOOKUP($AO126,'Технический лист'!$I:$J,2,1)),1+(1-$AU126))</f>
        <v>1.3599999999999999</v>
      </c>
      <c r="BV126" s="15">
        <f>MIN(IF($AU126=100%,1,1+VLOOKUP(($AJ126-$AI126-$AH126-$AG126-$AF126-$AE126*(1+BV$3))/$AJ126,'Технический лист'!$I:$J,2,1)-VLOOKUP($AO126,'Технический лист'!$I:$J,2,1)),1+(1-$AU126))</f>
        <v>1.3599999999999999</v>
      </c>
      <c r="BW126" s="15">
        <f>MIN(IF($AU126=100%,1,1+VLOOKUP(($AJ126-$AI126-$AH126-$AG126-$AF126-$AE126*(1+BW$3))/$AJ126,'Технический лист'!$I:$J,2,1)-VLOOKUP($AO126,'Технический лист'!$I:$J,2,1)),1+(1-$AU126))</f>
        <v>1.3249999999999997</v>
      </c>
      <c r="BX126" s="15">
        <f>MIN(IF($AU126=100%,1,1+VLOOKUP(($AJ126-$AI126-$AH126-$AG126-$AF126-$AE126*(1+BX$3))/$AJ126,'Технический лист'!$I:$J,2,1)-VLOOKUP($AO126,'Технический лист'!$I:$J,2,1)),1+(1-$AU126))</f>
        <v>1.3249999999999997</v>
      </c>
      <c r="BY126" s="15">
        <f>MIN(IF($AU126=100%,1,1+VLOOKUP(($AJ126-$AI126-$AH126-$AG126-$AF126-$AE126*(1+BY$3))/$AJ126,'Технический лист'!$I:$J,2,1)-VLOOKUP($AO126,'Технический лист'!$I:$J,2,1)),1+(1-$AU126))</f>
        <v>1.3249999999999997</v>
      </c>
      <c r="BZ126" s="15">
        <f>MIN(IF($AU126=100%,1,1+VLOOKUP(($AJ126-$AI126-$AH126-$AG126-$AF126-$AE126*(1+BZ$3))/$AJ126,'Технический лист'!$I:$J,2,1)-VLOOKUP($AO126,'Технический лист'!$I:$J,2,1)),1+(1-$AU126))</f>
        <v>1.3249999999999997</v>
      </c>
      <c r="CA126" s="15">
        <f>MIN(IF($AU126=100%,1,1+VLOOKUP(($AJ126-$AI126-$AH126-$AG126-$AF126-$AE126*(1+CA$3))/$AJ126,'Технический лист'!$I:$J,2,1)-VLOOKUP($AO126,'Технический лист'!$I:$J,2,1)),1+(1-$AU126))</f>
        <v>1.3249999999999997</v>
      </c>
      <c r="CB126" s="15">
        <f>MIN(IF($AU126=100%,1,1+VLOOKUP(($AJ126-$AI126-$AH126-$AG126-$AF126-$AE126*(1+CB$3))/$AJ126,'Технический лист'!$I:$J,2,1)-VLOOKUP($AO126,'Технический лист'!$I:$J,2,1)),1+(1-$AU126))</f>
        <v>1.3249999999999997</v>
      </c>
      <c r="CC126" s="15">
        <f>MIN(IF($AU126=100%,1,1+VLOOKUP(($AJ126-$AI126-$AH126-$AG126-$AF126-$AE126*(1+CC$3))/$AJ126,'Технический лист'!$I:$J,2,1)-VLOOKUP($AO126,'Технический лист'!$I:$J,2,1)),1+(1-$AU126))</f>
        <v>1.29</v>
      </c>
      <c r="CD126" s="15">
        <f>MIN(IF($AU126=100%,1,1+VLOOKUP(($AJ126-$AI126-$AH126-$AG126-$AF126-$AE126*(1+CD$3))/$AJ126,'Технический лист'!$I:$J,2,1)-VLOOKUP($AO126,'Технический лист'!$I:$J,2,1)),1+(1-$AU126))</f>
        <v>1.29</v>
      </c>
      <c r="CE126" s="15">
        <f>MIN(IF($AU126=100%,1,1+VLOOKUP(($AJ126-$AI126-$AH126-$AG126-$AF126-$AE126*(1+CE$3))/$AJ126,'Технический лист'!$I:$J,2,1)-VLOOKUP($AO126,'Технический лист'!$I:$J,2,1)),1+(1-$AU126))</f>
        <v>1.29</v>
      </c>
      <c r="CF126" s="15">
        <f>MIN(IF($AU126=100%,1,1+VLOOKUP(($AJ126-$AI126-$AH126-$AG126-$AF126-$AE126*(1+CF$3))/$AJ126,'Технический лист'!$I:$J,2,1)-VLOOKUP($AO126,'Технический лист'!$I:$J,2,1)),1+(1-$AU126))</f>
        <v>1.29</v>
      </c>
      <c r="CG126" s="15">
        <f>MIN(IF($AU126=100%,1,1+VLOOKUP(($AJ126-$AI126-$AH126-$AG126-$AF126-$AE126*(1+CG$3))/$AJ126,'Технический лист'!$I:$J,2,1)-VLOOKUP($AO126,'Технический лист'!$I:$J,2,1)),1+(1-$AU126))</f>
        <v>1.29</v>
      </c>
      <c r="CH126" s="15">
        <f>MIN(IF($AU126=100%,1,1+VLOOKUP(($AJ126-$AI126-$AH126-$AG126-$AF126-$AE126*(1+CH$3))/$AJ126,'Технический лист'!$I:$J,2,1)-VLOOKUP($AO126,'Технический лист'!$I:$J,2,1)),1+(1-$AU126))</f>
        <v>1.29</v>
      </c>
      <c r="CI126" s="15">
        <f>MIN(IF($AU126=100%,1,1+VLOOKUP(($AJ126-$AI126-$AH126-$AG126-$AF126-$AE126*(1+CI$3))/$AJ126,'Технический лист'!$I:$J,2,1)-VLOOKUP($AO126,'Технический лист'!$I:$J,2,1)),1+(1-$AU126))</f>
        <v>1.2549999999999999</v>
      </c>
      <c r="CJ126" s="15">
        <f>MIN(IF($AU126=100%,1,1+VLOOKUP(($AJ126-$AI126-$AH126-$AG126-$AF126-$AE126*(1+CJ$3))/$AJ126,'Технический лист'!$I:$J,2,1)-VLOOKUP($AO126,'Технический лист'!$I:$J,2,1)),1+(1-$AU126))</f>
        <v>1.2549999999999999</v>
      </c>
      <c r="CK126" s="15">
        <f>MIN(IF($AU126=100%,1,1+VLOOKUP(($AJ126-$AI126-$AH126-$AG126-$AF126-$AE126*(1+CK$3))/$AJ126,'Технический лист'!$I:$J,2,1)-VLOOKUP($AO126,'Технический лист'!$I:$J,2,1)),1+(1-$AU126))</f>
        <v>1.2549999999999999</v>
      </c>
      <c r="CL126" s="15">
        <f>MIN(IF($AU126=100%,1,1+VLOOKUP(($AJ126-$AI126-$AH126-$AG126-$AF126-$AE126*(1+CL$3))/$AJ126,'Технический лист'!$I:$J,2,1)-VLOOKUP($AO126,'Технический лист'!$I:$J,2,1)),1+(1-$AU126))</f>
        <v>1.2549999999999999</v>
      </c>
      <c r="CM126" s="15">
        <f>MIN(IF($AU126=100%,1,1+VLOOKUP(($AJ126-$AI126-$AH126-$AG126-$AF126-$AE126*(1+CM$3))/$AJ126,'Технический лист'!$I:$J,2,1)-VLOOKUP($AO126,'Технический лист'!$I:$J,2,1)),1+(1-$AU126))</f>
        <v>1.2549999999999999</v>
      </c>
      <c r="CN126" s="15">
        <f>MIN(IF($AU126=100%,1,1+VLOOKUP(($AJ126-$AI126-$AH126-$AG126-$AF126-$AE126*(1+CN$3))/$AJ126,'Технический лист'!$I:$J,2,1)-VLOOKUP($AO126,'Технический лист'!$I:$J,2,1)),1+(1-$AU126))</f>
        <v>1.2549999999999999</v>
      </c>
      <c r="CO126" s="15">
        <f>MIN(IF($AU126=100%,1,1+VLOOKUP(($AJ126-$AI126-$AH126-$AG126-$AF126-$AE126*(1+CO$3))/$AJ126,'Технический лист'!$I:$J,2,1)-VLOOKUP($AO126,'Технический лист'!$I:$J,2,1)),1+(1-$AU126))</f>
        <v>1.2249999999999996</v>
      </c>
      <c r="CP126" s="15">
        <f>MIN(IF($AU126=100%,1,1+VLOOKUP(($AJ126-$AI126-$AH126-$AG126-$AF126-$AE126*(1+CP$3))/$AJ126,'Технический лист'!$I:$J,2,1)-VLOOKUP($AO126,'Технический лист'!$I:$J,2,1)),1+(1-$AU126))</f>
        <v>1.2249999999999996</v>
      </c>
      <c r="CQ126" s="15">
        <f>MIN(IF($AU126=100%,1,1+VLOOKUP(($AJ126-$AI126-$AH126-$AG126-$AF126-$AE126*(1+CQ$3))/$AJ126,'Технический лист'!$I:$J,2,1)-VLOOKUP($AO126,'Технический лист'!$I:$J,2,1)),1+(1-$AU126))</f>
        <v>1.2249999999999996</v>
      </c>
      <c r="CR126" s="15">
        <f>MIN(IF($AU126=100%,1,1+VLOOKUP(($AJ126-$AI126-$AH126-$AG126-$AF126-$AE126*(1+CR$3))/$AJ126,'Технический лист'!$I:$J,2,1)-VLOOKUP($AO126,'Технический лист'!$I:$J,2,1)),1+(1-$AU126))</f>
        <v>1.2249999999999996</v>
      </c>
      <c r="CS126" s="15">
        <f>MIN(IF($AU126=100%,1,1+VLOOKUP(($AJ126-$AI126-$AH126-$AG126-$AF126-$AE126*(1+CS$3))/$AJ126,'Технический лист'!$I:$J,2,1)-VLOOKUP($AO126,'Технический лист'!$I:$J,2,1)),1+(1-$AU126))</f>
        <v>1.2249999999999996</v>
      </c>
      <c r="CT126" s="15">
        <f>MIN(IF($AU126=100%,1,1+VLOOKUP(($AJ126-$AI126-$AH126-$AG126-$AF126-$AE126*(1+CT$3))/$AJ126,'Технический лист'!$I:$J,2,1)-VLOOKUP($AO126,'Технический лист'!$I:$J,2,1)),1+(1-$AU126))</f>
        <v>1.2249999999999996</v>
      </c>
      <c r="CU126" s="15">
        <f>MIN(IF($AU126=100%,1,1+VLOOKUP(($AJ126-$AI126-$AH126-$AG126-$AF126-$AE126*(1+CU$3))/$AJ126,'Технический лист'!$I:$J,2,1)-VLOOKUP($AO126,'Технический лист'!$I:$J,2,1)),1+(1-$AU126))</f>
        <v>1.1949999999999998</v>
      </c>
      <c r="CV126" s="15">
        <f>MIN(IF($AU126=100%,1,1+VLOOKUP(($AJ126-$AI126-$AH126-$AG126-$AF126-$AE126*(1+CV$3))/$AJ126,'Технический лист'!$I:$J,2,1)-VLOOKUP($AO126,'Технический лист'!$I:$J,2,1)),1+(1-$AU126))</f>
        <v>1.1949999999999998</v>
      </c>
      <c r="CW126" s="15">
        <f>MIN(IF($AU126=100%,1,1+VLOOKUP(($AJ126-$AI126-$AH126-$AG126-$AF126-$AE126*(1+CW$3))/$AJ126,'Технический лист'!$I:$J,2,1)-VLOOKUP($AO126,'Технический лист'!$I:$J,2,1)),1+(1-$AU126))</f>
        <v>1.1949999999999998</v>
      </c>
      <c r="CX126" s="15">
        <f>MIN(IF($AU126=100%,1,1+VLOOKUP(($AJ126-$AI126-$AH126-$AG126-$AF126-$AE126*(1+CX$3))/$AJ126,'Технический лист'!$I:$J,2,1)-VLOOKUP($AO126,'Технический лист'!$I:$J,2,1)),1+(1-$AU126))</f>
        <v>1.1949999999999998</v>
      </c>
      <c r="CY126" s="15">
        <f>MIN(IF($AU126=100%,1,1+VLOOKUP(($AJ126-$AI126-$AH126-$AG126-$AF126-$AE126*(1+CY$3))/$AJ126,'Технический лист'!$I:$J,2,1)-VLOOKUP($AO126,'Технический лист'!$I:$J,2,1)),1+(1-$AU126))</f>
        <v>1.1949999999999998</v>
      </c>
      <c r="CZ126" s="15">
        <f>MIN(IF($AU126=100%,1,1+VLOOKUP(($AJ126-$AI126-$AH126-$AG126-$AF126-$AE126*(1+CZ$3))/$AJ126,'Технический лист'!$I:$J,2,1)-VLOOKUP($AO126,'Технический лист'!$I:$J,2,1)),1+(1-$AU126))</f>
        <v>1.1949999999999998</v>
      </c>
      <c r="DA126" s="15">
        <f>MIN(IF($AU126=100%,1,1+VLOOKUP(($AJ126-$AI126-$AH126-$AG126-$AF126-$AE126*(1+DA$3))/$AJ126,'Технический лист'!$I:$J,2,1)-VLOOKUP($AO126,'Технический лист'!$I:$J,2,1)),1+(1-$AU126))</f>
        <v>1.165</v>
      </c>
      <c r="DB126" s="15">
        <f>MIN(IF($AU126=100%,1,1+VLOOKUP(($AJ126-$AI126-$AH126-$AG126-$AF126-$AE126*(1+DB$3))/$AJ126,'Технический лист'!$I:$J,2,1)-VLOOKUP($AO126,'Технический лист'!$I:$J,2,1)),1+(1-$AU126))</f>
        <v>1.165</v>
      </c>
      <c r="DC126" s="15">
        <f>MIN(IF($AU126=100%,1,1+VLOOKUP(($AJ126-$AI126-$AH126-$AG126-$AF126-$AE126*(1+DC$3))/$AJ126,'Технический лист'!$I:$J,2,1)-VLOOKUP($AO126,'Технический лист'!$I:$J,2,1)),1+(1-$AU126))</f>
        <v>1.165</v>
      </c>
      <c r="DD126" s="15">
        <f>MIN(IF($AU126=100%,1,1+VLOOKUP(($AJ126-$AI126-$AH126-$AG126-$AF126-$AE126*(1+DD$3))/$AJ126,'Технический лист'!$I:$J,2,1)-VLOOKUP($AO126,'Технический лист'!$I:$J,2,1)),1+(1-$AU126))</f>
        <v>1.165</v>
      </c>
      <c r="DE126" s="15">
        <f>MIN(IF($AU126=100%,1,1+VLOOKUP(($AJ126-$AI126-$AH126-$AG126-$AF126-$AE126*(1+DE$3))/$AJ126,'Технический лист'!$I:$J,2,1)-VLOOKUP($AO126,'Технический лист'!$I:$J,2,1)),1+(1-$AU126))</f>
        <v>1.165</v>
      </c>
      <c r="DF126" s="15">
        <f>MIN(IF($AU126=100%,1,1+VLOOKUP(($AJ126-$AI126-$AH126-$AG126-$AF126-$AE126*(1+DF$3))/$AJ126,'Технический лист'!$I:$J,2,1)-VLOOKUP($AO126,'Технический лист'!$I:$J,2,1)),1+(1-$AU126))</f>
        <v>1.165</v>
      </c>
      <c r="DG126" s="15">
        <f>MIN(IF($AU126=100%,1,1+VLOOKUP(($AJ126-$AI126-$AH126-$AG126-$AF126-$AE126*(1+DG$3))/$AJ126,'Технический лист'!$I:$J,2,1)-VLOOKUP($AO126,'Технический лист'!$I:$J,2,1)),1+(1-$AU126))</f>
        <v>1.1349999999999998</v>
      </c>
      <c r="DH126" s="15">
        <f>MIN(IF($AU126=100%,1,1+VLOOKUP(($AJ126-$AI126-$AH126-$AG126-$AF126-$AE126*(1+DH$3))/$AJ126,'Технический лист'!$I:$J,2,1)-VLOOKUP($AO126,'Технический лист'!$I:$J,2,1)),1+(1-$AU126))</f>
        <v>1.1349999999999998</v>
      </c>
      <c r="DI126" s="15">
        <f>MIN(IF($AU126=100%,1,1+VLOOKUP(($AJ126-$AI126-$AH126-$AG126-$AF126-$AE126*(1+DI$3))/$AJ126,'Технический лист'!$I:$J,2,1)-VLOOKUP($AO126,'Технический лист'!$I:$J,2,1)),1+(1-$AU126))</f>
        <v>1.1349999999999998</v>
      </c>
      <c r="DJ126" s="15">
        <f>MIN(IF($AU126=100%,1,1+VLOOKUP(($AJ126-$AI126-$AH126-$AG126-$AF126-$AE126*(1+DJ$3))/$AJ126,'Технический лист'!$I:$J,2,1)-VLOOKUP($AO126,'Технический лист'!$I:$J,2,1)),1+(1-$AU126))</f>
        <v>1.1349999999999998</v>
      </c>
      <c r="DK126" s="15">
        <f>MIN(IF($AU126=100%,1,1+VLOOKUP(($AJ126-$AI126-$AH126-$AG126-$AF126-$AE126*(1+DK$3))/$AJ126,'Технический лист'!$I:$J,2,1)-VLOOKUP($AO126,'Технический лист'!$I:$J,2,1)),1+(1-$AU126))</f>
        <v>1.1349999999999998</v>
      </c>
      <c r="DL126" s="15">
        <f>MIN(IF($AU126=100%,1,1+VLOOKUP(($AJ126-$AI126-$AH126-$AG126-$AF126-$AE126*(1+DL$3))/$AJ126,'Технический лист'!$I:$J,2,1)-VLOOKUP($AO126,'Технический лист'!$I:$J,2,1)),1+(1-$AU126))</f>
        <v>1.1349999999999998</v>
      </c>
      <c r="DM126" s="15">
        <f>MIN(IF($AU126=100%,1,1+VLOOKUP(($AJ126-$AI126-$AH126-$AG126-$AF126-$AE126*(1+DM$3))/$AJ126,'Технический лист'!$I:$J,2,1)-VLOOKUP($AO126,'Технический лист'!$I:$J,2,1)),1+(1-$AU126))</f>
        <v>1.1099999999999999</v>
      </c>
      <c r="DN126" s="15">
        <f>MIN(IF($AU126=100%,1,1+VLOOKUP(($AJ126-$AI126-$AH126-$AG126-$AF126-$AE126*(1+DN$3))/$AJ126,'Технический лист'!$I:$J,2,1)-VLOOKUP($AO126,'Технический лист'!$I:$J,2,1)),1+(1-$AU126))</f>
        <v>1.1099999999999999</v>
      </c>
      <c r="DO126" s="15">
        <f>MIN(IF($AU126=100%,1,1+VLOOKUP(($AJ126-$AI126-$AH126-$AG126-$AF126-$AE126*(1+DO$3))/$AJ126,'Технический лист'!$I:$J,2,1)-VLOOKUP($AO126,'Технический лист'!$I:$J,2,1)),1+(1-$AU126))</f>
        <v>1.1099999999999999</v>
      </c>
      <c r="DP126" s="15">
        <f>MIN(IF($AU126=100%,1,1+VLOOKUP(($AJ126-$AI126-$AH126-$AG126-$AF126-$AE126*(1+DP$3))/$AJ126,'Технический лист'!$I:$J,2,1)-VLOOKUP($AO126,'Технический лист'!$I:$J,2,1)),1+(1-$AU126))</f>
        <v>1.1099999999999999</v>
      </c>
      <c r="DQ126" s="15">
        <f>MIN(IF($AU126=100%,1,1+VLOOKUP(($AJ126-$AI126-$AH126-$AG126-$AF126-$AE126*(1+DQ$3))/$AJ126,'Технический лист'!$I:$J,2,1)-VLOOKUP($AO126,'Технический лист'!$I:$J,2,1)),1+(1-$AU126))</f>
        <v>1.1099999999999999</v>
      </c>
      <c r="DR126" s="15">
        <f>MIN(IF($AU126=100%,1,1+VLOOKUP(($AJ126-$AI126-$AH126-$AG126-$AF126-$AE126*(1+DR$3))/$AJ126,'Технический лист'!$I:$J,2,1)-VLOOKUP($AO126,'Технический лист'!$I:$J,2,1)),1+(1-$AU126))</f>
        <v>1.1099999999999999</v>
      </c>
      <c r="DS126" s="15">
        <f>MIN(IF($AU126=100%,1,1+VLOOKUP(($AJ126-$AI126-$AH126-$AG126-$AF126-$AE126*(1+DS$3))/$AJ126,'Технический лист'!$I:$J,2,1)-VLOOKUP($AO126,'Технический лист'!$I:$J,2,1)),1+(1-$AU126))</f>
        <v>1.085</v>
      </c>
      <c r="DT126" s="15">
        <f>MIN(IF($AU126=100%,1,1+VLOOKUP(($AJ126-$AI126-$AH126-$AG126-$AF126-$AE126*(1+DT$3))/$AJ126,'Технический лист'!$I:$J,2,1)-VLOOKUP($AO126,'Технический лист'!$I:$J,2,1)),1+(1-$AU126))</f>
        <v>1.085</v>
      </c>
      <c r="DU126" s="15">
        <f>MIN(IF($AU126=100%,1,1+VLOOKUP(($AJ126-$AI126-$AH126-$AG126-$AF126-$AE126*(1+DU$3))/$AJ126,'Технический лист'!$I:$J,2,1)-VLOOKUP($AO126,'Технический лист'!$I:$J,2,1)),1+(1-$AU126))</f>
        <v>1.085</v>
      </c>
      <c r="DV126" s="15">
        <f>MIN(IF($AU126=100%,1,1+VLOOKUP(($AJ126-$AI126-$AH126-$AG126-$AF126-$AE126*(1+DV$3))/$AJ126,'Технический лист'!$I:$J,2,1)-VLOOKUP($AO126,'Технический лист'!$I:$J,2,1)),1+(1-$AU126))</f>
        <v>1.085</v>
      </c>
      <c r="DW126" s="15">
        <f>MIN(IF($AU126=100%,1,1+VLOOKUP(($AJ126-$AI126-$AH126-$AG126-$AF126-$AE126*(1+DW$3))/$AJ126,'Технический лист'!$I:$J,2,1)-VLOOKUP($AO126,'Технический лист'!$I:$J,2,1)),1+(1-$AU126))</f>
        <v>1.085</v>
      </c>
      <c r="DX126" s="15">
        <f>MIN(IF($AU126=100%,1,1+VLOOKUP(($AJ126-$AI126-$AH126-$AG126-$AF126-$AE126*(1+DX$3))/$AJ126,'Технический лист'!$I:$J,2,1)-VLOOKUP($AO126,'Технический лист'!$I:$J,2,1)),1+(1-$AU126))</f>
        <v>1.085</v>
      </c>
      <c r="DY126" s="15">
        <f>MIN(IF($AU126=100%,1,1+VLOOKUP(($AJ126-$AI126-$AH126-$AG126-$AF126-$AE126*(1+DY$3))/$AJ126,'Технический лист'!$I:$J,2,1)-VLOOKUP($AO126,'Технический лист'!$I:$J,2,1)),1+(1-$AU126))</f>
        <v>1.06</v>
      </c>
      <c r="DZ126" s="15">
        <f>MIN(IF($AU126=100%,1,1+VLOOKUP(($AJ126-$AI126-$AH126-$AG126-$AF126-$AE126*(1+DZ$3))/$AJ126,'Технический лист'!$I:$J,2,1)-VLOOKUP($AO126,'Технический лист'!$I:$J,2,1)),1+(1-$AU126))</f>
        <v>1.06</v>
      </c>
      <c r="EA126" s="15">
        <f>MIN(IF($AU126=100%,1,1+VLOOKUP(($AJ126-$AI126-$AH126-$AG126-$AF126-$AE126*(1+EA$3))/$AJ126,'Технический лист'!$I:$J,2,1)-VLOOKUP($AO126,'Технический лист'!$I:$J,2,1)),1+(1-$AU126))</f>
        <v>1.06</v>
      </c>
      <c r="EB126" s="15">
        <f>MIN(IF($AU126=100%,1,1+VLOOKUP(($AJ126-$AI126-$AH126-$AG126-$AF126-$AE126*(1+EB$3))/$AJ126,'Технический лист'!$I:$J,2,1)-VLOOKUP($AO126,'Технический лист'!$I:$J,2,1)),1+(1-$AU126))</f>
        <v>1.06</v>
      </c>
      <c r="EC126" s="15">
        <f>MIN(IF($AU126=100%,1,1+VLOOKUP(($AJ126-$AI126-$AH126-$AG126-$AF126-$AE126*(1+EC$3))/$AJ126,'Технический лист'!$I:$J,2,1)-VLOOKUP($AO126,'Технический лист'!$I:$J,2,1)),1+(1-$AU126))</f>
        <v>1.06</v>
      </c>
      <c r="ED126" s="15">
        <f>MIN(IF($AU126=100%,1,1+VLOOKUP(($AJ126-$AI126-$AH126-$AG126-$AF126-$AE126*(1+ED$3))/$AJ126,'Технический лист'!$I:$J,2,1)-VLOOKUP($AO126,'Технический лист'!$I:$J,2,1)),1+(1-$AU126))</f>
        <v>1.06</v>
      </c>
      <c r="EE126" s="15">
        <f>MIN(IF($AU126=100%,1,1+VLOOKUP(($AJ126-$AI126-$AH126-$AG126-$AF126-$AE126*(1+EE$3))/$AJ126,'Технический лист'!$I:$J,2,1)-VLOOKUP($AO126,'Технический лист'!$I:$J,2,1)),1+(1-$AU126))</f>
        <v>1.0350000000000001</v>
      </c>
      <c r="EF126" s="15">
        <f>MIN(IF($AU126=100%,1,1+VLOOKUP(($AJ126-$AI126-$AH126-$AG126-$AF126-$AE126*(1+EF$3))/$AJ126,'Технический лист'!$I:$J,2,1)-VLOOKUP($AO126,'Технический лист'!$I:$J,2,1)),1+(1-$AU126))</f>
        <v>1.0350000000000001</v>
      </c>
      <c r="EG126" s="15">
        <f>MIN(IF($AU126=100%,1,1+VLOOKUP(($AJ126-$AI126-$AH126-$AG126-$AF126-$AE126*(1+EG$3))/$AJ126,'Технический лист'!$I:$J,2,1)-VLOOKUP($AO126,'Технический лист'!$I:$J,2,1)),1+(1-$AU126))</f>
        <v>1.0350000000000001</v>
      </c>
      <c r="EH126" s="15">
        <f>MIN(IF($AU126=100%,1,1+VLOOKUP(($AJ126-$AI126-$AH126-$AG126-$AF126-$AE126*(1+EH$3))/$AJ126,'Технический лист'!$I:$J,2,1)-VLOOKUP($AO126,'Технический лист'!$I:$J,2,1)),1+(1-$AU126))</f>
        <v>1.0350000000000001</v>
      </c>
      <c r="EI126" s="15">
        <f>MIN(IF($AU126=100%,1,1+VLOOKUP(($AJ126-$AI126-$AH126-$AG126-$AF126-$AE126*(1+EI$3))/$AJ126,'Технический лист'!$I:$J,2,1)-VLOOKUP($AO126,'Технический лист'!$I:$J,2,1)),1+(1-$AU126))</f>
        <v>1.0350000000000001</v>
      </c>
      <c r="EJ126" s="15">
        <f>MIN(IF($AU126=100%,1,1+VLOOKUP(($AJ126-$AI126-$AH126-$AG126-$AF126-$AE126*(1+EJ$3))/$AJ126,'Технический лист'!$I:$J,2,1)-VLOOKUP($AO126,'Технический лист'!$I:$J,2,1)),1+(1-$AU126))</f>
        <v>1.0350000000000001</v>
      </c>
      <c r="EK126" s="15">
        <f>MIN(IF($AU126=100%,1,1+VLOOKUP(($AJ126-$AI126-$AH126-$AG126-$AF126-$AE126*(1+EK$3))/$AJ126,'Технический лист'!$I:$J,2,1)-VLOOKUP($AO126,'Технический лист'!$I:$J,2,1)),1+(1-$AU126))</f>
        <v>1.02</v>
      </c>
      <c r="EL126" s="15">
        <f>MIN(IF($AU126=100%,1,1+VLOOKUP(($AJ126-$AI126-$AH126-$AG126-$AF126-$AE126*(1+EL$3))/$AJ126,'Технический лист'!$I:$J,2,1)-VLOOKUP($AO126,'Технический лист'!$I:$J,2,1)),1+(1-$AU126))</f>
        <v>1.02</v>
      </c>
      <c r="EM126" s="15">
        <f>MIN(IF($AU126=100%,1,1+VLOOKUP(($AJ126-$AI126-$AH126-$AG126-$AF126-$AE126*(1+EM$3))/$AJ126,'Технический лист'!$I:$J,2,1)-VLOOKUP($AO126,'Технический лист'!$I:$J,2,1)),1+(1-$AU126))</f>
        <v>1.02</v>
      </c>
      <c r="EN126" s="15">
        <f>MIN(IF($AU126=100%,1,1+VLOOKUP(($AJ126-$AI126-$AH126-$AG126-$AF126-$AE126*(1+EN$3))/$AJ126,'Технический лист'!$I:$J,2,1)-VLOOKUP($AO126,'Технический лист'!$I:$J,2,1)),1+(1-$AU126))</f>
        <v>1.02</v>
      </c>
      <c r="EO126" s="15">
        <f>MIN(IF($AU126=100%,1,1+VLOOKUP(($AJ126-$AI126-$AH126-$AG126-$AF126-$AE126*(1+EO$3))/$AJ126,'Технический лист'!$I:$J,2,1)-VLOOKUP($AO126,'Технический лист'!$I:$J,2,1)),1+(1-$AU126))</f>
        <v>1.02</v>
      </c>
      <c r="EP126" s="15">
        <f>MIN(IF($AU126=100%,1,1+VLOOKUP(($AJ126-$AI126-$AH126-$AG126-$AF126-$AE126*(1+EP$3))/$AJ126,'Технический лист'!$I:$J,2,1)-VLOOKUP($AO126,'Технический лист'!$I:$J,2,1)),1+(1-$AU126))</f>
        <v>1.02</v>
      </c>
      <c r="EQ126" s="15">
        <f>MIN(IF($AU126=100%,1,1+VLOOKUP(($AJ126-$AI126-$AH126-$AG126-$AF126-$AE126*(1+EQ$3))/$AJ126,'Технический лист'!$I:$J,2,1)-VLOOKUP($AO126,'Технический лист'!$I:$J,2,1)),1+(1-$AU126))</f>
        <v>1.02</v>
      </c>
      <c r="ER126" s="15">
        <f>MIN(IF($AU126=100%,1,1+VLOOKUP(($AJ126-$AI126-$AH126-$AG126-$AF126-$AE126*(1+ER$3))/$AJ126,'Технический лист'!$I:$J,2,1)-VLOOKUP($AO126,'Технический лист'!$I:$J,2,1)),1+(1-$AU126))</f>
        <v>1</v>
      </c>
      <c r="ES126" s="15">
        <f>MIN(IF($AU126=100%,1,1+VLOOKUP(($AJ126-$AI126-$AH126-$AG126-$AF126-$AE126*(1+ES$3))/$AJ126,'Технический лист'!$I:$J,2,1)-VLOOKUP($AO126,'Технический лист'!$I:$J,2,1)),1+(1-$AU126))</f>
        <v>1</v>
      </c>
      <c r="ET126" s="15">
        <f>MIN(IF($AU126=100%,1,1+VLOOKUP(($AJ126-$AI126-$AH126-$AG126-$AF126-$AE126*(1+ET$3))/$AJ126,'Технический лист'!$I:$J,2,1)-VLOOKUP($AO126,'Технический лист'!$I:$J,2,1)),1+(1-$AU126))</f>
        <v>1</v>
      </c>
      <c r="EU126" s="15">
        <f>MIN(IF($AU126=100%,1,1+VLOOKUP(($AJ126-$AI126-$AH126-$AG126-$AF126-$AE126*(1+EU$3))/$AJ126,'Технический лист'!$I:$J,2,1)-VLOOKUP($AO126,'Технический лист'!$I:$J,2,1)),1+(1-$AU126))</f>
        <v>1</v>
      </c>
      <c r="EV126" s="111">
        <v>1</v>
      </c>
      <c r="EW126" s="15">
        <f>MIN(1,MAX(VLOOKUP(($AJ126-$AI126-$AH126-$AG126-$AF126-$AE126*(1+EW$3))/$AJ126,'Технический лист'!$A:$B,2,1),(EV126-0.05)))</f>
        <v>1</v>
      </c>
      <c r="EX126" s="15">
        <f>MIN(1,MAX(VLOOKUP(($AJ126-$AI126-$AH126-$AG126-$AF126-$AE126*(1+EX$3))/$AJ126,'Технический лист'!$A:$B,2,1),(EW126-0.05)))</f>
        <v>1</v>
      </c>
      <c r="EY126" s="15">
        <f>MIN(1,MAX(VLOOKUP(($AJ126-$AI126-$AH126-$AG126-$AF126-$AE126*(1+EY$3))/$AJ126,'Технический лист'!$A:$B,2,1),(EX126-0.05)))</f>
        <v>1</v>
      </c>
      <c r="EZ126" s="15">
        <f>MIN(1,MAX(VLOOKUP(($AJ126-$AI126-$AH126-$AG126-$AF126-$AE126*(1+EZ$3))/$AJ126,'Технический лист'!$A:$B,2,1),(EY126-0.05)))</f>
        <v>1</v>
      </c>
      <c r="FA126" s="15">
        <f>MIN(1,MAX(VLOOKUP(($AJ126-$AI126-$AH126-$AG126-$AF126-$AE126*(1+FA$3))/$AJ126,'Технический лист'!$A:$B,2,1),(EZ126-0.05)))</f>
        <v>1</v>
      </c>
      <c r="FB126" s="15">
        <f>MIN(1,MAX(VLOOKUP(($AJ126-$AI126-$AH126-$AG126-$AF126-$AE126*(1+FB$3))/$AJ126,'Технический лист'!$A:$B,2,1),(FA126-0.05)))</f>
        <v>1</v>
      </c>
      <c r="FC126" s="15">
        <f>MIN(1,MAX(VLOOKUP(($AJ126-$AI126-$AH126-$AG126-$AF126-$AE126*(1+FC$3))/$AJ126,'Технический лист'!$A:$B,2,1),(FB126-0.05)))</f>
        <v>1</v>
      </c>
      <c r="FD126" s="15">
        <f>MIN(1,MAX(VLOOKUP(($AJ126-$AI126-$AH126-$AG126-$AF126-$AE126*(1+FD$3))/$AJ126,'Технический лист'!$A:$B,2,1),(FC126-0.05)))</f>
        <v>1</v>
      </c>
      <c r="FE126" s="15">
        <f>MIN(1,MAX(VLOOKUP(($AJ126-$AI126-$AH126-$AG126-$AF126-$AE126*(1+FE$3))/$AJ126,'Технический лист'!$A:$B,2,1),(FD126-0.05)))</f>
        <v>1</v>
      </c>
      <c r="FF126" s="15">
        <f>MIN(1,MAX(VLOOKUP(($AJ126-$AI126-$AH126-$AG126-$AF126-$AE126*(1+FF$3))/$AJ126,'Технический лист'!$A:$B,2,1),(FE126-0.05)))</f>
        <v>1</v>
      </c>
      <c r="FG126" s="15">
        <f>MIN(1,MAX(VLOOKUP(($AJ126-$AI126-$AH126-$AG126-$AF126-$AE126*(1+FG$3))/$AJ126,'Технический лист'!$A:$B,2,1),(FF126-0.05)))</f>
        <v>1</v>
      </c>
      <c r="FH126" s="15">
        <f>MIN(1,MAX(VLOOKUP(($AJ126-$AI126-$AH126-$AG126-$AF126-$AE126*(1+FH$3))/$AJ126,'Технический лист'!$A:$B,2,1),(FG126-0.05)))</f>
        <v>1</v>
      </c>
      <c r="FI126" s="15">
        <f>MIN(1,MAX(VLOOKUP(($AJ126-$AI126-$AH126-$AG126-$AF126-$AE126*(1+FI$3))/$AJ126,'Технический лист'!$A:$B,2,1),(FH126-0.05)))</f>
        <v>1</v>
      </c>
      <c r="FJ126" s="15">
        <f>MIN(1,MAX(VLOOKUP(($AJ126-$AI126-$AH126-$AG126-$AF126-$AE126*(1+FJ$3))/$AJ126,'Технический лист'!$A:$B,2,1),(FI126-0.05)))</f>
        <v>1</v>
      </c>
      <c r="FK126" s="15">
        <f>MIN(1,MAX(VLOOKUP(($AJ126-$AI126-$AH126-$AG126-$AF126-$AE126*(1+FK$3))/$AJ126,'Технический лист'!$A:$B,2,1),(FJ126-0.05)))</f>
        <v>1</v>
      </c>
      <c r="FL126" s="15">
        <f>MIN(1,MAX(VLOOKUP(($AJ126-$AI126-$AH126-$AG126-$AF126-$AE126*(1+FL$3))/$AJ126,'Технический лист'!$A:$B,2,1),(FK126-0.05)))</f>
        <v>1</v>
      </c>
      <c r="FM126" s="15">
        <f>MIN(1,MAX(VLOOKUP(($AJ126-$AI126-$AH126-$AG126-$AF126-$AE126*(1+FM$3))/$AJ126,'Технический лист'!$A:$B,2,1),(FL126-0.05)))</f>
        <v>1</v>
      </c>
      <c r="FN126" s="15">
        <f>MIN(1,MAX(VLOOKUP(($AJ126-$AI126-$AH126-$AG126-$AF126-$AE126*(1+FN$3))/$AJ126,'Технический лист'!$A:$B,2,1),(FM126-0.05)))</f>
        <v>1</v>
      </c>
      <c r="FO126" s="15">
        <f>MIN(1,MAX(VLOOKUP(($AJ126-$AI126-$AH126-$AG126-$AF126-$AE126*(1+FO$3))/$AJ126,'Технический лист'!$A:$B,2,1),(FN126-0.05)))</f>
        <v>1</v>
      </c>
      <c r="FP126" s="15">
        <f>MIN(1,MAX(VLOOKUP(($AJ126-$AI126-$AH126-$AG126-$AF126-$AE126*(1+FP$3))/$AJ126,'Технический лист'!$A:$B,2,1),(FO126-0.05)))</f>
        <v>1</v>
      </c>
      <c r="FQ126" s="15">
        <f>MIN(1,MAX(VLOOKUP(($AJ126-$AI126-$AH126-$AG126-$AF126-$AE126*(1+FQ$3))/$AJ126,'Технический лист'!$A:$B,2,1),(FP126-0.05)))</f>
        <v>1</v>
      </c>
      <c r="FR126" s="15">
        <f>MIN(1,MAX(VLOOKUP(($AJ126-$AI126-$AH126-$AG126-$AF126-$AE126*(1+FR$3))/$AJ126,'Технический лист'!$A:$B,2,1),(FQ126-0.05)))</f>
        <v>1</v>
      </c>
      <c r="FS126" s="15">
        <f>MIN(1,MAX(VLOOKUP(($AJ126-$AI126-$AH126-$AG126-$AF126-$AE126*(1+FS$3))/$AJ126,'Технический лист'!$A:$B,2,1),(FR126-0.05)))</f>
        <v>1</v>
      </c>
      <c r="FT126" s="15">
        <f>MIN(1,MAX(VLOOKUP(($AJ126-$AI126-$AH126-$AG126-$AF126-$AE126*(1+FT$3))/$AJ126,'Технический лист'!$A:$B,2,1),(FS126-0.05)))</f>
        <v>1</v>
      </c>
      <c r="FU126" s="15">
        <f>MIN(1,MAX(VLOOKUP(($AJ126-$AI126-$AH126-$AG126-$AF126-$AE126*(1+FU$3))/$AJ126,'Технический лист'!$A:$B,2,1),(FT126-0.05)))</f>
        <v>1</v>
      </c>
      <c r="FV126" s="15">
        <f>MIN(1,MAX(VLOOKUP(($AJ126-$AI126-$AH126-$AG126-$AF126-$AE126*(1+FV$3))/$AJ126,'Технический лист'!$A:$B,2,1),(FU126-0.05)))</f>
        <v>1</v>
      </c>
      <c r="FW126" s="15">
        <f>MIN(1,MAX(VLOOKUP(($AJ126-$AI126-$AH126-$AG126-$AF126-$AE126*(1+FW$3))/$AJ126,'Технический лист'!$A:$B,2,1),(FV126-0.05)))</f>
        <v>1</v>
      </c>
      <c r="FX126" s="15">
        <f>MIN(1,MAX(VLOOKUP(($AJ126-$AI126-$AH126-$AG126-$AF126-$AE126*(1+FX$3))/$AJ126,'Технический лист'!$A:$B,2,1),(FW126-0.05)))</f>
        <v>1</v>
      </c>
      <c r="FY126" s="15">
        <f>MIN(1,MAX(VLOOKUP(($AJ126-$AI126-$AH126-$AG126-$AF126-$AE126*(1+FY$3))/$AJ126,'Технический лист'!$A:$B,2,1),(FX126-0.05)))</f>
        <v>1</v>
      </c>
      <c r="FZ126" s="15">
        <f>MIN(1,MAX(VLOOKUP(($AJ126-$AI126-$AH126-$AG126-$AF126-$AE126*(1+FZ$3))/$AJ126,'Технический лист'!$A:$B,2,1),(FY126-0.05)))</f>
        <v>1</v>
      </c>
      <c r="GA126" s="15">
        <f>MIN(1,MAX(VLOOKUP(($AJ126-$AI126-$AH126-$AG126-$AF126-$AE126*(1+GA$3))/$AJ126,'Технический лист'!$A:$B,2,1),(FZ126-0.05)))</f>
        <v>1</v>
      </c>
      <c r="GB126" s="15">
        <f>MIN(1,MAX(VLOOKUP(($AJ126-$AI126-$AH126-$AG126-$AF126-$AE126*(1+GB$3))/$AJ126,'Технический лист'!$A:$B,2,1),(GA126-0.05)))</f>
        <v>1</v>
      </c>
      <c r="GC126" s="15">
        <f>MIN(1,MAX(VLOOKUP(($AJ126-$AI126-$AH126-$AG126-$AF126-$AE126*(1+GC$3))/$AJ126,'Технический лист'!$A:$B,2,1),(GB126-0.05)))</f>
        <v>1</v>
      </c>
      <c r="GD126" s="15">
        <f>MIN(1,MAX(VLOOKUP(($AJ126-$AI126-$AH126-$AG126-$AF126-$AE126*(1+GD$3))/$AJ126,'Технический лист'!$A:$B,2,1),(GC126-0.05)))</f>
        <v>1</v>
      </c>
      <c r="GE126" s="15">
        <f>MIN(1,MAX(VLOOKUP(($AJ126-$AI126-$AH126-$AG126-$AF126-$AE126*(1+GE$3))/$AJ126,'Технический лист'!$A:$B,2,1),(GD126-0.05)))</f>
        <v>1</v>
      </c>
      <c r="GF126" s="15">
        <f>MIN(1,MAX(VLOOKUP(($AJ126-$AI126-$AH126-$AG126-$AF126-$AE126*(1+GF$3))/$AJ126,'Технический лист'!$A:$B,2,1),(GE126-0.05)))</f>
        <v>1</v>
      </c>
      <c r="GG126" s="15">
        <f>MIN(1,MAX(VLOOKUP(($AJ126-$AI126-$AH126-$AG126-$AF126-$AE126*(1+GG$3))/$AJ126,'Технический лист'!$A:$B,2,1),(GF126-0.05)))</f>
        <v>1</v>
      </c>
      <c r="GH126" s="15">
        <f>MIN(1,MAX(VLOOKUP(($AJ126-$AI126-$AH126-$AG126-$AF126-$AE126*(1+GH$3))/$AJ126,'Технический лист'!$A:$B,2,1),(GG126-0.05)))</f>
        <v>1</v>
      </c>
      <c r="GI126" s="15">
        <f>MIN(1,MAX(VLOOKUP(($AJ126-$AI126-$AH126-$AG126-$AF126-$AE126*(1+GI$3))/$AJ126,'Технический лист'!$A:$B,2,1),(GH126-0.05)))</f>
        <v>1</v>
      </c>
      <c r="GJ126" s="15">
        <f>MIN(1,MAX(VLOOKUP(($AJ126-$AI126-$AH126-$AG126-$AF126-$AE126*(1+GJ$3))/$AJ126,'Технический лист'!$A:$B,2,1),(GI126-0.05)))</f>
        <v>1</v>
      </c>
      <c r="GK126" s="15">
        <f>MIN(1,MAX(VLOOKUP(($AJ126-$AI126-$AH126-$AG126-$AF126-$AE126*(1+GK$3))/$AJ126,'Технический лист'!$A:$B,2,1),(GJ126-0.05)))</f>
        <v>1</v>
      </c>
      <c r="GL126" s="15">
        <f>MIN(1,MAX(VLOOKUP(($AJ126-$AI126-$AH126-$AG126-$AF126-$AE126*(1+GL$3))/$AJ126,'Технический лист'!$A:$B,2,1),(GK126-0.05)))</f>
        <v>1</v>
      </c>
      <c r="GM126" s="15">
        <f>MIN(1,MAX(VLOOKUP(($AJ126-$AI126-$AH126-$AG126-$AF126-$AE126*(1+GM$3))/$AJ126,'Технический лист'!$A:$B,2,1),(GL126-0.05)))</f>
        <v>1</v>
      </c>
      <c r="GN126" s="15">
        <f>MIN(1,MAX(VLOOKUP(($AJ126-$AI126-$AH126-$AG126-$AF126-$AE126*(1+GN$3))/$AJ126,'Технический лист'!$A:$B,2,1),(GM126-0.05)))</f>
        <v>1</v>
      </c>
      <c r="GO126" s="15">
        <f>MIN(1,MAX(VLOOKUP(($AJ126-$AI126-$AH126-$AG126-$AF126-$AE126*(1+GO$3))/$AJ126,'Технический лист'!$A:$B,2,1),(GN126-0.05)))</f>
        <v>1</v>
      </c>
      <c r="GP126" s="15">
        <f>MIN(1,MAX(VLOOKUP(($AJ126-$AI126-$AH126-$AG126-$AF126-$AE126*(1+GP$3))/$AJ126,'Технический лист'!$A:$B,2,1),(GO126-0.05)))</f>
        <v>1</v>
      </c>
      <c r="GQ126" s="15">
        <f>MIN(1,MAX(VLOOKUP(($AJ126-$AI126-$AH126-$AG126-$AF126-$AE126*(1+GQ$3))/$AJ126,'Технический лист'!$A:$B,2,1),(GP126-0.05)))</f>
        <v>1</v>
      </c>
      <c r="GR126" s="15">
        <f>MIN(1,MAX(VLOOKUP(($AJ126-$AI126-$AH126-$AG126-$AF126-$AE126*(1+GR$3))/$AJ126,'Технический лист'!$A:$B,2,1),(GQ126-0.05)))</f>
        <v>1</v>
      </c>
      <c r="GS126" s="15">
        <f>MIN(1,MAX(VLOOKUP(($AJ126-$AI126-$AH126-$AG126-$AF126-$AE126*(1+GS$3))/$AJ126,'Технический лист'!$A:$B,2,1),(GR126-0.05)))</f>
        <v>1</v>
      </c>
      <c r="GT126" s="15">
        <f>MIN(1,MAX(VLOOKUP(($AJ126-$AI126-$AH126-$AG126-$AF126-$AE126*(1+GT$3))/$AJ126,'Технический лист'!$A:$B,2,1),(GS126-0.05)))</f>
        <v>1</v>
      </c>
      <c r="GU126" s="15">
        <f>MIN(1,MAX(VLOOKUP(($AJ126-$AI126-$AH126-$AG126-$AF126-$AE126*(1+GU$3))/$AJ126,'Технический лист'!$A:$B,2,1),(GT126-0.05)))</f>
        <v>1</v>
      </c>
      <c r="GV126" s="15">
        <f>MIN(1,MAX(VLOOKUP(($AJ126-$AI126-$AH126-$AG126-$AF126-$AE126*(1+GV$3))/$AJ126,'Технический лист'!$A:$B,2,1),(GU126-0.05)))</f>
        <v>1</v>
      </c>
      <c r="GW126" s="15">
        <f>MIN(1,MAX(VLOOKUP(($AJ126-$AI126-$AH126-$AG126-$AF126-$AE126*(1+GW$3))/$AJ126,'Технический лист'!$A:$B,2,1),(GV126-0.05)))</f>
        <v>1</v>
      </c>
      <c r="GX126" s="15">
        <f>MIN(1,MAX(VLOOKUP(($AJ126-$AI126-$AH126-$AG126-$AF126-$AE126*(1+GX$3))/$AJ126,'Технический лист'!$A:$B,2,1),(GW126-0.05)))</f>
        <v>1</v>
      </c>
      <c r="GY126" s="15">
        <f>MIN(1,MAX(VLOOKUP(($AJ126-$AI126-$AH126-$AG126-$AF126-$AE126*(1+GY$3))/$AJ126,'Технический лист'!$A:$B,2,1),(GX126-0.05)))</f>
        <v>1</v>
      </c>
      <c r="GZ126" s="15">
        <f>MIN(1,MAX(VLOOKUP(($AJ126-$AI126-$AH126-$AG126-$AF126-$AE126*(1+GZ$3))/$AJ126,'Технический лист'!$A:$B,2,1),(GY126-0.05)))</f>
        <v>1</v>
      </c>
      <c r="HA126" s="15">
        <f>MIN(1,MAX(VLOOKUP(($AJ126-$AI126-$AH126-$AG126-$AF126-$AE126*(1+HA$3))/$AJ126,'Технический лист'!$A:$B,2,1),(GZ126-0.05)))</f>
        <v>1</v>
      </c>
      <c r="HB126" s="15">
        <f>MIN(1,MAX(VLOOKUP(($AJ126-$AI126-$AH126-$AG126-$AF126-$AE126*(1+HB$3))/$AJ126,'Технический лист'!$A:$B,2,1),(HA126-0.05)))</f>
        <v>1</v>
      </c>
      <c r="HC126" s="15">
        <f>MIN(1,MAX(VLOOKUP(($AJ126-$AI126-$AH126-$AG126-$AF126-$AE126*(1+HC$3))/$AJ126,'Технический лист'!$A:$B,2,1),(HB126-0.05)))</f>
        <v>1</v>
      </c>
      <c r="HD126" s="15">
        <f>MIN(1,MAX(VLOOKUP(($AJ126-$AI126-$AH126-$AG126-$AF126-$AE126*(1+HD$3))/$AJ126,'Технический лист'!$A:$B,2,1),(HC126-0.05)))</f>
        <v>1</v>
      </c>
      <c r="HE126" s="15">
        <f>MIN(1,MAX(VLOOKUP(($AJ126-$AI126-$AH126-$AG126-$AF126-$AE126*(1+HE$3))/$AJ126,'Технический лист'!$A:$B,2,1),(HD126-0.05)))</f>
        <v>1</v>
      </c>
      <c r="HF126" s="15">
        <f>MIN(1,MAX(VLOOKUP(($AJ126-$AI126-$AH126-$AG126-$AF126-$AE126*(1+HF$3))/$AJ126,'Технический лист'!$A:$B,2,1),(HE126-0.05)))</f>
        <v>1</v>
      </c>
      <c r="HG126" s="15">
        <f>MIN(1,MAX(VLOOKUP(($AJ126-$AI126-$AH126-$AG126-$AF126-$AE126*(1+HG$3))/$AJ126,'Технический лист'!$A:$B,2,1),(HF126-0.05)))</f>
        <v>1</v>
      </c>
      <c r="HH126" s="15">
        <f>MIN(1,MAX(VLOOKUP(($AJ126-$AI126-$AH126-$AG126-$AF126-$AE126*(1+HH$3))/$AJ126,'Технический лист'!$A:$B,2,1),(HG126-0.05)))</f>
        <v>1</v>
      </c>
      <c r="HI126" s="15">
        <f>MIN(1,MAX(VLOOKUP(($AJ126-$AI126-$AH126-$AG126-$AF126-$AE126*(1+HI$3))/$AJ126,'Технический лист'!$A:$B,2,1),(HH126-0.05)))</f>
        <v>1</v>
      </c>
      <c r="HJ126" s="15">
        <f>MIN(1,MAX(VLOOKUP(($AJ126-$AI126-$AH126-$AG126-$AF126-$AE126*(1+HJ$3))/$AJ126,'Технический лист'!$A:$B,2,1),(HI126-0.05)))</f>
        <v>1</v>
      </c>
      <c r="HK126" s="15">
        <f>MIN(1,MAX(VLOOKUP(($AJ126-$AI126-$AH126-$AG126-$AF126-$AE126*(1+HK$3))/$AJ126,'Технический лист'!$A:$B,2,1),(HJ126-0.05)))</f>
        <v>1</v>
      </c>
      <c r="HL126" s="15">
        <f>MIN(1,MAX(VLOOKUP(($AJ126-$AI126-$AH126-$AG126-$AF126-$AE126*(1+HL$3))/$AJ126,'Технический лист'!$A:$B,2,1),(HK126-0.05)))</f>
        <v>1</v>
      </c>
      <c r="HM126" s="15">
        <f>MIN(1,MAX(VLOOKUP(($AJ126-$AI126-$AH126-$AG126-$AF126-$AE126*(1+HM$3))/$AJ126,'Технический лист'!$A:$B,2,1),(HL126-0.05)))</f>
        <v>1</v>
      </c>
      <c r="HN126" s="15">
        <f>MIN(1,MAX(VLOOKUP(($AJ126-$AI126-$AH126-$AG126-$AF126-$AE126*(1+HN$3))/$AJ126,'Технический лист'!$A:$B,2,1),(HM126-0.05)))</f>
        <v>1</v>
      </c>
      <c r="HO126" s="15">
        <f>MIN(1,MAX(VLOOKUP(($AJ126-$AI126-$AH126-$AG126-$AF126-$AE126*(1+HO$3))/$AJ126,'Технический лист'!$A:$B,2,1),(HN126-0.05)))</f>
        <v>1</v>
      </c>
      <c r="HP126" s="15">
        <f>MIN(1,MAX(VLOOKUP(($AJ126-$AI126-$AH126-$AG126-$AF126-$AE126*(1+HP$3))/$AJ126,'Технический лист'!$A:$B,2,1),(HO126-0.05)))</f>
        <v>1</v>
      </c>
      <c r="HQ126" s="15">
        <f>MIN(1,MAX(VLOOKUP(($AJ126-$AI126-$AH126-$AG126-$AF126-$AE126*(1+HQ$3))/$AJ126,'Технический лист'!$A:$B,2,1),(HP126-0.05)))</f>
        <v>1</v>
      </c>
      <c r="HR126" s="15">
        <f>MIN(1,MAX(VLOOKUP(($AJ126-$AI126-$AH126-$AG126-$AF126-$AE126*(1+HR$3))/$AJ126,'Технический лист'!$A:$B,2,1),(HQ126-0.05)))</f>
        <v>1</v>
      </c>
      <c r="HS126" s="15">
        <f>MIN(1,MAX(VLOOKUP(($AJ126-$AI126-$AH126-$AG126-$AF126-$AE126*(1+HS$3))/$AJ126,'Технический лист'!$A:$B,2,1),(HR126-0.05)))</f>
        <v>1</v>
      </c>
      <c r="HT126" s="15">
        <f>MIN(1,MAX(VLOOKUP(($AJ126-$AI126-$AH126-$AG126-$AF126-$AE126*(1+HT$3))/$AJ126,'Технический лист'!$A:$B,2,1),(HS126-0.05)))</f>
        <v>1</v>
      </c>
      <c r="HU126" s="15">
        <f>MIN(1,MAX(VLOOKUP(($AJ126-$AI126-$AH126-$AG126-$AF126-$AE126*(1+HU$3))/$AJ126,'Технический лист'!$A:$B,2,1),(HT126-0.05)))</f>
        <v>1</v>
      </c>
      <c r="HV126" s="15">
        <f>MIN(1,MAX(VLOOKUP(($AJ126-$AI126-$AH126-$AG126-$AF126-$AE126*(1+HV$3))/$AJ126,'Технический лист'!$A:$B,2,1),(HU126-0.05)))</f>
        <v>1</v>
      </c>
      <c r="HW126" s="15">
        <f>MIN(1,MAX(VLOOKUP(($AJ126-$AI126-$AH126-$AG126-$AF126-$AE126*(1+HW$3))/$AJ126,'Технический лист'!$A:$B,2,1),(HV126-0.05)))</f>
        <v>1</v>
      </c>
      <c r="HX126" s="15">
        <f>MIN(1,MAX(VLOOKUP(($AJ126-$AI126-$AH126-$AG126-$AF126-$AE126*(1+HX$3))/$AJ126,'Технический лист'!$A:$B,2,1),(HW126-0.05)))</f>
        <v>1</v>
      </c>
      <c r="HY126" s="15">
        <f>MIN(1,MAX(VLOOKUP(($AJ126-$AI126-$AH126-$AG126-$AF126-$AE126*(1+HY$3))/$AJ126,'Технический лист'!$A:$B,2,1),(HX126-0.05)))</f>
        <v>1</v>
      </c>
      <c r="HZ126" s="15">
        <f>MIN(1,MAX(VLOOKUP(($AJ126-$AI126-$AH126-$AG126-$AF126-$AE126*(1+HZ$3))/$AJ126,'Технический лист'!$A:$B,2,1),(HY126-0.05)))</f>
        <v>1</v>
      </c>
      <c r="IA126" s="15">
        <f>MIN(1,MAX(VLOOKUP(($AJ126-$AI126-$AH126-$AG126-$AF126-$AE126*(1+IA$3))/$AJ126,'Технический лист'!$A:$B,2,1),(HZ126-0.05)))</f>
        <v>1</v>
      </c>
      <c r="IB126" s="15">
        <f>MIN(1,MAX(VLOOKUP(($AJ126-$AI126-$AH126-$AG126-$AF126-$AE126*(1+IB$3))/$AJ126,'Технический лист'!$A:$B,2,1),(IA126-0.05)))</f>
        <v>1</v>
      </c>
      <c r="IC126" s="15">
        <f>MIN(1,MAX(VLOOKUP(($AJ126-$AI126-$AH126-$AG126-$AF126-$AE126*(1+IC$3))/$AJ126,'Технический лист'!$A:$B,2,1),(IB126-0.05)))</f>
        <v>1</v>
      </c>
      <c r="ID126" s="15">
        <f>MIN(1,MAX(VLOOKUP(($AJ126-$AI126-$AH126-$AG126-$AF126-$AE126*(1+ID$3))/$AJ126,'Технический лист'!$A:$B,2,1),(IC126-0.05)))</f>
        <v>0.995</v>
      </c>
      <c r="IE126" s="15">
        <f>MIN(1,MAX(VLOOKUP(($AJ126-$AI126-$AH126-$AG126-$AF126-$AE126*(1+IE$3))/$AJ126,'Технический лист'!$A:$B,2,1),(ID126-0.05)))</f>
        <v>0.995</v>
      </c>
      <c r="IF126" s="15">
        <f>MIN(1,MAX(VLOOKUP(($AJ126-$AI126-$AH126-$AG126-$AF126-$AE126*(1+IF$3))/$AJ126,'Технический лист'!$A:$B,2,1),(IE126-0.05)))</f>
        <v>0.995</v>
      </c>
      <c r="IG126" s="15">
        <f>MIN(1,MAX(VLOOKUP(($AJ126-$AI126-$AH126-$AG126-$AF126-$AE126*(1+IG$3))/$AJ126,'Технический лист'!$A:$B,2,1),(IF126-0.05)))</f>
        <v>0.995</v>
      </c>
      <c r="IH126" s="15">
        <f>MIN(1,MAX(VLOOKUP(($AJ126-$AI126-$AH126-$AG126-$AF126-$AE126*(1+IH$3))/$AJ126,'Технический лист'!$A:$B,2,1),(IG126-0.05)))</f>
        <v>0.995</v>
      </c>
      <c r="II126" s="15">
        <f>MIN(1,MAX(VLOOKUP(($AJ126-$AI126-$AH126-$AG126-$AF126-$AE126*(1+II$3))/$AJ126,'Технический лист'!$A:$B,2,1),(IH126-0.05)))</f>
        <v>0.995</v>
      </c>
      <c r="IJ126" s="15">
        <f>MIN(1,MAX(VLOOKUP(($AJ126-$AI126-$AH126-$AG126-$AF126-$AE126*(1+IJ$3))/$AJ126,'Технический лист'!$A:$B,2,1),(II126-0.05)))</f>
        <v>0.995</v>
      </c>
      <c r="IK126" s="15">
        <f>MIN(1,MAX(VLOOKUP(($AJ126-$AI126-$AH126-$AG126-$AF126-$AE126*(1+IK$3))/$AJ126,'Технический лист'!$A:$B,2,1),(IJ126-0.05)))</f>
        <v>0.995</v>
      </c>
      <c r="IL126" s="15">
        <f>MIN(1,MAX(VLOOKUP(($AJ126-$AI126-$AH126-$AG126-$AF126-$AE126*(1+IL$3))/$AJ126,'Технический лист'!$A:$B,2,1),(IK126-0.05)))</f>
        <v>0.995</v>
      </c>
      <c r="IM126" s="15">
        <f>MIN(1,MAX(VLOOKUP(($AJ126-$AI126-$AH126-$AG126-$AF126-$AE126*(1+IM$3))/$AJ126,'Технический лист'!$A:$B,2,1),(IL126-0.05)))</f>
        <v>0.995</v>
      </c>
      <c r="IN126" s="15">
        <f>MIN(1,MAX(VLOOKUP(($AJ126-$AI126-$AH126-$AG126-$AF126-$AE126*(1+IN$3))/$AJ126,'Технический лист'!$A:$B,2,1),(IM126-0.05)))</f>
        <v>0.995</v>
      </c>
      <c r="IO126" s="15">
        <f>MIN(1,MAX(VLOOKUP(($AJ126-$AI126-$AH126-$AG126-$AF126-$AE126*(1+IO$3))/$AJ126,'Технический лист'!$A:$B,2,1),(IN126-0.05)))</f>
        <v>0.995</v>
      </c>
      <c r="IP126" s="15">
        <f>MIN(1,MAX(VLOOKUP(($AJ126-$AI126-$AH126-$AG126-$AF126-$AE126*(1+IP$3))/$AJ126,'Технический лист'!$A:$B,2,1),(IO126-0.05)))</f>
        <v>0.995</v>
      </c>
      <c r="IQ126" s="15">
        <f>MIN(1,MAX(VLOOKUP(($AJ126-$AI126-$AH126-$AG126-$AF126-$AE126*(1+IQ$3))/$AJ126,'Технический лист'!$A:$B,2,1),(IP126-0.05)))</f>
        <v>0.99</v>
      </c>
      <c r="IR126" s="15">
        <f>MIN(1,MAX(VLOOKUP(($AJ126-$AI126-$AH126-$AG126-$AF126-$AE126*(1+IR$3))/$AJ126,'Технический лист'!$A:$B,2,1),(IQ126-0.05)))</f>
        <v>0.99</v>
      </c>
    </row>
    <row r="127" spans="1:252" ht="58.3">
      <c r="A127" s="89" t="s">
        <v>515</v>
      </c>
      <c r="B127" s="90">
        <v>5</v>
      </c>
      <c r="C127" s="5" t="s">
        <v>68</v>
      </c>
      <c r="D127" s="91">
        <v>32307</v>
      </c>
      <c r="E127" s="91" t="s">
        <v>354</v>
      </c>
      <c r="F127" s="92" t="s">
        <v>76</v>
      </c>
      <c r="G127" s="91" t="s">
        <v>31</v>
      </c>
      <c r="H127" s="91" t="s">
        <v>20</v>
      </c>
      <c r="I127" s="91" t="s">
        <v>177</v>
      </c>
      <c r="J127" s="91" t="s">
        <v>185</v>
      </c>
      <c r="K127" s="91">
        <v>3259</v>
      </c>
      <c r="L127" s="91" t="s">
        <v>189</v>
      </c>
      <c r="M127" s="91" t="s">
        <v>190</v>
      </c>
      <c r="N127" s="91" t="s">
        <v>191</v>
      </c>
      <c r="O127" s="91" t="s">
        <v>193</v>
      </c>
      <c r="P127" s="89" t="s">
        <v>248</v>
      </c>
      <c r="Q127" s="91" t="s">
        <v>275</v>
      </c>
      <c r="R127" s="91" t="s">
        <v>264</v>
      </c>
      <c r="S127" s="82">
        <v>14028</v>
      </c>
      <c r="T127" s="82">
        <v>45717590</v>
      </c>
      <c r="U127" s="81">
        <v>241</v>
      </c>
      <c r="V127" s="81">
        <v>0</v>
      </c>
      <c r="W127" s="82">
        <v>85369997</v>
      </c>
      <c r="X127" s="112">
        <v>50</v>
      </c>
      <c r="Y127" s="112" t="s">
        <v>416</v>
      </c>
      <c r="Z127" s="113">
        <v>10</v>
      </c>
      <c r="AA127" s="113">
        <v>10</v>
      </c>
      <c r="AB127" s="113">
        <v>4</v>
      </c>
      <c r="AC127" s="99">
        <v>5945.98</v>
      </c>
      <c r="AD127" s="99">
        <f t="shared" si="48"/>
        <v>980.90000000000055</v>
      </c>
      <c r="AE127" s="99">
        <v>6926.88</v>
      </c>
      <c r="AF127" s="98">
        <f>(AB127+AA127+Z127)*'Ставки аренды'!$B$7/X127</f>
        <v>720</v>
      </c>
      <c r="AG127" s="94">
        <v>0</v>
      </c>
      <c r="AH127" s="94">
        <v>0</v>
      </c>
      <c r="AI127" s="115">
        <f t="shared" si="50"/>
        <v>55991.908180601888</v>
      </c>
      <c r="AJ127" s="117">
        <f>Цены!D28</f>
        <v>72000</v>
      </c>
      <c r="AK127" s="94">
        <f>AJ127/Цены!$B$1</f>
        <v>943.57549586858102</v>
      </c>
      <c r="AL127" s="95">
        <f t="shared" si="24"/>
        <v>7646.88</v>
      </c>
      <c r="AM127" s="95">
        <f t="shared" si="25"/>
        <v>64353.120000000003</v>
      </c>
      <c r="AN127" s="94">
        <f t="shared" si="39"/>
        <v>63638.788180601885</v>
      </c>
      <c r="AO127" s="118">
        <f t="shared" si="40"/>
        <v>0.11612794193608493</v>
      </c>
      <c r="AP127" s="96">
        <f t="shared" si="26"/>
        <v>0.10620666666666667</v>
      </c>
      <c r="AQ127" s="96">
        <f t="shared" si="27"/>
        <v>9.6206666666666663E-2</v>
      </c>
      <c r="AR127" s="96">
        <f t="shared" si="28"/>
        <v>0.90584395204318624</v>
      </c>
      <c r="AS127" s="122">
        <v>1</v>
      </c>
      <c r="AT127" s="121">
        <f t="shared" si="45"/>
        <v>14028</v>
      </c>
      <c r="AU127" s="83">
        <v>0.6</v>
      </c>
      <c r="AV127" s="119">
        <f t="shared" si="41"/>
        <v>0.10458314193608485</v>
      </c>
      <c r="AW127" s="120">
        <f t="shared" si="42"/>
        <v>0.11775146666666668</v>
      </c>
      <c r="AX127" s="120">
        <f t="shared" si="43"/>
        <v>0.10775146666666668</v>
      </c>
      <c r="AY127" s="120">
        <f t="shared" si="44"/>
        <v>0.91507536778027398</v>
      </c>
      <c r="AZ127" s="15">
        <f>MIN(IF($AU127=100%,1,1+VLOOKUP(($AJ127-$AI127-$AH127-$AG127-$AF127-$AE127*(1+AZ$3))/$AJ127,'Технический лист'!$I:$J,2,1)-VLOOKUP($AO127,'Технический лист'!$I:$J,2,1)),1+(1-$AU127))</f>
        <v>1.3850000000000002</v>
      </c>
      <c r="BA127" s="15">
        <f>MIN(IF($AU127=100%,1,1+VLOOKUP(($AJ127-$AI127-$AH127-$AG127-$AF127-$AE127*(1+BA$3))/$AJ127,'Технический лист'!$I:$J,2,1)-VLOOKUP($AO127,'Технический лист'!$I:$J,2,1)),1+(1-$AU127))</f>
        <v>1.3850000000000002</v>
      </c>
      <c r="BB127" s="15">
        <f>MIN(IF($AU127=100%,1,1+VLOOKUP(($AJ127-$AI127-$AH127-$AG127-$AF127-$AE127*(1+BB$3))/$AJ127,'Технический лист'!$I:$J,2,1)-VLOOKUP($AO127,'Технический лист'!$I:$J,2,1)),1+(1-$AU127))</f>
        <v>1.3850000000000002</v>
      </c>
      <c r="BC127" s="15">
        <f>MIN(IF($AU127=100%,1,1+VLOOKUP(($AJ127-$AI127-$AH127-$AG127-$AF127-$AE127*(1+BC$3))/$AJ127,'Технический лист'!$I:$J,2,1)-VLOOKUP($AO127,'Технический лист'!$I:$J,2,1)),1+(1-$AU127))</f>
        <v>1.3850000000000002</v>
      </c>
      <c r="BD127" s="15">
        <f>MIN(IF($AU127=100%,1,1+VLOOKUP(($AJ127-$AI127-$AH127-$AG127-$AF127-$AE127*(1+BD$3))/$AJ127,'Технический лист'!$I:$J,2,1)-VLOOKUP($AO127,'Технический лист'!$I:$J,2,1)),1+(1-$AU127))</f>
        <v>1.3850000000000002</v>
      </c>
      <c r="BE127" s="15">
        <f>MIN(IF($AU127=100%,1,1+VLOOKUP(($AJ127-$AI127-$AH127-$AG127-$AF127-$AE127*(1+BE$3))/$AJ127,'Технический лист'!$I:$J,2,1)-VLOOKUP($AO127,'Технический лист'!$I:$J,2,1)),1+(1-$AU127))</f>
        <v>1.3850000000000002</v>
      </c>
      <c r="BF127" s="15">
        <f>MIN(IF($AU127=100%,1,1+VLOOKUP(($AJ127-$AI127-$AH127-$AG127-$AF127-$AE127*(1+BF$3))/$AJ127,'Технический лист'!$I:$J,2,1)-VLOOKUP($AO127,'Технический лист'!$I:$J,2,1)),1+(1-$AU127))</f>
        <v>1.3850000000000002</v>
      </c>
      <c r="BG127" s="15">
        <f>MIN(IF($AU127=100%,1,1+VLOOKUP(($AJ127-$AI127-$AH127-$AG127-$AF127-$AE127*(1+BG$3))/$AJ127,'Технический лист'!$I:$J,2,1)-VLOOKUP($AO127,'Технический лист'!$I:$J,2,1)),1+(1-$AU127))</f>
        <v>1.3850000000000002</v>
      </c>
      <c r="BH127" s="15">
        <f>MIN(IF($AU127=100%,1,1+VLOOKUP(($AJ127-$AI127-$AH127-$AG127-$AF127-$AE127*(1+BH$3))/$AJ127,'Технический лист'!$I:$J,2,1)-VLOOKUP($AO127,'Технический лист'!$I:$J,2,1)),1+(1-$AU127))</f>
        <v>1.3850000000000002</v>
      </c>
      <c r="BI127" s="15">
        <f>MIN(IF($AU127=100%,1,1+VLOOKUP(($AJ127-$AI127-$AH127-$AG127-$AF127-$AE127*(1+BI$3))/$AJ127,'Технический лист'!$I:$J,2,1)-VLOOKUP($AO127,'Технический лист'!$I:$J,2,1)),1+(1-$AU127))</f>
        <v>1.335</v>
      </c>
      <c r="BJ127" s="15">
        <f>MIN(IF($AU127=100%,1,1+VLOOKUP(($AJ127-$AI127-$AH127-$AG127-$AF127-$AE127*(1+BJ$3))/$AJ127,'Технический лист'!$I:$J,2,1)-VLOOKUP($AO127,'Технический лист'!$I:$J,2,1)),1+(1-$AU127))</f>
        <v>1.335</v>
      </c>
      <c r="BK127" s="15">
        <f>MIN(IF($AU127=100%,1,1+VLOOKUP(($AJ127-$AI127-$AH127-$AG127-$AF127-$AE127*(1+BK$3))/$AJ127,'Технический лист'!$I:$J,2,1)-VLOOKUP($AO127,'Технический лист'!$I:$J,2,1)),1+(1-$AU127))</f>
        <v>1.335</v>
      </c>
      <c r="BL127" s="15">
        <f>MIN(IF($AU127=100%,1,1+VLOOKUP(($AJ127-$AI127-$AH127-$AG127-$AF127-$AE127*(1+BL$3))/$AJ127,'Технический лист'!$I:$J,2,1)-VLOOKUP($AO127,'Технический лист'!$I:$J,2,1)),1+(1-$AU127))</f>
        <v>1.335</v>
      </c>
      <c r="BM127" s="15">
        <f>MIN(IF($AU127=100%,1,1+VLOOKUP(($AJ127-$AI127-$AH127-$AG127-$AF127-$AE127*(1+BM$3))/$AJ127,'Технический лист'!$I:$J,2,1)-VLOOKUP($AO127,'Технический лист'!$I:$J,2,1)),1+(1-$AU127))</f>
        <v>1.335</v>
      </c>
      <c r="BN127" s="15">
        <f>MIN(IF($AU127=100%,1,1+VLOOKUP(($AJ127-$AI127-$AH127-$AG127-$AF127-$AE127*(1+BN$3))/$AJ127,'Технический лист'!$I:$J,2,1)-VLOOKUP($AO127,'Технический лист'!$I:$J,2,1)),1+(1-$AU127))</f>
        <v>1.335</v>
      </c>
      <c r="BO127" s="15">
        <f>MIN(IF($AU127=100%,1,1+VLOOKUP(($AJ127-$AI127-$AH127-$AG127-$AF127-$AE127*(1+BO$3))/$AJ127,'Технический лист'!$I:$J,2,1)-VLOOKUP($AO127,'Технический лист'!$I:$J,2,1)),1+(1-$AU127))</f>
        <v>1.335</v>
      </c>
      <c r="BP127" s="15">
        <f>MIN(IF($AU127=100%,1,1+VLOOKUP(($AJ127-$AI127-$AH127-$AG127-$AF127-$AE127*(1+BP$3))/$AJ127,'Технический лист'!$I:$J,2,1)-VLOOKUP($AO127,'Технический лист'!$I:$J,2,1)),1+(1-$AU127))</f>
        <v>1.335</v>
      </c>
      <c r="BQ127" s="15">
        <f>MIN(IF($AU127=100%,1,1+VLOOKUP(($AJ127-$AI127-$AH127-$AG127-$AF127-$AE127*(1+BQ$3))/$AJ127,'Технический лист'!$I:$J,2,1)-VLOOKUP($AO127,'Технический лист'!$I:$J,2,1)),1+(1-$AU127))</f>
        <v>1.335</v>
      </c>
      <c r="BR127" s="15">
        <f>MIN(IF($AU127=100%,1,1+VLOOKUP(($AJ127-$AI127-$AH127-$AG127-$AF127-$AE127*(1+BR$3))/$AJ127,'Технический лист'!$I:$J,2,1)-VLOOKUP($AO127,'Технический лист'!$I:$J,2,1)),1+(1-$AU127))</f>
        <v>1.335</v>
      </c>
      <c r="BS127" s="15">
        <f>MIN(IF($AU127=100%,1,1+VLOOKUP(($AJ127-$AI127-$AH127-$AG127-$AF127-$AE127*(1+BS$3))/$AJ127,'Технический лист'!$I:$J,2,1)-VLOOKUP($AO127,'Технический лист'!$I:$J,2,1)),1+(1-$AU127))</f>
        <v>1.335</v>
      </c>
      <c r="BT127" s="15">
        <f>MIN(IF($AU127=100%,1,1+VLOOKUP(($AJ127-$AI127-$AH127-$AG127-$AF127-$AE127*(1+BT$3))/$AJ127,'Технический лист'!$I:$J,2,1)-VLOOKUP($AO127,'Технический лист'!$I:$J,2,1)),1+(1-$AU127))</f>
        <v>1.2849999999999997</v>
      </c>
      <c r="BU127" s="15">
        <f>MIN(IF($AU127=100%,1,1+VLOOKUP(($AJ127-$AI127-$AH127-$AG127-$AF127-$AE127*(1+BU$3))/$AJ127,'Технический лист'!$I:$J,2,1)-VLOOKUP($AO127,'Технический лист'!$I:$J,2,1)),1+(1-$AU127))</f>
        <v>1.2849999999999997</v>
      </c>
      <c r="BV127" s="15">
        <f>MIN(IF($AU127=100%,1,1+VLOOKUP(($AJ127-$AI127-$AH127-$AG127-$AF127-$AE127*(1+BV$3))/$AJ127,'Технический лист'!$I:$J,2,1)-VLOOKUP($AO127,'Технический лист'!$I:$J,2,1)),1+(1-$AU127))</f>
        <v>1.2849999999999997</v>
      </c>
      <c r="BW127" s="15">
        <f>MIN(IF($AU127=100%,1,1+VLOOKUP(($AJ127-$AI127-$AH127-$AG127-$AF127-$AE127*(1+BW$3))/$AJ127,'Технический лист'!$I:$J,2,1)-VLOOKUP($AO127,'Технический лист'!$I:$J,2,1)),1+(1-$AU127))</f>
        <v>1.2849999999999997</v>
      </c>
      <c r="BX127" s="15">
        <f>MIN(IF($AU127=100%,1,1+VLOOKUP(($AJ127-$AI127-$AH127-$AG127-$AF127-$AE127*(1+BX$3))/$AJ127,'Технический лист'!$I:$J,2,1)-VLOOKUP($AO127,'Технический лист'!$I:$J,2,1)),1+(1-$AU127))</f>
        <v>1.2849999999999997</v>
      </c>
      <c r="BY127" s="15">
        <f>MIN(IF($AU127=100%,1,1+VLOOKUP(($AJ127-$AI127-$AH127-$AG127-$AF127-$AE127*(1+BY$3))/$AJ127,'Технический лист'!$I:$J,2,1)-VLOOKUP($AO127,'Технический лист'!$I:$J,2,1)),1+(1-$AU127))</f>
        <v>1.2849999999999997</v>
      </c>
      <c r="BZ127" s="15">
        <f>MIN(IF($AU127=100%,1,1+VLOOKUP(($AJ127-$AI127-$AH127-$AG127-$AF127-$AE127*(1+BZ$3))/$AJ127,'Технический лист'!$I:$J,2,1)-VLOOKUP($AO127,'Технический лист'!$I:$J,2,1)),1+(1-$AU127))</f>
        <v>1.2849999999999997</v>
      </c>
      <c r="CA127" s="15">
        <f>MIN(IF($AU127=100%,1,1+VLOOKUP(($AJ127-$AI127-$AH127-$AG127-$AF127-$AE127*(1+CA$3))/$AJ127,'Технический лист'!$I:$J,2,1)-VLOOKUP($AO127,'Технический лист'!$I:$J,2,1)),1+(1-$AU127))</f>
        <v>1.2849999999999997</v>
      </c>
      <c r="CB127" s="15">
        <f>MIN(IF($AU127=100%,1,1+VLOOKUP(($AJ127-$AI127-$AH127-$AG127-$AF127-$AE127*(1+CB$3))/$AJ127,'Технический лист'!$I:$J,2,1)-VLOOKUP($AO127,'Технический лист'!$I:$J,2,1)),1+(1-$AU127))</f>
        <v>1.2849999999999997</v>
      </c>
      <c r="CC127" s="15">
        <f>MIN(IF($AU127=100%,1,1+VLOOKUP(($AJ127-$AI127-$AH127-$AG127-$AF127-$AE127*(1+CC$3))/$AJ127,'Технический лист'!$I:$J,2,1)-VLOOKUP($AO127,'Технический лист'!$I:$J,2,1)),1+(1-$AU127))</f>
        <v>1.2849999999999997</v>
      </c>
      <c r="CD127" s="15">
        <f>MIN(IF($AU127=100%,1,1+VLOOKUP(($AJ127-$AI127-$AH127-$AG127-$AF127-$AE127*(1+CD$3))/$AJ127,'Технический лист'!$I:$J,2,1)-VLOOKUP($AO127,'Технический лист'!$I:$J,2,1)),1+(1-$AU127))</f>
        <v>1.2399999999999998</v>
      </c>
      <c r="CE127" s="15">
        <f>MIN(IF($AU127=100%,1,1+VLOOKUP(($AJ127-$AI127-$AH127-$AG127-$AF127-$AE127*(1+CE$3))/$AJ127,'Технический лист'!$I:$J,2,1)-VLOOKUP($AO127,'Технический лист'!$I:$J,2,1)),1+(1-$AU127))</f>
        <v>1.2399999999999998</v>
      </c>
      <c r="CF127" s="15">
        <f>MIN(IF($AU127=100%,1,1+VLOOKUP(($AJ127-$AI127-$AH127-$AG127-$AF127-$AE127*(1+CF$3))/$AJ127,'Технический лист'!$I:$J,2,1)-VLOOKUP($AO127,'Технический лист'!$I:$J,2,1)),1+(1-$AU127))</f>
        <v>1.2399999999999998</v>
      </c>
      <c r="CG127" s="15">
        <f>MIN(IF($AU127=100%,1,1+VLOOKUP(($AJ127-$AI127-$AH127-$AG127-$AF127-$AE127*(1+CG$3))/$AJ127,'Технический лист'!$I:$J,2,1)-VLOOKUP($AO127,'Технический лист'!$I:$J,2,1)),1+(1-$AU127))</f>
        <v>1.2399999999999998</v>
      </c>
      <c r="CH127" s="15">
        <f>MIN(IF($AU127=100%,1,1+VLOOKUP(($AJ127-$AI127-$AH127-$AG127-$AF127-$AE127*(1+CH$3))/$AJ127,'Технический лист'!$I:$J,2,1)-VLOOKUP($AO127,'Технический лист'!$I:$J,2,1)),1+(1-$AU127))</f>
        <v>1.2399999999999998</v>
      </c>
      <c r="CI127" s="15">
        <f>MIN(IF($AU127=100%,1,1+VLOOKUP(($AJ127-$AI127-$AH127-$AG127-$AF127-$AE127*(1+CI$3))/$AJ127,'Технический лист'!$I:$J,2,1)-VLOOKUP($AO127,'Технический лист'!$I:$J,2,1)),1+(1-$AU127))</f>
        <v>1.2399999999999998</v>
      </c>
      <c r="CJ127" s="15">
        <f>MIN(IF($AU127=100%,1,1+VLOOKUP(($AJ127-$AI127-$AH127-$AG127-$AF127-$AE127*(1+CJ$3))/$AJ127,'Технический лист'!$I:$J,2,1)-VLOOKUP($AO127,'Технический лист'!$I:$J,2,1)),1+(1-$AU127))</f>
        <v>1.2399999999999998</v>
      </c>
      <c r="CK127" s="15">
        <f>MIN(IF($AU127=100%,1,1+VLOOKUP(($AJ127-$AI127-$AH127-$AG127-$AF127-$AE127*(1+CK$3))/$AJ127,'Технический лист'!$I:$J,2,1)-VLOOKUP($AO127,'Технический лист'!$I:$J,2,1)),1+(1-$AU127))</f>
        <v>1.2399999999999998</v>
      </c>
      <c r="CL127" s="15">
        <f>MIN(IF($AU127=100%,1,1+VLOOKUP(($AJ127-$AI127-$AH127-$AG127-$AF127-$AE127*(1+CL$3))/$AJ127,'Технический лист'!$I:$J,2,1)-VLOOKUP($AO127,'Технический лист'!$I:$J,2,1)),1+(1-$AU127))</f>
        <v>1.2399999999999998</v>
      </c>
      <c r="CM127" s="15">
        <f>MIN(IF($AU127=100%,1,1+VLOOKUP(($AJ127-$AI127-$AH127-$AG127-$AF127-$AE127*(1+CM$3))/$AJ127,'Технический лист'!$I:$J,2,1)-VLOOKUP($AO127,'Технический лист'!$I:$J,2,1)),1+(1-$AU127))</f>
        <v>1.2399999999999998</v>
      </c>
      <c r="CN127" s="15">
        <f>MIN(IF($AU127=100%,1,1+VLOOKUP(($AJ127-$AI127-$AH127-$AG127-$AF127-$AE127*(1+CN$3))/$AJ127,'Технический лист'!$I:$J,2,1)-VLOOKUP($AO127,'Технический лист'!$I:$J,2,1)),1+(1-$AU127))</f>
        <v>1.1949999999999998</v>
      </c>
      <c r="CO127" s="15">
        <f>MIN(IF($AU127=100%,1,1+VLOOKUP(($AJ127-$AI127-$AH127-$AG127-$AF127-$AE127*(1+CO$3))/$AJ127,'Технический лист'!$I:$J,2,1)-VLOOKUP($AO127,'Технический лист'!$I:$J,2,1)),1+(1-$AU127))</f>
        <v>1.1949999999999998</v>
      </c>
      <c r="CP127" s="15">
        <f>MIN(IF($AU127=100%,1,1+VLOOKUP(($AJ127-$AI127-$AH127-$AG127-$AF127-$AE127*(1+CP$3))/$AJ127,'Технический лист'!$I:$J,2,1)-VLOOKUP($AO127,'Технический лист'!$I:$J,2,1)),1+(1-$AU127))</f>
        <v>1.1949999999999998</v>
      </c>
      <c r="CQ127" s="15">
        <f>MIN(IF($AU127=100%,1,1+VLOOKUP(($AJ127-$AI127-$AH127-$AG127-$AF127-$AE127*(1+CQ$3))/$AJ127,'Технический лист'!$I:$J,2,1)-VLOOKUP($AO127,'Технический лист'!$I:$J,2,1)),1+(1-$AU127))</f>
        <v>1.1949999999999998</v>
      </c>
      <c r="CR127" s="15">
        <f>MIN(IF($AU127=100%,1,1+VLOOKUP(($AJ127-$AI127-$AH127-$AG127-$AF127-$AE127*(1+CR$3))/$AJ127,'Технический лист'!$I:$J,2,1)-VLOOKUP($AO127,'Технический лист'!$I:$J,2,1)),1+(1-$AU127))</f>
        <v>1.1949999999999998</v>
      </c>
      <c r="CS127" s="15">
        <f>MIN(IF($AU127=100%,1,1+VLOOKUP(($AJ127-$AI127-$AH127-$AG127-$AF127-$AE127*(1+CS$3))/$AJ127,'Технический лист'!$I:$J,2,1)-VLOOKUP($AO127,'Технический лист'!$I:$J,2,1)),1+(1-$AU127))</f>
        <v>1.1949999999999998</v>
      </c>
      <c r="CT127" s="15">
        <f>MIN(IF($AU127=100%,1,1+VLOOKUP(($AJ127-$AI127-$AH127-$AG127-$AF127-$AE127*(1+CT$3))/$AJ127,'Технический лист'!$I:$J,2,1)-VLOOKUP($AO127,'Технический лист'!$I:$J,2,1)),1+(1-$AU127))</f>
        <v>1.1949999999999998</v>
      </c>
      <c r="CU127" s="15">
        <f>MIN(IF($AU127=100%,1,1+VLOOKUP(($AJ127-$AI127-$AH127-$AG127-$AF127-$AE127*(1+CU$3))/$AJ127,'Технический лист'!$I:$J,2,1)-VLOOKUP($AO127,'Технический лист'!$I:$J,2,1)),1+(1-$AU127))</f>
        <v>1.1949999999999998</v>
      </c>
      <c r="CV127" s="15">
        <f>MIN(IF($AU127=100%,1,1+VLOOKUP(($AJ127-$AI127-$AH127-$AG127-$AF127-$AE127*(1+CV$3))/$AJ127,'Технический лист'!$I:$J,2,1)-VLOOKUP($AO127,'Технический лист'!$I:$J,2,1)),1+(1-$AU127))</f>
        <v>1.1949999999999998</v>
      </c>
      <c r="CW127" s="15">
        <f>MIN(IF($AU127=100%,1,1+VLOOKUP(($AJ127-$AI127-$AH127-$AG127-$AF127-$AE127*(1+CW$3))/$AJ127,'Технический лист'!$I:$J,2,1)-VLOOKUP($AO127,'Технический лист'!$I:$J,2,1)),1+(1-$AU127))</f>
        <v>1.1949999999999998</v>
      </c>
      <c r="CX127" s="15">
        <f>MIN(IF($AU127=100%,1,1+VLOOKUP(($AJ127-$AI127-$AH127-$AG127-$AF127-$AE127*(1+CX$3))/$AJ127,'Технический лист'!$I:$J,2,1)-VLOOKUP($AO127,'Технический лист'!$I:$J,2,1)),1+(1-$AU127))</f>
        <v>1.1949999999999998</v>
      </c>
      <c r="CY127" s="15">
        <f>MIN(IF($AU127=100%,1,1+VLOOKUP(($AJ127-$AI127-$AH127-$AG127-$AF127-$AE127*(1+CY$3))/$AJ127,'Технический лист'!$I:$J,2,1)-VLOOKUP($AO127,'Технический лист'!$I:$J,2,1)),1+(1-$AU127))</f>
        <v>1.1549999999999998</v>
      </c>
      <c r="CZ127" s="15">
        <f>MIN(IF($AU127=100%,1,1+VLOOKUP(($AJ127-$AI127-$AH127-$AG127-$AF127-$AE127*(1+CZ$3))/$AJ127,'Технический лист'!$I:$J,2,1)-VLOOKUP($AO127,'Технический лист'!$I:$J,2,1)),1+(1-$AU127))</f>
        <v>1.1549999999999998</v>
      </c>
      <c r="DA127" s="15">
        <f>MIN(IF($AU127=100%,1,1+VLOOKUP(($AJ127-$AI127-$AH127-$AG127-$AF127-$AE127*(1+DA$3))/$AJ127,'Технический лист'!$I:$J,2,1)-VLOOKUP($AO127,'Технический лист'!$I:$J,2,1)),1+(1-$AU127))</f>
        <v>1.1549999999999998</v>
      </c>
      <c r="DB127" s="15">
        <f>MIN(IF($AU127=100%,1,1+VLOOKUP(($AJ127-$AI127-$AH127-$AG127-$AF127-$AE127*(1+DB$3))/$AJ127,'Технический лист'!$I:$J,2,1)-VLOOKUP($AO127,'Технический лист'!$I:$J,2,1)),1+(1-$AU127))</f>
        <v>1.1549999999999998</v>
      </c>
      <c r="DC127" s="15">
        <f>MIN(IF($AU127=100%,1,1+VLOOKUP(($AJ127-$AI127-$AH127-$AG127-$AF127-$AE127*(1+DC$3))/$AJ127,'Технический лист'!$I:$J,2,1)-VLOOKUP($AO127,'Технический лист'!$I:$J,2,1)),1+(1-$AU127))</f>
        <v>1.1549999999999998</v>
      </c>
      <c r="DD127" s="15">
        <f>MIN(IF($AU127=100%,1,1+VLOOKUP(($AJ127-$AI127-$AH127-$AG127-$AF127-$AE127*(1+DD$3))/$AJ127,'Технический лист'!$I:$J,2,1)-VLOOKUP($AO127,'Технический лист'!$I:$J,2,1)),1+(1-$AU127))</f>
        <v>1.1549999999999998</v>
      </c>
      <c r="DE127" s="15">
        <f>MIN(IF($AU127=100%,1,1+VLOOKUP(($AJ127-$AI127-$AH127-$AG127-$AF127-$AE127*(1+DE$3))/$AJ127,'Технический лист'!$I:$J,2,1)-VLOOKUP($AO127,'Технический лист'!$I:$J,2,1)),1+(1-$AU127))</f>
        <v>1.1549999999999998</v>
      </c>
      <c r="DF127" s="15">
        <f>MIN(IF($AU127=100%,1,1+VLOOKUP(($AJ127-$AI127-$AH127-$AG127-$AF127-$AE127*(1+DF$3))/$AJ127,'Технический лист'!$I:$J,2,1)-VLOOKUP($AO127,'Технический лист'!$I:$J,2,1)),1+(1-$AU127))</f>
        <v>1.1549999999999998</v>
      </c>
      <c r="DG127" s="15">
        <f>MIN(IF($AU127=100%,1,1+VLOOKUP(($AJ127-$AI127-$AH127-$AG127-$AF127-$AE127*(1+DG$3))/$AJ127,'Технический лист'!$I:$J,2,1)-VLOOKUP($AO127,'Технический лист'!$I:$J,2,1)),1+(1-$AU127))</f>
        <v>1.1549999999999998</v>
      </c>
      <c r="DH127" s="15">
        <f>MIN(IF($AU127=100%,1,1+VLOOKUP(($AJ127-$AI127-$AH127-$AG127-$AF127-$AE127*(1+DH$3))/$AJ127,'Технический лист'!$I:$J,2,1)-VLOOKUP($AO127,'Технический лист'!$I:$J,2,1)),1+(1-$AU127))</f>
        <v>1.1549999999999998</v>
      </c>
      <c r="DI127" s="15">
        <f>MIN(IF($AU127=100%,1,1+VLOOKUP(($AJ127-$AI127-$AH127-$AG127-$AF127-$AE127*(1+DI$3))/$AJ127,'Технический лист'!$I:$J,2,1)-VLOOKUP($AO127,'Технический лист'!$I:$J,2,1)),1+(1-$AU127))</f>
        <v>1.1149999999999998</v>
      </c>
      <c r="DJ127" s="15">
        <f>MIN(IF($AU127=100%,1,1+VLOOKUP(($AJ127-$AI127-$AH127-$AG127-$AF127-$AE127*(1+DJ$3))/$AJ127,'Технический лист'!$I:$J,2,1)-VLOOKUP($AO127,'Технический лист'!$I:$J,2,1)),1+(1-$AU127))</f>
        <v>1.1149999999999998</v>
      </c>
      <c r="DK127" s="15">
        <f>MIN(IF($AU127=100%,1,1+VLOOKUP(($AJ127-$AI127-$AH127-$AG127-$AF127-$AE127*(1+DK$3))/$AJ127,'Технический лист'!$I:$J,2,1)-VLOOKUP($AO127,'Технический лист'!$I:$J,2,1)),1+(1-$AU127))</f>
        <v>1.1149999999999998</v>
      </c>
      <c r="DL127" s="15">
        <f>MIN(IF($AU127=100%,1,1+VLOOKUP(($AJ127-$AI127-$AH127-$AG127-$AF127-$AE127*(1+DL$3))/$AJ127,'Технический лист'!$I:$J,2,1)-VLOOKUP($AO127,'Технический лист'!$I:$J,2,1)),1+(1-$AU127))</f>
        <v>1.1149999999999998</v>
      </c>
      <c r="DM127" s="15">
        <f>MIN(IF($AU127=100%,1,1+VLOOKUP(($AJ127-$AI127-$AH127-$AG127-$AF127-$AE127*(1+DM$3))/$AJ127,'Технический лист'!$I:$J,2,1)-VLOOKUP($AO127,'Технический лист'!$I:$J,2,1)),1+(1-$AU127))</f>
        <v>1.1149999999999998</v>
      </c>
      <c r="DN127" s="15">
        <f>MIN(IF($AU127=100%,1,1+VLOOKUP(($AJ127-$AI127-$AH127-$AG127-$AF127-$AE127*(1+DN$3))/$AJ127,'Технический лист'!$I:$J,2,1)-VLOOKUP($AO127,'Технический лист'!$I:$J,2,1)),1+(1-$AU127))</f>
        <v>1.1149999999999998</v>
      </c>
      <c r="DO127" s="15">
        <f>MIN(IF($AU127=100%,1,1+VLOOKUP(($AJ127-$AI127-$AH127-$AG127-$AF127-$AE127*(1+DO$3))/$AJ127,'Технический лист'!$I:$J,2,1)-VLOOKUP($AO127,'Технический лист'!$I:$J,2,1)),1+(1-$AU127))</f>
        <v>1.1149999999999998</v>
      </c>
      <c r="DP127" s="15">
        <f>MIN(IF($AU127=100%,1,1+VLOOKUP(($AJ127-$AI127-$AH127-$AG127-$AF127-$AE127*(1+DP$3))/$AJ127,'Технический лист'!$I:$J,2,1)-VLOOKUP($AO127,'Технический лист'!$I:$J,2,1)),1+(1-$AU127))</f>
        <v>1.1149999999999998</v>
      </c>
      <c r="DQ127" s="15">
        <f>MIN(IF($AU127=100%,1,1+VLOOKUP(($AJ127-$AI127-$AH127-$AG127-$AF127-$AE127*(1+DQ$3))/$AJ127,'Технический лист'!$I:$J,2,1)-VLOOKUP($AO127,'Технический лист'!$I:$J,2,1)),1+(1-$AU127))</f>
        <v>1.1149999999999998</v>
      </c>
      <c r="DR127" s="15">
        <f>MIN(IF($AU127=100%,1,1+VLOOKUP(($AJ127-$AI127-$AH127-$AG127-$AF127-$AE127*(1+DR$3))/$AJ127,'Технический лист'!$I:$J,2,1)-VLOOKUP($AO127,'Технический лист'!$I:$J,2,1)),1+(1-$AU127))</f>
        <v>1.1149999999999998</v>
      </c>
      <c r="DS127" s="15">
        <f>MIN(IF($AU127=100%,1,1+VLOOKUP(($AJ127-$AI127-$AH127-$AG127-$AF127-$AE127*(1+DS$3))/$AJ127,'Технический лист'!$I:$J,2,1)-VLOOKUP($AO127,'Технический лист'!$I:$J,2,1)),1+(1-$AU127))</f>
        <v>1.1149999999999998</v>
      </c>
      <c r="DT127" s="15">
        <f>MIN(IF($AU127=100%,1,1+VLOOKUP(($AJ127-$AI127-$AH127-$AG127-$AF127-$AE127*(1+DT$3))/$AJ127,'Технический лист'!$I:$J,2,1)-VLOOKUP($AO127,'Технический лист'!$I:$J,2,1)),1+(1-$AU127))</f>
        <v>1.0749999999999997</v>
      </c>
      <c r="DU127" s="15">
        <f>MIN(IF($AU127=100%,1,1+VLOOKUP(($AJ127-$AI127-$AH127-$AG127-$AF127-$AE127*(1+DU$3))/$AJ127,'Технический лист'!$I:$J,2,1)-VLOOKUP($AO127,'Технический лист'!$I:$J,2,1)),1+(1-$AU127))</f>
        <v>1.0749999999999997</v>
      </c>
      <c r="DV127" s="15">
        <f>MIN(IF($AU127=100%,1,1+VLOOKUP(($AJ127-$AI127-$AH127-$AG127-$AF127-$AE127*(1+DV$3))/$AJ127,'Технический лист'!$I:$J,2,1)-VLOOKUP($AO127,'Технический лист'!$I:$J,2,1)),1+(1-$AU127))</f>
        <v>1.0749999999999997</v>
      </c>
      <c r="DW127" s="15">
        <f>MIN(IF($AU127=100%,1,1+VLOOKUP(($AJ127-$AI127-$AH127-$AG127-$AF127-$AE127*(1+DW$3))/$AJ127,'Технический лист'!$I:$J,2,1)-VLOOKUP($AO127,'Технический лист'!$I:$J,2,1)),1+(1-$AU127))</f>
        <v>1.0749999999999997</v>
      </c>
      <c r="DX127" s="15">
        <f>MIN(IF($AU127=100%,1,1+VLOOKUP(($AJ127-$AI127-$AH127-$AG127-$AF127-$AE127*(1+DX$3))/$AJ127,'Технический лист'!$I:$J,2,1)-VLOOKUP($AO127,'Технический лист'!$I:$J,2,1)),1+(1-$AU127))</f>
        <v>1.0749999999999997</v>
      </c>
      <c r="DY127" s="15">
        <f>MIN(IF($AU127=100%,1,1+VLOOKUP(($AJ127-$AI127-$AH127-$AG127-$AF127-$AE127*(1+DY$3))/$AJ127,'Технический лист'!$I:$J,2,1)-VLOOKUP($AO127,'Технический лист'!$I:$J,2,1)),1+(1-$AU127))</f>
        <v>1.0749999999999997</v>
      </c>
      <c r="DZ127" s="15">
        <f>MIN(IF($AU127=100%,1,1+VLOOKUP(($AJ127-$AI127-$AH127-$AG127-$AF127-$AE127*(1+DZ$3))/$AJ127,'Технический лист'!$I:$J,2,1)-VLOOKUP($AO127,'Технический лист'!$I:$J,2,1)),1+(1-$AU127))</f>
        <v>1.0749999999999997</v>
      </c>
      <c r="EA127" s="15">
        <f>MIN(IF($AU127=100%,1,1+VLOOKUP(($AJ127-$AI127-$AH127-$AG127-$AF127-$AE127*(1+EA$3))/$AJ127,'Технический лист'!$I:$J,2,1)-VLOOKUP($AO127,'Технический лист'!$I:$J,2,1)),1+(1-$AU127))</f>
        <v>1.0749999999999997</v>
      </c>
      <c r="EB127" s="15">
        <f>MIN(IF($AU127=100%,1,1+VLOOKUP(($AJ127-$AI127-$AH127-$AG127-$AF127-$AE127*(1+EB$3))/$AJ127,'Технический лист'!$I:$J,2,1)-VLOOKUP($AO127,'Технический лист'!$I:$J,2,1)),1+(1-$AU127))</f>
        <v>1.0749999999999997</v>
      </c>
      <c r="EC127" s="15">
        <f>MIN(IF($AU127=100%,1,1+VLOOKUP(($AJ127-$AI127-$AH127-$AG127-$AF127-$AE127*(1+EC$3))/$AJ127,'Технический лист'!$I:$J,2,1)-VLOOKUP($AO127,'Технический лист'!$I:$J,2,1)),1+(1-$AU127))</f>
        <v>1.0749999999999997</v>
      </c>
      <c r="ED127" s="15">
        <f>MIN(IF($AU127=100%,1,1+VLOOKUP(($AJ127-$AI127-$AH127-$AG127-$AF127-$AE127*(1+ED$3))/$AJ127,'Технический лист'!$I:$J,2,1)-VLOOKUP($AO127,'Технический лист'!$I:$J,2,1)),1+(1-$AU127))</f>
        <v>1.0349999999999997</v>
      </c>
      <c r="EE127" s="15">
        <f>MIN(IF($AU127=100%,1,1+VLOOKUP(($AJ127-$AI127-$AH127-$AG127-$AF127-$AE127*(1+EE$3))/$AJ127,'Технический лист'!$I:$J,2,1)-VLOOKUP($AO127,'Технический лист'!$I:$J,2,1)),1+(1-$AU127))</f>
        <v>1.0349999999999997</v>
      </c>
      <c r="EF127" s="15">
        <f>MIN(IF($AU127=100%,1,1+VLOOKUP(($AJ127-$AI127-$AH127-$AG127-$AF127-$AE127*(1+EF$3))/$AJ127,'Технический лист'!$I:$J,2,1)-VLOOKUP($AO127,'Технический лист'!$I:$J,2,1)),1+(1-$AU127))</f>
        <v>1.0349999999999997</v>
      </c>
      <c r="EG127" s="15">
        <f>MIN(IF($AU127=100%,1,1+VLOOKUP(($AJ127-$AI127-$AH127-$AG127-$AF127-$AE127*(1+EG$3))/$AJ127,'Технический лист'!$I:$J,2,1)-VLOOKUP($AO127,'Технический лист'!$I:$J,2,1)),1+(1-$AU127))</f>
        <v>1.0349999999999997</v>
      </c>
      <c r="EH127" s="15">
        <f>MIN(IF($AU127=100%,1,1+VLOOKUP(($AJ127-$AI127-$AH127-$AG127-$AF127-$AE127*(1+EH$3))/$AJ127,'Технический лист'!$I:$J,2,1)-VLOOKUP($AO127,'Технический лист'!$I:$J,2,1)),1+(1-$AU127))</f>
        <v>1.0349999999999997</v>
      </c>
      <c r="EI127" s="15">
        <f>MIN(IF($AU127=100%,1,1+VLOOKUP(($AJ127-$AI127-$AH127-$AG127-$AF127-$AE127*(1+EI$3))/$AJ127,'Технический лист'!$I:$J,2,1)-VLOOKUP($AO127,'Технический лист'!$I:$J,2,1)),1+(1-$AU127))</f>
        <v>1.0349999999999997</v>
      </c>
      <c r="EJ127" s="15">
        <f>MIN(IF($AU127=100%,1,1+VLOOKUP(($AJ127-$AI127-$AH127-$AG127-$AF127-$AE127*(1+EJ$3))/$AJ127,'Технический лист'!$I:$J,2,1)-VLOOKUP($AO127,'Технический лист'!$I:$J,2,1)),1+(1-$AU127))</f>
        <v>1.0349999999999997</v>
      </c>
      <c r="EK127" s="15">
        <f>MIN(IF($AU127=100%,1,1+VLOOKUP(($AJ127-$AI127-$AH127-$AG127-$AF127-$AE127*(1+EK$3))/$AJ127,'Технический лист'!$I:$J,2,1)-VLOOKUP($AO127,'Технический лист'!$I:$J,2,1)),1+(1-$AU127))</f>
        <v>1.0349999999999997</v>
      </c>
      <c r="EL127" s="15">
        <f>MIN(IF($AU127=100%,1,1+VLOOKUP(($AJ127-$AI127-$AH127-$AG127-$AF127-$AE127*(1+EL$3))/$AJ127,'Технический лист'!$I:$J,2,1)-VLOOKUP($AO127,'Технический лист'!$I:$J,2,1)),1+(1-$AU127))</f>
        <v>1.0349999999999997</v>
      </c>
      <c r="EM127" s="15">
        <f>MIN(IF($AU127=100%,1,1+VLOOKUP(($AJ127-$AI127-$AH127-$AG127-$AF127-$AE127*(1+EM$3))/$AJ127,'Технический лист'!$I:$J,2,1)-VLOOKUP($AO127,'Технический лист'!$I:$J,2,1)),1+(1-$AU127))</f>
        <v>1.0349999999999997</v>
      </c>
      <c r="EN127" s="15">
        <f>MIN(IF($AU127=100%,1,1+VLOOKUP(($AJ127-$AI127-$AH127-$AG127-$AF127-$AE127*(1+EN$3))/$AJ127,'Технический лист'!$I:$J,2,1)-VLOOKUP($AO127,'Технический лист'!$I:$J,2,1)),1+(1-$AU127))</f>
        <v>1</v>
      </c>
      <c r="EO127" s="15">
        <f>MIN(IF($AU127=100%,1,1+VLOOKUP(($AJ127-$AI127-$AH127-$AG127-$AF127-$AE127*(1+EO$3))/$AJ127,'Технический лист'!$I:$J,2,1)-VLOOKUP($AO127,'Технический лист'!$I:$J,2,1)),1+(1-$AU127))</f>
        <v>1</v>
      </c>
      <c r="EP127" s="15">
        <f>MIN(IF($AU127=100%,1,1+VLOOKUP(($AJ127-$AI127-$AH127-$AG127-$AF127-$AE127*(1+EP$3))/$AJ127,'Технический лист'!$I:$J,2,1)-VLOOKUP($AO127,'Технический лист'!$I:$J,2,1)),1+(1-$AU127))</f>
        <v>1</v>
      </c>
      <c r="EQ127" s="15">
        <f>MIN(IF($AU127=100%,1,1+VLOOKUP(($AJ127-$AI127-$AH127-$AG127-$AF127-$AE127*(1+EQ$3))/$AJ127,'Технический лист'!$I:$J,2,1)-VLOOKUP($AO127,'Технический лист'!$I:$J,2,1)),1+(1-$AU127))</f>
        <v>1</v>
      </c>
      <c r="ER127" s="15">
        <f>MIN(IF($AU127=100%,1,1+VLOOKUP(($AJ127-$AI127-$AH127-$AG127-$AF127-$AE127*(1+ER$3))/$AJ127,'Технический лист'!$I:$J,2,1)-VLOOKUP($AO127,'Технический лист'!$I:$J,2,1)),1+(1-$AU127))</f>
        <v>1</v>
      </c>
      <c r="ES127" s="15">
        <f>MIN(IF($AU127=100%,1,1+VLOOKUP(($AJ127-$AI127-$AH127-$AG127-$AF127-$AE127*(1+ES$3))/$AJ127,'Технический лист'!$I:$J,2,1)-VLOOKUP($AO127,'Технический лист'!$I:$J,2,1)),1+(1-$AU127))</f>
        <v>1</v>
      </c>
      <c r="ET127" s="15">
        <f>MIN(IF($AU127=100%,1,1+VLOOKUP(($AJ127-$AI127-$AH127-$AG127-$AF127-$AE127*(1+ET$3))/$AJ127,'Технический лист'!$I:$J,2,1)-VLOOKUP($AO127,'Технический лист'!$I:$J,2,1)),1+(1-$AU127))</f>
        <v>1</v>
      </c>
      <c r="EU127" s="15">
        <f>MIN(IF($AU127=100%,1,1+VLOOKUP(($AJ127-$AI127-$AH127-$AG127-$AF127-$AE127*(1+EU$3))/$AJ127,'Технический лист'!$I:$J,2,1)-VLOOKUP($AO127,'Технический лист'!$I:$J,2,1)),1+(1-$AU127))</f>
        <v>1</v>
      </c>
      <c r="EV127" s="111">
        <v>1</v>
      </c>
      <c r="EW127" s="15">
        <f>MIN(1,MAX(VLOOKUP(($AJ127-$AI127-$AH127-$AG127-$AF127-$AE127*(1+EW$3))/$AJ127,'Технический лист'!$A:$B,2,1),(EV127-0.05)))</f>
        <v>1</v>
      </c>
      <c r="EX127" s="15">
        <f>MIN(1,MAX(VLOOKUP(($AJ127-$AI127-$AH127-$AG127-$AF127-$AE127*(1+EX$3))/$AJ127,'Технический лист'!$A:$B,2,1),(EW127-0.05)))</f>
        <v>1</v>
      </c>
      <c r="EY127" s="15">
        <f>MIN(1,MAX(VLOOKUP(($AJ127-$AI127-$AH127-$AG127-$AF127-$AE127*(1+EY$3))/$AJ127,'Технический лист'!$A:$B,2,1),(EX127-0.05)))</f>
        <v>1</v>
      </c>
      <c r="EZ127" s="15">
        <f>MIN(1,MAX(VLOOKUP(($AJ127-$AI127-$AH127-$AG127-$AF127-$AE127*(1+EZ$3))/$AJ127,'Технический лист'!$A:$B,2,1),(EY127-0.05)))</f>
        <v>1</v>
      </c>
      <c r="FA127" s="15">
        <f>MIN(1,MAX(VLOOKUP(($AJ127-$AI127-$AH127-$AG127-$AF127-$AE127*(1+FA$3))/$AJ127,'Технический лист'!$A:$B,2,1),(EZ127-0.05)))</f>
        <v>1</v>
      </c>
      <c r="FB127" s="15">
        <f>MIN(1,MAX(VLOOKUP(($AJ127-$AI127-$AH127-$AG127-$AF127-$AE127*(1+FB$3))/$AJ127,'Технический лист'!$A:$B,2,1),(FA127-0.05)))</f>
        <v>1</v>
      </c>
      <c r="FC127" s="15">
        <f>MIN(1,MAX(VLOOKUP(($AJ127-$AI127-$AH127-$AG127-$AF127-$AE127*(1+FC$3))/$AJ127,'Технический лист'!$A:$B,2,1),(FB127-0.05)))</f>
        <v>1</v>
      </c>
      <c r="FD127" s="15">
        <f>MIN(1,MAX(VLOOKUP(($AJ127-$AI127-$AH127-$AG127-$AF127-$AE127*(1+FD$3))/$AJ127,'Технический лист'!$A:$B,2,1),(FC127-0.05)))</f>
        <v>1</v>
      </c>
      <c r="FE127" s="15">
        <f>MIN(1,MAX(VLOOKUP(($AJ127-$AI127-$AH127-$AG127-$AF127-$AE127*(1+FE$3))/$AJ127,'Технический лист'!$A:$B,2,1),(FD127-0.05)))</f>
        <v>1</v>
      </c>
      <c r="FF127" s="15">
        <f>MIN(1,MAX(VLOOKUP(($AJ127-$AI127-$AH127-$AG127-$AF127-$AE127*(1+FF$3))/$AJ127,'Технический лист'!$A:$B,2,1),(FE127-0.05)))</f>
        <v>1</v>
      </c>
      <c r="FG127" s="15">
        <f>MIN(1,MAX(VLOOKUP(($AJ127-$AI127-$AH127-$AG127-$AF127-$AE127*(1+FG$3))/$AJ127,'Технический лист'!$A:$B,2,1),(FF127-0.05)))</f>
        <v>1</v>
      </c>
      <c r="FH127" s="15">
        <f>MIN(1,MAX(VLOOKUP(($AJ127-$AI127-$AH127-$AG127-$AF127-$AE127*(1+FH$3))/$AJ127,'Технический лист'!$A:$B,2,1),(FG127-0.05)))</f>
        <v>1</v>
      </c>
      <c r="FI127" s="15">
        <f>MIN(1,MAX(VLOOKUP(($AJ127-$AI127-$AH127-$AG127-$AF127-$AE127*(1+FI$3))/$AJ127,'Технический лист'!$A:$B,2,1),(FH127-0.05)))</f>
        <v>1</v>
      </c>
      <c r="FJ127" s="15">
        <f>MIN(1,MAX(VLOOKUP(($AJ127-$AI127-$AH127-$AG127-$AF127-$AE127*(1+FJ$3))/$AJ127,'Технический лист'!$A:$B,2,1),(FI127-0.05)))</f>
        <v>1</v>
      </c>
      <c r="FK127" s="15">
        <f>MIN(1,MAX(VLOOKUP(($AJ127-$AI127-$AH127-$AG127-$AF127-$AE127*(1+FK$3))/$AJ127,'Технический лист'!$A:$B,2,1),(FJ127-0.05)))</f>
        <v>1</v>
      </c>
      <c r="FL127" s="15">
        <f>MIN(1,MAX(VLOOKUP(($AJ127-$AI127-$AH127-$AG127-$AF127-$AE127*(1+FL$3))/$AJ127,'Технический лист'!$A:$B,2,1),(FK127-0.05)))</f>
        <v>1</v>
      </c>
      <c r="FM127" s="15">
        <f>MIN(1,MAX(VLOOKUP(($AJ127-$AI127-$AH127-$AG127-$AF127-$AE127*(1+FM$3))/$AJ127,'Технический лист'!$A:$B,2,1),(FL127-0.05)))</f>
        <v>1</v>
      </c>
      <c r="FN127" s="15">
        <f>MIN(1,MAX(VLOOKUP(($AJ127-$AI127-$AH127-$AG127-$AF127-$AE127*(1+FN$3))/$AJ127,'Технический лист'!$A:$B,2,1),(FM127-0.05)))</f>
        <v>1</v>
      </c>
      <c r="FO127" s="15">
        <f>MIN(1,MAX(VLOOKUP(($AJ127-$AI127-$AH127-$AG127-$AF127-$AE127*(1+FO$3))/$AJ127,'Технический лист'!$A:$B,2,1),(FN127-0.05)))</f>
        <v>1</v>
      </c>
      <c r="FP127" s="15">
        <f>MIN(1,MAX(VLOOKUP(($AJ127-$AI127-$AH127-$AG127-$AF127-$AE127*(1+FP$3))/$AJ127,'Технический лист'!$A:$B,2,1),(FO127-0.05)))</f>
        <v>1</v>
      </c>
      <c r="FQ127" s="15">
        <f>MIN(1,MAX(VLOOKUP(($AJ127-$AI127-$AH127-$AG127-$AF127-$AE127*(1+FQ$3))/$AJ127,'Технический лист'!$A:$B,2,1),(FP127-0.05)))</f>
        <v>1</v>
      </c>
      <c r="FR127" s="15">
        <f>MIN(1,MAX(VLOOKUP(($AJ127-$AI127-$AH127-$AG127-$AF127-$AE127*(1+FR$3))/$AJ127,'Технический лист'!$A:$B,2,1),(FQ127-0.05)))</f>
        <v>1</v>
      </c>
      <c r="FS127" s="15">
        <f>MIN(1,MAX(VLOOKUP(($AJ127-$AI127-$AH127-$AG127-$AF127-$AE127*(1+FS$3))/$AJ127,'Технический лист'!$A:$B,2,1),(FR127-0.05)))</f>
        <v>1</v>
      </c>
      <c r="FT127" s="15">
        <f>MIN(1,MAX(VLOOKUP(($AJ127-$AI127-$AH127-$AG127-$AF127-$AE127*(1+FT$3))/$AJ127,'Технический лист'!$A:$B,2,1),(FS127-0.05)))</f>
        <v>1</v>
      </c>
      <c r="FU127" s="15">
        <f>MIN(1,MAX(VLOOKUP(($AJ127-$AI127-$AH127-$AG127-$AF127-$AE127*(1+FU$3))/$AJ127,'Технический лист'!$A:$B,2,1),(FT127-0.05)))</f>
        <v>1</v>
      </c>
      <c r="FV127" s="15">
        <f>MIN(1,MAX(VLOOKUP(($AJ127-$AI127-$AH127-$AG127-$AF127-$AE127*(1+FV$3))/$AJ127,'Технический лист'!$A:$B,2,1),(FU127-0.05)))</f>
        <v>1</v>
      </c>
      <c r="FW127" s="15">
        <f>MIN(1,MAX(VLOOKUP(($AJ127-$AI127-$AH127-$AG127-$AF127-$AE127*(1+FW$3))/$AJ127,'Технический лист'!$A:$B,2,1),(FV127-0.05)))</f>
        <v>1</v>
      </c>
      <c r="FX127" s="15">
        <f>MIN(1,MAX(VLOOKUP(($AJ127-$AI127-$AH127-$AG127-$AF127-$AE127*(1+FX$3))/$AJ127,'Технический лист'!$A:$B,2,1),(FW127-0.05)))</f>
        <v>1</v>
      </c>
      <c r="FY127" s="15">
        <f>MIN(1,MAX(VLOOKUP(($AJ127-$AI127-$AH127-$AG127-$AF127-$AE127*(1+FY$3))/$AJ127,'Технический лист'!$A:$B,2,1),(FX127-0.05)))</f>
        <v>1</v>
      </c>
      <c r="FZ127" s="15">
        <f>MIN(1,MAX(VLOOKUP(($AJ127-$AI127-$AH127-$AG127-$AF127-$AE127*(1+FZ$3))/$AJ127,'Технический лист'!$A:$B,2,1),(FY127-0.05)))</f>
        <v>1</v>
      </c>
      <c r="GA127" s="15">
        <f>MIN(1,MAX(VLOOKUP(($AJ127-$AI127-$AH127-$AG127-$AF127-$AE127*(1+GA$3))/$AJ127,'Технический лист'!$A:$B,2,1),(FZ127-0.05)))</f>
        <v>1</v>
      </c>
      <c r="GB127" s="15">
        <f>MIN(1,MAX(VLOOKUP(($AJ127-$AI127-$AH127-$AG127-$AF127-$AE127*(1+GB$3))/$AJ127,'Технический лист'!$A:$B,2,1),(GA127-0.05)))</f>
        <v>1</v>
      </c>
      <c r="GC127" s="15">
        <f>MIN(1,MAX(VLOOKUP(($AJ127-$AI127-$AH127-$AG127-$AF127-$AE127*(1+GC$3))/$AJ127,'Технический лист'!$A:$B,2,1),(GB127-0.05)))</f>
        <v>1</v>
      </c>
      <c r="GD127" s="15">
        <f>MIN(1,MAX(VLOOKUP(($AJ127-$AI127-$AH127-$AG127-$AF127-$AE127*(1+GD$3))/$AJ127,'Технический лист'!$A:$B,2,1),(GC127-0.05)))</f>
        <v>1</v>
      </c>
      <c r="GE127" s="15">
        <f>MIN(1,MAX(VLOOKUP(($AJ127-$AI127-$AH127-$AG127-$AF127-$AE127*(1+GE$3))/$AJ127,'Технический лист'!$A:$B,2,1),(GD127-0.05)))</f>
        <v>1</v>
      </c>
      <c r="GF127" s="15">
        <f>MIN(1,MAX(VLOOKUP(($AJ127-$AI127-$AH127-$AG127-$AF127-$AE127*(1+GF$3))/$AJ127,'Технический лист'!$A:$B,2,1),(GE127-0.05)))</f>
        <v>1</v>
      </c>
      <c r="GG127" s="15">
        <f>MIN(1,MAX(VLOOKUP(($AJ127-$AI127-$AH127-$AG127-$AF127-$AE127*(1+GG$3))/$AJ127,'Технический лист'!$A:$B,2,1),(GF127-0.05)))</f>
        <v>1</v>
      </c>
      <c r="GH127" s="15">
        <f>MIN(1,MAX(VLOOKUP(($AJ127-$AI127-$AH127-$AG127-$AF127-$AE127*(1+GH$3))/$AJ127,'Технический лист'!$A:$B,2,1),(GG127-0.05)))</f>
        <v>1</v>
      </c>
      <c r="GI127" s="15">
        <f>MIN(1,MAX(VLOOKUP(($AJ127-$AI127-$AH127-$AG127-$AF127-$AE127*(1+GI$3))/$AJ127,'Технический лист'!$A:$B,2,1),(GH127-0.05)))</f>
        <v>1</v>
      </c>
      <c r="GJ127" s="15">
        <f>MIN(1,MAX(VLOOKUP(($AJ127-$AI127-$AH127-$AG127-$AF127-$AE127*(1+GJ$3))/$AJ127,'Технический лист'!$A:$B,2,1),(GI127-0.05)))</f>
        <v>1</v>
      </c>
      <c r="GK127" s="15">
        <f>MIN(1,MAX(VLOOKUP(($AJ127-$AI127-$AH127-$AG127-$AF127-$AE127*(1+GK$3))/$AJ127,'Технический лист'!$A:$B,2,1),(GJ127-0.05)))</f>
        <v>1</v>
      </c>
      <c r="GL127" s="15">
        <f>MIN(1,MAX(VLOOKUP(($AJ127-$AI127-$AH127-$AG127-$AF127-$AE127*(1+GL$3))/$AJ127,'Технический лист'!$A:$B,2,1),(GK127-0.05)))</f>
        <v>1</v>
      </c>
      <c r="GM127" s="15">
        <f>MIN(1,MAX(VLOOKUP(($AJ127-$AI127-$AH127-$AG127-$AF127-$AE127*(1+GM$3))/$AJ127,'Технический лист'!$A:$B,2,1),(GL127-0.05)))</f>
        <v>1</v>
      </c>
      <c r="GN127" s="15">
        <f>MIN(1,MAX(VLOOKUP(($AJ127-$AI127-$AH127-$AG127-$AF127-$AE127*(1+GN$3))/$AJ127,'Технический лист'!$A:$B,2,1),(GM127-0.05)))</f>
        <v>1</v>
      </c>
      <c r="GO127" s="15">
        <f>MIN(1,MAX(VLOOKUP(($AJ127-$AI127-$AH127-$AG127-$AF127-$AE127*(1+GO$3))/$AJ127,'Технический лист'!$A:$B,2,1),(GN127-0.05)))</f>
        <v>1</v>
      </c>
      <c r="GP127" s="15">
        <f>MIN(1,MAX(VLOOKUP(($AJ127-$AI127-$AH127-$AG127-$AF127-$AE127*(1+GP$3))/$AJ127,'Технический лист'!$A:$B,2,1),(GO127-0.05)))</f>
        <v>1</v>
      </c>
      <c r="GQ127" s="15">
        <f>MIN(1,MAX(VLOOKUP(($AJ127-$AI127-$AH127-$AG127-$AF127-$AE127*(1+GQ$3))/$AJ127,'Технический лист'!$A:$B,2,1),(GP127-0.05)))</f>
        <v>1</v>
      </c>
      <c r="GR127" s="15">
        <f>MIN(1,MAX(VLOOKUP(($AJ127-$AI127-$AH127-$AG127-$AF127-$AE127*(1+GR$3))/$AJ127,'Технический лист'!$A:$B,2,1),(GQ127-0.05)))</f>
        <v>1</v>
      </c>
      <c r="GS127" s="15">
        <f>MIN(1,MAX(VLOOKUP(($AJ127-$AI127-$AH127-$AG127-$AF127-$AE127*(1+GS$3))/$AJ127,'Технический лист'!$A:$B,2,1),(GR127-0.05)))</f>
        <v>1</v>
      </c>
      <c r="GT127" s="15">
        <f>MIN(1,MAX(VLOOKUP(($AJ127-$AI127-$AH127-$AG127-$AF127-$AE127*(1+GT$3))/$AJ127,'Технический лист'!$A:$B,2,1),(GS127-0.05)))</f>
        <v>1</v>
      </c>
      <c r="GU127" s="15">
        <f>MIN(1,MAX(VLOOKUP(($AJ127-$AI127-$AH127-$AG127-$AF127-$AE127*(1+GU$3))/$AJ127,'Технический лист'!$A:$B,2,1),(GT127-0.05)))</f>
        <v>1</v>
      </c>
      <c r="GV127" s="15">
        <f>MIN(1,MAX(VLOOKUP(($AJ127-$AI127-$AH127-$AG127-$AF127-$AE127*(1+GV$3))/$AJ127,'Технический лист'!$A:$B,2,1),(GU127-0.05)))</f>
        <v>1</v>
      </c>
      <c r="GW127" s="15">
        <f>MIN(1,MAX(VLOOKUP(($AJ127-$AI127-$AH127-$AG127-$AF127-$AE127*(1+GW$3))/$AJ127,'Технический лист'!$A:$B,2,1),(GV127-0.05)))</f>
        <v>1</v>
      </c>
      <c r="GX127" s="15">
        <f>MIN(1,MAX(VLOOKUP(($AJ127-$AI127-$AH127-$AG127-$AF127-$AE127*(1+GX$3))/$AJ127,'Технический лист'!$A:$B,2,1),(GW127-0.05)))</f>
        <v>1</v>
      </c>
      <c r="GY127" s="15">
        <f>MIN(1,MAX(VLOOKUP(($AJ127-$AI127-$AH127-$AG127-$AF127-$AE127*(1+GY$3))/$AJ127,'Технический лист'!$A:$B,2,1),(GX127-0.05)))</f>
        <v>1</v>
      </c>
      <c r="GZ127" s="15">
        <f>MIN(1,MAX(VLOOKUP(($AJ127-$AI127-$AH127-$AG127-$AF127-$AE127*(1+GZ$3))/$AJ127,'Технический лист'!$A:$B,2,1),(GY127-0.05)))</f>
        <v>1</v>
      </c>
      <c r="HA127" s="15">
        <f>MIN(1,MAX(VLOOKUP(($AJ127-$AI127-$AH127-$AG127-$AF127-$AE127*(1+HA$3))/$AJ127,'Технический лист'!$A:$B,2,1),(GZ127-0.05)))</f>
        <v>1</v>
      </c>
      <c r="HB127" s="15">
        <f>MIN(1,MAX(VLOOKUP(($AJ127-$AI127-$AH127-$AG127-$AF127-$AE127*(1+HB$3))/$AJ127,'Технический лист'!$A:$B,2,1),(HA127-0.05)))</f>
        <v>1</v>
      </c>
      <c r="HC127" s="15">
        <f>MIN(1,MAX(VLOOKUP(($AJ127-$AI127-$AH127-$AG127-$AF127-$AE127*(1+HC$3))/$AJ127,'Технический лист'!$A:$B,2,1),(HB127-0.05)))</f>
        <v>1</v>
      </c>
      <c r="HD127" s="15">
        <f>MIN(1,MAX(VLOOKUP(($AJ127-$AI127-$AH127-$AG127-$AF127-$AE127*(1+HD$3))/$AJ127,'Технический лист'!$A:$B,2,1),(HC127-0.05)))</f>
        <v>1</v>
      </c>
      <c r="HE127" s="15">
        <f>MIN(1,MAX(VLOOKUP(($AJ127-$AI127-$AH127-$AG127-$AF127-$AE127*(1+HE$3))/$AJ127,'Технический лист'!$A:$B,2,1),(HD127-0.05)))</f>
        <v>1</v>
      </c>
      <c r="HF127" s="15">
        <f>MIN(1,MAX(VLOOKUP(($AJ127-$AI127-$AH127-$AG127-$AF127-$AE127*(1+HF$3))/$AJ127,'Технический лист'!$A:$B,2,1),(HE127-0.05)))</f>
        <v>1</v>
      </c>
      <c r="HG127" s="15">
        <f>MIN(1,MAX(VLOOKUP(($AJ127-$AI127-$AH127-$AG127-$AF127-$AE127*(1+HG$3))/$AJ127,'Технический лист'!$A:$B,2,1),(HF127-0.05)))</f>
        <v>1</v>
      </c>
      <c r="HH127" s="15">
        <f>MIN(1,MAX(VLOOKUP(($AJ127-$AI127-$AH127-$AG127-$AF127-$AE127*(1+HH$3))/$AJ127,'Технический лист'!$A:$B,2,1),(HG127-0.05)))</f>
        <v>1</v>
      </c>
      <c r="HI127" s="15">
        <f>MIN(1,MAX(VLOOKUP(($AJ127-$AI127-$AH127-$AG127-$AF127-$AE127*(1+HI$3))/$AJ127,'Технический лист'!$A:$B,2,1),(HH127-0.05)))</f>
        <v>1</v>
      </c>
      <c r="HJ127" s="15">
        <f>MIN(1,MAX(VLOOKUP(($AJ127-$AI127-$AH127-$AG127-$AF127-$AE127*(1+HJ$3))/$AJ127,'Технический лист'!$A:$B,2,1),(HI127-0.05)))</f>
        <v>1</v>
      </c>
      <c r="HK127" s="15">
        <f>MIN(1,MAX(VLOOKUP(($AJ127-$AI127-$AH127-$AG127-$AF127-$AE127*(1+HK$3))/$AJ127,'Технический лист'!$A:$B,2,1),(HJ127-0.05)))</f>
        <v>1</v>
      </c>
      <c r="HL127" s="15">
        <f>MIN(1,MAX(VLOOKUP(($AJ127-$AI127-$AH127-$AG127-$AF127-$AE127*(1+HL$3))/$AJ127,'Технический лист'!$A:$B,2,1),(HK127-0.05)))</f>
        <v>1</v>
      </c>
      <c r="HM127" s="15">
        <f>MIN(1,MAX(VLOOKUP(($AJ127-$AI127-$AH127-$AG127-$AF127-$AE127*(1+HM$3))/$AJ127,'Технический лист'!$A:$B,2,1),(HL127-0.05)))</f>
        <v>1</v>
      </c>
      <c r="HN127" s="15">
        <f>MIN(1,MAX(VLOOKUP(($AJ127-$AI127-$AH127-$AG127-$AF127-$AE127*(1+HN$3))/$AJ127,'Технический лист'!$A:$B,2,1),(HM127-0.05)))</f>
        <v>1</v>
      </c>
      <c r="HO127" s="15">
        <f>MIN(1,MAX(VLOOKUP(($AJ127-$AI127-$AH127-$AG127-$AF127-$AE127*(1+HO$3))/$AJ127,'Технический лист'!$A:$B,2,1),(HN127-0.05)))</f>
        <v>1</v>
      </c>
      <c r="HP127" s="15">
        <f>MIN(1,MAX(VLOOKUP(($AJ127-$AI127-$AH127-$AG127-$AF127-$AE127*(1+HP$3))/$AJ127,'Технический лист'!$A:$B,2,1),(HO127-0.05)))</f>
        <v>1</v>
      </c>
      <c r="HQ127" s="15">
        <f>MIN(1,MAX(VLOOKUP(($AJ127-$AI127-$AH127-$AG127-$AF127-$AE127*(1+HQ$3))/$AJ127,'Технический лист'!$A:$B,2,1),(HP127-0.05)))</f>
        <v>1</v>
      </c>
      <c r="HR127" s="15">
        <f>MIN(1,MAX(VLOOKUP(($AJ127-$AI127-$AH127-$AG127-$AF127-$AE127*(1+HR$3))/$AJ127,'Технический лист'!$A:$B,2,1),(HQ127-0.05)))</f>
        <v>1</v>
      </c>
      <c r="HS127" s="15">
        <f>MIN(1,MAX(VLOOKUP(($AJ127-$AI127-$AH127-$AG127-$AF127-$AE127*(1+HS$3))/$AJ127,'Технический лист'!$A:$B,2,1),(HR127-0.05)))</f>
        <v>1</v>
      </c>
      <c r="HT127" s="15">
        <f>MIN(1,MAX(VLOOKUP(($AJ127-$AI127-$AH127-$AG127-$AF127-$AE127*(1+HT$3))/$AJ127,'Технический лист'!$A:$B,2,1),(HS127-0.05)))</f>
        <v>1</v>
      </c>
      <c r="HU127" s="15">
        <f>MIN(1,MAX(VLOOKUP(($AJ127-$AI127-$AH127-$AG127-$AF127-$AE127*(1+HU$3))/$AJ127,'Технический лист'!$A:$B,2,1),(HT127-0.05)))</f>
        <v>1</v>
      </c>
      <c r="HV127" s="15">
        <f>MIN(1,MAX(VLOOKUP(($AJ127-$AI127-$AH127-$AG127-$AF127-$AE127*(1+HV$3))/$AJ127,'Технический лист'!$A:$B,2,1),(HU127-0.05)))</f>
        <v>1</v>
      </c>
      <c r="HW127" s="15">
        <f>MIN(1,MAX(VLOOKUP(($AJ127-$AI127-$AH127-$AG127-$AF127-$AE127*(1+HW$3))/$AJ127,'Технический лист'!$A:$B,2,1),(HV127-0.05)))</f>
        <v>1</v>
      </c>
      <c r="HX127" s="15">
        <f>MIN(1,MAX(VLOOKUP(($AJ127-$AI127-$AH127-$AG127-$AF127-$AE127*(1+HX$3))/$AJ127,'Технический лист'!$A:$B,2,1),(HW127-0.05)))</f>
        <v>1</v>
      </c>
      <c r="HY127" s="15">
        <f>MIN(1,MAX(VLOOKUP(($AJ127-$AI127-$AH127-$AG127-$AF127-$AE127*(1+HY$3))/$AJ127,'Технический лист'!$A:$B,2,1),(HX127-0.05)))</f>
        <v>1</v>
      </c>
      <c r="HZ127" s="15">
        <f>MIN(1,MAX(VLOOKUP(($AJ127-$AI127-$AH127-$AG127-$AF127-$AE127*(1+HZ$3))/$AJ127,'Технический лист'!$A:$B,2,1),(HY127-0.05)))</f>
        <v>1</v>
      </c>
      <c r="IA127" s="15">
        <f>MIN(1,MAX(VLOOKUP(($AJ127-$AI127-$AH127-$AG127-$AF127-$AE127*(1+IA$3))/$AJ127,'Технический лист'!$A:$B,2,1),(HZ127-0.05)))</f>
        <v>1</v>
      </c>
      <c r="IB127" s="15">
        <f>MIN(1,MAX(VLOOKUP(($AJ127-$AI127-$AH127-$AG127-$AF127-$AE127*(1+IB$3))/$AJ127,'Технический лист'!$A:$B,2,1),(IA127-0.05)))</f>
        <v>1</v>
      </c>
      <c r="IC127" s="15">
        <f>MIN(1,MAX(VLOOKUP(($AJ127-$AI127-$AH127-$AG127-$AF127-$AE127*(1+IC$3))/$AJ127,'Технический лист'!$A:$B,2,1),(IB127-0.05)))</f>
        <v>1</v>
      </c>
      <c r="ID127" s="15">
        <f>MIN(1,MAX(VLOOKUP(($AJ127-$AI127-$AH127-$AG127-$AF127-$AE127*(1+ID$3))/$AJ127,'Технический лист'!$A:$B,2,1),(IC127-0.05)))</f>
        <v>1</v>
      </c>
      <c r="IE127" s="15">
        <f>MIN(1,MAX(VLOOKUP(($AJ127-$AI127-$AH127-$AG127-$AF127-$AE127*(1+IE$3))/$AJ127,'Технический лист'!$A:$B,2,1),(ID127-0.05)))</f>
        <v>1</v>
      </c>
      <c r="IF127" s="15">
        <f>MIN(1,MAX(VLOOKUP(($AJ127-$AI127-$AH127-$AG127-$AF127-$AE127*(1+IF$3))/$AJ127,'Технический лист'!$A:$B,2,1),(IE127-0.05)))</f>
        <v>1</v>
      </c>
      <c r="IG127" s="15">
        <f>MIN(1,MAX(VLOOKUP(($AJ127-$AI127-$AH127-$AG127-$AF127-$AE127*(1+IG$3))/$AJ127,'Технический лист'!$A:$B,2,1),(IF127-0.05)))</f>
        <v>1</v>
      </c>
      <c r="IH127" s="15">
        <f>MIN(1,MAX(VLOOKUP(($AJ127-$AI127-$AH127-$AG127-$AF127-$AE127*(1+IH$3))/$AJ127,'Технический лист'!$A:$B,2,1),(IG127-0.05)))</f>
        <v>1</v>
      </c>
      <c r="II127" s="15">
        <f>MIN(1,MAX(VLOOKUP(($AJ127-$AI127-$AH127-$AG127-$AF127-$AE127*(1+II$3))/$AJ127,'Технический лист'!$A:$B,2,1),(IH127-0.05)))</f>
        <v>1</v>
      </c>
      <c r="IJ127" s="15">
        <f>MIN(1,MAX(VLOOKUP(($AJ127-$AI127-$AH127-$AG127-$AF127-$AE127*(1+IJ$3))/$AJ127,'Технический лист'!$A:$B,2,1),(II127-0.05)))</f>
        <v>1</v>
      </c>
      <c r="IK127" s="15">
        <f>MIN(1,MAX(VLOOKUP(($AJ127-$AI127-$AH127-$AG127-$AF127-$AE127*(1+IK$3))/$AJ127,'Технический лист'!$A:$B,2,1),(IJ127-0.05)))</f>
        <v>1</v>
      </c>
      <c r="IL127" s="15">
        <f>MIN(1,MAX(VLOOKUP(($AJ127-$AI127-$AH127-$AG127-$AF127-$AE127*(1+IL$3))/$AJ127,'Технический лист'!$A:$B,2,1),(IK127-0.05)))</f>
        <v>1</v>
      </c>
      <c r="IM127" s="15">
        <f>MIN(1,MAX(VLOOKUP(($AJ127-$AI127-$AH127-$AG127-$AF127-$AE127*(1+IM$3))/$AJ127,'Технический лист'!$A:$B,2,1),(IL127-0.05)))</f>
        <v>1</v>
      </c>
      <c r="IN127" s="15">
        <f>MIN(1,MAX(VLOOKUP(($AJ127-$AI127-$AH127-$AG127-$AF127-$AE127*(1+IN$3))/$AJ127,'Технический лист'!$A:$B,2,1),(IM127-0.05)))</f>
        <v>1</v>
      </c>
      <c r="IO127" s="15">
        <f>MIN(1,MAX(VLOOKUP(($AJ127-$AI127-$AH127-$AG127-$AF127-$AE127*(1+IO$3))/$AJ127,'Технический лист'!$A:$B,2,1),(IN127-0.05)))</f>
        <v>1</v>
      </c>
      <c r="IP127" s="15">
        <f>MIN(1,MAX(VLOOKUP(($AJ127-$AI127-$AH127-$AG127-$AF127-$AE127*(1+IP$3))/$AJ127,'Технический лист'!$A:$B,2,1),(IO127-0.05)))</f>
        <v>1</v>
      </c>
      <c r="IQ127" s="15">
        <f>MIN(1,MAX(VLOOKUP(($AJ127-$AI127-$AH127-$AG127-$AF127-$AE127*(1+IQ$3))/$AJ127,'Технический лист'!$A:$B,2,1),(IP127-0.05)))</f>
        <v>1</v>
      </c>
      <c r="IR127" s="15">
        <f>MIN(1,MAX(VLOOKUP(($AJ127-$AI127-$AH127-$AG127-$AF127-$AE127*(1+IR$3))/$AJ127,'Технический лист'!$A:$B,2,1),(IQ127-0.05)))</f>
        <v>1</v>
      </c>
    </row>
    <row r="128" spans="1:252" ht="29.15">
      <c r="A128" s="89" t="s">
        <v>515</v>
      </c>
      <c r="B128" s="90">
        <v>5</v>
      </c>
      <c r="C128" s="5" t="s">
        <v>68</v>
      </c>
      <c r="D128" s="91">
        <v>32302</v>
      </c>
      <c r="E128" s="91" t="s">
        <v>356</v>
      </c>
      <c r="F128" s="92" t="s">
        <v>76</v>
      </c>
      <c r="G128" s="91" t="s">
        <v>21</v>
      </c>
      <c r="H128" s="91" t="s">
        <v>26</v>
      </c>
      <c r="I128" s="91" t="s">
        <v>138</v>
      </c>
      <c r="J128" s="91" t="s">
        <v>129</v>
      </c>
      <c r="K128" s="91">
        <v>1939</v>
      </c>
      <c r="L128" s="85" t="s">
        <v>64</v>
      </c>
      <c r="M128" s="91" t="s">
        <v>17</v>
      </c>
      <c r="N128" s="91" t="s">
        <v>191</v>
      </c>
      <c r="O128" s="91" t="s">
        <v>193</v>
      </c>
      <c r="P128" s="89" t="s">
        <v>229</v>
      </c>
      <c r="Q128" s="91" t="s">
        <v>272</v>
      </c>
      <c r="R128" s="91" t="s">
        <v>264</v>
      </c>
      <c r="S128" s="82">
        <v>4218</v>
      </c>
      <c r="T128" s="82">
        <v>8178643</v>
      </c>
      <c r="U128" s="81">
        <v>70</v>
      </c>
      <c r="V128" s="81">
        <v>0</v>
      </c>
      <c r="W128" s="82">
        <v>13938164</v>
      </c>
      <c r="X128" s="112">
        <v>54</v>
      </c>
      <c r="Y128" s="112" t="s">
        <v>416</v>
      </c>
      <c r="Z128" s="113">
        <v>9</v>
      </c>
      <c r="AA128" s="113">
        <v>5</v>
      </c>
      <c r="AB128" s="113">
        <v>4</v>
      </c>
      <c r="AC128" s="99">
        <v>3970.11</v>
      </c>
      <c r="AD128" s="99">
        <f t="shared" si="48"/>
        <v>588.41000000000031</v>
      </c>
      <c r="AE128" s="99">
        <v>4558.5200000000004</v>
      </c>
      <c r="AF128" s="98">
        <f>(Z128+AA128+AB128)*'Ставки аренды'!$B$3/X128</f>
        <v>233.33333333333334</v>
      </c>
      <c r="AG128" s="94">
        <v>0</v>
      </c>
      <c r="AH128" s="94">
        <v>0</v>
      </c>
      <c r="AI128" s="115">
        <f t="shared" si="50"/>
        <v>55991.908180601888</v>
      </c>
      <c r="AJ128" s="117">
        <f>Цены!D28</f>
        <v>72000</v>
      </c>
      <c r="AK128" s="94">
        <f>AJ128/Цены!$B$1</f>
        <v>943.57549586858102</v>
      </c>
      <c r="AL128" s="95">
        <f t="shared" si="24"/>
        <v>4791.8533333333335</v>
      </c>
      <c r="AM128" s="95">
        <f t="shared" si="25"/>
        <v>67208.146666666667</v>
      </c>
      <c r="AN128" s="94">
        <f t="shared" si="39"/>
        <v>60783.761513935227</v>
      </c>
      <c r="AO128" s="118">
        <f t="shared" si="40"/>
        <v>0.15578109008423296</v>
      </c>
      <c r="AP128" s="96">
        <f t="shared" si="26"/>
        <v>6.6553518518518526E-2</v>
      </c>
      <c r="AQ128" s="96">
        <f t="shared" si="27"/>
        <v>6.3312777777777787E-2</v>
      </c>
      <c r="AR128" s="96">
        <f t="shared" si="28"/>
        <v>0.95130624476542136</v>
      </c>
      <c r="AS128" s="122">
        <v>1</v>
      </c>
      <c r="AT128" s="121">
        <f t="shared" si="45"/>
        <v>4218</v>
      </c>
      <c r="AU128" s="83">
        <v>0.6</v>
      </c>
      <c r="AV128" s="119">
        <f t="shared" si="41"/>
        <v>0.1481835567508997</v>
      </c>
      <c r="AW128" s="120">
        <f t="shared" si="42"/>
        <v>7.4151051851851862E-2</v>
      </c>
      <c r="AX128" s="120">
        <f t="shared" si="43"/>
        <v>7.0910311111111124E-2</v>
      </c>
      <c r="AY128" s="120">
        <f t="shared" si="44"/>
        <v>0.95629541780182037</v>
      </c>
      <c r="AZ128" s="15">
        <f>MIN(IF($AU128=100%,1,1+VLOOKUP(($AJ128-$AI128-$AH128-$AG128-$AF128-$AE128*(1+AZ$3))/$AJ128,'Технический лист'!$I:$J,2,1)-VLOOKUP($AO128,'Технический лист'!$I:$J,2,1)),1+(1-$AU128))</f>
        <v>1.1499999999999999</v>
      </c>
      <c r="BA128" s="15">
        <f>MIN(IF($AU128=100%,1,1+VLOOKUP(($AJ128-$AI128-$AH128-$AG128-$AF128-$AE128*(1+BA$3))/$AJ128,'Технический лист'!$I:$J,2,1)-VLOOKUP($AO128,'Технический лист'!$I:$J,2,1)),1+(1-$AU128))</f>
        <v>1.1499999999999999</v>
      </c>
      <c r="BB128" s="15">
        <f>MIN(IF($AU128=100%,1,1+VLOOKUP(($AJ128-$AI128-$AH128-$AG128-$AF128-$AE128*(1+BB$3))/$AJ128,'Технический лист'!$I:$J,2,1)-VLOOKUP($AO128,'Технический лист'!$I:$J,2,1)),1+(1-$AU128))</f>
        <v>1.1499999999999999</v>
      </c>
      <c r="BC128" s="15">
        <f>MIN(IF($AU128=100%,1,1+VLOOKUP(($AJ128-$AI128-$AH128-$AG128-$AF128-$AE128*(1+BC$3))/$AJ128,'Технический лист'!$I:$J,2,1)-VLOOKUP($AO128,'Технический лист'!$I:$J,2,1)),1+(1-$AU128))</f>
        <v>1.1499999999999999</v>
      </c>
      <c r="BD128" s="15">
        <f>MIN(IF($AU128=100%,1,1+VLOOKUP(($AJ128-$AI128-$AH128-$AG128-$AF128-$AE128*(1+BD$3))/$AJ128,'Технический лист'!$I:$J,2,1)-VLOOKUP($AO128,'Технический лист'!$I:$J,2,1)),1+(1-$AU128))</f>
        <v>1.1499999999999999</v>
      </c>
      <c r="BE128" s="15">
        <f>MIN(IF($AU128=100%,1,1+VLOOKUP(($AJ128-$AI128-$AH128-$AG128-$AF128-$AE128*(1+BE$3))/$AJ128,'Технический лист'!$I:$J,2,1)-VLOOKUP($AO128,'Технический лист'!$I:$J,2,1)),1+(1-$AU128))</f>
        <v>1.1499999999999999</v>
      </c>
      <c r="BF128" s="15">
        <f>MIN(IF($AU128=100%,1,1+VLOOKUP(($AJ128-$AI128-$AH128-$AG128-$AF128-$AE128*(1+BF$3))/$AJ128,'Технический лист'!$I:$J,2,1)-VLOOKUP($AO128,'Технический лист'!$I:$J,2,1)),1+(1-$AU128))</f>
        <v>1.1499999999999999</v>
      </c>
      <c r="BG128" s="15">
        <f>MIN(IF($AU128=100%,1,1+VLOOKUP(($AJ128-$AI128-$AH128-$AG128-$AF128-$AE128*(1+BG$3))/$AJ128,'Технический лист'!$I:$J,2,1)-VLOOKUP($AO128,'Технический лист'!$I:$J,2,1)),1+(1-$AU128))</f>
        <v>1.1499999999999999</v>
      </c>
      <c r="BH128" s="15">
        <f>MIN(IF($AU128=100%,1,1+VLOOKUP(($AJ128-$AI128-$AH128-$AG128-$AF128-$AE128*(1+BH$3))/$AJ128,'Технический лист'!$I:$J,2,1)-VLOOKUP($AO128,'Технический лист'!$I:$J,2,1)),1+(1-$AU128))</f>
        <v>1.1499999999999999</v>
      </c>
      <c r="BI128" s="15">
        <f>MIN(IF($AU128=100%,1,1+VLOOKUP(($AJ128-$AI128-$AH128-$AG128-$AF128-$AE128*(1+BI$3))/$AJ128,'Технический лист'!$I:$J,2,1)-VLOOKUP($AO128,'Технический лист'!$I:$J,2,1)),1+(1-$AU128))</f>
        <v>1.1499999999999999</v>
      </c>
      <c r="BJ128" s="15">
        <f>MIN(IF($AU128=100%,1,1+VLOOKUP(($AJ128-$AI128-$AH128-$AG128-$AF128-$AE128*(1+BJ$3))/$AJ128,'Технический лист'!$I:$J,2,1)-VLOOKUP($AO128,'Технический лист'!$I:$J,2,1)),1+(1-$AU128))</f>
        <v>1.1499999999999999</v>
      </c>
      <c r="BK128" s="15">
        <f>MIN(IF($AU128=100%,1,1+VLOOKUP(($AJ128-$AI128-$AH128-$AG128-$AF128-$AE128*(1+BK$3))/$AJ128,'Технический лист'!$I:$J,2,1)-VLOOKUP($AO128,'Технический лист'!$I:$J,2,1)),1+(1-$AU128))</f>
        <v>1.1499999999999999</v>
      </c>
      <c r="BL128" s="15">
        <f>MIN(IF($AU128=100%,1,1+VLOOKUP(($AJ128-$AI128-$AH128-$AG128-$AF128-$AE128*(1+BL$3))/$AJ128,'Технический лист'!$I:$J,2,1)-VLOOKUP($AO128,'Технический лист'!$I:$J,2,1)),1+(1-$AU128))</f>
        <v>1.1499999999999999</v>
      </c>
      <c r="BM128" s="15">
        <f>MIN(IF($AU128=100%,1,1+VLOOKUP(($AJ128-$AI128-$AH128-$AG128-$AF128-$AE128*(1+BM$3))/$AJ128,'Технический лист'!$I:$J,2,1)-VLOOKUP($AO128,'Технический лист'!$I:$J,2,1)),1+(1-$AU128))</f>
        <v>1.1499999999999999</v>
      </c>
      <c r="BN128" s="15">
        <f>MIN(IF($AU128=100%,1,1+VLOOKUP(($AJ128-$AI128-$AH128-$AG128-$AF128-$AE128*(1+BN$3))/$AJ128,'Технический лист'!$I:$J,2,1)-VLOOKUP($AO128,'Технический лист'!$I:$J,2,1)),1+(1-$AU128))</f>
        <v>1.1499999999999999</v>
      </c>
      <c r="BO128" s="15">
        <f>MIN(IF($AU128=100%,1,1+VLOOKUP(($AJ128-$AI128-$AH128-$AG128-$AF128-$AE128*(1+BO$3))/$AJ128,'Технический лист'!$I:$J,2,1)-VLOOKUP($AO128,'Технический лист'!$I:$J,2,1)),1+(1-$AU128))</f>
        <v>1.1499999999999999</v>
      </c>
      <c r="BP128" s="15">
        <f>MIN(IF($AU128=100%,1,1+VLOOKUP(($AJ128-$AI128-$AH128-$AG128-$AF128-$AE128*(1+BP$3))/$AJ128,'Технический лист'!$I:$J,2,1)-VLOOKUP($AO128,'Технический лист'!$I:$J,2,1)),1+(1-$AU128))</f>
        <v>1.1499999999999999</v>
      </c>
      <c r="BQ128" s="15">
        <f>MIN(IF($AU128=100%,1,1+VLOOKUP(($AJ128-$AI128-$AH128-$AG128-$AF128-$AE128*(1+BQ$3))/$AJ128,'Технический лист'!$I:$J,2,1)-VLOOKUP($AO128,'Технический лист'!$I:$J,2,1)),1+(1-$AU128))</f>
        <v>1.1499999999999999</v>
      </c>
      <c r="BR128" s="15">
        <f>MIN(IF($AU128=100%,1,1+VLOOKUP(($AJ128-$AI128-$AH128-$AG128-$AF128-$AE128*(1+BR$3))/$AJ128,'Технический лист'!$I:$J,2,1)-VLOOKUP($AO128,'Технический лист'!$I:$J,2,1)),1+(1-$AU128))</f>
        <v>1.1499999999999999</v>
      </c>
      <c r="BS128" s="15">
        <f>MIN(IF($AU128=100%,1,1+VLOOKUP(($AJ128-$AI128-$AH128-$AG128-$AF128-$AE128*(1+BS$3))/$AJ128,'Технический лист'!$I:$J,2,1)-VLOOKUP($AO128,'Технический лист'!$I:$J,2,1)),1+(1-$AU128))</f>
        <v>1.1499999999999999</v>
      </c>
      <c r="BT128" s="15">
        <f>MIN(IF($AU128=100%,1,1+VLOOKUP(($AJ128-$AI128-$AH128-$AG128-$AF128-$AE128*(1+BT$3))/$AJ128,'Технический лист'!$I:$J,2,1)-VLOOKUP($AO128,'Технический лист'!$I:$J,2,1)),1+(1-$AU128))</f>
        <v>1.1499999999999999</v>
      </c>
      <c r="BU128" s="15">
        <f>MIN(IF($AU128=100%,1,1+VLOOKUP(($AJ128-$AI128-$AH128-$AG128-$AF128-$AE128*(1+BU$3))/$AJ128,'Технический лист'!$I:$J,2,1)-VLOOKUP($AO128,'Технический лист'!$I:$J,2,1)),1+(1-$AU128))</f>
        <v>1.1499999999999999</v>
      </c>
      <c r="BV128" s="15">
        <f>MIN(IF($AU128=100%,1,1+VLOOKUP(($AJ128-$AI128-$AH128-$AG128-$AF128-$AE128*(1+BV$3))/$AJ128,'Технический лист'!$I:$J,2,1)-VLOOKUP($AO128,'Технический лист'!$I:$J,2,1)),1+(1-$AU128))</f>
        <v>1.1499999999999999</v>
      </c>
      <c r="BW128" s="15">
        <f>MIN(IF($AU128=100%,1,1+VLOOKUP(($AJ128-$AI128-$AH128-$AG128-$AF128-$AE128*(1+BW$3))/$AJ128,'Технический лист'!$I:$J,2,1)-VLOOKUP($AO128,'Технический лист'!$I:$J,2,1)),1+(1-$AU128))</f>
        <v>1.1499999999999999</v>
      </c>
      <c r="BX128" s="15">
        <f>MIN(IF($AU128=100%,1,1+VLOOKUP(($AJ128-$AI128-$AH128-$AG128-$AF128-$AE128*(1+BX$3))/$AJ128,'Технический лист'!$I:$J,2,1)-VLOOKUP($AO128,'Технический лист'!$I:$J,2,1)),1+(1-$AU128))</f>
        <v>1.1499999999999999</v>
      </c>
      <c r="BY128" s="15">
        <f>MIN(IF($AU128=100%,1,1+VLOOKUP(($AJ128-$AI128-$AH128-$AG128-$AF128-$AE128*(1+BY$3))/$AJ128,'Технический лист'!$I:$J,2,1)-VLOOKUP($AO128,'Технический лист'!$I:$J,2,1)),1+(1-$AU128))</f>
        <v>1.1499999999999999</v>
      </c>
      <c r="BZ128" s="15">
        <f>MIN(IF($AU128=100%,1,1+VLOOKUP(($AJ128-$AI128-$AH128-$AG128-$AF128-$AE128*(1+BZ$3))/$AJ128,'Технический лист'!$I:$J,2,1)-VLOOKUP($AO128,'Технический лист'!$I:$J,2,1)),1+(1-$AU128))</f>
        <v>1.1499999999999999</v>
      </c>
      <c r="CA128" s="15">
        <f>MIN(IF($AU128=100%,1,1+VLOOKUP(($AJ128-$AI128-$AH128-$AG128-$AF128-$AE128*(1+CA$3))/$AJ128,'Технический лист'!$I:$J,2,1)-VLOOKUP($AO128,'Технический лист'!$I:$J,2,1)),1+(1-$AU128))</f>
        <v>1.1499999999999999</v>
      </c>
      <c r="CB128" s="15">
        <f>MIN(IF($AU128=100%,1,1+VLOOKUP(($AJ128-$AI128-$AH128-$AG128-$AF128-$AE128*(1+CB$3))/$AJ128,'Технический лист'!$I:$J,2,1)-VLOOKUP($AO128,'Технический лист'!$I:$J,2,1)),1+(1-$AU128))</f>
        <v>1.1499999999999999</v>
      </c>
      <c r="CC128" s="15">
        <f>MIN(IF($AU128=100%,1,1+VLOOKUP(($AJ128-$AI128-$AH128-$AG128-$AF128-$AE128*(1+CC$3))/$AJ128,'Технический лист'!$I:$J,2,1)-VLOOKUP($AO128,'Технический лист'!$I:$J,2,1)),1+(1-$AU128))</f>
        <v>1.1499999999999999</v>
      </c>
      <c r="CD128" s="15">
        <f>MIN(IF($AU128=100%,1,1+VLOOKUP(($AJ128-$AI128-$AH128-$AG128-$AF128-$AE128*(1+CD$3))/$AJ128,'Технический лист'!$I:$J,2,1)-VLOOKUP($AO128,'Технический лист'!$I:$J,2,1)),1+(1-$AU128))</f>
        <v>1.1499999999999999</v>
      </c>
      <c r="CE128" s="15">
        <f>MIN(IF($AU128=100%,1,1+VLOOKUP(($AJ128-$AI128-$AH128-$AG128-$AF128-$AE128*(1+CE$3))/$AJ128,'Технический лист'!$I:$J,2,1)-VLOOKUP($AO128,'Технический лист'!$I:$J,2,1)),1+(1-$AU128))</f>
        <v>1.1499999999999999</v>
      </c>
      <c r="CF128" s="15">
        <f>MIN(IF($AU128=100%,1,1+VLOOKUP(($AJ128-$AI128-$AH128-$AG128-$AF128-$AE128*(1+CF$3))/$AJ128,'Технический лист'!$I:$J,2,1)-VLOOKUP($AO128,'Технический лист'!$I:$J,2,1)),1+(1-$AU128))</f>
        <v>1.1499999999999999</v>
      </c>
      <c r="CG128" s="15">
        <f>MIN(IF($AU128=100%,1,1+VLOOKUP(($AJ128-$AI128-$AH128-$AG128-$AF128-$AE128*(1+CG$3))/$AJ128,'Технический лист'!$I:$J,2,1)-VLOOKUP($AO128,'Технический лист'!$I:$J,2,1)),1+(1-$AU128))</f>
        <v>1.1499999999999999</v>
      </c>
      <c r="CH128" s="15">
        <f>MIN(IF($AU128=100%,1,1+VLOOKUP(($AJ128-$AI128-$AH128-$AG128-$AF128-$AE128*(1+CH$3))/$AJ128,'Технический лист'!$I:$J,2,1)-VLOOKUP($AO128,'Технический лист'!$I:$J,2,1)),1+(1-$AU128))</f>
        <v>1.1499999999999999</v>
      </c>
      <c r="CI128" s="15">
        <f>MIN(IF($AU128=100%,1,1+VLOOKUP(($AJ128-$AI128-$AH128-$AG128-$AF128-$AE128*(1+CI$3))/$AJ128,'Технический лист'!$I:$J,2,1)-VLOOKUP($AO128,'Технический лист'!$I:$J,2,1)),1+(1-$AU128))</f>
        <v>1.1499999999999999</v>
      </c>
      <c r="CJ128" s="15">
        <f>MIN(IF($AU128=100%,1,1+VLOOKUP(($AJ128-$AI128-$AH128-$AG128-$AF128-$AE128*(1+CJ$3))/$AJ128,'Технический лист'!$I:$J,2,1)-VLOOKUP($AO128,'Технический лист'!$I:$J,2,1)),1+(1-$AU128))</f>
        <v>1.1499999999999999</v>
      </c>
      <c r="CK128" s="15">
        <f>MIN(IF($AU128=100%,1,1+VLOOKUP(($AJ128-$AI128-$AH128-$AG128-$AF128-$AE128*(1+CK$3))/$AJ128,'Технический лист'!$I:$J,2,1)-VLOOKUP($AO128,'Технический лист'!$I:$J,2,1)),1+(1-$AU128))</f>
        <v>1.1499999999999999</v>
      </c>
      <c r="CL128" s="15">
        <f>MIN(IF($AU128=100%,1,1+VLOOKUP(($AJ128-$AI128-$AH128-$AG128-$AF128-$AE128*(1+CL$3))/$AJ128,'Технический лист'!$I:$J,2,1)-VLOOKUP($AO128,'Технический лист'!$I:$J,2,1)),1+(1-$AU128))</f>
        <v>1.1499999999999999</v>
      </c>
      <c r="CM128" s="15">
        <f>MIN(IF($AU128=100%,1,1+VLOOKUP(($AJ128-$AI128-$AH128-$AG128-$AF128-$AE128*(1+CM$3))/$AJ128,'Технический лист'!$I:$J,2,1)-VLOOKUP($AO128,'Технический лист'!$I:$J,2,1)),1+(1-$AU128))</f>
        <v>1.1499999999999999</v>
      </c>
      <c r="CN128" s="15">
        <f>MIN(IF($AU128=100%,1,1+VLOOKUP(($AJ128-$AI128-$AH128-$AG128-$AF128-$AE128*(1+CN$3))/$AJ128,'Технический лист'!$I:$J,2,1)-VLOOKUP($AO128,'Технический лист'!$I:$J,2,1)),1+(1-$AU128))</f>
        <v>1.1499999999999999</v>
      </c>
      <c r="CO128" s="15">
        <f>MIN(IF($AU128=100%,1,1+VLOOKUP(($AJ128-$AI128-$AH128-$AG128-$AF128-$AE128*(1+CO$3))/$AJ128,'Технический лист'!$I:$J,2,1)-VLOOKUP($AO128,'Технический лист'!$I:$J,2,1)),1+(1-$AU128))</f>
        <v>1.1499999999999999</v>
      </c>
      <c r="CP128" s="15">
        <f>MIN(IF($AU128=100%,1,1+VLOOKUP(($AJ128-$AI128-$AH128-$AG128-$AF128-$AE128*(1+CP$3))/$AJ128,'Технический лист'!$I:$J,2,1)-VLOOKUP($AO128,'Технический лист'!$I:$J,2,1)),1+(1-$AU128))</f>
        <v>1.1499999999999999</v>
      </c>
      <c r="CQ128" s="15">
        <f>MIN(IF($AU128=100%,1,1+VLOOKUP(($AJ128-$AI128-$AH128-$AG128-$AF128-$AE128*(1+CQ$3))/$AJ128,'Технический лист'!$I:$J,2,1)-VLOOKUP($AO128,'Технический лист'!$I:$J,2,1)),1+(1-$AU128))</f>
        <v>1.1499999999999999</v>
      </c>
      <c r="CR128" s="15">
        <f>MIN(IF($AU128=100%,1,1+VLOOKUP(($AJ128-$AI128-$AH128-$AG128-$AF128-$AE128*(1+CR$3))/$AJ128,'Технический лист'!$I:$J,2,1)-VLOOKUP($AO128,'Технический лист'!$I:$J,2,1)),1+(1-$AU128))</f>
        <v>1.1499999999999999</v>
      </c>
      <c r="CS128" s="15">
        <f>MIN(IF($AU128=100%,1,1+VLOOKUP(($AJ128-$AI128-$AH128-$AG128-$AF128-$AE128*(1+CS$3))/$AJ128,'Технический лист'!$I:$J,2,1)-VLOOKUP($AO128,'Технический лист'!$I:$J,2,1)),1+(1-$AU128))</f>
        <v>1.1499999999999999</v>
      </c>
      <c r="CT128" s="15">
        <f>MIN(IF($AU128=100%,1,1+VLOOKUP(($AJ128-$AI128-$AH128-$AG128-$AF128-$AE128*(1+CT$3))/$AJ128,'Технический лист'!$I:$J,2,1)-VLOOKUP($AO128,'Технический лист'!$I:$J,2,1)),1+(1-$AU128))</f>
        <v>1.1499999999999999</v>
      </c>
      <c r="CU128" s="15">
        <f>MIN(IF($AU128=100%,1,1+VLOOKUP(($AJ128-$AI128-$AH128-$AG128-$AF128-$AE128*(1+CU$3))/$AJ128,'Технический лист'!$I:$J,2,1)-VLOOKUP($AO128,'Технический лист'!$I:$J,2,1)),1+(1-$AU128))</f>
        <v>1.1499999999999999</v>
      </c>
      <c r="CV128" s="15">
        <f>MIN(IF($AU128=100%,1,1+VLOOKUP(($AJ128-$AI128-$AH128-$AG128-$AF128-$AE128*(1+CV$3))/$AJ128,'Технический лист'!$I:$J,2,1)-VLOOKUP($AO128,'Технический лист'!$I:$J,2,1)),1+(1-$AU128))</f>
        <v>1.1499999999999999</v>
      </c>
      <c r="CW128" s="15">
        <f>MIN(IF($AU128=100%,1,1+VLOOKUP(($AJ128-$AI128-$AH128-$AG128-$AF128-$AE128*(1+CW$3))/$AJ128,'Технический лист'!$I:$J,2,1)-VLOOKUP($AO128,'Технический лист'!$I:$J,2,1)),1+(1-$AU128))</f>
        <v>1.1499999999999999</v>
      </c>
      <c r="CX128" s="15">
        <f>MIN(IF($AU128=100%,1,1+VLOOKUP(($AJ128-$AI128-$AH128-$AG128-$AF128-$AE128*(1+CX$3))/$AJ128,'Технический лист'!$I:$J,2,1)-VLOOKUP($AO128,'Технический лист'!$I:$J,2,1)),1+(1-$AU128))</f>
        <v>1.1499999999999999</v>
      </c>
      <c r="CY128" s="15">
        <f>MIN(IF($AU128=100%,1,1+VLOOKUP(($AJ128-$AI128-$AH128-$AG128-$AF128-$AE128*(1+CY$3))/$AJ128,'Технический лист'!$I:$J,2,1)-VLOOKUP($AO128,'Технический лист'!$I:$J,2,1)),1+(1-$AU128))</f>
        <v>1.1499999999999999</v>
      </c>
      <c r="CZ128" s="15">
        <f>MIN(IF($AU128=100%,1,1+VLOOKUP(($AJ128-$AI128-$AH128-$AG128-$AF128-$AE128*(1+CZ$3))/$AJ128,'Технический лист'!$I:$J,2,1)-VLOOKUP($AO128,'Технический лист'!$I:$J,2,1)),1+(1-$AU128))</f>
        <v>1.1499999999999999</v>
      </c>
      <c r="DA128" s="15">
        <f>MIN(IF($AU128=100%,1,1+VLOOKUP(($AJ128-$AI128-$AH128-$AG128-$AF128-$AE128*(1+DA$3))/$AJ128,'Технический лист'!$I:$J,2,1)-VLOOKUP($AO128,'Технический лист'!$I:$J,2,1)),1+(1-$AU128))</f>
        <v>1.1499999999999999</v>
      </c>
      <c r="DB128" s="15">
        <f>MIN(IF($AU128=100%,1,1+VLOOKUP(($AJ128-$AI128-$AH128-$AG128-$AF128-$AE128*(1+DB$3))/$AJ128,'Технический лист'!$I:$J,2,1)-VLOOKUP($AO128,'Технический лист'!$I:$J,2,1)),1+(1-$AU128))</f>
        <v>1.1499999999999999</v>
      </c>
      <c r="DC128" s="15">
        <f>MIN(IF($AU128=100%,1,1+VLOOKUP(($AJ128-$AI128-$AH128-$AG128-$AF128-$AE128*(1+DC$3))/$AJ128,'Технический лист'!$I:$J,2,1)-VLOOKUP($AO128,'Технический лист'!$I:$J,2,1)),1+(1-$AU128))</f>
        <v>1.1499999999999999</v>
      </c>
      <c r="DD128" s="15">
        <f>MIN(IF($AU128=100%,1,1+VLOOKUP(($AJ128-$AI128-$AH128-$AG128-$AF128-$AE128*(1+DD$3))/$AJ128,'Технический лист'!$I:$J,2,1)-VLOOKUP($AO128,'Технический лист'!$I:$J,2,1)),1+(1-$AU128))</f>
        <v>1.1000000000000001</v>
      </c>
      <c r="DE128" s="15">
        <f>MIN(IF($AU128=100%,1,1+VLOOKUP(($AJ128-$AI128-$AH128-$AG128-$AF128-$AE128*(1+DE$3))/$AJ128,'Технический лист'!$I:$J,2,1)-VLOOKUP($AO128,'Технический лист'!$I:$J,2,1)),1+(1-$AU128))</f>
        <v>1.1000000000000001</v>
      </c>
      <c r="DF128" s="15">
        <f>MIN(IF($AU128=100%,1,1+VLOOKUP(($AJ128-$AI128-$AH128-$AG128-$AF128-$AE128*(1+DF$3))/$AJ128,'Технический лист'!$I:$J,2,1)-VLOOKUP($AO128,'Технический лист'!$I:$J,2,1)),1+(1-$AU128))</f>
        <v>1.1000000000000001</v>
      </c>
      <c r="DG128" s="15">
        <f>MIN(IF($AU128=100%,1,1+VLOOKUP(($AJ128-$AI128-$AH128-$AG128-$AF128-$AE128*(1+DG$3))/$AJ128,'Технический лист'!$I:$J,2,1)-VLOOKUP($AO128,'Технический лист'!$I:$J,2,1)),1+(1-$AU128))</f>
        <v>1.1000000000000001</v>
      </c>
      <c r="DH128" s="15">
        <f>MIN(IF($AU128=100%,1,1+VLOOKUP(($AJ128-$AI128-$AH128-$AG128-$AF128-$AE128*(1+DH$3))/$AJ128,'Технический лист'!$I:$J,2,1)-VLOOKUP($AO128,'Технический лист'!$I:$J,2,1)),1+(1-$AU128))</f>
        <v>1.1000000000000001</v>
      </c>
      <c r="DI128" s="15">
        <f>MIN(IF($AU128=100%,1,1+VLOOKUP(($AJ128-$AI128-$AH128-$AG128-$AF128-$AE128*(1+DI$3))/$AJ128,'Технический лист'!$I:$J,2,1)-VLOOKUP($AO128,'Технический лист'!$I:$J,2,1)),1+(1-$AU128))</f>
        <v>1.1000000000000001</v>
      </c>
      <c r="DJ128" s="15">
        <f>MIN(IF($AU128=100%,1,1+VLOOKUP(($AJ128-$AI128-$AH128-$AG128-$AF128-$AE128*(1+DJ$3))/$AJ128,'Технический лист'!$I:$J,2,1)-VLOOKUP($AO128,'Технический лист'!$I:$J,2,1)),1+(1-$AU128))</f>
        <v>1.1000000000000001</v>
      </c>
      <c r="DK128" s="15">
        <f>MIN(IF($AU128=100%,1,1+VLOOKUP(($AJ128-$AI128-$AH128-$AG128-$AF128-$AE128*(1+DK$3))/$AJ128,'Технический лист'!$I:$J,2,1)-VLOOKUP($AO128,'Технический лист'!$I:$J,2,1)),1+(1-$AU128))</f>
        <v>1.1000000000000001</v>
      </c>
      <c r="DL128" s="15">
        <f>MIN(IF($AU128=100%,1,1+VLOOKUP(($AJ128-$AI128-$AH128-$AG128-$AF128-$AE128*(1+DL$3))/$AJ128,'Технический лист'!$I:$J,2,1)-VLOOKUP($AO128,'Технический лист'!$I:$J,2,1)),1+(1-$AU128))</f>
        <v>1.1000000000000001</v>
      </c>
      <c r="DM128" s="15">
        <f>MIN(IF($AU128=100%,1,1+VLOOKUP(($AJ128-$AI128-$AH128-$AG128-$AF128-$AE128*(1+DM$3))/$AJ128,'Технический лист'!$I:$J,2,1)-VLOOKUP($AO128,'Технический лист'!$I:$J,2,1)),1+(1-$AU128))</f>
        <v>1.1000000000000001</v>
      </c>
      <c r="DN128" s="15">
        <f>MIN(IF($AU128=100%,1,1+VLOOKUP(($AJ128-$AI128-$AH128-$AG128-$AF128-$AE128*(1+DN$3))/$AJ128,'Технический лист'!$I:$J,2,1)-VLOOKUP($AO128,'Технический лист'!$I:$J,2,1)),1+(1-$AU128))</f>
        <v>1.1000000000000001</v>
      </c>
      <c r="DO128" s="15">
        <f>MIN(IF($AU128=100%,1,1+VLOOKUP(($AJ128-$AI128-$AH128-$AG128-$AF128-$AE128*(1+DO$3))/$AJ128,'Технический лист'!$I:$J,2,1)-VLOOKUP($AO128,'Технический лист'!$I:$J,2,1)),1+(1-$AU128))</f>
        <v>1.1000000000000001</v>
      </c>
      <c r="DP128" s="15">
        <f>MIN(IF($AU128=100%,1,1+VLOOKUP(($AJ128-$AI128-$AH128-$AG128-$AF128-$AE128*(1+DP$3))/$AJ128,'Технический лист'!$I:$J,2,1)-VLOOKUP($AO128,'Технический лист'!$I:$J,2,1)),1+(1-$AU128))</f>
        <v>1.1000000000000001</v>
      </c>
      <c r="DQ128" s="15">
        <f>MIN(IF($AU128=100%,1,1+VLOOKUP(($AJ128-$AI128-$AH128-$AG128-$AF128-$AE128*(1+DQ$3))/$AJ128,'Технический лист'!$I:$J,2,1)-VLOOKUP($AO128,'Технический лист'!$I:$J,2,1)),1+(1-$AU128))</f>
        <v>1.1000000000000001</v>
      </c>
      <c r="DR128" s="15">
        <f>MIN(IF($AU128=100%,1,1+VLOOKUP(($AJ128-$AI128-$AH128-$AG128-$AF128-$AE128*(1+DR$3))/$AJ128,'Технический лист'!$I:$J,2,1)-VLOOKUP($AO128,'Технический лист'!$I:$J,2,1)),1+(1-$AU128))</f>
        <v>1.1000000000000001</v>
      </c>
      <c r="DS128" s="15">
        <f>MIN(IF($AU128=100%,1,1+VLOOKUP(($AJ128-$AI128-$AH128-$AG128-$AF128-$AE128*(1+DS$3))/$AJ128,'Технический лист'!$I:$J,2,1)-VLOOKUP($AO128,'Технический лист'!$I:$J,2,1)),1+(1-$AU128))</f>
        <v>1.0500000000000003</v>
      </c>
      <c r="DT128" s="15">
        <f>MIN(IF($AU128=100%,1,1+VLOOKUP(($AJ128-$AI128-$AH128-$AG128-$AF128-$AE128*(1+DT$3))/$AJ128,'Технический лист'!$I:$J,2,1)-VLOOKUP($AO128,'Технический лист'!$I:$J,2,1)),1+(1-$AU128))</f>
        <v>1.0500000000000003</v>
      </c>
      <c r="DU128" s="15">
        <f>MIN(IF($AU128=100%,1,1+VLOOKUP(($AJ128-$AI128-$AH128-$AG128-$AF128-$AE128*(1+DU$3))/$AJ128,'Технический лист'!$I:$J,2,1)-VLOOKUP($AO128,'Технический лист'!$I:$J,2,1)),1+(1-$AU128))</f>
        <v>1.0500000000000003</v>
      </c>
      <c r="DV128" s="15">
        <f>MIN(IF($AU128=100%,1,1+VLOOKUP(($AJ128-$AI128-$AH128-$AG128-$AF128-$AE128*(1+DV$3))/$AJ128,'Технический лист'!$I:$J,2,1)-VLOOKUP($AO128,'Технический лист'!$I:$J,2,1)),1+(1-$AU128))</f>
        <v>1.0500000000000003</v>
      </c>
      <c r="DW128" s="15">
        <f>MIN(IF($AU128=100%,1,1+VLOOKUP(($AJ128-$AI128-$AH128-$AG128-$AF128-$AE128*(1+DW$3))/$AJ128,'Технический лист'!$I:$J,2,1)-VLOOKUP($AO128,'Технический лист'!$I:$J,2,1)),1+(1-$AU128))</f>
        <v>1.0500000000000003</v>
      </c>
      <c r="DX128" s="15">
        <f>MIN(IF($AU128=100%,1,1+VLOOKUP(($AJ128-$AI128-$AH128-$AG128-$AF128-$AE128*(1+DX$3))/$AJ128,'Технический лист'!$I:$J,2,1)-VLOOKUP($AO128,'Технический лист'!$I:$J,2,1)),1+(1-$AU128))</f>
        <v>1.0500000000000003</v>
      </c>
      <c r="DY128" s="15">
        <f>MIN(IF($AU128=100%,1,1+VLOOKUP(($AJ128-$AI128-$AH128-$AG128-$AF128-$AE128*(1+DY$3))/$AJ128,'Технический лист'!$I:$J,2,1)-VLOOKUP($AO128,'Технический лист'!$I:$J,2,1)),1+(1-$AU128))</f>
        <v>1.0500000000000003</v>
      </c>
      <c r="DZ128" s="15">
        <f>MIN(IF($AU128=100%,1,1+VLOOKUP(($AJ128-$AI128-$AH128-$AG128-$AF128-$AE128*(1+DZ$3))/$AJ128,'Технический лист'!$I:$J,2,1)-VLOOKUP($AO128,'Технический лист'!$I:$J,2,1)),1+(1-$AU128))</f>
        <v>1.0500000000000003</v>
      </c>
      <c r="EA128" s="15">
        <f>MIN(IF($AU128=100%,1,1+VLOOKUP(($AJ128-$AI128-$AH128-$AG128-$AF128-$AE128*(1+EA$3))/$AJ128,'Технический лист'!$I:$J,2,1)-VLOOKUP($AO128,'Технический лист'!$I:$J,2,1)),1+(1-$AU128))</f>
        <v>1.0500000000000003</v>
      </c>
      <c r="EB128" s="15">
        <f>MIN(IF($AU128=100%,1,1+VLOOKUP(($AJ128-$AI128-$AH128-$AG128-$AF128-$AE128*(1+EB$3))/$AJ128,'Технический лист'!$I:$J,2,1)-VLOOKUP($AO128,'Технический лист'!$I:$J,2,1)),1+(1-$AU128))</f>
        <v>1.0500000000000003</v>
      </c>
      <c r="EC128" s="15">
        <f>MIN(IF($AU128=100%,1,1+VLOOKUP(($AJ128-$AI128-$AH128-$AG128-$AF128-$AE128*(1+EC$3))/$AJ128,'Технический лист'!$I:$J,2,1)-VLOOKUP($AO128,'Технический лист'!$I:$J,2,1)),1+(1-$AU128))</f>
        <v>1.0500000000000003</v>
      </c>
      <c r="ED128" s="15">
        <f>MIN(IF($AU128=100%,1,1+VLOOKUP(($AJ128-$AI128-$AH128-$AG128-$AF128-$AE128*(1+ED$3))/$AJ128,'Технический лист'!$I:$J,2,1)-VLOOKUP($AO128,'Технический лист'!$I:$J,2,1)),1+(1-$AU128))</f>
        <v>1.0500000000000003</v>
      </c>
      <c r="EE128" s="15">
        <f>MIN(IF($AU128=100%,1,1+VLOOKUP(($AJ128-$AI128-$AH128-$AG128-$AF128-$AE128*(1+EE$3))/$AJ128,'Технический лист'!$I:$J,2,1)-VLOOKUP($AO128,'Технический лист'!$I:$J,2,1)),1+(1-$AU128))</f>
        <v>1.0500000000000003</v>
      </c>
      <c r="EF128" s="15">
        <f>MIN(IF($AU128=100%,1,1+VLOOKUP(($AJ128-$AI128-$AH128-$AG128-$AF128-$AE128*(1+EF$3))/$AJ128,'Технический лист'!$I:$J,2,1)-VLOOKUP($AO128,'Технический лист'!$I:$J,2,1)),1+(1-$AU128))</f>
        <v>1.0500000000000003</v>
      </c>
      <c r="EG128" s="15">
        <f>MIN(IF($AU128=100%,1,1+VLOOKUP(($AJ128-$AI128-$AH128-$AG128-$AF128-$AE128*(1+EG$3))/$AJ128,'Технический лист'!$I:$J,2,1)-VLOOKUP($AO128,'Технический лист'!$I:$J,2,1)),1+(1-$AU128))</f>
        <v>1.0500000000000003</v>
      </c>
      <c r="EH128" s="15">
        <f>MIN(IF($AU128=100%,1,1+VLOOKUP(($AJ128-$AI128-$AH128-$AG128-$AF128-$AE128*(1+EH$3))/$AJ128,'Технический лист'!$I:$J,2,1)-VLOOKUP($AO128,'Технический лист'!$I:$J,2,1)),1+(1-$AU128))</f>
        <v>1.0500000000000003</v>
      </c>
      <c r="EI128" s="15">
        <f>MIN(IF($AU128=100%,1,1+VLOOKUP(($AJ128-$AI128-$AH128-$AG128-$AF128-$AE128*(1+EI$3))/$AJ128,'Технический лист'!$I:$J,2,1)-VLOOKUP($AO128,'Технический лист'!$I:$J,2,1)),1+(1-$AU128))</f>
        <v>1</v>
      </c>
      <c r="EJ128" s="15">
        <f>MIN(IF($AU128=100%,1,1+VLOOKUP(($AJ128-$AI128-$AH128-$AG128-$AF128-$AE128*(1+EJ$3))/$AJ128,'Технический лист'!$I:$J,2,1)-VLOOKUP($AO128,'Технический лист'!$I:$J,2,1)),1+(1-$AU128))</f>
        <v>1</v>
      </c>
      <c r="EK128" s="15">
        <f>MIN(IF($AU128=100%,1,1+VLOOKUP(($AJ128-$AI128-$AH128-$AG128-$AF128-$AE128*(1+EK$3))/$AJ128,'Технический лист'!$I:$J,2,1)-VLOOKUP($AO128,'Технический лист'!$I:$J,2,1)),1+(1-$AU128))</f>
        <v>1</v>
      </c>
      <c r="EL128" s="15">
        <f>MIN(IF($AU128=100%,1,1+VLOOKUP(($AJ128-$AI128-$AH128-$AG128-$AF128-$AE128*(1+EL$3))/$AJ128,'Технический лист'!$I:$J,2,1)-VLOOKUP($AO128,'Технический лист'!$I:$J,2,1)),1+(1-$AU128))</f>
        <v>1</v>
      </c>
      <c r="EM128" s="15">
        <f>MIN(IF($AU128=100%,1,1+VLOOKUP(($AJ128-$AI128-$AH128-$AG128-$AF128-$AE128*(1+EM$3))/$AJ128,'Технический лист'!$I:$J,2,1)-VLOOKUP($AO128,'Технический лист'!$I:$J,2,1)),1+(1-$AU128))</f>
        <v>1</v>
      </c>
      <c r="EN128" s="15">
        <f>MIN(IF($AU128=100%,1,1+VLOOKUP(($AJ128-$AI128-$AH128-$AG128-$AF128-$AE128*(1+EN$3))/$AJ128,'Технический лист'!$I:$J,2,1)-VLOOKUP($AO128,'Технический лист'!$I:$J,2,1)),1+(1-$AU128))</f>
        <v>1</v>
      </c>
      <c r="EO128" s="15">
        <f>MIN(IF($AU128=100%,1,1+VLOOKUP(($AJ128-$AI128-$AH128-$AG128-$AF128-$AE128*(1+EO$3))/$AJ128,'Технический лист'!$I:$J,2,1)-VLOOKUP($AO128,'Технический лист'!$I:$J,2,1)),1+(1-$AU128))</f>
        <v>1</v>
      </c>
      <c r="EP128" s="15">
        <f>MIN(IF($AU128=100%,1,1+VLOOKUP(($AJ128-$AI128-$AH128-$AG128-$AF128-$AE128*(1+EP$3))/$AJ128,'Технический лист'!$I:$J,2,1)-VLOOKUP($AO128,'Технический лист'!$I:$J,2,1)),1+(1-$AU128))</f>
        <v>1</v>
      </c>
      <c r="EQ128" s="15">
        <f>MIN(IF($AU128=100%,1,1+VLOOKUP(($AJ128-$AI128-$AH128-$AG128-$AF128-$AE128*(1+EQ$3))/$AJ128,'Технический лист'!$I:$J,2,1)-VLOOKUP($AO128,'Технический лист'!$I:$J,2,1)),1+(1-$AU128))</f>
        <v>1</v>
      </c>
      <c r="ER128" s="15">
        <f>MIN(IF($AU128=100%,1,1+VLOOKUP(($AJ128-$AI128-$AH128-$AG128-$AF128-$AE128*(1+ER$3))/$AJ128,'Технический лист'!$I:$J,2,1)-VLOOKUP($AO128,'Технический лист'!$I:$J,2,1)),1+(1-$AU128))</f>
        <v>1</v>
      </c>
      <c r="ES128" s="15">
        <f>MIN(IF($AU128=100%,1,1+VLOOKUP(($AJ128-$AI128-$AH128-$AG128-$AF128-$AE128*(1+ES$3))/$AJ128,'Технический лист'!$I:$J,2,1)-VLOOKUP($AO128,'Технический лист'!$I:$J,2,1)),1+(1-$AU128))</f>
        <v>1</v>
      </c>
      <c r="ET128" s="15">
        <f>MIN(IF($AU128=100%,1,1+VLOOKUP(($AJ128-$AI128-$AH128-$AG128-$AF128-$AE128*(1+ET$3))/$AJ128,'Технический лист'!$I:$J,2,1)-VLOOKUP($AO128,'Технический лист'!$I:$J,2,1)),1+(1-$AU128))</f>
        <v>1</v>
      </c>
      <c r="EU128" s="15">
        <f>MIN(IF($AU128=100%,1,1+VLOOKUP(($AJ128-$AI128-$AH128-$AG128-$AF128-$AE128*(1+EU$3))/$AJ128,'Технический лист'!$I:$J,2,1)-VLOOKUP($AO128,'Технический лист'!$I:$J,2,1)),1+(1-$AU128))</f>
        <v>1</v>
      </c>
      <c r="EV128" s="111">
        <v>1</v>
      </c>
      <c r="EW128" s="15">
        <f>MIN(1,MAX(VLOOKUP(($AJ128-$AI128-$AH128-$AG128-$AF128-$AE128*(1+EW$3))/$AJ128,'Технический лист'!$A:$B,2,1),(EV128-0.05)))</f>
        <v>1</v>
      </c>
      <c r="EX128" s="15">
        <f>MIN(1,MAX(VLOOKUP(($AJ128-$AI128-$AH128-$AG128-$AF128-$AE128*(1+EX$3))/$AJ128,'Технический лист'!$A:$B,2,1),(EW128-0.05)))</f>
        <v>1</v>
      </c>
      <c r="EY128" s="15">
        <f>MIN(1,MAX(VLOOKUP(($AJ128-$AI128-$AH128-$AG128-$AF128-$AE128*(1+EY$3))/$AJ128,'Технический лист'!$A:$B,2,1),(EX128-0.05)))</f>
        <v>1</v>
      </c>
      <c r="EZ128" s="15">
        <f>MIN(1,MAX(VLOOKUP(($AJ128-$AI128-$AH128-$AG128-$AF128-$AE128*(1+EZ$3))/$AJ128,'Технический лист'!$A:$B,2,1),(EY128-0.05)))</f>
        <v>1</v>
      </c>
      <c r="FA128" s="15">
        <f>MIN(1,MAX(VLOOKUP(($AJ128-$AI128-$AH128-$AG128-$AF128-$AE128*(1+FA$3))/$AJ128,'Технический лист'!$A:$B,2,1),(EZ128-0.05)))</f>
        <v>1</v>
      </c>
      <c r="FB128" s="15">
        <f>MIN(1,MAX(VLOOKUP(($AJ128-$AI128-$AH128-$AG128-$AF128-$AE128*(1+FB$3))/$AJ128,'Технический лист'!$A:$B,2,1),(FA128-0.05)))</f>
        <v>1</v>
      </c>
      <c r="FC128" s="15">
        <f>MIN(1,MAX(VLOOKUP(($AJ128-$AI128-$AH128-$AG128-$AF128-$AE128*(1+FC$3))/$AJ128,'Технический лист'!$A:$B,2,1),(FB128-0.05)))</f>
        <v>1</v>
      </c>
      <c r="FD128" s="15">
        <f>MIN(1,MAX(VLOOKUP(($AJ128-$AI128-$AH128-$AG128-$AF128-$AE128*(1+FD$3))/$AJ128,'Технический лист'!$A:$B,2,1),(FC128-0.05)))</f>
        <v>1</v>
      </c>
      <c r="FE128" s="15">
        <f>MIN(1,MAX(VLOOKUP(($AJ128-$AI128-$AH128-$AG128-$AF128-$AE128*(1+FE$3))/$AJ128,'Технический лист'!$A:$B,2,1),(FD128-0.05)))</f>
        <v>1</v>
      </c>
      <c r="FF128" s="15">
        <f>MIN(1,MAX(VLOOKUP(($AJ128-$AI128-$AH128-$AG128-$AF128-$AE128*(1+FF$3))/$AJ128,'Технический лист'!$A:$B,2,1),(FE128-0.05)))</f>
        <v>1</v>
      </c>
      <c r="FG128" s="15">
        <f>MIN(1,MAX(VLOOKUP(($AJ128-$AI128-$AH128-$AG128-$AF128-$AE128*(1+FG$3))/$AJ128,'Технический лист'!$A:$B,2,1),(FF128-0.05)))</f>
        <v>1</v>
      </c>
      <c r="FH128" s="15">
        <f>MIN(1,MAX(VLOOKUP(($AJ128-$AI128-$AH128-$AG128-$AF128-$AE128*(1+FH$3))/$AJ128,'Технический лист'!$A:$B,2,1),(FG128-0.05)))</f>
        <v>1</v>
      </c>
      <c r="FI128" s="15">
        <f>MIN(1,MAX(VLOOKUP(($AJ128-$AI128-$AH128-$AG128-$AF128-$AE128*(1+FI$3))/$AJ128,'Технический лист'!$A:$B,2,1),(FH128-0.05)))</f>
        <v>1</v>
      </c>
      <c r="FJ128" s="15">
        <f>MIN(1,MAX(VLOOKUP(($AJ128-$AI128-$AH128-$AG128-$AF128-$AE128*(1+FJ$3))/$AJ128,'Технический лист'!$A:$B,2,1),(FI128-0.05)))</f>
        <v>1</v>
      </c>
      <c r="FK128" s="15">
        <f>MIN(1,MAX(VLOOKUP(($AJ128-$AI128-$AH128-$AG128-$AF128-$AE128*(1+FK$3))/$AJ128,'Технический лист'!$A:$B,2,1),(FJ128-0.05)))</f>
        <v>1</v>
      </c>
      <c r="FL128" s="15">
        <f>MIN(1,MAX(VLOOKUP(($AJ128-$AI128-$AH128-$AG128-$AF128-$AE128*(1+FL$3))/$AJ128,'Технический лист'!$A:$B,2,1),(FK128-0.05)))</f>
        <v>1</v>
      </c>
      <c r="FM128" s="15">
        <f>MIN(1,MAX(VLOOKUP(($AJ128-$AI128-$AH128-$AG128-$AF128-$AE128*(1+FM$3))/$AJ128,'Технический лист'!$A:$B,2,1),(FL128-0.05)))</f>
        <v>1</v>
      </c>
      <c r="FN128" s="15">
        <f>MIN(1,MAX(VLOOKUP(($AJ128-$AI128-$AH128-$AG128-$AF128-$AE128*(1+FN$3))/$AJ128,'Технический лист'!$A:$B,2,1),(FM128-0.05)))</f>
        <v>1</v>
      </c>
      <c r="FO128" s="15">
        <f>MIN(1,MAX(VLOOKUP(($AJ128-$AI128-$AH128-$AG128-$AF128-$AE128*(1+FO$3))/$AJ128,'Технический лист'!$A:$B,2,1),(FN128-0.05)))</f>
        <v>1</v>
      </c>
      <c r="FP128" s="15">
        <f>MIN(1,MAX(VLOOKUP(($AJ128-$AI128-$AH128-$AG128-$AF128-$AE128*(1+FP$3))/$AJ128,'Технический лист'!$A:$B,2,1),(FO128-0.05)))</f>
        <v>1</v>
      </c>
      <c r="FQ128" s="15">
        <f>MIN(1,MAX(VLOOKUP(($AJ128-$AI128-$AH128-$AG128-$AF128-$AE128*(1+FQ$3))/$AJ128,'Технический лист'!$A:$B,2,1),(FP128-0.05)))</f>
        <v>1</v>
      </c>
      <c r="FR128" s="15">
        <f>MIN(1,MAX(VLOOKUP(($AJ128-$AI128-$AH128-$AG128-$AF128-$AE128*(1+FR$3))/$AJ128,'Технический лист'!$A:$B,2,1),(FQ128-0.05)))</f>
        <v>1</v>
      </c>
      <c r="FS128" s="15">
        <f>MIN(1,MAX(VLOOKUP(($AJ128-$AI128-$AH128-$AG128-$AF128-$AE128*(1+FS$3))/$AJ128,'Технический лист'!$A:$B,2,1),(FR128-0.05)))</f>
        <v>1</v>
      </c>
      <c r="FT128" s="15">
        <f>MIN(1,MAX(VLOOKUP(($AJ128-$AI128-$AH128-$AG128-$AF128-$AE128*(1+FT$3))/$AJ128,'Технический лист'!$A:$B,2,1),(FS128-0.05)))</f>
        <v>1</v>
      </c>
      <c r="FU128" s="15">
        <f>MIN(1,MAX(VLOOKUP(($AJ128-$AI128-$AH128-$AG128-$AF128-$AE128*(1+FU$3))/$AJ128,'Технический лист'!$A:$B,2,1),(FT128-0.05)))</f>
        <v>1</v>
      </c>
      <c r="FV128" s="15">
        <f>MIN(1,MAX(VLOOKUP(($AJ128-$AI128-$AH128-$AG128-$AF128-$AE128*(1+FV$3))/$AJ128,'Технический лист'!$A:$B,2,1),(FU128-0.05)))</f>
        <v>1</v>
      </c>
      <c r="FW128" s="15">
        <f>MIN(1,MAX(VLOOKUP(($AJ128-$AI128-$AH128-$AG128-$AF128-$AE128*(1+FW$3))/$AJ128,'Технический лист'!$A:$B,2,1),(FV128-0.05)))</f>
        <v>1</v>
      </c>
      <c r="FX128" s="15">
        <f>MIN(1,MAX(VLOOKUP(($AJ128-$AI128-$AH128-$AG128-$AF128-$AE128*(1+FX$3))/$AJ128,'Технический лист'!$A:$B,2,1),(FW128-0.05)))</f>
        <v>1</v>
      </c>
      <c r="FY128" s="15">
        <f>MIN(1,MAX(VLOOKUP(($AJ128-$AI128-$AH128-$AG128-$AF128-$AE128*(1+FY$3))/$AJ128,'Технический лист'!$A:$B,2,1),(FX128-0.05)))</f>
        <v>1</v>
      </c>
      <c r="FZ128" s="15">
        <f>MIN(1,MAX(VLOOKUP(($AJ128-$AI128-$AH128-$AG128-$AF128-$AE128*(1+FZ$3))/$AJ128,'Технический лист'!$A:$B,2,1),(FY128-0.05)))</f>
        <v>1</v>
      </c>
      <c r="GA128" s="15">
        <f>MIN(1,MAX(VLOOKUP(($AJ128-$AI128-$AH128-$AG128-$AF128-$AE128*(1+GA$3))/$AJ128,'Технический лист'!$A:$B,2,1),(FZ128-0.05)))</f>
        <v>1</v>
      </c>
      <c r="GB128" s="15">
        <f>MIN(1,MAX(VLOOKUP(($AJ128-$AI128-$AH128-$AG128-$AF128-$AE128*(1+GB$3))/$AJ128,'Технический лист'!$A:$B,2,1),(GA128-0.05)))</f>
        <v>1</v>
      </c>
      <c r="GC128" s="15">
        <f>MIN(1,MAX(VLOOKUP(($AJ128-$AI128-$AH128-$AG128-$AF128-$AE128*(1+GC$3))/$AJ128,'Технический лист'!$A:$B,2,1),(GB128-0.05)))</f>
        <v>1</v>
      </c>
      <c r="GD128" s="15">
        <f>MIN(1,MAX(VLOOKUP(($AJ128-$AI128-$AH128-$AG128-$AF128-$AE128*(1+GD$3))/$AJ128,'Технический лист'!$A:$B,2,1),(GC128-0.05)))</f>
        <v>1</v>
      </c>
      <c r="GE128" s="15">
        <f>MIN(1,MAX(VLOOKUP(($AJ128-$AI128-$AH128-$AG128-$AF128-$AE128*(1+GE$3))/$AJ128,'Технический лист'!$A:$B,2,1),(GD128-0.05)))</f>
        <v>1</v>
      </c>
      <c r="GF128" s="15">
        <f>MIN(1,MAX(VLOOKUP(($AJ128-$AI128-$AH128-$AG128-$AF128-$AE128*(1+GF$3))/$AJ128,'Технический лист'!$A:$B,2,1),(GE128-0.05)))</f>
        <v>1</v>
      </c>
      <c r="GG128" s="15">
        <f>MIN(1,MAX(VLOOKUP(($AJ128-$AI128-$AH128-$AG128-$AF128-$AE128*(1+GG$3))/$AJ128,'Технический лист'!$A:$B,2,1),(GF128-0.05)))</f>
        <v>1</v>
      </c>
      <c r="GH128" s="15">
        <f>MIN(1,MAX(VLOOKUP(($AJ128-$AI128-$AH128-$AG128-$AF128-$AE128*(1+GH$3))/$AJ128,'Технический лист'!$A:$B,2,1),(GG128-0.05)))</f>
        <v>1</v>
      </c>
      <c r="GI128" s="15">
        <f>MIN(1,MAX(VLOOKUP(($AJ128-$AI128-$AH128-$AG128-$AF128-$AE128*(1+GI$3))/$AJ128,'Технический лист'!$A:$B,2,1),(GH128-0.05)))</f>
        <v>1</v>
      </c>
      <c r="GJ128" s="15">
        <f>MIN(1,MAX(VLOOKUP(($AJ128-$AI128-$AH128-$AG128-$AF128-$AE128*(1+GJ$3))/$AJ128,'Технический лист'!$A:$B,2,1),(GI128-0.05)))</f>
        <v>1</v>
      </c>
      <c r="GK128" s="15">
        <f>MIN(1,MAX(VLOOKUP(($AJ128-$AI128-$AH128-$AG128-$AF128-$AE128*(1+GK$3))/$AJ128,'Технический лист'!$A:$B,2,1),(GJ128-0.05)))</f>
        <v>1</v>
      </c>
      <c r="GL128" s="15">
        <f>MIN(1,MAX(VLOOKUP(($AJ128-$AI128-$AH128-$AG128-$AF128-$AE128*(1+GL$3))/$AJ128,'Технический лист'!$A:$B,2,1),(GK128-0.05)))</f>
        <v>1</v>
      </c>
      <c r="GM128" s="15">
        <f>MIN(1,MAX(VLOOKUP(($AJ128-$AI128-$AH128-$AG128-$AF128-$AE128*(1+GM$3))/$AJ128,'Технический лист'!$A:$B,2,1),(GL128-0.05)))</f>
        <v>1</v>
      </c>
      <c r="GN128" s="15">
        <f>MIN(1,MAX(VLOOKUP(($AJ128-$AI128-$AH128-$AG128-$AF128-$AE128*(1+GN$3))/$AJ128,'Технический лист'!$A:$B,2,1),(GM128-0.05)))</f>
        <v>1</v>
      </c>
      <c r="GO128" s="15">
        <f>MIN(1,MAX(VLOOKUP(($AJ128-$AI128-$AH128-$AG128-$AF128-$AE128*(1+GO$3))/$AJ128,'Технический лист'!$A:$B,2,1),(GN128-0.05)))</f>
        <v>1</v>
      </c>
      <c r="GP128" s="15">
        <f>MIN(1,MAX(VLOOKUP(($AJ128-$AI128-$AH128-$AG128-$AF128-$AE128*(1+GP$3))/$AJ128,'Технический лист'!$A:$B,2,1),(GO128-0.05)))</f>
        <v>1</v>
      </c>
      <c r="GQ128" s="15">
        <f>MIN(1,MAX(VLOOKUP(($AJ128-$AI128-$AH128-$AG128-$AF128-$AE128*(1+GQ$3))/$AJ128,'Технический лист'!$A:$B,2,1),(GP128-0.05)))</f>
        <v>1</v>
      </c>
      <c r="GR128" s="15">
        <f>MIN(1,MAX(VLOOKUP(($AJ128-$AI128-$AH128-$AG128-$AF128-$AE128*(1+GR$3))/$AJ128,'Технический лист'!$A:$B,2,1),(GQ128-0.05)))</f>
        <v>1</v>
      </c>
      <c r="GS128" s="15">
        <f>MIN(1,MAX(VLOOKUP(($AJ128-$AI128-$AH128-$AG128-$AF128-$AE128*(1+GS$3))/$AJ128,'Технический лист'!$A:$B,2,1),(GR128-0.05)))</f>
        <v>1</v>
      </c>
      <c r="GT128" s="15">
        <f>MIN(1,MAX(VLOOKUP(($AJ128-$AI128-$AH128-$AG128-$AF128-$AE128*(1+GT$3))/$AJ128,'Технический лист'!$A:$B,2,1),(GS128-0.05)))</f>
        <v>1</v>
      </c>
      <c r="GU128" s="15">
        <f>MIN(1,MAX(VLOOKUP(($AJ128-$AI128-$AH128-$AG128-$AF128-$AE128*(1+GU$3))/$AJ128,'Технический лист'!$A:$B,2,1),(GT128-0.05)))</f>
        <v>1</v>
      </c>
      <c r="GV128" s="15">
        <f>MIN(1,MAX(VLOOKUP(($AJ128-$AI128-$AH128-$AG128-$AF128-$AE128*(1+GV$3))/$AJ128,'Технический лист'!$A:$B,2,1),(GU128-0.05)))</f>
        <v>1</v>
      </c>
      <c r="GW128" s="15">
        <f>MIN(1,MAX(VLOOKUP(($AJ128-$AI128-$AH128-$AG128-$AF128-$AE128*(1+GW$3))/$AJ128,'Технический лист'!$A:$B,2,1),(GV128-0.05)))</f>
        <v>1</v>
      </c>
      <c r="GX128" s="15">
        <f>MIN(1,MAX(VLOOKUP(($AJ128-$AI128-$AH128-$AG128-$AF128-$AE128*(1+GX$3))/$AJ128,'Технический лист'!$A:$B,2,1),(GW128-0.05)))</f>
        <v>1</v>
      </c>
      <c r="GY128" s="15">
        <f>MIN(1,MAX(VLOOKUP(($AJ128-$AI128-$AH128-$AG128-$AF128-$AE128*(1+GY$3))/$AJ128,'Технический лист'!$A:$B,2,1),(GX128-0.05)))</f>
        <v>1</v>
      </c>
      <c r="GZ128" s="15">
        <f>MIN(1,MAX(VLOOKUP(($AJ128-$AI128-$AH128-$AG128-$AF128-$AE128*(1+GZ$3))/$AJ128,'Технический лист'!$A:$B,2,1),(GY128-0.05)))</f>
        <v>1</v>
      </c>
      <c r="HA128" s="15">
        <f>MIN(1,MAX(VLOOKUP(($AJ128-$AI128-$AH128-$AG128-$AF128-$AE128*(1+HA$3))/$AJ128,'Технический лист'!$A:$B,2,1),(GZ128-0.05)))</f>
        <v>1</v>
      </c>
      <c r="HB128" s="15">
        <f>MIN(1,MAX(VLOOKUP(($AJ128-$AI128-$AH128-$AG128-$AF128-$AE128*(1+HB$3))/$AJ128,'Технический лист'!$A:$B,2,1),(HA128-0.05)))</f>
        <v>1</v>
      </c>
      <c r="HC128" s="15">
        <f>MIN(1,MAX(VLOOKUP(($AJ128-$AI128-$AH128-$AG128-$AF128-$AE128*(1+HC$3))/$AJ128,'Технический лист'!$A:$B,2,1),(HB128-0.05)))</f>
        <v>1</v>
      </c>
      <c r="HD128" s="15">
        <f>MIN(1,MAX(VLOOKUP(($AJ128-$AI128-$AH128-$AG128-$AF128-$AE128*(1+HD$3))/$AJ128,'Технический лист'!$A:$B,2,1),(HC128-0.05)))</f>
        <v>1</v>
      </c>
      <c r="HE128" s="15">
        <f>MIN(1,MAX(VLOOKUP(($AJ128-$AI128-$AH128-$AG128-$AF128-$AE128*(1+HE$3))/$AJ128,'Технический лист'!$A:$B,2,1),(HD128-0.05)))</f>
        <v>1</v>
      </c>
      <c r="HF128" s="15">
        <f>MIN(1,MAX(VLOOKUP(($AJ128-$AI128-$AH128-$AG128-$AF128-$AE128*(1+HF$3))/$AJ128,'Технический лист'!$A:$B,2,1),(HE128-0.05)))</f>
        <v>1</v>
      </c>
      <c r="HG128" s="15">
        <f>MIN(1,MAX(VLOOKUP(($AJ128-$AI128-$AH128-$AG128-$AF128-$AE128*(1+HG$3))/$AJ128,'Технический лист'!$A:$B,2,1),(HF128-0.05)))</f>
        <v>1</v>
      </c>
      <c r="HH128" s="15">
        <f>MIN(1,MAX(VLOOKUP(($AJ128-$AI128-$AH128-$AG128-$AF128-$AE128*(1+HH$3))/$AJ128,'Технический лист'!$A:$B,2,1),(HG128-0.05)))</f>
        <v>1</v>
      </c>
      <c r="HI128" s="15">
        <f>MIN(1,MAX(VLOOKUP(($AJ128-$AI128-$AH128-$AG128-$AF128-$AE128*(1+HI$3))/$AJ128,'Технический лист'!$A:$B,2,1),(HH128-0.05)))</f>
        <v>1</v>
      </c>
      <c r="HJ128" s="15">
        <f>MIN(1,MAX(VLOOKUP(($AJ128-$AI128-$AH128-$AG128-$AF128-$AE128*(1+HJ$3))/$AJ128,'Технический лист'!$A:$B,2,1),(HI128-0.05)))</f>
        <v>1</v>
      </c>
      <c r="HK128" s="15">
        <f>MIN(1,MAX(VLOOKUP(($AJ128-$AI128-$AH128-$AG128-$AF128-$AE128*(1+HK$3))/$AJ128,'Технический лист'!$A:$B,2,1),(HJ128-0.05)))</f>
        <v>1</v>
      </c>
      <c r="HL128" s="15">
        <f>MIN(1,MAX(VLOOKUP(($AJ128-$AI128-$AH128-$AG128-$AF128-$AE128*(1+HL$3))/$AJ128,'Технический лист'!$A:$B,2,1),(HK128-0.05)))</f>
        <v>1</v>
      </c>
      <c r="HM128" s="15">
        <f>MIN(1,MAX(VLOOKUP(($AJ128-$AI128-$AH128-$AG128-$AF128-$AE128*(1+HM$3))/$AJ128,'Технический лист'!$A:$B,2,1),(HL128-0.05)))</f>
        <v>1</v>
      </c>
      <c r="HN128" s="15">
        <f>MIN(1,MAX(VLOOKUP(($AJ128-$AI128-$AH128-$AG128-$AF128-$AE128*(1+HN$3))/$AJ128,'Технический лист'!$A:$B,2,1),(HM128-0.05)))</f>
        <v>1</v>
      </c>
      <c r="HO128" s="15">
        <f>MIN(1,MAX(VLOOKUP(($AJ128-$AI128-$AH128-$AG128-$AF128-$AE128*(1+HO$3))/$AJ128,'Технический лист'!$A:$B,2,1),(HN128-0.05)))</f>
        <v>1</v>
      </c>
      <c r="HP128" s="15">
        <f>MIN(1,MAX(VLOOKUP(($AJ128-$AI128-$AH128-$AG128-$AF128-$AE128*(1+HP$3))/$AJ128,'Технический лист'!$A:$B,2,1),(HO128-0.05)))</f>
        <v>1</v>
      </c>
      <c r="HQ128" s="15">
        <f>MIN(1,MAX(VLOOKUP(($AJ128-$AI128-$AH128-$AG128-$AF128-$AE128*(1+HQ$3))/$AJ128,'Технический лист'!$A:$B,2,1),(HP128-0.05)))</f>
        <v>1</v>
      </c>
      <c r="HR128" s="15">
        <f>MIN(1,MAX(VLOOKUP(($AJ128-$AI128-$AH128-$AG128-$AF128-$AE128*(1+HR$3))/$AJ128,'Технический лист'!$A:$B,2,1),(HQ128-0.05)))</f>
        <v>1</v>
      </c>
      <c r="HS128" s="15">
        <f>MIN(1,MAX(VLOOKUP(($AJ128-$AI128-$AH128-$AG128-$AF128-$AE128*(1+HS$3))/$AJ128,'Технический лист'!$A:$B,2,1),(HR128-0.05)))</f>
        <v>1</v>
      </c>
      <c r="HT128" s="15">
        <f>MIN(1,MAX(VLOOKUP(($AJ128-$AI128-$AH128-$AG128-$AF128-$AE128*(1+HT$3))/$AJ128,'Технический лист'!$A:$B,2,1),(HS128-0.05)))</f>
        <v>1</v>
      </c>
      <c r="HU128" s="15">
        <f>MIN(1,MAX(VLOOKUP(($AJ128-$AI128-$AH128-$AG128-$AF128-$AE128*(1+HU$3))/$AJ128,'Технический лист'!$A:$B,2,1),(HT128-0.05)))</f>
        <v>1</v>
      </c>
      <c r="HV128" s="15">
        <f>MIN(1,MAX(VLOOKUP(($AJ128-$AI128-$AH128-$AG128-$AF128-$AE128*(1+HV$3))/$AJ128,'Технический лист'!$A:$B,2,1),(HU128-0.05)))</f>
        <v>1</v>
      </c>
      <c r="HW128" s="15">
        <f>MIN(1,MAX(VLOOKUP(($AJ128-$AI128-$AH128-$AG128-$AF128-$AE128*(1+HW$3))/$AJ128,'Технический лист'!$A:$B,2,1),(HV128-0.05)))</f>
        <v>1</v>
      </c>
      <c r="HX128" s="15">
        <f>MIN(1,MAX(VLOOKUP(($AJ128-$AI128-$AH128-$AG128-$AF128-$AE128*(1+HX$3))/$AJ128,'Технический лист'!$A:$B,2,1),(HW128-0.05)))</f>
        <v>1</v>
      </c>
      <c r="HY128" s="15">
        <f>MIN(1,MAX(VLOOKUP(($AJ128-$AI128-$AH128-$AG128-$AF128-$AE128*(1+HY$3))/$AJ128,'Технический лист'!$A:$B,2,1),(HX128-0.05)))</f>
        <v>1</v>
      </c>
      <c r="HZ128" s="15">
        <f>MIN(1,MAX(VLOOKUP(($AJ128-$AI128-$AH128-$AG128-$AF128-$AE128*(1+HZ$3))/$AJ128,'Технический лист'!$A:$B,2,1),(HY128-0.05)))</f>
        <v>1</v>
      </c>
      <c r="IA128" s="15">
        <f>MIN(1,MAX(VLOOKUP(($AJ128-$AI128-$AH128-$AG128-$AF128-$AE128*(1+IA$3))/$AJ128,'Технический лист'!$A:$B,2,1),(HZ128-0.05)))</f>
        <v>1</v>
      </c>
      <c r="IB128" s="15">
        <f>MIN(1,MAX(VLOOKUP(($AJ128-$AI128-$AH128-$AG128-$AF128-$AE128*(1+IB$3))/$AJ128,'Технический лист'!$A:$B,2,1),(IA128-0.05)))</f>
        <v>1</v>
      </c>
      <c r="IC128" s="15">
        <f>MIN(1,MAX(VLOOKUP(($AJ128-$AI128-$AH128-$AG128-$AF128-$AE128*(1+IC$3))/$AJ128,'Технический лист'!$A:$B,2,1),(IB128-0.05)))</f>
        <v>1</v>
      </c>
      <c r="ID128" s="15">
        <f>MIN(1,MAX(VLOOKUP(($AJ128-$AI128-$AH128-$AG128-$AF128-$AE128*(1+ID$3))/$AJ128,'Технический лист'!$A:$B,2,1),(IC128-0.05)))</f>
        <v>1</v>
      </c>
      <c r="IE128" s="15">
        <f>MIN(1,MAX(VLOOKUP(($AJ128-$AI128-$AH128-$AG128-$AF128-$AE128*(1+IE$3))/$AJ128,'Технический лист'!$A:$B,2,1),(ID128-0.05)))</f>
        <v>1</v>
      </c>
      <c r="IF128" s="15">
        <f>MIN(1,MAX(VLOOKUP(($AJ128-$AI128-$AH128-$AG128-$AF128-$AE128*(1+IF$3))/$AJ128,'Технический лист'!$A:$B,2,1),(IE128-0.05)))</f>
        <v>1</v>
      </c>
      <c r="IG128" s="15">
        <f>MIN(1,MAX(VLOOKUP(($AJ128-$AI128-$AH128-$AG128-$AF128-$AE128*(1+IG$3))/$AJ128,'Технический лист'!$A:$B,2,1),(IF128-0.05)))</f>
        <v>1</v>
      </c>
      <c r="IH128" s="15">
        <f>MIN(1,MAX(VLOOKUP(($AJ128-$AI128-$AH128-$AG128-$AF128-$AE128*(1+IH$3))/$AJ128,'Технический лист'!$A:$B,2,1),(IG128-0.05)))</f>
        <v>1</v>
      </c>
      <c r="II128" s="15">
        <f>MIN(1,MAX(VLOOKUP(($AJ128-$AI128-$AH128-$AG128-$AF128-$AE128*(1+II$3))/$AJ128,'Технический лист'!$A:$B,2,1),(IH128-0.05)))</f>
        <v>1</v>
      </c>
      <c r="IJ128" s="15">
        <f>MIN(1,MAX(VLOOKUP(($AJ128-$AI128-$AH128-$AG128-$AF128-$AE128*(1+IJ$3))/$AJ128,'Технический лист'!$A:$B,2,1),(II128-0.05)))</f>
        <v>1</v>
      </c>
      <c r="IK128" s="15">
        <f>MIN(1,MAX(VLOOKUP(($AJ128-$AI128-$AH128-$AG128-$AF128-$AE128*(1+IK$3))/$AJ128,'Технический лист'!$A:$B,2,1),(IJ128-0.05)))</f>
        <v>1</v>
      </c>
      <c r="IL128" s="15">
        <f>MIN(1,MAX(VLOOKUP(($AJ128-$AI128-$AH128-$AG128-$AF128-$AE128*(1+IL$3))/$AJ128,'Технический лист'!$A:$B,2,1),(IK128-0.05)))</f>
        <v>1</v>
      </c>
      <c r="IM128" s="15">
        <f>MIN(1,MAX(VLOOKUP(($AJ128-$AI128-$AH128-$AG128-$AF128-$AE128*(1+IM$3))/$AJ128,'Технический лист'!$A:$B,2,1),(IL128-0.05)))</f>
        <v>1</v>
      </c>
      <c r="IN128" s="15">
        <f>MIN(1,MAX(VLOOKUP(($AJ128-$AI128-$AH128-$AG128-$AF128-$AE128*(1+IN$3))/$AJ128,'Технический лист'!$A:$B,2,1),(IM128-0.05)))</f>
        <v>1</v>
      </c>
      <c r="IO128" s="15">
        <f>MIN(1,MAX(VLOOKUP(($AJ128-$AI128-$AH128-$AG128-$AF128-$AE128*(1+IO$3))/$AJ128,'Технический лист'!$A:$B,2,1),(IN128-0.05)))</f>
        <v>1</v>
      </c>
      <c r="IP128" s="15">
        <f>MIN(1,MAX(VLOOKUP(($AJ128-$AI128-$AH128-$AG128-$AF128-$AE128*(1+IP$3))/$AJ128,'Технический лист'!$A:$B,2,1),(IO128-0.05)))</f>
        <v>1</v>
      </c>
      <c r="IQ128" s="15">
        <f>MIN(1,MAX(VLOOKUP(($AJ128-$AI128-$AH128-$AG128-$AF128-$AE128*(1+IQ$3))/$AJ128,'Технический лист'!$A:$B,2,1),(IP128-0.05)))</f>
        <v>1</v>
      </c>
      <c r="IR128" s="15">
        <f>MIN(1,MAX(VLOOKUP(($AJ128-$AI128-$AH128-$AG128-$AF128-$AE128*(1+IR$3))/$AJ128,'Технический лист'!$A:$B,2,1),(IQ128-0.05)))</f>
        <v>1</v>
      </c>
    </row>
    <row r="129" spans="1:252" ht="43.75">
      <c r="A129" s="89" t="s">
        <v>515</v>
      </c>
      <c r="B129" s="90">
        <v>5</v>
      </c>
      <c r="C129" s="5" t="s">
        <v>68</v>
      </c>
      <c r="D129" s="91">
        <v>32305</v>
      </c>
      <c r="E129" s="91" t="s">
        <v>341</v>
      </c>
      <c r="F129" s="92" t="s">
        <v>76</v>
      </c>
      <c r="G129" s="91" t="s">
        <v>50</v>
      </c>
      <c r="H129" s="91" t="s">
        <v>30</v>
      </c>
      <c r="I129" s="91" t="s">
        <v>186</v>
      </c>
      <c r="J129" s="91" t="s">
        <v>187</v>
      </c>
      <c r="K129" s="91">
        <v>4138</v>
      </c>
      <c r="L129" s="85" t="s">
        <v>64</v>
      </c>
      <c r="M129" s="91" t="s">
        <v>17</v>
      </c>
      <c r="N129" s="91" t="s">
        <v>191</v>
      </c>
      <c r="O129" s="91" t="s">
        <v>194</v>
      </c>
      <c r="P129" s="89" t="s">
        <v>249</v>
      </c>
      <c r="Q129" s="91" t="s">
        <v>273</v>
      </c>
      <c r="R129" s="91" t="s">
        <v>264</v>
      </c>
      <c r="S129" s="82">
        <v>1991</v>
      </c>
      <c r="T129" s="82">
        <v>8238329</v>
      </c>
      <c r="U129" s="81">
        <v>37</v>
      </c>
      <c r="V129" s="81">
        <v>0</v>
      </c>
      <c r="W129" s="82">
        <v>16148534</v>
      </c>
      <c r="X129" s="112">
        <v>54</v>
      </c>
      <c r="Y129" s="112" t="s">
        <v>416</v>
      </c>
      <c r="Z129" s="113">
        <v>13</v>
      </c>
      <c r="AA129" s="113">
        <v>11</v>
      </c>
      <c r="AB129" s="113">
        <v>4</v>
      </c>
      <c r="AC129" s="99">
        <v>8830.76</v>
      </c>
      <c r="AD129" s="99">
        <f t="shared" si="48"/>
        <v>999.29999999999927</v>
      </c>
      <c r="AE129" s="99">
        <v>9830.06</v>
      </c>
      <c r="AF129" s="98">
        <f>(Z129+AA129+AB129)*'Ставки аренды'!$B$3/X129</f>
        <v>362.96296296296299</v>
      </c>
      <c r="AG129" s="94">
        <v>0</v>
      </c>
      <c r="AH129" s="94">
        <v>0</v>
      </c>
      <c r="AI129" s="115">
        <f t="shared" si="50"/>
        <v>55991.908180601888</v>
      </c>
      <c r="AJ129" s="117">
        <f>Цены!D28</f>
        <v>72000</v>
      </c>
      <c r="AK129" s="94">
        <f>AJ129/Цены!$B$1</f>
        <v>943.57549586858102</v>
      </c>
      <c r="AL129" s="95">
        <f t="shared" si="24"/>
        <v>10193.022962962963</v>
      </c>
      <c r="AM129" s="95">
        <f t="shared" si="25"/>
        <v>61806.977037037039</v>
      </c>
      <c r="AN129" s="94">
        <f t="shared" si="39"/>
        <v>66184.931143564856</v>
      </c>
      <c r="AO129" s="118">
        <f t="shared" si="40"/>
        <v>8.0764845228265894E-2</v>
      </c>
      <c r="AP129" s="96">
        <f t="shared" si="26"/>
        <v>0.1415697633744856</v>
      </c>
      <c r="AQ129" s="96">
        <f t="shared" si="27"/>
        <v>0.13652861111111111</v>
      </c>
      <c r="AR129" s="96">
        <f t="shared" si="28"/>
        <v>0.96439103843071738</v>
      </c>
      <c r="AS129" s="122">
        <v>1</v>
      </c>
      <c r="AT129" s="121">
        <f t="shared" si="45"/>
        <v>1991</v>
      </c>
      <c r="AU129" s="83">
        <v>0.6</v>
      </c>
      <c r="AV129" s="119">
        <f t="shared" si="41"/>
        <v>6.4381411894932572E-2</v>
      </c>
      <c r="AW129" s="120">
        <f t="shared" si="42"/>
        <v>0.15795319670781893</v>
      </c>
      <c r="AX129" s="120">
        <f t="shared" si="43"/>
        <v>0.15291204444444445</v>
      </c>
      <c r="AY129" s="120">
        <f t="shared" si="44"/>
        <v>0.96808451890530844</v>
      </c>
      <c r="AZ129" s="15">
        <f>MIN(IF($AU129=100%,1,1+VLOOKUP(($AJ129-$AI129-$AH129-$AG129-$AF129-$AE129*(1+AZ$3))/$AJ129,'Технический лист'!$I:$J,2,1)-VLOOKUP($AO129,'Технический лист'!$I:$J,2,1)),1+(1-$AU129))</f>
        <v>1.4</v>
      </c>
      <c r="BA129" s="15">
        <f>MIN(IF($AU129=100%,1,1+VLOOKUP(($AJ129-$AI129-$AH129-$AG129-$AF129-$AE129*(1+BA$3))/$AJ129,'Технический лист'!$I:$J,2,1)-VLOOKUP($AO129,'Технический лист'!$I:$J,2,1)),1+(1-$AU129))</f>
        <v>1.4</v>
      </c>
      <c r="BB129" s="15">
        <f>MIN(IF($AU129=100%,1,1+VLOOKUP(($AJ129-$AI129-$AH129-$AG129-$AF129-$AE129*(1+BB$3))/$AJ129,'Технический лист'!$I:$J,2,1)-VLOOKUP($AO129,'Технический лист'!$I:$J,2,1)),1+(1-$AU129))</f>
        <v>1.4</v>
      </c>
      <c r="BC129" s="15">
        <f>MIN(IF($AU129=100%,1,1+VLOOKUP(($AJ129-$AI129-$AH129-$AG129-$AF129-$AE129*(1+BC$3))/$AJ129,'Технический лист'!$I:$J,2,1)-VLOOKUP($AO129,'Технический лист'!$I:$J,2,1)),1+(1-$AU129))</f>
        <v>1.4</v>
      </c>
      <c r="BD129" s="15">
        <f>MIN(IF($AU129=100%,1,1+VLOOKUP(($AJ129-$AI129-$AH129-$AG129-$AF129-$AE129*(1+BD$3))/$AJ129,'Технический лист'!$I:$J,2,1)-VLOOKUP($AO129,'Технический лист'!$I:$J,2,1)),1+(1-$AU129))</f>
        <v>1.4</v>
      </c>
      <c r="BE129" s="15">
        <f>MIN(IF($AU129=100%,1,1+VLOOKUP(($AJ129-$AI129-$AH129-$AG129-$AF129-$AE129*(1+BE$3))/$AJ129,'Технический лист'!$I:$J,2,1)-VLOOKUP($AO129,'Технический лист'!$I:$J,2,1)),1+(1-$AU129))</f>
        <v>1.4</v>
      </c>
      <c r="BF129" s="15">
        <f>MIN(IF($AU129=100%,1,1+VLOOKUP(($AJ129-$AI129-$AH129-$AG129-$AF129-$AE129*(1+BF$3))/$AJ129,'Технический лист'!$I:$J,2,1)-VLOOKUP($AO129,'Технический лист'!$I:$J,2,1)),1+(1-$AU129))</f>
        <v>1.4</v>
      </c>
      <c r="BG129" s="15">
        <f>MIN(IF($AU129=100%,1,1+VLOOKUP(($AJ129-$AI129-$AH129-$AG129-$AF129-$AE129*(1+BG$3))/$AJ129,'Технический лист'!$I:$J,2,1)-VLOOKUP($AO129,'Технический лист'!$I:$J,2,1)),1+(1-$AU129))</f>
        <v>1.4</v>
      </c>
      <c r="BH129" s="15">
        <f>MIN(IF($AU129=100%,1,1+VLOOKUP(($AJ129-$AI129-$AH129-$AG129-$AF129-$AE129*(1+BH$3))/$AJ129,'Технический лист'!$I:$J,2,1)-VLOOKUP($AO129,'Технический лист'!$I:$J,2,1)),1+(1-$AU129))</f>
        <v>1.4</v>
      </c>
      <c r="BI129" s="15">
        <f>MIN(IF($AU129=100%,1,1+VLOOKUP(($AJ129-$AI129-$AH129-$AG129-$AF129-$AE129*(1+BI$3))/$AJ129,'Технический лист'!$I:$J,2,1)-VLOOKUP($AO129,'Технический лист'!$I:$J,2,1)),1+(1-$AU129))</f>
        <v>1.4</v>
      </c>
      <c r="BJ129" s="15">
        <f>MIN(IF($AU129=100%,1,1+VLOOKUP(($AJ129-$AI129-$AH129-$AG129-$AF129-$AE129*(1+BJ$3))/$AJ129,'Технический лист'!$I:$J,2,1)-VLOOKUP($AO129,'Технический лист'!$I:$J,2,1)),1+(1-$AU129))</f>
        <v>1.4</v>
      </c>
      <c r="BK129" s="15">
        <f>MIN(IF($AU129=100%,1,1+VLOOKUP(($AJ129-$AI129-$AH129-$AG129-$AF129-$AE129*(1+BK$3))/$AJ129,'Технический лист'!$I:$J,2,1)-VLOOKUP($AO129,'Технический лист'!$I:$J,2,1)),1+(1-$AU129))</f>
        <v>1.4</v>
      </c>
      <c r="BL129" s="15">
        <f>MIN(IF($AU129=100%,1,1+VLOOKUP(($AJ129-$AI129-$AH129-$AG129-$AF129-$AE129*(1+BL$3))/$AJ129,'Технический лист'!$I:$J,2,1)-VLOOKUP($AO129,'Технический лист'!$I:$J,2,1)),1+(1-$AU129))</f>
        <v>1.4</v>
      </c>
      <c r="BM129" s="15">
        <f>MIN(IF($AU129=100%,1,1+VLOOKUP(($AJ129-$AI129-$AH129-$AG129-$AF129-$AE129*(1+BM$3))/$AJ129,'Технический лист'!$I:$J,2,1)-VLOOKUP($AO129,'Технический лист'!$I:$J,2,1)),1+(1-$AU129))</f>
        <v>1.4</v>
      </c>
      <c r="BN129" s="15">
        <f>MIN(IF($AU129=100%,1,1+VLOOKUP(($AJ129-$AI129-$AH129-$AG129-$AF129-$AE129*(1+BN$3))/$AJ129,'Технический лист'!$I:$J,2,1)-VLOOKUP($AO129,'Технический лист'!$I:$J,2,1)),1+(1-$AU129))</f>
        <v>1.38</v>
      </c>
      <c r="BO129" s="15">
        <f>MIN(IF($AU129=100%,1,1+VLOOKUP(($AJ129-$AI129-$AH129-$AG129-$AF129-$AE129*(1+BO$3))/$AJ129,'Технический лист'!$I:$J,2,1)-VLOOKUP($AO129,'Технический лист'!$I:$J,2,1)),1+(1-$AU129))</f>
        <v>1.38</v>
      </c>
      <c r="BP129" s="15">
        <f>MIN(IF($AU129=100%,1,1+VLOOKUP(($AJ129-$AI129-$AH129-$AG129-$AF129-$AE129*(1+BP$3))/$AJ129,'Технический лист'!$I:$J,2,1)-VLOOKUP($AO129,'Технический лист'!$I:$J,2,1)),1+(1-$AU129))</f>
        <v>1.38</v>
      </c>
      <c r="BQ129" s="15">
        <f>MIN(IF($AU129=100%,1,1+VLOOKUP(($AJ129-$AI129-$AH129-$AG129-$AF129-$AE129*(1+BQ$3))/$AJ129,'Технический лист'!$I:$J,2,1)-VLOOKUP($AO129,'Технический лист'!$I:$J,2,1)),1+(1-$AU129))</f>
        <v>1.38</v>
      </c>
      <c r="BR129" s="15">
        <f>MIN(IF($AU129=100%,1,1+VLOOKUP(($AJ129-$AI129-$AH129-$AG129-$AF129-$AE129*(1+BR$3))/$AJ129,'Технический лист'!$I:$J,2,1)-VLOOKUP($AO129,'Технический лист'!$I:$J,2,1)),1+(1-$AU129))</f>
        <v>1.38</v>
      </c>
      <c r="BS129" s="15">
        <f>MIN(IF($AU129=100%,1,1+VLOOKUP(($AJ129-$AI129-$AH129-$AG129-$AF129-$AE129*(1+BS$3))/$AJ129,'Технический лист'!$I:$J,2,1)-VLOOKUP($AO129,'Технический лист'!$I:$J,2,1)),1+(1-$AU129))</f>
        <v>1.38</v>
      </c>
      <c r="BT129" s="15">
        <f>MIN(IF($AU129=100%,1,1+VLOOKUP(($AJ129-$AI129-$AH129-$AG129-$AF129-$AE129*(1+BT$3))/$AJ129,'Технический лист'!$I:$J,2,1)-VLOOKUP($AO129,'Технический лист'!$I:$J,2,1)),1+(1-$AU129))</f>
        <v>1.38</v>
      </c>
      <c r="BU129" s="15">
        <f>MIN(IF($AU129=100%,1,1+VLOOKUP(($AJ129-$AI129-$AH129-$AG129-$AF129-$AE129*(1+BU$3))/$AJ129,'Технический лист'!$I:$J,2,1)-VLOOKUP($AO129,'Технический лист'!$I:$J,2,1)),1+(1-$AU129))</f>
        <v>1.3399999999999999</v>
      </c>
      <c r="BV129" s="15">
        <f>MIN(IF($AU129=100%,1,1+VLOOKUP(($AJ129-$AI129-$AH129-$AG129-$AF129-$AE129*(1+BV$3))/$AJ129,'Технический лист'!$I:$J,2,1)-VLOOKUP($AO129,'Технический лист'!$I:$J,2,1)),1+(1-$AU129))</f>
        <v>1.3399999999999999</v>
      </c>
      <c r="BW129" s="15">
        <f>MIN(IF($AU129=100%,1,1+VLOOKUP(($AJ129-$AI129-$AH129-$AG129-$AF129-$AE129*(1+BW$3))/$AJ129,'Технический лист'!$I:$J,2,1)-VLOOKUP($AO129,'Технический лист'!$I:$J,2,1)),1+(1-$AU129))</f>
        <v>1.3399999999999999</v>
      </c>
      <c r="BX129" s="15">
        <f>MIN(IF($AU129=100%,1,1+VLOOKUP(($AJ129-$AI129-$AH129-$AG129-$AF129-$AE129*(1+BX$3))/$AJ129,'Технический лист'!$I:$J,2,1)-VLOOKUP($AO129,'Технический лист'!$I:$J,2,1)),1+(1-$AU129))</f>
        <v>1.3399999999999999</v>
      </c>
      <c r="BY129" s="15">
        <f>MIN(IF($AU129=100%,1,1+VLOOKUP(($AJ129-$AI129-$AH129-$AG129-$AF129-$AE129*(1+BY$3))/$AJ129,'Технический лист'!$I:$J,2,1)-VLOOKUP($AO129,'Технический лист'!$I:$J,2,1)),1+(1-$AU129))</f>
        <v>1.3399999999999999</v>
      </c>
      <c r="BZ129" s="15">
        <f>MIN(IF($AU129=100%,1,1+VLOOKUP(($AJ129-$AI129-$AH129-$AG129-$AF129-$AE129*(1+BZ$3))/$AJ129,'Технический лист'!$I:$J,2,1)-VLOOKUP($AO129,'Технический лист'!$I:$J,2,1)),1+(1-$AU129))</f>
        <v>1.3399999999999999</v>
      </c>
      <c r="CA129" s="15">
        <f>MIN(IF($AU129=100%,1,1+VLOOKUP(($AJ129-$AI129-$AH129-$AG129-$AF129-$AE129*(1+CA$3))/$AJ129,'Технический лист'!$I:$J,2,1)-VLOOKUP($AO129,'Технический лист'!$I:$J,2,1)),1+(1-$AU129))</f>
        <v>1.3399999999999999</v>
      </c>
      <c r="CB129" s="15">
        <f>MIN(IF($AU129=100%,1,1+VLOOKUP(($AJ129-$AI129-$AH129-$AG129-$AF129-$AE129*(1+CB$3))/$AJ129,'Технический лист'!$I:$J,2,1)-VLOOKUP($AO129,'Технический лист'!$I:$J,2,1)),1+(1-$AU129))</f>
        <v>1.2999999999999998</v>
      </c>
      <c r="CC129" s="15">
        <f>MIN(IF($AU129=100%,1,1+VLOOKUP(($AJ129-$AI129-$AH129-$AG129-$AF129-$AE129*(1+CC$3))/$AJ129,'Технический лист'!$I:$J,2,1)-VLOOKUP($AO129,'Технический лист'!$I:$J,2,1)),1+(1-$AU129))</f>
        <v>1.2999999999999998</v>
      </c>
      <c r="CD129" s="15">
        <f>MIN(IF($AU129=100%,1,1+VLOOKUP(($AJ129-$AI129-$AH129-$AG129-$AF129-$AE129*(1+CD$3))/$AJ129,'Технический лист'!$I:$J,2,1)-VLOOKUP($AO129,'Технический лист'!$I:$J,2,1)),1+(1-$AU129))</f>
        <v>1.2999999999999998</v>
      </c>
      <c r="CE129" s="15">
        <f>MIN(IF($AU129=100%,1,1+VLOOKUP(($AJ129-$AI129-$AH129-$AG129-$AF129-$AE129*(1+CE$3))/$AJ129,'Технический лист'!$I:$J,2,1)-VLOOKUP($AO129,'Технический лист'!$I:$J,2,1)),1+(1-$AU129))</f>
        <v>1.2999999999999998</v>
      </c>
      <c r="CF129" s="15">
        <f>MIN(IF($AU129=100%,1,1+VLOOKUP(($AJ129-$AI129-$AH129-$AG129-$AF129-$AE129*(1+CF$3))/$AJ129,'Технический лист'!$I:$J,2,1)-VLOOKUP($AO129,'Технический лист'!$I:$J,2,1)),1+(1-$AU129))</f>
        <v>1.2999999999999998</v>
      </c>
      <c r="CG129" s="15">
        <f>MIN(IF($AU129=100%,1,1+VLOOKUP(($AJ129-$AI129-$AH129-$AG129-$AF129-$AE129*(1+CG$3))/$AJ129,'Технический лист'!$I:$J,2,1)-VLOOKUP($AO129,'Технический лист'!$I:$J,2,1)),1+(1-$AU129))</f>
        <v>1.2999999999999998</v>
      </c>
      <c r="CH129" s="15">
        <f>MIN(IF($AU129=100%,1,1+VLOOKUP(($AJ129-$AI129-$AH129-$AG129-$AF129-$AE129*(1+CH$3))/$AJ129,'Технический лист'!$I:$J,2,1)-VLOOKUP($AO129,'Технический лист'!$I:$J,2,1)),1+(1-$AU129))</f>
        <v>1.2999999999999998</v>
      </c>
      <c r="CI129" s="15">
        <f>MIN(IF($AU129=100%,1,1+VLOOKUP(($AJ129-$AI129-$AH129-$AG129-$AF129-$AE129*(1+CI$3))/$AJ129,'Технический лист'!$I:$J,2,1)-VLOOKUP($AO129,'Технический лист'!$I:$J,2,1)),1+(1-$AU129))</f>
        <v>1.2999999999999998</v>
      </c>
      <c r="CJ129" s="15">
        <f>MIN(IF($AU129=100%,1,1+VLOOKUP(($AJ129-$AI129-$AH129-$AG129-$AF129-$AE129*(1+CJ$3))/$AJ129,'Технический лист'!$I:$J,2,1)-VLOOKUP($AO129,'Технический лист'!$I:$J,2,1)),1+(1-$AU129))</f>
        <v>1.2599999999999998</v>
      </c>
      <c r="CK129" s="15">
        <f>MIN(IF($AU129=100%,1,1+VLOOKUP(($AJ129-$AI129-$AH129-$AG129-$AF129-$AE129*(1+CK$3))/$AJ129,'Технический лист'!$I:$J,2,1)-VLOOKUP($AO129,'Технический лист'!$I:$J,2,1)),1+(1-$AU129))</f>
        <v>1.2599999999999998</v>
      </c>
      <c r="CL129" s="15">
        <f>MIN(IF($AU129=100%,1,1+VLOOKUP(($AJ129-$AI129-$AH129-$AG129-$AF129-$AE129*(1+CL$3))/$AJ129,'Технический лист'!$I:$J,2,1)-VLOOKUP($AO129,'Технический лист'!$I:$J,2,1)),1+(1-$AU129))</f>
        <v>1.2599999999999998</v>
      </c>
      <c r="CM129" s="15">
        <f>MIN(IF($AU129=100%,1,1+VLOOKUP(($AJ129-$AI129-$AH129-$AG129-$AF129-$AE129*(1+CM$3))/$AJ129,'Технический лист'!$I:$J,2,1)-VLOOKUP($AO129,'Технический лист'!$I:$J,2,1)),1+(1-$AU129))</f>
        <v>1.2599999999999998</v>
      </c>
      <c r="CN129" s="15">
        <f>MIN(IF($AU129=100%,1,1+VLOOKUP(($AJ129-$AI129-$AH129-$AG129-$AF129-$AE129*(1+CN$3))/$AJ129,'Технический лист'!$I:$J,2,1)-VLOOKUP($AO129,'Технический лист'!$I:$J,2,1)),1+(1-$AU129))</f>
        <v>1.2599999999999998</v>
      </c>
      <c r="CO129" s="15">
        <f>MIN(IF($AU129=100%,1,1+VLOOKUP(($AJ129-$AI129-$AH129-$AG129-$AF129-$AE129*(1+CO$3))/$AJ129,'Технический лист'!$I:$J,2,1)-VLOOKUP($AO129,'Технический лист'!$I:$J,2,1)),1+(1-$AU129))</f>
        <v>1.2599999999999998</v>
      </c>
      <c r="CP129" s="15">
        <f>MIN(IF($AU129=100%,1,1+VLOOKUP(($AJ129-$AI129-$AH129-$AG129-$AF129-$AE129*(1+CP$3))/$AJ129,'Технический лист'!$I:$J,2,1)-VLOOKUP($AO129,'Технический лист'!$I:$J,2,1)),1+(1-$AU129))</f>
        <v>1.2599999999999998</v>
      </c>
      <c r="CQ129" s="15">
        <f>MIN(IF($AU129=100%,1,1+VLOOKUP(($AJ129-$AI129-$AH129-$AG129-$AF129-$AE129*(1+CQ$3))/$AJ129,'Технический лист'!$I:$J,2,1)-VLOOKUP($AO129,'Технический лист'!$I:$J,2,1)),1+(1-$AU129))</f>
        <v>1.2250000000000001</v>
      </c>
      <c r="CR129" s="15">
        <f>MIN(IF($AU129=100%,1,1+VLOOKUP(($AJ129-$AI129-$AH129-$AG129-$AF129-$AE129*(1+CR$3))/$AJ129,'Технический лист'!$I:$J,2,1)-VLOOKUP($AO129,'Технический лист'!$I:$J,2,1)),1+(1-$AU129))</f>
        <v>1.2250000000000001</v>
      </c>
      <c r="CS129" s="15">
        <f>MIN(IF($AU129=100%,1,1+VLOOKUP(($AJ129-$AI129-$AH129-$AG129-$AF129-$AE129*(1+CS$3))/$AJ129,'Технический лист'!$I:$J,2,1)-VLOOKUP($AO129,'Технический лист'!$I:$J,2,1)),1+(1-$AU129))</f>
        <v>1.2250000000000001</v>
      </c>
      <c r="CT129" s="15">
        <f>MIN(IF($AU129=100%,1,1+VLOOKUP(($AJ129-$AI129-$AH129-$AG129-$AF129-$AE129*(1+CT$3))/$AJ129,'Технический лист'!$I:$J,2,1)-VLOOKUP($AO129,'Технический лист'!$I:$J,2,1)),1+(1-$AU129))</f>
        <v>1.2250000000000001</v>
      </c>
      <c r="CU129" s="15">
        <f>MIN(IF($AU129=100%,1,1+VLOOKUP(($AJ129-$AI129-$AH129-$AG129-$AF129-$AE129*(1+CU$3))/$AJ129,'Технический лист'!$I:$J,2,1)-VLOOKUP($AO129,'Технический лист'!$I:$J,2,1)),1+(1-$AU129))</f>
        <v>1.2250000000000001</v>
      </c>
      <c r="CV129" s="15">
        <f>MIN(IF($AU129=100%,1,1+VLOOKUP(($AJ129-$AI129-$AH129-$AG129-$AF129-$AE129*(1+CV$3))/$AJ129,'Технический лист'!$I:$J,2,1)-VLOOKUP($AO129,'Технический лист'!$I:$J,2,1)),1+(1-$AU129))</f>
        <v>1.2250000000000001</v>
      </c>
      <c r="CW129" s="15">
        <f>MIN(IF($AU129=100%,1,1+VLOOKUP(($AJ129-$AI129-$AH129-$AG129-$AF129-$AE129*(1+CW$3))/$AJ129,'Технический лист'!$I:$J,2,1)-VLOOKUP($AO129,'Технический лист'!$I:$J,2,1)),1+(1-$AU129))</f>
        <v>1.2250000000000001</v>
      </c>
      <c r="CX129" s="15">
        <f>MIN(IF($AU129=100%,1,1+VLOOKUP(($AJ129-$AI129-$AH129-$AG129-$AF129-$AE129*(1+CX$3))/$AJ129,'Технический лист'!$I:$J,2,1)-VLOOKUP($AO129,'Технический лист'!$I:$J,2,1)),1+(1-$AU129))</f>
        <v>1.19</v>
      </c>
      <c r="CY129" s="15">
        <f>MIN(IF($AU129=100%,1,1+VLOOKUP(($AJ129-$AI129-$AH129-$AG129-$AF129-$AE129*(1+CY$3))/$AJ129,'Технический лист'!$I:$J,2,1)-VLOOKUP($AO129,'Технический лист'!$I:$J,2,1)),1+(1-$AU129))</f>
        <v>1.19</v>
      </c>
      <c r="CZ129" s="15">
        <f>MIN(IF($AU129=100%,1,1+VLOOKUP(($AJ129-$AI129-$AH129-$AG129-$AF129-$AE129*(1+CZ$3))/$AJ129,'Технический лист'!$I:$J,2,1)-VLOOKUP($AO129,'Технический лист'!$I:$J,2,1)),1+(1-$AU129))</f>
        <v>1.19</v>
      </c>
      <c r="DA129" s="15">
        <f>MIN(IF($AU129=100%,1,1+VLOOKUP(($AJ129-$AI129-$AH129-$AG129-$AF129-$AE129*(1+DA$3))/$AJ129,'Технический лист'!$I:$J,2,1)-VLOOKUP($AO129,'Технический лист'!$I:$J,2,1)),1+(1-$AU129))</f>
        <v>1.19</v>
      </c>
      <c r="DB129" s="15">
        <f>MIN(IF($AU129=100%,1,1+VLOOKUP(($AJ129-$AI129-$AH129-$AG129-$AF129-$AE129*(1+DB$3))/$AJ129,'Технический лист'!$I:$J,2,1)-VLOOKUP($AO129,'Технический лист'!$I:$J,2,1)),1+(1-$AU129))</f>
        <v>1.19</v>
      </c>
      <c r="DC129" s="15">
        <f>MIN(IF($AU129=100%,1,1+VLOOKUP(($AJ129-$AI129-$AH129-$AG129-$AF129-$AE129*(1+DC$3))/$AJ129,'Технический лист'!$I:$J,2,1)-VLOOKUP($AO129,'Технический лист'!$I:$J,2,1)),1+(1-$AU129))</f>
        <v>1.19</v>
      </c>
      <c r="DD129" s="15">
        <f>MIN(IF($AU129=100%,1,1+VLOOKUP(($AJ129-$AI129-$AH129-$AG129-$AF129-$AE129*(1+DD$3))/$AJ129,'Технический лист'!$I:$J,2,1)-VLOOKUP($AO129,'Технический лист'!$I:$J,2,1)),1+(1-$AU129))</f>
        <v>1.19</v>
      </c>
      <c r="DE129" s="15">
        <f>MIN(IF($AU129=100%,1,1+VLOOKUP(($AJ129-$AI129-$AH129-$AG129-$AF129-$AE129*(1+DE$3))/$AJ129,'Технический лист'!$I:$J,2,1)-VLOOKUP($AO129,'Технический лист'!$I:$J,2,1)),1+(1-$AU129))</f>
        <v>1.19</v>
      </c>
      <c r="DF129" s="15">
        <f>MIN(IF($AU129=100%,1,1+VLOOKUP(($AJ129-$AI129-$AH129-$AG129-$AF129-$AE129*(1+DF$3))/$AJ129,'Технический лист'!$I:$J,2,1)-VLOOKUP($AO129,'Технический лист'!$I:$J,2,1)),1+(1-$AU129))</f>
        <v>1.1550000000000002</v>
      </c>
      <c r="DG129" s="15">
        <f>MIN(IF($AU129=100%,1,1+VLOOKUP(($AJ129-$AI129-$AH129-$AG129-$AF129-$AE129*(1+DG$3))/$AJ129,'Технический лист'!$I:$J,2,1)-VLOOKUP($AO129,'Технический лист'!$I:$J,2,1)),1+(1-$AU129))</f>
        <v>1.1550000000000002</v>
      </c>
      <c r="DH129" s="15">
        <f>MIN(IF($AU129=100%,1,1+VLOOKUP(($AJ129-$AI129-$AH129-$AG129-$AF129-$AE129*(1+DH$3))/$AJ129,'Технический лист'!$I:$J,2,1)-VLOOKUP($AO129,'Технический лист'!$I:$J,2,1)),1+(1-$AU129))</f>
        <v>1.1550000000000002</v>
      </c>
      <c r="DI129" s="15">
        <f>MIN(IF($AU129=100%,1,1+VLOOKUP(($AJ129-$AI129-$AH129-$AG129-$AF129-$AE129*(1+DI$3))/$AJ129,'Технический лист'!$I:$J,2,1)-VLOOKUP($AO129,'Технический лист'!$I:$J,2,1)),1+(1-$AU129))</f>
        <v>1.1550000000000002</v>
      </c>
      <c r="DJ129" s="15">
        <f>MIN(IF($AU129=100%,1,1+VLOOKUP(($AJ129-$AI129-$AH129-$AG129-$AF129-$AE129*(1+DJ$3))/$AJ129,'Технический лист'!$I:$J,2,1)-VLOOKUP($AO129,'Технический лист'!$I:$J,2,1)),1+(1-$AU129))</f>
        <v>1.1550000000000002</v>
      </c>
      <c r="DK129" s="15">
        <f>MIN(IF($AU129=100%,1,1+VLOOKUP(($AJ129-$AI129-$AH129-$AG129-$AF129-$AE129*(1+DK$3))/$AJ129,'Технический лист'!$I:$J,2,1)-VLOOKUP($AO129,'Технический лист'!$I:$J,2,1)),1+(1-$AU129))</f>
        <v>1.1550000000000002</v>
      </c>
      <c r="DL129" s="15">
        <f>MIN(IF($AU129=100%,1,1+VLOOKUP(($AJ129-$AI129-$AH129-$AG129-$AF129-$AE129*(1+DL$3))/$AJ129,'Технический лист'!$I:$J,2,1)-VLOOKUP($AO129,'Технический лист'!$I:$J,2,1)),1+(1-$AU129))</f>
        <v>1.1550000000000002</v>
      </c>
      <c r="DM129" s="15">
        <f>MIN(IF($AU129=100%,1,1+VLOOKUP(($AJ129-$AI129-$AH129-$AG129-$AF129-$AE129*(1+DM$3))/$AJ129,'Технический лист'!$I:$J,2,1)-VLOOKUP($AO129,'Технический лист'!$I:$J,2,1)),1+(1-$AU129))</f>
        <v>1.1200000000000001</v>
      </c>
      <c r="DN129" s="15">
        <f>MIN(IF($AU129=100%,1,1+VLOOKUP(($AJ129-$AI129-$AH129-$AG129-$AF129-$AE129*(1+DN$3))/$AJ129,'Технический лист'!$I:$J,2,1)-VLOOKUP($AO129,'Технический лист'!$I:$J,2,1)),1+(1-$AU129))</f>
        <v>1.1200000000000001</v>
      </c>
      <c r="DO129" s="15">
        <f>MIN(IF($AU129=100%,1,1+VLOOKUP(($AJ129-$AI129-$AH129-$AG129-$AF129-$AE129*(1+DO$3))/$AJ129,'Технический лист'!$I:$J,2,1)-VLOOKUP($AO129,'Технический лист'!$I:$J,2,1)),1+(1-$AU129))</f>
        <v>1.1200000000000001</v>
      </c>
      <c r="DP129" s="15">
        <f>MIN(IF($AU129=100%,1,1+VLOOKUP(($AJ129-$AI129-$AH129-$AG129-$AF129-$AE129*(1+DP$3))/$AJ129,'Технический лист'!$I:$J,2,1)-VLOOKUP($AO129,'Технический лист'!$I:$J,2,1)),1+(1-$AU129))</f>
        <v>1.1200000000000001</v>
      </c>
      <c r="DQ129" s="15">
        <f>MIN(IF($AU129=100%,1,1+VLOOKUP(($AJ129-$AI129-$AH129-$AG129-$AF129-$AE129*(1+DQ$3))/$AJ129,'Технический лист'!$I:$J,2,1)-VLOOKUP($AO129,'Технический лист'!$I:$J,2,1)),1+(1-$AU129))</f>
        <v>1.1200000000000001</v>
      </c>
      <c r="DR129" s="15">
        <f>MIN(IF($AU129=100%,1,1+VLOOKUP(($AJ129-$AI129-$AH129-$AG129-$AF129-$AE129*(1+DR$3))/$AJ129,'Технический лист'!$I:$J,2,1)-VLOOKUP($AO129,'Технический лист'!$I:$J,2,1)),1+(1-$AU129))</f>
        <v>1.1200000000000001</v>
      </c>
      <c r="DS129" s="15">
        <f>MIN(IF($AU129=100%,1,1+VLOOKUP(($AJ129-$AI129-$AH129-$AG129-$AF129-$AE129*(1+DS$3))/$AJ129,'Технический лист'!$I:$J,2,1)-VLOOKUP($AO129,'Технический лист'!$I:$J,2,1)),1+(1-$AU129))</f>
        <v>1.1200000000000001</v>
      </c>
      <c r="DT129" s="15">
        <f>MIN(IF($AU129=100%,1,1+VLOOKUP(($AJ129-$AI129-$AH129-$AG129-$AF129-$AE129*(1+DT$3))/$AJ129,'Технический лист'!$I:$J,2,1)-VLOOKUP($AO129,'Технический лист'!$I:$J,2,1)),1+(1-$AU129))</f>
        <v>1.0899999999999999</v>
      </c>
      <c r="DU129" s="15">
        <f>MIN(IF($AU129=100%,1,1+VLOOKUP(($AJ129-$AI129-$AH129-$AG129-$AF129-$AE129*(1+DU$3))/$AJ129,'Технический лист'!$I:$J,2,1)-VLOOKUP($AO129,'Технический лист'!$I:$J,2,1)),1+(1-$AU129))</f>
        <v>1.0899999999999999</v>
      </c>
      <c r="DV129" s="15">
        <f>MIN(IF($AU129=100%,1,1+VLOOKUP(($AJ129-$AI129-$AH129-$AG129-$AF129-$AE129*(1+DV$3))/$AJ129,'Технический лист'!$I:$J,2,1)-VLOOKUP($AO129,'Технический лист'!$I:$J,2,1)),1+(1-$AU129))</f>
        <v>1.0899999999999999</v>
      </c>
      <c r="DW129" s="15">
        <f>MIN(IF($AU129=100%,1,1+VLOOKUP(($AJ129-$AI129-$AH129-$AG129-$AF129-$AE129*(1+DW$3))/$AJ129,'Технический лист'!$I:$J,2,1)-VLOOKUP($AO129,'Технический лист'!$I:$J,2,1)),1+(1-$AU129))</f>
        <v>1.0899999999999999</v>
      </c>
      <c r="DX129" s="15">
        <f>MIN(IF($AU129=100%,1,1+VLOOKUP(($AJ129-$AI129-$AH129-$AG129-$AF129-$AE129*(1+DX$3))/$AJ129,'Технический лист'!$I:$J,2,1)-VLOOKUP($AO129,'Технический лист'!$I:$J,2,1)),1+(1-$AU129))</f>
        <v>1.0899999999999999</v>
      </c>
      <c r="DY129" s="15">
        <f>MIN(IF($AU129=100%,1,1+VLOOKUP(($AJ129-$AI129-$AH129-$AG129-$AF129-$AE129*(1+DY$3))/$AJ129,'Технический лист'!$I:$J,2,1)-VLOOKUP($AO129,'Технический лист'!$I:$J,2,1)),1+(1-$AU129))</f>
        <v>1.0899999999999999</v>
      </c>
      <c r="DZ129" s="15">
        <f>MIN(IF($AU129=100%,1,1+VLOOKUP(($AJ129-$AI129-$AH129-$AG129-$AF129-$AE129*(1+DZ$3))/$AJ129,'Технический лист'!$I:$J,2,1)-VLOOKUP($AO129,'Технический лист'!$I:$J,2,1)),1+(1-$AU129))</f>
        <v>1.0899999999999999</v>
      </c>
      <c r="EA129" s="15">
        <f>MIN(IF($AU129=100%,1,1+VLOOKUP(($AJ129-$AI129-$AH129-$AG129-$AF129-$AE129*(1+EA$3))/$AJ129,'Технический лист'!$I:$J,2,1)-VLOOKUP($AO129,'Технический лист'!$I:$J,2,1)),1+(1-$AU129))</f>
        <v>1.0899999999999999</v>
      </c>
      <c r="EB129" s="15">
        <f>MIN(IF($AU129=100%,1,1+VLOOKUP(($AJ129-$AI129-$AH129-$AG129-$AF129-$AE129*(1+EB$3))/$AJ129,'Технический лист'!$I:$J,2,1)-VLOOKUP($AO129,'Технический лист'!$I:$J,2,1)),1+(1-$AU129))</f>
        <v>1.06</v>
      </c>
      <c r="EC129" s="15">
        <f>MIN(IF($AU129=100%,1,1+VLOOKUP(($AJ129-$AI129-$AH129-$AG129-$AF129-$AE129*(1+EC$3))/$AJ129,'Технический лист'!$I:$J,2,1)-VLOOKUP($AO129,'Технический лист'!$I:$J,2,1)),1+(1-$AU129))</f>
        <v>1.06</v>
      </c>
      <c r="ED129" s="15">
        <f>MIN(IF($AU129=100%,1,1+VLOOKUP(($AJ129-$AI129-$AH129-$AG129-$AF129-$AE129*(1+ED$3))/$AJ129,'Технический лист'!$I:$J,2,1)-VLOOKUP($AO129,'Технический лист'!$I:$J,2,1)),1+(1-$AU129))</f>
        <v>1.06</v>
      </c>
      <c r="EE129" s="15">
        <f>MIN(IF($AU129=100%,1,1+VLOOKUP(($AJ129-$AI129-$AH129-$AG129-$AF129-$AE129*(1+EE$3))/$AJ129,'Технический лист'!$I:$J,2,1)-VLOOKUP($AO129,'Технический лист'!$I:$J,2,1)),1+(1-$AU129))</f>
        <v>1.06</v>
      </c>
      <c r="EF129" s="15">
        <f>MIN(IF($AU129=100%,1,1+VLOOKUP(($AJ129-$AI129-$AH129-$AG129-$AF129-$AE129*(1+EF$3))/$AJ129,'Технический лист'!$I:$J,2,1)-VLOOKUP($AO129,'Технический лист'!$I:$J,2,1)),1+(1-$AU129))</f>
        <v>1.06</v>
      </c>
      <c r="EG129" s="15">
        <f>MIN(IF($AU129=100%,1,1+VLOOKUP(($AJ129-$AI129-$AH129-$AG129-$AF129-$AE129*(1+EG$3))/$AJ129,'Технический лист'!$I:$J,2,1)-VLOOKUP($AO129,'Технический лист'!$I:$J,2,1)),1+(1-$AU129))</f>
        <v>1.06</v>
      </c>
      <c r="EH129" s="15">
        <f>MIN(IF($AU129=100%,1,1+VLOOKUP(($AJ129-$AI129-$AH129-$AG129-$AF129-$AE129*(1+EH$3))/$AJ129,'Технический лист'!$I:$J,2,1)-VLOOKUP($AO129,'Технический лист'!$I:$J,2,1)),1+(1-$AU129))</f>
        <v>1.06</v>
      </c>
      <c r="EI129" s="15">
        <f>MIN(IF($AU129=100%,1,1+VLOOKUP(($AJ129-$AI129-$AH129-$AG129-$AF129-$AE129*(1+EI$3))/$AJ129,'Технический лист'!$I:$J,2,1)-VLOOKUP($AO129,'Технический лист'!$I:$J,2,1)),1+(1-$AU129))</f>
        <v>1.0300000000000002</v>
      </c>
      <c r="EJ129" s="15">
        <f>MIN(IF($AU129=100%,1,1+VLOOKUP(($AJ129-$AI129-$AH129-$AG129-$AF129-$AE129*(1+EJ$3))/$AJ129,'Технический лист'!$I:$J,2,1)-VLOOKUP($AO129,'Технический лист'!$I:$J,2,1)),1+(1-$AU129))</f>
        <v>1.0300000000000002</v>
      </c>
      <c r="EK129" s="15">
        <f>MIN(IF($AU129=100%,1,1+VLOOKUP(($AJ129-$AI129-$AH129-$AG129-$AF129-$AE129*(1+EK$3))/$AJ129,'Технический лист'!$I:$J,2,1)-VLOOKUP($AO129,'Технический лист'!$I:$J,2,1)),1+(1-$AU129))</f>
        <v>1.0300000000000002</v>
      </c>
      <c r="EL129" s="15">
        <f>MIN(IF($AU129=100%,1,1+VLOOKUP(($AJ129-$AI129-$AH129-$AG129-$AF129-$AE129*(1+EL$3))/$AJ129,'Технический лист'!$I:$J,2,1)-VLOOKUP($AO129,'Технический лист'!$I:$J,2,1)),1+(1-$AU129))</f>
        <v>1.0300000000000002</v>
      </c>
      <c r="EM129" s="15">
        <f>MIN(IF($AU129=100%,1,1+VLOOKUP(($AJ129-$AI129-$AH129-$AG129-$AF129-$AE129*(1+EM$3))/$AJ129,'Технический лист'!$I:$J,2,1)-VLOOKUP($AO129,'Технический лист'!$I:$J,2,1)),1+(1-$AU129))</f>
        <v>1.0300000000000002</v>
      </c>
      <c r="EN129" s="15">
        <f>MIN(IF($AU129=100%,1,1+VLOOKUP(($AJ129-$AI129-$AH129-$AG129-$AF129-$AE129*(1+EN$3))/$AJ129,'Технический лист'!$I:$J,2,1)-VLOOKUP($AO129,'Технический лист'!$I:$J,2,1)),1+(1-$AU129))</f>
        <v>1.0300000000000002</v>
      </c>
      <c r="EO129" s="15">
        <f>MIN(IF($AU129=100%,1,1+VLOOKUP(($AJ129-$AI129-$AH129-$AG129-$AF129-$AE129*(1+EO$3))/$AJ129,'Технический лист'!$I:$J,2,1)-VLOOKUP($AO129,'Технический лист'!$I:$J,2,1)),1+(1-$AU129))</f>
        <v>1.0300000000000002</v>
      </c>
      <c r="EP129" s="15">
        <f>MIN(IF($AU129=100%,1,1+VLOOKUP(($AJ129-$AI129-$AH129-$AG129-$AF129-$AE129*(1+EP$3))/$AJ129,'Технический лист'!$I:$J,2,1)-VLOOKUP($AO129,'Технический лист'!$I:$J,2,1)),1+(1-$AU129))</f>
        <v>1</v>
      </c>
      <c r="EQ129" s="15">
        <f>MIN(IF($AU129=100%,1,1+VLOOKUP(($AJ129-$AI129-$AH129-$AG129-$AF129-$AE129*(1+EQ$3))/$AJ129,'Технический лист'!$I:$J,2,1)-VLOOKUP($AO129,'Технический лист'!$I:$J,2,1)),1+(1-$AU129))</f>
        <v>1</v>
      </c>
      <c r="ER129" s="15">
        <f>MIN(IF($AU129=100%,1,1+VLOOKUP(($AJ129-$AI129-$AH129-$AG129-$AF129-$AE129*(1+ER$3))/$AJ129,'Технический лист'!$I:$J,2,1)-VLOOKUP($AO129,'Технический лист'!$I:$J,2,1)),1+(1-$AU129))</f>
        <v>1</v>
      </c>
      <c r="ES129" s="15">
        <f>MIN(IF($AU129=100%,1,1+VLOOKUP(($AJ129-$AI129-$AH129-$AG129-$AF129-$AE129*(1+ES$3))/$AJ129,'Технический лист'!$I:$J,2,1)-VLOOKUP($AO129,'Технический лист'!$I:$J,2,1)),1+(1-$AU129))</f>
        <v>1</v>
      </c>
      <c r="ET129" s="15">
        <f>MIN(IF($AU129=100%,1,1+VLOOKUP(($AJ129-$AI129-$AH129-$AG129-$AF129-$AE129*(1+ET$3))/$AJ129,'Технический лист'!$I:$J,2,1)-VLOOKUP($AO129,'Технический лист'!$I:$J,2,1)),1+(1-$AU129))</f>
        <v>1</v>
      </c>
      <c r="EU129" s="15">
        <f>MIN(IF($AU129=100%,1,1+VLOOKUP(($AJ129-$AI129-$AH129-$AG129-$AF129-$AE129*(1+EU$3))/$AJ129,'Технический лист'!$I:$J,2,1)-VLOOKUP($AO129,'Технический лист'!$I:$J,2,1)),1+(1-$AU129))</f>
        <v>1</v>
      </c>
      <c r="EV129" s="111">
        <v>1</v>
      </c>
      <c r="EW129" s="15">
        <f>MIN(1,MAX(VLOOKUP(($AJ129-$AI129-$AH129-$AG129-$AF129-$AE129*(1+EW$3))/$AJ129,'Технический лист'!$A:$B,2,1),(EV129-0.05)))</f>
        <v>1</v>
      </c>
      <c r="EX129" s="15">
        <f>MIN(1,MAX(VLOOKUP(($AJ129-$AI129-$AH129-$AG129-$AF129-$AE129*(1+EX$3))/$AJ129,'Технический лист'!$A:$B,2,1),(EW129-0.05)))</f>
        <v>1</v>
      </c>
      <c r="EY129" s="15">
        <f>MIN(1,MAX(VLOOKUP(($AJ129-$AI129-$AH129-$AG129-$AF129-$AE129*(1+EY$3))/$AJ129,'Технический лист'!$A:$B,2,1),(EX129-0.05)))</f>
        <v>1</v>
      </c>
      <c r="EZ129" s="15">
        <f>MIN(1,MAX(VLOOKUP(($AJ129-$AI129-$AH129-$AG129-$AF129-$AE129*(1+EZ$3))/$AJ129,'Технический лист'!$A:$B,2,1),(EY129-0.05)))</f>
        <v>1</v>
      </c>
      <c r="FA129" s="15">
        <f>MIN(1,MAX(VLOOKUP(($AJ129-$AI129-$AH129-$AG129-$AF129-$AE129*(1+FA$3))/$AJ129,'Технический лист'!$A:$B,2,1),(EZ129-0.05)))</f>
        <v>1</v>
      </c>
      <c r="FB129" s="15">
        <f>MIN(1,MAX(VLOOKUP(($AJ129-$AI129-$AH129-$AG129-$AF129-$AE129*(1+FB$3))/$AJ129,'Технический лист'!$A:$B,2,1),(FA129-0.05)))</f>
        <v>1</v>
      </c>
      <c r="FC129" s="15">
        <f>MIN(1,MAX(VLOOKUP(($AJ129-$AI129-$AH129-$AG129-$AF129-$AE129*(1+FC$3))/$AJ129,'Технический лист'!$A:$B,2,1),(FB129-0.05)))</f>
        <v>1</v>
      </c>
      <c r="FD129" s="15">
        <f>MIN(1,MAX(VLOOKUP(($AJ129-$AI129-$AH129-$AG129-$AF129-$AE129*(1+FD$3))/$AJ129,'Технический лист'!$A:$B,2,1),(FC129-0.05)))</f>
        <v>1</v>
      </c>
      <c r="FE129" s="15">
        <f>MIN(1,MAX(VLOOKUP(($AJ129-$AI129-$AH129-$AG129-$AF129-$AE129*(1+FE$3))/$AJ129,'Технический лист'!$A:$B,2,1),(FD129-0.05)))</f>
        <v>1</v>
      </c>
      <c r="FF129" s="15">
        <f>MIN(1,MAX(VLOOKUP(($AJ129-$AI129-$AH129-$AG129-$AF129-$AE129*(1+FF$3))/$AJ129,'Технический лист'!$A:$B,2,1),(FE129-0.05)))</f>
        <v>1</v>
      </c>
      <c r="FG129" s="15">
        <f>MIN(1,MAX(VLOOKUP(($AJ129-$AI129-$AH129-$AG129-$AF129-$AE129*(1+FG$3))/$AJ129,'Технический лист'!$A:$B,2,1),(FF129-0.05)))</f>
        <v>1</v>
      </c>
      <c r="FH129" s="15">
        <f>MIN(1,MAX(VLOOKUP(($AJ129-$AI129-$AH129-$AG129-$AF129-$AE129*(1+FH$3))/$AJ129,'Технический лист'!$A:$B,2,1),(FG129-0.05)))</f>
        <v>1</v>
      </c>
      <c r="FI129" s="15">
        <f>MIN(1,MAX(VLOOKUP(($AJ129-$AI129-$AH129-$AG129-$AF129-$AE129*(1+FI$3))/$AJ129,'Технический лист'!$A:$B,2,1),(FH129-0.05)))</f>
        <v>1</v>
      </c>
      <c r="FJ129" s="15">
        <f>MIN(1,MAX(VLOOKUP(($AJ129-$AI129-$AH129-$AG129-$AF129-$AE129*(1+FJ$3))/$AJ129,'Технический лист'!$A:$B,2,1),(FI129-0.05)))</f>
        <v>1</v>
      </c>
      <c r="FK129" s="15">
        <f>MIN(1,MAX(VLOOKUP(($AJ129-$AI129-$AH129-$AG129-$AF129-$AE129*(1+FK$3))/$AJ129,'Технический лист'!$A:$B,2,1),(FJ129-0.05)))</f>
        <v>1</v>
      </c>
      <c r="FL129" s="15">
        <f>MIN(1,MAX(VLOOKUP(($AJ129-$AI129-$AH129-$AG129-$AF129-$AE129*(1+FL$3))/$AJ129,'Технический лист'!$A:$B,2,1),(FK129-0.05)))</f>
        <v>1</v>
      </c>
      <c r="FM129" s="15">
        <f>MIN(1,MAX(VLOOKUP(($AJ129-$AI129-$AH129-$AG129-$AF129-$AE129*(1+FM$3))/$AJ129,'Технический лист'!$A:$B,2,1),(FL129-0.05)))</f>
        <v>1</v>
      </c>
      <c r="FN129" s="15">
        <f>MIN(1,MAX(VLOOKUP(($AJ129-$AI129-$AH129-$AG129-$AF129-$AE129*(1+FN$3))/$AJ129,'Технический лист'!$A:$B,2,1),(FM129-0.05)))</f>
        <v>1</v>
      </c>
      <c r="FO129" s="15">
        <f>MIN(1,MAX(VLOOKUP(($AJ129-$AI129-$AH129-$AG129-$AF129-$AE129*(1+FO$3))/$AJ129,'Технический лист'!$A:$B,2,1),(FN129-0.05)))</f>
        <v>1</v>
      </c>
      <c r="FP129" s="15">
        <f>MIN(1,MAX(VLOOKUP(($AJ129-$AI129-$AH129-$AG129-$AF129-$AE129*(1+FP$3))/$AJ129,'Технический лист'!$A:$B,2,1),(FO129-0.05)))</f>
        <v>1</v>
      </c>
      <c r="FQ129" s="15">
        <f>MIN(1,MAX(VLOOKUP(($AJ129-$AI129-$AH129-$AG129-$AF129-$AE129*(1+FQ$3))/$AJ129,'Технический лист'!$A:$B,2,1),(FP129-0.05)))</f>
        <v>1</v>
      </c>
      <c r="FR129" s="15">
        <f>MIN(1,MAX(VLOOKUP(($AJ129-$AI129-$AH129-$AG129-$AF129-$AE129*(1+FR$3))/$AJ129,'Технический лист'!$A:$B,2,1),(FQ129-0.05)))</f>
        <v>1</v>
      </c>
      <c r="FS129" s="15">
        <f>MIN(1,MAX(VLOOKUP(($AJ129-$AI129-$AH129-$AG129-$AF129-$AE129*(1+FS$3))/$AJ129,'Технический лист'!$A:$B,2,1),(FR129-0.05)))</f>
        <v>1</v>
      </c>
      <c r="FT129" s="15">
        <f>MIN(1,MAX(VLOOKUP(($AJ129-$AI129-$AH129-$AG129-$AF129-$AE129*(1+FT$3))/$AJ129,'Технический лист'!$A:$B,2,1),(FS129-0.05)))</f>
        <v>1</v>
      </c>
      <c r="FU129" s="15">
        <f>MIN(1,MAX(VLOOKUP(($AJ129-$AI129-$AH129-$AG129-$AF129-$AE129*(1+FU$3))/$AJ129,'Технический лист'!$A:$B,2,1),(FT129-0.05)))</f>
        <v>1</v>
      </c>
      <c r="FV129" s="15">
        <f>MIN(1,MAX(VLOOKUP(($AJ129-$AI129-$AH129-$AG129-$AF129-$AE129*(1+FV$3))/$AJ129,'Технический лист'!$A:$B,2,1),(FU129-0.05)))</f>
        <v>1</v>
      </c>
      <c r="FW129" s="15">
        <f>MIN(1,MAX(VLOOKUP(($AJ129-$AI129-$AH129-$AG129-$AF129-$AE129*(1+FW$3))/$AJ129,'Технический лист'!$A:$B,2,1),(FV129-0.05)))</f>
        <v>1</v>
      </c>
      <c r="FX129" s="15">
        <f>MIN(1,MAX(VLOOKUP(($AJ129-$AI129-$AH129-$AG129-$AF129-$AE129*(1+FX$3))/$AJ129,'Технический лист'!$A:$B,2,1),(FW129-0.05)))</f>
        <v>1</v>
      </c>
      <c r="FY129" s="15">
        <f>MIN(1,MAX(VLOOKUP(($AJ129-$AI129-$AH129-$AG129-$AF129-$AE129*(1+FY$3))/$AJ129,'Технический лист'!$A:$B,2,1),(FX129-0.05)))</f>
        <v>1</v>
      </c>
      <c r="FZ129" s="15">
        <f>MIN(1,MAX(VLOOKUP(($AJ129-$AI129-$AH129-$AG129-$AF129-$AE129*(1+FZ$3))/$AJ129,'Технический лист'!$A:$B,2,1),(FY129-0.05)))</f>
        <v>1</v>
      </c>
      <c r="GA129" s="15">
        <f>MIN(1,MAX(VLOOKUP(($AJ129-$AI129-$AH129-$AG129-$AF129-$AE129*(1+GA$3))/$AJ129,'Технический лист'!$A:$B,2,1),(FZ129-0.05)))</f>
        <v>1</v>
      </c>
      <c r="GB129" s="15">
        <f>MIN(1,MAX(VLOOKUP(($AJ129-$AI129-$AH129-$AG129-$AF129-$AE129*(1+GB$3))/$AJ129,'Технический лист'!$A:$B,2,1),(GA129-0.05)))</f>
        <v>1</v>
      </c>
      <c r="GC129" s="15">
        <f>MIN(1,MAX(VLOOKUP(($AJ129-$AI129-$AH129-$AG129-$AF129-$AE129*(1+GC$3))/$AJ129,'Технический лист'!$A:$B,2,1),(GB129-0.05)))</f>
        <v>1</v>
      </c>
      <c r="GD129" s="15">
        <f>MIN(1,MAX(VLOOKUP(($AJ129-$AI129-$AH129-$AG129-$AF129-$AE129*(1+GD$3))/$AJ129,'Технический лист'!$A:$B,2,1),(GC129-0.05)))</f>
        <v>1</v>
      </c>
      <c r="GE129" s="15">
        <f>MIN(1,MAX(VLOOKUP(($AJ129-$AI129-$AH129-$AG129-$AF129-$AE129*(1+GE$3))/$AJ129,'Технический лист'!$A:$B,2,1),(GD129-0.05)))</f>
        <v>1</v>
      </c>
      <c r="GF129" s="15">
        <f>MIN(1,MAX(VLOOKUP(($AJ129-$AI129-$AH129-$AG129-$AF129-$AE129*(1+GF$3))/$AJ129,'Технический лист'!$A:$B,2,1),(GE129-0.05)))</f>
        <v>1</v>
      </c>
      <c r="GG129" s="15">
        <f>MIN(1,MAX(VLOOKUP(($AJ129-$AI129-$AH129-$AG129-$AF129-$AE129*(1+GG$3))/$AJ129,'Технический лист'!$A:$B,2,1),(GF129-0.05)))</f>
        <v>1</v>
      </c>
      <c r="GH129" s="15">
        <f>MIN(1,MAX(VLOOKUP(($AJ129-$AI129-$AH129-$AG129-$AF129-$AE129*(1+GH$3))/$AJ129,'Технический лист'!$A:$B,2,1),(GG129-0.05)))</f>
        <v>1</v>
      </c>
      <c r="GI129" s="15">
        <f>MIN(1,MAX(VLOOKUP(($AJ129-$AI129-$AH129-$AG129-$AF129-$AE129*(1+GI$3))/$AJ129,'Технический лист'!$A:$B,2,1),(GH129-0.05)))</f>
        <v>1</v>
      </c>
      <c r="GJ129" s="15">
        <f>MIN(1,MAX(VLOOKUP(($AJ129-$AI129-$AH129-$AG129-$AF129-$AE129*(1+GJ$3))/$AJ129,'Технический лист'!$A:$B,2,1),(GI129-0.05)))</f>
        <v>1</v>
      </c>
      <c r="GK129" s="15">
        <f>MIN(1,MAX(VLOOKUP(($AJ129-$AI129-$AH129-$AG129-$AF129-$AE129*(1+GK$3))/$AJ129,'Технический лист'!$A:$B,2,1),(GJ129-0.05)))</f>
        <v>1</v>
      </c>
      <c r="GL129" s="15">
        <f>MIN(1,MAX(VLOOKUP(($AJ129-$AI129-$AH129-$AG129-$AF129-$AE129*(1+GL$3))/$AJ129,'Технический лист'!$A:$B,2,1),(GK129-0.05)))</f>
        <v>1</v>
      </c>
      <c r="GM129" s="15">
        <f>MIN(1,MAX(VLOOKUP(($AJ129-$AI129-$AH129-$AG129-$AF129-$AE129*(1+GM$3))/$AJ129,'Технический лист'!$A:$B,2,1),(GL129-0.05)))</f>
        <v>1</v>
      </c>
      <c r="GN129" s="15">
        <f>MIN(1,MAX(VLOOKUP(($AJ129-$AI129-$AH129-$AG129-$AF129-$AE129*(1+GN$3))/$AJ129,'Технический лист'!$A:$B,2,1),(GM129-0.05)))</f>
        <v>1</v>
      </c>
      <c r="GO129" s="15">
        <f>MIN(1,MAX(VLOOKUP(($AJ129-$AI129-$AH129-$AG129-$AF129-$AE129*(1+GO$3))/$AJ129,'Технический лист'!$A:$B,2,1),(GN129-0.05)))</f>
        <v>1</v>
      </c>
      <c r="GP129" s="15">
        <f>MIN(1,MAX(VLOOKUP(($AJ129-$AI129-$AH129-$AG129-$AF129-$AE129*(1+GP$3))/$AJ129,'Технический лист'!$A:$B,2,1),(GO129-0.05)))</f>
        <v>1</v>
      </c>
      <c r="GQ129" s="15">
        <f>MIN(1,MAX(VLOOKUP(($AJ129-$AI129-$AH129-$AG129-$AF129-$AE129*(1+GQ$3))/$AJ129,'Технический лист'!$A:$B,2,1),(GP129-0.05)))</f>
        <v>1</v>
      </c>
      <c r="GR129" s="15">
        <f>MIN(1,MAX(VLOOKUP(($AJ129-$AI129-$AH129-$AG129-$AF129-$AE129*(1+GR$3))/$AJ129,'Технический лист'!$A:$B,2,1),(GQ129-0.05)))</f>
        <v>1</v>
      </c>
      <c r="GS129" s="15">
        <f>MIN(1,MAX(VLOOKUP(($AJ129-$AI129-$AH129-$AG129-$AF129-$AE129*(1+GS$3))/$AJ129,'Технический лист'!$A:$B,2,1),(GR129-0.05)))</f>
        <v>1</v>
      </c>
      <c r="GT129" s="15">
        <f>MIN(1,MAX(VLOOKUP(($AJ129-$AI129-$AH129-$AG129-$AF129-$AE129*(1+GT$3))/$AJ129,'Технический лист'!$A:$B,2,1),(GS129-0.05)))</f>
        <v>1</v>
      </c>
      <c r="GU129" s="15">
        <f>MIN(1,MAX(VLOOKUP(($AJ129-$AI129-$AH129-$AG129-$AF129-$AE129*(1+GU$3))/$AJ129,'Технический лист'!$A:$B,2,1),(GT129-0.05)))</f>
        <v>1</v>
      </c>
      <c r="GV129" s="15">
        <f>MIN(1,MAX(VLOOKUP(($AJ129-$AI129-$AH129-$AG129-$AF129-$AE129*(1+GV$3))/$AJ129,'Технический лист'!$A:$B,2,1),(GU129-0.05)))</f>
        <v>1</v>
      </c>
      <c r="GW129" s="15">
        <f>MIN(1,MAX(VLOOKUP(($AJ129-$AI129-$AH129-$AG129-$AF129-$AE129*(1+GW$3))/$AJ129,'Технический лист'!$A:$B,2,1),(GV129-0.05)))</f>
        <v>1</v>
      </c>
      <c r="GX129" s="15">
        <f>MIN(1,MAX(VLOOKUP(($AJ129-$AI129-$AH129-$AG129-$AF129-$AE129*(1+GX$3))/$AJ129,'Технический лист'!$A:$B,2,1),(GW129-0.05)))</f>
        <v>1</v>
      </c>
      <c r="GY129" s="15">
        <f>MIN(1,MAX(VLOOKUP(($AJ129-$AI129-$AH129-$AG129-$AF129-$AE129*(1+GY$3))/$AJ129,'Технический лист'!$A:$B,2,1),(GX129-0.05)))</f>
        <v>1</v>
      </c>
      <c r="GZ129" s="15">
        <f>MIN(1,MAX(VLOOKUP(($AJ129-$AI129-$AH129-$AG129-$AF129-$AE129*(1+GZ$3))/$AJ129,'Технический лист'!$A:$B,2,1),(GY129-0.05)))</f>
        <v>1</v>
      </c>
      <c r="HA129" s="15">
        <f>MIN(1,MAX(VLOOKUP(($AJ129-$AI129-$AH129-$AG129-$AF129-$AE129*(1+HA$3))/$AJ129,'Технический лист'!$A:$B,2,1),(GZ129-0.05)))</f>
        <v>1</v>
      </c>
      <c r="HB129" s="15">
        <f>MIN(1,MAX(VLOOKUP(($AJ129-$AI129-$AH129-$AG129-$AF129-$AE129*(1+HB$3))/$AJ129,'Технический лист'!$A:$B,2,1),(HA129-0.05)))</f>
        <v>1</v>
      </c>
      <c r="HC129" s="15">
        <f>MIN(1,MAX(VLOOKUP(($AJ129-$AI129-$AH129-$AG129-$AF129-$AE129*(1+HC$3))/$AJ129,'Технический лист'!$A:$B,2,1),(HB129-0.05)))</f>
        <v>1</v>
      </c>
      <c r="HD129" s="15">
        <f>MIN(1,MAX(VLOOKUP(($AJ129-$AI129-$AH129-$AG129-$AF129-$AE129*(1+HD$3))/$AJ129,'Технический лист'!$A:$B,2,1),(HC129-0.05)))</f>
        <v>1</v>
      </c>
      <c r="HE129" s="15">
        <f>MIN(1,MAX(VLOOKUP(($AJ129-$AI129-$AH129-$AG129-$AF129-$AE129*(1+HE$3))/$AJ129,'Технический лист'!$A:$B,2,1),(HD129-0.05)))</f>
        <v>1</v>
      </c>
      <c r="HF129" s="15">
        <f>MIN(1,MAX(VLOOKUP(($AJ129-$AI129-$AH129-$AG129-$AF129-$AE129*(1+HF$3))/$AJ129,'Технический лист'!$A:$B,2,1),(HE129-0.05)))</f>
        <v>1</v>
      </c>
      <c r="HG129" s="15">
        <f>MIN(1,MAX(VLOOKUP(($AJ129-$AI129-$AH129-$AG129-$AF129-$AE129*(1+HG$3))/$AJ129,'Технический лист'!$A:$B,2,1),(HF129-0.05)))</f>
        <v>1</v>
      </c>
      <c r="HH129" s="15">
        <f>MIN(1,MAX(VLOOKUP(($AJ129-$AI129-$AH129-$AG129-$AF129-$AE129*(1+HH$3))/$AJ129,'Технический лист'!$A:$B,2,1),(HG129-0.05)))</f>
        <v>1</v>
      </c>
      <c r="HI129" s="15">
        <f>MIN(1,MAX(VLOOKUP(($AJ129-$AI129-$AH129-$AG129-$AF129-$AE129*(1+HI$3))/$AJ129,'Технический лист'!$A:$B,2,1),(HH129-0.05)))</f>
        <v>1</v>
      </c>
      <c r="HJ129" s="15">
        <f>MIN(1,MAX(VLOOKUP(($AJ129-$AI129-$AH129-$AG129-$AF129-$AE129*(1+HJ$3))/$AJ129,'Технический лист'!$A:$B,2,1),(HI129-0.05)))</f>
        <v>1</v>
      </c>
      <c r="HK129" s="15">
        <f>MIN(1,MAX(VLOOKUP(($AJ129-$AI129-$AH129-$AG129-$AF129-$AE129*(1+HK$3))/$AJ129,'Технический лист'!$A:$B,2,1),(HJ129-0.05)))</f>
        <v>1</v>
      </c>
      <c r="HL129" s="15">
        <f>MIN(1,MAX(VLOOKUP(($AJ129-$AI129-$AH129-$AG129-$AF129-$AE129*(1+HL$3))/$AJ129,'Технический лист'!$A:$B,2,1),(HK129-0.05)))</f>
        <v>1</v>
      </c>
      <c r="HM129" s="15">
        <f>MIN(1,MAX(VLOOKUP(($AJ129-$AI129-$AH129-$AG129-$AF129-$AE129*(1+HM$3))/$AJ129,'Технический лист'!$A:$B,2,1),(HL129-0.05)))</f>
        <v>1</v>
      </c>
      <c r="HN129" s="15">
        <f>MIN(1,MAX(VLOOKUP(($AJ129-$AI129-$AH129-$AG129-$AF129-$AE129*(1+HN$3))/$AJ129,'Технический лист'!$A:$B,2,1),(HM129-0.05)))</f>
        <v>1</v>
      </c>
      <c r="HO129" s="15">
        <f>MIN(1,MAX(VLOOKUP(($AJ129-$AI129-$AH129-$AG129-$AF129-$AE129*(1+HO$3))/$AJ129,'Технический лист'!$A:$B,2,1),(HN129-0.05)))</f>
        <v>1</v>
      </c>
      <c r="HP129" s="15">
        <f>MIN(1,MAX(VLOOKUP(($AJ129-$AI129-$AH129-$AG129-$AF129-$AE129*(1+HP$3))/$AJ129,'Технический лист'!$A:$B,2,1),(HO129-0.05)))</f>
        <v>1</v>
      </c>
      <c r="HQ129" s="15">
        <f>MIN(1,MAX(VLOOKUP(($AJ129-$AI129-$AH129-$AG129-$AF129-$AE129*(1+HQ$3))/$AJ129,'Технический лист'!$A:$B,2,1),(HP129-0.05)))</f>
        <v>1</v>
      </c>
      <c r="HR129" s="15">
        <f>MIN(1,MAX(VLOOKUP(($AJ129-$AI129-$AH129-$AG129-$AF129-$AE129*(1+HR$3))/$AJ129,'Технический лист'!$A:$B,2,1),(HQ129-0.05)))</f>
        <v>1</v>
      </c>
      <c r="HS129" s="15">
        <f>MIN(1,MAX(VLOOKUP(($AJ129-$AI129-$AH129-$AG129-$AF129-$AE129*(1+HS$3))/$AJ129,'Технический лист'!$A:$B,2,1),(HR129-0.05)))</f>
        <v>1</v>
      </c>
      <c r="HT129" s="15">
        <f>MIN(1,MAX(VLOOKUP(($AJ129-$AI129-$AH129-$AG129-$AF129-$AE129*(1+HT$3))/$AJ129,'Технический лист'!$A:$B,2,1),(HS129-0.05)))</f>
        <v>1</v>
      </c>
      <c r="HU129" s="15">
        <f>MIN(1,MAX(VLOOKUP(($AJ129-$AI129-$AH129-$AG129-$AF129-$AE129*(1+HU$3))/$AJ129,'Технический лист'!$A:$B,2,1),(HT129-0.05)))</f>
        <v>1</v>
      </c>
      <c r="HV129" s="15">
        <f>MIN(1,MAX(VLOOKUP(($AJ129-$AI129-$AH129-$AG129-$AF129-$AE129*(1+HV$3))/$AJ129,'Технический лист'!$A:$B,2,1),(HU129-0.05)))</f>
        <v>1</v>
      </c>
      <c r="HW129" s="15">
        <f>MIN(1,MAX(VLOOKUP(($AJ129-$AI129-$AH129-$AG129-$AF129-$AE129*(1+HW$3))/$AJ129,'Технический лист'!$A:$B,2,1),(HV129-0.05)))</f>
        <v>1</v>
      </c>
      <c r="HX129" s="15">
        <f>MIN(1,MAX(VLOOKUP(($AJ129-$AI129-$AH129-$AG129-$AF129-$AE129*(1+HX$3))/$AJ129,'Технический лист'!$A:$B,2,1),(HW129-0.05)))</f>
        <v>1</v>
      </c>
      <c r="HY129" s="15">
        <f>MIN(1,MAX(VLOOKUP(($AJ129-$AI129-$AH129-$AG129-$AF129-$AE129*(1+HY$3))/$AJ129,'Технический лист'!$A:$B,2,1),(HX129-0.05)))</f>
        <v>1</v>
      </c>
      <c r="HZ129" s="15">
        <f>MIN(1,MAX(VLOOKUP(($AJ129-$AI129-$AH129-$AG129-$AF129-$AE129*(1+HZ$3))/$AJ129,'Технический лист'!$A:$B,2,1),(HY129-0.05)))</f>
        <v>1</v>
      </c>
      <c r="IA129" s="15">
        <f>MIN(1,MAX(VLOOKUP(($AJ129-$AI129-$AH129-$AG129-$AF129-$AE129*(1+IA$3))/$AJ129,'Технический лист'!$A:$B,2,1),(HZ129-0.05)))</f>
        <v>1</v>
      </c>
      <c r="IB129" s="15">
        <f>MIN(1,MAX(VLOOKUP(($AJ129-$AI129-$AH129-$AG129-$AF129-$AE129*(1+IB$3))/$AJ129,'Технический лист'!$A:$B,2,1),(IA129-0.05)))</f>
        <v>1</v>
      </c>
      <c r="IC129" s="15">
        <f>MIN(1,MAX(VLOOKUP(($AJ129-$AI129-$AH129-$AG129-$AF129-$AE129*(1+IC$3))/$AJ129,'Технический лист'!$A:$B,2,1),(IB129-0.05)))</f>
        <v>1</v>
      </c>
      <c r="ID129" s="15">
        <f>MIN(1,MAX(VLOOKUP(($AJ129-$AI129-$AH129-$AG129-$AF129-$AE129*(1+ID$3))/$AJ129,'Технический лист'!$A:$B,2,1),(IC129-0.05)))</f>
        <v>1</v>
      </c>
      <c r="IE129" s="15">
        <f>MIN(1,MAX(VLOOKUP(($AJ129-$AI129-$AH129-$AG129-$AF129-$AE129*(1+IE$3))/$AJ129,'Технический лист'!$A:$B,2,1),(ID129-0.05)))</f>
        <v>1</v>
      </c>
      <c r="IF129" s="15">
        <f>MIN(1,MAX(VLOOKUP(($AJ129-$AI129-$AH129-$AG129-$AF129-$AE129*(1+IF$3))/$AJ129,'Технический лист'!$A:$B,2,1),(IE129-0.05)))</f>
        <v>1</v>
      </c>
      <c r="IG129" s="15">
        <f>MIN(1,MAX(VLOOKUP(($AJ129-$AI129-$AH129-$AG129-$AF129-$AE129*(1+IG$3))/$AJ129,'Технический лист'!$A:$B,2,1),(IF129-0.05)))</f>
        <v>1</v>
      </c>
      <c r="IH129" s="15">
        <f>MIN(1,MAX(VLOOKUP(($AJ129-$AI129-$AH129-$AG129-$AF129-$AE129*(1+IH$3))/$AJ129,'Технический лист'!$A:$B,2,1),(IG129-0.05)))</f>
        <v>1</v>
      </c>
      <c r="II129" s="15">
        <f>MIN(1,MAX(VLOOKUP(($AJ129-$AI129-$AH129-$AG129-$AF129-$AE129*(1+II$3))/$AJ129,'Технический лист'!$A:$B,2,1),(IH129-0.05)))</f>
        <v>1</v>
      </c>
      <c r="IJ129" s="15">
        <f>MIN(1,MAX(VLOOKUP(($AJ129-$AI129-$AH129-$AG129-$AF129-$AE129*(1+IJ$3))/$AJ129,'Технический лист'!$A:$B,2,1),(II129-0.05)))</f>
        <v>1</v>
      </c>
      <c r="IK129" s="15">
        <f>MIN(1,MAX(VLOOKUP(($AJ129-$AI129-$AH129-$AG129-$AF129-$AE129*(1+IK$3))/$AJ129,'Технический лист'!$A:$B,2,1),(IJ129-0.05)))</f>
        <v>1</v>
      </c>
      <c r="IL129" s="15">
        <f>MIN(1,MAX(VLOOKUP(($AJ129-$AI129-$AH129-$AG129-$AF129-$AE129*(1+IL$3))/$AJ129,'Технический лист'!$A:$B,2,1),(IK129-0.05)))</f>
        <v>1</v>
      </c>
      <c r="IM129" s="15">
        <f>MIN(1,MAX(VLOOKUP(($AJ129-$AI129-$AH129-$AG129-$AF129-$AE129*(1+IM$3))/$AJ129,'Технический лист'!$A:$B,2,1),(IL129-0.05)))</f>
        <v>1</v>
      </c>
      <c r="IN129" s="15">
        <f>MIN(1,MAX(VLOOKUP(($AJ129-$AI129-$AH129-$AG129-$AF129-$AE129*(1+IN$3))/$AJ129,'Технический лист'!$A:$B,2,1),(IM129-0.05)))</f>
        <v>1</v>
      </c>
      <c r="IO129" s="15">
        <f>MIN(1,MAX(VLOOKUP(($AJ129-$AI129-$AH129-$AG129-$AF129-$AE129*(1+IO$3))/$AJ129,'Технический лист'!$A:$B,2,1),(IN129-0.05)))</f>
        <v>1</v>
      </c>
      <c r="IP129" s="15">
        <f>MIN(1,MAX(VLOOKUP(($AJ129-$AI129-$AH129-$AG129-$AF129-$AE129*(1+IP$3))/$AJ129,'Технический лист'!$A:$B,2,1),(IO129-0.05)))</f>
        <v>1</v>
      </c>
      <c r="IQ129" s="15">
        <f>MIN(1,MAX(VLOOKUP(($AJ129-$AI129-$AH129-$AG129-$AF129-$AE129*(1+IQ$3))/$AJ129,'Технический лист'!$A:$B,2,1),(IP129-0.05)))</f>
        <v>1</v>
      </c>
      <c r="IR129" s="15">
        <f>MIN(1,MAX(VLOOKUP(($AJ129-$AI129-$AH129-$AG129-$AF129-$AE129*(1+IR$3))/$AJ129,'Технический лист'!$A:$B,2,1),(IQ129-0.05)))</f>
        <v>1</v>
      </c>
    </row>
    <row r="130" spans="1:252" ht="29.15">
      <c r="A130" s="89" t="s">
        <v>515</v>
      </c>
      <c r="B130" s="90">
        <v>10</v>
      </c>
      <c r="C130" s="5" t="s">
        <v>66</v>
      </c>
      <c r="D130" s="91">
        <v>31609</v>
      </c>
      <c r="E130" s="91" t="s">
        <v>323</v>
      </c>
      <c r="F130" s="92" t="s">
        <v>70</v>
      </c>
      <c r="G130" s="91" t="s">
        <v>52</v>
      </c>
      <c r="H130" s="91" t="s">
        <v>26</v>
      </c>
      <c r="I130" s="91" t="s">
        <v>111</v>
      </c>
      <c r="J130" s="91" t="s">
        <v>112</v>
      </c>
      <c r="K130" s="91">
        <v>276</v>
      </c>
      <c r="L130" s="85" t="s">
        <v>64</v>
      </c>
      <c r="M130" s="91" t="s">
        <v>190</v>
      </c>
      <c r="N130" s="91" t="s">
        <v>191</v>
      </c>
      <c r="O130" s="91" t="s">
        <v>193</v>
      </c>
      <c r="P130" s="89" t="s">
        <v>211</v>
      </c>
      <c r="Q130" s="91" t="s">
        <v>291</v>
      </c>
      <c r="R130" s="91" t="s">
        <v>259</v>
      </c>
      <c r="S130" s="82">
        <v>2262</v>
      </c>
      <c r="T130" s="82">
        <v>624421</v>
      </c>
      <c r="U130" s="81">
        <v>34</v>
      </c>
      <c r="V130" s="81">
        <v>0</v>
      </c>
      <c r="W130" s="82">
        <v>2128511</v>
      </c>
      <c r="X130" s="112">
        <v>62</v>
      </c>
      <c r="Y130" s="112" t="s">
        <v>416</v>
      </c>
      <c r="Z130" s="113">
        <v>4</v>
      </c>
      <c r="AA130" s="113">
        <v>4</v>
      </c>
      <c r="AB130" s="113">
        <v>4</v>
      </c>
      <c r="AC130" s="99">
        <v>1211.4000000000001</v>
      </c>
      <c r="AD130" s="99">
        <f t="shared" si="48"/>
        <v>121.23000000000002</v>
      </c>
      <c r="AE130" s="99">
        <v>1332.63</v>
      </c>
      <c r="AF130" s="98">
        <f>(Z130+AA130+AB130)*'Ставки аренды'!$B$3/X130</f>
        <v>135.48387096774192</v>
      </c>
      <c r="AG130" s="94">
        <v>0</v>
      </c>
      <c r="AH130" s="94">
        <v>0</v>
      </c>
      <c r="AI130" s="115">
        <f t="shared" ref="AI130:AI131" si="51">333374/554614*AJ130</f>
        <v>10819.654750871778</v>
      </c>
      <c r="AJ130" s="117">
        <f>Цены!$D$10</f>
        <v>18000</v>
      </c>
      <c r="AK130" s="94">
        <f>AJ130/Цены!$B$1</f>
        <v>235.89387396714525</v>
      </c>
      <c r="AL130" s="95">
        <f t="shared" si="24"/>
        <v>1468.1138709677421</v>
      </c>
      <c r="AM130" s="95">
        <f t="shared" si="25"/>
        <v>16531.886129032257</v>
      </c>
      <c r="AN130" s="94">
        <f t="shared" si="39"/>
        <v>12287.768621839521</v>
      </c>
      <c r="AO130" s="118">
        <f t="shared" si="40"/>
        <v>0.31734618767558215</v>
      </c>
      <c r="AP130" s="96">
        <f t="shared" si="26"/>
        <v>8.1561881720430121E-2</v>
      </c>
      <c r="AQ130" s="96">
        <f t="shared" si="27"/>
        <v>7.4035000000000004E-2</v>
      </c>
      <c r="AR130" s="96">
        <f t="shared" si="28"/>
        <v>0.90771569314413292</v>
      </c>
      <c r="AS130" s="122">
        <v>1</v>
      </c>
      <c r="AT130" s="121">
        <f t="shared" si="45"/>
        <v>2262</v>
      </c>
      <c r="AU130" s="83">
        <v>1</v>
      </c>
      <c r="AV130" s="119">
        <f t="shared" si="41"/>
        <v>0.30846198767558225</v>
      </c>
      <c r="AW130" s="120">
        <f t="shared" si="42"/>
        <v>9.044608172043013E-2</v>
      </c>
      <c r="AX130" s="120">
        <f t="shared" si="43"/>
        <v>8.2919200000000026E-2</v>
      </c>
      <c r="AY130" s="120">
        <f t="shared" si="44"/>
        <v>0.91678045552381382</v>
      </c>
      <c r="AZ130" s="15">
        <f>MIN(IF($AU130=100%,1,1+VLOOKUP(($AJ130-$AI130-$AH130-$AG130-$AF130-$AE130*(1+AZ$3))/$AJ130,'Технический лист'!$I:$J,2,1)-VLOOKUP($AO130,'Технический лист'!$I:$J,2,1)),1+(1-$AU130))</f>
        <v>1</v>
      </c>
      <c r="BA130" s="15">
        <f>MIN(IF($AU130=100%,1,1+VLOOKUP(($AJ130-$AI130-$AH130-$AG130-$AF130-$AE130*(1+BA$3))/$AJ130,'Технический лист'!$I:$J,2,1)-VLOOKUP($AO130,'Технический лист'!$I:$J,2,1)),1+(1-$AU130))</f>
        <v>1</v>
      </c>
      <c r="BB130" s="15">
        <f>MIN(IF($AU130=100%,1,1+VLOOKUP(($AJ130-$AI130-$AH130-$AG130-$AF130-$AE130*(1+BB$3))/$AJ130,'Технический лист'!$I:$J,2,1)-VLOOKUP($AO130,'Технический лист'!$I:$J,2,1)),1+(1-$AU130))</f>
        <v>1</v>
      </c>
      <c r="BC130" s="15">
        <f>MIN(IF($AU130=100%,1,1+VLOOKUP(($AJ130-$AI130-$AH130-$AG130-$AF130-$AE130*(1+BC$3))/$AJ130,'Технический лист'!$I:$J,2,1)-VLOOKUP($AO130,'Технический лист'!$I:$J,2,1)),1+(1-$AU130))</f>
        <v>1</v>
      </c>
      <c r="BD130" s="15">
        <f>MIN(IF($AU130=100%,1,1+VLOOKUP(($AJ130-$AI130-$AH130-$AG130-$AF130-$AE130*(1+BD$3))/$AJ130,'Технический лист'!$I:$J,2,1)-VLOOKUP($AO130,'Технический лист'!$I:$J,2,1)),1+(1-$AU130))</f>
        <v>1</v>
      </c>
      <c r="BE130" s="15">
        <f>MIN(IF($AU130=100%,1,1+VLOOKUP(($AJ130-$AI130-$AH130-$AG130-$AF130-$AE130*(1+BE$3))/$AJ130,'Технический лист'!$I:$J,2,1)-VLOOKUP($AO130,'Технический лист'!$I:$J,2,1)),1+(1-$AU130))</f>
        <v>1</v>
      </c>
      <c r="BF130" s="15">
        <f>MIN(IF($AU130=100%,1,1+VLOOKUP(($AJ130-$AI130-$AH130-$AG130-$AF130-$AE130*(1+BF$3))/$AJ130,'Технический лист'!$I:$J,2,1)-VLOOKUP($AO130,'Технический лист'!$I:$J,2,1)),1+(1-$AU130))</f>
        <v>1</v>
      </c>
      <c r="BG130" s="15">
        <f>MIN(IF($AU130=100%,1,1+VLOOKUP(($AJ130-$AI130-$AH130-$AG130-$AF130-$AE130*(1+BG$3))/$AJ130,'Технический лист'!$I:$J,2,1)-VLOOKUP($AO130,'Технический лист'!$I:$J,2,1)),1+(1-$AU130))</f>
        <v>1</v>
      </c>
      <c r="BH130" s="15">
        <f>MIN(IF($AU130=100%,1,1+VLOOKUP(($AJ130-$AI130-$AH130-$AG130-$AF130-$AE130*(1+BH$3))/$AJ130,'Технический лист'!$I:$J,2,1)-VLOOKUP($AO130,'Технический лист'!$I:$J,2,1)),1+(1-$AU130))</f>
        <v>1</v>
      </c>
      <c r="BI130" s="15">
        <f>MIN(IF($AU130=100%,1,1+VLOOKUP(($AJ130-$AI130-$AH130-$AG130-$AF130-$AE130*(1+BI$3))/$AJ130,'Технический лист'!$I:$J,2,1)-VLOOKUP($AO130,'Технический лист'!$I:$J,2,1)),1+(1-$AU130))</f>
        <v>1</v>
      </c>
      <c r="BJ130" s="15">
        <f>MIN(IF($AU130=100%,1,1+VLOOKUP(($AJ130-$AI130-$AH130-$AG130-$AF130-$AE130*(1+BJ$3))/$AJ130,'Технический лист'!$I:$J,2,1)-VLOOKUP($AO130,'Технический лист'!$I:$J,2,1)),1+(1-$AU130))</f>
        <v>1</v>
      </c>
      <c r="BK130" s="15">
        <f>MIN(IF($AU130=100%,1,1+VLOOKUP(($AJ130-$AI130-$AH130-$AG130-$AF130-$AE130*(1+BK$3))/$AJ130,'Технический лист'!$I:$J,2,1)-VLOOKUP($AO130,'Технический лист'!$I:$J,2,1)),1+(1-$AU130))</f>
        <v>1</v>
      </c>
      <c r="BL130" s="15">
        <f>MIN(IF($AU130=100%,1,1+VLOOKUP(($AJ130-$AI130-$AH130-$AG130-$AF130-$AE130*(1+BL$3))/$AJ130,'Технический лист'!$I:$J,2,1)-VLOOKUP($AO130,'Технический лист'!$I:$J,2,1)),1+(1-$AU130))</f>
        <v>1</v>
      </c>
      <c r="BM130" s="15">
        <f>MIN(IF($AU130=100%,1,1+VLOOKUP(($AJ130-$AI130-$AH130-$AG130-$AF130-$AE130*(1+BM$3))/$AJ130,'Технический лист'!$I:$J,2,1)-VLOOKUP($AO130,'Технический лист'!$I:$J,2,1)),1+(1-$AU130))</f>
        <v>1</v>
      </c>
      <c r="BN130" s="15">
        <f>MIN(IF($AU130=100%,1,1+VLOOKUP(($AJ130-$AI130-$AH130-$AG130-$AF130-$AE130*(1+BN$3))/$AJ130,'Технический лист'!$I:$J,2,1)-VLOOKUP($AO130,'Технический лист'!$I:$J,2,1)),1+(1-$AU130))</f>
        <v>1</v>
      </c>
      <c r="BO130" s="15">
        <f>MIN(IF($AU130=100%,1,1+VLOOKUP(($AJ130-$AI130-$AH130-$AG130-$AF130-$AE130*(1+BO$3))/$AJ130,'Технический лист'!$I:$J,2,1)-VLOOKUP($AO130,'Технический лист'!$I:$J,2,1)),1+(1-$AU130))</f>
        <v>1</v>
      </c>
      <c r="BP130" s="15">
        <f>MIN(IF($AU130=100%,1,1+VLOOKUP(($AJ130-$AI130-$AH130-$AG130-$AF130-$AE130*(1+BP$3))/$AJ130,'Технический лист'!$I:$J,2,1)-VLOOKUP($AO130,'Технический лист'!$I:$J,2,1)),1+(1-$AU130))</f>
        <v>1</v>
      </c>
      <c r="BQ130" s="15">
        <f>MIN(IF($AU130=100%,1,1+VLOOKUP(($AJ130-$AI130-$AH130-$AG130-$AF130-$AE130*(1+BQ$3))/$AJ130,'Технический лист'!$I:$J,2,1)-VLOOKUP($AO130,'Технический лист'!$I:$J,2,1)),1+(1-$AU130))</f>
        <v>1</v>
      </c>
      <c r="BR130" s="15">
        <f>MIN(IF($AU130=100%,1,1+VLOOKUP(($AJ130-$AI130-$AH130-$AG130-$AF130-$AE130*(1+BR$3))/$AJ130,'Технический лист'!$I:$J,2,1)-VLOOKUP($AO130,'Технический лист'!$I:$J,2,1)),1+(1-$AU130))</f>
        <v>1</v>
      </c>
      <c r="BS130" s="15">
        <f>MIN(IF($AU130=100%,1,1+VLOOKUP(($AJ130-$AI130-$AH130-$AG130-$AF130-$AE130*(1+BS$3))/$AJ130,'Технический лист'!$I:$J,2,1)-VLOOKUP($AO130,'Технический лист'!$I:$J,2,1)),1+(1-$AU130))</f>
        <v>1</v>
      </c>
      <c r="BT130" s="15">
        <f>MIN(IF($AU130=100%,1,1+VLOOKUP(($AJ130-$AI130-$AH130-$AG130-$AF130-$AE130*(1+BT$3))/$AJ130,'Технический лист'!$I:$J,2,1)-VLOOKUP($AO130,'Технический лист'!$I:$J,2,1)),1+(1-$AU130))</f>
        <v>1</v>
      </c>
      <c r="BU130" s="15">
        <f>MIN(IF($AU130=100%,1,1+VLOOKUP(($AJ130-$AI130-$AH130-$AG130-$AF130-$AE130*(1+BU$3))/$AJ130,'Технический лист'!$I:$J,2,1)-VLOOKUP($AO130,'Технический лист'!$I:$J,2,1)),1+(1-$AU130))</f>
        <v>1</v>
      </c>
      <c r="BV130" s="15">
        <f>MIN(IF($AU130=100%,1,1+VLOOKUP(($AJ130-$AI130-$AH130-$AG130-$AF130-$AE130*(1+BV$3))/$AJ130,'Технический лист'!$I:$J,2,1)-VLOOKUP($AO130,'Технический лист'!$I:$J,2,1)),1+(1-$AU130))</f>
        <v>1</v>
      </c>
      <c r="BW130" s="15">
        <f>MIN(IF($AU130=100%,1,1+VLOOKUP(($AJ130-$AI130-$AH130-$AG130-$AF130-$AE130*(1+BW$3))/$AJ130,'Технический лист'!$I:$J,2,1)-VLOOKUP($AO130,'Технический лист'!$I:$J,2,1)),1+(1-$AU130))</f>
        <v>1</v>
      </c>
      <c r="BX130" s="15">
        <f>MIN(IF($AU130=100%,1,1+VLOOKUP(($AJ130-$AI130-$AH130-$AG130-$AF130-$AE130*(1+BX$3))/$AJ130,'Технический лист'!$I:$J,2,1)-VLOOKUP($AO130,'Технический лист'!$I:$J,2,1)),1+(1-$AU130))</f>
        <v>1</v>
      </c>
      <c r="BY130" s="15">
        <f>MIN(IF($AU130=100%,1,1+VLOOKUP(($AJ130-$AI130-$AH130-$AG130-$AF130-$AE130*(1+BY$3))/$AJ130,'Технический лист'!$I:$J,2,1)-VLOOKUP($AO130,'Технический лист'!$I:$J,2,1)),1+(1-$AU130))</f>
        <v>1</v>
      </c>
      <c r="BZ130" s="15">
        <f>MIN(IF($AU130=100%,1,1+VLOOKUP(($AJ130-$AI130-$AH130-$AG130-$AF130-$AE130*(1+BZ$3))/$AJ130,'Технический лист'!$I:$J,2,1)-VLOOKUP($AO130,'Технический лист'!$I:$J,2,1)),1+(1-$AU130))</f>
        <v>1</v>
      </c>
      <c r="CA130" s="15">
        <f>MIN(IF($AU130=100%,1,1+VLOOKUP(($AJ130-$AI130-$AH130-$AG130-$AF130-$AE130*(1+CA$3))/$AJ130,'Технический лист'!$I:$J,2,1)-VLOOKUP($AO130,'Технический лист'!$I:$J,2,1)),1+(1-$AU130))</f>
        <v>1</v>
      </c>
      <c r="CB130" s="15">
        <f>MIN(IF($AU130=100%,1,1+VLOOKUP(($AJ130-$AI130-$AH130-$AG130-$AF130-$AE130*(1+CB$3))/$AJ130,'Технический лист'!$I:$J,2,1)-VLOOKUP($AO130,'Технический лист'!$I:$J,2,1)),1+(1-$AU130))</f>
        <v>1</v>
      </c>
      <c r="CC130" s="15">
        <f>MIN(IF($AU130=100%,1,1+VLOOKUP(($AJ130-$AI130-$AH130-$AG130-$AF130-$AE130*(1+CC$3))/$AJ130,'Технический лист'!$I:$J,2,1)-VLOOKUP($AO130,'Технический лист'!$I:$J,2,1)),1+(1-$AU130))</f>
        <v>1</v>
      </c>
      <c r="CD130" s="15">
        <f>MIN(IF($AU130=100%,1,1+VLOOKUP(($AJ130-$AI130-$AH130-$AG130-$AF130-$AE130*(1+CD$3))/$AJ130,'Технический лист'!$I:$J,2,1)-VLOOKUP($AO130,'Технический лист'!$I:$J,2,1)),1+(1-$AU130))</f>
        <v>1</v>
      </c>
      <c r="CE130" s="15">
        <f>MIN(IF($AU130=100%,1,1+VLOOKUP(($AJ130-$AI130-$AH130-$AG130-$AF130-$AE130*(1+CE$3))/$AJ130,'Технический лист'!$I:$J,2,1)-VLOOKUP($AO130,'Технический лист'!$I:$J,2,1)),1+(1-$AU130))</f>
        <v>1</v>
      </c>
      <c r="CF130" s="15">
        <f>MIN(IF($AU130=100%,1,1+VLOOKUP(($AJ130-$AI130-$AH130-$AG130-$AF130-$AE130*(1+CF$3))/$AJ130,'Технический лист'!$I:$J,2,1)-VLOOKUP($AO130,'Технический лист'!$I:$J,2,1)),1+(1-$AU130))</f>
        <v>1</v>
      </c>
      <c r="CG130" s="15">
        <f>MIN(IF($AU130=100%,1,1+VLOOKUP(($AJ130-$AI130-$AH130-$AG130-$AF130-$AE130*(1+CG$3))/$AJ130,'Технический лист'!$I:$J,2,1)-VLOOKUP($AO130,'Технический лист'!$I:$J,2,1)),1+(1-$AU130))</f>
        <v>1</v>
      </c>
      <c r="CH130" s="15">
        <f>MIN(IF($AU130=100%,1,1+VLOOKUP(($AJ130-$AI130-$AH130-$AG130-$AF130-$AE130*(1+CH$3))/$AJ130,'Технический лист'!$I:$J,2,1)-VLOOKUP($AO130,'Технический лист'!$I:$J,2,1)),1+(1-$AU130))</f>
        <v>1</v>
      </c>
      <c r="CI130" s="15">
        <f>MIN(IF($AU130=100%,1,1+VLOOKUP(($AJ130-$AI130-$AH130-$AG130-$AF130-$AE130*(1+CI$3))/$AJ130,'Технический лист'!$I:$J,2,1)-VLOOKUP($AO130,'Технический лист'!$I:$J,2,1)),1+(1-$AU130))</f>
        <v>1</v>
      </c>
      <c r="CJ130" s="15">
        <f>MIN(IF($AU130=100%,1,1+VLOOKUP(($AJ130-$AI130-$AH130-$AG130-$AF130-$AE130*(1+CJ$3))/$AJ130,'Технический лист'!$I:$J,2,1)-VLOOKUP($AO130,'Технический лист'!$I:$J,2,1)),1+(1-$AU130))</f>
        <v>1</v>
      </c>
      <c r="CK130" s="15">
        <f>MIN(IF($AU130=100%,1,1+VLOOKUP(($AJ130-$AI130-$AH130-$AG130-$AF130-$AE130*(1+CK$3))/$AJ130,'Технический лист'!$I:$J,2,1)-VLOOKUP($AO130,'Технический лист'!$I:$J,2,1)),1+(1-$AU130))</f>
        <v>1</v>
      </c>
      <c r="CL130" s="15">
        <f>MIN(IF($AU130=100%,1,1+VLOOKUP(($AJ130-$AI130-$AH130-$AG130-$AF130-$AE130*(1+CL$3))/$AJ130,'Технический лист'!$I:$J,2,1)-VLOOKUP($AO130,'Технический лист'!$I:$J,2,1)),1+(1-$AU130))</f>
        <v>1</v>
      </c>
      <c r="CM130" s="15">
        <f>MIN(IF($AU130=100%,1,1+VLOOKUP(($AJ130-$AI130-$AH130-$AG130-$AF130-$AE130*(1+CM$3))/$AJ130,'Технический лист'!$I:$J,2,1)-VLOOKUP($AO130,'Технический лист'!$I:$J,2,1)),1+(1-$AU130))</f>
        <v>1</v>
      </c>
      <c r="CN130" s="15">
        <f>MIN(IF($AU130=100%,1,1+VLOOKUP(($AJ130-$AI130-$AH130-$AG130-$AF130-$AE130*(1+CN$3))/$AJ130,'Технический лист'!$I:$J,2,1)-VLOOKUP($AO130,'Технический лист'!$I:$J,2,1)),1+(1-$AU130))</f>
        <v>1</v>
      </c>
      <c r="CO130" s="15">
        <f>MIN(IF($AU130=100%,1,1+VLOOKUP(($AJ130-$AI130-$AH130-$AG130-$AF130-$AE130*(1+CO$3))/$AJ130,'Технический лист'!$I:$J,2,1)-VLOOKUP($AO130,'Технический лист'!$I:$J,2,1)),1+(1-$AU130))</f>
        <v>1</v>
      </c>
      <c r="CP130" s="15">
        <f>MIN(IF($AU130=100%,1,1+VLOOKUP(($AJ130-$AI130-$AH130-$AG130-$AF130-$AE130*(1+CP$3))/$AJ130,'Технический лист'!$I:$J,2,1)-VLOOKUP($AO130,'Технический лист'!$I:$J,2,1)),1+(1-$AU130))</f>
        <v>1</v>
      </c>
      <c r="CQ130" s="15">
        <f>MIN(IF($AU130=100%,1,1+VLOOKUP(($AJ130-$AI130-$AH130-$AG130-$AF130-$AE130*(1+CQ$3))/$AJ130,'Технический лист'!$I:$J,2,1)-VLOOKUP($AO130,'Технический лист'!$I:$J,2,1)),1+(1-$AU130))</f>
        <v>1</v>
      </c>
      <c r="CR130" s="15">
        <f>MIN(IF($AU130=100%,1,1+VLOOKUP(($AJ130-$AI130-$AH130-$AG130-$AF130-$AE130*(1+CR$3))/$AJ130,'Технический лист'!$I:$J,2,1)-VLOOKUP($AO130,'Технический лист'!$I:$J,2,1)),1+(1-$AU130))</f>
        <v>1</v>
      </c>
      <c r="CS130" s="15">
        <f>MIN(IF($AU130=100%,1,1+VLOOKUP(($AJ130-$AI130-$AH130-$AG130-$AF130-$AE130*(1+CS$3))/$AJ130,'Технический лист'!$I:$J,2,1)-VLOOKUP($AO130,'Технический лист'!$I:$J,2,1)),1+(1-$AU130))</f>
        <v>1</v>
      </c>
      <c r="CT130" s="15">
        <f>MIN(IF($AU130=100%,1,1+VLOOKUP(($AJ130-$AI130-$AH130-$AG130-$AF130-$AE130*(1+CT$3))/$AJ130,'Технический лист'!$I:$J,2,1)-VLOOKUP($AO130,'Технический лист'!$I:$J,2,1)),1+(1-$AU130))</f>
        <v>1</v>
      </c>
      <c r="CU130" s="15">
        <f>MIN(IF($AU130=100%,1,1+VLOOKUP(($AJ130-$AI130-$AH130-$AG130-$AF130-$AE130*(1+CU$3))/$AJ130,'Технический лист'!$I:$J,2,1)-VLOOKUP($AO130,'Технический лист'!$I:$J,2,1)),1+(1-$AU130))</f>
        <v>1</v>
      </c>
      <c r="CV130" s="15">
        <f>MIN(IF($AU130=100%,1,1+VLOOKUP(($AJ130-$AI130-$AH130-$AG130-$AF130-$AE130*(1+CV$3))/$AJ130,'Технический лист'!$I:$J,2,1)-VLOOKUP($AO130,'Технический лист'!$I:$J,2,1)),1+(1-$AU130))</f>
        <v>1</v>
      </c>
      <c r="CW130" s="15">
        <f>MIN(IF($AU130=100%,1,1+VLOOKUP(($AJ130-$AI130-$AH130-$AG130-$AF130-$AE130*(1+CW$3))/$AJ130,'Технический лист'!$I:$J,2,1)-VLOOKUP($AO130,'Технический лист'!$I:$J,2,1)),1+(1-$AU130))</f>
        <v>1</v>
      </c>
      <c r="CX130" s="15">
        <f>MIN(IF($AU130=100%,1,1+VLOOKUP(($AJ130-$AI130-$AH130-$AG130-$AF130-$AE130*(1+CX$3))/$AJ130,'Технический лист'!$I:$J,2,1)-VLOOKUP($AO130,'Технический лист'!$I:$J,2,1)),1+(1-$AU130))</f>
        <v>1</v>
      </c>
      <c r="CY130" s="15">
        <f>MIN(IF($AU130=100%,1,1+VLOOKUP(($AJ130-$AI130-$AH130-$AG130-$AF130-$AE130*(1+CY$3))/$AJ130,'Технический лист'!$I:$J,2,1)-VLOOKUP($AO130,'Технический лист'!$I:$J,2,1)),1+(1-$AU130))</f>
        <v>1</v>
      </c>
      <c r="CZ130" s="15">
        <f>MIN(IF($AU130=100%,1,1+VLOOKUP(($AJ130-$AI130-$AH130-$AG130-$AF130-$AE130*(1+CZ$3))/$AJ130,'Технический лист'!$I:$J,2,1)-VLOOKUP($AO130,'Технический лист'!$I:$J,2,1)),1+(1-$AU130))</f>
        <v>1</v>
      </c>
      <c r="DA130" s="15">
        <f>MIN(IF($AU130=100%,1,1+VLOOKUP(($AJ130-$AI130-$AH130-$AG130-$AF130-$AE130*(1+DA$3))/$AJ130,'Технический лист'!$I:$J,2,1)-VLOOKUP($AO130,'Технический лист'!$I:$J,2,1)),1+(1-$AU130))</f>
        <v>1</v>
      </c>
      <c r="DB130" s="15">
        <f>MIN(IF($AU130=100%,1,1+VLOOKUP(($AJ130-$AI130-$AH130-$AG130-$AF130-$AE130*(1+DB$3))/$AJ130,'Технический лист'!$I:$J,2,1)-VLOOKUP($AO130,'Технический лист'!$I:$J,2,1)),1+(1-$AU130))</f>
        <v>1</v>
      </c>
      <c r="DC130" s="15">
        <f>MIN(IF($AU130=100%,1,1+VLOOKUP(($AJ130-$AI130-$AH130-$AG130-$AF130-$AE130*(1+DC$3))/$AJ130,'Технический лист'!$I:$J,2,1)-VLOOKUP($AO130,'Технический лист'!$I:$J,2,1)),1+(1-$AU130))</f>
        <v>1</v>
      </c>
      <c r="DD130" s="15">
        <f>MIN(IF($AU130=100%,1,1+VLOOKUP(($AJ130-$AI130-$AH130-$AG130-$AF130-$AE130*(1+DD$3))/$AJ130,'Технический лист'!$I:$J,2,1)-VLOOKUP($AO130,'Технический лист'!$I:$J,2,1)),1+(1-$AU130))</f>
        <v>1</v>
      </c>
      <c r="DE130" s="15">
        <f>MIN(IF($AU130=100%,1,1+VLOOKUP(($AJ130-$AI130-$AH130-$AG130-$AF130-$AE130*(1+DE$3))/$AJ130,'Технический лист'!$I:$J,2,1)-VLOOKUP($AO130,'Технический лист'!$I:$J,2,1)),1+(1-$AU130))</f>
        <v>1</v>
      </c>
      <c r="DF130" s="15">
        <f>MIN(IF($AU130=100%,1,1+VLOOKUP(($AJ130-$AI130-$AH130-$AG130-$AF130-$AE130*(1+DF$3))/$AJ130,'Технический лист'!$I:$J,2,1)-VLOOKUP($AO130,'Технический лист'!$I:$J,2,1)),1+(1-$AU130))</f>
        <v>1</v>
      </c>
      <c r="DG130" s="15">
        <f>MIN(IF($AU130=100%,1,1+VLOOKUP(($AJ130-$AI130-$AH130-$AG130-$AF130-$AE130*(1+DG$3))/$AJ130,'Технический лист'!$I:$J,2,1)-VLOOKUP($AO130,'Технический лист'!$I:$J,2,1)),1+(1-$AU130))</f>
        <v>1</v>
      </c>
      <c r="DH130" s="15">
        <f>MIN(IF($AU130=100%,1,1+VLOOKUP(($AJ130-$AI130-$AH130-$AG130-$AF130-$AE130*(1+DH$3))/$AJ130,'Технический лист'!$I:$J,2,1)-VLOOKUP($AO130,'Технический лист'!$I:$J,2,1)),1+(1-$AU130))</f>
        <v>1</v>
      </c>
      <c r="DI130" s="15">
        <f>MIN(IF($AU130=100%,1,1+VLOOKUP(($AJ130-$AI130-$AH130-$AG130-$AF130-$AE130*(1+DI$3))/$AJ130,'Технический лист'!$I:$J,2,1)-VLOOKUP($AO130,'Технический лист'!$I:$J,2,1)),1+(1-$AU130))</f>
        <v>1</v>
      </c>
      <c r="DJ130" s="15">
        <f>MIN(IF($AU130=100%,1,1+VLOOKUP(($AJ130-$AI130-$AH130-$AG130-$AF130-$AE130*(1+DJ$3))/$AJ130,'Технический лист'!$I:$J,2,1)-VLOOKUP($AO130,'Технический лист'!$I:$J,2,1)),1+(1-$AU130))</f>
        <v>1</v>
      </c>
      <c r="DK130" s="15">
        <f>MIN(IF($AU130=100%,1,1+VLOOKUP(($AJ130-$AI130-$AH130-$AG130-$AF130-$AE130*(1+DK$3))/$AJ130,'Технический лист'!$I:$J,2,1)-VLOOKUP($AO130,'Технический лист'!$I:$J,2,1)),1+(1-$AU130))</f>
        <v>1</v>
      </c>
      <c r="DL130" s="15">
        <f>MIN(IF($AU130=100%,1,1+VLOOKUP(($AJ130-$AI130-$AH130-$AG130-$AF130-$AE130*(1+DL$3))/$AJ130,'Технический лист'!$I:$J,2,1)-VLOOKUP($AO130,'Технический лист'!$I:$J,2,1)),1+(1-$AU130))</f>
        <v>1</v>
      </c>
      <c r="DM130" s="15">
        <f>MIN(IF($AU130=100%,1,1+VLOOKUP(($AJ130-$AI130-$AH130-$AG130-$AF130-$AE130*(1+DM$3))/$AJ130,'Технический лист'!$I:$J,2,1)-VLOOKUP($AO130,'Технический лист'!$I:$J,2,1)),1+(1-$AU130))</f>
        <v>1</v>
      </c>
      <c r="DN130" s="15">
        <f>MIN(IF($AU130=100%,1,1+VLOOKUP(($AJ130-$AI130-$AH130-$AG130-$AF130-$AE130*(1+DN$3))/$AJ130,'Технический лист'!$I:$J,2,1)-VLOOKUP($AO130,'Технический лист'!$I:$J,2,1)),1+(1-$AU130))</f>
        <v>1</v>
      </c>
      <c r="DO130" s="15">
        <f>MIN(IF($AU130=100%,1,1+VLOOKUP(($AJ130-$AI130-$AH130-$AG130-$AF130-$AE130*(1+DO$3))/$AJ130,'Технический лист'!$I:$J,2,1)-VLOOKUP($AO130,'Технический лист'!$I:$J,2,1)),1+(1-$AU130))</f>
        <v>1</v>
      </c>
      <c r="DP130" s="15">
        <f>MIN(IF($AU130=100%,1,1+VLOOKUP(($AJ130-$AI130-$AH130-$AG130-$AF130-$AE130*(1+DP$3))/$AJ130,'Технический лист'!$I:$J,2,1)-VLOOKUP($AO130,'Технический лист'!$I:$J,2,1)),1+(1-$AU130))</f>
        <v>1</v>
      </c>
      <c r="DQ130" s="15">
        <f>MIN(IF($AU130=100%,1,1+VLOOKUP(($AJ130-$AI130-$AH130-$AG130-$AF130-$AE130*(1+DQ$3))/$AJ130,'Технический лист'!$I:$J,2,1)-VLOOKUP($AO130,'Технический лист'!$I:$J,2,1)),1+(1-$AU130))</f>
        <v>1</v>
      </c>
      <c r="DR130" s="15">
        <f>MIN(IF($AU130=100%,1,1+VLOOKUP(($AJ130-$AI130-$AH130-$AG130-$AF130-$AE130*(1+DR$3))/$AJ130,'Технический лист'!$I:$J,2,1)-VLOOKUP($AO130,'Технический лист'!$I:$J,2,1)),1+(1-$AU130))</f>
        <v>1</v>
      </c>
      <c r="DS130" s="15">
        <f>MIN(IF($AU130=100%,1,1+VLOOKUP(($AJ130-$AI130-$AH130-$AG130-$AF130-$AE130*(1+DS$3))/$AJ130,'Технический лист'!$I:$J,2,1)-VLOOKUP($AO130,'Технический лист'!$I:$J,2,1)),1+(1-$AU130))</f>
        <v>1</v>
      </c>
      <c r="DT130" s="15">
        <f>MIN(IF($AU130=100%,1,1+VLOOKUP(($AJ130-$AI130-$AH130-$AG130-$AF130-$AE130*(1+DT$3))/$AJ130,'Технический лист'!$I:$J,2,1)-VLOOKUP($AO130,'Технический лист'!$I:$J,2,1)),1+(1-$AU130))</f>
        <v>1</v>
      </c>
      <c r="DU130" s="15">
        <f>MIN(IF($AU130=100%,1,1+VLOOKUP(($AJ130-$AI130-$AH130-$AG130-$AF130-$AE130*(1+DU$3))/$AJ130,'Технический лист'!$I:$J,2,1)-VLOOKUP($AO130,'Технический лист'!$I:$J,2,1)),1+(1-$AU130))</f>
        <v>1</v>
      </c>
      <c r="DV130" s="15">
        <f>MIN(IF($AU130=100%,1,1+VLOOKUP(($AJ130-$AI130-$AH130-$AG130-$AF130-$AE130*(1+DV$3))/$AJ130,'Технический лист'!$I:$J,2,1)-VLOOKUP($AO130,'Технический лист'!$I:$J,2,1)),1+(1-$AU130))</f>
        <v>1</v>
      </c>
      <c r="DW130" s="15">
        <f>MIN(IF($AU130=100%,1,1+VLOOKUP(($AJ130-$AI130-$AH130-$AG130-$AF130-$AE130*(1+DW$3))/$AJ130,'Технический лист'!$I:$J,2,1)-VLOOKUP($AO130,'Технический лист'!$I:$J,2,1)),1+(1-$AU130))</f>
        <v>1</v>
      </c>
      <c r="DX130" s="15">
        <f>MIN(IF($AU130=100%,1,1+VLOOKUP(($AJ130-$AI130-$AH130-$AG130-$AF130-$AE130*(1+DX$3))/$AJ130,'Технический лист'!$I:$J,2,1)-VLOOKUP($AO130,'Технический лист'!$I:$J,2,1)),1+(1-$AU130))</f>
        <v>1</v>
      </c>
      <c r="DY130" s="15">
        <f>MIN(IF($AU130=100%,1,1+VLOOKUP(($AJ130-$AI130-$AH130-$AG130-$AF130-$AE130*(1+DY$3))/$AJ130,'Технический лист'!$I:$J,2,1)-VLOOKUP($AO130,'Технический лист'!$I:$J,2,1)),1+(1-$AU130))</f>
        <v>1</v>
      </c>
      <c r="DZ130" s="15">
        <f>MIN(IF($AU130=100%,1,1+VLOOKUP(($AJ130-$AI130-$AH130-$AG130-$AF130-$AE130*(1+DZ$3))/$AJ130,'Технический лист'!$I:$J,2,1)-VLOOKUP($AO130,'Технический лист'!$I:$J,2,1)),1+(1-$AU130))</f>
        <v>1</v>
      </c>
      <c r="EA130" s="15">
        <f>MIN(IF($AU130=100%,1,1+VLOOKUP(($AJ130-$AI130-$AH130-$AG130-$AF130-$AE130*(1+EA$3))/$AJ130,'Технический лист'!$I:$J,2,1)-VLOOKUP($AO130,'Технический лист'!$I:$J,2,1)),1+(1-$AU130))</f>
        <v>1</v>
      </c>
      <c r="EB130" s="15">
        <f>MIN(IF($AU130=100%,1,1+VLOOKUP(($AJ130-$AI130-$AH130-$AG130-$AF130-$AE130*(1+EB$3))/$AJ130,'Технический лист'!$I:$J,2,1)-VLOOKUP($AO130,'Технический лист'!$I:$J,2,1)),1+(1-$AU130))</f>
        <v>1</v>
      </c>
      <c r="EC130" s="15">
        <f>MIN(IF($AU130=100%,1,1+VLOOKUP(($AJ130-$AI130-$AH130-$AG130-$AF130-$AE130*(1+EC$3))/$AJ130,'Технический лист'!$I:$J,2,1)-VLOOKUP($AO130,'Технический лист'!$I:$J,2,1)),1+(1-$AU130))</f>
        <v>1</v>
      </c>
      <c r="ED130" s="15">
        <f>MIN(IF($AU130=100%,1,1+VLOOKUP(($AJ130-$AI130-$AH130-$AG130-$AF130-$AE130*(1+ED$3))/$AJ130,'Технический лист'!$I:$J,2,1)-VLOOKUP($AO130,'Технический лист'!$I:$J,2,1)),1+(1-$AU130))</f>
        <v>1</v>
      </c>
      <c r="EE130" s="15">
        <f>MIN(IF($AU130=100%,1,1+VLOOKUP(($AJ130-$AI130-$AH130-$AG130-$AF130-$AE130*(1+EE$3))/$AJ130,'Технический лист'!$I:$J,2,1)-VLOOKUP($AO130,'Технический лист'!$I:$J,2,1)),1+(1-$AU130))</f>
        <v>1</v>
      </c>
      <c r="EF130" s="15">
        <f>MIN(IF($AU130=100%,1,1+VLOOKUP(($AJ130-$AI130-$AH130-$AG130-$AF130-$AE130*(1+EF$3))/$AJ130,'Технический лист'!$I:$J,2,1)-VLOOKUP($AO130,'Технический лист'!$I:$J,2,1)),1+(1-$AU130))</f>
        <v>1</v>
      </c>
      <c r="EG130" s="15">
        <f>MIN(IF($AU130=100%,1,1+VLOOKUP(($AJ130-$AI130-$AH130-$AG130-$AF130-$AE130*(1+EG$3))/$AJ130,'Технический лист'!$I:$J,2,1)-VLOOKUP($AO130,'Технический лист'!$I:$J,2,1)),1+(1-$AU130))</f>
        <v>1</v>
      </c>
      <c r="EH130" s="15">
        <f>MIN(IF($AU130=100%,1,1+VLOOKUP(($AJ130-$AI130-$AH130-$AG130-$AF130-$AE130*(1+EH$3))/$AJ130,'Технический лист'!$I:$J,2,1)-VLOOKUP($AO130,'Технический лист'!$I:$J,2,1)),1+(1-$AU130))</f>
        <v>1</v>
      </c>
      <c r="EI130" s="15">
        <f>MIN(IF($AU130=100%,1,1+VLOOKUP(($AJ130-$AI130-$AH130-$AG130-$AF130-$AE130*(1+EI$3))/$AJ130,'Технический лист'!$I:$J,2,1)-VLOOKUP($AO130,'Технический лист'!$I:$J,2,1)),1+(1-$AU130))</f>
        <v>1</v>
      </c>
      <c r="EJ130" s="15">
        <f>MIN(IF($AU130=100%,1,1+VLOOKUP(($AJ130-$AI130-$AH130-$AG130-$AF130-$AE130*(1+EJ$3))/$AJ130,'Технический лист'!$I:$J,2,1)-VLOOKUP($AO130,'Технический лист'!$I:$J,2,1)),1+(1-$AU130))</f>
        <v>1</v>
      </c>
      <c r="EK130" s="15">
        <f>MIN(IF($AU130=100%,1,1+VLOOKUP(($AJ130-$AI130-$AH130-$AG130-$AF130-$AE130*(1+EK$3))/$AJ130,'Технический лист'!$I:$J,2,1)-VLOOKUP($AO130,'Технический лист'!$I:$J,2,1)),1+(1-$AU130))</f>
        <v>1</v>
      </c>
      <c r="EL130" s="15">
        <f>MIN(IF($AU130=100%,1,1+VLOOKUP(($AJ130-$AI130-$AH130-$AG130-$AF130-$AE130*(1+EL$3))/$AJ130,'Технический лист'!$I:$J,2,1)-VLOOKUP($AO130,'Технический лист'!$I:$J,2,1)),1+(1-$AU130))</f>
        <v>1</v>
      </c>
      <c r="EM130" s="15">
        <f>MIN(IF($AU130=100%,1,1+VLOOKUP(($AJ130-$AI130-$AH130-$AG130-$AF130-$AE130*(1+EM$3))/$AJ130,'Технический лист'!$I:$J,2,1)-VLOOKUP($AO130,'Технический лист'!$I:$J,2,1)),1+(1-$AU130))</f>
        <v>1</v>
      </c>
      <c r="EN130" s="15">
        <f>MIN(IF($AU130=100%,1,1+VLOOKUP(($AJ130-$AI130-$AH130-$AG130-$AF130-$AE130*(1+EN$3))/$AJ130,'Технический лист'!$I:$J,2,1)-VLOOKUP($AO130,'Технический лист'!$I:$J,2,1)),1+(1-$AU130))</f>
        <v>1</v>
      </c>
      <c r="EO130" s="15">
        <f>MIN(IF($AU130=100%,1,1+VLOOKUP(($AJ130-$AI130-$AH130-$AG130-$AF130-$AE130*(1+EO$3))/$AJ130,'Технический лист'!$I:$J,2,1)-VLOOKUP($AO130,'Технический лист'!$I:$J,2,1)),1+(1-$AU130))</f>
        <v>1</v>
      </c>
      <c r="EP130" s="15">
        <f>MIN(IF($AU130=100%,1,1+VLOOKUP(($AJ130-$AI130-$AH130-$AG130-$AF130-$AE130*(1+EP$3))/$AJ130,'Технический лист'!$I:$J,2,1)-VLOOKUP($AO130,'Технический лист'!$I:$J,2,1)),1+(1-$AU130))</f>
        <v>1</v>
      </c>
      <c r="EQ130" s="15">
        <f>MIN(IF($AU130=100%,1,1+VLOOKUP(($AJ130-$AI130-$AH130-$AG130-$AF130-$AE130*(1+EQ$3))/$AJ130,'Технический лист'!$I:$J,2,1)-VLOOKUP($AO130,'Технический лист'!$I:$J,2,1)),1+(1-$AU130))</f>
        <v>1</v>
      </c>
      <c r="ER130" s="15">
        <f>MIN(IF($AU130=100%,1,1+VLOOKUP(($AJ130-$AI130-$AH130-$AG130-$AF130-$AE130*(1+ER$3))/$AJ130,'Технический лист'!$I:$J,2,1)-VLOOKUP($AO130,'Технический лист'!$I:$J,2,1)),1+(1-$AU130))</f>
        <v>1</v>
      </c>
      <c r="ES130" s="15">
        <f>MIN(IF($AU130=100%,1,1+VLOOKUP(($AJ130-$AI130-$AH130-$AG130-$AF130-$AE130*(1+ES$3))/$AJ130,'Технический лист'!$I:$J,2,1)-VLOOKUP($AO130,'Технический лист'!$I:$J,2,1)),1+(1-$AU130))</f>
        <v>1</v>
      </c>
      <c r="ET130" s="15">
        <f>MIN(IF($AU130=100%,1,1+VLOOKUP(($AJ130-$AI130-$AH130-$AG130-$AF130-$AE130*(1+ET$3))/$AJ130,'Технический лист'!$I:$J,2,1)-VLOOKUP($AO130,'Технический лист'!$I:$J,2,1)),1+(1-$AU130))</f>
        <v>1</v>
      </c>
      <c r="EU130" s="15">
        <f>MIN(IF($AU130=100%,1,1+VLOOKUP(($AJ130-$AI130-$AH130-$AG130-$AF130-$AE130*(1+EU$3))/$AJ130,'Технический лист'!$I:$J,2,1)-VLOOKUP($AO130,'Технический лист'!$I:$J,2,1)),1+(1-$AU130))</f>
        <v>1</v>
      </c>
      <c r="EV130" s="111">
        <v>1</v>
      </c>
      <c r="EW130" s="15">
        <f>MIN(1,MAX(VLOOKUP(($AJ130-$AI130-$AH130-$AG130-$AF130-$AE130*(1+EW$3))/$AJ130,'Технический лист'!$A:$B,2,1),(EV130-0.05)))</f>
        <v>1</v>
      </c>
      <c r="EX130" s="15">
        <f>MIN(1,MAX(VLOOKUP(($AJ130-$AI130-$AH130-$AG130-$AF130-$AE130*(1+EX$3))/$AJ130,'Технический лист'!$A:$B,2,1),(EW130-0.05)))</f>
        <v>1</v>
      </c>
      <c r="EY130" s="15">
        <f>MIN(1,MAX(VLOOKUP(($AJ130-$AI130-$AH130-$AG130-$AF130-$AE130*(1+EY$3))/$AJ130,'Технический лист'!$A:$B,2,1),(EX130-0.05)))</f>
        <v>1</v>
      </c>
      <c r="EZ130" s="15">
        <f>MIN(1,MAX(VLOOKUP(($AJ130-$AI130-$AH130-$AG130-$AF130-$AE130*(1+EZ$3))/$AJ130,'Технический лист'!$A:$B,2,1),(EY130-0.05)))</f>
        <v>1</v>
      </c>
      <c r="FA130" s="15">
        <f>MIN(1,MAX(VLOOKUP(($AJ130-$AI130-$AH130-$AG130-$AF130-$AE130*(1+FA$3))/$AJ130,'Технический лист'!$A:$B,2,1),(EZ130-0.05)))</f>
        <v>1</v>
      </c>
      <c r="FB130" s="15">
        <f>MIN(1,MAX(VLOOKUP(($AJ130-$AI130-$AH130-$AG130-$AF130-$AE130*(1+FB$3))/$AJ130,'Технический лист'!$A:$B,2,1),(FA130-0.05)))</f>
        <v>1</v>
      </c>
      <c r="FC130" s="15">
        <f>MIN(1,MAX(VLOOKUP(($AJ130-$AI130-$AH130-$AG130-$AF130-$AE130*(1+FC$3))/$AJ130,'Технический лист'!$A:$B,2,1),(FB130-0.05)))</f>
        <v>1</v>
      </c>
      <c r="FD130" s="15">
        <f>MIN(1,MAX(VLOOKUP(($AJ130-$AI130-$AH130-$AG130-$AF130-$AE130*(1+FD$3))/$AJ130,'Технический лист'!$A:$B,2,1),(FC130-0.05)))</f>
        <v>1</v>
      </c>
      <c r="FE130" s="15">
        <f>MIN(1,MAX(VLOOKUP(($AJ130-$AI130-$AH130-$AG130-$AF130-$AE130*(1+FE$3))/$AJ130,'Технический лист'!$A:$B,2,1),(FD130-0.05)))</f>
        <v>1</v>
      </c>
      <c r="FF130" s="15">
        <f>MIN(1,MAX(VLOOKUP(($AJ130-$AI130-$AH130-$AG130-$AF130-$AE130*(1+FF$3))/$AJ130,'Технический лист'!$A:$B,2,1),(FE130-0.05)))</f>
        <v>1</v>
      </c>
      <c r="FG130" s="15">
        <f>MIN(1,MAX(VLOOKUP(($AJ130-$AI130-$AH130-$AG130-$AF130-$AE130*(1+FG$3))/$AJ130,'Технический лист'!$A:$B,2,1),(FF130-0.05)))</f>
        <v>1</v>
      </c>
      <c r="FH130" s="15">
        <f>MIN(1,MAX(VLOOKUP(($AJ130-$AI130-$AH130-$AG130-$AF130-$AE130*(1+FH$3))/$AJ130,'Технический лист'!$A:$B,2,1),(FG130-0.05)))</f>
        <v>1</v>
      </c>
      <c r="FI130" s="15">
        <f>MIN(1,MAX(VLOOKUP(($AJ130-$AI130-$AH130-$AG130-$AF130-$AE130*(1+FI$3))/$AJ130,'Технический лист'!$A:$B,2,1),(FH130-0.05)))</f>
        <v>1</v>
      </c>
      <c r="FJ130" s="15">
        <f>MIN(1,MAX(VLOOKUP(($AJ130-$AI130-$AH130-$AG130-$AF130-$AE130*(1+FJ$3))/$AJ130,'Технический лист'!$A:$B,2,1),(FI130-0.05)))</f>
        <v>1</v>
      </c>
      <c r="FK130" s="15">
        <f>MIN(1,MAX(VLOOKUP(($AJ130-$AI130-$AH130-$AG130-$AF130-$AE130*(1+FK$3))/$AJ130,'Технический лист'!$A:$B,2,1),(FJ130-0.05)))</f>
        <v>1</v>
      </c>
      <c r="FL130" s="15">
        <f>MIN(1,MAX(VLOOKUP(($AJ130-$AI130-$AH130-$AG130-$AF130-$AE130*(1+FL$3))/$AJ130,'Технический лист'!$A:$B,2,1),(FK130-0.05)))</f>
        <v>1</v>
      </c>
      <c r="FM130" s="15">
        <f>MIN(1,MAX(VLOOKUP(($AJ130-$AI130-$AH130-$AG130-$AF130-$AE130*(1+FM$3))/$AJ130,'Технический лист'!$A:$B,2,1),(FL130-0.05)))</f>
        <v>1</v>
      </c>
      <c r="FN130" s="15">
        <f>MIN(1,MAX(VLOOKUP(($AJ130-$AI130-$AH130-$AG130-$AF130-$AE130*(1+FN$3))/$AJ130,'Технический лист'!$A:$B,2,1),(FM130-0.05)))</f>
        <v>1</v>
      </c>
      <c r="FO130" s="15">
        <f>MIN(1,MAX(VLOOKUP(($AJ130-$AI130-$AH130-$AG130-$AF130-$AE130*(1+FO$3))/$AJ130,'Технический лист'!$A:$B,2,1),(FN130-0.05)))</f>
        <v>1</v>
      </c>
      <c r="FP130" s="15">
        <f>MIN(1,MAX(VLOOKUP(($AJ130-$AI130-$AH130-$AG130-$AF130-$AE130*(1+FP$3))/$AJ130,'Технический лист'!$A:$B,2,1),(FO130-0.05)))</f>
        <v>1</v>
      </c>
      <c r="FQ130" s="15">
        <f>MIN(1,MAX(VLOOKUP(($AJ130-$AI130-$AH130-$AG130-$AF130-$AE130*(1+FQ$3))/$AJ130,'Технический лист'!$A:$B,2,1),(FP130-0.05)))</f>
        <v>1</v>
      </c>
      <c r="FR130" s="15">
        <f>MIN(1,MAX(VLOOKUP(($AJ130-$AI130-$AH130-$AG130-$AF130-$AE130*(1+FR$3))/$AJ130,'Технический лист'!$A:$B,2,1),(FQ130-0.05)))</f>
        <v>1</v>
      </c>
      <c r="FS130" s="15">
        <f>MIN(1,MAX(VLOOKUP(($AJ130-$AI130-$AH130-$AG130-$AF130-$AE130*(1+FS$3))/$AJ130,'Технический лист'!$A:$B,2,1),(FR130-0.05)))</f>
        <v>1</v>
      </c>
      <c r="FT130" s="15">
        <f>MIN(1,MAX(VLOOKUP(($AJ130-$AI130-$AH130-$AG130-$AF130-$AE130*(1+FT$3))/$AJ130,'Технический лист'!$A:$B,2,1),(FS130-0.05)))</f>
        <v>1</v>
      </c>
      <c r="FU130" s="15">
        <f>MIN(1,MAX(VLOOKUP(($AJ130-$AI130-$AH130-$AG130-$AF130-$AE130*(1+FU$3))/$AJ130,'Технический лист'!$A:$B,2,1),(FT130-0.05)))</f>
        <v>1</v>
      </c>
      <c r="FV130" s="15">
        <f>MIN(1,MAX(VLOOKUP(($AJ130-$AI130-$AH130-$AG130-$AF130-$AE130*(1+FV$3))/$AJ130,'Технический лист'!$A:$B,2,1),(FU130-0.05)))</f>
        <v>1</v>
      </c>
      <c r="FW130" s="15">
        <f>MIN(1,MAX(VLOOKUP(($AJ130-$AI130-$AH130-$AG130-$AF130-$AE130*(1+FW$3))/$AJ130,'Технический лист'!$A:$B,2,1),(FV130-0.05)))</f>
        <v>1</v>
      </c>
      <c r="FX130" s="15">
        <f>MIN(1,MAX(VLOOKUP(($AJ130-$AI130-$AH130-$AG130-$AF130-$AE130*(1+FX$3))/$AJ130,'Технический лист'!$A:$B,2,1),(FW130-0.05)))</f>
        <v>1</v>
      </c>
      <c r="FY130" s="15">
        <f>MIN(1,MAX(VLOOKUP(($AJ130-$AI130-$AH130-$AG130-$AF130-$AE130*(1+FY$3))/$AJ130,'Технический лист'!$A:$B,2,1),(FX130-0.05)))</f>
        <v>1</v>
      </c>
      <c r="FZ130" s="15">
        <f>MIN(1,MAX(VLOOKUP(($AJ130-$AI130-$AH130-$AG130-$AF130-$AE130*(1+FZ$3))/$AJ130,'Технический лист'!$A:$B,2,1),(FY130-0.05)))</f>
        <v>1</v>
      </c>
      <c r="GA130" s="15">
        <f>MIN(1,MAX(VLOOKUP(($AJ130-$AI130-$AH130-$AG130-$AF130-$AE130*(1+GA$3))/$AJ130,'Технический лист'!$A:$B,2,1),(FZ130-0.05)))</f>
        <v>1</v>
      </c>
      <c r="GB130" s="15">
        <f>MIN(1,MAX(VLOOKUP(($AJ130-$AI130-$AH130-$AG130-$AF130-$AE130*(1+GB$3))/$AJ130,'Технический лист'!$A:$B,2,1),(GA130-0.05)))</f>
        <v>1</v>
      </c>
      <c r="GC130" s="15">
        <f>MIN(1,MAX(VLOOKUP(($AJ130-$AI130-$AH130-$AG130-$AF130-$AE130*(1+GC$3))/$AJ130,'Технический лист'!$A:$B,2,1),(GB130-0.05)))</f>
        <v>1</v>
      </c>
      <c r="GD130" s="15">
        <f>MIN(1,MAX(VLOOKUP(($AJ130-$AI130-$AH130-$AG130-$AF130-$AE130*(1+GD$3))/$AJ130,'Технический лист'!$A:$B,2,1),(GC130-0.05)))</f>
        <v>1</v>
      </c>
      <c r="GE130" s="15">
        <f>MIN(1,MAX(VLOOKUP(($AJ130-$AI130-$AH130-$AG130-$AF130-$AE130*(1+GE$3))/$AJ130,'Технический лист'!$A:$B,2,1),(GD130-0.05)))</f>
        <v>1</v>
      </c>
      <c r="GF130" s="15">
        <f>MIN(1,MAX(VLOOKUP(($AJ130-$AI130-$AH130-$AG130-$AF130-$AE130*(1+GF$3))/$AJ130,'Технический лист'!$A:$B,2,1),(GE130-0.05)))</f>
        <v>1</v>
      </c>
      <c r="GG130" s="15">
        <f>MIN(1,MAX(VLOOKUP(($AJ130-$AI130-$AH130-$AG130-$AF130-$AE130*(1+GG$3))/$AJ130,'Технический лист'!$A:$B,2,1),(GF130-0.05)))</f>
        <v>1</v>
      </c>
      <c r="GH130" s="15">
        <f>MIN(1,MAX(VLOOKUP(($AJ130-$AI130-$AH130-$AG130-$AF130-$AE130*(1+GH$3))/$AJ130,'Технический лист'!$A:$B,2,1),(GG130-0.05)))</f>
        <v>1</v>
      </c>
      <c r="GI130" s="15">
        <f>MIN(1,MAX(VLOOKUP(($AJ130-$AI130-$AH130-$AG130-$AF130-$AE130*(1+GI$3))/$AJ130,'Технический лист'!$A:$B,2,1),(GH130-0.05)))</f>
        <v>1</v>
      </c>
      <c r="GJ130" s="15">
        <f>MIN(1,MAX(VLOOKUP(($AJ130-$AI130-$AH130-$AG130-$AF130-$AE130*(1+GJ$3))/$AJ130,'Технический лист'!$A:$B,2,1),(GI130-0.05)))</f>
        <v>1</v>
      </c>
      <c r="GK130" s="15">
        <f>MIN(1,MAX(VLOOKUP(($AJ130-$AI130-$AH130-$AG130-$AF130-$AE130*(1+GK$3))/$AJ130,'Технический лист'!$A:$B,2,1),(GJ130-0.05)))</f>
        <v>1</v>
      </c>
      <c r="GL130" s="15">
        <f>MIN(1,MAX(VLOOKUP(($AJ130-$AI130-$AH130-$AG130-$AF130-$AE130*(1+GL$3))/$AJ130,'Технический лист'!$A:$B,2,1),(GK130-0.05)))</f>
        <v>1</v>
      </c>
      <c r="GM130" s="15">
        <f>MIN(1,MAX(VLOOKUP(($AJ130-$AI130-$AH130-$AG130-$AF130-$AE130*(1+GM$3))/$AJ130,'Технический лист'!$A:$B,2,1),(GL130-0.05)))</f>
        <v>1</v>
      </c>
      <c r="GN130" s="15">
        <f>MIN(1,MAX(VLOOKUP(($AJ130-$AI130-$AH130-$AG130-$AF130-$AE130*(1+GN$3))/$AJ130,'Технический лист'!$A:$B,2,1),(GM130-0.05)))</f>
        <v>1</v>
      </c>
      <c r="GO130" s="15">
        <f>MIN(1,MAX(VLOOKUP(($AJ130-$AI130-$AH130-$AG130-$AF130-$AE130*(1+GO$3))/$AJ130,'Технический лист'!$A:$B,2,1),(GN130-0.05)))</f>
        <v>1</v>
      </c>
      <c r="GP130" s="15">
        <f>MIN(1,MAX(VLOOKUP(($AJ130-$AI130-$AH130-$AG130-$AF130-$AE130*(1+GP$3))/$AJ130,'Технический лист'!$A:$B,2,1),(GO130-0.05)))</f>
        <v>1</v>
      </c>
      <c r="GQ130" s="15">
        <f>MIN(1,MAX(VLOOKUP(($AJ130-$AI130-$AH130-$AG130-$AF130-$AE130*(1+GQ$3))/$AJ130,'Технический лист'!$A:$B,2,1),(GP130-0.05)))</f>
        <v>1</v>
      </c>
      <c r="GR130" s="15">
        <f>MIN(1,MAX(VLOOKUP(($AJ130-$AI130-$AH130-$AG130-$AF130-$AE130*(1+GR$3))/$AJ130,'Технический лист'!$A:$B,2,1),(GQ130-0.05)))</f>
        <v>1</v>
      </c>
      <c r="GS130" s="15">
        <f>MIN(1,MAX(VLOOKUP(($AJ130-$AI130-$AH130-$AG130-$AF130-$AE130*(1+GS$3))/$AJ130,'Технический лист'!$A:$B,2,1),(GR130-0.05)))</f>
        <v>1</v>
      </c>
      <c r="GT130" s="15">
        <f>MIN(1,MAX(VLOOKUP(($AJ130-$AI130-$AH130-$AG130-$AF130-$AE130*(1+GT$3))/$AJ130,'Технический лист'!$A:$B,2,1),(GS130-0.05)))</f>
        <v>1</v>
      </c>
      <c r="GU130" s="15">
        <f>MIN(1,MAX(VLOOKUP(($AJ130-$AI130-$AH130-$AG130-$AF130-$AE130*(1+GU$3))/$AJ130,'Технический лист'!$A:$B,2,1),(GT130-0.05)))</f>
        <v>1</v>
      </c>
      <c r="GV130" s="15">
        <f>MIN(1,MAX(VLOOKUP(($AJ130-$AI130-$AH130-$AG130-$AF130-$AE130*(1+GV$3))/$AJ130,'Технический лист'!$A:$B,2,1),(GU130-0.05)))</f>
        <v>1</v>
      </c>
      <c r="GW130" s="15">
        <f>MIN(1,MAX(VLOOKUP(($AJ130-$AI130-$AH130-$AG130-$AF130-$AE130*(1+GW$3))/$AJ130,'Технический лист'!$A:$B,2,1),(GV130-0.05)))</f>
        <v>1</v>
      </c>
      <c r="GX130" s="15">
        <f>MIN(1,MAX(VLOOKUP(($AJ130-$AI130-$AH130-$AG130-$AF130-$AE130*(1+GX$3))/$AJ130,'Технический лист'!$A:$B,2,1),(GW130-0.05)))</f>
        <v>1</v>
      </c>
      <c r="GY130" s="15">
        <f>MIN(1,MAX(VLOOKUP(($AJ130-$AI130-$AH130-$AG130-$AF130-$AE130*(1+GY$3))/$AJ130,'Технический лист'!$A:$B,2,1),(GX130-0.05)))</f>
        <v>1</v>
      </c>
      <c r="GZ130" s="15">
        <f>MIN(1,MAX(VLOOKUP(($AJ130-$AI130-$AH130-$AG130-$AF130-$AE130*(1+GZ$3))/$AJ130,'Технический лист'!$A:$B,2,1),(GY130-0.05)))</f>
        <v>1</v>
      </c>
      <c r="HA130" s="15">
        <f>MIN(1,MAX(VLOOKUP(($AJ130-$AI130-$AH130-$AG130-$AF130-$AE130*(1+HA$3))/$AJ130,'Технический лист'!$A:$B,2,1),(GZ130-0.05)))</f>
        <v>1</v>
      </c>
      <c r="HB130" s="15">
        <f>MIN(1,MAX(VLOOKUP(($AJ130-$AI130-$AH130-$AG130-$AF130-$AE130*(1+HB$3))/$AJ130,'Технический лист'!$A:$B,2,1),(HA130-0.05)))</f>
        <v>1</v>
      </c>
      <c r="HC130" s="15">
        <f>MIN(1,MAX(VLOOKUP(($AJ130-$AI130-$AH130-$AG130-$AF130-$AE130*(1+HC$3))/$AJ130,'Технический лист'!$A:$B,2,1),(HB130-0.05)))</f>
        <v>1</v>
      </c>
      <c r="HD130" s="15">
        <f>MIN(1,MAX(VLOOKUP(($AJ130-$AI130-$AH130-$AG130-$AF130-$AE130*(1+HD$3))/$AJ130,'Технический лист'!$A:$B,2,1),(HC130-0.05)))</f>
        <v>1</v>
      </c>
      <c r="HE130" s="15">
        <f>MIN(1,MAX(VLOOKUP(($AJ130-$AI130-$AH130-$AG130-$AF130-$AE130*(1+HE$3))/$AJ130,'Технический лист'!$A:$B,2,1),(HD130-0.05)))</f>
        <v>1</v>
      </c>
      <c r="HF130" s="15">
        <f>MIN(1,MAX(VLOOKUP(($AJ130-$AI130-$AH130-$AG130-$AF130-$AE130*(1+HF$3))/$AJ130,'Технический лист'!$A:$B,2,1),(HE130-0.05)))</f>
        <v>1</v>
      </c>
      <c r="HG130" s="15">
        <f>MIN(1,MAX(VLOOKUP(($AJ130-$AI130-$AH130-$AG130-$AF130-$AE130*(1+HG$3))/$AJ130,'Технический лист'!$A:$B,2,1),(HF130-0.05)))</f>
        <v>1</v>
      </c>
      <c r="HH130" s="15">
        <f>MIN(1,MAX(VLOOKUP(($AJ130-$AI130-$AH130-$AG130-$AF130-$AE130*(1+HH$3))/$AJ130,'Технический лист'!$A:$B,2,1),(HG130-0.05)))</f>
        <v>1</v>
      </c>
      <c r="HI130" s="15">
        <f>MIN(1,MAX(VLOOKUP(($AJ130-$AI130-$AH130-$AG130-$AF130-$AE130*(1+HI$3))/$AJ130,'Технический лист'!$A:$B,2,1),(HH130-0.05)))</f>
        <v>1</v>
      </c>
      <c r="HJ130" s="15">
        <f>MIN(1,MAX(VLOOKUP(($AJ130-$AI130-$AH130-$AG130-$AF130-$AE130*(1+HJ$3))/$AJ130,'Технический лист'!$A:$B,2,1),(HI130-0.05)))</f>
        <v>1</v>
      </c>
      <c r="HK130" s="15">
        <f>MIN(1,MAX(VLOOKUP(($AJ130-$AI130-$AH130-$AG130-$AF130-$AE130*(1+HK$3))/$AJ130,'Технический лист'!$A:$B,2,1),(HJ130-0.05)))</f>
        <v>1</v>
      </c>
      <c r="HL130" s="15">
        <f>MIN(1,MAX(VLOOKUP(($AJ130-$AI130-$AH130-$AG130-$AF130-$AE130*(1+HL$3))/$AJ130,'Технический лист'!$A:$B,2,1),(HK130-0.05)))</f>
        <v>1</v>
      </c>
      <c r="HM130" s="15">
        <f>MIN(1,MAX(VLOOKUP(($AJ130-$AI130-$AH130-$AG130-$AF130-$AE130*(1+HM$3))/$AJ130,'Технический лист'!$A:$B,2,1),(HL130-0.05)))</f>
        <v>1</v>
      </c>
      <c r="HN130" s="15">
        <f>MIN(1,MAX(VLOOKUP(($AJ130-$AI130-$AH130-$AG130-$AF130-$AE130*(1+HN$3))/$AJ130,'Технический лист'!$A:$B,2,1),(HM130-0.05)))</f>
        <v>1</v>
      </c>
      <c r="HO130" s="15">
        <f>MIN(1,MAX(VLOOKUP(($AJ130-$AI130-$AH130-$AG130-$AF130-$AE130*(1+HO$3))/$AJ130,'Технический лист'!$A:$B,2,1),(HN130-0.05)))</f>
        <v>1</v>
      </c>
      <c r="HP130" s="15">
        <f>MIN(1,MAX(VLOOKUP(($AJ130-$AI130-$AH130-$AG130-$AF130-$AE130*(1+HP$3))/$AJ130,'Технический лист'!$A:$B,2,1),(HO130-0.05)))</f>
        <v>1</v>
      </c>
      <c r="HQ130" s="15">
        <f>MIN(1,MAX(VLOOKUP(($AJ130-$AI130-$AH130-$AG130-$AF130-$AE130*(1+HQ$3))/$AJ130,'Технический лист'!$A:$B,2,1),(HP130-0.05)))</f>
        <v>1</v>
      </c>
      <c r="HR130" s="15">
        <f>MIN(1,MAX(VLOOKUP(($AJ130-$AI130-$AH130-$AG130-$AF130-$AE130*(1+HR$3))/$AJ130,'Технический лист'!$A:$B,2,1),(HQ130-0.05)))</f>
        <v>1</v>
      </c>
      <c r="HS130" s="15">
        <f>MIN(1,MAX(VLOOKUP(($AJ130-$AI130-$AH130-$AG130-$AF130-$AE130*(1+HS$3))/$AJ130,'Технический лист'!$A:$B,2,1),(HR130-0.05)))</f>
        <v>1</v>
      </c>
      <c r="HT130" s="15">
        <f>MIN(1,MAX(VLOOKUP(($AJ130-$AI130-$AH130-$AG130-$AF130-$AE130*(1+HT$3))/$AJ130,'Технический лист'!$A:$B,2,1),(HS130-0.05)))</f>
        <v>1</v>
      </c>
      <c r="HU130" s="15">
        <f>MIN(1,MAX(VLOOKUP(($AJ130-$AI130-$AH130-$AG130-$AF130-$AE130*(1+HU$3))/$AJ130,'Технический лист'!$A:$B,2,1),(HT130-0.05)))</f>
        <v>1</v>
      </c>
      <c r="HV130" s="15">
        <f>MIN(1,MAX(VLOOKUP(($AJ130-$AI130-$AH130-$AG130-$AF130-$AE130*(1+HV$3))/$AJ130,'Технический лист'!$A:$B,2,1),(HU130-0.05)))</f>
        <v>1</v>
      </c>
      <c r="HW130" s="15">
        <f>MIN(1,MAX(VLOOKUP(($AJ130-$AI130-$AH130-$AG130-$AF130-$AE130*(1+HW$3))/$AJ130,'Технический лист'!$A:$B,2,1),(HV130-0.05)))</f>
        <v>1</v>
      </c>
      <c r="HX130" s="15">
        <f>MIN(1,MAX(VLOOKUP(($AJ130-$AI130-$AH130-$AG130-$AF130-$AE130*(1+HX$3))/$AJ130,'Технический лист'!$A:$B,2,1),(HW130-0.05)))</f>
        <v>1</v>
      </c>
      <c r="HY130" s="15">
        <f>MIN(1,MAX(VLOOKUP(($AJ130-$AI130-$AH130-$AG130-$AF130-$AE130*(1+HY$3))/$AJ130,'Технический лист'!$A:$B,2,1),(HX130-0.05)))</f>
        <v>1</v>
      </c>
      <c r="HZ130" s="15">
        <f>MIN(1,MAX(VLOOKUP(($AJ130-$AI130-$AH130-$AG130-$AF130-$AE130*(1+HZ$3))/$AJ130,'Технический лист'!$A:$B,2,1),(HY130-0.05)))</f>
        <v>1</v>
      </c>
      <c r="IA130" s="15">
        <f>MIN(1,MAX(VLOOKUP(($AJ130-$AI130-$AH130-$AG130-$AF130-$AE130*(1+IA$3))/$AJ130,'Технический лист'!$A:$B,2,1),(HZ130-0.05)))</f>
        <v>1</v>
      </c>
      <c r="IB130" s="15">
        <f>MIN(1,MAX(VLOOKUP(($AJ130-$AI130-$AH130-$AG130-$AF130-$AE130*(1+IB$3))/$AJ130,'Технический лист'!$A:$B,2,1),(IA130-0.05)))</f>
        <v>1</v>
      </c>
      <c r="IC130" s="15">
        <f>MIN(1,MAX(VLOOKUP(($AJ130-$AI130-$AH130-$AG130-$AF130-$AE130*(1+IC$3))/$AJ130,'Технический лист'!$A:$B,2,1),(IB130-0.05)))</f>
        <v>1</v>
      </c>
      <c r="ID130" s="15">
        <f>MIN(1,MAX(VLOOKUP(($AJ130-$AI130-$AH130-$AG130-$AF130-$AE130*(1+ID$3))/$AJ130,'Технический лист'!$A:$B,2,1),(IC130-0.05)))</f>
        <v>1</v>
      </c>
      <c r="IE130" s="15">
        <f>MIN(1,MAX(VLOOKUP(($AJ130-$AI130-$AH130-$AG130-$AF130-$AE130*(1+IE$3))/$AJ130,'Технический лист'!$A:$B,2,1),(ID130-0.05)))</f>
        <v>1</v>
      </c>
      <c r="IF130" s="15">
        <f>MIN(1,MAX(VLOOKUP(($AJ130-$AI130-$AH130-$AG130-$AF130-$AE130*(1+IF$3))/$AJ130,'Технический лист'!$A:$B,2,1),(IE130-0.05)))</f>
        <v>1</v>
      </c>
      <c r="IG130" s="15">
        <f>MIN(1,MAX(VLOOKUP(($AJ130-$AI130-$AH130-$AG130-$AF130-$AE130*(1+IG$3))/$AJ130,'Технический лист'!$A:$B,2,1),(IF130-0.05)))</f>
        <v>1</v>
      </c>
      <c r="IH130" s="15">
        <f>MIN(1,MAX(VLOOKUP(($AJ130-$AI130-$AH130-$AG130-$AF130-$AE130*(1+IH$3))/$AJ130,'Технический лист'!$A:$B,2,1),(IG130-0.05)))</f>
        <v>1</v>
      </c>
      <c r="II130" s="15">
        <f>MIN(1,MAX(VLOOKUP(($AJ130-$AI130-$AH130-$AG130-$AF130-$AE130*(1+II$3))/$AJ130,'Технический лист'!$A:$B,2,1),(IH130-0.05)))</f>
        <v>1</v>
      </c>
      <c r="IJ130" s="15">
        <f>MIN(1,MAX(VLOOKUP(($AJ130-$AI130-$AH130-$AG130-$AF130-$AE130*(1+IJ$3))/$AJ130,'Технический лист'!$A:$B,2,1),(II130-0.05)))</f>
        <v>1</v>
      </c>
      <c r="IK130" s="15">
        <f>MIN(1,MAX(VLOOKUP(($AJ130-$AI130-$AH130-$AG130-$AF130-$AE130*(1+IK$3))/$AJ130,'Технический лист'!$A:$B,2,1),(IJ130-0.05)))</f>
        <v>1</v>
      </c>
      <c r="IL130" s="15">
        <f>MIN(1,MAX(VLOOKUP(($AJ130-$AI130-$AH130-$AG130-$AF130-$AE130*(1+IL$3))/$AJ130,'Технический лист'!$A:$B,2,1),(IK130-0.05)))</f>
        <v>1</v>
      </c>
      <c r="IM130" s="15">
        <f>MIN(1,MAX(VLOOKUP(($AJ130-$AI130-$AH130-$AG130-$AF130-$AE130*(1+IM$3))/$AJ130,'Технический лист'!$A:$B,2,1),(IL130-0.05)))</f>
        <v>1</v>
      </c>
      <c r="IN130" s="15">
        <f>MIN(1,MAX(VLOOKUP(($AJ130-$AI130-$AH130-$AG130-$AF130-$AE130*(1+IN$3))/$AJ130,'Технический лист'!$A:$B,2,1),(IM130-0.05)))</f>
        <v>1</v>
      </c>
      <c r="IO130" s="15">
        <f>MIN(1,MAX(VLOOKUP(($AJ130-$AI130-$AH130-$AG130-$AF130-$AE130*(1+IO$3))/$AJ130,'Технический лист'!$A:$B,2,1),(IN130-0.05)))</f>
        <v>1</v>
      </c>
      <c r="IP130" s="15">
        <f>MIN(1,MAX(VLOOKUP(($AJ130-$AI130-$AH130-$AG130-$AF130-$AE130*(1+IP$3))/$AJ130,'Технический лист'!$A:$B,2,1),(IO130-0.05)))</f>
        <v>1</v>
      </c>
      <c r="IQ130" s="15">
        <f>MIN(1,MAX(VLOOKUP(($AJ130-$AI130-$AH130-$AG130-$AF130-$AE130*(1+IQ$3))/$AJ130,'Технический лист'!$A:$B,2,1),(IP130-0.05)))</f>
        <v>1</v>
      </c>
      <c r="IR130" s="15">
        <f>MIN(1,MAX(VLOOKUP(($AJ130-$AI130-$AH130-$AG130-$AF130-$AE130*(1+IR$3))/$AJ130,'Технический лист'!$A:$B,2,1),(IQ130-0.05)))</f>
        <v>1</v>
      </c>
    </row>
    <row r="131" spans="1:252" ht="29.15">
      <c r="A131" s="89" t="s">
        <v>515</v>
      </c>
      <c r="B131" s="90">
        <v>10</v>
      </c>
      <c r="C131" s="5" t="s">
        <v>66</v>
      </c>
      <c r="D131" s="91">
        <v>31609</v>
      </c>
      <c r="E131" s="91" t="s">
        <v>323</v>
      </c>
      <c r="F131" s="92" t="s">
        <v>70</v>
      </c>
      <c r="G131" s="91" t="s">
        <v>52</v>
      </c>
      <c r="H131" s="91" t="s">
        <v>50</v>
      </c>
      <c r="I131" s="91" t="s">
        <v>111</v>
      </c>
      <c r="J131" s="91" t="s">
        <v>83</v>
      </c>
      <c r="K131" s="91">
        <v>1503</v>
      </c>
      <c r="L131" s="85" t="s">
        <v>64</v>
      </c>
      <c r="M131" s="91" t="s">
        <v>190</v>
      </c>
      <c r="N131" s="91" t="s">
        <v>191</v>
      </c>
      <c r="O131" s="91" t="s">
        <v>192</v>
      </c>
      <c r="P131" s="89" t="s">
        <v>211</v>
      </c>
      <c r="Q131" s="91" t="s">
        <v>291</v>
      </c>
      <c r="R131" s="91" t="s">
        <v>259</v>
      </c>
      <c r="S131" s="82">
        <v>1515</v>
      </c>
      <c r="T131" s="82">
        <v>2276739</v>
      </c>
      <c r="U131" s="81">
        <v>24</v>
      </c>
      <c r="V131" s="81">
        <v>0</v>
      </c>
      <c r="W131" s="82">
        <v>4509428</v>
      </c>
      <c r="X131" s="112">
        <v>62</v>
      </c>
      <c r="Y131" s="112" t="s">
        <v>416</v>
      </c>
      <c r="Z131" s="113">
        <v>7</v>
      </c>
      <c r="AA131" s="113">
        <v>7</v>
      </c>
      <c r="AB131" s="113">
        <v>4</v>
      </c>
      <c r="AC131" s="99">
        <v>3304.74</v>
      </c>
      <c r="AD131" s="99">
        <f t="shared" si="48"/>
        <v>512.49000000000024</v>
      </c>
      <c r="AE131" s="99">
        <v>3817.23</v>
      </c>
      <c r="AF131" s="98">
        <f>(Z131+AA131+AB131)*'Ставки аренды'!$B$3/X131</f>
        <v>203.2258064516129</v>
      </c>
      <c r="AG131" s="94">
        <v>0</v>
      </c>
      <c r="AH131" s="94">
        <v>0</v>
      </c>
      <c r="AI131" s="115">
        <f t="shared" si="51"/>
        <v>10819.654750871778</v>
      </c>
      <c r="AJ131" s="117">
        <f>Цены!$D$10</f>
        <v>18000</v>
      </c>
      <c r="AK131" s="94">
        <f>AJ131/Цены!$B$1</f>
        <v>235.89387396714525</v>
      </c>
      <c r="AL131" s="95">
        <f t="shared" si="24"/>
        <v>4020.4558064516127</v>
      </c>
      <c r="AM131" s="95">
        <f t="shared" si="25"/>
        <v>13979.544193548387</v>
      </c>
      <c r="AN131" s="94">
        <f t="shared" si="39"/>
        <v>14840.110557323391</v>
      </c>
      <c r="AO131" s="118">
        <f t="shared" si="40"/>
        <v>0.17554941348203384</v>
      </c>
      <c r="AP131" s="96">
        <f t="shared" si="26"/>
        <v>0.22335865591397849</v>
      </c>
      <c r="AQ131" s="96">
        <f t="shared" si="27"/>
        <v>0.21206833333333333</v>
      </c>
      <c r="AR131" s="96">
        <f t="shared" si="28"/>
        <v>0.94945204816690265</v>
      </c>
      <c r="AS131" s="122">
        <v>1</v>
      </c>
      <c r="AT131" s="121">
        <f t="shared" si="45"/>
        <v>1515</v>
      </c>
      <c r="AU131" s="83">
        <v>1</v>
      </c>
      <c r="AV131" s="119">
        <f t="shared" si="41"/>
        <v>0.15010121348203381</v>
      </c>
      <c r="AW131" s="120">
        <f t="shared" si="42"/>
        <v>0.24880685591397853</v>
      </c>
      <c r="AX131" s="120">
        <f t="shared" si="43"/>
        <v>0.23751653333333339</v>
      </c>
      <c r="AY131" s="120">
        <f t="shared" si="44"/>
        <v>0.95462214037804238</v>
      </c>
      <c r="AZ131" s="15">
        <f>MIN(IF($AU131=100%,1,1+VLOOKUP(($AJ131-$AI131-$AH131-$AG131-$AF131-$AE131*(1+AZ$3))/$AJ131,'Технический лист'!$I:$J,2,1)-VLOOKUP($AO131,'Технический лист'!$I:$J,2,1)),1+(1-$AU131))</f>
        <v>1</v>
      </c>
      <c r="BA131" s="15">
        <f>MIN(IF($AU131=100%,1,1+VLOOKUP(($AJ131-$AI131-$AH131-$AG131-$AF131-$AE131*(1+BA$3))/$AJ131,'Технический лист'!$I:$J,2,1)-VLOOKUP($AO131,'Технический лист'!$I:$J,2,1)),1+(1-$AU131))</f>
        <v>1</v>
      </c>
      <c r="BB131" s="15">
        <f>MIN(IF($AU131=100%,1,1+VLOOKUP(($AJ131-$AI131-$AH131-$AG131-$AF131-$AE131*(1+BB$3))/$AJ131,'Технический лист'!$I:$J,2,1)-VLOOKUP($AO131,'Технический лист'!$I:$J,2,1)),1+(1-$AU131))</f>
        <v>1</v>
      </c>
      <c r="BC131" s="15">
        <f>MIN(IF($AU131=100%,1,1+VLOOKUP(($AJ131-$AI131-$AH131-$AG131-$AF131-$AE131*(1+BC$3))/$AJ131,'Технический лист'!$I:$J,2,1)-VLOOKUP($AO131,'Технический лист'!$I:$J,2,1)),1+(1-$AU131))</f>
        <v>1</v>
      </c>
      <c r="BD131" s="15">
        <f>MIN(IF($AU131=100%,1,1+VLOOKUP(($AJ131-$AI131-$AH131-$AG131-$AF131-$AE131*(1+BD$3))/$AJ131,'Технический лист'!$I:$J,2,1)-VLOOKUP($AO131,'Технический лист'!$I:$J,2,1)),1+(1-$AU131))</f>
        <v>1</v>
      </c>
      <c r="BE131" s="15">
        <f>MIN(IF($AU131=100%,1,1+VLOOKUP(($AJ131-$AI131-$AH131-$AG131-$AF131-$AE131*(1+BE$3))/$AJ131,'Технический лист'!$I:$J,2,1)-VLOOKUP($AO131,'Технический лист'!$I:$J,2,1)),1+(1-$AU131))</f>
        <v>1</v>
      </c>
      <c r="BF131" s="15">
        <f>MIN(IF($AU131=100%,1,1+VLOOKUP(($AJ131-$AI131-$AH131-$AG131-$AF131-$AE131*(1+BF$3))/$AJ131,'Технический лист'!$I:$J,2,1)-VLOOKUP($AO131,'Технический лист'!$I:$J,2,1)),1+(1-$AU131))</f>
        <v>1</v>
      </c>
      <c r="BG131" s="15">
        <f>MIN(IF($AU131=100%,1,1+VLOOKUP(($AJ131-$AI131-$AH131-$AG131-$AF131-$AE131*(1+BG$3))/$AJ131,'Технический лист'!$I:$J,2,1)-VLOOKUP($AO131,'Технический лист'!$I:$J,2,1)),1+(1-$AU131))</f>
        <v>1</v>
      </c>
      <c r="BH131" s="15">
        <f>MIN(IF($AU131=100%,1,1+VLOOKUP(($AJ131-$AI131-$AH131-$AG131-$AF131-$AE131*(1+BH$3))/$AJ131,'Технический лист'!$I:$J,2,1)-VLOOKUP($AO131,'Технический лист'!$I:$J,2,1)),1+(1-$AU131))</f>
        <v>1</v>
      </c>
      <c r="BI131" s="15">
        <f>MIN(IF($AU131=100%,1,1+VLOOKUP(($AJ131-$AI131-$AH131-$AG131-$AF131-$AE131*(1+BI$3))/$AJ131,'Технический лист'!$I:$J,2,1)-VLOOKUP($AO131,'Технический лист'!$I:$J,2,1)),1+(1-$AU131))</f>
        <v>1</v>
      </c>
      <c r="BJ131" s="15">
        <f>MIN(IF($AU131=100%,1,1+VLOOKUP(($AJ131-$AI131-$AH131-$AG131-$AF131-$AE131*(1+BJ$3))/$AJ131,'Технический лист'!$I:$J,2,1)-VLOOKUP($AO131,'Технический лист'!$I:$J,2,1)),1+(1-$AU131))</f>
        <v>1</v>
      </c>
      <c r="BK131" s="15">
        <f>MIN(IF($AU131=100%,1,1+VLOOKUP(($AJ131-$AI131-$AH131-$AG131-$AF131-$AE131*(1+BK$3))/$AJ131,'Технический лист'!$I:$J,2,1)-VLOOKUP($AO131,'Технический лист'!$I:$J,2,1)),1+(1-$AU131))</f>
        <v>1</v>
      </c>
      <c r="BL131" s="15">
        <f>MIN(IF($AU131=100%,1,1+VLOOKUP(($AJ131-$AI131-$AH131-$AG131-$AF131-$AE131*(1+BL$3))/$AJ131,'Технический лист'!$I:$J,2,1)-VLOOKUP($AO131,'Технический лист'!$I:$J,2,1)),1+(1-$AU131))</f>
        <v>1</v>
      </c>
      <c r="BM131" s="15">
        <f>MIN(IF($AU131=100%,1,1+VLOOKUP(($AJ131-$AI131-$AH131-$AG131-$AF131-$AE131*(1+BM$3))/$AJ131,'Технический лист'!$I:$J,2,1)-VLOOKUP($AO131,'Технический лист'!$I:$J,2,1)),1+(1-$AU131))</f>
        <v>1</v>
      </c>
      <c r="BN131" s="15">
        <f>MIN(IF($AU131=100%,1,1+VLOOKUP(($AJ131-$AI131-$AH131-$AG131-$AF131-$AE131*(1+BN$3))/$AJ131,'Технический лист'!$I:$J,2,1)-VLOOKUP($AO131,'Технический лист'!$I:$J,2,1)),1+(1-$AU131))</f>
        <v>1</v>
      </c>
      <c r="BO131" s="15">
        <f>MIN(IF($AU131=100%,1,1+VLOOKUP(($AJ131-$AI131-$AH131-$AG131-$AF131-$AE131*(1+BO$3))/$AJ131,'Технический лист'!$I:$J,2,1)-VLOOKUP($AO131,'Технический лист'!$I:$J,2,1)),1+(1-$AU131))</f>
        <v>1</v>
      </c>
      <c r="BP131" s="15">
        <f>MIN(IF($AU131=100%,1,1+VLOOKUP(($AJ131-$AI131-$AH131-$AG131-$AF131-$AE131*(1+BP$3))/$AJ131,'Технический лист'!$I:$J,2,1)-VLOOKUP($AO131,'Технический лист'!$I:$J,2,1)),1+(1-$AU131))</f>
        <v>1</v>
      </c>
      <c r="BQ131" s="15">
        <f>MIN(IF($AU131=100%,1,1+VLOOKUP(($AJ131-$AI131-$AH131-$AG131-$AF131-$AE131*(1+BQ$3))/$AJ131,'Технический лист'!$I:$J,2,1)-VLOOKUP($AO131,'Технический лист'!$I:$J,2,1)),1+(1-$AU131))</f>
        <v>1</v>
      </c>
      <c r="BR131" s="15">
        <f>MIN(IF($AU131=100%,1,1+VLOOKUP(($AJ131-$AI131-$AH131-$AG131-$AF131-$AE131*(1+BR$3))/$AJ131,'Технический лист'!$I:$J,2,1)-VLOOKUP($AO131,'Технический лист'!$I:$J,2,1)),1+(1-$AU131))</f>
        <v>1</v>
      </c>
      <c r="BS131" s="15">
        <f>MIN(IF($AU131=100%,1,1+VLOOKUP(($AJ131-$AI131-$AH131-$AG131-$AF131-$AE131*(1+BS$3))/$AJ131,'Технический лист'!$I:$J,2,1)-VLOOKUP($AO131,'Технический лист'!$I:$J,2,1)),1+(1-$AU131))</f>
        <v>1</v>
      </c>
      <c r="BT131" s="15">
        <f>MIN(IF($AU131=100%,1,1+VLOOKUP(($AJ131-$AI131-$AH131-$AG131-$AF131-$AE131*(1+BT$3))/$AJ131,'Технический лист'!$I:$J,2,1)-VLOOKUP($AO131,'Технический лист'!$I:$J,2,1)),1+(1-$AU131))</f>
        <v>1</v>
      </c>
      <c r="BU131" s="15">
        <f>MIN(IF($AU131=100%,1,1+VLOOKUP(($AJ131-$AI131-$AH131-$AG131-$AF131-$AE131*(1+BU$3))/$AJ131,'Технический лист'!$I:$J,2,1)-VLOOKUP($AO131,'Технический лист'!$I:$J,2,1)),1+(1-$AU131))</f>
        <v>1</v>
      </c>
      <c r="BV131" s="15">
        <f>MIN(IF($AU131=100%,1,1+VLOOKUP(($AJ131-$AI131-$AH131-$AG131-$AF131-$AE131*(1+BV$3))/$AJ131,'Технический лист'!$I:$J,2,1)-VLOOKUP($AO131,'Технический лист'!$I:$J,2,1)),1+(1-$AU131))</f>
        <v>1</v>
      </c>
      <c r="BW131" s="15">
        <f>MIN(IF($AU131=100%,1,1+VLOOKUP(($AJ131-$AI131-$AH131-$AG131-$AF131-$AE131*(1+BW$3))/$AJ131,'Технический лист'!$I:$J,2,1)-VLOOKUP($AO131,'Технический лист'!$I:$J,2,1)),1+(1-$AU131))</f>
        <v>1</v>
      </c>
      <c r="BX131" s="15">
        <f>MIN(IF($AU131=100%,1,1+VLOOKUP(($AJ131-$AI131-$AH131-$AG131-$AF131-$AE131*(1+BX$3))/$AJ131,'Технический лист'!$I:$J,2,1)-VLOOKUP($AO131,'Технический лист'!$I:$J,2,1)),1+(1-$AU131))</f>
        <v>1</v>
      </c>
      <c r="BY131" s="15">
        <f>MIN(IF($AU131=100%,1,1+VLOOKUP(($AJ131-$AI131-$AH131-$AG131-$AF131-$AE131*(1+BY$3))/$AJ131,'Технический лист'!$I:$J,2,1)-VLOOKUP($AO131,'Технический лист'!$I:$J,2,1)),1+(1-$AU131))</f>
        <v>1</v>
      </c>
      <c r="BZ131" s="15">
        <f>MIN(IF($AU131=100%,1,1+VLOOKUP(($AJ131-$AI131-$AH131-$AG131-$AF131-$AE131*(1+BZ$3))/$AJ131,'Технический лист'!$I:$J,2,1)-VLOOKUP($AO131,'Технический лист'!$I:$J,2,1)),1+(1-$AU131))</f>
        <v>1</v>
      </c>
      <c r="CA131" s="15">
        <f>MIN(IF($AU131=100%,1,1+VLOOKUP(($AJ131-$AI131-$AH131-$AG131-$AF131-$AE131*(1+CA$3))/$AJ131,'Технический лист'!$I:$J,2,1)-VLOOKUP($AO131,'Технический лист'!$I:$J,2,1)),1+(1-$AU131))</f>
        <v>1</v>
      </c>
      <c r="CB131" s="15">
        <f>MIN(IF($AU131=100%,1,1+VLOOKUP(($AJ131-$AI131-$AH131-$AG131-$AF131-$AE131*(1+CB$3))/$AJ131,'Технический лист'!$I:$J,2,1)-VLOOKUP($AO131,'Технический лист'!$I:$J,2,1)),1+(1-$AU131))</f>
        <v>1</v>
      </c>
      <c r="CC131" s="15">
        <f>MIN(IF($AU131=100%,1,1+VLOOKUP(($AJ131-$AI131-$AH131-$AG131-$AF131-$AE131*(1+CC$3))/$AJ131,'Технический лист'!$I:$J,2,1)-VLOOKUP($AO131,'Технический лист'!$I:$J,2,1)),1+(1-$AU131))</f>
        <v>1</v>
      </c>
      <c r="CD131" s="15">
        <f>MIN(IF($AU131=100%,1,1+VLOOKUP(($AJ131-$AI131-$AH131-$AG131-$AF131-$AE131*(1+CD$3))/$AJ131,'Технический лист'!$I:$J,2,1)-VLOOKUP($AO131,'Технический лист'!$I:$J,2,1)),1+(1-$AU131))</f>
        <v>1</v>
      </c>
      <c r="CE131" s="15">
        <f>MIN(IF($AU131=100%,1,1+VLOOKUP(($AJ131-$AI131-$AH131-$AG131-$AF131-$AE131*(1+CE$3))/$AJ131,'Технический лист'!$I:$J,2,1)-VLOOKUP($AO131,'Технический лист'!$I:$J,2,1)),1+(1-$AU131))</f>
        <v>1</v>
      </c>
      <c r="CF131" s="15">
        <f>MIN(IF($AU131=100%,1,1+VLOOKUP(($AJ131-$AI131-$AH131-$AG131-$AF131-$AE131*(1+CF$3))/$AJ131,'Технический лист'!$I:$J,2,1)-VLOOKUP($AO131,'Технический лист'!$I:$J,2,1)),1+(1-$AU131))</f>
        <v>1</v>
      </c>
      <c r="CG131" s="15">
        <f>MIN(IF($AU131=100%,1,1+VLOOKUP(($AJ131-$AI131-$AH131-$AG131-$AF131-$AE131*(1+CG$3))/$AJ131,'Технический лист'!$I:$J,2,1)-VLOOKUP($AO131,'Технический лист'!$I:$J,2,1)),1+(1-$AU131))</f>
        <v>1</v>
      </c>
      <c r="CH131" s="15">
        <f>MIN(IF($AU131=100%,1,1+VLOOKUP(($AJ131-$AI131-$AH131-$AG131-$AF131-$AE131*(1+CH$3))/$AJ131,'Технический лист'!$I:$J,2,1)-VLOOKUP($AO131,'Технический лист'!$I:$J,2,1)),1+(1-$AU131))</f>
        <v>1</v>
      </c>
      <c r="CI131" s="15">
        <f>MIN(IF($AU131=100%,1,1+VLOOKUP(($AJ131-$AI131-$AH131-$AG131-$AF131-$AE131*(1+CI$3))/$AJ131,'Технический лист'!$I:$J,2,1)-VLOOKUP($AO131,'Технический лист'!$I:$J,2,1)),1+(1-$AU131))</f>
        <v>1</v>
      </c>
      <c r="CJ131" s="15">
        <f>MIN(IF($AU131=100%,1,1+VLOOKUP(($AJ131-$AI131-$AH131-$AG131-$AF131-$AE131*(1+CJ$3))/$AJ131,'Технический лист'!$I:$J,2,1)-VLOOKUP($AO131,'Технический лист'!$I:$J,2,1)),1+(1-$AU131))</f>
        <v>1</v>
      </c>
      <c r="CK131" s="15">
        <f>MIN(IF($AU131=100%,1,1+VLOOKUP(($AJ131-$AI131-$AH131-$AG131-$AF131-$AE131*(1+CK$3))/$AJ131,'Технический лист'!$I:$J,2,1)-VLOOKUP($AO131,'Технический лист'!$I:$J,2,1)),1+(1-$AU131))</f>
        <v>1</v>
      </c>
      <c r="CL131" s="15">
        <f>MIN(IF($AU131=100%,1,1+VLOOKUP(($AJ131-$AI131-$AH131-$AG131-$AF131-$AE131*(1+CL$3))/$AJ131,'Технический лист'!$I:$J,2,1)-VLOOKUP($AO131,'Технический лист'!$I:$J,2,1)),1+(1-$AU131))</f>
        <v>1</v>
      </c>
      <c r="CM131" s="15">
        <f>MIN(IF($AU131=100%,1,1+VLOOKUP(($AJ131-$AI131-$AH131-$AG131-$AF131-$AE131*(1+CM$3))/$AJ131,'Технический лист'!$I:$J,2,1)-VLOOKUP($AO131,'Технический лист'!$I:$J,2,1)),1+(1-$AU131))</f>
        <v>1</v>
      </c>
      <c r="CN131" s="15">
        <f>MIN(IF($AU131=100%,1,1+VLOOKUP(($AJ131-$AI131-$AH131-$AG131-$AF131-$AE131*(1+CN$3))/$AJ131,'Технический лист'!$I:$J,2,1)-VLOOKUP($AO131,'Технический лист'!$I:$J,2,1)),1+(1-$AU131))</f>
        <v>1</v>
      </c>
      <c r="CO131" s="15">
        <f>MIN(IF($AU131=100%,1,1+VLOOKUP(($AJ131-$AI131-$AH131-$AG131-$AF131-$AE131*(1+CO$3))/$AJ131,'Технический лист'!$I:$J,2,1)-VLOOKUP($AO131,'Технический лист'!$I:$J,2,1)),1+(1-$AU131))</f>
        <v>1</v>
      </c>
      <c r="CP131" s="15">
        <f>MIN(IF($AU131=100%,1,1+VLOOKUP(($AJ131-$AI131-$AH131-$AG131-$AF131-$AE131*(1+CP$3))/$AJ131,'Технический лист'!$I:$J,2,1)-VLOOKUP($AO131,'Технический лист'!$I:$J,2,1)),1+(1-$AU131))</f>
        <v>1</v>
      </c>
      <c r="CQ131" s="15">
        <f>MIN(IF($AU131=100%,1,1+VLOOKUP(($AJ131-$AI131-$AH131-$AG131-$AF131-$AE131*(1+CQ$3))/$AJ131,'Технический лист'!$I:$J,2,1)-VLOOKUP($AO131,'Технический лист'!$I:$J,2,1)),1+(1-$AU131))</f>
        <v>1</v>
      </c>
      <c r="CR131" s="15">
        <f>MIN(IF($AU131=100%,1,1+VLOOKUP(($AJ131-$AI131-$AH131-$AG131-$AF131-$AE131*(1+CR$3))/$AJ131,'Технический лист'!$I:$J,2,1)-VLOOKUP($AO131,'Технический лист'!$I:$J,2,1)),1+(1-$AU131))</f>
        <v>1</v>
      </c>
      <c r="CS131" s="15">
        <f>MIN(IF($AU131=100%,1,1+VLOOKUP(($AJ131-$AI131-$AH131-$AG131-$AF131-$AE131*(1+CS$3))/$AJ131,'Технический лист'!$I:$J,2,1)-VLOOKUP($AO131,'Технический лист'!$I:$J,2,1)),1+(1-$AU131))</f>
        <v>1</v>
      </c>
      <c r="CT131" s="15">
        <f>MIN(IF($AU131=100%,1,1+VLOOKUP(($AJ131-$AI131-$AH131-$AG131-$AF131-$AE131*(1+CT$3))/$AJ131,'Технический лист'!$I:$J,2,1)-VLOOKUP($AO131,'Технический лист'!$I:$J,2,1)),1+(1-$AU131))</f>
        <v>1</v>
      </c>
      <c r="CU131" s="15">
        <f>MIN(IF($AU131=100%,1,1+VLOOKUP(($AJ131-$AI131-$AH131-$AG131-$AF131-$AE131*(1+CU$3))/$AJ131,'Технический лист'!$I:$J,2,1)-VLOOKUP($AO131,'Технический лист'!$I:$J,2,1)),1+(1-$AU131))</f>
        <v>1</v>
      </c>
      <c r="CV131" s="15">
        <f>MIN(IF($AU131=100%,1,1+VLOOKUP(($AJ131-$AI131-$AH131-$AG131-$AF131-$AE131*(1+CV$3))/$AJ131,'Технический лист'!$I:$J,2,1)-VLOOKUP($AO131,'Технический лист'!$I:$J,2,1)),1+(1-$AU131))</f>
        <v>1</v>
      </c>
      <c r="CW131" s="15">
        <f>MIN(IF($AU131=100%,1,1+VLOOKUP(($AJ131-$AI131-$AH131-$AG131-$AF131-$AE131*(1+CW$3))/$AJ131,'Технический лист'!$I:$J,2,1)-VLOOKUP($AO131,'Технический лист'!$I:$J,2,1)),1+(1-$AU131))</f>
        <v>1</v>
      </c>
      <c r="CX131" s="15">
        <f>MIN(IF($AU131=100%,1,1+VLOOKUP(($AJ131-$AI131-$AH131-$AG131-$AF131-$AE131*(1+CX$3))/$AJ131,'Технический лист'!$I:$J,2,1)-VLOOKUP($AO131,'Технический лист'!$I:$J,2,1)),1+(1-$AU131))</f>
        <v>1</v>
      </c>
      <c r="CY131" s="15">
        <f>MIN(IF($AU131=100%,1,1+VLOOKUP(($AJ131-$AI131-$AH131-$AG131-$AF131-$AE131*(1+CY$3))/$AJ131,'Технический лист'!$I:$J,2,1)-VLOOKUP($AO131,'Технический лист'!$I:$J,2,1)),1+(1-$AU131))</f>
        <v>1</v>
      </c>
      <c r="CZ131" s="15">
        <f>MIN(IF($AU131=100%,1,1+VLOOKUP(($AJ131-$AI131-$AH131-$AG131-$AF131-$AE131*(1+CZ$3))/$AJ131,'Технический лист'!$I:$J,2,1)-VLOOKUP($AO131,'Технический лист'!$I:$J,2,1)),1+(1-$AU131))</f>
        <v>1</v>
      </c>
      <c r="DA131" s="15">
        <f>MIN(IF($AU131=100%,1,1+VLOOKUP(($AJ131-$AI131-$AH131-$AG131-$AF131-$AE131*(1+DA$3))/$AJ131,'Технический лист'!$I:$J,2,1)-VLOOKUP($AO131,'Технический лист'!$I:$J,2,1)),1+(1-$AU131))</f>
        <v>1</v>
      </c>
      <c r="DB131" s="15">
        <f>MIN(IF($AU131=100%,1,1+VLOOKUP(($AJ131-$AI131-$AH131-$AG131-$AF131-$AE131*(1+DB$3))/$AJ131,'Технический лист'!$I:$J,2,1)-VLOOKUP($AO131,'Технический лист'!$I:$J,2,1)),1+(1-$AU131))</f>
        <v>1</v>
      </c>
      <c r="DC131" s="15">
        <f>MIN(IF($AU131=100%,1,1+VLOOKUP(($AJ131-$AI131-$AH131-$AG131-$AF131-$AE131*(1+DC$3))/$AJ131,'Технический лист'!$I:$J,2,1)-VLOOKUP($AO131,'Технический лист'!$I:$J,2,1)),1+(1-$AU131))</f>
        <v>1</v>
      </c>
      <c r="DD131" s="15">
        <f>MIN(IF($AU131=100%,1,1+VLOOKUP(($AJ131-$AI131-$AH131-$AG131-$AF131-$AE131*(1+DD$3))/$AJ131,'Технический лист'!$I:$J,2,1)-VLOOKUP($AO131,'Технический лист'!$I:$J,2,1)),1+(1-$AU131))</f>
        <v>1</v>
      </c>
      <c r="DE131" s="15">
        <f>MIN(IF($AU131=100%,1,1+VLOOKUP(($AJ131-$AI131-$AH131-$AG131-$AF131-$AE131*(1+DE$3))/$AJ131,'Технический лист'!$I:$J,2,1)-VLOOKUP($AO131,'Технический лист'!$I:$J,2,1)),1+(1-$AU131))</f>
        <v>1</v>
      </c>
      <c r="DF131" s="15">
        <f>MIN(IF($AU131=100%,1,1+VLOOKUP(($AJ131-$AI131-$AH131-$AG131-$AF131-$AE131*(1+DF$3))/$AJ131,'Технический лист'!$I:$J,2,1)-VLOOKUP($AO131,'Технический лист'!$I:$J,2,1)),1+(1-$AU131))</f>
        <v>1</v>
      </c>
      <c r="DG131" s="15">
        <f>MIN(IF($AU131=100%,1,1+VLOOKUP(($AJ131-$AI131-$AH131-$AG131-$AF131-$AE131*(1+DG$3))/$AJ131,'Технический лист'!$I:$J,2,1)-VLOOKUP($AO131,'Технический лист'!$I:$J,2,1)),1+(1-$AU131))</f>
        <v>1</v>
      </c>
      <c r="DH131" s="15">
        <f>MIN(IF($AU131=100%,1,1+VLOOKUP(($AJ131-$AI131-$AH131-$AG131-$AF131-$AE131*(1+DH$3))/$AJ131,'Технический лист'!$I:$J,2,1)-VLOOKUP($AO131,'Технический лист'!$I:$J,2,1)),1+(1-$AU131))</f>
        <v>1</v>
      </c>
      <c r="DI131" s="15">
        <f>MIN(IF($AU131=100%,1,1+VLOOKUP(($AJ131-$AI131-$AH131-$AG131-$AF131-$AE131*(1+DI$3))/$AJ131,'Технический лист'!$I:$J,2,1)-VLOOKUP($AO131,'Технический лист'!$I:$J,2,1)),1+(1-$AU131))</f>
        <v>1</v>
      </c>
      <c r="DJ131" s="15">
        <f>MIN(IF($AU131=100%,1,1+VLOOKUP(($AJ131-$AI131-$AH131-$AG131-$AF131-$AE131*(1+DJ$3))/$AJ131,'Технический лист'!$I:$J,2,1)-VLOOKUP($AO131,'Технический лист'!$I:$J,2,1)),1+(1-$AU131))</f>
        <v>1</v>
      </c>
      <c r="DK131" s="15">
        <f>MIN(IF($AU131=100%,1,1+VLOOKUP(($AJ131-$AI131-$AH131-$AG131-$AF131-$AE131*(1+DK$3))/$AJ131,'Технический лист'!$I:$J,2,1)-VLOOKUP($AO131,'Технический лист'!$I:$J,2,1)),1+(1-$AU131))</f>
        <v>1</v>
      </c>
      <c r="DL131" s="15">
        <f>MIN(IF($AU131=100%,1,1+VLOOKUP(($AJ131-$AI131-$AH131-$AG131-$AF131-$AE131*(1+DL$3))/$AJ131,'Технический лист'!$I:$J,2,1)-VLOOKUP($AO131,'Технический лист'!$I:$J,2,1)),1+(1-$AU131))</f>
        <v>1</v>
      </c>
      <c r="DM131" s="15">
        <f>MIN(IF($AU131=100%,1,1+VLOOKUP(($AJ131-$AI131-$AH131-$AG131-$AF131-$AE131*(1+DM$3))/$AJ131,'Технический лист'!$I:$J,2,1)-VLOOKUP($AO131,'Технический лист'!$I:$J,2,1)),1+(1-$AU131))</f>
        <v>1</v>
      </c>
      <c r="DN131" s="15">
        <f>MIN(IF($AU131=100%,1,1+VLOOKUP(($AJ131-$AI131-$AH131-$AG131-$AF131-$AE131*(1+DN$3))/$AJ131,'Технический лист'!$I:$J,2,1)-VLOOKUP($AO131,'Технический лист'!$I:$J,2,1)),1+(1-$AU131))</f>
        <v>1</v>
      </c>
      <c r="DO131" s="15">
        <f>MIN(IF($AU131=100%,1,1+VLOOKUP(($AJ131-$AI131-$AH131-$AG131-$AF131-$AE131*(1+DO$3))/$AJ131,'Технический лист'!$I:$J,2,1)-VLOOKUP($AO131,'Технический лист'!$I:$J,2,1)),1+(1-$AU131))</f>
        <v>1</v>
      </c>
      <c r="DP131" s="15">
        <f>MIN(IF($AU131=100%,1,1+VLOOKUP(($AJ131-$AI131-$AH131-$AG131-$AF131-$AE131*(1+DP$3))/$AJ131,'Технический лист'!$I:$J,2,1)-VLOOKUP($AO131,'Технический лист'!$I:$J,2,1)),1+(1-$AU131))</f>
        <v>1</v>
      </c>
      <c r="DQ131" s="15">
        <f>MIN(IF($AU131=100%,1,1+VLOOKUP(($AJ131-$AI131-$AH131-$AG131-$AF131-$AE131*(1+DQ$3))/$AJ131,'Технический лист'!$I:$J,2,1)-VLOOKUP($AO131,'Технический лист'!$I:$J,2,1)),1+(1-$AU131))</f>
        <v>1</v>
      </c>
      <c r="DR131" s="15">
        <f>MIN(IF($AU131=100%,1,1+VLOOKUP(($AJ131-$AI131-$AH131-$AG131-$AF131-$AE131*(1+DR$3))/$AJ131,'Технический лист'!$I:$J,2,1)-VLOOKUP($AO131,'Технический лист'!$I:$J,2,1)),1+(1-$AU131))</f>
        <v>1</v>
      </c>
      <c r="DS131" s="15">
        <f>MIN(IF($AU131=100%,1,1+VLOOKUP(($AJ131-$AI131-$AH131-$AG131-$AF131-$AE131*(1+DS$3))/$AJ131,'Технический лист'!$I:$J,2,1)-VLOOKUP($AO131,'Технический лист'!$I:$J,2,1)),1+(1-$AU131))</f>
        <v>1</v>
      </c>
      <c r="DT131" s="15">
        <f>MIN(IF($AU131=100%,1,1+VLOOKUP(($AJ131-$AI131-$AH131-$AG131-$AF131-$AE131*(1+DT$3))/$AJ131,'Технический лист'!$I:$J,2,1)-VLOOKUP($AO131,'Технический лист'!$I:$J,2,1)),1+(1-$AU131))</f>
        <v>1</v>
      </c>
      <c r="DU131" s="15">
        <f>MIN(IF($AU131=100%,1,1+VLOOKUP(($AJ131-$AI131-$AH131-$AG131-$AF131-$AE131*(1+DU$3))/$AJ131,'Технический лист'!$I:$J,2,1)-VLOOKUP($AO131,'Технический лист'!$I:$J,2,1)),1+(1-$AU131))</f>
        <v>1</v>
      </c>
      <c r="DV131" s="15">
        <f>MIN(IF($AU131=100%,1,1+VLOOKUP(($AJ131-$AI131-$AH131-$AG131-$AF131-$AE131*(1+DV$3))/$AJ131,'Технический лист'!$I:$J,2,1)-VLOOKUP($AO131,'Технический лист'!$I:$J,2,1)),1+(1-$AU131))</f>
        <v>1</v>
      </c>
      <c r="DW131" s="15">
        <f>MIN(IF($AU131=100%,1,1+VLOOKUP(($AJ131-$AI131-$AH131-$AG131-$AF131-$AE131*(1+DW$3))/$AJ131,'Технический лист'!$I:$J,2,1)-VLOOKUP($AO131,'Технический лист'!$I:$J,2,1)),1+(1-$AU131))</f>
        <v>1</v>
      </c>
      <c r="DX131" s="15">
        <f>MIN(IF($AU131=100%,1,1+VLOOKUP(($AJ131-$AI131-$AH131-$AG131-$AF131-$AE131*(1+DX$3))/$AJ131,'Технический лист'!$I:$J,2,1)-VLOOKUP($AO131,'Технический лист'!$I:$J,2,1)),1+(1-$AU131))</f>
        <v>1</v>
      </c>
      <c r="DY131" s="15">
        <f>MIN(IF($AU131=100%,1,1+VLOOKUP(($AJ131-$AI131-$AH131-$AG131-$AF131-$AE131*(1+DY$3))/$AJ131,'Технический лист'!$I:$J,2,1)-VLOOKUP($AO131,'Технический лист'!$I:$J,2,1)),1+(1-$AU131))</f>
        <v>1</v>
      </c>
      <c r="DZ131" s="15">
        <f>MIN(IF($AU131=100%,1,1+VLOOKUP(($AJ131-$AI131-$AH131-$AG131-$AF131-$AE131*(1+DZ$3))/$AJ131,'Технический лист'!$I:$J,2,1)-VLOOKUP($AO131,'Технический лист'!$I:$J,2,1)),1+(1-$AU131))</f>
        <v>1</v>
      </c>
      <c r="EA131" s="15">
        <f>MIN(IF($AU131=100%,1,1+VLOOKUP(($AJ131-$AI131-$AH131-$AG131-$AF131-$AE131*(1+EA$3))/$AJ131,'Технический лист'!$I:$J,2,1)-VLOOKUP($AO131,'Технический лист'!$I:$J,2,1)),1+(1-$AU131))</f>
        <v>1</v>
      </c>
      <c r="EB131" s="15">
        <f>MIN(IF($AU131=100%,1,1+VLOOKUP(($AJ131-$AI131-$AH131-$AG131-$AF131-$AE131*(1+EB$3))/$AJ131,'Технический лист'!$I:$J,2,1)-VLOOKUP($AO131,'Технический лист'!$I:$J,2,1)),1+(1-$AU131))</f>
        <v>1</v>
      </c>
      <c r="EC131" s="15">
        <f>MIN(IF($AU131=100%,1,1+VLOOKUP(($AJ131-$AI131-$AH131-$AG131-$AF131-$AE131*(1+EC$3))/$AJ131,'Технический лист'!$I:$J,2,1)-VLOOKUP($AO131,'Технический лист'!$I:$J,2,1)),1+(1-$AU131))</f>
        <v>1</v>
      </c>
      <c r="ED131" s="15">
        <f>MIN(IF($AU131=100%,1,1+VLOOKUP(($AJ131-$AI131-$AH131-$AG131-$AF131-$AE131*(1+ED$3))/$AJ131,'Технический лист'!$I:$J,2,1)-VLOOKUP($AO131,'Технический лист'!$I:$J,2,1)),1+(1-$AU131))</f>
        <v>1</v>
      </c>
      <c r="EE131" s="15">
        <f>MIN(IF($AU131=100%,1,1+VLOOKUP(($AJ131-$AI131-$AH131-$AG131-$AF131-$AE131*(1+EE$3))/$AJ131,'Технический лист'!$I:$J,2,1)-VLOOKUP($AO131,'Технический лист'!$I:$J,2,1)),1+(1-$AU131))</f>
        <v>1</v>
      </c>
      <c r="EF131" s="15">
        <f>MIN(IF($AU131=100%,1,1+VLOOKUP(($AJ131-$AI131-$AH131-$AG131-$AF131-$AE131*(1+EF$3))/$AJ131,'Технический лист'!$I:$J,2,1)-VLOOKUP($AO131,'Технический лист'!$I:$J,2,1)),1+(1-$AU131))</f>
        <v>1</v>
      </c>
      <c r="EG131" s="15">
        <f>MIN(IF($AU131=100%,1,1+VLOOKUP(($AJ131-$AI131-$AH131-$AG131-$AF131-$AE131*(1+EG$3))/$AJ131,'Технический лист'!$I:$J,2,1)-VLOOKUP($AO131,'Технический лист'!$I:$J,2,1)),1+(1-$AU131))</f>
        <v>1</v>
      </c>
      <c r="EH131" s="15">
        <f>MIN(IF($AU131=100%,1,1+VLOOKUP(($AJ131-$AI131-$AH131-$AG131-$AF131-$AE131*(1+EH$3))/$AJ131,'Технический лист'!$I:$J,2,1)-VLOOKUP($AO131,'Технический лист'!$I:$J,2,1)),1+(1-$AU131))</f>
        <v>1</v>
      </c>
      <c r="EI131" s="15">
        <f>MIN(IF($AU131=100%,1,1+VLOOKUP(($AJ131-$AI131-$AH131-$AG131-$AF131-$AE131*(1+EI$3))/$AJ131,'Технический лист'!$I:$J,2,1)-VLOOKUP($AO131,'Технический лист'!$I:$J,2,1)),1+(1-$AU131))</f>
        <v>1</v>
      </c>
      <c r="EJ131" s="15">
        <f>MIN(IF($AU131=100%,1,1+VLOOKUP(($AJ131-$AI131-$AH131-$AG131-$AF131-$AE131*(1+EJ$3))/$AJ131,'Технический лист'!$I:$J,2,1)-VLOOKUP($AO131,'Технический лист'!$I:$J,2,1)),1+(1-$AU131))</f>
        <v>1</v>
      </c>
      <c r="EK131" s="15">
        <f>MIN(IF($AU131=100%,1,1+VLOOKUP(($AJ131-$AI131-$AH131-$AG131-$AF131-$AE131*(1+EK$3))/$AJ131,'Технический лист'!$I:$J,2,1)-VLOOKUP($AO131,'Технический лист'!$I:$J,2,1)),1+(1-$AU131))</f>
        <v>1</v>
      </c>
      <c r="EL131" s="15">
        <f>MIN(IF($AU131=100%,1,1+VLOOKUP(($AJ131-$AI131-$AH131-$AG131-$AF131-$AE131*(1+EL$3))/$AJ131,'Технический лист'!$I:$J,2,1)-VLOOKUP($AO131,'Технический лист'!$I:$J,2,1)),1+(1-$AU131))</f>
        <v>1</v>
      </c>
      <c r="EM131" s="15">
        <f>MIN(IF($AU131=100%,1,1+VLOOKUP(($AJ131-$AI131-$AH131-$AG131-$AF131-$AE131*(1+EM$3))/$AJ131,'Технический лист'!$I:$J,2,1)-VLOOKUP($AO131,'Технический лист'!$I:$J,2,1)),1+(1-$AU131))</f>
        <v>1</v>
      </c>
      <c r="EN131" s="15">
        <f>MIN(IF($AU131=100%,1,1+VLOOKUP(($AJ131-$AI131-$AH131-$AG131-$AF131-$AE131*(1+EN$3))/$AJ131,'Технический лист'!$I:$J,2,1)-VLOOKUP($AO131,'Технический лист'!$I:$J,2,1)),1+(1-$AU131))</f>
        <v>1</v>
      </c>
      <c r="EO131" s="15">
        <f>MIN(IF($AU131=100%,1,1+VLOOKUP(($AJ131-$AI131-$AH131-$AG131-$AF131-$AE131*(1+EO$3))/$AJ131,'Технический лист'!$I:$J,2,1)-VLOOKUP($AO131,'Технический лист'!$I:$J,2,1)),1+(1-$AU131))</f>
        <v>1</v>
      </c>
      <c r="EP131" s="15">
        <f>MIN(IF($AU131=100%,1,1+VLOOKUP(($AJ131-$AI131-$AH131-$AG131-$AF131-$AE131*(1+EP$3))/$AJ131,'Технический лист'!$I:$J,2,1)-VLOOKUP($AO131,'Технический лист'!$I:$J,2,1)),1+(1-$AU131))</f>
        <v>1</v>
      </c>
      <c r="EQ131" s="15">
        <f>MIN(IF($AU131=100%,1,1+VLOOKUP(($AJ131-$AI131-$AH131-$AG131-$AF131-$AE131*(1+EQ$3))/$AJ131,'Технический лист'!$I:$J,2,1)-VLOOKUP($AO131,'Технический лист'!$I:$J,2,1)),1+(1-$AU131))</f>
        <v>1</v>
      </c>
      <c r="ER131" s="15">
        <f>MIN(IF($AU131=100%,1,1+VLOOKUP(($AJ131-$AI131-$AH131-$AG131-$AF131-$AE131*(1+ER$3))/$AJ131,'Технический лист'!$I:$J,2,1)-VLOOKUP($AO131,'Технический лист'!$I:$J,2,1)),1+(1-$AU131))</f>
        <v>1</v>
      </c>
      <c r="ES131" s="15">
        <f>MIN(IF($AU131=100%,1,1+VLOOKUP(($AJ131-$AI131-$AH131-$AG131-$AF131-$AE131*(1+ES$3))/$AJ131,'Технический лист'!$I:$J,2,1)-VLOOKUP($AO131,'Технический лист'!$I:$J,2,1)),1+(1-$AU131))</f>
        <v>1</v>
      </c>
      <c r="ET131" s="15">
        <f>MIN(IF($AU131=100%,1,1+VLOOKUP(($AJ131-$AI131-$AH131-$AG131-$AF131-$AE131*(1+ET$3))/$AJ131,'Технический лист'!$I:$J,2,1)-VLOOKUP($AO131,'Технический лист'!$I:$J,2,1)),1+(1-$AU131))</f>
        <v>1</v>
      </c>
      <c r="EU131" s="15">
        <f>MIN(IF($AU131=100%,1,1+VLOOKUP(($AJ131-$AI131-$AH131-$AG131-$AF131-$AE131*(1+EU$3))/$AJ131,'Технический лист'!$I:$J,2,1)-VLOOKUP($AO131,'Технический лист'!$I:$J,2,1)),1+(1-$AU131))</f>
        <v>1</v>
      </c>
      <c r="EV131" s="111">
        <v>1</v>
      </c>
      <c r="EW131" s="15">
        <f>MIN(1,MAX(VLOOKUP(($AJ131-$AI131-$AH131-$AG131-$AF131-$AE131*(1+EW$3))/$AJ131,'Технический лист'!$A:$B,2,1),(EV131-0.05)))</f>
        <v>1</v>
      </c>
      <c r="EX131" s="15">
        <f>MIN(1,MAX(VLOOKUP(($AJ131-$AI131-$AH131-$AG131-$AF131-$AE131*(1+EX$3))/$AJ131,'Технический лист'!$A:$B,2,1),(EW131-0.05)))</f>
        <v>1</v>
      </c>
      <c r="EY131" s="15">
        <f>MIN(1,MAX(VLOOKUP(($AJ131-$AI131-$AH131-$AG131-$AF131-$AE131*(1+EY$3))/$AJ131,'Технический лист'!$A:$B,2,1),(EX131-0.05)))</f>
        <v>1</v>
      </c>
      <c r="EZ131" s="15">
        <f>MIN(1,MAX(VLOOKUP(($AJ131-$AI131-$AH131-$AG131-$AF131-$AE131*(1+EZ$3))/$AJ131,'Технический лист'!$A:$B,2,1),(EY131-0.05)))</f>
        <v>1</v>
      </c>
      <c r="FA131" s="15">
        <f>MIN(1,MAX(VLOOKUP(($AJ131-$AI131-$AH131-$AG131-$AF131-$AE131*(1+FA$3))/$AJ131,'Технический лист'!$A:$B,2,1),(EZ131-0.05)))</f>
        <v>1</v>
      </c>
      <c r="FB131" s="15">
        <f>MIN(1,MAX(VLOOKUP(($AJ131-$AI131-$AH131-$AG131-$AF131-$AE131*(1+FB$3))/$AJ131,'Технический лист'!$A:$B,2,1),(FA131-0.05)))</f>
        <v>1</v>
      </c>
      <c r="FC131" s="15">
        <f>MIN(1,MAX(VLOOKUP(($AJ131-$AI131-$AH131-$AG131-$AF131-$AE131*(1+FC$3))/$AJ131,'Технический лист'!$A:$B,2,1),(FB131-0.05)))</f>
        <v>1</v>
      </c>
      <c r="FD131" s="15">
        <f>MIN(1,MAX(VLOOKUP(($AJ131-$AI131-$AH131-$AG131-$AF131-$AE131*(1+FD$3))/$AJ131,'Технический лист'!$A:$B,2,1),(FC131-0.05)))</f>
        <v>1</v>
      </c>
      <c r="FE131" s="15">
        <f>MIN(1,MAX(VLOOKUP(($AJ131-$AI131-$AH131-$AG131-$AF131-$AE131*(1+FE$3))/$AJ131,'Технический лист'!$A:$B,2,1),(FD131-0.05)))</f>
        <v>1</v>
      </c>
      <c r="FF131" s="15">
        <f>MIN(1,MAX(VLOOKUP(($AJ131-$AI131-$AH131-$AG131-$AF131-$AE131*(1+FF$3))/$AJ131,'Технический лист'!$A:$B,2,1),(FE131-0.05)))</f>
        <v>1</v>
      </c>
      <c r="FG131" s="15">
        <f>MIN(1,MAX(VLOOKUP(($AJ131-$AI131-$AH131-$AG131-$AF131-$AE131*(1+FG$3))/$AJ131,'Технический лист'!$A:$B,2,1),(FF131-0.05)))</f>
        <v>1</v>
      </c>
      <c r="FH131" s="15">
        <f>MIN(1,MAX(VLOOKUP(($AJ131-$AI131-$AH131-$AG131-$AF131-$AE131*(1+FH$3))/$AJ131,'Технический лист'!$A:$B,2,1),(FG131-0.05)))</f>
        <v>1</v>
      </c>
      <c r="FI131" s="15">
        <f>MIN(1,MAX(VLOOKUP(($AJ131-$AI131-$AH131-$AG131-$AF131-$AE131*(1+FI$3))/$AJ131,'Технический лист'!$A:$B,2,1),(FH131-0.05)))</f>
        <v>1</v>
      </c>
      <c r="FJ131" s="15">
        <f>MIN(1,MAX(VLOOKUP(($AJ131-$AI131-$AH131-$AG131-$AF131-$AE131*(1+FJ$3))/$AJ131,'Технический лист'!$A:$B,2,1),(FI131-0.05)))</f>
        <v>1</v>
      </c>
      <c r="FK131" s="15">
        <f>MIN(1,MAX(VLOOKUP(($AJ131-$AI131-$AH131-$AG131-$AF131-$AE131*(1+FK$3))/$AJ131,'Технический лист'!$A:$B,2,1),(FJ131-0.05)))</f>
        <v>1</v>
      </c>
      <c r="FL131" s="15">
        <f>MIN(1,MAX(VLOOKUP(($AJ131-$AI131-$AH131-$AG131-$AF131-$AE131*(1+FL$3))/$AJ131,'Технический лист'!$A:$B,2,1),(FK131-0.05)))</f>
        <v>1</v>
      </c>
      <c r="FM131" s="15">
        <f>MIN(1,MAX(VLOOKUP(($AJ131-$AI131-$AH131-$AG131-$AF131-$AE131*(1+FM$3))/$AJ131,'Технический лист'!$A:$B,2,1),(FL131-0.05)))</f>
        <v>1</v>
      </c>
      <c r="FN131" s="15">
        <f>MIN(1,MAX(VLOOKUP(($AJ131-$AI131-$AH131-$AG131-$AF131-$AE131*(1+FN$3))/$AJ131,'Технический лист'!$A:$B,2,1),(FM131-0.05)))</f>
        <v>1</v>
      </c>
      <c r="FO131" s="15">
        <f>MIN(1,MAX(VLOOKUP(($AJ131-$AI131-$AH131-$AG131-$AF131-$AE131*(1+FO$3))/$AJ131,'Технический лист'!$A:$B,2,1),(FN131-0.05)))</f>
        <v>1</v>
      </c>
      <c r="FP131" s="15">
        <f>MIN(1,MAX(VLOOKUP(($AJ131-$AI131-$AH131-$AG131-$AF131-$AE131*(1+FP$3))/$AJ131,'Технический лист'!$A:$B,2,1),(FO131-0.05)))</f>
        <v>1</v>
      </c>
      <c r="FQ131" s="15">
        <f>MIN(1,MAX(VLOOKUP(($AJ131-$AI131-$AH131-$AG131-$AF131-$AE131*(1+FQ$3))/$AJ131,'Технический лист'!$A:$B,2,1),(FP131-0.05)))</f>
        <v>1</v>
      </c>
      <c r="FR131" s="15">
        <f>MIN(1,MAX(VLOOKUP(($AJ131-$AI131-$AH131-$AG131-$AF131-$AE131*(1+FR$3))/$AJ131,'Технический лист'!$A:$B,2,1),(FQ131-0.05)))</f>
        <v>1</v>
      </c>
      <c r="FS131" s="15">
        <f>MIN(1,MAX(VLOOKUP(($AJ131-$AI131-$AH131-$AG131-$AF131-$AE131*(1+FS$3))/$AJ131,'Технический лист'!$A:$B,2,1),(FR131-0.05)))</f>
        <v>1</v>
      </c>
      <c r="FT131" s="15">
        <f>MIN(1,MAX(VLOOKUP(($AJ131-$AI131-$AH131-$AG131-$AF131-$AE131*(1+FT$3))/$AJ131,'Технический лист'!$A:$B,2,1),(FS131-0.05)))</f>
        <v>1</v>
      </c>
      <c r="FU131" s="15">
        <f>MIN(1,MAX(VLOOKUP(($AJ131-$AI131-$AH131-$AG131-$AF131-$AE131*(1+FU$3))/$AJ131,'Технический лист'!$A:$B,2,1),(FT131-0.05)))</f>
        <v>1</v>
      </c>
      <c r="FV131" s="15">
        <f>MIN(1,MAX(VLOOKUP(($AJ131-$AI131-$AH131-$AG131-$AF131-$AE131*(1+FV$3))/$AJ131,'Технический лист'!$A:$B,2,1),(FU131-0.05)))</f>
        <v>1</v>
      </c>
      <c r="FW131" s="15">
        <f>MIN(1,MAX(VLOOKUP(($AJ131-$AI131-$AH131-$AG131-$AF131-$AE131*(1+FW$3))/$AJ131,'Технический лист'!$A:$B,2,1),(FV131-0.05)))</f>
        <v>1</v>
      </c>
      <c r="FX131" s="15">
        <f>MIN(1,MAX(VLOOKUP(($AJ131-$AI131-$AH131-$AG131-$AF131-$AE131*(1+FX$3))/$AJ131,'Технический лист'!$A:$B,2,1),(FW131-0.05)))</f>
        <v>1</v>
      </c>
      <c r="FY131" s="15">
        <f>MIN(1,MAX(VLOOKUP(($AJ131-$AI131-$AH131-$AG131-$AF131-$AE131*(1+FY$3))/$AJ131,'Технический лист'!$A:$B,2,1),(FX131-0.05)))</f>
        <v>1</v>
      </c>
      <c r="FZ131" s="15">
        <f>MIN(1,MAX(VLOOKUP(($AJ131-$AI131-$AH131-$AG131-$AF131-$AE131*(1+FZ$3))/$AJ131,'Технический лист'!$A:$B,2,1),(FY131-0.05)))</f>
        <v>1</v>
      </c>
      <c r="GA131" s="15">
        <f>MIN(1,MAX(VLOOKUP(($AJ131-$AI131-$AH131-$AG131-$AF131-$AE131*(1+GA$3))/$AJ131,'Технический лист'!$A:$B,2,1),(FZ131-0.05)))</f>
        <v>1</v>
      </c>
      <c r="GB131" s="15">
        <f>MIN(1,MAX(VLOOKUP(($AJ131-$AI131-$AH131-$AG131-$AF131-$AE131*(1+GB$3))/$AJ131,'Технический лист'!$A:$B,2,1),(GA131-0.05)))</f>
        <v>1</v>
      </c>
      <c r="GC131" s="15">
        <f>MIN(1,MAX(VLOOKUP(($AJ131-$AI131-$AH131-$AG131-$AF131-$AE131*(1+GC$3))/$AJ131,'Технический лист'!$A:$B,2,1),(GB131-0.05)))</f>
        <v>1</v>
      </c>
      <c r="GD131" s="15">
        <f>MIN(1,MAX(VLOOKUP(($AJ131-$AI131-$AH131-$AG131-$AF131-$AE131*(1+GD$3))/$AJ131,'Технический лист'!$A:$B,2,1),(GC131-0.05)))</f>
        <v>1</v>
      </c>
      <c r="GE131" s="15">
        <f>MIN(1,MAX(VLOOKUP(($AJ131-$AI131-$AH131-$AG131-$AF131-$AE131*(1+GE$3))/$AJ131,'Технический лист'!$A:$B,2,1),(GD131-0.05)))</f>
        <v>1</v>
      </c>
      <c r="GF131" s="15">
        <f>MIN(1,MAX(VLOOKUP(($AJ131-$AI131-$AH131-$AG131-$AF131-$AE131*(1+GF$3))/$AJ131,'Технический лист'!$A:$B,2,1),(GE131-0.05)))</f>
        <v>1</v>
      </c>
      <c r="GG131" s="15">
        <f>MIN(1,MAX(VLOOKUP(($AJ131-$AI131-$AH131-$AG131-$AF131-$AE131*(1+GG$3))/$AJ131,'Технический лист'!$A:$B,2,1),(GF131-0.05)))</f>
        <v>1</v>
      </c>
      <c r="GH131" s="15">
        <f>MIN(1,MAX(VLOOKUP(($AJ131-$AI131-$AH131-$AG131-$AF131-$AE131*(1+GH$3))/$AJ131,'Технический лист'!$A:$B,2,1),(GG131-0.05)))</f>
        <v>1</v>
      </c>
      <c r="GI131" s="15">
        <f>MIN(1,MAX(VLOOKUP(($AJ131-$AI131-$AH131-$AG131-$AF131-$AE131*(1+GI$3))/$AJ131,'Технический лист'!$A:$B,2,1),(GH131-0.05)))</f>
        <v>1</v>
      </c>
      <c r="GJ131" s="15">
        <f>MIN(1,MAX(VLOOKUP(($AJ131-$AI131-$AH131-$AG131-$AF131-$AE131*(1+GJ$3))/$AJ131,'Технический лист'!$A:$B,2,1),(GI131-0.05)))</f>
        <v>1</v>
      </c>
      <c r="GK131" s="15">
        <f>MIN(1,MAX(VLOOKUP(($AJ131-$AI131-$AH131-$AG131-$AF131-$AE131*(1+GK$3))/$AJ131,'Технический лист'!$A:$B,2,1),(GJ131-0.05)))</f>
        <v>1</v>
      </c>
      <c r="GL131" s="15">
        <f>MIN(1,MAX(VLOOKUP(($AJ131-$AI131-$AH131-$AG131-$AF131-$AE131*(1+GL$3))/$AJ131,'Технический лист'!$A:$B,2,1),(GK131-0.05)))</f>
        <v>1</v>
      </c>
      <c r="GM131" s="15">
        <f>MIN(1,MAX(VLOOKUP(($AJ131-$AI131-$AH131-$AG131-$AF131-$AE131*(1+GM$3))/$AJ131,'Технический лист'!$A:$B,2,1),(GL131-0.05)))</f>
        <v>1</v>
      </c>
      <c r="GN131" s="15">
        <f>MIN(1,MAX(VLOOKUP(($AJ131-$AI131-$AH131-$AG131-$AF131-$AE131*(1+GN$3))/$AJ131,'Технический лист'!$A:$B,2,1),(GM131-0.05)))</f>
        <v>1</v>
      </c>
      <c r="GO131" s="15">
        <f>MIN(1,MAX(VLOOKUP(($AJ131-$AI131-$AH131-$AG131-$AF131-$AE131*(1+GO$3))/$AJ131,'Технический лист'!$A:$B,2,1),(GN131-0.05)))</f>
        <v>1</v>
      </c>
      <c r="GP131" s="15">
        <f>MIN(1,MAX(VLOOKUP(($AJ131-$AI131-$AH131-$AG131-$AF131-$AE131*(1+GP$3))/$AJ131,'Технический лист'!$A:$B,2,1),(GO131-0.05)))</f>
        <v>1</v>
      </c>
      <c r="GQ131" s="15">
        <f>MIN(1,MAX(VLOOKUP(($AJ131-$AI131-$AH131-$AG131-$AF131-$AE131*(1+GQ$3))/$AJ131,'Технический лист'!$A:$B,2,1),(GP131-0.05)))</f>
        <v>1</v>
      </c>
      <c r="GR131" s="15">
        <f>MIN(1,MAX(VLOOKUP(($AJ131-$AI131-$AH131-$AG131-$AF131-$AE131*(1+GR$3))/$AJ131,'Технический лист'!$A:$B,2,1),(GQ131-0.05)))</f>
        <v>1</v>
      </c>
      <c r="GS131" s="15">
        <f>MIN(1,MAX(VLOOKUP(($AJ131-$AI131-$AH131-$AG131-$AF131-$AE131*(1+GS$3))/$AJ131,'Технический лист'!$A:$B,2,1),(GR131-0.05)))</f>
        <v>1</v>
      </c>
      <c r="GT131" s="15">
        <f>MIN(1,MAX(VLOOKUP(($AJ131-$AI131-$AH131-$AG131-$AF131-$AE131*(1+GT$3))/$AJ131,'Технический лист'!$A:$B,2,1),(GS131-0.05)))</f>
        <v>1</v>
      </c>
      <c r="GU131" s="15">
        <f>MIN(1,MAX(VLOOKUP(($AJ131-$AI131-$AH131-$AG131-$AF131-$AE131*(1+GU$3))/$AJ131,'Технический лист'!$A:$B,2,1),(GT131-0.05)))</f>
        <v>1</v>
      </c>
      <c r="GV131" s="15">
        <f>MIN(1,MAX(VLOOKUP(($AJ131-$AI131-$AH131-$AG131-$AF131-$AE131*(1+GV$3))/$AJ131,'Технический лист'!$A:$B,2,1),(GU131-0.05)))</f>
        <v>1</v>
      </c>
      <c r="GW131" s="15">
        <f>MIN(1,MAX(VLOOKUP(($AJ131-$AI131-$AH131-$AG131-$AF131-$AE131*(1+GW$3))/$AJ131,'Технический лист'!$A:$B,2,1),(GV131-0.05)))</f>
        <v>1</v>
      </c>
      <c r="GX131" s="15">
        <f>MIN(1,MAX(VLOOKUP(($AJ131-$AI131-$AH131-$AG131-$AF131-$AE131*(1+GX$3))/$AJ131,'Технический лист'!$A:$B,2,1),(GW131-0.05)))</f>
        <v>1</v>
      </c>
      <c r="GY131" s="15">
        <f>MIN(1,MAX(VLOOKUP(($AJ131-$AI131-$AH131-$AG131-$AF131-$AE131*(1+GY$3))/$AJ131,'Технический лист'!$A:$B,2,1),(GX131-0.05)))</f>
        <v>1</v>
      </c>
      <c r="GZ131" s="15">
        <f>MIN(1,MAX(VLOOKUP(($AJ131-$AI131-$AH131-$AG131-$AF131-$AE131*(1+GZ$3))/$AJ131,'Технический лист'!$A:$B,2,1),(GY131-0.05)))</f>
        <v>1</v>
      </c>
      <c r="HA131" s="15">
        <f>MIN(1,MAX(VLOOKUP(($AJ131-$AI131-$AH131-$AG131-$AF131-$AE131*(1+HA$3))/$AJ131,'Технический лист'!$A:$B,2,1),(GZ131-0.05)))</f>
        <v>1</v>
      </c>
      <c r="HB131" s="15">
        <f>MIN(1,MAX(VLOOKUP(($AJ131-$AI131-$AH131-$AG131-$AF131-$AE131*(1+HB$3))/$AJ131,'Технический лист'!$A:$B,2,1),(HA131-0.05)))</f>
        <v>1</v>
      </c>
      <c r="HC131" s="15">
        <f>MIN(1,MAX(VLOOKUP(($AJ131-$AI131-$AH131-$AG131-$AF131-$AE131*(1+HC$3))/$AJ131,'Технический лист'!$A:$B,2,1),(HB131-0.05)))</f>
        <v>1</v>
      </c>
      <c r="HD131" s="15">
        <f>MIN(1,MAX(VLOOKUP(($AJ131-$AI131-$AH131-$AG131-$AF131-$AE131*(1+HD$3))/$AJ131,'Технический лист'!$A:$B,2,1),(HC131-0.05)))</f>
        <v>1</v>
      </c>
      <c r="HE131" s="15">
        <f>MIN(1,MAX(VLOOKUP(($AJ131-$AI131-$AH131-$AG131-$AF131-$AE131*(1+HE$3))/$AJ131,'Технический лист'!$A:$B,2,1),(HD131-0.05)))</f>
        <v>1</v>
      </c>
      <c r="HF131" s="15">
        <f>MIN(1,MAX(VLOOKUP(($AJ131-$AI131-$AH131-$AG131-$AF131-$AE131*(1+HF$3))/$AJ131,'Технический лист'!$A:$B,2,1),(HE131-0.05)))</f>
        <v>1</v>
      </c>
      <c r="HG131" s="15">
        <f>MIN(1,MAX(VLOOKUP(($AJ131-$AI131-$AH131-$AG131-$AF131-$AE131*(1+HG$3))/$AJ131,'Технический лист'!$A:$B,2,1),(HF131-0.05)))</f>
        <v>1</v>
      </c>
      <c r="HH131" s="15">
        <f>MIN(1,MAX(VLOOKUP(($AJ131-$AI131-$AH131-$AG131-$AF131-$AE131*(1+HH$3))/$AJ131,'Технический лист'!$A:$B,2,1),(HG131-0.05)))</f>
        <v>1</v>
      </c>
      <c r="HI131" s="15">
        <f>MIN(1,MAX(VLOOKUP(($AJ131-$AI131-$AH131-$AG131-$AF131-$AE131*(1+HI$3))/$AJ131,'Технический лист'!$A:$B,2,1),(HH131-0.05)))</f>
        <v>1</v>
      </c>
      <c r="HJ131" s="15">
        <f>MIN(1,MAX(VLOOKUP(($AJ131-$AI131-$AH131-$AG131-$AF131-$AE131*(1+HJ$3))/$AJ131,'Технический лист'!$A:$B,2,1),(HI131-0.05)))</f>
        <v>1</v>
      </c>
      <c r="HK131" s="15">
        <f>MIN(1,MAX(VLOOKUP(($AJ131-$AI131-$AH131-$AG131-$AF131-$AE131*(1+HK$3))/$AJ131,'Технический лист'!$A:$B,2,1),(HJ131-0.05)))</f>
        <v>1</v>
      </c>
      <c r="HL131" s="15">
        <f>MIN(1,MAX(VLOOKUP(($AJ131-$AI131-$AH131-$AG131-$AF131-$AE131*(1+HL$3))/$AJ131,'Технический лист'!$A:$B,2,1),(HK131-0.05)))</f>
        <v>1</v>
      </c>
      <c r="HM131" s="15">
        <f>MIN(1,MAX(VLOOKUP(($AJ131-$AI131-$AH131-$AG131-$AF131-$AE131*(1+HM$3))/$AJ131,'Технический лист'!$A:$B,2,1),(HL131-0.05)))</f>
        <v>1</v>
      </c>
      <c r="HN131" s="15">
        <f>MIN(1,MAX(VLOOKUP(($AJ131-$AI131-$AH131-$AG131-$AF131-$AE131*(1+HN$3))/$AJ131,'Технический лист'!$A:$B,2,1),(HM131-0.05)))</f>
        <v>1</v>
      </c>
      <c r="HO131" s="15">
        <f>MIN(1,MAX(VLOOKUP(($AJ131-$AI131-$AH131-$AG131-$AF131-$AE131*(1+HO$3))/$AJ131,'Технический лист'!$A:$B,2,1),(HN131-0.05)))</f>
        <v>1</v>
      </c>
      <c r="HP131" s="15">
        <f>MIN(1,MAX(VLOOKUP(($AJ131-$AI131-$AH131-$AG131-$AF131-$AE131*(1+HP$3))/$AJ131,'Технический лист'!$A:$B,2,1),(HO131-0.05)))</f>
        <v>1</v>
      </c>
      <c r="HQ131" s="15">
        <f>MIN(1,MAX(VLOOKUP(($AJ131-$AI131-$AH131-$AG131-$AF131-$AE131*(1+HQ$3))/$AJ131,'Технический лист'!$A:$B,2,1),(HP131-0.05)))</f>
        <v>1</v>
      </c>
      <c r="HR131" s="15">
        <f>MIN(1,MAX(VLOOKUP(($AJ131-$AI131-$AH131-$AG131-$AF131-$AE131*(1+HR$3))/$AJ131,'Технический лист'!$A:$B,2,1),(HQ131-0.05)))</f>
        <v>1</v>
      </c>
      <c r="HS131" s="15">
        <f>MIN(1,MAX(VLOOKUP(($AJ131-$AI131-$AH131-$AG131-$AF131-$AE131*(1+HS$3))/$AJ131,'Технический лист'!$A:$B,2,1),(HR131-0.05)))</f>
        <v>1</v>
      </c>
      <c r="HT131" s="15">
        <f>MIN(1,MAX(VLOOKUP(($AJ131-$AI131-$AH131-$AG131-$AF131-$AE131*(1+HT$3))/$AJ131,'Технический лист'!$A:$B,2,1),(HS131-0.05)))</f>
        <v>1</v>
      </c>
      <c r="HU131" s="15">
        <f>MIN(1,MAX(VLOOKUP(($AJ131-$AI131-$AH131-$AG131-$AF131-$AE131*(1+HU$3))/$AJ131,'Технический лист'!$A:$B,2,1),(HT131-0.05)))</f>
        <v>1</v>
      </c>
      <c r="HV131" s="15">
        <f>MIN(1,MAX(VLOOKUP(($AJ131-$AI131-$AH131-$AG131-$AF131-$AE131*(1+HV$3))/$AJ131,'Технический лист'!$A:$B,2,1),(HU131-0.05)))</f>
        <v>1</v>
      </c>
      <c r="HW131" s="15">
        <f>MIN(1,MAX(VLOOKUP(($AJ131-$AI131-$AH131-$AG131-$AF131-$AE131*(1+HW$3))/$AJ131,'Технический лист'!$A:$B,2,1),(HV131-0.05)))</f>
        <v>1</v>
      </c>
      <c r="HX131" s="15">
        <f>MIN(1,MAX(VLOOKUP(($AJ131-$AI131-$AH131-$AG131-$AF131-$AE131*(1+HX$3))/$AJ131,'Технический лист'!$A:$B,2,1),(HW131-0.05)))</f>
        <v>1</v>
      </c>
      <c r="HY131" s="15">
        <f>MIN(1,MAX(VLOOKUP(($AJ131-$AI131-$AH131-$AG131-$AF131-$AE131*(1+HY$3))/$AJ131,'Технический лист'!$A:$B,2,1),(HX131-0.05)))</f>
        <v>1</v>
      </c>
      <c r="HZ131" s="15">
        <f>MIN(1,MAX(VLOOKUP(($AJ131-$AI131-$AH131-$AG131-$AF131-$AE131*(1+HZ$3))/$AJ131,'Технический лист'!$A:$B,2,1),(HY131-0.05)))</f>
        <v>1</v>
      </c>
      <c r="IA131" s="15">
        <f>MIN(1,MAX(VLOOKUP(($AJ131-$AI131-$AH131-$AG131-$AF131-$AE131*(1+IA$3))/$AJ131,'Технический лист'!$A:$B,2,1),(HZ131-0.05)))</f>
        <v>1</v>
      </c>
      <c r="IB131" s="15">
        <f>MIN(1,MAX(VLOOKUP(($AJ131-$AI131-$AH131-$AG131-$AF131-$AE131*(1+IB$3))/$AJ131,'Технический лист'!$A:$B,2,1),(IA131-0.05)))</f>
        <v>1</v>
      </c>
      <c r="IC131" s="15">
        <f>MIN(1,MAX(VLOOKUP(($AJ131-$AI131-$AH131-$AG131-$AF131-$AE131*(1+IC$3))/$AJ131,'Технический лист'!$A:$B,2,1),(IB131-0.05)))</f>
        <v>1</v>
      </c>
      <c r="ID131" s="15">
        <f>MIN(1,MAX(VLOOKUP(($AJ131-$AI131-$AH131-$AG131-$AF131-$AE131*(1+ID$3))/$AJ131,'Технический лист'!$A:$B,2,1),(IC131-0.05)))</f>
        <v>1</v>
      </c>
      <c r="IE131" s="15">
        <f>MIN(1,MAX(VLOOKUP(($AJ131-$AI131-$AH131-$AG131-$AF131-$AE131*(1+IE$3))/$AJ131,'Технический лист'!$A:$B,2,1),(ID131-0.05)))</f>
        <v>1</v>
      </c>
      <c r="IF131" s="15">
        <f>MIN(1,MAX(VLOOKUP(($AJ131-$AI131-$AH131-$AG131-$AF131-$AE131*(1+IF$3))/$AJ131,'Технический лист'!$A:$B,2,1),(IE131-0.05)))</f>
        <v>1</v>
      </c>
      <c r="IG131" s="15">
        <f>MIN(1,MAX(VLOOKUP(($AJ131-$AI131-$AH131-$AG131-$AF131-$AE131*(1+IG$3))/$AJ131,'Технический лист'!$A:$B,2,1),(IF131-0.05)))</f>
        <v>1</v>
      </c>
      <c r="IH131" s="15">
        <f>MIN(1,MAX(VLOOKUP(($AJ131-$AI131-$AH131-$AG131-$AF131-$AE131*(1+IH$3))/$AJ131,'Технический лист'!$A:$B,2,1),(IG131-0.05)))</f>
        <v>1</v>
      </c>
      <c r="II131" s="15">
        <f>MIN(1,MAX(VLOOKUP(($AJ131-$AI131-$AH131-$AG131-$AF131-$AE131*(1+II$3))/$AJ131,'Технический лист'!$A:$B,2,1),(IH131-0.05)))</f>
        <v>1</v>
      </c>
      <c r="IJ131" s="15">
        <f>MIN(1,MAX(VLOOKUP(($AJ131-$AI131-$AH131-$AG131-$AF131-$AE131*(1+IJ$3))/$AJ131,'Технический лист'!$A:$B,2,1),(II131-0.05)))</f>
        <v>1</v>
      </c>
      <c r="IK131" s="15">
        <f>MIN(1,MAX(VLOOKUP(($AJ131-$AI131-$AH131-$AG131-$AF131-$AE131*(1+IK$3))/$AJ131,'Технический лист'!$A:$B,2,1),(IJ131-0.05)))</f>
        <v>1</v>
      </c>
      <c r="IL131" s="15">
        <f>MIN(1,MAX(VLOOKUP(($AJ131-$AI131-$AH131-$AG131-$AF131-$AE131*(1+IL$3))/$AJ131,'Технический лист'!$A:$B,2,1),(IK131-0.05)))</f>
        <v>1</v>
      </c>
      <c r="IM131" s="15">
        <f>MIN(1,MAX(VLOOKUP(($AJ131-$AI131-$AH131-$AG131-$AF131-$AE131*(1+IM$3))/$AJ131,'Технический лист'!$A:$B,2,1),(IL131-0.05)))</f>
        <v>1</v>
      </c>
      <c r="IN131" s="15">
        <f>MIN(1,MAX(VLOOKUP(($AJ131-$AI131-$AH131-$AG131-$AF131-$AE131*(1+IN$3))/$AJ131,'Технический лист'!$A:$B,2,1),(IM131-0.05)))</f>
        <v>1</v>
      </c>
      <c r="IO131" s="15">
        <f>MIN(1,MAX(VLOOKUP(($AJ131-$AI131-$AH131-$AG131-$AF131-$AE131*(1+IO$3))/$AJ131,'Технический лист'!$A:$B,2,1),(IN131-0.05)))</f>
        <v>1</v>
      </c>
      <c r="IP131" s="15">
        <f>MIN(1,MAX(VLOOKUP(($AJ131-$AI131-$AH131-$AG131-$AF131-$AE131*(1+IP$3))/$AJ131,'Технический лист'!$A:$B,2,1),(IO131-0.05)))</f>
        <v>1</v>
      </c>
      <c r="IQ131" s="15">
        <f>MIN(1,MAX(VLOOKUP(($AJ131-$AI131-$AH131-$AG131-$AF131-$AE131*(1+IQ$3))/$AJ131,'Технический лист'!$A:$B,2,1),(IP131-0.05)))</f>
        <v>1</v>
      </c>
      <c r="IR131" s="15">
        <f>MIN(1,MAX(VLOOKUP(($AJ131-$AI131-$AH131-$AG131-$AF131-$AE131*(1+IR$3))/$AJ131,'Технический лист'!$A:$B,2,1),(IQ131-0.05)))</f>
        <v>1</v>
      </c>
    </row>
    <row r="132" spans="1:252" ht="29.15">
      <c r="A132" s="89" t="s">
        <v>513</v>
      </c>
      <c r="B132" s="90">
        <v>10</v>
      </c>
      <c r="C132" s="5" t="s">
        <v>66</v>
      </c>
      <c r="D132" s="91">
        <v>33201</v>
      </c>
      <c r="E132" s="91" t="s">
        <v>324</v>
      </c>
      <c r="F132" s="92" t="s">
        <v>71</v>
      </c>
      <c r="G132" s="91" t="s">
        <v>31</v>
      </c>
      <c r="H132" s="91" t="s">
        <v>31</v>
      </c>
      <c r="I132" s="91" t="s">
        <v>113</v>
      </c>
      <c r="J132" s="91" t="s">
        <v>56</v>
      </c>
      <c r="K132" s="91">
        <v>388</v>
      </c>
      <c r="L132" s="77" t="s">
        <v>189</v>
      </c>
      <c r="M132" s="91" t="s">
        <v>17</v>
      </c>
      <c r="N132" s="91" t="s">
        <v>48</v>
      </c>
      <c r="O132" s="91" t="s">
        <v>192</v>
      </c>
      <c r="P132" s="89" t="s">
        <v>212</v>
      </c>
      <c r="Q132" s="91" t="s">
        <v>292</v>
      </c>
      <c r="R132" s="91" t="s">
        <v>260</v>
      </c>
      <c r="S132" s="82">
        <v>33314</v>
      </c>
      <c r="T132" s="82">
        <v>12925751</v>
      </c>
      <c r="U132" s="81">
        <v>0</v>
      </c>
      <c r="V132" s="81">
        <v>1116</v>
      </c>
      <c r="W132" s="82">
        <v>12778882</v>
      </c>
      <c r="X132" s="112">
        <v>60</v>
      </c>
      <c r="Y132" s="112" t="s">
        <v>48</v>
      </c>
      <c r="Z132" s="113">
        <v>4</v>
      </c>
      <c r="AA132" s="113">
        <v>0</v>
      </c>
      <c r="AB132" s="113">
        <v>4</v>
      </c>
      <c r="AC132" s="99">
        <f>41398/X132</f>
        <v>689.9666666666667</v>
      </c>
      <c r="AD132" s="99">
        <v>0</v>
      </c>
      <c r="AE132" s="99">
        <f>AC132</f>
        <v>689.9666666666667</v>
      </c>
      <c r="AF132" s="98">
        <f>(AB132+AA132+Z132)*'Ставки аренды'!$B$6/X132</f>
        <v>213.33333333333334</v>
      </c>
      <c r="AG132" s="94">
        <v>0</v>
      </c>
      <c r="AH132" s="94">
        <v>0</v>
      </c>
      <c r="AI132" s="115">
        <f>AJ132*0.35</f>
        <v>280000</v>
      </c>
      <c r="AJ132" s="117">
        <f>Цены!D38</f>
        <v>800000</v>
      </c>
      <c r="AK132" s="94">
        <f>AJ132/Цены!$B$1</f>
        <v>10484.172176317566</v>
      </c>
      <c r="AL132" s="95">
        <f t="shared" si="24"/>
        <v>903.30000000000007</v>
      </c>
      <c r="AM132" s="95">
        <f t="shared" si="25"/>
        <v>799096.7</v>
      </c>
      <c r="AN132" s="94">
        <f t="shared" ref="AN132:AN156" si="52">AI132+AH132+AG132+AF132+AE132</f>
        <v>280903.3</v>
      </c>
      <c r="AO132" s="118">
        <f t="shared" ref="AO132:AO156" si="53">(AJ132-AN132)/AJ132</f>
        <v>0.64887087500000007</v>
      </c>
      <c r="AP132" s="96">
        <f t="shared" si="26"/>
        <v>1.1291250000000001E-3</v>
      </c>
      <c r="AQ132" s="96">
        <f t="shared" si="27"/>
        <v>8.6245833333333335E-4</v>
      </c>
      <c r="AR132" s="96">
        <f t="shared" si="28"/>
        <v>0.76382892357651566</v>
      </c>
      <c r="AS132" s="122">
        <v>1</v>
      </c>
      <c r="AT132" s="121">
        <f t="shared" si="45"/>
        <v>33314</v>
      </c>
      <c r="AU132" s="83">
        <v>1</v>
      </c>
      <c r="AV132" s="119">
        <f t="shared" si="41"/>
        <v>0.64876738</v>
      </c>
      <c r="AW132" s="120">
        <f t="shared" si="42"/>
        <v>1.2326200000000002E-3</v>
      </c>
      <c r="AX132" s="120">
        <f t="shared" si="43"/>
        <v>9.6595333333333346E-4</v>
      </c>
      <c r="AY132" s="120">
        <f t="shared" si="44"/>
        <v>0.78365865662842837</v>
      </c>
      <c r="AZ132" s="15">
        <f>MIN(IF($AU132=100%,1,1+VLOOKUP(($AJ132-$AI132-$AH132-$AG132-$AF132-$AE132*(1+AZ$3))/$AJ132,'Технический лист'!$I:$J,2,1)-VLOOKUP($AO132,'Технический лист'!$I:$J,2,1)),1+(1-$AU132))</f>
        <v>1</v>
      </c>
      <c r="BA132" s="15">
        <f>MIN(IF($AU132=100%,1,1+VLOOKUP(($AJ132-$AI132-$AH132-$AG132-$AF132-$AE132*(1+BA$3))/$AJ132,'Технический лист'!$I:$J,2,1)-VLOOKUP($AO132,'Технический лист'!$I:$J,2,1)),1+(1-$AU132))</f>
        <v>1</v>
      </c>
      <c r="BB132" s="15">
        <f>MIN(IF($AU132=100%,1,1+VLOOKUP(($AJ132-$AI132-$AH132-$AG132-$AF132-$AE132*(1+BB$3))/$AJ132,'Технический лист'!$I:$J,2,1)-VLOOKUP($AO132,'Технический лист'!$I:$J,2,1)),1+(1-$AU132))</f>
        <v>1</v>
      </c>
      <c r="BC132" s="15">
        <f>MIN(IF($AU132=100%,1,1+VLOOKUP(($AJ132-$AI132-$AH132-$AG132-$AF132-$AE132*(1+BC$3))/$AJ132,'Технический лист'!$I:$J,2,1)-VLOOKUP($AO132,'Технический лист'!$I:$J,2,1)),1+(1-$AU132))</f>
        <v>1</v>
      </c>
      <c r="BD132" s="15">
        <f>MIN(IF($AU132=100%,1,1+VLOOKUP(($AJ132-$AI132-$AH132-$AG132-$AF132-$AE132*(1+BD$3))/$AJ132,'Технический лист'!$I:$J,2,1)-VLOOKUP($AO132,'Технический лист'!$I:$J,2,1)),1+(1-$AU132))</f>
        <v>1</v>
      </c>
      <c r="BE132" s="15">
        <f>MIN(IF($AU132=100%,1,1+VLOOKUP(($AJ132-$AI132-$AH132-$AG132-$AF132-$AE132*(1+BE$3))/$AJ132,'Технический лист'!$I:$J,2,1)-VLOOKUP($AO132,'Технический лист'!$I:$J,2,1)),1+(1-$AU132))</f>
        <v>1</v>
      </c>
      <c r="BF132" s="15">
        <f>MIN(IF($AU132=100%,1,1+VLOOKUP(($AJ132-$AI132-$AH132-$AG132-$AF132-$AE132*(1+BF$3))/$AJ132,'Технический лист'!$I:$J,2,1)-VLOOKUP($AO132,'Технический лист'!$I:$J,2,1)),1+(1-$AU132))</f>
        <v>1</v>
      </c>
      <c r="BG132" s="15">
        <f>MIN(IF($AU132=100%,1,1+VLOOKUP(($AJ132-$AI132-$AH132-$AG132-$AF132-$AE132*(1+BG$3))/$AJ132,'Технический лист'!$I:$J,2,1)-VLOOKUP($AO132,'Технический лист'!$I:$J,2,1)),1+(1-$AU132))</f>
        <v>1</v>
      </c>
      <c r="BH132" s="15">
        <f>MIN(IF($AU132=100%,1,1+VLOOKUP(($AJ132-$AI132-$AH132-$AG132-$AF132-$AE132*(1+BH$3))/$AJ132,'Технический лист'!$I:$J,2,1)-VLOOKUP($AO132,'Технический лист'!$I:$J,2,1)),1+(1-$AU132))</f>
        <v>1</v>
      </c>
      <c r="BI132" s="15">
        <f>MIN(IF($AU132=100%,1,1+VLOOKUP(($AJ132-$AI132-$AH132-$AG132-$AF132-$AE132*(1+BI$3))/$AJ132,'Технический лист'!$I:$J,2,1)-VLOOKUP($AO132,'Технический лист'!$I:$J,2,1)),1+(1-$AU132))</f>
        <v>1</v>
      </c>
      <c r="BJ132" s="15">
        <f>MIN(IF($AU132=100%,1,1+VLOOKUP(($AJ132-$AI132-$AH132-$AG132-$AF132-$AE132*(1+BJ$3))/$AJ132,'Технический лист'!$I:$J,2,1)-VLOOKUP($AO132,'Технический лист'!$I:$J,2,1)),1+(1-$AU132))</f>
        <v>1</v>
      </c>
      <c r="BK132" s="15">
        <f>MIN(IF($AU132=100%,1,1+VLOOKUP(($AJ132-$AI132-$AH132-$AG132-$AF132-$AE132*(1+BK$3))/$AJ132,'Технический лист'!$I:$J,2,1)-VLOOKUP($AO132,'Технический лист'!$I:$J,2,1)),1+(1-$AU132))</f>
        <v>1</v>
      </c>
      <c r="BL132" s="15">
        <f>MIN(IF($AU132=100%,1,1+VLOOKUP(($AJ132-$AI132-$AH132-$AG132-$AF132-$AE132*(1+BL$3))/$AJ132,'Технический лист'!$I:$J,2,1)-VLOOKUP($AO132,'Технический лист'!$I:$J,2,1)),1+(1-$AU132))</f>
        <v>1</v>
      </c>
      <c r="BM132" s="15">
        <f>MIN(IF($AU132=100%,1,1+VLOOKUP(($AJ132-$AI132-$AH132-$AG132-$AF132-$AE132*(1+BM$3))/$AJ132,'Технический лист'!$I:$J,2,1)-VLOOKUP($AO132,'Технический лист'!$I:$J,2,1)),1+(1-$AU132))</f>
        <v>1</v>
      </c>
      <c r="BN132" s="15">
        <f>MIN(IF($AU132=100%,1,1+VLOOKUP(($AJ132-$AI132-$AH132-$AG132-$AF132-$AE132*(1+BN$3))/$AJ132,'Технический лист'!$I:$J,2,1)-VLOOKUP($AO132,'Технический лист'!$I:$J,2,1)),1+(1-$AU132))</f>
        <v>1</v>
      </c>
      <c r="BO132" s="15">
        <f>MIN(IF($AU132=100%,1,1+VLOOKUP(($AJ132-$AI132-$AH132-$AG132-$AF132-$AE132*(1+BO$3))/$AJ132,'Технический лист'!$I:$J,2,1)-VLOOKUP($AO132,'Технический лист'!$I:$J,2,1)),1+(1-$AU132))</f>
        <v>1</v>
      </c>
      <c r="BP132" s="15">
        <f>MIN(IF($AU132=100%,1,1+VLOOKUP(($AJ132-$AI132-$AH132-$AG132-$AF132-$AE132*(1+BP$3))/$AJ132,'Технический лист'!$I:$J,2,1)-VLOOKUP($AO132,'Технический лист'!$I:$J,2,1)),1+(1-$AU132))</f>
        <v>1</v>
      </c>
      <c r="BQ132" s="15">
        <f>MIN(IF($AU132=100%,1,1+VLOOKUP(($AJ132-$AI132-$AH132-$AG132-$AF132-$AE132*(1+BQ$3))/$AJ132,'Технический лист'!$I:$J,2,1)-VLOOKUP($AO132,'Технический лист'!$I:$J,2,1)),1+(1-$AU132))</f>
        <v>1</v>
      </c>
      <c r="BR132" s="15">
        <f>MIN(IF($AU132=100%,1,1+VLOOKUP(($AJ132-$AI132-$AH132-$AG132-$AF132-$AE132*(1+BR$3))/$AJ132,'Технический лист'!$I:$J,2,1)-VLOOKUP($AO132,'Технический лист'!$I:$J,2,1)),1+(1-$AU132))</f>
        <v>1</v>
      </c>
      <c r="BS132" s="15">
        <f>MIN(IF($AU132=100%,1,1+VLOOKUP(($AJ132-$AI132-$AH132-$AG132-$AF132-$AE132*(1+BS$3))/$AJ132,'Технический лист'!$I:$J,2,1)-VLOOKUP($AO132,'Технический лист'!$I:$J,2,1)),1+(1-$AU132))</f>
        <v>1</v>
      </c>
      <c r="BT132" s="15">
        <f>MIN(IF($AU132=100%,1,1+VLOOKUP(($AJ132-$AI132-$AH132-$AG132-$AF132-$AE132*(1+BT$3))/$AJ132,'Технический лист'!$I:$J,2,1)-VLOOKUP($AO132,'Технический лист'!$I:$J,2,1)),1+(1-$AU132))</f>
        <v>1</v>
      </c>
      <c r="BU132" s="15">
        <f>MIN(IF($AU132=100%,1,1+VLOOKUP(($AJ132-$AI132-$AH132-$AG132-$AF132-$AE132*(1+BU$3))/$AJ132,'Технический лист'!$I:$J,2,1)-VLOOKUP($AO132,'Технический лист'!$I:$J,2,1)),1+(1-$AU132))</f>
        <v>1</v>
      </c>
      <c r="BV132" s="15">
        <f>MIN(IF($AU132=100%,1,1+VLOOKUP(($AJ132-$AI132-$AH132-$AG132-$AF132-$AE132*(1+BV$3))/$AJ132,'Технический лист'!$I:$J,2,1)-VLOOKUP($AO132,'Технический лист'!$I:$J,2,1)),1+(1-$AU132))</f>
        <v>1</v>
      </c>
      <c r="BW132" s="15">
        <f>MIN(IF($AU132=100%,1,1+VLOOKUP(($AJ132-$AI132-$AH132-$AG132-$AF132-$AE132*(1+BW$3))/$AJ132,'Технический лист'!$I:$J,2,1)-VLOOKUP($AO132,'Технический лист'!$I:$J,2,1)),1+(1-$AU132))</f>
        <v>1</v>
      </c>
      <c r="BX132" s="15">
        <f>MIN(IF($AU132=100%,1,1+VLOOKUP(($AJ132-$AI132-$AH132-$AG132-$AF132-$AE132*(1+BX$3))/$AJ132,'Технический лист'!$I:$J,2,1)-VLOOKUP($AO132,'Технический лист'!$I:$J,2,1)),1+(1-$AU132))</f>
        <v>1</v>
      </c>
      <c r="BY132" s="15">
        <f>MIN(IF($AU132=100%,1,1+VLOOKUP(($AJ132-$AI132-$AH132-$AG132-$AF132-$AE132*(1+BY$3))/$AJ132,'Технический лист'!$I:$J,2,1)-VLOOKUP($AO132,'Технический лист'!$I:$J,2,1)),1+(1-$AU132))</f>
        <v>1</v>
      </c>
      <c r="BZ132" s="15">
        <f>MIN(IF($AU132=100%,1,1+VLOOKUP(($AJ132-$AI132-$AH132-$AG132-$AF132-$AE132*(1+BZ$3))/$AJ132,'Технический лист'!$I:$J,2,1)-VLOOKUP($AO132,'Технический лист'!$I:$J,2,1)),1+(1-$AU132))</f>
        <v>1</v>
      </c>
      <c r="CA132" s="15">
        <f>MIN(IF($AU132=100%,1,1+VLOOKUP(($AJ132-$AI132-$AH132-$AG132-$AF132-$AE132*(1+CA$3))/$AJ132,'Технический лист'!$I:$J,2,1)-VLOOKUP($AO132,'Технический лист'!$I:$J,2,1)),1+(1-$AU132))</f>
        <v>1</v>
      </c>
      <c r="CB132" s="15">
        <f>MIN(IF($AU132=100%,1,1+VLOOKUP(($AJ132-$AI132-$AH132-$AG132-$AF132-$AE132*(1+CB$3))/$AJ132,'Технический лист'!$I:$J,2,1)-VLOOKUP($AO132,'Технический лист'!$I:$J,2,1)),1+(1-$AU132))</f>
        <v>1</v>
      </c>
      <c r="CC132" s="15">
        <f>MIN(IF($AU132=100%,1,1+VLOOKUP(($AJ132-$AI132-$AH132-$AG132-$AF132-$AE132*(1+CC$3))/$AJ132,'Технический лист'!$I:$J,2,1)-VLOOKUP($AO132,'Технический лист'!$I:$J,2,1)),1+(1-$AU132))</f>
        <v>1</v>
      </c>
      <c r="CD132" s="15">
        <f>MIN(IF($AU132=100%,1,1+VLOOKUP(($AJ132-$AI132-$AH132-$AG132-$AF132-$AE132*(1+CD$3))/$AJ132,'Технический лист'!$I:$J,2,1)-VLOOKUP($AO132,'Технический лист'!$I:$J,2,1)),1+(1-$AU132))</f>
        <v>1</v>
      </c>
      <c r="CE132" s="15">
        <f>MIN(IF($AU132=100%,1,1+VLOOKUP(($AJ132-$AI132-$AH132-$AG132-$AF132-$AE132*(1+CE$3))/$AJ132,'Технический лист'!$I:$J,2,1)-VLOOKUP($AO132,'Технический лист'!$I:$J,2,1)),1+(1-$AU132))</f>
        <v>1</v>
      </c>
      <c r="CF132" s="15">
        <f>MIN(IF($AU132=100%,1,1+VLOOKUP(($AJ132-$AI132-$AH132-$AG132-$AF132-$AE132*(1+CF$3))/$AJ132,'Технический лист'!$I:$J,2,1)-VLOOKUP($AO132,'Технический лист'!$I:$J,2,1)),1+(1-$AU132))</f>
        <v>1</v>
      </c>
      <c r="CG132" s="15">
        <f>MIN(IF($AU132=100%,1,1+VLOOKUP(($AJ132-$AI132-$AH132-$AG132-$AF132-$AE132*(1+CG$3))/$AJ132,'Технический лист'!$I:$J,2,1)-VLOOKUP($AO132,'Технический лист'!$I:$J,2,1)),1+(1-$AU132))</f>
        <v>1</v>
      </c>
      <c r="CH132" s="15">
        <f>MIN(IF($AU132=100%,1,1+VLOOKUP(($AJ132-$AI132-$AH132-$AG132-$AF132-$AE132*(1+CH$3))/$AJ132,'Технический лист'!$I:$J,2,1)-VLOOKUP($AO132,'Технический лист'!$I:$J,2,1)),1+(1-$AU132))</f>
        <v>1</v>
      </c>
      <c r="CI132" s="15">
        <f>MIN(IF($AU132=100%,1,1+VLOOKUP(($AJ132-$AI132-$AH132-$AG132-$AF132-$AE132*(1+CI$3))/$AJ132,'Технический лист'!$I:$J,2,1)-VLOOKUP($AO132,'Технический лист'!$I:$J,2,1)),1+(1-$AU132))</f>
        <v>1</v>
      </c>
      <c r="CJ132" s="15">
        <f>MIN(IF($AU132=100%,1,1+VLOOKUP(($AJ132-$AI132-$AH132-$AG132-$AF132-$AE132*(1+CJ$3))/$AJ132,'Технический лист'!$I:$J,2,1)-VLOOKUP($AO132,'Технический лист'!$I:$J,2,1)),1+(1-$AU132))</f>
        <v>1</v>
      </c>
      <c r="CK132" s="15">
        <f>MIN(IF($AU132=100%,1,1+VLOOKUP(($AJ132-$AI132-$AH132-$AG132-$AF132-$AE132*(1+CK$3))/$AJ132,'Технический лист'!$I:$J,2,1)-VLOOKUP($AO132,'Технический лист'!$I:$J,2,1)),1+(1-$AU132))</f>
        <v>1</v>
      </c>
      <c r="CL132" s="15">
        <f>MIN(IF($AU132=100%,1,1+VLOOKUP(($AJ132-$AI132-$AH132-$AG132-$AF132-$AE132*(1+CL$3))/$AJ132,'Технический лист'!$I:$J,2,1)-VLOOKUP($AO132,'Технический лист'!$I:$J,2,1)),1+(1-$AU132))</f>
        <v>1</v>
      </c>
      <c r="CM132" s="15">
        <f>MIN(IF($AU132=100%,1,1+VLOOKUP(($AJ132-$AI132-$AH132-$AG132-$AF132-$AE132*(1+CM$3))/$AJ132,'Технический лист'!$I:$J,2,1)-VLOOKUP($AO132,'Технический лист'!$I:$J,2,1)),1+(1-$AU132))</f>
        <v>1</v>
      </c>
      <c r="CN132" s="15">
        <f>MIN(IF($AU132=100%,1,1+VLOOKUP(($AJ132-$AI132-$AH132-$AG132-$AF132-$AE132*(1+CN$3))/$AJ132,'Технический лист'!$I:$J,2,1)-VLOOKUP($AO132,'Технический лист'!$I:$J,2,1)),1+(1-$AU132))</f>
        <v>1</v>
      </c>
      <c r="CO132" s="15">
        <f>MIN(IF($AU132=100%,1,1+VLOOKUP(($AJ132-$AI132-$AH132-$AG132-$AF132-$AE132*(1+CO$3))/$AJ132,'Технический лист'!$I:$J,2,1)-VLOOKUP($AO132,'Технический лист'!$I:$J,2,1)),1+(1-$AU132))</f>
        <v>1</v>
      </c>
      <c r="CP132" s="15">
        <f>MIN(IF($AU132=100%,1,1+VLOOKUP(($AJ132-$AI132-$AH132-$AG132-$AF132-$AE132*(1+CP$3))/$AJ132,'Технический лист'!$I:$J,2,1)-VLOOKUP($AO132,'Технический лист'!$I:$J,2,1)),1+(1-$AU132))</f>
        <v>1</v>
      </c>
      <c r="CQ132" s="15">
        <f>MIN(IF($AU132=100%,1,1+VLOOKUP(($AJ132-$AI132-$AH132-$AG132-$AF132-$AE132*(1+CQ$3))/$AJ132,'Технический лист'!$I:$J,2,1)-VLOOKUP($AO132,'Технический лист'!$I:$J,2,1)),1+(1-$AU132))</f>
        <v>1</v>
      </c>
      <c r="CR132" s="15">
        <f>MIN(IF($AU132=100%,1,1+VLOOKUP(($AJ132-$AI132-$AH132-$AG132-$AF132-$AE132*(1+CR$3))/$AJ132,'Технический лист'!$I:$J,2,1)-VLOOKUP($AO132,'Технический лист'!$I:$J,2,1)),1+(1-$AU132))</f>
        <v>1</v>
      </c>
      <c r="CS132" s="15">
        <f>MIN(IF($AU132=100%,1,1+VLOOKUP(($AJ132-$AI132-$AH132-$AG132-$AF132-$AE132*(1+CS$3))/$AJ132,'Технический лист'!$I:$J,2,1)-VLOOKUP($AO132,'Технический лист'!$I:$J,2,1)),1+(1-$AU132))</f>
        <v>1</v>
      </c>
      <c r="CT132" s="15">
        <f>MIN(IF($AU132=100%,1,1+VLOOKUP(($AJ132-$AI132-$AH132-$AG132-$AF132-$AE132*(1+CT$3))/$AJ132,'Технический лист'!$I:$J,2,1)-VLOOKUP($AO132,'Технический лист'!$I:$J,2,1)),1+(1-$AU132))</f>
        <v>1</v>
      </c>
      <c r="CU132" s="15">
        <f>MIN(IF($AU132=100%,1,1+VLOOKUP(($AJ132-$AI132-$AH132-$AG132-$AF132-$AE132*(1+CU$3))/$AJ132,'Технический лист'!$I:$J,2,1)-VLOOKUP($AO132,'Технический лист'!$I:$J,2,1)),1+(1-$AU132))</f>
        <v>1</v>
      </c>
      <c r="CV132" s="15">
        <f>MIN(IF($AU132=100%,1,1+VLOOKUP(($AJ132-$AI132-$AH132-$AG132-$AF132-$AE132*(1+CV$3))/$AJ132,'Технический лист'!$I:$J,2,1)-VLOOKUP($AO132,'Технический лист'!$I:$J,2,1)),1+(1-$AU132))</f>
        <v>1</v>
      </c>
      <c r="CW132" s="15">
        <f>MIN(IF($AU132=100%,1,1+VLOOKUP(($AJ132-$AI132-$AH132-$AG132-$AF132-$AE132*(1+CW$3))/$AJ132,'Технический лист'!$I:$J,2,1)-VLOOKUP($AO132,'Технический лист'!$I:$J,2,1)),1+(1-$AU132))</f>
        <v>1</v>
      </c>
      <c r="CX132" s="15">
        <f>MIN(IF($AU132=100%,1,1+VLOOKUP(($AJ132-$AI132-$AH132-$AG132-$AF132-$AE132*(1+CX$3))/$AJ132,'Технический лист'!$I:$J,2,1)-VLOOKUP($AO132,'Технический лист'!$I:$J,2,1)),1+(1-$AU132))</f>
        <v>1</v>
      </c>
      <c r="CY132" s="15">
        <f>MIN(IF($AU132=100%,1,1+VLOOKUP(($AJ132-$AI132-$AH132-$AG132-$AF132-$AE132*(1+CY$3))/$AJ132,'Технический лист'!$I:$J,2,1)-VLOOKUP($AO132,'Технический лист'!$I:$J,2,1)),1+(1-$AU132))</f>
        <v>1</v>
      </c>
      <c r="CZ132" s="15">
        <f>MIN(IF($AU132=100%,1,1+VLOOKUP(($AJ132-$AI132-$AH132-$AG132-$AF132-$AE132*(1+CZ$3))/$AJ132,'Технический лист'!$I:$J,2,1)-VLOOKUP($AO132,'Технический лист'!$I:$J,2,1)),1+(1-$AU132))</f>
        <v>1</v>
      </c>
      <c r="DA132" s="15">
        <f>MIN(IF($AU132=100%,1,1+VLOOKUP(($AJ132-$AI132-$AH132-$AG132-$AF132-$AE132*(1+DA$3))/$AJ132,'Технический лист'!$I:$J,2,1)-VLOOKUP($AO132,'Технический лист'!$I:$J,2,1)),1+(1-$AU132))</f>
        <v>1</v>
      </c>
      <c r="DB132" s="15">
        <f>MIN(IF($AU132=100%,1,1+VLOOKUP(($AJ132-$AI132-$AH132-$AG132-$AF132-$AE132*(1+DB$3))/$AJ132,'Технический лист'!$I:$J,2,1)-VLOOKUP($AO132,'Технический лист'!$I:$J,2,1)),1+(1-$AU132))</f>
        <v>1</v>
      </c>
      <c r="DC132" s="15">
        <f>MIN(IF($AU132=100%,1,1+VLOOKUP(($AJ132-$AI132-$AH132-$AG132-$AF132-$AE132*(1+DC$3))/$AJ132,'Технический лист'!$I:$J,2,1)-VLOOKUP($AO132,'Технический лист'!$I:$J,2,1)),1+(1-$AU132))</f>
        <v>1</v>
      </c>
      <c r="DD132" s="15">
        <f>MIN(IF($AU132=100%,1,1+VLOOKUP(($AJ132-$AI132-$AH132-$AG132-$AF132-$AE132*(1+DD$3))/$AJ132,'Технический лист'!$I:$J,2,1)-VLOOKUP($AO132,'Технический лист'!$I:$J,2,1)),1+(1-$AU132))</f>
        <v>1</v>
      </c>
      <c r="DE132" s="15">
        <f>MIN(IF($AU132=100%,1,1+VLOOKUP(($AJ132-$AI132-$AH132-$AG132-$AF132-$AE132*(1+DE$3))/$AJ132,'Технический лист'!$I:$J,2,1)-VLOOKUP($AO132,'Технический лист'!$I:$J,2,1)),1+(1-$AU132))</f>
        <v>1</v>
      </c>
      <c r="DF132" s="15">
        <f>MIN(IF($AU132=100%,1,1+VLOOKUP(($AJ132-$AI132-$AH132-$AG132-$AF132-$AE132*(1+DF$3))/$AJ132,'Технический лист'!$I:$J,2,1)-VLOOKUP($AO132,'Технический лист'!$I:$J,2,1)),1+(1-$AU132))</f>
        <v>1</v>
      </c>
      <c r="DG132" s="15">
        <f>MIN(IF($AU132=100%,1,1+VLOOKUP(($AJ132-$AI132-$AH132-$AG132-$AF132-$AE132*(1+DG$3))/$AJ132,'Технический лист'!$I:$J,2,1)-VLOOKUP($AO132,'Технический лист'!$I:$J,2,1)),1+(1-$AU132))</f>
        <v>1</v>
      </c>
      <c r="DH132" s="15">
        <f>MIN(IF($AU132=100%,1,1+VLOOKUP(($AJ132-$AI132-$AH132-$AG132-$AF132-$AE132*(1+DH$3))/$AJ132,'Технический лист'!$I:$J,2,1)-VLOOKUP($AO132,'Технический лист'!$I:$J,2,1)),1+(1-$AU132))</f>
        <v>1</v>
      </c>
      <c r="DI132" s="15">
        <f>MIN(IF($AU132=100%,1,1+VLOOKUP(($AJ132-$AI132-$AH132-$AG132-$AF132-$AE132*(1+DI$3))/$AJ132,'Технический лист'!$I:$J,2,1)-VLOOKUP($AO132,'Технический лист'!$I:$J,2,1)),1+(1-$AU132))</f>
        <v>1</v>
      </c>
      <c r="DJ132" s="15">
        <f>MIN(IF($AU132=100%,1,1+VLOOKUP(($AJ132-$AI132-$AH132-$AG132-$AF132-$AE132*(1+DJ$3))/$AJ132,'Технический лист'!$I:$J,2,1)-VLOOKUP($AO132,'Технический лист'!$I:$J,2,1)),1+(1-$AU132))</f>
        <v>1</v>
      </c>
      <c r="DK132" s="15">
        <f>MIN(IF($AU132=100%,1,1+VLOOKUP(($AJ132-$AI132-$AH132-$AG132-$AF132-$AE132*(1+DK$3))/$AJ132,'Технический лист'!$I:$J,2,1)-VLOOKUP($AO132,'Технический лист'!$I:$J,2,1)),1+(1-$AU132))</f>
        <v>1</v>
      </c>
      <c r="DL132" s="15">
        <f>MIN(IF($AU132=100%,1,1+VLOOKUP(($AJ132-$AI132-$AH132-$AG132-$AF132-$AE132*(1+DL$3))/$AJ132,'Технический лист'!$I:$J,2,1)-VLOOKUP($AO132,'Технический лист'!$I:$J,2,1)),1+(1-$AU132))</f>
        <v>1</v>
      </c>
      <c r="DM132" s="15">
        <f>MIN(IF($AU132=100%,1,1+VLOOKUP(($AJ132-$AI132-$AH132-$AG132-$AF132-$AE132*(1+DM$3))/$AJ132,'Технический лист'!$I:$J,2,1)-VLOOKUP($AO132,'Технический лист'!$I:$J,2,1)),1+(1-$AU132))</f>
        <v>1</v>
      </c>
      <c r="DN132" s="15">
        <f>MIN(IF($AU132=100%,1,1+VLOOKUP(($AJ132-$AI132-$AH132-$AG132-$AF132-$AE132*(1+DN$3))/$AJ132,'Технический лист'!$I:$J,2,1)-VLOOKUP($AO132,'Технический лист'!$I:$J,2,1)),1+(1-$AU132))</f>
        <v>1</v>
      </c>
      <c r="DO132" s="15">
        <f>MIN(IF($AU132=100%,1,1+VLOOKUP(($AJ132-$AI132-$AH132-$AG132-$AF132-$AE132*(1+DO$3))/$AJ132,'Технический лист'!$I:$J,2,1)-VLOOKUP($AO132,'Технический лист'!$I:$J,2,1)),1+(1-$AU132))</f>
        <v>1</v>
      </c>
      <c r="DP132" s="15">
        <f>MIN(IF($AU132=100%,1,1+VLOOKUP(($AJ132-$AI132-$AH132-$AG132-$AF132-$AE132*(1+DP$3))/$AJ132,'Технический лист'!$I:$J,2,1)-VLOOKUP($AO132,'Технический лист'!$I:$J,2,1)),1+(1-$AU132))</f>
        <v>1</v>
      </c>
      <c r="DQ132" s="15">
        <f>MIN(IF($AU132=100%,1,1+VLOOKUP(($AJ132-$AI132-$AH132-$AG132-$AF132-$AE132*(1+DQ$3))/$AJ132,'Технический лист'!$I:$J,2,1)-VLOOKUP($AO132,'Технический лист'!$I:$J,2,1)),1+(1-$AU132))</f>
        <v>1</v>
      </c>
      <c r="DR132" s="15">
        <f>MIN(IF($AU132=100%,1,1+VLOOKUP(($AJ132-$AI132-$AH132-$AG132-$AF132-$AE132*(1+DR$3))/$AJ132,'Технический лист'!$I:$J,2,1)-VLOOKUP($AO132,'Технический лист'!$I:$J,2,1)),1+(1-$AU132))</f>
        <v>1</v>
      </c>
      <c r="DS132" s="15">
        <f>MIN(IF($AU132=100%,1,1+VLOOKUP(($AJ132-$AI132-$AH132-$AG132-$AF132-$AE132*(1+DS$3))/$AJ132,'Технический лист'!$I:$J,2,1)-VLOOKUP($AO132,'Технический лист'!$I:$J,2,1)),1+(1-$AU132))</f>
        <v>1</v>
      </c>
      <c r="DT132" s="15">
        <f>MIN(IF($AU132=100%,1,1+VLOOKUP(($AJ132-$AI132-$AH132-$AG132-$AF132-$AE132*(1+DT$3))/$AJ132,'Технический лист'!$I:$J,2,1)-VLOOKUP($AO132,'Технический лист'!$I:$J,2,1)),1+(1-$AU132))</f>
        <v>1</v>
      </c>
      <c r="DU132" s="15">
        <f>MIN(IF($AU132=100%,1,1+VLOOKUP(($AJ132-$AI132-$AH132-$AG132-$AF132-$AE132*(1+DU$3))/$AJ132,'Технический лист'!$I:$J,2,1)-VLOOKUP($AO132,'Технический лист'!$I:$J,2,1)),1+(1-$AU132))</f>
        <v>1</v>
      </c>
      <c r="DV132" s="15">
        <f>MIN(IF($AU132=100%,1,1+VLOOKUP(($AJ132-$AI132-$AH132-$AG132-$AF132-$AE132*(1+DV$3))/$AJ132,'Технический лист'!$I:$J,2,1)-VLOOKUP($AO132,'Технический лист'!$I:$J,2,1)),1+(1-$AU132))</f>
        <v>1</v>
      </c>
      <c r="DW132" s="15">
        <f>MIN(IF($AU132=100%,1,1+VLOOKUP(($AJ132-$AI132-$AH132-$AG132-$AF132-$AE132*(1+DW$3))/$AJ132,'Технический лист'!$I:$J,2,1)-VLOOKUP($AO132,'Технический лист'!$I:$J,2,1)),1+(1-$AU132))</f>
        <v>1</v>
      </c>
      <c r="DX132" s="15">
        <f>MIN(IF($AU132=100%,1,1+VLOOKUP(($AJ132-$AI132-$AH132-$AG132-$AF132-$AE132*(1+DX$3))/$AJ132,'Технический лист'!$I:$J,2,1)-VLOOKUP($AO132,'Технический лист'!$I:$J,2,1)),1+(1-$AU132))</f>
        <v>1</v>
      </c>
      <c r="DY132" s="15">
        <f>MIN(IF($AU132=100%,1,1+VLOOKUP(($AJ132-$AI132-$AH132-$AG132-$AF132-$AE132*(1+DY$3))/$AJ132,'Технический лист'!$I:$J,2,1)-VLOOKUP($AO132,'Технический лист'!$I:$J,2,1)),1+(1-$AU132))</f>
        <v>1</v>
      </c>
      <c r="DZ132" s="15">
        <f>MIN(IF($AU132=100%,1,1+VLOOKUP(($AJ132-$AI132-$AH132-$AG132-$AF132-$AE132*(1+DZ$3))/$AJ132,'Технический лист'!$I:$J,2,1)-VLOOKUP($AO132,'Технический лист'!$I:$J,2,1)),1+(1-$AU132))</f>
        <v>1</v>
      </c>
      <c r="EA132" s="15">
        <f>MIN(IF($AU132=100%,1,1+VLOOKUP(($AJ132-$AI132-$AH132-$AG132-$AF132-$AE132*(1+EA$3))/$AJ132,'Технический лист'!$I:$J,2,1)-VLOOKUP($AO132,'Технический лист'!$I:$J,2,1)),1+(1-$AU132))</f>
        <v>1</v>
      </c>
      <c r="EB132" s="15">
        <f>MIN(IF($AU132=100%,1,1+VLOOKUP(($AJ132-$AI132-$AH132-$AG132-$AF132-$AE132*(1+EB$3))/$AJ132,'Технический лист'!$I:$J,2,1)-VLOOKUP($AO132,'Технический лист'!$I:$J,2,1)),1+(1-$AU132))</f>
        <v>1</v>
      </c>
      <c r="EC132" s="15">
        <f>MIN(IF($AU132=100%,1,1+VLOOKUP(($AJ132-$AI132-$AH132-$AG132-$AF132-$AE132*(1+EC$3))/$AJ132,'Технический лист'!$I:$J,2,1)-VLOOKUP($AO132,'Технический лист'!$I:$J,2,1)),1+(1-$AU132))</f>
        <v>1</v>
      </c>
      <c r="ED132" s="15">
        <f>MIN(IF($AU132=100%,1,1+VLOOKUP(($AJ132-$AI132-$AH132-$AG132-$AF132-$AE132*(1+ED$3))/$AJ132,'Технический лист'!$I:$J,2,1)-VLOOKUP($AO132,'Технический лист'!$I:$J,2,1)),1+(1-$AU132))</f>
        <v>1</v>
      </c>
      <c r="EE132" s="15">
        <f>MIN(IF($AU132=100%,1,1+VLOOKUP(($AJ132-$AI132-$AH132-$AG132-$AF132-$AE132*(1+EE$3))/$AJ132,'Технический лист'!$I:$J,2,1)-VLOOKUP($AO132,'Технический лист'!$I:$J,2,1)),1+(1-$AU132))</f>
        <v>1</v>
      </c>
      <c r="EF132" s="15">
        <f>MIN(IF($AU132=100%,1,1+VLOOKUP(($AJ132-$AI132-$AH132-$AG132-$AF132-$AE132*(1+EF$3))/$AJ132,'Технический лист'!$I:$J,2,1)-VLOOKUP($AO132,'Технический лист'!$I:$J,2,1)),1+(1-$AU132))</f>
        <v>1</v>
      </c>
      <c r="EG132" s="15">
        <f>MIN(IF($AU132=100%,1,1+VLOOKUP(($AJ132-$AI132-$AH132-$AG132-$AF132-$AE132*(1+EG$3))/$AJ132,'Технический лист'!$I:$J,2,1)-VLOOKUP($AO132,'Технический лист'!$I:$J,2,1)),1+(1-$AU132))</f>
        <v>1</v>
      </c>
      <c r="EH132" s="15">
        <f>MIN(IF($AU132=100%,1,1+VLOOKUP(($AJ132-$AI132-$AH132-$AG132-$AF132-$AE132*(1+EH$3))/$AJ132,'Технический лист'!$I:$J,2,1)-VLOOKUP($AO132,'Технический лист'!$I:$J,2,1)),1+(1-$AU132))</f>
        <v>1</v>
      </c>
      <c r="EI132" s="15">
        <f>MIN(IF($AU132=100%,1,1+VLOOKUP(($AJ132-$AI132-$AH132-$AG132-$AF132-$AE132*(1+EI$3))/$AJ132,'Технический лист'!$I:$J,2,1)-VLOOKUP($AO132,'Технический лист'!$I:$J,2,1)),1+(1-$AU132))</f>
        <v>1</v>
      </c>
      <c r="EJ132" s="15">
        <f>MIN(IF($AU132=100%,1,1+VLOOKUP(($AJ132-$AI132-$AH132-$AG132-$AF132-$AE132*(1+EJ$3))/$AJ132,'Технический лист'!$I:$J,2,1)-VLOOKUP($AO132,'Технический лист'!$I:$J,2,1)),1+(1-$AU132))</f>
        <v>1</v>
      </c>
      <c r="EK132" s="15">
        <f>MIN(IF($AU132=100%,1,1+VLOOKUP(($AJ132-$AI132-$AH132-$AG132-$AF132-$AE132*(1+EK$3))/$AJ132,'Технический лист'!$I:$J,2,1)-VLOOKUP($AO132,'Технический лист'!$I:$J,2,1)),1+(1-$AU132))</f>
        <v>1</v>
      </c>
      <c r="EL132" s="15">
        <f>MIN(IF($AU132=100%,1,1+VLOOKUP(($AJ132-$AI132-$AH132-$AG132-$AF132-$AE132*(1+EL$3))/$AJ132,'Технический лист'!$I:$J,2,1)-VLOOKUP($AO132,'Технический лист'!$I:$J,2,1)),1+(1-$AU132))</f>
        <v>1</v>
      </c>
      <c r="EM132" s="15">
        <f>MIN(IF($AU132=100%,1,1+VLOOKUP(($AJ132-$AI132-$AH132-$AG132-$AF132-$AE132*(1+EM$3))/$AJ132,'Технический лист'!$I:$J,2,1)-VLOOKUP($AO132,'Технический лист'!$I:$J,2,1)),1+(1-$AU132))</f>
        <v>1</v>
      </c>
      <c r="EN132" s="15">
        <f>MIN(IF($AU132=100%,1,1+VLOOKUP(($AJ132-$AI132-$AH132-$AG132-$AF132-$AE132*(1+EN$3))/$AJ132,'Технический лист'!$I:$J,2,1)-VLOOKUP($AO132,'Технический лист'!$I:$J,2,1)),1+(1-$AU132))</f>
        <v>1</v>
      </c>
      <c r="EO132" s="15">
        <f>MIN(IF($AU132=100%,1,1+VLOOKUP(($AJ132-$AI132-$AH132-$AG132-$AF132-$AE132*(1+EO$3))/$AJ132,'Технический лист'!$I:$J,2,1)-VLOOKUP($AO132,'Технический лист'!$I:$J,2,1)),1+(1-$AU132))</f>
        <v>1</v>
      </c>
      <c r="EP132" s="15">
        <f>MIN(IF($AU132=100%,1,1+VLOOKUP(($AJ132-$AI132-$AH132-$AG132-$AF132-$AE132*(1+EP$3))/$AJ132,'Технический лист'!$I:$J,2,1)-VLOOKUP($AO132,'Технический лист'!$I:$J,2,1)),1+(1-$AU132))</f>
        <v>1</v>
      </c>
      <c r="EQ132" s="15">
        <f>MIN(IF($AU132=100%,1,1+VLOOKUP(($AJ132-$AI132-$AH132-$AG132-$AF132-$AE132*(1+EQ$3))/$AJ132,'Технический лист'!$I:$J,2,1)-VLOOKUP($AO132,'Технический лист'!$I:$J,2,1)),1+(1-$AU132))</f>
        <v>1</v>
      </c>
      <c r="ER132" s="15">
        <f>MIN(IF($AU132=100%,1,1+VLOOKUP(($AJ132-$AI132-$AH132-$AG132-$AF132-$AE132*(1+ER$3))/$AJ132,'Технический лист'!$I:$J,2,1)-VLOOKUP($AO132,'Технический лист'!$I:$J,2,1)),1+(1-$AU132))</f>
        <v>1</v>
      </c>
      <c r="ES132" s="15">
        <f>MIN(IF($AU132=100%,1,1+VLOOKUP(($AJ132-$AI132-$AH132-$AG132-$AF132-$AE132*(1+ES$3))/$AJ132,'Технический лист'!$I:$J,2,1)-VLOOKUP($AO132,'Технический лист'!$I:$J,2,1)),1+(1-$AU132))</f>
        <v>1</v>
      </c>
      <c r="ET132" s="15">
        <f>MIN(IF($AU132=100%,1,1+VLOOKUP(($AJ132-$AI132-$AH132-$AG132-$AF132-$AE132*(1+ET$3))/$AJ132,'Технический лист'!$I:$J,2,1)-VLOOKUP($AO132,'Технический лист'!$I:$J,2,1)),1+(1-$AU132))</f>
        <v>1</v>
      </c>
      <c r="EU132" s="15">
        <f>MIN(IF($AU132=100%,1,1+VLOOKUP(($AJ132-$AI132-$AH132-$AG132-$AF132-$AE132*(1+EU$3))/$AJ132,'Технический лист'!$I:$J,2,1)-VLOOKUP($AO132,'Технический лист'!$I:$J,2,1)),1+(1-$AU132))</f>
        <v>1</v>
      </c>
      <c r="EV132" s="111">
        <v>1</v>
      </c>
      <c r="EW132" s="15">
        <f>MIN(1,MAX(VLOOKUP(($AJ132-$AI132-$AH132-$AG132-$AF132-$AE132*(1+EW$3))/$AJ132,'Технический лист'!$A:$B,2,1),(EV132-0.05)))</f>
        <v>1</v>
      </c>
      <c r="EX132" s="15">
        <f>MIN(1,MAX(VLOOKUP(($AJ132-$AI132-$AH132-$AG132-$AF132-$AE132*(1+EX$3))/$AJ132,'Технический лист'!$A:$B,2,1),(EW132-0.05)))</f>
        <v>1</v>
      </c>
      <c r="EY132" s="15">
        <f>MIN(1,MAX(VLOOKUP(($AJ132-$AI132-$AH132-$AG132-$AF132-$AE132*(1+EY$3))/$AJ132,'Технический лист'!$A:$B,2,1),(EX132-0.05)))</f>
        <v>1</v>
      </c>
      <c r="EZ132" s="15">
        <f>MIN(1,MAX(VLOOKUP(($AJ132-$AI132-$AH132-$AG132-$AF132-$AE132*(1+EZ$3))/$AJ132,'Технический лист'!$A:$B,2,1),(EY132-0.05)))</f>
        <v>1</v>
      </c>
      <c r="FA132" s="15">
        <f>MIN(1,MAX(VLOOKUP(($AJ132-$AI132-$AH132-$AG132-$AF132-$AE132*(1+FA$3))/$AJ132,'Технический лист'!$A:$B,2,1),(EZ132-0.05)))</f>
        <v>1</v>
      </c>
      <c r="FB132" s="15">
        <f>MIN(1,MAX(VLOOKUP(($AJ132-$AI132-$AH132-$AG132-$AF132-$AE132*(1+FB$3))/$AJ132,'Технический лист'!$A:$B,2,1),(FA132-0.05)))</f>
        <v>1</v>
      </c>
      <c r="FC132" s="15">
        <f>MIN(1,MAX(VLOOKUP(($AJ132-$AI132-$AH132-$AG132-$AF132-$AE132*(1+FC$3))/$AJ132,'Технический лист'!$A:$B,2,1),(FB132-0.05)))</f>
        <v>1</v>
      </c>
      <c r="FD132" s="15">
        <f>MIN(1,MAX(VLOOKUP(($AJ132-$AI132-$AH132-$AG132-$AF132-$AE132*(1+FD$3))/$AJ132,'Технический лист'!$A:$B,2,1),(FC132-0.05)))</f>
        <v>1</v>
      </c>
      <c r="FE132" s="15">
        <f>MIN(1,MAX(VLOOKUP(($AJ132-$AI132-$AH132-$AG132-$AF132-$AE132*(1+FE$3))/$AJ132,'Технический лист'!$A:$B,2,1),(FD132-0.05)))</f>
        <v>1</v>
      </c>
      <c r="FF132" s="15">
        <f>MIN(1,MAX(VLOOKUP(($AJ132-$AI132-$AH132-$AG132-$AF132-$AE132*(1+FF$3))/$AJ132,'Технический лист'!$A:$B,2,1),(FE132-0.05)))</f>
        <v>1</v>
      </c>
      <c r="FG132" s="15">
        <f>MIN(1,MAX(VLOOKUP(($AJ132-$AI132-$AH132-$AG132-$AF132-$AE132*(1+FG$3))/$AJ132,'Технический лист'!$A:$B,2,1),(FF132-0.05)))</f>
        <v>1</v>
      </c>
      <c r="FH132" s="15">
        <f>MIN(1,MAX(VLOOKUP(($AJ132-$AI132-$AH132-$AG132-$AF132-$AE132*(1+FH$3))/$AJ132,'Технический лист'!$A:$B,2,1),(FG132-0.05)))</f>
        <v>1</v>
      </c>
      <c r="FI132" s="15">
        <f>MIN(1,MAX(VLOOKUP(($AJ132-$AI132-$AH132-$AG132-$AF132-$AE132*(1+FI$3))/$AJ132,'Технический лист'!$A:$B,2,1),(FH132-0.05)))</f>
        <v>1</v>
      </c>
      <c r="FJ132" s="15">
        <f>MIN(1,MAX(VLOOKUP(($AJ132-$AI132-$AH132-$AG132-$AF132-$AE132*(1+FJ$3))/$AJ132,'Технический лист'!$A:$B,2,1),(FI132-0.05)))</f>
        <v>1</v>
      </c>
      <c r="FK132" s="15">
        <f>MIN(1,MAX(VLOOKUP(($AJ132-$AI132-$AH132-$AG132-$AF132-$AE132*(1+FK$3))/$AJ132,'Технический лист'!$A:$B,2,1),(FJ132-0.05)))</f>
        <v>1</v>
      </c>
      <c r="FL132" s="15">
        <f>MIN(1,MAX(VLOOKUP(($AJ132-$AI132-$AH132-$AG132-$AF132-$AE132*(1+FL$3))/$AJ132,'Технический лист'!$A:$B,2,1),(FK132-0.05)))</f>
        <v>1</v>
      </c>
      <c r="FM132" s="15">
        <f>MIN(1,MAX(VLOOKUP(($AJ132-$AI132-$AH132-$AG132-$AF132-$AE132*(1+FM$3))/$AJ132,'Технический лист'!$A:$B,2,1),(FL132-0.05)))</f>
        <v>1</v>
      </c>
      <c r="FN132" s="15">
        <f>MIN(1,MAX(VLOOKUP(($AJ132-$AI132-$AH132-$AG132-$AF132-$AE132*(1+FN$3))/$AJ132,'Технический лист'!$A:$B,2,1),(FM132-0.05)))</f>
        <v>1</v>
      </c>
      <c r="FO132" s="15">
        <f>MIN(1,MAX(VLOOKUP(($AJ132-$AI132-$AH132-$AG132-$AF132-$AE132*(1+FO$3))/$AJ132,'Технический лист'!$A:$B,2,1),(FN132-0.05)))</f>
        <v>1</v>
      </c>
      <c r="FP132" s="15">
        <f>MIN(1,MAX(VLOOKUP(($AJ132-$AI132-$AH132-$AG132-$AF132-$AE132*(1+FP$3))/$AJ132,'Технический лист'!$A:$B,2,1),(FO132-0.05)))</f>
        <v>1</v>
      </c>
      <c r="FQ132" s="15">
        <f>MIN(1,MAX(VLOOKUP(($AJ132-$AI132-$AH132-$AG132-$AF132-$AE132*(1+FQ$3))/$AJ132,'Технический лист'!$A:$B,2,1),(FP132-0.05)))</f>
        <v>1</v>
      </c>
      <c r="FR132" s="15">
        <f>MIN(1,MAX(VLOOKUP(($AJ132-$AI132-$AH132-$AG132-$AF132-$AE132*(1+FR$3))/$AJ132,'Технический лист'!$A:$B,2,1),(FQ132-0.05)))</f>
        <v>1</v>
      </c>
      <c r="FS132" s="15">
        <f>MIN(1,MAX(VLOOKUP(($AJ132-$AI132-$AH132-$AG132-$AF132-$AE132*(1+FS$3))/$AJ132,'Технический лист'!$A:$B,2,1),(FR132-0.05)))</f>
        <v>1</v>
      </c>
      <c r="FT132" s="15">
        <f>MIN(1,MAX(VLOOKUP(($AJ132-$AI132-$AH132-$AG132-$AF132-$AE132*(1+FT$3))/$AJ132,'Технический лист'!$A:$B,2,1),(FS132-0.05)))</f>
        <v>1</v>
      </c>
      <c r="FU132" s="15">
        <f>MIN(1,MAX(VLOOKUP(($AJ132-$AI132-$AH132-$AG132-$AF132-$AE132*(1+FU$3))/$AJ132,'Технический лист'!$A:$B,2,1),(FT132-0.05)))</f>
        <v>1</v>
      </c>
      <c r="FV132" s="15">
        <f>MIN(1,MAX(VLOOKUP(($AJ132-$AI132-$AH132-$AG132-$AF132-$AE132*(1+FV$3))/$AJ132,'Технический лист'!$A:$B,2,1),(FU132-0.05)))</f>
        <v>1</v>
      </c>
      <c r="FW132" s="15">
        <f>MIN(1,MAX(VLOOKUP(($AJ132-$AI132-$AH132-$AG132-$AF132-$AE132*(1+FW$3))/$AJ132,'Технический лист'!$A:$B,2,1),(FV132-0.05)))</f>
        <v>1</v>
      </c>
      <c r="FX132" s="15">
        <f>MIN(1,MAX(VLOOKUP(($AJ132-$AI132-$AH132-$AG132-$AF132-$AE132*(1+FX$3))/$AJ132,'Технический лист'!$A:$B,2,1),(FW132-0.05)))</f>
        <v>1</v>
      </c>
      <c r="FY132" s="15">
        <f>MIN(1,MAX(VLOOKUP(($AJ132-$AI132-$AH132-$AG132-$AF132-$AE132*(1+FY$3))/$AJ132,'Технический лист'!$A:$B,2,1),(FX132-0.05)))</f>
        <v>1</v>
      </c>
      <c r="FZ132" s="15">
        <f>MIN(1,MAX(VLOOKUP(($AJ132-$AI132-$AH132-$AG132-$AF132-$AE132*(1+FZ$3))/$AJ132,'Технический лист'!$A:$B,2,1),(FY132-0.05)))</f>
        <v>1</v>
      </c>
      <c r="GA132" s="15">
        <f>MIN(1,MAX(VLOOKUP(($AJ132-$AI132-$AH132-$AG132-$AF132-$AE132*(1+GA$3))/$AJ132,'Технический лист'!$A:$B,2,1),(FZ132-0.05)))</f>
        <v>1</v>
      </c>
      <c r="GB132" s="15">
        <f>MIN(1,MAX(VLOOKUP(($AJ132-$AI132-$AH132-$AG132-$AF132-$AE132*(1+GB$3))/$AJ132,'Технический лист'!$A:$B,2,1),(GA132-0.05)))</f>
        <v>1</v>
      </c>
      <c r="GC132" s="15">
        <f>MIN(1,MAX(VLOOKUP(($AJ132-$AI132-$AH132-$AG132-$AF132-$AE132*(1+GC$3))/$AJ132,'Технический лист'!$A:$B,2,1),(GB132-0.05)))</f>
        <v>1</v>
      </c>
      <c r="GD132" s="15">
        <f>MIN(1,MAX(VLOOKUP(($AJ132-$AI132-$AH132-$AG132-$AF132-$AE132*(1+GD$3))/$AJ132,'Технический лист'!$A:$B,2,1),(GC132-0.05)))</f>
        <v>1</v>
      </c>
      <c r="GE132" s="15">
        <f>MIN(1,MAX(VLOOKUP(($AJ132-$AI132-$AH132-$AG132-$AF132-$AE132*(1+GE$3))/$AJ132,'Технический лист'!$A:$B,2,1),(GD132-0.05)))</f>
        <v>1</v>
      </c>
      <c r="GF132" s="15">
        <f>MIN(1,MAX(VLOOKUP(($AJ132-$AI132-$AH132-$AG132-$AF132-$AE132*(1+GF$3))/$AJ132,'Технический лист'!$A:$B,2,1),(GE132-0.05)))</f>
        <v>1</v>
      </c>
      <c r="GG132" s="15">
        <f>MIN(1,MAX(VLOOKUP(($AJ132-$AI132-$AH132-$AG132-$AF132-$AE132*(1+GG$3))/$AJ132,'Технический лист'!$A:$B,2,1),(GF132-0.05)))</f>
        <v>1</v>
      </c>
      <c r="GH132" s="15">
        <f>MIN(1,MAX(VLOOKUP(($AJ132-$AI132-$AH132-$AG132-$AF132-$AE132*(1+GH$3))/$AJ132,'Технический лист'!$A:$B,2,1),(GG132-0.05)))</f>
        <v>1</v>
      </c>
      <c r="GI132" s="15">
        <f>MIN(1,MAX(VLOOKUP(($AJ132-$AI132-$AH132-$AG132-$AF132-$AE132*(1+GI$3))/$AJ132,'Технический лист'!$A:$B,2,1),(GH132-0.05)))</f>
        <v>1</v>
      </c>
      <c r="GJ132" s="15">
        <f>MIN(1,MAX(VLOOKUP(($AJ132-$AI132-$AH132-$AG132-$AF132-$AE132*(1+GJ$3))/$AJ132,'Технический лист'!$A:$B,2,1),(GI132-0.05)))</f>
        <v>1</v>
      </c>
      <c r="GK132" s="15">
        <f>MIN(1,MAX(VLOOKUP(($AJ132-$AI132-$AH132-$AG132-$AF132-$AE132*(1+GK$3))/$AJ132,'Технический лист'!$A:$B,2,1),(GJ132-0.05)))</f>
        <v>1</v>
      </c>
      <c r="GL132" s="15">
        <f>MIN(1,MAX(VLOOKUP(($AJ132-$AI132-$AH132-$AG132-$AF132-$AE132*(1+GL$3))/$AJ132,'Технический лист'!$A:$B,2,1),(GK132-0.05)))</f>
        <v>1</v>
      </c>
      <c r="GM132" s="15">
        <f>MIN(1,MAX(VLOOKUP(($AJ132-$AI132-$AH132-$AG132-$AF132-$AE132*(1+GM$3))/$AJ132,'Технический лист'!$A:$B,2,1),(GL132-0.05)))</f>
        <v>1</v>
      </c>
      <c r="GN132" s="15">
        <f>MIN(1,MAX(VLOOKUP(($AJ132-$AI132-$AH132-$AG132-$AF132-$AE132*(1+GN$3))/$AJ132,'Технический лист'!$A:$B,2,1),(GM132-0.05)))</f>
        <v>1</v>
      </c>
      <c r="GO132" s="15">
        <f>MIN(1,MAX(VLOOKUP(($AJ132-$AI132-$AH132-$AG132-$AF132-$AE132*(1+GO$3))/$AJ132,'Технический лист'!$A:$B,2,1),(GN132-0.05)))</f>
        <v>1</v>
      </c>
      <c r="GP132" s="15">
        <f>MIN(1,MAX(VLOOKUP(($AJ132-$AI132-$AH132-$AG132-$AF132-$AE132*(1+GP$3))/$AJ132,'Технический лист'!$A:$B,2,1),(GO132-0.05)))</f>
        <v>1</v>
      </c>
      <c r="GQ132" s="15">
        <f>MIN(1,MAX(VLOOKUP(($AJ132-$AI132-$AH132-$AG132-$AF132-$AE132*(1+GQ$3))/$AJ132,'Технический лист'!$A:$B,2,1),(GP132-0.05)))</f>
        <v>1</v>
      </c>
      <c r="GR132" s="15">
        <f>MIN(1,MAX(VLOOKUP(($AJ132-$AI132-$AH132-$AG132-$AF132-$AE132*(1+GR$3))/$AJ132,'Технический лист'!$A:$B,2,1),(GQ132-0.05)))</f>
        <v>1</v>
      </c>
      <c r="GS132" s="15">
        <f>MIN(1,MAX(VLOOKUP(($AJ132-$AI132-$AH132-$AG132-$AF132-$AE132*(1+GS$3))/$AJ132,'Технический лист'!$A:$B,2,1),(GR132-0.05)))</f>
        <v>1</v>
      </c>
      <c r="GT132" s="15">
        <f>MIN(1,MAX(VLOOKUP(($AJ132-$AI132-$AH132-$AG132-$AF132-$AE132*(1+GT$3))/$AJ132,'Технический лист'!$A:$B,2,1),(GS132-0.05)))</f>
        <v>1</v>
      </c>
      <c r="GU132" s="15">
        <f>MIN(1,MAX(VLOOKUP(($AJ132-$AI132-$AH132-$AG132-$AF132-$AE132*(1+GU$3))/$AJ132,'Технический лист'!$A:$B,2,1),(GT132-0.05)))</f>
        <v>1</v>
      </c>
      <c r="GV132" s="15">
        <f>MIN(1,MAX(VLOOKUP(($AJ132-$AI132-$AH132-$AG132-$AF132-$AE132*(1+GV$3))/$AJ132,'Технический лист'!$A:$B,2,1),(GU132-0.05)))</f>
        <v>1</v>
      </c>
      <c r="GW132" s="15">
        <f>MIN(1,MAX(VLOOKUP(($AJ132-$AI132-$AH132-$AG132-$AF132-$AE132*(1+GW$3))/$AJ132,'Технический лист'!$A:$B,2,1),(GV132-0.05)))</f>
        <v>1</v>
      </c>
      <c r="GX132" s="15">
        <f>MIN(1,MAX(VLOOKUP(($AJ132-$AI132-$AH132-$AG132-$AF132-$AE132*(1+GX$3))/$AJ132,'Технический лист'!$A:$B,2,1),(GW132-0.05)))</f>
        <v>1</v>
      </c>
      <c r="GY132" s="15">
        <f>MIN(1,MAX(VLOOKUP(($AJ132-$AI132-$AH132-$AG132-$AF132-$AE132*(1+GY$3))/$AJ132,'Технический лист'!$A:$B,2,1),(GX132-0.05)))</f>
        <v>1</v>
      </c>
      <c r="GZ132" s="15">
        <f>MIN(1,MAX(VLOOKUP(($AJ132-$AI132-$AH132-$AG132-$AF132-$AE132*(1+GZ$3))/$AJ132,'Технический лист'!$A:$B,2,1),(GY132-0.05)))</f>
        <v>1</v>
      </c>
      <c r="HA132" s="15">
        <f>MIN(1,MAX(VLOOKUP(($AJ132-$AI132-$AH132-$AG132-$AF132-$AE132*(1+HA$3))/$AJ132,'Технический лист'!$A:$B,2,1),(GZ132-0.05)))</f>
        <v>1</v>
      </c>
      <c r="HB132" s="15">
        <f>MIN(1,MAX(VLOOKUP(($AJ132-$AI132-$AH132-$AG132-$AF132-$AE132*(1+HB$3))/$AJ132,'Технический лист'!$A:$B,2,1),(HA132-0.05)))</f>
        <v>1</v>
      </c>
      <c r="HC132" s="15">
        <f>MIN(1,MAX(VLOOKUP(($AJ132-$AI132-$AH132-$AG132-$AF132-$AE132*(1+HC$3))/$AJ132,'Технический лист'!$A:$B,2,1),(HB132-0.05)))</f>
        <v>1</v>
      </c>
      <c r="HD132" s="15">
        <f>MIN(1,MAX(VLOOKUP(($AJ132-$AI132-$AH132-$AG132-$AF132-$AE132*(1+HD$3))/$AJ132,'Технический лист'!$A:$B,2,1),(HC132-0.05)))</f>
        <v>1</v>
      </c>
      <c r="HE132" s="15">
        <f>MIN(1,MAX(VLOOKUP(($AJ132-$AI132-$AH132-$AG132-$AF132-$AE132*(1+HE$3))/$AJ132,'Технический лист'!$A:$B,2,1),(HD132-0.05)))</f>
        <v>1</v>
      </c>
      <c r="HF132" s="15">
        <f>MIN(1,MAX(VLOOKUP(($AJ132-$AI132-$AH132-$AG132-$AF132-$AE132*(1+HF$3))/$AJ132,'Технический лист'!$A:$B,2,1),(HE132-0.05)))</f>
        <v>1</v>
      </c>
      <c r="HG132" s="15">
        <f>MIN(1,MAX(VLOOKUP(($AJ132-$AI132-$AH132-$AG132-$AF132-$AE132*(1+HG$3))/$AJ132,'Технический лист'!$A:$B,2,1),(HF132-0.05)))</f>
        <v>1</v>
      </c>
      <c r="HH132" s="15">
        <f>MIN(1,MAX(VLOOKUP(($AJ132-$AI132-$AH132-$AG132-$AF132-$AE132*(1+HH$3))/$AJ132,'Технический лист'!$A:$B,2,1),(HG132-0.05)))</f>
        <v>1</v>
      </c>
      <c r="HI132" s="15">
        <f>MIN(1,MAX(VLOOKUP(($AJ132-$AI132-$AH132-$AG132-$AF132-$AE132*(1+HI$3))/$AJ132,'Технический лист'!$A:$B,2,1),(HH132-0.05)))</f>
        <v>1</v>
      </c>
      <c r="HJ132" s="15">
        <f>MIN(1,MAX(VLOOKUP(($AJ132-$AI132-$AH132-$AG132-$AF132-$AE132*(1+HJ$3))/$AJ132,'Технический лист'!$A:$B,2,1),(HI132-0.05)))</f>
        <v>1</v>
      </c>
      <c r="HK132" s="15">
        <f>MIN(1,MAX(VLOOKUP(($AJ132-$AI132-$AH132-$AG132-$AF132-$AE132*(1+HK$3))/$AJ132,'Технический лист'!$A:$B,2,1),(HJ132-0.05)))</f>
        <v>1</v>
      </c>
      <c r="HL132" s="15">
        <f>MIN(1,MAX(VLOOKUP(($AJ132-$AI132-$AH132-$AG132-$AF132-$AE132*(1+HL$3))/$AJ132,'Технический лист'!$A:$B,2,1),(HK132-0.05)))</f>
        <v>1</v>
      </c>
      <c r="HM132" s="15">
        <f>MIN(1,MAX(VLOOKUP(($AJ132-$AI132-$AH132-$AG132-$AF132-$AE132*(1+HM$3))/$AJ132,'Технический лист'!$A:$B,2,1),(HL132-0.05)))</f>
        <v>1</v>
      </c>
      <c r="HN132" s="15">
        <f>MIN(1,MAX(VLOOKUP(($AJ132-$AI132-$AH132-$AG132-$AF132-$AE132*(1+HN$3))/$AJ132,'Технический лист'!$A:$B,2,1),(HM132-0.05)))</f>
        <v>1</v>
      </c>
      <c r="HO132" s="15">
        <f>MIN(1,MAX(VLOOKUP(($AJ132-$AI132-$AH132-$AG132-$AF132-$AE132*(1+HO$3))/$AJ132,'Технический лист'!$A:$B,2,1),(HN132-0.05)))</f>
        <v>1</v>
      </c>
      <c r="HP132" s="15">
        <f>MIN(1,MAX(VLOOKUP(($AJ132-$AI132-$AH132-$AG132-$AF132-$AE132*(1+HP$3))/$AJ132,'Технический лист'!$A:$B,2,1),(HO132-0.05)))</f>
        <v>1</v>
      </c>
      <c r="HQ132" s="15">
        <f>MIN(1,MAX(VLOOKUP(($AJ132-$AI132-$AH132-$AG132-$AF132-$AE132*(1+HQ$3))/$AJ132,'Технический лист'!$A:$B,2,1),(HP132-0.05)))</f>
        <v>1</v>
      </c>
      <c r="HR132" s="15">
        <f>MIN(1,MAX(VLOOKUP(($AJ132-$AI132-$AH132-$AG132-$AF132-$AE132*(1+HR$3))/$AJ132,'Технический лист'!$A:$B,2,1),(HQ132-0.05)))</f>
        <v>1</v>
      </c>
      <c r="HS132" s="15">
        <f>MIN(1,MAX(VLOOKUP(($AJ132-$AI132-$AH132-$AG132-$AF132-$AE132*(1+HS$3))/$AJ132,'Технический лист'!$A:$B,2,1),(HR132-0.05)))</f>
        <v>1</v>
      </c>
      <c r="HT132" s="15">
        <f>MIN(1,MAX(VLOOKUP(($AJ132-$AI132-$AH132-$AG132-$AF132-$AE132*(1+HT$3))/$AJ132,'Технический лист'!$A:$B,2,1),(HS132-0.05)))</f>
        <v>1</v>
      </c>
      <c r="HU132" s="15">
        <f>MIN(1,MAX(VLOOKUP(($AJ132-$AI132-$AH132-$AG132-$AF132-$AE132*(1+HU$3))/$AJ132,'Технический лист'!$A:$B,2,1),(HT132-0.05)))</f>
        <v>1</v>
      </c>
      <c r="HV132" s="15">
        <f>MIN(1,MAX(VLOOKUP(($AJ132-$AI132-$AH132-$AG132-$AF132-$AE132*(1+HV$3))/$AJ132,'Технический лист'!$A:$B,2,1),(HU132-0.05)))</f>
        <v>1</v>
      </c>
      <c r="HW132" s="15">
        <f>MIN(1,MAX(VLOOKUP(($AJ132-$AI132-$AH132-$AG132-$AF132-$AE132*(1+HW$3))/$AJ132,'Технический лист'!$A:$B,2,1),(HV132-0.05)))</f>
        <v>1</v>
      </c>
      <c r="HX132" s="15">
        <f>MIN(1,MAX(VLOOKUP(($AJ132-$AI132-$AH132-$AG132-$AF132-$AE132*(1+HX$3))/$AJ132,'Технический лист'!$A:$B,2,1),(HW132-0.05)))</f>
        <v>1</v>
      </c>
      <c r="HY132" s="15">
        <f>MIN(1,MAX(VLOOKUP(($AJ132-$AI132-$AH132-$AG132-$AF132-$AE132*(1+HY$3))/$AJ132,'Технический лист'!$A:$B,2,1),(HX132-0.05)))</f>
        <v>1</v>
      </c>
      <c r="HZ132" s="15">
        <f>MIN(1,MAX(VLOOKUP(($AJ132-$AI132-$AH132-$AG132-$AF132-$AE132*(1+HZ$3))/$AJ132,'Технический лист'!$A:$B,2,1),(HY132-0.05)))</f>
        <v>1</v>
      </c>
      <c r="IA132" s="15">
        <f>MIN(1,MAX(VLOOKUP(($AJ132-$AI132-$AH132-$AG132-$AF132-$AE132*(1+IA$3))/$AJ132,'Технический лист'!$A:$B,2,1),(HZ132-0.05)))</f>
        <v>1</v>
      </c>
      <c r="IB132" s="15">
        <f>MIN(1,MAX(VLOOKUP(($AJ132-$AI132-$AH132-$AG132-$AF132-$AE132*(1+IB$3))/$AJ132,'Технический лист'!$A:$B,2,1),(IA132-0.05)))</f>
        <v>1</v>
      </c>
      <c r="IC132" s="15">
        <f>MIN(1,MAX(VLOOKUP(($AJ132-$AI132-$AH132-$AG132-$AF132-$AE132*(1+IC$3))/$AJ132,'Технический лист'!$A:$B,2,1),(IB132-0.05)))</f>
        <v>1</v>
      </c>
      <c r="ID132" s="15">
        <f>MIN(1,MAX(VLOOKUP(($AJ132-$AI132-$AH132-$AG132-$AF132-$AE132*(1+ID$3))/$AJ132,'Технический лист'!$A:$B,2,1),(IC132-0.05)))</f>
        <v>1</v>
      </c>
      <c r="IE132" s="15">
        <f>MIN(1,MAX(VLOOKUP(($AJ132-$AI132-$AH132-$AG132-$AF132-$AE132*(1+IE$3))/$AJ132,'Технический лист'!$A:$B,2,1),(ID132-0.05)))</f>
        <v>1</v>
      </c>
      <c r="IF132" s="15">
        <f>MIN(1,MAX(VLOOKUP(($AJ132-$AI132-$AH132-$AG132-$AF132-$AE132*(1+IF$3))/$AJ132,'Технический лист'!$A:$B,2,1),(IE132-0.05)))</f>
        <v>1</v>
      </c>
      <c r="IG132" s="15">
        <f>MIN(1,MAX(VLOOKUP(($AJ132-$AI132-$AH132-$AG132-$AF132-$AE132*(1+IG$3))/$AJ132,'Технический лист'!$A:$B,2,1),(IF132-0.05)))</f>
        <v>1</v>
      </c>
      <c r="IH132" s="15">
        <f>MIN(1,MAX(VLOOKUP(($AJ132-$AI132-$AH132-$AG132-$AF132-$AE132*(1+IH$3))/$AJ132,'Технический лист'!$A:$B,2,1),(IG132-0.05)))</f>
        <v>1</v>
      </c>
      <c r="II132" s="15">
        <f>MIN(1,MAX(VLOOKUP(($AJ132-$AI132-$AH132-$AG132-$AF132-$AE132*(1+II$3))/$AJ132,'Технический лист'!$A:$B,2,1),(IH132-0.05)))</f>
        <v>1</v>
      </c>
      <c r="IJ132" s="15">
        <f>MIN(1,MAX(VLOOKUP(($AJ132-$AI132-$AH132-$AG132-$AF132-$AE132*(1+IJ$3))/$AJ132,'Технический лист'!$A:$B,2,1),(II132-0.05)))</f>
        <v>1</v>
      </c>
      <c r="IK132" s="15">
        <f>MIN(1,MAX(VLOOKUP(($AJ132-$AI132-$AH132-$AG132-$AF132-$AE132*(1+IK$3))/$AJ132,'Технический лист'!$A:$B,2,1),(IJ132-0.05)))</f>
        <v>1</v>
      </c>
      <c r="IL132" s="15">
        <f>MIN(1,MAX(VLOOKUP(($AJ132-$AI132-$AH132-$AG132-$AF132-$AE132*(1+IL$3))/$AJ132,'Технический лист'!$A:$B,2,1),(IK132-0.05)))</f>
        <v>1</v>
      </c>
      <c r="IM132" s="15">
        <f>MIN(1,MAX(VLOOKUP(($AJ132-$AI132-$AH132-$AG132-$AF132-$AE132*(1+IM$3))/$AJ132,'Технический лист'!$A:$B,2,1),(IL132-0.05)))</f>
        <v>1</v>
      </c>
      <c r="IN132" s="15">
        <f>MIN(1,MAX(VLOOKUP(($AJ132-$AI132-$AH132-$AG132-$AF132-$AE132*(1+IN$3))/$AJ132,'Технический лист'!$A:$B,2,1),(IM132-0.05)))</f>
        <v>1</v>
      </c>
      <c r="IO132" s="15">
        <f>MIN(1,MAX(VLOOKUP(($AJ132-$AI132-$AH132-$AG132-$AF132-$AE132*(1+IO$3))/$AJ132,'Технический лист'!$A:$B,2,1),(IN132-0.05)))</f>
        <v>1</v>
      </c>
      <c r="IP132" s="15">
        <f>MIN(1,MAX(VLOOKUP(($AJ132-$AI132-$AH132-$AG132-$AF132-$AE132*(1+IP$3))/$AJ132,'Технический лист'!$A:$B,2,1),(IO132-0.05)))</f>
        <v>1</v>
      </c>
      <c r="IQ132" s="15">
        <f>MIN(1,MAX(VLOOKUP(($AJ132-$AI132-$AH132-$AG132-$AF132-$AE132*(1+IQ$3))/$AJ132,'Технический лист'!$A:$B,2,1),(IP132-0.05)))</f>
        <v>1</v>
      </c>
      <c r="IR132" s="15">
        <f>MIN(1,MAX(VLOOKUP(($AJ132-$AI132-$AH132-$AG132-$AF132-$AE132*(1+IR$3))/$AJ132,'Технический лист'!$A:$B,2,1),(IQ132-0.05)))</f>
        <v>1</v>
      </c>
    </row>
    <row r="133" spans="1:252" ht="29.15">
      <c r="A133" s="89" t="s">
        <v>513</v>
      </c>
      <c r="B133" s="90">
        <v>10</v>
      </c>
      <c r="C133" s="5" t="s">
        <v>66</v>
      </c>
      <c r="D133" s="91">
        <v>33101</v>
      </c>
      <c r="E133" s="91" t="s">
        <v>325</v>
      </c>
      <c r="F133" s="92" t="s">
        <v>72</v>
      </c>
      <c r="G133" s="91" t="s">
        <v>19</v>
      </c>
      <c r="H133" s="91" t="s">
        <v>49</v>
      </c>
      <c r="I133" s="91" t="s">
        <v>114</v>
      </c>
      <c r="J133" s="91" t="s">
        <v>115</v>
      </c>
      <c r="K133" s="91">
        <v>3219</v>
      </c>
      <c r="L133" s="85" t="s">
        <v>64</v>
      </c>
      <c r="M133" s="91" t="s">
        <v>190</v>
      </c>
      <c r="N133" s="91" t="s">
        <v>191</v>
      </c>
      <c r="O133" s="91" t="s">
        <v>192</v>
      </c>
      <c r="P133" s="89" t="s">
        <v>213</v>
      </c>
      <c r="Q133" s="91" t="s">
        <v>293</v>
      </c>
      <c r="R133" s="91" t="s">
        <v>261</v>
      </c>
      <c r="S133" s="82">
        <v>81264</v>
      </c>
      <c r="T133" s="82">
        <v>261606168</v>
      </c>
      <c r="U133" s="81">
        <v>1237</v>
      </c>
      <c r="V133" s="81">
        <v>0</v>
      </c>
      <c r="W133" s="82">
        <v>331358163</v>
      </c>
      <c r="X133" s="112">
        <v>66</v>
      </c>
      <c r="Y133" s="112" t="s">
        <v>416</v>
      </c>
      <c r="Z133" s="113">
        <v>11</v>
      </c>
      <c r="AA133" s="113">
        <v>9</v>
      </c>
      <c r="AB133" s="113">
        <v>4</v>
      </c>
      <c r="AC133" s="99">
        <v>4600.7299999999996</v>
      </c>
      <c r="AD133" s="99">
        <f>AE133-AC133</f>
        <v>729.82000000000062</v>
      </c>
      <c r="AE133" s="99">
        <v>5330.55</v>
      </c>
      <c r="AF133" s="98">
        <f>(Z133+AA133+AB133)*'Ставки аренды'!$B$3/X133</f>
        <v>254.54545454545453</v>
      </c>
      <c r="AG133" s="94">
        <v>0</v>
      </c>
      <c r="AH133" s="94">
        <v>0</v>
      </c>
      <c r="AI133" s="115">
        <f>12254/14812*AVERAGE(AJ134,AJ137)</f>
        <v>213196.79438107618</v>
      </c>
      <c r="AJ133" s="117">
        <f>Цены!D19</f>
        <v>280000</v>
      </c>
      <c r="AK133" s="94">
        <f>AJ133/Цены!$B$1</f>
        <v>3669.4602617111482</v>
      </c>
      <c r="AL133" s="95">
        <f t="shared" ref="AL133:AL156" si="54">AE133+AF133+AG133</f>
        <v>5585.0954545454551</v>
      </c>
      <c r="AM133" s="95">
        <f t="shared" ref="AM133:AM156" si="55">AJ133-AL133</f>
        <v>274414.90454545454</v>
      </c>
      <c r="AN133" s="94">
        <f t="shared" si="52"/>
        <v>218781.88983562161</v>
      </c>
      <c r="AO133" s="118">
        <f t="shared" si="53"/>
        <v>0.21863610772992281</v>
      </c>
      <c r="AP133" s="96">
        <f t="shared" ref="AP133:AP156" si="56">AL133/AJ133</f>
        <v>1.9946769480519481E-2</v>
      </c>
      <c r="AQ133" s="96">
        <f t="shared" ref="AQ133:AQ156" si="57">AE133/AJ133</f>
        <v>1.9037678571428573E-2</v>
      </c>
      <c r="AR133" s="96">
        <f t="shared" ref="AR133:AR156" si="58">AE133/AL133</f>
        <v>0.95442415324552921</v>
      </c>
      <c r="AS133" s="122">
        <v>1</v>
      </c>
      <c r="AT133" s="121">
        <f t="shared" si="45"/>
        <v>81264</v>
      </c>
      <c r="AU133" s="83">
        <v>0.95</v>
      </c>
      <c r="AV133" s="119">
        <f t="shared" si="41"/>
        <v>0.21635158630135129</v>
      </c>
      <c r="AW133" s="120">
        <f t="shared" si="42"/>
        <v>2.2231290909090911E-2</v>
      </c>
      <c r="AX133" s="120">
        <f t="shared" si="43"/>
        <v>2.1322200000000003E-2</v>
      </c>
      <c r="AY133" s="120">
        <f t="shared" si="44"/>
        <v>0.95910759690886138</v>
      </c>
      <c r="AZ133" s="15">
        <f>MIN(IF($AU133=100%,1,1+VLOOKUP(($AJ133-$AI133-$AH133-$AG133-$AF133-$AE133*(1+AZ$3))/$AJ133,'Технический лист'!$I:$J,2,1)-VLOOKUP($AO133,'Технический лист'!$I:$J,2,1)),1+(1-$AU133))</f>
        <v>1</v>
      </c>
      <c r="BA133" s="15">
        <f>MIN(IF($AU133=100%,1,1+VLOOKUP(($AJ133-$AI133-$AH133-$AG133-$AF133-$AE133*(1+BA$3))/$AJ133,'Технический лист'!$I:$J,2,1)-VLOOKUP($AO133,'Технический лист'!$I:$J,2,1)),1+(1-$AU133))</f>
        <v>1</v>
      </c>
      <c r="BB133" s="15">
        <f>MIN(IF($AU133=100%,1,1+VLOOKUP(($AJ133-$AI133-$AH133-$AG133-$AF133-$AE133*(1+BB$3))/$AJ133,'Технический лист'!$I:$J,2,1)-VLOOKUP($AO133,'Технический лист'!$I:$J,2,1)),1+(1-$AU133))</f>
        <v>1</v>
      </c>
      <c r="BC133" s="15">
        <f>MIN(IF($AU133=100%,1,1+VLOOKUP(($AJ133-$AI133-$AH133-$AG133-$AF133-$AE133*(1+BC$3))/$AJ133,'Технический лист'!$I:$J,2,1)-VLOOKUP($AO133,'Технический лист'!$I:$J,2,1)),1+(1-$AU133))</f>
        <v>1</v>
      </c>
      <c r="BD133" s="15">
        <f>MIN(IF($AU133=100%,1,1+VLOOKUP(($AJ133-$AI133-$AH133-$AG133-$AF133-$AE133*(1+BD$3))/$AJ133,'Технический лист'!$I:$J,2,1)-VLOOKUP($AO133,'Технический лист'!$I:$J,2,1)),1+(1-$AU133))</f>
        <v>1</v>
      </c>
      <c r="BE133" s="15">
        <f>MIN(IF($AU133=100%,1,1+VLOOKUP(($AJ133-$AI133-$AH133-$AG133-$AF133-$AE133*(1+BE$3))/$AJ133,'Технический лист'!$I:$J,2,1)-VLOOKUP($AO133,'Технический лист'!$I:$J,2,1)),1+(1-$AU133))</f>
        <v>1</v>
      </c>
      <c r="BF133" s="15">
        <f>MIN(IF($AU133=100%,1,1+VLOOKUP(($AJ133-$AI133-$AH133-$AG133-$AF133-$AE133*(1+BF$3))/$AJ133,'Технический лист'!$I:$J,2,1)-VLOOKUP($AO133,'Технический лист'!$I:$J,2,1)),1+(1-$AU133))</f>
        <v>1</v>
      </c>
      <c r="BG133" s="15">
        <f>MIN(IF($AU133=100%,1,1+VLOOKUP(($AJ133-$AI133-$AH133-$AG133-$AF133-$AE133*(1+BG$3))/$AJ133,'Технический лист'!$I:$J,2,1)-VLOOKUP($AO133,'Технический лист'!$I:$J,2,1)),1+(1-$AU133))</f>
        <v>1</v>
      </c>
      <c r="BH133" s="15">
        <f>MIN(IF($AU133=100%,1,1+VLOOKUP(($AJ133-$AI133-$AH133-$AG133-$AF133-$AE133*(1+BH$3))/$AJ133,'Технический лист'!$I:$J,2,1)-VLOOKUP($AO133,'Технический лист'!$I:$J,2,1)),1+(1-$AU133))</f>
        <v>1</v>
      </c>
      <c r="BI133" s="15">
        <f>MIN(IF($AU133=100%,1,1+VLOOKUP(($AJ133-$AI133-$AH133-$AG133-$AF133-$AE133*(1+BI$3))/$AJ133,'Технический лист'!$I:$J,2,1)-VLOOKUP($AO133,'Технический лист'!$I:$J,2,1)),1+(1-$AU133))</f>
        <v>1</v>
      </c>
      <c r="BJ133" s="15">
        <f>MIN(IF($AU133=100%,1,1+VLOOKUP(($AJ133-$AI133-$AH133-$AG133-$AF133-$AE133*(1+BJ$3))/$AJ133,'Технический лист'!$I:$J,2,1)-VLOOKUP($AO133,'Технический лист'!$I:$J,2,1)),1+(1-$AU133))</f>
        <v>1</v>
      </c>
      <c r="BK133" s="15">
        <f>MIN(IF($AU133=100%,1,1+VLOOKUP(($AJ133-$AI133-$AH133-$AG133-$AF133-$AE133*(1+BK$3))/$AJ133,'Технический лист'!$I:$J,2,1)-VLOOKUP($AO133,'Технический лист'!$I:$J,2,1)),1+(1-$AU133))</f>
        <v>1</v>
      </c>
      <c r="BL133" s="15">
        <f>MIN(IF($AU133=100%,1,1+VLOOKUP(($AJ133-$AI133-$AH133-$AG133-$AF133-$AE133*(1+BL$3))/$AJ133,'Технический лист'!$I:$J,2,1)-VLOOKUP($AO133,'Технический лист'!$I:$J,2,1)),1+(1-$AU133))</f>
        <v>1</v>
      </c>
      <c r="BM133" s="15">
        <f>MIN(IF($AU133=100%,1,1+VLOOKUP(($AJ133-$AI133-$AH133-$AG133-$AF133-$AE133*(1+BM$3))/$AJ133,'Технический лист'!$I:$J,2,1)-VLOOKUP($AO133,'Технический лист'!$I:$J,2,1)),1+(1-$AU133))</f>
        <v>1</v>
      </c>
      <c r="BN133" s="15">
        <f>MIN(IF($AU133=100%,1,1+VLOOKUP(($AJ133-$AI133-$AH133-$AG133-$AF133-$AE133*(1+BN$3))/$AJ133,'Технический лист'!$I:$J,2,1)-VLOOKUP($AO133,'Технический лист'!$I:$J,2,1)),1+(1-$AU133))</f>
        <v>1</v>
      </c>
      <c r="BO133" s="15">
        <f>MIN(IF($AU133=100%,1,1+VLOOKUP(($AJ133-$AI133-$AH133-$AG133-$AF133-$AE133*(1+BO$3))/$AJ133,'Технический лист'!$I:$J,2,1)-VLOOKUP($AO133,'Технический лист'!$I:$J,2,1)),1+(1-$AU133))</f>
        <v>1</v>
      </c>
      <c r="BP133" s="15">
        <f>MIN(IF($AU133=100%,1,1+VLOOKUP(($AJ133-$AI133-$AH133-$AG133-$AF133-$AE133*(1+BP$3))/$AJ133,'Технический лист'!$I:$J,2,1)-VLOOKUP($AO133,'Технический лист'!$I:$J,2,1)),1+(1-$AU133))</f>
        <v>1</v>
      </c>
      <c r="BQ133" s="15">
        <f>MIN(IF($AU133=100%,1,1+VLOOKUP(($AJ133-$AI133-$AH133-$AG133-$AF133-$AE133*(1+BQ$3))/$AJ133,'Технический лист'!$I:$J,2,1)-VLOOKUP($AO133,'Технический лист'!$I:$J,2,1)),1+(1-$AU133))</f>
        <v>1</v>
      </c>
      <c r="BR133" s="15">
        <f>MIN(IF($AU133=100%,1,1+VLOOKUP(($AJ133-$AI133-$AH133-$AG133-$AF133-$AE133*(1+BR$3))/$AJ133,'Технический лист'!$I:$J,2,1)-VLOOKUP($AO133,'Технический лист'!$I:$J,2,1)),1+(1-$AU133))</f>
        <v>1</v>
      </c>
      <c r="BS133" s="15">
        <f>MIN(IF($AU133=100%,1,1+VLOOKUP(($AJ133-$AI133-$AH133-$AG133-$AF133-$AE133*(1+BS$3))/$AJ133,'Технический лист'!$I:$J,2,1)-VLOOKUP($AO133,'Технический лист'!$I:$J,2,1)),1+(1-$AU133))</f>
        <v>1</v>
      </c>
      <c r="BT133" s="15">
        <f>MIN(IF($AU133=100%,1,1+VLOOKUP(($AJ133-$AI133-$AH133-$AG133-$AF133-$AE133*(1+BT$3))/$AJ133,'Технический лист'!$I:$J,2,1)-VLOOKUP($AO133,'Технический лист'!$I:$J,2,1)),1+(1-$AU133))</f>
        <v>1</v>
      </c>
      <c r="BU133" s="15">
        <f>MIN(IF($AU133=100%,1,1+VLOOKUP(($AJ133-$AI133-$AH133-$AG133-$AF133-$AE133*(1+BU$3))/$AJ133,'Технический лист'!$I:$J,2,1)-VLOOKUP($AO133,'Технический лист'!$I:$J,2,1)),1+(1-$AU133))</f>
        <v>1</v>
      </c>
      <c r="BV133" s="15">
        <f>MIN(IF($AU133=100%,1,1+VLOOKUP(($AJ133-$AI133-$AH133-$AG133-$AF133-$AE133*(1+BV$3))/$AJ133,'Технический лист'!$I:$J,2,1)-VLOOKUP($AO133,'Технический лист'!$I:$J,2,1)),1+(1-$AU133))</f>
        <v>1</v>
      </c>
      <c r="BW133" s="15">
        <f>MIN(IF($AU133=100%,1,1+VLOOKUP(($AJ133-$AI133-$AH133-$AG133-$AF133-$AE133*(1+BW$3))/$AJ133,'Технический лист'!$I:$J,2,1)-VLOOKUP($AO133,'Технический лист'!$I:$J,2,1)),1+(1-$AU133))</f>
        <v>1</v>
      </c>
      <c r="BX133" s="15">
        <f>MIN(IF($AU133=100%,1,1+VLOOKUP(($AJ133-$AI133-$AH133-$AG133-$AF133-$AE133*(1+BX$3))/$AJ133,'Технический лист'!$I:$J,2,1)-VLOOKUP($AO133,'Технический лист'!$I:$J,2,1)),1+(1-$AU133))</f>
        <v>1</v>
      </c>
      <c r="BY133" s="15">
        <f>MIN(IF($AU133=100%,1,1+VLOOKUP(($AJ133-$AI133-$AH133-$AG133-$AF133-$AE133*(1+BY$3))/$AJ133,'Технический лист'!$I:$J,2,1)-VLOOKUP($AO133,'Технический лист'!$I:$J,2,1)),1+(1-$AU133))</f>
        <v>1</v>
      </c>
      <c r="BZ133" s="15">
        <f>MIN(IF($AU133=100%,1,1+VLOOKUP(($AJ133-$AI133-$AH133-$AG133-$AF133-$AE133*(1+BZ$3))/$AJ133,'Технический лист'!$I:$J,2,1)-VLOOKUP($AO133,'Технический лист'!$I:$J,2,1)),1+(1-$AU133))</f>
        <v>1</v>
      </c>
      <c r="CA133" s="15">
        <f>MIN(IF($AU133=100%,1,1+VLOOKUP(($AJ133-$AI133-$AH133-$AG133-$AF133-$AE133*(1+CA$3))/$AJ133,'Технический лист'!$I:$J,2,1)-VLOOKUP($AO133,'Технический лист'!$I:$J,2,1)),1+(1-$AU133))</f>
        <v>1</v>
      </c>
      <c r="CB133" s="15">
        <f>MIN(IF($AU133=100%,1,1+VLOOKUP(($AJ133-$AI133-$AH133-$AG133-$AF133-$AE133*(1+CB$3))/$AJ133,'Технический лист'!$I:$J,2,1)-VLOOKUP($AO133,'Технический лист'!$I:$J,2,1)),1+(1-$AU133))</f>
        <v>1</v>
      </c>
      <c r="CC133" s="15">
        <f>MIN(IF($AU133=100%,1,1+VLOOKUP(($AJ133-$AI133-$AH133-$AG133-$AF133-$AE133*(1+CC$3))/$AJ133,'Технический лист'!$I:$J,2,1)-VLOOKUP($AO133,'Технический лист'!$I:$J,2,1)),1+(1-$AU133))</f>
        <v>1</v>
      </c>
      <c r="CD133" s="15">
        <f>MIN(IF($AU133=100%,1,1+VLOOKUP(($AJ133-$AI133-$AH133-$AG133-$AF133-$AE133*(1+CD$3))/$AJ133,'Технический лист'!$I:$J,2,1)-VLOOKUP($AO133,'Технический лист'!$I:$J,2,1)),1+(1-$AU133))</f>
        <v>1</v>
      </c>
      <c r="CE133" s="15">
        <f>MIN(IF($AU133=100%,1,1+VLOOKUP(($AJ133-$AI133-$AH133-$AG133-$AF133-$AE133*(1+CE$3))/$AJ133,'Технический лист'!$I:$J,2,1)-VLOOKUP($AO133,'Технический лист'!$I:$J,2,1)),1+(1-$AU133))</f>
        <v>1</v>
      </c>
      <c r="CF133" s="15">
        <f>MIN(IF($AU133=100%,1,1+VLOOKUP(($AJ133-$AI133-$AH133-$AG133-$AF133-$AE133*(1+CF$3))/$AJ133,'Технический лист'!$I:$J,2,1)-VLOOKUP($AO133,'Технический лист'!$I:$J,2,1)),1+(1-$AU133))</f>
        <v>1</v>
      </c>
      <c r="CG133" s="15">
        <f>MIN(IF($AU133=100%,1,1+VLOOKUP(($AJ133-$AI133-$AH133-$AG133-$AF133-$AE133*(1+CG$3))/$AJ133,'Технический лист'!$I:$J,2,1)-VLOOKUP($AO133,'Технический лист'!$I:$J,2,1)),1+(1-$AU133))</f>
        <v>1</v>
      </c>
      <c r="CH133" s="15">
        <f>MIN(IF($AU133=100%,1,1+VLOOKUP(($AJ133-$AI133-$AH133-$AG133-$AF133-$AE133*(1+CH$3))/$AJ133,'Технический лист'!$I:$J,2,1)-VLOOKUP($AO133,'Технический лист'!$I:$J,2,1)),1+(1-$AU133))</f>
        <v>1</v>
      </c>
      <c r="CI133" s="15">
        <f>MIN(IF($AU133=100%,1,1+VLOOKUP(($AJ133-$AI133-$AH133-$AG133-$AF133-$AE133*(1+CI$3))/$AJ133,'Технический лист'!$I:$J,2,1)-VLOOKUP($AO133,'Технический лист'!$I:$J,2,1)),1+(1-$AU133))</f>
        <v>1</v>
      </c>
      <c r="CJ133" s="15">
        <f>MIN(IF($AU133=100%,1,1+VLOOKUP(($AJ133-$AI133-$AH133-$AG133-$AF133-$AE133*(1+CJ$3))/$AJ133,'Технический лист'!$I:$J,2,1)-VLOOKUP($AO133,'Технический лист'!$I:$J,2,1)),1+(1-$AU133))</f>
        <v>1</v>
      </c>
      <c r="CK133" s="15">
        <f>MIN(IF($AU133=100%,1,1+VLOOKUP(($AJ133-$AI133-$AH133-$AG133-$AF133-$AE133*(1+CK$3))/$AJ133,'Технический лист'!$I:$J,2,1)-VLOOKUP($AO133,'Технический лист'!$I:$J,2,1)),1+(1-$AU133))</f>
        <v>1</v>
      </c>
      <c r="CL133" s="15">
        <f>MIN(IF($AU133=100%,1,1+VLOOKUP(($AJ133-$AI133-$AH133-$AG133-$AF133-$AE133*(1+CL$3))/$AJ133,'Технический лист'!$I:$J,2,1)-VLOOKUP($AO133,'Технический лист'!$I:$J,2,1)),1+(1-$AU133))</f>
        <v>1</v>
      </c>
      <c r="CM133" s="15">
        <f>MIN(IF($AU133=100%,1,1+VLOOKUP(($AJ133-$AI133-$AH133-$AG133-$AF133-$AE133*(1+CM$3))/$AJ133,'Технический лист'!$I:$J,2,1)-VLOOKUP($AO133,'Технический лист'!$I:$J,2,1)),1+(1-$AU133))</f>
        <v>1</v>
      </c>
      <c r="CN133" s="15">
        <f>MIN(IF($AU133=100%,1,1+VLOOKUP(($AJ133-$AI133-$AH133-$AG133-$AF133-$AE133*(1+CN$3))/$AJ133,'Технический лист'!$I:$J,2,1)-VLOOKUP($AO133,'Технический лист'!$I:$J,2,1)),1+(1-$AU133))</f>
        <v>1</v>
      </c>
      <c r="CO133" s="15">
        <f>MIN(IF($AU133=100%,1,1+VLOOKUP(($AJ133-$AI133-$AH133-$AG133-$AF133-$AE133*(1+CO$3))/$AJ133,'Технический лист'!$I:$J,2,1)-VLOOKUP($AO133,'Технический лист'!$I:$J,2,1)),1+(1-$AU133))</f>
        <v>1</v>
      </c>
      <c r="CP133" s="15">
        <f>MIN(IF($AU133=100%,1,1+VLOOKUP(($AJ133-$AI133-$AH133-$AG133-$AF133-$AE133*(1+CP$3))/$AJ133,'Технический лист'!$I:$J,2,1)-VLOOKUP($AO133,'Технический лист'!$I:$J,2,1)),1+(1-$AU133))</f>
        <v>1</v>
      </c>
      <c r="CQ133" s="15">
        <f>MIN(IF($AU133=100%,1,1+VLOOKUP(($AJ133-$AI133-$AH133-$AG133-$AF133-$AE133*(1+CQ$3))/$AJ133,'Технический лист'!$I:$J,2,1)-VLOOKUP($AO133,'Технический лист'!$I:$J,2,1)),1+(1-$AU133))</f>
        <v>1</v>
      </c>
      <c r="CR133" s="15">
        <f>MIN(IF($AU133=100%,1,1+VLOOKUP(($AJ133-$AI133-$AH133-$AG133-$AF133-$AE133*(1+CR$3))/$AJ133,'Технический лист'!$I:$J,2,1)-VLOOKUP($AO133,'Технический лист'!$I:$J,2,1)),1+(1-$AU133))</f>
        <v>1</v>
      </c>
      <c r="CS133" s="15">
        <f>MIN(IF($AU133=100%,1,1+VLOOKUP(($AJ133-$AI133-$AH133-$AG133-$AF133-$AE133*(1+CS$3))/$AJ133,'Технический лист'!$I:$J,2,1)-VLOOKUP($AO133,'Технический лист'!$I:$J,2,1)),1+(1-$AU133))</f>
        <v>1</v>
      </c>
      <c r="CT133" s="15">
        <f>MIN(IF($AU133=100%,1,1+VLOOKUP(($AJ133-$AI133-$AH133-$AG133-$AF133-$AE133*(1+CT$3))/$AJ133,'Технический лист'!$I:$J,2,1)-VLOOKUP($AO133,'Технический лист'!$I:$J,2,1)),1+(1-$AU133))</f>
        <v>1</v>
      </c>
      <c r="CU133" s="15">
        <f>MIN(IF($AU133=100%,1,1+VLOOKUP(($AJ133-$AI133-$AH133-$AG133-$AF133-$AE133*(1+CU$3))/$AJ133,'Технический лист'!$I:$J,2,1)-VLOOKUP($AO133,'Технический лист'!$I:$J,2,1)),1+(1-$AU133))</f>
        <v>1</v>
      </c>
      <c r="CV133" s="15">
        <f>MIN(IF($AU133=100%,1,1+VLOOKUP(($AJ133-$AI133-$AH133-$AG133-$AF133-$AE133*(1+CV$3))/$AJ133,'Технический лист'!$I:$J,2,1)-VLOOKUP($AO133,'Технический лист'!$I:$J,2,1)),1+(1-$AU133))</f>
        <v>1</v>
      </c>
      <c r="CW133" s="15">
        <f>MIN(IF($AU133=100%,1,1+VLOOKUP(($AJ133-$AI133-$AH133-$AG133-$AF133-$AE133*(1+CW$3))/$AJ133,'Технический лист'!$I:$J,2,1)-VLOOKUP($AO133,'Технический лист'!$I:$J,2,1)),1+(1-$AU133))</f>
        <v>1</v>
      </c>
      <c r="CX133" s="15">
        <f>MIN(IF($AU133=100%,1,1+VLOOKUP(($AJ133-$AI133-$AH133-$AG133-$AF133-$AE133*(1+CX$3))/$AJ133,'Технический лист'!$I:$J,2,1)-VLOOKUP($AO133,'Технический лист'!$I:$J,2,1)),1+(1-$AU133))</f>
        <v>1</v>
      </c>
      <c r="CY133" s="15">
        <f>MIN(IF($AU133=100%,1,1+VLOOKUP(($AJ133-$AI133-$AH133-$AG133-$AF133-$AE133*(1+CY$3))/$AJ133,'Технический лист'!$I:$J,2,1)-VLOOKUP($AO133,'Технический лист'!$I:$J,2,1)),1+(1-$AU133))</f>
        <v>1</v>
      </c>
      <c r="CZ133" s="15">
        <f>MIN(IF($AU133=100%,1,1+VLOOKUP(($AJ133-$AI133-$AH133-$AG133-$AF133-$AE133*(1+CZ$3))/$AJ133,'Технический лист'!$I:$J,2,1)-VLOOKUP($AO133,'Технический лист'!$I:$J,2,1)),1+(1-$AU133))</f>
        <v>1</v>
      </c>
      <c r="DA133" s="15">
        <f>MIN(IF($AU133=100%,1,1+VLOOKUP(($AJ133-$AI133-$AH133-$AG133-$AF133-$AE133*(1+DA$3))/$AJ133,'Технический лист'!$I:$J,2,1)-VLOOKUP($AO133,'Технический лист'!$I:$J,2,1)),1+(1-$AU133))</f>
        <v>1</v>
      </c>
      <c r="DB133" s="15">
        <f>MIN(IF($AU133=100%,1,1+VLOOKUP(($AJ133-$AI133-$AH133-$AG133-$AF133-$AE133*(1+DB$3))/$AJ133,'Технический лист'!$I:$J,2,1)-VLOOKUP($AO133,'Технический лист'!$I:$J,2,1)),1+(1-$AU133))</f>
        <v>1</v>
      </c>
      <c r="DC133" s="15">
        <f>MIN(IF($AU133=100%,1,1+VLOOKUP(($AJ133-$AI133-$AH133-$AG133-$AF133-$AE133*(1+DC$3))/$AJ133,'Технический лист'!$I:$J,2,1)-VLOOKUP($AO133,'Технический лист'!$I:$J,2,1)),1+(1-$AU133))</f>
        <v>1</v>
      </c>
      <c r="DD133" s="15">
        <f>MIN(IF($AU133=100%,1,1+VLOOKUP(($AJ133-$AI133-$AH133-$AG133-$AF133-$AE133*(1+DD$3))/$AJ133,'Технический лист'!$I:$J,2,1)-VLOOKUP($AO133,'Технический лист'!$I:$J,2,1)),1+(1-$AU133))</f>
        <v>1</v>
      </c>
      <c r="DE133" s="15">
        <f>MIN(IF($AU133=100%,1,1+VLOOKUP(($AJ133-$AI133-$AH133-$AG133-$AF133-$AE133*(1+DE$3))/$AJ133,'Технический лист'!$I:$J,2,1)-VLOOKUP($AO133,'Технический лист'!$I:$J,2,1)),1+(1-$AU133))</f>
        <v>1</v>
      </c>
      <c r="DF133" s="15">
        <f>MIN(IF($AU133=100%,1,1+VLOOKUP(($AJ133-$AI133-$AH133-$AG133-$AF133-$AE133*(1+DF$3))/$AJ133,'Технический лист'!$I:$J,2,1)-VLOOKUP($AO133,'Технический лист'!$I:$J,2,1)),1+(1-$AU133))</f>
        <v>1</v>
      </c>
      <c r="DG133" s="15">
        <f>MIN(IF($AU133=100%,1,1+VLOOKUP(($AJ133-$AI133-$AH133-$AG133-$AF133-$AE133*(1+DG$3))/$AJ133,'Технический лист'!$I:$J,2,1)-VLOOKUP($AO133,'Технический лист'!$I:$J,2,1)),1+(1-$AU133))</f>
        <v>1</v>
      </c>
      <c r="DH133" s="15">
        <f>MIN(IF($AU133=100%,1,1+VLOOKUP(($AJ133-$AI133-$AH133-$AG133-$AF133-$AE133*(1+DH$3))/$AJ133,'Технический лист'!$I:$J,2,1)-VLOOKUP($AO133,'Технический лист'!$I:$J,2,1)),1+(1-$AU133))</f>
        <v>1</v>
      </c>
      <c r="DI133" s="15">
        <f>MIN(IF($AU133=100%,1,1+VLOOKUP(($AJ133-$AI133-$AH133-$AG133-$AF133-$AE133*(1+DI$3))/$AJ133,'Технический лист'!$I:$J,2,1)-VLOOKUP($AO133,'Технический лист'!$I:$J,2,1)),1+(1-$AU133))</f>
        <v>1</v>
      </c>
      <c r="DJ133" s="15">
        <f>MIN(IF($AU133=100%,1,1+VLOOKUP(($AJ133-$AI133-$AH133-$AG133-$AF133-$AE133*(1+DJ$3))/$AJ133,'Технический лист'!$I:$J,2,1)-VLOOKUP($AO133,'Технический лист'!$I:$J,2,1)),1+(1-$AU133))</f>
        <v>1</v>
      </c>
      <c r="DK133" s="15">
        <f>MIN(IF($AU133=100%,1,1+VLOOKUP(($AJ133-$AI133-$AH133-$AG133-$AF133-$AE133*(1+DK$3))/$AJ133,'Технический лист'!$I:$J,2,1)-VLOOKUP($AO133,'Технический лист'!$I:$J,2,1)),1+(1-$AU133))</f>
        <v>1</v>
      </c>
      <c r="DL133" s="15">
        <f>MIN(IF($AU133=100%,1,1+VLOOKUP(($AJ133-$AI133-$AH133-$AG133-$AF133-$AE133*(1+DL$3))/$AJ133,'Технический лист'!$I:$J,2,1)-VLOOKUP($AO133,'Технический лист'!$I:$J,2,1)),1+(1-$AU133))</f>
        <v>1</v>
      </c>
      <c r="DM133" s="15">
        <f>MIN(IF($AU133=100%,1,1+VLOOKUP(($AJ133-$AI133-$AH133-$AG133-$AF133-$AE133*(1+DM$3))/$AJ133,'Технический лист'!$I:$J,2,1)-VLOOKUP($AO133,'Технический лист'!$I:$J,2,1)),1+(1-$AU133))</f>
        <v>1</v>
      </c>
      <c r="DN133" s="15">
        <f>MIN(IF($AU133=100%,1,1+VLOOKUP(($AJ133-$AI133-$AH133-$AG133-$AF133-$AE133*(1+DN$3))/$AJ133,'Технический лист'!$I:$J,2,1)-VLOOKUP($AO133,'Технический лист'!$I:$J,2,1)),1+(1-$AU133))</f>
        <v>1</v>
      </c>
      <c r="DO133" s="15">
        <f>MIN(IF($AU133=100%,1,1+VLOOKUP(($AJ133-$AI133-$AH133-$AG133-$AF133-$AE133*(1+DO$3))/$AJ133,'Технический лист'!$I:$J,2,1)-VLOOKUP($AO133,'Технический лист'!$I:$J,2,1)),1+(1-$AU133))</f>
        <v>1</v>
      </c>
      <c r="DP133" s="15">
        <f>MIN(IF($AU133=100%,1,1+VLOOKUP(($AJ133-$AI133-$AH133-$AG133-$AF133-$AE133*(1+DP$3))/$AJ133,'Технический лист'!$I:$J,2,1)-VLOOKUP($AO133,'Технический лист'!$I:$J,2,1)),1+(1-$AU133))</f>
        <v>1</v>
      </c>
      <c r="DQ133" s="15">
        <f>MIN(IF($AU133=100%,1,1+VLOOKUP(($AJ133-$AI133-$AH133-$AG133-$AF133-$AE133*(1+DQ$3))/$AJ133,'Технический лист'!$I:$J,2,1)-VLOOKUP($AO133,'Технический лист'!$I:$J,2,1)),1+(1-$AU133))</f>
        <v>1</v>
      </c>
      <c r="DR133" s="15">
        <f>MIN(IF($AU133=100%,1,1+VLOOKUP(($AJ133-$AI133-$AH133-$AG133-$AF133-$AE133*(1+DR$3))/$AJ133,'Технический лист'!$I:$J,2,1)-VLOOKUP($AO133,'Технический лист'!$I:$J,2,1)),1+(1-$AU133))</f>
        <v>1</v>
      </c>
      <c r="DS133" s="15">
        <f>MIN(IF($AU133=100%,1,1+VLOOKUP(($AJ133-$AI133-$AH133-$AG133-$AF133-$AE133*(1+DS$3))/$AJ133,'Технический лист'!$I:$J,2,1)-VLOOKUP($AO133,'Технический лист'!$I:$J,2,1)),1+(1-$AU133))</f>
        <v>1</v>
      </c>
      <c r="DT133" s="15">
        <f>MIN(IF($AU133=100%,1,1+VLOOKUP(($AJ133-$AI133-$AH133-$AG133-$AF133-$AE133*(1+DT$3))/$AJ133,'Технический лист'!$I:$J,2,1)-VLOOKUP($AO133,'Технический лист'!$I:$J,2,1)),1+(1-$AU133))</f>
        <v>1</v>
      </c>
      <c r="DU133" s="15">
        <f>MIN(IF($AU133=100%,1,1+VLOOKUP(($AJ133-$AI133-$AH133-$AG133-$AF133-$AE133*(1+DU$3))/$AJ133,'Технический лист'!$I:$J,2,1)-VLOOKUP($AO133,'Технический лист'!$I:$J,2,1)),1+(1-$AU133))</f>
        <v>1</v>
      </c>
      <c r="DV133" s="15">
        <f>MIN(IF($AU133=100%,1,1+VLOOKUP(($AJ133-$AI133-$AH133-$AG133-$AF133-$AE133*(1+DV$3))/$AJ133,'Технический лист'!$I:$J,2,1)-VLOOKUP($AO133,'Технический лист'!$I:$J,2,1)),1+(1-$AU133))</f>
        <v>1</v>
      </c>
      <c r="DW133" s="15">
        <f>MIN(IF($AU133=100%,1,1+VLOOKUP(($AJ133-$AI133-$AH133-$AG133-$AF133-$AE133*(1+DW$3))/$AJ133,'Технический лист'!$I:$J,2,1)-VLOOKUP($AO133,'Технический лист'!$I:$J,2,1)),1+(1-$AU133))</f>
        <v>1</v>
      </c>
      <c r="DX133" s="15">
        <f>MIN(IF($AU133=100%,1,1+VLOOKUP(($AJ133-$AI133-$AH133-$AG133-$AF133-$AE133*(1+DX$3))/$AJ133,'Технический лист'!$I:$J,2,1)-VLOOKUP($AO133,'Технический лист'!$I:$J,2,1)),1+(1-$AU133))</f>
        <v>1</v>
      </c>
      <c r="DY133" s="15">
        <f>MIN(IF($AU133=100%,1,1+VLOOKUP(($AJ133-$AI133-$AH133-$AG133-$AF133-$AE133*(1+DY$3))/$AJ133,'Технический лист'!$I:$J,2,1)-VLOOKUP($AO133,'Технический лист'!$I:$J,2,1)),1+(1-$AU133))</f>
        <v>1</v>
      </c>
      <c r="DZ133" s="15">
        <f>MIN(IF($AU133=100%,1,1+VLOOKUP(($AJ133-$AI133-$AH133-$AG133-$AF133-$AE133*(1+DZ$3))/$AJ133,'Технический лист'!$I:$J,2,1)-VLOOKUP($AO133,'Технический лист'!$I:$J,2,1)),1+(1-$AU133))</f>
        <v>1</v>
      </c>
      <c r="EA133" s="15">
        <f>MIN(IF($AU133=100%,1,1+VLOOKUP(($AJ133-$AI133-$AH133-$AG133-$AF133-$AE133*(1+EA$3))/$AJ133,'Технический лист'!$I:$J,2,1)-VLOOKUP($AO133,'Технический лист'!$I:$J,2,1)),1+(1-$AU133))</f>
        <v>1</v>
      </c>
      <c r="EB133" s="15">
        <f>MIN(IF($AU133=100%,1,1+VLOOKUP(($AJ133-$AI133-$AH133-$AG133-$AF133-$AE133*(1+EB$3))/$AJ133,'Технический лист'!$I:$J,2,1)-VLOOKUP($AO133,'Технический лист'!$I:$J,2,1)),1+(1-$AU133))</f>
        <v>1</v>
      </c>
      <c r="EC133" s="15">
        <f>MIN(IF($AU133=100%,1,1+VLOOKUP(($AJ133-$AI133-$AH133-$AG133-$AF133-$AE133*(1+EC$3))/$AJ133,'Технический лист'!$I:$J,2,1)-VLOOKUP($AO133,'Технический лист'!$I:$J,2,1)),1+(1-$AU133))</f>
        <v>1</v>
      </c>
      <c r="ED133" s="15">
        <f>MIN(IF($AU133=100%,1,1+VLOOKUP(($AJ133-$AI133-$AH133-$AG133-$AF133-$AE133*(1+ED$3))/$AJ133,'Технический лист'!$I:$J,2,1)-VLOOKUP($AO133,'Технический лист'!$I:$J,2,1)),1+(1-$AU133))</f>
        <v>1</v>
      </c>
      <c r="EE133" s="15">
        <f>MIN(IF($AU133=100%,1,1+VLOOKUP(($AJ133-$AI133-$AH133-$AG133-$AF133-$AE133*(1+EE$3))/$AJ133,'Технический лист'!$I:$J,2,1)-VLOOKUP($AO133,'Технический лист'!$I:$J,2,1)),1+(1-$AU133))</f>
        <v>1</v>
      </c>
      <c r="EF133" s="15">
        <f>MIN(IF($AU133=100%,1,1+VLOOKUP(($AJ133-$AI133-$AH133-$AG133-$AF133-$AE133*(1+EF$3))/$AJ133,'Технический лист'!$I:$J,2,1)-VLOOKUP($AO133,'Технический лист'!$I:$J,2,1)),1+(1-$AU133))</f>
        <v>1</v>
      </c>
      <c r="EG133" s="15">
        <f>MIN(IF($AU133=100%,1,1+VLOOKUP(($AJ133-$AI133-$AH133-$AG133-$AF133-$AE133*(1+EG$3))/$AJ133,'Технический лист'!$I:$J,2,1)-VLOOKUP($AO133,'Технический лист'!$I:$J,2,1)),1+(1-$AU133))</f>
        <v>1</v>
      </c>
      <c r="EH133" s="15">
        <f>MIN(IF($AU133=100%,1,1+VLOOKUP(($AJ133-$AI133-$AH133-$AG133-$AF133-$AE133*(1+EH$3))/$AJ133,'Технический лист'!$I:$J,2,1)-VLOOKUP($AO133,'Технический лист'!$I:$J,2,1)),1+(1-$AU133))</f>
        <v>1</v>
      </c>
      <c r="EI133" s="15">
        <f>MIN(IF($AU133=100%,1,1+VLOOKUP(($AJ133-$AI133-$AH133-$AG133-$AF133-$AE133*(1+EI$3))/$AJ133,'Технический лист'!$I:$J,2,1)-VLOOKUP($AO133,'Технический лист'!$I:$J,2,1)),1+(1-$AU133))</f>
        <v>1</v>
      </c>
      <c r="EJ133" s="15">
        <f>MIN(IF($AU133=100%,1,1+VLOOKUP(($AJ133-$AI133-$AH133-$AG133-$AF133-$AE133*(1+EJ$3))/$AJ133,'Технический лист'!$I:$J,2,1)-VLOOKUP($AO133,'Технический лист'!$I:$J,2,1)),1+(1-$AU133))</f>
        <v>1</v>
      </c>
      <c r="EK133" s="15">
        <f>MIN(IF($AU133=100%,1,1+VLOOKUP(($AJ133-$AI133-$AH133-$AG133-$AF133-$AE133*(1+EK$3))/$AJ133,'Технический лист'!$I:$J,2,1)-VLOOKUP($AO133,'Технический лист'!$I:$J,2,1)),1+(1-$AU133))</f>
        <v>1</v>
      </c>
      <c r="EL133" s="15">
        <f>MIN(IF($AU133=100%,1,1+VLOOKUP(($AJ133-$AI133-$AH133-$AG133-$AF133-$AE133*(1+EL$3))/$AJ133,'Технический лист'!$I:$J,2,1)-VLOOKUP($AO133,'Технический лист'!$I:$J,2,1)),1+(1-$AU133))</f>
        <v>1</v>
      </c>
      <c r="EM133" s="15">
        <f>MIN(IF($AU133=100%,1,1+VLOOKUP(($AJ133-$AI133-$AH133-$AG133-$AF133-$AE133*(1+EM$3))/$AJ133,'Технический лист'!$I:$J,2,1)-VLOOKUP($AO133,'Технический лист'!$I:$J,2,1)),1+(1-$AU133))</f>
        <v>1</v>
      </c>
      <c r="EN133" s="15">
        <f>MIN(IF($AU133=100%,1,1+VLOOKUP(($AJ133-$AI133-$AH133-$AG133-$AF133-$AE133*(1+EN$3))/$AJ133,'Технический лист'!$I:$J,2,1)-VLOOKUP($AO133,'Технический лист'!$I:$J,2,1)),1+(1-$AU133))</f>
        <v>1</v>
      </c>
      <c r="EO133" s="15">
        <f>MIN(IF($AU133=100%,1,1+VLOOKUP(($AJ133-$AI133-$AH133-$AG133-$AF133-$AE133*(1+EO$3))/$AJ133,'Технический лист'!$I:$J,2,1)-VLOOKUP($AO133,'Технический лист'!$I:$J,2,1)),1+(1-$AU133))</f>
        <v>1</v>
      </c>
      <c r="EP133" s="15">
        <f>MIN(IF($AU133=100%,1,1+VLOOKUP(($AJ133-$AI133-$AH133-$AG133-$AF133-$AE133*(1+EP$3))/$AJ133,'Технический лист'!$I:$J,2,1)-VLOOKUP($AO133,'Технический лист'!$I:$J,2,1)),1+(1-$AU133))</f>
        <v>1</v>
      </c>
      <c r="EQ133" s="15">
        <f>MIN(IF($AU133=100%,1,1+VLOOKUP(($AJ133-$AI133-$AH133-$AG133-$AF133-$AE133*(1+EQ$3))/$AJ133,'Технический лист'!$I:$J,2,1)-VLOOKUP($AO133,'Технический лист'!$I:$J,2,1)),1+(1-$AU133))</f>
        <v>1</v>
      </c>
      <c r="ER133" s="15">
        <f>MIN(IF($AU133=100%,1,1+VLOOKUP(($AJ133-$AI133-$AH133-$AG133-$AF133-$AE133*(1+ER$3))/$AJ133,'Технический лист'!$I:$J,2,1)-VLOOKUP($AO133,'Технический лист'!$I:$J,2,1)),1+(1-$AU133))</f>
        <v>1</v>
      </c>
      <c r="ES133" s="15">
        <f>MIN(IF($AU133=100%,1,1+VLOOKUP(($AJ133-$AI133-$AH133-$AG133-$AF133-$AE133*(1+ES$3))/$AJ133,'Технический лист'!$I:$J,2,1)-VLOOKUP($AO133,'Технический лист'!$I:$J,2,1)),1+(1-$AU133))</f>
        <v>1</v>
      </c>
      <c r="ET133" s="15">
        <f>MIN(IF($AU133=100%,1,1+VLOOKUP(($AJ133-$AI133-$AH133-$AG133-$AF133-$AE133*(1+ET$3))/$AJ133,'Технический лист'!$I:$J,2,1)-VLOOKUP($AO133,'Технический лист'!$I:$J,2,1)),1+(1-$AU133))</f>
        <v>1</v>
      </c>
      <c r="EU133" s="15">
        <f>MIN(IF($AU133=100%,1,1+VLOOKUP(($AJ133-$AI133-$AH133-$AG133-$AF133-$AE133*(1+EU$3))/$AJ133,'Технический лист'!$I:$J,2,1)-VLOOKUP($AO133,'Технический лист'!$I:$J,2,1)),1+(1-$AU133))</f>
        <v>1</v>
      </c>
      <c r="EV133" s="111">
        <v>1</v>
      </c>
      <c r="EW133" s="15">
        <f>MIN(1,MAX(VLOOKUP(($AJ133-$AI133-$AH133-$AG133-$AF133-$AE133*(1+EW$3))/$AJ133,'Технический лист'!$A:$B,2,1),(EV133-0.05)))</f>
        <v>1</v>
      </c>
      <c r="EX133" s="15">
        <f>MIN(1,MAX(VLOOKUP(($AJ133-$AI133-$AH133-$AG133-$AF133-$AE133*(1+EX$3))/$AJ133,'Технический лист'!$A:$B,2,1),(EW133-0.05)))</f>
        <v>1</v>
      </c>
      <c r="EY133" s="15">
        <f>MIN(1,MAX(VLOOKUP(($AJ133-$AI133-$AH133-$AG133-$AF133-$AE133*(1+EY$3))/$AJ133,'Технический лист'!$A:$B,2,1),(EX133-0.05)))</f>
        <v>1</v>
      </c>
      <c r="EZ133" s="15">
        <f>MIN(1,MAX(VLOOKUP(($AJ133-$AI133-$AH133-$AG133-$AF133-$AE133*(1+EZ$3))/$AJ133,'Технический лист'!$A:$B,2,1),(EY133-0.05)))</f>
        <v>1</v>
      </c>
      <c r="FA133" s="15">
        <f>MIN(1,MAX(VLOOKUP(($AJ133-$AI133-$AH133-$AG133-$AF133-$AE133*(1+FA$3))/$AJ133,'Технический лист'!$A:$B,2,1),(EZ133-0.05)))</f>
        <v>1</v>
      </c>
      <c r="FB133" s="15">
        <f>MIN(1,MAX(VLOOKUP(($AJ133-$AI133-$AH133-$AG133-$AF133-$AE133*(1+FB$3))/$AJ133,'Технический лист'!$A:$B,2,1),(FA133-0.05)))</f>
        <v>1</v>
      </c>
      <c r="FC133" s="15">
        <f>MIN(1,MAX(VLOOKUP(($AJ133-$AI133-$AH133-$AG133-$AF133-$AE133*(1+FC$3))/$AJ133,'Технический лист'!$A:$B,2,1),(FB133-0.05)))</f>
        <v>1</v>
      </c>
      <c r="FD133" s="15">
        <f>MIN(1,MAX(VLOOKUP(($AJ133-$AI133-$AH133-$AG133-$AF133-$AE133*(1+FD$3))/$AJ133,'Технический лист'!$A:$B,2,1),(FC133-0.05)))</f>
        <v>1</v>
      </c>
      <c r="FE133" s="15">
        <f>MIN(1,MAX(VLOOKUP(($AJ133-$AI133-$AH133-$AG133-$AF133-$AE133*(1+FE$3))/$AJ133,'Технический лист'!$A:$B,2,1),(FD133-0.05)))</f>
        <v>1</v>
      </c>
      <c r="FF133" s="15">
        <f>MIN(1,MAX(VLOOKUP(($AJ133-$AI133-$AH133-$AG133-$AF133-$AE133*(1+FF$3))/$AJ133,'Технический лист'!$A:$B,2,1),(FE133-0.05)))</f>
        <v>1</v>
      </c>
      <c r="FG133" s="15">
        <f>MIN(1,MAX(VLOOKUP(($AJ133-$AI133-$AH133-$AG133-$AF133-$AE133*(1+FG$3))/$AJ133,'Технический лист'!$A:$B,2,1),(FF133-0.05)))</f>
        <v>1</v>
      </c>
      <c r="FH133" s="15">
        <f>MIN(1,MAX(VLOOKUP(($AJ133-$AI133-$AH133-$AG133-$AF133-$AE133*(1+FH$3))/$AJ133,'Технический лист'!$A:$B,2,1),(FG133-0.05)))</f>
        <v>1</v>
      </c>
      <c r="FI133" s="15">
        <f>MIN(1,MAX(VLOOKUP(($AJ133-$AI133-$AH133-$AG133-$AF133-$AE133*(1+FI$3))/$AJ133,'Технический лист'!$A:$B,2,1),(FH133-0.05)))</f>
        <v>1</v>
      </c>
      <c r="FJ133" s="15">
        <f>MIN(1,MAX(VLOOKUP(($AJ133-$AI133-$AH133-$AG133-$AF133-$AE133*(1+FJ$3))/$AJ133,'Технический лист'!$A:$B,2,1),(FI133-0.05)))</f>
        <v>1</v>
      </c>
      <c r="FK133" s="15">
        <f>MIN(1,MAX(VLOOKUP(($AJ133-$AI133-$AH133-$AG133-$AF133-$AE133*(1+FK$3))/$AJ133,'Технический лист'!$A:$B,2,1),(FJ133-0.05)))</f>
        <v>1</v>
      </c>
      <c r="FL133" s="15">
        <f>MIN(1,MAX(VLOOKUP(($AJ133-$AI133-$AH133-$AG133-$AF133-$AE133*(1+FL$3))/$AJ133,'Технический лист'!$A:$B,2,1),(FK133-0.05)))</f>
        <v>1</v>
      </c>
      <c r="FM133" s="15">
        <f>MIN(1,MAX(VLOOKUP(($AJ133-$AI133-$AH133-$AG133-$AF133-$AE133*(1+FM$3))/$AJ133,'Технический лист'!$A:$B,2,1),(FL133-0.05)))</f>
        <v>1</v>
      </c>
      <c r="FN133" s="15">
        <f>MIN(1,MAX(VLOOKUP(($AJ133-$AI133-$AH133-$AG133-$AF133-$AE133*(1+FN$3))/$AJ133,'Технический лист'!$A:$B,2,1),(FM133-0.05)))</f>
        <v>1</v>
      </c>
      <c r="FO133" s="15">
        <f>MIN(1,MAX(VLOOKUP(($AJ133-$AI133-$AH133-$AG133-$AF133-$AE133*(1+FO$3))/$AJ133,'Технический лист'!$A:$B,2,1),(FN133-0.05)))</f>
        <v>1</v>
      </c>
      <c r="FP133" s="15">
        <f>MIN(1,MAX(VLOOKUP(($AJ133-$AI133-$AH133-$AG133-$AF133-$AE133*(1+FP$3))/$AJ133,'Технический лист'!$A:$B,2,1),(FO133-0.05)))</f>
        <v>1</v>
      </c>
      <c r="FQ133" s="15">
        <f>MIN(1,MAX(VLOOKUP(($AJ133-$AI133-$AH133-$AG133-$AF133-$AE133*(1+FQ$3))/$AJ133,'Технический лист'!$A:$B,2,1),(FP133-0.05)))</f>
        <v>1</v>
      </c>
      <c r="FR133" s="15">
        <f>MIN(1,MAX(VLOOKUP(($AJ133-$AI133-$AH133-$AG133-$AF133-$AE133*(1+FR$3))/$AJ133,'Технический лист'!$A:$B,2,1),(FQ133-0.05)))</f>
        <v>1</v>
      </c>
      <c r="FS133" s="15">
        <f>MIN(1,MAX(VLOOKUP(($AJ133-$AI133-$AH133-$AG133-$AF133-$AE133*(1+FS$3))/$AJ133,'Технический лист'!$A:$B,2,1),(FR133-0.05)))</f>
        <v>1</v>
      </c>
      <c r="FT133" s="15">
        <f>MIN(1,MAX(VLOOKUP(($AJ133-$AI133-$AH133-$AG133-$AF133-$AE133*(1+FT$3))/$AJ133,'Технический лист'!$A:$B,2,1),(FS133-0.05)))</f>
        <v>1</v>
      </c>
      <c r="FU133" s="15">
        <f>MIN(1,MAX(VLOOKUP(($AJ133-$AI133-$AH133-$AG133-$AF133-$AE133*(1+FU$3))/$AJ133,'Технический лист'!$A:$B,2,1),(FT133-0.05)))</f>
        <v>1</v>
      </c>
      <c r="FV133" s="15">
        <f>MIN(1,MAX(VLOOKUP(($AJ133-$AI133-$AH133-$AG133-$AF133-$AE133*(1+FV$3))/$AJ133,'Технический лист'!$A:$B,2,1),(FU133-0.05)))</f>
        <v>1</v>
      </c>
      <c r="FW133" s="15">
        <f>MIN(1,MAX(VLOOKUP(($AJ133-$AI133-$AH133-$AG133-$AF133-$AE133*(1+FW$3))/$AJ133,'Технический лист'!$A:$B,2,1),(FV133-0.05)))</f>
        <v>1</v>
      </c>
      <c r="FX133" s="15">
        <f>MIN(1,MAX(VLOOKUP(($AJ133-$AI133-$AH133-$AG133-$AF133-$AE133*(1+FX$3))/$AJ133,'Технический лист'!$A:$B,2,1),(FW133-0.05)))</f>
        <v>1</v>
      </c>
      <c r="FY133" s="15">
        <f>MIN(1,MAX(VLOOKUP(($AJ133-$AI133-$AH133-$AG133-$AF133-$AE133*(1+FY$3))/$AJ133,'Технический лист'!$A:$B,2,1),(FX133-0.05)))</f>
        <v>1</v>
      </c>
      <c r="FZ133" s="15">
        <f>MIN(1,MAX(VLOOKUP(($AJ133-$AI133-$AH133-$AG133-$AF133-$AE133*(1+FZ$3))/$AJ133,'Технический лист'!$A:$B,2,1),(FY133-0.05)))</f>
        <v>1</v>
      </c>
      <c r="GA133" s="15">
        <f>MIN(1,MAX(VLOOKUP(($AJ133-$AI133-$AH133-$AG133-$AF133-$AE133*(1+GA$3))/$AJ133,'Технический лист'!$A:$B,2,1),(FZ133-0.05)))</f>
        <v>1</v>
      </c>
      <c r="GB133" s="15">
        <f>MIN(1,MAX(VLOOKUP(($AJ133-$AI133-$AH133-$AG133-$AF133-$AE133*(1+GB$3))/$AJ133,'Технический лист'!$A:$B,2,1),(GA133-0.05)))</f>
        <v>1</v>
      </c>
      <c r="GC133" s="15">
        <f>MIN(1,MAX(VLOOKUP(($AJ133-$AI133-$AH133-$AG133-$AF133-$AE133*(1+GC$3))/$AJ133,'Технический лист'!$A:$B,2,1),(GB133-0.05)))</f>
        <v>1</v>
      </c>
      <c r="GD133" s="15">
        <f>MIN(1,MAX(VLOOKUP(($AJ133-$AI133-$AH133-$AG133-$AF133-$AE133*(1+GD$3))/$AJ133,'Технический лист'!$A:$B,2,1),(GC133-0.05)))</f>
        <v>1</v>
      </c>
      <c r="GE133" s="15">
        <f>MIN(1,MAX(VLOOKUP(($AJ133-$AI133-$AH133-$AG133-$AF133-$AE133*(1+GE$3))/$AJ133,'Технический лист'!$A:$B,2,1),(GD133-0.05)))</f>
        <v>1</v>
      </c>
      <c r="GF133" s="15">
        <f>MIN(1,MAX(VLOOKUP(($AJ133-$AI133-$AH133-$AG133-$AF133-$AE133*(1+GF$3))/$AJ133,'Технический лист'!$A:$B,2,1),(GE133-0.05)))</f>
        <v>1</v>
      </c>
      <c r="GG133" s="15">
        <f>MIN(1,MAX(VLOOKUP(($AJ133-$AI133-$AH133-$AG133-$AF133-$AE133*(1+GG$3))/$AJ133,'Технический лист'!$A:$B,2,1),(GF133-0.05)))</f>
        <v>1</v>
      </c>
      <c r="GH133" s="15">
        <f>MIN(1,MAX(VLOOKUP(($AJ133-$AI133-$AH133-$AG133-$AF133-$AE133*(1+GH$3))/$AJ133,'Технический лист'!$A:$B,2,1),(GG133-0.05)))</f>
        <v>1</v>
      </c>
      <c r="GI133" s="15">
        <f>MIN(1,MAX(VLOOKUP(($AJ133-$AI133-$AH133-$AG133-$AF133-$AE133*(1+GI$3))/$AJ133,'Технический лист'!$A:$B,2,1),(GH133-0.05)))</f>
        <v>1</v>
      </c>
      <c r="GJ133" s="15">
        <f>MIN(1,MAX(VLOOKUP(($AJ133-$AI133-$AH133-$AG133-$AF133-$AE133*(1+GJ$3))/$AJ133,'Технический лист'!$A:$B,2,1),(GI133-0.05)))</f>
        <v>1</v>
      </c>
      <c r="GK133" s="15">
        <f>MIN(1,MAX(VLOOKUP(($AJ133-$AI133-$AH133-$AG133-$AF133-$AE133*(1+GK$3))/$AJ133,'Технический лист'!$A:$B,2,1),(GJ133-0.05)))</f>
        <v>1</v>
      </c>
      <c r="GL133" s="15">
        <f>MIN(1,MAX(VLOOKUP(($AJ133-$AI133-$AH133-$AG133-$AF133-$AE133*(1+GL$3))/$AJ133,'Технический лист'!$A:$B,2,1),(GK133-0.05)))</f>
        <v>1</v>
      </c>
      <c r="GM133" s="15">
        <f>MIN(1,MAX(VLOOKUP(($AJ133-$AI133-$AH133-$AG133-$AF133-$AE133*(1+GM$3))/$AJ133,'Технический лист'!$A:$B,2,1),(GL133-0.05)))</f>
        <v>1</v>
      </c>
      <c r="GN133" s="15">
        <f>MIN(1,MAX(VLOOKUP(($AJ133-$AI133-$AH133-$AG133-$AF133-$AE133*(1+GN$3))/$AJ133,'Технический лист'!$A:$B,2,1),(GM133-0.05)))</f>
        <v>1</v>
      </c>
      <c r="GO133" s="15">
        <f>MIN(1,MAX(VLOOKUP(($AJ133-$AI133-$AH133-$AG133-$AF133-$AE133*(1+GO$3))/$AJ133,'Технический лист'!$A:$B,2,1),(GN133-0.05)))</f>
        <v>1</v>
      </c>
      <c r="GP133" s="15">
        <f>MIN(1,MAX(VLOOKUP(($AJ133-$AI133-$AH133-$AG133-$AF133-$AE133*(1+GP$3))/$AJ133,'Технический лист'!$A:$B,2,1),(GO133-0.05)))</f>
        <v>1</v>
      </c>
      <c r="GQ133" s="15">
        <f>MIN(1,MAX(VLOOKUP(($AJ133-$AI133-$AH133-$AG133-$AF133-$AE133*(1+GQ$3))/$AJ133,'Технический лист'!$A:$B,2,1),(GP133-0.05)))</f>
        <v>1</v>
      </c>
      <c r="GR133" s="15">
        <f>MIN(1,MAX(VLOOKUP(($AJ133-$AI133-$AH133-$AG133-$AF133-$AE133*(1+GR$3))/$AJ133,'Технический лист'!$A:$B,2,1),(GQ133-0.05)))</f>
        <v>1</v>
      </c>
      <c r="GS133" s="15">
        <f>MIN(1,MAX(VLOOKUP(($AJ133-$AI133-$AH133-$AG133-$AF133-$AE133*(1+GS$3))/$AJ133,'Технический лист'!$A:$B,2,1),(GR133-0.05)))</f>
        <v>1</v>
      </c>
      <c r="GT133" s="15">
        <f>MIN(1,MAX(VLOOKUP(($AJ133-$AI133-$AH133-$AG133-$AF133-$AE133*(1+GT$3))/$AJ133,'Технический лист'!$A:$B,2,1),(GS133-0.05)))</f>
        <v>1</v>
      </c>
      <c r="GU133" s="15">
        <f>MIN(1,MAX(VLOOKUP(($AJ133-$AI133-$AH133-$AG133-$AF133-$AE133*(1+GU$3))/$AJ133,'Технический лист'!$A:$B,2,1),(GT133-0.05)))</f>
        <v>1</v>
      </c>
      <c r="GV133" s="15">
        <f>MIN(1,MAX(VLOOKUP(($AJ133-$AI133-$AH133-$AG133-$AF133-$AE133*(1+GV$3))/$AJ133,'Технический лист'!$A:$B,2,1),(GU133-0.05)))</f>
        <v>1</v>
      </c>
      <c r="GW133" s="15">
        <f>MIN(1,MAX(VLOOKUP(($AJ133-$AI133-$AH133-$AG133-$AF133-$AE133*(1+GW$3))/$AJ133,'Технический лист'!$A:$B,2,1),(GV133-0.05)))</f>
        <v>1</v>
      </c>
      <c r="GX133" s="15">
        <f>MIN(1,MAX(VLOOKUP(($AJ133-$AI133-$AH133-$AG133-$AF133-$AE133*(1+GX$3))/$AJ133,'Технический лист'!$A:$B,2,1),(GW133-0.05)))</f>
        <v>1</v>
      </c>
      <c r="GY133" s="15">
        <f>MIN(1,MAX(VLOOKUP(($AJ133-$AI133-$AH133-$AG133-$AF133-$AE133*(1+GY$3))/$AJ133,'Технический лист'!$A:$B,2,1),(GX133-0.05)))</f>
        <v>1</v>
      </c>
      <c r="GZ133" s="15">
        <f>MIN(1,MAX(VLOOKUP(($AJ133-$AI133-$AH133-$AG133-$AF133-$AE133*(1+GZ$3))/$AJ133,'Технический лист'!$A:$B,2,1),(GY133-0.05)))</f>
        <v>1</v>
      </c>
      <c r="HA133" s="15">
        <f>MIN(1,MAX(VLOOKUP(($AJ133-$AI133-$AH133-$AG133-$AF133-$AE133*(1+HA$3))/$AJ133,'Технический лист'!$A:$B,2,1),(GZ133-0.05)))</f>
        <v>1</v>
      </c>
      <c r="HB133" s="15">
        <f>MIN(1,MAX(VLOOKUP(($AJ133-$AI133-$AH133-$AG133-$AF133-$AE133*(1+HB$3))/$AJ133,'Технический лист'!$A:$B,2,1),(HA133-0.05)))</f>
        <v>1</v>
      </c>
      <c r="HC133" s="15">
        <f>MIN(1,MAX(VLOOKUP(($AJ133-$AI133-$AH133-$AG133-$AF133-$AE133*(1+HC$3))/$AJ133,'Технический лист'!$A:$B,2,1),(HB133-0.05)))</f>
        <v>1</v>
      </c>
      <c r="HD133" s="15">
        <f>MIN(1,MAX(VLOOKUP(($AJ133-$AI133-$AH133-$AG133-$AF133-$AE133*(1+HD$3))/$AJ133,'Технический лист'!$A:$B,2,1),(HC133-0.05)))</f>
        <v>1</v>
      </c>
      <c r="HE133" s="15">
        <f>MIN(1,MAX(VLOOKUP(($AJ133-$AI133-$AH133-$AG133-$AF133-$AE133*(1+HE$3))/$AJ133,'Технический лист'!$A:$B,2,1),(HD133-0.05)))</f>
        <v>1</v>
      </c>
      <c r="HF133" s="15">
        <f>MIN(1,MAX(VLOOKUP(($AJ133-$AI133-$AH133-$AG133-$AF133-$AE133*(1+HF$3))/$AJ133,'Технический лист'!$A:$B,2,1),(HE133-0.05)))</f>
        <v>1</v>
      </c>
      <c r="HG133" s="15">
        <f>MIN(1,MAX(VLOOKUP(($AJ133-$AI133-$AH133-$AG133-$AF133-$AE133*(1+HG$3))/$AJ133,'Технический лист'!$A:$B,2,1),(HF133-0.05)))</f>
        <v>1</v>
      </c>
      <c r="HH133" s="15">
        <f>MIN(1,MAX(VLOOKUP(($AJ133-$AI133-$AH133-$AG133-$AF133-$AE133*(1+HH$3))/$AJ133,'Технический лист'!$A:$B,2,1),(HG133-0.05)))</f>
        <v>1</v>
      </c>
      <c r="HI133" s="15">
        <f>MIN(1,MAX(VLOOKUP(($AJ133-$AI133-$AH133-$AG133-$AF133-$AE133*(1+HI$3))/$AJ133,'Технический лист'!$A:$B,2,1),(HH133-0.05)))</f>
        <v>1</v>
      </c>
      <c r="HJ133" s="15">
        <f>MIN(1,MAX(VLOOKUP(($AJ133-$AI133-$AH133-$AG133-$AF133-$AE133*(1+HJ$3))/$AJ133,'Технический лист'!$A:$B,2,1),(HI133-0.05)))</f>
        <v>1</v>
      </c>
      <c r="HK133" s="15">
        <f>MIN(1,MAX(VLOOKUP(($AJ133-$AI133-$AH133-$AG133-$AF133-$AE133*(1+HK$3))/$AJ133,'Технический лист'!$A:$B,2,1),(HJ133-0.05)))</f>
        <v>1</v>
      </c>
      <c r="HL133" s="15">
        <f>MIN(1,MAX(VLOOKUP(($AJ133-$AI133-$AH133-$AG133-$AF133-$AE133*(1+HL$3))/$AJ133,'Технический лист'!$A:$B,2,1),(HK133-0.05)))</f>
        <v>1</v>
      </c>
      <c r="HM133" s="15">
        <f>MIN(1,MAX(VLOOKUP(($AJ133-$AI133-$AH133-$AG133-$AF133-$AE133*(1+HM$3))/$AJ133,'Технический лист'!$A:$B,2,1),(HL133-0.05)))</f>
        <v>1</v>
      </c>
      <c r="HN133" s="15">
        <f>MIN(1,MAX(VLOOKUP(($AJ133-$AI133-$AH133-$AG133-$AF133-$AE133*(1+HN$3))/$AJ133,'Технический лист'!$A:$B,2,1),(HM133-0.05)))</f>
        <v>1</v>
      </c>
      <c r="HO133" s="15">
        <f>MIN(1,MAX(VLOOKUP(($AJ133-$AI133-$AH133-$AG133-$AF133-$AE133*(1+HO$3))/$AJ133,'Технический лист'!$A:$B,2,1),(HN133-0.05)))</f>
        <v>1</v>
      </c>
      <c r="HP133" s="15">
        <f>MIN(1,MAX(VLOOKUP(($AJ133-$AI133-$AH133-$AG133-$AF133-$AE133*(1+HP$3))/$AJ133,'Технический лист'!$A:$B,2,1),(HO133-0.05)))</f>
        <v>1</v>
      </c>
      <c r="HQ133" s="15">
        <f>MIN(1,MAX(VLOOKUP(($AJ133-$AI133-$AH133-$AG133-$AF133-$AE133*(1+HQ$3))/$AJ133,'Технический лист'!$A:$B,2,1),(HP133-0.05)))</f>
        <v>1</v>
      </c>
      <c r="HR133" s="15">
        <f>MIN(1,MAX(VLOOKUP(($AJ133-$AI133-$AH133-$AG133-$AF133-$AE133*(1+HR$3))/$AJ133,'Технический лист'!$A:$B,2,1),(HQ133-0.05)))</f>
        <v>1</v>
      </c>
      <c r="HS133" s="15">
        <f>MIN(1,MAX(VLOOKUP(($AJ133-$AI133-$AH133-$AG133-$AF133-$AE133*(1+HS$3))/$AJ133,'Технический лист'!$A:$B,2,1),(HR133-0.05)))</f>
        <v>1</v>
      </c>
      <c r="HT133" s="15">
        <f>MIN(1,MAX(VLOOKUP(($AJ133-$AI133-$AH133-$AG133-$AF133-$AE133*(1+HT$3))/$AJ133,'Технический лист'!$A:$B,2,1),(HS133-0.05)))</f>
        <v>1</v>
      </c>
      <c r="HU133" s="15">
        <f>MIN(1,MAX(VLOOKUP(($AJ133-$AI133-$AH133-$AG133-$AF133-$AE133*(1+HU$3))/$AJ133,'Технический лист'!$A:$B,2,1),(HT133-0.05)))</f>
        <v>1</v>
      </c>
      <c r="HV133" s="15">
        <f>MIN(1,MAX(VLOOKUP(($AJ133-$AI133-$AH133-$AG133-$AF133-$AE133*(1+HV$3))/$AJ133,'Технический лист'!$A:$B,2,1),(HU133-0.05)))</f>
        <v>1</v>
      </c>
      <c r="HW133" s="15">
        <f>MIN(1,MAX(VLOOKUP(($AJ133-$AI133-$AH133-$AG133-$AF133-$AE133*(1+HW$3))/$AJ133,'Технический лист'!$A:$B,2,1),(HV133-0.05)))</f>
        <v>1</v>
      </c>
      <c r="HX133" s="15">
        <f>MIN(1,MAX(VLOOKUP(($AJ133-$AI133-$AH133-$AG133-$AF133-$AE133*(1+HX$3))/$AJ133,'Технический лист'!$A:$B,2,1),(HW133-0.05)))</f>
        <v>1</v>
      </c>
      <c r="HY133" s="15">
        <f>MIN(1,MAX(VLOOKUP(($AJ133-$AI133-$AH133-$AG133-$AF133-$AE133*(1+HY$3))/$AJ133,'Технический лист'!$A:$B,2,1),(HX133-0.05)))</f>
        <v>1</v>
      </c>
      <c r="HZ133" s="15">
        <f>MIN(1,MAX(VLOOKUP(($AJ133-$AI133-$AH133-$AG133-$AF133-$AE133*(1+HZ$3))/$AJ133,'Технический лист'!$A:$B,2,1),(HY133-0.05)))</f>
        <v>1</v>
      </c>
      <c r="IA133" s="15">
        <f>MIN(1,MAX(VLOOKUP(($AJ133-$AI133-$AH133-$AG133-$AF133-$AE133*(1+IA$3))/$AJ133,'Технический лист'!$A:$B,2,1),(HZ133-0.05)))</f>
        <v>1</v>
      </c>
      <c r="IB133" s="15">
        <f>MIN(1,MAX(VLOOKUP(($AJ133-$AI133-$AH133-$AG133-$AF133-$AE133*(1+IB$3))/$AJ133,'Технический лист'!$A:$B,2,1),(IA133-0.05)))</f>
        <v>1</v>
      </c>
      <c r="IC133" s="15">
        <f>MIN(1,MAX(VLOOKUP(($AJ133-$AI133-$AH133-$AG133-$AF133-$AE133*(1+IC$3))/$AJ133,'Технический лист'!$A:$B,2,1),(IB133-0.05)))</f>
        <v>1</v>
      </c>
      <c r="ID133" s="15">
        <f>MIN(1,MAX(VLOOKUP(($AJ133-$AI133-$AH133-$AG133-$AF133-$AE133*(1+ID$3))/$AJ133,'Технический лист'!$A:$B,2,1),(IC133-0.05)))</f>
        <v>1</v>
      </c>
      <c r="IE133" s="15">
        <f>MIN(1,MAX(VLOOKUP(($AJ133-$AI133-$AH133-$AG133-$AF133-$AE133*(1+IE$3))/$AJ133,'Технический лист'!$A:$B,2,1),(ID133-0.05)))</f>
        <v>1</v>
      </c>
      <c r="IF133" s="15">
        <f>MIN(1,MAX(VLOOKUP(($AJ133-$AI133-$AH133-$AG133-$AF133-$AE133*(1+IF$3))/$AJ133,'Технический лист'!$A:$B,2,1),(IE133-0.05)))</f>
        <v>1</v>
      </c>
      <c r="IG133" s="15">
        <f>MIN(1,MAX(VLOOKUP(($AJ133-$AI133-$AH133-$AG133-$AF133-$AE133*(1+IG$3))/$AJ133,'Технический лист'!$A:$B,2,1),(IF133-0.05)))</f>
        <v>1</v>
      </c>
      <c r="IH133" s="15">
        <f>MIN(1,MAX(VLOOKUP(($AJ133-$AI133-$AH133-$AG133-$AF133-$AE133*(1+IH$3))/$AJ133,'Технический лист'!$A:$B,2,1),(IG133-0.05)))</f>
        <v>1</v>
      </c>
      <c r="II133" s="15">
        <f>MIN(1,MAX(VLOOKUP(($AJ133-$AI133-$AH133-$AG133-$AF133-$AE133*(1+II$3))/$AJ133,'Технический лист'!$A:$B,2,1),(IH133-0.05)))</f>
        <v>1</v>
      </c>
      <c r="IJ133" s="15">
        <f>MIN(1,MAX(VLOOKUP(($AJ133-$AI133-$AH133-$AG133-$AF133-$AE133*(1+IJ$3))/$AJ133,'Технический лист'!$A:$B,2,1),(II133-0.05)))</f>
        <v>1</v>
      </c>
      <c r="IK133" s="15">
        <f>MIN(1,MAX(VLOOKUP(($AJ133-$AI133-$AH133-$AG133-$AF133-$AE133*(1+IK$3))/$AJ133,'Технический лист'!$A:$B,2,1),(IJ133-0.05)))</f>
        <v>1</v>
      </c>
      <c r="IL133" s="15">
        <f>MIN(1,MAX(VLOOKUP(($AJ133-$AI133-$AH133-$AG133-$AF133-$AE133*(1+IL$3))/$AJ133,'Технический лист'!$A:$B,2,1),(IK133-0.05)))</f>
        <v>1</v>
      </c>
      <c r="IM133" s="15">
        <f>MIN(1,MAX(VLOOKUP(($AJ133-$AI133-$AH133-$AG133-$AF133-$AE133*(1+IM$3))/$AJ133,'Технический лист'!$A:$B,2,1),(IL133-0.05)))</f>
        <v>1</v>
      </c>
      <c r="IN133" s="15">
        <f>MIN(1,MAX(VLOOKUP(($AJ133-$AI133-$AH133-$AG133-$AF133-$AE133*(1+IN$3))/$AJ133,'Технический лист'!$A:$B,2,1),(IM133-0.05)))</f>
        <v>1</v>
      </c>
      <c r="IO133" s="15">
        <f>MIN(1,MAX(VLOOKUP(($AJ133-$AI133-$AH133-$AG133-$AF133-$AE133*(1+IO$3))/$AJ133,'Технический лист'!$A:$B,2,1),(IN133-0.05)))</f>
        <v>1</v>
      </c>
      <c r="IP133" s="15">
        <f>MIN(1,MAX(VLOOKUP(($AJ133-$AI133-$AH133-$AG133-$AF133-$AE133*(1+IP$3))/$AJ133,'Технический лист'!$A:$B,2,1),(IO133-0.05)))</f>
        <v>1</v>
      </c>
      <c r="IQ133" s="15">
        <f>MIN(1,MAX(VLOOKUP(($AJ133-$AI133-$AH133-$AG133-$AF133-$AE133*(1+IQ$3))/$AJ133,'Технический лист'!$A:$B,2,1),(IP133-0.05)))</f>
        <v>1</v>
      </c>
      <c r="IR133" s="15">
        <f>MIN(1,MAX(VLOOKUP(($AJ133-$AI133-$AH133-$AG133-$AF133-$AE133*(1+IR$3))/$AJ133,'Технический лист'!$A:$B,2,1),(IQ133-0.05)))</f>
        <v>1</v>
      </c>
    </row>
    <row r="134" spans="1:252" ht="29.15">
      <c r="A134" s="89" t="s">
        <v>513</v>
      </c>
      <c r="B134" s="90">
        <v>10</v>
      </c>
      <c r="C134" s="5" t="s">
        <v>66</v>
      </c>
      <c r="D134" s="91">
        <v>33101</v>
      </c>
      <c r="E134" s="91" t="s">
        <v>325</v>
      </c>
      <c r="F134" s="92" t="s">
        <v>72</v>
      </c>
      <c r="G134" s="91" t="s">
        <v>19</v>
      </c>
      <c r="H134" s="91" t="s">
        <v>21</v>
      </c>
      <c r="I134" s="91" t="s">
        <v>110</v>
      </c>
      <c r="J134" s="91" t="s">
        <v>116</v>
      </c>
      <c r="K134" s="91">
        <v>4795</v>
      </c>
      <c r="L134" s="85" t="s">
        <v>64</v>
      </c>
      <c r="M134" s="91" t="s">
        <v>17</v>
      </c>
      <c r="N134" s="91" t="s">
        <v>191</v>
      </c>
      <c r="O134" s="91" t="s">
        <v>192</v>
      </c>
      <c r="P134" s="89" t="s">
        <v>214</v>
      </c>
      <c r="Q134" s="91" t="s">
        <v>300</v>
      </c>
      <c r="R134" s="91" t="s">
        <v>261</v>
      </c>
      <c r="S134" s="82">
        <v>71708</v>
      </c>
      <c r="T134" s="82">
        <v>343831724</v>
      </c>
      <c r="U134" s="81">
        <v>1084</v>
      </c>
      <c r="V134" s="81">
        <v>0</v>
      </c>
      <c r="W134" s="82">
        <v>291761919</v>
      </c>
      <c r="X134" s="112">
        <v>66</v>
      </c>
      <c r="Y134" s="112" t="s">
        <v>416</v>
      </c>
      <c r="Z134" s="113">
        <v>15</v>
      </c>
      <c r="AA134" s="113">
        <v>11</v>
      </c>
      <c r="AB134" s="113">
        <v>4</v>
      </c>
      <c r="AC134" s="99">
        <v>4722.67</v>
      </c>
      <c r="AD134" s="99">
        <f>AE134-AC134</f>
        <v>857.97000000000025</v>
      </c>
      <c r="AE134" s="99">
        <v>5580.64</v>
      </c>
      <c r="AF134" s="98">
        <f>(Z134+AA134+AB134)*'Ставки аренды'!$B$3/X134</f>
        <v>318.18181818181819</v>
      </c>
      <c r="AG134" s="94">
        <f>'Ставки перевалки'!B9*'Курсы валют'!B2</f>
        <v>1220.8879999999999</v>
      </c>
      <c r="AH134" s="94">
        <v>0</v>
      </c>
      <c r="AI134" s="115">
        <f>12254/14812*AVERAGE(AJ134,AJ137)</f>
        <v>213196.79438107618</v>
      </c>
      <c r="AJ134" s="117">
        <f>Цены!C20*'Курсы валют'!B2</f>
        <v>235402.4675</v>
      </c>
      <c r="AK134" s="94">
        <f>AJ134/Цены!$B$1</f>
        <v>3085</v>
      </c>
      <c r="AL134" s="95">
        <f t="shared" si="54"/>
        <v>7119.7098181818183</v>
      </c>
      <c r="AM134" s="95">
        <f t="shared" si="55"/>
        <v>228282.75768181818</v>
      </c>
      <c r="AN134" s="94">
        <f t="shared" si="52"/>
        <v>220316.50419925802</v>
      </c>
      <c r="AO134" s="118">
        <f t="shared" si="53"/>
        <v>6.4085833343025492E-2</v>
      </c>
      <c r="AP134" s="96">
        <f t="shared" si="56"/>
        <v>3.0244839375703735E-2</v>
      </c>
      <c r="AQ134" s="96">
        <f t="shared" si="57"/>
        <v>2.3706803328219152E-2</v>
      </c>
      <c r="AR134" s="96">
        <f t="shared" si="58"/>
        <v>0.78382969847289996</v>
      </c>
      <c r="AS134" s="122">
        <v>1</v>
      </c>
      <c r="AT134" s="121">
        <f t="shared" si="45"/>
        <v>71708</v>
      </c>
      <c r="AU134" s="83">
        <v>0.95</v>
      </c>
      <c r="AV134" s="119">
        <f t="shared" si="41"/>
        <v>6.1241016943639259E-2</v>
      </c>
      <c r="AW134" s="120">
        <f t="shared" si="42"/>
        <v>3.3089655775090029E-2</v>
      </c>
      <c r="AX134" s="120">
        <f t="shared" si="43"/>
        <v>2.655161972760545E-2</v>
      </c>
      <c r="AY134" s="120">
        <f t="shared" si="44"/>
        <v>0.80241450403946391</v>
      </c>
      <c r="AZ134" s="15">
        <f>MIN(IF($AU134=100%,1,1+VLOOKUP(($AJ134-$AI134-$AH134-$AG134-$AF134-$AE134*(1+AZ$3))/$AJ134,'Технический лист'!$I:$J,2,1)-VLOOKUP($AO134,'Технический лист'!$I:$J,2,1)),1+(1-$AU134))</f>
        <v>1.05</v>
      </c>
      <c r="BA134" s="15">
        <f>MIN(IF($AU134=100%,1,1+VLOOKUP(($AJ134-$AI134-$AH134-$AG134-$AF134-$AE134*(1+BA$3))/$AJ134,'Технический лист'!$I:$J,2,1)-VLOOKUP($AO134,'Технический лист'!$I:$J,2,1)),1+(1-$AU134))</f>
        <v>1.05</v>
      </c>
      <c r="BB134" s="15">
        <f>MIN(IF($AU134=100%,1,1+VLOOKUP(($AJ134-$AI134-$AH134-$AG134-$AF134-$AE134*(1+BB$3))/$AJ134,'Технический лист'!$I:$J,2,1)-VLOOKUP($AO134,'Технический лист'!$I:$J,2,1)),1+(1-$AU134))</f>
        <v>1.05</v>
      </c>
      <c r="BC134" s="15">
        <f>MIN(IF($AU134=100%,1,1+VLOOKUP(($AJ134-$AI134-$AH134-$AG134-$AF134-$AE134*(1+BC$3))/$AJ134,'Технический лист'!$I:$J,2,1)-VLOOKUP($AO134,'Технический лист'!$I:$J,2,1)),1+(1-$AU134))</f>
        <v>1.05</v>
      </c>
      <c r="BD134" s="15">
        <f>MIN(IF($AU134=100%,1,1+VLOOKUP(($AJ134-$AI134-$AH134-$AG134-$AF134-$AE134*(1+BD$3))/$AJ134,'Технический лист'!$I:$J,2,1)-VLOOKUP($AO134,'Технический лист'!$I:$J,2,1)),1+(1-$AU134))</f>
        <v>1.05</v>
      </c>
      <c r="BE134" s="15">
        <f>MIN(IF($AU134=100%,1,1+VLOOKUP(($AJ134-$AI134-$AH134-$AG134-$AF134-$AE134*(1+BE$3))/$AJ134,'Технический лист'!$I:$J,2,1)-VLOOKUP($AO134,'Технический лист'!$I:$J,2,1)),1+(1-$AU134))</f>
        <v>1.05</v>
      </c>
      <c r="BF134" s="15">
        <f>MIN(IF($AU134=100%,1,1+VLOOKUP(($AJ134-$AI134-$AH134-$AG134-$AF134-$AE134*(1+BF$3))/$AJ134,'Технический лист'!$I:$J,2,1)-VLOOKUP($AO134,'Технический лист'!$I:$J,2,1)),1+(1-$AU134))</f>
        <v>1.05</v>
      </c>
      <c r="BG134" s="15">
        <f>MIN(IF($AU134=100%,1,1+VLOOKUP(($AJ134-$AI134-$AH134-$AG134-$AF134-$AE134*(1+BG$3))/$AJ134,'Технический лист'!$I:$J,2,1)-VLOOKUP($AO134,'Технический лист'!$I:$J,2,1)),1+(1-$AU134))</f>
        <v>1.05</v>
      </c>
      <c r="BH134" s="15">
        <f>MIN(IF($AU134=100%,1,1+VLOOKUP(($AJ134-$AI134-$AH134-$AG134-$AF134-$AE134*(1+BH$3))/$AJ134,'Технический лист'!$I:$J,2,1)-VLOOKUP($AO134,'Технический лист'!$I:$J,2,1)),1+(1-$AU134))</f>
        <v>1.0499999999999998</v>
      </c>
      <c r="BI134" s="15">
        <f>MIN(IF($AU134=100%,1,1+VLOOKUP(($AJ134-$AI134-$AH134-$AG134-$AF134-$AE134*(1+BI$3))/$AJ134,'Технический лист'!$I:$J,2,1)-VLOOKUP($AO134,'Технический лист'!$I:$J,2,1)),1+(1-$AU134))</f>
        <v>1.0499999999999998</v>
      </c>
      <c r="BJ134" s="15">
        <f>MIN(IF($AU134=100%,1,1+VLOOKUP(($AJ134-$AI134-$AH134-$AG134-$AF134-$AE134*(1+BJ$3))/$AJ134,'Технический лист'!$I:$J,2,1)-VLOOKUP($AO134,'Технический лист'!$I:$J,2,1)),1+(1-$AU134))</f>
        <v>1.0499999999999998</v>
      </c>
      <c r="BK134" s="15">
        <f>MIN(IF($AU134=100%,1,1+VLOOKUP(($AJ134-$AI134-$AH134-$AG134-$AF134-$AE134*(1+BK$3))/$AJ134,'Технический лист'!$I:$J,2,1)-VLOOKUP($AO134,'Технический лист'!$I:$J,2,1)),1+(1-$AU134))</f>
        <v>1.0499999999999998</v>
      </c>
      <c r="BL134" s="15">
        <f>MIN(IF($AU134=100%,1,1+VLOOKUP(($AJ134-$AI134-$AH134-$AG134-$AF134-$AE134*(1+BL$3))/$AJ134,'Технический лист'!$I:$J,2,1)-VLOOKUP($AO134,'Технический лист'!$I:$J,2,1)),1+(1-$AU134))</f>
        <v>1.0499999999999998</v>
      </c>
      <c r="BM134" s="15">
        <f>MIN(IF($AU134=100%,1,1+VLOOKUP(($AJ134-$AI134-$AH134-$AG134-$AF134-$AE134*(1+BM$3))/$AJ134,'Технический лист'!$I:$J,2,1)-VLOOKUP($AO134,'Технический лист'!$I:$J,2,1)),1+(1-$AU134))</f>
        <v>1.0499999999999998</v>
      </c>
      <c r="BN134" s="15">
        <f>MIN(IF($AU134=100%,1,1+VLOOKUP(($AJ134-$AI134-$AH134-$AG134-$AF134-$AE134*(1+BN$3))/$AJ134,'Технический лист'!$I:$J,2,1)-VLOOKUP($AO134,'Технический лист'!$I:$J,2,1)),1+(1-$AU134))</f>
        <v>1.0499999999999998</v>
      </c>
      <c r="BO134" s="15">
        <f>MIN(IF($AU134=100%,1,1+VLOOKUP(($AJ134-$AI134-$AH134-$AG134-$AF134-$AE134*(1+BO$3))/$AJ134,'Технический лист'!$I:$J,2,1)-VLOOKUP($AO134,'Технический лист'!$I:$J,2,1)),1+(1-$AU134))</f>
        <v>1.0499999999999998</v>
      </c>
      <c r="BP134" s="15">
        <f>MIN(IF($AU134=100%,1,1+VLOOKUP(($AJ134-$AI134-$AH134-$AG134-$AF134-$AE134*(1+BP$3))/$AJ134,'Технический лист'!$I:$J,2,1)-VLOOKUP($AO134,'Технический лист'!$I:$J,2,1)),1+(1-$AU134))</f>
        <v>1.0499999999999998</v>
      </c>
      <c r="BQ134" s="15">
        <f>MIN(IF($AU134=100%,1,1+VLOOKUP(($AJ134-$AI134-$AH134-$AG134-$AF134-$AE134*(1+BQ$3))/$AJ134,'Технический лист'!$I:$J,2,1)-VLOOKUP($AO134,'Технический лист'!$I:$J,2,1)),1+(1-$AU134))</f>
        <v>1.0499999999999998</v>
      </c>
      <c r="BR134" s="15">
        <f>MIN(IF($AU134=100%,1,1+VLOOKUP(($AJ134-$AI134-$AH134-$AG134-$AF134-$AE134*(1+BR$3))/$AJ134,'Технический лист'!$I:$J,2,1)-VLOOKUP($AO134,'Технический лист'!$I:$J,2,1)),1+(1-$AU134))</f>
        <v>1.0499999999999998</v>
      </c>
      <c r="BS134" s="15">
        <f>MIN(IF($AU134=100%,1,1+VLOOKUP(($AJ134-$AI134-$AH134-$AG134-$AF134-$AE134*(1+BS$3))/$AJ134,'Технический лист'!$I:$J,2,1)-VLOOKUP($AO134,'Технический лист'!$I:$J,2,1)),1+(1-$AU134))</f>
        <v>1.0499999999999998</v>
      </c>
      <c r="BT134" s="15">
        <f>MIN(IF($AU134=100%,1,1+VLOOKUP(($AJ134-$AI134-$AH134-$AG134-$AF134-$AE134*(1+BT$3))/$AJ134,'Технический лист'!$I:$J,2,1)-VLOOKUP($AO134,'Технический лист'!$I:$J,2,1)),1+(1-$AU134))</f>
        <v>1.0499999999999998</v>
      </c>
      <c r="BU134" s="15">
        <f>MIN(IF($AU134=100%,1,1+VLOOKUP(($AJ134-$AI134-$AH134-$AG134-$AF134-$AE134*(1+BU$3))/$AJ134,'Технический лист'!$I:$J,2,1)-VLOOKUP($AO134,'Технический лист'!$I:$J,2,1)),1+(1-$AU134))</f>
        <v>1.0499999999999998</v>
      </c>
      <c r="BV134" s="15">
        <f>MIN(IF($AU134=100%,1,1+VLOOKUP(($AJ134-$AI134-$AH134-$AG134-$AF134-$AE134*(1+BV$3))/$AJ134,'Технический лист'!$I:$J,2,1)-VLOOKUP($AO134,'Технический лист'!$I:$J,2,1)),1+(1-$AU134))</f>
        <v>1.0499999999999998</v>
      </c>
      <c r="BW134" s="15">
        <f>MIN(IF($AU134=100%,1,1+VLOOKUP(($AJ134-$AI134-$AH134-$AG134-$AF134-$AE134*(1+BW$3))/$AJ134,'Технический лист'!$I:$J,2,1)-VLOOKUP($AO134,'Технический лист'!$I:$J,2,1)),1+(1-$AU134))</f>
        <v>1.0499999999999998</v>
      </c>
      <c r="BX134" s="15">
        <f>MIN(IF($AU134=100%,1,1+VLOOKUP(($AJ134-$AI134-$AH134-$AG134-$AF134-$AE134*(1+BX$3))/$AJ134,'Технический лист'!$I:$J,2,1)-VLOOKUP($AO134,'Технический лист'!$I:$J,2,1)),1+(1-$AU134))</f>
        <v>1.0499999999999998</v>
      </c>
      <c r="BY134" s="15">
        <f>MIN(IF($AU134=100%,1,1+VLOOKUP(($AJ134-$AI134-$AH134-$AG134-$AF134-$AE134*(1+BY$3))/$AJ134,'Технический лист'!$I:$J,2,1)-VLOOKUP($AO134,'Технический лист'!$I:$J,2,1)),1+(1-$AU134))</f>
        <v>1.0499999999999998</v>
      </c>
      <c r="BZ134" s="15">
        <f>MIN(IF($AU134=100%,1,1+VLOOKUP(($AJ134-$AI134-$AH134-$AG134-$AF134-$AE134*(1+BZ$3))/$AJ134,'Технический лист'!$I:$J,2,1)-VLOOKUP($AO134,'Технический лист'!$I:$J,2,1)),1+(1-$AU134))</f>
        <v>1.0499999999999998</v>
      </c>
      <c r="CA134" s="15">
        <f>MIN(IF($AU134=100%,1,1+VLOOKUP(($AJ134-$AI134-$AH134-$AG134-$AF134-$AE134*(1+CA$3))/$AJ134,'Технический лист'!$I:$J,2,1)-VLOOKUP($AO134,'Технический лист'!$I:$J,2,1)),1+(1-$AU134))</f>
        <v>1.0499999999999998</v>
      </c>
      <c r="CB134" s="15">
        <f>MIN(IF($AU134=100%,1,1+VLOOKUP(($AJ134-$AI134-$AH134-$AG134-$AF134-$AE134*(1+CB$3))/$AJ134,'Технический лист'!$I:$J,2,1)-VLOOKUP($AO134,'Технический лист'!$I:$J,2,1)),1+(1-$AU134))</f>
        <v>1.0499999999999998</v>
      </c>
      <c r="CC134" s="15">
        <f>MIN(IF($AU134=100%,1,1+VLOOKUP(($AJ134-$AI134-$AH134-$AG134-$AF134-$AE134*(1+CC$3))/$AJ134,'Технический лист'!$I:$J,2,1)-VLOOKUP($AO134,'Технический лист'!$I:$J,2,1)),1+(1-$AU134))</f>
        <v>1.0499999999999998</v>
      </c>
      <c r="CD134" s="15">
        <f>MIN(IF($AU134=100%,1,1+VLOOKUP(($AJ134-$AI134-$AH134-$AG134-$AF134-$AE134*(1+CD$3))/$AJ134,'Технический лист'!$I:$J,2,1)-VLOOKUP($AO134,'Технический лист'!$I:$J,2,1)),1+(1-$AU134))</f>
        <v>1.0499999999999998</v>
      </c>
      <c r="CE134" s="15">
        <f>MIN(IF($AU134=100%,1,1+VLOOKUP(($AJ134-$AI134-$AH134-$AG134-$AF134-$AE134*(1+CE$3))/$AJ134,'Технический лист'!$I:$J,2,1)-VLOOKUP($AO134,'Технический лист'!$I:$J,2,1)),1+(1-$AU134))</f>
        <v>1.0499999999999998</v>
      </c>
      <c r="CF134" s="15">
        <f>MIN(IF($AU134=100%,1,1+VLOOKUP(($AJ134-$AI134-$AH134-$AG134-$AF134-$AE134*(1+CF$3))/$AJ134,'Технический лист'!$I:$J,2,1)-VLOOKUP($AO134,'Технический лист'!$I:$J,2,1)),1+(1-$AU134))</f>
        <v>1.0499999999999998</v>
      </c>
      <c r="CG134" s="15">
        <f>MIN(IF($AU134=100%,1,1+VLOOKUP(($AJ134-$AI134-$AH134-$AG134-$AF134-$AE134*(1+CG$3))/$AJ134,'Технический лист'!$I:$J,2,1)-VLOOKUP($AO134,'Технический лист'!$I:$J,2,1)),1+(1-$AU134))</f>
        <v>1.0499999999999998</v>
      </c>
      <c r="CH134" s="15">
        <f>MIN(IF($AU134=100%,1,1+VLOOKUP(($AJ134-$AI134-$AH134-$AG134-$AF134-$AE134*(1+CH$3))/$AJ134,'Технический лист'!$I:$J,2,1)-VLOOKUP($AO134,'Технический лист'!$I:$J,2,1)),1+(1-$AU134))</f>
        <v>1.0499999999999998</v>
      </c>
      <c r="CI134" s="15">
        <f>MIN(IF($AU134=100%,1,1+VLOOKUP(($AJ134-$AI134-$AH134-$AG134-$AF134-$AE134*(1+CI$3))/$AJ134,'Технический лист'!$I:$J,2,1)-VLOOKUP($AO134,'Технический лист'!$I:$J,2,1)),1+(1-$AU134))</f>
        <v>1.0499999999999998</v>
      </c>
      <c r="CJ134" s="15">
        <f>MIN(IF($AU134=100%,1,1+VLOOKUP(($AJ134-$AI134-$AH134-$AG134-$AF134-$AE134*(1+CJ$3))/$AJ134,'Технический лист'!$I:$J,2,1)-VLOOKUP($AO134,'Технический лист'!$I:$J,2,1)),1+(1-$AU134))</f>
        <v>1.0499999999999998</v>
      </c>
      <c r="CK134" s="15">
        <f>MIN(IF($AU134=100%,1,1+VLOOKUP(($AJ134-$AI134-$AH134-$AG134-$AF134-$AE134*(1+CK$3))/$AJ134,'Технический лист'!$I:$J,2,1)-VLOOKUP($AO134,'Технический лист'!$I:$J,2,1)),1+(1-$AU134))</f>
        <v>1.0499999999999998</v>
      </c>
      <c r="CL134" s="15">
        <f>MIN(IF($AU134=100%,1,1+VLOOKUP(($AJ134-$AI134-$AH134-$AG134-$AF134-$AE134*(1+CL$3))/$AJ134,'Технический лист'!$I:$J,2,1)-VLOOKUP($AO134,'Технический лист'!$I:$J,2,1)),1+(1-$AU134))</f>
        <v>1.0499999999999998</v>
      </c>
      <c r="CM134" s="15">
        <f>MIN(IF($AU134=100%,1,1+VLOOKUP(($AJ134-$AI134-$AH134-$AG134-$AF134-$AE134*(1+CM$3))/$AJ134,'Технический лист'!$I:$J,2,1)-VLOOKUP($AO134,'Технический лист'!$I:$J,2,1)),1+(1-$AU134))</f>
        <v>1.0499999999999998</v>
      </c>
      <c r="CN134" s="15">
        <f>MIN(IF($AU134=100%,1,1+VLOOKUP(($AJ134-$AI134-$AH134-$AG134-$AF134-$AE134*(1+CN$3))/$AJ134,'Технический лист'!$I:$J,2,1)-VLOOKUP($AO134,'Технический лист'!$I:$J,2,1)),1+(1-$AU134))</f>
        <v>1.0499999999999998</v>
      </c>
      <c r="CO134" s="15">
        <f>MIN(IF($AU134=100%,1,1+VLOOKUP(($AJ134-$AI134-$AH134-$AG134-$AF134-$AE134*(1+CO$3))/$AJ134,'Технический лист'!$I:$J,2,1)-VLOOKUP($AO134,'Технический лист'!$I:$J,2,1)),1+(1-$AU134))</f>
        <v>1.0499999999999998</v>
      </c>
      <c r="CP134" s="15">
        <f>MIN(IF($AU134=100%,1,1+VLOOKUP(($AJ134-$AI134-$AH134-$AG134-$AF134-$AE134*(1+CP$3))/$AJ134,'Технический лист'!$I:$J,2,1)-VLOOKUP($AO134,'Технический лист'!$I:$J,2,1)),1+(1-$AU134))</f>
        <v>1.0499999999999998</v>
      </c>
      <c r="CQ134" s="15">
        <f>MIN(IF($AU134=100%,1,1+VLOOKUP(($AJ134-$AI134-$AH134-$AG134-$AF134-$AE134*(1+CQ$3))/$AJ134,'Технический лист'!$I:$J,2,1)-VLOOKUP($AO134,'Технический лист'!$I:$J,2,1)),1+(1-$AU134))</f>
        <v>1.0499999999999998</v>
      </c>
      <c r="CR134" s="15">
        <f>MIN(IF($AU134=100%,1,1+VLOOKUP(($AJ134-$AI134-$AH134-$AG134-$AF134-$AE134*(1+CR$3))/$AJ134,'Технический лист'!$I:$J,2,1)-VLOOKUP($AO134,'Технический лист'!$I:$J,2,1)),1+(1-$AU134))</f>
        <v>1.0499999999999998</v>
      </c>
      <c r="CS134" s="15">
        <f>MIN(IF($AU134=100%,1,1+VLOOKUP(($AJ134-$AI134-$AH134-$AG134-$AF134-$AE134*(1+CS$3))/$AJ134,'Технический лист'!$I:$J,2,1)-VLOOKUP($AO134,'Технический лист'!$I:$J,2,1)),1+(1-$AU134))</f>
        <v>1.0499999999999998</v>
      </c>
      <c r="CT134" s="15">
        <f>MIN(IF($AU134=100%,1,1+VLOOKUP(($AJ134-$AI134-$AH134-$AG134-$AF134-$AE134*(1+CT$3))/$AJ134,'Технический лист'!$I:$J,2,1)-VLOOKUP($AO134,'Технический лист'!$I:$J,2,1)),1+(1-$AU134))</f>
        <v>1.0499999999999998</v>
      </c>
      <c r="CU134" s="15">
        <f>MIN(IF($AU134=100%,1,1+VLOOKUP(($AJ134-$AI134-$AH134-$AG134-$AF134-$AE134*(1+CU$3))/$AJ134,'Технический лист'!$I:$J,2,1)-VLOOKUP($AO134,'Технический лист'!$I:$J,2,1)),1+(1-$AU134))</f>
        <v>1.0499999999999998</v>
      </c>
      <c r="CV134" s="15">
        <f>MIN(IF($AU134=100%,1,1+VLOOKUP(($AJ134-$AI134-$AH134-$AG134-$AF134-$AE134*(1+CV$3))/$AJ134,'Технический лист'!$I:$J,2,1)-VLOOKUP($AO134,'Технический лист'!$I:$J,2,1)),1+(1-$AU134))</f>
        <v>1.0499999999999998</v>
      </c>
      <c r="CW134" s="15">
        <f>MIN(IF($AU134=100%,1,1+VLOOKUP(($AJ134-$AI134-$AH134-$AG134-$AF134-$AE134*(1+CW$3))/$AJ134,'Технический лист'!$I:$J,2,1)-VLOOKUP($AO134,'Технический лист'!$I:$J,2,1)),1+(1-$AU134))</f>
        <v>1.0499999999999998</v>
      </c>
      <c r="CX134" s="15">
        <f>MIN(IF($AU134=100%,1,1+VLOOKUP(($AJ134-$AI134-$AH134-$AG134-$AF134-$AE134*(1+CX$3))/$AJ134,'Технический лист'!$I:$J,2,1)-VLOOKUP($AO134,'Технический лист'!$I:$J,2,1)),1+(1-$AU134))</f>
        <v>1.0499999999999998</v>
      </c>
      <c r="CY134" s="15">
        <f>MIN(IF($AU134=100%,1,1+VLOOKUP(($AJ134-$AI134-$AH134-$AG134-$AF134-$AE134*(1+CY$3))/$AJ134,'Технический лист'!$I:$J,2,1)-VLOOKUP($AO134,'Технический лист'!$I:$J,2,1)),1+(1-$AU134))</f>
        <v>1.0249999999999999</v>
      </c>
      <c r="CZ134" s="15">
        <f>MIN(IF($AU134=100%,1,1+VLOOKUP(($AJ134-$AI134-$AH134-$AG134-$AF134-$AE134*(1+CZ$3))/$AJ134,'Технический лист'!$I:$J,2,1)-VLOOKUP($AO134,'Технический лист'!$I:$J,2,1)),1+(1-$AU134))</f>
        <v>1.0249999999999999</v>
      </c>
      <c r="DA134" s="15">
        <f>MIN(IF($AU134=100%,1,1+VLOOKUP(($AJ134-$AI134-$AH134-$AG134-$AF134-$AE134*(1+DA$3))/$AJ134,'Технический лист'!$I:$J,2,1)-VLOOKUP($AO134,'Технический лист'!$I:$J,2,1)),1+(1-$AU134))</f>
        <v>1.0249999999999999</v>
      </c>
      <c r="DB134" s="15">
        <f>MIN(IF($AU134=100%,1,1+VLOOKUP(($AJ134-$AI134-$AH134-$AG134-$AF134-$AE134*(1+DB$3))/$AJ134,'Технический лист'!$I:$J,2,1)-VLOOKUP($AO134,'Технический лист'!$I:$J,2,1)),1+(1-$AU134))</f>
        <v>1.0249999999999999</v>
      </c>
      <c r="DC134" s="15">
        <f>MIN(IF($AU134=100%,1,1+VLOOKUP(($AJ134-$AI134-$AH134-$AG134-$AF134-$AE134*(1+DC$3))/$AJ134,'Технический лист'!$I:$J,2,1)-VLOOKUP($AO134,'Технический лист'!$I:$J,2,1)),1+(1-$AU134))</f>
        <v>1.0249999999999999</v>
      </c>
      <c r="DD134" s="15">
        <f>MIN(IF($AU134=100%,1,1+VLOOKUP(($AJ134-$AI134-$AH134-$AG134-$AF134-$AE134*(1+DD$3))/$AJ134,'Технический лист'!$I:$J,2,1)-VLOOKUP($AO134,'Технический лист'!$I:$J,2,1)),1+(1-$AU134))</f>
        <v>1.0249999999999999</v>
      </c>
      <c r="DE134" s="15">
        <f>MIN(IF($AU134=100%,1,1+VLOOKUP(($AJ134-$AI134-$AH134-$AG134-$AF134-$AE134*(1+DE$3))/$AJ134,'Технический лист'!$I:$J,2,1)-VLOOKUP($AO134,'Технический лист'!$I:$J,2,1)),1+(1-$AU134))</f>
        <v>1.0249999999999999</v>
      </c>
      <c r="DF134" s="15">
        <f>MIN(IF($AU134=100%,1,1+VLOOKUP(($AJ134-$AI134-$AH134-$AG134-$AF134-$AE134*(1+DF$3))/$AJ134,'Технический лист'!$I:$J,2,1)-VLOOKUP($AO134,'Технический лист'!$I:$J,2,1)),1+(1-$AU134))</f>
        <v>1.0249999999999999</v>
      </c>
      <c r="DG134" s="15">
        <f>MIN(IF($AU134=100%,1,1+VLOOKUP(($AJ134-$AI134-$AH134-$AG134-$AF134-$AE134*(1+DG$3))/$AJ134,'Технический лист'!$I:$J,2,1)-VLOOKUP($AO134,'Технический лист'!$I:$J,2,1)),1+(1-$AU134))</f>
        <v>1.0249999999999999</v>
      </c>
      <c r="DH134" s="15">
        <f>MIN(IF($AU134=100%,1,1+VLOOKUP(($AJ134-$AI134-$AH134-$AG134-$AF134-$AE134*(1+DH$3))/$AJ134,'Технический лист'!$I:$J,2,1)-VLOOKUP($AO134,'Технический лист'!$I:$J,2,1)),1+(1-$AU134))</f>
        <v>1.0249999999999999</v>
      </c>
      <c r="DI134" s="15">
        <f>MIN(IF($AU134=100%,1,1+VLOOKUP(($AJ134-$AI134-$AH134-$AG134-$AF134-$AE134*(1+DI$3))/$AJ134,'Технический лист'!$I:$J,2,1)-VLOOKUP($AO134,'Технический лист'!$I:$J,2,1)),1+(1-$AU134))</f>
        <v>1.0249999999999999</v>
      </c>
      <c r="DJ134" s="15">
        <f>MIN(IF($AU134=100%,1,1+VLOOKUP(($AJ134-$AI134-$AH134-$AG134-$AF134-$AE134*(1+DJ$3))/$AJ134,'Технический лист'!$I:$J,2,1)-VLOOKUP($AO134,'Технический лист'!$I:$J,2,1)),1+(1-$AU134))</f>
        <v>1.0249999999999999</v>
      </c>
      <c r="DK134" s="15">
        <f>MIN(IF($AU134=100%,1,1+VLOOKUP(($AJ134-$AI134-$AH134-$AG134-$AF134-$AE134*(1+DK$3))/$AJ134,'Технический лист'!$I:$J,2,1)-VLOOKUP($AO134,'Технический лист'!$I:$J,2,1)),1+(1-$AU134))</f>
        <v>1.0249999999999999</v>
      </c>
      <c r="DL134" s="15">
        <f>MIN(IF($AU134=100%,1,1+VLOOKUP(($AJ134-$AI134-$AH134-$AG134-$AF134-$AE134*(1+DL$3))/$AJ134,'Технический лист'!$I:$J,2,1)-VLOOKUP($AO134,'Технический лист'!$I:$J,2,1)),1+(1-$AU134))</f>
        <v>1.0249999999999999</v>
      </c>
      <c r="DM134" s="15">
        <f>MIN(IF($AU134=100%,1,1+VLOOKUP(($AJ134-$AI134-$AH134-$AG134-$AF134-$AE134*(1+DM$3))/$AJ134,'Технический лист'!$I:$J,2,1)-VLOOKUP($AO134,'Технический лист'!$I:$J,2,1)),1+(1-$AU134))</f>
        <v>1.0249999999999999</v>
      </c>
      <c r="DN134" s="15">
        <f>MIN(IF($AU134=100%,1,1+VLOOKUP(($AJ134-$AI134-$AH134-$AG134-$AF134-$AE134*(1+DN$3))/$AJ134,'Технический лист'!$I:$J,2,1)-VLOOKUP($AO134,'Технический лист'!$I:$J,2,1)),1+(1-$AU134))</f>
        <v>1.0249999999999999</v>
      </c>
      <c r="DO134" s="15">
        <f>MIN(IF($AU134=100%,1,1+VLOOKUP(($AJ134-$AI134-$AH134-$AG134-$AF134-$AE134*(1+DO$3))/$AJ134,'Технический лист'!$I:$J,2,1)-VLOOKUP($AO134,'Технический лист'!$I:$J,2,1)),1+(1-$AU134))</f>
        <v>1.0249999999999999</v>
      </c>
      <c r="DP134" s="15">
        <f>MIN(IF($AU134=100%,1,1+VLOOKUP(($AJ134-$AI134-$AH134-$AG134-$AF134-$AE134*(1+DP$3))/$AJ134,'Технический лист'!$I:$J,2,1)-VLOOKUP($AO134,'Технический лист'!$I:$J,2,1)),1+(1-$AU134))</f>
        <v>1.0249999999999999</v>
      </c>
      <c r="DQ134" s="15">
        <f>MIN(IF($AU134=100%,1,1+VLOOKUP(($AJ134-$AI134-$AH134-$AG134-$AF134-$AE134*(1+DQ$3))/$AJ134,'Технический лист'!$I:$J,2,1)-VLOOKUP($AO134,'Технический лист'!$I:$J,2,1)),1+(1-$AU134))</f>
        <v>1.0249999999999999</v>
      </c>
      <c r="DR134" s="15">
        <f>MIN(IF($AU134=100%,1,1+VLOOKUP(($AJ134-$AI134-$AH134-$AG134-$AF134-$AE134*(1+DR$3))/$AJ134,'Технический лист'!$I:$J,2,1)-VLOOKUP($AO134,'Технический лист'!$I:$J,2,1)),1+(1-$AU134))</f>
        <v>1.0249999999999999</v>
      </c>
      <c r="DS134" s="15">
        <f>MIN(IF($AU134=100%,1,1+VLOOKUP(($AJ134-$AI134-$AH134-$AG134-$AF134-$AE134*(1+DS$3))/$AJ134,'Технический лист'!$I:$J,2,1)-VLOOKUP($AO134,'Технический лист'!$I:$J,2,1)),1+(1-$AU134))</f>
        <v>1.0249999999999999</v>
      </c>
      <c r="DT134" s="15">
        <f>MIN(IF($AU134=100%,1,1+VLOOKUP(($AJ134-$AI134-$AH134-$AG134-$AF134-$AE134*(1+DT$3))/$AJ134,'Технический лист'!$I:$J,2,1)-VLOOKUP($AO134,'Технический лист'!$I:$J,2,1)),1+(1-$AU134))</f>
        <v>1.0249999999999999</v>
      </c>
      <c r="DU134" s="15">
        <f>MIN(IF($AU134=100%,1,1+VLOOKUP(($AJ134-$AI134-$AH134-$AG134-$AF134-$AE134*(1+DU$3))/$AJ134,'Технический лист'!$I:$J,2,1)-VLOOKUP($AO134,'Технический лист'!$I:$J,2,1)),1+(1-$AU134))</f>
        <v>1.0249999999999999</v>
      </c>
      <c r="DV134" s="15">
        <f>MIN(IF($AU134=100%,1,1+VLOOKUP(($AJ134-$AI134-$AH134-$AG134-$AF134-$AE134*(1+DV$3))/$AJ134,'Технический лист'!$I:$J,2,1)-VLOOKUP($AO134,'Технический лист'!$I:$J,2,1)),1+(1-$AU134))</f>
        <v>1.0249999999999999</v>
      </c>
      <c r="DW134" s="15">
        <f>MIN(IF($AU134=100%,1,1+VLOOKUP(($AJ134-$AI134-$AH134-$AG134-$AF134-$AE134*(1+DW$3))/$AJ134,'Технический лист'!$I:$J,2,1)-VLOOKUP($AO134,'Технический лист'!$I:$J,2,1)),1+(1-$AU134))</f>
        <v>1.0249999999999999</v>
      </c>
      <c r="DX134" s="15">
        <f>MIN(IF($AU134=100%,1,1+VLOOKUP(($AJ134-$AI134-$AH134-$AG134-$AF134-$AE134*(1+DX$3))/$AJ134,'Технический лист'!$I:$J,2,1)-VLOOKUP($AO134,'Технический лист'!$I:$J,2,1)),1+(1-$AU134))</f>
        <v>1.0249999999999999</v>
      </c>
      <c r="DY134" s="15">
        <f>MIN(IF($AU134=100%,1,1+VLOOKUP(($AJ134-$AI134-$AH134-$AG134-$AF134-$AE134*(1+DY$3))/$AJ134,'Технический лист'!$I:$J,2,1)-VLOOKUP($AO134,'Технический лист'!$I:$J,2,1)),1+(1-$AU134))</f>
        <v>1.0249999999999999</v>
      </c>
      <c r="DZ134" s="15">
        <f>MIN(IF($AU134=100%,1,1+VLOOKUP(($AJ134-$AI134-$AH134-$AG134-$AF134-$AE134*(1+DZ$3))/$AJ134,'Технический лист'!$I:$J,2,1)-VLOOKUP($AO134,'Технический лист'!$I:$J,2,1)),1+(1-$AU134))</f>
        <v>1.0249999999999999</v>
      </c>
      <c r="EA134" s="15">
        <f>MIN(IF($AU134=100%,1,1+VLOOKUP(($AJ134-$AI134-$AH134-$AG134-$AF134-$AE134*(1+EA$3))/$AJ134,'Технический лист'!$I:$J,2,1)-VLOOKUP($AO134,'Технический лист'!$I:$J,2,1)),1+(1-$AU134))</f>
        <v>1.0249999999999999</v>
      </c>
      <c r="EB134" s="15">
        <f>MIN(IF($AU134=100%,1,1+VLOOKUP(($AJ134-$AI134-$AH134-$AG134-$AF134-$AE134*(1+EB$3))/$AJ134,'Технический лист'!$I:$J,2,1)-VLOOKUP($AO134,'Технический лист'!$I:$J,2,1)),1+(1-$AU134))</f>
        <v>1.0249999999999999</v>
      </c>
      <c r="EC134" s="15">
        <f>MIN(IF($AU134=100%,1,1+VLOOKUP(($AJ134-$AI134-$AH134-$AG134-$AF134-$AE134*(1+EC$3))/$AJ134,'Технический лист'!$I:$J,2,1)-VLOOKUP($AO134,'Технический лист'!$I:$J,2,1)),1+(1-$AU134))</f>
        <v>1.0249999999999999</v>
      </c>
      <c r="ED134" s="15">
        <f>MIN(IF($AU134=100%,1,1+VLOOKUP(($AJ134-$AI134-$AH134-$AG134-$AF134-$AE134*(1+ED$3))/$AJ134,'Технический лист'!$I:$J,2,1)-VLOOKUP($AO134,'Технический лист'!$I:$J,2,1)),1+(1-$AU134))</f>
        <v>1.0249999999999999</v>
      </c>
      <c r="EE134" s="15">
        <f>MIN(IF($AU134=100%,1,1+VLOOKUP(($AJ134-$AI134-$AH134-$AG134-$AF134-$AE134*(1+EE$3))/$AJ134,'Технический лист'!$I:$J,2,1)-VLOOKUP($AO134,'Технический лист'!$I:$J,2,1)),1+(1-$AU134))</f>
        <v>1.0249999999999999</v>
      </c>
      <c r="EF134" s="15">
        <f>MIN(IF($AU134=100%,1,1+VLOOKUP(($AJ134-$AI134-$AH134-$AG134-$AF134-$AE134*(1+EF$3))/$AJ134,'Технический лист'!$I:$J,2,1)-VLOOKUP($AO134,'Технический лист'!$I:$J,2,1)),1+(1-$AU134))</f>
        <v>1.0249999999999999</v>
      </c>
      <c r="EG134" s="15">
        <f>MIN(IF($AU134=100%,1,1+VLOOKUP(($AJ134-$AI134-$AH134-$AG134-$AF134-$AE134*(1+EG$3))/$AJ134,'Технический лист'!$I:$J,2,1)-VLOOKUP($AO134,'Технический лист'!$I:$J,2,1)),1+(1-$AU134))</f>
        <v>1.0249999999999999</v>
      </c>
      <c r="EH134" s="15">
        <f>MIN(IF($AU134=100%,1,1+VLOOKUP(($AJ134-$AI134-$AH134-$AG134-$AF134-$AE134*(1+EH$3))/$AJ134,'Технический лист'!$I:$J,2,1)-VLOOKUP($AO134,'Технический лист'!$I:$J,2,1)),1+(1-$AU134))</f>
        <v>1.0249999999999999</v>
      </c>
      <c r="EI134" s="15">
        <f>MIN(IF($AU134=100%,1,1+VLOOKUP(($AJ134-$AI134-$AH134-$AG134-$AF134-$AE134*(1+EI$3))/$AJ134,'Технический лист'!$I:$J,2,1)-VLOOKUP($AO134,'Технический лист'!$I:$J,2,1)),1+(1-$AU134))</f>
        <v>1.0249999999999999</v>
      </c>
      <c r="EJ134" s="15">
        <f>MIN(IF($AU134=100%,1,1+VLOOKUP(($AJ134-$AI134-$AH134-$AG134-$AF134-$AE134*(1+EJ$3))/$AJ134,'Технический лист'!$I:$J,2,1)-VLOOKUP($AO134,'Технический лист'!$I:$J,2,1)),1+(1-$AU134))</f>
        <v>1.0249999999999999</v>
      </c>
      <c r="EK134" s="15">
        <f>MIN(IF($AU134=100%,1,1+VLOOKUP(($AJ134-$AI134-$AH134-$AG134-$AF134-$AE134*(1+EK$3))/$AJ134,'Технический лист'!$I:$J,2,1)-VLOOKUP($AO134,'Технический лист'!$I:$J,2,1)),1+(1-$AU134))</f>
        <v>1.0249999999999999</v>
      </c>
      <c r="EL134" s="15">
        <f>MIN(IF($AU134=100%,1,1+VLOOKUP(($AJ134-$AI134-$AH134-$AG134-$AF134-$AE134*(1+EL$3))/$AJ134,'Технический лист'!$I:$J,2,1)-VLOOKUP($AO134,'Технический лист'!$I:$J,2,1)),1+(1-$AU134))</f>
        <v>1.0249999999999999</v>
      </c>
      <c r="EM134" s="15">
        <f>MIN(IF($AU134=100%,1,1+VLOOKUP(($AJ134-$AI134-$AH134-$AG134-$AF134-$AE134*(1+EM$3))/$AJ134,'Технический лист'!$I:$J,2,1)-VLOOKUP($AO134,'Технический лист'!$I:$J,2,1)),1+(1-$AU134))</f>
        <v>1.0249999999999999</v>
      </c>
      <c r="EN134" s="15">
        <f>MIN(IF($AU134=100%,1,1+VLOOKUP(($AJ134-$AI134-$AH134-$AG134-$AF134-$AE134*(1+EN$3))/$AJ134,'Технический лист'!$I:$J,2,1)-VLOOKUP($AO134,'Технический лист'!$I:$J,2,1)),1+(1-$AU134))</f>
        <v>1.0249999999999999</v>
      </c>
      <c r="EO134" s="15">
        <f>MIN(IF($AU134=100%,1,1+VLOOKUP(($AJ134-$AI134-$AH134-$AG134-$AF134-$AE134*(1+EO$3))/$AJ134,'Технический лист'!$I:$J,2,1)-VLOOKUP($AO134,'Технический лист'!$I:$J,2,1)),1+(1-$AU134))</f>
        <v>1</v>
      </c>
      <c r="EP134" s="15">
        <f>MIN(IF($AU134=100%,1,1+VLOOKUP(($AJ134-$AI134-$AH134-$AG134-$AF134-$AE134*(1+EP$3))/$AJ134,'Технический лист'!$I:$J,2,1)-VLOOKUP($AO134,'Технический лист'!$I:$J,2,1)),1+(1-$AU134))</f>
        <v>1</v>
      </c>
      <c r="EQ134" s="15">
        <f>MIN(IF($AU134=100%,1,1+VLOOKUP(($AJ134-$AI134-$AH134-$AG134-$AF134-$AE134*(1+EQ$3))/$AJ134,'Технический лист'!$I:$J,2,1)-VLOOKUP($AO134,'Технический лист'!$I:$J,2,1)),1+(1-$AU134))</f>
        <v>1</v>
      </c>
      <c r="ER134" s="15">
        <f>MIN(IF($AU134=100%,1,1+VLOOKUP(($AJ134-$AI134-$AH134-$AG134-$AF134-$AE134*(1+ER$3))/$AJ134,'Технический лист'!$I:$J,2,1)-VLOOKUP($AO134,'Технический лист'!$I:$J,2,1)),1+(1-$AU134))</f>
        <v>1</v>
      </c>
      <c r="ES134" s="15">
        <f>MIN(IF($AU134=100%,1,1+VLOOKUP(($AJ134-$AI134-$AH134-$AG134-$AF134-$AE134*(1+ES$3))/$AJ134,'Технический лист'!$I:$J,2,1)-VLOOKUP($AO134,'Технический лист'!$I:$J,2,1)),1+(1-$AU134))</f>
        <v>1</v>
      </c>
      <c r="ET134" s="15">
        <f>MIN(IF($AU134=100%,1,1+VLOOKUP(($AJ134-$AI134-$AH134-$AG134-$AF134-$AE134*(1+ET$3))/$AJ134,'Технический лист'!$I:$J,2,1)-VLOOKUP($AO134,'Технический лист'!$I:$J,2,1)),1+(1-$AU134))</f>
        <v>1</v>
      </c>
      <c r="EU134" s="15">
        <f>MIN(IF($AU134=100%,1,1+VLOOKUP(($AJ134-$AI134-$AH134-$AG134-$AF134-$AE134*(1+EU$3))/$AJ134,'Технический лист'!$I:$J,2,1)-VLOOKUP($AO134,'Технический лист'!$I:$J,2,1)),1+(1-$AU134))</f>
        <v>1</v>
      </c>
      <c r="EV134" s="111">
        <v>1</v>
      </c>
      <c r="EW134" s="15">
        <f>MIN(1,MAX(VLOOKUP(($AJ134-$AI134-$AH134-$AG134-$AF134-$AE134*(1+EW$3))/$AJ134,'Технический лист'!$A:$B,2,1),(EV134-0.05)))</f>
        <v>1</v>
      </c>
      <c r="EX134" s="15">
        <f>MIN(1,MAX(VLOOKUP(($AJ134-$AI134-$AH134-$AG134-$AF134-$AE134*(1+EX$3))/$AJ134,'Технический лист'!$A:$B,2,1),(EW134-0.05)))</f>
        <v>1</v>
      </c>
      <c r="EY134" s="15">
        <f>MIN(1,MAX(VLOOKUP(($AJ134-$AI134-$AH134-$AG134-$AF134-$AE134*(1+EY$3))/$AJ134,'Технический лист'!$A:$B,2,1),(EX134-0.05)))</f>
        <v>1</v>
      </c>
      <c r="EZ134" s="15">
        <f>MIN(1,MAX(VLOOKUP(($AJ134-$AI134-$AH134-$AG134-$AF134-$AE134*(1+EZ$3))/$AJ134,'Технический лист'!$A:$B,2,1),(EY134-0.05)))</f>
        <v>1</v>
      </c>
      <c r="FA134" s="15">
        <f>MIN(1,MAX(VLOOKUP(($AJ134-$AI134-$AH134-$AG134-$AF134-$AE134*(1+FA$3))/$AJ134,'Технический лист'!$A:$B,2,1),(EZ134-0.05)))</f>
        <v>1</v>
      </c>
      <c r="FB134" s="15">
        <f>MIN(1,MAX(VLOOKUP(($AJ134-$AI134-$AH134-$AG134-$AF134-$AE134*(1+FB$3))/$AJ134,'Технический лист'!$A:$B,2,1),(FA134-0.05)))</f>
        <v>1</v>
      </c>
      <c r="FC134" s="15">
        <f>MIN(1,MAX(VLOOKUP(($AJ134-$AI134-$AH134-$AG134-$AF134-$AE134*(1+FC$3))/$AJ134,'Технический лист'!$A:$B,2,1),(FB134-0.05)))</f>
        <v>1</v>
      </c>
      <c r="FD134" s="15">
        <f>MIN(1,MAX(VLOOKUP(($AJ134-$AI134-$AH134-$AG134-$AF134-$AE134*(1+FD$3))/$AJ134,'Технический лист'!$A:$B,2,1),(FC134-0.05)))</f>
        <v>1</v>
      </c>
      <c r="FE134" s="15">
        <f>MIN(1,MAX(VLOOKUP(($AJ134-$AI134-$AH134-$AG134-$AF134-$AE134*(1+FE$3))/$AJ134,'Технический лист'!$A:$B,2,1),(FD134-0.05)))</f>
        <v>1</v>
      </c>
      <c r="FF134" s="15">
        <f>MIN(1,MAX(VLOOKUP(($AJ134-$AI134-$AH134-$AG134-$AF134-$AE134*(1+FF$3))/$AJ134,'Технический лист'!$A:$B,2,1),(FE134-0.05)))</f>
        <v>1</v>
      </c>
      <c r="FG134" s="15">
        <f>MIN(1,MAX(VLOOKUP(($AJ134-$AI134-$AH134-$AG134-$AF134-$AE134*(1+FG$3))/$AJ134,'Технический лист'!$A:$B,2,1),(FF134-0.05)))</f>
        <v>1</v>
      </c>
      <c r="FH134" s="15">
        <f>MIN(1,MAX(VLOOKUP(($AJ134-$AI134-$AH134-$AG134-$AF134-$AE134*(1+FH$3))/$AJ134,'Технический лист'!$A:$B,2,1),(FG134-0.05)))</f>
        <v>1</v>
      </c>
      <c r="FI134" s="15">
        <f>MIN(1,MAX(VLOOKUP(($AJ134-$AI134-$AH134-$AG134-$AF134-$AE134*(1+FI$3))/$AJ134,'Технический лист'!$A:$B,2,1),(FH134-0.05)))</f>
        <v>1</v>
      </c>
      <c r="FJ134" s="15">
        <f>MIN(1,MAX(VLOOKUP(($AJ134-$AI134-$AH134-$AG134-$AF134-$AE134*(1+FJ$3))/$AJ134,'Технический лист'!$A:$B,2,1),(FI134-0.05)))</f>
        <v>1</v>
      </c>
      <c r="FK134" s="15">
        <f>MIN(1,MAX(VLOOKUP(($AJ134-$AI134-$AH134-$AG134-$AF134-$AE134*(1+FK$3))/$AJ134,'Технический лист'!$A:$B,2,1),(FJ134-0.05)))</f>
        <v>1</v>
      </c>
      <c r="FL134" s="15">
        <f>MIN(1,MAX(VLOOKUP(($AJ134-$AI134-$AH134-$AG134-$AF134-$AE134*(1+FL$3))/$AJ134,'Технический лист'!$A:$B,2,1),(FK134-0.05)))</f>
        <v>1</v>
      </c>
      <c r="FM134" s="15">
        <f>MIN(1,MAX(VLOOKUP(($AJ134-$AI134-$AH134-$AG134-$AF134-$AE134*(1+FM$3))/$AJ134,'Технический лист'!$A:$B,2,1),(FL134-0.05)))</f>
        <v>1</v>
      </c>
      <c r="FN134" s="15">
        <f>MIN(1,MAX(VLOOKUP(($AJ134-$AI134-$AH134-$AG134-$AF134-$AE134*(1+FN$3))/$AJ134,'Технический лист'!$A:$B,2,1),(FM134-0.05)))</f>
        <v>1</v>
      </c>
      <c r="FO134" s="15">
        <f>MIN(1,MAX(VLOOKUP(($AJ134-$AI134-$AH134-$AG134-$AF134-$AE134*(1+FO$3))/$AJ134,'Технический лист'!$A:$B,2,1),(FN134-0.05)))</f>
        <v>1</v>
      </c>
      <c r="FP134" s="15">
        <f>MIN(1,MAX(VLOOKUP(($AJ134-$AI134-$AH134-$AG134-$AF134-$AE134*(1+FP$3))/$AJ134,'Технический лист'!$A:$B,2,1),(FO134-0.05)))</f>
        <v>1</v>
      </c>
      <c r="FQ134" s="15">
        <f>MIN(1,MAX(VLOOKUP(($AJ134-$AI134-$AH134-$AG134-$AF134-$AE134*(1+FQ$3))/$AJ134,'Технический лист'!$A:$B,2,1),(FP134-0.05)))</f>
        <v>1</v>
      </c>
      <c r="FR134" s="15">
        <f>MIN(1,MAX(VLOOKUP(($AJ134-$AI134-$AH134-$AG134-$AF134-$AE134*(1+FR$3))/$AJ134,'Технический лист'!$A:$B,2,1),(FQ134-0.05)))</f>
        <v>1</v>
      </c>
      <c r="FS134" s="15">
        <f>MIN(1,MAX(VLOOKUP(($AJ134-$AI134-$AH134-$AG134-$AF134-$AE134*(1+FS$3))/$AJ134,'Технический лист'!$A:$B,2,1),(FR134-0.05)))</f>
        <v>1</v>
      </c>
      <c r="FT134" s="15">
        <f>MIN(1,MAX(VLOOKUP(($AJ134-$AI134-$AH134-$AG134-$AF134-$AE134*(1+FT$3))/$AJ134,'Технический лист'!$A:$B,2,1),(FS134-0.05)))</f>
        <v>1</v>
      </c>
      <c r="FU134" s="15">
        <f>MIN(1,MAX(VLOOKUP(($AJ134-$AI134-$AH134-$AG134-$AF134-$AE134*(1+FU$3))/$AJ134,'Технический лист'!$A:$B,2,1),(FT134-0.05)))</f>
        <v>1</v>
      </c>
      <c r="FV134" s="15">
        <f>MIN(1,MAX(VLOOKUP(($AJ134-$AI134-$AH134-$AG134-$AF134-$AE134*(1+FV$3))/$AJ134,'Технический лист'!$A:$B,2,1),(FU134-0.05)))</f>
        <v>1</v>
      </c>
      <c r="FW134" s="15">
        <f>MIN(1,MAX(VLOOKUP(($AJ134-$AI134-$AH134-$AG134-$AF134-$AE134*(1+FW$3))/$AJ134,'Технический лист'!$A:$B,2,1),(FV134-0.05)))</f>
        <v>1</v>
      </c>
      <c r="FX134" s="15">
        <f>MIN(1,MAX(VLOOKUP(($AJ134-$AI134-$AH134-$AG134-$AF134-$AE134*(1+FX$3))/$AJ134,'Технический лист'!$A:$B,2,1),(FW134-0.05)))</f>
        <v>1</v>
      </c>
      <c r="FY134" s="15">
        <f>MIN(1,MAX(VLOOKUP(($AJ134-$AI134-$AH134-$AG134-$AF134-$AE134*(1+FY$3))/$AJ134,'Технический лист'!$A:$B,2,1),(FX134-0.05)))</f>
        <v>1</v>
      </c>
      <c r="FZ134" s="15">
        <f>MIN(1,MAX(VLOOKUP(($AJ134-$AI134-$AH134-$AG134-$AF134-$AE134*(1+FZ$3))/$AJ134,'Технический лист'!$A:$B,2,1),(FY134-0.05)))</f>
        <v>1</v>
      </c>
      <c r="GA134" s="15">
        <f>MIN(1,MAX(VLOOKUP(($AJ134-$AI134-$AH134-$AG134-$AF134-$AE134*(1+GA$3))/$AJ134,'Технический лист'!$A:$B,2,1),(FZ134-0.05)))</f>
        <v>1</v>
      </c>
      <c r="GB134" s="15">
        <f>MIN(1,MAX(VLOOKUP(($AJ134-$AI134-$AH134-$AG134-$AF134-$AE134*(1+GB$3))/$AJ134,'Технический лист'!$A:$B,2,1),(GA134-0.05)))</f>
        <v>1</v>
      </c>
      <c r="GC134" s="15">
        <f>MIN(1,MAX(VLOOKUP(($AJ134-$AI134-$AH134-$AG134-$AF134-$AE134*(1+GC$3))/$AJ134,'Технический лист'!$A:$B,2,1),(GB134-0.05)))</f>
        <v>1</v>
      </c>
      <c r="GD134" s="15">
        <f>MIN(1,MAX(VLOOKUP(($AJ134-$AI134-$AH134-$AG134-$AF134-$AE134*(1+GD$3))/$AJ134,'Технический лист'!$A:$B,2,1),(GC134-0.05)))</f>
        <v>1</v>
      </c>
      <c r="GE134" s="15">
        <f>MIN(1,MAX(VLOOKUP(($AJ134-$AI134-$AH134-$AG134-$AF134-$AE134*(1+GE$3))/$AJ134,'Технический лист'!$A:$B,2,1),(GD134-0.05)))</f>
        <v>1</v>
      </c>
      <c r="GF134" s="15">
        <f>MIN(1,MAX(VLOOKUP(($AJ134-$AI134-$AH134-$AG134-$AF134-$AE134*(1+GF$3))/$AJ134,'Технический лист'!$A:$B,2,1),(GE134-0.05)))</f>
        <v>1</v>
      </c>
      <c r="GG134" s="15">
        <f>MIN(1,MAX(VLOOKUP(($AJ134-$AI134-$AH134-$AG134-$AF134-$AE134*(1+GG$3))/$AJ134,'Технический лист'!$A:$B,2,1),(GF134-0.05)))</f>
        <v>1</v>
      </c>
      <c r="GH134" s="15">
        <f>MIN(1,MAX(VLOOKUP(($AJ134-$AI134-$AH134-$AG134-$AF134-$AE134*(1+GH$3))/$AJ134,'Технический лист'!$A:$B,2,1),(GG134-0.05)))</f>
        <v>1</v>
      </c>
      <c r="GI134" s="15">
        <f>MIN(1,MAX(VLOOKUP(($AJ134-$AI134-$AH134-$AG134-$AF134-$AE134*(1+GI$3))/$AJ134,'Технический лист'!$A:$B,2,1),(GH134-0.05)))</f>
        <v>1</v>
      </c>
      <c r="GJ134" s="15">
        <f>MIN(1,MAX(VLOOKUP(($AJ134-$AI134-$AH134-$AG134-$AF134-$AE134*(1+GJ$3))/$AJ134,'Технический лист'!$A:$B,2,1),(GI134-0.05)))</f>
        <v>1</v>
      </c>
      <c r="GK134" s="15">
        <f>MIN(1,MAX(VLOOKUP(($AJ134-$AI134-$AH134-$AG134-$AF134-$AE134*(1+GK$3))/$AJ134,'Технический лист'!$A:$B,2,1),(GJ134-0.05)))</f>
        <v>1</v>
      </c>
      <c r="GL134" s="15">
        <f>MIN(1,MAX(VLOOKUP(($AJ134-$AI134-$AH134-$AG134-$AF134-$AE134*(1+GL$3))/$AJ134,'Технический лист'!$A:$B,2,1),(GK134-0.05)))</f>
        <v>1</v>
      </c>
      <c r="GM134" s="15">
        <f>MIN(1,MAX(VLOOKUP(($AJ134-$AI134-$AH134-$AG134-$AF134-$AE134*(1+GM$3))/$AJ134,'Технический лист'!$A:$B,2,1),(GL134-0.05)))</f>
        <v>1</v>
      </c>
      <c r="GN134" s="15">
        <f>MIN(1,MAX(VLOOKUP(($AJ134-$AI134-$AH134-$AG134-$AF134-$AE134*(1+GN$3))/$AJ134,'Технический лист'!$A:$B,2,1),(GM134-0.05)))</f>
        <v>1</v>
      </c>
      <c r="GO134" s="15">
        <f>MIN(1,MAX(VLOOKUP(($AJ134-$AI134-$AH134-$AG134-$AF134-$AE134*(1+GO$3))/$AJ134,'Технический лист'!$A:$B,2,1),(GN134-0.05)))</f>
        <v>1</v>
      </c>
      <c r="GP134" s="15">
        <f>MIN(1,MAX(VLOOKUP(($AJ134-$AI134-$AH134-$AG134-$AF134-$AE134*(1+GP$3))/$AJ134,'Технический лист'!$A:$B,2,1),(GO134-0.05)))</f>
        <v>1</v>
      </c>
      <c r="GQ134" s="15">
        <f>MIN(1,MAX(VLOOKUP(($AJ134-$AI134-$AH134-$AG134-$AF134-$AE134*(1+GQ$3))/$AJ134,'Технический лист'!$A:$B,2,1),(GP134-0.05)))</f>
        <v>1</v>
      </c>
      <c r="GR134" s="15">
        <f>MIN(1,MAX(VLOOKUP(($AJ134-$AI134-$AH134-$AG134-$AF134-$AE134*(1+GR$3))/$AJ134,'Технический лист'!$A:$B,2,1),(GQ134-0.05)))</f>
        <v>1</v>
      </c>
      <c r="GS134" s="15">
        <f>MIN(1,MAX(VLOOKUP(($AJ134-$AI134-$AH134-$AG134-$AF134-$AE134*(1+GS$3))/$AJ134,'Технический лист'!$A:$B,2,1),(GR134-0.05)))</f>
        <v>1</v>
      </c>
      <c r="GT134" s="15">
        <f>MIN(1,MAX(VLOOKUP(($AJ134-$AI134-$AH134-$AG134-$AF134-$AE134*(1+GT$3))/$AJ134,'Технический лист'!$A:$B,2,1),(GS134-0.05)))</f>
        <v>1</v>
      </c>
      <c r="GU134" s="15">
        <f>MIN(1,MAX(VLOOKUP(($AJ134-$AI134-$AH134-$AG134-$AF134-$AE134*(1+GU$3))/$AJ134,'Технический лист'!$A:$B,2,1),(GT134-0.05)))</f>
        <v>1</v>
      </c>
      <c r="GV134" s="15">
        <f>MIN(1,MAX(VLOOKUP(($AJ134-$AI134-$AH134-$AG134-$AF134-$AE134*(1+GV$3))/$AJ134,'Технический лист'!$A:$B,2,1),(GU134-0.05)))</f>
        <v>1</v>
      </c>
      <c r="GW134" s="15">
        <f>MIN(1,MAX(VLOOKUP(($AJ134-$AI134-$AH134-$AG134-$AF134-$AE134*(1+GW$3))/$AJ134,'Технический лист'!$A:$B,2,1),(GV134-0.05)))</f>
        <v>1</v>
      </c>
      <c r="GX134" s="15">
        <f>MIN(1,MAX(VLOOKUP(($AJ134-$AI134-$AH134-$AG134-$AF134-$AE134*(1+GX$3))/$AJ134,'Технический лист'!$A:$B,2,1),(GW134-0.05)))</f>
        <v>1</v>
      </c>
      <c r="GY134" s="15">
        <f>MIN(1,MAX(VLOOKUP(($AJ134-$AI134-$AH134-$AG134-$AF134-$AE134*(1+GY$3))/$AJ134,'Технический лист'!$A:$B,2,1),(GX134-0.05)))</f>
        <v>1</v>
      </c>
      <c r="GZ134" s="15">
        <f>MIN(1,MAX(VLOOKUP(($AJ134-$AI134-$AH134-$AG134-$AF134-$AE134*(1+GZ$3))/$AJ134,'Технический лист'!$A:$B,2,1),(GY134-0.05)))</f>
        <v>1</v>
      </c>
      <c r="HA134" s="15">
        <f>MIN(1,MAX(VLOOKUP(($AJ134-$AI134-$AH134-$AG134-$AF134-$AE134*(1+HA$3))/$AJ134,'Технический лист'!$A:$B,2,1),(GZ134-0.05)))</f>
        <v>1</v>
      </c>
      <c r="HB134" s="15">
        <f>MIN(1,MAX(VLOOKUP(($AJ134-$AI134-$AH134-$AG134-$AF134-$AE134*(1+HB$3))/$AJ134,'Технический лист'!$A:$B,2,1),(HA134-0.05)))</f>
        <v>1</v>
      </c>
      <c r="HC134" s="15">
        <f>MIN(1,MAX(VLOOKUP(($AJ134-$AI134-$AH134-$AG134-$AF134-$AE134*(1+HC$3))/$AJ134,'Технический лист'!$A:$B,2,1),(HB134-0.05)))</f>
        <v>1</v>
      </c>
      <c r="HD134" s="15">
        <f>MIN(1,MAX(VLOOKUP(($AJ134-$AI134-$AH134-$AG134-$AF134-$AE134*(1+HD$3))/$AJ134,'Технический лист'!$A:$B,2,1),(HC134-0.05)))</f>
        <v>1</v>
      </c>
      <c r="HE134" s="15">
        <f>MIN(1,MAX(VLOOKUP(($AJ134-$AI134-$AH134-$AG134-$AF134-$AE134*(1+HE$3))/$AJ134,'Технический лист'!$A:$B,2,1),(HD134-0.05)))</f>
        <v>1</v>
      </c>
      <c r="HF134" s="15">
        <f>MIN(1,MAX(VLOOKUP(($AJ134-$AI134-$AH134-$AG134-$AF134-$AE134*(1+HF$3))/$AJ134,'Технический лист'!$A:$B,2,1),(HE134-0.05)))</f>
        <v>1</v>
      </c>
      <c r="HG134" s="15">
        <f>MIN(1,MAX(VLOOKUP(($AJ134-$AI134-$AH134-$AG134-$AF134-$AE134*(1+HG$3))/$AJ134,'Технический лист'!$A:$B,2,1),(HF134-0.05)))</f>
        <v>1</v>
      </c>
      <c r="HH134" s="15">
        <f>MIN(1,MAX(VLOOKUP(($AJ134-$AI134-$AH134-$AG134-$AF134-$AE134*(1+HH$3))/$AJ134,'Технический лист'!$A:$B,2,1),(HG134-0.05)))</f>
        <v>1</v>
      </c>
      <c r="HI134" s="15">
        <f>MIN(1,MAX(VLOOKUP(($AJ134-$AI134-$AH134-$AG134-$AF134-$AE134*(1+HI$3))/$AJ134,'Технический лист'!$A:$B,2,1),(HH134-0.05)))</f>
        <v>1</v>
      </c>
      <c r="HJ134" s="15">
        <f>MIN(1,MAX(VLOOKUP(($AJ134-$AI134-$AH134-$AG134-$AF134-$AE134*(1+HJ$3))/$AJ134,'Технический лист'!$A:$B,2,1),(HI134-0.05)))</f>
        <v>1</v>
      </c>
      <c r="HK134" s="15">
        <f>MIN(1,MAX(VLOOKUP(($AJ134-$AI134-$AH134-$AG134-$AF134-$AE134*(1+HK$3))/$AJ134,'Технический лист'!$A:$B,2,1),(HJ134-0.05)))</f>
        <v>1</v>
      </c>
      <c r="HL134" s="15">
        <f>MIN(1,MAX(VLOOKUP(($AJ134-$AI134-$AH134-$AG134-$AF134-$AE134*(1+HL$3))/$AJ134,'Технический лист'!$A:$B,2,1),(HK134-0.05)))</f>
        <v>1</v>
      </c>
      <c r="HM134" s="15">
        <f>MIN(1,MAX(VLOOKUP(($AJ134-$AI134-$AH134-$AG134-$AF134-$AE134*(1+HM$3))/$AJ134,'Технический лист'!$A:$B,2,1),(HL134-0.05)))</f>
        <v>1</v>
      </c>
      <c r="HN134" s="15">
        <f>MIN(1,MAX(VLOOKUP(($AJ134-$AI134-$AH134-$AG134-$AF134-$AE134*(1+HN$3))/$AJ134,'Технический лист'!$A:$B,2,1),(HM134-0.05)))</f>
        <v>1</v>
      </c>
      <c r="HO134" s="15">
        <f>MIN(1,MAX(VLOOKUP(($AJ134-$AI134-$AH134-$AG134-$AF134-$AE134*(1+HO$3))/$AJ134,'Технический лист'!$A:$B,2,1),(HN134-0.05)))</f>
        <v>1</v>
      </c>
      <c r="HP134" s="15">
        <f>MIN(1,MAX(VLOOKUP(($AJ134-$AI134-$AH134-$AG134-$AF134-$AE134*(1+HP$3))/$AJ134,'Технический лист'!$A:$B,2,1),(HO134-0.05)))</f>
        <v>1</v>
      </c>
      <c r="HQ134" s="15">
        <f>MIN(1,MAX(VLOOKUP(($AJ134-$AI134-$AH134-$AG134-$AF134-$AE134*(1+HQ$3))/$AJ134,'Технический лист'!$A:$B,2,1),(HP134-0.05)))</f>
        <v>1</v>
      </c>
      <c r="HR134" s="15">
        <f>MIN(1,MAX(VLOOKUP(($AJ134-$AI134-$AH134-$AG134-$AF134-$AE134*(1+HR$3))/$AJ134,'Технический лист'!$A:$B,2,1),(HQ134-0.05)))</f>
        <v>1</v>
      </c>
      <c r="HS134" s="15">
        <f>MIN(1,MAX(VLOOKUP(($AJ134-$AI134-$AH134-$AG134-$AF134-$AE134*(1+HS$3))/$AJ134,'Технический лист'!$A:$B,2,1),(HR134-0.05)))</f>
        <v>1</v>
      </c>
      <c r="HT134" s="15">
        <f>MIN(1,MAX(VLOOKUP(($AJ134-$AI134-$AH134-$AG134-$AF134-$AE134*(1+HT$3))/$AJ134,'Технический лист'!$A:$B,2,1),(HS134-0.05)))</f>
        <v>1</v>
      </c>
      <c r="HU134" s="15">
        <f>MIN(1,MAX(VLOOKUP(($AJ134-$AI134-$AH134-$AG134-$AF134-$AE134*(1+HU$3))/$AJ134,'Технический лист'!$A:$B,2,1),(HT134-0.05)))</f>
        <v>1</v>
      </c>
      <c r="HV134" s="15">
        <f>MIN(1,MAX(VLOOKUP(($AJ134-$AI134-$AH134-$AG134-$AF134-$AE134*(1+HV$3))/$AJ134,'Технический лист'!$A:$B,2,1),(HU134-0.05)))</f>
        <v>1</v>
      </c>
      <c r="HW134" s="15">
        <f>MIN(1,MAX(VLOOKUP(($AJ134-$AI134-$AH134-$AG134-$AF134-$AE134*(1+HW$3))/$AJ134,'Технический лист'!$A:$B,2,1),(HV134-0.05)))</f>
        <v>1</v>
      </c>
      <c r="HX134" s="15">
        <f>MIN(1,MAX(VLOOKUP(($AJ134-$AI134-$AH134-$AG134-$AF134-$AE134*(1+HX$3))/$AJ134,'Технический лист'!$A:$B,2,1),(HW134-0.05)))</f>
        <v>1</v>
      </c>
      <c r="HY134" s="15">
        <f>MIN(1,MAX(VLOOKUP(($AJ134-$AI134-$AH134-$AG134-$AF134-$AE134*(1+HY$3))/$AJ134,'Технический лист'!$A:$B,2,1),(HX134-0.05)))</f>
        <v>1</v>
      </c>
      <c r="HZ134" s="15">
        <f>MIN(1,MAX(VLOOKUP(($AJ134-$AI134-$AH134-$AG134-$AF134-$AE134*(1+HZ$3))/$AJ134,'Технический лист'!$A:$B,2,1),(HY134-0.05)))</f>
        <v>1</v>
      </c>
      <c r="IA134" s="15">
        <f>MIN(1,MAX(VLOOKUP(($AJ134-$AI134-$AH134-$AG134-$AF134-$AE134*(1+IA$3))/$AJ134,'Технический лист'!$A:$B,2,1),(HZ134-0.05)))</f>
        <v>1</v>
      </c>
      <c r="IB134" s="15">
        <f>MIN(1,MAX(VLOOKUP(($AJ134-$AI134-$AH134-$AG134-$AF134-$AE134*(1+IB$3))/$AJ134,'Технический лист'!$A:$B,2,1),(IA134-0.05)))</f>
        <v>1</v>
      </c>
      <c r="IC134" s="15">
        <f>MIN(1,MAX(VLOOKUP(($AJ134-$AI134-$AH134-$AG134-$AF134-$AE134*(1+IC$3))/$AJ134,'Технический лист'!$A:$B,2,1),(IB134-0.05)))</f>
        <v>1</v>
      </c>
      <c r="ID134" s="15">
        <f>MIN(1,MAX(VLOOKUP(($AJ134-$AI134-$AH134-$AG134-$AF134-$AE134*(1+ID$3))/$AJ134,'Технический лист'!$A:$B,2,1),(IC134-0.05)))</f>
        <v>1</v>
      </c>
      <c r="IE134" s="15">
        <f>MIN(1,MAX(VLOOKUP(($AJ134-$AI134-$AH134-$AG134-$AF134-$AE134*(1+IE$3))/$AJ134,'Технический лист'!$A:$B,2,1),(ID134-0.05)))</f>
        <v>1</v>
      </c>
      <c r="IF134" s="15">
        <f>MIN(1,MAX(VLOOKUP(($AJ134-$AI134-$AH134-$AG134-$AF134-$AE134*(1+IF$3))/$AJ134,'Технический лист'!$A:$B,2,1),(IE134-0.05)))</f>
        <v>1</v>
      </c>
      <c r="IG134" s="15">
        <f>MIN(1,MAX(VLOOKUP(($AJ134-$AI134-$AH134-$AG134-$AF134-$AE134*(1+IG$3))/$AJ134,'Технический лист'!$A:$B,2,1),(IF134-0.05)))</f>
        <v>1</v>
      </c>
      <c r="IH134" s="15">
        <f>MIN(1,MAX(VLOOKUP(($AJ134-$AI134-$AH134-$AG134-$AF134-$AE134*(1+IH$3))/$AJ134,'Технический лист'!$A:$B,2,1),(IG134-0.05)))</f>
        <v>1</v>
      </c>
      <c r="II134" s="15">
        <f>MIN(1,MAX(VLOOKUP(($AJ134-$AI134-$AH134-$AG134-$AF134-$AE134*(1+II$3))/$AJ134,'Технический лист'!$A:$B,2,1),(IH134-0.05)))</f>
        <v>1</v>
      </c>
      <c r="IJ134" s="15">
        <f>MIN(1,MAX(VLOOKUP(($AJ134-$AI134-$AH134-$AG134-$AF134-$AE134*(1+IJ$3))/$AJ134,'Технический лист'!$A:$B,2,1),(II134-0.05)))</f>
        <v>1</v>
      </c>
      <c r="IK134" s="15">
        <f>MIN(1,MAX(VLOOKUP(($AJ134-$AI134-$AH134-$AG134-$AF134-$AE134*(1+IK$3))/$AJ134,'Технический лист'!$A:$B,2,1),(IJ134-0.05)))</f>
        <v>1</v>
      </c>
      <c r="IL134" s="15">
        <f>MIN(1,MAX(VLOOKUP(($AJ134-$AI134-$AH134-$AG134-$AF134-$AE134*(1+IL$3))/$AJ134,'Технический лист'!$A:$B,2,1),(IK134-0.05)))</f>
        <v>1</v>
      </c>
      <c r="IM134" s="15">
        <f>MIN(1,MAX(VLOOKUP(($AJ134-$AI134-$AH134-$AG134-$AF134-$AE134*(1+IM$3))/$AJ134,'Технический лист'!$A:$B,2,1),(IL134-0.05)))</f>
        <v>1</v>
      </c>
      <c r="IN134" s="15">
        <f>MIN(1,MAX(VLOOKUP(($AJ134-$AI134-$AH134-$AG134-$AF134-$AE134*(1+IN$3))/$AJ134,'Технический лист'!$A:$B,2,1),(IM134-0.05)))</f>
        <v>1</v>
      </c>
      <c r="IO134" s="15">
        <f>MIN(1,MAX(VLOOKUP(($AJ134-$AI134-$AH134-$AG134-$AF134-$AE134*(1+IO$3))/$AJ134,'Технический лист'!$A:$B,2,1),(IN134-0.05)))</f>
        <v>1</v>
      </c>
      <c r="IP134" s="15">
        <f>MIN(1,MAX(VLOOKUP(($AJ134-$AI134-$AH134-$AG134-$AF134-$AE134*(1+IP$3))/$AJ134,'Технический лист'!$A:$B,2,1),(IO134-0.05)))</f>
        <v>1</v>
      </c>
      <c r="IQ134" s="15">
        <f>MIN(1,MAX(VLOOKUP(($AJ134-$AI134-$AH134-$AG134-$AF134-$AE134*(1+IQ$3))/$AJ134,'Технический лист'!$A:$B,2,1),(IP134-0.05)))</f>
        <v>1</v>
      </c>
      <c r="IR134" s="15">
        <f>MIN(1,MAX(VLOOKUP(($AJ134-$AI134-$AH134-$AG134-$AF134-$AE134*(1+IR$3))/$AJ134,'Технический лист'!$A:$B,2,1),(IQ134-0.05)))</f>
        <v>1</v>
      </c>
    </row>
    <row r="135" spans="1:252" ht="29.15">
      <c r="A135" s="89" t="s">
        <v>513</v>
      </c>
      <c r="B135" s="90">
        <v>10</v>
      </c>
      <c r="C135" s="5" t="s">
        <v>66</v>
      </c>
      <c r="D135" s="91">
        <v>33101</v>
      </c>
      <c r="E135" s="91" t="s">
        <v>325</v>
      </c>
      <c r="F135" s="92" t="s">
        <v>72</v>
      </c>
      <c r="G135" s="91" t="s">
        <v>19</v>
      </c>
      <c r="H135" s="91" t="s">
        <v>25</v>
      </c>
      <c r="I135" s="91" t="s">
        <v>117</v>
      </c>
      <c r="J135" s="91" t="s">
        <v>62</v>
      </c>
      <c r="K135" s="91">
        <v>2543</v>
      </c>
      <c r="L135" s="77" t="s">
        <v>189</v>
      </c>
      <c r="M135" s="91" t="s">
        <v>17</v>
      </c>
      <c r="N135" s="91" t="s">
        <v>48</v>
      </c>
      <c r="O135" s="91" t="s">
        <v>194</v>
      </c>
      <c r="P135" s="89" t="s">
        <v>213</v>
      </c>
      <c r="Q135" s="91" t="s">
        <v>293</v>
      </c>
      <c r="R135" s="91" t="s">
        <v>261</v>
      </c>
      <c r="S135" s="82">
        <v>113451</v>
      </c>
      <c r="T135" s="82">
        <v>288504859</v>
      </c>
      <c r="U135" s="81">
        <v>0</v>
      </c>
      <c r="V135" s="81">
        <v>3950</v>
      </c>
      <c r="W135" s="82">
        <v>221593419</v>
      </c>
      <c r="X135" s="112">
        <v>58</v>
      </c>
      <c r="Y135" s="112" t="s">
        <v>48</v>
      </c>
      <c r="Z135" s="113">
        <v>10</v>
      </c>
      <c r="AA135" s="113">
        <v>0</v>
      </c>
      <c r="AB135" s="113">
        <v>4</v>
      </c>
      <c r="AC135" s="99">
        <f>141560/X135</f>
        <v>2440.6896551724139</v>
      </c>
      <c r="AD135" s="99">
        <v>0</v>
      </c>
      <c r="AE135" s="99">
        <f>AC135</f>
        <v>2440.6896551724139</v>
      </c>
      <c r="AF135" s="98">
        <f>(AB135+AA135+Z135)*'Ставки аренды'!$B$6/X135</f>
        <v>386.20689655172413</v>
      </c>
      <c r="AG135" s="94">
        <v>0</v>
      </c>
      <c r="AH135" s="94">
        <v>0</v>
      </c>
      <c r="AI135" s="115">
        <f>12254/14812*AVERAGE(AJ134,AJ137)</f>
        <v>213196.79438107618</v>
      </c>
      <c r="AJ135" s="117">
        <f>Цены!C20*'Курсы валют'!B2</f>
        <v>235402.4675</v>
      </c>
      <c r="AK135" s="94">
        <f>AJ135/Цены!$B$1</f>
        <v>3085</v>
      </c>
      <c r="AL135" s="95">
        <f t="shared" si="54"/>
        <v>2826.8965517241381</v>
      </c>
      <c r="AM135" s="95">
        <f t="shared" si="55"/>
        <v>232575.57094827585</v>
      </c>
      <c r="AN135" s="94">
        <f t="shared" si="52"/>
        <v>216023.69093280029</v>
      </c>
      <c r="AO135" s="118">
        <f t="shared" si="53"/>
        <v>8.2321892259687987E-2</v>
      </c>
      <c r="AP135" s="96">
        <f t="shared" si="56"/>
        <v>1.2008780459041442E-2</v>
      </c>
      <c r="AQ135" s="96">
        <f t="shared" si="57"/>
        <v>1.0368156634434657E-2</v>
      </c>
      <c r="AR135" s="96">
        <f t="shared" si="58"/>
        <v>0.86338131251524763</v>
      </c>
      <c r="AS135" s="122">
        <v>1</v>
      </c>
      <c r="AT135" s="121">
        <f t="shared" si="45"/>
        <v>113451</v>
      </c>
      <c r="AU135" s="83">
        <v>0.95</v>
      </c>
      <c r="AV135" s="119">
        <f t="shared" si="41"/>
        <v>8.1077713463555703E-2</v>
      </c>
      <c r="AW135" s="120">
        <f t="shared" si="42"/>
        <v>1.3252959255173603E-2</v>
      </c>
      <c r="AX135" s="120">
        <f t="shared" si="43"/>
        <v>1.1612335430566818E-2</v>
      </c>
      <c r="AY135" s="120">
        <f t="shared" si="44"/>
        <v>0.87620698192621937</v>
      </c>
      <c r="AZ135" s="15">
        <f>MIN(IF($AU135=100%,1,1+VLOOKUP(($AJ135-$AI135-$AH135-$AG135-$AF135-$AE135*(1+AZ$3))/$AJ135,'Технический лист'!$I:$J,2,1)-VLOOKUP($AO135,'Технический лист'!$I:$J,2,1)),1+(1-$AU135))</f>
        <v>1.0300000000000002</v>
      </c>
      <c r="BA135" s="15">
        <f>MIN(IF($AU135=100%,1,1+VLOOKUP(($AJ135-$AI135-$AH135-$AG135-$AF135-$AE135*(1+BA$3))/$AJ135,'Технический лист'!$I:$J,2,1)-VLOOKUP($AO135,'Технический лист'!$I:$J,2,1)),1+(1-$AU135))</f>
        <v>1.0300000000000002</v>
      </c>
      <c r="BB135" s="15">
        <f>MIN(IF($AU135=100%,1,1+VLOOKUP(($AJ135-$AI135-$AH135-$AG135-$AF135-$AE135*(1+BB$3))/$AJ135,'Технический лист'!$I:$J,2,1)-VLOOKUP($AO135,'Технический лист'!$I:$J,2,1)),1+(1-$AU135))</f>
        <v>1.0300000000000002</v>
      </c>
      <c r="BC135" s="15">
        <f>MIN(IF($AU135=100%,1,1+VLOOKUP(($AJ135-$AI135-$AH135-$AG135-$AF135-$AE135*(1+BC$3))/$AJ135,'Технический лист'!$I:$J,2,1)-VLOOKUP($AO135,'Технический лист'!$I:$J,2,1)),1+(1-$AU135))</f>
        <v>1.0300000000000002</v>
      </c>
      <c r="BD135" s="15">
        <f>MIN(IF($AU135=100%,1,1+VLOOKUP(($AJ135-$AI135-$AH135-$AG135-$AF135-$AE135*(1+BD$3))/$AJ135,'Технический лист'!$I:$J,2,1)-VLOOKUP($AO135,'Технический лист'!$I:$J,2,1)),1+(1-$AU135))</f>
        <v>1.0300000000000002</v>
      </c>
      <c r="BE135" s="15">
        <f>MIN(IF($AU135=100%,1,1+VLOOKUP(($AJ135-$AI135-$AH135-$AG135-$AF135-$AE135*(1+BE$3))/$AJ135,'Технический лист'!$I:$J,2,1)-VLOOKUP($AO135,'Технический лист'!$I:$J,2,1)),1+(1-$AU135))</f>
        <v>1.0300000000000002</v>
      </c>
      <c r="BF135" s="15">
        <f>MIN(IF($AU135=100%,1,1+VLOOKUP(($AJ135-$AI135-$AH135-$AG135-$AF135-$AE135*(1+BF$3))/$AJ135,'Технический лист'!$I:$J,2,1)-VLOOKUP($AO135,'Технический лист'!$I:$J,2,1)),1+(1-$AU135))</f>
        <v>1.0300000000000002</v>
      </c>
      <c r="BG135" s="15">
        <f>MIN(IF($AU135=100%,1,1+VLOOKUP(($AJ135-$AI135-$AH135-$AG135-$AF135-$AE135*(1+BG$3))/$AJ135,'Технический лист'!$I:$J,2,1)-VLOOKUP($AO135,'Технический лист'!$I:$J,2,1)),1+(1-$AU135))</f>
        <v>1.0300000000000002</v>
      </c>
      <c r="BH135" s="15">
        <f>MIN(IF($AU135=100%,1,1+VLOOKUP(($AJ135-$AI135-$AH135-$AG135-$AF135-$AE135*(1+BH$3))/$AJ135,'Технический лист'!$I:$J,2,1)-VLOOKUP($AO135,'Технический лист'!$I:$J,2,1)),1+(1-$AU135))</f>
        <v>1.0300000000000002</v>
      </c>
      <c r="BI135" s="15">
        <f>MIN(IF($AU135=100%,1,1+VLOOKUP(($AJ135-$AI135-$AH135-$AG135-$AF135-$AE135*(1+BI$3))/$AJ135,'Технический лист'!$I:$J,2,1)-VLOOKUP($AO135,'Технический лист'!$I:$J,2,1)),1+(1-$AU135))</f>
        <v>1.0300000000000002</v>
      </c>
      <c r="BJ135" s="15">
        <f>MIN(IF($AU135=100%,1,1+VLOOKUP(($AJ135-$AI135-$AH135-$AG135-$AF135-$AE135*(1+BJ$3))/$AJ135,'Технический лист'!$I:$J,2,1)-VLOOKUP($AO135,'Технический лист'!$I:$J,2,1)),1+(1-$AU135))</f>
        <v>1.0300000000000002</v>
      </c>
      <c r="BK135" s="15">
        <f>MIN(IF($AU135=100%,1,1+VLOOKUP(($AJ135-$AI135-$AH135-$AG135-$AF135-$AE135*(1+BK$3))/$AJ135,'Технический лист'!$I:$J,2,1)-VLOOKUP($AO135,'Технический лист'!$I:$J,2,1)),1+(1-$AU135))</f>
        <v>1.0300000000000002</v>
      </c>
      <c r="BL135" s="15">
        <f>MIN(IF($AU135=100%,1,1+VLOOKUP(($AJ135-$AI135-$AH135-$AG135-$AF135-$AE135*(1+BL$3))/$AJ135,'Технический лист'!$I:$J,2,1)-VLOOKUP($AO135,'Технический лист'!$I:$J,2,1)),1+(1-$AU135))</f>
        <v>1.0300000000000002</v>
      </c>
      <c r="BM135" s="15">
        <f>MIN(IF($AU135=100%,1,1+VLOOKUP(($AJ135-$AI135-$AH135-$AG135-$AF135-$AE135*(1+BM$3))/$AJ135,'Технический лист'!$I:$J,2,1)-VLOOKUP($AO135,'Технический лист'!$I:$J,2,1)),1+(1-$AU135))</f>
        <v>1.0300000000000002</v>
      </c>
      <c r="BN135" s="15">
        <f>MIN(IF($AU135=100%,1,1+VLOOKUP(($AJ135-$AI135-$AH135-$AG135-$AF135-$AE135*(1+BN$3))/$AJ135,'Технический лист'!$I:$J,2,1)-VLOOKUP($AO135,'Технический лист'!$I:$J,2,1)),1+(1-$AU135))</f>
        <v>1.0300000000000002</v>
      </c>
      <c r="BO135" s="15">
        <f>MIN(IF($AU135=100%,1,1+VLOOKUP(($AJ135-$AI135-$AH135-$AG135-$AF135-$AE135*(1+BO$3))/$AJ135,'Технический лист'!$I:$J,2,1)-VLOOKUP($AO135,'Технический лист'!$I:$J,2,1)),1+(1-$AU135))</f>
        <v>1.0300000000000002</v>
      </c>
      <c r="BP135" s="15">
        <f>MIN(IF($AU135=100%,1,1+VLOOKUP(($AJ135-$AI135-$AH135-$AG135-$AF135-$AE135*(1+BP$3))/$AJ135,'Технический лист'!$I:$J,2,1)-VLOOKUP($AO135,'Технический лист'!$I:$J,2,1)),1+(1-$AU135))</f>
        <v>1.0300000000000002</v>
      </c>
      <c r="BQ135" s="15">
        <f>MIN(IF($AU135=100%,1,1+VLOOKUP(($AJ135-$AI135-$AH135-$AG135-$AF135-$AE135*(1+BQ$3))/$AJ135,'Технический лист'!$I:$J,2,1)-VLOOKUP($AO135,'Технический лист'!$I:$J,2,1)),1+(1-$AU135))</f>
        <v>1.0300000000000002</v>
      </c>
      <c r="BR135" s="15">
        <f>MIN(IF($AU135=100%,1,1+VLOOKUP(($AJ135-$AI135-$AH135-$AG135-$AF135-$AE135*(1+BR$3))/$AJ135,'Технический лист'!$I:$J,2,1)-VLOOKUP($AO135,'Технический лист'!$I:$J,2,1)),1+(1-$AU135))</f>
        <v>1.0300000000000002</v>
      </c>
      <c r="BS135" s="15">
        <f>MIN(IF($AU135=100%,1,1+VLOOKUP(($AJ135-$AI135-$AH135-$AG135-$AF135-$AE135*(1+BS$3))/$AJ135,'Технический лист'!$I:$J,2,1)-VLOOKUP($AO135,'Технический лист'!$I:$J,2,1)),1+(1-$AU135))</f>
        <v>1.0300000000000002</v>
      </c>
      <c r="BT135" s="15">
        <f>MIN(IF($AU135=100%,1,1+VLOOKUP(($AJ135-$AI135-$AH135-$AG135-$AF135-$AE135*(1+BT$3))/$AJ135,'Технический лист'!$I:$J,2,1)-VLOOKUP($AO135,'Технический лист'!$I:$J,2,1)),1+(1-$AU135))</f>
        <v>1.0300000000000002</v>
      </c>
      <c r="BU135" s="15">
        <f>MIN(IF($AU135=100%,1,1+VLOOKUP(($AJ135-$AI135-$AH135-$AG135-$AF135-$AE135*(1+BU$3))/$AJ135,'Технический лист'!$I:$J,2,1)-VLOOKUP($AO135,'Технический лист'!$I:$J,2,1)),1+(1-$AU135))</f>
        <v>1.0300000000000002</v>
      </c>
      <c r="BV135" s="15">
        <f>MIN(IF($AU135=100%,1,1+VLOOKUP(($AJ135-$AI135-$AH135-$AG135-$AF135-$AE135*(1+BV$3))/$AJ135,'Технический лист'!$I:$J,2,1)-VLOOKUP($AO135,'Технический лист'!$I:$J,2,1)),1+(1-$AU135))</f>
        <v>1.0300000000000002</v>
      </c>
      <c r="BW135" s="15">
        <f>MIN(IF($AU135=100%,1,1+VLOOKUP(($AJ135-$AI135-$AH135-$AG135-$AF135-$AE135*(1+BW$3))/$AJ135,'Технический лист'!$I:$J,2,1)-VLOOKUP($AO135,'Технический лист'!$I:$J,2,1)),1+(1-$AU135))</f>
        <v>1.0300000000000002</v>
      </c>
      <c r="BX135" s="15">
        <f>MIN(IF($AU135=100%,1,1+VLOOKUP(($AJ135-$AI135-$AH135-$AG135-$AF135-$AE135*(1+BX$3))/$AJ135,'Технический лист'!$I:$J,2,1)-VLOOKUP($AO135,'Технический лист'!$I:$J,2,1)),1+(1-$AU135))</f>
        <v>1.0300000000000002</v>
      </c>
      <c r="BY135" s="15">
        <f>MIN(IF($AU135=100%,1,1+VLOOKUP(($AJ135-$AI135-$AH135-$AG135-$AF135-$AE135*(1+BY$3))/$AJ135,'Технический лист'!$I:$J,2,1)-VLOOKUP($AO135,'Технический лист'!$I:$J,2,1)),1+(1-$AU135))</f>
        <v>1.0300000000000002</v>
      </c>
      <c r="BZ135" s="15">
        <f>MIN(IF($AU135=100%,1,1+VLOOKUP(($AJ135-$AI135-$AH135-$AG135-$AF135-$AE135*(1+BZ$3))/$AJ135,'Технический лист'!$I:$J,2,1)-VLOOKUP($AO135,'Технический лист'!$I:$J,2,1)),1+(1-$AU135))</f>
        <v>1.0300000000000002</v>
      </c>
      <c r="CA135" s="15">
        <f>MIN(IF($AU135=100%,1,1+VLOOKUP(($AJ135-$AI135-$AH135-$AG135-$AF135-$AE135*(1+CA$3))/$AJ135,'Технический лист'!$I:$J,2,1)-VLOOKUP($AO135,'Технический лист'!$I:$J,2,1)),1+(1-$AU135))</f>
        <v>1.0300000000000002</v>
      </c>
      <c r="CB135" s="15">
        <f>MIN(IF($AU135=100%,1,1+VLOOKUP(($AJ135-$AI135-$AH135-$AG135-$AF135-$AE135*(1+CB$3))/$AJ135,'Технический лист'!$I:$J,2,1)-VLOOKUP($AO135,'Технический лист'!$I:$J,2,1)),1+(1-$AU135))</f>
        <v>1.0300000000000002</v>
      </c>
      <c r="CC135" s="15">
        <f>MIN(IF($AU135=100%,1,1+VLOOKUP(($AJ135-$AI135-$AH135-$AG135-$AF135-$AE135*(1+CC$3))/$AJ135,'Технический лист'!$I:$J,2,1)-VLOOKUP($AO135,'Технический лист'!$I:$J,2,1)),1+(1-$AU135))</f>
        <v>1.0300000000000002</v>
      </c>
      <c r="CD135" s="15">
        <f>MIN(IF($AU135=100%,1,1+VLOOKUP(($AJ135-$AI135-$AH135-$AG135-$AF135-$AE135*(1+CD$3))/$AJ135,'Технический лист'!$I:$J,2,1)-VLOOKUP($AO135,'Технический лист'!$I:$J,2,1)),1+(1-$AU135))</f>
        <v>1.0300000000000002</v>
      </c>
      <c r="CE135" s="15">
        <f>MIN(IF($AU135=100%,1,1+VLOOKUP(($AJ135-$AI135-$AH135-$AG135-$AF135-$AE135*(1+CE$3))/$AJ135,'Технический лист'!$I:$J,2,1)-VLOOKUP($AO135,'Технический лист'!$I:$J,2,1)),1+(1-$AU135))</f>
        <v>1.0300000000000002</v>
      </c>
      <c r="CF135" s="15">
        <f>MIN(IF($AU135=100%,1,1+VLOOKUP(($AJ135-$AI135-$AH135-$AG135-$AF135-$AE135*(1+CF$3))/$AJ135,'Технический лист'!$I:$J,2,1)-VLOOKUP($AO135,'Технический лист'!$I:$J,2,1)),1+(1-$AU135))</f>
        <v>1.0300000000000002</v>
      </c>
      <c r="CG135" s="15">
        <f>MIN(IF($AU135=100%,1,1+VLOOKUP(($AJ135-$AI135-$AH135-$AG135-$AF135-$AE135*(1+CG$3))/$AJ135,'Технический лист'!$I:$J,2,1)-VLOOKUP($AO135,'Технический лист'!$I:$J,2,1)),1+(1-$AU135))</f>
        <v>1.0300000000000002</v>
      </c>
      <c r="CH135" s="15">
        <f>MIN(IF($AU135=100%,1,1+VLOOKUP(($AJ135-$AI135-$AH135-$AG135-$AF135-$AE135*(1+CH$3))/$AJ135,'Технический лист'!$I:$J,2,1)-VLOOKUP($AO135,'Технический лист'!$I:$J,2,1)),1+(1-$AU135))</f>
        <v>1.0300000000000002</v>
      </c>
      <c r="CI135" s="15">
        <f>MIN(IF($AU135=100%,1,1+VLOOKUP(($AJ135-$AI135-$AH135-$AG135-$AF135-$AE135*(1+CI$3))/$AJ135,'Технический лист'!$I:$J,2,1)-VLOOKUP($AO135,'Технический лист'!$I:$J,2,1)),1+(1-$AU135))</f>
        <v>1.0300000000000002</v>
      </c>
      <c r="CJ135" s="15">
        <f>MIN(IF($AU135=100%,1,1+VLOOKUP(($AJ135-$AI135-$AH135-$AG135-$AF135-$AE135*(1+CJ$3))/$AJ135,'Технический лист'!$I:$J,2,1)-VLOOKUP($AO135,'Технический лист'!$I:$J,2,1)),1+(1-$AU135))</f>
        <v>1.0300000000000002</v>
      </c>
      <c r="CK135" s="15">
        <f>MIN(IF($AU135=100%,1,1+VLOOKUP(($AJ135-$AI135-$AH135-$AG135-$AF135-$AE135*(1+CK$3))/$AJ135,'Технический лист'!$I:$J,2,1)-VLOOKUP($AO135,'Технический лист'!$I:$J,2,1)),1+(1-$AU135))</f>
        <v>1.0300000000000002</v>
      </c>
      <c r="CL135" s="15">
        <f>MIN(IF($AU135=100%,1,1+VLOOKUP(($AJ135-$AI135-$AH135-$AG135-$AF135-$AE135*(1+CL$3))/$AJ135,'Технический лист'!$I:$J,2,1)-VLOOKUP($AO135,'Технический лист'!$I:$J,2,1)),1+(1-$AU135))</f>
        <v>1.0300000000000002</v>
      </c>
      <c r="CM135" s="15">
        <f>MIN(IF($AU135=100%,1,1+VLOOKUP(($AJ135-$AI135-$AH135-$AG135-$AF135-$AE135*(1+CM$3))/$AJ135,'Технический лист'!$I:$J,2,1)-VLOOKUP($AO135,'Технический лист'!$I:$J,2,1)),1+(1-$AU135))</f>
        <v>1.0300000000000002</v>
      </c>
      <c r="CN135" s="15">
        <f>MIN(IF($AU135=100%,1,1+VLOOKUP(($AJ135-$AI135-$AH135-$AG135-$AF135-$AE135*(1+CN$3))/$AJ135,'Технический лист'!$I:$J,2,1)-VLOOKUP($AO135,'Технический лист'!$I:$J,2,1)),1+(1-$AU135))</f>
        <v>1.0300000000000002</v>
      </c>
      <c r="CO135" s="15">
        <f>MIN(IF($AU135=100%,1,1+VLOOKUP(($AJ135-$AI135-$AH135-$AG135-$AF135-$AE135*(1+CO$3))/$AJ135,'Технический лист'!$I:$J,2,1)-VLOOKUP($AO135,'Технический лист'!$I:$J,2,1)),1+(1-$AU135))</f>
        <v>1.0300000000000002</v>
      </c>
      <c r="CP135" s="15">
        <f>MIN(IF($AU135=100%,1,1+VLOOKUP(($AJ135-$AI135-$AH135-$AG135-$AF135-$AE135*(1+CP$3))/$AJ135,'Технический лист'!$I:$J,2,1)-VLOOKUP($AO135,'Технический лист'!$I:$J,2,1)),1+(1-$AU135))</f>
        <v>1.0300000000000002</v>
      </c>
      <c r="CQ135" s="15">
        <f>MIN(IF($AU135=100%,1,1+VLOOKUP(($AJ135-$AI135-$AH135-$AG135-$AF135-$AE135*(1+CQ$3))/$AJ135,'Технический лист'!$I:$J,2,1)-VLOOKUP($AO135,'Технический лист'!$I:$J,2,1)),1+(1-$AU135))</f>
        <v>1.0300000000000002</v>
      </c>
      <c r="CR135" s="15">
        <f>MIN(IF($AU135=100%,1,1+VLOOKUP(($AJ135-$AI135-$AH135-$AG135-$AF135-$AE135*(1+CR$3))/$AJ135,'Технический лист'!$I:$J,2,1)-VLOOKUP($AO135,'Технический лист'!$I:$J,2,1)),1+(1-$AU135))</f>
        <v>1.0300000000000002</v>
      </c>
      <c r="CS135" s="15">
        <f>MIN(IF($AU135=100%,1,1+VLOOKUP(($AJ135-$AI135-$AH135-$AG135-$AF135-$AE135*(1+CS$3))/$AJ135,'Технический лист'!$I:$J,2,1)-VLOOKUP($AO135,'Технический лист'!$I:$J,2,1)),1+(1-$AU135))</f>
        <v>1.0300000000000002</v>
      </c>
      <c r="CT135" s="15">
        <f>MIN(IF($AU135=100%,1,1+VLOOKUP(($AJ135-$AI135-$AH135-$AG135-$AF135-$AE135*(1+CT$3))/$AJ135,'Технический лист'!$I:$J,2,1)-VLOOKUP($AO135,'Технический лист'!$I:$J,2,1)),1+(1-$AU135))</f>
        <v>1.0300000000000002</v>
      </c>
      <c r="CU135" s="15">
        <f>MIN(IF($AU135=100%,1,1+VLOOKUP(($AJ135-$AI135-$AH135-$AG135-$AF135-$AE135*(1+CU$3))/$AJ135,'Технический лист'!$I:$J,2,1)-VLOOKUP($AO135,'Технический лист'!$I:$J,2,1)),1+(1-$AU135))</f>
        <v>1.0300000000000002</v>
      </c>
      <c r="CV135" s="15">
        <f>MIN(IF($AU135=100%,1,1+VLOOKUP(($AJ135-$AI135-$AH135-$AG135-$AF135-$AE135*(1+CV$3))/$AJ135,'Технический лист'!$I:$J,2,1)-VLOOKUP($AO135,'Технический лист'!$I:$J,2,1)),1+(1-$AU135))</f>
        <v>1.0300000000000002</v>
      </c>
      <c r="CW135" s="15">
        <f>MIN(IF($AU135=100%,1,1+VLOOKUP(($AJ135-$AI135-$AH135-$AG135-$AF135-$AE135*(1+CW$3))/$AJ135,'Технический лист'!$I:$J,2,1)-VLOOKUP($AO135,'Технический лист'!$I:$J,2,1)),1+(1-$AU135))</f>
        <v>1</v>
      </c>
      <c r="CX135" s="15">
        <f>MIN(IF($AU135=100%,1,1+VLOOKUP(($AJ135-$AI135-$AH135-$AG135-$AF135-$AE135*(1+CX$3))/$AJ135,'Технический лист'!$I:$J,2,1)-VLOOKUP($AO135,'Технический лист'!$I:$J,2,1)),1+(1-$AU135))</f>
        <v>1</v>
      </c>
      <c r="CY135" s="15">
        <f>MIN(IF($AU135=100%,1,1+VLOOKUP(($AJ135-$AI135-$AH135-$AG135-$AF135-$AE135*(1+CY$3))/$AJ135,'Технический лист'!$I:$J,2,1)-VLOOKUP($AO135,'Технический лист'!$I:$J,2,1)),1+(1-$AU135))</f>
        <v>1</v>
      </c>
      <c r="CZ135" s="15">
        <f>MIN(IF($AU135=100%,1,1+VLOOKUP(($AJ135-$AI135-$AH135-$AG135-$AF135-$AE135*(1+CZ$3))/$AJ135,'Технический лист'!$I:$J,2,1)-VLOOKUP($AO135,'Технический лист'!$I:$J,2,1)),1+(1-$AU135))</f>
        <v>1</v>
      </c>
      <c r="DA135" s="15">
        <f>MIN(IF($AU135=100%,1,1+VLOOKUP(($AJ135-$AI135-$AH135-$AG135-$AF135-$AE135*(1+DA$3))/$AJ135,'Технический лист'!$I:$J,2,1)-VLOOKUP($AO135,'Технический лист'!$I:$J,2,1)),1+(1-$AU135))</f>
        <v>1</v>
      </c>
      <c r="DB135" s="15">
        <f>MIN(IF($AU135=100%,1,1+VLOOKUP(($AJ135-$AI135-$AH135-$AG135-$AF135-$AE135*(1+DB$3))/$AJ135,'Технический лист'!$I:$J,2,1)-VLOOKUP($AO135,'Технический лист'!$I:$J,2,1)),1+(1-$AU135))</f>
        <v>1</v>
      </c>
      <c r="DC135" s="15">
        <f>MIN(IF($AU135=100%,1,1+VLOOKUP(($AJ135-$AI135-$AH135-$AG135-$AF135-$AE135*(1+DC$3))/$AJ135,'Технический лист'!$I:$J,2,1)-VLOOKUP($AO135,'Технический лист'!$I:$J,2,1)),1+(1-$AU135))</f>
        <v>1</v>
      </c>
      <c r="DD135" s="15">
        <f>MIN(IF($AU135=100%,1,1+VLOOKUP(($AJ135-$AI135-$AH135-$AG135-$AF135-$AE135*(1+DD$3))/$AJ135,'Технический лист'!$I:$J,2,1)-VLOOKUP($AO135,'Технический лист'!$I:$J,2,1)),1+(1-$AU135))</f>
        <v>1</v>
      </c>
      <c r="DE135" s="15">
        <f>MIN(IF($AU135=100%,1,1+VLOOKUP(($AJ135-$AI135-$AH135-$AG135-$AF135-$AE135*(1+DE$3))/$AJ135,'Технический лист'!$I:$J,2,1)-VLOOKUP($AO135,'Технический лист'!$I:$J,2,1)),1+(1-$AU135))</f>
        <v>1</v>
      </c>
      <c r="DF135" s="15">
        <f>MIN(IF($AU135=100%,1,1+VLOOKUP(($AJ135-$AI135-$AH135-$AG135-$AF135-$AE135*(1+DF$3))/$AJ135,'Технический лист'!$I:$J,2,1)-VLOOKUP($AO135,'Технический лист'!$I:$J,2,1)),1+(1-$AU135))</f>
        <v>1</v>
      </c>
      <c r="DG135" s="15">
        <f>MIN(IF($AU135=100%,1,1+VLOOKUP(($AJ135-$AI135-$AH135-$AG135-$AF135-$AE135*(1+DG$3))/$AJ135,'Технический лист'!$I:$J,2,1)-VLOOKUP($AO135,'Технический лист'!$I:$J,2,1)),1+(1-$AU135))</f>
        <v>1</v>
      </c>
      <c r="DH135" s="15">
        <f>MIN(IF($AU135=100%,1,1+VLOOKUP(($AJ135-$AI135-$AH135-$AG135-$AF135-$AE135*(1+DH$3))/$AJ135,'Технический лист'!$I:$J,2,1)-VLOOKUP($AO135,'Технический лист'!$I:$J,2,1)),1+(1-$AU135))</f>
        <v>1</v>
      </c>
      <c r="DI135" s="15">
        <f>MIN(IF($AU135=100%,1,1+VLOOKUP(($AJ135-$AI135-$AH135-$AG135-$AF135-$AE135*(1+DI$3))/$AJ135,'Технический лист'!$I:$J,2,1)-VLOOKUP($AO135,'Технический лист'!$I:$J,2,1)),1+(1-$AU135))</f>
        <v>1</v>
      </c>
      <c r="DJ135" s="15">
        <f>MIN(IF($AU135=100%,1,1+VLOOKUP(($AJ135-$AI135-$AH135-$AG135-$AF135-$AE135*(1+DJ$3))/$AJ135,'Технический лист'!$I:$J,2,1)-VLOOKUP($AO135,'Технический лист'!$I:$J,2,1)),1+(1-$AU135))</f>
        <v>1</v>
      </c>
      <c r="DK135" s="15">
        <f>MIN(IF($AU135=100%,1,1+VLOOKUP(($AJ135-$AI135-$AH135-$AG135-$AF135-$AE135*(1+DK$3))/$AJ135,'Технический лист'!$I:$J,2,1)-VLOOKUP($AO135,'Технический лист'!$I:$J,2,1)),1+(1-$AU135))</f>
        <v>1</v>
      </c>
      <c r="DL135" s="15">
        <f>MIN(IF($AU135=100%,1,1+VLOOKUP(($AJ135-$AI135-$AH135-$AG135-$AF135-$AE135*(1+DL$3))/$AJ135,'Технический лист'!$I:$J,2,1)-VLOOKUP($AO135,'Технический лист'!$I:$J,2,1)),1+(1-$AU135))</f>
        <v>1</v>
      </c>
      <c r="DM135" s="15">
        <f>MIN(IF($AU135=100%,1,1+VLOOKUP(($AJ135-$AI135-$AH135-$AG135-$AF135-$AE135*(1+DM$3))/$AJ135,'Технический лист'!$I:$J,2,1)-VLOOKUP($AO135,'Технический лист'!$I:$J,2,1)),1+(1-$AU135))</f>
        <v>1</v>
      </c>
      <c r="DN135" s="15">
        <f>MIN(IF($AU135=100%,1,1+VLOOKUP(($AJ135-$AI135-$AH135-$AG135-$AF135-$AE135*(1+DN$3))/$AJ135,'Технический лист'!$I:$J,2,1)-VLOOKUP($AO135,'Технический лист'!$I:$J,2,1)),1+(1-$AU135))</f>
        <v>1</v>
      </c>
      <c r="DO135" s="15">
        <f>MIN(IF($AU135=100%,1,1+VLOOKUP(($AJ135-$AI135-$AH135-$AG135-$AF135-$AE135*(1+DO$3))/$AJ135,'Технический лист'!$I:$J,2,1)-VLOOKUP($AO135,'Технический лист'!$I:$J,2,1)),1+(1-$AU135))</f>
        <v>1</v>
      </c>
      <c r="DP135" s="15">
        <f>MIN(IF($AU135=100%,1,1+VLOOKUP(($AJ135-$AI135-$AH135-$AG135-$AF135-$AE135*(1+DP$3))/$AJ135,'Технический лист'!$I:$J,2,1)-VLOOKUP($AO135,'Технический лист'!$I:$J,2,1)),1+(1-$AU135))</f>
        <v>1</v>
      </c>
      <c r="DQ135" s="15">
        <f>MIN(IF($AU135=100%,1,1+VLOOKUP(($AJ135-$AI135-$AH135-$AG135-$AF135-$AE135*(1+DQ$3))/$AJ135,'Технический лист'!$I:$J,2,1)-VLOOKUP($AO135,'Технический лист'!$I:$J,2,1)),1+(1-$AU135))</f>
        <v>1</v>
      </c>
      <c r="DR135" s="15">
        <f>MIN(IF($AU135=100%,1,1+VLOOKUP(($AJ135-$AI135-$AH135-$AG135-$AF135-$AE135*(1+DR$3))/$AJ135,'Технический лист'!$I:$J,2,1)-VLOOKUP($AO135,'Технический лист'!$I:$J,2,1)),1+(1-$AU135))</f>
        <v>1</v>
      </c>
      <c r="DS135" s="15">
        <f>MIN(IF($AU135=100%,1,1+VLOOKUP(($AJ135-$AI135-$AH135-$AG135-$AF135-$AE135*(1+DS$3))/$AJ135,'Технический лист'!$I:$J,2,1)-VLOOKUP($AO135,'Технический лист'!$I:$J,2,1)),1+(1-$AU135))</f>
        <v>1</v>
      </c>
      <c r="DT135" s="15">
        <f>MIN(IF($AU135=100%,1,1+VLOOKUP(($AJ135-$AI135-$AH135-$AG135-$AF135-$AE135*(1+DT$3))/$AJ135,'Технический лист'!$I:$J,2,1)-VLOOKUP($AO135,'Технический лист'!$I:$J,2,1)),1+(1-$AU135))</f>
        <v>1</v>
      </c>
      <c r="DU135" s="15">
        <f>MIN(IF($AU135=100%,1,1+VLOOKUP(($AJ135-$AI135-$AH135-$AG135-$AF135-$AE135*(1+DU$3))/$AJ135,'Технический лист'!$I:$J,2,1)-VLOOKUP($AO135,'Технический лист'!$I:$J,2,1)),1+(1-$AU135))</f>
        <v>1</v>
      </c>
      <c r="DV135" s="15">
        <f>MIN(IF($AU135=100%,1,1+VLOOKUP(($AJ135-$AI135-$AH135-$AG135-$AF135-$AE135*(1+DV$3))/$AJ135,'Технический лист'!$I:$J,2,1)-VLOOKUP($AO135,'Технический лист'!$I:$J,2,1)),1+(1-$AU135))</f>
        <v>1</v>
      </c>
      <c r="DW135" s="15">
        <f>MIN(IF($AU135=100%,1,1+VLOOKUP(($AJ135-$AI135-$AH135-$AG135-$AF135-$AE135*(1+DW$3))/$AJ135,'Технический лист'!$I:$J,2,1)-VLOOKUP($AO135,'Технический лист'!$I:$J,2,1)),1+(1-$AU135))</f>
        <v>1</v>
      </c>
      <c r="DX135" s="15">
        <f>MIN(IF($AU135=100%,1,1+VLOOKUP(($AJ135-$AI135-$AH135-$AG135-$AF135-$AE135*(1+DX$3))/$AJ135,'Технический лист'!$I:$J,2,1)-VLOOKUP($AO135,'Технический лист'!$I:$J,2,1)),1+(1-$AU135))</f>
        <v>1</v>
      </c>
      <c r="DY135" s="15">
        <f>MIN(IF($AU135=100%,1,1+VLOOKUP(($AJ135-$AI135-$AH135-$AG135-$AF135-$AE135*(1+DY$3))/$AJ135,'Технический лист'!$I:$J,2,1)-VLOOKUP($AO135,'Технический лист'!$I:$J,2,1)),1+(1-$AU135))</f>
        <v>1</v>
      </c>
      <c r="DZ135" s="15">
        <f>MIN(IF($AU135=100%,1,1+VLOOKUP(($AJ135-$AI135-$AH135-$AG135-$AF135-$AE135*(1+DZ$3))/$AJ135,'Технический лист'!$I:$J,2,1)-VLOOKUP($AO135,'Технический лист'!$I:$J,2,1)),1+(1-$AU135))</f>
        <v>1</v>
      </c>
      <c r="EA135" s="15">
        <f>MIN(IF($AU135=100%,1,1+VLOOKUP(($AJ135-$AI135-$AH135-$AG135-$AF135-$AE135*(1+EA$3))/$AJ135,'Технический лист'!$I:$J,2,1)-VLOOKUP($AO135,'Технический лист'!$I:$J,2,1)),1+(1-$AU135))</f>
        <v>1</v>
      </c>
      <c r="EB135" s="15">
        <f>MIN(IF($AU135=100%,1,1+VLOOKUP(($AJ135-$AI135-$AH135-$AG135-$AF135-$AE135*(1+EB$3))/$AJ135,'Технический лист'!$I:$J,2,1)-VLOOKUP($AO135,'Технический лист'!$I:$J,2,1)),1+(1-$AU135))</f>
        <v>1</v>
      </c>
      <c r="EC135" s="15">
        <f>MIN(IF($AU135=100%,1,1+VLOOKUP(($AJ135-$AI135-$AH135-$AG135-$AF135-$AE135*(1+EC$3))/$AJ135,'Технический лист'!$I:$J,2,1)-VLOOKUP($AO135,'Технический лист'!$I:$J,2,1)),1+(1-$AU135))</f>
        <v>1</v>
      </c>
      <c r="ED135" s="15">
        <f>MIN(IF($AU135=100%,1,1+VLOOKUP(($AJ135-$AI135-$AH135-$AG135-$AF135-$AE135*(1+ED$3))/$AJ135,'Технический лист'!$I:$J,2,1)-VLOOKUP($AO135,'Технический лист'!$I:$J,2,1)),1+(1-$AU135))</f>
        <v>1</v>
      </c>
      <c r="EE135" s="15">
        <f>MIN(IF($AU135=100%,1,1+VLOOKUP(($AJ135-$AI135-$AH135-$AG135-$AF135-$AE135*(1+EE$3))/$AJ135,'Технический лист'!$I:$J,2,1)-VLOOKUP($AO135,'Технический лист'!$I:$J,2,1)),1+(1-$AU135))</f>
        <v>1</v>
      </c>
      <c r="EF135" s="15">
        <f>MIN(IF($AU135=100%,1,1+VLOOKUP(($AJ135-$AI135-$AH135-$AG135-$AF135-$AE135*(1+EF$3))/$AJ135,'Технический лист'!$I:$J,2,1)-VLOOKUP($AO135,'Технический лист'!$I:$J,2,1)),1+(1-$AU135))</f>
        <v>1</v>
      </c>
      <c r="EG135" s="15">
        <f>MIN(IF($AU135=100%,1,1+VLOOKUP(($AJ135-$AI135-$AH135-$AG135-$AF135-$AE135*(1+EG$3))/$AJ135,'Технический лист'!$I:$J,2,1)-VLOOKUP($AO135,'Технический лист'!$I:$J,2,1)),1+(1-$AU135))</f>
        <v>1</v>
      </c>
      <c r="EH135" s="15">
        <f>MIN(IF($AU135=100%,1,1+VLOOKUP(($AJ135-$AI135-$AH135-$AG135-$AF135-$AE135*(1+EH$3))/$AJ135,'Технический лист'!$I:$J,2,1)-VLOOKUP($AO135,'Технический лист'!$I:$J,2,1)),1+(1-$AU135))</f>
        <v>1</v>
      </c>
      <c r="EI135" s="15">
        <f>MIN(IF($AU135=100%,1,1+VLOOKUP(($AJ135-$AI135-$AH135-$AG135-$AF135-$AE135*(1+EI$3))/$AJ135,'Технический лист'!$I:$J,2,1)-VLOOKUP($AO135,'Технический лист'!$I:$J,2,1)),1+(1-$AU135))</f>
        <v>1</v>
      </c>
      <c r="EJ135" s="15">
        <f>MIN(IF($AU135=100%,1,1+VLOOKUP(($AJ135-$AI135-$AH135-$AG135-$AF135-$AE135*(1+EJ$3))/$AJ135,'Технический лист'!$I:$J,2,1)-VLOOKUP($AO135,'Технический лист'!$I:$J,2,1)),1+(1-$AU135))</f>
        <v>1</v>
      </c>
      <c r="EK135" s="15">
        <f>MIN(IF($AU135=100%,1,1+VLOOKUP(($AJ135-$AI135-$AH135-$AG135-$AF135-$AE135*(1+EK$3))/$AJ135,'Технический лист'!$I:$J,2,1)-VLOOKUP($AO135,'Технический лист'!$I:$J,2,1)),1+(1-$AU135))</f>
        <v>1</v>
      </c>
      <c r="EL135" s="15">
        <f>MIN(IF($AU135=100%,1,1+VLOOKUP(($AJ135-$AI135-$AH135-$AG135-$AF135-$AE135*(1+EL$3))/$AJ135,'Технический лист'!$I:$J,2,1)-VLOOKUP($AO135,'Технический лист'!$I:$J,2,1)),1+(1-$AU135))</f>
        <v>1</v>
      </c>
      <c r="EM135" s="15">
        <f>MIN(IF($AU135=100%,1,1+VLOOKUP(($AJ135-$AI135-$AH135-$AG135-$AF135-$AE135*(1+EM$3))/$AJ135,'Технический лист'!$I:$J,2,1)-VLOOKUP($AO135,'Технический лист'!$I:$J,2,1)),1+(1-$AU135))</f>
        <v>1</v>
      </c>
      <c r="EN135" s="15">
        <f>MIN(IF($AU135=100%,1,1+VLOOKUP(($AJ135-$AI135-$AH135-$AG135-$AF135-$AE135*(1+EN$3))/$AJ135,'Технический лист'!$I:$J,2,1)-VLOOKUP($AO135,'Технический лист'!$I:$J,2,1)),1+(1-$AU135))</f>
        <v>1</v>
      </c>
      <c r="EO135" s="15">
        <f>MIN(IF($AU135=100%,1,1+VLOOKUP(($AJ135-$AI135-$AH135-$AG135-$AF135-$AE135*(1+EO$3))/$AJ135,'Технический лист'!$I:$J,2,1)-VLOOKUP($AO135,'Технический лист'!$I:$J,2,1)),1+(1-$AU135))</f>
        <v>1</v>
      </c>
      <c r="EP135" s="15">
        <f>MIN(IF($AU135=100%,1,1+VLOOKUP(($AJ135-$AI135-$AH135-$AG135-$AF135-$AE135*(1+EP$3))/$AJ135,'Технический лист'!$I:$J,2,1)-VLOOKUP($AO135,'Технический лист'!$I:$J,2,1)),1+(1-$AU135))</f>
        <v>1</v>
      </c>
      <c r="EQ135" s="15">
        <f>MIN(IF($AU135=100%,1,1+VLOOKUP(($AJ135-$AI135-$AH135-$AG135-$AF135-$AE135*(1+EQ$3))/$AJ135,'Технический лист'!$I:$J,2,1)-VLOOKUP($AO135,'Технический лист'!$I:$J,2,1)),1+(1-$AU135))</f>
        <v>1</v>
      </c>
      <c r="ER135" s="15">
        <f>MIN(IF($AU135=100%,1,1+VLOOKUP(($AJ135-$AI135-$AH135-$AG135-$AF135-$AE135*(1+ER$3))/$AJ135,'Технический лист'!$I:$J,2,1)-VLOOKUP($AO135,'Технический лист'!$I:$J,2,1)),1+(1-$AU135))</f>
        <v>1</v>
      </c>
      <c r="ES135" s="15">
        <f>MIN(IF($AU135=100%,1,1+VLOOKUP(($AJ135-$AI135-$AH135-$AG135-$AF135-$AE135*(1+ES$3))/$AJ135,'Технический лист'!$I:$J,2,1)-VLOOKUP($AO135,'Технический лист'!$I:$J,2,1)),1+(1-$AU135))</f>
        <v>1</v>
      </c>
      <c r="ET135" s="15">
        <f>MIN(IF($AU135=100%,1,1+VLOOKUP(($AJ135-$AI135-$AH135-$AG135-$AF135-$AE135*(1+ET$3))/$AJ135,'Технический лист'!$I:$J,2,1)-VLOOKUP($AO135,'Технический лист'!$I:$J,2,1)),1+(1-$AU135))</f>
        <v>1</v>
      </c>
      <c r="EU135" s="15">
        <f>MIN(IF($AU135=100%,1,1+VLOOKUP(($AJ135-$AI135-$AH135-$AG135-$AF135-$AE135*(1+EU$3))/$AJ135,'Технический лист'!$I:$J,2,1)-VLOOKUP($AO135,'Технический лист'!$I:$J,2,1)),1+(1-$AU135))</f>
        <v>1</v>
      </c>
      <c r="EV135" s="111">
        <v>1</v>
      </c>
      <c r="EW135" s="15">
        <f>MIN(1,MAX(VLOOKUP(($AJ135-$AI135-$AH135-$AG135-$AF135-$AE135*(1+EW$3))/$AJ135,'Технический лист'!$A:$B,2,1),(EV135-0.05)))</f>
        <v>1</v>
      </c>
      <c r="EX135" s="15">
        <f>MIN(1,MAX(VLOOKUP(($AJ135-$AI135-$AH135-$AG135-$AF135-$AE135*(1+EX$3))/$AJ135,'Технический лист'!$A:$B,2,1),(EW135-0.05)))</f>
        <v>1</v>
      </c>
      <c r="EY135" s="15">
        <f>MIN(1,MAX(VLOOKUP(($AJ135-$AI135-$AH135-$AG135-$AF135-$AE135*(1+EY$3))/$AJ135,'Технический лист'!$A:$B,2,1),(EX135-0.05)))</f>
        <v>1</v>
      </c>
      <c r="EZ135" s="15">
        <f>MIN(1,MAX(VLOOKUP(($AJ135-$AI135-$AH135-$AG135-$AF135-$AE135*(1+EZ$3))/$AJ135,'Технический лист'!$A:$B,2,1),(EY135-0.05)))</f>
        <v>1</v>
      </c>
      <c r="FA135" s="15">
        <f>MIN(1,MAX(VLOOKUP(($AJ135-$AI135-$AH135-$AG135-$AF135-$AE135*(1+FA$3))/$AJ135,'Технический лист'!$A:$B,2,1),(EZ135-0.05)))</f>
        <v>1</v>
      </c>
      <c r="FB135" s="15">
        <f>MIN(1,MAX(VLOOKUP(($AJ135-$AI135-$AH135-$AG135-$AF135-$AE135*(1+FB$3))/$AJ135,'Технический лист'!$A:$B,2,1),(FA135-0.05)))</f>
        <v>1</v>
      </c>
      <c r="FC135" s="15">
        <f>MIN(1,MAX(VLOOKUP(($AJ135-$AI135-$AH135-$AG135-$AF135-$AE135*(1+FC$3))/$AJ135,'Технический лист'!$A:$B,2,1),(FB135-0.05)))</f>
        <v>1</v>
      </c>
      <c r="FD135" s="15">
        <f>MIN(1,MAX(VLOOKUP(($AJ135-$AI135-$AH135-$AG135-$AF135-$AE135*(1+FD$3))/$AJ135,'Технический лист'!$A:$B,2,1),(FC135-0.05)))</f>
        <v>1</v>
      </c>
      <c r="FE135" s="15">
        <f>MIN(1,MAX(VLOOKUP(($AJ135-$AI135-$AH135-$AG135-$AF135-$AE135*(1+FE$3))/$AJ135,'Технический лист'!$A:$B,2,1),(FD135-0.05)))</f>
        <v>1</v>
      </c>
      <c r="FF135" s="15">
        <f>MIN(1,MAX(VLOOKUP(($AJ135-$AI135-$AH135-$AG135-$AF135-$AE135*(1+FF$3))/$AJ135,'Технический лист'!$A:$B,2,1),(FE135-0.05)))</f>
        <v>1</v>
      </c>
      <c r="FG135" s="15">
        <f>MIN(1,MAX(VLOOKUP(($AJ135-$AI135-$AH135-$AG135-$AF135-$AE135*(1+FG$3))/$AJ135,'Технический лист'!$A:$B,2,1),(FF135-0.05)))</f>
        <v>1</v>
      </c>
      <c r="FH135" s="15">
        <f>MIN(1,MAX(VLOOKUP(($AJ135-$AI135-$AH135-$AG135-$AF135-$AE135*(1+FH$3))/$AJ135,'Технический лист'!$A:$B,2,1),(FG135-0.05)))</f>
        <v>1</v>
      </c>
      <c r="FI135" s="15">
        <f>MIN(1,MAX(VLOOKUP(($AJ135-$AI135-$AH135-$AG135-$AF135-$AE135*(1+FI$3))/$AJ135,'Технический лист'!$A:$B,2,1),(FH135-0.05)))</f>
        <v>1</v>
      </c>
      <c r="FJ135" s="15">
        <f>MIN(1,MAX(VLOOKUP(($AJ135-$AI135-$AH135-$AG135-$AF135-$AE135*(1+FJ$3))/$AJ135,'Технический лист'!$A:$B,2,1),(FI135-0.05)))</f>
        <v>1</v>
      </c>
      <c r="FK135" s="15">
        <f>MIN(1,MAX(VLOOKUP(($AJ135-$AI135-$AH135-$AG135-$AF135-$AE135*(1+FK$3))/$AJ135,'Технический лист'!$A:$B,2,1),(FJ135-0.05)))</f>
        <v>1</v>
      </c>
      <c r="FL135" s="15">
        <f>MIN(1,MAX(VLOOKUP(($AJ135-$AI135-$AH135-$AG135-$AF135-$AE135*(1+FL$3))/$AJ135,'Технический лист'!$A:$B,2,1),(FK135-0.05)))</f>
        <v>1</v>
      </c>
      <c r="FM135" s="15">
        <f>MIN(1,MAX(VLOOKUP(($AJ135-$AI135-$AH135-$AG135-$AF135-$AE135*(1+FM$3))/$AJ135,'Технический лист'!$A:$B,2,1),(FL135-0.05)))</f>
        <v>1</v>
      </c>
      <c r="FN135" s="15">
        <f>MIN(1,MAX(VLOOKUP(($AJ135-$AI135-$AH135-$AG135-$AF135-$AE135*(1+FN$3))/$AJ135,'Технический лист'!$A:$B,2,1),(FM135-0.05)))</f>
        <v>1</v>
      </c>
      <c r="FO135" s="15">
        <f>MIN(1,MAX(VLOOKUP(($AJ135-$AI135-$AH135-$AG135-$AF135-$AE135*(1+FO$3))/$AJ135,'Технический лист'!$A:$B,2,1),(FN135-0.05)))</f>
        <v>1</v>
      </c>
      <c r="FP135" s="15">
        <f>MIN(1,MAX(VLOOKUP(($AJ135-$AI135-$AH135-$AG135-$AF135-$AE135*(1+FP$3))/$AJ135,'Технический лист'!$A:$B,2,1),(FO135-0.05)))</f>
        <v>1</v>
      </c>
      <c r="FQ135" s="15">
        <f>MIN(1,MAX(VLOOKUP(($AJ135-$AI135-$AH135-$AG135-$AF135-$AE135*(1+FQ$3))/$AJ135,'Технический лист'!$A:$B,2,1),(FP135-0.05)))</f>
        <v>1</v>
      </c>
      <c r="FR135" s="15">
        <f>MIN(1,MAX(VLOOKUP(($AJ135-$AI135-$AH135-$AG135-$AF135-$AE135*(1+FR$3))/$AJ135,'Технический лист'!$A:$B,2,1),(FQ135-0.05)))</f>
        <v>1</v>
      </c>
      <c r="FS135" s="15">
        <f>MIN(1,MAX(VLOOKUP(($AJ135-$AI135-$AH135-$AG135-$AF135-$AE135*(1+FS$3))/$AJ135,'Технический лист'!$A:$B,2,1),(FR135-0.05)))</f>
        <v>1</v>
      </c>
      <c r="FT135" s="15">
        <f>MIN(1,MAX(VLOOKUP(($AJ135-$AI135-$AH135-$AG135-$AF135-$AE135*(1+FT$3))/$AJ135,'Технический лист'!$A:$B,2,1),(FS135-0.05)))</f>
        <v>1</v>
      </c>
      <c r="FU135" s="15">
        <f>MIN(1,MAX(VLOOKUP(($AJ135-$AI135-$AH135-$AG135-$AF135-$AE135*(1+FU$3))/$AJ135,'Технический лист'!$A:$B,2,1),(FT135-0.05)))</f>
        <v>1</v>
      </c>
      <c r="FV135" s="15">
        <f>MIN(1,MAX(VLOOKUP(($AJ135-$AI135-$AH135-$AG135-$AF135-$AE135*(1+FV$3))/$AJ135,'Технический лист'!$A:$B,2,1),(FU135-0.05)))</f>
        <v>1</v>
      </c>
      <c r="FW135" s="15">
        <f>MIN(1,MAX(VLOOKUP(($AJ135-$AI135-$AH135-$AG135-$AF135-$AE135*(1+FW$3))/$AJ135,'Технический лист'!$A:$B,2,1),(FV135-0.05)))</f>
        <v>1</v>
      </c>
      <c r="FX135" s="15">
        <f>MIN(1,MAX(VLOOKUP(($AJ135-$AI135-$AH135-$AG135-$AF135-$AE135*(1+FX$3))/$AJ135,'Технический лист'!$A:$B,2,1),(FW135-0.05)))</f>
        <v>1</v>
      </c>
      <c r="FY135" s="15">
        <f>MIN(1,MAX(VLOOKUP(($AJ135-$AI135-$AH135-$AG135-$AF135-$AE135*(1+FY$3))/$AJ135,'Технический лист'!$A:$B,2,1),(FX135-0.05)))</f>
        <v>1</v>
      </c>
      <c r="FZ135" s="15">
        <f>MIN(1,MAX(VLOOKUP(($AJ135-$AI135-$AH135-$AG135-$AF135-$AE135*(1+FZ$3))/$AJ135,'Технический лист'!$A:$B,2,1),(FY135-0.05)))</f>
        <v>1</v>
      </c>
      <c r="GA135" s="15">
        <f>MIN(1,MAX(VLOOKUP(($AJ135-$AI135-$AH135-$AG135-$AF135-$AE135*(1+GA$3))/$AJ135,'Технический лист'!$A:$B,2,1),(FZ135-0.05)))</f>
        <v>1</v>
      </c>
      <c r="GB135" s="15">
        <f>MIN(1,MAX(VLOOKUP(($AJ135-$AI135-$AH135-$AG135-$AF135-$AE135*(1+GB$3))/$AJ135,'Технический лист'!$A:$B,2,1),(GA135-0.05)))</f>
        <v>1</v>
      </c>
      <c r="GC135" s="15">
        <f>MIN(1,MAX(VLOOKUP(($AJ135-$AI135-$AH135-$AG135-$AF135-$AE135*(1+GC$3))/$AJ135,'Технический лист'!$A:$B,2,1),(GB135-0.05)))</f>
        <v>1</v>
      </c>
      <c r="GD135" s="15">
        <f>MIN(1,MAX(VLOOKUP(($AJ135-$AI135-$AH135-$AG135-$AF135-$AE135*(1+GD$3))/$AJ135,'Технический лист'!$A:$B,2,1),(GC135-0.05)))</f>
        <v>1</v>
      </c>
      <c r="GE135" s="15">
        <f>MIN(1,MAX(VLOOKUP(($AJ135-$AI135-$AH135-$AG135-$AF135-$AE135*(1+GE$3))/$AJ135,'Технический лист'!$A:$B,2,1),(GD135-0.05)))</f>
        <v>1</v>
      </c>
      <c r="GF135" s="15">
        <f>MIN(1,MAX(VLOOKUP(($AJ135-$AI135-$AH135-$AG135-$AF135-$AE135*(1+GF$3))/$AJ135,'Технический лист'!$A:$B,2,1),(GE135-0.05)))</f>
        <v>1</v>
      </c>
      <c r="GG135" s="15">
        <f>MIN(1,MAX(VLOOKUP(($AJ135-$AI135-$AH135-$AG135-$AF135-$AE135*(1+GG$3))/$AJ135,'Технический лист'!$A:$B,2,1),(GF135-0.05)))</f>
        <v>1</v>
      </c>
      <c r="GH135" s="15">
        <f>MIN(1,MAX(VLOOKUP(($AJ135-$AI135-$AH135-$AG135-$AF135-$AE135*(1+GH$3))/$AJ135,'Технический лист'!$A:$B,2,1),(GG135-0.05)))</f>
        <v>1</v>
      </c>
      <c r="GI135" s="15">
        <f>MIN(1,MAX(VLOOKUP(($AJ135-$AI135-$AH135-$AG135-$AF135-$AE135*(1+GI$3))/$AJ135,'Технический лист'!$A:$B,2,1),(GH135-0.05)))</f>
        <v>1</v>
      </c>
      <c r="GJ135" s="15">
        <f>MIN(1,MAX(VLOOKUP(($AJ135-$AI135-$AH135-$AG135-$AF135-$AE135*(1+GJ$3))/$AJ135,'Технический лист'!$A:$B,2,1),(GI135-0.05)))</f>
        <v>1</v>
      </c>
      <c r="GK135" s="15">
        <f>MIN(1,MAX(VLOOKUP(($AJ135-$AI135-$AH135-$AG135-$AF135-$AE135*(1+GK$3))/$AJ135,'Технический лист'!$A:$B,2,1),(GJ135-0.05)))</f>
        <v>1</v>
      </c>
      <c r="GL135" s="15">
        <f>MIN(1,MAX(VLOOKUP(($AJ135-$AI135-$AH135-$AG135-$AF135-$AE135*(1+GL$3))/$AJ135,'Технический лист'!$A:$B,2,1),(GK135-0.05)))</f>
        <v>1</v>
      </c>
      <c r="GM135" s="15">
        <f>MIN(1,MAX(VLOOKUP(($AJ135-$AI135-$AH135-$AG135-$AF135-$AE135*(1+GM$3))/$AJ135,'Технический лист'!$A:$B,2,1),(GL135-0.05)))</f>
        <v>1</v>
      </c>
      <c r="GN135" s="15">
        <f>MIN(1,MAX(VLOOKUP(($AJ135-$AI135-$AH135-$AG135-$AF135-$AE135*(1+GN$3))/$AJ135,'Технический лист'!$A:$B,2,1),(GM135-0.05)))</f>
        <v>1</v>
      </c>
      <c r="GO135" s="15">
        <f>MIN(1,MAX(VLOOKUP(($AJ135-$AI135-$AH135-$AG135-$AF135-$AE135*(1+GO$3))/$AJ135,'Технический лист'!$A:$B,2,1),(GN135-0.05)))</f>
        <v>1</v>
      </c>
      <c r="GP135" s="15">
        <f>MIN(1,MAX(VLOOKUP(($AJ135-$AI135-$AH135-$AG135-$AF135-$AE135*(1+GP$3))/$AJ135,'Технический лист'!$A:$B,2,1),(GO135-0.05)))</f>
        <v>1</v>
      </c>
      <c r="GQ135" s="15">
        <f>MIN(1,MAX(VLOOKUP(($AJ135-$AI135-$AH135-$AG135-$AF135-$AE135*(1+GQ$3))/$AJ135,'Технический лист'!$A:$B,2,1),(GP135-0.05)))</f>
        <v>1</v>
      </c>
      <c r="GR135" s="15">
        <f>MIN(1,MAX(VLOOKUP(($AJ135-$AI135-$AH135-$AG135-$AF135-$AE135*(1+GR$3))/$AJ135,'Технический лист'!$A:$B,2,1),(GQ135-0.05)))</f>
        <v>1</v>
      </c>
      <c r="GS135" s="15">
        <f>MIN(1,MAX(VLOOKUP(($AJ135-$AI135-$AH135-$AG135-$AF135-$AE135*(1+GS$3))/$AJ135,'Технический лист'!$A:$B,2,1),(GR135-0.05)))</f>
        <v>1</v>
      </c>
      <c r="GT135" s="15">
        <f>MIN(1,MAX(VLOOKUP(($AJ135-$AI135-$AH135-$AG135-$AF135-$AE135*(1+GT$3))/$AJ135,'Технический лист'!$A:$B,2,1),(GS135-0.05)))</f>
        <v>1</v>
      </c>
      <c r="GU135" s="15">
        <f>MIN(1,MAX(VLOOKUP(($AJ135-$AI135-$AH135-$AG135-$AF135-$AE135*(1+GU$3))/$AJ135,'Технический лист'!$A:$B,2,1),(GT135-0.05)))</f>
        <v>1</v>
      </c>
      <c r="GV135" s="15">
        <f>MIN(1,MAX(VLOOKUP(($AJ135-$AI135-$AH135-$AG135-$AF135-$AE135*(1+GV$3))/$AJ135,'Технический лист'!$A:$B,2,1),(GU135-0.05)))</f>
        <v>1</v>
      </c>
      <c r="GW135" s="15">
        <f>MIN(1,MAX(VLOOKUP(($AJ135-$AI135-$AH135-$AG135-$AF135-$AE135*(1+GW$3))/$AJ135,'Технический лист'!$A:$B,2,1),(GV135-0.05)))</f>
        <v>1</v>
      </c>
      <c r="GX135" s="15">
        <f>MIN(1,MAX(VLOOKUP(($AJ135-$AI135-$AH135-$AG135-$AF135-$AE135*(1+GX$3))/$AJ135,'Технический лист'!$A:$B,2,1),(GW135-0.05)))</f>
        <v>1</v>
      </c>
      <c r="GY135" s="15">
        <f>MIN(1,MAX(VLOOKUP(($AJ135-$AI135-$AH135-$AG135-$AF135-$AE135*(1+GY$3))/$AJ135,'Технический лист'!$A:$B,2,1),(GX135-0.05)))</f>
        <v>1</v>
      </c>
      <c r="GZ135" s="15">
        <f>MIN(1,MAX(VLOOKUP(($AJ135-$AI135-$AH135-$AG135-$AF135-$AE135*(1+GZ$3))/$AJ135,'Технический лист'!$A:$B,2,1),(GY135-0.05)))</f>
        <v>1</v>
      </c>
      <c r="HA135" s="15">
        <f>MIN(1,MAX(VLOOKUP(($AJ135-$AI135-$AH135-$AG135-$AF135-$AE135*(1+HA$3))/$AJ135,'Технический лист'!$A:$B,2,1),(GZ135-0.05)))</f>
        <v>1</v>
      </c>
      <c r="HB135" s="15">
        <f>MIN(1,MAX(VLOOKUP(($AJ135-$AI135-$AH135-$AG135-$AF135-$AE135*(1+HB$3))/$AJ135,'Технический лист'!$A:$B,2,1),(HA135-0.05)))</f>
        <v>1</v>
      </c>
      <c r="HC135" s="15">
        <f>MIN(1,MAX(VLOOKUP(($AJ135-$AI135-$AH135-$AG135-$AF135-$AE135*(1+HC$3))/$AJ135,'Технический лист'!$A:$B,2,1),(HB135-0.05)))</f>
        <v>1</v>
      </c>
      <c r="HD135" s="15">
        <f>MIN(1,MAX(VLOOKUP(($AJ135-$AI135-$AH135-$AG135-$AF135-$AE135*(1+HD$3))/$AJ135,'Технический лист'!$A:$B,2,1),(HC135-0.05)))</f>
        <v>1</v>
      </c>
      <c r="HE135" s="15">
        <f>MIN(1,MAX(VLOOKUP(($AJ135-$AI135-$AH135-$AG135-$AF135-$AE135*(1+HE$3))/$AJ135,'Технический лист'!$A:$B,2,1),(HD135-0.05)))</f>
        <v>1</v>
      </c>
      <c r="HF135" s="15">
        <f>MIN(1,MAX(VLOOKUP(($AJ135-$AI135-$AH135-$AG135-$AF135-$AE135*(1+HF$3))/$AJ135,'Технический лист'!$A:$B,2,1),(HE135-0.05)))</f>
        <v>1</v>
      </c>
      <c r="HG135" s="15">
        <f>MIN(1,MAX(VLOOKUP(($AJ135-$AI135-$AH135-$AG135-$AF135-$AE135*(1+HG$3))/$AJ135,'Технический лист'!$A:$B,2,1),(HF135-0.05)))</f>
        <v>1</v>
      </c>
      <c r="HH135" s="15">
        <f>MIN(1,MAX(VLOOKUP(($AJ135-$AI135-$AH135-$AG135-$AF135-$AE135*(1+HH$3))/$AJ135,'Технический лист'!$A:$B,2,1),(HG135-0.05)))</f>
        <v>1</v>
      </c>
      <c r="HI135" s="15">
        <f>MIN(1,MAX(VLOOKUP(($AJ135-$AI135-$AH135-$AG135-$AF135-$AE135*(1+HI$3))/$AJ135,'Технический лист'!$A:$B,2,1),(HH135-0.05)))</f>
        <v>1</v>
      </c>
      <c r="HJ135" s="15">
        <f>MIN(1,MAX(VLOOKUP(($AJ135-$AI135-$AH135-$AG135-$AF135-$AE135*(1+HJ$3))/$AJ135,'Технический лист'!$A:$B,2,1),(HI135-0.05)))</f>
        <v>1</v>
      </c>
      <c r="HK135" s="15">
        <f>MIN(1,MAX(VLOOKUP(($AJ135-$AI135-$AH135-$AG135-$AF135-$AE135*(1+HK$3))/$AJ135,'Технический лист'!$A:$B,2,1),(HJ135-0.05)))</f>
        <v>1</v>
      </c>
      <c r="HL135" s="15">
        <f>MIN(1,MAX(VLOOKUP(($AJ135-$AI135-$AH135-$AG135-$AF135-$AE135*(1+HL$3))/$AJ135,'Технический лист'!$A:$B,2,1),(HK135-0.05)))</f>
        <v>1</v>
      </c>
      <c r="HM135" s="15">
        <f>MIN(1,MAX(VLOOKUP(($AJ135-$AI135-$AH135-$AG135-$AF135-$AE135*(1+HM$3))/$AJ135,'Технический лист'!$A:$B,2,1),(HL135-0.05)))</f>
        <v>1</v>
      </c>
      <c r="HN135" s="15">
        <f>MIN(1,MAX(VLOOKUP(($AJ135-$AI135-$AH135-$AG135-$AF135-$AE135*(1+HN$3))/$AJ135,'Технический лист'!$A:$B,2,1),(HM135-0.05)))</f>
        <v>1</v>
      </c>
      <c r="HO135" s="15">
        <f>MIN(1,MAX(VLOOKUP(($AJ135-$AI135-$AH135-$AG135-$AF135-$AE135*(1+HO$3))/$AJ135,'Технический лист'!$A:$B,2,1),(HN135-0.05)))</f>
        <v>1</v>
      </c>
      <c r="HP135" s="15">
        <f>MIN(1,MAX(VLOOKUP(($AJ135-$AI135-$AH135-$AG135-$AF135-$AE135*(1+HP$3))/$AJ135,'Технический лист'!$A:$B,2,1),(HO135-0.05)))</f>
        <v>1</v>
      </c>
      <c r="HQ135" s="15">
        <f>MIN(1,MAX(VLOOKUP(($AJ135-$AI135-$AH135-$AG135-$AF135-$AE135*(1+HQ$3))/$AJ135,'Технический лист'!$A:$B,2,1),(HP135-0.05)))</f>
        <v>1</v>
      </c>
      <c r="HR135" s="15">
        <f>MIN(1,MAX(VLOOKUP(($AJ135-$AI135-$AH135-$AG135-$AF135-$AE135*(1+HR$3))/$AJ135,'Технический лист'!$A:$B,2,1),(HQ135-0.05)))</f>
        <v>1</v>
      </c>
      <c r="HS135" s="15">
        <f>MIN(1,MAX(VLOOKUP(($AJ135-$AI135-$AH135-$AG135-$AF135-$AE135*(1+HS$3))/$AJ135,'Технический лист'!$A:$B,2,1),(HR135-0.05)))</f>
        <v>1</v>
      </c>
      <c r="HT135" s="15">
        <f>MIN(1,MAX(VLOOKUP(($AJ135-$AI135-$AH135-$AG135-$AF135-$AE135*(1+HT$3))/$AJ135,'Технический лист'!$A:$B,2,1),(HS135-0.05)))</f>
        <v>1</v>
      </c>
      <c r="HU135" s="15">
        <f>MIN(1,MAX(VLOOKUP(($AJ135-$AI135-$AH135-$AG135-$AF135-$AE135*(1+HU$3))/$AJ135,'Технический лист'!$A:$B,2,1),(HT135-0.05)))</f>
        <v>1</v>
      </c>
      <c r="HV135" s="15">
        <f>MIN(1,MAX(VLOOKUP(($AJ135-$AI135-$AH135-$AG135-$AF135-$AE135*(1+HV$3))/$AJ135,'Технический лист'!$A:$B,2,1),(HU135-0.05)))</f>
        <v>1</v>
      </c>
      <c r="HW135" s="15">
        <f>MIN(1,MAX(VLOOKUP(($AJ135-$AI135-$AH135-$AG135-$AF135-$AE135*(1+HW$3))/$AJ135,'Технический лист'!$A:$B,2,1),(HV135-0.05)))</f>
        <v>1</v>
      </c>
      <c r="HX135" s="15">
        <f>MIN(1,MAX(VLOOKUP(($AJ135-$AI135-$AH135-$AG135-$AF135-$AE135*(1+HX$3))/$AJ135,'Технический лист'!$A:$B,2,1),(HW135-0.05)))</f>
        <v>1</v>
      </c>
      <c r="HY135" s="15">
        <f>MIN(1,MAX(VLOOKUP(($AJ135-$AI135-$AH135-$AG135-$AF135-$AE135*(1+HY$3))/$AJ135,'Технический лист'!$A:$B,2,1),(HX135-0.05)))</f>
        <v>1</v>
      </c>
      <c r="HZ135" s="15">
        <f>MIN(1,MAX(VLOOKUP(($AJ135-$AI135-$AH135-$AG135-$AF135-$AE135*(1+HZ$3))/$AJ135,'Технический лист'!$A:$B,2,1),(HY135-0.05)))</f>
        <v>1</v>
      </c>
      <c r="IA135" s="15">
        <f>MIN(1,MAX(VLOOKUP(($AJ135-$AI135-$AH135-$AG135-$AF135-$AE135*(1+IA$3))/$AJ135,'Технический лист'!$A:$B,2,1),(HZ135-0.05)))</f>
        <v>1</v>
      </c>
      <c r="IB135" s="15">
        <f>MIN(1,MAX(VLOOKUP(($AJ135-$AI135-$AH135-$AG135-$AF135-$AE135*(1+IB$3))/$AJ135,'Технический лист'!$A:$B,2,1),(IA135-0.05)))</f>
        <v>1</v>
      </c>
      <c r="IC135" s="15">
        <f>MIN(1,MAX(VLOOKUP(($AJ135-$AI135-$AH135-$AG135-$AF135-$AE135*(1+IC$3))/$AJ135,'Технический лист'!$A:$B,2,1),(IB135-0.05)))</f>
        <v>1</v>
      </c>
      <c r="ID135" s="15">
        <f>MIN(1,MAX(VLOOKUP(($AJ135-$AI135-$AH135-$AG135-$AF135-$AE135*(1+ID$3))/$AJ135,'Технический лист'!$A:$B,2,1),(IC135-0.05)))</f>
        <v>1</v>
      </c>
      <c r="IE135" s="15">
        <f>MIN(1,MAX(VLOOKUP(($AJ135-$AI135-$AH135-$AG135-$AF135-$AE135*(1+IE$3))/$AJ135,'Технический лист'!$A:$B,2,1),(ID135-0.05)))</f>
        <v>1</v>
      </c>
      <c r="IF135" s="15">
        <f>MIN(1,MAX(VLOOKUP(($AJ135-$AI135-$AH135-$AG135-$AF135-$AE135*(1+IF$3))/$AJ135,'Технический лист'!$A:$B,2,1),(IE135-0.05)))</f>
        <v>1</v>
      </c>
      <c r="IG135" s="15">
        <f>MIN(1,MAX(VLOOKUP(($AJ135-$AI135-$AH135-$AG135-$AF135-$AE135*(1+IG$3))/$AJ135,'Технический лист'!$A:$B,2,1),(IF135-0.05)))</f>
        <v>1</v>
      </c>
      <c r="IH135" s="15">
        <f>MIN(1,MAX(VLOOKUP(($AJ135-$AI135-$AH135-$AG135-$AF135-$AE135*(1+IH$3))/$AJ135,'Технический лист'!$A:$B,2,1),(IG135-0.05)))</f>
        <v>1</v>
      </c>
      <c r="II135" s="15">
        <f>MIN(1,MAX(VLOOKUP(($AJ135-$AI135-$AH135-$AG135-$AF135-$AE135*(1+II$3))/$AJ135,'Технический лист'!$A:$B,2,1),(IH135-0.05)))</f>
        <v>1</v>
      </c>
      <c r="IJ135" s="15">
        <f>MIN(1,MAX(VLOOKUP(($AJ135-$AI135-$AH135-$AG135-$AF135-$AE135*(1+IJ$3))/$AJ135,'Технический лист'!$A:$B,2,1),(II135-0.05)))</f>
        <v>1</v>
      </c>
      <c r="IK135" s="15">
        <f>MIN(1,MAX(VLOOKUP(($AJ135-$AI135-$AH135-$AG135-$AF135-$AE135*(1+IK$3))/$AJ135,'Технический лист'!$A:$B,2,1),(IJ135-0.05)))</f>
        <v>1</v>
      </c>
      <c r="IL135" s="15">
        <f>MIN(1,MAX(VLOOKUP(($AJ135-$AI135-$AH135-$AG135-$AF135-$AE135*(1+IL$3))/$AJ135,'Технический лист'!$A:$B,2,1),(IK135-0.05)))</f>
        <v>1</v>
      </c>
      <c r="IM135" s="15">
        <f>MIN(1,MAX(VLOOKUP(($AJ135-$AI135-$AH135-$AG135-$AF135-$AE135*(1+IM$3))/$AJ135,'Технический лист'!$A:$B,2,1),(IL135-0.05)))</f>
        <v>1</v>
      </c>
      <c r="IN135" s="15">
        <f>MIN(1,MAX(VLOOKUP(($AJ135-$AI135-$AH135-$AG135-$AF135-$AE135*(1+IN$3))/$AJ135,'Технический лист'!$A:$B,2,1),(IM135-0.05)))</f>
        <v>1</v>
      </c>
      <c r="IO135" s="15">
        <f>MIN(1,MAX(VLOOKUP(($AJ135-$AI135-$AH135-$AG135-$AF135-$AE135*(1+IO$3))/$AJ135,'Технический лист'!$A:$B,2,1),(IN135-0.05)))</f>
        <v>1</v>
      </c>
      <c r="IP135" s="15">
        <f>MIN(1,MAX(VLOOKUP(($AJ135-$AI135-$AH135-$AG135-$AF135-$AE135*(1+IP$3))/$AJ135,'Технический лист'!$A:$B,2,1),(IO135-0.05)))</f>
        <v>1</v>
      </c>
      <c r="IQ135" s="15">
        <f>MIN(1,MAX(VLOOKUP(($AJ135-$AI135-$AH135-$AG135-$AF135-$AE135*(1+IQ$3))/$AJ135,'Технический лист'!$A:$B,2,1),(IP135-0.05)))</f>
        <v>1</v>
      </c>
      <c r="IR135" s="15">
        <f>MIN(1,MAX(VLOOKUP(($AJ135-$AI135-$AH135-$AG135-$AF135-$AE135*(1+IR$3))/$AJ135,'Технический лист'!$A:$B,2,1),(IQ135-0.05)))</f>
        <v>1</v>
      </c>
    </row>
    <row r="136" spans="1:252" ht="29.15">
      <c r="A136" s="89" t="s">
        <v>513</v>
      </c>
      <c r="B136" s="90">
        <v>10</v>
      </c>
      <c r="C136" s="5" t="s">
        <v>66</v>
      </c>
      <c r="D136" s="91">
        <v>33101</v>
      </c>
      <c r="E136" s="91" t="s">
        <v>325</v>
      </c>
      <c r="F136" s="92" t="s">
        <v>72</v>
      </c>
      <c r="G136" s="91" t="s">
        <v>30</v>
      </c>
      <c r="H136" s="91" t="s">
        <v>20</v>
      </c>
      <c r="I136" s="91" t="s">
        <v>90</v>
      </c>
      <c r="J136" s="91" t="s">
        <v>118</v>
      </c>
      <c r="K136" s="91">
        <v>5336</v>
      </c>
      <c r="L136" s="85" t="s">
        <v>64</v>
      </c>
      <c r="M136" s="91" t="s">
        <v>17</v>
      </c>
      <c r="N136" s="91" t="s">
        <v>191</v>
      </c>
      <c r="O136" s="91" t="s">
        <v>193</v>
      </c>
      <c r="P136" s="89" t="s">
        <v>215</v>
      </c>
      <c r="Q136" s="91" t="s">
        <v>310</v>
      </c>
      <c r="R136" s="91" t="s">
        <v>261</v>
      </c>
      <c r="S136" s="82">
        <v>66347</v>
      </c>
      <c r="T136" s="82">
        <v>354037990</v>
      </c>
      <c r="U136" s="81">
        <v>981</v>
      </c>
      <c r="V136" s="81">
        <v>0</v>
      </c>
      <c r="W136" s="82">
        <v>263571939</v>
      </c>
      <c r="X136" s="112">
        <v>66</v>
      </c>
      <c r="Y136" s="112" t="s">
        <v>416</v>
      </c>
      <c r="Z136" s="113">
        <v>16</v>
      </c>
      <c r="AA136" s="113">
        <v>12</v>
      </c>
      <c r="AB136" s="113">
        <v>4</v>
      </c>
      <c r="AC136" s="99">
        <v>4763.91</v>
      </c>
      <c r="AD136" s="99">
        <f t="shared" ref="AD136:AD137" si="59">AE136-AC136</f>
        <v>908.40999999999985</v>
      </c>
      <c r="AE136" s="99">
        <v>5672.32</v>
      </c>
      <c r="AF136" s="98">
        <f>(Z136+AA136+AB136)*'Ставки аренды'!$B$3/X136</f>
        <v>339.39393939393938</v>
      </c>
      <c r="AG136" s="94">
        <f>'Ставки перевалки'!B10*'Курсы валют'!B2</f>
        <v>763.05499999999995</v>
      </c>
      <c r="AH136" s="94">
        <v>0</v>
      </c>
      <c r="AI136" s="115">
        <f>12254/14812*AVERAGE(AJ134,AJ137)</f>
        <v>213196.79438107618</v>
      </c>
      <c r="AJ136" s="117">
        <f>Цены!C20*'Курсы валют'!B2</f>
        <v>235402.4675</v>
      </c>
      <c r="AK136" s="94">
        <f>AJ136/Цены!$B$1</f>
        <v>3085</v>
      </c>
      <c r="AL136" s="95">
        <f t="shared" si="54"/>
        <v>6774.768939393939</v>
      </c>
      <c r="AM136" s="95">
        <f t="shared" si="55"/>
        <v>228627.69856060605</v>
      </c>
      <c r="AN136" s="94">
        <f t="shared" si="52"/>
        <v>219971.56332047013</v>
      </c>
      <c r="AO136" s="118">
        <f t="shared" si="53"/>
        <v>6.5551157315417136E-2</v>
      </c>
      <c r="AP136" s="96">
        <f t="shared" si="56"/>
        <v>2.8779515403312157E-2</v>
      </c>
      <c r="AQ136" s="96">
        <f t="shared" si="57"/>
        <v>2.4096263986697588E-2</v>
      </c>
      <c r="AR136" s="96">
        <f t="shared" si="58"/>
        <v>0.83727135947273168</v>
      </c>
      <c r="AS136" s="122">
        <v>1</v>
      </c>
      <c r="AT136" s="121">
        <f t="shared" si="45"/>
        <v>66347</v>
      </c>
      <c r="AU136" s="83">
        <v>0.95</v>
      </c>
      <c r="AV136" s="119">
        <f t="shared" si="41"/>
        <v>6.2659605637013532E-2</v>
      </c>
      <c r="AW136" s="120">
        <f t="shared" si="42"/>
        <v>3.1671067081715867E-2</v>
      </c>
      <c r="AX136" s="120">
        <f t="shared" si="43"/>
        <v>2.6987815665101302E-2</v>
      </c>
      <c r="AY136" s="120">
        <f t="shared" si="44"/>
        <v>0.85212839830969034</v>
      </c>
      <c r="AZ136" s="15">
        <f>MIN(IF($AU136=100%,1,1+VLOOKUP(($AJ136-$AI136-$AH136-$AG136-$AF136-$AE136*(1+AZ$3))/$AJ136,'Технический лист'!$I:$J,2,1)-VLOOKUP($AO136,'Технический лист'!$I:$J,2,1)),1+(1-$AU136))</f>
        <v>1.0499999999999998</v>
      </c>
      <c r="BA136" s="15">
        <f>MIN(IF($AU136=100%,1,1+VLOOKUP(($AJ136-$AI136-$AH136-$AG136-$AF136-$AE136*(1+BA$3))/$AJ136,'Технический лист'!$I:$J,2,1)-VLOOKUP($AO136,'Технический лист'!$I:$J,2,1)),1+(1-$AU136))</f>
        <v>1.0499999999999998</v>
      </c>
      <c r="BB136" s="15">
        <f>MIN(IF($AU136=100%,1,1+VLOOKUP(($AJ136-$AI136-$AH136-$AG136-$AF136-$AE136*(1+BB$3))/$AJ136,'Технический лист'!$I:$J,2,1)-VLOOKUP($AO136,'Технический лист'!$I:$J,2,1)),1+(1-$AU136))</f>
        <v>1.0499999999999998</v>
      </c>
      <c r="BC136" s="15">
        <f>MIN(IF($AU136=100%,1,1+VLOOKUP(($AJ136-$AI136-$AH136-$AG136-$AF136-$AE136*(1+BC$3))/$AJ136,'Технический лист'!$I:$J,2,1)-VLOOKUP($AO136,'Технический лист'!$I:$J,2,1)),1+(1-$AU136))</f>
        <v>1.0499999999999998</v>
      </c>
      <c r="BD136" s="15">
        <f>MIN(IF($AU136=100%,1,1+VLOOKUP(($AJ136-$AI136-$AH136-$AG136-$AF136-$AE136*(1+BD$3))/$AJ136,'Технический лист'!$I:$J,2,1)-VLOOKUP($AO136,'Технический лист'!$I:$J,2,1)),1+(1-$AU136))</f>
        <v>1.0499999999999998</v>
      </c>
      <c r="BE136" s="15">
        <f>MIN(IF($AU136=100%,1,1+VLOOKUP(($AJ136-$AI136-$AH136-$AG136-$AF136-$AE136*(1+BE$3))/$AJ136,'Технический лист'!$I:$J,2,1)-VLOOKUP($AO136,'Технический лист'!$I:$J,2,1)),1+(1-$AU136))</f>
        <v>1.0499999999999998</v>
      </c>
      <c r="BF136" s="15">
        <f>MIN(IF($AU136=100%,1,1+VLOOKUP(($AJ136-$AI136-$AH136-$AG136-$AF136-$AE136*(1+BF$3))/$AJ136,'Технический лист'!$I:$J,2,1)-VLOOKUP($AO136,'Технический лист'!$I:$J,2,1)),1+(1-$AU136))</f>
        <v>1.0499999999999998</v>
      </c>
      <c r="BG136" s="15">
        <f>MIN(IF($AU136=100%,1,1+VLOOKUP(($AJ136-$AI136-$AH136-$AG136-$AF136-$AE136*(1+BG$3))/$AJ136,'Технический лист'!$I:$J,2,1)-VLOOKUP($AO136,'Технический лист'!$I:$J,2,1)),1+(1-$AU136))</f>
        <v>1.0499999999999998</v>
      </c>
      <c r="BH136" s="15">
        <f>MIN(IF($AU136=100%,1,1+VLOOKUP(($AJ136-$AI136-$AH136-$AG136-$AF136-$AE136*(1+BH$3))/$AJ136,'Технический лист'!$I:$J,2,1)-VLOOKUP($AO136,'Технический лист'!$I:$J,2,1)),1+(1-$AU136))</f>
        <v>1.0499999999999998</v>
      </c>
      <c r="BI136" s="15">
        <f>MIN(IF($AU136=100%,1,1+VLOOKUP(($AJ136-$AI136-$AH136-$AG136-$AF136-$AE136*(1+BI$3))/$AJ136,'Технический лист'!$I:$J,2,1)-VLOOKUP($AO136,'Технический лист'!$I:$J,2,1)),1+(1-$AU136))</f>
        <v>1.0499999999999998</v>
      </c>
      <c r="BJ136" s="15">
        <f>MIN(IF($AU136=100%,1,1+VLOOKUP(($AJ136-$AI136-$AH136-$AG136-$AF136-$AE136*(1+BJ$3))/$AJ136,'Технический лист'!$I:$J,2,1)-VLOOKUP($AO136,'Технический лист'!$I:$J,2,1)),1+(1-$AU136))</f>
        <v>1.0499999999999998</v>
      </c>
      <c r="BK136" s="15">
        <f>MIN(IF($AU136=100%,1,1+VLOOKUP(($AJ136-$AI136-$AH136-$AG136-$AF136-$AE136*(1+BK$3))/$AJ136,'Технический лист'!$I:$J,2,1)-VLOOKUP($AO136,'Технический лист'!$I:$J,2,1)),1+(1-$AU136))</f>
        <v>1.0499999999999998</v>
      </c>
      <c r="BL136" s="15">
        <f>MIN(IF($AU136=100%,1,1+VLOOKUP(($AJ136-$AI136-$AH136-$AG136-$AF136-$AE136*(1+BL$3))/$AJ136,'Технический лист'!$I:$J,2,1)-VLOOKUP($AO136,'Технический лист'!$I:$J,2,1)),1+(1-$AU136))</f>
        <v>1.0499999999999998</v>
      </c>
      <c r="BM136" s="15">
        <f>MIN(IF($AU136=100%,1,1+VLOOKUP(($AJ136-$AI136-$AH136-$AG136-$AF136-$AE136*(1+BM$3))/$AJ136,'Технический лист'!$I:$J,2,1)-VLOOKUP($AO136,'Технический лист'!$I:$J,2,1)),1+(1-$AU136))</f>
        <v>1.0499999999999998</v>
      </c>
      <c r="BN136" s="15">
        <f>MIN(IF($AU136=100%,1,1+VLOOKUP(($AJ136-$AI136-$AH136-$AG136-$AF136-$AE136*(1+BN$3))/$AJ136,'Технический лист'!$I:$J,2,1)-VLOOKUP($AO136,'Технический лист'!$I:$J,2,1)),1+(1-$AU136))</f>
        <v>1.0499999999999998</v>
      </c>
      <c r="BO136" s="15">
        <f>MIN(IF($AU136=100%,1,1+VLOOKUP(($AJ136-$AI136-$AH136-$AG136-$AF136-$AE136*(1+BO$3))/$AJ136,'Технический лист'!$I:$J,2,1)-VLOOKUP($AO136,'Технический лист'!$I:$J,2,1)),1+(1-$AU136))</f>
        <v>1.0499999999999998</v>
      </c>
      <c r="BP136" s="15">
        <f>MIN(IF($AU136=100%,1,1+VLOOKUP(($AJ136-$AI136-$AH136-$AG136-$AF136-$AE136*(1+BP$3))/$AJ136,'Технический лист'!$I:$J,2,1)-VLOOKUP($AO136,'Технический лист'!$I:$J,2,1)),1+(1-$AU136))</f>
        <v>1.0499999999999998</v>
      </c>
      <c r="BQ136" s="15">
        <f>MIN(IF($AU136=100%,1,1+VLOOKUP(($AJ136-$AI136-$AH136-$AG136-$AF136-$AE136*(1+BQ$3))/$AJ136,'Технический лист'!$I:$J,2,1)-VLOOKUP($AO136,'Технический лист'!$I:$J,2,1)),1+(1-$AU136))</f>
        <v>1.0499999999999998</v>
      </c>
      <c r="BR136" s="15">
        <f>MIN(IF($AU136=100%,1,1+VLOOKUP(($AJ136-$AI136-$AH136-$AG136-$AF136-$AE136*(1+BR$3))/$AJ136,'Технический лист'!$I:$J,2,1)-VLOOKUP($AO136,'Технический лист'!$I:$J,2,1)),1+(1-$AU136))</f>
        <v>1.0499999999999998</v>
      </c>
      <c r="BS136" s="15">
        <f>MIN(IF($AU136=100%,1,1+VLOOKUP(($AJ136-$AI136-$AH136-$AG136-$AF136-$AE136*(1+BS$3))/$AJ136,'Технический лист'!$I:$J,2,1)-VLOOKUP($AO136,'Технический лист'!$I:$J,2,1)),1+(1-$AU136))</f>
        <v>1.0499999999999998</v>
      </c>
      <c r="BT136" s="15">
        <f>MIN(IF($AU136=100%,1,1+VLOOKUP(($AJ136-$AI136-$AH136-$AG136-$AF136-$AE136*(1+BT$3))/$AJ136,'Технический лист'!$I:$J,2,1)-VLOOKUP($AO136,'Технический лист'!$I:$J,2,1)),1+(1-$AU136))</f>
        <v>1.0499999999999998</v>
      </c>
      <c r="BU136" s="15">
        <f>MIN(IF($AU136=100%,1,1+VLOOKUP(($AJ136-$AI136-$AH136-$AG136-$AF136-$AE136*(1+BU$3))/$AJ136,'Технический лист'!$I:$J,2,1)-VLOOKUP($AO136,'Технический лист'!$I:$J,2,1)),1+(1-$AU136))</f>
        <v>1.0499999999999998</v>
      </c>
      <c r="BV136" s="15">
        <f>MIN(IF($AU136=100%,1,1+VLOOKUP(($AJ136-$AI136-$AH136-$AG136-$AF136-$AE136*(1+BV$3))/$AJ136,'Технический лист'!$I:$J,2,1)-VLOOKUP($AO136,'Технический лист'!$I:$J,2,1)),1+(1-$AU136))</f>
        <v>1.0249999999999999</v>
      </c>
      <c r="BW136" s="15">
        <f>MIN(IF($AU136=100%,1,1+VLOOKUP(($AJ136-$AI136-$AH136-$AG136-$AF136-$AE136*(1+BW$3))/$AJ136,'Технический лист'!$I:$J,2,1)-VLOOKUP($AO136,'Технический лист'!$I:$J,2,1)),1+(1-$AU136))</f>
        <v>1.0249999999999999</v>
      </c>
      <c r="BX136" s="15">
        <f>MIN(IF($AU136=100%,1,1+VLOOKUP(($AJ136-$AI136-$AH136-$AG136-$AF136-$AE136*(1+BX$3))/$AJ136,'Технический лист'!$I:$J,2,1)-VLOOKUP($AO136,'Технический лист'!$I:$J,2,1)),1+(1-$AU136))</f>
        <v>1.0249999999999999</v>
      </c>
      <c r="BY136" s="15">
        <f>MIN(IF($AU136=100%,1,1+VLOOKUP(($AJ136-$AI136-$AH136-$AG136-$AF136-$AE136*(1+BY$3))/$AJ136,'Технический лист'!$I:$J,2,1)-VLOOKUP($AO136,'Технический лист'!$I:$J,2,1)),1+(1-$AU136))</f>
        <v>1.0249999999999999</v>
      </c>
      <c r="BZ136" s="15">
        <f>MIN(IF($AU136=100%,1,1+VLOOKUP(($AJ136-$AI136-$AH136-$AG136-$AF136-$AE136*(1+BZ$3))/$AJ136,'Технический лист'!$I:$J,2,1)-VLOOKUP($AO136,'Технический лист'!$I:$J,2,1)),1+(1-$AU136))</f>
        <v>1.0249999999999999</v>
      </c>
      <c r="CA136" s="15">
        <f>MIN(IF($AU136=100%,1,1+VLOOKUP(($AJ136-$AI136-$AH136-$AG136-$AF136-$AE136*(1+CA$3))/$AJ136,'Технический лист'!$I:$J,2,1)-VLOOKUP($AO136,'Технический лист'!$I:$J,2,1)),1+(1-$AU136))</f>
        <v>1.0249999999999999</v>
      </c>
      <c r="CB136" s="15">
        <f>MIN(IF($AU136=100%,1,1+VLOOKUP(($AJ136-$AI136-$AH136-$AG136-$AF136-$AE136*(1+CB$3))/$AJ136,'Технический лист'!$I:$J,2,1)-VLOOKUP($AO136,'Технический лист'!$I:$J,2,1)),1+(1-$AU136))</f>
        <v>1.0249999999999999</v>
      </c>
      <c r="CC136" s="15">
        <f>MIN(IF($AU136=100%,1,1+VLOOKUP(($AJ136-$AI136-$AH136-$AG136-$AF136-$AE136*(1+CC$3))/$AJ136,'Технический лист'!$I:$J,2,1)-VLOOKUP($AO136,'Технический лист'!$I:$J,2,1)),1+(1-$AU136))</f>
        <v>1.0249999999999999</v>
      </c>
      <c r="CD136" s="15">
        <f>MIN(IF($AU136=100%,1,1+VLOOKUP(($AJ136-$AI136-$AH136-$AG136-$AF136-$AE136*(1+CD$3))/$AJ136,'Технический лист'!$I:$J,2,1)-VLOOKUP($AO136,'Технический лист'!$I:$J,2,1)),1+(1-$AU136))</f>
        <v>1.0249999999999999</v>
      </c>
      <c r="CE136" s="15">
        <f>MIN(IF($AU136=100%,1,1+VLOOKUP(($AJ136-$AI136-$AH136-$AG136-$AF136-$AE136*(1+CE$3))/$AJ136,'Технический лист'!$I:$J,2,1)-VLOOKUP($AO136,'Технический лист'!$I:$J,2,1)),1+(1-$AU136))</f>
        <v>1.0249999999999999</v>
      </c>
      <c r="CF136" s="15">
        <f>MIN(IF($AU136=100%,1,1+VLOOKUP(($AJ136-$AI136-$AH136-$AG136-$AF136-$AE136*(1+CF$3))/$AJ136,'Технический лист'!$I:$J,2,1)-VLOOKUP($AO136,'Технический лист'!$I:$J,2,1)),1+(1-$AU136))</f>
        <v>1.0249999999999999</v>
      </c>
      <c r="CG136" s="15">
        <f>MIN(IF($AU136=100%,1,1+VLOOKUP(($AJ136-$AI136-$AH136-$AG136-$AF136-$AE136*(1+CG$3))/$AJ136,'Технический лист'!$I:$J,2,1)-VLOOKUP($AO136,'Технический лист'!$I:$J,2,1)),1+(1-$AU136))</f>
        <v>1.0249999999999999</v>
      </c>
      <c r="CH136" s="15">
        <f>MIN(IF($AU136=100%,1,1+VLOOKUP(($AJ136-$AI136-$AH136-$AG136-$AF136-$AE136*(1+CH$3))/$AJ136,'Технический лист'!$I:$J,2,1)-VLOOKUP($AO136,'Технический лист'!$I:$J,2,1)),1+(1-$AU136))</f>
        <v>1.0249999999999999</v>
      </c>
      <c r="CI136" s="15">
        <f>MIN(IF($AU136=100%,1,1+VLOOKUP(($AJ136-$AI136-$AH136-$AG136-$AF136-$AE136*(1+CI$3))/$AJ136,'Технический лист'!$I:$J,2,1)-VLOOKUP($AO136,'Технический лист'!$I:$J,2,1)),1+(1-$AU136))</f>
        <v>1.0249999999999999</v>
      </c>
      <c r="CJ136" s="15">
        <f>MIN(IF($AU136=100%,1,1+VLOOKUP(($AJ136-$AI136-$AH136-$AG136-$AF136-$AE136*(1+CJ$3))/$AJ136,'Технический лист'!$I:$J,2,1)-VLOOKUP($AO136,'Технический лист'!$I:$J,2,1)),1+(1-$AU136))</f>
        <v>1.0249999999999999</v>
      </c>
      <c r="CK136" s="15">
        <f>MIN(IF($AU136=100%,1,1+VLOOKUP(($AJ136-$AI136-$AH136-$AG136-$AF136-$AE136*(1+CK$3))/$AJ136,'Технический лист'!$I:$J,2,1)-VLOOKUP($AO136,'Технический лист'!$I:$J,2,1)),1+(1-$AU136))</f>
        <v>1.0249999999999999</v>
      </c>
      <c r="CL136" s="15">
        <f>MIN(IF($AU136=100%,1,1+VLOOKUP(($AJ136-$AI136-$AH136-$AG136-$AF136-$AE136*(1+CL$3))/$AJ136,'Технический лист'!$I:$J,2,1)-VLOOKUP($AO136,'Технический лист'!$I:$J,2,1)),1+(1-$AU136))</f>
        <v>1.0249999999999999</v>
      </c>
      <c r="CM136" s="15">
        <f>MIN(IF($AU136=100%,1,1+VLOOKUP(($AJ136-$AI136-$AH136-$AG136-$AF136-$AE136*(1+CM$3))/$AJ136,'Технический лист'!$I:$J,2,1)-VLOOKUP($AO136,'Технический лист'!$I:$J,2,1)),1+(1-$AU136))</f>
        <v>1.0249999999999999</v>
      </c>
      <c r="CN136" s="15">
        <f>MIN(IF($AU136=100%,1,1+VLOOKUP(($AJ136-$AI136-$AH136-$AG136-$AF136-$AE136*(1+CN$3))/$AJ136,'Технический лист'!$I:$J,2,1)-VLOOKUP($AO136,'Технический лист'!$I:$J,2,1)),1+(1-$AU136))</f>
        <v>1.0249999999999999</v>
      </c>
      <c r="CO136" s="15">
        <f>MIN(IF($AU136=100%,1,1+VLOOKUP(($AJ136-$AI136-$AH136-$AG136-$AF136-$AE136*(1+CO$3))/$AJ136,'Технический лист'!$I:$J,2,1)-VLOOKUP($AO136,'Технический лист'!$I:$J,2,1)),1+(1-$AU136))</f>
        <v>1.0249999999999999</v>
      </c>
      <c r="CP136" s="15">
        <f>MIN(IF($AU136=100%,1,1+VLOOKUP(($AJ136-$AI136-$AH136-$AG136-$AF136-$AE136*(1+CP$3))/$AJ136,'Технический лист'!$I:$J,2,1)-VLOOKUP($AO136,'Технический лист'!$I:$J,2,1)),1+(1-$AU136))</f>
        <v>1.0249999999999999</v>
      </c>
      <c r="CQ136" s="15">
        <f>MIN(IF($AU136=100%,1,1+VLOOKUP(($AJ136-$AI136-$AH136-$AG136-$AF136-$AE136*(1+CQ$3))/$AJ136,'Технический лист'!$I:$J,2,1)-VLOOKUP($AO136,'Технический лист'!$I:$J,2,1)),1+(1-$AU136))</f>
        <v>1.0249999999999999</v>
      </c>
      <c r="CR136" s="15">
        <f>MIN(IF($AU136=100%,1,1+VLOOKUP(($AJ136-$AI136-$AH136-$AG136-$AF136-$AE136*(1+CR$3))/$AJ136,'Технический лист'!$I:$J,2,1)-VLOOKUP($AO136,'Технический лист'!$I:$J,2,1)),1+(1-$AU136))</f>
        <v>1.0249999999999999</v>
      </c>
      <c r="CS136" s="15">
        <f>MIN(IF($AU136=100%,1,1+VLOOKUP(($AJ136-$AI136-$AH136-$AG136-$AF136-$AE136*(1+CS$3))/$AJ136,'Технический лист'!$I:$J,2,1)-VLOOKUP($AO136,'Технический лист'!$I:$J,2,1)),1+(1-$AU136))</f>
        <v>1.0249999999999999</v>
      </c>
      <c r="CT136" s="15">
        <f>MIN(IF($AU136=100%,1,1+VLOOKUP(($AJ136-$AI136-$AH136-$AG136-$AF136-$AE136*(1+CT$3))/$AJ136,'Технический лист'!$I:$J,2,1)-VLOOKUP($AO136,'Технический лист'!$I:$J,2,1)),1+(1-$AU136))</f>
        <v>1.0249999999999999</v>
      </c>
      <c r="CU136" s="15">
        <f>MIN(IF($AU136=100%,1,1+VLOOKUP(($AJ136-$AI136-$AH136-$AG136-$AF136-$AE136*(1+CU$3))/$AJ136,'Технический лист'!$I:$J,2,1)-VLOOKUP($AO136,'Технический лист'!$I:$J,2,1)),1+(1-$AU136))</f>
        <v>1.0249999999999999</v>
      </c>
      <c r="CV136" s="15">
        <f>MIN(IF($AU136=100%,1,1+VLOOKUP(($AJ136-$AI136-$AH136-$AG136-$AF136-$AE136*(1+CV$3))/$AJ136,'Технический лист'!$I:$J,2,1)-VLOOKUP($AO136,'Технический лист'!$I:$J,2,1)),1+(1-$AU136))</f>
        <v>1.0249999999999999</v>
      </c>
      <c r="CW136" s="15">
        <f>MIN(IF($AU136=100%,1,1+VLOOKUP(($AJ136-$AI136-$AH136-$AG136-$AF136-$AE136*(1+CW$3))/$AJ136,'Технический лист'!$I:$J,2,1)-VLOOKUP($AO136,'Технический лист'!$I:$J,2,1)),1+(1-$AU136))</f>
        <v>1.0249999999999999</v>
      </c>
      <c r="CX136" s="15">
        <f>MIN(IF($AU136=100%,1,1+VLOOKUP(($AJ136-$AI136-$AH136-$AG136-$AF136-$AE136*(1+CX$3))/$AJ136,'Технический лист'!$I:$J,2,1)-VLOOKUP($AO136,'Технический лист'!$I:$J,2,1)),1+(1-$AU136))</f>
        <v>1.0249999999999999</v>
      </c>
      <c r="CY136" s="15">
        <f>MIN(IF($AU136=100%,1,1+VLOOKUP(($AJ136-$AI136-$AH136-$AG136-$AF136-$AE136*(1+CY$3))/$AJ136,'Технический лист'!$I:$J,2,1)-VLOOKUP($AO136,'Технический лист'!$I:$J,2,1)),1+(1-$AU136))</f>
        <v>1.0249999999999999</v>
      </c>
      <c r="CZ136" s="15">
        <f>MIN(IF($AU136=100%,1,1+VLOOKUP(($AJ136-$AI136-$AH136-$AG136-$AF136-$AE136*(1+CZ$3))/$AJ136,'Технический лист'!$I:$J,2,1)-VLOOKUP($AO136,'Технический лист'!$I:$J,2,1)),1+(1-$AU136))</f>
        <v>1.0249999999999999</v>
      </c>
      <c r="DA136" s="15">
        <f>MIN(IF($AU136=100%,1,1+VLOOKUP(($AJ136-$AI136-$AH136-$AG136-$AF136-$AE136*(1+DA$3))/$AJ136,'Технический лист'!$I:$J,2,1)-VLOOKUP($AO136,'Технический лист'!$I:$J,2,1)),1+(1-$AU136))</f>
        <v>1.0249999999999999</v>
      </c>
      <c r="DB136" s="15">
        <f>MIN(IF($AU136=100%,1,1+VLOOKUP(($AJ136-$AI136-$AH136-$AG136-$AF136-$AE136*(1+DB$3))/$AJ136,'Технический лист'!$I:$J,2,1)-VLOOKUP($AO136,'Технический лист'!$I:$J,2,1)),1+(1-$AU136))</f>
        <v>1.0249999999999999</v>
      </c>
      <c r="DC136" s="15">
        <f>MIN(IF($AU136=100%,1,1+VLOOKUP(($AJ136-$AI136-$AH136-$AG136-$AF136-$AE136*(1+DC$3))/$AJ136,'Технический лист'!$I:$J,2,1)-VLOOKUP($AO136,'Технический лист'!$I:$J,2,1)),1+(1-$AU136))</f>
        <v>1.0249999999999999</v>
      </c>
      <c r="DD136" s="15">
        <f>MIN(IF($AU136=100%,1,1+VLOOKUP(($AJ136-$AI136-$AH136-$AG136-$AF136-$AE136*(1+DD$3))/$AJ136,'Технический лист'!$I:$J,2,1)-VLOOKUP($AO136,'Технический лист'!$I:$J,2,1)),1+(1-$AU136))</f>
        <v>1.0249999999999999</v>
      </c>
      <c r="DE136" s="15">
        <f>MIN(IF($AU136=100%,1,1+VLOOKUP(($AJ136-$AI136-$AH136-$AG136-$AF136-$AE136*(1+DE$3))/$AJ136,'Технический лист'!$I:$J,2,1)-VLOOKUP($AO136,'Технический лист'!$I:$J,2,1)),1+(1-$AU136))</f>
        <v>1.0249999999999999</v>
      </c>
      <c r="DF136" s="15">
        <f>MIN(IF($AU136=100%,1,1+VLOOKUP(($AJ136-$AI136-$AH136-$AG136-$AF136-$AE136*(1+DF$3))/$AJ136,'Технический лист'!$I:$J,2,1)-VLOOKUP($AO136,'Технический лист'!$I:$J,2,1)),1+(1-$AU136))</f>
        <v>1.0249999999999999</v>
      </c>
      <c r="DG136" s="15">
        <f>MIN(IF($AU136=100%,1,1+VLOOKUP(($AJ136-$AI136-$AH136-$AG136-$AF136-$AE136*(1+DG$3))/$AJ136,'Технический лист'!$I:$J,2,1)-VLOOKUP($AO136,'Технический лист'!$I:$J,2,1)),1+(1-$AU136))</f>
        <v>1.0249999999999999</v>
      </c>
      <c r="DH136" s="15">
        <f>MIN(IF($AU136=100%,1,1+VLOOKUP(($AJ136-$AI136-$AH136-$AG136-$AF136-$AE136*(1+DH$3))/$AJ136,'Технический лист'!$I:$J,2,1)-VLOOKUP($AO136,'Технический лист'!$I:$J,2,1)),1+(1-$AU136))</f>
        <v>1.0249999999999999</v>
      </c>
      <c r="DI136" s="15">
        <f>MIN(IF($AU136=100%,1,1+VLOOKUP(($AJ136-$AI136-$AH136-$AG136-$AF136-$AE136*(1+DI$3))/$AJ136,'Технический лист'!$I:$J,2,1)-VLOOKUP($AO136,'Технический лист'!$I:$J,2,1)),1+(1-$AU136))</f>
        <v>1.0249999999999999</v>
      </c>
      <c r="DJ136" s="15">
        <f>MIN(IF($AU136=100%,1,1+VLOOKUP(($AJ136-$AI136-$AH136-$AG136-$AF136-$AE136*(1+DJ$3))/$AJ136,'Технический лист'!$I:$J,2,1)-VLOOKUP($AO136,'Технический лист'!$I:$J,2,1)),1+(1-$AU136))</f>
        <v>1.0249999999999999</v>
      </c>
      <c r="DK136" s="15">
        <f>MIN(IF($AU136=100%,1,1+VLOOKUP(($AJ136-$AI136-$AH136-$AG136-$AF136-$AE136*(1+DK$3))/$AJ136,'Технический лист'!$I:$J,2,1)-VLOOKUP($AO136,'Технический лист'!$I:$J,2,1)),1+(1-$AU136))</f>
        <v>1.0249999999999999</v>
      </c>
      <c r="DL136" s="15">
        <f>MIN(IF($AU136=100%,1,1+VLOOKUP(($AJ136-$AI136-$AH136-$AG136-$AF136-$AE136*(1+DL$3))/$AJ136,'Технический лист'!$I:$J,2,1)-VLOOKUP($AO136,'Технический лист'!$I:$J,2,1)),1+(1-$AU136))</f>
        <v>1</v>
      </c>
      <c r="DM136" s="15">
        <f>MIN(IF($AU136=100%,1,1+VLOOKUP(($AJ136-$AI136-$AH136-$AG136-$AF136-$AE136*(1+DM$3))/$AJ136,'Технический лист'!$I:$J,2,1)-VLOOKUP($AO136,'Технический лист'!$I:$J,2,1)),1+(1-$AU136))</f>
        <v>1</v>
      </c>
      <c r="DN136" s="15">
        <f>MIN(IF($AU136=100%,1,1+VLOOKUP(($AJ136-$AI136-$AH136-$AG136-$AF136-$AE136*(1+DN$3))/$AJ136,'Технический лист'!$I:$J,2,1)-VLOOKUP($AO136,'Технический лист'!$I:$J,2,1)),1+(1-$AU136))</f>
        <v>1</v>
      </c>
      <c r="DO136" s="15">
        <f>MIN(IF($AU136=100%,1,1+VLOOKUP(($AJ136-$AI136-$AH136-$AG136-$AF136-$AE136*(1+DO$3))/$AJ136,'Технический лист'!$I:$J,2,1)-VLOOKUP($AO136,'Технический лист'!$I:$J,2,1)),1+(1-$AU136))</f>
        <v>1</v>
      </c>
      <c r="DP136" s="15">
        <f>MIN(IF($AU136=100%,1,1+VLOOKUP(($AJ136-$AI136-$AH136-$AG136-$AF136-$AE136*(1+DP$3))/$AJ136,'Технический лист'!$I:$J,2,1)-VLOOKUP($AO136,'Технический лист'!$I:$J,2,1)),1+(1-$AU136))</f>
        <v>1</v>
      </c>
      <c r="DQ136" s="15">
        <f>MIN(IF($AU136=100%,1,1+VLOOKUP(($AJ136-$AI136-$AH136-$AG136-$AF136-$AE136*(1+DQ$3))/$AJ136,'Технический лист'!$I:$J,2,1)-VLOOKUP($AO136,'Технический лист'!$I:$J,2,1)),1+(1-$AU136))</f>
        <v>1</v>
      </c>
      <c r="DR136" s="15">
        <f>MIN(IF($AU136=100%,1,1+VLOOKUP(($AJ136-$AI136-$AH136-$AG136-$AF136-$AE136*(1+DR$3))/$AJ136,'Технический лист'!$I:$J,2,1)-VLOOKUP($AO136,'Технический лист'!$I:$J,2,1)),1+(1-$AU136))</f>
        <v>1</v>
      </c>
      <c r="DS136" s="15">
        <f>MIN(IF($AU136=100%,1,1+VLOOKUP(($AJ136-$AI136-$AH136-$AG136-$AF136-$AE136*(1+DS$3))/$AJ136,'Технический лист'!$I:$J,2,1)-VLOOKUP($AO136,'Технический лист'!$I:$J,2,1)),1+(1-$AU136))</f>
        <v>1</v>
      </c>
      <c r="DT136" s="15">
        <f>MIN(IF($AU136=100%,1,1+VLOOKUP(($AJ136-$AI136-$AH136-$AG136-$AF136-$AE136*(1+DT$3))/$AJ136,'Технический лист'!$I:$J,2,1)-VLOOKUP($AO136,'Технический лист'!$I:$J,2,1)),1+(1-$AU136))</f>
        <v>1</v>
      </c>
      <c r="DU136" s="15">
        <f>MIN(IF($AU136=100%,1,1+VLOOKUP(($AJ136-$AI136-$AH136-$AG136-$AF136-$AE136*(1+DU$3))/$AJ136,'Технический лист'!$I:$J,2,1)-VLOOKUP($AO136,'Технический лист'!$I:$J,2,1)),1+(1-$AU136))</f>
        <v>1</v>
      </c>
      <c r="DV136" s="15">
        <f>MIN(IF($AU136=100%,1,1+VLOOKUP(($AJ136-$AI136-$AH136-$AG136-$AF136-$AE136*(1+DV$3))/$AJ136,'Технический лист'!$I:$J,2,1)-VLOOKUP($AO136,'Технический лист'!$I:$J,2,1)),1+(1-$AU136))</f>
        <v>1</v>
      </c>
      <c r="DW136" s="15">
        <f>MIN(IF($AU136=100%,1,1+VLOOKUP(($AJ136-$AI136-$AH136-$AG136-$AF136-$AE136*(1+DW$3))/$AJ136,'Технический лист'!$I:$J,2,1)-VLOOKUP($AO136,'Технический лист'!$I:$J,2,1)),1+(1-$AU136))</f>
        <v>1</v>
      </c>
      <c r="DX136" s="15">
        <f>MIN(IF($AU136=100%,1,1+VLOOKUP(($AJ136-$AI136-$AH136-$AG136-$AF136-$AE136*(1+DX$3))/$AJ136,'Технический лист'!$I:$J,2,1)-VLOOKUP($AO136,'Технический лист'!$I:$J,2,1)),1+(1-$AU136))</f>
        <v>1</v>
      </c>
      <c r="DY136" s="15">
        <f>MIN(IF($AU136=100%,1,1+VLOOKUP(($AJ136-$AI136-$AH136-$AG136-$AF136-$AE136*(1+DY$3))/$AJ136,'Технический лист'!$I:$J,2,1)-VLOOKUP($AO136,'Технический лист'!$I:$J,2,1)),1+(1-$AU136))</f>
        <v>1</v>
      </c>
      <c r="DZ136" s="15">
        <f>MIN(IF($AU136=100%,1,1+VLOOKUP(($AJ136-$AI136-$AH136-$AG136-$AF136-$AE136*(1+DZ$3))/$AJ136,'Технический лист'!$I:$J,2,1)-VLOOKUP($AO136,'Технический лист'!$I:$J,2,1)),1+(1-$AU136))</f>
        <v>1</v>
      </c>
      <c r="EA136" s="15">
        <f>MIN(IF($AU136=100%,1,1+VLOOKUP(($AJ136-$AI136-$AH136-$AG136-$AF136-$AE136*(1+EA$3))/$AJ136,'Технический лист'!$I:$J,2,1)-VLOOKUP($AO136,'Технический лист'!$I:$J,2,1)),1+(1-$AU136))</f>
        <v>1</v>
      </c>
      <c r="EB136" s="15">
        <f>MIN(IF($AU136=100%,1,1+VLOOKUP(($AJ136-$AI136-$AH136-$AG136-$AF136-$AE136*(1+EB$3))/$AJ136,'Технический лист'!$I:$J,2,1)-VLOOKUP($AO136,'Технический лист'!$I:$J,2,1)),1+(1-$AU136))</f>
        <v>1</v>
      </c>
      <c r="EC136" s="15">
        <f>MIN(IF($AU136=100%,1,1+VLOOKUP(($AJ136-$AI136-$AH136-$AG136-$AF136-$AE136*(1+EC$3))/$AJ136,'Технический лист'!$I:$J,2,1)-VLOOKUP($AO136,'Технический лист'!$I:$J,2,1)),1+(1-$AU136))</f>
        <v>1</v>
      </c>
      <c r="ED136" s="15">
        <f>MIN(IF($AU136=100%,1,1+VLOOKUP(($AJ136-$AI136-$AH136-$AG136-$AF136-$AE136*(1+ED$3))/$AJ136,'Технический лист'!$I:$J,2,1)-VLOOKUP($AO136,'Технический лист'!$I:$J,2,1)),1+(1-$AU136))</f>
        <v>1</v>
      </c>
      <c r="EE136" s="15">
        <f>MIN(IF($AU136=100%,1,1+VLOOKUP(($AJ136-$AI136-$AH136-$AG136-$AF136-$AE136*(1+EE$3))/$AJ136,'Технический лист'!$I:$J,2,1)-VLOOKUP($AO136,'Технический лист'!$I:$J,2,1)),1+(1-$AU136))</f>
        <v>1</v>
      </c>
      <c r="EF136" s="15">
        <f>MIN(IF($AU136=100%,1,1+VLOOKUP(($AJ136-$AI136-$AH136-$AG136-$AF136-$AE136*(1+EF$3))/$AJ136,'Технический лист'!$I:$J,2,1)-VLOOKUP($AO136,'Технический лист'!$I:$J,2,1)),1+(1-$AU136))</f>
        <v>1</v>
      </c>
      <c r="EG136" s="15">
        <f>MIN(IF($AU136=100%,1,1+VLOOKUP(($AJ136-$AI136-$AH136-$AG136-$AF136-$AE136*(1+EG$3))/$AJ136,'Технический лист'!$I:$J,2,1)-VLOOKUP($AO136,'Технический лист'!$I:$J,2,1)),1+(1-$AU136))</f>
        <v>1</v>
      </c>
      <c r="EH136" s="15">
        <f>MIN(IF($AU136=100%,1,1+VLOOKUP(($AJ136-$AI136-$AH136-$AG136-$AF136-$AE136*(1+EH$3))/$AJ136,'Технический лист'!$I:$J,2,1)-VLOOKUP($AO136,'Технический лист'!$I:$J,2,1)),1+(1-$AU136))</f>
        <v>1</v>
      </c>
      <c r="EI136" s="15">
        <f>MIN(IF($AU136=100%,1,1+VLOOKUP(($AJ136-$AI136-$AH136-$AG136-$AF136-$AE136*(1+EI$3))/$AJ136,'Технический лист'!$I:$J,2,1)-VLOOKUP($AO136,'Технический лист'!$I:$J,2,1)),1+(1-$AU136))</f>
        <v>1</v>
      </c>
      <c r="EJ136" s="15">
        <f>MIN(IF($AU136=100%,1,1+VLOOKUP(($AJ136-$AI136-$AH136-$AG136-$AF136-$AE136*(1+EJ$3))/$AJ136,'Технический лист'!$I:$J,2,1)-VLOOKUP($AO136,'Технический лист'!$I:$J,2,1)),1+(1-$AU136))</f>
        <v>1</v>
      </c>
      <c r="EK136" s="15">
        <f>MIN(IF($AU136=100%,1,1+VLOOKUP(($AJ136-$AI136-$AH136-$AG136-$AF136-$AE136*(1+EK$3))/$AJ136,'Технический лист'!$I:$J,2,1)-VLOOKUP($AO136,'Технический лист'!$I:$J,2,1)),1+(1-$AU136))</f>
        <v>1</v>
      </c>
      <c r="EL136" s="15">
        <f>MIN(IF($AU136=100%,1,1+VLOOKUP(($AJ136-$AI136-$AH136-$AG136-$AF136-$AE136*(1+EL$3))/$AJ136,'Технический лист'!$I:$J,2,1)-VLOOKUP($AO136,'Технический лист'!$I:$J,2,1)),1+(1-$AU136))</f>
        <v>1</v>
      </c>
      <c r="EM136" s="15">
        <f>MIN(IF($AU136=100%,1,1+VLOOKUP(($AJ136-$AI136-$AH136-$AG136-$AF136-$AE136*(1+EM$3))/$AJ136,'Технический лист'!$I:$J,2,1)-VLOOKUP($AO136,'Технический лист'!$I:$J,2,1)),1+(1-$AU136))</f>
        <v>1</v>
      </c>
      <c r="EN136" s="15">
        <f>MIN(IF($AU136=100%,1,1+VLOOKUP(($AJ136-$AI136-$AH136-$AG136-$AF136-$AE136*(1+EN$3))/$AJ136,'Технический лист'!$I:$J,2,1)-VLOOKUP($AO136,'Технический лист'!$I:$J,2,1)),1+(1-$AU136))</f>
        <v>1</v>
      </c>
      <c r="EO136" s="15">
        <f>MIN(IF($AU136=100%,1,1+VLOOKUP(($AJ136-$AI136-$AH136-$AG136-$AF136-$AE136*(1+EO$3))/$AJ136,'Технический лист'!$I:$J,2,1)-VLOOKUP($AO136,'Технический лист'!$I:$J,2,1)),1+(1-$AU136))</f>
        <v>1</v>
      </c>
      <c r="EP136" s="15">
        <f>MIN(IF($AU136=100%,1,1+VLOOKUP(($AJ136-$AI136-$AH136-$AG136-$AF136-$AE136*(1+EP$3))/$AJ136,'Технический лист'!$I:$J,2,1)-VLOOKUP($AO136,'Технический лист'!$I:$J,2,1)),1+(1-$AU136))</f>
        <v>1</v>
      </c>
      <c r="EQ136" s="15">
        <f>MIN(IF($AU136=100%,1,1+VLOOKUP(($AJ136-$AI136-$AH136-$AG136-$AF136-$AE136*(1+EQ$3))/$AJ136,'Технический лист'!$I:$J,2,1)-VLOOKUP($AO136,'Технический лист'!$I:$J,2,1)),1+(1-$AU136))</f>
        <v>1</v>
      </c>
      <c r="ER136" s="15">
        <f>MIN(IF($AU136=100%,1,1+VLOOKUP(($AJ136-$AI136-$AH136-$AG136-$AF136-$AE136*(1+ER$3))/$AJ136,'Технический лист'!$I:$J,2,1)-VLOOKUP($AO136,'Технический лист'!$I:$J,2,1)),1+(1-$AU136))</f>
        <v>1</v>
      </c>
      <c r="ES136" s="15">
        <f>MIN(IF($AU136=100%,1,1+VLOOKUP(($AJ136-$AI136-$AH136-$AG136-$AF136-$AE136*(1+ES$3))/$AJ136,'Технический лист'!$I:$J,2,1)-VLOOKUP($AO136,'Технический лист'!$I:$J,2,1)),1+(1-$AU136))</f>
        <v>1</v>
      </c>
      <c r="ET136" s="15">
        <f>MIN(IF($AU136=100%,1,1+VLOOKUP(($AJ136-$AI136-$AH136-$AG136-$AF136-$AE136*(1+ET$3))/$AJ136,'Технический лист'!$I:$J,2,1)-VLOOKUP($AO136,'Технический лист'!$I:$J,2,1)),1+(1-$AU136))</f>
        <v>1</v>
      </c>
      <c r="EU136" s="15">
        <f>MIN(IF($AU136=100%,1,1+VLOOKUP(($AJ136-$AI136-$AH136-$AG136-$AF136-$AE136*(1+EU$3))/$AJ136,'Технический лист'!$I:$J,2,1)-VLOOKUP($AO136,'Технический лист'!$I:$J,2,1)),1+(1-$AU136))</f>
        <v>1</v>
      </c>
      <c r="EV136" s="111">
        <v>1</v>
      </c>
      <c r="EW136" s="15">
        <f>MIN(1,MAX(VLOOKUP(($AJ136-$AI136-$AH136-$AG136-$AF136-$AE136*(1+EW$3))/$AJ136,'Технический лист'!$A:$B,2,1),(EV136-0.05)))</f>
        <v>1</v>
      </c>
      <c r="EX136" s="15">
        <f>MIN(1,MAX(VLOOKUP(($AJ136-$AI136-$AH136-$AG136-$AF136-$AE136*(1+EX$3))/$AJ136,'Технический лист'!$A:$B,2,1),(EW136-0.05)))</f>
        <v>1</v>
      </c>
      <c r="EY136" s="15">
        <f>MIN(1,MAX(VLOOKUP(($AJ136-$AI136-$AH136-$AG136-$AF136-$AE136*(1+EY$3))/$AJ136,'Технический лист'!$A:$B,2,1),(EX136-0.05)))</f>
        <v>1</v>
      </c>
      <c r="EZ136" s="15">
        <f>MIN(1,MAX(VLOOKUP(($AJ136-$AI136-$AH136-$AG136-$AF136-$AE136*(1+EZ$3))/$AJ136,'Технический лист'!$A:$B,2,1),(EY136-0.05)))</f>
        <v>1</v>
      </c>
      <c r="FA136" s="15">
        <f>MIN(1,MAX(VLOOKUP(($AJ136-$AI136-$AH136-$AG136-$AF136-$AE136*(1+FA$3))/$AJ136,'Технический лист'!$A:$B,2,1),(EZ136-0.05)))</f>
        <v>1</v>
      </c>
      <c r="FB136" s="15">
        <f>MIN(1,MAX(VLOOKUP(($AJ136-$AI136-$AH136-$AG136-$AF136-$AE136*(1+FB$3))/$AJ136,'Технический лист'!$A:$B,2,1),(FA136-0.05)))</f>
        <v>1</v>
      </c>
      <c r="FC136" s="15">
        <f>MIN(1,MAX(VLOOKUP(($AJ136-$AI136-$AH136-$AG136-$AF136-$AE136*(1+FC$3))/$AJ136,'Технический лист'!$A:$B,2,1),(FB136-0.05)))</f>
        <v>1</v>
      </c>
      <c r="FD136" s="15">
        <f>MIN(1,MAX(VLOOKUP(($AJ136-$AI136-$AH136-$AG136-$AF136-$AE136*(1+FD$3))/$AJ136,'Технический лист'!$A:$B,2,1),(FC136-0.05)))</f>
        <v>1</v>
      </c>
      <c r="FE136" s="15">
        <f>MIN(1,MAX(VLOOKUP(($AJ136-$AI136-$AH136-$AG136-$AF136-$AE136*(1+FE$3))/$AJ136,'Технический лист'!$A:$B,2,1),(FD136-0.05)))</f>
        <v>1</v>
      </c>
      <c r="FF136" s="15">
        <f>MIN(1,MAX(VLOOKUP(($AJ136-$AI136-$AH136-$AG136-$AF136-$AE136*(1+FF$3))/$AJ136,'Технический лист'!$A:$B,2,1),(FE136-0.05)))</f>
        <v>1</v>
      </c>
      <c r="FG136" s="15">
        <f>MIN(1,MAX(VLOOKUP(($AJ136-$AI136-$AH136-$AG136-$AF136-$AE136*(1+FG$3))/$AJ136,'Технический лист'!$A:$B,2,1),(FF136-0.05)))</f>
        <v>1</v>
      </c>
      <c r="FH136" s="15">
        <f>MIN(1,MAX(VLOOKUP(($AJ136-$AI136-$AH136-$AG136-$AF136-$AE136*(1+FH$3))/$AJ136,'Технический лист'!$A:$B,2,1),(FG136-0.05)))</f>
        <v>1</v>
      </c>
      <c r="FI136" s="15">
        <f>MIN(1,MAX(VLOOKUP(($AJ136-$AI136-$AH136-$AG136-$AF136-$AE136*(1+FI$3))/$AJ136,'Технический лист'!$A:$B,2,1),(FH136-0.05)))</f>
        <v>1</v>
      </c>
      <c r="FJ136" s="15">
        <f>MIN(1,MAX(VLOOKUP(($AJ136-$AI136-$AH136-$AG136-$AF136-$AE136*(1+FJ$3))/$AJ136,'Технический лист'!$A:$B,2,1),(FI136-0.05)))</f>
        <v>1</v>
      </c>
      <c r="FK136" s="15">
        <f>MIN(1,MAX(VLOOKUP(($AJ136-$AI136-$AH136-$AG136-$AF136-$AE136*(1+FK$3))/$AJ136,'Технический лист'!$A:$B,2,1),(FJ136-0.05)))</f>
        <v>1</v>
      </c>
      <c r="FL136" s="15">
        <f>MIN(1,MAX(VLOOKUP(($AJ136-$AI136-$AH136-$AG136-$AF136-$AE136*(1+FL$3))/$AJ136,'Технический лист'!$A:$B,2,1),(FK136-0.05)))</f>
        <v>1</v>
      </c>
      <c r="FM136" s="15">
        <f>MIN(1,MAX(VLOOKUP(($AJ136-$AI136-$AH136-$AG136-$AF136-$AE136*(1+FM$3))/$AJ136,'Технический лист'!$A:$B,2,1),(FL136-0.05)))</f>
        <v>1</v>
      </c>
      <c r="FN136" s="15">
        <f>MIN(1,MAX(VLOOKUP(($AJ136-$AI136-$AH136-$AG136-$AF136-$AE136*(1+FN$3))/$AJ136,'Технический лист'!$A:$B,2,1),(FM136-0.05)))</f>
        <v>1</v>
      </c>
      <c r="FO136" s="15">
        <f>MIN(1,MAX(VLOOKUP(($AJ136-$AI136-$AH136-$AG136-$AF136-$AE136*(1+FO$3))/$AJ136,'Технический лист'!$A:$B,2,1),(FN136-0.05)))</f>
        <v>1</v>
      </c>
      <c r="FP136" s="15">
        <f>MIN(1,MAX(VLOOKUP(($AJ136-$AI136-$AH136-$AG136-$AF136-$AE136*(1+FP$3))/$AJ136,'Технический лист'!$A:$B,2,1),(FO136-0.05)))</f>
        <v>1</v>
      </c>
      <c r="FQ136" s="15">
        <f>MIN(1,MAX(VLOOKUP(($AJ136-$AI136-$AH136-$AG136-$AF136-$AE136*(1+FQ$3))/$AJ136,'Технический лист'!$A:$B,2,1),(FP136-0.05)))</f>
        <v>1</v>
      </c>
      <c r="FR136" s="15">
        <f>MIN(1,MAX(VLOOKUP(($AJ136-$AI136-$AH136-$AG136-$AF136-$AE136*(1+FR$3))/$AJ136,'Технический лист'!$A:$B,2,1),(FQ136-0.05)))</f>
        <v>1</v>
      </c>
      <c r="FS136" s="15">
        <f>MIN(1,MAX(VLOOKUP(($AJ136-$AI136-$AH136-$AG136-$AF136-$AE136*(1+FS$3))/$AJ136,'Технический лист'!$A:$B,2,1),(FR136-0.05)))</f>
        <v>1</v>
      </c>
      <c r="FT136" s="15">
        <f>MIN(1,MAX(VLOOKUP(($AJ136-$AI136-$AH136-$AG136-$AF136-$AE136*(1+FT$3))/$AJ136,'Технический лист'!$A:$B,2,1),(FS136-0.05)))</f>
        <v>1</v>
      </c>
      <c r="FU136" s="15">
        <f>MIN(1,MAX(VLOOKUP(($AJ136-$AI136-$AH136-$AG136-$AF136-$AE136*(1+FU$3))/$AJ136,'Технический лист'!$A:$B,2,1),(FT136-0.05)))</f>
        <v>1</v>
      </c>
      <c r="FV136" s="15">
        <f>MIN(1,MAX(VLOOKUP(($AJ136-$AI136-$AH136-$AG136-$AF136-$AE136*(1+FV$3))/$AJ136,'Технический лист'!$A:$B,2,1),(FU136-0.05)))</f>
        <v>1</v>
      </c>
      <c r="FW136" s="15">
        <f>MIN(1,MAX(VLOOKUP(($AJ136-$AI136-$AH136-$AG136-$AF136-$AE136*(1+FW$3))/$AJ136,'Технический лист'!$A:$B,2,1),(FV136-0.05)))</f>
        <v>1</v>
      </c>
      <c r="FX136" s="15">
        <f>MIN(1,MAX(VLOOKUP(($AJ136-$AI136-$AH136-$AG136-$AF136-$AE136*(1+FX$3))/$AJ136,'Технический лист'!$A:$B,2,1),(FW136-0.05)))</f>
        <v>1</v>
      </c>
      <c r="FY136" s="15">
        <f>MIN(1,MAX(VLOOKUP(($AJ136-$AI136-$AH136-$AG136-$AF136-$AE136*(1+FY$3))/$AJ136,'Технический лист'!$A:$B,2,1),(FX136-0.05)))</f>
        <v>1</v>
      </c>
      <c r="FZ136" s="15">
        <f>MIN(1,MAX(VLOOKUP(($AJ136-$AI136-$AH136-$AG136-$AF136-$AE136*(1+FZ$3))/$AJ136,'Технический лист'!$A:$B,2,1),(FY136-0.05)))</f>
        <v>1</v>
      </c>
      <c r="GA136" s="15">
        <f>MIN(1,MAX(VLOOKUP(($AJ136-$AI136-$AH136-$AG136-$AF136-$AE136*(1+GA$3))/$AJ136,'Технический лист'!$A:$B,2,1),(FZ136-0.05)))</f>
        <v>1</v>
      </c>
      <c r="GB136" s="15">
        <f>MIN(1,MAX(VLOOKUP(($AJ136-$AI136-$AH136-$AG136-$AF136-$AE136*(1+GB$3))/$AJ136,'Технический лист'!$A:$B,2,1),(GA136-0.05)))</f>
        <v>1</v>
      </c>
      <c r="GC136" s="15">
        <f>MIN(1,MAX(VLOOKUP(($AJ136-$AI136-$AH136-$AG136-$AF136-$AE136*(1+GC$3))/$AJ136,'Технический лист'!$A:$B,2,1),(GB136-0.05)))</f>
        <v>1</v>
      </c>
      <c r="GD136" s="15">
        <f>MIN(1,MAX(VLOOKUP(($AJ136-$AI136-$AH136-$AG136-$AF136-$AE136*(1+GD$3))/$AJ136,'Технический лист'!$A:$B,2,1),(GC136-0.05)))</f>
        <v>1</v>
      </c>
      <c r="GE136" s="15">
        <f>MIN(1,MAX(VLOOKUP(($AJ136-$AI136-$AH136-$AG136-$AF136-$AE136*(1+GE$3))/$AJ136,'Технический лист'!$A:$B,2,1),(GD136-0.05)))</f>
        <v>1</v>
      </c>
      <c r="GF136" s="15">
        <f>MIN(1,MAX(VLOOKUP(($AJ136-$AI136-$AH136-$AG136-$AF136-$AE136*(1+GF$3))/$AJ136,'Технический лист'!$A:$B,2,1),(GE136-0.05)))</f>
        <v>1</v>
      </c>
      <c r="GG136" s="15">
        <f>MIN(1,MAX(VLOOKUP(($AJ136-$AI136-$AH136-$AG136-$AF136-$AE136*(1+GG$3))/$AJ136,'Технический лист'!$A:$B,2,1),(GF136-0.05)))</f>
        <v>1</v>
      </c>
      <c r="GH136" s="15">
        <f>MIN(1,MAX(VLOOKUP(($AJ136-$AI136-$AH136-$AG136-$AF136-$AE136*(1+GH$3))/$AJ136,'Технический лист'!$A:$B,2,1),(GG136-0.05)))</f>
        <v>1</v>
      </c>
      <c r="GI136" s="15">
        <f>MIN(1,MAX(VLOOKUP(($AJ136-$AI136-$AH136-$AG136-$AF136-$AE136*(1+GI$3))/$AJ136,'Технический лист'!$A:$B,2,1),(GH136-0.05)))</f>
        <v>1</v>
      </c>
      <c r="GJ136" s="15">
        <f>MIN(1,MAX(VLOOKUP(($AJ136-$AI136-$AH136-$AG136-$AF136-$AE136*(1+GJ$3))/$AJ136,'Технический лист'!$A:$B,2,1),(GI136-0.05)))</f>
        <v>1</v>
      </c>
      <c r="GK136" s="15">
        <f>MIN(1,MAX(VLOOKUP(($AJ136-$AI136-$AH136-$AG136-$AF136-$AE136*(1+GK$3))/$AJ136,'Технический лист'!$A:$B,2,1),(GJ136-0.05)))</f>
        <v>1</v>
      </c>
      <c r="GL136" s="15">
        <f>MIN(1,MAX(VLOOKUP(($AJ136-$AI136-$AH136-$AG136-$AF136-$AE136*(1+GL$3))/$AJ136,'Технический лист'!$A:$B,2,1),(GK136-0.05)))</f>
        <v>1</v>
      </c>
      <c r="GM136" s="15">
        <f>MIN(1,MAX(VLOOKUP(($AJ136-$AI136-$AH136-$AG136-$AF136-$AE136*(1+GM$3))/$AJ136,'Технический лист'!$A:$B,2,1),(GL136-0.05)))</f>
        <v>1</v>
      </c>
      <c r="GN136" s="15">
        <f>MIN(1,MAX(VLOOKUP(($AJ136-$AI136-$AH136-$AG136-$AF136-$AE136*(1+GN$3))/$AJ136,'Технический лист'!$A:$B,2,1),(GM136-0.05)))</f>
        <v>1</v>
      </c>
      <c r="GO136" s="15">
        <f>MIN(1,MAX(VLOOKUP(($AJ136-$AI136-$AH136-$AG136-$AF136-$AE136*(1+GO$3))/$AJ136,'Технический лист'!$A:$B,2,1),(GN136-0.05)))</f>
        <v>1</v>
      </c>
      <c r="GP136" s="15">
        <f>MIN(1,MAX(VLOOKUP(($AJ136-$AI136-$AH136-$AG136-$AF136-$AE136*(1+GP$3))/$AJ136,'Технический лист'!$A:$B,2,1),(GO136-0.05)))</f>
        <v>1</v>
      </c>
      <c r="GQ136" s="15">
        <f>MIN(1,MAX(VLOOKUP(($AJ136-$AI136-$AH136-$AG136-$AF136-$AE136*(1+GQ$3))/$AJ136,'Технический лист'!$A:$B,2,1),(GP136-0.05)))</f>
        <v>1</v>
      </c>
      <c r="GR136" s="15">
        <f>MIN(1,MAX(VLOOKUP(($AJ136-$AI136-$AH136-$AG136-$AF136-$AE136*(1+GR$3))/$AJ136,'Технический лист'!$A:$B,2,1),(GQ136-0.05)))</f>
        <v>1</v>
      </c>
      <c r="GS136" s="15">
        <f>MIN(1,MAX(VLOOKUP(($AJ136-$AI136-$AH136-$AG136-$AF136-$AE136*(1+GS$3))/$AJ136,'Технический лист'!$A:$B,2,1),(GR136-0.05)))</f>
        <v>1</v>
      </c>
      <c r="GT136" s="15">
        <f>MIN(1,MAX(VLOOKUP(($AJ136-$AI136-$AH136-$AG136-$AF136-$AE136*(1+GT$3))/$AJ136,'Технический лист'!$A:$B,2,1),(GS136-0.05)))</f>
        <v>1</v>
      </c>
      <c r="GU136" s="15">
        <f>MIN(1,MAX(VLOOKUP(($AJ136-$AI136-$AH136-$AG136-$AF136-$AE136*(1+GU$3))/$AJ136,'Технический лист'!$A:$B,2,1),(GT136-0.05)))</f>
        <v>1</v>
      </c>
      <c r="GV136" s="15">
        <f>MIN(1,MAX(VLOOKUP(($AJ136-$AI136-$AH136-$AG136-$AF136-$AE136*(1+GV$3))/$AJ136,'Технический лист'!$A:$B,2,1),(GU136-0.05)))</f>
        <v>1</v>
      </c>
      <c r="GW136" s="15">
        <f>MIN(1,MAX(VLOOKUP(($AJ136-$AI136-$AH136-$AG136-$AF136-$AE136*(1+GW$3))/$AJ136,'Технический лист'!$A:$B,2,1),(GV136-0.05)))</f>
        <v>1</v>
      </c>
      <c r="GX136" s="15">
        <f>MIN(1,MAX(VLOOKUP(($AJ136-$AI136-$AH136-$AG136-$AF136-$AE136*(1+GX$3))/$AJ136,'Технический лист'!$A:$B,2,1),(GW136-0.05)))</f>
        <v>1</v>
      </c>
      <c r="GY136" s="15">
        <f>MIN(1,MAX(VLOOKUP(($AJ136-$AI136-$AH136-$AG136-$AF136-$AE136*(1+GY$3))/$AJ136,'Технический лист'!$A:$B,2,1),(GX136-0.05)))</f>
        <v>1</v>
      </c>
      <c r="GZ136" s="15">
        <f>MIN(1,MAX(VLOOKUP(($AJ136-$AI136-$AH136-$AG136-$AF136-$AE136*(1+GZ$3))/$AJ136,'Технический лист'!$A:$B,2,1),(GY136-0.05)))</f>
        <v>1</v>
      </c>
      <c r="HA136" s="15">
        <f>MIN(1,MAX(VLOOKUP(($AJ136-$AI136-$AH136-$AG136-$AF136-$AE136*(1+HA$3))/$AJ136,'Технический лист'!$A:$B,2,1),(GZ136-0.05)))</f>
        <v>1</v>
      </c>
      <c r="HB136" s="15">
        <f>MIN(1,MAX(VLOOKUP(($AJ136-$AI136-$AH136-$AG136-$AF136-$AE136*(1+HB$3))/$AJ136,'Технический лист'!$A:$B,2,1),(HA136-0.05)))</f>
        <v>1</v>
      </c>
      <c r="HC136" s="15">
        <f>MIN(1,MAX(VLOOKUP(($AJ136-$AI136-$AH136-$AG136-$AF136-$AE136*(1+HC$3))/$AJ136,'Технический лист'!$A:$B,2,1),(HB136-0.05)))</f>
        <v>1</v>
      </c>
      <c r="HD136" s="15">
        <f>MIN(1,MAX(VLOOKUP(($AJ136-$AI136-$AH136-$AG136-$AF136-$AE136*(1+HD$3))/$AJ136,'Технический лист'!$A:$B,2,1),(HC136-0.05)))</f>
        <v>1</v>
      </c>
      <c r="HE136" s="15">
        <f>MIN(1,MAX(VLOOKUP(($AJ136-$AI136-$AH136-$AG136-$AF136-$AE136*(1+HE$3))/$AJ136,'Технический лист'!$A:$B,2,1),(HD136-0.05)))</f>
        <v>1</v>
      </c>
      <c r="HF136" s="15">
        <f>MIN(1,MAX(VLOOKUP(($AJ136-$AI136-$AH136-$AG136-$AF136-$AE136*(1+HF$3))/$AJ136,'Технический лист'!$A:$B,2,1),(HE136-0.05)))</f>
        <v>1</v>
      </c>
      <c r="HG136" s="15">
        <f>MIN(1,MAX(VLOOKUP(($AJ136-$AI136-$AH136-$AG136-$AF136-$AE136*(1+HG$3))/$AJ136,'Технический лист'!$A:$B,2,1),(HF136-0.05)))</f>
        <v>1</v>
      </c>
      <c r="HH136" s="15">
        <f>MIN(1,MAX(VLOOKUP(($AJ136-$AI136-$AH136-$AG136-$AF136-$AE136*(1+HH$3))/$AJ136,'Технический лист'!$A:$B,2,1),(HG136-0.05)))</f>
        <v>1</v>
      </c>
      <c r="HI136" s="15">
        <f>MIN(1,MAX(VLOOKUP(($AJ136-$AI136-$AH136-$AG136-$AF136-$AE136*(1+HI$3))/$AJ136,'Технический лист'!$A:$B,2,1),(HH136-0.05)))</f>
        <v>1</v>
      </c>
      <c r="HJ136" s="15">
        <f>MIN(1,MAX(VLOOKUP(($AJ136-$AI136-$AH136-$AG136-$AF136-$AE136*(1+HJ$3))/$AJ136,'Технический лист'!$A:$B,2,1),(HI136-0.05)))</f>
        <v>1</v>
      </c>
      <c r="HK136" s="15">
        <f>MIN(1,MAX(VLOOKUP(($AJ136-$AI136-$AH136-$AG136-$AF136-$AE136*(1+HK$3))/$AJ136,'Технический лист'!$A:$B,2,1),(HJ136-0.05)))</f>
        <v>1</v>
      </c>
      <c r="HL136" s="15">
        <f>MIN(1,MAX(VLOOKUP(($AJ136-$AI136-$AH136-$AG136-$AF136-$AE136*(1+HL$3))/$AJ136,'Технический лист'!$A:$B,2,1),(HK136-0.05)))</f>
        <v>1</v>
      </c>
      <c r="HM136" s="15">
        <f>MIN(1,MAX(VLOOKUP(($AJ136-$AI136-$AH136-$AG136-$AF136-$AE136*(1+HM$3))/$AJ136,'Технический лист'!$A:$B,2,1),(HL136-0.05)))</f>
        <v>1</v>
      </c>
      <c r="HN136" s="15">
        <f>MIN(1,MAX(VLOOKUP(($AJ136-$AI136-$AH136-$AG136-$AF136-$AE136*(1+HN$3))/$AJ136,'Технический лист'!$A:$B,2,1),(HM136-0.05)))</f>
        <v>1</v>
      </c>
      <c r="HO136" s="15">
        <f>MIN(1,MAX(VLOOKUP(($AJ136-$AI136-$AH136-$AG136-$AF136-$AE136*(1+HO$3))/$AJ136,'Технический лист'!$A:$B,2,1),(HN136-0.05)))</f>
        <v>1</v>
      </c>
      <c r="HP136" s="15">
        <f>MIN(1,MAX(VLOOKUP(($AJ136-$AI136-$AH136-$AG136-$AF136-$AE136*(1+HP$3))/$AJ136,'Технический лист'!$A:$B,2,1),(HO136-0.05)))</f>
        <v>1</v>
      </c>
      <c r="HQ136" s="15">
        <f>MIN(1,MAX(VLOOKUP(($AJ136-$AI136-$AH136-$AG136-$AF136-$AE136*(1+HQ$3))/$AJ136,'Технический лист'!$A:$B,2,1),(HP136-0.05)))</f>
        <v>1</v>
      </c>
      <c r="HR136" s="15">
        <f>MIN(1,MAX(VLOOKUP(($AJ136-$AI136-$AH136-$AG136-$AF136-$AE136*(1+HR$3))/$AJ136,'Технический лист'!$A:$B,2,1),(HQ136-0.05)))</f>
        <v>1</v>
      </c>
      <c r="HS136" s="15">
        <f>MIN(1,MAX(VLOOKUP(($AJ136-$AI136-$AH136-$AG136-$AF136-$AE136*(1+HS$3))/$AJ136,'Технический лист'!$A:$B,2,1),(HR136-0.05)))</f>
        <v>1</v>
      </c>
      <c r="HT136" s="15">
        <f>MIN(1,MAX(VLOOKUP(($AJ136-$AI136-$AH136-$AG136-$AF136-$AE136*(1+HT$3))/$AJ136,'Технический лист'!$A:$B,2,1),(HS136-0.05)))</f>
        <v>1</v>
      </c>
      <c r="HU136" s="15">
        <f>MIN(1,MAX(VLOOKUP(($AJ136-$AI136-$AH136-$AG136-$AF136-$AE136*(1+HU$3))/$AJ136,'Технический лист'!$A:$B,2,1),(HT136-0.05)))</f>
        <v>1</v>
      </c>
      <c r="HV136" s="15">
        <f>MIN(1,MAX(VLOOKUP(($AJ136-$AI136-$AH136-$AG136-$AF136-$AE136*(1+HV$3))/$AJ136,'Технический лист'!$A:$B,2,1),(HU136-0.05)))</f>
        <v>1</v>
      </c>
      <c r="HW136" s="15">
        <f>MIN(1,MAX(VLOOKUP(($AJ136-$AI136-$AH136-$AG136-$AF136-$AE136*(1+HW$3))/$AJ136,'Технический лист'!$A:$B,2,1),(HV136-0.05)))</f>
        <v>1</v>
      </c>
      <c r="HX136" s="15">
        <f>MIN(1,MAX(VLOOKUP(($AJ136-$AI136-$AH136-$AG136-$AF136-$AE136*(1+HX$3))/$AJ136,'Технический лист'!$A:$B,2,1),(HW136-0.05)))</f>
        <v>1</v>
      </c>
      <c r="HY136" s="15">
        <f>MIN(1,MAX(VLOOKUP(($AJ136-$AI136-$AH136-$AG136-$AF136-$AE136*(1+HY$3))/$AJ136,'Технический лист'!$A:$B,2,1),(HX136-0.05)))</f>
        <v>1</v>
      </c>
      <c r="HZ136" s="15">
        <f>MIN(1,MAX(VLOOKUP(($AJ136-$AI136-$AH136-$AG136-$AF136-$AE136*(1+HZ$3))/$AJ136,'Технический лист'!$A:$B,2,1),(HY136-0.05)))</f>
        <v>1</v>
      </c>
      <c r="IA136" s="15">
        <f>MIN(1,MAX(VLOOKUP(($AJ136-$AI136-$AH136-$AG136-$AF136-$AE136*(1+IA$3))/$AJ136,'Технический лист'!$A:$B,2,1),(HZ136-0.05)))</f>
        <v>1</v>
      </c>
      <c r="IB136" s="15">
        <f>MIN(1,MAX(VLOOKUP(($AJ136-$AI136-$AH136-$AG136-$AF136-$AE136*(1+IB$3))/$AJ136,'Технический лист'!$A:$B,2,1),(IA136-0.05)))</f>
        <v>1</v>
      </c>
      <c r="IC136" s="15">
        <f>MIN(1,MAX(VLOOKUP(($AJ136-$AI136-$AH136-$AG136-$AF136-$AE136*(1+IC$3))/$AJ136,'Технический лист'!$A:$B,2,1),(IB136-0.05)))</f>
        <v>1</v>
      </c>
      <c r="ID136" s="15">
        <f>MIN(1,MAX(VLOOKUP(($AJ136-$AI136-$AH136-$AG136-$AF136-$AE136*(1+ID$3))/$AJ136,'Технический лист'!$A:$B,2,1),(IC136-0.05)))</f>
        <v>1</v>
      </c>
      <c r="IE136" s="15">
        <f>MIN(1,MAX(VLOOKUP(($AJ136-$AI136-$AH136-$AG136-$AF136-$AE136*(1+IE$3))/$AJ136,'Технический лист'!$A:$B,2,1),(ID136-0.05)))</f>
        <v>1</v>
      </c>
      <c r="IF136" s="15">
        <f>MIN(1,MAX(VLOOKUP(($AJ136-$AI136-$AH136-$AG136-$AF136-$AE136*(1+IF$3))/$AJ136,'Технический лист'!$A:$B,2,1),(IE136-0.05)))</f>
        <v>1</v>
      </c>
      <c r="IG136" s="15">
        <f>MIN(1,MAX(VLOOKUP(($AJ136-$AI136-$AH136-$AG136-$AF136-$AE136*(1+IG$3))/$AJ136,'Технический лист'!$A:$B,2,1),(IF136-0.05)))</f>
        <v>1</v>
      </c>
      <c r="IH136" s="15">
        <f>MIN(1,MAX(VLOOKUP(($AJ136-$AI136-$AH136-$AG136-$AF136-$AE136*(1+IH$3))/$AJ136,'Технический лист'!$A:$B,2,1),(IG136-0.05)))</f>
        <v>1</v>
      </c>
      <c r="II136" s="15">
        <f>MIN(1,MAX(VLOOKUP(($AJ136-$AI136-$AH136-$AG136-$AF136-$AE136*(1+II$3))/$AJ136,'Технический лист'!$A:$B,2,1),(IH136-0.05)))</f>
        <v>1</v>
      </c>
      <c r="IJ136" s="15">
        <f>MIN(1,MAX(VLOOKUP(($AJ136-$AI136-$AH136-$AG136-$AF136-$AE136*(1+IJ$3))/$AJ136,'Технический лист'!$A:$B,2,1),(II136-0.05)))</f>
        <v>1</v>
      </c>
      <c r="IK136" s="15">
        <f>MIN(1,MAX(VLOOKUP(($AJ136-$AI136-$AH136-$AG136-$AF136-$AE136*(1+IK$3))/$AJ136,'Технический лист'!$A:$B,2,1),(IJ136-0.05)))</f>
        <v>1</v>
      </c>
      <c r="IL136" s="15">
        <f>MIN(1,MAX(VLOOKUP(($AJ136-$AI136-$AH136-$AG136-$AF136-$AE136*(1+IL$3))/$AJ136,'Технический лист'!$A:$B,2,1),(IK136-0.05)))</f>
        <v>1</v>
      </c>
      <c r="IM136" s="15">
        <f>MIN(1,MAX(VLOOKUP(($AJ136-$AI136-$AH136-$AG136-$AF136-$AE136*(1+IM$3))/$AJ136,'Технический лист'!$A:$B,2,1),(IL136-0.05)))</f>
        <v>1</v>
      </c>
      <c r="IN136" s="15">
        <f>MIN(1,MAX(VLOOKUP(($AJ136-$AI136-$AH136-$AG136-$AF136-$AE136*(1+IN$3))/$AJ136,'Технический лист'!$A:$B,2,1),(IM136-0.05)))</f>
        <v>1</v>
      </c>
      <c r="IO136" s="15">
        <f>MIN(1,MAX(VLOOKUP(($AJ136-$AI136-$AH136-$AG136-$AF136-$AE136*(1+IO$3))/$AJ136,'Технический лист'!$A:$B,2,1),(IN136-0.05)))</f>
        <v>1</v>
      </c>
      <c r="IP136" s="15">
        <f>MIN(1,MAX(VLOOKUP(($AJ136-$AI136-$AH136-$AG136-$AF136-$AE136*(1+IP$3))/$AJ136,'Технический лист'!$A:$B,2,1),(IO136-0.05)))</f>
        <v>1</v>
      </c>
      <c r="IQ136" s="15">
        <f>MIN(1,MAX(VLOOKUP(($AJ136-$AI136-$AH136-$AG136-$AF136-$AE136*(1+IQ$3))/$AJ136,'Технический лист'!$A:$B,2,1),(IP136-0.05)))</f>
        <v>1</v>
      </c>
      <c r="IR136" s="15">
        <f>MIN(1,MAX(VLOOKUP(($AJ136-$AI136-$AH136-$AG136-$AF136-$AE136*(1+IR$3))/$AJ136,'Технический лист'!$A:$B,2,1),(IQ136-0.05)))</f>
        <v>1</v>
      </c>
    </row>
    <row r="137" spans="1:252" ht="29.15">
      <c r="A137" s="89" t="s">
        <v>513</v>
      </c>
      <c r="B137" s="90">
        <v>10</v>
      </c>
      <c r="C137" s="5" t="s">
        <v>66</v>
      </c>
      <c r="D137" s="91">
        <v>33101</v>
      </c>
      <c r="E137" s="91" t="s">
        <v>325</v>
      </c>
      <c r="F137" s="92" t="s">
        <v>72</v>
      </c>
      <c r="G137" s="91" t="s">
        <v>19</v>
      </c>
      <c r="H137" s="91" t="s">
        <v>26</v>
      </c>
      <c r="I137" s="91" t="s">
        <v>110</v>
      </c>
      <c r="J137" s="91" t="s">
        <v>119</v>
      </c>
      <c r="K137" s="91">
        <v>4190</v>
      </c>
      <c r="L137" s="85" t="s">
        <v>64</v>
      </c>
      <c r="M137" s="91" t="s">
        <v>190</v>
      </c>
      <c r="N137" s="91" t="s">
        <v>191</v>
      </c>
      <c r="O137" s="91" t="s">
        <v>193</v>
      </c>
      <c r="P137" s="89" t="s">
        <v>214</v>
      </c>
      <c r="Q137" s="91" t="s">
        <v>300</v>
      </c>
      <c r="R137" s="91" t="s">
        <v>261</v>
      </c>
      <c r="S137" s="82">
        <v>9590</v>
      </c>
      <c r="T137" s="82">
        <v>40176264</v>
      </c>
      <c r="U137" s="81">
        <v>143</v>
      </c>
      <c r="V137" s="81">
        <v>0</v>
      </c>
      <c r="W137" s="82">
        <v>38601147</v>
      </c>
      <c r="X137" s="112">
        <v>66</v>
      </c>
      <c r="Y137" s="112" t="s">
        <v>416</v>
      </c>
      <c r="Z137" s="113">
        <v>13</v>
      </c>
      <c r="AA137" s="113">
        <v>11</v>
      </c>
      <c r="AB137" s="113">
        <v>4</v>
      </c>
      <c r="AC137" s="99">
        <v>4673.12</v>
      </c>
      <c r="AD137" s="99">
        <f t="shared" si="59"/>
        <v>817.60999999999967</v>
      </c>
      <c r="AE137" s="99">
        <v>5490.73</v>
      </c>
      <c r="AF137" s="98">
        <f>(Z137+AA137+AB137)*'Ставки аренды'!$B$3/X137</f>
        <v>296.969696969697</v>
      </c>
      <c r="AG137" s="94">
        <v>0</v>
      </c>
      <c r="AH137" s="94">
        <v>0</v>
      </c>
      <c r="AI137" s="115">
        <f>12254/14812*AVERAGE(AJ134,AJ137)</f>
        <v>213196.79438107618</v>
      </c>
      <c r="AJ137" s="117">
        <f>Цены!D19</f>
        <v>280000</v>
      </c>
      <c r="AK137" s="94">
        <f>AJ137/Цены!$B$1</f>
        <v>3669.4602617111482</v>
      </c>
      <c r="AL137" s="95">
        <f t="shared" si="54"/>
        <v>5787.6996969696966</v>
      </c>
      <c r="AM137" s="95">
        <f t="shared" si="55"/>
        <v>274212.30030303029</v>
      </c>
      <c r="AN137" s="94">
        <f t="shared" si="52"/>
        <v>218984.49407804589</v>
      </c>
      <c r="AO137" s="118">
        <f t="shared" si="53"/>
        <v>0.21791252114983611</v>
      </c>
      <c r="AP137" s="96">
        <f t="shared" si="56"/>
        <v>2.0670356060606059E-2</v>
      </c>
      <c r="AQ137" s="96">
        <f t="shared" si="57"/>
        <v>1.9609749999999999E-2</v>
      </c>
      <c r="AR137" s="96">
        <f t="shared" si="58"/>
        <v>0.94868951180636008</v>
      </c>
      <c r="AS137" s="122">
        <v>1</v>
      </c>
      <c r="AT137" s="121">
        <f t="shared" si="45"/>
        <v>9590</v>
      </c>
      <c r="AU137" s="83">
        <v>0.95</v>
      </c>
      <c r="AV137" s="119">
        <f t="shared" si="41"/>
        <v>0.21555935114983618</v>
      </c>
      <c r="AW137" s="120">
        <f t="shared" si="42"/>
        <v>2.3023526060606061E-2</v>
      </c>
      <c r="AX137" s="120">
        <f t="shared" si="43"/>
        <v>2.196292E-2</v>
      </c>
      <c r="AY137" s="120">
        <f t="shared" si="44"/>
        <v>0.95393381283934653</v>
      </c>
      <c r="AZ137" s="15">
        <f>MIN(IF($AU137=100%,1,1+VLOOKUP(($AJ137-$AI137-$AH137-$AG137-$AF137-$AE137*(1+AZ$3))/$AJ137,'Технический лист'!$I:$J,2,1)-VLOOKUP($AO137,'Технический лист'!$I:$J,2,1)),1+(1-$AU137))</f>
        <v>1</v>
      </c>
      <c r="BA137" s="15">
        <f>MIN(IF($AU137=100%,1,1+VLOOKUP(($AJ137-$AI137-$AH137-$AG137-$AF137-$AE137*(1+BA$3))/$AJ137,'Технический лист'!$I:$J,2,1)-VLOOKUP($AO137,'Технический лист'!$I:$J,2,1)),1+(1-$AU137))</f>
        <v>1</v>
      </c>
      <c r="BB137" s="15">
        <f>MIN(IF($AU137=100%,1,1+VLOOKUP(($AJ137-$AI137-$AH137-$AG137-$AF137-$AE137*(1+BB$3))/$AJ137,'Технический лист'!$I:$J,2,1)-VLOOKUP($AO137,'Технический лист'!$I:$J,2,1)),1+(1-$AU137))</f>
        <v>1</v>
      </c>
      <c r="BC137" s="15">
        <f>MIN(IF($AU137=100%,1,1+VLOOKUP(($AJ137-$AI137-$AH137-$AG137-$AF137-$AE137*(1+BC$3))/$AJ137,'Технический лист'!$I:$J,2,1)-VLOOKUP($AO137,'Технический лист'!$I:$J,2,1)),1+(1-$AU137))</f>
        <v>1</v>
      </c>
      <c r="BD137" s="15">
        <f>MIN(IF($AU137=100%,1,1+VLOOKUP(($AJ137-$AI137-$AH137-$AG137-$AF137-$AE137*(1+BD$3))/$AJ137,'Технический лист'!$I:$J,2,1)-VLOOKUP($AO137,'Технический лист'!$I:$J,2,1)),1+(1-$AU137))</f>
        <v>1</v>
      </c>
      <c r="BE137" s="15">
        <f>MIN(IF($AU137=100%,1,1+VLOOKUP(($AJ137-$AI137-$AH137-$AG137-$AF137-$AE137*(1+BE$3))/$AJ137,'Технический лист'!$I:$J,2,1)-VLOOKUP($AO137,'Технический лист'!$I:$J,2,1)),1+(1-$AU137))</f>
        <v>1</v>
      </c>
      <c r="BF137" s="15">
        <f>MIN(IF($AU137=100%,1,1+VLOOKUP(($AJ137-$AI137-$AH137-$AG137-$AF137-$AE137*(1+BF$3))/$AJ137,'Технический лист'!$I:$J,2,1)-VLOOKUP($AO137,'Технический лист'!$I:$J,2,1)),1+(1-$AU137))</f>
        <v>1</v>
      </c>
      <c r="BG137" s="15">
        <f>MIN(IF($AU137=100%,1,1+VLOOKUP(($AJ137-$AI137-$AH137-$AG137-$AF137-$AE137*(1+BG$3))/$AJ137,'Технический лист'!$I:$J,2,1)-VLOOKUP($AO137,'Технический лист'!$I:$J,2,1)),1+(1-$AU137))</f>
        <v>1</v>
      </c>
      <c r="BH137" s="15">
        <f>MIN(IF($AU137=100%,1,1+VLOOKUP(($AJ137-$AI137-$AH137-$AG137-$AF137-$AE137*(1+BH$3))/$AJ137,'Технический лист'!$I:$J,2,1)-VLOOKUP($AO137,'Технический лист'!$I:$J,2,1)),1+(1-$AU137))</f>
        <v>1</v>
      </c>
      <c r="BI137" s="15">
        <f>MIN(IF($AU137=100%,1,1+VLOOKUP(($AJ137-$AI137-$AH137-$AG137-$AF137-$AE137*(1+BI$3))/$AJ137,'Технический лист'!$I:$J,2,1)-VLOOKUP($AO137,'Технический лист'!$I:$J,2,1)),1+(1-$AU137))</f>
        <v>1</v>
      </c>
      <c r="BJ137" s="15">
        <f>MIN(IF($AU137=100%,1,1+VLOOKUP(($AJ137-$AI137-$AH137-$AG137-$AF137-$AE137*(1+BJ$3))/$AJ137,'Технический лист'!$I:$J,2,1)-VLOOKUP($AO137,'Технический лист'!$I:$J,2,1)),1+(1-$AU137))</f>
        <v>1</v>
      </c>
      <c r="BK137" s="15">
        <f>MIN(IF($AU137=100%,1,1+VLOOKUP(($AJ137-$AI137-$AH137-$AG137-$AF137-$AE137*(1+BK$3))/$AJ137,'Технический лист'!$I:$J,2,1)-VLOOKUP($AO137,'Технический лист'!$I:$J,2,1)),1+(1-$AU137))</f>
        <v>1</v>
      </c>
      <c r="BL137" s="15">
        <f>MIN(IF($AU137=100%,1,1+VLOOKUP(($AJ137-$AI137-$AH137-$AG137-$AF137-$AE137*(1+BL$3))/$AJ137,'Технический лист'!$I:$J,2,1)-VLOOKUP($AO137,'Технический лист'!$I:$J,2,1)),1+(1-$AU137))</f>
        <v>1</v>
      </c>
      <c r="BM137" s="15">
        <f>MIN(IF($AU137=100%,1,1+VLOOKUP(($AJ137-$AI137-$AH137-$AG137-$AF137-$AE137*(1+BM$3))/$AJ137,'Технический лист'!$I:$J,2,1)-VLOOKUP($AO137,'Технический лист'!$I:$J,2,1)),1+(1-$AU137))</f>
        <v>1</v>
      </c>
      <c r="BN137" s="15">
        <f>MIN(IF($AU137=100%,1,1+VLOOKUP(($AJ137-$AI137-$AH137-$AG137-$AF137-$AE137*(1+BN$3))/$AJ137,'Технический лист'!$I:$J,2,1)-VLOOKUP($AO137,'Технический лист'!$I:$J,2,1)),1+(1-$AU137))</f>
        <v>1</v>
      </c>
      <c r="BO137" s="15">
        <f>MIN(IF($AU137=100%,1,1+VLOOKUP(($AJ137-$AI137-$AH137-$AG137-$AF137-$AE137*(1+BO$3))/$AJ137,'Технический лист'!$I:$J,2,1)-VLOOKUP($AO137,'Технический лист'!$I:$J,2,1)),1+(1-$AU137))</f>
        <v>1</v>
      </c>
      <c r="BP137" s="15">
        <f>MIN(IF($AU137=100%,1,1+VLOOKUP(($AJ137-$AI137-$AH137-$AG137-$AF137-$AE137*(1+BP$3))/$AJ137,'Технический лист'!$I:$J,2,1)-VLOOKUP($AO137,'Технический лист'!$I:$J,2,1)),1+(1-$AU137))</f>
        <v>1</v>
      </c>
      <c r="BQ137" s="15">
        <f>MIN(IF($AU137=100%,1,1+VLOOKUP(($AJ137-$AI137-$AH137-$AG137-$AF137-$AE137*(1+BQ$3))/$AJ137,'Технический лист'!$I:$J,2,1)-VLOOKUP($AO137,'Технический лист'!$I:$J,2,1)),1+(1-$AU137))</f>
        <v>1</v>
      </c>
      <c r="BR137" s="15">
        <f>MIN(IF($AU137=100%,1,1+VLOOKUP(($AJ137-$AI137-$AH137-$AG137-$AF137-$AE137*(1+BR$3))/$AJ137,'Технический лист'!$I:$J,2,1)-VLOOKUP($AO137,'Технический лист'!$I:$J,2,1)),1+(1-$AU137))</f>
        <v>1</v>
      </c>
      <c r="BS137" s="15">
        <f>MIN(IF($AU137=100%,1,1+VLOOKUP(($AJ137-$AI137-$AH137-$AG137-$AF137-$AE137*(1+BS$3))/$AJ137,'Технический лист'!$I:$J,2,1)-VLOOKUP($AO137,'Технический лист'!$I:$J,2,1)),1+(1-$AU137))</f>
        <v>1</v>
      </c>
      <c r="BT137" s="15">
        <f>MIN(IF($AU137=100%,1,1+VLOOKUP(($AJ137-$AI137-$AH137-$AG137-$AF137-$AE137*(1+BT$3))/$AJ137,'Технический лист'!$I:$J,2,1)-VLOOKUP($AO137,'Технический лист'!$I:$J,2,1)),1+(1-$AU137))</f>
        <v>1</v>
      </c>
      <c r="BU137" s="15">
        <f>MIN(IF($AU137=100%,1,1+VLOOKUP(($AJ137-$AI137-$AH137-$AG137-$AF137-$AE137*(1+BU$3))/$AJ137,'Технический лист'!$I:$J,2,1)-VLOOKUP($AO137,'Технический лист'!$I:$J,2,1)),1+(1-$AU137))</f>
        <v>1</v>
      </c>
      <c r="BV137" s="15">
        <f>MIN(IF($AU137=100%,1,1+VLOOKUP(($AJ137-$AI137-$AH137-$AG137-$AF137-$AE137*(1+BV$3))/$AJ137,'Технический лист'!$I:$J,2,1)-VLOOKUP($AO137,'Технический лист'!$I:$J,2,1)),1+(1-$AU137))</f>
        <v>1</v>
      </c>
      <c r="BW137" s="15">
        <f>MIN(IF($AU137=100%,1,1+VLOOKUP(($AJ137-$AI137-$AH137-$AG137-$AF137-$AE137*(1+BW$3))/$AJ137,'Технический лист'!$I:$J,2,1)-VLOOKUP($AO137,'Технический лист'!$I:$J,2,1)),1+(1-$AU137))</f>
        <v>1</v>
      </c>
      <c r="BX137" s="15">
        <f>MIN(IF($AU137=100%,1,1+VLOOKUP(($AJ137-$AI137-$AH137-$AG137-$AF137-$AE137*(1+BX$3))/$AJ137,'Технический лист'!$I:$J,2,1)-VLOOKUP($AO137,'Технический лист'!$I:$J,2,1)),1+(1-$AU137))</f>
        <v>1</v>
      </c>
      <c r="BY137" s="15">
        <f>MIN(IF($AU137=100%,1,1+VLOOKUP(($AJ137-$AI137-$AH137-$AG137-$AF137-$AE137*(1+BY$3))/$AJ137,'Технический лист'!$I:$J,2,1)-VLOOKUP($AO137,'Технический лист'!$I:$J,2,1)),1+(1-$AU137))</f>
        <v>1</v>
      </c>
      <c r="BZ137" s="15">
        <f>MIN(IF($AU137=100%,1,1+VLOOKUP(($AJ137-$AI137-$AH137-$AG137-$AF137-$AE137*(1+BZ$3))/$AJ137,'Технический лист'!$I:$J,2,1)-VLOOKUP($AO137,'Технический лист'!$I:$J,2,1)),1+(1-$AU137))</f>
        <v>1</v>
      </c>
      <c r="CA137" s="15">
        <f>MIN(IF($AU137=100%,1,1+VLOOKUP(($AJ137-$AI137-$AH137-$AG137-$AF137-$AE137*(1+CA$3))/$AJ137,'Технический лист'!$I:$J,2,1)-VLOOKUP($AO137,'Технический лист'!$I:$J,2,1)),1+(1-$AU137))</f>
        <v>1</v>
      </c>
      <c r="CB137" s="15">
        <f>MIN(IF($AU137=100%,1,1+VLOOKUP(($AJ137-$AI137-$AH137-$AG137-$AF137-$AE137*(1+CB$3))/$AJ137,'Технический лист'!$I:$J,2,1)-VLOOKUP($AO137,'Технический лист'!$I:$J,2,1)),1+(1-$AU137))</f>
        <v>1</v>
      </c>
      <c r="CC137" s="15">
        <f>MIN(IF($AU137=100%,1,1+VLOOKUP(($AJ137-$AI137-$AH137-$AG137-$AF137-$AE137*(1+CC$3))/$AJ137,'Технический лист'!$I:$J,2,1)-VLOOKUP($AO137,'Технический лист'!$I:$J,2,1)),1+(1-$AU137))</f>
        <v>1</v>
      </c>
      <c r="CD137" s="15">
        <f>MIN(IF($AU137=100%,1,1+VLOOKUP(($AJ137-$AI137-$AH137-$AG137-$AF137-$AE137*(1+CD$3))/$AJ137,'Технический лист'!$I:$J,2,1)-VLOOKUP($AO137,'Технический лист'!$I:$J,2,1)),1+(1-$AU137))</f>
        <v>1</v>
      </c>
      <c r="CE137" s="15">
        <f>MIN(IF($AU137=100%,1,1+VLOOKUP(($AJ137-$AI137-$AH137-$AG137-$AF137-$AE137*(1+CE$3))/$AJ137,'Технический лист'!$I:$J,2,1)-VLOOKUP($AO137,'Технический лист'!$I:$J,2,1)),1+(1-$AU137))</f>
        <v>1</v>
      </c>
      <c r="CF137" s="15">
        <f>MIN(IF($AU137=100%,1,1+VLOOKUP(($AJ137-$AI137-$AH137-$AG137-$AF137-$AE137*(1+CF$3))/$AJ137,'Технический лист'!$I:$J,2,1)-VLOOKUP($AO137,'Технический лист'!$I:$J,2,1)),1+(1-$AU137))</f>
        <v>1</v>
      </c>
      <c r="CG137" s="15">
        <f>MIN(IF($AU137=100%,1,1+VLOOKUP(($AJ137-$AI137-$AH137-$AG137-$AF137-$AE137*(1+CG$3))/$AJ137,'Технический лист'!$I:$J,2,1)-VLOOKUP($AO137,'Технический лист'!$I:$J,2,1)),1+(1-$AU137))</f>
        <v>1</v>
      </c>
      <c r="CH137" s="15">
        <f>MIN(IF($AU137=100%,1,1+VLOOKUP(($AJ137-$AI137-$AH137-$AG137-$AF137-$AE137*(1+CH$3))/$AJ137,'Технический лист'!$I:$J,2,1)-VLOOKUP($AO137,'Технический лист'!$I:$J,2,1)),1+(1-$AU137))</f>
        <v>1</v>
      </c>
      <c r="CI137" s="15">
        <f>MIN(IF($AU137=100%,1,1+VLOOKUP(($AJ137-$AI137-$AH137-$AG137-$AF137-$AE137*(1+CI$3))/$AJ137,'Технический лист'!$I:$J,2,1)-VLOOKUP($AO137,'Технический лист'!$I:$J,2,1)),1+(1-$AU137))</f>
        <v>1</v>
      </c>
      <c r="CJ137" s="15">
        <f>MIN(IF($AU137=100%,1,1+VLOOKUP(($AJ137-$AI137-$AH137-$AG137-$AF137-$AE137*(1+CJ$3))/$AJ137,'Технический лист'!$I:$J,2,1)-VLOOKUP($AO137,'Технический лист'!$I:$J,2,1)),1+(1-$AU137))</f>
        <v>1</v>
      </c>
      <c r="CK137" s="15">
        <f>MIN(IF($AU137=100%,1,1+VLOOKUP(($AJ137-$AI137-$AH137-$AG137-$AF137-$AE137*(1+CK$3))/$AJ137,'Технический лист'!$I:$J,2,1)-VLOOKUP($AO137,'Технический лист'!$I:$J,2,1)),1+(1-$AU137))</f>
        <v>1</v>
      </c>
      <c r="CL137" s="15">
        <f>MIN(IF($AU137=100%,1,1+VLOOKUP(($AJ137-$AI137-$AH137-$AG137-$AF137-$AE137*(1+CL$3))/$AJ137,'Технический лист'!$I:$J,2,1)-VLOOKUP($AO137,'Технический лист'!$I:$J,2,1)),1+(1-$AU137))</f>
        <v>1</v>
      </c>
      <c r="CM137" s="15">
        <f>MIN(IF($AU137=100%,1,1+VLOOKUP(($AJ137-$AI137-$AH137-$AG137-$AF137-$AE137*(1+CM$3))/$AJ137,'Технический лист'!$I:$J,2,1)-VLOOKUP($AO137,'Технический лист'!$I:$J,2,1)),1+(1-$AU137))</f>
        <v>1</v>
      </c>
      <c r="CN137" s="15">
        <f>MIN(IF($AU137=100%,1,1+VLOOKUP(($AJ137-$AI137-$AH137-$AG137-$AF137-$AE137*(1+CN$3))/$AJ137,'Технический лист'!$I:$J,2,1)-VLOOKUP($AO137,'Технический лист'!$I:$J,2,1)),1+(1-$AU137))</f>
        <v>1</v>
      </c>
      <c r="CO137" s="15">
        <f>MIN(IF($AU137=100%,1,1+VLOOKUP(($AJ137-$AI137-$AH137-$AG137-$AF137-$AE137*(1+CO$3))/$AJ137,'Технический лист'!$I:$J,2,1)-VLOOKUP($AO137,'Технический лист'!$I:$J,2,1)),1+(1-$AU137))</f>
        <v>1</v>
      </c>
      <c r="CP137" s="15">
        <f>MIN(IF($AU137=100%,1,1+VLOOKUP(($AJ137-$AI137-$AH137-$AG137-$AF137-$AE137*(1+CP$3))/$AJ137,'Технический лист'!$I:$J,2,1)-VLOOKUP($AO137,'Технический лист'!$I:$J,2,1)),1+(1-$AU137))</f>
        <v>1</v>
      </c>
      <c r="CQ137" s="15">
        <f>MIN(IF($AU137=100%,1,1+VLOOKUP(($AJ137-$AI137-$AH137-$AG137-$AF137-$AE137*(1+CQ$3))/$AJ137,'Технический лист'!$I:$J,2,1)-VLOOKUP($AO137,'Технический лист'!$I:$J,2,1)),1+(1-$AU137))</f>
        <v>1</v>
      </c>
      <c r="CR137" s="15">
        <f>MIN(IF($AU137=100%,1,1+VLOOKUP(($AJ137-$AI137-$AH137-$AG137-$AF137-$AE137*(1+CR$3))/$AJ137,'Технический лист'!$I:$J,2,1)-VLOOKUP($AO137,'Технический лист'!$I:$J,2,1)),1+(1-$AU137))</f>
        <v>1</v>
      </c>
      <c r="CS137" s="15">
        <f>MIN(IF($AU137=100%,1,1+VLOOKUP(($AJ137-$AI137-$AH137-$AG137-$AF137-$AE137*(1+CS$3))/$AJ137,'Технический лист'!$I:$J,2,1)-VLOOKUP($AO137,'Технический лист'!$I:$J,2,1)),1+(1-$AU137))</f>
        <v>1</v>
      </c>
      <c r="CT137" s="15">
        <f>MIN(IF($AU137=100%,1,1+VLOOKUP(($AJ137-$AI137-$AH137-$AG137-$AF137-$AE137*(1+CT$3))/$AJ137,'Технический лист'!$I:$J,2,1)-VLOOKUP($AO137,'Технический лист'!$I:$J,2,1)),1+(1-$AU137))</f>
        <v>1</v>
      </c>
      <c r="CU137" s="15">
        <f>MIN(IF($AU137=100%,1,1+VLOOKUP(($AJ137-$AI137-$AH137-$AG137-$AF137-$AE137*(1+CU$3))/$AJ137,'Технический лист'!$I:$J,2,1)-VLOOKUP($AO137,'Технический лист'!$I:$J,2,1)),1+(1-$AU137))</f>
        <v>1</v>
      </c>
      <c r="CV137" s="15">
        <f>MIN(IF($AU137=100%,1,1+VLOOKUP(($AJ137-$AI137-$AH137-$AG137-$AF137-$AE137*(1+CV$3))/$AJ137,'Технический лист'!$I:$J,2,1)-VLOOKUP($AO137,'Технический лист'!$I:$J,2,1)),1+(1-$AU137))</f>
        <v>1</v>
      </c>
      <c r="CW137" s="15">
        <f>MIN(IF($AU137=100%,1,1+VLOOKUP(($AJ137-$AI137-$AH137-$AG137-$AF137-$AE137*(1+CW$3))/$AJ137,'Технический лист'!$I:$J,2,1)-VLOOKUP($AO137,'Технический лист'!$I:$J,2,1)),1+(1-$AU137))</f>
        <v>1</v>
      </c>
      <c r="CX137" s="15">
        <f>MIN(IF($AU137=100%,1,1+VLOOKUP(($AJ137-$AI137-$AH137-$AG137-$AF137-$AE137*(1+CX$3))/$AJ137,'Технический лист'!$I:$J,2,1)-VLOOKUP($AO137,'Технический лист'!$I:$J,2,1)),1+(1-$AU137))</f>
        <v>1</v>
      </c>
      <c r="CY137" s="15">
        <f>MIN(IF($AU137=100%,1,1+VLOOKUP(($AJ137-$AI137-$AH137-$AG137-$AF137-$AE137*(1+CY$3))/$AJ137,'Технический лист'!$I:$J,2,1)-VLOOKUP($AO137,'Технический лист'!$I:$J,2,1)),1+(1-$AU137))</f>
        <v>1</v>
      </c>
      <c r="CZ137" s="15">
        <f>MIN(IF($AU137=100%,1,1+VLOOKUP(($AJ137-$AI137-$AH137-$AG137-$AF137-$AE137*(1+CZ$3))/$AJ137,'Технический лист'!$I:$J,2,1)-VLOOKUP($AO137,'Технический лист'!$I:$J,2,1)),1+(1-$AU137))</f>
        <v>1</v>
      </c>
      <c r="DA137" s="15">
        <f>MIN(IF($AU137=100%,1,1+VLOOKUP(($AJ137-$AI137-$AH137-$AG137-$AF137-$AE137*(1+DA$3))/$AJ137,'Технический лист'!$I:$J,2,1)-VLOOKUP($AO137,'Технический лист'!$I:$J,2,1)),1+(1-$AU137))</f>
        <v>1</v>
      </c>
      <c r="DB137" s="15">
        <f>MIN(IF($AU137=100%,1,1+VLOOKUP(($AJ137-$AI137-$AH137-$AG137-$AF137-$AE137*(1+DB$3))/$AJ137,'Технический лист'!$I:$J,2,1)-VLOOKUP($AO137,'Технический лист'!$I:$J,2,1)),1+(1-$AU137))</f>
        <v>1</v>
      </c>
      <c r="DC137" s="15">
        <f>MIN(IF($AU137=100%,1,1+VLOOKUP(($AJ137-$AI137-$AH137-$AG137-$AF137-$AE137*(1+DC$3))/$AJ137,'Технический лист'!$I:$J,2,1)-VLOOKUP($AO137,'Технический лист'!$I:$J,2,1)),1+(1-$AU137))</f>
        <v>1</v>
      </c>
      <c r="DD137" s="15">
        <f>MIN(IF($AU137=100%,1,1+VLOOKUP(($AJ137-$AI137-$AH137-$AG137-$AF137-$AE137*(1+DD$3))/$AJ137,'Технический лист'!$I:$J,2,1)-VLOOKUP($AO137,'Технический лист'!$I:$J,2,1)),1+(1-$AU137))</f>
        <v>1</v>
      </c>
      <c r="DE137" s="15">
        <f>MIN(IF($AU137=100%,1,1+VLOOKUP(($AJ137-$AI137-$AH137-$AG137-$AF137-$AE137*(1+DE$3))/$AJ137,'Технический лист'!$I:$J,2,1)-VLOOKUP($AO137,'Технический лист'!$I:$J,2,1)),1+(1-$AU137))</f>
        <v>1</v>
      </c>
      <c r="DF137" s="15">
        <f>MIN(IF($AU137=100%,1,1+VLOOKUP(($AJ137-$AI137-$AH137-$AG137-$AF137-$AE137*(1+DF$3))/$AJ137,'Технический лист'!$I:$J,2,1)-VLOOKUP($AO137,'Технический лист'!$I:$J,2,1)),1+(1-$AU137))</f>
        <v>1</v>
      </c>
      <c r="DG137" s="15">
        <f>MIN(IF($AU137=100%,1,1+VLOOKUP(($AJ137-$AI137-$AH137-$AG137-$AF137-$AE137*(1+DG$3))/$AJ137,'Технический лист'!$I:$J,2,1)-VLOOKUP($AO137,'Технический лист'!$I:$J,2,1)),1+(1-$AU137))</f>
        <v>1</v>
      </c>
      <c r="DH137" s="15">
        <f>MIN(IF($AU137=100%,1,1+VLOOKUP(($AJ137-$AI137-$AH137-$AG137-$AF137-$AE137*(1+DH$3))/$AJ137,'Технический лист'!$I:$J,2,1)-VLOOKUP($AO137,'Технический лист'!$I:$J,2,1)),1+(1-$AU137))</f>
        <v>1</v>
      </c>
      <c r="DI137" s="15">
        <f>MIN(IF($AU137=100%,1,1+VLOOKUP(($AJ137-$AI137-$AH137-$AG137-$AF137-$AE137*(1+DI$3))/$AJ137,'Технический лист'!$I:$J,2,1)-VLOOKUP($AO137,'Технический лист'!$I:$J,2,1)),1+(1-$AU137))</f>
        <v>1</v>
      </c>
      <c r="DJ137" s="15">
        <f>MIN(IF($AU137=100%,1,1+VLOOKUP(($AJ137-$AI137-$AH137-$AG137-$AF137-$AE137*(1+DJ$3))/$AJ137,'Технический лист'!$I:$J,2,1)-VLOOKUP($AO137,'Технический лист'!$I:$J,2,1)),1+(1-$AU137))</f>
        <v>1</v>
      </c>
      <c r="DK137" s="15">
        <f>MIN(IF($AU137=100%,1,1+VLOOKUP(($AJ137-$AI137-$AH137-$AG137-$AF137-$AE137*(1+DK$3))/$AJ137,'Технический лист'!$I:$J,2,1)-VLOOKUP($AO137,'Технический лист'!$I:$J,2,1)),1+(1-$AU137))</f>
        <v>1</v>
      </c>
      <c r="DL137" s="15">
        <f>MIN(IF($AU137=100%,1,1+VLOOKUP(($AJ137-$AI137-$AH137-$AG137-$AF137-$AE137*(1+DL$3))/$AJ137,'Технический лист'!$I:$J,2,1)-VLOOKUP($AO137,'Технический лист'!$I:$J,2,1)),1+(1-$AU137))</f>
        <v>1</v>
      </c>
      <c r="DM137" s="15">
        <f>MIN(IF($AU137=100%,1,1+VLOOKUP(($AJ137-$AI137-$AH137-$AG137-$AF137-$AE137*(1+DM$3))/$AJ137,'Технический лист'!$I:$J,2,1)-VLOOKUP($AO137,'Технический лист'!$I:$J,2,1)),1+(1-$AU137))</f>
        <v>1</v>
      </c>
      <c r="DN137" s="15">
        <f>MIN(IF($AU137=100%,1,1+VLOOKUP(($AJ137-$AI137-$AH137-$AG137-$AF137-$AE137*(1+DN$3))/$AJ137,'Технический лист'!$I:$J,2,1)-VLOOKUP($AO137,'Технический лист'!$I:$J,2,1)),1+(1-$AU137))</f>
        <v>1</v>
      </c>
      <c r="DO137" s="15">
        <f>MIN(IF($AU137=100%,1,1+VLOOKUP(($AJ137-$AI137-$AH137-$AG137-$AF137-$AE137*(1+DO$3))/$AJ137,'Технический лист'!$I:$J,2,1)-VLOOKUP($AO137,'Технический лист'!$I:$J,2,1)),1+(1-$AU137))</f>
        <v>1</v>
      </c>
      <c r="DP137" s="15">
        <f>MIN(IF($AU137=100%,1,1+VLOOKUP(($AJ137-$AI137-$AH137-$AG137-$AF137-$AE137*(1+DP$3))/$AJ137,'Технический лист'!$I:$J,2,1)-VLOOKUP($AO137,'Технический лист'!$I:$J,2,1)),1+(1-$AU137))</f>
        <v>1</v>
      </c>
      <c r="DQ137" s="15">
        <f>MIN(IF($AU137=100%,1,1+VLOOKUP(($AJ137-$AI137-$AH137-$AG137-$AF137-$AE137*(1+DQ$3))/$AJ137,'Технический лист'!$I:$J,2,1)-VLOOKUP($AO137,'Технический лист'!$I:$J,2,1)),1+(1-$AU137))</f>
        <v>1</v>
      </c>
      <c r="DR137" s="15">
        <f>MIN(IF($AU137=100%,1,1+VLOOKUP(($AJ137-$AI137-$AH137-$AG137-$AF137-$AE137*(1+DR$3))/$AJ137,'Технический лист'!$I:$J,2,1)-VLOOKUP($AO137,'Технический лист'!$I:$J,2,1)),1+(1-$AU137))</f>
        <v>1</v>
      </c>
      <c r="DS137" s="15">
        <f>MIN(IF($AU137=100%,1,1+VLOOKUP(($AJ137-$AI137-$AH137-$AG137-$AF137-$AE137*(1+DS$3))/$AJ137,'Технический лист'!$I:$J,2,1)-VLOOKUP($AO137,'Технический лист'!$I:$J,2,1)),1+(1-$AU137))</f>
        <v>1</v>
      </c>
      <c r="DT137" s="15">
        <f>MIN(IF($AU137=100%,1,1+VLOOKUP(($AJ137-$AI137-$AH137-$AG137-$AF137-$AE137*(1+DT$3))/$AJ137,'Технический лист'!$I:$J,2,1)-VLOOKUP($AO137,'Технический лист'!$I:$J,2,1)),1+(1-$AU137))</f>
        <v>1</v>
      </c>
      <c r="DU137" s="15">
        <f>MIN(IF($AU137=100%,1,1+VLOOKUP(($AJ137-$AI137-$AH137-$AG137-$AF137-$AE137*(1+DU$3))/$AJ137,'Технический лист'!$I:$J,2,1)-VLOOKUP($AO137,'Технический лист'!$I:$J,2,1)),1+(1-$AU137))</f>
        <v>1</v>
      </c>
      <c r="DV137" s="15">
        <f>MIN(IF($AU137=100%,1,1+VLOOKUP(($AJ137-$AI137-$AH137-$AG137-$AF137-$AE137*(1+DV$3))/$AJ137,'Технический лист'!$I:$J,2,1)-VLOOKUP($AO137,'Технический лист'!$I:$J,2,1)),1+(1-$AU137))</f>
        <v>1</v>
      </c>
      <c r="DW137" s="15">
        <f>MIN(IF($AU137=100%,1,1+VLOOKUP(($AJ137-$AI137-$AH137-$AG137-$AF137-$AE137*(1+DW$3))/$AJ137,'Технический лист'!$I:$J,2,1)-VLOOKUP($AO137,'Технический лист'!$I:$J,2,1)),1+(1-$AU137))</f>
        <v>1</v>
      </c>
      <c r="DX137" s="15">
        <f>MIN(IF($AU137=100%,1,1+VLOOKUP(($AJ137-$AI137-$AH137-$AG137-$AF137-$AE137*(1+DX$3))/$AJ137,'Технический лист'!$I:$J,2,1)-VLOOKUP($AO137,'Технический лист'!$I:$J,2,1)),1+(1-$AU137))</f>
        <v>1</v>
      </c>
      <c r="DY137" s="15">
        <f>MIN(IF($AU137=100%,1,1+VLOOKUP(($AJ137-$AI137-$AH137-$AG137-$AF137-$AE137*(1+DY$3))/$AJ137,'Технический лист'!$I:$J,2,1)-VLOOKUP($AO137,'Технический лист'!$I:$J,2,1)),1+(1-$AU137))</f>
        <v>1</v>
      </c>
      <c r="DZ137" s="15">
        <f>MIN(IF($AU137=100%,1,1+VLOOKUP(($AJ137-$AI137-$AH137-$AG137-$AF137-$AE137*(1+DZ$3))/$AJ137,'Технический лист'!$I:$J,2,1)-VLOOKUP($AO137,'Технический лист'!$I:$J,2,1)),1+(1-$AU137))</f>
        <v>1</v>
      </c>
      <c r="EA137" s="15">
        <f>MIN(IF($AU137=100%,1,1+VLOOKUP(($AJ137-$AI137-$AH137-$AG137-$AF137-$AE137*(1+EA$3))/$AJ137,'Технический лист'!$I:$J,2,1)-VLOOKUP($AO137,'Технический лист'!$I:$J,2,1)),1+(1-$AU137))</f>
        <v>1</v>
      </c>
      <c r="EB137" s="15">
        <f>MIN(IF($AU137=100%,1,1+VLOOKUP(($AJ137-$AI137-$AH137-$AG137-$AF137-$AE137*(1+EB$3))/$AJ137,'Технический лист'!$I:$J,2,1)-VLOOKUP($AO137,'Технический лист'!$I:$J,2,1)),1+(1-$AU137))</f>
        <v>1</v>
      </c>
      <c r="EC137" s="15">
        <f>MIN(IF($AU137=100%,1,1+VLOOKUP(($AJ137-$AI137-$AH137-$AG137-$AF137-$AE137*(1+EC$3))/$AJ137,'Технический лист'!$I:$J,2,1)-VLOOKUP($AO137,'Технический лист'!$I:$J,2,1)),1+(1-$AU137))</f>
        <v>1</v>
      </c>
      <c r="ED137" s="15">
        <f>MIN(IF($AU137=100%,1,1+VLOOKUP(($AJ137-$AI137-$AH137-$AG137-$AF137-$AE137*(1+ED$3))/$AJ137,'Технический лист'!$I:$J,2,1)-VLOOKUP($AO137,'Технический лист'!$I:$J,2,1)),1+(1-$AU137))</f>
        <v>1</v>
      </c>
      <c r="EE137" s="15">
        <f>MIN(IF($AU137=100%,1,1+VLOOKUP(($AJ137-$AI137-$AH137-$AG137-$AF137-$AE137*(1+EE$3))/$AJ137,'Технический лист'!$I:$J,2,1)-VLOOKUP($AO137,'Технический лист'!$I:$J,2,1)),1+(1-$AU137))</f>
        <v>1</v>
      </c>
      <c r="EF137" s="15">
        <f>MIN(IF($AU137=100%,1,1+VLOOKUP(($AJ137-$AI137-$AH137-$AG137-$AF137-$AE137*(1+EF$3))/$AJ137,'Технический лист'!$I:$J,2,1)-VLOOKUP($AO137,'Технический лист'!$I:$J,2,1)),1+(1-$AU137))</f>
        <v>1</v>
      </c>
      <c r="EG137" s="15">
        <f>MIN(IF($AU137=100%,1,1+VLOOKUP(($AJ137-$AI137-$AH137-$AG137-$AF137-$AE137*(1+EG$3))/$AJ137,'Технический лист'!$I:$J,2,1)-VLOOKUP($AO137,'Технический лист'!$I:$J,2,1)),1+(1-$AU137))</f>
        <v>1</v>
      </c>
      <c r="EH137" s="15">
        <f>MIN(IF($AU137=100%,1,1+VLOOKUP(($AJ137-$AI137-$AH137-$AG137-$AF137-$AE137*(1+EH$3))/$AJ137,'Технический лист'!$I:$J,2,1)-VLOOKUP($AO137,'Технический лист'!$I:$J,2,1)),1+(1-$AU137))</f>
        <v>1</v>
      </c>
      <c r="EI137" s="15">
        <f>MIN(IF($AU137=100%,1,1+VLOOKUP(($AJ137-$AI137-$AH137-$AG137-$AF137-$AE137*(1+EI$3))/$AJ137,'Технический лист'!$I:$J,2,1)-VLOOKUP($AO137,'Технический лист'!$I:$J,2,1)),1+(1-$AU137))</f>
        <v>1</v>
      </c>
      <c r="EJ137" s="15">
        <f>MIN(IF($AU137=100%,1,1+VLOOKUP(($AJ137-$AI137-$AH137-$AG137-$AF137-$AE137*(1+EJ$3))/$AJ137,'Технический лист'!$I:$J,2,1)-VLOOKUP($AO137,'Технический лист'!$I:$J,2,1)),1+(1-$AU137))</f>
        <v>1</v>
      </c>
      <c r="EK137" s="15">
        <f>MIN(IF($AU137=100%,1,1+VLOOKUP(($AJ137-$AI137-$AH137-$AG137-$AF137-$AE137*(1+EK$3))/$AJ137,'Технический лист'!$I:$J,2,1)-VLOOKUP($AO137,'Технический лист'!$I:$J,2,1)),1+(1-$AU137))</f>
        <v>1</v>
      </c>
      <c r="EL137" s="15">
        <f>MIN(IF($AU137=100%,1,1+VLOOKUP(($AJ137-$AI137-$AH137-$AG137-$AF137-$AE137*(1+EL$3))/$AJ137,'Технический лист'!$I:$J,2,1)-VLOOKUP($AO137,'Технический лист'!$I:$J,2,1)),1+(1-$AU137))</f>
        <v>1</v>
      </c>
      <c r="EM137" s="15">
        <f>MIN(IF($AU137=100%,1,1+VLOOKUP(($AJ137-$AI137-$AH137-$AG137-$AF137-$AE137*(1+EM$3))/$AJ137,'Технический лист'!$I:$J,2,1)-VLOOKUP($AO137,'Технический лист'!$I:$J,2,1)),1+(1-$AU137))</f>
        <v>1</v>
      </c>
      <c r="EN137" s="15">
        <f>MIN(IF($AU137=100%,1,1+VLOOKUP(($AJ137-$AI137-$AH137-$AG137-$AF137-$AE137*(1+EN$3))/$AJ137,'Технический лист'!$I:$J,2,1)-VLOOKUP($AO137,'Технический лист'!$I:$J,2,1)),1+(1-$AU137))</f>
        <v>1</v>
      </c>
      <c r="EO137" s="15">
        <f>MIN(IF($AU137=100%,1,1+VLOOKUP(($AJ137-$AI137-$AH137-$AG137-$AF137-$AE137*(1+EO$3))/$AJ137,'Технический лист'!$I:$J,2,1)-VLOOKUP($AO137,'Технический лист'!$I:$J,2,1)),1+(1-$AU137))</f>
        <v>1</v>
      </c>
      <c r="EP137" s="15">
        <f>MIN(IF($AU137=100%,1,1+VLOOKUP(($AJ137-$AI137-$AH137-$AG137-$AF137-$AE137*(1+EP$3))/$AJ137,'Технический лист'!$I:$J,2,1)-VLOOKUP($AO137,'Технический лист'!$I:$J,2,1)),1+(1-$AU137))</f>
        <v>1</v>
      </c>
      <c r="EQ137" s="15">
        <f>MIN(IF($AU137=100%,1,1+VLOOKUP(($AJ137-$AI137-$AH137-$AG137-$AF137-$AE137*(1+EQ$3))/$AJ137,'Технический лист'!$I:$J,2,1)-VLOOKUP($AO137,'Технический лист'!$I:$J,2,1)),1+(1-$AU137))</f>
        <v>1</v>
      </c>
      <c r="ER137" s="15">
        <f>MIN(IF($AU137=100%,1,1+VLOOKUP(($AJ137-$AI137-$AH137-$AG137-$AF137-$AE137*(1+ER$3))/$AJ137,'Технический лист'!$I:$J,2,1)-VLOOKUP($AO137,'Технический лист'!$I:$J,2,1)),1+(1-$AU137))</f>
        <v>1</v>
      </c>
      <c r="ES137" s="15">
        <f>MIN(IF($AU137=100%,1,1+VLOOKUP(($AJ137-$AI137-$AH137-$AG137-$AF137-$AE137*(1+ES$3))/$AJ137,'Технический лист'!$I:$J,2,1)-VLOOKUP($AO137,'Технический лист'!$I:$J,2,1)),1+(1-$AU137))</f>
        <v>1</v>
      </c>
      <c r="ET137" s="15">
        <f>MIN(IF($AU137=100%,1,1+VLOOKUP(($AJ137-$AI137-$AH137-$AG137-$AF137-$AE137*(1+ET$3))/$AJ137,'Технический лист'!$I:$J,2,1)-VLOOKUP($AO137,'Технический лист'!$I:$J,2,1)),1+(1-$AU137))</f>
        <v>1</v>
      </c>
      <c r="EU137" s="15">
        <f>MIN(IF($AU137=100%,1,1+VLOOKUP(($AJ137-$AI137-$AH137-$AG137-$AF137-$AE137*(1+EU$3))/$AJ137,'Технический лист'!$I:$J,2,1)-VLOOKUP($AO137,'Технический лист'!$I:$J,2,1)),1+(1-$AU137))</f>
        <v>1</v>
      </c>
      <c r="EV137" s="111">
        <v>1</v>
      </c>
      <c r="EW137" s="15">
        <f>MIN(1,MAX(VLOOKUP(($AJ137-$AI137-$AH137-$AG137-$AF137-$AE137*(1+EW$3))/$AJ137,'Технический лист'!$A:$B,2,1),(EV137-0.05)))</f>
        <v>1</v>
      </c>
      <c r="EX137" s="15">
        <f>MIN(1,MAX(VLOOKUP(($AJ137-$AI137-$AH137-$AG137-$AF137-$AE137*(1+EX$3))/$AJ137,'Технический лист'!$A:$B,2,1),(EW137-0.05)))</f>
        <v>1</v>
      </c>
      <c r="EY137" s="15">
        <f>MIN(1,MAX(VLOOKUP(($AJ137-$AI137-$AH137-$AG137-$AF137-$AE137*(1+EY$3))/$AJ137,'Технический лист'!$A:$B,2,1),(EX137-0.05)))</f>
        <v>1</v>
      </c>
      <c r="EZ137" s="15">
        <f>MIN(1,MAX(VLOOKUP(($AJ137-$AI137-$AH137-$AG137-$AF137-$AE137*(1+EZ$3))/$AJ137,'Технический лист'!$A:$B,2,1),(EY137-0.05)))</f>
        <v>1</v>
      </c>
      <c r="FA137" s="15">
        <f>MIN(1,MAX(VLOOKUP(($AJ137-$AI137-$AH137-$AG137-$AF137-$AE137*(1+FA$3))/$AJ137,'Технический лист'!$A:$B,2,1),(EZ137-0.05)))</f>
        <v>1</v>
      </c>
      <c r="FB137" s="15">
        <f>MIN(1,MAX(VLOOKUP(($AJ137-$AI137-$AH137-$AG137-$AF137-$AE137*(1+FB$3))/$AJ137,'Технический лист'!$A:$B,2,1),(FA137-0.05)))</f>
        <v>1</v>
      </c>
      <c r="FC137" s="15">
        <f>MIN(1,MAX(VLOOKUP(($AJ137-$AI137-$AH137-$AG137-$AF137-$AE137*(1+FC$3))/$AJ137,'Технический лист'!$A:$B,2,1),(FB137-0.05)))</f>
        <v>1</v>
      </c>
      <c r="FD137" s="15">
        <f>MIN(1,MAX(VLOOKUP(($AJ137-$AI137-$AH137-$AG137-$AF137-$AE137*(1+FD$3))/$AJ137,'Технический лист'!$A:$B,2,1),(FC137-0.05)))</f>
        <v>1</v>
      </c>
      <c r="FE137" s="15">
        <f>MIN(1,MAX(VLOOKUP(($AJ137-$AI137-$AH137-$AG137-$AF137-$AE137*(1+FE$3))/$AJ137,'Технический лист'!$A:$B,2,1),(FD137-0.05)))</f>
        <v>1</v>
      </c>
      <c r="FF137" s="15">
        <f>MIN(1,MAX(VLOOKUP(($AJ137-$AI137-$AH137-$AG137-$AF137-$AE137*(1+FF$3))/$AJ137,'Технический лист'!$A:$B,2,1),(FE137-0.05)))</f>
        <v>1</v>
      </c>
      <c r="FG137" s="15">
        <f>MIN(1,MAX(VLOOKUP(($AJ137-$AI137-$AH137-$AG137-$AF137-$AE137*(1+FG$3))/$AJ137,'Технический лист'!$A:$B,2,1),(FF137-0.05)))</f>
        <v>1</v>
      </c>
      <c r="FH137" s="15">
        <f>MIN(1,MAX(VLOOKUP(($AJ137-$AI137-$AH137-$AG137-$AF137-$AE137*(1+FH$3))/$AJ137,'Технический лист'!$A:$B,2,1),(FG137-0.05)))</f>
        <v>1</v>
      </c>
      <c r="FI137" s="15">
        <f>MIN(1,MAX(VLOOKUP(($AJ137-$AI137-$AH137-$AG137-$AF137-$AE137*(1+FI$3))/$AJ137,'Технический лист'!$A:$B,2,1),(FH137-0.05)))</f>
        <v>1</v>
      </c>
      <c r="FJ137" s="15">
        <f>MIN(1,MAX(VLOOKUP(($AJ137-$AI137-$AH137-$AG137-$AF137-$AE137*(1+FJ$3))/$AJ137,'Технический лист'!$A:$B,2,1),(FI137-0.05)))</f>
        <v>1</v>
      </c>
      <c r="FK137" s="15">
        <f>MIN(1,MAX(VLOOKUP(($AJ137-$AI137-$AH137-$AG137-$AF137-$AE137*(1+FK$3))/$AJ137,'Технический лист'!$A:$B,2,1),(FJ137-0.05)))</f>
        <v>1</v>
      </c>
      <c r="FL137" s="15">
        <f>MIN(1,MAX(VLOOKUP(($AJ137-$AI137-$AH137-$AG137-$AF137-$AE137*(1+FL$3))/$AJ137,'Технический лист'!$A:$B,2,1),(FK137-0.05)))</f>
        <v>1</v>
      </c>
      <c r="FM137" s="15">
        <f>MIN(1,MAX(VLOOKUP(($AJ137-$AI137-$AH137-$AG137-$AF137-$AE137*(1+FM$3))/$AJ137,'Технический лист'!$A:$B,2,1),(FL137-0.05)))</f>
        <v>1</v>
      </c>
      <c r="FN137" s="15">
        <f>MIN(1,MAX(VLOOKUP(($AJ137-$AI137-$AH137-$AG137-$AF137-$AE137*(1+FN$3))/$AJ137,'Технический лист'!$A:$B,2,1),(FM137-0.05)))</f>
        <v>1</v>
      </c>
      <c r="FO137" s="15">
        <f>MIN(1,MAX(VLOOKUP(($AJ137-$AI137-$AH137-$AG137-$AF137-$AE137*(1+FO$3))/$AJ137,'Технический лист'!$A:$B,2,1),(FN137-0.05)))</f>
        <v>1</v>
      </c>
      <c r="FP137" s="15">
        <f>MIN(1,MAX(VLOOKUP(($AJ137-$AI137-$AH137-$AG137-$AF137-$AE137*(1+FP$3))/$AJ137,'Технический лист'!$A:$B,2,1),(FO137-0.05)))</f>
        <v>1</v>
      </c>
      <c r="FQ137" s="15">
        <f>MIN(1,MAX(VLOOKUP(($AJ137-$AI137-$AH137-$AG137-$AF137-$AE137*(1+FQ$3))/$AJ137,'Технический лист'!$A:$B,2,1),(FP137-0.05)))</f>
        <v>1</v>
      </c>
      <c r="FR137" s="15">
        <f>MIN(1,MAX(VLOOKUP(($AJ137-$AI137-$AH137-$AG137-$AF137-$AE137*(1+FR$3))/$AJ137,'Технический лист'!$A:$B,2,1),(FQ137-0.05)))</f>
        <v>1</v>
      </c>
      <c r="FS137" s="15">
        <f>MIN(1,MAX(VLOOKUP(($AJ137-$AI137-$AH137-$AG137-$AF137-$AE137*(1+FS$3))/$AJ137,'Технический лист'!$A:$B,2,1),(FR137-0.05)))</f>
        <v>1</v>
      </c>
      <c r="FT137" s="15">
        <f>MIN(1,MAX(VLOOKUP(($AJ137-$AI137-$AH137-$AG137-$AF137-$AE137*(1+FT$3))/$AJ137,'Технический лист'!$A:$B,2,1),(FS137-0.05)))</f>
        <v>1</v>
      </c>
      <c r="FU137" s="15">
        <f>MIN(1,MAX(VLOOKUP(($AJ137-$AI137-$AH137-$AG137-$AF137-$AE137*(1+FU$3))/$AJ137,'Технический лист'!$A:$B,2,1),(FT137-0.05)))</f>
        <v>1</v>
      </c>
      <c r="FV137" s="15">
        <f>MIN(1,MAX(VLOOKUP(($AJ137-$AI137-$AH137-$AG137-$AF137-$AE137*(1+FV$3))/$AJ137,'Технический лист'!$A:$B,2,1),(FU137-0.05)))</f>
        <v>1</v>
      </c>
      <c r="FW137" s="15">
        <f>MIN(1,MAX(VLOOKUP(($AJ137-$AI137-$AH137-$AG137-$AF137-$AE137*(1+FW$3))/$AJ137,'Технический лист'!$A:$B,2,1),(FV137-0.05)))</f>
        <v>1</v>
      </c>
      <c r="FX137" s="15">
        <f>MIN(1,MAX(VLOOKUP(($AJ137-$AI137-$AH137-$AG137-$AF137-$AE137*(1+FX$3))/$AJ137,'Технический лист'!$A:$B,2,1),(FW137-0.05)))</f>
        <v>1</v>
      </c>
      <c r="FY137" s="15">
        <f>MIN(1,MAX(VLOOKUP(($AJ137-$AI137-$AH137-$AG137-$AF137-$AE137*(1+FY$3))/$AJ137,'Технический лист'!$A:$B,2,1),(FX137-0.05)))</f>
        <v>1</v>
      </c>
      <c r="FZ137" s="15">
        <f>MIN(1,MAX(VLOOKUP(($AJ137-$AI137-$AH137-$AG137-$AF137-$AE137*(1+FZ$3))/$AJ137,'Технический лист'!$A:$B,2,1),(FY137-0.05)))</f>
        <v>1</v>
      </c>
      <c r="GA137" s="15">
        <f>MIN(1,MAX(VLOOKUP(($AJ137-$AI137-$AH137-$AG137-$AF137-$AE137*(1+GA$3))/$AJ137,'Технический лист'!$A:$B,2,1),(FZ137-0.05)))</f>
        <v>1</v>
      </c>
      <c r="GB137" s="15">
        <f>MIN(1,MAX(VLOOKUP(($AJ137-$AI137-$AH137-$AG137-$AF137-$AE137*(1+GB$3))/$AJ137,'Технический лист'!$A:$B,2,1),(GA137-0.05)))</f>
        <v>1</v>
      </c>
      <c r="GC137" s="15">
        <f>MIN(1,MAX(VLOOKUP(($AJ137-$AI137-$AH137-$AG137-$AF137-$AE137*(1+GC$3))/$AJ137,'Технический лист'!$A:$B,2,1),(GB137-0.05)))</f>
        <v>1</v>
      </c>
      <c r="GD137" s="15">
        <f>MIN(1,MAX(VLOOKUP(($AJ137-$AI137-$AH137-$AG137-$AF137-$AE137*(1+GD$3))/$AJ137,'Технический лист'!$A:$B,2,1),(GC137-0.05)))</f>
        <v>1</v>
      </c>
      <c r="GE137" s="15">
        <f>MIN(1,MAX(VLOOKUP(($AJ137-$AI137-$AH137-$AG137-$AF137-$AE137*(1+GE$3))/$AJ137,'Технический лист'!$A:$B,2,1),(GD137-0.05)))</f>
        <v>1</v>
      </c>
      <c r="GF137" s="15">
        <f>MIN(1,MAX(VLOOKUP(($AJ137-$AI137-$AH137-$AG137-$AF137-$AE137*(1+GF$3))/$AJ137,'Технический лист'!$A:$B,2,1),(GE137-0.05)))</f>
        <v>1</v>
      </c>
      <c r="GG137" s="15">
        <f>MIN(1,MAX(VLOOKUP(($AJ137-$AI137-$AH137-$AG137-$AF137-$AE137*(1+GG$3))/$AJ137,'Технический лист'!$A:$B,2,1),(GF137-0.05)))</f>
        <v>1</v>
      </c>
      <c r="GH137" s="15">
        <f>MIN(1,MAX(VLOOKUP(($AJ137-$AI137-$AH137-$AG137-$AF137-$AE137*(1+GH$3))/$AJ137,'Технический лист'!$A:$B,2,1),(GG137-0.05)))</f>
        <v>1</v>
      </c>
      <c r="GI137" s="15">
        <f>MIN(1,MAX(VLOOKUP(($AJ137-$AI137-$AH137-$AG137-$AF137-$AE137*(1+GI$3))/$AJ137,'Технический лист'!$A:$B,2,1),(GH137-0.05)))</f>
        <v>1</v>
      </c>
      <c r="GJ137" s="15">
        <f>MIN(1,MAX(VLOOKUP(($AJ137-$AI137-$AH137-$AG137-$AF137-$AE137*(1+GJ$3))/$AJ137,'Технический лист'!$A:$B,2,1),(GI137-0.05)))</f>
        <v>1</v>
      </c>
      <c r="GK137" s="15">
        <f>MIN(1,MAX(VLOOKUP(($AJ137-$AI137-$AH137-$AG137-$AF137-$AE137*(1+GK$3))/$AJ137,'Технический лист'!$A:$B,2,1),(GJ137-0.05)))</f>
        <v>1</v>
      </c>
      <c r="GL137" s="15">
        <f>MIN(1,MAX(VLOOKUP(($AJ137-$AI137-$AH137-$AG137-$AF137-$AE137*(1+GL$3))/$AJ137,'Технический лист'!$A:$B,2,1),(GK137-0.05)))</f>
        <v>1</v>
      </c>
      <c r="GM137" s="15">
        <f>MIN(1,MAX(VLOOKUP(($AJ137-$AI137-$AH137-$AG137-$AF137-$AE137*(1+GM$3))/$AJ137,'Технический лист'!$A:$B,2,1),(GL137-0.05)))</f>
        <v>1</v>
      </c>
      <c r="GN137" s="15">
        <f>MIN(1,MAX(VLOOKUP(($AJ137-$AI137-$AH137-$AG137-$AF137-$AE137*(1+GN$3))/$AJ137,'Технический лист'!$A:$B,2,1),(GM137-0.05)))</f>
        <v>1</v>
      </c>
      <c r="GO137" s="15">
        <f>MIN(1,MAX(VLOOKUP(($AJ137-$AI137-$AH137-$AG137-$AF137-$AE137*(1+GO$3))/$AJ137,'Технический лист'!$A:$B,2,1),(GN137-0.05)))</f>
        <v>1</v>
      </c>
      <c r="GP137" s="15">
        <f>MIN(1,MAX(VLOOKUP(($AJ137-$AI137-$AH137-$AG137-$AF137-$AE137*(1+GP$3))/$AJ137,'Технический лист'!$A:$B,2,1),(GO137-0.05)))</f>
        <v>1</v>
      </c>
      <c r="GQ137" s="15">
        <f>MIN(1,MAX(VLOOKUP(($AJ137-$AI137-$AH137-$AG137-$AF137-$AE137*(1+GQ$3))/$AJ137,'Технический лист'!$A:$B,2,1),(GP137-0.05)))</f>
        <v>1</v>
      </c>
      <c r="GR137" s="15">
        <f>MIN(1,MAX(VLOOKUP(($AJ137-$AI137-$AH137-$AG137-$AF137-$AE137*(1+GR$3))/$AJ137,'Технический лист'!$A:$B,2,1),(GQ137-0.05)))</f>
        <v>1</v>
      </c>
      <c r="GS137" s="15">
        <f>MIN(1,MAX(VLOOKUP(($AJ137-$AI137-$AH137-$AG137-$AF137-$AE137*(1+GS$3))/$AJ137,'Технический лист'!$A:$B,2,1),(GR137-0.05)))</f>
        <v>1</v>
      </c>
      <c r="GT137" s="15">
        <f>MIN(1,MAX(VLOOKUP(($AJ137-$AI137-$AH137-$AG137-$AF137-$AE137*(1+GT$3))/$AJ137,'Технический лист'!$A:$B,2,1),(GS137-0.05)))</f>
        <v>1</v>
      </c>
      <c r="GU137" s="15">
        <f>MIN(1,MAX(VLOOKUP(($AJ137-$AI137-$AH137-$AG137-$AF137-$AE137*(1+GU$3))/$AJ137,'Технический лист'!$A:$B,2,1),(GT137-0.05)))</f>
        <v>1</v>
      </c>
      <c r="GV137" s="15">
        <f>MIN(1,MAX(VLOOKUP(($AJ137-$AI137-$AH137-$AG137-$AF137-$AE137*(1+GV$3))/$AJ137,'Технический лист'!$A:$B,2,1),(GU137-0.05)))</f>
        <v>1</v>
      </c>
      <c r="GW137" s="15">
        <f>MIN(1,MAX(VLOOKUP(($AJ137-$AI137-$AH137-$AG137-$AF137-$AE137*(1+GW$3))/$AJ137,'Технический лист'!$A:$B,2,1),(GV137-0.05)))</f>
        <v>1</v>
      </c>
      <c r="GX137" s="15">
        <f>MIN(1,MAX(VLOOKUP(($AJ137-$AI137-$AH137-$AG137-$AF137-$AE137*(1+GX$3))/$AJ137,'Технический лист'!$A:$B,2,1),(GW137-0.05)))</f>
        <v>1</v>
      </c>
      <c r="GY137" s="15">
        <f>MIN(1,MAX(VLOOKUP(($AJ137-$AI137-$AH137-$AG137-$AF137-$AE137*(1+GY$3))/$AJ137,'Технический лист'!$A:$B,2,1),(GX137-0.05)))</f>
        <v>1</v>
      </c>
      <c r="GZ137" s="15">
        <f>MIN(1,MAX(VLOOKUP(($AJ137-$AI137-$AH137-$AG137-$AF137-$AE137*(1+GZ$3))/$AJ137,'Технический лист'!$A:$B,2,1),(GY137-0.05)))</f>
        <v>1</v>
      </c>
      <c r="HA137" s="15">
        <f>MIN(1,MAX(VLOOKUP(($AJ137-$AI137-$AH137-$AG137-$AF137-$AE137*(1+HA$3))/$AJ137,'Технический лист'!$A:$B,2,1),(GZ137-0.05)))</f>
        <v>1</v>
      </c>
      <c r="HB137" s="15">
        <f>MIN(1,MAX(VLOOKUP(($AJ137-$AI137-$AH137-$AG137-$AF137-$AE137*(1+HB$3))/$AJ137,'Технический лист'!$A:$B,2,1),(HA137-0.05)))</f>
        <v>1</v>
      </c>
      <c r="HC137" s="15">
        <f>MIN(1,MAX(VLOOKUP(($AJ137-$AI137-$AH137-$AG137-$AF137-$AE137*(1+HC$3))/$AJ137,'Технический лист'!$A:$B,2,1),(HB137-0.05)))</f>
        <v>1</v>
      </c>
      <c r="HD137" s="15">
        <f>MIN(1,MAX(VLOOKUP(($AJ137-$AI137-$AH137-$AG137-$AF137-$AE137*(1+HD$3))/$AJ137,'Технический лист'!$A:$B,2,1),(HC137-0.05)))</f>
        <v>1</v>
      </c>
      <c r="HE137" s="15">
        <f>MIN(1,MAX(VLOOKUP(($AJ137-$AI137-$AH137-$AG137-$AF137-$AE137*(1+HE$3))/$AJ137,'Технический лист'!$A:$B,2,1),(HD137-0.05)))</f>
        <v>1</v>
      </c>
      <c r="HF137" s="15">
        <f>MIN(1,MAX(VLOOKUP(($AJ137-$AI137-$AH137-$AG137-$AF137-$AE137*(1+HF$3))/$AJ137,'Технический лист'!$A:$B,2,1),(HE137-0.05)))</f>
        <v>1</v>
      </c>
      <c r="HG137" s="15">
        <f>MIN(1,MAX(VLOOKUP(($AJ137-$AI137-$AH137-$AG137-$AF137-$AE137*(1+HG$3))/$AJ137,'Технический лист'!$A:$B,2,1),(HF137-0.05)))</f>
        <v>1</v>
      </c>
      <c r="HH137" s="15">
        <f>MIN(1,MAX(VLOOKUP(($AJ137-$AI137-$AH137-$AG137-$AF137-$AE137*(1+HH$3))/$AJ137,'Технический лист'!$A:$B,2,1),(HG137-0.05)))</f>
        <v>1</v>
      </c>
      <c r="HI137" s="15">
        <f>MIN(1,MAX(VLOOKUP(($AJ137-$AI137-$AH137-$AG137-$AF137-$AE137*(1+HI$3))/$AJ137,'Технический лист'!$A:$B,2,1),(HH137-0.05)))</f>
        <v>1</v>
      </c>
      <c r="HJ137" s="15">
        <f>MIN(1,MAX(VLOOKUP(($AJ137-$AI137-$AH137-$AG137-$AF137-$AE137*(1+HJ$3))/$AJ137,'Технический лист'!$A:$B,2,1),(HI137-0.05)))</f>
        <v>1</v>
      </c>
      <c r="HK137" s="15">
        <f>MIN(1,MAX(VLOOKUP(($AJ137-$AI137-$AH137-$AG137-$AF137-$AE137*(1+HK$3))/$AJ137,'Технический лист'!$A:$B,2,1),(HJ137-0.05)))</f>
        <v>1</v>
      </c>
      <c r="HL137" s="15">
        <f>MIN(1,MAX(VLOOKUP(($AJ137-$AI137-$AH137-$AG137-$AF137-$AE137*(1+HL$3))/$AJ137,'Технический лист'!$A:$B,2,1),(HK137-0.05)))</f>
        <v>1</v>
      </c>
      <c r="HM137" s="15">
        <f>MIN(1,MAX(VLOOKUP(($AJ137-$AI137-$AH137-$AG137-$AF137-$AE137*(1+HM$3))/$AJ137,'Технический лист'!$A:$B,2,1),(HL137-0.05)))</f>
        <v>1</v>
      </c>
      <c r="HN137" s="15">
        <f>MIN(1,MAX(VLOOKUP(($AJ137-$AI137-$AH137-$AG137-$AF137-$AE137*(1+HN$3))/$AJ137,'Технический лист'!$A:$B,2,1),(HM137-0.05)))</f>
        <v>1</v>
      </c>
      <c r="HO137" s="15">
        <f>MIN(1,MAX(VLOOKUP(($AJ137-$AI137-$AH137-$AG137-$AF137-$AE137*(1+HO$3))/$AJ137,'Технический лист'!$A:$B,2,1),(HN137-0.05)))</f>
        <v>1</v>
      </c>
      <c r="HP137" s="15">
        <f>MIN(1,MAX(VLOOKUP(($AJ137-$AI137-$AH137-$AG137-$AF137-$AE137*(1+HP$3))/$AJ137,'Технический лист'!$A:$B,2,1),(HO137-0.05)))</f>
        <v>1</v>
      </c>
      <c r="HQ137" s="15">
        <f>MIN(1,MAX(VLOOKUP(($AJ137-$AI137-$AH137-$AG137-$AF137-$AE137*(1+HQ$3))/$AJ137,'Технический лист'!$A:$B,2,1),(HP137-0.05)))</f>
        <v>1</v>
      </c>
      <c r="HR137" s="15">
        <f>MIN(1,MAX(VLOOKUP(($AJ137-$AI137-$AH137-$AG137-$AF137-$AE137*(1+HR$3))/$AJ137,'Технический лист'!$A:$B,2,1),(HQ137-0.05)))</f>
        <v>1</v>
      </c>
      <c r="HS137" s="15">
        <f>MIN(1,MAX(VLOOKUP(($AJ137-$AI137-$AH137-$AG137-$AF137-$AE137*(1+HS$3))/$AJ137,'Технический лист'!$A:$B,2,1),(HR137-0.05)))</f>
        <v>1</v>
      </c>
      <c r="HT137" s="15">
        <f>MIN(1,MAX(VLOOKUP(($AJ137-$AI137-$AH137-$AG137-$AF137-$AE137*(1+HT$3))/$AJ137,'Технический лист'!$A:$B,2,1),(HS137-0.05)))</f>
        <v>1</v>
      </c>
      <c r="HU137" s="15">
        <f>MIN(1,MAX(VLOOKUP(($AJ137-$AI137-$AH137-$AG137-$AF137-$AE137*(1+HU$3))/$AJ137,'Технический лист'!$A:$B,2,1),(HT137-0.05)))</f>
        <v>1</v>
      </c>
      <c r="HV137" s="15">
        <f>MIN(1,MAX(VLOOKUP(($AJ137-$AI137-$AH137-$AG137-$AF137-$AE137*(1+HV$3))/$AJ137,'Технический лист'!$A:$B,2,1),(HU137-0.05)))</f>
        <v>1</v>
      </c>
      <c r="HW137" s="15">
        <f>MIN(1,MAX(VLOOKUP(($AJ137-$AI137-$AH137-$AG137-$AF137-$AE137*(1+HW$3))/$AJ137,'Технический лист'!$A:$B,2,1),(HV137-0.05)))</f>
        <v>1</v>
      </c>
      <c r="HX137" s="15">
        <f>MIN(1,MAX(VLOOKUP(($AJ137-$AI137-$AH137-$AG137-$AF137-$AE137*(1+HX$3))/$AJ137,'Технический лист'!$A:$B,2,1),(HW137-0.05)))</f>
        <v>1</v>
      </c>
      <c r="HY137" s="15">
        <f>MIN(1,MAX(VLOOKUP(($AJ137-$AI137-$AH137-$AG137-$AF137-$AE137*(1+HY$3))/$AJ137,'Технический лист'!$A:$B,2,1),(HX137-0.05)))</f>
        <v>1</v>
      </c>
      <c r="HZ137" s="15">
        <f>MIN(1,MAX(VLOOKUP(($AJ137-$AI137-$AH137-$AG137-$AF137-$AE137*(1+HZ$3))/$AJ137,'Технический лист'!$A:$B,2,1),(HY137-0.05)))</f>
        <v>1</v>
      </c>
      <c r="IA137" s="15">
        <f>MIN(1,MAX(VLOOKUP(($AJ137-$AI137-$AH137-$AG137-$AF137-$AE137*(1+IA$3))/$AJ137,'Технический лист'!$A:$B,2,1),(HZ137-0.05)))</f>
        <v>1</v>
      </c>
      <c r="IB137" s="15">
        <f>MIN(1,MAX(VLOOKUP(($AJ137-$AI137-$AH137-$AG137-$AF137-$AE137*(1+IB$3))/$AJ137,'Технический лист'!$A:$B,2,1),(IA137-0.05)))</f>
        <v>1</v>
      </c>
      <c r="IC137" s="15">
        <f>MIN(1,MAX(VLOOKUP(($AJ137-$AI137-$AH137-$AG137-$AF137-$AE137*(1+IC$3))/$AJ137,'Технический лист'!$A:$B,2,1),(IB137-0.05)))</f>
        <v>1</v>
      </c>
      <c r="ID137" s="15">
        <f>MIN(1,MAX(VLOOKUP(($AJ137-$AI137-$AH137-$AG137-$AF137-$AE137*(1+ID$3))/$AJ137,'Технический лист'!$A:$B,2,1),(IC137-0.05)))</f>
        <v>1</v>
      </c>
      <c r="IE137" s="15">
        <f>MIN(1,MAX(VLOOKUP(($AJ137-$AI137-$AH137-$AG137-$AF137-$AE137*(1+IE$3))/$AJ137,'Технический лист'!$A:$B,2,1),(ID137-0.05)))</f>
        <v>1</v>
      </c>
      <c r="IF137" s="15">
        <f>MIN(1,MAX(VLOOKUP(($AJ137-$AI137-$AH137-$AG137-$AF137-$AE137*(1+IF$3))/$AJ137,'Технический лист'!$A:$B,2,1),(IE137-0.05)))</f>
        <v>1</v>
      </c>
      <c r="IG137" s="15">
        <f>MIN(1,MAX(VLOOKUP(($AJ137-$AI137-$AH137-$AG137-$AF137-$AE137*(1+IG$3))/$AJ137,'Технический лист'!$A:$B,2,1),(IF137-0.05)))</f>
        <v>1</v>
      </c>
      <c r="IH137" s="15">
        <f>MIN(1,MAX(VLOOKUP(($AJ137-$AI137-$AH137-$AG137-$AF137-$AE137*(1+IH$3))/$AJ137,'Технический лист'!$A:$B,2,1),(IG137-0.05)))</f>
        <v>1</v>
      </c>
      <c r="II137" s="15">
        <f>MIN(1,MAX(VLOOKUP(($AJ137-$AI137-$AH137-$AG137-$AF137-$AE137*(1+II$3))/$AJ137,'Технический лист'!$A:$B,2,1),(IH137-0.05)))</f>
        <v>1</v>
      </c>
      <c r="IJ137" s="15">
        <f>MIN(1,MAX(VLOOKUP(($AJ137-$AI137-$AH137-$AG137-$AF137-$AE137*(1+IJ$3))/$AJ137,'Технический лист'!$A:$B,2,1),(II137-0.05)))</f>
        <v>1</v>
      </c>
      <c r="IK137" s="15">
        <f>MIN(1,MAX(VLOOKUP(($AJ137-$AI137-$AH137-$AG137-$AF137-$AE137*(1+IK$3))/$AJ137,'Технический лист'!$A:$B,2,1),(IJ137-0.05)))</f>
        <v>1</v>
      </c>
      <c r="IL137" s="15">
        <f>MIN(1,MAX(VLOOKUP(($AJ137-$AI137-$AH137-$AG137-$AF137-$AE137*(1+IL$3))/$AJ137,'Технический лист'!$A:$B,2,1),(IK137-0.05)))</f>
        <v>1</v>
      </c>
      <c r="IM137" s="15">
        <f>MIN(1,MAX(VLOOKUP(($AJ137-$AI137-$AH137-$AG137-$AF137-$AE137*(1+IM$3))/$AJ137,'Технический лист'!$A:$B,2,1),(IL137-0.05)))</f>
        <v>1</v>
      </c>
      <c r="IN137" s="15">
        <f>MIN(1,MAX(VLOOKUP(($AJ137-$AI137-$AH137-$AG137-$AF137-$AE137*(1+IN$3))/$AJ137,'Технический лист'!$A:$B,2,1),(IM137-0.05)))</f>
        <v>1</v>
      </c>
      <c r="IO137" s="15">
        <f>MIN(1,MAX(VLOOKUP(($AJ137-$AI137-$AH137-$AG137-$AF137-$AE137*(1+IO$3))/$AJ137,'Технический лист'!$A:$B,2,1),(IN137-0.05)))</f>
        <v>1</v>
      </c>
      <c r="IP137" s="15">
        <f>MIN(1,MAX(VLOOKUP(($AJ137-$AI137-$AH137-$AG137-$AF137-$AE137*(1+IP$3))/$AJ137,'Технический лист'!$A:$B,2,1),(IO137-0.05)))</f>
        <v>1</v>
      </c>
      <c r="IQ137" s="15">
        <f>MIN(1,MAX(VLOOKUP(($AJ137-$AI137-$AH137-$AG137-$AF137-$AE137*(1+IQ$3))/$AJ137,'Технический лист'!$A:$B,2,1),(IP137-0.05)))</f>
        <v>1</v>
      </c>
      <c r="IR137" s="15">
        <f>MIN(1,MAX(VLOOKUP(($AJ137-$AI137-$AH137-$AG137-$AF137-$AE137*(1+IR$3))/$AJ137,'Технический лист'!$A:$B,2,1),(IQ137-0.05)))</f>
        <v>1</v>
      </c>
    </row>
    <row r="138" spans="1:252" s="1" customFormat="1" ht="29.15">
      <c r="A138" s="89" t="s">
        <v>513</v>
      </c>
      <c r="B138" s="90">
        <v>10</v>
      </c>
      <c r="C138" s="5" t="s">
        <v>66</v>
      </c>
      <c r="D138" s="91">
        <v>33101</v>
      </c>
      <c r="E138" s="91" t="s">
        <v>325</v>
      </c>
      <c r="F138" s="92" t="s">
        <v>72</v>
      </c>
      <c r="G138" s="91" t="s">
        <v>23</v>
      </c>
      <c r="H138" s="91" t="s">
        <v>19</v>
      </c>
      <c r="I138" s="91" t="s">
        <v>109</v>
      </c>
      <c r="J138" s="91" t="s">
        <v>110</v>
      </c>
      <c r="K138" s="91">
        <v>316</v>
      </c>
      <c r="L138" s="85" t="s">
        <v>188</v>
      </c>
      <c r="M138" s="91" t="s">
        <v>190</v>
      </c>
      <c r="N138" s="91" t="s">
        <v>191</v>
      </c>
      <c r="O138" s="91" t="s">
        <v>194</v>
      </c>
      <c r="P138" s="89" t="s">
        <v>216</v>
      </c>
      <c r="Q138" s="91" t="s">
        <v>294</v>
      </c>
      <c r="R138" s="91" t="s">
        <v>261</v>
      </c>
      <c r="S138" s="82">
        <v>4066</v>
      </c>
      <c r="T138" s="82">
        <v>1284934</v>
      </c>
      <c r="U138" s="81">
        <v>61</v>
      </c>
      <c r="V138" s="81">
        <v>0</v>
      </c>
      <c r="W138" s="82">
        <v>4628129</v>
      </c>
      <c r="X138" s="112">
        <v>66</v>
      </c>
      <c r="Y138" s="112" t="s">
        <v>417</v>
      </c>
      <c r="Z138" s="113">
        <v>4</v>
      </c>
      <c r="AA138" s="113">
        <v>4</v>
      </c>
      <c r="AB138" s="113">
        <v>4</v>
      </c>
      <c r="AC138" s="99">
        <v>1277.7</v>
      </c>
      <c r="AD138" s="99">
        <f>AE138-AC138</f>
        <v>101.29999999999995</v>
      </c>
      <c r="AE138" s="99">
        <v>1379</v>
      </c>
      <c r="AF138" s="98">
        <f>(AB138+AA138+Z138)*'Ставки аренды'!B8/X138</f>
        <v>545.4545454545455</v>
      </c>
      <c r="AG138" s="94">
        <v>0</v>
      </c>
      <c r="AH138" s="94">
        <v>0</v>
      </c>
      <c r="AI138" s="115">
        <f>12254/14812*AVERAGE(AJ134,AJ137)</f>
        <v>213196.79438107618</v>
      </c>
      <c r="AJ138" s="117">
        <f>Цены!D19</f>
        <v>280000</v>
      </c>
      <c r="AK138" s="94">
        <f>AJ138/Цены!$B$1</f>
        <v>3669.4602617111482</v>
      </c>
      <c r="AL138" s="95">
        <f t="shared" si="54"/>
        <v>1924.4545454545455</v>
      </c>
      <c r="AM138" s="95">
        <f t="shared" si="55"/>
        <v>278075.54545454547</v>
      </c>
      <c r="AN138" s="94">
        <f t="shared" si="52"/>
        <v>215121.24892653074</v>
      </c>
      <c r="AO138" s="118">
        <f t="shared" si="53"/>
        <v>0.23170982526239023</v>
      </c>
      <c r="AP138" s="96">
        <f t="shared" si="56"/>
        <v>6.8730519480519484E-3</v>
      </c>
      <c r="AQ138" s="96">
        <f t="shared" si="57"/>
        <v>4.9249999999999997E-3</v>
      </c>
      <c r="AR138" s="96">
        <f t="shared" si="58"/>
        <v>0.71656667768907367</v>
      </c>
      <c r="AS138" s="122">
        <v>1</v>
      </c>
      <c r="AT138" s="121">
        <f t="shared" si="45"/>
        <v>4066</v>
      </c>
      <c r="AU138" s="83">
        <v>0.95</v>
      </c>
      <c r="AV138" s="119">
        <f t="shared" si="41"/>
        <v>0.23111882526239028</v>
      </c>
      <c r="AW138" s="120">
        <f t="shared" si="42"/>
        <v>7.4640519480519479E-3</v>
      </c>
      <c r="AX138" s="120">
        <f t="shared" si="43"/>
        <v>5.5160000000000009E-3</v>
      </c>
      <c r="AY138" s="120">
        <f t="shared" si="44"/>
        <v>0.73900879018394672</v>
      </c>
      <c r="AZ138" s="15">
        <f>MIN(IF($AU138=100%,1,1+VLOOKUP(($AJ138-$AI138-$AH138-$AG138-$AF138-$AE138*(1+AZ$3))/$AJ138,'Технический лист'!$I:$J,2,1)-VLOOKUP($AO138,'Технический лист'!$I:$J,2,1)),1+(1-$AU138))</f>
        <v>1</v>
      </c>
      <c r="BA138" s="15">
        <f>MIN(IF($AU138=100%,1,1+VLOOKUP(($AJ138-$AI138-$AH138-$AG138-$AF138-$AE138*(1+BA$3))/$AJ138,'Технический лист'!$I:$J,2,1)-VLOOKUP($AO138,'Технический лист'!$I:$J,2,1)),1+(1-$AU138))</f>
        <v>1</v>
      </c>
      <c r="BB138" s="15">
        <f>MIN(IF($AU138=100%,1,1+VLOOKUP(($AJ138-$AI138-$AH138-$AG138-$AF138-$AE138*(1+BB$3))/$AJ138,'Технический лист'!$I:$J,2,1)-VLOOKUP($AO138,'Технический лист'!$I:$J,2,1)),1+(1-$AU138))</f>
        <v>1</v>
      </c>
      <c r="BC138" s="15">
        <f>MIN(IF($AU138=100%,1,1+VLOOKUP(($AJ138-$AI138-$AH138-$AG138-$AF138-$AE138*(1+BC$3))/$AJ138,'Технический лист'!$I:$J,2,1)-VLOOKUP($AO138,'Технический лист'!$I:$J,2,1)),1+(1-$AU138))</f>
        <v>1</v>
      </c>
      <c r="BD138" s="15">
        <f>MIN(IF($AU138=100%,1,1+VLOOKUP(($AJ138-$AI138-$AH138-$AG138-$AF138-$AE138*(1+BD$3))/$AJ138,'Технический лист'!$I:$J,2,1)-VLOOKUP($AO138,'Технический лист'!$I:$J,2,1)),1+(1-$AU138))</f>
        <v>1</v>
      </c>
      <c r="BE138" s="15">
        <f>MIN(IF($AU138=100%,1,1+VLOOKUP(($AJ138-$AI138-$AH138-$AG138-$AF138-$AE138*(1+BE$3))/$AJ138,'Технический лист'!$I:$J,2,1)-VLOOKUP($AO138,'Технический лист'!$I:$J,2,1)),1+(1-$AU138))</f>
        <v>1</v>
      </c>
      <c r="BF138" s="15">
        <f>MIN(IF($AU138=100%,1,1+VLOOKUP(($AJ138-$AI138-$AH138-$AG138-$AF138-$AE138*(1+BF$3))/$AJ138,'Технический лист'!$I:$J,2,1)-VLOOKUP($AO138,'Технический лист'!$I:$J,2,1)),1+(1-$AU138))</f>
        <v>1</v>
      </c>
      <c r="BG138" s="15">
        <f>MIN(IF($AU138=100%,1,1+VLOOKUP(($AJ138-$AI138-$AH138-$AG138-$AF138-$AE138*(1+BG$3))/$AJ138,'Технический лист'!$I:$J,2,1)-VLOOKUP($AO138,'Технический лист'!$I:$J,2,1)),1+(1-$AU138))</f>
        <v>1</v>
      </c>
      <c r="BH138" s="15">
        <f>MIN(IF($AU138=100%,1,1+VLOOKUP(($AJ138-$AI138-$AH138-$AG138-$AF138-$AE138*(1+BH$3))/$AJ138,'Технический лист'!$I:$J,2,1)-VLOOKUP($AO138,'Технический лист'!$I:$J,2,1)),1+(1-$AU138))</f>
        <v>1</v>
      </c>
      <c r="BI138" s="15">
        <f>MIN(IF($AU138=100%,1,1+VLOOKUP(($AJ138-$AI138-$AH138-$AG138-$AF138-$AE138*(1+BI$3))/$AJ138,'Технический лист'!$I:$J,2,1)-VLOOKUP($AO138,'Технический лист'!$I:$J,2,1)),1+(1-$AU138))</f>
        <v>1</v>
      </c>
      <c r="BJ138" s="15">
        <f>MIN(IF($AU138=100%,1,1+VLOOKUP(($AJ138-$AI138-$AH138-$AG138-$AF138-$AE138*(1+BJ$3))/$AJ138,'Технический лист'!$I:$J,2,1)-VLOOKUP($AO138,'Технический лист'!$I:$J,2,1)),1+(1-$AU138))</f>
        <v>1</v>
      </c>
      <c r="BK138" s="15">
        <f>MIN(IF($AU138=100%,1,1+VLOOKUP(($AJ138-$AI138-$AH138-$AG138-$AF138-$AE138*(1+BK$3))/$AJ138,'Технический лист'!$I:$J,2,1)-VLOOKUP($AO138,'Технический лист'!$I:$J,2,1)),1+(1-$AU138))</f>
        <v>1</v>
      </c>
      <c r="BL138" s="15">
        <f>MIN(IF($AU138=100%,1,1+VLOOKUP(($AJ138-$AI138-$AH138-$AG138-$AF138-$AE138*(1+BL$3))/$AJ138,'Технический лист'!$I:$J,2,1)-VLOOKUP($AO138,'Технический лист'!$I:$J,2,1)),1+(1-$AU138))</f>
        <v>1</v>
      </c>
      <c r="BM138" s="15">
        <f>MIN(IF($AU138=100%,1,1+VLOOKUP(($AJ138-$AI138-$AH138-$AG138-$AF138-$AE138*(1+BM$3))/$AJ138,'Технический лист'!$I:$J,2,1)-VLOOKUP($AO138,'Технический лист'!$I:$J,2,1)),1+(1-$AU138))</f>
        <v>1</v>
      </c>
      <c r="BN138" s="15">
        <f>MIN(IF($AU138=100%,1,1+VLOOKUP(($AJ138-$AI138-$AH138-$AG138-$AF138-$AE138*(1+BN$3))/$AJ138,'Технический лист'!$I:$J,2,1)-VLOOKUP($AO138,'Технический лист'!$I:$J,2,1)),1+(1-$AU138))</f>
        <v>1</v>
      </c>
      <c r="BO138" s="15">
        <f>MIN(IF($AU138=100%,1,1+VLOOKUP(($AJ138-$AI138-$AH138-$AG138-$AF138-$AE138*(1+BO$3))/$AJ138,'Технический лист'!$I:$J,2,1)-VLOOKUP($AO138,'Технический лист'!$I:$J,2,1)),1+(1-$AU138))</f>
        <v>1</v>
      </c>
      <c r="BP138" s="15">
        <f>MIN(IF($AU138=100%,1,1+VLOOKUP(($AJ138-$AI138-$AH138-$AG138-$AF138-$AE138*(1+BP$3))/$AJ138,'Технический лист'!$I:$J,2,1)-VLOOKUP($AO138,'Технический лист'!$I:$J,2,1)),1+(1-$AU138))</f>
        <v>1</v>
      </c>
      <c r="BQ138" s="15">
        <f>MIN(IF($AU138=100%,1,1+VLOOKUP(($AJ138-$AI138-$AH138-$AG138-$AF138-$AE138*(1+BQ$3))/$AJ138,'Технический лист'!$I:$J,2,1)-VLOOKUP($AO138,'Технический лист'!$I:$J,2,1)),1+(1-$AU138))</f>
        <v>1</v>
      </c>
      <c r="BR138" s="15">
        <f>MIN(IF($AU138=100%,1,1+VLOOKUP(($AJ138-$AI138-$AH138-$AG138-$AF138-$AE138*(1+BR$3))/$AJ138,'Технический лист'!$I:$J,2,1)-VLOOKUP($AO138,'Технический лист'!$I:$J,2,1)),1+(1-$AU138))</f>
        <v>1</v>
      </c>
      <c r="BS138" s="15">
        <f>MIN(IF($AU138=100%,1,1+VLOOKUP(($AJ138-$AI138-$AH138-$AG138-$AF138-$AE138*(1+BS$3))/$AJ138,'Технический лист'!$I:$J,2,1)-VLOOKUP($AO138,'Технический лист'!$I:$J,2,1)),1+(1-$AU138))</f>
        <v>1</v>
      </c>
      <c r="BT138" s="15">
        <f>MIN(IF($AU138=100%,1,1+VLOOKUP(($AJ138-$AI138-$AH138-$AG138-$AF138-$AE138*(1+BT$3))/$AJ138,'Технический лист'!$I:$J,2,1)-VLOOKUP($AO138,'Технический лист'!$I:$J,2,1)),1+(1-$AU138))</f>
        <v>1</v>
      </c>
      <c r="BU138" s="15">
        <f>MIN(IF($AU138=100%,1,1+VLOOKUP(($AJ138-$AI138-$AH138-$AG138-$AF138-$AE138*(1+BU$3))/$AJ138,'Технический лист'!$I:$J,2,1)-VLOOKUP($AO138,'Технический лист'!$I:$J,2,1)),1+(1-$AU138))</f>
        <v>1</v>
      </c>
      <c r="BV138" s="15">
        <f>MIN(IF($AU138=100%,1,1+VLOOKUP(($AJ138-$AI138-$AH138-$AG138-$AF138-$AE138*(1+BV$3))/$AJ138,'Технический лист'!$I:$J,2,1)-VLOOKUP($AO138,'Технический лист'!$I:$J,2,1)),1+(1-$AU138))</f>
        <v>1</v>
      </c>
      <c r="BW138" s="15">
        <f>MIN(IF($AU138=100%,1,1+VLOOKUP(($AJ138-$AI138-$AH138-$AG138-$AF138-$AE138*(1+BW$3))/$AJ138,'Технический лист'!$I:$J,2,1)-VLOOKUP($AO138,'Технический лист'!$I:$J,2,1)),1+(1-$AU138))</f>
        <v>1</v>
      </c>
      <c r="BX138" s="15">
        <f>MIN(IF($AU138=100%,1,1+VLOOKUP(($AJ138-$AI138-$AH138-$AG138-$AF138-$AE138*(1+BX$3))/$AJ138,'Технический лист'!$I:$J,2,1)-VLOOKUP($AO138,'Технический лист'!$I:$J,2,1)),1+(1-$AU138))</f>
        <v>1</v>
      </c>
      <c r="BY138" s="15">
        <f>MIN(IF($AU138=100%,1,1+VLOOKUP(($AJ138-$AI138-$AH138-$AG138-$AF138-$AE138*(1+BY$3))/$AJ138,'Технический лист'!$I:$J,2,1)-VLOOKUP($AO138,'Технический лист'!$I:$J,2,1)),1+(1-$AU138))</f>
        <v>1</v>
      </c>
      <c r="BZ138" s="15">
        <f>MIN(IF($AU138=100%,1,1+VLOOKUP(($AJ138-$AI138-$AH138-$AG138-$AF138-$AE138*(1+BZ$3))/$AJ138,'Технический лист'!$I:$J,2,1)-VLOOKUP($AO138,'Технический лист'!$I:$J,2,1)),1+(1-$AU138))</f>
        <v>1</v>
      </c>
      <c r="CA138" s="15">
        <f>MIN(IF($AU138=100%,1,1+VLOOKUP(($AJ138-$AI138-$AH138-$AG138-$AF138-$AE138*(1+CA$3))/$AJ138,'Технический лист'!$I:$J,2,1)-VLOOKUP($AO138,'Технический лист'!$I:$J,2,1)),1+(1-$AU138))</f>
        <v>1</v>
      </c>
      <c r="CB138" s="15">
        <f>MIN(IF($AU138=100%,1,1+VLOOKUP(($AJ138-$AI138-$AH138-$AG138-$AF138-$AE138*(1+CB$3))/$AJ138,'Технический лист'!$I:$J,2,1)-VLOOKUP($AO138,'Технический лист'!$I:$J,2,1)),1+(1-$AU138))</f>
        <v>1</v>
      </c>
      <c r="CC138" s="15">
        <f>MIN(IF($AU138=100%,1,1+VLOOKUP(($AJ138-$AI138-$AH138-$AG138-$AF138-$AE138*(1+CC$3))/$AJ138,'Технический лист'!$I:$J,2,1)-VLOOKUP($AO138,'Технический лист'!$I:$J,2,1)),1+(1-$AU138))</f>
        <v>1</v>
      </c>
      <c r="CD138" s="15">
        <f>MIN(IF($AU138=100%,1,1+VLOOKUP(($AJ138-$AI138-$AH138-$AG138-$AF138-$AE138*(1+CD$3))/$AJ138,'Технический лист'!$I:$J,2,1)-VLOOKUP($AO138,'Технический лист'!$I:$J,2,1)),1+(1-$AU138))</f>
        <v>1</v>
      </c>
      <c r="CE138" s="15">
        <f>MIN(IF($AU138=100%,1,1+VLOOKUP(($AJ138-$AI138-$AH138-$AG138-$AF138-$AE138*(1+CE$3))/$AJ138,'Технический лист'!$I:$J,2,1)-VLOOKUP($AO138,'Технический лист'!$I:$J,2,1)),1+(1-$AU138))</f>
        <v>1</v>
      </c>
      <c r="CF138" s="15">
        <f>MIN(IF($AU138=100%,1,1+VLOOKUP(($AJ138-$AI138-$AH138-$AG138-$AF138-$AE138*(1+CF$3))/$AJ138,'Технический лист'!$I:$J,2,1)-VLOOKUP($AO138,'Технический лист'!$I:$J,2,1)),1+(1-$AU138))</f>
        <v>1</v>
      </c>
      <c r="CG138" s="15">
        <f>MIN(IF($AU138=100%,1,1+VLOOKUP(($AJ138-$AI138-$AH138-$AG138-$AF138-$AE138*(1+CG$3))/$AJ138,'Технический лист'!$I:$J,2,1)-VLOOKUP($AO138,'Технический лист'!$I:$J,2,1)),1+(1-$AU138))</f>
        <v>1</v>
      </c>
      <c r="CH138" s="15">
        <f>MIN(IF($AU138=100%,1,1+VLOOKUP(($AJ138-$AI138-$AH138-$AG138-$AF138-$AE138*(1+CH$3))/$AJ138,'Технический лист'!$I:$J,2,1)-VLOOKUP($AO138,'Технический лист'!$I:$J,2,1)),1+(1-$AU138))</f>
        <v>1</v>
      </c>
      <c r="CI138" s="15">
        <f>MIN(IF($AU138=100%,1,1+VLOOKUP(($AJ138-$AI138-$AH138-$AG138-$AF138-$AE138*(1+CI$3))/$AJ138,'Технический лист'!$I:$J,2,1)-VLOOKUP($AO138,'Технический лист'!$I:$J,2,1)),1+(1-$AU138))</f>
        <v>1</v>
      </c>
      <c r="CJ138" s="15">
        <f>MIN(IF($AU138=100%,1,1+VLOOKUP(($AJ138-$AI138-$AH138-$AG138-$AF138-$AE138*(1+CJ$3))/$AJ138,'Технический лист'!$I:$J,2,1)-VLOOKUP($AO138,'Технический лист'!$I:$J,2,1)),1+(1-$AU138))</f>
        <v>1</v>
      </c>
      <c r="CK138" s="15">
        <f>MIN(IF($AU138=100%,1,1+VLOOKUP(($AJ138-$AI138-$AH138-$AG138-$AF138-$AE138*(1+CK$3))/$AJ138,'Технический лист'!$I:$J,2,1)-VLOOKUP($AO138,'Технический лист'!$I:$J,2,1)),1+(1-$AU138))</f>
        <v>1</v>
      </c>
      <c r="CL138" s="15">
        <f>MIN(IF($AU138=100%,1,1+VLOOKUP(($AJ138-$AI138-$AH138-$AG138-$AF138-$AE138*(1+CL$3))/$AJ138,'Технический лист'!$I:$J,2,1)-VLOOKUP($AO138,'Технический лист'!$I:$J,2,1)),1+(1-$AU138))</f>
        <v>1</v>
      </c>
      <c r="CM138" s="15">
        <f>MIN(IF($AU138=100%,1,1+VLOOKUP(($AJ138-$AI138-$AH138-$AG138-$AF138-$AE138*(1+CM$3))/$AJ138,'Технический лист'!$I:$J,2,1)-VLOOKUP($AO138,'Технический лист'!$I:$J,2,1)),1+(1-$AU138))</f>
        <v>1</v>
      </c>
      <c r="CN138" s="15">
        <f>MIN(IF($AU138=100%,1,1+VLOOKUP(($AJ138-$AI138-$AH138-$AG138-$AF138-$AE138*(1+CN$3))/$AJ138,'Технический лист'!$I:$J,2,1)-VLOOKUP($AO138,'Технический лист'!$I:$J,2,1)),1+(1-$AU138))</f>
        <v>1</v>
      </c>
      <c r="CO138" s="15">
        <f>MIN(IF($AU138=100%,1,1+VLOOKUP(($AJ138-$AI138-$AH138-$AG138-$AF138-$AE138*(1+CO$3))/$AJ138,'Технический лист'!$I:$J,2,1)-VLOOKUP($AO138,'Технический лист'!$I:$J,2,1)),1+(1-$AU138))</f>
        <v>1</v>
      </c>
      <c r="CP138" s="15">
        <f>MIN(IF($AU138=100%,1,1+VLOOKUP(($AJ138-$AI138-$AH138-$AG138-$AF138-$AE138*(1+CP$3))/$AJ138,'Технический лист'!$I:$J,2,1)-VLOOKUP($AO138,'Технический лист'!$I:$J,2,1)),1+(1-$AU138))</f>
        <v>1</v>
      </c>
      <c r="CQ138" s="15">
        <f>MIN(IF($AU138=100%,1,1+VLOOKUP(($AJ138-$AI138-$AH138-$AG138-$AF138-$AE138*(1+CQ$3))/$AJ138,'Технический лист'!$I:$J,2,1)-VLOOKUP($AO138,'Технический лист'!$I:$J,2,1)),1+(1-$AU138))</f>
        <v>1</v>
      </c>
      <c r="CR138" s="15">
        <f>MIN(IF($AU138=100%,1,1+VLOOKUP(($AJ138-$AI138-$AH138-$AG138-$AF138-$AE138*(1+CR$3))/$AJ138,'Технический лист'!$I:$J,2,1)-VLOOKUP($AO138,'Технический лист'!$I:$J,2,1)),1+(1-$AU138))</f>
        <v>1</v>
      </c>
      <c r="CS138" s="15">
        <f>MIN(IF($AU138=100%,1,1+VLOOKUP(($AJ138-$AI138-$AH138-$AG138-$AF138-$AE138*(1+CS$3))/$AJ138,'Технический лист'!$I:$J,2,1)-VLOOKUP($AO138,'Технический лист'!$I:$J,2,1)),1+(1-$AU138))</f>
        <v>1</v>
      </c>
      <c r="CT138" s="15">
        <f>MIN(IF($AU138=100%,1,1+VLOOKUP(($AJ138-$AI138-$AH138-$AG138-$AF138-$AE138*(1+CT$3))/$AJ138,'Технический лист'!$I:$J,2,1)-VLOOKUP($AO138,'Технический лист'!$I:$J,2,1)),1+(1-$AU138))</f>
        <v>1</v>
      </c>
      <c r="CU138" s="15">
        <f>MIN(IF($AU138=100%,1,1+VLOOKUP(($AJ138-$AI138-$AH138-$AG138-$AF138-$AE138*(1+CU$3))/$AJ138,'Технический лист'!$I:$J,2,1)-VLOOKUP($AO138,'Технический лист'!$I:$J,2,1)),1+(1-$AU138))</f>
        <v>1</v>
      </c>
      <c r="CV138" s="15">
        <f>MIN(IF($AU138=100%,1,1+VLOOKUP(($AJ138-$AI138-$AH138-$AG138-$AF138-$AE138*(1+CV$3))/$AJ138,'Технический лист'!$I:$J,2,1)-VLOOKUP($AO138,'Технический лист'!$I:$J,2,1)),1+(1-$AU138))</f>
        <v>1</v>
      </c>
      <c r="CW138" s="15">
        <f>MIN(IF($AU138=100%,1,1+VLOOKUP(($AJ138-$AI138-$AH138-$AG138-$AF138-$AE138*(1+CW$3))/$AJ138,'Технический лист'!$I:$J,2,1)-VLOOKUP($AO138,'Технический лист'!$I:$J,2,1)),1+(1-$AU138))</f>
        <v>1</v>
      </c>
      <c r="CX138" s="15">
        <f>MIN(IF($AU138=100%,1,1+VLOOKUP(($AJ138-$AI138-$AH138-$AG138-$AF138-$AE138*(1+CX$3))/$AJ138,'Технический лист'!$I:$J,2,1)-VLOOKUP($AO138,'Технический лист'!$I:$J,2,1)),1+(1-$AU138))</f>
        <v>1</v>
      </c>
      <c r="CY138" s="15">
        <f>MIN(IF($AU138=100%,1,1+VLOOKUP(($AJ138-$AI138-$AH138-$AG138-$AF138-$AE138*(1+CY$3))/$AJ138,'Технический лист'!$I:$J,2,1)-VLOOKUP($AO138,'Технический лист'!$I:$J,2,1)),1+(1-$AU138))</f>
        <v>1</v>
      </c>
      <c r="CZ138" s="15">
        <f>MIN(IF($AU138=100%,1,1+VLOOKUP(($AJ138-$AI138-$AH138-$AG138-$AF138-$AE138*(1+CZ$3))/$AJ138,'Технический лист'!$I:$J,2,1)-VLOOKUP($AO138,'Технический лист'!$I:$J,2,1)),1+(1-$AU138))</f>
        <v>1</v>
      </c>
      <c r="DA138" s="15">
        <f>MIN(IF($AU138=100%,1,1+VLOOKUP(($AJ138-$AI138-$AH138-$AG138-$AF138-$AE138*(1+DA$3))/$AJ138,'Технический лист'!$I:$J,2,1)-VLOOKUP($AO138,'Технический лист'!$I:$J,2,1)),1+(1-$AU138))</f>
        <v>1</v>
      </c>
      <c r="DB138" s="15">
        <f>MIN(IF($AU138=100%,1,1+VLOOKUP(($AJ138-$AI138-$AH138-$AG138-$AF138-$AE138*(1+DB$3))/$AJ138,'Технический лист'!$I:$J,2,1)-VLOOKUP($AO138,'Технический лист'!$I:$J,2,1)),1+(1-$AU138))</f>
        <v>1</v>
      </c>
      <c r="DC138" s="15">
        <f>MIN(IF($AU138=100%,1,1+VLOOKUP(($AJ138-$AI138-$AH138-$AG138-$AF138-$AE138*(1+DC$3))/$AJ138,'Технический лист'!$I:$J,2,1)-VLOOKUP($AO138,'Технический лист'!$I:$J,2,1)),1+(1-$AU138))</f>
        <v>1</v>
      </c>
      <c r="DD138" s="15">
        <f>MIN(IF($AU138=100%,1,1+VLOOKUP(($AJ138-$AI138-$AH138-$AG138-$AF138-$AE138*(1+DD$3))/$AJ138,'Технический лист'!$I:$J,2,1)-VLOOKUP($AO138,'Технический лист'!$I:$J,2,1)),1+(1-$AU138))</f>
        <v>1</v>
      </c>
      <c r="DE138" s="15">
        <f>MIN(IF($AU138=100%,1,1+VLOOKUP(($AJ138-$AI138-$AH138-$AG138-$AF138-$AE138*(1+DE$3))/$AJ138,'Технический лист'!$I:$J,2,1)-VLOOKUP($AO138,'Технический лист'!$I:$J,2,1)),1+(1-$AU138))</f>
        <v>1</v>
      </c>
      <c r="DF138" s="15">
        <f>MIN(IF($AU138=100%,1,1+VLOOKUP(($AJ138-$AI138-$AH138-$AG138-$AF138-$AE138*(1+DF$3))/$AJ138,'Технический лист'!$I:$J,2,1)-VLOOKUP($AO138,'Технический лист'!$I:$J,2,1)),1+(1-$AU138))</f>
        <v>1</v>
      </c>
      <c r="DG138" s="15">
        <f>MIN(IF($AU138=100%,1,1+VLOOKUP(($AJ138-$AI138-$AH138-$AG138-$AF138-$AE138*(1+DG$3))/$AJ138,'Технический лист'!$I:$J,2,1)-VLOOKUP($AO138,'Технический лист'!$I:$J,2,1)),1+(1-$AU138))</f>
        <v>1</v>
      </c>
      <c r="DH138" s="15">
        <f>MIN(IF($AU138=100%,1,1+VLOOKUP(($AJ138-$AI138-$AH138-$AG138-$AF138-$AE138*(1+DH$3))/$AJ138,'Технический лист'!$I:$J,2,1)-VLOOKUP($AO138,'Технический лист'!$I:$J,2,1)),1+(1-$AU138))</f>
        <v>1</v>
      </c>
      <c r="DI138" s="15">
        <f>MIN(IF($AU138=100%,1,1+VLOOKUP(($AJ138-$AI138-$AH138-$AG138-$AF138-$AE138*(1+DI$3))/$AJ138,'Технический лист'!$I:$J,2,1)-VLOOKUP($AO138,'Технический лист'!$I:$J,2,1)),1+(1-$AU138))</f>
        <v>1</v>
      </c>
      <c r="DJ138" s="15">
        <f>MIN(IF($AU138=100%,1,1+VLOOKUP(($AJ138-$AI138-$AH138-$AG138-$AF138-$AE138*(1+DJ$3))/$AJ138,'Технический лист'!$I:$J,2,1)-VLOOKUP($AO138,'Технический лист'!$I:$J,2,1)),1+(1-$AU138))</f>
        <v>1</v>
      </c>
      <c r="DK138" s="15">
        <f>MIN(IF($AU138=100%,1,1+VLOOKUP(($AJ138-$AI138-$AH138-$AG138-$AF138-$AE138*(1+DK$3))/$AJ138,'Технический лист'!$I:$J,2,1)-VLOOKUP($AO138,'Технический лист'!$I:$J,2,1)),1+(1-$AU138))</f>
        <v>1</v>
      </c>
      <c r="DL138" s="15">
        <f>MIN(IF($AU138=100%,1,1+VLOOKUP(($AJ138-$AI138-$AH138-$AG138-$AF138-$AE138*(1+DL$3))/$AJ138,'Технический лист'!$I:$J,2,1)-VLOOKUP($AO138,'Технический лист'!$I:$J,2,1)),1+(1-$AU138))</f>
        <v>1</v>
      </c>
      <c r="DM138" s="15">
        <f>MIN(IF($AU138=100%,1,1+VLOOKUP(($AJ138-$AI138-$AH138-$AG138-$AF138-$AE138*(1+DM$3))/$AJ138,'Технический лист'!$I:$J,2,1)-VLOOKUP($AO138,'Технический лист'!$I:$J,2,1)),1+(1-$AU138))</f>
        <v>1</v>
      </c>
      <c r="DN138" s="15">
        <f>MIN(IF($AU138=100%,1,1+VLOOKUP(($AJ138-$AI138-$AH138-$AG138-$AF138-$AE138*(1+DN$3))/$AJ138,'Технический лист'!$I:$J,2,1)-VLOOKUP($AO138,'Технический лист'!$I:$J,2,1)),1+(1-$AU138))</f>
        <v>1</v>
      </c>
      <c r="DO138" s="15">
        <f>MIN(IF($AU138=100%,1,1+VLOOKUP(($AJ138-$AI138-$AH138-$AG138-$AF138-$AE138*(1+DO$3))/$AJ138,'Технический лист'!$I:$J,2,1)-VLOOKUP($AO138,'Технический лист'!$I:$J,2,1)),1+(1-$AU138))</f>
        <v>1</v>
      </c>
      <c r="DP138" s="15">
        <f>MIN(IF($AU138=100%,1,1+VLOOKUP(($AJ138-$AI138-$AH138-$AG138-$AF138-$AE138*(1+DP$3))/$AJ138,'Технический лист'!$I:$J,2,1)-VLOOKUP($AO138,'Технический лист'!$I:$J,2,1)),1+(1-$AU138))</f>
        <v>1</v>
      </c>
      <c r="DQ138" s="15">
        <f>MIN(IF($AU138=100%,1,1+VLOOKUP(($AJ138-$AI138-$AH138-$AG138-$AF138-$AE138*(1+DQ$3))/$AJ138,'Технический лист'!$I:$J,2,1)-VLOOKUP($AO138,'Технический лист'!$I:$J,2,1)),1+(1-$AU138))</f>
        <v>1</v>
      </c>
      <c r="DR138" s="15">
        <f>MIN(IF($AU138=100%,1,1+VLOOKUP(($AJ138-$AI138-$AH138-$AG138-$AF138-$AE138*(1+DR$3))/$AJ138,'Технический лист'!$I:$J,2,1)-VLOOKUP($AO138,'Технический лист'!$I:$J,2,1)),1+(1-$AU138))</f>
        <v>1</v>
      </c>
      <c r="DS138" s="15">
        <f>MIN(IF($AU138=100%,1,1+VLOOKUP(($AJ138-$AI138-$AH138-$AG138-$AF138-$AE138*(1+DS$3))/$AJ138,'Технический лист'!$I:$J,2,1)-VLOOKUP($AO138,'Технический лист'!$I:$J,2,1)),1+(1-$AU138))</f>
        <v>1</v>
      </c>
      <c r="DT138" s="15">
        <f>MIN(IF($AU138=100%,1,1+VLOOKUP(($AJ138-$AI138-$AH138-$AG138-$AF138-$AE138*(1+DT$3))/$AJ138,'Технический лист'!$I:$J,2,1)-VLOOKUP($AO138,'Технический лист'!$I:$J,2,1)),1+(1-$AU138))</f>
        <v>1</v>
      </c>
      <c r="DU138" s="15">
        <f>MIN(IF($AU138=100%,1,1+VLOOKUP(($AJ138-$AI138-$AH138-$AG138-$AF138-$AE138*(1+DU$3))/$AJ138,'Технический лист'!$I:$J,2,1)-VLOOKUP($AO138,'Технический лист'!$I:$J,2,1)),1+(1-$AU138))</f>
        <v>1</v>
      </c>
      <c r="DV138" s="15">
        <f>MIN(IF($AU138=100%,1,1+VLOOKUP(($AJ138-$AI138-$AH138-$AG138-$AF138-$AE138*(1+DV$3))/$AJ138,'Технический лист'!$I:$J,2,1)-VLOOKUP($AO138,'Технический лист'!$I:$J,2,1)),1+(1-$AU138))</f>
        <v>1</v>
      </c>
      <c r="DW138" s="15">
        <f>MIN(IF($AU138=100%,1,1+VLOOKUP(($AJ138-$AI138-$AH138-$AG138-$AF138-$AE138*(1+DW$3))/$AJ138,'Технический лист'!$I:$J,2,1)-VLOOKUP($AO138,'Технический лист'!$I:$J,2,1)),1+(1-$AU138))</f>
        <v>1</v>
      </c>
      <c r="DX138" s="15">
        <f>MIN(IF($AU138=100%,1,1+VLOOKUP(($AJ138-$AI138-$AH138-$AG138-$AF138-$AE138*(1+DX$3))/$AJ138,'Технический лист'!$I:$J,2,1)-VLOOKUP($AO138,'Технический лист'!$I:$J,2,1)),1+(1-$AU138))</f>
        <v>1</v>
      </c>
      <c r="DY138" s="15">
        <f>MIN(IF($AU138=100%,1,1+VLOOKUP(($AJ138-$AI138-$AH138-$AG138-$AF138-$AE138*(1+DY$3))/$AJ138,'Технический лист'!$I:$J,2,1)-VLOOKUP($AO138,'Технический лист'!$I:$J,2,1)),1+(1-$AU138))</f>
        <v>1</v>
      </c>
      <c r="DZ138" s="15">
        <f>MIN(IF($AU138=100%,1,1+VLOOKUP(($AJ138-$AI138-$AH138-$AG138-$AF138-$AE138*(1+DZ$3))/$AJ138,'Технический лист'!$I:$J,2,1)-VLOOKUP($AO138,'Технический лист'!$I:$J,2,1)),1+(1-$AU138))</f>
        <v>1</v>
      </c>
      <c r="EA138" s="15">
        <f>MIN(IF($AU138=100%,1,1+VLOOKUP(($AJ138-$AI138-$AH138-$AG138-$AF138-$AE138*(1+EA$3))/$AJ138,'Технический лист'!$I:$J,2,1)-VLOOKUP($AO138,'Технический лист'!$I:$J,2,1)),1+(1-$AU138))</f>
        <v>1</v>
      </c>
      <c r="EB138" s="15">
        <f>MIN(IF($AU138=100%,1,1+VLOOKUP(($AJ138-$AI138-$AH138-$AG138-$AF138-$AE138*(1+EB$3))/$AJ138,'Технический лист'!$I:$J,2,1)-VLOOKUP($AO138,'Технический лист'!$I:$J,2,1)),1+(1-$AU138))</f>
        <v>1</v>
      </c>
      <c r="EC138" s="15">
        <f>MIN(IF($AU138=100%,1,1+VLOOKUP(($AJ138-$AI138-$AH138-$AG138-$AF138-$AE138*(1+EC$3))/$AJ138,'Технический лист'!$I:$J,2,1)-VLOOKUP($AO138,'Технический лист'!$I:$J,2,1)),1+(1-$AU138))</f>
        <v>1</v>
      </c>
      <c r="ED138" s="15">
        <f>MIN(IF($AU138=100%,1,1+VLOOKUP(($AJ138-$AI138-$AH138-$AG138-$AF138-$AE138*(1+ED$3))/$AJ138,'Технический лист'!$I:$J,2,1)-VLOOKUP($AO138,'Технический лист'!$I:$J,2,1)),1+(1-$AU138))</f>
        <v>1</v>
      </c>
      <c r="EE138" s="15">
        <f>MIN(IF($AU138=100%,1,1+VLOOKUP(($AJ138-$AI138-$AH138-$AG138-$AF138-$AE138*(1+EE$3))/$AJ138,'Технический лист'!$I:$J,2,1)-VLOOKUP($AO138,'Технический лист'!$I:$J,2,1)),1+(1-$AU138))</f>
        <v>1</v>
      </c>
      <c r="EF138" s="15">
        <f>MIN(IF($AU138=100%,1,1+VLOOKUP(($AJ138-$AI138-$AH138-$AG138-$AF138-$AE138*(1+EF$3))/$AJ138,'Технический лист'!$I:$J,2,1)-VLOOKUP($AO138,'Технический лист'!$I:$J,2,1)),1+(1-$AU138))</f>
        <v>1</v>
      </c>
      <c r="EG138" s="15">
        <f>MIN(IF($AU138=100%,1,1+VLOOKUP(($AJ138-$AI138-$AH138-$AG138-$AF138-$AE138*(1+EG$3))/$AJ138,'Технический лист'!$I:$J,2,1)-VLOOKUP($AO138,'Технический лист'!$I:$J,2,1)),1+(1-$AU138))</f>
        <v>1</v>
      </c>
      <c r="EH138" s="15">
        <f>MIN(IF($AU138=100%,1,1+VLOOKUP(($AJ138-$AI138-$AH138-$AG138-$AF138-$AE138*(1+EH$3))/$AJ138,'Технический лист'!$I:$J,2,1)-VLOOKUP($AO138,'Технический лист'!$I:$J,2,1)),1+(1-$AU138))</f>
        <v>1</v>
      </c>
      <c r="EI138" s="15">
        <f>MIN(IF($AU138=100%,1,1+VLOOKUP(($AJ138-$AI138-$AH138-$AG138-$AF138-$AE138*(1+EI$3))/$AJ138,'Технический лист'!$I:$J,2,1)-VLOOKUP($AO138,'Технический лист'!$I:$J,2,1)),1+(1-$AU138))</f>
        <v>1</v>
      </c>
      <c r="EJ138" s="15">
        <f>MIN(IF($AU138=100%,1,1+VLOOKUP(($AJ138-$AI138-$AH138-$AG138-$AF138-$AE138*(1+EJ$3))/$AJ138,'Технический лист'!$I:$J,2,1)-VLOOKUP($AO138,'Технический лист'!$I:$J,2,1)),1+(1-$AU138))</f>
        <v>1</v>
      </c>
      <c r="EK138" s="15">
        <f>MIN(IF($AU138=100%,1,1+VLOOKUP(($AJ138-$AI138-$AH138-$AG138-$AF138-$AE138*(1+EK$3))/$AJ138,'Технический лист'!$I:$J,2,1)-VLOOKUP($AO138,'Технический лист'!$I:$J,2,1)),1+(1-$AU138))</f>
        <v>1</v>
      </c>
      <c r="EL138" s="15">
        <f>MIN(IF($AU138=100%,1,1+VLOOKUP(($AJ138-$AI138-$AH138-$AG138-$AF138-$AE138*(1+EL$3))/$AJ138,'Технический лист'!$I:$J,2,1)-VLOOKUP($AO138,'Технический лист'!$I:$J,2,1)),1+(1-$AU138))</f>
        <v>1</v>
      </c>
      <c r="EM138" s="15">
        <f>MIN(IF($AU138=100%,1,1+VLOOKUP(($AJ138-$AI138-$AH138-$AG138-$AF138-$AE138*(1+EM$3))/$AJ138,'Технический лист'!$I:$J,2,1)-VLOOKUP($AO138,'Технический лист'!$I:$J,2,1)),1+(1-$AU138))</f>
        <v>1</v>
      </c>
      <c r="EN138" s="15">
        <f>MIN(IF($AU138=100%,1,1+VLOOKUP(($AJ138-$AI138-$AH138-$AG138-$AF138-$AE138*(1+EN$3))/$AJ138,'Технический лист'!$I:$J,2,1)-VLOOKUP($AO138,'Технический лист'!$I:$J,2,1)),1+(1-$AU138))</f>
        <v>1</v>
      </c>
      <c r="EO138" s="15">
        <f>MIN(IF($AU138=100%,1,1+VLOOKUP(($AJ138-$AI138-$AH138-$AG138-$AF138-$AE138*(1+EO$3))/$AJ138,'Технический лист'!$I:$J,2,1)-VLOOKUP($AO138,'Технический лист'!$I:$J,2,1)),1+(1-$AU138))</f>
        <v>1</v>
      </c>
      <c r="EP138" s="15">
        <f>MIN(IF($AU138=100%,1,1+VLOOKUP(($AJ138-$AI138-$AH138-$AG138-$AF138-$AE138*(1+EP$3))/$AJ138,'Технический лист'!$I:$J,2,1)-VLOOKUP($AO138,'Технический лист'!$I:$J,2,1)),1+(1-$AU138))</f>
        <v>1</v>
      </c>
      <c r="EQ138" s="15">
        <f>MIN(IF($AU138=100%,1,1+VLOOKUP(($AJ138-$AI138-$AH138-$AG138-$AF138-$AE138*(1+EQ$3))/$AJ138,'Технический лист'!$I:$J,2,1)-VLOOKUP($AO138,'Технический лист'!$I:$J,2,1)),1+(1-$AU138))</f>
        <v>1</v>
      </c>
      <c r="ER138" s="15">
        <f>MIN(IF($AU138=100%,1,1+VLOOKUP(($AJ138-$AI138-$AH138-$AG138-$AF138-$AE138*(1+ER$3))/$AJ138,'Технический лист'!$I:$J,2,1)-VLOOKUP($AO138,'Технический лист'!$I:$J,2,1)),1+(1-$AU138))</f>
        <v>1</v>
      </c>
      <c r="ES138" s="15">
        <f>MIN(IF($AU138=100%,1,1+VLOOKUP(($AJ138-$AI138-$AH138-$AG138-$AF138-$AE138*(1+ES$3))/$AJ138,'Технический лист'!$I:$J,2,1)-VLOOKUP($AO138,'Технический лист'!$I:$J,2,1)),1+(1-$AU138))</f>
        <v>1</v>
      </c>
      <c r="ET138" s="15">
        <f>MIN(IF($AU138=100%,1,1+VLOOKUP(($AJ138-$AI138-$AH138-$AG138-$AF138-$AE138*(1+ET$3))/$AJ138,'Технический лист'!$I:$J,2,1)-VLOOKUP($AO138,'Технический лист'!$I:$J,2,1)),1+(1-$AU138))</f>
        <v>1</v>
      </c>
      <c r="EU138" s="15">
        <f>MIN(IF($AU138=100%,1,1+VLOOKUP(($AJ138-$AI138-$AH138-$AG138-$AF138-$AE138*(1+EU$3))/$AJ138,'Технический лист'!$I:$J,2,1)-VLOOKUP($AO138,'Технический лист'!$I:$J,2,1)),1+(1-$AU138))</f>
        <v>1</v>
      </c>
      <c r="EV138" s="111">
        <v>1</v>
      </c>
      <c r="EW138" s="15">
        <f>MIN(1,MAX(VLOOKUP(($AJ138-$AI138-$AH138-$AG138-$AF138-$AE138*(1+EW$3))/$AJ138,'Технический лист'!$A:$B,2,1),(EV138-0.05)))</f>
        <v>1</v>
      </c>
      <c r="EX138" s="15">
        <f>MIN(1,MAX(VLOOKUP(($AJ138-$AI138-$AH138-$AG138-$AF138-$AE138*(1+EX$3))/$AJ138,'Технический лист'!$A:$B,2,1),(EW138-0.05)))</f>
        <v>1</v>
      </c>
      <c r="EY138" s="15">
        <f>MIN(1,MAX(VLOOKUP(($AJ138-$AI138-$AH138-$AG138-$AF138-$AE138*(1+EY$3))/$AJ138,'Технический лист'!$A:$B,2,1),(EX138-0.05)))</f>
        <v>1</v>
      </c>
      <c r="EZ138" s="15">
        <f>MIN(1,MAX(VLOOKUP(($AJ138-$AI138-$AH138-$AG138-$AF138-$AE138*(1+EZ$3))/$AJ138,'Технический лист'!$A:$B,2,1),(EY138-0.05)))</f>
        <v>1</v>
      </c>
      <c r="FA138" s="15">
        <f>MIN(1,MAX(VLOOKUP(($AJ138-$AI138-$AH138-$AG138-$AF138-$AE138*(1+FA$3))/$AJ138,'Технический лист'!$A:$B,2,1),(EZ138-0.05)))</f>
        <v>1</v>
      </c>
      <c r="FB138" s="15">
        <f>MIN(1,MAX(VLOOKUP(($AJ138-$AI138-$AH138-$AG138-$AF138-$AE138*(1+FB$3))/$AJ138,'Технический лист'!$A:$B,2,1),(FA138-0.05)))</f>
        <v>1</v>
      </c>
      <c r="FC138" s="15">
        <f>MIN(1,MAX(VLOOKUP(($AJ138-$AI138-$AH138-$AG138-$AF138-$AE138*(1+FC$3))/$AJ138,'Технический лист'!$A:$B,2,1),(FB138-0.05)))</f>
        <v>1</v>
      </c>
      <c r="FD138" s="15">
        <f>MIN(1,MAX(VLOOKUP(($AJ138-$AI138-$AH138-$AG138-$AF138-$AE138*(1+FD$3))/$AJ138,'Технический лист'!$A:$B,2,1),(FC138-0.05)))</f>
        <v>1</v>
      </c>
      <c r="FE138" s="15">
        <f>MIN(1,MAX(VLOOKUP(($AJ138-$AI138-$AH138-$AG138-$AF138-$AE138*(1+FE$3))/$AJ138,'Технический лист'!$A:$B,2,1),(FD138-0.05)))</f>
        <v>1</v>
      </c>
      <c r="FF138" s="15">
        <f>MIN(1,MAX(VLOOKUP(($AJ138-$AI138-$AH138-$AG138-$AF138-$AE138*(1+FF$3))/$AJ138,'Технический лист'!$A:$B,2,1),(FE138-0.05)))</f>
        <v>1</v>
      </c>
      <c r="FG138" s="15">
        <f>MIN(1,MAX(VLOOKUP(($AJ138-$AI138-$AH138-$AG138-$AF138-$AE138*(1+FG$3))/$AJ138,'Технический лист'!$A:$B,2,1),(FF138-0.05)))</f>
        <v>1</v>
      </c>
      <c r="FH138" s="15">
        <f>MIN(1,MAX(VLOOKUP(($AJ138-$AI138-$AH138-$AG138-$AF138-$AE138*(1+FH$3))/$AJ138,'Технический лист'!$A:$B,2,1),(FG138-0.05)))</f>
        <v>1</v>
      </c>
      <c r="FI138" s="15">
        <f>MIN(1,MAX(VLOOKUP(($AJ138-$AI138-$AH138-$AG138-$AF138-$AE138*(1+FI$3))/$AJ138,'Технический лист'!$A:$B,2,1),(FH138-0.05)))</f>
        <v>1</v>
      </c>
      <c r="FJ138" s="15">
        <f>MIN(1,MAX(VLOOKUP(($AJ138-$AI138-$AH138-$AG138-$AF138-$AE138*(1+FJ$3))/$AJ138,'Технический лист'!$A:$B,2,1),(FI138-0.05)))</f>
        <v>1</v>
      </c>
      <c r="FK138" s="15">
        <f>MIN(1,MAX(VLOOKUP(($AJ138-$AI138-$AH138-$AG138-$AF138-$AE138*(1+FK$3))/$AJ138,'Технический лист'!$A:$B,2,1),(FJ138-0.05)))</f>
        <v>1</v>
      </c>
      <c r="FL138" s="15">
        <f>MIN(1,MAX(VLOOKUP(($AJ138-$AI138-$AH138-$AG138-$AF138-$AE138*(1+FL$3))/$AJ138,'Технический лист'!$A:$B,2,1),(FK138-0.05)))</f>
        <v>1</v>
      </c>
      <c r="FM138" s="15">
        <f>MIN(1,MAX(VLOOKUP(($AJ138-$AI138-$AH138-$AG138-$AF138-$AE138*(1+FM$3))/$AJ138,'Технический лист'!$A:$B,2,1),(FL138-0.05)))</f>
        <v>1</v>
      </c>
      <c r="FN138" s="15">
        <f>MIN(1,MAX(VLOOKUP(($AJ138-$AI138-$AH138-$AG138-$AF138-$AE138*(1+FN$3))/$AJ138,'Технический лист'!$A:$B,2,1),(FM138-0.05)))</f>
        <v>1</v>
      </c>
      <c r="FO138" s="15">
        <f>MIN(1,MAX(VLOOKUP(($AJ138-$AI138-$AH138-$AG138-$AF138-$AE138*(1+FO$3))/$AJ138,'Технический лист'!$A:$B,2,1),(FN138-0.05)))</f>
        <v>1</v>
      </c>
      <c r="FP138" s="15">
        <f>MIN(1,MAX(VLOOKUP(($AJ138-$AI138-$AH138-$AG138-$AF138-$AE138*(1+FP$3))/$AJ138,'Технический лист'!$A:$B,2,1),(FO138-0.05)))</f>
        <v>1</v>
      </c>
      <c r="FQ138" s="15">
        <f>MIN(1,MAX(VLOOKUP(($AJ138-$AI138-$AH138-$AG138-$AF138-$AE138*(1+FQ$3))/$AJ138,'Технический лист'!$A:$B,2,1),(FP138-0.05)))</f>
        <v>1</v>
      </c>
      <c r="FR138" s="15">
        <f>MIN(1,MAX(VLOOKUP(($AJ138-$AI138-$AH138-$AG138-$AF138-$AE138*(1+FR$3))/$AJ138,'Технический лист'!$A:$B,2,1),(FQ138-0.05)))</f>
        <v>1</v>
      </c>
      <c r="FS138" s="15">
        <f>MIN(1,MAX(VLOOKUP(($AJ138-$AI138-$AH138-$AG138-$AF138-$AE138*(1+FS$3))/$AJ138,'Технический лист'!$A:$B,2,1),(FR138-0.05)))</f>
        <v>1</v>
      </c>
      <c r="FT138" s="15">
        <f>MIN(1,MAX(VLOOKUP(($AJ138-$AI138-$AH138-$AG138-$AF138-$AE138*(1+FT$3))/$AJ138,'Технический лист'!$A:$B,2,1),(FS138-0.05)))</f>
        <v>1</v>
      </c>
      <c r="FU138" s="15">
        <f>MIN(1,MAX(VLOOKUP(($AJ138-$AI138-$AH138-$AG138-$AF138-$AE138*(1+FU$3))/$AJ138,'Технический лист'!$A:$B,2,1),(FT138-0.05)))</f>
        <v>1</v>
      </c>
      <c r="FV138" s="15">
        <f>MIN(1,MAX(VLOOKUP(($AJ138-$AI138-$AH138-$AG138-$AF138-$AE138*(1+FV$3))/$AJ138,'Технический лист'!$A:$B,2,1),(FU138-0.05)))</f>
        <v>1</v>
      </c>
      <c r="FW138" s="15">
        <f>MIN(1,MAX(VLOOKUP(($AJ138-$AI138-$AH138-$AG138-$AF138-$AE138*(1+FW$3))/$AJ138,'Технический лист'!$A:$B,2,1),(FV138-0.05)))</f>
        <v>1</v>
      </c>
      <c r="FX138" s="15">
        <f>MIN(1,MAX(VLOOKUP(($AJ138-$AI138-$AH138-$AG138-$AF138-$AE138*(1+FX$3))/$AJ138,'Технический лист'!$A:$B,2,1),(FW138-0.05)))</f>
        <v>1</v>
      </c>
      <c r="FY138" s="15">
        <f>MIN(1,MAX(VLOOKUP(($AJ138-$AI138-$AH138-$AG138-$AF138-$AE138*(1+FY$3))/$AJ138,'Технический лист'!$A:$B,2,1),(FX138-0.05)))</f>
        <v>1</v>
      </c>
      <c r="FZ138" s="15">
        <f>MIN(1,MAX(VLOOKUP(($AJ138-$AI138-$AH138-$AG138-$AF138-$AE138*(1+FZ$3))/$AJ138,'Технический лист'!$A:$B,2,1),(FY138-0.05)))</f>
        <v>1</v>
      </c>
      <c r="GA138" s="15">
        <f>MIN(1,MAX(VLOOKUP(($AJ138-$AI138-$AH138-$AG138-$AF138-$AE138*(1+GA$3))/$AJ138,'Технический лист'!$A:$B,2,1),(FZ138-0.05)))</f>
        <v>1</v>
      </c>
      <c r="GB138" s="15">
        <f>MIN(1,MAX(VLOOKUP(($AJ138-$AI138-$AH138-$AG138-$AF138-$AE138*(1+GB$3))/$AJ138,'Технический лист'!$A:$B,2,1),(GA138-0.05)))</f>
        <v>1</v>
      </c>
      <c r="GC138" s="15">
        <f>MIN(1,MAX(VLOOKUP(($AJ138-$AI138-$AH138-$AG138-$AF138-$AE138*(1+GC$3))/$AJ138,'Технический лист'!$A:$B,2,1),(GB138-0.05)))</f>
        <v>1</v>
      </c>
      <c r="GD138" s="15">
        <f>MIN(1,MAX(VLOOKUP(($AJ138-$AI138-$AH138-$AG138-$AF138-$AE138*(1+GD$3))/$AJ138,'Технический лист'!$A:$B,2,1),(GC138-0.05)))</f>
        <v>1</v>
      </c>
      <c r="GE138" s="15">
        <f>MIN(1,MAX(VLOOKUP(($AJ138-$AI138-$AH138-$AG138-$AF138-$AE138*(1+GE$3))/$AJ138,'Технический лист'!$A:$B,2,1),(GD138-0.05)))</f>
        <v>1</v>
      </c>
      <c r="GF138" s="15">
        <f>MIN(1,MAX(VLOOKUP(($AJ138-$AI138-$AH138-$AG138-$AF138-$AE138*(1+GF$3))/$AJ138,'Технический лист'!$A:$B,2,1),(GE138-0.05)))</f>
        <v>1</v>
      </c>
      <c r="GG138" s="15">
        <f>MIN(1,MAX(VLOOKUP(($AJ138-$AI138-$AH138-$AG138-$AF138-$AE138*(1+GG$3))/$AJ138,'Технический лист'!$A:$B,2,1),(GF138-0.05)))</f>
        <v>1</v>
      </c>
      <c r="GH138" s="15">
        <f>MIN(1,MAX(VLOOKUP(($AJ138-$AI138-$AH138-$AG138-$AF138-$AE138*(1+GH$3))/$AJ138,'Технический лист'!$A:$B,2,1),(GG138-0.05)))</f>
        <v>1</v>
      </c>
      <c r="GI138" s="15">
        <f>MIN(1,MAX(VLOOKUP(($AJ138-$AI138-$AH138-$AG138-$AF138-$AE138*(1+GI$3))/$AJ138,'Технический лист'!$A:$B,2,1),(GH138-0.05)))</f>
        <v>1</v>
      </c>
      <c r="GJ138" s="15">
        <f>MIN(1,MAX(VLOOKUP(($AJ138-$AI138-$AH138-$AG138-$AF138-$AE138*(1+GJ$3))/$AJ138,'Технический лист'!$A:$B,2,1),(GI138-0.05)))</f>
        <v>1</v>
      </c>
      <c r="GK138" s="15">
        <f>MIN(1,MAX(VLOOKUP(($AJ138-$AI138-$AH138-$AG138-$AF138-$AE138*(1+GK$3))/$AJ138,'Технический лист'!$A:$B,2,1),(GJ138-0.05)))</f>
        <v>1</v>
      </c>
      <c r="GL138" s="15">
        <f>MIN(1,MAX(VLOOKUP(($AJ138-$AI138-$AH138-$AG138-$AF138-$AE138*(1+GL$3))/$AJ138,'Технический лист'!$A:$B,2,1),(GK138-0.05)))</f>
        <v>1</v>
      </c>
      <c r="GM138" s="15">
        <f>MIN(1,MAX(VLOOKUP(($AJ138-$AI138-$AH138-$AG138-$AF138-$AE138*(1+GM$3))/$AJ138,'Технический лист'!$A:$B,2,1),(GL138-0.05)))</f>
        <v>1</v>
      </c>
      <c r="GN138" s="15">
        <f>MIN(1,MAX(VLOOKUP(($AJ138-$AI138-$AH138-$AG138-$AF138-$AE138*(1+GN$3))/$AJ138,'Технический лист'!$A:$B,2,1),(GM138-0.05)))</f>
        <v>1</v>
      </c>
      <c r="GO138" s="15">
        <f>MIN(1,MAX(VLOOKUP(($AJ138-$AI138-$AH138-$AG138-$AF138-$AE138*(1+GO$3))/$AJ138,'Технический лист'!$A:$B,2,1),(GN138-0.05)))</f>
        <v>1</v>
      </c>
      <c r="GP138" s="15">
        <f>MIN(1,MAX(VLOOKUP(($AJ138-$AI138-$AH138-$AG138-$AF138-$AE138*(1+GP$3))/$AJ138,'Технический лист'!$A:$B,2,1),(GO138-0.05)))</f>
        <v>1</v>
      </c>
      <c r="GQ138" s="15">
        <f>MIN(1,MAX(VLOOKUP(($AJ138-$AI138-$AH138-$AG138-$AF138-$AE138*(1+GQ$3))/$AJ138,'Технический лист'!$A:$B,2,1),(GP138-0.05)))</f>
        <v>1</v>
      </c>
      <c r="GR138" s="15">
        <f>MIN(1,MAX(VLOOKUP(($AJ138-$AI138-$AH138-$AG138-$AF138-$AE138*(1+GR$3))/$AJ138,'Технический лист'!$A:$B,2,1),(GQ138-0.05)))</f>
        <v>1</v>
      </c>
      <c r="GS138" s="15">
        <f>MIN(1,MAX(VLOOKUP(($AJ138-$AI138-$AH138-$AG138-$AF138-$AE138*(1+GS$3))/$AJ138,'Технический лист'!$A:$B,2,1),(GR138-0.05)))</f>
        <v>1</v>
      </c>
      <c r="GT138" s="15">
        <f>MIN(1,MAX(VLOOKUP(($AJ138-$AI138-$AH138-$AG138-$AF138-$AE138*(1+GT$3))/$AJ138,'Технический лист'!$A:$B,2,1),(GS138-0.05)))</f>
        <v>1</v>
      </c>
      <c r="GU138" s="15">
        <f>MIN(1,MAX(VLOOKUP(($AJ138-$AI138-$AH138-$AG138-$AF138-$AE138*(1+GU$3))/$AJ138,'Технический лист'!$A:$B,2,1),(GT138-0.05)))</f>
        <v>1</v>
      </c>
      <c r="GV138" s="15">
        <f>MIN(1,MAX(VLOOKUP(($AJ138-$AI138-$AH138-$AG138-$AF138-$AE138*(1+GV$3))/$AJ138,'Технический лист'!$A:$B,2,1),(GU138-0.05)))</f>
        <v>1</v>
      </c>
      <c r="GW138" s="15">
        <f>MIN(1,MAX(VLOOKUP(($AJ138-$AI138-$AH138-$AG138-$AF138-$AE138*(1+GW$3))/$AJ138,'Технический лист'!$A:$B,2,1),(GV138-0.05)))</f>
        <v>1</v>
      </c>
      <c r="GX138" s="15">
        <f>MIN(1,MAX(VLOOKUP(($AJ138-$AI138-$AH138-$AG138-$AF138-$AE138*(1+GX$3))/$AJ138,'Технический лист'!$A:$B,2,1),(GW138-0.05)))</f>
        <v>1</v>
      </c>
      <c r="GY138" s="15">
        <f>MIN(1,MAX(VLOOKUP(($AJ138-$AI138-$AH138-$AG138-$AF138-$AE138*(1+GY$3))/$AJ138,'Технический лист'!$A:$B,2,1),(GX138-0.05)))</f>
        <v>1</v>
      </c>
      <c r="GZ138" s="15">
        <f>MIN(1,MAX(VLOOKUP(($AJ138-$AI138-$AH138-$AG138-$AF138-$AE138*(1+GZ$3))/$AJ138,'Технический лист'!$A:$B,2,1),(GY138-0.05)))</f>
        <v>1</v>
      </c>
      <c r="HA138" s="15">
        <f>MIN(1,MAX(VLOOKUP(($AJ138-$AI138-$AH138-$AG138-$AF138-$AE138*(1+HA$3))/$AJ138,'Технический лист'!$A:$B,2,1),(GZ138-0.05)))</f>
        <v>1</v>
      </c>
      <c r="HB138" s="15">
        <f>MIN(1,MAX(VLOOKUP(($AJ138-$AI138-$AH138-$AG138-$AF138-$AE138*(1+HB$3))/$AJ138,'Технический лист'!$A:$B,2,1),(HA138-0.05)))</f>
        <v>1</v>
      </c>
      <c r="HC138" s="15">
        <f>MIN(1,MAX(VLOOKUP(($AJ138-$AI138-$AH138-$AG138-$AF138-$AE138*(1+HC$3))/$AJ138,'Технический лист'!$A:$B,2,1),(HB138-0.05)))</f>
        <v>1</v>
      </c>
      <c r="HD138" s="15">
        <f>MIN(1,MAX(VLOOKUP(($AJ138-$AI138-$AH138-$AG138-$AF138-$AE138*(1+HD$3))/$AJ138,'Технический лист'!$A:$B,2,1),(HC138-0.05)))</f>
        <v>1</v>
      </c>
      <c r="HE138" s="15">
        <f>MIN(1,MAX(VLOOKUP(($AJ138-$AI138-$AH138-$AG138-$AF138-$AE138*(1+HE$3))/$AJ138,'Технический лист'!$A:$B,2,1),(HD138-0.05)))</f>
        <v>1</v>
      </c>
      <c r="HF138" s="15">
        <f>MIN(1,MAX(VLOOKUP(($AJ138-$AI138-$AH138-$AG138-$AF138-$AE138*(1+HF$3))/$AJ138,'Технический лист'!$A:$B,2,1),(HE138-0.05)))</f>
        <v>1</v>
      </c>
      <c r="HG138" s="15">
        <f>MIN(1,MAX(VLOOKUP(($AJ138-$AI138-$AH138-$AG138-$AF138-$AE138*(1+HG$3))/$AJ138,'Технический лист'!$A:$B,2,1),(HF138-0.05)))</f>
        <v>1</v>
      </c>
      <c r="HH138" s="15">
        <f>MIN(1,MAX(VLOOKUP(($AJ138-$AI138-$AH138-$AG138-$AF138-$AE138*(1+HH$3))/$AJ138,'Технический лист'!$A:$B,2,1),(HG138-0.05)))</f>
        <v>1</v>
      </c>
      <c r="HI138" s="15">
        <f>MIN(1,MAX(VLOOKUP(($AJ138-$AI138-$AH138-$AG138-$AF138-$AE138*(1+HI$3))/$AJ138,'Технический лист'!$A:$B,2,1),(HH138-0.05)))</f>
        <v>1</v>
      </c>
      <c r="HJ138" s="15">
        <f>MIN(1,MAX(VLOOKUP(($AJ138-$AI138-$AH138-$AG138-$AF138-$AE138*(1+HJ$3))/$AJ138,'Технический лист'!$A:$B,2,1),(HI138-0.05)))</f>
        <v>1</v>
      </c>
      <c r="HK138" s="15">
        <f>MIN(1,MAX(VLOOKUP(($AJ138-$AI138-$AH138-$AG138-$AF138-$AE138*(1+HK$3))/$AJ138,'Технический лист'!$A:$B,2,1),(HJ138-0.05)))</f>
        <v>1</v>
      </c>
      <c r="HL138" s="15">
        <f>MIN(1,MAX(VLOOKUP(($AJ138-$AI138-$AH138-$AG138-$AF138-$AE138*(1+HL$3))/$AJ138,'Технический лист'!$A:$B,2,1),(HK138-0.05)))</f>
        <v>1</v>
      </c>
      <c r="HM138" s="15">
        <f>MIN(1,MAX(VLOOKUP(($AJ138-$AI138-$AH138-$AG138-$AF138-$AE138*(1+HM$3))/$AJ138,'Технический лист'!$A:$B,2,1),(HL138-0.05)))</f>
        <v>1</v>
      </c>
      <c r="HN138" s="15">
        <f>MIN(1,MAX(VLOOKUP(($AJ138-$AI138-$AH138-$AG138-$AF138-$AE138*(1+HN$3))/$AJ138,'Технический лист'!$A:$B,2,1),(HM138-0.05)))</f>
        <v>1</v>
      </c>
      <c r="HO138" s="15">
        <f>MIN(1,MAX(VLOOKUP(($AJ138-$AI138-$AH138-$AG138-$AF138-$AE138*(1+HO$3))/$AJ138,'Технический лист'!$A:$B,2,1),(HN138-0.05)))</f>
        <v>1</v>
      </c>
      <c r="HP138" s="15">
        <f>MIN(1,MAX(VLOOKUP(($AJ138-$AI138-$AH138-$AG138-$AF138-$AE138*(1+HP$3))/$AJ138,'Технический лист'!$A:$B,2,1),(HO138-0.05)))</f>
        <v>1</v>
      </c>
      <c r="HQ138" s="15">
        <f>MIN(1,MAX(VLOOKUP(($AJ138-$AI138-$AH138-$AG138-$AF138-$AE138*(1+HQ$3))/$AJ138,'Технический лист'!$A:$B,2,1),(HP138-0.05)))</f>
        <v>1</v>
      </c>
      <c r="HR138" s="15">
        <f>MIN(1,MAX(VLOOKUP(($AJ138-$AI138-$AH138-$AG138-$AF138-$AE138*(1+HR$3))/$AJ138,'Технический лист'!$A:$B,2,1),(HQ138-0.05)))</f>
        <v>1</v>
      </c>
      <c r="HS138" s="15">
        <f>MIN(1,MAX(VLOOKUP(($AJ138-$AI138-$AH138-$AG138-$AF138-$AE138*(1+HS$3))/$AJ138,'Технический лист'!$A:$B,2,1),(HR138-0.05)))</f>
        <v>1</v>
      </c>
      <c r="HT138" s="15">
        <f>MIN(1,MAX(VLOOKUP(($AJ138-$AI138-$AH138-$AG138-$AF138-$AE138*(1+HT$3))/$AJ138,'Технический лист'!$A:$B,2,1),(HS138-0.05)))</f>
        <v>1</v>
      </c>
      <c r="HU138" s="15">
        <f>MIN(1,MAX(VLOOKUP(($AJ138-$AI138-$AH138-$AG138-$AF138-$AE138*(1+HU$3))/$AJ138,'Технический лист'!$A:$B,2,1),(HT138-0.05)))</f>
        <v>1</v>
      </c>
      <c r="HV138" s="15">
        <f>MIN(1,MAX(VLOOKUP(($AJ138-$AI138-$AH138-$AG138-$AF138-$AE138*(1+HV$3))/$AJ138,'Технический лист'!$A:$B,2,1),(HU138-0.05)))</f>
        <v>1</v>
      </c>
      <c r="HW138" s="15">
        <f>MIN(1,MAX(VLOOKUP(($AJ138-$AI138-$AH138-$AG138-$AF138-$AE138*(1+HW$3))/$AJ138,'Технический лист'!$A:$B,2,1),(HV138-0.05)))</f>
        <v>1</v>
      </c>
      <c r="HX138" s="15">
        <f>MIN(1,MAX(VLOOKUP(($AJ138-$AI138-$AH138-$AG138-$AF138-$AE138*(1+HX$3))/$AJ138,'Технический лист'!$A:$B,2,1),(HW138-0.05)))</f>
        <v>1</v>
      </c>
      <c r="HY138" s="15">
        <f>MIN(1,MAX(VLOOKUP(($AJ138-$AI138-$AH138-$AG138-$AF138-$AE138*(1+HY$3))/$AJ138,'Технический лист'!$A:$B,2,1),(HX138-0.05)))</f>
        <v>1</v>
      </c>
      <c r="HZ138" s="15">
        <f>MIN(1,MAX(VLOOKUP(($AJ138-$AI138-$AH138-$AG138-$AF138-$AE138*(1+HZ$3))/$AJ138,'Технический лист'!$A:$B,2,1),(HY138-0.05)))</f>
        <v>1</v>
      </c>
      <c r="IA138" s="15">
        <f>MIN(1,MAX(VLOOKUP(($AJ138-$AI138-$AH138-$AG138-$AF138-$AE138*(1+IA$3))/$AJ138,'Технический лист'!$A:$B,2,1),(HZ138-0.05)))</f>
        <v>1</v>
      </c>
      <c r="IB138" s="15">
        <f>MIN(1,MAX(VLOOKUP(($AJ138-$AI138-$AH138-$AG138-$AF138-$AE138*(1+IB$3))/$AJ138,'Технический лист'!$A:$B,2,1),(IA138-0.05)))</f>
        <v>1</v>
      </c>
      <c r="IC138" s="15">
        <f>MIN(1,MAX(VLOOKUP(($AJ138-$AI138-$AH138-$AG138-$AF138-$AE138*(1+IC$3))/$AJ138,'Технический лист'!$A:$B,2,1),(IB138-0.05)))</f>
        <v>1</v>
      </c>
      <c r="ID138" s="15">
        <f>MIN(1,MAX(VLOOKUP(($AJ138-$AI138-$AH138-$AG138-$AF138-$AE138*(1+ID$3))/$AJ138,'Технический лист'!$A:$B,2,1),(IC138-0.05)))</f>
        <v>1</v>
      </c>
      <c r="IE138" s="15">
        <f>MIN(1,MAX(VLOOKUP(($AJ138-$AI138-$AH138-$AG138-$AF138-$AE138*(1+IE$3))/$AJ138,'Технический лист'!$A:$B,2,1),(ID138-0.05)))</f>
        <v>1</v>
      </c>
      <c r="IF138" s="15">
        <f>MIN(1,MAX(VLOOKUP(($AJ138-$AI138-$AH138-$AG138-$AF138-$AE138*(1+IF$3))/$AJ138,'Технический лист'!$A:$B,2,1),(IE138-0.05)))</f>
        <v>1</v>
      </c>
      <c r="IG138" s="15">
        <f>MIN(1,MAX(VLOOKUP(($AJ138-$AI138-$AH138-$AG138-$AF138-$AE138*(1+IG$3))/$AJ138,'Технический лист'!$A:$B,2,1),(IF138-0.05)))</f>
        <v>1</v>
      </c>
      <c r="IH138" s="15">
        <f>MIN(1,MAX(VLOOKUP(($AJ138-$AI138-$AH138-$AG138-$AF138-$AE138*(1+IH$3))/$AJ138,'Технический лист'!$A:$B,2,1),(IG138-0.05)))</f>
        <v>1</v>
      </c>
      <c r="II138" s="15">
        <f>MIN(1,MAX(VLOOKUP(($AJ138-$AI138-$AH138-$AG138-$AF138-$AE138*(1+II$3))/$AJ138,'Технический лист'!$A:$B,2,1),(IH138-0.05)))</f>
        <v>1</v>
      </c>
      <c r="IJ138" s="15">
        <f>MIN(1,MAX(VLOOKUP(($AJ138-$AI138-$AH138-$AG138-$AF138-$AE138*(1+IJ$3))/$AJ138,'Технический лист'!$A:$B,2,1),(II138-0.05)))</f>
        <v>1</v>
      </c>
      <c r="IK138" s="15">
        <f>MIN(1,MAX(VLOOKUP(($AJ138-$AI138-$AH138-$AG138-$AF138-$AE138*(1+IK$3))/$AJ138,'Технический лист'!$A:$B,2,1),(IJ138-0.05)))</f>
        <v>1</v>
      </c>
      <c r="IL138" s="15">
        <f>MIN(1,MAX(VLOOKUP(($AJ138-$AI138-$AH138-$AG138-$AF138-$AE138*(1+IL$3))/$AJ138,'Технический лист'!$A:$B,2,1),(IK138-0.05)))</f>
        <v>1</v>
      </c>
      <c r="IM138" s="15">
        <f>MIN(1,MAX(VLOOKUP(($AJ138-$AI138-$AH138-$AG138-$AF138-$AE138*(1+IM$3))/$AJ138,'Технический лист'!$A:$B,2,1),(IL138-0.05)))</f>
        <v>1</v>
      </c>
      <c r="IN138" s="15">
        <f>MIN(1,MAX(VLOOKUP(($AJ138-$AI138-$AH138-$AG138-$AF138-$AE138*(1+IN$3))/$AJ138,'Технический лист'!$A:$B,2,1),(IM138-0.05)))</f>
        <v>1</v>
      </c>
      <c r="IO138" s="15">
        <f>MIN(1,MAX(VLOOKUP(($AJ138-$AI138-$AH138-$AG138-$AF138-$AE138*(1+IO$3))/$AJ138,'Технический лист'!$A:$B,2,1),(IN138-0.05)))</f>
        <v>1</v>
      </c>
      <c r="IP138" s="15">
        <f>MIN(1,MAX(VLOOKUP(($AJ138-$AI138-$AH138-$AG138-$AF138-$AE138*(1+IP$3))/$AJ138,'Технический лист'!$A:$B,2,1),(IO138-0.05)))</f>
        <v>1</v>
      </c>
      <c r="IQ138" s="15">
        <f>MIN(1,MAX(VLOOKUP(($AJ138-$AI138-$AH138-$AG138-$AF138-$AE138*(1+IQ$3))/$AJ138,'Технический лист'!$A:$B,2,1),(IP138-0.05)))</f>
        <v>1</v>
      </c>
      <c r="IR138" s="15">
        <f>MIN(1,MAX(VLOOKUP(($AJ138-$AI138-$AH138-$AG138-$AF138-$AE138*(1+IR$3))/$AJ138,'Технический лист'!$A:$B,2,1),(IQ138-0.05)))</f>
        <v>1</v>
      </c>
    </row>
    <row r="139" spans="1:252" ht="14.7" customHeight="1">
      <c r="A139" s="89" t="s">
        <v>515</v>
      </c>
      <c r="B139" s="90">
        <v>10</v>
      </c>
      <c r="C139" s="5" t="s">
        <v>66</v>
      </c>
      <c r="D139" s="91">
        <v>31611</v>
      </c>
      <c r="E139" s="91" t="s">
        <v>326</v>
      </c>
      <c r="F139" s="92" t="s">
        <v>70</v>
      </c>
      <c r="G139" s="91" t="s">
        <v>50</v>
      </c>
      <c r="H139" s="91" t="s">
        <v>49</v>
      </c>
      <c r="I139" s="91" t="s">
        <v>83</v>
      </c>
      <c r="J139" s="91" t="s">
        <v>120</v>
      </c>
      <c r="K139" s="91">
        <v>793</v>
      </c>
      <c r="L139" s="85" t="s">
        <v>64</v>
      </c>
      <c r="M139" s="91" t="s">
        <v>190</v>
      </c>
      <c r="N139" s="91" t="s">
        <v>191</v>
      </c>
      <c r="O139" s="91" t="s">
        <v>192</v>
      </c>
      <c r="P139" s="89" t="s">
        <v>196</v>
      </c>
      <c r="Q139" s="91" t="s">
        <v>306</v>
      </c>
      <c r="R139" s="91" t="s">
        <v>251</v>
      </c>
      <c r="S139" s="82">
        <v>72496</v>
      </c>
      <c r="T139" s="82">
        <v>57494462</v>
      </c>
      <c r="U139" s="81">
        <v>1064</v>
      </c>
      <c r="V139" s="81">
        <v>0</v>
      </c>
      <c r="W139" s="82">
        <v>131900562</v>
      </c>
      <c r="X139" s="112">
        <v>62</v>
      </c>
      <c r="Y139" s="112" t="s">
        <v>416</v>
      </c>
      <c r="Z139" s="113">
        <v>6</v>
      </c>
      <c r="AA139" s="113">
        <v>4</v>
      </c>
      <c r="AB139" s="113">
        <v>4</v>
      </c>
      <c r="AC139" s="99">
        <v>2165.35</v>
      </c>
      <c r="AD139" s="99">
        <f>AE139-AC139</f>
        <v>189.18000000000029</v>
      </c>
      <c r="AE139" s="99">
        <v>2354.5300000000002</v>
      </c>
      <c r="AF139" s="98">
        <f>(Z139+AA139+AB139)*'Ставки аренды'!$B$3/X139</f>
        <v>158.06451612903226</v>
      </c>
      <c r="AG139" s="94">
        <v>0</v>
      </c>
      <c r="AH139" s="94">
        <v>0</v>
      </c>
      <c r="AI139" s="115">
        <f t="shared" ref="AI139:AI140" si="60">0.71*AJ139</f>
        <v>12780</v>
      </c>
      <c r="AJ139" s="117">
        <f>Цены!D10</f>
        <v>18000</v>
      </c>
      <c r="AK139" s="94">
        <f>AJ139/Цены!$B$1</f>
        <v>235.89387396714525</v>
      </c>
      <c r="AL139" s="95">
        <f t="shared" si="54"/>
        <v>2512.5945161290324</v>
      </c>
      <c r="AM139" s="95">
        <f t="shared" si="55"/>
        <v>15487.405483870967</v>
      </c>
      <c r="AN139" s="94">
        <f t="shared" si="52"/>
        <v>15292.594516129033</v>
      </c>
      <c r="AO139" s="118">
        <f t="shared" si="53"/>
        <v>0.15041141577060929</v>
      </c>
      <c r="AP139" s="96">
        <f t="shared" si="56"/>
        <v>0.13958858422939069</v>
      </c>
      <c r="AQ139" s="96">
        <f t="shared" si="57"/>
        <v>0.13080722222222224</v>
      </c>
      <c r="AR139" s="96">
        <f t="shared" si="58"/>
        <v>0.93709111632841158</v>
      </c>
      <c r="AS139" s="122">
        <v>1</v>
      </c>
      <c r="AT139" s="121">
        <f t="shared" si="45"/>
        <v>72496</v>
      </c>
      <c r="AU139" s="83">
        <v>0.85</v>
      </c>
      <c r="AV139" s="119">
        <f t="shared" si="41"/>
        <v>0.13471454910394257</v>
      </c>
      <c r="AW139" s="120">
        <f t="shared" si="42"/>
        <v>0.15528545089605739</v>
      </c>
      <c r="AX139" s="120">
        <f t="shared" si="43"/>
        <v>0.14650408888888891</v>
      </c>
      <c r="AY139" s="120">
        <f t="shared" si="44"/>
        <v>0.94345019474460368</v>
      </c>
      <c r="AZ139" s="15">
        <f>MIN(IF($AU139=100%,1,1+VLOOKUP(($AJ139-$AI139-$AH139-$AG139-$AF139-$AE139*(1+AZ$3))/$AJ139,'Технический лист'!$I:$J,2,1)-VLOOKUP($AO139,'Технический лист'!$I:$J,2,1)),1+(1-$AU139))</f>
        <v>1.1499999999999999</v>
      </c>
      <c r="BA139" s="15">
        <f>MIN(IF($AU139=100%,1,1+VLOOKUP(($AJ139-$AI139-$AH139-$AG139-$AF139-$AE139*(1+BA$3))/$AJ139,'Технический лист'!$I:$J,2,1)-VLOOKUP($AO139,'Технический лист'!$I:$J,2,1)),1+(1-$AU139))</f>
        <v>1.1499999999999999</v>
      </c>
      <c r="BB139" s="15">
        <f>MIN(IF($AU139=100%,1,1+VLOOKUP(($AJ139-$AI139-$AH139-$AG139-$AF139-$AE139*(1+BB$3))/$AJ139,'Технический лист'!$I:$J,2,1)-VLOOKUP($AO139,'Технический лист'!$I:$J,2,1)),1+(1-$AU139))</f>
        <v>1.1499999999999999</v>
      </c>
      <c r="BC139" s="15">
        <f>MIN(IF($AU139=100%,1,1+VLOOKUP(($AJ139-$AI139-$AH139-$AG139-$AF139-$AE139*(1+BC$3))/$AJ139,'Технический лист'!$I:$J,2,1)-VLOOKUP($AO139,'Технический лист'!$I:$J,2,1)),1+(1-$AU139))</f>
        <v>1.1499999999999999</v>
      </c>
      <c r="BD139" s="15">
        <f>MIN(IF($AU139=100%,1,1+VLOOKUP(($AJ139-$AI139-$AH139-$AG139-$AF139-$AE139*(1+BD$3))/$AJ139,'Технический лист'!$I:$J,2,1)-VLOOKUP($AO139,'Технический лист'!$I:$J,2,1)),1+(1-$AU139))</f>
        <v>1.1499999999999999</v>
      </c>
      <c r="BE139" s="15">
        <f>MIN(IF($AU139=100%,1,1+VLOOKUP(($AJ139-$AI139-$AH139-$AG139-$AF139-$AE139*(1+BE$3))/$AJ139,'Технический лист'!$I:$J,2,1)-VLOOKUP($AO139,'Технический лист'!$I:$J,2,1)),1+(1-$AU139))</f>
        <v>1.1499999999999999</v>
      </c>
      <c r="BF139" s="15">
        <f>MIN(IF($AU139=100%,1,1+VLOOKUP(($AJ139-$AI139-$AH139-$AG139-$AF139-$AE139*(1+BF$3))/$AJ139,'Технический лист'!$I:$J,2,1)-VLOOKUP($AO139,'Технический лист'!$I:$J,2,1)),1+(1-$AU139))</f>
        <v>1.1499999999999999</v>
      </c>
      <c r="BG139" s="15">
        <f>MIN(IF($AU139=100%,1,1+VLOOKUP(($AJ139-$AI139-$AH139-$AG139-$AF139-$AE139*(1+BG$3))/$AJ139,'Технический лист'!$I:$J,2,1)-VLOOKUP($AO139,'Технический лист'!$I:$J,2,1)),1+(1-$AU139))</f>
        <v>1.1499999999999999</v>
      </c>
      <c r="BH139" s="15">
        <f>MIN(IF($AU139=100%,1,1+VLOOKUP(($AJ139-$AI139-$AH139-$AG139-$AF139-$AE139*(1+BH$3))/$AJ139,'Технический лист'!$I:$J,2,1)-VLOOKUP($AO139,'Технический лист'!$I:$J,2,1)),1+(1-$AU139))</f>
        <v>1.1499999999999999</v>
      </c>
      <c r="BI139" s="15">
        <f>MIN(IF($AU139=100%,1,1+VLOOKUP(($AJ139-$AI139-$AH139-$AG139-$AF139-$AE139*(1+BI$3))/$AJ139,'Технический лист'!$I:$J,2,1)-VLOOKUP($AO139,'Технический лист'!$I:$J,2,1)),1+(1-$AU139))</f>
        <v>1.1499999999999999</v>
      </c>
      <c r="BJ139" s="15">
        <f>MIN(IF($AU139=100%,1,1+VLOOKUP(($AJ139-$AI139-$AH139-$AG139-$AF139-$AE139*(1+BJ$3))/$AJ139,'Технический лист'!$I:$J,2,1)-VLOOKUP($AO139,'Технический лист'!$I:$J,2,1)),1+(1-$AU139))</f>
        <v>1.1499999999999999</v>
      </c>
      <c r="BK139" s="15">
        <f>MIN(IF($AU139=100%,1,1+VLOOKUP(($AJ139-$AI139-$AH139-$AG139-$AF139-$AE139*(1+BK$3))/$AJ139,'Технический лист'!$I:$J,2,1)-VLOOKUP($AO139,'Технический лист'!$I:$J,2,1)),1+(1-$AU139))</f>
        <v>1.1499999999999999</v>
      </c>
      <c r="BL139" s="15">
        <f>MIN(IF($AU139=100%,1,1+VLOOKUP(($AJ139-$AI139-$AH139-$AG139-$AF139-$AE139*(1+BL$3))/$AJ139,'Технический лист'!$I:$J,2,1)-VLOOKUP($AO139,'Технический лист'!$I:$J,2,1)),1+(1-$AU139))</f>
        <v>1.1499999999999999</v>
      </c>
      <c r="BM139" s="15">
        <f>MIN(IF($AU139=100%,1,1+VLOOKUP(($AJ139-$AI139-$AH139-$AG139-$AF139-$AE139*(1+BM$3))/$AJ139,'Технический лист'!$I:$J,2,1)-VLOOKUP($AO139,'Технический лист'!$I:$J,2,1)),1+(1-$AU139))</f>
        <v>1.1499999999999999</v>
      </c>
      <c r="BN139" s="15">
        <f>MIN(IF($AU139=100%,1,1+VLOOKUP(($AJ139-$AI139-$AH139-$AG139-$AF139-$AE139*(1+BN$3))/$AJ139,'Технический лист'!$I:$J,2,1)-VLOOKUP($AO139,'Технический лист'!$I:$J,2,1)),1+(1-$AU139))</f>
        <v>1.1499999999999999</v>
      </c>
      <c r="BO139" s="15">
        <f>MIN(IF($AU139=100%,1,1+VLOOKUP(($AJ139-$AI139-$AH139-$AG139-$AF139-$AE139*(1+BO$3))/$AJ139,'Технический лист'!$I:$J,2,1)-VLOOKUP($AO139,'Технический лист'!$I:$J,2,1)),1+(1-$AU139))</f>
        <v>1.1499999999999999</v>
      </c>
      <c r="BP139" s="15">
        <f>MIN(IF($AU139=100%,1,1+VLOOKUP(($AJ139-$AI139-$AH139-$AG139-$AF139-$AE139*(1+BP$3))/$AJ139,'Технический лист'!$I:$J,2,1)-VLOOKUP($AO139,'Технический лист'!$I:$J,2,1)),1+(1-$AU139))</f>
        <v>1.1499999999999999</v>
      </c>
      <c r="BQ139" s="15">
        <f>MIN(IF($AU139=100%,1,1+VLOOKUP(($AJ139-$AI139-$AH139-$AG139-$AF139-$AE139*(1+BQ$3))/$AJ139,'Технический лист'!$I:$J,2,1)-VLOOKUP($AO139,'Технический лист'!$I:$J,2,1)),1+(1-$AU139))</f>
        <v>1.1499999999999999</v>
      </c>
      <c r="BR139" s="15">
        <f>MIN(IF($AU139=100%,1,1+VLOOKUP(($AJ139-$AI139-$AH139-$AG139-$AF139-$AE139*(1+BR$3))/$AJ139,'Технический лист'!$I:$J,2,1)-VLOOKUP($AO139,'Технический лист'!$I:$J,2,1)),1+(1-$AU139))</f>
        <v>1.1499999999999999</v>
      </c>
      <c r="BS139" s="15">
        <f>MIN(IF($AU139=100%,1,1+VLOOKUP(($AJ139-$AI139-$AH139-$AG139-$AF139-$AE139*(1+BS$3))/$AJ139,'Технический лист'!$I:$J,2,1)-VLOOKUP($AO139,'Технический лист'!$I:$J,2,1)),1+(1-$AU139))</f>
        <v>1.1499999999999999</v>
      </c>
      <c r="BT139" s="15">
        <f>MIN(IF($AU139=100%,1,1+VLOOKUP(($AJ139-$AI139-$AH139-$AG139-$AF139-$AE139*(1+BT$3))/$AJ139,'Технический лист'!$I:$J,2,1)-VLOOKUP($AO139,'Технический лист'!$I:$J,2,1)),1+(1-$AU139))</f>
        <v>1.1499999999999999</v>
      </c>
      <c r="BU139" s="15">
        <f>MIN(IF($AU139=100%,1,1+VLOOKUP(($AJ139-$AI139-$AH139-$AG139-$AF139-$AE139*(1+BU$3))/$AJ139,'Технический лист'!$I:$J,2,1)-VLOOKUP($AO139,'Технический лист'!$I:$J,2,1)),1+(1-$AU139))</f>
        <v>1.1499999999999999</v>
      </c>
      <c r="BV139" s="15">
        <f>MIN(IF($AU139=100%,1,1+VLOOKUP(($AJ139-$AI139-$AH139-$AG139-$AF139-$AE139*(1+BV$3))/$AJ139,'Технический лист'!$I:$J,2,1)-VLOOKUP($AO139,'Технический лист'!$I:$J,2,1)),1+(1-$AU139))</f>
        <v>1.1499999999999999</v>
      </c>
      <c r="BW139" s="15">
        <f>MIN(IF($AU139=100%,1,1+VLOOKUP(($AJ139-$AI139-$AH139-$AG139-$AF139-$AE139*(1+BW$3))/$AJ139,'Технический лист'!$I:$J,2,1)-VLOOKUP($AO139,'Технический лист'!$I:$J,2,1)),1+(1-$AU139))</f>
        <v>1.1499999999999999</v>
      </c>
      <c r="BX139" s="15">
        <f>MIN(IF($AU139=100%,1,1+VLOOKUP(($AJ139-$AI139-$AH139-$AG139-$AF139-$AE139*(1+BX$3))/$AJ139,'Технический лист'!$I:$J,2,1)-VLOOKUP($AO139,'Технический лист'!$I:$J,2,1)),1+(1-$AU139))</f>
        <v>1.1499999999999999</v>
      </c>
      <c r="BY139" s="15">
        <f>MIN(IF($AU139=100%,1,1+VLOOKUP(($AJ139-$AI139-$AH139-$AG139-$AF139-$AE139*(1+BY$3))/$AJ139,'Технический лист'!$I:$J,2,1)-VLOOKUP($AO139,'Технический лист'!$I:$J,2,1)),1+(1-$AU139))</f>
        <v>1.1499999999999999</v>
      </c>
      <c r="BZ139" s="15">
        <f>MIN(IF($AU139=100%,1,1+VLOOKUP(($AJ139-$AI139-$AH139-$AG139-$AF139-$AE139*(1+BZ$3))/$AJ139,'Технический лист'!$I:$J,2,1)-VLOOKUP($AO139,'Технический лист'!$I:$J,2,1)),1+(1-$AU139))</f>
        <v>1.1499999999999999</v>
      </c>
      <c r="CA139" s="15">
        <f>MIN(IF($AU139=100%,1,1+VLOOKUP(($AJ139-$AI139-$AH139-$AG139-$AF139-$AE139*(1+CA$3))/$AJ139,'Технический лист'!$I:$J,2,1)-VLOOKUP($AO139,'Технический лист'!$I:$J,2,1)),1+(1-$AU139))</f>
        <v>1.1499999999999999</v>
      </c>
      <c r="CB139" s="15">
        <f>MIN(IF($AU139=100%,1,1+VLOOKUP(($AJ139-$AI139-$AH139-$AG139-$AF139-$AE139*(1+CB$3))/$AJ139,'Технический лист'!$I:$J,2,1)-VLOOKUP($AO139,'Технический лист'!$I:$J,2,1)),1+(1-$AU139))</f>
        <v>1.1499999999999999</v>
      </c>
      <c r="CC139" s="15">
        <f>MIN(IF($AU139=100%,1,1+VLOOKUP(($AJ139-$AI139-$AH139-$AG139-$AF139-$AE139*(1+CC$3))/$AJ139,'Технический лист'!$I:$J,2,1)-VLOOKUP($AO139,'Технический лист'!$I:$J,2,1)),1+(1-$AU139))</f>
        <v>1.1499999999999999</v>
      </c>
      <c r="CD139" s="15">
        <f>MIN(IF($AU139=100%,1,1+VLOOKUP(($AJ139-$AI139-$AH139-$AG139-$AF139-$AE139*(1+CD$3))/$AJ139,'Технический лист'!$I:$J,2,1)-VLOOKUP($AO139,'Технический лист'!$I:$J,2,1)),1+(1-$AU139))</f>
        <v>1.1499999999999999</v>
      </c>
      <c r="CE139" s="15">
        <f>MIN(IF($AU139=100%,1,1+VLOOKUP(($AJ139-$AI139-$AH139-$AG139-$AF139-$AE139*(1+CE$3))/$AJ139,'Технический лист'!$I:$J,2,1)-VLOOKUP($AO139,'Технический лист'!$I:$J,2,1)),1+(1-$AU139))</f>
        <v>1.1499999999999999</v>
      </c>
      <c r="CF139" s="15">
        <f>MIN(IF($AU139=100%,1,1+VLOOKUP(($AJ139-$AI139-$AH139-$AG139-$AF139-$AE139*(1+CF$3))/$AJ139,'Технический лист'!$I:$J,2,1)-VLOOKUP($AO139,'Технический лист'!$I:$J,2,1)),1+(1-$AU139))</f>
        <v>1.1499999999999999</v>
      </c>
      <c r="CG139" s="15">
        <f>MIN(IF($AU139=100%,1,1+VLOOKUP(($AJ139-$AI139-$AH139-$AG139-$AF139-$AE139*(1+CG$3))/$AJ139,'Технический лист'!$I:$J,2,1)-VLOOKUP($AO139,'Технический лист'!$I:$J,2,1)),1+(1-$AU139))</f>
        <v>1.1499999999999999</v>
      </c>
      <c r="CH139" s="15">
        <f>MIN(IF($AU139=100%,1,1+VLOOKUP(($AJ139-$AI139-$AH139-$AG139-$AF139-$AE139*(1+CH$3))/$AJ139,'Технический лист'!$I:$J,2,1)-VLOOKUP($AO139,'Технический лист'!$I:$J,2,1)),1+(1-$AU139))</f>
        <v>1.1499999999999999</v>
      </c>
      <c r="CI139" s="15">
        <f>MIN(IF($AU139=100%,1,1+VLOOKUP(($AJ139-$AI139-$AH139-$AG139-$AF139-$AE139*(1+CI$3))/$AJ139,'Технический лист'!$I:$J,2,1)-VLOOKUP($AO139,'Технический лист'!$I:$J,2,1)),1+(1-$AU139))</f>
        <v>1.1499999999999999</v>
      </c>
      <c r="CJ139" s="15">
        <f>MIN(IF($AU139=100%,1,1+VLOOKUP(($AJ139-$AI139-$AH139-$AG139-$AF139-$AE139*(1+CJ$3))/$AJ139,'Технический лист'!$I:$J,2,1)-VLOOKUP($AO139,'Технический лист'!$I:$J,2,1)),1+(1-$AU139))</f>
        <v>1.1499999999999999</v>
      </c>
      <c r="CK139" s="15">
        <f>MIN(IF($AU139=100%,1,1+VLOOKUP(($AJ139-$AI139-$AH139-$AG139-$AF139-$AE139*(1+CK$3))/$AJ139,'Технический лист'!$I:$J,2,1)-VLOOKUP($AO139,'Технический лист'!$I:$J,2,1)),1+(1-$AU139))</f>
        <v>1.1499999999999999</v>
      </c>
      <c r="CL139" s="15">
        <f>MIN(IF($AU139=100%,1,1+VLOOKUP(($AJ139-$AI139-$AH139-$AG139-$AF139-$AE139*(1+CL$3))/$AJ139,'Технический лист'!$I:$J,2,1)-VLOOKUP($AO139,'Технический лист'!$I:$J,2,1)),1+(1-$AU139))</f>
        <v>1.1499999999999999</v>
      </c>
      <c r="CM139" s="15">
        <f>MIN(IF($AU139=100%,1,1+VLOOKUP(($AJ139-$AI139-$AH139-$AG139-$AF139-$AE139*(1+CM$3))/$AJ139,'Технический лист'!$I:$J,2,1)-VLOOKUP($AO139,'Технический лист'!$I:$J,2,1)),1+(1-$AU139))</f>
        <v>1.1499999999999999</v>
      </c>
      <c r="CN139" s="15">
        <f>MIN(IF($AU139=100%,1,1+VLOOKUP(($AJ139-$AI139-$AH139-$AG139-$AF139-$AE139*(1+CN$3))/$AJ139,'Технический лист'!$I:$J,2,1)-VLOOKUP($AO139,'Технический лист'!$I:$J,2,1)),1+(1-$AU139))</f>
        <v>1.1499999999999999</v>
      </c>
      <c r="CO139" s="15">
        <f>MIN(IF($AU139=100%,1,1+VLOOKUP(($AJ139-$AI139-$AH139-$AG139-$AF139-$AE139*(1+CO$3))/$AJ139,'Технический лист'!$I:$J,2,1)-VLOOKUP($AO139,'Технический лист'!$I:$J,2,1)),1+(1-$AU139))</f>
        <v>1.1499999999999999</v>
      </c>
      <c r="CP139" s="15">
        <f>MIN(IF($AU139=100%,1,1+VLOOKUP(($AJ139-$AI139-$AH139-$AG139-$AF139-$AE139*(1+CP$3))/$AJ139,'Технический лист'!$I:$J,2,1)-VLOOKUP($AO139,'Технический лист'!$I:$J,2,1)),1+(1-$AU139))</f>
        <v>1.1499999999999999</v>
      </c>
      <c r="CQ139" s="15">
        <f>MIN(IF($AU139=100%,1,1+VLOOKUP(($AJ139-$AI139-$AH139-$AG139-$AF139-$AE139*(1+CQ$3))/$AJ139,'Технический лист'!$I:$J,2,1)-VLOOKUP($AO139,'Технический лист'!$I:$J,2,1)),1+(1-$AU139))</f>
        <v>1.1499999999999999</v>
      </c>
      <c r="CR139" s="15">
        <f>MIN(IF($AU139=100%,1,1+VLOOKUP(($AJ139-$AI139-$AH139-$AG139-$AF139-$AE139*(1+CR$3))/$AJ139,'Технический лист'!$I:$J,2,1)-VLOOKUP($AO139,'Технический лист'!$I:$J,2,1)),1+(1-$AU139))</f>
        <v>1.1499999999999999</v>
      </c>
      <c r="CS139" s="15">
        <f>MIN(IF($AU139=100%,1,1+VLOOKUP(($AJ139-$AI139-$AH139-$AG139-$AF139-$AE139*(1+CS$3))/$AJ139,'Технический лист'!$I:$J,2,1)-VLOOKUP($AO139,'Технический лист'!$I:$J,2,1)),1+(1-$AU139))</f>
        <v>1.1499999999999999</v>
      </c>
      <c r="CT139" s="15">
        <f>MIN(IF($AU139=100%,1,1+VLOOKUP(($AJ139-$AI139-$AH139-$AG139-$AF139-$AE139*(1+CT$3))/$AJ139,'Технический лист'!$I:$J,2,1)-VLOOKUP($AO139,'Технический лист'!$I:$J,2,1)),1+(1-$AU139))</f>
        <v>1.1499999999999999</v>
      </c>
      <c r="CU139" s="15">
        <f>MIN(IF($AU139=100%,1,1+VLOOKUP(($AJ139-$AI139-$AH139-$AG139-$AF139-$AE139*(1+CU$3))/$AJ139,'Технический лист'!$I:$J,2,1)-VLOOKUP($AO139,'Технический лист'!$I:$J,2,1)),1+(1-$AU139))</f>
        <v>1.1499999999999999</v>
      </c>
      <c r="CV139" s="15">
        <f>MIN(IF($AU139=100%,1,1+VLOOKUP(($AJ139-$AI139-$AH139-$AG139-$AF139-$AE139*(1+CV$3))/$AJ139,'Технический лист'!$I:$J,2,1)-VLOOKUP($AO139,'Технический лист'!$I:$J,2,1)),1+(1-$AU139))</f>
        <v>1.1499999999999999</v>
      </c>
      <c r="CW139" s="15">
        <f>MIN(IF($AU139=100%,1,1+VLOOKUP(($AJ139-$AI139-$AH139-$AG139-$AF139-$AE139*(1+CW$3))/$AJ139,'Технический лист'!$I:$J,2,1)-VLOOKUP($AO139,'Технический лист'!$I:$J,2,1)),1+(1-$AU139))</f>
        <v>1.1499999999999999</v>
      </c>
      <c r="CX139" s="15">
        <f>MIN(IF($AU139=100%,1,1+VLOOKUP(($AJ139-$AI139-$AH139-$AG139-$AF139-$AE139*(1+CX$3))/$AJ139,'Технический лист'!$I:$J,2,1)-VLOOKUP($AO139,'Технический лист'!$I:$J,2,1)),1+(1-$AU139))</f>
        <v>1.1499999999999999</v>
      </c>
      <c r="CY139" s="15">
        <f>MIN(IF($AU139=100%,1,1+VLOOKUP(($AJ139-$AI139-$AH139-$AG139-$AF139-$AE139*(1+CY$3))/$AJ139,'Технический лист'!$I:$J,2,1)-VLOOKUP($AO139,'Технический лист'!$I:$J,2,1)),1+(1-$AU139))</f>
        <v>1.1499999999999999</v>
      </c>
      <c r="CZ139" s="15">
        <f>MIN(IF($AU139=100%,1,1+VLOOKUP(($AJ139-$AI139-$AH139-$AG139-$AF139-$AE139*(1+CZ$3))/$AJ139,'Технический лист'!$I:$J,2,1)-VLOOKUP($AO139,'Технический лист'!$I:$J,2,1)),1+(1-$AU139))</f>
        <v>1.1499999999999999</v>
      </c>
      <c r="DA139" s="15">
        <f>MIN(IF($AU139=100%,1,1+VLOOKUP(($AJ139-$AI139-$AH139-$AG139-$AF139-$AE139*(1+DA$3))/$AJ139,'Технический лист'!$I:$J,2,1)-VLOOKUP($AO139,'Технический лист'!$I:$J,2,1)),1+(1-$AU139))</f>
        <v>1.1499999999999999</v>
      </c>
      <c r="DB139" s="15">
        <f>MIN(IF($AU139=100%,1,1+VLOOKUP(($AJ139-$AI139-$AH139-$AG139-$AF139-$AE139*(1+DB$3))/$AJ139,'Технический лист'!$I:$J,2,1)-VLOOKUP($AO139,'Технический лист'!$I:$J,2,1)),1+(1-$AU139))</f>
        <v>1.1499999999999999</v>
      </c>
      <c r="DC139" s="15">
        <f>MIN(IF($AU139=100%,1,1+VLOOKUP(($AJ139-$AI139-$AH139-$AG139-$AF139-$AE139*(1+DC$3))/$AJ139,'Технический лист'!$I:$J,2,1)-VLOOKUP($AO139,'Технический лист'!$I:$J,2,1)),1+(1-$AU139))</f>
        <v>1.1499999999999999</v>
      </c>
      <c r="DD139" s="15">
        <f>MIN(IF($AU139=100%,1,1+VLOOKUP(($AJ139-$AI139-$AH139-$AG139-$AF139-$AE139*(1+DD$3))/$AJ139,'Технический лист'!$I:$J,2,1)-VLOOKUP($AO139,'Технический лист'!$I:$J,2,1)),1+(1-$AU139))</f>
        <v>1.1499999999999999</v>
      </c>
      <c r="DE139" s="15">
        <f>MIN(IF($AU139=100%,1,1+VLOOKUP(($AJ139-$AI139-$AH139-$AG139-$AF139-$AE139*(1+DE$3))/$AJ139,'Технический лист'!$I:$J,2,1)-VLOOKUP($AO139,'Технический лист'!$I:$J,2,1)),1+(1-$AU139))</f>
        <v>1.1499999999999999</v>
      </c>
      <c r="DF139" s="15">
        <f>MIN(IF($AU139=100%,1,1+VLOOKUP(($AJ139-$AI139-$AH139-$AG139-$AF139-$AE139*(1+DF$3))/$AJ139,'Технический лист'!$I:$J,2,1)-VLOOKUP($AO139,'Технический лист'!$I:$J,2,1)),1+(1-$AU139))</f>
        <v>1.1499999999999999</v>
      </c>
      <c r="DG139" s="15">
        <f>MIN(IF($AU139=100%,1,1+VLOOKUP(($AJ139-$AI139-$AH139-$AG139-$AF139-$AE139*(1+DG$3))/$AJ139,'Технический лист'!$I:$J,2,1)-VLOOKUP($AO139,'Технический лист'!$I:$J,2,1)),1+(1-$AU139))</f>
        <v>1.1499999999999999</v>
      </c>
      <c r="DH139" s="15">
        <f>MIN(IF($AU139=100%,1,1+VLOOKUP(($AJ139-$AI139-$AH139-$AG139-$AF139-$AE139*(1+DH$3))/$AJ139,'Технический лист'!$I:$J,2,1)-VLOOKUP($AO139,'Технический лист'!$I:$J,2,1)),1+(1-$AU139))</f>
        <v>1.1499999999999999</v>
      </c>
      <c r="DI139" s="15">
        <f>MIN(IF($AU139=100%,1,1+VLOOKUP(($AJ139-$AI139-$AH139-$AG139-$AF139-$AE139*(1+DI$3))/$AJ139,'Технический лист'!$I:$J,2,1)-VLOOKUP($AO139,'Технический лист'!$I:$J,2,1)),1+(1-$AU139))</f>
        <v>1.1499999999999999</v>
      </c>
      <c r="DJ139" s="15">
        <f>MIN(IF($AU139=100%,1,1+VLOOKUP(($AJ139-$AI139-$AH139-$AG139-$AF139-$AE139*(1+DJ$3))/$AJ139,'Технический лист'!$I:$J,2,1)-VLOOKUP($AO139,'Технический лист'!$I:$J,2,1)),1+(1-$AU139))</f>
        <v>1.1499999999999999</v>
      </c>
      <c r="DK139" s="15">
        <f>MIN(IF($AU139=100%,1,1+VLOOKUP(($AJ139-$AI139-$AH139-$AG139-$AF139-$AE139*(1+DK$3))/$AJ139,'Технический лист'!$I:$J,2,1)-VLOOKUP($AO139,'Технический лист'!$I:$J,2,1)),1+(1-$AU139))</f>
        <v>1.1499999999999999</v>
      </c>
      <c r="DL139" s="15">
        <f>MIN(IF($AU139=100%,1,1+VLOOKUP(($AJ139-$AI139-$AH139-$AG139-$AF139-$AE139*(1+DL$3))/$AJ139,'Технический лист'!$I:$J,2,1)-VLOOKUP($AO139,'Технический лист'!$I:$J,2,1)),1+(1-$AU139))</f>
        <v>1.1499999999999999</v>
      </c>
      <c r="DM139" s="15">
        <f>MIN(IF($AU139=100%,1,1+VLOOKUP(($AJ139-$AI139-$AH139-$AG139-$AF139-$AE139*(1+DM$3))/$AJ139,'Технический лист'!$I:$J,2,1)-VLOOKUP($AO139,'Технический лист'!$I:$J,2,1)),1+(1-$AU139))</f>
        <v>1.1499999999999999</v>
      </c>
      <c r="DN139" s="15">
        <f>MIN(IF($AU139=100%,1,1+VLOOKUP(($AJ139-$AI139-$AH139-$AG139-$AF139-$AE139*(1+DN$3))/$AJ139,'Технический лист'!$I:$J,2,1)-VLOOKUP($AO139,'Технический лист'!$I:$J,2,1)),1+(1-$AU139))</f>
        <v>1.1499999999999999</v>
      </c>
      <c r="DO139" s="15">
        <f>MIN(IF($AU139=100%,1,1+VLOOKUP(($AJ139-$AI139-$AH139-$AG139-$AF139-$AE139*(1+DO$3))/$AJ139,'Технический лист'!$I:$J,2,1)-VLOOKUP($AO139,'Технический лист'!$I:$J,2,1)),1+(1-$AU139))</f>
        <v>1.1499999999999999</v>
      </c>
      <c r="DP139" s="15">
        <f>MIN(IF($AU139=100%,1,1+VLOOKUP(($AJ139-$AI139-$AH139-$AG139-$AF139-$AE139*(1+DP$3))/$AJ139,'Технический лист'!$I:$J,2,1)-VLOOKUP($AO139,'Технический лист'!$I:$J,2,1)),1+(1-$AU139))</f>
        <v>1.1499999999999999</v>
      </c>
      <c r="DQ139" s="15">
        <f>MIN(IF($AU139=100%,1,1+VLOOKUP(($AJ139-$AI139-$AH139-$AG139-$AF139-$AE139*(1+DQ$3))/$AJ139,'Технический лист'!$I:$J,2,1)-VLOOKUP($AO139,'Технический лист'!$I:$J,2,1)),1+(1-$AU139))</f>
        <v>1.1499999999999999</v>
      </c>
      <c r="DR139" s="15">
        <f>MIN(IF($AU139=100%,1,1+VLOOKUP(($AJ139-$AI139-$AH139-$AG139-$AF139-$AE139*(1+DR$3))/$AJ139,'Технический лист'!$I:$J,2,1)-VLOOKUP($AO139,'Технический лист'!$I:$J,2,1)),1+(1-$AU139))</f>
        <v>1.1499999999999999</v>
      </c>
      <c r="DS139" s="15">
        <f>MIN(IF($AU139=100%,1,1+VLOOKUP(($AJ139-$AI139-$AH139-$AG139-$AF139-$AE139*(1+DS$3))/$AJ139,'Технический лист'!$I:$J,2,1)-VLOOKUP($AO139,'Технический лист'!$I:$J,2,1)),1+(1-$AU139))</f>
        <v>1.1499999999999999</v>
      </c>
      <c r="DT139" s="15">
        <f>MIN(IF($AU139=100%,1,1+VLOOKUP(($AJ139-$AI139-$AH139-$AG139-$AF139-$AE139*(1+DT$3))/$AJ139,'Технический лист'!$I:$J,2,1)-VLOOKUP($AO139,'Технический лист'!$I:$J,2,1)),1+(1-$AU139))</f>
        <v>1.1499999999999999</v>
      </c>
      <c r="DU139" s="15">
        <f>MIN(IF($AU139=100%,1,1+VLOOKUP(($AJ139-$AI139-$AH139-$AG139-$AF139-$AE139*(1+DU$3))/$AJ139,'Технический лист'!$I:$J,2,1)-VLOOKUP($AO139,'Технический лист'!$I:$J,2,1)),1+(1-$AU139))</f>
        <v>1.1499999999999999</v>
      </c>
      <c r="DV139" s="15">
        <f>MIN(IF($AU139=100%,1,1+VLOOKUP(($AJ139-$AI139-$AH139-$AG139-$AF139-$AE139*(1+DV$3))/$AJ139,'Технический лист'!$I:$J,2,1)-VLOOKUP($AO139,'Технический лист'!$I:$J,2,1)),1+(1-$AU139))</f>
        <v>1.1499999999999999</v>
      </c>
      <c r="DW139" s="15">
        <f>MIN(IF($AU139=100%,1,1+VLOOKUP(($AJ139-$AI139-$AH139-$AG139-$AF139-$AE139*(1+DW$3))/$AJ139,'Технический лист'!$I:$J,2,1)-VLOOKUP($AO139,'Технический лист'!$I:$J,2,1)),1+(1-$AU139))</f>
        <v>1.1499999999999999</v>
      </c>
      <c r="DX139" s="15">
        <f>MIN(IF($AU139=100%,1,1+VLOOKUP(($AJ139-$AI139-$AH139-$AG139-$AF139-$AE139*(1+DX$3))/$AJ139,'Технический лист'!$I:$J,2,1)-VLOOKUP($AO139,'Технический лист'!$I:$J,2,1)),1+(1-$AU139))</f>
        <v>1.1499999999999999</v>
      </c>
      <c r="DY139" s="15">
        <f>MIN(IF($AU139=100%,1,1+VLOOKUP(($AJ139-$AI139-$AH139-$AG139-$AF139-$AE139*(1+DY$3))/$AJ139,'Технический лист'!$I:$J,2,1)-VLOOKUP($AO139,'Технический лист'!$I:$J,2,1)),1+(1-$AU139))</f>
        <v>1.1499999999999999</v>
      </c>
      <c r="DZ139" s="15">
        <f>MIN(IF($AU139=100%,1,1+VLOOKUP(($AJ139-$AI139-$AH139-$AG139-$AF139-$AE139*(1+DZ$3))/$AJ139,'Технический лист'!$I:$J,2,1)-VLOOKUP($AO139,'Технический лист'!$I:$J,2,1)),1+(1-$AU139))</f>
        <v>1.1000000000000003</v>
      </c>
      <c r="EA139" s="15">
        <f>MIN(IF($AU139=100%,1,1+VLOOKUP(($AJ139-$AI139-$AH139-$AG139-$AF139-$AE139*(1+EA$3))/$AJ139,'Технический лист'!$I:$J,2,1)-VLOOKUP($AO139,'Технический лист'!$I:$J,2,1)),1+(1-$AU139))</f>
        <v>1.1000000000000003</v>
      </c>
      <c r="EB139" s="15">
        <f>MIN(IF($AU139=100%,1,1+VLOOKUP(($AJ139-$AI139-$AH139-$AG139-$AF139-$AE139*(1+EB$3))/$AJ139,'Технический лист'!$I:$J,2,1)-VLOOKUP($AO139,'Технический лист'!$I:$J,2,1)),1+(1-$AU139))</f>
        <v>1.1000000000000003</v>
      </c>
      <c r="EC139" s="15">
        <f>MIN(IF($AU139=100%,1,1+VLOOKUP(($AJ139-$AI139-$AH139-$AG139-$AF139-$AE139*(1+EC$3))/$AJ139,'Технический лист'!$I:$J,2,1)-VLOOKUP($AO139,'Технический лист'!$I:$J,2,1)),1+(1-$AU139))</f>
        <v>1.1000000000000003</v>
      </c>
      <c r="ED139" s="15">
        <f>MIN(IF($AU139=100%,1,1+VLOOKUP(($AJ139-$AI139-$AH139-$AG139-$AF139-$AE139*(1+ED$3))/$AJ139,'Технический лист'!$I:$J,2,1)-VLOOKUP($AO139,'Технический лист'!$I:$J,2,1)),1+(1-$AU139))</f>
        <v>1.1000000000000003</v>
      </c>
      <c r="EE139" s="15">
        <f>MIN(IF($AU139=100%,1,1+VLOOKUP(($AJ139-$AI139-$AH139-$AG139-$AF139-$AE139*(1+EE$3))/$AJ139,'Технический лист'!$I:$J,2,1)-VLOOKUP($AO139,'Технический лист'!$I:$J,2,1)),1+(1-$AU139))</f>
        <v>1.1000000000000003</v>
      </c>
      <c r="EF139" s="15">
        <f>MIN(IF($AU139=100%,1,1+VLOOKUP(($AJ139-$AI139-$AH139-$AG139-$AF139-$AE139*(1+EF$3))/$AJ139,'Технический лист'!$I:$J,2,1)-VLOOKUP($AO139,'Технический лист'!$I:$J,2,1)),1+(1-$AU139))</f>
        <v>1.1000000000000003</v>
      </c>
      <c r="EG139" s="15">
        <f>MIN(IF($AU139=100%,1,1+VLOOKUP(($AJ139-$AI139-$AH139-$AG139-$AF139-$AE139*(1+EG$3))/$AJ139,'Технический лист'!$I:$J,2,1)-VLOOKUP($AO139,'Технический лист'!$I:$J,2,1)),1+(1-$AU139))</f>
        <v>1.1000000000000003</v>
      </c>
      <c r="EH139" s="15">
        <f>MIN(IF($AU139=100%,1,1+VLOOKUP(($AJ139-$AI139-$AH139-$AG139-$AF139-$AE139*(1+EH$3))/$AJ139,'Технический лист'!$I:$J,2,1)-VLOOKUP($AO139,'Технический лист'!$I:$J,2,1)),1+(1-$AU139))</f>
        <v>1.05</v>
      </c>
      <c r="EI139" s="15">
        <f>MIN(IF($AU139=100%,1,1+VLOOKUP(($AJ139-$AI139-$AH139-$AG139-$AF139-$AE139*(1+EI$3))/$AJ139,'Технический лист'!$I:$J,2,1)-VLOOKUP($AO139,'Технический лист'!$I:$J,2,1)),1+(1-$AU139))</f>
        <v>1.05</v>
      </c>
      <c r="EJ139" s="15">
        <f>MIN(IF($AU139=100%,1,1+VLOOKUP(($AJ139-$AI139-$AH139-$AG139-$AF139-$AE139*(1+EJ$3))/$AJ139,'Технический лист'!$I:$J,2,1)-VLOOKUP($AO139,'Технический лист'!$I:$J,2,1)),1+(1-$AU139))</f>
        <v>1.05</v>
      </c>
      <c r="EK139" s="15">
        <f>MIN(IF($AU139=100%,1,1+VLOOKUP(($AJ139-$AI139-$AH139-$AG139-$AF139-$AE139*(1+EK$3))/$AJ139,'Технический лист'!$I:$J,2,1)-VLOOKUP($AO139,'Технический лист'!$I:$J,2,1)),1+(1-$AU139))</f>
        <v>1.05</v>
      </c>
      <c r="EL139" s="15">
        <f>MIN(IF($AU139=100%,1,1+VLOOKUP(($AJ139-$AI139-$AH139-$AG139-$AF139-$AE139*(1+EL$3))/$AJ139,'Технический лист'!$I:$J,2,1)-VLOOKUP($AO139,'Технический лист'!$I:$J,2,1)),1+(1-$AU139))</f>
        <v>1.05</v>
      </c>
      <c r="EM139" s="15">
        <f>MIN(IF($AU139=100%,1,1+VLOOKUP(($AJ139-$AI139-$AH139-$AG139-$AF139-$AE139*(1+EM$3))/$AJ139,'Технический лист'!$I:$J,2,1)-VLOOKUP($AO139,'Технический лист'!$I:$J,2,1)),1+(1-$AU139))</f>
        <v>1.05</v>
      </c>
      <c r="EN139" s="15">
        <f>MIN(IF($AU139=100%,1,1+VLOOKUP(($AJ139-$AI139-$AH139-$AG139-$AF139-$AE139*(1+EN$3))/$AJ139,'Технический лист'!$I:$J,2,1)-VLOOKUP($AO139,'Технический лист'!$I:$J,2,1)),1+(1-$AU139))</f>
        <v>1.05</v>
      </c>
      <c r="EO139" s="15">
        <f>MIN(IF($AU139=100%,1,1+VLOOKUP(($AJ139-$AI139-$AH139-$AG139-$AF139-$AE139*(1+EO$3))/$AJ139,'Технический лист'!$I:$J,2,1)-VLOOKUP($AO139,'Технический лист'!$I:$J,2,1)),1+(1-$AU139))</f>
        <v>0.99999999999999978</v>
      </c>
      <c r="EP139" s="15">
        <f>MIN(IF($AU139=100%,1,1+VLOOKUP(($AJ139-$AI139-$AH139-$AG139-$AF139-$AE139*(1+EP$3))/$AJ139,'Технический лист'!$I:$J,2,1)-VLOOKUP($AO139,'Технический лист'!$I:$J,2,1)),1+(1-$AU139))</f>
        <v>0.99999999999999978</v>
      </c>
      <c r="EQ139" s="15">
        <f>MIN(IF($AU139=100%,1,1+VLOOKUP(($AJ139-$AI139-$AH139-$AG139-$AF139-$AE139*(1+EQ$3))/$AJ139,'Технический лист'!$I:$J,2,1)-VLOOKUP($AO139,'Технический лист'!$I:$J,2,1)),1+(1-$AU139))</f>
        <v>0.99999999999999978</v>
      </c>
      <c r="ER139" s="15">
        <f>MIN(IF($AU139=100%,1,1+VLOOKUP(($AJ139-$AI139-$AH139-$AG139-$AF139-$AE139*(1+ER$3))/$AJ139,'Технический лист'!$I:$J,2,1)-VLOOKUP($AO139,'Технический лист'!$I:$J,2,1)),1+(1-$AU139))</f>
        <v>0.99999999999999978</v>
      </c>
      <c r="ES139" s="15">
        <f>MIN(IF($AU139=100%,1,1+VLOOKUP(($AJ139-$AI139-$AH139-$AG139-$AF139-$AE139*(1+ES$3))/$AJ139,'Технический лист'!$I:$J,2,1)-VLOOKUP($AO139,'Технический лист'!$I:$J,2,1)),1+(1-$AU139))</f>
        <v>0.99999999999999978</v>
      </c>
      <c r="ET139" s="15">
        <f>MIN(IF($AU139=100%,1,1+VLOOKUP(($AJ139-$AI139-$AH139-$AG139-$AF139-$AE139*(1+ET$3))/$AJ139,'Технический лист'!$I:$J,2,1)-VLOOKUP($AO139,'Технический лист'!$I:$J,2,1)),1+(1-$AU139))</f>
        <v>0.99999999999999978</v>
      </c>
      <c r="EU139" s="15">
        <f>MIN(IF($AU139=100%,1,1+VLOOKUP(($AJ139-$AI139-$AH139-$AG139-$AF139-$AE139*(1+EU$3))/$AJ139,'Технический лист'!$I:$J,2,1)-VLOOKUP($AO139,'Технический лист'!$I:$J,2,1)),1+(1-$AU139))</f>
        <v>0.99999999999999978</v>
      </c>
      <c r="EV139" s="111">
        <v>1</v>
      </c>
      <c r="EW139" s="15">
        <f>MIN(1,MAX(VLOOKUP(($AJ139-$AI139-$AH139-$AG139-$AF139-$AE139*(1+EW$3))/$AJ139,'Технический лист'!$A:$B,2,1),(EV139-0.05)))</f>
        <v>1</v>
      </c>
      <c r="EX139" s="15">
        <f>MIN(1,MAX(VLOOKUP(($AJ139-$AI139-$AH139-$AG139-$AF139-$AE139*(1+EX$3))/$AJ139,'Технический лист'!$A:$B,2,1),(EW139-0.05)))</f>
        <v>1</v>
      </c>
      <c r="EY139" s="15">
        <f>MIN(1,MAX(VLOOKUP(($AJ139-$AI139-$AH139-$AG139-$AF139-$AE139*(1+EY$3))/$AJ139,'Технический лист'!$A:$B,2,1),(EX139-0.05)))</f>
        <v>1</v>
      </c>
      <c r="EZ139" s="15">
        <f>MIN(1,MAX(VLOOKUP(($AJ139-$AI139-$AH139-$AG139-$AF139-$AE139*(1+EZ$3))/$AJ139,'Технический лист'!$A:$B,2,1),(EY139-0.05)))</f>
        <v>1</v>
      </c>
      <c r="FA139" s="15">
        <f>MIN(1,MAX(VLOOKUP(($AJ139-$AI139-$AH139-$AG139-$AF139-$AE139*(1+FA$3))/$AJ139,'Технический лист'!$A:$B,2,1),(EZ139-0.05)))</f>
        <v>1</v>
      </c>
      <c r="FB139" s="15">
        <f>MIN(1,MAX(VLOOKUP(($AJ139-$AI139-$AH139-$AG139-$AF139-$AE139*(1+FB$3))/$AJ139,'Технический лист'!$A:$B,2,1),(FA139-0.05)))</f>
        <v>1</v>
      </c>
      <c r="FC139" s="15">
        <f>MIN(1,MAX(VLOOKUP(($AJ139-$AI139-$AH139-$AG139-$AF139-$AE139*(1+FC$3))/$AJ139,'Технический лист'!$A:$B,2,1),(FB139-0.05)))</f>
        <v>1</v>
      </c>
      <c r="FD139" s="15">
        <f>MIN(1,MAX(VLOOKUP(($AJ139-$AI139-$AH139-$AG139-$AF139-$AE139*(1+FD$3))/$AJ139,'Технический лист'!$A:$B,2,1),(FC139-0.05)))</f>
        <v>1</v>
      </c>
      <c r="FE139" s="15">
        <f>MIN(1,MAX(VLOOKUP(($AJ139-$AI139-$AH139-$AG139-$AF139-$AE139*(1+FE$3))/$AJ139,'Технический лист'!$A:$B,2,1),(FD139-0.05)))</f>
        <v>1</v>
      </c>
      <c r="FF139" s="15">
        <f>MIN(1,MAX(VLOOKUP(($AJ139-$AI139-$AH139-$AG139-$AF139-$AE139*(1+FF$3))/$AJ139,'Технический лист'!$A:$B,2,1),(FE139-0.05)))</f>
        <v>1</v>
      </c>
      <c r="FG139" s="15">
        <f>MIN(1,MAX(VLOOKUP(($AJ139-$AI139-$AH139-$AG139-$AF139-$AE139*(1+FG$3))/$AJ139,'Технический лист'!$A:$B,2,1),(FF139-0.05)))</f>
        <v>1</v>
      </c>
      <c r="FH139" s="15">
        <f>MIN(1,MAX(VLOOKUP(($AJ139-$AI139-$AH139-$AG139-$AF139-$AE139*(1+FH$3))/$AJ139,'Технический лист'!$A:$B,2,1),(FG139-0.05)))</f>
        <v>1</v>
      </c>
      <c r="FI139" s="15">
        <f>MIN(1,MAX(VLOOKUP(($AJ139-$AI139-$AH139-$AG139-$AF139-$AE139*(1+FI$3))/$AJ139,'Технический лист'!$A:$B,2,1),(FH139-0.05)))</f>
        <v>1</v>
      </c>
      <c r="FJ139" s="15">
        <f>MIN(1,MAX(VLOOKUP(($AJ139-$AI139-$AH139-$AG139-$AF139-$AE139*(1+FJ$3))/$AJ139,'Технический лист'!$A:$B,2,1),(FI139-0.05)))</f>
        <v>1</v>
      </c>
      <c r="FK139" s="15">
        <f>MIN(1,MAX(VLOOKUP(($AJ139-$AI139-$AH139-$AG139-$AF139-$AE139*(1+FK$3))/$AJ139,'Технический лист'!$A:$B,2,1),(FJ139-0.05)))</f>
        <v>1</v>
      </c>
      <c r="FL139" s="15">
        <f>MIN(1,MAX(VLOOKUP(($AJ139-$AI139-$AH139-$AG139-$AF139-$AE139*(1+FL$3))/$AJ139,'Технический лист'!$A:$B,2,1),(FK139-0.05)))</f>
        <v>1</v>
      </c>
      <c r="FM139" s="15">
        <f>MIN(1,MAX(VLOOKUP(($AJ139-$AI139-$AH139-$AG139-$AF139-$AE139*(1+FM$3))/$AJ139,'Технический лист'!$A:$B,2,1),(FL139-0.05)))</f>
        <v>1</v>
      </c>
      <c r="FN139" s="15">
        <f>MIN(1,MAX(VLOOKUP(($AJ139-$AI139-$AH139-$AG139-$AF139-$AE139*(1+FN$3))/$AJ139,'Технический лист'!$A:$B,2,1),(FM139-0.05)))</f>
        <v>1</v>
      </c>
      <c r="FO139" s="15">
        <f>MIN(1,MAX(VLOOKUP(($AJ139-$AI139-$AH139-$AG139-$AF139-$AE139*(1+FO$3))/$AJ139,'Технический лист'!$A:$B,2,1),(FN139-0.05)))</f>
        <v>1</v>
      </c>
      <c r="FP139" s="15">
        <f>MIN(1,MAX(VLOOKUP(($AJ139-$AI139-$AH139-$AG139-$AF139-$AE139*(1+FP$3))/$AJ139,'Технический лист'!$A:$B,2,1),(FO139-0.05)))</f>
        <v>1</v>
      </c>
      <c r="FQ139" s="15">
        <f>MIN(1,MAX(VLOOKUP(($AJ139-$AI139-$AH139-$AG139-$AF139-$AE139*(1+FQ$3))/$AJ139,'Технический лист'!$A:$B,2,1),(FP139-0.05)))</f>
        <v>1</v>
      </c>
      <c r="FR139" s="15">
        <f>MIN(1,MAX(VLOOKUP(($AJ139-$AI139-$AH139-$AG139-$AF139-$AE139*(1+FR$3))/$AJ139,'Технический лист'!$A:$B,2,1),(FQ139-0.05)))</f>
        <v>1</v>
      </c>
      <c r="FS139" s="15">
        <f>MIN(1,MAX(VLOOKUP(($AJ139-$AI139-$AH139-$AG139-$AF139-$AE139*(1+FS$3))/$AJ139,'Технический лист'!$A:$B,2,1),(FR139-0.05)))</f>
        <v>1</v>
      </c>
      <c r="FT139" s="15">
        <f>MIN(1,MAX(VLOOKUP(($AJ139-$AI139-$AH139-$AG139-$AF139-$AE139*(1+FT$3))/$AJ139,'Технический лист'!$A:$B,2,1),(FS139-0.05)))</f>
        <v>1</v>
      </c>
      <c r="FU139" s="15">
        <f>MIN(1,MAX(VLOOKUP(($AJ139-$AI139-$AH139-$AG139-$AF139-$AE139*(1+FU$3))/$AJ139,'Технический лист'!$A:$B,2,1),(FT139-0.05)))</f>
        <v>1</v>
      </c>
      <c r="FV139" s="15">
        <f>MIN(1,MAX(VLOOKUP(($AJ139-$AI139-$AH139-$AG139-$AF139-$AE139*(1+FV$3))/$AJ139,'Технический лист'!$A:$B,2,1),(FU139-0.05)))</f>
        <v>1</v>
      </c>
      <c r="FW139" s="15">
        <f>MIN(1,MAX(VLOOKUP(($AJ139-$AI139-$AH139-$AG139-$AF139-$AE139*(1+FW$3))/$AJ139,'Технический лист'!$A:$B,2,1),(FV139-0.05)))</f>
        <v>1</v>
      </c>
      <c r="FX139" s="15">
        <f>MIN(1,MAX(VLOOKUP(($AJ139-$AI139-$AH139-$AG139-$AF139-$AE139*(1+FX$3))/$AJ139,'Технический лист'!$A:$B,2,1),(FW139-0.05)))</f>
        <v>1</v>
      </c>
      <c r="FY139" s="15">
        <f>MIN(1,MAX(VLOOKUP(($AJ139-$AI139-$AH139-$AG139-$AF139-$AE139*(1+FY$3))/$AJ139,'Технический лист'!$A:$B,2,1),(FX139-0.05)))</f>
        <v>1</v>
      </c>
      <c r="FZ139" s="15">
        <f>MIN(1,MAX(VLOOKUP(($AJ139-$AI139-$AH139-$AG139-$AF139-$AE139*(1+FZ$3))/$AJ139,'Технический лист'!$A:$B,2,1),(FY139-0.05)))</f>
        <v>1</v>
      </c>
      <c r="GA139" s="15">
        <f>MIN(1,MAX(VLOOKUP(($AJ139-$AI139-$AH139-$AG139-$AF139-$AE139*(1+GA$3))/$AJ139,'Технический лист'!$A:$B,2,1),(FZ139-0.05)))</f>
        <v>1</v>
      </c>
      <c r="GB139" s="15">
        <f>MIN(1,MAX(VLOOKUP(($AJ139-$AI139-$AH139-$AG139-$AF139-$AE139*(1+GB$3))/$AJ139,'Технический лист'!$A:$B,2,1),(GA139-0.05)))</f>
        <v>1</v>
      </c>
      <c r="GC139" s="15">
        <f>MIN(1,MAX(VLOOKUP(($AJ139-$AI139-$AH139-$AG139-$AF139-$AE139*(1+GC$3))/$AJ139,'Технический лист'!$A:$B,2,1),(GB139-0.05)))</f>
        <v>1</v>
      </c>
      <c r="GD139" s="15">
        <f>MIN(1,MAX(VLOOKUP(($AJ139-$AI139-$AH139-$AG139-$AF139-$AE139*(1+GD$3))/$AJ139,'Технический лист'!$A:$B,2,1),(GC139-0.05)))</f>
        <v>1</v>
      </c>
      <c r="GE139" s="15">
        <f>MIN(1,MAX(VLOOKUP(($AJ139-$AI139-$AH139-$AG139-$AF139-$AE139*(1+GE$3))/$AJ139,'Технический лист'!$A:$B,2,1),(GD139-0.05)))</f>
        <v>1</v>
      </c>
      <c r="GF139" s="15">
        <f>MIN(1,MAX(VLOOKUP(($AJ139-$AI139-$AH139-$AG139-$AF139-$AE139*(1+GF$3))/$AJ139,'Технический лист'!$A:$B,2,1),(GE139-0.05)))</f>
        <v>1</v>
      </c>
      <c r="GG139" s="15">
        <f>MIN(1,MAX(VLOOKUP(($AJ139-$AI139-$AH139-$AG139-$AF139-$AE139*(1+GG$3))/$AJ139,'Технический лист'!$A:$B,2,1),(GF139-0.05)))</f>
        <v>1</v>
      </c>
      <c r="GH139" s="15">
        <f>MIN(1,MAX(VLOOKUP(($AJ139-$AI139-$AH139-$AG139-$AF139-$AE139*(1+GH$3))/$AJ139,'Технический лист'!$A:$B,2,1),(GG139-0.05)))</f>
        <v>1</v>
      </c>
      <c r="GI139" s="15">
        <f>MIN(1,MAX(VLOOKUP(($AJ139-$AI139-$AH139-$AG139-$AF139-$AE139*(1+GI$3))/$AJ139,'Технический лист'!$A:$B,2,1),(GH139-0.05)))</f>
        <v>1</v>
      </c>
      <c r="GJ139" s="15">
        <f>MIN(1,MAX(VLOOKUP(($AJ139-$AI139-$AH139-$AG139-$AF139-$AE139*(1+GJ$3))/$AJ139,'Технический лист'!$A:$B,2,1),(GI139-0.05)))</f>
        <v>1</v>
      </c>
      <c r="GK139" s="15">
        <f>MIN(1,MAX(VLOOKUP(($AJ139-$AI139-$AH139-$AG139-$AF139-$AE139*(1+GK$3))/$AJ139,'Технический лист'!$A:$B,2,1),(GJ139-0.05)))</f>
        <v>1</v>
      </c>
      <c r="GL139" s="15">
        <f>MIN(1,MAX(VLOOKUP(($AJ139-$AI139-$AH139-$AG139-$AF139-$AE139*(1+GL$3))/$AJ139,'Технический лист'!$A:$B,2,1),(GK139-0.05)))</f>
        <v>1</v>
      </c>
      <c r="GM139" s="15">
        <f>MIN(1,MAX(VLOOKUP(($AJ139-$AI139-$AH139-$AG139-$AF139-$AE139*(1+GM$3))/$AJ139,'Технический лист'!$A:$B,2,1),(GL139-0.05)))</f>
        <v>1</v>
      </c>
      <c r="GN139" s="15">
        <f>MIN(1,MAX(VLOOKUP(($AJ139-$AI139-$AH139-$AG139-$AF139-$AE139*(1+GN$3))/$AJ139,'Технический лист'!$A:$B,2,1),(GM139-0.05)))</f>
        <v>1</v>
      </c>
      <c r="GO139" s="15">
        <f>MIN(1,MAX(VLOOKUP(($AJ139-$AI139-$AH139-$AG139-$AF139-$AE139*(1+GO$3))/$AJ139,'Технический лист'!$A:$B,2,1),(GN139-0.05)))</f>
        <v>1</v>
      </c>
      <c r="GP139" s="15">
        <f>MIN(1,MAX(VLOOKUP(($AJ139-$AI139-$AH139-$AG139-$AF139-$AE139*(1+GP$3))/$AJ139,'Технический лист'!$A:$B,2,1),(GO139-0.05)))</f>
        <v>1</v>
      </c>
      <c r="GQ139" s="15">
        <f>MIN(1,MAX(VLOOKUP(($AJ139-$AI139-$AH139-$AG139-$AF139-$AE139*(1+GQ$3))/$AJ139,'Технический лист'!$A:$B,2,1),(GP139-0.05)))</f>
        <v>1</v>
      </c>
      <c r="GR139" s="15">
        <f>MIN(1,MAX(VLOOKUP(($AJ139-$AI139-$AH139-$AG139-$AF139-$AE139*(1+GR$3))/$AJ139,'Технический лист'!$A:$B,2,1),(GQ139-0.05)))</f>
        <v>1</v>
      </c>
      <c r="GS139" s="15">
        <f>MIN(1,MAX(VLOOKUP(($AJ139-$AI139-$AH139-$AG139-$AF139-$AE139*(1+GS$3))/$AJ139,'Технический лист'!$A:$B,2,1),(GR139-0.05)))</f>
        <v>1</v>
      </c>
      <c r="GT139" s="15">
        <f>MIN(1,MAX(VLOOKUP(($AJ139-$AI139-$AH139-$AG139-$AF139-$AE139*(1+GT$3))/$AJ139,'Технический лист'!$A:$B,2,1),(GS139-0.05)))</f>
        <v>1</v>
      </c>
      <c r="GU139" s="15">
        <f>MIN(1,MAX(VLOOKUP(($AJ139-$AI139-$AH139-$AG139-$AF139-$AE139*(1+GU$3))/$AJ139,'Технический лист'!$A:$B,2,1),(GT139-0.05)))</f>
        <v>1</v>
      </c>
      <c r="GV139" s="15">
        <f>MIN(1,MAX(VLOOKUP(($AJ139-$AI139-$AH139-$AG139-$AF139-$AE139*(1+GV$3))/$AJ139,'Технический лист'!$A:$B,2,1),(GU139-0.05)))</f>
        <v>1</v>
      </c>
      <c r="GW139" s="15">
        <f>MIN(1,MAX(VLOOKUP(($AJ139-$AI139-$AH139-$AG139-$AF139-$AE139*(1+GW$3))/$AJ139,'Технический лист'!$A:$B,2,1),(GV139-0.05)))</f>
        <v>1</v>
      </c>
      <c r="GX139" s="15">
        <f>MIN(1,MAX(VLOOKUP(($AJ139-$AI139-$AH139-$AG139-$AF139-$AE139*(1+GX$3))/$AJ139,'Технический лист'!$A:$B,2,1),(GW139-0.05)))</f>
        <v>1</v>
      </c>
      <c r="GY139" s="15">
        <f>MIN(1,MAX(VLOOKUP(($AJ139-$AI139-$AH139-$AG139-$AF139-$AE139*(1+GY$3))/$AJ139,'Технический лист'!$A:$B,2,1),(GX139-0.05)))</f>
        <v>1</v>
      </c>
      <c r="GZ139" s="15">
        <f>MIN(1,MAX(VLOOKUP(($AJ139-$AI139-$AH139-$AG139-$AF139-$AE139*(1+GZ$3))/$AJ139,'Технический лист'!$A:$B,2,1),(GY139-0.05)))</f>
        <v>1</v>
      </c>
      <c r="HA139" s="15">
        <f>MIN(1,MAX(VLOOKUP(($AJ139-$AI139-$AH139-$AG139-$AF139-$AE139*(1+HA$3))/$AJ139,'Технический лист'!$A:$B,2,1),(GZ139-0.05)))</f>
        <v>1</v>
      </c>
      <c r="HB139" s="15">
        <f>MIN(1,MAX(VLOOKUP(($AJ139-$AI139-$AH139-$AG139-$AF139-$AE139*(1+HB$3))/$AJ139,'Технический лист'!$A:$B,2,1),(HA139-0.05)))</f>
        <v>1</v>
      </c>
      <c r="HC139" s="15">
        <f>MIN(1,MAX(VLOOKUP(($AJ139-$AI139-$AH139-$AG139-$AF139-$AE139*(1+HC$3))/$AJ139,'Технический лист'!$A:$B,2,1),(HB139-0.05)))</f>
        <v>1</v>
      </c>
      <c r="HD139" s="15">
        <f>MIN(1,MAX(VLOOKUP(($AJ139-$AI139-$AH139-$AG139-$AF139-$AE139*(1+HD$3))/$AJ139,'Технический лист'!$A:$B,2,1),(HC139-0.05)))</f>
        <v>1</v>
      </c>
      <c r="HE139" s="15">
        <f>MIN(1,MAX(VLOOKUP(($AJ139-$AI139-$AH139-$AG139-$AF139-$AE139*(1+HE$3))/$AJ139,'Технический лист'!$A:$B,2,1),(HD139-0.05)))</f>
        <v>1</v>
      </c>
      <c r="HF139" s="15">
        <f>MIN(1,MAX(VLOOKUP(($AJ139-$AI139-$AH139-$AG139-$AF139-$AE139*(1+HF$3))/$AJ139,'Технический лист'!$A:$B,2,1),(HE139-0.05)))</f>
        <v>1</v>
      </c>
      <c r="HG139" s="15">
        <f>MIN(1,MAX(VLOOKUP(($AJ139-$AI139-$AH139-$AG139-$AF139-$AE139*(1+HG$3))/$AJ139,'Технический лист'!$A:$B,2,1),(HF139-0.05)))</f>
        <v>1</v>
      </c>
      <c r="HH139" s="15">
        <f>MIN(1,MAX(VLOOKUP(($AJ139-$AI139-$AH139-$AG139-$AF139-$AE139*(1+HH$3))/$AJ139,'Технический лист'!$A:$B,2,1),(HG139-0.05)))</f>
        <v>1</v>
      </c>
      <c r="HI139" s="15">
        <f>MIN(1,MAX(VLOOKUP(($AJ139-$AI139-$AH139-$AG139-$AF139-$AE139*(1+HI$3))/$AJ139,'Технический лист'!$A:$B,2,1),(HH139-0.05)))</f>
        <v>1</v>
      </c>
      <c r="HJ139" s="15">
        <f>MIN(1,MAX(VLOOKUP(($AJ139-$AI139-$AH139-$AG139-$AF139-$AE139*(1+HJ$3))/$AJ139,'Технический лист'!$A:$B,2,1),(HI139-0.05)))</f>
        <v>1</v>
      </c>
      <c r="HK139" s="15">
        <f>MIN(1,MAX(VLOOKUP(($AJ139-$AI139-$AH139-$AG139-$AF139-$AE139*(1+HK$3))/$AJ139,'Технический лист'!$A:$B,2,1),(HJ139-0.05)))</f>
        <v>1</v>
      </c>
      <c r="HL139" s="15">
        <f>MIN(1,MAX(VLOOKUP(($AJ139-$AI139-$AH139-$AG139-$AF139-$AE139*(1+HL$3))/$AJ139,'Технический лист'!$A:$B,2,1),(HK139-0.05)))</f>
        <v>1</v>
      </c>
      <c r="HM139" s="15">
        <f>MIN(1,MAX(VLOOKUP(($AJ139-$AI139-$AH139-$AG139-$AF139-$AE139*(1+HM$3))/$AJ139,'Технический лист'!$A:$B,2,1),(HL139-0.05)))</f>
        <v>1</v>
      </c>
      <c r="HN139" s="15">
        <f>MIN(1,MAX(VLOOKUP(($AJ139-$AI139-$AH139-$AG139-$AF139-$AE139*(1+HN$3))/$AJ139,'Технический лист'!$A:$B,2,1),(HM139-0.05)))</f>
        <v>1</v>
      </c>
      <c r="HO139" s="15">
        <f>MIN(1,MAX(VLOOKUP(($AJ139-$AI139-$AH139-$AG139-$AF139-$AE139*(1+HO$3))/$AJ139,'Технический лист'!$A:$B,2,1),(HN139-0.05)))</f>
        <v>1</v>
      </c>
      <c r="HP139" s="15">
        <f>MIN(1,MAX(VLOOKUP(($AJ139-$AI139-$AH139-$AG139-$AF139-$AE139*(1+HP$3))/$AJ139,'Технический лист'!$A:$B,2,1),(HO139-0.05)))</f>
        <v>1</v>
      </c>
      <c r="HQ139" s="15">
        <f>MIN(1,MAX(VLOOKUP(($AJ139-$AI139-$AH139-$AG139-$AF139-$AE139*(1+HQ$3))/$AJ139,'Технический лист'!$A:$B,2,1),(HP139-0.05)))</f>
        <v>1</v>
      </c>
      <c r="HR139" s="15">
        <f>MIN(1,MAX(VLOOKUP(($AJ139-$AI139-$AH139-$AG139-$AF139-$AE139*(1+HR$3))/$AJ139,'Технический лист'!$A:$B,2,1),(HQ139-0.05)))</f>
        <v>1</v>
      </c>
      <c r="HS139" s="15">
        <f>MIN(1,MAX(VLOOKUP(($AJ139-$AI139-$AH139-$AG139-$AF139-$AE139*(1+HS$3))/$AJ139,'Технический лист'!$A:$B,2,1),(HR139-0.05)))</f>
        <v>1</v>
      </c>
      <c r="HT139" s="15">
        <f>MIN(1,MAX(VLOOKUP(($AJ139-$AI139-$AH139-$AG139-$AF139-$AE139*(1+HT$3))/$AJ139,'Технический лист'!$A:$B,2,1),(HS139-0.05)))</f>
        <v>1</v>
      </c>
      <c r="HU139" s="15">
        <f>MIN(1,MAX(VLOOKUP(($AJ139-$AI139-$AH139-$AG139-$AF139-$AE139*(1+HU$3))/$AJ139,'Технический лист'!$A:$B,2,1),(HT139-0.05)))</f>
        <v>1</v>
      </c>
      <c r="HV139" s="15">
        <f>MIN(1,MAX(VLOOKUP(($AJ139-$AI139-$AH139-$AG139-$AF139-$AE139*(1+HV$3))/$AJ139,'Технический лист'!$A:$B,2,1),(HU139-0.05)))</f>
        <v>1</v>
      </c>
      <c r="HW139" s="15">
        <f>MIN(1,MAX(VLOOKUP(($AJ139-$AI139-$AH139-$AG139-$AF139-$AE139*(1+HW$3))/$AJ139,'Технический лист'!$A:$B,2,1),(HV139-0.05)))</f>
        <v>1</v>
      </c>
      <c r="HX139" s="15">
        <f>MIN(1,MAX(VLOOKUP(($AJ139-$AI139-$AH139-$AG139-$AF139-$AE139*(1+HX$3))/$AJ139,'Технический лист'!$A:$B,2,1),(HW139-0.05)))</f>
        <v>1</v>
      </c>
      <c r="HY139" s="15">
        <f>MIN(1,MAX(VLOOKUP(($AJ139-$AI139-$AH139-$AG139-$AF139-$AE139*(1+HY$3))/$AJ139,'Технический лист'!$A:$B,2,1),(HX139-0.05)))</f>
        <v>1</v>
      </c>
      <c r="HZ139" s="15">
        <f>MIN(1,MAX(VLOOKUP(($AJ139-$AI139-$AH139-$AG139-$AF139-$AE139*(1+HZ$3))/$AJ139,'Технический лист'!$A:$B,2,1),(HY139-0.05)))</f>
        <v>1</v>
      </c>
      <c r="IA139" s="15">
        <f>MIN(1,MAX(VLOOKUP(($AJ139-$AI139-$AH139-$AG139-$AF139-$AE139*(1+IA$3))/$AJ139,'Технический лист'!$A:$B,2,1),(HZ139-0.05)))</f>
        <v>1</v>
      </c>
      <c r="IB139" s="15">
        <f>MIN(1,MAX(VLOOKUP(($AJ139-$AI139-$AH139-$AG139-$AF139-$AE139*(1+IB$3))/$AJ139,'Технический лист'!$A:$B,2,1),(IA139-0.05)))</f>
        <v>1</v>
      </c>
      <c r="IC139" s="15">
        <f>MIN(1,MAX(VLOOKUP(($AJ139-$AI139-$AH139-$AG139-$AF139-$AE139*(1+IC$3))/$AJ139,'Технический лист'!$A:$B,2,1),(IB139-0.05)))</f>
        <v>1</v>
      </c>
      <c r="ID139" s="15">
        <f>MIN(1,MAX(VLOOKUP(($AJ139-$AI139-$AH139-$AG139-$AF139-$AE139*(1+ID$3))/$AJ139,'Технический лист'!$A:$B,2,1),(IC139-0.05)))</f>
        <v>1</v>
      </c>
      <c r="IE139" s="15">
        <f>MIN(1,MAX(VLOOKUP(($AJ139-$AI139-$AH139-$AG139-$AF139-$AE139*(1+IE$3))/$AJ139,'Технический лист'!$A:$B,2,1),(ID139-0.05)))</f>
        <v>1</v>
      </c>
      <c r="IF139" s="15">
        <f>MIN(1,MAX(VLOOKUP(($AJ139-$AI139-$AH139-$AG139-$AF139-$AE139*(1+IF$3))/$AJ139,'Технический лист'!$A:$B,2,1),(IE139-0.05)))</f>
        <v>1</v>
      </c>
      <c r="IG139" s="15">
        <f>MIN(1,MAX(VLOOKUP(($AJ139-$AI139-$AH139-$AG139-$AF139-$AE139*(1+IG$3))/$AJ139,'Технический лист'!$A:$B,2,1),(IF139-0.05)))</f>
        <v>1</v>
      </c>
      <c r="IH139" s="15">
        <f>MIN(1,MAX(VLOOKUP(($AJ139-$AI139-$AH139-$AG139-$AF139-$AE139*(1+IH$3))/$AJ139,'Технический лист'!$A:$B,2,1),(IG139-0.05)))</f>
        <v>1</v>
      </c>
      <c r="II139" s="15">
        <f>MIN(1,MAX(VLOOKUP(($AJ139-$AI139-$AH139-$AG139-$AF139-$AE139*(1+II$3))/$AJ139,'Технический лист'!$A:$B,2,1),(IH139-0.05)))</f>
        <v>1</v>
      </c>
      <c r="IJ139" s="15">
        <f>MIN(1,MAX(VLOOKUP(($AJ139-$AI139-$AH139-$AG139-$AF139-$AE139*(1+IJ$3))/$AJ139,'Технический лист'!$A:$B,2,1),(II139-0.05)))</f>
        <v>1</v>
      </c>
      <c r="IK139" s="15">
        <f>MIN(1,MAX(VLOOKUP(($AJ139-$AI139-$AH139-$AG139-$AF139-$AE139*(1+IK$3))/$AJ139,'Технический лист'!$A:$B,2,1),(IJ139-0.05)))</f>
        <v>1</v>
      </c>
      <c r="IL139" s="15">
        <f>MIN(1,MAX(VLOOKUP(($AJ139-$AI139-$AH139-$AG139-$AF139-$AE139*(1+IL$3))/$AJ139,'Технический лист'!$A:$B,2,1),(IK139-0.05)))</f>
        <v>1</v>
      </c>
      <c r="IM139" s="15">
        <f>MIN(1,MAX(VLOOKUP(($AJ139-$AI139-$AH139-$AG139-$AF139-$AE139*(1+IM$3))/$AJ139,'Технический лист'!$A:$B,2,1),(IL139-0.05)))</f>
        <v>1</v>
      </c>
      <c r="IN139" s="15">
        <f>MIN(1,MAX(VLOOKUP(($AJ139-$AI139-$AH139-$AG139-$AF139-$AE139*(1+IN$3))/$AJ139,'Технический лист'!$A:$B,2,1),(IM139-0.05)))</f>
        <v>1</v>
      </c>
      <c r="IO139" s="15">
        <f>MIN(1,MAX(VLOOKUP(($AJ139-$AI139-$AH139-$AG139-$AF139-$AE139*(1+IO$3))/$AJ139,'Технический лист'!$A:$B,2,1),(IN139-0.05)))</f>
        <v>1</v>
      </c>
      <c r="IP139" s="15">
        <f>MIN(1,MAX(VLOOKUP(($AJ139-$AI139-$AH139-$AG139-$AF139-$AE139*(1+IP$3))/$AJ139,'Технический лист'!$A:$B,2,1),(IO139-0.05)))</f>
        <v>1</v>
      </c>
      <c r="IQ139" s="15">
        <f>MIN(1,MAX(VLOOKUP(($AJ139-$AI139-$AH139-$AG139-$AF139-$AE139*(1+IQ$3))/$AJ139,'Технический лист'!$A:$B,2,1),(IP139-0.05)))</f>
        <v>1</v>
      </c>
      <c r="IR139" s="15">
        <f>MIN(1,MAX(VLOOKUP(($AJ139-$AI139-$AH139-$AG139-$AF139-$AE139*(1+IR$3))/$AJ139,'Технический лист'!$A:$B,2,1),(IQ139-0.05)))</f>
        <v>1</v>
      </c>
    </row>
    <row r="140" spans="1:252" ht="43.75">
      <c r="A140" s="89" t="s">
        <v>515</v>
      </c>
      <c r="B140" s="90">
        <v>10</v>
      </c>
      <c r="C140" s="5" t="s">
        <v>66</v>
      </c>
      <c r="D140" s="91">
        <v>31607</v>
      </c>
      <c r="E140" s="91" t="s">
        <v>327</v>
      </c>
      <c r="F140" s="92" t="s">
        <v>70</v>
      </c>
      <c r="G140" s="91" t="s">
        <v>50</v>
      </c>
      <c r="H140" s="91" t="s">
        <v>26</v>
      </c>
      <c r="I140" s="91" t="s">
        <v>86</v>
      </c>
      <c r="J140" s="91" t="s">
        <v>121</v>
      </c>
      <c r="K140" s="91">
        <v>2076</v>
      </c>
      <c r="L140" s="85" t="s">
        <v>64</v>
      </c>
      <c r="M140" s="91" t="s">
        <v>190</v>
      </c>
      <c r="N140" s="91" t="s">
        <v>191</v>
      </c>
      <c r="O140" s="91" t="s">
        <v>193</v>
      </c>
      <c r="P140" s="89" t="s">
        <v>217</v>
      </c>
      <c r="Q140" s="91" t="s">
        <v>284</v>
      </c>
      <c r="R140" s="91" t="s">
        <v>251</v>
      </c>
      <c r="S140" s="82">
        <v>1006</v>
      </c>
      <c r="T140" s="82">
        <v>2088663</v>
      </c>
      <c r="U140" s="81">
        <v>15</v>
      </c>
      <c r="V140" s="81">
        <v>0</v>
      </c>
      <c r="W140" s="82">
        <v>3594297</v>
      </c>
      <c r="X140" s="112">
        <v>62</v>
      </c>
      <c r="Y140" s="112" t="s">
        <v>416</v>
      </c>
      <c r="Z140" s="113">
        <v>9</v>
      </c>
      <c r="AA140" s="113">
        <v>7</v>
      </c>
      <c r="AB140" s="113">
        <v>4</v>
      </c>
      <c r="AC140" s="99">
        <v>4074.68</v>
      </c>
      <c r="AD140" s="99">
        <f>AE140-AC140</f>
        <v>621.19000000000005</v>
      </c>
      <c r="AE140" s="99">
        <v>4695.87</v>
      </c>
      <c r="AF140" s="98">
        <f>(Z140+AA140+AB140)*'Ставки аренды'!$B$3/X140</f>
        <v>225.80645161290323</v>
      </c>
      <c r="AG140" s="94">
        <v>0</v>
      </c>
      <c r="AH140" s="94">
        <v>0</v>
      </c>
      <c r="AI140" s="115">
        <f t="shared" si="60"/>
        <v>12780</v>
      </c>
      <c r="AJ140" s="117">
        <f>Цены!$D$10</f>
        <v>18000</v>
      </c>
      <c r="AK140" s="94">
        <f>AJ140/Цены!$B$1</f>
        <v>235.89387396714525</v>
      </c>
      <c r="AL140" s="95">
        <f t="shared" si="54"/>
        <v>4921.6764516129033</v>
      </c>
      <c r="AM140" s="95">
        <f t="shared" si="55"/>
        <v>13078.323548387096</v>
      </c>
      <c r="AN140" s="94">
        <f t="shared" si="52"/>
        <v>17701.676451612904</v>
      </c>
      <c r="AO140" s="118">
        <f t="shared" si="53"/>
        <v>1.6573530465949768E-2</v>
      </c>
      <c r="AP140" s="96">
        <f t="shared" si="56"/>
        <v>0.2734264695340502</v>
      </c>
      <c r="AQ140" s="96">
        <f t="shared" si="57"/>
        <v>0.26088166666666668</v>
      </c>
      <c r="AR140" s="96">
        <f t="shared" si="58"/>
        <v>0.9541200130010774</v>
      </c>
      <c r="AS140" s="122">
        <v>1</v>
      </c>
      <c r="AT140" s="121">
        <f t="shared" si="45"/>
        <v>1006</v>
      </c>
      <c r="AU140" s="83">
        <v>0.85</v>
      </c>
      <c r="AV140" s="119">
        <f t="shared" si="41"/>
        <v>-1.4732269534050121E-2</v>
      </c>
      <c r="AW140" s="120">
        <f t="shared" si="42"/>
        <v>0.30473226953405025</v>
      </c>
      <c r="AX140" s="120">
        <f t="shared" si="43"/>
        <v>0.29218746666666667</v>
      </c>
      <c r="AY140" s="120">
        <f t="shared" si="44"/>
        <v>0.95883336252322371</v>
      </c>
      <c r="AZ140" s="15">
        <f>MIN(IF($AU140=100%,1,1+VLOOKUP(($AJ140-$AI140-$AH140-$AG140-$AF140-$AE140*(1+AZ$3))/$AJ140,'Технический лист'!$I:$J,2,1)-VLOOKUP($AO140,'Технический лист'!$I:$J,2,1)),1+(1-$AU140))</f>
        <v>1.1499999999999999</v>
      </c>
      <c r="BA140" s="15">
        <f>MIN(IF($AU140=100%,1,1+VLOOKUP(($AJ140-$AI140-$AH140-$AG140-$AF140-$AE140*(1+BA$3))/$AJ140,'Технический лист'!$I:$J,2,1)-VLOOKUP($AO140,'Технический лист'!$I:$J,2,1)),1+(1-$AU140))</f>
        <v>1.1499999999999999</v>
      </c>
      <c r="BB140" s="15">
        <f>MIN(IF($AU140=100%,1,1+VLOOKUP(($AJ140-$AI140-$AH140-$AG140-$AF140-$AE140*(1+BB$3))/$AJ140,'Технический лист'!$I:$J,2,1)-VLOOKUP($AO140,'Технический лист'!$I:$J,2,1)),1+(1-$AU140))</f>
        <v>1.1499999999999999</v>
      </c>
      <c r="BC140" s="15">
        <f>MIN(IF($AU140=100%,1,1+VLOOKUP(($AJ140-$AI140-$AH140-$AG140-$AF140-$AE140*(1+BC$3))/$AJ140,'Технический лист'!$I:$J,2,1)-VLOOKUP($AO140,'Технический лист'!$I:$J,2,1)),1+(1-$AU140))</f>
        <v>1.1499999999999999</v>
      </c>
      <c r="BD140" s="15">
        <f>MIN(IF($AU140=100%,1,1+VLOOKUP(($AJ140-$AI140-$AH140-$AG140-$AF140-$AE140*(1+BD$3))/$AJ140,'Технический лист'!$I:$J,2,1)-VLOOKUP($AO140,'Технический лист'!$I:$J,2,1)),1+(1-$AU140))</f>
        <v>1.1499999999999999</v>
      </c>
      <c r="BE140" s="15">
        <f>MIN(IF($AU140=100%,1,1+VLOOKUP(($AJ140-$AI140-$AH140-$AG140-$AF140-$AE140*(1+BE$3))/$AJ140,'Технический лист'!$I:$J,2,1)-VLOOKUP($AO140,'Технический лист'!$I:$J,2,1)),1+(1-$AU140))</f>
        <v>1.1499999999999999</v>
      </c>
      <c r="BF140" s="15">
        <f>MIN(IF($AU140=100%,1,1+VLOOKUP(($AJ140-$AI140-$AH140-$AG140-$AF140-$AE140*(1+BF$3))/$AJ140,'Технический лист'!$I:$J,2,1)-VLOOKUP($AO140,'Технический лист'!$I:$J,2,1)),1+(1-$AU140))</f>
        <v>1.1499999999999999</v>
      </c>
      <c r="BG140" s="15">
        <f>MIN(IF($AU140=100%,1,1+VLOOKUP(($AJ140-$AI140-$AH140-$AG140-$AF140-$AE140*(1+BG$3))/$AJ140,'Технический лист'!$I:$J,2,1)-VLOOKUP($AO140,'Технический лист'!$I:$J,2,1)),1+(1-$AU140))</f>
        <v>1.1499999999999999</v>
      </c>
      <c r="BH140" s="15">
        <f>MIN(IF($AU140=100%,1,1+VLOOKUP(($AJ140-$AI140-$AH140-$AG140-$AF140-$AE140*(1+BH$3))/$AJ140,'Технический лист'!$I:$J,2,1)-VLOOKUP($AO140,'Технический лист'!$I:$J,2,1)),1+(1-$AU140))</f>
        <v>1.1499999999999999</v>
      </c>
      <c r="BI140" s="15">
        <f>MIN(IF($AU140=100%,1,1+VLOOKUP(($AJ140-$AI140-$AH140-$AG140-$AF140-$AE140*(1+BI$3))/$AJ140,'Технический лист'!$I:$J,2,1)-VLOOKUP($AO140,'Технический лист'!$I:$J,2,1)),1+(1-$AU140))</f>
        <v>1.1499999999999999</v>
      </c>
      <c r="BJ140" s="15">
        <f>MIN(IF($AU140=100%,1,1+VLOOKUP(($AJ140-$AI140-$AH140-$AG140-$AF140-$AE140*(1+BJ$3))/$AJ140,'Технический лист'!$I:$J,2,1)-VLOOKUP($AO140,'Технический лист'!$I:$J,2,1)),1+(1-$AU140))</f>
        <v>1.1499999999999999</v>
      </c>
      <c r="BK140" s="15">
        <f>MIN(IF($AU140=100%,1,1+VLOOKUP(($AJ140-$AI140-$AH140-$AG140-$AF140-$AE140*(1+BK$3))/$AJ140,'Технический лист'!$I:$J,2,1)-VLOOKUP($AO140,'Технический лист'!$I:$J,2,1)),1+(1-$AU140))</f>
        <v>1.1499999999999999</v>
      </c>
      <c r="BL140" s="15">
        <f>MIN(IF($AU140=100%,1,1+VLOOKUP(($AJ140-$AI140-$AH140-$AG140-$AF140-$AE140*(1+BL$3))/$AJ140,'Технический лист'!$I:$J,2,1)-VLOOKUP($AO140,'Технический лист'!$I:$J,2,1)),1+(1-$AU140))</f>
        <v>1.1499999999999999</v>
      </c>
      <c r="BM140" s="15">
        <f>MIN(IF($AU140=100%,1,1+VLOOKUP(($AJ140-$AI140-$AH140-$AG140-$AF140-$AE140*(1+BM$3))/$AJ140,'Технический лист'!$I:$J,2,1)-VLOOKUP($AO140,'Технический лист'!$I:$J,2,1)),1+(1-$AU140))</f>
        <v>1.1499999999999999</v>
      </c>
      <c r="BN140" s="15">
        <f>MIN(IF($AU140=100%,1,1+VLOOKUP(($AJ140-$AI140-$AH140-$AG140-$AF140-$AE140*(1+BN$3))/$AJ140,'Технический лист'!$I:$J,2,1)-VLOOKUP($AO140,'Технический лист'!$I:$J,2,1)),1+(1-$AU140))</f>
        <v>1.1499999999999999</v>
      </c>
      <c r="BO140" s="15">
        <f>MIN(IF($AU140=100%,1,1+VLOOKUP(($AJ140-$AI140-$AH140-$AG140-$AF140-$AE140*(1+BO$3))/$AJ140,'Технический лист'!$I:$J,2,1)-VLOOKUP($AO140,'Технический лист'!$I:$J,2,1)),1+(1-$AU140))</f>
        <v>1.1499999999999999</v>
      </c>
      <c r="BP140" s="15">
        <f>MIN(IF($AU140=100%,1,1+VLOOKUP(($AJ140-$AI140-$AH140-$AG140-$AF140-$AE140*(1+BP$3))/$AJ140,'Технический лист'!$I:$J,2,1)-VLOOKUP($AO140,'Технический лист'!$I:$J,2,1)),1+(1-$AU140))</f>
        <v>1.1499999999999999</v>
      </c>
      <c r="BQ140" s="15">
        <f>MIN(IF($AU140=100%,1,1+VLOOKUP(($AJ140-$AI140-$AH140-$AG140-$AF140-$AE140*(1+BQ$3))/$AJ140,'Технический лист'!$I:$J,2,1)-VLOOKUP($AO140,'Технический лист'!$I:$J,2,1)),1+(1-$AU140))</f>
        <v>1.1499999999999999</v>
      </c>
      <c r="BR140" s="15">
        <f>MIN(IF($AU140=100%,1,1+VLOOKUP(($AJ140-$AI140-$AH140-$AG140-$AF140-$AE140*(1+BR$3))/$AJ140,'Технический лист'!$I:$J,2,1)-VLOOKUP($AO140,'Технический лист'!$I:$J,2,1)),1+(1-$AU140))</f>
        <v>1.1499999999999999</v>
      </c>
      <c r="BS140" s="15">
        <f>MIN(IF($AU140=100%,1,1+VLOOKUP(($AJ140-$AI140-$AH140-$AG140-$AF140-$AE140*(1+BS$3))/$AJ140,'Технический лист'!$I:$J,2,1)-VLOOKUP($AO140,'Технический лист'!$I:$J,2,1)),1+(1-$AU140))</f>
        <v>1.1499999999999999</v>
      </c>
      <c r="BT140" s="15">
        <f>MIN(IF($AU140=100%,1,1+VLOOKUP(($AJ140-$AI140-$AH140-$AG140-$AF140-$AE140*(1+BT$3))/$AJ140,'Технический лист'!$I:$J,2,1)-VLOOKUP($AO140,'Технический лист'!$I:$J,2,1)),1+(1-$AU140))</f>
        <v>1.1499999999999999</v>
      </c>
      <c r="BU140" s="15">
        <f>MIN(IF($AU140=100%,1,1+VLOOKUP(($AJ140-$AI140-$AH140-$AG140-$AF140-$AE140*(1+BU$3))/$AJ140,'Технический лист'!$I:$J,2,1)-VLOOKUP($AO140,'Технический лист'!$I:$J,2,1)),1+(1-$AU140))</f>
        <v>1.1499999999999999</v>
      </c>
      <c r="BV140" s="15">
        <f>MIN(IF($AU140=100%,1,1+VLOOKUP(($AJ140-$AI140-$AH140-$AG140-$AF140-$AE140*(1+BV$3))/$AJ140,'Технический лист'!$I:$J,2,1)-VLOOKUP($AO140,'Технический лист'!$I:$J,2,1)),1+(1-$AU140))</f>
        <v>1.1499999999999999</v>
      </c>
      <c r="BW140" s="15">
        <f>MIN(IF($AU140=100%,1,1+VLOOKUP(($AJ140-$AI140-$AH140-$AG140-$AF140-$AE140*(1+BW$3))/$AJ140,'Технический лист'!$I:$J,2,1)-VLOOKUP($AO140,'Технический лист'!$I:$J,2,1)),1+(1-$AU140))</f>
        <v>1.1499999999999999</v>
      </c>
      <c r="BX140" s="15">
        <f>MIN(IF($AU140=100%,1,1+VLOOKUP(($AJ140-$AI140-$AH140-$AG140-$AF140-$AE140*(1+BX$3))/$AJ140,'Технический лист'!$I:$J,2,1)-VLOOKUP($AO140,'Технический лист'!$I:$J,2,1)),1+(1-$AU140))</f>
        <v>1.1499999999999999</v>
      </c>
      <c r="BY140" s="15">
        <f>MIN(IF($AU140=100%,1,1+VLOOKUP(($AJ140-$AI140-$AH140-$AG140-$AF140-$AE140*(1+BY$3))/$AJ140,'Технический лист'!$I:$J,2,1)-VLOOKUP($AO140,'Технический лист'!$I:$J,2,1)),1+(1-$AU140))</f>
        <v>1.1499999999999999</v>
      </c>
      <c r="BZ140" s="15">
        <f>MIN(IF($AU140=100%,1,1+VLOOKUP(($AJ140-$AI140-$AH140-$AG140-$AF140-$AE140*(1+BZ$3))/$AJ140,'Технический лист'!$I:$J,2,1)-VLOOKUP($AO140,'Технический лист'!$I:$J,2,1)),1+(1-$AU140))</f>
        <v>1.1499999999999999</v>
      </c>
      <c r="CA140" s="15">
        <f>MIN(IF($AU140=100%,1,1+VLOOKUP(($AJ140-$AI140-$AH140-$AG140-$AF140-$AE140*(1+CA$3))/$AJ140,'Технический лист'!$I:$J,2,1)-VLOOKUP($AO140,'Технический лист'!$I:$J,2,1)),1+(1-$AU140))</f>
        <v>1.1499999999999999</v>
      </c>
      <c r="CB140" s="15">
        <f>MIN(IF($AU140=100%,1,1+VLOOKUP(($AJ140-$AI140-$AH140-$AG140-$AF140-$AE140*(1+CB$3))/$AJ140,'Технический лист'!$I:$J,2,1)-VLOOKUP($AO140,'Технический лист'!$I:$J,2,1)),1+(1-$AU140))</f>
        <v>1.1499999999999999</v>
      </c>
      <c r="CC140" s="15">
        <f>MIN(IF($AU140=100%,1,1+VLOOKUP(($AJ140-$AI140-$AH140-$AG140-$AF140-$AE140*(1+CC$3))/$AJ140,'Технический лист'!$I:$J,2,1)-VLOOKUP($AO140,'Технический лист'!$I:$J,2,1)),1+(1-$AU140))</f>
        <v>1.1499999999999999</v>
      </c>
      <c r="CD140" s="15">
        <f>MIN(IF($AU140=100%,1,1+VLOOKUP(($AJ140-$AI140-$AH140-$AG140-$AF140-$AE140*(1+CD$3))/$AJ140,'Технический лист'!$I:$J,2,1)-VLOOKUP($AO140,'Технический лист'!$I:$J,2,1)),1+(1-$AU140))</f>
        <v>1.1499999999999999</v>
      </c>
      <c r="CE140" s="15">
        <f>MIN(IF($AU140=100%,1,1+VLOOKUP(($AJ140-$AI140-$AH140-$AG140-$AF140-$AE140*(1+CE$3))/$AJ140,'Технический лист'!$I:$J,2,1)-VLOOKUP($AO140,'Технический лист'!$I:$J,2,1)),1+(1-$AU140))</f>
        <v>1.1499999999999999</v>
      </c>
      <c r="CF140" s="15">
        <f>MIN(IF($AU140=100%,1,1+VLOOKUP(($AJ140-$AI140-$AH140-$AG140-$AF140-$AE140*(1+CF$3))/$AJ140,'Технический лист'!$I:$J,2,1)-VLOOKUP($AO140,'Технический лист'!$I:$J,2,1)),1+(1-$AU140))</f>
        <v>1.1499999999999999</v>
      </c>
      <c r="CG140" s="15">
        <f>MIN(IF($AU140=100%,1,1+VLOOKUP(($AJ140-$AI140-$AH140-$AG140-$AF140-$AE140*(1+CG$3))/$AJ140,'Технический лист'!$I:$J,2,1)-VLOOKUP($AO140,'Технический лист'!$I:$J,2,1)),1+(1-$AU140))</f>
        <v>1.1499999999999999</v>
      </c>
      <c r="CH140" s="15">
        <f>MIN(IF($AU140=100%,1,1+VLOOKUP(($AJ140-$AI140-$AH140-$AG140-$AF140-$AE140*(1+CH$3))/$AJ140,'Технический лист'!$I:$J,2,1)-VLOOKUP($AO140,'Технический лист'!$I:$J,2,1)),1+(1-$AU140))</f>
        <v>1.1499999999999999</v>
      </c>
      <c r="CI140" s="15">
        <f>MIN(IF($AU140=100%,1,1+VLOOKUP(($AJ140-$AI140-$AH140-$AG140-$AF140-$AE140*(1+CI$3))/$AJ140,'Технический лист'!$I:$J,2,1)-VLOOKUP($AO140,'Технический лист'!$I:$J,2,1)),1+(1-$AU140))</f>
        <v>1.1499999999999999</v>
      </c>
      <c r="CJ140" s="15">
        <f>MIN(IF($AU140=100%,1,1+VLOOKUP(($AJ140-$AI140-$AH140-$AG140-$AF140-$AE140*(1+CJ$3))/$AJ140,'Технический лист'!$I:$J,2,1)-VLOOKUP($AO140,'Технический лист'!$I:$J,2,1)),1+(1-$AU140))</f>
        <v>1.1499999999999999</v>
      </c>
      <c r="CK140" s="15">
        <f>MIN(IF($AU140=100%,1,1+VLOOKUP(($AJ140-$AI140-$AH140-$AG140-$AF140-$AE140*(1+CK$3))/$AJ140,'Технический лист'!$I:$J,2,1)-VLOOKUP($AO140,'Технический лист'!$I:$J,2,1)),1+(1-$AU140))</f>
        <v>1.1499999999999999</v>
      </c>
      <c r="CL140" s="15">
        <f>MIN(IF($AU140=100%,1,1+VLOOKUP(($AJ140-$AI140-$AH140-$AG140-$AF140-$AE140*(1+CL$3))/$AJ140,'Технический лист'!$I:$J,2,1)-VLOOKUP($AO140,'Технический лист'!$I:$J,2,1)),1+(1-$AU140))</f>
        <v>1.1499999999999999</v>
      </c>
      <c r="CM140" s="15">
        <f>MIN(IF($AU140=100%,1,1+VLOOKUP(($AJ140-$AI140-$AH140-$AG140-$AF140-$AE140*(1+CM$3))/$AJ140,'Технический лист'!$I:$J,2,1)-VLOOKUP($AO140,'Технический лист'!$I:$J,2,1)),1+(1-$AU140))</f>
        <v>1.1499999999999999</v>
      </c>
      <c r="CN140" s="15">
        <f>MIN(IF($AU140=100%,1,1+VLOOKUP(($AJ140-$AI140-$AH140-$AG140-$AF140-$AE140*(1+CN$3))/$AJ140,'Технический лист'!$I:$J,2,1)-VLOOKUP($AO140,'Технический лист'!$I:$J,2,1)),1+(1-$AU140))</f>
        <v>1.1499999999999999</v>
      </c>
      <c r="CO140" s="15">
        <f>MIN(IF($AU140=100%,1,1+VLOOKUP(($AJ140-$AI140-$AH140-$AG140-$AF140-$AE140*(1+CO$3))/$AJ140,'Технический лист'!$I:$J,2,1)-VLOOKUP($AO140,'Технический лист'!$I:$J,2,1)),1+(1-$AU140))</f>
        <v>1.1499999999999999</v>
      </c>
      <c r="CP140" s="15">
        <f>MIN(IF($AU140=100%,1,1+VLOOKUP(($AJ140-$AI140-$AH140-$AG140-$AF140-$AE140*(1+CP$3))/$AJ140,'Технический лист'!$I:$J,2,1)-VLOOKUP($AO140,'Технический лист'!$I:$J,2,1)),1+(1-$AU140))</f>
        <v>1.1499999999999999</v>
      </c>
      <c r="CQ140" s="15">
        <f>MIN(IF($AU140=100%,1,1+VLOOKUP(($AJ140-$AI140-$AH140-$AG140-$AF140-$AE140*(1+CQ$3))/$AJ140,'Технический лист'!$I:$J,2,1)-VLOOKUP($AO140,'Технический лист'!$I:$J,2,1)),1+(1-$AU140))</f>
        <v>1.1499999999999999</v>
      </c>
      <c r="CR140" s="15">
        <f>MIN(IF($AU140=100%,1,1+VLOOKUP(($AJ140-$AI140-$AH140-$AG140-$AF140-$AE140*(1+CR$3))/$AJ140,'Технический лист'!$I:$J,2,1)-VLOOKUP($AO140,'Технический лист'!$I:$J,2,1)),1+(1-$AU140))</f>
        <v>1.1499999999999999</v>
      </c>
      <c r="CS140" s="15">
        <f>MIN(IF($AU140=100%,1,1+VLOOKUP(($AJ140-$AI140-$AH140-$AG140-$AF140-$AE140*(1+CS$3))/$AJ140,'Технический лист'!$I:$J,2,1)-VLOOKUP($AO140,'Технический лист'!$I:$J,2,1)),1+(1-$AU140))</f>
        <v>1.1499999999999999</v>
      </c>
      <c r="CT140" s="15">
        <f>MIN(IF($AU140=100%,1,1+VLOOKUP(($AJ140-$AI140-$AH140-$AG140-$AF140-$AE140*(1+CT$3))/$AJ140,'Технический лист'!$I:$J,2,1)-VLOOKUP($AO140,'Технический лист'!$I:$J,2,1)),1+(1-$AU140))</f>
        <v>1.1499999999999999</v>
      </c>
      <c r="CU140" s="15">
        <f>MIN(IF($AU140=100%,1,1+VLOOKUP(($AJ140-$AI140-$AH140-$AG140-$AF140-$AE140*(1+CU$3))/$AJ140,'Технический лист'!$I:$J,2,1)-VLOOKUP($AO140,'Технический лист'!$I:$J,2,1)),1+(1-$AU140))</f>
        <v>1.1499999999999999</v>
      </c>
      <c r="CV140" s="15">
        <f>MIN(IF($AU140=100%,1,1+VLOOKUP(($AJ140-$AI140-$AH140-$AG140-$AF140-$AE140*(1+CV$3))/$AJ140,'Технический лист'!$I:$J,2,1)-VLOOKUP($AO140,'Технический лист'!$I:$J,2,1)),1+(1-$AU140))</f>
        <v>1.1499999999999999</v>
      </c>
      <c r="CW140" s="15">
        <f>MIN(IF($AU140=100%,1,1+VLOOKUP(($AJ140-$AI140-$AH140-$AG140-$AF140-$AE140*(1+CW$3))/$AJ140,'Технический лист'!$I:$J,2,1)-VLOOKUP($AO140,'Технический лист'!$I:$J,2,1)),1+(1-$AU140))</f>
        <v>1.1499999999999999</v>
      </c>
      <c r="CX140" s="15">
        <f>MIN(IF($AU140=100%,1,1+VLOOKUP(($AJ140-$AI140-$AH140-$AG140-$AF140-$AE140*(1+CX$3))/$AJ140,'Технический лист'!$I:$J,2,1)-VLOOKUP($AO140,'Технический лист'!$I:$J,2,1)),1+(1-$AU140))</f>
        <v>1.1499999999999999</v>
      </c>
      <c r="CY140" s="15">
        <f>MIN(IF($AU140=100%,1,1+VLOOKUP(($AJ140-$AI140-$AH140-$AG140-$AF140-$AE140*(1+CY$3))/$AJ140,'Технический лист'!$I:$J,2,1)-VLOOKUP($AO140,'Технический лист'!$I:$J,2,1)),1+(1-$AU140))</f>
        <v>1.1499999999999999</v>
      </c>
      <c r="CZ140" s="15">
        <f>MIN(IF($AU140=100%,1,1+VLOOKUP(($AJ140-$AI140-$AH140-$AG140-$AF140-$AE140*(1+CZ$3))/$AJ140,'Технический лист'!$I:$J,2,1)-VLOOKUP($AO140,'Технический лист'!$I:$J,2,1)),1+(1-$AU140))</f>
        <v>1.1499999999999999</v>
      </c>
      <c r="DA140" s="15">
        <f>MIN(IF($AU140=100%,1,1+VLOOKUP(($AJ140-$AI140-$AH140-$AG140-$AF140-$AE140*(1+DA$3))/$AJ140,'Технический лист'!$I:$J,2,1)-VLOOKUP($AO140,'Технический лист'!$I:$J,2,1)),1+(1-$AU140))</f>
        <v>1.1499999999999999</v>
      </c>
      <c r="DB140" s="15">
        <f>MIN(IF($AU140=100%,1,1+VLOOKUP(($AJ140-$AI140-$AH140-$AG140-$AF140-$AE140*(1+DB$3))/$AJ140,'Технический лист'!$I:$J,2,1)-VLOOKUP($AO140,'Технический лист'!$I:$J,2,1)),1+(1-$AU140))</f>
        <v>1.1499999999999999</v>
      </c>
      <c r="DC140" s="15">
        <f>MIN(IF($AU140=100%,1,1+VLOOKUP(($AJ140-$AI140-$AH140-$AG140-$AF140-$AE140*(1+DC$3))/$AJ140,'Технический лист'!$I:$J,2,1)-VLOOKUP($AO140,'Технический лист'!$I:$J,2,1)),1+(1-$AU140))</f>
        <v>1.1499999999999999</v>
      </c>
      <c r="DD140" s="15">
        <f>MIN(IF($AU140=100%,1,1+VLOOKUP(($AJ140-$AI140-$AH140-$AG140-$AF140-$AE140*(1+DD$3))/$AJ140,'Технический лист'!$I:$J,2,1)-VLOOKUP($AO140,'Технический лист'!$I:$J,2,1)),1+(1-$AU140))</f>
        <v>1.1499999999999999</v>
      </c>
      <c r="DE140" s="15">
        <f>MIN(IF($AU140=100%,1,1+VLOOKUP(($AJ140-$AI140-$AH140-$AG140-$AF140-$AE140*(1+DE$3))/$AJ140,'Технический лист'!$I:$J,2,1)-VLOOKUP($AO140,'Технический лист'!$I:$J,2,1)),1+(1-$AU140))</f>
        <v>1.1499999999999999</v>
      </c>
      <c r="DF140" s="15">
        <f>MIN(IF($AU140=100%,1,1+VLOOKUP(($AJ140-$AI140-$AH140-$AG140-$AF140-$AE140*(1+DF$3))/$AJ140,'Технический лист'!$I:$J,2,1)-VLOOKUP($AO140,'Технический лист'!$I:$J,2,1)),1+(1-$AU140))</f>
        <v>1.1499999999999999</v>
      </c>
      <c r="DG140" s="15">
        <f>MIN(IF($AU140=100%,1,1+VLOOKUP(($AJ140-$AI140-$AH140-$AG140-$AF140-$AE140*(1+DG$3))/$AJ140,'Технический лист'!$I:$J,2,1)-VLOOKUP($AO140,'Технический лист'!$I:$J,2,1)),1+(1-$AU140))</f>
        <v>1.1499999999999999</v>
      </c>
      <c r="DH140" s="15">
        <f>MIN(IF($AU140=100%,1,1+VLOOKUP(($AJ140-$AI140-$AH140-$AG140-$AF140-$AE140*(1+DH$3))/$AJ140,'Технический лист'!$I:$J,2,1)-VLOOKUP($AO140,'Технический лист'!$I:$J,2,1)),1+(1-$AU140))</f>
        <v>1.1499999999999999</v>
      </c>
      <c r="DI140" s="15">
        <f>MIN(IF($AU140=100%,1,1+VLOOKUP(($AJ140-$AI140-$AH140-$AG140-$AF140-$AE140*(1+DI$3))/$AJ140,'Технический лист'!$I:$J,2,1)-VLOOKUP($AO140,'Технический лист'!$I:$J,2,1)),1+(1-$AU140))</f>
        <v>1.1499999999999999</v>
      </c>
      <c r="DJ140" s="15">
        <f>MIN(IF($AU140=100%,1,1+VLOOKUP(($AJ140-$AI140-$AH140-$AG140-$AF140-$AE140*(1+DJ$3))/$AJ140,'Технический лист'!$I:$J,2,1)-VLOOKUP($AO140,'Технический лист'!$I:$J,2,1)),1+(1-$AU140))</f>
        <v>1.1499999999999999</v>
      </c>
      <c r="DK140" s="15">
        <f>MIN(IF($AU140=100%,1,1+VLOOKUP(($AJ140-$AI140-$AH140-$AG140-$AF140-$AE140*(1+DK$3))/$AJ140,'Технический лист'!$I:$J,2,1)-VLOOKUP($AO140,'Технический лист'!$I:$J,2,1)),1+(1-$AU140))</f>
        <v>1.1499999999999999</v>
      </c>
      <c r="DL140" s="15">
        <f>MIN(IF($AU140=100%,1,1+VLOOKUP(($AJ140-$AI140-$AH140-$AG140-$AF140-$AE140*(1+DL$3))/$AJ140,'Технический лист'!$I:$J,2,1)-VLOOKUP($AO140,'Технический лист'!$I:$J,2,1)),1+(1-$AU140))</f>
        <v>1.1499999999999999</v>
      </c>
      <c r="DM140" s="15">
        <f>MIN(IF($AU140=100%,1,1+VLOOKUP(($AJ140-$AI140-$AH140-$AG140-$AF140-$AE140*(1+DM$3))/$AJ140,'Технический лист'!$I:$J,2,1)-VLOOKUP($AO140,'Технический лист'!$I:$J,2,1)),1+(1-$AU140))</f>
        <v>1.1499999999999999</v>
      </c>
      <c r="DN140" s="15">
        <f>MIN(IF($AU140=100%,1,1+VLOOKUP(($AJ140-$AI140-$AH140-$AG140-$AF140-$AE140*(1+DN$3))/$AJ140,'Технический лист'!$I:$J,2,1)-VLOOKUP($AO140,'Технический лист'!$I:$J,2,1)),1+(1-$AU140))</f>
        <v>1.1499999999999999</v>
      </c>
      <c r="DO140" s="15">
        <f>MIN(IF($AU140=100%,1,1+VLOOKUP(($AJ140-$AI140-$AH140-$AG140-$AF140-$AE140*(1+DO$3))/$AJ140,'Технический лист'!$I:$J,2,1)-VLOOKUP($AO140,'Технический лист'!$I:$J,2,1)),1+(1-$AU140))</f>
        <v>1.1400000000000001</v>
      </c>
      <c r="DP140" s="15">
        <f>MIN(IF($AU140=100%,1,1+VLOOKUP(($AJ140-$AI140-$AH140-$AG140-$AF140-$AE140*(1+DP$3))/$AJ140,'Технический лист'!$I:$J,2,1)-VLOOKUP($AO140,'Технический лист'!$I:$J,2,1)),1+(1-$AU140))</f>
        <v>1.1400000000000001</v>
      </c>
      <c r="DQ140" s="15">
        <f>MIN(IF($AU140=100%,1,1+VLOOKUP(($AJ140-$AI140-$AH140-$AG140-$AF140-$AE140*(1+DQ$3))/$AJ140,'Технический лист'!$I:$J,2,1)-VLOOKUP($AO140,'Технический лист'!$I:$J,2,1)),1+(1-$AU140))</f>
        <v>1.1400000000000001</v>
      </c>
      <c r="DR140" s="15">
        <f>MIN(IF($AU140=100%,1,1+VLOOKUP(($AJ140-$AI140-$AH140-$AG140-$AF140-$AE140*(1+DR$3))/$AJ140,'Технический лист'!$I:$J,2,1)-VLOOKUP($AO140,'Технический лист'!$I:$J,2,1)),1+(1-$AU140))</f>
        <v>1.1400000000000001</v>
      </c>
      <c r="DS140" s="15">
        <f>MIN(IF($AU140=100%,1,1+VLOOKUP(($AJ140-$AI140-$AH140-$AG140-$AF140-$AE140*(1+DS$3))/$AJ140,'Технический лист'!$I:$J,2,1)-VLOOKUP($AO140,'Технический лист'!$I:$J,2,1)),1+(1-$AU140))</f>
        <v>1.1200000000000001</v>
      </c>
      <c r="DT140" s="15">
        <f>MIN(IF($AU140=100%,1,1+VLOOKUP(($AJ140-$AI140-$AH140-$AG140-$AF140-$AE140*(1+DT$3))/$AJ140,'Технический лист'!$I:$J,2,1)-VLOOKUP($AO140,'Технический лист'!$I:$J,2,1)),1+(1-$AU140))</f>
        <v>1.1200000000000001</v>
      </c>
      <c r="DU140" s="15">
        <f>MIN(IF($AU140=100%,1,1+VLOOKUP(($AJ140-$AI140-$AH140-$AG140-$AF140-$AE140*(1+DU$3))/$AJ140,'Технический лист'!$I:$J,2,1)-VLOOKUP($AO140,'Технический лист'!$I:$J,2,1)),1+(1-$AU140))</f>
        <v>1.1200000000000001</v>
      </c>
      <c r="DV140" s="15">
        <f>MIN(IF($AU140=100%,1,1+VLOOKUP(($AJ140-$AI140-$AH140-$AG140-$AF140-$AE140*(1+DV$3))/$AJ140,'Технический лист'!$I:$J,2,1)-VLOOKUP($AO140,'Технический лист'!$I:$J,2,1)),1+(1-$AU140))</f>
        <v>1.1200000000000001</v>
      </c>
      <c r="DW140" s="15">
        <f>MIN(IF($AU140=100%,1,1+VLOOKUP(($AJ140-$AI140-$AH140-$AG140-$AF140-$AE140*(1+DW$3))/$AJ140,'Технический лист'!$I:$J,2,1)-VLOOKUP($AO140,'Технический лист'!$I:$J,2,1)),1+(1-$AU140))</f>
        <v>1.1000000000000001</v>
      </c>
      <c r="DX140" s="15">
        <f>MIN(IF($AU140=100%,1,1+VLOOKUP(($AJ140-$AI140-$AH140-$AG140-$AF140-$AE140*(1+DX$3))/$AJ140,'Технический лист'!$I:$J,2,1)-VLOOKUP($AO140,'Технический лист'!$I:$J,2,1)),1+(1-$AU140))</f>
        <v>1.1000000000000001</v>
      </c>
      <c r="DY140" s="15">
        <f>MIN(IF($AU140=100%,1,1+VLOOKUP(($AJ140-$AI140-$AH140-$AG140-$AF140-$AE140*(1+DY$3))/$AJ140,'Технический лист'!$I:$J,2,1)-VLOOKUP($AO140,'Технический лист'!$I:$J,2,1)),1+(1-$AU140))</f>
        <v>1.1000000000000001</v>
      </c>
      <c r="DZ140" s="15">
        <f>MIN(IF($AU140=100%,1,1+VLOOKUP(($AJ140-$AI140-$AH140-$AG140-$AF140-$AE140*(1+DZ$3))/$AJ140,'Технический лист'!$I:$J,2,1)-VLOOKUP($AO140,'Технический лист'!$I:$J,2,1)),1+(1-$AU140))</f>
        <v>1.1000000000000001</v>
      </c>
      <c r="EA140" s="15">
        <f>MIN(IF($AU140=100%,1,1+VLOOKUP(($AJ140-$AI140-$AH140-$AG140-$AF140-$AE140*(1+EA$3))/$AJ140,'Технический лист'!$I:$J,2,1)-VLOOKUP($AO140,'Технический лист'!$I:$J,2,1)),1+(1-$AU140))</f>
        <v>1.08</v>
      </c>
      <c r="EB140" s="15">
        <f>MIN(IF($AU140=100%,1,1+VLOOKUP(($AJ140-$AI140-$AH140-$AG140-$AF140-$AE140*(1+EB$3))/$AJ140,'Технический лист'!$I:$J,2,1)-VLOOKUP($AO140,'Технический лист'!$I:$J,2,1)),1+(1-$AU140))</f>
        <v>1.08</v>
      </c>
      <c r="EC140" s="15">
        <f>MIN(IF($AU140=100%,1,1+VLOOKUP(($AJ140-$AI140-$AH140-$AG140-$AF140-$AE140*(1+EC$3))/$AJ140,'Технический лист'!$I:$J,2,1)-VLOOKUP($AO140,'Технический лист'!$I:$J,2,1)),1+(1-$AU140))</f>
        <v>1.08</v>
      </c>
      <c r="ED140" s="15">
        <f>MIN(IF($AU140=100%,1,1+VLOOKUP(($AJ140-$AI140-$AH140-$AG140-$AF140-$AE140*(1+ED$3))/$AJ140,'Технический лист'!$I:$J,2,1)-VLOOKUP($AO140,'Технический лист'!$I:$J,2,1)),1+(1-$AU140))</f>
        <v>1.08</v>
      </c>
      <c r="EE140" s="15">
        <f>MIN(IF($AU140=100%,1,1+VLOOKUP(($AJ140-$AI140-$AH140-$AG140-$AF140-$AE140*(1+EE$3))/$AJ140,'Технический лист'!$I:$J,2,1)-VLOOKUP($AO140,'Технический лист'!$I:$J,2,1)),1+(1-$AU140))</f>
        <v>1.06</v>
      </c>
      <c r="EF140" s="15">
        <f>MIN(IF($AU140=100%,1,1+VLOOKUP(($AJ140-$AI140-$AH140-$AG140-$AF140-$AE140*(1+EF$3))/$AJ140,'Технический лист'!$I:$J,2,1)-VLOOKUP($AO140,'Технический лист'!$I:$J,2,1)),1+(1-$AU140))</f>
        <v>1.06</v>
      </c>
      <c r="EG140" s="15">
        <f>MIN(IF($AU140=100%,1,1+VLOOKUP(($AJ140-$AI140-$AH140-$AG140-$AF140-$AE140*(1+EG$3))/$AJ140,'Технический лист'!$I:$J,2,1)-VLOOKUP($AO140,'Технический лист'!$I:$J,2,1)),1+(1-$AU140))</f>
        <v>1.06</v>
      </c>
      <c r="EH140" s="15">
        <f>MIN(IF($AU140=100%,1,1+VLOOKUP(($AJ140-$AI140-$AH140-$AG140-$AF140-$AE140*(1+EH$3))/$AJ140,'Технический лист'!$I:$J,2,1)-VLOOKUP($AO140,'Технический лист'!$I:$J,2,1)),1+(1-$AU140))</f>
        <v>1.0449999999999999</v>
      </c>
      <c r="EI140" s="15">
        <f>MIN(IF($AU140=100%,1,1+VLOOKUP(($AJ140-$AI140-$AH140-$AG140-$AF140-$AE140*(1+EI$3))/$AJ140,'Технический лист'!$I:$J,2,1)-VLOOKUP($AO140,'Технический лист'!$I:$J,2,1)),1+(1-$AU140))</f>
        <v>1.0449999999999999</v>
      </c>
      <c r="EJ140" s="15">
        <f>MIN(IF($AU140=100%,1,1+VLOOKUP(($AJ140-$AI140-$AH140-$AG140-$AF140-$AE140*(1+EJ$3))/$AJ140,'Технический лист'!$I:$J,2,1)-VLOOKUP($AO140,'Технический лист'!$I:$J,2,1)),1+(1-$AU140))</f>
        <v>1.0449999999999999</v>
      </c>
      <c r="EK140" s="15">
        <f>MIN(IF($AU140=100%,1,1+VLOOKUP(($AJ140-$AI140-$AH140-$AG140-$AF140-$AE140*(1+EK$3))/$AJ140,'Технический лист'!$I:$J,2,1)-VLOOKUP($AO140,'Технический лист'!$I:$J,2,1)),1+(1-$AU140))</f>
        <v>1.0449999999999999</v>
      </c>
      <c r="EL140" s="15">
        <f>MIN(IF($AU140=100%,1,1+VLOOKUP(($AJ140-$AI140-$AH140-$AG140-$AF140-$AE140*(1+EL$3))/$AJ140,'Технический лист'!$I:$J,2,1)-VLOOKUP($AO140,'Технический лист'!$I:$J,2,1)),1+(1-$AU140))</f>
        <v>1.0300000000000002</v>
      </c>
      <c r="EM140" s="15">
        <f>MIN(IF($AU140=100%,1,1+VLOOKUP(($AJ140-$AI140-$AH140-$AG140-$AF140-$AE140*(1+EM$3))/$AJ140,'Технический лист'!$I:$J,2,1)-VLOOKUP($AO140,'Технический лист'!$I:$J,2,1)),1+(1-$AU140))</f>
        <v>1.0300000000000002</v>
      </c>
      <c r="EN140" s="15">
        <f>MIN(IF($AU140=100%,1,1+VLOOKUP(($AJ140-$AI140-$AH140-$AG140-$AF140-$AE140*(1+EN$3))/$AJ140,'Технический лист'!$I:$J,2,1)-VLOOKUP($AO140,'Технический лист'!$I:$J,2,1)),1+(1-$AU140))</f>
        <v>1.0300000000000002</v>
      </c>
      <c r="EO140" s="15">
        <f>MIN(IF($AU140=100%,1,1+VLOOKUP(($AJ140-$AI140-$AH140-$AG140-$AF140-$AE140*(1+EO$3))/$AJ140,'Технический лист'!$I:$J,2,1)-VLOOKUP($AO140,'Технический лист'!$I:$J,2,1)),1+(1-$AU140))</f>
        <v>1.0300000000000002</v>
      </c>
      <c r="EP140" s="15">
        <f>MIN(IF($AU140=100%,1,1+VLOOKUP(($AJ140-$AI140-$AH140-$AG140-$AF140-$AE140*(1+EP$3))/$AJ140,'Технический лист'!$I:$J,2,1)-VLOOKUP($AO140,'Технический лист'!$I:$J,2,1)),1+(1-$AU140))</f>
        <v>1.0150000000000001</v>
      </c>
      <c r="EQ140" s="15">
        <f>MIN(IF($AU140=100%,1,1+VLOOKUP(($AJ140-$AI140-$AH140-$AG140-$AF140-$AE140*(1+EQ$3))/$AJ140,'Технический лист'!$I:$J,2,1)-VLOOKUP($AO140,'Технический лист'!$I:$J,2,1)),1+(1-$AU140))</f>
        <v>1.0150000000000001</v>
      </c>
      <c r="ER140" s="15">
        <f>MIN(IF($AU140=100%,1,1+VLOOKUP(($AJ140-$AI140-$AH140-$AG140-$AF140-$AE140*(1+ER$3))/$AJ140,'Технический лист'!$I:$J,2,1)-VLOOKUP($AO140,'Технический лист'!$I:$J,2,1)),1+(1-$AU140))</f>
        <v>1.0150000000000001</v>
      </c>
      <c r="ES140" s="15">
        <f>MIN(IF($AU140=100%,1,1+VLOOKUP(($AJ140-$AI140-$AH140-$AG140-$AF140-$AE140*(1+ES$3))/$AJ140,'Технический лист'!$I:$J,2,1)-VLOOKUP($AO140,'Технический лист'!$I:$J,2,1)),1+(1-$AU140))</f>
        <v>1.0150000000000001</v>
      </c>
      <c r="ET140" s="15">
        <f>MIN(IF($AU140=100%,1,1+VLOOKUP(($AJ140-$AI140-$AH140-$AG140-$AF140-$AE140*(1+ET$3))/$AJ140,'Технический лист'!$I:$J,2,1)-VLOOKUP($AO140,'Технический лист'!$I:$J,2,1)),1+(1-$AU140))</f>
        <v>1</v>
      </c>
      <c r="EU140" s="15">
        <f>MIN(IF($AU140=100%,1,1+VLOOKUP(($AJ140-$AI140-$AH140-$AG140-$AF140-$AE140*(1+EU$3))/$AJ140,'Технический лист'!$I:$J,2,1)-VLOOKUP($AO140,'Технический лист'!$I:$J,2,1)),1+(1-$AU140))</f>
        <v>1</v>
      </c>
      <c r="EV140" s="111">
        <v>1</v>
      </c>
      <c r="EW140" s="15">
        <f>MIN(1,MAX(VLOOKUP(($AJ140-$AI140-$AH140-$AG140-$AF140-$AE140*(1+EW$3))/$AJ140,'Технический лист'!$A:$B,2,1),(EV140-0.05)))</f>
        <v>1</v>
      </c>
      <c r="EX140" s="15">
        <f>MIN(1,MAX(VLOOKUP(($AJ140-$AI140-$AH140-$AG140-$AF140-$AE140*(1+EX$3))/$AJ140,'Технический лист'!$A:$B,2,1),(EW140-0.05)))</f>
        <v>1</v>
      </c>
      <c r="EY140" s="15">
        <f>MIN(1,MAX(VLOOKUP(($AJ140-$AI140-$AH140-$AG140-$AF140-$AE140*(1+EY$3))/$AJ140,'Технический лист'!$A:$B,2,1),(EX140-0.05)))</f>
        <v>1</v>
      </c>
      <c r="EZ140" s="15">
        <f>MIN(1,MAX(VLOOKUP(($AJ140-$AI140-$AH140-$AG140-$AF140-$AE140*(1+EZ$3))/$AJ140,'Технический лист'!$A:$B,2,1),(EY140-0.05)))</f>
        <v>1</v>
      </c>
      <c r="FA140" s="15">
        <f>MIN(1,MAX(VLOOKUP(($AJ140-$AI140-$AH140-$AG140-$AF140-$AE140*(1+FA$3))/$AJ140,'Технический лист'!$A:$B,2,1),(EZ140-0.05)))</f>
        <v>1</v>
      </c>
      <c r="FB140" s="15">
        <f>MIN(1,MAX(VLOOKUP(($AJ140-$AI140-$AH140-$AG140-$AF140-$AE140*(1+FB$3))/$AJ140,'Технический лист'!$A:$B,2,1),(FA140-0.05)))</f>
        <v>1</v>
      </c>
      <c r="FC140" s="15">
        <f>MIN(1,MAX(VLOOKUP(($AJ140-$AI140-$AH140-$AG140-$AF140-$AE140*(1+FC$3))/$AJ140,'Технический лист'!$A:$B,2,1),(FB140-0.05)))</f>
        <v>1</v>
      </c>
      <c r="FD140" s="15">
        <f>MIN(1,MAX(VLOOKUP(($AJ140-$AI140-$AH140-$AG140-$AF140-$AE140*(1+FD$3))/$AJ140,'Технический лист'!$A:$B,2,1),(FC140-0.05)))</f>
        <v>1</v>
      </c>
      <c r="FE140" s="15">
        <f>MIN(1,MAX(VLOOKUP(($AJ140-$AI140-$AH140-$AG140-$AF140-$AE140*(1+FE$3))/$AJ140,'Технический лист'!$A:$B,2,1),(FD140-0.05)))</f>
        <v>1</v>
      </c>
      <c r="FF140" s="15">
        <f>MIN(1,MAX(VLOOKUP(($AJ140-$AI140-$AH140-$AG140-$AF140-$AE140*(1+FF$3))/$AJ140,'Технический лист'!$A:$B,2,1),(FE140-0.05)))</f>
        <v>1</v>
      </c>
      <c r="FG140" s="15">
        <f>MIN(1,MAX(VLOOKUP(($AJ140-$AI140-$AH140-$AG140-$AF140-$AE140*(1+FG$3))/$AJ140,'Технический лист'!$A:$B,2,1),(FF140-0.05)))</f>
        <v>1</v>
      </c>
      <c r="FH140" s="15">
        <f>MIN(1,MAX(VLOOKUP(($AJ140-$AI140-$AH140-$AG140-$AF140-$AE140*(1+FH$3))/$AJ140,'Технический лист'!$A:$B,2,1),(FG140-0.05)))</f>
        <v>1</v>
      </c>
      <c r="FI140" s="15">
        <f>MIN(1,MAX(VLOOKUP(($AJ140-$AI140-$AH140-$AG140-$AF140-$AE140*(1+FI$3))/$AJ140,'Технический лист'!$A:$B,2,1),(FH140-0.05)))</f>
        <v>1</v>
      </c>
      <c r="FJ140" s="15">
        <f>MIN(1,MAX(VLOOKUP(($AJ140-$AI140-$AH140-$AG140-$AF140-$AE140*(1+FJ$3))/$AJ140,'Технический лист'!$A:$B,2,1),(FI140-0.05)))</f>
        <v>1</v>
      </c>
      <c r="FK140" s="15">
        <f>MIN(1,MAX(VLOOKUP(($AJ140-$AI140-$AH140-$AG140-$AF140-$AE140*(1+FK$3))/$AJ140,'Технический лист'!$A:$B,2,1),(FJ140-0.05)))</f>
        <v>1</v>
      </c>
      <c r="FL140" s="15">
        <f>MIN(1,MAX(VLOOKUP(($AJ140-$AI140-$AH140-$AG140-$AF140-$AE140*(1+FL$3))/$AJ140,'Технический лист'!$A:$B,2,1),(FK140-0.05)))</f>
        <v>1</v>
      </c>
      <c r="FM140" s="15">
        <f>MIN(1,MAX(VLOOKUP(($AJ140-$AI140-$AH140-$AG140-$AF140-$AE140*(1+FM$3))/$AJ140,'Технический лист'!$A:$B,2,1),(FL140-0.05)))</f>
        <v>1</v>
      </c>
      <c r="FN140" s="15">
        <f>MIN(1,MAX(VLOOKUP(($AJ140-$AI140-$AH140-$AG140-$AF140-$AE140*(1+FN$3))/$AJ140,'Технический лист'!$A:$B,2,1),(FM140-0.05)))</f>
        <v>1</v>
      </c>
      <c r="FO140" s="15">
        <f>MIN(1,MAX(VLOOKUP(($AJ140-$AI140-$AH140-$AG140-$AF140-$AE140*(1+FO$3))/$AJ140,'Технический лист'!$A:$B,2,1),(FN140-0.05)))</f>
        <v>1</v>
      </c>
      <c r="FP140" s="15">
        <f>MIN(1,MAX(VLOOKUP(($AJ140-$AI140-$AH140-$AG140-$AF140-$AE140*(1+FP$3))/$AJ140,'Технический лист'!$A:$B,2,1),(FO140-0.05)))</f>
        <v>1</v>
      </c>
      <c r="FQ140" s="15">
        <f>MIN(1,MAX(VLOOKUP(($AJ140-$AI140-$AH140-$AG140-$AF140-$AE140*(1+FQ$3))/$AJ140,'Технический лист'!$A:$B,2,1),(FP140-0.05)))</f>
        <v>1</v>
      </c>
      <c r="FR140" s="15">
        <f>MIN(1,MAX(VLOOKUP(($AJ140-$AI140-$AH140-$AG140-$AF140-$AE140*(1+FR$3))/$AJ140,'Технический лист'!$A:$B,2,1),(FQ140-0.05)))</f>
        <v>1</v>
      </c>
      <c r="FS140" s="15">
        <f>MIN(1,MAX(VLOOKUP(($AJ140-$AI140-$AH140-$AG140-$AF140-$AE140*(1+FS$3))/$AJ140,'Технический лист'!$A:$B,2,1),(FR140-0.05)))</f>
        <v>1</v>
      </c>
      <c r="FT140" s="15">
        <f>MIN(1,MAX(VLOOKUP(($AJ140-$AI140-$AH140-$AG140-$AF140-$AE140*(1+FT$3))/$AJ140,'Технический лист'!$A:$B,2,1),(FS140-0.05)))</f>
        <v>1</v>
      </c>
      <c r="FU140" s="15">
        <f>MIN(1,MAX(VLOOKUP(($AJ140-$AI140-$AH140-$AG140-$AF140-$AE140*(1+FU$3))/$AJ140,'Технический лист'!$A:$B,2,1),(FT140-0.05)))</f>
        <v>1</v>
      </c>
      <c r="FV140" s="15">
        <f>MIN(1,MAX(VLOOKUP(($AJ140-$AI140-$AH140-$AG140-$AF140-$AE140*(1+FV$3))/$AJ140,'Технический лист'!$A:$B,2,1),(FU140-0.05)))</f>
        <v>1</v>
      </c>
      <c r="FW140" s="15">
        <f>MIN(1,MAX(VLOOKUP(($AJ140-$AI140-$AH140-$AG140-$AF140-$AE140*(1+FW$3))/$AJ140,'Технический лист'!$A:$B,2,1),(FV140-0.05)))</f>
        <v>1</v>
      </c>
      <c r="FX140" s="15">
        <f>MIN(1,MAX(VLOOKUP(($AJ140-$AI140-$AH140-$AG140-$AF140-$AE140*(1+FX$3))/$AJ140,'Технический лист'!$A:$B,2,1),(FW140-0.05)))</f>
        <v>1</v>
      </c>
      <c r="FY140" s="15">
        <f>MIN(1,MAX(VLOOKUP(($AJ140-$AI140-$AH140-$AG140-$AF140-$AE140*(1+FY$3))/$AJ140,'Технический лист'!$A:$B,2,1),(FX140-0.05)))</f>
        <v>0.995</v>
      </c>
      <c r="FZ140" s="15">
        <f>MIN(1,MAX(VLOOKUP(($AJ140-$AI140-$AH140-$AG140-$AF140-$AE140*(1+FZ$3))/$AJ140,'Технический лист'!$A:$B,2,1),(FY140-0.05)))</f>
        <v>0.995</v>
      </c>
      <c r="GA140" s="15">
        <f>MIN(1,MAX(VLOOKUP(($AJ140-$AI140-$AH140-$AG140-$AF140-$AE140*(1+GA$3))/$AJ140,'Технический лист'!$A:$B,2,1),(FZ140-0.05)))</f>
        <v>0.995</v>
      </c>
      <c r="GB140" s="15">
        <f>MIN(1,MAX(VLOOKUP(($AJ140-$AI140-$AH140-$AG140-$AF140-$AE140*(1+GB$3))/$AJ140,'Технический лист'!$A:$B,2,1),(GA140-0.05)))</f>
        <v>0.995</v>
      </c>
      <c r="GC140" s="15">
        <f>MIN(1,MAX(VLOOKUP(($AJ140-$AI140-$AH140-$AG140-$AF140-$AE140*(1+GC$3))/$AJ140,'Технический лист'!$A:$B,2,1),(GB140-0.05)))</f>
        <v>0.995</v>
      </c>
      <c r="GD140" s="15">
        <f>MIN(1,MAX(VLOOKUP(($AJ140-$AI140-$AH140-$AG140-$AF140-$AE140*(1+GD$3))/$AJ140,'Технический лист'!$A:$B,2,1),(GC140-0.05)))</f>
        <v>0.995</v>
      </c>
      <c r="GE140" s="15">
        <f>MIN(1,MAX(VLOOKUP(($AJ140-$AI140-$AH140-$AG140-$AF140-$AE140*(1+GE$3))/$AJ140,'Технический лист'!$A:$B,2,1),(GD140-0.05)))</f>
        <v>0.995</v>
      </c>
      <c r="GF140" s="15">
        <f>MIN(1,MAX(VLOOKUP(($AJ140-$AI140-$AH140-$AG140-$AF140-$AE140*(1+GF$3))/$AJ140,'Технический лист'!$A:$B,2,1),(GE140-0.05)))</f>
        <v>0.99</v>
      </c>
      <c r="GG140" s="15">
        <f>MIN(1,MAX(VLOOKUP(($AJ140-$AI140-$AH140-$AG140-$AF140-$AE140*(1+GG$3))/$AJ140,'Технический лист'!$A:$B,2,1),(GF140-0.05)))</f>
        <v>0.99</v>
      </c>
      <c r="GH140" s="15">
        <f>MIN(1,MAX(VLOOKUP(($AJ140-$AI140-$AH140-$AG140-$AF140-$AE140*(1+GH$3))/$AJ140,'Технический лист'!$A:$B,2,1),(GG140-0.05)))</f>
        <v>0.99</v>
      </c>
      <c r="GI140" s="15">
        <f>MIN(1,MAX(VLOOKUP(($AJ140-$AI140-$AH140-$AG140-$AF140-$AE140*(1+GI$3))/$AJ140,'Технический лист'!$A:$B,2,1),(GH140-0.05)))</f>
        <v>0.99</v>
      </c>
      <c r="GJ140" s="15">
        <f>MIN(1,MAX(VLOOKUP(($AJ140-$AI140-$AH140-$AG140-$AF140-$AE140*(1+GJ$3))/$AJ140,'Технический лист'!$A:$B,2,1),(GI140-0.05)))</f>
        <v>0.99</v>
      </c>
      <c r="GK140" s="15">
        <f>MIN(1,MAX(VLOOKUP(($AJ140-$AI140-$AH140-$AG140-$AF140-$AE140*(1+GK$3))/$AJ140,'Технический лист'!$A:$B,2,1),(GJ140-0.05)))</f>
        <v>0.99</v>
      </c>
      <c r="GL140" s="15">
        <f>MIN(1,MAX(VLOOKUP(($AJ140-$AI140-$AH140-$AG140-$AF140-$AE140*(1+GL$3))/$AJ140,'Технический лист'!$A:$B,2,1),(GK140-0.05)))</f>
        <v>0.99</v>
      </c>
      <c r="GM140" s="15">
        <f>MIN(1,MAX(VLOOKUP(($AJ140-$AI140-$AH140-$AG140-$AF140-$AE140*(1+GM$3))/$AJ140,'Технический лист'!$A:$B,2,1),(GL140-0.05)))</f>
        <v>0.99</v>
      </c>
      <c r="GN140" s="15">
        <f>MIN(1,MAX(VLOOKUP(($AJ140-$AI140-$AH140-$AG140-$AF140-$AE140*(1+GN$3))/$AJ140,'Технический лист'!$A:$B,2,1),(GM140-0.05)))</f>
        <v>0.98499999999999999</v>
      </c>
      <c r="GO140" s="15">
        <f>MIN(1,MAX(VLOOKUP(($AJ140-$AI140-$AH140-$AG140-$AF140-$AE140*(1+GO$3))/$AJ140,'Технический лист'!$A:$B,2,1),(GN140-0.05)))</f>
        <v>0.98499999999999999</v>
      </c>
      <c r="GP140" s="15">
        <f>MIN(1,MAX(VLOOKUP(($AJ140-$AI140-$AH140-$AG140-$AF140-$AE140*(1+GP$3))/$AJ140,'Технический лист'!$A:$B,2,1),(GO140-0.05)))</f>
        <v>0.98499999999999999</v>
      </c>
      <c r="GQ140" s="15">
        <f>MIN(1,MAX(VLOOKUP(($AJ140-$AI140-$AH140-$AG140-$AF140-$AE140*(1+GQ$3))/$AJ140,'Технический лист'!$A:$B,2,1),(GP140-0.05)))</f>
        <v>0.98499999999999999</v>
      </c>
      <c r="GR140" s="15">
        <f>MIN(1,MAX(VLOOKUP(($AJ140-$AI140-$AH140-$AG140-$AF140-$AE140*(1+GR$3))/$AJ140,'Технический лист'!$A:$B,2,1),(GQ140-0.05)))</f>
        <v>0.98499999999999999</v>
      </c>
      <c r="GS140" s="15">
        <f>MIN(1,MAX(VLOOKUP(($AJ140-$AI140-$AH140-$AG140-$AF140-$AE140*(1+GS$3))/$AJ140,'Технический лист'!$A:$B,2,1),(GR140-0.05)))</f>
        <v>0.98499999999999999</v>
      </c>
      <c r="GT140" s="15">
        <f>MIN(1,MAX(VLOOKUP(($AJ140-$AI140-$AH140-$AG140-$AF140-$AE140*(1+GT$3))/$AJ140,'Технический лист'!$A:$B,2,1),(GS140-0.05)))</f>
        <v>0.98499999999999999</v>
      </c>
      <c r="GU140" s="15">
        <f>MIN(1,MAX(VLOOKUP(($AJ140-$AI140-$AH140-$AG140-$AF140-$AE140*(1+GU$3))/$AJ140,'Технический лист'!$A:$B,2,1),(GT140-0.05)))</f>
        <v>0.98499999999999999</v>
      </c>
      <c r="GV140" s="15">
        <f>MIN(1,MAX(VLOOKUP(($AJ140-$AI140-$AH140-$AG140-$AF140-$AE140*(1+GV$3))/$AJ140,'Технический лист'!$A:$B,2,1),(GU140-0.05)))</f>
        <v>0.98</v>
      </c>
      <c r="GW140" s="15">
        <f>MIN(1,MAX(VLOOKUP(($AJ140-$AI140-$AH140-$AG140-$AF140-$AE140*(1+GW$3))/$AJ140,'Технический лист'!$A:$B,2,1),(GV140-0.05)))</f>
        <v>0.98</v>
      </c>
      <c r="GX140" s="15">
        <f>MIN(1,MAX(VLOOKUP(($AJ140-$AI140-$AH140-$AG140-$AF140-$AE140*(1+GX$3))/$AJ140,'Технический лист'!$A:$B,2,1),(GW140-0.05)))</f>
        <v>0.98</v>
      </c>
      <c r="GY140" s="15">
        <f>MIN(1,MAX(VLOOKUP(($AJ140-$AI140-$AH140-$AG140-$AF140-$AE140*(1+GY$3))/$AJ140,'Технический лист'!$A:$B,2,1),(GX140-0.05)))</f>
        <v>0.98</v>
      </c>
      <c r="GZ140" s="15">
        <f>MIN(1,MAX(VLOOKUP(($AJ140-$AI140-$AH140-$AG140-$AF140-$AE140*(1+GZ$3))/$AJ140,'Технический лист'!$A:$B,2,1),(GY140-0.05)))</f>
        <v>0.98</v>
      </c>
      <c r="HA140" s="15">
        <f>MIN(1,MAX(VLOOKUP(($AJ140-$AI140-$AH140-$AG140-$AF140-$AE140*(1+HA$3))/$AJ140,'Технический лист'!$A:$B,2,1),(GZ140-0.05)))</f>
        <v>0.98</v>
      </c>
      <c r="HB140" s="15">
        <f>MIN(1,MAX(VLOOKUP(($AJ140-$AI140-$AH140-$AG140-$AF140-$AE140*(1+HB$3))/$AJ140,'Технический лист'!$A:$B,2,1),(HA140-0.05)))</f>
        <v>0.98</v>
      </c>
      <c r="HC140" s="15">
        <f>MIN(1,MAX(VLOOKUP(($AJ140-$AI140-$AH140-$AG140-$AF140-$AE140*(1+HC$3))/$AJ140,'Технический лист'!$A:$B,2,1),(HB140-0.05)))</f>
        <v>0.97499999999999998</v>
      </c>
      <c r="HD140" s="15">
        <f>MIN(1,MAX(VLOOKUP(($AJ140-$AI140-$AH140-$AG140-$AF140-$AE140*(1+HD$3))/$AJ140,'Технический лист'!$A:$B,2,1),(HC140-0.05)))</f>
        <v>0.97499999999999998</v>
      </c>
      <c r="HE140" s="15">
        <f>MIN(1,MAX(VLOOKUP(($AJ140-$AI140-$AH140-$AG140-$AF140-$AE140*(1+HE$3))/$AJ140,'Технический лист'!$A:$B,2,1),(HD140-0.05)))</f>
        <v>0.97499999999999998</v>
      </c>
      <c r="HF140" s="15">
        <f>MIN(1,MAX(VLOOKUP(($AJ140-$AI140-$AH140-$AG140-$AF140-$AE140*(1+HF$3))/$AJ140,'Технический лист'!$A:$B,2,1),(HE140-0.05)))</f>
        <v>0.97499999999999998</v>
      </c>
      <c r="HG140" s="15">
        <f>MIN(1,MAX(VLOOKUP(($AJ140-$AI140-$AH140-$AG140-$AF140-$AE140*(1+HG$3))/$AJ140,'Технический лист'!$A:$B,2,1),(HF140-0.05)))</f>
        <v>0.97499999999999998</v>
      </c>
      <c r="HH140" s="15">
        <f>MIN(1,MAX(VLOOKUP(($AJ140-$AI140-$AH140-$AG140-$AF140-$AE140*(1+HH$3))/$AJ140,'Технический лист'!$A:$B,2,1),(HG140-0.05)))</f>
        <v>0.97499999999999998</v>
      </c>
      <c r="HI140" s="15">
        <f>MIN(1,MAX(VLOOKUP(($AJ140-$AI140-$AH140-$AG140-$AF140-$AE140*(1+HI$3))/$AJ140,'Технический лист'!$A:$B,2,1),(HH140-0.05)))</f>
        <v>0.97499999999999998</v>
      </c>
      <c r="HJ140" s="15">
        <f>MIN(1,MAX(VLOOKUP(($AJ140-$AI140-$AH140-$AG140-$AF140-$AE140*(1+HJ$3))/$AJ140,'Технический лист'!$A:$B,2,1),(HI140-0.05)))</f>
        <v>0.97499999999999998</v>
      </c>
      <c r="HK140" s="15">
        <f>MIN(1,MAX(VLOOKUP(($AJ140-$AI140-$AH140-$AG140-$AF140-$AE140*(1+HK$3))/$AJ140,'Технический лист'!$A:$B,2,1),(HJ140-0.05)))</f>
        <v>0.97</v>
      </c>
      <c r="HL140" s="15">
        <f>MIN(1,MAX(VLOOKUP(($AJ140-$AI140-$AH140-$AG140-$AF140-$AE140*(1+HL$3))/$AJ140,'Технический лист'!$A:$B,2,1),(HK140-0.05)))</f>
        <v>0.97</v>
      </c>
      <c r="HM140" s="15">
        <f>MIN(1,MAX(VLOOKUP(($AJ140-$AI140-$AH140-$AG140-$AF140-$AE140*(1+HM$3))/$AJ140,'Технический лист'!$A:$B,2,1),(HL140-0.05)))</f>
        <v>0.97</v>
      </c>
      <c r="HN140" s="15">
        <f>MIN(1,MAX(VLOOKUP(($AJ140-$AI140-$AH140-$AG140-$AF140-$AE140*(1+HN$3))/$AJ140,'Технический лист'!$A:$B,2,1),(HM140-0.05)))</f>
        <v>0.97</v>
      </c>
      <c r="HO140" s="15">
        <f>MIN(1,MAX(VLOOKUP(($AJ140-$AI140-$AH140-$AG140-$AF140-$AE140*(1+HO$3))/$AJ140,'Технический лист'!$A:$B,2,1),(HN140-0.05)))</f>
        <v>0.97</v>
      </c>
      <c r="HP140" s="15">
        <f>MIN(1,MAX(VLOOKUP(($AJ140-$AI140-$AH140-$AG140-$AF140-$AE140*(1+HP$3))/$AJ140,'Технический лист'!$A:$B,2,1),(HO140-0.05)))</f>
        <v>0.97</v>
      </c>
      <c r="HQ140" s="15">
        <f>MIN(1,MAX(VLOOKUP(($AJ140-$AI140-$AH140-$AG140-$AF140-$AE140*(1+HQ$3))/$AJ140,'Технический лист'!$A:$B,2,1),(HP140-0.05)))</f>
        <v>0.97</v>
      </c>
      <c r="HR140" s="15">
        <f>MIN(1,MAX(VLOOKUP(($AJ140-$AI140-$AH140-$AG140-$AF140-$AE140*(1+HR$3))/$AJ140,'Технический лист'!$A:$B,2,1),(HQ140-0.05)))</f>
        <v>0.97</v>
      </c>
      <c r="HS140" s="15">
        <f>MIN(1,MAX(VLOOKUP(($AJ140-$AI140-$AH140-$AG140-$AF140-$AE140*(1+HS$3))/$AJ140,'Технический лист'!$A:$B,2,1),(HR140-0.05)))</f>
        <v>0.96499999999999997</v>
      </c>
      <c r="HT140" s="15">
        <f>MIN(1,MAX(VLOOKUP(($AJ140-$AI140-$AH140-$AG140-$AF140-$AE140*(1+HT$3))/$AJ140,'Технический лист'!$A:$B,2,1),(HS140-0.05)))</f>
        <v>0.96499999999999997</v>
      </c>
      <c r="HU140" s="15">
        <f>MIN(1,MAX(VLOOKUP(($AJ140-$AI140-$AH140-$AG140-$AF140-$AE140*(1+HU$3))/$AJ140,'Технический лист'!$A:$B,2,1),(HT140-0.05)))</f>
        <v>0.96499999999999997</v>
      </c>
      <c r="HV140" s="15">
        <f>MIN(1,MAX(VLOOKUP(($AJ140-$AI140-$AH140-$AG140-$AF140-$AE140*(1+HV$3))/$AJ140,'Технический лист'!$A:$B,2,1),(HU140-0.05)))</f>
        <v>0.96499999999999997</v>
      </c>
      <c r="HW140" s="15">
        <f>MIN(1,MAX(VLOOKUP(($AJ140-$AI140-$AH140-$AG140-$AF140-$AE140*(1+HW$3))/$AJ140,'Технический лист'!$A:$B,2,1),(HV140-0.05)))</f>
        <v>0.96499999999999997</v>
      </c>
      <c r="HX140" s="15">
        <f>MIN(1,MAX(VLOOKUP(($AJ140-$AI140-$AH140-$AG140-$AF140-$AE140*(1+HX$3))/$AJ140,'Технический лист'!$A:$B,2,1),(HW140-0.05)))</f>
        <v>0.96499999999999997</v>
      </c>
      <c r="HY140" s="15">
        <f>MIN(1,MAX(VLOOKUP(($AJ140-$AI140-$AH140-$AG140-$AF140-$AE140*(1+HY$3))/$AJ140,'Технический лист'!$A:$B,2,1),(HX140-0.05)))</f>
        <v>0.96499999999999997</v>
      </c>
      <c r="HZ140" s="15">
        <f>MIN(1,MAX(VLOOKUP(($AJ140-$AI140-$AH140-$AG140-$AF140-$AE140*(1+HZ$3))/$AJ140,'Технический лист'!$A:$B,2,1),(HY140-0.05)))</f>
        <v>0.96</v>
      </c>
      <c r="IA140" s="15">
        <f>MIN(1,MAX(VLOOKUP(($AJ140-$AI140-$AH140-$AG140-$AF140-$AE140*(1+IA$3))/$AJ140,'Технический лист'!$A:$B,2,1),(HZ140-0.05)))</f>
        <v>0.96</v>
      </c>
      <c r="IB140" s="15">
        <f>MIN(1,MAX(VLOOKUP(($AJ140-$AI140-$AH140-$AG140-$AF140-$AE140*(1+IB$3))/$AJ140,'Технический лист'!$A:$B,2,1),(IA140-0.05)))</f>
        <v>0.96</v>
      </c>
      <c r="IC140" s="15">
        <f>MIN(1,MAX(VLOOKUP(($AJ140-$AI140-$AH140-$AG140-$AF140-$AE140*(1+IC$3))/$AJ140,'Технический лист'!$A:$B,2,1),(IB140-0.05)))</f>
        <v>0.96</v>
      </c>
      <c r="ID140" s="15">
        <f>MIN(1,MAX(VLOOKUP(($AJ140-$AI140-$AH140-$AG140-$AF140-$AE140*(1+ID$3))/$AJ140,'Технический лист'!$A:$B,2,1),(IC140-0.05)))</f>
        <v>0.96</v>
      </c>
      <c r="IE140" s="15">
        <f>MIN(1,MAX(VLOOKUP(($AJ140-$AI140-$AH140-$AG140-$AF140-$AE140*(1+IE$3))/$AJ140,'Технический лист'!$A:$B,2,1),(ID140-0.05)))</f>
        <v>0.96</v>
      </c>
      <c r="IF140" s="15">
        <f>MIN(1,MAX(VLOOKUP(($AJ140-$AI140-$AH140-$AG140-$AF140-$AE140*(1+IF$3))/$AJ140,'Технический лист'!$A:$B,2,1),(IE140-0.05)))</f>
        <v>0.96</v>
      </c>
      <c r="IG140" s="15">
        <f>MIN(1,MAX(VLOOKUP(($AJ140-$AI140-$AH140-$AG140-$AF140-$AE140*(1+IG$3))/$AJ140,'Технический лист'!$A:$B,2,1),(IF140-0.05)))</f>
        <v>0.96</v>
      </c>
      <c r="IH140" s="15">
        <f>MIN(1,MAX(VLOOKUP(($AJ140-$AI140-$AH140-$AG140-$AF140-$AE140*(1+IH$3))/$AJ140,'Технический лист'!$A:$B,2,1),(IG140-0.05)))</f>
        <v>0.95499999999999996</v>
      </c>
      <c r="II140" s="15">
        <f>MIN(1,MAX(VLOOKUP(($AJ140-$AI140-$AH140-$AG140-$AF140-$AE140*(1+II$3))/$AJ140,'Технический лист'!$A:$B,2,1),(IH140-0.05)))</f>
        <v>0.95499999999999996</v>
      </c>
      <c r="IJ140" s="15">
        <f>MIN(1,MAX(VLOOKUP(($AJ140-$AI140-$AH140-$AG140-$AF140-$AE140*(1+IJ$3))/$AJ140,'Технический лист'!$A:$B,2,1),(II140-0.05)))</f>
        <v>0.95499999999999996</v>
      </c>
      <c r="IK140" s="15">
        <f>MIN(1,MAX(VLOOKUP(($AJ140-$AI140-$AH140-$AG140-$AF140-$AE140*(1+IK$3))/$AJ140,'Технический лист'!$A:$B,2,1),(IJ140-0.05)))</f>
        <v>0.95499999999999996</v>
      </c>
      <c r="IL140" s="15">
        <f>MIN(1,MAX(VLOOKUP(($AJ140-$AI140-$AH140-$AG140-$AF140-$AE140*(1+IL$3))/$AJ140,'Технический лист'!$A:$B,2,1),(IK140-0.05)))</f>
        <v>0.95499999999999996</v>
      </c>
      <c r="IM140" s="15">
        <f>MIN(1,MAX(VLOOKUP(($AJ140-$AI140-$AH140-$AG140-$AF140-$AE140*(1+IM$3))/$AJ140,'Технический лист'!$A:$B,2,1),(IL140-0.05)))</f>
        <v>0.95499999999999996</v>
      </c>
      <c r="IN140" s="15">
        <f>MIN(1,MAX(VLOOKUP(($AJ140-$AI140-$AH140-$AG140-$AF140-$AE140*(1+IN$3))/$AJ140,'Технический лист'!$A:$B,2,1),(IM140-0.05)))</f>
        <v>0.95499999999999996</v>
      </c>
      <c r="IO140" s="15">
        <f>MIN(1,MAX(VLOOKUP(($AJ140-$AI140-$AH140-$AG140-$AF140-$AE140*(1+IO$3))/$AJ140,'Технический лист'!$A:$B,2,1),(IN140-0.05)))</f>
        <v>0.95499999999999996</v>
      </c>
      <c r="IP140" s="15">
        <f>MIN(1,MAX(VLOOKUP(($AJ140-$AI140-$AH140-$AG140-$AF140-$AE140*(1+IP$3))/$AJ140,'Технический лист'!$A:$B,2,1),(IO140-0.05)))</f>
        <v>0.95</v>
      </c>
      <c r="IQ140" s="15">
        <f>MIN(1,MAX(VLOOKUP(($AJ140-$AI140-$AH140-$AG140-$AF140-$AE140*(1+IQ$3))/$AJ140,'Технический лист'!$A:$B,2,1),(IP140-0.05)))</f>
        <v>0.95</v>
      </c>
      <c r="IR140" s="15">
        <f>MIN(1,MAX(VLOOKUP(($AJ140-$AI140-$AH140-$AG140-$AF140-$AE140*(1+IR$3))/$AJ140,'Технический лист'!$A:$B,2,1),(IQ140-0.05)))</f>
        <v>0.95</v>
      </c>
    </row>
    <row r="141" spans="1:252" ht="29.15">
      <c r="A141" s="89" t="s">
        <v>513</v>
      </c>
      <c r="B141" s="90">
        <v>10</v>
      </c>
      <c r="C141" s="5" t="s">
        <v>66</v>
      </c>
      <c r="D141" s="91">
        <v>33125</v>
      </c>
      <c r="E141" s="91" t="s">
        <v>328</v>
      </c>
      <c r="F141" s="92" t="s">
        <v>72</v>
      </c>
      <c r="G141" s="91" t="s">
        <v>31</v>
      </c>
      <c r="H141" s="91" t="s">
        <v>50</v>
      </c>
      <c r="I141" s="91" t="s">
        <v>122</v>
      </c>
      <c r="J141" s="91" t="s">
        <v>123</v>
      </c>
      <c r="K141" s="91">
        <v>918</v>
      </c>
      <c r="L141" s="77" t="s">
        <v>189</v>
      </c>
      <c r="M141" s="91" t="s">
        <v>190</v>
      </c>
      <c r="N141" s="91" t="s">
        <v>48</v>
      </c>
      <c r="O141" s="91" t="s">
        <v>192</v>
      </c>
      <c r="P141" s="89" t="s">
        <v>218</v>
      </c>
      <c r="Q141" s="91" t="s">
        <v>298</v>
      </c>
      <c r="R141" s="91" t="s">
        <v>262</v>
      </c>
      <c r="S141" s="82">
        <v>62686</v>
      </c>
      <c r="T141" s="82">
        <v>57520843</v>
      </c>
      <c r="U141" s="81">
        <v>1070</v>
      </c>
      <c r="V141" s="81">
        <v>2140</v>
      </c>
      <c r="W141" s="82">
        <v>51796932</v>
      </c>
      <c r="X141" s="112">
        <v>58</v>
      </c>
      <c r="Y141" s="112" t="s">
        <v>48</v>
      </c>
      <c r="Z141" s="113">
        <v>6</v>
      </c>
      <c r="AA141" s="113">
        <v>0</v>
      </c>
      <c r="AB141" s="113">
        <v>4</v>
      </c>
      <c r="AC141" s="99">
        <f>68294/X141</f>
        <v>1177.4827586206898</v>
      </c>
      <c r="AD141" s="99">
        <v>0</v>
      </c>
      <c r="AE141" s="99">
        <f t="shared" ref="AE141:AE142" si="61">AC141</f>
        <v>1177.4827586206898</v>
      </c>
      <c r="AF141" s="98">
        <f>(AB141+AA141+Z141)*'Ставки аренды'!$B$6/X141</f>
        <v>275.86206896551727</v>
      </c>
      <c r="AG141" s="94">
        <v>0</v>
      </c>
      <c r="AH141" s="94">
        <v>0</v>
      </c>
      <c r="AI141" s="115">
        <f t="shared" ref="AI141:AI142" si="62">0.85*AJ141</f>
        <v>867173.85474999994</v>
      </c>
      <c r="AJ141" s="117">
        <f>Цены!C29*'Курсы валют'!B2</f>
        <v>1020204.5349999999</v>
      </c>
      <c r="AK141" s="94">
        <f>AJ141/Цены!$B$1</f>
        <v>13370</v>
      </c>
      <c r="AL141" s="95">
        <f t="shared" si="54"/>
        <v>1453.344827586207</v>
      </c>
      <c r="AM141" s="95">
        <f t="shared" si="55"/>
        <v>1018751.1901724137</v>
      </c>
      <c r="AN141" s="94">
        <f t="shared" si="52"/>
        <v>868627.19957758614</v>
      </c>
      <c r="AO141" s="118">
        <f t="shared" si="53"/>
        <v>0.14857543778945639</v>
      </c>
      <c r="AP141" s="96">
        <f t="shared" si="56"/>
        <v>1.4245622105436015E-3</v>
      </c>
      <c r="AQ141" s="96">
        <f t="shared" si="57"/>
        <v>1.1541634233381347E-3</v>
      </c>
      <c r="AR141" s="96">
        <f t="shared" si="58"/>
        <v>0.81018815099532593</v>
      </c>
      <c r="AS141" s="122">
        <v>1</v>
      </c>
      <c r="AT141" s="121">
        <f t="shared" si="45"/>
        <v>62686</v>
      </c>
      <c r="AU141" s="7" t="s">
        <v>475</v>
      </c>
      <c r="AV141" s="119">
        <f t="shared" si="41"/>
        <v>0.14843693817865583</v>
      </c>
      <c r="AW141" s="120">
        <f t="shared" si="42"/>
        <v>1.5630618213441777E-3</v>
      </c>
      <c r="AX141" s="120">
        <f t="shared" si="43"/>
        <v>1.2926630341387111E-3</v>
      </c>
      <c r="AY141" s="120">
        <f t="shared" si="44"/>
        <v>0.82700697853848582</v>
      </c>
      <c r="AZ141" s="15">
        <v>1</v>
      </c>
      <c r="BA141" s="15">
        <v>1</v>
      </c>
      <c r="BB141" s="15">
        <v>1</v>
      </c>
      <c r="BC141" s="15">
        <v>1</v>
      </c>
      <c r="BD141" s="15">
        <v>1</v>
      </c>
      <c r="BE141" s="15">
        <v>1</v>
      </c>
      <c r="BF141" s="15">
        <v>1</v>
      </c>
      <c r="BG141" s="15">
        <v>1</v>
      </c>
      <c r="BH141" s="15">
        <v>1</v>
      </c>
      <c r="BI141" s="15">
        <v>1</v>
      </c>
      <c r="BJ141" s="15">
        <v>1</v>
      </c>
      <c r="BK141" s="15">
        <v>1</v>
      </c>
      <c r="BL141" s="15">
        <v>1</v>
      </c>
      <c r="BM141" s="15">
        <v>1</v>
      </c>
      <c r="BN141" s="15">
        <v>1</v>
      </c>
      <c r="BO141" s="15">
        <v>1</v>
      </c>
      <c r="BP141" s="15">
        <v>1</v>
      </c>
      <c r="BQ141" s="15">
        <v>1</v>
      </c>
      <c r="BR141" s="15">
        <v>1</v>
      </c>
      <c r="BS141" s="15">
        <v>1</v>
      </c>
      <c r="BT141" s="15">
        <v>1</v>
      </c>
      <c r="BU141" s="15">
        <v>1</v>
      </c>
      <c r="BV141" s="15">
        <v>1</v>
      </c>
      <c r="BW141" s="15">
        <v>1</v>
      </c>
      <c r="BX141" s="15">
        <v>1</v>
      </c>
      <c r="BY141" s="15">
        <v>1</v>
      </c>
      <c r="BZ141" s="15">
        <v>1</v>
      </c>
      <c r="CA141" s="15">
        <v>1</v>
      </c>
      <c r="CB141" s="15">
        <v>1</v>
      </c>
      <c r="CC141" s="15">
        <v>1</v>
      </c>
      <c r="CD141" s="15">
        <v>1</v>
      </c>
      <c r="CE141" s="15">
        <v>1</v>
      </c>
      <c r="CF141" s="15">
        <v>1</v>
      </c>
      <c r="CG141" s="15">
        <v>1</v>
      </c>
      <c r="CH141" s="15">
        <v>1</v>
      </c>
      <c r="CI141" s="15">
        <v>1</v>
      </c>
      <c r="CJ141" s="15">
        <v>1</v>
      </c>
      <c r="CK141" s="15">
        <v>1</v>
      </c>
      <c r="CL141" s="15">
        <v>1</v>
      </c>
      <c r="CM141" s="15">
        <v>1</v>
      </c>
      <c r="CN141" s="15">
        <v>1</v>
      </c>
      <c r="CO141" s="15">
        <v>1</v>
      </c>
      <c r="CP141" s="15">
        <v>1</v>
      </c>
      <c r="CQ141" s="15">
        <v>1</v>
      </c>
      <c r="CR141" s="15">
        <v>1</v>
      </c>
      <c r="CS141" s="15">
        <v>1</v>
      </c>
      <c r="CT141" s="15">
        <v>1</v>
      </c>
      <c r="CU141" s="15">
        <v>1</v>
      </c>
      <c r="CV141" s="15">
        <v>1</v>
      </c>
      <c r="CW141" s="15">
        <v>1</v>
      </c>
      <c r="CX141" s="15">
        <v>1</v>
      </c>
      <c r="CY141" s="15">
        <v>1</v>
      </c>
      <c r="CZ141" s="15">
        <v>1</v>
      </c>
      <c r="DA141" s="15">
        <v>1</v>
      </c>
      <c r="DB141" s="15">
        <v>1</v>
      </c>
      <c r="DC141" s="15">
        <v>1</v>
      </c>
      <c r="DD141" s="15">
        <v>1</v>
      </c>
      <c r="DE141" s="15">
        <v>1</v>
      </c>
      <c r="DF141" s="15">
        <v>1</v>
      </c>
      <c r="DG141" s="15">
        <v>1</v>
      </c>
      <c r="DH141" s="15">
        <v>1</v>
      </c>
      <c r="DI141" s="15">
        <v>1</v>
      </c>
      <c r="DJ141" s="15">
        <v>1</v>
      </c>
      <c r="DK141" s="15">
        <v>1</v>
      </c>
      <c r="DL141" s="15">
        <v>1</v>
      </c>
      <c r="DM141" s="15">
        <v>1</v>
      </c>
      <c r="DN141" s="15">
        <v>1</v>
      </c>
      <c r="DO141" s="15">
        <v>1</v>
      </c>
      <c r="DP141" s="15">
        <v>1</v>
      </c>
      <c r="DQ141" s="15">
        <v>1</v>
      </c>
      <c r="DR141" s="15">
        <v>1</v>
      </c>
      <c r="DS141" s="15">
        <v>1</v>
      </c>
      <c r="DT141" s="15">
        <v>1</v>
      </c>
      <c r="DU141" s="15">
        <v>1</v>
      </c>
      <c r="DV141" s="15">
        <v>1</v>
      </c>
      <c r="DW141" s="15">
        <v>1</v>
      </c>
      <c r="DX141" s="15">
        <v>1</v>
      </c>
      <c r="DY141" s="15">
        <v>1</v>
      </c>
      <c r="DZ141" s="15">
        <v>1</v>
      </c>
      <c r="EA141" s="15">
        <v>1</v>
      </c>
      <c r="EB141" s="15">
        <v>1</v>
      </c>
      <c r="EC141" s="15">
        <v>1</v>
      </c>
      <c r="ED141" s="15">
        <v>1</v>
      </c>
      <c r="EE141" s="15">
        <v>1</v>
      </c>
      <c r="EF141" s="15">
        <v>1</v>
      </c>
      <c r="EG141" s="15">
        <v>1</v>
      </c>
      <c r="EH141" s="15">
        <v>1</v>
      </c>
      <c r="EI141" s="15">
        <v>1</v>
      </c>
      <c r="EJ141" s="15">
        <v>1</v>
      </c>
      <c r="EK141" s="15">
        <v>1</v>
      </c>
      <c r="EL141" s="15">
        <v>1</v>
      </c>
      <c r="EM141" s="15">
        <v>1</v>
      </c>
      <c r="EN141" s="15">
        <v>1</v>
      </c>
      <c r="EO141" s="15">
        <v>1</v>
      </c>
      <c r="EP141" s="15">
        <v>1</v>
      </c>
      <c r="EQ141" s="15">
        <v>1</v>
      </c>
      <c r="ER141" s="15">
        <v>1</v>
      </c>
      <c r="ES141" s="15">
        <v>1</v>
      </c>
      <c r="ET141" s="15">
        <v>1</v>
      </c>
      <c r="EU141" s="15">
        <v>1</v>
      </c>
      <c r="EV141" s="111">
        <v>1</v>
      </c>
      <c r="EW141" s="15">
        <v>1</v>
      </c>
      <c r="EX141" s="15">
        <v>1</v>
      </c>
      <c r="EY141" s="15">
        <v>1</v>
      </c>
      <c r="EZ141" s="15">
        <v>1</v>
      </c>
      <c r="FA141" s="15">
        <v>1</v>
      </c>
      <c r="FB141" s="15">
        <v>1</v>
      </c>
      <c r="FC141" s="15">
        <v>1</v>
      </c>
      <c r="FD141" s="15">
        <v>1</v>
      </c>
      <c r="FE141" s="15">
        <v>1</v>
      </c>
      <c r="FF141" s="15">
        <v>1</v>
      </c>
      <c r="FG141" s="15">
        <v>1</v>
      </c>
      <c r="FH141" s="15">
        <v>1</v>
      </c>
      <c r="FI141" s="15">
        <v>1</v>
      </c>
      <c r="FJ141" s="15">
        <v>1</v>
      </c>
      <c r="FK141" s="15">
        <v>1</v>
      </c>
      <c r="FL141" s="15">
        <v>1</v>
      </c>
      <c r="FM141" s="15">
        <v>1</v>
      </c>
      <c r="FN141" s="15">
        <v>1</v>
      </c>
      <c r="FO141" s="15">
        <v>1</v>
      </c>
      <c r="FP141" s="15">
        <v>1</v>
      </c>
      <c r="FQ141" s="15">
        <v>1</v>
      </c>
      <c r="FR141" s="15">
        <v>1</v>
      </c>
      <c r="FS141" s="15">
        <v>1</v>
      </c>
      <c r="FT141" s="15">
        <v>1</v>
      </c>
      <c r="FU141" s="15">
        <v>1</v>
      </c>
      <c r="FV141" s="15">
        <v>1</v>
      </c>
      <c r="FW141" s="15">
        <v>1</v>
      </c>
      <c r="FX141" s="15">
        <v>1</v>
      </c>
      <c r="FY141" s="15">
        <v>1</v>
      </c>
      <c r="FZ141" s="15">
        <v>1</v>
      </c>
      <c r="GA141" s="15">
        <v>1</v>
      </c>
      <c r="GB141" s="15">
        <v>1</v>
      </c>
      <c r="GC141" s="15">
        <v>1</v>
      </c>
      <c r="GD141" s="15">
        <v>1</v>
      </c>
      <c r="GE141" s="15">
        <v>1</v>
      </c>
      <c r="GF141" s="15">
        <v>1</v>
      </c>
      <c r="GG141" s="15">
        <v>1</v>
      </c>
      <c r="GH141" s="15">
        <v>1</v>
      </c>
      <c r="GI141" s="15">
        <v>1</v>
      </c>
      <c r="GJ141" s="15">
        <v>1</v>
      </c>
      <c r="GK141" s="15">
        <v>1</v>
      </c>
      <c r="GL141" s="15">
        <v>1</v>
      </c>
      <c r="GM141" s="15">
        <v>1</v>
      </c>
      <c r="GN141" s="15">
        <v>1</v>
      </c>
      <c r="GO141" s="15">
        <v>1</v>
      </c>
      <c r="GP141" s="15">
        <v>1</v>
      </c>
      <c r="GQ141" s="15">
        <v>1</v>
      </c>
      <c r="GR141" s="15">
        <v>1</v>
      </c>
      <c r="GS141" s="15">
        <v>1</v>
      </c>
      <c r="GT141" s="15">
        <v>1</v>
      </c>
      <c r="GU141" s="15">
        <v>1</v>
      </c>
      <c r="GV141" s="15">
        <v>1</v>
      </c>
      <c r="GW141" s="15">
        <v>1</v>
      </c>
      <c r="GX141" s="15">
        <v>1</v>
      </c>
      <c r="GY141" s="15">
        <v>1</v>
      </c>
      <c r="GZ141" s="15">
        <v>1</v>
      </c>
      <c r="HA141" s="15">
        <v>1</v>
      </c>
      <c r="HB141" s="15">
        <v>1</v>
      </c>
      <c r="HC141" s="15">
        <v>1</v>
      </c>
      <c r="HD141" s="15">
        <v>1</v>
      </c>
      <c r="HE141" s="15">
        <v>1</v>
      </c>
      <c r="HF141" s="15">
        <v>1</v>
      </c>
      <c r="HG141" s="15">
        <v>1</v>
      </c>
      <c r="HH141" s="15">
        <v>1</v>
      </c>
      <c r="HI141" s="15">
        <v>1</v>
      </c>
      <c r="HJ141" s="15">
        <v>1</v>
      </c>
      <c r="HK141" s="15">
        <v>1</v>
      </c>
      <c r="HL141" s="15">
        <v>1</v>
      </c>
      <c r="HM141" s="15">
        <v>1</v>
      </c>
      <c r="HN141" s="15">
        <v>1</v>
      </c>
      <c r="HO141" s="15">
        <v>1</v>
      </c>
      <c r="HP141" s="15">
        <v>1</v>
      </c>
      <c r="HQ141" s="15">
        <v>1</v>
      </c>
      <c r="HR141" s="15">
        <v>1</v>
      </c>
      <c r="HS141" s="15">
        <v>1</v>
      </c>
      <c r="HT141" s="15">
        <v>1</v>
      </c>
      <c r="HU141" s="15">
        <v>1</v>
      </c>
      <c r="HV141" s="15">
        <v>1</v>
      </c>
      <c r="HW141" s="15">
        <v>1</v>
      </c>
      <c r="HX141" s="15">
        <v>1</v>
      </c>
      <c r="HY141" s="15">
        <v>1</v>
      </c>
      <c r="HZ141" s="15">
        <v>1</v>
      </c>
      <c r="IA141" s="15">
        <v>1</v>
      </c>
      <c r="IB141" s="15">
        <v>1</v>
      </c>
      <c r="IC141" s="15">
        <v>1</v>
      </c>
      <c r="ID141" s="15">
        <v>1</v>
      </c>
      <c r="IE141" s="15">
        <v>1</v>
      </c>
      <c r="IF141" s="15">
        <v>1</v>
      </c>
      <c r="IG141" s="15">
        <v>1</v>
      </c>
      <c r="IH141" s="15">
        <v>1</v>
      </c>
      <c r="II141" s="15">
        <v>1</v>
      </c>
      <c r="IJ141" s="15">
        <v>1</v>
      </c>
      <c r="IK141" s="15">
        <v>1</v>
      </c>
      <c r="IL141" s="15">
        <v>1</v>
      </c>
      <c r="IM141" s="15">
        <v>1</v>
      </c>
      <c r="IN141" s="15">
        <v>1</v>
      </c>
      <c r="IO141" s="15">
        <v>1</v>
      </c>
      <c r="IP141" s="15">
        <v>1</v>
      </c>
      <c r="IQ141" s="15">
        <v>1</v>
      </c>
      <c r="IR141" s="15">
        <v>1</v>
      </c>
    </row>
    <row r="142" spans="1:252">
      <c r="A142" s="89" t="s">
        <v>513</v>
      </c>
      <c r="B142" s="90">
        <v>10</v>
      </c>
      <c r="C142" s="5" t="s">
        <v>66</v>
      </c>
      <c r="D142" s="91">
        <v>33140</v>
      </c>
      <c r="E142" s="91" t="s">
        <v>329</v>
      </c>
      <c r="F142" s="92" t="s">
        <v>72</v>
      </c>
      <c r="G142" s="91" t="s">
        <v>50</v>
      </c>
      <c r="H142" s="91" t="s">
        <v>31</v>
      </c>
      <c r="I142" s="91" t="s">
        <v>124</v>
      </c>
      <c r="J142" s="91" t="s">
        <v>57</v>
      </c>
      <c r="K142" s="91">
        <v>1279</v>
      </c>
      <c r="L142" s="77" t="s">
        <v>189</v>
      </c>
      <c r="M142" s="91" t="s">
        <v>17</v>
      </c>
      <c r="N142" s="91" t="s">
        <v>48</v>
      </c>
      <c r="O142" s="91" t="s">
        <v>192</v>
      </c>
      <c r="P142" s="89" t="s">
        <v>219</v>
      </c>
      <c r="Q142" s="91" t="s">
        <v>289</v>
      </c>
      <c r="R142" s="91" t="s">
        <v>262</v>
      </c>
      <c r="S142" s="82">
        <v>1083</v>
      </c>
      <c r="T142" s="82">
        <v>1384828</v>
      </c>
      <c r="U142" s="81">
        <v>19</v>
      </c>
      <c r="V142" s="81">
        <v>38</v>
      </c>
      <c r="W142" s="82">
        <v>1167208</v>
      </c>
      <c r="X142" s="112">
        <v>58</v>
      </c>
      <c r="Y142" s="112" t="s">
        <v>48</v>
      </c>
      <c r="Z142" s="113">
        <v>10</v>
      </c>
      <c r="AA142" s="113">
        <v>0</v>
      </c>
      <c r="AB142" s="113">
        <v>4</v>
      </c>
      <c r="AC142" s="99">
        <f>86610/X142</f>
        <v>1493.2758620689656</v>
      </c>
      <c r="AD142" s="99">
        <v>0</v>
      </c>
      <c r="AE142" s="99">
        <f t="shared" si="61"/>
        <v>1493.2758620689656</v>
      </c>
      <c r="AF142" s="98">
        <f>(AB142+AA142+Z142)*'Ставки аренды'!$B$6/X142</f>
        <v>386.20689655172413</v>
      </c>
      <c r="AG142" s="94">
        <v>0</v>
      </c>
      <c r="AH142" s="94">
        <v>0</v>
      </c>
      <c r="AI142" s="115">
        <f t="shared" si="62"/>
        <v>129719.34999999999</v>
      </c>
      <c r="AJ142" s="117">
        <f>Цены!C35*'Курсы валют'!B2</f>
        <v>152611</v>
      </c>
      <c r="AK142" s="94">
        <f>AJ142/Цены!$B$1</f>
        <v>2000.0000000000002</v>
      </c>
      <c r="AL142" s="95">
        <f t="shared" si="54"/>
        <v>1879.4827586206898</v>
      </c>
      <c r="AM142" s="95">
        <f t="shared" si="55"/>
        <v>150731.5172413793</v>
      </c>
      <c r="AN142" s="94">
        <f t="shared" si="52"/>
        <v>131598.83275862067</v>
      </c>
      <c r="AO142" s="118">
        <f t="shared" si="53"/>
        <v>0.13768448697262536</v>
      </c>
      <c r="AP142" s="96">
        <f t="shared" si="56"/>
        <v>1.2315513027374762E-2</v>
      </c>
      <c r="AQ142" s="96">
        <f t="shared" si="57"/>
        <v>9.7848507779187965E-3</v>
      </c>
      <c r="AR142" s="96">
        <f t="shared" si="58"/>
        <v>0.79451426474635356</v>
      </c>
      <c r="AS142" s="122">
        <v>1</v>
      </c>
      <c r="AT142" s="121">
        <f t="shared" si="45"/>
        <v>1083</v>
      </c>
      <c r="AU142" s="83">
        <v>1</v>
      </c>
      <c r="AV142" s="119">
        <f t="shared" si="41"/>
        <v>0.13651030487927504</v>
      </c>
      <c r="AW142" s="120">
        <f t="shared" si="42"/>
        <v>1.3489695120725018E-2</v>
      </c>
      <c r="AX142" s="120">
        <f t="shared" si="43"/>
        <v>1.0959032871269054E-2</v>
      </c>
      <c r="AY142" s="120">
        <f t="shared" si="44"/>
        <v>0.81240033767939224</v>
      </c>
      <c r="AZ142" s="15">
        <f>MIN(IF($AU142=100%,1,1+VLOOKUP(($AJ142-$AI142-$AH142-$AG142-$AF142-$AE142*(1+AZ$3))/$AJ142,'Технический лист'!$I:$J,2,1)-VLOOKUP($AO142,'Технический лист'!$I:$J,2,1)),1+(1-$AU142))</f>
        <v>1</v>
      </c>
      <c r="BA142" s="15">
        <f>MIN(IF($AU142=100%,1,1+VLOOKUP(($AJ142-$AI142-$AH142-$AG142-$AF142-$AE142*(1+BA$3))/$AJ142,'Технический лист'!$I:$J,2,1)-VLOOKUP($AO142,'Технический лист'!$I:$J,2,1)),1+(1-$AU142))</f>
        <v>1</v>
      </c>
      <c r="BB142" s="15">
        <f>MIN(IF($AU142=100%,1,1+VLOOKUP(($AJ142-$AI142-$AH142-$AG142-$AF142-$AE142*(1+BB$3))/$AJ142,'Технический лист'!$I:$J,2,1)-VLOOKUP($AO142,'Технический лист'!$I:$J,2,1)),1+(1-$AU142))</f>
        <v>1</v>
      </c>
      <c r="BC142" s="15">
        <f>MIN(IF($AU142=100%,1,1+VLOOKUP(($AJ142-$AI142-$AH142-$AG142-$AF142-$AE142*(1+BC$3))/$AJ142,'Технический лист'!$I:$J,2,1)-VLOOKUP($AO142,'Технический лист'!$I:$J,2,1)),1+(1-$AU142))</f>
        <v>1</v>
      </c>
      <c r="BD142" s="15">
        <f>MIN(IF($AU142=100%,1,1+VLOOKUP(($AJ142-$AI142-$AH142-$AG142-$AF142-$AE142*(1+BD$3))/$AJ142,'Технический лист'!$I:$J,2,1)-VLOOKUP($AO142,'Технический лист'!$I:$J,2,1)),1+(1-$AU142))</f>
        <v>1</v>
      </c>
      <c r="BE142" s="15">
        <f>MIN(IF($AU142=100%,1,1+VLOOKUP(($AJ142-$AI142-$AH142-$AG142-$AF142-$AE142*(1+BE$3))/$AJ142,'Технический лист'!$I:$J,2,1)-VLOOKUP($AO142,'Технический лист'!$I:$J,2,1)),1+(1-$AU142))</f>
        <v>1</v>
      </c>
      <c r="BF142" s="15">
        <f>MIN(IF($AU142=100%,1,1+VLOOKUP(($AJ142-$AI142-$AH142-$AG142-$AF142-$AE142*(1+BF$3))/$AJ142,'Технический лист'!$I:$J,2,1)-VLOOKUP($AO142,'Технический лист'!$I:$J,2,1)),1+(1-$AU142))</f>
        <v>1</v>
      </c>
      <c r="BG142" s="15">
        <f>MIN(IF($AU142=100%,1,1+VLOOKUP(($AJ142-$AI142-$AH142-$AG142-$AF142-$AE142*(1+BG$3))/$AJ142,'Технический лист'!$I:$J,2,1)-VLOOKUP($AO142,'Технический лист'!$I:$J,2,1)),1+(1-$AU142))</f>
        <v>1</v>
      </c>
      <c r="BH142" s="15">
        <f>MIN(IF($AU142=100%,1,1+VLOOKUP(($AJ142-$AI142-$AH142-$AG142-$AF142-$AE142*(1+BH$3))/$AJ142,'Технический лист'!$I:$J,2,1)-VLOOKUP($AO142,'Технический лист'!$I:$J,2,1)),1+(1-$AU142))</f>
        <v>1</v>
      </c>
      <c r="BI142" s="15">
        <f>MIN(IF($AU142=100%,1,1+VLOOKUP(($AJ142-$AI142-$AH142-$AG142-$AF142-$AE142*(1+BI$3))/$AJ142,'Технический лист'!$I:$J,2,1)-VLOOKUP($AO142,'Технический лист'!$I:$J,2,1)),1+(1-$AU142))</f>
        <v>1</v>
      </c>
      <c r="BJ142" s="15">
        <f>MIN(IF($AU142=100%,1,1+VLOOKUP(($AJ142-$AI142-$AH142-$AG142-$AF142-$AE142*(1+BJ$3))/$AJ142,'Технический лист'!$I:$J,2,1)-VLOOKUP($AO142,'Технический лист'!$I:$J,2,1)),1+(1-$AU142))</f>
        <v>1</v>
      </c>
      <c r="BK142" s="15">
        <f>MIN(IF($AU142=100%,1,1+VLOOKUP(($AJ142-$AI142-$AH142-$AG142-$AF142-$AE142*(1+BK$3))/$AJ142,'Технический лист'!$I:$J,2,1)-VLOOKUP($AO142,'Технический лист'!$I:$J,2,1)),1+(1-$AU142))</f>
        <v>1</v>
      </c>
      <c r="BL142" s="15">
        <f>MIN(IF($AU142=100%,1,1+VLOOKUP(($AJ142-$AI142-$AH142-$AG142-$AF142-$AE142*(1+BL$3))/$AJ142,'Технический лист'!$I:$J,2,1)-VLOOKUP($AO142,'Технический лист'!$I:$J,2,1)),1+(1-$AU142))</f>
        <v>1</v>
      </c>
      <c r="BM142" s="15">
        <f>MIN(IF($AU142=100%,1,1+VLOOKUP(($AJ142-$AI142-$AH142-$AG142-$AF142-$AE142*(1+BM$3))/$AJ142,'Технический лист'!$I:$J,2,1)-VLOOKUP($AO142,'Технический лист'!$I:$J,2,1)),1+(1-$AU142))</f>
        <v>1</v>
      </c>
      <c r="BN142" s="15">
        <f>MIN(IF($AU142=100%,1,1+VLOOKUP(($AJ142-$AI142-$AH142-$AG142-$AF142-$AE142*(1+BN$3))/$AJ142,'Технический лист'!$I:$J,2,1)-VLOOKUP($AO142,'Технический лист'!$I:$J,2,1)),1+(1-$AU142))</f>
        <v>1</v>
      </c>
      <c r="BO142" s="15">
        <f>MIN(IF($AU142=100%,1,1+VLOOKUP(($AJ142-$AI142-$AH142-$AG142-$AF142-$AE142*(1+BO$3))/$AJ142,'Технический лист'!$I:$J,2,1)-VLOOKUP($AO142,'Технический лист'!$I:$J,2,1)),1+(1-$AU142))</f>
        <v>1</v>
      </c>
      <c r="BP142" s="15">
        <f>MIN(IF($AU142=100%,1,1+VLOOKUP(($AJ142-$AI142-$AH142-$AG142-$AF142-$AE142*(1+BP$3))/$AJ142,'Технический лист'!$I:$J,2,1)-VLOOKUP($AO142,'Технический лист'!$I:$J,2,1)),1+(1-$AU142))</f>
        <v>1</v>
      </c>
      <c r="BQ142" s="15">
        <f>MIN(IF($AU142=100%,1,1+VLOOKUP(($AJ142-$AI142-$AH142-$AG142-$AF142-$AE142*(1+BQ$3))/$AJ142,'Технический лист'!$I:$J,2,1)-VLOOKUP($AO142,'Технический лист'!$I:$J,2,1)),1+(1-$AU142))</f>
        <v>1</v>
      </c>
      <c r="BR142" s="15">
        <f>MIN(IF($AU142=100%,1,1+VLOOKUP(($AJ142-$AI142-$AH142-$AG142-$AF142-$AE142*(1+BR$3))/$AJ142,'Технический лист'!$I:$J,2,1)-VLOOKUP($AO142,'Технический лист'!$I:$J,2,1)),1+(1-$AU142))</f>
        <v>1</v>
      </c>
      <c r="BS142" s="15">
        <f>MIN(IF($AU142=100%,1,1+VLOOKUP(($AJ142-$AI142-$AH142-$AG142-$AF142-$AE142*(1+BS$3))/$AJ142,'Технический лист'!$I:$J,2,1)-VLOOKUP($AO142,'Технический лист'!$I:$J,2,1)),1+(1-$AU142))</f>
        <v>1</v>
      </c>
      <c r="BT142" s="15">
        <f>MIN(IF($AU142=100%,1,1+VLOOKUP(($AJ142-$AI142-$AH142-$AG142-$AF142-$AE142*(1+BT$3))/$AJ142,'Технический лист'!$I:$J,2,1)-VLOOKUP($AO142,'Технический лист'!$I:$J,2,1)),1+(1-$AU142))</f>
        <v>1</v>
      </c>
      <c r="BU142" s="15">
        <f>MIN(IF($AU142=100%,1,1+VLOOKUP(($AJ142-$AI142-$AH142-$AG142-$AF142-$AE142*(1+BU$3))/$AJ142,'Технический лист'!$I:$J,2,1)-VLOOKUP($AO142,'Технический лист'!$I:$J,2,1)),1+(1-$AU142))</f>
        <v>1</v>
      </c>
      <c r="BV142" s="15">
        <f>MIN(IF($AU142=100%,1,1+VLOOKUP(($AJ142-$AI142-$AH142-$AG142-$AF142-$AE142*(1+BV$3))/$AJ142,'Технический лист'!$I:$J,2,1)-VLOOKUP($AO142,'Технический лист'!$I:$J,2,1)),1+(1-$AU142))</f>
        <v>1</v>
      </c>
      <c r="BW142" s="15">
        <f>MIN(IF($AU142=100%,1,1+VLOOKUP(($AJ142-$AI142-$AH142-$AG142-$AF142-$AE142*(1+BW$3))/$AJ142,'Технический лист'!$I:$J,2,1)-VLOOKUP($AO142,'Технический лист'!$I:$J,2,1)),1+(1-$AU142))</f>
        <v>1</v>
      </c>
      <c r="BX142" s="15">
        <f>MIN(IF($AU142=100%,1,1+VLOOKUP(($AJ142-$AI142-$AH142-$AG142-$AF142-$AE142*(1+BX$3))/$AJ142,'Технический лист'!$I:$J,2,1)-VLOOKUP($AO142,'Технический лист'!$I:$J,2,1)),1+(1-$AU142))</f>
        <v>1</v>
      </c>
      <c r="BY142" s="15">
        <f>MIN(IF($AU142=100%,1,1+VLOOKUP(($AJ142-$AI142-$AH142-$AG142-$AF142-$AE142*(1+BY$3))/$AJ142,'Технический лист'!$I:$J,2,1)-VLOOKUP($AO142,'Технический лист'!$I:$J,2,1)),1+(1-$AU142))</f>
        <v>1</v>
      </c>
      <c r="BZ142" s="15">
        <f>MIN(IF($AU142=100%,1,1+VLOOKUP(($AJ142-$AI142-$AH142-$AG142-$AF142-$AE142*(1+BZ$3))/$AJ142,'Технический лист'!$I:$J,2,1)-VLOOKUP($AO142,'Технический лист'!$I:$J,2,1)),1+(1-$AU142))</f>
        <v>1</v>
      </c>
      <c r="CA142" s="15">
        <f>MIN(IF($AU142=100%,1,1+VLOOKUP(($AJ142-$AI142-$AH142-$AG142-$AF142-$AE142*(1+CA$3))/$AJ142,'Технический лист'!$I:$J,2,1)-VLOOKUP($AO142,'Технический лист'!$I:$J,2,1)),1+(1-$AU142))</f>
        <v>1</v>
      </c>
      <c r="CB142" s="15">
        <f>MIN(IF($AU142=100%,1,1+VLOOKUP(($AJ142-$AI142-$AH142-$AG142-$AF142-$AE142*(1+CB$3))/$AJ142,'Технический лист'!$I:$J,2,1)-VLOOKUP($AO142,'Технический лист'!$I:$J,2,1)),1+(1-$AU142))</f>
        <v>1</v>
      </c>
      <c r="CC142" s="15">
        <f>MIN(IF($AU142=100%,1,1+VLOOKUP(($AJ142-$AI142-$AH142-$AG142-$AF142-$AE142*(1+CC$3))/$AJ142,'Технический лист'!$I:$J,2,1)-VLOOKUP($AO142,'Технический лист'!$I:$J,2,1)),1+(1-$AU142))</f>
        <v>1</v>
      </c>
      <c r="CD142" s="15">
        <f>MIN(IF($AU142=100%,1,1+VLOOKUP(($AJ142-$AI142-$AH142-$AG142-$AF142-$AE142*(1+CD$3))/$AJ142,'Технический лист'!$I:$J,2,1)-VLOOKUP($AO142,'Технический лист'!$I:$J,2,1)),1+(1-$AU142))</f>
        <v>1</v>
      </c>
      <c r="CE142" s="15">
        <f>MIN(IF($AU142=100%,1,1+VLOOKUP(($AJ142-$AI142-$AH142-$AG142-$AF142-$AE142*(1+CE$3))/$AJ142,'Технический лист'!$I:$J,2,1)-VLOOKUP($AO142,'Технический лист'!$I:$J,2,1)),1+(1-$AU142))</f>
        <v>1</v>
      </c>
      <c r="CF142" s="15">
        <f>MIN(IF($AU142=100%,1,1+VLOOKUP(($AJ142-$AI142-$AH142-$AG142-$AF142-$AE142*(1+CF$3))/$AJ142,'Технический лист'!$I:$J,2,1)-VLOOKUP($AO142,'Технический лист'!$I:$J,2,1)),1+(1-$AU142))</f>
        <v>1</v>
      </c>
      <c r="CG142" s="15">
        <f>MIN(IF($AU142=100%,1,1+VLOOKUP(($AJ142-$AI142-$AH142-$AG142-$AF142-$AE142*(1+CG$3))/$AJ142,'Технический лист'!$I:$J,2,1)-VLOOKUP($AO142,'Технический лист'!$I:$J,2,1)),1+(1-$AU142))</f>
        <v>1</v>
      </c>
      <c r="CH142" s="15">
        <f>MIN(IF($AU142=100%,1,1+VLOOKUP(($AJ142-$AI142-$AH142-$AG142-$AF142-$AE142*(1+CH$3))/$AJ142,'Технический лист'!$I:$J,2,1)-VLOOKUP($AO142,'Технический лист'!$I:$J,2,1)),1+(1-$AU142))</f>
        <v>1</v>
      </c>
      <c r="CI142" s="15">
        <f>MIN(IF($AU142=100%,1,1+VLOOKUP(($AJ142-$AI142-$AH142-$AG142-$AF142-$AE142*(1+CI$3))/$AJ142,'Технический лист'!$I:$J,2,1)-VLOOKUP($AO142,'Технический лист'!$I:$J,2,1)),1+(1-$AU142))</f>
        <v>1</v>
      </c>
      <c r="CJ142" s="15">
        <f>MIN(IF($AU142=100%,1,1+VLOOKUP(($AJ142-$AI142-$AH142-$AG142-$AF142-$AE142*(1+CJ$3))/$AJ142,'Технический лист'!$I:$J,2,1)-VLOOKUP($AO142,'Технический лист'!$I:$J,2,1)),1+(1-$AU142))</f>
        <v>1</v>
      </c>
      <c r="CK142" s="15">
        <f>MIN(IF($AU142=100%,1,1+VLOOKUP(($AJ142-$AI142-$AH142-$AG142-$AF142-$AE142*(1+CK$3))/$AJ142,'Технический лист'!$I:$J,2,1)-VLOOKUP($AO142,'Технический лист'!$I:$J,2,1)),1+(1-$AU142))</f>
        <v>1</v>
      </c>
      <c r="CL142" s="15">
        <f>MIN(IF($AU142=100%,1,1+VLOOKUP(($AJ142-$AI142-$AH142-$AG142-$AF142-$AE142*(1+CL$3))/$AJ142,'Технический лист'!$I:$J,2,1)-VLOOKUP($AO142,'Технический лист'!$I:$J,2,1)),1+(1-$AU142))</f>
        <v>1</v>
      </c>
      <c r="CM142" s="15">
        <f>MIN(IF($AU142=100%,1,1+VLOOKUP(($AJ142-$AI142-$AH142-$AG142-$AF142-$AE142*(1+CM$3))/$AJ142,'Технический лист'!$I:$J,2,1)-VLOOKUP($AO142,'Технический лист'!$I:$J,2,1)),1+(1-$AU142))</f>
        <v>1</v>
      </c>
      <c r="CN142" s="15">
        <f>MIN(IF($AU142=100%,1,1+VLOOKUP(($AJ142-$AI142-$AH142-$AG142-$AF142-$AE142*(1+CN$3))/$AJ142,'Технический лист'!$I:$J,2,1)-VLOOKUP($AO142,'Технический лист'!$I:$J,2,1)),1+(1-$AU142))</f>
        <v>1</v>
      </c>
      <c r="CO142" s="15">
        <f>MIN(IF($AU142=100%,1,1+VLOOKUP(($AJ142-$AI142-$AH142-$AG142-$AF142-$AE142*(1+CO$3))/$AJ142,'Технический лист'!$I:$J,2,1)-VLOOKUP($AO142,'Технический лист'!$I:$J,2,1)),1+(1-$AU142))</f>
        <v>1</v>
      </c>
      <c r="CP142" s="15">
        <f>MIN(IF($AU142=100%,1,1+VLOOKUP(($AJ142-$AI142-$AH142-$AG142-$AF142-$AE142*(1+CP$3))/$AJ142,'Технический лист'!$I:$J,2,1)-VLOOKUP($AO142,'Технический лист'!$I:$J,2,1)),1+(1-$AU142))</f>
        <v>1</v>
      </c>
      <c r="CQ142" s="15">
        <f>MIN(IF($AU142=100%,1,1+VLOOKUP(($AJ142-$AI142-$AH142-$AG142-$AF142-$AE142*(1+CQ$3))/$AJ142,'Технический лист'!$I:$J,2,1)-VLOOKUP($AO142,'Технический лист'!$I:$J,2,1)),1+(1-$AU142))</f>
        <v>1</v>
      </c>
      <c r="CR142" s="15">
        <f>MIN(IF($AU142=100%,1,1+VLOOKUP(($AJ142-$AI142-$AH142-$AG142-$AF142-$AE142*(1+CR$3))/$AJ142,'Технический лист'!$I:$J,2,1)-VLOOKUP($AO142,'Технический лист'!$I:$J,2,1)),1+(1-$AU142))</f>
        <v>1</v>
      </c>
      <c r="CS142" s="15">
        <f>MIN(IF($AU142=100%,1,1+VLOOKUP(($AJ142-$AI142-$AH142-$AG142-$AF142-$AE142*(1+CS$3))/$AJ142,'Технический лист'!$I:$J,2,1)-VLOOKUP($AO142,'Технический лист'!$I:$J,2,1)),1+(1-$AU142))</f>
        <v>1</v>
      </c>
      <c r="CT142" s="15">
        <f>MIN(IF($AU142=100%,1,1+VLOOKUP(($AJ142-$AI142-$AH142-$AG142-$AF142-$AE142*(1+CT$3))/$AJ142,'Технический лист'!$I:$J,2,1)-VLOOKUP($AO142,'Технический лист'!$I:$J,2,1)),1+(1-$AU142))</f>
        <v>1</v>
      </c>
      <c r="CU142" s="15">
        <f>MIN(IF($AU142=100%,1,1+VLOOKUP(($AJ142-$AI142-$AH142-$AG142-$AF142-$AE142*(1+CU$3))/$AJ142,'Технический лист'!$I:$J,2,1)-VLOOKUP($AO142,'Технический лист'!$I:$J,2,1)),1+(1-$AU142))</f>
        <v>1</v>
      </c>
      <c r="CV142" s="15">
        <f>MIN(IF($AU142=100%,1,1+VLOOKUP(($AJ142-$AI142-$AH142-$AG142-$AF142-$AE142*(1+CV$3))/$AJ142,'Технический лист'!$I:$J,2,1)-VLOOKUP($AO142,'Технический лист'!$I:$J,2,1)),1+(1-$AU142))</f>
        <v>1</v>
      </c>
      <c r="CW142" s="15">
        <f>MIN(IF($AU142=100%,1,1+VLOOKUP(($AJ142-$AI142-$AH142-$AG142-$AF142-$AE142*(1+CW$3))/$AJ142,'Технический лист'!$I:$J,2,1)-VLOOKUP($AO142,'Технический лист'!$I:$J,2,1)),1+(1-$AU142))</f>
        <v>1</v>
      </c>
      <c r="CX142" s="15">
        <f>MIN(IF($AU142=100%,1,1+VLOOKUP(($AJ142-$AI142-$AH142-$AG142-$AF142-$AE142*(1+CX$3))/$AJ142,'Технический лист'!$I:$J,2,1)-VLOOKUP($AO142,'Технический лист'!$I:$J,2,1)),1+(1-$AU142))</f>
        <v>1</v>
      </c>
      <c r="CY142" s="15">
        <f>MIN(IF($AU142=100%,1,1+VLOOKUP(($AJ142-$AI142-$AH142-$AG142-$AF142-$AE142*(1+CY$3))/$AJ142,'Технический лист'!$I:$J,2,1)-VLOOKUP($AO142,'Технический лист'!$I:$J,2,1)),1+(1-$AU142))</f>
        <v>1</v>
      </c>
      <c r="CZ142" s="15">
        <f>MIN(IF($AU142=100%,1,1+VLOOKUP(($AJ142-$AI142-$AH142-$AG142-$AF142-$AE142*(1+CZ$3))/$AJ142,'Технический лист'!$I:$J,2,1)-VLOOKUP($AO142,'Технический лист'!$I:$J,2,1)),1+(1-$AU142))</f>
        <v>1</v>
      </c>
      <c r="DA142" s="15">
        <f>MIN(IF($AU142=100%,1,1+VLOOKUP(($AJ142-$AI142-$AH142-$AG142-$AF142-$AE142*(1+DA$3))/$AJ142,'Технический лист'!$I:$J,2,1)-VLOOKUP($AO142,'Технический лист'!$I:$J,2,1)),1+(1-$AU142))</f>
        <v>1</v>
      </c>
      <c r="DB142" s="15">
        <f>MIN(IF($AU142=100%,1,1+VLOOKUP(($AJ142-$AI142-$AH142-$AG142-$AF142-$AE142*(1+DB$3))/$AJ142,'Технический лист'!$I:$J,2,1)-VLOOKUP($AO142,'Технический лист'!$I:$J,2,1)),1+(1-$AU142))</f>
        <v>1</v>
      </c>
      <c r="DC142" s="15">
        <f>MIN(IF($AU142=100%,1,1+VLOOKUP(($AJ142-$AI142-$AH142-$AG142-$AF142-$AE142*(1+DC$3))/$AJ142,'Технический лист'!$I:$J,2,1)-VLOOKUP($AO142,'Технический лист'!$I:$J,2,1)),1+(1-$AU142))</f>
        <v>1</v>
      </c>
      <c r="DD142" s="15">
        <f>MIN(IF($AU142=100%,1,1+VLOOKUP(($AJ142-$AI142-$AH142-$AG142-$AF142-$AE142*(1+DD$3))/$AJ142,'Технический лист'!$I:$J,2,1)-VLOOKUP($AO142,'Технический лист'!$I:$J,2,1)),1+(1-$AU142))</f>
        <v>1</v>
      </c>
      <c r="DE142" s="15">
        <f>MIN(IF($AU142=100%,1,1+VLOOKUP(($AJ142-$AI142-$AH142-$AG142-$AF142-$AE142*(1+DE$3))/$AJ142,'Технический лист'!$I:$J,2,1)-VLOOKUP($AO142,'Технический лист'!$I:$J,2,1)),1+(1-$AU142))</f>
        <v>1</v>
      </c>
      <c r="DF142" s="15">
        <f>MIN(IF($AU142=100%,1,1+VLOOKUP(($AJ142-$AI142-$AH142-$AG142-$AF142-$AE142*(1+DF$3))/$AJ142,'Технический лист'!$I:$J,2,1)-VLOOKUP($AO142,'Технический лист'!$I:$J,2,1)),1+(1-$AU142))</f>
        <v>1</v>
      </c>
      <c r="DG142" s="15">
        <f>MIN(IF($AU142=100%,1,1+VLOOKUP(($AJ142-$AI142-$AH142-$AG142-$AF142-$AE142*(1+DG$3))/$AJ142,'Технический лист'!$I:$J,2,1)-VLOOKUP($AO142,'Технический лист'!$I:$J,2,1)),1+(1-$AU142))</f>
        <v>1</v>
      </c>
      <c r="DH142" s="15">
        <f>MIN(IF($AU142=100%,1,1+VLOOKUP(($AJ142-$AI142-$AH142-$AG142-$AF142-$AE142*(1+DH$3))/$AJ142,'Технический лист'!$I:$J,2,1)-VLOOKUP($AO142,'Технический лист'!$I:$J,2,1)),1+(1-$AU142))</f>
        <v>1</v>
      </c>
      <c r="DI142" s="15">
        <f>MIN(IF($AU142=100%,1,1+VLOOKUP(($AJ142-$AI142-$AH142-$AG142-$AF142-$AE142*(1+DI$3))/$AJ142,'Технический лист'!$I:$J,2,1)-VLOOKUP($AO142,'Технический лист'!$I:$J,2,1)),1+(1-$AU142))</f>
        <v>1</v>
      </c>
      <c r="DJ142" s="15">
        <f>MIN(IF($AU142=100%,1,1+VLOOKUP(($AJ142-$AI142-$AH142-$AG142-$AF142-$AE142*(1+DJ$3))/$AJ142,'Технический лист'!$I:$J,2,1)-VLOOKUP($AO142,'Технический лист'!$I:$J,2,1)),1+(1-$AU142))</f>
        <v>1</v>
      </c>
      <c r="DK142" s="15">
        <f>MIN(IF($AU142=100%,1,1+VLOOKUP(($AJ142-$AI142-$AH142-$AG142-$AF142-$AE142*(1+DK$3))/$AJ142,'Технический лист'!$I:$J,2,1)-VLOOKUP($AO142,'Технический лист'!$I:$J,2,1)),1+(1-$AU142))</f>
        <v>1</v>
      </c>
      <c r="DL142" s="15">
        <f>MIN(IF($AU142=100%,1,1+VLOOKUP(($AJ142-$AI142-$AH142-$AG142-$AF142-$AE142*(1+DL$3))/$AJ142,'Технический лист'!$I:$J,2,1)-VLOOKUP($AO142,'Технический лист'!$I:$J,2,1)),1+(1-$AU142))</f>
        <v>1</v>
      </c>
      <c r="DM142" s="15">
        <f>MIN(IF($AU142=100%,1,1+VLOOKUP(($AJ142-$AI142-$AH142-$AG142-$AF142-$AE142*(1+DM$3))/$AJ142,'Технический лист'!$I:$J,2,1)-VLOOKUP($AO142,'Технический лист'!$I:$J,2,1)),1+(1-$AU142))</f>
        <v>1</v>
      </c>
      <c r="DN142" s="15">
        <f>MIN(IF($AU142=100%,1,1+VLOOKUP(($AJ142-$AI142-$AH142-$AG142-$AF142-$AE142*(1+DN$3))/$AJ142,'Технический лист'!$I:$J,2,1)-VLOOKUP($AO142,'Технический лист'!$I:$J,2,1)),1+(1-$AU142))</f>
        <v>1</v>
      </c>
      <c r="DO142" s="15">
        <f>MIN(IF($AU142=100%,1,1+VLOOKUP(($AJ142-$AI142-$AH142-$AG142-$AF142-$AE142*(1+DO$3))/$AJ142,'Технический лист'!$I:$J,2,1)-VLOOKUP($AO142,'Технический лист'!$I:$J,2,1)),1+(1-$AU142))</f>
        <v>1</v>
      </c>
      <c r="DP142" s="15">
        <f>MIN(IF($AU142=100%,1,1+VLOOKUP(($AJ142-$AI142-$AH142-$AG142-$AF142-$AE142*(1+DP$3))/$AJ142,'Технический лист'!$I:$J,2,1)-VLOOKUP($AO142,'Технический лист'!$I:$J,2,1)),1+(1-$AU142))</f>
        <v>1</v>
      </c>
      <c r="DQ142" s="15">
        <f>MIN(IF($AU142=100%,1,1+VLOOKUP(($AJ142-$AI142-$AH142-$AG142-$AF142-$AE142*(1+DQ$3))/$AJ142,'Технический лист'!$I:$J,2,1)-VLOOKUP($AO142,'Технический лист'!$I:$J,2,1)),1+(1-$AU142))</f>
        <v>1</v>
      </c>
      <c r="DR142" s="15">
        <f>MIN(IF($AU142=100%,1,1+VLOOKUP(($AJ142-$AI142-$AH142-$AG142-$AF142-$AE142*(1+DR$3))/$AJ142,'Технический лист'!$I:$J,2,1)-VLOOKUP($AO142,'Технический лист'!$I:$J,2,1)),1+(1-$AU142))</f>
        <v>1</v>
      </c>
      <c r="DS142" s="15">
        <f>MIN(IF($AU142=100%,1,1+VLOOKUP(($AJ142-$AI142-$AH142-$AG142-$AF142-$AE142*(1+DS$3))/$AJ142,'Технический лист'!$I:$J,2,1)-VLOOKUP($AO142,'Технический лист'!$I:$J,2,1)),1+(1-$AU142))</f>
        <v>1</v>
      </c>
      <c r="DT142" s="15">
        <f>MIN(IF($AU142=100%,1,1+VLOOKUP(($AJ142-$AI142-$AH142-$AG142-$AF142-$AE142*(1+DT$3))/$AJ142,'Технический лист'!$I:$J,2,1)-VLOOKUP($AO142,'Технический лист'!$I:$J,2,1)),1+(1-$AU142))</f>
        <v>1</v>
      </c>
      <c r="DU142" s="15">
        <f>MIN(IF($AU142=100%,1,1+VLOOKUP(($AJ142-$AI142-$AH142-$AG142-$AF142-$AE142*(1+DU$3))/$AJ142,'Технический лист'!$I:$J,2,1)-VLOOKUP($AO142,'Технический лист'!$I:$J,2,1)),1+(1-$AU142))</f>
        <v>1</v>
      </c>
      <c r="DV142" s="15">
        <f>MIN(IF($AU142=100%,1,1+VLOOKUP(($AJ142-$AI142-$AH142-$AG142-$AF142-$AE142*(1+DV$3))/$AJ142,'Технический лист'!$I:$J,2,1)-VLOOKUP($AO142,'Технический лист'!$I:$J,2,1)),1+(1-$AU142))</f>
        <v>1</v>
      </c>
      <c r="DW142" s="15">
        <f>MIN(IF($AU142=100%,1,1+VLOOKUP(($AJ142-$AI142-$AH142-$AG142-$AF142-$AE142*(1+DW$3))/$AJ142,'Технический лист'!$I:$J,2,1)-VLOOKUP($AO142,'Технический лист'!$I:$J,2,1)),1+(1-$AU142))</f>
        <v>1</v>
      </c>
      <c r="DX142" s="15">
        <f>MIN(IF($AU142=100%,1,1+VLOOKUP(($AJ142-$AI142-$AH142-$AG142-$AF142-$AE142*(1+DX$3))/$AJ142,'Технический лист'!$I:$J,2,1)-VLOOKUP($AO142,'Технический лист'!$I:$J,2,1)),1+(1-$AU142))</f>
        <v>1</v>
      </c>
      <c r="DY142" s="15">
        <f>MIN(IF($AU142=100%,1,1+VLOOKUP(($AJ142-$AI142-$AH142-$AG142-$AF142-$AE142*(1+DY$3))/$AJ142,'Технический лист'!$I:$J,2,1)-VLOOKUP($AO142,'Технический лист'!$I:$J,2,1)),1+(1-$AU142))</f>
        <v>1</v>
      </c>
      <c r="DZ142" s="15">
        <f>MIN(IF($AU142=100%,1,1+VLOOKUP(($AJ142-$AI142-$AH142-$AG142-$AF142-$AE142*(1+DZ$3))/$AJ142,'Технический лист'!$I:$J,2,1)-VLOOKUP($AO142,'Технический лист'!$I:$J,2,1)),1+(1-$AU142))</f>
        <v>1</v>
      </c>
      <c r="EA142" s="15">
        <f>MIN(IF($AU142=100%,1,1+VLOOKUP(($AJ142-$AI142-$AH142-$AG142-$AF142-$AE142*(1+EA$3))/$AJ142,'Технический лист'!$I:$J,2,1)-VLOOKUP($AO142,'Технический лист'!$I:$J,2,1)),1+(1-$AU142))</f>
        <v>1</v>
      </c>
      <c r="EB142" s="15">
        <f>MIN(IF($AU142=100%,1,1+VLOOKUP(($AJ142-$AI142-$AH142-$AG142-$AF142-$AE142*(1+EB$3))/$AJ142,'Технический лист'!$I:$J,2,1)-VLOOKUP($AO142,'Технический лист'!$I:$J,2,1)),1+(1-$AU142))</f>
        <v>1</v>
      </c>
      <c r="EC142" s="15">
        <f>MIN(IF($AU142=100%,1,1+VLOOKUP(($AJ142-$AI142-$AH142-$AG142-$AF142-$AE142*(1+EC$3))/$AJ142,'Технический лист'!$I:$J,2,1)-VLOOKUP($AO142,'Технический лист'!$I:$J,2,1)),1+(1-$AU142))</f>
        <v>1</v>
      </c>
      <c r="ED142" s="15">
        <f>MIN(IF($AU142=100%,1,1+VLOOKUP(($AJ142-$AI142-$AH142-$AG142-$AF142-$AE142*(1+ED$3))/$AJ142,'Технический лист'!$I:$J,2,1)-VLOOKUP($AO142,'Технический лист'!$I:$J,2,1)),1+(1-$AU142))</f>
        <v>1</v>
      </c>
      <c r="EE142" s="15">
        <f>MIN(IF($AU142=100%,1,1+VLOOKUP(($AJ142-$AI142-$AH142-$AG142-$AF142-$AE142*(1+EE$3))/$AJ142,'Технический лист'!$I:$J,2,1)-VLOOKUP($AO142,'Технический лист'!$I:$J,2,1)),1+(1-$AU142))</f>
        <v>1</v>
      </c>
      <c r="EF142" s="15">
        <f>MIN(IF($AU142=100%,1,1+VLOOKUP(($AJ142-$AI142-$AH142-$AG142-$AF142-$AE142*(1+EF$3))/$AJ142,'Технический лист'!$I:$J,2,1)-VLOOKUP($AO142,'Технический лист'!$I:$J,2,1)),1+(1-$AU142))</f>
        <v>1</v>
      </c>
      <c r="EG142" s="15">
        <f>MIN(IF($AU142=100%,1,1+VLOOKUP(($AJ142-$AI142-$AH142-$AG142-$AF142-$AE142*(1+EG$3))/$AJ142,'Технический лист'!$I:$J,2,1)-VLOOKUP($AO142,'Технический лист'!$I:$J,2,1)),1+(1-$AU142))</f>
        <v>1</v>
      </c>
      <c r="EH142" s="15">
        <f>MIN(IF($AU142=100%,1,1+VLOOKUP(($AJ142-$AI142-$AH142-$AG142-$AF142-$AE142*(1+EH$3))/$AJ142,'Технический лист'!$I:$J,2,1)-VLOOKUP($AO142,'Технический лист'!$I:$J,2,1)),1+(1-$AU142))</f>
        <v>1</v>
      </c>
      <c r="EI142" s="15">
        <f>MIN(IF($AU142=100%,1,1+VLOOKUP(($AJ142-$AI142-$AH142-$AG142-$AF142-$AE142*(1+EI$3))/$AJ142,'Технический лист'!$I:$J,2,1)-VLOOKUP($AO142,'Технический лист'!$I:$J,2,1)),1+(1-$AU142))</f>
        <v>1</v>
      </c>
      <c r="EJ142" s="15">
        <f>MIN(IF($AU142=100%,1,1+VLOOKUP(($AJ142-$AI142-$AH142-$AG142-$AF142-$AE142*(1+EJ$3))/$AJ142,'Технический лист'!$I:$J,2,1)-VLOOKUP($AO142,'Технический лист'!$I:$J,2,1)),1+(1-$AU142))</f>
        <v>1</v>
      </c>
      <c r="EK142" s="15">
        <f>MIN(IF($AU142=100%,1,1+VLOOKUP(($AJ142-$AI142-$AH142-$AG142-$AF142-$AE142*(1+EK$3))/$AJ142,'Технический лист'!$I:$J,2,1)-VLOOKUP($AO142,'Технический лист'!$I:$J,2,1)),1+(1-$AU142))</f>
        <v>1</v>
      </c>
      <c r="EL142" s="15">
        <f>MIN(IF($AU142=100%,1,1+VLOOKUP(($AJ142-$AI142-$AH142-$AG142-$AF142-$AE142*(1+EL$3))/$AJ142,'Технический лист'!$I:$J,2,1)-VLOOKUP($AO142,'Технический лист'!$I:$J,2,1)),1+(1-$AU142))</f>
        <v>1</v>
      </c>
      <c r="EM142" s="15">
        <f>MIN(IF($AU142=100%,1,1+VLOOKUP(($AJ142-$AI142-$AH142-$AG142-$AF142-$AE142*(1+EM$3))/$AJ142,'Технический лист'!$I:$J,2,1)-VLOOKUP($AO142,'Технический лист'!$I:$J,2,1)),1+(1-$AU142))</f>
        <v>1</v>
      </c>
      <c r="EN142" s="15">
        <f>MIN(IF($AU142=100%,1,1+VLOOKUP(($AJ142-$AI142-$AH142-$AG142-$AF142-$AE142*(1+EN$3))/$AJ142,'Технический лист'!$I:$J,2,1)-VLOOKUP($AO142,'Технический лист'!$I:$J,2,1)),1+(1-$AU142))</f>
        <v>1</v>
      </c>
      <c r="EO142" s="15">
        <f>MIN(IF($AU142=100%,1,1+VLOOKUP(($AJ142-$AI142-$AH142-$AG142-$AF142-$AE142*(1+EO$3))/$AJ142,'Технический лист'!$I:$J,2,1)-VLOOKUP($AO142,'Технический лист'!$I:$J,2,1)),1+(1-$AU142))</f>
        <v>1</v>
      </c>
      <c r="EP142" s="15">
        <f>MIN(IF($AU142=100%,1,1+VLOOKUP(($AJ142-$AI142-$AH142-$AG142-$AF142-$AE142*(1+EP$3))/$AJ142,'Технический лист'!$I:$J,2,1)-VLOOKUP($AO142,'Технический лист'!$I:$J,2,1)),1+(1-$AU142))</f>
        <v>1</v>
      </c>
      <c r="EQ142" s="15">
        <f>MIN(IF($AU142=100%,1,1+VLOOKUP(($AJ142-$AI142-$AH142-$AG142-$AF142-$AE142*(1+EQ$3))/$AJ142,'Технический лист'!$I:$J,2,1)-VLOOKUP($AO142,'Технический лист'!$I:$J,2,1)),1+(1-$AU142))</f>
        <v>1</v>
      </c>
      <c r="ER142" s="15">
        <f>MIN(IF($AU142=100%,1,1+VLOOKUP(($AJ142-$AI142-$AH142-$AG142-$AF142-$AE142*(1+ER$3))/$AJ142,'Технический лист'!$I:$J,2,1)-VLOOKUP($AO142,'Технический лист'!$I:$J,2,1)),1+(1-$AU142))</f>
        <v>1</v>
      </c>
      <c r="ES142" s="15">
        <f>MIN(IF($AU142=100%,1,1+VLOOKUP(($AJ142-$AI142-$AH142-$AG142-$AF142-$AE142*(1+ES$3))/$AJ142,'Технический лист'!$I:$J,2,1)-VLOOKUP($AO142,'Технический лист'!$I:$J,2,1)),1+(1-$AU142))</f>
        <v>1</v>
      </c>
      <c r="ET142" s="15">
        <f>MIN(IF($AU142=100%,1,1+VLOOKUP(($AJ142-$AI142-$AH142-$AG142-$AF142-$AE142*(1+ET$3))/$AJ142,'Технический лист'!$I:$J,2,1)-VLOOKUP($AO142,'Технический лист'!$I:$J,2,1)),1+(1-$AU142))</f>
        <v>1</v>
      </c>
      <c r="EU142" s="15">
        <f>MIN(IF($AU142=100%,1,1+VLOOKUP(($AJ142-$AI142-$AH142-$AG142-$AF142-$AE142*(1+EU$3))/$AJ142,'Технический лист'!$I:$J,2,1)-VLOOKUP($AO142,'Технический лист'!$I:$J,2,1)),1+(1-$AU142))</f>
        <v>1</v>
      </c>
      <c r="EV142" s="111">
        <v>1</v>
      </c>
      <c r="EW142" s="15">
        <f>MIN(1,MAX(VLOOKUP(($AJ142-$AI142-$AH142-$AG142-$AF142-$AE142*(1+EW$3))/$AJ142,'Технический лист'!$A:$B,2,1),(EV142-0.05)))</f>
        <v>1</v>
      </c>
      <c r="EX142" s="15">
        <f>MIN(1,MAX(VLOOKUP(($AJ142-$AI142-$AH142-$AG142-$AF142-$AE142*(1+EX$3))/$AJ142,'Технический лист'!$A:$B,2,1),(EW142-0.05)))</f>
        <v>1</v>
      </c>
      <c r="EY142" s="15">
        <f>MIN(1,MAX(VLOOKUP(($AJ142-$AI142-$AH142-$AG142-$AF142-$AE142*(1+EY$3))/$AJ142,'Технический лист'!$A:$B,2,1),(EX142-0.05)))</f>
        <v>1</v>
      </c>
      <c r="EZ142" s="15">
        <f>MIN(1,MAX(VLOOKUP(($AJ142-$AI142-$AH142-$AG142-$AF142-$AE142*(1+EZ$3))/$AJ142,'Технический лист'!$A:$B,2,1),(EY142-0.05)))</f>
        <v>1</v>
      </c>
      <c r="FA142" s="15">
        <f>MIN(1,MAX(VLOOKUP(($AJ142-$AI142-$AH142-$AG142-$AF142-$AE142*(1+FA$3))/$AJ142,'Технический лист'!$A:$B,2,1),(EZ142-0.05)))</f>
        <v>1</v>
      </c>
      <c r="FB142" s="15">
        <f>MIN(1,MAX(VLOOKUP(($AJ142-$AI142-$AH142-$AG142-$AF142-$AE142*(1+FB$3))/$AJ142,'Технический лист'!$A:$B,2,1),(FA142-0.05)))</f>
        <v>1</v>
      </c>
      <c r="FC142" s="15">
        <f>MIN(1,MAX(VLOOKUP(($AJ142-$AI142-$AH142-$AG142-$AF142-$AE142*(1+FC$3))/$AJ142,'Технический лист'!$A:$B,2,1),(FB142-0.05)))</f>
        <v>1</v>
      </c>
      <c r="FD142" s="15">
        <f>MIN(1,MAX(VLOOKUP(($AJ142-$AI142-$AH142-$AG142-$AF142-$AE142*(1+FD$3))/$AJ142,'Технический лист'!$A:$B,2,1),(FC142-0.05)))</f>
        <v>1</v>
      </c>
      <c r="FE142" s="15">
        <f>MIN(1,MAX(VLOOKUP(($AJ142-$AI142-$AH142-$AG142-$AF142-$AE142*(1+FE$3))/$AJ142,'Технический лист'!$A:$B,2,1),(FD142-0.05)))</f>
        <v>1</v>
      </c>
      <c r="FF142" s="15">
        <f>MIN(1,MAX(VLOOKUP(($AJ142-$AI142-$AH142-$AG142-$AF142-$AE142*(1+FF$3))/$AJ142,'Технический лист'!$A:$B,2,1),(FE142-0.05)))</f>
        <v>1</v>
      </c>
      <c r="FG142" s="15">
        <f>MIN(1,MAX(VLOOKUP(($AJ142-$AI142-$AH142-$AG142-$AF142-$AE142*(1+FG$3))/$AJ142,'Технический лист'!$A:$B,2,1),(FF142-0.05)))</f>
        <v>1</v>
      </c>
      <c r="FH142" s="15">
        <f>MIN(1,MAX(VLOOKUP(($AJ142-$AI142-$AH142-$AG142-$AF142-$AE142*(1+FH$3))/$AJ142,'Технический лист'!$A:$B,2,1),(FG142-0.05)))</f>
        <v>1</v>
      </c>
      <c r="FI142" s="15">
        <f>MIN(1,MAX(VLOOKUP(($AJ142-$AI142-$AH142-$AG142-$AF142-$AE142*(1+FI$3))/$AJ142,'Технический лист'!$A:$B,2,1),(FH142-0.05)))</f>
        <v>1</v>
      </c>
      <c r="FJ142" s="15">
        <f>MIN(1,MAX(VLOOKUP(($AJ142-$AI142-$AH142-$AG142-$AF142-$AE142*(1+FJ$3))/$AJ142,'Технический лист'!$A:$B,2,1),(FI142-0.05)))</f>
        <v>1</v>
      </c>
      <c r="FK142" s="15">
        <f>MIN(1,MAX(VLOOKUP(($AJ142-$AI142-$AH142-$AG142-$AF142-$AE142*(1+FK$3))/$AJ142,'Технический лист'!$A:$B,2,1),(FJ142-0.05)))</f>
        <v>1</v>
      </c>
      <c r="FL142" s="15">
        <f>MIN(1,MAX(VLOOKUP(($AJ142-$AI142-$AH142-$AG142-$AF142-$AE142*(1+FL$3))/$AJ142,'Технический лист'!$A:$B,2,1),(FK142-0.05)))</f>
        <v>1</v>
      </c>
      <c r="FM142" s="15">
        <f>MIN(1,MAX(VLOOKUP(($AJ142-$AI142-$AH142-$AG142-$AF142-$AE142*(1+FM$3))/$AJ142,'Технический лист'!$A:$B,2,1),(FL142-0.05)))</f>
        <v>1</v>
      </c>
      <c r="FN142" s="15">
        <f>MIN(1,MAX(VLOOKUP(($AJ142-$AI142-$AH142-$AG142-$AF142-$AE142*(1+FN$3))/$AJ142,'Технический лист'!$A:$B,2,1),(FM142-0.05)))</f>
        <v>1</v>
      </c>
      <c r="FO142" s="15">
        <f>MIN(1,MAX(VLOOKUP(($AJ142-$AI142-$AH142-$AG142-$AF142-$AE142*(1+FO$3))/$AJ142,'Технический лист'!$A:$B,2,1),(FN142-0.05)))</f>
        <v>1</v>
      </c>
      <c r="FP142" s="15">
        <f>MIN(1,MAX(VLOOKUP(($AJ142-$AI142-$AH142-$AG142-$AF142-$AE142*(1+FP$3))/$AJ142,'Технический лист'!$A:$B,2,1),(FO142-0.05)))</f>
        <v>1</v>
      </c>
      <c r="FQ142" s="15">
        <f>MIN(1,MAX(VLOOKUP(($AJ142-$AI142-$AH142-$AG142-$AF142-$AE142*(1+FQ$3))/$AJ142,'Технический лист'!$A:$B,2,1),(FP142-0.05)))</f>
        <v>1</v>
      </c>
      <c r="FR142" s="15">
        <f>MIN(1,MAX(VLOOKUP(($AJ142-$AI142-$AH142-$AG142-$AF142-$AE142*(1+FR$3))/$AJ142,'Технический лист'!$A:$B,2,1),(FQ142-0.05)))</f>
        <v>1</v>
      </c>
      <c r="FS142" s="15">
        <f>MIN(1,MAX(VLOOKUP(($AJ142-$AI142-$AH142-$AG142-$AF142-$AE142*(1+FS$3))/$AJ142,'Технический лист'!$A:$B,2,1),(FR142-0.05)))</f>
        <v>1</v>
      </c>
      <c r="FT142" s="15">
        <f>MIN(1,MAX(VLOOKUP(($AJ142-$AI142-$AH142-$AG142-$AF142-$AE142*(1+FT$3))/$AJ142,'Технический лист'!$A:$B,2,1),(FS142-0.05)))</f>
        <v>1</v>
      </c>
      <c r="FU142" s="15">
        <f>MIN(1,MAX(VLOOKUP(($AJ142-$AI142-$AH142-$AG142-$AF142-$AE142*(1+FU$3))/$AJ142,'Технический лист'!$A:$B,2,1),(FT142-0.05)))</f>
        <v>1</v>
      </c>
      <c r="FV142" s="15">
        <f>MIN(1,MAX(VLOOKUP(($AJ142-$AI142-$AH142-$AG142-$AF142-$AE142*(1+FV$3))/$AJ142,'Технический лист'!$A:$B,2,1),(FU142-0.05)))</f>
        <v>1</v>
      </c>
      <c r="FW142" s="15">
        <f>MIN(1,MAX(VLOOKUP(($AJ142-$AI142-$AH142-$AG142-$AF142-$AE142*(1+FW$3))/$AJ142,'Технический лист'!$A:$B,2,1),(FV142-0.05)))</f>
        <v>1</v>
      </c>
      <c r="FX142" s="15">
        <f>MIN(1,MAX(VLOOKUP(($AJ142-$AI142-$AH142-$AG142-$AF142-$AE142*(1+FX$3))/$AJ142,'Технический лист'!$A:$B,2,1),(FW142-0.05)))</f>
        <v>1</v>
      </c>
      <c r="FY142" s="15">
        <f>MIN(1,MAX(VLOOKUP(($AJ142-$AI142-$AH142-$AG142-$AF142-$AE142*(1+FY$3))/$AJ142,'Технический лист'!$A:$B,2,1),(FX142-0.05)))</f>
        <v>1</v>
      </c>
      <c r="FZ142" s="15">
        <f>MIN(1,MAX(VLOOKUP(($AJ142-$AI142-$AH142-$AG142-$AF142-$AE142*(1+FZ$3))/$AJ142,'Технический лист'!$A:$B,2,1),(FY142-0.05)))</f>
        <v>1</v>
      </c>
      <c r="GA142" s="15">
        <f>MIN(1,MAX(VLOOKUP(($AJ142-$AI142-$AH142-$AG142-$AF142-$AE142*(1+GA$3))/$AJ142,'Технический лист'!$A:$B,2,1),(FZ142-0.05)))</f>
        <v>1</v>
      </c>
      <c r="GB142" s="15">
        <f>MIN(1,MAX(VLOOKUP(($AJ142-$AI142-$AH142-$AG142-$AF142-$AE142*(1+GB$3))/$AJ142,'Технический лист'!$A:$B,2,1),(GA142-0.05)))</f>
        <v>1</v>
      </c>
      <c r="GC142" s="15">
        <f>MIN(1,MAX(VLOOKUP(($AJ142-$AI142-$AH142-$AG142-$AF142-$AE142*(1+GC$3))/$AJ142,'Технический лист'!$A:$B,2,1),(GB142-0.05)))</f>
        <v>1</v>
      </c>
      <c r="GD142" s="15">
        <f>MIN(1,MAX(VLOOKUP(($AJ142-$AI142-$AH142-$AG142-$AF142-$AE142*(1+GD$3))/$AJ142,'Технический лист'!$A:$B,2,1),(GC142-0.05)))</f>
        <v>1</v>
      </c>
      <c r="GE142" s="15">
        <f>MIN(1,MAX(VLOOKUP(($AJ142-$AI142-$AH142-$AG142-$AF142-$AE142*(1+GE$3))/$AJ142,'Технический лист'!$A:$B,2,1),(GD142-0.05)))</f>
        <v>1</v>
      </c>
      <c r="GF142" s="15">
        <f>MIN(1,MAX(VLOOKUP(($AJ142-$AI142-$AH142-$AG142-$AF142-$AE142*(1+GF$3))/$AJ142,'Технический лист'!$A:$B,2,1),(GE142-0.05)))</f>
        <v>1</v>
      </c>
      <c r="GG142" s="15">
        <f>MIN(1,MAX(VLOOKUP(($AJ142-$AI142-$AH142-$AG142-$AF142-$AE142*(1+GG$3))/$AJ142,'Технический лист'!$A:$B,2,1),(GF142-0.05)))</f>
        <v>1</v>
      </c>
      <c r="GH142" s="15">
        <f>MIN(1,MAX(VLOOKUP(($AJ142-$AI142-$AH142-$AG142-$AF142-$AE142*(1+GH$3))/$AJ142,'Технический лист'!$A:$B,2,1),(GG142-0.05)))</f>
        <v>1</v>
      </c>
      <c r="GI142" s="15">
        <f>MIN(1,MAX(VLOOKUP(($AJ142-$AI142-$AH142-$AG142-$AF142-$AE142*(1+GI$3))/$AJ142,'Технический лист'!$A:$B,2,1),(GH142-0.05)))</f>
        <v>1</v>
      </c>
      <c r="GJ142" s="15">
        <f>MIN(1,MAX(VLOOKUP(($AJ142-$AI142-$AH142-$AG142-$AF142-$AE142*(1+GJ$3))/$AJ142,'Технический лист'!$A:$B,2,1),(GI142-0.05)))</f>
        <v>1</v>
      </c>
      <c r="GK142" s="15">
        <f>MIN(1,MAX(VLOOKUP(($AJ142-$AI142-$AH142-$AG142-$AF142-$AE142*(1+GK$3))/$AJ142,'Технический лист'!$A:$B,2,1),(GJ142-0.05)))</f>
        <v>1</v>
      </c>
      <c r="GL142" s="15">
        <f>MIN(1,MAX(VLOOKUP(($AJ142-$AI142-$AH142-$AG142-$AF142-$AE142*(1+GL$3))/$AJ142,'Технический лист'!$A:$B,2,1),(GK142-0.05)))</f>
        <v>1</v>
      </c>
      <c r="GM142" s="15">
        <f>MIN(1,MAX(VLOOKUP(($AJ142-$AI142-$AH142-$AG142-$AF142-$AE142*(1+GM$3))/$AJ142,'Технический лист'!$A:$B,2,1),(GL142-0.05)))</f>
        <v>1</v>
      </c>
      <c r="GN142" s="15">
        <f>MIN(1,MAX(VLOOKUP(($AJ142-$AI142-$AH142-$AG142-$AF142-$AE142*(1+GN$3))/$AJ142,'Технический лист'!$A:$B,2,1),(GM142-0.05)))</f>
        <v>1</v>
      </c>
      <c r="GO142" s="15">
        <f>MIN(1,MAX(VLOOKUP(($AJ142-$AI142-$AH142-$AG142-$AF142-$AE142*(1+GO$3))/$AJ142,'Технический лист'!$A:$B,2,1),(GN142-0.05)))</f>
        <v>1</v>
      </c>
      <c r="GP142" s="15">
        <f>MIN(1,MAX(VLOOKUP(($AJ142-$AI142-$AH142-$AG142-$AF142-$AE142*(1+GP$3))/$AJ142,'Технический лист'!$A:$B,2,1),(GO142-0.05)))</f>
        <v>1</v>
      </c>
      <c r="GQ142" s="15">
        <f>MIN(1,MAX(VLOOKUP(($AJ142-$AI142-$AH142-$AG142-$AF142-$AE142*(1+GQ$3))/$AJ142,'Технический лист'!$A:$B,2,1),(GP142-0.05)))</f>
        <v>1</v>
      </c>
      <c r="GR142" s="15">
        <f>MIN(1,MAX(VLOOKUP(($AJ142-$AI142-$AH142-$AG142-$AF142-$AE142*(1+GR$3))/$AJ142,'Технический лист'!$A:$B,2,1),(GQ142-0.05)))</f>
        <v>1</v>
      </c>
      <c r="GS142" s="15">
        <f>MIN(1,MAX(VLOOKUP(($AJ142-$AI142-$AH142-$AG142-$AF142-$AE142*(1+GS$3))/$AJ142,'Технический лист'!$A:$B,2,1),(GR142-0.05)))</f>
        <v>1</v>
      </c>
      <c r="GT142" s="15">
        <f>MIN(1,MAX(VLOOKUP(($AJ142-$AI142-$AH142-$AG142-$AF142-$AE142*(1+GT$3))/$AJ142,'Технический лист'!$A:$B,2,1),(GS142-0.05)))</f>
        <v>1</v>
      </c>
      <c r="GU142" s="15">
        <f>MIN(1,MAX(VLOOKUP(($AJ142-$AI142-$AH142-$AG142-$AF142-$AE142*(1+GU$3))/$AJ142,'Технический лист'!$A:$B,2,1),(GT142-0.05)))</f>
        <v>1</v>
      </c>
      <c r="GV142" s="15">
        <f>MIN(1,MAX(VLOOKUP(($AJ142-$AI142-$AH142-$AG142-$AF142-$AE142*(1+GV$3))/$AJ142,'Технический лист'!$A:$B,2,1),(GU142-0.05)))</f>
        <v>1</v>
      </c>
      <c r="GW142" s="15">
        <f>MIN(1,MAX(VLOOKUP(($AJ142-$AI142-$AH142-$AG142-$AF142-$AE142*(1+GW$3))/$AJ142,'Технический лист'!$A:$B,2,1),(GV142-0.05)))</f>
        <v>1</v>
      </c>
      <c r="GX142" s="15">
        <f>MIN(1,MAX(VLOOKUP(($AJ142-$AI142-$AH142-$AG142-$AF142-$AE142*(1+GX$3))/$AJ142,'Технический лист'!$A:$B,2,1),(GW142-0.05)))</f>
        <v>1</v>
      </c>
      <c r="GY142" s="15">
        <f>MIN(1,MAX(VLOOKUP(($AJ142-$AI142-$AH142-$AG142-$AF142-$AE142*(1+GY$3))/$AJ142,'Технический лист'!$A:$B,2,1),(GX142-0.05)))</f>
        <v>1</v>
      </c>
      <c r="GZ142" s="15">
        <f>MIN(1,MAX(VLOOKUP(($AJ142-$AI142-$AH142-$AG142-$AF142-$AE142*(1+GZ$3))/$AJ142,'Технический лист'!$A:$B,2,1),(GY142-0.05)))</f>
        <v>1</v>
      </c>
      <c r="HA142" s="15">
        <f>MIN(1,MAX(VLOOKUP(($AJ142-$AI142-$AH142-$AG142-$AF142-$AE142*(1+HA$3))/$AJ142,'Технический лист'!$A:$B,2,1),(GZ142-0.05)))</f>
        <v>1</v>
      </c>
      <c r="HB142" s="15">
        <f>MIN(1,MAX(VLOOKUP(($AJ142-$AI142-$AH142-$AG142-$AF142-$AE142*(1+HB$3))/$AJ142,'Технический лист'!$A:$B,2,1),(HA142-0.05)))</f>
        <v>1</v>
      </c>
      <c r="HC142" s="15">
        <f>MIN(1,MAX(VLOOKUP(($AJ142-$AI142-$AH142-$AG142-$AF142-$AE142*(1+HC$3))/$AJ142,'Технический лист'!$A:$B,2,1),(HB142-0.05)))</f>
        <v>1</v>
      </c>
      <c r="HD142" s="15">
        <f>MIN(1,MAX(VLOOKUP(($AJ142-$AI142-$AH142-$AG142-$AF142-$AE142*(1+HD$3))/$AJ142,'Технический лист'!$A:$B,2,1),(HC142-0.05)))</f>
        <v>1</v>
      </c>
      <c r="HE142" s="15">
        <f>MIN(1,MAX(VLOOKUP(($AJ142-$AI142-$AH142-$AG142-$AF142-$AE142*(1+HE$3))/$AJ142,'Технический лист'!$A:$B,2,1),(HD142-0.05)))</f>
        <v>1</v>
      </c>
      <c r="HF142" s="15">
        <f>MIN(1,MAX(VLOOKUP(($AJ142-$AI142-$AH142-$AG142-$AF142-$AE142*(1+HF$3))/$AJ142,'Технический лист'!$A:$B,2,1),(HE142-0.05)))</f>
        <v>1</v>
      </c>
      <c r="HG142" s="15">
        <f>MIN(1,MAX(VLOOKUP(($AJ142-$AI142-$AH142-$AG142-$AF142-$AE142*(1+HG$3))/$AJ142,'Технический лист'!$A:$B,2,1),(HF142-0.05)))</f>
        <v>1</v>
      </c>
      <c r="HH142" s="15">
        <f>MIN(1,MAX(VLOOKUP(($AJ142-$AI142-$AH142-$AG142-$AF142-$AE142*(1+HH$3))/$AJ142,'Технический лист'!$A:$B,2,1),(HG142-0.05)))</f>
        <v>1</v>
      </c>
      <c r="HI142" s="15">
        <f>MIN(1,MAX(VLOOKUP(($AJ142-$AI142-$AH142-$AG142-$AF142-$AE142*(1+HI$3))/$AJ142,'Технический лист'!$A:$B,2,1),(HH142-0.05)))</f>
        <v>1</v>
      </c>
      <c r="HJ142" s="15">
        <f>MIN(1,MAX(VLOOKUP(($AJ142-$AI142-$AH142-$AG142-$AF142-$AE142*(1+HJ$3))/$AJ142,'Технический лист'!$A:$B,2,1),(HI142-0.05)))</f>
        <v>1</v>
      </c>
      <c r="HK142" s="15">
        <f>MIN(1,MAX(VLOOKUP(($AJ142-$AI142-$AH142-$AG142-$AF142-$AE142*(1+HK$3))/$AJ142,'Технический лист'!$A:$B,2,1),(HJ142-0.05)))</f>
        <v>1</v>
      </c>
      <c r="HL142" s="15">
        <f>MIN(1,MAX(VLOOKUP(($AJ142-$AI142-$AH142-$AG142-$AF142-$AE142*(1+HL$3))/$AJ142,'Технический лист'!$A:$B,2,1),(HK142-0.05)))</f>
        <v>1</v>
      </c>
      <c r="HM142" s="15">
        <f>MIN(1,MAX(VLOOKUP(($AJ142-$AI142-$AH142-$AG142-$AF142-$AE142*(1+HM$3))/$AJ142,'Технический лист'!$A:$B,2,1),(HL142-0.05)))</f>
        <v>1</v>
      </c>
      <c r="HN142" s="15">
        <f>MIN(1,MAX(VLOOKUP(($AJ142-$AI142-$AH142-$AG142-$AF142-$AE142*(1+HN$3))/$AJ142,'Технический лист'!$A:$B,2,1),(HM142-0.05)))</f>
        <v>1</v>
      </c>
      <c r="HO142" s="15">
        <f>MIN(1,MAX(VLOOKUP(($AJ142-$AI142-$AH142-$AG142-$AF142-$AE142*(1+HO$3))/$AJ142,'Технический лист'!$A:$B,2,1),(HN142-0.05)))</f>
        <v>1</v>
      </c>
      <c r="HP142" s="15">
        <f>MIN(1,MAX(VLOOKUP(($AJ142-$AI142-$AH142-$AG142-$AF142-$AE142*(1+HP$3))/$AJ142,'Технический лист'!$A:$B,2,1),(HO142-0.05)))</f>
        <v>1</v>
      </c>
      <c r="HQ142" s="15">
        <f>MIN(1,MAX(VLOOKUP(($AJ142-$AI142-$AH142-$AG142-$AF142-$AE142*(1+HQ$3))/$AJ142,'Технический лист'!$A:$B,2,1),(HP142-0.05)))</f>
        <v>1</v>
      </c>
      <c r="HR142" s="15">
        <f>MIN(1,MAX(VLOOKUP(($AJ142-$AI142-$AH142-$AG142-$AF142-$AE142*(1+HR$3))/$AJ142,'Технический лист'!$A:$B,2,1),(HQ142-0.05)))</f>
        <v>1</v>
      </c>
      <c r="HS142" s="15">
        <f>MIN(1,MAX(VLOOKUP(($AJ142-$AI142-$AH142-$AG142-$AF142-$AE142*(1+HS$3))/$AJ142,'Технический лист'!$A:$B,2,1),(HR142-0.05)))</f>
        <v>1</v>
      </c>
      <c r="HT142" s="15">
        <f>MIN(1,MAX(VLOOKUP(($AJ142-$AI142-$AH142-$AG142-$AF142-$AE142*(1+HT$3))/$AJ142,'Технический лист'!$A:$B,2,1),(HS142-0.05)))</f>
        <v>1</v>
      </c>
      <c r="HU142" s="15">
        <f>MIN(1,MAX(VLOOKUP(($AJ142-$AI142-$AH142-$AG142-$AF142-$AE142*(1+HU$3))/$AJ142,'Технический лист'!$A:$B,2,1),(HT142-0.05)))</f>
        <v>1</v>
      </c>
      <c r="HV142" s="15">
        <f>MIN(1,MAX(VLOOKUP(($AJ142-$AI142-$AH142-$AG142-$AF142-$AE142*(1+HV$3))/$AJ142,'Технический лист'!$A:$B,2,1),(HU142-0.05)))</f>
        <v>1</v>
      </c>
      <c r="HW142" s="15">
        <f>MIN(1,MAX(VLOOKUP(($AJ142-$AI142-$AH142-$AG142-$AF142-$AE142*(1+HW$3))/$AJ142,'Технический лист'!$A:$B,2,1),(HV142-0.05)))</f>
        <v>1</v>
      </c>
      <c r="HX142" s="15">
        <f>MIN(1,MAX(VLOOKUP(($AJ142-$AI142-$AH142-$AG142-$AF142-$AE142*(1+HX$3))/$AJ142,'Технический лист'!$A:$B,2,1),(HW142-0.05)))</f>
        <v>1</v>
      </c>
      <c r="HY142" s="15">
        <f>MIN(1,MAX(VLOOKUP(($AJ142-$AI142-$AH142-$AG142-$AF142-$AE142*(1+HY$3))/$AJ142,'Технический лист'!$A:$B,2,1),(HX142-0.05)))</f>
        <v>1</v>
      </c>
      <c r="HZ142" s="15">
        <f>MIN(1,MAX(VLOOKUP(($AJ142-$AI142-$AH142-$AG142-$AF142-$AE142*(1+HZ$3))/$AJ142,'Технический лист'!$A:$B,2,1),(HY142-0.05)))</f>
        <v>1</v>
      </c>
      <c r="IA142" s="15">
        <f>MIN(1,MAX(VLOOKUP(($AJ142-$AI142-$AH142-$AG142-$AF142-$AE142*(1+IA$3))/$AJ142,'Технический лист'!$A:$B,2,1),(HZ142-0.05)))</f>
        <v>1</v>
      </c>
      <c r="IB142" s="15">
        <f>MIN(1,MAX(VLOOKUP(($AJ142-$AI142-$AH142-$AG142-$AF142-$AE142*(1+IB$3))/$AJ142,'Технический лист'!$A:$B,2,1),(IA142-0.05)))</f>
        <v>1</v>
      </c>
      <c r="IC142" s="15">
        <f>MIN(1,MAX(VLOOKUP(($AJ142-$AI142-$AH142-$AG142-$AF142-$AE142*(1+IC$3))/$AJ142,'Технический лист'!$A:$B,2,1),(IB142-0.05)))</f>
        <v>1</v>
      </c>
      <c r="ID142" s="15">
        <f>MIN(1,MAX(VLOOKUP(($AJ142-$AI142-$AH142-$AG142-$AF142-$AE142*(1+ID$3))/$AJ142,'Технический лист'!$A:$B,2,1),(IC142-0.05)))</f>
        <v>1</v>
      </c>
      <c r="IE142" s="15">
        <f>MIN(1,MAX(VLOOKUP(($AJ142-$AI142-$AH142-$AG142-$AF142-$AE142*(1+IE$3))/$AJ142,'Технический лист'!$A:$B,2,1),(ID142-0.05)))</f>
        <v>1</v>
      </c>
      <c r="IF142" s="15">
        <f>MIN(1,MAX(VLOOKUP(($AJ142-$AI142-$AH142-$AG142-$AF142-$AE142*(1+IF$3))/$AJ142,'Технический лист'!$A:$B,2,1),(IE142-0.05)))</f>
        <v>1</v>
      </c>
      <c r="IG142" s="15">
        <f>MIN(1,MAX(VLOOKUP(($AJ142-$AI142-$AH142-$AG142-$AF142-$AE142*(1+IG$3))/$AJ142,'Технический лист'!$A:$B,2,1),(IF142-0.05)))</f>
        <v>1</v>
      </c>
      <c r="IH142" s="15">
        <f>MIN(1,MAX(VLOOKUP(($AJ142-$AI142-$AH142-$AG142-$AF142-$AE142*(1+IH$3))/$AJ142,'Технический лист'!$A:$B,2,1),(IG142-0.05)))</f>
        <v>1</v>
      </c>
      <c r="II142" s="15">
        <f>MIN(1,MAX(VLOOKUP(($AJ142-$AI142-$AH142-$AG142-$AF142-$AE142*(1+II$3))/$AJ142,'Технический лист'!$A:$B,2,1),(IH142-0.05)))</f>
        <v>1</v>
      </c>
      <c r="IJ142" s="15">
        <f>MIN(1,MAX(VLOOKUP(($AJ142-$AI142-$AH142-$AG142-$AF142-$AE142*(1+IJ$3))/$AJ142,'Технический лист'!$A:$B,2,1),(II142-0.05)))</f>
        <v>1</v>
      </c>
      <c r="IK142" s="15">
        <f>MIN(1,MAX(VLOOKUP(($AJ142-$AI142-$AH142-$AG142-$AF142-$AE142*(1+IK$3))/$AJ142,'Технический лист'!$A:$B,2,1),(IJ142-0.05)))</f>
        <v>1</v>
      </c>
      <c r="IL142" s="15">
        <f>MIN(1,MAX(VLOOKUP(($AJ142-$AI142-$AH142-$AG142-$AF142-$AE142*(1+IL$3))/$AJ142,'Технический лист'!$A:$B,2,1),(IK142-0.05)))</f>
        <v>1</v>
      </c>
      <c r="IM142" s="15">
        <f>MIN(1,MAX(VLOOKUP(($AJ142-$AI142-$AH142-$AG142-$AF142-$AE142*(1+IM$3))/$AJ142,'Технический лист'!$A:$B,2,1),(IL142-0.05)))</f>
        <v>1</v>
      </c>
      <c r="IN142" s="15">
        <f>MIN(1,MAX(VLOOKUP(($AJ142-$AI142-$AH142-$AG142-$AF142-$AE142*(1+IN$3))/$AJ142,'Технический лист'!$A:$B,2,1),(IM142-0.05)))</f>
        <v>1</v>
      </c>
      <c r="IO142" s="15">
        <f>MIN(1,MAX(VLOOKUP(($AJ142-$AI142-$AH142-$AG142-$AF142-$AE142*(1+IO$3))/$AJ142,'Технический лист'!$A:$B,2,1),(IN142-0.05)))</f>
        <v>1</v>
      </c>
      <c r="IP142" s="15">
        <f>MIN(1,MAX(VLOOKUP(($AJ142-$AI142-$AH142-$AG142-$AF142-$AE142*(1+IP$3))/$AJ142,'Технический лист'!$A:$B,2,1),(IO142-0.05)))</f>
        <v>1</v>
      </c>
      <c r="IQ142" s="15">
        <f>MIN(1,MAX(VLOOKUP(($AJ142-$AI142-$AH142-$AG142-$AF142-$AE142*(1+IQ$3))/$AJ142,'Технический лист'!$A:$B,2,1),(IP142-0.05)))</f>
        <v>1</v>
      </c>
      <c r="IR142" s="15">
        <f>MIN(1,MAX(VLOOKUP(($AJ142-$AI142-$AH142-$AG142-$AF142-$AE142*(1+IR$3))/$AJ142,'Технический лист'!$A:$B,2,1),(IQ142-0.05)))</f>
        <v>1</v>
      </c>
    </row>
    <row r="143" spans="1:252" ht="43.75">
      <c r="A143" s="89" t="s">
        <v>515</v>
      </c>
      <c r="B143" s="90">
        <v>10</v>
      </c>
      <c r="C143" s="5" t="s">
        <v>66</v>
      </c>
      <c r="D143" s="91">
        <v>31607</v>
      </c>
      <c r="E143" s="91" t="s">
        <v>327</v>
      </c>
      <c r="F143" s="92" t="s">
        <v>70</v>
      </c>
      <c r="G143" s="91" t="s">
        <v>23</v>
      </c>
      <c r="H143" s="91" t="s">
        <v>50</v>
      </c>
      <c r="I143" s="91" t="s">
        <v>125</v>
      </c>
      <c r="J143" s="91" t="s">
        <v>126</v>
      </c>
      <c r="K143" s="91">
        <v>1564</v>
      </c>
      <c r="L143" s="85" t="s">
        <v>64</v>
      </c>
      <c r="M143" s="91" t="s">
        <v>190</v>
      </c>
      <c r="N143" s="91" t="s">
        <v>191</v>
      </c>
      <c r="O143" s="91" t="s">
        <v>192</v>
      </c>
      <c r="P143" s="89" t="s">
        <v>220</v>
      </c>
      <c r="Q143" s="91" t="s">
        <v>311</v>
      </c>
      <c r="R143" s="91" t="s">
        <v>253</v>
      </c>
      <c r="S143" s="82">
        <v>41320</v>
      </c>
      <c r="T143" s="82">
        <v>64637312</v>
      </c>
      <c r="U143" s="81">
        <v>663</v>
      </c>
      <c r="V143" s="81">
        <v>0</v>
      </c>
      <c r="W143" s="82">
        <v>124401388</v>
      </c>
      <c r="X143" s="112">
        <v>62</v>
      </c>
      <c r="Y143" s="112" t="s">
        <v>416</v>
      </c>
      <c r="Z143" s="113">
        <v>8</v>
      </c>
      <c r="AA143" s="113">
        <v>6</v>
      </c>
      <c r="AB143" s="113">
        <v>4</v>
      </c>
      <c r="AC143" s="99">
        <v>3444</v>
      </c>
      <c r="AD143" s="99">
        <f>AE143-AC143</f>
        <v>533.61000000000013</v>
      </c>
      <c r="AE143" s="99">
        <v>3977.61</v>
      </c>
      <c r="AF143" s="98">
        <f>(Z143+AA143+AB143)*'Ставки аренды'!$B$3/X143</f>
        <v>203.2258064516129</v>
      </c>
      <c r="AG143" s="94">
        <v>0</v>
      </c>
      <c r="AH143" s="94">
        <v>0</v>
      </c>
      <c r="AI143" s="115">
        <f>0.9*AJ143</f>
        <v>16200</v>
      </c>
      <c r="AJ143" s="117">
        <f>Цены!$D$10</f>
        <v>18000</v>
      </c>
      <c r="AK143" s="94">
        <f>AJ143/Цены!$B$1</f>
        <v>235.89387396714525</v>
      </c>
      <c r="AL143" s="95">
        <f t="shared" si="54"/>
        <v>4180.8358064516133</v>
      </c>
      <c r="AM143" s="95">
        <f t="shared" si="55"/>
        <v>13819.164193548386</v>
      </c>
      <c r="AN143" s="94">
        <f t="shared" si="52"/>
        <v>20380.835806451614</v>
      </c>
      <c r="AO143" s="118">
        <f t="shared" si="53"/>
        <v>-0.13226865591397857</v>
      </c>
      <c r="AP143" s="96">
        <f t="shared" si="56"/>
        <v>0.23226865591397852</v>
      </c>
      <c r="AQ143" s="96">
        <f t="shared" si="57"/>
        <v>0.22097833333333333</v>
      </c>
      <c r="AR143" s="96">
        <f t="shared" si="58"/>
        <v>0.95139110554449247</v>
      </c>
      <c r="AS143" s="122">
        <v>1</v>
      </c>
      <c r="AT143" s="121">
        <f t="shared" si="45"/>
        <v>41320</v>
      </c>
      <c r="AU143" s="83">
        <v>0.7</v>
      </c>
      <c r="AV143" s="119">
        <f t="shared" si="41"/>
        <v>-0.1587860559139784</v>
      </c>
      <c r="AW143" s="120">
        <f t="shared" si="42"/>
        <v>0.25878605591397852</v>
      </c>
      <c r="AX143" s="120">
        <f t="shared" si="43"/>
        <v>0.24749573333333336</v>
      </c>
      <c r="AY143" s="120">
        <f t="shared" si="44"/>
        <v>0.95637198248271116</v>
      </c>
      <c r="AZ143" s="15">
        <f>MIN(IF($AU143=100%,1,1+VLOOKUP(($AJ143-$AI143-$AH143-$AG143-$AF143-$AE143*(1+AZ$3))/$AJ143,'Технический лист'!$I:$J,2,1)-VLOOKUP($AO143,'Технический лист'!$I:$J,2,1)),1+(1-$AU143))</f>
        <v>1.3</v>
      </c>
      <c r="BA143" s="15">
        <f>MIN(IF($AU143=100%,1,1+VLOOKUP(($AJ143-$AI143-$AH143-$AG143-$AF143-$AE143*(1+BA$3))/$AJ143,'Технический лист'!$I:$J,2,1)-VLOOKUP($AO143,'Технический лист'!$I:$J,2,1)),1+(1-$AU143))</f>
        <v>1.3</v>
      </c>
      <c r="BB143" s="15">
        <f>MIN(IF($AU143=100%,1,1+VLOOKUP(($AJ143-$AI143-$AH143-$AG143-$AF143-$AE143*(1+BB$3))/$AJ143,'Технический лист'!$I:$J,2,1)-VLOOKUP($AO143,'Технический лист'!$I:$J,2,1)),1+(1-$AU143))</f>
        <v>1.3</v>
      </c>
      <c r="BC143" s="15">
        <f>MIN(IF($AU143=100%,1,1+VLOOKUP(($AJ143-$AI143-$AH143-$AG143-$AF143-$AE143*(1+BC$3))/$AJ143,'Технический лист'!$I:$J,2,1)-VLOOKUP($AO143,'Технический лист'!$I:$J,2,1)),1+(1-$AU143))</f>
        <v>1.3</v>
      </c>
      <c r="BD143" s="15">
        <f>MIN(IF($AU143=100%,1,1+VLOOKUP(($AJ143-$AI143-$AH143-$AG143-$AF143-$AE143*(1+BD$3))/$AJ143,'Технический лист'!$I:$J,2,1)-VLOOKUP($AO143,'Технический лист'!$I:$J,2,1)),1+(1-$AU143))</f>
        <v>1.3</v>
      </c>
      <c r="BE143" s="15">
        <f>MIN(IF($AU143=100%,1,1+VLOOKUP(($AJ143-$AI143-$AH143-$AG143-$AF143-$AE143*(1+BE$3))/$AJ143,'Технический лист'!$I:$J,2,1)-VLOOKUP($AO143,'Технический лист'!$I:$J,2,1)),1+(1-$AU143))</f>
        <v>1.3</v>
      </c>
      <c r="BF143" s="15">
        <f>MIN(IF($AU143=100%,1,1+VLOOKUP(($AJ143-$AI143-$AH143-$AG143-$AF143-$AE143*(1+BF$3))/$AJ143,'Технический лист'!$I:$J,2,1)-VLOOKUP($AO143,'Технический лист'!$I:$J,2,1)),1+(1-$AU143))</f>
        <v>1.3</v>
      </c>
      <c r="BG143" s="15">
        <f>MIN(IF($AU143=100%,1,1+VLOOKUP(($AJ143-$AI143-$AH143-$AG143-$AF143-$AE143*(1+BG$3))/$AJ143,'Технический лист'!$I:$J,2,1)-VLOOKUP($AO143,'Технический лист'!$I:$J,2,1)),1+(1-$AU143))</f>
        <v>1.3</v>
      </c>
      <c r="BH143" s="15">
        <f>MIN(IF($AU143=100%,1,1+VLOOKUP(($AJ143-$AI143-$AH143-$AG143-$AF143-$AE143*(1+BH$3))/$AJ143,'Технический лист'!$I:$J,2,1)-VLOOKUP($AO143,'Технический лист'!$I:$J,2,1)),1+(1-$AU143))</f>
        <v>1.3</v>
      </c>
      <c r="BI143" s="15">
        <f>MIN(IF($AU143=100%,1,1+VLOOKUP(($AJ143-$AI143-$AH143-$AG143-$AF143-$AE143*(1+BI$3))/$AJ143,'Технический лист'!$I:$J,2,1)-VLOOKUP($AO143,'Технический лист'!$I:$J,2,1)),1+(1-$AU143))</f>
        <v>1.3</v>
      </c>
      <c r="BJ143" s="15">
        <f>MIN(IF($AU143=100%,1,1+VLOOKUP(($AJ143-$AI143-$AH143-$AG143-$AF143-$AE143*(1+BJ$3))/$AJ143,'Технический лист'!$I:$J,2,1)-VLOOKUP($AO143,'Технический лист'!$I:$J,2,1)),1+(1-$AU143))</f>
        <v>1.3</v>
      </c>
      <c r="BK143" s="15">
        <f>MIN(IF($AU143=100%,1,1+VLOOKUP(($AJ143-$AI143-$AH143-$AG143-$AF143-$AE143*(1+BK$3))/$AJ143,'Технический лист'!$I:$J,2,1)-VLOOKUP($AO143,'Технический лист'!$I:$J,2,1)),1+(1-$AU143))</f>
        <v>1.3</v>
      </c>
      <c r="BL143" s="15">
        <f>MIN(IF($AU143=100%,1,1+VLOOKUP(($AJ143-$AI143-$AH143-$AG143-$AF143-$AE143*(1+BL$3))/$AJ143,'Технический лист'!$I:$J,2,1)-VLOOKUP($AO143,'Технический лист'!$I:$J,2,1)),1+(1-$AU143))</f>
        <v>1.3</v>
      </c>
      <c r="BM143" s="15">
        <f>MIN(IF($AU143=100%,1,1+VLOOKUP(($AJ143-$AI143-$AH143-$AG143-$AF143-$AE143*(1+BM$3))/$AJ143,'Технический лист'!$I:$J,2,1)-VLOOKUP($AO143,'Технический лист'!$I:$J,2,1)),1+(1-$AU143))</f>
        <v>1.3</v>
      </c>
      <c r="BN143" s="15">
        <f>MIN(IF($AU143=100%,1,1+VLOOKUP(($AJ143-$AI143-$AH143-$AG143-$AF143-$AE143*(1+BN$3))/$AJ143,'Технический лист'!$I:$J,2,1)-VLOOKUP($AO143,'Технический лист'!$I:$J,2,1)),1+(1-$AU143))</f>
        <v>1.3</v>
      </c>
      <c r="BO143" s="15">
        <f>MIN(IF($AU143=100%,1,1+VLOOKUP(($AJ143-$AI143-$AH143-$AG143-$AF143-$AE143*(1+BO$3))/$AJ143,'Технический лист'!$I:$J,2,1)-VLOOKUP($AO143,'Технический лист'!$I:$J,2,1)),1+(1-$AU143))</f>
        <v>1.3</v>
      </c>
      <c r="BP143" s="15">
        <f>MIN(IF($AU143=100%,1,1+VLOOKUP(($AJ143-$AI143-$AH143-$AG143-$AF143-$AE143*(1+BP$3))/$AJ143,'Технический лист'!$I:$J,2,1)-VLOOKUP($AO143,'Технический лист'!$I:$J,2,1)),1+(1-$AU143))</f>
        <v>1.3</v>
      </c>
      <c r="BQ143" s="15">
        <f>MIN(IF($AU143=100%,1,1+VLOOKUP(($AJ143-$AI143-$AH143-$AG143-$AF143-$AE143*(1+BQ$3))/$AJ143,'Технический лист'!$I:$J,2,1)-VLOOKUP($AO143,'Технический лист'!$I:$J,2,1)),1+(1-$AU143))</f>
        <v>1.3</v>
      </c>
      <c r="BR143" s="15">
        <f>MIN(IF($AU143=100%,1,1+VLOOKUP(($AJ143-$AI143-$AH143-$AG143-$AF143-$AE143*(1+BR$3))/$AJ143,'Технический лист'!$I:$J,2,1)-VLOOKUP($AO143,'Технический лист'!$I:$J,2,1)),1+(1-$AU143))</f>
        <v>1.3</v>
      </c>
      <c r="BS143" s="15">
        <f>MIN(IF($AU143=100%,1,1+VLOOKUP(($AJ143-$AI143-$AH143-$AG143-$AF143-$AE143*(1+BS$3))/$AJ143,'Технический лист'!$I:$J,2,1)-VLOOKUP($AO143,'Технический лист'!$I:$J,2,1)),1+(1-$AU143))</f>
        <v>1.3</v>
      </c>
      <c r="BT143" s="15">
        <f>MIN(IF($AU143=100%,1,1+VLOOKUP(($AJ143-$AI143-$AH143-$AG143-$AF143-$AE143*(1+BT$3))/$AJ143,'Технический лист'!$I:$J,2,1)-VLOOKUP($AO143,'Технический лист'!$I:$J,2,1)),1+(1-$AU143))</f>
        <v>1.3</v>
      </c>
      <c r="BU143" s="15">
        <f>MIN(IF($AU143=100%,1,1+VLOOKUP(($AJ143-$AI143-$AH143-$AG143-$AF143-$AE143*(1+BU$3))/$AJ143,'Технический лист'!$I:$J,2,1)-VLOOKUP($AO143,'Технический лист'!$I:$J,2,1)),1+(1-$AU143))</f>
        <v>1.3</v>
      </c>
      <c r="BV143" s="15">
        <f>MIN(IF($AU143=100%,1,1+VLOOKUP(($AJ143-$AI143-$AH143-$AG143-$AF143-$AE143*(1+BV$3))/$AJ143,'Технический лист'!$I:$J,2,1)-VLOOKUP($AO143,'Технический лист'!$I:$J,2,1)),1+(1-$AU143))</f>
        <v>1.3</v>
      </c>
      <c r="BW143" s="15">
        <f>MIN(IF($AU143=100%,1,1+VLOOKUP(($AJ143-$AI143-$AH143-$AG143-$AF143-$AE143*(1+BW$3))/$AJ143,'Технический лист'!$I:$J,2,1)-VLOOKUP($AO143,'Технический лист'!$I:$J,2,1)),1+(1-$AU143))</f>
        <v>1.3</v>
      </c>
      <c r="BX143" s="15">
        <f>MIN(IF($AU143=100%,1,1+VLOOKUP(($AJ143-$AI143-$AH143-$AG143-$AF143-$AE143*(1+BX$3))/$AJ143,'Технический лист'!$I:$J,2,1)-VLOOKUP($AO143,'Технический лист'!$I:$J,2,1)),1+(1-$AU143))</f>
        <v>1.3</v>
      </c>
      <c r="BY143" s="15">
        <f>MIN(IF($AU143=100%,1,1+VLOOKUP(($AJ143-$AI143-$AH143-$AG143-$AF143-$AE143*(1+BY$3))/$AJ143,'Технический лист'!$I:$J,2,1)-VLOOKUP($AO143,'Технический лист'!$I:$J,2,1)),1+(1-$AU143))</f>
        <v>1.3</v>
      </c>
      <c r="BZ143" s="15">
        <f>MIN(IF($AU143=100%,1,1+VLOOKUP(($AJ143-$AI143-$AH143-$AG143-$AF143-$AE143*(1+BZ$3))/$AJ143,'Технический лист'!$I:$J,2,1)-VLOOKUP($AO143,'Технический лист'!$I:$J,2,1)),1+(1-$AU143))</f>
        <v>1.3</v>
      </c>
      <c r="CA143" s="15">
        <f>MIN(IF($AU143=100%,1,1+VLOOKUP(($AJ143-$AI143-$AH143-$AG143-$AF143-$AE143*(1+CA$3))/$AJ143,'Технический лист'!$I:$J,2,1)-VLOOKUP($AO143,'Технический лист'!$I:$J,2,1)),1+(1-$AU143))</f>
        <v>1.3</v>
      </c>
      <c r="CB143" s="15">
        <f>MIN(IF($AU143=100%,1,1+VLOOKUP(($AJ143-$AI143-$AH143-$AG143-$AF143-$AE143*(1+CB$3))/$AJ143,'Технический лист'!$I:$J,2,1)-VLOOKUP($AO143,'Технический лист'!$I:$J,2,1)),1+(1-$AU143))</f>
        <v>1.3</v>
      </c>
      <c r="CC143" s="15">
        <f>MIN(IF($AU143=100%,1,1+VLOOKUP(($AJ143-$AI143-$AH143-$AG143-$AF143-$AE143*(1+CC$3))/$AJ143,'Технический лист'!$I:$J,2,1)-VLOOKUP($AO143,'Технический лист'!$I:$J,2,1)),1+(1-$AU143))</f>
        <v>1.3</v>
      </c>
      <c r="CD143" s="15">
        <f>MIN(IF($AU143=100%,1,1+VLOOKUP(($AJ143-$AI143-$AH143-$AG143-$AF143-$AE143*(1+CD$3))/$AJ143,'Технический лист'!$I:$J,2,1)-VLOOKUP($AO143,'Технический лист'!$I:$J,2,1)),1+(1-$AU143))</f>
        <v>1.3</v>
      </c>
      <c r="CE143" s="15">
        <f>MIN(IF($AU143=100%,1,1+VLOOKUP(($AJ143-$AI143-$AH143-$AG143-$AF143-$AE143*(1+CE$3))/$AJ143,'Технический лист'!$I:$J,2,1)-VLOOKUP($AO143,'Технический лист'!$I:$J,2,1)),1+(1-$AU143))</f>
        <v>1.3</v>
      </c>
      <c r="CF143" s="15">
        <f>MIN(IF($AU143=100%,1,1+VLOOKUP(($AJ143-$AI143-$AH143-$AG143-$AF143-$AE143*(1+CF$3))/$AJ143,'Технический лист'!$I:$J,2,1)-VLOOKUP($AO143,'Технический лист'!$I:$J,2,1)),1+(1-$AU143))</f>
        <v>1.3</v>
      </c>
      <c r="CG143" s="15">
        <f>MIN(IF($AU143=100%,1,1+VLOOKUP(($AJ143-$AI143-$AH143-$AG143-$AF143-$AE143*(1+CG$3))/$AJ143,'Технический лист'!$I:$J,2,1)-VLOOKUP($AO143,'Технический лист'!$I:$J,2,1)),1+(1-$AU143))</f>
        <v>1.3</v>
      </c>
      <c r="CH143" s="15">
        <f>MIN(IF($AU143=100%,1,1+VLOOKUP(($AJ143-$AI143-$AH143-$AG143-$AF143-$AE143*(1+CH$3))/$AJ143,'Технический лист'!$I:$J,2,1)-VLOOKUP($AO143,'Технический лист'!$I:$J,2,1)),1+(1-$AU143))</f>
        <v>1.3</v>
      </c>
      <c r="CI143" s="15">
        <f>MIN(IF($AU143=100%,1,1+VLOOKUP(($AJ143-$AI143-$AH143-$AG143-$AF143-$AE143*(1+CI$3))/$AJ143,'Технический лист'!$I:$J,2,1)-VLOOKUP($AO143,'Технический лист'!$I:$J,2,1)),1+(1-$AU143))</f>
        <v>1.3</v>
      </c>
      <c r="CJ143" s="15">
        <f>MIN(IF($AU143=100%,1,1+VLOOKUP(($AJ143-$AI143-$AH143-$AG143-$AF143-$AE143*(1+CJ$3))/$AJ143,'Технический лист'!$I:$J,2,1)-VLOOKUP($AO143,'Технический лист'!$I:$J,2,1)),1+(1-$AU143))</f>
        <v>1.3</v>
      </c>
      <c r="CK143" s="15">
        <f>MIN(IF($AU143=100%,1,1+VLOOKUP(($AJ143-$AI143-$AH143-$AG143-$AF143-$AE143*(1+CK$3))/$AJ143,'Технический лист'!$I:$J,2,1)-VLOOKUP($AO143,'Технический лист'!$I:$J,2,1)),1+(1-$AU143))</f>
        <v>1.3</v>
      </c>
      <c r="CL143" s="15">
        <f>MIN(IF($AU143=100%,1,1+VLOOKUP(($AJ143-$AI143-$AH143-$AG143-$AF143-$AE143*(1+CL$3))/$AJ143,'Технический лист'!$I:$J,2,1)-VLOOKUP($AO143,'Технический лист'!$I:$J,2,1)),1+(1-$AU143))</f>
        <v>1.3</v>
      </c>
      <c r="CM143" s="15">
        <f>MIN(IF($AU143=100%,1,1+VLOOKUP(($AJ143-$AI143-$AH143-$AG143-$AF143-$AE143*(1+CM$3))/$AJ143,'Технический лист'!$I:$J,2,1)-VLOOKUP($AO143,'Технический лист'!$I:$J,2,1)),1+(1-$AU143))</f>
        <v>1.3</v>
      </c>
      <c r="CN143" s="15">
        <f>MIN(IF($AU143=100%,1,1+VLOOKUP(($AJ143-$AI143-$AH143-$AG143-$AF143-$AE143*(1+CN$3))/$AJ143,'Технический лист'!$I:$J,2,1)-VLOOKUP($AO143,'Технический лист'!$I:$J,2,1)),1+(1-$AU143))</f>
        <v>1.3</v>
      </c>
      <c r="CO143" s="15">
        <f>MIN(IF($AU143=100%,1,1+VLOOKUP(($AJ143-$AI143-$AH143-$AG143-$AF143-$AE143*(1+CO$3))/$AJ143,'Технический лист'!$I:$J,2,1)-VLOOKUP($AO143,'Технический лист'!$I:$J,2,1)),1+(1-$AU143))</f>
        <v>1.3</v>
      </c>
      <c r="CP143" s="15">
        <f>MIN(IF($AU143=100%,1,1+VLOOKUP(($AJ143-$AI143-$AH143-$AG143-$AF143-$AE143*(1+CP$3))/$AJ143,'Технический лист'!$I:$J,2,1)-VLOOKUP($AO143,'Технический лист'!$I:$J,2,1)),1+(1-$AU143))</f>
        <v>1.3</v>
      </c>
      <c r="CQ143" s="15">
        <f>MIN(IF($AU143=100%,1,1+VLOOKUP(($AJ143-$AI143-$AH143-$AG143-$AF143-$AE143*(1+CQ$3))/$AJ143,'Технический лист'!$I:$J,2,1)-VLOOKUP($AO143,'Технический лист'!$I:$J,2,1)),1+(1-$AU143))</f>
        <v>1.3</v>
      </c>
      <c r="CR143" s="15">
        <f>MIN(IF($AU143=100%,1,1+VLOOKUP(($AJ143-$AI143-$AH143-$AG143-$AF143-$AE143*(1+CR$3))/$AJ143,'Технический лист'!$I:$J,2,1)-VLOOKUP($AO143,'Технический лист'!$I:$J,2,1)),1+(1-$AU143))</f>
        <v>1.3</v>
      </c>
      <c r="CS143" s="15">
        <f>MIN(IF($AU143=100%,1,1+VLOOKUP(($AJ143-$AI143-$AH143-$AG143-$AF143-$AE143*(1+CS$3))/$AJ143,'Технический лист'!$I:$J,2,1)-VLOOKUP($AO143,'Технический лист'!$I:$J,2,1)),1+(1-$AU143))</f>
        <v>1.3</v>
      </c>
      <c r="CT143" s="15">
        <f>MIN(IF($AU143=100%,1,1+VLOOKUP(($AJ143-$AI143-$AH143-$AG143-$AF143-$AE143*(1+CT$3))/$AJ143,'Технический лист'!$I:$J,2,1)-VLOOKUP($AO143,'Технический лист'!$I:$J,2,1)),1+(1-$AU143))</f>
        <v>1.3</v>
      </c>
      <c r="CU143" s="15">
        <f>MIN(IF($AU143=100%,1,1+VLOOKUP(($AJ143-$AI143-$AH143-$AG143-$AF143-$AE143*(1+CU$3))/$AJ143,'Технический лист'!$I:$J,2,1)-VLOOKUP($AO143,'Технический лист'!$I:$J,2,1)),1+(1-$AU143))</f>
        <v>1.3</v>
      </c>
      <c r="CV143" s="15">
        <f>MIN(IF($AU143=100%,1,1+VLOOKUP(($AJ143-$AI143-$AH143-$AG143-$AF143-$AE143*(1+CV$3))/$AJ143,'Технический лист'!$I:$J,2,1)-VLOOKUP($AO143,'Технический лист'!$I:$J,2,1)),1+(1-$AU143))</f>
        <v>1.3</v>
      </c>
      <c r="CW143" s="15">
        <f>MIN(IF($AU143=100%,1,1+VLOOKUP(($AJ143-$AI143-$AH143-$AG143-$AF143-$AE143*(1+CW$3))/$AJ143,'Технический лист'!$I:$J,2,1)-VLOOKUP($AO143,'Технический лист'!$I:$J,2,1)),1+(1-$AU143))</f>
        <v>1.3</v>
      </c>
      <c r="CX143" s="15">
        <f>MIN(IF($AU143=100%,1,1+VLOOKUP(($AJ143-$AI143-$AH143-$AG143-$AF143-$AE143*(1+CX$3))/$AJ143,'Технический лист'!$I:$J,2,1)-VLOOKUP($AO143,'Технический лист'!$I:$J,2,1)),1+(1-$AU143))</f>
        <v>1.3</v>
      </c>
      <c r="CY143" s="15">
        <f>MIN(IF($AU143=100%,1,1+VLOOKUP(($AJ143-$AI143-$AH143-$AG143-$AF143-$AE143*(1+CY$3))/$AJ143,'Технический лист'!$I:$J,2,1)-VLOOKUP($AO143,'Технический лист'!$I:$J,2,1)),1+(1-$AU143))</f>
        <v>1.3</v>
      </c>
      <c r="CZ143" s="15">
        <f>MIN(IF($AU143=100%,1,1+VLOOKUP(($AJ143-$AI143-$AH143-$AG143-$AF143-$AE143*(1+CZ$3))/$AJ143,'Технический лист'!$I:$J,2,1)-VLOOKUP($AO143,'Технический лист'!$I:$J,2,1)),1+(1-$AU143))</f>
        <v>1.3</v>
      </c>
      <c r="DA143" s="15">
        <f>MIN(IF($AU143=100%,1,1+VLOOKUP(($AJ143-$AI143-$AH143-$AG143-$AF143-$AE143*(1+DA$3))/$AJ143,'Технический лист'!$I:$J,2,1)-VLOOKUP($AO143,'Технический лист'!$I:$J,2,1)),1+(1-$AU143))</f>
        <v>1.3</v>
      </c>
      <c r="DB143" s="15">
        <f>MIN(IF($AU143=100%,1,1+VLOOKUP(($AJ143-$AI143-$AH143-$AG143-$AF143-$AE143*(1+DB$3))/$AJ143,'Технический лист'!$I:$J,2,1)-VLOOKUP($AO143,'Технический лист'!$I:$J,2,1)),1+(1-$AU143))</f>
        <v>1.3</v>
      </c>
      <c r="DC143" s="15">
        <f>MIN(IF($AU143=100%,1,1+VLOOKUP(($AJ143-$AI143-$AH143-$AG143-$AF143-$AE143*(1+DC$3))/$AJ143,'Технический лист'!$I:$J,2,1)-VLOOKUP($AO143,'Технический лист'!$I:$J,2,1)),1+(1-$AU143))</f>
        <v>1.3</v>
      </c>
      <c r="DD143" s="15">
        <f>MIN(IF($AU143=100%,1,1+VLOOKUP(($AJ143-$AI143-$AH143-$AG143-$AF143-$AE143*(1+DD$3))/$AJ143,'Технический лист'!$I:$J,2,1)-VLOOKUP($AO143,'Технический лист'!$I:$J,2,1)),1+(1-$AU143))</f>
        <v>1.3</v>
      </c>
      <c r="DE143" s="15">
        <f>MIN(IF($AU143=100%,1,1+VLOOKUP(($AJ143-$AI143-$AH143-$AG143-$AF143-$AE143*(1+DE$3))/$AJ143,'Технический лист'!$I:$J,2,1)-VLOOKUP($AO143,'Технический лист'!$I:$J,2,1)),1+(1-$AU143))</f>
        <v>1.3</v>
      </c>
      <c r="DF143" s="15">
        <f>MIN(IF($AU143=100%,1,1+VLOOKUP(($AJ143-$AI143-$AH143-$AG143-$AF143-$AE143*(1+DF$3))/$AJ143,'Технический лист'!$I:$J,2,1)-VLOOKUP($AO143,'Технический лист'!$I:$J,2,1)),1+(1-$AU143))</f>
        <v>1.3</v>
      </c>
      <c r="DG143" s="15">
        <f>MIN(IF($AU143=100%,1,1+VLOOKUP(($AJ143-$AI143-$AH143-$AG143-$AF143-$AE143*(1+DG$3))/$AJ143,'Технический лист'!$I:$J,2,1)-VLOOKUP($AO143,'Технический лист'!$I:$J,2,1)),1+(1-$AU143))</f>
        <v>1.3</v>
      </c>
      <c r="DH143" s="15">
        <f>MIN(IF($AU143=100%,1,1+VLOOKUP(($AJ143-$AI143-$AH143-$AG143-$AF143-$AE143*(1+DH$3))/$AJ143,'Технический лист'!$I:$J,2,1)-VLOOKUP($AO143,'Технический лист'!$I:$J,2,1)),1+(1-$AU143))</f>
        <v>1.3</v>
      </c>
      <c r="DI143" s="15">
        <f>MIN(IF($AU143=100%,1,1+VLOOKUP(($AJ143-$AI143-$AH143-$AG143-$AF143-$AE143*(1+DI$3))/$AJ143,'Технический лист'!$I:$J,2,1)-VLOOKUP($AO143,'Технический лист'!$I:$J,2,1)),1+(1-$AU143))</f>
        <v>1.3</v>
      </c>
      <c r="DJ143" s="15">
        <f>MIN(IF($AU143=100%,1,1+VLOOKUP(($AJ143-$AI143-$AH143-$AG143-$AF143-$AE143*(1+DJ$3))/$AJ143,'Технический лист'!$I:$J,2,1)-VLOOKUP($AO143,'Технический лист'!$I:$J,2,1)),1+(1-$AU143))</f>
        <v>1.29</v>
      </c>
      <c r="DK143" s="15">
        <f>MIN(IF($AU143=100%,1,1+VLOOKUP(($AJ143-$AI143-$AH143-$AG143-$AF143-$AE143*(1+DK$3))/$AJ143,'Технический лист'!$I:$J,2,1)-VLOOKUP($AO143,'Технический лист'!$I:$J,2,1)),1+(1-$AU143))</f>
        <v>1.29</v>
      </c>
      <c r="DL143" s="15">
        <f>MIN(IF($AU143=100%,1,1+VLOOKUP(($AJ143-$AI143-$AH143-$AG143-$AF143-$AE143*(1+DL$3))/$AJ143,'Технический лист'!$I:$J,2,1)-VLOOKUP($AO143,'Технический лист'!$I:$J,2,1)),1+(1-$AU143))</f>
        <v>1.29</v>
      </c>
      <c r="DM143" s="15">
        <f>MIN(IF($AU143=100%,1,1+VLOOKUP(($AJ143-$AI143-$AH143-$AG143-$AF143-$AE143*(1+DM$3))/$AJ143,'Технический лист'!$I:$J,2,1)-VLOOKUP($AO143,'Технический лист'!$I:$J,2,1)),1+(1-$AU143))</f>
        <v>1.29</v>
      </c>
      <c r="DN143" s="15">
        <f>MIN(IF($AU143=100%,1,1+VLOOKUP(($AJ143-$AI143-$AH143-$AG143-$AF143-$AE143*(1+DN$3))/$AJ143,'Технический лист'!$I:$J,2,1)-VLOOKUP($AO143,'Технический лист'!$I:$J,2,1)),1+(1-$AU143))</f>
        <v>1.29</v>
      </c>
      <c r="DO143" s="15">
        <f>MIN(IF($AU143=100%,1,1+VLOOKUP(($AJ143-$AI143-$AH143-$AG143-$AF143-$AE143*(1+DO$3))/$AJ143,'Технический лист'!$I:$J,2,1)-VLOOKUP($AO143,'Технический лист'!$I:$J,2,1)),1+(1-$AU143))</f>
        <v>1.2599999999999998</v>
      </c>
      <c r="DP143" s="15">
        <f>MIN(IF($AU143=100%,1,1+VLOOKUP(($AJ143-$AI143-$AH143-$AG143-$AF143-$AE143*(1+DP$3))/$AJ143,'Технический лист'!$I:$J,2,1)-VLOOKUP($AO143,'Технический лист'!$I:$J,2,1)),1+(1-$AU143))</f>
        <v>1.2599999999999998</v>
      </c>
      <c r="DQ143" s="15">
        <f>MIN(IF($AU143=100%,1,1+VLOOKUP(($AJ143-$AI143-$AH143-$AG143-$AF143-$AE143*(1+DQ$3))/$AJ143,'Технический лист'!$I:$J,2,1)-VLOOKUP($AO143,'Технический лист'!$I:$J,2,1)),1+(1-$AU143))</f>
        <v>1.2599999999999998</v>
      </c>
      <c r="DR143" s="15">
        <f>MIN(IF($AU143=100%,1,1+VLOOKUP(($AJ143-$AI143-$AH143-$AG143-$AF143-$AE143*(1+DR$3))/$AJ143,'Технический лист'!$I:$J,2,1)-VLOOKUP($AO143,'Технический лист'!$I:$J,2,1)),1+(1-$AU143))</f>
        <v>1.2599999999999998</v>
      </c>
      <c r="DS143" s="15">
        <f>MIN(IF($AU143=100%,1,1+VLOOKUP(($AJ143-$AI143-$AH143-$AG143-$AF143-$AE143*(1+DS$3))/$AJ143,'Технический лист'!$I:$J,2,1)-VLOOKUP($AO143,'Технический лист'!$I:$J,2,1)),1+(1-$AU143))</f>
        <v>1.2250000000000001</v>
      </c>
      <c r="DT143" s="15">
        <f>MIN(IF($AU143=100%,1,1+VLOOKUP(($AJ143-$AI143-$AH143-$AG143-$AF143-$AE143*(1+DT$3))/$AJ143,'Технический лист'!$I:$J,2,1)-VLOOKUP($AO143,'Технический лист'!$I:$J,2,1)),1+(1-$AU143))</f>
        <v>1.2250000000000001</v>
      </c>
      <c r="DU143" s="15">
        <f>MIN(IF($AU143=100%,1,1+VLOOKUP(($AJ143-$AI143-$AH143-$AG143-$AF143-$AE143*(1+DU$3))/$AJ143,'Технический лист'!$I:$J,2,1)-VLOOKUP($AO143,'Технический лист'!$I:$J,2,1)),1+(1-$AU143))</f>
        <v>1.2250000000000001</v>
      </c>
      <c r="DV143" s="15">
        <f>MIN(IF($AU143=100%,1,1+VLOOKUP(($AJ143-$AI143-$AH143-$AG143-$AF143-$AE143*(1+DV$3))/$AJ143,'Технический лист'!$I:$J,2,1)-VLOOKUP($AO143,'Технический лист'!$I:$J,2,1)),1+(1-$AU143))</f>
        <v>1.2250000000000001</v>
      </c>
      <c r="DW143" s="15">
        <f>MIN(IF($AU143=100%,1,1+VLOOKUP(($AJ143-$AI143-$AH143-$AG143-$AF143-$AE143*(1+DW$3))/$AJ143,'Технический лист'!$I:$J,2,1)-VLOOKUP($AO143,'Технический лист'!$I:$J,2,1)),1+(1-$AU143))</f>
        <v>1.2250000000000001</v>
      </c>
      <c r="DX143" s="15">
        <f>MIN(IF($AU143=100%,1,1+VLOOKUP(($AJ143-$AI143-$AH143-$AG143-$AF143-$AE143*(1+DX$3))/$AJ143,'Технический лист'!$I:$J,2,1)-VLOOKUP($AO143,'Технический лист'!$I:$J,2,1)),1+(1-$AU143))</f>
        <v>1.19</v>
      </c>
      <c r="DY143" s="15">
        <f>MIN(IF($AU143=100%,1,1+VLOOKUP(($AJ143-$AI143-$AH143-$AG143-$AF143-$AE143*(1+DY$3))/$AJ143,'Технический лист'!$I:$J,2,1)-VLOOKUP($AO143,'Технический лист'!$I:$J,2,1)),1+(1-$AU143))</f>
        <v>1.19</v>
      </c>
      <c r="DZ143" s="15">
        <f>MIN(IF($AU143=100%,1,1+VLOOKUP(($AJ143-$AI143-$AH143-$AG143-$AF143-$AE143*(1+DZ$3))/$AJ143,'Технический лист'!$I:$J,2,1)-VLOOKUP($AO143,'Технический лист'!$I:$J,2,1)),1+(1-$AU143))</f>
        <v>1.19</v>
      </c>
      <c r="EA143" s="15">
        <f>MIN(IF($AU143=100%,1,1+VLOOKUP(($AJ143-$AI143-$AH143-$AG143-$AF143-$AE143*(1+EA$3))/$AJ143,'Технический лист'!$I:$J,2,1)-VLOOKUP($AO143,'Технический лист'!$I:$J,2,1)),1+(1-$AU143))</f>
        <v>1.19</v>
      </c>
      <c r="EB143" s="15">
        <f>MIN(IF($AU143=100%,1,1+VLOOKUP(($AJ143-$AI143-$AH143-$AG143-$AF143-$AE143*(1+EB$3))/$AJ143,'Технический лист'!$I:$J,2,1)-VLOOKUP($AO143,'Технический лист'!$I:$J,2,1)),1+(1-$AU143))</f>
        <v>1.1549999999999998</v>
      </c>
      <c r="EC143" s="15">
        <f>MIN(IF($AU143=100%,1,1+VLOOKUP(($AJ143-$AI143-$AH143-$AG143-$AF143-$AE143*(1+EC$3))/$AJ143,'Технический лист'!$I:$J,2,1)-VLOOKUP($AO143,'Технический лист'!$I:$J,2,1)),1+(1-$AU143))</f>
        <v>1.1549999999999998</v>
      </c>
      <c r="ED143" s="15">
        <f>MIN(IF($AU143=100%,1,1+VLOOKUP(($AJ143-$AI143-$AH143-$AG143-$AF143-$AE143*(1+ED$3))/$AJ143,'Технический лист'!$I:$J,2,1)-VLOOKUP($AO143,'Технический лист'!$I:$J,2,1)),1+(1-$AU143))</f>
        <v>1.1549999999999998</v>
      </c>
      <c r="EE143" s="15">
        <f>MIN(IF($AU143=100%,1,1+VLOOKUP(($AJ143-$AI143-$AH143-$AG143-$AF143-$AE143*(1+EE$3))/$AJ143,'Технический лист'!$I:$J,2,1)-VLOOKUP($AO143,'Технический лист'!$I:$J,2,1)),1+(1-$AU143))</f>
        <v>1.1549999999999998</v>
      </c>
      <c r="EF143" s="15">
        <f>MIN(IF($AU143=100%,1,1+VLOOKUP(($AJ143-$AI143-$AH143-$AG143-$AF143-$AE143*(1+EF$3))/$AJ143,'Технический лист'!$I:$J,2,1)-VLOOKUP($AO143,'Технический лист'!$I:$J,2,1)),1+(1-$AU143))</f>
        <v>1.1549999999999998</v>
      </c>
      <c r="EG143" s="15">
        <f>MIN(IF($AU143=100%,1,1+VLOOKUP(($AJ143-$AI143-$AH143-$AG143-$AF143-$AE143*(1+EG$3))/$AJ143,'Технический лист'!$I:$J,2,1)-VLOOKUP($AO143,'Технический лист'!$I:$J,2,1)),1+(1-$AU143))</f>
        <v>1.1199999999999999</v>
      </c>
      <c r="EH143" s="15">
        <f>MIN(IF($AU143=100%,1,1+VLOOKUP(($AJ143-$AI143-$AH143-$AG143-$AF143-$AE143*(1+EH$3))/$AJ143,'Технический лист'!$I:$J,2,1)-VLOOKUP($AO143,'Технический лист'!$I:$J,2,1)),1+(1-$AU143))</f>
        <v>1.1199999999999999</v>
      </c>
      <c r="EI143" s="15">
        <f>MIN(IF($AU143=100%,1,1+VLOOKUP(($AJ143-$AI143-$AH143-$AG143-$AF143-$AE143*(1+EI$3))/$AJ143,'Технический лист'!$I:$J,2,1)-VLOOKUP($AO143,'Технический лист'!$I:$J,2,1)),1+(1-$AU143))</f>
        <v>1.1199999999999999</v>
      </c>
      <c r="EJ143" s="15">
        <f>MIN(IF($AU143=100%,1,1+VLOOKUP(($AJ143-$AI143-$AH143-$AG143-$AF143-$AE143*(1+EJ$3))/$AJ143,'Технический лист'!$I:$J,2,1)-VLOOKUP($AO143,'Технический лист'!$I:$J,2,1)),1+(1-$AU143))</f>
        <v>1.1199999999999999</v>
      </c>
      <c r="EK143" s="15">
        <f>MIN(IF($AU143=100%,1,1+VLOOKUP(($AJ143-$AI143-$AH143-$AG143-$AF143-$AE143*(1+EK$3))/$AJ143,'Технический лист'!$I:$J,2,1)-VLOOKUP($AO143,'Технический лист'!$I:$J,2,1)),1+(1-$AU143))</f>
        <v>1.0799999999999998</v>
      </c>
      <c r="EL143" s="15">
        <f>MIN(IF($AU143=100%,1,1+VLOOKUP(($AJ143-$AI143-$AH143-$AG143-$AF143-$AE143*(1+EL$3))/$AJ143,'Технический лист'!$I:$J,2,1)-VLOOKUP($AO143,'Технический лист'!$I:$J,2,1)),1+(1-$AU143))</f>
        <v>1.0799999999999998</v>
      </c>
      <c r="EM143" s="15">
        <f>MIN(IF($AU143=100%,1,1+VLOOKUP(($AJ143-$AI143-$AH143-$AG143-$AF143-$AE143*(1+EM$3))/$AJ143,'Технический лист'!$I:$J,2,1)-VLOOKUP($AO143,'Технический лист'!$I:$J,2,1)),1+(1-$AU143))</f>
        <v>1.0799999999999998</v>
      </c>
      <c r="EN143" s="15">
        <f>MIN(IF($AU143=100%,1,1+VLOOKUP(($AJ143-$AI143-$AH143-$AG143-$AF143-$AE143*(1+EN$3))/$AJ143,'Технический лист'!$I:$J,2,1)-VLOOKUP($AO143,'Технический лист'!$I:$J,2,1)),1+(1-$AU143))</f>
        <v>1.0799999999999998</v>
      </c>
      <c r="EO143" s="15">
        <f>MIN(IF($AU143=100%,1,1+VLOOKUP(($AJ143-$AI143-$AH143-$AG143-$AF143-$AE143*(1+EO$3))/$AJ143,'Технический лист'!$I:$J,2,1)-VLOOKUP($AO143,'Технический лист'!$I:$J,2,1)),1+(1-$AU143))</f>
        <v>1.0799999999999998</v>
      </c>
      <c r="EP143" s="15">
        <f>MIN(IF($AU143=100%,1,1+VLOOKUP(($AJ143-$AI143-$AH143-$AG143-$AF143-$AE143*(1+EP$3))/$AJ143,'Технический лист'!$I:$J,2,1)-VLOOKUP($AO143,'Технический лист'!$I:$J,2,1)),1+(1-$AU143))</f>
        <v>1.04</v>
      </c>
      <c r="EQ143" s="15">
        <f>MIN(IF($AU143=100%,1,1+VLOOKUP(($AJ143-$AI143-$AH143-$AG143-$AF143-$AE143*(1+EQ$3))/$AJ143,'Технический лист'!$I:$J,2,1)-VLOOKUP($AO143,'Технический лист'!$I:$J,2,1)),1+(1-$AU143))</f>
        <v>1.04</v>
      </c>
      <c r="ER143" s="15">
        <f>MIN(IF($AU143=100%,1,1+VLOOKUP(($AJ143-$AI143-$AH143-$AG143-$AF143-$AE143*(1+ER$3))/$AJ143,'Технический лист'!$I:$J,2,1)-VLOOKUP($AO143,'Технический лист'!$I:$J,2,1)),1+(1-$AU143))</f>
        <v>1.04</v>
      </c>
      <c r="ES143" s="15">
        <f>MIN(IF($AU143=100%,1,1+VLOOKUP(($AJ143-$AI143-$AH143-$AG143-$AF143-$AE143*(1+ES$3))/$AJ143,'Технический лист'!$I:$J,2,1)-VLOOKUP($AO143,'Технический лист'!$I:$J,2,1)),1+(1-$AU143))</f>
        <v>1.04</v>
      </c>
      <c r="ET143" s="15">
        <f>MIN(IF($AU143=100%,1,1+VLOOKUP(($AJ143-$AI143-$AH143-$AG143-$AF143-$AE143*(1+ET$3))/$AJ143,'Технический лист'!$I:$J,2,1)-VLOOKUP($AO143,'Технический лист'!$I:$J,2,1)),1+(1-$AU143))</f>
        <v>1</v>
      </c>
      <c r="EU143" s="15">
        <f>MIN(IF($AU143=100%,1,1+VLOOKUP(($AJ143-$AI143-$AH143-$AG143-$AF143-$AE143*(1+EU$3))/$AJ143,'Технический лист'!$I:$J,2,1)-VLOOKUP($AO143,'Технический лист'!$I:$J,2,1)),1+(1-$AU143))</f>
        <v>1</v>
      </c>
      <c r="EV143" s="111">
        <v>1</v>
      </c>
      <c r="EW143" s="15">
        <f>MIN(1,MAX(VLOOKUP(($AJ143-$AI143-$AH143-$AG143-$AF143-$AE143*(1+EW$3))/$AJ143,'Технический лист'!$A:$B,2,1),(EV143-0.05)))</f>
        <v>0.95</v>
      </c>
      <c r="EX143" s="15">
        <f>MIN(1,MAX(VLOOKUP(($AJ143-$AI143-$AH143-$AG143-$AF143-$AE143*(1+EX$3))/$AJ143,'Технический лист'!$A:$B,2,1),(EW143-0.05)))</f>
        <v>0.94</v>
      </c>
      <c r="EY143" s="15">
        <f>MIN(1,MAX(VLOOKUP(($AJ143-$AI143-$AH143-$AG143-$AF143-$AE143*(1+EY$3))/$AJ143,'Технический лист'!$A:$B,2,1),(EX143-0.05)))</f>
        <v>0.94</v>
      </c>
      <c r="EZ143" s="15">
        <f>MIN(1,MAX(VLOOKUP(($AJ143-$AI143-$AH143-$AG143-$AF143-$AE143*(1+EZ$3))/$AJ143,'Технический лист'!$A:$B,2,1),(EY143-0.05)))</f>
        <v>0.94</v>
      </c>
      <c r="FA143" s="15">
        <f>MIN(1,MAX(VLOOKUP(($AJ143-$AI143-$AH143-$AG143-$AF143-$AE143*(1+FA$3))/$AJ143,'Технический лист'!$A:$B,2,1),(EZ143-0.05)))</f>
        <v>0.94</v>
      </c>
      <c r="FB143" s="15">
        <f>MIN(1,MAX(VLOOKUP(($AJ143-$AI143-$AH143-$AG143-$AF143-$AE143*(1+FB$3))/$AJ143,'Технический лист'!$A:$B,2,1),(FA143-0.05)))</f>
        <v>0.94</v>
      </c>
      <c r="FC143" s="15">
        <f>MIN(1,MAX(VLOOKUP(($AJ143-$AI143-$AH143-$AG143-$AF143-$AE143*(1+FC$3))/$AJ143,'Технический лист'!$A:$B,2,1),(FB143-0.05)))</f>
        <v>0.93500000000000005</v>
      </c>
      <c r="FD143" s="15">
        <f>MIN(1,MAX(VLOOKUP(($AJ143-$AI143-$AH143-$AG143-$AF143-$AE143*(1+FD$3))/$AJ143,'Технический лист'!$A:$B,2,1),(FC143-0.05)))</f>
        <v>0.93500000000000005</v>
      </c>
      <c r="FE143" s="15">
        <f>MIN(1,MAX(VLOOKUP(($AJ143-$AI143-$AH143-$AG143-$AF143-$AE143*(1+FE$3))/$AJ143,'Технический лист'!$A:$B,2,1),(FD143-0.05)))</f>
        <v>0.93500000000000005</v>
      </c>
      <c r="FF143" s="15">
        <f>MIN(1,MAX(VLOOKUP(($AJ143-$AI143-$AH143-$AG143-$AF143-$AE143*(1+FF$3))/$AJ143,'Технический лист'!$A:$B,2,1),(FE143-0.05)))</f>
        <v>0.93500000000000005</v>
      </c>
      <c r="FG143" s="15">
        <f>MIN(1,MAX(VLOOKUP(($AJ143-$AI143-$AH143-$AG143-$AF143-$AE143*(1+FG$3))/$AJ143,'Технический лист'!$A:$B,2,1),(FF143-0.05)))</f>
        <v>0.93500000000000005</v>
      </c>
      <c r="FH143" s="15">
        <f>MIN(1,MAX(VLOOKUP(($AJ143-$AI143-$AH143-$AG143-$AF143-$AE143*(1+FH$3))/$AJ143,'Технический лист'!$A:$B,2,1),(FG143-0.05)))</f>
        <v>0.93500000000000005</v>
      </c>
      <c r="FI143" s="15">
        <f>MIN(1,MAX(VLOOKUP(($AJ143-$AI143-$AH143-$AG143-$AF143-$AE143*(1+FI$3))/$AJ143,'Технический лист'!$A:$B,2,1),(FH143-0.05)))</f>
        <v>0.93500000000000005</v>
      </c>
      <c r="FJ143" s="15">
        <f>MIN(1,MAX(VLOOKUP(($AJ143-$AI143-$AH143-$AG143-$AF143-$AE143*(1+FJ$3))/$AJ143,'Технический лист'!$A:$B,2,1),(FI143-0.05)))</f>
        <v>0.93500000000000005</v>
      </c>
      <c r="FK143" s="15">
        <f>MIN(1,MAX(VLOOKUP(($AJ143-$AI143-$AH143-$AG143-$AF143-$AE143*(1+FK$3))/$AJ143,'Технический лист'!$A:$B,2,1),(FJ143-0.05)))</f>
        <v>0.93500000000000005</v>
      </c>
      <c r="FL143" s="15">
        <f>MIN(1,MAX(VLOOKUP(($AJ143-$AI143-$AH143-$AG143-$AF143-$AE143*(1+FL$3))/$AJ143,'Технический лист'!$A:$B,2,1),(FK143-0.05)))</f>
        <v>0.93500000000000005</v>
      </c>
      <c r="FM143" s="15">
        <f>MIN(1,MAX(VLOOKUP(($AJ143-$AI143-$AH143-$AG143-$AF143-$AE143*(1+FM$3))/$AJ143,'Технический лист'!$A:$B,2,1),(FL143-0.05)))</f>
        <v>0.93</v>
      </c>
      <c r="FN143" s="15">
        <f>MIN(1,MAX(VLOOKUP(($AJ143-$AI143-$AH143-$AG143-$AF143-$AE143*(1+FN$3))/$AJ143,'Технический лист'!$A:$B,2,1),(FM143-0.05)))</f>
        <v>0.93</v>
      </c>
      <c r="FO143" s="15">
        <f>MIN(1,MAX(VLOOKUP(($AJ143-$AI143-$AH143-$AG143-$AF143-$AE143*(1+FO$3))/$AJ143,'Технический лист'!$A:$B,2,1),(FN143-0.05)))</f>
        <v>0.93</v>
      </c>
      <c r="FP143" s="15">
        <f>MIN(1,MAX(VLOOKUP(($AJ143-$AI143-$AH143-$AG143-$AF143-$AE143*(1+FP$3))/$AJ143,'Технический лист'!$A:$B,2,1),(FO143-0.05)))</f>
        <v>0.93</v>
      </c>
      <c r="FQ143" s="15">
        <f>MIN(1,MAX(VLOOKUP(($AJ143-$AI143-$AH143-$AG143-$AF143-$AE143*(1+FQ$3))/$AJ143,'Технический лист'!$A:$B,2,1),(FP143-0.05)))</f>
        <v>0.93</v>
      </c>
      <c r="FR143" s="15">
        <f>MIN(1,MAX(VLOOKUP(($AJ143-$AI143-$AH143-$AG143-$AF143-$AE143*(1+FR$3))/$AJ143,'Технический лист'!$A:$B,2,1),(FQ143-0.05)))</f>
        <v>0.93</v>
      </c>
      <c r="FS143" s="15">
        <f>MIN(1,MAX(VLOOKUP(($AJ143-$AI143-$AH143-$AG143-$AF143-$AE143*(1+FS$3))/$AJ143,'Технический лист'!$A:$B,2,1),(FR143-0.05)))</f>
        <v>0.93</v>
      </c>
      <c r="FT143" s="15">
        <f>MIN(1,MAX(VLOOKUP(($AJ143-$AI143-$AH143-$AG143-$AF143-$AE143*(1+FT$3))/$AJ143,'Технический лист'!$A:$B,2,1),(FS143-0.05)))</f>
        <v>0.93</v>
      </c>
      <c r="FU143" s="15">
        <f>MIN(1,MAX(VLOOKUP(($AJ143-$AI143-$AH143-$AG143-$AF143-$AE143*(1+FU$3))/$AJ143,'Технический лист'!$A:$B,2,1),(FT143-0.05)))</f>
        <v>0.93</v>
      </c>
      <c r="FV143" s="15">
        <f>MIN(1,MAX(VLOOKUP(($AJ143-$AI143-$AH143-$AG143-$AF143-$AE143*(1+FV$3))/$AJ143,'Технический лист'!$A:$B,2,1),(FU143-0.05)))</f>
        <v>0.92500000000000004</v>
      </c>
      <c r="FW143" s="15">
        <f>MIN(1,MAX(VLOOKUP(($AJ143-$AI143-$AH143-$AG143-$AF143-$AE143*(1+FW$3))/$AJ143,'Технический лист'!$A:$B,2,1),(FV143-0.05)))</f>
        <v>0.92500000000000004</v>
      </c>
      <c r="FX143" s="15">
        <f>MIN(1,MAX(VLOOKUP(($AJ143-$AI143-$AH143-$AG143-$AF143-$AE143*(1+FX$3))/$AJ143,'Технический лист'!$A:$B,2,1),(FW143-0.05)))</f>
        <v>0.92500000000000004</v>
      </c>
      <c r="FY143" s="15">
        <f>MIN(1,MAX(VLOOKUP(($AJ143-$AI143-$AH143-$AG143-$AF143-$AE143*(1+FY$3))/$AJ143,'Технический лист'!$A:$B,2,1),(FX143-0.05)))</f>
        <v>0.92500000000000004</v>
      </c>
      <c r="FZ143" s="15">
        <f>MIN(1,MAX(VLOOKUP(($AJ143-$AI143-$AH143-$AG143-$AF143-$AE143*(1+FZ$3))/$AJ143,'Технический лист'!$A:$B,2,1),(FY143-0.05)))</f>
        <v>0.92500000000000004</v>
      </c>
      <c r="GA143" s="15">
        <f>MIN(1,MAX(VLOOKUP(($AJ143-$AI143-$AH143-$AG143-$AF143-$AE143*(1+GA$3))/$AJ143,'Технический лист'!$A:$B,2,1),(FZ143-0.05)))</f>
        <v>0.92500000000000004</v>
      </c>
      <c r="GB143" s="15">
        <f>MIN(1,MAX(VLOOKUP(($AJ143-$AI143-$AH143-$AG143-$AF143-$AE143*(1+GB$3))/$AJ143,'Технический лист'!$A:$B,2,1),(GA143-0.05)))</f>
        <v>0.92500000000000004</v>
      </c>
      <c r="GC143" s="15">
        <f>MIN(1,MAX(VLOOKUP(($AJ143-$AI143-$AH143-$AG143-$AF143-$AE143*(1+GC$3))/$AJ143,'Технический лист'!$A:$B,2,1),(GB143-0.05)))</f>
        <v>0.92500000000000004</v>
      </c>
      <c r="GD143" s="15">
        <f>MIN(1,MAX(VLOOKUP(($AJ143-$AI143-$AH143-$AG143-$AF143-$AE143*(1+GD$3))/$AJ143,'Технический лист'!$A:$B,2,1),(GC143-0.05)))</f>
        <v>0.92500000000000004</v>
      </c>
      <c r="GE143" s="15">
        <f>MIN(1,MAX(VLOOKUP(($AJ143-$AI143-$AH143-$AG143-$AF143-$AE143*(1+GE$3))/$AJ143,'Технический лист'!$A:$B,2,1),(GD143-0.05)))</f>
        <v>0.92</v>
      </c>
      <c r="GF143" s="15">
        <f>MIN(1,MAX(VLOOKUP(($AJ143-$AI143-$AH143-$AG143-$AF143-$AE143*(1+GF$3))/$AJ143,'Технический лист'!$A:$B,2,1),(GE143-0.05)))</f>
        <v>0.92</v>
      </c>
      <c r="GG143" s="15">
        <f>MIN(1,MAX(VLOOKUP(($AJ143-$AI143-$AH143-$AG143-$AF143-$AE143*(1+GG$3))/$AJ143,'Технический лист'!$A:$B,2,1),(GF143-0.05)))</f>
        <v>0.92</v>
      </c>
      <c r="GH143" s="15">
        <f>MIN(1,MAX(VLOOKUP(($AJ143-$AI143-$AH143-$AG143-$AF143-$AE143*(1+GH$3))/$AJ143,'Технический лист'!$A:$B,2,1),(GG143-0.05)))</f>
        <v>0.92</v>
      </c>
      <c r="GI143" s="15">
        <f>MIN(1,MAX(VLOOKUP(($AJ143-$AI143-$AH143-$AG143-$AF143-$AE143*(1+GI$3))/$AJ143,'Технический лист'!$A:$B,2,1),(GH143-0.05)))</f>
        <v>0.92</v>
      </c>
      <c r="GJ143" s="15">
        <f>MIN(1,MAX(VLOOKUP(($AJ143-$AI143-$AH143-$AG143-$AF143-$AE143*(1+GJ$3))/$AJ143,'Технический лист'!$A:$B,2,1),(GI143-0.05)))</f>
        <v>0.92</v>
      </c>
      <c r="GK143" s="15">
        <f>MIN(1,MAX(VLOOKUP(($AJ143-$AI143-$AH143-$AG143-$AF143-$AE143*(1+GK$3))/$AJ143,'Технический лист'!$A:$B,2,1),(GJ143-0.05)))</f>
        <v>0.92</v>
      </c>
      <c r="GL143" s="15">
        <f>MIN(1,MAX(VLOOKUP(($AJ143-$AI143-$AH143-$AG143-$AF143-$AE143*(1+GL$3))/$AJ143,'Технический лист'!$A:$B,2,1),(GK143-0.05)))</f>
        <v>0.92</v>
      </c>
      <c r="GM143" s="15">
        <f>MIN(1,MAX(VLOOKUP(($AJ143-$AI143-$AH143-$AG143-$AF143-$AE143*(1+GM$3))/$AJ143,'Технический лист'!$A:$B,2,1),(GL143-0.05)))</f>
        <v>0.92</v>
      </c>
      <c r="GN143" s="15">
        <f>MIN(1,MAX(VLOOKUP(($AJ143-$AI143-$AH143-$AG143-$AF143-$AE143*(1+GN$3))/$AJ143,'Технический лист'!$A:$B,2,1),(GM143-0.05)))</f>
        <v>0.91400000000000003</v>
      </c>
      <c r="GO143" s="15">
        <f>MIN(1,MAX(VLOOKUP(($AJ143-$AI143-$AH143-$AG143-$AF143-$AE143*(1+GO$3))/$AJ143,'Технический лист'!$A:$B,2,1),(GN143-0.05)))</f>
        <v>0.91400000000000003</v>
      </c>
      <c r="GP143" s="15">
        <f>MIN(1,MAX(VLOOKUP(($AJ143-$AI143-$AH143-$AG143-$AF143-$AE143*(1+GP$3))/$AJ143,'Технический лист'!$A:$B,2,1),(GO143-0.05)))</f>
        <v>0.91400000000000003</v>
      </c>
      <c r="GQ143" s="15">
        <f>MIN(1,MAX(VLOOKUP(($AJ143-$AI143-$AH143-$AG143-$AF143-$AE143*(1+GQ$3))/$AJ143,'Технический лист'!$A:$B,2,1),(GP143-0.05)))</f>
        <v>0.91400000000000003</v>
      </c>
      <c r="GR143" s="15">
        <f>MIN(1,MAX(VLOOKUP(($AJ143-$AI143-$AH143-$AG143-$AF143-$AE143*(1+GR$3))/$AJ143,'Технический лист'!$A:$B,2,1),(GQ143-0.05)))</f>
        <v>0.91400000000000003</v>
      </c>
      <c r="GS143" s="15">
        <f>MIN(1,MAX(VLOOKUP(($AJ143-$AI143-$AH143-$AG143-$AF143-$AE143*(1+GS$3))/$AJ143,'Технический лист'!$A:$B,2,1),(GR143-0.05)))</f>
        <v>0.91400000000000003</v>
      </c>
      <c r="GT143" s="15">
        <f>MIN(1,MAX(VLOOKUP(($AJ143-$AI143-$AH143-$AG143-$AF143-$AE143*(1+GT$3))/$AJ143,'Технический лист'!$A:$B,2,1),(GS143-0.05)))</f>
        <v>0.91400000000000003</v>
      </c>
      <c r="GU143" s="15">
        <f>MIN(1,MAX(VLOOKUP(($AJ143-$AI143-$AH143-$AG143-$AF143-$AE143*(1+GU$3))/$AJ143,'Технический лист'!$A:$B,2,1),(GT143-0.05)))</f>
        <v>0.91400000000000003</v>
      </c>
      <c r="GV143" s="15">
        <f>MIN(1,MAX(VLOOKUP(($AJ143-$AI143-$AH143-$AG143-$AF143-$AE143*(1+GV$3))/$AJ143,'Технический лист'!$A:$B,2,1),(GU143-0.05)))</f>
        <v>0.91400000000000003</v>
      </c>
      <c r="GW143" s="15">
        <f>MIN(1,MAX(VLOOKUP(($AJ143-$AI143-$AH143-$AG143-$AF143-$AE143*(1+GW$3))/$AJ143,'Технический лист'!$A:$B,2,1),(GV143-0.05)))</f>
        <v>0.90800000000000003</v>
      </c>
      <c r="GX143" s="15">
        <f>MIN(1,MAX(VLOOKUP(($AJ143-$AI143-$AH143-$AG143-$AF143-$AE143*(1+GX$3))/$AJ143,'Технический лист'!$A:$B,2,1),(GW143-0.05)))</f>
        <v>0.90800000000000003</v>
      </c>
      <c r="GY143" s="15">
        <f>MIN(1,MAX(VLOOKUP(($AJ143-$AI143-$AH143-$AG143-$AF143-$AE143*(1+GY$3))/$AJ143,'Технический лист'!$A:$B,2,1),(GX143-0.05)))</f>
        <v>0.90800000000000003</v>
      </c>
      <c r="GZ143" s="15">
        <f>MIN(1,MAX(VLOOKUP(($AJ143-$AI143-$AH143-$AG143-$AF143-$AE143*(1+GZ$3))/$AJ143,'Технический лист'!$A:$B,2,1),(GY143-0.05)))</f>
        <v>0.90800000000000003</v>
      </c>
      <c r="HA143" s="15">
        <f>MIN(1,MAX(VLOOKUP(($AJ143-$AI143-$AH143-$AG143-$AF143-$AE143*(1+HA$3))/$AJ143,'Технический лист'!$A:$B,2,1),(GZ143-0.05)))</f>
        <v>0.90800000000000003</v>
      </c>
      <c r="HB143" s="15">
        <f>MIN(1,MAX(VLOOKUP(($AJ143-$AI143-$AH143-$AG143-$AF143-$AE143*(1+HB$3))/$AJ143,'Технический лист'!$A:$B,2,1),(HA143-0.05)))</f>
        <v>0.90800000000000003</v>
      </c>
      <c r="HC143" s="15">
        <f>MIN(1,MAX(VLOOKUP(($AJ143-$AI143-$AH143-$AG143-$AF143-$AE143*(1+HC$3))/$AJ143,'Технический лист'!$A:$B,2,1),(HB143-0.05)))</f>
        <v>0.90800000000000003</v>
      </c>
      <c r="HD143" s="15">
        <f>MIN(1,MAX(VLOOKUP(($AJ143-$AI143-$AH143-$AG143-$AF143-$AE143*(1+HD$3))/$AJ143,'Технический лист'!$A:$B,2,1),(HC143-0.05)))</f>
        <v>0.90800000000000003</v>
      </c>
      <c r="HE143" s="15">
        <f>MIN(1,MAX(VLOOKUP(($AJ143-$AI143-$AH143-$AG143-$AF143-$AE143*(1+HE$3))/$AJ143,'Технический лист'!$A:$B,2,1),(HD143-0.05)))</f>
        <v>0.90800000000000003</v>
      </c>
      <c r="HF143" s="15">
        <f>MIN(1,MAX(VLOOKUP(($AJ143-$AI143-$AH143-$AG143-$AF143-$AE143*(1+HF$3))/$AJ143,'Технический лист'!$A:$B,2,1),(HE143-0.05)))</f>
        <v>0.90200000000000002</v>
      </c>
      <c r="HG143" s="15">
        <f>MIN(1,MAX(VLOOKUP(($AJ143-$AI143-$AH143-$AG143-$AF143-$AE143*(1+HG$3))/$AJ143,'Технический лист'!$A:$B,2,1),(HF143-0.05)))</f>
        <v>0.90200000000000002</v>
      </c>
      <c r="HH143" s="15">
        <f>MIN(1,MAX(VLOOKUP(($AJ143-$AI143-$AH143-$AG143-$AF143-$AE143*(1+HH$3))/$AJ143,'Технический лист'!$A:$B,2,1),(HG143-0.05)))</f>
        <v>0.90200000000000002</v>
      </c>
      <c r="HI143" s="15">
        <f>MIN(1,MAX(VLOOKUP(($AJ143-$AI143-$AH143-$AG143-$AF143-$AE143*(1+HI$3))/$AJ143,'Технический лист'!$A:$B,2,1),(HH143-0.05)))</f>
        <v>0.90200000000000002</v>
      </c>
      <c r="HJ143" s="15">
        <f>MIN(1,MAX(VLOOKUP(($AJ143-$AI143-$AH143-$AG143-$AF143-$AE143*(1+HJ$3))/$AJ143,'Технический лист'!$A:$B,2,1),(HI143-0.05)))</f>
        <v>0.90200000000000002</v>
      </c>
      <c r="HK143" s="15">
        <f>MIN(1,MAX(VLOOKUP(($AJ143-$AI143-$AH143-$AG143-$AF143-$AE143*(1+HK$3))/$AJ143,'Технический лист'!$A:$B,2,1),(HJ143-0.05)))</f>
        <v>0.90200000000000002</v>
      </c>
      <c r="HL143" s="15">
        <f>MIN(1,MAX(VLOOKUP(($AJ143-$AI143-$AH143-$AG143-$AF143-$AE143*(1+HL$3))/$AJ143,'Технический лист'!$A:$B,2,1),(HK143-0.05)))</f>
        <v>0.90200000000000002</v>
      </c>
      <c r="HM143" s="15">
        <f>MIN(1,MAX(VLOOKUP(($AJ143-$AI143-$AH143-$AG143-$AF143-$AE143*(1+HM$3))/$AJ143,'Технический лист'!$A:$B,2,1),(HL143-0.05)))</f>
        <v>0.90200000000000002</v>
      </c>
      <c r="HN143" s="15">
        <f>MIN(1,MAX(VLOOKUP(($AJ143-$AI143-$AH143-$AG143-$AF143-$AE143*(1+HN$3))/$AJ143,'Технический лист'!$A:$B,2,1),(HM143-0.05)))</f>
        <v>0.90200000000000002</v>
      </c>
      <c r="HO143" s="15">
        <f>MIN(1,MAX(VLOOKUP(($AJ143-$AI143-$AH143-$AG143-$AF143-$AE143*(1+HO$3))/$AJ143,'Технический лист'!$A:$B,2,1),(HN143-0.05)))</f>
        <v>0.89600000000000002</v>
      </c>
      <c r="HP143" s="15">
        <f>MIN(1,MAX(VLOOKUP(($AJ143-$AI143-$AH143-$AG143-$AF143-$AE143*(1+HP$3))/$AJ143,'Технический лист'!$A:$B,2,1),(HO143-0.05)))</f>
        <v>0.89600000000000002</v>
      </c>
      <c r="HQ143" s="15">
        <f>MIN(1,MAX(VLOOKUP(($AJ143-$AI143-$AH143-$AG143-$AF143-$AE143*(1+HQ$3))/$AJ143,'Технический лист'!$A:$B,2,1),(HP143-0.05)))</f>
        <v>0.89600000000000002</v>
      </c>
      <c r="HR143" s="15">
        <f>MIN(1,MAX(VLOOKUP(($AJ143-$AI143-$AH143-$AG143-$AF143-$AE143*(1+HR$3))/$AJ143,'Технический лист'!$A:$B,2,1),(HQ143-0.05)))</f>
        <v>0.89600000000000002</v>
      </c>
      <c r="HS143" s="15">
        <f>MIN(1,MAX(VLOOKUP(($AJ143-$AI143-$AH143-$AG143-$AF143-$AE143*(1+HS$3))/$AJ143,'Технический лист'!$A:$B,2,1),(HR143-0.05)))</f>
        <v>0.89600000000000002</v>
      </c>
      <c r="HT143" s="15">
        <f>MIN(1,MAX(VLOOKUP(($AJ143-$AI143-$AH143-$AG143-$AF143-$AE143*(1+HT$3))/$AJ143,'Технический лист'!$A:$B,2,1),(HS143-0.05)))</f>
        <v>0.89600000000000002</v>
      </c>
      <c r="HU143" s="15">
        <f>MIN(1,MAX(VLOOKUP(($AJ143-$AI143-$AH143-$AG143-$AF143-$AE143*(1+HU$3))/$AJ143,'Технический лист'!$A:$B,2,1),(HT143-0.05)))</f>
        <v>0.89600000000000002</v>
      </c>
      <c r="HV143" s="15">
        <f>MIN(1,MAX(VLOOKUP(($AJ143-$AI143-$AH143-$AG143-$AF143-$AE143*(1+HV$3))/$AJ143,'Технический лист'!$A:$B,2,1),(HU143-0.05)))</f>
        <v>0.89600000000000002</v>
      </c>
      <c r="HW143" s="15">
        <f>MIN(1,MAX(VLOOKUP(($AJ143-$AI143-$AH143-$AG143-$AF143-$AE143*(1+HW$3))/$AJ143,'Технический лист'!$A:$B,2,1),(HV143-0.05)))</f>
        <v>0.89600000000000002</v>
      </c>
      <c r="HX143" s="15">
        <f>MIN(1,MAX(VLOOKUP(($AJ143-$AI143-$AH143-$AG143-$AF143-$AE143*(1+HX$3))/$AJ143,'Технический лист'!$A:$B,2,1),(HW143-0.05)))</f>
        <v>0.89</v>
      </c>
      <c r="HY143" s="15">
        <f>MIN(1,MAX(VLOOKUP(($AJ143-$AI143-$AH143-$AG143-$AF143-$AE143*(1+HY$3))/$AJ143,'Технический лист'!$A:$B,2,1),(HX143-0.05)))</f>
        <v>0.89</v>
      </c>
      <c r="HZ143" s="15">
        <f>MIN(1,MAX(VLOOKUP(($AJ143-$AI143-$AH143-$AG143-$AF143-$AE143*(1+HZ$3))/$AJ143,'Технический лист'!$A:$B,2,1),(HY143-0.05)))</f>
        <v>0.89</v>
      </c>
      <c r="IA143" s="15">
        <f>MIN(1,MAX(VLOOKUP(($AJ143-$AI143-$AH143-$AG143-$AF143-$AE143*(1+IA$3))/$AJ143,'Технический лист'!$A:$B,2,1),(HZ143-0.05)))</f>
        <v>0.89</v>
      </c>
      <c r="IB143" s="15">
        <f>MIN(1,MAX(VLOOKUP(($AJ143-$AI143-$AH143-$AG143-$AF143-$AE143*(1+IB$3))/$AJ143,'Технический лист'!$A:$B,2,1),(IA143-0.05)))</f>
        <v>0.89</v>
      </c>
      <c r="IC143" s="15">
        <f>MIN(1,MAX(VLOOKUP(($AJ143-$AI143-$AH143-$AG143-$AF143-$AE143*(1+IC$3))/$AJ143,'Технический лист'!$A:$B,2,1),(IB143-0.05)))</f>
        <v>0.89</v>
      </c>
      <c r="ID143" s="15">
        <f>MIN(1,MAX(VLOOKUP(($AJ143-$AI143-$AH143-$AG143-$AF143-$AE143*(1+ID$3))/$AJ143,'Технический лист'!$A:$B,2,1),(IC143-0.05)))</f>
        <v>0.89</v>
      </c>
      <c r="IE143" s="15">
        <f>MIN(1,MAX(VLOOKUP(($AJ143-$AI143-$AH143-$AG143-$AF143-$AE143*(1+IE$3))/$AJ143,'Технический лист'!$A:$B,2,1),(ID143-0.05)))</f>
        <v>0.89</v>
      </c>
      <c r="IF143" s="15">
        <f>MIN(1,MAX(VLOOKUP(($AJ143-$AI143-$AH143-$AG143-$AF143-$AE143*(1+IF$3))/$AJ143,'Технический лист'!$A:$B,2,1),(IE143-0.05)))</f>
        <v>0.89</v>
      </c>
      <c r="IG143" s="15">
        <f>MIN(1,MAX(VLOOKUP(($AJ143-$AI143-$AH143-$AG143-$AF143-$AE143*(1+IG$3))/$AJ143,'Технический лист'!$A:$B,2,1),(IF143-0.05)))</f>
        <v>0.88400000000000001</v>
      </c>
      <c r="IH143" s="15">
        <f>MIN(1,MAX(VLOOKUP(($AJ143-$AI143-$AH143-$AG143-$AF143-$AE143*(1+IH$3))/$AJ143,'Технический лист'!$A:$B,2,1),(IG143-0.05)))</f>
        <v>0.88400000000000001</v>
      </c>
      <c r="II143" s="15">
        <f>MIN(1,MAX(VLOOKUP(($AJ143-$AI143-$AH143-$AG143-$AF143-$AE143*(1+II$3))/$AJ143,'Технический лист'!$A:$B,2,1),(IH143-0.05)))</f>
        <v>0.88400000000000001</v>
      </c>
      <c r="IJ143" s="15">
        <f>MIN(1,MAX(VLOOKUP(($AJ143-$AI143-$AH143-$AG143-$AF143-$AE143*(1+IJ$3))/$AJ143,'Технический лист'!$A:$B,2,1),(II143-0.05)))</f>
        <v>0.88400000000000001</v>
      </c>
      <c r="IK143" s="15">
        <f>MIN(1,MAX(VLOOKUP(($AJ143-$AI143-$AH143-$AG143-$AF143-$AE143*(1+IK$3))/$AJ143,'Технический лист'!$A:$B,2,1),(IJ143-0.05)))</f>
        <v>0.88400000000000001</v>
      </c>
      <c r="IL143" s="15">
        <f>MIN(1,MAX(VLOOKUP(($AJ143-$AI143-$AH143-$AG143-$AF143-$AE143*(1+IL$3))/$AJ143,'Технический лист'!$A:$B,2,1),(IK143-0.05)))</f>
        <v>0.88400000000000001</v>
      </c>
      <c r="IM143" s="15">
        <f>MIN(1,MAX(VLOOKUP(($AJ143-$AI143-$AH143-$AG143-$AF143-$AE143*(1+IM$3))/$AJ143,'Технический лист'!$A:$B,2,1),(IL143-0.05)))</f>
        <v>0.88400000000000001</v>
      </c>
      <c r="IN143" s="15">
        <f>MIN(1,MAX(VLOOKUP(($AJ143-$AI143-$AH143-$AG143-$AF143-$AE143*(1+IN$3))/$AJ143,'Технический лист'!$A:$B,2,1),(IM143-0.05)))</f>
        <v>0.88400000000000001</v>
      </c>
      <c r="IO143" s="15">
        <f>MIN(1,MAX(VLOOKUP(($AJ143-$AI143-$AH143-$AG143-$AF143-$AE143*(1+IO$3))/$AJ143,'Технический лист'!$A:$B,2,1),(IN143-0.05)))</f>
        <v>0.88400000000000001</v>
      </c>
      <c r="IP143" s="15">
        <f>MIN(1,MAX(VLOOKUP(($AJ143-$AI143-$AH143-$AG143-$AF143-$AE143*(1+IP$3))/$AJ143,'Технический лист'!$A:$B,2,1),(IO143-0.05)))</f>
        <v>0.878</v>
      </c>
      <c r="IQ143" s="15">
        <f>MIN(1,MAX(VLOOKUP(($AJ143-$AI143-$AH143-$AG143-$AF143-$AE143*(1+IQ$3))/$AJ143,'Технический лист'!$A:$B,2,1),(IP143-0.05)))</f>
        <v>0.878</v>
      </c>
      <c r="IR143" s="15">
        <f>MIN(1,MAX(VLOOKUP(($AJ143-$AI143-$AH143-$AG143-$AF143-$AE143*(1+IR$3))/$AJ143,'Технический лист'!$A:$B,2,1),(IQ143-0.05)))</f>
        <v>0.878</v>
      </c>
    </row>
    <row r="144" spans="1:252" ht="43.75">
      <c r="A144" s="89" t="s">
        <v>515</v>
      </c>
      <c r="B144" s="90">
        <v>10</v>
      </c>
      <c r="C144" s="5" t="s">
        <v>66</v>
      </c>
      <c r="D144" s="91">
        <v>31607</v>
      </c>
      <c r="E144" s="91" t="s">
        <v>327</v>
      </c>
      <c r="F144" s="92" t="s">
        <v>70</v>
      </c>
      <c r="G144" s="91" t="s">
        <v>22</v>
      </c>
      <c r="H144" s="91" t="s">
        <v>26</v>
      </c>
      <c r="I144" s="91" t="s">
        <v>127</v>
      </c>
      <c r="J144" s="91" t="s">
        <v>128</v>
      </c>
      <c r="K144" s="91">
        <v>442</v>
      </c>
      <c r="L144" s="85" t="s">
        <v>64</v>
      </c>
      <c r="M144" s="91" t="s">
        <v>190</v>
      </c>
      <c r="N144" s="91" t="s">
        <v>191</v>
      </c>
      <c r="O144" s="91" t="s">
        <v>193</v>
      </c>
      <c r="P144" s="89" t="s">
        <v>221</v>
      </c>
      <c r="Q144" s="91" t="s">
        <v>312</v>
      </c>
      <c r="R144" s="91" t="s">
        <v>253</v>
      </c>
      <c r="S144" s="82">
        <v>32458</v>
      </c>
      <c r="T144" s="82">
        <v>14346662</v>
      </c>
      <c r="U144" s="81">
        <v>514</v>
      </c>
      <c r="V144" s="81">
        <v>0</v>
      </c>
      <c r="W144" s="82">
        <v>41585597</v>
      </c>
      <c r="X144" s="112">
        <v>62</v>
      </c>
      <c r="Y144" s="112" t="s">
        <v>416</v>
      </c>
      <c r="Z144" s="113">
        <v>5</v>
      </c>
      <c r="AA144" s="113">
        <v>4</v>
      </c>
      <c r="AB144" s="113">
        <v>4</v>
      </c>
      <c r="AC144" s="99">
        <v>1545.27</v>
      </c>
      <c r="AD144" s="99">
        <f>AE144-AC144</f>
        <v>175.75</v>
      </c>
      <c r="AE144" s="99">
        <v>1721.02</v>
      </c>
      <c r="AF144" s="98">
        <f>(Z144+AA144+AB144)*'Ставки аренды'!$B$3/X144</f>
        <v>146.7741935483871</v>
      </c>
      <c r="AG144" s="94">
        <v>0</v>
      </c>
      <c r="AH144" s="94">
        <v>0</v>
      </c>
      <c r="AI144" s="115">
        <f t="shared" ref="AI144" si="63">0.9*AJ144</f>
        <v>16200</v>
      </c>
      <c r="AJ144" s="117">
        <f>Цены!$D$10</f>
        <v>18000</v>
      </c>
      <c r="AK144" s="94">
        <f>AJ144/Цены!$B$1</f>
        <v>235.89387396714525</v>
      </c>
      <c r="AL144" s="95">
        <f t="shared" si="54"/>
        <v>1867.7941935483871</v>
      </c>
      <c r="AM144" s="95">
        <f t="shared" si="55"/>
        <v>16132.205806451613</v>
      </c>
      <c r="AN144" s="94">
        <f t="shared" si="52"/>
        <v>18067.794193548387</v>
      </c>
      <c r="AO144" s="118">
        <f t="shared" si="53"/>
        <v>-3.7663440860214903E-3</v>
      </c>
      <c r="AP144" s="96">
        <f t="shared" si="56"/>
        <v>0.10376634408602151</v>
      </c>
      <c r="AQ144" s="96">
        <f t="shared" si="57"/>
        <v>9.5612222222222223E-2</v>
      </c>
      <c r="AR144" s="96">
        <f t="shared" si="58"/>
        <v>0.92141843354296482</v>
      </c>
      <c r="AS144" s="122">
        <v>1</v>
      </c>
      <c r="AT144" s="121">
        <f t="shared" si="45"/>
        <v>32458</v>
      </c>
      <c r="AU144" s="83">
        <v>0.7</v>
      </c>
      <c r="AV144" s="119">
        <f t="shared" si="41"/>
        <v>-1.523981075268825E-2</v>
      </c>
      <c r="AW144" s="120">
        <f t="shared" si="42"/>
        <v>0.1152398107526882</v>
      </c>
      <c r="AX144" s="120">
        <f t="shared" si="43"/>
        <v>0.10708568888888891</v>
      </c>
      <c r="AY144" s="120">
        <f t="shared" si="44"/>
        <v>0.92924214461529664</v>
      </c>
      <c r="AZ144" s="15">
        <f>MIN(IF($AU144=100%,1,1+VLOOKUP(($AJ144-$AI144-$AH144-$AG144-$AF144-$AE144*(1+AZ$3))/$AJ144,'Технический лист'!$I:$J,2,1)-VLOOKUP($AO144,'Технический лист'!$I:$J,2,1)),1+(1-$AU144))</f>
        <v>1.1250000000000002</v>
      </c>
      <c r="BA144" s="15">
        <f>MIN(IF($AU144=100%,1,1+VLOOKUP(($AJ144-$AI144-$AH144-$AG144-$AF144-$AE144*(1+BA$3))/$AJ144,'Технический лист'!$I:$J,2,1)-VLOOKUP($AO144,'Технический лист'!$I:$J,2,1)),1+(1-$AU144))</f>
        <v>1.1250000000000002</v>
      </c>
      <c r="BB144" s="15">
        <f>MIN(IF($AU144=100%,1,1+VLOOKUP(($AJ144-$AI144-$AH144-$AG144-$AF144-$AE144*(1+BB$3))/$AJ144,'Технический лист'!$I:$J,2,1)-VLOOKUP($AO144,'Технический лист'!$I:$J,2,1)),1+(1-$AU144))</f>
        <v>1.1250000000000002</v>
      </c>
      <c r="BC144" s="15">
        <f>MIN(IF($AU144=100%,1,1+VLOOKUP(($AJ144-$AI144-$AH144-$AG144-$AF144-$AE144*(1+BC$3))/$AJ144,'Технический лист'!$I:$J,2,1)-VLOOKUP($AO144,'Технический лист'!$I:$J,2,1)),1+(1-$AU144))</f>
        <v>1.1250000000000002</v>
      </c>
      <c r="BD144" s="15">
        <f>MIN(IF($AU144=100%,1,1+VLOOKUP(($AJ144-$AI144-$AH144-$AG144-$AF144-$AE144*(1+BD$3))/$AJ144,'Технический лист'!$I:$J,2,1)-VLOOKUP($AO144,'Технический лист'!$I:$J,2,1)),1+(1-$AU144))</f>
        <v>1.1250000000000002</v>
      </c>
      <c r="BE144" s="15">
        <f>MIN(IF($AU144=100%,1,1+VLOOKUP(($AJ144-$AI144-$AH144-$AG144-$AF144-$AE144*(1+BE$3))/$AJ144,'Технический лист'!$I:$J,2,1)-VLOOKUP($AO144,'Технический лист'!$I:$J,2,1)),1+(1-$AU144))</f>
        <v>1.1250000000000002</v>
      </c>
      <c r="BF144" s="15">
        <f>MIN(IF($AU144=100%,1,1+VLOOKUP(($AJ144-$AI144-$AH144-$AG144-$AF144-$AE144*(1+BF$3))/$AJ144,'Технический лист'!$I:$J,2,1)-VLOOKUP($AO144,'Технический лист'!$I:$J,2,1)),1+(1-$AU144))</f>
        <v>1.1250000000000002</v>
      </c>
      <c r="BG144" s="15">
        <f>MIN(IF($AU144=100%,1,1+VLOOKUP(($AJ144-$AI144-$AH144-$AG144-$AF144-$AE144*(1+BG$3))/$AJ144,'Технический лист'!$I:$J,2,1)-VLOOKUP($AO144,'Технический лист'!$I:$J,2,1)),1+(1-$AU144))</f>
        <v>1.1250000000000002</v>
      </c>
      <c r="BH144" s="15">
        <f>MIN(IF($AU144=100%,1,1+VLOOKUP(($AJ144-$AI144-$AH144-$AG144-$AF144-$AE144*(1+BH$3))/$AJ144,'Технический лист'!$I:$J,2,1)-VLOOKUP($AO144,'Технический лист'!$I:$J,2,1)),1+(1-$AU144))</f>
        <v>1.1250000000000002</v>
      </c>
      <c r="BI144" s="15">
        <f>MIN(IF($AU144=100%,1,1+VLOOKUP(($AJ144-$AI144-$AH144-$AG144-$AF144-$AE144*(1+BI$3))/$AJ144,'Технический лист'!$I:$J,2,1)-VLOOKUP($AO144,'Технический лист'!$I:$J,2,1)),1+(1-$AU144))</f>
        <v>1.1050000000000002</v>
      </c>
      <c r="BJ144" s="15">
        <f>MIN(IF($AU144=100%,1,1+VLOOKUP(($AJ144-$AI144-$AH144-$AG144-$AF144-$AE144*(1+BJ$3))/$AJ144,'Технический лист'!$I:$J,2,1)-VLOOKUP($AO144,'Технический лист'!$I:$J,2,1)),1+(1-$AU144))</f>
        <v>1.1050000000000002</v>
      </c>
      <c r="BK144" s="15">
        <f>MIN(IF($AU144=100%,1,1+VLOOKUP(($AJ144-$AI144-$AH144-$AG144-$AF144-$AE144*(1+BK$3))/$AJ144,'Технический лист'!$I:$J,2,1)-VLOOKUP($AO144,'Технический лист'!$I:$J,2,1)),1+(1-$AU144))</f>
        <v>1.1050000000000002</v>
      </c>
      <c r="BL144" s="15">
        <f>MIN(IF($AU144=100%,1,1+VLOOKUP(($AJ144-$AI144-$AH144-$AG144-$AF144-$AE144*(1+BL$3))/$AJ144,'Технический лист'!$I:$J,2,1)-VLOOKUP($AO144,'Технический лист'!$I:$J,2,1)),1+(1-$AU144))</f>
        <v>1.1050000000000002</v>
      </c>
      <c r="BM144" s="15">
        <f>MIN(IF($AU144=100%,1,1+VLOOKUP(($AJ144-$AI144-$AH144-$AG144-$AF144-$AE144*(1+BM$3))/$AJ144,'Технический лист'!$I:$J,2,1)-VLOOKUP($AO144,'Технический лист'!$I:$J,2,1)),1+(1-$AU144))</f>
        <v>1.1050000000000002</v>
      </c>
      <c r="BN144" s="15">
        <f>MIN(IF($AU144=100%,1,1+VLOOKUP(($AJ144-$AI144-$AH144-$AG144-$AF144-$AE144*(1+BN$3))/$AJ144,'Технический лист'!$I:$J,2,1)-VLOOKUP($AO144,'Технический лист'!$I:$J,2,1)),1+(1-$AU144))</f>
        <v>1.1050000000000002</v>
      </c>
      <c r="BO144" s="15">
        <f>MIN(IF($AU144=100%,1,1+VLOOKUP(($AJ144-$AI144-$AH144-$AG144-$AF144-$AE144*(1+BO$3))/$AJ144,'Технический лист'!$I:$J,2,1)-VLOOKUP($AO144,'Технический лист'!$I:$J,2,1)),1+(1-$AU144))</f>
        <v>1.1050000000000002</v>
      </c>
      <c r="BP144" s="15">
        <f>MIN(IF($AU144=100%,1,1+VLOOKUP(($AJ144-$AI144-$AH144-$AG144-$AF144-$AE144*(1+BP$3))/$AJ144,'Технический лист'!$I:$J,2,1)-VLOOKUP($AO144,'Технический лист'!$I:$J,2,1)),1+(1-$AU144))</f>
        <v>1.1050000000000002</v>
      </c>
      <c r="BQ144" s="15">
        <f>MIN(IF($AU144=100%,1,1+VLOOKUP(($AJ144-$AI144-$AH144-$AG144-$AF144-$AE144*(1+BQ$3))/$AJ144,'Технический лист'!$I:$J,2,1)-VLOOKUP($AO144,'Технический лист'!$I:$J,2,1)),1+(1-$AU144))</f>
        <v>1.1050000000000002</v>
      </c>
      <c r="BR144" s="15">
        <f>MIN(IF($AU144=100%,1,1+VLOOKUP(($AJ144-$AI144-$AH144-$AG144-$AF144-$AE144*(1+BR$3))/$AJ144,'Технический лист'!$I:$J,2,1)-VLOOKUP($AO144,'Технический лист'!$I:$J,2,1)),1+(1-$AU144))</f>
        <v>1.1050000000000002</v>
      </c>
      <c r="BS144" s="15">
        <f>MIN(IF($AU144=100%,1,1+VLOOKUP(($AJ144-$AI144-$AH144-$AG144-$AF144-$AE144*(1+BS$3))/$AJ144,'Технический лист'!$I:$J,2,1)-VLOOKUP($AO144,'Технический лист'!$I:$J,2,1)),1+(1-$AU144))</f>
        <v>1.0900000000000001</v>
      </c>
      <c r="BT144" s="15">
        <f>MIN(IF($AU144=100%,1,1+VLOOKUP(($AJ144-$AI144-$AH144-$AG144-$AF144-$AE144*(1+BT$3))/$AJ144,'Технический лист'!$I:$J,2,1)-VLOOKUP($AO144,'Технический лист'!$I:$J,2,1)),1+(1-$AU144))</f>
        <v>1.0900000000000001</v>
      </c>
      <c r="BU144" s="15">
        <f>MIN(IF($AU144=100%,1,1+VLOOKUP(($AJ144-$AI144-$AH144-$AG144-$AF144-$AE144*(1+BU$3))/$AJ144,'Технический лист'!$I:$J,2,1)-VLOOKUP($AO144,'Технический лист'!$I:$J,2,1)),1+(1-$AU144))</f>
        <v>1.0900000000000001</v>
      </c>
      <c r="BV144" s="15">
        <f>MIN(IF($AU144=100%,1,1+VLOOKUP(($AJ144-$AI144-$AH144-$AG144-$AF144-$AE144*(1+BV$3))/$AJ144,'Технический лист'!$I:$J,2,1)-VLOOKUP($AO144,'Технический лист'!$I:$J,2,1)),1+(1-$AU144))</f>
        <v>1.0900000000000001</v>
      </c>
      <c r="BW144" s="15">
        <f>MIN(IF($AU144=100%,1,1+VLOOKUP(($AJ144-$AI144-$AH144-$AG144-$AF144-$AE144*(1+BW$3))/$AJ144,'Технический лист'!$I:$J,2,1)-VLOOKUP($AO144,'Технический лист'!$I:$J,2,1)),1+(1-$AU144))</f>
        <v>1.0900000000000001</v>
      </c>
      <c r="BX144" s="15">
        <f>MIN(IF($AU144=100%,1,1+VLOOKUP(($AJ144-$AI144-$AH144-$AG144-$AF144-$AE144*(1+BX$3))/$AJ144,'Технический лист'!$I:$J,2,1)-VLOOKUP($AO144,'Технический лист'!$I:$J,2,1)),1+(1-$AU144))</f>
        <v>1.0900000000000001</v>
      </c>
      <c r="BY144" s="15">
        <f>MIN(IF($AU144=100%,1,1+VLOOKUP(($AJ144-$AI144-$AH144-$AG144-$AF144-$AE144*(1+BY$3))/$AJ144,'Технический лист'!$I:$J,2,1)-VLOOKUP($AO144,'Технический лист'!$I:$J,2,1)),1+(1-$AU144))</f>
        <v>1.0900000000000001</v>
      </c>
      <c r="BZ144" s="15">
        <f>MIN(IF($AU144=100%,1,1+VLOOKUP(($AJ144-$AI144-$AH144-$AG144-$AF144-$AE144*(1+BZ$3))/$AJ144,'Технический лист'!$I:$J,2,1)-VLOOKUP($AO144,'Технический лист'!$I:$J,2,1)),1+(1-$AU144))</f>
        <v>1.0900000000000001</v>
      </c>
      <c r="CA144" s="15">
        <f>MIN(IF($AU144=100%,1,1+VLOOKUP(($AJ144-$AI144-$AH144-$AG144-$AF144-$AE144*(1+CA$3))/$AJ144,'Технический лист'!$I:$J,2,1)-VLOOKUP($AO144,'Технический лист'!$I:$J,2,1)),1+(1-$AU144))</f>
        <v>1.0900000000000001</v>
      </c>
      <c r="CB144" s="15">
        <f>MIN(IF($AU144=100%,1,1+VLOOKUP(($AJ144-$AI144-$AH144-$AG144-$AF144-$AE144*(1+CB$3))/$AJ144,'Технический лист'!$I:$J,2,1)-VLOOKUP($AO144,'Технический лист'!$I:$J,2,1)),1+(1-$AU144))</f>
        <v>1.0900000000000001</v>
      </c>
      <c r="CC144" s="15">
        <f>MIN(IF($AU144=100%,1,1+VLOOKUP(($AJ144-$AI144-$AH144-$AG144-$AF144-$AE144*(1+CC$3))/$AJ144,'Технический лист'!$I:$J,2,1)-VLOOKUP($AO144,'Технический лист'!$I:$J,2,1)),1+(1-$AU144))</f>
        <v>1.0900000000000001</v>
      </c>
      <c r="CD144" s="15">
        <f>MIN(IF($AU144=100%,1,1+VLOOKUP(($AJ144-$AI144-$AH144-$AG144-$AF144-$AE144*(1+CD$3))/$AJ144,'Технический лист'!$I:$J,2,1)-VLOOKUP($AO144,'Технический лист'!$I:$J,2,1)),1+(1-$AU144))</f>
        <v>1.0750000000000004</v>
      </c>
      <c r="CE144" s="15">
        <f>MIN(IF($AU144=100%,1,1+VLOOKUP(($AJ144-$AI144-$AH144-$AG144-$AF144-$AE144*(1+CE$3))/$AJ144,'Технический лист'!$I:$J,2,1)-VLOOKUP($AO144,'Технический лист'!$I:$J,2,1)),1+(1-$AU144))</f>
        <v>1.0750000000000004</v>
      </c>
      <c r="CF144" s="15">
        <f>MIN(IF($AU144=100%,1,1+VLOOKUP(($AJ144-$AI144-$AH144-$AG144-$AF144-$AE144*(1+CF$3))/$AJ144,'Технический лист'!$I:$J,2,1)-VLOOKUP($AO144,'Технический лист'!$I:$J,2,1)),1+(1-$AU144))</f>
        <v>1.0750000000000004</v>
      </c>
      <c r="CG144" s="15">
        <f>MIN(IF($AU144=100%,1,1+VLOOKUP(($AJ144-$AI144-$AH144-$AG144-$AF144-$AE144*(1+CG$3))/$AJ144,'Технический лист'!$I:$J,2,1)-VLOOKUP($AO144,'Технический лист'!$I:$J,2,1)),1+(1-$AU144))</f>
        <v>1.0750000000000004</v>
      </c>
      <c r="CH144" s="15">
        <f>MIN(IF($AU144=100%,1,1+VLOOKUP(($AJ144-$AI144-$AH144-$AG144-$AF144-$AE144*(1+CH$3))/$AJ144,'Технический лист'!$I:$J,2,1)-VLOOKUP($AO144,'Технический лист'!$I:$J,2,1)),1+(1-$AU144))</f>
        <v>1.0750000000000004</v>
      </c>
      <c r="CI144" s="15">
        <f>MIN(IF($AU144=100%,1,1+VLOOKUP(($AJ144-$AI144-$AH144-$AG144-$AF144-$AE144*(1+CI$3))/$AJ144,'Технический лист'!$I:$J,2,1)-VLOOKUP($AO144,'Технический лист'!$I:$J,2,1)),1+(1-$AU144))</f>
        <v>1.0750000000000004</v>
      </c>
      <c r="CJ144" s="15">
        <f>MIN(IF($AU144=100%,1,1+VLOOKUP(($AJ144-$AI144-$AH144-$AG144-$AF144-$AE144*(1+CJ$3))/$AJ144,'Технический лист'!$I:$J,2,1)-VLOOKUP($AO144,'Технический лист'!$I:$J,2,1)),1+(1-$AU144))</f>
        <v>1.0750000000000004</v>
      </c>
      <c r="CK144" s="15">
        <f>MIN(IF($AU144=100%,1,1+VLOOKUP(($AJ144-$AI144-$AH144-$AG144-$AF144-$AE144*(1+CK$3))/$AJ144,'Технический лист'!$I:$J,2,1)-VLOOKUP($AO144,'Технический лист'!$I:$J,2,1)),1+(1-$AU144))</f>
        <v>1.0750000000000004</v>
      </c>
      <c r="CL144" s="15">
        <f>MIN(IF($AU144=100%,1,1+VLOOKUP(($AJ144-$AI144-$AH144-$AG144-$AF144-$AE144*(1+CL$3))/$AJ144,'Технический лист'!$I:$J,2,1)-VLOOKUP($AO144,'Технический лист'!$I:$J,2,1)),1+(1-$AU144))</f>
        <v>1.0750000000000004</v>
      </c>
      <c r="CM144" s="15">
        <f>MIN(IF($AU144=100%,1,1+VLOOKUP(($AJ144-$AI144-$AH144-$AG144-$AF144-$AE144*(1+CM$3))/$AJ144,'Технический лист'!$I:$J,2,1)-VLOOKUP($AO144,'Технический лист'!$I:$J,2,1)),1+(1-$AU144))</f>
        <v>1.0750000000000004</v>
      </c>
      <c r="CN144" s="15">
        <f>MIN(IF($AU144=100%,1,1+VLOOKUP(($AJ144-$AI144-$AH144-$AG144-$AF144-$AE144*(1+CN$3))/$AJ144,'Технический лист'!$I:$J,2,1)-VLOOKUP($AO144,'Технический лист'!$I:$J,2,1)),1+(1-$AU144))</f>
        <v>1.0600000000000003</v>
      </c>
      <c r="CO144" s="15">
        <f>MIN(IF($AU144=100%,1,1+VLOOKUP(($AJ144-$AI144-$AH144-$AG144-$AF144-$AE144*(1+CO$3))/$AJ144,'Технический лист'!$I:$J,2,1)-VLOOKUP($AO144,'Технический лист'!$I:$J,2,1)),1+(1-$AU144))</f>
        <v>1.0600000000000003</v>
      </c>
      <c r="CP144" s="15">
        <f>MIN(IF($AU144=100%,1,1+VLOOKUP(($AJ144-$AI144-$AH144-$AG144-$AF144-$AE144*(1+CP$3))/$AJ144,'Технический лист'!$I:$J,2,1)-VLOOKUP($AO144,'Технический лист'!$I:$J,2,1)),1+(1-$AU144))</f>
        <v>1.0600000000000003</v>
      </c>
      <c r="CQ144" s="15">
        <f>MIN(IF($AU144=100%,1,1+VLOOKUP(($AJ144-$AI144-$AH144-$AG144-$AF144-$AE144*(1+CQ$3))/$AJ144,'Технический лист'!$I:$J,2,1)-VLOOKUP($AO144,'Технический лист'!$I:$J,2,1)),1+(1-$AU144))</f>
        <v>1.0600000000000003</v>
      </c>
      <c r="CR144" s="15">
        <f>MIN(IF($AU144=100%,1,1+VLOOKUP(($AJ144-$AI144-$AH144-$AG144-$AF144-$AE144*(1+CR$3))/$AJ144,'Технический лист'!$I:$J,2,1)-VLOOKUP($AO144,'Технический лист'!$I:$J,2,1)),1+(1-$AU144))</f>
        <v>1.0600000000000003</v>
      </c>
      <c r="CS144" s="15">
        <f>MIN(IF($AU144=100%,1,1+VLOOKUP(($AJ144-$AI144-$AH144-$AG144-$AF144-$AE144*(1+CS$3))/$AJ144,'Технический лист'!$I:$J,2,1)-VLOOKUP($AO144,'Технический лист'!$I:$J,2,1)),1+(1-$AU144))</f>
        <v>1.0600000000000003</v>
      </c>
      <c r="CT144" s="15">
        <f>MIN(IF($AU144=100%,1,1+VLOOKUP(($AJ144-$AI144-$AH144-$AG144-$AF144-$AE144*(1+CT$3))/$AJ144,'Технический лист'!$I:$J,2,1)-VLOOKUP($AO144,'Технический лист'!$I:$J,2,1)),1+(1-$AU144))</f>
        <v>1.0600000000000003</v>
      </c>
      <c r="CU144" s="15">
        <f>MIN(IF($AU144=100%,1,1+VLOOKUP(($AJ144-$AI144-$AH144-$AG144-$AF144-$AE144*(1+CU$3))/$AJ144,'Технический лист'!$I:$J,2,1)-VLOOKUP($AO144,'Технический лист'!$I:$J,2,1)),1+(1-$AU144))</f>
        <v>1.0600000000000003</v>
      </c>
      <c r="CV144" s="15">
        <f>MIN(IF($AU144=100%,1,1+VLOOKUP(($AJ144-$AI144-$AH144-$AG144-$AF144-$AE144*(1+CV$3))/$AJ144,'Технический лист'!$I:$J,2,1)-VLOOKUP($AO144,'Технический лист'!$I:$J,2,1)),1+(1-$AU144))</f>
        <v>1.0600000000000003</v>
      </c>
      <c r="CW144" s="15">
        <f>MIN(IF($AU144=100%,1,1+VLOOKUP(($AJ144-$AI144-$AH144-$AG144-$AF144-$AE144*(1+CW$3))/$AJ144,'Технический лист'!$I:$J,2,1)-VLOOKUP($AO144,'Технический лист'!$I:$J,2,1)),1+(1-$AU144))</f>
        <v>1.0600000000000003</v>
      </c>
      <c r="CX144" s="15">
        <f>MIN(IF($AU144=100%,1,1+VLOOKUP(($AJ144-$AI144-$AH144-$AG144-$AF144-$AE144*(1+CX$3))/$AJ144,'Технический лист'!$I:$J,2,1)-VLOOKUP($AO144,'Технический лист'!$I:$J,2,1)),1+(1-$AU144))</f>
        <v>1.0600000000000003</v>
      </c>
      <c r="CY144" s="15">
        <f>MIN(IF($AU144=100%,1,1+VLOOKUP(($AJ144-$AI144-$AH144-$AG144-$AF144-$AE144*(1+CY$3))/$AJ144,'Технический лист'!$I:$J,2,1)-VLOOKUP($AO144,'Технический лист'!$I:$J,2,1)),1+(1-$AU144))</f>
        <v>1.0450000000000002</v>
      </c>
      <c r="CZ144" s="15">
        <f>MIN(IF($AU144=100%,1,1+VLOOKUP(($AJ144-$AI144-$AH144-$AG144-$AF144-$AE144*(1+CZ$3))/$AJ144,'Технический лист'!$I:$J,2,1)-VLOOKUP($AO144,'Технический лист'!$I:$J,2,1)),1+(1-$AU144))</f>
        <v>1.0450000000000002</v>
      </c>
      <c r="DA144" s="15">
        <f>MIN(IF($AU144=100%,1,1+VLOOKUP(($AJ144-$AI144-$AH144-$AG144-$AF144-$AE144*(1+DA$3))/$AJ144,'Технический лист'!$I:$J,2,1)-VLOOKUP($AO144,'Технический лист'!$I:$J,2,1)),1+(1-$AU144))</f>
        <v>1.0450000000000002</v>
      </c>
      <c r="DB144" s="15">
        <f>MIN(IF($AU144=100%,1,1+VLOOKUP(($AJ144-$AI144-$AH144-$AG144-$AF144-$AE144*(1+DB$3))/$AJ144,'Технический лист'!$I:$J,2,1)-VLOOKUP($AO144,'Технический лист'!$I:$J,2,1)),1+(1-$AU144))</f>
        <v>1.0450000000000002</v>
      </c>
      <c r="DC144" s="15">
        <f>MIN(IF($AU144=100%,1,1+VLOOKUP(($AJ144-$AI144-$AH144-$AG144-$AF144-$AE144*(1+DC$3))/$AJ144,'Технический лист'!$I:$J,2,1)-VLOOKUP($AO144,'Технический лист'!$I:$J,2,1)),1+(1-$AU144))</f>
        <v>1.0450000000000002</v>
      </c>
      <c r="DD144" s="15">
        <f>MIN(IF($AU144=100%,1,1+VLOOKUP(($AJ144-$AI144-$AH144-$AG144-$AF144-$AE144*(1+DD$3))/$AJ144,'Технический лист'!$I:$J,2,1)-VLOOKUP($AO144,'Технический лист'!$I:$J,2,1)),1+(1-$AU144))</f>
        <v>1.0450000000000002</v>
      </c>
      <c r="DE144" s="15">
        <f>MIN(IF($AU144=100%,1,1+VLOOKUP(($AJ144-$AI144-$AH144-$AG144-$AF144-$AE144*(1+DE$3))/$AJ144,'Технический лист'!$I:$J,2,1)-VLOOKUP($AO144,'Технический лист'!$I:$J,2,1)),1+(1-$AU144))</f>
        <v>1.0450000000000002</v>
      </c>
      <c r="DF144" s="15">
        <f>MIN(IF($AU144=100%,1,1+VLOOKUP(($AJ144-$AI144-$AH144-$AG144-$AF144-$AE144*(1+DF$3))/$AJ144,'Технический лист'!$I:$J,2,1)-VLOOKUP($AO144,'Технический лист'!$I:$J,2,1)),1+(1-$AU144))</f>
        <v>1.0450000000000002</v>
      </c>
      <c r="DG144" s="15">
        <f>MIN(IF($AU144=100%,1,1+VLOOKUP(($AJ144-$AI144-$AH144-$AG144-$AF144-$AE144*(1+DG$3))/$AJ144,'Технический лист'!$I:$J,2,1)-VLOOKUP($AO144,'Технический лист'!$I:$J,2,1)),1+(1-$AU144))</f>
        <v>1.0450000000000002</v>
      </c>
      <c r="DH144" s="15">
        <f>MIN(IF($AU144=100%,1,1+VLOOKUP(($AJ144-$AI144-$AH144-$AG144-$AF144-$AE144*(1+DH$3))/$AJ144,'Технический лист'!$I:$J,2,1)-VLOOKUP($AO144,'Технический лист'!$I:$J,2,1)),1+(1-$AU144))</f>
        <v>1.0450000000000002</v>
      </c>
      <c r="DI144" s="15">
        <f>MIN(IF($AU144=100%,1,1+VLOOKUP(($AJ144-$AI144-$AH144-$AG144-$AF144-$AE144*(1+DI$3))/$AJ144,'Технический лист'!$I:$J,2,1)-VLOOKUP($AO144,'Технический лист'!$I:$J,2,1)),1+(1-$AU144))</f>
        <v>1.03</v>
      </c>
      <c r="DJ144" s="15">
        <f>MIN(IF($AU144=100%,1,1+VLOOKUP(($AJ144-$AI144-$AH144-$AG144-$AF144-$AE144*(1+DJ$3))/$AJ144,'Технический лист'!$I:$J,2,1)-VLOOKUP($AO144,'Технический лист'!$I:$J,2,1)),1+(1-$AU144))</f>
        <v>1.03</v>
      </c>
      <c r="DK144" s="15">
        <f>MIN(IF($AU144=100%,1,1+VLOOKUP(($AJ144-$AI144-$AH144-$AG144-$AF144-$AE144*(1+DK$3))/$AJ144,'Технический лист'!$I:$J,2,1)-VLOOKUP($AO144,'Технический лист'!$I:$J,2,1)),1+(1-$AU144))</f>
        <v>1.03</v>
      </c>
      <c r="DL144" s="15">
        <f>MIN(IF($AU144=100%,1,1+VLOOKUP(($AJ144-$AI144-$AH144-$AG144-$AF144-$AE144*(1+DL$3))/$AJ144,'Технический лист'!$I:$J,2,1)-VLOOKUP($AO144,'Технический лист'!$I:$J,2,1)),1+(1-$AU144))</f>
        <v>1.03</v>
      </c>
      <c r="DM144" s="15">
        <f>MIN(IF($AU144=100%,1,1+VLOOKUP(($AJ144-$AI144-$AH144-$AG144-$AF144-$AE144*(1+DM$3))/$AJ144,'Технический лист'!$I:$J,2,1)-VLOOKUP($AO144,'Технический лист'!$I:$J,2,1)),1+(1-$AU144))</f>
        <v>1.03</v>
      </c>
      <c r="DN144" s="15">
        <f>MIN(IF($AU144=100%,1,1+VLOOKUP(($AJ144-$AI144-$AH144-$AG144-$AF144-$AE144*(1+DN$3))/$AJ144,'Технический лист'!$I:$J,2,1)-VLOOKUP($AO144,'Технический лист'!$I:$J,2,1)),1+(1-$AU144))</f>
        <v>1.03</v>
      </c>
      <c r="DO144" s="15">
        <f>MIN(IF($AU144=100%,1,1+VLOOKUP(($AJ144-$AI144-$AH144-$AG144-$AF144-$AE144*(1+DO$3))/$AJ144,'Технический лист'!$I:$J,2,1)-VLOOKUP($AO144,'Технический лист'!$I:$J,2,1)),1+(1-$AU144))</f>
        <v>1.03</v>
      </c>
      <c r="DP144" s="15">
        <f>MIN(IF($AU144=100%,1,1+VLOOKUP(($AJ144-$AI144-$AH144-$AG144-$AF144-$AE144*(1+DP$3))/$AJ144,'Технический лист'!$I:$J,2,1)-VLOOKUP($AO144,'Технический лист'!$I:$J,2,1)),1+(1-$AU144))</f>
        <v>1.03</v>
      </c>
      <c r="DQ144" s="15">
        <f>MIN(IF($AU144=100%,1,1+VLOOKUP(($AJ144-$AI144-$AH144-$AG144-$AF144-$AE144*(1+DQ$3))/$AJ144,'Технический лист'!$I:$J,2,1)-VLOOKUP($AO144,'Технический лист'!$I:$J,2,1)),1+(1-$AU144))</f>
        <v>1.03</v>
      </c>
      <c r="DR144" s="15">
        <f>MIN(IF($AU144=100%,1,1+VLOOKUP(($AJ144-$AI144-$AH144-$AG144-$AF144-$AE144*(1+DR$3))/$AJ144,'Технический лист'!$I:$J,2,1)-VLOOKUP($AO144,'Технический лист'!$I:$J,2,1)),1+(1-$AU144))</f>
        <v>1.03</v>
      </c>
      <c r="DS144" s="15">
        <f>MIN(IF($AU144=100%,1,1+VLOOKUP(($AJ144-$AI144-$AH144-$AG144-$AF144-$AE144*(1+DS$3))/$AJ144,'Технический лист'!$I:$J,2,1)-VLOOKUP($AO144,'Технический лист'!$I:$J,2,1)),1+(1-$AU144))</f>
        <v>1.03</v>
      </c>
      <c r="DT144" s="15">
        <f>MIN(IF($AU144=100%,1,1+VLOOKUP(($AJ144-$AI144-$AH144-$AG144-$AF144-$AE144*(1+DT$3))/$AJ144,'Технический лист'!$I:$J,2,1)-VLOOKUP($AO144,'Технический лист'!$I:$J,2,1)),1+(1-$AU144))</f>
        <v>1.0199999999999998</v>
      </c>
      <c r="DU144" s="15">
        <f>MIN(IF($AU144=100%,1,1+VLOOKUP(($AJ144-$AI144-$AH144-$AG144-$AF144-$AE144*(1+DU$3))/$AJ144,'Технический лист'!$I:$J,2,1)-VLOOKUP($AO144,'Технический лист'!$I:$J,2,1)),1+(1-$AU144))</f>
        <v>1.0199999999999998</v>
      </c>
      <c r="DV144" s="15">
        <f>MIN(IF($AU144=100%,1,1+VLOOKUP(($AJ144-$AI144-$AH144-$AG144-$AF144-$AE144*(1+DV$3))/$AJ144,'Технический лист'!$I:$J,2,1)-VLOOKUP($AO144,'Технический лист'!$I:$J,2,1)),1+(1-$AU144))</f>
        <v>1.0199999999999998</v>
      </c>
      <c r="DW144" s="15">
        <f>MIN(IF($AU144=100%,1,1+VLOOKUP(($AJ144-$AI144-$AH144-$AG144-$AF144-$AE144*(1+DW$3))/$AJ144,'Технический лист'!$I:$J,2,1)-VLOOKUP($AO144,'Технический лист'!$I:$J,2,1)),1+(1-$AU144))</f>
        <v>1.0199999999999998</v>
      </c>
      <c r="DX144" s="15">
        <f>MIN(IF($AU144=100%,1,1+VLOOKUP(($AJ144-$AI144-$AH144-$AG144-$AF144-$AE144*(1+DX$3))/$AJ144,'Технический лист'!$I:$J,2,1)-VLOOKUP($AO144,'Технический лист'!$I:$J,2,1)),1+(1-$AU144))</f>
        <v>1.0199999999999998</v>
      </c>
      <c r="DY144" s="15">
        <f>MIN(IF($AU144=100%,1,1+VLOOKUP(($AJ144-$AI144-$AH144-$AG144-$AF144-$AE144*(1+DY$3))/$AJ144,'Технический лист'!$I:$J,2,1)-VLOOKUP($AO144,'Технический лист'!$I:$J,2,1)),1+(1-$AU144))</f>
        <v>1.0199999999999998</v>
      </c>
      <c r="DZ144" s="15">
        <f>MIN(IF($AU144=100%,1,1+VLOOKUP(($AJ144-$AI144-$AH144-$AG144-$AF144-$AE144*(1+DZ$3))/$AJ144,'Технический лист'!$I:$J,2,1)-VLOOKUP($AO144,'Технический лист'!$I:$J,2,1)),1+(1-$AU144))</f>
        <v>1.0199999999999998</v>
      </c>
      <c r="EA144" s="15">
        <f>MIN(IF($AU144=100%,1,1+VLOOKUP(($AJ144-$AI144-$AH144-$AG144-$AF144-$AE144*(1+EA$3))/$AJ144,'Технический лист'!$I:$J,2,1)-VLOOKUP($AO144,'Технический лист'!$I:$J,2,1)),1+(1-$AU144))</f>
        <v>1.0199999999999998</v>
      </c>
      <c r="EB144" s="15">
        <f>MIN(IF($AU144=100%,1,1+VLOOKUP(($AJ144-$AI144-$AH144-$AG144-$AF144-$AE144*(1+EB$3))/$AJ144,'Технический лист'!$I:$J,2,1)-VLOOKUP($AO144,'Технический лист'!$I:$J,2,1)),1+(1-$AU144))</f>
        <v>1.0199999999999998</v>
      </c>
      <c r="EC144" s="15">
        <f>MIN(IF($AU144=100%,1,1+VLOOKUP(($AJ144-$AI144-$AH144-$AG144-$AF144-$AE144*(1+EC$3))/$AJ144,'Технический лист'!$I:$J,2,1)-VLOOKUP($AO144,'Технический лист'!$I:$J,2,1)),1+(1-$AU144))</f>
        <v>1.0199999999999998</v>
      </c>
      <c r="ED144" s="15">
        <f>MIN(IF($AU144=100%,1,1+VLOOKUP(($AJ144-$AI144-$AH144-$AG144-$AF144-$AE144*(1+ED$3))/$AJ144,'Технический лист'!$I:$J,2,1)-VLOOKUP($AO144,'Технический лист'!$I:$J,2,1)),1+(1-$AU144))</f>
        <v>1.01</v>
      </c>
      <c r="EE144" s="15">
        <f>MIN(IF($AU144=100%,1,1+VLOOKUP(($AJ144-$AI144-$AH144-$AG144-$AF144-$AE144*(1+EE$3))/$AJ144,'Технический лист'!$I:$J,2,1)-VLOOKUP($AO144,'Технический лист'!$I:$J,2,1)),1+(1-$AU144))</f>
        <v>1.01</v>
      </c>
      <c r="EF144" s="15">
        <f>MIN(IF($AU144=100%,1,1+VLOOKUP(($AJ144-$AI144-$AH144-$AG144-$AF144-$AE144*(1+EF$3))/$AJ144,'Технический лист'!$I:$J,2,1)-VLOOKUP($AO144,'Технический лист'!$I:$J,2,1)),1+(1-$AU144))</f>
        <v>1.01</v>
      </c>
      <c r="EG144" s="15">
        <f>MIN(IF($AU144=100%,1,1+VLOOKUP(($AJ144-$AI144-$AH144-$AG144-$AF144-$AE144*(1+EG$3))/$AJ144,'Технический лист'!$I:$J,2,1)-VLOOKUP($AO144,'Технический лист'!$I:$J,2,1)),1+(1-$AU144))</f>
        <v>1.01</v>
      </c>
      <c r="EH144" s="15">
        <f>MIN(IF($AU144=100%,1,1+VLOOKUP(($AJ144-$AI144-$AH144-$AG144-$AF144-$AE144*(1+EH$3))/$AJ144,'Технический лист'!$I:$J,2,1)-VLOOKUP($AO144,'Технический лист'!$I:$J,2,1)),1+(1-$AU144))</f>
        <v>1.01</v>
      </c>
      <c r="EI144" s="15">
        <f>MIN(IF($AU144=100%,1,1+VLOOKUP(($AJ144-$AI144-$AH144-$AG144-$AF144-$AE144*(1+EI$3))/$AJ144,'Технический лист'!$I:$J,2,1)-VLOOKUP($AO144,'Технический лист'!$I:$J,2,1)),1+(1-$AU144))</f>
        <v>1.01</v>
      </c>
      <c r="EJ144" s="15">
        <f>MIN(IF($AU144=100%,1,1+VLOOKUP(($AJ144-$AI144-$AH144-$AG144-$AF144-$AE144*(1+EJ$3))/$AJ144,'Технический лист'!$I:$J,2,1)-VLOOKUP($AO144,'Технический лист'!$I:$J,2,1)),1+(1-$AU144))</f>
        <v>1.01</v>
      </c>
      <c r="EK144" s="15">
        <f>MIN(IF($AU144=100%,1,1+VLOOKUP(($AJ144-$AI144-$AH144-$AG144-$AF144-$AE144*(1+EK$3))/$AJ144,'Технический лист'!$I:$J,2,1)-VLOOKUP($AO144,'Технический лист'!$I:$J,2,1)),1+(1-$AU144))</f>
        <v>1.01</v>
      </c>
      <c r="EL144" s="15">
        <f>MIN(IF($AU144=100%,1,1+VLOOKUP(($AJ144-$AI144-$AH144-$AG144-$AF144-$AE144*(1+EL$3))/$AJ144,'Технический лист'!$I:$J,2,1)-VLOOKUP($AO144,'Технический лист'!$I:$J,2,1)),1+(1-$AU144))</f>
        <v>1.01</v>
      </c>
      <c r="EM144" s="15">
        <f>MIN(IF($AU144=100%,1,1+VLOOKUP(($AJ144-$AI144-$AH144-$AG144-$AF144-$AE144*(1+EM$3))/$AJ144,'Технический лист'!$I:$J,2,1)-VLOOKUP($AO144,'Технический лист'!$I:$J,2,1)),1+(1-$AU144))</f>
        <v>1.01</v>
      </c>
      <c r="EN144" s="15">
        <f>MIN(IF($AU144=100%,1,1+VLOOKUP(($AJ144-$AI144-$AH144-$AG144-$AF144-$AE144*(1+EN$3))/$AJ144,'Технический лист'!$I:$J,2,1)-VLOOKUP($AO144,'Технический лист'!$I:$J,2,1)),1+(1-$AU144))</f>
        <v>1.01</v>
      </c>
      <c r="EO144" s="15">
        <f>MIN(IF($AU144=100%,1,1+VLOOKUP(($AJ144-$AI144-$AH144-$AG144-$AF144-$AE144*(1+EO$3))/$AJ144,'Технический лист'!$I:$J,2,1)-VLOOKUP($AO144,'Технический лист'!$I:$J,2,1)),1+(1-$AU144))</f>
        <v>1</v>
      </c>
      <c r="EP144" s="15">
        <f>MIN(IF($AU144=100%,1,1+VLOOKUP(($AJ144-$AI144-$AH144-$AG144-$AF144-$AE144*(1+EP$3))/$AJ144,'Технический лист'!$I:$J,2,1)-VLOOKUP($AO144,'Технический лист'!$I:$J,2,1)),1+(1-$AU144))</f>
        <v>1</v>
      </c>
      <c r="EQ144" s="15">
        <f>MIN(IF($AU144=100%,1,1+VLOOKUP(($AJ144-$AI144-$AH144-$AG144-$AF144-$AE144*(1+EQ$3))/$AJ144,'Технический лист'!$I:$J,2,1)-VLOOKUP($AO144,'Технический лист'!$I:$J,2,1)),1+(1-$AU144))</f>
        <v>1</v>
      </c>
      <c r="ER144" s="15">
        <f>MIN(IF($AU144=100%,1,1+VLOOKUP(($AJ144-$AI144-$AH144-$AG144-$AF144-$AE144*(1+ER$3))/$AJ144,'Технический лист'!$I:$J,2,1)-VLOOKUP($AO144,'Технический лист'!$I:$J,2,1)),1+(1-$AU144))</f>
        <v>1</v>
      </c>
      <c r="ES144" s="15">
        <f>MIN(IF($AU144=100%,1,1+VLOOKUP(($AJ144-$AI144-$AH144-$AG144-$AF144-$AE144*(1+ES$3))/$AJ144,'Технический лист'!$I:$J,2,1)-VLOOKUP($AO144,'Технический лист'!$I:$J,2,1)),1+(1-$AU144))</f>
        <v>1</v>
      </c>
      <c r="ET144" s="15">
        <f>MIN(IF($AU144=100%,1,1+VLOOKUP(($AJ144-$AI144-$AH144-$AG144-$AF144-$AE144*(1+ET$3))/$AJ144,'Технический лист'!$I:$J,2,1)-VLOOKUP($AO144,'Технический лист'!$I:$J,2,1)),1+(1-$AU144))</f>
        <v>1</v>
      </c>
      <c r="EU144" s="15">
        <f>MIN(IF($AU144=100%,1,1+VLOOKUP(($AJ144-$AI144-$AH144-$AG144-$AF144-$AE144*(1+EU$3))/$AJ144,'Технический лист'!$I:$J,2,1)-VLOOKUP($AO144,'Технический лист'!$I:$J,2,1)),1+(1-$AU144))</f>
        <v>1</v>
      </c>
      <c r="EV144" s="111">
        <v>1</v>
      </c>
      <c r="EW144" s="15">
        <f>MIN(1,MAX(VLOOKUP(($AJ144-$AI144-$AH144-$AG144-$AF144-$AE144*(1+EW$3))/$AJ144,'Технический лист'!$A:$B,2,1),(EV144-0.05)))</f>
        <v>1</v>
      </c>
      <c r="EX144" s="15">
        <f>MIN(1,MAX(VLOOKUP(($AJ144-$AI144-$AH144-$AG144-$AF144-$AE144*(1+EX$3))/$AJ144,'Технический лист'!$A:$B,2,1),(EW144-0.05)))</f>
        <v>1</v>
      </c>
      <c r="EY144" s="15">
        <f>MIN(1,MAX(VLOOKUP(($AJ144-$AI144-$AH144-$AG144-$AF144-$AE144*(1+EY$3))/$AJ144,'Технический лист'!$A:$B,2,1),(EX144-0.05)))</f>
        <v>1</v>
      </c>
      <c r="EZ144" s="15">
        <f>MIN(1,MAX(VLOOKUP(($AJ144-$AI144-$AH144-$AG144-$AF144-$AE144*(1+EZ$3))/$AJ144,'Технический лист'!$A:$B,2,1),(EY144-0.05)))</f>
        <v>1</v>
      </c>
      <c r="FA144" s="15">
        <f>MIN(1,MAX(VLOOKUP(($AJ144-$AI144-$AH144-$AG144-$AF144-$AE144*(1+FA$3))/$AJ144,'Технический лист'!$A:$B,2,1),(EZ144-0.05)))</f>
        <v>1</v>
      </c>
      <c r="FB144" s="15">
        <f>MIN(1,MAX(VLOOKUP(($AJ144-$AI144-$AH144-$AG144-$AF144-$AE144*(1+FB$3))/$AJ144,'Технический лист'!$A:$B,2,1),(FA144-0.05)))</f>
        <v>1</v>
      </c>
      <c r="FC144" s="15">
        <f>MIN(1,MAX(VLOOKUP(($AJ144-$AI144-$AH144-$AG144-$AF144-$AE144*(1+FC$3))/$AJ144,'Технический лист'!$A:$B,2,1),(FB144-0.05)))</f>
        <v>1</v>
      </c>
      <c r="FD144" s="15">
        <f>MIN(1,MAX(VLOOKUP(($AJ144-$AI144-$AH144-$AG144-$AF144-$AE144*(1+FD$3))/$AJ144,'Технический лист'!$A:$B,2,1),(FC144-0.05)))</f>
        <v>1</v>
      </c>
      <c r="FE144" s="15">
        <f>MIN(1,MAX(VLOOKUP(($AJ144-$AI144-$AH144-$AG144-$AF144-$AE144*(1+FE$3))/$AJ144,'Технический лист'!$A:$B,2,1),(FD144-0.05)))</f>
        <v>1</v>
      </c>
      <c r="FF144" s="15">
        <f>MIN(1,MAX(VLOOKUP(($AJ144-$AI144-$AH144-$AG144-$AF144-$AE144*(1+FF$3))/$AJ144,'Технический лист'!$A:$B,2,1),(FE144-0.05)))</f>
        <v>1</v>
      </c>
      <c r="FG144" s="15">
        <f>MIN(1,MAX(VLOOKUP(($AJ144-$AI144-$AH144-$AG144-$AF144-$AE144*(1+FG$3))/$AJ144,'Технический лист'!$A:$B,2,1),(FF144-0.05)))</f>
        <v>1</v>
      </c>
      <c r="FH144" s="15">
        <f>MIN(1,MAX(VLOOKUP(($AJ144-$AI144-$AH144-$AG144-$AF144-$AE144*(1+FH$3))/$AJ144,'Технический лист'!$A:$B,2,1),(FG144-0.05)))</f>
        <v>1</v>
      </c>
      <c r="FI144" s="15">
        <f>MIN(1,MAX(VLOOKUP(($AJ144-$AI144-$AH144-$AG144-$AF144-$AE144*(1+FI$3))/$AJ144,'Технический лист'!$A:$B,2,1),(FH144-0.05)))</f>
        <v>1</v>
      </c>
      <c r="FJ144" s="15">
        <f>MIN(1,MAX(VLOOKUP(($AJ144-$AI144-$AH144-$AG144-$AF144-$AE144*(1+FJ$3))/$AJ144,'Технический лист'!$A:$B,2,1),(FI144-0.05)))</f>
        <v>1</v>
      </c>
      <c r="FK144" s="15">
        <f>MIN(1,MAX(VLOOKUP(($AJ144-$AI144-$AH144-$AG144-$AF144-$AE144*(1+FK$3))/$AJ144,'Технический лист'!$A:$B,2,1),(FJ144-0.05)))</f>
        <v>1</v>
      </c>
      <c r="FL144" s="15">
        <f>MIN(1,MAX(VLOOKUP(($AJ144-$AI144-$AH144-$AG144-$AF144-$AE144*(1+FL$3))/$AJ144,'Технический лист'!$A:$B,2,1),(FK144-0.05)))</f>
        <v>1</v>
      </c>
      <c r="FM144" s="15">
        <f>MIN(1,MAX(VLOOKUP(($AJ144-$AI144-$AH144-$AG144-$AF144-$AE144*(1+FM$3))/$AJ144,'Технический лист'!$A:$B,2,1),(FL144-0.05)))</f>
        <v>1</v>
      </c>
      <c r="FN144" s="15">
        <f>MIN(1,MAX(VLOOKUP(($AJ144-$AI144-$AH144-$AG144-$AF144-$AE144*(1+FN$3))/$AJ144,'Технический лист'!$A:$B,2,1),(FM144-0.05)))</f>
        <v>1</v>
      </c>
      <c r="FO144" s="15">
        <f>MIN(1,MAX(VLOOKUP(($AJ144-$AI144-$AH144-$AG144-$AF144-$AE144*(1+FO$3))/$AJ144,'Технический лист'!$A:$B,2,1),(FN144-0.05)))</f>
        <v>1</v>
      </c>
      <c r="FP144" s="15">
        <f>MIN(1,MAX(VLOOKUP(($AJ144-$AI144-$AH144-$AG144-$AF144-$AE144*(1+FP$3))/$AJ144,'Технический лист'!$A:$B,2,1),(FO144-0.05)))</f>
        <v>1</v>
      </c>
      <c r="FQ144" s="15">
        <f>MIN(1,MAX(VLOOKUP(($AJ144-$AI144-$AH144-$AG144-$AF144-$AE144*(1+FQ$3))/$AJ144,'Технический лист'!$A:$B,2,1),(FP144-0.05)))</f>
        <v>1</v>
      </c>
      <c r="FR144" s="15">
        <f>MIN(1,MAX(VLOOKUP(($AJ144-$AI144-$AH144-$AG144-$AF144-$AE144*(1+FR$3))/$AJ144,'Технический лист'!$A:$B,2,1),(FQ144-0.05)))</f>
        <v>1</v>
      </c>
      <c r="FS144" s="15">
        <f>MIN(1,MAX(VLOOKUP(($AJ144-$AI144-$AH144-$AG144-$AF144-$AE144*(1+FS$3))/$AJ144,'Технический лист'!$A:$B,2,1),(FR144-0.05)))</f>
        <v>1</v>
      </c>
      <c r="FT144" s="15">
        <f>MIN(1,MAX(VLOOKUP(($AJ144-$AI144-$AH144-$AG144-$AF144-$AE144*(1+FT$3))/$AJ144,'Технический лист'!$A:$B,2,1),(FS144-0.05)))</f>
        <v>1</v>
      </c>
      <c r="FU144" s="15">
        <f>MIN(1,MAX(VLOOKUP(($AJ144-$AI144-$AH144-$AG144-$AF144-$AE144*(1+FU$3))/$AJ144,'Технический лист'!$A:$B,2,1),(FT144-0.05)))</f>
        <v>1</v>
      </c>
      <c r="FV144" s="15">
        <f>MIN(1,MAX(VLOOKUP(($AJ144-$AI144-$AH144-$AG144-$AF144-$AE144*(1+FV$3))/$AJ144,'Технический лист'!$A:$B,2,1),(FU144-0.05)))</f>
        <v>1</v>
      </c>
      <c r="FW144" s="15">
        <f>MIN(1,MAX(VLOOKUP(($AJ144-$AI144-$AH144-$AG144-$AF144-$AE144*(1+FW$3))/$AJ144,'Технический лист'!$A:$B,2,1),(FV144-0.05)))</f>
        <v>1</v>
      </c>
      <c r="FX144" s="15">
        <f>MIN(1,MAX(VLOOKUP(($AJ144-$AI144-$AH144-$AG144-$AF144-$AE144*(1+FX$3))/$AJ144,'Технический лист'!$A:$B,2,1),(FW144-0.05)))</f>
        <v>1</v>
      </c>
      <c r="FY144" s="15">
        <f>MIN(1,MAX(VLOOKUP(($AJ144-$AI144-$AH144-$AG144-$AF144-$AE144*(1+FY$3))/$AJ144,'Технический лист'!$A:$B,2,1),(FX144-0.05)))</f>
        <v>1</v>
      </c>
      <c r="FZ144" s="15">
        <f>MIN(1,MAX(VLOOKUP(($AJ144-$AI144-$AH144-$AG144-$AF144-$AE144*(1+FZ$3))/$AJ144,'Технический лист'!$A:$B,2,1),(FY144-0.05)))</f>
        <v>1</v>
      </c>
      <c r="GA144" s="15">
        <f>MIN(1,MAX(VLOOKUP(($AJ144-$AI144-$AH144-$AG144-$AF144-$AE144*(1+GA$3))/$AJ144,'Технический лист'!$A:$B,2,1),(FZ144-0.05)))</f>
        <v>1</v>
      </c>
      <c r="GB144" s="15">
        <f>MIN(1,MAX(VLOOKUP(($AJ144-$AI144-$AH144-$AG144-$AF144-$AE144*(1+GB$3))/$AJ144,'Технический лист'!$A:$B,2,1),(GA144-0.05)))</f>
        <v>1</v>
      </c>
      <c r="GC144" s="15">
        <f>MIN(1,MAX(VLOOKUP(($AJ144-$AI144-$AH144-$AG144-$AF144-$AE144*(1+GC$3))/$AJ144,'Технический лист'!$A:$B,2,1),(GB144-0.05)))</f>
        <v>1</v>
      </c>
      <c r="GD144" s="15">
        <f>MIN(1,MAX(VLOOKUP(($AJ144-$AI144-$AH144-$AG144-$AF144-$AE144*(1+GD$3))/$AJ144,'Технический лист'!$A:$B,2,1),(GC144-0.05)))</f>
        <v>0.995</v>
      </c>
      <c r="GE144" s="15">
        <f>MIN(1,MAX(VLOOKUP(($AJ144-$AI144-$AH144-$AG144-$AF144-$AE144*(1+GE$3))/$AJ144,'Технический лист'!$A:$B,2,1),(GD144-0.05)))</f>
        <v>0.995</v>
      </c>
      <c r="GF144" s="15">
        <f>MIN(1,MAX(VLOOKUP(($AJ144-$AI144-$AH144-$AG144-$AF144-$AE144*(1+GF$3))/$AJ144,'Технический лист'!$A:$B,2,1),(GE144-0.05)))</f>
        <v>0.995</v>
      </c>
      <c r="GG144" s="15">
        <f>MIN(1,MAX(VLOOKUP(($AJ144-$AI144-$AH144-$AG144-$AF144-$AE144*(1+GG$3))/$AJ144,'Технический лист'!$A:$B,2,1),(GF144-0.05)))</f>
        <v>0.995</v>
      </c>
      <c r="GH144" s="15">
        <f>MIN(1,MAX(VLOOKUP(($AJ144-$AI144-$AH144-$AG144-$AF144-$AE144*(1+GH$3))/$AJ144,'Технический лист'!$A:$B,2,1),(GG144-0.05)))</f>
        <v>0.995</v>
      </c>
      <c r="GI144" s="15">
        <f>MIN(1,MAX(VLOOKUP(($AJ144-$AI144-$AH144-$AG144-$AF144-$AE144*(1+GI$3))/$AJ144,'Технический лист'!$A:$B,2,1),(GH144-0.05)))</f>
        <v>0.995</v>
      </c>
      <c r="GJ144" s="15">
        <f>MIN(1,MAX(VLOOKUP(($AJ144-$AI144-$AH144-$AG144-$AF144-$AE144*(1+GJ$3))/$AJ144,'Технический лист'!$A:$B,2,1),(GI144-0.05)))</f>
        <v>0.995</v>
      </c>
      <c r="GK144" s="15">
        <f>MIN(1,MAX(VLOOKUP(($AJ144-$AI144-$AH144-$AG144-$AF144-$AE144*(1+GK$3))/$AJ144,'Технический лист'!$A:$B,2,1),(GJ144-0.05)))</f>
        <v>0.995</v>
      </c>
      <c r="GL144" s="15">
        <f>MIN(1,MAX(VLOOKUP(($AJ144-$AI144-$AH144-$AG144-$AF144-$AE144*(1+GL$3))/$AJ144,'Технический лист'!$A:$B,2,1),(GK144-0.05)))</f>
        <v>0.995</v>
      </c>
      <c r="GM144" s="15">
        <f>MIN(1,MAX(VLOOKUP(($AJ144-$AI144-$AH144-$AG144-$AF144-$AE144*(1+GM$3))/$AJ144,'Технический лист'!$A:$B,2,1),(GL144-0.05)))</f>
        <v>0.995</v>
      </c>
      <c r="GN144" s="15">
        <f>MIN(1,MAX(VLOOKUP(($AJ144-$AI144-$AH144-$AG144-$AF144-$AE144*(1+GN$3))/$AJ144,'Технический лист'!$A:$B,2,1),(GM144-0.05)))</f>
        <v>0.995</v>
      </c>
      <c r="GO144" s="15">
        <f>MIN(1,MAX(VLOOKUP(($AJ144-$AI144-$AH144-$AG144-$AF144-$AE144*(1+GO$3))/$AJ144,'Технический лист'!$A:$B,2,1),(GN144-0.05)))</f>
        <v>0.995</v>
      </c>
      <c r="GP144" s="15">
        <f>MIN(1,MAX(VLOOKUP(($AJ144-$AI144-$AH144-$AG144-$AF144-$AE144*(1+GP$3))/$AJ144,'Технический лист'!$A:$B,2,1),(GO144-0.05)))</f>
        <v>0.995</v>
      </c>
      <c r="GQ144" s="15">
        <f>MIN(1,MAX(VLOOKUP(($AJ144-$AI144-$AH144-$AG144-$AF144-$AE144*(1+GQ$3))/$AJ144,'Технический лист'!$A:$B,2,1),(GP144-0.05)))</f>
        <v>0.995</v>
      </c>
      <c r="GR144" s="15">
        <f>MIN(1,MAX(VLOOKUP(($AJ144-$AI144-$AH144-$AG144-$AF144-$AE144*(1+GR$3))/$AJ144,'Технический лист'!$A:$B,2,1),(GQ144-0.05)))</f>
        <v>0.995</v>
      </c>
      <c r="GS144" s="15">
        <f>MIN(1,MAX(VLOOKUP(($AJ144-$AI144-$AH144-$AG144-$AF144-$AE144*(1+GS$3))/$AJ144,'Технический лист'!$A:$B,2,1),(GR144-0.05)))</f>
        <v>0.995</v>
      </c>
      <c r="GT144" s="15">
        <f>MIN(1,MAX(VLOOKUP(($AJ144-$AI144-$AH144-$AG144-$AF144-$AE144*(1+GT$3))/$AJ144,'Технический лист'!$A:$B,2,1),(GS144-0.05)))</f>
        <v>0.995</v>
      </c>
      <c r="GU144" s="15">
        <f>MIN(1,MAX(VLOOKUP(($AJ144-$AI144-$AH144-$AG144-$AF144-$AE144*(1+GU$3))/$AJ144,'Технический лист'!$A:$B,2,1),(GT144-0.05)))</f>
        <v>0.995</v>
      </c>
      <c r="GV144" s="15">
        <f>MIN(1,MAX(VLOOKUP(($AJ144-$AI144-$AH144-$AG144-$AF144-$AE144*(1+GV$3))/$AJ144,'Технический лист'!$A:$B,2,1),(GU144-0.05)))</f>
        <v>0.995</v>
      </c>
      <c r="GW144" s="15">
        <f>MIN(1,MAX(VLOOKUP(($AJ144-$AI144-$AH144-$AG144-$AF144-$AE144*(1+GW$3))/$AJ144,'Технический лист'!$A:$B,2,1),(GV144-0.05)))</f>
        <v>0.995</v>
      </c>
      <c r="GX144" s="15">
        <f>MIN(1,MAX(VLOOKUP(($AJ144-$AI144-$AH144-$AG144-$AF144-$AE144*(1+GX$3))/$AJ144,'Технический лист'!$A:$B,2,1),(GW144-0.05)))</f>
        <v>0.995</v>
      </c>
      <c r="GY144" s="15">
        <f>MIN(1,MAX(VLOOKUP(($AJ144-$AI144-$AH144-$AG144-$AF144-$AE144*(1+GY$3))/$AJ144,'Технический лист'!$A:$B,2,1),(GX144-0.05)))</f>
        <v>0.99</v>
      </c>
      <c r="GZ144" s="15">
        <f>MIN(1,MAX(VLOOKUP(($AJ144-$AI144-$AH144-$AG144-$AF144-$AE144*(1+GZ$3))/$AJ144,'Технический лист'!$A:$B,2,1),(GY144-0.05)))</f>
        <v>0.99</v>
      </c>
      <c r="HA144" s="15">
        <f>MIN(1,MAX(VLOOKUP(($AJ144-$AI144-$AH144-$AG144-$AF144-$AE144*(1+HA$3))/$AJ144,'Технический лист'!$A:$B,2,1),(GZ144-0.05)))</f>
        <v>0.99</v>
      </c>
      <c r="HB144" s="15">
        <f>MIN(1,MAX(VLOOKUP(($AJ144-$AI144-$AH144-$AG144-$AF144-$AE144*(1+HB$3))/$AJ144,'Технический лист'!$A:$B,2,1),(HA144-0.05)))</f>
        <v>0.99</v>
      </c>
      <c r="HC144" s="15">
        <f>MIN(1,MAX(VLOOKUP(($AJ144-$AI144-$AH144-$AG144-$AF144-$AE144*(1+HC$3))/$AJ144,'Технический лист'!$A:$B,2,1),(HB144-0.05)))</f>
        <v>0.99</v>
      </c>
      <c r="HD144" s="15">
        <f>MIN(1,MAX(VLOOKUP(($AJ144-$AI144-$AH144-$AG144-$AF144-$AE144*(1+HD$3))/$AJ144,'Технический лист'!$A:$B,2,1),(HC144-0.05)))</f>
        <v>0.99</v>
      </c>
      <c r="HE144" s="15">
        <f>MIN(1,MAX(VLOOKUP(($AJ144-$AI144-$AH144-$AG144-$AF144-$AE144*(1+HE$3))/$AJ144,'Технический лист'!$A:$B,2,1),(HD144-0.05)))</f>
        <v>0.99</v>
      </c>
      <c r="HF144" s="15">
        <f>MIN(1,MAX(VLOOKUP(($AJ144-$AI144-$AH144-$AG144-$AF144-$AE144*(1+HF$3))/$AJ144,'Технический лист'!$A:$B,2,1),(HE144-0.05)))</f>
        <v>0.99</v>
      </c>
      <c r="HG144" s="15">
        <f>MIN(1,MAX(VLOOKUP(($AJ144-$AI144-$AH144-$AG144-$AF144-$AE144*(1+HG$3))/$AJ144,'Технический лист'!$A:$B,2,1),(HF144-0.05)))</f>
        <v>0.99</v>
      </c>
      <c r="HH144" s="15">
        <f>MIN(1,MAX(VLOOKUP(($AJ144-$AI144-$AH144-$AG144-$AF144-$AE144*(1+HH$3))/$AJ144,'Технический лист'!$A:$B,2,1),(HG144-0.05)))</f>
        <v>0.99</v>
      </c>
      <c r="HI144" s="15">
        <f>MIN(1,MAX(VLOOKUP(($AJ144-$AI144-$AH144-$AG144-$AF144-$AE144*(1+HI$3))/$AJ144,'Технический лист'!$A:$B,2,1),(HH144-0.05)))</f>
        <v>0.99</v>
      </c>
      <c r="HJ144" s="15">
        <f>MIN(1,MAX(VLOOKUP(($AJ144-$AI144-$AH144-$AG144-$AF144-$AE144*(1+HJ$3))/$AJ144,'Технический лист'!$A:$B,2,1),(HI144-0.05)))</f>
        <v>0.99</v>
      </c>
      <c r="HK144" s="15">
        <f>MIN(1,MAX(VLOOKUP(($AJ144-$AI144-$AH144-$AG144-$AF144-$AE144*(1+HK$3))/$AJ144,'Технический лист'!$A:$B,2,1),(HJ144-0.05)))</f>
        <v>0.99</v>
      </c>
      <c r="HL144" s="15">
        <f>MIN(1,MAX(VLOOKUP(($AJ144-$AI144-$AH144-$AG144-$AF144-$AE144*(1+HL$3))/$AJ144,'Технический лист'!$A:$B,2,1),(HK144-0.05)))</f>
        <v>0.99</v>
      </c>
      <c r="HM144" s="15">
        <f>MIN(1,MAX(VLOOKUP(($AJ144-$AI144-$AH144-$AG144-$AF144-$AE144*(1+HM$3))/$AJ144,'Технический лист'!$A:$B,2,1),(HL144-0.05)))</f>
        <v>0.99</v>
      </c>
      <c r="HN144" s="15">
        <f>MIN(1,MAX(VLOOKUP(($AJ144-$AI144-$AH144-$AG144-$AF144-$AE144*(1+HN$3))/$AJ144,'Технический лист'!$A:$B,2,1),(HM144-0.05)))</f>
        <v>0.99</v>
      </c>
      <c r="HO144" s="15">
        <f>MIN(1,MAX(VLOOKUP(($AJ144-$AI144-$AH144-$AG144-$AF144-$AE144*(1+HO$3))/$AJ144,'Технический лист'!$A:$B,2,1),(HN144-0.05)))</f>
        <v>0.99</v>
      </c>
      <c r="HP144" s="15">
        <f>MIN(1,MAX(VLOOKUP(($AJ144-$AI144-$AH144-$AG144-$AF144-$AE144*(1+HP$3))/$AJ144,'Технический лист'!$A:$B,2,1),(HO144-0.05)))</f>
        <v>0.99</v>
      </c>
      <c r="HQ144" s="15">
        <f>MIN(1,MAX(VLOOKUP(($AJ144-$AI144-$AH144-$AG144-$AF144-$AE144*(1+HQ$3))/$AJ144,'Технический лист'!$A:$B,2,1),(HP144-0.05)))</f>
        <v>0.99</v>
      </c>
      <c r="HR144" s="15">
        <f>MIN(1,MAX(VLOOKUP(($AJ144-$AI144-$AH144-$AG144-$AF144-$AE144*(1+HR$3))/$AJ144,'Технический лист'!$A:$B,2,1),(HQ144-0.05)))</f>
        <v>0.99</v>
      </c>
      <c r="HS144" s="15">
        <f>MIN(1,MAX(VLOOKUP(($AJ144-$AI144-$AH144-$AG144-$AF144-$AE144*(1+HS$3))/$AJ144,'Технический лист'!$A:$B,2,1),(HR144-0.05)))</f>
        <v>0.99</v>
      </c>
      <c r="HT144" s="15">
        <f>MIN(1,MAX(VLOOKUP(($AJ144-$AI144-$AH144-$AG144-$AF144-$AE144*(1+HT$3))/$AJ144,'Технический лист'!$A:$B,2,1),(HS144-0.05)))</f>
        <v>0.98499999999999999</v>
      </c>
      <c r="HU144" s="15">
        <f>MIN(1,MAX(VLOOKUP(($AJ144-$AI144-$AH144-$AG144-$AF144-$AE144*(1+HU$3))/$AJ144,'Технический лист'!$A:$B,2,1),(HT144-0.05)))</f>
        <v>0.98499999999999999</v>
      </c>
      <c r="HV144" s="15">
        <f>MIN(1,MAX(VLOOKUP(($AJ144-$AI144-$AH144-$AG144-$AF144-$AE144*(1+HV$3))/$AJ144,'Технический лист'!$A:$B,2,1),(HU144-0.05)))</f>
        <v>0.98499999999999999</v>
      </c>
      <c r="HW144" s="15">
        <f>MIN(1,MAX(VLOOKUP(($AJ144-$AI144-$AH144-$AG144-$AF144-$AE144*(1+HW$3))/$AJ144,'Технический лист'!$A:$B,2,1),(HV144-0.05)))</f>
        <v>0.98499999999999999</v>
      </c>
      <c r="HX144" s="15">
        <f>MIN(1,MAX(VLOOKUP(($AJ144-$AI144-$AH144-$AG144-$AF144-$AE144*(1+HX$3))/$AJ144,'Технический лист'!$A:$B,2,1),(HW144-0.05)))</f>
        <v>0.98499999999999999</v>
      </c>
      <c r="HY144" s="15">
        <f>MIN(1,MAX(VLOOKUP(($AJ144-$AI144-$AH144-$AG144-$AF144-$AE144*(1+HY$3))/$AJ144,'Технический лист'!$A:$B,2,1),(HX144-0.05)))</f>
        <v>0.98499999999999999</v>
      </c>
      <c r="HZ144" s="15">
        <f>MIN(1,MAX(VLOOKUP(($AJ144-$AI144-$AH144-$AG144-$AF144-$AE144*(1+HZ$3))/$AJ144,'Технический лист'!$A:$B,2,1),(HY144-0.05)))</f>
        <v>0.98499999999999999</v>
      </c>
      <c r="IA144" s="15">
        <f>MIN(1,MAX(VLOOKUP(($AJ144-$AI144-$AH144-$AG144-$AF144-$AE144*(1+IA$3))/$AJ144,'Технический лист'!$A:$B,2,1),(HZ144-0.05)))</f>
        <v>0.98499999999999999</v>
      </c>
      <c r="IB144" s="15">
        <f>MIN(1,MAX(VLOOKUP(($AJ144-$AI144-$AH144-$AG144-$AF144-$AE144*(1+IB$3))/$AJ144,'Технический лист'!$A:$B,2,1),(IA144-0.05)))</f>
        <v>0.98499999999999999</v>
      </c>
      <c r="IC144" s="15">
        <f>MIN(1,MAX(VLOOKUP(($AJ144-$AI144-$AH144-$AG144-$AF144-$AE144*(1+IC$3))/$AJ144,'Технический лист'!$A:$B,2,1),(IB144-0.05)))</f>
        <v>0.98499999999999999</v>
      </c>
      <c r="ID144" s="15">
        <f>MIN(1,MAX(VLOOKUP(($AJ144-$AI144-$AH144-$AG144-$AF144-$AE144*(1+ID$3))/$AJ144,'Технический лист'!$A:$B,2,1),(IC144-0.05)))</f>
        <v>0.98499999999999999</v>
      </c>
      <c r="IE144" s="15">
        <f>MIN(1,MAX(VLOOKUP(($AJ144-$AI144-$AH144-$AG144-$AF144-$AE144*(1+IE$3))/$AJ144,'Технический лист'!$A:$B,2,1),(ID144-0.05)))</f>
        <v>0.98499999999999999</v>
      </c>
      <c r="IF144" s="15">
        <f>MIN(1,MAX(VLOOKUP(($AJ144-$AI144-$AH144-$AG144-$AF144-$AE144*(1+IF$3))/$AJ144,'Технический лист'!$A:$B,2,1),(IE144-0.05)))</f>
        <v>0.98499999999999999</v>
      </c>
      <c r="IG144" s="15">
        <f>MIN(1,MAX(VLOOKUP(($AJ144-$AI144-$AH144-$AG144-$AF144-$AE144*(1+IG$3))/$AJ144,'Технический лист'!$A:$B,2,1),(IF144-0.05)))</f>
        <v>0.98499999999999999</v>
      </c>
      <c r="IH144" s="15">
        <f>MIN(1,MAX(VLOOKUP(($AJ144-$AI144-$AH144-$AG144-$AF144-$AE144*(1+IH$3))/$AJ144,'Технический лист'!$A:$B,2,1),(IG144-0.05)))</f>
        <v>0.98499999999999999</v>
      </c>
      <c r="II144" s="15">
        <f>MIN(1,MAX(VLOOKUP(($AJ144-$AI144-$AH144-$AG144-$AF144-$AE144*(1+II$3))/$AJ144,'Технический лист'!$A:$B,2,1),(IH144-0.05)))</f>
        <v>0.98499999999999999</v>
      </c>
      <c r="IJ144" s="15">
        <f>MIN(1,MAX(VLOOKUP(($AJ144-$AI144-$AH144-$AG144-$AF144-$AE144*(1+IJ$3))/$AJ144,'Технический лист'!$A:$B,2,1),(II144-0.05)))</f>
        <v>0.98499999999999999</v>
      </c>
      <c r="IK144" s="15">
        <f>MIN(1,MAX(VLOOKUP(($AJ144-$AI144-$AH144-$AG144-$AF144-$AE144*(1+IK$3))/$AJ144,'Технический лист'!$A:$B,2,1),(IJ144-0.05)))</f>
        <v>0.98499999999999999</v>
      </c>
      <c r="IL144" s="15">
        <f>MIN(1,MAX(VLOOKUP(($AJ144-$AI144-$AH144-$AG144-$AF144-$AE144*(1+IL$3))/$AJ144,'Технический лист'!$A:$B,2,1),(IK144-0.05)))</f>
        <v>0.98499999999999999</v>
      </c>
      <c r="IM144" s="15">
        <f>MIN(1,MAX(VLOOKUP(($AJ144-$AI144-$AH144-$AG144-$AF144-$AE144*(1+IM$3))/$AJ144,'Технический лист'!$A:$B,2,1),(IL144-0.05)))</f>
        <v>0.98499999999999999</v>
      </c>
      <c r="IN144" s="15">
        <f>MIN(1,MAX(VLOOKUP(($AJ144-$AI144-$AH144-$AG144-$AF144-$AE144*(1+IN$3))/$AJ144,'Технический лист'!$A:$B,2,1),(IM144-0.05)))</f>
        <v>0.98499999999999999</v>
      </c>
      <c r="IO144" s="15">
        <f>MIN(1,MAX(VLOOKUP(($AJ144-$AI144-$AH144-$AG144-$AF144-$AE144*(1+IO$3))/$AJ144,'Технический лист'!$A:$B,2,1),(IN144-0.05)))</f>
        <v>0.98</v>
      </c>
      <c r="IP144" s="15">
        <f>MIN(1,MAX(VLOOKUP(($AJ144-$AI144-$AH144-$AG144-$AF144-$AE144*(1+IP$3))/$AJ144,'Технический лист'!$A:$B,2,1),(IO144-0.05)))</f>
        <v>0.98</v>
      </c>
      <c r="IQ144" s="15">
        <f>MIN(1,MAX(VLOOKUP(($AJ144-$AI144-$AH144-$AG144-$AF144-$AE144*(1+IQ$3))/$AJ144,'Технический лист'!$A:$B,2,1),(IP144-0.05)))</f>
        <v>0.98</v>
      </c>
      <c r="IR144" s="15">
        <f>MIN(1,MAX(VLOOKUP(($AJ144-$AI144-$AH144-$AG144-$AF144-$AE144*(1+IR$3))/$AJ144,'Технический лист'!$A:$B,2,1),(IQ144-0.05)))</f>
        <v>0.98</v>
      </c>
    </row>
    <row r="145" spans="1:252" ht="43.75">
      <c r="A145" s="89" t="s">
        <v>515</v>
      </c>
      <c r="B145" s="90">
        <v>10</v>
      </c>
      <c r="C145" s="5" t="s">
        <v>66</v>
      </c>
      <c r="D145" s="91">
        <v>31607</v>
      </c>
      <c r="E145" s="91" t="s">
        <v>327</v>
      </c>
      <c r="F145" s="92" t="s">
        <v>70</v>
      </c>
      <c r="G145" s="91" t="s">
        <v>26</v>
      </c>
      <c r="H145" s="91" t="s">
        <v>26</v>
      </c>
      <c r="I145" s="91" t="s">
        <v>84</v>
      </c>
      <c r="J145" s="91" t="s">
        <v>129</v>
      </c>
      <c r="K145" s="91">
        <v>536</v>
      </c>
      <c r="L145" s="85" t="s">
        <v>64</v>
      </c>
      <c r="M145" s="91" t="s">
        <v>17</v>
      </c>
      <c r="N145" s="91" t="s">
        <v>191</v>
      </c>
      <c r="O145" s="91" t="s">
        <v>193</v>
      </c>
      <c r="P145" s="89" t="s">
        <v>222</v>
      </c>
      <c r="Q145" s="91" t="s">
        <v>302</v>
      </c>
      <c r="R145" s="91" t="s">
        <v>253</v>
      </c>
      <c r="S145" s="82">
        <v>1553</v>
      </c>
      <c r="T145" s="82">
        <v>832460</v>
      </c>
      <c r="U145" s="81">
        <v>25</v>
      </c>
      <c r="V145" s="81">
        <v>0</v>
      </c>
      <c r="W145" s="82">
        <v>2397574</v>
      </c>
      <c r="X145" s="112">
        <v>62</v>
      </c>
      <c r="Y145" s="112" t="s">
        <v>416</v>
      </c>
      <c r="Z145" s="113">
        <v>4</v>
      </c>
      <c r="AA145" s="113">
        <v>2</v>
      </c>
      <c r="AB145" s="113">
        <v>4</v>
      </c>
      <c r="AC145" s="99">
        <v>1853.61</v>
      </c>
      <c r="AD145" s="99">
        <f>AE145-AC145</f>
        <v>205.37000000000012</v>
      </c>
      <c r="AE145" s="99">
        <v>2058.98</v>
      </c>
      <c r="AF145" s="98">
        <f>(Z145+AA145+AB145)*'Ставки аренды'!$B$3/X145</f>
        <v>112.90322580645162</v>
      </c>
      <c r="AG145" s="94">
        <v>0</v>
      </c>
      <c r="AH145" s="94">
        <v>0</v>
      </c>
      <c r="AI145" s="115">
        <f>0.9*AJ144</f>
        <v>16200</v>
      </c>
      <c r="AJ145" s="117">
        <f>Цены!D7</f>
        <v>22500</v>
      </c>
      <c r="AK145" s="94">
        <f>AJ145/Цены!$B$1</f>
        <v>294.86734245893155</v>
      </c>
      <c r="AL145" s="95">
        <f t="shared" si="54"/>
        <v>2171.8832258064517</v>
      </c>
      <c r="AM145" s="95">
        <f t="shared" si="55"/>
        <v>20328.11677419355</v>
      </c>
      <c r="AN145" s="94">
        <f t="shared" si="52"/>
        <v>18371.88322580645</v>
      </c>
      <c r="AO145" s="118">
        <f t="shared" si="53"/>
        <v>0.18347185663082444</v>
      </c>
      <c r="AP145" s="96">
        <f t="shared" si="56"/>
        <v>9.6528143369175631E-2</v>
      </c>
      <c r="AQ145" s="96">
        <f t="shared" si="57"/>
        <v>9.1510222222222229E-2</v>
      </c>
      <c r="AR145" s="96">
        <f t="shared" si="58"/>
        <v>0.94801597780906055</v>
      </c>
      <c r="AS145" s="122">
        <v>1</v>
      </c>
      <c r="AT145" s="121">
        <f t="shared" si="45"/>
        <v>1553</v>
      </c>
      <c r="AU145" s="83">
        <v>0.7</v>
      </c>
      <c r="AV145" s="119">
        <f t="shared" si="41"/>
        <v>0.17249062996415773</v>
      </c>
      <c r="AW145" s="120">
        <f t="shared" si="42"/>
        <v>0.10750937003584231</v>
      </c>
      <c r="AX145" s="120">
        <f t="shared" si="43"/>
        <v>0.10249144888888889</v>
      </c>
      <c r="AY145" s="120">
        <f t="shared" si="44"/>
        <v>0.95332573202428317</v>
      </c>
      <c r="AZ145" s="15">
        <f>MIN(IF($AU145=100%,1,1+VLOOKUP(($AJ145-$AI145-$AH145-$AG145-$AF145-$AE145*(1+AZ$3))/$AJ145,'Технический лист'!$I:$J,2,1)-VLOOKUP($AO145,'Технический лист'!$I:$J,2,1)),1+(1-$AU145))</f>
        <v>1</v>
      </c>
      <c r="BA145" s="15">
        <f>MIN(IF($AU145=100%,1,1+VLOOKUP(($AJ145-$AI145-$AH145-$AG145-$AF145-$AE145*(1+BA$3))/$AJ145,'Технический лист'!$I:$J,2,1)-VLOOKUP($AO145,'Технический лист'!$I:$J,2,1)),1+(1-$AU145))</f>
        <v>1</v>
      </c>
      <c r="BB145" s="15">
        <f>MIN(IF($AU145=100%,1,1+VLOOKUP(($AJ145-$AI145-$AH145-$AG145-$AF145-$AE145*(1+BB$3))/$AJ145,'Технический лист'!$I:$J,2,1)-VLOOKUP($AO145,'Технический лист'!$I:$J,2,1)),1+(1-$AU145))</f>
        <v>1</v>
      </c>
      <c r="BC145" s="15">
        <f>MIN(IF($AU145=100%,1,1+VLOOKUP(($AJ145-$AI145-$AH145-$AG145-$AF145-$AE145*(1+BC$3))/$AJ145,'Технический лист'!$I:$J,2,1)-VLOOKUP($AO145,'Технический лист'!$I:$J,2,1)),1+(1-$AU145))</f>
        <v>1</v>
      </c>
      <c r="BD145" s="15">
        <f>MIN(IF($AU145=100%,1,1+VLOOKUP(($AJ145-$AI145-$AH145-$AG145-$AF145-$AE145*(1+BD$3))/$AJ145,'Технический лист'!$I:$J,2,1)-VLOOKUP($AO145,'Технический лист'!$I:$J,2,1)),1+(1-$AU145))</f>
        <v>1</v>
      </c>
      <c r="BE145" s="15">
        <f>MIN(IF($AU145=100%,1,1+VLOOKUP(($AJ145-$AI145-$AH145-$AG145-$AF145-$AE145*(1+BE$3))/$AJ145,'Технический лист'!$I:$J,2,1)-VLOOKUP($AO145,'Технический лист'!$I:$J,2,1)),1+(1-$AU145))</f>
        <v>1</v>
      </c>
      <c r="BF145" s="15">
        <f>MIN(IF($AU145=100%,1,1+VLOOKUP(($AJ145-$AI145-$AH145-$AG145-$AF145-$AE145*(1+BF$3))/$AJ145,'Технический лист'!$I:$J,2,1)-VLOOKUP($AO145,'Технический лист'!$I:$J,2,1)),1+(1-$AU145))</f>
        <v>1</v>
      </c>
      <c r="BG145" s="15">
        <f>MIN(IF($AU145=100%,1,1+VLOOKUP(($AJ145-$AI145-$AH145-$AG145-$AF145-$AE145*(1+BG$3))/$AJ145,'Технический лист'!$I:$J,2,1)-VLOOKUP($AO145,'Технический лист'!$I:$J,2,1)),1+(1-$AU145))</f>
        <v>1</v>
      </c>
      <c r="BH145" s="15">
        <f>MIN(IF($AU145=100%,1,1+VLOOKUP(($AJ145-$AI145-$AH145-$AG145-$AF145-$AE145*(1+BH$3))/$AJ145,'Технический лист'!$I:$J,2,1)-VLOOKUP($AO145,'Технический лист'!$I:$J,2,1)),1+(1-$AU145))</f>
        <v>1</v>
      </c>
      <c r="BI145" s="15">
        <f>MIN(IF($AU145=100%,1,1+VLOOKUP(($AJ145-$AI145-$AH145-$AG145-$AF145-$AE145*(1+BI$3))/$AJ145,'Технический лист'!$I:$J,2,1)-VLOOKUP($AO145,'Технический лист'!$I:$J,2,1)),1+(1-$AU145))</f>
        <v>1</v>
      </c>
      <c r="BJ145" s="15">
        <f>MIN(IF($AU145=100%,1,1+VLOOKUP(($AJ145-$AI145-$AH145-$AG145-$AF145-$AE145*(1+BJ$3))/$AJ145,'Технический лист'!$I:$J,2,1)-VLOOKUP($AO145,'Технический лист'!$I:$J,2,1)),1+(1-$AU145))</f>
        <v>1</v>
      </c>
      <c r="BK145" s="15">
        <f>MIN(IF($AU145=100%,1,1+VLOOKUP(($AJ145-$AI145-$AH145-$AG145-$AF145-$AE145*(1+BK$3))/$AJ145,'Технический лист'!$I:$J,2,1)-VLOOKUP($AO145,'Технический лист'!$I:$J,2,1)),1+(1-$AU145))</f>
        <v>1</v>
      </c>
      <c r="BL145" s="15">
        <f>MIN(IF($AU145=100%,1,1+VLOOKUP(($AJ145-$AI145-$AH145-$AG145-$AF145-$AE145*(1+BL$3))/$AJ145,'Технический лист'!$I:$J,2,1)-VLOOKUP($AO145,'Технический лист'!$I:$J,2,1)),1+(1-$AU145))</f>
        <v>1</v>
      </c>
      <c r="BM145" s="15">
        <f>MIN(IF($AU145=100%,1,1+VLOOKUP(($AJ145-$AI145-$AH145-$AG145-$AF145-$AE145*(1+BM$3))/$AJ145,'Технический лист'!$I:$J,2,1)-VLOOKUP($AO145,'Технический лист'!$I:$J,2,1)),1+(1-$AU145))</f>
        <v>1</v>
      </c>
      <c r="BN145" s="15">
        <f>MIN(IF($AU145=100%,1,1+VLOOKUP(($AJ145-$AI145-$AH145-$AG145-$AF145-$AE145*(1+BN$3))/$AJ145,'Технический лист'!$I:$J,2,1)-VLOOKUP($AO145,'Технический лист'!$I:$J,2,1)),1+(1-$AU145))</f>
        <v>1</v>
      </c>
      <c r="BO145" s="15">
        <f>MIN(IF($AU145=100%,1,1+VLOOKUP(($AJ145-$AI145-$AH145-$AG145-$AF145-$AE145*(1+BO$3))/$AJ145,'Технический лист'!$I:$J,2,1)-VLOOKUP($AO145,'Технический лист'!$I:$J,2,1)),1+(1-$AU145))</f>
        <v>1</v>
      </c>
      <c r="BP145" s="15">
        <f>MIN(IF($AU145=100%,1,1+VLOOKUP(($AJ145-$AI145-$AH145-$AG145-$AF145-$AE145*(1+BP$3))/$AJ145,'Технический лист'!$I:$J,2,1)-VLOOKUP($AO145,'Технический лист'!$I:$J,2,1)),1+(1-$AU145))</f>
        <v>1</v>
      </c>
      <c r="BQ145" s="15">
        <f>MIN(IF($AU145=100%,1,1+VLOOKUP(($AJ145-$AI145-$AH145-$AG145-$AF145-$AE145*(1+BQ$3))/$AJ145,'Технический лист'!$I:$J,2,1)-VLOOKUP($AO145,'Технический лист'!$I:$J,2,1)),1+(1-$AU145))</f>
        <v>1</v>
      </c>
      <c r="BR145" s="15">
        <f>MIN(IF($AU145=100%,1,1+VLOOKUP(($AJ145-$AI145-$AH145-$AG145-$AF145-$AE145*(1+BR$3))/$AJ145,'Технический лист'!$I:$J,2,1)-VLOOKUP($AO145,'Технический лист'!$I:$J,2,1)),1+(1-$AU145))</f>
        <v>1</v>
      </c>
      <c r="BS145" s="15">
        <f>MIN(IF($AU145=100%,1,1+VLOOKUP(($AJ145-$AI145-$AH145-$AG145-$AF145-$AE145*(1+BS$3))/$AJ145,'Технический лист'!$I:$J,2,1)-VLOOKUP($AO145,'Технический лист'!$I:$J,2,1)),1+(1-$AU145))</f>
        <v>1</v>
      </c>
      <c r="BT145" s="15">
        <f>MIN(IF($AU145=100%,1,1+VLOOKUP(($AJ145-$AI145-$AH145-$AG145-$AF145-$AE145*(1+BT$3))/$AJ145,'Технический лист'!$I:$J,2,1)-VLOOKUP($AO145,'Технический лист'!$I:$J,2,1)),1+(1-$AU145))</f>
        <v>1</v>
      </c>
      <c r="BU145" s="15">
        <f>MIN(IF($AU145=100%,1,1+VLOOKUP(($AJ145-$AI145-$AH145-$AG145-$AF145-$AE145*(1+BU$3))/$AJ145,'Технический лист'!$I:$J,2,1)-VLOOKUP($AO145,'Технический лист'!$I:$J,2,1)),1+(1-$AU145))</f>
        <v>1</v>
      </c>
      <c r="BV145" s="15">
        <f>MIN(IF($AU145=100%,1,1+VLOOKUP(($AJ145-$AI145-$AH145-$AG145-$AF145-$AE145*(1+BV$3))/$AJ145,'Технический лист'!$I:$J,2,1)-VLOOKUP($AO145,'Технический лист'!$I:$J,2,1)),1+(1-$AU145))</f>
        <v>1</v>
      </c>
      <c r="BW145" s="15">
        <f>MIN(IF($AU145=100%,1,1+VLOOKUP(($AJ145-$AI145-$AH145-$AG145-$AF145-$AE145*(1+BW$3))/$AJ145,'Технический лист'!$I:$J,2,1)-VLOOKUP($AO145,'Технический лист'!$I:$J,2,1)),1+(1-$AU145))</f>
        <v>1</v>
      </c>
      <c r="BX145" s="15">
        <f>MIN(IF($AU145=100%,1,1+VLOOKUP(($AJ145-$AI145-$AH145-$AG145-$AF145-$AE145*(1+BX$3))/$AJ145,'Технический лист'!$I:$J,2,1)-VLOOKUP($AO145,'Технический лист'!$I:$J,2,1)),1+(1-$AU145))</f>
        <v>1</v>
      </c>
      <c r="BY145" s="15">
        <f>MIN(IF($AU145=100%,1,1+VLOOKUP(($AJ145-$AI145-$AH145-$AG145-$AF145-$AE145*(1+BY$3))/$AJ145,'Технический лист'!$I:$J,2,1)-VLOOKUP($AO145,'Технический лист'!$I:$J,2,1)),1+(1-$AU145))</f>
        <v>1</v>
      </c>
      <c r="BZ145" s="15">
        <f>MIN(IF($AU145=100%,1,1+VLOOKUP(($AJ145-$AI145-$AH145-$AG145-$AF145-$AE145*(1+BZ$3))/$AJ145,'Технический лист'!$I:$J,2,1)-VLOOKUP($AO145,'Технический лист'!$I:$J,2,1)),1+(1-$AU145))</f>
        <v>1</v>
      </c>
      <c r="CA145" s="15">
        <f>MIN(IF($AU145=100%,1,1+VLOOKUP(($AJ145-$AI145-$AH145-$AG145-$AF145-$AE145*(1+CA$3))/$AJ145,'Технический лист'!$I:$J,2,1)-VLOOKUP($AO145,'Технический лист'!$I:$J,2,1)),1+(1-$AU145))</f>
        <v>1</v>
      </c>
      <c r="CB145" s="15">
        <f>MIN(IF($AU145=100%,1,1+VLOOKUP(($AJ145-$AI145-$AH145-$AG145-$AF145-$AE145*(1+CB$3))/$AJ145,'Технический лист'!$I:$J,2,1)-VLOOKUP($AO145,'Технический лист'!$I:$J,2,1)),1+(1-$AU145))</f>
        <v>1</v>
      </c>
      <c r="CC145" s="15">
        <f>MIN(IF($AU145=100%,1,1+VLOOKUP(($AJ145-$AI145-$AH145-$AG145-$AF145-$AE145*(1+CC$3))/$AJ145,'Технический лист'!$I:$J,2,1)-VLOOKUP($AO145,'Технический лист'!$I:$J,2,1)),1+(1-$AU145))</f>
        <v>1</v>
      </c>
      <c r="CD145" s="15">
        <f>MIN(IF($AU145=100%,1,1+VLOOKUP(($AJ145-$AI145-$AH145-$AG145-$AF145-$AE145*(1+CD$3))/$AJ145,'Технический лист'!$I:$J,2,1)-VLOOKUP($AO145,'Технический лист'!$I:$J,2,1)),1+(1-$AU145))</f>
        <v>1</v>
      </c>
      <c r="CE145" s="15">
        <f>MIN(IF($AU145=100%,1,1+VLOOKUP(($AJ145-$AI145-$AH145-$AG145-$AF145-$AE145*(1+CE$3))/$AJ145,'Технический лист'!$I:$J,2,1)-VLOOKUP($AO145,'Технический лист'!$I:$J,2,1)),1+(1-$AU145))</f>
        <v>1</v>
      </c>
      <c r="CF145" s="15">
        <f>MIN(IF($AU145=100%,1,1+VLOOKUP(($AJ145-$AI145-$AH145-$AG145-$AF145-$AE145*(1+CF$3))/$AJ145,'Технический лист'!$I:$J,2,1)-VLOOKUP($AO145,'Технический лист'!$I:$J,2,1)),1+(1-$AU145))</f>
        <v>1</v>
      </c>
      <c r="CG145" s="15">
        <f>MIN(IF($AU145=100%,1,1+VLOOKUP(($AJ145-$AI145-$AH145-$AG145-$AF145-$AE145*(1+CG$3))/$AJ145,'Технический лист'!$I:$J,2,1)-VLOOKUP($AO145,'Технический лист'!$I:$J,2,1)),1+(1-$AU145))</f>
        <v>1</v>
      </c>
      <c r="CH145" s="15">
        <f>MIN(IF($AU145=100%,1,1+VLOOKUP(($AJ145-$AI145-$AH145-$AG145-$AF145-$AE145*(1+CH$3))/$AJ145,'Технический лист'!$I:$J,2,1)-VLOOKUP($AO145,'Технический лист'!$I:$J,2,1)),1+(1-$AU145))</f>
        <v>1</v>
      </c>
      <c r="CI145" s="15">
        <f>MIN(IF($AU145=100%,1,1+VLOOKUP(($AJ145-$AI145-$AH145-$AG145-$AF145-$AE145*(1+CI$3))/$AJ145,'Технический лист'!$I:$J,2,1)-VLOOKUP($AO145,'Технический лист'!$I:$J,2,1)),1+(1-$AU145))</f>
        <v>1</v>
      </c>
      <c r="CJ145" s="15">
        <f>MIN(IF($AU145=100%,1,1+VLOOKUP(($AJ145-$AI145-$AH145-$AG145-$AF145-$AE145*(1+CJ$3))/$AJ145,'Технический лист'!$I:$J,2,1)-VLOOKUP($AO145,'Технический лист'!$I:$J,2,1)),1+(1-$AU145))</f>
        <v>1</v>
      </c>
      <c r="CK145" s="15">
        <f>MIN(IF($AU145=100%,1,1+VLOOKUP(($AJ145-$AI145-$AH145-$AG145-$AF145-$AE145*(1+CK$3))/$AJ145,'Технический лист'!$I:$J,2,1)-VLOOKUP($AO145,'Технический лист'!$I:$J,2,1)),1+(1-$AU145))</f>
        <v>1</v>
      </c>
      <c r="CL145" s="15">
        <f>MIN(IF($AU145=100%,1,1+VLOOKUP(($AJ145-$AI145-$AH145-$AG145-$AF145-$AE145*(1+CL$3))/$AJ145,'Технический лист'!$I:$J,2,1)-VLOOKUP($AO145,'Технический лист'!$I:$J,2,1)),1+(1-$AU145))</f>
        <v>1</v>
      </c>
      <c r="CM145" s="15">
        <f>MIN(IF($AU145=100%,1,1+VLOOKUP(($AJ145-$AI145-$AH145-$AG145-$AF145-$AE145*(1+CM$3))/$AJ145,'Технический лист'!$I:$J,2,1)-VLOOKUP($AO145,'Технический лист'!$I:$J,2,1)),1+(1-$AU145))</f>
        <v>1</v>
      </c>
      <c r="CN145" s="15">
        <f>MIN(IF($AU145=100%,1,1+VLOOKUP(($AJ145-$AI145-$AH145-$AG145-$AF145-$AE145*(1+CN$3))/$AJ145,'Технический лист'!$I:$J,2,1)-VLOOKUP($AO145,'Технический лист'!$I:$J,2,1)),1+(1-$AU145))</f>
        <v>1</v>
      </c>
      <c r="CO145" s="15">
        <f>MIN(IF($AU145=100%,1,1+VLOOKUP(($AJ145-$AI145-$AH145-$AG145-$AF145-$AE145*(1+CO$3))/$AJ145,'Технический лист'!$I:$J,2,1)-VLOOKUP($AO145,'Технический лист'!$I:$J,2,1)),1+(1-$AU145))</f>
        <v>1</v>
      </c>
      <c r="CP145" s="15">
        <f>MIN(IF($AU145=100%,1,1+VLOOKUP(($AJ145-$AI145-$AH145-$AG145-$AF145-$AE145*(1+CP$3))/$AJ145,'Технический лист'!$I:$J,2,1)-VLOOKUP($AO145,'Технический лист'!$I:$J,2,1)),1+(1-$AU145))</f>
        <v>1</v>
      </c>
      <c r="CQ145" s="15">
        <f>MIN(IF($AU145=100%,1,1+VLOOKUP(($AJ145-$AI145-$AH145-$AG145-$AF145-$AE145*(1+CQ$3))/$AJ145,'Технический лист'!$I:$J,2,1)-VLOOKUP($AO145,'Технический лист'!$I:$J,2,1)),1+(1-$AU145))</f>
        <v>1</v>
      </c>
      <c r="CR145" s="15">
        <f>MIN(IF($AU145=100%,1,1+VLOOKUP(($AJ145-$AI145-$AH145-$AG145-$AF145-$AE145*(1+CR$3))/$AJ145,'Технический лист'!$I:$J,2,1)-VLOOKUP($AO145,'Технический лист'!$I:$J,2,1)),1+(1-$AU145))</f>
        <v>1</v>
      </c>
      <c r="CS145" s="15">
        <f>MIN(IF($AU145=100%,1,1+VLOOKUP(($AJ145-$AI145-$AH145-$AG145-$AF145-$AE145*(1+CS$3))/$AJ145,'Технический лист'!$I:$J,2,1)-VLOOKUP($AO145,'Технический лист'!$I:$J,2,1)),1+(1-$AU145))</f>
        <v>1</v>
      </c>
      <c r="CT145" s="15">
        <f>MIN(IF($AU145=100%,1,1+VLOOKUP(($AJ145-$AI145-$AH145-$AG145-$AF145-$AE145*(1+CT$3))/$AJ145,'Технический лист'!$I:$J,2,1)-VLOOKUP($AO145,'Технический лист'!$I:$J,2,1)),1+(1-$AU145))</f>
        <v>1</v>
      </c>
      <c r="CU145" s="15">
        <f>MIN(IF($AU145=100%,1,1+VLOOKUP(($AJ145-$AI145-$AH145-$AG145-$AF145-$AE145*(1+CU$3))/$AJ145,'Технический лист'!$I:$J,2,1)-VLOOKUP($AO145,'Технический лист'!$I:$J,2,1)),1+(1-$AU145))</f>
        <v>1</v>
      </c>
      <c r="CV145" s="15">
        <f>MIN(IF($AU145=100%,1,1+VLOOKUP(($AJ145-$AI145-$AH145-$AG145-$AF145-$AE145*(1+CV$3))/$AJ145,'Технический лист'!$I:$J,2,1)-VLOOKUP($AO145,'Технический лист'!$I:$J,2,1)),1+(1-$AU145))</f>
        <v>1</v>
      </c>
      <c r="CW145" s="15">
        <f>MIN(IF($AU145=100%,1,1+VLOOKUP(($AJ145-$AI145-$AH145-$AG145-$AF145-$AE145*(1+CW$3))/$AJ145,'Технический лист'!$I:$J,2,1)-VLOOKUP($AO145,'Технический лист'!$I:$J,2,1)),1+(1-$AU145))</f>
        <v>1</v>
      </c>
      <c r="CX145" s="15">
        <f>MIN(IF($AU145=100%,1,1+VLOOKUP(($AJ145-$AI145-$AH145-$AG145-$AF145-$AE145*(1+CX$3))/$AJ145,'Технический лист'!$I:$J,2,1)-VLOOKUP($AO145,'Технический лист'!$I:$J,2,1)),1+(1-$AU145))</f>
        <v>1</v>
      </c>
      <c r="CY145" s="15">
        <f>MIN(IF($AU145=100%,1,1+VLOOKUP(($AJ145-$AI145-$AH145-$AG145-$AF145-$AE145*(1+CY$3))/$AJ145,'Технический лист'!$I:$J,2,1)-VLOOKUP($AO145,'Технический лист'!$I:$J,2,1)),1+(1-$AU145))</f>
        <v>1</v>
      </c>
      <c r="CZ145" s="15">
        <f>MIN(IF($AU145=100%,1,1+VLOOKUP(($AJ145-$AI145-$AH145-$AG145-$AF145-$AE145*(1+CZ$3))/$AJ145,'Технический лист'!$I:$J,2,1)-VLOOKUP($AO145,'Технический лист'!$I:$J,2,1)),1+(1-$AU145))</f>
        <v>1</v>
      </c>
      <c r="DA145" s="15">
        <f>MIN(IF($AU145=100%,1,1+VLOOKUP(($AJ145-$AI145-$AH145-$AG145-$AF145-$AE145*(1+DA$3))/$AJ145,'Технический лист'!$I:$J,2,1)-VLOOKUP($AO145,'Технический лист'!$I:$J,2,1)),1+(1-$AU145))</f>
        <v>1</v>
      </c>
      <c r="DB145" s="15">
        <f>MIN(IF($AU145=100%,1,1+VLOOKUP(($AJ145-$AI145-$AH145-$AG145-$AF145-$AE145*(1+DB$3))/$AJ145,'Технический лист'!$I:$J,2,1)-VLOOKUP($AO145,'Технический лист'!$I:$J,2,1)),1+(1-$AU145))</f>
        <v>1</v>
      </c>
      <c r="DC145" s="15">
        <f>MIN(IF($AU145=100%,1,1+VLOOKUP(($AJ145-$AI145-$AH145-$AG145-$AF145-$AE145*(1+DC$3))/$AJ145,'Технический лист'!$I:$J,2,1)-VLOOKUP($AO145,'Технический лист'!$I:$J,2,1)),1+(1-$AU145))</f>
        <v>1</v>
      </c>
      <c r="DD145" s="15">
        <f>MIN(IF($AU145=100%,1,1+VLOOKUP(($AJ145-$AI145-$AH145-$AG145-$AF145-$AE145*(1+DD$3))/$AJ145,'Технический лист'!$I:$J,2,1)-VLOOKUP($AO145,'Технический лист'!$I:$J,2,1)),1+(1-$AU145))</f>
        <v>1</v>
      </c>
      <c r="DE145" s="15">
        <f>MIN(IF($AU145=100%,1,1+VLOOKUP(($AJ145-$AI145-$AH145-$AG145-$AF145-$AE145*(1+DE$3))/$AJ145,'Технический лист'!$I:$J,2,1)-VLOOKUP($AO145,'Технический лист'!$I:$J,2,1)),1+(1-$AU145))</f>
        <v>1</v>
      </c>
      <c r="DF145" s="15">
        <f>MIN(IF($AU145=100%,1,1+VLOOKUP(($AJ145-$AI145-$AH145-$AG145-$AF145-$AE145*(1+DF$3))/$AJ145,'Технический лист'!$I:$J,2,1)-VLOOKUP($AO145,'Технический лист'!$I:$J,2,1)),1+(1-$AU145))</f>
        <v>1</v>
      </c>
      <c r="DG145" s="15">
        <f>MIN(IF($AU145=100%,1,1+VLOOKUP(($AJ145-$AI145-$AH145-$AG145-$AF145-$AE145*(1+DG$3))/$AJ145,'Технический лист'!$I:$J,2,1)-VLOOKUP($AO145,'Технический лист'!$I:$J,2,1)),1+(1-$AU145))</f>
        <v>1</v>
      </c>
      <c r="DH145" s="15">
        <f>MIN(IF($AU145=100%,1,1+VLOOKUP(($AJ145-$AI145-$AH145-$AG145-$AF145-$AE145*(1+DH$3))/$AJ145,'Технический лист'!$I:$J,2,1)-VLOOKUP($AO145,'Технический лист'!$I:$J,2,1)),1+(1-$AU145))</f>
        <v>1</v>
      </c>
      <c r="DI145" s="15">
        <f>MIN(IF($AU145=100%,1,1+VLOOKUP(($AJ145-$AI145-$AH145-$AG145-$AF145-$AE145*(1+DI$3))/$AJ145,'Технический лист'!$I:$J,2,1)-VLOOKUP($AO145,'Технический лист'!$I:$J,2,1)),1+(1-$AU145))</f>
        <v>1</v>
      </c>
      <c r="DJ145" s="15">
        <f>MIN(IF($AU145=100%,1,1+VLOOKUP(($AJ145-$AI145-$AH145-$AG145-$AF145-$AE145*(1+DJ$3))/$AJ145,'Технический лист'!$I:$J,2,1)-VLOOKUP($AO145,'Технический лист'!$I:$J,2,1)),1+(1-$AU145))</f>
        <v>1</v>
      </c>
      <c r="DK145" s="15">
        <f>MIN(IF($AU145=100%,1,1+VLOOKUP(($AJ145-$AI145-$AH145-$AG145-$AF145-$AE145*(1+DK$3))/$AJ145,'Технический лист'!$I:$J,2,1)-VLOOKUP($AO145,'Технический лист'!$I:$J,2,1)),1+(1-$AU145))</f>
        <v>1</v>
      </c>
      <c r="DL145" s="15">
        <f>MIN(IF($AU145=100%,1,1+VLOOKUP(($AJ145-$AI145-$AH145-$AG145-$AF145-$AE145*(1+DL$3))/$AJ145,'Технический лист'!$I:$J,2,1)-VLOOKUP($AO145,'Технический лист'!$I:$J,2,1)),1+(1-$AU145))</f>
        <v>1</v>
      </c>
      <c r="DM145" s="15">
        <f>MIN(IF($AU145=100%,1,1+VLOOKUP(($AJ145-$AI145-$AH145-$AG145-$AF145-$AE145*(1+DM$3))/$AJ145,'Технический лист'!$I:$J,2,1)-VLOOKUP($AO145,'Технический лист'!$I:$J,2,1)),1+(1-$AU145))</f>
        <v>1</v>
      </c>
      <c r="DN145" s="15">
        <f>MIN(IF($AU145=100%,1,1+VLOOKUP(($AJ145-$AI145-$AH145-$AG145-$AF145-$AE145*(1+DN$3))/$AJ145,'Технический лист'!$I:$J,2,1)-VLOOKUP($AO145,'Технический лист'!$I:$J,2,1)),1+(1-$AU145))</f>
        <v>1</v>
      </c>
      <c r="DO145" s="15">
        <f>MIN(IF($AU145=100%,1,1+VLOOKUP(($AJ145-$AI145-$AH145-$AG145-$AF145-$AE145*(1+DO$3))/$AJ145,'Технический лист'!$I:$J,2,1)-VLOOKUP($AO145,'Технический лист'!$I:$J,2,1)),1+(1-$AU145))</f>
        <v>1</v>
      </c>
      <c r="DP145" s="15">
        <f>MIN(IF($AU145=100%,1,1+VLOOKUP(($AJ145-$AI145-$AH145-$AG145-$AF145-$AE145*(1+DP$3))/$AJ145,'Технический лист'!$I:$J,2,1)-VLOOKUP($AO145,'Технический лист'!$I:$J,2,1)),1+(1-$AU145))</f>
        <v>1</v>
      </c>
      <c r="DQ145" s="15">
        <f>MIN(IF($AU145=100%,1,1+VLOOKUP(($AJ145-$AI145-$AH145-$AG145-$AF145-$AE145*(1+DQ$3))/$AJ145,'Технический лист'!$I:$J,2,1)-VLOOKUP($AO145,'Технический лист'!$I:$J,2,1)),1+(1-$AU145))</f>
        <v>1</v>
      </c>
      <c r="DR145" s="15">
        <f>MIN(IF($AU145=100%,1,1+VLOOKUP(($AJ145-$AI145-$AH145-$AG145-$AF145-$AE145*(1+DR$3))/$AJ145,'Технический лист'!$I:$J,2,1)-VLOOKUP($AO145,'Технический лист'!$I:$J,2,1)),1+(1-$AU145))</f>
        <v>1</v>
      </c>
      <c r="DS145" s="15">
        <f>MIN(IF($AU145=100%,1,1+VLOOKUP(($AJ145-$AI145-$AH145-$AG145-$AF145-$AE145*(1+DS$3))/$AJ145,'Технический лист'!$I:$J,2,1)-VLOOKUP($AO145,'Технический лист'!$I:$J,2,1)),1+(1-$AU145))</f>
        <v>1</v>
      </c>
      <c r="DT145" s="15">
        <f>MIN(IF($AU145=100%,1,1+VLOOKUP(($AJ145-$AI145-$AH145-$AG145-$AF145-$AE145*(1+DT$3))/$AJ145,'Технический лист'!$I:$J,2,1)-VLOOKUP($AO145,'Технический лист'!$I:$J,2,1)),1+(1-$AU145))</f>
        <v>1</v>
      </c>
      <c r="DU145" s="15">
        <f>MIN(IF($AU145=100%,1,1+VLOOKUP(($AJ145-$AI145-$AH145-$AG145-$AF145-$AE145*(1+DU$3))/$AJ145,'Технический лист'!$I:$J,2,1)-VLOOKUP($AO145,'Технический лист'!$I:$J,2,1)),1+(1-$AU145))</f>
        <v>1</v>
      </c>
      <c r="DV145" s="15">
        <f>MIN(IF($AU145=100%,1,1+VLOOKUP(($AJ145-$AI145-$AH145-$AG145-$AF145-$AE145*(1+DV$3))/$AJ145,'Технический лист'!$I:$J,2,1)-VLOOKUP($AO145,'Технический лист'!$I:$J,2,1)),1+(1-$AU145))</f>
        <v>1</v>
      </c>
      <c r="DW145" s="15">
        <f>MIN(IF($AU145=100%,1,1+VLOOKUP(($AJ145-$AI145-$AH145-$AG145-$AF145-$AE145*(1+DW$3))/$AJ145,'Технический лист'!$I:$J,2,1)-VLOOKUP($AO145,'Технический лист'!$I:$J,2,1)),1+(1-$AU145))</f>
        <v>1</v>
      </c>
      <c r="DX145" s="15">
        <f>MIN(IF($AU145=100%,1,1+VLOOKUP(($AJ145-$AI145-$AH145-$AG145-$AF145-$AE145*(1+DX$3))/$AJ145,'Технический лист'!$I:$J,2,1)-VLOOKUP($AO145,'Технический лист'!$I:$J,2,1)),1+(1-$AU145))</f>
        <v>1</v>
      </c>
      <c r="DY145" s="15">
        <f>MIN(IF($AU145=100%,1,1+VLOOKUP(($AJ145-$AI145-$AH145-$AG145-$AF145-$AE145*(1+DY$3))/$AJ145,'Технический лист'!$I:$J,2,1)-VLOOKUP($AO145,'Технический лист'!$I:$J,2,1)),1+(1-$AU145))</f>
        <v>1</v>
      </c>
      <c r="DZ145" s="15">
        <f>MIN(IF($AU145=100%,1,1+VLOOKUP(($AJ145-$AI145-$AH145-$AG145-$AF145-$AE145*(1+DZ$3))/$AJ145,'Технический лист'!$I:$J,2,1)-VLOOKUP($AO145,'Технический лист'!$I:$J,2,1)),1+(1-$AU145))</f>
        <v>1</v>
      </c>
      <c r="EA145" s="15">
        <f>MIN(IF($AU145=100%,1,1+VLOOKUP(($AJ145-$AI145-$AH145-$AG145-$AF145-$AE145*(1+EA$3))/$AJ145,'Технический лист'!$I:$J,2,1)-VLOOKUP($AO145,'Технический лист'!$I:$J,2,1)),1+(1-$AU145))</f>
        <v>1</v>
      </c>
      <c r="EB145" s="15">
        <f>MIN(IF($AU145=100%,1,1+VLOOKUP(($AJ145-$AI145-$AH145-$AG145-$AF145-$AE145*(1+EB$3))/$AJ145,'Технический лист'!$I:$J,2,1)-VLOOKUP($AO145,'Технический лист'!$I:$J,2,1)),1+(1-$AU145))</f>
        <v>1</v>
      </c>
      <c r="EC145" s="15">
        <f>MIN(IF($AU145=100%,1,1+VLOOKUP(($AJ145-$AI145-$AH145-$AG145-$AF145-$AE145*(1+EC$3))/$AJ145,'Технический лист'!$I:$J,2,1)-VLOOKUP($AO145,'Технический лист'!$I:$J,2,1)),1+(1-$AU145))</f>
        <v>1</v>
      </c>
      <c r="ED145" s="15">
        <f>MIN(IF($AU145=100%,1,1+VLOOKUP(($AJ145-$AI145-$AH145-$AG145-$AF145-$AE145*(1+ED$3))/$AJ145,'Технический лист'!$I:$J,2,1)-VLOOKUP($AO145,'Технический лист'!$I:$J,2,1)),1+(1-$AU145))</f>
        <v>1</v>
      </c>
      <c r="EE145" s="15">
        <f>MIN(IF($AU145=100%,1,1+VLOOKUP(($AJ145-$AI145-$AH145-$AG145-$AF145-$AE145*(1+EE$3))/$AJ145,'Технический лист'!$I:$J,2,1)-VLOOKUP($AO145,'Технический лист'!$I:$J,2,1)),1+(1-$AU145))</f>
        <v>1</v>
      </c>
      <c r="EF145" s="15">
        <f>MIN(IF($AU145=100%,1,1+VLOOKUP(($AJ145-$AI145-$AH145-$AG145-$AF145-$AE145*(1+EF$3))/$AJ145,'Технический лист'!$I:$J,2,1)-VLOOKUP($AO145,'Технический лист'!$I:$J,2,1)),1+(1-$AU145))</f>
        <v>1</v>
      </c>
      <c r="EG145" s="15">
        <f>MIN(IF($AU145=100%,1,1+VLOOKUP(($AJ145-$AI145-$AH145-$AG145-$AF145-$AE145*(1+EG$3))/$AJ145,'Технический лист'!$I:$J,2,1)-VLOOKUP($AO145,'Технический лист'!$I:$J,2,1)),1+(1-$AU145))</f>
        <v>1</v>
      </c>
      <c r="EH145" s="15">
        <f>MIN(IF($AU145=100%,1,1+VLOOKUP(($AJ145-$AI145-$AH145-$AG145-$AF145-$AE145*(1+EH$3))/$AJ145,'Технический лист'!$I:$J,2,1)-VLOOKUP($AO145,'Технический лист'!$I:$J,2,1)),1+(1-$AU145))</f>
        <v>1</v>
      </c>
      <c r="EI145" s="15">
        <f>MIN(IF($AU145=100%,1,1+VLOOKUP(($AJ145-$AI145-$AH145-$AG145-$AF145-$AE145*(1+EI$3))/$AJ145,'Технический лист'!$I:$J,2,1)-VLOOKUP($AO145,'Технический лист'!$I:$J,2,1)),1+(1-$AU145))</f>
        <v>1</v>
      </c>
      <c r="EJ145" s="15">
        <f>MIN(IF($AU145=100%,1,1+VLOOKUP(($AJ145-$AI145-$AH145-$AG145-$AF145-$AE145*(1+EJ$3))/$AJ145,'Технический лист'!$I:$J,2,1)-VLOOKUP($AO145,'Технический лист'!$I:$J,2,1)),1+(1-$AU145))</f>
        <v>1</v>
      </c>
      <c r="EK145" s="15">
        <f>MIN(IF($AU145=100%,1,1+VLOOKUP(($AJ145-$AI145-$AH145-$AG145-$AF145-$AE145*(1+EK$3))/$AJ145,'Технический лист'!$I:$J,2,1)-VLOOKUP($AO145,'Технический лист'!$I:$J,2,1)),1+(1-$AU145))</f>
        <v>1</v>
      </c>
      <c r="EL145" s="15">
        <f>MIN(IF($AU145=100%,1,1+VLOOKUP(($AJ145-$AI145-$AH145-$AG145-$AF145-$AE145*(1+EL$3))/$AJ145,'Технический лист'!$I:$J,2,1)-VLOOKUP($AO145,'Технический лист'!$I:$J,2,1)),1+(1-$AU145))</f>
        <v>1</v>
      </c>
      <c r="EM145" s="15">
        <f>MIN(IF($AU145=100%,1,1+VLOOKUP(($AJ145-$AI145-$AH145-$AG145-$AF145-$AE145*(1+EM$3))/$AJ145,'Технический лист'!$I:$J,2,1)-VLOOKUP($AO145,'Технический лист'!$I:$J,2,1)),1+(1-$AU145))</f>
        <v>1</v>
      </c>
      <c r="EN145" s="15">
        <f>MIN(IF($AU145=100%,1,1+VLOOKUP(($AJ145-$AI145-$AH145-$AG145-$AF145-$AE145*(1+EN$3))/$AJ145,'Технический лист'!$I:$J,2,1)-VLOOKUP($AO145,'Технический лист'!$I:$J,2,1)),1+(1-$AU145))</f>
        <v>1</v>
      </c>
      <c r="EO145" s="15">
        <f>MIN(IF($AU145=100%,1,1+VLOOKUP(($AJ145-$AI145-$AH145-$AG145-$AF145-$AE145*(1+EO$3))/$AJ145,'Технический лист'!$I:$J,2,1)-VLOOKUP($AO145,'Технический лист'!$I:$J,2,1)),1+(1-$AU145))</f>
        <v>1</v>
      </c>
      <c r="EP145" s="15">
        <f>MIN(IF($AU145=100%,1,1+VLOOKUP(($AJ145-$AI145-$AH145-$AG145-$AF145-$AE145*(1+EP$3))/$AJ145,'Технический лист'!$I:$J,2,1)-VLOOKUP($AO145,'Технический лист'!$I:$J,2,1)),1+(1-$AU145))</f>
        <v>1</v>
      </c>
      <c r="EQ145" s="15">
        <f>MIN(IF($AU145=100%,1,1+VLOOKUP(($AJ145-$AI145-$AH145-$AG145-$AF145-$AE145*(1+EQ$3))/$AJ145,'Технический лист'!$I:$J,2,1)-VLOOKUP($AO145,'Технический лист'!$I:$J,2,1)),1+(1-$AU145))</f>
        <v>1</v>
      </c>
      <c r="ER145" s="15">
        <f>MIN(IF($AU145=100%,1,1+VLOOKUP(($AJ145-$AI145-$AH145-$AG145-$AF145-$AE145*(1+ER$3))/$AJ145,'Технический лист'!$I:$J,2,1)-VLOOKUP($AO145,'Технический лист'!$I:$J,2,1)),1+(1-$AU145))</f>
        <v>1</v>
      </c>
      <c r="ES145" s="15">
        <f>MIN(IF($AU145=100%,1,1+VLOOKUP(($AJ145-$AI145-$AH145-$AG145-$AF145-$AE145*(1+ES$3))/$AJ145,'Технический лист'!$I:$J,2,1)-VLOOKUP($AO145,'Технический лист'!$I:$J,2,1)),1+(1-$AU145))</f>
        <v>1</v>
      </c>
      <c r="ET145" s="15">
        <f>MIN(IF($AU145=100%,1,1+VLOOKUP(($AJ145-$AI145-$AH145-$AG145-$AF145-$AE145*(1+ET$3))/$AJ145,'Технический лист'!$I:$J,2,1)-VLOOKUP($AO145,'Технический лист'!$I:$J,2,1)),1+(1-$AU145))</f>
        <v>1</v>
      </c>
      <c r="EU145" s="15">
        <f>MIN(IF($AU145=100%,1,1+VLOOKUP(($AJ145-$AI145-$AH145-$AG145-$AF145-$AE145*(1+EU$3))/$AJ145,'Технический лист'!$I:$J,2,1)-VLOOKUP($AO145,'Технический лист'!$I:$J,2,1)),1+(1-$AU145))</f>
        <v>1</v>
      </c>
      <c r="EV145" s="111">
        <v>1</v>
      </c>
      <c r="EW145" s="15">
        <f>MIN(1,MAX(VLOOKUP(($AJ145-$AI145-$AH145-$AG145-$AF145-$AE145*(1+EW$3))/$AJ145,'Технический лист'!$A:$B,2,1),(EV145-0.05)))</f>
        <v>1</v>
      </c>
      <c r="EX145" s="15">
        <f>MIN(1,MAX(VLOOKUP(($AJ145-$AI145-$AH145-$AG145-$AF145-$AE145*(1+EX$3))/$AJ145,'Технический лист'!$A:$B,2,1),(EW145-0.05)))</f>
        <v>1</v>
      </c>
      <c r="EY145" s="15">
        <f>MIN(1,MAX(VLOOKUP(($AJ145-$AI145-$AH145-$AG145-$AF145-$AE145*(1+EY$3))/$AJ145,'Технический лист'!$A:$B,2,1),(EX145-0.05)))</f>
        <v>1</v>
      </c>
      <c r="EZ145" s="15">
        <f>MIN(1,MAX(VLOOKUP(($AJ145-$AI145-$AH145-$AG145-$AF145-$AE145*(1+EZ$3))/$AJ145,'Технический лист'!$A:$B,2,1),(EY145-0.05)))</f>
        <v>1</v>
      </c>
      <c r="FA145" s="15">
        <f>MIN(1,MAX(VLOOKUP(($AJ145-$AI145-$AH145-$AG145-$AF145-$AE145*(1+FA$3))/$AJ145,'Технический лист'!$A:$B,2,1),(EZ145-0.05)))</f>
        <v>1</v>
      </c>
      <c r="FB145" s="15">
        <f>MIN(1,MAX(VLOOKUP(($AJ145-$AI145-$AH145-$AG145-$AF145-$AE145*(1+FB$3))/$AJ145,'Технический лист'!$A:$B,2,1),(FA145-0.05)))</f>
        <v>1</v>
      </c>
      <c r="FC145" s="15">
        <f>MIN(1,MAX(VLOOKUP(($AJ145-$AI145-$AH145-$AG145-$AF145-$AE145*(1+FC$3))/$AJ145,'Технический лист'!$A:$B,2,1),(FB145-0.05)))</f>
        <v>1</v>
      </c>
      <c r="FD145" s="15">
        <f>MIN(1,MAX(VLOOKUP(($AJ145-$AI145-$AH145-$AG145-$AF145-$AE145*(1+FD$3))/$AJ145,'Технический лист'!$A:$B,2,1),(FC145-0.05)))</f>
        <v>1</v>
      </c>
      <c r="FE145" s="15">
        <f>MIN(1,MAX(VLOOKUP(($AJ145-$AI145-$AH145-$AG145-$AF145-$AE145*(1+FE$3))/$AJ145,'Технический лист'!$A:$B,2,1),(FD145-0.05)))</f>
        <v>1</v>
      </c>
      <c r="FF145" s="15">
        <f>MIN(1,MAX(VLOOKUP(($AJ145-$AI145-$AH145-$AG145-$AF145-$AE145*(1+FF$3))/$AJ145,'Технический лист'!$A:$B,2,1),(FE145-0.05)))</f>
        <v>1</v>
      </c>
      <c r="FG145" s="15">
        <f>MIN(1,MAX(VLOOKUP(($AJ145-$AI145-$AH145-$AG145-$AF145-$AE145*(1+FG$3))/$AJ145,'Технический лист'!$A:$B,2,1),(FF145-0.05)))</f>
        <v>1</v>
      </c>
      <c r="FH145" s="15">
        <f>MIN(1,MAX(VLOOKUP(($AJ145-$AI145-$AH145-$AG145-$AF145-$AE145*(1+FH$3))/$AJ145,'Технический лист'!$A:$B,2,1),(FG145-0.05)))</f>
        <v>1</v>
      </c>
      <c r="FI145" s="15">
        <f>MIN(1,MAX(VLOOKUP(($AJ145-$AI145-$AH145-$AG145-$AF145-$AE145*(1+FI$3))/$AJ145,'Технический лист'!$A:$B,2,1),(FH145-0.05)))</f>
        <v>1</v>
      </c>
      <c r="FJ145" s="15">
        <f>MIN(1,MAX(VLOOKUP(($AJ145-$AI145-$AH145-$AG145-$AF145-$AE145*(1+FJ$3))/$AJ145,'Технический лист'!$A:$B,2,1),(FI145-0.05)))</f>
        <v>1</v>
      </c>
      <c r="FK145" s="15">
        <f>MIN(1,MAX(VLOOKUP(($AJ145-$AI145-$AH145-$AG145-$AF145-$AE145*(1+FK$3))/$AJ145,'Технический лист'!$A:$B,2,1),(FJ145-0.05)))</f>
        <v>1</v>
      </c>
      <c r="FL145" s="15">
        <f>MIN(1,MAX(VLOOKUP(($AJ145-$AI145-$AH145-$AG145-$AF145-$AE145*(1+FL$3))/$AJ145,'Технический лист'!$A:$B,2,1),(FK145-0.05)))</f>
        <v>1</v>
      </c>
      <c r="FM145" s="15">
        <f>MIN(1,MAX(VLOOKUP(($AJ145-$AI145-$AH145-$AG145-$AF145-$AE145*(1+FM$3))/$AJ145,'Технический лист'!$A:$B,2,1),(FL145-0.05)))</f>
        <v>1</v>
      </c>
      <c r="FN145" s="15">
        <f>MIN(1,MAX(VLOOKUP(($AJ145-$AI145-$AH145-$AG145-$AF145-$AE145*(1+FN$3))/$AJ145,'Технический лист'!$A:$B,2,1),(FM145-0.05)))</f>
        <v>1</v>
      </c>
      <c r="FO145" s="15">
        <f>MIN(1,MAX(VLOOKUP(($AJ145-$AI145-$AH145-$AG145-$AF145-$AE145*(1+FO$3))/$AJ145,'Технический лист'!$A:$B,2,1),(FN145-0.05)))</f>
        <v>1</v>
      </c>
      <c r="FP145" s="15">
        <f>MIN(1,MAX(VLOOKUP(($AJ145-$AI145-$AH145-$AG145-$AF145-$AE145*(1+FP$3))/$AJ145,'Технический лист'!$A:$B,2,1),(FO145-0.05)))</f>
        <v>1</v>
      </c>
      <c r="FQ145" s="15">
        <f>MIN(1,MAX(VLOOKUP(($AJ145-$AI145-$AH145-$AG145-$AF145-$AE145*(1+FQ$3))/$AJ145,'Технический лист'!$A:$B,2,1),(FP145-0.05)))</f>
        <v>1</v>
      </c>
      <c r="FR145" s="15">
        <f>MIN(1,MAX(VLOOKUP(($AJ145-$AI145-$AH145-$AG145-$AF145-$AE145*(1+FR$3))/$AJ145,'Технический лист'!$A:$B,2,1),(FQ145-0.05)))</f>
        <v>1</v>
      </c>
      <c r="FS145" s="15">
        <f>MIN(1,MAX(VLOOKUP(($AJ145-$AI145-$AH145-$AG145-$AF145-$AE145*(1+FS$3))/$AJ145,'Технический лист'!$A:$B,2,1),(FR145-0.05)))</f>
        <v>1</v>
      </c>
      <c r="FT145" s="15">
        <f>MIN(1,MAX(VLOOKUP(($AJ145-$AI145-$AH145-$AG145-$AF145-$AE145*(1+FT$3))/$AJ145,'Технический лист'!$A:$B,2,1),(FS145-0.05)))</f>
        <v>1</v>
      </c>
      <c r="FU145" s="15">
        <f>MIN(1,MAX(VLOOKUP(($AJ145-$AI145-$AH145-$AG145-$AF145-$AE145*(1+FU$3))/$AJ145,'Технический лист'!$A:$B,2,1),(FT145-0.05)))</f>
        <v>1</v>
      </c>
      <c r="FV145" s="15">
        <f>MIN(1,MAX(VLOOKUP(($AJ145-$AI145-$AH145-$AG145-$AF145-$AE145*(1+FV$3))/$AJ145,'Технический лист'!$A:$B,2,1),(FU145-0.05)))</f>
        <v>1</v>
      </c>
      <c r="FW145" s="15">
        <f>MIN(1,MAX(VLOOKUP(($AJ145-$AI145-$AH145-$AG145-$AF145-$AE145*(1+FW$3))/$AJ145,'Технический лист'!$A:$B,2,1),(FV145-0.05)))</f>
        <v>1</v>
      </c>
      <c r="FX145" s="15">
        <f>MIN(1,MAX(VLOOKUP(($AJ145-$AI145-$AH145-$AG145-$AF145-$AE145*(1+FX$3))/$AJ145,'Технический лист'!$A:$B,2,1),(FW145-0.05)))</f>
        <v>1</v>
      </c>
      <c r="FY145" s="15">
        <f>MIN(1,MAX(VLOOKUP(($AJ145-$AI145-$AH145-$AG145-$AF145-$AE145*(1+FY$3))/$AJ145,'Технический лист'!$A:$B,2,1),(FX145-0.05)))</f>
        <v>1</v>
      </c>
      <c r="FZ145" s="15">
        <f>MIN(1,MAX(VLOOKUP(($AJ145-$AI145-$AH145-$AG145-$AF145-$AE145*(1+FZ$3))/$AJ145,'Технический лист'!$A:$B,2,1),(FY145-0.05)))</f>
        <v>1</v>
      </c>
      <c r="GA145" s="15">
        <f>MIN(1,MAX(VLOOKUP(($AJ145-$AI145-$AH145-$AG145-$AF145-$AE145*(1+GA$3))/$AJ145,'Технический лист'!$A:$B,2,1),(FZ145-0.05)))</f>
        <v>1</v>
      </c>
      <c r="GB145" s="15">
        <f>MIN(1,MAX(VLOOKUP(($AJ145-$AI145-$AH145-$AG145-$AF145-$AE145*(1+GB$3))/$AJ145,'Технический лист'!$A:$B,2,1),(GA145-0.05)))</f>
        <v>1</v>
      </c>
      <c r="GC145" s="15">
        <f>MIN(1,MAX(VLOOKUP(($AJ145-$AI145-$AH145-$AG145-$AF145-$AE145*(1+GC$3))/$AJ145,'Технический лист'!$A:$B,2,1),(GB145-0.05)))</f>
        <v>1</v>
      </c>
      <c r="GD145" s="15">
        <f>MIN(1,MAX(VLOOKUP(($AJ145-$AI145-$AH145-$AG145-$AF145-$AE145*(1+GD$3))/$AJ145,'Технический лист'!$A:$B,2,1),(GC145-0.05)))</f>
        <v>1</v>
      </c>
      <c r="GE145" s="15">
        <f>MIN(1,MAX(VLOOKUP(($AJ145-$AI145-$AH145-$AG145-$AF145-$AE145*(1+GE$3))/$AJ145,'Технический лист'!$A:$B,2,1),(GD145-0.05)))</f>
        <v>1</v>
      </c>
      <c r="GF145" s="15">
        <f>MIN(1,MAX(VLOOKUP(($AJ145-$AI145-$AH145-$AG145-$AF145-$AE145*(1+GF$3))/$AJ145,'Технический лист'!$A:$B,2,1),(GE145-0.05)))</f>
        <v>1</v>
      </c>
      <c r="GG145" s="15">
        <f>MIN(1,MAX(VLOOKUP(($AJ145-$AI145-$AH145-$AG145-$AF145-$AE145*(1+GG$3))/$AJ145,'Технический лист'!$A:$B,2,1),(GF145-0.05)))</f>
        <v>1</v>
      </c>
      <c r="GH145" s="15">
        <f>MIN(1,MAX(VLOOKUP(($AJ145-$AI145-$AH145-$AG145-$AF145-$AE145*(1+GH$3))/$AJ145,'Технический лист'!$A:$B,2,1),(GG145-0.05)))</f>
        <v>1</v>
      </c>
      <c r="GI145" s="15">
        <f>MIN(1,MAX(VLOOKUP(($AJ145-$AI145-$AH145-$AG145-$AF145-$AE145*(1+GI$3))/$AJ145,'Технический лист'!$A:$B,2,1),(GH145-0.05)))</f>
        <v>1</v>
      </c>
      <c r="GJ145" s="15">
        <f>MIN(1,MAX(VLOOKUP(($AJ145-$AI145-$AH145-$AG145-$AF145-$AE145*(1+GJ$3))/$AJ145,'Технический лист'!$A:$B,2,1),(GI145-0.05)))</f>
        <v>1</v>
      </c>
      <c r="GK145" s="15">
        <f>MIN(1,MAX(VLOOKUP(($AJ145-$AI145-$AH145-$AG145-$AF145-$AE145*(1+GK$3))/$AJ145,'Технический лист'!$A:$B,2,1),(GJ145-0.05)))</f>
        <v>1</v>
      </c>
      <c r="GL145" s="15">
        <f>MIN(1,MAX(VLOOKUP(($AJ145-$AI145-$AH145-$AG145-$AF145-$AE145*(1+GL$3))/$AJ145,'Технический лист'!$A:$B,2,1),(GK145-0.05)))</f>
        <v>1</v>
      </c>
      <c r="GM145" s="15">
        <f>MIN(1,MAX(VLOOKUP(($AJ145-$AI145-$AH145-$AG145-$AF145-$AE145*(1+GM$3))/$AJ145,'Технический лист'!$A:$B,2,1),(GL145-0.05)))</f>
        <v>1</v>
      </c>
      <c r="GN145" s="15">
        <f>MIN(1,MAX(VLOOKUP(($AJ145-$AI145-$AH145-$AG145-$AF145-$AE145*(1+GN$3))/$AJ145,'Технический лист'!$A:$B,2,1),(GM145-0.05)))</f>
        <v>1</v>
      </c>
      <c r="GO145" s="15">
        <f>MIN(1,MAX(VLOOKUP(($AJ145-$AI145-$AH145-$AG145-$AF145-$AE145*(1+GO$3))/$AJ145,'Технический лист'!$A:$B,2,1),(GN145-0.05)))</f>
        <v>1</v>
      </c>
      <c r="GP145" s="15">
        <f>MIN(1,MAX(VLOOKUP(($AJ145-$AI145-$AH145-$AG145-$AF145-$AE145*(1+GP$3))/$AJ145,'Технический лист'!$A:$B,2,1),(GO145-0.05)))</f>
        <v>1</v>
      </c>
      <c r="GQ145" s="15">
        <f>MIN(1,MAX(VLOOKUP(($AJ145-$AI145-$AH145-$AG145-$AF145-$AE145*(1+GQ$3))/$AJ145,'Технический лист'!$A:$B,2,1),(GP145-0.05)))</f>
        <v>1</v>
      </c>
      <c r="GR145" s="15">
        <f>MIN(1,MAX(VLOOKUP(($AJ145-$AI145-$AH145-$AG145-$AF145-$AE145*(1+GR$3))/$AJ145,'Технический лист'!$A:$B,2,1),(GQ145-0.05)))</f>
        <v>1</v>
      </c>
      <c r="GS145" s="15">
        <f>MIN(1,MAX(VLOOKUP(($AJ145-$AI145-$AH145-$AG145-$AF145-$AE145*(1+GS$3))/$AJ145,'Технический лист'!$A:$B,2,1),(GR145-0.05)))</f>
        <v>1</v>
      </c>
      <c r="GT145" s="15">
        <f>MIN(1,MAX(VLOOKUP(($AJ145-$AI145-$AH145-$AG145-$AF145-$AE145*(1+GT$3))/$AJ145,'Технический лист'!$A:$B,2,1),(GS145-0.05)))</f>
        <v>1</v>
      </c>
      <c r="GU145" s="15">
        <f>MIN(1,MAX(VLOOKUP(($AJ145-$AI145-$AH145-$AG145-$AF145-$AE145*(1+GU$3))/$AJ145,'Технический лист'!$A:$B,2,1),(GT145-0.05)))</f>
        <v>1</v>
      </c>
      <c r="GV145" s="15">
        <f>MIN(1,MAX(VLOOKUP(($AJ145-$AI145-$AH145-$AG145-$AF145-$AE145*(1+GV$3))/$AJ145,'Технический лист'!$A:$B,2,1),(GU145-0.05)))</f>
        <v>1</v>
      </c>
      <c r="GW145" s="15">
        <f>MIN(1,MAX(VLOOKUP(($AJ145-$AI145-$AH145-$AG145-$AF145-$AE145*(1+GW$3))/$AJ145,'Технический лист'!$A:$B,2,1),(GV145-0.05)))</f>
        <v>1</v>
      </c>
      <c r="GX145" s="15">
        <f>MIN(1,MAX(VLOOKUP(($AJ145-$AI145-$AH145-$AG145-$AF145-$AE145*(1+GX$3))/$AJ145,'Технический лист'!$A:$B,2,1),(GW145-0.05)))</f>
        <v>1</v>
      </c>
      <c r="GY145" s="15">
        <f>MIN(1,MAX(VLOOKUP(($AJ145-$AI145-$AH145-$AG145-$AF145-$AE145*(1+GY$3))/$AJ145,'Технический лист'!$A:$B,2,1),(GX145-0.05)))</f>
        <v>1</v>
      </c>
      <c r="GZ145" s="15">
        <f>MIN(1,MAX(VLOOKUP(($AJ145-$AI145-$AH145-$AG145-$AF145-$AE145*(1+GZ$3))/$AJ145,'Технический лист'!$A:$B,2,1),(GY145-0.05)))</f>
        <v>1</v>
      </c>
      <c r="HA145" s="15">
        <f>MIN(1,MAX(VLOOKUP(($AJ145-$AI145-$AH145-$AG145-$AF145-$AE145*(1+HA$3))/$AJ145,'Технический лист'!$A:$B,2,1),(GZ145-0.05)))</f>
        <v>1</v>
      </c>
      <c r="HB145" s="15">
        <f>MIN(1,MAX(VLOOKUP(($AJ145-$AI145-$AH145-$AG145-$AF145-$AE145*(1+HB$3))/$AJ145,'Технический лист'!$A:$B,2,1),(HA145-0.05)))</f>
        <v>1</v>
      </c>
      <c r="HC145" s="15">
        <f>MIN(1,MAX(VLOOKUP(($AJ145-$AI145-$AH145-$AG145-$AF145-$AE145*(1+HC$3))/$AJ145,'Технический лист'!$A:$B,2,1),(HB145-0.05)))</f>
        <v>1</v>
      </c>
      <c r="HD145" s="15">
        <f>MIN(1,MAX(VLOOKUP(($AJ145-$AI145-$AH145-$AG145-$AF145-$AE145*(1+HD$3))/$AJ145,'Технический лист'!$A:$B,2,1),(HC145-0.05)))</f>
        <v>1</v>
      </c>
      <c r="HE145" s="15">
        <f>MIN(1,MAX(VLOOKUP(($AJ145-$AI145-$AH145-$AG145-$AF145-$AE145*(1+HE$3))/$AJ145,'Технический лист'!$A:$B,2,1),(HD145-0.05)))</f>
        <v>1</v>
      </c>
      <c r="HF145" s="15">
        <f>MIN(1,MAX(VLOOKUP(($AJ145-$AI145-$AH145-$AG145-$AF145-$AE145*(1+HF$3))/$AJ145,'Технический лист'!$A:$B,2,1),(HE145-0.05)))</f>
        <v>1</v>
      </c>
      <c r="HG145" s="15">
        <f>MIN(1,MAX(VLOOKUP(($AJ145-$AI145-$AH145-$AG145-$AF145-$AE145*(1+HG$3))/$AJ145,'Технический лист'!$A:$B,2,1),(HF145-0.05)))</f>
        <v>1</v>
      </c>
      <c r="HH145" s="15">
        <f>MIN(1,MAX(VLOOKUP(($AJ145-$AI145-$AH145-$AG145-$AF145-$AE145*(1+HH$3))/$AJ145,'Технический лист'!$A:$B,2,1),(HG145-0.05)))</f>
        <v>1</v>
      </c>
      <c r="HI145" s="15">
        <f>MIN(1,MAX(VLOOKUP(($AJ145-$AI145-$AH145-$AG145-$AF145-$AE145*(1+HI$3))/$AJ145,'Технический лист'!$A:$B,2,1),(HH145-0.05)))</f>
        <v>1</v>
      </c>
      <c r="HJ145" s="15">
        <f>MIN(1,MAX(VLOOKUP(($AJ145-$AI145-$AH145-$AG145-$AF145-$AE145*(1+HJ$3))/$AJ145,'Технический лист'!$A:$B,2,1),(HI145-0.05)))</f>
        <v>1</v>
      </c>
      <c r="HK145" s="15">
        <f>MIN(1,MAX(VLOOKUP(($AJ145-$AI145-$AH145-$AG145-$AF145-$AE145*(1+HK$3))/$AJ145,'Технический лист'!$A:$B,2,1),(HJ145-0.05)))</f>
        <v>1</v>
      </c>
      <c r="HL145" s="15">
        <f>MIN(1,MAX(VLOOKUP(($AJ145-$AI145-$AH145-$AG145-$AF145-$AE145*(1+HL$3))/$AJ145,'Технический лист'!$A:$B,2,1),(HK145-0.05)))</f>
        <v>1</v>
      </c>
      <c r="HM145" s="15">
        <f>MIN(1,MAX(VLOOKUP(($AJ145-$AI145-$AH145-$AG145-$AF145-$AE145*(1+HM$3))/$AJ145,'Технический лист'!$A:$B,2,1),(HL145-0.05)))</f>
        <v>1</v>
      </c>
      <c r="HN145" s="15">
        <f>MIN(1,MAX(VLOOKUP(($AJ145-$AI145-$AH145-$AG145-$AF145-$AE145*(1+HN$3))/$AJ145,'Технический лист'!$A:$B,2,1),(HM145-0.05)))</f>
        <v>1</v>
      </c>
      <c r="HO145" s="15">
        <f>MIN(1,MAX(VLOOKUP(($AJ145-$AI145-$AH145-$AG145-$AF145-$AE145*(1+HO$3))/$AJ145,'Технический лист'!$A:$B,2,1),(HN145-0.05)))</f>
        <v>1</v>
      </c>
      <c r="HP145" s="15">
        <f>MIN(1,MAX(VLOOKUP(($AJ145-$AI145-$AH145-$AG145-$AF145-$AE145*(1+HP$3))/$AJ145,'Технический лист'!$A:$B,2,1),(HO145-0.05)))</f>
        <v>1</v>
      </c>
      <c r="HQ145" s="15">
        <f>MIN(1,MAX(VLOOKUP(($AJ145-$AI145-$AH145-$AG145-$AF145-$AE145*(1+HQ$3))/$AJ145,'Технический лист'!$A:$B,2,1),(HP145-0.05)))</f>
        <v>1</v>
      </c>
      <c r="HR145" s="15">
        <f>MIN(1,MAX(VLOOKUP(($AJ145-$AI145-$AH145-$AG145-$AF145-$AE145*(1+HR$3))/$AJ145,'Технический лист'!$A:$B,2,1),(HQ145-0.05)))</f>
        <v>1</v>
      </c>
      <c r="HS145" s="15">
        <f>MIN(1,MAX(VLOOKUP(($AJ145-$AI145-$AH145-$AG145-$AF145-$AE145*(1+HS$3))/$AJ145,'Технический лист'!$A:$B,2,1),(HR145-0.05)))</f>
        <v>1</v>
      </c>
      <c r="HT145" s="15">
        <f>MIN(1,MAX(VLOOKUP(($AJ145-$AI145-$AH145-$AG145-$AF145-$AE145*(1+HT$3))/$AJ145,'Технический лист'!$A:$B,2,1),(HS145-0.05)))</f>
        <v>1</v>
      </c>
      <c r="HU145" s="15">
        <f>MIN(1,MAX(VLOOKUP(($AJ145-$AI145-$AH145-$AG145-$AF145-$AE145*(1+HU$3))/$AJ145,'Технический лист'!$A:$B,2,1),(HT145-0.05)))</f>
        <v>1</v>
      </c>
      <c r="HV145" s="15">
        <f>MIN(1,MAX(VLOOKUP(($AJ145-$AI145-$AH145-$AG145-$AF145-$AE145*(1+HV$3))/$AJ145,'Технический лист'!$A:$B,2,1),(HU145-0.05)))</f>
        <v>1</v>
      </c>
      <c r="HW145" s="15">
        <f>MIN(1,MAX(VLOOKUP(($AJ145-$AI145-$AH145-$AG145-$AF145-$AE145*(1+HW$3))/$AJ145,'Технический лист'!$A:$B,2,1),(HV145-0.05)))</f>
        <v>1</v>
      </c>
      <c r="HX145" s="15">
        <f>MIN(1,MAX(VLOOKUP(($AJ145-$AI145-$AH145-$AG145-$AF145-$AE145*(1+HX$3))/$AJ145,'Технический лист'!$A:$B,2,1),(HW145-0.05)))</f>
        <v>1</v>
      </c>
      <c r="HY145" s="15">
        <f>MIN(1,MAX(VLOOKUP(($AJ145-$AI145-$AH145-$AG145-$AF145-$AE145*(1+HY$3))/$AJ145,'Технический лист'!$A:$B,2,1),(HX145-0.05)))</f>
        <v>1</v>
      </c>
      <c r="HZ145" s="15">
        <f>MIN(1,MAX(VLOOKUP(($AJ145-$AI145-$AH145-$AG145-$AF145-$AE145*(1+HZ$3))/$AJ145,'Технический лист'!$A:$B,2,1),(HY145-0.05)))</f>
        <v>1</v>
      </c>
      <c r="IA145" s="15">
        <f>MIN(1,MAX(VLOOKUP(($AJ145-$AI145-$AH145-$AG145-$AF145-$AE145*(1+IA$3))/$AJ145,'Технический лист'!$A:$B,2,1),(HZ145-0.05)))</f>
        <v>1</v>
      </c>
      <c r="IB145" s="15">
        <f>MIN(1,MAX(VLOOKUP(($AJ145-$AI145-$AH145-$AG145-$AF145-$AE145*(1+IB$3))/$AJ145,'Технический лист'!$A:$B,2,1),(IA145-0.05)))</f>
        <v>1</v>
      </c>
      <c r="IC145" s="15">
        <f>MIN(1,MAX(VLOOKUP(($AJ145-$AI145-$AH145-$AG145-$AF145-$AE145*(1+IC$3))/$AJ145,'Технический лист'!$A:$B,2,1),(IB145-0.05)))</f>
        <v>1</v>
      </c>
      <c r="ID145" s="15">
        <f>MIN(1,MAX(VLOOKUP(($AJ145-$AI145-$AH145-$AG145-$AF145-$AE145*(1+ID$3))/$AJ145,'Технический лист'!$A:$B,2,1),(IC145-0.05)))</f>
        <v>1</v>
      </c>
      <c r="IE145" s="15">
        <f>MIN(1,MAX(VLOOKUP(($AJ145-$AI145-$AH145-$AG145-$AF145-$AE145*(1+IE$3))/$AJ145,'Технический лист'!$A:$B,2,1),(ID145-0.05)))</f>
        <v>1</v>
      </c>
      <c r="IF145" s="15">
        <f>MIN(1,MAX(VLOOKUP(($AJ145-$AI145-$AH145-$AG145-$AF145-$AE145*(1+IF$3))/$AJ145,'Технический лист'!$A:$B,2,1),(IE145-0.05)))</f>
        <v>1</v>
      </c>
      <c r="IG145" s="15">
        <f>MIN(1,MAX(VLOOKUP(($AJ145-$AI145-$AH145-$AG145-$AF145-$AE145*(1+IG$3))/$AJ145,'Технический лист'!$A:$B,2,1),(IF145-0.05)))</f>
        <v>1</v>
      </c>
      <c r="IH145" s="15">
        <f>MIN(1,MAX(VLOOKUP(($AJ145-$AI145-$AH145-$AG145-$AF145-$AE145*(1+IH$3))/$AJ145,'Технический лист'!$A:$B,2,1),(IG145-0.05)))</f>
        <v>1</v>
      </c>
      <c r="II145" s="15">
        <f>MIN(1,MAX(VLOOKUP(($AJ145-$AI145-$AH145-$AG145-$AF145-$AE145*(1+II$3))/$AJ145,'Технический лист'!$A:$B,2,1),(IH145-0.05)))</f>
        <v>1</v>
      </c>
      <c r="IJ145" s="15">
        <f>MIN(1,MAX(VLOOKUP(($AJ145-$AI145-$AH145-$AG145-$AF145-$AE145*(1+IJ$3))/$AJ145,'Технический лист'!$A:$B,2,1),(II145-0.05)))</f>
        <v>1</v>
      </c>
      <c r="IK145" s="15">
        <f>MIN(1,MAX(VLOOKUP(($AJ145-$AI145-$AH145-$AG145-$AF145-$AE145*(1+IK$3))/$AJ145,'Технический лист'!$A:$B,2,1),(IJ145-0.05)))</f>
        <v>1</v>
      </c>
      <c r="IL145" s="15">
        <f>MIN(1,MAX(VLOOKUP(($AJ145-$AI145-$AH145-$AG145-$AF145-$AE145*(1+IL$3))/$AJ145,'Технический лист'!$A:$B,2,1),(IK145-0.05)))</f>
        <v>1</v>
      </c>
      <c r="IM145" s="15">
        <f>MIN(1,MAX(VLOOKUP(($AJ145-$AI145-$AH145-$AG145-$AF145-$AE145*(1+IM$3))/$AJ145,'Технический лист'!$A:$B,2,1),(IL145-0.05)))</f>
        <v>1</v>
      </c>
      <c r="IN145" s="15">
        <f>MIN(1,MAX(VLOOKUP(($AJ145-$AI145-$AH145-$AG145-$AF145-$AE145*(1+IN$3))/$AJ145,'Технический лист'!$A:$B,2,1),(IM145-0.05)))</f>
        <v>1</v>
      </c>
      <c r="IO145" s="15">
        <f>MIN(1,MAX(VLOOKUP(($AJ145-$AI145-$AH145-$AG145-$AF145-$AE145*(1+IO$3))/$AJ145,'Технический лист'!$A:$B,2,1),(IN145-0.05)))</f>
        <v>1</v>
      </c>
      <c r="IP145" s="15">
        <f>MIN(1,MAX(VLOOKUP(($AJ145-$AI145-$AH145-$AG145-$AF145-$AE145*(1+IP$3))/$AJ145,'Технический лист'!$A:$B,2,1),(IO145-0.05)))</f>
        <v>1</v>
      </c>
      <c r="IQ145" s="15">
        <f>MIN(1,MAX(VLOOKUP(($AJ145-$AI145-$AH145-$AG145-$AF145-$AE145*(1+IQ$3))/$AJ145,'Технический лист'!$A:$B,2,1),(IP145-0.05)))</f>
        <v>1</v>
      </c>
      <c r="IR145" s="15">
        <f>MIN(1,MAX(VLOOKUP(($AJ145-$AI145-$AH145-$AG145-$AF145-$AE145*(1+IR$3))/$AJ145,'Технический лист'!$A:$B,2,1),(IQ145-0.05)))</f>
        <v>1</v>
      </c>
    </row>
    <row r="146" spans="1:252" ht="21.45" customHeight="1">
      <c r="A146" s="89" t="s">
        <v>513</v>
      </c>
      <c r="B146" s="90">
        <v>10</v>
      </c>
      <c r="C146" s="5" t="s">
        <v>66</v>
      </c>
      <c r="D146" s="91">
        <v>33131</v>
      </c>
      <c r="E146" s="91" t="s">
        <v>330</v>
      </c>
      <c r="F146" s="92" t="s">
        <v>72</v>
      </c>
      <c r="G146" s="91" t="s">
        <v>20</v>
      </c>
      <c r="H146" s="91" t="s">
        <v>20</v>
      </c>
      <c r="I146" s="91" t="s">
        <v>130</v>
      </c>
      <c r="J146" s="91" t="s">
        <v>131</v>
      </c>
      <c r="K146" s="91">
        <v>143</v>
      </c>
      <c r="L146" s="77" t="s">
        <v>189</v>
      </c>
      <c r="M146" s="91" t="s">
        <v>17</v>
      </c>
      <c r="N146" s="91" t="s">
        <v>48</v>
      </c>
      <c r="O146" s="91" t="s">
        <v>193</v>
      </c>
      <c r="P146" s="89" t="s">
        <v>223</v>
      </c>
      <c r="Q146" s="91" t="s">
        <v>299</v>
      </c>
      <c r="R146" s="91" t="s">
        <v>263</v>
      </c>
      <c r="S146" s="82">
        <v>71641</v>
      </c>
      <c r="T146" s="82">
        <v>10244636</v>
      </c>
      <c r="U146" s="81">
        <v>22</v>
      </c>
      <c r="V146" s="81">
        <v>2731</v>
      </c>
      <c r="W146" s="82">
        <v>29344438</v>
      </c>
      <c r="X146" s="112">
        <v>40</v>
      </c>
      <c r="Y146" s="112" t="s">
        <v>449</v>
      </c>
      <c r="Z146" s="113">
        <v>3</v>
      </c>
      <c r="AA146" s="113">
        <v>0</v>
      </c>
      <c r="AB146" s="113">
        <v>4</v>
      </c>
      <c r="AC146" s="99">
        <f>9954/X146</f>
        <v>248.85</v>
      </c>
      <c r="AD146" s="99">
        <v>0</v>
      </c>
      <c r="AE146" s="99">
        <f t="shared" ref="AE146:AE148" si="64">AC146</f>
        <v>248.85</v>
      </c>
      <c r="AF146" s="98">
        <f>(AB146+AA146+Z146)*'Ставки аренды'!$B$6/X146</f>
        <v>280</v>
      </c>
      <c r="AG146" s="94"/>
      <c r="AH146" s="94">
        <v>0</v>
      </c>
      <c r="AI146" s="115">
        <f>0.84*AJ146</f>
        <v>1153739.1599999999</v>
      </c>
      <c r="AJ146" s="117">
        <f>Цены!C34*'Курсы валют'!B2</f>
        <v>1373499</v>
      </c>
      <c r="AK146" s="94">
        <f>AJ146/Цены!$B$1</f>
        <v>18000</v>
      </c>
      <c r="AL146" s="95">
        <f t="shared" si="54"/>
        <v>528.85</v>
      </c>
      <c r="AM146" s="95">
        <f t="shared" si="55"/>
        <v>1372970.15</v>
      </c>
      <c r="AN146" s="94">
        <f t="shared" si="52"/>
        <v>1154268.01</v>
      </c>
      <c r="AO146" s="118">
        <f t="shared" si="53"/>
        <v>0.15961496149614962</v>
      </c>
      <c r="AP146" s="96">
        <f t="shared" si="56"/>
        <v>3.8503850385038506E-4</v>
      </c>
      <c r="AQ146" s="96">
        <f t="shared" si="57"/>
        <v>1.8117960042198793E-4</v>
      </c>
      <c r="AR146" s="96">
        <f t="shared" si="58"/>
        <v>0.47054930509596293</v>
      </c>
      <c r="AS146" s="122">
        <v>1</v>
      </c>
      <c r="AT146" s="121">
        <f t="shared" si="45"/>
        <v>71641</v>
      </c>
      <c r="AU146" s="83">
        <v>0.9</v>
      </c>
      <c r="AV146" s="119">
        <f t="shared" si="41"/>
        <v>0.159593219944099</v>
      </c>
      <c r="AW146" s="120">
        <f t="shared" si="42"/>
        <v>4.0678005590102359E-4</v>
      </c>
      <c r="AX146" s="120">
        <f t="shared" si="43"/>
        <v>2.0292115247262652E-4</v>
      </c>
      <c r="AY146" s="120">
        <f t="shared" si="44"/>
        <v>0.49884734890247578</v>
      </c>
      <c r="AZ146" s="15">
        <f>MIN(IF($AU146=100%,1,1+VLOOKUP(($AJ146-$AI146-$AH146-$AG146-$AF146-$AE146*(1+AZ$3))/$AJ146,'Технический лист'!$I:$J,2,1)-VLOOKUP($AO146,'Технический лист'!$I:$J,2,1)),1+(1-$AU146))</f>
        <v>1</v>
      </c>
      <c r="BA146" s="15">
        <f>MIN(IF($AU146=100%,1,1+VLOOKUP(($AJ146-$AI146-$AH146-$AG146-$AF146-$AE146*(1+BA$3))/$AJ146,'Технический лист'!$I:$J,2,1)-VLOOKUP($AO146,'Технический лист'!$I:$J,2,1)),1+(1-$AU146))</f>
        <v>1</v>
      </c>
      <c r="BB146" s="15">
        <f>MIN(IF($AU146=100%,1,1+VLOOKUP(($AJ146-$AI146-$AH146-$AG146-$AF146-$AE146*(1+BB$3))/$AJ146,'Технический лист'!$I:$J,2,1)-VLOOKUP($AO146,'Технический лист'!$I:$J,2,1)),1+(1-$AU146))</f>
        <v>1</v>
      </c>
      <c r="BC146" s="15">
        <f>MIN(IF($AU146=100%,1,1+VLOOKUP(($AJ146-$AI146-$AH146-$AG146-$AF146-$AE146*(1+BC$3))/$AJ146,'Технический лист'!$I:$J,2,1)-VLOOKUP($AO146,'Технический лист'!$I:$J,2,1)),1+(1-$AU146))</f>
        <v>1</v>
      </c>
      <c r="BD146" s="15">
        <f>MIN(IF($AU146=100%,1,1+VLOOKUP(($AJ146-$AI146-$AH146-$AG146-$AF146-$AE146*(1+BD$3))/$AJ146,'Технический лист'!$I:$J,2,1)-VLOOKUP($AO146,'Технический лист'!$I:$J,2,1)),1+(1-$AU146))</f>
        <v>1</v>
      </c>
      <c r="BE146" s="15">
        <f>MIN(IF($AU146=100%,1,1+VLOOKUP(($AJ146-$AI146-$AH146-$AG146-$AF146-$AE146*(1+BE$3))/$AJ146,'Технический лист'!$I:$J,2,1)-VLOOKUP($AO146,'Технический лист'!$I:$J,2,1)),1+(1-$AU146))</f>
        <v>1</v>
      </c>
      <c r="BF146" s="15">
        <f>MIN(IF($AU146=100%,1,1+VLOOKUP(($AJ146-$AI146-$AH146-$AG146-$AF146-$AE146*(1+BF$3))/$AJ146,'Технический лист'!$I:$J,2,1)-VLOOKUP($AO146,'Технический лист'!$I:$J,2,1)),1+(1-$AU146))</f>
        <v>1</v>
      </c>
      <c r="BG146" s="15">
        <f>MIN(IF($AU146=100%,1,1+VLOOKUP(($AJ146-$AI146-$AH146-$AG146-$AF146-$AE146*(1+BG$3))/$AJ146,'Технический лист'!$I:$J,2,1)-VLOOKUP($AO146,'Технический лист'!$I:$J,2,1)),1+(1-$AU146))</f>
        <v>1</v>
      </c>
      <c r="BH146" s="15">
        <f>MIN(IF($AU146=100%,1,1+VLOOKUP(($AJ146-$AI146-$AH146-$AG146-$AF146-$AE146*(1+BH$3))/$AJ146,'Технический лист'!$I:$J,2,1)-VLOOKUP($AO146,'Технический лист'!$I:$J,2,1)),1+(1-$AU146))</f>
        <v>1</v>
      </c>
      <c r="BI146" s="15">
        <f>MIN(IF($AU146=100%,1,1+VLOOKUP(($AJ146-$AI146-$AH146-$AG146-$AF146-$AE146*(1+BI$3))/$AJ146,'Технический лист'!$I:$J,2,1)-VLOOKUP($AO146,'Технический лист'!$I:$J,2,1)),1+(1-$AU146))</f>
        <v>1</v>
      </c>
      <c r="BJ146" s="15">
        <f>MIN(IF($AU146=100%,1,1+VLOOKUP(($AJ146-$AI146-$AH146-$AG146-$AF146-$AE146*(1+BJ$3))/$AJ146,'Технический лист'!$I:$J,2,1)-VLOOKUP($AO146,'Технический лист'!$I:$J,2,1)),1+(1-$AU146))</f>
        <v>1</v>
      </c>
      <c r="BK146" s="15">
        <f>MIN(IF($AU146=100%,1,1+VLOOKUP(($AJ146-$AI146-$AH146-$AG146-$AF146-$AE146*(1+BK$3))/$AJ146,'Технический лист'!$I:$J,2,1)-VLOOKUP($AO146,'Технический лист'!$I:$J,2,1)),1+(1-$AU146))</f>
        <v>1</v>
      </c>
      <c r="BL146" s="15">
        <f>MIN(IF($AU146=100%,1,1+VLOOKUP(($AJ146-$AI146-$AH146-$AG146-$AF146-$AE146*(1+BL$3))/$AJ146,'Технический лист'!$I:$J,2,1)-VLOOKUP($AO146,'Технический лист'!$I:$J,2,1)),1+(1-$AU146))</f>
        <v>1</v>
      </c>
      <c r="BM146" s="15">
        <f>MIN(IF($AU146=100%,1,1+VLOOKUP(($AJ146-$AI146-$AH146-$AG146-$AF146-$AE146*(1+BM$3))/$AJ146,'Технический лист'!$I:$J,2,1)-VLOOKUP($AO146,'Технический лист'!$I:$J,2,1)),1+(1-$AU146))</f>
        <v>1</v>
      </c>
      <c r="BN146" s="15">
        <f>MIN(IF($AU146=100%,1,1+VLOOKUP(($AJ146-$AI146-$AH146-$AG146-$AF146-$AE146*(1+BN$3))/$AJ146,'Технический лист'!$I:$J,2,1)-VLOOKUP($AO146,'Технический лист'!$I:$J,2,1)),1+(1-$AU146))</f>
        <v>1</v>
      </c>
      <c r="BO146" s="15">
        <f>MIN(IF($AU146=100%,1,1+VLOOKUP(($AJ146-$AI146-$AH146-$AG146-$AF146-$AE146*(1+BO$3))/$AJ146,'Технический лист'!$I:$J,2,1)-VLOOKUP($AO146,'Технический лист'!$I:$J,2,1)),1+(1-$AU146))</f>
        <v>1</v>
      </c>
      <c r="BP146" s="15">
        <f>MIN(IF($AU146=100%,1,1+VLOOKUP(($AJ146-$AI146-$AH146-$AG146-$AF146-$AE146*(1+BP$3))/$AJ146,'Технический лист'!$I:$J,2,1)-VLOOKUP($AO146,'Технический лист'!$I:$J,2,1)),1+(1-$AU146))</f>
        <v>1</v>
      </c>
      <c r="BQ146" s="15">
        <f>MIN(IF($AU146=100%,1,1+VLOOKUP(($AJ146-$AI146-$AH146-$AG146-$AF146-$AE146*(1+BQ$3))/$AJ146,'Технический лист'!$I:$J,2,1)-VLOOKUP($AO146,'Технический лист'!$I:$J,2,1)),1+(1-$AU146))</f>
        <v>1</v>
      </c>
      <c r="BR146" s="15">
        <f>MIN(IF($AU146=100%,1,1+VLOOKUP(($AJ146-$AI146-$AH146-$AG146-$AF146-$AE146*(1+BR$3))/$AJ146,'Технический лист'!$I:$J,2,1)-VLOOKUP($AO146,'Технический лист'!$I:$J,2,1)),1+(1-$AU146))</f>
        <v>1</v>
      </c>
      <c r="BS146" s="15">
        <f>MIN(IF($AU146=100%,1,1+VLOOKUP(($AJ146-$AI146-$AH146-$AG146-$AF146-$AE146*(1+BS$3))/$AJ146,'Технический лист'!$I:$J,2,1)-VLOOKUP($AO146,'Технический лист'!$I:$J,2,1)),1+(1-$AU146))</f>
        <v>1</v>
      </c>
      <c r="BT146" s="15">
        <f>MIN(IF($AU146=100%,1,1+VLOOKUP(($AJ146-$AI146-$AH146-$AG146-$AF146-$AE146*(1+BT$3))/$AJ146,'Технический лист'!$I:$J,2,1)-VLOOKUP($AO146,'Технический лист'!$I:$J,2,1)),1+(1-$AU146))</f>
        <v>1</v>
      </c>
      <c r="BU146" s="15">
        <f>MIN(IF($AU146=100%,1,1+VLOOKUP(($AJ146-$AI146-$AH146-$AG146-$AF146-$AE146*(1+BU$3))/$AJ146,'Технический лист'!$I:$J,2,1)-VLOOKUP($AO146,'Технический лист'!$I:$J,2,1)),1+(1-$AU146))</f>
        <v>1</v>
      </c>
      <c r="BV146" s="15">
        <f>MIN(IF($AU146=100%,1,1+VLOOKUP(($AJ146-$AI146-$AH146-$AG146-$AF146-$AE146*(1+BV$3))/$AJ146,'Технический лист'!$I:$J,2,1)-VLOOKUP($AO146,'Технический лист'!$I:$J,2,1)),1+(1-$AU146))</f>
        <v>1</v>
      </c>
      <c r="BW146" s="15">
        <f>MIN(IF($AU146=100%,1,1+VLOOKUP(($AJ146-$AI146-$AH146-$AG146-$AF146-$AE146*(1+BW$3))/$AJ146,'Технический лист'!$I:$J,2,1)-VLOOKUP($AO146,'Технический лист'!$I:$J,2,1)),1+(1-$AU146))</f>
        <v>1</v>
      </c>
      <c r="BX146" s="15">
        <f>MIN(IF($AU146=100%,1,1+VLOOKUP(($AJ146-$AI146-$AH146-$AG146-$AF146-$AE146*(1+BX$3))/$AJ146,'Технический лист'!$I:$J,2,1)-VLOOKUP($AO146,'Технический лист'!$I:$J,2,1)),1+(1-$AU146))</f>
        <v>1</v>
      </c>
      <c r="BY146" s="15">
        <f>MIN(IF($AU146=100%,1,1+VLOOKUP(($AJ146-$AI146-$AH146-$AG146-$AF146-$AE146*(1+BY$3))/$AJ146,'Технический лист'!$I:$J,2,1)-VLOOKUP($AO146,'Технический лист'!$I:$J,2,1)),1+(1-$AU146))</f>
        <v>1</v>
      </c>
      <c r="BZ146" s="15">
        <f>MIN(IF($AU146=100%,1,1+VLOOKUP(($AJ146-$AI146-$AH146-$AG146-$AF146-$AE146*(1+BZ$3))/$AJ146,'Технический лист'!$I:$J,2,1)-VLOOKUP($AO146,'Технический лист'!$I:$J,2,1)),1+(1-$AU146))</f>
        <v>1</v>
      </c>
      <c r="CA146" s="15">
        <f>MIN(IF($AU146=100%,1,1+VLOOKUP(($AJ146-$AI146-$AH146-$AG146-$AF146-$AE146*(1+CA$3))/$AJ146,'Технический лист'!$I:$J,2,1)-VLOOKUP($AO146,'Технический лист'!$I:$J,2,1)),1+(1-$AU146))</f>
        <v>1</v>
      </c>
      <c r="CB146" s="15">
        <f>MIN(IF($AU146=100%,1,1+VLOOKUP(($AJ146-$AI146-$AH146-$AG146-$AF146-$AE146*(1+CB$3))/$AJ146,'Технический лист'!$I:$J,2,1)-VLOOKUP($AO146,'Технический лист'!$I:$J,2,1)),1+(1-$AU146))</f>
        <v>1</v>
      </c>
      <c r="CC146" s="15">
        <f>MIN(IF($AU146=100%,1,1+VLOOKUP(($AJ146-$AI146-$AH146-$AG146-$AF146-$AE146*(1+CC$3))/$AJ146,'Технический лист'!$I:$J,2,1)-VLOOKUP($AO146,'Технический лист'!$I:$J,2,1)),1+(1-$AU146))</f>
        <v>1</v>
      </c>
      <c r="CD146" s="15">
        <f>MIN(IF($AU146=100%,1,1+VLOOKUP(($AJ146-$AI146-$AH146-$AG146-$AF146-$AE146*(1+CD$3))/$AJ146,'Технический лист'!$I:$J,2,1)-VLOOKUP($AO146,'Технический лист'!$I:$J,2,1)),1+(1-$AU146))</f>
        <v>1</v>
      </c>
      <c r="CE146" s="15">
        <f>MIN(IF($AU146=100%,1,1+VLOOKUP(($AJ146-$AI146-$AH146-$AG146-$AF146-$AE146*(1+CE$3))/$AJ146,'Технический лист'!$I:$J,2,1)-VLOOKUP($AO146,'Технический лист'!$I:$J,2,1)),1+(1-$AU146))</f>
        <v>1</v>
      </c>
      <c r="CF146" s="15">
        <f>MIN(IF($AU146=100%,1,1+VLOOKUP(($AJ146-$AI146-$AH146-$AG146-$AF146-$AE146*(1+CF$3))/$AJ146,'Технический лист'!$I:$J,2,1)-VLOOKUP($AO146,'Технический лист'!$I:$J,2,1)),1+(1-$AU146))</f>
        <v>1</v>
      </c>
      <c r="CG146" s="15">
        <f>MIN(IF($AU146=100%,1,1+VLOOKUP(($AJ146-$AI146-$AH146-$AG146-$AF146-$AE146*(1+CG$3))/$AJ146,'Технический лист'!$I:$J,2,1)-VLOOKUP($AO146,'Технический лист'!$I:$J,2,1)),1+(1-$AU146))</f>
        <v>1</v>
      </c>
      <c r="CH146" s="15">
        <f>MIN(IF($AU146=100%,1,1+VLOOKUP(($AJ146-$AI146-$AH146-$AG146-$AF146-$AE146*(1+CH$3))/$AJ146,'Технический лист'!$I:$J,2,1)-VLOOKUP($AO146,'Технический лист'!$I:$J,2,1)),1+(1-$AU146))</f>
        <v>1</v>
      </c>
      <c r="CI146" s="15">
        <f>MIN(IF($AU146=100%,1,1+VLOOKUP(($AJ146-$AI146-$AH146-$AG146-$AF146-$AE146*(1+CI$3))/$AJ146,'Технический лист'!$I:$J,2,1)-VLOOKUP($AO146,'Технический лист'!$I:$J,2,1)),1+(1-$AU146))</f>
        <v>1</v>
      </c>
      <c r="CJ146" s="15">
        <f>MIN(IF($AU146=100%,1,1+VLOOKUP(($AJ146-$AI146-$AH146-$AG146-$AF146-$AE146*(1+CJ$3))/$AJ146,'Технический лист'!$I:$J,2,1)-VLOOKUP($AO146,'Технический лист'!$I:$J,2,1)),1+(1-$AU146))</f>
        <v>1</v>
      </c>
      <c r="CK146" s="15">
        <f>MIN(IF($AU146=100%,1,1+VLOOKUP(($AJ146-$AI146-$AH146-$AG146-$AF146-$AE146*(1+CK$3))/$AJ146,'Технический лист'!$I:$J,2,1)-VLOOKUP($AO146,'Технический лист'!$I:$J,2,1)),1+(1-$AU146))</f>
        <v>1</v>
      </c>
      <c r="CL146" s="15">
        <f>MIN(IF($AU146=100%,1,1+VLOOKUP(($AJ146-$AI146-$AH146-$AG146-$AF146-$AE146*(1+CL$3))/$AJ146,'Технический лист'!$I:$J,2,1)-VLOOKUP($AO146,'Технический лист'!$I:$J,2,1)),1+(1-$AU146))</f>
        <v>1</v>
      </c>
      <c r="CM146" s="15">
        <f>MIN(IF($AU146=100%,1,1+VLOOKUP(($AJ146-$AI146-$AH146-$AG146-$AF146-$AE146*(1+CM$3))/$AJ146,'Технический лист'!$I:$J,2,1)-VLOOKUP($AO146,'Технический лист'!$I:$J,2,1)),1+(1-$AU146))</f>
        <v>1</v>
      </c>
      <c r="CN146" s="15">
        <f>MIN(IF($AU146=100%,1,1+VLOOKUP(($AJ146-$AI146-$AH146-$AG146-$AF146-$AE146*(1+CN$3))/$AJ146,'Технический лист'!$I:$J,2,1)-VLOOKUP($AO146,'Технический лист'!$I:$J,2,1)),1+(1-$AU146))</f>
        <v>1</v>
      </c>
      <c r="CO146" s="15">
        <f>MIN(IF($AU146=100%,1,1+VLOOKUP(($AJ146-$AI146-$AH146-$AG146-$AF146-$AE146*(1+CO$3))/$AJ146,'Технический лист'!$I:$J,2,1)-VLOOKUP($AO146,'Технический лист'!$I:$J,2,1)),1+(1-$AU146))</f>
        <v>1</v>
      </c>
      <c r="CP146" s="15">
        <f>MIN(IF($AU146=100%,1,1+VLOOKUP(($AJ146-$AI146-$AH146-$AG146-$AF146-$AE146*(1+CP$3))/$AJ146,'Технический лист'!$I:$J,2,1)-VLOOKUP($AO146,'Технический лист'!$I:$J,2,1)),1+(1-$AU146))</f>
        <v>1</v>
      </c>
      <c r="CQ146" s="15">
        <f>MIN(IF($AU146=100%,1,1+VLOOKUP(($AJ146-$AI146-$AH146-$AG146-$AF146-$AE146*(1+CQ$3))/$AJ146,'Технический лист'!$I:$J,2,1)-VLOOKUP($AO146,'Технический лист'!$I:$J,2,1)),1+(1-$AU146))</f>
        <v>1</v>
      </c>
      <c r="CR146" s="15">
        <f>MIN(IF($AU146=100%,1,1+VLOOKUP(($AJ146-$AI146-$AH146-$AG146-$AF146-$AE146*(1+CR$3))/$AJ146,'Технический лист'!$I:$J,2,1)-VLOOKUP($AO146,'Технический лист'!$I:$J,2,1)),1+(1-$AU146))</f>
        <v>1</v>
      </c>
      <c r="CS146" s="15">
        <f>MIN(IF($AU146=100%,1,1+VLOOKUP(($AJ146-$AI146-$AH146-$AG146-$AF146-$AE146*(1+CS$3))/$AJ146,'Технический лист'!$I:$J,2,1)-VLOOKUP($AO146,'Технический лист'!$I:$J,2,1)),1+(1-$AU146))</f>
        <v>1</v>
      </c>
      <c r="CT146" s="15">
        <f>MIN(IF($AU146=100%,1,1+VLOOKUP(($AJ146-$AI146-$AH146-$AG146-$AF146-$AE146*(1+CT$3))/$AJ146,'Технический лист'!$I:$J,2,1)-VLOOKUP($AO146,'Технический лист'!$I:$J,2,1)),1+(1-$AU146))</f>
        <v>1</v>
      </c>
      <c r="CU146" s="15">
        <f>MIN(IF($AU146=100%,1,1+VLOOKUP(($AJ146-$AI146-$AH146-$AG146-$AF146-$AE146*(1+CU$3))/$AJ146,'Технический лист'!$I:$J,2,1)-VLOOKUP($AO146,'Технический лист'!$I:$J,2,1)),1+(1-$AU146))</f>
        <v>1</v>
      </c>
      <c r="CV146" s="15">
        <f>MIN(IF($AU146=100%,1,1+VLOOKUP(($AJ146-$AI146-$AH146-$AG146-$AF146-$AE146*(1+CV$3))/$AJ146,'Технический лист'!$I:$J,2,1)-VLOOKUP($AO146,'Технический лист'!$I:$J,2,1)),1+(1-$AU146))</f>
        <v>1</v>
      </c>
      <c r="CW146" s="15">
        <f>MIN(IF($AU146=100%,1,1+VLOOKUP(($AJ146-$AI146-$AH146-$AG146-$AF146-$AE146*(1+CW$3))/$AJ146,'Технический лист'!$I:$J,2,1)-VLOOKUP($AO146,'Технический лист'!$I:$J,2,1)),1+(1-$AU146))</f>
        <v>1</v>
      </c>
      <c r="CX146" s="15">
        <f>MIN(IF($AU146=100%,1,1+VLOOKUP(($AJ146-$AI146-$AH146-$AG146-$AF146-$AE146*(1+CX$3))/$AJ146,'Технический лист'!$I:$J,2,1)-VLOOKUP($AO146,'Технический лист'!$I:$J,2,1)),1+(1-$AU146))</f>
        <v>1</v>
      </c>
      <c r="CY146" s="15">
        <f>MIN(IF($AU146=100%,1,1+VLOOKUP(($AJ146-$AI146-$AH146-$AG146-$AF146-$AE146*(1+CY$3))/$AJ146,'Технический лист'!$I:$J,2,1)-VLOOKUP($AO146,'Технический лист'!$I:$J,2,1)),1+(1-$AU146))</f>
        <v>1</v>
      </c>
      <c r="CZ146" s="15">
        <f>MIN(IF($AU146=100%,1,1+VLOOKUP(($AJ146-$AI146-$AH146-$AG146-$AF146-$AE146*(1+CZ$3))/$AJ146,'Технический лист'!$I:$J,2,1)-VLOOKUP($AO146,'Технический лист'!$I:$J,2,1)),1+(1-$AU146))</f>
        <v>1</v>
      </c>
      <c r="DA146" s="15">
        <f>MIN(IF($AU146=100%,1,1+VLOOKUP(($AJ146-$AI146-$AH146-$AG146-$AF146-$AE146*(1+DA$3))/$AJ146,'Технический лист'!$I:$J,2,1)-VLOOKUP($AO146,'Технический лист'!$I:$J,2,1)),1+(1-$AU146))</f>
        <v>1</v>
      </c>
      <c r="DB146" s="15">
        <f>MIN(IF($AU146=100%,1,1+VLOOKUP(($AJ146-$AI146-$AH146-$AG146-$AF146-$AE146*(1+DB$3))/$AJ146,'Технический лист'!$I:$J,2,1)-VLOOKUP($AO146,'Технический лист'!$I:$J,2,1)),1+(1-$AU146))</f>
        <v>1</v>
      </c>
      <c r="DC146" s="15">
        <f>MIN(IF($AU146=100%,1,1+VLOOKUP(($AJ146-$AI146-$AH146-$AG146-$AF146-$AE146*(1+DC$3))/$AJ146,'Технический лист'!$I:$J,2,1)-VLOOKUP($AO146,'Технический лист'!$I:$J,2,1)),1+(1-$AU146))</f>
        <v>1</v>
      </c>
      <c r="DD146" s="15">
        <f>MIN(IF($AU146=100%,1,1+VLOOKUP(($AJ146-$AI146-$AH146-$AG146-$AF146-$AE146*(1+DD$3))/$AJ146,'Технический лист'!$I:$J,2,1)-VLOOKUP($AO146,'Технический лист'!$I:$J,2,1)),1+(1-$AU146))</f>
        <v>1</v>
      </c>
      <c r="DE146" s="15">
        <f>MIN(IF($AU146=100%,1,1+VLOOKUP(($AJ146-$AI146-$AH146-$AG146-$AF146-$AE146*(1+DE$3))/$AJ146,'Технический лист'!$I:$J,2,1)-VLOOKUP($AO146,'Технический лист'!$I:$J,2,1)),1+(1-$AU146))</f>
        <v>1</v>
      </c>
      <c r="DF146" s="15">
        <f>MIN(IF($AU146=100%,1,1+VLOOKUP(($AJ146-$AI146-$AH146-$AG146-$AF146-$AE146*(1+DF$3))/$AJ146,'Технический лист'!$I:$J,2,1)-VLOOKUP($AO146,'Технический лист'!$I:$J,2,1)),1+(1-$AU146))</f>
        <v>1</v>
      </c>
      <c r="DG146" s="15">
        <f>MIN(IF($AU146=100%,1,1+VLOOKUP(($AJ146-$AI146-$AH146-$AG146-$AF146-$AE146*(1+DG$3))/$AJ146,'Технический лист'!$I:$J,2,1)-VLOOKUP($AO146,'Технический лист'!$I:$J,2,1)),1+(1-$AU146))</f>
        <v>1</v>
      </c>
      <c r="DH146" s="15">
        <f>MIN(IF($AU146=100%,1,1+VLOOKUP(($AJ146-$AI146-$AH146-$AG146-$AF146-$AE146*(1+DH$3))/$AJ146,'Технический лист'!$I:$J,2,1)-VLOOKUP($AO146,'Технический лист'!$I:$J,2,1)),1+(1-$AU146))</f>
        <v>1</v>
      </c>
      <c r="DI146" s="15">
        <f>MIN(IF($AU146=100%,1,1+VLOOKUP(($AJ146-$AI146-$AH146-$AG146-$AF146-$AE146*(1+DI$3))/$AJ146,'Технический лист'!$I:$J,2,1)-VLOOKUP($AO146,'Технический лист'!$I:$J,2,1)),1+(1-$AU146))</f>
        <v>1</v>
      </c>
      <c r="DJ146" s="15">
        <f>MIN(IF($AU146=100%,1,1+VLOOKUP(($AJ146-$AI146-$AH146-$AG146-$AF146-$AE146*(1+DJ$3))/$AJ146,'Технический лист'!$I:$J,2,1)-VLOOKUP($AO146,'Технический лист'!$I:$J,2,1)),1+(1-$AU146))</f>
        <v>1</v>
      </c>
      <c r="DK146" s="15">
        <f>MIN(IF($AU146=100%,1,1+VLOOKUP(($AJ146-$AI146-$AH146-$AG146-$AF146-$AE146*(1+DK$3))/$AJ146,'Технический лист'!$I:$J,2,1)-VLOOKUP($AO146,'Технический лист'!$I:$J,2,1)),1+(1-$AU146))</f>
        <v>1</v>
      </c>
      <c r="DL146" s="15">
        <f>MIN(IF($AU146=100%,1,1+VLOOKUP(($AJ146-$AI146-$AH146-$AG146-$AF146-$AE146*(1+DL$3))/$AJ146,'Технический лист'!$I:$J,2,1)-VLOOKUP($AO146,'Технический лист'!$I:$J,2,1)),1+(1-$AU146))</f>
        <v>1</v>
      </c>
      <c r="DM146" s="15">
        <f>MIN(IF($AU146=100%,1,1+VLOOKUP(($AJ146-$AI146-$AH146-$AG146-$AF146-$AE146*(1+DM$3))/$AJ146,'Технический лист'!$I:$J,2,1)-VLOOKUP($AO146,'Технический лист'!$I:$J,2,1)),1+(1-$AU146))</f>
        <v>1</v>
      </c>
      <c r="DN146" s="15">
        <f>MIN(IF($AU146=100%,1,1+VLOOKUP(($AJ146-$AI146-$AH146-$AG146-$AF146-$AE146*(1+DN$3))/$AJ146,'Технический лист'!$I:$J,2,1)-VLOOKUP($AO146,'Технический лист'!$I:$J,2,1)),1+(1-$AU146))</f>
        <v>1</v>
      </c>
      <c r="DO146" s="15">
        <f>MIN(IF($AU146=100%,1,1+VLOOKUP(($AJ146-$AI146-$AH146-$AG146-$AF146-$AE146*(1+DO$3))/$AJ146,'Технический лист'!$I:$J,2,1)-VLOOKUP($AO146,'Технический лист'!$I:$J,2,1)),1+(1-$AU146))</f>
        <v>1</v>
      </c>
      <c r="DP146" s="15">
        <f>MIN(IF($AU146=100%,1,1+VLOOKUP(($AJ146-$AI146-$AH146-$AG146-$AF146-$AE146*(1+DP$3))/$AJ146,'Технический лист'!$I:$J,2,1)-VLOOKUP($AO146,'Технический лист'!$I:$J,2,1)),1+(1-$AU146))</f>
        <v>1</v>
      </c>
      <c r="DQ146" s="15">
        <f>MIN(IF($AU146=100%,1,1+VLOOKUP(($AJ146-$AI146-$AH146-$AG146-$AF146-$AE146*(1+DQ$3))/$AJ146,'Технический лист'!$I:$J,2,1)-VLOOKUP($AO146,'Технический лист'!$I:$J,2,1)),1+(1-$AU146))</f>
        <v>1</v>
      </c>
      <c r="DR146" s="15">
        <f>MIN(IF($AU146=100%,1,1+VLOOKUP(($AJ146-$AI146-$AH146-$AG146-$AF146-$AE146*(1+DR$3))/$AJ146,'Технический лист'!$I:$J,2,1)-VLOOKUP($AO146,'Технический лист'!$I:$J,2,1)),1+(1-$AU146))</f>
        <v>1</v>
      </c>
      <c r="DS146" s="15">
        <f>MIN(IF($AU146=100%,1,1+VLOOKUP(($AJ146-$AI146-$AH146-$AG146-$AF146-$AE146*(1+DS$3))/$AJ146,'Технический лист'!$I:$J,2,1)-VLOOKUP($AO146,'Технический лист'!$I:$J,2,1)),1+(1-$AU146))</f>
        <v>1</v>
      </c>
      <c r="DT146" s="15">
        <f>MIN(IF($AU146=100%,1,1+VLOOKUP(($AJ146-$AI146-$AH146-$AG146-$AF146-$AE146*(1+DT$3))/$AJ146,'Технический лист'!$I:$J,2,1)-VLOOKUP($AO146,'Технический лист'!$I:$J,2,1)),1+(1-$AU146))</f>
        <v>1</v>
      </c>
      <c r="DU146" s="15">
        <f>MIN(IF($AU146=100%,1,1+VLOOKUP(($AJ146-$AI146-$AH146-$AG146-$AF146-$AE146*(1+DU$3))/$AJ146,'Технический лист'!$I:$J,2,1)-VLOOKUP($AO146,'Технический лист'!$I:$J,2,1)),1+(1-$AU146))</f>
        <v>1</v>
      </c>
      <c r="DV146" s="15">
        <f>MIN(IF($AU146=100%,1,1+VLOOKUP(($AJ146-$AI146-$AH146-$AG146-$AF146-$AE146*(1+DV$3))/$AJ146,'Технический лист'!$I:$J,2,1)-VLOOKUP($AO146,'Технический лист'!$I:$J,2,1)),1+(1-$AU146))</f>
        <v>1</v>
      </c>
      <c r="DW146" s="15">
        <f>MIN(IF($AU146=100%,1,1+VLOOKUP(($AJ146-$AI146-$AH146-$AG146-$AF146-$AE146*(1+DW$3))/$AJ146,'Технический лист'!$I:$J,2,1)-VLOOKUP($AO146,'Технический лист'!$I:$J,2,1)),1+(1-$AU146))</f>
        <v>1</v>
      </c>
      <c r="DX146" s="15">
        <f>MIN(IF($AU146=100%,1,1+VLOOKUP(($AJ146-$AI146-$AH146-$AG146-$AF146-$AE146*(1+DX$3))/$AJ146,'Технический лист'!$I:$J,2,1)-VLOOKUP($AO146,'Технический лист'!$I:$J,2,1)),1+(1-$AU146))</f>
        <v>1</v>
      </c>
      <c r="DY146" s="15">
        <f>MIN(IF($AU146=100%,1,1+VLOOKUP(($AJ146-$AI146-$AH146-$AG146-$AF146-$AE146*(1+DY$3))/$AJ146,'Технический лист'!$I:$J,2,1)-VLOOKUP($AO146,'Технический лист'!$I:$J,2,1)),1+(1-$AU146))</f>
        <v>1</v>
      </c>
      <c r="DZ146" s="15">
        <f>MIN(IF($AU146=100%,1,1+VLOOKUP(($AJ146-$AI146-$AH146-$AG146-$AF146-$AE146*(1+DZ$3))/$AJ146,'Технический лист'!$I:$J,2,1)-VLOOKUP($AO146,'Технический лист'!$I:$J,2,1)),1+(1-$AU146))</f>
        <v>1</v>
      </c>
      <c r="EA146" s="15">
        <f>MIN(IF($AU146=100%,1,1+VLOOKUP(($AJ146-$AI146-$AH146-$AG146-$AF146-$AE146*(1+EA$3))/$AJ146,'Технический лист'!$I:$J,2,1)-VLOOKUP($AO146,'Технический лист'!$I:$J,2,1)),1+(1-$AU146))</f>
        <v>1</v>
      </c>
      <c r="EB146" s="15">
        <f>MIN(IF($AU146=100%,1,1+VLOOKUP(($AJ146-$AI146-$AH146-$AG146-$AF146-$AE146*(1+EB$3))/$AJ146,'Технический лист'!$I:$J,2,1)-VLOOKUP($AO146,'Технический лист'!$I:$J,2,1)),1+(1-$AU146))</f>
        <v>1</v>
      </c>
      <c r="EC146" s="15">
        <f>MIN(IF($AU146=100%,1,1+VLOOKUP(($AJ146-$AI146-$AH146-$AG146-$AF146-$AE146*(1+EC$3))/$AJ146,'Технический лист'!$I:$J,2,1)-VLOOKUP($AO146,'Технический лист'!$I:$J,2,1)),1+(1-$AU146))</f>
        <v>1</v>
      </c>
      <c r="ED146" s="15">
        <f>MIN(IF($AU146=100%,1,1+VLOOKUP(($AJ146-$AI146-$AH146-$AG146-$AF146-$AE146*(1+ED$3))/$AJ146,'Технический лист'!$I:$J,2,1)-VLOOKUP($AO146,'Технический лист'!$I:$J,2,1)),1+(1-$AU146))</f>
        <v>1</v>
      </c>
      <c r="EE146" s="15">
        <f>MIN(IF($AU146=100%,1,1+VLOOKUP(($AJ146-$AI146-$AH146-$AG146-$AF146-$AE146*(1+EE$3))/$AJ146,'Технический лист'!$I:$J,2,1)-VLOOKUP($AO146,'Технический лист'!$I:$J,2,1)),1+(1-$AU146))</f>
        <v>1</v>
      </c>
      <c r="EF146" s="15">
        <f>MIN(IF($AU146=100%,1,1+VLOOKUP(($AJ146-$AI146-$AH146-$AG146-$AF146-$AE146*(1+EF$3))/$AJ146,'Технический лист'!$I:$J,2,1)-VLOOKUP($AO146,'Технический лист'!$I:$J,2,1)),1+(1-$AU146))</f>
        <v>1</v>
      </c>
      <c r="EG146" s="15">
        <f>MIN(IF($AU146=100%,1,1+VLOOKUP(($AJ146-$AI146-$AH146-$AG146-$AF146-$AE146*(1+EG$3))/$AJ146,'Технический лист'!$I:$J,2,1)-VLOOKUP($AO146,'Технический лист'!$I:$J,2,1)),1+(1-$AU146))</f>
        <v>1</v>
      </c>
      <c r="EH146" s="15">
        <f>MIN(IF($AU146=100%,1,1+VLOOKUP(($AJ146-$AI146-$AH146-$AG146-$AF146-$AE146*(1+EH$3))/$AJ146,'Технический лист'!$I:$J,2,1)-VLOOKUP($AO146,'Технический лист'!$I:$J,2,1)),1+(1-$AU146))</f>
        <v>1</v>
      </c>
      <c r="EI146" s="15">
        <f>MIN(IF($AU146=100%,1,1+VLOOKUP(($AJ146-$AI146-$AH146-$AG146-$AF146-$AE146*(1+EI$3))/$AJ146,'Технический лист'!$I:$J,2,1)-VLOOKUP($AO146,'Технический лист'!$I:$J,2,1)),1+(1-$AU146))</f>
        <v>1</v>
      </c>
      <c r="EJ146" s="15">
        <f>MIN(IF($AU146=100%,1,1+VLOOKUP(($AJ146-$AI146-$AH146-$AG146-$AF146-$AE146*(1+EJ$3))/$AJ146,'Технический лист'!$I:$J,2,1)-VLOOKUP($AO146,'Технический лист'!$I:$J,2,1)),1+(1-$AU146))</f>
        <v>1</v>
      </c>
      <c r="EK146" s="15">
        <f>MIN(IF($AU146=100%,1,1+VLOOKUP(($AJ146-$AI146-$AH146-$AG146-$AF146-$AE146*(1+EK$3))/$AJ146,'Технический лист'!$I:$J,2,1)-VLOOKUP($AO146,'Технический лист'!$I:$J,2,1)),1+(1-$AU146))</f>
        <v>1</v>
      </c>
      <c r="EL146" s="15">
        <f>MIN(IF($AU146=100%,1,1+VLOOKUP(($AJ146-$AI146-$AH146-$AG146-$AF146-$AE146*(1+EL$3))/$AJ146,'Технический лист'!$I:$J,2,1)-VLOOKUP($AO146,'Технический лист'!$I:$J,2,1)),1+(1-$AU146))</f>
        <v>1</v>
      </c>
      <c r="EM146" s="15">
        <f>MIN(IF($AU146=100%,1,1+VLOOKUP(($AJ146-$AI146-$AH146-$AG146-$AF146-$AE146*(1+EM$3))/$AJ146,'Технический лист'!$I:$J,2,1)-VLOOKUP($AO146,'Технический лист'!$I:$J,2,1)),1+(1-$AU146))</f>
        <v>1</v>
      </c>
      <c r="EN146" s="15">
        <f>MIN(IF($AU146=100%,1,1+VLOOKUP(($AJ146-$AI146-$AH146-$AG146-$AF146-$AE146*(1+EN$3))/$AJ146,'Технический лист'!$I:$J,2,1)-VLOOKUP($AO146,'Технический лист'!$I:$J,2,1)),1+(1-$AU146))</f>
        <v>1</v>
      </c>
      <c r="EO146" s="15">
        <f>MIN(IF($AU146=100%,1,1+VLOOKUP(($AJ146-$AI146-$AH146-$AG146-$AF146-$AE146*(1+EO$3))/$AJ146,'Технический лист'!$I:$J,2,1)-VLOOKUP($AO146,'Технический лист'!$I:$J,2,1)),1+(1-$AU146))</f>
        <v>1</v>
      </c>
      <c r="EP146" s="15">
        <f>MIN(IF($AU146=100%,1,1+VLOOKUP(($AJ146-$AI146-$AH146-$AG146-$AF146-$AE146*(1+EP$3))/$AJ146,'Технический лист'!$I:$J,2,1)-VLOOKUP($AO146,'Технический лист'!$I:$J,2,1)),1+(1-$AU146))</f>
        <v>1</v>
      </c>
      <c r="EQ146" s="15">
        <f>MIN(IF($AU146=100%,1,1+VLOOKUP(($AJ146-$AI146-$AH146-$AG146-$AF146-$AE146*(1+EQ$3))/$AJ146,'Технический лист'!$I:$J,2,1)-VLOOKUP($AO146,'Технический лист'!$I:$J,2,1)),1+(1-$AU146))</f>
        <v>1</v>
      </c>
      <c r="ER146" s="15">
        <f>MIN(IF($AU146=100%,1,1+VLOOKUP(($AJ146-$AI146-$AH146-$AG146-$AF146-$AE146*(1+ER$3))/$AJ146,'Технический лист'!$I:$J,2,1)-VLOOKUP($AO146,'Технический лист'!$I:$J,2,1)),1+(1-$AU146))</f>
        <v>1</v>
      </c>
      <c r="ES146" s="15">
        <f>MIN(IF($AU146=100%,1,1+VLOOKUP(($AJ146-$AI146-$AH146-$AG146-$AF146-$AE146*(1+ES$3))/$AJ146,'Технический лист'!$I:$J,2,1)-VLOOKUP($AO146,'Технический лист'!$I:$J,2,1)),1+(1-$AU146))</f>
        <v>1</v>
      </c>
      <c r="ET146" s="15">
        <f>MIN(IF($AU146=100%,1,1+VLOOKUP(($AJ146-$AI146-$AH146-$AG146-$AF146-$AE146*(1+ET$3))/$AJ146,'Технический лист'!$I:$J,2,1)-VLOOKUP($AO146,'Технический лист'!$I:$J,2,1)),1+(1-$AU146))</f>
        <v>1</v>
      </c>
      <c r="EU146" s="15">
        <f>MIN(IF($AU146=100%,1,1+VLOOKUP(($AJ146-$AI146-$AH146-$AG146-$AF146-$AE146*(1+EU$3))/$AJ146,'Технический лист'!$I:$J,2,1)-VLOOKUP($AO146,'Технический лист'!$I:$J,2,1)),1+(1-$AU146))</f>
        <v>1</v>
      </c>
      <c r="EV146" s="111">
        <v>1</v>
      </c>
      <c r="EW146" s="15">
        <f>MIN(1,MAX(VLOOKUP(($AJ146-$AI146-$AH146-$AG146-$AF146-$AE146*(1+EW$3))/$AJ146,'Технический лист'!$A:$B,2,1),(EV146-0.05)))</f>
        <v>1</v>
      </c>
      <c r="EX146" s="15">
        <f>MIN(1,MAX(VLOOKUP(($AJ146-$AI146-$AH146-$AG146-$AF146-$AE146*(1+EX$3))/$AJ146,'Технический лист'!$A:$B,2,1),(EW146-0.05)))</f>
        <v>1</v>
      </c>
      <c r="EY146" s="15">
        <f>MIN(1,MAX(VLOOKUP(($AJ146-$AI146-$AH146-$AG146-$AF146-$AE146*(1+EY$3))/$AJ146,'Технический лист'!$A:$B,2,1),(EX146-0.05)))</f>
        <v>1</v>
      </c>
      <c r="EZ146" s="15">
        <f>MIN(1,MAX(VLOOKUP(($AJ146-$AI146-$AH146-$AG146-$AF146-$AE146*(1+EZ$3))/$AJ146,'Технический лист'!$A:$B,2,1),(EY146-0.05)))</f>
        <v>1</v>
      </c>
      <c r="FA146" s="15">
        <f>MIN(1,MAX(VLOOKUP(($AJ146-$AI146-$AH146-$AG146-$AF146-$AE146*(1+FA$3))/$AJ146,'Технический лист'!$A:$B,2,1),(EZ146-0.05)))</f>
        <v>1</v>
      </c>
      <c r="FB146" s="15">
        <f>MIN(1,MAX(VLOOKUP(($AJ146-$AI146-$AH146-$AG146-$AF146-$AE146*(1+FB$3))/$AJ146,'Технический лист'!$A:$B,2,1),(FA146-0.05)))</f>
        <v>1</v>
      </c>
      <c r="FC146" s="15">
        <f>MIN(1,MAX(VLOOKUP(($AJ146-$AI146-$AH146-$AG146-$AF146-$AE146*(1+FC$3))/$AJ146,'Технический лист'!$A:$B,2,1),(FB146-0.05)))</f>
        <v>1</v>
      </c>
      <c r="FD146" s="15">
        <f>MIN(1,MAX(VLOOKUP(($AJ146-$AI146-$AH146-$AG146-$AF146-$AE146*(1+FD$3))/$AJ146,'Технический лист'!$A:$B,2,1),(FC146-0.05)))</f>
        <v>1</v>
      </c>
      <c r="FE146" s="15">
        <f>MIN(1,MAX(VLOOKUP(($AJ146-$AI146-$AH146-$AG146-$AF146-$AE146*(1+FE$3))/$AJ146,'Технический лист'!$A:$B,2,1),(FD146-0.05)))</f>
        <v>1</v>
      </c>
      <c r="FF146" s="15">
        <f>MIN(1,MAX(VLOOKUP(($AJ146-$AI146-$AH146-$AG146-$AF146-$AE146*(1+FF$3))/$AJ146,'Технический лист'!$A:$B,2,1),(FE146-0.05)))</f>
        <v>1</v>
      </c>
      <c r="FG146" s="15">
        <f>MIN(1,MAX(VLOOKUP(($AJ146-$AI146-$AH146-$AG146-$AF146-$AE146*(1+FG$3))/$AJ146,'Технический лист'!$A:$B,2,1),(FF146-0.05)))</f>
        <v>1</v>
      </c>
      <c r="FH146" s="15">
        <f>MIN(1,MAX(VLOOKUP(($AJ146-$AI146-$AH146-$AG146-$AF146-$AE146*(1+FH$3))/$AJ146,'Технический лист'!$A:$B,2,1),(FG146-0.05)))</f>
        <v>1</v>
      </c>
      <c r="FI146" s="15">
        <f>MIN(1,MAX(VLOOKUP(($AJ146-$AI146-$AH146-$AG146-$AF146-$AE146*(1+FI$3))/$AJ146,'Технический лист'!$A:$B,2,1),(FH146-0.05)))</f>
        <v>1</v>
      </c>
      <c r="FJ146" s="15">
        <f>MIN(1,MAX(VLOOKUP(($AJ146-$AI146-$AH146-$AG146-$AF146-$AE146*(1+FJ$3))/$AJ146,'Технический лист'!$A:$B,2,1),(FI146-0.05)))</f>
        <v>1</v>
      </c>
      <c r="FK146" s="15">
        <f>MIN(1,MAX(VLOOKUP(($AJ146-$AI146-$AH146-$AG146-$AF146-$AE146*(1+FK$3))/$AJ146,'Технический лист'!$A:$B,2,1),(FJ146-0.05)))</f>
        <v>1</v>
      </c>
      <c r="FL146" s="15">
        <f>MIN(1,MAX(VLOOKUP(($AJ146-$AI146-$AH146-$AG146-$AF146-$AE146*(1+FL$3))/$AJ146,'Технический лист'!$A:$B,2,1),(FK146-0.05)))</f>
        <v>1</v>
      </c>
      <c r="FM146" s="15">
        <f>MIN(1,MAX(VLOOKUP(($AJ146-$AI146-$AH146-$AG146-$AF146-$AE146*(1+FM$3))/$AJ146,'Технический лист'!$A:$B,2,1),(FL146-0.05)))</f>
        <v>1</v>
      </c>
      <c r="FN146" s="15">
        <f>MIN(1,MAX(VLOOKUP(($AJ146-$AI146-$AH146-$AG146-$AF146-$AE146*(1+FN$3))/$AJ146,'Технический лист'!$A:$B,2,1),(FM146-0.05)))</f>
        <v>1</v>
      </c>
      <c r="FO146" s="15">
        <f>MIN(1,MAX(VLOOKUP(($AJ146-$AI146-$AH146-$AG146-$AF146-$AE146*(1+FO$3))/$AJ146,'Технический лист'!$A:$B,2,1),(FN146-0.05)))</f>
        <v>1</v>
      </c>
      <c r="FP146" s="15">
        <f>MIN(1,MAX(VLOOKUP(($AJ146-$AI146-$AH146-$AG146-$AF146-$AE146*(1+FP$3))/$AJ146,'Технический лист'!$A:$B,2,1),(FO146-0.05)))</f>
        <v>1</v>
      </c>
      <c r="FQ146" s="15">
        <f>MIN(1,MAX(VLOOKUP(($AJ146-$AI146-$AH146-$AG146-$AF146-$AE146*(1+FQ$3))/$AJ146,'Технический лист'!$A:$B,2,1),(FP146-0.05)))</f>
        <v>1</v>
      </c>
      <c r="FR146" s="15">
        <f>MIN(1,MAX(VLOOKUP(($AJ146-$AI146-$AH146-$AG146-$AF146-$AE146*(1+FR$3))/$AJ146,'Технический лист'!$A:$B,2,1),(FQ146-0.05)))</f>
        <v>1</v>
      </c>
      <c r="FS146" s="15">
        <f>MIN(1,MAX(VLOOKUP(($AJ146-$AI146-$AH146-$AG146-$AF146-$AE146*(1+FS$3))/$AJ146,'Технический лист'!$A:$B,2,1),(FR146-0.05)))</f>
        <v>1</v>
      </c>
      <c r="FT146" s="15">
        <f>MIN(1,MAX(VLOOKUP(($AJ146-$AI146-$AH146-$AG146-$AF146-$AE146*(1+FT$3))/$AJ146,'Технический лист'!$A:$B,2,1),(FS146-0.05)))</f>
        <v>1</v>
      </c>
      <c r="FU146" s="15">
        <f>MIN(1,MAX(VLOOKUP(($AJ146-$AI146-$AH146-$AG146-$AF146-$AE146*(1+FU$3))/$AJ146,'Технический лист'!$A:$B,2,1),(FT146-0.05)))</f>
        <v>1</v>
      </c>
      <c r="FV146" s="15">
        <f>MIN(1,MAX(VLOOKUP(($AJ146-$AI146-$AH146-$AG146-$AF146-$AE146*(1+FV$3))/$AJ146,'Технический лист'!$A:$B,2,1),(FU146-0.05)))</f>
        <v>1</v>
      </c>
      <c r="FW146" s="15">
        <f>MIN(1,MAX(VLOOKUP(($AJ146-$AI146-$AH146-$AG146-$AF146-$AE146*(1+FW$3))/$AJ146,'Технический лист'!$A:$B,2,1),(FV146-0.05)))</f>
        <v>1</v>
      </c>
      <c r="FX146" s="15">
        <f>MIN(1,MAX(VLOOKUP(($AJ146-$AI146-$AH146-$AG146-$AF146-$AE146*(1+FX$3))/$AJ146,'Технический лист'!$A:$B,2,1),(FW146-0.05)))</f>
        <v>1</v>
      </c>
      <c r="FY146" s="15">
        <f>MIN(1,MAX(VLOOKUP(($AJ146-$AI146-$AH146-$AG146-$AF146-$AE146*(1+FY$3))/$AJ146,'Технический лист'!$A:$B,2,1),(FX146-0.05)))</f>
        <v>1</v>
      </c>
      <c r="FZ146" s="15">
        <f>MIN(1,MAX(VLOOKUP(($AJ146-$AI146-$AH146-$AG146-$AF146-$AE146*(1+FZ$3))/$AJ146,'Технический лист'!$A:$B,2,1),(FY146-0.05)))</f>
        <v>1</v>
      </c>
      <c r="GA146" s="15">
        <f>MIN(1,MAX(VLOOKUP(($AJ146-$AI146-$AH146-$AG146-$AF146-$AE146*(1+GA$3))/$AJ146,'Технический лист'!$A:$B,2,1),(FZ146-0.05)))</f>
        <v>1</v>
      </c>
      <c r="GB146" s="15">
        <f>MIN(1,MAX(VLOOKUP(($AJ146-$AI146-$AH146-$AG146-$AF146-$AE146*(1+GB$3))/$AJ146,'Технический лист'!$A:$B,2,1),(GA146-0.05)))</f>
        <v>1</v>
      </c>
      <c r="GC146" s="15">
        <f>MIN(1,MAX(VLOOKUP(($AJ146-$AI146-$AH146-$AG146-$AF146-$AE146*(1+GC$3))/$AJ146,'Технический лист'!$A:$B,2,1),(GB146-0.05)))</f>
        <v>1</v>
      </c>
      <c r="GD146" s="15">
        <f>MIN(1,MAX(VLOOKUP(($AJ146-$AI146-$AH146-$AG146-$AF146-$AE146*(1+GD$3))/$AJ146,'Технический лист'!$A:$B,2,1),(GC146-0.05)))</f>
        <v>1</v>
      </c>
      <c r="GE146" s="15">
        <f>MIN(1,MAX(VLOOKUP(($AJ146-$AI146-$AH146-$AG146-$AF146-$AE146*(1+GE$3))/$AJ146,'Технический лист'!$A:$B,2,1),(GD146-0.05)))</f>
        <v>1</v>
      </c>
      <c r="GF146" s="15">
        <f>MIN(1,MAX(VLOOKUP(($AJ146-$AI146-$AH146-$AG146-$AF146-$AE146*(1+GF$3))/$AJ146,'Технический лист'!$A:$B,2,1),(GE146-0.05)))</f>
        <v>1</v>
      </c>
      <c r="GG146" s="15">
        <f>MIN(1,MAX(VLOOKUP(($AJ146-$AI146-$AH146-$AG146-$AF146-$AE146*(1+GG$3))/$AJ146,'Технический лист'!$A:$B,2,1),(GF146-0.05)))</f>
        <v>1</v>
      </c>
      <c r="GH146" s="15">
        <f>MIN(1,MAX(VLOOKUP(($AJ146-$AI146-$AH146-$AG146-$AF146-$AE146*(1+GH$3))/$AJ146,'Технический лист'!$A:$B,2,1),(GG146-0.05)))</f>
        <v>1</v>
      </c>
      <c r="GI146" s="15">
        <f>MIN(1,MAX(VLOOKUP(($AJ146-$AI146-$AH146-$AG146-$AF146-$AE146*(1+GI$3))/$AJ146,'Технический лист'!$A:$B,2,1),(GH146-0.05)))</f>
        <v>1</v>
      </c>
      <c r="GJ146" s="15">
        <f>MIN(1,MAX(VLOOKUP(($AJ146-$AI146-$AH146-$AG146-$AF146-$AE146*(1+GJ$3))/$AJ146,'Технический лист'!$A:$B,2,1),(GI146-0.05)))</f>
        <v>1</v>
      </c>
      <c r="GK146" s="15">
        <f>MIN(1,MAX(VLOOKUP(($AJ146-$AI146-$AH146-$AG146-$AF146-$AE146*(1+GK$3))/$AJ146,'Технический лист'!$A:$B,2,1),(GJ146-0.05)))</f>
        <v>1</v>
      </c>
      <c r="GL146" s="15">
        <f>MIN(1,MAX(VLOOKUP(($AJ146-$AI146-$AH146-$AG146-$AF146-$AE146*(1+GL$3))/$AJ146,'Технический лист'!$A:$B,2,1),(GK146-0.05)))</f>
        <v>1</v>
      </c>
      <c r="GM146" s="15">
        <f>MIN(1,MAX(VLOOKUP(($AJ146-$AI146-$AH146-$AG146-$AF146-$AE146*(1+GM$3))/$AJ146,'Технический лист'!$A:$B,2,1),(GL146-0.05)))</f>
        <v>1</v>
      </c>
      <c r="GN146" s="15">
        <f>MIN(1,MAX(VLOOKUP(($AJ146-$AI146-$AH146-$AG146-$AF146-$AE146*(1+GN$3))/$AJ146,'Технический лист'!$A:$B,2,1),(GM146-0.05)))</f>
        <v>1</v>
      </c>
      <c r="GO146" s="15">
        <f>MIN(1,MAX(VLOOKUP(($AJ146-$AI146-$AH146-$AG146-$AF146-$AE146*(1+GO$3))/$AJ146,'Технический лист'!$A:$B,2,1),(GN146-0.05)))</f>
        <v>1</v>
      </c>
      <c r="GP146" s="15">
        <f>MIN(1,MAX(VLOOKUP(($AJ146-$AI146-$AH146-$AG146-$AF146-$AE146*(1+GP$3))/$AJ146,'Технический лист'!$A:$B,2,1),(GO146-0.05)))</f>
        <v>1</v>
      </c>
      <c r="GQ146" s="15">
        <f>MIN(1,MAX(VLOOKUP(($AJ146-$AI146-$AH146-$AG146-$AF146-$AE146*(1+GQ$3))/$AJ146,'Технический лист'!$A:$B,2,1),(GP146-0.05)))</f>
        <v>1</v>
      </c>
      <c r="GR146" s="15">
        <f>MIN(1,MAX(VLOOKUP(($AJ146-$AI146-$AH146-$AG146-$AF146-$AE146*(1+GR$3))/$AJ146,'Технический лист'!$A:$B,2,1),(GQ146-0.05)))</f>
        <v>1</v>
      </c>
      <c r="GS146" s="15">
        <f>MIN(1,MAX(VLOOKUP(($AJ146-$AI146-$AH146-$AG146-$AF146-$AE146*(1+GS$3))/$AJ146,'Технический лист'!$A:$B,2,1),(GR146-0.05)))</f>
        <v>1</v>
      </c>
      <c r="GT146" s="15">
        <f>MIN(1,MAX(VLOOKUP(($AJ146-$AI146-$AH146-$AG146-$AF146-$AE146*(1+GT$3))/$AJ146,'Технический лист'!$A:$B,2,1),(GS146-0.05)))</f>
        <v>1</v>
      </c>
      <c r="GU146" s="15">
        <f>MIN(1,MAX(VLOOKUP(($AJ146-$AI146-$AH146-$AG146-$AF146-$AE146*(1+GU$3))/$AJ146,'Технический лист'!$A:$B,2,1),(GT146-0.05)))</f>
        <v>1</v>
      </c>
      <c r="GV146" s="15">
        <f>MIN(1,MAX(VLOOKUP(($AJ146-$AI146-$AH146-$AG146-$AF146-$AE146*(1+GV$3))/$AJ146,'Технический лист'!$A:$B,2,1),(GU146-0.05)))</f>
        <v>1</v>
      </c>
      <c r="GW146" s="15">
        <f>MIN(1,MAX(VLOOKUP(($AJ146-$AI146-$AH146-$AG146-$AF146-$AE146*(1+GW$3))/$AJ146,'Технический лист'!$A:$B,2,1),(GV146-0.05)))</f>
        <v>1</v>
      </c>
      <c r="GX146" s="15">
        <f>MIN(1,MAX(VLOOKUP(($AJ146-$AI146-$AH146-$AG146-$AF146-$AE146*(1+GX$3))/$AJ146,'Технический лист'!$A:$B,2,1),(GW146-0.05)))</f>
        <v>1</v>
      </c>
      <c r="GY146" s="15">
        <f>MIN(1,MAX(VLOOKUP(($AJ146-$AI146-$AH146-$AG146-$AF146-$AE146*(1+GY$3))/$AJ146,'Технический лист'!$A:$B,2,1),(GX146-0.05)))</f>
        <v>1</v>
      </c>
      <c r="GZ146" s="15">
        <f>MIN(1,MAX(VLOOKUP(($AJ146-$AI146-$AH146-$AG146-$AF146-$AE146*(1+GZ$3))/$AJ146,'Технический лист'!$A:$B,2,1),(GY146-0.05)))</f>
        <v>1</v>
      </c>
      <c r="HA146" s="15">
        <f>MIN(1,MAX(VLOOKUP(($AJ146-$AI146-$AH146-$AG146-$AF146-$AE146*(1+HA$3))/$AJ146,'Технический лист'!$A:$B,2,1),(GZ146-0.05)))</f>
        <v>1</v>
      </c>
      <c r="HB146" s="15">
        <f>MIN(1,MAX(VLOOKUP(($AJ146-$AI146-$AH146-$AG146-$AF146-$AE146*(1+HB$3))/$AJ146,'Технический лист'!$A:$B,2,1),(HA146-0.05)))</f>
        <v>1</v>
      </c>
      <c r="HC146" s="15">
        <f>MIN(1,MAX(VLOOKUP(($AJ146-$AI146-$AH146-$AG146-$AF146-$AE146*(1+HC$3))/$AJ146,'Технический лист'!$A:$B,2,1),(HB146-0.05)))</f>
        <v>1</v>
      </c>
      <c r="HD146" s="15">
        <f>MIN(1,MAX(VLOOKUP(($AJ146-$AI146-$AH146-$AG146-$AF146-$AE146*(1+HD$3))/$AJ146,'Технический лист'!$A:$B,2,1),(HC146-0.05)))</f>
        <v>1</v>
      </c>
      <c r="HE146" s="15">
        <f>MIN(1,MAX(VLOOKUP(($AJ146-$AI146-$AH146-$AG146-$AF146-$AE146*(1+HE$3))/$AJ146,'Технический лист'!$A:$B,2,1),(HD146-0.05)))</f>
        <v>1</v>
      </c>
      <c r="HF146" s="15">
        <f>MIN(1,MAX(VLOOKUP(($AJ146-$AI146-$AH146-$AG146-$AF146-$AE146*(1+HF$3))/$AJ146,'Технический лист'!$A:$B,2,1),(HE146-0.05)))</f>
        <v>1</v>
      </c>
      <c r="HG146" s="15">
        <f>MIN(1,MAX(VLOOKUP(($AJ146-$AI146-$AH146-$AG146-$AF146-$AE146*(1+HG$3))/$AJ146,'Технический лист'!$A:$B,2,1),(HF146-0.05)))</f>
        <v>1</v>
      </c>
      <c r="HH146" s="15">
        <f>MIN(1,MAX(VLOOKUP(($AJ146-$AI146-$AH146-$AG146-$AF146-$AE146*(1+HH$3))/$AJ146,'Технический лист'!$A:$B,2,1),(HG146-0.05)))</f>
        <v>1</v>
      </c>
      <c r="HI146" s="15">
        <f>MIN(1,MAX(VLOOKUP(($AJ146-$AI146-$AH146-$AG146-$AF146-$AE146*(1+HI$3))/$AJ146,'Технический лист'!$A:$B,2,1),(HH146-0.05)))</f>
        <v>1</v>
      </c>
      <c r="HJ146" s="15">
        <f>MIN(1,MAX(VLOOKUP(($AJ146-$AI146-$AH146-$AG146-$AF146-$AE146*(1+HJ$3))/$AJ146,'Технический лист'!$A:$B,2,1),(HI146-0.05)))</f>
        <v>1</v>
      </c>
      <c r="HK146" s="15">
        <f>MIN(1,MAX(VLOOKUP(($AJ146-$AI146-$AH146-$AG146-$AF146-$AE146*(1+HK$3))/$AJ146,'Технический лист'!$A:$B,2,1),(HJ146-0.05)))</f>
        <v>1</v>
      </c>
      <c r="HL146" s="15">
        <f>MIN(1,MAX(VLOOKUP(($AJ146-$AI146-$AH146-$AG146-$AF146-$AE146*(1+HL$3))/$AJ146,'Технический лист'!$A:$B,2,1),(HK146-0.05)))</f>
        <v>1</v>
      </c>
      <c r="HM146" s="15">
        <f>MIN(1,MAX(VLOOKUP(($AJ146-$AI146-$AH146-$AG146-$AF146-$AE146*(1+HM$3))/$AJ146,'Технический лист'!$A:$B,2,1),(HL146-0.05)))</f>
        <v>1</v>
      </c>
      <c r="HN146" s="15">
        <f>MIN(1,MAX(VLOOKUP(($AJ146-$AI146-$AH146-$AG146-$AF146-$AE146*(1+HN$3))/$AJ146,'Технический лист'!$A:$B,2,1),(HM146-0.05)))</f>
        <v>1</v>
      </c>
      <c r="HO146" s="15">
        <f>MIN(1,MAX(VLOOKUP(($AJ146-$AI146-$AH146-$AG146-$AF146-$AE146*(1+HO$3))/$AJ146,'Технический лист'!$A:$B,2,1),(HN146-0.05)))</f>
        <v>1</v>
      </c>
      <c r="HP146" s="15">
        <f>MIN(1,MAX(VLOOKUP(($AJ146-$AI146-$AH146-$AG146-$AF146-$AE146*(1+HP$3))/$AJ146,'Технический лист'!$A:$B,2,1),(HO146-0.05)))</f>
        <v>1</v>
      </c>
      <c r="HQ146" s="15">
        <f>MIN(1,MAX(VLOOKUP(($AJ146-$AI146-$AH146-$AG146-$AF146-$AE146*(1+HQ$3))/$AJ146,'Технический лист'!$A:$B,2,1),(HP146-0.05)))</f>
        <v>1</v>
      </c>
      <c r="HR146" s="15">
        <f>MIN(1,MAX(VLOOKUP(($AJ146-$AI146-$AH146-$AG146-$AF146-$AE146*(1+HR$3))/$AJ146,'Технический лист'!$A:$B,2,1),(HQ146-0.05)))</f>
        <v>1</v>
      </c>
      <c r="HS146" s="15">
        <f>MIN(1,MAX(VLOOKUP(($AJ146-$AI146-$AH146-$AG146-$AF146-$AE146*(1+HS$3))/$AJ146,'Технический лист'!$A:$B,2,1),(HR146-0.05)))</f>
        <v>1</v>
      </c>
      <c r="HT146" s="15">
        <f>MIN(1,MAX(VLOOKUP(($AJ146-$AI146-$AH146-$AG146-$AF146-$AE146*(1+HT$3))/$AJ146,'Технический лист'!$A:$B,2,1),(HS146-0.05)))</f>
        <v>1</v>
      </c>
      <c r="HU146" s="15">
        <f>MIN(1,MAX(VLOOKUP(($AJ146-$AI146-$AH146-$AG146-$AF146-$AE146*(1+HU$3))/$AJ146,'Технический лист'!$A:$B,2,1),(HT146-0.05)))</f>
        <v>1</v>
      </c>
      <c r="HV146" s="15">
        <f>MIN(1,MAX(VLOOKUP(($AJ146-$AI146-$AH146-$AG146-$AF146-$AE146*(1+HV$3))/$AJ146,'Технический лист'!$A:$B,2,1),(HU146-0.05)))</f>
        <v>1</v>
      </c>
      <c r="HW146" s="15">
        <f>MIN(1,MAX(VLOOKUP(($AJ146-$AI146-$AH146-$AG146-$AF146-$AE146*(1+HW$3))/$AJ146,'Технический лист'!$A:$B,2,1),(HV146-0.05)))</f>
        <v>1</v>
      </c>
      <c r="HX146" s="15">
        <f>MIN(1,MAX(VLOOKUP(($AJ146-$AI146-$AH146-$AG146-$AF146-$AE146*(1+HX$3))/$AJ146,'Технический лист'!$A:$B,2,1),(HW146-0.05)))</f>
        <v>1</v>
      </c>
      <c r="HY146" s="15">
        <f>MIN(1,MAX(VLOOKUP(($AJ146-$AI146-$AH146-$AG146-$AF146-$AE146*(1+HY$3))/$AJ146,'Технический лист'!$A:$B,2,1),(HX146-0.05)))</f>
        <v>1</v>
      </c>
      <c r="HZ146" s="15">
        <f>MIN(1,MAX(VLOOKUP(($AJ146-$AI146-$AH146-$AG146-$AF146-$AE146*(1+HZ$3))/$AJ146,'Технический лист'!$A:$B,2,1),(HY146-0.05)))</f>
        <v>1</v>
      </c>
      <c r="IA146" s="15">
        <f>MIN(1,MAX(VLOOKUP(($AJ146-$AI146-$AH146-$AG146-$AF146-$AE146*(1+IA$3))/$AJ146,'Технический лист'!$A:$B,2,1),(HZ146-0.05)))</f>
        <v>1</v>
      </c>
      <c r="IB146" s="15">
        <f>MIN(1,MAX(VLOOKUP(($AJ146-$AI146-$AH146-$AG146-$AF146-$AE146*(1+IB$3))/$AJ146,'Технический лист'!$A:$B,2,1),(IA146-0.05)))</f>
        <v>1</v>
      </c>
      <c r="IC146" s="15">
        <f>MIN(1,MAX(VLOOKUP(($AJ146-$AI146-$AH146-$AG146-$AF146-$AE146*(1+IC$3))/$AJ146,'Технический лист'!$A:$B,2,1),(IB146-0.05)))</f>
        <v>1</v>
      </c>
      <c r="ID146" s="15">
        <f>MIN(1,MAX(VLOOKUP(($AJ146-$AI146-$AH146-$AG146-$AF146-$AE146*(1+ID$3))/$AJ146,'Технический лист'!$A:$B,2,1),(IC146-0.05)))</f>
        <v>1</v>
      </c>
      <c r="IE146" s="15">
        <f>MIN(1,MAX(VLOOKUP(($AJ146-$AI146-$AH146-$AG146-$AF146-$AE146*(1+IE$3))/$AJ146,'Технический лист'!$A:$B,2,1),(ID146-0.05)))</f>
        <v>1</v>
      </c>
      <c r="IF146" s="15">
        <f>MIN(1,MAX(VLOOKUP(($AJ146-$AI146-$AH146-$AG146-$AF146-$AE146*(1+IF$3))/$AJ146,'Технический лист'!$A:$B,2,1),(IE146-0.05)))</f>
        <v>1</v>
      </c>
      <c r="IG146" s="15">
        <f>MIN(1,MAX(VLOOKUP(($AJ146-$AI146-$AH146-$AG146-$AF146-$AE146*(1+IG$3))/$AJ146,'Технический лист'!$A:$B,2,1),(IF146-0.05)))</f>
        <v>1</v>
      </c>
      <c r="IH146" s="15">
        <f>MIN(1,MAX(VLOOKUP(($AJ146-$AI146-$AH146-$AG146-$AF146-$AE146*(1+IH$3))/$AJ146,'Технический лист'!$A:$B,2,1),(IG146-0.05)))</f>
        <v>1</v>
      </c>
      <c r="II146" s="15">
        <f>MIN(1,MAX(VLOOKUP(($AJ146-$AI146-$AH146-$AG146-$AF146-$AE146*(1+II$3))/$AJ146,'Технический лист'!$A:$B,2,1),(IH146-0.05)))</f>
        <v>1</v>
      </c>
      <c r="IJ146" s="15">
        <f>MIN(1,MAX(VLOOKUP(($AJ146-$AI146-$AH146-$AG146-$AF146-$AE146*(1+IJ$3))/$AJ146,'Технический лист'!$A:$B,2,1),(II146-0.05)))</f>
        <v>1</v>
      </c>
      <c r="IK146" s="15">
        <f>MIN(1,MAX(VLOOKUP(($AJ146-$AI146-$AH146-$AG146-$AF146-$AE146*(1+IK$3))/$AJ146,'Технический лист'!$A:$B,2,1),(IJ146-0.05)))</f>
        <v>1</v>
      </c>
      <c r="IL146" s="15">
        <f>MIN(1,MAX(VLOOKUP(($AJ146-$AI146-$AH146-$AG146-$AF146-$AE146*(1+IL$3))/$AJ146,'Технический лист'!$A:$B,2,1),(IK146-0.05)))</f>
        <v>1</v>
      </c>
      <c r="IM146" s="15">
        <f>MIN(1,MAX(VLOOKUP(($AJ146-$AI146-$AH146-$AG146-$AF146-$AE146*(1+IM$3))/$AJ146,'Технический лист'!$A:$B,2,1),(IL146-0.05)))</f>
        <v>1</v>
      </c>
      <c r="IN146" s="15">
        <f>MIN(1,MAX(VLOOKUP(($AJ146-$AI146-$AH146-$AG146-$AF146-$AE146*(1+IN$3))/$AJ146,'Технический лист'!$A:$B,2,1),(IM146-0.05)))</f>
        <v>1</v>
      </c>
      <c r="IO146" s="15">
        <f>MIN(1,MAX(VLOOKUP(($AJ146-$AI146-$AH146-$AG146-$AF146-$AE146*(1+IO$3))/$AJ146,'Технический лист'!$A:$B,2,1),(IN146-0.05)))</f>
        <v>1</v>
      </c>
      <c r="IP146" s="15">
        <f>MIN(1,MAX(VLOOKUP(($AJ146-$AI146-$AH146-$AG146-$AF146-$AE146*(1+IP$3))/$AJ146,'Технический лист'!$A:$B,2,1),(IO146-0.05)))</f>
        <v>1</v>
      </c>
      <c r="IQ146" s="15">
        <f>MIN(1,MAX(VLOOKUP(($AJ146-$AI146-$AH146-$AG146-$AF146-$AE146*(1+IQ$3))/$AJ146,'Технический лист'!$A:$B,2,1),(IP146-0.05)))</f>
        <v>1</v>
      </c>
      <c r="IR146" s="15">
        <f>MIN(1,MAX(VLOOKUP(($AJ146-$AI146-$AH146-$AG146-$AF146-$AE146*(1+IR$3))/$AJ146,'Технический лист'!$A:$B,2,1),(IQ146-0.05)))</f>
        <v>1</v>
      </c>
    </row>
    <row r="147" spans="1:252" ht="58.3">
      <c r="A147" s="89" t="s">
        <v>513</v>
      </c>
      <c r="B147" s="90">
        <v>10</v>
      </c>
      <c r="C147" s="5" t="s">
        <v>66</v>
      </c>
      <c r="D147" s="91">
        <v>33304</v>
      </c>
      <c r="E147" s="91" t="s">
        <v>331</v>
      </c>
      <c r="F147" s="92" t="s">
        <v>73</v>
      </c>
      <c r="G147" s="91" t="s">
        <v>25</v>
      </c>
      <c r="H147" s="91" t="s">
        <v>23</v>
      </c>
      <c r="I147" s="91" t="s">
        <v>132</v>
      </c>
      <c r="J147" s="91" t="s">
        <v>133</v>
      </c>
      <c r="K147" s="91">
        <v>4559</v>
      </c>
      <c r="L147" s="77" t="s">
        <v>189</v>
      </c>
      <c r="M147" s="91" t="s">
        <v>190</v>
      </c>
      <c r="N147" s="91" t="s">
        <v>48</v>
      </c>
      <c r="O147" s="91" t="s">
        <v>192</v>
      </c>
      <c r="P147" s="89" t="s">
        <v>224</v>
      </c>
      <c r="Q147" s="91" t="s">
        <v>263</v>
      </c>
      <c r="R147" s="91" t="s">
        <v>263</v>
      </c>
      <c r="S147" s="82">
        <v>815</v>
      </c>
      <c r="T147" s="82">
        <v>3716034</v>
      </c>
      <c r="U147" s="81">
        <v>0</v>
      </c>
      <c r="V147" s="81">
        <v>47</v>
      </c>
      <c r="W147" s="82">
        <v>2976522</v>
      </c>
      <c r="X147" s="112">
        <v>50</v>
      </c>
      <c r="Y147" s="112" t="s">
        <v>48</v>
      </c>
      <c r="Z147" s="113">
        <v>14</v>
      </c>
      <c r="AA147" s="113">
        <v>0</v>
      </c>
      <c r="AB147" s="113">
        <v>4</v>
      </c>
      <c r="AC147" s="99">
        <f>179666/X147</f>
        <v>3593.32</v>
      </c>
      <c r="AD147" s="99">
        <v>0</v>
      </c>
      <c r="AE147" s="99">
        <f t="shared" si="64"/>
        <v>3593.32</v>
      </c>
      <c r="AF147" s="98">
        <f>(AB147+AA147+Z147)*'Ставки аренды'!$B$6/X147</f>
        <v>576</v>
      </c>
      <c r="AG147" s="94">
        <v>0</v>
      </c>
      <c r="AH147" s="94">
        <v>0</v>
      </c>
      <c r="AI147" s="115">
        <f t="shared" ref="AI147:AI148" si="65">575152/1082467*AJ147</f>
        <v>159400.33275841203</v>
      </c>
      <c r="AJ147" s="117">
        <f>Цены!D31</f>
        <v>300000</v>
      </c>
      <c r="AK147" s="94">
        <f>AJ147/Цены!$B$1</f>
        <v>3931.5645661190874</v>
      </c>
      <c r="AL147" s="95">
        <f t="shared" si="54"/>
        <v>4169.32</v>
      </c>
      <c r="AM147" s="95">
        <f t="shared" si="55"/>
        <v>295830.68</v>
      </c>
      <c r="AN147" s="94">
        <f t="shared" si="52"/>
        <v>163569.65275841203</v>
      </c>
      <c r="AO147" s="118">
        <f t="shared" si="53"/>
        <v>0.45476782413862654</v>
      </c>
      <c r="AP147" s="96">
        <f t="shared" si="56"/>
        <v>1.3897733333333332E-2</v>
      </c>
      <c r="AQ147" s="96">
        <f t="shared" si="57"/>
        <v>1.1977733333333334E-2</v>
      </c>
      <c r="AR147" s="96">
        <f t="shared" si="58"/>
        <v>0.86184797520938672</v>
      </c>
      <c r="AS147" s="122">
        <v>1</v>
      </c>
      <c r="AT147" s="121">
        <f t="shared" si="45"/>
        <v>815</v>
      </c>
      <c r="AU147" s="83">
        <v>0.9</v>
      </c>
      <c r="AV147" s="119">
        <f t="shared" si="41"/>
        <v>0.45333049613862658</v>
      </c>
      <c r="AW147" s="120">
        <f t="shared" si="42"/>
        <v>1.5335061333333335E-2</v>
      </c>
      <c r="AX147" s="120">
        <f t="shared" si="43"/>
        <v>1.3415061333333334E-2</v>
      </c>
      <c r="AY147" s="120">
        <f t="shared" si="44"/>
        <v>0.87479671856110819</v>
      </c>
      <c r="AZ147" s="15">
        <f>MIN(IF($AU147=100%,1,1+VLOOKUP(($AJ147-$AI147-$AH147-$AG147-$AF147-$AE147*(1+AZ$3))/$AJ147,'Технический лист'!$I:$J,2,1)-VLOOKUP($AO147,'Технический лист'!$I:$J,2,1)),1+(1-$AU147))</f>
        <v>1</v>
      </c>
      <c r="BA147" s="15">
        <f>MIN(IF($AU147=100%,1,1+VLOOKUP(($AJ147-$AI147-$AH147-$AG147-$AF147-$AE147*(1+BA$3))/$AJ147,'Технический лист'!$I:$J,2,1)-VLOOKUP($AO147,'Технический лист'!$I:$J,2,1)),1+(1-$AU147))</f>
        <v>1</v>
      </c>
      <c r="BB147" s="15">
        <f>MIN(IF($AU147=100%,1,1+VLOOKUP(($AJ147-$AI147-$AH147-$AG147-$AF147-$AE147*(1+BB$3))/$AJ147,'Технический лист'!$I:$J,2,1)-VLOOKUP($AO147,'Технический лист'!$I:$J,2,1)),1+(1-$AU147))</f>
        <v>1</v>
      </c>
      <c r="BC147" s="15">
        <f>MIN(IF($AU147=100%,1,1+VLOOKUP(($AJ147-$AI147-$AH147-$AG147-$AF147-$AE147*(1+BC$3))/$AJ147,'Технический лист'!$I:$J,2,1)-VLOOKUP($AO147,'Технический лист'!$I:$J,2,1)),1+(1-$AU147))</f>
        <v>1</v>
      </c>
      <c r="BD147" s="15">
        <f>MIN(IF($AU147=100%,1,1+VLOOKUP(($AJ147-$AI147-$AH147-$AG147-$AF147-$AE147*(1+BD$3))/$AJ147,'Технический лист'!$I:$J,2,1)-VLOOKUP($AO147,'Технический лист'!$I:$J,2,1)),1+(1-$AU147))</f>
        <v>1</v>
      </c>
      <c r="BE147" s="15">
        <f>MIN(IF($AU147=100%,1,1+VLOOKUP(($AJ147-$AI147-$AH147-$AG147-$AF147-$AE147*(1+BE$3))/$AJ147,'Технический лист'!$I:$J,2,1)-VLOOKUP($AO147,'Технический лист'!$I:$J,2,1)),1+(1-$AU147))</f>
        <v>1</v>
      </c>
      <c r="BF147" s="15">
        <f>MIN(IF($AU147=100%,1,1+VLOOKUP(($AJ147-$AI147-$AH147-$AG147-$AF147-$AE147*(1+BF$3))/$AJ147,'Технический лист'!$I:$J,2,1)-VLOOKUP($AO147,'Технический лист'!$I:$J,2,1)),1+(1-$AU147))</f>
        <v>1</v>
      </c>
      <c r="BG147" s="15">
        <f>MIN(IF($AU147=100%,1,1+VLOOKUP(($AJ147-$AI147-$AH147-$AG147-$AF147-$AE147*(1+BG$3))/$AJ147,'Технический лист'!$I:$J,2,1)-VLOOKUP($AO147,'Технический лист'!$I:$J,2,1)),1+(1-$AU147))</f>
        <v>1</v>
      </c>
      <c r="BH147" s="15">
        <f>MIN(IF($AU147=100%,1,1+VLOOKUP(($AJ147-$AI147-$AH147-$AG147-$AF147-$AE147*(1+BH$3))/$AJ147,'Технический лист'!$I:$J,2,1)-VLOOKUP($AO147,'Технический лист'!$I:$J,2,1)),1+(1-$AU147))</f>
        <v>1</v>
      </c>
      <c r="BI147" s="15">
        <f>MIN(IF($AU147=100%,1,1+VLOOKUP(($AJ147-$AI147-$AH147-$AG147-$AF147-$AE147*(1+BI$3))/$AJ147,'Технический лист'!$I:$J,2,1)-VLOOKUP($AO147,'Технический лист'!$I:$J,2,1)),1+(1-$AU147))</f>
        <v>1</v>
      </c>
      <c r="BJ147" s="15">
        <f>MIN(IF($AU147=100%,1,1+VLOOKUP(($AJ147-$AI147-$AH147-$AG147-$AF147-$AE147*(1+BJ$3))/$AJ147,'Технический лист'!$I:$J,2,1)-VLOOKUP($AO147,'Технический лист'!$I:$J,2,1)),1+(1-$AU147))</f>
        <v>1</v>
      </c>
      <c r="BK147" s="15">
        <f>MIN(IF($AU147=100%,1,1+VLOOKUP(($AJ147-$AI147-$AH147-$AG147-$AF147-$AE147*(1+BK$3))/$AJ147,'Технический лист'!$I:$J,2,1)-VLOOKUP($AO147,'Технический лист'!$I:$J,2,1)),1+(1-$AU147))</f>
        <v>1</v>
      </c>
      <c r="BL147" s="15">
        <f>MIN(IF($AU147=100%,1,1+VLOOKUP(($AJ147-$AI147-$AH147-$AG147-$AF147-$AE147*(1+BL$3))/$AJ147,'Технический лист'!$I:$J,2,1)-VLOOKUP($AO147,'Технический лист'!$I:$J,2,1)),1+(1-$AU147))</f>
        <v>1</v>
      </c>
      <c r="BM147" s="15">
        <f>MIN(IF($AU147=100%,1,1+VLOOKUP(($AJ147-$AI147-$AH147-$AG147-$AF147-$AE147*(1+BM$3))/$AJ147,'Технический лист'!$I:$J,2,1)-VLOOKUP($AO147,'Технический лист'!$I:$J,2,1)),1+(1-$AU147))</f>
        <v>1</v>
      </c>
      <c r="BN147" s="15">
        <f>MIN(IF($AU147=100%,1,1+VLOOKUP(($AJ147-$AI147-$AH147-$AG147-$AF147-$AE147*(1+BN$3))/$AJ147,'Технический лист'!$I:$J,2,1)-VLOOKUP($AO147,'Технический лист'!$I:$J,2,1)),1+(1-$AU147))</f>
        <v>1</v>
      </c>
      <c r="BO147" s="15">
        <f>MIN(IF($AU147=100%,1,1+VLOOKUP(($AJ147-$AI147-$AH147-$AG147-$AF147-$AE147*(1+BO$3))/$AJ147,'Технический лист'!$I:$J,2,1)-VLOOKUP($AO147,'Технический лист'!$I:$J,2,1)),1+(1-$AU147))</f>
        <v>1</v>
      </c>
      <c r="BP147" s="15">
        <f>MIN(IF($AU147=100%,1,1+VLOOKUP(($AJ147-$AI147-$AH147-$AG147-$AF147-$AE147*(1+BP$3))/$AJ147,'Технический лист'!$I:$J,2,1)-VLOOKUP($AO147,'Технический лист'!$I:$J,2,1)),1+(1-$AU147))</f>
        <v>1</v>
      </c>
      <c r="BQ147" s="15">
        <f>MIN(IF($AU147=100%,1,1+VLOOKUP(($AJ147-$AI147-$AH147-$AG147-$AF147-$AE147*(1+BQ$3))/$AJ147,'Технический лист'!$I:$J,2,1)-VLOOKUP($AO147,'Технический лист'!$I:$J,2,1)),1+(1-$AU147))</f>
        <v>1</v>
      </c>
      <c r="BR147" s="15">
        <f>MIN(IF($AU147=100%,1,1+VLOOKUP(($AJ147-$AI147-$AH147-$AG147-$AF147-$AE147*(1+BR$3))/$AJ147,'Технический лист'!$I:$J,2,1)-VLOOKUP($AO147,'Технический лист'!$I:$J,2,1)),1+(1-$AU147))</f>
        <v>1</v>
      </c>
      <c r="BS147" s="15">
        <f>MIN(IF($AU147=100%,1,1+VLOOKUP(($AJ147-$AI147-$AH147-$AG147-$AF147-$AE147*(1+BS$3))/$AJ147,'Технический лист'!$I:$J,2,1)-VLOOKUP($AO147,'Технический лист'!$I:$J,2,1)),1+(1-$AU147))</f>
        <v>1</v>
      </c>
      <c r="BT147" s="15">
        <f>MIN(IF($AU147=100%,1,1+VLOOKUP(($AJ147-$AI147-$AH147-$AG147-$AF147-$AE147*(1+BT$3))/$AJ147,'Технический лист'!$I:$J,2,1)-VLOOKUP($AO147,'Технический лист'!$I:$J,2,1)),1+(1-$AU147))</f>
        <v>1</v>
      </c>
      <c r="BU147" s="15">
        <f>MIN(IF($AU147=100%,1,1+VLOOKUP(($AJ147-$AI147-$AH147-$AG147-$AF147-$AE147*(1+BU$3))/$AJ147,'Технический лист'!$I:$J,2,1)-VLOOKUP($AO147,'Технический лист'!$I:$J,2,1)),1+(1-$AU147))</f>
        <v>1</v>
      </c>
      <c r="BV147" s="15">
        <f>MIN(IF($AU147=100%,1,1+VLOOKUP(($AJ147-$AI147-$AH147-$AG147-$AF147-$AE147*(1+BV$3))/$AJ147,'Технический лист'!$I:$J,2,1)-VLOOKUP($AO147,'Технический лист'!$I:$J,2,1)),1+(1-$AU147))</f>
        <v>1</v>
      </c>
      <c r="BW147" s="15">
        <f>MIN(IF($AU147=100%,1,1+VLOOKUP(($AJ147-$AI147-$AH147-$AG147-$AF147-$AE147*(1+BW$3))/$AJ147,'Технический лист'!$I:$J,2,1)-VLOOKUP($AO147,'Технический лист'!$I:$J,2,1)),1+(1-$AU147))</f>
        <v>1</v>
      </c>
      <c r="BX147" s="15">
        <f>MIN(IF($AU147=100%,1,1+VLOOKUP(($AJ147-$AI147-$AH147-$AG147-$AF147-$AE147*(1+BX$3))/$AJ147,'Технический лист'!$I:$J,2,1)-VLOOKUP($AO147,'Технический лист'!$I:$J,2,1)),1+(1-$AU147))</f>
        <v>1</v>
      </c>
      <c r="BY147" s="15">
        <f>MIN(IF($AU147=100%,1,1+VLOOKUP(($AJ147-$AI147-$AH147-$AG147-$AF147-$AE147*(1+BY$3))/$AJ147,'Технический лист'!$I:$J,2,1)-VLOOKUP($AO147,'Технический лист'!$I:$J,2,1)),1+(1-$AU147))</f>
        <v>1</v>
      </c>
      <c r="BZ147" s="15">
        <f>MIN(IF($AU147=100%,1,1+VLOOKUP(($AJ147-$AI147-$AH147-$AG147-$AF147-$AE147*(1+BZ$3))/$AJ147,'Технический лист'!$I:$J,2,1)-VLOOKUP($AO147,'Технический лист'!$I:$J,2,1)),1+(1-$AU147))</f>
        <v>1</v>
      </c>
      <c r="CA147" s="15">
        <f>MIN(IF($AU147=100%,1,1+VLOOKUP(($AJ147-$AI147-$AH147-$AG147-$AF147-$AE147*(1+CA$3))/$AJ147,'Технический лист'!$I:$J,2,1)-VLOOKUP($AO147,'Технический лист'!$I:$J,2,1)),1+(1-$AU147))</f>
        <v>1</v>
      </c>
      <c r="CB147" s="15">
        <f>MIN(IF($AU147=100%,1,1+VLOOKUP(($AJ147-$AI147-$AH147-$AG147-$AF147-$AE147*(1+CB$3))/$AJ147,'Технический лист'!$I:$J,2,1)-VLOOKUP($AO147,'Технический лист'!$I:$J,2,1)),1+(1-$AU147))</f>
        <v>1</v>
      </c>
      <c r="CC147" s="15">
        <f>MIN(IF($AU147=100%,1,1+VLOOKUP(($AJ147-$AI147-$AH147-$AG147-$AF147-$AE147*(1+CC$3))/$AJ147,'Технический лист'!$I:$J,2,1)-VLOOKUP($AO147,'Технический лист'!$I:$J,2,1)),1+(1-$AU147))</f>
        <v>1</v>
      </c>
      <c r="CD147" s="15">
        <f>MIN(IF($AU147=100%,1,1+VLOOKUP(($AJ147-$AI147-$AH147-$AG147-$AF147-$AE147*(1+CD$3))/$AJ147,'Технический лист'!$I:$J,2,1)-VLOOKUP($AO147,'Технический лист'!$I:$J,2,1)),1+(1-$AU147))</f>
        <v>1</v>
      </c>
      <c r="CE147" s="15">
        <f>MIN(IF($AU147=100%,1,1+VLOOKUP(($AJ147-$AI147-$AH147-$AG147-$AF147-$AE147*(1+CE$3))/$AJ147,'Технический лист'!$I:$J,2,1)-VLOOKUP($AO147,'Технический лист'!$I:$J,2,1)),1+(1-$AU147))</f>
        <v>1</v>
      </c>
      <c r="CF147" s="15">
        <f>MIN(IF($AU147=100%,1,1+VLOOKUP(($AJ147-$AI147-$AH147-$AG147-$AF147-$AE147*(1+CF$3))/$AJ147,'Технический лист'!$I:$J,2,1)-VLOOKUP($AO147,'Технический лист'!$I:$J,2,1)),1+(1-$AU147))</f>
        <v>1</v>
      </c>
      <c r="CG147" s="15">
        <f>MIN(IF($AU147=100%,1,1+VLOOKUP(($AJ147-$AI147-$AH147-$AG147-$AF147-$AE147*(1+CG$3))/$AJ147,'Технический лист'!$I:$J,2,1)-VLOOKUP($AO147,'Технический лист'!$I:$J,2,1)),1+(1-$AU147))</f>
        <v>1</v>
      </c>
      <c r="CH147" s="15">
        <f>MIN(IF($AU147=100%,1,1+VLOOKUP(($AJ147-$AI147-$AH147-$AG147-$AF147-$AE147*(1+CH$3))/$AJ147,'Технический лист'!$I:$J,2,1)-VLOOKUP($AO147,'Технический лист'!$I:$J,2,1)),1+(1-$AU147))</f>
        <v>1</v>
      </c>
      <c r="CI147" s="15">
        <f>MIN(IF($AU147=100%,1,1+VLOOKUP(($AJ147-$AI147-$AH147-$AG147-$AF147-$AE147*(1+CI$3))/$AJ147,'Технический лист'!$I:$J,2,1)-VLOOKUP($AO147,'Технический лист'!$I:$J,2,1)),1+(1-$AU147))</f>
        <v>1</v>
      </c>
      <c r="CJ147" s="15">
        <f>MIN(IF($AU147=100%,1,1+VLOOKUP(($AJ147-$AI147-$AH147-$AG147-$AF147-$AE147*(1+CJ$3))/$AJ147,'Технический лист'!$I:$J,2,1)-VLOOKUP($AO147,'Технический лист'!$I:$J,2,1)),1+(1-$AU147))</f>
        <v>1</v>
      </c>
      <c r="CK147" s="15">
        <f>MIN(IF($AU147=100%,1,1+VLOOKUP(($AJ147-$AI147-$AH147-$AG147-$AF147-$AE147*(1+CK$3))/$AJ147,'Технический лист'!$I:$J,2,1)-VLOOKUP($AO147,'Технический лист'!$I:$J,2,1)),1+(1-$AU147))</f>
        <v>1</v>
      </c>
      <c r="CL147" s="15">
        <f>MIN(IF($AU147=100%,1,1+VLOOKUP(($AJ147-$AI147-$AH147-$AG147-$AF147-$AE147*(1+CL$3))/$AJ147,'Технический лист'!$I:$J,2,1)-VLOOKUP($AO147,'Технический лист'!$I:$J,2,1)),1+(1-$AU147))</f>
        <v>1</v>
      </c>
      <c r="CM147" s="15">
        <f>MIN(IF($AU147=100%,1,1+VLOOKUP(($AJ147-$AI147-$AH147-$AG147-$AF147-$AE147*(1+CM$3))/$AJ147,'Технический лист'!$I:$J,2,1)-VLOOKUP($AO147,'Технический лист'!$I:$J,2,1)),1+(1-$AU147))</f>
        <v>1</v>
      </c>
      <c r="CN147" s="15">
        <f>MIN(IF($AU147=100%,1,1+VLOOKUP(($AJ147-$AI147-$AH147-$AG147-$AF147-$AE147*(1+CN$3))/$AJ147,'Технический лист'!$I:$J,2,1)-VLOOKUP($AO147,'Технический лист'!$I:$J,2,1)),1+(1-$AU147))</f>
        <v>1</v>
      </c>
      <c r="CO147" s="15">
        <f>MIN(IF($AU147=100%,1,1+VLOOKUP(($AJ147-$AI147-$AH147-$AG147-$AF147-$AE147*(1+CO$3))/$AJ147,'Технический лист'!$I:$J,2,1)-VLOOKUP($AO147,'Технический лист'!$I:$J,2,1)),1+(1-$AU147))</f>
        <v>1</v>
      </c>
      <c r="CP147" s="15">
        <f>MIN(IF($AU147=100%,1,1+VLOOKUP(($AJ147-$AI147-$AH147-$AG147-$AF147-$AE147*(1+CP$3))/$AJ147,'Технический лист'!$I:$J,2,1)-VLOOKUP($AO147,'Технический лист'!$I:$J,2,1)),1+(1-$AU147))</f>
        <v>1</v>
      </c>
      <c r="CQ147" s="15">
        <f>MIN(IF($AU147=100%,1,1+VLOOKUP(($AJ147-$AI147-$AH147-$AG147-$AF147-$AE147*(1+CQ$3))/$AJ147,'Технический лист'!$I:$J,2,1)-VLOOKUP($AO147,'Технический лист'!$I:$J,2,1)),1+(1-$AU147))</f>
        <v>1</v>
      </c>
      <c r="CR147" s="15">
        <f>MIN(IF($AU147=100%,1,1+VLOOKUP(($AJ147-$AI147-$AH147-$AG147-$AF147-$AE147*(1+CR$3))/$AJ147,'Технический лист'!$I:$J,2,1)-VLOOKUP($AO147,'Технический лист'!$I:$J,2,1)),1+(1-$AU147))</f>
        <v>1</v>
      </c>
      <c r="CS147" s="15">
        <f>MIN(IF($AU147=100%,1,1+VLOOKUP(($AJ147-$AI147-$AH147-$AG147-$AF147-$AE147*(1+CS$3))/$AJ147,'Технический лист'!$I:$J,2,1)-VLOOKUP($AO147,'Технический лист'!$I:$J,2,1)),1+(1-$AU147))</f>
        <v>1</v>
      </c>
      <c r="CT147" s="15">
        <f>MIN(IF($AU147=100%,1,1+VLOOKUP(($AJ147-$AI147-$AH147-$AG147-$AF147-$AE147*(1+CT$3))/$AJ147,'Технический лист'!$I:$J,2,1)-VLOOKUP($AO147,'Технический лист'!$I:$J,2,1)),1+(1-$AU147))</f>
        <v>1</v>
      </c>
      <c r="CU147" s="15">
        <f>MIN(IF($AU147=100%,1,1+VLOOKUP(($AJ147-$AI147-$AH147-$AG147-$AF147-$AE147*(1+CU$3))/$AJ147,'Технический лист'!$I:$J,2,1)-VLOOKUP($AO147,'Технический лист'!$I:$J,2,1)),1+(1-$AU147))</f>
        <v>1</v>
      </c>
      <c r="CV147" s="15">
        <f>MIN(IF($AU147=100%,1,1+VLOOKUP(($AJ147-$AI147-$AH147-$AG147-$AF147-$AE147*(1+CV$3))/$AJ147,'Технический лист'!$I:$J,2,1)-VLOOKUP($AO147,'Технический лист'!$I:$J,2,1)),1+(1-$AU147))</f>
        <v>1</v>
      </c>
      <c r="CW147" s="15">
        <f>MIN(IF($AU147=100%,1,1+VLOOKUP(($AJ147-$AI147-$AH147-$AG147-$AF147-$AE147*(1+CW$3))/$AJ147,'Технический лист'!$I:$J,2,1)-VLOOKUP($AO147,'Технический лист'!$I:$J,2,1)),1+(1-$AU147))</f>
        <v>1</v>
      </c>
      <c r="CX147" s="15">
        <f>MIN(IF($AU147=100%,1,1+VLOOKUP(($AJ147-$AI147-$AH147-$AG147-$AF147-$AE147*(1+CX$3))/$AJ147,'Технический лист'!$I:$J,2,1)-VLOOKUP($AO147,'Технический лист'!$I:$J,2,1)),1+(1-$AU147))</f>
        <v>1</v>
      </c>
      <c r="CY147" s="15">
        <f>MIN(IF($AU147=100%,1,1+VLOOKUP(($AJ147-$AI147-$AH147-$AG147-$AF147-$AE147*(1+CY$3))/$AJ147,'Технический лист'!$I:$J,2,1)-VLOOKUP($AO147,'Технический лист'!$I:$J,2,1)),1+(1-$AU147))</f>
        <v>1</v>
      </c>
      <c r="CZ147" s="15">
        <f>MIN(IF($AU147=100%,1,1+VLOOKUP(($AJ147-$AI147-$AH147-$AG147-$AF147-$AE147*(1+CZ$3))/$AJ147,'Технический лист'!$I:$J,2,1)-VLOOKUP($AO147,'Технический лист'!$I:$J,2,1)),1+(1-$AU147))</f>
        <v>1</v>
      </c>
      <c r="DA147" s="15">
        <f>MIN(IF($AU147=100%,1,1+VLOOKUP(($AJ147-$AI147-$AH147-$AG147-$AF147-$AE147*(1+DA$3))/$AJ147,'Технический лист'!$I:$J,2,1)-VLOOKUP($AO147,'Технический лист'!$I:$J,2,1)),1+(1-$AU147))</f>
        <v>1</v>
      </c>
      <c r="DB147" s="15">
        <f>MIN(IF($AU147=100%,1,1+VLOOKUP(($AJ147-$AI147-$AH147-$AG147-$AF147-$AE147*(1+DB$3))/$AJ147,'Технический лист'!$I:$J,2,1)-VLOOKUP($AO147,'Технический лист'!$I:$J,2,1)),1+(1-$AU147))</f>
        <v>1</v>
      </c>
      <c r="DC147" s="15">
        <f>MIN(IF($AU147=100%,1,1+VLOOKUP(($AJ147-$AI147-$AH147-$AG147-$AF147-$AE147*(1+DC$3))/$AJ147,'Технический лист'!$I:$J,2,1)-VLOOKUP($AO147,'Технический лист'!$I:$J,2,1)),1+(1-$AU147))</f>
        <v>1</v>
      </c>
      <c r="DD147" s="15">
        <f>MIN(IF($AU147=100%,1,1+VLOOKUP(($AJ147-$AI147-$AH147-$AG147-$AF147-$AE147*(1+DD$3))/$AJ147,'Технический лист'!$I:$J,2,1)-VLOOKUP($AO147,'Технический лист'!$I:$J,2,1)),1+(1-$AU147))</f>
        <v>1</v>
      </c>
      <c r="DE147" s="15">
        <f>MIN(IF($AU147=100%,1,1+VLOOKUP(($AJ147-$AI147-$AH147-$AG147-$AF147-$AE147*(1+DE$3))/$AJ147,'Технический лист'!$I:$J,2,1)-VLOOKUP($AO147,'Технический лист'!$I:$J,2,1)),1+(1-$AU147))</f>
        <v>1</v>
      </c>
      <c r="DF147" s="15">
        <f>MIN(IF($AU147=100%,1,1+VLOOKUP(($AJ147-$AI147-$AH147-$AG147-$AF147-$AE147*(1+DF$3))/$AJ147,'Технический лист'!$I:$J,2,1)-VLOOKUP($AO147,'Технический лист'!$I:$J,2,1)),1+(1-$AU147))</f>
        <v>1</v>
      </c>
      <c r="DG147" s="15">
        <f>MIN(IF($AU147=100%,1,1+VLOOKUP(($AJ147-$AI147-$AH147-$AG147-$AF147-$AE147*(1+DG$3))/$AJ147,'Технический лист'!$I:$J,2,1)-VLOOKUP($AO147,'Технический лист'!$I:$J,2,1)),1+(1-$AU147))</f>
        <v>1</v>
      </c>
      <c r="DH147" s="15">
        <f>MIN(IF($AU147=100%,1,1+VLOOKUP(($AJ147-$AI147-$AH147-$AG147-$AF147-$AE147*(1+DH$3))/$AJ147,'Технический лист'!$I:$J,2,1)-VLOOKUP($AO147,'Технический лист'!$I:$J,2,1)),1+(1-$AU147))</f>
        <v>1</v>
      </c>
      <c r="DI147" s="15">
        <f>MIN(IF($AU147=100%,1,1+VLOOKUP(($AJ147-$AI147-$AH147-$AG147-$AF147-$AE147*(1+DI$3))/$AJ147,'Технический лист'!$I:$J,2,1)-VLOOKUP($AO147,'Технический лист'!$I:$J,2,1)),1+(1-$AU147))</f>
        <v>1</v>
      </c>
      <c r="DJ147" s="15">
        <f>MIN(IF($AU147=100%,1,1+VLOOKUP(($AJ147-$AI147-$AH147-$AG147-$AF147-$AE147*(1+DJ$3))/$AJ147,'Технический лист'!$I:$J,2,1)-VLOOKUP($AO147,'Технический лист'!$I:$J,2,1)),1+(1-$AU147))</f>
        <v>1</v>
      </c>
      <c r="DK147" s="15">
        <f>MIN(IF($AU147=100%,1,1+VLOOKUP(($AJ147-$AI147-$AH147-$AG147-$AF147-$AE147*(1+DK$3))/$AJ147,'Технический лист'!$I:$J,2,1)-VLOOKUP($AO147,'Технический лист'!$I:$J,2,1)),1+(1-$AU147))</f>
        <v>1</v>
      </c>
      <c r="DL147" s="15">
        <f>MIN(IF($AU147=100%,1,1+VLOOKUP(($AJ147-$AI147-$AH147-$AG147-$AF147-$AE147*(1+DL$3))/$AJ147,'Технический лист'!$I:$J,2,1)-VLOOKUP($AO147,'Технический лист'!$I:$J,2,1)),1+(1-$AU147))</f>
        <v>1</v>
      </c>
      <c r="DM147" s="15">
        <f>MIN(IF($AU147=100%,1,1+VLOOKUP(($AJ147-$AI147-$AH147-$AG147-$AF147-$AE147*(1+DM$3))/$AJ147,'Технический лист'!$I:$J,2,1)-VLOOKUP($AO147,'Технический лист'!$I:$J,2,1)),1+(1-$AU147))</f>
        <v>1</v>
      </c>
      <c r="DN147" s="15">
        <f>MIN(IF($AU147=100%,1,1+VLOOKUP(($AJ147-$AI147-$AH147-$AG147-$AF147-$AE147*(1+DN$3))/$AJ147,'Технический лист'!$I:$J,2,1)-VLOOKUP($AO147,'Технический лист'!$I:$J,2,1)),1+(1-$AU147))</f>
        <v>1</v>
      </c>
      <c r="DO147" s="15">
        <f>MIN(IF($AU147=100%,1,1+VLOOKUP(($AJ147-$AI147-$AH147-$AG147-$AF147-$AE147*(1+DO$3))/$AJ147,'Технический лист'!$I:$J,2,1)-VLOOKUP($AO147,'Технический лист'!$I:$J,2,1)),1+(1-$AU147))</f>
        <v>1</v>
      </c>
      <c r="DP147" s="15">
        <f>MIN(IF($AU147=100%,1,1+VLOOKUP(($AJ147-$AI147-$AH147-$AG147-$AF147-$AE147*(1+DP$3))/$AJ147,'Технический лист'!$I:$J,2,1)-VLOOKUP($AO147,'Технический лист'!$I:$J,2,1)),1+(1-$AU147))</f>
        <v>1</v>
      </c>
      <c r="DQ147" s="15">
        <f>MIN(IF($AU147=100%,1,1+VLOOKUP(($AJ147-$AI147-$AH147-$AG147-$AF147-$AE147*(1+DQ$3))/$AJ147,'Технический лист'!$I:$J,2,1)-VLOOKUP($AO147,'Технический лист'!$I:$J,2,1)),1+(1-$AU147))</f>
        <v>1</v>
      </c>
      <c r="DR147" s="15">
        <f>MIN(IF($AU147=100%,1,1+VLOOKUP(($AJ147-$AI147-$AH147-$AG147-$AF147-$AE147*(1+DR$3))/$AJ147,'Технический лист'!$I:$J,2,1)-VLOOKUP($AO147,'Технический лист'!$I:$J,2,1)),1+(1-$AU147))</f>
        <v>1</v>
      </c>
      <c r="DS147" s="15">
        <f>MIN(IF($AU147=100%,1,1+VLOOKUP(($AJ147-$AI147-$AH147-$AG147-$AF147-$AE147*(1+DS$3))/$AJ147,'Технический лист'!$I:$J,2,1)-VLOOKUP($AO147,'Технический лист'!$I:$J,2,1)),1+(1-$AU147))</f>
        <v>1</v>
      </c>
      <c r="DT147" s="15">
        <f>MIN(IF($AU147=100%,1,1+VLOOKUP(($AJ147-$AI147-$AH147-$AG147-$AF147-$AE147*(1+DT$3))/$AJ147,'Технический лист'!$I:$J,2,1)-VLOOKUP($AO147,'Технический лист'!$I:$J,2,1)),1+(1-$AU147))</f>
        <v>1</v>
      </c>
      <c r="DU147" s="15">
        <f>MIN(IF($AU147=100%,1,1+VLOOKUP(($AJ147-$AI147-$AH147-$AG147-$AF147-$AE147*(1+DU$3))/$AJ147,'Технический лист'!$I:$J,2,1)-VLOOKUP($AO147,'Технический лист'!$I:$J,2,1)),1+(1-$AU147))</f>
        <v>1</v>
      </c>
      <c r="DV147" s="15">
        <f>MIN(IF($AU147=100%,1,1+VLOOKUP(($AJ147-$AI147-$AH147-$AG147-$AF147-$AE147*(1+DV$3))/$AJ147,'Технический лист'!$I:$J,2,1)-VLOOKUP($AO147,'Технический лист'!$I:$J,2,1)),1+(1-$AU147))</f>
        <v>1</v>
      </c>
      <c r="DW147" s="15">
        <f>MIN(IF($AU147=100%,1,1+VLOOKUP(($AJ147-$AI147-$AH147-$AG147-$AF147-$AE147*(1+DW$3))/$AJ147,'Технический лист'!$I:$J,2,1)-VLOOKUP($AO147,'Технический лист'!$I:$J,2,1)),1+(1-$AU147))</f>
        <v>1</v>
      </c>
      <c r="DX147" s="15">
        <f>MIN(IF($AU147=100%,1,1+VLOOKUP(($AJ147-$AI147-$AH147-$AG147-$AF147-$AE147*(1+DX$3))/$AJ147,'Технический лист'!$I:$J,2,1)-VLOOKUP($AO147,'Технический лист'!$I:$J,2,1)),1+(1-$AU147))</f>
        <v>1</v>
      </c>
      <c r="DY147" s="15">
        <f>MIN(IF($AU147=100%,1,1+VLOOKUP(($AJ147-$AI147-$AH147-$AG147-$AF147-$AE147*(1+DY$3))/$AJ147,'Технический лист'!$I:$J,2,1)-VLOOKUP($AO147,'Технический лист'!$I:$J,2,1)),1+(1-$AU147))</f>
        <v>1</v>
      </c>
      <c r="DZ147" s="15">
        <f>MIN(IF($AU147=100%,1,1+VLOOKUP(($AJ147-$AI147-$AH147-$AG147-$AF147-$AE147*(1+DZ$3))/$AJ147,'Технический лист'!$I:$J,2,1)-VLOOKUP($AO147,'Технический лист'!$I:$J,2,1)),1+(1-$AU147))</f>
        <v>1</v>
      </c>
      <c r="EA147" s="15">
        <f>MIN(IF($AU147=100%,1,1+VLOOKUP(($AJ147-$AI147-$AH147-$AG147-$AF147-$AE147*(1+EA$3))/$AJ147,'Технический лист'!$I:$J,2,1)-VLOOKUP($AO147,'Технический лист'!$I:$J,2,1)),1+(1-$AU147))</f>
        <v>1</v>
      </c>
      <c r="EB147" s="15">
        <f>MIN(IF($AU147=100%,1,1+VLOOKUP(($AJ147-$AI147-$AH147-$AG147-$AF147-$AE147*(1+EB$3))/$AJ147,'Технический лист'!$I:$J,2,1)-VLOOKUP($AO147,'Технический лист'!$I:$J,2,1)),1+(1-$AU147))</f>
        <v>1</v>
      </c>
      <c r="EC147" s="15">
        <f>MIN(IF($AU147=100%,1,1+VLOOKUP(($AJ147-$AI147-$AH147-$AG147-$AF147-$AE147*(1+EC$3))/$AJ147,'Технический лист'!$I:$J,2,1)-VLOOKUP($AO147,'Технический лист'!$I:$J,2,1)),1+(1-$AU147))</f>
        <v>1</v>
      </c>
      <c r="ED147" s="15">
        <f>MIN(IF($AU147=100%,1,1+VLOOKUP(($AJ147-$AI147-$AH147-$AG147-$AF147-$AE147*(1+ED$3))/$AJ147,'Технический лист'!$I:$J,2,1)-VLOOKUP($AO147,'Технический лист'!$I:$J,2,1)),1+(1-$AU147))</f>
        <v>1</v>
      </c>
      <c r="EE147" s="15">
        <f>MIN(IF($AU147=100%,1,1+VLOOKUP(($AJ147-$AI147-$AH147-$AG147-$AF147-$AE147*(1+EE$3))/$AJ147,'Технический лист'!$I:$J,2,1)-VLOOKUP($AO147,'Технический лист'!$I:$J,2,1)),1+(1-$AU147))</f>
        <v>1</v>
      </c>
      <c r="EF147" s="15">
        <f>MIN(IF($AU147=100%,1,1+VLOOKUP(($AJ147-$AI147-$AH147-$AG147-$AF147-$AE147*(1+EF$3))/$AJ147,'Технический лист'!$I:$J,2,1)-VLOOKUP($AO147,'Технический лист'!$I:$J,2,1)),1+(1-$AU147))</f>
        <v>1</v>
      </c>
      <c r="EG147" s="15">
        <f>MIN(IF($AU147=100%,1,1+VLOOKUP(($AJ147-$AI147-$AH147-$AG147-$AF147-$AE147*(1+EG$3))/$AJ147,'Технический лист'!$I:$J,2,1)-VLOOKUP($AO147,'Технический лист'!$I:$J,2,1)),1+(1-$AU147))</f>
        <v>1</v>
      </c>
      <c r="EH147" s="15">
        <f>MIN(IF($AU147=100%,1,1+VLOOKUP(($AJ147-$AI147-$AH147-$AG147-$AF147-$AE147*(1+EH$3))/$AJ147,'Технический лист'!$I:$J,2,1)-VLOOKUP($AO147,'Технический лист'!$I:$J,2,1)),1+(1-$AU147))</f>
        <v>1</v>
      </c>
      <c r="EI147" s="15">
        <f>MIN(IF($AU147=100%,1,1+VLOOKUP(($AJ147-$AI147-$AH147-$AG147-$AF147-$AE147*(1+EI$3))/$AJ147,'Технический лист'!$I:$J,2,1)-VLOOKUP($AO147,'Технический лист'!$I:$J,2,1)),1+(1-$AU147))</f>
        <v>1</v>
      </c>
      <c r="EJ147" s="15">
        <f>MIN(IF($AU147=100%,1,1+VLOOKUP(($AJ147-$AI147-$AH147-$AG147-$AF147-$AE147*(1+EJ$3))/$AJ147,'Технический лист'!$I:$J,2,1)-VLOOKUP($AO147,'Технический лист'!$I:$J,2,1)),1+(1-$AU147))</f>
        <v>1</v>
      </c>
      <c r="EK147" s="15">
        <f>MIN(IF($AU147=100%,1,1+VLOOKUP(($AJ147-$AI147-$AH147-$AG147-$AF147-$AE147*(1+EK$3))/$AJ147,'Технический лист'!$I:$J,2,1)-VLOOKUP($AO147,'Технический лист'!$I:$J,2,1)),1+(1-$AU147))</f>
        <v>1</v>
      </c>
      <c r="EL147" s="15">
        <f>MIN(IF($AU147=100%,1,1+VLOOKUP(($AJ147-$AI147-$AH147-$AG147-$AF147-$AE147*(1+EL$3))/$AJ147,'Технический лист'!$I:$J,2,1)-VLOOKUP($AO147,'Технический лист'!$I:$J,2,1)),1+(1-$AU147))</f>
        <v>1</v>
      </c>
      <c r="EM147" s="15">
        <f>MIN(IF($AU147=100%,1,1+VLOOKUP(($AJ147-$AI147-$AH147-$AG147-$AF147-$AE147*(1+EM$3))/$AJ147,'Технический лист'!$I:$J,2,1)-VLOOKUP($AO147,'Технический лист'!$I:$J,2,1)),1+(1-$AU147))</f>
        <v>1</v>
      </c>
      <c r="EN147" s="15">
        <f>MIN(IF($AU147=100%,1,1+VLOOKUP(($AJ147-$AI147-$AH147-$AG147-$AF147-$AE147*(1+EN$3))/$AJ147,'Технический лист'!$I:$J,2,1)-VLOOKUP($AO147,'Технический лист'!$I:$J,2,1)),1+(1-$AU147))</f>
        <v>1</v>
      </c>
      <c r="EO147" s="15">
        <f>MIN(IF($AU147=100%,1,1+VLOOKUP(($AJ147-$AI147-$AH147-$AG147-$AF147-$AE147*(1+EO$3))/$AJ147,'Технический лист'!$I:$J,2,1)-VLOOKUP($AO147,'Технический лист'!$I:$J,2,1)),1+(1-$AU147))</f>
        <v>1</v>
      </c>
      <c r="EP147" s="15">
        <f>MIN(IF($AU147=100%,1,1+VLOOKUP(($AJ147-$AI147-$AH147-$AG147-$AF147-$AE147*(1+EP$3))/$AJ147,'Технический лист'!$I:$J,2,1)-VLOOKUP($AO147,'Технический лист'!$I:$J,2,1)),1+(1-$AU147))</f>
        <v>1</v>
      </c>
      <c r="EQ147" s="15">
        <f>MIN(IF($AU147=100%,1,1+VLOOKUP(($AJ147-$AI147-$AH147-$AG147-$AF147-$AE147*(1+EQ$3))/$AJ147,'Технический лист'!$I:$J,2,1)-VLOOKUP($AO147,'Технический лист'!$I:$J,2,1)),1+(1-$AU147))</f>
        <v>1</v>
      </c>
      <c r="ER147" s="15">
        <f>MIN(IF($AU147=100%,1,1+VLOOKUP(($AJ147-$AI147-$AH147-$AG147-$AF147-$AE147*(1+ER$3))/$AJ147,'Технический лист'!$I:$J,2,1)-VLOOKUP($AO147,'Технический лист'!$I:$J,2,1)),1+(1-$AU147))</f>
        <v>1</v>
      </c>
      <c r="ES147" s="15">
        <f>MIN(IF($AU147=100%,1,1+VLOOKUP(($AJ147-$AI147-$AH147-$AG147-$AF147-$AE147*(1+ES$3))/$AJ147,'Технический лист'!$I:$J,2,1)-VLOOKUP($AO147,'Технический лист'!$I:$J,2,1)),1+(1-$AU147))</f>
        <v>1</v>
      </c>
      <c r="ET147" s="15">
        <f>MIN(IF($AU147=100%,1,1+VLOOKUP(($AJ147-$AI147-$AH147-$AG147-$AF147-$AE147*(1+ET$3))/$AJ147,'Технический лист'!$I:$J,2,1)-VLOOKUP($AO147,'Технический лист'!$I:$J,2,1)),1+(1-$AU147))</f>
        <v>1</v>
      </c>
      <c r="EU147" s="15">
        <f>MIN(IF($AU147=100%,1,1+VLOOKUP(($AJ147-$AI147-$AH147-$AG147-$AF147-$AE147*(1+EU$3))/$AJ147,'Технический лист'!$I:$J,2,1)-VLOOKUP($AO147,'Технический лист'!$I:$J,2,1)),1+(1-$AU147))</f>
        <v>1</v>
      </c>
      <c r="EV147" s="111">
        <v>1</v>
      </c>
      <c r="EW147" s="15">
        <f>MIN(1,MAX(VLOOKUP(($AJ147-$AI147-$AH147-$AG147-$AF147-$AE147*(1+EW$3))/$AJ147,'Технический лист'!$A:$B,2,1),(EV147-0.05)))</f>
        <v>1</v>
      </c>
      <c r="EX147" s="15">
        <f>MIN(1,MAX(VLOOKUP(($AJ147-$AI147-$AH147-$AG147-$AF147-$AE147*(1+EX$3))/$AJ147,'Технический лист'!$A:$B,2,1),(EW147-0.05)))</f>
        <v>1</v>
      </c>
      <c r="EY147" s="15">
        <f>MIN(1,MAX(VLOOKUP(($AJ147-$AI147-$AH147-$AG147-$AF147-$AE147*(1+EY$3))/$AJ147,'Технический лист'!$A:$B,2,1),(EX147-0.05)))</f>
        <v>1</v>
      </c>
      <c r="EZ147" s="15">
        <f>MIN(1,MAX(VLOOKUP(($AJ147-$AI147-$AH147-$AG147-$AF147-$AE147*(1+EZ$3))/$AJ147,'Технический лист'!$A:$B,2,1),(EY147-0.05)))</f>
        <v>1</v>
      </c>
      <c r="FA147" s="15">
        <f>MIN(1,MAX(VLOOKUP(($AJ147-$AI147-$AH147-$AG147-$AF147-$AE147*(1+FA$3))/$AJ147,'Технический лист'!$A:$B,2,1),(EZ147-0.05)))</f>
        <v>1</v>
      </c>
      <c r="FB147" s="15">
        <f>MIN(1,MAX(VLOOKUP(($AJ147-$AI147-$AH147-$AG147-$AF147-$AE147*(1+FB$3))/$AJ147,'Технический лист'!$A:$B,2,1),(FA147-0.05)))</f>
        <v>1</v>
      </c>
      <c r="FC147" s="15">
        <f>MIN(1,MAX(VLOOKUP(($AJ147-$AI147-$AH147-$AG147-$AF147-$AE147*(1+FC$3))/$AJ147,'Технический лист'!$A:$B,2,1),(FB147-0.05)))</f>
        <v>1</v>
      </c>
      <c r="FD147" s="15">
        <f>MIN(1,MAX(VLOOKUP(($AJ147-$AI147-$AH147-$AG147-$AF147-$AE147*(1+FD$3))/$AJ147,'Технический лист'!$A:$B,2,1),(FC147-0.05)))</f>
        <v>1</v>
      </c>
      <c r="FE147" s="15">
        <f>MIN(1,MAX(VLOOKUP(($AJ147-$AI147-$AH147-$AG147-$AF147-$AE147*(1+FE$3))/$AJ147,'Технический лист'!$A:$B,2,1),(FD147-0.05)))</f>
        <v>1</v>
      </c>
      <c r="FF147" s="15">
        <f>MIN(1,MAX(VLOOKUP(($AJ147-$AI147-$AH147-$AG147-$AF147-$AE147*(1+FF$3))/$AJ147,'Технический лист'!$A:$B,2,1),(FE147-0.05)))</f>
        <v>1</v>
      </c>
      <c r="FG147" s="15">
        <f>MIN(1,MAX(VLOOKUP(($AJ147-$AI147-$AH147-$AG147-$AF147-$AE147*(1+FG$3))/$AJ147,'Технический лист'!$A:$B,2,1),(FF147-0.05)))</f>
        <v>1</v>
      </c>
      <c r="FH147" s="15">
        <f>MIN(1,MAX(VLOOKUP(($AJ147-$AI147-$AH147-$AG147-$AF147-$AE147*(1+FH$3))/$AJ147,'Технический лист'!$A:$B,2,1),(FG147-0.05)))</f>
        <v>1</v>
      </c>
      <c r="FI147" s="15">
        <f>MIN(1,MAX(VLOOKUP(($AJ147-$AI147-$AH147-$AG147-$AF147-$AE147*(1+FI$3))/$AJ147,'Технический лист'!$A:$B,2,1),(FH147-0.05)))</f>
        <v>1</v>
      </c>
      <c r="FJ147" s="15">
        <f>MIN(1,MAX(VLOOKUP(($AJ147-$AI147-$AH147-$AG147-$AF147-$AE147*(1+FJ$3))/$AJ147,'Технический лист'!$A:$B,2,1),(FI147-0.05)))</f>
        <v>1</v>
      </c>
      <c r="FK147" s="15">
        <f>MIN(1,MAX(VLOOKUP(($AJ147-$AI147-$AH147-$AG147-$AF147-$AE147*(1+FK$3))/$AJ147,'Технический лист'!$A:$B,2,1),(FJ147-0.05)))</f>
        <v>1</v>
      </c>
      <c r="FL147" s="15">
        <f>MIN(1,MAX(VLOOKUP(($AJ147-$AI147-$AH147-$AG147-$AF147-$AE147*(1+FL$3))/$AJ147,'Технический лист'!$A:$B,2,1),(FK147-0.05)))</f>
        <v>1</v>
      </c>
      <c r="FM147" s="15">
        <f>MIN(1,MAX(VLOOKUP(($AJ147-$AI147-$AH147-$AG147-$AF147-$AE147*(1+FM$3))/$AJ147,'Технический лист'!$A:$B,2,1),(FL147-0.05)))</f>
        <v>1</v>
      </c>
      <c r="FN147" s="15">
        <f>MIN(1,MAX(VLOOKUP(($AJ147-$AI147-$AH147-$AG147-$AF147-$AE147*(1+FN$3))/$AJ147,'Технический лист'!$A:$B,2,1),(FM147-0.05)))</f>
        <v>1</v>
      </c>
      <c r="FO147" s="15">
        <f>MIN(1,MAX(VLOOKUP(($AJ147-$AI147-$AH147-$AG147-$AF147-$AE147*(1+FO$3))/$AJ147,'Технический лист'!$A:$B,2,1),(FN147-0.05)))</f>
        <v>1</v>
      </c>
      <c r="FP147" s="15">
        <f>MIN(1,MAX(VLOOKUP(($AJ147-$AI147-$AH147-$AG147-$AF147-$AE147*(1+FP$3))/$AJ147,'Технический лист'!$A:$B,2,1),(FO147-0.05)))</f>
        <v>1</v>
      </c>
      <c r="FQ147" s="15">
        <f>MIN(1,MAX(VLOOKUP(($AJ147-$AI147-$AH147-$AG147-$AF147-$AE147*(1+FQ$3))/$AJ147,'Технический лист'!$A:$B,2,1),(FP147-0.05)))</f>
        <v>1</v>
      </c>
      <c r="FR147" s="15">
        <f>MIN(1,MAX(VLOOKUP(($AJ147-$AI147-$AH147-$AG147-$AF147-$AE147*(1+FR$3))/$AJ147,'Технический лист'!$A:$B,2,1),(FQ147-0.05)))</f>
        <v>1</v>
      </c>
      <c r="FS147" s="15">
        <f>MIN(1,MAX(VLOOKUP(($AJ147-$AI147-$AH147-$AG147-$AF147-$AE147*(1+FS$3))/$AJ147,'Технический лист'!$A:$B,2,1),(FR147-0.05)))</f>
        <v>1</v>
      </c>
      <c r="FT147" s="15">
        <f>MIN(1,MAX(VLOOKUP(($AJ147-$AI147-$AH147-$AG147-$AF147-$AE147*(1+FT$3))/$AJ147,'Технический лист'!$A:$B,2,1),(FS147-0.05)))</f>
        <v>1</v>
      </c>
      <c r="FU147" s="15">
        <f>MIN(1,MAX(VLOOKUP(($AJ147-$AI147-$AH147-$AG147-$AF147-$AE147*(1+FU$3))/$AJ147,'Технический лист'!$A:$B,2,1),(FT147-0.05)))</f>
        <v>1</v>
      </c>
      <c r="FV147" s="15">
        <f>MIN(1,MAX(VLOOKUP(($AJ147-$AI147-$AH147-$AG147-$AF147-$AE147*(1+FV$3))/$AJ147,'Технический лист'!$A:$B,2,1),(FU147-0.05)))</f>
        <v>1</v>
      </c>
      <c r="FW147" s="15">
        <f>MIN(1,MAX(VLOOKUP(($AJ147-$AI147-$AH147-$AG147-$AF147-$AE147*(1+FW$3))/$AJ147,'Технический лист'!$A:$B,2,1),(FV147-0.05)))</f>
        <v>1</v>
      </c>
      <c r="FX147" s="15">
        <f>MIN(1,MAX(VLOOKUP(($AJ147-$AI147-$AH147-$AG147-$AF147-$AE147*(1+FX$3))/$AJ147,'Технический лист'!$A:$B,2,1),(FW147-0.05)))</f>
        <v>1</v>
      </c>
      <c r="FY147" s="15">
        <f>MIN(1,MAX(VLOOKUP(($AJ147-$AI147-$AH147-$AG147-$AF147-$AE147*(1+FY$3))/$AJ147,'Технический лист'!$A:$B,2,1),(FX147-0.05)))</f>
        <v>1</v>
      </c>
      <c r="FZ147" s="15">
        <f>MIN(1,MAX(VLOOKUP(($AJ147-$AI147-$AH147-$AG147-$AF147-$AE147*(1+FZ$3))/$AJ147,'Технический лист'!$A:$B,2,1),(FY147-0.05)))</f>
        <v>1</v>
      </c>
      <c r="GA147" s="15">
        <f>MIN(1,MAX(VLOOKUP(($AJ147-$AI147-$AH147-$AG147-$AF147-$AE147*(1+GA$3))/$AJ147,'Технический лист'!$A:$B,2,1),(FZ147-0.05)))</f>
        <v>1</v>
      </c>
      <c r="GB147" s="15">
        <f>MIN(1,MAX(VLOOKUP(($AJ147-$AI147-$AH147-$AG147-$AF147-$AE147*(1+GB$3))/$AJ147,'Технический лист'!$A:$B,2,1),(GA147-0.05)))</f>
        <v>1</v>
      </c>
      <c r="GC147" s="15">
        <f>MIN(1,MAX(VLOOKUP(($AJ147-$AI147-$AH147-$AG147-$AF147-$AE147*(1+GC$3))/$AJ147,'Технический лист'!$A:$B,2,1),(GB147-0.05)))</f>
        <v>1</v>
      </c>
      <c r="GD147" s="15">
        <f>MIN(1,MAX(VLOOKUP(($AJ147-$AI147-$AH147-$AG147-$AF147-$AE147*(1+GD$3))/$AJ147,'Технический лист'!$A:$B,2,1),(GC147-0.05)))</f>
        <v>1</v>
      </c>
      <c r="GE147" s="15">
        <f>MIN(1,MAX(VLOOKUP(($AJ147-$AI147-$AH147-$AG147-$AF147-$AE147*(1+GE$3))/$AJ147,'Технический лист'!$A:$B,2,1),(GD147-0.05)))</f>
        <v>1</v>
      </c>
      <c r="GF147" s="15">
        <f>MIN(1,MAX(VLOOKUP(($AJ147-$AI147-$AH147-$AG147-$AF147-$AE147*(1+GF$3))/$AJ147,'Технический лист'!$A:$B,2,1),(GE147-0.05)))</f>
        <v>1</v>
      </c>
      <c r="GG147" s="15">
        <f>MIN(1,MAX(VLOOKUP(($AJ147-$AI147-$AH147-$AG147-$AF147-$AE147*(1+GG$3))/$AJ147,'Технический лист'!$A:$B,2,1),(GF147-0.05)))</f>
        <v>1</v>
      </c>
      <c r="GH147" s="15">
        <f>MIN(1,MAX(VLOOKUP(($AJ147-$AI147-$AH147-$AG147-$AF147-$AE147*(1+GH$3))/$AJ147,'Технический лист'!$A:$B,2,1),(GG147-0.05)))</f>
        <v>1</v>
      </c>
      <c r="GI147" s="15">
        <f>MIN(1,MAX(VLOOKUP(($AJ147-$AI147-$AH147-$AG147-$AF147-$AE147*(1+GI$3))/$AJ147,'Технический лист'!$A:$B,2,1),(GH147-0.05)))</f>
        <v>1</v>
      </c>
      <c r="GJ147" s="15">
        <f>MIN(1,MAX(VLOOKUP(($AJ147-$AI147-$AH147-$AG147-$AF147-$AE147*(1+GJ$3))/$AJ147,'Технический лист'!$A:$B,2,1),(GI147-0.05)))</f>
        <v>1</v>
      </c>
      <c r="GK147" s="15">
        <f>MIN(1,MAX(VLOOKUP(($AJ147-$AI147-$AH147-$AG147-$AF147-$AE147*(1+GK$3))/$AJ147,'Технический лист'!$A:$B,2,1),(GJ147-0.05)))</f>
        <v>1</v>
      </c>
      <c r="GL147" s="15">
        <f>MIN(1,MAX(VLOOKUP(($AJ147-$AI147-$AH147-$AG147-$AF147-$AE147*(1+GL$3))/$AJ147,'Технический лист'!$A:$B,2,1),(GK147-0.05)))</f>
        <v>1</v>
      </c>
      <c r="GM147" s="15">
        <f>MIN(1,MAX(VLOOKUP(($AJ147-$AI147-$AH147-$AG147-$AF147-$AE147*(1+GM$3))/$AJ147,'Технический лист'!$A:$B,2,1),(GL147-0.05)))</f>
        <v>1</v>
      </c>
      <c r="GN147" s="15">
        <f>MIN(1,MAX(VLOOKUP(($AJ147-$AI147-$AH147-$AG147-$AF147-$AE147*(1+GN$3))/$AJ147,'Технический лист'!$A:$B,2,1),(GM147-0.05)))</f>
        <v>1</v>
      </c>
      <c r="GO147" s="15">
        <f>MIN(1,MAX(VLOOKUP(($AJ147-$AI147-$AH147-$AG147-$AF147-$AE147*(1+GO$3))/$AJ147,'Технический лист'!$A:$B,2,1),(GN147-0.05)))</f>
        <v>1</v>
      </c>
      <c r="GP147" s="15">
        <f>MIN(1,MAX(VLOOKUP(($AJ147-$AI147-$AH147-$AG147-$AF147-$AE147*(1+GP$3))/$AJ147,'Технический лист'!$A:$B,2,1),(GO147-0.05)))</f>
        <v>1</v>
      </c>
      <c r="GQ147" s="15">
        <f>MIN(1,MAX(VLOOKUP(($AJ147-$AI147-$AH147-$AG147-$AF147-$AE147*(1+GQ$3))/$AJ147,'Технический лист'!$A:$B,2,1),(GP147-0.05)))</f>
        <v>1</v>
      </c>
      <c r="GR147" s="15">
        <f>MIN(1,MAX(VLOOKUP(($AJ147-$AI147-$AH147-$AG147-$AF147-$AE147*(1+GR$3))/$AJ147,'Технический лист'!$A:$B,2,1),(GQ147-0.05)))</f>
        <v>1</v>
      </c>
      <c r="GS147" s="15">
        <f>MIN(1,MAX(VLOOKUP(($AJ147-$AI147-$AH147-$AG147-$AF147-$AE147*(1+GS$3))/$AJ147,'Технический лист'!$A:$B,2,1),(GR147-0.05)))</f>
        <v>1</v>
      </c>
      <c r="GT147" s="15">
        <f>MIN(1,MAX(VLOOKUP(($AJ147-$AI147-$AH147-$AG147-$AF147-$AE147*(1+GT$3))/$AJ147,'Технический лист'!$A:$B,2,1),(GS147-0.05)))</f>
        <v>1</v>
      </c>
      <c r="GU147" s="15">
        <f>MIN(1,MAX(VLOOKUP(($AJ147-$AI147-$AH147-$AG147-$AF147-$AE147*(1+GU$3))/$AJ147,'Технический лист'!$A:$B,2,1),(GT147-0.05)))</f>
        <v>1</v>
      </c>
      <c r="GV147" s="15">
        <f>MIN(1,MAX(VLOOKUP(($AJ147-$AI147-$AH147-$AG147-$AF147-$AE147*(1+GV$3))/$AJ147,'Технический лист'!$A:$B,2,1),(GU147-0.05)))</f>
        <v>1</v>
      </c>
      <c r="GW147" s="15">
        <f>MIN(1,MAX(VLOOKUP(($AJ147-$AI147-$AH147-$AG147-$AF147-$AE147*(1+GW$3))/$AJ147,'Технический лист'!$A:$B,2,1),(GV147-0.05)))</f>
        <v>1</v>
      </c>
      <c r="GX147" s="15">
        <f>MIN(1,MAX(VLOOKUP(($AJ147-$AI147-$AH147-$AG147-$AF147-$AE147*(1+GX$3))/$AJ147,'Технический лист'!$A:$B,2,1),(GW147-0.05)))</f>
        <v>1</v>
      </c>
      <c r="GY147" s="15">
        <f>MIN(1,MAX(VLOOKUP(($AJ147-$AI147-$AH147-$AG147-$AF147-$AE147*(1+GY$3))/$AJ147,'Технический лист'!$A:$B,2,1),(GX147-0.05)))</f>
        <v>1</v>
      </c>
      <c r="GZ147" s="15">
        <f>MIN(1,MAX(VLOOKUP(($AJ147-$AI147-$AH147-$AG147-$AF147-$AE147*(1+GZ$3))/$AJ147,'Технический лист'!$A:$B,2,1),(GY147-0.05)))</f>
        <v>1</v>
      </c>
      <c r="HA147" s="15">
        <f>MIN(1,MAX(VLOOKUP(($AJ147-$AI147-$AH147-$AG147-$AF147-$AE147*(1+HA$3))/$AJ147,'Технический лист'!$A:$B,2,1),(GZ147-0.05)))</f>
        <v>1</v>
      </c>
      <c r="HB147" s="15">
        <f>MIN(1,MAX(VLOOKUP(($AJ147-$AI147-$AH147-$AG147-$AF147-$AE147*(1+HB$3))/$AJ147,'Технический лист'!$A:$B,2,1),(HA147-0.05)))</f>
        <v>1</v>
      </c>
      <c r="HC147" s="15">
        <f>MIN(1,MAX(VLOOKUP(($AJ147-$AI147-$AH147-$AG147-$AF147-$AE147*(1+HC$3))/$AJ147,'Технический лист'!$A:$B,2,1),(HB147-0.05)))</f>
        <v>1</v>
      </c>
      <c r="HD147" s="15">
        <f>MIN(1,MAX(VLOOKUP(($AJ147-$AI147-$AH147-$AG147-$AF147-$AE147*(1+HD$3))/$AJ147,'Технический лист'!$A:$B,2,1),(HC147-0.05)))</f>
        <v>1</v>
      </c>
      <c r="HE147" s="15">
        <f>MIN(1,MAX(VLOOKUP(($AJ147-$AI147-$AH147-$AG147-$AF147-$AE147*(1+HE$3))/$AJ147,'Технический лист'!$A:$B,2,1),(HD147-0.05)))</f>
        <v>1</v>
      </c>
      <c r="HF147" s="15">
        <f>MIN(1,MAX(VLOOKUP(($AJ147-$AI147-$AH147-$AG147-$AF147-$AE147*(1+HF$3))/$AJ147,'Технический лист'!$A:$B,2,1),(HE147-0.05)))</f>
        <v>1</v>
      </c>
      <c r="HG147" s="15">
        <f>MIN(1,MAX(VLOOKUP(($AJ147-$AI147-$AH147-$AG147-$AF147-$AE147*(1+HG$3))/$AJ147,'Технический лист'!$A:$B,2,1),(HF147-0.05)))</f>
        <v>1</v>
      </c>
      <c r="HH147" s="15">
        <f>MIN(1,MAX(VLOOKUP(($AJ147-$AI147-$AH147-$AG147-$AF147-$AE147*(1+HH$3))/$AJ147,'Технический лист'!$A:$B,2,1),(HG147-0.05)))</f>
        <v>1</v>
      </c>
      <c r="HI147" s="15">
        <f>MIN(1,MAX(VLOOKUP(($AJ147-$AI147-$AH147-$AG147-$AF147-$AE147*(1+HI$3))/$AJ147,'Технический лист'!$A:$B,2,1),(HH147-0.05)))</f>
        <v>1</v>
      </c>
      <c r="HJ147" s="15">
        <f>MIN(1,MAX(VLOOKUP(($AJ147-$AI147-$AH147-$AG147-$AF147-$AE147*(1+HJ$3))/$AJ147,'Технический лист'!$A:$B,2,1),(HI147-0.05)))</f>
        <v>1</v>
      </c>
      <c r="HK147" s="15">
        <f>MIN(1,MAX(VLOOKUP(($AJ147-$AI147-$AH147-$AG147-$AF147-$AE147*(1+HK$3))/$AJ147,'Технический лист'!$A:$B,2,1),(HJ147-0.05)))</f>
        <v>1</v>
      </c>
      <c r="HL147" s="15">
        <f>MIN(1,MAX(VLOOKUP(($AJ147-$AI147-$AH147-$AG147-$AF147-$AE147*(1+HL$3))/$AJ147,'Технический лист'!$A:$B,2,1),(HK147-0.05)))</f>
        <v>1</v>
      </c>
      <c r="HM147" s="15">
        <f>MIN(1,MAX(VLOOKUP(($AJ147-$AI147-$AH147-$AG147-$AF147-$AE147*(1+HM$3))/$AJ147,'Технический лист'!$A:$B,2,1),(HL147-0.05)))</f>
        <v>1</v>
      </c>
      <c r="HN147" s="15">
        <f>MIN(1,MAX(VLOOKUP(($AJ147-$AI147-$AH147-$AG147-$AF147-$AE147*(1+HN$3))/$AJ147,'Технический лист'!$A:$B,2,1),(HM147-0.05)))</f>
        <v>1</v>
      </c>
      <c r="HO147" s="15">
        <f>MIN(1,MAX(VLOOKUP(($AJ147-$AI147-$AH147-$AG147-$AF147-$AE147*(1+HO$3))/$AJ147,'Технический лист'!$A:$B,2,1),(HN147-0.05)))</f>
        <v>1</v>
      </c>
      <c r="HP147" s="15">
        <f>MIN(1,MAX(VLOOKUP(($AJ147-$AI147-$AH147-$AG147-$AF147-$AE147*(1+HP$3))/$AJ147,'Технический лист'!$A:$B,2,1),(HO147-0.05)))</f>
        <v>1</v>
      </c>
      <c r="HQ147" s="15">
        <f>MIN(1,MAX(VLOOKUP(($AJ147-$AI147-$AH147-$AG147-$AF147-$AE147*(1+HQ$3))/$AJ147,'Технический лист'!$A:$B,2,1),(HP147-0.05)))</f>
        <v>1</v>
      </c>
      <c r="HR147" s="15">
        <f>MIN(1,MAX(VLOOKUP(($AJ147-$AI147-$AH147-$AG147-$AF147-$AE147*(1+HR$3))/$AJ147,'Технический лист'!$A:$B,2,1),(HQ147-0.05)))</f>
        <v>1</v>
      </c>
      <c r="HS147" s="15">
        <f>MIN(1,MAX(VLOOKUP(($AJ147-$AI147-$AH147-$AG147-$AF147-$AE147*(1+HS$3))/$AJ147,'Технический лист'!$A:$B,2,1),(HR147-0.05)))</f>
        <v>1</v>
      </c>
      <c r="HT147" s="15">
        <f>MIN(1,MAX(VLOOKUP(($AJ147-$AI147-$AH147-$AG147-$AF147-$AE147*(1+HT$3))/$AJ147,'Технический лист'!$A:$B,2,1),(HS147-0.05)))</f>
        <v>1</v>
      </c>
      <c r="HU147" s="15">
        <f>MIN(1,MAX(VLOOKUP(($AJ147-$AI147-$AH147-$AG147-$AF147-$AE147*(1+HU$3))/$AJ147,'Технический лист'!$A:$B,2,1),(HT147-0.05)))</f>
        <v>1</v>
      </c>
      <c r="HV147" s="15">
        <f>MIN(1,MAX(VLOOKUP(($AJ147-$AI147-$AH147-$AG147-$AF147-$AE147*(1+HV$3))/$AJ147,'Технический лист'!$A:$B,2,1),(HU147-0.05)))</f>
        <v>1</v>
      </c>
      <c r="HW147" s="15">
        <f>MIN(1,MAX(VLOOKUP(($AJ147-$AI147-$AH147-$AG147-$AF147-$AE147*(1+HW$3))/$AJ147,'Технический лист'!$A:$B,2,1),(HV147-0.05)))</f>
        <v>1</v>
      </c>
      <c r="HX147" s="15">
        <f>MIN(1,MAX(VLOOKUP(($AJ147-$AI147-$AH147-$AG147-$AF147-$AE147*(1+HX$3))/$AJ147,'Технический лист'!$A:$B,2,1),(HW147-0.05)))</f>
        <v>1</v>
      </c>
      <c r="HY147" s="15">
        <f>MIN(1,MAX(VLOOKUP(($AJ147-$AI147-$AH147-$AG147-$AF147-$AE147*(1+HY$3))/$AJ147,'Технический лист'!$A:$B,2,1),(HX147-0.05)))</f>
        <v>1</v>
      </c>
      <c r="HZ147" s="15">
        <f>MIN(1,MAX(VLOOKUP(($AJ147-$AI147-$AH147-$AG147-$AF147-$AE147*(1+HZ$3))/$AJ147,'Технический лист'!$A:$B,2,1),(HY147-0.05)))</f>
        <v>1</v>
      </c>
      <c r="IA147" s="15">
        <f>MIN(1,MAX(VLOOKUP(($AJ147-$AI147-$AH147-$AG147-$AF147-$AE147*(1+IA$3))/$AJ147,'Технический лист'!$A:$B,2,1),(HZ147-0.05)))</f>
        <v>1</v>
      </c>
      <c r="IB147" s="15">
        <f>MIN(1,MAX(VLOOKUP(($AJ147-$AI147-$AH147-$AG147-$AF147-$AE147*(1+IB$3))/$AJ147,'Технический лист'!$A:$B,2,1),(IA147-0.05)))</f>
        <v>1</v>
      </c>
      <c r="IC147" s="15">
        <f>MIN(1,MAX(VLOOKUP(($AJ147-$AI147-$AH147-$AG147-$AF147-$AE147*(1+IC$3))/$AJ147,'Технический лист'!$A:$B,2,1),(IB147-0.05)))</f>
        <v>1</v>
      </c>
      <c r="ID147" s="15">
        <f>MIN(1,MAX(VLOOKUP(($AJ147-$AI147-$AH147-$AG147-$AF147-$AE147*(1+ID$3))/$AJ147,'Технический лист'!$A:$B,2,1),(IC147-0.05)))</f>
        <v>1</v>
      </c>
      <c r="IE147" s="15">
        <f>MIN(1,MAX(VLOOKUP(($AJ147-$AI147-$AH147-$AG147-$AF147-$AE147*(1+IE$3))/$AJ147,'Технический лист'!$A:$B,2,1),(ID147-0.05)))</f>
        <v>1</v>
      </c>
      <c r="IF147" s="15">
        <f>MIN(1,MAX(VLOOKUP(($AJ147-$AI147-$AH147-$AG147-$AF147-$AE147*(1+IF$3))/$AJ147,'Технический лист'!$A:$B,2,1),(IE147-0.05)))</f>
        <v>1</v>
      </c>
      <c r="IG147" s="15">
        <f>MIN(1,MAX(VLOOKUP(($AJ147-$AI147-$AH147-$AG147-$AF147-$AE147*(1+IG$3))/$AJ147,'Технический лист'!$A:$B,2,1),(IF147-0.05)))</f>
        <v>1</v>
      </c>
      <c r="IH147" s="15">
        <f>MIN(1,MAX(VLOOKUP(($AJ147-$AI147-$AH147-$AG147-$AF147-$AE147*(1+IH$3))/$AJ147,'Технический лист'!$A:$B,2,1),(IG147-0.05)))</f>
        <v>1</v>
      </c>
      <c r="II147" s="15">
        <f>MIN(1,MAX(VLOOKUP(($AJ147-$AI147-$AH147-$AG147-$AF147-$AE147*(1+II$3))/$AJ147,'Технический лист'!$A:$B,2,1),(IH147-0.05)))</f>
        <v>1</v>
      </c>
      <c r="IJ147" s="15">
        <f>MIN(1,MAX(VLOOKUP(($AJ147-$AI147-$AH147-$AG147-$AF147-$AE147*(1+IJ$3))/$AJ147,'Технический лист'!$A:$B,2,1),(II147-0.05)))</f>
        <v>1</v>
      </c>
      <c r="IK147" s="15">
        <f>MIN(1,MAX(VLOOKUP(($AJ147-$AI147-$AH147-$AG147-$AF147-$AE147*(1+IK$3))/$AJ147,'Технический лист'!$A:$B,2,1),(IJ147-0.05)))</f>
        <v>1</v>
      </c>
      <c r="IL147" s="15">
        <f>MIN(1,MAX(VLOOKUP(($AJ147-$AI147-$AH147-$AG147-$AF147-$AE147*(1+IL$3))/$AJ147,'Технический лист'!$A:$B,2,1),(IK147-0.05)))</f>
        <v>1</v>
      </c>
      <c r="IM147" s="15">
        <f>MIN(1,MAX(VLOOKUP(($AJ147-$AI147-$AH147-$AG147-$AF147-$AE147*(1+IM$3))/$AJ147,'Технический лист'!$A:$B,2,1),(IL147-0.05)))</f>
        <v>1</v>
      </c>
      <c r="IN147" s="15">
        <f>MIN(1,MAX(VLOOKUP(($AJ147-$AI147-$AH147-$AG147-$AF147-$AE147*(1+IN$3))/$AJ147,'Технический лист'!$A:$B,2,1),(IM147-0.05)))</f>
        <v>1</v>
      </c>
      <c r="IO147" s="15">
        <f>MIN(1,MAX(VLOOKUP(($AJ147-$AI147-$AH147-$AG147-$AF147-$AE147*(1+IO$3))/$AJ147,'Технический лист'!$A:$B,2,1),(IN147-0.05)))</f>
        <v>1</v>
      </c>
      <c r="IP147" s="15">
        <f>MIN(1,MAX(VLOOKUP(($AJ147-$AI147-$AH147-$AG147-$AF147-$AE147*(1+IP$3))/$AJ147,'Технический лист'!$A:$B,2,1),(IO147-0.05)))</f>
        <v>1</v>
      </c>
      <c r="IQ147" s="15">
        <f>MIN(1,MAX(VLOOKUP(($AJ147-$AI147-$AH147-$AG147-$AF147-$AE147*(1+IQ$3))/$AJ147,'Технический лист'!$A:$B,2,1),(IP147-0.05)))</f>
        <v>1</v>
      </c>
      <c r="IR147" s="15">
        <f>MIN(1,MAX(VLOOKUP(($AJ147-$AI147-$AH147-$AG147-$AF147-$AE147*(1+IR$3))/$AJ147,'Технический лист'!$A:$B,2,1),(IQ147-0.05)))</f>
        <v>1</v>
      </c>
    </row>
    <row r="148" spans="1:252" ht="58.3">
      <c r="A148" s="89" t="s">
        <v>513</v>
      </c>
      <c r="B148" s="90">
        <v>10</v>
      </c>
      <c r="C148" s="5" t="s">
        <v>66</v>
      </c>
      <c r="D148" s="91">
        <v>33304</v>
      </c>
      <c r="E148" s="91" t="s">
        <v>331</v>
      </c>
      <c r="F148" s="92" t="s">
        <v>73</v>
      </c>
      <c r="G148" s="91" t="s">
        <v>25</v>
      </c>
      <c r="H148" s="91" t="s">
        <v>20</v>
      </c>
      <c r="I148" s="91" t="s">
        <v>132</v>
      </c>
      <c r="J148" s="91" t="s">
        <v>58</v>
      </c>
      <c r="K148" s="91">
        <v>8453</v>
      </c>
      <c r="L148" s="77" t="s">
        <v>189</v>
      </c>
      <c r="M148" s="91" t="s">
        <v>190</v>
      </c>
      <c r="N148" s="91" t="s">
        <v>48</v>
      </c>
      <c r="O148" s="91" t="s">
        <v>193</v>
      </c>
      <c r="P148" s="89" t="s">
        <v>224</v>
      </c>
      <c r="Q148" s="91" t="s">
        <v>263</v>
      </c>
      <c r="R148" s="91" t="s">
        <v>263</v>
      </c>
      <c r="S148" s="82">
        <v>676</v>
      </c>
      <c r="T148" s="82">
        <v>5715247</v>
      </c>
      <c r="U148" s="81">
        <v>0</v>
      </c>
      <c r="V148" s="81">
        <v>29</v>
      </c>
      <c r="W148" s="82">
        <v>2520327</v>
      </c>
      <c r="X148" s="112">
        <v>50</v>
      </c>
      <c r="Y148" s="112" t="s">
        <v>48</v>
      </c>
      <c r="Z148" s="113">
        <v>22</v>
      </c>
      <c r="AA148" s="113">
        <v>0</v>
      </c>
      <c r="AB148" s="113">
        <v>4</v>
      </c>
      <c r="AC148" s="99">
        <f>252998/X148</f>
        <v>5059.96</v>
      </c>
      <c r="AD148" s="99">
        <v>0</v>
      </c>
      <c r="AE148" s="99">
        <f t="shared" si="64"/>
        <v>5059.96</v>
      </c>
      <c r="AF148" s="98">
        <f>(AB148+AA148+Z148)*'Ставки аренды'!$B$6/X148</f>
        <v>832</v>
      </c>
      <c r="AG148" s="94">
        <v>0</v>
      </c>
      <c r="AH148" s="94">
        <v>0</v>
      </c>
      <c r="AI148" s="115">
        <f t="shared" si="65"/>
        <v>159400.33275841203</v>
      </c>
      <c r="AJ148" s="117">
        <f>Цены!D31</f>
        <v>300000</v>
      </c>
      <c r="AK148" s="94">
        <f>AJ148/Цены!$B$1</f>
        <v>3931.5645661190874</v>
      </c>
      <c r="AL148" s="95">
        <f t="shared" si="54"/>
        <v>5891.96</v>
      </c>
      <c r="AM148" s="95">
        <f t="shared" si="55"/>
        <v>294108.03999999998</v>
      </c>
      <c r="AN148" s="94">
        <f t="shared" si="52"/>
        <v>165292.29275841202</v>
      </c>
      <c r="AO148" s="118">
        <f t="shared" si="53"/>
        <v>0.44902569080529325</v>
      </c>
      <c r="AP148" s="96">
        <f t="shared" si="56"/>
        <v>1.9639866666666665E-2</v>
      </c>
      <c r="AQ148" s="96">
        <f t="shared" si="57"/>
        <v>1.6866533333333333E-2</v>
      </c>
      <c r="AR148" s="96">
        <f t="shared" si="58"/>
        <v>0.85879062315426447</v>
      </c>
      <c r="AS148" s="122">
        <v>1</v>
      </c>
      <c r="AT148" s="121">
        <f t="shared" si="45"/>
        <v>676</v>
      </c>
      <c r="AU148" s="83">
        <v>0.9</v>
      </c>
      <c r="AV148" s="119">
        <f t="shared" si="41"/>
        <v>0.44700170680529322</v>
      </c>
      <c r="AW148" s="120">
        <f t="shared" si="42"/>
        <v>2.1663850666666668E-2</v>
      </c>
      <c r="AX148" s="120">
        <f t="shared" si="43"/>
        <v>1.8890517333333332E-2</v>
      </c>
      <c r="AY148" s="120">
        <f t="shared" si="44"/>
        <v>0.87198336177600433</v>
      </c>
      <c r="AZ148" s="15">
        <f>MIN(IF($AU148=100%,1,1+VLOOKUP(($AJ148-$AI148-$AH148-$AG148-$AF148-$AE148*(1+AZ$3))/$AJ148,'Технический лист'!$I:$J,2,1)-VLOOKUP($AO148,'Технический лист'!$I:$J,2,1)),1+(1-$AU148))</f>
        <v>1</v>
      </c>
      <c r="BA148" s="15">
        <f>MIN(IF($AU148=100%,1,1+VLOOKUP(($AJ148-$AI148-$AH148-$AG148-$AF148-$AE148*(1+BA$3))/$AJ148,'Технический лист'!$I:$J,2,1)-VLOOKUP($AO148,'Технический лист'!$I:$J,2,1)),1+(1-$AU148))</f>
        <v>1</v>
      </c>
      <c r="BB148" s="15">
        <f>MIN(IF($AU148=100%,1,1+VLOOKUP(($AJ148-$AI148-$AH148-$AG148-$AF148-$AE148*(1+BB$3))/$AJ148,'Технический лист'!$I:$J,2,1)-VLOOKUP($AO148,'Технический лист'!$I:$J,2,1)),1+(1-$AU148))</f>
        <v>1</v>
      </c>
      <c r="BC148" s="15">
        <f>MIN(IF($AU148=100%,1,1+VLOOKUP(($AJ148-$AI148-$AH148-$AG148-$AF148-$AE148*(1+BC$3))/$AJ148,'Технический лист'!$I:$J,2,1)-VLOOKUP($AO148,'Технический лист'!$I:$J,2,1)),1+(1-$AU148))</f>
        <v>1</v>
      </c>
      <c r="BD148" s="15">
        <f>MIN(IF($AU148=100%,1,1+VLOOKUP(($AJ148-$AI148-$AH148-$AG148-$AF148-$AE148*(1+BD$3))/$AJ148,'Технический лист'!$I:$J,2,1)-VLOOKUP($AO148,'Технический лист'!$I:$J,2,1)),1+(1-$AU148))</f>
        <v>1</v>
      </c>
      <c r="BE148" s="15">
        <f>MIN(IF($AU148=100%,1,1+VLOOKUP(($AJ148-$AI148-$AH148-$AG148-$AF148-$AE148*(1+BE$3))/$AJ148,'Технический лист'!$I:$J,2,1)-VLOOKUP($AO148,'Технический лист'!$I:$J,2,1)),1+(1-$AU148))</f>
        <v>1</v>
      </c>
      <c r="BF148" s="15">
        <f>MIN(IF($AU148=100%,1,1+VLOOKUP(($AJ148-$AI148-$AH148-$AG148-$AF148-$AE148*(1+BF$3))/$AJ148,'Технический лист'!$I:$J,2,1)-VLOOKUP($AO148,'Технический лист'!$I:$J,2,1)),1+(1-$AU148))</f>
        <v>1</v>
      </c>
      <c r="BG148" s="15">
        <f>MIN(IF($AU148=100%,1,1+VLOOKUP(($AJ148-$AI148-$AH148-$AG148-$AF148-$AE148*(1+BG$3))/$AJ148,'Технический лист'!$I:$J,2,1)-VLOOKUP($AO148,'Технический лист'!$I:$J,2,1)),1+(1-$AU148))</f>
        <v>1</v>
      </c>
      <c r="BH148" s="15">
        <f>MIN(IF($AU148=100%,1,1+VLOOKUP(($AJ148-$AI148-$AH148-$AG148-$AF148-$AE148*(1+BH$3))/$AJ148,'Технический лист'!$I:$J,2,1)-VLOOKUP($AO148,'Технический лист'!$I:$J,2,1)),1+(1-$AU148))</f>
        <v>1</v>
      </c>
      <c r="BI148" s="15">
        <f>MIN(IF($AU148=100%,1,1+VLOOKUP(($AJ148-$AI148-$AH148-$AG148-$AF148-$AE148*(1+BI$3))/$AJ148,'Технический лист'!$I:$J,2,1)-VLOOKUP($AO148,'Технический лист'!$I:$J,2,1)),1+(1-$AU148))</f>
        <v>1</v>
      </c>
      <c r="BJ148" s="15">
        <f>MIN(IF($AU148=100%,1,1+VLOOKUP(($AJ148-$AI148-$AH148-$AG148-$AF148-$AE148*(1+BJ$3))/$AJ148,'Технический лист'!$I:$J,2,1)-VLOOKUP($AO148,'Технический лист'!$I:$J,2,1)),1+(1-$AU148))</f>
        <v>1</v>
      </c>
      <c r="BK148" s="15">
        <f>MIN(IF($AU148=100%,1,1+VLOOKUP(($AJ148-$AI148-$AH148-$AG148-$AF148-$AE148*(1+BK$3))/$AJ148,'Технический лист'!$I:$J,2,1)-VLOOKUP($AO148,'Технический лист'!$I:$J,2,1)),1+(1-$AU148))</f>
        <v>1</v>
      </c>
      <c r="BL148" s="15">
        <f>MIN(IF($AU148=100%,1,1+VLOOKUP(($AJ148-$AI148-$AH148-$AG148-$AF148-$AE148*(1+BL$3))/$AJ148,'Технический лист'!$I:$J,2,1)-VLOOKUP($AO148,'Технический лист'!$I:$J,2,1)),1+(1-$AU148))</f>
        <v>1</v>
      </c>
      <c r="BM148" s="15">
        <f>MIN(IF($AU148=100%,1,1+VLOOKUP(($AJ148-$AI148-$AH148-$AG148-$AF148-$AE148*(1+BM$3))/$AJ148,'Технический лист'!$I:$J,2,1)-VLOOKUP($AO148,'Технический лист'!$I:$J,2,1)),1+(1-$AU148))</f>
        <v>1</v>
      </c>
      <c r="BN148" s="15">
        <f>MIN(IF($AU148=100%,1,1+VLOOKUP(($AJ148-$AI148-$AH148-$AG148-$AF148-$AE148*(1+BN$3))/$AJ148,'Технический лист'!$I:$J,2,1)-VLOOKUP($AO148,'Технический лист'!$I:$J,2,1)),1+(1-$AU148))</f>
        <v>1</v>
      </c>
      <c r="BO148" s="15">
        <f>MIN(IF($AU148=100%,1,1+VLOOKUP(($AJ148-$AI148-$AH148-$AG148-$AF148-$AE148*(1+BO$3))/$AJ148,'Технический лист'!$I:$J,2,1)-VLOOKUP($AO148,'Технический лист'!$I:$J,2,1)),1+(1-$AU148))</f>
        <v>1</v>
      </c>
      <c r="BP148" s="15">
        <f>MIN(IF($AU148=100%,1,1+VLOOKUP(($AJ148-$AI148-$AH148-$AG148-$AF148-$AE148*(1+BP$3))/$AJ148,'Технический лист'!$I:$J,2,1)-VLOOKUP($AO148,'Технический лист'!$I:$J,2,1)),1+(1-$AU148))</f>
        <v>1</v>
      </c>
      <c r="BQ148" s="15">
        <f>MIN(IF($AU148=100%,1,1+VLOOKUP(($AJ148-$AI148-$AH148-$AG148-$AF148-$AE148*(1+BQ$3))/$AJ148,'Технический лист'!$I:$J,2,1)-VLOOKUP($AO148,'Технический лист'!$I:$J,2,1)),1+(1-$AU148))</f>
        <v>1</v>
      </c>
      <c r="BR148" s="15">
        <f>MIN(IF($AU148=100%,1,1+VLOOKUP(($AJ148-$AI148-$AH148-$AG148-$AF148-$AE148*(1+BR$3))/$AJ148,'Технический лист'!$I:$J,2,1)-VLOOKUP($AO148,'Технический лист'!$I:$J,2,1)),1+(1-$AU148))</f>
        <v>1</v>
      </c>
      <c r="BS148" s="15">
        <f>MIN(IF($AU148=100%,1,1+VLOOKUP(($AJ148-$AI148-$AH148-$AG148-$AF148-$AE148*(1+BS$3))/$AJ148,'Технический лист'!$I:$J,2,1)-VLOOKUP($AO148,'Технический лист'!$I:$J,2,1)),1+(1-$AU148))</f>
        <v>1</v>
      </c>
      <c r="BT148" s="15">
        <f>MIN(IF($AU148=100%,1,1+VLOOKUP(($AJ148-$AI148-$AH148-$AG148-$AF148-$AE148*(1+BT$3))/$AJ148,'Технический лист'!$I:$J,2,1)-VLOOKUP($AO148,'Технический лист'!$I:$J,2,1)),1+(1-$AU148))</f>
        <v>1</v>
      </c>
      <c r="BU148" s="15">
        <f>MIN(IF($AU148=100%,1,1+VLOOKUP(($AJ148-$AI148-$AH148-$AG148-$AF148-$AE148*(1+BU$3))/$AJ148,'Технический лист'!$I:$J,2,1)-VLOOKUP($AO148,'Технический лист'!$I:$J,2,1)),1+(1-$AU148))</f>
        <v>1</v>
      </c>
      <c r="BV148" s="15">
        <f>MIN(IF($AU148=100%,1,1+VLOOKUP(($AJ148-$AI148-$AH148-$AG148-$AF148-$AE148*(1+BV$3))/$AJ148,'Технический лист'!$I:$J,2,1)-VLOOKUP($AO148,'Технический лист'!$I:$J,2,1)),1+(1-$AU148))</f>
        <v>1</v>
      </c>
      <c r="BW148" s="15">
        <f>MIN(IF($AU148=100%,1,1+VLOOKUP(($AJ148-$AI148-$AH148-$AG148-$AF148-$AE148*(1+BW$3))/$AJ148,'Технический лист'!$I:$J,2,1)-VLOOKUP($AO148,'Технический лист'!$I:$J,2,1)),1+(1-$AU148))</f>
        <v>1</v>
      </c>
      <c r="BX148" s="15">
        <f>MIN(IF($AU148=100%,1,1+VLOOKUP(($AJ148-$AI148-$AH148-$AG148-$AF148-$AE148*(1+BX$3))/$AJ148,'Технический лист'!$I:$J,2,1)-VLOOKUP($AO148,'Технический лист'!$I:$J,2,1)),1+(1-$AU148))</f>
        <v>1</v>
      </c>
      <c r="BY148" s="15">
        <f>MIN(IF($AU148=100%,1,1+VLOOKUP(($AJ148-$AI148-$AH148-$AG148-$AF148-$AE148*(1+BY$3))/$AJ148,'Технический лист'!$I:$J,2,1)-VLOOKUP($AO148,'Технический лист'!$I:$J,2,1)),1+(1-$AU148))</f>
        <v>1</v>
      </c>
      <c r="BZ148" s="15">
        <f>MIN(IF($AU148=100%,1,1+VLOOKUP(($AJ148-$AI148-$AH148-$AG148-$AF148-$AE148*(1+BZ$3))/$AJ148,'Технический лист'!$I:$J,2,1)-VLOOKUP($AO148,'Технический лист'!$I:$J,2,1)),1+(1-$AU148))</f>
        <v>1</v>
      </c>
      <c r="CA148" s="15">
        <f>MIN(IF($AU148=100%,1,1+VLOOKUP(($AJ148-$AI148-$AH148-$AG148-$AF148-$AE148*(1+CA$3))/$AJ148,'Технический лист'!$I:$J,2,1)-VLOOKUP($AO148,'Технический лист'!$I:$J,2,1)),1+(1-$AU148))</f>
        <v>1</v>
      </c>
      <c r="CB148" s="15">
        <f>MIN(IF($AU148=100%,1,1+VLOOKUP(($AJ148-$AI148-$AH148-$AG148-$AF148-$AE148*(1+CB$3))/$AJ148,'Технический лист'!$I:$J,2,1)-VLOOKUP($AO148,'Технический лист'!$I:$J,2,1)),1+(1-$AU148))</f>
        <v>1</v>
      </c>
      <c r="CC148" s="15">
        <f>MIN(IF($AU148=100%,1,1+VLOOKUP(($AJ148-$AI148-$AH148-$AG148-$AF148-$AE148*(1+CC$3))/$AJ148,'Технический лист'!$I:$J,2,1)-VLOOKUP($AO148,'Технический лист'!$I:$J,2,1)),1+(1-$AU148))</f>
        <v>1</v>
      </c>
      <c r="CD148" s="15">
        <f>MIN(IF($AU148=100%,1,1+VLOOKUP(($AJ148-$AI148-$AH148-$AG148-$AF148-$AE148*(1+CD$3))/$AJ148,'Технический лист'!$I:$J,2,1)-VLOOKUP($AO148,'Технический лист'!$I:$J,2,1)),1+(1-$AU148))</f>
        <v>1</v>
      </c>
      <c r="CE148" s="15">
        <f>MIN(IF($AU148=100%,1,1+VLOOKUP(($AJ148-$AI148-$AH148-$AG148-$AF148-$AE148*(1+CE$3))/$AJ148,'Технический лист'!$I:$J,2,1)-VLOOKUP($AO148,'Технический лист'!$I:$J,2,1)),1+(1-$AU148))</f>
        <v>1</v>
      </c>
      <c r="CF148" s="15">
        <f>MIN(IF($AU148=100%,1,1+VLOOKUP(($AJ148-$AI148-$AH148-$AG148-$AF148-$AE148*(1+CF$3))/$AJ148,'Технический лист'!$I:$J,2,1)-VLOOKUP($AO148,'Технический лист'!$I:$J,2,1)),1+(1-$AU148))</f>
        <v>1</v>
      </c>
      <c r="CG148" s="15">
        <f>MIN(IF($AU148=100%,1,1+VLOOKUP(($AJ148-$AI148-$AH148-$AG148-$AF148-$AE148*(1+CG$3))/$AJ148,'Технический лист'!$I:$J,2,1)-VLOOKUP($AO148,'Технический лист'!$I:$J,2,1)),1+(1-$AU148))</f>
        <v>1</v>
      </c>
      <c r="CH148" s="15">
        <f>MIN(IF($AU148=100%,1,1+VLOOKUP(($AJ148-$AI148-$AH148-$AG148-$AF148-$AE148*(1+CH$3))/$AJ148,'Технический лист'!$I:$J,2,1)-VLOOKUP($AO148,'Технический лист'!$I:$J,2,1)),1+(1-$AU148))</f>
        <v>1</v>
      </c>
      <c r="CI148" s="15">
        <f>MIN(IF($AU148=100%,1,1+VLOOKUP(($AJ148-$AI148-$AH148-$AG148-$AF148-$AE148*(1+CI$3))/$AJ148,'Технический лист'!$I:$J,2,1)-VLOOKUP($AO148,'Технический лист'!$I:$J,2,1)),1+(1-$AU148))</f>
        <v>1</v>
      </c>
      <c r="CJ148" s="15">
        <f>MIN(IF($AU148=100%,1,1+VLOOKUP(($AJ148-$AI148-$AH148-$AG148-$AF148-$AE148*(1+CJ$3))/$AJ148,'Технический лист'!$I:$J,2,1)-VLOOKUP($AO148,'Технический лист'!$I:$J,2,1)),1+(1-$AU148))</f>
        <v>1</v>
      </c>
      <c r="CK148" s="15">
        <f>MIN(IF($AU148=100%,1,1+VLOOKUP(($AJ148-$AI148-$AH148-$AG148-$AF148-$AE148*(1+CK$3))/$AJ148,'Технический лист'!$I:$J,2,1)-VLOOKUP($AO148,'Технический лист'!$I:$J,2,1)),1+(1-$AU148))</f>
        <v>1</v>
      </c>
      <c r="CL148" s="15">
        <f>MIN(IF($AU148=100%,1,1+VLOOKUP(($AJ148-$AI148-$AH148-$AG148-$AF148-$AE148*(1+CL$3))/$AJ148,'Технический лист'!$I:$J,2,1)-VLOOKUP($AO148,'Технический лист'!$I:$J,2,1)),1+(1-$AU148))</f>
        <v>1</v>
      </c>
      <c r="CM148" s="15">
        <f>MIN(IF($AU148=100%,1,1+VLOOKUP(($AJ148-$AI148-$AH148-$AG148-$AF148-$AE148*(1+CM$3))/$AJ148,'Технический лист'!$I:$J,2,1)-VLOOKUP($AO148,'Технический лист'!$I:$J,2,1)),1+(1-$AU148))</f>
        <v>1</v>
      </c>
      <c r="CN148" s="15">
        <f>MIN(IF($AU148=100%,1,1+VLOOKUP(($AJ148-$AI148-$AH148-$AG148-$AF148-$AE148*(1+CN$3))/$AJ148,'Технический лист'!$I:$J,2,1)-VLOOKUP($AO148,'Технический лист'!$I:$J,2,1)),1+(1-$AU148))</f>
        <v>1</v>
      </c>
      <c r="CO148" s="15">
        <f>MIN(IF($AU148=100%,1,1+VLOOKUP(($AJ148-$AI148-$AH148-$AG148-$AF148-$AE148*(1+CO$3))/$AJ148,'Технический лист'!$I:$J,2,1)-VLOOKUP($AO148,'Технический лист'!$I:$J,2,1)),1+(1-$AU148))</f>
        <v>1</v>
      </c>
      <c r="CP148" s="15">
        <f>MIN(IF($AU148=100%,1,1+VLOOKUP(($AJ148-$AI148-$AH148-$AG148-$AF148-$AE148*(1+CP$3))/$AJ148,'Технический лист'!$I:$J,2,1)-VLOOKUP($AO148,'Технический лист'!$I:$J,2,1)),1+(1-$AU148))</f>
        <v>1</v>
      </c>
      <c r="CQ148" s="15">
        <f>MIN(IF($AU148=100%,1,1+VLOOKUP(($AJ148-$AI148-$AH148-$AG148-$AF148-$AE148*(1+CQ$3))/$AJ148,'Технический лист'!$I:$J,2,1)-VLOOKUP($AO148,'Технический лист'!$I:$J,2,1)),1+(1-$AU148))</f>
        <v>1</v>
      </c>
      <c r="CR148" s="15">
        <f>MIN(IF($AU148=100%,1,1+VLOOKUP(($AJ148-$AI148-$AH148-$AG148-$AF148-$AE148*(1+CR$3))/$AJ148,'Технический лист'!$I:$J,2,1)-VLOOKUP($AO148,'Технический лист'!$I:$J,2,1)),1+(1-$AU148))</f>
        <v>1</v>
      </c>
      <c r="CS148" s="15">
        <f>MIN(IF($AU148=100%,1,1+VLOOKUP(($AJ148-$AI148-$AH148-$AG148-$AF148-$AE148*(1+CS$3))/$AJ148,'Технический лист'!$I:$J,2,1)-VLOOKUP($AO148,'Технический лист'!$I:$J,2,1)),1+(1-$AU148))</f>
        <v>1</v>
      </c>
      <c r="CT148" s="15">
        <f>MIN(IF($AU148=100%,1,1+VLOOKUP(($AJ148-$AI148-$AH148-$AG148-$AF148-$AE148*(1+CT$3))/$AJ148,'Технический лист'!$I:$J,2,1)-VLOOKUP($AO148,'Технический лист'!$I:$J,2,1)),1+(1-$AU148))</f>
        <v>1</v>
      </c>
      <c r="CU148" s="15">
        <f>MIN(IF($AU148=100%,1,1+VLOOKUP(($AJ148-$AI148-$AH148-$AG148-$AF148-$AE148*(1+CU$3))/$AJ148,'Технический лист'!$I:$J,2,1)-VLOOKUP($AO148,'Технический лист'!$I:$J,2,1)),1+(1-$AU148))</f>
        <v>1</v>
      </c>
      <c r="CV148" s="15">
        <f>MIN(IF($AU148=100%,1,1+VLOOKUP(($AJ148-$AI148-$AH148-$AG148-$AF148-$AE148*(1+CV$3))/$AJ148,'Технический лист'!$I:$J,2,1)-VLOOKUP($AO148,'Технический лист'!$I:$J,2,1)),1+(1-$AU148))</f>
        <v>1</v>
      </c>
      <c r="CW148" s="15">
        <f>MIN(IF($AU148=100%,1,1+VLOOKUP(($AJ148-$AI148-$AH148-$AG148-$AF148-$AE148*(1+CW$3))/$AJ148,'Технический лист'!$I:$J,2,1)-VLOOKUP($AO148,'Технический лист'!$I:$J,2,1)),1+(1-$AU148))</f>
        <v>1</v>
      </c>
      <c r="CX148" s="15">
        <f>MIN(IF($AU148=100%,1,1+VLOOKUP(($AJ148-$AI148-$AH148-$AG148-$AF148-$AE148*(1+CX$3))/$AJ148,'Технический лист'!$I:$J,2,1)-VLOOKUP($AO148,'Технический лист'!$I:$J,2,1)),1+(1-$AU148))</f>
        <v>1</v>
      </c>
      <c r="CY148" s="15">
        <f>MIN(IF($AU148=100%,1,1+VLOOKUP(($AJ148-$AI148-$AH148-$AG148-$AF148-$AE148*(1+CY$3))/$AJ148,'Технический лист'!$I:$J,2,1)-VLOOKUP($AO148,'Технический лист'!$I:$J,2,1)),1+(1-$AU148))</f>
        <v>1</v>
      </c>
      <c r="CZ148" s="15">
        <f>MIN(IF($AU148=100%,1,1+VLOOKUP(($AJ148-$AI148-$AH148-$AG148-$AF148-$AE148*(1+CZ$3))/$AJ148,'Технический лист'!$I:$J,2,1)-VLOOKUP($AO148,'Технический лист'!$I:$J,2,1)),1+(1-$AU148))</f>
        <v>1</v>
      </c>
      <c r="DA148" s="15">
        <f>MIN(IF($AU148=100%,1,1+VLOOKUP(($AJ148-$AI148-$AH148-$AG148-$AF148-$AE148*(1+DA$3))/$AJ148,'Технический лист'!$I:$J,2,1)-VLOOKUP($AO148,'Технический лист'!$I:$J,2,1)),1+(1-$AU148))</f>
        <v>1</v>
      </c>
      <c r="DB148" s="15">
        <f>MIN(IF($AU148=100%,1,1+VLOOKUP(($AJ148-$AI148-$AH148-$AG148-$AF148-$AE148*(1+DB$3))/$AJ148,'Технический лист'!$I:$J,2,1)-VLOOKUP($AO148,'Технический лист'!$I:$J,2,1)),1+(1-$AU148))</f>
        <v>1</v>
      </c>
      <c r="DC148" s="15">
        <f>MIN(IF($AU148=100%,1,1+VLOOKUP(($AJ148-$AI148-$AH148-$AG148-$AF148-$AE148*(1+DC$3))/$AJ148,'Технический лист'!$I:$J,2,1)-VLOOKUP($AO148,'Технический лист'!$I:$J,2,1)),1+(1-$AU148))</f>
        <v>1</v>
      </c>
      <c r="DD148" s="15">
        <f>MIN(IF($AU148=100%,1,1+VLOOKUP(($AJ148-$AI148-$AH148-$AG148-$AF148-$AE148*(1+DD$3))/$AJ148,'Технический лист'!$I:$J,2,1)-VLOOKUP($AO148,'Технический лист'!$I:$J,2,1)),1+(1-$AU148))</f>
        <v>1</v>
      </c>
      <c r="DE148" s="15">
        <f>MIN(IF($AU148=100%,1,1+VLOOKUP(($AJ148-$AI148-$AH148-$AG148-$AF148-$AE148*(1+DE$3))/$AJ148,'Технический лист'!$I:$J,2,1)-VLOOKUP($AO148,'Технический лист'!$I:$J,2,1)),1+(1-$AU148))</f>
        <v>1</v>
      </c>
      <c r="DF148" s="15">
        <f>MIN(IF($AU148=100%,1,1+VLOOKUP(($AJ148-$AI148-$AH148-$AG148-$AF148-$AE148*(1+DF$3))/$AJ148,'Технический лист'!$I:$J,2,1)-VLOOKUP($AO148,'Технический лист'!$I:$J,2,1)),1+(1-$AU148))</f>
        <v>1</v>
      </c>
      <c r="DG148" s="15">
        <f>MIN(IF($AU148=100%,1,1+VLOOKUP(($AJ148-$AI148-$AH148-$AG148-$AF148-$AE148*(1+DG$3))/$AJ148,'Технический лист'!$I:$J,2,1)-VLOOKUP($AO148,'Технический лист'!$I:$J,2,1)),1+(1-$AU148))</f>
        <v>1</v>
      </c>
      <c r="DH148" s="15">
        <f>MIN(IF($AU148=100%,1,1+VLOOKUP(($AJ148-$AI148-$AH148-$AG148-$AF148-$AE148*(1+DH$3))/$AJ148,'Технический лист'!$I:$J,2,1)-VLOOKUP($AO148,'Технический лист'!$I:$J,2,1)),1+(1-$AU148))</f>
        <v>1</v>
      </c>
      <c r="DI148" s="15">
        <f>MIN(IF($AU148=100%,1,1+VLOOKUP(($AJ148-$AI148-$AH148-$AG148-$AF148-$AE148*(1+DI$3))/$AJ148,'Технический лист'!$I:$J,2,1)-VLOOKUP($AO148,'Технический лист'!$I:$J,2,1)),1+(1-$AU148))</f>
        <v>1</v>
      </c>
      <c r="DJ148" s="15">
        <f>MIN(IF($AU148=100%,1,1+VLOOKUP(($AJ148-$AI148-$AH148-$AG148-$AF148-$AE148*(1+DJ$3))/$AJ148,'Технический лист'!$I:$J,2,1)-VLOOKUP($AO148,'Технический лист'!$I:$J,2,1)),1+(1-$AU148))</f>
        <v>1</v>
      </c>
      <c r="DK148" s="15">
        <f>MIN(IF($AU148=100%,1,1+VLOOKUP(($AJ148-$AI148-$AH148-$AG148-$AF148-$AE148*(1+DK$3))/$AJ148,'Технический лист'!$I:$J,2,1)-VLOOKUP($AO148,'Технический лист'!$I:$J,2,1)),1+(1-$AU148))</f>
        <v>1</v>
      </c>
      <c r="DL148" s="15">
        <f>MIN(IF($AU148=100%,1,1+VLOOKUP(($AJ148-$AI148-$AH148-$AG148-$AF148-$AE148*(1+DL$3))/$AJ148,'Технический лист'!$I:$J,2,1)-VLOOKUP($AO148,'Технический лист'!$I:$J,2,1)),1+(1-$AU148))</f>
        <v>1</v>
      </c>
      <c r="DM148" s="15">
        <f>MIN(IF($AU148=100%,1,1+VLOOKUP(($AJ148-$AI148-$AH148-$AG148-$AF148-$AE148*(1+DM$3))/$AJ148,'Технический лист'!$I:$J,2,1)-VLOOKUP($AO148,'Технический лист'!$I:$J,2,1)),1+(1-$AU148))</f>
        <v>1</v>
      </c>
      <c r="DN148" s="15">
        <f>MIN(IF($AU148=100%,1,1+VLOOKUP(($AJ148-$AI148-$AH148-$AG148-$AF148-$AE148*(1+DN$3))/$AJ148,'Технический лист'!$I:$J,2,1)-VLOOKUP($AO148,'Технический лист'!$I:$J,2,1)),1+(1-$AU148))</f>
        <v>1</v>
      </c>
      <c r="DO148" s="15">
        <f>MIN(IF($AU148=100%,1,1+VLOOKUP(($AJ148-$AI148-$AH148-$AG148-$AF148-$AE148*(1+DO$3))/$AJ148,'Технический лист'!$I:$J,2,1)-VLOOKUP($AO148,'Технический лист'!$I:$J,2,1)),1+(1-$AU148))</f>
        <v>1</v>
      </c>
      <c r="DP148" s="15">
        <f>MIN(IF($AU148=100%,1,1+VLOOKUP(($AJ148-$AI148-$AH148-$AG148-$AF148-$AE148*(1+DP$3))/$AJ148,'Технический лист'!$I:$J,2,1)-VLOOKUP($AO148,'Технический лист'!$I:$J,2,1)),1+(1-$AU148))</f>
        <v>1</v>
      </c>
      <c r="DQ148" s="15">
        <f>MIN(IF($AU148=100%,1,1+VLOOKUP(($AJ148-$AI148-$AH148-$AG148-$AF148-$AE148*(1+DQ$3))/$AJ148,'Технический лист'!$I:$J,2,1)-VLOOKUP($AO148,'Технический лист'!$I:$J,2,1)),1+(1-$AU148))</f>
        <v>1</v>
      </c>
      <c r="DR148" s="15">
        <f>MIN(IF($AU148=100%,1,1+VLOOKUP(($AJ148-$AI148-$AH148-$AG148-$AF148-$AE148*(1+DR$3))/$AJ148,'Технический лист'!$I:$J,2,1)-VLOOKUP($AO148,'Технический лист'!$I:$J,2,1)),1+(1-$AU148))</f>
        <v>1</v>
      </c>
      <c r="DS148" s="15">
        <f>MIN(IF($AU148=100%,1,1+VLOOKUP(($AJ148-$AI148-$AH148-$AG148-$AF148-$AE148*(1+DS$3))/$AJ148,'Технический лист'!$I:$J,2,1)-VLOOKUP($AO148,'Технический лист'!$I:$J,2,1)),1+(1-$AU148))</f>
        <v>1</v>
      </c>
      <c r="DT148" s="15">
        <f>MIN(IF($AU148=100%,1,1+VLOOKUP(($AJ148-$AI148-$AH148-$AG148-$AF148-$AE148*(1+DT$3))/$AJ148,'Технический лист'!$I:$J,2,1)-VLOOKUP($AO148,'Технический лист'!$I:$J,2,1)),1+(1-$AU148))</f>
        <v>1</v>
      </c>
      <c r="DU148" s="15">
        <f>MIN(IF($AU148=100%,1,1+VLOOKUP(($AJ148-$AI148-$AH148-$AG148-$AF148-$AE148*(1+DU$3))/$AJ148,'Технический лист'!$I:$J,2,1)-VLOOKUP($AO148,'Технический лист'!$I:$J,2,1)),1+(1-$AU148))</f>
        <v>1</v>
      </c>
      <c r="DV148" s="15">
        <f>MIN(IF($AU148=100%,1,1+VLOOKUP(($AJ148-$AI148-$AH148-$AG148-$AF148-$AE148*(1+DV$3))/$AJ148,'Технический лист'!$I:$J,2,1)-VLOOKUP($AO148,'Технический лист'!$I:$J,2,1)),1+(1-$AU148))</f>
        <v>1</v>
      </c>
      <c r="DW148" s="15">
        <f>MIN(IF($AU148=100%,1,1+VLOOKUP(($AJ148-$AI148-$AH148-$AG148-$AF148-$AE148*(1+DW$3))/$AJ148,'Технический лист'!$I:$J,2,1)-VLOOKUP($AO148,'Технический лист'!$I:$J,2,1)),1+(1-$AU148))</f>
        <v>1</v>
      </c>
      <c r="DX148" s="15">
        <f>MIN(IF($AU148=100%,1,1+VLOOKUP(($AJ148-$AI148-$AH148-$AG148-$AF148-$AE148*(1+DX$3))/$AJ148,'Технический лист'!$I:$J,2,1)-VLOOKUP($AO148,'Технический лист'!$I:$J,2,1)),1+(1-$AU148))</f>
        <v>1</v>
      </c>
      <c r="DY148" s="15">
        <f>MIN(IF($AU148=100%,1,1+VLOOKUP(($AJ148-$AI148-$AH148-$AG148-$AF148-$AE148*(1+DY$3))/$AJ148,'Технический лист'!$I:$J,2,1)-VLOOKUP($AO148,'Технический лист'!$I:$J,2,1)),1+(1-$AU148))</f>
        <v>1</v>
      </c>
      <c r="DZ148" s="15">
        <f>MIN(IF($AU148=100%,1,1+VLOOKUP(($AJ148-$AI148-$AH148-$AG148-$AF148-$AE148*(1+DZ$3))/$AJ148,'Технический лист'!$I:$J,2,1)-VLOOKUP($AO148,'Технический лист'!$I:$J,2,1)),1+(1-$AU148))</f>
        <v>1</v>
      </c>
      <c r="EA148" s="15">
        <f>MIN(IF($AU148=100%,1,1+VLOOKUP(($AJ148-$AI148-$AH148-$AG148-$AF148-$AE148*(1+EA$3))/$AJ148,'Технический лист'!$I:$J,2,1)-VLOOKUP($AO148,'Технический лист'!$I:$J,2,1)),1+(1-$AU148))</f>
        <v>1</v>
      </c>
      <c r="EB148" s="15">
        <f>MIN(IF($AU148=100%,1,1+VLOOKUP(($AJ148-$AI148-$AH148-$AG148-$AF148-$AE148*(1+EB$3))/$AJ148,'Технический лист'!$I:$J,2,1)-VLOOKUP($AO148,'Технический лист'!$I:$J,2,1)),1+(1-$AU148))</f>
        <v>1</v>
      </c>
      <c r="EC148" s="15">
        <f>MIN(IF($AU148=100%,1,1+VLOOKUP(($AJ148-$AI148-$AH148-$AG148-$AF148-$AE148*(1+EC$3))/$AJ148,'Технический лист'!$I:$J,2,1)-VLOOKUP($AO148,'Технический лист'!$I:$J,2,1)),1+(1-$AU148))</f>
        <v>1</v>
      </c>
      <c r="ED148" s="15">
        <f>MIN(IF($AU148=100%,1,1+VLOOKUP(($AJ148-$AI148-$AH148-$AG148-$AF148-$AE148*(1+ED$3))/$AJ148,'Технический лист'!$I:$J,2,1)-VLOOKUP($AO148,'Технический лист'!$I:$J,2,1)),1+(1-$AU148))</f>
        <v>1</v>
      </c>
      <c r="EE148" s="15">
        <f>MIN(IF($AU148=100%,1,1+VLOOKUP(($AJ148-$AI148-$AH148-$AG148-$AF148-$AE148*(1+EE$3))/$AJ148,'Технический лист'!$I:$J,2,1)-VLOOKUP($AO148,'Технический лист'!$I:$J,2,1)),1+(1-$AU148))</f>
        <v>1</v>
      </c>
      <c r="EF148" s="15">
        <f>MIN(IF($AU148=100%,1,1+VLOOKUP(($AJ148-$AI148-$AH148-$AG148-$AF148-$AE148*(1+EF$3))/$AJ148,'Технический лист'!$I:$J,2,1)-VLOOKUP($AO148,'Технический лист'!$I:$J,2,1)),1+(1-$AU148))</f>
        <v>1</v>
      </c>
      <c r="EG148" s="15">
        <f>MIN(IF($AU148=100%,1,1+VLOOKUP(($AJ148-$AI148-$AH148-$AG148-$AF148-$AE148*(1+EG$3))/$AJ148,'Технический лист'!$I:$J,2,1)-VLOOKUP($AO148,'Технический лист'!$I:$J,2,1)),1+(1-$AU148))</f>
        <v>1</v>
      </c>
      <c r="EH148" s="15">
        <f>MIN(IF($AU148=100%,1,1+VLOOKUP(($AJ148-$AI148-$AH148-$AG148-$AF148-$AE148*(1+EH$3))/$AJ148,'Технический лист'!$I:$J,2,1)-VLOOKUP($AO148,'Технический лист'!$I:$J,2,1)),1+(1-$AU148))</f>
        <v>1</v>
      </c>
      <c r="EI148" s="15">
        <f>MIN(IF($AU148=100%,1,1+VLOOKUP(($AJ148-$AI148-$AH148-$AG148-$AF148-$AE148*(1+EI$3))/$AJ148,'Технический лист'!$I:$J,2,1)-VLOOKUP($AO148,'Технический лист'!$I:$J,2,1)),1+(1-$AU148))</f>
        <v>1</v>
      </c>
      <c r="EJ148" s="15">
        <f>MIN(IF($AU148=100%,1,1+VLOOKUP(($AJ148-$AI148-$AH148-$AG148-$AF148-$AE148*(1+EJ$3))/$AJ148,'Технический лист'!$I:$J,2,1)-VLOOKUP($AO148,'Технический лист'!$I:$J,2,1)),1+(1-$AU148))</f>
        <v>1</v>
      </c>
      <c r="EK148" s="15">
        <f>MIN(IF($AU148=100%,1,1+VLOOKUP(($AJ148-$AI148-$AH148-$AG148-$AF148-$AE148*(1+EK$3))/$AJ148,'Технический лист'!$I:$J,2,1)-VLOOKUP($AO148,'Технический лист'!$I:$J,2,1)),1+(1-$AU148))</f>
        <v>1</v>
      </c>
      <c r="EL148" s="15">
        <f>MIN(IF($AU148=100%,1,1+VLOOKUP(($AJ148-$AI148-$AH148-$AG148-$AF148-$AE148*(1+EL$3))/$AJ148,'Технический лист'!$I:$J,2,1)-VLOOKUP($AO148,'Технический лист'!$I:$J,2,1)),1+(1-$AU148))</f>
        <v>1</v>
      </c>
      <c r="EM148" s="15">
        <f>MIN(IF($AU148=100%,1,1+VLOOKUP(($AJ148-$AI148-$AH148-$AG148-$AF148-$AE148*(1+EM$3))/$AJ148,'Технический лист'!$I:$J,2,1)-VLOOKUP($AO148,'Технический лист'!$I:$J,2,1)),1+(1-$AU148))</f>
        <v>1</v>
      </c>
      <c r="EN148" s="15">
        <f>MIN(IF($AU148=100%,1,1+VLOOKUP(($AJ148-$AI148-$AH148-$AG148-$AF148-$AE148*(1+EN$3))/$AJ148,'Технический лист'!$I:$J,2,1)-VLOOKUP($AO148,'Технический лист'!$I:$J,2,1)),1+(1-$AU148))</f>
        <v>1</v>
      </c>
      <c r="EO148" s="15">
        <f>MIN(IF($AU148=100%,1,1+VLOOKUP(($AJ148-$AI148-$AH148-$AG148-$AF148-$AE148*(1+EO$3))/$AJ148,'Технический лист'!$I:$J,2,1)-VLOOKUP($AO148,'Технический лист'!$I:$J,2,1)),1+(1-$AU148))</f>
        <v>1</v>
      </c>
      <c r="EP148" s="15">
        <f>MIN(IF($AU148=100%,1,1+VLOOKUP(($AJ148-$AI148-$AH148-$AG148-$AF148-$AE148*(1+EP$3))/$AJ148,'Технический лист'!$I:$J,2,1)-VLOOKUP($AO148,'Технический лист'!$I:$J,2,1)),1+(1-$AU148))</f>
        <v>1</v>
      </c>
      <c r="EQ148" s="15">
        <f>MIN(IF($AU148=100%,1,1+VLOOKUP(($AJ148-$AI148-$AH148-$AG148-$AF148-$AE148*(1+EQ$3))/$AJ148,'Технический лист'!$I:$J,2,1)-VLOOKUP($AO148,'Технический лист'!$I:$J,2,1)),1+(1-$AU148))</f>
        <v>1</v>
      </c>
      <c r="ER148" s="15">
        <f>MIN(IF($AU148=100%,1,1+VLOOKUP(($AJ148-$AI148-$AH148-$AG148-$AF148-$AE148*(1+ER$3))/$AJ148,'Технический лист'!$I:$J,2,1)-VLOOKUP($AO148,'Технический лист'!$I:$J,2,1)),1+(1-$AU148))</f>
        <v>1</v>
      </c>
      <c r="ES148" s="15">
        <f>MIN(IF($AU148=100%,1,1+VLOOKUP(($AJ148-$AI148-$AH148-$AG148-$AF148-$AE148*(1+ES$3))/$AJ148,'Технический лист'!$I:$J,2,1)-VLOOKUP($AO148,'Технический лист'!$I:$J,2,1)),1+(1-$AU148))</f>
        <v>1</v>
      </c>
      <c r="ET148" s="15">
        <f>MIN(IF($AU148=100%,1,1+VLOOKUP(($AJ148-$AI148-$AH148-$AG148-$AF148-$AE148*(1+ET$3))/$AJ148,'Технический лист'!$I:$J,2,1)-VLOOKUP($AO148,'Технический лист'!$I:$J,2,1)),1+(1-$AU148))</f>
        <v>1</v>
      </c>
      <c r="EU148" s="15">
        <f>MIN(IF($AU148=100%,1,1+VLOOKUP(($AJ148-$AI148-$AH148-$AG148-$AF148-$AE148*(1+EU$3))/$AJ148,'Технический лист'!$I:$J,2,1)-VLOOKUP($AO148,'Технический лист'!$I:$J,2,1)),1+(1-$AU148))</f>
        <v>1</v>
      </c>
      <c r="EV148" s="111">
        <v>1</v>
      </c>
      <c r="EW148" s="15">
        <f>MIN(1,MAX(VLOOKUP(($AJ148-$AI148-$AH148-$AG148-$AF148-$AE148*(1+EW$3))/$AJ148,'Технический лист'!$A:$B,2,1),(EV148-0.05)))</f>
        <v>1</v>
      </c>
      <c r="EX148" s="15">
        <f>MIN(1,MAX(VLOOKUP(($AJ148-$AI148-$AH148-$AG148-$AF148-$AE148*(1+EX$3))/$AJ148,'Технический лист'!$A:$B,2,1),(EW148-0.05)))</f>
        <v>1</v>
      </c>
      <c r="EY148" s="15">
        <f>MIN(1,MAX(VLOOKUP(($AJ148-$AI148-$AH148-$AG148-$AF148-$AE148*(1+EY$3))/$AJ148,'Технический лист'!$A:$B,2,1),(EX148-0.05)))</f>
        <v>1</v>
      </c>
      <c r="EZ148" s="15">
        <f>MIN(1,MAX(VLOOKUP(($AJ148-$AI148-$AH148-$AG148-$AF148-$AE148*(1+EZ$3))/$AJ148,'Технический лист'!$A:$B,2,1),(EY148-0.05)))</f>
        <v>1</v>
      </c>
      <c r="FA148" s="15">
        <f>MIN(1,MAX(VLOOKUP(($AJ148-$AI148-$AH148-$AG148-$AF148-$AE148*(1+FA$3))/$AJ148,'Технический лист'!$A:$B,2,1),(EZ148-0.05)))</f>
        <v>1</v>
      </c>
      <c r="FB148" s="15">
        <f>MIN(1,MAX(VLOOKUP(($AJ148-$AI148-$AH148-$AG148-$AF148-$AE148*(1+FB$3))/$AJ148,'Технический лист'!$A:$B,2,1),(FA148-0.05)))</f>
        <v>1</v>
      </c>
      <c r="FC148" s="15">
        <f>MIN(1,MAX(VLOOKUP(($AJ148-$AI148-$AH148-$AG148-$AF148-$AE148*(1+FC$3))/$AJ148,'Технический лист'!$A:$B,2,1),(FB148-0.05)))</f>
        <v>1</v>
      </c>
      <c r="FD148" s="15">
        <f>MIN(1,MAX(VLOOKUP(($AJ148-$AI148-$AH148-$AG148-$AF148-$AE148*(1+FD$3))/$AJ148,'Технический лист'!$A:$B,2,1),(FC148-0.05)))</f>
        <v>1</v>
      </c>
      <c r="FE148" s="15">
        <f>MIN(1,MAX(VLOOKUP(($AJ148-$AI148-$AH148-$AG148-$AF148-$AE148*(1+FE$3))/$AJ148,'Технический лист'!$A:$B,2,1),(FD148-0.05)))</f>
        <v>1</v>
      </c>
      <c r="FF148" s="15">
        <f>MIN(1,MAX(VLOOKUP(($AJ148-$AI148-$AH148-$AG148-$AF148-$AE148*(1+FF$3))/$AJ148,'Технический лист'!$A:$B,2,1),(FE148-0.05)))</f>
        <v>1</v>
      </c>
      <c r="FG148" s="15">
        <f>MIN(1,MAX(VLOOKUP(($AJ148-$AI148-$AH148-$AG148-$AF148-$AE148*(1+FG$3))/$AJ148,'Технический лист'!$A:$B,2,1),(FF148-0.05)))</f>
        <v>1</v>
      </c>
      <c r="FH148" s="15">
        <f>MIN(1,MAX(VLOOKUP(($AJ148-$AI148-$AH148-$AG148-$AF148-$AE148*(1+FH$3))/$AJ148,'Технический лист'!$A:$B,2,1),(FG148-0.05)))</f>
        <v>1</v>
      </c>
      <c r="FI148" s="15">
        <f>MIN(1,MAX(VLOOKUP(($AJ148-$AI148-$AH148-$AG148-$AF148-$AE148*(1+FI$3))/$AJ148,'Технический лист'!$A:$B,2,1),(FH148-0.05)))</f>
        <v>1</v>
      </c>
      <c r="FJ148" s="15">
        <f>MIN(1,MAX(VLOOKUP(($AJ148-$AI148-$AH148-$AG148-$AF148-$AE148*(1+FJ$3))/$AJ148,'Технический лист'!$A:$B,2,1),(FI148-0.05)))</f>
        <v>1</v>
      </c>
      <c r="FK148" s="15">
        <f>MIN(1,MAX(VLOOKUP(($AJ148-$AI148-$AH148-$AG148-$AF148-$AE148*(1+FK$3))/$AJ148,'Технический лист'!$A:$B,2,1),(FJ148-0.05)))</f>
        <v>1</v>
      </c>
      <c r="FL148" s="15">
        <f>MIN(1,MAX(VLOOKUP(($AJ148-$AI148-$AH148-$AG148-$AF148-$AE148*(1+FL$3))/$AJ148,'Технический лист'!$A:$B,2,1),(FK148-0.05)))</f>
        <v>1</v>
      </c>
      <c r="FM148" s="15">
        <f>MIN(1,MAX(VLOOKUP(($AJ148-$AI148-$AH148-$AG148-$AF148-$AE148*(1+FM$3))/$AJ148,'Технический лист'!$A:$B,2,1),(FL148-0.05)))</f>
        <v>1</v>
      </c>
      <c r="FN148" s="15">
        <f>MIN(1,MAX(VLOOKUP(($AJ148-$AI148-$AH148-$AG148-$AF148-$AE148*(1+FN$3))/$AJ148,'Технический лист'!$A:$B,2,1),(FM148-0.05)))</f>
        <v>1</v>
      </c>
      <c r="FO148" s="15">
        <f>MIN(1,MAX(VLOOKUP(($AJ148-$AI148-$AH148-$AG148-$AF148-$AE148*(1+FO$3))/$AJ148,'Технический лист'!$A:$B,2,1),(FN148-0.05)))</f>
        <v>1</v>
      </c>
      <c r="FP148" s="15">
        <f>MIN(1,MAX(VLOOKUP(($AJ148-$AI148-$AH148-$AG148-$AF148-$AE148*(1+FP$3))/$AJ148,'Технический лист'!$A:$B,2,1),(FO148-0.05)))</f>
        <v>1</v>
      </c>
      <c r="FQ148" s="15">
        <f>MIN(1,MAX(VLOOKUP(($AJ148-$AI148-$AH148-$AG148-$AF148-$AE148*(1+FQ$3))/$AJ148,'Технический лист'!$A:$B,2,1),(FP148-0.05)))</f>
        <v>1</v>
      </c>
      <c r="FR148" s="15">
        <f>MIN(1,MAX(VLOOKUP(($AJ148-$AI148-$AH148-$AG148-$AF148-$AE148*(1+FR$3))/$AJ148,'Технический лист'!$A:$B,2,1),(FQ148-0.05)))</f>
        <v>1</v>
      </c>
      <c r="FS148" s="15">
        <f>MIN(1,MAX(VLOOKUP(($AJ148-$AI148-$AH148-$AG148-$AF148-$AE148*(1+FS$3))/$AJ148,'Технический лист'!$A:$B,2,1),(FR148-0.05)))</f>
        <v>1</v>
      </c>
      <c r="FT148" s="15">
        <f>MIN(1,MAX(VLOOKUP(($AJ148-$AI148-$AH148-$AG148-$AF148-$AE148*(1+FT$3))/$AJ148,'Технический лист'!$A:$B,2,1),(FS148-0.05)))</f>
        <v>1</v>
      </c>
      <c r="FU148" s="15">
        <f>MIN(1,MAX(VLOOKUP(($AJ148-$AI148-$AH148-$AG148-$AF148-$AE148*(1+FU$3))/$AJ148,'Технический лист'!$A:$B,2,1),(FT148-0.05)))</f>
        <v>1</v>
      </c>
      <c r="FV148" s="15">
        <f>MIN(1,MAX(VLOOKUP(($AJ148-$AI148-$AH148-$AG148-$AF148-$AE148*(1+FV$3))/$AJ148,'Технический лист'!$A:$B,2,1),(FU148-0.05)))</f>
        <v>1</v>
      </c>
      <c r="FW148" s="15">
        <f>MIN(1,MAX(VLOOKUP(($AJ148-$AI148-$AH148-$AG148-$AF148-$AE148*(1+FW$3))/$AJ148,'Технический лист'!$A:$B,2,1),(FV148-0.05)))</f>
        <v>1</v>
      </c>
      <c r="FX148" s="15">
        <f>MIN(1,MAX(VLOOKUP(($AJ148-$AI148-$AH148-$AG148-$AF148-$AE148*(1+FX$3))/$AJ148,'Технический лист'!$A:$B,2,1),(FW148-0.05)))</f>
        <v>1</v>
      </c>
      <c r="FY148" s="15">
        <f>MIN(1,MAX(VLOOKUP(($AJ148-$AI148-$AH148-$AG148-$AF148-$AE148*(1+FY$3))/$AJ148,'Технический лист'!$A:$B,2,1),(FX148-0.05)))</f>
        <v>1</v>
      </c>
      <c r="FZ148" s="15">
        <f>MIN(1,MAX(VLOOKUP(($AJ148-$AI148-$AH148-$AG148-$AF148-$AE148*(1+FZ$3))/$AJ148,'Технический лист'!$A:$B,2,1),(FY148-0.05)))</f>
        <v>1</v>
      </c>
      <c r="GA148" s="15">
        <f>MIN(1,MAX(VLOOKUP(($AJ148-$AI148-$AH148-$AG148-$AF148-$AE148*(1+GA$3))/$AJ148,'Технический лист'!$A:$B,2,1),(FZ148-0.05)))</f>
        <v>1</v>
      </c>
      <c r="GB148" s="15">
        <f>MIN(1,MAX(VLOOKUP(($AJ148-$AI148-$AH148-$AG148-$AF148-$AE148*(1+GB$3))/$AJ148,'Технический лист'!$A:$B,2,1),(GA148-0.05)))</f>
        <v>1</v>
      </c>
      <c r="GC148" s="15">
        <f>MIN(1,MAX(VLOOKUP(($AJ148-$AI148-$AH148-$AG148-$AF148-$AE148*(1+GC$3))/$AJ148,'Технический лист'!$A:$B,2,1),(GB148-0.05)))</f>
        <v>1</v>
      </c>
      <c r="GD148" s="15">
        <f>MIN(1,MAX(VLOOKUP(($AJ148-$AI148-$AH148-$AG148-$AF148-$AE148*(1+GD$3))/$AJ148,'Технический лист'!$A:$B,2,1),(GC148-0.05)))</f>
        <v>1</v>
      </c>
      <c r="GE148" s="15">
        <f>MIN(1,MAX(VLOOKUP(($AJ148-$AI148-$AH148-$AG148-$AF148-$AE148*(1+GE$3))/$AJ148,'Технический лист'!$A:$B,2,1),(GD148-0.05)))</f>
        <v>1</v>
      </c>
      <c r="GF148" s="15">
        <f>MIN(1,MAX(VLOOKUP(($AJ148-$AI148-$AH148-$AG148-$AF148-$AE148*(1+GF$3))/$AJ148,'Технический лист'!$A:$B,2,1),(GE148-0.05)))</f>
        <v>1</v>
      </c>
      <c r="GG148" s="15">
        <f>MIN(1,MAX(VLOOKUP(($AJ148-$AI148-$AH148-$AG148-$AF148-$AE148*(1+GG$3))/$AJ148,'Технический лист'!$A:$B,2,1),(GF148-0.05)))</f>
        <v>1</v>
      </c>
      <c r="GH148" s="15">
        <f>MIN(1,MAX(VLOOKUP(($AJ148-$AI148-$AH148-$AG148-$AF148-$AE148*(1+GH$3))/$AJ148,'Технический лист'!$A:$B,2,1),(GG148-0.05)))</f>
        <v>1</v>
      </c>
      <c r="GI148" s="15">
        <f>MIN(1,MAX(VLOOKUP(($AJ148-$AI148-$AH148-$AG148-$AF148-$AE148*(1+GI$3))/$AJ148,'Технический лист'!$A:$B,2,1),(GH148-0.05)))</f>
        <v>1</v>
      </c>
      <c r="GJ148" s="15">
        <f>MIN(1,MAX(VLOOKUP(($AJ148-$AI148-$AH148-$AG148-$AF148-$AE148*(1+GJ$3))/$AJ148,'Технический лист'!$A:$B,2,1),(GI148-0.05)))</f>
        <v>1</v>
      </c>
      <c r="GK148" s="15">
        <f>MIN(1,MAX(VLOOKUP(($AJ148-$AI148-$AH148-$AG148-$AF148-$AE148*(1+GK$3))/$AJ148,'Технический лист'!$A:$B,2,1),(GJ148-0.05)))</f>
        <v>1</v>
      </c>
      <c r="GL148" s="15">
        <f>MIN(1,MAX(VLOOKUP(($AJ148-$AI148-$AH148-$AG148-$AF148-$AE148*(1+GL$3))/$AJ148,'Технический лист'!$A:$B,2,1),(GK148-0.05)))</f>
        <v>1</v>
      </c>
      <c r="GM148" s="15">
        <f>MIN(1,MAX(VLOOKUP(($AJ148-$AI148-$AH148-$AG148-$AF148-$AE148*(1+GM$3))/$AJ148,'Технический лист'!$A:$B,2,1),(GL148-0.05)))</f>
        <v>1</v>
      </c>
      <c r="GN148" s="15">
        <f>MIN(1,MAX(VLOOKUP(($AJ148-$AI148-$AH148-$AG148-$AF148-$AE148*(1+GN$3))/$AJ148,'Технический лист'!$A:$B,2,1),(GM148-0.05)))</f>
        <v>1</v>
      </c>
      <c r="GO148" s="15">
        <f>MIN(1,MAX(VLOOKUP(($AJ148-$AI148-$AH148-$AG148-$AF148-$AE148*(1+GO$3))/$AJ148,'Технический лист'!$A:$B,2,1),(GN148-0.05)))</f>
        <v>1</v>
      </c>
      <c r="GP148" s="15">
        <f>MIN(1,MAX(VLOOKUP(($AJ148-$AI148-$AH148-$AG148-$AF148-$AE148*(1+GP$3))/$AJ148,'Технический лист'!$A:$B,2,1),(GO148-0.05)))</f>
        <v>1</v>
      </c>
      <c r="GQ148" s="15">
        <f>MIN(1,MAX(VLOOKUP(($AJ148-$AI148-$AH148-$AG148-$AF148-$AE148*(1+GQ$3))/$AJ148,'Технический лист'!$A:$B,2,1),(GP148-0.05)))</f>
        <v>1</v>
      </c>
      <c r="GR148" s="15">
        <f>MIN(1,MAX(VLOOKUP(($AJ148-$AI148-$AH148-$AG148-$AF148-$AE148*(1+GR$3))/$AJ148,'Технический лист'!$A:$B,2,1),(GQ148-0.05)))</f>
        <v>1</v>
      </c>
      <c r="GS148" s="15">
        <f>MIN(1,MAX(VLOOKUP(($AJ148-$AI148-$AH148-$AG148-$AF148-$AE148*(1+GS$3))/$AJ148,'Технический лист'!$A:$B,2,1),(GR148-0.05)))</f>
        <v>1</v>
      </c>
      <c r="GT148" s="15">
        <f>MIN(1,MAX(VLOOKUP(($AJ148-$AI148-$AH148-$AG148-$AF148-$AE148*(1+GT$3))/$AJ148,'Технический лист'!$A:$B,2,1),(GS148-0.05)))</f>
        <v>1</v>
      </c>
      <c r="GU148" s="15">
        <f>MIN(1,MAX(VLOOKUP(($AJ148-$AI148-$AH148-$AG148-$AF148-$AE148*(1+GU$3))/$AJ148,'Технический лист'!$A:$B,2,1),(GT148-0.05)))</f>
        <v>1</v>
      </c>
      <c r="GV148" s="15">
        <f>MIN(1,MAX(VLOOKUP(($AJ148-$AI148-$AH148-$AG148-$AF148-$AE148*(1+GV$3))/$AJ148,'Технический лист'!$A:$B,2,1),(GU148-0.05)))</f>
        <v>1</v>
      </c>
      <c r="GW148" s="15">
        <f>MIN(1,MAX(VLOOKUP(($AJ148-$AI148-$AH148-$AG148-$AF148-$AE148*(1+GW$3))/$AJ148,'Технический лист'!$A:$B,2,1),(GV148-0.05)))</f>
        <v>1</v>
      </c>
      <c r="GX148" s="15">
        <f>MIN(1,MAX(VLOOKUP(($AJ148-$AI148-$AH148-$AG148-$AF148-$AE148*(1+GX$3))/$AJ148,'Технический лист'!$A:$B,2,1),(GW148-0.05)))</f>
        <v>1</v>
      </c>
      <c r="GY148" s="15">
        <f>MIN(1,MAX(VLOOKUP(($AJ148-$AI148-$AH148-$AG148-$AF148-$AE148*(1+GY$3))/$AJ148,'Технический лист'!$A:$B,2,1),(GX148-0.05)))</f>
        <v>1</v>
      </c>
      <c r="GZ148" s="15">
        <f>MIN(1,MAX(VLOOKUP(($AJ148-$AI148-$AH148-$AG148-$AF148-$AE148*(1+GZ$3))/$AJ148,'Технический лист'!$A:$B,2,1),(GY148-0.05)))</f>
        <v>1</v>
      </c>
      <c r="HA148" s="15">
        <f>MIN(1,MAX(VLOOKUP(($AJ148-$AI148-$AH148-$AG148-$AF148-$AE148*(1+HA$3))/$AJ148,'Технический лист'!$A:$B,2,1),(GZ148-0.05)))</f>
        <v>1</v>
      </c>
      <c r="HB148" s="15">
        <f>MIN(1,MAX(VLOOKUP(($AJ148-$AI148-$AH148-$AG148-$AF148-$AE148*(1+HB$3))/$AJ148,'Технический лист'!$A:$B,2,1),(HA148-0.05)))</f>
        <v>1</v>
      </c>
      <c r="HC148" s="15">
        <f>MIN(1,MAX(VLOOKUP(($AJ148-$AI148-$AH148-$AG148-$AF148-$AE148*(1+HC$3))/$AJ148,'Технический лист'!$A:$B,2,1),(HB148-0.05)))</f>
        <v>1</v>
      </c>
      <c r="HD148" s="15">
        <f>MIN(1,MAX(VLOOKUP(($AJ148-$AI148-$AH148-$AG148-$AF148-$AE148*(1+HD$3))/$AJ148,'Технический лист'!$A:$B,2,1),(HC148-0.05)))</f>
        <v>1</v>
      </c>
      <c r="HE148" s="15">
        <f>MIN(1,MAX(VLOOKUP(($AJ148-$AI148-$AH148-$AG148-$AF148-$AE148*(1+HE$3))/$AJ148,'Технический лист'!$A:$B,2,1),(HD148-0.05)))</f>
        <v>1</v>
      </c>
      <c r="HF148" s="15">
        <f>MIN(1,MAX(VLOOKUP(($AJ148-$AI148-$AH148-$AG148-$AF148-$AE148*(1+HF$3))/$AJ148,'Технический лист'!$A:$B,2,1),(HE148-0.05)))</f>
        <v>1</v>
      </c>
      <c r="HG148" s="15">
        <f>MIN(1,MAX(VLOOKUP(($AJ148-$AI148-$AH148-$AG148-$AF148-$AE148*(1+HG$3))/$AJ148,'Технический лист'!$A:$B,2,1),(HF148-0.05)))</f>
        <v>1</v>
      </c>
      <c r="HH148" s="15">
        <f>MIN(1,MAX(VLOOKUP(($AJ148-$AI148-$AH148-$AG148-$AF148-$AE148*(1+HH$3))/$AJ148,'Технический лист'!$A:$B,2,1),(HG148-0.05)))</f>
        <v>1</v>
      </c>
      <c r="HI148" s="15">
        <f>MIN(1,MAX(VLOOKUP(($AJ148-$AI148-$AH148-$AG148-$AF148-$AE148*(1+HI$3))/$AJ148,'Технический лист'!$A:$B,2,1),(HH148-0.05)))</f>
        <v>1</v>
      </c>
      <c r="HJ148" s="15">
        <f>MIN(1,MAX(VLOOKUP(($AJ148-$AI148-$AH148-$AG148-$AF148-$AE148*(1+HJ$3))/$AJ148,'Технический лист'!$A:$B,2,1),(HI148-0.05)))</f>
        <v>1</v>
      </c>
      <c r="HK148" s="15">
        <f>MIN(1,MAX(VLOOKUP(($AJ148-$AI148-$AH148-$AG148-$AF148-$AE148*(1+HK$3))/$AJ148,'Технический лист'!$A:$B,2,1),(HJ148-0.05)))</f>
        <v>1</v>
      </c>
      <c r="HL148" s="15">
        <f>MIN(1,MAX(VLOOKUP(($AJ148-$AI148-$AH148-$AG148-$AF148-$AE148*(1+HL$3))/$AJ148,'Технический лист'!$A:$B,2,1),(HK148-0.05)))</f>
        <v>1</v>
      </c>
      <c r="HM148" s="15">
        <f>MIN(1,MAX(VLOOKUP(($AJ148-$AI148-$AH148-$AG148-$AF148-$AE148*(1+HM$3))/$AJ148,'Технический лист'!$A:$B,2,1),(HL148-0.05)))</f>
        <v>1</v>
      </c>
      <c r="HN148" s="15">
        <f>MIN(1,MAX(VLOOKUP(($AJ148-$AI148-$AH148-$AG148-$AF148-$AE148*(1+HN$3))/$AJ148,'Технический лист'!$A:$B,2,1),(HM148-0.05)))</f>
        <v>1</v>
      </c>
      <c r="HO148" s="15">
        <f>MIN(1,MAX(VLOOKUP(($AJ148-$AI148-$AH148-$AG148-$AF148-$AE148*(1+HO$3))/$AJ148,'Технический лист'!$A:$B,2,1),(HN148-0.05)))</f>
        <v>1</v>
      </c>
      <c r="HP148" s="15">
        <f>MIN(1,MAX(VLOOKUP(($AJ148-$AI148-$AH148-$AG148-$AF148-$AE148*(1+HP$3))/$AJ148,'Технический лист'!$A:$B,2,1),(HO148-0.05)))</f>
        <v>1</v>
      </c>
      <c r="HQ148" s="15">
        <f>MIN(1,MAX(VLOOKUP(($AJ148-$AI148-$AH148-$AG148-$AF148-$AE148*(1+HQ$3))/$AJ148,'Технический лист'!$A:$B,2,1),(HP148-0.05)))</f>
        <v>1</v>
      </c>
      <c r="HR148" s="15">
        <f>MIN(1,MAX(VLOOKUP(($AJ148-$AI148-$AH148-$AG148-$AF148-$AE148*(1+HR$3))/$AJ148,'Технический лист'!$A:$B,2,1),(HQ148-0.05)))</f>
        <v>1</v>
      </c>
      <c r="HS148" s="15">
        <f>MIN(1,MAX(VLOOKUP(($AJ148-$AI148-$AH148-$AG148-$AF148-$AE148*(1+HS$3))/$AJ148,'Технический лист'!$A:$B,2,1),(HR148-0.05)))</f>
        <v>1</v>
      </c>
      <c r="HT148" s="15">
        <f>MIN(1,MAX(VLOOKUP(($AJ148-$AI148-$AH148-$AG148-$AF148-$AE148*(1+HT$3))/$AJ148,'Технический лист'!$A:$B,2,1),(HS148-0.05)))</f>
        <v>1</v>
      </c>
      <c r="HU148" s="15">
        <f>MIN(1,MAX(VLOOKUP(($AJ148-$AI148-$AH148-$AG148-$AF148-$AE148*(1+HU$3))/$AJ148,'Технический лист'!$A:$B,2,1),(HT148-0.05)))</f>
        <v>1</v>
      </c>
      <c r="HV148" s="15">
        <f>MIN(1,MAX(VLOOKUP(($AJ148-$AI148-$AH148-$AG148-$AF148-$AE148*(1+HV$3))/$AJ148,'Технический лист'!$A:$B,2,1),(HU148-0.05)))</f>
        <v>1</v>
      </c>
      <c r="HW148" s="15">
        <f>MIN(1,MAX(VLOOKUP(($AJ148-$AI148-$AH148-$AG148-$AF148-$AE148*(1+HW$3))/$AJ148,'Технический лист'!$A:$B,2,1),(HV148-0.05)))</f>
        <v>1</v>
      </c>
      <c r="HX148" s="15">
        <f>MIN(1,MAX(VLOOKUP(($AJ148-$AI148-$AH148-$AG148-$AF148-$AE148*(1+HX$3))/$AJ148,'Технический лист'!$A:$B,2,1),(HW148-0.05)))</f>
        <v>1</v>
      </c>
      <c r="HY148" s="15">
        <f>MIN(1,MAX(VLOOKUP(($AJ148-$AI148-$AH148-$AG148-$AF148-$AE148*(1+HY$3))/$AJ148,'Технический лист'!$A:$B,2,1),(HX148-0.05)))</f>
        <v>1</v>
      </c>
      <c r="HZ148" s="15">
        <f>MIN(1,MAX(VLOOKUP(($AJ148-$AI148-$AH148-$AG148-$AF148-$AE148*(1+HZ$3))/$AJ148,'Технический лист'!$A:$B,2,1),(HY148-0.05)))</f>
        <v>1</v>
      </c>
      <c r="IA148" s="15">
        <f>MIN(1,MAX(VLOOKUP(($AJ148-$AI148-$AH148-$AG148-$AF148-$AE148*(1+IA$3))/$AJ148,'Технический лист'!$A:$B,2,1),(HZ148-0.05)))</f>
        <v>1</v>
      </c>
      <c r="IB148" s="15">
        <f>MIN(1,MAX(VLOOKUP(($AJ148-$AI148-$AH148-$AG148-$AF148-$AE148*(1+IB$3))/$AJ148,'Технический лист'!$A:$B,2,1),(IA148-0.05)))</f>
        <v>1</v>
      </c>
      <c r="IC148" s="15">
        <f>MIN(1,MAX(VLOOKUP(($AJ148-$AI148-$AH148-$AG148-$AF148-$AE148*(1+IC$3))/$AJ148,'Технический лист'!$A:$B,2,1),(IB148-0.05)))</f>
        <v>1</v>
      </c>
      <c r="ID148" s="15">
        <f>MIN(1,MAX(VLOOKUP(($AJ148-$AI148-$AH148-$AG148-$AF148-$AE148*(1+ID$3))/$AJ148,'Технический лист'!$A:$B,2,1),(IC148-0.05)))</f>
        <v>1</v>
      </c>
      <c r="IE148" s="15">
        <f>MIN(1,MAX(VLOOKUP(($AJ148-$AI148-$AH148-$AG148-$AF148-$AE148*(1+IE$3))/$AJ148,'Технический лист'!$A:$B,2,1),(ID148-0.05)))</f>
        <v>1</v>
      </c>
      <c r="IF148" s="15">
        <f>MIN(1,MAX(VLOOKUP(($AJ148-$AI148-$AH148-$AG148-$AF148-$AE148*(1+IF$3))/$AJ148,'Технический лист'!$A:$B,2,1),(IE148-0.05)))</f>
        <v>1</v>
      </c>
      <c r="IG148" s="15">
        <f>MIN(1,MAX(VLOOKUP(($AJ148-$AI148-$AH148-$AG148-$AF148-$AE148*(1+IG$3))/$AJ148,'Технический лист'!$A:$B,2,1),(IF148-0.05)))</f>
        <v>1</v>
      </c>
      <c r="IH148" s="15">
        <f>MIN(1,MAX(VLOOKUP(($AJ148-$AI148-$AH148-$AG148-$AF148-$AE148*(1+IH$3))/$AJ148,'Технический лист'!$A:$B,2,1),(IG148-0.05)))</f>
        <v>1</v>
      </c>
      <c r="II148" s="15">
        <f>MIN(1,MAX(VLOOKUP(($AJ148-$AI148-$AH148-$AG148-$AF148-$AE148*(1+II$3))/$AJ148,'Технический лист'!$A:$B,2,1),(IH148-0.05)))</f>
        <v>1</v>
      </c>
      <c r="IJ148" s="15">
        <f>MIN(1,MAX(VLOOKUP(($AJ148-$AI148-$AH148-$AG148-$AF148-$AE148*(1+IJ$3))/$AJ148,'Технический лист'!$A:$B,2,1),(II148-0.05)))</f>
        <v>1</v>
      </c>
      <c r="IK148" s="15">
        <f>MIN(1,MAX(VLOOKUP(($AJ148-$AI148-$AH148-$AG148-$AF148-$AE148*(1+IK$3))/$AJ148,'Технический лист'!$A:$B,2,1),(IJ148-0.05)))</f>
        <v>1</v>
      </c>
      <c r="IL148" s="15">
        <f>MIN(1,MAX(VLOOKUP(($AJ148-$AI148-$AH148-$AG148-$AF148-$AE148*(1+IL$3))/$AJ148,'Технический лист'!$A:$B,2,1),(IK148-0.05)))</f>
        <v>1</v>
      </c>
      <c r="IM148" s="15">
        <f>MIN(1,MAX(VLOOKUP(($AJ148-$AI148-$AH148-$AG148-$AF148-$AE148*(1+IM$3))/$AJ148,'Технический лист'!$A:$B,2,1),(IL148-0.05)))</f>
        <v>1</v>
      </c>
      <c r="IN148" s="15">
        <f>MIN(1,MAX(VLOOKUP(($AJ148-$AI148-$AH148-$AG148-$AF148-$AE148*(1+IN$3))/$AJ148,'Технический лист'!$A:$B,2,1),(IM148-0.05)))</f>
        <v>1</v>
      </c>
      <c r="IO148" s="15">
        <f>MIN(1,MAX(VLOOKUP(($AJ148-$AI148-$AH148-$AG148-$AF148-$AE148*(1+IO$3))/$AJ148,'Технический лист'!$A:$B,2,1),(IN148-0.05)))</f>
        <v>1</v>
      </c>
      <c r="IP148" s="15">
        <f>MIN(1,MAX(VLOOKUP(($AJ148-$AI148-$AH148-$AG148-$AF148-$AE148*(1+IP$3))/$AJ148,'Технический лист'!$A:$B,2,1),(IO148-0.05)))</f>
        <v>1</v>
      </c>
      <c r="IQ148" s="15">
        <f>MIN(1,MAX(VLOOKUP(($AJ148-$AI148-$AH148-$AG148-$AF148-$AE148*(1+IQ$3))/$AJ148,'Технический лист'!$A:$B,2,1),(IP148-0.05)))</f>
        <v>1</v>
      </c>
      <c r="IR148" s="15">
        <f>MIN(1,MAX(VLOOKUP(($AJ148-$AI148-$AH148-$AG148-$AF148-$AE148*(1+IR$3))/$AJ148,'Технический лист'!$A:$B,2,1),(IQ148-0.05)))</f>
        <v>1</v>
      </c>
    </row>
    <row r="149" spans="1:252" ht="29.15">
      <c r="A149" s="89" t="s">
        <v>515</v>
      </c>
      <c r="B149" s="90">
        <v>10</v>
      </c>
      <c r="C149" s="5" t="s">
        <v>66</v>
      </c>
      <c r="D149" s="91">
        <v>31609</v>
      </c>
      <c r="E149" s="91" t="s">
        <v>323</v>
      </c>
      <c r="F149" s="92" t="s">
        <v>70</v>
      </c>
      <c r="G149" s="91" t="s">
        <v>49</v>
      </c>
      <c r="H149" s="91" t="s">
        <v>31</v>
      </c>
      <c r="I149" s="91" t="s">
        <v>134</v>
      </c>
      <c r="J149" s="91" t="s">
        <v>100</v>
      </c>
      <c r="K149" s="91">
        <v>534</v>
      </c>
      <c r="L149" s="85" t="s">
        <v>64</v>
      </c>
      <c r="M149" s="91" t="s">
        <v>190</v>
      </c>
      <c r="N149" s="91" t="s">
        <v>191</v>
      </c>
      <c r="O149" s="91" t="s">
        <v>192</v>
      </c>
      <c r="P149" s="89" t="s">
        <v>225</v>
      </c>
      <c r="Q149" s="91" t="s">
        <v>285</v>
      </c>
      <c r="R149" s="91" t="s">
        <v>255</v>
      </c>
      <c r="S149" s="82">
        <v>12926</v>
      </c>
      <c r="T149" s="82">
        <v>6902522</v>
      </c>
      <c r="U149" s="81">
        <v>190</v>
      </c>
      <c r="V149" s="81">
        <v>0</v>
      </c>
      <c r="W149" s="82">
        <v>18705603</v>
      </c>
      <c r="X149" s="112">
        <v>62</v>
      </c>
      <c r="Y149" s="112" t="s">
        <v>416</v>
      </c>
      <c r="Z149" s="113">
        <v>6</v>
      </c>
      <c r="AA149" s="113">
        <v>5</v>
      </c>
      <c r="AB149" s="113">
        <v>4</v>
      </c>
      <c r="AC149" s="99">
        <v>1716.31</v>
      </c>
      <c r="AD149" s="99">
        <f t="shared" ref="AD149:AD153" si="66">AE149-AC149</f>
        <v>205.37000000000012</v>
      </c>
      <c r="AE149" s="99">
        <v>1921.68</v>
      </c>
      <c r="AF149" s="98">
        <f>(Z149+AA149+AB149)*'Ставки аренды'!$B$3/X149</f>
        <v>169.35483870967741</v>
      </c>
      <c r="AG149" s="94">
        <v>0</v>
      </c>
      <c r="AH149" s="94">
        <v>0</v>
      </c>
      <c r="AI149" s="115">
        <f>242262/286977*AJ149</f>
        <v>15195.350150012022</v>
      </c>
      <c r="AJ149" s="117">
        <f>Цены!$D$10</f>
        <v>18000</v>
      </c>
      <c r="AK149" s="94">
        <f>AJ149/Цены!$B$1</f>
        <v>235.89387396714525</v>
      </c>
      <c r="AL149" s="95">
        <f t="shared" si="54"/>
        <v>2091.0348387096774</v>
      </c>
      <c r="AM149" s="95">
        <f t="shared" si="55"/>
        <v>15908.965161290322</v>
      </c>
      <c r="AN149" s="94">
        <f t="shared" si="52"/>
        <v>17286.3849887217</v>
      </c>
      <c r="AO149" s="118">
        <f t="shared" si="53"/>
        <v>3.964527840434999E-2</v>
      </c>
      <c r="AP149" s="96">
        <f t="shared" si="56"/>
        <v>0.11616860215053763</v>
      </c>
      <c r="AQ149" s="96">
        <f t="shared" si="57"/>
        <v>0.10676000000000001</v>
      </c>
      <c r="AR149" s="96">
        <f t="shared" si="58"/>
        <v>0.91900907838810486</v>
      </c>
      <c r="AS149" s="122">
        <v>1</v>
      </c>
      <c r="AT149" s="121">
        <f t="shared" si="45"/>
        <v>12926</v>
      </c>
      <c r="AU149" s="7" t="s">
        <v>475</v>
      </c>
      <c r="AV149" s="119">
        <f t="shared" si="41"/>
        <v>2.6834078404350092E-2</v>
      </c>
      <c r="AW149" s="120">
        <f t="shared" si="42"/>
        <v>0.12897980215053764</v>
      </c>
      <c r="AX149" s="120">
        <f t="shared" si="43"/>
        <v>0.11957120000000002</v>
      </c>
      <c r="AY149" s="120">
        <f t="shared" si="44"/>
        <v>0.92705367822198648</v>
      </c>
      <c r="AZ149" s="15">
        <v>1</v>
      </c>
      <c r="BA149" s="15">
        <v>1</v>
      </c>
      <c r="BB149" s="15">
        <v>1</v>
      </c>
      <c r="BC149" s="15">
        <v>1</v>
      </c>
      <c r="BD149" s="15">
        <v>1</v>
      </c>
      <c r="BE149" s="15">
        <v>1</v>
      </c>
      <c r="BF149" s="15">
        <v>1</v>
      </c>
      <c r="BG149" s="15">
        <v>1</v>
      </c>
      <c r="BH149" s="15">
        <v>1</v>
      </c>
      <c r="BI149" s="15">
        <v>1</v>
      </c>
      <c r="BJ149" s="15">
        <v>1</v>
      </c>
      <c r="BK149" s="15">
        <v>1</v>
      </c>
      <c r="BL149" s="15">
        <v>1</v>
      </c>
      <c r="BM149" s="15">
        <v>1</v>
      </c>
      <c r="BN149" s="15">
        <v>1</v>
      </c>
      <c r="BO149" s="15">
        <v>1</v>
      </c>
      <c r="BP149" s="15">
        <v>1</v>
      </c>
      <c r="BQ149" s="15">
        <v>1</v>
      </c>
      <c r="BR149" s="15">
        <v>1</v>
      </c>
      <c r="BS149" s="15">
        <v>1</v>
      </c>
      <c r="BT149" s="15">
        <v>1</v>
      </c>
      <c r="BU149" s="15">
        <v>1</v>
      </c>
      <c r="BV149" s="15">
        <v>1</v>
      </c>
      <c r="BW149" s="15">
        <v>1</v>
      </c>
      <c r="BX149" s="15">
        <v>1</v>
      </c>
      <c r="BY149" s="15">
        <v>1</v>
      </c>
      <c r="BZ149" s="15">
        <v>1</v>
      </c>
      <c r="CA149" s="15">
        <v>1</v>
      </c>
      <c r="CB149" s="15">
        <v>1</v>
      </c>
      <c r="CC149" s="15">
        <v>1</v>
      </c>
      <c r="CD149" s="15">
        <v>1</v>
      </c>
      <c r="CE149" s="15">
        <v>1</v>
      </c>
      <c r="CF149" s="15">
        <v>1</v>
      </c>
      <c r="CG149" s="15">
        <v>1</v>
      </c>
      <c r="CH149" s="15">
        <v>1</v>
      </c>
      <c r="CI149" s="15">
        <v>1</v>
      </c>
      <c r="CJ149" s="15">
        <v>1</v>
      </c>
      <c r="CK149" s="15">
        <v>1</v>
      </c>
      <c r="CL149" s="15">
        <v>1</v>
      </c>
      <c r="CM149" s="15">
        <v>1</v>
      </c>
      <c r="CN149" s="15">
        <v>1</v>
      </c>
      <c r="CO149" s="15">
        <v>1</v>
      </c>
      <c r="CP149" s="15">
        <v>1</v>
      </c>
      <c r="CQ149" s="15">
        <v>1</v>
      </c>
      <c r="CR149" s="15">
        <v>1</v>
      </c>
      <c r="CS149" s="15">
        <v>1</v>
      </c>
      <c r="CT149" s="15">
        <v>1</v>
      </c>
      <c r="CU149" s="15">
        <v>1</v>
      </c>
      <c r="CV149" s="15">
        <v>1</v>
      </c>
      <c r="CW149" s="15">
        <v>1</v>
      </c>
      <c r="CX149" s="15">
        <v>1</v>
      </c>
      <c r="CY149" s="15">
        <v>1</v>
      </c>
      <c r="CZ149" s="15">
        <v>1</v>
      </c>
      <c r="DA149" s="15">
        <v>1</v>
      </c>
      <c r="DB149" s="15">
        <v>1</v>
      </c>
      <c r="DC149" s="15">
        <v>1</v>
      </c>
      <c r="DD149" s="15">
        <v>1</v>
      </c>
      <c r="DE149" s="15">
        <v>1</v>
      </c>
      <c r="DF149" s="15">
        <v>1</v>
      </c>
      <c r="DG149" s="15">
        <v>1</v>
      </c>
      <c r="DH149" s="15">
        <v>1</v>
      </c>
      <c r="DI149" s="15">
        <v>1</v>
      </c>
      <c r="DJ149" s="15">
        <v>1</v>
      </c>
      <c r="DK149" s="15">
        <v>1</v>
      </c>
      <c r="DL149" s="15">
        <v>1</v>
      </c>
      <c r="DM149" s="15">
        <v>1</v>
      </c>
      <c r="DN149" s="15">
        <v>1</v>
      </c>
      <c r="DO149" s="15">
        <v>1</v>
      </c>
      <c r="DP149" s="15">
        <v>1</v>
      </c>
      <c r="DQ149" s="15">
        <v>1</v>
      </c>
      <c r="DR149" s="15">
        <v>1</v>
      </c>
      <c r="DS149" s="15">
        <v>1</v>
      </c>
      <c r="DT149" s="15">
        <v>1</v>
      </c>
      <c r="DU149" s="15">
        <v>1</v>
      </c>
      <c r="DV149" s="15">
        <v>1</v>
      </c>
      <c r="DW149" s="15">
        <v>1</v>
      </c>
      <c r="DX149" s="15">
        <v>1</v>
      </c>
      <c r="DY149" s="15">
        <v>1</v>
      </c>
      <c r="DZ149" s="15">
        <v>1</v>
      </c>
      <c r="EA149" s="15">
        <v>1</v>
      </c>
      <c r="EB149" s="15">
        <v>1</v>
      </c>
      <c r="EC149" s="15">
        <v>1</v>
      </c>
      <c r="ED149" s="15">
        <v>1</v>
      </c>
      <c r="EE149" s="15">
        <v>1</v>
      </c>
      <c r="EF149" s="15">
        <v>1</v>
      </c>
      <c r="EG149" s="15">
        <v>1</v>
      </c>
      <c r="EH149" s="15">
        <v>1</v>
      </c>
      <c r="EI149" s="15">
        <v>1</v>
      </c>
      <c r="EJ149" s="15">
        <v>1</v>
      </c>
      <c r="EK149" s="15">
        <v>1</v>
      </c>
      <c r="EL149" s="15">
        <v>1</v>
      </c>
      <c r="EM149" s="15">
        <v>1</v>
      </c>
      <c r="EN149" s="15">
        <v>1</v>
      </c>
      <c r="EO149" s="15">
        <v>1</v>
      </c>
      <c r="EP149" s="15">
        <v>1</v>
      </c>
      <c r="EQ149" s="15">
        <v>1</v>
      </c>
      <c r="ER149" s="15">
        <v>1</v>
      </c>
      <c r="ES149" s="15">
        <v>1</v>
      </c>
      <c r="ET149" s="15">
        <v>1</v>
      </c>
      <c r="EU149" s="15">
        <v>1</v>
      </c>
      <c r="EV149" s="111">
        <v>1</v>
      </c>
      <c r="EW149" s="15">
        <v>1</v>
      </c>
      <c r="EX149" s="15">
        <v>1</v>
      </c>
      <c r="EY149" s="15">
        <v>1</v>
      </c>
      <c r="EZ149" s="15">
        <v>1</v>
      </c>
      <c r="FA149" s="15">
        <v>1</v>
      </c>
      <c r="FB149" s="15">
        <v>1</v>
      </c>
      <c r="FC149" s="15">
        <v>1</v>
      </c>
      <c r="FD149" s="15">
        <v>1</v>
      </c>
      <c r="FE149" s="15">
        <v>1</v>
      </c>
      <c r="FF149" s="15">
        <v>1</v>
      </c>
      <c r="FG149" s="15">
        <v>1</v>
      </c>
      <c r="FH149" s="15">
        <v>1</v>
      </c>
      <c r="FI149" s="15">
        <v>1</v>
      </c>
      <c r="FJ149" s="15">
        <v>1</v>
      </c>
      <c r="FK149" s="15">
        <v>1</v>
      </c>
      <c r="FL149" s="15">
        <v>1</v>
      </c>
      <c r="FM149" s="15">
        <v>1</v>
      </c>
      <c r="FN149" s="15">
        <v>1</v>
      </c>
      <c r="FO149" s="15">
        <v>1</v>
      </c>
      <c r="FP149" s="15">
        <v>1</v>
      </c>
      <c r="FQ149" s="15">
        <v>1</v>
      </c>
      <c r="FR149" s="15">
        <v>1</v>
      </c>
      <c r="FS149" s="15">
        <v>1</v>
      </c>
      <c r="FT149" s="15">
        <v>1</v>
      </c>
      <c r="FU149" s="15">
        <v>1</v>
      </c>
      <c r="FV149" s="15">
        <v>1</v>
      </c>
      <c r="FW149" s="15">
        <v>1</v>
      </c>
      <c r="FX149" s="15">
        <v>1</v>
      </c>
      <c r="FY149" s="15">
        <v>1</v>
      </c>
      <c r="FZ149" s="15">
        <v>1</v>
      </c>
      <c r="GA149" s="15">
        <v>1</v>
      </c>
      <c r="GB149" s="15">
        <v>1</v>
      </c>
      <c r="GC149" s="15">
        <v>1</v>
      </c>
      <c r="GD149" s="15">
        <v>1</v>
      </c>
      <c r="GE149" s="15">
        <v>1</v>
      </c>
      <c r="GF149" s="15">
        <v>1</v>
      </c>
      <c r="GG149" s="15">
        <v>1</v>
      </c>
      <c r="GH149" s="15">
        <v>1</v>
      </c>
      <c r="GI149" s="15">
        <v>1</v>
      </c>
      <c r="GJ149" s="15">
        <v>1</v>
      </c>
      <c r="GK149" s="15">
        <v>1</v>
      </c>
      <c r="GL149" s="15">
        <v>1</v>
      </c>
      <c r="GM149" s="15">
        <v>1</v>
      </c>
      <c r="GN149" s="15">
        <v>1</v>
      </c>
      <c r="GO149" s="15">
        <v>1</v>
      </c>
      <c r="GP149" s="15">
        <v>1</v>
      </c>
      <c r="GQ149" s="15">
        <v>1</v>
      </c>
      <c r="GR149" s="15">
        <v>1</v>
      </c>
      <c r="GS149" s="15">
        <v>1</v>
      </c>
      <c r="GT149" s="15">
        <v>1</v>
      </c>
      <c r="GU149" s="15">
        <v>1</v>
      </c>
      <c r="GV149" s="15">
        <v>1</v>
      </c>
      <c r="GW149" s="15">
        <v>1</v>
      </c>
      <c r="GX149" s="15">
        <v>1</v>
      </c>
      <c r="GY149" s="15">
        <v>1</v>
      </c>
      <c r="GZ149" s="15">
        <v>1</v>
      </c>
      <c r="HA149" s="15">
        <v>1</v>
      </c>
      <c r="HB149" s="15">
        <v>1</v>
      </c>
      <c r="HC149" s="15">
        <v>1</v>
      </c>
      <c r="HD149" s="15">
        <v>1</v>
      </c>
      <c r="HE149" s="15">
        <v>1</v>
      </c>
      <c r="HF149" s="15">
        <v>1</v>
      </c>
      <c r="HG149" s="15">
        <v>1</v>
      </c>
      <c r="HH149" s="15">
        <v>1</v>
      </c>
      <c r="HI149" s="15">
        <v>1</v>
      </c>
      <c r="HJ149" s="15">
        <v>1</v>
      </c>
      <c r="HK149" s="15">
        <v>1</v>
      </c>
      <c r="HL149" s="15">
        <v>1</v>
      </c>
      <c r="HM149" s="15">
        <v>1</v>
      </c>
      <c r="HN149" s="15">
        <v>1</v>
      </c>
      <c r="HO149" s="15">
        <v>1</v>
      </c>
      <c r="HP149" s="15">
        <v>1</v>
      </c>
      <c r="HQ149" s="15">
        <v>1</v>
      </c>
      <c r="HR149" s="15">
        <v>1</v>
      </c>
      <c r="HS149" s="15">
        <v>1</v>
      </c>
      <c r="HT149" s="15">
        <v>1</v>
      </c>
      <c r="HU149" s="15">
        <v>1</v>
      </c>
      <c r="HV149" s="15">
        <v>1</v>
      </c>
      <c r="HW149" s="15">
        <v>1</v>
      </c>
      <c r="HX149" s="15">
        <v>1</v>
      </c>
      <c r="HY149" s="15">
        <v>1</v>
      </c>
      <c r="HZ149" s="15">
        <v>1</v>
      </c>
      <c r="IA149" s="15">
        <v>1</v>
      </c>
      <c r="IB149" s="15">
        <v>1</v>
      </c>
      <c r="IC149" s="15">
        <v>1</v>
      </c>
      <c r="ID149" s="15">
        <v>1</v>
      </c>
      <c r="IE149" s="15">
        <v>1</v>
      </c>
      <c r="IF149" s="15">
        <v>1</v>
      </c>
      <c r="IG149" s="15">
        <v>1</v>
      </c>
      <c r="IH149" s="15">
        <v>1</v>
      </c>
      <c r="II149" s="15">
        <v>1</v>
      </c>
      <c r="IJ149" s="15">
        <v>1</v>
      </c>
      <c r="IK149" s="15">
        <v>1</v>
      </c>
      <c r="IL149" s="15">
        <v>1</v>
      </c>
      <c r="IM149" s="15">
        <v>1</v>
      </c>
      <c r="IN149" s="15">
        <v>1</v>
      </c>
      <c r="IO149" s="15">
        <v>1</v>
      </c>
      <c r="IP149" s="15">
        <v>1</v>
      </c>
      <c r="IQ149" s="15">
        <v>1</v>
      </c>
      <c r="IR149" s="15">
        <v>1</v>
      </c>
    </row>
    <row r="150" spans="1:252" ht="43.75">
      <c r="A150" s="89" t="s">
        <v>515</v>
      </c>
      <c r="B150" s="90">
        <v>10</v>
      </c>
      <c r="C150" s="5" t="s">
        <v>66</v>
      </c>
      <c r="D150" s="91">
        <v>31607</v>
      </c>
      <c r="E150" s="91" t="s">
        <v>327</v>
      </c>
      <c r="F150" s="92" t="s">
        <v>70</v>
      </c>
      <c r="G150" s="91" t="s">
        <v>31</v>
      </c>
      <c r="H150" s="91" t="s">
        <v>30</v>
      </c>
      <c r="I150" s="91" t="s">
        <v>100</v>
      </c>
      <c r="J150" s="91" t="s">
        <v>90</v>
      </c>
      <c r="K150" s="91">
        <v>2904</v>
      </c>
      <c r="L150" s="85" t="s">
        <v>64</v>
      </c>
      <c r="M150" s="91" t="s">
        <v>190</v>
      </c>
      <c r="N150" s="91" t="s">
        <v>191</v>
      </c>
      <c r="O150" s="91" t="s">
        <v>194</v>
      </c>
      <c r="P150" s="89" t="s">
        <v>205</v>
      </c>
      <c r="Q150" s="91" t="s">
        <v>308</v>
      </c>
      <c r="R150" s="91" t="s">
        <v>255</v>
      </c>
      <c r="S150" s="82">
        <v>2735</v>
      </c>
      <c r="T150" s="82">
        <v>7943746</v>
      </c>
      <c r="U150" s="81">
        <v>45</v>
      </c>
      <c r="V150" s="81">
        <v>0</v>
      </c>
      <c r="W150" s="82">
        <v>13674635</v>
      </c>
      <c r="X150" s="112">
        <v>62</v>
      </c>
      <c r="Y150" s="112" t="s">
        <v>416</v>
      </c>
      <c r="Z150" s="113">
        <v>11</v>
      </c>
      <c r="AA150" s="113">
        <v>9</v>
      </c>
      <c r="AB150" s="113">
        <v>4</v>
      </c>
      <c r="AC150" s="99">
        <v>5437.77</v>
      </c>
      <c r="AD150" s="99">
        <f t="shared" si="66"/>
        <v>742.16999999999916</v>
      </c>
      <c r="AE150" s="99">
        <v>6179.94</v>
      </c>
      <c r="AF150" s="98">
        <f>(Z150+AA150+AB150)*'Ставки аренды'!$B$3/X150</f>
        <v>270.96774193548384</v>
      </c>
      <c r="AG150" s="94">
        <v>0</v>
      </c>
      <c r="AH150" s="94">
        <v>0</v>
      </c>
      <c r="AI150" s="115">
        <f>131496272/143742760*AJ150</f>
        <v>16466.449482394801</v>
      </c>
      <c r="AJ150" s="117">
        <f>Цены!$D$10</f>
        <v>18000</v>
      </c>
      <c r="AK150" s="94">
        <f>AJ150/Цены!$B$1</f>
        <v>235.89387396714525</v>
      </c>
      <c r="AL150" s="95">
        <f t="shared" si="54"/>
        <v>6450.9077419354835</v>
      </c>
      <c r="AM150" s="95">
        <f t="shared" si="55"/>
        <v>11549.092258064516</v>
      </c>
      <c r="AN150" s="94">
        <f t="shared" si="52"/>
        <v>22917.357224330284</v>
      </c>
      <c r="AO150" s="118">
        <f t="shared" si="53"/>
        <v>-0.27318651246279357</v>
      </c>
      <c r="AP150" s="96">
        <f t="shared" si="56"/>
        <v>0.3583837634408602</v>
      </c>
      <c r="AQ150" s="96">
        <f t="shared" si="57"/>
        <v>0.34332999999999997</v>
      </c>
      <c r="AR150" s="96">
        <f t="shared" si="58"/>
        <v>0.95799540889819257</v>
      </c>
      <c r="AS150" s="122">
        <v>1</v>
      </c>
      <c r="AT150" s="121">
        <f t="shared" si="45"/>
        <v>2735</v>
      </c>
      <c r="AU150" s="83">
        <v>0.8</v>
      </c>
      <c r="AV150" s="119">
        <f t="shared" si="41"/>
        <v>-0.31438611246279347</v>
      </c>
      <c r="AW150" s="120">
        <f t="shared" si="42"/>
        <v>0.39958336344086021</v>
      </c>
      <c r="AX150" s="120">
        <f t="shared" si="43"/>
        <v>0.38452959999999997</v>
      </c>
      <c r="AY150" s="120">
        <f t="shared" si="44"/>
        <v>0.96232635084896812</v>
      </c>
      <c r="AZ150" s="15">
        <f>MIN(IF($AU150=100%,1,1+VLOOKUP(($AJ150-$AI150-$AH150-$AG150-$AF150-$AE150*(1+AZ$3))/$AJ150,'Технический лист'!$I:$J,2,1)-VLOOKUP($AO150,'Технический лист'!$I:$J,2,1)),1+(1-$AU150))</f>
        <v>1.2</v>
      </c>
      <c r="BA150" s="15">
        <f>MIN(IF($AU150=100%,1,1+VLOOKUP(($AJ150-$AI150-$AH150-$AG150-$AF150-$AE150*(1+BA$3))/$AJ150,'Технический лист'!$I:$J,2,1)-VLOOKUP($AO150,'Технический лист'!$I:$J,2,1)),1+(1-$AU150))</f>
        <v>1.2</v>
      </c>
      <c r="BB150" s="15">
        <f>MIN(IF($AU150=100%,1,1+VLOOKUP(($AJ150-$AI150-$AH150-$AG150-$AF150-$AE150*(1+BB$3))/$AJ150,'Технический лист'!$I:$J,2,1)-VLOOKUP($AO150,'Технический лист'!$I:$J,2,1)),1+(1-$AU150))</f>
        <v>1.2</v>
      </c>
      <c r="BC150" s="15">
        <f>MIN(IF($AU150=100%,1,1+VLOOKUP(($AJ150-$AI150-$AH150-$AG150-$AF150-$AE150*(1+BC$3))/$AJ150,'Технический лист'!$I:$J,2,1)-VLOOKUP($AO150,'Технический лист'!$I:$J,2,1)),1+(1-$AU150))</f>
        <v>1.2</v>
      </c>
      <c r="BD150" s="15">
        <f>MIN(IF($AU150=100%,1,1+VLOOKUP(($AJ150-$AI150-$AH150-$AG150-$AF150-$AE150*(1+BD$3))/$AJ150,'Технический лист'!$I:$J,2,1)-VLOOKUP($AO150,'Технический лист'!$I:$J,2,1)),1+(1-$AU150))</f>
        <v>1.2</v>
      </c>
      <c r="BE150" s="15">
        <f>MIN(IF($AU150=100%,1,1+VLOOKUP(($AJ150-$AI150-$AH150-$AG150-$AF150-$AE150*(1+BE$3))/$AJ150,'Технический лист'!$I:$J,2,1)-VLOOKUP($AO150,'Технический лист'!$I:$J,2,1)),1+(1-$AU150))</f>
        <v>1.2</v>
      </c>
      <c r="BF150" s="15">
        <f>MIN(IF($AU150=100%,1,1+VLOOKUP(($AJ150-$AI150-$AH150-$AG150-$AF150-$AE150*(1+BF$3))/$AJ150,'Технический лист'!$I:$J,2,1)-VLOOKUP($AO150,'Технический лист'!$I:$J,2,1)),1+(1-$AU150))</f>
        <v>1.2</v>
      </c>
      <c r="BG150" s="15">
        <f>MIN(IF($AU150=100%,1,1+VLOOKUP(($AJ150-$AI150-$AH150-$AG150-$AF150-$AE150*(1+BG$3))/$AJ150,'Технический лист'!$I:$J,2,1)-VLOOKUP($AO150,'Технический лист'!$I:$J,2,1)),1+(1-$AU150))</f>
        <v>1.2</v>
      </c>
      <c r="BH150" s="15">
        <f>MIN(IF($AU150=100%,1,1+VLOOKUP(($AJ150-$AI150-$AH150-$AG150-$AF150-$AE150*(1+BH$3))/$AJ150,'Технический лист'!$I:$J,2,1)-VLOOKUP($AO150,'Технический лист'!$I:$J,2,1)),1+(1-$AU150))</f>
        <v>1.2</v>
      </c>
      <c r="BI150" s="15">
        <f>MIN(IF($AU150=100%,1,1+VLOOKUP(($AJ150-$AI150-$AH150-$AG150-$AF150-$AE150*(1+BI$3))/$AJ150,'Технический лист'!$I:$J,2,1)-VLOOKUP($AO150,'Технический лист'!$I:$J,2,1)),1+(1-$AU150))</f>
        <v>1.2</v>
      </c>
      <c r="BJ150" s="15">
        <f>MIN(IF($AU150=100%,1,1+VLOOKUP(($AJ150-$AI150-$AH150-$AG150-$AF150-$AE150*(1+BJ$3))/$AJ150,'Технический лист'!$I:$J,2,1)-VLOOKUP($AO150,'Технический лист'!$I:$J,2,1)),1+(1-$AU150))</f>
        <v>1.2</v>
      </c>
      <c r="BK150" s="15">
        <f>MIN(IF($AU150=100%,1,1+VLOOKUP(($AJ150-$AI150-$AH150-$AG150-$AF150-$AE150*(1+BK$3))/$AJ150,'Технический лист'!$I:$J,2,1)-VLOOKUP($AO150,'Технический лист'!$I:$J,2,1)),1+(1-$AU150))</f>
        <v>1.2</v>
      </c>
      <c r="BL150" s="15">
        <f>MIN(IF($AU150=100%,1,1+VLOOKUP(($AJ150-$AI150-$AH150-$AG150-$AF150-$AE150*(1+BL$3))/$AJ150,'Технический лист'!$I:$J,2,1)-VLOOKUP($AO150,'Технический лист'!$I:$J,2,1)),1+(1-$AU150))</f>
        <v>1.2</v>
      </c>
      <c r="BM150" s="15">
        <f>MIN(IF($AU150=100%,1,1+VLOOKUP(($AJ150-$AI150-$AH150-$AG150-$AF150-$AE150*(1+BM$3))/$AJ150,'Технический лист'!$I:$J,2,1)-VLOOKUP($AO150,'Технический лист'!$I:$J,2,1)),1+(1-$AU150))</f>
        <v>1.2</v>
      </c>
      <c r="BN150" s="15">
        <f>MIN(IF($AU150=100%,1,1+VLOOKUP(($AJ150-$AI150-$AH150-$AG150-$AF150-$AE150*(1+BN$3))/$AJ150,'Технический лист'!$I:$J,2,1)-VLOOKUP($AO150,'Технический лист'!$I:$J,2,1)),1+(1-$AU150))</f>
        <v>1.2</v>
      </c>
      <c r="BO150" s="15">
        <f>MIN(IF($AU150=100%,1,1+VLOOKUP(($AJ150-$AI150-$AH150-$AG150-$AF150-$AE150*(1+BO$3))/$AJ150,'Технический лист'!$I:$J,2,1)-VLOOKUP($AO150,'Технический лист'!$I:$J,2,1)),1+(1-$AU150))</f>
        <v>1.2</v>
      </c>
      <c r="BP150" s="15">
        <f>MIN(IF($AU150=100%,1,1+VLOOKUP(($AJ150-$AI150-$AH150-$AG150-$AF150-$AE150*(1+BP$3))/$AJ150,'Технический лист'!$I:$J,2,1)-VLOOKUP($AO150,'Технический лист'!$I:$J,2,1)),1+(1-$AU150))</f>
        <v>1.2</v>
      </c>
      <c r="BQ150" s="15">
        <f>MIN(IF($AU150=100%,1,1+VLOOKUP(($AJ150-$AI150-$AH150-$AG150-$AF150-$AE150*(1+BQ$3))/$AJ150,'Технический лист'!$I:$J,2,1)-VLOOKUP($AO150,'Технический лист'!$I:$J,2,1)),1+(1-$AU150))</f>
        <v>1.2</v>
      </c>
      <c r="BR150" s="15">
        <f>MIN(IF($AU150=100%,1,1+VLOOKUP(($AJ150-$AI150-$AH150-$AG150-$AF150-$AE150*(1+BR$3))/$AJ150,'Технический лист'!$I:$J,2,1)-VLOOKUP($AO150,'Технический лист'!$I:$J,2,1)),1+(1-$AU150))</f>
        <v>1.2</v>
      </c>
      <c r="BS150" s="15">
        <f>MIN(IF($AU150=100%,1,1+VLOOKUP(($AJ150-$AI150-$AH150-$AG150-$AF150-$AE150*(1+BS$3))/$AJ150,'Технический лист'!$I:$J,2,1)-VLOOKUP($AO150,'Технический лист'!$I:$J,2,1)),1+(1-$AU150))</f>
        <v>1.2</v>
      </c>
      <c r="BT150" s="15">
        <f>MIN(IF($AU150=100%,1,1+VLOOKUP(($AJ150-$AI150-$AH150-$AG150-$AF150-$AE150*(1+BT$3))/$AJ150,'Технический лист'!$I:$J,2,1)-VLOOKUP($AO150,'Технический лист'!$I:$J,2,1)),1+(1-$AU150))</f>
        <v>1.2</v>
      </c>
      <c r="BU150" s="15">
        <f>MIN(IF($AU150=100%,1,1+VLOOKUP(($AJ150-$AI150-$AH150-$AG150-$AF150-$AE150*(1+BU$3))/$AJ150,'Технический лист'!$I:$J,2,1)-VLOOKUP($AO150,'Технический лист'!$I:$J,2,1)),1+(1-$AU150))</f>
        <v>1.2</v>
      </c>
      <c r="BV150" s="15">
        <f>MIN(IF($AU150=100%,1,1+VLOOKUP(($AJ150-$AI150-$AH150-$AG150-$AF150-$AE150*(1+BV$3))/$AJ150,'Технический лист'!$I:$J,2,1)-VLOOKUP($AO150,'Технический лист'!$I:$J,2,1)),1+(1-$AU150))</f>
        <v>1.2</v>
      </c>
      <c r="BW150" s="15">
        <f>MIN(IF($AU150=100%,1,1+VLOOKUP(($AJ150-$AI150-$AH150-$AG150-$AF150-$AE150*(1+BW$3))/$AJ150,'Технический лист'!$I:$J,2,1)-VLOOKUP($AO150,'Технический лист'!$I:$J,2,1)),1+(1-$AU150))</f>
        <v>1.2</v>
      </c>
      <c r="BX150" s="15">
        <f>MIN(IF($AU150=100%,1,1+VLOOKUP(($AJ150-$AI150-$AH150-$AG150-$AF150-$AE150*(1+BX$3))/$AJ150,'Технический лист'!$I:$J,2,1)-VLOOKUP($AO150,'Технический лист'!$I:$J,2,1)),1+(1-$AU150))</f>
        <v>1.2</v>
      </c>
      <c r="BY150" s="15">
        <f>MIN(IF($AU150=100%,1,1+VLOOKUP(($AJ150-$AI150-$AH150-$AG150-$AF150-$AE150*(1+BY$3))/$AJ150,'Технический лист'!$I:$J,2,1)-VLOOKUP($AO150,'Технический лист'!$I:$J,2,1)),1+(1-$AU150))</f>
        <v>1.2</v>
      </c>
      <c r="BZ150" s="15">
        <f>MIN(IF($AU150=100%,1,1+VLOOKUP(($AJ150-$AI150-$AH150-$AG150-$AF150-$AE150*(1+BZ$3))/$AJ150,'Технический лист'!$I:$J,2,1)-VLOOKUP($AO150,'Технический лист'!$I:$J,2,1)),1+(1-$AU150))</f>
        <v>1.2</v>
      </c>
      <c r="CA150" s="15">
        <f>MIN(IF($AU150=100%,1,1+VLOOKUP(($AJ150-$AI150-$AH150-$AG150-$AF150-$AE150*(1+CA$3))/$AJ150,'Технический лист'!$I:$J,2,1)-VLOOKUP($AO150,'Технический лист'!$I:$J,2,1)),1+(1-$AU150))</f>
        <v>1.2</v>
      </c>
      <c r="CB150" s="15">
        <f>MIN(IF($AU150=100%,1,1+VLOOKUP(($AJ150-$AI150-$AH150-$AG150-$AF150-$AE150*(1+CB$3))/$AJ150,'Технический лист'!$I:$J,2,1)-VLOOKUP($AO150,'Технический лист'!$I:$J,2,1)),1+(1-$AU150))</f>
        <v>1.2</v>
      </c>
      <c r="CC150" s="15">
        <f>MIN(IF($AU150=100%,1,1+VLOOKUP(($AJ150-$AI150-$AH150-$AG150-$AF150-$AE150*(1+CC$3))/$AJ150,'Технический лист'!$I:$J,2,1)-VLOOKUP($AO150,'Технический лист'!$I:$J,2,1)),1+(1-$AU150))</f>
        <v>1.1499999999999999</v>
      </c>
      <c r="CD150" s="15">
        <f>MIN(IF($AU150=100%,1,1+VLOOKUP(($AJ150-$AI150-$AH150-$AG150-$AF150-$AE150*(1+CD$3))/$AJ150,'Технический лист'!$I:$J,2,1)-VLOOKUP($AO150,'Технический лист'!$I:$J,2,1)),1+(1-$AU150))</f>
        <v>1.1499999999999999</v>
      </c>
      <c r="CE150" s="15">
        <f>MIN(IF($AU150=100%,1,1+VLOOKUP(($AJ150-$AI150-$AH150-$AG150-$AF150-$AE150*(1+CE$3))/$AJ150,'Технический лист'!$I:$J,2,1)-VLOOKUP($AO150,'Технический лист'!$I:$J,2,1)),1+(1-$AU150))</f>
        <v>1.1499999999999999</v>
      </c>
      <c r="CF150" s="15">
        <f>MIN(IF($AU150=100%,1,1+VLOOKUP(($AJ150-$AI150-$AH150-$AG150-$AF150-$AE150*(1+CF$3))/$AJ150,'Технический лист'!$I:$J,2,1)-VLOOKUP($AO150,'Технический лист'!$I:$J,2,1)),1+(1-$AU150))</f>
        <v>1.1000000000000001</v>
      </c>
      <c r="CG150" s="15">
        <f>MIN(IF($AU150=100%,1,1+VLOOKUP(($AJ150-$AI150-$AH150-$AG150-$AF150-$AE150*(1+CG$3))/$AJ150,'Технический лист'!$I:$J,2,1)-VLOOKUP($AO150,'Технический лист'!$I:$J,2,1)),1+(1-$AU150))</f>
        <v>1.1000000000000001</v>
      </c>
      <c r="CH150" s="15">
        <f>MIN(IF($AU150=100%,1,1+VLOOKUP(($AJ150-$AI150-$AH150-$AG150-$AF150-$AE150*(1+CH$3))/$AJ150,'Технический лист'!$I:$J,2,1)-VLOOKUP($AO150,'Технический лист'!$I:$J,2,1)),1+(1-$AU150))</f>
        <v>1.1000000000000001</v>
      </c>
      <c r="CI150" s="15">
        <f>MIN(IF($AU150=100%,1,1+VLOOKUP(($AJ150-$AI150-$AH150-$AG150-$AF150-$AE150*(1+CI$3))/$AJ150,'Технический лист'!$I:$J,2,1)-VLOOKUP($AO150,'Технический лист'!$I:$J,2,1)),1+(1-$AU150))</f>
        <v>1.05</v>
      </c>
      <c r="CJ150" s="15">
        <f>MIN(IF($AU150=100%,1,1+VLOOKUP(($AJ150-$AI150-$AH150-$AG150-$AF150-$AE150*(1+CJ$3))/$AJ150,'Технический лист'!$I:$J,2,1)-VLOOKUP($AO150,'Технический лист'!$I:$J,2,1)),1+(1-$AU150))</f>
        <v>1.05</v>
      </c>
      <c r="CK150" s="15">
        <f>MIN(IF($AU150=100%,1,1+VLOOKUP(($AJ150-$AI150-$AH150-$AG150-$AF150-$AE150*(1+CK$3))/$AJ150,'Технический лист'!$I:$J,2,1)-VLOOKUP($AO150,'Технический лист'!$I:$J,2,1)),1+(1-$AU150))</f>
        <v>1</v>
      </c>
      <c r="CL150" s="15">
        <f>MIN(IF($AU150=100%,1,1+VLOOKUP(($AJ150-$AI150-$AH150-$AG150-$AF150-$AE150*(1+CL$3))/$AJ150,'Технический лист'!$I:$J,2,1)-VLOOKUP($AO150,'Технический лист'!$I:$J,2,1)),1+(1-$AU150))</f>
        <v>1</v>
      </c>
      <c r="CM150" s="15">
        <f>MIN(IF($AU150=100%,1,1+VLOOKUP(($AJ150-$AI150-$AH150-$AG150-$AF150-$AE150*(1+CM$3))/$AJ150,'Технический лист'!$I:$J,2,1)-VLOOKUP($AO150,'Технический лист'!$I:$J,2,1)),1+(1-$AU150))</f>
        <v>1</v>
      </c>
      <c r="CN150" s="15">
        <f>MIN(IF($AU150=100%,1,1+VLOOKUP(($AJ150-$AI150-$AH150-$AG150-$AF150-$AE150*(1+CN$3))/$AJ150,'Технический лист'!$I:$J,2,1)-VLOOKUP($AO150,'Технический лист'!$I:$J,2,1)),1+(1-$AU150))</f>
        <v>1</v>
      </c>
      <c r="CO150" s="15">
        <f>MIN(IF($AU150=100%,1,1+VLOOKUP(($AJ150-$AI150-$AH150-$AG150-$AF150-$AE150*(1+CO$3))/$AJ150,'Технический лист'!$I:$J,2,1)-VLOOKUP($AO150,'Технический лист'!$I:$J,2,1)),1+(1-$AU150))</f>
        <v>1</v>
      </c>
      <c r="CP150" s="15">
        <f>MIN(IF($AU150=100%,1,1+VLOOKUP(($AJ150-$AI150-$AH150-$AG150-$AF150-$AE150*(1+CP$3))/$AJ150,'Технический лист'!$I:$J,2,1)-VLOOKUP($AO150,'Технический лист'!$I:$J,2,1)),1+(1-$AU150))</f>
        <v>1</v>
      </c>
      <c r="CQ150" s="15">
        <f>MIN(IF($AU150=100%,1,1+VLOOKUP(($AJ150-$AI150-$AH150-$AG150-$AF150-$AE150*(1+CQ$3))/$AJ150,'Технический лист'!$I:$J,2,1)-VLOOKUP($AO150,'Технический лист'!$I:$J,2,1)),1+(1-$AU150))</f>
        <v>1</v>
      </c>
      <c r="CR150" s="15">
        <f>MIN(IF($AU150=100%,1,1+VLOOKUP(($AJ150-$AI150-$AH150-$AG150-$AF150-$AE150*(1+CR$3))/$AJ150,'Технический лист'!$I:$J,2,1)-VLOOKUP($AO150,'Технический лист'!$I:$J,2,1)),1+(1-$AU150))</f>
        <v>1</v>
      </c>
      <c r="CS150" s="15">
        <f>MIN(IF($AU150=100%,1,1+VLOOKUP(($AJ150-$AI150-$AH150-$AG150-$AF150-$AE150*(1+CS$3))/$AJ150,'Технический лист'!$I:$J,2,1)-VLOOKUP($AO150,'Технический лист'!$I:$J,2,1)),1+(1-$AU150))</f>
        <v>1</v>
      </c>
      <c r="CT150" s="15">
        <f>MIN(IF($AU150=100%,1,1+VLOOKUP(($AJ150-$AI150-$AH150-$AG150-$AF150-$AE150*(1+CT$3))/$AJ150,'Технический лист'!$I:$J,2,1)-VLOOKUP($AO150,'Технический лист'!$I:$J,2,1)),1+(1-$AU150))</f>
        <v>1</v>
      </c>
      <c r="CU150" s="15">
        <f>MIN(IF($AU150=100%,1,1+VLOOKUP(($AJ150-$AI150-$AH150-$AG150-$AF150-$AE150*(1+CU$3))/$AJ150,'Технический лист'!$I:$J,2,1)-VLOOKUP($AO150,'Технический лист'!$I:$J,2,1)),1+(1-$AU150))</f>
        <v>1</v>
      </c>
      <c r="CV150" s="15">
        <f>MIN(IF($AU150=100%,1,1+VLOOKUP(($AJ150-$AI150-$AH150-$AG150-$AF150-$AE150*(1+CV$3))/$AJ150,'Технический лист'!$I:$J,2,1)-VLOOKUP($AO150,'Технический лист'!$I:$J,2,1)),1+(1-$AU150))</f>
        <v>1</v>
      </c>
      <c r="CW150" s="15">
        <f>MIN(IF($AU150=100%,1,1+VLOOKUP(($AJ150-$AI150-$AH150-$AG150-$AF150-$AE150*(1+CW$3))/$AJ150,'Технический лист'!$I:$J,2,1)-VLOOKUP($AO150,'Технический лист'!$I:$J,2,1)),1+(1-$AU150))</f>
        <v>1</v>
      </c>
      <c r="CX150" s="15">
        <f>MIN(IF($AU150=100%,1,1+VLOOKUP(($AJ150-$AI150-$AH150-$AG150-$AF150-$AE150*(1+CX$3))/$AJ150,'Технический лист'!$I:$J,2,1)-VLOOKUP($AO150,'Технический лист'!$I:$J,2,1)),1+(1-$AU150))</f>
        <v>1</v>
      </c>
      <c r="CY150" s="15">
        <f>MIN(IF($AU150=100%,1,1+VLOOKUP(($AJ150-$AI150-$AH150-$AG150-$AF150-$AE150*(1+CY$3))/$AJ150,'Технический лист'!$I:$J,2,1)-VLOOKUP($AO150,'Технический лист'!$I:$J,2,1)),1+(1-$AU150))</f>
        <v>1</v>
      </c>
      <c r="CZ150" s="15">
        <f>MIN(IF($AU150=100%,1,1+VLOOKUP(($AJ150-$AI150-$AH150-$AG150-$AF150-$AE150*(1+CZ$3))/$AJ150,'Технический лист'!$I:$J,2,1)-VLOOKUP($AO150,'Технический лист'!$I:$J,2,1)),1+(1-$AU150))</f>
        <v>1</v>
      </c>
      <c r="DA150" s="15">
        <f>MIN(IF($AU150=100%,1,1+VLOOKUP(($AJ150-$AI150-$AH150-$AG150-$AF150-$AE150*(1+DA$3))/$AJ150,'Технический лист'!$I:$J,2,1)-VLOOKUP($AO150,'Технический лист'!$I:$J,2,1)),1+(1-$AU150))</f>
        <v>1</v>
      </c>
      <c r="DB150" s="15">
        <f>MIN(IF($AU150=100%,1,1+VLOOKUP(($AJ150-$AI150-$AH150-$AG150-$AF150-$AE150*(1+DB$3))/$AJ150,'Технический лист'!$I:$J,2,1)-VLOOKUP($AO150,'Технический лист'!$I:$J,2,1)),1+(1-$AU150))</f>
        <v>1</v>
      </c>
      <c r="DC150" s="15">
        <f>MIN(IF($AU150=100%,1,1+VLOOKUP(($AJ150-$AI150-$AH150-$AG150-$AF150-$AE150*(1+DC$3))/$AJ150,'Технический лист'!$I:$J,2,1)-VLOOKUP($AO150,'Технический лист'!$I:$J,2,1)),1+(1-$AU150))</f>
        <v>1</v>
      </c>
      <c r="DD150" s="15">
        <f>MIN(IF($AU150=100%,1,1+VLOOKUP(($AJ150-$AI150-$AH150-$AG150-$AF150-$AE150*(1+DD$3))/$AJ150,'Технический лист'!$I:$J,2,1)-VLOOKUP($AO150,'Технический лист'!$I:$J,2,1)),1+(1-$AU150))</f>
        <v>1</v>
      </c>
      <c r="DE150" s="15">
        <f>MIN(IF($AU150=100%,1,1+VLOOKUP(($AJ150-$AI150-$AH150-$AG150-$AF150-$AE150*(1+DE$3))/$AJ150,'Технический лист'!$I:$J,2,1)-VLOOKUP($AO150,'Технический лист'!$I:$J,2,1)),1+(1-$AU150))</f>
        <v>1</v>
      </c>
      <c r="DF150" s="15">
        <f>MIN(IF($AU150=100%,1,1+VLOOKUP(($AJ150-$AI150-$AH150-$AG150-$AF150-$AE150*(1+DF$3))/$AJ150,'Технический лист'!$I:$J,2,1)-VLOOKUP($AO150,'Технический лист'!$I:$J,2,1)),1+(1-$AU150))</f>
        <v>1</v>
      </c>
      <c r="DG150" s="15">
        <f>MIN(IF($AU150=100%,1,1+VLOOKUP(($AJ150-$AI150-$AH150-$AG150-$AF150-$AE150*(1+DG$3))/$AJ150,'Технический лист'!$I:$J,2,1)-VLOOKUP($AO150,'Технический лист'!$I:$J,2,1)),1+(1-$AU150))</f>
        <v>1</v>
      </c>
      <c r="DH150" s="15">
        <f>MIN(IF($AU150=100%,1,1+VLOOKUP(($AJ150-$AI150-$AH150-$AG150-$AF150-$AE150*(1+DH$3))/$AJ150,'Технический лист'!$I:$J,2,1)-VLOOKUP($AO150,'Технический лист'!$I:$J,2,1)),1+(1-$AU150))</f>
        <v>1</v>
      </c>
      <c r="DI150" s="15">
        <f>MIN(IF($AU150=100%,1,1+VLOOKUP(($AJ150-$AI150-$AH150-$AG150-$AF150-$AE150*(1+DI$3))/$AJ150,'Технический лист'!$I:$J,2,1)-VLOOKUP($AO150,'Технический лист'!$I:$J,2,1)),1+(1-$AU150))</f>
        <v>1</v>
      </c>
      <c r="DJ150" s="15">
        <f>MIN(IF($AU150=100%,1,1+VLOOKUP(($AJ150-$AI150-$AH150-$AG150-$AF150-$AE150*(1+DJ$3))/$AJ150,'Технический лист'!$I:$J,2,1)-VLOOKUP($AO150,'Технический лист'!$I:$J,2,1)),1+(1-$AU150))</f>
        <v>1</v>
      </c>
      <c r="DK150" s="15">
        <f>MIN(IF($AU150=100%,1,1+VLOOKUP(($AJ150-$AI150-$AH150-$AG150-$AF150-$AE150*(1+DK$3))/$AJ150,'Технический лист'!$I:$J,2,1)-VLOOKUP($AO150,'Технический лист'!$I:$J,2,1)),1+(1-$AU150))</f>
        <v>1</v>
      </c>
      <c r="DL150" s="15">
        <f>MIN(IF($AU150=100%,1,1+VLOOKUP(($AJ150-$AI150-$AH150-$AG150-$AF150-$AE150*(1+DL$3))/$AJ150,'Технический лист'!$I:$J,2,1)-VLOOKUP($AO150,'Технический лист'!$I:$J,2,1)),1+(1-$AU150))</f>
        <v>1</v>
      </c>
      <c r="DM150" s="15">
        <f>MIN(IF($AU150=100%,1,1+VLOOKUP(($AJ150-$AI150-$AH150-$AG150-$AF150-$AE150*(1+DM$3))/$AJ150,'Технический лист'!$I:$J,2,1)-VLOOKUP($AO150,'Технический лист'!$I:$J,2,1)),1+(1-$AU150))</f>
        <v>1</v>
      </c>
      <c r="DN150" s="15">
        <f>MIN(IF($AU150=100%,1,1+VLOOKUP(($AJ150-$AI150-$AH150-$AG150-$AF150-$AE150*(1+DN$3))/$AJ150,'Технический лист'!$I:$J,2,1)-VLOOKUP($AO150,'Технический лист'!$I:$J,2,1)),1+(1-$AU150))</f>
        <v>1</v>
      </c>
      <c r="DO150" s="15">
        <f>MIN(IF($AU150=100%,1,1+VLOOKUP(($AJ150-$AI150-$AH150-$AG150-$AF150-$AE150*(1+DO$3))/$AJ150,'Технический лист'!$I:$J,2,1)-VLOOKUP($AO150,'Технический лист'!$I:$J,2,1)),1+(1-$AU150))</f>
        <v>1</v>
      </c>
      <c r="DP150" s="15">
        <f>MIN(IF($AU150=100%,1,1+VLOOKUP(($AJ150-$AI150-$AH150-$AG150-$AF150-$AE150*(1+DP$3))/$AJ150,'Технический лист'!$I:$J,2,1)-VLOOKUP($AO150,'Технический лист'!$I:$J,2,1)),1+(1-$AU150))</f>
        <v>1</v>
      </c>
      <c r="DQ150" s="15">
        <f>MIN(IF($AU150=100%,1,1+VLOOKUP(($AJ150-$AI150-$AH150-$AG150-$AF150-$AE150*(1+DQ$3))/$AJ150,'Технический лист'!$I:$J,2,1)-VLOOKUP($AO150,'Технический лист'!$I:$J,2,1)),1+(1-$AU150))</f>
        <v>1</v>
      </c>
      <c r="DR150" s="15">
        <f>MIN(IF($AU150=100%,1,1+VLOOKUP(($AJ150-$AI150-$AH150-$AG150-$AF150-$AE150*(1+DR$3))/$AJ150,'Технический лист'!$I:$J,2,1)-VLOOKUP($AO150,'Технический лист'!$I:$J,2,1)),1+(1-$AU150))</f>
        <v>1</v>
      </c>
      <c r="DS150" s="15">
        <f>MIN(IF($AU150=100%,1,1+VLOOKUP(($AJ150-$AI150-$AH150-$AG150-$AF150-$AE150*(1+DS$3))/$AJ150,'Технический лист'!$I:$J,2,1)-VLOOKUP($AO150,'Технический лист'!$I:$J,2,1)),1+(1-$AU150))</f>
        <v>1</v>
      </c>
      <c r="DT150" s="15">
        <f>MIN(IF($AU150=100%,1,1+VLOOKUP(($AJ150-$AI150-$AH150-$AG150-$AF150-$AE150*(1+DT$3))/$AJ150,'Технический лист'!$I:$J,2,1)-VLOOKUP($AO150,'Технический лист'!$I:$J,2,1)),1+(1-$AU150))</f>
        <v>1</v>
      </c>
      <c r="DU150" s="15">
        <f>MIN(IF($AU150=100%,1,1+VLOOKUP(($AJ150-$AI150-$AH150-$AG150-$AF150-$AE150*(1+DU$3))/$AJ150,'Технический лист'!$I:$J,2,1)-VLOOKUP($AO150,'Технический лист'!$I:$J,2,1)),1+(1-$AU150))</f>
        <v>1</v>
      </c>
      <c r="DV150" s="15">
        <f>MIN(IF($AU150=100%,1,1+VLOOKUP(($AJ150-$AI150-$AH150-$AG150-$AF150-$AE150*(1+DV$3))/$AJ150,'Технический лист'!$I:$J,2,1)-VLOOKUP($AO150,'Технический лист'!$I:$J,2,1)),1+(1-$AU150))</f>
        <v>1</v>
      </c>
      <c r="DW150" s="15">
        <f>MIN(IF($AU150=100%,1,1+VLOOKUP(($AJ150-$AI150-$AH150-$AG150-$AF150-$AE150*(1+DW$3))/$AJ150,'Технический лист'!$I:$J,2,1)-VLOOKUP($AO150,'Технический лист'!$I:$J,2,1)),1+(1-$AU150))</f>
        <v>1</v>
      </c>
      <c r="DX150" s="15">
        <f>MIN(IF($AU150=100%,1,1+VLOOKUP(($AJ150-$AI150-$AH150-$AG150-$AF150-$AE150*(1+DX$3))/$AJ150,'Технический лист'!$I:$J,2,1)-VLOOKUP($AO150,'Технический лист'!$I:$J,2,1)),1+(1-$AU150))</f>
        <v>1</v>
      </c>
      <c r="DY150" s="15">
        <f>MIN(IF($AU150=100%,1,1+VLOOKUP(($AJ150-$AI150-$AH150-$AG150-$AF150-$AE150*(1+DY$3))/$AJ150,'Технический лист'!$I:$J,2,1)-VLOOKUP($AO150,'Технический лист'!$I:$J,2,1)),1+(1-$AU150))</f>
        <v>1</v>
      </c>
      <c r="DZ150" s="15">
        <f>MIN(IF($AU150=100%,1,1+VLOOKUP(($AJ150-$AI150-$AH150-$AG150-$AF150-$AE150*(1+DZ$3))/$AJ150,'Технический лист'!$I:$J,2,1)-VLOOKUP($AO150,'Технический лист'!$I:$J,2,1)),1+(1-$AU150))</f>
        <v>1</v>
      </c>
      <c r="EA150" s="15">
        <f>MIN(IF($AU150=100%,1,1+VLOOKUP(($AJ150-$AI150-$AH150-$AG150-$AF150-$AE150*(1+EA$3))/$AJ150,'Технический лист'!$I:$J,2,1)-VLOOKUP($AO150,'Технический лист'!$I:$J,2,1)),1+(1-$AU150))</f>
        <v>1</v>
      </c>
      <c r="EB150" s="15">
        <f>MIN(IF($AU150=100%,1,1+VLOOKUP(($AJ150-$AI150-$AH150-$AG150-$AF150-$AE150*(1+EB$3))/$AJ150,'Технический лист'!$I:$J,2,1)-VLOOKUP($AO150,'Технический лист'!$I:$J,2,1)),1+(1-$AU150))</f>
        <v>1</v>
      </c>
      <c r="EC150" s="15">
        <f>MIN(IF($AU150=100%,1,1+VLOOKUP(($AJ150-$AI150-$AH150-$AG150-$AF150-$AE150*(1+EC$3))/$AJ150,'Технический лист'!$I:$J,2,1)-VLOOKUP($AO150,'Технический лист'!$I:$J,2,1)),1+(1-$AU150))</f>
        <v>1</v>
      </c>
      <c r="ED150" s="15">
        <f>MIN(IF($AU150=100%,1,1+VLOOKUP(($AJ150-$AI150-$AH150-$AG150-$AF150-$AE150*(1+ED$3))/$AJ150,'Технический лист'!$I:$J,2,1)-VLOOKUP($AO150,'Технический лист'!$I:$J,2,1)),1+(1-$AU150))</f>
        <v>1</v>
      </c>
      <c r="EE150" s="15">
        <f>MIN(IF($AU150=100%,1,1+VLOOKUP(($AJ150-$AI150-$AH150-$AG150-$AF150-$AE150*(1+EE$3))/$AJ150,'Технический лист'!$I:$J,2,1)-VLOOKUP($AO150,'Технический лист'!$I:$J,2,1)),1+(1-$AU150))</f>
        <v>1</v>
      </c>
      <c r="EF150" s="15">
        <f>MIN(IF($AU150=100%,1,1+VLOOKUP(($AJ150-$AI150-$AH150-$AG150-$AF150-$AE150*(1+EF$3))/$AJ150,'Технический лист'!$I:$J,2,1)-VLOOKUP($AO150,'Технический лист'!$I:$J,2,1)),1+(1-$AU150))</f>
        <v>1</v>
      </c>
      <c r="EG150" s="15">
        <f>MIN(IF($AU150=100%,1,1+VLOOKUP(($AJ150-$AI150-$AH150-$AG150-$AF150-$AE150*(1+EG$3))/$AJ150,'Технический лист'!$I:$J,2,1)-VLOOKUP($AO150,'Технический лист'!$I:$J,2,1)),1+(1-$AU150))</f>
        <v>1</v>
      </c>
      <c r="EH150" s="15">
        <f>MIN(IF($AU150=100%,1,1+VLOOKUP(($AJ150-$AI150-$AH150-$AG150-$AF150-$AE150*(1+EH$3))/$AJ150,'Технический лист'!$I:$J,2,1)-VLOOKUP($AO150,'Технический лист'!$I:$J,2,1)),1+(1-$AU150))</f>
        <v>1</v>
      </c>
      <c r="EI150" s="15">
        <f>MIN(IF($AU150=100%,1,1+VLOOKUP(($AJ150-$AI150-$AH150-$AG150-$AF150-$AE150*(1+EI$3))/$AJ150,'Технический лист'!$I:$J,2,1)-VLOOKUP($AO150,'Технический лист'!$I:$J,2,1)),1+(1-$AU150))</f>
        <v>1</v>
      </c>
      <c r="EJ150" s="15">
        <f>MIN(IF($AU150=100%,1,1+VLOOKUP(($AJ150-$AI150-$AH150-$AG150-$AF150-$AE150*(1+EJ$3))/$AJ150,'Технический лист'!$I:$J,2,1)-VLOOKUP($AO150,'Технический лист'!$I:$J,2,1)),1+(1-$AU150))</f>
        <v>1</v>
      </c>
      <c r="EK150" s="15">
        <f>MIN(IF($AU150=100%,1,1+VLOOKUP(($AJ150-$AI150-$AH150-$AG150-$AF150-$AE150*(1+EK$3))/$AJ150,'Технический лист'!$I:$J,2,1)-VLOOKUP($AO150,'Технический лист'!$I:$J,2,1)),1+(1-$AU150))</f>
        <v>1</v>
      </c>
      <c r="EL150" s="15">
        <f>MIN(IF($AU150=100%,1,1+VLOOKUP(($AJ150-$AI150-$AH150-$AG150-$AF150-$AE150*(1+EL$3))/$AJ150,'Технический лист'!$I:$J,2,1)-VLOOKUP($AO150,'Технический лист'!$I:$J,2,1)),1+(1-$AU150))</f>
        <v>1</v>
      </c>
      <c r="EM150" s="15">
        <f>MIN(IF($AU150=100%,1,1+VLOOKUP(($AJ150-$AI150-$AH150-$AG150-$AF150-$AE150*(1+EM$3))/$AJ150,'Технический лист'!$I:$J,2,1)-VLOOKUP($AO150,'Технический лист'!$I:$J,2,1)),1+(1-$AU150))</f>
        <v>1</v>
      </c>
      <c r="EN150" s="15">
        <f>MIN(IF($AU150=100%,1,1+VLOOKUP(($AJ150-$AI150-$AH150-$AG150-$AF150-$AE150*(1+EN$3))/$AJ150,'Технический лист'!$I:$J,2,1)-VLOOKUP($AO150,'Технический лист'!$I:$J,2,1)),1+(1-$AU150))</f>
        <v>1</v>
      </c>
      <c r="EO150" s="15">
        <f>MIN(IF($AU150=100%,1,1+VLOOKUP(($AJ150-$AI150-$AH150-$AG150-$AF150-$AE150*(1+EO$3))/$AJ150,'Технический лист'!$I:$J,2,1)-VLOOKUP($AO150,'Технический лист'!$I:$J,2,1)),1+(1-$AU150))</f>
        <v>1</v>
      </c>
      <c r="EP150" s="15">
        <f>MIN(IF($AU150=100%,1,1+VLOOKUP(($AJ150-$AI150-$AH150-$AG150-$AF150-$AE150*(1+EP$3))/$AJ150,'Технический лист'!$I:$J,2,1)-VLOOKUP($AO150,'Технический лист'!$I:$J,2,1)),1+(1-$AU150))</f>
        <v>1</v>
      </c>
      <c r="EQ150" s="15">
        <f>MIN(IF($AU150=100%,1,1+VLOOKUP(($AJ150-$AI150-$AH150-$AG150-$AF150-$AE150*(1+EQ$3))/$AJ150,'Технический лист'!$I:$J,2,1)-VLOOKUP($AO150,'Технический лист'!$I:$J,2,1)),1+(1-$AU150))</f>
        <v>1</v>
      </c>
      <c r="ER150" s="15">
        <f>MIN(IF($AU150=100%,1,1+VLOOKUP(($AJ150-$AI150-$AH150-$AG150-$AF150-$AE150*(1+ER$3))/$AJ150,'Технический лист'!$I:$J,2,1)-VLOOKUP($AO150,'Технический лист'!$I:$J,2,1)),1+(1-$AU150))</f>
        <v>1</v>
      </c>
      <c r="ES150" s="15">
        <f>MIN(IF($AU150=100%,1,1+VLOOKUP(($AJ150-$AI150-$AH150-$AG150-$AF150-$AE150*(1+ES$3))/$AJ150,'Технический лист'!$I:$J,2,1)-VLOOKUP($AO150,'Технический лист'!$I:$J,2,1)),1+(1-$AU150))</f>
        <v>1</v>
      </c>
      <c r="ET150" s="15">
        <f>MIN(IF($AU150=100%,1,1+VLOOKUP(($AJ150-$AI150-$AH150-$AG150-$AF150-$AE150*(1+ET$3))/$AJ150,'Технический лист'!$I:$J,2,1)-VLOOKUP($AO150,'Технический лист'!$I:$J,2,1)),1+(1-$AU150))</f>
        <v>1</v>
      </c>
      <c r="EU150" s="15">
        <f>MIN(IF($AU150=100%,1,1+VLOOKUP(($AJ150-$AI150-$AH150-$AG150-$AF150-$AE150*(1+EU$3))/$AJ150,'Технический лист'!$I:$J,2,1)-VLOOKUP($AO150,'Технический лист'!$I:$J,2,1)),1+(1-$AU150))</f>
        <v>1</v>
      </c>
      <c r="EV150" s="111">
        <v>1</v>
      </c>
      <c r="EW150" s="15">
        <f>MIN(1,MAX(VLOOKUP(($AJ150-$AI150-$AH150-$AG150-$AF150-$AE150*(1+EW$3))/$AJ150,'Технический лист'!$A:$B,2,1),(EV150-0.05)))</f>
        <v>0.95</v>
      </c>
      <c r="EX150" s="15">
        <f>MIN(1,MAX(VLOOKUP(($AJ150-$AI150-$AH150-$AG150-$AF150-$AE150*(1+EX$3))/$AJ150,'Технический лист'!$A:$B,2,1),(EW150-0.05)))</f>
        <v>0.89999999999999991</v>
      </c>
      <c r="EY150" s="15">
        <f>MIN(1,MAX(VLOOKUP(($AJ150-$AI150-$AH150-$AG150-$AF150-$AE150*(1+EY$3))/$AJ150,'Технический лист'!$A:$B,2,1),(EX150-0.05)))</f>
        <v>0.86</v>
      </c>
      <c r="EZ150" s="15">
        <f>MIN(1,MAX(VLOOKUP(($AJ150-$AI150-$AH150-$AG150-$AF150-$AE150*(1+EZ$3))/$AJ150,'Технический лист'!$A:$B,2,1),(EY150-0.05)))</f>
        <v>0.85399999999999998</v>
      </c>
      <c r="FA150" s="15">
        <f>MIN(1,MAX(VLOOKUP(($AJ150-$AI150-$AH150-$AG150-$AF150-$AE150*(1+FA$3))/$AJ150,'Технический лист'!$A:$B,2,1),(EZ150-0.05)))</f>
        <v>0.85399999999999998</v>
      </c>
      <c r="FB150" s="15">
        <f>MIN(1,MAX(VLOOKUP(($AJ150-$AI150-$AH150-$AG150-$AF150-$AE150*(1+FB$3))/$AJ150,'Технический лист'!$A:$B,2,1),(FA150-0.05)))</f>
        <v>0.85399999999999998</v>
      </c>
      <c r="FC150" s="15">
        <f>MIN(1,MAX(VLOOKUP(($AJ150-$AI150-$AH150-$AG150-$AF150-$AE150*(1+FC$3))/$AJ150,'Технический лист'!$A:$B,2,1),(FB150-0.05)))</f>
        <v>0.85399999999999998</v>
      </c>
      <c r="FD150" s="15">
        <f>MIN(1,MAX(VLOOKUP(($AJ150-$AI150-$AH150-$AG150-$AF150-$AE150*(1+FD$3))/$AJ150,'Технический лист'!$A:$B,2,1),(FC150-0.05)))</f>
        <v>0.85399999999999998</v>
      </c>
      <c r="FE150" s="15">
        <f>MIN(1,MAX(VLOOKUP(($AJ150-$AI150-$AH150-$AG150-$AF150-$AE150*(1+FE$3))/$AJ150,'Технический лист'!$A:$B,2,1),(FD150-0.05)))</f>
        <v>0.85399999999999998</v>
      </c>
      <c r="FF150" s="15">
        <f>MIN(1,MAX(VLOOKUP(($AJ150-$AI150-$AH150-$AG150-$AF150-$AE150*(1+FF$3))/$AJ150,'Технический лист'!$A:$B,2,1),(FE150-0.05)))</f>
        <v>0.84799999999999998</v>
      </c>
      <c r="FG150" s="15">
        <f>MIN(1,MAX(VLOOKUP(($AJ150-$AI150-$AH150-$AG150-$AF150-$AE150*(1+FG$3))/$AJ150,'Технический лист'!$A:$B,2,1),(FF150-0.05)))</f>
        <v>0.84799999999999998</v>
      </c>
      <c r="FH150" s="15">
        <f>MIN(1,MAX(VLOOKUP(($AJ150-$AI150-$AH150-$AG150-$AF150-$AE150*(1+FH$3))/$AJ150,'Технический лист'!$A:$B,2,1),(FG150-0.05)))</f>
        <v>0.84799999999999998</v>
      </c>
      <c r="FI150" s="15">
        <f>MIN(1,MAX(VLOOKUP(($AJ150-$AI150-$AH150-$AG150-$AF150-$AE150*(1+FI$3))/$AJ150,'Технический лист'!$A:$B,2,1),(FH150-0.05)))</f>
        <v>0.84799999999999998</v>
      </c>
      <c r="FJ150" s="15">
        <f>MIN(1,MAX(VLOOKUP(($AJ150-$AI150-$AH150-$AG150-$AF150-$AE150*(1+FJ$3))/$AJ150,'Технический лист'!$A:$B,2,1),(FI150-0.05)))</f>
        <v>0.84799999999999998</v>
      </c>
      <c r="FK150" s="15">
        <f>MIN(1,MAX(VLOOKUP(($AJ150-$AI150-$AH150-$AG150-$AF150-$AE150*(1+FK$3))/$AJ150,'Технический лист'!$A:$B,2,1),(FJ150-0.05)))</f>
        <v>0.84799999999999998</v>
      </c>
      <c r="FL150" s="15">
        <f>MIN(1,MAX(VLOOKUP(($AJ150-$AI150-$AH150-$AG150-$AF150-$AE150*(1+FL$3))/$AJ150,'Технический лист'!$A:$B,2,1),(FK150-0.05)))</f>
        <v>0.84199999999999997</v>
      </c>
      <c r="FM150" s="15">
        <f>MIN(1,MAX(VLOOKUP(($AJ150-$AI150-$AH150-$AG150-$AF150-$AE150*(1+FM$3))/$AJ150,'Технический лист'!$A:$B,2,1),(FL150-0.05)))</f>
        <v>0.84199999999999997</v>
      </c>
      <c r="FN150" s="15">
        <f>MIN(1,MAX(VLOOKUP(($AJ150-$AI150-$AH150-$AG150-$AF150-$AE150*(1+FN$3))/$AJ150,'Технический лист'!$A:$B,2,1),(FM150-0.05)))</f>
        <v>0.84199999999999997</v>
      </c>
      <c r="FO150" s="15">
        <f>MIN(1,MAX(VLOOKUP(($AJ150-$AI150-$AH150-$AG150-$AF150-$AE150*(1+FO$3))/$AJ150,'Технический лист'!$A:$B,2,1),(FN150-0.05)))</f>
        <v>0.84199999999999997</v>
      </c>
      <c r="FP150" s="15">
        <f>MIN(1,MAX(VLOOKUP(($AJ150-$AI150-$AH150-$AG150-$AF150-$AE150*(1+FP$3))/$AJ150,'Технический лист'!$A:$B,2,1),(FO150-0.05)))</f>
        <v>0.84199999999999997</v>
      </c>
      <c r="FQ150" s="15">
        <f>MIN(1,MAX(VLOOKUP(($AJ150-$AI150-$AH150-$AG150-$AF150-$AE150*(1+FQ$3))/$AJ150,'Технический лист'!$A:$B,2,1),(FP150-0.05)))</f>
        <v>0.84199999999999997</v>
      </c>
      <c r="FR150" s="15">
        <f>MIN(1,MAX(VLOOKUP(($AJ150-$AI150-$AH150-$AG150-$AF150-$AE150*(1+FR$3))/$AJ150,'Технический лист'!$A:$B,2,1),(FQ150-0.05)))</f>
        <v>0.83599999999999997</v>
      </c>
      <c r="FS150" s="15">
        <f>MIN(1,MAX(VLOOKUP(($AJ150-$AI150-$AH150-$AG150-$AF150-$AE150*(1+FS$3))/$AJ150,'Технический лист'!$A:$B,2,1),(FR150-0.05)))</f>
        <v>0.83599999999999997</v>
      </c>
      <c r="FT150" s="15">
        <f>MIN(1,MAX(VLOOKUP(($AJ150-$AI150-$AH150-$AG150-$AF150-$AE150*(1+FT$3))/$AJ150,'Технический лист'!$A:$B,2,1),(FS150-0.05)))</f>
        <v>0.83599999999999997</v>
      </c>
      <c r="FU150" s="15">
        <f>MIN(1,MAX(VLOOKUP(($AJ150-$AI150-$AH150-$AG150-$AF150-$AE150*(1+FU$3))/$AJ150,'Технический лист'!$A:$B,2,1),(FT150-0.05)))</f>
        <v>0.83599999999999997</v>
      </c>
      <c r="FV150" s="15">
        <f>MIN(1,MAX(VLOOKUP(($AJ150-$AI150-$AH150-$AG150-$AF150-$AE150*(1+FV$3))/$AJ150,'Технический лист'!$A:$B,2,1),(FU150-0.05)))</f>
        <v>0.83599999999999997</v>
      </c>
      <c r="FW150" s="15">
        <f>MIN(1,MAX(VLOOKUP(($AJ150-$AI150-$AH150-$AG150-$AF150-$AE150*(1+FW$3))/$AJ150,'Технический лист'!$A:$B,2,1),(FV150-0.05)))</f>
        <v>0.83599999999999997</v>
      </c>
      <c r="FX150" s="15">
        <f>MIN(1,MAX(VLOOKUP(($AJ150-$AI150-$AH150-$AG150-$AF150-$AE150*(1+FX$3))/$AJ150,'Технический лист'!$A:$B,2,1),(FW150-0.05)))</f>
        <v>0.82899999999999996</v>
      </c>
      <c r="FY150" s="15">
        <f>MIN(1,MAX(VLOOKUP(($AJ150-$AI150-$AH150-$AG150-$AF150-$AE150*(1+FY$3))/$AJ150,'Технический лист'!$A:$B,2,1),(FX150-0.05)))</f>
        <v>0.82899999999999996</v>
      </c>
      <c r="FZ150" s="15">
        <f>MIN(1,MAX(VLOOKUP(($AJ150-$AI150-$AH150-$AG150-$AF150-$AE150*(1+FZ$3))/$AJ150,'Технический лист'!$A:$B,2,1),(FY150-0.05)))</f>
        <v>0.82899999999999996</v>
      </c>
      <c r="GA150" s="15">
        <f>MIN(1,MAX(VLOOKUP(($AJ150-$AI150-$AH150-$AG150-$AF150-$AE150*(1+GA$3))/$AJ150,'Технический лист'!$A:$B,2,1),(FZ150-0.05)))</f>
        <v>0.82899999999999996</v>
      </c>
      <c r="GB150" s="15">
        <f>MIN(1,MAX(VLOOKUP(($AJ150-$AI150-$AH150-$AG150-$AF150-$AE150*(1+GB$3))/$AJ150,'Технический лист'!$A:$B,2,1),(GA150-0.05)))</f>
        <v>0.82899999999999996</v>
      </c>
      <c r="GC150" s="15">
        <f>MIN(1,MAX(VLOOKUP(($AJ150-$AI150-$AH150-$AG150-$AF150-$AE150*(1+GC$3))/$AJ150,'Технический лист'!$A:$B,2,1),(GB150-0.05)))</f>
        <v>0.82899999999999996</v>
      </c>
      <c r="GD150" s="15">
        <f>MIN(1,MAX(VLOOKUP(($AJ150-$AI150-$AH150-$AG150-$AF150-$AE150*(1+GD$3))/$AJ150,'Технический лист'!$A:$B,2,1),(GC150-0.05)))</f>
        <v>0.82199999999999995</v>
      </c>
      <c r="GE150" s="15">
        <f>MIN(1,MAX(VLOOKUP(($AJ150-$AI150-$AH150-$AG150-$AF150-$AE150*(1+GE$3))/$AJ150,'Технический лист'!$A:$B,2,1),(GD150-0.05)))</f>
        <v>0.82199999999999995</v>
      </c>
      <c r="GF150" s="15">
        <f>MIN(1,MAX(VLOOKUP(($AJ150-$AI150-$AH150-$AG150-$AF150-$AE150*(1+GF$3))/$AJ150,'Технический лист'!$A:$B,2,1),(GE150-0.05)))</f>
        <v>0.82199999999999995</v>
      </c>
      <c r="GG150" s="15">
        <f>MIN(1,MAX(VLOOKUP(($AJ150-$AI150-$AH150-$AG150-$AF150-$AE150*(1+GG$3))/$AJ150,'Технический лист'!$A:$B,2,1),(GF150-0.05)))</f>
        <v>0.82199999999999995</v>
      </c>
      <c r="GH150" s="15">
        <f>MIN(1,MAX(VLOOKUP(($AJ150-$AI150-$AH150-$AG150-$AF150-$AE150*(1+GH$3))/$AJ150,'Технический лист'!$A:$B,2,1),(GG150-0.05)))</f>
        <v>0.82199999999999995</v>
      </c>
      <c r="GI150" s="15">
        <f>MIN(1,MAX(VLOOKUP(($AJ150-$AI150-$AH150-$AG150-$AF150-$AE150*(1+GI$3))/$AJ150,'Технический лист'!$A:$B,2,1),(GH150-0.05)))</f>
        <v>0.81499999999999995</v>
      </c>
      <c r="GJ150" s="15">
        <f>MIN(1,MAX(VLOOKUP(($AJ150-$AI150-$AH150-$AG150-$AF150-$AE150*(1+GJ$3))/$AJ150,'Технический лист'!$A:$B,2,1),(GI150-0.05)))</f>
        <v>0.81499999999999995</v>
      </c>
      <c r="GK150" s="15">
        <f>MIN(1,MAX(VLOOKUP(($AJ150-$AI150-$AH150-$AG150-$AF150-$AE150*(1+GK$3))/$AJ150,'Технический лист'!$A:$B,2,1),(GJ150-0.05)))</f>
        <v>0.81499999999999995</v>
      </c>
      <c r="GL150" s="15">
        <f>MIN(1,MAX(VLOOKUP(($AJ150-$AI150-$AH150-$AG150-$AF150-$AE150*(1+GL$3))/$AJ150,'Технический лист'!$A:$B,2,1),(GK150-0.05)))</f>
        <v>0.81499999999999995</v>
      </c>
      <c r="GM150" s="15">
        <f>MIN(1,MAX(VLOOKUP(($AJ150-$AI150-$AH150-$AG150-$AF150-$AE150*(1+GM$3))/$AJ150,'Технический лист'!$A:$B,2,1),(GL150-0.05)))</f>
        <v>0.81499999999999995</v>
      </c>
      <c r="GN150" s="15">
        <f>MIN(1,MAX(VLOOKUP(($AJ150-$AI150-$AH150-$AG150-$AF150-$AE150*(1+GN$3))/$AJ150,'Технический лист'!$A:$B,2,1),(GM150-0.05)))</f>
        <v>0.81499999999999995</v>
      </c>
      <c r="GO150" s="15">
        <f>MIN(1,MAX(VLOOKUP(($AJ150-$AI150-$AH150-$AG150-$AF150-$AE150*(1+GO$3))/$AJ150,'Технический лист'!$A:$B,2,1),(GN150-0.05)))</f>
        <v>0.80800000000000005</v>
      </c>
      <c r="GP150" s="15">
        <f>MIN(1,MAX(VLOOKUP(($AJ150-$AI150-$AH150-$AG150-$AF150-$AE150*(1+GP$3))/$AJ150,'Технический лист'!$A:$B,2,1),(GO150-0.05)))</f>
        <v>0.80800000000000005</v>
      </c>
      <c r="GQ150" s="15">
        <f>MIN(1,MAX(VLOOKUP(($AJ150-$AI150-$AH150-$AG150-$AF150-$AE150*(1+GQ$3))/$AJ150,'Технический лист'!$A:$B,2,1),(GP150-0.05)))</f>
        <v>0.80800000000000005</v>
      </c>
      <c r="GR150" s="15">
        <f>MIN(1,MAX(VLOOKUP(($AJ150-$AI150-$AH150-$AG150-$AF150-$AE150*(1+GR$3))/$AJ150,'Технический лист'!$A:$B,2,1),(GQ150-0.05)))</f>
        <v>0.80800000000000005</v>
      </c>
      <c r="GS150" s="15">
        <f>MIN(1,MAX(VLOOKUP(($AJ150-$AI150-$AH150-$AG150-$AF150-$AE150*(1+GS$3))/$AJ150,'Технический лист'!$A:$B,2,1),(GR150-0.05)))</f>
        <v>0.80800000000000005</v>
      </c>
      <c r="GT150" s="15">
        <f>MIN(1,MAX(VLOOKUP(($AJ150-$AI150-$AH150-$AG150-$AF150-$AE150*(1+GT$3))/$AJ150,'Технический лист'!$A:$B,2,1),(GS150-0.05)))</f>
        <v>0.80800000000000005</v>
      </c>
      <c r="GU150" s="15">
        <f>MIN(1,MAX(VLOOKUP(($AJ150-$AI150-$AH150-$AG150-$AF150-$AE150*(1+GU$3))/$AJ150,'Технический лист'!$A:$B,2,1),(GT150-0.05)))</f>
        <v>0.80100000000000005</v>
      </c>
      <c r="GV150" s="15">
        <f>MIN(1,MAX(VLOOKUP(($AJ150-$AI150-$AH150-$AG150-$AF150-$AE150*(1+GV$3))/$AJ150,'Технический лист'!$A:$B,2,1),(GU150-0.05)))</f>
        <v>0.80100000000000005</v>
      </c>
      <c r="GW150" s="15">
        <f>MIN(1,MAX(VLOOKUP(($AJ150-$AI150-$AH150-$AG150-$AF150-$AE150*(1+GW$3))/$AJ150,'Технический лист'!$A:$B,2,1),(GV150-0.05)))</f>
        <v>0.80100000000000005</v>
      </c>
      <c r="GX150" s="15">
        <f>MIN(1,MAX(VLOOKUP(($AJ150-$AI150-$AH150-$AG150-$AF150-$AE150*(1+GX$3))/$AJ150,'Технический лист'!$A:$B,2,1),(GW150-0.05)))</f>
        <v>0.80100000000000005</v>
      </c>
      <c r="GY150" s="15">
        <f>MIN(1,MAX(VLOOKUP(($AJ150-$AI150-$AH150-$AG150-$AF150-$AE150*(1+GY$3))/$AJ150,'Технический лист'!$A:$B,2,1),(GX150-0.05)))</f>
        <v>0.80100000000000005</v>
      </c>
      <c r="GZ150" s="15">
        <f>MIN(1,MAX(VLOOKUP(($AJ150-$AI150-$AH150-$AG150-$AF150-$AE150*(1+GZ$3))/$AJ150,'Технический лист'!$A:$B,2,1),(GY150-0.05)))</f>
        <v>0.80100000000000005</v>
      </c>
      <c r="HA150" s="15">
        <f>MIN(1,MAX(VLOOKUP(($AJ150-$AI150-$AH150-$AG150-$AF150-$AE150*(1+HA$3))/$AJ150,'Технический лист'!$A:$B,2,1),(GZ150-0.05)))</f>
        <v>0.79400000000000004</v>
      </c>
      <c r="HB150" s="15">
        <f>MIN(1,MAX(VLOOKUP(($AJ150-$AI150-$AH150-$AG150-$AF150-$AE150*(1+HB$3))/$AJ150,'Технический лист'!$A:$B,2,1),(HA150-0.05)))</f>
        <v>0.79400000000000004</v>
      </c>
      <c r="HC150" s="15">
        <f>MIN(1,MAX(VLOOKUP(($AJ150-$AI150-$AH150-$AG150-$AF150-$AE150*(1+HC$3))/$AJ150,'Технический лист'!$A:$B,2,1),(HB150-0.05)))</f>
        <v>0.79400000000000004</v>
      </c>
      <c r="HD150" s="15">
        <f>MIN(1,MAX(VLOOKUP(($AJ150-$AI150-$AH150-$AG150-$AF150-$AE150*(1+HD$3))/$AJ150,'Технический лист'!$A:$B,2,1),(HC150-0.05)))</f>
        <v>0.79400000000000004</v>
      </c>
      <c r="HE150" s="15">
        <f>MIN(1,MAX(VLOOKUP(($AJ150-$AI150-$AH150-$AG150-$AF150-$AE150*(1+HE$3))/$AJ150,'Технический лист'!$A:$B,2,1),(HD150-0.05)))</f>
        <v>0.79400000000000004</v>
      </c>
      <c r="HF150" s="15">
        <f>MIN(1,MAX(VLOOKUP(($AJ150-$AI150-$AH150-$AG150-$AF150-$AE150*(1+HF$3))/$AJ150,'Технический лист'!$A:$B,2,1),(HE150-0.05)))</f>
        <v>0.79400000000000004</v>
      </c>
      <c r="HG150" s="15">
        <f>MIN(1,MAX(VLOOKUP(($AJ150-$AI150-$AH150-$AG150-$AF150-$AE150*(1+HG$3))/$AJ150,'Технический лист'!$A:$B,2,1),(HF150-0.05)))</f>
        <v>0.78700000000000003</v>
      </c>
      <c r="HH150" s="15">
        <f>MIN(1,MAX(VLOOKUP(($AJ150-$AI150-$AH150-$AG150-$AF150-$AE150*(1+HH$3))/$AJ150,'Технический лист'!$A:$B,2,1),(HG150-0.05)))</f>
        <v>0.78700000000000003</v>
      </c>
      <c r="HI150" s="15">
        <f>MIN(1,MAX(VLOOKUP(($AJ150-$AI150-$AH150-$AG150-$AF150-$AE150*(1+HI$3))/$AJ150,'Технический лист'!$A:$B,2,1),(HH150-0.05)))</f>
        <v>0.78700000000000003</v>
      </c>
      <c r="HJ150" s="15">
        <f>MIN(1,MAX(VLOOKUP(($AJ150-$AI150-$AH150-$AG150-$AF150-$AE150*(1+HJ$3))/$AJ150,'Технический лист'!$A:$B,2,1),(HI150-0.05)))</f>
        <v>0.78700000000000003</v>
      </c>
      <c r="HK150" s="15">
        <f>MIN(1,MAX(VLOOKUP(($AJ150-$AI150-$AH150-$AG150-$AF150-$AE150*(1+HK$3))/$AJ150,'Технический лист'!$A:$B,2,1),(HJ150-0.05)))</f>
        <v>0.78700000000000003</v>
      </c>
      <c r="HL150" s="15">
        <f>MIN(1,MAX(VLOOKUP(($AJ150-$AI150-$AH150-$AG150-$AF150-$AE150*(1+HL$3))/$AJ150,'Технический лист'!$A:$B,2,1),(HK150-0.05)))</f>
        <v>0.78700000000000003</v>
      </c>
      <c r="HM150" s="15">
        <f>MIN(1,MAX(VLOOKUP(($AJ150-$AI150-$AH150-$AG150-$AF150-$AE150*(1+HM$3))/$AJ150,'Технический лист'!$A:$B,2,1),(HL150-0.05)))</f>
        <v>0.78</v>
      </c>
      <c r="HN150" s="15">
        <f>MIN(1,MAX(VLOOKUP(($AJ150-$AI150-$AH150-$AG150-$AF150-$AE150*(1+HN$3))/$AJ150,'Технический лист'!$A:$B,2,1),(HM150-0.05)))</f>
        <v>0.78</v>
      </c>
      <c r="HO150" s="15">
        <f>MIN(1,MAX(VLOOKUP(($AJ150-$AI150-$AH150-$AG150-$AF150-$AE150*(1+HO$3))/$AJ150,'Технический лист'!$A:$B,2,1),(HN150-0.05)))</f>
        <v>0.78</v>
      </c>
      <c r="HP150" s="15">
        <f>MIN(1,MAX(VLOOKUP(($AJ150-$AI150-$AH150-$AG150-$AF150-$AE150*(1+HP$3))/$AJ150,'Технический лист'!$A:$B,2,1),(HO150-0.05)))</f>
        <v>0.78</v>
      </c>
      <c r="HQ150" s="15">
        <f>MIN(1,MAX(VLOOKUP(($AJ150-$AI150-$AH150-$AG150-$AF150-$AE150*(1+HQ$3))/$AJ150,'Технический лист'!$A:$B,2,1),(HP150-0.05)))</f>
        <v>0.78</v>
      </c>
      <c r="HR150" s="15">
        <f>MIN(1,MAX(VLOOKUP(($AJ150-$AI150-$AH150-$AG150-$AF150-$AE150*(1+HR$3))/$AJ150,'Технический лист'!$A:$B,2,1),(HQ150-0.05)))</f>
        <v>0.77300000000000002</v>
      </c>
      <c r="HS150" s="15">
        <f>MIN(1,MAX(VLOOKUP(($AJ150-$AI150-$AH150-$AG150-$AF150-$AE150*(1+HS$3))/$AJ150,'Технический лист'!$A:$B,2,1),(HR150-0.05)))</f>
        <v>0.77300000000000002</v>
      </c>
      <c r="HT150" s="15">
        <f>MIN(1,MAX(VLOOKUP(($AJ150-$AI150-$AH150-$AG150-$AF150-$AE150*(1+HT$3))/$AJ150,'Технический лист'!$A:$B,2,1),(HS150-0.05)))</f>
        <v>0.77300000000000002</v>
      </c>
      <c r="HU150" s="15">
        <f>MIN(1,MAX(VLOOKUP(($AJ150-$AI150-$AH150-$AG150-$AF150-$AE150*(1+HU$3))/$AJ150,'Технический лист'!$A:$B,2,1),(HT150-0.05)))</f>
        <v>0.77300000000000002</v>
      </c>
      <c r="HV150" s="15">
        <f>MIN(1,MAX(VLOOKUP(($AJ150-$AI150-$AH150-$AG150-$AF150-$AE150*(1+HV$3))/$AJ150,'Технический лист'!$A:$B,2,1),(HU150-0.05)))</f>
        <v>0.77300000000000002</v>
      </c>
      <c r="HW150" s="15">
        <f>MIN(1,MAX(VLOOKUP(($AJ150-$AI150-$AH150-$AG150-$AF150-$AE150*(1+HW$3))/$AJ150,'Технический лист'!$A:$B,2,1),(HV150-0.05)))</f>
        <v>0.77300000000000002</v>
      </c>
      <c r="HX150" s="15">
        <f>MIN(1,MAX(VLOOKUP(($AJ150-$AI150-$AH150-$AG150-$AF150-$AE150*(1+HX$3))/$AJ150,'Технический лист'!$A:$B,2,1),(HW150-0.05)))</f>
        <v>0.76600000000000001</v>
      </c>
      <c r="HY150" s="15">
        <f>MIN(1,MAX(VLOOKUP(($AJ150-$AI150-$AH150-$AG150-$AF150-$AE150*(1+HY$3))/$AJ150,'Технический лист'!$A:$B,2,1),(HX150-0.05)))</f>
        <v>0.76600000000000001</v>
      </c>
      <c r="HZ150" s="15">
        <f>MIN(1,MAX(VLOOKUP(($AJ150-$AI150-$AH150-$AG150-$AF150-$AE150*(1+HZ$3))/$AJ150,'Технический лист'!$A:$B,2,1),(HY150-0.05)))</f>
        <v>0.76600000000000001</v>
      </c>
      <c r="IA150" s="15">
        <f>MIN(1,MAX(VLOOKUP(($AJ150-$AI150-$AH150-$AG150-$AF150-$AE150*(1+IA$3))/$AJ150,'Технический лист'!$A:$B,2,1),(HZ150-0.05)))</f>
        <v>0.76600000000000001</v>
      </c>
      <c r="IB150" s="15">
        <f>MIN(1,MAX(VLOOKUP(($AJ150-$AI150-$AH150-$AG150-$AF150-$AE150*(1+IB$3))/$AJ150,'Технический лист'!$A:$B,2,1),(IA150-0.05)))</f>
        <v>0.76600000000000001</v>
      </c>
      <c r="IC150" s="15">
        <f>MIN(1,MAX(VLOOKUP(($AJ150-$AI150-$AH150-$AG150-$AF150-$AE150*(1+IC$3))/$AJ150,'Технический лист'!$A:$B,2,1),(IB150-0.05)))</f>
        <v>0.76600000000000001</v>
      </c>
      <c r="ID150" s="15">
        <f>MIN(1,MAX(VLOOKUP(($AJ150-$AI150-$AH150-$AG150-$AF150-$AE150*(1+ID$3))/$AJ150,'Технический лист'!$A:$B,2,1),(IC150-0.05)))</f>
        <v>0.75900000000000001</v>
      </c>
      <c r="IE150" s="15">
        <f>MIN(1,MAX(VLOOKUP(($AJ150-$AI150-$AH150-$AG150-$AF150-$AE150*(1+IE$3))/$AJ150,'Технический лист'!$A:$B,2,1),(ID150-0.05)))</f>
        <v>0.75900000000000001</v>
      </c>
      <c r="IF150" s="15">
        <f>MIN(1,MAX(VLOOKUP(($AJ150-$AI150-$AH150-$AG150-$AF150-$AE150*(1+IF$3))/$AJ150,'Технический лист'!$A:$B,2,1),(IE150-0.05)))</f>
        <v>0.75900000000000001</v>
      </c>
      <c r="IG150" s="15">
        <f>MIN(1,MAX(VLOOKUP(($AJ150-$AI150-$AH150-$AG150-$AF150-$AE150*(1+IG$3))/$AJ150,'Технический лист'!$A:$B,2,1),(IF150-0.05)))</f>
        <v>0.75900000000000001</v>
      </c>
      <c r="IH150" s="15">
        <f>MIN(1,MAX(VLOOKUP(($AJ150-$AI150-$AH150-$AG150-$AF150-$AE150*(1+IH$3))/$AJ150,'Технический лист'!$A:$B,2,1),(IG150-0.05)))</f>
        <v>0.75900000000000001</v>
      </c>
      <c r="II150" s="15">
        <f>MIN(1,MAX(VLOOKUP(($AJ150-$AI150-$AH150-$AG150-$AF150-$AE150*(1+II$3))/$AJ150,'Технический лист'!$A:$B,2,1),(IH150-0.05)))</f>
        <v>0.75900000000000001</v>
      </c>
      <c r="IJ150" s="15">
        <f>MIN(1,MAX(VLOOKUP(($AJ150-$AI150-$AH150-$AG150-$AF150-$AE150*(1+IJ$3))/$AJ150,'Технический лист'!$A:$B,2,1),(II150-0.05)))</f>
        <v>0.752</v>
      </c>
      <c r="IK150" s="15">
        <f>MIN(1,MAX(VLOOKUP(($AJ150-$AI150-$AH150-$AG150-$AF150-$AE150*(1+IK$3))/$AJ150,'Технический лист'!$A:$B,2,1),(IJ150-0.05)))</f>
        <v>0.752</v>
      </c>
      <c r="IL150" s="15">
        <f>MIN(1,MAX(VLOOKUP(($AJ150-$AI150-$AH150-$AG150-$AF150-$AE150*(1+IL$3))/$AJ150,'Технический лист'!$A:$B,2,1),(IK150-0.05)))</f>
        <v>0.752</v>
      </c>
      <c r="IM150" s="15">
        <f>MIN(1,MAX(VLOOKUP(($AJ150-$AI150-$AH150-$AG150-$AF150-$AE150*(1+IM$3))/$AJ150,'Технический лист'!$A:$B,2,1),(IL150-0.05)))</f>
        <v>0.752</v>
      </c>
      <c r="IN150" s="15">
        <f>MIN(1,MAX(VLOOKUP(($AJ150-$AI150-$AH150-$AG150-$AF150-$AE150*(1+IN$3))/$AJ150,'Технический лист'!$A:$B,2,1),(IM150-0.05)))</f>
        <v>0.752</v>
      </c>
      <c r="IO150" s="15">
        <f>MIN(1,MAX(VLOOKUP(($AJ150-$AI150-$AH150-$AG150-$AF150-$AE150*(1+IO$3))/$AJ150,'Технический лист'!$A:$B,2,1),(IN150-0.05)))</f>
        <v>0.752</v>
      </c>
      <c r="IP150" s="15">
        <f>MIN(1,MAX(VLOOKUP(($AJ150-$AI150-$AH150-$AG150-$AF150-$AE150*(1+IP$3))/$AJ150,'Технический лист'!$A:$B,2,1),(IO150-0.05)))</f>
        <v>0.74399999999999999</v>
      </c>
      <c r="IQ150" s="15">
        <f>MIN(1,MAX(VLOOKUP(($AJ150-$AI150-$AH150-$AG150-$AF150-$AE150*(1+IQ$3))/$AJ150,'Технический лист'!$A:$B,2,1),(IP150-0.05)))</f>
        <v>0.74399999999999999</v>
      </c>
      <c r="IR150" s="15">
        <f>MIN(1,MAX(VLOOKUP(($AJ150-$AI150-$AH150-$AG150-$AF150-$AE150*(1+IR$3))/$AJ150,'Технический лист'!$A:$B,2,1),(IQ150-0.05)))</f>
        <v>0.74399999999999999</v>
      </c>
    </row>
    <row r="151" spans="1:252">
      <c r="A151" s="89" t="s">
        <v>515</v>
      </c>
      <c r="B151" s="90">
        <v>10</v>
      </c>
      <c r="C151" s="5" t="s">
        <v>66</v>
      </c>
      <c r="D151" s="91">
        <v>31605</v>
      </c>
      <c r="E151" s="91" t="s">
        <v>332</v>
      </c>
      <c r="F151" s="92" t="s">
        <v>70</v>
      </c>
      <c r="G151" s="91" t="s">
        <v>31</v>
      </c>
      <c r="H151" s="91" t="s">
        <v>31</v>
      </c>
      <c r="I151" s="91" t="s">
        <v>103</v>
      </c>
      <c r="J151" s="91" t="s">
        <v>102</v>
      </c>
      <c r="K151" s="91">
        <v>408</v>
      </c>
      <c r="L151" s="85" t="s">
        <v>64</v>
      </c>
      <c r="M151" s="91" t="s">
        <v>190</v>
      </c>
      <c r="N151" s="91" t="s">
        <v>191</v>
      </c>
      <c r="O151" s="91" t="s">
        <v>192</v>
      </c>
      <c r="P151" s="89" t="s">
        <v>226</v>
      </c>
      <c r="Q151" s="91" t="s">
        <v>313</v>
      </c>
      <c r="R151" s="91" t="s">
        <v>256</v>
      </c>
      <c r="S151" s="82">
        <v>56004</v>
      </c>
      <c r="T151" s="82">
        <v>22849509</v>
      </c>
      <c r="U151" s="81">
        <v>862</v>
      </c>
      <c r="V151" s="81">
        <v>0</v>
      </c>
      <c r="W151" s="82">
        <v>67224375</v>
      </c>
      <c r="X151" s="112">
        <v>62</v>
      </c>
      <c r="Y151" s="112" t="s">
        <v>416</v>
      </c>
      <c r="Z151" s="113">
        <v>5</v>
      </c>
      <c r="AA151" s="113">
        <v>4</v>
      </c>
      <c r="AB151" s="113">
        <v>4</v>
      </c>
      <c r="AC151" s="99">
        <v>1479.63</v>
      </c>
      <c r="AD151" s="99">
        <f t="shared" si="66"/>
        <v>165</v>
      </c>
      <c r="AE151" s="99">
        <v>1644.63</v>
      </c>
      <c r="AF151" s="98">
        <f>(Z151+AA151+AB151)*'Ставки аренды'!$B$3/X151</f>
        <v>146.7741935483871</v>
      </c>
      <c r="AG151" s="94">
        <v>0</v>
      </c>
      <c r="AH151" s="94">
        <v>0</v>
      </c>
      <c r="AI151" s="115">
        <f>0.9*AJ151</f>
        <v>16200</v>
      </c>
      <c r="AJ151" s="117">
        <f>Цены!D10</f>
        <v>18000</v>
      </c>
      <c r="AK151" s="94">
        <f>AJ151/Цены!$B$1</f>
        <v>235.89387396714525</v>
      </c>
      <c r="AL151" s="95">
        <f t="shared" si="54"/>
        <v>1791.4041935483872</v>
      </c>
      <c r="AM151" s="95">
        <f t="shared" si="55"/>
        <v>16208.595806451613</v>
      </c>
      <c r="AN151" s="94">
        <f t="shared" si="52"/>
        <v>17991.404193548387</v>
      </c>
      <c r="AO151" s="118">
        <f t="shared" si="53"/>
        <v>4.7754480286736606E-4</v>
      </c>
      <c r="AP151" s="96">
        <f t="shared" si="56"/>
        <v>9.9522455197132625E-2</v>
      </c>
      <c r="AQ151" s="96">
        <f t="shared" si="57"/>
        <v>9.1368333333333343E-2</v>
      </c>
      <c r="AR151" s="96">
        <f t="shared" si="58"/>
        <v>0.91806751704780876</v>
      </c>
      <c r="AS151" s="122">
        <v>1</v>
      </c>
      <c r="AT151" s="121">
        <f t="shared" si="45"/>
        <v>56004</v>
      </c>
      <c r="AU151" s="83">
        <v>0.8</v>
      </c>
      <c r="AV151" s="119">
        <f t="shared" si="41"/>
        <v>-1.0486655197132577E-2</v>
      </c>
      <c r="AW151" s="120">
        <f t="shared" si="42"/>
        <v>0.11048665519713263</v>
      </c>
      <c r="AX151" s="120">
        <f t="shared" si="43"/>
        <v>0.10233253333333335</v>
      </c>
      <c r="AY151" s="120">
        <f t="shared" si="44"/>
        <v>0.92619812909305177</v>
      </c>
      <c r="AZ151" s="15">
        <f>MIN(IF($AU151=100%,1,1+VLOOKUP(($AJ151-$AI151-$AH151-$AG151-$AF151-$AE151*(1+AZ$3))/$AJ151,'Технический лист'!$I:$J,2,1)-VLOOKUP($AO151,'Технический лист'!$I:$J,2,1)),1+(1-$AU151))</f>
        <v>1.1350000000000002</v>
      </c>
      <c r="BA151" s="15">
        <f>MIN(IF($AU151=100%,1,1+VLOOKUP(($AJ151-$AI151-$AH151-$AG151-$AF151-$AE151*(1+BA$3))/$AJ151,'Технический лист'!$I:$J,2,1)-VLOOKUP($AO151,'Технический лист'!$I:$J,2,1)),1+(1-$AU151))</f>
        <v>1.1350000000000002</v>
      </c>
      <c r="BB151" s="15">
        <f>MIN(IF($AU151=100%,1,1+VLOOKUP(($AJ151-$AI151-$AH151-$AG151-$AF151-$AE151*(1+BB$3))/$AJ151,'Технический лист'!$I:$J,2,1)-VLOOKUP($AO151,'Технический лист'!$I:$J,2,1)),1+(1-$AU151))</f>
        <v>1.1350000000000002</v>
      </c>
      <c r="BC151" s="15">
        <f>MIN(IF($AU151=100%,1,1+VLOOKUP(($AJ151-$AI151-$AH151-$AG151-$AF151-$AE151*(1+BC$3))/$AJ151,'Технический лист'!$I:$J,2,1)-VLOOKUP($AO151,'Технический лист'!$I:$J,2,1)),1+(1-$AU151))</f>
        <v>1.1150000000000002</v>
      </c>
      <c r="BD151" s="15">
        <f>MIN(IF($AU151=100%,1,1+VLOOKUP(($AJ151-$AI151-$AH151-$AG151-$AF151-$AE151*(1+BD$3))/$AJ151,'Технический лист'!$I:$J,2,1)-VLOOKUP($AO151,'Технический лист'!$I:$J,2,1)),1+(1-$AU151))</f>
        <v>1.1150000000000002</v>
      </c>
      <c r="BE151" s="15">
        <f>MIN(IF($AU151=100%,1,1+VLOOKUP(($AJ151-$AI151-$AH151-$AG151-$AF151-$AE151*(1+BE$3))/$AJ151,'Технический лист'!$I:$J,2,1)-VLOOKUP($AO151,'Технический лист'!$I:$J,2,1)),1+(1-$AU151))</f>
        <v>1.1150000000000002</v>
      </c>
      <c r="BF151" s="15">
        <f>MIN(IF($AU151=100%,1,1+VLOOKUP(($AJ151-$AI151-$AH151-$AG151-$AF151-$AE151*(1+BF$3))/$AJ151,'Технический лист'!$I:$J,2,1)-VLOOKUP($AO151,'Технический лист'!$I:$J,2,1)),1+(1-$AU151))</f>
        <v>1.1150000000000002</v>
      </c>
      <c r="BG151" s="15">
        <f>MIN(IF($AU151=100%,1,1+VLOOKUP(($AJ151-$AI151-$AH151-$AG151-$AF151-$AE151*(1+BG$3))/$AJ151,'Технический лист'!$I:$J,2,1)-VLOOKUP($AO151,'Технический лист'!$I:$J,2,1)),1+(1-$AU151))</f>
        <v>1.1150000000000002</v>
      </c>
      <c r="BH151" s="15">
        <f>MIN(IF($AU151=100%,1,1+VLOOKUP(($AJ151-$AI151-$AH151-$AG151-$AF151-$AE151*(1+BH$3))/$AJ151,'Технический лист'!$I:$J,2,1)-VLOOKUP($AO151,'Технический лист'!$I:$J,2,1)),1+(1-$AU151))</f>
        <v>1.1150000000000002</v>
      </c>
      <c r="BI151" s="15">
        <f>MIN(IF($AU151=100%,1,1+VLOOKUP(($AJ151-$AI151-$AH151-$AG151-$AF151-$AE151*(1+BI$3))/$AJ151,'Технический лист'!$I:$J,2,1)-VLOOKUP($AO151,'Технический лист'!$I:$J,2,1)),1+(1-$AU151))</f>
        <v>1.1150000000000002</v>
      </c>
      <c r="BJ151" s="15">
        <f>MIN(IF($AU151=100%,1,1+VLOOKUP(($AJ151-$AI151-$AH151-$AG151-$AF151-$AE151*(1+BJ$3))/$AJ151,'Технический лист'!$I:$J,2,1)-VLOOKUP($AO151,'Технический лист'!$I:$J,2,1)),1+(1-$AU151))</f>
        <v>1.1150000000000002</v>
      </c>
      <c r="BK151" s="15">
        <f>MIN(IF($AU151=100%,1,1+VLOOKUP(($AJ151-$AI151-$AH151-$AG151-$AF151-$AE151*(1+BK$3))/$AJ151,'Технический лист'!$I:$J,2,1)-VLOOKUP($AO151,'Технический лист'!$I:$J,2,1)),1+(1-$AU151))</f>
        <v>1.1150000000000002</v>
      </c>
      <c r="BL151" s="15">
        <f>MIN(IF($AU151=100%,1,1+VLOOKUP(($AJ151-$AI151-$AH151-$AG151-$AF151-$AE151*(1+BL$3))/$AJ151,'Технический лист'!$I:$J,2,1)-VLOOKUP($AO151,'Технический лист'!$I:$J,2,1)),1+(1-$AU151))</f>
        <v>1.1150000000000002</v>
      </c>
      <c r="BM151" s="15">
        <f>MIN(IF($AU151=100%,1,1+VLOOKUP(($AJ151-$AI151-$AH151-$AG151-$AF151-$AE151*(1+BM$3))/$AJ151,'Технический лист'!$I:$J,2,1)-VLOOKUP($AO151,'Технический лист'!$I:$J,2,1)),1+(1-$AU151))</f>
        <v>1.1150000000000002</v>
      </c>
      <c r="BN151" s="15">
        <f>MIN(IF($AU151=100%,1,1+VLOOKUP(($AJ151-$AI151-$AH151-$AG151-$AF151-$AE151*(1+BN$3))/$AJ151,'Технический лист'!$I:$J,2,1)-VLOOKUP($AO151,'Технический лист'!$I:$J,2,1)),1+(1-$AU151))</f>
        <v>1.0950000000000002</v>
      </c>
      <c r="BO151" s="15">
        <f>MIN(IF($AU151=100%,1,1+VLOOKUP(($AJ151-$AI151-$AH151-$AG151-$AF151-$AE151*(1+BO$3))/$AJ151,'Технический лист'!$I:$J,2,1)-VLOOKUP($AO151,'Технический лист'!$I:$J,2,1)),1+(1-$AU151))</f>
        <v>1.0950000000000002</v>
      </c>
      <c r="BP151" s="15">
        <f>MIN(IF($AU151=100%,1,1+VLOOKUP(($AJ151-$AI151-$AH151-$AG151-$AF151-$AE151*(1+BP$3))/$AJ151,'Технический лист'!$I:$J,2,1)-VLOOKUP($AO151,'Технический лист'!$I:$J,2,1)),1+(1-$AU151))</f>
        <v>1.0950000000000002</v>
      </c>
      <c r="BQ151" s="15">
        <f>MIN(IF($AU151=100%,1,1+VLOOKUP(($AJ151-$AI151-$AH151-$AG151-$AF151-$AE151*(1+BQ$3))/$AJ151,'Технический лист'!$I:$J,2,1)-VLOOKUP($AO151,'Технический лист'!$I:$J,2,1)),1+(1-$AU151))</f>
        <v>1.0950000000000002</v>
      </c>
      <c r="BR151" s="15">
        <f>MIN(IF($AU151=100%,1,1+VLOOKUP(($AJ151-$AI151-$AH151-$AG151-$AF151-$AE151*(1+BR$3))/$AJ151,'Технический лист'!$I:$J,2,1)-VLOOKUP($AO151,'Технический лист'!$I:$J,2,1)),1+(1-$AU151))</f>
        <v>1.0950000000000002</v>
      </c>
      <c r="BS151" s="15">
        <f>MIN(IF($AU151=100%,1,1+VLOOKUP(($AJ151-$AI151-$AH151-$AG151-$AF151-$AE151*(1+BS$3))/$AJ151,'Технический лист'!$I:$J,2,1)-VLOOKUP($AO151,'Технический лист'!$I:$J,2,1)),1+(1-$AU151))</f>
        <v>1.0950000000000002</v>
      </c>
      <c r="BT151" s="15">
        <f>MIN(IF($AU151=100%,1,1+VLOOKUP(($AJ151-$AI151-$AH151-$AG151-$AF151-$AE151*(1+BT$3))/$AJ151,'Технический лист'!$I:$J,2,1)-VLOOKUP($AO151,'Технический лист'!$I:$J,2,1)),1+(1-$AU151))</f>
        <v>1.0950000000000002</v>
      </c>
      <c r="BU151" s="15">
        <f>MIN(IF($AU151=100%,1,1+VLOOKUP(($AJ151-$AI151-$AH151-$AG151-$AF151-$AE151*(1+BU$3))/$AJ151,'Технический лист'!$I:$J,2,1)-VLOOKUP($AO151,'Технический лист'!$I:$J,2,1)),1+(1-$AU151))</f>
        <v>1.0950000000000002</v>
      </c>
      <c r="BV151" s="15">
        <f>MIN(IF($AU151=100%,1,1+VLOOKUP(($AJ151-$AI151-$AH151-$AG151-$AF151-$AE151*(1+BV$3))/$AJ151,'Технический лист'!$I:$J,2,1)-VLOOKUP($AO151,'Технический лист'!$I:$J,2,1)),1+(1-$AU151))</f>
        <v>1.0950000000000002</v>
      </c>
      <c r="BW151" s="15">
        <f>MIN(IF($AU151=100%,1,1+VLOOKUP(($AJ151-$AI151-$AH151-$AG151-$AF151-$AE151*(1+BW$3))/$AJ151,'Технический лист'!$I:$J,2,1)-VLOOKUP($AO151,'Технический лист'!$I:$J,2,1)),1+(1-$AU151))</f>
        <v>1.0950000000000002</v>
      </c>
      <c r="BX151" s="15">
        <f>MIN(IF($AU151=100%,1,1+VLOOKUP(($AJ151-$AI151-$AH151-$AG151-$AF151-$AE151*(1+BX$3))/$AJ151,'Технический лист'!$I:$J,2,1)-VLOOKUP($AO151,'Технический лист'!$I:$J,2,1)),1+(1-$AU151))</f>
        <v>1.0950000000000002</v>
      </c>
      <c r="BY151" s="15">
        <f>MIN(IF($AU151=100%,1,1+VLOOKUP(($AJ151-$AI151-$AH151-$AG151-$AF151-$AE151*(1+BY$3))/$AJ151,'Технический лист'!$I:$J,2,1)-VLOOKUP($AO151,'Технический лист'!$I:$J,2,1)),1+(1-$AU151))</f>
        <v>1.08</v>
      </c>
      <c r="BZ151" s="15">
        <f>MIN(IF($AU151=100%,1,1+VLOOKUP(($AJ151-$AI151-$AH151-$AG151-$AF151-$AE151*(1+BZ$3))/$AJ151,'Технический лист'!$I:$J,2,1)-VLOOKUP($AO151,'Технический лист'!$I:$J,2,1)),1+(1-$AU151))</f>
        <v>1.08</v>
      </c>
      <c r="CA151" s="15">
        <f>MIN(IF($AU151=100%,1,1+VLOOKUP(($AJ151-$AI151-$AH151-$AG151-$AF151-$AE151*(1+CA$3))/$AJ151,'Технический лист'!$I:$J,2,1)-VLOOKUP($AO151,'Технический лист'!$I:$J,2,1)),1+(1-$AU151))</f>
        <v>1.08</v>
      </c>
      <c r="CB151" s="15">
        <f>MIN(IF($AU151=100%,1,1+VLOOKUP(($AJ151-$AI151-$AH151-$AG151-$AF151-$AE151*(1+CB$3))/$AJ151,'Технический лист'!$I:$J,2,1)-VLOOKUP($AO151,'Технический лист'!$I:$J,2,1)),1+(1-$AU151))</f>
        <v>1.08</v>
      </c>
      <c r="CC151" s="15">
        <f>MIN(IF($AU151=100%,1,1+VLOOKUP(($AJ151-$AI151-$AH151-$AG151-$AF151-$AE151*(1+CC$3))/$AJ151,'Технический лист'!$I:$J,2,1)-VLOOKUP($AO151,'Технический лист'!$I:$J,2,1)),1+(1-$AU151))</f>
        <v>1.08</v>
      </c>
      <c r="CD151" s="15">
        <f>MIN(IF($AU151=100%,1,1+VLOOKUP(($AJ151-$AI151-$AH151-$AG151-$AF151-$AE151*(1+CD$3))/$AJ151,'Технический лист'!$I:$J,2,1)-VLOOKUP($AO151,'Технический лист'!$I:$J,2,1)),1+(1-$AU151))</f>
        <v>1.08</v>
      </c>
      <c r="CE151" s="15">
        <f>MIN(IF($AU151=100%,1,1+VLOOKUP(($AJ151-$AI151-$AH151-$AG151-$AF151-$AE151*(1+CE$3))/$AJ151,'Технический лист'!$I:$J,2,1)-VLOOKUP($AO151,'Технический лист'!$I:$J,2,1)),1+(1-$AU151))</f>
        <v>1.08</v>
      </c>
      <c r="CF151" s="15">
        <f>MIN(IF($AU151=100%,1,1+VLOOKUP(($AJ151-$AI151-$AH151-$AG151-$AF151-$AE151*(1+CF$3))/$AJ151,'Технический лист'!$I:$J,2,1)-VLOOKUP($AO151,'Технический лист'!$I:$J,2,1)),1+(1-$AU151))</f>
        <v>1.08</v>
      </c>
      <c r="CG151" s="15">
        <f>MIN(IF($AU151=100%,1,1+VLOOKUP(($AJ151-$AI151-$AH151-$AG151-$AF151-$AE151*(1+CG$3))/$AJ151,'Технический лист'!$I:$J,2,1)-VLOOKUP($AO151,'Технический лист'!$I:$J,2,1)),1+(1-$AU151))</f>
        <v>1.08</v>
      </c>
      <c r="CH151" s="15">
        <f>MIN(IF($AU151=100%,1,1+VLOOKUP(($AJ151-$AI151-$AH151-$AG151-$AF151-$AE151*(1+CH$3))/$AJ151,'Технический лист'!$I:$J,2,1)-VLOOKUP($AO151,'Технический лист'!$I:$J,2,1)),1+(1-$AU151))</f>
        <v>1.08</v>
      </c>
      <c r="CI151" s="15">
        <f>MIN(IF($AU151=100%,1,1+VLOOKUP(($AJ151-$AI151-$AH151-$AG151-$AF151-$AE151*(1+CI$3))/$AJ151,'Технический лист'!$I:$J,2,1)-VLOOKUP($AO151,'Технический лист'!$I:$J,2,1)),1+(1-$AU151))</f>
        <v>1.08</v>
      </c>
      <c r="CJ151" s="15">
        <f>MIN(IF($AU151=100%,1,1+VLOOKUP(($AJ151-$AI151-$AH151-$AG151-$AF151-$AE151*(1+CJ$3))/$AJ151,'Технический лист'!$I:$J,2,1)-VLOOKUP($AO151,'Технический лист'!$I:$J,2,1)),1+(1-$AU151))</f>
        <v>1.0650000000000004</v>
      </c>
      <c r="CK151" s="15">
        <f>MIN(IF($AU151=100%,1,1+VLOOKUP(($AJ151-$AI151-$AH151-$AG151-$AF151-$AE151*(1+CK$3))/$AJ151,'Технический лист'!$I:$J,2,1)-VLOOKUP($AO151,'Технический лист'!$I:$J,2,1)),1+(1-$AU151))</f>
        <v>1.0650000000000004</v>
      </c>
      <c r="CL151" s="15">
        <f>MIN(IF($AU151=100%,1,1+VLOOKUP(($AJ151-$AI151-$AH151-$AG151-$AF151-$AE151*(1+CL$3))/$AJ151,'Технический лист'!$I:$J,2,1)-VLOOKUP($AO151,'Технический лист'!$I:$J,2,1)),1+(1-$AU151))</f>
        <v>1.0650000000000004</v>
      </c>
      <c r="CM151" s="15">
        <f>MIN(IF($AU151=100%,1,1+VLOOKUP(($AJ151-$AI151-$AH151-$AG151-$AF151-$AE151*(1+CM$3))/$AJ151,'Технический лист'!$I:$J,2,1)-VLOOKUP($AO151,'Технический лист'!$I:$J,2,1)),1+(1-$AU151))</f>
        <v>1.0650000000000004</v>
      </c>
      <c r="CN151" s="15">
        <f>MIN(IF($AU151=100%,1,1+VLOOKUP(($AJ151-$AI151-$AH151-$AG151-$AF151-$AE151*(1+CN$3))/$AJ151,'Технический лист'!$I:$J,2,1)-VLOOKUP($AO151,'Технический лист'!$I:$J,2,1)),1+(1-$AU151))</f>
        <v>1.0650000000000004</v>
      </c>
      <c r="CO151" s="15">
        <f>MIN(IF($AU151=100%,1,1+VLOOKUP(($AJ151-$AI151-$AH151-$AG151-$AF151-$AE151*(1+CO$3))/$AJ151,'Технический лист'!$I:$J,2,1)-VLOOKUP($AO151,'Технический лист'!$I:$J,2,1)),1+(1-$AU151))</f>
        <v>1.0650000000000004</v>
      </c>
      <c r="CP151" s="15">
        <f>MIN(IF($AU151=100%,1,1+VLOOKUP(($AJ151-$AI151-$AH151-$AG151-$AF151-$AE151*(1+CP$3))/$AJ151,'Технический лист'!$I:$J,2,1)-VLOOKUP($AO151,'Технический лист'!$I:$J,2,1)),1+(1-$AU151))</f>
        <v>1.0650000000000004</v>
      </c>
      <c r="CQ151" s="15">
        <f>MIN(IF($AU151=100%,1,1+VLOOKUP(($AJ151-$AI151-$AH151-$AG151-$AF151-$AE151*(1+CQ$3))/$AJ151,'Технический лист'!$I:$J,2,1)-VLOOKUP($AO151,'Технический лист'!$I:$J,2,1)),1+(1-$AU151))</f>
        <v>1.0650000000000004</v>
      </c>
      <c r="CR151" s="15">
        <f>MIN(IF($AU151=100%,1,1+VLOOKUP(($AJ151-$AI151-$AH151-$AG151-$AF151-$AE151*(1+CR$3))/$AJ151,'Технический лист'!$I:$J,2,1)-VLOOKUP($AO151,'Технический лист'!$I:$J,2,1)),1+(1-$AU151))</f>
        <v>1.0650000000000004</v>
      </c>
      <c r="CS151" s="15">
        <f>MIN(IF($AU151=100%,1,1+VLOOKUP(($AJ151-$AI151-$AH151-$AG151-$AF151-$AE151*(1+CS$3))/$AJ151,'Технический лист'!$I:$J,2,1)-VLOOKUP($AO151,'Технический лист'!$I:$J,2,1)),1+(1-$AU151))</f>
        <v>1.0650000000000004</v>
      </c>
      <c r="CT151" s="15">
        <f>MIN(IF($AU151=100%,1,1+VLOOKUP(($AJ151-$AI151-$AH151-$AG151-$AF151-$AE151*(1+CT$3))/$AJ151,'Технический лист'!$I:$J,2,1)-VLOOKUP($AO151,'Технический лист'!$I:$J,2,1)),1+(1-$AU151))</f>
        <v>1.0650000000000004</v>
      </c>
      <c r="CU151" s="15">
        <f>MIN(IF($AU151=100%,1,1+VLOOKUP(($AJ151-$AI151-$AH151-$AG151-$AF151-$AE151*(1+CU$3))/$AJ151,'Технический лист'!$I:$J,2,1)-VLOOKUP($AO151,'Технический лист'!$I:$J,2,1)),1+(1-$AU151))</f>
        <v>1.0500000000000003</v>
      </c>
      <c r="CV151" s="15">
        <f>MIN(IF($AU151=100%,1,1+VLOOKUP(($AJ151-$AI151-$AH151-$AG151-$AF151-$AE151*(1+CV$3))/$AJ151,'Технический лист'!$I:$J,2,1)-VLOOKUP($AO151,'Технический лист'!$I:$J,2,1)),1+(1-$AU151))</f>
        <v>1.0500000000000003</v>
      </c>
      <c r="CW151" s="15">
        <f>MIN(IF($AU151=100%,1,1+VLOOKUP(($AJ151-$AI151-$AH151-$AG151-$AF151-$AE151*(1+CW$3))/$AJ151,'Технический лист'!$I:$J,2,1)-VLOOKUP($AO151,'Технический лист'!$I:$J,2,1)),1+(1-$AU151))</f>
        <v>1.0500000000000003</v>
      </c>
      <c r="CX151" s="15">
        <f>MIN(IF($AU151=100%,1,1+VLOOKUP(($AJ151-$AI151-$AH151-$AG151-$AF151-$AE151*(1+CX$3))/$AJ151,'Технический лист'!$I:$J,2,1)-VLOOKUP($AO151,'Технический лист'!$I:$J,2,1)),1+(1-$AU151))</f>
        <v>1.0500000000000003</v>
      </c>
      <c r="CY151" s="15">
        <f>MIN(IF($AU151=100%,1,1+VLOOKUP(($AJ151-$AI151-$AH151-$AG151-$AF151-$AE151*(1+CY$3))/$AJ151,'Технический лист'!$I:$J,2,1)-VLOOKUP($AO151,'Технический лист'!$I:$J,2,1)),1+(1-$AU151))</f>
        <v>1.0500000000000003</v>
      </c>
      <c r="CZ151" s="15">
        <f>MIN(IF($AU151=100%,1,1+VLOOKUP(($AJ151-$AI151-$AH151-$AG151-$AF151-$AE151*(1+CZ$3))/$AJ151,'Технический лист'!$I:$J,2,1)-VLOOKUP($AO151,'Технический лист'!$I:$J,2,1)),1+(1-$AU151))</f>
        <v>1.0500000000000003</v>
      </c>
      <c r="DA151" s="15">
        <f>MIN(IF($AU151=100%,1,1+VLOOKUP(($AJ151-$AI151-$AH151-$AG151-$AF151-$AE151*(1+DA$3))/$AJ151,'Технический лист'!$I:$J,2,1)-VLOOKUP($AO151,'Технический лист'!$I:$J,2,1)),1+(1-$AU151))</f>
        <v>1.0500000000000003</v>
      </c>
      <c r="DB151" s="15">
        <f>MIN(IF($AU151=100%,1,1+VLOOKUP(($AJ151-$AI151-$AH151-$AG151-$AF151-$AE151*(1+DB$3))/$AJ151,'Технический лист'!$I:$J,2,1)-VLOOKUP($AO151,'Технический лист'!$I:$J,2,1)),1+(1-$AU151))</f>
        <v>1.0500000000000003</v>
      </c>
      <c r="DC151" s="15">
        <f>MIN(IF($AU151=100%,1,1+VLOOKUP(($AJ151-$AI151-$AH151-$AG151-$AF151-$AE151*(1+DC$3))/$AJ151,'Технический лист'!$I:$J,2,1)-VLOOKUP($AO151,'Технический лист'!$I:$J,2,1)),1+(1-$AU151))</f>
        <v>1.0500000000000003</v>
      </c>
      <c r="DD151" s="15">
        <f>MIN(IF($AU151=100%,1,1+VLOOKUP(($AJ151-$AI151-$AH151-$AG151-$AF151-$AE151*(1+DD$3))/$AJ151,'Технический лист'!$I:$J,2,1)-VLOOKUP($AO151,'Технический лист'!$I:$J,2,1)),1+(1-$AU151))</f>
        <v>1.0500000000000003</v>
      </c>
      <c r="DE151" s="15">
        <f>MIN(IF($AU151=100%,1,1+VLOOKUP(($AJ151-$AI151-$AH151-$AG151-$AF151-$AE151*(1+DE$3))/$AJ151,'Технический лист'!$I:$J,2,1)-VLOOKUP($AO151,'Технический лист'!$I:$J,2,1)),1+(1-$AU151))</f>
        <v>1.0500000000000003</v>
      </c>
      <c r="DF151" s="15">
        <f>MIN(IF($AU151=100%,1,1+VLOOKUP(($AJ151-$AI151-$AH151-$AG151-$AF151-$AE151*(1+DF$3))/$AJ151,'Технический лист'!$I:$J,2,1)-VLOOKUP($AO151,'Технический лист'!$I:$J,2,1)),1+(1-$AU151))</f>
        <v>1.0350000000000001</v>
      </c>
      <c r="DG151" s="15">
        <f>MIN(IF($AU151=100%,1,1+VLOOKUP(($AJ151-$AI151-$AH151-$AG151-$AF151-$AE151*(1+DG$3))/$AJ151,'Технический лист'!$I:$J,2,1)-VLOOKUP($AO151,'Технический лист'!$I:$J,2,1)),1+(1-$AU151))</f>
        <v>1.0350000000000001</v>
      </c>
      <c r="DH151" s="15">
        <f>MIN(IF($AU151=100%,1,1+VLOOKUP(($AJ151-$AI151-$AH151-$AG151-$AF151-$AE151*(1+DH$3))/$AJ151,'Технический лист'!$I:$J,2,1)-VLOOKUP($AO151,'Технический лист'!$I:$J,2,1)),1+(1-$AU151))</f>
        <v>1.0350000000000001</v>
      </c>
      <c r="DI151" s="15">
        <f>MIN(IF($AU151=100%,1,1+VLOOKUP(($AJ151-$AI151-$AH151-$AG151-$AF151-$AE151*(1+DI$3))/$AJ151,'Технический лист'!$I:$J,2,1)-VLOOKUP($AO151,'Технический лист'!$I:$J,2,1)),1+(1-$AU151))</f>
        <v>1.0350000000000001</v>
      </c>
      <c r="DJ151" s="15">
        <f>MIN(IF($AU151=100%,1,1+VLOOKUP(($AJ151-$AI151-$AH151-$AG151-$AF151-$AE151*(1+DJ$3))/$AJ151,'Технический лист'!$I:$J,2,1)-VLOOKUP($AO151,'Технический лист'!$I:$J,2,1)),1+(1-$AU151))</f>
        <v>1.0350000000000001</v>
      </c>
      <c r="DK151" s="15">
        <f>MIN(IF($AU151=100%,1,1+VLOOKUP(($AJ151-$AI151-$AH151-$AG151-$AF151-$AE151*(1+DK$3))/$AJ151,'Технический лист'!$I:$J,2,1)-VLOOKUP($AO151,'Технический лист'!$I:$J,2,1)),1+(1-$AU151))</f>
        <v>1.0350000000000001</v>
      </c>
      <c r="DL151" s="15">
        <f>MIN(IF($AU151=100%,1,1+VLOOKUP(($AJ151-$AI151-$AH151-$AG151-$AF151-$AE151*(1+DL$3))/$AJ151,'Технический лист'!$I:$J,2,1)-VLOOKUP($AO151,'Технический лист'!$I:$J,2,1)),1+(1-$AU151))</f>
        <v>1.0350000000000001</v>
      </c>
      <c r="DM151" s="15">
        <f>MIN(IF($AU151=100%,1,1+VLOOKUP(($AJ151-$AI151-$AH151-$AG151-$AF151-$AE151*(1+DM$3))/$AJ151,'Технический лист'!$I:$J,2,1)-VLOOKUP($AO151,'Технический лист'!$I:$J,2,1)),1+(1-$AU151))</f>
        <v>1.0350000000000001</v>
      </c>
      <c r="DN151" s="15">
        <f>MIN(IF($AU151=100%,1,1+VLOOKUP(($AJ151-$AI151-$AH151-$AG151-$AF151-$AE151*(1+DN$3))/$AJ151,'Технический лист'!$I:$J,2,1)-VLOOKUP($AO151,'Технический лист'!$I:$J,2,1)),1+(1-$AU151))</f>
        <v>1.0350000000000001</v>
      </c>
      <c r="DO151" s="15">
        <f>MIN(IF($AU151=100%,1,1+VLOOKUP(($AJ151-$AI151-$AH151-$AG151-$AF151-$AE151*(1+DO$3))/$AJ151,'Технический лист'!$I:$J,2,1)-VLOOKUP($AO151,'Технический лист'!$I:$J,2,1)),1+(1-$AU151))</f>
        <v>1.0350000000000001</v>
      </c>
      <c r="DP151" s="15">
        <f>MIN(IF($AU151=100%,1,1+VLOOKUP(($AJ151-$AI151-$AH151-$AG151-$AF151-$AE151*(1+DP$3))/$AJ151,'Технический лист'!$I:$J,2,1)-VLOOKUP($AO151,'Технический лист'!$I:$J,2,1)),1+(1-$AU151))</f>
        <v>1.0350000000000001</v>
      </c>
      <c r="DQ151" s="15">
        <f>MIN(IF($AU151=100%,1,1+VLOOKUP(($AJ151-$AI151-$AH151-$AG151-$AF151-$AE151*(1+DQ$3))/$AJ151,'Технический лист'!$I:$J,2,1)-VLOOKUP($AO151,'Технический лист'!$I:$J,2,1)),1+(1-$AU151))</f>
        <v>1.02</v>
      </c>
      <c r="DR151" s="15">
        <f>MIN(IF($AU151=100%,1,1+VLOOKUP(($AJ151-$AI151-$AH151-$AG151-$AF151-$AE151*(1+DR$3))/$AJ151,'Технический лист'!$I:$J,2,1)-VLOOKUP($AO151,'Технический лист'!$I:$J,2,1)),1+(1-$AU151))</f>
        <v>1.02</v>
      </c>
      <c r="DS151" s="15">
        <f>MIN(IF($AU151=100%,1,1+VLOOKUP(($AJ151-$AI151-$AH151-$AG151-$AF151-$AE151*(1+DS$3))/$AJ151,'Технический лист'!$I:$J,2,1)-VLOOKUP($AO151,'Технический лист'!$I:$J,2,1)),1+(1-$AU151))</f>
        <v>1.02</v>
      </c>
      <c r="DT151" s="15">
        <f>MIN(IF($AU151=100%,1,1+VLOOKUP(($AJ151-$AI151-$AH151-$AG151-$AF151-$AE151*(1+DT$3))/$AJ151,'Технический лист'!$I:$J,2,1)-VLOOKUP($AO151,'Технический лист'!$I:$J,2,1)),1+(1-$AU151))</f>
        <v>1.02</v>
      </c>
      <c r="DU151" s="15">
        <f>MIN(IF($AU151=100%,1,1+VLOOKUP(($AJ151-$AI151-$AH151-$AG151-$AF151-$AE151*(1+DU$3))/$AJ151,'Технический лист'!$I:$J,2,1)-VLOOKUP($AO151,'Технический лист'!$I:$J,2,1)),1+(1-$AU151))</f>
        <v>1.02</v>
      </c>
      <c r="DV151" s="15">
        <f>MIN(IF($AU151=100%,1,1+VLOOKUP(($AJ151-$AI151-$AH151-$AG151-$AF151-$AE151*(1+DV$3))/$AJ151,'Технический лист'!$I:$J,2,1)-VLOOKUP($AO151,'Технический лист'!$I:$J,2,1)),1+(1-$AU151))</f>
        <v>1.02</v>
      </c>
      <c r="DW151" s="15">
        <f>MIN(IF($AU151=100%,1,1+VLOOKUP(($AJ151-$AI151-$AH151-$AG151-$AF151-$AE151*(1+DW$3))/$AJ151,'Технический лист'!$I:$J,2,1)-VLOOKUP($AO151,'Технический лист'!$I:$J,2,1)),1+(1-$AU151))</f>
        <v>1.02</v>
      </c>
      <c r="DX151" s="15">
        <f>MIN(IF($AU151=100%,1,1+VLOOKUP(($AJ151-$AI151-$AH151-$AG151-$AF151-$AE151*(1+DX$3))/$AJ151,'Технический лист'!$I:$J,2,1)-VLOOKUP($AO151,'Технический лист'!$I:$J,2,1)),1+(1-$AU151))</f>
        <v>1.02</v>
      </c>
      <c r="DY151" s="15">
        <f>MIN(IF($AU151=100%,1,1+VLOOKUP(($AJ151-$AI151-$AH151-$AG151-$AF151-$AE151*(1+DY$3))/$AJ151,'Технический лист'!$I:$J,2,1)-VLOOKUP($AO151,'Технический лист'!$I:$J,2,1)),1+(1-$AU151))</f>
        <v>1.02</v>
      </c>
      <c r="DZ151" s="15">
        <f>MIN(IF($AU151=100%,1,1+VLOOKUP(($AJ151-$AI151-$AH151-$AG151-$AF151-$AE151*(1+DZ$3))/$AJ151,'Технический лист'!$I:$J,2,1)-VLOOKUP($AO151,'Технический лист'!$I:$J,2,1)),1+(1-$AU151))</f>
        <v>1.02</v>
      </c>
      <c r="EA151" s="15">
        <f>MIN(IF($AU151=100%,1,1+VLOOKUP(($AJ151-$AI151-$AH151-$AG151-$AF151-$AE151*(1+EA$3))/$AJ151,'Технический лист'!$I:$J,2,1)-VLOOKUP($AO151,'Технический лист'!$I:$J,2,1)),1+(1-$AU151))</f>
        <v>1.02</v>
      </c>
      <c r="EB151" s="15">
        <f>MIN(IF($AU151=100%,1,1+VLOOKUP(($AJ151-$AI151-$AH151-$AG151-$AF151-$AE151*(1+EB$3))/$AJ151,'Технический лист'!$I:$J,2,1)-VLOOKUP($AO151,'Технический лист'!$I:$J,2,1)),1+(1-$AU151))</f>
        <v>1.0099999999999998</v>
      </c>
      <c r="EC151" s="15">
        <f>MIN(IF($AU151=100%,1,1+VLOOKUP(($AJ151-$AI151-$AH151-$AG151-$AF151-$AE151*(1+EC$3))/$AJ151,'Технический лист'!$I:$J,2,1)-VLOOKUP($AO151,'Технический лист'!$I:$J,2,1)),1+(1-$AU151))</f>
        <v>1.0099999999999998</v>
      </c>
      <c r="ED151" s="15">
        <f>MIN(IF($AU151=100%,1,1+VLOOKUP(($AJ151-$AI151-$AH151-$AG151-$AF151-$AE151*(1+ED$3))/$AJ151,'Технический лист'!$I:$J,2,1)-VLOOKUP($AO151,'Технический лист'!$I:$J,2,1)),1+(1-$AU151))</f>
        <v>1.0099999999999998</v>
      </c>
      <c r="EE151" s="15">
        <f>MIN(IF($AU151=100%,1,1+VLOOKUP(($AJ151-$AI151-$AH151-$AG151-$AF151-$AE151*(1+EE$3))/$AJ151,'Технический лист'!$I:$J,2,1)-VLOOKUP($AO151,'Технический лист'!$I:$J,2,1)),1+(1-$AU151))</f>
        <v>1.0099999999999998</v>
      </c>
      <c r="EF151" s="15">
        <f>MIN(IF($AU151=100%,1,1+VLOOKUP(($AJ151-$AI151-$AH151-$AG151-$AF151-$AE151*(1+EF$3))/$AJ151,'Технический лист'!$I:$J,2,1)-VLOOKUP($AO151,'Технический лист'!$I:$J,2,1)),1+(1-$AU151))</f>
        <v>1.0099999999999998</v>
      </c>
      <c r="EG151" s="15">
        <f>MIN(IF($AU151=100%,1,1+VLOOKUP(($AJ151-$AI151-$AH151-$AG151-$AF151-$AE151*(1+EG$3))/$AJ151,'Технический лист'!$I:$J,2,1)-VLOOKUP($AO151,'Технический лист'!$I:$J,2,1)),1+(1-$AU151))</f>
        <v>1.0099999999999998</v>
      </c>
      <c r="EH151" s="15">
        <f>MIN(IF($AU151=100%,1,1+VLOOKUP(($AJ151-$AI151-$AH151-$AG151-$AF151-$AE151*(1+EH$3))/$AJ151,'Технический лист'!$I:$J,2,1)-VLOOKUP($AO151,'Технический лист'!$I:$J,2,1)),1+(1-$AU151))</f>
        <v>1.0099999999999998</v>
      </c>
      <c r="EI151" s="15">
        <f>MIN(IF($AU151=100%,1,1+VLOOKUP(($AJ151-$AI151-$AH151-$AG151-$AF151-$AE151*(1+EI$3))/$AJ151,'Технический лист'!$I:$J,2,1)-VLOOKUP($AO151,'Технический лист'!$I:$J,2,1)),1+(1-$AU151))</f>
        <v>1.0099999999999998</v>
      </c>
      <c r="EJ151" s="15">
        <f>MIN(IF($AU151=100%,1,1+VLOOKUP(($AJ151-$AI151-$AH151-$AG151-$AF151-$AE151*(1+EJ$3))/$AJ151,'Технический лист'!$I:$J,2,1)-VLOOKUP($AO151,'Технический лист'!$I:$J,2,1)),1+(1-$AU151))</f>
        <v>1.0099999999999998</v>
      </c>
      <c r="EK151" s="15">
        <f>MIN(IF($AU151=100%,1,1+VLOOKUP(($AJ151-$AI151-$AH151-$AG151-$AF151-$AE151*(1+EK$3))/$AJ151,'Технический лист'!$I:$J,2,1)-VLOOKUP($AO151,'Технический лист'!$I:$J,2,1)),1+(1-$AU151))</f>
        <v>1.0099999999999998</v>
      </c>
      <c r="EL151" s="15">
        <f>MIN(IF($AU151=100%,1,1+VLOOKUP(($AJ151-$AI151-$AH151-$AG151-$AF151-$AE151*(1+EL$3))/$AJ151,'Технический лист'!$I:$J,2,1)-VLOOKUP($AO151,'Технический лист'!$I:$J,2,1)),1+(1-$AU151))</f>
        <v>1.0099999999999998</v>
      </c>
      <c r="EM151" s="15">
        <f>MIN(IF($AU151=100%,1,1+VLOOKUP(($AJ151-$AI151-$AH151-$AG151-$AF151-$AE151*(1+EM$3))/$AJ151,'Технический лист'!$I:$J,2,1)-VLOOKUP($AO151,'Технический лист'!$I:$J,2,1)),1+(1-$AU151))</f>
        <v>1</v>
      </c>
      <c r="EN151" s="15">
        <f>MIN(IF($AU151=100%,1,1+VLOOKUP(($AJ151-$AI151-$AH151-$AG151-$AF151-$AE151*(1+EN$3))/$AJ151,'Технический лист'!$I:$J,2,1)-VLOOKUP($AO151,'Технический лист'!$I:$J,2,1)),1+(1-$AU151))</f>
        <v>1</v>
      </c>
      <c r="EO151" s="15">
        <f>MIN(IF($AU151=100%,1,1+VLOOKUP(($AJ151-$AI151-$AH151-$AG151-$AF151-$AE151*(1+EO$3))/$AJ151,'Технический лист'!$I:$J,2,1)-VLOOKUP($AO151,'Технический лист'!$I:$J,2,1)),1+(1-$AU151))</f>
        <v>1</v>
      </c>
      <c r="EP151" s="15">
        <f>MIN(IF($AU151=100%,1,1+VLOOKUP(($AJ151-$AI151-$AH151-$AG151-$AF151-$AE151*(1+EP$3))/$AJ151,'Технический лист'!$I:$J,2,1)-VLOOKUP($AO151,'Технический лист'!$I:$J,2,1)),1+(1-$AU151))</f>
        <v>1</v>
      </c>
      <c r="EQ151" s="15">
        <f>MIN(IF($AU151=100%,1,1+VLOOKUP(($AJ151-$AI151-$AH151-$AG151-$AF151-$AE151*(1+EQ$3))/$AJ151,'Технический лист'!$I:$J,2,1)-VLOOKUP($AO151,'Технический лист'!$I:$J,2,1)),1+(1-$AU151))</f>
        <v>1</v>
      </c>
      <c r="ER151" s="15">
        <f>MIN(IF($AU151=100%,1,1+VLOOKUP(($AJ151-$AI151-$AH151-$AG151-$AF151-$AE151*(1+ER$3))/$AJ151,'Технический лист'!$I:$J,2,1)-VLOOKUP($AO151,'Технический лист'!$I:$J,2,1)),1+(1-$AU151))</f>
        <v>1</v>
      </c>
      <c r="ES151" s="15">
        <f>MIN(IF($AU151=100%,1,1+VLOOKUP(($AJ151-$AI151-$AH151-$AG151-$AF151-$AE151*(1+ES$3))/$AJ151,'Технический лист'!$I:$J,2,1)-VLOOKUP($AO151,'Технический лист'!$I:$J,2,1)),1+(1-$AU151))</f>
        <v>1</v>
      </c>
      <c r="ET151" s="15">
        <f>MIN(IF($AU151=100%,1,1+VLOOKUP(($AJ151-$AI151-$AH151-$AG151-$AF151-$AE151*(1+ET$3))/$AJ151,'Технический лист'!$I:$J,2,1)-VLOOKUP($AO151,'Технический лист'!$I:$J,2,1)),1+(1-$AU151))</f>
        <v>1</v>
      </c>
      <c r="EU151" s="15">
        <f>MIN(IF($AU151=100%,1,1+VLOOKUP(($AJ151-$AI151-$AH151-$AG151-$AF151-$AE151*(1+EU$3))/$AJ151,'Технический лист'!$I:$J,2,1)-VLOOKUP($AO151,'Технический лист'!$I:$J,2,1)),1+(1-$AU151))</f>
        <v>1</v>
      </c>
      <c r="EV151" s="111">
        <v>1</v>
      </c>
      <c r="EW151" s="15">
        <f>MIN(1,MAX(VLOOKUP(($AJ151-$AI151-$AH151-$AG151-$AF151-$AE151*(1+EW$3))/$AJ151,'Технический лист'!$A:$B,2,1),(EV151-0.05)))</f>
        <v>1</v>
      </c>
      <c r="EX151" s="15">
        <f>MIN(1,MAX(VLOOKUP(($AJ151-$AI151-$AH151-$AG151-$AF151-$AE151*(1+EX$3))/$AJ151,'Технический лист'!$A:$B,2,1),(EW151-0.05)))</f>
        <v>1</v>
      </c>
      <c r="EY151" s="15">
        <f>MIN(1,MAX(VLOOKUP(($AJ151-$AI151-$AH151-$AG151-$AF151-$AE151*(1+EY$3))/$AJ151,'Технический лист'!$A:$B,2,1),(EX151-0.05)))</f>
        <v>1</v>
      </c>
      <c r="EZ151" s="15">
        <f>MIN(1,MAX(VLOOKUP(($AJ151-$AI151-$AH151-$AG151-$AF151-$AE151*(1+EZ$3))/$AJ151,'Технический лист'!$A:$B,2,1),(EY151-0.05)))</f>
        <v>1</v>
      </c>
      <c r="FA151" s="15">
        <f>MIN(1,MAX(VLOOKUP(($AJ151-$AI151-$AH151-$AG151-$AF151-$AE151*(1+FA$3))/$AJ151,'Технический лист'!$A:$B,2,1),(EZ151-0.05)))</f>
        <v>1</v>
      </c>
      <c r="FB151" s="15">
        <f>MIN(1,MAX(VLOOKUP(($AJ151-$AI151-$AH151-$AG151-$AF151-$AE151*(1+FB$3))/$AJ151,'Технический лист'!$A:$B,2,1),(FA151-0.05)))</f>
        <v>1</v>
      </c>
      <c r="FC151" s="15">
        <f>MIN(1,MAX(VLOOKUP(($AJ151-$AI151-$AH151-$AG151-$AF151-$AE151*(1+FC$3))/$AJ151,'Технический лист'!$A:$B,2,1),(FB151-0.05)))</f>
        <v>1</v>
      </c>
      <c r="FD151" s="15">
        <f>MIN(1,MAX(VLOOKUP(($AJ151-$AI151-$AH151-$AG151-$AF151-$AE151*(1+FD$3))/$AJ151,'Технический лист'!$A:$B,2,1),(FC151-0.05)))</f>
        <v>1</v>
      </c>
      <c r="FE151" s="15">
        <f>MIN(1,MAX(VLOOKUP(($AJ151-$AI151-$AH151-$AG151-$AF151-$AE151*(1+FE$3))/$AJ151,'Технический лист'!$A:$B,2,1),(FD151-0.05)))</f>
        <v>1</v>
      </c>
      <c r="FF151" s="15">
        <f>MIN(1,MAX(VLOOKUP(($AJ151-$AI151-$AH151-$AG151-$AF151-$AE151*(1+FF$3))/$AJ151,'Технический лист'!$A:$B,2,1),(FE151-0.05)))</f>
        <v>1</v>
      </c>
      <c r="FG151" s="15">
        <f>MIN(1,MAX(VLOOKUP(($AJ151-$AI151-$AH151-$AG151-$AF151-$AE151*(1+FG$3))/$AJ151,'Технический лист'!$A:$B,2,1),(FF151-0.05)))</f>
        <v>1</v>
      </c>
      <c r="FH151" s="15">
        <f>MIN(1,MAX(VLOOKUP(($AJ151-$AI151-$AH151-$AG151-$AF151-$AE151*(1+FH$3))/$AJ151,'Технический лист'!$A:$B,2,1),(FG151-0.05)))</f>
        <v>1</v>
      </c>
      <c r="FI151" s="15">
        <f>MIN(1,MAX(VLOOKUP(($AJ151-$AI151-$AH151-$AG151-$AF151-$AE151*(1+FI$3))/$AJ151,'Технический лист'!$A:$B,2,1),(FH151-0.05)))</f>
        <v>1</v>
      </c>
      <c r="FJ151" s="15">
        <f>MIN(1,MAX(VLOOKUP(($AJ151-$AI151-$AH151-$AG151-$AF151-$AE151*(1+FJ$3))/$AJ151,'Технический лист'!$A:$B,2,1),(FI151-0.05)))</f>
        <v>1</v>
      </c>
      <c r="FK151" s="15">
        <f>MIN(1,MAX(VLOOKUP(($AJ151-$AI151-$AH151-$AG151-$AF151-$AE151*(1+FK$3))/$AJ151,'Технический лист'!$A:$B,2,1),(FJ151-0.05)))</f>
        <v>1</v>
      </c>
      <c r="FL151" s="15">
        <f>MIN(1,MAX(VLOOKUP(($AJ151-$AI151-$AH151-$AG151-$AF151-$AE151*(1+FL$3))/$AJ151,'Технический лист'!$A:$B,2,1),(FK151-0.05)))</f>
        <v>1</v>
      </c>
      <c r="FM151" s="15">
        <f>MIN(1,MAX(VLOOKUP(($AJ151-$AI151-$AH151-$AG151-$AF151-$AE151*(1+FM$3))/$AJ151,'Технический лист'!$A:$B,2,1),(FL151-0.05)))</f>
        <v>1</v>
      </c>
      <c r="FN151" s="15">
        <f>MIN(1,MAX(VLOOKUP(($AJ151-$AI151-$AH151-$AG151-$AF151-$AE151*(1+FN$3))/$AJ151,'Технический лист'!$A:$B,2,1),(FM151-0.05)))</f>
        <v>1</v>
      </c>
      <c r="FO151" s="15">
        <f>MIN(1,MAX(VLOOKUP(($AJ151-$AI151-$AH151-$AG151-$AF151-$AE151*(1+FO$3))/$AJ151,'Технический лист'!$A:$B,2,1),(FN151-0.05)))</f>
        <v>1</v>
      </c>
      <c r="FP151" s="15">
        <f>MIN(1,MAX(VLOOKUP(($AJ151-$AI151-$AH151-$AG151-$AF151-$AE151*(1+FP$3))/$AJ151,'Технический лист'!$A:$B,2,1),(FO151-0.05)))</f>
        <v>1</v>
      </c>
      <c r="FQ151" s="15">
        <f>MIN(1,MAX(VLOOKUP(($AJ151-$AI151-$AH151-$AG151-$AF151-$AE151*(1+FQ$3))/$AJ151,'Технический лист'!$A:$B,2,1),(FP151-0.05)))</f>
        <v>1</v>
      </c>
      <c r="FR151" s="15">
        <f>MIN(1,MAX(VLOOKUP(($AJ151-$AI151-$AH151-$AG151-$AF151-$AE151*(1+FR$3))/$AJ151,'Технический лист'!$A:$B,2,1),(FQ151-0.05)))</f>
        <v>1</v>
      </c>
      <c r="FS151" s="15">
        <f>MIN(1,MAX(VLOOKUP(($AJ151-$AI151-$AH151-$AG151-$AF151-$AE151*(1+FS$3))/$AJ151,'Технический лист'!$A:$B,2,1),(FR151-0.05)))</f>
        <v>1</v>
      </c>
      <c r="FT151" s="15">
        <f>MIN(1,MAX(VLOOKUP(($AJ151-$AI151-$AH151-$AG151-$AF151-$AE151*(1+FT$3))/$AJ151,'Технический лист'!$A:$B,2,1),(FS151-0.05)))</f>
        <v>1</v>
      </c>
      <c r="FU151" s="15">
        <f>MIN(1,MAX(VLOOKUP(($AJ151-$AI151-$AH151-$AG151-$AF151-$AE151*(1+FU$3))/$AJ151,'Технический лист'!$A:$B,2,1),(FT151-0.05)))</f>
        <v>1</v>
      </c>
      <c r="FV151" s="15">
        <f>MIN(1,MAX(VLOOKUP(($AJ151-$AI151-$AH151-$AG151-$AF151-$AE151*(1+FV$3))/$AJ151,'Технический лист'!$A:$B,2,1),(FU151-0.05)))</f>
        <v>1</v>
      </c>
      <c r="FW151" s="15">
        <f>MIN(1,MAX(VLOOKUP(($AJ151-$AI151-$AH151-$AG151-$AF151-$AE151*(1+FW$3))/$AJ151,'Технический лист'!$A:$B,2,1),(FV151-0.05)))</f>
        <v>1</v>
      </c>
      <c r="FX151" s="15">
        <f>MIN(1,MAX(VLOOKUP(($AJ151-$AI151-$AH151-$AG151-$AF151-$AE151*(1+FX$3))/$AJ151,'Технический лист'!$A:$B,2,1),(FW151-0.05)))</f>
        <v>1</v>
      </c>
      <c r="FY151" s="15">
        <f>MIN(1,MAX(VLOOKUP(($AJ151-$AI151-$AH151-$AG151-$AF151-$AE151*(1+FY$3))/$AJ151,'Технический лист'!$A:$B,2,1),(FX151-0.05)))</f>
        <v>1</v>
      </c>
      <c r="FZ151" s="15">
        <f>MIN(1,MAX(VLOOKUP(($AJ151-$AI151-$AH151-$AG151-$AF151-$AE151*(1+FZ$3))/$AJ151,'Технический лист'!$A:$B,2,1),(FY151-0.05)))</f>
        <v>1</v>
      </c>
      <c r="GA151" s="15">
        <f>MIN(1,MAX(VLOOKUP(($AJ151-$AI151-$AH151-$AG151-$AF151-$AE151*(1+GA$3))/$AJ151,'Технический лист'!$A:$B,2,1),(FZ151-0.05)))</f>
        <v>1</v>
      </c>
      <c r="GB151" s="15">
        <f>MIN(1,MAX(VLOOKUP(($AJ151-$AI151-$AH151-$AG151-$AF151-$AE151*(1+GB$3))/$AJ151,'Технический лист'!$A:$B,2,1),(GA151-0.05)))</f>
        <v>1</v>
      </c>
      <c r="GC151" s="15">
        <f>MIN(1,MAX(VLOOKUP(($AJ151-$AI151-$AH151-$AG151-$AF151-$AE151*(1+GC$3))/$AJ151,'Технический лист'!$A:$B,2,1),(GB151-0.05)))</f>
        <v>1</v>
      </c>
      <c r="GD151" s="15">
        <f>MIN(1,MAX(VLOOKUP(($AJ151-$AI151-$AH151-$AG151-$AF151-$AE151*(1+GD$3))/$AJ151,'Технический лист'!$A:$B,2,1),(GC151-0.05)))</f>
        <v>1</v>
      </c>
      <c r="GE151" s="15">
        <f>MIN(1,MAX(VLOOKUP(($AJ151-$AI151-$AH151-$AG151-$AF151-$AE151*(1+GE$3))/$AJ151,'Технический лист'!$A:$B,2,1),(GD151-0.05)))</f>
        <v>1</v>
      </c>
      <c r="GF151" s="15">
        <f>MIN(1,MAX(VLOOKUP(($AJ151-$AI151-$AH151-$AG151-$AF151-$AE151*(1+GF$3))/$AJ151,'Технический лист'!$A:$B,2,1),(GE151-0.05)))</f>
        <v>1</v>
      </c>
      <c r="GG151" s="15">
        <f>MIN(1,MAX(VLOOKUP(($AJ151-$AI151-$AH151-$AG151-$AF151-$AE151*(1+GG$3))/$AJ151,'Технический лист'!$A:$B,2,1),(GF151-0.05)))</f>
        <v>1</v>
      </c>
      <c r="GH151" s="15">
        <f>MIN(1,MAX(VLOOKUP(($AJ151-$AI151-$AH151-$AG151-$AF151-$AE151*(1+GH$3))/$AJ151,'Технический лист'!$A:$B,2,1),(GG151-0.05)))</f>
        <v>1</v>
      </c>
      <c r="GI151" s="15">
        <f>MIN(1,MAX(VLOOKUP(($AJ151-$AI151-$AH151-$AG151-$AF151-$AE151*(1+GI$3))/$AJ151,'Технический лист'!$A:$B,2,1),(GH151-0.05)))</f>
        <v>1</v>
      </c>
      <c r="GJ151" s="15">
        <f>MIN(1,MAX(VLOOKUP(($AJ151-$AI151-$AH151-$AG151-$AF151-$AE151*(1+GJ$3))/$AJ151,'Технический лист'!$A:$B,2,1),(GI151-0.05)))</f>
        <v>1</v>
      </c>
      <c r="GK151" s="15">
        <f>MIN(1,MAX(VLOOKUP(($AJ151-$AI151-$AH151-$AG151-$AF151-$AE151*(1+GK$3))/$AJ151,'Технический лист'!$A:$B,2,1),(GJ151-0.05)))</f>
        <v>1</v>
      </c>
      <c r="GL151" s="15">
        <f>MIN(1,MAX(VLOOKUP(($AJ151-$AI151-$AH151-$AG151-$AF151-$AE151*(1+GL$3))/$AJ151,'Технический лист'!$A:$B,2,1),(GK151-0.05)))</f>
        <v>1</v>
      </c>
      <c r="GM151" s="15">
        <f>MIN(1,MAX(VLOOKUP(($AJ151-$AI151-$AH151-$AG151-$AF151-$AE151*(1+GM$3))/$AJ151,'Технический лист'!$A:$B,2,1),(GL151-0.05)))</f>
        <v>1</v>
      </c>
      <c r="GN151" s="15">
        <f>MIN(1,MAX(VLOOKUP(($AJ151-$AI151-$AH151-$AG151-$AF151-$AE151*(1+GN$3))/$AJ151,'Технический лист'!$A:$B,2,1),(GM151-0.05)))</f>
        <v>1</v>
      </c>
      <c r="GO151" s="15">
        <f>MIN(1,MAX(VLOOKUP(($AJ151-$AI151-$AH151-$AG151-$AF151-$AE151*(1+GO$3))/$AJ151,'Технический лист'!$A:$B,2,1),(GN151-0.05)))</f>
        <v>0.995</v>
      </c>
      <c r="GP151" s="15">
        <f>MIN(1,MAX(VLOOKUP(($AJ151-$AI151-$AH151-$AG151-$AF151-$AE151*(1+GP$3))/$AJ151,'Технический лист'!$A:$B,2,1),(GO151-0.05)))</f>
        <v>0.995</v>
      </c>
      <c r="GQ151" s="15">
        <f>MIN(1,MAX(VLOOKUP(($AJ151-$AI151-$AH151-$AG151-$AF151-$AE151*(1+GQ$3))/$AJ151,'Технический лист'!$A:$B,2,1),(GP151-0.05)))</f>
        <v>0.995</v>
      </c>
      <c r="GR151" s="15">
        <f>MIN(1,MAX(VLOOKUP(($AJ151-$AI151-$AH151-$AG151-$AF151-$AE151*(1+GR$3))/$AJ151,'Технический лист'!$A:$B,2,1),(GQ151-0.05)))</f>
        <v>0.995</v>
      </c>
      <c r="GS151" s="15">
        <f>MIN(1,MAX(VLOOKUP(($AJ151-$AI151-$AH151-$AG151-$AF151-$AE151*(1+GS$3))/$AJ151,'Технический лист'!$A:$B,2,1),(GR151-0.05)))</f>
        <v>0.995</v>
      </c>
      <c r="GT151" s="15">
        <f>MIN(1,MAX(VLOOKUP(($AJ151-$AI151-$AH151-$AG151-$AF151-$AE151*(1+GT$3))/$AJ151,'Технический лист'!$A:$B,2,1),(GS151-0.05)))</f>
        <v>0.995</v>
      </c>
      <c r="GU151" s="15">
        <f>MIN(1,MAX(VLOOKUP(($AJ151-$AI151-$AH151-$AG151-$AF151-$AE151*(1+GU$3))/$AJ151,'Технический лист'!$A:$B,2,1),(GT151-0.05)))</f>
        <v>0.995</v>
      </c>
      <c r="GV151" s="15">
        <f>MIN(1,MAX(VLOOKUP(($AJ151-$AI151-$AH151-$AG151-$AF151-$AE151*(1+GV$3))/$AJ151,'Технический лист'!$A:$B,2,1),(GU151-0.05)))</f>
        <v>0.995</v>
      </c>
      <c r="GW151" s="15">
        <f>MIN(1,MAX(VLOOKUP(($AJ151-$AI151-$AH151-$AG151-$AF151-$AE151*(1+GW$3))/$AJ151,'Технический лист'!$A:$B,2,1),(GV151-0.05)))</f>
        <v>0.995</v>
      </c>
      <c r="GX151" s="15">
        <f>MIN(1,MAX(VLOOKUP(($AJ151-$AI151-$AH151-$AG151-$AF151-$AE151*(1+GX$3))/$AJ151,'Технический лист'!$A:$B,2,1),(GW151-0.05)))</f>
        <v>0.995</v>
      </c>
      <c r="GY151" s="15">
        <f>MIN(1,MAX(VLOOKUP(($AJ151-$AI151-$AH151-$AG151-$AF151-$AE151*(1+GY$3))/$AJ151,'Технический лист'!$A:$B,2,1),(GX151-0.05)))</f>
        <v>0.995</v>
      </c>
      <c r="GZ151" s="15">
        <f>MIN(1,MAX(VLOOKUP(($AJ151-$AI151-$AH151-$AG151-$AF151-$AE151*(1+GZ$3))/$AJ151,'Технический лист'!$A:$B,2,1),(GY151-0.05)))</f>
        <v>0.995</v>
      </c>
      <c r="HA151" s="15">
        <f>MIN(1,MAX(VLOOKUP(($AJ151-$AI151-$AH151-$AG151-$AF151-$AE151*(1+HA$3))/$AJ151,'Технический лист'!$A:$B,2,1),(GZ151-0.05)))</f>
        <v>0.995</v>
      </c>
      <c r="HB151" s="15">
        <f>MIN(1,MAX(VLOOKUP(($AJ151-$AI151-$AH151-$AG151-$AF151-$AE151*(1+HB$3))/$AJ151,'Технический лист'!$A:$B,2,1),(HA151-0.05)))</f>
        <v>0.995</v>
      </c>
      <c r="HC151" s="15">
        <f>MIN(1,MAX(VLOOKUP(($AJ151-$AI151-$AH151-$AG151-$AF151-$AE151*(1+HC$3))/$AJ151,'Технический лист'!$A:$B,2,1),(HB151-0.05)))</f>
        <v>0.995</v>
      </c>
      <c r="HD151" s="15">
        <f>MIN(1,MAX(VLOOKUP(($AJ151-$AI151-$AH151-$AG151-$AF151-$AE151*(1+HD$3))/$AJ151,'Технический лист'!$A:$B,2,1),(HC151-0.05)))</f>
        <v>0.995</v>
      </c>
      <c r="HE151" s="15">
        <f>MIN(1,MAX(VLOOKUP(($AJ151-$AI151-$AH151-$AG151-$AF151-$AE151*(1+HE$3))/$AJ151,'Технический лист'!$A:$B,2,1),(HD151-0.05)))</f>
        <v>0.995</v>
      </c>
      <c r="HF151" s="15">
        <f>MIN(1,MAX(VLOOKUP(($AJ151-$AI151-$AH151-$AG151-$AF151-$AE151*(1+HF$3))/$AJ151,'Технический лист'!$A:$B,2,1),(HE151-0.05)))</f>
        <v>0.995</v>
      </c>
      <c r="HG151" s="15">
        <f>MIN(1,MAX(VLOOKUP(($AJ151-$AI151-$AH151-$AG151-$AF151-$AE151*(1+HG$3))/$AJ151,'Технический лист'!$A:$B,2,1),(HF151-0.05)))</f>
        <v>0.995</v>
      </c>
      <c r="HH151" s="15">
        <f>MIN(1,MAX(VLOOKUP(($AJ151-$AI151-$AH151-$AG151-$AF151-$AE151*(1+HH$3))/$AJ151,'Технический лист'!$A:$B,2,1),(HG151-0.05)))</f>
        <v>0.995</v>
      </c>
      <c r="HI151" s="15">
        <f>MIN(1,MAX(VLOOKUP(($AJ151-$AI151-$AH151-$AG151-$AF151-$AE151*(1+HI$3))/$AJ151,'Технический лист'!$A:$B,2,1),(HH151-0.05)))</f>
        <v>0.995</v>
      </c>
      <c r="HJ151" s="15">
        <f>MIN(1,MAX(VLOOKUP(($AJ151-$AI151-$AH151-$AG151-$AF151-$AE151*(1+HJ$3))/$AJ151,'Технический лист'!$A:$B,2,1),(HI151-0.05)))</f>
        <v>0.995</v>
      </c>
      <c r="HK151" s="15">
        <f>MIN(1,MAX(VLOOKUP(($AJ151-$AI151-$AH151-$AG151-$AF151-$AE151*(1+HK$3))/$AJ151,'Технический лист'!$A:$B,2,1),(HJ151-0.05)))</f>
        <v>0.99</v>
      </c>
      <c r="HL151" s="15">
        <f>MIN(1,MAX(VLOOKUP(($AJ151-$AI151-$AH151-$AG151-$AF151-$AE151*(1+HL$3))/$AJ151,'Технический лист'!$A:$B,2,1),(HK151-0.05)))</f>
        <v>0.99</v>
      </c>
      <c r="HM151" s="15">
        <f>MIN(1,MAX(VLOOKUP(($AJ151-$AI151-$AH151-$AG151-$AF151-$AE151*(1+HM$3))/$AJ151,'Технический лист'!$A:$B,2,1),(HL151-0.05)))</f>
        <v>0.99</v>
      </c>
      <c r="HN151" s="15">
        <f>MIN(1,MAX(VLOOKUP(($AJ151-$AI151-$AH151-$AG151-$AF151-$AE151*(1+HN$3))/$AJ151,'Технический лист'!$A:$B,2,1),(HM151-0.05)))</f>
        <v>0.99</v>
      </c>
      <c r="HO151" s="15">
        <f>MIN(1,MAX(VLOOKUP(($AJ151-$AI151-$AH151-$AG151-$AF151-$AE151*(1+HO$3))/$AJ151,'Технический лист'!$A:$B,2,1),(HN151-0.05)))</f>
        <v>0.99</v>
      </c>
      <c r="HP151" s="15">
        <f>MIN(1,MAX(VLOOKUP(($AJ151-$AI151-$AH151-$AG151-$AF151-$AE151*(1+HP$3))/$AJ151,'Технический лист'!$A:$B,2,1),(HO151-0.05)))</f>
        <v>0.99</v>
      </c>
      <c r="HQ151" s="15">
        <f>MIN(1,MAX(VLOOKUP(($AJ151-$AI151-$AH151-$AG151-$AF151-$AE151*(1+HQ$3))/$AJ151,'Технический лист'!$A:$B,2,1),(HP151-0.05)))</f>
        <v>0.99</v>
      </c>
      <c r="HR151" s="15">
        <f>MIN(1,MAX(VLOOKUP(($AJ151-$AI151-$AH151-$AG151-$AF151-$AE151*(1+HR$3))/$AJ151,'Технический лист'!$A:$B,2,1),(HQ151-0.05)))</f>
        <v>0.99</v>
      </c>
      <c r="HS151" s="15">
        <f>MIN(1,MAX(VLOOKUP(($AJ151-$AI151-$AH151-$AG151-$AF151-$AE151*(1+HS$3))/$AJ151,'Технический лист'!$A:$B,2,1),(HR151-0.05)))</f>
        <v>0.99</v>
      </c>
      <c r="HT151" s="15">
        <f>MIN(1,MAX(VLOOKUP(($AJ151-$AI151-$AH151-$AG151-$AF151-$AE151*(1+HT$3))/$AJ151,'Технический лист'!$A:$B,2,1),(HS151-0.05)))</f>
        <v>0.99</v>
      </c>
      <c r="HU151" s="15">
        <f>MIN(1,MAX(VLOOKUP(($AJ151-$AI151-$AH151-$AG151-$AF151-$AE151*(1+HU$3))/$AJ151,'Технический лист'!$A:$B,2,1),(HT151-0.05)))</f>
        <v>0.99</v>
      </c>
      <c r="HV151" s="15">
        <f>MIN(1,MAX(VLOOKUP(($AJ151-$AI151-$AH151-$AG151-$AF151-$AE151*(1+HV$3))/$AJ151,'Технический лист'!$A:$B,2,1),(HU151-0.05)))</f>
        <v>0.99</v>
      </c>
      <c r="HW151" s="15">
        <f>MIN(1,MAX(VLOOKUP(($AJ151-$AI151-$AH151-$AG151-$AF151-$AE151*(1+HW$3))/$AJ151,'Технический лист'!$A:$B,2,1),(HV151-0.05)))</f>
        <v>0.99</v>
      </c>
      <c r="HX151" s="15">
        <f>MIN(1,MAX(VLOOKUP(($AJ151-$AI151-$AH151-$AG151-$AF151-$AE151*(1+HX$3))/$AJ151,'Технический лист'!$A:$B,2,1),(HW151-0.05)))</f>
        <v>0.99</v>
      </c>
      <c r="HY151" s="15">
        <f>MIN(1,MAX(VLOOKUP(($AJ151-$AI151-$AH151-$AG151-$AF151-$AE151*(1+HY$3))/$AJ151,'Технический лист'!$A:$B,2,1),(HX151-0.05)))</f>
        <v>0.99</v>
      </c>
      <c r="HZ151" s="15">
        <f>MIN(1,MAX(VLOOKUP(($AJ151-$AI151-$AH151-$AG151-$AF151-$AE151*(1+HZ$3))/$AJ151,'Технический лист'!$A:$B,2,1),(HY151-0.05)))</f>
        <v>0.99</v>
      </c>
      <c r="IA151" s="15">
        <f>MIN(1,MAX(VLOOKUP(($AJ151-$AI151-$AH151-$AG151-$AF151-$AE151*(1+IA$3))/$AJ151,'Технический лист'!$A:$B,2,1),(HZ151-0.05)))</f>
        <v>0.99</v>
      </c>
      <c r="IB151" s="15">
        <f>MIN(1,MAX(VLOOKUP(($AJ151-$AI151-$AH151-$AG151-$AF151-$AE151*(1+IB$3))/$AJ151,'Технический лист'!$A:$B,2,1),(IA151-0.05)))</f>
        <v>0.99</v>
      </c>
      <c r="IC151" s="15">
        <f>MIN(1,MAX(VLOOKUP(($AJ151-$AI151-$AH151-$AG151-$AF151-$AE151*(1+IC$3))/$AJ151,'Технический лист'!$A:$B,2,1),(IB151-0.05)))</f>
        <v>0.99</v>
      </c>
      <c r="ID151" s="15">
        <f>MIN(1,MAX(VLOOKUP(($AJ151-$AI151-$AH151-$AG151-$AF151-$AE151*(1+ID$3))/$AJ151,'Технический лист'!$A:$B,2,1),(IC151-0.05)))</f>
        <v>0.99</v>
      </c>
      <c r="IE151" s="15">
        <f>MIN(1,MAX(VLOOKUP(($AJ151-$AI151-$AH151-$AG151-$AF151-$AE151*(1+IE$3))/$AJ151,'Технический лист'!$A:$B,2,1),(ID151-0.05)))</f>
        <v>0.99</v>
      </c>
      <c r="IF151" s="15">
        <f>MIN(1,MAX(VLOOKUP(($AJ151-$AI151-$AH151-$AG151-$AF151-$AE151*(1+IF$3))/$AJ151,'Технический лист'!$A:$B,2,1),(IE151-0.05)))</f>
        <v>0.99</v>
      </c>
      <c r="IG151" s="15">
        <f>MIN(1,MAX(VLOOKUP(($AJ151-$AI151-$AH151-$AG151-$AF151-$AE151*(1+IG$3))/$AJ151,'Технический лист'!$A:$B,2,1),(IF151-0.05)))</f>
        <v>0.98499999999999999</v>
      </c>
      <c r="IH151" s="15">
        <f>MIN(1,MAX(VLOOKUP(($AJ151-$AI151-$AH151-$AG151-$AF151-$AE151*(1+IH$3))/$AJ151,'Технический лист'!$A:$B,2,1),(IG151-0.05)))</f>
        <v>0.98499999999999999</v>
      </c>
      <c r="II151" s="15">
        <f>MIN(1,MAX(VLOOKUP(($AJ151-$AI151-$AH151-$AG151-$AF151-$AE151*(1+II$3))/$AJ151,'Технический лист'!$A:$B,2,1),(IH151-0.05)))</f>
        <v>0.98499999999999999</v>
      </c>
      <c r="IJ151" s="15">
        <f>MIN(1,MAX(VLOOKUP(($AJ151-$AI151-$AH151-$AG151-$AF151-$AE151*(1+IJ$3))/$AJ151,'Технический лист'!$A:$B,2,1),(II151-0.05)))</f>
        <v>0.98499999999999999</v>
      </c>
      <c r="IK151" s="15">
        <f>MIN(1,MAX(VLOOKUP(($AJ151-$AI151-$AH151-$AG151-$AF151-$AE151*(1+IK$3))/$AJ151,'Технический лист'!$A:$B,2,1),(IJ151-0.05)))</f>
        <v>0.98499999999999999</v>
      </c>
      <c r="IL151" s="15">
        <f>MIN(1,MAX(VLOOKUP(($AJ151-$AI151-$AH151-$AG151-$AF151-$AE151*(1+IL$3))/$AJ151,'Технический лист'!$A:$B,2,1),(IK151-0.05)))</f>
        <v>0.98499999999999999</v>
      </c>
      <c r="IM151" s="15">
        <f>MIN(1,MAX(VLOOKUP(($AJ151-$AI151-$AH151-$AG151-$AF151-$AE151*(1+IM$3))/$AJ151,'Технический лист'!$A:$B,2,1),(IL151-0.05)))</f>
        <v>0.98499999999999999</v>
      </c>
      <c r="IN151" s="15">
        <f>MIN(1,MAX(VLOOKUP(($AJ151-$AI151-$AH151-$AG151-$AF151-$AE151*(1+IN$3))/$AJ151,'Технический лист'!$A:$B,2,1),(IM151-0.05)))</f>
        <v>0.98499999999999999</v>
      </c>
      <c r="IO151" s="15">
        <f>MIN(1,MAX(VLOOKUP(($AJ151-$AI151-$AH151-$AG151-$AF151-$AE151*(1+IO$3))/$AJ151,'Технический лист'!$A:$B,2,1),(IN151-0.05)))</f>
        <v>0.98499999999999999</v>
      </c>
      <c r="IP151" s="15">
        <f>MIN(1,MAX(VLOOKUP(($AJ151-$AI151-$AH151-$AG151-$AF151-$AE151*(1+IP$3))/$AJ151,'Технический лист'!$A:$B,2,1),(IO151-0.05)))</f>
        <v>0.98499999999999999</v>
      </c>
      <c r="IQ151" s="15">
        <f>MIN(1,MAX(VLOOKUP(($AJ151-$AI151-$AH151-$AG151-$AF151-$AE151*(1+IQ$3))/$AJ151,'Технический лист'!$A:$B,2,1),(IP151-0.05)))</f>
        <v>0.98499999999999999</v>
      </c>
      <c r="IR151" s="15">
        <f>MIN(1,MAX(VLOOKUP(($AJ151-$AI151-$AH151-$AG151-$AF151-$AE151*(1+IR$3))/$AJ151,'Технический лист'!$A:$B,2,1),(IQ151-0.05)))</f>
        <v>0.98499999999999999</v>
      </c>
    </row>
    <row r="152" spans="1:252" ht="43.75">
      <c r="A152" s="89" t="s">
        <v>515</v>
      </c>
      <c r="B152" s="90">
        <v>10</v>
      </c>
      <c r="C152" s="5" t="s">
        <v>66</v>
      </c>
      <c r="D152" s="91">
        <v>31607</v>
      </c>
      <c r="E152" s="91" t="s">
        <v>327</v>
      </c>
      <c r="F152" s="92" t="s">
        <v>70</v>
      </c>
      <c r="G152" s="91" t="s">
        <v>26</v>
      </c>
      <c r="H152" s="91" t="s">
        <v>28</v>
      </c>
      <c r="I152" s="91" t="s">
        <v>135</v>
      </c>
      <c r="J152" s="91" t="s">
        <v>105</v>
      </c>
      <c r="K152" s="91">
        <v>644</v>
      </c>
      <c r="L152" s="85" t="s">
        <v>64</v>
      </c>
      <c r="M152" s="91" t="s">
        <v>190</v>
      </c>
      <c r="N152" s="91" t="s">
        <v>191</v>
      </c>
      <c r="O152" s="91" t="s">
        <v>192</v>
      </c>
      <c r="P152" s="89" t="s">
        <v>227</v>
      </c>
      <c r="Q152" s="91" t="s">
        <v>314</v>
      </c>
      <c r="R152" s="91" t="s">
        <v>257</v>
      </c>
      <c r="S152" s="82">
        <v>240077</v>
      </c>
      <c r="T152" s="82">
        <v>154721899</v>
      </c>
      <c r="U152" s="81">
        <v>3599</v>
      </c>
      <c r="V152" s="81">
        <v>0</v>
      </c>
      <c r="W152" s="82">
        <v>368508213</v>
      </c>
      <c r="X152" s="112">
        <v>62</v>
      </c>
      <c r="Y152" s="112" t="s">
        <v>416</v>
      </c>
      <c r="Z152" s="113">
        <v>6</v>
      </c>
      <c r="AA152" s="113">
        <v>6</v>
      </c>
      <c r="AB152" s="113">
        <v>4</v>
      </c>
      <c r="AC152" s="99">
        <v>1960.21</v>
      </c>
      <c r="AD152" s="99">
        <f t="shared" si="66"/>
        <v>254.23000000000002</v>
      </c>
      <c r="AE152" s="99">
        <v>2214.44</v>
      </c>
      <c r="AF152" s="98">
        <f>(Z152+AA152+AB152)*'Ставки аренды'!$B$3/X152</f>
        <v>180.64516129032259</v>
      </c>
      <c r="AG152" s="94">
        <v>0</v>
      </c>
      <c r="AH152" s="94">
        <v>0</v>
      </c>
      <c r="AI152" s="115">
        <f>13011118/14150862*AJ152</f>
        <v>16550.23729296491</v>
      </c>
      <c r="AJ152" s="117">
        <f>Цены!$D$10</f>
        <v>18000</v>
      </c>
      <c r="AK152" s="94">
        <f>AJ152/Цены!$B$1</f>
        <v>235.89387396714525</v>
      </c>
      <c r="AL152" s="95">
        <f t="shared" si="54"/>
        <v>2395.0851612903225</v>
      </c>
      <c r="AM152" s="95">
        <f t="shared" si="55"/>
        <v>15604.914838709677</v>
      </c>
      <c r="AN152" s="94">
        <f t="shared" si="52"/>
        <v>18945.322454255231</v>
      </c>
      <c r="AO152" s="118">
        <f t="shared" si="53"/>
        <v>-5.2517914125290596E-2</v>
      </c>
      <c r="AP152" s="96">
        <f t="shared" si="56"/>
        <v>0.13306028673835124</v>
      </c>
      <c r="AQ152" s="96">
        <f t="shared" si="57"/>
        <v>0.12302444444444445</v>
      </c>
      <c r="AR152" s="96">
        <f t="shared" si="58"/>
        <v>0.92457672728722429</v>
      </c>
      <c r="AS152" s="122">
        <v>1</v>
      </c>
      <c r="AT152" s="121">
        <f t="shared" si="45"/>
        <v>240077</v>
      </c>
      <c r="AU152" s="7" t="s">
        <v>475</v>
      </c>
      <c r="AV152" s="119">
        <f t="shared" si="41"/>
        <v>-6.7280847458624018E-2</v>
      </c>
      <c r="AW152" s="120">
        <f t="shared" si="42"/>
        <v>0.14782322007168461</v>
      </c>
      <c r="AX152" s="120">
        <f t="shared" si="43"/>
        <v>0.1377873777777778</v>
      </c>
      <c r="AY152" s="120">
        <f t="shared" si="44"/>
        <v>0.93210916195006388</v>
      </c>
      <c r="AZ152" s="15">
        <v>1</v>
      </c>
      <c r="BA152" s="15">
        <v>1</v>
      </c>
      <c r="BB152" s="15">
        <v>1</v>
      </c>
      <c r="BC152" s="15">
        <v>1</v>
      </c>
      <c r="BD152" s="15">
        <v>1</v>
      </c>
      <c r="BE152" s="15">
        <v>1</v>
      </c>
      <c r="BF152" s="15">
        <v>1</v>
      </c>
      <c r="BG152" s="15">
        <v>1</v>
      </c>
      <c r="BH152" s="15">
        <v>1</v>
      </c>
      <c r="BI152" s="15">
        <v>1</v>
      </c>
      <c r="BJ152" s="15">
        <v>1</v>
      </c>
      <c r="BK152" s="15">
        <v>1</v>
      </c>
      <c r="BL152" s="15">
        <v>1</v>
      </c>
      <c r="BM152" s="15">
        <v>1</v>
      </c>
      <c r="BN152" s="15">
        <v>1</v>
      </c>
      <c r="BO152" s="15">
        <v>1</v>
      </c>
      <c r="BP152" s="15">
        <v>1</v>
      </c>
      <c r="BQ152" s="15">
        <v>1</v>
      </c>
      <c r="BR152" s="15">
        <v>1</v>
      </c>
      <c r="BS152" s="15">
        <v>1</v>
      </c>
      <c r="BT152" s="15">
        <v>1</v>
      </c>
      <c r="BU152" s="15">
        <v>1</v>
      </c>
      <c r="BV152" s="15">
        <v>1</v>
      </c>
      <c r="BW152" s="15">
        <v>1</v>
      </c>
      <c r="BX152" s="15">
        <v>1</v>
      </c>
      <c r="BY152" s="15">
        <v>1</v>
      </c>
      <c r="BZ152" s="15">
        <v>1</v>
      </c>
      <c r="CA152" s="15">
        <v>1</v>
      </c>
      <c r="CB152" s="15">
        <v>1</v>
      </c>
      <c r="CC152" s="15">
        <v>1</v>
      </c>
      <c r="CD152" s="15">
        <v>1</v>
      </c>
      <c r="CE152" s="15">
        <v>1</v>
      </c>
      <c r="CF152" s="15">
        <v>1</v>
      </c>
      <c r="CG152" s="15">
        <v>1</v>
      </c>
      <c r="CH152" s="15">
        <v>1</v>
      </c>
      <c r="CI152" s="15">
        <v>1</v>
      </c>
      <c r="CJ152" s="15">
        <v>1</v>
      </c>
      <c r="CK152" s="15">
        <v>1</v>
      </c>
      <c r="CL152" s="15">
        <v>1</v>
      </c>
      <c r="CM152" s="15">
        <v>1</v>
      </c>
      <c r="CN152" s="15">
        <v>1</v>
      </c>
      <c r="CO152" s="15">
        <v>1</v>
      </c>
      <c r="CP152" s="15">
        <v>1</v>
      </c>
      <c r="CQ152" s="15">
        <v>1</v>
      </c>
      <c r="CR152" s="15">
        <v>1</v>
      </c>
      <c r="CS152" s="15">
        <v>1</v>
      </c>
      <c r="CT152" s="15">
        <v>1</v>
      </c>
      <c r="CU152" s="15">
        <v>1</v>
      </c>
      <c r="CV152" s="15">
        <v>1</v>
      </c>
      <c r="CW152" s="15">
        <v>1</v>
      </c>
      <c r="CX152" s="15">
        <v>1</v>
      </c>
      <c r="CY152" s="15">
        <v>1</v>
      </c>
      <c r="CZ152" s="15">
        <v>1</v>
      </c>
      <c r="DA152" s="15">
        <v>1</v>
      </c>
      <c r="DB152" s="15">
        <v>1</v>
      </c>
      <c r="DC152" s="15">
        <v>1</v>
      </c>
      <c r="DD152" s="15">
        <v>1</v>
      </c>
      <c r="DE152" s="15">
        <v>1</v>
      </c>
      <c r="DF152" s="15">
        <v>1</v>
      </c>
      <c r="DG152" s="15">
        <v>1</v>
      </c>
      <c r="DH152" s="15">
        <v>1</v>
      </c>
      <c r="DI152" s="15">
        <v>1</v>
      </c>
      <c r="DJ152" s="15">
        <v>1</v>
      </c>
      <c r="DK152" s="15">
        <v>1</v>
      </c>
      <c r="DL152" s="15">
        <v>1</v>
      </c>
      <c r="DM152" s="15">
        <v>1</v>
      </c>
      <c r="DN152" s="15">
        <v>1</v>
      </c>
      <c r="DO152" s="15">
        <v>1</v>
      </c>
      <c r="DP152" s="15">
        <v>1</v>
      </c>
      <c r="DQ152" s="15">
        <v>1</v>
      </c>
      <c r="DR152" s="15">
        <v>1</v>
      </c>
      <c r="DS152" s="15">
        <v>1</v>
      </c>
      <c r="DT152" s="15">
        <v>1</v>
      </c>
      <c r="DU152" s="15">
        <v>1</v>
      </c>
      <c r="DV152" s="15">
        <v>1</v>
      </c>
      <c r="DW152" s="15">
        <v>1</v>
      </c>
      <c r="DX152" s="15">
        <v>1</v>
      </c>
      <c r="DY152" s="15">
        <v>1</v>
      </c>
      <c r="DZ152" s="15">
        <v>1</v>
      </c>
      <c r="EA152" s="15">
        <v>1</v>
      </c>
      <c r="EB152" s="15">
        <v>1</v>
      </c>
      <c r="EC152" s="15">
        <v>1</v>
      </c>
      <c r="ED152" s="15">
        <v>1</v>
      </c>
      <c r="EE152" s="15">
        <v>1</v>
      </c>
      <c r="EF152" s="15">
        <v>1</v>
      </c>
      <c r="EG152" s="15">
        <v>1</v>
      </c>
      <c r="EH152" s="15">
        <v>1</v>
      </c>
      <c r="EI152" s="15">
        <v>1</v>
      </c>
      <c r="EJ152" s="15">
        <v>1</v>
      </c>
      <c r="EK152" s="15">
        <v>1</v>
      </c>
      <c r="EL152" s="15">
        <v>1</v>
      </c>
      <c r="EM152" s="15">
        <v>1</v>
      </c>
      <c r="EN152" s="15">
        <v>1</v>
      </c>
      <c r="EO152" s="15">
        <v>1</v>
      </c>
      <c r="EP152" s="15">
        <v>1</v>
      </c>
      <c r="EQ152" s="15">
        <v>1</v>
      </c>
      <c r="ER152" s="15">
        <v>1</v>
      </c>
      <c r="ES152" s="15">
        <v>1</v>
      </c>
      <c r="ET152" s="15">
        <v>1</v>
      </c>
      <c r="EU152" s="15">
        <v>1</v>
      </c>
      <c r="EV152" s="111">
        <v>1</v>
      </c>
      <c r="EW152" s="15">
        <v>1</v>
      </c>
      <c r="EX152" s="15">
        <v>1</v>
      </c>
      <c r="EY152" s="15">
        <v>1</v>
      </c>
      <c r="EZ152" s="15">
        <v>1</v>
      </c>
      <c r="FA152" s="15">
        <v>1</v>
      </c>
      <c r="FB152" s="15">
        <v>1</v>
      </c>
      <c r="FC152" s="15">
        <v>1</v>
      </c>
      <c r="FD152" s="15">
        <v>1</v>
      </c>
      <c r="FE152" s="15">
        <v>1</v>
      </c>
      <c r="FF152" s="15">
        <v>1</v>
      </c>
      <c r="FG152" s="15">
        <v>1</v>
      </c>
      <c r="FH152" s="15">
        <v>1</v>
      </c>
      <c r="FI152" s="15">
        <v>1</v>
      </c>
      <c r="FJ152" s="15">
        <v>1</v>
      </c>
      <c r="FK152" s="15">
        <v>1</v>
      </c>
      <c r="FL152" s="15">
        <v>1</v>
      </c>
      <c r="FM152" s="15">
        <v>1</v>
      </c>
      <c r="FN152" s="15">
        <v>1</v>
      </c>
      <c r="FO152" s="15">
        <v>1</v>
      </c>
      <c r="FP152" s="15">
        <v>1</v>
      </c>
      <c r="FQ152" s="15">
        <v>1</v>
      </c>
      <c r="FR152" s="15">
        <v>1</v>
      </c>
      <c r="FS152" s="15">
        <v>1</v>
      </c>
      <c r="FT152" s="15">
        <v>1</v>
      </c>
      <c r="FU152" s="15">
        <v>1</v>
      </c>
      <c r="FV152" s="15">
        <v>1</v>
      </c>
      <c r="FW152" s="15">
        <v>1</v>
      </c>
      <c r="FX152" s="15">
        <v>1</v>
      </c>
      <c r="FY152" s="15">
        <v>1</v>
      </c>
      <c r="FZ152" s="15">
        <v>1</v>
      </c>
      <c r="GA152" s="15">
        <v>1</v>
      </c>
      <c r="GB152" s="15">
        <v>1</v>
      </c>
      <c r="GC152" s="15">
        <v>1</v>
      </c>
      <c r="GD152" s="15">
        <v>1</v>
      </c>
      <c r="GE152" s="15">
        <v>1</v>
      </c>
      <c r="GF152" s="15">
        <v>1</v>
      </c>
      <c r="GG152" s="15">
        <v>1</v>
      </c>
      <c r="GH152" s="15">
        <v>1</v>
      </c>
      <c r="GI152" s="15">
        <v>1</v>
      </c>
      <c r="GJ152" s="15">
        <v>1</v>
      </c>
      <c r="GK152" s="15">
        <v>1</v>
      </c>
      <c r="GL152" s="15">
        <v>1</v>
      </c>
      <c r="GM152" s="15">
        <v>1</v>
      </c>
      <c r="GN152" s="15">
        <v>1</v>
      </c>
      <c r="GO152" s="15">
        <v>1</v>
      </c>
      <c r="GP152" s="15">
        <v>1</v>
      </c>
      <c r="GQ152" s="15">
        <v>1</v>
      </c>
      <c r="GR152" s="15">
        <v>1</v>
      </c>
      <c r="GS152" s="15">
        <v>1</v>
      </c>
      <c r="GT152" s="15">
        <v>1</v>
      </c>
      <c r="GU152" s="15">
        <v>1</v>
      </c>
      <c r="GV152" s="15">
        <v>1</v>
      </c>
      <c r="GW152" s="15">
        <v>1</v>
      </c>
      <c r="GX152" s="15">
        <v>1</v>
      </c>
      <c r="GY152" s="15">
        <v>1</v>
      </c>
      <c r="GZ152" s="15">
        <v>1</v>
      </c>
      <c r="HA152" s="15">
        <v>1</v>
      </c>
      <c r="HB152" s="15">
        <v>1</v>
      </c>
      <c r="HC152" s="15">
        <v>1</v>
      </c>
      <c r="HD152" s="15">
        <v>1</v>
      </c>
      <c r="HE152" s="15">
        <v>1</v>
      </c>
      <c r="HF152" s="15">
        <v>1</v>
      </c>
      <c r="HG152" s="15">
        <v>1</v>
      </c>
      <c r="HH152" s="15">
        <v>1</v>
      </c>
      <c r="HI152" s="15">
        <v>1</v>
      </c>
      <c r="HJ152" s="15">
        <v>1</v>
      </c>
      <c r="HK152" s="15">
        <v>1</v>
      </c>
      <c r="HL152" s="15">
        <v>1</v>
      </c>
      <c r="HM152" s="15">
        <v>1</v>
      </c>
      <c r="HN152" s="15">
        <v>1</v>
      </c>
      <c r="HO152" s="15">
        <v>1</v>
      </c>
      <c r="HP152" s="15">
        <v>1</v>
      </c>
      <c r="HQ152" s="15">
        <v>1</v>
      </c>
      <c r="HR152" s="15">
        <v>1</v>
      </c>
      <c r="HS152" s="15">
        <v>1</v>
      </c>
      <c r="HT152" s="15">
        <v>1</v>
      </c>
      <c r="HU152" s="15">
        <v>1</v>
      </c>
      <c r="HV152" s="15">
        <v>1</v>
      </c>
      <c r="HW152" s="15">
        <v>1</v>
      </c>
      <c r="HX152" s="15">
        <v>1</v>
      </c>
      <c r="HY152" s="15">
        <v>1</v>
      </c>
      <c r="HZ152" s="15">
        <v>1</v>
      </c>
      <c r="IA152" s="15">
        <v>1</v>
      </c>
      <c r="IB152" s="15">
        <v>1</v>
      </c>
      <c r="IC152" s="15">
        <v>1</v>
      </c>
      <c r="ID152" s="15">
        <v>1</v>
      </c>
      <c r="IE152" s="15">
        <v>1</v>
      </c>
      <c r="IF152" s="15">
        <v>1</v>
      </c>
      <c r="IG152" s="15">
        <v>1</v>
      </c>
      <c r="IH152" s="15">
        <v>1</v>
      </c>
      <c r="II152" s="15">
        <v>1</v>
      </c>
      <c r="IJ152" s="15">
        <v>1</v>
      </c>
      <c r="IK152" s="15">
        <v>1</v>
      </c>
      <c r="IL152" s="15">
        <v>1</v>
      </c>
      <c r="IM152" s="15">
        <v>1</v>
      </c>
      <c r="IN152" s="15">
        <v>1</v>
      </c>
      <c r="IO152" s="15">
        <v>1</v>
      </c>
      <c r="IP152" s="15">
        <v>1</v>
      </c>
      <c r="IQ152" s="15">
        <v>1</v>
      </c>
      <c r="IR152" s="15">
        <v>1</v>
      </c>
    </row>
    <row r="153" spans="1:252" ht="43.75">
      <c r="A153" s="89" t="s">
        <v>515</v>
      </c>
      <c r="B153" s="90">
        <v>10</v>
      </c>
      <c r="C153" s="5" t="s">
        <v>66</v>
      </c>
      <c r="D153" s="91">
        <v>31608</v>
      </c>
      <c r="E153" s="91" t="s">
        <v>333</v>
      </c>
      <c r="F153" s="92" t="s">
        <v>70</v>
      </c>
      <c r="G153" s="91" t="s">
        <v>20</v>
      </c>
      <c r="H153" s="91" t="s">
        <v>22</v>
      </c>
      <c r="I153" s="91" t="s">
        <v>136</v>
      </c>
      <c r="J153" s="91" t="s">
        <v>29</v>
      </c>
      <c r="K153" s="91">
        <v>475</v>
      </c>
      <c r="L153" s="85" t="s">
        <v>64</v>
      </c>
      <c r="M153" s="91" t="s">
        <v>190</v>
      </c>
      <c r="N153" s="91" t="s">
        <v>191</v>
      </c>
      <c r="O153" s="91" t="s">
        <v>193</v>
      </c>
      <c r="P153" s="89" t="s">
        <v>210</v>
      </c>
      <c r="Q153" s="91" t="s">
        <v>309</v>
      </c>
      <c r="R153" s="91" t="s">
        <v>258</v>
      </c>
      <c r="S153" s="82">
        <v>53772</v>
      </c>
      <c r="T153" s="82">
        <v>25541775</v>
      </c>
      <c r="U153" s="81">
        <v>864</v>
      </c>
      <c r="V153" s="81">
        <v>0</v>
      </c>
      <c r="W153" s="82">
        <v>71991506</v>
      </c>
      <c r="X153" s="112">
        <v>62</v>
      </c>
      <c r="Y153" s="112" t="s">
        <v>416</v>
      </c>
      <c r="Z153" s="113">
        <v>6</v>
      </c>
      <c r="AA153" s="113">
        <v>5</v>
      </c>
      <c r="AB153" s="113">
        <v>4</v>
      </c>
      <c r="AC153" s="99">
        <v>1601.56</v>
      </c>
      <c r="AD153" s="99">
        <f t="shared" si="66"/>
        <v>189.18000000000006</v>
      </c>
      <c r="AE153" s="99">
        <v>1790.74</v>
      </c>
      <c r="AF153" s="98">
        <f>(Z153+AA153+AB153)*'Ставки аренды'!$B$3/X153</f>
        <v>169.35483870967741</v>
      </c>
      <c r="AG153" s="94">
        <v>0</v>
      </c>
      <c r="AH153" s="94">
        <v>0</v>
      </c>
      <c r="AI153" s="116">
        <f t="shared" ref="AI153:AI155" si="67">507353/712157*AJ153</f>
        <v>12823.512231151277</v>
      </c>
      <c r="AJ153" s="117">
        <f>Цены!$D$10</f>
        <v>18000</v>
      </c>
      <c r="AK153" s="94">
        <f>AJ153/Цены!$B$1</f>
        <v>235.89387396714525</v>
      </c>
      <c r="AL153" s="95">
        <f t="shared" si="54"/>
        <v>1960.0948387096773</v>
      </c>
      <c r="AM153" s="95">
        <f t="shared" si="55"/>
        <v>16039.905161290322</v>
      </c>
      <c r="AN153" s="94">
        <f t="shared" si="52"/>
        <v>14783.607069860955</v>
      </c>
      <c r="AO153" s="118">
        <f t="shared" si="53"/>
        <v>0.17868849611883586</v>
      </c>
      <c r="AP153" s="96">
        <f t="shared" si="56"/>
        <v>0.10889415770609319</v>
      </c>
      <c r="AQ153" s="96">
        <f t="shared" si="57"/>
        <v>9.9485555555555549E-2</v>
      </c>
      <c r="AR153" s="96">
        <f t="shared" si="58"/>
        <v>0.91359865075653024</v>
      </c>
      <c r="AS153" s="122">
        <v>1</v>
      </c>
      <c r="AT153" s="121">
        <f t="shared" si="45"/>
        <v>53772</v>
      </c>
      <c r="AU153" s="7" t="s">
        <v>475</v>
      </c>
      <c r="AV153" s="119">
        <f t="shared" si="41"/>
        <v>0.16675022945216916</v>
      </c>
      <c r="AW153" s="120">
        <f t="shared" si="42"/>
        <v>0.12083242437275986</v>
      </c>
      <c r="AX153" s="120">
        <f t="shared" si="43"/>
        <v>0.11142382222222223</v>
      </c>
      <c r="AY153" s="120">
        <f t="shared" si="44"/>
        <v>0.92213512060709191</v>
      </c>
      <c r="AZ153" s="15">
        <v>1</v>
      </c>
      <c r="BA153" s="15">
        <v>1</v>
      </c>
      <c r="BB153" s="15">
        <v>1</v>
      </c>
      <c r="BC153" s="15">
        <v>1</v>
      </c>
      <c r="BD153" s="15">
        <v>1</v>
      </c>
      <c r="BE153" s="15">
        <v>1</v>
      </c>
      <c r="BF153" s="15">
        <v>1</v>
      </c>
      <c r="BG153" s="15">
        <v>1</v>
      </c>
      <c r="BH153" s="15">
        <v>1</v>
      </c>
      <c r="BI153" s="15">
        <v>1</v>
      </c>
      <c r="BJ153" s="15">
        <v>1</v>
      </c>
      <c r="BK153" s="15">
        <v>1</v>
      </c>
      <c r="BL153" s="15">
        <v>1</v>
      </c>
      <c r="BM153" s="15">
        <v>1</v>
      </c>
      <c r="BN153" s="15">
        <v>1</v>
      </c>
      <c r="BO153" s="15">
        <v>1</v>
      </c>
      <c r="BP153" s="15">
        <v>1</v>
      </c>
      <c r="BQ153" s="15">
        <v>1</v>
      </c>
      <c r="BR153" s="15">
        <v>1</v>
      </c>
      <c r="BS153" s="15">
        <v>1</v>
      </c>
      <c r="BT153" s="15">
        <v>1</v>
      </c>
      <c r="BU153" s="15">
        <v>1</v>
      </c>
      <c r="BV153" s="15">
        <v>1</v>
      </c>
      <c r="BW153" s="15">
        <v>1</v>
      </c>
      <c r="BX153" s="15">
        <v>1</v>
      </c>
      <c r="BY153" s="15">
        <v>1</v>
      </c>
      <c r="BZ153" s="15">
        <v>1</v>
      </c>
      <c r="CA153" s="15">
        <v>1</v>
      </c>
      <c r="CB153" s="15">
        <v>1</v>
      </c>
      <c r="CC153" s="15">
        <v>1</v>
      </c>
      <c r="CD153" s="15">
        <v>1</v>
      </c>
      <c r="CE153" s="15">
        <v>1</v>
      </c>
      <c r="CF153" s="15">
        <v>1</v>
      </c>
      <c r="CG153" s="15">
        <v>1</v>
      </c>
      <c r="CH153" s="15">
        <v>1</v>
      </c>
      <c r="CI153" s="15">
        <v>1</v>
      </c>
      <c r="CJ153" s="15">
        <v>1</v>
      </c>
      <c r="CK153" s="15">
        <v>1</v>
      </c>
      <c r="CL153" s="15">
        <v>1</v>
      </c>
      <c r="CM153" s="15">
        <v>1</v>
      </c>
      <c r="CN153" s="15">
        <v>1</v>
      </c>
      <c r="CO153" s="15">
        <v>1</v>
      </c>
      <c r="CP153" s="15">
        <v>1</v>
      </c>
      <c r="CQ153" s="15">
        <v>1</v>
      </c>
      <c r="CR153" s="15">
        <v>1</v>
      </c>
      <c r="CS153" s="15">
        <v>1</v>
      </c>
      <c r="CT153" s="15">
        <v>1</v>
      </c>
      <c r="CU153" s="15">
        <v>1</v>
      </c>
      <c r="CV153" s="15">
        <v>1</v>
      </c>
      <c r="CW153" s="15">
        <v>1</v>
      </c>
      <c r="CX153" s="15">
        <v>1</v>
      </c>
      <c r="CY153" s="15">
        <v>1</v>
      </c>
      <c r="CZ153" s="15">
        <v>1</v>
      </c>
      <c r="DA153" s="15">
        <v>1</v>
      </c>
      <c r="DB153" s="15">
        <v>1</v>
      </c>
      <c r="DC153" s="15">
        <v>1</v>
      </c>
      <c r="DD153" s="15">
        <v>1</v>
      </c>
      <c r="DE153" s="15">
        <v>1</v>
      </c>
      <c r="DF153" s="15">
        <v>1</v>
      </c>
      <c r="DG153" s="15">
        <v>1</v>
      </c>
      <c r="DH153" s="15">
        <v>1</v>
      </c>
      <c r="DI153" s="15">
        <v>1</v>
      </c>
      <c r="DJ153" s="15">
        <v>1</v>
      </c>
      <c r="DK153" s="15">
        <v>1</v>
      </c>
      <c r="DL153" s="15">
        <v>1</v>
      </c>
      <c r="DM153" s="15">
        <v>1</v>
      </c>
      <c r="DN153" s="15">
        <v>1</v>
      </c>
      <c r="DO153" s="15">
        <v>1</v>
      </c>
      <c r="DP153" s="15">
        <v>1</v>
      </c>
      <c r="DQ153" s="15">
        <v>1</v>
      </c>
      <c r="DR153" s="15">
        <v>1</v>
      </c>
      <c r="DS153" s="15">
        <v>1</v>
      </c>
      <c r="DT153" s="15">
        <v>1</v>
      </c>
      <c r="DU153" s="15">
        <v>1</v>
      </c>
      <c r="DV153" s="15">
        <v>1</v>
      </c>
      <c r="DW153" s="15">
        <v>1</v>
      </c>
      <c r="DX153" s="15">
        <v>1</v>
      </c>
      <c r="DY153" s="15">
        <v>1</v>
      </c>
      <c r="DZ153" s="15">
        <v>1</v>
      </c>
      <c r="EA153" s="15">
        <v>1</v>
      </c>
      <c r="EB153" s="15">
        <v>1</v>
      </c>
      <c r="EC153" s="15">
        <v>1</v>
      </c>
      <c r="ED153" s="15">
        <v>1</v>
      </c>
      <c r="EE153" s="15">
        <v>1</v>
      </c>
      <c r="EF153" s="15">
        <v>1</v>
      </c>
      <c r="EG153" s="15">
        <v>1</v>
      </c>
      <c r="EH153" s="15">
        <v>1</v>
      </c>
      <c r="EI153" s="15">
        <v>1</v>
      </c>
      <c r="EJ153" s="15">
        <v>1</v>
      </c>
      <c r="EK153" s="15">
        <v>1</v>
      </c>
      <c r="EL153" s="15">
        <v>1</v>
      </c>
      <c r="EM153" s="15">
        <v>1</v>
      </c>
      <c r="EN153" s="15">
        <v>1</v>
      </c>
      <c r="EO153" s="15">
        <v>1</v>
      </c>
      <c r="EP153" s="15">
        <v>1</v>
      </c>
      <c r="EQ153" s="15">
        <v>1</v>
      </c>
      <c r="ER153" s="15">
        <v>1</v>
      </c>
      <c r="ES153" s="15">
        <v>1</v>
      </c>
      <c r="ET153" s="15">
        <v>1</v>
      </c>
      <c r="EU153" s="15">
        <v>1</v>
      </c>
      <c r="EV153" s="111">
        <v>1</v>
      </c>
      <c r="EW153" s="15">
        <v>1</v>
      </c>
      <c r="EX153" s="15">
        <v>1</v>
      </c>
      <c r="EY153" s="15">
        <v>1</v>
      </c>
      <c r="EZ153" s="15">
        <v>1</v>
      </c>
      <c r="FA153" s="15">
        <v>1</v>
      </c>
      <c r="FB153" s="15">
        <v>1</v>
      </c>
      <c r="FC153" s="15">
        <v>1</v>
      </c>
      <c r="FD153" s="15">
        <v>1</v>
      </c>
      <c r="FE153" s="15">
        <v>1</v>
      </c>
      <c r="FF153" s="15">
        <v>1</v>
      </c>
      <c r="FG153" s="15">
        <v>1</v>
      </c>
      <c r="FH153" s="15">
        <v>1</v>
      </c>
      <c r="FI153" s="15">
        <v>1</v>
      </c>
      <c r="FJ153" s="15">
        <v>1</v>
      </c>
      <c r="FK153" s="15">
        <v>1</v>
      </c>
      <c r="FL153" s="15">
        <v>1</v>
      </c>
      <c r="FM153" s="15">
        <v>1</v>
      </c>
      <c r="FN153" s="15">
        <v>1</v>
      </c>
      <c r="FO153" s="15">
        <v>1</v>
      </c>
      <c r="FP153" s="15">
        <v>1</v>
      </c>
      <c r="FQ153" s="15">
        <v>1</v>
      </c>
      <c r="FR153" s="15">
        <v>1</v>
      </c>
      <c r="FS153" s="15">
        <v>1</v>
      </c>
      <c r="FT153" s="15">
        <v>1</v>
      </c>
      <c r="FU153" s="15">
        <v>1</v>
      </c>
      <c r="FV153" s="15">
        <v>1</v>
      </c>
      <c r="FW153" s="15">
        <v>1</v>
      </c>
      <c r="FX153" s="15">
        <v>1</v>
      </c>
      <c r="FY153" s="15">
        <v>1</v>
      </c>
      <c r="FZ153" s="15">
        <v>1</v>
      </c>
      <c r="GA153" s="15">
        <v>1</v>
      </c>
      <c r="GB153" s="15">
        <v>1</v>
      </c>
      <c r="GC153" s="15">
        <v>1</v>
      </c>
      <c r="GD153" s="15">
        <v>1</v>
      </c>
      <c r="GE153" s="15">
        <v>1</v>
      </c>
      <c r="GF153" s="15">
        <v>1</v>
      </c>
      <c r="GG153" s="15">
        <v>1</v>
      </c>
      <c r="GH153" s="15">
        <v>1</v>
      </c>
      <c r="GI153" s="15">
        <v>1</v>
      </c>
      <c r="GJ153" s="15">
        <v>1</v>
      </c>
      <c r="GK153" s="15">
        <v>1</v>
      </c>
      <c r="GL153" s="15">
        <v>1</v>
      </c>
      <c r="GM153" s="15">
        <v>1</v>
      </c>
      <c r="GN153" s="15">
        <v>1</v>
      </c>
      <c r="GO153" s="15">
        <v>1</v>
      </c>
      <c r="GP153" s="15">
        <v>1</v>
      </c>
      <c r="GQ153" s="15">
        <v>1</v>
      </c>
      <c r="GR153" s="15">
        <v>1</v>
      </c>
      <c r="GS153" s="15">
        <v>1</v>
      </c>
      <c r="GT153" s="15">
        <v>1</v>
      </c>
      <c r="GU153" s="15">
        <v>1</v>
      </c>
      <c r="GV153" s="15">
        <v>1</v>
      </c>
      <c r="GW153" s="15">
        <v>1</v>
      </c>
      <c r="GX153" s="15">
        <v>1</v>
      </c>
      <c r="GY153" s="15">
        <v>1</v>
      </c>
      <c r="GZ153" s="15">
        <v>1</v>
      </c>
      <c r="HA153" s="15">
        <v>1</v>
      </c>
      <c r="HB153" s="15">
        <v>1</v>
      </c>
      <c r="HC153" s="15">
        <v>1</v>
      </c>
      <c r="HD153" s="15">
        <v>1</v>
      </c>
      <c r="HE153" s="15">
        <v>1</v>
      </c>
      <c r="HF153" s="15">
        <v>1</v>
      </c>
      <c r="HG153" s="15">
        <v>1</v>
      </c>
      <c r="HH153" s="15">
        <v>1</v>
      </c>
      <c r="HI153" s="15">
        <v>1</v>
      </c>
      <c r="HJ153" s="15">
        <v>1</v>
      </c>
      <c r="HK153" s="15">
        <v>1</v>
      </c>
      <c r="HL153" s="15">
        <v>1</v>
      </c>
      <c r="HM153" s="15">
        <v>1</v>
      </c>
      <c r="HN153" s="15">
        <v>1</v>
      </c>
      <c r="HO153" s="15">
        <v>1</v>
      </c>
      <c r="HP153" s="15">
        <v>1</v>
      </c>
      <c r="HQ153" s="15">
        <v>1</v>
      </c>
      <c r="HR153" s="15">
        <v>1</v>
      </c>
      <c r="HS153" s="15">
        <v>1</v>
      </c>
      <c r="HT153" s="15">
        <v>1</v>
      </c>
      <c r="HU153" s="15">
        <v>1</v>
      </c>
      <c r="HV153" s="15">
        <v>1</v>
      </c>
      <c r="HW153" s="15">
        <v>1</v>
      </c>
      <c r="HX153" s="15">
        <v>1</v>
      </c>
      <c r="HY153" s="15">
        <v>1</v>
      </c>
      <c r="HZ153" s="15">
        <v>1</v>
      </c>
      <c r="IA153" s="15">
        <v>1</v>
      </c>
      <c r="IB153" s="15">
        <v>1</v>
      </c>
      <c r="IC153" s="15">
        <v>1</v>
      </c>
      <c r="ID153" s="15">
        <v>1</v>
      </c>
      <c r="IE153" s="15">
        <v>1</v>
      </c>
      <c r="IF153" s="15">
        <v>1</v>
      </c>
      <c r="IG153" s="15">
        <v>1</v>
      </c>
      <c r="IH153" s="15">
        <v>1</v>
      </c>
      <c r="II153" s="15">
        <v>1</v>
      </c>
      <c r="IJ153" s="15">
        <v>1</v>
      </c>
      <c r="IK153" s="15">
        <v>1</v>
      </c>
      <c r="IL153" s="15">
        <v>1</v>
      </c>
      <c r="IM153" s="15">
        <v>1</v>
      </c>
      <c r="IN153" s="15">
        <v>1</v>
      </c>
      <c r="IO153" s="15">
        <v>1</v>
      </c>
      <c r="IP153" s="15">
        <v>1</v>
      </c>
      <c r="IQ153" s="15">
        <v>1</v>
      </c>
      <c r="IR153" s="15">
        <v>1</v>
      </c>
    </row>
    <row r="154" spans="1:252" ht="43.75">
      <c r="A154" s="89" t="s">
        <v>515</v>
      </c>
      <c r="B154" s="90">
        <v>10</v>
      </c>
      <c r="C154" s="5" t="s">
        <v>66</v>
      </c>
      <c r="D154" s="91">
        <v>31607</v>
      </c>
      <c r="E154" s="91" t="s">
        <v>327</v>
      </c>
      <c r="F154" s="92" t="s">
        <v>70</v>
      </c>
      <c r="G154" s="91" t="s">
        <v>22</v>
      </c>
      <c r="H154" s="91" t="s">
        <v>50</v>
      </c>
      <c r="I154" s="91" t="s">
        <v>29</v>
      </c>
      <c r="J154" s="91" t="s">
        <v>137</v>
      </c>
      <c r="K154" s="91">
        <v>2217</v>
      </c>
      <c r="L154" s="85" t="s">
        <v>64</v>
      </c>
      <c r="M154" s="91" t="s">
        <v>190</v>
      </c>
      <c r="N154" s="91" t="s">
        <v>191</v>
      </c>
      <c r="O154" s="91" t="s">
        <v>192</v>
      </c>
      <c r="P154" s="89" t="s">
        <v>210</v>
      </c>
      <c r="Q154" s="91" t="s">
        <v>309</v>
      </c>
      <c r="R154" s="91" t="s">
        <v>258</v>
      </c>
      <c r="S154" s="82">
        <v>14907</v>
      </c>
      <c r="T154" s="82">
        <v>33047123</v>
      </c>
      <c r="U154" s="81">
        <v>232</v>
      </c>
      <c r="V154" s="81">
        <v>0</v>
      </c>
      <c r="W154" s="82">
        <v>46960230</v>
      </c>
      <c r="X154" s="112">
        <v>62</v>
      </c>
      <c r="Y154" s="112" t="s">
        <v>416</v>
      </c>
      <c r="Z154" s="113">
        <v>8</v>
      </c>
      <c r="AA154" s="113">
        <v>6</v>
      </c>
      <c r="AB154" s="113">
        <v>4</v>
      </c>
      <c r="AC154" s="99">
        <v>3598.06</v>
      </c>
      <c r="AD154" s="99">
        <f>AE154-AC154</f>
        <v>578.25000000000045</v>
      </c>
      <c r="AE154" s="99">
        <v>4176.3100000000004</v>
      </c>
      <c r="AF154" s="98">
        <f>(Z154+AA154+AB154)*'Ставки аренды'!$B$3/X154</f>
        <v>203.2258064516129</v>
      </c>
      <c r="AG154" s="94">
        <v>0</v>
      </c>
      <c r="AH154" s="94">
        <v>0</v>
      </c>
      <c r="AI154" s="116">
        <f t="shared" si="67"/>
        <v>12823.512231151277</v>
      </c>
      <c r="AJ154" s="117">
        <f>Цены!$D$10</f>
        <v>18000</v>
      </c>
      <c r="AK154" s="94">
        <f>AJ154/Цены!$B$1</f>
        <v>235.89387396714525</v>
      </c>
      <c r="AL154" s="95">
        <f t="shared" si="54"/>
        <v>4379.5358064516131</v>
      </c>
      <c r="AM154" s="95">
        <f t="shared" si="55"/>
        <v>13620.464193548387</v>
      </c>
      <c r="AN154" s="94">
        <f t="shared" si="52"/>
        <v>17203.04803760289</v>
      </c>
      <c r="AO154" s="118">
        <f t="shared" si="53"/>
        <v>4.4275109022061672E-2</v>
      </c>
      <c r="AP154" s="96">
        <f t="shared" si="56"/>
        <v>0.2433075448028674</v>
      </c>
      <c r="AQ154" s="96">
        <f t="shared" si="57"/>
        <v>0.23201722222222224</v>
      </c>
      <c r="AR154" s="96">
        <f t="shared" si="58"/>
        <v>0.95359649619664366</v>
      </c>
      <c r="AS154" s="122">
        <v>1</v>
      </c>
      <c r="AT154" s="121">
        <f t="shared" si="45"/>
        <v>14907</v>
      </c>
      <c r="AU154" s="83">
        <v>0.95</v>
      </c>
      <c r="AV154" s="119">
        <f t="shared" si="41"/>
        <v>1.643304235539492E-2</v>
      </c>
      <c r="AW154" s="120">
        <f t="shared" si="42"/>
        <v>0.27114961146953409</v>
      </c>
      <c r="AX154" s="120">
        <f t="shared" si="43"/>
        <v>0.25985928888888893</v>
      </c>
      <c r="AY154" s="120">
        <f t="shared" si="44"/>
        <v>0.958361280624908</v>
      </c>
      <c r="AZ154" s="15">
        <f>MIN(IF($AU154=100%,1,1+VLOOKUP(($AJ154-$AI154-$AH154-$AG154-$AF154-$AE154*(1+AZ$3))/$AJ154,'Технический лист'!$I:$J,2,1)-VLOOKUP($AO154,'Технический лист'!$I:$J,2,1)),1+(1-$AU154))</f>
        <v>1.05</v>
      </c>
      <c r="BA154" s="15">
        <f>MIN(IF($AU154=100%,1,1+VLOOKUP(($AJ154-$AI154-$AH154-$AG154-$AF154-$AE154*(1+BA$3))/$AJ154,'Технический лист'!$I:$J,2,1)-VLOOKUP($AO154,'Технический лист'!$I:$J,2,1)),1+(1-$AU154))</f>
        <v>1.05</v>
      </c>
      <c r="BB154" s="15">
        <f>MIN(IF($AU154=100%,1,1+VLOOKUP(($AJ154-$AI154-$AH154-$AG154-$AF154-$AE154*(1+BB$3))/$AJ154,'Технический лист'!$I:$J,2,1)-VLOOKUP($AO154,'Технический лист'!$I:$J,2,1)),1+(1-$AU154))</f>
        <v>1.05</v>
      </c>
      <c r="BC154" s="15">
        <f>MIN(IF($AU154=100%,1,1+VLOOKUP(($AJ154-$AI154-$AH154-$AG154-$AF154-$AE154*(1+BC$3))/$AJ154,'Технический лист'!$I:$J,2,1)-VLOOKUP($AO154,'Технический лист'!$I:$J,2,1)),1+(1-$AU154))</f>
        <v>1.05</v>
      </c>
      <c r="BD154" s="15">
        <f>MIN(IF($AU154=100%,1,1+VLOOKUP(($AJ154-$AI154-$AH154-$AG154-$AF154-$AE154*(1+BD$3))/$AJ154,'Технический лист'!$I:$J,2,1)-VLOOKUP($AO154,'Технический лист'!$I:$J,2,1)),1+(1-$AU154))</f>
        <v>1.05</v>
      </c>
      <c r="BE154" s="15">
        <f>MIN(IF($AU154=100%,1,1+VLOOKUP(($AJ154-$AI154-$AH154-$AG154-$AF154-$AE154*(1+BE$3))/$AJ154,'Технический лист'!$I:$J,2,1)-VLOOKUP($AO154,'Технический лист'!$I:$J,2,1)),1+(1-$AU154))</f>
        <v>1.05</v>
      </c>
      <c r="BF154" s="15">
        <f>MIN(IF($AU154=100%,1,1+VLOOKUP(($AJ154-$AI154-$AH154-$AG154-$AF154-$AE154*(1+BF$3))/$AJ154,'Технический лист'!$I:$J,2,1)-VLOOKUP($AO154,'Технический лист'!$I:$J,2,1)),1+(1-$AU154))</f>
        <v>1.05</v>
      </c>
      <c r="BG154" s="15">
        <f>MIN(IF($AU154=100%,1,1+VLOOKUP(($AJ154-$AI154-$AH154-$AG154-$AF154-$AE154*(1+BG$3))/$AJ154,'Технический лист'!$I:$J,2,1)-VLOOKUP($AO154,'Технический лист'!$I:$J,2,1)),1+(1-$AU154))</f>
        <v>1.05</v>
      </c>
      <c r="BH154" s="15">
        <f>MIN(IF($AU154=100%,1,1+VLOOKUP(($AJ154-$AI154-$AH154-$AG154-$AF154-$AE154*(1+BH$3))/$AJ154,'Технический лист'!$I:$J,2,1)-VLOOKUP($AO154,'Технический лист'!$I:$J,2,1)),1+(1-$AU154))</f>
        <v>1.05</v>
      </c>
      <c r="BI154" s="15">
        <f>MIN(IF($AU154=100%,1,1+VLOOKUP(($AJ154-$AI154-$AH154-$AG154-$AF154-$AE154*(1+BI$3))/$AJ154,'Технический лист'!$I:$J,2,1)-VLOOKUP($AO154,'Технический лист'!$I:$J,2,1)),1+(1-$AU154))</f>
        <v>1.05</v>
      </c>
      <c r="BJ154" s="15">
        <f>MIN(IF($AU154=100%,1,1+VLOOKUP(($AJ154-$AI154-$AH154-$AG154-$AF154-$AE154*(1+BJ$3))/$AJ154,'Технический лист'!$I:$J,2,1)-VLOOKUP($AO154,'Технический лист'!$I:$J,2,1)),1+(1-$AU154))</f>
        <v>1.05</v>
      </c>
      <c r="BK154" s="15">
        <f>MIN(IF($AU154=100%,1,1+VLOOKUP(($AJ154-$AI154-$AH154-$AG154-$AF154-$AE154*(1+BK$3))/$AJ154,'Технический лист'!$I:$J,2,1)-VLOOKUP($AO154,'Технический лист'!$I:$J,2,1)),1+(1-$AU154))</f>
        <v>1.05</v>
      </c>
      <c r="BL154" s="15">
        <f>MIN(IF($AU154=100%,1,1+VLOOKUP(($AJ154-$AI154-$AH154-$AG154-$AF154-$AE154*(1+BL$3))/$AJ154,'Технический лист'!$I:$J,2,1)-VLOOKUP($AO154,'Технический лист'!$I:$J,2,1)),1+(1-$AU154))</f>
        <v>1.05</v>
      </c>
      <c r="BM154" s="15">
        <f>MIN(IF($AU154=100%,1,1+VLOOKUP(($AJ154-$AI154-$AH154-$AG154-$AF154-$AE154*(1+BM$3))/$AJ154,'Технический лист'!$I:$J,2,1)-VLOOKUP($AO154,'Технический лист'!$I:$J,2,1)),1+(1-$AU154))</f>
        <v>1.05</v>
      </c>
      <c r="BN154" s="15">
        <f>MIN(IF($AU154=100%,1,1+VLOOKUP(($AJ154-$AI154-$AH154-$AG154-$AF154-$AE154*(1+BN$3))/$AJ154,'Технический лист'!$I:$J,2,1)-VLOOKUP($AO154,'Технический лист'!$I:$J,2,1)),1+(1-$AU154))</f>
        <v>1.05</v>
      </c>
      <c r="BO154" s="15">
        <f>MIN(IF($AU154=100%,1,1+VLOOKUP(($AJ154-$AI154-$AH154-$AG154-$AF154-$AE154*(1+BO$3))/$AJ154,'Технический лист'!$I:$J,2,1)-VLOOKUP($AO154,'Технический лист'!$I:$J,2,1)),1+(1-$AU154))</f>
        <v>1.05</v>
      </c>
      <c r="BP154" s="15">
        <f>MIN(IF($AU154=100%,1,1+VLOOKUP(($AJ154-$AI154-$AH154-$AG154-$AF154-$AE154*(1+BP$3))/$AJ154,'Технический лист'!$I:$J,2,1)-VLOOKUP($AO154,'Технический лист'!$I:$J,2,1)),1+(1-$AU154))</f>
        <v>1.05</v>
      </c>
      <c r="BQ154" s="15">
        <f>MIN(IF($AU154=100%,1,1+VLOOKUP(($AJ154-$AI154-$AH154-$AG154-$AF154-$AE154*(1+BQ$3))/$AJ154,'Технический лист'!$I:$J,2,1)-VLOOKUP($AO154,'Технический лист'!$I:$J,2,1)),1+(1-$AU154))</f>
        <v>1.05</v>
      </c>
      <c r="BR154" s="15">
        <f>MIN(IF($AU154=100%,1,1+VLOOKUP(($AJ154-$AI154-$AH154-$AG154-$AF154-$AE154*(1+BR$3))/$AJ154,'Технический лист'!$I:$J,2,1)-VLOOKUP($AO154,'Технический лист'!$I:$J,2,1)),1+(1-$AU154))</f>
        <v>1.05</v>
      </c>
      <c r="BS154" s="15">
        <f>MIN(IF($AU154=100%,1,1+VLOOKUP(($AJ154-$AI154-$AH154-$AG154-$AF154-$AE154*(1+BS$3))/$AJ154,'Технический лист'!$I:$J,2,1)-VLOOKUP($AO154,'Технический лист'!$I:$J,2,1)),1+(1-$AU154))</f>
        <v>1.05</v>
      </c>
      <c r="BT154" s="15">
        <f>MIN(IF($AU154=100%,1,1+VLOOKUP(($AJ154-$AI154-$AH154-$AG154-$AF154-$AE154*(1+BT$3))/$AJ154,'Технический лист'!$I:$J,2,1)-VLOOKUP($AO154,'Технический лист'!$I:$J,2,1)),1+(1-$AU154))</f>
        <v>1.05</v>
      </c>
      <c r="BU154" s="15">
        <f>MIN(IF($AU154=100%,1,1+VLOOKUP(($AJ154-$AI154-$AH154-$AG154-$AF154-$AE154*(1+BU$3))/$AJ154,'Технический лист'!$I:$J,2,1)-VLOOKUP($AO154,'Технический лист'!$I:$J,2,1)),1+(1-$AU154))</f>
        <v>1.05</v>
      </c>
      <c r="BV154" s="15">
        <f>MIN(IF($AU154=100%,1,1+VLOOKUP(($AJ154-$AI154-$AH154-$AG154-$AF154-$AE154*(1+BV$3))/$AJ154,'Технический лист'!$I:$J,2,1)-VLOOKUP($AO154,'Технический лист'!$I:$J,2,1)),1+(1-$AU154))</f>
        <v>1.05</v>
      </c>
      <c r="BW154" s="15">
        <f>MIN(IF($AU154=100%,1,1+VLOOKUP(($AJ154-$AI154-$AH154-$AG154-$AF154-$AE154*(1+BW$3))/$AJ154,'Технический лист'!$I:$J,2,1)-VLOOKUP($AO154,'Технический лист'!$I:$J,2,1)),1+(1-$AU154))</f>
        <v>1.05</v>
      </c>
      <c r="BX154" s="15">
        <f>MIN(IF($AU154=100%,1,1+VLOOKUP(($AJ154-$AI154-$AH154-$AG154-$AF154-$AE154*(1+BX$3))/$AJ154,'Технический лист'!$I:$J,2,1)-VLOOKUP($AO154,'Технический лист'!$I:$J,2,1)),1+(1-$AU154))</f>
        <v>1.05</v>
      </c>
      <c r="BY154" s="15">
        <f>MIN(IF($AU154=100%,1,1+VLOOKUP(($AJ154-$AI154-$AH154-$AG154-$AF154-$AE154*(1+BY$3))/$AJ154,'Технический лист'!$I:$J,2,1)-VLOOKUP($AO154,'Технический лист'!$I:$J,2,1)),1+(1-$AU154))</f>
        <v>1.05</v>
      </c>
      <c r="BZ154" s="15">
        <f>MIN(IF($AU154=100%,1,1+VLOOKUP(($AJ154-$AI154-$AH154-$AG154-$AF154-$AE154*(1+BZ$3))/$AJ154,'Технический лист'!$I:$J,2,1)-VLOOKUP($AO154,'Технический лист'!$I:$J,2,1)),1+(1-$AU154))</f>
        <v>1.05</v>
      </c>
      <c r="CA154" s="15">
        <f>MIN(IF($AU154=100%,1,1+VLOOKUP(($AJ154-$AI154-$AH154-$AG154-$AF154-$AE154*(1+CA$3))/$AJ154,'Технический лист'!$I:$J,2,1)-VLOOKUP($AO154,'Технический лист'!$I:$J,2,1)),1+(1-$AU154))</f>
        <v>1.05</v>
      </c>
      <c r="CB154" s="15">
        <f>MIN(IF($AU154=100%,1,1+VLOOKUP(($AJ154-$AI154-$AH154-$AG154-$AF154-$AE154*(1+CB$3))/$AJ154,'Технический лист'!$I:$J,2,1)-VLOOKUP($AO154,'Технический лист'!$I:$J,2,1)),1+(1-$AU154))</f>
        <v>1.05</v>
      </c>
      <c r="CC154" s="15">
        <f>MIN(IF($AU154=100%,1,1+VLOOKUP(($AJ154-$AI154-$AH154-$AG154-$AF154-$AE154*(1+CC$3))/$AJ154,'Технический лист'!$I:$J,2,1)-VLOOKUP($AO154,'Технический лист'!$I:$J,2,1)),1+(1-$AU154))</f>
        <v>1.05</v>
      </c>
      <c r="CD154" s="15">
        <f>MIN(IF($AU154=100%,1,1+VLOOKUP(($AJ154-$AI154-$AH154-$AG154-$AF154-$AE154*(1+CD$3))/$AJ154,'Технический лист'!$I:$J,2,1)-VLOOKUP($AO154,'Технический лист'!$I:$J,2,1)),1+(1-$AU154))</f>
        <v>1.05</v>
      </c>
      <c r="CE154" s="15">
        <f>MIN(IF($AU154=100%,1,1+VLOOKUP(($AJ154-$AI154-$AH154-$AG154-$AF154-$AE154*(1+CE$3))/$AJ154,'Технический лист'!$I:$J,2,1)-VLOOKUP($AO154,'Технический лист'!$I:$J,2,1)),1+(1-$AU154))</f>
        <v>1.05</v>
      </c>
      <c r="CF154" s="15">
        <f>MIN(IF($AU154=100%,1,1+VLOOKUP(($AJ154-$AI154-$AH154-$AG154-$AF154-$AE154*(1+CF$3))/$AJ154,'Технический лист'!$I:$J,2,1)-VLOOKUP($AO154,'Технический лист'!$I:$J,2,1)),1+(1-$AU154))</f>
        <v>1.05</v>
      </c>
      <c r="CG154" s="15">
        <f>MIN(IF($AU154=100%,1,1+VLOOKUP(($AJ154-$AI154-$AH154-$AG154-$AF154-$AE154*(1+CG$3))/$AJ154,'Технический лист'!$I:$J,2,1)-VLOOKUP($AO154,'Технический лист'!$I:$J,2,1)),1+(1-$AU154))</f>
        <v>1.05</v>
      </c>
      <c r="CH154" s="15">
        <f>MIN(IF($AU154=100%,1,1+VLOOKUP(($AJ154-$AI154-$AH154-$AG154-$AF154-$AE154*(1+CH$3))/$AJ154,'Технический лист'!$I:$J,2,1)-VLOOKUP($AO154,'Технический лист'!$I:$J,2,1)),1+(1-$AU154))</f>
        <v>1.05</v>
      </c>
      <c r="CI154" s="15">
        <f>MIN(IF($AU154=100%,1,1+VLOOKUP(($AJ154-$AI154-$AH154-$AG154-$AF154-$AE154*(1+CI$3))/$AJ154,'Технический лист'!$I:$J,2,1)-VLOOKUP($AO154,'Технический лист'!$I:$J,2,1)),1+(1-$AU154))</f>
        <v>1.05</v>
      </c>
      <c r="CJ154" s="15">
        <f>MIN(IF($AU154=100%,1,1+VLOOKUP(($AJ154-$AI154-$AH154-$AG154-$AF154-$AE154*(1+CJ$3))/$AJ154,'Технический лист'!$I:$J,2,1)-VLOOKUP($AO154,'Технический лист'!$I:$J,2,1)),1+(1-$AU154))</f>
        <v>1.05</v>
      </c>
      <c r="CK154" s="15">
        <f>MIN(IF($AU154=100%,1,1+VLOOKUP(($AJ154-$AI154-$AH154-$AG154-$AF154-$AE154*(1+CK$3))/$AJ154,'Технический лист'!$I:$J,2,1)-VLOOKUP($AO154,'Технический лист'!$I:$J,2,1)),1+(1-$AU154))</f>
        <v>1.05</v>
      </c>
      <c r="CL154" s="15">
        <f>MIN(IF($AU154=100%,1,1+VLOOKUP(($AJ154-$AI154-$AH154-$AG154-$AF154-$AE154*(1+CL$3))/$AJ154,'Технический лист'!$I:$J,2,1)-VLOOKUP($AO154,'Технический лист'!$I:$J,2,1)),1+(1-$AU154))</f>
        <v>1.05</v>
      </c>
      <c r="CM154" s="15">
        <f>MIN(IF($AU154=100%,1,1+VLOOKUP(($AJ154-$AI154-$AH154-$AG154-$AF154-$AE154*(1+CM$3))/$AJ154,'Технический лист'!$I:$J,2,1)-VLOOKUP($AO154,'Технический лист'!$I:$J,2,1)),1+(1-$AU154))</f>
        <v>1.05</v>
      </c>
      <c r="CN154" s="15">
        <f>MIN(IF($AU154=100%,1,1+VLOOKUP(($AJ154-$AI154-$AH154-$AG154-$AF154-$AE154*(1+CN$3))/$AJ154,'Технический лист'!$I:$J,2,1)-VLOOKUP($AO154,'Технический лист'!$I:$J,2,1)),1+(1-$AU154))</f>
        <v>1.05</v>
      </c>
      <c r="CO154" s="15">
        <f>MIN(IF($AU154=100%,1,1+VLOOKUP(($AJ154-$AI154-$AH154-$AG154-$AF154-$AE154*(1+CO$3))/$AJ154,'Технический лист'!$I:$J,2,1)-VLOOKUP($AO154,'Технический лист'!$I:$J,2,1)),1+(1-$AU154))</f>
        <v>1.05</v>
      </c>
      <c r="CP154" s="15">
        <f>MIN(IF($AU154=100%,1,1+VLOOKUP(($AJ154-$AI154-$AH154-$AG154-$AF154-$AE154*(1+CP$3))/$AJ154,'Технический лист'!$I:$J,2,1)-VLOOKUP($AO154,'Технический лист'!$I:$J,2,1)),1+(1-$AU154))</f>
        <v>1.05</v>
      </c>
      <c r="CQ154" s="15">
        <f>MIN(IF($AU154=100%,1,1+VLOOKUP(($AJ154-$AI154-$AH154-$AG154-$AF154-$AE154*(1+CQ$3))/$AJ154,'Технический лист'!$I:$J,2,1)-VLOOKUP($AO154,'Технический лист'!$I:$J,2,1)),1+(1-$AU154))</f>
        <v>1.05</v>
      </c>
      <c r="CR154" s="15">
        <f>MIN(IF($AU154=100%,1,1+VLOOKUP(($AJ154-$AI154-$AH154-$AG154-$AF154-$AE154*(1+CR$3))/$AJ154,'Технический лист'!$I:$J,2,1)-VLOOKUP($AO154,'Технический лист'!$I:$J,2,1)),1+(1-$AU154))</f>
        <v>1.05</v>
      </c>
      <c r="CS154" s="15">
        <f>MIN(IF($AU154=100%,1,1+VLOOKUP(($AJ154-$AI154-$AH154-$AG154-$AF154-$AE154*(1+CS$3))/$AJ154,'Технический лист'!$I:$J,2,1)-VLOOKUP($AO154,'Технический лист'!$I:$J,2,1)),1+(1-$AU154))</f>
        <v>1.05</v>
      </c>
      <c r="CT154" s="15">
        <f>MIN(IF($AU154=100%,1,1+VLOOKUP(($AJ154-$AI154-$AH154-$AG154-$AF154-$AE154*(1+CT$3))/$AJ154,'Технический лист'!$I:$J,2,1)-VLOOKUP($AO154,'Технический лист'!$I:$J,2,1)),1+(1-$AU154))</f>
        <v>1.05</v>
      </c>
      <c r="CU154" s="15">
        <f>MIN(IF($AU154=100%,1,1+VLOOKUP(($AJ154-$AI154-$AH154-$AG154-$AF154-$AE154*(1+CU$3))/$AJ154,'Технический лист'!$I:$J,2,1)-VLOOKUP($AO154,'Технический лист'!$I:$J,2,1)),1+(1-$AU154))</f>
        <v>1.05</v>
      </c>
      <c r="CV154" s="15">
        <f>MIN(IF($AU154=100%,1,1+VLOOKUP(($AJ154-$AI154-$AH154-$AG154-$AF154-$AE154*(1+CV$3))/$AJ154,'Технический лист'!$I:$J,2,1)-VLOOKUP($AO154,'Технический лист'!$I:$J,2,1)),1+(1-$AU154))</f>
        <v>1.05</v>
      </c>
      <c r="CW154" s="15">
        <f>MIN(IF($AU154=100%,1,1+VLOOKUP(($AJ154-$AI154-$AH154-$AG154-$AF154-$AE154*(1+CW$3))/$AJ154,'Технический лист'!$I:$J,2,1)-VLOOKUP($AO154,'Технический лист'!$I:$J,2,1)),1+(1-$AU154))</f>
        <v>1.05</v>
      </c>
      <c r="CX154" s="15">
        <f>MIN(IF($AU154=100%,1,1+VLOOKUP(($AJ154-$AI154-$AH154-$AG154-$AF154-$AE154*(1+CX$3))/$AJ154,'Технический лист'!$I:$J,2,1)-VLOOKUP($AO154,'Технический лист'!$I:$J,2,1)),1+(1-$AU154))</f>
        <v>1.05</v>
      </c>
      <c r="CY154" s="15">
        <f>MIN(IF($AU154=100%,1,1+VLOOKUP(($AJ154-$AI154-$AH154-$AG154-$AF154-$AE154*(1+CY$3))/$AJ154,'Технический лист'!$I:$J,2,1)-VLOOKUP($AO154,'Технический лист'!$I:$J,2,1)),1+(1-$AU154))</f>
        <v>1.05</v>
      </c>
      <c r="CZ154" s="15">
        <f>MIN(IF($AU154=100%,1,1+VLOOKUP(($AJ154-$AI154-$AH154-$AG154-$AF154-$AE154*(1+CZ$3))/$AJ154,'Технический лист'!$I:$J,2,1)-VLOOKUP($AO154,'Технический лист'!$I:$J,2,1)),1+(1-$AU154))</f>
        <v>1.05</v>
      </c>
      <c r="DA154" s="15">
        <f>MIN(IF($AU154=100%,1,1+VLOOKUP(($AJ154-$AI154-$AH154-$AG154-$AF154-$AE154*(1+DA$3))/$AJ154,'Технический лист'!$I:$J,2,1)-VLOOKUP($AO154,'Технический лист'!$I:$J,2,1)),1+(1-$AU154))</f>
        <v>1.05</v>
      </c>
      <c r="DB154" s="15">
        <f>MIN(IF($AU154=100%,1,1+VLOOKUP(($AJ154-$AI154-$AH154-$AG154-$AF154-$AE154*(1+DB$3))/$AJ154,'Технический лист'!$I:$J,2,1)-VLOOKUP($AO154,'Технический лист'!$I:$J,2,1)),1+(1-$AU154))</f>
        <v>1.05</v>
      </c>
      <c r="DC154" s="15">
        <f>MIN(IF($AU154=100%,1,1+VLOOKUP(($AJ154-$AI154-$AH154-$AG154-$AF154-$AE154*(1+DC$3))/$AJ154,'Технический лист'!$I:$J,2,1)-VLOOKUP($AO154,'Технический лист'!$I:$J,2,1)),1+(1-$AU154))</f>
        <v>1.05</v>
      </c>
      <c r="DD154" s="15">
        <f>MIN(IF($AU154=100%,1,1+VLOOKUP(($AJ154-$AI154-$AH154-$AG154-$AF154-$AE154*(1+DD$3))/$AJ154,'Технический лист'!$I:$J,2,1)-VLOOKUP($AO154,'Технический лист'!$I:$J,2,1)),1+(1-$AU154))</f>
        <v>1.05</v>
      </c>
      <c r="DE154" s="15">
        <f>MIN(IF($AU154=100%,1,1+VLOOKUP(($AJ154-$AI154-$AH154-$AG154-$AF154-$AE154*(1+DE$3))/$AJ154,'Технический лист'!$I:$J,2,1)-VLOOKUP($AO154,'Технический лист'!$I:$J,2,1)),1+(1-$AU154))</f>
        <v>1.05</v>
      </c>
      <c r="DF154" s="15">
        <f>MIN(IF($AU154=100%,1,1+VLOOKUP(($AJ154-$AI154-$AH154-$AG154-$AF154-$AE154*(1+DF$3))/$AJ154,'Технический лист'!$I:$J,2,1)-VLOOKUP($AO154,'Технический лист'!$I:$J,2,1)),1+(1-$AU154))</f>
        <v>1.05</v>
      </c>
      <c r="DG154" s="15">
        <f>MIN(IF($AU154=100%,1,1+VLOOKUP(($AJ154-$AI154-$AH154-$AG154-$AF154-$AE154*(1+DG$3))/$AJ154,'Технический лист'!$I:$J,2,1)-VLOOKUP($AO154,'Технический лист'!$I:$J,2,1)),1+(1-$AU154))</f>
        <v>1.05</v>
      </c>
      <c r="DH154" s="15">
        <f>MIN(IF($AU154=100%,1,1+VLOOKUP(($AJ154-$AI154-$AH154-$AG154-$AF154-$AE154*(1+DH$3))/$AJ154,'Технический лист'!$I:$J,2,1)-VLOOKUP($AO154,'Технический лист'!$I:$J,2,1)),1+(1-$AU154))</f>
        <v>1.05</v>
      </c>
      <c r="DI154" s="15">
        <f>MIN(IF($AU154=100%,1,1+VLOOKUP(($AJ154-$AI154-$AH154-$AG154-$AF154-$AE154*(1+DI$3))/$AJ154,'Технический лист'!$I:$J,2,1)-VLOOKUP($AO154,'Технический лист'!$I:$J,2,1)),1+(1-$AU154))</f>
        <v>1.05</v>
      </c>
      <c r="DJ154" s="15">
        <f>MIN(IF($AU154=100%,1,1+VLOOKUP(($AJ154-$AI154-$AH154-$AG154-$AF154-$AE154*(1+DJ$3))/$AJ154,'Технический лист'!$I:$J,2,1)-VLOOKUP($AO154,'Технический лист'!$I:$J,2,1)),1+(1-$AU154))</f>
        <v>1.05</v>
      </c>
      <c r="DK154" s="15">
        <f>MIN(IF($AU154=100%,1,1+VLOOKUP(($AJ154-$AI154-$AH154-$AG154-$AF154-$AE154*(1+DK$3))/$AJ154,'Технический лист'!$I:$J,2,1)-VLOOKUP($AO154,'Технический лист'!$I:$J,2,1)),1+(1-$AU154))</f>
        <v>1.05</v>
      </c>
      <c r="DL154" s="15">
        <f>MIN(IF($AU154=100%,1,1+VLOOKUP(($AJ154-$AI154-$AH154-$AG154-$AF154-$AE154*(1+DL$3))/$AJ154,'Технический лист'!$I:$J,2,1)-VLOOKUP($AO154,'Технический лист'!$I:$J,2,1)),1+(1-$AU154))</f>
        <v>1.05</v>
      </c>
      <c r="DM154" s="15">
        <f>MIN(IF($AU154=100%,1,1+VLOOKUP(($AJ154-$AI154-$AH154-$AG154-$AF154-$AE154*(1+DM$3))/$AJ154,'Технический лист'!$I:$J,2,1)-VLOOKUP($AO154,'Технический лист'!$I:$J,2,1)),1+(1-$AU154))</f>
        <v>1.05</v>
      </c>
      <c r="DN154" s="15">
        <f>MIN(IF($AU154=100%,1,1+VLOOKUP(($AJ154-$AI154-$AH154-$AG154-$AF154-$AE154*(1+DN$3))/$AJ154,'Технический лист'!$I:$J,2,1)-VLOOKUP($AO154,'Технический лист'!$I:$J,2,1)),1+(1-$AU154))</f>
        <v>1.05</v>
      </c>
      <c r="DO154" s="15">
        <f>MIN(IF($AU154=100%,1,1+VLOOKUP(($AJ154-$AI154-$AH154-$AG154-$AF154-$AE154*(1+DO$3))/$AJ154,'Технический лист'!$I:$J,2,1)-VLOOKUP($AO154,'Технический лист'!$I:$J,2,1)),1+(1-$AU154))</f>
        <v>1.05</v>
      </c>
      <c r="DP154" s="15">
        <f>MIN(IF($AU154=100%,1,1+VLOOKUP(($AJ154-$AI154-$AH154-$AG154-$AF154-$AE154*(1+DP$3))/$AJ154,'Технический лист'!$I:$J,2,1)-VLOOKUP($AO154,'Технический лист'!$I:$J,2,1)),1+(1-$AU154))</f>
        <v>1.05</v>
      </c>
      <c r="DQ154" s="15">
        <f>MIN(IF($AU154=100%,1,1+VLOOKUP(($AJ154-$AI154-$AH154-$AG154-$AF154-$AE154*(1+DQ$3))/$AJ154,'Технический лист'!$I:$J,2,1)-VLOOKUP($AO154,'Технический лист'!$I:$J,2,1)),1+(1-$AU154))</f>
        <v>1.05</v>
      </c>
      <c r="DR154" s="15">
        <f>MIN(IF($AU154=100%,1,1+VLOOKUP(($AJ154-$AI154-$AH154-$AG154-$AF154-$AE154*(1+DR$3))/$AJ154,'Технический лист'!$I:$J,2,1)-VLOOKUP($AO154,'Технический лист'!$I:$J,2,1)),1+(1-$AU154))</f>
        <v>1.05</v>
      </c>
      <c r="DS154" s="15">
        <f>MIN(IF($AU154=100%,1,1+VLOOKUP(($AJ154-$AI154-$AH154-$AG154-$AF154-$AE154*(1+DS$3))/$AJ154,'Технический лист'!$I:$J,2,1)-VLOOKUP($AO154,'Технический лист'!$I:$J,2,1)),1+(1-$AU154))</f>
        <v>1.05</v>
      </c>
      <c r="DT154" s="15">
        <f>MIN(IF($AU154=100%,1,1+VLOOKUP(($AJ154-$AI154-$AH154-$AG154-$AF154-$AE154*(1+DT$3))/$AJ154,'Технический лист'!$I:$J,2,1)-VLOOKUP($AO154,'Технический лист'!$I:$J,2,1)),1+(1-$AU154))</f>
        <v>1.05</v>
      </c>
      <c r="DU154" s="15">
        <f>MIN(IF($AU154=100%,1,1+VLOOKUP(($AJ154-$AI154-$AH154-$AG154-$AF154-$AE154*(1+DU$3))/$AJ154,'Технический лист'!$I:$J,2,1)-VLOOKUP($AO154,'Технический лист'!$I:$J,2,1)),1+(1-$AU154))</f>
        <v>1.05</v>
      </c>
      <c r="DV154" s="15">
        <f>MIN(IF($AU154=100%,1,1+VLOOKUP(($AJ154-$AI154-$AH154-$AG154-$AF154-$AE154*(1+DV$3))/$AJ154,'Технический лист'!$I:$J,2,1)-VLOOKUP($AO154,'Технический лист'!$I:$J,2,1)),1+(1-$AU154))</f>
        <v>1.05</v>
      </c>
      <c r="DW154" s="15">
        <f>MIN(IF($AU154=100%,1,1+VLOOKUP(($AJ154-$AI154-$AH154-$AG154-$AF154-$AE154*(1+DW$3))/$AJ154,'Технический лист'!$I:$J,2,1)-VLOOKUP($AO154,'Технический лист'!$I:$J,2,1)),1+(1-$AU154))</f>
        <v>1.05</v>
      </c>
      <c r="DX154" s="15">
        <f>MIN(IF($AU154=100%,1,1+VLOOKUP(($AJ154-$AI154-$AH154-$AG154-$AF154-$AE154*(1+DX$3))/$AJ154,'Технический лист'!$I:$J,2,1)-VLOOKUP($AO154,'Технический лист'!$I:$J,2,1)),1+(1-$AU154))</f>
        <v>1.05</v>
      </c>
      <c r="DY154" s="15">
        <f>MIN(IF($AU154=100%,1,1+VLOOKUP(($AJ154-$AI154-$AH154-$AG154-$AF154-$AE154*(1+DY$3))/$AJ154,'Технический лист'!$I:$J,2,1)-VLOOKUP($AO154,'Технический лист'!$I:$J,2,1)),1+(1-$AU154))</f>
        <v>1.05</v>
      </c>
      <c r="DZ154" s="15">
        <f>MIN(IF($AU154=100%,1,1+VLOOKUP(($AJ154-$AI154-$AH154-$AG154-$AF154-$AE154*(1+DZ$3))/$AJ154,'Технический лист'!$I:$J,2,1)-VLOOKUP($AO154,'Технический лист'!$I:$J,2,1)),1+(1-$AU154))</f>
        <v>1.05</v>
      </c>
      <c r="EA154" s="15">
        <f>MIN(IF($AU154=100%,1,1+VLOOKUP(($AJ154-$AI154-$AH154-$AG154-$AF154-$AE154*(1+EA$3))/$AJ154,'Технический лист'!$I:$J,2,1)-VLOOKUP($AO154,'Технический лист'!$I:$J,2,1)),1+(1-$AU154))</f>
        <v>1.05</v>
      </c>
      <c r="EB154" s="15">
        <f>MIN(IF($AU154=100%,1,1+VLOOKUP(($AJ154-$AI154-$AH154-$AG154-$AF154-$AE154*(1+EB$3))/$AJ154,'Технический лист'!$I:$J,2,1)-VLOOKUP($AO154,'Технический лист'!$I:$J,2,1)),1+(1-$AU154))</f>
        <v>1.05</v>
      </c>
      <c r="EC154" s="15">
        <f>MIN(IF($AU154=100%,1,1+VLOOKUP(($AJ154-$AI154-$AH154-$AG154-$AF154-$AE154*(1+EC$3))/$AJ154,'Технический лист'!$I:$J,2,1)-VLOOKUP($AO154,'Технический лист'!$I:$J,2,1)),1+(1-$AU154))</f>
        <v>1.05</v>
      </c>
      <c r="ED154" s="15">
        <f>MIN(IF($AU154=100%,1,1+VLOOKUP(($AJ154-$AI154-$AH154-$AG154-$AF154-$AE154*(1+ED$3))/$AJ154,'Технический лист'!$I:$J,2,1)-VLOOKUP($AO154,'Технический лист'!$I:$J,2,1)),1+(1-$AU154))</f>
        <v>1.05</v>
      </c>
      <c r="EE154" s="15">
        <f>MIN(IF($AU154=100%,1,1+VLOOKUP(($AJ154-$AI154-$AH154-$AG154-$AF154-$AE154*(1+EE$3))/$AJ154,'Технический лист'!$I:$J,2,1)-VLOOKUP($AO154,'Технический лист'!$I:$J,2,1)),1+(1-$AU154))</f>
        <v>1.05</v>
      </c>
      <c r="EF154" s="15">
        <f>MIN(IF($AU154=100%,1,1+VLOOKUP(($AJ154-$AI154-$AH154-$AG154-$AF154-$AE154*(1+EF$3))/$AJ154,'Технический лист'!$I:$J,2,1)-VLOOKUP($AO154,'Технический лист'!$I:$J,2,1)),1+(1-$AU154))</f>
        <v>1.05</v>
      </c>
      <c r="EG154" s="15">
        <f>MIN(IF($AU154=100%,1,1+VLOOKUP(($AJ154-$AI154-$AH154-$AG154-$AF154-$AE154*(1+EG$3))/$AJ154,'Технический лист'!$I:$J,2,1)-VLOOKUP($AO154,'Технический лист'!$I:$J,2,1)),1+(1-$AU154))</f>
        <v>1.05</v>
      </c>
      <c r="EH154" s="15">
        <f>MIN(IF($AU154=100%,1,1+VLOOKUP(($AJ154-$AI154-$AH154-$AG154-$AF154-$AE154*(1+EH$3))/$AJ154,'Технический лист'!$I:$J,2,1)-VLOOKUP($AO154,'Технический лист'!$I:$J,2,1)),1+(1-$AU154))</f>
        <v>1.05</v>
      </c>
      <c r="EI154" s="15">
        <f>MIN(IF($AU154=100%,1,1+VLOOKUP(($AJ154-$AI154-$AH154-$AG154-$AF154-$AE154*(1+EI$3))/$AJ154,'Технический лист'!$I:$J,2,1)-VLOOKUP($AO154,'Технический лист'!$I:$J,2,1)),1+(1-$AU154))</f>
        <v>1.05</v>
      </c>
      <c r="EJ154" s="15">
        <f>MIN(IF($AU154=100%,1,1+VLOOKUP(($AJ154-$AI154-$AH154-$AG154-$AF154-$AE154*(1+EJ$3))/$AJ154,'Технический лист'!$I:$J,2,1)-VLOOKUP($AO154,'Технический лист'!$I:$J,2,1)),1+(1-$AU154))</f>
        <v>1.05</v>
      </c>
      <c r="EK154" s="15">
        <f>MIN(IF($AU154=100%,1,1+VLOOKUP(($AJ154-$AI154-$AH154-$AG154-$AF154-$AE154*(1+EK$3))/$AJ154,'Технический лист'!$I:$J,2,1)-VLOOKUP($AO154,'Технический лист'!$I:$J,2,1)),1+(1-$AU154))</f>
        <v>1.05</v>
      </c>
      <c r="EL154" s="15">
        <f>MIN(IF($AU154=100%,1,1+VLOOKUP(($AJ154-$AI154-$AH154-$AG154-$AF154-$AE154*(1+EL$3))/$AJ154,'Технический лист'!$I:$J,2,1)-VLOOKUP($AO154,'Технический лист'!$I:$J,2,1)),1+(1-$AU154))</f>
        <v>1.05</v>
      </c>
      <c r="EM154" s="15">
        <f>MIN(IF($AU154=100%,1,1+VLOOKUP(($AJ154-$AI154-$AH154-$AG154-$AF154-$AE154*(1+EM$3))/$AJ154,'Технический лист'!$I:$J,2,1)-VLOOKUP($AO154,'Технический лист'!$I:$J,2,1)),1+(1-$AU154))</f>
        <v>1.04</v>
      </c>
      <c r="EN154" s="15">
        <f>MIN(IF($AU154=100%,1,1+VLOOKUP(($AJ154-$AI154-$AH154-$AG154-$AF154-$AE154*(1+EN$3))/$AJ154,'Технический лист'!$I:$J,2,1)-VLOOKUP($AO154,'Технический лист'!$I:$J,2,1)),1+(1-$AU154))</f>
        <v>1.04</v>
      </c>
      <c r="EO154" s="15">
        <f>MIN(IF($AU154=100%,1,1+VLOOKUP(($AJ154-$AI154-$AH154-$AG154-$AF154-$AE154*(1+EO$3))/$AJ154,'Технический лист'!$I:$J,2,1)-VLOOKUP($AO154,'Технический лист'!$I:$J,2,1)),1+(1-$AU154))</f>
        <v>1.04</v>
      </c>
      <c r="EP154" s="15">
        <f>MIN(IF($AU154=100%,1,1+VLOOKUP(($AJ154-$AI154-$AH154-$AG154-$AF154-$AE154*(1+EP$3))/$AJ154,'Технический лист'!$I:$J,2,1)-VLOOKUP($AO154,'Технический лист'!$I:$J,2,1)),1+(1-$AU154))</f>
        <v>1.04</v>
      </c>
      <c r="EQ154" s="15">
        <f>MIN(IF($AU154=100%,1,1+VLOOKUP(($AJ154-$AI154-$AH154-$AG154-$AF154-$AE154*(1+EQ$3))/$AJ154,'Технический лист'!$I:$J,2,1)-VLOOKUP($AO154,'Технический лист'!$I:$J,2,1)),1+(1-$AU154))</f>
        <v>1.04</v>
      </c>
      <c r="ER154" s="15">
        <f>MIN(IF($AU154=100%,1,1+VLOOKUP(($AJ154-$AI154-$AH154-$AG154-$AF154-$AE154*(1+ER$3))/$AJ154,'Технический лист'!$I:$J,2,1)-VLOOKUP($AO154,'Технический лист'!$I:$J,2,1)),1+(1-$AU154))</f>
        <v>1.02</v>
      </c>
      <c r="ES154" s="15">
        <f>MIN(IF($AU154=100%,1,1+VLOOKUP(($AJ154-$AI154-$AH154-$AG154-$AF154-$AE154*(1+ES$3))/$AJ154,'Технический лист'!$I:$J,2,1)-VLOOKUP($AO154,'Технический лист'!$I:$J,2,1)),1+(1-$AU154))</f>
        <v>1.02</v>
      </c>
      <c r="ET154" s="15">
        <f>MIN(IF($AU154=100%,1,1+VLOOKUP(($AJ154-$AI154-$AH154-$AG154-$AF154-$AE154*(1+ET$3))/$AJ154,'Технический лист'!$I:$J,2,1)-VLOOKUP($AO154,'Технический лист'!$I:$J,2,1)),1+(1-$AU154))</f>
        <v>1.02</v>
      </c>
      <c r="EU154" s="15">
        <f>MIN(IF($AU154=100%,1,1+VLOOKUP(($AJ154-$AI154-$AH154-$AG154-$AF154-$AE154*(1+EU$3))/$AJ154,'Технический лист'!$I:$J,2,1)-VLOOKUP($AO154,'Технический лист'!$I:$J,2,1)),1+(1-$AU154))</f>
        <v>1.02</v>
      </c>
      <c r="EV154" s="111">
        <v>1</v>
      </c>
      <c r="EW154" s="15">
        <f>MIN(1,MAX(VLOOKUP(($AJ154-$AI154-$AH154-$AG154-$AF154-$AE154*(1+EW$3))/$AJ154,'Технический лист'!$A:$B,2,1),(EV154-0.05)))</f>
        <v>1</v>
      </c>
      <c r="EX154" s="15">
        <f>MIN(1,MAX(VLOOKUP(($AJ154-$AI154-$AH154-$AG154-$AF154-$AE154*(1+EX$3))/$AJ154,'Технический лист'!$A:$B,2,1),(EW154-0.05)))</f>
        <v>1</v>
      </c>
      <c r="EY154" s="15">
        <f>MIN(1,MAX(VLOOKUP(($AJ154-$AI154-$AH154-$AG154-$AF154-$AE154*(1+EY$3))/$AJ154,'Технический лист'!$A:$B,2,1),(EX154-0.05)))</f>
        <v>1</v>
      </c>
      <c r="EZ154" s="15">
        <f>MIN(1,MAX(VLOOKUP(($AJ154-$AI154-$AH154-$AG154-$AF154-$AE154*(1+EZ$3))/$AJ154,'Технический лист'!$A:$B,2,1),(EY154-0.05)))</f>
        <v>1</v>
      </c>
      <c r="FA154" s="15">
        <f>MIN(1,MAX(VLOOKUP(($AJ154-$AI154-$AH154-$AG154-$AF154-$AE154*(1+FA$3))/$AJ154,'Технический лист'!$A:$B,2,1),(EZ154-0.05)))</f>
        <v>1</v>
      </c>
      <c r="FB154" s="15">
        <f>MIN(1,MAX(VLOOKUP(($AJ154-$AI154-$AH154-$AG154-$AF154-$AE154*(1+FB$3))/$AJ154,'Технический лист'!$A:$B,2,1),(FA154-0.05)))</f>
        <v>1</v>
      </c>
      <c r="FC154" s="15">
        <f>MIN(1,MAX(VLOOKUP(($AJ154-$AI154-$AH154-$AG154-$AF154-$AE154*(1+FC$3))/$AJ154,'Технический лист'!$A:$B,2,1),(FB154-0.05)))</f>
        <v>1</v>
      </c>
      <c r="FD154" s="15">
        <f>MIN(1,MAX(VLOOKUP(($AJ154-$AI154-$AH154-$AG154-$AF154-$AE154*(1+FD$3))/$AJ154,'Технический лист'!$A:$B,2,1),(FC154-0.05)))</f>
        <v>1</v>
      </c>
      <c r="FE154" s="15">
        <f>MIN(1,MAX(VLOOKUP(($AJ154-$AI154-$AH154-$AG154-$AF154-$AE154*(1+FE$3))/$AJ154,'Технический лист'!$A:$B,2,1),(FD154-0.05)))</f>
        <v>1</v>
      </c>
      <c r="FF154" s="15">
        <f>MIN(1,MAX(VLOOKUP(($AJ154-$AI154-$AH154-$AG154-$AF154-$AE154*(1+FF$3))/$AJ154,'Технический лист'!$A:$B,2,1),(FE154-0.05)))</f>
        <v>1</v>
      </c>
      <c r="FG154" s="15">
        <f>MIN(1,MAX(VLOOKUP(($AJ154-$AI154-$AH154-$AG154-$AF154-$AE154*(1+FG$3))/$AJ154,'Технический лист'!$A:$B,2,1),(FF154-0.05)))</f>
        <v>1</v>
      </c>
      <c r="FH154" s="15">
        <f>MIN(1,MAX(VLOOKUP(($AJ154-$AI154-$AH154-$AG154-$AF154-$AE154*(1+FH$3))/$AJ154,'Технический лист'!$A:$B,2,1),(FG154-0.05)))</f>
        <v>1</v>
      </c>
      <c r="FI154" s="15">
        <f>MIN(1,MAX(VLOOKUP(($AJ154-$AI154-$AH154-$AG154-$AF154-$AE154*(1+FI$3))/$AJ154,'Технический лист'!$A:$B,2,1),(FH154-0.05)))</f>
        <v>1</v>
      </c>
      <c r="FJ154" s="15">
        <f>MIN(1,MAX(VLOOKUP(($AJ154-$AI154-$AH154-$AG154-$AF154-$AE154*(1+FJ$3))/$AJ154,'Технический лист'!$A:$B,2,1),(FI154-0.05)))</f>
        <v>1</v>
      </c>
      <c r="FK154" s="15">
        <f>MIN(1,MAX(VLOOKUP(($AJ154-$AI154-$AH154-$AG154-$AF154-$AE154*(1+FK$3))/$AJ154,'Технический лист'!$A:$B,2,1),(FJ154-0.05)))</f>
        <v>1</v>
      </c>
      <c r="FL154" s="15">
        <f>MIN(1,MAX(VLOOKUP(($AJ154-$AI154-$AH154-$AG154-$AF154-$AE154*(1+FL$3))/$AJ154,'Технический лист'!$A:$B,2,1),(FK154-0.05)))</f>
        <v>1</v>
      </c>
      <c r="FM154" s="15">
        <f>MIN(1,MAX(VLOOKUP(($AJ154-$AI154-$AH154-$AG154-$AF154-$AE154*(1+FM$3))/$AJ154,'Технический лист'!$A:$B,2,1),(FL154-0.05)))</f>
        <v>1</v>
      </c>
      <c r="FN154" s="15">
        <f>MIN(1,MAX(VLOOKUP(($AJ154-$AI154-$AH154-$AG154-$AF154-$AE154*(1+FN$3))/$AJ154,'Технический лист'!$A:$B,2,1),(FM154-0.05)))</f>
        <v>1</v>
      </c>
      <c r="FO154" s="15">
        <f>MIN(1,MAX(VLOOKUP(($AJ154-$AI154-$AH154-$AG154-$AF154-$AE154*(1+FO$3))/$AJ154,'Технический лист'!$A:$B,2,1),(FN154-0.05)))</f>
        <v>1</v>
      </c>
      <c r="FP154" s="15">
        <f>MIN(1,MAX(VLOOKUP(($AJ154-$AI154-$AH154-$AG154-$AF154-$AE154*(1+FP$3))/$AJ154,'Технический лист'!$A:$B,2,1),(FO154-0.05)))</f>
        <v>1</v>
      </c>
      <c r="FQ154" s="15">
        <f>MIN(1,MAX(VLOOKUP(($AJ154-$AI154-$AH154-$AG154-$AF154-$AE154*(1+FQ$3))/$AJ154,'Технический лист'!$A:$B,2,1),(FP154-0.05)))</f>
        <v>1</v>
      </c>
      <c r="FR154" s="15">
        <f>MIN(1,MAX(VLOOKUP(($AJ154-$AI154-$AH154-$AG154-$AF154-$AE154*(1+FR$3))/$AJ154,'Технический лист'!$A:$B,2,1),(FQ154-0.05)))</f>
        <v>1</v>
      </c>
      <c r="FS154" s="15">
        <f>MIN(1,MAX(VLOOKUP(($AJ154-$AI154-$AH154-$AG154-$AF154-$AE154*(1+FS$3))/$AJ154,'Технический лист'!$A:$B,2,1),(FR154-0.05)))</f>
        <v>1</v>
      </c>
      <c r="FT154" s="15">
        <f>MIN(1,MAX(VLOOKUP(($AJ154-$AI154-$AH154-$AG154-$AF154-$AE154*(1+FT$3))/$AJ154,'Технический лист'!$A:$B,2,1),(FS154-0.05)))</f>
        <v>1</v>
      </c>
      <c r="FU154" s="15">
        <f>MIN(1,MAX(VLOOKUP(($AJ154-$AI154-$AH154-$AG154-$AF154-$AE154*(1+FU$3))/$AJ154,'Технический лист'!$A:$B,2,1),(FT154-0.05)))</f>
        <v>1</v>
      </c>
      <c r="FV154" s="15">
        <f>MIN(1,MAX(VLOOKUP(($AJ154-$AI154-$AH154-$AG154-$AF154-$AE154*(1+FV$3))/$AJ154,'Технический лист'!$A:$B,2,1),(FU154-0.05)))</f>
        <v>1</v>
      </c>
      <c r="FW154" s="15">
        <f>MIN(1,MAX(VLOOKUP(($AJ154-$AI154-$AH154-$AG154-$AF154-$AE154*(1+FW$3))/$AJ154,'Технический лист'!$A:$B,2,1),(FV154-0.05)))</f>
        <v>1</v>
      </c>
      <c r="FX154" s="15">
        <f>MIN(1,MAX(VLOOKUP(($AJ154-$AI154-$AH154-$AG154-$AF154-$AE154*(1+FX$3))/$AJ154,'Технический лист'!$A:$B,2,1),(FW154-0.05)))</f>
        <v>1</v>
      </c>
      <c r="FY154" s="15">
        <f>MIN(1,MAX(VLOOKUP(($AJ154-$AI154-$AH154-$AG154-$AF154-$AE154*(1+FY$3))/$AJ154,'Технический лист'!$A:$B,2,1),(FX154-0.05)))</f>
        <v>1</v>
      </c>
      <c r="FZ154" s="15">
        <f>MIN(1,MAX(VLOOKUP(($AJ154-$AI154-$AH154-$AG154-$AF154-$AE154*(1+FZ$3))/$AJ154,'Технический лист'!$A:$B,2,1),(FY154-0.05)))</f>
        <v>1</v>
      </c>
      <c r="GA154" s="15">
        <f>MIN(1,MAX(VLOOKUP(($AJ154-$AI154-$AH154-$AG154-$AF154-$AE154*(1+GA$3))/$AJ154,'Технический лист'!$A:$B,2,1),(FZ154-0.05)))</f>
        <v>1</v>
      </c>
      <c r="GB154" s="15">
        <f>MIN(1,MAX(VLOOKUP(($AJ154-$AI154-$AH154-$AG154-$AF154-$AE154*(1+GB$3))/$AJ154,'Технический лист'!$A:$B,2,1),(GA154-0.05)))</f>
        <v>1</v>
      </c>
      <c r="GC154" s="15">
        <f>MIN(1,MAX(VLOOKUP(($AJ154-$AI154-$AH154-$AG154-$AF154-$AE154*(1+GC$3))/$AJ154,'Технический лист'!$A:$B,2,1),(GB154-0.05)))</f>
        <v>1</v>
      </c>
      <c r="GD154" s="15">
        <f>MIN(1,MAX(VLOOKUP(($AJ154-$AI154-$AH154-$AG154-$AF154-$AE154*(1+GD$3))/$AJ154,'Технический лист'!$A:$B,2,1),(GC154-0.05)))</f>
        <v>1</v>
      </c>
      <c r="GE154" s="15">
        <f>MIN(1,MAX(VLOOKUP(($AJ154-$AI154-$AH154-$AG154-$AF154-$AE154*(1+GE$3))/$AJ154,'Технический лист'!$A:$B,2,1),(GD154-0.05)))</f>
        <v>1</v>
      </c>
      <c r="GF154" s="15">
        <f>MIN(1,MAX(VLOOKUP(($AJ154-$AI154-$AH154-$AG154-$AF154-$AE154*(1+GF$3))/$AJ154,'Технический лист'!$A:$B,2,1),(GE154-0.05)))</f>
        <v>1</v>
      </c>
      <c r="GG154" s="15">
        <f>MIN(1,MAX(VLOOKUP(($AJ154-$AI154-$AH154-$AG154-$AF154-$AE154*(1+GG$3))/$AJ154,'Технический лист'!$A:$B,2,1),(GF154-0.05)))</f>
        <v>1</v>
      </c>
      <c r="GH154" s="15">
        <f>MIN(1,MAX(VLOOKUP(($AJ154-$AI154-$AH154-$AG154-$AF154-$AE154*(1+GH$3))/$AJ154,'Технический лист'!$A:$B,2,1),(GG154-0.05)))</f>
        <v>1</v>
      </c>
      <c r="GI154" s="15">
        <f>MIN(1,MAX(VLOOKUP(($AJ154-$AI154-$AH154-$AG154-$AF154-$AE154*(1+GI$3))/$AJ154,'Технический лист'!$A:$B,2,1),(GH154-0.05)))</f>
        <v>1</v>
      </c>
      <c r="GJ154" s="15">
        <f>MIN(1,MAX(VLOOKUP(($AJ154-$AI154-$AH154-$AG154-$AF154-$AE154*(1+GJ$3))/$AJ154,'Технический лист'!$A:$B,2,1),(GI154-0.05)))</f>
        <v>1</v>
      </c>
      <c r="GK154" s="15">
        <f>MIN(1,MAX(VLOOKUP(($AJ154-$AI154-$AH154-$AG154-$AF154-$AE154*(1+GK$3))/$AJ154,'Технический лист'!$A:$B,2,1),(GJ154-0.05)))</f>
        <v>1</v>
      </c>
      <c r="GL154" s="15">
        <f>MIN(1,MAX(VLOOKUP(($AJ154-$AI154-$AH154-$AG154-$AF154-$AE154*(1+GL$3))/$AJ154,'Технический лист'!$A:$B,2,1),(GK154-0.05)))</f>
        <v>1</v>
      </c>
      <c r="GM154" s="15">
        <f>MIN(1,MAX(VLOOKUP(($AJ154-$AI154-$AH154-$AG154-$AF154-$AE154*(1+GM$3))/$AJ154,'Технический лист'!$A:$B,2,1),(GL154-0.05)))</f>
        <v>1</v>
      </c>
      <c r="GN154" s="15">
        <f>MIN(1,MAX(VLOOKUP(($AJ154-$AI154-$AH154-$AG154-$AF154-$AE154*(1+GN$3))/$AJ154,'Технический лист'!$A:$B,2,1),(GM154-0.05)))</f>
        <v>1</v>
      </c>
      <c r="GO154" s="15">
        <f>MIN(1,MAX(VLOOKUP(($AJ154-$AI154-$AH154-$AG154-$AF154-$AE154*(1+GO$3))/$AJ154,'Технический лист'!$A:$B,2,1),(GN154-0.05)))</f>
        <v>1</v>
      </c>
      <c r="GP154" s="15">
        <f>MIN(1,MAX(VLOOKUP(($AJ154-$AI154-$AH154-$AG154-$AF154-$AE154*(1+GP$3))/$AJ154,'Технический лист'!$A:$B,2,1),(GO154-0.05)))</f>
        <v>1</v>
      </c>
      <c r="GQ154" s="15">
        <f>MIN(1,MAX(VLOOKUP(($AJ154-$AI154-$AH154-$AG154-$AF154-$AE154*(1+GQ$3))/$AJ154,'Технический лист'!$A:$B,2,1),(GP154-0.05)))</f>
        <v>1</v>
      </c>
      <c r="GR154" s="15">
        <f>MIN(1,MAX(VLOOKUP(($AJ154-$AI154-$AH154-$AG154-$AF154-$AE154*(1+GR$3))/$AJ154,'Технический лист'!$A:$B,2,1),(GQ154-0.05)))</f>
        <v>1</v>
      </c>
      <c r="GS154" s="15">
        <f>MIN(1,MAX(VLOOKUP(($AJ154-$AI154-$AH154-$AG154-$AF154-$AE154*(1+GS$3))/$AJ154,'Технический лист'!$A:$B,2,1),(GR154-0.05)))</f>
        <v>1</v>
      </c>
      <c r="GT154" s="15">
        <f>MIN(1,MAX(VLOOKUP(($AJ154-$AI154-$AH154-$AG154-$AF154-$AE154*(1+GT$3))/$AJ154,'Технический лист'!$A:$B,2,1),(GS154-0.05)))</f>
        <v>1</v>
      </c>
      <c r="GU154" s="15">
        <f>MIN(1,MAX(VLOOKUP(($AJ154-$AI154-$AH154-$AG154-$AF154-$AE154*(1+GU$3))/$AJ154,'Технический лист'!$A:$B,2,1),(GT154-0.05)))</f>
        <v>1</v>
      </c>
      <c r="GV154" s="15">
        <f>MIN(1,MAX(VLOOKUP(($AJ154-$AI154-$AH154-$AG154-$AF154-$AE154*(1+GV$3))/$AJ154,'Технический лист'!$A:$B,2,1),(GU154-0.05)))</f>
        <v>1</v>
      </c>
      <c r="GW154" s="15">
        <f>MIN(1,MAX(VLOOKUP(($AJ154-$AI154-$AH154-$AG154-$AF154-$AE154*(1+GW$3))/$AJ154,'Технический лист'!$A:$B,2,1),(GV154-0.05)))</f>
        <v>1</v>
      </c>
      <c r="GX154" s="15">
        <f>MIN(1,MAX(VLOOKUP(($AJ154-$AI154-$AH154-$AG154-$AF154-$AE154*(1+GX$3))/$AJ154,'Технический лист'!$A:$B,2,1),(GW154-0.05)))</f>
        <v>1</v>
      </c>
      <c r="GY154" s="15">
        <f>MIN(1,MAX(VLOOKUP(($AJ154-$AI154-$AH154-$AG154-$AF154-$AE154*(1+GY$3))/$AJ154,'Технический лист'!$A:$B,2,1),(GX154-0.05)))</f>
        <v>1</v>
      </c>
      <c r="GZ154" s="15">
        <f>MIN(1,MAX(VLOOKUP(($AJ154-$AI154-$AH154-$AG154-$AF154-$AE154*(1+GZ$3))/$AJ154,'Технический лист'!$A:$B,2,1),(GY154-0.05)))</f>
        <v>0.995</v>
      </c>
      <c r="HA154" s="15">
        <f>MIN(1,MAX(VLOOKUP(($AJ154-$AI154-$AH154-$AG154-$AF154-$AE154*(1+HA$3))/$AJ154,'Технический лист'!$A:$B,2,1),(GZ154-0.05)))</f>
        <v>0.995</v>
      </c>
      <c r="HB154" s="15">
        <f>MIN(1,MAX(VLOOKUP(($AJ154-$AI154-$AH154-$AG154-$AF154-$AE154*(1+HB$3))/$AJ154,'Технический лист'!$A:$B,2,1),(HA154-0.05)))</f>
        <v>0.995</v>
      </c>
      <c r="HC154" s="15">
        <f>MIN(1,MAX(VLOOKUP(($AJ154-$AI154-$AH154-$AG154-$AF154-$AE154*(1+HC$3))/$AJ154,'Технический лист'!$A:$B,2,1),(HB154-0.05)))</f>
        <v>0.995</v>
      </c>
      <c r="HD154" s="15">
        <f>MIN(1,MAX(VLOOKUP(($AJ154-$AI154-$AH154-$AG154-$AF154-$AE154*(1+HD$3))/$AJ154,'Технический лист'!$A:$B,2,1),(HC154-0.05)))</f>
        <v>0.995</v>
      </c>
      <c r="HE154" s="15">
        <f>MIN(1,MAX(VLOOKUP(($AJ154-$AI154-$AH154-$AG154-$AF154-$AE154*(1+HE$3))/$AJ154,'Технический лист'!$A:$B,2,1),(HD154-0.05)))</f>
        <v>0.995</v>
      </c>
      <c r="HF154" s="15">
        <f>MIN(1,MAX(VLOOKUP(($AJ154-$AI154-$AH154-$AG154-$AF154-$AE154*(1+HF$3))/$AJ154,'Технический лист'!$A:$B,2,1),(HE154-0.05)))</f>
        <v>0.995</v>
      </c>
      <c r="HG154" s="15">
        <f>MIN(1,MAX(VLOOKUP(($AJ154-$AI154-$AH154-$AG154-$AF154-$AE154*(1+HG$3))/$AJ154,'Технический лист'!$A:$B,2,1),(HF154-0.05)))</f>
        <v>0.995</v>
      </c>
      <c r="HH154" s="15">
        <f>MIN(1,MAX(VLOOKUP(($AJ154-$AI154-$AH154-$AG154-$AF154-$AE154*(1+HH$3))/$AJ154,'Технический лист'!$A:$B,2,1),(HG154-0.05)))</f>
        <v>0.995</v>
      </c>
      <c r="HI154" s="15">
        <f>MIN(1,MAX(VLOOKUP(($AJ154-$AI154-$AH154-$AG154-$AF154-$AE154*(1+HI$3))/$AJ154,'Технический лист'!$A:$B,2,1),(HH154-0.05)))</f>
        <v>0.99</v>
      </c>
      <c r="HJ154" s="15">
        <f>MIN(1,MAX(VLOOKUP(($AJ154-$AI154-$AH154-$AG154-$AF154-$AE154*(1+HJ$3))/$AJ154,'Технический лист'!$A:$B,2,1),(HI154-0.05)))</f>
        <v>0.99</v>
      </c>
      <c r="HK154" s="15">
        <f>MIN(1,MAX(VLOOKUP(($AJ154-$AI154-$AH154-$AG154-$AF154-$AE154*(1+HK$3))/$AJ154,'Технический лист'!$A:$B,2,1),(HJ154-0.05)))</f>
        <v>0.99</v>
      </c>
      <c r="HL154" s="15">
        <f>MIN(1,MAX(VLOOKUP(($AJ154-$AI154-$AH154-$AG154-$AF154-$AE154*(1+HL$3))/$AJ154,'Технический лист'!$A:$B,2,1),(HK154-0.05)))</f>
        <v>0.99</v>
      </c>
      <c r="HM154" s="15">
        <f>MIN(1,MAX(VLOOKUP(($AJ154-$AI154-$AH154-$AG154-$AF154-$AE154*(1+HM$3))/$AJ154,'Технический лист'!$A:$B,2,1),(HL154-0.05)))</f>
        <v>0.99</v>
      </c>
      <c r="HN154" s="15">
        <f>MIN(1,MAX(VLOOKUP(($AJ154-$AI154-$AH154-$AG154-$AF154-$AE154*(1+HN$3))/$AJ154,'Технический лист'!$A:$B,2,1),(HM154-0.05)))</f>
        <v>0.99</v>
      </c>
      <c r="HO154" s="15">
        <f>MIN(1,MAX(VLOOKUP(($AJ154-$AI154-$AH154-$AG154-$AF154-$AE154*(1+HO$3))/$AJ154,'Технический лист'!$A:$B,2,1),(HN154-0.05)))</f>
        <v>0.99</v>
      </c>
      <c r="HP154" s="15">
        <f>MIN(1,MAX(VLOOKUP(($AJ154-$AI154-$AH154-$AG154-$AF154-$AE154*(1+HP$3))/$AJ154,'Технический лист'!$A:$B,2,1),(HO154-0.05)))</f>
        <v>0.99</v>
      </c>
      <c r="HQ154" s="15">
        <f>MIN(1,MAX(VLOOKUP(($AJ154-$AI154-$AH154-$AG154-$AF154-$AE154*(1+HQ$3))/$AJ154,'Технический лист'!$A:$B,2,1),(HP154-0.05)))</f>
        <v>0.98499999999999999</v>
      </c>
      <c r="HR154" s="15">
        <f>MIN(1,MAX(VLOOKUP(($AJ154-$AI154-$AH154-$AG154-$AF154-$AE154*(1+HR$3))/$AJ154,'Технический лист'!$A:$B,2,1),(HQ154-0.05)))</f>
        <v>0.98499999999999999</v>
      </c>
      <c r="HS154" s="15">
        <f>MIN(1,MAX(VLOOKUP(($AJ154-$AI154-$AH154-$AG154-$AF154-$AE154*(1+HS$3))/$AJ154,'Технический лист'!$A:$B,2,1),(HR154-0.05)))</f>
        <v>0.98499999999999999</v>
      </c>
      <c r="HT154" s="15">
        <f>MIN(1,MAX(VLOOKUP(($AJ154-$AI154-$AH154-$AG154-$AF154-$AE154*(1+HT$3))/$AJ154,'Технический лист'!$A:$B,2,1),(HS154-0.05)))</f>
        <v>0.98499999999999999</v>
      </c>
      <c r="HU154" s="15">
        <f>MIN(1,MAX(VLOOKUP(($AJ154-$AI154-$AH154-$AG154-$AF154-$AE154*(1+HU$3))/$AJ154,'Технический лист'!$A:$B,2,1),(HT154-0.05)))</f>
        <v>0.98499999999999999</v>
      </c>
      <c r="HV154" s="15">
        <f>MIN(1,MAX(VLOOKUP(($AJ154-$AI154-$AH154-$AG154-$AF154-$AE154*(1+HV$3))/$AJ154,'Технический лист'!$A:$B,2,1),(HU154-0.05)))</f>
        <v>0.98499999999999999</v>
      </c>
      <c r="HW154" s="15">
        <f>MIN(1,MAX(VLOOKUP(($AJ154-$AI154-$AH154-$AG154-$AF154-$AE154*(1+HW$3))/$AJ154,'Технический лист'!$A:$B,2,1),(HV154-0.05)))</f>
        <v>0.98499999999999999</v>
      </c>
      <c r="HX154" s="15">
        <f>MIN(1,MAX(VLOOKUP(($AJ154-$AI154-$AH154-$AG154-$AF154-$AE154*(1+HX$3))/$AJ154,'Технический лист'!$A:$B,2,1),(HW154-0.05)))</f>
        <v>0.98499999999999999</v>
      </c>
      <c r="HY154" s="15">
        <f>MIN(1,MAX(VLOOKUP(($AJ154-$AI154-$AH154-$AG154-$AF154-$AE154*(1+HY$3))/$AJ154,'Технический лист'!$A:$B,2,1),(HX154-0.05)))</f>
        <v>0.98499999999999999</v>
      </c>
      <c r="HZ154" s="15">
        <f>MIN(1,MAX(VLOOKUP(($AJ154-$AI154-$AH154-$AG154-$AF154-$AE154*(1+HZ$3))/$AJ154,'Технический лист'!$A:$B,2,1),(HY154-0.05)))</f>
        <v>0.98</v>
      </c>
      <c r="IA154" s="15">
        <f>MIN(1,MAX(VLOOKUP(($AJ154-$AI154-$AH154-$AG154-$AF154-$AE154*(1+IA$3))/$AJ154,'Технический лист'!$A:$B,2,1),(HZ154-0.05)))</f>
        <v>0.98</v>
      </c>
      <c r="IB154" s="15">
        <f>MIN(1,MAX(VLOOKUP(($AJ154-$AI154-$AH154-$AG154-$AF154-$AE154*(1+IB$3))/$AJ154,'Технический лист'!$A:$B,2,1),(IA154-0.05)))</f>
        <v>0.98</v>
      </c>
      <c r="IC154" s="15">
        <f>MIN(1,MAX(VLOOKUP(($AJ154-$AI154-$AH154-$AG154-$AF154-$AE154*(1+IC$3))/$AJ154,'Технический лист'!$A:$B,2,1),(IB154-0.05)))</f>
        <v>0.98</v>
      </c>
      <c r="ID154" s="15">
        <f>MIN(1,MAX(VLOOKUP(($AJ154-$AI154-$AH154-$AG154-$AF154-$AE154*(1+ID$3))/$AJ154,'Технический лист'!$A:$B,2,1),(IC154-0.05)))</f>
        <v>0.98</v>
      </c>
      <c r="IE154" s="15">
        <f>MIN(1,MAX(VLOOKUP(($AJ154-$AI154-$AH154-$AG154-$AF154-$AE154*(1+IE$3))/$AJ154,'Технический лист'!$A:$B,2,1),(ID154-0.05)))</f>
        <v>0.98</v>
      </c>
      <c r="IF154" s="15">
        <f>MIN(1,MAX(VLOOKUP(($AJ154-$AI154-$AH154-$AG154-$AF154-$AE154*(1+IF$3))/$AJ154,'Технический лист'!$A:$B,2,1),(IE154-0.05)))</f>
        <v>0.98</v>
      </c>
      <c r="IG154" s="15">
        <f>MIN(1,MAX(VLOOKUP(($AJ154-$AI154-$AH154-$AG154-$AF154-$AE154*(1+IG$3))/$AJ154,'Технический лист'!$A:$B,2,1),(IF154-0.05)))</f>
        <v>0.98</v>
      </c>
      <c r="IH154" s="15">
        <f>MIN(1,MAX(VLOOKUP(($AJ154-$AI154-$AH154-$AG154-$AF154-$AE154*(1+IH$3))/$AJ154,'Технический лист'!$A:$B,2,1),(IG154-0.05)))</f>
        <v>0.97499999999999998</v>
      </c>
      <c r="II154" s="15">
        <f>MIN(1,MAX(VLOOKUP(($AJ154-$AI154-$AH154-$AG154-$AF154-$AE154*(1+II$3))/$AJ154,'Технический лист'!$A:$B,2,1),(IH154-0.05)))</f>
        <v>0.97499999999999998</v>
      </c>
      <c r="IJ154" s="15">
        <f>MIN(1,MAX(VLOOKUP(($AJ154-$AI154-$AH154-$AG154-$AF154-$AE154*(1+IJ$3))/$AJ154,'Технический лист'!$A:$B,2,1),(II154-0.05)))</f>
        <v>0.97499999999999998</v>
      </c>
      <c r="IK154" s="15">
        <f>MIN(1,MAX(VLOOKUP(($AJ154-$AI154-$AH154-$AG154-$AF154-$AE154*(1+IK$3))/$AJ154,'Технический лист'!$A:$B,2,1),(IJ154-0.05)))</f>
        <v>0.97499999999999998</v>
      </c>
      <c r="IL154" s="15">
        <f>MIN(1,MAX(VLOOKUP(($AJ154-$AI154-$AH154-$AG154-$AF154-$AE154*(1+IL$3))/$AJ154,'Технический лист'!$A:$B,2,1),(IK154-0.05)))</f>
        <v>0.97499999999999998</v>
      </c>
      <c r="IM154" s="15">
        <f>MIN(1,MAX(VLOOKUP(($AJ154-$AI154-$AH154-$AG154-$AF154-$AE154*(1+IM$3))/$AJ154,'Технический лист'!$A:$B,2,1),(IL154-0.05)))</f>
        <v>0.97499999999999998</v>
      </c>
      <c r="IN154" s="15">
        <f>MIN(1,MAX(VLOOKUP(($AJ154-$AI154-$AH154-$AG154-$AF154-$AE154*(1+IN$3))/$AJ154,'Технический лист'!$A:$B,2,1),(IM154-0.05)))</f>
        <v>0.97499999999999998</v>
      </c>
      <c r="IO154" s="15">
        <f>MIN(1,MAX(VLOOKUP(($AJ154-$AI154-$AH154-$AG154-$AF154-$AE154*(1+IO$3))/$AJ154,'Технический лист'!$A:$B,2,1),(IN154-0.05)))</f>
        <v>0.97499999999999998</v>
      </c>
      <c r="IP154" s="15">
        <f>MIN(1,MAX(VLOOKUP(($AJ154-$AI154-$AH154-$AG154-$AF154-$AE154*(1+IP$3))/$AJ154,'Технический лист'!$A:$B,2,1),(IO154-0.05)))</f>
        <v>0.97499999999999998</v>
      </c>
      <c r="IQ154" s="15">
        <f>MIN(1,MAX(VLOOKUP(($AJ154-$AI154-$AH154-$AG154-$AF154-$AE154*(1+IQ$3))/$AJ154,'Технический лист'!$A:$B,2,1),(IP154-0.05)))</f>
        <v>0.97</v>
      </c>
      <c r="IR154" s="15">
        <f>MIN(1,MAX(VLOOKUP(($AJ154-$AI154-$AH154-$AG154-$AF154-$AE154*(1+IR$3))/$AJ154,'Технический лист'!$A:$B,2,1),(IQ154-0.05)))</f>
        <v>0.97</v>
      </c>
    </row>
    <row r="155" spans="1:252" ht="72.900000000000006">
      <c r="A155" s="89" t="s">
        <v>513</v>
      </c>
      <c r="B155" s="90">
        <v>10</v>
      </c>
      <c r="C155" s="5" t="s">
        <v>66</v>
      </c>
      <c r="D155" s="91">
        <v>33147</v>
      </c>
      <c r="E155" s="91" t="s">
        <v>334</v>
      </c>
      <c r="F155" s="92" t="s">
        <v>72</v>
      </c>
      <c r="G155" s="91" t="s">
        <v>20</v>
      </c>
      <c r="H155" s="91" t="s">
        <v>49</v>
      </c>
      <c r="I155" s="91" t="s">
        <v>136</v>
      </c>
      <c r="J155" s="91" t="s">
        <v>115</v>
      </c>
      <c r="K155" s="91">
        <v>2047</v>
      </c>
      <c r="L155" s="77" t="s">
        <v>189</v>
      </c>
      <c r="M155" s="91" t="s">
        <v>190</v>
      </c>
      <c r="N155" s="91" t="s">
        <v>48</v>
      </c>
      <c r="O155" s="91" t="s">
        <v>192</v>
      </c>
      <c r="P155" s="89" t="s">
        <v>228</v>
      </c>
      <c r="Q155" s="91" t="s">
        <v>303</v>
      </c>
      <c r="R155" s="91" t="s">
        <v>258</v>
      </c>
      <c r="S155" s="82">
        <v>13256</v>
      </c>
      <c r="T155" s="82">
        <v>27129393</v>
      </c>
      <c r="U155" s="81">
        <v>220</v>
      </c>
      <c r="V155" s="81">
        <v>440</v>
      </c>
      <c r="W155" s="82">
        <v>19031760</v>
      </c>
      <c r="X155" s="112">
        <v>60</v>
      </c>
      <c r="Y155" s="112" t="s">
        <v>48</v>
      </c>
      <c r="Z155" s="113">
        <v>10</v>
      </c>
      <c r="AA155" s="113">
        <v>0</v>
      </c>
      <c r="AB155" s="113">
        <v>4</v>
      </c>
      <c r="AC155" s="99">
        <f>120890/X155</f>
        <v>2014.8333333333333</v>
      </c>
      <c r="AD155" s="99">
        <v>0</v>
      </c>
      <c r="AE155" s="99">
        <f>AC155</f>
        <v>2014.8333333333333</v>
      </c>
      <c r="AF155" s="98">
        <f>(AB155+AA155+Z155)*'Ставки аренды'!$B$6/X155</f>
        <v>373.33333333333331</v>
      </c>
      <c r="AG155" s="94">
        <v>0</v>
      </c>
      <c r="AH155" s="94">
        <v>0</v>
      </c>
      <c r="AI155" s="116">
        <f t="shared" si="67"/>
        <v>356208.67308753543</v>
      </c>
      <c r="AJ155" s="117">
        <f>Цены!D32</f>
        <v>500000</v>
      </c>
      <c r="AK155" s="94">
        <f>AJ155/Цены!$B$1</f>
        <v>6552.6076101984791</v>
      </c>
      <c r="AL155" s="95">
        <f t="shared" si="54"/>
        <v>2388.1666666666665</v>
      </c>
      <c r="AM155" s="95">
        <f t="shared" si="55"/>
        <v>497611.83333333331</v>
      </c>
      <c r="AN155" s="94">
        <f t="shared" si="52"/>
        <v>358596.83975420205</v>
      </c>
      <c r="AO155" s="118">
        <f t="shared" si="53"/>
        <v>0.28280632049159588</v>
      </c>
      <c r="AP155" s="96">
        <f t="shared" si="56"/>
        <v>4.776333333333333E-3</v>
      </c>
      <c r="AQ155" s="96">
        <f t="shared" si="57"/>
        <v>4.0296666666666666E-3</v>
      </c>
      <c r="AR155" s="96">
        <f t="shared" si="58"/>
        <v>0.84367366878358574</v>
      </c>
      <c r="AS155" s="122">
        <v>1</v>
      </c>
      <c r="AT155" s="121">
        <f t="shared" si="45"/>
        <v>13256</v>
      </c>
      <c r="AU155" s="83">
        <v>0.95</v>
      </c>
      <c r="AV155" s="119">
        <f t="shared" si="41"/>
        <v>0.28232276049159583</v>
      </c>
      <c r="AW155" s="120">
        <f t="shared" si="42"/>
        <v>5.2598933333333348E-3</v>
      </c>
      <c r="AX155" s="120">
        <f t="shared" si="43"/>
        <v>4.5132266666666676E-3</v>
      </c>
      <c r="AY155" s="120">
        <f t="shared" si="44"/>
        <v>0.85804528355454612</v>
      </c>
      <c r="AZ155" s="15">
        <f>MIN(IF($AU155=100%,1,1+VLOOKUP(($AJ155-$AI155-$AH155-$AG155-$AF155-$AE155*(1+AZ$3))/$AJ155,'Технический лист'!$I:$J,2,1)-VLOOKUP($AO155,'Технический лист'!$I:$J,2,1)),1+(1-$AU155))</f>
        <v>1</v>
      </c>
      <c r="BA155" s="15">
        <f>MIN(IF($AU155=100%,1,1+VLOOKUP(($AJ155-$AI155-$AH155-$AG155-$AF155-$AE155*(1+BA$3))/$AJ155,'Технический лист'!$I:$J,2,1)-VLOOKUP($AO155,'Технический лист'!$I:$J,2,1)),1+(1-$AU155))</f>
        <v>1</v>
      </c>
      <c r="BB155" s="15">
        <f>MIN(IF($AU155=100%,1,1+VLOOKUP(($AJ155-$AI155-$AH155-$AG155-$AF155-$AE155*(1+BB$3))/$AJ155,'Технический лист'!$I:$J,2,1)-VLOOKUP($AO155,'Технический лист'!$I:$J,2,1)),1+(1-$AU155))</f>
        <v>1</v>
      </c>
      <c r="BC155" s="15">
        <f>MIN(IF($AU155=100%,1,1+VLOOKUP(($AJ155-$AI155-$AH155-$AG155-$AF155-$AE155*(1+BC$3))/$AJ155,'Технический лист'!$I:$J,2,1)-VLOOKUP($AO155,'Технический лист'!$I:$J,2,1)),1+(1-$AU155))</f>
        <v>1</v>
      </c>
      <c r="BD155" s="15">
        <f>MIN(IF($AU155=100%,1,1+VLOOKUP(($AJ155-$AI155-$AH155-$AG155-$AF155-$AE155*(1+BD$3))/$AJ155,'Технический лист'!$I:$J,2,1)-VLOOKUP($AO155,'Технический лист'!$I:$J,2,1)),1+(1-$AU155))</f>
        <v>1</v>
      </c>
      <c r="BE155" s="15">
        <f>MIN(IF($AU155=100%,1,1+VLOOKUP(($AJ155-$AI155-$AH155-$AG155-$AF155-$AE155*(1+BE$3))/$AJ155,'Технический лист'!$I:$J,2,1)-VLOOKUP($AO155,'Технический лист'!$I:$J,2,1)),1+(1-$AU155))</f>
        <v>1</v>
      </c>
      <c r="BF155" s="15">
        <f>MIN(IF($AU155=100%,1,1+VLOOKUP(($AJ155-$AI155-$AH155-$AG155-$AF155-$AE155*(1+BF$3))/$AJ155,'Технический лист'!$I:$J,2,1)-VLOOKUP($AO155,'Технический лист'!$I:$J,2,1)),1+(1-$AU155))</f>
        <v>1</v>
      </c>
      <c r="BG155" s="15">
        <f>MIN(IF($AU155=100%,1,1+VLOOKUP(($AJ155-$AI155-$AH155-$AG155-$AF155-$AE155*(1+BG$3))/$AJ155,'Технический лист'!$I:$J,2,1)-VLOOKUP($AO155,'Технический лист'!$I:$J,2,1)),1+(1-$AU155))</f>
        <v>1</v>
      </c>
      <c r="BH155" s="15">
        <f>MIN(IF($AU155=100%,1,1+VLOOKUP(($AJ155-$AI155-$AH155-$AG155-$AF155-$AE155*(1+BH$3))/$AJ155,'Технический лист'!$I:$J,2,1)-VLOOKUP($AO155,'Технический лист'!$I:$J,2,1)),1+(1-$AU155))</f>
        <v>1</v>
      </c>
      <c r="BI155" s="15">
        <f>MIN(IF($AU155=100%,1,1+VLOOKUP(($AJ155-$AI155-$AH155-$AG155-$AF155-$AE155*(1+BI$3))/$AJ155,'Технический лист'!$I:$J,2,1)-VLOOKUP($AO155,'Технический лист'!$I:$J,2,1)),1+(1-$AU155))</f>
        <v>1</v>
      </c>
      <c r="BJ155" s="15">
        <f>MIN(IF($AU155=100%,1,1+VLOOKUP(($AJ155-$AI155-$AH155-$AG155-$AF155-$AE155*(1+BJ$3))/$AJ155,'Технический лист'!$I:$J,2,1)-VLOOKUP($AO155,'Технический лист'!$I:$J,2,1)),1+(1-$AU155))</f>
        <v>1</v>
      </c>
      <c r="BK155" s="15">
        <f>MIN(IF($AU155=100%,1,1+VLOOKUP(($AJ155-$AI155-$AH155-$AG155-$AF155-$AE155*(1+BK$3))/$AJ155,'Технический лист'!$I:$J,2,1)-VLOOKUP($AO155,'Технический лист'!$I:$J,2,1)),1+(1-$AU155))</f>
        <v>1</v>
      </c>
      <c r="BL155" s="15">
        <f>MIN(IF($AU155=100%,1,1+VLOOKUP(($AJ155-$AI155-$AH155-$AG155-$AF155-$AE155*(1+BL$3))/$AJ155,'Технический лист'!$I:$J,2,1)-VLOOKUP($AO155,'Технический лист'!$I:$J,2,1)),1+(1-$AU155))</f>
        <v>1</v>
      </c>
      <c r="BM155" s="15">
        <f>MIN(IF($AU155=100%,1,1+VLOOKUP(($AJ155-$AI155-$AH155-$AG155-$AF155-$AE155*(1+BM$3))/$AJ155,'Технический лист'!$I:$J,2,1)-VLOOKUP($AO155,'Технический лист'!$I:$J,2,1)),1+(1-$AU155))</f>
        <v>1</v>
      </c>
      <c r="BN155" s="15">
        <f>MIN(IF($AU155=100%,1,1+VLOOKUP(($AJ155-$AI155-$AH155-$AG155-$AF155-$AE155*(1+BN$3))/$AJ155,'Технический лист'!$I:$J,2,1)-VLOOKUP($AO155,'Технический лист'!$I:$J,2,1)),1+(1-$AU155))</f>
        <v>1</v>
      </c>
      <c r="BO155" s="15">
        <f>MIN(IF($AU155=100%,1,1+VLOOKUP(($AJ155-$AI155-$AH155-$AG155-$AF155-$AE155*(1+BO$3))/$AJ155,'Технический лист'!$I:$J,2,1)-VLOOKUP($AO155,'Технический лист'!$I:$J,2,1)),1+(1-$AU155))</f>
        <v>1</v>
      </c>
      <c r="BP155" s="15">
        <f>MIN(IF($AU155=100%,1,1+VLOOKUP(($AJ155-$AI155-$AH155-$AG155-$AF155-$AE155*(1+BP$3))/$AJ155,'Технический лист'!$I:$J,2,1)-VLOOKUP($AO155,'Технический лист'!$I:$J,2,1)),1+(1-$AU155))</f>
        <v>1</v>
      </c>
      <c r="BQ155" s="15">
        <f>MIN(IF($AU155=100%,1,1+VLOOKUP(($AJ155-$AI155-$AH155-$AG155-$AF155-$AE155*(1+BQ$3))/$AJ155,'Технический лист'!$I:$J,2,1)-VLOOKUP($AO155,'Технический лист'!$I:$J,2,1)),1+(1-$AU155))</f>
        <v>1</v>
      </c>
      <c r="BR155" s="15">
        <f>MIN(IF($AU155=100%,1,1+VLOOKUP(($AJ155-$AI155-$AH155-$AG155-$AF155-$AE155*(1+BR$3))/$AJ155,'Технический лист'!$I:$J,2,1)-VLOOKUP($AO155,'Технический лист'!$I:$J,2,1)),1+(1-$AU155))</f>
        <v>1</v>
      </c>
      <c r="BS155" s="15">
        <f>MIN(IF($AU155=100%,1,1+VLOOKUP(($AJ155-$AI155-$AH155-$AG155-$AF155-$AE155*(1+BS$3))/$AJ155,'Технический лист'!$I:$J,2,1)-VLOOKUP($AO155,'Технический лист'!$I:$J,2,1)),1+(1-$AU155))</f>
        <v>1</v>
      </c>
      <c r="BT155" s="15">
        <f>MIN(IF($AU155=100%,1,1+VLOOKUP(($AJ155-$AI155-$AH155-$AG155-$AF155-$AE155*(1+BT$3))/$AJ155,'Технический лист'!$I:$J,2,1)-VLOOKUP($AO155,'Технический лист'!$I:$J,2,1)),1+(1-$AU155))</f>
        <v>1</v>
      </c>
      <c r="BU155" s="15">
        <f>MIN(IF($AU155=100%,1,1+VLOOKUP(($AJ155-$AI155-$AH155-$AG155-$AF155-$AE155*(1+BU$3))/$AJ155,'Технический лист'!$I:$J,2,1)-VLOOKUP($AO155,'Технический лист'!$I:$J,2,1)),1+(1-$AU155))</f>
        <v>1</v>
      </c>
      <c r="BV155" s="15">
        <f>MIN(IF($AU155=100%,1,1+VLOOKUP(($AJ155-$AI155-$AH155-$AG155-$AF155-$AE155*(1+BV$3))/$AJ155,'Технический лист'!$I:$J,2,1)-VLOOKUP($AO155,'Технический лист'!$I:$J,2,1)),1+(1-$AU155))</f>
        <v>1</v>
      </c>
      <c r="BW155" s="15">
        <f>MIN(IF($AU155=100%,1,1+VLOOKUP(($AJ155-$AI155-$AH155-$AG155-$AF155-$AE155*(1+BW$3))/$AJ155,'Технический лист'!$I:$J,2,1)-VLOOKUP($AO155,'Технический лист'!$I:$J,2,1)),1+(1-$AU155))</f>
        <v>1</v>
      </c>
      <c r="BX155" s="15">
        <f>MIN(IF($AU155=100%,1,1+VLOOKUP(($AJ155-$AI155-$AH155-$AG155-$AF155-$AE155*(1+BX$3))/$AJ155,'Технический лист'!$I:$J,2,1)-VLOOKUP($AO155,'Технический лист'!$I:$J,2,1)),1+(1-$AU155))</f>
        <v>1</v>
      </c>
      <c r="BY155" s="15">
        <f>MIN(IF($AU155=100%,1,1+VLOOKUP(($AJ155-$AI155-$AH155-$AG155-$AF155-$AE155*(1+BY$3))/$AJ155,'Технический лист'!$I:$J,2,1)-VLOOKUP($AO155,'Технический лист'!$I:$J,2,1)),1+(1-$AU155))</f>
        <v>1</v>
      </c>
      <c r="BZ155" s="15">
        <f>MIN(IF($AU155=100%,1,1+VLOOKUP(($AJ155-$AI155-$AH155-$AG155-$AF155-$AE155*(1+BZ$3))/$AJ155,'Технический лист'!$I:$J,2,1)-VLOOKUP($AO155,'Технический лист'!$I:$J,2,1)),1+(1-$AU155))</f>
        <v>1</v>
      </c>
      <c r="CA155" s="15">
        <f>MIN(IF($AU155=100%,1,1+VLOOKUP(($AJ155-$AI155-$AH155-$AG155-$AF155-$AE155*(1+CA$3))/$AJ155,'Технический лист'!$I:$J,2,1)-VLOOKUP($AO155,'Технический лист'!$I:$J,2,1)),1+(1-$AU155))</f>
        <v>1</v>
      </c>
      <c r="CB155" s="15">
        <f>MIN(IF($AU155=100%,1,1+VLOOKUP(($AJ155-$AI155-$AH155-$AG155-$AF155-$AE155*(1+CB$3))/$AJ155,'Технический лист'!$I:$J,2,1)-VLOOKUP($AO155,'Технический лист'!$I:$J,2,1)),1+(1-$AU155))</f>
        <v>1</v>
      </c>
      <c r="CC155" s="15">
        <f>MIN(IF($AU155=100%,1,1+VLOOKUP(($AJ155-$AI155-$AH155-$AG155-$AF155-$AE155*(1+CC$3))/$AJ155,'Технический лист'!$I:$J,2,1)-VLOOKUP($AO155,'Технический лист'!$I:$J,2,1)),1+(1-$AU155))</f>
        <v>1</v>
      </c>
      <c r="CD155" s="15">
        <f>MIN(IF($AU155=100%,1,1+VLOOKUP(($AJ155-$AI155-$AH155-$AG155-$AF155-$AE155*(1+CD$3))/$AJ155,'Технический лист'!$I:$J,2,1)-VLOOKUP($AO155,'Технический лист'!$I:$J,2,1)),1+(1-$AU155))</f>
        <v>1</v>
      </c>
      <c r="CE155" s="15">
        <f>MIN(IF($AU155=100%,1,1+VLOOKUP(($AJ155-$AI155-$AH155-$AG155-$AF155-$AE155*(1+CE$3))/$AJ155,'Технический лист'!$I:$J,2,1)-VLOOKUP($AO155,'Технический лист'!$I:$J,2,1)),1+(1-$AU155))</f>
        <v>1</v>
      </c>
      <c r="CF155" s="15">
        <f>MIN(IF($AU155=100%,1,1+VLOOKUP(($AJ155-$AI155-$AH155-$AG155-$AF155-$AE155*(1+CF$3))/$AJ155,'Технический лист'!$I:$J,2,1)-VLOOKUP($AO155,'Технический лист'!$I:$J,2,1)),1+(1-$AU155))</f>
        <v>1</v>
      </c>
      <c r="CG155" s="15">
        <f>MIN(IF($AU155=100%,1,1+VLOOKUP(($AJ155-$AI155-$AH155-$AG155-$AF155-$AE155*(1+CG$3))/$AJ155,'Технический лист'!$I:$J,2,1)-VLOOKUP($AO155,'Технический лист'!$I:$J,2,1)),1+(1-$AU155))</f>
        <v>1</v>
      </c>
      <c r="CH155" s="15">
        <f>MIN(IF($AU155=100%,1,1+VLOOKUP(($AJ155-$AI155-$AH155-$AG155-$AF155-$AE155*(1+CH$3))/$AJ155,'Технический лист'!$I:$J,2,1)-VLOOKUP($AO155,'Технический лист'!$I:$J,2,1)),1+(1-$AU155))</f>
        <v>1</v>
      </c>
      <c r="CI155" s="15">
        <f>MIN(IF($AU155=100%,1,1+VLOOKUP(($AJ155-$AI155-$AH155-$AG155-$AF155-$AE155*(1+CI$3))/$AJ155,'Технический лист'!$I:$J,2,1)-VLOOKUP($AO155,'Технический лист'!$I:$J,2,1)),1+(1-$AU155))</f>
        <v>1</v>
      </c>
      <c r="CJ155" s="15">
        <f>MIN(IF($AU155=100%,1,1+VLOOKUP(($AJ155-$AI155-$AH155-$AG155-$AF155-$AE155*(1+CJ$3))/$AJ155,'Технический лист'!$I:$J,2,1)-VLOOKUP($AO155,'Технический лист'!$I:$J,2,1)),1+(1-$AU155))</f>
        <v>1</v>
      </c>
      <c r="CK155" s="15">
        <f>MIN(IF($AU155=100%,1,1+VLOOKUP(($AJ155-$AI155-$AH155-$AG155-$AF155-$AE155*(1+CK$3))/$AJ155,'Технический лист'!$I:$J,2,1)-VLOOKUP($AO155,'Технический лист'!$I:$J,2,1)),1+(1-$AU155))</f>
        <v>1</v>
      </c>
      <c r="CL155" s="15">
        <f>MIN(IF($AU155=100%,1,1+VLOOKUP(($AJ155-$AI155-$AH155-$AG155-$AF155-$AE155*(1+CL$3))/$AJ155,'Технический лист'!$I:$J,2,1)-VLOOKUP($AO155,'Технический лист'!$I:$J,2,1)),1+(1-$AU155))</f>
        <v>1</v>
      </c>
      <c r="CM155" s="15">
        <f>MIN(IF($AU155=100%,1,1+VLOOKUP(($AJ155-$AI155-$AH155-$AG155-$AF155-$AE155*(1+CM$3))/$AJ155,'Технический лист'!$I:$J,2,1)-VLOOKUP($AO155,'Технический лист'!$I:$J,2,1)),1+(1-$AU155))</f>
        <v>1</v>
      </c>
      <c r="CN155" s="15">
        <f>MIN(IF($AU155=100%,1,1+VLOOKUP(($AJ155-$AI155-$AH155-$AG155-$AF155-$AE155*(1+CN$3))/$AJ155,'Технический лист'!$I:$J,2,1)-VLOOKUP($AO155,'Технический лист'!$I:$J,2,1)),1+(1-$AU155))</f>
        <v>1</v>
      </c>
      <c r="CO155" s="15">
        <f>MIN(IF($AU155=100%,1,1+VLOOKUP(($AJ155-$AI155-$AH155-$AG155-$AF155-$AE155*(1+CO$3))/$AJ155,'Технический лист'!$I:$J,2,1)-VLOOKUP($AO155,'Технический лист'!$I:$J,2,1)),1+(1-$AU155))</f>
        <v>1</v>
      </c>
      <c r="CP155" s="15">
        <f>MIN(IF($AU155=100%,1,1+VLOOKUP(($AJ155-$AI155-$AH155-$AG155-$AF155-$AE155*(1+CP$3))/$AJ155,'Технический лист'!$I:$J,2,1)-VLOOKUP($AO155,'Технический лист'!$I:$J,2,1)),1+(1-$AU155))</f>
        <v>1</v>
      </c>
      <c r="CQ155" s="15">
        <f>MIN(IF($AU155=100%,1,1+VLOOKUP(($AJ155-$AI155-$AH155-$AG155-$AF155-$AE155*(1+CQ$3))/$AJ155,'Технический лист'!$I:$J,2,1)-VLOOKUP($AO155,'Технический лист'!$I:$J,2,1)),1+(1-$AU155))</f>
        <v>1</v>
      </c>
      <c r="CR155" s="15">
        <f>MIN(IF($AU155=100%,1,1+VLOOKUP(($AJ155-$AI155-$AH155-$AG155-$AF155-$AE155*(1+CR$3))/$AJ155,'Технический лист'!$I:$J,2,1)-VLOOKUP($AO155,'Технический лист'!$I:$J,2,1)),1+(1-$AU155))</f>
        <v>1</v>
      </c>
      <c r="CS155" s="15">
        <f>MIN(IF($AU155=100%,1,1+VLOOKUP(($AJ155-$AI155-$AH155-$AG155-$AF155-$AE155*(1+CS$3))/$AJ155,'Технический лист'!$I:$J,2,1)-VLOOKUP($AO155,'Технический лист'!$I:$J,2,1)),1+(1-$AU155))</f>
        <v>1</v>
      </c>
      <c r="CT155" s="15">
        <f>MIN(IF($AU155=100%,1,1+VLOOKUP(($AJ155-$AI155-$AH155-$AG155-$AF155-$AE155*(1+CT$3))/$AJ155,'Технический лист'!$I:$J,2,1)-VLOOKUP($AO155,'Технический лист'!$I:$J,2,1)),1+(1-$AU155))</f>
        <v>1</v>
      </c>
      <c r="CU155" s="15">
        <f>MIN(IF($AU155=100%,1,1+VLOOKUP(($AJ155-$AI155-$AH155-$AG155-$AF155-$AE155*(1+CU$3))/$AJ155,'Технический лист'!$I:$J,2,1)-VLOOKUP($AO155,'Технический лист'!$I:$J,2,1)),1+(1-$AU155))</f>
        <v>1</v>
      </c>
      <c r="CV155" s="15">
        <f>MIN(IF($AU155=100%,1,1+VLOOKUP(($AJ155-$AI155-$AH155-$AG155-$AF155-$AE155*(1+CV$3))/$AJ155,'Технический лист'!$I:$J,2,1)-VLOOKUP($AO155,'Технический лист'!$I:$J,2,1)),1+(1-$AU155))</f>
        <v>1</v>
      </c>
      <c r="CW155" s="15">
        <f>MIN(IF($AU155=100%,1,1+VLOOKUP(($AJ155-$AI155-$AH155-$AG155-$AF155-$AE155*(1+CW$3))/$AJ155,'Технический лист'!$I:$J,2,1)-VLOOKUP($AO155,'Технический лист'!$I:$J,2,1)),1+(1-$AU155))</f>
        <v>1</v>
      </c>
      <c r="CX155" s="15">
        <f>MIN(IF($AU155=100%,1,1+VLOOKUP(($AJ155-$AI155-$AH155-$AG155-$AF155-$AE155*(1+CX$3))/$AJ155,'Технический лист'!$I:$J,2,1)-VLOOKUP($AO155,'Технический лист'!$I:$J,2,1)),1+(1-$AU155))</f>
        <v>1</v>
      </c>
      <c r="CY155" s="15">
        <f>MIN(IF($AU155=100%,1,1+VLOOKUP(($AJ155-$AI155-$AH155-$AG155-$AF155-$AE155*(1+CY$3))/$AJ155,'Технический лист'!$I:$J,2,1)-VLOOKUP($AO155,'Технический лист'!$I:$J,2,1)),1+(1-$AU155))</f>
        <v>1</v>
      </c>
      <c r="CZ155" s="15">
        <f>MIN(IF($AU155=100%,1,1+VLOOKUP(($AJ155-$AI155-$AH155-$AG155-$AF155-$AE155*(1+CZ$3))/$AJ155,'Технический лист'!$I:$J,2,1)-VLOOKUP($AO155,'Технический лист'!$I:$J,2,1)),1+(1-$AU155))</f>
        <v>1</v>
      </c>
      <c r="DA155" s="15">
        <f>MIN(IF($AU155=100%,1,1+VLOOKUP(($AJ155-$AI155-$AH155-$AG155-$AF155-$AE155*(1+DA$3))/$AJ155,'Технический лист'!$I:$J,2,1)-VLOOKUP($AO155,'Технический лист'!$I:$J,2,1)),1+(1-$AU155))</f>
        <v>1</v>
      </c>
      <c r="DB155" s="15">
        <f>MIN(IF($AU155=100%,1,1+VLOOKUP(($AJ155-$AI155-$AH155-$AG155-$AF155-$AE155*(1+DB$3))/$AJ155,'Технический лист'!$I:$J,2,1)-VLOOKUP($AO155,'Технический лист'!$I:$J,2,1)),1+(1-$AU155))</f>
        <v>1</v>
      </c>
      <c r="DC155" s="15">
        <f>MIN(IF($AU155=100%,1,1+VLOOKUP(($AJ155-$AI155-$AH155-$AG155-$AF155-$AE155*(1+DC$3))/$AJ155,'Технический лист'!$I:$J,2,1)-VLOOKUP($AO155,'Технический лист'!$I:$J,2,1)),1+(1-$AU155))</f>
        <v>1</v>
      </c>
      <c r="DD155" s="15">
        <f>MIN(IF($AU155=100%,1,1+VLOOKUP(($AJ155-$AI155-$AH155-$AG155-$AF155-$AE155*(1+DD$3))/$AJ155,'Технический лист'!$I:$J,2,1)-VLOOKUP($AO155,'Технический лист'!$I:$J,2,1)),1+(1-$AU155))</f>
        <v>1</v>
      </c>
      <c r="DE155" s="15">
        <f>MIN(IF($AU155=100%,1,1+VLOOKUP(($AJ155-$AI155-$AH155-$AG155-$AF155-$AE155*(1+DE$3))/$AJ155,'Технический лист'!$I:$J,2,1)-VLOOKUP($AO155,'Технический лист'!$I:$J,2,1)),1+(1-$AU155))</f>
        <v>1</v>
      </c>
      <c r="DF155" s="15">
        <f>MIN(IF($AU155=100%,1,1+VLOOKUP(($AJ155-$AI155-$AH155-$AG155-$AF155-$AE155*(1+DF$3))/$AJ155,'Технический лист'!$I:$J,2,1)-VLOOKUP($AO155,'Технический лист'!$I:$J,2,1)),1+(1-$AU155))</f>
        <v>1</v>
      </c>
      <c r="DG155" s="15">
        <f>MIN(IF($AU155=100%,1,1+VLOOKUP(($AJ155-$AI155-$AH155-$AG155-$AF155-$AE155*(1+DG$3))/$AJ155,'Технический лист'!$I:$J,2,1)-VLOOKUP($AO155,'Технический лист'!$I:$J,2,1)),1+(1-$AU155))</f>
        <v>1</v>
      </c>
      <c r="DH155" s="15">
        <f>MIN(IF($AU155=100%,1,1+VLOOKUP(($AJ155-$AI155-$AH155-$AG155-$AF155-$AE155*(1+DH$3))/$AJ155,'Технический лист'!$I:$J,2,1)-VLOOKUP($AO155,'Технический лист'!$I:$J,2,1)),1+(1-$AU155))</f>
        <v>1</v>
      </c>
      <c r="DI155" s="15">
        <f>MIN(IF($AU155=100%,1,1+VLOOKUP(($AJ155-$AI155-$AH155-$AG155-$AF155-$AE155*(1+DI$3))/$AJ155,'Технический лист'!$I:$J,2,1)-VLOOKUP($AO155,'Технический лист'!$I:$J,2,1)),1+(1-$AU155))</f>
        <v>1</v>
      </c>
      <c r="DJ155" s="15">
        <f>MIN(IF($AU155=100%,1,1+VLOOKUP(($AJ155-$AI155-$AH155-$AG155-$AF155-$AE155*(1+DJ$3))/$AJ155,'Технический лист'!$I:$J,2,1)-VLOOKUP($AO155,'Технический лист'!$I:$J,2,1)),1+(1-$AU155))</f>
        <v>1</v>
      </c>
      <c r="DK155" s="15">
        <f>MIN(IF($AU155=100%,1,1+VLOOKUP(($AJ155-$AI155-$AH155-$AG155-$AF155-$AE155*(1+DK$3))/$AJ155,'Технический лист'!$I:$J,2,1)-VLOOKUP($AO155,'Технический лист'!$I:$J,2,1)),1+(1-$AU155))</f>
        <v>1</v>
      </c>
      <c r="DL155" s="15">
        <f>MIN(IF($AU155=100%,1,1+VLOOKUP(($AJ155-$AI155-$AH155-$AG155-$AF155-$AE155*(1+DL$3))/$AJ155,'Технический лист'!$I:$J,2,1)-VLOOKUP($AO155,'Технический лист'!$I:$J,2,1)),1+(1-$AU155))</f>
        <v>1</v>
      </c>
      <c r="DM155" s="15">
        <f>MIN(IF($AU155=100%,1,1+VLOOKUP(($AJ155-$AI155-$AH155-$AG155-$AF155-$AE155*(1+DM$3))/$AJ155,'Технический лист'!$I:$J,2,1)-VLOOKUP($AO155,'Технический лист'!$I:$J,2,1)),1+(1-$AU155))</f>
        <v>1</v>
      </c>
      <c r="DN155" s="15">
        <f>MIN(IF($AU155=100%,1,1+VLOOKUP(($AJ155-$AI155-$AH155-$AG155-$AF155-$AE155*(1+DN$3))/$AJ155,'Технический лист'!$I:$J,2,1)-VLOOKUP($AO155,'Технический лист'!$I:$J,2,1)),1+(1-$AU155))</f>
        <v>1</v>
      </c>
      <c r="DO155" s="15">
        <f>MIN(IF($AU155=100%,1,1+VLOOKUP(($AJ155-$AI155-$AH155-$AG155-$AF155-$AE155*(1+DO$3))/$AJ155,'Технический лист'!$I:$J,2,1)-VLOOKUP($AO155,'Технический лист'!$I:$J,2,1)),1+(1-$AU155))</f>
        <v>1</v>
      </c>
      <c r="DP155" s="15">
        <f>MIN(IF($AU155=100%,1,1+VLOOKUP(($AJ155-$AI155-$AH155-$AG155-$AF155-$AE155*(1+DP$3))/$AJ155,'Технический лист'!$I:$J,2,1)-VLOOKUP($AO155,'Технический лист'!$I:$J,2,1)),1+(1-$AU155))</f>
        <v>1</v>
      </c>
      <c r="DQ155" s="15">
        <f>MIN(IF($AU155=100%,1,1+VLOOKUP(($AJ155-$AI155-$AH155-$AG155-$AF155-$AE155*(1+DQ$3))/$AJ155,'Технический лист'!$I:$J,2,1)-VLOOKUP($AO155,'Технический лист'!$I:$J,2,1)),1+(1-$AU155))</f>
        <v>1</v>
      </c>
      <c r="DR155" s="15">
        <f>MIN(IF($AU155=100%,1,1+VLOOKUP(($AJ155-$AI155-$AH155-$AG155-$AF155-$AE155*(1+DR$3))/$AJ155,'Технический лист'!$I:$J,2,1)-VLOOKUP($AO155,'Технический лист'!$I:$J,2,1)),1+(1-$AU155))</f>
        <v>1</v>
      </c>
      <c r="DS155" s="15">
        <f>MIN(IF($AU155=100%,1,1+VLOOKUP(($AJ155-$AI155-$AH155-$AG155-$AF155-$AE155*(1+DS$3))/$AJ155,'Технический лист'!$I:$J,2,1)-VLOOKUP($AO155,'Технический лист'!$I:$J,2,1)),1+(1-$AU155))</f>
        <v>1</v>
      </c>
      <c r="DT155" s="15">
        <f>MIN(IF($AU155=100%,1,1+VLOOKUP(($AJ155-$AI155-$AH155-$AG155-$AF155-$AE155*(1+DT$3))/$AJ155,'Технический лист'!$I:$J,2,1)-VLOOKUP($AO155,'Технический лист'!$I:$J,2,1)),1+(1-$AU155))</f>
        <v>1</v>
      </c>
      <c r="DU155" s="15">
        <f>MIN(IF($AU155=100%,1,1+VLOOKUP(($AJ155-$AI155-$AH155-$AG155-$AF155-$AE155*(1+DU$3))/$AJ155,'Технический лист'!$I:$J,2,1)-VLOOKUP($AO155,'Технический лист'!$I:$J,2,1)),1+(1-$AU155))</f>
        <v>1</v>
      </c>
      <c r="DV155" s="15">
        <f>MIN(IF($AU155=100%,1,1+VLOOKUP(($AJ155-$AI155-$AH155-$AG155-$AF155-$AE155*(1+DV$3))/$AJ155,'Технический лист'!$I:$J,2,1)-VLOOKUP($AO155,'Технический лист'!$I:$J,2,1)),1+(1-$AU155))</f>
        <v>1</v>
      </c>
      <c r="DW155" s="15">
        <f>MIN(IF($AU155=100%,1,1+VLOOKUP(($AJ155-$AI155-$AH155-$AG155-$AF155-$AE155*(1+DW$3))/$AJ155,'Технический лист'!$I:$J,2,1)-VLOOKUP($AO155,'Технический лист'!$I:$J,2,1)),1+(1-$AU155))</f>
        <v>1</v>
      </c>
      <c r="DX155" s="15">
        <f>MIN(IF($AU155=100%,1,1+VLOOKUP(($AJ155-$AI155-$AH155-$AG155-$AF155-$AE155*(1+DX$3))/$AJ155,'Технический лист'!$I:$J,2,1)-VLOOKUP($AO155,'Технический лист'!$I:$J,2,1)),1+(1-$AU155))</f>
        <v>1</v>
      </c>
      <c r="DY155" s="15">
        <f>MIN(IF($AU155=100%,1,1+VLOOKUP(($AJ155-$AI155-$AH155-$AG155-$AF155-$AE155*(1+DY$3))/$AJ155,'Технический лист'!$I:$J,2,1)-VLOOKUP($AO155,'Технический лист'!$I:$J,2,1)),1+(1-$AU155))</f>
        <v>1</v>
      </c>
      <c r="DZ155" s="15">
        <f>MIN(IF($AU155=100%,1,1+VLOOKUP(($AJ155-$AI155-$AH155-$AG155-$AF155-$AE155*(1+DZ$3))/$AJ155,'Технический лист'!$I:$J,2,1)-VLOOKUP($AO155,'Технический лист'!$I:$J,2,1)),1+(1-$AU155))</f>
        <v>1</v>
      </c>
      <c r="EA155" s="15">
        <f>MIN(IF($AU155=100%,1,1+VLOOKUP(($AJ155-$AI155-$AH155-$AG155-$AF155-$AE155*(1+EA$3))/$AJ155,'Технический лист'!$I:$J,2,1)-VLOOKUP($AO155,'Технический лист'!$I:$J,2,1)),1+(1-$AU155))</f>
        <v>1</v>
      </c>
      <c r="EB155" s="15">
        <f>MIN(IF($AU155=100%,1,1+VLOOKUP(($AJ155-$AI155-$AH155-$AG155-$AF155-$AE155*(1+EB$3))/$AJ155,'Технический лист'!$I:$J,2,1)-VLOOKUP($AO155,'Технический лист'!$I:$J,2,1)),1+(1-$AU155))</f>
        <v>1</v>
      </c>
      <c r="EC155" s="15">
        <f>MIN(IF($AU155=100%,1,1+VLOOKUP(($AJ155-$AI155-$AH155-$AG155-$AF155-$AE155*(1+EC$3))/$AJ155,'Технический лист'!$I:$J,2,1)-VLOOKUP($AO155,'Технический лист'!$I:$J,2,1)),1+(1-$AU155))</f>
        <v>1</v>
      </c>
      <c r="ED155" s="15">
        <f>MIN(IF($AU155=100%,1,1+VLOOKUP(($AJ155-$AI155-$AH155-$AG155-$AF155-$AE155*(1+ED$3))/$AJ155,'Технический лист'!$I:$J,2,1)-VLOOKUP($AO155,'Технический лист'!$I:$J,2,1)),1+(1-$AU155))</f>
        <v>1</v>
      </c>
      <c r="EE155" s="15">
        <f>MIN(IF($AU155=100%,1,1+VLOOKUP(($AJ155-$AI155-$AH155-$AG155-$AF155-$AE155*(1+EE$3))/$AJ155,'Технический лист'!$I:$J,2,1)-VLOOKUP($AO155,'Технический лист'!$I:$J,2,1)),1+(1-$AU155))</f>
        <v>1</v>
      </c>
      <c r="EF155" s="15">
        <f>MIN(IF($AU155=100%,1,1+VLOOKUP(($AJ155-$AI155-$AH155-$AG155-$AF155-$AE155*(1+EF$3))/$AJ155,'Технический лист'!$I:$J,2,1)-VLOOKUP($AO155,'Технический лист'!$I:$J,2,1)),1+(1-$AU155))</f>
        <v>1</v>
      </c>
      <c r="EG155" s="15">
        <f>MIN(IF($AU155=100%,1,1+VLOOKUP(($AJ155-$AI155-$AH155-$AG155-$AF155-$AE155*(1+EG$3))/$AJ155,'Технический лист'!$I:$J,2,1)-VLOOKUP($AO155,'Технический лист'!$I:$J,2,1)),1+(1-$AU155))</f>
        <v>1</v>
      </c>
      <c r="EH155" s="15">
        <f>MIN(IF($AU155=100%,1,1+VLOOKUP(($AJ155-$AI155-$AH155-$AG155-$AF155-$AE155*(1+EH$3))/$AJ155,'Технический лист'!$I:$J,2,1)-VLOOKUP($AO155,'Технический лист'!$I:$J,2,1)),1+(1-$AU155))</f>
        <v>1</v>
      </c>
      <c r="EI155" s="15">
        <f>MIN(IF($AU155=100%,1,1+VLOOKUP(($AJ155-$AI155-$AH155-$AG155-$AF155-$AE155*(1+EI$3))/$AJ155,'Технический лист'!$I:$J,2,1)-VLOOKUP($AO155,'Технический лист'!$I:$J,2,1)),1+(1-$AU155))</f>
        <v>1</v>
      </c>
      <c r="EJ155" s="15">
        <f>MIN(IF($AU155=100%,1,1+VLOOKUP(($AJ155-$AI155-$AH155-$AG155-$AF155-$AE155*(1+EJ$3))/$AJ155,'Технический лист'!$I:$J,2,1)-VLOOKUP($AO155,'Технический лист'!$I:$J,2,1)),1+(1-$AU155))</f>
        <v>1</v>
      </c>
      <c r="EK155" s="15">
        <f>MIN(IF($AU155=100%,1,1+VLOOKUP(($AJ155-$AI155-$AH155-$AG155-$AF155-$AE155*(1+EK$3))/$AJ155,'Технический лист'!$I:$J,2,1)-VLOOKUP($AO155,'Технический лист'!$I:$J,2,1)),1+(1-$AU155))</f>
        <v>1</v>
      </c>
      <c r="EL155" s="15">
        <f>MIN(IF($AU155=100%,1,1+VLOOKUP(($AJ155-$AI155-$AH155-$AG155-$AF155-$AE155*(1+EL$3))/$AJ155,'Технический лист'!$I:$J,2,1)-VLOOKUP($AO155,'Технический лист'!$I:$J,2,1)),1+(1-$AU155))</f>
        <v>1</v>
      </c>
      <c r="EM155" s="15">
        <f>MIN(IF($AU155=100%,1,1+VLOOKUP(($AJ155-$AI155-$AH155-$AG155-$AF155-$AE155*(1+EM$3))/$AJ155,'Технический лист'!$I:$J,2,1)-VLOOKUP($AO155,'Технический лист'!$I:$J,2,1)),1+(1-$AU155))</f>
        <v>1</v>
      </c>
      <c r="EN155" s="15">
        <f>MIN(IF($AU155=100%,1,1+VLOOKUP(($AJ155-$AI155-$AH155-$AG155-$AF155-$AE155*(1+EN$3))/$AJ155,'Технический лист'!$I:$J,2,1)-VLOOKUP($AO155,'Технический лист'!$I:$J,2,1)),1+(1-$AU155))</f>
        <v>1</v>
      </c>
      <c r="EO155" s="15">
        <f>MIN(IF($AU155=100%,1,1+VLOOKUP(($AJ155-$AI155-$AH155-$AG155-$AF155-$AE155*(1+EO$3))/$AJ155,'Технический лист'!$I:$J,2,1)-VLOOKUP($AO155,'Технический лист'!$I:$J,2,1)),1+(1-$AU155))</f>
        <v>1</v>
      </c>
      <c r="EP155" s="15">
        <f>MIN(IF($AU155=100%,1,1+VLOOKUP(($AJ155-$AI155-$AH155-$AG155-$AF155-$AE155*(1+EP$3))/$AJ155,'Технический лист'!$I:$J,2,1)-VLOOKUP($AO155,'Технический лист'!$I:$J,2,1)),1+(1-$AU155))</f>
        <v>1</v>
      </c>
      <c r="EQ155" s="15">
        <f>MIN(IF($AU155=100%,1,1+VLOOKUP(($AJ155-$AI155-$AH155-$AG155-$AF155-$AE155*(1+EQ$3))/$AJ155,'Технический лист'!$I:$J,2,1)-VLOOKUP($AO155,'Технический лист'!$I:$J,2,1)),1+(1-$AU155))</f>
        <v>1</v>
      </c>
      <c r="ER155" s="15">
        <f>MIN(IF($AU155=100%,1,1+VLOOKUP(($AJ155-$AI155-$AH155-$AG155-$AF155-$AE155*(1+ER$3))/$AJ155,'Технический лист'!$I:$J,2,1)-VLOOKUP($AO155,'Технический лист'!$I:$J,2,1)),1+(1-$AU155))</f>
        <v>1</v>
      </c>
      <c r="ES155" s="15">
        <f>MIN(IF($AU155=100%,1,1+VLOOKUP(($AJ155-$AI155-$AH155-$AG155-$AF155-$AE155*(1+ES$3))/$AJ155,'Технический лист'!$I:$J,2,1)-VLOOKUP($AO155,'Технический лист'!$I:$J,2,1)),1+(1-$AU155))</f>
        <v>1</v>
      </c>
      <c r="ET155" s="15">
        <f>MIN(IF($AU155=100%,1,1+VLOOKUP(($AJ155-$AI155-$AH155-$AG155-$AF155-$AE155*(1+ET$3))/$AJ155,'Технический лист'!$I:$J,2,1)-VLOOKUP($AO155,'Технический лист'!$I:$J,2,1)),1+(1-$AU155))</f>
        <v>1</v>
      </c>
      <c r="EU155" s="15">
        <f>MIN(IF($AU155=100%,1,1+VLOOKUP(($AJ155-$AI155-$AH155-$AG155-$AF155-$AE155*(1+EU$3))/$AJ155,'Технический лист'!$I:$J,2,1)-VLOOKUP($AO155,'Технический лист'!$I:$J,2,1)),1+(1-$AU155))</f>
        <v>1</v>
      </c>
      <c r="EV155" s="111">
        <v>1</v>
      </c>
      <c r="EW155" s="15">
        <f>MIN(1,MAX(VLOOKUP(($AJ155-$AI155-$AH155-$AG155-$AF155-$AE155*(1+EW$3))/$AJ155,'Технический лист'!$A:$B,2,1),(EV155-0.05)))</f>
        <v>1</v>
      </c>
      <c r="EX155" s="15">
        <f>MIN(1,MAX(VLOOKUP(($AJ155-$AI155-$AH155-$AG155-$AF155-$AE155*(1+EX$3))/$AJ155,'Технический лист'!$A:$B,2,1),(EW155-0.05)))</f>
        <v>1</v>
      </c>
      <c r="EY155" s="15">
        <f>MIN(1,MAX(VLOOKUP(($AJ155-$AI155-$AH155-$AG155-$AF155-$AE155*(1+EY$3))/$AJ155,'Технический лист'!$A:$B,2,1),(EX155-0.05)))</f>
        <v>1</v>
      </c>
      <c r="EZ155" s="15">
        <f>MIN(1,MAX(VLOOKUP(($AJ155-$AI155-$AH155-$AG155-$AF155-$AE155*(1+EZ$3))/$AJ155,'Технический лист'!$A:$B,2,1),(EY155-0.05)))</f>
        <v>1</v>
      </c>
      <c r="FA155" s="15">
        <f>MIN(1,MAX(VLOOKUP(($AJ155-$AI155-$AH155-$AG155-$AF155-$AE155*(1+FA$3))/$AJ155,'Технический лист'!$A:$B,2,1),(EZ155-0.05)))</f>
        <v>1</v>
      </c>
      <c r="FB155" s="15">
        <f>MIN(1,MAX(VLOOKUP(($AJ155-$AI155-$AH155-$AG155-$AF155-$AE155*(1+FB$3))/$AJ155,'Технический лист'!$A:$B,2,1),(FA155-0.05)))</f>
        <v>1</v>
      </c>
      <c r="FC155" s="15">
        <f>MIN(1,MAX(VLOOKUP(($AJ155-$AI155-$AH155-$AG155-$AF155-$AE155*(1+FC$3))/$AJ155,'Технический лист'!$A:$B,2,1),(FB155-0.05)))</f>
        <v>1</v>
      </c>
      <c r="FD155" s="15">
        <f>MIN(1,MAX(VLOOKUP(($AJ155-$AI155-$AH155-$AG155-$AF155-$AE155*(1+FD$3))/$AJ155,'Технический лист'!$A:$B,2,1),(FC155-0.05)))</f>
        <v>1</v>
      </c>
      <c r="FE155" s="15">
        <f>MIN(1,MAX(VLOOKUP(($AJ155-$AI155-$AH155-$AG155-$AF155-$AE155*(1+FE$3))/$AJ155,'Технический лист'!$A:$B,2,1),(FD155-0.05)))</f>
        <v>1</v>
      </c>
      <c r="FF155" s="15">
        <f>MIN(1,MAX(VLOOKUP(($AJ155-$AI155-$AH155-$AG155-$AF155-$AE155*(1+FF$3))/$AJ155,'Технический лист'!$A:$B,2,1),(FE155-0.05)))</f>
        <v>1</v>
      </c>
      <c r="FG155" s="15">
        <f>MIN(1,MAX(VLOOKUP(($AJ155-$AI155-$AH155-$AG155-$AF155-$AE155*(1+FG$3))/$AJ155,'Технический лист'!$A:$B,2,1),(FF155-0.05)))</f>
        <v>1</v>
      </c>
      <c r="FH155" s="15">
        <f>MIN(1,MAX(VLOOKUP(($AJ155-$AI155-$AH155-$AG155-$AF155-$AE155*(1+FH$3))/$AJ155,'Технический лист'!$A:$B,2,1),(FG155-0.05)))</f>
        <v>1</v>
      </c>
      <c r="FI155" s="15">
        <f>MIN(1,MAX(VLOOKUP(($AJ155-$AI155-$AH155-$AG155-$AF155-$AE155*(1+FI$3))/$AJ155,'Технический лист'!$A:$B,2,1),(FH155-0.05)))</f>
        <v>1</v>
      </c>
      <c r="FJ155" s="15">
        <f>MIN(1,MAX(VLOOKUP(($AJ155-$AI155-$AH155-$AG155-$AF155-$AE155*(1+FJ$3))/$AJ155,'Технический лист'!$A:$B,2,1),(FI155-0.05)))</f>
        <v>1</v>
      </c>
      <c r="FK155" s="15">
        <f>MIN(1,MAX(VLOOKUP(($AJ155-$AI155-$AH155-$AG155-$AF155-$AE155*(1+FK$3))/$AJ155,'Технический лист'!$A:$B,2,1),(FJ155-0.05)))</f>
        <v>1</v>
      </c>
      <c r="FL155" s="15">
        <f>MIN(1,MAX(VLOOKUP(($AJ155-$AI155-$AH155-$AG155-$AF155-$AE155*(1+FL$3))/$AJ155,'Технический лист'!$A:$B,2,1),(FK155-0.05)))</f>
        <v>1</v>
      </c>
      <c r="FM155" s="15">
        <f>MIN(1,MAX(VLOOKUP(($AJ155-$AI155-$AH155-$AG155-$AF155-$AE155*(1+FM$3))/$AJ155,'Технический лист'!$A:$B,2,1),(FL155-0.05)))</f>
        <v>1</v>
      </c>
      <c r="FN155" s="15">
        <f>MIN(1,MAX(VLOOKUP(($AJ155-$AI155-$AH155-$AG155-$AF155-$AE155*(1+FN$3))/$AJ155,'Технический лист'!$A:$B,2,1),(FM155-0.05)))</f>
        <v>1</v>
      </c>
      <c r="FO155" s="15">
        <f>MIN(1,MAX(VLOOKUP(($AJ155-$AI155-$AH155-$AG155-$AF155-$AE155*(1+FO$3))/$AJ155,'Технический лист'!$A:$B,2,1),(FN155-0.05)))</f>
        <v>1</v>
      </c>
      <c r="FP155" s="15">
        <f>MIN(1,MAX(VLOOKUP(($AJ155-$AI155-$AH155-$AG155-$AF155-$AE155*(1+FP$3))/$AJ155,'Технический лист'!$A:$B,2,1),(FO155-0.05)))</f>
        <v>1</v>
      </c>
      <c r="FQ155" s="15">
        <f>MIN(1,MAX(VLOOKUP(($AJ155-$AI155-$AH155-$AG155-$AF155-$AE155*(1+FQ$3))/$AJ155,'Технический лист'!$A:$B,2,1),(FP155-0.05)))</f>
        <v>1</v>
      </c>
      <c r="FR155" s="15">
        <f>MIN(1,MAX(VLOOKUP(($AJ155-$AI155-$AH155-$AG155-$AF155-$AE155*(1+FR$3))/$AJ155,'Технический лист'!$A:$B,2,1),(FQ155-0.05)))</f>
        <v>1</v>
      </c>
      <c r="FS155" s="15">
        <f>MIN(1,MAX(VLOOKUP(($AJ155-$AI155-$AH155-$AG155-$AF155-$AE155*(1+FS$3))/$AJ155,'Технический лист'!$A:$B,2,1),(FR155-0.05)))</f>
        <v>1</v>
      </c>
      <c r="FT155" s="15">
        <f>MIN(1,MAX(VLOOKUP(($AJ155-$AI155-$AH155-$AG155-$AF155-$AE155*(1+FT$3))/$AJ155,'Технический лист'!$A:$B,2,1),(FS155-0.05)))</f>
        <v>1</v>
      </c>
      <c r="FU155" s="15">
        <f>MIN(1,MAX(VLOOKUP(($AJ155-$AI155-$AH155-$AG155-$AF155-$AE155*(1+FU$3))/$AJ155,'Технический лист'!$A:$B,2,1),(FT155-0.05)))</f>
        <v>1</v>
      </c>
      <c r="FV155" s="15">
        <f>MIN(1,MAX(VLOOKUP(($AJ155-$AI155-$AH155-$AG155-$AF155-$AE155*(1+FV$3))/$AJ155,'Технический лист'!$A:$B,2,1),(FU155-0.05)))</f>
        <v>1</v>
      </c>
      <c r="FW155" s="15">
        <f>MIN(1,MAX(VLOOKUP(($AJ155-$AI155-$AH155-$AG155-$AF155-$AE155*(1+FW$3))/$AJ155,'Технический лист'!$A:$B,2,1),(FV155-0.05)))</f>
        <v>1</v>
      </c>
      <c r="FX155" s="15">
        <f>MIN(1,MAX(VLOOKUP(($AJ155-$AI155-$AH155-$AG155-$AF155-$AE155*(1+FX$3))/$AJ155,'Технический лист'!$A:$B,2,1),(FW155-0.05)))</f>
        <v>1</v>
      </c>
      <c r="FY155" s="15">
        <f>MIN(1,MAX(VLOOKUP(($AJ155-$AI155-$AH155-$AG155-$AF155-$AE155*(1+FY$3))/$AJ155,'Технический лист'!$A:$B,2,1),(FX155-0.05)))</f>
        <v>1</v>
      </c>
      <c r="FZ155" s="15">
        <f>MIN(1,MAX(VLOOKUP(($AJ155-$AI155-$AH155-$AG155-$AF155-$AE155*(1+FZ$3))/$AJ155,'Технический лист'!$A:$B,2,1),(FY155-0.05)))</f>
        <v>1</v>
      </c>
      <c r="GA155" s="15">
        <f>MIN(1,MAX(VLOOKUP(($AJ155-$AI155-$AH155-$AG155-$AF155-$AE155*(1+GA$3))/$AJ155,'Технический лист'!$A:$B,2,1),(FZ155-0.05)))</f>
        <v>1</v>
      </c>
      <c r="GB155" s="15">
        <f>MIN(1,MAX(VLOOKUP(($AJ155-$AI155-$AH155-$AG155-$AF155-$AE155*(1+GB$3))/$AJ155,'Технический лист'!$A:$B,2,1),(GA155-0.05)))</f>
        <v>1</v>
      </c>
      <c r="GC155" s="15">
        <f>MIN(1,MAX(VLOOKUP(($AJ155-$AI155-$AH155-$AG155-$AF155-$AE155*(1+GC$3))/$AJ155,'Технический лист'!$A:$B,2,1),(GB155-0.05)))</f>
        <v>1</v>
      </c>
      <c r="GD155" s="15">
        <f>MIN(1,MAX(VLOOKUP(($AJ155-$AI155-$AH155-$AG155-$AF155-$AE155*(1+GD$3))/$AJ155,'Технический лист'!$A:$B,2,1),(GC155-0.05)))</f>
        <v>1</v>
      </c>
      <c r="GE155" s="15">
        <f>MIN(1,MAX(VLOOKUP(($AJ155-$AI155-$AH155-$AG155-$AF155-$AE155*(1+GE$3))/$AJ155,'Технический лист'!$A:$B,2,1),(GD155-0.05)))</f>
        <v>1</v>
      </c>
      <c r="GF155" s="15">
        <f>MIN(1,MAX(VLOOKUP(($AJ155-$AI155-$AH155-$AG155-$AF155-$AE155*(1+GF$3))/$AJ155,'Технический лист'!$A:$B,2,1),(GE155-0.05)))</f>
        <v>1</v>
      </c>
      <c r="GG155" s="15">
        <f>MIN(1,MAX(VLOOKUP(($AJ155-$AI155-$AH155-$AG155-$AF155-$AE155*(1+GG$3))/$AJ155,'Технический лист'!$A:$B,2,1),(GF155-0.05)))</f>
        <v>1</v>
      </c>
      <c r="GH155" s="15">
        <f>MIN(1,MAX(VLOOKUP(($AJ155-$AI155-$AH155-$AG155-$AF155-$AE155*(1+GH$3))/$AJ155,'Технический лист'!$A:$B,2,1),(GG155-0.05)))</f>
        <v>1</v>
      </c>
      <c r="GI155" s="15">
        <f>MIN(1,MAX(VLOOKUP(($AJ155-$AI155-$AH155-$AG155-$AF155-$AE155*(1+GI$3))/$AJ155,'Технический лист'!$A:$B,2,1),(GH155-0.05)))</f>
        <v>1</v>
      </c>
      <c r="GJ155" s="15">
        <f>MIN(1,MAX(VLOOKUP(($AJ155-$AI155-$AH155-$AG155-$AF155-$AE155*(1+GJ$3))/$AJ155,'Технический лист'!$A:$B,2,1),(GI155-0.05)))</f>
        <v>1</v>
      </c>
      <c r="GK155" s="15">
        <f>MIN(1,MAX(VLOOKUP(($AJ155-$AI155-$AH155-$AG155-$AF155-$AE155*(1+GK$3))/$AJ155,'Технический лист'!$A:$B,2,1),(GJ155-0.05)))</f>
        <v>1</v>
      </c>
      <c r="GL155" s="15">
        <f>MIN(1,MAX(VLOOKUP(($AJ155-$AI155-$AH155-$AG155-$AF155-$AE155*(1+GL$3))/$AJ155,'Технический лист'!$A:$B,2,1),(GK155-0.05)))</f>
        <v>1</v>
      </c>
      <c r="GM155" s="15">
        <f>MIN(1,MAX(VLOOKUP(($AJ155-$AI155-$AH155-$AG155-$AF155-$AE155*(1+GM$3))/$AJ155,'Технический лист'!$A:$B,2,1),(GL155-0.05)))</f>
        <v>1</v>
      </c>
      <c r="GN155" s="15">
        <f>MIN(1,MAX(VLOOKUP(($AJ155-$AI155-$AH155-$AG155-$AF155-$AE155*(1+GN$3))/$AJ155,'Технический лист'!$A:$B,2,1),(GM155-0.05)))</f>
        <v>1</v>
      </c>
      <c r="GO155" s="15">
        <f>MIN(1,MAX(VLOOKUP(($AJ155-$AI155-$AH155-$AG155-$AF155-$AE155*(1+GO$3))/$AJ155,'Технический лист'!$A:$B,2,1),(GN155-0.05)))</f>
        <v>1</v>
      </c>
      <c r="GP155" s="15">
        <f>MIN(1,MAX(VLOOKUP(($AJ155-$AI155-$AH155-$AG155-$AF155-$AE155*(1+GP$3))/$AJ155,'Технический лист'!$A:$B,2,1),(GO155-0.05)))</f>
        <v>1</v>
      </c>
      <c r="GQ155" s="15">
        <f>MIN(1,MAX(VLOOKUP(($AJ155-$AI155-$AH155-$AG155-$AF155-$AE155*(1+GQ$3))/$AJ155,'Технический лист'!$A:$B,2,1),(GP155-0.05)))</f>
        <v>1</v>
      </c>
      <c r="GR155" s="15">
        <f>MIN(1,MAX(VLOOKUP(($AJ155-$AI155-$AH155-$AG155-$AF155-$AE155*(1+GR$3))/$AJ155,'Технический лист'!$A:$B,2,1),(GQ155-0.05)))</f>
        <v>1</v>
      </c>
      <c r="GS155" s="15">
        <f>MIN(1,MAX(VLOOKUP(($AJ155-$AI155-$AH155-$AG155-$AF155-$AE155*(1+GS$3))/$AJ155,'Технический лист'!$A:$B,2,1),(GR155-0.05)))</f>
        <v>1</v>
      </c>
      <c r="GT155" s="15">
        <f>MIN(1,MAX(VLOOKUP(($AJ155-$AI155-$AH155-$AG155-$AF155-$AE155*(1+GT$3))/$AJ155,'Технический лист'!$A:$B,2,1),(GS155-0.05)))</f>
        <v>1</v>
      </c>
      <c r="GU155" s="15">
        <f>MIN(1,MAX(VLOOKUP(($AJ155-$AI155-$AH155-$AG155-$AF155-$AE155*(1+GU$3))/$AJ155,'Технический лист'!$A:$B,2,1),(GT155-0.05)))</f>
        <v>1</v>
      </c>
      <c r="GV155" s="15">
        <f>MIN(1,MAX(VLOOKUP(($AJ155-$AI155-$AH155-$AG155-$AF155-$AE155*(1+GV$3))/$AJ155,'Технический лист'!$A:$B,2,1),(GU155-0.05)))</f>
        <v>1</v>
      </c>
      <c r="GW155" s="15">
        <f>MIN(1,MAX(VLOOKUP(($AJ155-$AI155-$AH155-$AG155-$AF155-$AE155*(1+GW$3))/$AJ155,'Технический лист'!$A:$B,2,1),(GV155-0.05)))</f>
        <v>1</v>
      </c>
      <c r="GX155" s="15">
        <f>MIN(1,MAX(VLOOKUP(($AJ155-$AI155-$AH155-$AG155-$AF155-$AE155*(1+GX$3))/$AJ155,'Технический лист'!$A:$B,2,1),(GW155-0.05)))</f>
        <v>1</v>
      </c>
      <c r="GY155" s="15">
        <f>MIN(1,MAX(VLOOKUP(($AJ155-$AI155-$AH155-$AG155-$AF155-$AE155*(1+GY$3))/$AJ155,'Технический лист'!$A:$B,2,1),(GX155-0.05)))</f>
        <v>1</v>
      </c>
      <c r="GZ155" s="15">
        <f>MIN(1,MAX(VLOOKUP(($AJ155-$AI155-$AH155-$AG155-$AF155-$AE155*(1+GZ$3))/$AJ155,'Технический лист'!$A:$B,2,1),(GY155-0.05)))</f>
        <v>1</v>
      </c>
      <c r="HA155" s="15">
        <f>MIN(1,MAX(VLOOKUP(($AJ155-$AI155-$AH155-$AG155-$AF155-$AE155*(1+HA$3))/$AJ155,'Технический лист'!$A:$B,2,1),(GZ155-0.05)))</f>
        <v>1</v>
      </c>
      <c r="HB155" s="15">
        <f>MIN(1,MAX(VLOOKUP(($AJ155-$AI155-$AH155-$AG155-$AF155-$AE155*(1+HB$3))/$AJ155,'Технический лист'!$A:$B,2,1),(HA155-0.05)))</f>
        <v>1</v>
      </c>
      <c r="HC155" s="15">
        <f>MIN(1,MAX(VLOOKUP(($AJ155-$AI155-$AH155-$AG155-$AF155-$AE155*(1+HC$3))/$AJ155,'Технический лист'!$A:$B,2,1),(HB155-0.05)))</f>
        <v>1</v>
      </c>
      <c r="HD155" s="15">
        <f>MIN(1,MAX(VLOOKUP(($AJ155-$AI155-$AH155-$AG155-$AF155-$AE155*(1+HD$3))/$AJ155,'Технический лист'!$A:$B,2,1),(HC155-0.05)))</f>
        <v>1</v>
      </c>
      <c r="HE155" s="15">
        <f>MIN(1,MAX(VLOOKUP(($AJ155-$AI155-$AH155-$AG155-$AF155-$AE155*(1+HE$3))/$AJ155,'Технический лист'!$A:$B,2,1),(HD155-0.05)))</f>
        <v>1</v>
      </c>
      <c r="HF155" s="15">
        <f>MIN(1,MAX(VLOOKUP(($AJ155-$AI155-$AH155-$AG155-$AF155-$AE155*(1+HF$3))/$AJ155,'Технический лист'!$A:$B,2,1),(HE155-0.05)))</f>
        <v>1</v>
      </c>
      <c r="HG155" s="15">
        <f>MIN(1,MAX(VLOOKUP(($AJ155-$AI155-$AH155-$AG155-$AF155-$AE155*(1+HG$3))/$AJ155,'Технический лист'!$A:$B,2,1),(HF155-0.05)))</f>
        <v>1</v>
      </c>
      <c r="HH155" s="15">
        <f>MIN(1,MAX(VLOOKUP(($AJ155-$AI155-$AH155-$AG155-$AF155-$AE155*(1+HH$3))/$AJ155,'Технический лист'!$A:$B,2,1),(HG155-0.05)))</f>
        <v>1</v>
      </c>
      <c r="HI155" s="15">
        <f>MIN(1,MAX(VLOOKUP(($AJ155-$AI155-$AH155-$AG155-$AF155-$AE155*(1+HI$3))/$AJ155,'Технический лист'!$A:$B,2,1),(HH155-0.05)))</f>
        <v>1</v>
      </c>
      <c r="HJ155" s="15">
        <f>MIN(1,MAX(VLOOKUP(($AJ155-$AI155-$AH155-$AG155-$AF155-$AE155*(1+HJ$3))/$AJ155,'Технический лист'!$A:$B,2,1),(HI155-0.05)))</f>
        <v>1</v>
      </c>
      <c r="HK155" s="15">
        <f>MIN(1,MAX(VLOOKUP(($AJ155-$AI155-$AH155-$AG155-$AF155-$AE155*(1+HK$3))/$AJ155,'Технический лист'!$A:$B,2,1),(HJ155-0.05)))</f>
        <v>1</v>
      </c>
      <c r="HL155" s="15">
        <f>MIN(1,MAX(VLOOKUP(($AJ155-$AI155-$AH155-$AG155-$AF155-$AE155*(1+HL$3))/$AJ155,'Технический лист'!$A:$B,2,1),(HK155-0.05)))</f>
        <v>1</v>
      </c>
      <c r="HM155" s="15">
        <f>MIN(1,MAX(VLOOKUP(($AJ155-$AI155-$AH155-$AG155-$AF155-$AE155*(1+HM$3))/$AJ155,'Технический лист'!$A:$B,2,1),(HL155-0.05)))</f>
        <v>1</v>
      </c>
      <c r="HN155" s="15">
        <f>MIN(1,MAX(VLOOKUP(($AJ155-$AI155-$AH155-$AG155-$AF155-$AE155*(1+HN$3))/$AJ155,'Технический лист'!$A:$B,2,1),(HM155-0.05)))</f>
        <v>1</v>
      </c>
      <c r="HO155" s="15">
        <f>MIN(1,MAX(VLOOKUP(($AJ155-$AI155-$AH155-$AG155-$AF155-$AE155*(1+HO$3))/$AJ155,'Технический лист'!$A:$B,2,1),(HN155-0.05)))</f>
        <v>1</v>
      </c>
      <c r="HP155" s="15">
        <f>MIN(1,MAX(VLOOKUP(($AJ155-$AI155-$AH155-$AG155-$AF155-$AE155*(1+HP$3))/$AJ155,'Технический лист'!$A:$B,2,1),(HO155-0.05)))</f>
        <v>1</v>
      </c>
      <c r="HQ155" s="15">
        <f>MIN(1,MAX(VLOOKUP(($AJ155-$AI155-$AH155-$AG155-$AF155-$AE155*(1+HQ$3))/$AJ155,'Технический лист'!$A:$B,2,1),(HP155-0.05)))</f>
        <v>1</v>
      </c>
      <c r="HR155" s="15">
        <f>MIN(1,MAX(VLOOKUP(($AJ155-$AI155-$AH155-$AG155-$AF155-$AE155*(1+HR$3))/$AJ155,'Технический лист'!$A:$B,2,1),(HQ155-0.05)))</f>
        <v>1</v>
      </c>
      <c r="HS155" s="15">
        <f>MIN(1,MAX(VLOOKUP(($AJ155-$AI155-$AH155-$AG155-$AF155-$AE155*(1+HS$3))/$AJ155,'Технический лист'!$A:$B,2,1),(HR155-0.05)))</f>
        <v>1</v>
      </c>
      <c r="HT155" s="15">
        <f>MIN(1,MAX(VLOOKUP(($AJ155-$AI155-$AH155-$AG155-$AF155-$AE155*(1+HT$3))/$AJ155,'Технический лист'!$A:$B,2,1),(HS155-0.05)))</f>
        <v>1</v>
      </c>
      <c r="HU155" s="15">
        <f>MIN(1,MAX(VLOOKUP(($AJ155-$AI155-$AH155-$AG155-$AF155-$AE155*(1+HU$3))/$AJ155,'Технический лист'!$A:$B,2,1),(HT155-0.05)))</f>
        <v>1</v>
      </c>
      <c r="HV155" s="15">
        <f>MIN(1,MAX(VLOOKUP(($AJ155-$AI155-$AH155-$AG155-$AF155-$AE155*(1+HV$3))/$AJ155,'Технический лист'!$A:$B,2,1),(HU155-0.05)))</f>
        <v>1</v>
      </c>
      <c r="HW155" s="15">
        <f>MIN(1,MAX(VLOOKUP(($AJ155-$AI155-$AH155-$AG155-$AF155-$AE155*(1+HW$3))/$AJ155,'Технический лист'!$A:$B,2,1),(HV155-0.05)))</f>
        <v>1</v>
      </c>
      <c r="HX155" s="15">
        <f>MIN(1,MAX(VLOOKUP(($AJ155-$AI155-$AH155-$AG155-$AF155-$AE155*(1+HX$3))/$AJ155,'Технический лист'!$A:$B,2,1),(HW155-0.05)))</f>
        <v>1</v>
      </c>
      <c r="HY155" s="15">
        <f>MIN(1,MAX(VLOOKUP(($AJ155-$AI155-$AH155-$AG155-$AF155-$AE155*(1+HY$3))/$AJ155,'Технический лист'!$A:$B,2,1),(HX155-0.05)))</f>
        <v>1</v>
      </c>
      <c r="HZ155" s="15">
        <f>MIN(1,MAX(VLOOKUP(($AJ155-$AI155-$AH155-$AG155-$AF155-$AE155*(1+HZ$3))/$AJ155,'Технический лист'!$A:$B,2,1),(HY155-0.05)))</f>
        <v>1</v>
      </c>
      <c r="IA155" s="15">
        <f>MIN(1,MAX(VLOOKUP(($AJ155-$AI155-$AH155-$AG155-$AF155-$AE155*(1+IA$3))/$AJ155,'Технический лист'!$A:$B,2,1),(HZ155-0.05)))</f>
        <v>1</v>
      </c>
      <c r="IB155" s="15">
        <f>MIN(1,MAX(VLOOKUP(($AJ155-$AI155-$AH155-$AG155-$AF155-$AE155*(1+IB$3))/$AJ155,'Технический лист'!$A:$B,2,1),(IA155-0.05)))</f>
        <v>1</v>
      </c>
      <c r="IC155" s="15">
        <f>MIN(1,MAX(VLOOKUP(($AJ155-$AI155-$AH155-$AG155-$AF155-$AE155*(1+IC$3))/$AJ155,'Технический лист'!$A:$B,2,1),(IB155-0.05)))</f>
        <v>1</v>
      </c>
      <c r="ID155" s="15">
        <f>MIN(1,MAX(VLOOKUP(($AJ155-$AI155-$AH155-$AG155-$AF155-$AE155*(1+ID$3))/$AJ155,'Технический лист'!$A:$B,2,1),(IC155-0.05)))</f>
        <v>1</v>
      </c>
      <c r="IE155" s="15">
        <f>MIN(1,MAX(VLOOKUP(($AJ155-$AI155-$AH155-$AG155-$AF155-$AE155*(1+IE$3))/$AJ155,'Технический лист'!$A:$B,2,1),(ID155-0.05)))</f>
        <v>1</v>
      </c>
      <c r="IF155" s="15">
        <f>MIN(1,MAX(VLOOKUP(($AJ155-$AI155-$AH155-$AG155-$AF155-$AE155*(1+IF$3))/$AJ155,'Технический лист'!$A:$B,2,1),(IE155-0.05)))</f>
        <v>1</v>
      </c>
      <c r="IG155" s="15">
        <f>MIN(1,MAX(VLOOKUP(($AJ155-$AI155-$AH155-$AG155-$AF155-$AE155*(1+IG$3))/$AJ155,'Технический лист'!$A:$B,2,1),(IF155-0.05)))</f>
        <v>1</v>
      </c>
      <c r="IH155" s="15">
        <f>MIN(1,MAX(VLOOKUP(($AJ155-$AI155-$AH155-$AG155-$AF155-$AE155*(1+IH$3))/$AJ155,'Технический лист'!$A:$B,2,1),(IG155-0.05)))</f>
        <v>1</v>
      </c>
      <c r="II155" s="15">
        <f>MIN(1,MAX(VLOOKUP(($AJ155-$AI155-$AH155-$AG155-$AF155-$AE155*(1+II$3))/$AJ155,'Технический лист'!$A:$B,2,1),(IH155-0.05)))</f>
        <v>1</v>
      </c>
      <c r="IJ155" s="15">
        <f>MIN(1,MAX(VLOOKUP(($AJ155-$AI155-$AH155-$AG155-$AF155-$AE155*(1+IJ$3))/$AJ155,'Технический лист'!$A:$B,2,1),(II155-0.05)))</f>
        <v>1</v>
      </c>
      <c r="IK155" s="15">
        <f>MIN(1,MAX(VLOOKUP(($AJ155-$AI155-$AH155-$AG155-$AF155-$AE155*(1+IK$3))/$AJ155,'Технический лист'!$A:$B,2,1),(IJ155-0.05)))</f>
        <v>1</v>
      </c>
      <c r="IL155" s="15">
        <f>MIN(1,MAX(VLOOKUP(($AJ155-$AI155-$AH155-$AG155-$AF155-$AE155*(1+IL$3))/$AJ155,'Технический лист'!$A:$B,2,1),(IK155-0.05)))</f>
        <v>1</v>
      </c>
      <c r="IM155" s="15">
        <f>MIN(1,MAX(VLOOKUP(($AJ155-$AI155-$AH155-$AG155-$AF155-$AE155*(1+IM$3))/$AJ155,'Технический лист'!$A:$B,2,1),(IL155-0.05)))</f>
        <v>1</v>
      </c>
      <c r="IN155" s="15">
        <f>MIN(1,MAX(VLOOKUP(($AJ155-$AI155-$AH155-$AG155-$AF155-$AE155*(1+IN$3))/$AJ155,'Технический лист'!$A:$B,2,1),(IM155-0.05)))</f>
        <v>1</v>
      </c>
      <c r="IO155" s="15">
        <f>MIN(1,MAX(VLOOKUP(($AJ155-$AI155-$AH155-$AG155-$AF155-$AE155*(1+IO$3))/$AJ155,'Технический лист'!$A:$B,2,1),(IN155-0.05)))</f>
        <v>1</v>
      </c>
      <c r="IP155" s="15">
        <f>MIN(1,MAX(VLOOKUP(($AJ155-$AI155-$AH155-$AG155-$AF155-$AE155*(1+IP$3))/$AJ155,'Технический лист'!$A:$B,2,1),(IO155-0.05)))</f>
        <v>1</v>
      </c>
      <c r="IQ155" s="15">
        <f>MIN(1,MAX(VLOOKUP(($AJ155-$AI155-$AH155-$AG155-$AF155-$AE155*(1+IQ$3))/$AJ155,'Технический лист'!$A:$B,2,1),(IP155-0.05)))</f>
        <v>1</v>
      </c>
      <c r="IR155" s="15">
        <f>MIN(1,MAX(VLOOKUP(($AJ155-$AI155-$AH155-$AG155-$AF155-$AE155*(1+IR$3))/$AJ155,'Технический лист'!$A:$B,2,1),(IQ155-0.05)))</f>
        <v>1</v>
      </c>
    </row>
    <row r="156" spans="1:252" ht="29.15">
      <c r="A156" s="89" t="s">
        <v>515</v>
      </c>
      <c r="B156" s="90">
        <v>10</v>
      </c>
      <c r="C156" s="5" t="s">
        <v>66</v>
      </c>
      <c r="D156" s="91">
        <v>31609</v>
      </c>
      <c r="E156" s="91" t="s">
        <v>323</v>
      </c>
      <c r="F156" s="92" t="s">
        <v>70</v>
      </c>
      <c r="G156" s="91" t="s">
        <v>21</v>
      </c>
      <c r="H156" s="91" t="s">
        <v>50</v>
      </c>
      <c r="I156" s="91" t="s">
        <v>138</v>
      </c>
      <c r="J156" s="91" t="s">
        <v>83</v>
      </c>
      <c r="K156" s="91">
        <v>3005</v>
      </c>
      <c r="L156" s="85" t="s">
        <v>64</v>
      </c>
      <c r="M156" s="91" t="s">
        <v>190</v>
      </c>
      <c r="N156" s="91" t="s">
        <v>191</v>
      </c>
      <c r="O156" s="91" t="s">
        <v>192</v>
      </c>
      <c r="P156" s="89" t="s">
        <v>229</v>
      </c>
      <c r="Q156" s="91" t="s">
        <v>272</v>
      </c>
      <c r="R156" s="91" t="s">
        <v>264</v>
      </c>
      <c r="S156" s="82">
        <v>15534</v>
      </c>
      <c r="T156" s="82">
        <v>46687068</v>
      </c>
      <c r="U156" s="81">
        <v>228</v>
      </c>
      <c r="V156" s="81">
        <v>0</v>
      </c>
      <c r="W156" s="82">
        <v>66623557</v>
      </c>
      <c r="X156" s="112">
        <v>62</v>
      </c>
      <c r="Y156" s="112" t="s">
        <v>416</v>
      </c>
      <c r="Z156" s="113">
        <v>11</v>
      </c>
      <c r="AA156" s="113">
        <v>8</v>
      </c>
      <c r="AB156" s="113">
        <v>4</v>
      </c>
      <c r="AC156" s="99">
        <v>5216.6499999999996</v>
      </c>
      <c r="AD156" s="99">
        <f>AE156-AC156</f>
        <v>726.01000000000022</v>
      </c>
      <c r="AE156" s="99">
        <v>5942.66</v>
      </c>
      <c r="AF156" s="98">
        <f>(Z156+AA156+AB156)*'Ставки аренды'!$B$3/X156</f>
        <v>259.67741935483872</v>
      </c>
      <c r="AG156" s="94">
        <v>0</v>
      </c>
      <c r="AH156" s="94">
        <v>0</v>
      </c>
      <c r="AI156" s="115">
        <f>314456/404359*AJ156</f>
        <v>13997.977045150472</v>
      </c>
      <c r="AJ156" s="117">
        <f>Цены!$D$10</f>
        <v>18000</v>
      </c>
      <c r="AK156" s="94">
        <f>AJ156/Цены!$B$1</f>
        <v>235.89387396714525</v>
      </c>
      <c r="AL156" s="95">
        <f t="shared" si="54"/>
        <v>6202.3374193548389</v>
      </c>
      <c r="AM156" s="95">
        <f t="shared" si="55"/>
        <v>11797.662580645161</v>
      </c>
      <c r="AN156" s="94">
        <f t="shared" si="52"/>
        <v>20200.314464505311</v>
      </c>
      <c r="AO156" s="118">
        <f t="shared" si="53"/>
        <v>-0.12223969247251726</v>
      </c>
      <c r="AP156" s="96">
        <f t="shared" si="56"/>
        <v>0.34457430107526882</v>
      </c>
      <c r="AQ156" s="96">
        <f t="shared" si="57"/>
        <v>0.33014777777777776</v>
      </c>
      <c r="AR156" s="96">
        <f t="shared" si="58"/>
        <v>0.95813232950782445</v>
      </c>
      <c r="AS156" s="122">
        <v>1</v>
      </c>
      <c r="AT156" s="121">
        <f t="shared" si="45"/>
        <v>15534</v>
      </c>
      <c r="AU156" s="83">
        <v>0.7</v>
      </c>
      <c r="AV156" s="119">
        <f t="shared" si="41"/>
        <v>-0.16185742580585066</v>
      </c>
      <c r="AW156" s="120">
        <f t="shared" si="42"/>
        <v>0.38419203440860222</v>
      </c>
      <c r="AX156" s="120">
        <f t="shared" si="43"/>
        <v>0.36976551111111117</v>
      </c>
      <c r="AY156" s="120">
        <f t="shared" si="44"/>
        <v>0.96244970742379332</v>
      </c>
      <c r="AZ156" s="15">
        <f>MIN(IF($AU156=100%,1,1+VLOOKUP(($AJ156-$AI156-$AH156-$AG156-$AF156-$AE156*(1+AZ$3))/$AJ156,'Технический лист'!$I:$J,2,1)-VLOOKUP($AO156,'Технический лист'!$I:$J,2,1)),1+(1-$AU156))</f>
        <v>1.3</v>
      </c>
      <c r="BA156" s="15">
        <f>MIN(IF($AU156=100%,1,1+VLOOKUP(($AJ156-$AI156-$AH156-$AG156-$AF156-$AE156*(1+BA$3))/$AJ156,'Технический лист'!$I:$J,2,1)-VLOOKUP($AO156,'Технический лист'!$I:$J,2,1)),1+(1-$AU156))</f>
        <v>1.3</v>
      </c>
      <c r="BB156" s="15">
        <f>MIN(IF($AU156=100%,1,1+VLOOKUP(($AJ156-$AI156-$AH156-$AG156-$AF156-$AE156*(1+BB$3))/$AJ156,'Технический лист'!$I:$J,2,1)-VLOOKUP($AO156,'Технический лист'!$I:$J,2,1)),1+(1-$AU156))</f>
        <v>1.3</v>
      </c>
      <c r="BC156" s="15">
        <f>MIN(IF($AU156=100%,1,1+VLOOKUP(($AJ156-$AI156-$AH156-$AG156-$AF156-$AE156*(1+BC$3))/$AJ156,'Технический лист'!$I:$J,2,1)-VLOOKUP($AO156,'Технический лист'!$I:$J,2,1)),1+(1-$AU156))</f>
        <v>1.3</v>
      </c>
      <c r="BD156" s="15">
        <f>MIN(IF($AU156=100%,1,1+VLOOKUP(($AJ156-$AI156-$AH156-$AG156-$AF156-$AE156*(1+BD$3))/$AJ156,'Технический лист'!$I:$J,2,1)-VLOOKUP($AO156,'Технический лист'!$I:$J,2,1)),1+(1-$AU156))</f>
        <v>1.3</v>
      </c>
      <c r="BE156" s="15">
        <f>MIN(IF($AU156=100%,1,1+VLOOKUP(($AJ156-$AI156-$AH156-$AG156-$AF156-$AE156*(1+BE$3))/$AJ156,'Технический лист'!$I:$J,2,1)-VLOOKUP($AO156,'Технический лист'!$I:$J,2,1)),1+(1-$AU156))</f>
        <v>1.3</v>
      </c>
      <c r="BF156" s="15">
        <f>MIN(IF($AU156=100%,1,1+VLOOKUP(($AJ156-$AI156-$AH156-$AG156-$AF156-$AE156*(1+BF$3))/$AJ156,'Технический лист'!$I:$J,2,1)-VLOOKUP($AO156,'Технический лист'!$I:$J,2,1)),1+(1-$AU156))</f>
        <v>1.3</v>
      </c>
      <c r="BG156" s="15">
        <f>MIN(IF($AU156=100%,1,1+VLOOKUP(($AJ156-$AI156-$AH156-$AG156-$AF156-$AE156*(1+BG$3))/$AJ156,'Технический лист'!$I:$J,2,1)-VLOOKUP($AO156,'Технический лист'!$I:$J,2,1)),1+(1-$AU156))</f>
        <v>1.3</v>
      </c>
      <c r="BH156" s="15">
        <f>MIN(IF($AU156=100%,1,1+VLOOKUP(($AJ156-$AI156-$AH156-$AG156-$AF156-$AE156*(1+BH$3))/$AJ156,'Технический лист'!$I:$J,2,1)-VLOOKUP($AO156,'Технический лист'!$I:$J,2,1)),1+(1-$AU156))</f>
        <v>1.3</v>
      </c>
      <c r="BI156" s="15">
        <f>MIN(IF($AU156=100%,1,1+VLOOKUP(($AJ156-$AI156-$AH156-$AG156-$AF156-$AE156*(1+BI$3))/$AJ156,'Технический лист'!$I:$J,2,1)-VLOOKUP($AO156,'Технический лист'!$I:$J,2,1)),1+(1-$AU156))</f>
        <v>1.3</v>
      </c>
      <c r="BJ156" s="15">
        <f>MIN(IF($AU156=100%,1,1+VLOOKUP(($AJ156-$AI156-$AH156-$AG156-$AF156-$AE156*(1+BJ$3))/$AJ156,'Технический лист'!$I:$J,2,1)-VLOOKUP($AO156,'Технический лист'!$I:$J,2,1)),1+(1-$AU156))</f>
        <v>1.3</v>
      </c>
      <c r="BK156" s="15">
        <f>MIN(IF($AU156=100%,1,1+VLOOKUP(($AJ156-$AI156-$AH156-$AG156-$AF156-$AE156*(1+BK$3))/$AJ156,'Технический лист'!$I:$J,2,1)-VLOOKUP($AO156,'Технический лист'!$I:$J,2,1)),1+(1-$AU156))</f>
        <v>1.3</v>
      </c>
      <c r="BL156" s="15">
        <f>MIN(IF($AU156=100%,1,1+VLOOKUP(($AJ156-$AI156-$AH156-$AG156-$AF156-$AE156*(1+BL$3))/$AJ156,'Технический лист'!$I:$J,2,1)-VLOOKUP($AO156,'Технический лист'!$I:$J,2,1)),1+(1-$AU156))</f>
        <v>1.3</v>
      </c>
      <c r="BM156" s="15">
        <f>MIN(IF($AU156=100%,1,1+VLOOKUP(($AJ156-$AI156-$AH156-$AG156-$AF156-$AE156*(1+BM$3))/$AJ156,'Технический лист'!$I:$J,2,1)-VLOOKUP($AO156,'Технический лист'!$I:$J,2,1)),1+(1-$AU156))</f>
        <v>1.3</v>
      </c>
      <c r="BN156" s="15">
        <f>MIN(IF($AU156=100%,1,1+VLOOKUP(($AJ156-$AI156-$AH156-$AG156-$AF156-$AE156*(1+BN$3))/$AJ156,'Технический лист'!$I:$J,2,1)-VLOOKUP($AO156,'Технический лист'!$I:$J,2,1)),1+(1-$AU156))</f>
        <v>1.3</v>
      </c>
      <c r="BO156" s="15">
        <f>MIN(IF($AU156=100%,1,1+VLOOKUP(($AJ156-$AI156-$AH156-$AG156-$AF156-$AE156*(1+BO$3))/$AJ156,'Технический лист'!$I:$J,2,1)-VLOOKUP($AO156,'Технический лист'!$I:$J,2,1)),1+(1-$AU156))</f>
        <v>1.3</v>
      </c>
      <c r="BP156" s="15">
        <f>MIN(IF($AU156=100%,1,1+VLOOKUP(($AJ156-$AI156-$AH156-$AG156-$AF156-$AE156*(1+BP$3))/$AJ156,'Технический лист'!$I:$J,2,1)-VLOOKUP($AO156,'Технический лист'!$I:$J,2,1)),1+(1-$AU156))</f>
        <v>1.3</v>
      </c>
      <c r="BQ156" s="15">
        <f>MIN(IF($AU156=100%,1,1+VLOOKUP(($AJ156-$AI156-$AH156-$AG156-$AF156-$AE156*(1+BQ$3))/$AJ156,'Технический лист'!$I:$J,2,1)-VLOOKUP($AO156,'Технический лист'!$I:$J,2,1)),1+(1-$AU156))</f>
        <v>1.3</v>
      </c>
      <c r="BR156" s="15">
        <f>MIN(IF($AU156=100%,1,1+VLOOKUP(($AJ156-$AI156-$AH156-$AG156-$AF156-$AE156*(1+BR$3))/$AJ156,'Технический лист'!$I:$J,2,1)-VLOOKUP($AO156,'Технический лист'!$I:$J,2,1)),1+(1-$AU156))</f>
        <v>1.3</v>
      </c>
      <c r="BS156" s="15">
        <f>MIN(IF($AU156=100%,1,1+VLOOKUP(($AJ156-$AI156-$AH156-$AG156-$AF156-$AE156*(1+BS$3))/$AJ156,'Технический лист'!$I:$J,2,1)-VLOOKUP($AO156,'Технический лист'!$I:$J,2,1)),1+(1-$AU156))</f>
        <v>1.3</v>
      </c>
      <c r="BT156" s="15">
        <f>MIN(IF($AU156=100%,1,1+VLOOKUP(($AJ156-$AI156-$AH156-$AG156-$AF156-$AE156*(1+BT$3))/$AJ156,'Технический лист'!$I:$J,2,1)-VLOOKUP($AO156,'Технический лист'!$I:$J,2,1)),1+(1-$AU156))</f>
        <v>1.3</v>
      </c>
      <c r="BU156" s="15">
        <f>MIN(IF($AU156=100%,1,1+VLOOKUP(($AJ156-$AI156-$AH156-$AG156-$AF156-$AE156*(1+BU$3))/$AJ156,'Технический лист'!$I:$J,2,1)-VLOOKUP($AO156,'Технический лист'!$I:$J,2,1)),1+(1-$AU156))</f>
        <v>1.3</v>
      </c>
      <c r="BV156" s="15">
        <f>MIN(IF($AU156=100%,1,1+VLOOKUP(($AJ156-$AI156-$AH156-$AG156-$AF156-$AE156*(1+BV$3))/$AJ156,'Технический лист'!$I:$J,2,1)-VLOOKUP($AO156,'Технический лист'!$I:$J,2,1)),1+(1-$AU156))</f>
        <v>1.3</v>
      </c>
      <c r="BW156" s="15">
        <f>MIN(IF($AU156=100%,1,1+VLOOKUP(($AJ156-$AI156-$AH156-$AG156-$AF156-$AE156*(1+BW$3))/$AJ156,'Технический лист'!$I:$J,2,1)-VLOOKUP($AO156,'Технический лист'!$I:$J,2,1)),1+(1-$AU156))</f>
        <v>1.3</v>
      </c>
      <c r="BX156" s="15">
        <f>MIN(IF($AU156=100%,1,1+VLOOKUP(($AJ156-$AI156-$AH156-$AG156-$AF156-$AE156*(1+BX$3))/$AJ156,'Технический лист'!$I:$J,2,1)-VLOOKUP($AO156,'Технический лист'!$I:$J,2,1)),1+(1-$AU156))</f>
        <v>1.3</v>
      </c>
      <c r="BY156" s="15">
        <f>MIN(IF($AU156=100%,1,1+VLOOKUP(($AJ156-$AI156-$AH156-$AG156-$AF156-$AE156*(1+BY$3))/$AJ156,'Технический лист'!$I:$J,2,1)-VLOOKUP($AO156,'Технический лист'!$I:$J,2,1)),1+(1-$AU156))</f>
        <v>1.3</v>
      </c>
      <c r="BZ156" s="15">
        <f>MIN(IF($AU156=100%,1,1+VLOOKUP(($AJ156-$AI156-$AH156-$AG156-$AF156-$AE156*(1+BZ$3))/$AJ156,'Технический лист'!$I:$J,2,1)-VLOOKUP($AO156,'Технический лист'!$I:$J,2,1)),1+(1-$AU156))</f>
        <v>1.3</v>
      </c>
      <c r="CA156" s="15">
        <f>MIN(IF($AU156=100%,1,1+VLOOKUP(($AJ156-$AI156-$AH156-$AG156-$AF156-$AE156*(1+CA$3))/$AJ156,'Технический лист'!$I:$J,2,1)-VLOOKUP($AO156,'Технический лист'!$I:$J,2,1)),1+(1-$AU156))</f>
        <v>1.3</v>
      </c>
      <c r="CB156" s="15">
        <f>MIN(IF($AU156=100%,1,1+VLOOKUP(($AJ156-$AI156-$AH156-$AG156-$AF156-$AE156*(1+CB$3))/$AJ156,'Технический лист'!$I:$J,2,1)-VLOOKUP($AO156,'Технический лист'!$I:$J,2,1)),1+(1-$AU156))</f>
        <v>1.3</v>
      </c>
      <c r="CC156" s="15">
        <f>MIN(IF($AU156=100%,1,1+VLOOKUP(($AJ156-$AI156-$AH156-$AG156-$AF156-$AE156*(1+CC$3))/$AJ156,'Технический лист'!$I:$J,2,1)-VLOOKUP($AO156,'Технический лист'!$I:$J,2,1)),1+(1-$AU156))</f>
        <v>1.3</v>
      </c>
      <c r="CD156" s="15">
        <f>MIN(IF($AU156=100%,1,1+VLOOKUP(($AJ156-$AI156-$AH156-$AG156-$AF156-$AE156*(1+CD$3))/$AJ156,'Технический лист'!$I:$J,2,1)-VLOOKUP($AO156,'Технический лист'!$I:$J,2,1)),1+(1-$AU156))</f>
        <v>1.3</v>
      </c>
      <c r="CE156" s="15">
        <f>MIN(IF($AU156=100%,1,1+VLOOKUP(($AJ156-$AI156-$AH156-$AG156-$AF156-$AE156*(1+CE$3))/$AJ156,'Технический лист'!$I:$J,2,1)-VLOOKUP($AO156,'Технический лист'!$I:$J,2,1)),1+(1-$AU156))</f>
        <v>1.3</v>
      </c>
      <c r="CF156" s="15">
        <f>MIN(IF($AU156=100%,1,1+VLOOKUP(($AJ156-$AI156-$AH156-$AG156-$AF156-$AE156*(1+CF$3))/$AJ156,'Технический лист'!$I:$J,2,1)-VLOOKUP($AO156,'Технический лист'!$I:$J,2,1)),1+(1-$AU156))</f>
        <v>1.3</v>
      </c>
      <c r="CG156" s="15">
        <f>MIN(IF($AU156=100%,1,1+VLOOKUP(($AJ156-$AI156-$AH156-$AG156-$AF156-$AE156*(1+CG$3))/$AJ156,'Технический лист'!$I:$J,2,1)-VLOOKUP($AO156,'Технический лист'!$I:$J,2,1)),1+(1-$AU156))</f>
        <v>1.3</v>
      </c>
      <c r="CH156" s="15">
        <f>MIN(IF($AU156=100%,1,1+VLOOKUP(($AJ156-$AI156-$AH156-$AG156-$AF156-$AE156*(1+CH$3))/$AJ156,'Технический лист'!$I:$J,2,1)-VLOOKUP($AO156,'Технический лист'!$I:$J,2,1)),1+(1-$AU156))</f>
        <v>1.3</v>
      </c>
      <c r="CI156" s="15">
        <f>MIN(IF($AU156=100%,1,1+VLOOKUP(($AJ156-$AI156-$AH156-$AG156-$AF156-$AE156*(1+CI$3))/$AJ156,'Технический лист'!$I:$J,2,1)-VLOOKUP($AO156,'Технический лист'!$I:$J,2,1)),1+(1-$AU156))</f>
        <v>1.3</v>
      </c>
      <c r="CJ156" s="15">
        <f>MIN(IF($AU156=100%,1,1+VLOOKUP(($AJ156-$AI156-$AH156-$AG156-$AF156-$AE156*(1+CJ$3))/$AJ156,'Технический лист'!$I:$J,2,1)-VLOOKUP($AO156,'Технический лист'!$I:$J,2,1)),1+(1-$AU156))</f>
        <v>1.3</v>
      </c>
      <c r="CK156" s="15">
        <f>MIN(IF($AU156=100%,1,1+VLOOKUP(($AJ156-$AI156-$AH156-$AG156-$AF156-$AE156*(1+CK$3))/$AJ156,'Технический лист'!$I:$J,2,1)-VLOOKUP($AO156,'Технический лист'!$I:$J,2,1)),1+(1-$AU156))</f>
        <v>1.3</v>
      </c>
      <c r="CL156" s="15">
        <f>MIN(IF($AU156=100%,1,1+VLOOKUP(($AJ156-$AI156-$AH156-$AG156-$AF156-$AE156*(1+CL$3))/$AJ156,'Технический лист'!$I:$J,2,1)-VLOOKUP($AO156,'Технический лист'!$I:$J,2,1)),1+(1-$AU156))</f>
        <v>1.3</v>
      </c>
      <c r="CM156" s="15">
        <f>MIN(IF($AU156=100%,1,1+VLOOKUP(($AJ156-$AI156-$AH156-$AG156-$AF156-$AE156*(1+CM$3))/$AJ156,'Технический лист'!$I:$J,2,1)-VLOOKUP($AO156,'Технический лист'!$I:$J,2,1)),1+(1-$AU156))</f>
        <v>1.3</v>
      </c>
      <c r="CN156" s="15">
        <f>MIN(IF($AU156=100%,1,1+VLOOKUP(($AJ156-$AI156-$AH156-$AG156-$AF156-$AE156*(1+CN$3))/$AJ156,'Технический лист'!$I:$J,2,1)-VLOOKUP($AO156,'Технический лист'!$I:$J,2,1)),1+(1-$AU156))</f>
        <v>1.3</v>
      </c>
      <c r="CO156" s="15">
        <f>MIN(IF($AU156=100%,1,1+VLOOKUP(($AJ156-$AI156-$AH156-$AG156-$AF156-$AE156*(1+CO$3))/$AJ156,'Технический лист'!$I:$J,2,1)-VLOOKUP($AO156,'Технический лист'!$I:$J,2,1)),1+(1-$AU156))</f>
        <v>1.3</v>
      </c>
      <c r="CP156" s="15">
        <f>MIN(IF($AU156=100%,1,1+VLOOKUP(($AJ156-$AI156-$AH156-$AG156-$AF156-$AE156*(1+CP$3))/$AJ156,'Технический лист'!$I:$J,2,1)-VLOOKUP($AO156,'Технический лист'!$I:$J,2,1)),1+(1-$AU156))</f>
        <v>1.3</v>
      </c>
      <c r="CQ156" s="15">
        <f>MIN(IF($AU156=100%,1,1+VLOOKUP(($AJ156-$AI156-$AH156-$AG156-$AF156-$AE156*(1+CQ$3))/$AJ156,'Технический лист'!$I:$J,2,1)-VLOOKUP($AO156,'Технический лист'!$I:$J,2,1)),1+(1-$AU156))</f>
        <v>1.3</v>
      </c>
      <c r="CR156" s="15">
        <f>MIN(IF($AU156=100%,1,1+VLOOKUP(($AJ156-$AI156-$AH156-$AG156-$AF156-$AE156*(1+CR$3))/$AJ156,'Технический лист'!$I:$J,2,1)-VLOOKUP($AO156,'Технический лист'!$I:$J,2,1)),1+(1-$AU156))</f>
        <v>1.3</v>
      </c>
      <c r="CS156" s="15">
        <f>MIN(IF($AU156=100%,1,1+VLOOKUP(($AJ156-$AI156-$AH156-$AG156-$AF156-$AE156*(1+CS$3))/$AJ156,'Технический лист'!$I:$J,2,1)-VLOOKUP($AO156,'Технический лист'!$I:$J,2,1)),1+(1-$AU156))</f>
        <v>1.3</v>
      </c>
      <c r="CT156" s="15">
        <f>MIN(IF($AU156=100%,1,1+VLOOKUP(($AJ156-$AI156-$AH156-$AG156-$AF156-$AE156*(1+CT$3))/$AJ156,'Технический лист'!$I:$J,2,1)-VLOOKUP($AO156,'Технический лист'!$I:$J,2,1)),1+(1-$AU156))</f>
        <v>1.3</v>
      </c>
      <c r="CU156" s="15">
        <f>MIN(IF($AU156=100%,1,1+VLOOKUP(($AJ156-$AI156-$AH156-$AG156-$AF156-$AE156*(1+CU$3))/$AJ156,'Технический лист'!$I:$J,2,1)-VLOOKUP($AO156,'Технический лист'!$I:$J,2,1)),1+(1-$AU156))</f>
        <v>1.3</v>
      </c>
      <c r="CV156" s="15">
        <f>MIN(IF($AU156=100%,1,1+VLOOKUP(($AJ156-$AI156-$AH156-$AG156-$AF156-$AE156*(1+CV$3))/$AJ156,'Технический лист'!$I:$J,2,1)-VLOOKUP($AO156,'Технический лист'!$I:$J,2,1)),1+(1-$AU156))</f>
        <v>1.3</v>
      </c>
      <c r="CW156" s="15">
        <f>MIN(IF($AU156=100%,1,1+VLOOKUP(($AJ156-$AI156-$AH156-$AG156-$AF156-$AE156*(1+CW$3))/$AJ156,'Технический лист'!$I:$J,2,1)-VLOOKUP($AO156,'Технический лист'!$I:$J,2,1)),1+(1-$AU156))</f>
        <v>1.3</v>
      </c>
      <c r="CX156" s="15">
        <f>MIN(IF($AU156=100%,1,1+VLOOKUP(($AJ156-$AI156-$AH156-$AG156-$AF156-$AE156*(1+CX$3))/$AJ156,'Технический лист'!$I:$J,2,1)-VLOOKUP($AO156,'Технический лист'!$I:$J,2,1)),1+(1-$AU156))</f>
        <v>1.3</v>
      </c>
      <c r="CY156" s="15">
        <f>MIN(IF($AU156=100%,1,1+VLOOKUP(($AJ156-$AI156-$AH156-$AG156-$AF156-$AE156*(1+CY$3))/$AJ156,'Технический лист'!$I:$J,2,1)-VLOOKUP($AO156,'Технический лист'!$I:$J,2,1)),1+(1-$AU156))</f>
        <v>1.3</v>
      </c>
      <c r="CZ156" s="15">
        <f>MIN(IF($AU156=100%,1,1+VLOOKUP(($AJ156-$AI156-$AH156-$AG156-$AF156-$AE156*(1+CZ$3))/$AJ156,'Технический лист'!$I:$J,2,1)-VLOOKUP($AO156,'Технический лист'!$I:$J,2,1)),1+(1-$AU156))</f>
        <v>1.3</v>
      </c>
      <c r="DA156" s="15">
        <f>MIN(IF($AU156=100%,1,1+VLOOKUP(($AJ156-$AI156-$AH156-$AG156-$AF156-$AE156*(1+DA$3))/$AJ156,'Технический лист'!$I:$J,2,1)-VLOOKUP($AO156,'Технический лист'!$I:$J,2,1)),1+(1-$AU156))</f>
        <v>1.3</v>
      </c>
      <c r="DB156" s="15">
        <f>MIN(IF($AU156=100%,1,1+VLOOKUP(($AJ156-$AI156-$AH156-$AG156-$AF156-$AE156*(1+DB$3))/$AJ156,'Технический лист'!$I:$J,2,1)-VLOOKUP($AO156,'Технический лист'!$I:$J,2,1)),1+(1-$AU156))</f>
        <v>1.3</v>
      </c>
      <c r="DC156" s="15">
        <f>MIN(IF($AU156=100%,1,1+VLOOKUP(($AJ156-$AI156-$AH156-$AG156-$AF156-$AE156*(1+DC$3))/$AJ156,'Технический лист'!$I:$J,2,1)-VLOOKUP($AO156,'Технический лист'!$I:$J,2,1)),1+(1-$AU156))</f>
        <v>1.3</v>
      </c>
      <c r="DD156" s="15">
        <f>MIN(IF($AU156=100%,1,1+VLOOKUP(($AJ156-$AI156-$AH156-$AG156-$AF156-$AE156*(1+DD$3))/$AJ156,'Технический лист'!$I:$J,2,1)-VLOOKUP($AO156,'Технический лист'!$I:$J,2,1)),1+(1-$AU156))</f>
        <v>1.3</v>
      </c>
      <c r="DE156" s="15">
        <f>MIN(IF($AU156=100%,1,1+VLOOKUP(($AJ156-$AI156-$AH156-$AG156-$AF156-$AE156*(1+DE$3))/$AJ156,'Технический лист'!$I:$J,2,1)-VLOOKUP($AO156,'Технический лист'!$I:$J,2,1)),1+(1-$AU156))</f>
        <v>1.3</v>
      </c>
      <c r="DF156" s="15">
        <f>MIN(IF($AU156=100%,1,1+VLOOKUP(($AJ156-$AI156-$AH156-$AG156-$AF156-$AE156*(1+DF$3))/$AJ156,'Технический лист'!$I:$J,2,1)-VLOOKUP($AO156,'Технический лист'!$I:$J,2,1)),1+(1-$AU156))</f>
        <v>1.3</v>
      </c>
      <c r="DG156" s="15">
        <f>MIN(IF($AU156=100%,1,1+VLOOKUP(($AJ156-$AI156-$AH156-$AG156-$AF156-$AE156*(1+DG$3))/$AJ156,'Технический лист'!$I:$J,2,1)-VLOOKUP($AO156,'Технический лист'!$I:$J,2,1)),1+(1-$AU156))</f>
        <v>1.3</v>
      </c>
      <c r="DH156" s="15">
        <f>MIN(IF($AU156=100%,1,1+VLOOKUP(($AJ156-$AI156-$AH156-$AG156-$AF156-$AE156*(1+DH$3))/$AJ156,'Технический лист'!$I:$J,2,1)-VLOOKUP($AO156,'Технический лист'!$I:$J,2,1)),1+(1-$AU156))</f>
        <v>1.3</v>
      </c>
      <c r="DI156" s="15">
        <f>MIN(IF($AU156=100%,1,1+VLOOKUP(($AJ156-$AI156-$AH156-$AG156-$AF156-$AE156*(1+DI$3))/$AJ156,'Технический лист'!$I:$J,2,1)-VLOOKUP($AO156,'Технический лист'!$I:$J,2,1)),1+(1-$AU156))</f>
        <v>1.3</v>
      </c>
      <c r="DJ156" s="15">
        <f>MIN(IF($AU156=100%,1,1+VLOOKUP(($AJ156-$AI156-$AH156-$AG156-$AF156-$AE156*(1+DJ$3))/$AJ156,'Технический лист'!$I:$J,2,1)-VLOOKUP($AO156,'Технический лист'!$I:$J,2,1)),1+(1-$AU156))</f>
        <v>1.3</v>
      </c>
      <c r="DK156" s="15">
        <f>MIN(IF($AU156=100%,1,1+VLOOKUP(($AJ156-$AI156-$AH156-$AG156-$AF156-$AE156*(1+DK$3))/$AJ156,'Технический лист'!$I:$J,2,1)-VLOOKUP($AO156,'Технический лист'!$I:$J,2,1)),1+(1-$AU156))</f>
        <v>1.3</v>
      </c>
      <c r="DL156" s="15">
        <f>MIN(IF($AU156=100%,1,1+VLOOKUP(($AJ156-$AI156-$AH156-$AG156-$AF156-$AE156*(1+DL$3))/$AJ156,'Технический лист'!$I:$J,2,1)-VLOOKUP($AO156,'Технический лист'!$I:$J,2,1)),1+(1-$AU156))</f>
        <v>1.3</v>
      </c>
      <c r="DM156" s="15">
        <f>MIN(IF($AU156=100%,1,1+VLOOKUP(($AJ156-$AI156-$AH156-$AG156-$AF156-$AE156*(1+DM$3))/$AJ156,'Технический лист'!$I:$J,2,1)-VLOOKUP($AO156,'Технический лист'!$I:$J,2,1)),1+(1-$AU156))</f>
        <v>1.3</v>
      </c>
      <c r="DN156" s="15">
        <f>MIN(IF($AU156=100%,1,1+VLOOKUP(($AJ156-$AI156-$AH156-$AG156-$AF156-$AE156*(1+DN$3))/$AJ156,'Технический лист'!$I:$J,2,1)-VLOOKUP($AO156,'Технический лист'!$I:$J,2,1)),1+(1-$AU156))</f>
        <v>1.3</v>
      </c>
      <c r="DO156" s="15">
        <f>MIN(IF($AU156=100%,1,1+VLOOKUP(($AJ156-$AI156-$AH156-$AG156-$AF156-$AE156*(1+DO$3))/$AJ156,'Технический лист'!$I:$J,2,1)-VLOOKUP($AO156,'Технический лист'!$I:$J,2,1)),1+(1-$AU156))</f>
        <v>1.3</v>
      </c>
      <c r="DP156" s="15">
        <f>MIN(IF($AU156=100%,1,1+VLOOKUP(($AJ156-$AI156-$AH156-$AG156-$AF156-$AE156*(1+DP$3))/$AJ156,'Технический лист'!$I:$J,2,1)-VLOOKUP($AO156,'Технический лист'!$I:$J,2,1)),1+(1-$AU156))</f>
        <v>1.3</v>
      </c>
      <c r="DQ156" s="15">
        <f>MIN(IF($AU156=100%,1,1+VLOOKUP(($AJ156-$AI156-$AH156-$AG156-$AF156-$AE156*(1+DQ$3))/$AJ156,'Технический лист'!$I:$J,2,1)-VLOOKUP($AO156,'Технический лист'!$I:$J,2,1)),1+(1-$AU156))</f>
        <v>1.3</v>
      </c>
      <c r="DR156" s="15">
        <f>MIN(IF($AU156=100%,1,1+VLOOKUP(($AJ156-$AI156-$AH156-$AG156-$AF156-$AE156*(1+DR$3))/$AJ156,'Технический лист'!$I:$J,2,1)-VLOOKUP($AO156,'Технический лист'!$I:$J,2,1)),1+(1-$AU156))</f>
        <v>1.3</v>
      </c>
      <c r="DS156" s="15">
        <f>MIN(IF($AU156=100%,1,1+VLOOKUP(($AJ156-$AI156-$AH156-$AG156-$AF156-$AE156*(1+DS$3))/$AJ156,'Технический лист'!$I:$J,2,1)-VLOOKUP($AO156,'Технический лист'!$I:$J,2,1)),1+(1-$AU156))</f>
        <v>1.3</v>
      </c>
      <c r="DT156" s="15">
        <f>MIN(IF($AU156=100%,1,1+VLOOKUP(($AJ156-$AI156-$AH156-$AG156-$AF156-$AE156*(1+DT$3))/$AJ156,'Технический лист'!$I:$J,2,1)-VLOOKUP($AO156,'Технический лист'!$I:$J,2,1)),1+(1-$AU156))</f>
        <v>1.3</v>
      </c>
      <c r="DU156" s="15">
        <f>MIN(IF($AU156=100%,1,1+VLOOKUP(($AJ156-$AI156-$AH156-$AG156-$AF156-$AE156*(1+DU$3))/$AJ156,'Технический лист'!$I:$J,2,1)-VLOOKUP($AO156,'Технический лист'!$I:$J,2,1)),1+(1-$AU156))</f>
        <v>1.3</v>
      </c>
      <c r="DV156" s="15">
        <f>MIN(IF($AU156=100%,1,1+VLOOKUP(($AJ156-$AI156-$AH156-$AG156-$AF156-$AE156*(1+DV$3))/$AJ156,'Технический лист'!$I:$J,2,1)-VLOOKUP($AO156,'Технический лист'!$I:$J,2,1)),1+(1-$AU156))</f>
        <v>1.3</v>
      </c>
      <c r="DW156" s="15">
        <f>MIN(IF($AU156=100%,1,1+VLOOKUP(($AJ156-$AI156-$AH156-$AG156-$AF156-$AE156*(1+DW$3))/$AJ156,'Технический лист'!$I:$J,2,1)-VLOOKUP($AO156,'Технический лист'!$I:$J,2,1)),1+(1-$AU156))</f>
        <v>1.2700000000000002</v>
      </c>
      <c r="DX156" s="15">
        <f>MIN(IF($AU156=100%,1,1+VLOOKUP(($AJ156-$AI156-$AH156-$AG156-$AF156-$AE156*(1+DX$3))/$AJ156,'Технический лист'!$I:$J,2,1)-VLOOKUP($AO156,'Технический лист'!$I:$J,2,1)),1+(1-$AU156))</f>
        <v>1.2700000000000002</v>
      </c>
      <c r="DY156" s="15">
        <f>MIN(IF($AU156=100%,1,1+VLOOKUP(($AJ156-$AI156-$AH156-$AG156-$AF156-$AE156*(1+DY$3))/$AJ156,'Технический лист'!$I:$J,2,1)-VLOOKUP($AO156,'Технический лист'!$I:$J,2,1)),1+(1-$AU156))</f>
        <v>1.2700000000000002</v>
      </c>
      <c r="DZ156" s="15">
        <f>MIN(IF($AU156=100%,1,1+VLOOKUP(($AJ156-$AI156-$AH156-$AG156-$AF156-$AE156*(1+DZ$3))/$AJ156,'Технический лист'!$I:$J,2,1)-VLOOKUP($AO156,'Технический лист'!$I:$J,2,1)),1+(1-$AU156))</f>
        <v>1.24</v>
      </c>
      <c r="EA156" s="15">
        <f>MIN(IF($AU156=100%,1,1+VLOOKUP(($AJ156-$AI156-$AH156-$AG156-$AF156-$AE156*(1+EA$3))/$AJ156,'Технический лист'!$I:$J,2,1)-VLOOKUP($AO156,'Технический лист'!$I:$J,2,1)),1+(1-$AU156))</f>
        <v>1.24</v>
      </c>
      <c r="EB156" s="15">
        <f>MIN(IF($AU156=100%,1,1+VLOOKUP(($AJ156-$AI156-$AH156-$AG156-$AF156-$AE156*(1+EB$3))/$AJ156,'Технический лист'!$I:$J,2,1)-VLOOKUP($AO156,'Технический лист'!$I:$J,2,1)),1+(1-$AU156))</f>
        <v>1.24</v>
      </c>
      <c r="EC156" s="15">
        <f>MIN(IF($AU156=100%,1,1+VLOOKUP(($AJ156-$AI156-$AH156-$AG156-$AF156-$AE156*(1+EC$3))/$AJ156,'Технический лист'!$I:$J,2,1)-VLOOKUP($AO156,'Технический лист'!$I:$J,2,1)),1+(1-$AU156))</f>
        <v>1.2100000000000002</v>
      </c>
      <c r="ED156" s="15">
        <f>MIN(IF($AU156=100%,1,1+VLOOKUP(($AJ156-$AI156-$AH156-$AG156-$AF156-$AE156*(1+ED$3))/$AJ156,'Технический лист'!$I:$J,2,1)-VLOOKUP($AO156,'Технический лист'!$I:$J,2,1)),1+(1-$AU156))</f>
        <v>1.2100000000000002</v>
      </c>
      <c r="EE156" s="15">
        <f>MIN(IF($AU156=100%,1,1+VLOOKUP(($AJ156-$AI156-$AH156-$AG156-$AF156-$AE156*(1+EE$3))/$AJ156,'Технический лист'!$I:$J,2,1)-VLOOKUP($AO156,'Технический лист'!$I:$J,2,1)),1+(1-$AU156))</f>
        <v>1.2100000000000002</v>
      </c>
      <c r="EF156" s="15">
        <f>MIN(IF($AU156=100%,1,1+VLOOKUP(($AJ156-$AI156-$AH156-$AG156-$AF156-$AE156*(1+EF$3))/$AJ156,'Технический лист'!$I:$J,2,1)-VLOOKUP($AO156,'Технический лист'!$I:$J,2,1)),1+(1-$AU156))</f>
        <v>1.18</v>
      </c>
      <c r="EG156" s="15">
        <f>MIN(IF($AU156=100%,1,1+VLOOKUP(($AJ156-$AI156-$AH156-$AG156-$AF156-$AE156*(1+EG$3))/$AJ156,'Технический лист'!$I:$J,2,1)-VLOOKUP($AO156,'Технический лист'!$I:$J,2,1)),1+(1-$AU156))</f>
        <v>1.18</v>
      </c>
      <c r="EH156" s="15">
        <f>MIN(IF($AU156=100%,1,1+VLOOKUP(($AJ156-$AI156-$AH156-$AG156-$AF156-$AE156*(1+EH$3))/$AJ156,'Технический лист'!$I:$J,2,1)-VLOOKUP($AO156,'Технический лист'!$I:$J,2,1)),1+(1-$AU156))</f>
        <v>1.18</v>
      </c>
      <c r="EI156" s="15">
        <f>MIN(IF($AU156=100%,1,1+VLOOKUP(($AJ156-$AI156-$AH156-$AG156-$AF156-$AE156*(1+EI$3))/$AJ156,'Технический лист'!$I:$J,2,1)-VLOOKUP($AO156,'Технический лист'!$I:$J,2,1)),1+(1-$AU156))</f>
        <v>1.1450000000000002</v>
      </c>
      <c r="EJ156" s="15">
        <f>MIN(IF($AU156=100%,1,1+VLOOKUP(($AJ156-$AI156-$AH156-$AG156-$AF156-$AE156*(1+EJ$3))/$AJ156,'Технический лист'!$I:$J,2,1)-VLOOKUP($AO156,'Технический лист'!$I:$J,2,1)),1+(1-$AU156))</f>
        <v>1.1450000000000002</v>
      </c>
      <c r="EK156" s="15">
        <f>MIN(IF($AU156=100%,1,1+VLOOKUP(($AJ156-$AI156-$AH156-$AG156-$AF156-$AE156*(1+EK$3))/$AJ156,'Технический лист'!$I:$J,2,1)-VLOOKUP($AO156,'Технический лист'!$I:$J,2,1)),1+(1-$AU156))</f>
        <v>1.1450000000000002</v>
      </c>
      <c r="EL156" s="15">
        <f>MIN(IF($AU156=100%,1,1+VLOOKUP(($AJ156-$AI156-$AH156-$AG156-$AF156-$AE156*(1+EL$3))/$AJ156,'Технический лист'!$I:$J,2,1)-VLOOKUP($AO156,'Технический лист'!$I:$J,2,1)),1+(1-$AU156))</f>
        <v>1.1100000000000001</v>
      </c>
      <c r="EM156" s="15">
        <f>MIN(IF($AU156=100%,1,1+VLOOKUP(($AJ156-$AI156-$AH156-$AG156-$AF156-$AE156*(1+EM$3))/$AJ156,'Технический лист'!$I:$J,2,1)-VLOOKUP($AO156,'Технический лист'!$I:$J,2,1)),1+(1-$AU156))</f>
        <v>1.1100000000000001</v>
      </c>
      <c r="EN156" s="15">
        <f>MIN(IF($AU156=100%,1,1+VLOOKUP(($AJ156-$AI156-$AH156-$AG156-$AF156-$AE156*(1+EN$3))/$AJ156,'Технический лист'!$I:$J,2,1)-VLOOKUP($AO156,'Технический лист'!$I:$J,2,1)),1+(1-$AU156))</f>
        <v>1.1100000000000001</v>
      </c>
      <c r="EO156" s="15">
        <f>MIN(IF($AU156=100%,1,1+VLOOKUP(($AJ156-$AI156-$AH156-$AG156-$AF156-$AE156*(1+EO$3))/$AJ156,'Технический лист'!$I:$J,2,1)-VLOOKUP($AO156,'Технический лист'!$I:$J,2,1)),1+(1-$AU156))</f>
        <v>1.075</v>
      </c>
      <c r="EP156" s="15">
        <f>MIN(IF($AU156=100%,1,1+VLOOKUP(($AJ156-$AI156-$AH156-$AG156-$AF156-$AE156*(1+EP$3))/$AJ156,'Технический лист'!$I:$J,2,1)-VLOOKUP($AO156,'Технический лист'!$I:$J,2,1)),1+(1-$AU156))</f>
        <v>1.075</v>
      </c>
      <c r="EQ156" s="15">
        <f>MIN(IF($AU156=100%,1,1+VLOOKUP(($AJ156-$AI156-$AH156-$AG156-$AF156-$AE156*(1+EQ$3))/$AJ156,'Технический лист'!$I:$J,2,1)-VLOOKUP($AO156,'Технический лист'!$I:$J,2,1)),1+(1-$AU156))</f>
        <v>1.075</v>
      </c>
      <c r="ER156" s="15">
        <f>MIN(IF($AU156=100%,1,1+VLOOKUP(($AJ156-$AI156-$AH156-$AG156-$AF156-$AE156*(1+ER$3))/$AJ156,'Технический лист'!$I:$J,2,1)-VLOOKUP($AO156,'Технический лист'!$I:$J,2,1)),1+(1-$AU156))</f>
        <v>1.04</v>
      </c>
      <c r="ES156" s="15">
        <f>MIN(IF($AU156=100%,1,1+VLOOKUP(($AJ156-$AI156-$AH156-$AG156-$AF156-$AE156*(1+ES$3))/$AJ156,'Технический лист'!$I:$J,2,1)-VLOOKUP($AO156,'Технический лист'!$I:$J,2,1)),1+(1-$AU156))</f>
        <v>1.04</v>
      </c>
      <c r="ET156" s="15">
        <f>MIN(IF($AU156=100%,1,1+VLOOKUP(($AJ156-$AI156-$AH156-$AG156-$AF156-$AE156*(1+ET$3))/$AJ156,'Технический лист'!$I:$J,2,1)-VLOOKUP($AO156,'Технический лист'!$I:$J,2,1)),1+(1-$AU156))</f>
        <v>1.04</v>
      </c>
      <c r="EU156" s="15">
        <f>MIN(IF($AU156=100%,1,1+VLOOKUP(($AJ156-$AI156-$AH156-$AG156-$AF156-$AE156*(1+EU$3))/$AJ156,'Технический лист'!$I:$J,2,1)-VLOOKUP($AO156,'Технический лист'!$I:$J,2,1)),1+(1-$AU156))</f>
        <v>1</v>
      </c>
      <c r="EV156" s="111">
        <v>1</v>
      </c>
      <c r="EW156" s="15">
        <f>MIN(1,MAX(VLOOKUP(($AJ156-$AI156-$AH156-$AG156-$AF156-$AE156*(1+EW$3))/$AJ156,'Технический лист'!$A:$B,2,1),(EV156-0.05)))</f>
        <v>0.95</v>
      </c>
      <c r="EX156" s="15">
        <f>MIN(1,MAX(VLOOKUP(($AJ156-$AI156-$AH156-$AG156-$AF156-$AE156*(1+EX$3))/$AJ156,'Технический лист'!$A:$B,2,1),(EW156-0.05)))</f>
        <v>0.94499999999999995</v>
      </c>
      <c r="EY156" s="15">
        <f>MIN(1,MAX(VLOOKUP(($AJ156-$AI156-$AH156-$AG156-$AF156-$AE156*(1+EY$3))/$AJ156,'Технический лист'!$A:$B,2,1),(EX156-0.05)))</f>
        <v>0.94499999999999995</v>
      </c>
      <c r="EZ156" s="15">
        <f>MIN(1,MAX(VLOOKUP(($AJ156-$AI156-$AH156-$AG156-$AF156-$AE156*(1+EZ$3))/$AJ156,'Технический лист'!$A:$B,2,1),(EY156-0.05)))</f>
        <v>0.94499999999999995</v>
      </c>
      <c r="FA156" s="15">
        <f>MIN(1,MAX(VLOOKUP(($AJ156-$AI156-$AH156-$AG156-$AF156-$AE156*(1+FA$3))/$AJ156,'Технический лист'!$A:$B,2,1),(EZ156-0.05)))</f>
        <v>0.94</v>
      </c>
      <c r="FB156" s="15">
        <f>MIN(1,MAX(VLOOKUP(($AJ156-$AI156-$AH156-$AG156-$AF156-$AE156*(1+FB$3))/$AJ156,'Технический лист'!$A:$B,2,1),(FA156-0.05)))</f>
        <v>0.94</v>
      </c>
      <c r="FC156" s="15">
        <f>MIN(1,MAX(VLOOKUP(($AJ156-$AI156-$AH156-$AG156-$AF156-$AE156*(1+FC$3))/$AJ156,'Технический лист'!$A:$B,2,1),(FB156-0.05)))</f>
        <v>0.94</v>
      </c>
      <c r="FD156" s="15">
        <f>MIN(1,MAX(VLOOKUP(($AJ156-$AI156-$AH156-$AG156-$AF156-$AE156*(1+FD$3))/$AJ156,'Технический лист'!$A:$B,2,1),(FC156-0.05)))</f>
        <v>0.94</v>
      </c>
      <c r="FE156" s="15">
        <f>MIN(1,MAX(VLOOKUP(($AJ156-$AI156-$AH156-$AG156-$AF156-$AE156*(1+FE$3))/$AJ156,'Технический лист'!$A:$B,2,1),(FD156-0.05)))</f>
        <v>0.94</v>
      </c>
      <c r="FF156" s="15">
        <f>MIN(1,MAX(VLOOKUP(($AJ156-$AI156-$AH156-$AG156-$AF156-$AE156*(1+FF$3))/$AJ156,'Технический лист'!$A:$B,2,1),(FE156-0.05)))</f>
        <v>0.94</v>
      </c>
      <c r="FG156" s="15">
        <f>MIN(1,MAX(VLOOKUP(($AJ156-$AI156-$AH156-$AG156-$AF156-$AE156*(1+FG$3))/$AJ156,'Технический лист'!$A:$B,2,1),(FF156-0.05)))</f>
        <v>0.93500000000000005</v>
      </c>
      <c r="FH156" s="15">
        <f>MIN(1,MAX(VLOOKUP(($AJ156-$AI156-$AH156-$AG156-$AF156-$AE156*(1+FH$3))/$AJ156,'Технический лист'!$A:$B,2,1),(FG156-0.05)))</f>
        <v>0.93500000000000005</v>
      </c>
      <c r="FI156" s="15">
        <f>MIN(1,MAX(VLOOKUP(($AJ156-$AI156-$AH156-$AG156-$AF156-$AE156*(1+FI$3))/$AJ156,'Технический лист'!$A:$B,2,1),(FH156-0.05)))</f>
        <v>0.93500000000000005</v>
      </c>
      <c r="FJ156" s="15">
        <f>MIN(1,MAX(VLOOKUP(($AJ156-$AI156-$AH156-$AG156-$AF156-$AE156*(1+FJ$3))/$AJ156,'Технический лист'!$A:$B,2,1),(FI156-0.05)))</f>
        <v>0.93500000000000005</v>
      </c>
      <c r="FK156" s="15">
        <f>MIN(1,MAX(VLOOKUP(($AJ156-$AI156-$AH156-$AG156-$AF156-$AE156*(1+FK$3))/$AJ156,'Технический лист'!$A:$B,2,1),(FJ156-0.05)))</f>
        <v>0.93500000000000005</v>
      </c>
      <c r="FL156" s="15">
        <f>MIN(1,MAX(VLOOKUP(($AJ156-$AI156-$AH156-$AG156-$AF156-$AE156*(1+FL$3))/$AJ156,'Технический лист'!$A:$B,2,1),(FK156-0.05)))</f>
        <v>0.93500000000000005</v>
      </c>
      <c r="FM156" s="15">
        <f>MIN(1,MAX(VLOOKUP(($AJ156-$AI156-$AH156-$AG156-$AF156-$AE156*(1+FM$3))/$AJ156,'Технический лист'!$A:$B,2,1),(FL156-0.05)))</f>
        <v>0.93</v>
      </c>
      <c r="FN156" s="15">
        <f>MIN(1,MAX(VLOOKUP(($AJ156-$AI156-$AH156-$AG156-$AF156-$AE156*(1+FN$3))/$AJ156,'Технический лист'!$A:$B,2,1),(FM156-0.05)))</f>
        <v>0.93</v>
      </c>
      <c r="FO156" s="15">
        <f>MIN(1,MAX(VLOOKUP(($AJ156-$AI156-$AH156-$AG156-$AF156-$AE156*(1+FO$3))/$AJ156,'Технический лист'!$A:$B,2,1),(FN156-0.05)))</f>
        <v>0.93</v>
      </c>
      <c r="FP156" s="15">
        <f>MIN(1,MAX(VLOOKUP(($AJ156-$AI156-$AH156-$AG156-$AF156-$AE156*(1+FP$3))/$AJ156,'Технический лист'!$A:$B,2,1),(FO156-0.05)))</f>
        <v>0.93</v>
      </c>
      <c r="FQ156" s="15">
        <f>MIN(1,MAX(VLOOKUP(($AJ156-$AI156-$AH156-$AG156-$AF156-$AE156*(1+FQ$3))/$AJ156,'Технический лист'!$A:$B,2,1),(FP156-0.05)))</f>
        <v>0.93</v>
      </c>
      <c r="FR156" s="15">
        <f>MIN(1,MAX(VLOOKUP(($AJ156-$AI156-$AH156-$AG156-$AF156-$AE156*(1+FR$3))/$AJ156,'Технический лист'!$A:$B,2,1),(FQ156-0.05)))</f>
        <v>0.93</v>
      </c>
      <c r="FS156" s="15">
        <f>MIN(1,MAX(VLOOKUP(($AJ156-$AI156-$AH156-$AG156-$AF156-$AE156*(1+FS$3))/$AJ156,'Технический лист'!$A:$B,2,1),(FR156-0.05)))</f>
        <v>0.92500000000000004</v>
      </c>
      <c r="FT156" s="15">
        <f>MIN(1,MAX(VLOOKUP(($AJ156-$AI156-$AH156-$AG156-$AF156-$AE156*(1+FT$3))/$AJ156,'Технический лист'!$A:$B,2,1),(FS156-0.05)))</f>
        <v>0.92500000000000004</v>
      </c>
      <c r="FU156" s="15">
        <f>MIN(1,MAX(VLOOKUP(($AJ156-$AI156-$AH156-$AG156-$AF156-$AE156*(1+FU$3))/$AJ156,'Технический лист'!$A:$B,2,1),(FT156-0.05)))</f>
        <v>0.92500000000000004</v>
      </c>
      <c r="FV156" s="15">
        <f>MIN(1,MAX(VLOOKUP(($AJ156-$AI156-$AH156-$AG156-$AF156-$AE156*(1+FV$3))/$AJ156,'Технический лист'!$A:$B,2,1),(FU156-0.05)))</f>
        <v>0.92500000000000004</v>
      </c>
      <c r="FW156" s="15">
        <f>MIN(1,MAX(VLOOKUP(($AJ156-$AI156-$AH156-$AG156-$AF156-$AE156*(1+FW$3))/$AJ156,'Технический лист'!$A:$B,2,1),(FV156-0.05)))</f>
        <v>0.92500000000000004</v>
      </c>
      <c r="FX156" s="15">
        <f>MIN(1,MAX(VLOOKUP(($AJ156-$AI156-$AH156-$AG156-$AF156-$AE156*(1+FX$3))/$AJ156,'Технический лист'!$A:$B,2,1),(FW156-0.05)))</f>
        <v>0.92500000000000004</v>
      </c>
      <c r="FY156" s="15">
        <f>MIN(1,MAX(VLOOKUP(($AJ156-$AI156-$AH156-$AG156-$AF156-$AE156*(1+FY$3))/$AJ156,'Технический лист'!$A:$B,2,1),(FX156-0.05)))</f>
        <v>0.92</v>
      </c>
      <c r="FZ156" s="15">
        <f>MIN(1,MAX(VLOOKUP(($AJ156-$AI156-$AH156-$AG156-$AF156-$AE156*(1+FZ$3))/$AJ156,'Технический лист'!$A:$B,2,1),(FY156-0.05)))</f>
        <v>0.92</v>
      </c>
      <c r="GA156" s="15">
        <f>MIN(1,MAX(VLOOKUP(($AJ156-$AI156-$AH156-$AG156-$AF156-$AE156*(1+GA$3))/$AJ156,'Технический лист'!$A:$B,2,1),(FZ156-0.05)))</f>
        <v>0.92</v>
      </c>
      <c r="GB156" s="15">
        <f>MIN(1,MAX(VLOOKUP(($AJ156-$AI156-$AH156-$AG156-$AF156-$AE156*(1+GB$3))/$AJ156,'Технический лист'!$A:$B,2,1),(GA156-0.05)))</f>
        <v>0.92</v>
      </c>
      <c r="GC156" s="15">
        <f>MIN(1,MAX(VLOOKUP(($AJ156-$AI156-$AH156-$AG156-$AF156-$AE156*(1+GC$3))/$AJ156,'Технический лист'!$A:$B,2,1),(GB156-0.05)))</f>
        <v>0.92</v>
      </c>
      <c r="GD156" s="15">
        <f>MIN(1,MAX(VLOOKUP(($AJ156-$AI156-$AH156-$AG156-$AF156-$AE156*(1+GD$3))/$AJ156,'Технический лист'!$A:$B,2,1),(GC156-0.05)))</f>
        <v>0.92</v>
      </c>
      <c r="GE156" s="15">
        <f>MIN(1,MAX(VLOOKUP(($AJ156-$AI156-$AH156-$AG156-$AF156-$AE156*(1+GE$3))/$AJ156,'Технический лист'!$A:$B,2,1),(GD156-0.05)))</f>
        <v>0.91400000000000003</v>
      </c>
      <c r="GF156" s="15">
        <f>MIN(1,MAX(VLOOKUP(($AJ156-$AI156-$AH156-$AG156-$AF156-$AE156*(1+GF$3))/$AJ156,'Технический лист'!$A:$B,2,1),(GE156-0.05)))</f>
        <v>0.91400000000000003</v>
      </c>
      <c r="GG156" s="15">
        <f>MIN(1,MAX(VLOOKUP(($AJ156-$AI156-$AH156-$AG156-$AF156-$AE156*(1+GG$3))/$AJ156,'Технический лист'!$A:$B,2,1),(GF156-0.05)))</f>
        <v>0.91400000000000003</v>
      </c>
      <c r="GH156" s="15">
        <f>MIN(1,MAX(VLOOKUP(($AJ156-$AI156-$AH156-$AG156-$AF156-$AE156*(1+GH$3))/$AJ156,'Технический лист'!$A:$B,2,1),(GG156-0.05)))</f>
        <v>0.91400000000000003</v>
      </c>
      <c r="GI156" s="15">
        <f>MIN(1,MAX(VLOOKUP(($AJ156-$AI156-$AH156-$AG156-$AF156-$AE156*(1+GI$3))/$AJ156,'Технический лист'!$A:$B,2,1),(GH156-0.05)))</f>
        <v>0.91400000000000003</v>
      </c>
      <c r="GJ156" s="15">
        <f>MIN(1,MAX(VLOOKUP(($AJ156-$AI156-$AH156-$AG156-$AF156-$AE156*(1+GJ$3))/$AJ156,'Технический лист'!$A:$B,2,1),(GI156-0.05)))</f>
        <v>0.91400000000000003</v>
      </c>
      <c r="GK156" s="15">
        <f>MIN(1,MAX(VLOOKUP(($AJ156-$AI156-$AH156-$AG156-$AF156-$AE156*(1+GK$3))/$AJ156,'Технический лист'!$A:$B,2,1),(GJ156-0.05)))</f>
        <v>0.91400000000000003</v>
      </c>
      <c r="GL156" s="15">
        <f>MIN(1,MAX(VLOOKUP(($AJ156-$AI156-$AH156-$AG156-$AF156-$AE156*(1+GL$3))/$AJ156,'Технический лист'!$A:$B,2,1),(GK156-0.05)))</f>
        <v>0.90800000000000003</v>
      </c>
      <c r="GM156" s="15">
        <f>MIN(1,MAX(VLOOKUP(($AJ156-$AI156-$AH156-$AG156-$AF156-$AE156*(1+GM$3))/$AJ156,'Технический лист'!$A:$B,2,1),(GL156-0.05)))</f>
        <v>0.90800000000000003</v>
      </c>
      <c r="GN156" s="15">
        <f>MIN(1,MAX(VLOOKUP(($AJ156-$AI156-$AH156-$AG156-$AF156-$AE156*(1+GN$3))/$AJ156,'Технический лист'!$A:$B,2,1),(GM156-0.05)))</f>
        <v>0.90800000000000003</v>
      </c>
      <c r="GO156" s="15">
        <f>MIN(1,MAX(VLOOKUP(($AJ156-$AI156-$AH156-$AG156-$AF156-$AE156*(1+GO$3))/$AJ156,'Технический лист'!$A:$B,2,1),(GN156-0.05)))</f>
        <v>0.90800000000000003</v>
      </c>
      <c r="GP156" s="15">
        <f>MIN(1,MAX(VLOOKUP(($AJ156-$AI156-$AH156-$AG156-$AF156-$AE156*(1+GP$3))/$AJ156,'Технический лист'!$A:$B,2,1),(GO156-0.05)))</f>
        <v>0.90800000000000003</v>
      </c>
      <c r="GQ156" s="15">
        <f>MIN(1,MAX(VLOOKUP(($AJ156-$AI156-$AH156-$AG156-$AF156-$AE156*(1+GQ$3))/$AJ156,'Технический лист'!$A:$B,2,1),(GP156-0.05)))</f>
        <v>0.90800000000000003</v>
      </c>
      <c r="GR156" s="15">
        <f>MIN(1,MAX(VLOOKUP(($AJ156-$AI156-$AH156-$AG156-$AF156-$AE156*(1+GR$3))/$AJ156,'Технический лист'!$A:$B,2,1),(GQ156-0.05)))</f>
        <v>0.90200000000000002</v>
      </c>
      <c r="GS156" s="15">
        <f>MIN(1,MAX(VLOOKUP(($AJ156-$AI156-$AH156-$AG156-$AF156-$AE156*(1+GS$3))/$AJ156,'Технический лист'!$A:$B,2,1),(GR156-0.05)))</f>
        <v>0.90200000000000002</v>
      </c>
      <c r="GT156" s="15">
        <f>MIN(1,MAX(VLOOKUP(($AJ156-$AI156-$AH156-$AG156-$AF156-$AE156*(1+GT$3))/$AJ156,'Технический лист'!$A:$B,2,1),(GS156-0.05)))</f>
        <v>0.90200000000000002</v>
      </c>
      <c r="GU156" s="15">
        <f>MIN(1,MAX(VLOOKUP(($AJ156-$AI156-$AH156-$AG156-$AF156-$AE156*(1+GU$3))/$AJ156,'Технический лист'!$A:$B,2,1),(GT156-0.05)))</f>
        <v>0.90200000000000002</v>
      </c>
      <c r="GV156" s="15">
        <f>MIN(1,MAX(VLOOKUP(($AJ156-$AI156-$AH156-$AG156-$AF156-$AE156*(1+GV$3))/$AJ156,'Технический лист'!$A:$B,2,1),(GU156-0.05)))</f>
        <v>0.90200000000000002</v>
      </c>
      <c r="GW156" s="15">
        <f>MIN(1,MAX(VLOOKUP(($AJ156-$AI156-$AH156-$AG156-$AF156-$AE156*(1+GW$3))/$AJ156,'Технический лист'!$A:$B,2,1),(GV156-0.05)))</f>
        <v>0.90200000000000002</v>
      </c>
      <c r="GX156" s="15">
        <f>MIN(1,MAX(VLOOKUP(($AJ156-$AI156-$AH156-$AG156-$AF156-$AE156*(1+GX$3))/$AJ156,'Технический лист'!$A:$B,2,1),(GW156-0.05)))</f>
        <v>0.89600000000000002</v>
      </c>
      <c r="GY156" s="15">
        <f>MIN(1,MAX(VLOOKUP(($AJ156-$AI156-$AH156-$AG156-$AF156-$AE156*(1+GY$3))/$AJ156,'Технический лист'!$A:$B,2,1),(GX156-0.05)))</f>
        <v>0.89600000000000002</v>
      </c>
      <c r="GZ156" s="15">
        <f>MIN(1,MAX(VLOOKUP(($AJ156-$AI156-$AH156-$AG156-$AF156-$AE156*(1+GZ$3))/$AJ156,'Технический лист'!$A:$B,2,1),(GY156-0.05)))</f>
        <v>0.89600000000000002</v>
      </c>
      <c r="HA156" s="15">
        <f>MIN(1,MAX(VLOOKUP(($AJ156-$AI156-$AH156-$AG156-$AF156-$AE156*(1+HA$3))/$AJ156,'Технический лист'!$A:$B,2,1),(GZ156-0.05)))</f>
        <v>0.89600000000000002</v>
      </c>
      <c r="HB156" s="15">
        <f>MIN(1,MAX(VLOOKUP(($AJ156-$AI156-$AH156-$AG156-$AF156-$AE156*(1+HB$3))/$AJ156,'Технический лист'!$A:$B,2,1),(HA156-0.05)))</f>
        <v>0.89600000000000002</v>
      </c>
      <c r="HC156" s="15">
        <f>MIN(1,MAX(VLOOKUP(($AJ156-$AI156-$AH156-$AG156-$AF156-$AE156*(1+HC$3))/$AJ156,'Технический лист'!$A:$B,2,1),(HB156-0.05)))</f>
        <v>0.89600000000000002</v>
      </c>
      <c r="HD156" s="15">
        <f>MIN(1,MAX(VLOOKUP(($AJ156-$AI156-$AH156-$AG156-$AF156-$AE156*(1+HD$3))/$AJ156,'Технический лист'!$A:$B,2,1),(HC156-0.05)))</f>
        <v>0.89</v>
      </c>
      <c r="HE156" s="15">
        <f>MIN(1,MAX(VLOOKUP(($AJ156-$AI156-$AH156-$AG156-$AF156-$AE156*(1+HE$3))/$AJ156,'Технический лист'!$A:$B,2,1),(HD156-0.05)))</f>
        <v>0.89</v>
      </c>
      <c r="HF156" s="15">
        <f>MIN(1,MAX(VLOOKUP(($AJ156-$AI156-$AH156-$AG156-$AF156-$AE156*(1+HF$3))/$AJ156,'Технический лист'!$A:$B,2,1),(HE156-0.05)))</f>
        <v>0.89</v>
      </c>
      <c r="HG156" s="15">
        <f>MIN(1,MAX(VLOOKUP(($AJ156-$AI156-$AH156-$AG156-$AF156-$AE156*(1+HG$3))/$AJ156,'Технический лист'!$A:$B,2,1),(HF156-0.05)))</f>
        <v>0.89</v>
      </c>
      <c r="HH156" s="15">
        <f>MIN(1,MAX(VLOOKUP(($AJ156-$AI156-$AH156-$AG156-$AF156-$AE156*(1+HH$3))/$AJ156,'Технический лист'!$A:$B,2,1),(HG156-0.05)))</f>
        <v>0.89</v>
      </c>
      <c r="HI156" s="15">
        <f>MIN(1,MAX(VLOOKUP(($AJ156-$AI156-$AH156-$AG156-$AF156-$AE156*(1+HI$3))/$AJ156,'Технический лист'!$A:$B,2,1),(HH156-0.05)))</f>
        <v>0.89</v>
      </c>
      <c r="HJ156" s="15">
        <f>MIN(1,MAX(VLOOKUP(($AJ156-$AI156-$AH156-$AG156-$AF156-$AE156*(1+HJ$3))/$AJ156,'Технический лист'!$A:$B,2,1),(HI156-0.05)))</f>
        <v>0.88400000000000001</v>
      </c>
      <c r="HK156" s="15">
        <f>MIN(1,MAX(VLOOKUP(($AJ156-$AI156-$AH156-$AG156-$AF156-$AE156*(1+HK$3))/$AJ156,'Технический лист'!$A:$B,2,1),(HJ156-0.05)))</f>
        <v>0.88400000000000001</v>
      </c>
      <c r="HL156" s="15">
        <f>MIN(1,MAX(VLOOKUP(($AJ156-$AI156-$AH156-$AG156-$AF156-$AE156*(1+HL$3))/$AJ156,'Технический лист'!$A:$B,2,1),(HK156-0.05)))</f>
        <v>0.88400000000000001</v>
      </c>
      <c r="HM156" s="15">
        <f>MIN(1,MAX(VLOOKUP(($AJ156-$AI156-$AH156-$AG156-$AF156-$AE156*(1+HM$3))/$AJ156,'Технический лист'!$A:$B,2,1),(HL156-0.05)))</f>
        <v>0.88400000000000001</v>
      </c>
      <c r="HN156" s="15">
        <f>MIN(1,MAX(VLOOKUP(($AJ156-$AI156-$AH156-$AG156-$AF156-$AE156*(1+HN$3))/$AJ156,'Технический лист'!$A:$B,2,1),(HM156-0.05)))</f>
        <v>0.88400000000000001</v>
      </c>
      <c r="HO156" s="15">
        <f>MIN(1,MAX(VLOOKUP(($AJ156-$AI156-$AH156-$AG156-$AF156-$AE156*(1+HO$3))/$AJ156,'Технический лист'!$A:$B,2,1),(HN156-0.05)))</f>
        <v>0.88400000000000001</v>
      </c>
      <c r="HP156" s="15">
        <f>MIN(1,MAX(VLOOKUP(($AJ156-$AI156-$AH156-$AG156-$AF156-$AE156*(1+HP$3))/$AJ156,'Технический лист'!$A:$B,2,1),(HO156-0.05)))</f>
        <v>0.878</v>
      </c>
      <c r="HQ156" s="15">
        <f>MIN(1,MAX(VLOOKUP(($AJ156-$AI156-$AH156-$AG156-$AF156-$AE156*(1+HQ$3))/$AJ156,'Технический лист'!$A:$B,2,1),(HP156-0.05)))</f>
        <v>0.878</v>
      </c>
      <c r="HR156" s="15">
        <f>MIN(1,MAX(VLOOKUP(($AJ156-$AI156-$AH156-$AG156-$AF156-$AE156*(1+HR$3))/$AJ156,'Технический лист'!$A:$B,2,1),(HQ156-0.05)))</f>
        <v>0.878</v>
      </c>
      <c r="HS156" s="15">
        <f>MIN(1,MAX(VLOOKUP(($AJ156-$AI156-$AH156-$AG156-$AF156-$AE156*(1+HS$3))/$AJ156,'Технический лист'!$A:$B,2,1),(HR156-0.05)))</f>
        <v>0.878</v>
      </c>
      <c r="HT156" s="15">
        <f>MIN(1,MAX(VLOOKUP(($AJ156-$AI156-$AH156-$AG156-$AF156-$AE156*(1+HT$3))/$AJ156,'Технический лист'!$A:$B,2,1),(HS156-0.05)))</f>
        <v>0.878</v>
      </c>
      <c r="HU156" s="15">
        <f>MIN(1,MAX(VLOOKUP(($AJ156-$AI156-$AH156-$AG156-$AF156-$AE156*(1+HU$3))/$AJ156,'Технический лист'!$A:$B,2,1),(HT156-0.05)))</f>
        <v>0.878</v>
      </c>
      <c r="HV156" s="15">
        <f>MIN(1,MAX(VLOOKUP(($AJ156-$AI156-$AH156-$AG156-$AF156-$AE156*(1+HV$3))/$AJ156,'Технический лист'!$A:$B,2,1),(HU156-0.05)))</f>
        <v>0.872</v>
      </c>
      <c r="HW156" s="15">
        <f>MIN(1,MAX(VLOOKUP(($AJ156-$AI156-$AH156-$AG156-$AF156-$AE156*(1+HW$3))/$AJ156,'Технический лист'!$A:$B,2,1),(HV156-0.05)))</f>
        <v>0.872</v>
      </c>
      <c r="HX156" s="15">
        <f>MIN(1,MAX(VLOOKUP(($AJ156-$AI156-$AH156-$AG156-$AF156-$AE156*(1+HX$3))/$AJ156,'Технический лист'!$A:$B,2,1),(HW156-0.05)))</f>
        <v>0.872</v>
      </c>
      <c r="HY156" s="15">
        <f>MIN(1,MAX(VLOOKUP(($AJ156-$AI156-$AH156-$AG156-$AF156-$AE156*(1+HY$3))/$AJ156,'Технический лист'!$A:$B,2,1),(HX156-0.05)))</f>
        <v>0.872</v>
      </c>
      <c r="HZ156" s="15">
        <f>MIN(1,MAX(VLOOKUP(($AJ156-$AI156-$AH156-$AG156-$AF156-$AE156*(1+HZ$3))/$AJ156,'Технический лист'!$A:$B,2,1),(HY156-0.05)))</f>
        <v>0.872</v>
      </c>
      <c r="IA156" s="15">
        <f>MIN(1,MAX(VLOOKUP(($AJ156-$AI156-$AH156-$AG156-$AF156-$AE156*(1+IA$3))/$AJ156,'Технический лист'!$A:$B,2,1),(HZ156-0.05)))</f>
        <v>0.872</v>
      </c>
      <c r="IB156" s="15">
        <f>MIN(1,MAX(VLOOKUP(($AJ156-$AI156-$AH156-$AG156-$AF156-$AE156*(1+IB$3))/$AJ156,'Технический лист'!$A:$B,2,1),(IA156-0.05)))</f>
        <v>0.86599999999999999</v>
      </c>
      <c r="IC156" s="15">
        <f>MIN(1,MAX(VLOOKUP(($AJ156-$AI156-$AH156-$AG156-$AF156-$AE156*(1+IC$3))/$AJ156,'Технический лист'!$A:$B,2,1),(IB156-0.05)))</f>
        <v>0.86599999999999999</v>
      </c>
      <c r="ID156" s="15">
        <f>MIN(1,MAX(VLOOKUP(($AJ156-$AI156-$AH156-$AG156-$AF156-$AE156*(1+ID$3))/$AJ156,'Технический лист'!$A:$B,2,1),(IC156-0.05)))</f>
        <v>0.86599999999999999</v>
      </c>
      <c r="IE156" s="15">
        <f>MIN(1,MAX(VLOOKUP(($AJ156-$AI156-$AH156-$AG156-$AF156-$AE156*(1+IE$3))/$AJ156,'Технический лист'!$A:$B,2,1),(ID156-0.05)))</f>
        <v>0.86599999999999999</v>
      </c>
      <c r="IF156" s="15">
        <f>MIN(1,MAX(VLOOKUP(($AJ156-$AI156-$AH156-$AG156-$AF156-$AE156*(1+IF$3))/$AJ156,'Технический лист'!$A:$B,2,1),(IE156-0.05)))</f>
        <v>0.86599999999999999</v>
      </c>
      <c r="IG156" s="15">
        <f>MIN(1,MAX(VLOOKUP(($AJ156-$AI156-$AH156-$AG156-$AF156-$AE156*(1+IG$3))/$AJ156,'Технический лист'!$A:$B,2,1),(IF156-0.05)))</f>
        <v>0.86599999999999999</v>
      </c>
      <c r="IH156" s="15">
        <f>MIN(1,MAX(VLOOKUP(($AJ156-$AI156-$AH156-$AG156-$AF156-$AE156*(1+IH$3))/$AJ156,'Технический лист'!$A:$B,2,1),(IG156-0.05)))</f>
        <v>0.86</v>
      </c>
      <c r="II156" s="15">
        <f>MIN(1,MAX(VLOOKUP(($AJ156-$AI156-$AH156-$AG156-$AF156-$AE156*(1+II$3))/$AJ156,'Технический лист'!$A:$B,2,1),(IH156-0.05)))</f>
        <v>0.86</v>
      </c>
      <c r="IJ156" s="15">
        <f>MIN(1,MAX(VLOOKUP(($AJ156-$AI156-$AH156-$AG156-$AF156-$AE156*(1+IJ$3))/$AJ156,'Технический лист'!$A:$B,2,1),(II156-0.05)))</f>
        <v>0.86</v>
      </c>
      <c r="IK156" s="15">
        <f>MIN(1,MAX(VLOOKUP(($AJ156-$AI156-$AH156-$AG156-$AF156-$AE156*(1+IK$3))/$AJ156,'Технический лист'!$A:$B,2,1),(IJ156-0.05)))</f>
        <v>0.86</v>
      </c>
      <c r="IL156" s="15">
        <f>MIN(1,MAX(VLOOKUP(($AJ156-$AI156-$AH156-$AG156-$AF156-$AE156*(1+IL$3))/$AJ156,'Технический лист'!$A:$B,2,1),(IK156-0.05)))</f>
        <v>0.86</v>
      </c>
      <c r="IM156" s="15">
        <f>MIN(1,MAX(VLOOKUP(($AJ156-$AI156-$AH156-$AG156-$AF156-$AE156*(1+IM$3))/$AJ156,'Технический лист'!$A:$B,2,1),(IL156-0.05)))</f>
        <v>0.86</v>
      </c>
      <c r="IN156" s="15">
        <f>MIN(1,MAX(VLOOKUP(($AJ156-$AI156-$AH156-$AG156-$AF156-$AE156*(1+IN$3))/$AJ156,'Технический лист'!$A:$B,2,1),(IM156-0.05)))</f>
        <v>0.85399999999999998</v>
      </c>
      <c r="IO156" s="15">
        <f>MIN(1,MAX(VLOOKUP(($AJ156-$AI156-$AH156-$AG156-$AF156-$AE156*(1+IO$3))/$AJ156,'Технический лист'!$A:$B,2,1),(IN156-0.05)))</f>
        <v>0.85399999999999998</v>
      </c>
      <c r="IP156" s="15">
        <f>MIN(1,MAX(VLOOKUP(($AJ156-$AI156-$AH156-$AG156-$AF156-$AE156*(1+IP$3))/$AJ156,'Технический лист'!$A:$B,2,1),(IO156-0.05)))</f>
        <v>0.85399999999999998</v>
      </c>
      <c r="IQ156" s="15">
        <f>MIN(1,MAX(VLOOKUP(($AJ156-$AI156-$AH156-$AG156-$AF156-$AE156*(1+IQ$3))/$AJ156,'Технический лист'!$A:$B,2,1),(IP156-0.05)))</f>
        <v>0.85399999999999998</v>
      </c>
      <c r="IR156" s="15">
        <f>MIN(1,MAX(VLOOKUP(($AJ156-$AI156-$AH156-$AG156-$AF156-$AE156*(1+IR$3))/$AJ156,'Технический лист'!$A:$B,2,1),(IQ156-0.05)))</f>
        <v>0.85399999999999998</v>
      </c>
    </row>
  </sheetData>
  <autoFilter ref="A3:XFD156" xr:uid="{00000000-0009-0000-0000-000000000000}"/>
  <mergeCells count="7">
    <mergeCell ref="IS1:IT1"/>
    <mergeCell ref="A2:W2"/>
    <mergeCell ref="X2:AB2"/>
    <mergeCell ref="AC2:AS2"/>
    <mergeCell ref="CX2:IR2"/>
    <mergeCell ref="AV2:AY2"/>
    <mergeCell ref="AU2:AU3"/>
  </mergeCells>
  <conditionalFormatting sqref="AS4:AS1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4:EU156 EW4:IR15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79:EU79 EW4:IR15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12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8" r:id="rId4" name="Option Button 14">
              <controlPr defaultSize="0" autoFill="0" autoLine="0" autoPict="0">
                <anchor moveWithCells="1">
                  <from>
                    <xdr:col>255</xdr:col>
                    <xdr:colOff>81643</xdr:colOff>
                    <xdr:row>0</xdr:row>
                    <xdr:rowOff>446314</xdr:rowOff>
                  </from>
                  <to>
                    <xdr:col>256</xdr:col>
                    <xdr:colOff>10886</xdr:colOff>
                    <xdr:row>2</xdr:row>
                    <xdr:rowOff>195943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5" name="Option Button 15">
              <controlPr defaultSize="0" autoFill="0" autoLine="0" autoPict="0">
                <anchor moveWithCells="1">
                  <from>
                    <xdr:col>255</xdr:col>
                    <xdr:colOff>97971</xdr:colOff>
                    <xdr:row>2</xdr:row>
                    <xdr:rowOff>277586</xdr:rowOff>
                  </from>
                  <to>
                    <xdr:col>256</xdr:col>
                    <xdr:colOff>424543</xdr:colOff>
                    <xdr:row>2</xdr:row>
                    <xdr:rowOff>1088571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showGridLines="0" workbookViewId="0">
      <selection activeCell="B4" sqref="B4"/>
    </sheetView>
  </sheetViews>
  <sheetFormatPr defaultRowHeight="14.6"/>
  <sheetData>
    <row r="1" spans="1:2">
      <c r="A1" s="12" t="s">
        <v>463</v>
      </c>
      <c r="B1" s="12" t="s">
        <v>464</v>
      </c>
    </row>
    <row r="2" spans="1:2">
      <c r="A2" s="12" t="s">
        <v>465</v>
      </c>
      <c r="B2" s="25">
        <v>10</v>
      </c>
    </row>
    <row r="3" spans="1:2">
      <c r="A3" s="12" t="s">
        <v>466</v>
      </c>
      <c r="B3" s="25">
        <v>13</v>
      </c>
    </row>
    <row r="4" spans="1:2">
      <c r="A4" s="12" t="s">
        <v>467</v>
      </c>
      <c r="B4" s="25">
        <v>8</v>
      </c>
    </row>
    <row r="7" spans="1:2">
      <c r="A7" s="12" t="s">
        <v>463</v>
      </c>
      <c r="B7" s="12" t="s">
        <v>468</v>
      </c>
    </row>
    <row r="8" spans="1:2">
      <c r="A8" s="12" t="s">
        <v>465</v>
      </c>
      <c r="B8" s="25">
        <v>19</v>
      </c>
    </row>
    <row r="9" spans="1:2">
      <c r="A9" s="12" t="s">
        <v>466</v>
      </c>
      <c r="B9" s="25">
        <v>16</v>
      </c>
    </row>
    <row r="10" spans="1:2">
      <c r="A10" s="12" t="s">
        <v>467</v>
      </c>
      <c r="B10" s="25">
        <v>10</v>
      </c>
    </row>
    <row r="12" spans="1:2">
      <c r="A12" s="12" t="s">
        <v>463</v>
      </c>
      <c r="B12" s="12" t="s">
        <v>469</v>
      </c>
    </row>
    <row r="13" spans="1:2">
      <c r="A13" s="12" t="s">
        <v>470</v>
      </c>
      <c r="B13" s="25">
        <v>1500</v>
      </c>
    </row>
    <row r="15" spans="1:2">
      <c r="A15" s="12" t="s">
        <v>463</v>
      </c>
      <c r="B15" s="12" t="s">
        <v>471</v>
      </c>
    </row>
    <row r="16" spans="1:2">
      <c r="A16" s="12" t="s">
        <v>470</v>
      </c>
      <c r="B16" s="25">
        <v>22500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showGridLines="0" workbookViewId="0">
      <selection activeCell="B5" sqref="B5"/>
    </sheetView>
  </sheetViews>
  <sheetFormatPr defaultRowHeight="14.6"/>
  <cols>
    <col min="1" max="1" width="17.69140625" customWidth="1"/>
  </cols>
  <sheetData>
    <row r="1" spans="1:2">
      <c r="A1" s="12" t="s">
        <v>456</v>
      </c>
      <c r="B1" s="12" t="s">
        <v>457</v>
      </c>
    </row>
    <row r="2" spans="1:2">
      <c r="A2" s="12" t="s">
        <v>458</v>
      </c>
      <c r="B2" s="12">
        <v>1000</v>
      </c>
    </row>
    <row r="3" spans="1:2">
      <c r="A3" s="12" t="s">
        <v>459</v>
      </c>
      <c r="B3" s="12">
        <v>700</v>
      </c>
    </row>
    <row r="4" spans="1:2">
      <c r="A4" t="s">
        <v>403</v>
      </c>
      <c r="B4">
        <v>2700</v>
      </c>
    </row>
    <row r="5" spans="1:2">
      <c r="A5" t="s">
        <v>460</v>
      </c>
    </row>
    <row r="6" spans="1:2">
      <c r="A6" t="s">
        <v>461</v>
      </c>
      <c r="B6">
        <f>1100+250*2</f>
        <v>1600</v>
      </c>
    </row>
    <row r="7" spans="1:2">
      <c r="A7" t="s">
        <v>462</v>
      </c>
      <c r="B7">
        <v>1500</v>
      </c>
    </row>
    <row r="8" spans="1:2">
      <c r="A8" t="s">
        <v>188</v>
      </c>
      <c r="B8">
        <v>3000</v>
      </c>
    </row>
    <row r="9" spans="1:2">
      <c r="A9" t="s">
        <v>401</v>
      </c>
      <c r="B9">
        <v>2500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showGridLines="0" workbookViewId="0">
      <selection activeCell="B2" sqref="B2"/>
    </sheetView>
  </sheetViews>
  <sheetFormatPr defaultRowHeight="14.6"/>
  <cols>
    <col min="1" max="1" width="15.3046875" customWidth="1"/>
    <col min="2" max="2" width="32.3828125" customWidth="1"/>
    <col min="3" max="3" width="13.3828125" customWidth="1"/>
  </cols>
  <sheetData>
    <row r="1" spans="1:3" ht="18.45">
      <c r="A1" s="8" t="s">
        <v>407</v>
      </c>
      <c r="B1" s="8" t="s">
        <v>408</v>
      </c>
      <c r="C1" s="51" t="s">
        <v>494</v>
      </c>
    </row>
    <row r="2" spans="1:3">
      <c r="A2" s="52" t="s">
        <v>409</v>
      </c>
      <c r="B2" s="53">
        <f>AVERAGE(B4:B15)</f>
        <v>76.305499999999995</v>
      </c>
      <c r="C2" s="10">
        <v>46196</v>
      </c>
    </row>
    <row r="3" spans="1:3">
      <c r="A3" s="12"/>
      <c r="B3" s="12"/>
      <c r="C3" s="12"/>
    </row>
    <row r="4" spans="1:3">
      <c r="A4" s="54" t="s">
        <v>495</v>
      </c>
      <c r="B4" s="54">
        <v>77.563199999999995</v>
      </c>
      <c r="C4" s="12"/>
    </row>
    <row r="5" spans="1:3">
      <c r="A5" s="54" t="s">
        <v>496</v>
      </c>
      <c r="B5" s="54">
        <v>76.851600000000005</v>
      </c>
      <c r="C5" s="12"/>
    </row>
    <row r="6" spans="1:3">
      <c r="A6" s="54" t="s">
        <v>497</v>
      </c>
      <c r="B6" s="54">
        <v>80.761300000000006</v>
      </c>
      <c r="C6" s="12"/>
    </row>
    <row r="7" spans="1:3">
      <c r="A7" s="54" t="s">
        <v>498</v>
      </c>
      <c r="B7" s="54">
        <v>76.938000000000002</v>
      </c>
      <c r="C7" s="12"/>
    </row>
    <row r="8" spans="1:3">
      <c r="A8" s="54" t="s">
        <v>499</v>
      </c>
      <c r="B8" s="54">
        <v>73.006900000000002</v>
      </c>
      <c r="C8" s="12"/>
    </row>
    <row r="9" spans="1:3">
      <c r="A9" s="54" t="s">
        <v>500</v>
      </c>
      <c r="B9" s="54">
        <v>72.712000000000003</v>
      </c>
      <c r="C9" s="12"/>
    </row>
    <row r="10" spans="1:3">
      <c r="A10" s="54" t="s">
        <v>501</v>
      </c>
      <c r="B10" s="54"/>
      <c r="C10" s="12"/>
    </row>
    <row r="11" spans="1:3">
      <c r="A11" s="54" t="s">
        <v>502</v>
      </c>
      <c r="B11" s="55"/>
      <c r="C11" s="11"/>
    </row>
    <row r="12" spans="1:3">
      <c r="A12" s="54" t="s">
        <v>503</v>
      </c>
      <c r="B12" s="55"/>
      <c r="C12" s="11"/>
    </row>
    <row r="13" spans="1:3">
      <c r="A13" s="54" t="s">
        <v>504</v>
      </c>
      <c r="B13" s="55"/>
      <c r="C13" s="11"/>
    </row>
    <row r="14" spans="1:3">
      <c r="A14" s="54" t="s">
        <v>505</v>
      </c>
      <c r="B14" s="55"/>
      <c r="C14" s="11"/>
    </row>
    <row r="15" spans="1:3">
      <c r="A15" s="54" t="s">
        <v>506</v>
      </c>
      <c r="B15" s="55"/>
      <c r="C15" s="11"/>
    </row>
    <row r="16" spans="1:3">
      <c r="A16" s="9"/>
      <c r="B16" s="10"/>
      <c r="C16" s="11"/>
    </row>
    <row r="17" spans="1:3">
      <c r="A17" s="9"/>
      <c r="B17" s="10"/>
      <c r="C17" s="11"/>
    </row>
    <row r="18" spans="1:3">
      <c r="A18" s="9"/>
      <c r="B18" s="10"/>
      <c r="C18" s="11"/>
    </row>
    <row r="19" spans="1:3">
      <c r="A19" s="9"/>
      <c r="B19" s="10"/>
      <c r="C19" s="11"/>
    </row>
    <row r="20" spans="1:3">
      <c r="A20" s="9"/>
      <c r="B20" s="10"/>
      <c r="C20" s="11"/>
    </row>
    <row r="21" spans="1:3">
      <c r="A21" s="9"/>
      <c r="B21" s="10"/>
      <c r="C21" s="11"/>
    </row>
    <row r="22" spans="1:3">
      <c r="A22" s="9"/>
      <c r="B22" s="10"/>
      <c r="C22" s="11"/>
    </row>
    <row r="23" spans="1:3">
      <c r="A23" s="9"/>
      <c r="B23" s="10"/>
      <c r="C23" s="11"/>
    </row>
    <row r="24" spans="1:3">
      <c r="A24" s="9"/>
      <c r="B24" s="10"/>
      <c r="C24" s="11"/>
    </row>
    <row r="25" spans="1:3">
      <c r="A25" s="9"/>
      <c r="B25" s="10"/>
      <c r="C25" s="11"/>
    </row>
    <row r="26" spans="1:3">
      <c r="A26" s="9"/>
      <c r="B26" s="10"/>
      <c r="C26" s="11"/>
    </row>
    <row r="27" spans="1:3">
      <c r="A27" s="9"/>
      <c r="B27" s="10"/>
      <c r="C27" s="11"/>
    </row>
    <row r="28" spans="1:3">
      <c r="A28" s="9"/>
      <c r="B28" s="10"/>
      <c r="C28" s="11"/>
    </row>
    <row r="29" spans="1:3">
      <c r="A29" s="9"/>
      <c r="B29" s="10"/>
      <c r="C29" s="11"/>
    </row>
    <row r="30" spans="1:3">
      <c r="A30" s="9"/>
      <c r="B30" s="10"/>
      <c r="C30" s="11"/>
    </row>
    <row r="31" spans="1:3">
      <c r="A31" s="9"/>
      <c r="B31" s="10"/>
      <c r="C31" s="11"/>
    </row>
    <row r="32" spans="1:3">
      <c r="A32" s="9"/>
      <c r="B32" s="10"/>
      <c r="C32" s="11"/>
    </row>
    <row r="33" spans="1:3">
      <c r="A33" s="9"/>
      <c r="B33" s="10"/>
      <c r="C33" s="11"/>
    </row>
    <row r="34" spans="1:3">
      <c r="A34" s="9"/>
      <c r="B34" s="10"/>
      <c r="C34" s="11"/>
    </row>
    <row r="35" spans="1:3">
      <c r="A35" s="9"/>
      <c r="B35" s="10"/>
      <c r="C35" s="11"/>
    </row>
    <row r="36" spans="1:3">
      <c r="A36" s="9"/>
      <c r="B36" s="10"/>
      <c r="C36" s="11"/>
    </row>
    <row r="37" spans="1:3">
      <c r="A37" s="9"/>
      <c r="B37" s="10"/>
      <c r="C37" s="11"/>
    </row>
    <row r="38" spans="1:3">
      <c r="A38" s="9"/>
      <c r="B38" s="10"/>
      <c r="C38" s="11"/>
    </row>
    <row r="39" spans="1:3">
      <c r="A39" s="9"/>
      <c r="B39" s="10"/>
      <c r="C39" s="11"/>
    </row>
    <row r="40" spans="1:3">
      <c r="A40" s="9"/>
      <c r="B40" s="10"/>
      <c r="C40" s="11"/>
    </row>
    <row r="41" spans="1:3">
      <c r="A41" s="9"/>
      <c r="B41" s="10"/>
      <c r="C41" s="11"/>
    </row>
    <row r="42" spans="1:3">
      <c r="A42" s="9"/>
      <c r="B42" s="10"/>
      <c r="C42" s="11"/>
    </row>
    <row r="43" spans="1:3">
      <c r="A43" s="9"/>
      <c r="B43" s="10"/>
      <c r="C43" s="11"/>
    </row>
    <row r="44" spans="1:3">
      <c r="A44" s="9"/>
      <c r="B44" s="10"/>
      <c r="C44" s="11"/>
    </row>
    <row r="45" spans="1:3">
      <c r="A45" s="9"/>
      <c r="B45" s="10"/>
      <c r="C45" s="11"/>
    </row>
    <row r="46" spans="1:3">
      <c r="A46" s="9"/>
      <c r="B46" s="10"/>
      <c r="C46" s="11"/>
    </row>
    <row r="47" spans="1:3">
      <c r="A47" s="9"/>
      <c r="B47" s="10"/>
      <c r="C47" s="11"/>
    </row>
    <row r="48" spans="1:3">
      <c r="A48" s="9"/>
      <c r="B48" s="10"/>
      <c r="C48" s="11"/>
    </row>
    <row r="49" spans="1:3">
      <c r="A49" s="9"/>
      <c r="B49" s="10"/>
      <c r="C49" s="11"/>
    </row>
    <row r="50" spans="1:3">
      <c r="A50" s="9"/>
      <c r="B50" s="10"/>
      <c r="C50" s="11"/>
    </row>
    <row r="51" spans="1:3">
      <c r="A51" s="9"/>
      <c r="B51" s="10"/>
      <c r="C51" s="11"/>
    </row>
    <row r="52" spans="1:3">
      <c r="A52" s="9"/>
      <c r="B52" s="10"/>
      <c r="C52" s="11"/>
    </row>
    <row r="53" spans="1:3">
      <c r="A53" s="9"/>
      <c r="B53" s="10"/>
      <c r="C53" s="11"/>
    </row>
    <row r="54" spans="1:3">
      <c r="A54" s="9"/>
      <c r="B54" s="10"/>
      <c r="C54" s="11"/>
    </row>
    <row r="55" spans="1:3">
      <c r="A55" s="9"/>
      <c r="B55" s="10"/>
      <c r="C55" s="11"/>
    </row>
    <row r="56" spans="1:3">
      <c r="A56" s="9"/>
      <c r="B56" s="10"/>
      <c r="C56" s="11"/>
    </row>
    <row r="57" spans="1:3">
      <c r="A57" s="9"/>
      <c r="B57" s="10"/>
      <c r="C57" s="11"/>
    </row>
    <row r="58" spans="1:3">
      <c r="A58" s="9"/>
      <c r="B58" s="10"/>
      <c r="C58" s="11"/>
    </row>
    <row r="59" spans="1:3">
      <c r="A59" s="9"/>
      <c r="B59" s="10"/>
      <c r="C59" s="11"/>
    </row>
    <row r="60" spans="1:3">
      <c r="A60" s="9"/>
      <c r="B60" s="10"/>
      <c r="C60" s="11"/>
    </row>
    <row r="61" spans="1:3">
      <c r="A61" s="9"/>
      <c r="B61" s="10"/>
      <c r="C61" s="11"/>
    </row>
    <row r="62" spans="1:3">
      <c r="A62" s="9"/>
      <c r="B62" s="10"/>
      <c r="C62" s="11"/>
    </row>
    <row r="63" spans="1:3">
      <c r="A63" s="9"/>
      <c r="B63" s="10"/>
      <c r="C63" s="11"/>
    </row>
    <row r="64" spans="1:3">
      <c r="A64" s="9"/>
      <c r="B64" s="10"/>
      <c r="C64" s="11"/>
    </row>
    <row r="65" spans="1:3">
      <c r="A65" s="9"/>
      <c r="B65" s="10"/>
      <c r="C65" s="11"/>
    </row>
    <row r="66" spans="1:3">
      <c r="A66" s="9"/>
      <c r="B66" s="10"/>
      <c r="C66" s="11"/>
    </row>
    <row r="67" spans="1:3">
      <c r="A67" s="9"/>
      <c r="B67" s="10"/>
      <c r="C67" s="11"/>
    </row>
    <row r="68" spans="1:3">
      <c r="A68" s="9"/>
      <c r="B68" s="10"/>
      <c r="C68" s="11"/>
    </row>
    <row r="69" spans="1:3">
      <c r="A69" s="9"/>
      <c r="B69" s="10"/>
      <c r="C69" s="11"/>
    </row>
    <row r="70" spans="1:3">
      <c r="A70" s="9"/>
      <c r="B70" s="10"/>
      <c r="C70" s="11"/>
    </row>
    <row r="71" spans="1:3">
      <c r="A71" s="9"/>
      <c r="B71" s="10"/>
      <c r="C71" s="11"/>
    </row>
    <row r="72" spans="1:3">
      <c r="A72" s="9"/>
      <c r="B72" s="10"/>
      <c r="C72" s="11"/>
    </row>
    <row r="73" spans="1:3">
      <c r="A73" s="9"/>
      <c r="B73" s="10"/>
      <c r="C73" s="11"/>
    </row>
    <row r="74" spans="1:3">
      <c r="A74" s="9"/>
      <c r="B74" s="10"/>
      <c r="C74" s="11"/>
    </row>
    <row r="75" spans="1:3">
      <c r="A75" s="9"/>
      <c r="B75" s="10"/>
      <c r="C75" s="11"/>
    </row>
    <row r="76" spans="1:3">
      <c r="A76" s="9"/>
      <c r="B76" s="10"/>
      <c r="C76" s="11"/>
    </row>
    <row r="77" spans="1:3">
      <c r="A77" s="9"/>
      <c r="B77" s="10"/>
      <c r="C77" s="11"/>
    </row>
    <row r="78" spans="1:3">
      <c r="A78" s="9"/>
      <c r="B78" s="10"/>
      <c r="C78" s="11"/>
    </row>
    <row r="79" spans="1:3">
      <c r="A79" s="9"/>
      <c r="B79" s="10"/>
      <c r="C79" s="11"/>
    </row>
    <row r="80" spans="1:3">
      <c r="A80" s="9"/>
      <c r="B80" s="10"/>
      <c r="C80" s="11"/>
    </row>
    <row r="81" spans="1:3">
      <c r="A81" s="9"/>
      <c r="B81" s="10"/>
      <c r="C81" s="11"/>
    </row>
    <row r="82" spans="1:3">
      <c r="A82" s="9"/>
      <c r="B82" s="10"/>
      <c r="C82" s="11"/>
    </row>
    <row r="83" spans="1:3">
      <c r="A83" s="9"/>
      <c r="B83" s="10"/>
      <c r="C83" s="11"/>
    </row>
    <row r="84" spans="1:3">
      <c r="A84" s="9"/>
      <c r="B84" s="10"/>
      <c r="C84" s="11"/>
    </row>
    <row r="85" spans="1:3">
      <c r="A85" s="9"/>
      <c r="B85" s="10"/>
      <c r="C85" s="11"/>
    </row>
    <row r="86" spans="1:3">
      <c r="A86" s="9"/>
      <c r="B86" s="10"/>
      <c r="C86" s="11"/>
    </row>
    <row r="87" spans="1:3">
      <c r="A87" s="9"/>
      <c r="B87" s="10"/>
      <c r="C87" s="11"/>
    </row>
    <row r="88" spans="1:3">
      <c r="A88" s="9"/>
      <c r="B88" s="10"/>
      <c r="C88" s="11"/>
    </row>
    <row r="89" spans="1:3">
      <c r="A89" s="9"/>
      <c r="B89" s="10"/>
      <c r="C89" s="11"/>
    </row>
    <row r="90" spans="1:3">
      <c r="A90" s="9"/>
      <c r="B90" s="10"/>
      <c r="C90" s="11"/>
    </row>
    <row r="91" spans="1:3">
      <c r="A91" s="9"/>
      <c r="B91" s="10"/>
      <c r="C91" s="11"/>
    </row>
    <row r="92" spans="1:3">
      <c r="A92" s="9"/>
      <c r="B92" s="10"/>
      <c r="C92" s="11"/>
    </row>
    <row r="93" spans="1:3">
      <c r="A93" s="9"/>
      <c r="B93" s="10"/>
      <c r="C93" s="11"/>
    </row>
    <row r="94" spans="1:3">
      <c r="A94" s="9"/>
      <c r="B94" s="10"/>
      <c r="C94" s="11"/>
    </row>
    <row r="95" spans="1:3">
      <c r="A95" s="9"/>
      <c r="B95" s="10"/>
      <c r="C95" s="11"/>
    </row>
    <row r="96" spans="1:3">
      <c r="A96" s="9"/>
      <c r="B96" s="10"/>
      <c r="C96" s="11"/>
    </row>
    <row r="97" spans="1:3">
      <c r="A97" s="9"/>
      <c r="B97" s="10"/>
      <c r="C97" s="11"/>
    </row>
    <row r="98" spans="1:3">
      <c r="A98" s="9"/>
      <c r="B98" s="10"/>
      <c r="C98" s="11"/>
    </row>
    <row r="99" spans="1:3">
      <c r="A99" s="9"/>
      <c r="B99" s="10"/>
      <c r="C99" s="11"/>
    </row>
    <row r="100" spans="1:3">
      <c r="A100" s="9"/>
      <c r="B100" s="10"/>
      <c r="C100" s="11"/>
    </row>
    <row r="101" spans="1:3">
      <c r="A101" s="9"/>
      <c r="B101" s="10"/>
      <c r="C101" s="11"/>
    </row>
    <row r="102" spans="1:3">
      <c r="A102" s="9"/>
      <c r="B102" s="10"/>
      <c r="C102" s="11"/>
    </row>
    <row r="103" spans="1:3">
      <c r="A103" s="9"/>
      <c r="B103" s="10"/>
      <c r="C103" s="11"/>
    </row>
  </sheetData>
  <hyperlinks>
    <hyperlink ref="C1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9"/>
  <sheetViews>
    <sheetView showGridLines="0" zoomScale="115" zoomScaleNormal="115" workbookViewId="0">
      <selection activeCell="A13" sqref="A13:G13"/>
    </sheetView>
  </sheetViews>
  <sheetFormatPr defaultRowHeight="14.6"/>
  <cols>
    <col min="1" max="1" width="33.921875" customWidth="1"/>
    <col min="2" max="2" width="13.84375" customWidth="1"/>
    <col min="3" max="3" width="13.84375" style="12" customWidth="1"/>
    <col min="4" max="4" width="12.53515625" customWidth="1"/>
    <col min="5" max="5" width="15.15234375" customWidth="1"/>
    <col min="6" max="6" width="11.23046875" customWidth="1"/>
  </cols>
  <sheetData>
    <row r="1" spans="1:7" s="12" customFormat="1">
      <c r="A1" s="49" t="s">
        <v>493</v>
      </c>
      <c r="B1" s="49">
        <f>'Курсы валют'!B2</f>
        <v>76.305499999999995</v>
      </c>
      <c r="C1" s="49"/>
    </row>
    <row r="2" spans="1:7" s="12" customFormat="1"/>
    <row r="3" spans="1:7" s="12" customFormat="1"/>
    <row r="4" spans="1:7">
      <c r="A4" t="s">
        <v>405</v>
      </c>
      <c r="B4" t="s">
        <v>406</v>
      </c>
      <c r="C4" s="8" t="s">
        <v>508</v>
      </c>
      <c r="D4" s="12" t="s">
        <v>507</v>
      </c>
      <c r="E4" t="s">
        <v>477</v>
      </c>
    </row>
    <row r="5" spans="1:7">
      <c r="A5" s="47" t="s">
        <v>410</v>
      </c>
      <c r="B5" s="47" t="s">
        <v>17</v>
      </c>
      <c r="C5" s="47">
        <v>470</v>
      </c>
      <c r="D5" s="47"/>
      <c r="E5" s="47" t="s">
        <v>492</v>
      </c>
      <c r="F5" s="48">
        <v>46206</v>
      </c>
      <c r="G5" s="47" t="s">
        <v>491</v>
      </c>
    </row>
    <row r="6" spans="1:7">
      <c r="A6" t="s">
        <v>411</v>
      </c>
      <c r="B6" t="s">
        <v>17</v>
      </c>
      <c r="C6">
        <v>440</v>
      </c>
      <c r="E6" s="12" t="s">
        <v>483</v>
      </c>
    </row>
    <row r="7" spans="1:7">
      <c r="A7" t="s">
        <v>412</v>
      </c>
      <c r="B7" t="s">
        <v>17</v>
      </c>
      <c r="D7">
        <v>22500</v>
      </c>
      <c r="E7" t="s">
        <v>484</v>
      </c>
    </row>
    <row r="8" spans="1:7">
      <c r="A8" t="s">
        <v>413</v>
      </c>
      <c r="B8" t="s">
        <v>17</v>
      </c>
      <c r="C8">
        <v>207</v>
      </c>
      <c r="E8" t="s">
        <v>485</v>
      </c>
    </row>
    <row r="9" spans="1:7">
      <c r="A9" t="s">
        <v>413</v>
      </c>
      <c r="B9" t="s">
        <v>419</v>
      </c>
      <c r="D9">
        <v>17000</v>
      </c>
      <c r="E9" t="s">
        <v>478</v>
      </c>
    </row>
    <row r="10" spans="1:7">
      <c r="A10" t="s">
        <v>422</v>
      </c>
      <c r="B10" t="s">
        <v>419</v>
      </c>
      <c r="D10">
        <v>18000</v>
      </c>
      <c r="E10" s="12" t="s">
        <v>484</v>
      </c>
    </row>
    <row r="11" spans="1:7">
      <c r="A11" s="50" t="s">
        <v>423</v>
      </c>
      <c r="B11" s="50" t="s">
        <v>419</v>
      </c>
      <c r="C11" s="50"/>
      <c r="D11" s="50">
        <v>62000</v>
      </c>
      <c r="E11" s="50" t="s">
        <v>492</v>
      </c>
      <c r="F11" s="58">
        <v>46206</v>
      </c>
      <c r="G11" s="50"/>
    </row>
    <row r="12" spans="1:7">
      <c r="A12" s="50" t="s">
        <v>424</v>
      </c>
      <c r="B12" s="50" t="s">
        <v>419</v>
      </c>
      <c r="C12" s="50"/>
      <c r="D12" s="50">
        <v>6000</v>
      </c>
      <c r="E12" s="50" t="s">
        <v>492</v>
      </c>
      <c r="F12" s="58">
        <v>46206</v>
      </c>
      <c r="G12" s="50" t="s">
        <v>510</v>
      </c>
    </row>
    <row r="13" spans="1:7" s="123" customFormat="1">
      <c r="A13" s="47" t="s">
        <v>424</v>
      </c>
      <c r="B13" s="47" t="s">
        <v>17</v>
      </c>
      <c r="C13" s="47">
        <v>103</v>
      </c>
      <c r="D13" s="56">
        <f>$C$13*$B$1</f>
        <v>7859.4664999999995</v>
      </c>
      <c r="E13" s="47" t="s">
        <v>492</v>
      </c>
      <c r="F13" s="48">
        <v>46206</v>
      </c>
      <c r="G13" s="47" t="s">
        <v>509</v>
      </c>
    </row>
    <row r="14" spans="1:7">
      <c r="A14" s="50" t="s">
        <v>335</v>
      </c>
      <c r="B14" s="50" t="s">
        <v>419</v>
      </c>
      <c r="C14" s="50"/>
      <c r="D14" s="50">
        <v>5400</v>
      </c>
      <c r="E14" s="50" t="s">
        <v>492</v>
      </c>
      <c r="F14" s="58">
        <v>46206</v>
      </c>
      <c r="G14" s="50" t="s">
        <v>510</v>
      </c>
    </row>
    <row r="15" spans="1:7" s="12" customFormat="1">
      <c r="A15" s="47" t="s">
        <v>335</v>
      </c>
      <c r="B15" s="47" t="s">
        <v>17</v>
      </c>
      <c r="C15" s="47">
        <v>80</v>
      </c>
      <c r="D15" s="47"/>
      <c r="E15" s="47" t="s">
        <v>492</v>
      </c>
      <c r="F15" s="48">
        <v>46206</v>
      </c>
      <c r="G15" s="47" t="s">
        <v>509</v>
      </c>
    </row>
    <row r="16" spans="1:7">
      <c r="A16" s="50" t="s">
        <v>425</v>
      </c>
      <c r="B16" s="50" t="s">
        <v>419</v>
      </c>
      <c r="C16" s="50"/>
      <c r="D16" s="50">
        <v>48600</v>
      </c>
      <c r="E16" s="50" t="s">
        <v>492</v>
      </c>
      <c r="F16" s="58">
        <v>46206</v>
      </c>
      <c r="G16" s="50"/>
    </row>
    <row r="17" spans="1:7" s="12" customFormat="1">
      <c r="A17" s="47" t="s">
        <v>425</v>
      </c>
      <c r="B17" s="47" t="s">
        <v>17</v>
      </c>
      <c r="C17" s="47">
        <v>520</v>
      </c>
      <c r="D17" s="47"/>
      <c r="E17" s="47" t="s">
        <v>492</v>
      </c>
      <c r="F17" s="48">
        <v>46206</v>
      </c>
      <c r="G17" s="47" t="s">
        <v>491</v>
      </c>
    </row>
    <row r="18" spans="1:7">
      <c r="A18" t="s">
        <v>426</v>
      </c>
      <c r="B18" t="s">
        <v>419</v>
      </c>
      <c r="D18">
        <v>82500</v>
      </c>
      <c r="E18" t="s">
        <v>478</v>
      </c>
    </row>
    <row r="19" spans="1:7">
      <c r="A19" t="s">
        <v>427</v>
      </c>
      <c r="B19" t="s">
        <v>419</v>
      </c>
      <c r="D19">
        <v>280000</v>
      </c>
      <c r="E19" t="s">
        <v>479</v>
      </c>
    </row>
    <row r="20" spans="1:7" s="12" customFormat="1">
      <c r="A20" s="47" t="s">
        <v>427</v>
      </c>
      <c r="B20" s="47" t="s">
        <v>17</v>
      </c>
      <c r="C20" s="47">
        <v>3085</v>
      </c>
      <c r="D20" s="47"/>
      <c r="E20" s="47" t="s">
        <v>492</v>
      </c>
      <c r="F20" s="48">
        <v>46206</v>
      </c>
      <c r="G20" s="47" t="s">
        <v>511</v>
      </c>
    </row>
    <row r="21" spans="1:7">
      <c r="A21" t="s">
        <v>428</v>
      </c>
      <c r="B21" s="12" t="s">
        <v>419</v>
      </c>
      <c r="D21">
        <v>58000</v>
      </c>
      <c r="E21" t="s">
        <v>479</v>
      </c>
    </row>
    <row r="22" spans="1:7">
      <c r="A22" t="s">
        <v>429</v>
      </c>
      <c r="B22" t="s">
        <v>419</v>
      </c>
      <c r="D22">
        <v>5200</v>
      </c>
      <c r="E22" t="s">
        <v>478</v>
      </c>
    </row>
    <row r="23" spans="1:7">
      <c r="A23" t="s">
        <v>430</v>
      </c>
      <c r="B23" t="s">
        <v>419</v>
      </c>
      <c r="D23">
        <v>35000</v>
      </c>
      <c r="E23" t="s">
        <v>478</v>
      </c>
    </row>
    <row r="24" spans="1:7" s="12" customFormat="1">
      <c r="A24" s="12" t="s">
        <v>445</v>
      </c>
      <c r="B24" s="12" t="s">
        <v>17</v>
      </c>
      <c r="C24" s="12">
        <v>490</v>
      </c>
      <c r="E24" s="12" t="s">
        <v>485</v>
      </c>
    </row>
    <row r="25" spans="1:7">
      <c r="A25" t="s">
        <v>431</v>
      </c>
      <c r="B25" s="12" t="s">
        <v>419</v>
      </c>
      <c r="D25">
        <v>180000</v>
      </c>
      <c r="E25" t="s">
        <v>478</v>
      </c>
    </row>
    <row r="26" spans="1:7">
      <c r="A26" t="s">
        <v>441</v>
      </c>
      <c r="B26" t="s">
        <v>419</v>
      </c>
      <c r="D26">
        <v>54500</v>
      </c>
      <c r="E26" t="s">
        <v>478</v>
      </c>
    </row>
    <row r="27" spans="1:7">
      <c r="A27" t="s">
        <v>432</v>
      </c>
      <c r="B27" t="s">
        <v>433</v>
      </c>
      <c r="D27">
        <v>16000</v>
      </c>
      <c r="E27" t="s">
        <v>480</v>
      </c>
    </row>
    <row r="28" spans="1:7">
      <c r="A28" t="s">
        <v>434</v>
      </c>
      <c r="D28">
        <v>72000</v>
      </c>
      <c r="E28" t="s">
        <v>478</v>
      </c>
    </row>
    <row r="29" spans="1:7">
      <c r="A29" t="s">
        <v>435</v>
      </c>
      <c r="C29">
        <v>13370</v>
      </c>
      <c r="E29" t="s">
        <v>481</v>
      </c>
    </row>
    <row r="30" spans="1:7">
      <c r="A30" t="s">
        <v>436</v>
      </c>
      <c r="C30">
        <v>2000</v>
      </c>
      <c r="E30" t="s">
        <v>482</v>
      </c>
    </row>
    <row r="31" spans="1:7">
      <c r="A31" t="s">
        <v>437</v>
      </c>
      <c r="B31" t="s">
        <v>438</v>
      </c>
      <c r="D31">
        <v>300000</v>
      </c>
      <c r="E31" t="s">
        <v>482</v>
      </c>
    </row>
    <row r="32" spans="1:7">
      <c r="A32" t="s">
        <v>439</v>
      </c>
      <c r="B32" s="12" t="s">
        <v>438</v>
      </c>
      <c r="D32">
        <v>500000</v>
      </c>
      <c r="E32" t="s">
        <v>482</v>
      </c>
    </row>
    <row r="33" spans="1:7">
      <c r="A33" s="57" t="s">
        <v>398</v>
      </c>
      <c r="C33">
        <v>200</v>
      </c>
      <c r="E33" t="s">
        <v>482</v>
      </c>
    </row>
    <row r="34" spans="1:7">
      <c r="A34" t="s">
        <v>440</v>
      </c>
      <c r="C34">
        <v>18000</v>
      </c>
      <c r="E34" t="s">
        <v>481</v>
      </c>
    </row>
    <row r="35" spans="1:7">
      <c r="A35" t="s">
        <v>442</v>
      </c>
      <c r="C35">
        <v>2000</v>
      </c>
      <c r="E35" t="s">
        <v>481</v>
      </c>
    </row>
    <row r="36" spans="1:7">
      <c r="A36" t="s">
        <v>443</v>
      </c>
      <c r="C36">
        <v>3500</v>
      </c>
      <c r="E36" t="s">
        <v>481</v>
      </c>
    </row>
    <row r="37" spans="1:7">
      <c r="A37" s="47" t="s">
        <v>444</v>
      </c>
      <c r="B37" s="47" t="s">
        <v>17</v>
      </c>
      <c r="C37" s="47">
        <v>355</v>
      </c>
      <c r="D37" s="47"/>
      <c r="E37" s="47" t="s">
        <v>492</v>
      </c>
      <c r="F37" s="48">
        <v>46206</v>
      </c>
      <c r="G37" s="47" t="s">
        <v>491</v>
      </c>
    </row>
    <row r="38" spans="1:7">
      <c r="A38" t="s">
        <v>324</v>
      </c>
      <c r="B38" s="12" t="s">
        <v>438</v>
      </c>
      <c r="D38">
        <v>800000</v>
      </c>
      <c r="E38" t="s">
        <v>482</v>
      </c>
    </row>
    <row r="39" spans="1:7">
      <c r="A39" t="s">
        <v>446</v>
      </c>
      <c r="D39">
        <v>76000</v>
      </c>
      <c r="E39" t="s">
        <v>478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87"/>
  <sheetViews>
    <sheetView showGridLines="0" tabSelected="1" topLeftCell="A2" zoomScale="115" zoomScaleNormal="115" workbookViewId="0">
      <selection activeCell="G8" sqref="G8"/>
    </sheetView>
  </sheetViews>
  <sheetFormatPr defaultColWidth="9.15234375" defaultRowHeight="14.6"/>
  <cols>
    <col min="1" max="16384" width="9.15234375" style="12"/>
  </cols>
  <sheetData>
    <row r="1" spans="1:15">
      <c r="A1" s="138" t="s">
        <v>452</v>
      </c>
      <c r="B1" s="138"/>
      <c r="C1" s="16"/>
      <c r="D1" s="16"/>
      <c r="E1" s="138" t="s">
        <v>453</v>
      </c>
      <c r="F1" s="138"/>
      <c r="G1" s="16"/>
      <c r="I1" s="32"/>
      <c r="J1" s="32" t="s">
        <v>473</v>
      </c>
      <c r="K1" s="32"/>
      <c r="M1" s="43"/>
      <c r="N1" s="43" t="s">
        <v>472</v>
      </c>
      <c r="O1" s="37"/>
    </row>
    <row r="2" spans="1:15">
      <c r="A2" s="17" t="s">
        <v>454</v>
      </c>
      <c r="B2" s="17" t="s">
        <v>455</v>
      </c>
      <c r="C2" s="16"/>
      <c r="D2" s="16"/>
      <c r="E2" s="17" t="s">
        <v>454</v>
      </c>
      <c r="F2" s="17" t="s">
        <v>455</v>
      </c>
      <c r="G2" s="16"/>
      <c r="I2" s="27" t="s">
        <v>454</v>
      </c>
      <c r="J2" s="27" t="s">
        <v>455</v>
      </c>
      <c r="K2" s="27"/>
      <c r="M2" s="38" t="s">
        <v>454</v>
      </c>
      <c r="N2" s="38" t="s">
        <v>455</v>
      </c>
      <c r="O2" s="38"/>
    </row>
    <row r="3" spans="1:15">
      <c r="A3" s="18">
        <v>-5</v>
      </c>
      <c r="B3" s="17">
        <v>0</v>
      </c>
      <c r="C3" s="16"/>
      <c r="D3" s="16"/>
      <c r="E3" s="18">
        <v>-5</v>
      </c>
      <c r="F3" s="17">
        <v>1</v>
      </c>
      <c r="G3" s="16"/>
      <c r="I3" s="28">
        <v>-3</v>
      </c>
      <c r="J3" s="27">
        <v>0</v>
      </c>
      <c r="K3" s="27"/>
      <c r="M3" s="41">
        <v>-3</v>
      </c>
      <c r="N3" s="38">
        <v>0</v>
      </c>
      <c r="O3" s="38"/>
    </row>
    <row r="4" spans="1:15">
      <c r="A4" s="18">
        <v>-2.4500000000000002</v>
      </c>
      <c r="B4" s="17">
        <v>0</v>
      </c>
      <c r="C4" s="16"/>
      <c r="D4" s="16"/>
      <c r="E4" s="18">
        <v>-2.4500000000000002</v>
      </c>
      <c r="F4" s="17">
        <v>1</v>
      </c>
      <c r="G4" s="16"/>
      <c r="I4" s="28">
        <v>-0.49</v>
      </c>
      <c r="J4" s="27">
        <v>0</v>
      </c>
      <c r="K4" s="27"/>
      <c r="M4" s="41">
        <v>-2.4500000000000002</v>
      </c>
      <c r="N4" s="38">
        <v>0</v>
      </c>
      <c r="O4" s="38"/>
    </row>
    <row r="5" spans="1:15">
      <c r="A5" s="18">
        <v>-2.4</v>
      </c>
      <c r="B5" s="17">
        <v>0</v>
      </c>
      <c r="C5" s="16"/>
      <c r="D5" s="16"/>
      <c r="E5" s="18">
        <v>-2.4</v>
      </c>
      <c r="F5" s="17">
        <v>1</v>
      </c>
      <c r="G5" s="16"/>
      <c r="I5" s="28">
        <v>-0.48</v>
      </c>
      <c r="J5" s="27">
        <v>0</v>
      </c>
      <c r="K5" s="27"/>
      <c r="M5" s="41">
        <v>-2.4</v>
      </c>
      <c r="N5" s="38">
        <v>0</v>
      </c>
      <c r="O5" s="38"/>
    </row>
    <row r="6" spans="1:15">
      <c r="A6" s="18">
        <v>-2.35</v>
      </c>
      <c r="B6" s="17">
        <v>0</v>
      </c>
      <c r="C6" s="16"/>
      <c r="D6" s="16"/>
      <c r="E6" s="18">
        <v>-2.35</v>
      </c>
      <c r="F6" s="17">
        <v>1</v>
      </c>
      <c r="G6" s="16"/>
      <c r="I6" s="28">
        <v>-0.47</v>
      </c>
      <c r="J6" s="27">
        <v>0</v>
      </c>
      <c r="K6" s="27"/>
      <c r="M6" s="41">
        <v>-2.35</v>
      </c>
      <c r="N6" s="38">
        <v>0</v>
      </c>
      <c r="O6" s="38"/>
    </row>
    <row r="7" spans="1:15">
      <c r="A7" s="18">
        <v>-2.2999999999999998</v>
      </c>
      <c r="B7" s="17">
        <v>0</v>
      </c>
      <c r="C7" s="16"/>
      <c r="D7" s="16"/>
      <c r="E7" s="18">
        <v>-2.2999999999999998</v>
      </c>
      <c r="F7" s="17">
        <v>1</v>
      </c>
      <c r="G7" s="16"/>
      <c r="I7" s="28">
        <v>-0.46</v>
      </c>
      <c r="J7" s="27">
        <v>0</v>
      </c>
      <c r="K7" s="27"/>
      <c r="M7" s="41">
        <v>-2.2999999999999998</v>
      </c>
      <c r="N7" s="38">
        <v>0</v>
      </c>
      <c r="O7" s="38"/>
    </row>
    <row r="8" spans="1:15">
      <c r="A8" s="18">
        <v>-2.25</v>
      </c>
      <c r="B8" s="17">
        <v>0</v>
      </c>
      <c r="C8" s="16"/>
      <c r="D8" s="16"/>
      <c r="E8" s="18">
        <v>-2.25</v>
      </c>
      <c r="F8" s="17">
        <v>1</v>
      </c>
      <c r="G8" s="16"/>
      <c r="I8" s="28">
        <v>-0.45</v>
      </c>
      <c r="J8" s="27">
        <v>0</v>
      </c>
      <c r="K8" s="27"/>
      <c r="M8" s="41">
        <v>-2.25</v>
      </c>
      <c r="N8" s="38">
        <v>0</v>
      </c>
      <c r="O8" s="38"/>
    </row>
    <row r="9" spans="1:15">
      <c r="A9" s="18">
        <v>-2.2000000000000002</v>
      </c>
      <c r="B9" s="17">
        <v>0</v>
      </c>
      <c r="C9" s="16"/>
      <c r="D9" s="16"/>
      <c r="E9" s="18">
        <v>-2.2000000000000002</v>
      </c>
      <c r="F9" s="17">
        <v>1</v>
      </c>
      <c r="G9" s="16"/>
      <c r="I9" s="28">
        <v>-0.44</v>
      </c>
      <c r="J9" s="27">
        <v>0</v>
      </c>
      <c r="K9" s="27"/>
      <c r="M9" s="41">
        <v>-2.2000000000000002</v>
      </c>
      <c r="N9" s="38">
        <v>0</v>
      </c>
      <c r="O9" s="38"/>
    </row>
    <row r="10" spans="1:15">
      <c r="A10" s="18">
        <v>-2.15</v>
      </c>
      <c r="B10" s="17">
        <v>0</v>
      </c>
      <c r="C10" s="16"/>
      <c r="D10" s="16"/>
      <c r="E10" s="18">
        <v>-2.15</v>
      </c>
      <c r="F10" s="17">
        <v>1</v>
      </c>
      <c r="G10" s="16"/>
      <c r="I10" s="28">
        <v>-0.43</v>
      </c>
      <c r="J10" s="27">
        <v>0</v>
      </c>
      <c r="K10" s="27"/>
      <c r="M10" s="41">
        <v>-2.15</v>
      </c>
      <c r="N10" s="38">
        <v>0</v>
      </c>
      <c r="O10" s="38"/>
    </row>
    <row r="11" spans="1:15">
      <c r="A11" s="18">
        <v>-2.1</v>
      </c>
      <c r="B11" s="17">
        <v>0</v>
      </c>
      <c r="C11" s="16"/>
      <c r="D11" s="16"/>
      <c r="E11" s="18">
        <v>-2.1</v>
      </c>
      <c r="F11" s="17">
        <v>1</v>
      </c>
      <c r="G11" s="16"/>
      <c r="I11" s="28">
        <v>-0.42</v>
      </c>
      <c r="J11" s="27">
        <v>0</v>
      </c>
      <c r="K11" s="27"/>
      <c r="M11" s="41">
        <v>-2.1</v>
      </c>
      <c r="N11" s="38">
        <v>0</v>
      </c>
      <c r="O11" s="38"/>
    </row>
    <row r="12" spans="1:15">
      <c r="A12" s="18">
        <v>-2.0499999999999998</v>
      </c>
      <c r="B12" s="17">
        <v>0</v>
      </c>
      <c r="C12" s="16"/>
      <c r="D12" s="16"/>
      <c r="E12" s="18">
        <v>-2.0499999999999998</v>
      </c>
      <c r="F12" s="17">
        <v>1</v>
      </c>
      <c r="G12" s="16"/>
      <c r="I12" s="28">
        <v>-0.41</v>
      </c>
      <c r="J12" s="27">
        <v>0</v>
      </c>
      <c r="K12" s="27"/>
      <c r="M12" s="41">
        <v>-2.0499999999999998</v>
      </c>
      <c r="N12" s="38">
        <v>0</v>
      </c>
      <c r="O12" s="38"/>
    </row>
    <row r="13" spans="1:15">
      <c r="A13" s="18">
        <v>-2</v>
      </c>
      <c r="B13" s="17">
        <v>0</v>
      </c>
      <c r="C13" s="16"/>
      <c r="D13" s="16"/>
      <c r="E13" s="18">
        <v>-2</v>
      </c>
      <c r="F13" s="17">
        <v>1</v>
      </c>
      <c r="G13" s="16"/>
      <c r="I13" s="28">
        <v>-0.4</v>
      </c>
      <c r="J13" s="27">
        <v>0</v>
      </c>
      <c r="K13" s="27"/>
      <c r="M13" s="41">
        <v>-2</v>
      </c>
      <c r="N13" s="38">
        <v>0</v>
      </c>
      <c r="O13" s="38"/>
    </row>
    <row r="14" spans="1:15">
      <c r="A14" s="18">
        <v>-1.95</v>
      </c>
      <c r="B14" s="17">
        <v>0</v>
      </c>
      <c r="C14" s="16"/>
      <c r="D14" s="16"/>
      <c r="E14" s="18">
        <v>-1.95</v>
      </c>
      <c r="F14" s="17">
        <v>1</v>
      </c>
      <c r="G14" s="20">
        <v>0</v>
      </c>
      <c r="I14" s="28">
        <v>-0.39</v>
      </c>
      <c r="J14" s="27">
        <v>0</v>
      </c>
      <c r="K14" s="27"/>
      <c r="M14" s="41">
        <v>-1.95</v>
      </c>
      <c r="N14" s="38">
        <v>0</v>
      </c>
      <c r="O14" s="38"/>
    </row>
    <row r="15" spans="1:15">
      <c r="A15" s="18">
        <v>-1.9</v>
      </c>
      <c r="B15" s="17">
        <v>0</v>
      </c>
      <c r="C15" s="16"/>
      <c r="D15" s="16"/>
      <c r="E15" s="18">
        <v>-1.9</v>
      </c>
      <c r="F15" s="17">
        <v>1</v>
      </c>
      <c r="G15" s="20">
        <v>0</v>
      </c>
      <c r="I15" s="28">
        <v>-0.38</v>
      </c>
      <c r="J15" s="27">
        <v>0</v>
      </c>
      <c r="K15" s="27"/>
      <c r="M15" s="41">
        <v>-1.9</v>
      </c>
      <c r="N15" s="38">
        <v>0</v>
      </c>
      <c r="O15" s="38"/>
    </row>
    <row r="16" spans="1:15">
      <c r="A16" s="18">
        <v>-1.85</v>
      </c>
      <c r="B16" s="17">
        <v>0</v>
      </c>
      <c r="C16" s="16"/>
      <c r="D16" s="16"/>
      <c r="E16" s="18">
        <v>-1.85</v>
      </c>
      <c r="F16" s="17">
        <v>1</v>
      </c>
      <c r="G16" s="20">
        <v>0</v>
      </c>
      <c r="I16" s="28">
        <v>-0.37</v>
      </c>
      <c r="J16" s="27">
        <v>0</v>
      </c>
      <c r="K16" s="27"/>
      <c r="M16" s="41">
        <v>-1.85</v>
      </c>
      <c r="N16" s="38">
        <v>0</v>
      </c>
      <c r="O16" s="38"/>
    </row>
    <row r="17" spans="1:15">
      <c r="A17" s="18">
        <v>-1.8</v>
      </c>
      <c r="B17" s="17">
        <v>0</v>
      </c>
      <c r="C17" s="16"/>
      <c r="D17" s="16"/>
      <c r="E17" s="18">
        <v>-1.8</v>
      </c>
      <c r="F17" s="17">
        <v>1</v>
      </c>
      <c r="G17" s="20">
        <v>0</v>
      </c>
      <c r="I17" s="28">
        <v>-0.36</v>
      </c>
      <c r="J17" s="27">
        <v>0</v>
      </c>
      <c r="K17" s="27"/>
      <c r="M17" s="41">
        <v>-1.8</v>
      </c>
      <c r="N17" s="38">
        <v>0</v>
      </c>
      <c r="O17" s="38"/>
    </row>
    <row r="18" spans="1:15">
      <c r="A18" s="18">
        <v>-1.75</v>
      </c>
      <c r="B18" s="17">
        <v>0</v>
      </c>
      <c r="C18" s="16"/>
      <c r="D18" s="16"/>
      <c r="E18" s="18">
        <v>-1.75</v>
      </c>
      <c r="F18" s="17">
        <v>1</v>
      </c>
      <c r="G18" s="20">
        <v>0</v>
      </c>
      <c r="I18" s="28">
        <v>-0.35</v>
      </c>
      <c r="J18" s="27">
        <v>0</v>
      </c>
      <c r="K18" s="29"/>
      <c r="M18" s="39">
        <v>-0.31</v>
      </c>
      <c r="N18" s="38">
        <v>0</v>
      </c>
      <c r="O18" s="40"/>
    </row>
    <row r="19" spans="1:15">
      <c r="A19" s="18">
        <v>-1.7</v>
      </c>
      <c r="B19" s="17">
        <v>0</v>
      </c>
      <c r="C19" s="16"/>
      <c r="D19" s="16"/>
      <c r="E19" s="18">
        <v>-1.7</v>
      </c>
      <c r="F19" s="17">
        <v>1</v>
      </c>
      <c r="G19" s="20">
        <v>0</v>
      </c>
      <c r="I19" s="28">
        <v>-0.34</v>
      </c>
      <c r="J19" s="27">
        <v>0</v>
      </c>
      <c r="K19" s="29"/>
      <c r="M19" s="39">
        <v>-0.3</v>
      </c>
      <c r="N19" s="38">
        <v>0</v>
      </c>
      <c r="O19" s="40"/>
    </row>
    <row r="20" spans="1:15">
      <c r="A20" s="18">
        <v>-1.65</v>
      </c>
      <c r="B20" s="17">
        <v>0</v>
      </c>
      <c r="C20" s="16"/>
      <c r="D20" s="16"/>
      <c r="E20" s="18">
        <v>-1.65</v>
      </c>
      <c r="F20" s="17">
        <v>1</v>
      </c>
      <c r="G20" s="20">
        <v>0</v>
      </c>
      <c r="I20" s="28">
        <v>-0.33</v>
      </c>
      <c r="J20" s="27">
        <v>0</v>
      </c>
      <c r="K20" s="27"/>
      <c r="M20" s="39">
        <v>-0.28999999999999998</v>
      </c>
      <c r="N20" s="38">
        <v>0</v>
      </c>
      <c r="O20" s="38"/>
    </row>
    <row r="21" spans="1:15">
      <c r="A21" s="18">
        <v>-1.6</v>
      </c>
      <c r="B21" s="17">
        <v>0</v>
      </c>
      <c r="C21" s="16"/>
      <c r="D21" s="16"/>
      <c r="E21" s="18">
        <v>-1.6</v>
      </c>
      <c r="F21" s="17">
        <v>1</v>
      </c>
      <c r="G21" s="20">
        <v>0</v>
      </c>
      <c r="I21" s="28">
        <v>-0.32</v>
      </c>
      <c r="J21" s="27">
        <v>0</v>
      </c>
      <c r="K21" s="27"/>
      <c r="M21" s="39">
        <v>-0.28000000000000003</v>
      </c>
      <c r="N21" s="38">
        <v>0</v>
      </c>
      <c r="O21" s="45">
        <v>0</v>
      </c>
    </row>
    <row r="22" spans="1:15">
      <c r="A22" s="18">
        <v>-1.55</v>
      </c>
      <c r="B22" s="17">
        <v>0</v>
      </c>
      <c r="C22" s="16"/>
      <c r="D22" s="16"/>
      <c r="E22" s="18">
        <v>-1.55</v>
      </c>
      <c r="F22" s="17">
        <v>1</v>
      </c>
      <c r="G22" s="20">
        <v>0</v>
      </c>
      <c r="I22" s="28">
        <v>-0.31</v>
      </c>
      <c r="J22" s="27">
        <v>0</v>
      </c>
      <c r="K22" s="34">
        <f t="shared" ref="K22:K68" si="0">J23-J22</f>
        <v>0</v>
      </c>
      <c r="M22" s="39">
        <v>-0.27</v>
      </c>
      <c r="N22" s="45">
        <v>0</v>
      </c>
      <c r="O22" s="45">
        <v>0</v>
      </c>
    </row>
    <row r="23" spans="1:15">
      <c r="A23" s="18">
        <v>-1.5</v>
      </c>
      <c r="B23" s="17">
        <v>0</v>
      </c>
      <c r="C23" s="16"/>
      <c r="D23" s="16"/>
      <c r="E23" s="18">
        <v>-1.5</v>
      </c>
      <c r="F23" s="17">
        <v>1</v>
      </c>
      <c r="G23" s="20">
        <v>0</v>
      </c>
      <c r="I23" s="28">
        <v>-0.3</v>
      </c>
      <c r="J23" s="27">
        <v>0</v>
      </c>
      <c r="K23" s="34">
        <f t="shared" si="0"/>
        <v>0</v>
      </c>
      <c r="M23" s="39">
        <v>-0.26</v>
      </c>
      <c r="N23" s="45">
        <v>0</v>
      </c>
      <c r="O23" s="45">
        <v>0</v>
      </c>
    </row>
    <row r="24" spans="1:15">
      <c r="A24" s="18">
        <v>-1.45</v>
      </c>
      <c r="B24" s="17">
        <v>0</v>
      </c>
      <c r="C24" s="16"/>
      <c r="D24" s="16"/>
      <c r="E24" s="18">
        <v>-1.45</v>
      </c>
      <c r="F24" s="17">
        <v>1</v>
      </c>
      <c r="G24" s="20">
        <v>0</v>
      </c>
      <c r="I24" s="28">
        <v>-0.28999999999999998</v>
      </c>
      <c r="J24" s="27">
        <v>0</v>
      </c>
      <c r="K24" s="34">
        <f t="shared" si="0"/>
        <v>0</v>
      </c>
      <c r="M24" s="39">
        <v>-0.25</v>
      </c>
      <c r="N24" s="38">
        <v>0</v>
      </c>
      <c r="O24" s="45">
        <v>0</v>
      </c>
    </row>
    <row r="25" spans="1:15">
      <c r="A25" s="18">
        <v>-1.4</v>
      </c>
      <c r="B25" s="17">
        <v>0</v>
      </c>
      <c r="C25" s="16"/>
      <c r="D25" s="16"/>
      <c r="E25" s="18">
        <v>-1.4</v>
      </c>
      <c r="F25" s="17">
        <v>1</v>
      </c>
      <c r="G25" s="20">
        <v>0</v>
      </c>
      <c r="I25" s="28">
        <v>-0.28000000000000003</v>
      </c>
      <c r="J25" s="27">
        <v>0</v>
      </c>
      <c r="K25" s="34">
        <f t="shared" si="0"/>
        <v>0</v>
      </c>
      <c r="M25" s="44">
        <v>-0.245</v>
      </c>
      <c r="N25" s="37">
        <v>0</v>
      </c>
      <c r="O25" s="45">
        <v>0</v>
      </c>
    </row>
    <row r="26" spans="1:15">
      <c r="A26" s="18">
        <v>-1.35</v>
      </c>
      <c r="B26" s="17">
        <v>0</v>
      </c>
      <c r="C26" s="16"/>
      <c r="D26" s="16"/>
      <c r="E26" s="18">
        <v>-1.35</v>
      </c>
      <c r="F26" s="17">
        <v>1</v>
      </c>
      <c r="G26" s="20">
        <v>0</v>
      </c>
      <c r="I26" s="28">
        <v>-0.27</v>
      </c>
      <c r="J26" s="27">
        <v>0</v>
      </c>
      <c r="K26" s="34">
        <f t="shared" si="0"/>
        <v>0</v>
      </c>
      <c r="M26" s="39">
        <v>-0.24</v>
      </c>
      <c r="N26" s="37">
        <v>0</v>
      </c>
      <c r="O26" s="45">
        <v>0</v>
      </c>
    </row>
    <row r="27" spans="1:15">
      <c r="A27" s="18">
        <v>-1.3</v>
      </c>
      <c r="B27" s="17">
        <v>0</v>
      </c>
      <c r="C27" s="16"/>
      <c r="D27" s="16"/>
      <c r="E27" s="18">
        <v>-1.3</v>
      </c>
      <c r="F27" s="17">
        <v>1</v>
      </c>
      <c r="G27" s="20">
        <v>0</v>
      </c>
      <c r="I27" s="28">
        <v>-0.26</v>
      </c>
      <c r="J27" s="27">
        <v>0</v>
      </c>
      <c r="K27" s="34">
        <f t="shared" si="0"/>
        <v>0</v>
      </c>
      <c r="M27" s="44">
        <v>-0.23499999999999999</v>
      </c>
      <c r="N27" s="37">
        <v>0</v>
      </c>
      <c r="O27" s="45">
        <v>0.06</v>
      </c>
    </row>
    <row r="28" spans="1:15">
      <c r="A28" s="18">
        <v>-1.25</v>
      </c>
      <c r="B28" s="17">
        <v>0</v>
      </c>
      <c r="C28" s="16"/>
      <c r="D28" s="16"/>
      <c r="E28" s="18">
        <v>-1.25</v>
      </c>
      <c r="F28" s="17">
        <v>1</v>
      </c>
      <c r="G28" s="20">
        <v>0</v>
      </c>
      <c r="I28" s="28">
        <v>-0.25</v>
      </c>
      <c r="J28" s="27">
        <v>0</v>
      </c>
      <c r="K28" s="34">
        <f t="shared" si="0"/>
        <v>0</v>
      </c>
      <c r="M28" s="39">
        <v>-0.23</v>
      </c>
      <c r="N28" s="37">
        <v>0.06</v>
      </c>
      <c r="O28" s="45">
        <v>0.05</v>
      </c>
    </row>
    <row r="29" spans="1:15">
      <c r="A29" s="18">
        <v>-1.2</v>
      </c>
      <c r="B29" s="17">
        <v>0</v>
      </c>
      <c r="C29" s="16"/>
      <c r="D29" s="16"/>
      <c r="E29" s="18">
        <v>-1.2</v>
      </c>
      <c r="F29" s="17">
        <v>1</v>
      </c>
      <c r="G29" s="20">
        <v>0</v>
      </c>
      <c r="I29" s="28">
        <v>-0.24</v>
      </c>
      <c r="J29" s="27">
        <v>0</v>
      </c>
      <c r="K29" s="34">
        <f t="shared" si="0"/>
        <v>0</v>
      </c>
      <c r="M29" s="44">
        <v>-0.22500000000000001</v>
      </c>
      <c r="N29" s="37">
        <v>0.11</v>
      </c>
      <c r="O29" s="45">
        <v>4.4999999999999998E-2</v>
      </c>
    </row>
    <row r="30" spans="1:15">
      <c r="A30" s="18">
        <v>-1.1499999999999999</v>
      </c>
      <c r="B30" s="17">
        <v>0</v>
      </c>
      <c r="C30" s="16"/>
      <c r="D30" s="16"/>
      <c r="E30" s="18">
        <v>-1.1499999999999999</v>
      </c>
      <c r="F30" s="17">
        <v>1</v>
      </c>
      <c r="G30" s="20">
        <v>0</v>
      </c>
      <c r="I30" s="28">
        <v>-0.23</v>
      </c>
      <c r="J30" s="27">
        <v>0</v>
      </c>
      <c r="K30" s="34">
        <f t="shared" si="0"/>
        <v>0</v>
      </c>
      <c r="M30" s="39">
        <v>-0.22</v>
      </c>
      <c r="N30" s="37">
        <v>0.155</v>
      </c>
      <c r="O30" s="45">
        <v>4.5000000000000012E-2</v>
      </c>
    </row>
    <row r="31" spans="1:15">
      <c r="A31" s="18">
        <v>-1.1000000000000001</v>
      </c>
      <c r="B31" s="19">
        <v>0</v>
      </c>
      <c r="C31" s="20">
        <v>1.7999999999999999E-2</v>
      </c>
      <c r="D31" s="16"/>
      <c r="E31" s="18">
        <v>-1.1000000000000001</v>
      </c>
      <c r="F31" s="17">
        <v>1</v>
      </c>
      <c r="G31" s="20">
        <v>0</v>
      </c>
      <c r="I31" s="28">
        <v>-0.22</v>
      </c>
      <c r="J31" s="27">
        <v>0</v>
      </c>
      <c r="K31" s="34">
        <f t="shared" si="0"/>
        <v>0</v>
      </c>
      <c r="M31" s="44">
        <v>-0.215</v>
      </c>
      <c r="N31" s="37">
        <v>0.2</v>
      </c>
      <c r="O31" s="45">
        <v>3.999999999999998E-2</v>
      </c>
    </row>
    <row r="32" spans="1:15">
      <c r="A32" s="18">
        <v>-1.05</v>
      </c>
      <c r="B32" s="19">
        <v>1.7999999999999999E-2</v>
      </c>
      <c r="C32" s="20">
        <v>1.7999999999999999E-2</v>
      </c>
      <c r="D32" s="16"/>
      <c r="E32" s="18">
        <v>-1.05</v>
      </c>
      <c r="F32" s="17">
        <v>1</v>
      </c>
      <c r="G32" s="20">
        <v>0</v>
      </c>
      <c r="I32" s="28">
        <v>-0.21</v>
      </c>
      <c r="J32" s="27">
        <v>0</v>
      </c>
      <c r="K32" s="34">
        <f t="shared" si="0"/>
        <v>0</v>
      </c>
      <c r="M32" s="39">
        <v>-0.21</v>
      </c>
      <c r="N32" s="37">
        <v>0.24</v>
      </c>
      <c r="O32" s="45">
        <v>4.0000000000000036E-2</v>
      </c>
    </row>
    <row r="33" spans="1:15">
      <c r="A33" s="18">
        <v>-1.04</v>
      </c>
      <c r="B33" s="19">
        <v>3.5999999999999997E-2</v>
      </c>
      <c r="C33" s="20">
        <v>1.8000000000000002E-2</v>
      </c>
      <c r="D33" s="16"/>
      <c r="E33" s="18">
        <v>-1.04</v>
      </c>
      <c r="F33" s="17">
        <v>1</v>
      </c>
      <c r="G33" s="20">
        <v>0</v>
      </c>
      <c r="I33" s="28">
        <v>-0.2</v>
      </c>
      <c r="J33" s="27">
        <v>0</v>
      </c>
      <c r="K33" s="34">
        <f t="shared" si="0"/>
        <v>0</v>
      </c>
      <c r="M33" s="44">
        <v>-0.20499999999999999</v>
      </c>
      <c r="N33" s="45">
        <v>0.28000000000000003</v>
      </c>
      <c r="O33" s="45">
        <v>3.999999999999998E-2</v>
      </c>
    </row>
    <row r="34" spans="1:15">
      <c r="A34" s="18">
        <v>-1.03</v>
      </c>
      <c r="B34" s="19">
        <v>5.3999999999999999E-2</v>
      </c>
      <c r="C34" s="20">
        <v>1.6999999999999994E-2</v>
      </c>
      <c r="D34" s="16"/>
      <c r="E34" s="18">
        <v>-1.03</v>
      </c>
      <c r="F34" s="17">
        <v>1</v>
      </c>
      <c r="G34" s="20">
        <v>0</v>
      </c>
      <c r="I34" s="28">
        <v>-0.19</v>
      </c>
      <c r="J34" s="27">
        <v>0</v>
      </c>
      <c r="K34" s="34">
        <f t="shared" si="0"/>
        <v>0</v>
      </c>
      <c r="M34" s="39">
        <v>-0.2</v>
      </c>
      <c r="N34" s="45">
        <v>0.32</v>
      </c>
      <c r="O34" s="45">
        <v>3.4999999999999976E-2</v>
      </c>
    </row>
    <row r="35" spans="1:15">
      <c r="A35" s="18">
        <v>-1.02</v>
      </c>
      <c r="B35" s="19">
        <v>7.0999999999999994E-2</v>
      </c>
      <c r="C35" s="20">
        <v>1.7000000000000001E-2</v>
      </c>
      <c r="D35" s="16"/>
      <c r="E35" s="18">
        <v>-1.02</v>
      </c>
      <c r="F35" s="17">
        <v>1</v>
      </c>
      <c r="G35" s="20">
        <v>0</v>
      </c>
      <c r="I35" s="28">
        <v>-0.18</v>
      </c>
      <c r="J35" s="27">
        <v>0</v>
      </c>
      <c r="K35" s="34">
        <f t="shared" si="0"/>
        <v>0</v>
      </c>
      <c r="M35" s="44">
        <v>-0.19500000000000001</v>
      </c>
      <c r="N35" s="45">
        <v>0.35499999999999998</v>
      </c>
      <c r="O35" s="45">
        <v>3.5000000000000031E-2</v>
      </c>
    </row>
    <row r="36" spans="1:15">
      <c r="A36" s="18">
        <v>-1.01</v>
      </c>
      <c r="B36" s="19">
        <v>8.7999999999999995E-2</v>
      </c>
      <c r="C36" s="20">
        <v>1.7000000000000001E-2</v>
      </c>
      <c r="D36" s="16"/>
      <c r="E36" s="18">
        <v>-1.01</v>
      </c>
      <c r="F36" s="17">
        <v>1</v>
      </c>
      <c r="G36" s="20">
        <v>0</v>
      </c>
      <c r="I36" s="28">
        <v>-0.17</v>
      </c>
      <c r="J36" s="27">
        <v>0</v>
      </c>
      <c r="K36" s="34">
        <f t="shared" si="0"/>
        <v>0.05</v>
      </c>
      <c r="M36" s="39">
        <v>-0.19</v>
      </c>
      <c r="N36" s="45">
        <v>0.39</v>
      </c>
      <c r="O36" s="45">
        <v>3.4999999999999976E-2</v>
      </c>
    </row>
    <row r="37" spans="1:15">
      <c r="A37" s="18">
        <v>-1</v>
      </c>
      <c r="B37" s="19">
        <v>0.105</v>
      </c>
      <c r="C37" s="20">
        <v>1.7000000000000001E-2</v>
      </c>
      <c r="D37" s="16"/>
      <c r="E37" s="18">
        <v>-1</v>
      </c>
      <c r="F37" s="17">
        <v>1</v>
      </c>
      <c r="G37" s="20">
        <v>0</v>
      </c>
      <c r="I37" s="28">
        <v>-0.16500000000000001</v>
      </c>
      <c r="J37" s="27">
        <v>0.05</v>
      </c>
      <c r="K37" s="34">
        <f t="shared" si="0"/>
        <v>0.05</v>
      </c>
      <c r="M37" s="44">
        <v>-0.185</v>
      </c>
      <c r="N37" s="45">
        <v>0.42499999999999999</v>
      </c>
      <c r="O37" s="45">
        <v>3.5000000000000031E-2</v>
      </c>
    </row>
    <row r="38" spans="1:15">
      <c r="A38" s="18">
        <v>-0.99</v>
      </c>
      <c r="B38" s="19">
        <v>0.122</v>
      </c>
      <c r="C38" s="20">
        <v>1.6000000000000014E-2</v>
      </c>
      <c r="D38" s="16"/>
      <c r="E38" s="18">
        <v>-0.99</v>
      </c>
      <c r="F38" s="17">
        <v>1</v>
      </c>
      <c r="G38" s="20">
        <v>0</v>
      </c>
      <c r="I38" s="28">
        <v>-0.16</v>
      </c>
      <c r="J38" s="27">
        <v>0.1</v>
      </c>
      <c r="K38" s="34">
        <f t="shared" si="0"/>
        <v>4.9999999999999989E-2</v>
      </c>
      <c r="M38" s="39">
        <v>-0.18</v>
      </c>
      <c r="N38" s="45">
        <v>0.46</v>
      </c>
      <c r="O38" s="45">
        <v>2.9999999999999971E-2</v>
      </c>
    </row>
    <row r="39" spans="1:15">
      <c r="A39" s="18">
        <v>-0.98</v>
      </c>
      <c r="B39" s="19">
        <v>0.13800000000000001</v>
      </c>
      <c r="C39" s="20">
        <v>1.5999999999999986E-2</v>
      </c>
      <c r="D39" s="16"/>
      <c r="E39" s="18">
        <v>-0.98</v>
      </c>
      <c r="F39" s="17">
        <v>1</v>
      </c>
      <c r="G39" s="20">
        <v>0</v>
      </c>
      <c r="I39" s="28">
        <v>-0.155</v>
      </c>
      <c r="J39" s="27">
        <v>0.15</v>
      </c>
      <c r="K39" s="34">
        <f t="shared" si="0"/>
        <v>5.0000000000000017E-2</v>
      </c>
      <c r="M39" s="39">
        <v>-0.17499999999999999</v>
      </c>
      <c r="N39" s="45">
        <v>0.49</v>
      </c>
      <c r="O39" s="45">
        <v>3.0000000000000027E-2</v>
      </c>
    </row>
    <row r="40" spans="1:15">
      <c r="A40" s="18">
        <v>-0.97</v>
      </c>
      <c r="B40" s="19">
        <v>0.154</v>
      </c>
      <c r="C40" s="20">
        <v>1.6000000000000014E-2</v>
      </c>
      <c r="D40" s="16"/>
      <c r="E40" s="18">
        <v>-0.97</v>
      </c>
      <c r="F40" s="17">
        <v>1</v>
      </c>
      <c r="G40" s="20">
        <v>0</v>
      </c>
      <c r="I40" s="28">
        <v>-0.15</v>
      </c>
      <c r="J40" s="27">
        <v>0.2</v>
      </c>
      <c r="K40" s="34">
        <f t="shared" si="0"/>
        <v>4.4999999999999984E-2</v>
      </c>
      <c r="M40" s="39">
        <v>-0.17</v>
      </c>
      <c r="N40" s="45">
        <v>0.52</v>
      </c>
      <c r="O40" s="45">
        <v>3.0000000000000027E-2</v>
      </c>
    </row>
    <row r="41" spans="1:15">
      <c r="A41" s="18">
        <v>-0.96</v>
      </c>
      <c r="B41" s="19">
        <v>0.17</v>
      </c>
      <c r="C41" s="20">
        <v>1.5999999999999986E-2</v>
      </c>
      <c r="D41" s="16"/>
      <c r="E41" s="18">
        <v>-0.96</v>
      </c>
      <c r="F41" s="17">
        <v>1</v>
      </c>
      <c r="G41" s="20">
        <v>0</v>
      </c>
      <c r="I41" s="28">
        <v>-0.14499999999999999</v>
      </c>
      <c r="J41" s="27">
        <v>0.245</v>
      </c>
      <c r="K41" s="34">
        <f t="shared" si="0"/>
        <v>4.4999999999999984E-2</v>
      </c>
      <c r="M41" s="39">
        <v>-0.16500000000000001</v>
      </c>
      <c r="N41" s="45">
        <v>0.55000000000000004</v>
      </c>
      <c r="O41" s="45">
        <v>2.9999999999999916E-2</v>
      </c>
    </row>
    <row r="42" spans="1:15">
      <c r="A42" s="18">
        <v>-0.95</v>
      </c>
      <c r="B42" s="19">
        <v>0.186</v>
      </c>
      <c r="C42" s="20">
        <v>1.6000000000000014E-2</v>
      </c>
      <c r="D42" s="16"/>
      <c r="E42" s="18">
        <v>-0.95</v>
      </c>
      <c r="F42" s="17">
        <v>1</v>
      </c>
      <c r="G42" s="20">
        <v>0</v>
      </c>
      <c r="I42" s="28">
        <v>-0.14000000000000001</v>
      </c>
      <c r="J42" s="27">
        <v>0.28999999999999998</v>
      </c>
      <c r="K42" s="34">
        <f t="shared" si="0"/>
        <v>4.0000000000000036E-2</v>
      </c>
      <c r="M42" s="39">
        <v>-0.16</v>
      </c>
      <c r="N42" s="45">
        <v>0.57999999999999996</v>
      </c>
      <c r="O42" s="45">
        <v>3.0000000000000027E-2</v>
      </c>
    </row>
    <row r="43" spans="1:15">
      <c r="A43" s="18">
        <v>-0.94</v>
      </c>
      <c r="B43" s="19">
        <v>0.20200000000000001</v>
      </c>
      <c r="C43" s="20">
        <v>1.4999999999999986E-2</v>
      </c>
      <c r="D43" s="16"/>
      <c r="E43" s="18">
        <v>-0.94</v>
      </c>
      <c r="F43" s="17">
        <v>1</v>
      </c>
      <c r="G43" s="20">
        <v>0</v>
      </c>
      <c r="I43" s="28">
        <v>-0.13500000000000001</v>
      </c>
      <c r="J43" s="27">
        <v>0.33</v>
      </c>
      <c r="K43" s="34">
        <f t="shared" si="0"/>
        <v>3.999999999999998E-2</v>
      </c>
      <c r="M43" s="39">
        <v>-0.155</v>
      </c>
      <c r="N43" s="45">
        <v>0.61</v>
      </c>
      <c r="O43" s="45">
        <v>2.5000000000000022E-2</v>
      </c>
    </row>
    <row r="44" spans="1:15">
      <c r="A44" s="18">
        <v>-0.93</v>
      </c>
      <c r="B44" s="19">
        <v>0.217</v>
      </c>
      <c r="C44" s="20">
        <v>1.5000000000000013E-2</v>
      </c>
      <c r="D44" s="16"/>
      <c r="E44" s="18">
        <v>-0.93</v>
      </c>
      <c r="F44" s="17">
        <v>1</v>
      </c>
      <c r="G44" s="20">
        <v>0</v>
      </c>
      <c r="I44" s="28">
        <v>-0.13</v>
      </c>
      <c r="J44" s="27">
        <v>0.37</v>
      </c>
      <c r="K44" s="34">
        <f t="shared" si="0"/>
        <v>3.999999999999998E-2</v>
      </c>
      <c r="M44" s="39">
        <v>-0.15</v>
      </c>
      <c r="N44" s="45">
        <v>0.63500000000000001</v>
      </c>
      <c r="O44" s="45">
        <v>2.5000000000000022E-2</v>
      </c>
    </row>
    <row r="45" spans="1:15">
      <c r="A45" s="18">
        <v>-0.92</v>
      </c>
      <c r="B45" s="19">
        <v>0.23200000000000001</v>
      </c>
      <c r="C45" s="20">
        <v>1.4999999999999986E-2</v>
      </c>
      <c r="D45" s="16"/>
      <c r="E45" s="18">
        <v>-0.92</v>
      </c>
      <c r="F45" s="17">
        <v>1</v>
      </c>
      <c r="G45" s="20">
        <v>0</v>
      </c>
      <c r="I45" s="28">
        <v>-0.125</v>
      </c>
      <c r="J45" s="27">
        <v>0.41</v>
      </c>
      <c r="K45" s="34">
        <f t="shared" si="0"/>
        <v>4.0000000000000036E-2</v>
      </c>
      <c r="M45" s="44">
        <v>-0.14499999999999999</v>
      </c>
      <c r="N45" s="45">
        <v>0.66</v>
      </c>
      <c r="O45" s="45">
        <v>2.5000000000000022E-2</v>
      </c>
    </row>
    <row r="46" spans="1:15">
      <c r="A46" s="18">
        <v>-0.91</v>
      </c>
      <c r="B46" s="19">
        <v>0.247</v>
      </c>
      <c r="C46" s="20">
        <v>1.5000000000000013E-2</v>
      </c>
      <c r="D46" s="16"/>
      <c r="E46" s="18">
        <v>-0.91</v>
      </c>
      <c r="F46" s="17">
        <v>1</v>
      </c>
      <c r="G46" s="20">
        <v>0</v>
      </c>
      <c r="I46" s="28">
        <v>-0.12</v>
      </c>
      <c r="J46" s="27">
        <v>0.45</v>
      </c>
      <c r="K46" s="34">
        <f t="shared" si="0"/>
        <v>3.4999999999999976E-2</v>
      </c>
      <c r="M46" s="39">
        <v>-0.14000000000000001</v>
      </c>
      <c r="N46" s="45">
        <v>0.68500000000000005</v>
      </c>
      <c r="O46" s="45">
        <v>2.4999999999999911E-2</v>
      </c>
    </row>
    <row r="47" spans="1:15">
      <c r="A47" s="18">
        <v>-0.9</v>
      </c>
      <c r="B47" s="19">
        <v>0.26200000000000001</v>
      </c>
      <c r="C47" s="20">
        <v>1.5000000000000013E-2</v>
      </c>
      <c r="D47" s="16"/>
      <c r="E47" s="18">
        <v>-0.9</v>
      </c>
      <c r="F47" s="17">
        <v>1</v>
      </c>
      <c r="G47" s="20">
        <v>0</v>
      </c>
      <c r="I47" s="28">
        <v>-0.115</v>
      </c>
      <c r="J47" s="27">
        <v>0.48499999999999999</v>
      </c>
      <c r="K47" s="34">
        <f t="shared" si="0"/>
        <v>3.5000000000000031E-2</v>
      </c>
      <c r="M47" s="44">
        <v>-0.13500000000000001</v>
      </c>
      <c r="N47" s="45">
        <v>0.71</v>
      </c>
      <c r="O47" s="45">
        <v>2.0000000000000018E-2</v>
      </c>
    </row>
    <row r="48" spans="1:15">
      <c r="A48" s="18">
        <v>-0.89</v>
      </c>
      <c r="B48" s="19">
        <v>0.27700000000000002</v>
      </c>
      <c r="C48" s="20">
        <v>1.3999999999999957E-2</v>
      </c>
      <c r="D48" s="16"/>
      <c r="E48" s="18">
        <v>-0.89</v>
      </c>
      <c r="F48" s="17">
        <v>1</v>
      </c>
      <c r="G48" s="20">
        <v>0</v>
      </c>
      <c r="I48" s="28">
        <v>-0.11</v>
      </c>
      <c r="J48" s="27">
        <v>0.52</v>
      </c>
      <c r="K48" s="34">
        <f t="shared" si="0"/>
        <v>3.5000000000000031E-2</v>
      </c>
      <c r="M48" s="39">
        <v>-0.13</v>
      </c>
      <c r="N48" s="45">
        <v>0.73</v>
      </c>
      <c r="O48" s="45">
        <v>2.0000000000000018E-2</v>
      </c>
    </row>
    <row r="49" spans="1:15">
      <c r="A49" s="18">
        <v>-0.88</v>
      </c>
      <c r="B49" s="19">
        <v>0.29099999999999998</v>
      </c>
      <c r="C49" s="20">
        <v>1.4000000000000012E-2</v>
      </c>
      <c r="D49" s="16"/>
      <c r="E49" s="18">
        <v>-0.88</v>
      </c>
      <c r="F49" s="17">
        <v>1</v>
      </c>
      <c r="G49" s="20">
        <v>0</v>
      </c>
      <c r="I49" s="28">
        <v>-0.105</v>
      </c>
      <c r="J49" s="27">
        <v>0.55500000000000005</v>
      </c>
      <c r="K49" s="34">
        <f t="shared" si="0"/>
        <v>3.499999999999992E-2</v>
      </c>
      <c r="M49" s="44">
        <v>-0.125</v>
      </c>
      <c r="N49" s="45">
        <v>0.75</v>
      </c>
      <c r="O49" s="45">
        <v>2.0000000000000018E-2</v>
      </c>
    </row>
    <row r="50" spans="1:15">
      <c r="A50" s="18">
        <v>-0.87</v>
      </c>
      <c r="B50" s="19">
        <v>0.30499999999999999</v>
      </c>
      <c r="C50" s="20">
        <v>1.4000000000000012E-2</v>
      </c>
      <c r="D50" s="16"/>
      <c r="E50" s="18">
        <v>-0.87</v>
      </c>
      <c r="F50" s="17">
        <v>1</v>
      </c>
      <c r="G50" s="20">
        <v>0</v>
      </c>
      <c r="I50" s="28">
        <v>-0.1</v>
      </c>
      <c r="J50" s="27">
        <v>0.59</v>
      </c>
      <c r="K50" s="34">
        <f t="shared" si="0"/>
        <v>3.0000000000000027E-2</v>
      </c>
      <c r="M50" s="39">
        <v>-0.12</v>
      </c>
      <c r="N50" s="45">
        <v>0.77</v>
      </c>
      <c r="O50" s="45">
        <v>2.0000000000000018E-2</v>
      </c>
    </row>
    <row r="51" spans="1:15">
      <c r="A51" s="18">
        <v>-0.86</v>
      </c>
      <c r="B51" s="19">
        <v>0.31900000000000001</v>
      </c>
      <c r="C51" s="20">
        <v>1.4000000000000012E-2</v>
      </c>
      <c r="D51" s="16"/>
      <c r="E51" s="18">
        <v>-0.86</v>
      </c>
      <c r="F51" s="17">
        <v>1</v>
      </c>
      <c r="G51" s="20">
        <v>0</v>
      </c>
      <c r="I51" s="28">
        <v>-9.5000000000000001E-2</v>
      </c>
      <c r="J51" s="27">
        <v>0.62</v>
      </c>
      <c r="K51" s="34">
        <f t="shared" si="0"/>
        <v>3.0000000000000027E-2</v>
      </c>
      <c r="M51" s="39">
        <v>-0.115</v>
      </c>
      <c r="N51" s="45">
        <v>0.79</v>
      </c>
      <c r="O51" s="45">
        <v>2.0000000000000018E-2</v>
      </c>
    </row>
    <row r="52" spans="1:15">
      <c r="A52" s="18">
        <v>-0.85</v>
      </c>
      <c r="B52" s="19">
        <v>0.33300000000000002</v>
      </c>
      <c r="C52" s="20">
        <v>1.3999999999999957E-2</v>
      </c>
      <c r="D52" s="16"/>
      <c r="E52" s="18">
        <v>-0.85</v>
      </c>
      <c r="F52" s="17">
        <v>1</v>
      </c>
      <c r="G52" s="20">
        <v>0</v>
      </c>
      <c r="I52" s="28">
        <v>-0.09</v>
      </c>
      <c r="J52" s="27">
        <v>0.65</v>
      </c>
      <c r="K52" s="34">
        <f t="shared" si="0"/>
        <v>3.0000000000000027E-2</v>
      </c>
      <c r="M52" s="39">
        <v>-0.11</v>
      </c>
      <c r="N52" s="45">
        <v>0.81</v>
      </c>
      <c r="O52" s="45">
        <v>1.4999999999999902E-2</v>
      </c>
    </row>
    <row r="53" spans="1:15">
      <c r="A53" s="18">
        <v>-0.84</v>
      </c>
      <c r="B53" s="19">
        <v>0.34699999999999998</v>
      </c>
      <c r="C53" s="20">
        <v>1.3000000000000012E-2</v>
      </c>
      <c r="D53" s="16"/>
      <c r="E53" s="18">
        <v>-0.84</v>
      </c>
      <c r="F53" s="17">
        <v>1</v>
      </c>
      <c r="G53" s="20">
        <v>0</v>
      </c>
      <c r="I53" s="28">
        <v>-8.5000000000000006E-2</v>
      </c>
      <c r="J53" s="27">
        <v>0.68</v>
      </c>
      <c r="K53" s="34">
        <f t="shared" si="0"/>
        <v>2.9999999999999916E-2</v>
      </c>
      <c r="M53" s="44">
        <v>-0.105</v>
      </c>
      <c r="N53" s="45">
        <v>0.82499999999999996</v>
      </c>
      <c r="O53" s="45">
        <v>1.5000000000000013E-2</v>
      </c>
    </row>
    <row r="54" spans="1:15">
      <c r="A54" s="18">
        <v>-0.83</v>
      </c>
      <c r="B54" s="19">
        <v>0.36</v>
      </c>
      <c r="C54" s="20">
        <v>1.3000000000000012E-2</v>
      </c>
      <c r="D54" s="16"/>
      <c r="E54" s="18">
        <v>-0.83</v>
      </c>
      <c r="F54" s="17">
        <v>1</v>
      </c>
      <c r="G54" s="20">
        <v>0</v>
      </c>
      <c r="I54" s="28">
        <v>-0.08</v>
      </c>
      <c r="J54" s="27">
        <v>0.71</v>
      </c>
      <c r="K54" s="34">
        <f t="shared" si="0"/>
        <v>2.5000000000000022E-2</v>
      </c>
      <c r="M54" s="39">
        <v>-0.1</v>
      </c>
      <c r="N54" s="45">
        <v>0.84</v>
      </c>
      <c r="O54" s="45">
        <v>1.5000000000000013E-2</v>
      </c>
    </row>
    <row r="55" spans="1:15">
      <c r="A55" s="18">
        <v>-0.82</v>
      </c>
      <c r="B55" s="19">
        <v>0.373</v>
      </c>
      <c r="C55" s="20">
        <v>1.3000000000000012E-2</v>
      </c>
      <c r="D55" s="16"/>
      <c r="E55" s="18">
        <v>-0.82</v>
      </c>
      <c r="F55" s="17">
        <v>1</v>
      </c>
      <c r="G55" s="20">
        <v>0</v>
      </c>
      <c r="I55" s="28">
        <v>-7.4999999999999997E-2</v>
      </c>
      <c r="J55" s="27">
        <v>0.73499999999999999</v>
      </c>
      <c r="K55" s="34">
        <f t="shared" si="0"/>
        <v>2.5000000000000022E-2</v>
      </c>
      <c r="M55" s="44">
        <v>-9.5000000000000001E-2</v>
      </c>
      <c r="N55" s="45">
        <v>0.85499999999999998</v>
      </c>
      <c r="O55" s="45">
        <v>1.5000000000000013E-2</v>
      </c>
    </row>
    <row r="56" spans="1:15">
      <c r="A56" s="18">
        <v>-0.81</v>
      </c>
      <c r="B56" s="19">
        <v>0.38600000000000001</v>
      </c>
      <c r="C56" s="20">
        <v>1.3000000000000012E-2</v>
      </c>
      <c r="D56" s="16"/>
      <c r="E56" s="18">
        <v>-0.81</v>
      </c>
      <c r="F56" s="17">
        <v>1</v>
      </c>
      <c r="G56" s="20">
        <v>0</v>
      </c>
      <c r="I56" s="28">
        <v>-7.0000000000000007E-2</v>
      </c>
      <c r="J56" s="27">
        <v>0.76</v>
      </c>
      <c r="K56" s="34">
        <f t="shared" si="0"/>
        <v>2.5000000000000022E-2</v>
      </c>
      <c r="M56" s="39">
        <v>-0.09</v>
      </c>
      <c r="N56" s="45">
        <v>0.87</v>
      </c>
      <c r="O56" s="45">
        <v>1.5000000000000013E-2</v>
      </c>
    </row>
    <row r="57" spans="1:15">
      <c r="A57" s="18">
        <v>-0.8</v>
      </c>
      <c r="B57" s="19">
        <v>0.39900000000000002</v>
      </c>
      <c r="C57" s="20">
        <v>1.2999999999999956E-2</v>
      </c>
      <c r="D57" s="16"/>
      <c r="E57" s="18">
        <v>-0.8</v>
      </c>
      <c r="F57" s="17">
        <v>1</v>
      </c>
      <c r="G57" s="20">
        <v>0</v>
      </c>
      <c r="I57" s="28">
        <v>-6.5000000000000002E-2</v>
      </c>
      <c r="J57" s="27">
        <v>0.78500000000000003</v>
      </c>
      <c r="K57" s="34">
        <f t="shared" si="0"/>
        <v>2.5000000000000022E-2</v>
      </c>
      <c r="M57" s="39">
        <v>-8.5000000000000006E-2</v>
      </c>
      <c r="N57" s="37">
        <v>0.88500000000000001</v>
      </c>
      <c r="O57" s="45">
        <v>1.5000000000000013E-2</v>
      </c>
    </row>
    <row r="58" spans="1:15">
      <c r="A58" s="18">
        <v>-0.79</v>
      </c>
      <c r="B58" s="19">
        <v>0.41199999999999998</v>
      </c>
      <c r="C58" s="20">
        <v>1.2000000000000011E-2</v>
      </c>
      <c r="D58" s="16"/>
      <c r="E58" s="18">
        <v>-0.79</v>
      </c>
      <c r="F58" s="17">
        <v>1</v>
      </c>
      <c r="G58" s="20">
        <v>0</v>
      </c>
      <c r="I58" s="28">
        <v>-0.06</v>
      </c>
      <c r="J58" s="27">
        <v>0.81</v>
      </c>
      <c r="K58" s="34">
        <f t="shared" si="0"/>
        <v>1.9999999999999907E-2</v>
      </c>
      <c r="M58" s="39">
        <v>-0.08</v>
      </c>
      <c r="N58" s="45">
        <v>0.9</v>
      </c>
      <c r="O58" s="45">
        <v>1.0000000000000009E-2</v>
      </c>
    </row>
    <row r="59" spans="1:15">
      <c r="A59" s="18">
        <v>-0.78</v>
      </c>
      <c r="B59" s="19">
        <v>0.42399999999999999</v>
      </c>
      <c r="C59" s="20">
        <v>1.2000000000000011E-2</v>
      </c>
      <c r="D59" s="16"/>
      <c r="E59" s="18">
        <v>-0.78</v>
      </c>
      <c r="F59" s="17">
        <v>1</v>
      </c>
      <c r="G59" s="20">
        <v>0</v>
      </c>
      <c r="I59" s="28">
        <v>-5.5E-2</v>
      </c>
      <c r="J59" s="27">
        <v>0.83</v>
      </c>
      <c r="K59" s="34">
        <f t="shared" si="0"/>
        <v>2.0000000000000018E-2</v>
      </c>
      <c r="M59" s="39">
        <v>-7.4999999999999997E-2</v>
      </c>
      <c r="N59" s="37">
        <v>0.91</v>
      </c>
      <c r="O59" s="45">
        <v>1.0000000000000009E-2</v>
      </c>
    </row>
    <row r="60" spans="1:15">
      <c r="A60" s="18">
        <v>-0.77</v>
      </c>
      <c r="B60" s="19">
        <v>0.436</v>
      </c>
      <c r="C60" s="20">
        <v>1.2000000000000011E-2</v>
      </c>
      <c r="D60" s="16"/>
      <c r="E60" s="18">
        <v>-0.77</v>
      </c>
      <c r="F60" s="17">
        <v>1</v>
      </c>
      <c r="G60" s="20">
        <v>0</v>
      </c>
      <c r="I60" s="28">
        <v>-0.05</v>
      </c>
      <c r="J60" s="27">
        <v>0.85</v>
      </c>
      <c r="K60" s="34">
        <f t="shared" si="0"/>
        <v>2.0000000000000018E-2</v>
      </c>
      <c r="M60" s="39">
        <v>-7.0000000000000007E-2</v>
      </c>
      <c r="N60" s="45">
        <v>0.92</v>
      </c>
      <c r="O60" s="45">
        <v>1.0000000000000009E-2</v>
      </c>
    </row>
    <row r="61" spans="1:15">
      <c r="A61" s="18">
        <v>-0.76</v>
      </c>
      <c r="B61" s="19">
        <v>0.44800000000000001</v>
      </c>
      <c r="C61" s="20">
        <v>1.2000000000000011E-2</v>
      </c>
      <c r="D61" s="16"/>
      <c r="E61" s="18">
        <v>-0.76</v>
      </c>
      <c r="F61" s="17">
        <v>1</v>
      </c>
      <c r="G61" s="20">
        <v>0</v>
      </c>
      <c r="I61" s="28">
        <v>-4.4999999999999998E-2</v>
      </c>
      <c r="J61" s="27">
        <v>0.87</v>
      </c>
      <c r="K61" s="34">
        <f t="shared" si="0"/>
        <v>2.0000000000000018E-2</v>
      </c>
      <c r="M61" s="44">
        <v>-6.5000000000000002E-2</v>
      </c>
      <c r="N61" s="37">
        <v>0.93</v>
      </c>
      <c r="O61" s="45">
        <v>9.9999999999998979E-3</v>
      </c>
    </row>
    <row r="62" spans="1:15">
      <c r="A62" s="18">
        <v>-0.75</v>
      </c>
      <c r="B62" s="19">
        <v>0.46</v>
      </c>
      <c r="C62" s="20">
        <v>1.1999999999999955E-2</v>
      </c>
      <c r="D62" s="16"/>
      <c r="E62" s="18">
        <v>-0.75</v>
      </c>
      <c r="F62" s="17">
        <v>1</v>
      </c>
      <c r="G62" s="20">
        <v>0</v>
      </c>
      <c r="I62" s="28">
        <v>-0.04</v>
      </c>
      <c r="J62" s="27">
        <v>0.89</v>
      </c>
      <c r="K62" s="34">
        <f t="shared" si="0"/>
        <v>1.5000000000000013E-2</v>
      </c>
      <c r="M62" s="39">
        <v>-0.06</v>
      </c>
      <c r="N62" s="46">
        <v>0.94</v>
      </c>
      <c r="O62" s="45">
        <v>1.0000000000000009E-2</v>
      </c>
    </row>
    <row r="63" spans="1:15">
      <c r="A63" s="18">
        <v>-0.74</v>
      </c>
      <c r="B63" s="19">
        <v>0.47199999999999998</v>
      </c>
      <c r="C63" s="20">
        <v>1.100000000000001E-2</v>
      </c>
      <c r="D63" s="16"/>
      <c r="E63" s="18">
        <v>-0.74</v>
      </c>
      <c r="F63" s="17">
        <v>1</v>
      </c>
      <c r="G63" s="20">
        <v>0</v>
      </c>
      <c r="I63" s="28">
        <v>-3.5000000000000003E-2</v>
      </c>
      <c r="J63" s="27">
        <v>0.90500000000000003</v>
      </c>
      <c r="K63" s="34">
        <f t="shared" si="0"/>
        <v>1.5000000000000013E-2</v>
      </c>
      <c r="M63" s="39">
        <v>-5.5E-2</v>
      </c>
      <c r="N63" s="45">
        <v>0.95</v>
      </c>
      <c r="O63" s="45">
        <v>1.0000000000000009E-2</v>
      </c>
    </row>
    <row r="64" spans="1:15">
      <c r="A64" s="18">
        <v>-0.73</v>
      </c>
      <c r="B64" s="19">
        <v>0.48299999999999998</v>
      </c>
      <c r="C64" s="20">
        <v>1.100000000000001E-2</v>
      </c>
      <c r="D64" s="16"/>
      <c r="E64" s="18">
        <v>-0.73</v>
      </c>
      <c r="F64" s="17">
        <v>1</v>
      </c>
      <c r="G64" s="20">
        <v>0</v>
      </c>
      <c r="I64" s="28">
        <v>-0.03</v>
      </c>
      <c r="J64" s="27">
        <v>0.92</v>
      </c>
      <c r="K64" s="34">
        <f t="shared" si="0"/>
        <v>1.5000000000000013E-2</v>
      </c>
      <c r="M64" s="39">
        <v>-0.05</v>
      </c>
      <c r="N64" s="45">
        <v>0.96</v>
      </c>
      <c r="O64" s="45">
        <v>5.0000000000000044E-3</v>
      </c>
    </row>
    <row r="65" spans="1:15">
      <c r="A65" s="18">
        <v>-0.72</v>
      </c>
      <c r="B65" s="19">
        <v>0.49399999999999999</v>
      </c>
      <c r="C65" s="20">
        <v>1.100000000000001E-2</v>
      </c>
      <c r="D65" s="16"/>
      <c r="E65" s="18">
        <v>-0.72</v>
      </c>
      <c r="F65" s="17">
        <v>1</v>
      </c>
      <c r="G65" s="20">
        <v>0</v>
      </c>
      <c r="I65" s="33">
        <v>-2.5000000000000001E-2</v>
      </c>
      <c r="J65" s="27">
        <v>0.93500000000000005</v>
      </c>
      <c r="K65" s="34">
        <f t="shared" si="0"/>
        <v>1.4999999999999902E-2</v>
      </c>
      <c r="M65" s="39">
        <v>-4.4999999999999998E-2</v>
      </c>
      <c r="N65" s="45">
        <v>0.96499999999999997</v>
      </c>
      <c r="O65" s="45">
        <v>5.0000000000000044E-3</v>
      </c>
    </row>
    <row r="66" spans="1:15">
      <c r="A66" s="18">
        <v>-0.71</v>
      </c>
      <c r="B66" s="19">
        <v>0.505</v>
      </c>
      <c r="C66" s="20">
        <v>1.100000000000001E-2</v>
      </c>
      <c r="D66" s="16"/>
      <c r="E66" s="18">
        <v>-0.71</v>
      </c>
      <c r="F66" s="17">
        <v>1</v>
      </c>
      <c r="G66" s="20">
        <v>0</v>
      </c>
      <c r="I66" s="28">
        <v>-0.02</v>
      </c>
      <c r="J66" s="27">
        <v>0.95</v>
      </c>
      <c r="K66" s="34">
        <f t="shared" si="0"/>
        <v>1.5000000000000013E-2</v>
      </c>
      <c r="M66" s="39">
        <v>-0.04</v>
      </c>
      <c r="N66" s="45">
        <v>0.97</v>
      </c>
      <c r="O66" s="45">
        <v>5.0000000000000044E-3</v>
      </c>
    </row>
    <row r="67" spans="1:15">
      <c r="A67" s="18">
        <v>-0.7</v>
      </c>
      <c r="B67" s="19">
        <v>0.51600000000000001</v>
      </c>
      <c r="C67" s="20">
        <v>1.100000000000001E-2</v>
      </c>
      <c r="D67" s="16"/>
      <c r="E67" s="18">
        <v>-0.7</v>
      </c>
      <c r="F67" s="17">
        <v>1</v>
      </c>
      <c r="G67" s="20">
        <v>0</v>
      </c>
      <c r="I67" s="33">
        <v>-1.4999999999999999E-2</v>
      </c>
      <c r="J67" s="27">
        <v>0.96499999999999997</v>
      </c>
      <c r="K67" s="34">
        <f t="shared" si="0"/>
        <v>1.5000000000000013E-2</v>
      </c>
      <c r="M67" s="39">
        <v>-3.5000000000000003E-2</v>
      </c>
      <c r="N67" s="45">
        <v>0.97499999999999998</v>
      </c>
      <c r="O67" s="45">
        <v>5.0000000000000044E-3</v>
      </c>
    </row>
    <row r="68" spans="1:15">
      <c r="A68" s="18">
        <v>-0.69</v>
      </c>
      <c r="B68" s="19">
        <v>0.52700000000000002</v>
      </c>
      <c r="C68" s="20">
        <v>1.100000000000001E-2</v>
      </c>
      <c r="D68" s="16"/>
      <c r="E68" s="18">
        <v>-0.69</v>
      </c>
      <c r="F68" s="17">
        <v>1</v>
      </c>
      <c r="G68" s="20">
        <v>0</v>
      </c>
      <c r="I68" s="28">
        <v>-0.01</v>
      </c>
      <c r="J68" s="27">
        <v>0.98</v>
      </c>
      <c r="K68" s="34">
        <f t="shared" si="0"/>
        <v>1.0000000000000009E-2</v>
      </c>
      <c r="M68" s="39">
        <v>-0.03</v>
      </c>
      <c r="N68" s="45">
        <v>0.98</v>
      </c>
      <c r="O68" s="45">
        <v>5.0000000000000044E-3</v>
      </c>
    </row>
    <row r="69" spans="1:15">
      <c r="A69" s="18">
        <v>-0.68</v>
      </c>
      <c r="B69" s="19">
        <v>0.53800000000000003</v>
      </c>
      <c r="C69" s="20">
        <v>1.0000000000000009E-2</v>
      </c>
      <c r="D69" s="16"/>
      <c r="E69" s="18">
        <v>-0.68</v>
      </c>
      <c r="F69" s="17">
        <v>1</v>
      </c>
      <c r="G69" s="20">
        <v>0</v>
      </c>
      <c r="I69" s="33">
        <v>-5.0000000000000001E-3</v>
      </c>
      <c r="J69" s="27">
        <v>0.99</v>
      </c>
      <c r="K69" s="34">
        <f>J70-J69</f>
        <v>1.0000000000000009E-2</v>
      </c>
      <c r="M69" s="39">
        <v>-2.5000000000000001E-2</v>
      </c>
      <c r="N69" s="45">
        <v>0.98499999999999999</v>
      </c>
      <c r="O69" s="45">
        <v>5.0000000000000044E-3</v>
      </c>
    </row>
    <row r="70" spans="1:15">
      <c r="A70" s="18">
        <v>-0.67</v>
      </c>
      <c r="B70" s="19">
        <v>0.54800000000000004</v>
      </c>
      <c r="C70" s="20">
        <v>1.0000000000000009E-2</v>
      </c>
      <c r="D70" s="16"/>
      <c r="E70" s="18">
        <v>-0.67</v>
      </c>
      <c r="F70" s="17">
        <v>1</v>
      </c>
      <c r="G70" s="20">
        <v>0</v>
      </c>
      <c r="I70" s="44">
        <v>0</v>
      </c>
      <c r="J70" s="31">
        <v>1</v>
      </c>
      <c r="M70" s="39">
        <v>-0.02</v>
      </c>
      <c r="N70" s="45">
        <v>0.99</v>
      </c>
      <c r="O70" s="45">
        <v>5.0000000000000044E-3</v>
      </c>
    </row>
    <row r="71" spans="1:15">
      <c r="A71" s="18">
        <v>-0.66</v>
      </c>
      <c r="B71" s="19">
        <v>0.55800000000000005</v>
      </c>
      <c r="C71" s="20">
        <v>9.9999999999998979E-3</v>
      </c>
      <c r="D71" s="16"/>
      <c r="E71" s="18">
        <v>-0.66</v>
      </c>
      <c r="F71" s="17">
        <v>1</v>
      </c>
      <c r="G71" s="20">
        <v>0</v>
      </c>
      <c r="I71" s="44">
        <v>5.0000000000000001E-3</v>
      </c>
      <c r="J71" s="26">
        <v>1.01</v>
      </c>
      <c r="K71" s="34">
        <v>1.0000000000000009E-2</v>
      </c>
      <c r="M71" s="39">
        <v>-1.4999999999999999E-2</v>
      </c>
      <c r="N71" s="45">
        <v>0.995</v>
      </c>
      <c r="O71" s="45">
        <v>5.0000000000000044E-3</v>
      </c>
    </row>
    <row r="72" spans="1:15">
      <c r="A72" s="18">
        <v>-0.65</v>
      </c>
      <c r="B72" s="19">
        <v>0.56799999999999995</v>
      </c>
      <c r="C72" s="20">
        <v>1.0000000000000009E-2</v>
      </c>
      <c r="D72" s="16"/>
      <c r="E72" s="18">
        <v>-0.65</v>
      </c>
      <c r="F72" s="17">
        <v>1</v>
      </c>
      <c r="G72" s="20">
        <v>0</v>
      </c>
      <c r="I72" s="44">
        <v>0.01</v>
      </c>
      <c r="J72" s="36">
        <f>J71+K72</f>
        <v>1.02</v>
      </c>
      <c r="K72" s="34">
        <v>1.0000000000000009E-2</v>
      </c>
      <c r="M72" s="39">
        <v>-0.01</v>
      </c>
      <c r="N72" s="42">
        <v>1</v>
      </c>
      <c r="O72" s="45">
        <v>0</v>
      </c>
    </row>
    <row r="73" spans="1:15">
      <c r="A73" s="18">
        <v>-0.64</v>
      </c>
      <c r="B73" s="19">
        <v>0.57799999999999996</v>
      </c>
      <c r="C73" s="20">
        <v>1.0000000000000009E-2</v>
      </c>
      <c r="D73" s="16"/>
      <c r="E73" s="18">
        <v>-0.64</v>
      </c>
      <c r="F73" s="17">
        <v>1</v>
      </c>
      <c r="G73" s="20">
        <v>0</v>
      </c>
      <c r="I73" s="44">
        <v>1.4999999999999999E-2</v>
      </c>
      <c r="J73" s="36">
        <f t="shared" ref="J73:J85" si="1">J72+K73</f>
        <v>1.0350000000000001</v>
      </c>
      <c r="K73" s="34">
        <v>1.5000000000000013E-2</v>
      </c>
      <c r="M73" s="39">
        <v>-5.0000000000000001E-3</v>
      </c>
      <c r="N73" s="45">
        <v>1</v>
      </c>
      <c r="O73" s="45">
        <v>0</v>
      </c>
    </row>
    <row r="74" spans="1:15">
      <c r="A74" s="18">
        <v>-0.63</v>
      </c>
      <c r="B74" s="19">
        <v>0.58799999999999997</v>
      </c>
      <c r="C74" s="20">
        <v>1.0000000000000009E-2</v>
      </c>
      <c r="D74" s="16"/>
      <c r="E74" s="18">
        <v>-0.63</v>
      </c>
      <c r="F74" s="17">
        <v>1</v>
      </c>
      <c r="G74" s="20">
        <v>0</v>
      </c>
      <c r="I74" s="44">
        <v>0.02</v>
      </c>
      <c r="J74" s="36">
        <f t="shared" si="1"/>
        <v>1.0500000000000003</v>
      </c>
      <c r="K74" s="34">
        <v>1.5000000000000013E-2</v>
      </c>
      <c r="M74" s="41">
        <v>0</v>
      </c>
      <c r="N74" s="45">
        <v>1</v>
      </c>
      <c r="O74" s="45"/>
    </row>
    <row r="75" spans="1:15">
      <c r="A75" s="18">
        <v>-0.62</v>
      </c>
      <c r="B75" s="19">
        <v>0.59799999999999998</v>
      </c>
      <c r="C75" s="20">
        <v>1.0000000000000009E-2</v>
      </c>
      <c r="D75" s="16"/>
      <c r="E75" s="18">
        <v>-0.62</v>
      </c>
      <c r="F75" s="17">
        <v>1</v>
      </c>
      <c r="G75" s="20">
        <v>0</v>
      </c>
      <c r="I75" s="44">
        <v>2.5000000000000001E-2</v>
      </c>
      <c r="J75" s="36">
        <f t="shared" si="1"/>
        <v>1.0650000000000002</v>
      </c>
      <c r="K75" s="34">
        <v>1.4999999999999902E-2</v>
      </c>
      <c r="M75" s="39">
        <v>5.0000000000000001E-3</v>
      </c>
      <c r="N75" s="35">
        <f>N74+O75</f>
        <v>1</v>
      </c>
      <c r="O75" s="45">
        <v>0</v>
      </c>
    </row>
    <row r="76" spans="1:15">
      <c r="A76" s="18">
        <v>-0.61</v>
      </c>
      <c r="B76" s="19">
        <v>0.60799999999999998</v>
      </c>
      <c r="C76" s="20">
        <v>9.000000000000008E-3</v>
      </c>
      <c r="D76" s="16"/>
      <c r="E76" s="18">
        <v>-0.61</v>
      </c>
      <c r="F76" s="17">
        <v>1</v>
      </c>
      <c r="G76" s="20">
        <v>0</v>
      </c>
      <c r="I76" s="44">
        <v>0.03</v>
      </c>
      <c r="J76" s="36">
        <f t="shared" si="1"/>
        <v>1.08</v>
      </c>
      <c r="K76" s="34">
        <v>1.5000000000000013E-2</v>
      </c>
      <c r="M76" s="39">
        <v>0.01</v>
      </c>
      <c r="N76" s="35">
        <f t="shared" ref="N76:N122" si="2">N75+O76</f>
        <v>1</v>
      </c>
      <c r="O76" s="45">
        <v>0</v>
      </c>
    </row>
    <row r="77" spans="1:15">
      <c r="A77" s="18">
        <v>-0.6</v>
      </c>
      <c r="B77" s="19">
        <v>0.61699999999999999</v>
      </c>
      <c r="C77" s="20">
        <v>9.000000000000008E-3</v>
      </c>
      <c r="D77" s="16"/>
      <c r="E77" s="18">
        <v>-0.6</v>
      </c>
      <c r="F77" s="17">
        <v>1</v>
      </c>
      <c r="G77" s="20">
        <v>0</v>
      </c>
      <c r="I77" s="44">
        <v>3.5000000000000003E-2</v>
      </c>
      <c r="J77" s="36">
        <f t="shared" si="1"/>
        <v>1.0950000000000002</v>
      </c>
      <c r="K77" s="34">
        <v>1.5000000000000013E-2</v>
      </c>
      <c r="M77" s="39">
        <v>1.4999999999999999E-2</v>
      </c>
      <c r="N77" s="35">
        <f t="shared" si="2"/>
        <v>1.0049999999999999</v>
      </c>
      <c r="O77" s="45">
        <v>5.0000000000000044E-3</v>
      </c>
    </row>
    <row r="78" spans="1:15">
      <c r="A78" s="18">
        <v>-0.59</v>
      </c>
      <c r="B78" s="19">
        <v>0.626</v>
      </c>
      <c r="C78" s="20">
        <v>9.000000000000008E-3</v>
      </c>
      <c r="D78" s="16"/>
      <c r="E78" s="18">
        <v>-0.59</v>
      </c>
      <c r="F78" s="17">
        <v>1</v>
      </c>
      <c r="G78" s="20">
        <v>0</v>
      </c>
      <c r="I78" s="44">
        <v>0.04</v>
      </c>
      <c r="J78" s="36">
        <f t="shared" si="1"/>
        <v>1.1150000000000002</v>
      </c>
      <c r="K78" s="30">
        <v>1.9999999999999907E-2</v>
      </c>
      <c r="M78" s="39">
        <v>0.02</v>
      </c>
      <c r="N78" s="35">
        <f t="shared" si="2"/>
        <v>1.0099999999999998</v>
      </c>
      <c r="O78" s="45">
        <v>5.0000000000000044E-3</v>
      </c>
    </row>
    <row r="79" spans="1:15">
      <c r="A79" s="18">
        <v>-0.57999999999999996</v>
      </c>
      <c r="B79" s="19">
        <v>0.63500000000000001</v>
      </c>
      <c r="C79" s="20">
        <v>9.000000000000008E-3</v>
      </c>
      <c r="D79" s="16"/>
      <c r="E79" s="18">
        <v>-0.57999999999999996</v>
      </c>
      <c r="F79" s="17">
        <v>1</v>
      </c>
      <c r="G79" s="20">
        <v>0</v>
      </c>
      <c r="I79" s="44">
        <v>4.4999999999999998E-2</v>
      </c>
      <c r="J79" s="36">
        <f t="shared" si="1"/>
        <v>1.1350000000000002</v>
      </c>
      <c r="K79" s="30">
        <v>2.0000000000000018E-2</v>
      </c>
      <c r="M79" s="39">
        <v>2.5000000000000001E-2</v>
      </c>
      <c r="N79" s="35">
        <f t="shared" si="2"/>
        <v>1.0149999999999997</v>
      </c>
      <c r="O79" s="45">
        <v>5.0000000000000044E-3</v>
      </c>
    </row>
    <row r="80" spans="1:15">
      <c r="A80" s="18">
        <v>-0.56999999999999995</v>
      </c>
      <c r="B80" s="19">
        <v>0.64400000000000002</v>
      </c>
      <c r="C80" s="20">
        <v>9.000000000000008E-3</v>
      </c>
      <c r="D80" s="16"/>
      <c r="E80" s="18">
        <v>-0.56999999999999995</v>
      </c>
      <c r="F80" s="17">
        <v>1</v>
      </c>
      <c r="G80" s="20">
        <v>0</v>
      </c>
      <c r="I80" s="44">
        <v>0.05</v>
      </c>
      <c r="J80" s="36">
        <f t="shared" si="1"/>
        <v>1.1550000000000002</v>
      </c>
      <c r="K80" s="30">
        <v>2.0000000000000018E-2</v>
      </c>
      <c r="M80" s="39">
        <v>0.03</v>
      </c>
      <c r="N80" s="35">
        <f t="shared" si="2"/>
        <v>1.0199999999999996</v>
      </c>
      <c r="O80" s="45">
        <v>5.0000000000000044E-3</v>
      </c>
    </row>
    <row r="81" spans="1:15">
      <c r="A81" s="18">
        <v>-0.56000000000000005</v>
      </c>
      <c r="B81" s="19">
        <v>0.65300000000000002</v>
      </c>
      <c r="C81" s="20">
        <v>9.000000000000008E-3</v>
      </c>
      <c r="D81" s="16"/>
      <c r="E81" s="18">
        <v>-0.56000000000000005</v>
      </c>
      <c r="F81" s="17">
        <v>1</v>
      </c>
      <c r="G81" s="20">
        <v>0</v>
      </c>
      <c r="I81" s="44">
        <v>5.5E-2</v>
      </c>
      <c r="J81" s="36">
        <f t="shared" si="1"/>
        <v>1.1750000000000003</v>
      </c>
      <c r="K81" s="30">
        <v>2.0000000000000018E-2</v>
      </c>
      <c r="M81" s="39">
        <v>3.5000000000000003E-2</v>
      </c>
      <c r="N81" s="35">
        <f t="shared" si="2"/>
        <v>1.0249999999999995</v>
      </c>
      <c r="O81" s="45">
        <v>5.0000000000000044E-3</v>
      </c>
    </row>
    <row r="82" spans="1:15">
      <c r="A82" s="18">
        <v>-0.55000000000000004</v>
      </c>
      <c r="B82" s="19">
        <v>0.66200000000000003</v>
      </c>
      <c r="C82" s="20">
        <v>9.000000000000008E-3</v>
      </c>
      <c r="D82" s="16"/>
      <c r="E82" s="18">
        <v>-0.55000000000000004</v>
      </c>
      <c r="F82" s="17">
        <v>1</v>
      </c>
      <c r="G82" s="20">
        <v>0</v>
      </c>
      <c r="I82" s="44">
        <v>0.06</v>
      </c>
      <c r="J82" s="36">
        <f t="shared" si="1"/>
        <v>1.1900000000000004</v>
      </c>
      <c r="K82" s="30">
        <v>1.5000000000000013E-2</v>
      </c>
      <c r="M82" s="39">
        <v>0.04</v>
      </c>
      <c r="N82" s="35">
        <f t="shared" si="2"/>
        <v>1.0299999999999994</v>
      </c>
      <c r="O82" s="45">
        <v>5.0000000000000044E-3</v>
      </c>
    </row>
    <row r="83" spans="1:15">
      <c r="A83" s="18">
        <v>-0.54</v>
      </c>
      <c r="B83" s="19">
        <v>0.67100000000000004</v>
      </c>
      <c r="C83" s="20">
        <v>9.000000000000008E-3</v>
      </c>
      <c r="D83" s="16"/>
      <c r="E83" s="18">
        <v>-0.54</v>
      </c>
      <c r="F83" s="17">
        <v>1</v>
      </c>
      <c r="G83" s="20">
        <v>0</v>
      </c>
      <c r="I83" s="44">
        <v>6.5000000000000002E-2</v>
      </c>
      <c r="J83" s="36">
        <f t="shared" si="1"/>
        <v>1.2150000000000003</v>
      </c>
      <c r="K83" s="12">
        <v>2.5000000000000022E-2</v>
      </c>
      <c r="M83" s="39">
        <v>4.4999999999999998E-2</v>
      </c>
      <c r="N83" s="35">
        <f t="shared" si="2"/>
        <v>1.0349999999999993</v>
      </c>
      <c r="O83" s="45">
        <v>5.0000000000000044E-3</v>
      </c>
    </row>
    <row r="84" spans="1:15">
      <c r="A84" s="18">
        <v>-0.53</v>
      </c>
      <c r="B84" s="19">
        <v>0.68</v>
      </c>
      <c r="C84" s="20">
        <v>7.9999999999998961E-3</v>
      </c>
      <c r="D84" s="16"/>
      <c r="E84" s="18">
        <v>-0.53</v>
      </c>
      <c r="F84" s="17">
        <v>1</v>
      </c>
      <c r="G84" s="20">
        <v>0</v>
      </c>
      <c r="I84" s="44">
        <v>7.0000000000000007E-2</v>
      </c>
      <c r="J84" s="36">
        <f t="shared" si="1"/>
        <v>1.2400000000000002</v>
      </c>
      <c r="K84" s="12">
        <v>2.5000000000000022E-2</v>
      </c>
      <c r="M84" s="39">
        <v>0.05</v>
      </c>
      <c r="N84" s="35">
        <f t="shared" si="2"/>
        <v>1.0399999999999991</v>
      </c>
      <c r="O84" s="45">
        <v>5.0000000000000044E-3</v>
      </c>
    </row>
    <row r="85" spans="1:15">
      <c r="A85" s="18">
        <v>-0.52</v>
      </c>
      <c r="B85" s="19">
        <v>0.68799999999999994</v>
      </c>
      <c r="C85" s="20">
        <v>8.0000000000000071E-3</v>
      </c>
      <c r="D85" s="16"/>
      <c r="E85" s="18">
        <v>-0.52</v>
      </c>
      <c r="F85" s="17">
        <v>1</v>
      </c>
      <c r="G85" s="20">
        <v>0</v>
      </c>
      <c r="I85" s="44">
        <v>7.4999999999999997E-2</v>
      </c>
      <c r="J85" s="36">
        <f t="shared" si="1"/>
        <v>1.2650000000000001</v>
      </c>
      <c r="K85" s="12">
        <v>2.5000000000000022E-2</v>
      </c>
      <c r="M85" s="39">
        <v>5.5E-2</v>
      </c>
      <c r="N85" s="35">
        <f t="shared" si="2"/>
        <v>1.0499999999999992</v>
      </c>
      <c r="O85" s="45">
        <v>1.0000000000000009E-2</v>
      </c>
    </row>
    <row r="86" spans="1:15">
      <c r="A86" s="18">
        <v>-0.51</v>
      </c>
      <c r="B86" s="19">
        <v>0.69599999999999995</v>
      </c>
      <c r="C86" s="20">
        <v>8.0000000000000071E-3</v>
      </c>
      <c r="D86" s="16"/>
      <c r="E86" s="18">
        <v>-0.51</v>
      </c>
      <c r="F86" s="17">
        <v>1</v>
      </c>
      <c r="G86" s="20">
        <v>0</v>
      </c>
      <c r="I86" s="44">
        <v>0.08</v>
      </c>
      <c r="J86" s="36">
        <f>J85+K86</f>
        <v>1.29</v>
      </c>
      <c r="K86" s="12">
        <v>2.5000000000000022E-2</v>
      </c>
      <c r="M86" s="39">
        <v>0.06</v>
      </c>
      <c r="N86" s="35">
        <f t="shared" si="2"/>
        <v>1.0599999999999992</v>
      </c>
      <c r="O86" s="45">
        <v>1.0000000000000009E-2</v>
      </c>
    </row>
    <row r="87" spans="1:15">
      <c r="A87" s="18">
        <v>-0.5</v>
      </c>
      <c r="B87" s="19">
        <v>0.70399999999999996</v>
      </c>
      <c r="C87" s="20">
        <v>8.0000000000000071E-3</v>
      </c>
      <c r="D87" s="16"/>
      <c r="E87" s="18">
        <v>-0.5</v>
      </c>
      <c r="F87" s="17">
        <v>1</v>
      </c>
      <c r="G87" s="20">
        <v>0</v>
      </c>
      <c r="I87" s="44">
        <v>8.5000000000000006E-2</v>
      </c>
      <c r="J87" s="36">
        <f t="shared" ref="J87:J104" si="3">J86+K87</f>
        <v>1.32</v>
      </c>
      <c r="K87" s="12">
        <v>3.0000000000000027E-2</v>
      </c>
      <c r="M87" s="39">
        <v>6.5000000000000002E-2</v>
      </c>
      <c r="N87" s="35">
        <f t="shared" si="2"/>
        <v>1.0699999999999992</v>
      </c>
      <c r="O87" s="45">
        <v>1.0000000000000009E-2</v>
      </c>
    </row>
    <row r="88" spans="1:15">
      <c r="A88" s="18">
        <v>-0.49</v>
      </c>
      <c r="B88" s="19">
        <v>0.71199999999999997</v>
      </c>
      <c r="C88" s="20">
        <v>8.0000000000000071E-3</v>
      </c>
      <c r="D88" s="16"/>
      <c r="E88" s="18">
        <v>-0.49</v>
      </c>
      <c r="F88" s="17">
        <v>1</v>
      </c>
      <c r="G88" s="20">
        <v>0</v>
      </c>
      <c r="I88" s="44">
        <v>0.09</v>
      </c>
      <c r="J88" s="36">
        <f t="shared" si="3"/>
        <v>1.35</v>
      </c>
      <c r="K88" s="12">
        <v>3.0000000000000027E-2</v>
      </c>
      <c r="M88" s="39">
        <v>7.0000000000000007E-2</v>
      </c>
      <c r="N88" s="35">
        <f t="shared" si="2"/>
        <v>1.0799999999999992</v>
      </c>
      <c r="O88" s="45">
        <v>9.9999999999998979E-3</v>
      </c>
    </row>
    <row r="89" spans="1:15">
      <c r="A89" s="18">
        <v>-0.48</v>
      </c>
      <c r="B89" s="19">
        <v>0.72</v>
      </c>
      <c r="C89" s="20">
        <v>8.0000000000000071E-3</v>
      </c>
      <c r="D89" s="16"/>
      <c r="E89" s="18">
        <v>-0.48</v>
      </c>
      <c r="F89" s="17">
        <v>1</v>
      </c>
      <c r="G89" s="20">
        <v>0</v>
      </c>
      <c r="I89" s="44">
        <v>9.5000000000000001E-2</v>
      </c>
      <c r="J89" s="36">
        <f t="shared" si="3"/>
        <v>1.3800000000000001</v>
      </c>
      <c r="K89" s="12">
        <v>3.0000000000000027E-2</v>
      </c>
      <c r="M89" s="39">
        <v>7.4999999999999997E-2</v>
      </c>
      <c r="N89" s="35">
        <f t="shared" si="2"/>
        <v>1.0899999999999992</v>
      </c>
      <c r="O89" s="45">
        <v>1.0000000000000009E-2</v>
      </c>
    </row>
    <row r="90" spans="1:15">
      <c r="A90" s="18">
        <v>-0.47</v>
      </c>
      <c r="B90" s="19">
        <v>0.72799999999999998</v>
      </c>
      <c r="C90" s="20">
        <v>8.0000000000000071E-3</v>
      </c>
      <c r="D90" s="16"/>
      <c r="E90" s="18">
        <v>-0.47</v>
      </c>
      <c r="F90" s="17">
        <v>1</v>
      </c>
      <c r="G90" s="20">
        <v>0</v>
      </c>
      <c r="I90" s="44">
        <v>0.1</v>
      </c>
      <c r="J90" s="36">
        <f t="shared" si="3"/>
        <v>1.4100000000000001</v>
      </c>
      <c r="K90" s="12">
        <v>2.9999999999999916E-2</v>
      </c>
      <c r="M90" s="39">
        <v>0.08</v>
      </c>
      <c r="N90" s="35">
        <f t="shared" si="2"/>
        <v>1.0999999999999992</v>
      </c>
      <c r="O90" s="45">
        <v>1.0000000000000009E-2</v>
      </c>
    </row>
    <row r="91" spans="1:15">
      <c r="A91" s="18">
        <v>-0.46</v>
      </c>
      <c r="B91" s="19">
        <v>0.73599999999999999</v>
      </c>
      <c r="C91" s="20">
        <v>8.0000000000000071E-3</v>
      </c>
      <c r="D91" s="16"/>
      <c r="E91" s="18">
        <v>-0.46</v>
      </c>
      <c r="F91" s="17">
        <v>1</v>
      </c>
      <c r="G91" s="20">
        <v>0</v>
      </c>
      <c r="I91" s="44">
        <v>0.105</v>
      </c>
      <c r="J91" s="36">
        <f t="shared" si="3"/>
        <v>1.4450000000000001</v>
      </c>
      <c r="K91" s="12">
        <v>3.4999999999999976E-2</v>
      </c>
      <c r="M91" s="39">
        <v>8.5000000000000006E-2</v>
      </c>
      <c r="N91" s="35">
        <f t="shared" si="2"/>
        <v>1.1149999999999991</v>
      </c>
      <c r="O91" s="45">
        <v>1.4999999999999902E-2</v>
      </c>
    </row>
    <row r="92" spans="1:15">
      <c r="A92" s="18">
        <v>-0.45</v>
      </c>
      <c r="B92" s="19">
        <v>0.74399999999999999</v>
      </c>
      <c r="C92" s="20">
        <v>8.0000000000000071E-3</v>
      </c>
      <c r="D92" s="16"/>
      <c r="E92" s="18">
        <v>-0.45</v>
      </c>
      <c r="F92" s="17">
        <v>1</v>
      </c>
      <c r="G92" s="20">
        <v>0</v>
      </c>
      <c r="I92" s="44">
        <v>0.11</v>
      </c>
      <c r="J92" s="36">
        <f t="shared" si="3"/>
        <v>1.48</v>
      </c>
      <c r="K92" s="12">
        <v>3.5000000000000031E-2</v>
      </c>
      <c r="M92" s="39">
        <v>0.09</v>
      </c>
      <c r="N92" s="35">
        <f t="shared" si="2"/>
        <v>1.129999999999999</v>
      </c>
      <c r="O92" s="45">
        <v>1.5000000000000013E-2</v>
      </c>
    </row>
    <row r="93" spans="1:15">
      <c r="A93" s="18">
        <v>-0.44</v>
      </c>
      <c r="B93" s="19">
        <v>0.752</v>
      </c>
      <c r="C93" s="20">
        <v>7.0000000000000062E-3</v>
      </c>
      <c r="D93" s="16"/>
      <c r="E93" s="18">
        <v>-0.44</v>
      </c>
      <c r="F93" s="17">
        <v>1</v>
      </c>
      <c r="G93" s="20">
        <v>0</v>
      </c>
      <c r="I93" s="44">
        <v>0.115</v>
      </c>
      <c r="J93" s="36">
        <f t="shared" si="3"/>
        <v>1.5150000000000001</v>
      </c>
      <c r="K93" s="12">
        <v>3.5000000000000031E-2</v>
      </c>
      <c r="M93" s="39">
        <v>9.5000000000000001E-2</v>
      </c>
      <c r="N93" s="35">
        <f t="shared" si="2"/>
        <v>1.1449999999999991</v>
      </c>
      <c r="O93" s="45">
        <v>1.5000000000000013E-2</v>
      </c>
    </row>
    <row r="94" spans="1:15">
      <c r="A94" s="18">
        <v>-0.43</v>
      </c>
      <c r="B94" s="19">
        <v>0.75900000000000001</v>
      </c>
      <c r="C94" s="20">
        <v>7.0000000000000062E-3</v>
      </c>
      <c r="D94" s="16"/>
      <c r="E94" s="18">
        <v>-0.43</v>
      </c>
      <c r="F94" s="17">
        <v>1</v>
      </c>
      <c r="G94" s="20">
        <v>0</v>
      </c>
      <c r="I94" s="44">
        <v>0.12</v>
      </c>
      <c r="J94" s="36">
        <f t="shared" si="3"/>
        <v>1.55</v>
      </c>
      <c r="K94" s="12">
        <v>3.499999999999992E-2</v>
      </c>
      <c r="M94" s="39">
        <v>0.1</v>
      </c>
      <c r="N94" s="35">
        <f t="shared" si="2"/>
        <v>1.1599999999999993</v>
      </c>
      <c r="O94" s="45">
        <v>1.5000000000000013E-2</v>
      </c>
    </row>
    <row r="95" spans="1:15">
      <c r="A95" s="18">
        <v>-0.42</v>
      </c>
      <c r="B95" s="19">
        <v>0.76600000000000001</v>
      </c>
      <c r="C95" s="20">
        <v>7.0000000000000062E-3</v>
      </c>
      <c r="D95" s="16"/>
      <c r="E95" s="18">
        <v>-0.42</v>
      </c>
      <c r="F95" s="17">
        <v>1</v>
      </c>
      <c r="G95" s="20">
        <v>0</v>
      </c>
      <c r="I95" s="44">
        <v>0.125</v>
      </c>
      <c r="J95" s="36">
        <f t="shared" si="3"/>
        <v>1.59</v>
      </c>
      <c r="K95" s="34">
        <v>4.0000000000000036E-2</v>
      </c>
      <c r="M95" s="39">
        <v>0.105</v>
      </c>
      <c r="N95" s="35">
        <f t="shared" si="2"/>
        <v>1.1749999999999994</v>
      </c>
      <c r="O95" s="45">
        <v>1.5000000000000013E-2</v>
      </c>
    </row>
    <row r="96" spans="1:15">
      <c r="A96" s="18">
        <v>-0.41</v>
      </c>
      <c r="B96" s="19">
        <v>0.77300000000000002</v>
      </c>
      <c r="C96" s="20">
        <v>7.0000000000000062E-3</v>
      </c>
      <c r="D96" s="16"/>
      <c r="E96" s="18">
        <v>-0.41</v>
      </c>
      <c r="F96" s="17">
        <v>1</v>
      </c>
      <c r="G96" s="20">
        <v>0</v>
      </c>
      <c r="I96" s="44">
        <v>0.13</v>
      </c>
      <c r="J96" s="36">
        <f t="shared" si="3"/>
        <v>1.6300000000000001</v>
      </c>
      <c r="K96" s="34">
        <v>3.999999999999998E-2</v>
      </c>
      <c r="M96" s="39">
        <v>0.11</v>
      </c>
      <c r="N96" s="35">
        <f t="shared" si="2"/>
        <v>1.1899999999999995</v>
      </c>
      <c r="O96" s="45">
        <v>1.5000000000000013E-2</v>
      </c>
    </row>
    <row r="97" spans="1:15">
      <c r="A97" s="18">
        <v>-0.4</v>
      </c>
      <c r="B97" s="19">
        <v>0.78</v>
      </c>
      <c r="C97" s="20">
        <v>7.0000000000000062E-3</v>
      </c>
      <c r="D97" s="16"/>
      <c r="E97" s="18">
        <v>-0.4</v>
      </c>
      <c r="F97" s="17">
        <v>1</v>
      </c>
      <c r="G97" s="20">
        <v>0</v>
      </c>
      <c r="I97" s="44">
        <v>0.13500000000000001</v>
      </c>
      <c r="J97" s="36">
        <f t="shared" si="3"/>
        <v>1.6700000000000002</v>
      </c>
      <c r="K97" s="34">
        <v>3.999999999999998E-2</v>
      </c>
      <c r="M97" s="39">
        <v>0.115</v>
      </c>
      <c r="N97" s="35">
        <f t="shared" si="2"/>
        <v>1.2099999999999995</v>
      </c>
      <c r="O97" s="45">
        <v>2.0000000000000018E-2</v>
      </c>
    </row>
    <row r="98" spans="1:15">
      <c r="A98" s="18">
        <v>-0.39</v>
      </c>
      <c r="B98" s="19">
        <v>0.78700000000000003</v>
      </c>
      <c r="C98" s="20">
        <v>7.0000000000000062E-3</v>
      </c>
      <c r="D98" s="16"/>
      <c r="E98" s="18">
        <v>-0.39</v>
      </c>
      <c r="F98" s="17">
        <v>1</v>
      </c>
      <c r="G98" s="20">
        <v>0</v>
      </c>
      <c r="I98" s="44">
        <v>0.14000000000000001</v>
      </c>
      <c r="J98" s="36">
        <f t="shared" si="3"/>
        <v>1.7100000000000002</v>
      </c>
      <c r="K98" s="34">
        <v>4.0000000000000036E-2</v>
      </c>
      <c r="M98" s="39">
        <v>0.12</v>
      </c>
      <c r="N98" s="35">
        <f t="shared" si="2"/>
        <v>1.2299999999999995</v>
      </c>
      <c r="O98" s="45">
        <v>2.0000000000000018E-2</v>
      </c>
    </row>
    <row r="99" spans="1:15">
      <c r="A99" s="18">
        <v>-0.38</v>
      </c>
      <c r="B99" s="19">
        <v>0.79400000000000004</v>
      </c>
      <c r="C99" s="20">
        <v>7.0000000000000062E-3</v>
      </c>
      <c r="D99" s="16"/>
      <c r="E99" s="18">
        <v>-0.38</v>
      </c>
      <c r="F99" s="17">
        <v>1</v>
      </c>
      <c r="G99" s="20">
        <v>0</v>
      </c>
      <c r="I99" s="44">
        <v>0.14499999999999999</v>
      </c>
      <c r="J99" s="36">
        <f t="shared" si="3"/>
        <v>1.7550000000000001</v>
      </c>
      <c r="K99" s="12">
        <v>4.4999999999999984E-2</v>
      </c>
      <c r="M99" s="39">
        <v>0.125</v>
      </c>
      <c r="N99" s="35">
        <f t="shared" si="2"/>
        <v>1.2499999999999996</v>
      </c>
      <c r="O99" s="45">
        <v>2.0000000000000018E-2</v>
      </c>
    </row>
    <row r="100" spans="1:15">
      <c r="A100" s="18">
        <v>-0.37</v>
      </c>
      <c r="B100" s="19">
        <v>0.80100000000000005</v>
      </c>
      <c r="C100" s="20">
        <v>7.0000000000000062E-3</v>
      </c>
      <c r="D100" s="16"/>
      <c r="E100" s="18">
        <v>-0.37</v>
      </c>
      <c r="F100" s="17">
        <v>1</v>
      </c>
      <c r="G100" s="20">
        <v>0</v>
      </c>
      <c r="I100" s="44">
        <v>0.15</v>
      </c>
      <c r="J100" s="36">
        <f t="shared" si="3"/>
        <v>1.8</v>
      </c>
      <c r="K100" s="12">
        <v>4.4999999999999984E-2</v>
      </c>
      <c r="M100" s="39">
        <v>0.13</v>
      </c>
      <c r="N100" s="35">
        <f t="shared" si="2"/>
        <v>1.2699999999999996</v>
      </c>
      <c r="O100" s="45">
        <v>2.0000000000000018E-2</v>
      </c>
    </row>
    <row r="101" spans="1:15">
      <c r="A101" s="18">
        <v>-0.36</v>
      </c>
      <c r="B101" s="19">
        <v>0.80800000000000005</v>
      </c>
      <c r="C101" s="20">
        <v>6.9999999999998952E-3</v>
      </c>
      <c r="D101" s="16"/>
      <c r="E101" s="18">
        <v>-0.36</v>
      </c>
      <c r="F101" s="17">
        <v>1</v>
      </c>
      <c r="G101" s="20">
        <v>0</v>
      </c>
      <c r="I101" s="44">
        <v>0.155</v>
      </c>
      <c r="J101" s="36">
        <f t="shared" si="3"/>
        <v>1.85</v>
      </c>
      <c r="K101" s="12">
        <v>0.05</v>
      </c>
      <c r="M101" s="39">
        <v>0.13500000000000001</v>
      </c>
      <c r="N101" s="35">
        <f t="shared" si="2"/>
        <v>1.2899999999999996</v>
      </c>
      <c r="O101" s="45">
        <v>2.0000000000000018E-2</v>
      </c>
    </row>
    <row r="102" spans="1:15">
      <c r="A102" s="18">
        <v>-0.35</v>
      </c>
      <c r="B102" s="19">
        <v>0.81499999999999995</v>
      </c>
      <c r="C102" s="20">
        <v>7.0000000000000062E-3</v>
      </c>
      <c r="D102" s="16"/>
      <c r="E102" s="18">
        <v>-0.35</v>
      </c>
      <c r="F102" s="17">
        <v>1</v>
      </c>
      <c r="G102" s="20">
        <v>0</v>
      </c>
      <c r="I102" s="44">
        <v>0.16</v>
      </c>
      <c r="J102" s="36">
        <f t="shared" si="3"/>
        <v>1.9000000000000001</v>
      </c>
      <c r="K102" s="12">
        <v>0.05</v>
      </c>
      <c r="M102" s="39">
        <v>0.14000000000000001</v>
      </c>
      <c r="N102" s="35">
        <f t="shared" si="2"/>
        <v>1.3149999999999995</v>
      </c>
      <c r="O102" s="45">
        <v>2.5000000000000022E-2</v>
      </c>
    </row>
    <row r="103" spans="1:15">
      <c r="A103" s="18">
        <v>-0.34</v>
      </c>
      <c r="B103" s="19">
        <v>0.82199999999999995</v>
      </c>
      <c r="C103" s="20">
        <v>7.0000000000000062E-3</v>
      </c>
      <c r="D103" s="16"/>
      <c r="E103" s="18">
        <v>-0.34</v>
      </c>
      <c r="F103" s="17">
        <v>1</v>
      </c>
      <c r="G103" s="20">
        <v>0</v>
      </c>
      <c r="I103" s="44">
        <v>0.16500000000000001</v>
      </c>
      <c r="J103" s="36">
        <f>J102+K103</f>
        <v>1.9500000000000002</v>
      </c>
      <c r="K103" s="12">
        <v>4.9999999999999989E-2</v>
      </c>
      <c r="M103" s="39">
        <v>0.14499999999999999</v>
      </c>
      <c r="N103" s="35">
        <f t="shared" si="2"/>
        <v>1.3399999999999994</v>
      </c>
      <c r="O103" s="45">
        <v>2.5000000000000022E-2</v>
      </c>
    </row>
    <row r="104" spans="1:15">
      <c r="A104" s="18">
        <v>-0.33</v>
      </c>
      <c r="B104" s="19">
        <v>0.82899999999999996</v>
      </c>
      <c r="C104" s="20">
        <v>7.0000000000000062E-3</v>
      </c>
      <c r="D104" s="16"/>
      <c r="E104" s="18">
        <v>-0.33</v>
      </c>
      <c r="F104" s="17">
        <v>1</v>
      </c>
      <c r="G104" s="20">
        <v>0</v>
      </c>
      <c r="I104" s="44">
        <v>0.17</v>
      </c>
      <c r="J104" s="36">
        <f t="shared" si="3"/>
        <v>2</v>
      </c>
      <c r="K104" s="12">
        <v>5.0000000000000017E-2</v>
      </c>
      <c r="M104" s="39">
        <v>0.15</v>
      </c>
      <c r="N104" s="35">
        <f t="shared" si="2"/>
        <v>1.3649999999999993</v>
      </c>
      <c r="O104" s="45">
        <v>2.5000000000000022E-2</v>
      </c>
    </row>
    <row r="105" spans="1:15">
      <c r="A105" s="18">
        <v>-0.32</v>
      </c>
      <c r="B105" s="19">
        <v>0.83599999999999997</v>
      </c>
      <c r="C105" s="20">
        <v>6.0000000000000053E-3</v>
      </c>
      <c r="D105" s="16"/>
      <c r="E105" s="18">
        <v>-0.32</v>
      </c>
      <c r="F105" s="17">
        <v>1</v>
      </c>
      <c r="G105" s="20">
        <v>0</v>
      </c>
      <c r="M105" s="39">
        <v>0.155</v>
      </c>
      <c r="N105" s="35">
        <f t="shared" si="2"/>
        <v>1.3899999999999992</v>
      </c>
      <c r="O105" s="45">
        <v>2.4999999999999911E-2</v>
      </c>
    </row>
    <row r="106" spans="1:15">
      <c r="A106" s="18">
        <v>-0.31</v>
      </c>
      <c r="B106" s="19">
        <v>0.84199999999999997</v>
      </c>
      <c r="C106" s="20">
        <v>6.0000000000000053E-3</v>
      </c>
      <c r="D106" s="16"/>
      <c r="E106" s="18">
        <v>-0.31</v>
      </c>
      <c r="F106" s="17">
        <v>1</v>
      </c>
      <c r="G106" s="20">
        <v>0</v>
      </c>
      <c r="M106" s="39">
        <v>0.16</v>
      </c>
      <c r="N106" s="35">
        <f t="shared" si="2"/>
        <v>1.4199999999999993</v>
      </c>
      <c r="O106" s="45">
        <v>2.9999999999999971E-2</v>
      </c>
    </row>
    <row r="107" spans="1:15">
      <c r="A107" s="18">
        <v>-0.3</v>
      </c>
      <c r="B107" s="19">
        <v>0.84799999999999998</v>
      </c>
      <c r="C107" s="20">
        <v>6.0000000000000053E-3</v>
      </c>
      <c r="D107" s="16"/>
      <c r="E107" s="18">
        <v>-0.3</v>
      </c>
      <c r="F107" s="17">
        <v>1</v>
      </c>
      <c r="G107" s="20">
        <v>0</v>
      </c>
      <c r="M107" s="39">
        <v>0.16500000000000001</v>
      </c>
      <c r="N107" s="35">
        <f t="shared" si="2"/>
        <v>1.4499999999999993</v>
      </c>
      <c r="O107" s="45">
        <v>3.0000000000000027E-2</v>
      </c>
    </row>
    <row r="108" spans="1:15">
      <c r="A108" s="18">
        <v>-0.28999999999999998</v>
      </c>
      <c r="B108" s="19">
        <v>0.85399999999999998</v>
      </c>
      <c r="C108" s="20">
        <v>6.0000000000000053E-3</v>
      </c>
      <c r="D108" s="16"/>
      <c r="E108" s="18">
        <v>-0.28999999999999998</v>
      </c>
      <c r="F108" s="17">
        <v>1</v>
      </c>
      <c r="G108" s="20">
        <v>0</v>
      </c>
      <c r="M108" s="39">
        <v>0.17</v>
      </c>
      <c r="N108" s="35">
        <f t="shared" si="2"/>
        <v>1.4799999999999993</v>
      </c>
      <c r="O108" s="45">
        <v>3.0000000000000027E-2</v>
      </c>
    </row>
    <row r="109" spans="1:15">
      <c r="A109" s="18">
        <v>-0.28000000000000003</v>
      </c>
      <c r="B109" s="19">
        <v>0.86</v>
      </c>
      <c r="C109" s="20">
        <v>6.0000000000000053E-3</v>
      </c>
      <c r="D109" s="16"/>
      <c r="E109" s="18">
        <v>-0.28000000000000003</v>
      </c>
      <c r="F109" s="17">
        <v>1</v>
      </c>
      <c r="G109" s="20">
        <v>0</v>
      </c>
      <c r="M109" s="39">
        <v>0.17499999999999999</v>
      </c>
      <c r="N109" s="35">
        <f t="shared" si="2"/>
        <v>1.5099999999999993</v>
      </c>
      <c r="O109" s="45">
        <v>2.9999999999999916E-2</v>
      </c>
    </row>
    <row r="110" spans="1:15">
      <c r="A110" s="18">
        <v>-0.27</v>
      </c>
      <c r="B110" s="19">
        <v>0.86599999999999999</v>
      </c>
      <c r="C110" s="20">
        <v>6.0000000000000053E-3</v>
      </c>
      <c r="D110" s="16"/>
      <c r="E110" s="18">
        <v>-0.27</v>
      </c>
      <c r="F110" s="17">
        <v>1</v>
      </c>
      <c r="G110" s="20">
        <v>0</v>
      </c>
      <c r="M110" s="39">
        <v>0.18</v>
      </c>
      <c r="N110" s="35">
        <f t="shared" si="2"/>
        <v>1.5399999999999994</v>
      </c>
      <c r="O110" s="45">
        <v>3.0000000000000027E-2</v>
      </c>
    </row>
    <row r="111" spans="1:15">
      <c r="A111" s="18">
        <v>-0.26</v>
      </c>
      <c r="B111" s="19">
        <v>0.872</v>
      </c>
      <c r="C111" s="20">
        <v>6.0000000000000053E-3</v>
      </c>
      <c r="D111" s="16"/>
      <c r="E111" s="18">
        <v>-0.26</v>
      </c>
      <c r="F111" s="17">
        <v>1</v>
      </c>
      <c r="G111" s="20">
        <v>0</v>
      </c>
      <c r="M111" s="39">
        <v>0.185</v>
      </c>
      <c r="N111" s="35">
        <f t="shared" si="2"/>
        <v>1.5749999999999993</v>
      </c>
      <c r="O111" s="45">
        <v>3.4999999999999976E-2</v>
      </c>
    </row>
    <row r="112" spans="1:15">
      <c r="A112" s="18">
        <v>-0.25</v>
      </c>
      <c r="B112" s="19">
        <v>0.878</v>
      </c>
      <c r="C112" s="20">
        <v>6.0000000000000053E-3</v>
      </c>
      <c r="D112" s="16"/>
      <c r="E112" s="18">
        <v>-0.25</v>
      </c>
      <c r="F112" s="17">
        <v>1</v>
      </c>
      <c r="G112" s="20">
        <v>0</v>
      </c>
      <c r="M112" s="39">
        <v>0.19</v>
      </c>
      <c r="N112" s="35">
        <f t="shared" si="2"/>
        <v>1.6099999999999994</v>
      </c>
      <c r="O112" s="45">
        <v>3.5000000000000031E-2</v>
      </c>
    </row>
    <row r="113" spans="1:15">
      <c r="A113" s="18">
        <v>-0.24</v>
      </c>
      <c r="B113" s="19">
        <v>0.88400000000000001</v>
      </c>
      <c r="C113" s="20">
        <v>6.0000000000000053E-3</v>
      </c>
      <c r="D113" s="16"/>
      <c r="E113" s="18">
        <v>-0.24</v>
      </c>
      <c r="F113" s="17">
        <v>1</v>
      </c>
      <c r="G113" s="20">
        <v>0</v>
      </c>
      <c r="M113" s="39">
        <v>0.19500000000000001</v>
      </c>
      <c r="N113" s="35">
        <f t="shared" si="2"/>
        <v>1.6449999999999994</v>
      </c>
      <c r="O113" s="45">
        <v>3.4999999999999976E-2</v>
      </c>
    </row>
    <row r="114" spans="1:15">
      <c r="A114" s="18">
        <v>-0.23</v>
      </c>
      <c r="B114" s="19">
        <v>0.89</v>
      </c>
      <c r="C114" s="20">
        <v>6.0000000000000053E-3</v>
      </c>
      <c r="D114" s="16"/>
      <c r="E114" s="18">
        <v>-0.23</v>
      </c>
      <c r="F114" s="17">
        <v>1</v>
      </c>
      <c r="G114" s="20">
        <v>0</v>
      </c>
      <c r="M114" s="39">
        <v>0.2</v>
      </c>
      <c r="N114" s="35">
        <f t="shared" si="2"/>
        <v>1.6799999999999993</v>
      </c>
      <c r="O114" s="45">
        <v>3.5000000000000031E-2</v>
      </c>
    </row>
    <row r="115" spans="1:15">
      <c r="A115" s="18">
        <v>-0.22</v>
      </c>
      <c r="B115" s="19">
        <v>0.89600000000000002</v>
      </c>
      <c r="C115" s="20">
        <v>6.0000000000000053E-3</v>
      </c>
      <c r="D115" s="16"/>
      <c r="E115" s="18">
        <v>-0.22</v>
      </c>
      <c r="F115" s="17">
        <v>1</v>
      </c>
      <c r="G115" s="20">
        <v>0</v>
      </c>
      <c r="M115" s="39">
        <v>0.20499999999999999</v>
      </c>
      <c r="N115" s="35">
        <f t="shared" si="2"/>
        <v>1.7199999999999993</v>
      </c>
      <c r="O115" s="45">
        <v>3.999999999999998E-2</v>
      </c>
    </row>
    <row r="116" spans="1:15">
      <c r="A116" s="18">
        <v>-0.21</v>
      </c>
      <c r="B116" s="19">
        <v>0.90200000000000002</v>
      </c>
      <c r="C116" s="20">
        <v>6.0000000000000053E-3</v>
      </c>
      <c r="D116" s="16"/>
      <c r="E116" s="18">
        <v>-0.21</v>
      </c>
      <c r="F116" s="17">
        <v>1</v>
      </c>
      <c r="G116" s="20">
        <v>0</v>
      </c>
      <c r="M116" s="39">
        <v>0.21</v>
      </c>
      <c r="N116" s="35">
        <f t="shared" si="2"/>
        <v>1.7599999999999993</v>
      </c>
      <c r="O116" s="45">
        <v>4.0000000000000036E-2</v>
      </c>
    </row>
    <row r="117" spans="1:15">
      <c r="A117" s="18">
        <v>-0.2</v>
      </c>
      <c r="B117" s="19">
        <v>0.90800000000000003</v>
      </c>
      <c r="C117" s="20">
        <v>6.0000000000000053E-3</v>
      </c>
      <c r="D117" s="16"/>
      <c r="E117" s="18">
        <v>-0.2</v>
      </c>
      <c r="F117" s="17">
        <v>1</v>
      </c>
      <c r="G117" s="20">
        <v>0</v>
      </c>
      <c r="M117" s="39">
        <v>0.215</v>
      </c>
      <c r="N117" s="35">
        <f t="shared" si="2"/>
        <v>1.7999999999999994</v>
      </c>
      <c r="O117" s="45">
        <v>3.999999999999998E-2</v>
      </c>
    </row>
    <row r="118" spans="1:15">
      <c r="A118" s="18">
        <v>-0.19</v>
      </c>
      <c r="B118" s="19">
        <v>0.91400000000000003</v>
      </c>
      <c r="C118" s="20">
        <v>6.0000000000000053E-3</v>
      </c>
      <c r="D118" s="16"/>
      <c r="E118" s="18">
        <v>-0.19</v>
      </c>
      <c r="F118" s="17">
        <v>1</v>
      </c>
      <c r="G118" s="20">
        <v>0</v>
      </c>
      <c r="M118" s="39">
        <v>0.22</v>
      </c>
      <c r="N118" s="35">
        <f t="shared" si="2"/>
        <v>1.8449999999999993</v>
      </c>
      <c r="O118" s="45">
        <v>4.4999999999999998E-2</v>
      </c>
    </row>
    <row r="119" spans="1:15">
      <c r="A119" s="18">
        <v>-0.18</v>
      </c>
      <c r="B119" s="19">
        <v>0.92</v>
      </c>
      <c r="C119" s="20">
        <v>5.0000000000000044E-3</v>
      </c>
      <c r="D119" s="16"/>
      <c r="E119" s="18">
        <v>-0.18</v>
      </c>
      <c r="F119" s="17">
        <v>1</v>
      </c>
      <c r="G119" s="20">
        <v>0</v>
      </c>
      <c r="M119" s="39">
        <v>0.22500000000000001</v>
      </c>
      <c r="N119" s="35">
        <f t="shared" si="2"/>
        <v>1.8899999999999992</v>
      </c>
      <c r="O119" s="45">
        <v>4.5000000000000012E-2</v>
      </c>
    </row>
    <row r="120" spans="1:15">
      <c r="A120" s="18">
        <v>-0.17</v>
      </c>
      <c r="B120" s="19">
        <v>0.92500000000000004</v>
      </c>
      <c r="C120" s="20">
        <v>5.0000000000000044E-3</v>
      </c>
      <c r="D120" s="16"/>
      <c r="E120" s="18">
        <v>-0.17</v>
      </c>
      <c r="F120" s="17">
        <v>1</v>
      </c>
      <c r="G120" s="20">
        <v>0</v>
      </c>
      <c r="M120" s="39">
        <v>0.23</v>
      </c>
      <c r="N120" s="35">
        <f t="shared" si="2"/>
        <v>1.9499999999999993</v>
      </c>
      <c r="O120" s="45">
        <v>0.06</v>
      </c>
    </row>
    <row r="121" spans="1:15">
      <c r="A121" s="18">
        <v>-0.16</v>
      </c>
      <c r="B121" s="19">
        <v>0.93</v>
      </c>
      <c r="C121" s="20">
        <v>5.0000000000000044E-3</v>
      </c>
      <c r="D121" s="16"/>
      <c r="E121" s="18">
        <v>-0.16</v>
      </c>
      <c r="F121" s="17">
        <v>1</v>
      </c>
      <c r="G121" s="20">
        <v>0</v>
      </c>
      <c r="M121" s="39">
        <v>0.23499999999999999</v>
      </c>
      <c r="N121" s="35">
        <f t="shared" si="2"/>
        <v>1.9999999999999993</v>
      </c>
      <c r="O121" s="45">
        <v>0.05</v>
      </c>
    </row>
    <row r="122" spans="1:15">
      <c r="A122" s="18">
        <v>-0.15</v>
      </c>
      <c r="B122" s="19">
        <v>0.93500000000000005</v>
      </c>
      <c r="C122" s="20">
        <v>4.9999999999998934E-3</v>
      </c>
      <c r="D122" s="16"/>
      <c r="E122" s="18">
        <v>-0.15</v>
      </c>
      <c r="F122" s="17">
        <v>1</v>
      </c>
      <c r="G122" s="20">
        <v>0</v>
      </c>
      <c r="M122" s="39">
        <v>0.24</v>
      </c>
      <c r="N122" s="35">
        <f t="shared" si="2"/>
        <v>1.9999999999999993</v>
      </c>
    </row>
    <row r="123" spans="1:15">
      <c r="A123" s="18">
        <v>-0.14000000000000001</v>
      </c>
      <c r="B123" s="19">
        <v>0.94</v>
      </c>
      <c r="C123" s="20">
        <v>5.0000000000000044E-3</v>
      </c>
      <c r="D123" s="16"/>
      <c r="E123" s="18">
        <v>-0.14000000000000001</v>
      </c>
      <c r="F123" s="17">
        <v>1</v>
      </c>
      <c r="G123" s="20">
        <v>0</v>
      </c>
    </row>
    <row r="124" spans="1:15">
      <c r="A124" s="18">
        <v>-0.13</v>
      </c>
      <c r="B124" s="19">
        <v>0.94499999999999995</v>
      </c>
      <c r="C124" s="20">
        <v>5.0000000000000044E-3</v>
      </c>
      <c r="D124" s="16"/>
      <c r="E124" s="18">
        <v>-0.13</v>
      </c>
      <c r="F124" s="17">
        <v>1</v>
      </c>
      <c r="G124" s="20">
        <v>0</v>
      </c>
    </row>
    <row r="125" spans="1:15">
      <c r="A125" s="18">
        <v>-0.12</v>
      </c>
      <c r="B125" s="19">
        <v>0.95</v>
      </c>
      <c r="C125" s="20">
        <v>5.0000000000000044E-3</v>
      </c>
      <c r="D125" s="16"/>
      <c r="E125" s="18">
        <v>-0.12</v>
      </c>
      <c r="F125" s="17">
        <v>1</v>
      </c>
      <c r="G125" s="20">
        <v>0</v>
      </c>
    </row>
    <row r="126" spans="1:15">
      <c r="A126" s="18">
        <v>-0.11</v>
      </c>
      <c r="B126" s="19">
        <v>0.95499999999999996</v>
      </c>
      <c r="C126" s="20">
        <v>5.0000000000000044E-3</v>
      </c>
      <c r="D126" s="16"/>
      <c r="E126" s="18">
        <v>-0.11</v>
      </c>
      <c r="F126" s="17">
        <v>1</v>
      </c>
      <c r="G126" s="20">
        <v>0</v>
      </c>
    </row>
    <row r="127" spans="1:15">
      <c r="A127" s="18">
        <v>-0.1</v>
      </c>
      <c r="B127" s="19">
        <v>0.96</v>
      </c>
      <c r="C127" s="20">
        <v>5.0000000000000044E-3</v>
      </c>
      <c r="D127" s="16"/>
      <c r="E127" s="18">
        <v>-0.1</v>
      </c>
      <c r="F127" s="17">
        <v>1</v>
      </c>
      <c r="G127" s="20">
        <v>0</v>
      </c>
    </row>
    <row r="128" spans="1:15">
      <c r="A128" s="18">
        <v>-0.09</v>
      </c>
      <c r="B128" s="19">
        <v>0.96499999999999997</v>
      </c>
      <c r="C128" s="20">
        <v>5.0000000000000044E-3</v>
      </c>
      <c r="D128" s="16"/>
      <c r="E128" s="18">
        <v>-0.09</v>
      </c>
      <c r="F128" s="17">
        <v>1</v>
      </c>
      <c r="G128" s="20">
        <v>0</v>
      </c>
    </row>
    <row r="129" spans="1:7">
      <c r="A129" s="18">
        <v>-0.08</v>
      </c>
      <c r="B129" s="19">
        <v>0.97</v>
      </c>
      <c r="C129" s="20">
        <v>5.0000000000000044E-3</v>
      </c>
      <c r="D129" s="16"/>
      <c r="E129" s="18">
        <v>-0.08</v>
      </c>
      <c r="F129" s="17">
        <v>1</v>
      </c>
      <c r="G129" s="20">
        <v>0</v>
      </c>
    </row>
    <row r="130" spans="1:7">
      <c r="A130" s="18">
        <v>-7.0000000000000007E-2</v>
      </c>
      <c r="B130" s="19">
        <v>0.97499999999999998</v>
      </c>
      <c r="C130" s="20">
        <v>5.0000000000000044E-3</v>
      </c>
      <c r="D130" s="16"/>
      <c r="E130" s="18">
        <v>-7.0000000000000007E-2</v>
      </c>
      <c r="F130" s="17">
        <v>1</v>
      </c>
      <c r="G130" s="20">
        <v>0</v>
      </c>
    </row>
    <row r="131" spans="1:7">
      <c r="A131" s="18">
        <v>-0.06</v>
      </c>
      <c r="B131" s="19">
        <v>0.98</v>
      </c>
      <c r="C131" s="20">
        <v>5.0000000000000044E-3</v>
      </c>
      <c r="D131" s="16"/>
      <c r="E131" s="18">
        <v>-0.06</v>
      </c>
      <c r="F131" s="17">
        <v>1</v>
      </c>
      <c r="G131" s="20">
        <v>0</v>
      </c>
    </row>
    <row r="132" spans="1:7">
      <c r="A132" s="18">
        <v>-0.05</v>
      </c>
      <c r="B132" s="19">
        <v>0.98499999999999999</v>
      </c>
      <c r="C132" s="20">
        <v>5.0000000000000044E-3</v>
      </c>
      <c r="D132" s="16"/>
      <c r="E132" s="18">
        <v>-0.05</v>
      </c>
      <c r="F132" s="17">
        <v>1</v>
      </c>
      <c r="G132" s="20">
        <v>0</v>
      </c>
    </row>
    <row r="133" spans="1:7">
      <c r="A133" s="18">
        <v>-0.04</v>
      </c>
      <c r="B133" s="19">
        <v>0.99</v>
      </c>
      <c r="C133" s="20">
        <v>5.0000000000000044E-3</v>
      </c>
      <c r="D133" s="16"/>
      <c r="E133" s="18">
        <v>-0.04</v>
      </c>
      <c r="F133" s="17">
        <v>1</v>
      </c>
      <c r="G133" s="20">
        <v>0</v>
      </c>
    </row>
    <row r="134" spans="1:7">
      <c r="A134" s="18">
        <v>-0.03</v>
      </c>
      <c r="B134" s="19">
        <v>0.995</v>
      </c>
      <c r="C134" s="20">
        <v>5.0000000000000044E-3</v>
      </c>
      <c r="D134" s="16"/>
      <c r="E134" s="18">
        <v>-0.03</v>
      </c>
      <c r="F134" s="17">
        <v>1</v>
      </c>
      <c r="G134" s="20">
        <v>0</v>
      </c>
    </row>
    <row r="135" spans="1:7">
      <c r="A135" s="18">
        <v>-0.02</v>
      </c>
      <c r="B135" s="17">
        <v>1</v>
      </c>
      <c r="C135" s="20">
        <v>0</v>
      </c>
      <c r="D135" s="16"/>
      <c r="E135" s="18">
        <v>-0.02</v>
      </c>
      <c r="F135" s="17">
        <v>1</v>
      </c>
      <c r="G135" s="20">
        <v>0</v>
      </c>
    </row>
    <row r="136" spans="1:7">
      <c r="A136" s="21">
        <v>0</v>
      </c>
      <c r="B136" s="22">
        <v>1</v>
      </c>
      <c r="C136" s="16"/>
      <c r="D136" s="16"/>
      <c r="E136" s="21">
        <v>0</v>
      </c>
      <c r="F136" s="17">
        <v>1</v>
      </c>
      <c r="G136" s="16"/>
    </row>
    <row r="137" spans="1:7">
      <c r="A137" s="23">
        <v>0.02</v>
      </c>
      <c r="B137" s="19">
        <v>1</v>
      </c>
      <c r="E137" s="44">
        <v>0.02</v>
      </c>
      <c r="F137" s="17">
        <v>1</v>
      </c>
    </row>
    <row r="138" spans="1:7">
      <c r="A138" s="23">
        <v>0.06</v>
      </c>
      <c r="B138" s="19">
        <v>1.0049999999999999</v>
      </c>
      <c r="E138" s="44">
        <v>0.03</v>
      </c>
      <c r="F138" s="17">
        <v>1</v>
      </c>
    </row>
    <row r="139" spans="1:7">
      <c r="A139" s="23">
        <v>0.04</v>
      </c>
      <c r="B139" s="19">
        <v>1.01</v>
      </c>
      <c r="E139" s="44">
        <v>0.04</v>
      </c>
      <c r="F139" s="17">
        <v>1</v>
      </c>
    </row>
    <row r="140" spans="1:7">
      <c r="A140" s="23">
        <v>0.05</v>
      </c>
      <c r="B140" s="19">
        <v>1.0149999999999999</v>
      </c>
      <c r="E140" s="44">
        <v>0.05</v>
      </c>
      <c r="F140" s="17">
        <v>1</v>
      </c>
    </row>
    <row r="141" spans="1:7">
      <c r="A141" s="23">
        <v>0.06</v>
      </c>
      <c r="B141" s="19">
        <v>1.02</v>
      </c>
      <c r="E141" s="44">
        <v>0.06</v>
      </c>
      <c r="F141" s="17">
        <v>1</v>
      </c>
    </row>
    <row r="142" spans="1:7">
      <c r="A142" s="23">
        <v>0.04</v>
      </c>
      <c r="B142" s="19">
        <v>1.0249999999999999</v>
      </c>
      <c r="E142" s="44">
        <v>7.0000000000000007E-2</v>
      </c>
      <c r="F142" s="17">
        <v>1</v>
      </c>
    </row>
    <row r="143" spans="1:7">
      <c r="A143" s="23">
        <v>0.08</v>
      </c>
      <c r="B143" s="19">
        <v>1.03</v>
      </c>
      <c r="E143" s="44">
        <v>0.08</v>
      </c>
      <c r="F143" s="17">
        <v>1</v>
      </c>
    </row>
    <row r="144" spans="1:7">
      <c r="A144" s="23">
        <v>0.09</v>
      </c>
      <c r="B144" s="19">
        <v>1.0349999999999999</v>
      </c>
      <c r="E144" s="44">
        <v>0.09</v>
      </c>
      <c r="F144" s="17">
        <v>1</v>
      </c>
    </row>
    <row r="145" spans="1:6">
      <c r="A145" s="23">
        <v>0.1</v>
      </c>
      <c r="B145" s="19">
        <v>1.04</v>
      </c>
      <c r="E145" s="44">
        <v>0.1</v>
      </c>
      <c r="F145" s="17">
        <v>1</v>
      </c>
    </row>
    <row r="146" spans="1:6">
      <c r="A146" s="23">
        <v>0.11</v>
      </c>
      <c r="B146" s="19">
        <v>1.0449999999999999</v>
      </c>
    </row>
    <row r="147" spans="1:6">
      <c r="A147" s="23">
        <v>0.12</v>
      </c>
      <c r="B147" s="19">
        <v>1.05</v>
      </c>
    </row>
    <row r="148" spans="1:6">
      <c r="A148" s="23">
        <v>0.13</v>
      </c>
      <c r="B148" s="19">
        <v>1.0549999999999999</v>
      </c>
    </row>
    <row r="149" spans="1:6">
      <c r="A149" s="23">
        <v>0.14000000000000001</v>
      </c>
      <c r="B149" s="19">
        <v>1.06</v>
      </c>
    </row>
    <row r="150" spans="1:6">
      <c r="A150" s="23">
        <v>0.15</v>
      </c>
      <c r="B150" s="19">
        <v>1.0649999999999999</v>
      </c>
    </row>
    <row r="151" spans="1:6">
      <c r="A151" s="23">
        <v>0.16</v>
      </c>
      <c r="B151" s="19">
        <v>1.07</v>
      </c>
    </row>
    <row r="152" spans="1:6">
      <c r="A152" s="23">
        <v>0.17</v>
      </c>
      <c r="B152" s="19">
        <v>1.075</v>
      </c>
    </row>
    <row r="153" spans="1:6">
      <c r="A153" s="23">
        <v>0.18</v>
      </c>
      <c r="B153" s="19">
        <v>1.08</v>
      </c>
    </row>
    <row r="154" spans="1:6">
      <c r="A154" s="23">
        <v>0.19</v>
      </c>
      <c r="B154" s="19">
        <v>1.0860000000000001</v>
      </c>
    </row>
    <row r="155" spans="1:6">
      <c r="A155" s="23">
        <v>0.2</v>
      </c>
      <c r="B155" s="19">
        <v>1.0920000000000001</v>
      </c>
    </row>
    <row r="156" spans="1:6">
      <c r="A156" s="23">
        <v>0.21</v>
      </c>
      <c r="B156" s="19">
        <v>1.0980000000000001</v>
      </c>
    </row>
    <row r="157" spans="1:6">
      <c r="A157" s="23">
        <v>0.22</v>
      </c>
      <c r="B157" s="19">
        <v>1.1040000000000001</v>
      </c>
    </row>
    <row r="158" spans="1:6">
      <c r="A158" s="23">
        <v>0.23</v>
      </c>
      <c r="B158" s="19">
        <v>1.1100000000000001</v>
      </c>
    </row>
    <row r="159" spans="1:6">
      <c r="A159" s="23">
        <v>0.24</v>
      </c>
      <c r="B159" s="19">
        <v>1.1160000000000001</v>
      </c>
    </row>
    <row r="160" spans="1:6">
      <c r="A160" s="23">
        <v>0.25</v>
      </c>
      <c r="B160" s="19">
        <v>1.1220000000000001</v>
      </c>
    </row>
    <row r="161" spans="1:2">
      <c r="A161" s="23">
        <v>0.26</v>
      </c>
      <c r="B161" s="19">
        <v>1.1279999999999999</v>
      </c>
    </row>
    <row r="162" spans="1:2">
      <c r="A162" s="23">
        <v>0.27</v>
      </c>
      <c r="B162" s="19">
        <v>1.1339999999999999</v>
      </c>
    </row>
    <row r="163" spans="1:2">
      <c r="A163" s="23">
        <v>0.28000000000000003</v>
      </c>
      <c r="B163" s="19">
        <v>1.1399999999999999</v>
      </c>
    </row>
    <row r="164" spans="1:2">
      <c r="A164" s="23">
        <v>0.28999999999999998</v>
      </c>
      <c r="B164" s="19">
        <v>1.1459999999999999</v>
      </c>
    </row>
    <row r="165" spans="1:2">
      <c r="A165" s="23">
        <v>0.3</v>
      </c>
      <c r="B165" s="19">
        <v>1.1519999999999999</v>
      </c>
    </row>
    <row r="166" spans="1:2">
      <c r="A166" s="23">
        <v>0.31</v>
      </c>
      <c r="B166" s="19">
        <v>1.1579999999999999</v>
      </c>
    </row>
    <row r="167" spans="1:2">
      <c r="A167" s="23">
        <v>0.32</v>
      </c>
      <c r="B167" s="19">
        <v>1.1639999999999999</v>
      </c>
    </row>
    <row r="168" spans="1:2">
      <c r="A168" s="23">
        <v>0.33</v>
      </c>
      <c r="B168" s="19">
        <v>1.171</v>
      </c>
    </row>
    <row r="169" spans="1:2">
      <c r="A169" s="23">
        <v>0.34</v>
      </c>
      <c r="B169" s="19">
        <v>1.1779999999999999</v>
      </c>
    </row>
    <row r="170" spans="1:2">
      <c r="A170" s="23">
        <v>0.35</v>
      </c>
      <c r="B170" s="19">
        <v>1.1850000000000001</v>
      </c>
    </row>
    <row r="171" spans="1:2">
      <c r="A171" s="23">
        <v>0.36</v>
      </c>
      <c r="B171" s="19">
        <v>1.1919999999999999</v>
      </c>
    </row>
    <row r="172" spans="1:2">
      <c r="A172" s="23">
        <v>0.37</v>
      </c>
      <c r="B172" s="19">
        <v>1.1990000000000001</v>
      </c>
    </row>
    <row r="173" spans="1:2">
      <c r="A173" s="23">
        <v>0.38</v>
      </c>
      <c r="B173" s="19">
        <v>1.206</v>
      </c>
    </row>
    <row r="174" spans="1:2">
      <c r="A174" s="23">
        <v>0.39</v>
      </c>
      <c r="B174" s="19">
        <v>1.2130000000000001</v>
      </c>
    </row>
    <row r="175" spans="1:2">
      <c r="A175" s="23">
        <v>0.4</v>
      </c>
      <c r="B175" s="19">
        <v>1.22</v>
      </c>
    </row>
    <row r="176" spans="1:2">
      <c r="A176" s="23">
        <v>0.41</v>
      </c>
      <c r="B176" s="19">
        <v>1.2270000000000001</v>
      </c>
    </row>
    <row r="177" spans="1:2">
      <c r="A177" s="23">
        <v>0.42</v>
      </c>
      <c r="B177" s="19">
        <v>1.234</v>
      </c>
    </row>
    <row r="178" spans="1:2">
      <c r="A178" s="23">
        <v>0.43</v>
      </c>
      <c r="B178" s="19">
        <v>1.2410000000000001</v>
      </c>
    </row>
    <row r="179" spans="1:2">
      <c r="A179" s="23">
        <v>0.44</v>
      </c>
      <c r="B179" s="19">
        <v>1.248</v>
      </c>
    </row>
    <row r="180" spans="1:2">
      <c r="A180" s="23">
        <v>0.45</v>
      </c>
      <c r="B180" s="19">
        <v>1.256</v>
      </c>
    </row>
    <row r="181" spans="1:2">
      <c r="A181" s="23">
        <v>0.46</v>
      </c>
      <c r="B181" s="19">
        <v>1.264</v>
      </c>
    </row>
    <row r="182" spans="1:2">
      <c r="A182" s="23">
        <v>0.47</v>
      </c>
      <c r="B182" s="19">
        <v>1.272</v>
      </c>
    </row>
    <row r="183" spans="1:2">
      <c r="A183" s="23">
        <v>0.48</v>
      </c>
      <c r="B183" s="19">
        <v>1.28</v>
      </c>
    </row>
    <row r="184" spans="1:2">
      <c r="A184" s="23">
        <v>0.49</v>
      </c>
      <c r="B184" s="19">
        <v>1.288</v>
      </c>
    </row>
    <row r="185" spans="1:2">
      <c r="A185" s="23">
        <v>0.5</v>
      </c>
      <c r="B185" s="24">
        <f>2-B87</f>
        <v>1.296</v>
      </c>
    </row>
    <row r="186" spans="1:2">
      <c r="A186" s="23">
        <v>0.51</v>
      </c>
      <c r="B186" s="19">
        <v>1.296</v>
      </c>
    </row>
    <row r="187" spans="1:2">
      <c r="A187" s="23">
        <v>0.52</v>
      </c>
      <c r="B187" s="19">
        <v>1.304</v>
      </c>
    </row>
  </sheetData>
  <mergeCells count="2">
    <mergeCell ref="A1:B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ЧМ,ЦМ,Руда,Кокс</vt:lpstr>
      <vt:lpstr>Ставки перевалки</vt:lpstr>
      <vt:lpstr>Ставки аренды</vt:lpstr>
      <vt:lpstr>Курсы валют</vt:lpstr>
      <vt:lpstr>Цены</vt:lpstr>
      <vt:lpstr>Технический лист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kurkinda</dc:creator>
  <cp:lastModifiedBy>Emiit PowerBI</cp:lastModifiedBy>
  <cp:lastPrinted>2026-06-08T08:44:33Z</cp:lastPrinted>
  <dcterms:created xsi:type="dcterms:W3CDTF">2026-04-22T14:39:13Z</dcterms:created>
  <dcterms:modified xsi:type="dcterms:W3CDTF">2026-07-09T07:03:09Z</dcterms:modified>
</cp:coreProperties>
</file>